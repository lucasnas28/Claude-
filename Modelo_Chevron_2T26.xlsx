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67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Chevron Corporation (CVX, CIK 93410)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31501000000</v>
      </c>
      <c r="L6" s="259" t="n">
        <v>13494000000</v>
      </c>
      <c r="M6" s="259" t="n">
        <v>24451000000</v>
      </c>
      <c r="N6" s="259" t="n">
        <v>25246000000</v>
      </c>
      <c r="O6" s="259" t="n">
        <v>32029000000</v>
      </c>
      <c r="P6" s="259" t="n">
        <v>37597000000</v>
      </c>
      <c r="Q6" s="259" t="n">
        <v>44710000000</v>
      </c>
      <c r="R6" s="259" t="n">
        <v>48129000000</v>
      </c>
      <c r="S6" s="259" t="n">
        <v>54373000000</v>
      </c>
      <c r="T6" s="259" t="n">
        <v>68762000000</v>
      </c>
      <c r="U6" s="259" t="n">
        <v>66644000000</v>
      </c>
      <c r="V6" s="259" t="n">
        <v>56473000000</v>
      </c>
      <c r="W6" s="259" t="n">
        <v>50793000000</v>
      </c>
      <c r="X6" s="259" t="n">
        <v>48896000000</v>
      </c>
      <c r="Y6" s="259" t="n">
        <v>54080000000</v>
      </c>
      <c r="Z6" s="259" t="n">
        <v>47180000000</v>
      </c>
      <c r="AA6" s="259" t="n">
        <v>48716000000</v>
      </c>
      <c r="AB6" s="259" t="n">
        <v>51181000000</v>
      </c>
      <c r="AC6" s="259" t="n">
        <v>50669000000</v>
      </c>
      <c r="AD6" s="259" t="n">
        <v>52226000000</v>
      </c>
      <c r="AE6" s="259" t="n">
        <v>47610000000</v>
      </c>
      <c r="AF6" s="259" t="n">
        <v>44822000000</v>
      </c>
      <c r="AG6" s="259" t="n">
        <v>49726000000</v>
      </c>
      <c r="AH6" s="259" t="n">
        <v>46873000000</v>
      </c>
      <c r="AI6" s="259" t="n">
        <v>48607000000</v>
      </c>
      <c r="AJ6" s="259" t="n">
        <v>70055000000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15509000000</v>
      </c>
      <c r="L7" s="259" t="n">
        <v>8144000000</v>
      </c>
      <c r="M7" s="259" t="n">
        <v>13448000000</v>
      </c>
      <c r="N7" s="259" t="n">
        <v>13387000000</v>
      </c>
      <c r="O7" s="259" t="n">
        <v>17568000000</v>
      </c>
      <c r="P7" s="259" t="n">
        <v>20629000000</v>
      </c>
      <c r="Q7" s="259" t="n">
        <v>23834000000</v>
      </c>
      <c r="R7" s="259" t="n">
        <v>27341000000</v>
      </c>
      <c r="S7" s="259" t="n">
        <v>33411000000</v>
      </c>
      <c r="T7" s="259" t="n">
        <v>40684000000</v>
      </c>
      <c r="U7" s="259" t="n">
        <v>38751000000</v>
      </c>
      <c r="V7" s="259" t="n">
        <v>32570000000</v>
      </c>
      <c r="W7" s="259" t="n">
        <v>29407000000</v>
      </c>
      <c r="X7" s="259" t="n">
        <v>28984000000</v>
      </c>
      <c r="Y7" s="259" t="n">
        <v>32328000000</v>
      </c>
      <c r="Z7" s="259" t="n">
        <v>28477000000</v>
      </c>
      <c r="AA7" s="259" t="n">
        <v>27741000000</v>
      </c>
      <c r="AB7" s="259" t="n">
        <v>30867000000</v>
      </c>
      <c r="AC7" s="259" t="n">
        <v>30450000000</v>
      </c>
      <c r="AD7" s="259" t="n">
        <v>30148000000</v>
      </c>
      <c r="AE7" s="259" t="n">
        <v>28610000000</v>
      </c>
      <c r="AF7" s="259" t="n">
        <v>26858000000</v>
      </c>
      <c r="AG7" s="259" t="n">
        <v>27398000000</v>
      </c>
      <c r="AH7" s="259" t="n">
        <v>25348000000</v>
      </c>
      <c r="AI7" s="259" t="n">
        <v>28265000000</v>
      </c>
      <c r="AJ7" s="259" t="n">
        <v>36607000000</v>
      </c>
    </row>
    <row r="8">
      <c r="G8" t="inlineStr">
        <is>
          <t>moeda</t>
        </is>
      </c>
      <c r="H8" t="inlineStr">
        <is>
          <t>Lucro operacional DERIVADO = receita - custos e despesas totais [us-gaap:CostsAndExpenses] + despesa de juros (a companhia não divulga lucro operacional)</t>
        </is>
      </c>
      <c r="J8" t="inlineStr">
        <is>
          <t>memoria</t>
        </is>
      </c>
      <c r="K8" s="259" t="n">
        <v>4307000000</v>
      </c>
      <c r="L8" s="259" t="n">
        <v>-10425000000</v>
      </c>
      <c r="M8" s="259" t="n">
        <v>120000000</v>
      </c>
      <c r="N8" s="259" t="n">
        <v>-758000000</v>
      </c>
      <c r="O8" s="259" t="n">
        <v>2375000000</v>
      </c>
      <c r="P8" s="259" t="n">
        <v>4607000000</v>
      </c>
      <c r="Q8" s="259" t="n">
        <v>8229000000</v>
      </c>
      <c r="R8" s="259" t="n">
        <v>7140000000</v>
      </c>
      <c r="S8" s="259" t="n">
        <v>9190000000</v>
      </c>
      <c r="T8" s="259" t="n">
        <v>16132000000</v>
      </c>
      <c r="U8" s="259" t="n">
        <v>14937000000</v>
      </c>
      <c r="V8" s="259" t="n">
        <v>9931000000</v>
      </c>
      <c r="W8" s="259" t="n">
        <v>9634000000</v>
      </c>
      <c r="X8" s="259" t="n">
        <v>7957000000</v>
      </c>
      <c r="Y8" s="259" t="n">
        <v>8852000000</v>
      </c>
      <c r="Z8" s="259" t="n">
        <v>3610000000</v>
      </c>
      <c r="AA8" s="259" t="n">
        <v>8040000000</v>
      </c>
      <c r="AB8" s="259" t="n">
        <v>7149000000</v>
      </c>
      <c r="AC8" s="259" t="n">
        <v>6653000000</v>
      </c>
      <c r="AD8" s="259" t="n">
        <v>6258000000</v>
      </c>
      <c r="AE8" s="259" t="n">
        <v>5795000000</v>
      </c>
      <c r="AF8" s="259" t="n">
        <v>4421000000</v>
      </c>
      <c r="AG8" s="259" t="n">
        <v>5784000000</v>
      </c>
      <c r="AH8" s="259" t="n">
        <v>4960000000</v>
      </c>
      <c r="AI8" s="259" t="n">
        <v>4291000000</v>
      </c>
      <c r="AJ8" s="259" t="n">
        <v>17036000000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11685000000</v>
      </c>
      <c r="L9" s="259">
        <f>N(L6)-N(L7)-N(L8)</f>
        <v>15775000000</v>
      </c>
      <c r="M9" s="259">
        <f>N(M6)-N(M7)-N(M8)</f>
        <v>10883000000</v>
      </c>
      <c r="N9" s="259">
        <f>N(N6)-N(N7)-N(N8)</f>
        <v>12617000000</v>
      </c>
      <c r="O9" s="259">
        <f>N(O6)-N(O7)-N(O8)</f>
        <v>12086000000</v>
      </c>
      <c r="P9" s="259">
        <f>N(P6)-N(P7)-N(P8)</f>
        <v>12361000000</v>
      </c>
      <c r="Q9" s="259">
        <f>N(Q6)-N(Q7)-N(Q8)</f>
        <v>12647000000</v>
      </c>
      <c r="R9" s="259">
        <f>N(R6)-N(R7)-N(R8)</f>
        <v>13648000000</v>
      </c>
      <c r="S9" s="259">
        <f>N(S6)-N(S7)-N(S8)</f>
        <v>11772000000</v>
      </c>
      <c r="T9" s="259">
        <f>N(T6)-N(T7)-N(T8)</f>
        <v>11946000000</v>
      </c>
      <c r="U9" s="259">
        <f>N(U6)-N(U7)-N(U8)</f>
        <v>12956000000</v>
      </c>
      <c r="V9" s="259">
        <f>N(V6)-N(V7)-N(V8)</f>
        <v>13972000000</v>
      </c>
      <c r="W9" s="259">
        <f>N(W6)-N(W7)-N(W8)</f>
        <v>11752000000</v>
      </c>
      <c r="X9" s="259">
        <f>N(X6)-N(X7)-N(X8)</f>
        <v>11955000000</v>
      </c>
      <c r="Y9" s="259">
        <f>N(Y6)-N(Y7)-N(Y8)</f>
        <v>12900000000</v>
      </c>
      <c r="Z9" s="259">
        <f>N(Z6)-N(Z7)-N(Z8)</f>
        <v>15093000000</v>
      </c>
      <c r="AA9" s="259">
        <f>N(AA6)-N(AA7)-N(AA8)</f>
        <v>12935000000</v>
      </c>
      <c r="AB9" s="259">
        <f>N(AB6)-N(AB7)-N(AB8)</f>
        <v>13165000000</v>
      </c>
      <c r="AC9" s="259">
        <f>N(AC6)-N(AC7)-N(AC8)</f>
        <v>13566000000</v>
      </c>
      <c r="AD9" s="259">
        <f>N(AD6)-N(AD7)-N(AD8)</f>
        <v>15820000000</v>
      </c>
      <c r="AE9" s="259">
        <f>N(AE6)-N(AE7)-N(AE8)</f>
        <v>13205000000</v>
      </c>
      <c r="AF9" s="259">
        <f>N(AF6)-N(AF7)-N(AF8)</f>
        <v>13543000000</v>
      </c>
      <c r="AG9" s="259">
        <f>N(AG6)-N(AG7)-N(AG8)</f>
        <v>16544000000</v>
      </c>
      <c r="AH9" s="259">
        <f>N(AH6)-N(AH7)-N(AH8)</f>
        <v>16565000000</v>
      </c>
      <c r="AI9" s="259">
        <f>N(AI6)-N(AI7)-N(AI8)</f>
        <v>16051000000</v>
      </c>
      <c r="AJ9" s="259">
        <f>N(AJ6)-N(AJ7)-N(AJ8)</f>
        <v>16412000000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4145000000</v>
      </c>
      <c r="L10" s="259" t="n">
        <v>-10597000000</v>
      </c>
      <c r="M10" s="259" t="n">
        <v>-44000000</v>
      </c>
      <c r="N10" s="259" t="n">
        <v>-957000000</v>
      </c>
      <c r="O10" s="259" t="n">
        <v>2177000000</v>
      </c>
      <c r="P10" s="259" t="n">
        <v>4422000000</v>
      </c>
      <c r="Q10" s="259" t="n">
        <v>8055000000</v>
      </c>
      <c r="R10" s="259" t="n">
        <v>6985000000</v>
      </c>
      <c r="S10" s="259" t="n">
        <v>9054000000</v>
      </c>
      <c r="T10" s="259" t="n">
        <v>16003000000</v>
      </c>
      <c r="U10" s="259" t="n">
        <v>14809000000</v>
      </c>
      <c r="V10" s="259" t="n">
        <v>9808000000</v>
      </c>
      <c r="W10" s="259" t="n">
        <v>9519000000</v>
      </c>
      <c r="X10" s="259" t="n">
        <v>7837000000</v>
      </c>
      <c r="Y10" s="259" t="n">
        <v>8738000000</v>
      </c>
      <c r="Z10" s="259" t="n">
        <v>3490000000</v>
      </c>
      <c r="AA10" s="259" t="n">
        <v>7922000000</v>
      </c>
      <c r="AB10" s="259" t="n">
        <v>7036000000</v>
      </c>
      <c r="AC10" s="259" t="n">
        <v>6489000000</v>
      </c>
      <c r="AD10" s="259" t="n">
        <v>6059000000</v>
      </c>
      <c r="AE10" s="259" t="n">
        <v>5583000000</v>
      </c>
      <c r="AF10" s="259" t="n">
        <v>4147000000</v>
      </c>
      <c r="AG10" s="259" t="n">
        <v>5414000000</v>
      </c>
      <c r="AH10" s="259" t="n">
        <v>4599000000</v>
      </c>
      <c r="AI10" s="259" t="n">
        <v>3946000000</v>
      </c>
      <c r="AJ10" s="259" t="n">
        <v>16684000000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-162000000</v>
      </c>
      <c r="L11" s="259">
        <f>N(L10)-N(L8)</f>
        <v>-172000000</v>
      </c>
      <c r="M11" s="259">
        <f>N(M10)-N(M8)</f>
        <v>-164000000</v>
      </c>
      <c r="N11" s="259">
        <f>N(N10)-N(N8)</f>
        <v>-199000000</v>
      </c>
      <c r="O11" s="259">
        <f>N(O10)-N(O8)</f>
        <v>-198000000</v>
      </c>
      <c r="P11" s="259">
        <f>N(P10)-N(P8)</f>
        <v>-185000000</v>
      </c>
      <c r="Q11" s="259">
        <f>N(Q10)-N(Q8)</f>
        <v>-174000000</v>
      </c>
      <c r="R11" s="259">
        <f>N(R10)-N(R8)</f>
        <v>-155000000</v>
      </c>
      <c r="S11" s="259">
        <f>N(S10)-N(S8)</f>
        <v>-136000000</v>
      </c>
      <c r="T11" s="259">
        <f>N(T10)-N(T8)</f>
        <v>-129000000</v>
      </c>
      <c r="U11" s="259">
        <f>N(U10)-N(U8)</f>
        <v>-128000000</v>
      </c>
      <c r="V11" s="259">
        <f>N(V10)-N(V8)</f>
        <v>-123000000</v>
      </c>
      <c r="W11" s="259">
        <f>N(W10)-N(W8)</f>
        <v>-115000000</v>
      </c>
      <c r="X11" s="259">
        <f>N(X10)-N(X8)</f>
        <v>-120000000</v>
      </c>
      <c r="Y11" s="259">
        <f>N(Y10)-N(Y8)</f>
        <v>-114000000</v>
      </c>
      <c r="Z11" s="259">
        <f>N(Z10)-N(Z8)</f>
        <v>-120000000</v>
      </c>
      <c r="AA11" s="259">
        <f>N(AA10)-N(AA8)</f>
        <v>-118000000</v>
      </c>
      <c r="AB11" s="259">
        <f>N(AB10)-N(AB8)</f>
        <v>-113000000</v>
      </c>
      <c r="AC11" s="259">
        <f>N(AC10)-N(AC8)</f>
        <v>-164000000</v>
      </c>
      <c r="AD11" s="259">
        <f>N(AD10)-N(AD8)</f>
        <v>-199000000</v>
      </c>
      <c r="AE11" s="259">
        <f>N(AE10)-N(AE8)</f>
        <v>-212000000</v>
      </c>
      <c r="AF11" s="259">
        <f>N(AF10)-N(AF8)</f>
        <v>-274000000</v>
      </c>
      <c r="AG11" s="259">
        <f>N(AG10)-N(AG8)</f>
        <v>-370000000</v>
      </c>
      <c r="AH11" s="259">
        <f>N(AH10)-N(AH8)</f>
        <v>-361000000</v>
      </c>
      <c r="AI11" s="259">
        <f>N(AI10)-N(AI8)</f>
        <v>-345000000</v>
      </c>
      <c r="AJ11" s="259">
        <f>N(AJ10)-N(AJ8)</f>
        <v>-352000000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162000000</v>
      </c>
      <c r="L12" s="259" t="n">
        <v>172000000</v>
      </c>
      <c r="M12" s="259" t="n">
        <v>164000000</v>
      </c>
      <c r="N12" s="259" t="n">
        <v>199000000</v>
      </c>
      <c r="O12" s="259" t="n">
        <v>198000000</v>
      </c>
      <c r="P12" s="259" t="n">
        <v>185000000</v>
      </c>
      <c r="Q12" s="259" t="n">
        <v>174000000</v>
      </c>
      <c r="R12" s="259" t="n">
        <v>155000000</v>
      </c>
      <c r="S12" s="259" t="n">
        <v>136000000</v>
      </c>
      <c r="T12" s="259" t="n">
        <v>129000000</v>
      </c>
      <c r="U12" s="259" t="n">
        <v>128000000</v>
      </c>
      <c r="V12" s="259" t="n">
        <v>123000000</v>
      </c>
      <c r="W12" s="259" t="n">
        <v>115000000</v>
      </c>
      <c r="X12" s="259" t="n">
        <v>120000000</v>
      </c>
      <c r="Y12" s="259" t="n">
        <v>114000000</v>
      </c>
      <c r="Z12" s="259" t="n">
        <v>120000000</v>
      </c>
      <c r="AA12" s="259" t="n">
        <v>118000000</v>
      </c>
      <c r="AB12" s="259" t="n">
        <v>113000000</v>
      </c>
      <c r="AC12" s="259" t="n">
        <v>164000000</v>
      </c>
      <c r="AD12" s="259" t="n">
        <v>199000000</v>
      </c>
      <c r="AE12" s="259" t="n">
        <v>212000000</v>
      </c>
      <c r="AF12" s="259" t="n">
        <v>274000000</v>
      </c>
      <c r="AG12" s="259" t="n">
        <v>370000000</v>
      </c>
      <c r="AH12" s="259" t="n">
        <v>361000000</v>
      </c>
      <c r="AI12" s="259" t="n">
        <v>345000000</v>
      </c>
      <c r="AJ12" s="259" t="n">
        <v>352000000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564000000</v>
      </c>
      <c r="L13" s="259" t="n">
        <v>-2320000000</v>
      </c>
      <c r="M13" s="259" t="n">
        <v>165000000</v>
      </c>
      <c r="N13" s="259" t="n">
        <v>-301000000</v>
      </c>
      <c r="O13" s="259" t="n">
        <v>779000000</v>
      </c>
      <c r="P13" s="259" t="n">
        <v>1328000000</v>
      </c>
      <c r="Q13" s="259" t="n">
        <v>1940000000</v>
      </c>
      <c r="R13" s="259" t="n">
        <v>1903000000</v>
      </c>
      <c r="S13" s="259" t="n">
        <v>2777000000</v>
      </c>
      <c r="T13" s="259" t="n">
        <v>4288000000</v>
      </c>
      <c r="U13" s="259" t="n">
        <v>3571000000</v>
      </c>
      <c r="V13" s="259" t="n">
        <v>3430000000</v>
      </c>
      <c r="W13" s="259" t="n">
        <v>2914000000</v>
      </c>
      <c r="X13" s="259" t="n">
        <v>1829000000</v>
      </c>
      <c r="Y13" s="259" t="n">
        <v>2183000000</v>
      </c>
      <c r="Z13" s="259" t="n">
        <v>1247000000</v>
      </c>
      <c r="AA13" s="259" t="n">
        <v>2371000000</v>
      </c>
      <c r="AB13" s="259" t="n">
        <v>2593000000</v>
      </c>
      <c r="AC13" s="259" t="n">
        <v>1993000000</v>
      </c>
      <c r="AD13" s="259" t="n">
        <v>2800000000</v>
      </c>
      <c r="AE13" s="259" t="n">
        <v>2071000000</v>
      </c>
      <c r="AF13" s="259" t="n">
        <v>1632000000</v>
      </c>
      <c r="AG13" s="259" t="n">
        <v>1801000000</v>
      </c>
      <c r="AH13" s="259" t="n">
        <v>1754000000</v>
      </c>
      <c r="AI13" s="259" t="n">
        <v>1653000000</v>
      </c>
      <c r="AJ13" s="259" t="n">
        <v>4470000000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-18000000</v>
      </c>
      <c r="L14" s="259" t="n">
        <v>-7000000</v>
      </c>
      <c r="M14" s="259" t="n">
        <v>-2000000</v>
      </c>
      <c r="N14" s="259" t="n">
        <v>9000000</v>
      </c>
      <c r="O14" s="259" t="n">
        <v>21000000</v>
      </c>
      <c r="P14" s="259" t="n">
        <v>12000000</v>
      </c>
      <c r="Q14" s="259" t="n">
        <v>4000000</v>
      </c>
      <c r="R14" s="259" t="n">
        <v>27000000</v>
      </c>
      <c r="S14" s="259" t="n">
        <v>18000000</v>
      </c>
      <c r="T14" s="259" t="n">
        <v>93000000</v>
      </c>
      <c r="U14" s="259" t="n">
        <v>7000000</v>
      </c>
      <c r="V14" s="259" t="n">
        <v>25000000</v>
      </c>
      <c r="W14" s="259" t="n">
        <v>31000000</v>
      </c>
      <c r="X14" s="259" t="n">
        <v>-2000000</v>
      </c>
      <c r="Y14" s="259" t="n">
        <v>29000000</v>
      </c>
      <c r="Z14" s="259" t="n">
        <v>-16000000</v>
      </c>
      <c r="AA14" s="259" t="n">
        <v>50000000</v>
      </c>
      <c r="AB14" s="259" t="n">
        <v>9000000</v>
      </c>
      <c r="AC14" s="259" t="n">
        <v>9000000</v>
      </c>
      <c r="AD14" s="259" t="n">
        <v>20000000</v>
      </c>
      <c r="AE14" s="259" t="n">
        <v>12000000</v>
      </c>
      <c r="AF14" s="259" t="n">
        <v>25000000</v>
      </c>
      <c r="AG14" s="259" t="n">
        <v>74000000</v>
      </c>
      <c r="AH14" s="259" t="n">
        <v>75000000</v>
      </c>
      <c r="AI14" s="259" t="n">
        <v>83000000</v>
      </c>
      <c r="AJ14" s="259" t="n">
        <v>142000000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3599000000</v>
      </c>
      <c r="L15" s="259" t="n">
        <v>-8270000000</v>
      </c>
      <c r="M15" s="259" t="n">
        <v>-207000000</v>
      </c>
      <c r="N15" s="259" t="n">
        <v>-665000000</v>
      </c>
      <c r="O15" s="259" t="n">
        <v>1377000000</v>
      </c>
      <c r="P15" s="259" t="n">
        <v>3082000000</v>
      </c>
      <c r="Q15" s="259" t="n">
        <v>6111000000</v>
      </c>
      <c r="R15" s="259" t="n">
        <v>5055000000</v>
      </c>
      <c r="S15" s="259" t="n">
        <v>6259000000</v>
      </c>
      <c r="T15" s="259" t="n">
        <v>11622000000</v>
      </c>
      <c r="U15" s="259" t="n">
        <v>11231000000</v>
      </c>
      <c r="V15" s="259" t="n">
        <v>6353000000</v>
      </c>
      <c r="W15" s="259" t="n">
        <v>6574000000</v>
      </c>
      <c r="X15" s="259" t="n">
        <v>6010000000</v>
      </c>
      <c r="Y15" s="259" t="n">
        <v>6526000000</v>
      </c>
      <c r="Z15" s="259" t="n">
        <v>2259000000</v>
      </c>
      <c r="AA15" s="259" t="n">
        <v>5501000000</v>
      </c>
      <c r="AB15" s="259" t="n">
        <v>4434000000</v>
      </c>
      <c r="AC15" s="259" t="n">
        <v>4487000000</v>
      </c>
      <c r="AD15" s="259" t="n">
        <v>3239000000</v>
      </c>
      <c r="AE15" s="259" t="n">
        <v>3500000000</v>
      </c>
      <c r="AF15" s="259" t="n">
        <v>2490000000</v>
      </c>
      <c r="AG15" s="259" t="n">
        <v>3539000000</v>
      </c>
      <c r="AH15" s="259" t="n">
        <v>2770000000</v>
      </c>
      <c r="AI15" s="259" t="n">
        <v>2210000000</v>
      </c>
      <c r="AJ15" s="259" t="n">
        <v>12072000000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0</v>
      </c>
      <c r="L16" s="259">
        <f>N(L15)-(N(L10)-N(L13)-N(L14))</f>
        <v>0</v>
      </c>
      <c r="M16" s="259">
        <f>N(M15)-(N(M10)-N(M13)-N(M14))</f>
        <v>0</v>
      </c>
      <c r="N16" s="259">
        <f>N(N15)-(N(N10)-N(N13)-N(N14))</f>
        <v>0</v>
      </c>
      <c r="O16" s="259">
        <f>N(O15)-(N(O10)-N(O13)-N(O14))</f>
        <v>0</v>
      </c>
      <c r="P16" s="259">
        <f>N(P15)-(N(P10)-N(P13)-N(P14))</f>
        <v>0</v>
      </c>
      <c r="Q16" s="259">
        <f>N(Q15)-(N(Q10)-N(Q13)-N(Q14))</f>
        <v>0</v>
      </c>
      <c r="R16" s="259">
        <f>N(R15)-(N(R10)-N(R13)-N(R14))</f>
        <v>0</v>
      </c>
      <c r="S16" s="259">
        <f>N(S15)-(N(S10)-N(S13)-N(S14))</f>
        <v>0</v>
      </c>
      <c r="T16" s="259">
        <f>N(T15)-(N(T10)-N(T13)-N(T14))</f>
        <v>0</v>
      </c>
      <c r="U16" s="259">
        <f>N(U15)-(N(U10)-N(U13)-N(U14))</f>
        <v>0</v>
      </c>
      <c r="V16" s="259">
        <f>N(V15)-(N(V10)-N(V13)-N(V14))</f>
        <v>0</v>
      </c>
      <c r="W16" s="259">
        <f>N(W15)-(N(W10)-N(W13)-N(W14))</f>
        <v>0</v>
      </c>
      <c r="X16" s="259">
        <f>N(X15)-(N(X10)-N(X13)-N(X14))</f>
        <v>0</v>
      </c>
      <c r="Y16" s="259">
        <f>N(Y15)-(N(Y10)-N(Y13)-N(Y14))</f>
        <v>0</v>
      </c>
      <c r="Z16" s="259">
        <f>N(Z15)-(N(Z10)-N(Z13)-N(Z14))</f>
        <v>0</v>
      </c>
      <c r="AA16" s="259">
        <f>N(AA15)-(N(AA10)-N(AA13)-N(AA14))</f>
        <v>0</v>
      </c>
      <c r="AB16" s="259">
        <f>N(AB15)-(N(AB10)-N(AB13)-N(AB14))</f>
        <v>0</v>
      </c>
      <c r="AC16" s="259">
        <f>N(AC15)-(N(AC10)-N(AC13)-N(AC14))</f>
        <v>0</v>
      </c>
      <c r="AD16" s="259">
        <f>N(AD15)-(N(AD10)-N(AD13)-N(AD14))</f>
        <v>0</v>
      </c>
      <c r="AE16" s="259">
        <f>N(AE15)-(N(AE10)-N(AE13)-N(AE14))</f>
        <v>0</v>
      </c>
      <c r="AF16" s="259">
        <f>N(AF15)-(N(AF10)-N(AF13)-N(AF14))</f>
        <v>0</v>
      </c>
      <c r="AG16" s="259">
        <f>N(AG15)-(N(AG10)-N(AG13)-N(AG14))</f>
        <v>0</v>
      </c>
      <c r="AH16" s="259">
        <f>N(AH15)-(N(AH10)-N(AH13)-N(AH14))</f>
        <v>0</v>
      </c>
      <c r="AI16" s="259">
        <f>N(AI15)-(N(AI10)-N(AI13)-N(AI14))</f>
        <v>0</v>
      </c>
      <c r="AJ16" s="259">
        <f>N(AJ15)-(N(AJ10)-N(AJ13)-N(AJ14))</f>
        <v>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3599000000</v>
      </c>
      <c r="L17" s="259">
        <f>N(L15)</f>
        <v>-8270000000</v>
      </c>
      <c r="M17" s="259">
        <f>N(M15)</f>
        <v>-207000000</v>
      </c>
      <c r="N17" s="259">
        <f>N(N15)</f>
        <v>-665000000</v>
      </c>
      <c r="O17" s="259">
        <f>N(O15)</f>
        <v>1377000000</v>
      </c>
      <c r="P17" s="259">
        <f>N(P15)</f>
        <v>3082000000</v>
      </c>
      <c r="Q17" s="259">
        <f>N(Q15)</f>
        <v>6111000000</v>
      </c>
      <c r="R17" s="259">
        <f>N(R15)</f>
        <v>5055000000</v>
      </c>
      <c r="S17" s="259">
        <f>N(S15)</f>
        <v>6259000000</v>
      </c>
      <c r="T17" s="259">
        <f>N(T15)</f>
        <v>11622000000</v>
      </c>
      <c r="U17" s="259">
        <f>N(U15)</f>
        <v>11231000000</v>
      </c>
      <c r="V17" s="259">
        <f>N(V15)</f>
        <v>6353000000</v>
      </c>
      <c r="W17" s="259">
        <f>N(W15)</f>
        <v>6574000000</v>
      </c>
      <c r="X17" s="259">
        <f>N(X15)</f>
        <v>6010000000</v>
      </c>
      <c r="Y17" s="259">
        <f>N(Y15)</f>
        <v>6526000000</v>
      </c>
      <c r="Z17" s="259">
        <f>N(Z15)</f>
        <v>2259000000</v>
      </c>
      <c r="AA17" s="259">
        <f>N(AA15)</f>
        <v>5501000000</v>
      </c>
      <c r="AB17" s="259">
        <f>N(AB15)</f>
        <v>4434000000</v>
      </c>
      <c r="AC17" s="259">
        <f>N(AC15)</f>
        <v>4487000000</v>
      </c>
      <c r="AD17" s="259">
        <f>N(AD15)</f>
        <v>3239000000</v>
      </c>
      <c r="AE17" s="259">
        <f>N(AE15)</f>
        <v>3500000000</v>
      </c>
      <c r="AF17" s="259">
        <f>N(AF15)</f>
        <v>2490000000</v>
      </c>
      <c r="AG17" s="259">
        <f>N(AG15)</f>
        <v>3539000000</v>
      </c>
      <c r="AH17" s="259">
        <f>N(AH15)</f>
        <v>2770000000</v>
      </c>
      <c r="AI17" s="259">
        <f>N(AI15)</f>
        <v>2210000000</v>
      </c>
      <c r="AJ17" s="259">
        <f>N(AJ15)</f>
        <v>12072000000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4288000000</v>
      </c>
      <c r="L19" s="259" t="n">
        <v>6717000000</v>
      </c>
      <c r="M19" s="259" t="n">
        <v>4017000000</v>
      </c>
      <c r="N19" s="259" t="n">
        <v>4486000000</v>
      </c>
      <c r="O19" s="259" t="n">
        <v>4286000000</v>
      </c>
      <c r="P19" s="259" t="n">
        <v>4522000000</v>
      </c>
      <c r="Q19" s="259" t="n">
        <v>4304000000</v>
      </c>
      <c r="R19" s="259" t="n">
        <v>4813000000</v>
      </c>
      <c r="S19" s="259" t="n">
        <v>3654000000</v>
      </c>
      <c r="T19" s="259" t="n">
        <v>3700000000</v>
      </c>
      <c r="U19" s="259" t="n">
        <v>4201000000</v>
      </c>
      <c r="V19" s="259" t="n">
        <v>4764000000</v>
      </c>
      <c r="W19" s="259" t="n">
        <v>3526000000</v>
      </c>
      <c r="X19" s="259" t="n">
        <v>3521000000</v>
      </c>
      <c r="Y19" s="259" t="n">
        <v>4025000000</v>
      </c>
      <c r="Z19" s="259" t="n">
        <v>6254000000</v>
      </c>
      <c r="AA19" s="259" t="n">
        <v>4091000000</v>
      </c>
      <c r="AB19" s="259" t="n">
        <v>4004000000</v>
      </c>
      <c r="AC19" s="259" t="n">
        <v>4214000000</v>
      </c>
      <c r="AD19" s="259" t="n">
        <v>4973000000</v>
      </c>
      <c r="AE19" s="259" t="n">
        <v>4123000000</v>
      </c>
      <c r="AF19" s="259" t="n">
        <v>4344000000</v>
      </c>
      <c r="AG19" s="259" t="n">
        <v>5781000000</v>
      </c>
      <c r="AH19" s="259" t="n">
        <v>5884000000</v>
      </c>
      <c r="AI19" s="259" t="n">
        <v>5808000000</v>
      </c>
      <c r="AJ19" s="259" t="n">
        <v>6082000000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2402000000</v>
      </c>
      <c r="L20" s="259" t="n">
        <v>2394000000</v>
      </c>
      <c r="M20" s="259" t="n">
        <v>2390000000</v>
      </c>
      <c r="N20" s="259" t="n">
        <v>2465000000</v>
      </c>
      <c r="O20" s="259" t="n">
        <v>2468000000</v>
      </c>
      <c r="P20" s="259" t="n">
        <v>2573000000</v>
      </c>
      <c r="Q20" s="259" t="n">
        <v>2571000000</v>
      </c>
      <c r="R20" s="259" t="n">
        <v>2567000000</v>
      </c>
      <c r="S20" s="259" t="n">
        <v>2746000000</v>
      </c>
      <c r="T20" s="259" t="n">
        <v>2766000000</v>
      </c>
      <c r="U20" s="259" t="n">
        <v>2743000000</v>
      </c>
      <c r="V20" s="259" t="n">
        <v>2713000000</v>
      </c>
      <c r="W20" s="259" t="n">
        <v>2857000000</v>
      </c>
      <c r="X20" s="259" t="n">
        <v>2818000000</v>
      </c>
      <c r="Y20" s="259" t="n">
        <v>2852000000</v>
      </c>
      <c r="Z20" s="259" t="n">
        <v>2809000000</v>
      </c>
      <c r="AA20" s="259" t="n">
        <v>3003000000</v>
      </c>
      <c r="AB20" s="259" t="n">
        <v>2978000000</v>
      </c>
      <c r="AC20" s="259" t="n">
        <v>2933000000</v>
      </c>
      <c r="AD20" s="259" t="n">
        <v>2887000000</v>
      </c>
      <c r="AE20" s="259" t="n">
        <v>2984000000</v>
      </c>
      <c r="AF20" s="259" t="n">
        <v>2934000000</v>
      </c>
      <c r="AG20" s="259" t="n">
        <v>3429000000</v>
      </c>
      <c r="AH20" s="259" t="n">
        <v>3404000000</v>
      </c>
      <c r="AI20" s="259" t="n">
        <v>3526000000</v>
      </c>
      <c r="AJ20" s="259" t="n">
        <v>3504000000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MarketableSecuritiesCurrent</t>
        </is>
      </c>
      <c r="J22" t="inlineStr">
        <is>
          <t>fonte</t>
        </is>
      </c>
      <c r="K22" s="259" t="n">
        <v>50000000</v>
      </c>
      <c r="L22" s="259" t="n">
        <v>59000000</v>
      </c>
      <c r="M22" s="259" t="n">
        <v>28000000</v>
      </c>
      <c r="N22" s="259" t="n">
        <v>31000000</v>
      </c>
      <c r="O22" s="259" t="n">
        <v>32000000</v>
      </c>
      <c r="P22" s="259" t="n">
        <v>34000000</v>
      </c>
      <c r="Q22" s="259" t="n">
        <v>34000000</v>
      </c>
      <c r="R22" s="259" t="n">
        <v>35000000</v>
      </c>
      <c r="S22" s="259" t="n">
        <v>33000000</v>
      </c>
      <c r="T22" s="259" t="n">
        <v>341000000</v>
      </c>
      <c r="U22" s="259" t="n">
        <v>267000000</v>
      </c>
      <c r="V22" s="259" t="n">
        <v>223000000</v>
      </c>
      <c r="W22" s="259" t="n">
        <v>130000000</v>
      </c>
      <c r="X22" s="259" t="n">
        <v>318000000</v>
      </c>
      <c r="Y22" s="259" t="n">
        <v>141000000</v>
      </c>
      <c r="Z22" s="259" t="n">
        <v>45000000</v>
      </c>
      <c r="AA22" s="259" t="n">
        <v>0</v>
      </c>
      <c r="AB22" s="259" t="n">
        <v>0</v>
      </c>
      <c r="AC22" s="259" t="n">
        <v>0</v>
      </c>
      <c r="AD22" s="259" t="n">
        <v>0</v>
      </c>
      <c r="AE22" s="259" t="n">
        <v>0</v>
      </c>
      <c r="AF22" s="259" t="n">
        <v>0</v>
      </c>
      <c r="AG22" s="259" t="n">
        <v>0</v>
      </c>
      <c r="AH22" s="259" t="n">
        <v>0</v>
      </c>
      <c r="AI22" s="259" t="n">
        <v>0</v>
      </c>
      <c r="AJ22" s="259" t="n">
        <v>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CashAndCashEquivalentsAtCarryingValue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0</v>
      </c>
      <c r="N23" s="259" t="n">
        <v>0</v>
      </c>
      <c r="O23" s="259" t="n">
        <v>0</v>
      </c>
      <c r="P23" s="259" t="n">
        <v>0</v>
      </c>
      <c r="Q23" s="259" t="n">
        <v>0</v>
      </c>
      <c r="R23" s="259" t="n">
        <v>0</v>
      </c>
      <c r="S23" s="259" t="n">
        <v>0</v>
      </c>
      <c r="T23" s="259" t="n">
        <v>12029000000</v>
      </c>
      <c r="U23" s="259" t="n">
        <v>15164000000</v>
      </c>
      <c r="V23" s="259" t="n">
        <v>17678000000</v>
      </c>
      <c r="W23" s="259" t="n">
        <v>15668000000</v>
      </c>
      <c r="X23" s="259" t="n">
        <v>9292000000</v>
      </c>
      <c r="Y23" s="259" t="n">
        <v>5797000000</v>
      </c>
      <c r="Z23" s="259" t="n">
        <v>8178000000</v>
      </c>
      <c r="AA23" s="259" t="n">
        <v>6278000000</v>
      </c>
      <c r="AB23" s="259" t="n">
        <v>4008000000</v>
      </c>
      <c r="AC23" s="259" t="n">
        <v>0</v>
      </c>
      <c r="AD23" s="259" t="n">
        <v>0</v>
      </c>
      <c r="AE23" s="259" t="n">
        <v>0</v>
      </c>
      <c r="AF23" s="259" t="n">
        <v>0</v>
      </c>
      <c r="AG23" s="259" t="n">
        <v>0</v>
      </c>
      <c r="AH23" s="259" t="n">
        <v>0</v>
      </c>
      <c r="AI23" s="259" t="n">
        <v>0</v>
      </c>
      <c r="AJ23" s="259" t="n">
        <v>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AccountsNotesAndLoansReceivableNetCurrent</t>
        </is>
      </c>
      <c r="J24" t="inlineStr">
        <is>
          <t>fonte</t>
        </is>
      </c>
      <c r="K24" s="259" t="n">
        <v>10167000000</v>
      </c>
      <c r="L24" s="259" t="n">
        <v>8570000000</v>
      </c>
      <c r="M24" s="259" t="n">
        <v>9722000000</v>
      </c>
      <c r="N24" s="259" t="n">
        <v>11471000000</v>
      </c>
      <c r="O24" s="259" t="n">
        <v>14118000000</v>
      </c>
      <c r="P24" s="259" t="n">
        <v>15705000000</v>
      </c>
      <c r="Q24" s="259" t="n">
        <v>16567000000</v>
      </c>
      <c r="R24" s="259" t="n">
        <v>18419000000</v>
      </c>
      <c r="S24" s="259" t="n">
        <v>23255000000</v>
      </c>
      <c r="T24" s="259" t="n">
        <v>26860000000</v>
      </c>
      <c r="U24" s="259" t="n">
        <v>22466000000</v>
      </c>
      <c r="V24" s="259" t="n">
        <v>20456000000</v>
      </c>
      <c r="W24" s="259" t="n">
        <v>19021000000</v>
      </c>
      <c r="X24" s="259" t="n">
        <v>19285000000</v>
      </c>
      <c r="Y24" s="259" t="n">
        <v>21993000000</v>
      </c>
      <c r="Z24" s="259" t="n">
        <v>19921000000</v>
      </c>
      <c r="AA24" s="259" t="n">
        <v>20414000000</v>
      </c>
      <c r="AB24" s="259" t="n">
        <v>20752000000</v>
      </c>
      <c r="AC24" s="259" t="n">
        <v>19591000000</v>
      </c>
      <c r="AD24" s="259" t="n">
        <v>20684000000</v>
      </c>
      <c r="AE24" s="259" t="n">
        <v>19560000000</v>
      </c>
      <c r="AF24" s="259" t="n">
        <v>17663000000</v>
      </c>
      <c r="AG24" s="259" t="n">
        <v>17887000000</v>
      </c>
      <c r="AH24" s="259" t="n">
        <v>18075000000</v>
      </c>
      <c r="AI24" s="259" t="n">
        <v>25256000000</v>
      </c>
      <c r="AJ24" s="259" t="n">
        <v>24575000000</v>
      </c>
    </row>
    <row r="25">
      <c r="A25" t="n">
        <v>15</v>
      </c>
      <c r="B25" t="n">
        <v>1</v>
      </c>
      <c r="G25" t="inlineStr">
        <is>
          <t>moeda</t>
        </is>
      </c>
      <c r="H25" t="inlineStr">
        <is>
          <t>PrepaidExpenseCurrent</t>
        </is>
      </c>
      <c r="J25" t="inlineStr">
        <is>
          <t>fonte</t>
        </is>
      </c>
      <c r="K25" s="259" t="n">
        <v>3279000000</v>
      </c>
      <c r="L25" s="259" t="n">
        <v>2737000000</v>
      </c>
      <c r="M25" s="259" t="n">
        <v>2506000000</v>
      </c>
      <c r="N25" s="259" t="n">
        <v>3304000000</v>
      </c>
      <c r="O25" s="259" t="n">
        <v>3587000000</v>
      </c>
      <c r="P25" s="259" t="n">
        <v>3468000000</v>
      </c>
      <c r="Q25" s="259" t="n">
        <v>3409000000</v>
      </c>
      <c r="R25" s="259" t="n">
        <v>3339000000</v>
      </c>
      <c r="S25" s="259" t="n">
        <v>3225000000</v>
      </c>
      <c r="T25" s="259" t="n">
        <v>4243000000</v>
      </c>
      <c r="U25" s="259" t="n">
        <v>4604000000</v>
      </c>
      <c r="V25" s="259" t="n">
        <v>3739000000</v>
      </c>
      <c r="W25" s="259" t="n">
        <v>4300000000</v>
      </c>
      <c r="X25" s="259" t="n">
        <v>4697000000</v>
      </c>
      <c r="Y25" s="259" t="n">
        <v>4373000000</v>
      </c>
      <c r="Z25" s="259" t="n">
        <v>4372000000</v>
      </c>
      <c r="AA25" s="259" t="n">
        <v>3874000000</v>
      </c>
      <c r="AB25" s="259" t="n">
        <v>4132000000</v>
      </c>
      <c r="AC25" s="259" t="n">
        <v>4168000000</v>
      </c>
      <c r="AD25" s="259" t="n">
        <v>4368000000</v>
      </c>
      <c r="AE25" s="259" t="n">
        <v>5204000000</v>
      </c>
      <c r="AF25" s="259" t="n">
        <v>4149000000</v>
      </c>
      <c r="AG25" s="259" t="n">
        <v>4816000000</v>
      </c>
      <c r="AH25" s="259" t="n">
        <v>4469000000</v>
      </c>
      <c r="AI25" s="259" t="n">
        <v>5023000000</v>
      </c>
      <c r="AJ25" s="259" t="n">
        <v>5509000000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CashandCashEquivalentsExcludingTimeDepositsatCarryingValue</t>
        </is>
      </c>
      <c r="J26" t="inlineStr">
        <is>
          <t>fonte</t>
        </is>
      </c>
      <c r="K26" s="259" t="n">
        <v>8492000000</v>
      </c>
      <c r="L26" s="259" t="n">
        <v>6855000000</v>
      </c>
      <c r="M26" s="259" t="n">
        <v>6866000000</v>
      </c>
      <c r="N26" s="259" t="n">
        <v>5596000000</v>
      </c>
      <c r="O26" s="259" t="n">
        <v>7076000000</v>
      </c>
      <c r="P26" s="259" t="n">
        <v>7527000000</v>
      </c>
      <c r="Q26" s="259" t="n">
        <v>5998000000</v>
      </c>
      <c r="R26" s="259" t="n">
        <v>5640000000</v>
      </c>
      <c r="S26" s="259" t="n">
        <v>11671000000</v>
      </c>
      <c r="T26" s="259" t="n">
        <v>0</v>
      </c>
      <c r="U26" s="259" t="n">
        <v>0</v>
      </c>
      <c r="V26" s="259" t="n">
        <v>0</v>
      </c>
      <c r="W26" s="259" t="n">
        <v>0</v>
      </c>
      <c r="X26" s="259" t="n">
        <v>0</v>
      </c>
      <c r="Y26" s="259" t="n">
        <v>0</v>
      </c>
      <c r="Z26" s="259" t="n">
        <v>0</v>
      </c>
      <c r="AA26" s="259" t="n">
        <v>0</v>
      </c>
      <c r="AB26" s="259" t="n">
        <v>0</v>
      </c>
      <c r="AC26" s="259" t="n">
        <v>0</v>
      </c>
      <c r="AD26" s="259" t="n">
        <v>0</v>
      </c>
      <c r="AE26" s="259" t="n">
        <v>0</v>
      </c>
      <c r="AF26" s="259" t="n">
        <v>0</v>
      </c>
      <c r="AG26" s="259" t="n">
        <v>0</v>
      </c>
      <c r="AH26" s="259" t="n">
        <v>0</v>
      </c>
      <c r="AI26" s="259" t="n">
        <v>0</v>
      </c>
      <c r="AJ26" s="259" t="n">
        <v>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InventoryFinishedGoodsAndWorkInProcess</t>
        </is>
      </c>
      <c r="J27" t="inlineStr">
        <is>
          <t>fonte</t>
        </is>
      </c>
      <c r="K27" s="259" t="n">
        <v>4425000000</v>
      </c>
      <c r="L27" s="259" t="n">
        <v>3327000000</v>
      </c>
      <c r="M27" s="259" t="n">
        <v>3588000000</v>
      </c>
      <c r="N27" s="259" t="n">
        <v>3576000000</v>
      </c>
      <c r="O27" s="259" t="n">
        <v>3535000000</v>
      </c>
      <c r="P27" s="259" t="n">
        <v>4093000000</v>
      </c>
      <c r="Q27" s="259" t="n">
        <v>3937000000</v>
      </c>
      <c r="R27" s="259" t="n">
        <v>4248000000</v>
      </c>
      <c r="S27" s="259" t="n">
        <v>4467000000</v>
      </c>
      <c r="T27" s="259" t="n">
        <v>5671000000</v>
      </c>
      <c r="U27" s="259" t="n">
        <v>6917000000</v>
      </c>
      <c r="V27" s="259" t="n">
        <v>5866000000</v>
      </c>
      <c r="W27" s="259" t="n">
        <v>6268000000</v>
      </c>
      <c r="X27" s="259" t="n">
        <v>6398000000</v>
      </c>
      <c r="Y27" s="259" t="n">
        <v>6665000000</v>
      </c>
      <c r="Z27" s="259" t="n">
        <v>6059000000</v>
      </c>
      <c r="AA27" s="259" t="n">
        <v>7212000000</v>
      </c>
      <c r="AB27" s="259" t="n">
        <v>7662000000</v>
      </c>
      <c r="AC27" s="259" t="n">
        <v>6767000000</v>
      </c>
      <c r="AD27" s="259" t="n">
        <v>6490000000</v>
      </c>
      <c r="AE27" s="259" t="n">
        <v>6600000000</v>
      </c>
      <c r="AF27" s="259" t="n">
        <v>6275000000</v>
      </c>
      <c r="AG27" s="259" t="n">
        <v>7416000000</v>
      </c>
      <c r="AH27" s="259" t="n">
        <v>6640000000</v>
      </c>
      <c r="AI27" s="259" t="n">
        <v>7468000000</v>
      </c>
      <c r="AJ27" s="259" t="n">
        <v>7168000000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EnergyRelatedInventoryChemicals</t>
        </is>
      </c>
      <c r="J28" t="inlineStr">
        <is>
          <t>fonte</t>
        </is>
      </c>
      <c r="K28" s="259" t="n">
        <v>494000000</v>
      </c>
      <c r="L28" s="259" t="n">
        <v>485000000</v>
      </c>
      <c r="M28" s="259" t="n">
        <v>409000000</v>
      </c>
      <c r="N28" s="259" t="n">
        <v>457000000</v>
      </c>
      <c r="O28" s="259" t="n">
        <v>448000000</v>
      </c>
      <c r="P28" s="259" t="n">
        <v>556000000</v>
      </c>
      <c r="Q28" s="259" t="n">
        <v>621000000</v>
      </c>
      <c r="R28" s="259" t="n">
        <v>565000000</v>
      </c>
      <c r="S28" s="259" t="n">
        <v>547000000</v>
      </c>
      <c r="T28" s="259" t="n">
        <v>616000000</v>
      </c>
      <c r="U28" s="259" t="n">
        <v>668000000</v>
      </c>
      <c r="V28" s="259" t="n">
        <v>515000000</v>
      </c>
      <c r="W28" s="259" t="n">
        <v>553000000</v>
      </c>
      <c r="X28" s="259" t="n">
        <v>516000000</v>
      </c>
      <c r="Y28" s="259" t="n">
        <v>455000000</v>
      </c>
      <c r="Z28" s="259" t="n">
        <v>406000000</v>
      </c>
      <c r="AA28" s="259" t="n">
        <v>411000000</v>
      </c>
      <c r="AB28" s="259" t="n">
        <v>426000000</v>
      </c>
      <c r="AC28" s="259" t="n">
        <v>479000000</v>
      </c>
      <c r="AD28" s="259" t="n">
        <v>502000000</v>
      </c>
      <c r="AE28" s="259" t="n">
        <v>471000000</v>
      </c>
      <c r="AF28" s="259" t="n">
        <v>517000000</v>
      </c>
      <c r="AG28" s="259" t="n">
        <v>509000000</v>
      </c>
      <c r="AH28" s="259" t="n">
        <v>571000000</v>
      </c>
      <c r="AI28" s="259" t="n">
        <v>520000000</v>
      </c>
      <c r="AJ28" s="259" t="n">
        <v>632000000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OtherInventorySupplies</t>
        </is>
      </c>
      <c r="J29" t="inlineStr">
        <is>
          <t>fonte</t>
        </is>
      </c>
      <c r="K29" s="259" t="n">
        <v>1655000000</v>
      </c>
      <c r="L29" s="259" t="n">
        <v>1699000000</v>
      </c>
      <c r="M29" s="259" t="n">
        <v>1684000000</v>
      </c>
      <c r="N29" s="259" t="n">
        <v>1643000000</v>
      </c>
      <c r="O29" s="259" t="n">
        <v>1637000000</v>
      </c>
      <c r="P29" s="259" t="n">
        <v>1590000000</v>
      </c>
      <c r="Q29" s="259" t="n">
        <v>1571000000</v>
      </c>
      <c r="R29" s="259" t="n">
        <v>1492000000</v>
      </c>
      <c r="S29" s="259" t="n">
        <v>1511000000</v>
      </c>
      <c r="T29" s="259" t="n">
        <v>1428000000</v>
      </c>
      <c r="U29" s="259" t="n">
        <v>1417000000</v>
      </c>
      <c r="V29" s="259" t="n">
        <v>1866000000</v>
      </c>
      <c r="W29" s="259" t="n">
        <v>2411000000</v>
      </c>
      <c r="X29" s="259" t="n">
        <v>2284000000</v>
      </c>
      <c r="Y29" s="259" t="n">
        <v>2308000000</v>
      </c>
      <c r="Z29" s="259" t="n">
        <v>2147000000</v>
      </c>
      <c r="AA29" s="259" t="n">
        <v>2319000000</v>
      </c>
      <c r="AB29" s="259" t="n">
        <v>2389000000</v>
      </c>
      <c r="AC29" s="259" t="n">
        <v>2479000000</v>
      </c>
      <c r="AD29" s="259" t="n">
        <v>2082000000</v>
      </c>
      <c r="AE29" s="259" t="n">
        <v>2096000000</v>
      </c>
      <c r="AF29" s="259" t="n">
        <v>2021000000</v>
      </c>
      <c r="AG29" s="259" t="n">
        <v>2511000000</v>
      </c>
      <c r="AH29" s="259" t="n">
        <v>2500000000</v>
      </c>
      <c r="AI29" s="259" t="n">
        <v>2566000000</v>
      </c>
      <c r="AJ29" s="259" t="n">
        <v>2722000000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CashAndCashEquivalentsExcludingTimeDeposits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0</v>
      </c>
      <c r="Z30" s="259" t="n">
        <v>0</v>
      </c>
      <c r="AA30" s="259" t="n">
        <v>0</v>
      </c>
      <c r="AB30" s="259" t="n">
        <v>0</v>
      </c>
      <c r="AC30" s="259" t="n">
        <v>4699000000</v>
      </c>
      <c r="AD30" s="259" t="n">
        <v>6781000000</v>
      </c>
      <c r="AE30" s="259" t="n">
        <v>4638000000</v>
      </c>
      <c r="AF30" s="259" t="n">
        <v>4061000000</v>
      </c>
      <c r="AG30" s="259" t="n">
        <v>7725000000</v>
      </c>
      <c r="AH30" s="259" t="n">
        <v>6293000000</v>
      </c>
      <c r="AI30" s="259" t="n">
        <v>5323000000</v>
      </c>
      <c r="AJ30" s="259" t="n">
        <v>8527000000</v>
      </c>
    </row>
    <row r="31">
      <c r="A31" t="n">
        <v>16</v>
      </c>
      <c r="B31" t="n">
        <v>1</v>
      </c>
      <c r="G31" t="inlineStr">
        <is>
          <t>moeda</t>
        </is>
      </c>
      <c r="H31" t="inlineStr">
        <is>
          <t>TimeDepositsAtCarryingValue</t>
        </is>
      </c>
      <c r="J31" t="inlineStr">
        <is>
          <t>fonte</t>
        </is>
      </c>
      <c r="K31" s="259" t="n">
        <v>0</v>
      </c>
      <c r="L31" s="259" t="n">
        <v>0</v>
      </c>
      <c r="M31" s="259" t="n">
        <v>0</v>
      </c>
      <c r="N31" s="259" t="n">
        <v>0</v>
      </c>
      <c r="O31" s="259" t="n">
        <v>0</v>
      </c>
      <c r="P31" s="259" t="n">
        <v>0</v>
      </c>
      <c r="Q31" s="259" t="n">
        <v>0</v>
      </c>
      <c r="R31" s="259" t="n">
        <v>0</v>
      </c>
      <c r="S31" s="259" t="n">
        <v>0</v>
      </c>
      <c r="T31" s="259" t="n">
        <v>0</v>
      </c>
      <c r="U31" s="259" t="n">
        <v>0</v>
      </c>
      <c r="V31" s="259" t="n">
        <v>0</v>
      </c>
      <c r="W31" s="259" t="n">
        <v>0</v>
      </c>
      <c r="X31" s="259" t="n">
        <v>0</v>
      </c>
      <c r="Y31" s="259" t="n">
        <v>0</v>
      </c>
      <c r="Z31" s="259" t="n">
        <v>0</v>
      </c>
      <c r="AA31" s="259" t="n">
        <v>0</v>
      </c>
      <c r="AB31" s="259" t="n">
        <v>0</v>
      </c>
      <c r="AC31" s="259" t="n">
        <v>4000000</v>
      </c>
      <c r="AD31" s="259" t="n">
        <v>4000000</v>
      </c>
      <c r="AE31" s="259" t="n">
        <v>5000000</v>
      </c>
      <c r="AF31" s="259" t="n">
        <v>5000000</v>
      </c>
      <c r="AG31" s="259" t="n">
        <v>2000000</v>
      </c>
      <c r="AH31" s="259" t="n">
        <v>4000000</v>
      </c>
      <c r="AI31" s="259" t="n">
        <v>4000000</v>
      </c>
      <c r="AJ31" s="259" t="n">
        <v>3000000</v>
      </c>
    </row>
    <row r="32">
      <c r="A32" t="n">
        <v>18</v>
      </c>
      <c r="B32" t="n">
        <v>1</v>
      </c>
      <c r="G32" t="inlineStr">
        <is>
          <t>moeda</t>
        </is>
      </c>
      <c r="H32" t="inlineStr">
        <is>
          <t>PropertyPlantAndEquipmentNet</t>
        </is>
      </c>
      <c r="J32" t="inlineStr">
        <is>
          <t>fonte</t>
        </is>
      </c>
      <c r="K32" s="259" t="n">
        <v>149220000000</v>
      </c>
      <c r="L32" s="259" t="n">
        <v>143850000000</v>
      </c>
      <c r="M32" s="259" t="n">
        <v>142383000000</v>
      </c>
      <c r="N32" s="259" t="n">
        <v>0</v>
      </c>
      <c r="O32" s="259" t="n">
        <v>154003000000</v>
      </c>
      <c r="P32" s="259" t="n">
        <v>151208000000</v>
      </c>
      <c r="Q32" s="259" t="n">
        <v>147945000000</v>
      </c>
      <c r="R32" s="259" t="n">
        <v>0</v>
      </c>
      <c r="S32" s="259" t="n">
        <v>144444000000</v>
      </c>
      <c r="T32" s="259" t="n">
        <v>144410000000</v>
      </c>
      <c r="U32" s="259" t="n">
        <v>144144000000</v>
      </c>
      <c r="V32" s="259" t="n">
        <v>0</v>
      </c>
      <c r="W32" s="259" t="n">
        <v>142951000000</v>
      </c>
      <c r="X32" s="259" t="n">
        <v>142768000000</v>
      </c>
      <c r="Y32" s="259" t="n">
        <v>153972000000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18</v>
      </c>
      <c r="B33" t="n">
        <v>1</v>
      </c>
      <c r="G33" t="inlineStr">
        <is>
          <t>moeda</t>
        </is>
      </c>
      <c r="H33" t="inlineStr">
        <is>
          <t>PropertyPlantAndEquipmentAndFinanceLeaseRightOfUseAssetAfterAccumulatedDepreciationAndAmortization</t>
        </is>
      </c>
      <c r="J33" t="inlineStr">
        <is>
          <t>fonte</t>
        </is>
      </c>
      <c r="K33" s="259" t="n">
        <v>0</v>
      </c>
      <c r="L33" s="259" t="n">
        <v>0</v>
      </c>
      <c r="M33" s="259" t="n">
        <v>0</v>
      </c>
      <c r="N33" s="259" t="n">
        <v>156618000000</v>
      </c>
      <c r="O33" s="259" t="n">
        <v>0</v>
      </c>
      <c r="P33" s="259" t="n">
        <v>0</v>
      </c>
      <c r="Q33" s="259" t="n">
        <v>0</v>
      </c>
      <c r="R33" s="259" t="n">
        <v>146961000000</v>
      </c>
      <c r="S33" s="259" t="n">
        <v>0</v>
      </c>
      <c r="T33" s="259" t="n">
        <v>0</v>
      </c>
      <c r="U33" s="259" t="n">
        <v>0</v>
      </c>
      <c r="V33" s="259" t="n">
        <v>143591000000</v>
      </c>
      <c r="W33" s="259" t="n">
        <v>0</v>
      </c>
      <c r="X33" s="259" t="n">
        <v>0</v>
      </c>
      <c r="Y33" s="259" t="n">
        <v>0</v>
      </c>
      <c r="Z33" s="259" t="n">
        <v>153619000000</v>
      </c>
      <c r="AA33" s="259" t="n">
        <v>153641000000</v>
      </c>
      <c r="AB33" s="259" t="n">
        <v>153003000000</v>
      </c>
      <c r="AC33" s="259" t="n">
        <v>147891000000</v>
      </c>
      <c r="AD33" s="259" t="n">
        <v>147799000000</v>
      </c>
      <c r="AE33" s="259" t="n">
        <v>148124000000</v>
      </c>
      <c r="AF33" s="259" t="n">
        <v>147442000000</v>
      </c>
      <c r="AG33" s="259" t="n">
        <v>219494000000</v>
      </c>
      <c r="AH33" s="259" t="n">
        <v>219729000000</v>
      </c>
      <c r="AI33" s="259" t="n">
        <v>218149000000</v>
      </c>
      <c r="AJ33" s="259" t="n">
        <v>215937000000</v>
      </c>
    </row>
    <row r="34">
      <c r="A34" t="n">
        <v>20</v>
      </c>
      <c r="B34" t="n">
        <v>1</v>
      </c>
      <c r="G34" t="inlineStr">
        <is>
          <t>moeda</t>
        </is>
      </c>
      <c r="H34" t="inlineStr">
        <is>
          <t>Goodwill</t>
        </is>
      </c>
      <c r="J34" t="inlineStr">
        <is>
          <t>fonte</t>
        </is>
      </c>
      <c r="K34" s="259" t="n">
        <v>4454000000</v>
      </c>
      <c r="L34" s="259" t="n">
        <v>4416000000</v>
      </c>
      <c r="M34" s="259" t="n">
        <v>4416000000</v>
      </c>
      <c r="N34" s="259" t="n">
        <v>4402000000</v>
      </c>
      <c r="O34" s="259" t="n">
        <v>4402000000</v>
      </c>
      <c r="P34" s="259" t="n">
        <v>4402000000</v>
      </c>
      <c r="Q34" s="259" t="n">
        <v>4402000000</v>
      </c>
      <c r="R34" s="259" t="n">
        <v>4385000000</v>
      </c>
      <c r="S34" s="259" t="n">
        <v>4374000000</v>
      </c>
      <c r="T34" s="259" t="n">
        <v>4663000000</v>
      </c>
      <c r="U34" s="259" t="n">
        <v>4663000000</v>
      </c>
      <c r="V34" s="259" t="n">
        <v>4722000000</v>
      </c>
      <c r="W34" s="259" t="n">
        <v>4722000000</v>
      </c>
      <c r="X34" s="259" t="n">
        <v>4722000000</v>
      </c>
      <c r="Y34" s="259" t="n">
        <v>4722000000</v>
      </c>
      <c r="Z34" s="259" t="n">
        <v>4722000000</v>
      </c>
      <c r="AA34" s="259" t="n">
        <v>4722000000</v>
      </c>
      <c r="AB34" s="259" t="n">
        <v>4722000000</v>
      </c>
      <c r="AC34" s="259" t="n">
        <v>4722000000</v>
      </c>
      <c r="AD34" s="259" t="n">
        <v>4578000000</v>
      </c>
      <c r="AE34" s="259" t="n">
        <v>4568000000</v>
      </c>
      <c r="AF34" s="259" t="n">
        <v>4568000000</v>
      </c>
      <c r="AG34" s="259" t="n">
        <v>4568000000</v>
      </c>
      <c r="AH34" s="259" t="n">
        <v>4568000000</v>
      </c>
      <c r="AI34" s="259" t="n">
        <v>4568000000</v>
      </c>
      <c r="AJ34" s="259" t="n">
        <v>4568000000</v>
      </c>
    </row>
    <row r="35">
      <c r="A35" t="n">
        <v>22</v>
      </c>
      <c r="B35" t="n">
        <v>1</v>
      </c>
      <c r="G35" t="inlineStr">
        <is>
          <t>moeda</t>
        </is>
      </c>
      <c r="H35" t="inlineStr">
        <is>
          <t>AccountsReceivableNetNoncurrent</t>
        </is>
      </c>
      <c r="J35" t="inlineStr">
        <is>
          <t>fonte</t>
        </is>
      </c>
      <c r="K35" s="259" t="n">
        <v>1243000000</v>
      </c>
      <c r="L35" s="259" t="n">
        <v>812000000</v>
      </c>
      <c r="M35" s="259" t="n">
        <v>780000000</v>
      </c>
      <c r="N35" s="259" t="n">
        <v>589000000</v>
      </c>
      <c r="O35" s="259" t="n">
        <v>571000000</v>
      </c>
      <c r="P35" s="259" t="n">
        <v>566000000</v>
      </c>
      <c r="Q35" s="259" t="n">
        <v>644000000</v>
      </c>
      <c r="R35" s="259" t="n">
        <v>603000000</v>
      </c>
      <c r="S35" s="259" t="n">
        <v>516000000</v>
      </c>
      <c r="T35" s="259" t="n">
        <v>649000000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22</v>
      </c>
      <c r="B36" t="n">
        <v>1</v>
      </c>
      <c r="G36" t="inlineStr">
        <is>
          <t>moeda</t>
        </is>
      </c>
      <c r="H36" t="inlineStr">
        <is>
          <t>InvestmentsInAffiliatesSubsidiariesAssociatesAndJointVentures</t>
        </is>
      </c>
      <c r="J36" t="inlineStr">
        <is>
          <t>fonte</t>
        </is>
      </c>
      <c r="K36" s="259" t="n">
        <v>39693000000</v>
      </c>
      <c r="L36" s="259" t="n">
        <v>37290000000</v>
      </c>
      <c r="M36" s="259" t="n">
        <v>37655000000</v>
      </c>
      <c r="N36" s="259" t="n">
        <v>39052000000</v>
      </c>
      <c r="O36" s="259" t="n">
        <v>39591000000</v>
      </c>
      <c r="P36" s="259" t="n">
        <v>40551000000</v>
      </c>
      <c r="Q36" s="259" t="n">
        <v>41097000000</v>
      </c>
      <c r="R36" s="259" t="n">
        <v>40696000000</v>
      </c>
      <c r="S36" s="259" t="n">
        <v>41732000000</v>
      </c>
      <c r="T36" s="259" t="n">
        <v>43557000000</v>
      </c>
      <c r="U36" s="259" t="n">
        <v>45154000000</v>
      </c>
      <c r="V36" s="259" t="n">
        <v>45238000000</v>
      </c>
      <c r="W36" s="259" t="n">
        <v>46248000000</v>
      </c>
      <c r="X36" s="259" t="n">
        <v>46769000000</v>
      </c>
      <c r="Y36" s="259" t="n">
        <v>48123000000</v>
      </c>
      <c r="Z36" s="259" t="n">
        <v>46812000000</v>
      </c>
      <c r="AA36" s="259" t="n">
        <v>47650000000</v>
      </c>
      <c r="AB36" s="259" t="n">
        <v>47654000000</v>
      </c>
      <c r="AC36" s="259" t="n">
        <v>47476000000</v>
      </c>
      <c r="AD36" s="259" t="n">
        <v>47438000000</v>
      </c>
      <c r="AE36" s="259" t="n">
        <v>49150000000</v>
      </c>
      <c r="AF36" s="259" t="n">
        <v>48033000000</v>
      </c>
      <c r="AG36" s="259" t="n">
        <v>44398000000</v>
      </c>
      <c r="AH36" s="259" t="n">
        <v>43867000000</v>
      </c>
      <c r="AI36" s="259" t="n">
        <v>43227000000</v>
      </c>
      <c r="AJ36" s="259" t="n">
        <v>42346000000</v>
      </c>
    </row>
    <row r="37">
      <c r="A37" t="n">
        <v>22</v>
      </c>
      <c r="B37" t="n">
        <v>1</v>
      </c>
      <c r="G37" t="inlineStr">
        <is>
          <t>moeda</t>
        </is>
      </c>
      <c r="H37" t="inlineStr">
        <is>
          <t>OtherAssetsNoncurrent</t>
        </is>
      </c>
      <c r="J37" t="inlineStr">
        <is>
          <t>fonte</t>
        </is>
      </c>
      <c r="K37" s="259" t="n">
        <v>10516000000</v>
      </c>
      <c r="L37" s="259" t="n">
        <v>11511000000</v>
      </c>
      <c r="M37" s="259" t="n">
        <v>11227000000</v>
      </c>
      <c r="N37" s="259" t="n">
        <v>11950000000</v>
      </c>
      <c r="O37" s="259" t="n">
        <v>11530000000</v>
      </c>
      <c r="P37" s="259" t="n">
        <v>11744000000</v>
      </c>
      <c r="Q37" s="259" t="n">
        <v>11743000000</v>
      </c>
      <c r="R37" s="259" t="n">
        <v>12384000000</v>
      </c>
      <c r="S37" s="259" t="n">
        <v>12502000000</v>
      </c>
      <c r="T37" s="259" t="n">
        <v>12647000000</v>
      </c>
      <c r="U37" s="259" t="n">
        <v>12748000000</v>
      </c>
      <c r="V37" s="259" t="n">
        <v>12310000000</v>
      </c>
      <c r="W37" s="259" t="n">
        <v>12146000000</v>
      </c>
      <c r="X37" s="259" t="n">
        <v>12820000000</v>
      </c>
      <c r="Y37" s="259" t="n">
        <v>13672000000</v>
      </c>
      <c r="Z37" s="259" t="n">
        <v>13734000000</v>
      </c>
      <c r="AA37" s="259" t="n">
        <v>13582000000</v>
      </c>
      <c r="AB37" s="259" t="n">
        <v>13913000000</v>
      </c>
      <c r="AC37" s="259" t="n">
        <v>14039000000</v>
      </c>
      <c r="AD37" s="259" t="n">
        <v>14854000000</v>
      </c>
      <c r="AE37" s="259" t="n">
        <v>15011000000</v>
      </c>
      <c r="AF37" s="259" t="n">
        <v>15144000000</v>
      </c>
      <c r="AG37" s="259" t="n">
        <v>16162000000</v>
      </c>
      <c r="AH37" s="259" t="n">
        <v>16236000000</v>
      </c>
      <c r="AI37" s="259" t="n">
        <v>16453000000</v>
      </c>
      <c r="AJ37" s="259" t="n">
        <v>16465000000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DisposalGroupIncludingDiscontinuedOperationPropertyPlantAndEquipment</t>
        </is>
      </c>
      <c r="J38" t="inlineStr">
        <is>
          <t>fonte</t>
        </is>
      </c>
      <c r="K38" s="259" t="n">
        <v>2989000000</v>
      </c>
      <c r="L38" s="259" t="n">
        <v>1792000000</v>
      </c>
      <c r="M38" s="259" t="n">
        <v>1799000000</v>
      </c>
      <c r="N38" s="259" t="n">
        <v>1101000000</v>
      </c>
      <c r="O38" s="259" t="n">
        <v>1115000000</v>
      </c>
      <c r="P38" s="259" t="n">
        <v>1362000000</v>
      </c>
      <c r="Q38" s="259" t="n">
        <v>1980000000</v>
      </c>
      <c r="R38" s="259" t="n">
        <v>768000000</v>
      </c>
      <c r="S38" s="259" t="n">
        <v>771000000</v>
      </c>
      <c r="T38" s="259" t="n">
        <v>822000000</v>
      </c>
      <c r="U38" s="259" t="n">
        <v>424000000</v>
      </c>
      <c r="V38" s="259" t="n">
        <v>436000000</v>
      </c>
      <c r="W38" s="259" t="n">
        <v>432000000</v>
      </c>
      <c r="X38" s="259" t="n">
        <v>970000000</v>
      </c>
      <c r="Y38" s="259" t="n">
        <v>651000000</v>
      </c>
      <c r="Z38" s="259" t="n">
        <v>675000000</v>
      </c>
      <c r="AA38" s="259" t="n">
        <v>580000000</v>
      </c>
      <c r="AB38" s="259" t="n">
        <v>1009000000</v>
      </c>
      <c r="AC38" s="259" t="n">
        <v>5975000000</v>
      </c>
      <c r="AD38" s="259" t="n">
        <v>481000000</v>
      </c>
      <c r="AE38" s="259" t="n">
        <v>28000000</v>
      </c>
      <c r="AF38" s="259" t="n">
        <v>28000000</v>
      </c>
      <c r="AG38" s="259" t="n">
        <v>26000000</v>
      </c>
      <c r="AH38" s="259" t="n">
        <v>25000000</v>
      </c>
      <c r="AI38" s="259" t="n">
        <v>18000000</v>
      </c>
      <c r="AJ38" s="259" t="n">
        <v>780000000</v>
      </c>
    </row>
    <row r="39">
      <c r="A39" t="n">
        <v>22</v>
      </c>
      <c r="B39" t="n">
        <v>1</v>
      </c>
      <c r="G39" t="inlineStr">
        <is>
          <t>moeda</t>
        </is>
      </c>
      <c r="H39" t="inlineStr">
        <is>
          <t>AccountsReceivableExcludingAccruedInterestAfterAllowanceForCreditLossNoncurrent</t>
        </is>
      </c>
      <c r="J39" t="inlineStr">
        <is>
          <t>fonte</t>
        </is>
      </c>
      <c r="K39" s="259" t="n">
        <v>0</v>
      </c>
      <c r="L39" s="259" t="n">
        <v>0</v>
      </c>
      <c r="M39" s="259" t="n">
        <v>0</v>
      </c>
      <c r="N39" s="259" t="n">
        <v>0</v>
      </c>
      <c r="O39" s="259" t="n">
        <v>0</v>
      </c>
      <c r="P39" s="259" t="n">
        <v>0</v>
      </c>
      <c r="Q39" s="259" t="n">
        <v>0</v>
      </c>
      <c r="R39" s="259" t="n">
        <v>0</v>
      </c>
      <c r="S39" s="259" t="n">
        <v>0</v>
      </c>
      <c r="T39" s="259" t="n">
        <v>0</v>
      </c>
      <c r="U39" s="259" t="n">
        <v>1099000000</v>
      </c>
      <c r="V39" s="259" t="n">
        <v>1069000000</v>
      </c>
      <c r="W39" s="259" t="n">
        <v>1036000000</v>
      </c>
      <c r="X39" s="259" t="n">
        <v>940000000</v>
      </c>
      <c r="Y39" s="259" t="n">
        <v>1055000000</v>
      </c>
      <c r="Z39" s="259" t="n">
        <v>942000000</v>
      </c>
      <c r="AA39" s="259" t="n">
        <v>968000000</v>
      </c>
      <c r="AB39" s="259" t="n">
        <v>974000000</v>
      </c>
      <c r="AC39" s="259" t="n">
        <v>942000000</v>
      </c>
      <c r="AD39" s="259" t="n">
        <v>877000000</v>
      </c>
      <c r="AE39" s="259" t="n">
        <v>942000000</v>
      </c>
      <c r="AF39" s="259" t="n">
        <v>914000000</v>
      </c>
      <c r="AG39" s="259" t="n">
        <v>987000000</v>
      </c>
      <c r="AH39" s="259" t="n">
        <v>1035000000</v>
      </c>
      <c r="AI39" s="259" t="n">
        <v>976000000</v>
      </c>
      <c r="AJ39" s="259" t="n">
        <v>903000000</v>
      </c>
    </row>
    <row r="40">
      <c r="A40" t="n">
        <v>23</v>
      </c>
      <c r="B40" t="n">
        <v>1</v>
      </c>
      <c r="G40" t="inlineStr">
        <is>
          <t>moeda</t>
        </is>
      </c>
      <c r="H40" t="inlineStr">
        <is>
          <t>AccountsPayableCurrent</t>
        </is>
      </c>
      <c r="J40" t="inlineStr">
        <is>
          <t>fonte</t>
        </is>
      </c>
      <c r="K40" s="259" t="n">
        <v>11006000000</v>
      </c>
      <c r="L40" s="259" t="n">
        <v>8250000000</v>
      </c>
      <c r="M40" s="259" t="n">
        <v>9537000000</v>
      </c>
      <c r="N40" s="259" t="n">
        <v>10950000000</v>
      </c>
      <c r="O40" s="259" t="n">
        <v>12858000000</v>
      </c>
      <c r="P40" s="259" t="n">
        <v>14719000000</v>
      </c>
      <c r="Q40" s="259" t="n">
        <v>15308000000</v>
      </c>
      <c r="R40" s="259" t="n">
        <v>16454000000</v>
      </c>
      <c r="S40" s="259" t="n">
        <v>20137000000</v>
      </c>
      <c r="T40" s="259" t="n">
        <v>24906000000</v>
      </c>
      <c r="U40" s="259" t="n">
        <v>21699000000</v>
      </c>
      <c r="V40" s="259" t="n">
        <v>18955000000</v>
      </c>
      <c r="W40" s="259" t="n">
        <v>17942000000</v>
      </c>
      <c r="X40" s="259" t="n">
        <v>18656000000</v>
      </c>
      <c r="Y40" s="259" t="n">
        <v>21649000000</v>
      </c>
      <c r="Z40" s="259" t="n">
        <v>20423000000</v>
      </c>
      <c r="AA40" s="259" t="n">
        <v>21257000000</v>
      </c>
      <c r="AB40" s="259" t="n">
        <v>21007000000</v>
      </c>
      <c r="AC40" s="259" t="n">
        <v>20037000000</v>
      </c>
      <c r="AD40" s="259" t="n">
        <v>22079000000</v>
      </c>
      <c r="AE40" s="259" t="n">
        <v>20878000000</v>
      </c>
      <c r="AF40" s="259" t="n">
        <v>18609000000</v>
      </c>
      <c r="AG40" s="259" t="n">
        <v>19073000000</v>
      </c>
      <c r="AH40" s="259" t="n">
        <v>19280000000</v>
      </c>
      <c r="AI40" s="259" t="n">
        <v>23181000000</v>
      </c>
      <c r="AJ40" s="259" t="n">
        <v>24419000000</v>
      </c>
    </row>
    <row r="41">
      <c r="A41" t="n">
        <v>24</v>
      </c>
      <c r="B41" t="n">
        <v>1</v>
      </c>
      <c r="G41" t="inlineStr">
        <is>
          <t>moeda</t>
        </is>
      </c>
      <c r="H41" t="inlineStr">
        <is>
          <t>AccruedLiabilitiesCurrent</t>
        </is>
      </c>
      <c r="J41" t="inlineStr">
        <is>
          <t>fonte</t>
        </is>
      </c>
      <c r="K41" s="259" t="n">
        <v>6263000000</v>
      </c>
      <c r="L41" s="259" t="n">
        <v>7405000000</v>
      </c>
      <c r="M41" s="259" t="n">
        <v>7944000000</v>
      </c>
      <c r="N41" s="259" t="n">
        <v>7812000000</v>
      </c>
      <c r="O41" s="259" t="n">
        <v>7557000000</v>
      </c>
      <c r="P41" s="259" t="n">
        <v>7680000000</v>
      </c>
      <c r="Q41" s="259" t="n">
        <v>6938000000</v>
      </c>
      <c r="R41" s="259" t="n">
        <v>6972000000</v>
      </c>
      <c r="S41" s="259" t="n">
        <v>6974000000</v>
      </c>
      <c r="T41" s="259" t="n">
        <v>6710000000</v>
      </c>
      <c r="U41" s="259" t="n">
        <v>7181000000</v>
      </c>
      <c r="V41" s="259" t="n">
        <v>7486000000</v>
      </c>
      <c r="W41" s="259" t="n">
        <v>6658000000</v>
      </c>
      <c r="X41" s="259" t="n">
        <v>7262000000</v>
      </c>
      <c r="Y41" s="259" t="n">
        <v>7618000000</v>
      </c>
      <c r="Z41" s="259" t="n">
        <v>7655000000</v>
      </c>
      <c r="AA41" s="259" t="n">
        <v>7777000000</v>
      </c>
      <c r="AB41" s="259" t="n">
        <v>9054000000</v>
      </c>
      <c r="AC41" s="259" t="n">
        <v>8313000000</v>
      </c>
      <c r="AD41" s="259" t="n">
        <v>8486000000</v>
      </c>
      <c r="AE41" s="259" t="n">
        <v>8374000000</v>
      </c>
      <c r="AF41" s="259" t="n">
        <v>8117000000</v>
      </c>
      <c r="AG41" s="259" t="n">
        <v>10541000000</v>
      </c>
      <c r="AH41" s="259" t="n">
        <v>10763000000</v>
      </c>
      <c r="AI41" s="259" t="n">
        <v>10349000000</v>
      </c>
      <c r="AJ41" s="259" t="n">
        <v>10840000000</v>
      </c>
    </row>
    <row r="42">
      <c r="A42" t="n">
        <v>25</v>
      </c>
      <c r="B42" t="n">
        <v>1</v>
      </c>
      <c r="G42" t="inlineStr">
        <is>
          <t>moeda</t>
        </is>
      </c>
      <c r="H42" t="inlineStr">
        <is>
          <t>AccruedIncomeTaxesCurrent</t>
        </is>
      </c>
      <c r="J42" t="inlineStr">
        <is>
          <t>fonte</t>
        </is>
      </c>
      <c r="K42" s="259" t="n">
        <v>1534000000</v>
      </c>
      <c r="L42" s="259" t="n">
        <v>628000000</v>
      </c>
      <c r="M42" s="259" t="n">
        <v>788000000</v>
      </c>
      <c r="N42" s="259" t="n">
        <v>921000000</v>
      </c>
      <c r="O42" s="259" t="n">
        <v>1315000000</v>
      </c>
      <c r="P42" s="259" t="n">
        <v>1212000000</v>
      </c>
      <c r="Q42" s="259" t="n">
        <v>1467000000</v>
      </c>
      <c r="R42" s="259" t="n">
        <v>1700000000</v>
      </c>
      <c r="S42" s="259" t="n">
        <v>2573000000</v>
      </c>
      <c r="T42" s="259" t="n">
        <v>2922000000</v>
      </c>
      <c r="U42" s="259" t="n">
        <v>4020000000</v>
      </c>
      <c r="V42" s="259" t="n">
        <v>4381000000</v>
      </c>
      <c r="W42" s="259" t="n">
        <v>4883000000</v>
      </c>
      <c r="X42" s="259" t="n">
        <v>1548000000</v>
      </c>
      <c r="Y42" s="259" t="n">
        <v>1927000000</v>
      </c>
      <c r="Z42" s="259" t="n">
        <v>1863000000</v>
      </c>
      <c r="AA42" s="259" t="n">
        <v>2001000000</v>
      </c>
      <c r="AB42" s="259" t="n">
        <v>893000000</v>
      </c>
      <c r="AC42" s="259" t="n">
        <v>702000000</v>
      </c>
      <c r="AD42" s="259" t="n">
        <v>1872000000</v>
      </c>
      <c r="AE42" s="259" t="n">
        <v>842000000</v>
      </c>
      <c r="AF42" s="259" t="n">
        <v>659000000</v>
      </c>
      <c r="AG42" s="259" t="n">
        <v>914000000</v>
      </c>
      <c r="AH42" s="259" t="n">
        <v>844000000</v>
      </c>
      <c r="AI42" s="259" t="n">
        <v>1312000000</v>
      </c>
      <c r="AJ42" s="259" t="n">
        <v>2204000000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AccrualForTaxesOtherThanIncomeTaxesCurrent</t>
        </is>
      </c>
      <c r="J43" t="inlineStr">
        <is>
          <t>fonte</t>
        </is>
      </c>
      <c r="K43" s="259" t="n">
        <v>744000000</v>
      </c>
      <c r="L43" s="259" t="n">
        <v>791000000</v>
      </c>
      <c r="M43" s="259" t="n">
        <v>865000000</v>
      </c>
      <c r="N43" s="259" t="n">
        <v>952000000</v>
      </c>
      <c r="O43" s="259" t="n">
        <v>909000000</v>
      </c>
      <c r="P43" s="259" t="n">
        <v>1039000000</v>
      </c>
      <c r="Q43" s="259" t="n">
        <v>1184000000</v>
      </c>
      <c r="R43" s="259" t="n">
        <v>1409000000</v>
      </c>
      <c r="S43" s="259" t="n">
        <v>1205000000</v>
      </c>
      <c r="T43" s="259" t="n">
        <v>1353000000</v>
      </c>
      <c r="U43" s="259" t="n">
        <v>1762000000</v>
      </c>
      <c r="V43" s="259" t="n">
        <v>1422000000</v>
      </c>
      <c r="W43" s="259" t="n">
        <v>1321000000</v>
      </c>
      <c r="X43" s="259" t="n">
        <v>1112000000</v>
      </c>
      <c r="Y43" s="259" t="n">
        <v>1629000000</v>
      </c>
      <c r="Z43" s="259" t="n">
        <v>1788000000</v>
      </c>
      <c r="AA43" s="259" t="n">
        <v>1623000000</v>
      </c>
      <c r="AB43" s="259" t="n">
        <v>1338000000</v>
      </c>
      <c r="AC43" s="259" t="n">
        <v>1522000000</v>
      </c>
      <c r="AD43" s="259" t="n">
        <v>1715000000</v>
      </c>
      <c r="AE43" s="259" t="n">
        <v>1532000000</v>
      </c>
      <c r="AF43" s="259" t="n">
        <v>1251000000</v>
      </c>
      <c r="AG43" s="259" t="n">
        <v>1353000000</v>
      </c>
      <c r="AH43" s="259" t="n">
        <v>1523000000</v>
      </c>
      <c r="AI43" s="259" t="n">
        <v>1506000000</v>
      </c>
      <c r="AJ43" s="259" t="n">
        <v>1377000000</v>
      </c>
    </row>
    <row r="44">
      <c r="A44" t="n">
        <v>27</v>
      </c>
      <c r="B44" t="n">
        <v>1</v>
      </c>
      <c r="G44" t="inlineStr">
        <is>
          <t>moeda</t>
        </is>
      </c>
      <c r="H44" t="inlineStr">
        <is>
          <t>ShortTermBorrowings</t>
        </is>
      </c>
      <c r="J44" t="inlineStr">
        <is>
          <t>fonte</t>
        </is>
      </c>
      <c r="K44" s="259" t="n">
        <v>8688000000</v>
      </c>
      <c r="L44" s="259" t="n">
        <v>3751000000</v>
      </c>
      <c r="M44" s="259" t="n">
        <v>530000000</v>
      </c>
      <c r="N44" s="259" t="n">
        <v>1548000000</v>
      </c>
      <c r="O44" s="259" t="n">
        <v>4841000000</v>
      </c>
      <c r="P44" s="259" t="n">
        <v>3497000000</v>
      </c>
      <c r="Q44" s="259" t="n">
        <v>291000000</v>
      </c>
      <c r="R44" s="259" t="n">
        <v>256000000</v>
      </c>
      <c r="S44" s="259" t="n">
        <v>314000000</v>
      </c>
      <c r="T44" s="259" t="n">
        <v>3230000000</v>
      </c>
      <c r="U44" s="259" t="n">
        <v>2221000000</v>
      </c>
      <c r="V44" s="259" t="n">
        <v>1964000000</v>
      </c>
      <c r="W44" s="259" t="n">
        <v>2931000000</v>
      </c>
      <c r="X44" s="259" t="n">
        <v>1269000000</v>
      </c>
      <c r="Y44" s="259" t="n">
        <v>440000000</v>
      </c>
      <c r="Z44" s="259" t="n">
        <v>529000000</v>
      </c>
      <c r="AA44" s="259" t="n">
        <v>282000000</v>
      </c>
      <c r="AB44" s="259" t="n">
        <v>1735000000</v>
      </c>
      <c r="AC44" s="259" t="n">
        <v>5144000000</v>
      </c>
      <c r="AD44" s="259" t="n">
        <v>4406000000</v>
      </c>
      <c r="AE44" s="259" t="n">
        <v>4076000000</v>
      </c>
      <c r="AF44" s="259" t="n">
        <v>6191000000</v>
      </c>
      <c r="AG44" s="259" t="n">
        <v>3591000000</v>
      </c>
      <c r="AH44" s="259" t="n">
        <v>977000000</v>
      </c>
      <c r="AI44" s="259" t="n">
        <v>5828000000</v>
      </c>
      <c r="AJ44" s="259" t="n">
        <v>401000000</v>
      </c>
    </row>
    <row r="45">
      <c r="A45" t="n">
        <v>33</v>
      </c>
      <c r="B45" t="n">
        <v>1</v>
      </c>
      <c r="G45" t="inlineStr">
        <is>
          <t>moeda</t>
        </is>
      </c>
      <c r="H45" t="inlineStr">
        <is>
          <t>DeferredIncomeTaxLiabilitiesNet</t>
        </is>
      </c>
      <c r="J45" t="inlineStr">
        <is>
          <t>fonte</t>
        </is>
      </c>
      <c r="K45" s="259" t="n">
        <v>13457000000</v>
      </c>
      <c r="L45" s="259" t="n">
        <v>11110000000</v>
      </c>
      <c r="M45" s="259" t="n">
        <v>10625000000</v>
      </c>
      <c r="N45" s="259" t="n">
        <v>12569000000</v>
      </c>
      <c r="O45" s="259" t="n">
        <v>12474000000</v>
      </c>
      <c r="P45" s="259" t="n">
        <v>13140000000</v>
      </c>
      <c r="Q45" s="259" t="n">
        <v>13546000000</v>
      </c>
      <c r="R45" s="259" t="n">
        <v>14665000000</v>
      </c>
      <c r="S45" s="259" t="n">
        <v>15526000000</v>
      </c>
      <c r="T45" s="259" t="n">
        <v>15942000000</v>
      </c>
      <c r="U45" s="259" t="n">
        <v>16616000000</v>
      </c>
      <c r="V45" s="259" t="n">
        <v>17131000000</v>
      </c>
      <c r="W45" s="259" t="n">
        <v>17736000000</v>
      </c>
      <c r="X45" s="259" t="n">
        <v>18451000000</v>
      </c>
      <c r="Y45" s="259" t="n">
        <v>19637000000</v>
      </c>
      <c r="Z45" s="259" t="n">
        <v>18830000000</v>
      </c>
      <c r="AA45" s="259" t="n">
        <v>19106000000</v>
      </c>
      <c r="AB45" s="259" t="n">
        <v>19509000000</v>
      </c>
      <c r="AC45" s="259" t="n">
        <v>19899000000</v>
      </c>
      <c r="AD45" s="259" t="n">
        <v>19137000000</v>
      </c>
      <c r="AE45" s="259" t="n">
        <v>19594000000</v>
      </c>
      <c r="AF45" s="259" t="n">
        <v>19708000000</v>
      </c>
      <c r="AG45" s="259" t="n">
        <v>29796000000</v>
      </c>
      <c r="AH45" s="259" t="n">
        <v>30014000000</v>
      </c>
      <c r="AI45" s="259" t="n">
        <v>29945000000</v>
      </c>
      <c r="AJ45" s="259" t="n">
        <v>30338000000</v>
      </c>
    </row>
    <row r="46">
      <c r="A46" t="n">
        <v>34</v>
      </c>
      <c r="B46" t="n">
        <v>1</v>
      </c>
      <c r="G46" t="inlineStr">
        <is>
          <t>moeda</t>
        </is>
      </c>
      <c r="H46" t="inlineStr">
        <is>
          <t>LongTermDebtAndCapitalLeaseObligationsIncludingCurrentMaturities</t>
        </is>
      </c>
      <c r="J46" t="inlineStr">
        <is>
          <t>fonte</t>
        </is>
      </c>
      <c r="K46" s="259" t="n">
        <v>23663000000</v>
      </c>
      <c r="L46" s="259" t="n">
        <v>30302000000</v>
      </c>
      <c r="M46" s="259" t="n">
        <v>34280000000</v>
      </c>
      <c r="N46" s="259" t="n">
        <v>42767000000</v>
      </c>
      <c r="O46" s="259" t="n">
        <v>40599000000</v>
      </c>
      <c r="P46" s="259" t="n">
        <v>39521000000</v>
      </c>
      <c r="Q46" s="259" t="n">
        <v>37056000000</v>
      </c>
      <c r="R46" s="259" t="n">
        <v>31113000000</v>
      </c>
      <c r="S46" s="259" t="n">
        <v>29019000000</v>
      </c>
      <c r="T46" s="259" t="n">
        <v>23005000000</v>
      </c>
      <c r="U46" s="259" t="n">
        <v>21420000000</v>
      </c>
      <c r="V46" s="259" t="n">
        <v>21375000000</v>
      </c>
      <c r="W46" s="259" t="n">
        <v>20275000000</v>
      </c>
      <c r="X46" s="259" t="n">
        <v>20245000000</v>
      </c>
      <c r="Y46" s="259" t="n">
        <v>20119000000</v>
      </c>
      <c r="Z46" s="259" t="n">
        <v>20307000000</v>
      </c>
      <c r="AA46" s="259" t="n">
        <v>21553000000</v>
      </c>
      <c r="AB46" s="259" t="n">
        <v>21449000000</v>
      </c>
      <c r="AC46" s="259" t="n">
        <v>20697000000</v>
      </c>
      <c r="AD46" s="259" t="n">
        <v>20135000000</v>
      </c>
      <c r="AE46" s="259" t="n">
        <v>25605000000</v>
      </c>
      <c r="AF46" s="259" t="n">
        <v>23276000000</v>
      </c>
      <c r="AG46" s="259" t="n">
        <v>37953000000</v>
      </c>
      <c r="AH46" s="259" t="n">
        <v>39781000000</v>
      </c>
      <c r="AI46" s="259" t="n">
        <v>39600000000</v>
      </c>
      <c r="AJ46" s="259" t="n">
        <v>36674000000</v>
      </c>
    </row>
    <row r="47">
      <c r="A47" t="n">
        <v>34</v>
      </c>
      <c r="B47" t="n">
        <v>1</v>
      </c>
      <c r="G47" t="inlineStr">
        <is>
          <t>moeda</t>
        </is>
      </c>
      <c r="H47" t="inlineStr">
        <is>
          <t>ContractWithCustomerLiabilityAndOtherNoncurrentLiability</t>
        </is>
      </c>
      <c r="J47" t="inlineStr">
        <is>
          <t>fonte</t>
        </is>
      </c>
      <c r="K47" s="259" t="n">
        <v>18677000000</v>
      </c>
      <c r="L47" s="259" t="n">
        <v>19291000000</v>
      </c>
      <c r="M47" s="259" t="n">
        <v>19267000000</v>
      </c>
      <c r="N47" s="259" t="n">
        <v>20328000000</v>
      </c>
      <c r="O47" s="259" t="n">
        <v>20139000000</v>
      </c>
      <c r="P47" s="259" t="n">
        <v>20437000000</v>
      </c>
      <c r="Q47" s="259" t="n">
        <v>20298000000</v>
      </c>
      <c r="R47" s="259" t="n">
        <v>20778000000</v>
      </c>
      <c r="S47" s="259" t="n">
        <v>20273000000</v>
      </c>
      <c r="T47" s="259" t="n">
        <v>19722000000</v>
      </c>
      <c r="U47" s="259" t="n">
        <v>20005000000</v>
      </c>
      <c r="V47" s="259" t="n">
        <v>20396000000</v>
      </c>
      <c r="W47" s="259" t="n">
        <v>19606000000</v>
      </c>
      <c r="X47" s="259" t="n">
        <v>19980000000</v>
      </c>
      <c r="Y47" s="259" t="n">
        <v>20884000000</v>
      </c>
      <c r="Z47" s="259" t="n">
        <v>24226000000</v>
      </c>
      <c r="AA47" s="259" t="n">
        <v>22448000000</v>
      </c>
      <c r="AB47" s="259" t="n">
        <v>21454000000</v>
      </c>
      <c r="AC47" s="259" t="n">
        <v>21955000000</v>
      </c>
      <c r="AD47" s="259" t="n">
        <v>22094000000</v>
      </c>
      <c r="AE47" s="259" t="n">
        <v>21610000000</v>
      </c>
      <c r="AF47" s="259" t="n">
        <v>21893000000</v>
      </c>
      <c r="AG47" s="259" t="n">
        <v>23592000000</v>
      </c>
      <c r="AH47" s="259" t="n">
        <v>24543000000</v>
      </c>
      <c r="AI47" s="259" t="n">
        <v>24536000000</v>
      </c>
      <c r="AJ47" s="259" t="n">
        <v>24392000000</v>
      </c>
    </row>
    <row r="48">
      <c r="A48" t="n">
        <v>34</v>
      </c>
      <c r="B48" t="n">
        <v>1</v>
      </c>
      <c r="G48" t="inlineStr">
        <is>
          <t>moeda</t>
        </is>
      </c>
      <c r="H48" t="inlineStr">
        <is>
          <t>PensionAndOtherPostretirementDefinedBenefitPlansLiabilitiesNoncurrent</t>
        </is>
      </c>
      <c r="J48" t="inlineStr">
        <is>
          <t>fonte</t>
        </is>
      </c>
      <c r="K48" s="259" t="n">
        <v>7731000000</v>
      </c>
      <c r="L48" s="259" t="n">
        <v>7489000000</v>
      </c>
      <c r="M48" s="259" t="n">
        <v>7189000000</v>
      </c>
      <c r="N48" s="259" t="n">
        <v>9217000000</v>
      </c>
      <c r="O48" s="259" t="n">
        <v>8020000000</v>
      </c>
      <c r="P48" s="259" t="n">
        <v>7650000000</v>
      </c>
      <c r="Q48" s="259" t="n">
        <v>7138000000</v>
      </c>
      <c r="R48" s="259" t="n">
        <v>6248000000</v>
      </c>
      <c r="S48" s="259" t="n">
        <v>5927000000</v>
      </c>
      <c r="T48" s="259" t="n">
        <v>5584000000</v>
      </c>
      <c r="U48" s="259" t="n">
        <v>5184000000</v>
      </c>
      <c r="V48" s="259" t="n">
        <v>4357000000</v>
      </c>
      <c r="W48" s="259" t="n">
        <v>4100000000</v>
      </c>
      <c r="X48" s="259" t="n">
        <v>3958000000</v>
      </c>
      <c r="Y48" s="259" t="n">
        <v>3776000000</v>
      </c>
      <c r="Z48" s="259" t="n">
        <v>4082000000</v>
      </c>
      <c r="AA48" s="259" t="n">
        <v>3948000000</v>
      </c>
      <c r="AB48" s="259" t="n">
        <v>3942000000</v>
      </c>
      <c r="AC48" s="259" t="n">
        <v>3933000000</v>
      </c>
      <c r="AD48" s="259" t="n">
        <v>3857000000</v>
      </c>
      <c r="AE48" s="259" t="n">
        <v>3806000000</v>
      </c>
      <c r="AF48" s="259" t="n">
        <v>3858000000</v>
      </c>
      <c r="AG48" s="259" t="n">
        <v>4088000000</v>
      </c>
      <c r="AH48" s="259" t="n">
        <v>4111000000</v>
      </c>
      <c r="AI48" s="259" t="n">
        <v>3923000000</v>
      </c>
      <c r="AJ48" s="259" t="n">
        <v>3932000000</v>
      </c>
    </row>
    <row r="49">
      <c r="A49" t="n">
        <v>35</v>
      </c>
      <c r="B49" t="n">
        <v>1</v>
      </c>
      <c r="G49" t="inlineStr">
        <is>
          <t>moeda</t>
        </is>
      </c>
      <c r="H49" t="inlineStr">
        <is>
          <t>MinorityInterest</t>
        </is>
      </c>
      <c r="J49" t="inlineStr">
        <is>
          <t>fonte</t>
        </is>
      </c>
      <c r="K49" s="259" t="n">
        <v>984000000</v>
      </c>
      <c r="L49" s="259" t="n">
        <v>268000000</v>
      </c>
      <c r="M49" s="259" t="n">
        <v>264000000</v>
      </c>
      <c r="N49" s="259" t="n">
        <v>1038000000</v>
      </c>
      <c r="O49" s="259" t="n">
        <v>1045000000</v>
      </c>
      <c r="P49" s="259" t="n">
        <v>729000000</v>
      </c>
      <c r="Q49" s="259" t="n">
        <v>860000000</v>
      </c>
      <c r="R49" s="259" t="n">
        <v>873000000</v>
      </c>
      <c r="S49" s="259" t="n">
        <v>881000000</v>
      </c>
      <c r="T49" s="259" t="n">
        <v>1008000000</v>
      </c>
      <c r="U49" s="259" t="n">
        <v>947000000</v>
      </c>
      <c r="V49" s="259" t="n">
        <v>960000000</v>
      </c>
      <c r="W49" s="259" t="n">
        <v>985000000</v>
      </c>
      <c r="X49" s="259" t="n">
        <v>973000000</v>
      </c>
      <c r="Y49" s="259" t="n">
        <v>983000000</v>
      </c>
      <c r="Z49" s="259" t="n">
        <v>972000000</v>
      </c>
      <c r="AA49" s="259" t="n">
        <v>1031000000</v>
      </c>
      <c r="AB49" s="259" t="n">
        <v>1030000000</v>
      </c>
      <c r="AC49" s="259" t="n">
        <v>828000000</v>
      </c>
      <c r="AD49" s="259" t="n">
        <v>839000000</v>
      </c>
      <c r="AE49" s="259" t="n">
        <v>836000000</v>
      </c>
      <c r="AF49" s="259" t="n">
        <v>841000000</v>
      </c>
      <c r="AG49" s="259" t="n">
        <v>5757000000</v>
      </c>
      <c r="AH49" s="259" t="n">
        <v>5726000000</v>
      </c>
      <c r="AI49" s="259" t="n">
        <v>5656000000</v>
      </c>
      <c r="AJ49" s="259" t="n">
        <v>5675000000</v>
      </c>
    </row>
    <row r="50">
      <c r="A50" t="n">
        <v>35</v>
      </c>
      <c r="B50" t="n">
        <v>1</v>
      </c>
      <c r="G50" t="inlineStr">
        <is>
          <t>moeda</t>
        </is>
      </c>
      <c r="H50" t="inlineStr">
        <is>
          <t>RedeemableNoncontrollingInterestEquityCarryingAmount</t>
        </is>
      </c>
      <c r="J50" t="inlineStr">
        <is>
          <t>fonte</t>
        </is>
      </c>
      <c r="K50" s="259" t="n">
        <v>0</v>
      </c>
      <c r="L50" s="259" t="n">
        <v>0</v>
      </c>
      <c r="M50" s="259" t="n">
        <v>0</v>
      </c>
      <c r="N50" s="259" t="n">
        <v>120000000</v>
      </c>
      <c r="O50" s="259" t="n">
        <v>123000000</v>
      </c>
      <c r="P50" s="259" t="n">
        <v>127000000</v>
      </c>
      <c r="Q50" s="259" t="n">
        <v>131000000</v>
      </c>
      <c r="R50" s="259" t="n">
        <v>135000000</v>
      </c>
      <c r="S50" s="259" t="n">
        <v>135000000</v>
      </c>
      <c r="T50" s="259" t="n">
        <v>139000000</v>
      </c>
      <c r="U50" s="259" t="n">
        <v>142000000</v>
      </c>
      <c r="V50" s="259" t="n">
        <v>142000000</v>
      </c>
      <c r="W50" s="259" t="n">
        <v>145000000</v>
      </c>
      <c r="X50" s="259" t="n">
        <v>147000000</v>
      </c>
      <c r="Y50" s="259" t="n">
        <v>150000000</v>
      </c>
      <c r="Z50" s="259" t="n">
        <v>166000000</v>
      </c>
      <c r="AA50" s="259" t="n">
        <v>172000000</v>
      </c>
      <c r="AB50" s="259" t="n">
        <v>177000000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37</v>
      </c>
      <c r="B51" t="n">
        <v>1</v>
      </c>
      <c r="G51" t="inlineStr">
        <is>
          <t>moeda</t>
        </is>
      </c>
      <c r="H51" t="inlineStr">
        <is>
          <t>CommonStockValue</t>
        </is>
      </c>
      <c r="J51" t="inlineStr">
        <is>
          <t>fonte</t>
        </is>
      </c>
      <c r="K51" s="259" t="n">
        <v>1832000000</v>
      </c>
      <c r="L51" s="259" t="n">
        <v>1832000000</v>
      </c>
      <c r="M51" s="259" t="n">
        <v>1832000000</v>
      </c>
      <c r="N51" s="259" t="n">
        <v>1832000000</v>
      </c>
      <c r="O51" s="259" t="n">
        <v>1832000000</v>
      </c>
      <c r="P51" s="259" t="n">
        <v>1832000000</v>
      </c>
      <c r="Q51" s="259" t="n">
        <v>1832000000</v>
      </c>
      <c r="R51" s="259" t="n">
        <v>1832000000</v>
      </c>
      <c r="S51" s="259" t="n">
        <v>1832000000</v>
      </c>
      <c r="T51" s="259" t="n">
        <v>1832000000</v>
      </c>
      <c r="U51" s="259" t="n">
        <v>1832000000</v>
      </c>
      <c r="V51" s="259" t="n">
        <v>1832000000</v>
      </c>
      <c r="W51" s="259" t="n">
        <v>1832000000</v>
      </c>
      <c r="X51" s="259" t="n">
        <v>1832000000</v>
      </c>
      <c r="Y51" s="259" t="n">
        <v>1832000000</v>
      </c>
      <c r="Z51" s="259" t="n">
        <v>1832000000</v>
      </c>
      <c r="AA51" s="259" t="n">
        <v>1832000000</v>
      </c>
      <c r="AB51" s="259" t="n">
        <v>1832000000</v>
      </c>
      <c r="AC51" s="259" t="n">
        <v>1832000000</v>
      </c>
      <c r="AD51" s="259" t="n">
        <v>1832000000</v>
      </c>
      <c r="AE51" s="259" t="n">
        <v>1832000000</v>
      </c>
      <c r="AF51" s="259" t="n">
        <v>1832000000</v>
      </c>
      <c r="AG51" s="259" t="n">
        <v>1832000000</v>
      </c>
      <c r="AH51" s="259" t="n">
        <v>1832000000</v>
      </c>
      <c r="AI51" s="259" t="n">
        <v>1832000000</v>
      </c>
      <c r="AJ51" s="259" t="n">
        <v>1832000000</v>
      </c>
    </row>
    <row r="52">
      <c r="A52" t="n">
        <v>37</v>
      </c>
      <c r="B52" t="n">
        <v>1</v>
      </c>
      <c r="G52" t="inlineStr">
        <is>
          <t>moeda</t>
        </is>
      </c>
      <c r="H52" t="inlineStr">
        <is>
          <t>AdditionalPaidInCapitalCommonStock</t>
        </is>
      </c>
      <c r="J52" t="inlineStr">
        <is>
          <t>fonte</t>
        </is>
      </c>
      <c r="K52" s="259" t="n">
        <v>17275000000</v>
      </c>
      <c r="L52" s="259" t="n">
        <v>17297000000</v>
      </c>
      <c r="M52" s="259" t="n">
        <v>17318000000</v>
      </c>
      <c r="N52" s="259" t="n">
        <v>16829000000</v>
      </c>
      <c r="O52" s="259" t="n">
        <v>16866000000</v>
      </c>
      <c r="P52" s="259" t="n">
        <v>17044000000</v>
      </c>
      <c r="Q52" s="259" t="n">
        <v>17062000000</v>
      </c>
      <c r="R52" s="259" t="n">
        <v>17282000000</v>
      </c>
      <c r="S52" s="259" t="n">
        <v>18378000000</v>
      </c>
      <c r="T52" s="259" t="n">
        <v>18559000000</v>
      </c>
      <c r="U52" s="259" t="n">
        <v>18587000000</v>
      </c>
      <c r="V52" s="259" t="n">
        <v>18660000000</v>
      </c>
      <c r="W52" s="259" t="n">
        <v>18714000000</v>
      </c>
      <c r="X52" s="259" t="n">
        <v>18758000000</v>
      </c>
      <c r="Y52" s="259" t="n">
        <v>21317000000</v>
      </c>
      <c r="Z52" s="259" t="n">
        <v>21365000000</v>
      </c>
      <c r="AA52" s="259" t="n">
        <v>21443000000</v>
      </c>
      <c r="AB52" s="259" t="n">
        <v>21495000000</v>
      </c>
      <c r="AC52" s="259" t="n">
        <v>21578000000</v>
      </c>
      <c r="AD52" s="259" t="n">
        <v>21671000000</v>
      </c>
      <c r="AE52" s="259" t="n">
        <v>21719000000</v>
      </c>
      <c r="AF52" s="259" t="n">
        <v>21803000000</v>
      </c>
      <c r="AG52" s="259" t="n">
        <v>33812000000</v>
      </c>
      <c r="AH52" s="259" t="n">
        <v>33886000000</v>
      </c>
      <c r="AI52" s="259" t="n">
        <v>33886000000</v>
      </c>
      <c r="AJ52" s="259" t="n">
        <v>33999000000</v>
      </c>
    </row>
    <row r="53">
      <c r="A53" t="n">
        <v>38</v>
      </c>
      <c r="B53" t="n">
        <v>1</v>
      </c>
      <c r="G53" t="inlineStr">
        <is>
          <t>moeda</t>
        </is>
      </c>
      <c r="H53" t="inlineStr">
        <is>
          <t>TreasuryStockValue (divulgado positivo, lançado negativo)</t>
        </is>
      </c>
      <c r="J53" t="inlineStr">
        <is>
          <t>fonte</t>
        </is>
      </c>
      <c r="K53" s="259" t="n">
        <v>-46166000000</v>
      </c>
      <c r="L53" s="259" t="n">
        <v>-46143000000</v>
      </c>
      <c r="M53" s="259" t="n">
        <v>-46138000000</v>
      </c>
      <c r="N53" s="259" t="n">
        <v>-41498000000</v>
      </c>
      <c r="O53" s="259" t="n">
        <v>-41269000000</v>
      </c>
      <c r="P53" s="259" t="n">
        <v>-40799000000</v>
      </c>
      <c r="Q53" s="259" t="n">
        <v>-41418000000</v>
      </c>
      <c r="R53" s="259" t="n">
        <v>-41464000000</v>
      </c>
      <c r="S53" s="259" t="n">
        <v>-39158000000</v>
      </c>
      <c r="T53" s="259" t="n">
        <v>-41015000000</v>
      </c>
      <c r="U53" s="259" t="n">
        <v>-44720000000</v>
      </c>
      <c r="V53" s="259" t="n">
        <v>-48196000000</v>
      </c>
      <c r="W53" s="259" t="n">
        <v>-51854000000</v>
      </c>
      <c r="X53" s="259" t="n">
        <v>-56240000000</v>
      </c>
      <c r="Y53" s="259" t="n">
        <v>-55640000000</v>
      </c>
      <c r="Z53" s="259" t="n">
        <v>-59065000000</v>
      </c>
      <c r="AA53" s="259" t="n">
        <v>-61959000000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38</v>
      </c>
      <c r="B54" t="n">
        <v>1</v>
      </c>
      <c r="G54" t="inlineStr">
        <is>
          <t>moeda</t>
        </is>
      </c>
      <c r="H54" t="inlineStr">
        <is>
          <t>TreasuryStockCommonValue (divulgado positivo, lançado negativo)</t>
        </is>
      </c>
      <c r="J54" t="inlineStr">
        <is>
          <t>fonte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-64890000000</v>
      </c>
      <c r="AC54" s="259" t="n">
        <v>-69646000000</v>
      </c>
      <c r="AD54" s="259" t="n">
        <v>-74037000000</v>
      </c>
      <c r="AE54" s="259" t="n">
        <v>-77717000000</v>
      </c>
      <c r="AF54" s="259" t="n">
        <v>-80316000000</v>
      </c>
      <c r="AG54" s="259" t="n">
        <v>-48976000000</v>
      </c>
      <c r="AH54" s="259" t="n">
        <v>-51929000000</v>
      </c>
      <c r="AI54" s="259" t="n">
        <v>-53209000000</v>
      </c>
      <c r="AJ54" s="259" t="n">
        <v>-56190000000</v>
      </c>
    </row>
    <row r="55">
      <c r="A55" t="n">
        <v>39</v>
      </c>
      <c r="B55" t="n">
        <v>1</v>
      </c>
      <c r="G55" t="inlineStr">
        <is>
          <t>moeda</t>
        </is>
      </c>
      <c r="H55" t="inlineStr">
        <is>
          <t>AccumulatedOtherComprehensiveIncomeLossNetOfTax</t>
        </is>
      </c>
      <c r="J55" t="inlineStr">
        <is>
          <t>fonte</t>
        </is>
      </c>
      <c r="K55" s="259" t="n">
        <v>-4884000000</v>
      </c>
      <c r="L55" s="259" t="n">
        <v>-4750000000</v>
      </c>
      <c r="M55" s="259" t="n">
        <v>-4507000000</v>
      </c>
      <c r="N55" s="259" t="n">
        <v>-5612000000</v>
      </c>
      <c r="O55" s="259" t="n">
        <v>-4586000000</v>
      </c>
      <c r="P55" s="259" t="n">
        <v>-4295000000</v>
      </c>
      <c r="Q55" s="259" t="n">
        <v>-4418000000</v>
      </c>
      <c r="R55" s="259" t="n">
        <v>-3889000000</v>
      </c>
      <c r="S55" s="259" t="n">
        <v>-3652000000</v>
      </c>
      <c r="T55" s="259" t="n">
        <v>-3491000000</v>
      </c>
      <c r="U55" s="259" t="n">
        <v>-3173000000</v>
      </c>
      <c r="V55" s="259" t="n">
        <v>-2798000000</v>
      </c>
      <c r="W55" s="259" t="n">
        <v>-2741000000</v>
      </c>
      <c r="X55" s="259" t="n">
        <v>-2711000000</v>
      </c>
      <c r="Y55" s="259" t="n">
        <v>-2597000000</v>
      </c>
      <c r="Z55" s="259" t="n">
        <v>-2960000000</v>
      </c>
      <c r="AA55" s="259" t="n">
        <v>-2965000000</v>
      </c>
      <c r="AB55" s="259" t="n">
        <v>-2924000000</v>
      </c>
      <c r="AC55" s="259" t="n">
        <v>-2825000000</v>
      </c>
      <c r="AD55" s="259" t="n">
        <v>-2760000000</v>
      </c>
      <c r="AE55" s="259" t="n">
        <v>-2709000000</v>
      </c>
      <c r="AF55" s="259" t="n">
        <v>-2567000000</v>
      </c>
      <c r="AG55" s="259" t="n">
        <v>-2591000000</v>
      </c>
      <c r="AH55" s="259" t="n">
        <v>-2464000000</v>
      </c>
      <c r="AI55" s="259" t="n">
        <v>-2593000000</v>
      </c>
      <c r="AJ55" s="259" t="n">
        <v>-2113000000</v>
      </c>
    </row>
    <row r="56">
      <c r="A56" t="n">
        <v>40</v>
      </c>
      <c r="B56" t="n">
        <v>1</v>
      </c>
      <c r="G56" t="inlineStr">
        <is>
          <t>moeda</t>
        </is>
      </c>
      <c r="H56" t="inlineStr">
        <is>
          <t>CommonStockHeldInTrust</t>
        </is>
      </c>
      <c r="J56" t="inlineStr">
        <is>
          <t>fonte</t>
        </is>
      </c>
      <c r="K56" s="259" t="n">
        <v>240000000</v>
      </c>
      <c r="L56" s="259" t="n">
        <v>240000000</v>
      </c>
      <c r="M56" s="259" t="n">
        <v>240000000</v>
      </c>
      <c r="N56" s="259" t="n">
        <v>240000000</v>
      </c>
      <c r="O56" s="259" t="n">
        <v>240000000</v>
      </c>
      <c r="P56" s="259" t="n">
        <v>240000000</v>
      </c>
      <c r="Q56" s="259" t="n">
        <v>240000000</v>
      </c>
      <c r="R56" s="259" t="n">
        <v>240000000</v>
      </c>
      <c r="S56" s="259" t="n">
        <v>240000000</v>
      </c>
      <c r="T56" s="259" t="n">
        <v>240000000</v>
      </c>
      <c r="U56" s="259" t="n">
        <v>240000000</v>
      </c>
      <c r="V56" s="259" t="n">
        <v>240000000</v>
      </c>
      <c r="W56" s="259" t="n">
        <v>240000000</v>
      </c>
      <c r="X56" s="259" t="n">
        <v>240000000</v>
      </c>
      <c r="Y56" s="259" t="n">
        <v>240000000</v>
      </c>
      <c r="Z56" s="259" t="n">
        <v>240000000</v>
      </c>
      <c r="AA56" s="259" t="n">
        <v>240000000</v>
      </c>
      <c r="AB56" s="259" t="n">
        <v>240000000</v>
      </c>
      <c r="AC56" s="259" t="n">
        <v>240000000</v>
      </c>
      <c r="AD56" s="259" t="n">
        <v>240000000</v>
      </c>
      <c r="AE56" s="259" t="n">
        <v>240000000</v>
      </c>
      <c r="AF56" s="259" t="n">
        <v>240000000</v>
      </c>
      <c r="AG56" s="259" t="n">
        <v>240000000</v>
      </c>
      <c r="AH56" s="259" t="n">
        <v>240000000</v>
      </c>
      <c r="AI56" s="259" t="n">
        <v>240000000</v>
      </c>
      <c r="AJ56" s="259" t="n">
        <v>240000000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176113000000</v>
      </c>
      <c r="L57" s="259" t="n">
        <v>166122000000</v>
      </c>
      <c r="M57" s="259" t="n">
        <v>163509000000</v>
      </c>
      <c r="N57" s="259" t="n">
        <v>160377000000</v>
      </c>
      <c r="O57" s="259" t="n">
        <v>159285000000</v>
      </c>
      <c r="P57" s="259" t="n">
        <v>159640000000</v>
      </c>
      <c r="Q57" s="259" t="n">
        <v>163044000000</v>
      </c>
      <c r="R57" s="259" t="n">
        <v>165546000000</v>
      </c>
      <c r="S57" s="259" t="n">
        <v>169059000000</v>
      </c>
      <c r="T57" s="259" t="n">
        <v>177909000000</v>
      </c>
      <c r="U57" s="259" t="n">
        <v>186394000000</v>
      </c>
      <c r="V57" s="259" t="n">
        <v>190024000000</v>
      </c>
      <c r="W57" s="259" t="n">
        <v>193738000000</v>
      </c>
      <c r="X57" s="259" t="n">
        <v>196926000000</v>
      </c>
      <c r="Y57" s="259" t="n">
        <v>200593000000</v>
      </c>
      <c r="Z57" s="259" t="n">
        <v>200025000000</v>
      </c>
      <c r="AA57" s="259" t="n">
        <v>202514000000</v>
      </c>
      <c r="AB57" s="259" t="n">
        <v>203960000000</v>
      </c>
      <c r="AC57" s="259" t="n">
        <v>205503000000</v>
      </c>
      <c r="AD57" s="259" t="n">
        <v>205852000000</v>
      </c>
      <c r="AE57" s="259" t="n">
        <v>206359000000</v>
      </c>
      <c r="AF57" s="259" t="n">
        <v>205905000000</v>
      </c>
      <c r="AG57" s="259" t="n">
        <v>206006000000</v>
      </c>
      <c r="AH57" s="259" t="n">
        <v>205365000000</v>
      </c>
      <c r="AI57" s="259" t="n">
        <v>204039000000</v>
      </c>
      <c r="AJ57" s="259" t="n">
        <v>212595000000</v>
      </c>
    </row>
    <row r="58">
      <c r="A58" t="n">
        <v>13</v>
      </c>
      <c r="B58" t="n">
        <v>1</v>
      </c>
      <c r="G58" t="inlineStr">
        <is>
          <t>moeda</t>
        </is>
      </c>
      <c r="H58" t="inlineStr">
        <is>
          <t>[vazio] Estoques: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14</v>
      </c>
      <c r="B59" t="n">
        <v>1</v>
      </c>
      <c r="G59" t="inlineStr">
        <is>
          <t>moeda</t>
        </is>
      </c>
      <c r="H59" t="inlineStr">
        <is>
          <t>[vazio] IR diferido ativo: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17</v>
      </c>
      <c r="B60" t="n">
        <v>1</v>
      </c>
      <c r="G60" t="inlineStr">
        <is>
          <t>moeda</t>
        </is>
      </c>
      <c r="H60" t="inlineStr">
        <is>
          <t>[vazio] Investimentos em coligadas: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19</v>
      </c>
      <c r="B61" t="n">
        <v>1</v>
      </c>
      <c r="G61" t="inlineStr">
        <is>
          <t>moeda</t>
        </is>
      </c>
      <c r="H61" t="inlineStr">
        <is>
          <t>[vazio] Direito de uso: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21</v>
      </c>
      <c r="B62" t="n">
        <v>1</v>
      </c>
      <c r="G62" t="inlineStr">
        <is>
          <t>moeda</t>
        </is>
      </c>
      <c r="H62" t="inlineStr">
        <is>
          <t>[vazio] Intangíveis: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28</v>
      </c>
      <c r="B63" t="n">
        <v>1</v>
      </c>
      <c r="G63" t="inlineStr">
        <is>
          <t>moeda</t>
        </is>
      </c>
      <c r="H63" t="inlineStr">
        <is>
          <t>[vazio] Revolving: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29</v>
      </c>
      <c r="B64" t="n">
        <v>1</v>
      </c>
      <c r="G64" t="inlineStr">
        <is>
          <t>moeda</t>
        </is>
      </c>
      <c r="H64" t="inlineStr">
        <is>
          <t>[vazio] Arrendamento CP: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30</v>
      </c>
      <c r="B65" t="n">
        <v>1</v>
      </c>
      <c r="G65" t="inlineStr">
        <is>
          <t>moeda</t>
        </is>
      </c>
      <c r="H65" t="inlineStr">
        <is>
          <t>[vazio] Dívida LP: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31</v>
      </c>
      <c r="B66" t="n">
        <v>1</v>
      </c>
      <c r="G66" t="inlineStr">
        <is>
          <t>moeda</t>
        </is>
      </c>
      <c r="H66" t="inlineStr">
        <is>
          <t>[vazio] Arrendamento LP: não aparece como linha própria nas demonstrações (zero)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32</v>
      </c>
      <c r="B67" t="n">
        <v>1</v>
      </c>
      <c r="G67" t="inlineStr">
        <is>
          <t>moeda</t>
        </is>
      </c>
      <c r="H67" t="inlineStr">
        <is>
          <t>[vazio] Dívida conversível: não aparece como linha própria nas demonstrações (zero)</t>
        </is>
      </c>
      <c r="J67" t="inlineStr">
        <is>
          <t>derivada</t>
        </is>
      </c>
      <c r="K67" s="259" t="n">
        <v>0</v>
      </c>
      <c r="L67" s="259" t="n">
        <v>0</v>
      </c>
      <c r="M67" s="259" t="n">
        <v>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A68" t="n">
        <v>40</v>
      </c>
      <c r="B68" t="n">
        <v>1</v>
      </c>
      <c r="G68" t="inlineStr">
        <is>
          <t>moeda</t>
        </is>
      </c>
      <c r="H68" t="inlineStr">
        <is>
          <t>Linhas de face do patrimônio líquido sem tag própria (subtotal divulgado - soma das linhas)</t>
        </is>
      </c>
      <c r="J68" t="inlineStr">
        <is>
          <t>derivada</t>
        </is>
      </c>
      <c r="K68" s="259" t="n">
        <v>-480000000</v>
      </c>
      <c r="L68" s="259" t="n">
        <v>-480000000</v>
      </c>
      <c r="M68" s="259" t="n">
        <v>-480000000</v>
      </c>
      <c r="N68" s="259" t="n">
        <v>-600000000</v>
      </c>
      <c r="O68" s="259" t="n">
        <v>-603000000</v>
      </c>
      <c r="P68" s="259" t="n">
        <v>-607000000</v>
      </c>
      <c r="Q68" s="259" t="n">
        <v>-611000000</v>
      </c>
      <c r="R68" s="259" t="n">
        <v>-615000000</v>
      </c>
      <c r="S68" s="259" t="n">
        <v>-615000000</v>
      </c>
      <c r="T68" s="259" t="n">
        <v>-619000000</v>
      </c>
      <c r="U68" s="259" t="n">
        <v>-622000000</v>
      </c>
      <c r="V68" s="259" t="n">
        <v>-622000000</v>
      </c>
      <c r="W68" s="259" t="n">
        <v>-625000000</v>
      </c>
      <c r="X68" s="259" t="n">
        <v>-627000000</v>
      </c>
      <c r="Y68" s="259" t="n">
        <v>-630000000</v>
      </c>
      <c r="Z68" s="259" t="n">
        <v>-646000000</v>
      </c>
      <c r="AA68" s="259" t="n">
        <v>-652000000</v>
      </c>
      <c r="AB68" s="259" t="n">
        <v>-657000000</v>
      </c>
      <c r="AC68" s="259" t="n">
        <v>-480000000</v>
      </c>
      <c r="AD68" s="259" t="n">
        <v>-480000000</v>
      </c>
      <c r="AE68" s="259" t="n">
        <v>-480000000</v>
      </c>
      <c r="AF68" s="259" t="n">
        <v>-480000000</v>
      </c>
      <c r="AG68" s="259" t="n">
        <v>-480000000</v>
      </c>
      <c r="AH68" s="259" t="n">
        <v>-480000000</v>
      </c>
      <c r="AI68" s="259" t="n">
        <v>-480000000</v>
      </c>
      <c r="AJ68" s="259" t="n">
        <v>-480000000</v>
      </c>
    </row>
    <row r="69">
      <c r="H69" s="254" t="inlineStr">
        <is>
          <t>BALANÇO - totais divulgados (memória)</t>
        </is>
      </c>
    </row>
    <row r="70">
      <c r="G70" t="inlineStr">
        <is>
          <t>moeda</t>
        </is>
      </c>
      <c r="H70" t="inlineStr">
        <is>
          <t>Total do ativo [us-gaap:Assets]</t>
        </is>
      </c>
      <c r="J70" t="inlineStr">
        <is>
          <t>memoria</t>
        </is>
      </c>
      <c r="K70" s="259" t="n">
        <v>236677000000</v>
      </c>
      <c r="L70" s="259" t="n">
        <v>223403000000</v>
      </c>
      <c r="M70" s="259" t="n">
        <v>223063000000</v>
      </c>
      <c r="N70" s="259" t="n">
        <v>239790000000</v>
      </c>
      <c r="O70" s="259" t="n">
        <v>241645000000</v>
      </c>
      <c r="P70" s="259" t="n">
        <v>242806000000</v>
      </c>
      <c r="Q70" s="259" t="n">
        <v>239948000000</v>
      </c>
      <c r="R70" s="259" t="n">
        <v>239535000000</v>
      </c>
      <c r="S70" s="259" t="n">
        <v>249048000000</v>
      </c>
      <c r="T70" s="259" t="n">
        <v>257936000000</v>
      </c>
      <c r="U70" s="259" t="n">
        <v>259735000000</v>
      </c>
      <c r="V70" s="259" t="n">
        <v>257709000000</v>
      </c>
      <c r="W70" s="259" t="n">
        <v>255886000000</v>
      </c>
      <c r="X70" s="259" t="n">
        <v>251779000000</v>
      </c>
      <c r="Y70" s="259" t="n">
        <v>263927000000</v>
      </c>
      <c r="Z70" s="259" t="n">
        <v>261632000000</v>
      </c>
      <c r="AA70" s="259" t="n">
        <v>261651000000</v>
      </c>
      <c r="AB70" s="259" t="n">
        <v>260644000000</v>
      </c>
      <c r="AC70" s="259" t="n">
        <v>259232000000</v>
      </c>
      <c r="AD70" s="259" t="n">
        <v>256938000000</v>
      </c>
      <c r="AE70" s="259" t="n">
        <v>256397000000</v>
      </c>
      <c r="AF70" s="259" t="n">
        <v>250820000000</v>
      </c>
      <c r="AG70" s="259" t="n">
        <v>326501000000</v>
      </c>
      <c r="AH70" s="259" t="n">
        <v>324012000000</v>
      </c>
      <c r="AI70" s="259" t="n">
        <v>329551000000</v>
      </c>
      <c r="AJ70" s="259" t="n">
        <v>330135000000</v>
      </c>
    </row>
    <row r="71">
      <c r="G71" t="inlineStr">
        <is>
          <t>moeda</t>
        </is>
      </c>
      <c r="H71" t="inlineStr">
        <is>
          <t>Total do passivo + PL [us-gaap:LiabilitiesAndStockholdersEquity]</t>
        </is>
      </c>
      <c r="J71" t="inlineStr">
        <is>
          <t>memoria</t>
        </is>
      </c>
      <c r="K71" s="259" t="n">
        <v>236677000000</v>
      </c>
      <c r="L71" s="259" t="n">
        <v>223403000000</v>
      </c>
      <c r="M71" s="259" t="n">
        <v>223063000000</v>
      </c>
      <c r="N71" s="259" t="n">
        <v>239790000000</v>
      </c>
      <c r="O71" s="259" t="n">
        <v>241645000000</v>
      </c>
      <c r="P71" s="259" t="n">
        <v>242806000000</v>
      </c>
      <c r="Q71" s="259" t="n">
        <v>239948000000</v>
      </c>
      <c r="R71" s="259" t="n">
        <v>239535000000</v>
      </c>
      <c r="S71" s="259" t="n">
        <v>249048000000</v>
      </c>
      <c r="T71" s="259" t="n">
        <v>257936000000</v>
      </c>
      <c r="U71" s="259" t="n">
        <v>259735000000</v>
      </c>
      <c r="V71" s="259" t="n">
        <v>257709000000</v>
      </c>
      <c r="W71" s="259" t="n">
        <v>255886000000</v>
      </c>
      <c r="X71" s="259" t="n">
        <v>251779000000</v>
      </c>
      <c r="Y71" s="259" t="n">
        <v>263927000000</v>
      </c>
      <c r="Z71" s="259" t="n">
        <v>261632000000</v>
      </c>
      <c r="AA71" s="259" t="n">
        <v>261651000000</v>
      </c>
      <c r="AB71" s="259" t="n">
        <v>260644000000</v>
      </c>
      <c r="AC71" s="259" t="n">
        <v>259232000000</v>
      </c>
      <c r="AD71" s="259" t="n">
        <v>256938000000</v>
      </c>
      <c r="AE71" s="259" t="n">
        <v>256397000000</v>
      </c>
      <c r="AF71" s="259" t="n">
        <v>250820000000</v>
      </c>
      <c r="AG71" s="259" t="n">
        <v>326501000000</v>
      </c>
      <c r="AH71" s="259" t="n">
        <v>324012000000</v>
      </c>
      <c r="AI71" s="259" t="n">
        <v>329551000000</v>
      </c>
      <c r="AJ71" s="259" t="n">
        <v>330135000000</v>
      </c>
    </row>
    <row r="72">
      <c r="H72" s="254" t="inlineStr">
        <is>
          <t>CHECKS (devem ser 0)</t>
        </is>
      </c>
    </row>
    <row r="73">
      <c r="G73" t="inlineStr">
        <is>
          <t>moeda</t>
        </is>
      </c>
      <c r="H73" t="inlineStr">
        <is>
          <t>CHECK: contas de ativo - ativo total (USD, arredondado a 100 mil)</t>
        </is>
      </c>
      <c r="J73" t="inlineStr">
        <is>
          <t>derivada</t>
        </is>
      </c>
      <c r="K73" s="260">
        <f>ROUND(N(K22)+N(K23)+N(K24)+N(K25)+N(K26)+N(K27)+N(K28)+N(K29)+N(K30)+N(K31)+N(K32)+N(K33)+N(K34)+N(K35)+N(K36)+N(K37)+N(K38)+N(K39)-N(K70),-5)</f>
        <v>0</v>
      </c>
      <c r="L73" s="260">
        <f>ROUND(N(L22)+N(L23)+N(L24)+N(L25)+N(L26)+N(L27)+N(L28)+N(L29)+N(L30)+N(L31)+N(L32)+N(L33)+N(L34)+N(L35)+N(L36)+N(L37)+N(L38)+N(L39)-N(L70),-5)</f>
        <v>0</v>
      </c>
      <c r="M73" s="260">
        <f>ROUND(N(M22)+N(M23)+N(M24)+N(M25)+N(M26)+N(M27)+N(M28)+N(M29)+N(M30)+N(M31)+N(M32)+N(M33)+N(M34)+N(M35)+N(M36)+N(M37)+N(M38)+N(M39)-N(M70),-5)</f>
        <v>0</v>
      </c>
      <c r="N73" s="260">
        <f>ROUND(N(N22)+N(N23)+N(N24)+N(N25)+N(N26)+N(N27)+N(N28)+N(N29)+N(N30)+N(N31)+N(N32)+N(N33)+N(N34)+N(N35)+N(N36)+N(N37)+N(N38)+N(N39)-N(N70),-5)</f>
        <v>0</v>
      </c>
      <c r="O73" s="260">
        <f>ROUND(N(O22)+N(O23)+N(O24)+N(O25)+N(O26)+N(O27)+N(O28)+N(O29)+N(O30)+N(O31)+N(O32)+N(O33)+N(O34)+N(O35)+N(O36)+N(O37)+N(O38)+N(O39)-N(O70),-5)</f>
        <v>0</v>
      </c>
      <c r="P73" s="260">
        <f>ROUND(N(P22)+N(P23)+N(P24)+N(P25)+N(P26)+N(P27)+N(P28)+N(P29)+N(P30)+N(P31)+N(P32)+N(P33)+N(P34)+N(P35)+N(P36)+N(P37)+N(P38)+N(P39)-N(P70),-5)</f>
        <v>0</v>
      </c>
      <c r="Q73" s="260">
        <f>ROUND(N(Q22)+N(Q23)+N(Q24)+N(Q25)+N(Q26)+N(Q27)+N(Q28)+N(Q29)+N(Q30)+N(Q31)+N(Q32)+N(Q33)+N(Q34)+N(Q35)+N(Q36)+N(Q37)+N(Q38)+N(Q39)-N(Q70),-5)</f>
        <v>0</v>
      </c>
      <c r="R73" s="260">
        <f>ROUND(N(R22)+N(R23)+N(R24)+N(R25)+N(R26)+N(R27)+N(R28)+N(R29)+N(R30)+N(R31)+N(R32)+N(R33)+N(R34)+N(R35)+N(R36)+N(R37)+N(R38)+N(R39)-N(R70),-5)</f>
        <v>0</v>
      </c>
      <c r="S73" s="260">
        <f>ROUND(N(S22)+N(S23)+N(S24)+N(S25)+N(S26)+N(S27)+N(S28)+N(S29)+N(S30)+N(S31)+N(S32)+N(S33)+N(S34)+N(S35)+N(S36)+N(S37)+N(S38)+N(S39)-N(S70),-5)</f>
        <v>0</v>
      </c>
      <c r="T73" s="260">
        <f>ROUND(N(T22)+N(T23)+N(T24)+N(T25)+N(T26)+N(T27)+N(T28)+N(T29)+N(T30)+N(T31)+N(T32)+N(T33)+N(T34)+N(T35)+N(T36)+N(T37)+N(T38)+N(T39)-N(T70),-5)</f>
        <v>0</v>
      </c>
      <c r="U73" s="260">
        <f>ROUND(N(U22)+N(U23)+N(U24)+N(U25)+N(U26)+N(U27)+N(U28)+N(U29)+N(U30)+N(U31)+N(U32)+N(U33)+N(U34)+N(U35)+N(U36)+N(U37)+N(U38)+N(U39)-N(U70),-5)</f>
        <v>0</v>
      </c>
      <c r="V73" s="260">
        <f>ROUND(N(V22)+N(V23)+N(V24)+N(V25)+N(V26)+N(V27)+N(V28)+N(V29)+N(V30)+N(V31)+N(V32)+N(V33)+N(V34)+N(V35)+N(V36)+N(V37)+N(V38)+N(V39)-N(V70),-5)</f>
        <v>0</v>
      </c>
      <c r="W73" s="260">
        <f>ROUND(N(W22)+N(W23)+N(W24)+N(W25)+N(W26)+N(W27)+N(W28)+N(W29)+N(W30)+N(W31)+N(W32)+N(W33)+N(W34)+N(W35)+N(W36)+N(W37)+N(W38)+N(W39)-N(W70),-5)</f>
        <v>0</v>
      </c>
      <c r="X73" s="260">
        <f>ROUND(N(X22)+N(X23)+N(X24)+N(X25)+N(X26)+N(X27)+N(X28)+N(X29)+N(X30)+N(X31)+N(X32)+N(X33)+N(X34)+N(X35)+N(X36)+N(X37)+N(X38)+N(X39)-N(X70),-5)</f>
        <v>0</v>
      </c>
      <c r="Y73" s="260">
        <f>ROUND(N(Y22)+N(Y23)+N(Y24)+N(Y25)+N(Y26)+N(Y27)+N(Y28)+N(Y29)+N(Y30)+N(Y31)+N(Y32)+N(Y33)+N(Y34)+N(Y35)+N(Y36)+N(Y37)+N(Y38)+N(Y39)-N(Y70),-5)</f>
        <v>0</v>
      </c>
      <c r="Z73" s="260">
        <f>ROUND(N(Z22)+N(Z23)+N(Z24)+N(Z25)+N(Z26)+N(Z27)+N(Z28)+N(Z29)+N(Z30)+N(Z31)+N(Z32)+N(Z33)+N(Z34)+N(Z35)+N(Z36)+N(Z37)+N(Z38)+N(Z39)-N(Z70),-5)</f>
        <v>0</v>
      </c>
      <c r="AA73" s="260">
        <f>ROUND(N(AA22)+N(AA23)+N(AA24)+N(AA25)+N(AA26)+N(AA27)+N(AA28)+N(AA29)+N(AA30)+N(AA31)+N(AA32)+N(AA33)+N(AA34)+N(AA35)+N(AA36)+N(AA37)+N(AA38)+N(AA39)-N(AA70),-5)</f>
        <v>0</v>
      </c>
      <c r="AB73" s="260">
        <f>ROUND(N(AB22)+N(AB23)+N(AB24)+N(AB25)+N(AB26)+N(AB27)+N(AB28)+N(AB29)+N(AB30)+N(AB31)+N(AB32)+N(AB33)+N(AB34)+N(AB35)+N(AB36)+N(AB37)+N(AB38)+N(AB39)-N(AB70),-5)</f>
        <v>0</v>
      </c>
      <c r="AC73" s="260">
        <f>ROUND(N(AC22)+N(AC23)+N(AC24)+N(AC25)+N(AC26)+N(AC27)+N(AC28)+N(AC29)+N(AC30)+N(AC31)+N(AC32)+N(AC33)+N(AC34)+N(AC35)+N(AC36)+N(AC37)+N(AC38)+N(AC39)-N(AC70),-5)</f>
        <v>0</v>
      </c>
      <c r="AD73" s="260">
        <f>ROUND(N(AD22)+N(AD23)+N(AD24)+N(AD25)+N(AD26)+N(AD27)+N(AD28)+N(AD29)+N(AD30)+N(AD31)+N(AD32)+N(AD33)+N(AD34)+N(AD35)+N(AD36)+N(AD37)+N(AD38)+N(AD39)-N(AD70),-5)</f>
        <v>0</v>
      </c>
      <c r="AE73" s="260">
        <f>ROUND(N(AE22)+N(AE23)+N(AE24)+N(AE25)+N(AE26)+N(AE27)+N(AE28)+N(AE29)+N(AE30)+N(AE31)+N(AE32)+N(AE33)+N(AE34)+N(AE35)+N(AE36)+N(AE37)+N(AE38)+N(AE39)-N(AE70),-5)</f>
        <v>0</v>
      </c>
      <c r="AF73" s="260">
        <f>ROUND(N(AF22)+N(AF23)+N(AF24)+N(AF25)+N(AF26)+N(AF27)+N(AF28)+N(AF29)+N(AF30)+N(AF31)+N(AF32)+N(AF33)+N(AF34)+N(AF35)+N(AF36)+N(AF37)+N(AF38)+N(AF39)-N(AF70),-5)</f>
        <v>0</v>
      </c>
      <c r="AG73" s="260">
        <f>ROUND(N(AG22)+N(AG23)+N(AG24)+N(AG25)+N(AG26)+N(AG27)+N(AG28)+N(AG29)+N(AG30)+N(AG31)+N(AG32)+N(AG33)+N(AG34)+N(AG35)+N(AG36)+N(AG37)+N(AG38)+N(AG39)-N(AG70),-5)</f>
        <v>0</v>
      </c>
      <c r="AH73" s="260">
        <f>ROUND(N(AH22)+N(AH23)+N(AH24)+N(AH25)+N(AH26)+N(AH27)+N(AH28)+N(AH29)+N(AH30)+N(AH31)+N(AH32)+N(AH33)+N(AH34)+N(AH35)+N(AH36)+N(AH37)+N(AH38)+N(AH39)-N(AH70),-5)</f>
        <v>0</v>
      </c>
      <c r="AI73" s="260">
        <f>ROUND(N(AI22)+N(AI23)+N(AI24)+N(AI25)+N(AI26)+N(AI27)+N(AI28)+N(AI29)+N(AI30)+N(AI31)+N(AI32)+N(AI33)+N(AI34)+N(AI35)+N(AI36)+N(AI37)+N(AI38)+N(AI39)-N(AI70),-5)</f>
        <v>0</v>
      </c>
      <c r="AJ73" s="260">
        <f>ROUND(N(AJ22)+N(AJ23)+N(AJ24)+N(AJ25)+N(AJ26)+N(AJ27)+N(AJ28)+N(AJ29)+N(AJ30)+N(AJ31)+N(AJ32)+N(AJ33)+N(AJ34)+N(AJ35)+N(AJ36)+N(AJ37)+N(AJ38)+N(AJ39)-N(AJ70),-5)</f>
        <v>0</v>
      </c>
    </row>
    <row r="74">
      <c r="G74" t="inlineStr">
        <is>
          <t>moeda</t>
        </is>
      </c>
      <c r="H74" t="inlineStr">
        <is>
          <t>CHECK: passivo + PL (contas) - passivo + PL total</t>
        </is>
      </c>
      <c r="J74" t="inlineStr">
        <is>
          <t>derivada</t>
        </is>
      </c>
      <c r="K74" s="260">
        <f>ROUND(N(K40)+N(K41)+N(K42)+N(K43)+N(K44)+N(K45)+N(K46)+N(K47)+N(K48)+N(K49)+N(K50)+N(K51)+N(K52)+N(K53)+N(K54)+N(K55)+N(K56)+N(K57)+N(K68)-N(K71),-5)</f>
        <v>0</v>
      </c>
      <c r="L74" s="260">
        <f>ROUND(N(L40)+N(L41)+N(L42)+N(L43)+N(L44)+N(L45)+N(L46)+N(L47)+N(L48)+N(L49)+N(L50)+N(L51)+N(L52)+N(L53)+N(L54)+N(L55)+N(L56)+N(L57)+N(L68)-N(L71),-5)</f>
        <v>0</v>
      </c>
      <c r="M74" s="260">
        <f>ROUND(N(M40)+N(M41)+N(M42)+N(M43)+N(M44)+N(M45)+N(M46)+N(M47)+N(M48)+N(M49)+N(M50)+N(M51)+N(M52)+N(M53)+N(M54)+N(M55)+N(M56)+N(M57)+N(M68)-N(M71),-5)</f>
        <v>0</v>
      </c>
      <c r="N74" s="260">
        <f>ROUND(N(N40)+N(N41)+N(N42)+N(N43)+N(N44)+N(N45)+N(N46)+N(N47)+N(N48)+N(N49)+N(N50)+N(N51)+N(N52)+N(N53)+N(N54)+N(N55)+N(N56)+N(N57)+N(N68)-N(N71),-5)</f>
        <v>0</v>
      </c>
      <c r="O74" s="260">
        <f>ROUND(N(O40)+N(O41)+N(O42)+N(O43)+N(O44)+N(O45)+N(O46)+N(O47)+N(O48)+N(O49)+N(O50)+N(O51)+N(O52)+N(O53)+N(O54)+N(O55)+N(O56)+N(O57)+N(O68)-N(O71),-5)</f>
        <v>0</v>
      </c>
      <c r="P74" s="260">
        <f>ROUND(N(P40)+N(P41)+N(P42)+N(P43)+N(P44)+N(P45)+N(P46)+N(P47)+N(P48)+N(P49)+N(P50)+N(P51)+N(P52)+N(P53)+N(P54)+N(P55)+N(P56)+N(P57)+N(P68)-N(P71),-5)</f>
        <v>0</v>
      </c>
      <c r="Q74" s="260">
        <f>ROUND(N(Q40)+N(Q41)+N(Q42)+N(Q43)+N(Q44)+N(Q45)+N(Q46)+N(Q47)+N(Q48)+N(Q49)+N(Q50)+N(Q51)+N(Q52)+N(Q53)+N(Q54)+N(Q55)+N(Q56)+N(Q57)+N(Q68)-N(Q71),-5)</f>
        <v>0</v>
      </c>
      <c r="R74" s="260">
        <f>ROUND(N(R40)+N(R41)+N(R42)+N(R43)+N(R44)+N(R45)+N(R46)+N(R47)+N(R48)+N(R49)+N(R50)+N(R51)+N(R52)+N(R53)+N(R54)+N(R55)+N(R56)+N(R57)+N(R68)-N(R71),-5)</f>
        <v>0</v>
      </c>
      <c r="S74" s="260">
        <f>ROUND(N(S40)+N(S41)+N(S42)+N(S43)+N(S44)+N(S45)+N(S46)+N(S47)+N(S48)+N(S49)+N(S50)+N(S51)+N(S52)+N(S53)+N(S54)+N(S55)+N(S56)+N(S57)+N(S68)-N(S71),-5)</f>
        <v>0</v>
      </c>
      <c r="T74" s="260">
        <f>ROUND(N(T40)+N(T41)+N(T42)+N(T43)+N(T44)+N(T45)+N(T46)+N(T47)+N(T48)+N(T49)+N(T50)+N(T51)+N(T52)+N(T53)+N(T54)+N(T55)+N(T56)+N(T57)+N(T68)-N(T71),-5)</f>
        <v>0</v>
      </c>
      <c r="U74" s="260">
        <f>ROUND(N(U40)+N(U41)+N(U42)+N(U43)+N(U44)+N(U45)+N(U46)+N(U47)+N(U48)+N(U49)+N(U50)+N(U51)+N(U52)+N(U53)+N(U54)+N(U55)+N(U56)+N(U57)+N(U68)-N(U71),-5)</f>
        <v>0</v>
      </c>
      <c r="V74" s="260">
        <f>ROUND(N(V40)+N(V41)+N(V42)+N(V43)+N(V44)+N(V45)+N(V46)+N(V47)+N(V48)+N(V49)+N(V50)+N(V51)+N(V52)+N(V53)+N(V54)+N(V55)+N(V56)+N(V57)+N(V68)-N(V71),-5)</f>
        <v>0</v>
      </c>
      <c r="W74" s="260">
        <f>ROUND(N(W40)+N(W41)+N(W42)+N(W43)+N(W44)+N(W45)+N(W46)+N(W47)+N(W48)+N(W49)+N(W50)+N(W51)+N(W52)+N(W53)+N(W54)+N(W55)+N(W56)+N(W57)+N(W68)-N(W71),-5)</f>
        <v>0</v>
      </c>
      <c r="X74" s="260">
        <f>ROUND(N(X40)+N(X41)+N(X42)+N(X43)+N(X44)+N(X45)+N(X46)+N(X47)+N(X48)+N(X49)+N(X50)+N(X51)+N(X52)+N(X53)+N(X54)+N(X55)+N(X56)+N(X57)+N(X68)-N(X71),-5)</f>
        <v>0</v>
      </c>
      <c r="Y74" s="260">
        <f>ROUND(N(Y40)+N(Y41)+N(Y42)+N(Y43)+N(Y44)+N(Y45)+N(Y46)+N(Y47)+N(Y48)+N(Y49)+N(Y50)+N(Y51)+N(Y52)+N(Y53)+N(Y54)+N(Y55)+N(Y56)+N(Y57)+N(Y68)-N(Y71),-5)</f>
        <v>0</v>
      </c>
      <c r="Z74" s="260">
        <f>ROUND(N(Z40)+N(Z41)+N(Z42)+N(Z43)+N(Z44)+N(Z45)+N(Z46)+N(Z47)+N(Z48)+N(Z49)+N(Z50)+N(Z51)+N(Z52)+N(Z53)+N(Z54)+N(Z55)+N(Z56)+N(Z57)+N(Z68)-N(Z71),-5)</f>
        <v>0</v>
      </c>
      <c r="AA74" s="260">
        <f>ROUND(N(AA40)+N(AA41)+N(AA42)+N(AA43)+N(AA44)+N(AA45)+N(AA46)+N(AA47)+N(AA48)+N(AA49)+N(AA50)+N(AA51)+N(AA52)+N(AA53)+N(AA54)+N(AA55)+N(AA56)+N(AA57)+N(AA68)-N(AA71),-5)</f>
        <v>0</v>
      </c>
      <c r="AB74" s="260">
        <f>ROUND(N(AB40)+N(AB41)+N(AB42)+N(AB43)+N(AB44)+N(AB45)+N(AB46)+N(AB47)+N(AB48)+N(AB49)+N(AB50)+N(AB51)+N(AB52)+N(AB53)+N(AB54)+N(AB55)+N(AB56)+N(AB57)+N(AB68)-N(AB71),-5)</f>
        <v>0</v>
      </c>
      <c r="AC74" s="260">
        <f>ROUND(N(AC40)+N(AC41)+N(AC42)+N(AC43)+N(AC44)+N(AC45)+N(AC46)+N(AC47)+N(AC48)+N(AC49)+N(AC50)+N(AC51)+N(AC52)+N(AC53)+N(AC54)+N(AC55)+N(AC56)+N(AC57)+N(AC68)-N(AC71),-5)</f>
        <v>0</v>
      </c>
      <c r="AD74" s="260">
        <f>ROUND(N(AD40)+N(AD41)+N(AD42)+N(AD43)+N(AD44)+N(AD45)+N(AD46)+N(AD47)+N(AD48)+N(AD49)+N(AD50)+N(AD51)+N(AD52)+N(AD53)+N(AD54)+N(AD55)+N(AD56)+N(AD57)+N(AD68)-N(AD71),-5)</f>
        <v>0</v>
      </c>
      <c r="AE74" s="260">
        <f>ROUND(N(AE40)+N(AE41)+N(AE42)+N(AE43)+N(AE44)+N(AE45)+N(AE46)+N(AE47)+N(AE48)+N(AE49)+N(AE50)+N(AE51)+N(AE52)+N(AE53)+N(AE54)+N(AE55)+N(AE56)+N(AE57)+N(AE68)-N(AE71),-5)</f>
        <v>0</v>
      </c>
      <c r="AF74" s="260">
        <f>ROUND(N(AF40)+N(AF41)+N(AF42)+N(AF43)+N(AF44)+N(AF45)+N(AF46)+N(AF47)+N(AF48)+N(AF49)+N(AF50)+N(AF51)+N(AF52)+N(AF53)+N(AF54)+N(AF55)+N(AF56)+N(AF57)+N(AF68)-N(AF71),-5)</f>
        <v>0</v>
      </c>
      <c r="AG74" s="260">
        <f>ROUND(N(AG40)+N(AG41)+N(AG42)+N(AG43)+N(AG44)+N(AG45)+N(AG46)+N(AG47)+N(AG48)+N(AG49)+N(AG50)+N(AG51)+N(AG52)+N(AG53)+N(AG54)+N(AG55)+N(AG56)+N(AG57)+N(AG68)-N(AG71),-5)</f>
        <v>0</v>
      </c>
      <c r="AH74" s="260">
        <f>ROUND(N(AH40)+N(AH41)+N(AH42)+N(AH43)+N(AH44)+N(AH45)+N(AH46)+N(AH47)+N(AH48)+N(AH49)+N(AH50)+N(AH51)+N(AH52)+N(AH53)+N(AH54)+N(AH55)+N(AH56)+N(AH57)+N(AH68)-N(AH71),-5)</f>
        <v>0</v>
      </c>
      <c r="AI74" s="260">
        <f>ROUND(N(AI40)+N(AI41)+N(AI42)+N(AI43)+N(AI44)+N(AI45)+N(AI46)+N(AI47)+N(AI48)+N(AI49)+N(AI50)+N(AI51)+N(AI52)+N(AI53)+N(AI54)+N(AI55)+N(AI56)+N(AI57)+N(AI68)-N(AI71),-5)</f>
        <v>0</v>
      </c>
      <c r="AJ74" s="260">
        <f>ROUND(N(AJ40)+N(AJ41)+N(AJ42)+N(AJ43)+N(AJ44)+N(AJ45)+N(AJ46)+N(AJ47)+N(AJ48)+N(AJ49)+N(AJ50)+N(AJ51)+N(AJ52)+N(AJ53)+N(AJ54)+N(AJ55)+N(AJ56)+N(AJ57)+N(AJ68)-N(AJ71),-5)</f>
        <v>0</v>
      </c>
    </row>
    <row r="75">
      <c r="H75" t="inlineStr">
        <is>
          <t>CHECK: receita - custo - despesas + não operacional - IR - minoritários + outros após IR - lucro (deve ser 0)</t>
        </is>
      </c>
      <c r="J75" t="inlineStr">
        <is>
          <t>derivada</t>
        </is>
      </c>
      <c r="K75">
        <f>ROUND(N(K6)-N(K7)-N(K9)+N(K11)-N(K13)-N(K14)+N(K16)-N(K17),-5)</f>
        <v>0</v>
      </c>
      <c r="L75">
        <f>ROUND(N(L6)-N(L7)-N(L9)+N(L11)-N(L13)-N(L14)+N(L16)-N(L17),-5)</f>
        <v>0</v>
      </c>
      <c r="M75">
        <f>ROUND(N(M6)-N(M7)-N(M9)+N(M11)-N(M13)-N(M14)+N(M16)-N(M17),-5)</f>
        <v>0</v>
      </c>
      <c r="N75">
        <f>ROUND(N(N6)-N(N7)-N(N9)+N(N11)-N(N13)-N(N14)+N(N16)-N(N17),-5)</f>
        <v>0</v>
      </c>
      <c r="O75">
        <f>ROUND(N(O6)-N(O7)-N(O9)+N(O11)-N(O13)-N(O14)+N(O16)-N(O17),-5)</f>
        <v>0</v>
      </c>
      <c r="P75">
        <f>ROUND(N(P6)-N(P7)-N(P9)+N(P11)-N(P13)-N(P14)+N(P16)-N(P17),-5)</f>
        <v>0</v>
      </c>
      <c r="Q75">
        <f>ROUND(N(Q6)-N(Q7)-N(Q9)+N(Q11)-N(Q13)-N(Q14)+N(Q16)-N(Q17),-5)</f>
        <v>0</v>
      </c>
      <c r="R75">
        <f>ROUND(N(R6)-N(R7)-N(R9)+N(R11)-N(R13)-N(R14)+N(R16)-N(R17),-5)</f>
        <v>0</v>
      </c>
      <c r="S75">
        <f>ROUND(N(S6)-N(S7)-N(S9)+N(S11)-N(S13)-N(S14)+N(S16)-N(S17),-5)</f>
        <v>0</v>
      </c>
      <c r="T75">
        <f>ROUND(N(T6)-N(T7)-N(T9)+N(T11)-N(T13)-N(T14)+N(T16)-N(T17),-5)</f>
        <v>0</v>
      </c>
      <c r="U75">
        <f>ROUND(N(U6)-N(U7)-N(U9)+N(U11)-N(U13)-N(U14)+N(U16)-N(U17),-5)</f>
        <v>0</v>
      </c>
      <c r="V75">
        <f>ROUND(N(V6)-N(V7)-N(V9)+N(V11)-N(V13)-N(V14)+N(V16)-N(V17),-5)</f>
        <v>0</v>
      </c>
      <c r="W75">
        <f>ROUND(N(W6)-N(W7)-N(W9)+N(W11)-N(W13)-N(W14)+N(W16)-N(W17),-5)</f>
        <v>0</v>
      </c>
      <c r="X75">
        <f>ROUND(N(X6)-N(X7)-N(X9)+N(X11)-N(X13)-N(X14)+N(X16)-N(X17),-5)</f>
        <v>0</v>
      </c>
      <c r="Y75">
        <f>ROUND(N(Y6)-N(Y7)-N(Y9)+N(Y11)-N(Y13)-N(Y14)+N(Y16)-N(Y17),-5)</f>
        <v>0</v>
      </c>
      <c r="Z75">
        <f>ROUND(N(Z6)-N(Z7)-N(Z9)+N(Z11)-N(Z13)-N(Z14)+N(Z16)-N(Z17),-5)</f>
        <v>0</v>
      </c>
      <c r="AA75">
        <f>ROUND(N(AA6)-N(AA7)-N(AA9)+N(AA11)-N(AA13)-N(AA14)+N(AA16)-N(AA17),-5)</f>
        <v>0</v>
      </c>
      <c r="AB75">
        <f>ROUND(N(AB6)-N(AB7)-N(AB9)+N(AB11)-N(AB13)-N(AB14)+N(AB16)-N(AB17),-5)</f>
        <v>0</v>
      </c>
      <c r="AC75">
        <f>ROUND(N(AC6)-N(AC7)-N(AC9)+N(AC11)-N(AC13)-N(AC14)+N(AC16)-N(AC17),-5)</f>
        <v>0</v>
      </c>
      <c r="AD75">
        <f>ROUND(N(AD6)-N(AD7)-N(AD9)+N(AD11)-N(AD13)-N(AD14)+N(AD16)-N(AD17),-5)</f>
        <v>0</v>
      </c>
      <c r="AE75">
        <f>ROUND(N(AE6)-N(AE7)-N(AE9)+N(AE11)-N(AE13)-N(AE14)+N(AE16)-N(AE17),-5)</f>
        <v>0</v>
      </c>
      <c r="AF75">
        <f>ROUND(N(AF6)-N(AF7)-N(AF9)+N(AF11)-N(AF13)-N(AF14)+N(AF16)-N(AF17),-5)</f>
        <v>0</v>
      </c>
      <c r="AG75">
        <f>ROUND(N(AG6)-N(AG7)-N(AG9)+N(AG11)-N(AG13)-N(AG14)+N(AG16)-N(AG17),-5)</f>
        <v>0</v>
      </c>
      <c r="AH75">
        <f>ROUND(N(AH6)-N(AH7)-N(AH9)+N(AH11)-N(AH13)-N(AH14)+N(AH16)-N(AH17),-5)</f>
        <v>0</v>
      </c>
      <c r="AI75">
        <f>ROUND(N(AI6)-N(AI7)-N(AI9)+N(AI11)-N(AI13)-N(AI14)+N(AI16)-N(AI17),-5)</f>
        <v>0</v>
      </c>
      <c r="AJ75">
        <f>ROUND(N(AJ6)-N(AJ7)-N(AJ9)+N(AJ11)-N(AJ13)-N(AJ14)+N(AJ16)-N(AJ17),-5)</f>
        <v>0</v>
      </c>
    </row>
    <row r="77">
      <c r="H77" s="254" t="inlineStr">
        <is>
          <t>DRIVERS (codigos 45+): lucro por segmento Upstream x Downstream (até 3T24) e receita de petróleo e gás EUA x exterior - SEC XBRL (USD, fator 0,000001).</t>
        </is>
      </c>
    </row>
    <row r="78">
      <c r="A78" t="n">
        <v>45</v>
      </c>
      <c r="B78" t="n">
        <v>1</v>
      </c>
      <c r="G78" t="inlineStr">
        <is>
          <t>moeda</t>
        </is>
      </c>
      <c r="H78" t="inlineStr">
        <is>
          <t>Lucro Upstream (USD)</t>
        </is>
      </c>
      <c r="J78" t="inlineStr">
        <is>
          <t>fonte</t>
        </is>
      </c>
      <c r="K78" s="262" t="n">
        <v>2920000000</v>
      </c>
      <c r="L78" s="262" t="n">
        <v>-6089000000</v>
      </c>
      <c r="M78" s="262" t="n">
        <v>235000000</v>
      </c>
      <c r="N78" s="262" t="n">
        <v>501000000</v>
      </c>
      <c r="O78" s="262" t="n">
        <v>2350000000</v>
      </c>
      <c r="P78" s="262" t="n">
        <v>3178000000</v>
      </c>
      <c r="Q78" s="262" t="n">
        <v>5135000000</v>
      </c>
      <c r="R78" s="262" t="n">
        <v>5155000000</v>
      </c>
      <c r="S78" s="262" t="n">
        <v>6934000000</v>
      </c>
      <c r="T78" s="262" t="n">
        <v>8558000000</v>
      </c>
      <c r="U78" s="262" t="n">
        <v>9307000000</v>
      </c>
      <c r="V78" s="262" t="n"/>
      <c r="W78" s="262" t="n">
        <v>5161000000</v>
      </c>
      <c r="X78" s="262" t="n">
        <v>4936000000</v>
      </c>
      <c r="Y78" s="262" t="n">
        <v>5755000000</v>
      </c>
      <c r="Z78" s="262" t="n"/>
      <c r="AA78" s="262" t="n">
        <v>5239000000</v>
      </c>
      <c r="AB78" s="262" t="n">
        <v>4470000000</v>
      </c>
      <c r="AC78" s="262" t="n">
        <v>4589000000</v>
      </c>
      <c r="AD78" s="262" t="n"/>
      <c r="AE78" s="262" t="n"/>
      <c r="AF78" s="262" t="n"/>
      <c r="AG78" s="262" t="n"/>
      <c r="AH78" s="262" t="n"/>
      <c r="AI78" s="262" t="n"/>
      <c r="AJ78" s="262" t="n"/>
    </row>
    <row r="79">
      <c r="A79" t="n">
        <v>46</v>
      </c>
      <c r="B79" t="n">
        <v>1</v>
      </c>
      <c r="G79" t="inlineStr">
        <is>
          <t>moeda</t>
        </is>
      </c>
      <c r="H79" t="inlineStr">
        <is>
          <t>Lucro Downstream (USD)</t>
        </is>
      </c>
      <c r="J79" t="inlineStr">
        <is>
          <t>fonte</t>
        </is>
      </c>
      <c r="K79" s="262" t="n">
        <v>1103000000</v>
      </c>
      <c r="L79" s="262" t="n">
        <v>-1010000000</v>
      </c>
      <c r="M79" s="262" t="n">
        <v>292000000</v>
      </c>
      <c r="N79" s="262" t="n">
        <v>-338000000</v>
      </c>
      <c r="O79" s="262" t="n">
        <v>5000000</v>
      </c>
      <c r="P79" s="262" t="n">
        <v>839000000</v>
      </c>
      <c r="Q79" s="262" t="n">
        <v>1310000000</v>
      </c>
      <c r="R79" s="262" t="n">
        <v>760000000</v>
      </c>
      <c r="S79" s="262" t="n">
        <v>331000000</v>
      </c>
      <c r="T79" s="262" t="n">
        <v>3523000000</v>
      </c>
      <c r="U79" s="262" t="n">
        <v>2530000000</v>
      </c>
      <c r="V79" s="262" t="n"/>
      <c r="W79" s="262" t="n">
        <v>1800000000</v>
      </c>
      <c r="X79" s="262" t="n">
        <v>1507000000</v>
      </c>
      <c r="Y79" s="262" t="n">
        <v>1683000000</v>
      </c>
      <c r="Z79" s="262" t="n"/>
      <c r="AA79" s="262" t="n">
        <v>783000000</v>
      </c>
      <c r="AB79" s="262" t="n">
        <v>597000000</v>
      </c>
      <c r="AC79" s="262" t="n">
        <v>595000000</v>
      </c>
      <c r="AD79" s="262" t="n"/>
      <c r="AE79" s="262" t="n"/>
      <c r="AF79" s="262" t="n"/>
      <c r="AG79" s="262" t="n"/>
      <c r="AH79" s="262" t="n"/>
      <c r="AI79" s="262" t="n"/>
      <c r="AJ79" s="262" t="n"/>
    </row>
    <row r="80">
      <c r="A80" t="n">
        <v>47</v>
      </c>
      <c r="B80" t="n">
        <v>1</v>
      </c>
      <c r="G80" t="inlineStr">
        <is>
          <t>moeda</t>
        </is>
      </c>
      <c r="H80" t="inlineStr">
        <is>
          <t>Receita de óleo e gás EUA (USD)</t>
        </is>
      </c>
      <c r="J80" t="inlineStr">
        <is>
          <t>fonte</t>
        </is>
      </c>
      <c r="K80" s="262" t="n">
        <v>15862000000</v>
      </c>
      <c r="L80" s="262" t="n">
        <v>8006000000</v>
      </c>
      <c r="M80" s="262" t="n">
        <v>11722000000</v>
      </c>
      <c r="N80" s="262" t="n">
        <v>12320000000</v>
      </c>
      <c r="O80" s="262" t="n">
        <v>16669000000</v>
      </c>
      <c r="P80" s="262" t="n">
        <v>20155000000</v>
      </c>
      <c r="Q80" s="262" t="n">
        <v>23445000000</v>
      </c>
      <c r="R80" s="262" t="n">
        <v>26665000000</v>
      </c>
      <c r="S80" s="262" t="n">
        <v>31170000000</v>
      </c>
      <c r="T80" s="262" t="n">
        <v>40240000000</v>
      </c>
      <c r="U80" s="262" t="n">
        <v>37383000000</v>
      </c>
      <c r="V80" s="262" t="n">
        <v>34368000000</v>
      </c>
      <c r="W80" s="262" t="n">
        <v>29121000000</v>
      </c>
      <c r="X80" s="262" t="n">
        <v>29166000000</v>
      </c>
      <c r="Y80" s="262" t="n">
        <v>33176000000</v>
      </c>
      <c r="Z80" s="262" t="n">
        <v>32814000000</v>
      </c>
      <c r="AA80" s="262" t="n">
        <v>31527000000</v>
      </c>
      <c r="AB80" s="262" t="n">
        <v>32922000000</v>
      </c>
      <c r="AC80" s="262" t="n">
        <v>31035000000</v>
      </c>
      <c r="AD80" s="262" t="n"/>
      <c r="AE80" s="262" t="n"/>
      <c r="AF80" s="262" t="n"/>
      <c r="AG80" s="262" t="n"/>
      <c r="AH80" s="262" t="n"/>
      <c r="AI80" s="262" t="n"/>
      <c r="AJ80" s="262" t="n"/>
    </row>
    <row r="81">
      <c r="A81" t="n">
        <v>48</v>
      </c>
      <c r="B81" t="n">
        <v>1</v>
      </c>
      <c r="G81" t="inlineStr">
        <is>
          <t>moeda</t>
        </is>
      </c>
      <c r="H81" t="inlineStr">
        <is>
          <t>Receita de óleo e gás fora dos EUA (USD)</t>
        </is>
      </c>
      <c r="J81" t="inlineStr">
        <is>
          <t>fonte</t>
        </is>
      </c>
      <c r="K81" s="262" t="n">
        <v>21188000000</v>
      </c>
      <c r="L81" s="262" t="n">
        <v>11079000000</v>
      </c>
      <c r="M81" s="262" t="n">
        <v>16563000000</v>
      </c>
      <c r="N81" s="262" t="n">
        <v>16925000000</v>
      </c>
      <c r="O81" s="262" t="n">
        <v>20372000000</v>
      </c>
      <c r="P81" s="262" t="n">
        <v>23121000000</v>
      </c>
      <c r="Q81" s="262" t="n">
        <v>26759000000</v>
      </c>
      <c r="R81" s="262" t="n">
        <v>28769000000</v>
      </c>
      <c r="S81" s="262" t="n">
        <v>33109000000</v>
      </c>
      <c r="T81" s="262" t="n">
        <v>39674000000</v>
      </c>
      <c r="U81" s="262" t="n">
        <v>37953000000</v>
      </c>
      <c r="V81" s="262" t="n">
        <v>33164000000</v>
      </c>
      <c r="W81" s="262" t="n">
        <v>30302000000</v>
      </c>
      <c r="X81" s="262" t="n">
        <v>29242000000</v>
      </c>
      <c r="Y81" s="262" t="n">
        <v>31662000000</v>
      </c>
      <c r="Z81" s="262" t="n">
        <v>30659000000</v>
      </c>
      <c r="AA81" s="262" t="n">
        <v>28875000000</v>
      </c>
      <c r="AB81" s="262" t="n">
        <v>30852000000</v>
      </c>
      <c r="AC81" s="262" t="n">
        <v>30819000000</v>
      </c>
      <c r="AD81" s="262" t="n"/>
      <c r="AE81" s="262" t="n"/>
      <c r="AF81" s="262" t="n"/>
      <c r="AG81" s="262" t="n"/>
      <c r="AH81" s="262" t="n"/>
      <c r="AI81" s="262" t="n"/>
      <c r="AJ81" s="262" t="n"/>
    </row>
    <row r="82">
      <c r="H82" t="inlineStr">
        <is>
          <t>Notas: valores dimensionais das instâncias XBRL. A Chevron não etiqueta a abertura por segmento nos períodos mais recentes do mesmo jeito; ficam em branco onde não há dado. O lucro operacional do modelo é receita total (inclui equivalência e outras receitas) - custos totais + juros.</t>
        </is>
      </c>
    </row>
    <row r="123">
      <c r="H123" s="254" t="inlineStr">
        <is>
          <t>CONVENCOES</t>
        </is>
      </c>
    </row>
    <row r="124">
      <c r="H124" t="inlineStr">
        <is>
          <t>Linhas de origem: 5 a 82. As formulas da Inputs (2) varrem as linhas 5 a 120; as linhas 83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48: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6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48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32029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37597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44710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48129</v>
      </c>
      <c r="H4" s="3">
        <f>SUM(D4:G4)</f>
        <v>162465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54373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68762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66644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56473</v>
      </c>
      <c r="M4" s="3">
        <f>SUM(I4:L4)</f>
        <v>246252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50793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48896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54080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47180</v>
      </c>
      <c r="R4" s="3">
        <f>SUM(N4:Q4)</f>
        <v>200949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48716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51181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50669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52226</v>
      </c>
      <c r="W4" s="3">
        <f>SUM(S4:V4)</f>
        <v>202792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47610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44822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49726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46873</v>
      </c>
      <c r="AB4" s="3">
        <f>SUM(X4:AA4)</f>
        <v>189031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48607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70055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31501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13494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24451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25246</v>
      </c>
      <c r="AL4" s="3">
        <f>SUM(AH4:AK4)</f>
        <v>94692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-17568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-20629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-23834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-27341</v>
      </c>
      <c r="H5" s="3">
        <f>SUM(D5:G5)</f>
        <v>-89372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-33411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-40684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-38751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-32570</v>
      </c>
      <c r="M5" s="3">
        <f>SUM(I5:L5)</f>
        <v>-145416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-29407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-28984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-32328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-28477</v>
      </c>
      <c r="R5" s="3">
        <f>SUM(N5:Q5)</f>
        <v>-119196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-27741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-30867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-30450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-30148</v>
      </c>
      <c r="W5" s="3">
        <f>SUM(S5:V5)</f>
        <v>-119206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-28610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-26858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-27398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-25348</v>
      </c>
      <c r="AB5" s="3">
        <f>SUM(X5:AA5)</f>
        <v>-108214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-28265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-36607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-15509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-8144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-13448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-13387</v>
      </c>
      <c r="AL5" s="3">
        <f>SUM(AH5:AK5)</f>
        <v>-50488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-7800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-7839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-8343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-8835</v>
      </c>
      <c r="H6" s="3">
        <f>SUM(D6:G6)</f>
        <v>-32817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-8118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-8246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-8755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-9208</v>
      </c>
      <c r="M6" s="3">
        <f>SUM(I6:L6)</f>
        <v>-34327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-8226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-8434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-8875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-8839</v>
      </c>
      <c r="R6" s="3">
        <f>SUM(N6:Q6)</f>
        <v>-34374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-8844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-9161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-9352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-10847</v>
      </c>
      <c r="W6" s="3">
        <f>SUM(S6:V6)</f>
        <v>-38204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-9082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-9199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-10763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-10681</v>
      </c>
      <c r="AB6" s="3">
        <f>SUM(X6:AA6)</f>
        <v>-39725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-10243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-10330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-7397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-9058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-6866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-8131</v>
      </c>
      <c r="AL6" s="3">
        <f>SUM(AH6:AK6)</f>
        <v>-31452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-4286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-4522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-4304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-4813</v>
      </c>
      <c r="H7" s="3">
        <f>SUM(D7:G7)</f>
        <v>-17925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-3654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-3700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-4201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-4764</v>
      </c>
      <c r="M7" s="3">
        <f>SUM(I7:L7)</f>
        <v>-16319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-3526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-3521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-4025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-6254</v>
      </c>
      <c r="R7" s="3">
        <f>SUM(N7:Q7)</f>
        <v>-17326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-4091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-4004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-4214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-4973</v>
      </c>
      <c r="W7" s="3">
        <f>SUM(S7:V7)</f>
        <v>-17282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-4123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-4344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-5781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-5884</v>
      </c>
      <c r="AB7" s="3">
        <f>SUM(X7:AA7)</f>
        <v>-20132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-5808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-6082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-4288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-6717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-4017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-4486</v>
      </c>
      <c r="AL7" s="3">
        <f>SUM(AH7:AK7)</f>
        <v>-19508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-198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-185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-174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-155</v>
      </c>
      <c r="H8" s="3">
        <f>SUM(D8:G8)</f>
        <v>-712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-136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-129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-128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-123</v>
      </c>
      <c r="M8" s="3">
        <f>SUM(I8:L8)</f>
        <v>-516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-115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-120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-114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-120</v>
      </c>
      <c r="R8" s="3">
        <f>SUM(N8:Q8)</f>
        <v>-469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-118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-113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-164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-199</v>
      </c>
      <c r="W8" s="3">
        <f>SUM(S8:V8)</f>
        <v>-594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-212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-274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-370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-361</v>
      </c>
      <c r="AB8" s="3">
        <f>SUM(X8:AA8)</f>
        <v>-1217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-345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-352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-162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-172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-164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-199</v>
      </c>
      <c r="AL8" s="3">
        <f>SUM(AH8:AK8)</f>
        <v>-697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0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0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0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0</v>
      </c>
      <c r="H9" s="3">
        <f>SUM(D9:G9)</f>
        <v>0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0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0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0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0</v>
      </c>
      <c r="M9" s="3">
        <f>SUM(I9:L9)</f>
        <v>0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0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0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0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0</v>
      </c>
      <c r="R9" s="3">
        <f>SUM(N9:Q9)</f>
        <v>0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0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0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0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0</v>
      </c>
      <c r="W9" s="3">
        <f>SUM(S9:V9)</f>
        <v>0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0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0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0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9" s="3">
        <f>SUM(X9:AA9)</f>
        <v>0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9" s="3">
        <f>SUM(AH9:AK9)</f>
        <v>0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-779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-1328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-1940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-1903</v>
      </c>
      <c r="H10" s="3">
        <f>SUM(D10:G10)</f>
        <v>-5950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-2777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-4288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-3571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-3430</v>
      </c>
      <c r="M10" s="3">
        <f>SUM(I10:L10)</f>
        <v>-14066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-2914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-1829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-2183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-1247</v>
      </c>
      <c r="R10" s="3">
        <f>SUM(N10:Q10)</f>
        <v>-8173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-2371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-2593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-1993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-2800</v>
      </c>
      <c r="W10" s="3">
        <f>SUM(S10:V10)</f>
        <v>-9757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-2071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-1632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-1801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-1754</v>
      </c>
      <c r="AB10" s="3">
        <f>SUM(X10:AA10)</f>
        <v>-7258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-1653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-4470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-564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2320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-165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301</v>
      </c>
      <c r="AL10" s="3">
        <f>SUM(AH10:AK10)</f>
        <v>1892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3">
        <f>SUM(X11:AA11)</f>
        <v>0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-21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-12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-4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-27</v>
      </c>
      <c r="H12" s="3">
        <f>SUM(D12:G12)</f>
        <v>-64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-18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-93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-7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-25</v>
      </c>
      <c r="M12" s="3">
        <f>SUM(I12:L12)</f>
        <v>-143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-31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2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-29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16</v>
      </c>
      <c r="R12" s="3">
        <f>SUM(N12:Q12)</f>
        <v>-42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-50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-9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-9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-20</v>
      </c>
      <c r="W12" s="3">
        <f>SUM(S12:V12)</f>
        <v>-88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-12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-25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-74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-75</v>
      </c>
      <c r="AB12" s="3">
        <f>SUM(X12:AA12)</f>
        <v>-186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-83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-142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18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7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2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-9</v>
      </c>
      <c r="AL12" s="3">
        <f>SUM(AH12:AK12)</f>
        <v>18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-2468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-2573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-2571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-2567</v>
      </c>
      <c r="H13" s="3">
        <f>SUM(D13:G13)</f>
        <v>-10179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-2746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-2766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-2743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-2713</v>
      </c>
      <c r="M13" s="3">
        <f>SUM(I13:L13)</f>
        <v>-10968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-2857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-2818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-2852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-2809</v>
      </c>
      <c r="R13" s="3">
        <f>SUM(N13:Q13)</f>
        <v>-11336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-3003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-2978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-2933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-2887</v>
      </c>
      <c r="W13" s="3">
        <f>SUM(S13:V13)</f>
        <v>-11801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-2984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-2934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-3429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-3404</v>
      </c>
      <c r="AB13" s="3">
        <f>SUM(X13:AA13)</f>
        <v>-12751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-3526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-3504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-2402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-2394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-2390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-2465</v>
      </c>
      <c r="AL13" s="3">
        <f>SUM(AH13:AK13)</f>
        <v>-9651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32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34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34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35</v>
      </c>
      <c r="H15" s="3">
        <f>G15</f>
        <v>35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33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12370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15431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17901</v>
      </c>
      <c r="M15" s="3">
        <f>L15</f>
        <v>17901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15798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9610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5938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8223</v>
      </c>
      <c r="R15" s="3">
        <f>Q15</f>
        <v>8223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6278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4008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0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0</v>
      </c>
      <c r="W15" s="3">
        <f>V15</f>
        <v>0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0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0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0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5" s="3">
        <f>AA15</f>
        <v>0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50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59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28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31</v>
      </c>
      <c r="AL15" s="3">
        <f>AK15</f>
        <v>31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14118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15705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16567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18419</v>
      </c>
      <c r="H16" s="3">
        <f>G16</f>
        <v>18419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23255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26860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22466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20456</v>
      </c>
      <c r="M16" s="3">
        <f>L16</f>
        <v>20456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19021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19285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21993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19921</v>
      </c>
      <c r="R16" s="3">
        <f>Q16</f>
        <v>19921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20414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20752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19591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20684</v>
      </c>
      <c r="W16" s="3">
        <f>V16</f>
        <v>20684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19560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17663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17887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18075</v>
      </c>
      <c r="AB16" s="3">
        <f>AA16</f>
        <v>18075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25256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24575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10167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8570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9722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11471</v>
      </c>
      <c r="AL16" s="3">
        <f>AK16</f>
        <v>11471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3">
        <f>G17</f>
        <v>0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3">
        <f>L17</f>
        <v>0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3">
        <f>Q17</f>
        <v>0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3">
        <f>V17</f>
        <v>0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3">
        <f>AA17</f>
        <v>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3">
        <f>G18</f>
        <v>0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3">
        <f>L18</f>
        <v>0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3">
        <f>Q18</f>
        <v>0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3">
        <f>V18</f>
        <v>0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3">
        <f>AA18</f>
        <v>0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3587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3468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3409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3339</v>
      </c>
      <c r="H19" s="3">
        <f>G19</f>
        <v>3339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3225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4243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4604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3739</v>
      </c>
      <c r="M19" s="3">
        <f>L19</f>
        <v>3739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4300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4697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4373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4372</v>
      </c>
      <c r="R19" s="3">
        <f>Q19</f>
        <v>4372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3874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4132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4168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4368</v>
      </c>
      <c r="W19" s="3">
        <f>V19</f>
        <v>4368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5204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4149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4816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4469</v>
      </c>
      <c r="AB19" s="3">
        <f>AA19</f>
        <v>4469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5023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5509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3279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2737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2506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3304</v>
      </c>
      <c r="AL19" s="3">
        <f>AK19</f>
        <v>3304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12696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13766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12127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11945</v>
      </c>
      <c r="H20" s="3">
        <f>G20</f>
        <v>11945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18196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7715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9002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8247</v>
      </c>
      <c r="M20" s="3">
        <f>L20</f>
        <v>8247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9232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9198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9428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8612</v>
      </c>
      <c r="R20" s="3">
        <f>Q20</f>
        <v>8612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9942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10477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14428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15859</v>
      </c>
      <c r="W20" s="3">
        <f>V20</f>
        <v>15859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13810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12879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18163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16008</v>
      </c>
      <c r="AB20" s="3">
        <f>AA20</f>
        <v>16008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15881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19052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15066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12366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12547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11272</v>
      </c>
      <c r="AL20" s="3">
        <f>AK20</f>
        <v>11272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154003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151208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147945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146961</v>
      </c>
      <c r="H22" s="3">
        <f>G22</f>
        <v>146961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144444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144410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144144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143591</v>
      </c>
      <c r="M22" s="3">
        <f>L22</f>
        <v>143591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142951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142768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153972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153619</v>
      </c>
      <c r="R22" s="3">
        <f>Q22</f>
        <v>153619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153641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153003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147891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147799</v>
      </c>
      <c r="W22" s="3">
        <f>V22</f>
        <v>147799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148124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147442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219494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219729</v>
      </c>
      <c r="AB22" s="3">
        <f>AA22</f>
        <v>219729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218149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215937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149220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143850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142383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156618</v>
      </c>
      <c r="AL22" s="3">
        <f>AK22</f>
        <v>156618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3">
        <f>G23</f>
        <v>0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3">
        <f>L23</f>
        <v>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3">
        <f>Q23</f>
        <v>0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3">
        <f>V23</f>
        <v>0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4402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4402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4402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4385</v>
      </c>
      <c r="H24" s="3">
        <f>G24</f>
        <v>4385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4374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4663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4663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4722</v>
      </c>
      <c r="M24" s="3">
        <f>L24</f>
        <v>4722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4722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4722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4722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4722</v>
      </c>
      <c r="R24" s="3">
        <f>Q24</f>
        <v>4722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4722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4722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4722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4578</v>
      </c>
      <c r="W24" s="3">
        <f>V24</f>
        <v>4578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4568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4568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4568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4568</v>
      </c>
      <c r="AB24" s="3">
        <f>AA24</f>
        <v>4568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4568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4568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4454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4416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4416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4402</v>
      </c>
      <c r="AL24" s="3">
        <f>AK24</f>
        <v>4402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3">
        <f>G25</f>
        <v>0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0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0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0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0</v>
      </c>
      <c r="M25" s="3">
        <f>L25</f>
        <v>0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0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0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0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0</v>
      </c>
      <c r="R25" s="3">
        <f>Q25</f>
        <v>0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0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0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0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0</v>
      </c>
      <c r="W25" s="3">
        <f>V25</f>
        <v>0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0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0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0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5" s="3">
        <f>AA25</f>
        <v>0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52807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54223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55464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54451</v>
      </c>
      <c r="H26" s="3">
        <f>G26</f>
        <v>54451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55521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57675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59425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59053</v>
      </c>
      <c r="M26" s="3">
        <f>L26</f>
        <v>59053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59862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61499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63501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62163</v>
      </c>
      <c r="R26" s="3">
        <f>Q26</f>
        <v>62163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62780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63550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68432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63650</v>
      </c>
      <c r="W26" s="3">
        <f>V26</f>
        <v>63650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65131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64119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61573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61163</v>
      </c>
      <c r="AB26" s="3">
        <f>AA26</f>
        <v>61163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60674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60494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54441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51405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51461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52692</v>
      </c>
      <c r="AL26" s="3">
        <f>AK26</f>
        <v>52692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12858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14719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15308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16454</v>
      </c>
      <c r="H28" s="3">
        <f>G28</f>
        <v>16454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20137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24906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21699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18955</v>
      </c>
      <c r="M28" s="3">
        <f>L28</f>
        <v>18955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17942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18656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21649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20423</v>
      </c>
      <c r="R28" s="3">
        <f>Q28</f>
        <v>20423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21257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21007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20037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22079</v>
      </c>
      <c r="W28" s="3">
        <f>V28</f>
        <v>22079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20878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18609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19073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19280</v>
      </c>
      <c r="AB28" s="3">
        <f>AA28</f>
        <v>19280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23181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24419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11006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8250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9537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10950</v>
      </c>
      <c r="AL28" s="3">
        <f>AK28</f>
        <v>10950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7557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7680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6938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6972</v>
      </c>
      <c r="H29" s="3">
        <f>G29</f>
        <v>6972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6974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6710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7181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7486</v>
      </c>
      <c r="M29" s="3">
        <f>L29</f>
        <v>7486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6658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7262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7618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7655</v>
      </c>
      <c r="R29" s="3">
        <f>Q29</f>
        <v>7655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7777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9054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8313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8486</v>
      </c>
      <c r="W29" s="3">
        <f>V29</f>
        <v>8486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8374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8117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10541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10763</v>
      </c>
      <c r="AB29" s="3">
        <f>AA29</f>
        <v>10763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10349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10840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6263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7405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7944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7812</v>
      </c>
      <c r="AL29" s="3">
        <f>AK29</f>
        <v>7812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1315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1212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1467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1700</v>
      </c>
      <c r="H30" s="3">
        <f>G30</f>
        <v>1700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2573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2922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4020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4381</v>
      </c>
      <c r="M30" s="3">
        <f>L30</f>
        <v>4381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4883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1548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1927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1863</v>
      </c>
      <c r="R30" s="3">
        <f>Q30</f>
        <v>1863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2001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893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702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1872</v>
      </c>
      <c r="W30" s="3">
        <f>V30</f>
        <v>1872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842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659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914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844</v>
      </c>
      <c r="AB30" s="3">
        <f>AA30</f>
        <v>844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1312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2204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1534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628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788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921</v>
      </c>
      <c r="AL30" s="3">
        <f>AK30</f>
        <v>921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909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1039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1184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1409</v>
      </c>
      <c r="H31" s="3">
        <f>G31</f>
        <v>1409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1205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1353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1762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1422</v>
      </c>
      <c r="M31" s="3">
        <f>L31</f>
        <v>1422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1321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1112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1629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1788</v>
      </c>
      <c r="R31" s="3">
        <f>Q31</f>
        <v>1788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1623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1338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1522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1715</v>
      </c>
      <c r="W31" s="3">
        <f>V31</f>
        <v>1715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1532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1251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1353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1523</v>
      </c>
      <c r="AB31" s="3">
        <f>AA31</f>
        <v>1523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1506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1377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744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791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865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952</v>
      </c>
      <c r="AL31" s="3">
        <f>AK31</f>
        <v>952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4841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3497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291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256</v>
      </c>
      <c r="H32" s="3">
        <f>G32</f>
        <v>256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314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3230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2221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1964</v>
      </c>
      <c r="M32" s="3">
        <f>L32</f>
        <v>1964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2931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1269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440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529</v>
      </c>
      <c r="R32" s="3">
        <f>Q32</f>
        <v>529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282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1735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5144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4406</v>
      </c>
      <c r="W32" s="3">
        <f>V32</f>
        <v>4406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4076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6191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3591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977</v>
      </c>
      <c r="AB32" s="3">
        <f>AA32</f>
        <v>977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5828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401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8688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3751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530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1548</v>
      </c>
      <c r="AL32" s="3">
        <f>AK32</f>
        <v>1548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0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0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0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0</v>
      </c>
      <c r="H35" s="3">
        <f>G35</f>
        <v>0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0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0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0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0</v>
      </c>
      <c r="M35" s="3">
        <f>L35</f>
        <v>0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0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0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0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0</v>
      </c>
      <c r="R35" s="3">
        <f>Q35</f>
        <v>0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0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0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0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0</v>
      </c>
      <c r="W35" s="3">
        <f>V35</f>
        <v>0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0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0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0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5" s="3">
        <f>AA35</f>
        <v>0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5" s="3">
        <f>AK35</f>
        <v>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3">
        <f>G36</f>
        <v>0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3">
        <f>L36</f>
        <v>0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3">
        <f>Q36</f>
        <v>0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3">
        <f>V36</f>
        <v>0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3">
        <f>AA36</f>
        <v>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12474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13140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13546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14665</v>
      </c>
      <c r="H38" s="3">
        <f>G38</f>
        <v>14665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15526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15942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16616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17131</v>
      </c>
      <c r="M38" s="3">
        <f>L38</f>
        <v>17131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17736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18451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19637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18830</v>
      </c>
      <c r="R38" s="3">
        <f>Q38</f>
        <v>18830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19106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19509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19899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19137</v>
      </c>
      <c r="W38" s="3">
        <f>V38</f>
        <v>19137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19594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19708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29796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30014</v>
      </c>
      <c r="AB38" s="3">
        <f>AA38</f>
        <v>30014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29945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30338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13457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11110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10625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12569</v>
      </c>
      <c r="AL38" s="3">
        <f>AK38</f>
        <v>12569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68758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67608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64492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58139</v>
      </c>
      <c r="H39" s="3">
        <f>G39</f>
        <v>58139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55219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48311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46609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46128</v>
      </c>
      <c r="M39" s="3">
        <f>L39</f>
        <v>46128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43981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44183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44779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48615</v>
      </c>
      <c r="R39" s="3">
        <f>Q39</f>
        <v>48615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47949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46845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46585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46086</v>
      </c>
      <c r="W39" s="3">
        <f>V39</f>
        <v>46086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51021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49027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65633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68435</v>
      </c>
      <c r="AB39" s="3">
        <f>AA39</f>
        <v>68435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68059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64998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50071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57082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60736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72312</v>
      </c>
      <c r="AL39" s="3">
        <f>AK39</f>
        <v>72312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1168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856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991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1008</v>
      </c>
      <c r="H41" s="3">
        <f>G41</f>
        <v>1008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1016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1147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1089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1102</v>
      </c>
      <c r="M41" s="3">
        <f>L41</f>
        <v>1102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1130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1120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1133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1138</v>
      </c>
      <c r="R41" s="3">
        <f>Q41</f>
        <v>1138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1203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1207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828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839</v>
      </c>
      <c r="W41" s="3">
        <f>V41</f>
        <v>839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836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841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5757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5726</v>
      </c>
      <c r="AB41" s="3">
        <f>AA41</f>
        <v>5726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5656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5675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984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268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264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1158</v>
      </c>
      <c r="AL41" s="3">
        <f>AK41</f>
        <v>1158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18698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18876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18894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19114</v>
      </c>
      <c r="H43" s="3">
        <f>G43</f>
        <v>19114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20210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20391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20419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20492</v>
      </c>
      <c r="M43" s="3">
        <f>L43</f>
        <v>20492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20546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20590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23149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23197</v>
      </c>
      <c r="R43" s="3">
        <f>Q43</f>
        <v>23197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23275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23327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23410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23503</v>
      </c>
      <c r="W43" s="3">
        <f>V43</f>
        <v>23503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23551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23635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35644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35718</v>
      </c>
      <c r="AB43" s="3">
        <f>AA43</f>
        <v>35718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35718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35831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19107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19129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19150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18661</v>
      </c>
      <c r="AL43" s="3">
        <f>AK43</f>
        <v>18661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-41269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-40799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-41418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-41464</v>
      </c>
      <c r="H44" s="3">
        <f>G44</f>
        <v>-41464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-39158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-41015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-44720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-48196</v>
      </c>
      <c r="M44" s="3">
        <f>L44</f>
        <v>-48196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-51854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-56240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-55640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-59065</v>
      </c>
      <c r="R44" s="3">
        <f>Q44</f>
        <v>-59065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-61959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-64890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-69646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-74037</v>
      </c>
      <c r="W44" s="3">
        <f>V44</f>
        <v>-74037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-77717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-80316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-48976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-51929</v>
      </c>
      <c r="AB44" s="3">
        <f>AA44</f>
        <v>-51929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-53209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-56190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-46166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-46143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-46138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-41498</v>
      </c>
      <c r="AL44" s="3">
        <f>AK44</f>
        <v>-41498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-4586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-4295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-4418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-3889</v>
      </c>
      <c r="H45" s="3">
        <f>G45</f>
        <v>-3889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-3652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-3491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-3173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-2798</v>
      </c>
      <c r="M45" s="3">
        <f>L45</f>
        <v>-2798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-2741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-2711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-2597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-2960</v>
      </c>
      <c r="R45" s="3">
        <f>Q45</f>
        <v>-2960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-2965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-2924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-2825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-2760</v>
      </c>
      <c r="W45" s="3">
        <f>V45</f>
        <v>-2760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-2709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-2567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-2591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-2464</v>
      </c>
      <c r="AB45" s="3">
        <f>AA45</f>
        <v>-2464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-2593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-2113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-4884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-4750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-4507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-5612</v>
      </c>
      <c r="AL45" s="3">
        <f>AK45</f>
        <v>-5612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-363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-367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-371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-375</v>
      </c>
      <c r="H46" s="3">
        <f>G46</f>
        <v>-375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-375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-379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-382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-382</v>
      </c>
      <c r="M46" s="3">
        <f>L46</f>
        <v>-382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-385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-387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-390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-406</v>
      </c>
      <c r="R46" s="3">
        <f>Q46</f>
        <v>-406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-412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-417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-240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-240</v>
      </c>
      <c r="W46" s="3">
        <f>V46</f>
        <v>-240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-240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-240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-240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-240</v>
      </c>
      <c r="AB46" s="3">
        <f>AA46</f>
        <v>-240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-240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-240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-240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-240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-240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-360</v>
      </c>
      <c r="AL46" s="3">
        <f>AK46</f>
        <v>-360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159285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159640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163044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165546</v>
      </c>
      <c r="H47" s="3">
        <f>G47</f>
        <v>165546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169059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177909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186394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190024</v>
      </c>
      <c r="M47" s="3">
        <f>L47</f>
        <v>190024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193738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196926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200593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200025</v>
      </c>
      <c r="R47" s="3">
        <f>Q47</f>
        <v>200025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202514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203960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205503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205852</v>
      </c>
      <c r="W47" s="3">
        <f>V47</f>
        <v>205852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206359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205905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206006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205365</v>
      </c>
      <c r="AB47" s="3">
        <f>AA47</f>
        <v>205365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204039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212595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176113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166122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163509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160377</v>
      </c>
      <c r="AL47" s="3">
        <f>AK47</f>
        <v>160377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1377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3082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6111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5055</v>
      </c>
      <c r="H50" s="3">
        <f>SUM(D50:G50)</f>
        <v>15625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6259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11622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11231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6353</v>
      </c>
      <c r="M50" s="3">
        <f>SUM(I50:L50)</f>
        <v>35465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6574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6010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6526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2259</v>
      </c>
      <c r="R50" s="3">
        <f>SUM(N50:Q50)</f>
        <v>21369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5501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4434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4487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3239</v>
      </c>
      <c r="W50" s="3">
        <f>SUM(S50:V50)</f>
        <v>17661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3500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2490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3539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2770</v>
      </c>
      <c r="AB50" s="3">
        <f>SUM(X50:AA50)</f>
        <v>12299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2210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12072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3599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-8270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-207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-665</v>
      </c>
      <c r="AL50">
        <f>SUM(AH50:AK50)</f>
        <v>-5543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Lucro Upstream (USD)</t>
        </is>
      </c>
      <c r="D53" s="26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2350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3178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5135</v>
      </c>
      <c r="G53" s="26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5155</v>
      </c>
      <c r="H53" s="264">
        <f>SUM(D53:G53)</f>
        <v>15818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6934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8558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9307</v>
      </c>
      <c r="L53" s="263" t="e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3" s="264" t="e">
        <f>SUM(I53:L53)</f>
        <v>#N/A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5161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4936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5755</v>
      </c>
      <c r="Q53" s="263" t="e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3" s="264" t="e">
        <f>SUM(N53:Q53)</f>
        <v>#N/A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5239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4470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4589</v>
      </c>
      <c r="V53" s="263" t="e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3" s="264" t="e">
        <f>SUM(S53:V53)</f>
        <v>#N/A</v>
      </c>
      <c r="X53" s="263" t="e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3" s="263" t="e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3" s="263" t="e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3" s="263" t="e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3" s="264" t="e">
        <f>SUM(X53:AA53)</f>
        <v>#N/A</v>
      </c>
      <c r="AC53" s="263" t="e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3" s="263" t="e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2920</v>
      </c>
      <c r="AI53" s="26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-6089</v>
      </c>
      <c r="AJ53" s="26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235</v>
      </c>
      <c r="AK53" s="26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501</v>
      </c>
      <c r="AL53" s="264">
        <f>SUM(AH53:AK53)</f>
        <v>-2433</v>
      </c>
    </row>
    <row r="54">
      <c r="B54" s="46" t="n">
        <v>46</v>
      </c>
      <c r="C54" s="29" t="inlineStr">
        <is>
          <t>Lucro Downstream (USD)</t>
        </is>
      </c>
      <c r="D54" s="26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5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839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1310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760</v>
      </c>
      <c r="H54" s="264">
        <f>SUM(D54:G54)</f>
        <v>2914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331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3523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2530</v>
      </c>
      <c r="L54" s="263" t="e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4" s="264" t="e">
        <f>SUM(I54:L54)</f>
        <v>#N/A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1800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1507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1683</v>
      </c>
      <c r="Q54" s="263" t="e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4" s="264" t="e">
        <f>SUM(N54:Q54)</f>
        <v>#N/A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783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597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595</v>
      </c>
      <c r="V54" s="263" t="e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4" s="264" t="e">
        <f>SUM(S54:V54)</f>
        <v>#N/A</v>
      </c>
      <c r="X54" s="263" t="e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4" s="263" t="e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4" s="263" t="e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4" s="263" t="e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4" s="264" t="e">
        <f>SUM(X54:AA54)</f>
        <v>#N/A</v>
      </c>
      <c r="AC54" s="263" t="e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4" s="263" t="e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1103</v>
      </c>
      <c r="AI54" s="26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-1010</v>
      </c>
      <c r="AJ54" s="26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292</v>
      </c>
      <c r="AK54" s="26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-338</v>
      </c>
      <c r="AL54" s="264">
        <f>SUM(AH54:AK54)</f>
        <v>47</v>
      </c>
    </row>
    <row r="55">
      <c r="B55" s="46" t="n">
        <v>47</v>
      </c>
      <c r="C55" s="29" t="inlineStr">
        <is>
          <t>Receita de óleo e gás EUA (USD)</t>
        </is>
      </c>
      <c r="D55" s="26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16669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20155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23445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26665</v>
      </c>
      <c r="H55" s="264">
        <f>SUM(D55:G55)</f>
        <v>86934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31170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40240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37383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34368</v>
      </c>
      <c r="M55" s="264">
        <f>SUM(I55:L55)</f>
        <v>143161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29121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29166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33176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32814</v>
      </c>
      <c r="R55" s="264">
        <f>SUM(N55:Q55)</f>
        <v>124277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31527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32922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31035</v>
      </c>
      <c r="V55" s="263" t="e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5" s="264" t="e">
        <f>SUM(S55:V55)</f>
        <v>#N/A</v>
      </c>
      <c r="X55" s="263" t="e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5" s="263" t="e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5" s="263" t="e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5" s="263" t="e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5" s="264" t="e">
        <f>SUM(X55:AA55)</f>
        <v>#N/A</v>
      </c>
      <c r="AC55" s="263" t="e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5" s="263" t="e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15862</v>
      </c>
      <c r="AI55" s="26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8006</v>
      </c>
      <c r="AJ55" s="26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11722</v>
      </c>
      <c r="AK55" s="26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12320</v>
      </c>
      <c r="AL55" s="264">
        <f>SUM(AH55:AK55)</f>
        <v>47910</v>
      </c>
    </row>
    <row r="56">
      <c r="B56" s="46" t="n">
        <v>48</v>
      </c>
      <c r="C56" s="29" t="inlineStr">
        <is>
          <t>Receita de óleo e gás fora dos EUA (USD)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20372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23121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26759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28769</v>
      </c>
      <c r="H56" s="264">
        <f>SUM(D56:G56)</f>
        <v>99021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33109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39674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37953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33164</v>
      </c>
      <c r="M56" s="264">
        <f>SUM(I56:L56)</f>
        <v>143900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30302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29242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31662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30659</v>
      </c>
      <c r="R56" s="264">
        <f>SUM(N56:Q56)</f>
        <v>121865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28875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30852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30819</v>
      </c>
      <c r="V56" s="263" t="e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6" s="264" t="e">
        <f>SUM(S56:V56)</f>
        <v>#N/A</v>
      </c>
      <c r="X56" s="263" t="e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6" s="263" t="e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6" s="263" t="e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6" s="263" t="e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6" s="264" t="e">
        <f>SUM(X56:AA56)</f>
        <v>#N/A</v>
      </c>
      <c r="AC56" s="263" t="e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6" s="263" t="e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21188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11079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16563</v>
      </c>
      <c r="AK56" s="26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16925</v>
      </c>
      <c r="AL56" s="264">
        <f>SUM(AH56:AK56)</f>
        <v>65755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66"/>
  <sheetViews>
    <sheetView showGridLines="0" tabSelected="1" zoomScale="85" zoomScaleNormal="85" workbookViewId="0">
      <pane xSplit="3" ySplit="343" topLeftCell="D344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ABS(D171-D247)</f>
        <v>0</v>
      </c>
      <c r="E2" s="3">
        <f>ABS(E171-E247)</f>
        <v>0</v>
      </c>
      <c r="F2" s="3">
        <f>ABS(F171-F247)</f>
        <v>0</v>
      </c>
      <c r="G2" s="3">
        <f>ABS(G171-G247)</f>
        <v>0</v>
      </c>
      <c r="H2" s="3">
        <f>ABS(H171-H247)</f>
        <v>0</v>
      </c>
      <c r="I2" s="3">
        <f>ABS(I171-I247)</f>
        <v>0</v>
      </c>
      <c r="J2" s="3">
        <f>ABS(J171-J247)</f>
        <v>0</v>
      </c>
      <c r="K2" s="3">
        <f>ABS(K171-K247)</f>
        <v>0</v>
      </c>
      <c r="L2" s="3">
        <f>ABS(L171-L247)</f>
        <v>0</v>
      </c>
      <c r="M2" s="3">
        <f>ABS(M171-M247)</f>
        <v>0</v>
      </c>
      <c r="N2" s="3">
        <f>ABS(N171-N247)</f>
        <v>0</v>
      </c>
      <c r="O2" s="3">
        <f>ABS(O171-O247)</f>
        <v>0</v>
      </c>
      <c r="P2" s="3">
        <f>ABS(P171-P247)</f>
        <v>0</v>
      </c>
      <c r="Q2" s="3">
        <f>ABS(Q171-Q247)</f>
        <v>0</v>
      </c>
      <c r="R2" s="3">
        <f>ABS(R171-R247)</f>
        <v>0</v>
      </c>
      <c r="S2" s="3">
        <f>ABS(S171-S247)</f>
        <v>0</v>
      </c>
      <c r="T2" s="3">
        <f>ABS(T171-T247)</f>
        <v>0</v>
      </c>
      <c r="U2" s="3">
        <f>ABS(U171-U247)</f>
        <v>0</v>
      </c>
      <c r="V2" s="3">
        <f>ABS(V171-V247)</f>
        <v>0</v>
      </c>
      <c r="W2" s="3">
        <f>ABS(W171-W247)</f>
        <v>0</v>
      </c>
      <c r="X2" s="3">
        <f>ABS(X171-X247)</f>
        <v>0</v>
      </c>
      <c r="Y2" s="3">
        <f>ABS(Y171-Y247)</f>
        <v>0</v>
      </c>
      <c r="Z2" s="3">
        <f>ABS(Z171-Z247)</f>
        <v>0</v>
      </c>
      <c r="AA2" s="3">
        <f>ABS(AA171-AA247)</f>
        <v>0</v>
      </c>
      <c r="AB2" s="3">
        <f>ABS(AB171-AB247)</f>
        <v>0</v>
      </c>
      <c r="AC2" s="3">
        <f>ABS(AC171-AC247)</f>
        <v>0</v>
      </c>
      <c r="AD2" s="3">
        <f>ABS(AD171-AD247)</f>
        <v>0</v>
      </c>
      <c r="AE2" s="3">
        <f>ABS(AE171-AE247)</f>
        <v>0</v>
      </c>
      <c r="AF2" s="3">
        <f>ABS(AF171-AF247)</f>
        <v>0</v>
      </c>
      <c r="AG2" s="3">
        <f>ABS(AG171-AG247)</f>
        <v>0</v>
      </c>
      <c r="AH2" s="3">
        <f>ABS(AH171-AH247)</f>
        <v>0</v>
      </c>
      <c r="AI2" s="3">
        <f>ABS(AI171-AI247)</f>
        <v>0</v>
      </c>
      <c r="AJ2" s="3">
        <f>ABS(AJ171-AJ247)</f>
        <v>0</v>
      </c>
      <c r="AK2" s="3">
        <f>ABS(AK171-AK247)</f>
        <v>0</v>
      </c>
      <c r="AL2" s="3">
        <f>ABS(AL171-AL247)</f>
        <v>0</v>
      </c>
      <c r="AM2" s="3" t="e">
        <f>ABS(AM171-AM247)</f>
        <v>#DIV/0!</v>
      </c>
      <c r="AN2" s="3" t="e">
        <f>ABS(AN171-AN247)</f>
        <v>#DIV/0!</v>
      </c>
      <c r="AO2" s="3" t="e">
        <f>ABS(AO171-AO247)</f>
        <v>#DIV/0!</v>
      </c>
      <c r="AP2" s="3" t="e">
        <f>ABS(AP171-AP247)</f>
        <v>#DIV/0!</v>
      </c>
      <c r="AQ2" s="3" t="e">
        <f>ABS(AQ171-AQ247)</f>
        <v>#DIV/0!</v>
      </c>
      <c r="AR2" s="3" t="e">
        <f>ABS(AR171-AR247)</f>
        <v>#DIV/0!</v>
      </c>
      <c r="AS2" s="3" t="e">
        <f>ABS(AS171-AS247)</f>
        <v>#DIV/0!</v>
      </c>
      <c r="AT2" s="3" t="e">
        <f>ABS(AT171-AT247)</f>
        <v>#DIV/0!</v>
      </c>
      <c r="AU2" s="3" t="e">
        <f>ABS(AU171-AU247)</f>
        <v>#DIV/0!</v>
      </c>
      <c r="AV2" s="3" t="e">
        <f>ABS(AV171-AV247)</f>
        <v>#DIV/0!</v>
      </c>
      <c r="AW2" s="3" t="e">
        <f>ABS(AW171-AW247)</f>
        <v>#DIV/0!</v>
      </c>
      <c r="AX2" s="3" t="e">
        <f>ABS(AX171-AX247)</f>
        <v>#DIV/0!</v>
      </c>
      <c r="AY2" s="3" t="e">
        <f>ABS(AY171-AY247)</f>
        <v>#DIV/0!</v>
      </c>
      <c r="AZ2" s="3" t="e">
        <f>ABS(AZ171-AZ247)</f>
        <v>#DIV/0!</v>
      </c>
      <c r="BA2" s="3" t="e">
        <f>ABS(BA171-BA247)</f>
        <v>#DIV/0!</v>
      </c>
      <c r="BB2" s="3" t="e">
        <f>ABS(BB171-BB247)</f>
        <v>#DIV/0!</v>
      </c>
      <c r="BC2" s="3" t="e">
        <f>ABS(BC171-BC247)</f>
        <v>#DIV/0!</v>
      </c>
      <c r="BD2" s="3" t="e">
        <f>ABS(BD171-BD247)</f>
        <v>#DIV/0!</v>
      </c>
      <c r="BE2" s="3" t="e">
        <f>ABS(BE171-BE247)</f>
        <v>#DIV/0!</v>
      </c>
      <c r="BF2" s="3" t="e">
        <f>ABS(BF171-BF247)</f>
        <v>#DIV/0!</v>
      </c>
      <c r="BG2" s="3" t="e">
        <f>ABS(BG171-BG247)</f>
        <v>#DIV/0!</v>
      </c>
      <c r="BH2" s="3" t="e">
        <f>ABS(BH171-BH247)</f>
        <v>#DIV/0!</v>
      </c>
      <c r="BI2" s="3" t="e">
        <f>ABS(BI171-BI247)</f>
        <v>#DIV/0!</v>
      </c>
      <c r="BJ2" s="3" t="e">
        <f>ABS(BJ171-BJ247)</f>
        <v>#DIV/0!</v>
      </c>
      <c r="BK2" s="3" t="e">
        <f>ABS(BK171-BK247)</f>
        <v>#DIV/0!</v>
      </c>
      <c r="BL2" s="3" t="e">
        <f>ABS(BL171-BL247)</f>
        <v>#DIV/0!</v>
      </c>
      <c r="BM2" s="3" t="e">
        <f>ABS(BM171-BM247)</f>
        <v>#DIV/0!</v>
      </c>
      <c r="BN2" s="3" t="e">
        <f>ABS(BN171-BN247)</f>
        <v>#DIV/0!</v>
      </c>
      <c r="BO2" s="3" t="e">
        <f>ABS(BO171-BO247)</f>
        <v>#DIV/0!</v>
      </c>
      <c r="BP2" s="3" t="e">
        <f>ABS(BP171-BP247)</f>
        <v>#DIV/0!</v>
      </c>
      <c r="BQ2" s="3" t="e">
        <f>ABS(BQ171-BQ247)</f>
        <v>#DIV/0!</v>
      </c>
      <c r="BR2" s="3" t="e">
        <f>ABS(BR171-BR247)</f>
        <v>#DIV/0!</v>
      </c>
      <c r="BS2" s="3" t="e">
        <f>ABS(BS171-BS247)</f>
        <v>#DIV/0!</v>
      </c>
      <c r="BT2" s="3" t="e">
        <f>ABS(BT171-BT247)</f>
        <v>#DIV/0!</v>
      </c>
      <c r="BU2" s="3" t="e">
        <f>ABS(BU171-BU247)</f>
        <v>#DIV/0!</v>
      </c>
      <c r="BV2" s="3" t="e">
        <f>ABS(BV171-BV247)</f>
        <v>#DIV/0!</v>
      </c>
      <c r="BW2" s="3" t="e">
        <f>ABS(BW171-BW247)</f>
        <v>#DIV/0!</v>
      </c>
      <c r="BX2" s="3" t="e">
        <f>ABS(BX171-BX247)</f>
        <v>#DIV/0!</v>
      </c>
      <c r="BY2" s="3" t="e">
        <f>ABS(BY171-BY247)</f>
        <v>#DIV/0!</v>
      </c>
      <c r="BZ2" s="3" t="e">
        <f>ABS(BZ171-BZ247)</f>
        <v>#DIV/0!</v>
      </c>
      <c r="CA2" s="3" t="e">
        <f>ABS(CA171-CA247)</f>
        <v>#DIV/0!</v>
      </c>
      <c r="CB2" s="3" t="e">
        <f>ABS(CB171-CB247)</f>
        <v>#DIV/0!</v>
      </c>
      <c r="CC2" s="3" t="e">
        <f>ABS(CC171-CC247)</f>
        <v>#DIV/0!</v>
      </c>
      <c r="CD2" s="3" t="e">
        <f>ABS(CD171-CD247)</f>
        <v>#DIV/0!</v>
      </c>
      <c r="CE2" s="3" t="e">
        <f>ABS(CE171-CE247)</f>
        <v>#DIV/0!</v>
      </c>
      <c r="CF2" s="3" t="e">
        <f>ABS(CF171-CF247)</f>
        <v>#DIV/0!</v>
      </c>
      <c r="CG2" s="3" t="e">
        <f>ABS(CG171-CG247)</f>
        <v>#DIV/0!</v>
      </c>
      <c r="CH2" s="3" t="e">
        <f>ABS(CH171-CH247)</f>
        <v>#DIV/0!</v>
      </c>
      <c r="CI2" s="3" t="e">
        <f>ABS(CI171-CI247)</f>
        <v>#DIV/0!</v>
      </c>
      <c r="CJ2" s="3" t="e">
        <f>ABS(CJ171-CJ247)</f>
        <v>#DIV/0!</v>
      </c>
      <c r="CK2" s="3" t="e">
        <f>ABS(CK171-CK247)</f>
        <v>#DIV/0!</v>
      </c>
      <c r="CL2" s="3" t="e">
        <f>ABS(CL171-CL247)</f>
        <v>#DIV/0!</v>
      </c>
      <c r="CM2" s="3" t="e">
        <f>ABS(CM171-CM247)</f>
        <v>#DIV/0!</v>
      </c>
      <c r="CN2" s="3" t="e">
        <f>ABS(CN171-CN247)</f>
        <v>#DIV/0!</v>
      </c>
      <c r="CO2" s="3" t="e">
        <f>ABS(CO171-CO247)</f>
        <v>#DIV/0!</v>
      </c>
      <c r="CP2" s="3" t="e">
        <f>ABS(CP171-CP247)</f>
        <v>#DIV/0!</v>
      </c>
      <c r="CQ2" s="3" t="e">
        <f>ABS(CQ171-CQ247)</f>
        <v>#DIV/0!</v>
      </c>
      <c r="CR2" s="3" t="e">
        <f>ABS(CR171-CR247)</f>
        <v>#DIV/0!</v>
      </c>
      <c r="CS2" s="3" t="e">
        <f>ABS(CS171-CS247)</f>
        <v>#DIV/0!</v>
      </c>
      <c r="CT2" s="3" t="e">
        <f>ABS(CT171-CT247)</f>
        <v>#DIV/0!</v>
      </c>
      <c r="CU2" s="3" t="e">
        <f>ABS(CU171-CU247)</f>
        <v>#DIV/0!</v>
      </c>
      <c r="CV2" s="3" t="e">
        <f>ABS(CV171-CV247)</f>
        <v>#DIV/0!</v>
      </c>
      <c r="CW2" s="3" t="e">
        <f>ABS(CW171-CW247)</f>
        <v>#DIV/0!</v>
      </c>
      <c r="CX2" s="3" t="e">
        <f>ABS(CX171-CX247)</f>
        <v>#DIV/0!</v>
      </c>
      <c r="CY2" s="3" t="e">
        <f>ABS(CY171-CY247)</f>
        <v>#DIV/0!</v>
      </c>
    </row>
    <row r="3" outlineLevel="1">
      <c r="C3" s="5" t="inlineStr">
        <is>
          <t>IS</t>
        </is>
      </c>
      <c r="D3" s="3">
        <f>IF(COUNT(D4)=0,"",ABS(D111-D4))</f>
        <v>0</v>
      </c>
      <c r="E3" s="3">
        <f>IF(COUNT(E4)=0,"",ABS(E111-E4))</f>
        <v>0</v>
      </c>
      <c r="F3" s="3">
        <f>IF(COUNT(F4)=0,"",ABS(F111-F4))</f>
        <v>0</v>
      </c>
      <c r="G3" s="3">
        <f>IF(COUNT(G4)=0,"",ABS(G111-G4))</f>
        <v>0</v>
      </c>
      <c r="H3" s="3">
        <f>IF(COUNT(H4)=0,"",ABS(H111-H4))</f>
        <v>0</v>
      </c>
      <c r="I3" s="3">
        <f>IF(COUNT(I4)=0,"",ABS(I111-I4))</f>
        <v>0</v>
      </c>
      <c r="J3" s="3">
        <f>IF(COUNT(J4)=0,"",ABS(J111-J4))</f>
        <v>0</v>
      </c>
      <c r="K3" s="3">
        <f>IF(COUNT(K4)=0,"",ABS(K111-K4))</f>
        <v>0</v>
      </c>
      <c r="L3" s="3">
        <f>IF(COUNT(L4)=0,"",ABS(L111-L4))</f>
        <v>0</v>
      </c>
      <c r="M3" s="3">
        <f>IF(COUNT(M4)=0,"",ABS(M111-M4))</f>
        <v>0</v>
      </c>
      <c r="N3" s="3">
        <f>IF(COUNT(N4)=0,"",ABS(N111-N4))</f>
        <v>0</v>
      </c>
      <c r="O3" s="3">
        <f>IF(COUNT(O4)=0,"",ABS(O111-O4))</f>
        <v>0</v>
      </c>
      <c r="P3" s="3">
        <f>IF(COUNT(P4)=0,"",ABS(P111-P4))</f>
        <v>0</v>
      </c>
      <c r="Q3" s="3">
        <f>IF(COUNT(Q4)=0,"",ABS(Q111-Q4))</f>
        <v>0</v>
      </c>
      <c r="R3" s="3">
        <f>IF(COUNT(R4)=0,"",ABS(R111-R4))</f>
        <v>0</v>
      </c>
      <c r="S3" s="3">
        <f>IF(COUNT(S4)=0,"",ABS(S111-S4))</f>
        <v>0</v>
      </c>
      <c r="T3" s="3">
        <f>IF(COUNT(T4)=0,"",ABS(T111-T4))</f>
        <v>0</v>
      </c>
      <c r="U3" s="3">
        <f>IF(COUNT(U4)=0,"",ABS(U111-U4))</f>
        <v>0</v>
      </c>
      <c r="V3" s="3">
        <f>IF(COUNT(V4)=0,"",ABS(V111-V4))</f>
        <v>0</v>
      </c>
      <c r="W3" s="3">
        <f>IF(COUNT(W4)=0,"",ABS(W111-W4))</f>
        <v>0</v>
      </c>
      <c r="X3" s="3">
        <f>IF(COUNT(X4)=0,"",ABS(X111-X4))</f>
        <v>0</v>
      </c>
      <c r="Y3" s="3">
        <f>IF(COUNT(Y4)=0,"",ABS(Y111-Y4))</f>
        <v>0</v>
      </c>
      <c r="Z3" s="3">
        <f>IF(COUNT(Z4)=0,"",ABS(Z111-Z4))</f>
        <v>0</v>
      </c>
      <c r="AA3" s="3">
        <f>IF(COUNT(AA4)=0,"",ABS(AA111-AA4))</f>
        <v>0</v>
      </c>
      <c r="AB3" s="3">
        <f>IF(COUNT(AB4)=0,"",ABS(AB111-AB4))</f>
        <v>0</v>
      </c>
      <c r="AC3" s="3">
        <f>IF(COUNT(AC4)=0,"",ABS(AC111-AC4))</f>
        <v>0</v>
      </c>
      <c r="AD3" s="3">
        <f>IF(COUNT(AD4)=0,"",ABS(AD111-AD4))</f>
        <v>0</v>
      </c>
      <c r="AE3" s="3">
        <f>IF(COUNT(AE4)=0,"",ABS(AE111-AE4))</f>
        <v>0</v>
      </c>
      <c r="AF3" s="3">
        <f>IF(COUNT(AF4)=0,"",ABS(AF111-AF4))</f>
        <v>0</v>
      </c>
      <c r="AG3" s="3">
        <f>IF(COUNT(AG4)=0,"",ABS(AG111-AG4))</f>
        <v>0</v>
      </c>
      <c r="AH3" s="3">
        <f>IF(COUNT(AH4)=0,"",ABS(AH111-AH4))</f>
        <v>0</v>
      </c>
      <c r="AI3" s="3">
        <f>IF(COUNT(AI4)=0,"",ABS(AI111-AI4))</f>
        <v>0</v>
      </c>
      <c r="AJ3" s="3" t="str">
        <f>IF(COUNT(AJ4)=0,"",ABS(AJ111-AJ4))</f>
        <v/>
      </c>
      <c r="AK3" s="3" t="str">
        <f>IF(COUNT(AK4)=0,"",ABS(AK111-AK4))</f>
        <v/>
      </c>
      <c r="AL3" s="3" t="str">
        <f>IF(COUNT(AL4)=0,"",ABS(AL111-AL4))</f>
        <v/>
      </c>
      <c r="AM3" s="3" t="str">
        <f>IF(COUNT(AM4)=0,"",ABS(AM111-AM4))</f>
        <v/>
      </c>
      <c r="AN3" s="3" t="str">
        <f>IF(COUNT(AN4)=0,"",ABS(AN111-AN4))</f>
        <v/>
      </c>
      <c r="AO3" s="3" t="str">
        <f>IF(COUNT(AO4)=0,"",ABS(AO111-AO4))</f>
        <v/>
      </c>
      <c r="AP3" s="3" t="str">
        <f>IF(COUNT(AP4)=0,"",ABS(AP111-AP4))</f>
        <v/>
      </c>
      <c r="AQ3" s="3" t="str">
        <f>IF(COUNT(AQ4)=0,"",ABS(AQ111-AQ4))</f>
        <v/>
      </c>
      <c r="AR3" s="3" t="str">
        <f>IF(COUNT(AR4)=0,"",ABS(AR111-AR4))</f>
        <v/>
      </c>
      <c r="AS3" s="3" t="str">
        <f>IF(COUNT(AS4)=0,"",ABS(AS111-AS4))</f>
        <v/>
      </c>
      <c r="AT3" s="3" t="str">
        <f>IF(COUNT(AT4)=0,"",ABS(AT111-AT4))</f>
        <v/>
      </c>
      <c r="AU3" s="3" t="str">
        <f>IF(COUNT(AU4)=0,"",ABS(AU111-AU4))</f>
        <v/>
      </c>
      <c r="AV3" s="3" t="str">
        <f>IF(COUNT(AV4)=0,"",ABS(AV111-AV4))</f>
        <v/>
      </c>
      <c r="AW3" s="3" t="str">
        <f>IF(COUNT(AW4)=0,"",ABS(AW111-AW4))</f>
        <v/>
      </c>
      <c r="AX3" s="3" t="str">
        <f>IF(COUNT(AX4)=0,"",ABS(AX111-AX4))</f>
        <v/>
      </c>
      <c r="AY3" s="3" t="str">
        <f>IF(COUNT(AY4)=0,"",ABS(AY111-AY4))</f>
        <v/>
      </c>
      <c r="AZ3" s="3" t="str">
        <f>IF(COUNT(AZ4)=0,"",ABS(AZ111-AZ4))</f>
        <v/>
      </c>
      <c r="BA3" s="3" t="str">
        <f>IF(COUNT(BA4)=0,"",ABS(BA111-BA4))</f>
        <v/>
      </c>
      <c r="BB3" s="3" t="str">
        <f>IF(COUNT(BB4)=0,"",ABS(BB111-BB4))</f>
        <v/>
      </c>
      <c r="BC3" s="3" t="str">
        <f>IF(COUNT(BC4)=0,"",ABS(BC111-BC4))</f>
        <v/>
      </c>
      <c r="BD3" s="3" t="str">
        <f>IF(COUNT(BD4)=0,"",ABS(BD111-BD4))</f>
        <v/>
      </c>
      <c r="BE3" s="3" t="str">
        <f>IF(COUNT(BE4)=0,"",ABS(BE111-BE4))</f>
        <v/>
      </c>
      <c r="BF3" s="3" t="str">
        <f>IF(COUNT(BF4)=0,"",ABS(BF111-BF4))</f>
        <v/>
      </c>
      <c r="BG3" s="3" t="str">
        <f>IF(COUNT(BG4)=0,"",ABS(BG111-BG4))</f>
        <v/>
      </c>
      <c r="BH3" s="3" t="str">
        <f>IF(COUNT(BH4)=0,"",ABS(BH111-BH4))</f>
        <v/>
      </c>
      <c r="BI3" s="3" t="str">
        <f>IF(COUNT(BI4)=0,"",ABS(BI111-BI4))</f>
        <v/>
      </c>
      <c r="BJ3" s="3" t="str">
        <f>IF(COUNT(BJ4)=0,"",ABS(BJ111-BJ4))</f>
        <v/>
      </c>
      <c r="BK3" s="3" t="str">
        <f>IF(COUNT(BK4)=0,"",ABS(BK111-BK4))</f>
        <v/>
      </c>
      <c r="BL3" s="3" t="str">
        <f>IF(COUNT(BL4)=0,"",ABS(BL111-BL4))</f>
        <v/>
      </c>
      <c r="BM3" s="3" t="str">
        <f>IF(COUNT(BM4)=0,"",ABS(BM111-BM4))</f>
        <v/>
      </c>
      <c r="BN3" s="3" t="str">
        <f>IF(COUNT(BN4)=0,"",ABS(BN111-BN4))</f>
        <v/>
      </c>
      <c r="BO3" s="3" t="str">
        <f>IF(COUNT(BO4)=0,"",ABS(BO111-BO4))</f>
        <v/>
      </c>
      <c r="BP3" s="3" t="str">
        <f>IF(COUNT(BP4)=0,"",ABS(BP111-BP4))</f>
        <v/>
      </c>
      <c r="BQ3" s="3" t="str">
        <f>IF(COUNT(BQ4)=0,"",ABS(BQ111-BQ4))</f>
        <v/>
      </c>
      <c r="BR3" s="3" t="str">
        <f>IF(COUNT(BR4)=0,"",ABS(BR111-BR4))</f>
        <v/>
      </c>
      <c r="BS3" s="3" t="str">
        <f>IF(COUNT(BS4)=0,"",ABS(BS111-BS4))</f>
        <v/>
      </c>
      <c r="BT3" s="3" t="str">
        <f>IF(COUNT(BT4)=0,"",ABS(BT111-BT4))</f>
        <v/>
      </c>
      <c r="BU3" s="3" t="str">
        <f>IF(COUNT(BU4)=0,"",ABS(BU111-BU4))</f>
        <v/>
      </c>
      <c r="BV3" s="3" t="str">
        <f>IF(COUNT(BV4)=0,"",ABS(BV111-BV4))</f>
        <v/>
      </c>
      <c r="BW3" s="3" t="str">
        <f>IF(COUNT(BW4)=0,"",ABS(BW111-BW4))</f>
        <v/>
      </c>
      <c r="BX3" s="3" t="str">
        <f>IF(COUNT(BX4)=0,"",ABS(BX111-BX4))</f>
        <v/>
      </c>
      <c r="BY3" s="3" t="str">
        <f>IF(COUNT(BY4)=0,"",ABS(BY111-BY4))</f>
        <v/>
      </c>
      <c r="BZ3" s="3" t="str">
        <f>IF(COUNT(BZ4)=0,"",ABS(BZ111-BZ4))</f>
        <v/>
      </c>
      <c r="CA3" s="3" t="str">
        <f>IF(COUNT(CA4)=0,"",ABS(CA111-CA4))</f>
        <v/>
      </c>
      <c r="CB3" s="3" t="str">
        <f>IF(COUNT(CB4)=0,"",ABS(CB111-CB4))</f>
        <v/>
      </c>
      <c r="CC3" s="3" t="str">
        <f>IF(COUNT(CC4)=0,"",ABS(CC111-CC4))</f>
        <v/>
      </c>
      <c r="CD3" s="3" t="str">
        <f>IF(COUNT(CD4)=0,"",ABS(CD111-CD4))</f>
        <v/>
      </c>
      <c r="CE3" s="3" t="str">
        <f>IF(COUNT(CE4)=0,"",ABS(CE111-CE4))</f>
        <v/>
      </c>
      <c r="CF3" s="3" t="str">
        <f>IF(COUNT(CF4)=0,"",ABS(CF111-CF4))</f>
        <v/>
      </c>
      <c r="CG3" s="3" t="str">
        <f>IF(COUNT(CG4)=0,"",ABS(CG111-CG4))</f>
        <v/>
      </c>
      <c r="CH3" s="3" t="str">
        <f>IF(COUNT(CH4)=0,"",ABS(CH111-CH4))</f>
        <v/>
      </c>
      <c r="CI3" s="3" t="str">
        <f>IF(COUNT(CI4)=0,"",ABS(CI111-CI4))</f>
        <v/>
      </c>
      <c r="CJ3" s="3" t="str">
        <f>IF(COUNT(CJ4)=0,"",ABS(CJ111-CJ4))</f>
        <v/>
      </c>
      <c r="CK3" s="3" t="str">
        <f>IF(COUNT(CK4)=0,"",ABS(CK111-CK4))</f>
        <v/>
      </c>
      <c r="CL3" s="3" t="str">
        <f>IF(COUNT(CL4)=0,"",ABS(CL111-CL4))</f>
        <v/>
      </c>
      <c r="CM3" s="3" t="str">
        <f>IF(COUNT(CM4)=0,"",ABS(CM111-CM4))</f>
        <v/>
      </c>
      <c r="CN3" s="3" t="str">
        <f>IF(COUNT(CN4)=0,"",ABS(CN111-CN4))</f>
        <v/>
      </c>
      <c r="CO3" s="3" t="str">
        <f>IF(COUNT(CO4)=0,"",ABS(CO111-CO4))</f>
        <v/>
      </c>
      <c r="CP3" s="3" t="str">
        <f>IF(COUNT(CP4)=0,"",ABS(CP111-CP4))</f>
        <v/>
      </c>
      <c r="CQ3" s="3" t="str">
        <f>IF(COUNT(CQ4)=0,"",ABS(CQ111-CQ4))</f>
        <v/>
      </c>
      <c r="CR3" s="3" t="str">
        <f>IF(COUNT(CR4)=0,"",ABS(CR111-CR4))</f>
        <v/>
      </c>
      <c r="CS3" s="3" t="str">
        <f>IF(COUNT(CS4)=0,"",ABS(CS111-CS4))</f>
        <v/>
      </c>
      <c r="CT3" s="3" t="str">
        <f>IF(COUNT(CT4)=0,"",ABS(CT111-CT4))</f>
        <v/>
      </c>
      <c r="CU3" s="3" t="str">
        <f>IF(COUNT(CU4)=0,"",ABS(CU111-CU4))</f>
        <v/>
      </c>
      <c r="CV3" s="3" t="str">
        <f>IF(COUNT(CV4)=0,"",ABS(CV111-CV4))</f>
        <v/>
      </c>
      <c r="CW3" s="3" t="str">
        <f>IF(COUNT(CW4)=0,"",ABS(CW111-CW4))</f>
        <v/>
      </c>
      <c r="CX3" s="3" t="str">
        <f>IF(COUNT(CX4)=0,"",ABS(CX111-CX4))</f>
        <v/>
      </c>
      <c r="CY3" s="3" t="str">
        <f>IF(COUNT(CY4)=0,"",ABS(CY111-CY4))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3599</v>
      </c>
      <c r="E4" s="16">
        <f>INDEX('Inputs (2)'!$D$50:$AL$50,MATCH(E$7,'Inputs (2)'!$D$2:$AL$2,0))</f>
        <v>-8270</v>
      </c>
      <c r="F4" s="16">
        <f>INDEX('Inputs (2)'!$D$50:$AL$50,MATCH(F$7,'Inputs (2)'!$D$2:$AL$2,0))</f>
        <v>-207</v>
      </c>
      <c r="G4" s="16">
        <f>INDEX('Inputs (2)'!$D$50:$AL$50,MATCH(G$7,'Inputs (2)'!$D$2:$AL$2,0))</f>
        <v>-665</v>
      </c>
      <c r="H4" s="16">
        <f>IF(COUNT(D4:G4)=4,SUM(D4:G4),"")</f>
        <v>-5543</v>
      </c>
      <c r="I4" s="16">
        <f>INDEX('Inputs (2)'!$D$50:$AL$50,MATCH(I$7,'Inputs (2)'!$D$2:$AL$2,0))</f>
        <v>1377</v>
      </c>
      <c r="J4" s="16">
        <f>INDEX('Inputs (2)'!$D$50:$AL$50,MATCH(J$7,'Inputs (2)'!$D$2:$AL$2,0))</f>
        <v>3082</v>
      </c>
      <c r="K4" s="16">
        <f>INDEX('Inputs (2)'!$D$50:$AL$50,MATCH(K$7,'Inputs (2)'!$D$2:$AL$2,0))</f>
        <v>6111</v>
      </c>
      <c r="L4" s="16">
        <f>INDEX('Inputs (2)'!$D$50:$AL$50,MATCH(L$7,'Inputs (2)'!$D$2:$AL$2,0))</f>
        <v>5055</v>
      </c>
      <c r="M4" s="16">
        <f>IF(COUNT(I4:L4)=4,SUM(I4:L4),"")</f>
        <v>15625</v>
      </c>
      <c r="N4" s="16">
        <f>INDEX('Inputs (2)'!$D$50:$AL$50,MATCH(N$7,'Inputs (2)'!$D$2:$AL$2,0))</f>
        <v>6259</v>
      </c>
      <c r="O4" s="16">
        <f>INDEX('Inputs (2)'!$D$50:$AL$50,MATCH(O$7,'Inputs (2)'!$D$2:$AL$2,0))</f>
        <v>11622</v>
      </c>
      <c r="P4" s="16">
        <f>INDEX('Inputs (2)'!$D$50:$AL$50,MATCH(P$7,'Inputs (2)'!$D$2:$AL$2,0))</f>
        <v>11231</v>
      </c>
      <c r="Q4" s="16">
        <f>INDEX('Inputs (2)'!$D$50:$AL$50,MATCH(Q$7,'Inputs (2)'!$D$2:$AL$2,0))</f>
        <v>6353</v>
      </c>
      <c r="R4" s="16">
        <f>IF(COUNT(N4:Q4)=4,SUM(N4:Q4),"")</f>
        <v>35465</v>
      </c>
      <c r="S4" s="16">
        <f>INDEX('Inputs (2)'!$D$50:$AL$50,MATCH(S$7,'Inputs (2)'!$D$2:$AL$2,0))</f>
        <v>6574</v>
      </c>
      <c r="T4" s="16">
        <f>INDEX('Inputs (2)'!$D$50:$AL$50,MATCH(T$7,'Inputs (2)'!$D$2:$AL$2,0))</f>
        <v>6010</v>
      </c>
      <c r="U4" s="16">
        <f>INDEX('Inputs (2)'!$D$50:$AL$50,MATCH(U$7,'Inputs (2)'!$D$2:$AL$2,0))</f>
        <v>6526</v>
      </c>
      <c r="V4" s="16">
        <f>INDEX('Inputs (2)'!$D$50:$AL$50,MATCH(V$7,'Inputs (2)'!$D$2:$AL$2,0))</f>
        <v>2259</v>
      </c>
      <c r="W4" s="16">
        <f>IF(COUNT(S4:V4)=4,SUM(S4:V4),"")</f>
        <v>21369</v>
      </c>
      <c r="X4" s="16">
        <f>INDEX('Inputs (2)'!$D$50:$AL$50,MATCH(X$7,'Inputs (2)'!$D$2:$AL$2,0))</f>
        <v>5501</v>
      </c>
      <c r="Y4" s="16">
        <f>INDEX('Inputs (2)'!$D$50:$AL$50,MATCH(Y$7,'Inputs (2)'!$D$2:$AL$2,0))</f>
        <v>4434</v>
      </c>
      <c r="Z4" s="16">
        <f>INDEX('Inputs (2)'!$D$50:$AL$50,MATCH(Z$7,'Inputs (2)'!$D$2:$AL$2,0))</f>
        <v>4487</v>
      </c>
      <c r="AA4" s="16">
        <f>INDEX('Inputs (2)'!$D$50:$AL$50,MATCH(AA$7,'Inputs (2)'!$D$2:$AL$2,0))</f>
        <v>3239</v>
      </c>
      <c r="AB4" s="16">
        <f>IF(COUNT(X4:AA4)=4,SUM(X4:AA4),"")</f>
        <v>17661</v>
      </c>
      <c r="AC4" s="16">
        <f>INDEX('Inputs (2)'!$D$50:$AL$50,MATCH(AC$7,'Inputs (2)'!$D$2:$AL$2,0))</f>
        <v>3500</v>
      </c>
      <c r="AD4" s="16">
        <f>INDEX('Inputs (2)'!$D$50:$AL$50,MATCH(AD$7,'Inputs (2)'!$D$2:$AL$2,0))</f>
        <v>2490</v>
      </c>
      <c r="AE4" s="16">
        <f>INDEX('Inputs (2)'!$D$50:$AL$50,MATCH(AE$7,'Inputs (2)'!$D$2:$AL$2,0))</f>
        <v>3539</v>
      </c>
      <c r="AF4" s="16">
        <f>INDEX('Inputs (2)'!$D$50:$AL$50,MATCH(AF$7,'Inputs (2)'!$D$2:$AL$2,0))</f>
        <v>2770</v>
      </c>
      <c r="AG4" s="16">
        <f>IF(COUNT(AC4:AF4)=4,SUM(AC4:AF4),"")</f>
        <v>12299</v>
      </c>
      <c r="AH4" s="6">
        <f>INDEX('Inputs (2)'!$D$50:$AL$50,MATCH(AH$7,'Inputs (2)'!$D$2:$AL$2,0))</f>
        <v>2210</v>
      </c>
      <c r="AI4" s="6">
        <f>INDEX('Inputs (2)'!$D$50:$AL$50,MATCH(AI$7,'Inputs (2)'!$D$2:$AL$2,0))</f>
        <v>12072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31501</v>
      </c>
      <c r="E15" s="15">
        <f>INDEX('Inputs (2)'!$D$4:$AL$4,MATCH(E$7,'Inputs (2)'!$D$2:$AL$2,0))</f>
        <v>13494</v>
      </c>
      <c r="F15" s="15">
        <f>INDEX('Inputs (2)'!$D$4:$AL$4,MATCH(F$7,'Inputs (2)'!$D$2:$AL$2,0))</f>
        <v>24451</v>
      </c>
      <c r="G15" s="15">
        <f>INDEX('Inputs (2)'!$D$4:$AL$4,MATCH(G$7,'Inputs (2)'!$D$2:$AL$2,0))</f>
        <v>25246</v>
      </c>
      <c r="H15" s="16">
        <f>SUM(D15:G15)</f>
        <v>94692</v>
      </c>
      <c r="I15" s="15">
        <f>INDEX('Inputs (2)'!$D$4:$AL$4,MATCH(I$7,'Inputs (2)'!$D$2:$AL$2,0))</f>
        <v>32029</v>
      </c>
      <c r="J15" s="15">
        <f>INDEX('Inputs (2)'!$D$4:$AL$4,MATCH(J$7,'Inputs (2)'!$D$2:$AL$2,0))</f>
        <v>37597</v>
      </c>
      <c r="K15" s="15">
        <f>INDEX('Inputs (2)'!$D$4:$AL$4,MATCH(K$7,'Inputs (2)'!$D$2:$AL$2,0))</f>
        <v>44710</v>
      </c>
      <c r="L15" s="15">
        <f>INDEX('Inputs (2)'!$D$4:$AL$4,MATCH(L$7,'Inputs (2)'!$D$2:$AL$2,0))</f>
        <v>48129</v>
      </c>
      <c r="M15" s="16">
        <f>SUM(I15:L15)</f>
        <v>162465</v>
      </c>
      <c r="N15" s="15">
        <f>INDEX('Inputs (2)'!$D$4:$AL$4,MATCH(N$7,'Inputs (2)'!$D$2:$AL$2,0))</f>
        <v>54373</v>
      </c>
      <c r="O15" s="15">
        <f>INDEX('Inputs (2)'!$D$4:$AL$4,MATCH(O$7,'Inputs (2)'!$D$2:$AL$2,0))</f>
        <v>68762</v>
      </c>
      <c r="P15" s="15">
        <f>INDEX('Inputs (2)'!$D$4:$AL$4,MATCH(P$7,'Inputs (2)'!$D$2:$AL$2,0))</f>
        <v>66644</v>
      </c>
      <c r="Q15" s="15">
        <f>INDEX('Inputs (2)'!$D$4:$AL$4,MATCH(Q$7,'Inputs (2)'!$D$2:$AL$2,0))</f>
        <v>56473</v>
      </c>
      <c r="R15" s="16">
        <f>SUM(N15:Q15)</f>
        <v>246252</v>
      </c>
      <c r="S15" s="15">
        <f>INDEX('Inputs (2)'!$D$4:$AL$4,MATCH(S$7,'Inputs (2)'!$D$2:$AL$2,0))</f>
        <v>50793</v>
      </c>
      <c r="T15" s="15">
        <f>INDEX('Inputs (2)'!$D$4:$AL$4,MATCH(T$7,'Inputs (2)'!$D$2:$AL$2,0))</f>
        <v>48896</v>
      </c>
      <c r="U15" s="15">
        <f>INDEX('Inputs (2)'!$D$4:$AL$4,MATCH(U$7,'Inputs (2)'!$D$2:$AL$2,0))</f>
        <v>54080</v>
      </c>
      <c r="V15" s="15">
        <f>INDEX('Inputs (2)'!$D$4:$AL$4,MATCH(V$7,'Inputs (2)'!$D$2:$AL$2,0))</f>
        <v>47180</v>
      </c>
      <c r="W15" s="16">
        <f>SUM(S15:V15)</f>
        <v>200949</v>
      </c>
      <c r="X15" s="15">
        <f>INDEX('Inputs (2)'!$D$4:$AL$4,MATCH(X$7,'Inputs (2)'!$D$2:$AL$2,0))</f>
        <v>48716</v>
      </c>
      <c r="Y15" s="15">
        <f>INDEX('Inputs (2)'!$D$4:$AL$4,MATCH(Y$7,'Inputs (2)'!$D$2:$AL$2,0))</f>
        <v>51181</v>
      </c>
      <c r="Z15" s="15">
        <f>INDEX('Inputs (2)'!$D$4:$AL$4,MATCH(Z$7,'Inputs (2)'!$D$2:$AL$2,0))</f>
        <v>50669</v>
      </c>
      <c r="AA15" s="15">
        <f>INDEX('Inputs (2)'!$D$4:$AL$4,MATCH(AA$7,'Inputs (2)'!$D$2:$AL$2,0))</f>
        <v>52226</v>
      </c>
      <c r="AB15" s="16">
        <f>SUM(X15:AA15)</f>
        <v>202792</v>
      </c>
      <c r="AC15" s="15">
        <f>INDEX('Inputs (2)'!$D$4:$AL$4,MATCH(AC$7,'Inputs (2)'!$D$2:$AL$2,0))</f>
        <v>47610</v>
      </c>
      <c r="AD15" s="15">
        <f>INDEX('Inputs (2)'!$D$4:$AL$4,MATCH(AD$7,'Inputs (2)'!$D$2:$AL$2,0))</f>
        <v>44822</v>
      </c>
      <c r="AE15" s="15">
        <f>INDEX('Inputs (2)'!$D$4:$AL$4,MATCH(AE$7,'Inputs (2)'!$D$2:$AL$2,0))</f>
        <v>49726</v>
      </c>
      <c r="AF15" s="15">
        <f>INDEX('Inputs (2)'!$D$4:$AL$4,MATCH(AF$7,'Inputs (2)'!$D$2:$AL$2,0))</f>
        <v>46873</v>
      </c>
      <c r="AG15" s="16">
        <f>SUM(AC15:AF15)</f>
        <v>189031</v>
      </c>
      <c r="AH15" s="16">
        <f>INDEX('Inputs (2)'!$D$4:$AL$4,MATCH(AH$7,'Inputs (2)'!$D$2:$AL$2,0))</f>
        <v>48607</v>
      </c>
      <c r="AI15" s="16">
        <f>INDEX('Inputs (2)'!$D$4:$AL$4,MATCH(AI$7,'Inputs (2)'!$D$2:$AL$2,0))</f>
        <v>70055</v>
      </c>
      <c r="AJ15" s="16">
        <f>AE15*(1+AJ16)</f>
        <v>49726</v>
      </c>
      <c r="AK15" s="16">
        <f>AF15*(1+AK16)</f>
        <v>46873</v>
      </c>
      <c r="AL15" s="16">
        <f>SUM(AH15:AK15)</f>
        <v>215261</v>
      </c>
      <c r="AM15" s="16">
        <f>AH15*(1+AM16)</f>
        <v>48607</v>
      </c>
      <c r="AN15" s="16">
        <f>AI15*(1+AN16)</f>
        <v>70055</v>
      </c>
      <c r="AO15" s="16">
        <f>AJ15*(1+AO16)</f>
        <v>49726</v>
      </c>
      <c r="AP15" s="16">
        <f>AK15*(1+AP16)</f>
        <v>46873</v>
      </c>
      <c r="AQ15" s="16">
        <f>SUM(AM15:AP15)</f>
        <v>215261</v>
      </c>
      <c r="AR15" s="16">
        <f>AM15*(1+AR16)</f>
        <v>48607</v>
      </c>
      <c r="AS15" s="16">
        <f>AN15*(1+AS16)</f>
        <v>70055</v>
      </c>
      <c r="AT15" s="16">
        <f>AO15*(1+AT16)</f>
        <v>49726</v>
      </c>
      <c r="AU15" s="16">
        <f>AP15*(1+AU16)</f>
        <v>46873</v>
      </c>
      <c r="AV15" s="16">
        <f>SUM(AR15:AU15)</f>
        <v>215261</v>
      </c>
      <c r="AW15" s="16">
        <f>AR15*(1+AW16)</f>
        <v>48607</v>
      </c>
      <c r="AX15" s="16">
        <f>AS15*(1+AX16)</f>
        <v>70055</v>
      </c>
      <c r="AY15" s="16">
        <f>AT15*(1+AY16)</f>
        <v>49726</v>
      </c>
      <c r="AZ15" s="16">
        <f>AU15*(1+AZ16)</f>
        <v>46873</v>
      </c>
      <c r="BA15" s="16">
        <f>SUM(AW15:AZ15)</f>
        <v>215261</v>
      </c>
      <c r="BB15" s="16">
        <f>AW15*(1+BB16)</f>
        <v>48607</v>
      </c>
      <c r="BC15" s="16">
        <f>AX15*(1+BC16)</f>
        <v>70055</v>
      </c>
      <c r="BD15" s="16">
        <f>AY15*(1+BD16)</f>
        <v>49726</v>
      </c>
      <c r="BE15" s="16">
        <f>AZ15*(1+BE16)</f>
        <v>46873</v>
      </c>
      <c r="BF15" s="16">
        <f>SUM(BB15:BE15)</f>
        <v>215261</v>
      </c>
      <c r="BG15" s="16">
        <f>BB15*(1+BG16)</f>
        <v>48607</v>
      </c>
      <c r="BH15" s="16">
        <f>BC15*(1+BH16)</f>
        <v>70055</v>
      </c>
      <c r="BI15" s="16">
        <f>BD15*(1+BI16)</f>
        <v>49726</v>
      </c>
      <c r="BJ15" s="16">
        <f>BE15*(1+BJ16)</f>
        <v>46873</v>
      </c>
      <c r="BK15" s="16">
        <f>SUM(BG15:BJ15)</f>
        <v>215261</v>
      </c>
      <c r="BL15" s="16">
        <f>BG15*(1+BL16)</f>
        <v>48607</v>
      </c>
      <c r="BM15" s="16">
        <f>BH15*(1+BM16)</f>
        <v>70055</v>
      </c>
      <c r="BN15" s="16">
        <f>BI15*(1+BN16)</f>
        <v>49726</v>
      </c>
      <c r="BO15" s="16">
        <f>BJ15*(1+BO16)</f>
        <v>46873</v>
      </c>
      <c r="BP15" s="16">
        <f>SUM(BL15:BO15)</f>
        <v>215261</v>
      </c>
      <c r="BQ15" s="16">
        <f>BL15*(1+BQ16)</f>
        <v>48607</v>
      </c>
      <c r="BR15" s="16">
        <f>BM15*(1+BR16)</f>
        <v>70055</v>
      </c>
      <c r="BS15" s="16">
        <f>BN15*(1+BS16)</f>
        <v>49726</v>
      </c>
      <c r="BT15" s="16">
        <f>BO15*(1+BT16)</f>
        <v>46873</v>
      </c>
      <c r="BU15" s="16">
        <f>SUM(BQ15:BT15)</f>
        <v>215261</v>
      </c>
      <c r="BV15" s="16">
        <f>BQ15*(1+BV16)</f>
        <v>48607</v>
      </c>
      <c r="BW15" s="16">
        <f>BR15*(1+BW16)</f>
        <v>70055</v>
      </c>
      <c r="BX15" s="16">
        <f>BS15*(1+BX16)</f>
        <v>49726</v>
      </c>
      <c r="BY15" s="16">
        <f>BT15*(1+BY16)</f>
        <v>46873</v>
      </c>
      <c r="BZ15" s="16">
        <f>SUM(BV15:BY15)</f>
        <v>215261</v>
      </c>
      <c r="CA15" s="16">
        <f>BV15*(1+CA16)</f>
        <v>48607</v>
      </c>
      <c r="CB15" s="16">
        <f>BW15*(1+CB16)</f>
        <v>70055</v>
      </c>
      <c r="CC15" s="16">
        <f>BX15*(1+CC16)</f>
        <v>49726</v>
      </c>
      <c r="CD15" s="16">
        <f>BY15*(1+CD16)</f>
        <v>46873</v>
      </c>
      <c r="CE15" s="16">
        <f>SUM(CA15:CD15)</f>
        <v>215261</v>
      </c>
      <c r="CF15" s="16">
        <f>CA15*(1+CF16)</f>
        <v>48607</v>
      </c>
      <c r="CG15" s="16">
        <f>CB15*(1+CG16)</f>
        <v>70055</v>
      </c>
      <c r="CH15" s="16">
        <f>CC15*(1+CH16)</f>
        <v>49726</v>
      </c>
      <c r="CI15" s="16">
        <f>CD15*(1+CI16)</f>
        <v>46873</v>
      </c>
      <c r="CJ15" s="16">
        <f>SUM(CF15:CI15)</f>
        <v>215261</v>
      </c>
      <c r="CK15" s="16">
        <f>CF15*(1+CK16)</f>
        <v>48607</v>
      </c>
      <c r="CL15" s="16">
        <f>CG15*(1+CL16)</f>
        <v>70055</v>
      </c>
      <c r="CM15" s="16">
        <f>CH15*(1+CM16)</f>
        <v>49726</v>
      </c>
      <c r="CN15" s="16">
        <f>CI15*(1+CN16)</f>
        <v>46873</v>
      </c>
      <c r="CO15" s="16">
        <f>SUM(CK15:CN15)</f>
        <v>215261</v>
      </c>
      <c r="CP15" s="16">
        <f>CK15*(1+CP16)</f>
        <v>48607</v>
      </c>
      <c r="CQ15" s="16">
        <f>CL15*(1+CQ16)</f>
        <v>70055</v>
      </c>
      <c r="CR15" s="16">
        <f>CM15*(1+CR16)</f>
        <v>49726</v>
      </c>
      <c r="CS15" s="16">
        <f>CN15*(1+CS16)</f>
        <v>46873</v>
      </c>
      <c r="CT15" s="16">
        <f>SUM(CP15:CS15)</f>
        <v>215261</v>
      </c>
      <c r="CU15" s="16">
        <f>CP15*(1+CU16)</f>
        <v>48607</v>
      </c>
      <c r="CV15" s="16">
        <f>CQ15*(1+CV16)</f>
        <v>70055</v>
      </c>
      <c r="CW15" s="16">
        <f>CR15*(1+CW16)</f>
        <v>49726</v>
      </c>
      <c r="CX15" s="16">
        <f>CS15*(1+CX16)</f>
        <v>46873</v>
      </c>
      <c r="CY15" s="16">
        <f>SUM(CU15:CX15)</f>
        <v>215261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0.697617783883356</v>
      </c>
      <c r="O16" s="47">
        <f>O15/J15-1</f>
        <v>0.828922520413863</v>
      </c>
      <c r="P16" s="47">
        <f>P15/K15-1</f>
        <v>0.490583762021919</v>
      </c>
      <c r="Q16" s="47">
        <f>Q15/L15-1</f>
        <v>0.173367408423196</v>
      </c>
      <c r="R16" s="47">
        <f>R15/M15-1</f>
        <v>0.51572338657557</v>
      </c>
      <c r="S16" s="47">
        <f>S15/N15-1</f>
        <v>-0.0658415022161735</v>
      </c>
      <c r="T16" s="47">
        <f>T15/O15-1</f>
        <v>-0.288909572147407</v>
      </c>
      <c r="U16" s="47">
        <f>U15/P15-1</f>
        <v>-0.188524098193386</v>
      </c>
      <c r="V16" s="47">
        <f>V15/Q15-1</f>
        <v>-0.164556513732226</v>
      </c>
      <c r="W16" s="47">
        <f>W15/R15-1</f>
        <v>-0.183970079430827</v>
      </c>
      <c r="X16" s="47">
        <f>X15/S15-1</f>
        <v>-0.0408914614218495</v>
      </c>
      <c r="Y16" s="47">
        <f>Y15/T15-1</f>
        <v>0.0467318390052356</v>
      </c>
      <c r="Z16" s="47">
        <f>Z15/U15-1</f>
        <v>-0.063073224852071</v>
      </c>
      <c r="AA16" s="47">
        <f>AA15/V15-1</f>
        <v>0.106952098346757</v>
      </c>
      <c r="AB16" s="47">
        <f>AB15/W15-1</f>
        <v>0.00917148132113121</v>
      </c>
      <c r="AC16" s="47">
        <f>AC15/X15-1</f>
        <v>-0.0227030133836933</v>
      </c>
      <c r="AD16" s="47">
        <f>AD15/Y15-1</f>
        <v>-0.124245325413728</v>
      </c>
      <c r="AE16" s="47">
        <f>AE15/Z15-1</f>
        <v>-0.0186109850204267</v>
      </c>
      <c r="AF16" s="44">
        <f>AF15/AA15-1</f>
        <v>-0.10249684065408</v>
      </c>
      <c r="AG16" s="47">
        <f>AG15/AB15-1</f>
        <v>-0.0678577064183992</v>
      </c>
      <c r="AH16" s="44">
        <f>AH15/AC15-1</f>
        <v>0.0209409787859693</v>
      </c>
      <c r="AI16" s="44">
        <f>AI15/AD15-1</f>
        <v>0.562960153496051</v>
      </c>
      <c r="AJ16" s="44" t="n"/>
      <c r="AK16" s="44" t="n"/>
      <c r="AL16" s="22">
        <f>AL15/AG15-1</f>
        <v>0.138760309155641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Receita não alocada aos segmentos (linha 15 - soma)</t>
        </is>
      </c>
      <c r="D17" s="15" t="str">
        <f>IF(COUNT(D18)=0,"",D18)</f>
        <v/>
      </c>
      <c r="E17" s="15" t="str">
        <f>IF(COUNT(E18)=0,"",E18)</f>
        <v/>
      </c>
      <c r="F17" s="15" t="str">
        <f>IF(COUNT(F18)=0,"",F18)</f>
        <v/>
      </c>
      <c r="G17" s="15" t="str">
        <f>IF(COUNT(G18)=0,"",G18)</f>
        <v/>
      </c>
      <c r="H17" s="16" t="str">
        <f>IF(COUNT(H18)=0,"",H18)</f>
        <v/>
      </c>
      <c r="I17" s="15" t="str">
        <f>IF(COUNT(I18)=0,"",I18)</f>
        <v/>
      </c>
      <c r="J17" s="15" t="str">
        <f>IF(COUNT(J18)=0,"",J18)</f>
        <v/>
      </c>
      <c r="K17" s="15" t="str">
        <f>IF(COUNT(K18)=0,"",K18)</f>
        <v/>
      </c>
      <c r="L17" s="15" t="str">
        <f>IF(COUNT(L18)=0,"",L18)</f>
        <v/>
      </c>
      <c r="M17" s="16" t="str">
        <f>IF(COUNT(M18)=0,"",M18)</f>
        <v/>
      </c>
      <c r="N17" s="15" t="str">
        <f>IF(COUNT(N18)=0,"",N18)</f>
        <v/>
      </c>
      <c r="O17" s="15" t="str">
        <f>IF(COUNT(O18)=0,"",O18)</f>
        <v/>
      </c>
      <c r="P17" s="15" t="str">
        <f>IF(COUNT(P18)=0,"",P18)</f>
        <v/>
      </c>
      <c r="Q17" s="15" t="str">
        <f>IF(COUNT(Q18)=0,"",Q18)</f>
        <v/>
      </c>
      <c r="R17" s="16" t="str">
        <f>IF(COUNT(R18)=0,"",R18)</f>
        <v/>
      </c>
      <c r="S17" s="15" t="str">
        <f>IF(COUNT(S18)=0,"",S18)</f>
        <v/>
      </c>
      <c r="T17" s="15" t="str">
        <f>IF(COUNT(T18)=0,"",T18)</f>
        <v/>
      </c>
      <c r="U17" s="15" t="str">
        <f>IF(COUNT(U18)=0,"",U18)</f>
        <v/>
      </c>
      <c r="V17" s="15" t="str">
        <f>IF(COUNT(V18)=0,"",V18)</f>
        <v/>
      </c>
      <c r="W17" s="16" t="str">
        <f>IF(COUNT(W18)=0,"",W18)</f>
        <v/>
      </c>
      <c r="X17" s="15" t="str">
        <f>IF(COUNT(X18)=0,"",X18)</f>
        <v/>
      </c>
      <c r="Y17" s="15" t="str">
        <f>IF(COUNT(Y18)=0,"",Y18)</f>
        <v/>
      </c>
      <c r="Z17" s="15" t="str">
        <f>IF(COUNT(Z18)=0,"",Z18)</f>
        <v/>
      </c>
      <c r="AA17" s="15" t="str">
        <f>IF(COUNT(AA18)=0,"",AA18)</f>
        <v/>
      </c>
      <c r="AB17" s="16" t="str">
        <f>IF(COUNT(AB18)=0,"",AB18)</f>
        <v/>
      </c>
      <c r="AC17" s="15" t="str">
        <f>IF(COUNT(AC18)=0,"",AC18)</f>
        <v/>
      </c>
      <c r="AD17" s="15" t="str">
        <f>IF(COUNT(AD18)=0,"",AD18)</f>
        <v/>
      </c>
      <c r="AE17" s="15" t="str">
        <f>IF(COUNT(AE18)=0,"",AE18)</f>
        <v/>
      </c>
      <c r="AF17" s="15" t="str">
        <f>IF(COUNT(AF18)=0,"",AF18)</f>
        <v/>
      </c>
      <c r="AG17" s="16" t="str">
        <f>IF(COUNT(AG18)=0,"",AG18)</f>
        <v/>
      </c>
      <c r="AH17" s="16" t="str">
        <f>IF(COUNT(AH18)=0,"",AH18)</f>
        <v/>
      </c>
      <c r="AI17" s="16" t="str">
        <f>IF(COUNT(AI18)=0,"",AI18)</f>
        <v/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4" t="inlineStr">
        <is>
          <t>(sem abertura de receita por segmento)</t>
        </is>
      </c>
      <c r="D18" s="265" t="str">
        <f>""</f>
        <v/>
      </c>
      <c r="E18" s="265" t="str">
        <f>""</f>
        <v/>
      </c>
      <c r="F18" s="265" t="str">
        <f>""</f>
        <v/>
      </c>
      <c r="G18" s="265" t="str">
        <f>""</f>
        <v/>
      </c>
      <c r="H18" s="266" t="str">
        <f>""</f>
        <v/>
      </c>
      <c r="I18" s="265" t="str">
        <f>""</f>
        <v/>
      </c>
      <c r="J18" s="265" t="str">
        <f>""</f>
        <v/>
      </c>
      <c r="K18" s="265" t="str">
        <f>""</f>
        <v/>
      </c>
      <c r="L18" s="265" t="str">
        <f>""</f>
        <v/>
      </c>
      <c r="M18" s="266" t="str">
        <f>""</f>
        <v/>
      </c>
      <c r="N18" s="265" t="str">
        <f>""</f>
        <v/>
      </c>
      <c r="O18" s="265" t="str">
        <f>""</f>
        <v/>
      </c>
      <c r="P18" s="265" t="str">
        <f>""</f>
        <v/>
      </c>
      <c r="Q18" s="265" t="str">
        <f>""</f>
        <v/>
      </c>
      <c r="R18" s="266" t="str">
        <f>""</f>
        <v/>
      </c>
      <c r="S18" s="265" t="str">
        <f>""</f>
        <v/>
      </c>
      <c r="T18" s="265" t="str">
        <f>""</f>
        <v/>
      </c>
      <c r="U18" s="265" t="str">
        <f>""</f>
        <v/>
      </c>
      <c r="V18" s="265" t="str">
        <f>""</f>
        <v/>
      </c>
      <c r="W18" s="266" t="str">
        <f>""</f>
        <v/>
      </c>
      <c r="X18" s="265" t="str">
        <f>""</f>
        <v/>
      </c>
      <c r="Y18" s="265" t="str">
        <f>""</f>
        <v/>
      </c>
      <c r="Z18" s="265" t="str">
        <f>""</f>
        <v/>
      </c>
      <c r="AA18" s="265" t="str">
        <f>""</f>
        <v/>
      </c>
      <c r="AB18" s="266" t="str">
        <f>""</f>
        <v/>
      </c>
      <c r="AC18" s="265" t="str">
        <f>""</f>
        <v/>
      </c>
      <c r="AD18" s="265" t="str">
        <f>""</f>
        <v/>
      </c>
      <c r="AE18" s="265" t="str">
        <f>""</f>
        <v/>
      </c>
      <c r="AF18" s="265" t="str">
        <f>""</f>
        <v/>
      </c>
      <c r="AG18" s="266" t="str">
        <f>""</f>
        <v/>
      </c>
      <c r="AH18" s="266" t="str">
        <f>""</f>
        <v/>
      </c>
      <c r="AI18" s="266" t="str">
        <f>""</f>
        <v/>
      </c>
    </row>
    <row r="19"/>
    <row r="20">
      <c r="C20" s="12" t="inlineStr">
        <is>
          <t>Outras aberturas (USD milhões)</t>
        </is>
      </c>
      <c r="D20" s="12" t="str">
        <f>D7</f>
        <v>1Q20</v>
      </c>
      <c r="E20" s="12" t="str">
        <f>E7</f>
        <v>2Q20</v>
      </c>
      <c r="F20" s="12" t="str">
        <f>F7</f>
        <v>3Q20</v>
      </c>
      <c r="G20" s="12" t="str">
        <f>G7</f>
        <v>4Q20</v>
      </c>
      <c r="H20" s="12">
        <f>H7</f>
        <v>2020</v>
      </c>
      <c r="I20" s="12" t="str">
        <f>I7</f>
        <v>1Q21</v>
      </c>
      <c r="J20" s="12" t="str">
        <f>J7</f>
        <v>2Q21</v>
      </c>
      <c r="K20" s="12" t="str">
        <f>K7</f>
        <v>3Q21</v>
      </c>
      <c r="L20" s="12" t="str">
        <f>L7</f>
        <v>4Q21</v>
      </c>
      <c r="M20" s="12">
        <f>M7</f>
        <v>2021</v>
      </c>
      <c r="N20" s="12" t="str">
        <f>N7</f>
        <v>1Q22</v>
      </c>
      <c r="O20" s="12" t="str">
        <f>O7</f>
        <v>2Q22</v>
      </c>
      <c r="P20" s="12" t="str">
        <f>P7</f>
        <v>3Q22</v>
      </c>
      <c r="Q20" s="12" t="str">
        <f>Q7</f>
        <v>4Q22</v>
      </c>
      <c r="R20" s="12">
        <f>R7</f>
        <v>2022</v>
      </c>
      <c r="S20" s="12" t="str">
        <f>S7</f>
        <v>1Q23</v>
      </c>
      <c r="T20" s="12" t="str">
        <f>T7</f>
        <v>2Q23</v>
      </c>
      <c r="U20" s="12" t="str">
        <f>U7</f>
        <v>3Q23</v>
      </c>
      <c r="V20" s="12" t="str">
        <f>V7</f>
        <v>4Q23</v>
      </c>
      <c r="W20" s="12">
        <f>W7</f>
        <v>2023</v>
      </c>
      <c r="X20" s="12" t="str">
        <f>X7</f>
        <v>1Q24</v>
      </c>
      <c r="Y20" s="12" t="str">
        <f>Y7</f>
        <v>2Q24</v>
      </c>
      <c r="Z20" s="12" t="str">
        <f>Z7</f>
        <v>3Q24</v>
      </c>
      <c r="AA20" s="12" t="str">
        <f>AA7</f>
        <v>4Q24</v>
      </c>
      <c r="AB20" s="12">
        <f>AB7</f>
        <v>2024</v>
      </c>
      <c r="AC20" s="12" t="str">
        <f>AC7</f>
        <v>1Q25</v>
      </c>
      <c r="AD20" s="12" t="str">
        <f>AD7</f>
        <v>2Q25</v>
      </c>
      <c r="AE20" s="12" t="str">
        <f>AE7</f>
        <v>3Q25</v>
      </c>
      <c r="AF20" s="12" t="str">
        <f>AF7</f>
        <v>4Q25</v>
      </c>
      <c r="AG20" s="12">
        <f>AG7</f>
        <v>2025</v>
      </c>
      <c r="AH20" s="12" t="str">
        <f>AH7</f>
        <v>1Q26</v>
      </c>
      <c r="AI20" s="12" t="str">
        <f>AI7</f>
        <v>2Q26</v>
      </c>
    </row>
    <row r="21">
      <c r="C21" s="14" t="inlineStr">
        <is>
          <t xml:space="preserve">   Lucro Upstream</t>
        </is>
      </c>
      <c r="D21" s="265">
        <f>IFERROR(INDEX('Inputs (2)'!$D$53:$AL$53,MATCH(D$7,'Inputs (2)'!$D$2:$AL$2,0)),"")</f>
        <v>2920</v>
      </c>
      <c r="E21" s="265">
        <f>IFERROR(INDEX('Inputs (2)'!$D$53:$AL$53,MATCH(E$7,'Inputs (2)'!$D$2:$AL$2,0)),"")</f>
        <v>-6089</v>
      </c>
      <c r="F21" s="265">
        <f>IFERROR(INDEX('Inputs (2)'!$D$53:$AL$53,MATCH(F$7,'Inputs (2)'!$D$2:$AL$2,0)),"")</f>
        <v>235</v>
      </c>
      <c r="G21" s="265">
        <f>IFERROR(INDEX('Inputs (2)'!$D$53:$AL$53,MATCH(G$7,'Inputs (2)'!$D$2:$AL$2,0)),"")</f>
        <v>501</v>
      </c>
      <c r="H21" s="266">
        <f>IF(COUNT(D21:G21)=4,SUM(D21:G21),"")</f>
        <v>-2433</v>
      </c>
      <c r="I21" s="265">
        <f>IFERROR(INDEX('Inputs (2)'!$D$53:$AL$53,MATCH(I$7,'Inputs (2)'!$D$2:$AL$2,0)),"")</f>
        <v>2350</v>
      </c>
      <c r="J21" s="265">
        <f>IFERROR(INDEX('Inputs (2)'!$D$53:$AL$53,MATCH(J$7,'Inputs (2)'!$D$2:$AL$2,0)),"")</f>
        <v>3178</v>
      </c>
      <c r="K21" s="265">
        <f>IFERROR(INDEX('Inputs (2)'!$D$53:$AL$53,MATCH(K$7,'Inputs (2)'!$D$2:$AL$2,0)),"")</f>
        <v>5135</v>
      </c>
      <c r="L21" s="265">
        <f>IFERROR(INDEX('Inputs (2)'!$D$53:$AL$53,MATCH(L$7,'Inputs (2)'!$D$2:$AL$2,0)),"")</f>
        <v>5155</v>
      </c>
      <c r="M21" s="266">
        <f>IF(COUNT(I21:L21)=4,SUM(I21:L21),"")</f>
        <v>15818</v>
      </c>
      <c r="N21" s="265">
        <f>IFERROR(INDEX('Inputs (2)'!$D$53:$AL$53,MATCH(N$7,'Inputs (2)'!$D$2:$AL$2,0)),"")</f>
        <v>6934</v>
      </c>
      <c r="O21" s="265">
        <f>IFERROR(INDEX('Inputs (2)'!$D$53:$AL$53,MATCH(O$7,'Inputs (2)'!$D$2:$AL$2,0)),"")</f>
        <v>8558</v>
      </c>
      <c r="P21" s="265">
        <f>IFERROR(INDEX('Inputs (2)'!$D$53:$AL$53,MATCH(P$7,'Inputs (2)'!$D$2:$AL$2,0)),"")</f>
        <v>9307</v>
      </c>
      <c r="Q21" s="265" t="str">
        <f>IFERROR(INDEX('Inputs (2)'!$D$53:$AL$53,MATCH(Q$7,'Inputs (2)'!$D$2:$AL$2,0)),"")</f>
        <v/>
      </c>
      <c r="R21" s="266" t="str">
        <f>IF(COUNT(N21:Q21)=4,SUM(N21:Q21),"")</f>
        <v/>
      </c>
      <c r="S21" s="265">
        <f>IFERROR(INDEX('Inputs (2)'!$D$53:$AL$53,MATCH(S$7,'Inputs (2)'!$D$2:$AL$2,0)),"")</f>
        <v>5161</v>
      </c>
      <c r="T21" s="265">
        <f>IFERROR(INDEX('Inputs (2)'!$D$53:$AL$53,MATCH(T$7,'Inputs (2)'!$D$2:$AL$2,0)),"")</f>
        <v>4936</v>
      </c>
      <c r="U21" s="265">
        <f>IFERROR(INDEX('Inputs (2)'!$D$53:$AL$53,MATCH(U$7,'Inputs (2)'!$D$2:$AL$2,0)),"")</f>
        <v>5755</v>
      </c>
      <c r="V21" s="265" t="str">
        <f>IFERROR(INDEX('Inputs (2)'!$D$53:$AL$53,MATCH(V$7,'Inputs (2)'!$D$2:$AL$2,0)),"")</f>
        <v/>
      </c>
      <c r="W21" s="266" t="str">
        <f>IF(COUNT(S21:V21)=4,SUM(S21:V21),"")</f>
        <v/>
      </c>
      <c r="X21" s="265">
        <f>IFERROR(INDEX('Inputs (2)'!$D$53:$AL$53,MATCH(X$7,'Inputs (2)'!$D$2:$AL$2,0)),"")</f>
        <v>5239</v>
      </c>
      <c r="Y21" s="265">
        <f>IFERROR(INDEX('Inputs (2)'!$D$53:$AL$53,MATCH(Y$7,'Inputs (2)'!$D$2:$AL$2,0)),"")</f>
        <v>4470</v>
      </c>
      <c r="Z21" s="265">
        <f>IFERROR(INDEX('Inputs (2)'!$D$53:$AL$53,MATCH(Z$7,'Inputs (2)'!$D$2:$AL$2,0)),"")</f>
        <v>4589</v>
      </c>
      <c r="AA21" s="265" t="str">
        <f>IFERROR(INDEX('Inputs (2)'!$D$53:$AL$53,MATCH(AA$7,'Inputs (2)'!$D$2:$AL$2,0)),"")</f>
        <v/>
      </c>
      <c r="AB21" s="266" t="str">
        <f>IF(COUNT(X21:AA21)=4,SUM(X21:AA21),"")</f>
        <v/>
      </c>
      <c r="AC21" s="265" t="str">
        <f>IFERROR(INDEX('Inputs (2)'!$D$53:$AL$53,MATCH(AC$7,'Inputs (2)'!$D$2:$AL$2,0)),"")</f>
        <v/>
      </c>
      <c r="AD21" s="265" t="str">
        <f>IFERROR(INDEX('Inputs (2)'!$D$53:$AL$53,MATCH(AD$7,'Inputs (2)'!$D$2:$AL$2,0)),"")</f>
        <v/>
      </c>
      <c r="AE21" s="265" t="str">
        <f>IFERROR(INDEX('Inputs (2)'!$D$53:$AL$53,MATCH(AE$7,'Inputs (2)'!$D$2:$AL$2,0)),"")</f>
        <v/>
      </c>
      <c r="AF21" s="265" t="str">
        <f>IFERROR(INDEX('Inputs (2)'!$D$53:$AL$53,MATCH(AF$7,'Inputs (2)'!$D$2:$AL$2,0)),"")</f>
        <v/>
      </c>
      <c r="AG21" s="266" t="str">
        <f>IF(COUNT(AC21:AF21)=4,SUM(AC21:AF21),"")</f>
        <v/>
      </c>
      <c r="AH21" s="266" t="str">
        <f>IFERROR(INDEX('Inputs (2)'!$D$53:$AL$53,MATCH(AH$7,'Inputs (2)'!$D$2:$AL$2,0)),"")</f>
        <v/>
      </c>
      <c r="AI21" s="266" t="str">
        <f>IFERROR(INDEX('Inputs (2)'!$D$53:$AL$53,MATCH(AI$7,'Inputs (2)'!$D$2:$AL$2,0)),"")</f>
        <v/>
      </c>
    </row>
    <row r="22">
      <c r="C22" s="14" t="inlineStr">
        <is>
          <t xml:space="preserve">   Lucro Downstream</t>
        </is>
      </c>
      <c r="D22" s="265">
        <f>IFERROR(INDEX('Inputs (2)'!$D$54:$AL$54,MATCH(D$7,'Inputs (2)'!$D$2:$AL$2,0)),"")</f>
        <v>1103</v>
      </c>
      <c r="E22" s="265">
        <f>IFERROR(INDEX('Inputs (2)'!$D$54:$AL$54,MATCH(E$7,'Inputs (2)'!$D$2:$AL$2,0)),"")</f>
        <v>-1010</v>
      </c>
      <c r="F22" s="265">
        <f>IFERROR(INDEX('Inputs (2)'!$D$54:$AL$54,MATCH(F$7,'Inputs (2)'!$D$2:$AL$2,0)),"")</f>
        <v>292</v>
      </c>
      <c r="G22" s="265">
        <f>IFERROR(INDEX('Inputs (2)'!$D$54:$AL$54,MATCH(G$7,'Inputs (2)'!$D$2:$AL$2,0)),"")</f>
        <v>-338</v>
      </c>
      <c r="H22" s="266">
        <f>IF(COUNT(D22:G22)=4,SUM(D22:G22),"")</f>
        <v>47</v>
      </c>
      <c r="I22" s="265">
        <f>IFERROR(INDEX('Inputs (2)'!$D$54:$AL$54,MATCH(I$7,'Inputs (2)'!$D$2:$AL$2,0)),"")</f>
        <v>5</v>
      </c>
      <c r="J22" s="265">
        <f>IFERROR(INDEX('Inputs (2)'!$D$54:$AL$54,MATCH(J$7,'Inputs (2)'!$D$2:$AL$2,0)),"")</f>
        <v>839</v>
      </c>
      <c r="K22" s="265">
        <f>IFERROR(INDEX('Inputs (2)'!$D$54:$AL$54,MATCH(K$7,'Inputs (2)'!$D$2:$AL$2,0)),"")</f>
        <v>1310</v>
      </c>
      <c r="L22" s="265">
        <f>IFERROR(INDEX('Inputs (2)'!$D$54:$AL$54,MATCH(L$7,'Inputs (2)'!$D$2:$AL$2,0)),"")</f>
        <v>760</v>
      </c>
      <c r="M22" s="266">
        <f>IF(COUNT(I22:L22)=4,SUM(I22:L22),"")</f>
        <v>2914</v>
      </c>
      <c r="N22" s="265">
        <f>IFERROR(INDEX('Inputs (2)'!$D$54:$AL$54,MATCH(N$7,'Inputs (2)'!$D$2:$AL$2,0)),"")</f>
        <v>331</v>
      </c>
      <c r="O22" s="265">
        <f>IFERROR(INDEX('Inputs (2)'!$D$54:$AL$54,MATCH(O$7,'Inputs (2)'!$D$2:$AL$2,0)),"")</f>
        <v>3523</v>
      </c>
      <c r="P22" s="265">
        <f>IFERROR(INDEX('Inputs (2)'!$D$54:$AL$54,MATCH(P$7,'Inputs (2)'!$D$2:$AL$2,0)),"")</f>
        <v>2530</v>
      </c>
      <c r="Q22" s="265" t="str">
        <f>IFERROR(INDEX('Inputs (2)'!$D$54:$AL$54,MATCH(Q$7,'Inputs (2)'!$D$2:$AL$2,0)),"")</f>
        <v/>
      </c>
      <c r="R22" s="266" t="str">
        <f>IF(COUNT(N22:Q22)=4,SUM(N22:Q22),"")</f>
        <v/>
      </c>
      <c r="S22" s="265">
        <f>IFERROR(INDEX('Inputs (2)'!$D$54:$AL$54,MATCH(S$7,'Inputs (2)'!$D$2:$AL$2,0)),"")</f>
        <v>1800</v>
      </c>
      <c r="T22" s="265">
        <f>IFERROR(INDEX('Inputs (2)'!$D$54:$AL$54,MATCH(T$7,'Inputs (2)'!$D$2:$AL$2,0)),"")</f>
        <v>1507</v>
      </c>
      <c r="U22" s="265">
        <f>IFERROR(INDEX('Inputs (2)'!$D$54:$AL$54,MATCH(U$7,'Inputs (2)'!$D$2:$AL$2,0)),"")</f>
        <v>1683</v>
      </c>
      <c r="V22" s="265" t="str">
        <f>IFERROR(INDEX('Inputs (2)'!$D$54:$AL$54,MATCH(V$7,'Inputs (2)'!$D$2:$AL$2,0)),"")</f>
        <v/>
      </c>
      <c r="W22" s="266" t="str">
        <f>IF(COUNT(S22:V22)=4,SUM(S22:V22),"")</f>
        <v/>
      </c>
      <c r="X22" s="265">
        <f>IFERROR(INDEX('Inputs (2)'!$D$54:$AL$54,MATCH(X$7,'Inputs (2)'!$D$2:$AL$2,0)),"")</f>
        <v>783</v>
      </c>
      <c r="Y22" s="265">
        <f>IFERROR(INDEX('Inputs (2)'!$D$54:$AL$54,MATCH(Y$7,'Inputs (2)'!$D$2:$AL$2,0)),"")</f>
        <v>597</v>
      </c>
      <c r="Z22" s="265">
        <f>IFERROR(INDEX('Inputs (2)'!$D$54:$AL$54,MATCH(Z$7,'Inputs (2)'!$D$2:$AL$2,0)),"")</f>
        <v>595</v>
      </c>
      <c r="AA22" s="265" t="str">
        <f>IFERROR(INDEX('Inputs (2)'!$D$54:$AL$54,MATCH(AA$7,'Inputs (2)'!$D$2:$AL$2,0)),"")</f>
        <v/>
      </c>
      <c r="AB22" s="266" t="str">
        <f>IF(COUNT(X22:AA22)=4,SUM(X22:AA22),"")</f>
        <v/>
      </c>
      <c r="AC22" s="265" t="str">
        <f>IFERROR(INDEX('Inputs (2)'!$D$54:$AL$54,MATCH(AC$7,'Inputs (2)'!$D$2:$AL$2,0)),"")</f>
        <v/>
      </c>
      <c r="AD22" s="265" t="str">
        <f>IFERROR(INDEX('Inputs (2)'!$D$54:$AL$54,MATCH(AD$7,'Inputs (2)'!$D$2:$AL$2,0)),"")</f>
        <v/>
      </c>
      <c r="AE22" s="265" t="str">
        <f>IFERROR(INDEX('Inputs (2)'!$D$54:$AL$54,MATCH(AE$7,'Inputs (2)'!$D$2:$AL$2,0)),"")</f>
        <v/>
      </c>
      <c r="AF22" s="265" t="str">
        <f>IFERROR(INDEX('Inputs (2)'!$D$54:$AL$54,MATCH(AF$7,'Inputs (2)'!$D$2:$AL$2,0)),"")</f>
        <v/>
      </c>
      <c r="AG22" s="266" t="str">
        <f>IF(COUNT(AC22:AF22)=4,SUM(AC22:AF22),"")</f>
        <v/>
      </c>
      <c r="AH22" s="266" t="str">
        <f>IFERROR(INDEX('Inputs (2)'!$D$54:$AL$54,MATCH(AH$7,'Inputs (2)'!$D$2:$AL$2,0)),"")</f>
        <v/>
      </c>
      <c r="AI22" s="266" t="str">
        <f>IFERROR(INDEX('Inputs (2)'!$D$54:$AL$54,MATCH(AI$7,'Inputs (2)'!$D$2:$AL$2,0)),"")</f>
        <v/>
      </c>
    </row>
    <row r="23">
      <c r="C23" s="14" t="inlineStr">
        <is>
          <t xml:space="preserve">   Receita de óleo e gás EUA</t>
        </is>
      </c>
      <c r="D23" s="265">
        <f>IFERROR(INDEX('Inputs (2)'!$D$55:$AL$55,MATCH(D$7,'Inputs (2)'!$D$2:$AL$2,0)),"")</f>
        <v>15862</v>
      </c>
      <c r="E23" s="265">
        <f>IFERROR(INDEX('Inputs (2)'!$D$55:$AL$55,MATCH(E$7,'Inputs (2)'!$D$2:$AL$2,0)),"")</f>
        <v>8006</v>
      </c>
      <c r="F23" s="265">
        <f>IFERROR(INDEX('Inputs (2)'!$D$55:$AL$55,MATCH(F$7,'Inputs (2)'!$D$2:$AL$2,0)),"")</f>
        <v>11722</v>
      </c>
      <c r="G23" s="265">
        <f>IFERROR(INDEX('Inputs (2)'!$D$55:$AL$55,MATCH(G$7,'Inputs (2)'!$D$2:$AL$2,0)),"")</f>
        <v>12320</v>
      </c>
      <c r="H23" s="266">
        <f>IF(COUNT(D23:G23)=4,SUM(D23:G23),"")</f>
        <v>47910</v>
      </c>
      <c r="I23" s="265">
        <f>IFERROR(INDEX('Inputs (2)'!$D$55:$AL$55,MATCH(I$7,'Inputs (2)'!$D$2:$AL$2,0)),"")</f>
        <v>16669</v>
      </c>
      <c r="J23" s="265">
        <f>IFERROR(INDEX('Inputs (2)'!$D$55:$AL$55,MATCH(J$7,'Inputs (2)'!$D$2:$AL$2,0)),"")</f>
        <v>20155</v>
      </c>
      <c r="K23" s="265">
        <f>IFERROR(INDEX('Inputs (2)'!$D$55:$AL$55,MATCH(K$7,'Inputs (2)'!$D$2:$AL$2,0)),"")</f>
        <v>23445</v>
      </c>
      <c r="L23" s="265">
        <f>IFERROR(INDEX('Inputs (2)'!$D$55:$AL$55,MATCH(L$7,'Inputs (2)'!$D$2:$AL$2,0)),"")</f>
        <v>26665</v>
      </c>
      <c r="M23" s="266">
        <f>IF(COUNT(I23:L23)=4,SUM(I23:L23),"")</f>
        <v>86934</v>
      </c>
      <c r="N23" s="265">
        <f>IFERROR(INDEX('Inputs (2)'!$D$55:$AL$55,MATCH(N$7,'Inputs (2)'!$D$2:$AL$2,0)),"")</f>
        <v>31170</v>
      </c>
      <c r="O23" s="265">
        <f>IFERROR(INDEX('Inputs (2)'!$D$55:$AL$55,MATCH(O$7,'Inputs (2)'!$D$2:$AL$2,0)),"")</f>
        <v>40240</v>
      </c>
      <c r="P23" s="265">
        <f>IFERROR(INDEX('Inputs (2)'!$D$55:$AL$55,MATCH(P$7,'Inputs (2)'!$D$2:$AL$2,0)),"")</f>
        <v>37383</v>
      </c>
      <c r="Q23" s="265">
        <f>IFERROR(INDEX('Inputs (2)'!$D$55:$AL$55,MATCH(Q$7,'Inputs (2)'!$D$2:$AL$2,0)),"")</f>
        <v>34368</v>
      </c>
      <c r="R23" s="266">
        <f>IF(COUNT(N23:Q23)=4,SUM(N23:Q23),"")</f>
        <v>143161</v>
      </c>
      <c r="S23" s="265">
        <f>IFERROR(INDEX('Inputs (2)'!$D$55:$AL$55,MATCH(S$7,'Inputs (2)'!$D$2:$AL$2,0)),"")</f>
        <v>29121</v>
      </c>
      <c r="T23" s="265">
        <f>IFERROR(INDEX('Inputs (2)'!$D$55:$AL$55,MATCH(T$7,'Inputs (2)'!$D$2:$AL$2,0)),"")</f>
        <v>29166</v>
      </c>
      <c r="U23" s="265">
        <f>IFERROR(INDEX('Inputs (2)'!$D$55:$AL$55,MATCH(U$7,'Inputs (2)'!$D$2:$AL$2,0)),"")</f>
        <v>33176</v>
      </c>
      <c r="V23" s="265">
        <f>IFERROR(INDEX('Inputs (2)'!$D$55:$AL$55,MATCH(V$7,'Inputs (2)'!$D$2:$AL$2,0)),"")</f>
        <v>32814</v>
      </c>
      <c r="W23" s="266">
        <f>IF(COUNT(S23:V23)=4,SUM(S23:V23),"")</f>
        <v>124277</v>
      </c>
      <c r="X23" s="265">
        <f>IFERROR(INDEX('Inputs (2)'!$D$55:$AL$55,MATCH(X$7,'Inputs (2)'!$D$2:$AL$2,0)),"")</f>
        <v>31527</v>
      </c>
      <c r="Y23" s="265">
        <f>IFERROR(INDEX('Inputs (2)'!$D$55:$AL$55,MATCH(Y$7,'Inputs (2)'!$D$2:$AL$2,0)),"")</f>
        <v>32922</v>
      </c>
      <c r="Z23" s="265">
        <f>IFERROR(INDEX('Inputs (2)'!$D$55:$AL$55,MATCH(Z$7,'Inputs (2)'!$D$2:$AL$2,0)),"")</f>
        <v>31035</v>
      </c>
      <c r="AA23" s="265" t="str">
        <f>IFERROR(INDEX('Inputs (2)'!$D$55:$AL$55,MATCH(AA$7,'Inputs (2)'!$D$2:$AL$2,0)),"")</f>
        <v/>
      </c>
      <c r="AB23" s="266" t="str">
        <f>IF(COUNT(X23:AA23)=4,SUM(X23:AA23),"")</f>
        <v/>
      </c>
      <c r="AC23" s="265" t="str">
        <f>IFERROR(INDEX('Inputs (2)'!$D$55:$AL$55,MATCH(AC$7,'Inputs (2)'!$D$2:$AL$2,0)),"")</f>
        <v/>
      </c>
      <c r="AD23" s="265" t="str">
        <f>IFERROR(INDEX('Inputs (2)'!$D$55:$AL$55,MATCH(AD$7,'Inputs (2)'!$D$2:$AL$2,0)),"")</f>
        <v/>
      </c>
      <c r="AE23" s="265" t="str">
        <f>IFERROR(INDEX('Inputs (2)'!$D$55:$AL$55,MATCH(AE$7,'Inputs (2)'!$D$2:$AL$2,0)),"")</f>
        <v/>
      </c>
      <c r="AF23" s="265" t="str">
        <f>IFERROR(INDEX('Inputs (2)'!$D$55:$AL$55,MATCH(AF$7,'Inputs (2)'!$D$2:$AL$2,0)),"")</f>
        <v/>
      </c>
      <c r="AG23" s="266" t="str">
        <f>IF(COUNT(AC23:AF23)=4,SUM(AC23:AF23),"")</f>
        <v/>
      </c>
      <c r="AH23" s="266" t="str">
        <f>IFERROR(INDEX('Inputs (2)'!$D$55:$AL$55,MATCH(AH$7,'Inputs (2)'!$D$2:$AL$2,0)),"")</f>
        <v/>
      </c>
      <c r="AI23" s="266" t="str">
        <f>IFERROR(INDEX('Inputs (2)'!$D$55:$AL$55,MATCH(AI$7,'Inputs (2)'!$D$2:$AL$2,0)),"")</f>
        <v/>
      </c>
    </row>
    <row r="24">
      <c r="C24" s="14" t="inlineStr">
        <is>
          <t xml:space="preserve">   Receita de óleo e gás fora dos EUA</t>
        </is>
      </c>
      <c r="D24" s="265">
        <f>IFERROR(INDEX('Inputs (2)'!$D$56:$AL$56,MATCH(D$7,'Inputs (2)'!$D$2:$AL$2,0)),"")</f>
        <v>21188</v>
      </c>
      <c r="E24" s="265">
        <f>IFERROR(INDEX('Inputs (2)'!$D$56:$AL$56,MATCH(E$7,'Inputs (2)'!$D$2:$AL$2,0)),"")</f>
        <v>11079</v>
      </c>
      <c r="F24" s="265">
        <f>IFERROR(INDEX('Inputs (2)'!$D$56:$AL$56,MATCH(F$7,'Inputs (2)'!$D$2:$AL$2,0)),"")</f>
        <v>16563</v>
      </c>
      <c r="G24" s="265">
        <f>IFERROR(INDEX('Inputs (2)'!$D$56:$AL$56,MATCH(G$7,'Inputs (2)'!$D$2:$AL$2,0)),"")</f>
        <v>16925</v>
      </c>
      <c r="H24" s="266">
        <f>IF(COUNT(D24:G24)=4,SUM(D24:G24),"")</f>
        <v>65755</v>
      </c>
      <c r="I24" s="265">
        <f>IFERROR(INDEX('Inputs (2)'!$D$56:$AL$56,MATCH(I$7,'Inputs (2)'!$D$2:$AL$2,0)),"")</f>
        <v>20372</v>
      </c>
      <c r="J24" s="265">
        <f>IFERROR(INDEX('Inputs (2)'!$D$56:$AL$56,MATCH(J$7,'Inputs (2)'!$D$2:$AL$2,0)),"")</f>
        <v>23121</v>
      </c>
      <c r="K24" s="265">
        <f>IFERROR(INDEX('Inputs (2)'!$D$56:$AL$56,MATCH(K$7,'Inputs (2)'!$D$2:$AL$2,0)),"")</f>
        <v>26759</v>
      </c>
      <c r="L24" s="265">
        <f>IFERROR(INDEX('Inputs (2)'!$D$56:$AL$56,MATCH(L$7,'Inputs (2)'!$D$2:$AL$2,0)),"")</f>
        <v>28769</v>
      </c>
      <c r="M24" s="266">
        <f>IF(COUNT(I24:L24)=4,SUM(I24:L24),"")</f>
        <v>99021</v>
      </c>
      <c r="N24" s="265">
        <f>IFERROR(INDEX('Inputs (2)'!$D$56:$AL$56,MATCH(N$7,'Inputs (2)'!$D$2:$AL$2,0)),"")</f>
        <v>33109</v>
      </c>
      <c r="O24" s="265">
        <f>IFERROR(INDEX('Inputs (2)'!$D$56:$AL$56,MATCH(O$7,'Inputs (2)'!$D$2:$AL$2,0)),"")</f>
        <v>39674</v>
      </c>
      <c r="P24" s="265">
        <f>IFERROR(INDEX('Inputs (2)'!$D$56:$AL$56,MATCH(P$7,'Inputs (2)'!$D$2:$AL$2,0)),"")</f>
        <v>37953</v>
      </c>
      <c r="Q24" s="265">
        <f>IFERROR(INDEX('Inputs (2)'!$D$56:$AL$56,MATCH(Q$7,'Inputs (2)'!$D$2:$AL$2,0)),"")</f>
        <v>33164</v>
      </c>
      <c r="R24" s="266">
        <f>IF(COUNT(N24:Q24)=4,SUM(N24:Q24),"")</f>
        <v>143900</v>
      </c>
      <c r="S24" s="265">
        <f>IFERROR(INDEX('Inputs (2)'!$D$56:$AL$56,MATCH(S$7,'Inputs (2)'!$D$2:$AL$2,0)),"")</f>
        <v>30302</v>
      </c>
      <c r="T24" s="265">
        <f>IFERROR(INDEX('Inputs (2)'!$D$56:$AL$56,MATCH(T$7,'Inputs (2)'!$D$2:$AL$2,0)),"")</f>
        <v>29242</v>
      </c>
      <c r="U24" s="265">
        <f>IFERROR(INDEX('Inputs (2)'!$D$56:$AL$56,MATCH(U$7,'Inputs (2)'!$D$2:$AL$2,0)),"")</f>
        <v>31662</v>
      </c>
      <c r="V24" s="265">
        <f>IFERROR(INDEX('Inputs (2)'!$D$56:$AL$56,MATCH(V$7,'Inputs (2)'!$D$2:$AL$2,0)),"")</f>
        <v>30659</v>
      </c>
      <c r="W24" s="266">
        <f>IF(COUNT(S24:V24)=4,SUM(S24:V24),"")</f>
        <v>121865</v>
      </c>
      <c r="X24" s="265">
        <f>IFERROR(INDEX('Inputs (2)'!$D$56:$AL$56,MATCH(X$7,'Inputs (2)'!$D$2:$AL$2,0)),"")</f>
        <v>28875</v>
      </c>
      <c r="Y24" s="265">
        <f>IFERROR(INDEX('Inputs (2)'!$D$56:$AL$56,MATCH(Y$7,'Inputs (2)'!$D$2:$AL$2,0)),"")</f>
        <v>30852</v>
      </c>
      <c r="Z24" s="265">
        <f>IFERROR(INDEX('Inputs (2)'!$D$56:$AL$56,MATCH(Z$7,'Inputs (2)'!$D$2:$AL$2,0)),"")</f>
        <v>30819</v>
      </c>
      <c r="AA24" s="265" t="str">
        <f>IFERROR(INDEX('Inputs (2)'!$D$56:$AL$56,MATCH(AA$7,'Inputs (2)'!$D$2:$AL$2,0)),"")</f>
        <v/>
      </c>
      <c r="AB24" s="266" t="str">
        <f>IF(COUNT(X24:AA24)=4,SUM(X24:AA24),"")</f>
        <v/>
      </c>
      <c r="AC24" s="265" t="str">
        <f>IFERROR(INDEX('Inputs (2)'!$D$56:$AL$56,MATCH(AC$7,'Inputs (2)'!$D$2:$AL$2,0)),"")</f>
        <v/>
      </c>
      <c r="AD24" s="265" t="str">
        <f>IFERROR(INDEX('Inputs (2)'!$D$56:$AL$56,MATCH(AD$7,'Inputs (2)'!$D$2:$AL$2,0)),"")</f>
        <v/>
      </c>
      <c r="AE24" s="265" t="str">
        <f>IFERROR(INDEX('Inputs (2)'!$D$56:$AL$56,MATCH(AE$7,'Inputs (2)'!$D$2:$AL$2,0)),"")</f>
        <v/>
      </c>
      <c r="AF24" s="265" t="str">
        <f>IFERROR(INDEX('Inputs (2)'!$D$56:$AL$56,MATCH(AF$7,'Inputs (2)'!$D$2:$AL$2,0)),"")</f>
        <v/>
      </c>
      <c r="AG24" s="266" t="str">
        <f>IF(COUNT(AC24:AF24)=4,SUM(AC24:AF24),"")</f>
        <v/>
      </c>
      <c r="AH24" s="266" t="str">
        <f>IFERROR(INDEX('Inputs (2)'!$D$56:$AL$56,MATCH(AH$7,'Inputs (2)'!$D$2:$AL$2,0)),"")</f>
        <v/>
      </c>
      <c r="AI24" s="266" t="str">
        <f>IFERROR(INDEX('Inputs (2)'!$D$56:$AL$56,MATCH(AI$7,'Inputs (2)'!$D$2:$AL$2,0)),"")</f>
        <v/>
      </c>
    </row>
    <row r="25"/>
    <row r="26" hidden="1" outlineLevel="1" customFormat="1" s="23">
      <c r="A26" s="18" t="n"/>
      <c r="B26" s="19" t="n"/>
      <c r="C26" s="20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</row>
    <row r="27" hidden="1" outlineLevel="1" customFormat="1" s="23">
      <c r="A27" s="18" t="n"/>
      <c r="B27" s="19" t="n"/>
      <c r="C27" s="20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</row>
    <row r="28" collapsed="1">
      <c r="C28" s="24" t="inlineStr">
        <is>
          <t>COGS (cash)</t>
        </is>
      </c>
      <c r="D28" s="25">
        <f>INDEX('Inputs (2)'!$D$5:$AL$5,MATCH(D$7,'Inputs (2)'!$D$2:$AL$2,0))</f>
        <v>-15509</v>
      </c>
      <c r="E28" s="25">
        <f>INDEX('Inputs (2)'!$D$5:$AL$5,MATCH(E$7,'Inputs (2)'!$D$2:$AL$2,0))</f>
        <v>-8144</v>
      </c>
      <c r="F28" s="25">
        <f>INDEX('Inputs (2)'!$D$5:$AL$5,MATCH(F$7,'Inputs (2)'!$D$2:$AL$2,0))</f>
        <v>-13448</v>
      </c>
      <c r="G28" s="25">
        <f>INDEX('Inputs (2)'!$D$5:$AL$5,MATCH(G$7,'Inputs (2)'!$D$2:$AL$2,0))</f>
        <v>-13387</v>
      </c>
      <c r="H28" s="3">
        <f>SUM(D28:G28)</f>
        <v>-50488</v>
      </c>
      <c r="I28" s="25">
        <f>INDEX('Inputs (2)'!$D$5:$AL$5,MATCH(I$7,'Inputs (2)'!$D$2:$AL$2,0))</f>
        <v>-17568</v>
      </c>
      <c r="J28" s="25">
        <f>INDEX('Inputs (2)'!$D$5:$AL$5,MATCH(J$7,'Inputs (2)'!$D$2:$AL$2,0))</f>
        <v>-20629</v>
      </c>
      <c r="K28" s="25">
        <f>INDEX('Inputs (2)'!$D$5:$AL$5,MATCH(K$7,'Inputs (2)'!$D$2:$AL$2,0))</f>
        <v>-23834</v>
      </c>
      <c r="L28" s="25">
        <f>INDEX('Inputs (2)'!$D$5:$AL$5,MATCH(L$7,'Inputs (2)'!$D$2:$AL$2,0))</f>
        <v>-27341</v>
      </c>
      <c r="M28" s="3">
        <f>SUM(I28:L28)</f>
        <v>-89372</v>
      </c>
      <c r="N28" s="25">
        <f>INDEX('Inputs (2)'!$D$5:$AL$5,MATCH(N$7,'Inputs (2)'!$D$2:$AL$2,0))</f>
        <v>-33411</v>
      </c>
      <c r="O28" s="25">
        <f>INDEX('Inputs (2)'!$D$5:$AL$5,MATCH(O$7,'Inputs (2)'!$D$2:$AL$2,0))</f>
        <v>-40684</v>
      </c>
      <c r="P28" s="25">
        <f>INDEX('Inputs (2)'!$D$5:$AL$5,MATCH(P$7,'Inputs (2)'!$D$2:$AL$2,0))</f>
        <v>-38751</v>
      </c>
      <c r="Q28" s="25">
        <f>INDEX('Inputs (2)'!$D$5:$AL$5,MATCH(Q$7,'Inputs (2)'!$D$2:$AL$2,0))</f>
        <v>-32570</v>
      </c>
      <c r="R28" s="3">
        <f>SUM(N28:Q28)</f>
        <v>-145416</v>
      </c>
      <c r="S28" s="25">
        <f>INDEX('Inputs (2)'!$D$5:$AL$5,MATCH(S$7,'Inputs (2)'!$D$2:$AL$2,0))</f>
        <v>-29407</v>
      </c>
      <c r="T28" s="25">
        <f>INDEX('Inputs (2)'!$D$5:$AL$5,MATCH(T$7,'Inputs (2)'!$D$2:$AL$2,0))</f>
        <v>-28984</v>
      </c>
      <c r="U28" s="25">
        <f>INDEX('Inputs (2)'!$D$5:$AL$5,MATCH(U$7,'Inputs (2)'!$D$2:$AL$2,0))</f>
        <v>-32328</v>
      </c>
      <c r="V28" s="25">
        <f>INDEX('Inputs (2)'!$D$5:$AL$5,MATCH(V$7,'Inputs (2)'!$D$2:$AL$2,0))</f>
        <v>-28477</v>
      </c>
      <c r="W28" s="3">
        <f>SUM(S28:V28)</f>
        <v>-119196</v>
      </c>
      <c r="X28" s="25">
        <f>INDEX('Inputs (2)'!$D$5:$AL$5,MATCH(X$7,'Inputs (2)'!$D$2:$AL$2,0))</f>
        <v>-27741</v>
      </c>
      <c r="Y28" s="25">
        <f>INDEX('Inputs (2)'!$D$5:$AL$5,MATCH(Y$7,'Inputs (2)'!$D$2:$AL$2,0))</f>
        <v>-30867</v>
      </c>
      <c r="Z28" s="25">
        <f>INDEX('Inputs (2)'!$D$5:$AL$5,MATCH(Z$7,'Inputs (2)'!$D$2:$AL$2,0))</f>
        <v>-30450</v>
      </c>
      <c r="AA28" s="25">
        <f>INDEX('Inputs (2)'!$D$5:$AL$5,MATCH(AA$7,'Inputs (2)'!$D$2:$AL$2,0))</f>
        <v>-30148</v>
      </c>
      <c r="AB28" s="3">
        <f>SUM(X28:AA28)</f>
        <v>-119206</v>
      </c>
      <c r="AC28" s="25">
        <f>INDEX('Inputs (2)'!$D$5:$AL$5,MATCH(AC$7,'Inputs (2)'!$D$2:$AL$2,0))</f>
        <v>-28610</v>
      </c>
      <c r="AD28" s="25">
        <f>INDEX('Inputs (2)'!$D$5:$AL$5,MATCH(AD$7,'Inputs (2)'!$D$2:$AL$2,0))</f>
        <v>-26858</v>
      </c>
      <c r="AE28" s="25">
        <f>INDEX('Inputs (2)'!$D$5:$AL$5,MATCH(AE$7,'Inputs (2)'!$D$2:$AL$2,0))</f>
        <v>-27398</v>
      </c>
      <c r="AF28" s="25">
        <f>INDEX('Inputs (2)'!$D$5:$AL$5,MATCH(AF$7,'Inputs (2)'!$D$2:$AL$2,0))</f>
        <v>-25348</v>
      </c>
      <c r="AG28" s="3">
        <f>SUM(AC28:AF28)</f>
        <v>-108214</v>
      </c>
      <c r="AH28" s="3">
        <f>INDEX('Inputs (2)'!$D$5:$AL$5,MATCH(AH$7,'Inputs (2)'!$D$2:$AL$2,0))</f>
        <v>-28265</v>
      </c>
      <c r="AI28" s="3">
        <f>INDEX('Inputs (2)'!$D$5:$AL$5,MATCH(AI$7,'Inputs (2)'!$D$2:$AL$2,0))</f>
        <v>-36607</v>
      </c>
      <c r="AJ28" s="3">
        <f>(100%-AJ29)*-AJ15</f>
        <v>-49726</v>
      </c>
      <c r="AK28" s="3">
        <f>(100%-AK29)*-AK15</f>
        <v>-46873</v>
      </c>
      <c r="AL28" s="3">
        <f>SUM(AH28:AK28)</f>
        <v>-161471</v>
      </c>
      <c r="AM28" s="3">
        <f>(100%-AM29)*-AM15</f>
        <v>-48607</v>
      </c>
      <c r="AN28" s="3">
        <f>(100%-AN29)*-AN15</f>
        <v>-70055</v>
      </c>
      <c r="AO28" s="3">
        <f>(100%-AO29)*-AO15</f>
        <v>-49726</v>
      </c>
      <c r="AP28" s="3">
        <f>(100%-AP29)*-AP15</f>
        <v>-46873</v>
      </c>
      <c r="AQ28" s="3">
        <f>SUM(AM28:AP28)</f>
        <v>-215261</v>
      </c>
      <c r="AR28" s="3">
        <f>(100%-AR29)*-AR15</f>
        <v>-48607</v>
      </c>
      <c r="AS28" s="3">
        <f>(100%-AS29)*-AS15</f>
        <v>-70055</v>
      </c>
      <c r="AT28" s="3">
        <f>(100%-AT29)*-AT15</f>
        <v>-49726</v>
      </c>
      <c r="AU28" s="3">
        <f>(100%-AU29)*-AU15</f>
        <v>-46873</v>
      </c>
      <c r="AV28" s="3">
        <f>SUM(AR28:AU28)</f>
        <v>-215261</v>
      </c>
      <c r="AW28" s="3">
        <f>(100%-AW29)*-AW15</f>
        <v>-48607</v>
      </c>
      <c r="AX28" s="3">
        <f>(100%-AX29)*-AX15</f>
        <v>-70055</v>
      </c>
      <c r="AY28" s="3">
        <f>(100%-AY29)*-AY15</f>
        <v>-49726</v>
      </c>
      <c r="AZ28" s="3">
        <f>(100%-AZ29)*-AZ15</f>
        <v>-46873</v>
      </c>
      <c r="BA28" s="3">
        <f>SUM(AW28:AZ28)</f>
        <v>-215261</v>
      </c>
      <c r="BB28" s="3">
        <f>(100%-BB29)*-BB15</f>
        <v>-48607</v>
      </c>
      <c r="BC28" s="3">
        <f>(100%-BC29)*-BC15</f>
        <v>-70055</v>
      </c>
      <c r="BD28" s="3">
        <f>(100%-BD29)*-BD15</f>
        <v>-49726</v>
      </c>
      <c r="BE28" s="3">
        <f>(100%-BE29)*-BE15</f>
        <v>-46873</v>
      </c>
      <c r="BF28" s="3">
        <f>SUM(BB28:BE28)</f>
        <v>-215261</v>
      </c>
      <c r="BG28" s="3">
        <f>(100%-BG29)*-BG15</f>
        <v>-48607</v>
      </c>
      <c r="BH28" s="3">
        <f>(100%-BH29)*-BH15</f>
        <v>-70055</v>
      </c>
      <c r="BI28" s="3">
        <f>(100%-BI29)*-BI15</f>
        <v>-49726</v>
      </c>
      <c r="BJ28" s="3">
        <f>(100%-BJ29)*-BJ15</f>
        <v>-46873</v>
      </c>
      <c r="BK28" s="3">
        <f>SUM(BG28:BJ28)</f>
        <v>-215261</v>
      </c>
      <c r="BL28" s="3">
        <f>(100%-BL29)*-BL15</f>
        <v>-48607</v>
      </c>
      <c r="BM28" s="3">
        <f>(100%-BM29)*-BM15</f>
        <v>-70055</v>
      </c>
      <c r="BN28" s="3">
        <f>(100%-BN29)*-BN15</f>
        <v>-49726</v>
      </c>
      <c r="BO28" s="3">
        <f>(100%-BO29)*-BO15</f>
        <v>-46873</v>
      </c>
      <c r="BP28" s="3">
        <f>SUM(BL28:BO28)</f>
        <v>-215261</v>
      </c>
      <c r="BQ28" s="3">
        <f>(100%-BQ29)*-BQ15</f>
        <v>-48607</v>
      </c>
      <c r="BR28" s="3">
        <f>(100%-BR29)*-BR15</f>
        <v>-70055</v>
      </c>
      <c r="BS28" s="3">
        <f>(100%-BS29)*-BS15</f>
        <v>-49726</v>
      </c>
      <c r="BT28" s="3">
        <f>(100%-BT29)*-BT15</f>
        <v>-46873</v>
      </c>
      <c r="BU28" s="3">
        <f>SUM(BQ28:BT28)</f>
        <v>-215261</v>
      </c>
      <c r="BV28" s="3">
        <f>(100%-BV29)*-BV15</f>
        <v>-48607</v>
      </c>
      <c r="BW28" s="3">
        <f>(100%-BW29)*-BW15</f>
        <v>-70055</v>
      </c>
      <c r="BX28" s="3">
        <f>(100%-BX29)*-BX15</f>
        <v>-49726</v>
      </c>
      <c r="BY28" s="3">
        <f>(100%-BY29)*-BY15</f>
        <v>-46873</v>
      </c>
      <c r="BZ28" s="3">
        <f>SUM(BV28:BY28)</f>
        <v>-215261</v>
      </c>
      <c r="CA28" s="3">
        <f>(100%-CA29)*-CA15</f>
        <v>-48607</v>
      </c>
      <c r="CB28" s="3">
        <f>(100%-CB29)*-CB15</f>
        <v>-70055</v>
      </c>
      <c r="CC28" s="3">
        <f>(100%-CC29)*-CC15</f>
        <v>-49726</v>
      </c>
      <c r="CD28" s="3">
        <f>(100%-CD29)*-CD15</f>
        <v>-46873</v>
      </c>
      <c r="CE28" s="3">
        <f>SUM(CA28:CD28)</f>
        <v>-215261</v>
      </c>
      <c r="CF28" s="3">
        <f>(100%-CF29)*-CF15</f>
        <v>-48607</v>
      </c>
      <c r="CG28" s="3">
        <f>(100%-CG29)*-CG15</f>
        <v>-70055</v>
      </c>
      <c r="CH28" s="3">
        <f>(100%-CH29)*-CH15</f>
        <v>-49726</v>
      </c>
      <c r="CI28" s="3">
        <f>(100%-CI29)*-CI15</f>
        <v>-46873</v>
      </c>
      <c r="CJ28" s="3">
        <f>SUM(CF28:CI28)</f>
        <v>-215261</v>
      </c>
      <c r="CK28" s="3">
        <f>(100%-CK29)*-CK15</f>
        <v>-48607</v>
      </c>
      <c r="CL28" s="3">
        <f>(100%-CL29)*-CL15</f>
        <v>-70055</v>
      </c>
      <c r="CM28" s="3">
        <f>(100%-CM29)*-CM15</f>
        <v>-49726</v>
      </c>
      <c r="CN28" s="3">
        <f>(100%-CN29)*-CN15</f>
        <v>-46873</v>
      </c>
      <c r="CO28" s="3">
        <f>SUM(CK28:CN28)</f>
        <v>-215261</v>
      </c>
      <c r="CP28" s="3">
        <f>(100%-CP29)*-CP15</f>
        <v>-48607</v>
      </c>
      <c r="CQ28" s="3">
        <f>(100%-CQ29)*-CQ15</f>
        <v>-70055</v>
      </c>
      <c r="CR28" s="3">
        <f>(100%-CR29)*-CR15</f>
        <v>-49726</v>
      </c>
      <c r="CS28" s="3">
        <f>(100%-CS29)*-CS15</f>
        <v>-46873</v>
      </c>
      <c r="CT28" s="3">
        <f>SUM(CP28:CS28)</f>
        <v>-215261</v>
      </c>
      <c r="CU28" s="3">
        <f>(100%-CU29)*-CU15</f>
        <v>-48607</v>
      </c>
      <c r="CV28" s="3">
        <f>(100%-CV29)*-CV15</f>
        <v>-70055</v>
      </c>
      <c r="CW28" s="3">
        <f>(100%-CW29)*-CW15</f>
        <v>-49726</v>
      </c>
      <c r="CX28" s="3">
        <f>(100%-CX29)*-CX15</f>
        <v>-46873</v>
      </c>
      <c r="CY28" s="3">
        <f>SUM(CU28:CX28)</f>
        <v>-215261</v>
      </c>
    </row>
    <row r="29" hidden="1" outlineLevel="1" customFormat="1" s="1">
      <c r="C29" s="57" t="inlineStr">
        <is>
          <t>% Gross Margin</t>
        </is>
      </c>
      <c r="D29" s="54">
        <f>(D15+D28)/D$15</f>
        <v>0.50766642328815</v>
      </c>
      <c r="E29" s="54">
        <f>(E15+E28)/E$15</f>
        <v>0.396472506299096</v>
      </c>
      <c r="F29" s="54">
        <f>(F15+F28)/F$15</f>
        <v>0.450002044906139</v>
      </c>
      <c r="G29" s="54">
        <f>(G15+G28)/G$15</f>
        <v>0.469737780242415</v>
      </c>
      <c r="H29" s="54">
        <f>(H15+H28)/H$15</f>
        <v>0.466818738647404</v>
      </c>
      <c r="I29" s="54">
        <f>(I15+I28)/I$15</f>
        <v>0.451497080770552</v>
      </c>
      <c r="J29" s="54">
        <f>(J15+J28)/J$15</f>
        <v>0.451312604729101</v>
      </c>
      <c r="K29" s="54">
        <f>(K15+K28)/K$15</f>
        <v>0.466920152091255</v>
      </c>
      <c r="L29" s="54">
        <f>(L15+L28)/L$15</f>
        <v>0.431922541503044</v>
      </c>
      <c r="M29" s="54">
        <f>(M15+M28)/M$15</f>
        <v>0.449899978456898</v>
      </c>
      <c r="N29" s="54">
        <f>(N15+N28)/N$15</f>
        <v>0.385522226104868</v>
      </c>
      <c r="O29" s="54">
        <f>(O15+O28)/O$15</f>
        <v>0.408335999534627</v>
      </c>
      <c r="P29" s="54">
        <f>(P15+P28)/P$15</f>
        <v>0.418537302682912</v>
      </c>
      <c r="Q29" s="54">
        <f>(Q15+Q28)/Q$15</f>
        <v>0.423264214757495</v>
      </c>
      <c r="R29" s="54">
        <f>(R15+R28)/R$15</f>
        <v>0.409482968666244</v>
      </c>
      <c r="S29" s="54">
        <f>(S15+S28)/S$15</f>
        <v>0.421042269604079</v>
      </c>
      <c r="T29" s="54">
        <f>(T15+T28)/T$15</f>
        <v>0.40723167539267</v>
      </c>
      <c r="U29" s="54">
        <f>(U15+U28)/U$15</f>
        <v>0.402218934911243</v>
      </c>
      <c r="V29" s="54">
        <f>(V15+V28)/V$15</f>
        <v>0.396417973717677</v>
      </c>
      <c r="W29" s="54">
        <f>(W15+W28)/W$15</f>
        <v>0.406834569965514</v>
      </c>
      <c r="X29" s="54">
        <f>(X15+X28)/X$15</f>
        <v>0.430556695952049</v>
      </c>
      <c r="Y29" s="54">
        <f>(Y15+Y28)/Y$15</f>
        <v>0.396905101502511</v>
      </c>
      <c r="Z29" s="54">
        <f>(Z15+Z28)/Z$15</f>
        <v>0.399040833645819</v>
      </c>
      <c r="AA29" s="54">
        <f>(AA15+AA28)/AA$15</f>
        <v>0.422739631601118</v>
      </c>
      <c r="AB29" s="54">
        <f>(AB15+AB28)/AB$15</f>
        <v>0.41217602272279</v>
      </c>
      <c r="AC29" s="54">
        <f>(AC15+AC28)/AC$15</f>
        <v>0.399075824406637</v>
      </c>
      <c r="AD29" s="54">
        <f>(AD15+AD28)/AD$15</f>
        <v>0.40078532863326</v>
      </c>
      <c r="AE29" s="54">
        <f>(AE15+AE28)/AE$15</f>
        <v>0.449020633069219</v>
      </c>
      <c r="AF29" s="44">
        <f>(AF15+AF28)/AF$15</f>
        <v>0.459219593369317</v>
      </c>
      <c r="AG29" s="54">
        <f>(AG15+AG28)/AG$15</f>
        <v>0.427533050134634</v>
      </c>
      <c r="AH29" s="55">
        <f>(AH15+AH28)/AH$15</f>
        <v>0.41849939309153</v>
      </c>
      <c r="AI29" s="55">
        <f>(AI15+AI28)/AI$15</f>
        <v>0.477453429448291</v>
      </c>
      <c r="AJ29" s="55" t="n"/>
      <c r="AK29" s="55" t="n"/>
      <c r="AL29" s="54">
        <f>(AL15+AL28)/AL$15</f>
        <v>0.249882700535629</v>
      </c>
      <c r="AM29" s="55" t="n"/>
      <c r="AN29" s="55" t="n"/>
      <c r="AO29" s="55" t="n"/>
      <c r="AP29" s="55" t="n"/>
      <c r="AQ29" s="54">
        <f>(AQ15+AQ28)/AQ$15</f>
        <v>0</v>
      </c>
      <c r="AR29" s="55" t="n"/>
      <c r="AS29" s="55" t="n"/>
      <c r="AT29" s="55" t="n"/>
      <c r="AU29" s="55" t="n"/>
      <c r="AV29" s="54">
        <f>(AV15+AV28)/AV$15</f>
        <v>0</v>
      </c>
      <c r="AW29" s="55" t="n"/>
      <c r="AX29" s="55" t="n"/>
      <c r="AY29" s="55" t="n"/>
      <c r="AZ29" s="55" t="n"/>
      <c r="BA29" s="54">
        <f>(BA15+BA28)/BA$15</f>
        <v>0</v>
      </c>
      <c r="BB29" s="55" t="n"/>
      <c r="BC29" s="55" t="n"/>
      <c r="BD29" s="55" t="n"/>
      <c r="BE29" s="55" t="n"/>
      <c r="BF29" s="54">
        <f>(BF15+BF28)/BF$15</f>
        <v>0</v>
      </c>
      <c r="BG29" s="55" t="n"/>
      <c r="BH29" s="55" t="n"/>
      <c r="BI29" s="55" t="n"/>
      <c r="BJ29" s="55" t="n"/>
      <c r="BK29" s="54">
        <f>(BK15+BK28)/BK$15</f>
        <v>0</v>
      </c>
      <c r="BL29" s="55" t="n"/>
      <c r="BM29" s="55" t="n"/>
      <c r="BN29" s="55" t="n"/>
      <c r="BO29" s="55" t="n"/>
      <c r="BP29" s="54">
        <f>(BP15+BP28)/BP$15</f>
        <v>0</v>
      </c>
      <c r="BQ29" s="55" t="n"/>
      <c r="BR29" s="55" t="n"/>
      <c r="BS29" s="55" t="n"/>
      <c r="BT29" s="55" t="n"/>
      <c r="BU29" s="54">
        <f>(BU15+BU28)/BU$15</f>
        <v>0</v>
      </c>
      <c r="BV29" s="55" t="n"/>
      <c r="BW29" s="55" t="n"/>
      <c r="BX29" s="55" t="n"/>
      <c r="BY29" s="55" t="n"/>
      <c r="BZ29" s="54">
        <f>(BZ15+BZ28)/BZ$15</f>
        <v>0</v>
      </c>
      <c r="CA29" s="55" t="n"/>
      <c r="CB29" s="55" t="n"/>
      <c r="CC29" s="55" t="n"/>
      <c r="CD29" s="55" t="n"/>
      <c r="CE29" s="54">
        <f>(CE15+CE28)/CE$15</f>
        <v>0</v>
      </c>
      <c r="CF29" s="55" t="n"/>
      <c r="CG29" s="55" t="n"/>
      <c r="CH29" s="55" t="n"/>
      <c r="CI29" s="55" t="n"/>
      <c r="CJ29" s="54">
        <f>(CJ15+CJ28)/CJ$15</f>
        <v>0</v>
      </c>
      <c r="CK29" s="55" t="n"/>
      <c r="CL29" s="55" t="n"/>
      <c r="CM29" s="55" t="n"/>
      <c r="CN29" s="55" t="n"/>
      <c r="CO29" s="54">
        <f>(CO15+CO28)/CO$15</f>
        <v>0</v>
      </c>
      <c r="CP29" s="55" t="n"/>
      <c r="CQ29" s="55" t="n"/>
      <c r="CR29" s="55" t="n"/>
      <c r="CS29" s="55" t="n"/>
      <c r="CT29" s="54">
        <f>(CT15+CT28)/CT$15</f>
        <v>0</v>
      </c>
      <c r="CU29" s="55" t="n"/>
      <c r="CV29" s="55" t="n"/>
      <c r="CW29" s="55" t="n"/>
      <c r="CX29" s="55" t="n"/>
      <c r="CY29" s="54">
        <f>(CY15+CY28)/CY$15</f>
        <v>0</v>
      </c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collapsed="1">
      <c r="C32" s="24" t="inlineStr">
        <is>
          <t>SG&amp;A and Other (cash)</t>
        </is>
      </c>
      <c r="D32" s="25">
        <f>INDEX('Inputs (2)'!$D$6:$AL$6,MATCH(D$7,'Inputs (2)'!$D$2:$AL$2,0))</f>
        <v>-7397</v>
      </c>
      <c r="E32" s="25">
        <f>INDEX('Inputs (2)'!$D$6:$AL$6,MATCH(E$7,'Inputs (2)'!$D$2:$AL$2,0))</f>
        <v>-9058</v>
      </c>
      <c r="F32" s="25">
        <f>INDEX('Inputs (2)'!$D$6:$AL$6,MATCH(F$7,'Inputs (2)'!$D$2:$AL$2,0))</f>
        <v>-6866</v>
      </c>
      <c r="G32" s="25">
        <f>INDEX('Inputs (2)'!$D$6:$AL$6,MATCH(G$7,'Inputs (2)'!$D$2:$AL$2,0))</f>
        <v>-8131</v>
      </c>
      <c r="H32" s="3">
        <f>SUM(D32:G32)</f>
        <v>-31452</v>
      </c>
      <c r="I32" s="25">
        <f>INDEX('Inputs (2)'!$D$6:$AL$6,MATCH(I$7,'Inputs (2)'!$D$2:$AL$2,0))</f>
        <v>-7800</v>
      </c>
      <c r="J32" s="25">
        <f>INDEX('Inputs (2)'!$D$6:$AL$6,MATCH(J$7,'Inputs (2)'!$D$2:$AL$2,0))</f>
        <v>-7839</v>
      </c>
      <c r="K32" s="25">
        <f>INDEX('Inputs (2)'!$D$6:$AL$6,MATCH(K$7,'Inputs (2)'!$D$2:$AL$2,0))</f>
        <v>-8343</v>
      </c>
      <c r="L32" s="25">
        <f>INDEX('Inputs (2)'!$D$6:$AL$6,MATCH(L$7,'Inputs (2)'!$D$2:$AL$2,0))</f>
        <v>-8835</v>
      </c>
      <c r="M32" s="3">
        <f>SUM(I32:L32)</f>
        <v>-32817</v>
      </c>
      <c r="N32" s="25">
        <f>INDEX('Inputs (2)'!$D$6:$AL$6,MATCH(N$7,'Inputs (2)'!$D$2:$AL$2,0))</f>
        <v>-8118</v>
      </c>
      <c r="O32" s="25">
        <f>INDEX('Inputs (2)'!$D$6:$AL$6,MATCH(O$7,'Inputs (2)'!$D$2:$AL$2,0))</f>
        <v>-8246</v>
      </c>
      <c r="P32" s="25">
        <f>INDEX('Inputs (2)'!$D$6:$AL$6,MATCH(P$7,'Inputs (2)'!$D$2:$AL$2,0))</f>
        <v>-8755</v>
      </c>
      <c r="Q32" s="25">
        <f>INDEX('Inputs (2)'!$D$6:$AL$6,MATCH(Q$7,'Inputs (2)'!$D$2:$AL$2,0))</f>
        <v>-9208</v>
      </c>
      <c r="R32" s="3">
        <f>SUM(N32:Q32)</f>
        <v>-34327</v>
      </c>
      <c r="S32" s="25">
        <f>INDEX('Inputs (2)'!$D$6:$AL$6,MATCH(S$7,'Inputs (2)'!$D$2:$AL$2,0))</f>
        <v>-8226</v>
      </c>
      <c r="T32" s="25">
        <f>INDEX('Inputs (2)'!$D$6:$AL$6,MATCH(T$7,'Inputs (2)'!$D$2:$AL$2,0))</f>
        <v>-8434</v>
      </c>
      <c r="U32" s="25">
        <f>INDEX('Inputs (2)'!$D$6:$AL$6,MATCH(U$7,'Inputs (2)'!$D$2:$AL$2,0))</f>
        <v>-8875</v>
      </c>
      <c r="V32" s="25">
        <f>INDEX('Inputs (2)'!$D$6:$AL$6,MATCH(V$7,'Inputs (2)'!$D$2:$AL$2,0))</f>
        <v>-8839</v>
      </c>
      <c r="W32" s="3">
        <f>SUM(S32:V32)</f>
        <v>-34374</v>
      </c>
      <c r="X32" s="25">
        <f>INDEX('Inputs (2)'!$D$6:$AL$6,MATCH(X$7,'Inputs (2)'!$D$2:$AL$2,0))</f>
        <v>-8844</v>
      </c>
      <c r="Y32" s="25">
        <f>INDEX('Inputs (2)'!$D$6:$AL$6,MATCH(Y$7,'Inputs (2)'!$D$2:$AL$2,0))</f>
        <v>-9161</v>
      </c>
      <c r="Z32" s="25">
        <f>INDEX('Inputs (2)'!$D$6:$AL$6,MATCH(Z$7,'Inputs (2)'!$D$2:$AL$2,0))</f>
        <v>-9352</v>
      </c>
      <c r="AA32" s="25">
        <f>INDEX('Inputs (2)'!$D$6:$AL$6,MATCH(AA$7,'Inputs (2)'!$D$2:$AL$2,0))</f>
        <v>-10847</v>
      </c>
      <c r="AB32" s="3">
        <f>SUM(X32:AA32)</f>
        <v>-38204</v>
      </c>
      <c r="AC32" s="25">
        <f>INDEX('Inputs (2)'!$D$6:$AL$6,MATCH(AC$7,'Inputs (2)'!$D$2:$AL$2,0))</f>
        <v>-9082</v>
      </c>
      <c r="AD32" s="25">
        <f>INDEX('Inputs (2)'!$D$6:$AL$6,MATCH(AD$7,'Inputs (2)'!$D$2:$AL$2,0))</f>
        <v>-9199</v>
      </c>
      <c r="AE32" s="25">
        <f>INDEX('Inputs (2)'!$D$6:$AL$6,MATCH(AE$7,'Inputs (2)'!$D$2:$AL$2,0))</f>
        <v>-10763</v>
      </c>
      <c r="AF32" s="25">
        <f>INDEX('Inputs (2)'!$D$6:$AL$6,MATCH(AF$7,'Inputs (2)'!$D$2:$AL$2,0))</f>
        <v>-10681</v>
      </c>
      <c r="AG32" s="3">
        <f>SUM(AC32:AF32)</f>
        <v>-39725</v>
      </c>
      <c r="AH32" s="3">
        <f>INDEX('Inputs (2)'!$D$6:$AL$6,MATCH(AH$7,'Inputs (2)'!$D$2:$AL$2,0))</f>
        <v>-10243</v>
      </c>
      <c r="AI32" s="3">
        <f>INDEX('Inputs (2)'!$D$6:$AL$6,MATCH(AI$7,'Inputs (2)'!$D$2:$AL$2,0))</f>
        <v>-10330</v>
      </c>
      <c r="AJ32" s="3">
        <f>-AJ15*AJ33</f>
        <v>0</v>
      </c>
      <c r="AK32" s="3">
        <f>-AK15*AK33</f>
        <v>0</v>
      </c>
      <c r="AL32" s="3">
        <f>SUM(AH32:AK32)</f>
        <v>-20573</v>
      </c>
      <c r="AM32" s="3">
        <f>-AM15*AM33</f>
        <v>0</v>
      </c>
      <c r="AN32" s="3">
        <f>-AN15*AN33</f>
        <v>0</v>
      </c>
      <c r="AO32" s="3">
        <f>-AO15*AO33</f>
        <v>0</v>
      </c>
      <c r="AP32" s="3">
        <f>-AP15*AP33</f>
        <v>0</v>
      </c>
      <c r="AQ32" s="3">
        <f>SUM(AM32:AP32)</f>
        <v>0</v>
      </c>
      <c r="AR32" s="3">
        <f>-AR15*AR33</f>
        <v>0</v>
      </c>
      <c r="AS32" s="3">
        <f>-AS15*AS33</f>
        <v>0</v>
      </c>
      <c r="AT32" s="3">
        <f>-AT15*AT33</f>
        <v>0</v>
      </c>
      <c r="AU32" s="3">
        <f>-AU15*AU33</f>
        <v>0</v>
      </c>
      <c r="AV32" s="3">
        <f>SUM(AR32:AU32)</f>
        <v>0</v>
      </c>
      <c r="AW32" s="3">
        <f>-AW15*AW33</f>
        <v>0</v>
      </c>
      <c r="AX32" s="3">
        <f>-AX15*AX33</f>
        <v>0</v>
      </c>
      <c r="AY32" s="3">
        <f>-AY15*AY33</f>
        <v>0</v>
      </c>
      <c r="AZ32" s="3">
        <f>-AZ15*AZ33</f>
        <v>0</v>
      </c>
      <c r="BA32" s="3">
        <f>SUM(AW32:AZ32)</f>
        <v>0</v>
      </c>
      <c r="BB32" s="3">
        <f>-BB15*BB33</f>
        <v>0</v>
      </c>
      <c r="BC32" s="3">
        <f>-BC15*BC33</f>
        <v>0</v>
      </c>
      <c r="BD32" s="3">
        <f>-BD15*BD33</f>
        <v>0</v>
      </c>
      <c r="BE32" s="3">
        <f>-BE15*BE33</f>
        <v>0</v>
      </c>
      <c r="BF32" s="3">
        <f>SUM(BB32:BE32)</f>
        <v>0</v>
      </c>
      <c r="BG32" s="3">
        <f>-BG15*BG33</f>
        <v>0</v>
      </c>
      <c r="BH32" s="3">
        <f>-BH15*BH33</f>
        <v>0</v>
      </c>
      <c r="BI32" s="3">
        <f>-BI15*BI33</f>
        <v>0</v>
      </c>
      <c r="BJ32" s="3">
        <f>-BJ15*BJ33</f>
        <v>0</v>
      </c>
      <c r="BK32" s="3">
        <f>SUM(BG32:BJ32)</f>
        <v>0</v>
      </c>
      <c r="BL32" s="3">
        <f>-BL15*BL33</f>
        <v>0</v>
      </c>
      <c r="BM32" s="3">
        <f>-BM15*BM33</f>
        <v>0</v>
      </c>
      <c r="BN32" s="3">
        <f>-BN15*BN33</f>
        <v>0</v>
      </c>
      <c r="BO32" s="3">
        <f>-BO15*BO33</f>
        <v>0</v>
      </c>
      <c r="BP32" s="3">
        <f>SUM(BL32:BO32)</f>
        <v>0</v>
      </c>
      <c r="BQ32" s="3">
        <f>-BQ15*BQ33</f>
        <v>0</v>
      </c>
      <c r="BR32" s="3">
        <f>-BR15*BR33</f>
        <v>0</v>
      </c>
      <c r="BS32" s="3">
        <f>-BS15*BS33</f>
        <v>0</v>
      </c>
      <c r="BT32" s="3">
        <f>-BT15*BT33</f>
        <v>0</v>
      </c>
      <c r="BU32" s="3">
        <f>SUM(BQ32:BT32)</f>
        <v>0</v>
      </c>
      <c r="BV32" s="3">
        <f>-BV15*BV33</f>
        <v>0</v>
      </c>
      <c r="BW32" s="3">
        <f>-BW15*BW33</f>
        <v>0</v>
      </c>
      <c r="BX32" s="3">
        <f>-BX15*BX33</f>
        <v>0</v>
      </c>
      <c r="BY32" s="3">
        <f>-BY15*BY33</f>
        <v>0</v>
      </c>
      <c r="BZ32" s="3">
        <f>SUM(BV32:BY32)</f>
        <v>0</v>
      </c>
      <c r="CA32" s="3">
        <f>-CA15*CA33</f>
        <v>0</v>
      </c>
      <c r="CB32" s="3">
        <f>-CB15*CB33</f>
        <v>0</v>
      </c>
      <c r="CC32" s="3">
        <f>-CC15*CC33</f>
        <v>0</v>
      </c>
      <c r="CD32" s="3">
        <f>-CD15*CD33</f>
        <v>0</v>
      </c>
      <c r="CE32" s="3">
        <f>SUM(CA32:CD32)</f>
        <v>0</v>
      </c>
      <c r="CF32" s="3">
        <f>-CF15*CF33</f>
        <v>0</v>
      </c>
      <c r="CG32" s="3">
        <f>-CG15*CG33</f>
        <v>0</v>
      </c>
      <c r="CH32" s="3">
        <f>-CH15*CH33</f>
        <v>0</v>
      </c>
      <c r="CI32" s="3">
        <f>-CI15*CI33</f>
        <v>0</v>
      </c>
      <c r="CJ32" s="3">
        <f>SUM(CF32:CI32)</f>
        <v>0</v>
      </c>
      <c r="CK32" s="3">
        <f>-CK15*CK33</f>
        <v>0</v>
      </c>
      <c r="CL32" s="3">
        <f>-CL15*CL33</f>
        <v>0</v>
      </c>
      <c r="CM32" s="3">
        <f>-CM15*CM33</f>
        <v>0</v>
      </c>
      <c r="CN32" s="3">
        <f>-CN15*CN33</f>
        <v>0</v>
      </c>
      <c r="CO32" s="3">
        <f>SUM(CK32:CN32)</f>
        <v>0</v>
      </c>
      <c r="CP32" s="3">
        <f>-CP15*CP33</f>
        <v>0</v>
      </c>
      <c r="CQ32" s="3">
        <f>-CQ15*CQ33</f>
        <v>0</v>
      </c>
      <c r="CR32" s="3">
        <f>-CR15*CR33</f>
        <v>0</v>
      </c>
      <c r="CS32" s="3">
        <f>-CS15*CS33</f>
        <v>0</v>
      </c>
      <c r="CT32" s="3">
        <f>SUM(CP32:CS32)</f>
        <v>0</v>
      </c>
      <c r="CU32" s="3">
        <f>-CU15*CU33</f>
        <v>0</v>
      </c>
      <c r="CV32" s="3">
        <f>-CV15*CV33</f>
        <v>0</v>
      </c>
      <c r="CW32" s="3">
        <f>-CW15*CW33</f>
        <v>0</v>
      </c>
      <c r="CX32" s="3">
        <f>-CX15*CX33</f>
        <v>0</v>
      </c>
      <c r="CY32" s="3">
        <f>SUM(CU32:CX32)</f>
        <v>0</v>
      </c>
    </row>
    <row r="33" hidden="1" outlineLevel="1">
      <c r="C33" s="33" t="inlineStr">
        <is>
          <t>% SG&amp;A and Other Margin</t>
        </is>
      </c>
      <c r="D33" s="56">
        <f>-(D32/D$15)</f>
        <v>0.234817942287546</v>
      </c>
      <c r="E33" s="56">
        <f>-(E32/E$15)</f>
        <v>0.671261301319105</v>
      </c>
      <c r="F33" s="56">
        <f>-(F32/F$15)</f>
        <v>0.280806510981146</v>
      </c>
      <c r="G33" s="56">
        <f>-(G32/G$15)</f>
        <v>0.322070823100689</v>
      </c>
      <c r="H33" s="56">
        <f>-(H32/H$15)</f>
        <v>0.33215055126093</v>
      </c>
      <c r="I33" s="56">
        <f>-(I32/I$15)</f>
        <v>0.243529301570452</v>
      </c>
      <c r="J33" s="56">
        <f>-(J32/J$15)</f>
        <v>0.208500678245605</v>
      </c>
      <c r="K33" s="56">
        <f>-(K32/K$15)</f>
        <v>0.186602549765153</v>
      </c>
      <c r="L33" s="56">
        <f>-(L32/L$15)</f>
        <v>0.183569157888176</v>
      </c>
      <c r="M33" s="56">
        <f>-(M32/M$15)</f>
        <v>0.201994275690149</v>
      </c>
      <c r="N33" s="56">
        <f>-(N32/N$15)</f>
        <v>0.149302043293546</v>
      </c>
      <c r="O33" s="56">
        <f>-(O32/O$15)</f>
        <v>0.119920886536168</v>
      </c>
      <c r="P33" s="56">
        <f>-(P32/P$15)</f>
        <v>0.131369665686333</v>
      </c>
      <c r="Q33" s="56">
        <f>-(Q32/Q$15)</f>
        <v>0.163051369681087</v>
      </c>
      <c r="R33" s="56">
        <f>-(R32/R$15)</f>
        <v>0.139397852606273</v>
      </c>
      <c r="S33" s="56">
        <f>-(S32/S$15)</f>
        <v>0.161951450002953</v>
      </c>
      <c r="T33" s="56">
        <f>-(T32/T$15)</f>
        <v>0.172488547120419</v>
      </c>
      <c r="U33" s="56">
        <f>-(U32/U$15)</f>
        <v>0.164108727810651</v>
      </c>
      <c r="V33" s="56">
        <f>-(V32/V$15)</f>
        <v>0.187346333192031</v>
      </c>
      <c r="W33" s="56">
        <f>-(W32/W$15)</f>
        <v>0.171058328232537</v>
      </c>
      <c r="X33" s="56">
        <f>-(X32/X$15)</f>
        <v>0.181541998522046</v>
      </c>
      <c r="Y33" s="56">
        <f>-(Y32/Y$15)</f>
        <v>0.178992204138254</v>
      </c>
      <c r="Z33" s="56">
        <f>-(Z32/Z$15)</f>
        <v>0.184570447413606</v>
      </c>
      <c r="AA33" s="56">
        <f>-(AA32/AA$15)</f>
        <v>0.20769348600314</v>
      </c>
      <c r="AB33" s="56">
        <f>-(AB32/AB$15)</f>
        <v>0.188390074559154</v>
      </c>
      <c r="AC33" s="56">
        <f>-(AC32/AC$15)</f>
        <v>0.190758244066373</v>
      </c>
      <c r="AD33" s="56">
        <f>-(AD32/AD$15)</f>
        <v>0.205234036856901</v>
      </c>
      <c r="AE33" s="56">
        <f>-(AE32/AE$15)</f>
        <v>0.216446124763705</v>
      </c>
      <c r="AF33" s="44">
        <f>-(AF32/AF$15)</f>
        <v>0.227871055831716</v>
      </c>
      <c r="AG33" s="56">
        <f>-(AG32/AG$15)</f>
        <v>0.210150716020124</v>
      </c>
      <c r="AH33" s="45">
        <f>-(AH32/AH$15)</f>
        <v>0.21073096467587</v>
      </c>
      <c r="AI33" s="45">
        <f>-(AI32/AI$15)</f>
        <v>0.147455570623082</v>
      </c>
      <c r="AJ33" s="45" t="n"/>
      <c r="AK33" s="45" t="n"/>
      <c r="AL33" s="56">
        <f>-(AL32/AL$15)</f>
        <v>0.0955723517032811</v>
      </c>
      <c r="AM33" s="45" t="n"/>
      <c r="AN33" s="45" t="n"/>
      <c r="AO33" s="45" t="n"/>
      <c r="AP33" s="45" t="n"/>
      <c r="AQ33" s="56">
        <f>-(AQ32/AQ$15)</f>
        <v>0</v>
      </c>
      <c r="AR33" s="45" t="n"/>
      <c r="AS33" s="45" t="n"/>
      <c r="AT33" s="45" t="n"/>
      <c r="AU33" s="45" t="n"/>
      <c r="AV33" s="56">
        <f>-(AV32/AV$15)</f>
        <v>0</v>
      </c>
      <c r="AW33" s="45" t="n"/>
      <c r="AX33" s="45" t="n"/>
      <c r="AY33" s="45" t="n"/>
      <c r="AZ33" s="45" t="n"/>
      <c r="BA33" s="56">
        <f>-(BA32/BA$15)</f>
        <v>0</v>
      </c>
      <c r="BB33" s="45" t="n"/>
      <c r="BC33" s="45" t="n"/>
      <c r="BD33" s="45" t="n"/>
      <c r="BE33" s="45" t="n"/>
      <c r="BF33" s="56">
        <f>-(BF32/BF$15)</f>
        <v>0</v>
      </c>
      <c r="BG33" s="45" t="n"/>
      <c r="BH33" s="45" t="n"/>
      <c r="BI33" s="45" t="n"/>
      <c r="BJ33" s="45" t="n"/>
      <c r="BK33" s="56">
        <f>-(BK32/BK$15)</f>
        <v>0</v>
      </c>
      <c r="BL33" s="45" t="n"/>
      <c r="BM33" s="45" t="n"/>
      <c r="BN33" s="45" t="n"/>
      <c r="BO33" s="45" t="n"/>
      <c r="BP33" s="56">
        <f>-(BP32/BP$15)</f>
        <v>0</v>
      </c>
      <c r="BQ33" s="45" t="n"/>
      <c r="BR33" s="45" t="n"/>
      <c r="BS33" s="45" t="n"/>
      <c r="BT33" s="45" t="n"/>
      <c r="BU33" s="56">
        <f>-(BU32/BU$15)</f>
        <v>0</v>
      </c>
      <c r="BV33" s="45" t="n"/>
      <c r="BW33" s="45" t="n"/>
      <c r="BX33" s="45" t="n"/>
      <c r="BY33" s="45" t="n"/>
      <c r="BZ33" s="56">
        <f>-(BZ32/BZ$15)</f>
        <v>0</v>
      </c>
      <c r="CA33" s="45" t="n"/>
      <c r="CB33" s="45" t="n"/>
      <c r="CC33" s="45" t="n"/>
      <c r="CD33" s="45" t="n"/>
      <c r="CE33" s="56">
        <f>-(CE32/CE$15)</f>
        <v>0</v>
      </c>
      <c r="CF33" s="45" t="n"/>
      <c r="CG33" s="45" t="n"/>
      <c r="CH33" s="45" t="n"/>
      <c r="CI33" s="45" t="n"/>
      <c r="CJ33" s="56">
        <f>-(CJ32/CJ$15)</f>
        <v>0</v>
      </c>
      <c r="CK33" s="45" t="n"/>
      <c r="CL33" s="45" t="n"/>
      <c r="CM33" s="45" t="n"/>
      <c r="CN33" s="45" t="n"/>
      <c r="CO33" s="56">
        <f>-(CO32/CO$15)</f>
        <v>0</v>
      </c>
      <c r="CP33" s="45" t="n"/>
      <c r="CQ33" s="45" t="n"/>
      <c r="CR33" s="45" t="n"/>
      <c r="CS33" s="45" t="n"/>
      <c r="CT33" s="56">
        <f>-(CT32/CT$15)</f>
        <v>0</v>
      </c>
      <c r="CU33" s="45" t="n"/>
      <c r="CV33" s="45" t="n"/>
      <c r="CW33" s="45" t="n"/>
      <c r="CX33" s="45" t="n"/>
      <c r="CY33" s="56">
        <f>-(CY32/CY$15)</f>
        <v>0</v>
      </c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hidden="1" outlineLevel="1">
      <c r="C35" s="32" t="inlineStr">
        <is>
          <t>Com Vendas</t>
        </is>
      </c>
      <c r="D35" s="6" t="n"/>
      <c r="E35" s="6" t="n"/>
      <c r="F35" s="6" t="n"/>
      <c r="G35" s="6" t="n"/>
      <c r="H35" s="32" t="n"/>
      <c r="I35" s="6" t="n"/>
      <c r="J35" s="6" t="n"/>
      <c r="K35" s="6" t="n"/>
      <c r="L35" s="6" t="n"/>
      <c r="M35" s="32" t="n"/>
      <c r="N35" s="6" t="n"/>
      <c r="O35" s="6" t="n"/>
      <c r="P35" s="6" t="n"/>
      <c r="Q35" s="6" t="n"/>
      <c r="R35" s="32" t="n"/>
      <c r="S35" s="6" t="n"/>
      <c r="T35" s="6" t="n"/>
      <c r="U35" s="6" t="n"/>
      <c r="V35" s="6" t="n"/>
      <c r="W35" s="32" t="n"/>
      <c r="X35" s="6" t="n"/>
      <c r="Y35" s="6" t="n"/>
      <c r="Z35" s="6" t="n"/>
      <c r="AA35" s="6" t="n"/>
      <c r="AB35" s="32" t="n"/>
      <c r="AC35" s="6" t="n"/>
      <c r="AD35" s="6" t="n"/>
      <c r="AE35" s="6" t="n"/>
      <c r="AF35" s="6" t="n"/>
      <c r="AG35" s="32" t="n"/>
      <c r="AH35" s="32" t="n"/>
      <c r="AI35" s="32" t="n"/>
      <c r="AJ35" s="32" t="n"/>
      <c r="AK35" s="32" t="n"/>
      <c r="AL35" s="32" t="n"/>
      <c r="AM35" s="32" t="n"/>
      <c r="AN35" s="32" t="n"/>
      <c r="AO35" s="32" t="n"/>
      <c r="AP35" s="32" t="n"/>
      <c r="AQ35" s="32" t="n"/>
      <c r="AR35" s="32" t="n"/>
      <c r="AS35" s="32" t="n"/>
      <c r="AT35" s="32" t="n"/>
      <c r="AU35" s="32" t="n"/>
      <c r="AV35" s="32" t="n"/>
      <c r="AW35" s="32" t="n"/>
      <c r="AX35" s="32" t="n"/>
      <c r="AY35" s="32" t="n"/>
      <c r="AZ35" s="32" t="n"/>
      <c r="BA35" s="32" t="n"/>
      <c r="BB35" s="32" t="n"/>
      <c r="BC35" s="32" t="n"/>
      <c r="BD35" s="32" t="n"/>
      <c r="BE35" s="32" t="n"/>
      <c r="BF35" s="32" t="n"/>
      <c r="BG35" s="32" t="n"/>
      <c r="BH35" s="32" t="n"/>
      <c r="BI35" s="32" t="n"/>
      <c r="BJ35" s="32" t="n"/>
      <c r="BK35" s="32" t="n"/>
      <c r="BL35" s="32" t="n"/>
      <c r="BM35" s="32" t="n"/>
      <c r="BN35" s="32" t="n"/>
      <c r="BO35" s="32" t="n"/>
      <c r="BP35" s="32" t="n"/>
      <c r="BQ35" s="32" t="n"/>
      <c r="BR35" s="32" t="n"/>
      <c r="BS35" s="32" t="n"/>
      <c r="BT35" s="32" t="n"/>
      <c r="BU35" s="32" t="n"/>
      <c r="BV35" s="32" t="n"/>
      <c r="BW35" s="32" t="n"/>
      <c r="BX35" s="32" t="n"/>
      <c r="BY35" s="32" t="n"/>
      <c r="BZ35" s="32" t="n"/>
      <c r="CA35" s="32" t="n"/>
      <c r="CB35" s="32" t="n"/>
      <c r="CC35" s="32" t="n"/>
      <c r="CD35" s="32" t="n"/>
      <c r="CE35" s="32" t="n"/>
      <c r="CF35" s="32" t="n"/>
      <c r="CG35" s="32" t="n"/>
      <c r="CH35" s="32" t="n"/>
      <c r="CI35" s="32" t="n"/>
      <c r="CJ35" s="32" t="n"/>
      <c r="CK35" s="32" t="n"/>
      <c r="CL35" s="32" t="n"/>
      <c r="CM35" s="32" t="n"/>
      <c r="CN35" s="32" t="n"/>
      <c r="CO35" s="32" t="n"/>
      <c r="CP35" s="32" t="n"/>
      <c r="CQ35" s="32" t="n"/>
      <c r="CR35" s="32" t="n"/>
      <c r="CS35" s="32" t="n"/>
      <c r="CT35" s="32" t="n"/>
      <c r="CU35" s="32" t="n"/>
      <c r="CV35" s="32" t="n"/>
      <c r="CW35" s="32" t="n"/>
      <c r="CX35" s="32" t="n"/>
      <c r="CY35" s="32" t="n"/>
    </row>
    <row r="36" hidden="1" outlineLevel="1">
      <c r="C36" s="32" t="inlineStr">
        <is>
          <t>Gerais &amp; Administrativas</t>
        </is>
      </c>
      <c r="D36" s="6" t="n"/>
      <c r="E36" s="6" t="n"/>
      <c r="F36" s="6" t="n"/>
      <c r="G36" s="6" t="n"/>
      <c r="H36" s="32" t="n"/>
      <c r="I36" s="6" t="n"/>
      <c r="J36" s="6" t="n"/>
      <c r="K36" s="6" t="n"/>
      <c r="L36" s="6" t="n"/>
      <c r="M36" s="32" t="n"/>
      <c r="N36" s="6" t="n"/>
      <c r="O36" s="6" t="n"/>
      <c r="P36" s="6" t="n"/>
      <c r="Q36" s="6" t="n"/>
      <c r="R36" s="32" t="n"/>
      <c r="S36" s="6" t="n"/>
      <c r="T36" s="6" t="n"/>
      <c r="U36" s="6" t="n"/>
      <c r="V36" s="6" t="n"/>
      <c r="W36" s="32" t="n"/>
      <c r="X36" s="6" t="n"/>
      <c r="Y36" s="6" t="n"/>
      <c r="Z36" s="6" t="n"/>
      <c r="AA36" s="6" t="n"/>
      <c r="AB36" s="32" t="n"/>
      <c r="AC36" s="6" t="n"/>
      <c r="AD36" s="6" t="n"/>
      <c r="AE36" s="6" t="n"/>
      <c r="AF36" s="6" t="n"/>
      <c r="AG36" s="32" t="n"/>
      <c r="AH36" s="32" t="n"/>
      <c r="AI36" s="32" t="n"/>
      <c r="AJ36" s="32" t="n"/>
      <c r="AK36" s="32" t="n"/>
      <c r="AL36" s="32" t="n"/>
      <c r="AM36" s="32" t="n"/>
      <c r="AN36" s="32" t="n"/>
      <c r="AO36" s="32" t="n"/>
      <c r="AP36" s="32" t="n"/>
      <c r="AQ36" s="32" t="n"/>
      <c r="AR36" s="32" t="n"/>
      <c r="AS36" s="32" t="n"/>
      <c r="AT36" s="32" t="n"/>
      <c r="AU36" s="32" t="n"/>
      <c r="AV36" s="32" t="n"/>
      <c r="AW36" s="32" t="n"/>
      <c r="AX36" s="32" t="n"/>
      <c r="AY36" s="32" t="n"/>
      <c r="AZ36" s="32" t="n"/>
      <c r="BA36" s="32" t="n"/>
      <c r="BB36" s="32" t="n"/>
      <c r="BC36" s="32" t="n"/>
      <c r="BD36" s="32" t="n"/>
      <c r="BE36" s="32" t="n"/>
      <c r="BF36" s="32" t="n"/>
      <c r="BG36" s="32" t="n"/>
      <c r="BH36" s="32" t="n"/>
      <c r="BI36" s="32" t="n"/>
      <c r="BJ36" s="32" t="n"/>
      <c r="BK36" s="32" t="n"/>
      <c r="BL36" s="32" t="n"/>
      <c r="BM36" s="32" t="n"/>
      <c r="BN36" s="32" t="n"/>
      <c r="BO36" s="32" t="n"/>
      <c r="BP36" s="32" t="n"/>
      <c r="BQ36" s="32" t="n"/>
      <c r="BR36" s="32" t="n"/>
      <c r="BS36" s="32" t="n"/>
      <c r="BT36" s="32" t="n"/>
      <c r="BU36" s="32" t="n"/>
      <c r="BV36" s="32" t="n"/>
      <c r="BW36" s="32" t="n"/>
      <c r="BX36" s="32" t="n"/>
      <c r="BY36" s="32" t="n"/>
      <c r="BZ36" s="32" t="n"/>
      <c r="CA36" s="32" t="n"/>
      <c r="CB36" s="32" t="n"/>
      <c r="CC36" s="32" t="n"/>
      <c r="CD36" s="32" t="n"/>
      <c r="CE36" s="32" t="n"/>
      <c r="CF36" s="32" t="n"/>
      <c r="CG36" s="32" t="n"/>
      <c r="CH36" s="32" t="n"/>
      <c r="CI36" s="32" t="n"/>
      <c r="CJ36" s="32" t="n"/>
      <c r="CK36" s="32" t="n"/>
      <c r="CL36" s="32" t="n"/>
      <c r="CM36" s="32" t="n"/>
      <c r="CN36" s="32" t="n"/>
      <c r="CO36" s="32" t="n"/>
      <c r="CP36" s="32" t="n"/>
      <c r="CQ36" s="32" t="n"/>
      <c r="CR36" s="32" t="n"/>
      <c r="CS36" s="32" t="n"/>
      <c r="CT36" s="32" t="n"/>
      <c r="CU36" s="32" t="n"/>
      <c r="CV36" s="32" t="n"/>
      <c r="CW36" s="32" t="n"/>
      <c r="CX36" s="32" t="n"/>
      <c r="CY36" s="32" t="n"/>
    </row>
    <row r="37" hidden="1" outlineLevel="1">
      <c r="C37" s="32" t="inlineStr">
        <is>
          <t>Outras Receitas (Despesas) Operacionais, Líquidas</t>
        </is>
      </c>
      <c r="D37" s="6" t="n"/>
      <c r="E37" s="6" t="n"/>
      <c r="F37" s="6" t="n"/>
      <c r="G37" s="6" t="n"/>
      <c r="H37" s="32" t="n"/>
      <c r="I37" s="6" t="n"/>
      <c r="J37" s="6" t="n"/>
      <c r="K37" s="6" t="n"/>
      <c r="L37" s="6" t="n"/>
      <c r="M37" s="32" t="n"/>
      <c r="N37" s="6" t="n"/>
      <c r="O37" s="6" t="n"/>
      <c r="P37" s="6" t="n"/>
      <c r="Q37" s="6" t="n"/>
      <c r="R37" s="32" t="n"/>
      <c r="S37" s="6" t="n"/>
      <c r="T37" s="6" t="n"/>
      <c r="U37" s="6" t="n"/>
      <c r="V37" s="6" t="n"/>
      <c r="W37" s="32" t="n"/>
      <c r="X37" s="6" t="n"/>
      <c r="Y37" s="6" t="n"/>
      <c r="Z37" s="6" t="n"/>
      <c r="AA37" s="6" t="n"/>
      <c r="AB37" s="32" t="n"/>
      <c r="AC37" s="6" t="n"/>
      <c r="AD37" s="6" t="n"/>
      <c r="AE37" s="6" t="n"/>
      <c r="AF37" s="6" t="n"/>
      <c r="AG37" s="32" t="n"/>
      <c r="AH37" s="32" t="n"/>
      <c r="AI37" s="32" t="n"/>
      <c r="AJ37" s="32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2" t="n"/>
      <c r="BE37" s="32" t="n"/>
      <c r="BF37" s="32" t="n"/>
      <c r="BG37" s="32" t="n"/>
      <c r="BH37" s="32" t="n"/>
      <c r="BI37" s="32" t="n"/>
      <c r="BJ37" s="32" t="n"/>
      <c r="BK37" s="32" t="n"/>
      <c r="BL37" s="32" t="n"/>
      <c r="BM37" s="32" t="n"/>
      <c r="BN37" s="32" t="n"/>
      <c r="BO37" s="32" t="n"/>
      <c r="BP37" s="32" t="n"/>
      <c r="BQ37" s="32" t="n"/>
      <c r="BR37" s="32" t="n"/>
      <c r="BS37" s="32" t="n"/>
      <c r="BT37" s="32" t="n"/>
      <c r="BU37" s="32" t="n"/>
      <c r="BV37" s="32" t="n"/>
      <c r="BW37" s="32" t="n"/>
      <c r="BX37" s="32" t="n"/>
      <c r="BY37" s="32" t="n"/>
      <c r="BZ37" s="32" t="n"/>
      <c r="CA37" s="32" t="n"/>
      <c r="CB37" s="32" t="n"/>
      <c r="CC37" s="32" t="n"/>
      <c r="CD37" s="32" t="n"/>
      <c r="CE37" s="32" t="n"/>
      <c r="CF37" s="32" t="n"/>
      <c r="CG37" s="32" t="n"/>
      <c r="CH37" s="32" t="n"/>
      <c r="CI37" s="32" t="n"/>
      <c r="CJ37" s="32" t="n"/>
      <c r="CK37" s="32" t="n"/>
      <c r="CL37" s="32" t="n"/>
      <c r="CM37" s="32" t="n"/>
      <c r="CN37" s="32" t="n"/>
      <c r="CO37" s="32" t="n"/>
      <c r="CP37" s="32" t="n"/>
      <c r="CQ37" s="32" t="n"/>
      <c r="CR37" s="32" t="n"/>
      <c r="CS37" s="32" t="n"/>
      <c r="CT37" s="32" t="n"/>
      <c r="CU37" s="32" t="n"/>
      <c r="CV37" s="32" t="n"/>
      <c r="CW37" s="32" t="n"/>
      <c r="CX37" s="32" t="n"/>
      <c r="CY37" s="32" t="n"/>
    </row>
    <row r="38" hidden="1" outlineLevel="1"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2" t="n"/>
      <c r="AE38" s="32" t="n"/>
      <c r="AF38" s="32" t="n"/>
      <c r="AG38" s="32" t="n"/>
      <c r="AH38" s="32" t="n"/>
      <c r="AI38" s="32" t="n"/>
      <c r="AJ38" s="32" t="n"/>
      <c r="AK38" s="32" t="n"/>
      <c r="AL38" s="32" t="n"/>
      <c r="AM38" s="32" t="n"/>
      <c r="AN38" s="32" t="n"/>
      <c r="AO38" s="32" t="n"/>
      <c r="AP38" s="32" t="n"/>
      <c r="AQ38" s="32" t="n"/>
      <c r="AR38" s="32" t="n"/>
      <c r="AS38" s="32" t="n"/>
      <c r="AT38" s="32" t="n"/>
      <c r="AU38" s="32" t="n"/>
      <c r="AV38" s="32" t="n"/>
      <c r="AW38" s="32" t="n"/>
      <c r="AX38" s="32" t="n"/>
      <c r="AY38" s="32" t="n"/>
      <c r="AZ38" s="32" t="n"/>
      <c r="BA38" s="32" t="n"/>
      <c r="BB38" s="32" t="n"/>
      <c r="BC38" s="32" t="n"/>
      <c r="BD38" s="32" t="n"/>
      <c r="BE38" s="32" t="n"/>
      <c r="BF38" s="32" t="n"/>
      <c r="BG38" s="32" t="n"/>
      <c r="BH38" s="32" t="n"/>
      <c r="BI38" s="32" t="n"/>
      <c r="BJ38" s="32" t="n"/>
      <c r="BK38" s="32" t="n"/>
      <c r="BL38" s="32" t="n"/>
      <c r="BM38" s="32" t="n"/>
      <c r="BN38" s="32" t="n"/>
      <c r="BO38" s="32" t="n"/>
      <c r="BP38" s="32" t="n"/>
      <c r="BQ38" s="32" t="n"/>
      <c r="BR38" s="32" t="n"/>
      <c r="BS38" s="32" t="n"/>
      <c r="BT38" s="32" t="n"/>
      <c r="BU38" s="32" t="n"/>
      <c r="BV38" s="32" t="n"/>
      <c r="BW38" s="32" t="n"/>
      <c r="BX38" s="32" t="n"/>
      <c r="BY38" s="32" t="n"/>
      <c r="BZ38" s="32" t="n"/>
      <c r="CA38" s="32" t="n"/>
      <c r="CB38" s="32" t="n"/>
      <c r="CC38" s="32" t="n"/>
      <c r="CD38" s="32" t="n"/>
      <c r="CE38" s="32" t="n"/>
      <c r="CF38" s="32" t="n"/>
      <c r="CG38" s="32" t="n"/>
      <c r="CH38" s="32" t="n"/>
      <c r="CI38" s="32" t="n"/>
      <c r="CJ38" s="32" t="n"/>
      <c r="CK38" s="32" t="n"/>
      <c r="CL38" s="32" t="n"/>
      <c r="CM38" s="32" t="n"/>
      <c r="CN38" s="32" t="n"/>
      <c r="CO38" s="32" t="n"/>
      <c r="CP38" s="32" t="n"/>
      <c r="CQ38" s="32" t="n"/>
      <c r="CR38" s="32" t="n"/>
      <c r="CS38" s="32" t="n"/>
      <c r="CT38" s="32" t="n"/>
      <c r="CU38" s="32" t="n"/>
      <c r="CV38" s="32" t="n"/>
      <c r="CW38" s="32" t="n"/>
      <c r="CX38" s="32" t="n"/>
      <c r="CY38" s="32" t="n"/>
    </row>
    <row r="39" hidden="1" outlineLevel="1">
      <c r="C39" s="32" t="inlineStr">
        <is>
          <t>Com Vendas (%)</t>
        </is>
      </c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</row>
    <row r="40" hidden="1" outlineLevel="1">
      <c r="C40" s="32" t="inlineStr">
        <is>
          <t>Gerais &amp; Administrativas (%)</t>
        </is>
      </c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</row>
    <row r="41" hidden="1" outlineLevel="1">
      <c r="C41" s="32" t="inlineStr">
        <is>
          <t>Outras Receitas (Despesas) Operacionais, Líquidas (%)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2" t="n"/>
      <c r="AN41" s="32" t="n"/>
      <c r="AO41" s="32" t="n"/>
      <c r="AP41" s="32" t="n"/>
      <c r="AQ41" s="32" t="n"/>
      <c r="AR41" s="32" t="n"/>
      <c r="AS41" s="32" t="n"/>
      <c r="AT41" s="32" t="n"/>
      <c r="AU41" s="32" t="n"/>
      <c r="AV41" s="32" t="n"/>
      <c r="AW41" s="32" t="n"/>
      <c r="AX41" s="32" t="n"/>
      <c r="AY41" s="32" t="n"/>
      <c r="AZ41" s="32" t="n"/>
      <c r="BA41" s="32" t="n"/>
      <c r="BB41" s="32" t="n"/>
      <c r="BC41" s="32" t="n"/>
      <c r="BD41" s="32" t="n"/>
      <c r="BE41" s="32" t="n"/>
      <c r="BF41" s="32" t="n"/>
      <c r="BG41" s="32" t="n"/>
      <c r="BH41" s="32" t="n"/>
      <c r="BI41" s="32" t="n"/>
      <c r="BJ41" s="32" t="n"/>
      <c r="BK41" s="32" t="n"/>
      <c r="BL41" s="32" t="n"/>
      <c r="BM41" s="32" t="n"/>
      <c r="BN41" s="32" t="n"/>
      <c r="BO41" s="32" t="n"/>
      <c r="BP41" s="32" t="n"/>
      <c r="BQ41" s="32" t="n"/>
      <c r="BR41" s="32" t="n"/>
      <c r="BS41" s="32" t="n"/>
      <c r="BT41" s="32" t="n"/>
      <c r="BU41" s="32" t="n"/>
      <c r="BV41" s="32" t="n"/>
      <c r="BW41" s="32" t="n"/>
      <c r="BX41" s="32" t="n"/>
      <c r="BY41" s="32" t="n"/>
      <c r="BZ41" s="32" t="n"/>
      <c r="CA41" s="32" t="n"/>
      <c r="CB41" s="32" t="n"/>
      <c r="CC41" s="32" t="n"/>
      <c r="CD41" s="32" t="n"/>
      <c r="CE41" s="32" t="n"/>
      <c r="CF41" s="32" t="n"/>
      <c r="CG41" s="32" t="n"/>
      <c r="CH41" s="32" t="n"/>
      <c r="CI41" s="32" t="n"/>
      <c r="CJ41" s="32" t="n"/>
      <c r="CK41" s="32" t="n"/>
      <c r="CL41" s="32" t="n"/>
      <c r="CM41" s="32" t="n"/>
      <c r="CN41" s="32" t="n"/>
      <c r="CO41" s="32" t="n"/>
      <c r="CP41" s="32" t="n"/>
      <c r="CQ41" s="32" t="n"/>
      <c r="CR41" s="32" t="n"/>
      <c r="CS41" s="32" t="n"/>
      <c r="CT41" s="32" t="n"/>
      <c r="CU41" s="32" t="n"/>
      <c r="CV41" s="32" t="n"/>
      <c r="CW41" s="32" t="n"/>
      <c r="CX41" s="32" t="n"/>
      <c r="CY41" s="32" t="n"/>
    </row>
    <row r="42" hidden="1" outlineLevel="1"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2" t="n"/>
      <c r="AQ42" s="32" t="n"/>
      <c r="AR42" s="32" t="n"/>
      <c r="AS42" s="32" t="n"/>
      <c r="AT42" s="32" t="n"/>
      <c r="AU42" s="32" t="n"/>
      <c r="AV42" s="32" t="n"/>
      <c r="AW42" s="32" t="n"/>
      <c r="AX42" s="32" t="n"/>
      <c r="AY42" s="32" t="n"/>
      <c r="AZ42" s="32" t="n"/>
      <c r="BA42" s="32" t="n"/>
      <c r="BB42" s="32" t="n"/>
      <c r="BC42" s="32" t="n"/>
      <c r="BD42" s="32" t="n"/>
      <c r="BE42" s="32" t="n"/>
      <c r="BF42" s="32" t="n"/>
      <c r="BG42" s="32" t="n"/>
      <c r="BH42" s="32" t="n"/>
      <c r="BI42" s="32" t="n"/>
      <c r="BJ42" s="32" t="n"/>
      <c r="BK42" s="32" t="n"/>
      <c r="BL42" s="32" t="n"/>
      <c r="BM42" s="32" t="n"/>
      <c r="BN42" s="32" t="n"/>
      <c r="BO42" s="32" t="n"/>
      <c r="BP42" s="32" t="n"/>
      <c r="BQ42" s="32" t="n"/>
      <c r="BR42" s="32" t="n"/>
      <c r="BS42" s="32" t="n"/>
      <c r="BT42" s="32" t="n"/>
      <c r="BU42" s="32" t="n"/>
      <c r="BV42" s="32" t="n"/>
      <c r="BW42" s="32" t="n"/>
      <c r="BX42" s="32" t="n"/>
      <c r="BY42" s="32" t="n"/>
      <c r="BZ42" s="32" t="n"/>
      <c r="CA42" s="32" t="n"/>
      <c r="CB42" s="32" t="n"/>
      <c r="CC42" s="32" t="n"/>
      <c r="CD42" s="32" t="n"/>
      <c r="CE42" s="32" t="n"/>
      <c r="CF42" s="32" t="n"/>
      <c r="CG42" s="32" t="n"/>
      <c r="CH42" s="32" t="n"/>
      <c r="CI42" s="32" t="n"/>
      <c r="CJ42" s="32" t="n"/>
      <c r="CK42" s="32" t="n"/>
      <c r="CL42" s="32" t="n"/>
      <c r="CM42" s="32" t="n"/>
      <c r="CN42" s="32" t="n"/>
      <c r="CO42" s="32" t="n"/>
      <c r="CP42" s="32" t="n"/>
      <c r="CQ42" s="32" t="n"/>
      <c r="CR42" s="32" t="n"/>
      <c r="CS42" s="32" t="n"/>
      <c r="CT42" s="32" t="n"/>
      <c r="CU42" s="32" t="n"/>
      <c r="CV42" s="32" t="n"/>
      <c r="CW42" s="32" t="n"/>
      <c r="CX42" s="32" t="n"/>
      <c r="CY42" s="32" t="n"/>
    </row>
    <row r="43" collapsed="1" customFormat="1" s="17">
      <c r="A43" s="13" t="n"/>
      <c r="B43" s="1" t="n"/>
      <c r="C43" s="14" t="inlineStr">
        <is>
          <t>EBITDA</t>
        </is>
      </c>
      <c r="D43" s="16">
        <f>SUM(D15,D28,D32)</f>
        <v>8595</v>
      </c>
      <c r="E43" s="16">
        <f>SUM(E15,E28,E32)</f>
        <v>-3708</v>
      </c>
      <c r="F43" s="16">
        <f>SUM(F15,F28,F32)</f>
        <v>4137</v>
      </c>
      <c r="G43" s="16">
        <f>SUM(G15,G28,G32)</f>
        <v>3728</v>
      </c>
      <c r="H43" s="16">
        <f>SUM(D43:G43)</f>
        <v>12752</v>
      </c>
      <c r="I43" s="16">
        <f>SUM(I15,I28,I32)</f>
        <v>6661</v>
      </c>
      <c r="J43" s="16">
        <f>SUM(J15,J28,J32)</f>
        <v>9129</v>
      </c>
      <c r="K43" s="16">
        <f>SUM(K15,K28,K32)</f>
        <v>12533</v>
      </c>
      <c r="L43" s="16">
        <f>SUM(L15,L28,L32)</f>
        <v>11953</v>
      </c>
      <c r="M43" s="16">
        <f>SUM(I43:L43)</f>
        <v>40276</v>
      </c>
      <c r="N43" s="16">
        <f>SUM(N15,N28,N32)</f>
        <v>12844</v>
      </c>
      <c r="O43" s="16">
        <f>SUM(O15,O28,O32)</f>
        <v>19832</v>
      </c>
      <c r="P43" s="16">
        <f>SUM(P15,P28,P32)</f>
        <v>19138</v>
      </c>
      <c r="Q43" s="16">
        <f>SUM(Q15,Q28,Q32)</f>
        <v>14695</v>
      </c>
      <c r="R43" s="16">
        <f>SUM(N43:Q43)</f>
        <v>66509</v>
      </c>
      <c r="S43" s="16">
        <f>SUM(S15,S28,S32)</f>
        <v>13160</v>
      </c>
      <c r="T43" s="16">
        <f>SUM(T15,T28,T32)</f>
        <v>11478</v>
      </c>
      <c r="U43" s="16">
        <f>SUM(U15,U28,U32)</f>
        <v>12877</v>
      </c>
      <c r="V43" s="16">
        <f>SUM(V15,V28,V32)</f>
        <v>9864</v>
      </c>
      <c r="W43" s="16">
        <f>SUM(S43:V43)</f>
        <v>47379</v>
      </c>
      <c r="X43" s="16">
        <f>SUM(X15,X28,X32)</f>
        <v>12131</v>
      </c>
      <c r="Y43" s="16">
        <f>SUM(Y15,Y28,Y32)</f>
        <v>11153</v>
      </c>
      <c r="Z43" s="16">
        <f>SUM(Z15,Z28,Z32)</f>
        <v>10867</v>
      </c>
      <c r="AA43" s="16">
        <f>SUM(AA15,AA28,AA32)</f>
        <v>11231</v>
      </c>
      <c r="AB43" s="16">
        <f>SUM(X43:AA43)</f>
        <v>45382</v>
      </c>
      <c r="AC43" s="16">
        <f>SUM(AC15,AC28,AC32)</f>
        <v>9918</v>
      </c>
      <c r="AD43" s="16">
        <f>SUM(AD15,AD28,AD32)</f>
        <v>8765</v>
      </c>
      <c r="AE43" s="16">
        <f>SUM(AE15,AE28,AE32)</f>
        <v>11565</v>
      </c>
      <c r="AF43" s="16">
        <f>SUM(AF15,AF28,AF32)</f>
        <v>10844</v>
      </c>
      <c r="AG43" s="16">
        <f>SUM(AC43:AF43)</f>
        <v>41092</v>
      </c>
      <c r="AH43" s="16">
        <f>SUM(AH15,AH28,AH32)</f>
        <v>10099</v>
      </c>
      <c r="AI43" s="16">
        <f>SUM(AI15,AI28,AI32)</f>
        <v>23118</v>
      </c>
      <c r="AJ43" s="16">
        <f>SUM(AJ15,AJ28,AJ32)</f>
        <v>0</v>
      </c>
      <c r="AK43" s="16">
        <f>SUM(AK15,AK28,AK32)</f>
        <v>0</v>
      </c>
      <c r="AL43" s="16">
        <f>SUM(AH43:AK43)</f>
        <v>33217</v>
      </c>
      <c r="AM43" s="16">
        <f>SUM(AM15,AM28,AM32)</f>
        <v>0</v>
      </c>
      <c r="AN43" s="16">
        <f>SUM(AN15,AN28,AN32)</f>
        <v>0</v>
      </c>
      <c r="AO43" s="16">
        <f>SUM(AO15,AO28,AO32)</f>
        <v>0</v>
      </c>
      <c r="AP43" s="16">
        <f>SUM(AP15,AP28,AP32)</f>
        <v>0</v>
      </c>
      <c r="AQ43" s="16">
        <f>SUM(AM43:AP43)</f>
        <v>0</v>
      </c>
      <c r="AR43" s="16">
        <f>SUM(AR15,AR28,AR32)</f>
        <v>0</v>
      </c>
      <c r="AS43" s="16">
        <f>SUM(AS15,AS28,AS32)</f>
        <v>0</v>
      </c>
      <c r="AT43" s="16">
        <f>SUM(AT15,AT28,AT32)</f>
        <v>0</v>
      </c>
      <c r="AU43" s="16">
        <f>SUM(AU15,AU28,AU32)</f>
        <v>0</v>
      </c>
      <c r="AV43" s="16">
        <f>SUM(AR43:AU43)</f>
        <v>0</v>
      </c>
      <c r="AW43" s="16">
        <f>SUM(AW15,AW28,AW32)</f>
        <v>0</v>
      </c>
      <c r="AX43" s="16">
        <f>SUM(AX15,AX28,AX32)</f>
        <v>0</v>
      </c>
      <c r="AY43" s="16">
        <f>SUM(AY15,AY28,AY32)</f>
        <v>0</v>
      </c>
      <c r="AZ43" s="16">
        <f>SUM(AZ15,AZ28,AZ32)</f>
        <v>0</v>
      </c>
      <c r="BA43" s="16">
        <f>SUM(AW43:AZ43)</f>
        <v>0</v>
      </c>
      <c r="BB43" s="16">
        <f>SUM(BB15,BB28,BB32)</f>
        <v>0</v>
      </c>
      <c r="BC43" s="16">
        <f>SUM(BC15,BC28,BC32)</f>
        <v>0</v>
      </c>
      <c r="BD43" s="16">
        <f>SUM(BD15,BD28,BD32)</f>
        <v>0</v>
      </c>
      <c r="BE43" s="16">
        <f>SUM(BE15,BE28,BE32)</f>
        <v>0</v>
      </c>
      <c r="BF43" s="16">
        <f>SUM(BB43:BE43)</f>
        <v>0</v>
      </c>
      <c r="BG43" s="16">
        <f>SUM(BG15,BG28,BG32)</f>
        <v>0</v>
      </c>
      <c r="BH43" s="16">
        <f>SUM(BH15,BH28,BH32)</f>
        <v>0</v>
      </c>
      <c r="BI43" s="16">
        <f>SUM(BI15,BI28,BI32)</f>
        <v>0</v>
      </c>
      <c r="BJ43" s="16">
        <f>SUM(BJ15,BJ28,BJ32)</f>
        <v>0</v>
      </c>
      <c r="BK43" s="16">
        <f>SUM(BG43:BJ43)</f>
        <v>0</v>
      </c>
      <c r="BL43" s="16">
        <f>SUM(BL15,BL28,BL32)</f>
        <v>0</v>
      </c>
      <c r="BM43" s="16">
        <f>SUM(BM15,BM28,BM32)</f>
        <v>0</v>
      </c>
      <c r="BN43" s="16">
        <f>SUM(BN15,BN28,BN32)</f>
        <v>0</v>
      </c>
      <c r="BO43" s="16">
        <f>SUM(BO15,BO28,BO32)</f>
        <v>0</v>
      </c>
      <c r="BP43" s="16">
        <f>SUM(BL43:BO43)</f>
        <v>0</v>
      </c>
      <c r="BQ43" s="16">
        <f>SUM(BQ15,BQ28,BQ32)</f>
        <v>0</v>
      </c>
      <c r="BR43" s="16">
        <f>SUM(BR15,BR28,BR32)</f>
        <v>0</v>
      </c>
      <c r="BS43" s="16">
        <f>SUM(BS15,BS28,BS32)</f>
        <v>0</v>
      </c>
      <c r="BT43" s="16">
        <f>SUM(BT15,BT28,BT32)</f>
        <v>0</v>
      </c>
      <c r="BU43" s="16">
        <f>SUM(BQ43:BT43)</f>
        <v>0</v>
      </c>
      <c r="BV43" s="16">
        <f>SUM(BV15,BV28,BV32)</f>
        <v>0</v>
      </c>
      <c r="BW43" s="16">
        <f>SUM(BW15,BW28,BW32)</f>
        <v>0</v>
      </c>
      <c r="BX43" s="16">
        <f>SUM(BX15,BX28,BX32)</f>
        <v>0</v>
      </c>
      <c r="BY43" s="16">
        <f>SUM(BY15,BY28,BY32)</f>
        <v>0</v>
      </c>
      <c r="BZ43" s="16">
        <f>SUM(BV43:BY43)</f>
        <v>0</v>
      </c>
      <c r="CA43" s="16">
        <f>SUM(CA15,CA28,CA32)</f>
        <v>0</v>
      </c>
      <c r="CB43" s="16">
        <f>SUM(CB15,CB28,CB32)</f>
        <v>0</v>
      </c>
      <c r="CC43" s="16">
        <f>SUM(CC15,CC28,CC32)</f>
        <v>0</v>
      </c>
      <c r="CD43" s="16">
        <f>SUM(CD15,CD28,CD32)</f>
        <v>0</v>
      </c>
      <c r="CE43" s="16">
        <f>SUM(CA43:CD43)</f>
        <v>0</v>
      </c>
      <c r="CF43" s="16">
        <f>SUM(CF15,CF28,CF32)</f>
        <v>0</v>
      </c>
      <c r="CG43" s="16">
        <f>SUM(CG15,CG28,CG32)</f>
        <v>0</v>
      </c>
      <c r="CH43" s="16">
        <f>SUM(CH15,CH28,CH32)</f>
        <v>0</v>
      </c>
      <c r="CI43" s="16">
        <f>SUM(CI15,CI28,CI32)</f>
        <v>0</v>
      </c>
      <c r="CJ43" s="16">
        <f>SUM(CF43:CI43)</f>
        <v>0</v>
      </c>
      <c r="CK43" s="16">
        <f>SUM(CK15,CK28,CK32)</f>
        <v>0</v>
      </c>
      <c r="CL43" s="16">
        <f>SUM(CL15,CL28,CL32)</f>
        <v>0</v>
      </c>
      <c r="CM43" s="16">
        <f>SUM(CM15,CM28,CM32)</f>
        <v>0</v>
      </c>
      <c r="CN43" s="16">
        <f>SUM(CN15,CN28,CN32)</f>
        <v>0</v>
      </c>
      <c r="CO43" s="16">
        <f>SUM(CK43:CN43)</f>
        <v>0</v>
      </c>
      <c r="CP43" s="16">
        <f>SUM(CP15,CP28,CP32)</f>
        <v>0</v>
      </c>
      <c r="CQ43" s="16">
        <f>SUM(CQ15,CQ28,CQ32)</f>
        <v>0</v>
      </c>
      <c r="CR43" s="16">
        <f>SUM(CR15,CR28,CR32)</f>
        <v>0</v>
      </c>
      <c r="CS43" s="16">
        <f>SUM(CS15,CS28,CS32)</f>
        <v>0</v>
      </c>
      <c r="CT43" s="16">
        <f>SUM(CP43:CS43)</f>
        <v>0</v>
      </c>
      <c r="CU43" s="16">
        <f>SUM(CU15,CU28,CU32)</f>
        <v>0</v>
      </c>
      <c r="CV43" s="16">
        <f>SUM(CV15,CV28,CV32)</f>
        <v>0</v>
      </c>
      <c r="CW43" s="16">
        <f>SUM(CW15,CW28,CW32)</f>
        <v>0</v>
      </c>
      <c r="CX43" s="16">
        <f>SUM(CX15,CX28,CX32)</f>
        <v>0</v>
      </c>
      <c r="CY43" s="16">
        <f>SUM(CU43:CX43)</f>
        <v>0</v>
      </c>
    </row>
    <row r="44" ht="13.5" customHeight="1">
      <c r="C44" s="24" t="inlineStr">
        <is>
          <t>D&amp;A</t>
        </is>
      </c>
      <c r="D44" s="25">
        <f>INDEX('Inputs (2)'!$D$7:$AL$7,MATCH(D$7,'Inputs (2)'!$D$2:$AL$2,0))</f>
        <v>-4288</v>
      </c>
      <c r="E44" s="25">
        <f>INDEX('Inputs (2)'!$D$7:$AL$7,MATCH(E$7,'Inputs (2)'!$D$2:$AL$2,0))</f>
        <v>-6717</v>
      </c>
      <c r="F44" s="25">
        <f>INDEX('Inputs (2)'!$D$7:$AL$7,MATCH(F$7,'Inputs (2)'!$D$2:$AL$2,0))</f>
        <v>-4017</v>
      </c>
      <c r="G44" s="25">
        <f>INDEX('Inputs (2)'!$D$7:$AL$7,MATCH(G$7,'Inputs (2)'!$D$2:$AL$2,0))</f>
        <v>-4486</v>
      </c>
      <c r="H44" s="3">
        <f>SUM(D44:G44)</f>
        <v>-19508</v>
      </c>
      <c r="I44" s="25">
        <f>INDEX('Inputs (2)'!$D$7:$AL$7,MATCH(I$7,'Inputs (2)'!$D$2:$AL$2,0))</f>
        <v>-4286</v>
      </c>
      <c r="J44" s="25">
        <f>INDEX('Inputs (2)'!$D$7:$AL$7,MATCH(J$7,'Inputs (2)'!$D$2:$AL$2,0))</f>
        <v>-4522</v>
      </c>
      <c r="K44" s="25">
        <f>INDEX('Inputs (2)'!$D$7:$AL$7,MATCH(K$7,'Inputs (2)'!$D$2:$AL$2,0))</f>
        <v>-4304</v>
      </c>
      <c r="L44" s="25">
        <f>INDEX('Inputs (2)'!$D$7:$AL$7,MATCH(L$7,'Inputs (2)'!$D$2:$AL$2,0))</f>
        <v>-4813</v>
      </c>
      <c r="M44" s="3">
        <f>SUM(I44:L44)</f>
        <v>-17925</v>
      </c>
      <c r="N44" s="25">
        <f>INDEX('Inputs (2)'!$D$7:$AL$7,MATCH(N$7,'Inputs (2)'!$D$2:$AL$2,0))</f>
        <v>-3654</v>
      </c>
      <c r="O44" s="25">
        <f>INDEX('Inputs (2)'!$D$7:$AL$7,MATCH(O$7,'Inputs (2)'!$D$2:$AL$2,0))</f>
        <v>-3700</v>
      </c>
      <c r="P44" s="25">
        <f>INDEX('Inputs (2)'!$D$7:$AL$7,MATCH(P$7,'Inputs (2)'!$D$2:$AL$2,0))</f>
        <v>-4201</v>
      </c>
      <c r="Q44" s="25">
        <f>INDEX('Inputs (2)'!$D$7:$AL$7,MATCH(Q$7,'Inputs (2)'!$D$2:$AL$2,0))</f>
        <v>-4764</v>
      </c>
      <c r="R44" s="3">
        <f>SUM(N44:Q44)</f>
        <v>-16319</v>
      </c>
      <c r="S44" s="25">
        <f>INDEX('Inputs (2)'!$D$7:$AL$7,MATCH(S$7,'Inputs (2)'!$D$2:$AL$2,0))</f>
        <v>-3526</v>
      </c>
      <c r="T44" s="25">
        <f>INDEX('Inputs (2)'!$D$7:$AL$7,MATCH(T$7,'Inputs (2)'!$D$2:$AL$2,0))</f>
        <v>-3521</v>
      </c>
      <c r="U44" s="25">
        <f>INDEX('Inputs (2)'!$D$7:$AL$7,MATCH(U$7,'Inputs (2)'!$D$2:$AL$2,0))</f>
        <v>-4025</v>
      </c>
      <c r="V44" s="25">
        <f>INDEX('Inputs (2)'!$D$7:$AL$7,MATCH(V$7,'Inputs (2)'!$D$2:$AL$2,0))</f>
        <v>-6254</v>
      </c>
      <c r="W44" s="3">
        <f>SUM(S44:V44)</f>
        <v>-17326</v>
      </c>
      <c r="X44" s="25">
        <f>INDEX('Inputs (2)'!$D$7:$AL$7,MATCH(X$7,'Inputs (2)'!$D$2:$AL$2,0))</f>
        <v>-4091</v>
      </c>
      <c r="Y44" s="25">
        <f>INDEX('Inputs (2)'!$D$7:$AL$7,MATCH(Y$7,'Inputs (2)'!$D$2:$AL$2,0))</f>
        <v>-4004</v>
      </c>
      <c r="Z44" s="25">
        <f>INDEX('Inputs (2)'!$D$7:$AL$7,MATCH(Z$7,'Inputs (2)'!$D$2:$AL$2,0))</f>
        <v>-4214</v>
      </c>
      <c r="AA44" s="25">
        <f>INDEX('Inputs (2)'!$D$7:$AL$7,MATCH(AA$7,'Inputs (2)'!$D$2:$AL$2,0))</f>
        <v>-4973</v>
      </c>
      <c r="AB44" s="3">
        <f>SUM(X44:AA44)</f>
        <v>-17282</v>
      </c>
      <c r="AC44" s="25">
        <f>INDEX('Inputs (2)'!$D$7:$AL$7,MATCH(AC$7,'Inputs (2)'!$D$2:$AL$2,0))</f>
        <v>-4123</v>
      </c>
      <c r="AD44" s="25">
        <f>INDEX('Inputs (2)'!$D$7:$AL$7,MATCH(AD$7,'Inputs (2)'!$D$2:$AL$2,0))</f>
        <v>-4344</v>
      </c>
      <c r="AE44" s="25">
        <f>INDEX('Inputs (2)'!$D$7:$AL$7,MATCH(AE$7,'Inputs (2)'!$D$2:$AL$2,0))</f>
        <v>-5781</v>
      </c>
      <c r="AF44" s="25">
        <f>INDEX('Inputs (2)'!$D$7:$AL$7,MATCH(AF$7,'Inputs (2)'!$D$2:$AL$2,0))</f>
        <v>-5884</v>
      </c>
      <c r="AG44" s="3">
        <f>SUM(AC44:AF44)</f>
        <v>-20132</v>
      </c>
      <c r="AH44" s="3">
        <f>INDEX('Inputs (2)'!$D$7:$AL$7,MATCH(AH$7,'Inputs (2)'!$D$2:$AL$2,0))</f>
        <v>-5808</v>
      </c>
      <c r="AI44" s="3">
        <f>INDEX('Inputs (2)'!$D$7:$AL$7,MATCH(AI$7,'Inputs (2)'!$D$2:$AL$2,0))</f>
        <v>-6082</v>
      </c>
      <c r="AJ44" s="3">
        <f>-AJ45*AJ15</f>
        <v>0</v>
      </c>
      <c r="AK44" s="3">
        <f>-AK45*AK15</f>
        <v>0</v>
      </c>
      <c r="AL44" s="3">
        <f>SUM(AH44:AK44)</f>
        <v>-11890</v>
      </c>
      <c r="AM44" s="3">
        <f>-AM45*AM15</f>
        <v>0</v>
      </c>
      <c r="AN44" s="3">
        <f>-AN45*AN15</f>
        <v>0</v>
      </c>
      <c r="AO44" s="3">
        <f>-AO45*AO15</f>
        <v>0</v>
      </c>
      <c r="AP44" s="3">
        <f>-AP45*AP15</f>
        <v>0</v>
      </c>
      <c r="AQ44" s="3">
        <f>SUM(AM44:AP44)</f>
        <v>0</v>
      </c>
      <c r="AR44" s="3">
        <f>-AR45*AR15</f>
        <v>0</v>
      </c>
      <c r="AS44" s="3">
        <f>-AS45*AS15</f>
        <v>0</v>
      </c>
      <c r="AT44" s="3">
        <f>-AT45*AT15</f>
        <v>0</v>
      </c>
      <c r="AU44" s="3">
        <f>-AU45*AU15</f>
        <v>0</v>
      </c>
      <c r="AV44" s="3">
        <f>SUM(AR44:AU44)</f>
        <v>0</v>
      </c>
      <c r="AW44" s="3">
        <f>-AW45*AW15</f>
        <v>0</v>
      </c>
      <c r="AX44" s="3">
        <f>-AX45*AX15</f>
        <v>0</v>
      </c>
      <c r="AY44" s="3">
        <f>-AY45*AY15</f>
        <v>0</v>
      </c>
      <c r="AZ44" s="3">
        <f>-AZ45*AZ15</f>
        <v>0</v>
      </c>
      <c r="BA44" s="3">
        <f>SUM(AW44:AZ44)</f>
        <v>0</v>
      </c>
      <c r="BB44" s="3">
        <f>-BB45*BB15</f>
        <v>0</v>
      </c>
      <c r="BC44" s="3">
        <f>-BC45*BC15</f>
        <v>0</v>
      </c>
      <c r="BD44" s="3">
        <f>-BD45*BD15</f>
        <v>0</v>
      </c>
      <c r="BE44" s="3">
        <f>-BE45*BE15</f>
        <v>0</v>
      </c>
      <c r="BF44" s="3">
        <f>SUM(BB44:BE44)</f>
        <v>0</v>
      </c>
      <c r="BG44" s="3">
        <f>-BG45*BG15</f>
        <v>0</v>
      </c>
      <c r="BH44" s="3">
        <f>-BH45*BH15</f>
        <v>0</v>
      </c>
      <c r="BI44" s="3">
        <f>-BI45*BI15</f>
        <v>0</v>
      </c>
      <c r="BJ44" s="3">
        <f>-BJ45*BJ15</f>
        <v>0</v>
      </c>
      <c r="BK44" s="3">
        <f>SUM(BG44:BJ44)</f>
        <v>0</v>
      </c>
      <c r="BL44" s="3">
        <f>-BL45*BL15</f>
        <v>0</v>
      </c>
      <c r="BM44" s="3">
        <f>-BM45*BM15</f>
        <v>0</v>
      </c>
      <c r="BN44" s="3">
        <f>-BN45*BN15</f>
        <v>0</v>
      </c>
      <c r="BO44" s="3">
        <f>-BO45*BO15</f>
        <v>0</v>
      </c>
      <c r="BP44" s="3">
        <f>SUM(BL44:BO44)</f>
        <v>0</v>
      </c>
      <c r="BQ44" s="3">
        <f>-BQ45*BQ15</f>
        <v>0</v>
      </c>
      <c r="BR44" s="3">
        <f>-BR45*BR15</f>
        <v>0</v>
      </c>
      <c r="BS44" s="3">
        <f>-BS45*BS15</f>
        <v>0</v>
      </c>
      <c r="BT44" s="3">
        <f>-BT45*BT15</f>
        <v>0</v>
      </c>
      <c r="BU44" s="3">
        <f>SUM(BQ44:BT44)</f>
        <v>0</v>
      </c>
      <c r="BV44" s="3">
        <f>-BV45*BV15</f>
        <v>0</v>
      </c>
      <c r="BW44" s="3">
        <f>-BW45*BW15</f>
        <v>0</v>
      </c>
      <c r="BX44" s="3">
        <f>-BX45*BX15</f>
        <v>0</v>
      </c>
      <c r="BY44" s="3">
        <f>-BY45*BY15</f>
        <v>0</v>
      </c>
      <c r="BZ44" s="3">
        <f>SUM(BV44:BY44)</f>
        <v>0</v>
      </c>
      <c r="CA44" s="3">
        <f>-CA45*CA15</f>
        <v>0</v>
      </c>
      <c r="CB44" s="3">
        <f>-CB45*CB15</f>
        <v>0</v>
      </c>
      <c r="CC44" s="3">
        <f>-CC45*CC15</f>
        <v>0</v>
      </c>
      <c r="CD44" s="3">
        <f>-CD45*CD15</f>
        <v>0</v>
      </c>
      <c r="CE44" s="3">
        <f>SUM(CA44:CD44)</f>
        <v>0</v>
      </c>
      <c r="CF44" s="3">
        <f>-CF45*CF15</f>
        <v>0</v>
      </c>
      <c r="CG44" s="3">
        <f>-CG45*CG15</f>
        <v>0</v>
      </c>
      <c r="CH44" s="3">
        <f>-CH45*CH15</f>
        <v>0</v>
      </c>
      <c r="CI44" s="3">
        <f>-CI45*CI15</f>
        <v>0</v>
      </c>
      <c r="CJ44" s="3">
        <f>SUM(CF44:CI44)</f>
        <v>0</v>
      </c>
      <c r="CK44" s="3">
        <f>-CK45*CK15</f>
        <v>0</v>
      </c>
      <c r="CL44" s="3">
        <f>-CL45*CL15</f>
        <v>0</v>
      </c>
      <c r="CM44" s="3">
        <f>-CM45*CM15</f>
        <v>0</v>
      </c>
      <c r="CN44" s="3">
        <f>-CN45*CN15</f>
        <v>0</v>
      </c>
      <c r="CO44" s="3">
        <f>SUM(CK44:CN44)</f>
        <v>0</v>
      </c>
      <c r="CP44" s="3">
        <f>-CP45*CP15</f>
        <v>0</v>
      </c>
      <c r="CQ44" s="3">
        <f>-CQ45*CQ15</f>
        <v>0</v>
      </c>
      <c r="CR44" s="3">
        <f>-CR45*CR15</f>
        <v>0</v>
      </c>
      <c r="CS44" s="3">
        <f>-CS45*CS15</f>
        <v>0</v>
      </c>
      <c r="CT44" s="3">
        <f>SUM(CP44:CS44)</f>
        <v>0</v>
      </c>
      <c r="CU44" s="3">
        <f>-CU45*CU15</f>
        <v>0</v>
      </c>
      <c r="CV44" s="3">
        <f>-CV45*CV15</f>
        <v>0</v>
      </c>
      <c r="CW44" s="3">
        <f>-CW45*CW15</f>
        <v>0</v>
      </c>
      <c r="CX44" s="3">
        <f>-CX45*CX15</f>
        <v>0</v>
      </c>
      <c r="CY44" s="3">
        <f>SUM(CU44:CX44)</f>
        <v>0</v>
      </c>
    </row>
    <row r="45" hidden="1" outlineLevel="1" customFormat="1" s="247">
      <c r="A45" s="48" t="n"/>
      <c r="B45" s="48" t="n"/>
      <c r="C45" s="246" t="inlineStr">
        <is>
          <t>% of Revenue</t>
        </is>
      </c>
      <c r="D45" s="48">
        <f>-D44/D15</f>
        <v>0.13612266277261</v>
      </c>
      <c r="E45" s="48">
        <f>-E44/E15</f>
        <v>0.497776789684304</v>
      </c>
      <c r="F45" s="48">
        <f>-F44/F15</f>
        <v>0.164287759191853</v>
      </c>
      <c r="G45" s="48">
        <f>-G44/G15</f>
        <v>0.177691515487602</v>
      </c>
      <c r="H45" s="48" t="n"/>
      <c r="I45" s="48">
        <f>-I44/I15</f>
        <v>0.13381622904243</v>
      </c>
      <c r="J45" s="48">
        <f>-J44/J15</f>
        <v>0.120275553900577</v>
      </c>
      <c r="K45" s="48">
        <f>-K44/K15</f>
        <v>0.0962648177141579</v>
      </c>
      <c r="L45" s="48">
        <f>-L44/L15</f>
        <v>0.100002077749382</v>
      </c>
      <c r="M45" s="48" t="n"/>
      <c r="N45" s="48">
        <f>-N44/N15</f>
        <v>0.0672024718150553</v>
      </c>
      <c r="O45" s="48">
        <f>-O44/O15</f>
        <v>0.0538087897385184</v>
      </c>
      <c r="P45" s="48">
        <f>-P44/P15</f>
        <v>0.0630364323870116</v>
      </c>
      <c r="Q45" s="48">
        <f>-Q44/Q15</f>
        <v>0.0843588971721</v>
      </c>
      <c r="R45" s="48" t="n"/>
      <c r="S45" s="48">
        <f>-S44/S15</f>
        <v>0.0694190144311224</v>
      </c>
      <c r="T45" s="48">
        <f>-T44/T15</f>
        <v>0.0720099803664921</v>
      </c>
      <c r="U45" s="48">
        <f>-U44/U15</f>
        <v>0.074426775147929</v>
      </c>
      <c r="V45" s="48">
        <f>-V44/V15</f>
        <v>0.132556167867741</v>
      </c>
      <c r="W45" s="48" t="n"/>
      <c r="X45" s="48">
        <f>-X44/X15</f>
        <v>0.0839765169554151</v>
      </c>
      <c r="Y45" s="48">
        <f>-Y44/Y15</f>
        <v>0.0782321564643129</v>
      </c>
      <c r="Z45" s="48">
        <f>-Z44/Z15</f>
        <v>0.0831672225621189</v>
      </c>
      <c r="AA45" s="48">
        <f>-AA44/AA15</f>
        <v>0.0952207712633554</v>
      </c>
      <c r="AB45" s="48" t="n"/>
      <c r="AC45" s="48">
        <f>-AC44/AC15</f>
        <v>0.0865994538962403</v>
      </c>
      <c r="AD45" s="48">
        <f>-AD44/AD15</f>
        <v>0.0969166926955513</v>
      </c>
      <c r="AE45" s="48">
        <f>-AE44/AE15</f>
        <v>0.116257088846881</v>
      </c>
      <c r="AF45" s="218">
        <f>-AF44/AF15</f>
        <v>0.125530689309411</v>
      </c>
      <c r="AG45" s="48" t="n"/>
      <c r="AH45" s="218">
        <f>-AH44/AH15</f>
        <v>0.119488962495114</v>
      </c>
      <c r="AI45" s="218">
        <f>-AI44/AI15</f>
        <v>0.0868175005352937</v>
      </c>
      <c r="AJ45" s="218" t="n"/>
      <c r="AK45" s="218" t="n"/>
      <c r="AL45" s="48" t="n"/>
      <c r="AM45" s="218" t="n"/>
      <c r="AN45" s="218" t="n"/>
      <c r="AO45" s="218" t="n"/>
      <c r="AP45" s="218" t="n"/>
      <c r="AQ45" s="48" t="n"/>
      <c r="AR45" s="218" t="n"/>
      <c r="AS45" s="218" t="n"/>
      <c r="AT45" s="218" t="n"/>
      <c r="AU45" s="218" t="n"/>
      <c r="AV45" s="48" t="n"/>
      <c r="AW45" s="218" t="n"/>
      <c r="AX45" s="218" t="n"/>
      <c r="AY45" s="218" t="n"/>
      <c r="AZ45" s="218" t="n"/>
      <c r="BA45" s="48" t="n"/>
      <c r="BB45" s="218" t="n"/>
      <c r="BC45" s="218" t="n"/>
      <c r="BD45" s="218" t="n"/>
      <c r="BE45" s="218" t="n"/>
      <c r="BF45" s="48" t="n"/>
      <c r="BG45" s="218" t="n"/>
      <c r="BH45" s="218" t="n"/>
      <c r="BI45" s="218" t="n"/>
      <c r="BJ45" s="218" t="n"/>
      <c r="BK45" s="48" t="n"/>
      <c r="BL45" s="218" t="n"/>
      <c r="BM45" s="218" t="n"/>
      <c r="BN45" s="218" t="n"/>
      <c r="BO45" s="218" t="n"/>
      <c r="BP45" s="48" t="n"/>
      <c r="BQ45" s="218" t="n"/>
      <c r="BR45" s="218" t="n"/>
      <c r="BS45" s="218" t="n"/>
      <c r="BT45" s="218" t="n"/>
      <c r="BU45" s="48" t="n"/>
      <c r="BV45" s="218" t="n"/>
      <c r="BW45" s="218" t="n"/>
      <c r="BX45" s="218" t="n"/>
      <c r="BY45" s="218" t="n"/>
      <c r="BZ45" s="48" t="n"/>
      <c r="CA45" s="218" t="n"/>
      <c r="CB45" s="218" t="n"/>
      <c r="CC45" s="218" t="n"/>
      <c r="CD45" s="218" t="n"/>
      <c r="CE45" s="48" t="n"/>
      <c r="CF45" s="218" t="n"/>
      <c r="CG45" s="218" t="n"/>
      <c r="CH45" s="218" t="n"/>
      <c r="CI45" s="218" t="n"/>
      <c r="CJ45" s="48" t="n"/>
      <c r="CK45" s="218" t="n"/>
      <c r="CL45" s="218" t="n"/>
      <c r="CM45" s="218" t="n"/>
      <c r="CN45" s="218" t="n"/>
      <c r="CO45" s="48" t="n"/>
      <c r="CP45" s="218" t="n"/>
      <c r="CQ45" s="218" t="n"/>
      <c r="CR45" s="218" t="n"/>
      <c r="CS45" s="218" t="n"/>
      <c r="CT45" s="48" t="n"/>
      <c r="CU45" s="218" t="n"/>
      <c r="CV45" s="218" t="n"/>
      <c r="CW45" s="218" t="n"/>
      <c r="CX45" s="218" t="n"/>
      <c r="CY45" s="48" t="n"/>
    </row>
    <row r="46" hidden="1" outlineLevel="1">
      <c r="C46" s="32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collapsed="1" customFormat="1" s="17">
      <c r="A47" s="13" t="n"/>
      <c r="B47" s="1" t="n"/>
      <c r="C47" s="14" t="inlineStr">
        <is>
          <t>Operating Profit - EBIT</t>
        </is>
      </c>
      <c r="D47" s="16">
        <f>SUM(D43,D44)</f>
        <v>4307</v>
      </c>
      <c r="E47" s="16">
        <f>SUM(E43,E44)</f>
        <v>-10425</v>
      </c>
      <c r="F47" s="16">
        <f>SUM(F43,F44)</f>
        <v>120</v>
      </c>
      <c r="G47" s="16">
        <f>SUM(G43,G44)</f>
        <v>-758</v>
      </c>
      <c r="H47" s="16">
        <f>SUM(D47:G47)</f>
        <v>-6756</v>
      </c>
      <c r="I47" s="16">
        <f>SUM(I43,I44)</f>
        <v>2375</v>
      </c>
      <c r="J47" s="16">
        <f>SUM(J43,J44)</f>
        <v>4607</v>
      </c>
      <c r="K47" s="16">
        <f>SUM(K43,K44)</f>
        <v>8229</v>
      </c>
      <c r="L47" s="16">
        <f>SUM(L43,L44)</f>
        <v>7140</v>
      </c>
      <c r="M47" s="16">
        <f>SUM(I47:L47)</f>
        <v>22351</v>
      </c>
      <c r="N47" s="16">
        <f>SUM(N43,N44)</f>
        <v>9190</v>
      </c>
      <c r="O47" s="16">
        <f>SUM(O43,O44)</f>
        <v>16132</v>
      </c>
      <c r="P47" s="16">
        <f>SUM(P43,P44)</f>
        <v>14937</v>
      </c>
      <c r="Q47" s="16">
        <f>SUM(Q43,Q44)</f>
        <v>9931</v>
      </c>
      <c r="R47" s="16">
        <f>SUM(N47:Q47)</f>
        <v>50190</v>
      </c>
      <c r="S47" s="16">
        <f>SUM(S43,S44)</f>
        <v>9634</v>
      </c>
      <c r="T47" s="16">
        <f>SUM(T43,T44)</f>
        <v>7957</v>
      </c>
      <c r="U47" s="16">
        <f>SUM(U43,U44)</f>
        <v>8852</v>
      </c>
      <c r="V47" s="16">
        <f>SUM(V43,V44)</f>
        <v>3610</v>
      </c>
      <c r="W47" s="16">
        <f>SUM(S47:V47)</f>
        <v>30053</v>
      </c>
      <c r="X47" s="16">
        <f>SUM(X43,X44)</f>
        <v>8040</v>
      </c>
      <c r="Y47" s="16">
        <f>SUM(Y43,Y44)</f>
        <v>7149</v>
      </c>
      <c r="Z47" s="16">
        <f>SUM(Z43,Z44)</f>
        <v>6653</v>
      </c>
      <c r="AA47" s="16">
        <f>SUM(AA43,AA44)</f>
        <v>6258</v>
      </c>
      <c r="AB47" s="16">
        <f>SUM(X47:AA47)</f>
        <v>28100</v>
      </c>
      <c r="AC47" s="16">
        <f>SUM(AC43,AC44)</f>
        <v>5795</v>
      </c>
      <c r="AD47" s="16">
        <f>SUM(AD43,AD44)</f>
        <v>4421</v>
      </c>
      <c r="AE47" s="16">
        <f>SUM(AE43,AE44)</f>
        <v>5784</v>
      </c>
      <c r="AF47" s="16">
        <f>SUM(AF43,AF44)</f>
        <v>4960</v>
      </c>
      <c r="AG47" s="16">
        <f>SUM(AC47:AF47)</f>
        <v>20960</v>
      </c>
      <c r="AH47" s="16">
        <f>SUM(AH43,AH44)</f>
        <v>4291</v>
      </c>
      <c r="AI47" s="16">
        <f>SUM(AI43,AI44)</f>
        <v>17036</v>
      </c>
      <c r="AJ47" s="16">
        <f>SUM(AJ43,AJ44)</f>
        <v>0</v>
      </c>
      <c r="AK47" s="16">
        <f>SUM(AK43,AK44)</f>
        <v>0</v>
      </c>
      <c r="AL47" s="16">
        <f>SUM(AL43,AL44)</f>
        <v>21327</v>
      </c>
      <c r="AM47" s="16">
        <f>SUM(AM43,AM44)</f>
        <v>0</v>
      </c>
      <c r="AN47" s="16">
        <f>SUM(AN43,AN44)</f>
        <v>0</v>
      </c>
      <c r="AO47" s="16">
        <f>SUM(AO43,AO44)</f>
        <v>0</v>
      </c>
      <c r="AP47" s="16">
        <f>SUM(AP43,AP44)</f>
        <v>0</v>
      </c>
      <c r="AQ47" s="16">
        <f>SUM(AQ43,AQ44)</f>
        <v>0</v>
      </c>
      <c r="AR47" s="16">
        <f>SUM(AR43,AR44)</f>
        <v>0</v>
      </c>
      <c r="AS47" s="16">
        <f>SUM(AS43,AS44)</f>
        <v>0</v>
      </c>
      <c r="AT47" s="16">
        <f>SUM(AT43,AT44)</f>
        <v>0</v>
      </c>
      <c r="AU47" s="16">
        <f>SUM(AU43,AU44)</f>
        <v>0</v>
      </c>
      <c r="AV47" s="16">
        <f>SUM(AV43,AV44)</f>
        <v>0</v>
      </c>
      <c r="AW47" s="16">
        <f>SUM(AW43,AW44)</f>
        <v>0</v>
      </c>
      <c r="AX47" s="16">
        <f>SUM(AX43,AX44)</f>
        <v>0</v>
      </c>
      <c r="AY47" s="16">
        <f>SUM(AY43,AY44)</f>
        <v>0</v>
      </c>
      <c r="AZ47" s="16">
        <f>SUM(AZ43,AZ44)</f>
        <v>0</v>
      </c>
      <c r="BA47" s="16">
        <f>SUM(BA43,BA44)</f>
        <v>0</v>
      </c>
      <c r="BB47" s="16">
        <f>SUM(BB43,BB44)</f>
        <v>0</v>
      </c>
      <c r="BC47" s="16">
        <f>SUM(BC43,BC44)</f>
        <v>0</v>
      </c>
      <c r="BD47" s="16">
        <f>SUM(BD43,BD44)</f>
        <v>0</v>
      </c>
      <c r="BE47" s="16">
        <f>SUM(BE43,BE44)</f>
        <v>0</v>
      </c>
      <c r="BF47" s="16">
        <f>SUM(BF43,BF44)</f>
        <v>0</v>
      </c>
      <c r="BG47" s="16">
        <f>SUM(BG43,BG44)</f>
        <v>0</v>
      </c>
      <c r="BH47" s="16">
        <f>SUM(BH43,BH44)</f>
        <v>0</v>
      </c>
      <c r="BI47" s="16">
        <f>SUM(BI43,BI44)</f>
        <v>0</v>
      </c>
      <c r="BJ47" s="16">
        <f>SUM(BJ43,BJ44)</f>
        <v>0</v>
      </c>
      <c r="BK47" s="16">
        <f>SUM(BK43,BK44)</f>
        <v>0</v>
      </c>
      <c r="BL47" s="16">
        <f>SUM(BL43,BL44)</f>
        <v>0</v>
      </c>
      <c r="BM47" s="16">
        <f>SUM(BM43,BM44)</f>
        <v>0</v>
      </c>
      <c r="BN47" s="16">
        <f>SUM(BN43,BN44)</f>
        <v>0</v>
      </c>
      <c r="BO47" s="16">
        <f>SUM(BO43,BO44)</f>
        <v>0</v>
      </c>
      <c r="BP47" s="16">
        <f>SUM(BP43,BP44)</f>
        <v>0</v>
      </c>
      <c r="BQ47" s="16">
        <f>SUM(BQ43,BQ44)</f>
        <v>0</v>
      </c>
      <c r="BR47" s="16">
        <f>SUM(BR43,BR44)</f>
        <v>0</v>
      </c>
      <c r="BS47" s="16">
        <f>SUM(BS43,BS44)</f>
        <v>0</v>
      </c>
      <c r="BT47" s="16">
        <f>SUM(BT43,BT44)</f>
        <v>0</v>
      </c>
      <c r="BU47" s="16">
        <f>SUM(BU43,BU44)</f>
        <v>0</v>
      </c>
      <c r="BV47" s="16">
        <f>SUM(BV43,BV44)</f>
        <v>0</v>
      </c>
      <c r="BW47" s="16">
        <f>SUM(BW43,BW44)</f>
        <v>0</v>
      </c>
      <c r="BX47" s="16">
        <f>SUM(BX43,BX44)</f>
        <v>0</v>
      </c>
      <c r="BY47" s="16">
        <f>SUM(BY43,BY44)</f>
        <v>0</v>
      </c>
      <c r="BZ47" s="16">
        <f>SUM(BZ43,BZ44)</f>
        <v>0</v>
      </c>
      <c r="CA47" s="16">
        <f>SUM(CA43,CA44)</f>
        <v>0</v>
      </c>
      <c r="CB47" s="16">
        <f>SUM(CB43,CB44)</f>
        <v>0</v>
      </c>
      <c r="CC47" s="16">
        <f>SUM(CC43,CC44)</f>
        <v>0</v>
      </c>
      <c r="CD47" s="16">
        <f>SUM(CD43,CD44)</f>
        <v>0</v>
      </c>
      <c r="CE47" s="16">
        <f>SUM(CE43,CE44)</f>
        <v>0</v>
      </c>
      <c r="CF47" s="16">
        <f>SUM(CF43,CF44)</f>
        <v>0</v>
      </c>
      <c r="CG47" s="16">
        <f>SUM(CG43,CG44)</f>
        <v>0</v>
      </c>
      <c r="CH47" s="16">
        <f>SUM(CH43,CH44)</f>
        <v>0</v>
      </c>
      <c r="CI47" s="16">
        <f>SUM(CI43,CI44)</f>
        <v>0</v>
      </c>
      <c r="CJ47" s="16">
        <f>SUM(CJ43,CJ44)</f>
        <v>0</v>
      </c>
      <c r="CK47" s="16">
        <f>SUM(CK43,CK44)</f>
        <v>0</v>
      </c>
      <c r="CL47" s="16">
        <f>SUM(CL43,CL44)</f>
        <v>0</v>
      </c>
      <c r="CM47" s="16">
        <f>SUM(CM43,CM44)</f>
        <v>0</v>
      </c>
      <c r="CN47" s="16">
        <f>SUM(CN43,CN44)</f>
        <v>0</v>
      </c>
      <c r="CO47" s="16">
        <f>SUM(CO43,CO44)</f>
        <v>0</v>
      </c>
      <c r="CP47" s="16">
        <f>SUM(CP43,CP44)</f>
        <v>0</v>
      </c>
      <c r="CQ47" s="16">
        <f>SUM(CQ43,CQ44)</f>
        <v>0</v>
      </c>
      <c r="CR47" s="16">
        <f>SUM(CR43,CR44)</f>
        <v>0</v>
      </c>
      <c r="CS47" s="16">
        <f>SUM(CS43,CS44)</f>
        <v>0</v>
      </c>
      <c r="CT47" s="16">
        <f>SUM(CT43,CT44)</f>
        <v>0</v>
      </c>
      <c r="CU47" s="16">
        <f>SUM(CU43,CU44)</f>
        <v>0</v>
      </c>
      <c r="CV47" s="16">
        <f>SUM(CV43,CV44)</f>
        <v>0</v>
      </c>
      <c r="CW47" s="16">
        <f>SUM(CW43,CW44)</f>
        <v>0</v>
      </c>
      <c r="CX47" s="16">
        <f>SUM(CX43,CX44)</f>
        <v>0</v>
      </c>
      <c r="CY47" s="16">
        <f>SUM(CY43,CY44)</f>
        <v>0</v>
      </c>
    </row>
    <row r="48">
      <c r="C48" s="26" t="inlineStr">
        <is>
          <t>Interest Expense</t>
        </is>
      </c>
      <c r="D48" s="25">
        <f>INDEX('Inputs (2)'!$D$8:$AL$8,MATCH(D$7,'Inputs (2)'!$D$2:$AL$2,0))</f>
        <v>-162</v>
      </c>
      <c r="E48" s="25">
        <f>INDEX('Inputs (2)'!$D$8:$AL$8,MATCH(E$7,'Inputs (2)'!$D$2:$AL$2,0))</f>
        <v>-172</v>
      </c>
      <c r="F48" s="25">
        <f>INDEX('Inputs (2)'!$D$8:$AL$8,MATCH(F$7,'Inputs (2)'!$D$2:$AL$2,0))</f>
        <v>-164</v>
      </c>
      <c r="G48" s="25">
        <f>INDEX('Inputs (2)'!$D$8:$AL$8,MATCH(G$7,'Inputs (2)'!$D$2:$AL$2,0))</f>
        <v>-199</v>
      </c>
      <c r="H48" s="3">
        <f>SUM(D48:G48)</f>
        <v>-697</v>
      </c>
      <c r="I48" s="25">
        <f>INDEX('Inputs (2)'!$D$8:$AL$8,MATCH(I$7,'Inputs (2)'!$D$2:$AL$2,0))</f>
        <v>-198</v>
      </c>
      <c r="J48" s="25">
        <f>INDEX('Inputs (2)'!$D$8:$AL$8,MATCH(J$7,'Inputs (2)'!$D$2:$AL$2,0))</f>
        <v>-185</v>
      </c>
      <c r="K48" s="25">
        <f>INDEX('Inputs (2)'!$D$8:$AL$8,MATCH(K$7,'Inputs (2)'!$D$2:$AL$2,0))</f>
        <v>-174</v>
      </c>
      <c r="L48" s="25">
        <f>INDEX('Inputs (2)'!$D$8:$AL$8,MATCH(L$7,'Inputs (2)'!$D$2:$AL$2,0))</f>
        <v>-155</v>
      </c>
      <c r="M48" s="3">
        <f>SUM(I48:L48)</f>
        <v>-712</v>
      </c>
      <c r="N48" s="25">
        <f>INDEX('Inputs (2)'!$D$8:$AL$8,MATCH(N$7,'Inputs (2)'!$D$2:$AL$2,0))</f>
        <v>-136</v>
      </c>
      <c r="O48" s="25">
        <f>INDEX('Inputs (2)'!$D$8:$AL$8,MATCH(O$7,'Inputs (2)'!$D$2:$AL$2,0))</f>
        <v>-129</v>
      </c>
      <c r="P48" s="25">
        <f>INDEX('Inputs (2)'!$D$8:$AL$8,MATCH(P$7,'Inputs (2)'!$D$2:$AL$2,0))</f>
        <v>-128</v>
      </c>
      <c r="Q48" s="25">
        <f>INDEX('Inputs (2)'!$D$8:$AL$8,MATCH(Q$7,'Inputs (2)'!$D$2:$AL$2,0))</f>
        <v>-123</v>
      </c>
      <c r="R48" s="3">
        <f>SUM(N48:Q48)</f>
        <v>-516</v>
      </c>
      <c r="S48" s="25">
        <f>INDEX('Inputs (2)'!$D$8:$AL$8,MATCH(S$7,'Inputs (2)'!$D$2:$AL$2,0))</f>
        <v>-115</v>
      </c>
      <c r="T48" s="25">
        <f>INDEX('Inputs (2)'!$D$8:$AL$8,MATCH(T$7,'Inputs (2)'!$D$2:$AL$2,0))</f>
        <v>-120</v>
      </c>
      <c r="U48" s="25">
        <f>INDEX('Inputs (2)'!$D$8:$AL$8,MATCH(U$7,'Inputs (2)'!$D$2:$AL$2,0))</f>
        <v>-114</v>
      </c>
      <c r="V48" s="25">
        <f>INDEX('Inputs (2)'!$D$8:$AL$8,MATCH(V$7,'Inputs (2)'!$D$2:$AL$2,0))</f>
        <v>-120</v>
      </c>
      <c r="W48" s="3">
        <f>SUM(S48:V48)</f>
        <v>-469</v>
      </c>
      <c r="X48" s="25">
        <f>INDEX('Inputs (2)'!$D$8:$AL$8,MATCH(X$7,'Inputs (2)'!$D$2:$AL$2,0))</f>
        <v>-118</v>
      </c>
      <c r="Y48" s="25">
        <f>INDEX('Inputs (2)'!$D$8:$AL$8,MATCH(Y$7,'Inputs (2)'!$D$2:$AL$2,0))</f>
        <v>-113</v>
      </c>
      <c r="Z48" s="25">
        <f>INDEX('Inputs (2)'!$D$8:$AL$8,MATCH(Z$7,'Inputs (2)'!$D$2:$AL$2,0))</f>
        <v>-164</v>
      </c>
      <c r="AA48" s="25">
        <f>INDEX('Inputs (2)'!$D$8:$AL$8,MATCH(AA$7,'Inputs (2)'!$D$2:$AL$2,0))</f>
        <v>-199</v>
      </c>
      <c r="AB48" s="3">
        <f>SUM(X48:AA48)</f>
        <v>-594</v>
      </c>
      <c r="AC48" s="25">
        <f>INDEX('Inputs (2)'!$D$8:$AL$8,MATCH(AC$7,'Inputs (2)'!$D$2:$AL$2,0))</f>
        <v>-212</v>
      </c>
      <c r="AD48" s="25">
        <f>INDEX('Inputs (2)'!$D$8:$AL$8,MATCH(AD$7,'Inputs (2)'!$D$2:$AL$2,0))</f>
        <v>-274</v>
      </c>
      <c r="AE48" s="25">
        <f>INDEX('Inputs (2)'!$D$8:$AL$8,MATCH(AE$7,'Inputs (2)'!$D$2:$AL$2,0))</f>
        <v>-370</v>
      </c>
      <c r="AF48" s="25">
        <f>INDEX('Inputs (2)'!$D$8:$AL$8,MATCH(AF$7,'Inputs (2)'!$D$2:$AL$2,0))</f>
        <v>-361</v>
      </c>
      <c r="AG48" s="3">
        <f>SUM(AC48:AF48)</f>
        <v>-1217</v>
      </c>
      <c r="AH48" s="3">
        <f>INDEX('Inputs (2)'!$D$8:$AL$8,MATCH(AH$7,'Inputs (2)'!$D$2:$AL$2,0))</f>
        <v>-345</v>
      </c>
      <c r="AI48" s="3">
        <f>INDEX('Inputs (2)'!$D$8:$AL$8,MATCH(AI$7,'Inputs (2)'!$D$2:$AL$2,0))</f>
        <v>-352</v>
      </c>
      <c r="AJ48" s="3" t="n"/>
      <c r="AK48" s="3" t="n"/>
      <c r="AL48" s="3">
        <f>SUM(AH48:AK48)</f>
        <v>-697</v>
      </c>
      <c r="AM48" s="3" t="n"/>
      <c r="AN48" s="3" t="n"/>
      <c r="AO48" s="3" t="n"/>
      <c r="AP48" s="3" t="n"/>
      <c r="AQ48" s="3">
        <f>SUM(AM48:AP48)</f>
        <v>0</v>
      </c>
      <c r="AR48" s="3" t="n"/>
      <c r="AS48" s="3" t="n"/>
      <c r="AT48" s="3" t="n"/>
      <c r="AU48" s="3" t="n"/>
      <c r="AV48" s="3">
        <f>SUM(AR48:AU48)</f>
        <v>0</v>
      </c>
      <c r="AW48" s="3" t="n"/>
      <c r="AX48" s="3" t="n"/>
      <c r="AY48" s="3" t="n"/>
      <c r="AZ48" s="3" t="n"/>
      <c r="BA48" s="3">
        <f>SUM(AW48:AZ48)</f>
        <v>0</v>
      </c>
      <c r="BB48" s="3" t="n"/>
      <c r="BC48" s="3" t="n"/>
      <c r="BD48" s="3" t="n"/>
      <c r="BE48" s="3" t="n"/>
      <c r="BF48" s="3">
        <f>SUM(BB48:BE48)</f>
        <v>0</v>
      </c>
      <c r="BG48" s="3" t="n"/>
      <c r="BH48" s="3" t="n"/>
      <c r="BI48" s="3" t="n"/>
      <c r="BJ48" s="3" t="n"/>
      <c r="BK48" s="3">
        <f>SUM(BG48:BJ48)</f>
        <v>0</v>
      </c>
      <c r="BL48" s="3" t="n"/>
      <c r="BM48" s="3" t="n"/>
      <c r="BN48" s="3" t="n"/>
      <c r="BO48" s="3" t="n"/>
      <c r="BP48" s="3">
        <f>SUM(BL48:BO48)</f>
        <v>0</v>
      </c>
      <c r="BQ48" s="3" t="n"/>
      <c r="BR48" s="3" t="n"/>
      <c r="BS48" s="3" t="n"/>
      <c r="BT48" s="3" t="n"/>
      <c r="BU48" s="3">
        <f>SUM(BQ48:BT48)</f>
        <v>0</v>
      </c>
      <c r="BV48" s="3" t="n"/>
      <c r="BW48" s="3" t="n"/>
      <c r="BX48" s="3" t="n"/>
      <c r="BY48" s="3" t="n"/>
      <c r="BZ48" s="3">
        <f>SUM(BV48:BY48)</f>
        <v>0</v>
      </c>
      <c r="CA48" s="3" t="n"/>
      <c r="CB48" s="3" t="n"/>
      <c r="CC48" s="3" t="n"/>
      <c r="CD48" s="3" t="n"/>
      <c r="CE48" s="3">
        <f>SUM(CA48:CD48)</f>
        <v>0</v>
      </c>
      <c r="CF48" s="3" t="n"/>
      <c r="CG48" s="3" t="n"/>
      <c r="CH48" s="3" t="n"/>
      <c r="CI48" s="3" t="n"/>
      <c r="CJ48" s="3">
        <f>SUM(CF48:CI48)</f>
        <v>0</v>
      </c>
      <c r="CK48" s="3" t="n"/>
      <c r="CL48" s="3" t="n"/>
      <c r="CM48" s="3" t="n"/>
      <c r="CN48" s="3" t="n"/>
      <c r="CO48" s="3">
        <f>SUM(CK48:CN48)</f>
        <v>0</v>
      </c>
      <c r="CP48" s="3" t="n"/>
      <c r="CQ48" s="3" t="n"/>
      <c r="CR48" s="3" t="n"/>
      <c r="CS48" s="3" t="n"/>
      <c r="CT48" s="3">
        <f>SUM(CP48:CS48)</f>
        <v>0</v>
      </c>
      <c r="CU48" s="3" t="n"/>
      <c r="CV48" s="3" t="n"/>
      <c r="CW48" s="3" t="n"/>
      <c r="CX48" s="3" t="n"/>
      <c r="CY48" s="3">
        <f>SUM(CU48:CX48)</f>
        <v>0</v>
      </c>
    </row>
    <row r="49" hidden="1" outlineLevel="1">
      <c r="C49" s="32" t="inlineStr">
        <is>
          <t>% of Debt</t>
        </is>
      </c>
      <c r="D49" s="48">
        <f>IFERROR(-D48/SUM(D186+D191),0)</f>
        <v>0.018646408839779</v>
      </c>
      <c r="E49" s="48">
        <f>IFERROR(-E48/SUM(E186+E191),0)</f>
        <v>0.0458544388163157</v>
      </c>
      <c r="F49" s="48">
        <f>IFERROR(-F48/SUM(F186+F191),0)</f>
        <v>0.309433962264151</v>
      </c>
      <c r="G49" s="48">
        <f>IFERROR(-G48/SUM(G186+G191),0)</f>
        <v>0.128552971576227</v>
      </c>
      <c r="H49" s="3" t="n"/>
      <c r="I49" s="48">
        <f>IFERROR(-I48/SUM(I186+I191),0)</f>
        <v>0.0409006403635612</v>
      </c>
      <c r="J49" s="48">
        <f>IFERROR(-J48/SUM(J186+J191),0)</f>
        <v>0.0529024878467258</v>
      </c>
      <c r="K49" s="48">
        <f>IFERROR(-K48/SUM(K186+K191),0)</f>
        <v>0.597938144329897</v>
      </c>
      <c r="L49" s="48">
        <f>IFERROR(-L48/SUM(L186+L191),0)</f>
        <v>0.60546875</v>
      </c>
      <c r="M49" s="3" t="n"/>
      <c r="N49" s="48">
        <f>IFERROR(-N48/SUM(N186+N191),0)</f>
        <v>0.43312101910828</v>
      </c>
      <c r="O49" s="48">
        <f>IFERROR(-O48/SUM(O186+O191),0)</f>
        <v>0.039938080495356</v>
      </c>
      <c r="P49" s="48">
        <f>IFERROR(-P48/SUM(P186+P191),0)</f>
        <v>0.0576316974335885</v>
      </c>
      <c r="Q49" s="48">
        <f>IFERROR(-Q48/SUM(Q186+Q191),0)</f>
        <v>0.0626272912423625</v>
      </c>
      <c r="R49" s="3" t="n"/>
      <c r="S49" s="48">
        <f>IFERROR(-S48/SUM(S186+S191),0)</f>
        <v>0.0392357557147731</v>
      </c>
      <c r="T49" s="48">
        <f>IFERROR(-T48/SUM(T186+T191),0)</f>
        <v>0.0945626477541371</v>
      </c>
      <c r="U49" s="48">
        <f>IFERROR(-U48/SUM(U186+U191),0)</f>
        <v>0.259090909090909</v>
      </c>
      <c r="V49" s="48">
        <f>IFERROR(-V48/SUM(V186+V191),0)</f>
        <v>0.226843100189036</v>
      </c>
      <c r="W49" s="3" t="n"/>
      <c r="X49" s="48">
        <f>IFERROR(-X48/SUM(X186+X191),0)</f>
        <v>0.418439716312057</v>
      </c>
      <c r="Y49" s="48">
        <f>IFERROR(-Y48/SUM(Y186+Y191),0)</f>
        <v>0.0651296829971182</v>
      </c>
      <c r="Z49" s="48">
        <f>IFERROR(-Z48/SUM(Z186+Z191),0)</f>
        <v>0.0318818040435459</v>
      </c>
      <c r="AA49" s="48">
        <f>IFERROR(-AA48/SUM(AA186+AA191),0)</f>
        <v>0.0451656831593282</v>
      </c>
      <c r="AB49" s="3" t="n"/>
      <c r="AC49" s="48">
        <f>IFERROR(-AC48/SUM(AC186+AC191),0)</f>
        <v>0.0520117762512267</v>
      </c>
      <c r="AD49" s="48">
        <f>IFERROR(-AD48/SUM(AD186+AD191),0)</f>
        <v>0.0442577935713132</v>
      </c>
      <c r="AE49" s="48">
        <f>IFERROR(-AE48/SUM(AE186+AE191),0)</f>
        <v>0.103035366193261</v>
      </c>
      <c r="AF49" s="231">
        <f>IFERROR(-AF48/SUM(AF186+AF191),0)</f>
        <v>0.36949846468782</v>
      </c>
      <c r="AG49" s="3" t="n"/>
      <c r="AH49" s="6">
        <f>IFERROR(-AH48/SUM(AH186+AH191),0)</f>
        <v>0.0591969800960879</v>
      </c>
      <c r="AI49" s="6">
        <f>IFERROR(-AI48/SUM(AI186+AI191),0)</f>
        <v>0.877805486284289</v>
      </c>
      <c r="AJ49" s="6" t="n"/>
      <c r="AK49" s="6" t="n"/>
      <c r="AL49" s="3" t="n"/>
      <c r="AM49" s="6" t="n"/>
      <c r="AN49" s="6" t="n"/>
      <c r="AO49" s="6" t="n"/>
      <c r="AP49" s="6" t="n"/>
      <c r="AQ49" s="3" t="n"/>
      <c r="AR49" s="6" t="n"/>
      <c r="AS49" s="6" t="n"/>
      <c r="AT49" s="6" t="n"/>
      <c r="AU49" s="6" t="n"/>
      <c r="AV49" s="3" t="n"/>
      <c r="AW49" s="6" t="n"/>
      <c r="AX49" s="6" t="n"/>
      <c r="AY49" s="6" t="n"/>
      <c r="AZ49" s="6" t="n"/>
      <c r="BA49" s="3" t="n"/>
      <c r="BB49" s="6" t="n"/>
      <c r="BC49" s="6" t="n"/>
      <c r="BD49" s="6" t="n"/>
      <c r="BE49" s="6" t="n"/>
      <c r="BF49" s="3" t="n"/>
      <c r="BG49" s="6" t="n"/>
      <c r="BH49" s="6" t="n"/>
      <c r="BI49" s="6" t="n"/>
      <c r="BJ49" s="6" t="n"/>
      <c r="BK49" s="3" t="n"/>
      <c r="BL49" s="6" t="n"/>
      <c r="BM49" s="6" t="n"/>
      <c r="BN49" s="6" t="n"/>
      <c r="BO49" s="6" t="n"/>
      <c r="BP49" s="3" t="n"/>
      <c r="BQ49" s="6" t="n"/>
      <c r="BR49" s="6" t="n"/>
      <c r="BS49" s="6" t="n"/>
      <c r="BT49" s="6" t="n"/>
      <c r="BU49" s="3" t="n"/>
      <c r="BV49" s="6" t="n"/>
      <c r="BW49" s="6" t="n"/>
      <c r="BX49" s="6" t="n"/>
      <c r="BY49" s="6" t="n"/>
      <c r="BZ49" s="3" t="n"/>
      <c r="CA49" s="6" t="n"/>
      <c r="CB49" s="6" t="n"/>
      <c r="CC49" s="6" t="n"/>
      <c r="CD49" s="6" t="n"/>
      <c r="CE49" s="3" t="n"/>
      <c r="CF49" s="6" t="n"/>
      <c r="CG49" s="6" t="n"/>
      <c r="CH49" s="6" t="n"/>
      <c r="CI49" s="6" t="n"/>
      <c r="CJ49" s="3" t="n"/>
      <c r="CK49" s="6" t="n"/>
      <c r="CL49" s="6" t="n"/>
      <c r="CM49" s="6" t="n"/>
      <c r="CN49" s="6" t="n"/>
      <c r="CO49" s="3" t="n"/>
      <c r="CP49" s="6" t="n"/>
      <c r="CQ49" s="6" t="n"/>
      <c r="CR49" s="6" t="n"/>
      <c r="CS49" s="6" t="n"/>
      <c r="CT49" s="3" t="n"/>
      <c r="CU49" s="6" t="n"/>
      <c r="CV49" s="6" t="n"/>
      <c r="CW49" s="6" t="n"/>
      <c r="CX49" s="6" t="n"/>
      <c r="CY49" s="3" t="n"/>
    </row>
    <row r="50" hidden="1" outlineLevel="1">
      <c r="C50" s="32" t="inlineStr">
        <is>
          <t>%CDI</t>
        </is>
      </c>
      <c r="D50" s="6" t="n"/>
      <c r="E50" s="6" t="n"/>
      <c r="F50" s="6" t="n"/>
      <c r="G50" s="6" t="n"/>
      <c r="H50" s="3" t="n"/>
      <c r="I50" s="6" t="n"/>
      <c r="J50" s="6" t="n"/>
      <c r="K50" s="6" t="n"/>
      <c r="L50" s="6" t="n"/>
      <c r="M50" s="3" t="n"/>
      <c r="N50" s="6" t="n"/>
      <c r="O50" s="6" t="n"/>
      <c r="P50" s="6" t="n"/>
      <c r="Q50" s="6" t="n"/>
      <c r="R50" s="3" t="n"/>
      <c r="S50" s="6" t="n"/>
      <c r="T50" s="6" t="n"/>
      <c r="U50" s="6" t="n"/>
      <c r="V50" s="6" t="n"/>
      <c r="W50" s="3" t="n"/>
      <c r="X50" s="6" t="n"/>
      <c r="Y50" s="6" t="n"/>
      <c r="Z50" s="6" t="n"/>
      <c r="AA50" s="6" t="n"/>
      <c r="AB50" s="3" t="n"/>
      <c r="AC50" s="6" t="n"/>
      <c r="AD50" s="6" t="n"/>
      <c r="AE50" s="6" t="n"/>
      <c r="AF50" s="6" t="n"/>
      <c r="AG50" s="3" t="n"/>
      <c r="AH50" s="6" t="n"/>
      <c r="AI50" s="6" t="n"/>
      <c r="AJ50" s="6" t="n"/>
      <c r="AK50" s="6" t="n"/>
      <c r="AL50" s="3" t="n"/>
      <c r="AM50" s="6" t="n"/>
      <c r="AN50" s="6" t="n"/>
      <c r="AO50" s="6" t="n"/>
      <c r="AP50" s="6" t="n"/>
      <c r="AQ50" s="3" t="n"/>
      <c r="AR50" s="6" t="n"/>
      <c r="AS50" s="6" t="n"/>
      <c r="AT50" s="6" t="n"/>
      <c r="AU50" s="6" t="n"/>
      <c r="AV50" s="3" t="n"/>
      <c r="AW50" s="6" t="n"/>
      <c r="AX50" s="6" t="n"/>
      <c r="AY50" s="6" t="n"/>
      <c r="AZ50" s="6" t="n"/>
      <c r="BA50" s="3" t="n"/>
      <c r="BB50" s="6" t="n"/>
      <c r="BC50" s="6" t="n"/>
      <c r="BD50" s="6" t="n"/>
      <c r="BE50" s="6" t="n"/>
      <c r="BF50" s="3" t="n"/>
      <c r="BG50" s="6" t="n"/>
      <c r="BH50" s="6" t="n"/>
      <c r="BI50" s="6" t="n"/>
      <c r="BJ50" s="6" t="n"/>
      <c r="BK50" s="3" t="n"/>
      <c r="BL50" s="6" t="n"/>
      <c r="BM50" s="6" t="n"/>
      <c r="BN50" s="6" t="n"/>
      <c r="BO50" s="6" t="n"/>
      <c r="BP50" s="3" t="n"/>
      <c r="BQ50" s="6" t="n"/>
      <c r="BR50" s="6" t="n"/>
      <c r="BS50" s="6" t="n"/>
      <c r="BT50" s="6" t="n"/>
      <c r="BU50" s="3" t="n"/>
      <c r="BV50" s="6" t="n"/>
      <c r="BW50" s="6" t="n"/>
      <c r="BX50" s="6" t="n"/>
      <c r="BY50" s="6" t="n"/>
      <c r="BZ50" s="3" t="n"/>
      <c r="CA50" s="6" t="n"/>
      <c r="CB50" s="6" t="n"/>
      <c r="CC50" s="6" t="n"/>
      <c r="CD50" s="6" t="n"/>
      <c r="CE50" s="3" t="n"/>
      <c r="CF50" s="6" t="n"/>
      <c r="CG50" s="6" t="n"/>
      <c r="CH50" s="6" t="n"/>
      <c r="CI50" s="6" t="n"/>
      <c r="CJ50" s="3" t="n"/>
      <c r="CK50" s="6" t="n"/>
      <c r="CL50" s="6" t="n"/>
      <c r="CM50" s="6" t="n"/>
      <c r="CN50" s="6" t="n"/>
      <c r="CO50" s="3" t="n"/>
      <c r="CP50" s="6" t="n"/>
      <c r="CQ50" s="6" t="n"/>
      <c r="CR50" s="6" t="n"/>
      <c r="CS50" s="6" t="n"/>
      <c r="CT50" s="3" t="n"/>
      <c r="CU50" s="6" t="n"/>
      <c r="CV50" s="6" t="n"/>
      <c r="CW50" s="6" t="n"/>
      <c r="CX50" s="6" t="n"/>
      <c r="CY50" s="3" t="n"/>
    </row>
    <row r="51" hidden="1" outlineLevel="1">
      <c r="C51" s="34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inlineStr">
        <is>
          <t>RECEITA FINANCEIRA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DESPESA FINANCEIRA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OUTROS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Cash and equivalents (inc. investment securities)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Interest on cash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Average interest rate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% CDI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Current portion of long-term debt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Short term debt (Revolving credit facility)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Long term debt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inlineStr">
        <is>
          <t>Convertible debt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Total debt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Interest expense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Average interest rate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Stake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PRE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CDI+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Spread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PRE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CDI+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RECEITAS FINANCEIRAS - Rendimentos de aplicações financeiras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RECEITAS FINANCEIRAS - Variação cambial ativa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RECEITAS FINANCEIRAS - Atualização de contas a pagar por aquisição de empresas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RECEITAS FINANCEIRAS - Resultado positivo com instrumentos derivativos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RECEITAS FINANCEIRAS - Descontos obtidos de fornecedores por antecipação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RECEITAS FINANCEIRAS - Atualização monetária sobre Exclusão ICMS da base de PIS/COFINS (nota explicativa nº 7)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RECEITAS FINANCEIRAS - Outras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DESPESAS FINANCEIRAS - Encargos sobre empréstimos, financiamentos e debêntures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DESPESAS FINANCEIRAS - Variação cambial passiva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DESPESAS FINANCEIRAS - Resultado negativo com instrumentos derivativos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DESPESAS FINANCEIRAS - Juros sobre arrendamento - IFRS16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DESPESAS FINANCEIRAS - Despesas bancárias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DESPESAS FINANCEIRAS - Despesas com obtenção de empréstimos e financiamentos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DESPESAS FINANCEIRAS - Atualização de contas a pagar por aquisição de empresas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DESPESAS FINANCEIRAS - Outras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CHECK [EX IFRS-16]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collapsed="1">
      <c r="C97" s="26" t="inlineStr">
        <is>
          <t>Nonoperating Income / (Loss)</t>
        </is>
      </c>
      <c r="D97" s="25">
        <f>INDEX('Inputs (2)'!$D$9:$AL$9,MATCH(D$7,'Inputs (2)'!$D$2:$AL$2,0))</f>
        <v>0</v>
      </c>
      <c r="E97" s="25">
        <f>INDEX('Inputs (2)'!$D$9:$AL$9,MATCH(E$7,'Inputs (2)'!$D$2:$AL$2,0))</f>
        <v>0</v>
      </c>
      <c r="F97" s="25">
        <f>INDEX('Inputs (2)'!$D$9:$AL$9,MATCH(F$7,'Inputs (2)'!$D$2:$AL$2,0))</f>
        <v>0</v>
      </c>
      <c r="G97" s="25">
        <f>INDEX('Inputs (2)'!$D$9:$AL$9,MATCH(G$7,'Inputs (2)'!$D$2:$AL$2,0))</f>
        <v>0</v>
      </c>
      <c r="H97" s="3">
        <f>SUM(D97:G97)</f>
        <v>0</v>
      </c>
      <c r="I97" s="25">
        <f>INDEX('Inputs (2)'!$D$9:$AL$9,MATCH(I$7,'Inputs (2)'!$D$2:$AL$2,0))</f>
        <v>0</v>
      </c>
      <c r="J97" s="25">
        <f>INDEX('Inputs (2)'!$D$9:$AL$9,MATCH(J$7,'Inputs (2)'!$D$2:$AL$2,0))</f>
        <v>0</v>
      </c>
      <c r="K97" s="25">
        <f>INDEX('Inputs (2)'!$D$9:$AL$9,MATCH(K$7,'Inputs (2)'!$D$2:$AL$2,0))</f>
        <v>0</v>
      </c>
      <c r="L97" s="25">
        <f>INDEX('Inputs (2)'!$D$9:$AL$9,MATCH(L$7,'Inputs (2)'!$D$2:$AL$2,0))</f>
        <v>0</v>
      </c>
      <c r="M97" s="3">
        <f>SUM(I97:L97)</f>
        <v>0</v>
      </c>
      <c r="N97" s="25">
        <f>INDEX('Inputs (2)'!$D$9:$AL$9,MATCH(N$7,'Inputs (2)'!$D$2:$AL$2,0))</f>
        <v>0</v>
      </c>
      <c r="O97" s="25">
        <f>INDEX('Inputs (2)'!$D$9:$AL$9,MATCH(O$7,'Inputs (2)'!$D$2:$AL$2,0))</f>
        <v>0</v>
      </c>
      <c r="P97" s="25">
        <f>INDEX('Inputs (2)'!$D$9:$AL$9,MATCH(P$7,'Inputs (2)'!$D$2:$AL$2,0))</f>
        <v>0</v>
      </c>
      <c r="Q97" s="25">
        <f>INDEX('Inputs (2)'!$D$9:$AL$9,MATCH(Q$7,'Inputs (2)'!$D$2:$AL$2,0))</f>
        <v>0</v>
      </c>
      <c r="R97" s="3">
        <f>SUM(N97:Q97)</f>
        <v>0</v>
      </c>
      <c r="S97" s="25">
        <f>INDEX('Inputs (2)'!$D$9:$AL$9,MATCH(S$7,'Inputs (2)'!$D$2:$AL$2,0))</f>
        <v>0</v>
      </c>
      <c r="T97" s="25">
        <f>INDEX('Inputs (2)'!$D$9:$AL$9,MATCH(T$7,'Inputs (2)'!$D$2:$AL$2,0))</f>
        <v>0</v>
      </c>
      <c r="U97" s="25">
        <f>INDEX('Inputs (2)'!$D$9:$AL$9,MATCH(U$7,'Inputs (2)'!$D$2:$AL$2,0))</f>
        <v>0</v>
      </c>
      <c r="V97" s="25">
        <f>INDEX('Inputs (2)'!$D$9:$AL$9,MATCH(V$7,'Inputs (2)'!$D$2:$AL$2,0))</f>
        <v>0</v>
      </c>
      <c r="W97" s="3">
        <f>SUM(S97:V97)</f>
        <v>0</v>
      </c>
      <c r="X97" s="25">
        <f>INDEX('Inputs (2)'!$D$9:$AL$9,MATCH(X$7,'Inputs (2)'!$D$2:$AL$2,0))</f>
        <v>0</v>
      </c>
      <c r="Y97" s="25">
        <f>INDEX('Inputs (2)'!$D$9:$AL$9,MATCH(Y$7,'Inputs (2)'!$D$2:$AL$2,0))</f>
        <v>0</v>
      </c>
      <c r="Z97" s="25">
        <f>INDEX('Inputs (2)'!$D$9:$AL$9,MATCH(Z$7,'Inputs (2)'!$D$2:$AL$2,0))</f>
        <v>0</v>
      </c>
      <c r="AA97" s="25">
        <f>INDEX('Inputs (2)'!$D$9:$AL$9,MATCH(AA$7,'Inputs (2)'!$D$2:$AL$2,0))</f>
        <v>0</v>
      </c>
      <c r="AB97" s="3">
        <f>SUM(X97:AA97)</f>
        <v>0</v>
      </c>
      <c r="AC97" s="25">
        <f>INDEX('Inputs (2)'!$D$9:$AL$9,MATCH(AC$7,'Inputs (2)'!$D$2:$AL$2,0))</f>
        <v>0</v>
      </c>
      <c r="AD97" s="25">
        <f>INDEX('Inputs (2)'!$D$9:$AL$9,MATCH(AD$7,'Inputs (2)'!$D$2:$AL$2,0))</f>
        <v>0</v>
      </c>
      <c r="AE97" s="25">
        <f>INDEX('Inputs (2)'!$D$9:$AL$9,MATCH(AE$7,'Inputs (2)'!$D$2:$AL$2,0))</f>
        <v>0</v>
      </c>
      <c r="AF97" s="25">
        <f>INDEX('Inputs (2)'!$D$9:$AL$9,MATCH(AF$7,'Inputs (2)'!$D$2:$AL$2,0))</f>
        <v>0</v>
      </c>
      <c r="AG97" s="3">
        <f>SUM(AC97:AF97)</f>
        <v>0</v>
      </c>
      <c r="AH97" s="3">
        <f>INDEX('Inputs (2)'!$D$9:$AL$9,MATCH(AH$7,'Inputs (2)'!$D$2:$AL$2,0))</f>
        <v>0</v>
      </c>
      <c r="AI97" s="3">
        <f>INDEX('Inputs (2)'!$D$9:$AL$9,MATCH(AI$7,'Inputs (2)'!$D$2:$AL$2,0))</f>
        <v>0</v>
      </c>
      <c r="AJ97" s="3">
        <f>AH97</f>
        <v>0</v>
      </c>
      <c r="AK97" s="3">
        <f>AI97</f>
        <v>0</v>
      </c>
      <c r="AL97" s="3">
        <f>SUM(AH97:AK97)</f>
        <v>0</v>
      </c>
      <c r="AM97" s="3">
        <f>AK97</f>
        <v>0</v>
      </c>
      <c r="AN97" s="3">
        <f>AL97</f>
        <v>0</v>
      </c>
      <c r="AO97" s="3">
        <f>AM97</f>
        <v>0</v>
      </c>
      <c r="AP97" s="3">
        <f>AN97</f>
        <v>0</v>
      </c>
      <c r="AQ97" s="3">
        <f>SUM(AM97:AP97)</f>
        <v>0</v>
      </c>
      <c r="AR97" s="3">
        <f>AP97</f>
        <v>0</v>
      </c>
      <c r="AS97" s="3">
        <f>AQ97</f>
        <v>0</v>
      </c>
      <c r="AT97" s="3">
        <f>AR97</f>
        <v>0</v>
      </c>
      <c r="AU97" s="3">
        <f>AS97</f>
        <v>0</v>
      </c>
      <c r="AV97" s="3">
        <f>SUM(AR97:AU97)</f>
        <v>0</v>
      </c>
      <c r="AW97" s="3">
        <f>AU97</f>
        <v>0</v>
      </c>
      <c r="AX97" s="3">
        <f>AV97</f>
        <v>0</v>
      </c>
      <c r="AY97" s="3">
        <f>AW97</f>
        <v>0</v>
      </c>
      <c r="AZ97" s="3">
        <f>AX97</f>
        <v>0</v>
      </c>
      <c r="BA97" s="3">
        <f>SUM(AW97:AZ97)</f>
        <v>0</v>
      </c>
      <c r="BB97" s="3">
        <f>AZ97</f>
        <v>0</v>
      </c>
      <c r="BC97" s="3">
        <f>BA97</f>
        <v>0</v>
      </c>
      <c r="BD97" s="3">
        <f>BB97</f>
        <v>0</v>
      </c>
      <c r="BE97" s="3">
        <f>BC97</f>
        <v>0</v>
      </c>
      <c r="BF97" s="3">
        <f>SUM(BB97:BE97)</f>
        <v>0</v>
      </c>
      <c r="BG97" s="3">
        <f>BE97</f>
        <v>0</v>
      </c>
      <c r="BH97" s="3">
        <f>BF97</f>
        <v>0</v>
      </c>
      <c r="BI97" s="3">
        <f>BG97</f>
        <v>0</v>
      </c>
      <c r="BJ97" s="3">
        <f>BH97</f>
        <v>0</v>
      </c>
      <c r="BK97" s="3">
        <f>SUM(BG97:BJ97)</f>
        <v>0</v>
      </c>
      <c r="BL97" s="3">
        <f>BJ97</f>
        <v>0</v>
      </c>
      <c r="BM97" s="3">
        <f>BK97</f>
        <v>0</v>
      </c>
      <c r="BN97" s="3">
        <f>BL97</f>
        <v>0</v>
      </c>
      <c r="BO97" s="3">
        <f>BM97</f>
        <v>0</v>
      </c>
      <c r="BP97" s="3">
        <f>SUM(BL97:BO97)</f>
        <v>0</v>
      </c>
      <c r="BQ97" s="3">
        <f>BO97</f>
        <v>0</v>
      </c>
      <c r="BR97" s="3">
        <f>BP97</f>
        <v>0</v>
      </c>
      <c r="BS97" s="3">
        <f>BQ97</f>
        <v>0</v>
      </c>
      <c r="BT97" s="3">
        <f>BR97</f>
        <v>0</v>
      </c>
      <c r="BU97" s="3">
        <f>SUM(BQ97:BT97)</f>
        <v>0</v>
      </c>
      <c r="BV97" s="3">
        <f>BT97</f>
        <v>0</v>
      </c>
      <c r="BW97" s="3">
        <f>BU97</f>
        <v>0</v>
      </c>
      <c r="BX97" s="3">
        <f>BV97</f>
        <v>0</v>
      </c>
      <c r="BY97" s="3">
        <f>BW97</f>
        <v>0</v>
      </c>
      <c r="BZ97" s="3">
        <f>SUM(BV97:BY97)</f>
        <v>0</v>
      </c>
      <c r="CA97" s="3">
        <f>BY97</f>
        <v>0</v>
      </c>
      <c r="CB97" s="3">
        <f>BZ97</f>
        <v>0</v>
      </c>
      <c r="CC97" s="3">
        <f>CA97</f>
        <v>0</v>
      </c>
      <c r="CD97" s="3">
        <f>CB97</f>
        <v>0</v>
      </c>
      <c r="CE97" s="3">
        <f>SUM(CA97:CD97)</f>
        <v>0</v>
      </c>
      <c r="CF97" s="3">
        <f>CD97</f>
        <v>0</v>
      </c>
      <c r="CG97" s="3">
        <f>CE97</f>
        <v>0</v>
      </c>
      <c r="CH97" s="3">
        <f>CF97</f>
        <v>0</v>
      </c>
      <c r="CI97" s="3">
        <f>CG97</f>
        <v>0</v>
      </c>
      <c r="CJ97" s="3">
        <f>SUM(CF97:CI97)</f>
        <v>0</v>
      </c>
      <c r="CK97" s="3">
        <f>CI97</f>
        <v>0</v>
      </c>
      <c r="CL97" s="3">
        <f>CJ97</f>
        <v>0</v>
      </c>
      <c r="CM97" s="3">
        <f>CK97</f>
        <v>0</v>
      </c>
      <c r="CN97" s="3">
        <f>CL97</f>
        <v>0</v>
      </c>
      <c r="CO97" s="3">
        <f>SUM(CK97:CN97)</f>
        <v>0</v>
      </c>
      <c r="CP97" s="3">
        <f>CN97</f>
        <v>0</v>
      </c>
      <c r="CQ97" s="3">
        <f>CO97</f>
        <v>0</v>
      </c>
      <c r="CR97" s="3">
        <f>CP97</f>
        <v>0</v>
      </c>
      <c r="CS97" s="3">
        <f>CQ97</f>
        <v>0</v>
      </c>
      <c r="CT97" s="3">
        <f>SUM(CP97:CS97)</f>
        <v>0</v>
      </c>
      <c r="CU97" s="3">
        <f>CS97</f>
        <v>0</v>
      </c>
      <c r="CV97" s="3">
        <f>CT97</f>
        <v>0</v>
      </c>
      <c r="CW97" s="3">
        <f>CU97</f>
        <v>0</v>
      </c>
      <c r="CX97" s="3">
        <f>CV97</f>
        <v>0</v>
      </c>
      <c r="CY97" s="3">
        <f>SUM(CU97:CX97)</f>
        <v>0</v>
      </c>
    </row>
    <row r="98" hidden="1" outlineLevel="1">
      <c r="C98" s="34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2" t="inlineStr">
        <is>
          <t>Resultado Não Recorrente</t>
        </is>
      </c>
      <c r="D99" s="6" t="n"/>
      <c r="E99" s="6" t="n"/>
      <c r="F99" s="6" t="n"/>
      <c r="G99" s="6" t="n"/>
      <c r="H99" s="3" t="n"/>
      <c r="I99" s="6" t="n"/>
      <c r="J99" s="6" t="n"/>
      <c r="K99" s="6" t="n"/>
      <c r="L99" s="6" t="n"/>
      <c r="M99" s="3" t="n"/>
      <c r="N99" s="6" t="n"/>
      <c r="O99" s="6" t="n"/>
      <c r="P99" s="6" t="n"/>
      <c r="Q99" s="6" t="n"/>
      <c r="R99" s="3" t="n"/>
      <c r="S99" s="6" t="n"/>
      <c r="T99" s="6" t="n"/>
      <c r="U99" s="6" t="n"/>
      <c r="V99" s="6" t="n"/>
      <c r="W99" s="3" t="n"/>
      <c r="X99" s="6" t="n"/>
      <c r="Y99" s="6" t="n"/>
      <c r="Z99" s="6" t="n"/>
      <c r="AA99" s="6" t="n"/>
      <c r="AB99" s="3" t="n"/>
      <c r="AC99" s="6" t="n"/>
      <c r="AD99" s="6" t="n"/>
      <c r="AE99" s="6" t="n"/>
      <c r="AF99" s="6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2" t="inlineStr">
        <is>
          <t>Plano de Opção de Compra de Ações</t>
        </is>
      </c>
      <c r="D100" s="6" t="n"/>
      <c r="E100" s="6" t="n"/>
      <c r="F100" s="6" t="n"/>
      <c r="G100" s="6" t="n"/>
      <c r="H100" s="3" t="n"/>
      <c r="I100" s="6" t="n"/>
      <c r="J100" s="6" t="n"/>
      <c r="K100" s="6" t="n"/>
      <c r="L100" s="6" t="n"/>
      <c r="M100" s="3" t="n"/>
      <c r="N100" s="6" t="n"/>
      <c r="O100" s="6" t="n"/>
      <c r="P100" s="6" t="n"/>
      <c r="Q100" s="6" t="n"/>
      <c r="R100" s="3" t="n"/>
      <c r="S100" s="6" t="n"/>
      <c r="T100" s="6" t="n"/>
      <c r="U100" s="6" t="n"/>
      <c r="V100" s="6" t="n"/>
      <c r="W100" s="3" t="n"/>
      <c r="X100" s="6" t="n"/>
      <c r="Y100" s="6" t="n"/>
      <c r="Z100" s="6" t="n"/>
      <c r="AA100" s="6" t="n"/>
      <c r="AB100" s="3" t="n"/>
      <c r="AC100" s="6" t="n"/>
      <c r="AD100" s="6" t="n"/>
      <c r="AE100" s="6" t="n"/>
      <c r="AF100" s="6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2" t="inlineStr">
        <is>
          <t>Baixa Imobilizado</t>
        </is>
      </c>
      <c r="D101" s="6" t="n"/>
      <c r="E101" s="6" t="n"/>
      <c r="F101" s="6" t="n"/>
      <c r="G101" s="6" t="n"/>
      <c r="H101" s="3" t="n"/>
      <c r="I101" s="6" t="n"/>
      <c r="J101" s="6" t="n"/>
      <c r="K101" s="6" t="n"/>
      <c r="L101" s="6" t="n"/>
      <c r="M101" s="3" t="n"/>
      <c r="N101" s="6" t="n"/>
      <c r="O101" s="6" t="n"/>
      <c r="P101" s="6" t="n"/>
      <c r="Q101" s="6" t="n"/>
      <c r="R101" s="3" t="n"/>
      <c r="S101" s="6" t="n"/>
      <c r="T101" s="6" t="n"/>
      <c r="U101" s="6" t="n"/>
      <c r="V101" s="6" t="n"/>
      <c r="W101" s="3" t="n"/>
      <c r="X101" s="6" t="n"/>
      <c r="Y101" s="6" t="n"/>
      <c r="Z101" s="6" t="n"/>
      <c r="AA101" s="6" t="n"/>
      <c r="AB101" s="3" t="n"/>
      <c r="AC101" s="6" t="n"/>
      <c r="AD101" s="6" t="n"/>
      <c r="AE101" s="6" t="n"/>
      <c r="AF101" s="6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collapsed="1" customFormat="1" s="17">
      <c r="A104" s="13" t="n"/>
      <c r="B104" s="1" t="n"/>
      <c r="C104" s="14" t="inlineStr">
        <is>
          <t>Pretax Income - EBT</t>
        </is>
      </c>
      <c r="D104" s="16">
        <f>SUM(D47,D48,D97)</f>
        <v>4145</v>
      </c>
      <c r="E104" s="16">
        <f>SUM(E47,E48,E97)</f>
        <v>-10597</v>
      </c>
      <c r="F104" s="16">
        <f>SUM(F47,F48,F97)</f>
        <v>-44</v>
      </c>
      <c r="G104" s="16">
        <f>SUM(G47,G48,G97)</f>
        <v>-957</v>
      </c>
      <c r="H104" s="16">
        <f>SUM(D104:G104)</f>
        <v>-7453</v>
      </c>
      <c r="I104" s="16">
        <f>SUM(I47,I48,I97)</f>
        <v>2177</v>
      </c>
      <c r="J104" s="16">
        <f>SUM(J47,J48,J97)</f>
        <v>4422</v>
      </c>
      <c r="K104" s="16">
        <f>SUM(K47,K48,K97)</f>
        <v>8055</v>
      </c>
      <c r="L104" s="16">
        <f>SUM(L47,L48,L97)</f>
        <v>6985</v>
      </c>
      <c r="M104" s="16">
        <f>SUM(I104:L104)</f>
        <v>21639</v>
      </c>
      <c r="N104" s="16">
        <f>SUM(N47,N48,N97)</f>
        <v>9054</v>
      </c>
      <c r="O104" s="16">
        <f>SUM(O47,O48,O97)</f>
        <v>16003</v>
      </c>
      <c r="P104" s="16">
        <f>SUM(P47,P48,P97)</f>
        <v>14809</v>
      </c>
      <c r="Q104" s="16">
        <f>SUM(Q47,Q48,Q97)</f>
        <v>9808</v>
      </c>
      <c r="R104" s="16">
        <f>SUM(N104:Q104)</f>
        <v>49674</v>
      </c>
      <c r="S104" s="16">
        <f>SUM(S47,S48,S97)</f>
        <v>9519</v>
      </c>
      <c r="T104" s="16">
        <f>SUM(T47,T48,T97)</f>
        <v>7837</v>
      </c>
      <c r="U104" s="16">
        <f>SUM(U47,U48,U97)</f>
        <v>8738</v>
      </c>
      <c r="V104" s="16">
        <f>SUM(V47,V48,V97)</f>
        <v>3490</v>
      </c>
      <c r="W104" s="16">
        <f>SUM(S104:V104)</f>
        <v>29584</v>
      </c>
      <c r="X104" s="16">
        <f>SUM(X47,X48,X97)</f>
        <v>7922</v>
      </c>
      <c r="Y104" s="16">
        <f>SUM(Y47,Y48,Y97)</f>
        <v>7036</v>
      </c>
      <c r="Z104" s="16">
        <f>SUM(Z47,Z48,Z97)</f>
        <v>6489</v>
      </c>
      <c r="AA104" s="16">
        <f>SUM(AA47,AA48,AA97)</f>
        <v>6059</v>
      </c>
      <c r="AB104" s="16">
        <f>SUM(X104:AA104)</f>
        <v>27506</v>
      </c>
      <c r="AC104" s="16">
        <f>SUM(AC47,AC48,AC97)</f>
        <v>5583</v>
      </c>
      <c r="AD104" s="16">
        <f>SUM(AD47,AD48,AD97)</f>
        <v>4147</v>
      </c>
      <c r="AE104" s="16">
        <f>SUM(AE47,AE48,AE97)</f>
        <v>5414</v>
      </c>
      <c r="AF104" s="16">
        <f>SUM(AF47,AF48,AF97)</f>
        <v>4599</v>
      </c>
      <c r="AG104" s="16">
        <f>SUM(AC104:AF104)</f>
        <v>19743</v>
      </c>
      <c r="AH104" s="16">
        <f>SUM(AH47,AH48,AH97)</f>
        <v>3946</v>
      </c>
      <c r="AI104" s="16">
        <f>SUM(AI47,AI48,AI97)</f>
        <v>16684</v>
      </c>
      <c r="AJ104" s="16">
        <f>SUM(AJ47,AJ48,AJ97)</f>
        <v>0</v>
      </c>
      <c r="AK104" s="16">
        <f>SUM(AK47,AK48,AK97)</f>
        <v>0</v>
      </c>
      <c r="AL104" s="16">
        <f>SUM(AH104:AK104)</f>
        <v>20630</v>
      </c>
      <c r="AM104" s="16">
        <f>SUM(AM47,AM48,AM97)</f>
        <v>0</v>
      </c>
      <c r="AN104" s="16">
        <f>SUM(AN47,AN48,AN97)</f>
        <v>0</v>
      </c>
      <c r="AO104" s="16">
        <f>SUM(AO47,AO48,AO97)</f>
        <v>0</v>
      </c>
      <c r="AP104" s="16">
        <f>SUM(AP47,AP48,AP97)</f>
        <v>0</v>
      </c>
      <c r="AQ104" s="16">
        <f>SUM(AM104:AP104)</f>
        <v>0</v>
      </c>
      <c r="AR104" s="16">
        <f>SUM(AR47,AR48,AR97)</f>
        <v>0</v>
      </c>
      <c r="AS104" s="16">
        <f>SUM(AS47,AS48,AS97)</f>
        <v>0</v>
      </c>
      <c r="AT104" s="16">
        <f>SUM(AT47,AT48,AT97)</f>
        <v>0</v>
      </c>
      <c r="AU104" s="16">
        <f>SUM(AU47,AU48,AU97)</f>
        <v>0</v>
      </c>
      <c r="AV104" s="16">
        <f>SUM(AR104:AU104)</f>
        <v>0</v>
      </c>
      <c r="AW104" s="16">
        <f>SUM(AW47,AW48,AW97)</f>
        <v>0</v>
      </c>
      <c r="AX104" s="16">
        <f>SUM(AX47,AX48,AX97)</f>
        <v>0</v>
      </c>
      <c r="AY104" s="16">
        <f>SUM(AY47,AY48,AY97)</f>
        <v>0</v>
      </c>
      <c r="AZ104" s="16">
        <f>SUM(AZ47,AZ48,AZ97)</f>
        <v>0</v>
      </c>
      <c r="BA104" s="16">
        <f>SUM(AW104:AZ104)</f>
        <v>0</v>
      </c>
      <c r="BB104" s="16">
        <f>SUM(BB47,BB48,BB97)</f>
        <v>0</v>
      </c>
      <c r="BC104" s="16">
        <f>SUM(BC47,BC48,BC97)</f>
        <v>0</v>
      </c>
      <c r="BD104" s="16">
        <f>SUM(BD47,BD48,BD97)</f>
        <v>0</v>
      </c>
      <c r="BE104" s="16">
        <f>SUM(BE47,BE48,BE97)</f>
        <v>0</v>
      </c>
      <c r="BF104" s="16">
        <f>SUM(BB104:BE104)</f>
        <v>0</v>
      </c>
      <c r="BG104" s="16">
        <f>SUM(BG47,BG48,BG97)</f>
        <v>0</v>
      </c>
      <c r="BH104" s="16">
        <f>SUM(BH47,BH48,BH97)</f>
        <v>0</v>
      </c>
      <c r="BI104" s="16">
        <f>SUM(BI47,BI48,BI97)</f>
        <v>0</v>
      </c>
      <c r="BJ104" s="16">
        <f>SUM(BJ47,BJ48,BJ97)</f>
        <v>0</v>
      </c>
      <c r="BK104" s="16">
        <f>SUM(BG104:BJ104)</f>
        <v>0</v>
      </c>
      <c r="BL104" s="16">
        <f>SUM(BL47,BL48,BL97)</f>
        <v>0</v>
      </c>
      <c r="BM104" s="16">
        <f>SUM(BM47,BM48,BM97)</f>
        <v>0</v>
      </c>
      <c r="BN104" s="16">
        <f>SUM(BN47,BN48,BN97)</f>
        <v>0</v>
      </c>
      <c r="BO104" s="16">
        <f>SUM(BO47,BO48,BO97)</f>
        <v>0</v>
      </c>
      <c r="BP104" s="16">
        <f>SUM(BL104:BO104)</f>
        <v>0</v>
      </c>
      <c r="BQ104" s="16">
        <f>SUM(BQ47,BQ48,BQ97)</f>
        <v>0</v>
      </c>
      <c r="BR104" s="16">
        <f>SUM(BR47,BR48,BR97)</f>
        <v>0</v>
      </c>
      <c r="BS104" s="16">
        <f>SUM(BS47,BS48,BS97)</f>
        <v>0</v>
      </c>
      <c r="BT104" s="16">
        <f>SUM(BT47,BT48,BT97)</f>
        <v>0</v>
      </c>
      <c r="BU104" s="16">
        <f>SUM(BQ104:BT104)</f>
        <v>0</v>
      </c>
      <c r="BV104" s="16">
        <f>SUM(BV47,BV48,BV97)</f>
        <v>0</v>
      </c>
      <c r="BW104" s="16">
        <f>SUM(BW47,BW48,BW97)</f>
        <v>0</v>
      </c>
      <c r="BX104" s="16">
        <f>SUM(BX47,BX48,BX97)</f>
        <v>0</v>
      </c>
      <c r="BY104" s="16">
        <f>SUM(BY47,BY48,BY97)</f>
        <v>0</v>
      </c>
      <c r="BZ104" s="16">
        <f>SUM(BV104:BY104)</f>
        <v>0</v>
      </c>
      <c r="CA104" s="16">
        <f>SUM(CA47,CA48,CA97)</f>
        <v>0</v>
      </c>
      <c r="CB104" s="16">
        <f>SUM(CB47,CB48,CB97)</f>
        <v>0</v>
      </c>
      <c r="CC104" s="16">
        <f>SUM(CC47,CC48,CC97)</f>
        <v>0</v>
      </c>
      <c r="CD104" s="16">
        <f>SUM(CD47,CD48,CD97)</f>
        <v>0</v>
      </c>
      <c r="CE104" s="16">
        <f>SUM(CA104:CD104)</f>
        <v>0</v>
      </c>
      <c r="CF104" s="16">
        <f>SUM(CF47,CF48,CF97)</f>
        <v>0</v>
      </c>
      <c r="CG104" s="16">
        <f>SUM(CG47,CG48,CG97)</f>
        <v>0</v>
      </c>
      <c r="CH104" s="16">
        <f>SUM(CH47,CH48,CH97)</f>
        <v>0</v>
      </c>
      <c r="CI104" s="16">
        <f>SUM(CI47,CI48,CI97)</f>
        <v>0</v>
      </c>
      <c r="CJ104" s="16">
        <f>SUM(CF104:CI104)</f>
        <v>0</v>
      </c>
      <c r="CK104" s="16">
        <f>SUM(CK47,CK48,CK97)</f>
        <v>0</v>
      </c>
      <c r="CL104" s="16">
        <f>SUM(CL47,CL48,CL97)</f>
        <v>0</v>
      </c>
      <c r="CM104" s="16">
        <f>SUM(CM47,CM48,CM97)</f>
        <v>0</v>
      </c>
      <c r="CN104" s="16">
        <f>SUM(CN47,CN48,CN97)</f>
        <v>0</v>
      </c>
      <c r="CO104" s="16">
        <f>SUM(CK104:CN104)</f>
        <v>0</v>
      </c>
      <c r="CP104" s="16">
        <f>SUM(CP47,CP48,CP97)</f>
        <v>0</v>
      </c>
      <c r="CQ104" s="16">
        <f>SUM(CQ47,CQ48,CQ97)</f>
        <v>0</v>
      </c>
      <c r="CR104" s="16">
        <f>SUM(CR47,CR48,CR97)</f>
        <v>0</v>
      </c>
      <c r="CS104" s="16">
        <f>SUM(CS47,CS48,CS97)</f>
        <v>0</v>
      </c>
      <c r="CT104" s="16">
        <f>SUM(CP104:CS104)</f>
        <v>0</v>
      </c>
      <c r="CU104" s="16">
        <f>SUM(CU47,CU48,CU97)</f>
        <v>0</v>
      </c>
      <c r="CV104" s="16">
        <f>SUM(CV47,CV48,CV97)</f>
        <v>0</v>
      </c>
      <c r="CW104" s="16">
        <f>SUM(CW47,CW48,CW97)</f>
        <v>0</v>
      </c>
      <c r="CX104" s="16">
        <f>SUM(CX47,CX48,CX97)</f>
        <v>0</v>
      </c>
      <c r="CY104" s="16">
        <f>SUM(CU104:CX104)</f>
        <v>0</v>
      </c>
    </row>
    <row r="105">
      <c r="C105" s="26" t="inlineStr">
        <is>
          <t>Taxes</t>
        </is>
      </c>
      <c r="D105" s="25">
        <f>INDEX('Inputs (2)'!$D$10:$AL$10,MATCH(D$7,'Inputs (2)'!$D$2:$AL$2,0))</f>
        <v>-564</v>
      </c>
      <c r="E105" s="25">
        <f>INDEX('Inputs (2)'!$D$10:$AL$10,MATCH(E$7,'Inputs (2)'!$D$2:$AL$2,0))</f>
        <v>2320</v>
      </c>
      <c r="F105" s="25">
        <f>INDEX('Inputs (2)'!$D$10:$AL$10,MATCH(F$7,'Inputs (2)'!$D$2:$AL$2,0))</f>
        <v>-165</v>
      </c>
      <c r="G105" s="25">
        <f>INDEX('Inputs (2)'!$D$10:$AL$10,MATCH(G$7,'Inputs (2)'!$D$2:$AL$2,0))</f>
        <v>301</v>
      </c>
      <c r="H105" s="3">
        <f>SUM(D105:G105)</f>
        <v>1892</v>
      </c>
      <c r="I105" s="25">
        <f>INDEX('Inputs (2)'!$D$10:$AL$10,MATCH(I$7,'Inputs (2)'!$D$2:$AL$2,0))</f>
        <v>-779</v>
      </c>
      <c r="J105" s="25">
        <f>INDEX('Inputs (2)'!$D$10:$AL$10,MATCH(J$7,'Inputs (2)'!$D$2:$AL$2,0))</f>
        <v>-1328</v>
      </c>
      <c r="K105" s="25">
        <f>INDEX('Inputs (2)'!$D$10:$AL$10,MATCH(K$7,'Inputs (2)'!$D$2:$AL$2,0))</f>
        <v>-1940</v>
      </c>
      <c r="L105" s="25">
        <f>INDEX('Inputs (2)'!$D$10:$AL$10,MATCH(L$7,'Inputs (2)'!$D$2:$AL$2,0))</f>
        <v>-1903</v>
      </c>
      <c r="M105" s="3">
        <f>SUM(I105:L105)</f>
        <v>-5950</v>
      </c>
      <c r="N105" s="25">
        <f>INDEX('Inputs (2)'!$D$10:$AL$10,MATCH(N$7,'Inputs (2)'!$D$2:$AL$2,0))</f>
        <v>-2777</v>
      </c>
      <c r="O105" s="25">
        <f>INDEX('Inputs (2)'!$D$10:$AL$10,MATCH(O$7,'Inputs (2)'!$D$2:$AL$2,0))</f>
        <v>-4288</v>
      </c>
      <c r="P105" s="25">
        <f>INDEX('Inputs (2)'!$D$10:$AL$10,MATCH(P$7,'Inputs (2)'!$D$2:$AL$2,0))</f>
        <v>-3571</v>
      </c>
      <c r="Q105" s="25">
        <f>INDEX('Inputs (2)'!$D$10:$AL$10,MATCH(Q$7,'Inputs (2)'!$D$2:$AL$2,0))</f>
        <v>-3430</v>
      </c>
      <c r="R105" s="3">
        <f>SUM(N105:Q105)</f>
        <v>-14066</v>
      </c>
      <c r="S105" s="25">
        <f>INDEX('Inputs (2)'!$D$10:$AL$10,MATCH(S$7,'Inputs (2)'!$D$2:$AL$2,0))</f>
        <v>-2914</v>
      </c>
      <c r="T105" s="25">
        <f>INDEX('Inputs (2)'!$D$10:$AL$10,MATCH(T$7,'Inputs (2)'!$D$2:$AL$2,0))</f>
        <v>-1829</v>
      </c>
      <c r="U105" s="25">
        <f>INDEX('Inputs (2)'!$D$10:$AL$10,MATCH(U$7,'Inputs (2)'!$D$2:$AL$2,0))</f>
        <v>-2183</v>
      </c>
      <c r="V105" s="25">
        <f>INDEX('Inputs (2)'!$D$10:$AL$10,MATCH(V$7,'Inputs (2)'!$D$2:$AL$2,0))</f>
        <v>-1247</v>
      </c>
      <c r="W105" s="3">
        <f>SUM(S105:V105)</f>
        <v>-8173</v>
      </c>
      <c r="X105" s="25">
        <f>INDEX('Inputs (2)'!$D$10:$AL$10,MATCH(X$7,'Inputs (2)'!$D$2:$AL$2,0))</f>
        <v>-2371</v>
      </c>
      <c r="Y105" s="25">
        <f>INDEX('Inputs (2)'!$D$10:$AL$10,MATCH(Y$7,'Inputs (2)'!$D$2:$AL$2,0))</f>
        <v>-2593</v>
      </c>
      <c r="Z105" s="25">
        <f>INDEX('Inputs (2)'!$D$10:$AL$10,MATCH(Z$7,'Inputs (2)'!$D$2:$AL$2,0))</f>
        <v>-1993</v>
      </c>
      <c r="AA105" s="25">
        <f>INDEX('Inputs (2)'!$D$10:$AL$10,MATCH(AA$7,'Inputs (2)'!$D$2:$AL$2,0))</f>
        <v>-2800</v>
      </c>
      <c r="AB105" s="3">
        <f>SUM(X105:AA105)</f>
        <v>-9757</v>
      </c>
      <c r="AC105" s="25">
        <f>INDEX('Inputs (2)'!$D$10:$AL$10,MATCH(AC$7,'Inputs (2)'!$D$2:$AL$2,0))</f>
        <v>-2071</v>
      </c>
      <c r="AD105" s="25">
        <f>INDEX('Inputs (2)'!$D$10:$AL$10,MATCH(AD$7,'Inputs (2)'!$D$2:$AL$2,0))</f>
        <v>-1632</v>
      </c>
      <c r="AE105" s="25">
        <f>INDEX('Inputs (2)'!$D$10:$AL$10,MATCH(AE$7,'Inputs (2)'!$D$2:$AL$2,0))</f>
        <v>-1801</v>
      </c>
      <c r="AF105" s="25">
        <f>INDEX('Inputs (2)'!$D$10:$AL$10,MATCH(AF$7,'Inputs (2)'!$D$2:$AL$2,0))</f>
        <v>-1754</v>
      </c>
      <c r="AG105" s="3">
        <f>SUM(AC105:AF105)</f>
        <v>-7258</v>
      </c>
      <c r="AH105" s="3">
        <f>INDEX('Inputs (2)'!$D$10:$AL$10,MATCH(AH$7,'Inputs (2)'!$D$2:$AL$2,0))</f>
        <v>-1653</v>
      </c>
      <c r="AI105" s="3">
        <f>INDEX('Inputs (2)'!$D$10:$AL$10,MATCH(AI$7,'Inputs (2)'!$D$2:$AL$2,0))</f>
        <v>-4470</v>
      </c>
      <c r="AJ105" s="3">
        <f>AJ106*-AJ104</f>
        <v>0</v>
      </c>
      <c r="AK105" s="3">
        <f>AK106*-AK104</f>
        <v>0</v>
      </c>
      <c r="AL105" s="3">
        <f>SUM(AH105:AK105)</f>
        <v>-6123</v>
      </c>
      <c r="AM105" s="3">
        <f>AM106*-AM104</f>
        <v>0</v>
      </c>
      <c r="AN105" s="3">
        <f>AN106*-AN104</f>
        <v>0</v>
      </c>
      <c r="AO105" s="3">
        <f>AO106*-AO104</f>
        <v>0</v>
      </c>
      <c r="AP105" s="3">
        <f>AP106*-AP104</f>
        <v>0</v>
      </c>
      <c r="AQ105" s="3">
        <f>SUM(AM105:AP105)</f>
        <v>0</v>
      </c>
      <c r="AR105" s="3">
        <f>AR106*-AR104</f>
        <v>0</v>
      </c>
      <c r="AS105" s="3">
        <f>AS106*-AS104</f>
        <v>0</v>
      </c>
      <c r="AT105" s="3">
        <f>AT106*-AT104</f>
        <v>0</v>
      </c>
      <c r="AU105" s="3">
        <f>AU106*-AU104</f>
        <v>0</v>
      </c>
      <c r="AV105" s="3">
        <f>SUM(AR105:AU105)</f>
        <v>0</v>
      </c>
      <c r="AW105" s="3">
        <f>AW106*-AW104</f>
        <v>0</v>
      </c>
      <c r="AX105" s="3">
        <f>AX106*-AX104</f>
        <v>0</v>
      </c>
      <c r="AY105" s="3">
        <f>AY106*-AY104</f>
        <v>0</v>
      </c>
      <c r="AZ105" s="3">
        <f>AZ106*-AZ104</f>
        <v>0</v>
      </c>
      <c r="BA105" s="3">
        <f>SUM(AW105:AZ105)</f>
        <v>0</v>
      </c>
      <c r="BB105" s="3">
        <f>BB106*-BB104</f>
        <v>0</v>
      </c>
      <c r="BC105" s="3">
        <f>BC106*-BC104</f>
        <v>0</v>
      </c>
      <c r="BD105" s="3">
        <f>BD106*-BD104</f>
        <v>0</v>
      </c>
      <c r="BE105" s="3">
        <f>BE106*-BE104</f>
        <v>0</v>
      </c>
      <c r="BF105" s="3">
        <f>SUM(BB105:BE105)</f>
        <v>0</v>
      </c>
      <c r="BG105" s="3">
        <f>BG106*-BG104</f>
        <v>0</v>
      </c>
      <c r="BH105" s="3">
        <f>BH106*-BH104</f>
        <v>0</v>
      </c>
      <c r="BI105" s="3">
        <f>BI106*-BI104</f>
        <v>0</v>
      </c>
      <c r="BJ105" s="3">
        <f>BJ106*-BJ104</f>
        <v>0</v>
      </c>
      <c r="BK105" s="3">
        <f>SUM(BG105:BJ105)</f>
        <v>0</v>
      </c>
      <c r="BL105" s="3">
        <f>BL106*-BL104</f>
        <v>0</v>
      </c>
      <c r="BM105" s="3">
        <f>BM106*-BM104</f>
        <v>0</v>
      </c>
      <c r="BN105" s="3">
        <f>BN106*-BN104</f>
        <v>0</v>
      </c>
      <c r="BO105" s="3">
        <f>BO106*-BO104</f>
        <v>0</v>
      </c>
      <c r="BP105" s="3">
        <f>SUM(BL105:BO105)</f>
        <v>0</v>
      </c>
      <c r="BQ105" s="3">
        <f>BQ106*-BQ104</f>
        <v>0</v>
      </c>
      <c r="BR105" s="3">
        <f>BR106*-BR104</f>
        <v>0</v>
      </c>
      <c r="BS105" s="3">
        <f>BS106*-BS104</f>
        <v>0</v>
      </c>
      <c r="BT105" s="3">
        <f>BT106*-BT104</f>
        <v>0</v>
      </c>
      <c r="BU105" s="3">
        <f>SUM(BQ105:BT105)</f>
        <v>0</v>
      </c>
      <c r="BV105" s="3">
        <f>BV106*-BV104</f>
        <v>0</v>
      </c>
      <c r="BW105" s="3">
        <f>BW106*-BW104</f>
        <v>0</v>
      </c>
      <c r="BX105" s="3">
        <f>BX106*-BX104</f>
        <v>0</v>
      </c>
      <c r="BY105" s="3">
        <f>BY106*-BY104</f>
        <v>0</v>
      </c>
      <c r="BZ105" s="3">
        <f>SUM(BV105:BY105)</f>
        <v>0</v>
      </c>
      <c r="CA105" s="3">
        <f>CA106*-CA104</f>
        <v>0</v>
      </c>
      <c r="CB105" s="3">
        <f>CB106*-CB104</f>
        <v>0</v>
      </c>
      <c r="CC105" s="3">
        <f>CC106*-CC104</f>
        <v>0</v>
      </c>
      <c r="CD105" s="3">
        <f>CD106*-CD104</f>
        <v>0</v>
      </c>
      <c r="CE105" s="3">
        <f>SUM(CA105:CD105)</f>
        <v>0</v>
      </c>
      <c r="CF105" s="3">
        <f>CF106*-CF104</f>
        <v>0</v>
      </c>
      <c r="CG105" s="3">
        <f>CG106*-CG104</f>
        <v>0</v>
      </c>
      <c r="CH105" s="3">
        <f>CH106*-CH104</f>
        <v>0</v>
      </c>
      <c r="CI105" s="3">
        <f>CI106*-CI104</f>
        <v>0</v>
      </c>
      <c r="CJ105" s="3">
        <f>SUM(CF105:CI105)</f>
        <v>0</v>
      </c>
      <c r="CK105" s="3">
        <f>CK106*-CK104</f>
        <v>0</v>
      </c>
      <c r="CL105" s="3">
        <f>CL106*-CL104</f>
        <v>0</v>
      </c>
      <c r="CM105" s="3">
        <f>CM106*-CM104</f>
        <v>0</v>
      </c>
      <c r="CN105" s="3">
        <f>CN106*-CN104</f>
        <v>0</v>
      </c>
      <c r="CO105" s="3">
        <f>SUM(CK105:CN105)</f>
        <v>0</v>
      </c>
      <c r="CP105" s="3">
        <f>CP106*-CP104</f>
        <v>0</v>
      </c>
      <c r="CQ105" s="3">
        <f>CQ106*-CQ104</f>
        <v>0</v>
      </c>
      <c r="CR105" s="3">
        <f>CR106*-CR104</f>
        <v>0</v>
      </c>
      <c r="CS105" s="3">
        <f>CS106*-CS104</f>
        <v>0</v>
      </c>
      <c r="CT105" s="3">
        <f>SUM(CP105:CS105)</f>
        <v>0</v>
      </c>
      <c r="CU105" s="3">
        <f>CU106*-CU104</f>
        <v>0</v>
      </c>
      <c r="CV105" s="3">
        <f>CV106*-CV104</f>
        <v>0</v>
      </c>
      <c r="CW105" s="3">
        <f>CW106*-CW104</f>
        <v>0</v>
      </c>
      <c r="CX105" s="3">
        <f>CX106*-CX104</f>
        <v>0</v>
      </c>
      <c r="CY105" s="3">
        <f>SUM(CU105:CX105)</f>
        <v>0</v>
      </c>
    </row>
    <row r="106" hidden="1" outlineLevel="1">
      <c r="C106" s="34" t="inlineStr">
        <is>
          <t>% ETR</t>
        </is>
      </c>
      <c r="D106" s="48">
        <f>-D105/D104</f>
        <v>0.136067551266586</v>
      </c>
      <c r="E106" s="48">
        <f>-E105/E104</f>
        <v>0.218929885816741</v>
      </c>
      <c r="F106" s="48">
        <f>-F105/F104</f>
        <v>-3.75</v>
      </c>
      <c r="G106" s="48">
        <f>-G105/G104</f>
        <v>0.314524555903866</v>
      </c>
      <c r="H106" s="48">
        <f>-H105/H104</f>
        <v>0.253857507044143</v>
      </c>
      <c r="I106" s="48">
        <f>-I105/I104</f>
        <v>0.3578318787322</v>
      </c>
      <c r="J106" s="48">
        <f>-J105/J104</f>
        <v>0.300316598824062</v>
      </c>
      <c r="K106" s="48">
        <f>-K105/K104</f>
        <v>0.240844196151459</v>
      </c>
      <c r="L106" s="48">
        <f>-L105/L104</f>
        <v>0.27244094488189</v>
      </c>
      <c r="M106" s="48">
        <f>-M105/M104</f>
        <v>0.274966495679098</v>
      </c>
      <c r="N106" s="48">
        <f>-N105/N104</f>
        <v>0.306715263971725</v>
      </c>
      <c r="O106" s="48">
        <f>-O105/O104</f>
        <v>0.267949759420109</v>
      </c>
      <c r="P106" s="48">
        <f>-P105/P104</f>
        <v>0.241137146329935</v>
      </c>
      <c r="Q106" s="48">
        <f>-Q105/Q104</f>
        <v>0.349714518760196</v>
      </c>
      <c r="R106" s="48">
        <f>-R105/R104</f>
        <v>0.283166243910295</v>
      </c>
      <c r="S106" s="48">
        <f>-S105/S104</f>
        <v>0.306124592919424</v>
      </c>
      <c r="T106" s="48">
        <f>-T105/T104</f>
        <v>0.233380119943856</v>
      </c>
      <c r="U106" s="48">
        <f>-U105/U104</f>
        <v>0.249828336003662</v>
      </c>
      <c r="V106" s="48">
        <f>-V105/V104</f>
        <v>0.35730659025788</v>
      </c>
      <c r="W106" s="48">
        <f>-W105/W104</f>
        <v>0.276264196863169</v>
      </c>
      <c r="X106" s="48">
        <f>-X105/X104</f>
        <v>0.29929310780106</v>
      </c>
      <c r="Y106" s="48">
        <f>-Y105/Y104</f>
        <v>0.368533257532689</v>
      </c>
      <c r="Z106" s="48">
        <f>-Z105/Z104</f>
        <v>0.307135151795346</v>
      </c>
      <c r="AA106" s="48">
        <f>-AA105/AA104</f>
        <v>0.46212246245255</v>
      </c>
      <c r="AB106" s="48">
        <f>-AB105/AB104</f>
        <v>0.354722605976878</v>
      </c>
      <c r="AC106" s="48">
        <f>-AC105/AC104</f>
        <v>0.370947519254881</v>
      </c>
      <c r="AD106" s="48">
        <f>-AD105/AD104</f>
        <v>0.393537496985773</v>
      </c>
      <c r="AE106" s="48">
        <f>-AE105/AE104</f>
        <v>0.332656076837828</v>
      </c>
      <c r="AF106" s="44">
        <f>-AF105/AF104</f>
        <v>0.381387258099587</v>
      </c>
      <c r="AG106" s="48">
        <f>-AG105/AG104</f>
        <v>0.367623967988654</v>
      </c>
      <c r="AH106" s="44">
        <f>-AH105/AH104</f>
        <v>0.418905220476432</v>
      </c>
      <c r="AI106" s="44">
        <f>-AI105/AI104</f>
        <v>0.267921361783745</v>
      </c>
      <c r="AJ106" s="44" t="n"/>
      <c r="AK106" s="44" t="n"/>
      <c r="AL106" s="48">
        <f>-AL105/AL104</f>
        <v>0.296800775569559</v>
      </c>
      <c r="AM106" s="44" t="n"/>
      <c r="AN106" s="44" t="n"/>
      <c r="AO106" s="44" t="n"/>
      <c r="AP106" s="44" t="n"/>
      <c r="AQ106" s="48" t="e">
        <f>-AQ105/AQ104</f>
        <v>#DIV/0!</v>
      </c>
      <c r="AR106" s="44" t="n"/>
      <c r="AS106" s="44" t="n"/>
      <c r="AT106" s="44" t="n"/>
      <c r="AU106" s="44" t="n"/>
      <c r="AV106" s="48" t="e">
        <f>-AV105/AV104</f>
        <v>#DIV/0!</v>
      </c>
      <c r="AW106" s="44" t="n"/>
      <c r="AX106" s="44" t="n"/>
      <c r="AY106" s="44" t="n"/>
      <c r="AZ106" s="44" t="n"/>
      <c r="BA106" s="48" t="e">
        <f>-BA105/BA104</f>
        <v>#DIV/0!</v>
      </c>
      <c r="BB106" s="44" t="n"/>
      <c r="BC106" s="44" t="n"/>
      <c r="BD106" s="44" t="n"/>
      <c r="BE106" s="44" t="n"/>
      <c r="BF106" s="48" t="e">
        <f>-BF105/BF104</f>
        <v>#DIV/0!</v>
      </c>
      <c r="BG106" s="44" t="n"/>
      <c r="BH106" s="44" t="n"/>
      <c r="BI106" s="44" t="n"/>
      <c r="BJ106" s="44" t="n"/>
      <c r="BK106" s="48" t="e">
        <f>-BK105/BK104</f>
        <v>#DIV/0!</v>
      </c>
      <c r="BL106" s="44" t="n"/>
      <c r="BM106" s="44" t="n"/>
      <c r="BN106" s="44" t="n"/>
      <c r="BO106" s="44" t="n"/>
      <c r="BP106" s="48" t="e">
        <f>-BP105/BP104</f>
        <v>#DIV/0!</v>
      </c>
      <c r="BQ106" s="44" t="n"/>
      <c r="BR106" s="44" t="n"/>
      <c r="BS106" s="44" t="n"/>
      <c r="BT106" s="44" t="n"/>
      <c r="BU106" s="48" t="e">
        <f>-BU105/BU104</f>
        <v>#DIV/0!</v>
      </c>
      <c r="BV106" s="44" t="n"/>
      <c r="BW106" s="44" t="n"/>
      <c r="BX106" s="44" t="n"/>
      <c r="BY106" s="44" t="n"/>
      <c r="BZ106" s="48" t="e">
        <f>-BZ105/BZ104</f>
        <v>#DIV/0!</v>
      </c>
      <c r="CA106" s="44" t="n"/>
      <c r="CB106" s="44" t="n"/>
      <c r="CC106" s="44" t="n"/>
      <c r="CD106" s="44" t="n"/>
      <c r="CE106" s="48" t="e">
        <f>-CE105/CE104</f>
        <v>#DIV/0!</v>
      </c>
      <c r="CF106" s="44" t="n"/>
      <c r="CG106" s="44" t="n"/>
      <c r="CH106" s="44" t="n"/>
      <c r="CI106" s="44" t="n"/>
      <c r="CJ106" s="48" t="e">
        <f>-CJ105/CJ104</f>
        <v>#DIV/0!</v>
      </c>
      <c r="CK106" s="44" t="n"/>
      <c r="CL106" s="44" t="n"/>
      <c r="CM106" s="44" t="n"/>
      <c r="CN106" s="44" t="n"/>
      <c r="CO106" s="48" t="e">
        <f>-CO105/CO104</f>
        <v>#DIV/0!</v>
      </c>
      <c r="CP106" s="44" t="n"/>
      <c r="CQ106" s="44" t="n"/>
      <c r="CR106" s="44" t="n"/>
      <c r="CS106" s="44" t="n"/>
      <c r="CT106" s="48" t="e">
        <f>-CT105/CT104</f>
        <v>#DIV/0!</v>
      </c>
      <c r="CU106" s="44" t="n"/>
      <c r="CV106" s="44" t="n"/>
      <c r="CW106" s="44" t="n"/>
      <c r="CX106" s="44" t="n"/>
      <c r="CY106" s="48" t="e">
        <f>-CY105/CY104</f>
        <v>#DIV/0!</v>
      </c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collapsed="1">
      <c r="C109" s="26" t="inlineStr">
        <is>
          <t>Equity in Income of Affiliates, after tax (enter as +)</t>
        </is>
      </c>
      <c r="D109" s="25">
        <f>INDEX('Inputs (2)'!$D$11:$AL$11,MATCH(D$7,'Inputs (2)'!$D$2:$AL$2,0))</f>
        <v>0</v>
      </c>
      <c r="E109" s="25">
        <f>INDEX('Inputs (2)'!$D$11:$AL$11,MATCH(E$7,'Inputs (2)'!$D$2:$AL$2,0))</f>
        <v>0</v>
      </c>
      <c r="F109" s="25">
        <f>INDEX('Inputs (2)'!$D$11:$AL$11,MATCH(F$7,'Inputs (2)'!$D$2:$AL$2,0))</f>
        <v>0</v>
      </c>
      <c r="G109" s="25">
        <f>INDEX('Inputs (2)'!$D$11:$AL$11,MATCH(G$7,'Inputs (2)'!$D$2:$AL$2,0))</f>
        <v>0</v>
      </c>
      <c r="H109" s="3">
        <f>SUM(D109:G109)</f>
        <v>0</v>
      </c>
      <c r="I109" s="25">
        <f>INDEX('Inputs (2)'!$D$11:$AL$11,MATCH(I$7,'Inputs (2)'!$D$2:$AL$2,0))</f>
        <v>0</v>
      </c>
      <c r="J109" s="25">
        <f>INDEX('Inputs (2)'!$D$11:$AL$11,MATCH(J$7,'Inputs (2)'!$D$2:$AL$2,0))</f>
        <v>0</v>
      </c>
      <c r="K109" s="25">
        <f>INDEX('Inputs (2)'!$D$11:$AL$11,MATCH(K$7,'Inputs (2)'!$D$2:$AL$2,0))</f>
        <v>0</v>
      </c>
      <c r="L109" s="25">
        <f>INDEX('Inputs (2)'!$D$11:$AL$11,MATCH(L$7,'Inputs (2)'!$D$2:$AL$2,0))</f>
        <v>0</v>
      </c>
      <c r="M109" s="3">
        <f>SUM(I109:L109)</f>
        <v>0</v>
      </c>
      <c r="N109" s="25">
        <f>INDEX('Inputs (2)'!$D$11:$AL$11,MATCH(N$7,'Inputs (2)'!$D$2:$AL$2,0))</f>
        <v>0</v>
      </c>
      <c r="O109" s="25">
        <f>INDEX('Inputs (2)'!$D$11:$AL$11,MATCH(O$7,'Inputs (2)'!$D$2:$AL$2,0))</f>
        <v>0</v>
      </c>
      <c r="P109" s="25">
        <f>INDEX('Inputs (2)'!$D$11:$AL$11,MATCH(P$7,'Inputs (2)'!$D$2:$AL$2,0))</f>
        <v>0</v>
      </c>
      <c r="Q109" s="25">
        <f>INDEX('Inputs (2)'!$D$11:$AL$11,MATCH(Q$7,'Inputs (2)'!$D$2:$AL$2,0))</f>
        <v>0</v>
      </c>
      <c r="R109" s="3">
        <f>SUM(N109:Q109)</f>
        <v>0</v>
      </c>
      <c r="S109" s="25">
        <f>INDEX('Inputs (2)'!$D$11:$AL$11,MATCH(S$7,'Inputs (2)'!$D$2:$AL$2,0))</f>
        <v>0</v>
      </c>
      <c r="T109" s="25">
        <f>INDEX('Inputs (2)'!$D$11:$AL$11,MATCH(T$7,'Inputs (2)'!$D$2:$AL$2,0))</f>
        <v>0</v>
      </c>
      <c r="U109" s="25">
        <f>INDEX('Inputs (2)'!$D$11:$AL$11,MATCH(U$7,'Inputs (2)'!$D$2:$AL$2,0))</f>
        <v>0</v>
      </c>
      <c r="V109" s="25">
        <f>INDEX('Inputs (2)'!$D$11:$AL$11,MATCH(V$7,'Inputs (2)'!$D$2:$AL$2,0))</f>
        <v>0</v>
      </c>
      <c r="W109" s="3">
        <f>SUM(S109:V109)</f>
        <v>0</v>
      </c>
      <c r="X109" s="25">
        <f>INDEX('Inputs (2)'!$D$11:$AL$11,MATCH(X$7,'Inputs (2)'!$D$2:$AL$2,0))</f>
        <v>0</v>
      </c>
      <c r="Y109" s="25">
        <f>INDEX('Inputs (2)'!$D$11:$AL$11,MATCH(Y$7,'Inputs (2)'!$D$2:$AL$2,0))</f>
        <v>0</v>
      </c>
      <c r="Z109" s="25">
        <f>INDEX('Inputs (2)'!$D$11:$AL$11,MATCH(Z$7,'Inputs (2)'!$D$2:$AL$2,0))</f>
        <v>0</v>
      </c>
      <c r="AA109" s="25">
        <f>INDEX('Inputs (2)'!$D$11:$AL$11,MATCH(AA$7,'Inputs (2)'!$D$2:$AL$2,0))</f>
        <v>0</v>
      </c>
      <c r="AB109" s="3">
        <f>SUM(X109:AA109)</f>
        <v>0</v>
      </c>
      <c r="AC109" s="25">
        <f>INDEX('Inputs (2)'!$D$11:$AL$11,MATCH(AC$7,'Inputs (2)'!$D$2:$AL$2,0))</f>
        <v>0</v>
      </c>
      <c r="AD109" s="25">
        <f>INDEX('Inputs (2)'!$D$11:$AL$11,MATCH(AD$7,'Inputs (2)'!$D$2:$AL$2,0))</f>
        <v>0</v>
      </c>
      <c r="AE109" s="25">
        <f>INDEX('Inputs (2)'!$D$11:$AL$11,MATCH(AE$7,'Inputs (2)'!$D$2:$AL$2,0))</f>
        <v>0</v>
      </c>
      <c r="AF109" s="25">
        <f>INDEX('Inputs (2)'!$D$11:$AL$11,MATCH(AF$7,'Inputs (2)'!$D$2:$AL$2,0))</f>
        <v>0</v>
      </c>
      <c r="AG109" s="3">
        <f>SUM(AC109:AF109)</f>
        <v>0</v>
      </c>
      <c r="AH109" s="3">
        <f>INDEX('Inputs (2)'!$D$11:$AL$11,MATCH(AH$7,'Inputs (2)'!$D$2:$AL$2,0))</f>
        <v>0</v>
      </c>
      <c r="AI109" s="3">
        <f>INDEX('Inputs (2)'!$D$11:$AL$11,MATCH(AI$7,'Inputs (2)'!$D$2:$AL$2,0))</f>
        <v>0</v>
      </c>
      <c r="AJ109" s="3">
        <f>AE109*(1+AJ137)</f>
        <v>0</v>
      </c>
      <c r="AK109" s="3">
        <f>AF109*(1+AK137)</f>
        <v>0</v>
      </c>
      <c r="AL109" s="3">
        <f>SUM(AH109:AK109)</f>
        <v>0</v>
      </c>
      <c r="AM109" s="3">
        <f>AH109*(1+AM137)</f>
        <v>0</v>
      </c>
      <c r="AN109" s="3">
        <f>AI109*(1+AN137)</f>
        <v>0</v>
      </c>
      <c r="AO109" s="3">
        <f>AJ109*(1+AO137)</f>
        <v>0</v>
      </c>
      <c r="AP109" s="3">
        <f>AK109*(1+AP137)</f>
        <v>0</v>
      </c>
      <c r="AQ109" s="3">
        <f>SUM(AM109:AP109)</f>
        <v>0</v>
      </c>
      <c r="AR109" s="3">
        <f>AM109*(1+AR137)</f>
        <v>0</v>
      </c>
      <c r="AS109" s="3">
        <f>AN109*(1+AS137)</f>
        <v>0</v>
      </c>
      <c r="AT109" s="3">
        <f>AO109*(1+AT137)</f>
        <v>0</v>
      </c>
      <c r="AU109" s="3">
        <f>AP109*(1+AU137)</f>
        <v>0</v>
      </c>
      <c r="AV109" s="3">
        <f>SUM(AR109:AU109)</f>
        <v>0</v>
      </c>
      <c r="AW109" s="3">
        <f>AR109*(1+AW137)</f>
        <v>0</v>
      </c>
      <c r="AX109" s="3">
        <f>AS109*(1+AX137)</f>
        <v>0</v>
      </c>
      <c r="AY109" s="3">
        <f>AT109*(1+AY137)</f>
        <v>0</v>
      </c>
      <c r="AZ109" s="3">
        <f>AU109*(1+AZ137)</f>
        <v>0</v>
      </c>
      <c r="BA109" s="3">
        <f>SUM(AW109:AZ109)</f>
        <v>0</v>
      </c>
      <c r="BB109" s="3">
        <f>AW109*(1+BB137)</f>
        <v>0</v>
      </c>
      <c r="BC109" s="3">
        <f>AX109*(1+BC137)</f>
        <v>0</v>
      </c>
      <c r="BD109" s="3">
        <f>AY109*(1+BD137)</f>
        <v>0</v>
      </c>
      <c r="BE109" s="3">
        <f>AZ109*(1+BE137)</f>
        <v>0</v>
      </c>
      <c r="BF109" s="3">
        <f>SUM(BB109:BE109)</f>
        <v>0</v>
      </c>
      <c r="BG109" s="3">
        <f>BB109*(1+BG137)</f>
        <v>0</v>
      </c>
      <c r="BH109" s="3">
        <f>BC109*(1+BH137)</f>
        <v>0</v>
      </c>
      <c r="BI109" s="3">
        <f>BD109*(1+BI137)</f>
        <v>0</v>
      </c>
      <c r="BJ109" s="3">
        <f>BE109*(1+BJ137)</f>
        <v>0</v>
      </c>
      <c r="BK109" s="3">
        <f>SUM(BG109:BJ109)</f>
        <v>0</v>
      </c>
      <c r="BL109" s="3">
        <f>BG109*(1+BL137)</f>
        <v>0</v>
      </c>
      <c r="BM109" s="3">
        <f>BH109*(1+BM137)</f>
        <v>0</v>
      </c>
      <c r="BN109" s="3">
        <f>BI109*(1+BN137)</f>
        <v>0</v>
      </c>
      <c r="BO109" s="3">
        <f>BJ109*(1+BO137)</f>
        <v>0</v>
      </c>
      <c r="BP109" s="3">
        <f>SUM(BL109:BO109)</f>
        <v>0</v>
      </c>
      <c r="BQ109" s="3">
        <f>BL109*(1+BQ137)</f>
        <v>0</v>
      </c>
      <c r="BR109" s="3">
        <f>BM109*(1+BR137)</f>
        <v>0</v>
      </c>
      <c r="BS109" s="3">
        <f>BN109*(1+BS137)</f>
        <v>0</v>
      </c>
      <c r="BT109" s="3">
        <f>BO109*(1+BT137)</f>
        <v>0</v>
      </c>
      <c r="BU109" s="3">
        <f>SUM(BQ109:BT109)</f>
        <v>0</v>
      </c>
      <c r="BV109" s="3">
        <f>BQ109*(1+BV137)</f>
        <v>0</v>
      </c>
      <c r="BW109" s="3">
        <f>BR109*(1+BW137)</f>
        <v>0</v>
      </c>
      <c r="BX109" s="3">
        <f>BS109*(1+BX137)</f>
        <v>0</v>
      </c>
      <c r="BY109" s="3">
        <f>BT109*(1+BY137)</f>
        <v>0</v>
      </c>
      <c r="BZ109" s="3">
        <f>SUM(BV109:BY109)</f>
        <v>0</v>
      </c>
      <c r="CA109" s="3">
        <f>BV109*(1+CA137)</f>
        <v>0</v>
      </c>
      <c r="CB109" s="3">
        <f>BW109*(1+CB137)</f>
        <v>0</v>
      </c>
      <c r="CC109" s="3">
        <f>BX109*(1+CC137)</f>
        <v>0</v>
      </c>
      <c r="CD109" s="3">
        <f>BY109*(1+CD137)</f>
        <v>0</v>
      </c>
      <c r="CE109" s="3">
        <f>SUM(CA109:CD109)</f>
        <v>0</v>
      </c>
      <c r="CF109" s="3">
        <f>CA109*(1+CF137)</f>
        <v>0</v>
      </c>
      <c r="CG109" s="3">
        <f>CB109*(1+CG137)</f>
        <v>0</v>
      </c>
      <c r="CH109" s="3">
        <f>CC109*(1+CH137)</f>
        <v>0</v>
      </c>
      <c r="CI109" s="3">
        <f>CD109*(1+CI137)</f>
        <v>0</v>
      </c>
      <c r="CJ109" s="3">
        <f>SUM(CF109:CI109)</f>
        <v>0</v>
      </c>
      <c r="CK109" s="3">
        <f>CF109*(1+CK137)</f>
        <v>0</v>
      </c>
      <c r="CL109" s="3">
        <f>CG109*(1+CL137)</f>
        <v>0</v>
      </c>
      <c r="CM109" s="3">
        <f>CH109*(1+CM137)</f>
        <v>0</v>
      </c>
      <c r="CN109" s="3">
        <f>CI109*(1+CN137)</f>
        <v>0</v>
      </c>
      <c r="CO109" s="3">
        <f>SUM(CK109:CN109)</f>
        <v>0</v>
      </c>
      <c r="CP109" s="3">
        <f>CK109*(1+CP137)</f>
        <v>0</v>
      </c>
      <c r="CQ109" s="3">
        <f>CL109*(1+CQ137)</f>
        <v>0</v>
      </c>
      <c r="CR109" s="3">
        <f>CM109*(1+CR137)</f>
        <v>0</v>
      </c>
      <c r="CS109" s="3">
        <f>CN109*(1+CS137)</f>
        <v>0</v>
      </c>
      <c r="CT109" s="3">
        <f>SUM(CP109:CS109)</f>
        <v>0</v>
      </c>
      <c r="CU109" s="3">
        <f>CP109*(1+CU137)</f>
        <v>0</v>
      </c>
      <c r="CV109" s="3">
        <f>CQ109*(1+CV137)</f>
        <v>0</v>
      </c>
      <c r="CW109" s="3">
        <f>CR109*(1+CW137)</f>
        <v>0</v>
      </c>
      <c r="CX109" s="3">
        <f>CS109*(1+CX137)</f>
        <v>0</v>
      </c>
      <c r="CY109" s="3">
        <f>SUM(CU109:CX109)</f>
        <v>0</v>
      </c>
    </row>
    <row r="110">
      <c r="C110" s="26" t="inlineStr">
        <is>
          <t>Minority Interest Expense, after tax (enter as - )</t>
        </is>
      </c>
      <c r="D110" s="25">
        <f>INDEX('Inputs (2)'!$D$12:$AL$12,MATCH(D$7,'Inputs (2)'!$D$2:$AL$2,0))</f>
        <v>18</v>
      </c>
      <c r="E110" s="25">
        <f>INDEX('Inputs (2)'!$D$12:$AL$12,MATCH(E$7,'Inputs (2)'!$D$2:$AL$2,0))</f>
        <v>7</v>
      </c>
      <c r="F110" s="25">
        <f>INDEX('Inputs (2)'!$D$12:$AL$12,MATCH(F$7,'Inputs (2)'!$D$2:$AL$2,0))</f>
        <v>2</v>
      </c>
      <c r="G110" s="25">
        <f>INDEX('Inputs (2)'!$D$12:$AL$12,MATCH(G$7,'Inputs (2)'!$D$2:$AL$2,0))</f>
        <v>-9</v>
      </c>
      <c r="H110" s="3">
        <f>SUM(D110:G110)</f>
        <v>18</v>
      </c>
      <c r="I110" s="25">
        <f>INDEX('Inputs (2)'!$D$12:$AL$12,MATCH(I$7,'Inputs (2)'!$D$2:$AL$2,0))</f>
        <v>-21</v>
      </c>
      <c r="J110" s="25">
        <f>INDEX('Inputs (2)'!$D$12:$AL$12,MATCH(J$7,'Inputs (2)'!$D$2:$AL$2,0))</f>
        <v>-12</v>
      </c>
      <c r="K110" s="25">
        <f>INDEX('Inputs (2)'!$D$12:$AL$12,MATCH(K$7,'Inputs (2)'!$D$2:$AL$2,0))</f>
        <v>-4</v>
      </c>
      <c r="L110" s="25">
        <f>INDEX('Inputs (2)'!$D$12:$AL$12,MATCH(L$7,'Inputs (2)'!$D$2:$AL$2,0))</f>
        <v>-27</v>
      </c>
      <c r="M110" s="3">
        <f>SUM(I110:L110)</f>
        <v>-64</v>
      </c>
      <c r="N110" s="25">
        <f>INDEX('Inputs (2)'!$D$12:$AL$12,MATCH(N$7,'Inputs (2)'!$D$2:$AL$2,0))</f>
        <v>-18</v>
      </c>
      <c r="O110" s="25">
        <f>INDEX('Inputs (2)'!$D$12:$AL$12,MATCH(O$7,'Inputs (2)'!$D$2:$AL$2,0))</f>
        <v>-93</v>
      </c>
      <c r="P110" s="25">
        <f>INDEX('Inputs (2)'!$D$12:$AL$12,MATCH(P$7,'Inputs (2)'!$D$2:$AL$2,0))</f>
        <v>-7</v>
      </c>
      <c r="Q110" s="25">
        <f>INDEX('Inputs (2)'!$D$12:$AL$12,MATCH(Q$7,'Inputs (2)'!$D$2:$AL$2,0))</f>
        <v>-25</v>
      </c>
      <c r="R110" s="3">
        <f>SUM(N110:Q110)</f>
        <v>-143</v>
      </c>
      <c r="S110" s="25">
        <f>INDEX('Inputs (2)'!$D$12:$AL$12,MATCH(S$7,'Inputs (2)'!$D$2:$AL$2,0))</f>
        <v>-31</v>
      </c>
      <c r="T110" s="25">
        <f>INDEX('Inputs (2)'!$D$12:$AL$12,MATCH(T$7,'Inputs (2)'!$D$2:$AL$2,0))</f>
        <v>2</v>
      </c>
      <c r="U110" s="25">
        <f>INDEX('Inputs (2)'!$D$12:$AL$12,MATCH(U$7,'Inputs (2)'!$D$2:$AL$2,0))</f>
        <v>-29</v>
      </c>
      <c r="V110" s="25">
        <f>INDEX('Inputs (2)'!$D$12:$AL$12,MATCH(V$7,'Inputs (2)'!$D$2:$AL$2,0))</f>
        <v>16</v>
      </c>
      <c r="W110" s="3">
        <f>SUM(S110:V110)</f>
        <v>-42</v>
      </c>
      <c r="X110" s="25">
        <f>INDEX('Inputs (2)'!$D$12:$AL$12,MATCH(X$7,'Inputs (2)'!$D$2:$AL$2,0))</f>
        <v>-50</v>
      </c>
      <c r="Y110" s="25">
        <f>INDEX('Inputs (2)'!$D$12:$AL$12,MATCH(Y$7,'Inputs (2)'!$D$2:$AL$2,0))</f>
        <v>-9</v>
      </c>
      <c r="Z110" s="25">
        <f>INDEX('Inputs (2)'!$D$12:$AL$12,MATCH(Z$7,'Inputs (2)'!$D$2:$AL$2,0))</f>
        <v>-9</v>
      </c>
      <c r="AA110" s="25">
        <f>INDEX('Inputs (2)'!$D$12:$AL$12,MATCH(AA$7,'Inputs (2)'!$D$2:$AL$2,0))</f>
        <v>-20</v>
      </c>
      <c r="AB110" s="3">
        <f>SUM(X110:AA110)</f>
        <v>-88</v>
      </c>
      <c r="AC110" s="25">
        <f>INDEX('Inputs (2)'!$D$12:$AL$12,MATCH(AC$7,'Inputs (2)'!$D$2:$AL$2,0))</f>
        <v>-12</v>
      </c>
      <c r="AD110" s="25">
        <f>INDEX('Inputs (2)'!$D$12:$AL$12,MATCH(AD$7,'Inputs (2)'!$D$2:$AL$2,0))</f>
        <v>-25</v>
      </c>
      <c r="AE110" s="25">
        <f>INDEX('Inputs (2)'!$D$12:$AL$12,MATCH(AE$7,'Inputs (2)'!$D$2:$AL$2,0))</f>
        <v>-74</v>
      </c>
      <c r="AF110" s="25">
        <f>INDEX('Inputs (2)'!$D$12:$AL$12,MATCH(AF$7,'Inputs (2)'!$D$2:$AL$2,0))</f>
        <v>-75</v>
      </c>
      <c r="AG110" s="3">
        <f>SUM(AC110:AF110)</f>
        <v>-186</v>
      </c>
      <c r="AH110" s="3">
        <f>INDEX('Inputs (2)'!$D$12:$AL$12,MATCH(AH$7,'Inputs (2)'!$D$2:$AL$2,0))</f>
        <v>-83</v>
      </c>
      <c r="AI110" s="3">
        <f>INDEX('Inputs (2)'!$D$12:$AL$12,MATCH(AI$7,'Inputs (2)'!$D$2:$AL$2,0))</f>
        <v>-142</v>
      </c>
      <c r="AJ110" s="3">
        <f>AE110*(1+AJ224)</f>
        <v>-74</v>
      </c>
      <c r="AK110" s="3">
        <f>AF110*(1+AK224)</f>
        <v>-75</v>
      </c>
      <c r="AL110" s="3">
        <f>SUM(AH110:AK110)</f>
        <v>-374</v>
      </c>
      <c r="AM110" s="3">
        <f>AH110*(1+AM224)</f>
        <v>-83</v>
      </c>
      <c r="AN110" s="3">
        <f>AI110*(1+AN224)</f>
        <v>-142</v>
      </c>
      <c r="AO110" s="3">
        <f>AJ110*(1+AO224)</f>
        <v>-74</v>
      </c>
      <c r="AP110" s="3">
        <f>AK110*(1+AP224)</f>
        <v>-75</v>
      </c>
      <c r="AQ110" s="3">
        <f>SUM(AM110:AP110)</f>
        <v>-374</v>
      </c>
      <c r="AR110" s="3">
        <f>AM110*(1+AR224)</f>
        <v>-83</v>
      </c>
      <c r="AS110" s="3">
        <f>AN110*(1+AS224)</f>
        <v>-142</v>
      </c>
      <c r="AT110" s="3">
        <f>AO110*(1+AT224)</f>
        <v>-74</v>
      </c>
      <c r="AU110" s="3">
        <f>AP110*(1+AU224)</f>
        <v>-75</v>
      </c>
      <c r="AV110" s="3">
        <f>SUM(AR110:AU110)</f>
        <v>-374</v>
      </c>
      <c r="AW110" s="3">
        <f>AR110*(1+AW224)</f>
        <v>-83</v>
      </c>
      <c r="AX110" s="3">
        <f>AS110*(1+AX224)</f>
        <v>-142</v>
      </c>
      <c r="AY110" s="3">
        <f>AT110*(1+AY224)</f>
        <v>-74</v>
      </c>
      <c r="AZ110" s="3">
        <f>AU110*(1+AZ224)</f>
        <v>-75</v>
      </c>
      <c r="BA110" s="3">
        <f>SUM(AW110:AZ110)</f>
        <v>-374</v>
      </c>
      <c r="BB110" s="3">
        <f>AW110*(1+BB224)</f>
        <v>-83</v>
      </c>
      <c r="BC110" s="3">
        <f>AX110*(1+BC224)</f>
        <v>-142</v>
      </c>
      <c r="BD110" s="3">
        <f>AY110*(1+BD224)</f>
        <v>-74</v>
      </c>
      <c r="BE110" s="3">
        <f>AZ110*(1+BE224)</f>
        <v>-75</v>
      </c>
      <c r="BF110" s="3">
        <f>SUM(BB110:BE110)</f>
        <v>-374</v>
      </c>
      <c r="BG110" s="3">
        <f>BB110*(1+BG224)</f>
        <v>-83</v>
      </c>
      <c r="BH110" s="3">
        <f>BC110*(1+BH224)</f>
        <v>-142</v>
      </c>
      <c r="BI110" s="3">
        <f>BD110*(1+BI224)</f>
        <v>-74</v>
      </c>
      <c r="BJ110" s="3">
        <f>BE110*(1+BJ224)</f>
        <v>-75</v>
      </c>
      <c r="BK110" s="3">
        <f>SUM(BG110:BJ110)</f>
        <v>-374</v>
      </c>
      <c r="BL110" s="3">
        <f>BG110*(1+BL224)</f>
        <v>-83</v>
      </c>
      <c r="BM110" s="3">
        <f>BH110*(1+BM224)</f>
        <v>-142</v>
      </c>
      <c r="BN110" s="3">
        <f>BI110*(1+BN224)</f>
        <v>-74</v>
      </c>
      <c r="BO110" s="3">
        <f>BJ110*(1+BO224)</f>
        <v>-75</v>
      </c>
      <c r="BP110" s="3">
        <f>SUM(BL110:BO110)</f>
        <v>-374</v>
      </c>
      <c r="BQ110" s="3">
        <f>BL110*(1+BQ224)</f>
        <v>-83</v>
      </c>
      <c r="BR110" s="3">
        <f>BM110*(1+BR224)</f>
        <v>-142</v>
      </c>
      <c r="BS110" s="3">
        <f>BN110*(1+BS224)</f>
        <v>-74</v>
      </c>
      <c r="BT110" s="3">
        <f>BO110*(1+BT224)</f>
        <v>-75</v>
      </c>
      <c r="BU110" s="3">
        <f>SUM(BQ110:BT110)</f>
        <v>-374</v>
      </c>
      <c r="BV110" s="3">
        <f>BQ110*(1+BV224)</f>
        <v>-83</v>
      </c>
      <c r="BW110" s="3">
        <f>BR110*(1+BW224)</f>
        <v>-142</v>
      </c>
      <c r="BX110" s="3">
        <f>BS110*(1+BX224)</f>
        <v>-74</v>
      </c>
      <c r="BY110" s="3">
        <f>BT110*(1+BY224)</f>
        <v>-75</v>
      </c>
      <c r="BZ110" s="3">
        <f>SUM(BV110:BY110)</f>
        <v>-374</v>
      </c>
      <c r="CA110" s="3">
        <f>BV110*(1+CA224)</f>
        <v>-83</v>
      </c>
      <c r="CB110" s="3">
        <f>BW110*(1+CB224)</f>
        <v>-142</v>
      </c>
      <c r="CC110" s="3">
        <f>BX110*(1+CC224)</f>
        <v>-74</v>
      </c>
      <c r="CD110" s="3">
        <f>BY110*(1+CD224)</f>
        <v>-75</v>
      </c>
      <c r="CE110" s="3">
        <f>SUM(CA110:CD110)</f>
        <v>-374</v>
      </c>
      <c r="CF110" s="3">
        <f>CA110*(1+CF224)</f>
        <v>-83</v>
      </c>
      <c r="CG110" s="3">
        <f>CB110*(1+CG224)</f>
        <v>-142</v>
      </c>
      <c r="CH110" s="3">
        <f>CC110*(1+CH224)</f>
        <v>-74</v>
      </c>
      <c r="CI110" s="3">
        <f>CD110*(1+CI224)</f>
        <v>-75</v>
      </c>
      <c r="CJ110" s="3">
        <f>SUM(CF110:CI110)</f>
        <v>-374</v>
      </c>
      <c r="CK110" s="3">
        <f>CF110*(1+CK224)</f>
        <v>-83</v>
      </c>
      <c r="CL110" s="3">
        <f>CG110*(1+CL224)</f>
        <v>-142</v>
      </c>
      <c r="CM110" s="3">
        <f>CH110*(1+CM224)</f>
        <v>-74</v>
      </c>
      <c r="CN110" s="3">
        <f>CI110*(1+CN224)</f>
        <v>-75</v>
      </c>
      <c r="CO110" s="3">
        <f>SUM(CK110:CN110)</f>
        <v>-374</v>
      </c>
      <c r="CP110" s="3">
        <f>CK110*(1+CP224)</f>
        <v>-83</v>
      </c>
      <c r="CQ110" s="3">
        <f>CL110*(1+CQ224)</f>
        <v>-142</v>
      </c>
      <c r="CR110" s="3">
        <f>CM110*(1+CR224)</f>
        <v>-74</v>
      </c>
      <c r="CS110" s="3">
        <f>CN110*(1+CS224)</f>
        <v>-75</v>
      </c>
      <c r="CT110" s="3">
        <f>SUM(CP110:CS110)</f>
        <v>-374</v>
      </c>
      <c r="CU110" s="3">
        <f>CP110*(1+CU224)</f>
        <v>-83</v>
      </c>
      <c r="CV110" s="3">
        <f>CQ110*(1+CV224)</f>
        <v>-142</v>
      </c>
      <c r="CW110" s="3">
        <f>CR110*(1+CW224)</f>
        <v>-74</v>
      </c>
      <c r="CX110" s="3">
        <f>CS110*(1+CX224)</f>
        <v>-75</v>
      </c>
      <c r="CY110" s="3">
        <f>SUM(CU110:CX110)</f>
        <v>-374</v>
      </c>
    </row>
    <row r="111" customFormat="1" s="17">
      <c r="A111" s="13" t="n"/>
      <c r="B111" s="1" t="n"/>
      <c r="C111" s="14" t="inlineStr">
        <is>
          <t>Net Income</t>
        </is>
      </c>
      <c r="D111" s="16">
        <f>SUM(D104,D105,D109,D110)</f>
        <v>3599</v>
      </c>
      <c r="E111" s="16">
        <f>SUM(E104,E105,E109,E110)</f>
        <v>-8270</v>
      </c>
      <c r="F111" s="16">
        <f>SUM(F104,F105,F109,F110)</f>
        <v>-207</v>
      </c>
      <c r="G111" s="16">
        <f>SUM(G104,G105,G109,G110)</f>
        <v>-665</v>
      </c>
      <c r="H111" s="16">
        <f>SUM(D111:G111)</f>
        <v>-5543</v>
      </c>
      <c r="I111" s="16">
        <f>SUM(I104,I105,I109,I110)</f>
        <v>1377</v>
      </c>
      <c r="J111" s="16">
        <f>SUM(J104,J105,J109,J110)</f>
        <v>3082</v>
      </c>
      <c r="K111" s="16">
        <f>SUM(K104,K105,K109,K110)</f>
        <v>6111</v>
      </c>
      <c r="L111" s="16">
        <f>SUM(L104,L105,L109,L110)</f>
        <v>5055</v>
      </c>
      <c r="M111" s="16">
        <f>SUM(I111:L111)</f>
        <v>15625</v>
      </c>
      <c r="N111" s="16">
        <f>SUM(N104,N105,N109,N110)</f>
        <v>6259</v>
      </c>
      <c r="O111" s="16">
        <f>SUM(O104,O105,O109,O110)</f>
        <v>11622</v>
      </c>
      <c r="P111" s="16">
        <f>SUM(P104,P105,P109,P110)</f>
        <v>11231</v>
      </c>
      <c r="Q111" s="16">
        <f>SUM(Q104,Q105,Q109,Q110)</f>
        <v>6353</v>
      </c>
      <c r="R111" s="16">
        <f>SUM(N111:Q111)</f>
        <v>35465</v>
      </c>
      <c r="S111" s="16">
        <f>SUM(S104,S105,S109,S110)</f>
        <v>6574</v>
      </c>
      <c r="T111" s="16">
        <f>SUM(T104,T105,T109,T110)</f>
        <v>6010</v>
      </c>
      <c r="U111" s="16">
        <f>SUM(U104,U105,U109,U110)</f>
        <v>6526</v>
      </c>
      <c r="V111" s="16">
        <f>SUM(V104,V105,V109,V110)</f>
        <v>2259</v>
      </c>
      <c r="W111" s="16">
        <f>SUM(S111:V111)</f>
        <v>21369</v>
      </c>
      <c r="X111" s="16">
        <f>SUM(X104,X105,X109,X110)</f>
        <v>5501</v>
      </c>
      <c r="Y111" s="16">
        <f>SUM(Y104,Y105,Y109,Y110)</f>
        <v>4434</v>
      </c>
      <c r="Z111" s="16">
        <f>SUM(Z104,Z105,Z109,Z110)</f>
        <v>4487</v>
      </c>
      <c r="AA111" s="16">
        <f>SUM(AA104,AA105,AA109,AA110)</f>
        <v>3239</v>
      </c>
      <c r="AB111" s="16">
        <f>SUM(X111:AA111)</f>
        <v>17661</v>
      </c>
      <c r="AC111" s="16">
        <f>SUM(AC104,AC105,AC109,AC110)</f>
        <v>3500</v>
      </c>
      <c r="AD111" s="16">
        <f>SUM(AD104,AD105,AD109,AD110)</f>
        <v>2490</v>
      </c>
      <c r="AE111" s="16">
        <f>SUM(AE104,AE105,AE109,AE110)</f>
        <v>3539</v>
      </c>
      <c r="AF111" s="16">
        <f>SUM(AF104,AF105,AF109,AF110)</f>
        <v>2770</v>
      </c>
      <c r="AG111" s="16">
        <f>SUM(AC111:AF111)</f>
        <v>12299</v>
      </c>
      <c r="AH111" s="16">
        <f>SUM(AH104,AH105,AH109,AH110)</f>
        <v>2210</v>
      </c>
      <c r="AI111" s="16">
        <f>SUM(AI104,AI105,AI109,AI110)</f>
        <v>12072</v>
      </c>
      <c r="AJ111" s="16">
        <f>SUM(AJ104,AJ105,AJ109,AJ110)</f>
        <v>-74</v>
      </c>
      <c r="AK111" s="16">
        <f>SUM(AK104,AK105,AK109,AK110)</f>
        <v>-75</v>
      </c>
      <c r="AL111" s="16">
        <f>SUM(AH111:AK111)</f>
        <v>14133</v>
      </c>
      <c r="AM111" s="16">
        <f>SUM(AM104,AM105,AM109,AM110)</f>
        <v>-83</v>
      </c>
      <c r="AN111" s="16">
        <f>SUM(AN104,AN105,AN109,AN110)</f>
        <v>-142</v>
      </c>
      <c r="AO111" s="16">
        <f>SUM(AO104,AO105,AO109,AO110)</f>
        <v>-74</v>
      </c>
      <c r="AP111" s="16">
        <f>SUM(AP104,AP105,AP109,AP110)</f>
        <v>-75</v>
      </c>
      <c r="AQ111" s="16">
        <f>SUM(AM111:AP111)</f>
        <v>-374</v>
      </c>
      <c r="AR111" s="16">
        <f>SUM(AR104,AR105,AR109,AR110)</f>
        <v>-83</v>
      </c>
      <c r="AS111" s="16">
        <f>SUM(AS104,AS105,AS109,AS110)</f>
        <v>-142</v>
      </c>
      <c r="AT111" s="16">
        <f>SUM(AT104,AT105,AT109,AT110)</f>
        <v>-74</v>
      </c>
      <c r="AU111" s="16">
        <f>SUM(AU104,AU105,AU109,AU110)</f>
        <v>-75</v>
      </c>
      <c r="AV111" s="16">
        <f>SUM(AR111:AU111)</f>
        <v>-374</v>
      </c>
      <c r="AW111" s="16">
        <f>SUM(AW104,AW105,AW109,AW110)</f>
        <v>-83</v>
      </c>
      <c r="AX111" s="16">
        <f>SUM(AX104,AX105,AX109,AX110)</f>
        <v>-142</v>
      </c>
      <c r="AY111" s="16">
        <f>SUM(AY104,AY105,AY109,AY110)</f>
        <v>-74</v>
      </c>
      <c r="AZ111" s="16">
        <f>SUM(AZ104,AZ105,AZ109,AZ110)</f>
        <v>-75</v>
      </c>
      <c r="BA111" s="16">
        <f>SUM(AW111:AZ111)</f>
        <v>-374</v>
      </c>
      <c r="BB111" s="16">
        <f>SUM(BB104,BB105,BB109,BB110)</f>
        <v>-83</v>
      </c>
      <c r="BC111" s="16">
        <f>SUM(BC104,BC105,BC109,BC110)</f>
        <v>-142</v>
      </c>
      <c r="BD111" s="16">
        <f>SUM(BD104,BD105,BD109,BD110)</f>
        <v>-74</v>
      </c>
      <c r="BE111" s="16">
        <f>SUM(BE104,BE105,BE109,BE110)</f>
        <v>-75</v>
      </c>
      <c r="BF111" s="16">
        <f>SUM(BB111:BE111)</f>
        <v>-374</v>
      </c>
      <c r="BG111" s="16">
        <f>SUM(BG104,BG105,BG109,BG110)</f>
        <v>-83</v>
      </c>
      <c r="BH111" s="16">
        <f>SUM(BH104,BH105,BH109,BH110)</f>
        <v>-142</v>
      </c>
      <c r="BI111" s="16">
        <f>SUM(BI104,BI105,BI109,BI110)</f>
        <v>-74</v>
      </c>
      <c r="BJ111" s="16">
        <f>SUM(BJ104,BJ105,BJ109,BJ110)</f>
        <v>-75</v>
      </c>
      <c r="BK111" s="16">
        <f>SUM(BG111:BJ111)</f>
        <v>-374</v>
      </c>
      <c r="BL111" s="16">
        <f>SUM(BL104,BL105,BL109,BL110)</f>
        <v>-83</v>
      </c>
      <c r="BM111" s="16">
        <f>SUM(BM104,BM105,BM109,BM110)</f>
        <v>-142</v>
      </c>
      <c r="BN111" s="16">
        <f>SUM(BN104,BN105,BN109,BN110)</f>
        <v>-74</v>
      </c>
      <c r="BO111" s="16">
        <f>SUM(BO104,BO105,BO109,BO110)</f>
        <v>-75</v>
      </c>
      <c r="BP111" s="16">
        <f>SUM(BL111:BO111)</f>
        <v>-374</v>
      </c>
      <c r="BQ111" s="16">
        <f>SUM(BQ104,BQ105,BQ109,BQ110)</f>
        <v>-83</v>
      </c>
      <c r="BR111" s="16">
        <f>SUM(BR104,BR105,BR109,BR110)</f>
        <v>-142</v>
      </c>
      <c r="BS111" s="16">
        <f>SUM(BS104,BS105,BS109,BS110)</f>
        <v>-74</v>
      </c>
      <c r="BT111" s="16">
        <f>SUM(BT104,BT105,BT109,BT110)</f>
        <v>-75</v>
      </c>
      <c r="BU111" s="16">
        <f>SUM(BQ111:BT111)</f>
        <v>-374</v>
      </c>
      <c r="BV111" s="16">
        <f>SUM(BV104,BV105,BV109,BV110)</f>
        <v>-83</v>
      </c>
      <c r="BW111" s="16">
        <f>SUM(BW104,BW105,BW109,BW110)</f>
        <v>-142</v>
      </c>
      <c r="BX111" s="16">
        <f>SUM(BX104,BX105,BX109,BX110)</f>
        <v>-74</v>
      </c>
      <c r="BY111" s="16">
        <f>SUM(BY104,BY105,BY109,BY110)</f>
        <v>-75</v>
      </c>
      <c r="BZ111" s="16">
        <f>SUM(BV111:BY111)</f>
        <v>-374</v>
      </c>
      <c r="CA111" s="16">
        <f>SUM(CA104,CA105,CA109,CA110)</f>
        <v>-83</v>
      </c>
      <c r="CB111" s="16">
        <f>SUM(CB104,CB105,CB109,CB110)</f>
        <v>-142</v>
      </c>
      <c r="CC111" s="16">
        <f>SUM(CC104,CC105,CC109,CC110)</f>
        <v>-74</v>
      </c>
      <c r="CD111" s="16">
        <f>SUM(CD104,CD105,CD109,CD110)</f>
        <v>-75</v>
      </c>
      <c r="CE111" s="16">
        <f>SUM(CA111:CD111)</f>
        <v>-374</v>
      </c>
      <c r="CF111" s="16">
        <f>SUM(CF104,CF105,CF109,CF110)</f>
        <v>-83</v>
      </c>
      <c r="CG111" s="16">
        <f>SUM(CG104,CG105,CG109,CG110)</f>
        <v>-142</v>
      </c>
      <c r="CH111" s="16">
        <f>SUM(CH104,CH105,CH109,CH110)</f>
        <v>-74</v>
      </c>
      <c r="CI111" s="16">
        <f>SUM(CI104,CI105,CI109,CI110)</f>
        <v>-75</v>
      </c>
      <c r="CJ111" s="16">
        <f>SUM(CF111:CI111)</f>
        <v>-374</v>
      </c>
      <c r="CK111" s="16">
        <f>SUM(CK104,CK105,CK109,CK110)</f>
        <v>-83</v>
      </c>
      <c r="CL111" s="16">
        <f>SUM(CL104,CL105,CL109,CL110)</f>
        <v>-142</v>
      </c>
      <c r="CM111" s="16">
        <f>SUM(CM104,CM105,CM109,CM110)</f>
        <v>-74</v>
      </c>
      <c r="CN111" s="16">
        <f>SUM(CN104,CN105,CN109,CN110)</f>
        <v>-75</v>
      </c>
      <c r="CO111" s="16">
        <f>SUM(CK111:CN111)</f>
        <v>-374</v>
      </c>
      <c r="CP111" s="16">
        <f>SUM(CP104,CP105,CP109,CP110)</f>
        <v>-83</v>
      </c>
      <c r="CQ111" s="16">
        <f>SUM(CQ104,CQ105,CQ109,CQ110)</f>
        <v>-142</v>
      </c>
      <c r="CR111" s="16">
        <f>SUM(CR104,CR105,CR109,CR110)</f>
        <v>-74</v>
      </c>
      <c r="CS111" s="16">
        <f>SUM(CS104,CS105,CS109,CS110)</f>
        <v>-75</v>
      </c>
      <c r="CT111" s="16">
        <f>SUM(CP111:CS111)</f>
        <v>-374</v>
      </c>
      <c r="CU111" s="16">
        <f>SUM(CU104,CU105,CU109,CU110)</f>
        <v>-83</v>
      </c>
      <c r="CV111" s="16">
        <f>SUM(CV104,CV105,CV109,CV110)</f>
        <v>-142</v>
      </c>
      <c r="CW111" s="16">
        <f>SUM(CW104,CW105,CW109,CW110)</f>
        <v>-74</v>
      </c>
      <c r="CX111" s="16">
        <f>SUM(CX104,CX105,CX109,CX110)</f>
        <v>-75</v>
      </c>
      <c r="CY111" s="16">
        <f>SUM(CU111:CX111)</f>
        <v>-374</v>
      </c>
    </row>
    <row r="112">
      <c r="C112" s="24" t="inlineStr">
        <is>
          <t>Common Dividends</t>
        </is>
      </c>
      <c r="D112" s="25">
        <f>INDEX('Inputs (2)'!$D$13:$AL$13,MATCH(D$7,'Inputs (2)'!$D$2:$AL$2,0))</f>
        <v>-2402</v>
      </c>
      <c r="E112" s="25">
        <f>INDEX('Inputs (2)'!$D$13:$AL$13,MATCH(E$7,'Inputs (2)'!$D$2:$AL$2,0))</f>
        <v>-2394</v>
      </c>
      <c r="F112" s="25">
        <f>INDEX('Inputs (2)'!$D$13:$AL$13,MATCH(F$7,'Inputs (2)'!$D$2:$AL$2,0))</f>
        <v>-2390</v>
      </c>
      <c r="G112" s="25">
        <f>INDEX('Inputs (2)'!$D$13:$AL$13,MATCH(G$7,'Inputs (2)'!$D$2:$AL$2,0))</f>
        <v>-2465</v>
      </c>
      <c r="H112" s="3">
        <f>SUM(D112:G112)</f>
        <v>-9651</v>
      </c>
      <c r="I112" s="25">
        <f>INDEX('Inputs (2)'!$D$13:$AL$13,MATCH(I$7,'Inputs (2)'!$D$2:$AL$2,0))</f>
        <v>-2468</v>
      </c>
      <c r="J112" s="25">
        <f>INDEX('Inputs (2)'!$D$13:$AL$13,MATCH(J$7,'Inputs (2)'!$D$2:$AL$2,0))</f>
        <v>-2573</v>
      </c>
      <c r="K112" s="25">
        <f>INDEX('Inputs (2)'!$D$13:$AL$13,MATCH(K$7,'Inputs (2)'!$D$2:$AL$2,0))</f>
        <v>-2571</v>
      </c>
      <c r="L112" s="25">
        <f>INDEX('Inputs (2)'!$D$13:$AL$13,MATCH(L$7,'Inputs (2)'!$D$2:$AL$2,0))</f>
        <v>-2567</v>
      </c>
      <c r="M112" s="3">
        <f>SUM(I112:L112)</f>
        <v>-10179</v>
      </c>
      <c r="N112" s="25">
        <f>INDEX('Inputs (2)'!$D$13:$AL$13,MATCH(N$7,'Inputs (2)'!$D$2:$AL$2,0))</f>
        <v>-2746</v>
      </c>
      <c r="O112" s="25">
        <f>INDEX('Inputs (2)'!$D$13:$AL$13,MATCH(O$7,'Inputs (2)'!$D$2:$AL$2,0))</f>
        <v>-2766</v>
      </c>
      <c r="P112" s="25">
        <f>INDEX('Inputs (2)'!$D$13:$AL$13,MATCH(P$7,'Inputs (2)'!$D$2:$AL$2,0))</f>
        <v>-2743</v>
      </c>
      <c r="Q112" s="25">
        <f>INDEX('Inputs (2)'!$D$13:$AL$13,MATCH(Q$7,'Inputs (2)'!$D$2:$AL$2,0))</f>
        <v>-2713</v>
      </c>
      <c r="R112" s="3">
        <f>SUM(N112:Q112)</f>
        <v>-10968</v>
      </c>
      <c r="S112" s="25">
        <f>INDEX('Inputs (2)'!$D$13:$AL$13,MATCH(S$7,'Inputs (2)'!$D$2:$AL$2,0))</f>
        <v>-2857</v>
      </c>
      <c r="T112" s="25">
        <f>INDEX('Inputs (2)'!$D$13:$AL$13,MATCH(T$7,'Inputs (2)'!$D$2:$AL$2,0))</f>
        <v>-2818</v>
      </c>
      <c r="U112" s="25">
        <f>INDEX('Inputs (2)'!$D$13:$AL$13,MATCH(U$7,'Inputs (2)'!$D$2:$AL$2,0))</f>
        <v>-2852</v>
      </c>
      <c r="V112" s="25">
        <f>INDEX('Inputs (2)'!$D$13:$AL$13,MATCH(V$7,'Inputs (2)'!$D$2:$AL$2,0))</f>
        <v>-2809</v>
      </c>
      <c r="W112" s="3">
        <f>SUM(S112:V112)</f>
        <v>-11336</v>
      </c>
      <c r="X112" s="25">
        <f>INDEX('Inputs (2)'!$D$13:$AL$13,MATCH(X$7,'Inputs (2)'!$D$2:$AL$2,0))</f>
        <v>-3003</v>
      </c>
      <c r="Y112" s="25">
        <f>INDEX('Inputs (2)'!$D$13:$AL$13,MATCH(Y$7,'Inputs (2)'!$D$2:$AL$2,0))</f>
        <v>-2978</v>
      </c>
      <c r="Z112" s="25">
        <f>INDEX('Inputs (2)'!$D$13:$AL$13,MATCH(Z$7,'Inputs (2)'!$D$2:$AL$2,0))</f>
        <v>-2933</v>
      </c>
      <c r="AA112" s="25">
        <f>INDEX('Inputs (2)'!$D$13:$AL$13,MATCH(AA$7,'Inputs (2)'!$D$2:$AL$2,0))</f>
        <v>-2887</v>
      </c>
      <c r="AB112" s="3">
        <f>SUM(X112:AA112)</f>
        <v>-11801</v>
      </c>
      <c r="AC112" s="25">
        <f>INDEX('Inputs (2)'!$D$13:$AL$13,MATCH(AC$7,'Inputs (2)'!$D$2:$AL$2,0))</f>
        <v>-2984</v>
      </c>
      <c r="AD112" s="25">
        <f>INDEX('Inputs (2)'!$D$13:$AL$13,MATCH(AD$7,'Inputs (2)'!$D$2:$AL$2,0))</f>
        <v>-2934</v>
      </c>
      <c r="AE112" s="25">
        <f>INDEX('Inputs (2)'!$D$13:$AL$13,MATCH(AE$7,'Inputs (2)'!$D$2:$AL$2,0))</f>
        <v>-3429</v>
      </c>
      <c r="AF112" s="25">
        <f>INDEX('Inputs (2)'!$D$13:$AL$13,MATCH(AF$7,'Inputs (2)'!$D$2:$AL$2,0))</f>
        <v>-3404</v>
      </c>
      <c r="AG112" s="3">
        <f>SUM(AC112:AF112)</f>
        <v>-12751</v>
      </c>
      <c r="AH112" s="3">
        <f>INDEX('Inputs (2)'!$D$13:$AL$13,MATCH(AH$7,'Inputs (2)'!$D$2:$AL$2,0))</f>
        <v>-3526</v>
      </c>
      <c r="AI112" s="3">
        <f>INDEX('Inputs (2)'!$D$13:$AL$13,MATCH(AI$7,'Inputs (2)'!$D$2:$AL$2,0))</f>
        <v>-3504</v>
      </c>
      <c r="AJ112" s="3" t="n"/>
      <c r="AK112" s="3" t="n"/>
      <c r="AL112" s="3">
        <f>SUM(AH112:AK112)</f>
        <v>-7030</v>
      </c>
      <c r="AM112" s="3" t="n"/>
      <c r="AN112" s="3" t="n"/>
      <c r="AO112" s="3" t="n"/>
      <c r="AP112" s="3" t="n"/>
      <c r="AQ112" s="3">
        <f>SUM(AM112:AP112)</f>
        <v>0</v>
      </c>
      <c r="AR112" s="3" t="n"/>
      <c r="AS112" s="3" t="n"/>
      <c r="AT112" s="3" t="n"/>
      <c r="AU112" s="3" t="n"/>
      <c r="AV112" s="3">
        <f>SUM(AR112:AU112)</f>
        <v>0</v>
      </c>
      <c r="AW112" s="3" t="n"/>
      <c r="AX112" s="3" t="n"/>
      <c r="AY112" s="3" t="n"/>
      <c r="AZ112" s="3" t="n"/>
      <c r="BA112" s="3">
        <f>SUM(AW112:AZ112)</f>
        <v>0</v>
      </c>
      <c r="BB112" s="3" t="n"/>
      <c r="BC112" s="3" t="n"/>
      <c r="BD112" s="3" t="n"/>
      <c r="BE112" s="3" t="n"/>
      <c r="BF112" s="3">
        <f>SUM(BB112:BE112)</f>
        <v>0</v>
      </c>
      <c r="BG112" s="3" t="n"/>
      <c r="BH112" s="3" t="n"/>
      <c r="BI112" s="3" t="n"/>
      <c r="BJ112" s="3" t="n"/>
      <c r="BK112" s="3">
        <f>SUM(BG112:BJ112)</f>
        <v>0</v>
      </c>
      <c r="BL112" s="3" t="n"/>
      <c r="BM112" s="3" t="n"/>
      <c r="BN112" s="3" t="n"/>
      <c r="BO112" s="3" t="n"/>
      <c r="BP112" s="3">
        <f>SUM(BL112:BO112)</f>
        <v>0</v>
      </c>
      <c r="BQ112" s="3" t="n"/>
      <c r="BR112" s="3" t="n"/>
      <c r="BS112" s="3" t="n"/>
      <c r="BT112" s="3" t="n"/>
      <c r="BU112" s="3">
        <f>SUM(BQ112:BT112)</f>
        <v>0</v>
      </c>
      <c r="BV112" s="3" t="n"/>
      <c r="BW112" s="3" t="n"/>
      <c r="BX112" s="3" t="n"/>
      <c r="BY112" s="3" t="n"/>
      <c r="BZ112" s="3">
        <f>SUM(BV112:BY112)</f>
        <v>0</v>
      </c>
      <c r="CA112" s="3" t="n"/>
      <c r="CB112" s="3" t="n"/>
      <c r="CC112" s="3" t="n"/>
      <c r="CD112" s="3" t="n"/>
      <c r="CE112" s="3">
        <f>SUM(CA112:CD112)</f>
        <v>0</v>
      </c>
      <c r="CF112" s="3" t="n"/>
      <c r="CG112" s="3" t="n"/>
      <c r="CH112" s="3" t="n"/>
      <c r="CI112" s="3" t="n"/>
      <c r="CJ112" s="3">
        <f>SUM(CF112:CI112)</f>
        <v>0</v>
      </c>
      <c r="CK112" s="3" t="n"/>
      <c r="CL112" s="3" t="n"/>
      <c r="CM112" s="3" t="n"/>
      <c r="CN112" s="3" t="n"/>
      <c r="CO112" s="3">
        <f>SUM(CK112:CN112)</f>
        <v>0</v>
      </c>
      <c r="CP112" s="3" t="n"/>
      <c r="CQ112" s="3" t="n"/>
      <c r="CR112" s="3" t="n"/>
      <c r="CS112" s="3" t="n"/>
      <c r="CT112" s="3">
        <f>SUM(CP112:CS112)</f>
        <v>0</v>
      </c>
      <c r="CU112" s="3" t="n"/>
      <c r="CV112" s="3" t="n"/>
      <c r="CW112" s="3" t="n"/>
      <c r="CX112" s="3" t="n"/>
      <c r="CY112" s="3">
        <f>SUM(CU112:CX112)</f>
        <v>0</v>
      </c>
    </row>
    <row r="113" hidden="1" outlineLevel="1">
      <c r="C113" s="32" t="inlineStr">
        <is>
          <t>% DVD Payout</t>
        </is>
      </c>
      <c r="D113" s="40">
        <f>-D112/D111</f>
        <v>0.667407613225896</v>
      </c>
      <c r="E113" s="40">
        <f>-E112/E111</f>
        <v>-0.289480048367594</v>
      </c>
      <c r="F113" s="40">
        <f>-F112/F111</f>
        <v>-11.5458937198068</v>
      </c>
      <c r="G113" s="40">
        <f>-G112/G111</f>
        <v>-3.70676691729323</v>
      </c>
      <c r="H113" s="40">
        <f>-H112/H111</f>
        <v>-1.74111491971856</v>
      </c>
      <c r="I113" s="40">
        <f>-I112/I111</f>
        <v>1.7923021060276</v>
      </c>
      <c r="J113" s="40">
        <f>-J112/J111</f>
        <v>0.834847501622323</v>
      </c>
      <c r="K113" s="40">
        <f>-K112/K111</f>
        <v>0.420716740304369</v>
      </c>
      <c r="L113" s="40">
        <f>-L112/L111</f>
        <v>0.507814045499506</v>
      </c>
      <c r="M113" s="40">
        <f>-M112/M111</f>
        <v>0.651456</v>
      </c>
      <c r="N113" s="40">
        <f>-N112/N111</f>
        <v>0.438728231346861</v>
      </c>
      <c r="O113" s="40">
        <f>-O112/O111</f>
        <v>0.237996902426433</v>
      </c>
      <c r="P113" s="40">
        <f>-P112/P111</f>
        <v>0.24423470750601</v>
      </c>
      <c r="Q113" s="40">
        <f>-Q112/Q111</f>
        <v>0.427042342200535</v>
      </c>
      <c r="R113" s="40">
        <f>-R112/R111</f>
        <v>0.309262653320175</v>
      </c>
      <c r="S113" s="40">
        <f>-S112/S111</f>
        <v>0.434590812290843</v>
      </c>
      <c r="T113" s="40">
        <f>-T112/T111</f>
        <v>0.468885191347754</v>
      </c>
      <c r="U113" s="40">
        <f>-U112/U111</f>
        <v>0.437021146184493</v>
      </c>
      <c r="V113" s="40">
        <f>-V112/V111</f>
        <v>1.24347056219566</v>
      </c>
      <c r="W113" s="40">
        <f>-W112/W111</f>
        <v>0.530488090224156</v>
      </c>
      <c r="X113" s="40">
        <f>-X112/X111</f>
        <v>0.545900745319033</v>
      </c>
      <c r="Y113" s="40">
        <f>-Y112/Y111</f>
        <v>0.671628326567433</v>
      </c>
      <c r="Z113" s="40">
        <f>-Z112/Z111</f>
        <v>0.653666146645866</v>
      </c>
      <c r="AA113" s="40">
        <f>-AA112/AA111</f>
        <v>0.891324482865082</v>
      </c>
      <c r="AB113" s="40">
        <f>-AB112/AB111</f>
        <v>0.668195458920786</v>
      </c>
      <c r="AC113" s="40">
        <f>-AC112/AC111</f>
        <v>0.852571428571429</v>
      </c>
      <c r="AD113" s="40">
        <f>-AD112/AD111</f>
        <v>1.17831325301205</v>
      </c>
      <c r="AE113" s="40">
        <f>-AE112/AE111</f>
        <v>0.968917773382311</v>
      </c>
      <c r="AF113" s="44">
        <f>-AF112/AF111</f>
        <v>1.22888086642599</v>
      </c>
      <c r="AG113" s="3" t="n"/>
      <c r="AH113" s="44">
        <f>-AH112/AH111</f>
        <v>1.59547511312217</v>
      </c>
      <c r="AI113" s="44">
        <f>-AI112/AI111</f>
        <v>0.290258449304175</v>
      </c>
      <c r="AJ113" s="44" t="n"/>
      <c r="AK113" s="44" t="n"/>
      <c r="AL113" s="3">
        <f>-AL112/AL111</f>
        <v>0.497417391919621</v>
      </c>
      <c r="AM113" s="44" t="n"/>
      <c r="AN113" s="44" t="n"/>
      <c r="AO113" s="44" t="n"/>
      <c r="AP113" s="44" t="n"/>
      <c r="AQ113" s="3">
        <f>-AQ112/AQ111</f>
        <v>0</v>
      </c>
      <c r="AR113" s="44" t="n"/>
      <c r="AS113" s="44" t="n"/>
      <c r="AT113" s="44" t="n"/>
      <c r="AU113" s="44" t="n"/>
      <c r="AV113" s="3">
        <f>-AV112/AV111</f>
        <v>0</v>
      </c>
      <c r="AW113" s="44" t="n"/>
      <c r="AX113" s="44" t="n"/>
      <c r="AY113" s="44" t="n"/>
      <c r="AZ113" s="44" t="n"/>
      <c r="BA113" s="3">
        <f>-BA112/BA111</f>
        <v>0</v>
      </c>
      <c r="BB113" s="44" t="n"/>
      <c r="BC113" s="44" t="n"/>
      <c r="BD113" s="44" t="n"/>
      <c r="BE113" s="44" t="n"/>
      <c r="BF113" s="3">
        <f>-BF112/BF111</f>
        <v>0</v>
      </c>
      <c r="BG113" s="44" t="n"/>
      <c r="BH113" s="44" t="n"/>
      <c r="BI113" s="44" t="n"/>
      <c r="BJ113" s="44" t="n"/>
      <c r="BK113" s="3">
        <f>-BK112/BK111</f>
        <v>0</v>
      </c>
      <c r="BL113" s="44" t="n"/>
      <c r="BM113" s="44" t="n"/>
      <c r="BN113" s="44" t="n"/>
      <c r="BO113" s="44" t="n"/>
      <c r="BP113" s="3">
        <f>-BP112/BP111</f>
        <v>0</v>
      </c>
      <c r="BQ113" s="44" t="n"/>
      <c r="BR113" s="44" t="n"/>
      <c r="BS113" s="44" t="n"/>
      <c r="BT113" s="44" t="n"/>
      <c r="BU113" s="3">
        <f>-BU112/BU111</f>
        <v>0</v>
      </c>
      <c r="BV113" s="44" t="n"/>
      <c r="BW113" s="44" t="n"/>
      <c r="BX113" s="44" t="n"/>
      <c r="BY113" s="44" t="n"/>
      <c r="BZ113" s="3">
        <f>-BZ112/BZ111</f>
        <v>0</v>
      </c>
      <c r="CA113" s="44" t="n"/>
      <c r="CB113" s="44" t="n"/>
      <c r="CC113" s="44" t="n"/>
      <c r="CD113" s="44" t="n"/>
      <c r="CE113" s="3">
        <f>-CE112/CE111</f>
        <v>0</v>
      </c>
      <c r="CF113" s="44" t="n"/>
      <c r="CG113" s="44" t="n"/>
      <c r="CH113" s="44" t="n"/>
      <c r="CI113" s="44" t="n"/>
      <c r="CJ113" s="3">
        <f>-CJ112/CJ111</f>
        <v>0</v>
      </c>
      <c r="CK113" s="44" t="n"/>
      <c r="CL113" s="44" t="n"/>
      <c r="CM113" s="44" t="n"/>
      <c r="CN113" s="44" t="n"/>
      <c r="CO113" s="3">
        <f>-CO112/CO111</f>
        <v>0</v>
      </c>
      <c r="CP113" s="44" t="n"/>
      <c r="CQ113" s="44" t="n"/>
      <c r="CR113" s="44" t="n"/>
      <c r="CS113" s="44" t="n"/>
      <c r="CT113" s="3">
        <f>-CT112/CT111</f>
        <v>0</v>
      </c>
      <c r="CU113" s="44" t="n"/>
      <c r="CV113" s="44" t="n"/>
      <c r="CW113" s="44" t="n"/>
      <c r="CX113" s="44" t="n"/>
      <c r="CY113" s="3">
        <f>-CY112/CY111</f>
        <v>0</v>
      </c>
    </row>
    <row r="114" hidden="1" outlineLevel="1">
      <c r="C114" s="5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  <c r="CH114" s="1" t="n"/>
      <c r="CI114" s="1" t="n"/>
      <c r="CJ114" s="1" t="n"/>
      <c r="CK114" s="1" t="n"/>
      <c r="CL114" s="1" t="n"/>
      <c r="CM114" s="1" t="n"/>
      <c r="CN114" s="1" t="n"/>
      <c r="CO114" s="1" t="n"/>
      <c r="CP114" s="1" t="n"/>
      <c r="CQ114" s="1" t="n"/>
      <c r="CR114" s="1" t="n"/>
      <c r="CS114" s="1" t="n"/>
      <c r="CT114" s="1" t="n"/>
      <c r="CU114" s="1" t="n"/>
      <c r="CV114" s="1" t="n"/>
      <c r="CW114" s="1" t="n"/>
      <c r="CX114" s="1" t="n"/>
      <c r="CY114" s="1" t="n"/>
    </row>
    <row r="115" hidden="1" outlineLevel="1">
      <c r="C115" s="5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  <c r="CH115" s="1" t="n"/>
      <c r="CI115" s="1" t="n"/>
      <c r="CJ115" s="1" t="n"/>
      <c r="CK115" s="1" t="n"/>
      <c r="CL115" s="1" t="n"/>
      <c r="CM115" s="1" t="n"/>
      <c r="CN115" s="1" t="n"/>
      <c r="CO115" s="1" t="n"/>
      <c r="CP115" s="1" t="n"/>
      <c r="CQ115" s="1" t="n"/>
      <c r="CR115" s="1" t="n"/>
      <c r="CS115" s="1" t="n"/>
      <c r="CT115" s="1" t="n"/>
      <c r="CU115" s="1" t="n"/>
      <c r="CV115" s="1" t="n"/>
      <c r="CW115" s="1" t="n"/>
      <c r="CX115" s="1" t="n"/>
      <c r="CY115" s="1" t="n"/>
    </row>
    <row r="116" collapsed="1" ht="11.25" customHeight="1">
      <c r="C116" s="12" t="inlineStr">
        <is>
          <t>Balance Sheet</t>
        </is>
      </c>
      <c r="D116" s="12" t="str">
        <f>D13</f>
        <v>1Q20</v>
      </c>
      <c r="E116" s="12" t="str">
        <f>E13</f>
        <v>2Q20</v>
      </c>
      <c r="F116" s="12" t="str">
        <f>F13</f>
        <v>3Q20</v>
      </c>
      <c r="G116" s="12" t="str">
        <f>G13</f>
        <v>4Q20</v>
      </c>
      <c r="H116" s="12">
        <f>H13</f>
        <v>2020</v>
      </c>
      <c r="I116" s="12" t="str">
        <f>I13</f>
        <v>1Q21</v>
      </c>
      <c r="J116" s="12" t="str">
        <f>J13</f>
        <v>2Q21</v>
      </c>
      <c r="K116" s="12" t="str">
        <f>K13</f>
        <v>3Q21</v>
      </c>
      <c r="L116" s="12" t="str">
        <f>L13</f>
        <v>4Q21</v>
      </c>
      <c r="M116" s="12">
        <f>M13</f>
        <v>2021</v>
      </c>
      <c r="N116" s="12" t="str">
        <f>N13</f>
        <v>1Q22</v>
      </c>
      <c r="O116" s="12" t="str">
        <f>O13</f>
        <v>2Q22</v>
      </c>
      <c r="P116" s="12" t="str">
        <f>P13</f>
        <v>3Q22</v>
      </c>
      <c r="Q116" s="12" t="str">
        <f>Q13</f>
        <v>4Q22</v>
      </c>
      <c r="R116" s="12">
        <f>R13</f>
        <v>2022</v>
      </c>
      <c r="S116" s="12" t="str">
        <f>S13</f>
        <v>1Q23</v>
      </c>
      <c r="T116" s="12" t="str">
        <f>T13</f>
        <v>2Q23</v>
      </c>
      <c r="U116" s="12" t="str">
        <f>U13</f>
        <v>3Q23</v>
      </c>
      <c r="V116" s="12" t="str">
        <f>V13</f>
        <v>4Q23</v>
      </c>
      <c r="W116" s="12">
        <f>W13</f>
        <v>2023</v>
      </c>
      <c r="X116" s="12" t="str">
        <f>X13</f>
        <v>1Q24</v>
      </c>
      <c r="Y116" s="12" t="str">
        <f>Y13</f>
        <v>2Q24</v>
      </c>
      <c r="Z116" s="12" t="str">
        <f>Z13</f>
        <v>3Q24</v>
      </c>
      <c r="AA116" s="12" t="str">
        <f>AA13</f>
        <v>4Q24</v>
      </c>
      <c r="AB116" s="12">
        <f>AB13</f>
        <v>2024</v>
      </c>
      <c r="AC116" s="12" t="str">
        <f>AC13</f>
        <v>1Q25</v>
      </c>
      <c r="AD116" s="12" t="str">
        <f>AD13</f>
        <v>2Q25</v>
      </c>
      <c r="AE116" s="12" t="str">
        <f>AE13</f>
        <v>3Q25</v>
      </c>
      <c r="AF116" s="12" t="str">
        <f>AF13</f>
        <v>4Q25</v>
      </c>
      <c r="AG116" s="12">
        <f>AG13</f>
        <v>2025</v>
      </c>
      <c r="AH116" s="12" t="str">
        <f>AH13</f>
        <v>1Q26</v>
      </c>
      <c r="AI116" s="12" t="str">
        <f>AI13</f>
        <v>2Q26</v>
      </c>
      <c r="AJ116" s="12" t="str">
        <f>AJ13</f>
        <v>3Q26</v>
      </c>
      <c r="AK116" s="12" t="str">
        <f>AK13</f>
        <v>4Q26</v>
      </c>
      <c r="AL116" s="12">
        <f>AL13</f>
        <v>2026</v>
      </c>
      <c r="AM116" s="12" t="str">
        <f>AM13</f>
        <v>1Q27</v>
      </c>
      <c r="AN116" s="12" t="str">
        <f>AN13</f>
        <v>2Q27</v>
      </c>
      <c r="AO116" s="12" t="str">
        <f>AO13</f>
        <v>3Q27</v>
      </c>
      <c r="AP116" s="12" t="str">
        <f>AP13</f>
        <v>4Q27</v>
      </c>
      <c r="AQ116" s="12">
        <f>AQ13</f>
        <v>2027</v>
      </c>
      <c r="AR116" s="12" t="str">
        <f>AR13</f>
        <v>1Q28</v>
      </c>
      <c r="AS116" s="12" t="str">
        <f>AS13</f>
        <v>2Q28</v>
      </c>
      <c r="AT116" s="12" t="str">
        <f>AT13</f>
        <v>3Q28</v>
      </c>
      <c r="AU116" s="12" t="str">
        <f>AU13</f>
        <v>4Q28</v>
      </c>
      <c r="AV116" s="12">
        <f>AV13</f>
        <v>2028</v>
      </c>
      <c r="AW116" s="12" t="str">
        <f>AW13</f>
        <v>1Q29</v>
      </c>
      <c r="AX116" s="12" t="str">
        <f>AX13</f>
        <v>2Q29</v>
      </c>
      <c r="AY116" s="12" t="str">
        <f>AY13</f>
        <v>3Q29</v>
      </c>
      <c r="AZ116" s="12" t="str">
        <f>AZ13</f>
        <v>4Q29</v>
      </c>
      <c r="BA116" s="12">
        <f>BA13</f>
        <v>2029</v>
      </c>
      <c r="BB116" s="12" t="str">
        <f>BB13</f>
        <v>1Q30</v>
      </c>
      <c r="BC116" s="12" t="str">
        <f>BC13</f>
        <v>2Q30</v>
      </c>
      <c r="BD116" s="12" t="str">
        <f>BD13</f>
        <v>3Q30</v>
      </c>
      <c r="BE116" s="12" t="str">
        <f>BE13</f>
        <v>4Q30</v>
      </c>
      <c r="BF116" s="12">
        <f>BF13</f>
        <v>2030</v>
      </c>
      <c r="BG116" s="12" t="str">
        <f>BG13</f>
        <v>1Q31</v>
      </c>
      <c r="BH116" s="12" t="str">
        <f>BH13</f>
        <v>2Q31</v>
      </c>
      <c r="BI116" s="12" t="str">
        <f>BI13</f>
        <v>3Q31</v>
      </c>
      <c r="BJ116" s="12" t="str">
        <f>BJ13</f>
        <v>4Q31</v>
      </c>
      <c r="BK116" s="12">
        <f>BK13</f>
        <v>2031</v>
      </c>
      <c r="BL116" s="12" t="str">
        <f>BL13</f>
        <v>1Q32</v>
      </c>
      <c r="BM116" s="12" t="str">
        <f>BM13</f>
        <v>2Q32</v>
      </c>
      <c r="BN116" s="12" t="str">
        <f>BN13</f>
        <v>3Q32</v>
      </c>
      <c r="BO116" s="12" t="str">
        <f>BO13</f>
        <v>4Q32</v>
      </c>
      <c r="BP116" s="12">
        <f>BP13</f>
        <v>2032</v>
      </c>
      <c r="BQ116" s="12" t="str">
        <f>BQ13</f>
        <v>1Q33</v>
      </c>
      <c r="BR116" s="12" t="str">
        <f>BR13</f>
        <v>2Q33</v>
      </c>
      <c r="BS116" s="12" t="str">
        <f>BS13</f>
        <v>3Q33</v>
      </c>
      <c r="BT116" s="12" t="str">
        <f>BT13</f>
        <v>4Q33</v>
      </c>
      <c r="BU116" s="12">
        <f>BU13</f>
        <v>2033</v>
      </c>
      <c r="BV116" s="12" t="str">
        <f>BV13</f>
        <v>1Q34</v>
      </c>
      <c r="BW116" s="12" t="str">
        <f>BW13</f>
        <v>2Q34</v>
      </c>
      <c r="BX116" s="12" t="str">
        <f>BX13</f>
        <v>3Q34</v>
      </c>
      <c r="BY116" s="12" t="str">
        <f>BY13</f>
        <v>4Q34</v>
      </c>
      <c r="BZ116" s="12">
        <f>BZ13</f>
        <v>2034</v>
      </c>
      <c r="CA116" s="12" t="str">
        <f>CA13</f>
        <v>1Q35</v>
      </c>
      <c r="CB116" s="12" t="str">
        <f>CB13</f>
        <v>2Q35</v>
      </c>
      <c r="CC116" s="12" t="str">
        <f>CC13</f>
        <v>3Q35</v>
      </c>
      <c r="CD116" s="12" t="str">
        <f>CD13</f>
        <v>4Q35</v>
      </c>
      <c r="CE116" s="12">
        <f>CE13</f>
        <v>2035</v>
      </c>
      <c r="CF116" s="12" t="str">
        <f>CF13</f>
        <v>1Q36</v>
      </c>
      <c r="CG116" s="12" t="str">
        <f>CG13</f>
        <v>2Q36</v>
      </c>
      <c r="CH116" s="12" t="str">
        <f>CH13</f>
        <v>3Q36</v>
      </c>
      <c r="CI116" s="12" t="str">
        <f>CI13</f>
        <v>4Q36</v>
      </c>
      <c r="CJ116" s="12">
        <f>CJ13</f>
        <v>2036</v>
      </c>
      <c r="CK116" s="12" t="str">
        <f>CK13</f>
        <v>1Q37</v>
      </c>
      <c r="CL116" s="12" t="str">
        <f>CL13</f>
        <v>2Q37</v>
      </c>
      <c r="CM116" s="12" t="str">
        <f>CM13</f>
        <v>3Q37</v>
      </c>
      <c r="CN116" s="12" t="str">
        <f>CN13</f>
        <v>4Q37</v>
      </c>
      <c r="CO116" s="12">
        <f>CO13</f>
        <v>2037</v>
      </c>
      <c r="CP116" s="12" t="str">
        <f>CP13</f>
        <v>1Q38</v>
      </c>
      <c r="CQ116" s="12" t="str">
        <f>CQ13</f>
        <v>2Q38</v>
      </c>
      <c r="CR116" s="12" t="str">
        <f>CR13</f>
        <v>3Q38</v>
      </c>
      <c r="CS116" s="12" t="str">
        <f>CS13</f>
        <v>4Q38</v>
      </c>
      <c r="CT116" s="12">
        <f>CT13</f>
        <v>2038</v>
      </c>
      <c r="CU116" s="12" t="str">
        <f>CU13</f>
        <v>1Q39</v>
      </c>
      <c r="CV116" s="12" t="str">
        <f>CV13</f>
        <v>2Q39</v>
      </c>
      <c r="CW116" s="12" t="str">
        <f>CW13</f>
        <v>3Q39</v>
      </c>
      <c r="CX116" s="12" t="str">
        <f>CX13</f>
        <v>4Q39</v>
      </c>
      <c r="CY116" s="12">
        <f>CY13</f>
        <v>2039</v>
      </c>
    </row>
    <row r="117">
      <c r="C117" s="5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  <c r="BA117" s="1" t="n"/>
      <c r="BB117" s="1" t="n"/>
      <c r="BC117" s="1" t="n"/>
      <c r="BD117" s="1" t="n"/>
      <c r="BE117" s="1" t="n"/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  <c r="CH117" s="1" t="n"/>
      <c r="CI117" s="1" t="n"/>
      <c r="CJ117" s="1" t="n"/>
      <c r="CK117" s="1" t="n"/>
      <c r="CL117" s="1" t="n"/>
      <c r="CM117" s="1" t="n"/>
      <c r="CN117" s="1" t="n"/>
      <c r="CO117" s="1" t="n"/>
      <c r="CP117" s="1" t="n"/>
      <c r="CQ117" s="1" t="n"/>
      <c r="CR117" s="1" t="n"/>
      <c r="CS117" s="1" t="n"/>
      <c r="CT117" s="1" t="n"/>
      <c r="CU117" s="1" t="n"/>
      <c r="CV117" s="1" t="n"/>
      <c r="CW117" s="1" t="n"/>
      <c r="CX117" s="1" t="n"/>
      <c r="CY117" s="1" t="n"/>
    </row>
    <row r="118">
      <c r="C118" s="24" t="inlineStr">
        <is>
          <t>Cash and equivalents (inc. investment securities)</t>
        </is>
      </c>
      <c r="D118" s="25">
        <f>INDEX('Inputs (2)'!$D$15:$AL$15,MATCH(D$7,'Inputs (2)'!$D$2:$AL$2,0))</f>
        <v>50</v>
      </c>
      <c r="E118" s="25">
        <f>INDEX('Inputs (2)'!$D$15:$AL$15,MATCH(E$7,'Inputs (2)'!$D$2:$AL$2,0))</f>
        <v>59</v>
      </c>
      <c r="F118" s="25">
        <f>INDEX('Inputs (2)'!$D$15:$AL$15,MATCH(F$7,'Inputs (2)'!$D$2:$AL$2,0))</f>
        <v>28</v>
      </c>
      <c r="G118" s="25">
        <f>INDEX('Inputs (2)'!$D$15:$AL$15,MATCH(G$7,'Inputs (2)'!$D$2:$AL$2,0))</f>
        <v>31</v>
      </c>
      <c r="H118" s="3">
        <f>G118</f>
        <v>31</v>
      </c>
      <c r="I118" s="25">
        <f>INDEX('Inputs (2)'!$D$15:$AL$15,MATCH(I$7,'Inputs (2)'!$D$2:$AL$2,0))</f>
        <v>32</v>
      </c>
      <c r="J118" s="25">
        <f>INDEX('Inputs (2)'!$D$15:$AL$15,MATCH(J$7,'Inputs (2)'!$D$2:$AL$2,0))</f>
        <v>34</v>
      </c>
      <c r="K118" s="25">
        <f>INDEX('Inputs (2)'!$D$15:$AL$15,MATCH(K$7,'Inputs (2)'!$D$2:$AL$2,0))</f>
        <v>34</v>
      </c>
      <c r="L118" s="25">
        <f>INDEX('Inputs (2)'!$D$15:$AL$15,MATCH(L$7,'Inputs (2)'!$D$2:$AL$2,0))</f>
        <v>35</v>
      </c>
      <c r="M118" s="3">
        <f>L118</f>
        <v>35</v>
      </c>
      <c r="N118" s="25">
        <f>INDEX('Inputs (2)'!$D$15:$AL$15,MATCH(N$7,'Inputs (2)'!$D$2:$AL$2,0))</f>
        <v>33</v>
      </c>
      <c r="O118" s="25">
        <f>INDEX('Inputs (2)'!$D$15:$AL$15,MATCH(O$7,'Inputs (2)'!$D$2:$AL$2,0))</f>
        <v>12370</v>
      </c>
      <c r="P118" s="25">
        <f>INDEX('Inputs (2)'!$D$15:$AL$15,MATCH(P$7,'Inputs (2)'!$D$2:$AL$2,0))</f>
        <v>15431</v>
      </c>
      <c r="Q118" s="25">
        <f>INDEX('Inputs (2)'!$D$15:$AL$15,MATCH(Q$7,'Inputs (2)'!$D$2:$AL$2,0))</f>
        <v>17901</v>
      </c>
      <c r="R118" s="3">
        <f>Q118</f>
        <v>17901</v>
      </c>
      <c r="S118" s="25">
        <f>INDEX('Inputs (2)'!$D$15:$AL$15,MATCH(S$7,'Inputs (2)'!$D$2:$AL$2,0))</f>
        <v>15798</v>
      </c>
      <c r="T118" s="25">
        <f>INDEX('Inputs (2)'!$D$15:$AL$15,MATCH(T$7,'Inputs (2)'!$D$2:$AL$2,0))</f>
        <v>9610</v>
      </c>
      <c r="U118" s="25">
        <f>INDEX('Inputs (2)'!$D$15:$AL$15,MATCH(U$7,'Inputs (2)'!$D$2:$AL$2,0))</f>
        <v>5938</v>
      </c>
      <c r="V118" s="25">
        <f>INDEX('Inputs (2)'!$D$15:$AL$15,MATCH(V$7,'Inputs (2)'!$D$2:$AL$2,0))</f>
        <v>8223</v>
      </c>
      <c r="W118" s="3">
        <f>V118</f>
        <v>8223</v>
      </c>
      <c r="X118" s="25">
        <f>INDEX('Inputs (2)'!$D$15:$AL$15,MATCH(X$7,'Inputs (2)'!$D$2:$AL$2,0))</f>
        <v>6278</v>
      </c>
      <c r="Y118" s="25">
        <f>INDEX('Inputs (2)'!$D$15:$AL$15,MATCH(Y$7,'Inputs (2)'!$D$2:$AL$2,0))</f>
        <v>4008</v>
      </c>
      <c r="Z118" s="25">
        <f>INDEX('Inputs (2)'!$D$15:$AL$15,MATCH(Z$7,'Inputs (2)'!$D$2:$AL$2,0))</f>
        <v>0</v>
      </c>
      <c r="AA118" s="25">
        <f>INDEX('Inputs (2)'!$D$15:$AL$15,MATCH(AA$7,'Inputs (2)'!$D$2:$AL$2,0))</f>
        <v>0</v>
      </c>
      <c r="AB118" s="3">
        <f>AA118</f>
        <v>0</v>
      </c>
      <c r="AC118" s="25">
        <f>INDEX('Inputs (2)'!$D$15:$AL$15,MATCH(AC$7,'Inputs (2)'!$D$2:$AL$2,0))</f>
        <v>0</v>
      </c>
      <c r="AD118" s="25">
        <f>INDEX('Inputs (2)'!$D$15:$AL$15,MATCH(AD$7,'Inputs (2)'!$D$2:$AL$2,0))</f>
        <v>0</v>
      </c>
      <c r="AE118" s="25">
        <f>INDEX('Inputs (2)'!$D$15:$AL$15,MATCH(AE$7,'Inputs (2)'!$D$2:$AL$2,0))</f>
        <v>0</v>
      </c>
      <c r="AF118" s="25">
        <f>INDEX('Inputs (2)'!$D$15:$AL$15,MATCH(AF$7,'Inputs (2)'!$D$2:$AL$2,0))</f>
        <v>0</v>
      </c>
      <c r="AG118" s="3">
        <f>AF118</f>
        <v>0</v>
      </c>
      <c r="AH118" s="3">
        <f>INDEX('Inputs (2)'!$D$15:$AL$15,MATCH(AH$7,'Inputs (2)'!$D$2:$AL$2,0))</f>
        <v>0</v>
      </c>
      <c r="AI118" s="3">
        <f>INDEX('Inputs (2)'!$D$15:$AL$15,MATCH(AI$7,'Inputs (2)'!$D$2:$AL$2,0))</f>
        <v>0</v>
      </c>
      <c r="AJ118" s="3">
        <f>AI118+AJ288</f>
        <v>-12888</v>
      </c>
      <c r="AK118" s="3">
        <f>AJ118+AK288</f>
        <v>-12888</v>
      </c>
      <c r="AL118" s="3">
        <f>AK118</f>
        <v>-12888</v>
      </c>
      <c r="AM118" s="3" t="e">
        <f>AL118+AM288</f>
        <v>#DIV/0!</v>
      </c>
      <c r="AN118" s="3" t="e">
        <f>AM118+AN288</f>
        <v>#DIV/0!</v>
      </c>
      <c r="AO118" s="3" t="e">
        <f>AN118+AO288</f>
        <v>#DIV/0!</v>
      </c>
      <c r="AP118" s="3" t="e">
        <f>AO118+AP288</f>
        <v>#DIV/0!</v>
      </c>
      <c r="AQ118" s="3" t="e">
        <f>AP118</f>
        <v>#DIV/0!</v>
      </c>
      <c r="AR118" s="3" t="e">
        <f>AQ118+AR288</f>
        <v>#DIV/0!</v>
      </c>
      <c r="AS118" s="3" t="e">
        <f>AR118+AS288</f>
        <v>#DIV/0!</v>
      </c>
      <c r="AT118" s="3" t="e">
        <f>AS118+AT288</f>
        <v>#DIV/0!</v>
      </c>
      <c r="AU118" s="3" t="e">
        <f>AT118+AU288</f>
        <v>#DIV/0!</v>
      </c>
      <c r="AV118" s="3" t="e">
        <f>AU118</f>
        <v>#DIV/0!</v>
      </c>
      <c r="AW118" s="3" t="e">
        <f>AV118+AW288</f>
        <v>#DIV/0!</v>
      </c>
      <c r="AX118" s="3" t="e">
        <f>AW118+AX288</f>
        <v>#DIV/0!</v>
      </c>
      <c r="AY118" s="3" t="e">
        <f>AX118+AY288</f>
        <v>#DIV/0!</v>
      </c>
      <c r="AZ118" s="3" t="e">
        <f>AY118+AZ288</f>
        <v>#DIV/0!</v>
      </c>
      <c r="BA118" s="3" t="e">
        <f>AZ118</f>
        <v>#DIV/0!</v>
      </c>
      <c r="BB118" s="3" t="e">
        <f>BA118+BB288</f>
        <v>#DIV/0!</v>
      </c>
      <c r="BC118" s="3" t="e">
        <f>BB118+BC288</f>
        <v>#DIV/0!</v>
      </c>
      <c r="BD118" s="3" t="e">
        <f>BC118+BD288</f>
        <v>#DIV/0!</v>
      </c>
      <c r="BE118" s="3" t="e">
        <f>BD118+BE288</f>
        <v>#DIV/0!</v>
      </c>
      <c r="BF118" s="3" t="e">
        <f>BE118</f>
        <v>#DIV/0!</v>
      </c>
      <c r="BG118" s="3" t="e">
        <f>BF118+BG288</f>
        <v>#DIV/0!</v>
      </c>
      <c r="BH118" s="3" t="e">
        <f>BG118+BH288</f>
        <v>#DIV/0!</v>
      </c>
      <c r="BI118" s="3" t="e">
        <f>BH118+BI288</f>
        <v>#DIV/0!</v>
      </c>
      <c r="BJ118" s="3" t="e">
        <f>BI118+BJ288</f>
        <v>#DIV/0!</v>
      </c>
      <c r="BK118" s="3" t="e">
        <f>BJ118</f>
        <v>#DIV/0!</v>
      </c>
      <c r="BL118" s="3" t="e">
        <f>BK118+BL288</f>
        <v>#DIV/0!</v>
      </c>
      <c r="BM118" s="3" t="e">
        <f>BL118+BM288</f>
        <v>#DIV/0!</v>
      </c>
      <c r="BN118" s="3" t="e">
        <f>BM118+BN288</f>
        <v>#DIV/0!</v>
      </c>
      <c r="BO118" s="3" t="e">
        <f>BN118+BO288</f>
        <v>#DIV/0!</v>
      </c>
      <c r="BP118" s="3" t="e">
        <f>BO118</f>
        <v>#DIV/0!</v>
      </c>
      <c r="BQ118" s="3" t="e">
        <f>BP118+BQ288</f>
        <v>#DIV/0!</v>
      </c>
      <c r="BR118" s="3" t="e">
        <f>BQ118+BR288</f>
        <v>#DIV/0!</v>
      </c>
      <c r="BS118" s="3" t="e">
        <f>BR118+BS288</f>
        <v>#DIV/0!</v>
      </c>
      <c r="BT118" s="3" t="e">
        <f>BS118+BT288</f>
        <v>#DIV/0!</v>
      </c>
      <c r="BU118" s="3" t="e">
        <f>BT118</f>
        <v>#DIV/0!</v>
      </c>
      <c r="BV118" s="3" t="e">
        <f>BU118+BV288</f>
        <v>#DIV/0!</v>
      </c>
      <c r="BW118" s="3" t="e">
        <f>BV118+BW288</f>
        <v>#DIV/0!</v>
      </c>
      <c r="BX118" s="3" t="e">
        <f>BW118+BX288</f>
        <v>#DIV/0!</v>
      </c>
      <c r="BY118" s="3" t="e">
        <f>BX118+BY288</f>
        <v>#DIV/0!</v>
      </c>
      <c r="BZ118" s="3" t="e">
        <f>BY118</f>
        <v>#DIV/0!</v>
      </c>
      <c r="CA118" s="3" t="e">
        <f>BZ118+CA288</f>
        <v>#DIV/0!</v>
      </c>
      <c r="CB118" s="3" t="e">
        <f>CA118+CB288</f>
        <v>#DIV/0!</v>
      </c>
      <c r="CC118" s="3" t="e">
        <f>CB118+CC288</f>
        <v>#DIV/0!</v>
      </c>
      <c r="CD118" s="3" t="e">
        <f>CC118+CD288</f>
        <v>#DIV/0!</v>
      </c>
      <c r="CE118" s="3" t="e">
        <f>CD118</f>
        <v>#DIV/0!</v>
      </c>
      <c r="CF118" s="3" t="e">
        <f>CE118+CF288</f>
        <v>#DIV/0!</v>
      </c>
      <c r="CG118" s="3" t="e">
        <f>CF118+CG288</f>
        <v>#DIV/0!</v>
      </c>
      <c r="CH118" s="3" t="e">
        <f>CG118+CH288</f>
        <v>#DIV/0!</v>
      </c>
      <c r="CI118" s="3" t="e">
        <f>CH118+CI288</f>
        <v>#DIV/0!</v>
      </c>
      <c r="CJ118" s="3" t="e">
        <f>CI118</f>
        <v>#DIV/0!</v>
      </c>
      <c r="CK118" s="3" t="e">
        <f>CJ118+CK288</f>
        <v>#DIV/0!</v>
      </c>
      <c r="CL118" s="3" t="e">
        <f>CK118+CL288</f>
        <v>#DIV/0!</v>
      </c>
      <c r="CM118" s="3" t="e">
        <f>CL118+CM288</f>
        <v>#DIV/0!</v>
      </c>
      <c r="CN118" s="3" t="e">
        <f>CM118+CN288</f>
        <v>#DIV/0!</v>
      </c>
      <c r="CO118" s="3" t="e">
        <f>CN118</f>
        <v>#DIV/0!</v>
      </c>
      <c r="CP118" s="3" t="e">
        <f>CO118+CP288</f>
        <v>#DIV/0!</v>
      </c>
      <c r="CQ118" s="3" t="e">
        <f>CP118+CQ288</f>
        <v>#DIV/0!</v>
      </c>
      <c r="CR118" s="3" t="e">
        <f>CQ118+CR288</f>
        <v>#DIV/0!</v>
      </c>
      <c r="CS118" s="3" t="e">
        <f>CR118+CS288</f>
        <v>#DIV/0!</v>
      </c>
      <c r="CT118" s="3" t="e">
        <f>CS118</f>
        <v>#DIV/0!</v>
      </c>
      <c r="CU118" s="3" t="e">
        <f>CT118+CU288</f>
        <v>#DIV/0!</v>
      </c>
      <c r="CV118" s="3" t="e">
        <f>CU118+CV288</f>
        <v>#DIV/0!</v>
      </c>
      <c r="CW118" s="3" t="e">
        <f>CV118+CW288</f>
        <v>#DIV/0!</v>
      </c>
      <c r="CX118" s="3" t="e">
        <f>CW118+CX288</f>
        <v>#DIV/0!</v>
      </c>
      <c r="CY118" s="3" t="e">
        <f>CX118</f>
        <v>#DIV/0!</v>
      </c>
    </row>
    <row r="119">
      <c r="C119" s="26" t="inlineStr">
        <is>
          <t>Accounts receivable</t>
        </is>
      </c>
      <c r="D119" s="25">
        <f>INDEX('Inputs (2)'!$D$16:$AL$16,MATCH(D$7,'Inputs (2)'!$D$2:$AL$2,0))</f>
        <v>10167</v>
      </c>
      <c r="E119" s="25">
        <f>INDEX('Inputs (2)'!$D$16:$AL$16,MATCH(E$7,'Inputs (2)'!$D$2:$AL$2,0))</f>
        <v>8570</v>
      </c>
      <c r="F119" s="25">
        <f>INDEX('Inputs (2)'!$D$16:$AL$16,MATCH(F$7,'Inputs (2)'!$D$2:$AL$2,0))</f>
        <v>9722</v>
      </c>
      <c r="G119" s="25">
        <f>INDEX('Inputs (2)'!$D$16:$AL$16,MATCH(G$7,'Inputs (2)'!$D$2:$AL$2,0))</f>
        <v>11471</v>
      </c>
      <c r="H119" s="3">
        <f>G119</f>
        <v>11471</v>
      </c>
      <c r="I119" s="25">
        <f>INDEX('Inputs (2)'!$D$16:$AL$16,MATCH(I$7,'Inputs (2)'!$D$2:$AL$2,0))</f>
        <v>14118</v>
      </c>
      <c r="J119" s="25">
        <f>INDEX('Inputs (2)'!$D$16:$AL$16,MATCH(J$7,'Inputs (2)'!$D$2:$AL$2,0))</f>
        <v>15705</v>
      </c>
      <c r="K119" s="25">
        <f>INDEX('Inputs (2)'!$D$16:$AL$16,MATCH(K$7,'Inputs (2)'!$D$2:$AL$2,0))</f>
        <v>16567</v>
      </c>
      <c r="L119" s="25">
        <f>INDEX('Inputs (2)'!$D$16:$AL$16,MATCH(L$7,'Inputs (2)'!$D$2:$AL$2,0))</f>
        <v>18419</v>
      </c>
      <c r="M119" s="3">
        <f>L119</f>
        <v>18419</v>
      </c>
      <c r="N119" s="25">
        <f>INDEX('Inputs (2)'!$D$16:$AL$16,MATCH(N$7,'Inputs (2)'!$D$2:$AL$2,0))</f>
        <v>23255</v>
      </c>
      <c r="O119" s="25">
        <f>INDEX('Inputs (2)'!$D$16:$AL$16,MATCH(O$7,'Inputs (2)'!$D$2:$AL$2,0))</f>
        <v>26860</v>
      </c>
      <c r="P119" s="25">
        <f>INDEX('Inputs (2)'!$D$16:$AL$16,MATCH(P$7,'Inputs (2)'!$D$2:$AL$2,0))</f>
        <v>22466</v>
      </c>
      <c r="Q119" s="25">
        <f>INDEX('Inputs (2)'!$D$16:$AL$16,MATCH(Q$7,'Inputs (2)'!$D$2:$AL$2,0))</f>
        <v>20456</v>
      </c>
      <c r="R119" s="3">
        <f>Q119</f>
        <v>20456</v>
      </c>
      <c r="S119" s="25">
        <f>INDEX('Inputs (2)'!$D$16:$AL$16,MATCH(S$7,'Inputs (2)'!$D$2:$AL$2,0))</f>
        <v>19021</v>
      </c>
      <c r="T119" s="25">
        <f>INDEX('Inputs (2)'!$D$16:$AL$16,MATCH(T$7,'Inputs (2)'!$D$2:$AL$2,0))</f>
        <v>19285</v>
      </c>
      <c r="U119" s="25">
        <f>INDEX('Inputs (2)'!$D$16:$AL$16,MATCH(U$7,'Inputs (2)'!$D$2:$AL$2,0))</f>
        <v>21993</v>
      </c>
      <c r="V119" s="25">
        <f>INDEX('Inputs (2)'!$D$16:$AL$16,MATCH(V$7,'Inputs (2)'!$D$2:$AL$2,0))</f>
        <v>19921</v>
      </c>
      <c r="W119" s="3">
        <f>V119</f>
        <v>19921</v>
      </c>
      <c r="X119" s="25">
        <f>INDEX('Inputs (2)'!$D$16:$AL$16,MATCH(X$7,'Inputs (2)'!$D$2:$AL$2,0))</f>
        <v>20414</v>
      </c>
      <c r="Y119" s="25">
        <f>INDEX('Inputs (2)'!$D$16:$AL$16,MATCH(Y$7,'Inputs (2)'!$D$2:$AL$2,0))</f>
        <v>20752</v>
      </c>
      <c r="Z119" s="25">
        <f>INDEX('Inputs (2)'!$D$16:$AL$16,MATCH(Z$7,'Inputs (2)'!$D$2:$AL$2,0))</f>
        <v>19591</v>
      </c>
      <c r="AA119" s="25">
        <f>INDEX('Inputs (2)'!$D$16:$AL$16,MATCH(AA$7,'Inputs (2)'!$D$2:$AL$2,0))</f>
        <v>20684</v>
      </c>
      <c r="AB119" s="3">
        <f>AA119</f>
        <v>20684</v>
      </c>
      <c r="AC119" s="25">
        <f>INDEX('Inputs (2)'!$D$16:$AL$16,MATCH(AC$7,'Inputs (2)'!$D$2:$AL$2,0))</f>
        <v>19560</v>
      </c>
      <c r="AD119" s="25">
        <f>INDEX('Inputs (2)'!$D$16:$AL$16,MATCH(AD$7,'Inputs (2)'!$D$2:$AL$2,0))</f>
        <v>17663</v>
      </c>
      <c r="AE119" s="25">
        <f>INDEX('Inputs (2)'!$D$16:$AL$16,MATCH(AE$7,'Inputs (2)'!$D$2:$AL$2,0))</f>
        <v>17887</v>
      </c>
      <c r="AF119" s="25">
        <f>INDEX('Inputs (2)'!$D$16:$AL$16,MATCH(AF$7,'Inputs (2)'!$D$2:$AL$2,0))</f>
        <v>18075</v>
      </c>
      <c r="AG119" s="3">
        <f>AF119</f>
        <v>18075</v>
      </c>
      <c r="AH119" s="3">
        <f>INDEX('Inputs (2)'!$D$16:$AL$16,MATCH(AH$7,'Inputs (2)'!$D$2:$AL$2,0))</f>
        <v>25256</v>
      </c>
      <c r="AI119" s="3">
        <f>INDEX('Inputs (2)'!$D$16:$AL$16,MATCH(AI$7,'Inputs (2)'!$D$2:$AL$2,0))</f>
        <v>24575</v>
      </c>
      <c r="AJ119" s="3">
        <f>(AJ120/(AJ$5-AI$5))*AJ$15</f>
        <v>0</v>
      </c>
      <c r="AK119" s="3">
        <f>(AK120/(AK$5-AJ$5))*AK$15</f>
        <v>0</v>
      </c>
      <c r="AL119" s="3">
        <f>AK119</f>
        <v>0</v>
      </c>
      <c r="AM119" s="3">
        <f>(AM120/(AM$5-AL$5))*AM$15</f>
        <v>0</v>
      </c>
      <c r="AN119" s="3">
        <f>(AN120/(AN$5-AM$5))*AN$15</f>
        <v>0</v>
      </c>
      <c r="AO119" s="3">
        <f>(AO120/(AO$5-AN$5))*AO$15</f>
        <v>0</v>
      </c>
      <c r="AP119" s="3">
        <f>(AP120/(AP$5-AO$5))*AP$15</f>
        <v>0</v>
      </c>
      <c r="AQ119" s="3">
        <f>AP119</f>
        <v>0</v>
      </c>
      <c r="AR119" s="3">
        <f>(AR120/(AR$5-AQ$5))*AR$15</f>
        <v>0</v>
      </c>
      <c r="AS119" s="3">
        <f>(AS120/(AS$5-AR$5))*AS$15</f>
        <v>0</v>
      </c>
      <c r="AT119" s="3">
        <f>(AT120/(AT$5-AS$5))*AT$15</f>
        <v>0</v>
      </c>
      <c r="AU119" s="3">
        <f>(AU120/(AU$5-AT$5))*AU$15</f>
        <v>0</v>
      </c>
      <c r="AV119" s="3">
        <f>AU119</f>
        <v>0</v>
      </c>
      <c r="AW119" s="3">
        <f>(AW120/(AW$5-AV$5))*AW$15</f>
        <v>0</v>
      </c>
      <c r="AX119" s="3">
        <f>(AX120/(AX$5-AW$5))*AX$15</f>
        <v>0</v>
      </c>
      <c r="AY119" s="3">
        <f>(AY120/(AY$5-AX$5))*AY$15</f>
        <v>0</v>
      </c>
      <c r="AZ119" s="3">
        <f>(AZ120/(AZ$5-AY$5))*AZ$15</f>
        <v>0</v>
      </c>
      <c r="BA119" s="3">
        <f>AZ119</f>
        <v>0</v>
      </c>
      <c r="BB119" s="3">
        <f>(BB120/(BB$5-BA$5))*BB$15</f>
        <v>0</v>
      </c>
      <c r="BC119" s="3">
        <f>(BC120/(BC$5-BB$5))*BC$15</f>
        <v>0</v>
      </c>
      <c r="BD119" s="3">
        <f>(BD120/(BD$5-BC$5))*BD$15</f>
        <v>0</v>
      </c>
      <c r="BE119" s="3">
        <f>(BE120/(BE$5-BD$5))*BE$15</f>
        <v>0</v>
      </c>
      <c r="BF119" s="3">
        <f>BE119</f>
        <v>0</v>
      </c>
      <c r="BG119" s="3">
        <f>(BG120/(BG$5-BF$5))*BG$15</f>
        <v>0</v>
      </c>
      <c r="BH119" s="3">
        <f>(BH120/(BH$5-BG$5))*BH$15</f>
        <v>0</v>
      </c>
      <c r="BI119" s="3">
        <f>(BI120/(BI$5-BH$5))*BI$15</f>
        <v>0</v>
      </c>
      <c r="BJ119" s="3">
        <f>(BJ120/(BJ$5-BI$5))*BJ$15</f>
        <v>0</v>
      </c>
      <c r="BK119" s="3">
        <f>BJ119</f>
        <v>0</v>
      </c>
      <c r="BL119" s="3">
        <f>(BL120/(BL$5-BK$5))*BL$15</f>
        <v>0</v>
      </c>
      <c r="BM119" s="3">
        <f>(BM120/(BM$5-BL$5))*BM$15</f>
        <v>0</v>
      </c>
      <c r="BN119" s="3">
        <f>(BN120/(BN$5-BM$5))*BN$15</f>
        <v>0</v>
      </c>
      <c r="BO119" s="3">
        <f>(BO120/(BO$5-BN$5))*BO$15</f>
        <v>0</v>
      </c>
      <c r="BP119" s="3">
        <f>BO119</f>
        <v>0</v>
      </c>
      <c r="BQ119" s="3">
        <f>(BQ120/(BQ$5-BP$5))*BQ$15</f>
        <v>0</v>
      </c>
      <c r="BR119" s="3">
        <f>(BR120/(BR$5-BQ$5))*BR$15</f>
        <v>0</v>
      </c>
      <c r="BS119" s="3">
        <f>(BS120/(BS$5-BR$5))*BS$15</f>
        <v>0</v>
      </c>
      <c r="BT119" s="3">
        <f>(BT120/(BT$5-BS$5))*BT$15</f>
        <v>0</v>
      </c>
      <c r="BU119" s="3">
        <f>BT119</f>
        <v>0</v>
      </c>
      <c r="BV119" s="3">
        <f>(BV120/(BV$5-BU$5))*BV$15</f>
        <v>0</v>
      </c>
      <c r="BW119" s="3">
        <f>(BW120/(BW$5-BV$5))*BW$15</f>
        <v>0</v>
      </c>
      <c r="BX119" s="3">
        <f>(BX120/(BX$5-BW$5))*BX$15</f>
        <v>0</v>
      </c>
      <c r="BY119" s="3">
        <f>(BY120/(BY$5-BX$5))*BY$15</f>
        <v>0</v>
      </c>
      <c r="BZ119" s="3">
        <f>BY119</f>
        <v>0</v>
      </c>
      <c r="CA119" s="3">
        <f>(CA120/(CA$5-BZ$5))*CA$15</f>
        <v>0</v>
      </c>
      <c r="CB119" s="3">
        <f>(CB120/(CB$5-CA$5))*CB$15</f>
        <v>0</v>
      </c>
      <c r="CC119" s="3">
        <f>(CC120/(CC$5-CB$5))*CC$15</f>
        <v>0</v>
      </c>
      <c r="CD119" s="3">
        <f>(CD120/(CD$5-CC$5))*CD$15</f>
        <v>0</v>
      </c>
      <c r="CE119" s="3">
        <f>CD119</f>
        <v>0</v>
      </c>
      <c r="CF119" s="3">
        <f>(CF120/(CF$5-CE$5))*CF$15</f>
        <v>0</v>
      </c>
      <c r="CG119" s="3">
        <f>(CG120/(CG$5-CF$5))*CG$15</f>
        <v>0</v>
      </c>
      <c r="CH119" s="3">
        <f>(CH120/(CH$5-CG$5))*CH$15</f>
        <v>0</v>
      </c>
      <c r="CI119" s="3">
        <f>(CI120/(CI$5-CH$5))*CI$15</f>
        <v>0</v>
      </c>
      <c r="CJ119" s="3">
        <f>CI119</f>
        <v>0</v>
      </c>
      <c r="CK119" s="3">
        <f>(CK120/(CK$5-CJ$5))*CK$15</f>
        <v>0</v>
      </c>
      <c r="CL119" s="3">
        <f>(CL120/(CL$5-CK$5))*CL$15</f>
        <v>0</v>
      </c>
      <c r="CM119" s="3">
        <f>(CM120/(CM$5-CL$5))*CM$15</f>
        <v>0</v>
      </c>
      <c r="CN119" s="3">
        <f>(CN120/(CN$5-CM$5))*CN$15</f>
        <v>0</v>
      </c>
      <c r="CO119" s="3">
        <f>CN119</f>
        <v>0</v>
      </c>
      <c r="CP119" s="3">
        <f>(CP120/(CP$5-CO$5))*CP$15</f>
        <v>0</v>
      </c>
      <c r="CQ119" s="3">
        <f>(CQ120/(CQ$5-CP$5))*CQ$15</f>
        <v>0</v>
      </c>
      <c r="CR119" s="3">
        <f>(CR120/(CR$5-CQ$5))*CR$15</f>
        <v>0</v>
      </c>
      <c r="CS119" s="3">
        <f>(CS120/(CS$5-CR$5))*CS$15</f>
        <v>0</v>
      </c>
      <c r="CT119" s="3">
        <f>CS119</f>
        <v>0</v>
      </c>
      <c r="CU119" s="3">
        <f>(CU120/(CU$5-CT$5))*CU$15</f>
        <v>0</v>
      </c>
      <c r="CV119" s="3">
        <f>(CV120/(CV$5-CU$5))*CV$15</f>
        <v>0</v>
      </c>
      <c r="CW119" s="3">
        <f>(CW120/(CW$5-CV$5))*CW$15</f>
        <v>0</v>
      </c>
      <c r="CX119" s="3">
        <f>(CX120/(CX$5-CW$5))*CX$15</f>
        <v>0</v>
      </c>
      <c r="CY119" s="3">
        <f>CX119</f>
        <v>0</v>
      </c>
    </row>
    <row r="120" hidden="1" outlineLevel="1">
      <c r="C120" s="34" t="inlineStr">
        <is>
          <t>DSO</t>
        </is>
      </c>
      <c r="D120" s="3" t="n"/>
      <c r="E120" s="3">
        <f>(E119/E$15)*(E$5-D$5)</f>
        <v>57.7938342967245</v>
      </c>
      <c r="F120" s="3">
        <f>(F119/F$15)*(F$5-E$5)</f>
        <v>36.5802625659482</v>
      </c>
      <c r="G120" s="3">
        <f>(G119/G$15)*(G$5-F$5)</f>
        <v>41.801948823576</v>
      </c>
      <c r="H120" s="3" t="n"/>
      <c r="I120" s="3">
        <f>(I119/I$15)*(I$5-H$5)</f>
        <v>39.6709232258266</v>
      </c>
      <c r="J120" s="3">
        <f>(J119/J$15)*(J$5-I$5)</f>
        <v>38.0124743995532</v>
      </c>
      <c r="K120" s="3">
        <f>(K119/K$15)*(K$5-J$5)</f>
        <v>34.0900022366361</v>
      </c>
      <c r="L120" s="3">
        <f>(L119/L$15)*(L$5-K$5)</f>
        <v>35.208460595483</v>
      </c>
      <c r="M120" s="3" t="n"/>
      <c r="N120" s="3">
        <f>(N119/N$15)*(N$5-M$5)</f>
        <v>38.4924502970224</v>
      </c>
      <c r="O120" s="3">
        <f>(O119/O$15)*(O$5-N$5)</f>
        <v>35.5466682179111</v>
      </c>
      <c r="P120" s="3">
        <f>(P119/P$15)*(P$5-O$5)</f>
        <v>31.013624632375</v>
      </c>
      <c r="Q120" s="3">
        <f>(Q119/Q$15)*(Q$5-P$5)</f>
        <v>33.3248100862359</v>
      </c>
      <c r="R120" s="3" t="n"/>
      <c r="S120" s="3">
        <f>(S119/S$15)*(S$5-R$5)</f>
        <v>33.7032661980982</v>
      </c>
      <c r="T120" s="3">
        <f>(T119/T$15)*(T$5-S$5)</f>
        <v>35.8911771924084</v>
      </c>
      <c r="U120" s="3">
        <f>(U119/U$15)*(U$5-T$5)</f>
        <v>37.4141272189349</v>
      </c>
      <c r="V120" s="3">
        <f>(V119/V$15)*(V$5-U$5)</f>
        <v>38.8455277660025</v>
      </c>
      <c r="W120" s="3" t="n"/>
      <c r="X120" s="3">
        <f>(X119/X$15)*(X$5-W$5)</f>
        <v>38.1327284670334</v>
      </c>
      <c r="Y120" s="3">
        <f>(Y119/Y$15)*(Y$5-X$5)</f>
        <v>36.8971297942596</v>
      </c>
      <c r="Z120" s="3">
        <f>(Z119/Z$15)*(Z$5-Y$5)</f>
        <v>35.5714934180663</v>
      </c>
      <c r="AA120" s="3">
        <f>(AA119/AA$15)*(AA$5-Z$5)</f>
        <v>36.4364109830353</v>
      </c>
      <c r="AB120" s="3" t="n"/>
      <c r="AC120" s="3">
        <f>(AC119/AC$15)*(AC$5-AB$5)</f>
        <v>36.9754253308129</v>
      </c>
      <c r="AD120" s="3">
        <f>(AD119/AD$15)*(AD$5-AC$5)</f>
        <v>35.8603587523984</v>
      </c>
      <c r="AE120" s="3">
        <f>(AE119/AE$15)*(AE$5-AD$5)</f>
        <v>33.0934320074006</v>
      </c>
      <c r="AF120" s="6">
        <f>(AF119/AF$15)*(AF$5-AE$5)</f>
        <v>35.4767136731167</v>
      </c>
      <c r="AG120" s="3" t="n"/>
      <c r="AH120" s="6">
        <f>(AH119/AH$15)*(AH$5-AG$5)</f>
        <v>46.7636348674059</v>
      </c>
      <c r="AI120" s="6">
        <f>(AI119/AI$15)*(AI$5-AH$5)</f>
        <v>31.9224181000642</v>
      </c>
      <c r="AJ120" s="6" t="n"/>
      <c r="AK120" s="6" t="n"/>
      <c r="AL120" s="3" t="n"/>
      <c r="AM120" s="6" t="n"/>
      <c r="AN120" s="6" t="n"/>
      <c r="AO120" s="6" t="n"/>
      <c r="AP120" s="6" t="n"/>
      <c r="AQ120" s="3" t="n"/>
      <c r="AR120" s="6" t="n"/>
      <c r="AS120" s="6" t="n"/>
      <c r="AT120" s="6" t="n"/>
      <c r="AU120" s="6" t="n"/>
      <c r="AV120" s="3" t="n"/>
      <c r="AW120" s="6" t="n"/>
      <c r="AX120" s="6" t="n"/>
      <c r="AY120" s="6" t="n"/>
      <c r="AZ120" s="6" t="n"/>
      <c r="BA120" s="3" t="n"/>
      <c r="BB120" s="6" t="n"/>
      <c r="BC120" s="6" t="n"/>
      <c r="BD120" s="6" t="n"/>
      <c r="BE120" s="6" t="n"/>
      <c r="BF120" s="3" t="n"/>
      <c r="BG120" s="6" t="n"/>
      <c r="BH120" s="6" t="n"/>
      <c r="BI120" s="6" t="n"/>
      <c r="BJ120" s="6" t="n"/>
      <c r="BK120" s="3" t="n"/>
      <c r="BL120" s="6" t="n"/>
      <c r="BM120" s="6" t="n"/>
      <c r="BN120" s="6" t="n"/>
      <c r="BO120" s="6" t="n"/>
      <c r="BP120" s="3" t="n"/>
      <c r="BQ120" s="6" t="n"/>
      <c r="BR120" s="6" t="n"/>
      <c r="BS120" s="6" t="n"/>
      <c r="BT120" s="6" t="n"/>
      <c r="BU120" s="3" t="n"/>
      <c r="BV120" s="6" t="n"/>
      <c r="BW120" s="6" t="n"/>
      <c r="BX120" s="6" t="n"/>
      <c r="BY120" s="6" t="n"/>
      <c r="BZ120" s="3" t="n"/>
      <c r="CA120" s="6" t="n"/>
      <c r="CB120" s="6" t="n"/>
      <c r="CC120" s="6" t="n"/>
      <c r="CD120" s="6" t="n"/>
      <c r="CE120" s="3" t="n"/>
      <c r="CF120" s="6" t="n"/>
      <c r="CG120" s="6" t="n"/>
      <c r="CH120" s="6" t="n"/>
      <c r="CI120" s="6" t="n"/>
      <c r="CJ120" s="3" t="n"/>
      <c r="CK120" s="6" t="n"/>
      <c r="CL120" s="6" t="n"/>
      <c r="CM120" s="6" t="n"/>
      <c r="CN120" s="6" t="n"/>
      <c r="CO120" s="3" t="n"/>
      <c r="CP120" s="6" t="n"/>
      <c r="CQ120" s="6" t="n"/>
      <c r="CR120" s="6" t="n"/>
      <c r="CS120" s="6" t="n"/>
      <c r="CT120" s="3" t="n"/>
      <c r="CU120" s="6" t="n"/>
      <c r="CV120" s="6" t="n"/>
      <c r="CW120" s="6" t="n"/>
      <c r="CX120" s="6" t="n"/>
      <c r="CY120" s="3" t="n"/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Inventories</t>
        </is>
      </c>
      <c r="D123" s="25">
        <f>INDEX('Inputs (2)'!$D$17:$AL$17,MATCH(D$7,'Inputs (2)'!$D$2:$AL$2,0))</f>
        <v>0</v>
      </c>
      <c r="E123" s="25">
        <f>INDEX('Inputs (2)'!$D$17:$AL$17,MATCH(E$7,'Inputs (2)'!$D$2:$AL$2,0))</f>
        <v>0</v>
      </c>
      <c r="F123" s="25">
        <f>INDEX('Inputs (2)'!$D$17:$AL$17,MATCH(F$7,'Inputs (2)'!$D$2:$AL$2,0))</f>
        <v>0</v>
      </c>
      <c r="G123" s="25">
        <f>INDEX('Inputs (2)'!$D$17:$AL$17,MATCH(G$7,'Inputs (2)'!$D$2:$AL$2,0))</f>
        <v>0</v>
      </c>
      <c r="H123" s="3">
        <f>G123</f>
        <v>0</v>
      </c>
      <c r="I123" s="25">
        <f>INDEX('Inputs (2)'!$D$17:$AL$17,MATCH(I$7,'Inputs (2)'!$D$2:$AL$2,0))</f>
        <v>0</v>
      </c>
      <c r="J123" s="25">
        <f>INDEX('Inputs (2)'!$D$17:$AL$17,MATCH(J$7,'Inputs (2)'!$D$2:$AL$2,0))</f>
        <v>0</v>
      </c>
      <c r="K123" s="25">
        <f>INDEX('Inputs (2)'!$D$17:$AL$17,MATCH(K$7,'Inputs (2)'!$D$2:$AL$2,0))</f>
        <v>0</v>
      </c>
      <c r="L123" s="25">
        <f>INDEX('Inputs (2)'!$D$17:$AL$17,MATCH(L$7,'Inputs (2)'!$D$2:$AL$2,0))</f>
        <v>0</v>
      </c>
      <c r="M123" s="3">
        <f>L123</f>
        <v>0</v>
      </c>
      <c r="N123" s="25">
        <f>INDEX('Inputs (2)'!$D$17:$AL$17,MATCH(N$7,'Inputs (2)'!$D$2:$AL$2,0))</f>
        <v>0</v>
      </c>
      <c r="O123" s="25">
        <f>INDEX('Inputs (2)'!$D$17:$AL$17,MATCH(O$7,'Inputs (2)'!$D$2:$AL$2,0))</f>
        <v>0</v>
      </c>
      <c r="P123" s="25">
        <f>INDEX('Inputs (2)'!$D$17:$AL$17,MATCH(P$7,'Inputs (2)'!$D$2:$AL$2,0))</f>
        <v>0</v>
      </c>
      <c r="Q123" s="25">
        <f>INDEX('Inputs (2)'!$D$17:$AL$17,MATCH(Q$7,'Inputs (2)'!$D$2:$AL$2,0))</f>
        <v>0</v>
      </c>
      <c r="R123" s="3">
        <f>Q123</f>
        <v>0</v>
      </c>
      <c r="S123" s="25">
        <f>INDEX('Inputs (2)'!$D$17:$AL$17,MATCH(S$7,'Inputs (2)'!$D$2:$AL$2,0))</f>
        <v>0</v>
      </c>
      <c r="T123" s="25">
        <f>INDEX('Inputs (2)'!$D$17:$AL$17,MATCH(T$7,'Inputs (2)'!$D$2:$AL$2,0))</f>
        <v>0</v>
      </c>
      <c r="U123" s="25">
        <f>INDEX('Inputs (2)'!$D$17:$AL$17,MATCH(U$7,'Inputs (2)'!$D$2:$AL$2,0))</f>
        <v>0</v>
      </c>
      <c r="V123" s="25">
        <f>INDEX('Inputs (2)'!$D$17:$AL$17,MATCH(V$7,'Inputs (2)'!$D$2:$AL$2,0))</f>
        <v>0</v>
      </c>
      <c r="W123" s="3">
        <f>V123</f>
        <v>0</v>
      </c>
      <c r="X123" s="25">
        <f>INDEX('Inputs (2)'!$D$17:$AL$17,MATCH(X$7,'Inputs (2)'!$D$2:$AL$2,0))</f>
        <v>0</v>
      </c>
      <c r="Y123" s="25">
        <f>INDEX('Inputs (2)'!$D$17:$AL$17,MATCH(Y$7,'Inputs (2)'!$D$2:$AL$2,0))</f>
        <v>0</v>
      </c>
      <c r="Z123" s="25">
        <f>INDEX('Inputs (2)'!$D$17:$AL$17,MATCH(Z$7,'Inputs (2)'!$D$2:$AL$2,0))</f>
        <v>0</v>
      </c>
      <c r="AA123" s="25">
        <f>INDEX('Inputs (2)'!$D$17:$AL$17,MATCH(AA$7,'Inputs (2)'!$D$2:$AL$2,0))</f>
        <v>0</v>
      </c>
      <c r="AB123" s="3">
        <f>AA123</f>
        <v>0</v>
      </c>
      <c r="AC123" s="25">
        <f>INDEX('Inputs (2)'!$D$17:$AL$17,MATCH(AC$7,'Inputs (2)'!$D$2:$AL$2,0))</f>
        <v>0</v>
      </c>
      <c r="AD123" s="25">
        <f>INDEX('Inputs (2)'!$D$17:$AL$17,MATCH(AD$7,'Inputs (2)'!$D$2:$AL$2,0))</f>
        <v>0</v>
      </c>
      <c r="AE123" s="25">
        <f>INDEX('Inputs (2)'!$D$17:$AL$17,MATCH(AE$7,'Inputs (2)'!$D$2:$AL$2,0))</f>
        <v>0</v>
      </c>
      <c r="AF123" s="25">
        <f>INDEX('Inputs (2)'!$D$17:$AL$17,MATCH(AF$7,'Inputs (2)'!$D$2:$AL$2,0))</f>
        <v>0</v>
      </c>
      <c r="AG123" s="3">
        <f>AF123</f>
        <v>0</v>
      </c>
      <c r="AH123" s="3">
        <f>INDEX('Inputs (2)'!$D$17:$AL$17,MATCH(AH$7,'Inputs (2)'!$D$2:$AL$2,0))</f>
        <v>0</v>
      </c>
      <c r="AI123" s="3">
        <f>INDEX('Inputs (2)'!$D$17:$AL$17,MATCH(AI$7,'Inputs (2)'!$D$2:$AL$2,0))</f>
        <v>0</v>
      </c>
      <c r="AJ123" s="3">
        <f>(AJ124/(AJ$5-AI$5))*-AJ$28</f>
        <v>0</v>
      </c>
      <c r="AK123" s="3">
        <f>(AK124/(AK$5-AJ$5))*-AK$28</f>
        <v>0</v>
      </c>
      <c r="AL123" s="3">
        <f>AK123</f>
        <v>0</v>
      </c>
      <c r="AM123" s="3">
        <f>(AM124/(AM$5-AL$5))*-AM$28</f>
        <v>0</v>
      </c>
      <c r="AN123" s="3">
        <f>(AN124/(AN$5-AM$5))*-AN$28</f>
        <v>0</v>
      </c>
      <c r="AO123" s="3">
        <f>(AO124/(AO$5-AN$5))*-AO$28</f>
        <v>0</v>
      </c>
      <c r="AP123" s="3">
        <f>(AP124/(AP$5-AO$5))*-AP$28</f>
        <v>0</v>
      </c>
      <c r="AQ123" s="3">
        <f>AP123</f>
        <v>0</v>
      </c>
      <c r="AR123" s="3">
        <f>(AR124/(AR$5-AQ$5))*-AR$28</f>
        <v>0</v>
      </c>
      <c r="AS123" s="3">
        <f>(AS124/(AS$5-AR$5))*-AS$28</f>
        <v>0</v>
      </c>
      <c r="AT123" s="3">
        <f>(AT124/(AT$5-AS$5))*-AT$28</f>
        <v>0</v>
      </c>
      <c r="AU123" s="3">
        <f>(AU124/(AU$5-AT$5))*-AU$28</f>
        <v>0</v>
      </c>
      <c r="AV123" s="3">
        <f>AU123</f>
        <v>0</v>
      </c>
      <c r="AW123" s="3">
        <f>(AW124/(AW$5-AV$5))*-AW$28</f>
        <v>0</v>
      </c>
      <c r="AX123" s="3">
        <f>(AX124/(AX$5-AW$5))*-AX$28</f>
        <v>0</v>
      </c>
      <c r="AY123" s="3">
        <f>(AY124/(AY$5-AX$5))*-AY$28</f>
        <v>0</v>
      </c>
      <c r="AZ123" s="3">
        <f>(AZ124/(AZ$5-AY$5))*-AZ$28</f>
        <v>0</v>
      </c>
      <c r="BA123" s="3">
        <f>AZ123</f>
        <v>0</v>
      </c>
      <c r="BB123" s="3">
        <f>(BB124/(BB$5-BA$5))*-BB$28</f>
        <v>0</v>
      </c>
      <c r="BC123" s="3">
        <f>(BC124/(BC$5-BB$5))*-BC$28</f>
        <v>0</v>
      </c>
      <c r="BD123" s="3">
        <f>(BD124/(BD$5-BC$5))*-BD$28</f>
        <v>0</v>
      </c>
      <c r="BE123" s="3">
        <f>(BE124/(BE$5-BD$5))*-BE$28</f>
        <v>0</v>
      </c>
      <c r="BF123" s="3">
        <f>BE123</f>
        <v>0</v>
      </c>
      <c r="BG123" s="3">
        <f>(BG124/(BG$5-BF$5))*-BG$28</f>
        <v>0</v>
      </c>
      <c r="BH123" s="3">
        <f>(BH124/(BH$5-BG$5))*-BH$28</f>
        <v>0</v>
      </c>
      <c r="BI123" s="3">
        <f>(BI124/(BI$5-BH$5))*-BI$28</f>
        <v>0</v>
      </c>
      <c r="BJ123" s="3">
        <f>(BJ124/(BJ$5-BI$5))*-BJ$28</f>
        <v>0</v>
      </c>
      <c r="BK123" s="3">
        <f>BJ123</f>
        <v>0</v>
      </c>
      <c r="BL123" s="3">
        <f>(BL124/(BL$5-BK$5))*-BL$28</f>
        <v>0</v>
      </c>
      <c r="BM123" s="3">
        <f>(BM124/(BM$5-BL$5))*-BM$28</f>
        <v>0</v>
      </c>
      <c r="BN123" s="3">
        <f>(BN124/(BN$5-BM$5))*-BN$28</f>
        <v>0</v>
      </c>
      <c r="BO123" s="3">
        <f>(BO124/(BO$5-BN$5))*-BO$28</f>
        <v>0</v>
      </c>
      <c r="BP123" s="3">
        <f>BO123</f>
        <v>0</v>
      </c>
      <c r="BQ123" s="3">
        <f>(BQ124/(BQ$5-BP$5))*-BQ$28</f>
        <v>0</v>
      </c>
      <c r="BR123" s="3">
        <f>(BR124/(BR$5-BQ$5))*-BR$28</f>
        <v>0</v>
      </c>
      <c r="BS123" s="3">
        <f>(BS124/(BS$5-BR$5))*-BS$28</f>
        <v>0</v>
      </c>
      <c r="BT123" s="3">
        <f>(BT124/(BT$5-BS$5))*-BT$28</f>
        <v>0</v>
      </c>
      <c r="BU123" s="3">
        <f>BT123</f>
        <v>0</v>
      </c>
      <c r="BV123" s="3">
        <f>(BV124/(BV$5-BU$5))*-BV$28</f>
        <v>0</v>
      </c>
      <c r="BW123" s="3">
        <f>(BW124/(BW$5-BV$5))*-BW$28</f>
        <v>0</v>
      </c>
      <c r="BX123" s="3">
        <f>(BX124/(BX$5-BW$5))*-BX$28</f>
        <v>0</v>
      </c>
      <c r="BY123" s="3">
        <f>(BY124/(BY$5-BX$5))*-BY$28</f>
        <v>0</v>
      </c>
      <c r="BZ123" s="3">
        <f>BY123</f>
        <v>0</v>
      </c>
      <c r="CA123" s="3">
        <f>(CA124/(CA$5-BZ$5))*-CA$28</f>
        <v>0</v>
      </c>
      <c r="CB123" s="3">
        <f>(CB124/(CB$5-CA$5))*-CB$28</f>
        <v>0</v>
      </c>
      <c r="CC123" s="3">
        <f>(CC124/(CC$5-CB$5))*-CC$28</f>
        <v>0</v>
      </c>
      <c r="CD123" s="3">
        <f>(CD124/(CD$5-CC$5))*-CD$28</f>
        <v>0</v>
      </c>
      <c r="CE123" s="3">
        <f>CD123</f>
        <v>0</v>
      </c>
      <c r="CF123" s="3">
        <f>(CF124/(CF$5-CE$5))*-CF$28</f>
        <v>0</v>
      </c>
      <c r="CG123" s="3">
        <f>(CG124/(CG$5-CF$5))*-CG$28</f>
        <v>0</v>
      </c>
      <c r="CH123" s="3">
        <f>(CH124/(CH$5-CG$5))*-CH$28</f>
        <v>0</v>
      </c>
      <c r="CI123" s="3">
        <f>(CI124/(CI$5-CH$5))*-CI$28</f>
        <v>0</v>
      </c>
      <c r="CJ123" s="3">
        <f>CI123</f>
        <v>0</v>
      </c>
      <c r="CK123" s="3">
        <f>(CK124/(CK$5-CJ$5))*-CK$28</f>
        <v>0</v>
      </c>
      <c r="CL123" s="3">
        <f>(CL124/(CL$5-CK$5))*-CL$28</f>
        <v>0</v>
      </c>
      <c r="CM123" s="3">
        <f>(CM124/(CM$5-CL$5))*-CM$28</f>
        <v>0</v>
      </c>
      <c r="CN123" s="3">
        <f>(CN124/(CN$5-CM$5))*-CN$28</f>
        <v>0</v>
      </c>
      <c r="CO123" s="3">
        <f>CN123</f>
        <v>0</v>
      </c>
      <c r="CP123" s="3">
        <f>(CP124/(CP$5-CO$5))*-CP$28</f>
        <v>0</v>
      </c>
      <c r="CQ123" s="3">
        <f>(CQ124/(CQ$5-CP$5))*-CQ$28</f>
        <v>0</v>
      </c>
      <c r="CR123" s="3">
        <f>(CR124/(CR$5-CQ$5))*-CR$28</f>
        <v>0</v>
      </c>
      <c r="CS123" s="3">
        <f>(CS124/(CS$5-CR$5))*-CS$28</f>
        <v>0</v>
      </c>
      <c r="CT123" s="3">
        <f>CS123</f>
        <v>0</v>
      </c>
      <c r="CU123" s="3">
        <f>(CU124/(CU$5-CT$5))*-CU$28</f>
        <v>0</v>
      </c>
      <c r="CV123" s="3">
        <f>(CV124/(CV$5-CU$5))*-CV$28</f>
        <v>0</v>
      </c>
      <c r="CW123" s="3">
        <f>(CW124/(CW$5-CV$5))*-CW$28</f>
        <v>0</v>
      </c>
      <c r="CX123" s="3">
        <f>(CX124/(CX$5-CW$5))*-CX$28</f>
        <v>0</v>
      </c>
      <c r="CY123" s="3">
        <f>CX123</f>
        <v>0</v>
      </c>
    </row>
    <row r="124" hidden="1" outlineLevel="1">
      <c r="C124" s="34" t="inlineStr">
        <is>
          <t>DIO</t>
        </is>
      </c>
      <c r="D124" s="3" t="n"/>
      <c r="E124" s="3">
        <f>((E123/E$28)*(E$5-D$5))*-1</f>
        <v>0</v>
      </c>
      <c r="F124" s="3">
        <f>((F123/F$28)*(F$5-E$5))*-1</f>
        <v>0</v>
      </c>
      <c r="G124" s="3">
        <f>((G123/G$28)*(G$5-F$5))*-1</f>
        <v>0</v>
      </c>
      <c r="H124" s="3" t="n"/>
      <c r="I124" s="3">
        <f>((I123/I$28)*(I$5-H$5))*-1</f>
        <v>0</v>
      </c>
      <c r="J124" s="3">
        <f>((J123/J$28)*(J$5-I$5))*-1</f>
        <v>0</v>
      </c>
      <c r="K124" s="3">
        <f>((K123/K$28)*(K$5-J$5))*-1</f>
        <v>0</v>
      </c>
      <c r="L124" s="3">
        <f>((L123/L$28)*(L$5-K$5))*-1</f>
        <v>0</v>
      </c>
      <c r="M124" s="3" t="n"/>
      <c r="N124" s="3">
        <f>((N123/N$28)*(N$5-M$5))*-1</f>
        <v>0</v>
      </c>
      <c r="O124" s="3">
        <f>((O123/O$28)*(O$5-N$5))*-1</f>
        <v>0</v>
      </c>
      <c r="P124" s="3">
        <f>((P123/P$28)*(P$5-O$5))*-1</f>
        <v>0</v>
      </c>
      <c r="Q124" s="3">
        <f>((Q123/Q$28)*(Q$5-P$5))*-1</f>
        <v>0</v>
      </c>
      <c r="R124" s="3" t="n"/>
      <c r="S124" s="3">
        <f>((S123/S$28)*(S$5-R$5))*-1</f>
        <v>0</v>
      </c>
      <c r="T124" s="3">
        <f>((T123/T$28)*(T$5-S$5))*-1</f>
        <v>0</v>
      </c>
      <c r="U124" s="3">
        <f>((U123/U$28)*(U$5-T$5))*-1</f>
        <v>0</v>
      </c>
      <c r="V124" s="3">
        <f>((V123/V$28)*(V$5-U$5))*-1</f>
        <v>0</v>
      </c>
      <c r="W124" s="3" t="n"/>
      <c r="X124" s="3">
        <f>((X123/X$28)*(X$5-W$5))*-1</f>
        <v>0</v>
      </c>
      <c r="Y124" s="3">
        <f>((Y123/Y$28)*(Y$5-X$5))*-1</f>
        <v>0</v>
      </c>
      <c r="Z124" s="3">
        <f>((Z123/Z$28)*(Z$5-Y$5))*-1</f>
        <v>0</v>
      </c>
      <c r="AA124" s="3">
        <f>((AA123/AA$28)*(AA$5-Z$5))*-1</f>
        <v>0</v>
      </c>
      <c r="AB124" s="3" t="n"/>
      <c r="AC124" s="3">
        <f>((AC123/AC$28)*(AC$5-AB$5))*-1</f>
        <v>0</v>
      </c>
      <c r="AD124" s="3">
        <f>((AD123/AD$28)*(AD$5-AC$5))*-1</f>
        <v>0</v>
      </c>
      <c r="AE124" s="3">
        <f>((AE123/AE$28)*(AE$5-AD$5))*-1</f>
        <v>0</v>
      </c>
      <c r="AF124" s="6">
        <f>((AF123/AF$28)*(AF$5-AE$5))*-1</f>
        <v>0</v>
      </c>
      <c r="AG124" s="3" t="n"/>
      <c r="AH124" s="6">
        <f>((AH123/AH$28)*(AH$5-AG$5))*-1</f>
        <v>0</v>
      </c>
      <c r="AI124" s="6">
        <f>((AI123/AI$28)*(AI$5-AH$5))*-1</f>
        <v>0</v>
      </c>
      <c r="AJ124" s="6" t="n"/>
      <c r="AK124" s="6" t="n"/>
      <c r="AL124" s="3" t="n"/>
      <c r="AM124" s="6" t="n"/>
      <c r="AN124" s="6" t="n"/>
      <c r="AO124" s="6" t="n"/>
      <c r="AP124" s="6" t="n"/>
      <c r="AQ124" s="3" t="n"/>
      <c r="AR124" s="6" t="n"/>
      <c r="AS124" s="6" t="n"/>
      <c r="AT124" s="6" t="n"/>
      <c r="AU124" s="6" t="n"/>
      <c r="AV124" s="3" t="n"/>
      <c r="AW124" s="6" t="n"/>
      <c r="AX124" s="6" t="n"/>
      <c r="AY124" s="6" t="n"/>
      <c r="AZ124" s="6" t="n"/>
      <c r="BA124" s="3" t="n"/>
      <c r="BB124" s="6" t="n"/>
      <c r="BC124" s="6" t="n"/>
      <c r="BD124" s="6" t="n"/>
      <c r="BE124" s="6" t="n"/>
      <c r="BF124" s="3" t="n"/>
      <c r="BG124" s="6" t="n"/>
      <c r="BH124" s="6" t="n"/>
      <c r="BI124" s="6" t="n"/>
      <c r="BJ124" s="6" t="n"/>
      <c r="BK124" s="3" t="n"/>
      <c r="BL124" s="6" t="n"/>
      <c r="BM124" s="6" t="n"/>
      <c r="BN124" s="6" t="n"/>
      <c r="BO124" s="6" t="n"/>
      <c r="BP124" s="3" t="n"/>
      <c r="BQ124" s="6" t="n"/>
      <c r="BR124" s="6" t="n"/>
      <c r="BS124" s="6" t="n"/>
      <c r="BT124" s="6" t="n"/>
      <c r="BU124" s="3" t="n"/>
      <c r="BV124" s="6" t="n"/>
      <c r="BW124" s="6" t="n"/>
      <c r="BX124" s="6" t="n"/>
      <c r="BY124" s="6" t="n"/>
      <c r="BZ124" s="3" t="n"/>
      <c r="CA124" s="6" t="n"/>
      <c r="CB124" s="6" t="n"/>
      <c r="CC124" s="6" t="n"/>
      <c r="CD124" s="6" t="n"/>
      <c r="CE124" s="3" t="n"/>
      <c r="CF124" s="6" t="n"/>
      <c r="CG124" s="6" t="n"/>
      <c r="CH124" s="6" t="n"/>
      <c r="CI124" s="6" t="n"/>
      <c r="CJ124" s="3" t="n"/>
      <c r="CK124" s="6" t="n"/>
      <c r="CL124" s="6" t="n"/>
      <c r="CM124" s="6" t="n"/>
      <c r="CN124" s="6" t="n"/>
      <c r="CO124" s="3" t="n"/>
      <c r="CP124" s="6" t="n"/>
      <c r="CQ124" s="6" t="n"/>
      <c r="CR124" s="6" t="n"/>
      <c r="CS124" s="6" t="n"/>
      <c r="CT124" s="3" t="n"/>
      <c r="CU124" s="6" t="n"/>
      <c r="CV124" s="6" t="n"/>
      <c r="CW124" s="6" t="n"/>
      <c r="CX124" s="6" t="n"/>
      <c r="CY124" s="3" t="n"/>
    </row>
    <row r="125" hidden="1" outlineLevel="1">
      <c r="C125" s="3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Deferred income taxes</t>
        </is>
      </c>
      <c r="D127" s="25">
        <f>INDEX('Inputs (2)'!$D$18:$AL$18,MATCH(D$7,'Inputs (2)'!$D$2:$AL$2,0))</f>
        <v>0</v>
      </c>
      <c r="E127" s="25">
        <f>INDEX('Inputs (2)'!$D$18:$AL$18,MATCH(E$7,'Inputs (2)'!$D$2:$AL$2,0))</f>
        <v>0</v>
      </c>
      <c r="F127" s="25">
        <f>INDEX('Inputs (2)'!$D$18:$AL$18,MATCH(F$7,'Inputs (2)'!$D$2:$AL$2,0))</f>
        <v>0</v>
      </c>
      <c r="G127" s="25">
        <f>INDEX('Inputs (2)'!$D$18:$AL$18,MATCH(G$7,'Inputs (2)'!$D$2:$AL$2,0))</f>
        <v>0</v>
      </c>
      <c r="H127" s="3">
        <f>G127</f>
        <v>0</v>
      </c>
      <c r="I127" s="25">
        <f>INDEX('Inputs (2)'!$D$18:$AL$18,MATCH(I$7,'Inputs (2)'!$D$2:$AL$2,0))</f>
        <v>0</v>
      </c>
      <c r="J127" s="25">
        <f>INDEX('Inputs (2)'!$D$18:$AL$18,MATCH(J$7,'Inputs (2)'!$D$2:$AL$2,0))</f>
        <v>0</v>
      </c>
      <c r="K127" s="25">
        <f>INDEX('Inputs (2)'!$D$18:$AL$18,MATCH(K$7,'Inputs (2)'!$D$2:$AL$2,0))</f>
        <v>0</v>
      </c>
      <c r="L127" s="25">
        <f>INDEX('Inputs (2)'!$D$18:$AL$18,MATCH(L$7,'Inputs (2)'!$D$2:$AL$2,0))</f>
        <v>0</v>
      </c>
      <c r="M127" s="3">
        <f>L127</f>
        <v>0</v>
      </c>
      <c r="N127" s="25">
        <f>INDEX('Inputs (2)'!$D$18:$AL$18,MATCH(N$7,'Inputs (2)'!$D$2:$AL$2,0))</f>
        <v>0</v>
      </c>
      <c r="O127" s="25">
        <f>INDEX('Inputs (2)'!$D$18:$AL$18,MATCH(O$7,'Inputs (2)'!$D$2:$AL$2,0))</f>
        <v>0</v>
      </c>
      <c r="P127" s="25">
        <f>INDEX('Inputs (2)'!$D$18:$AL$18,MATCH(P$7,'Inputs (2)'!$D$2:$AL$2,0))</f>
        <v>0</v>
      </c>
      <c r="Q127" s="25">
        <f>INDEX('Inputs (2)'!$D$18:$AL$18,MATCH(Q$7,'Inputs (2)'!$D$2:$AL$2,0))</f>
        <v>0</v>
      </c>
      <c r="R127" s="3">
        <f>Q127</f>
        <v>0</v>
      </c>
      <c r="S127" s="25">
        <f>INDEX('Inputs (2)'!$D$18:$AL$18,MATCH(S$7,'Inputs (2)'!$D$2:$AL$2,0))</f>
        <v>0</v>
      </c>
      <c r="T127" s="25">
        <f>INDEX('Inputs (2)'!$D$18:$AL$18,MATCH(T$7,'Inputs (2)'!$D$2:$AL$2,0))</f>
        <v>0</v>
      </c>
      <c r="U127" s="25">
        <f>INDEX('Inputs (2)'!$D$18:$AL$18,MATCH(U$7,'Inputs (2)'!$D$2:$AL$2,0))</f>
        <v>0</v>
      </c>
      <c r="V127" s="25">
        <f>INDEX('Inputs (2)'!$D$18:$AL$18,MATCH(V$7,'Inputs (2)'!$D$2:$AL$2,0))</f>
        <v>0</v>
      </c>
      <c r="W127" s="3">
        <f>V127</f>
        <v>0</v>
      </c>
      <c r="X127" s="25">
        <f>INDEX('Inputs (2)'!$D$18:$AL$18,MATCH(X$7,'Inputs (2)'!$D$2:$AL$2,0))</f>
        <v>0</v>
      </c>
      <c r="Y127" s="25">
        <f>INDEX('Inputs (2)'!$D$18:$AL$18,MATCH(Y$7,'Inputs (2)'!$D$2:$AL$2,0))</f>
        <v>0</v>
      </c>
      <c r="Z127" s="25">
        <f>INDEX('Inputs (2)'!$D$18:$AL$18,MATCH(Z$7,'Inputs (2)'!$D$2:$AL$2,0))</f>
        <v>0</v>
      </c>
      <c r="AA127" s="25">
        <f>INDEX('Inputs (2)'!$D$18:$AL$18,MATCH(AA$7,'Inputs (2)'!$D$2:$AL$2,0))</f>
        <v>0</v>
      </c>
      <c r="AB127" s="3">
        <f>AA127</f>
        <v>0</v>
      </c>
      <c r="AC127" s="25">
        <f>INDEX('Inputs (2)'!$D$18:$AL$18,MATCH(AC$7,'Inputs (2)'!$D$2:$AL$2,0))</f>
        <v>0</v>
      </c>
      <c r="AD127" s="25">
        <f>INDEX('Inputs (2)'!$D$18:$AL$18,MATCH(AD$7,'Inputs (2)'!$D$2:$AL$2,0))</f>
        <v>0</v>
      </c>
      <c r="AE127" s="25">
        <f>INDEX('Inputs (2)'!$D$18:$AL$18,MATCH(AE$7,'Inputs (2)'!$D$2:$AL$2,0))</f>
        <v>0</v>
      </c>
      <c r="AF127" s="25">
        <f>INDEX('Inputs (2)'!$D$18:$AL$18,MATCH(AF$7,'Inputs (2)'!$D$2:$AL$2,0))</f>
        <v>0</v>
      </c>
      <c r="AG127" s="3">
        <f>AF127</f>
        <v>0</v>
      </c>
      <c r="AH127" s="3">
        <f>INDEX('Inputs (2)'!$D$18:$AL$18,MATCH(AH$7,'Inputs (2)'!$D$2:$AL$2,0))</f>
        <v>0</v>
      </c>
      <c r="AI127" s="3">
        <f>INDEX('Inputs (2)'!$D$18:$AL$18,MATCH(AI$7,'Inputs (2)'!$D$2:$AL$2,0))</f>
        <v>0</v>
      </c>
      <c r="AJ127" s="3">
        <f>AI127</f>
        <v>0</v>
      </c>
      <c r="AK127" s="3">
        <f>AJ127</f>
        <v>0</v>
      </c>
      <c r="AL127" s="3">
        <f>AK127</f>
        <v>0</v>
      </c>
      <c r="AM127" s="3">
        <f>AL127</f>
        <v>0</v>
      </c>
      <c r="AN127" s="3">
        <f>AM127</f>
        <v>0</v>
      </c>
      <c r="AO127" s="3">
        <f>AN127</f>
        <v>0</v>
      </c>
      <c r="AP127" s="3">
        <f>AO127</f>
        <v>0</v>
      </c>
      <c r="AQ127" s="3">
        <f>AP127</f>
        <v>0</v>
      </c>
      <c r="AR127" s="3">
        <f>AQ127</f>
        <v>0</v>
      </c>
      <c r="AS127" s="3">
        <f>AR127</f>
        <v>0</v>
      </c>
      <c r="AT127" s="3">
        <f>AS127</f>
        <v>0</v>
      </c>
      <c r="AU127" s="3">
        <f>AT127</f>
        <v>0</v>
      </c>
      <c r="AV127" s="3">
        <f>AU127</f>
        <v>0</v>
      </c>
      <c r="AW127" s="3">
        <f>AV127</f>
        <v>0</v>
      </c>
      <c r="AX127" s="3">
        <f>AW127</f>
        <v>0</v>
      </c>
      <c r="AY127" s="3">
        <f>AX127</f>
        <v>0</v>
      </c>
      <c r="AZ127" s="3">
        <f>AY127</f>
        <v>0</v>
      </c>
      <c r="BA127" s="3">
        <f>AZ127</f>
        <v>0</v>
      </c>
      <c r="BB127" s="3">
        <f>BA127</f>
        <v>0</v>
      </c>
      <c r="BC127" s="3">
        <f>BB127</f>
        <v>0</v>
      </c>
      <c r="BD127" s="3">
        <f>BC127</f>
        <v>0</v>
      </c>
      <c r="BE127" s="3">
        <f>BD127</f>
        <v>0</v>
      </c>
      <c r="BF127" s="3">
        <f>BE127</f>
        <v>0</v>
      </c>
      <c r="BG127" s="3">
        <f>BF127</f>
        <v>0</v>
      </c>
      <c r="BH127" s="3">
        <f>BG127</f>
        <v>0</v>
      </c>
      <c r="BI127" s="3">
        <f>BH127</f>
        <v>0</v>
      </c>
      <c r="BJ127" s="3">
        <f>BI127</f>
        <v>0</v>
      </c>
      <c r="BK127" s="3">
        <f>BJ127</f>
        <v>0</v>
      </c>
      <c r="BL127" s="3">
        <f>BK127</f>
        <v>0</v>
      </c>
      <c r="BM127" s="3">
        <f>BL127</f>
        <v>0</v>
      </c>
      <c r="BN127" s="3">
        <f>BM127</f>
        <v>0</v>
      </c>
      <c r="BO127" s="3">
        <f>BN127</f>
        <v>0</v>
      </c>
      <c r="BP127" s="3">
        <f>BO127</f>
        <v>0</v>
      </c>
      <c r="BQ127" s="3">
        <f>BP127</f>
        <v>0</v>
      </c>
      <c r="BR127" s="3">
        <f>BQ127</f>
        <v>0</v>
      </c>
      <c r="BS127" s="3">
        <f>BR127</f>
        <v>0</v>
      </c>
      <c r="BT127" s="3">
        <f>BS127</f>
        <v>0</v>
      </c>
      <c r="BU127" s="3">
        <f>BT127</f>
        <v>0</v>
      </c>
      <c r="BV127" s="3">
        <f>BU127</f>
        <v>0</v>
      </c>
      <c r="BW127" s="3">
        <f>BV127</f>
        <v>0</v>
      </c>
      <c r="BX127" s="3">
        <f>BW127</f>
        <v>0</v>
      </c>
      <c r="BY127" s="3">
        <f>BX127</f>
        <v>0</v>
      </c>
      <c r="BZ127" s="3">
        <f>BY127</f>
        <v>0</v>
      </c>
      <c r="CA127" s="3">
        <f>BZ127</f>
        <v>0</v>
      </c>
      <c r="CB127" s="3">
        <f>CA127</f>
        <v>0</v>
      </c>
      <c r="CC127" s="3">
        <f>CB127</f>
        <v>0</v>
      </c>
      <c r="CD127" s="3">
        <f>CC127</f>
        <v>0</v>
      </c>
      <c r="CE127" s="3">
        <f>CD127</f>
        <v>0</v>
      </c>
      <c r="CF127" s="3">
        <f>CE127</f>
        <v>0</v>
      </c>
      <c r="CG127" s="3">
        <f>CF127</f>
        <v>0</v>
      </c>
      <c r="CH127" s="3">
        <f>CG127</f>
        <v>0</v>
      </c>
      <c r="CI127" s="3">
        <f>CH127</f>
        <v>0</v>
      </c>
      <c r="CJ127" s="3">
        <f>CI127</f>
        <v>0</v>
      </c>
      <c r="CK127" s="3">
        <f>CJ127</f>
        <v>0</v>
      </c>
      <c r="CL127" s="3">
        <f>CK127</f>
        <v>0</v>
      </c>
      <c r="CM127" s="3">
        <f>CL127</f>
        <v>0</v>
      </c>
      <c r="CN127" s="3">
        <f>CM127</f>
        <v>0</v>
      </c>
      <c r="CO127" s="3">
        <f>CN127</f>
        <v>0</v>
      </c>
      <c r="CP127" s="3">
        <f>CO127</f>
        <v>0</v>
      </c>
      <c r="CQ127" s="3">
        <f>CP127</f>
        <v>0</v>
      </c>
      <c r="CR127" s="3">
        <f>CQ127</f>
        <v>0</v>
      </c>
      <c r="CS127" s="3">
        <f>CR127</f>
        <v>0</v>
      </c>
      <c r="CT127" s="3">
        <f>CS127</f>
        <v>0</v>
      </c>
      <c r="CU127" s="3">
        <f>CT127</f>
        <v>0</v>
      </c>
      <c r="CV127" s="3">
        <f>CU127</f>
        <v>0</v>
      </c>
      <c r="CW127" s="3">
        <f>CV127</f>
        <v>0</v>
      </c>
      <c r="CX127" s="3">
        <f>CW127</f>
        <v>0</v>
      </c>
      <c r="CY127" s="3">
        <f>CX127</f>
        <v>0</v>
      </c>
    </row>
    <row r="128">
      <c r="C128" s="26" t="inlineStr">
        <is>
          <t>Prepaid expenses</t>
        </is>
      </c>
      <c r="D128" s="25">
        <f>INDEX('Inputs (2)'!$D$19:$AL$19,MATCH(D$7,'Inputs (2)'!$D$2:$AL$2,0))</f>
        <v>3279</v>
      </c>
      <c r="E128" s="25">
        <f>INDEX('Inputs (2)'!$D$19:$AL$19,MATCH(E$7,'Inputs (2)'!$D$2:$AL$2,0))</f>
        <v>2737</v>
      </c>
      <c r="F128" s="25">
        <f>INDEX('Inputs (2)'!$D$19:$AL$19,MATCH(F$7,'Inputs (2)'!$D$2:$AL$2,0))</f>
        <v>2506</v>
      </c>
      <c r="G128" s="25">
        <f>INDEX('Inputs (2)'!$D$19:$AL$19,MATCH(G$7,'Inputs (2)'!$D$2:$AL$2,0))</f>
        <v>3304</v>
      </c>
      <c r="H128" s="3">
        <f>G128</f>
        <v>3304</v>
      </c>
      <c r="I128" s="25">
        <f>INDEX('Inputs (2)'!$D$19:$AL$19,MATCH(I$7,'Inputs (2)'!$D$2:$AL$2,0))</f>
        <v>3587</v>
      </c>
      <c r="J128" s="25">
        <f>INDEX('Inputs (2)'!$D$19:$AL$19,MATCH(J$7,'Inputs (2)'!$D$2:$AL$2,0))</f>
        <v>3468</v>
      </c>
      <c r="K128" s="25">
        <f>INDEX('Inputs (2)'!$D$19:$AL$19,MATCH(K$7,'Inputs (2)'!$D$2:$AL$2,0))</f>
        <v>3409</v>
      </c>
      <c r="L128" s="25">
        <f>INDEX('Inputs (2)'!$D$19:$AL$19,MATCH(L$7,'Inputs (2)'!$D$2:$AL$2,0))</f>
        <v>3339</v>
      </c>
      <c r="M128" s="3">
        <f>L128</f>
        <v>3339</v>
      </c>
      <c r="N128" s="25">
        <f>INDEX('Inputs (2)'!$D$19:$AL$19,MATCH(N$7,'Inputs (2)'!$D$2:$AL$2,0))</f>
        <v>3225</v>
      </c>
      <c r="O128" s="25">
        <f>INDEX('Inputs (2)'!$D$19:$AL$19,MATCH(O$7,'Inputs (2)'!$D$2:$AL$2,0))</f>
        <v>4243</v>
      </c>
      <c r="P128" s="25">
        <f>INDEX('Inputs (2)'!$D$19:$AL$19,MATCH(P$7,'Inputs (2)'!$D$2:$AL$2,0))</f>
        <v>4604</v>
      </c>
      <c r="Q128" s="25">
        <f>INDEX('Inputs (2)'!$D$19:$AL$19,MATCH(Q$7,'Inputs (2)'!$D$2:$AL$2,0))</f>
        <v>3739</v>
      </c>
      <c r="R128" s="3">
        <f>Q128</f>
        <v>3739</v>
      </c>
      <c r="S128" s="25">
        <f>INDEX('Inputs (2)'!$D$19:$AL$19,MATCH(S$7,'Inputs (2)'!$D$2:$AL$2,0))</f>
        <v>4300</v>
      </c>
      <c r="T128" s="25">
        <f>INDEX('Inputs (2)'!$D$19:$AL$19,MATCH(T$7,'Inputs (2)'!$D$2:$AL$2,0))</f>
        <v>4697</v>
      </c>
      <c r="U128" s="25">
        <f>INDEX('Inputs (2)'!$D$19:$AL$19,MATCH(U$7,'Inputs (2)'!$D$2:$AL$2,0))</f>
        <v>4373</v>
      </c>
      <c r="V128" s="25">
        <f>INDEX('Inputs (2)'!$D$19:$AL$19,MATCH(V$7,'Inputs (2)'!$D$2:$AL$2,0))</f>
        <v>4372</v>
      </c>
      <c r="W128" s="3">
        <f>V128</f>
        <v>4372</v>
      </c>
      <c r="X128" s="25">
        <f>INDEX('Inputs (2)'!$D$19:$AL$19,MATCH(X$7,'Inputs (2)'!$D$2:$AL$2,0))</f>
        <v>3874</v>
      </c>
      <c r="Y128" s="25">
        <f>INDEX('Inputs (2)'!$D$19:$AL$19,MATCH(Y$7,'Inputs (2)'!$D$2:$AL$2,0))</f>
        <v>4132</v>
      </c>
      <c r="Z128" s="25">
        <f>INDEX('Inputs (2)'!$D$19:$AL$19,MATCH(Z$7,'Inputs (2)'!$D$2:$AL$2,0))</f>
        <v>4168</v>
      </c>
      <c r="AA128" s="25">
        <f>INDEX('Inputs (2)'!$D$19:$AL$19,MATCH(AA$7,'Inputs (2)'!$D$2:$AL$2,0))</f>
        <v>4368</v>
      </c>
      <c r="AB128" s="3">
        <f>AA128</f>
        <v>4368</v>
      </c>
      <c r="AC128" s="25">
        <f>INDEX('Inputs (2)'!$D$19:$AL$19,MATCH(AC$7,'Inputs (2)'!$D$2:$AL$2,0))</f>
        <v>5204</v>
      </c>
      <c r="AD128" s="25">
        <f>INDEX('Inputs (2)'!$D$19:$AL$19,MATCH(AD$7,'Inputs (2)'!$D$2:$AL$2,0))</f>
        <v>4149</v>
      </c>
      <c r="AE128" s="25">
        <f>INDEX('Inputs (2)'!$D$19:$AL$19,MATCH(AE$7,'Inputs (2)'!$D$2:$AL$2,0))</f>
        <v>4816</v>
      </c>
      <c r="AF128" s="25">
        <f>INDEX('Inputs (2)'!$D$19:$AL$19,MATCH(AF$7,'Inputs (2)'!$D$2:$AL$2,0))</f>
        <v>4469</v>
      </c>
      <c r="AG128" s="3">
        <f>AF128</f>
        <v>4469</v>
      </c>
      <c r="AH128" s="3">
        <f>INDEX('Inputs (2)'!$D$19:$AL$19,MATCH(AH$7,'Inputs (2)'!$D$2:$AL$2,0))</f>
        <v>5023</v>
      </c>
      <c r="AI128" s="3">
        <f>INDEX('Inputs (2)'!$D$19:$AL$19,MATCH(AI$7,'Inputs (2)'!$D$2:$AL$2,0))</f>
        <v>5509</v>
      </c>
      <c r="AJ128" s="3">
        <f>AI128</f>
        <v>5509</v>
      </c>
      <c r="AK128" s="3">
        <f>AJ128</f>
        <v>5509</v>
      </c>
      <c r="AL128" s="3">
        <f>AK128</f>
        <v>5509</v>
      </c>
      <c r="AM128" s="3">
        <f>AL128</f>
        <v>5509</v>
      </c>
      <c r="AN128" s="3">
        <f>AM128</f>
        <v>5509</v>
      </c>
      <c r="AO128" s="3">
        <f>AN128</f>
        <v>5509</v>
      </c>
      <c r="AP128" s="3">
        <f>AO128</f>
        <v>5509</v>
      </c>
      <c r="AQ128" s="3">
        <f>AP128</f>
        <v>5509</v>
      </c>
      <c r="AR128" s="3">
        <f>AQ128</f>
        <v>5509</v>
      </c>
      <c r="AS128" s="3">
        <f>AR128</f>
        <v>5509</v>
      </c>
      <c r="AT128" s="3">
        <f>AS128</f>
        <v>5509</v>
      </c>
      <c r="AU128" s="3">
        <f>AT128</f>
        <v>5509</v>
      </c>
      <c r="AV128" s="3">
        <f>AU128</f>
        <v>5509</v>
      </c>
      <c r="AW128" s="3">
        <f>AV128</f>
        <v>5509</v>
      </c>
      <c r="AX128" s="3">
        <f>AW128</f>
        <v>5509</v>
      </c>
      <c r="AY128" s="3">
        <f>AX128</f>
        <v>5509</v>
      </c>
      <c r="AZ128" s="3">
        <f>AY128</f>
        <v>5509</v>
      </c>
      <c r="BA128" s="3">
        <f>AZ128</f>
        <v>5509</v>
      </c>
      <c r="BB128" s="3">
        <f>BA128</f>
        <v>5509</v>
      </c>
      <c r="BC128" s="3">
        <f>BB128</f>
        <v>5509</v>
      </c>
      <c r="BD128" s="3">
        <f>BC128</f>
        <v>5509</v>
      </c>
      <c r="BE128" s="3">
        <f>BD128</f>
        <v>5509</v>
      </c>
      <c r="BF128" s="3">
        <f>BE128</f>
        <v>5509</v>
      </c>
      <c r="BG128" s="3">
        <f>BF128</f>
        <v>5509</v>
      </c>
      <c r="BH128" s="3">
        <f>BG128</f>
        <v>5509</v>
      </c>
      <c r="BI128" s="3">
        <f>BH128</f>
        <v>5509</v>
      </c>
      <c r="BJ128" s="3">
        <f>BI128</f>
        <v>5509</v>
      </c>
      <c r="BK128" s="3">
        <f>BJ128</f>
        <v>5509</v>
      </c>
      <c r="BL128" s="3">
        <f>BK128</f>
        <v>5509</v>
      </c>
      <c r="BM128" s="3">
        <f>BL128</f>
        <v>5509</v>
      </c>
      <c r="BN128" s="3">
        <f>BM128</f>
        <v>5509</v>
      </c>
      <c r="BO128" s="3">
        <f>BN128</f>
        <v>5509</v>
      </c>
      <c r="BP128" s="3">
        <f>BO128</f>
        <v>5509</v>
      </c>
      <c r="BQ128" s="3">
        <f>BP128</f>
        <v>5509</v>
      </c>
      <c r="BR128" s="3">
        <f>BQ128</f>
        <v>5509</v>
      </c>
      <c r="BS128" s="3">
        <f>BR128</f>
        <v>5509</v>
      </c>
      <c r="BT128" s="3">
        <f>BS128</f>
        <v>5509</v>
      </c>
      <c r="BU128" s="3">
        <f>BT128</f>
        <v>5509</v>
      </c>
      <c r="BV128" s="3">
        <f>BU128</f>
        <v>5509</v>
      </c>
      <c r="BW128" s="3">
        <f>BV128</f>
        <v>5509</v>
      </c>
      <c r="BX128" s="3">
        <f>BW128</f>
        <v>5509</v>
      </c>
      <c r="BY128" s="3">
        <f>BX128</f>
        <v>5509</v>
      </c>
      <c r="BZ128" s="3">
        <f>BY128</f>
        <v>5509</v>
      </c>
      <c r="CA128" s="3">
        <f>BZ128</f>
        <v>5509</v>
      </c>
      <c r="CB128" s="3">
        <f>CA128</f>
        <v>5509</v>
      </c>
      <c r="CC128" s="3">
        <f>CB128</f>
        <v>5509</v>
      </c>
      <c r="CD128" s="3">
        <f>CC128</f>
        <v>5509</v>
      </c>
      <c r="CE128" s="3">
        <f>CD128</f>
        <v>5509</v>
      </c>
      <c r="CF128" s="3">
        <f>CE128</f>
        <v>5509</v>
      </c>
      <c r="CG128" s="3">
        <f>CF128</f>
        <v>5509</v>
      </c>
      <c r="CH128" s="3">
        <f>CG128</f>
        <v>5509</v>
      </c>
      <c r="CI128" s="3">
        <f>CH128</f>
        <v>5509</v>
      </c>
      <c r="CJ128" s="3">
        <f>CI128</f>
        <v>5509</v>
      </c>
      <c r="CK128" s="3">
        <f>CJ128</f>
        <v>5509</v>
      </c>
      <c r="CL128" s="3">
        <f>CK128</f>
        <v>5509</v>
      </c>
      <c r="CM128" s="3">
        <f>CL128</f>
        <v>5509</v>
      </c>
      <c r="CN128" s="3">
        <f>CM128</f>
        <v>5509</v>
      </c>
      <c r="CO128" s="3">
        <f>CN128</f>
        <v>5509</v>
      </c>
      <c r="CP128" s="3">
        <f>CO128</f>
        <v>5509</v>
      </c>
      <c r="CQ128" s="3">
        <f>CP128</f>
        <v>5509</v>
      </c>
      <c r="CR128" s="3">
        <f>CQ128</f>
        <v>5509</v>
      </c>
      <c r="CS128" s="3">
        <f>CR128</f>
        <v>5509</v>
      </c>
      <c r="CT128" s="3">
        <f>CS128</f>
        <v>5509</v>
      </c>
      <c r="CU128" s="3">
        <f>CT128</f>
        <v>5509</v>
      </c>
      <c r="CV128" s="3">
        <f>CU128</f>
        <v>5509</v>
      </c>
      <c r="CW128" s="3">
        <f>CV128</f>
        <v>5509</v>
      </c>
      <c r="CX128" s="3">
        <f>CW128</f>
        <v>5509</v>
      </c>
      <c r="CY128" s="3">
        <f>CX128</f>
        <v>5509</v>
      </c>
    </row>
    <row r="129">
      <c r="C129" s="26" t="inlineStr">
        <is>
          <t>Other current assets</t>
        </is>
      </c>
      <c r="D129" s="25">
        <f>INDEX('Inputs (2)'!$D$20:$AL$20,MATCH(D$7,'Inputs (2)'!$D$2:$AL$2,0))</f>
        <v>15066</v>
      </c>
      <c r="E129" s="25">
        <f>INDEX('Inputs (2)'!$D$20:$AL$20,MATCH(E$7,'Inputs (2)'!$D$2:$AL$2,0))</f>
        <v>12366</v>
      </c>
      <c r="F129" s="25">
        <f>INDEX('Inputs (2)'!$D$20:$AL$20,MATCH(F$7,'Inputs (2)'!$D$2:$AL$2,0))</f>
        <v>12547</v>
      </c>
      <c r="G129" s="25">
        <f>INDEX('Inputs (2)'!$D$20:$AL$20,MATCH(G$7,'Inputs (2)'!$D$2:$AL$2,0))</f>
        <v>11272</v>
      </c>
      <c r="H129" s="3">
        <f>G129</f>
        <v>11272</v>
      </c>
      <c r="I129" s="25">
        <f>INDEX('Inputs (2)'!$D$20:$AL$20,MATCH(I$7,'Inputs (2)'!$D$2:$AL$2,0))</f>
        <v>12696</v>
      </c>
      <c r="J129" s="25">
        <f>INDEX('Inputs (2)'!$D$20:$AL$20,MATCH(J$7,'Inputs (2)'!$D$2:$AL$2,0))</f>
        <v>13766</v>
      </c>
      <c r="K129" s="25">
        <f>INDEX('Inputs (2)'!$D$20:$AL$20,MATCH(K$7,'Inputs (2)'!$D$2:$AL$2,0))</f>
        <v>12127</v>
      </c>
      <c r="L129" s="25">
        <f>INDEX('Inputs (2)'!$D$20:$AL$20,MATCH(L$7,'Inputs (2)'!$D$2:$AL$2,0))</f>
        <v>11945</v>
      </c>
      <c r="M129" s="3">
        <f>L129</f>
        <v>11945</v>
      </c>
      <c r="N129" s="25">
        <f>INDEX('Inputs (2)'!$D$20:$AL$20,MATCH(N$7,'Inputs (2)'!$D$2:$AL$2,0))</f>
        <v>18196</v>
      </c>
      <c r="O129" s="25">
        <f>INDEX('Inputs (2)'!$D$20:$AL$20,MATCH(O$7,'Inputs (2)'!$D$2:$AL$2,0))</f>
        <v>7715</v>
      </c>
      <c r="P129" s="25">
        <f>INDEX('Inputs (2)'!$D$20:$AL$20,MATCH(P$7,'Inputs (2)'!$D$2:$AL$2,0))</f>
        <v>9002</v>
      </c>
      <c r="Q129" s="25">
        <f>INDEX('Inputs (2)'!$D$20:$AL$20,MATCH(Q$7,'Inputs (2)'!$D$2:$AL$2,0))</f>
        <v>8247</v>
      </c>
      <c r="R129" s="3">
        <f>Q129</f>
        <v>8247</v>
      </c>
      <c r="S129" s="25">
        <f>INDEX('Inputs (2)'!$D$20:$AL$20,MATCH(S$7,'Inputs (2)'!$D$2:$AL$2,0))</f>
        <v>9232</v>
      </c>
      <c r="T129" s="25">
        <f>INDEX('Inputs (2)'!$D$20:$AL$20,MATCH(T$7,'Inputs (2)'!$D$2:$AL$2,0))</f>
        <v>9198</v>
      </c>
      <c r="U129" s="25">
        <f>INDEX('Inputs (2)'!$D$20:$AL$20,MATCH(U$7,'Inputs (2)'!$D$2:$AL$2,0))</f>
        <v>9428</v>
      </c>
      <c r="V129" s="25">
        <f>INDEX('Inputs (2)'!$D$20:$AL$20,MATCH(V$7,'Inputs (2)'!$D$2:$AL$2,0))</f>
        <v>8612</v>
      </c>
      <c r="W129" s="3">
        <f>V129</f>
        <v>8612</v>
      </c>
      <c r="X129" s="25">
        <f>INDEX('Inputs (2)'!$D$20:$AL$20,MATCH(X$7,'Inputs (2)'!$D$2:$AL$2,0))</f>
        <v>9942</v>
      </c>
      <c r="Y129" s="25">
        <f>INDEX('Inputs (2)'!$D$20:$AL$20,MATCH(Y$7,'Inputs (2)'!$D$2:$AL$2,0))</f>
        <v>10477</v>
      </c>
      <c r="Z129" s="25">
        <f>INDEX('Inputs (2)'!$D$20:$AL$20,MATCH(Z$7,'Inputs (2)'!$D$2:$AL$2,0))</f>
        <v>14428</v>
      </c>
      <c r="AA129" s="25">
        <f>INDEX('Inputs (2)'!$D$20:$AL$20,MATCH(AA$7,'Inputs (2)'!$D$2:$AL$2,0))</f>
        <v>15859</v>
      </c>
      <c r="AB129" s="3">
        <f>AA129</f>
        <v>15859</v>
      </c>
      <c r="AC129" s="25">
        <f>INDEX('Inputs (2)'!$D$20:$AL$20,MATCH(AC$7,'Inputs (2)'!$D$2:$AL$2,0))</f>
        <v>13810</v>
      </c>
      <c r="AD129" s="25">
        <f>INDEX('Inputs (2)'!$D$20:$AL$20,MATCH(AD$7,'Inputs (2)'!$D$2:$AL$2,0))</f>
        <v>12879</v>
      </c>
      <c r="AE129" s="25">
        <f>INDEX('Inputs (2)'!$D$20:$AL$20,MATCH(AE$7,'Inputs (2)'!$D$2:$AL$2,0))</f>
        <v>18163</v>
      </c>
      <c r="AF129" s="25">
        <f>INDEX('Inputs (2)'!$D$20:$AL$20,MATCH(AF$7,'Inputs (2)'!$D$2:$AL$2,0))</f>
        <v>16008</v>
      </c>
      <c r="AG129" s="3">
        <f>AF129</f>
        <v>16008</v>
      </c>
      <c r="AH129" s="3">
        <f>INDEX('Inputs (2)'!$D$20:$AL$20,MATCH(AH$7,'Inputs (2)'!$D$2:$AL$2,0))</f>
        <v>15881</v>
      </c>
      <c r="AI129" s="3">
        <f>INDEX('Inputs (2)'!$D$20:$AL$20,MATCH(AI$7,'Inputs (2)'!$D$2:$AL$2,0))</f>
        <v>19052</v>
      </c>
      <c r="AJ129" s="3">
        <f>AI129</f>
        <v>19052</v>
      </c>
      <c r="AK129" s="3">
        <f>AJ129</f>
        <v>19052</v>
      </c>
      <c r="AL129" s="3">
        <f>AK129</f>
        <v>19052</v>
      </c>
      <c r="AM129" s="3">
        <f>AL129</f>
        <v>19052</v>
      </c>
      <c r="AN129" s="3">
        <f>AM129</f>
        <v>19052</v>
      </c>
      <c r="AO129" s="3">
        <f>AN129</f>
        <v>19052</v>
      </c>
      <c r="AP129" s="3">
        <f>AO129</f>
        <v>19052</v>
      </c>
      <c r="AQ129" s="3">
        <f>AP129</f>
        <v>19052</v>
      </c>
      <c r="AR129" s="3">
        <f>AQ129</f>
        <v>19052</v>
      </c>
      <c r="AS129" s="3">
        <f>AR129</f>
        <v>19052</v>
      </c>
      <c r="AT129" s="3">
        <f>AS129</f>
        <v>19052</v>
      </c>
      <c r="AU129" s="3">
        <f>AT129</f>
        <v>19052</v>
      </c>
      <c r="AV129" s="3">
        <f>AU129</f>
        <v>19052</v>
      </c>
      <c r="AW129" s="3">
        <f>AV129</f>
        <v>19052</v>
      </c>
      <c r="AX129" s="3">
        <f>AW129</f>
        <v>19052</v>
      </c>
      <c r="AY129" s="3">
        <f>AX129</f>
        <v>19052</v>
      </c>
      <c r="AZ129" s="3">
        <f>AY129</f>
        <v>19052</v>
      </c>
      <c r="BA129" s="3">
        <f>AZ129</f>
        <v>19052</v>
      </c>
      <c r="BB129" s="3">
        <f>BA129</f>
        <v>19052</v>
      </c>
      <c r="BC129" s="3">
        <f>BB129</f>
        <v>19052</v>
      </c>
      <c r="BD129" s="3">
        <f>BC129</f>
        <v>19052</v>
      </c>
      <c r="BE129" s="3">
        <f>BD129</f>
        <v>19052</v>
      </c>
      <c r="BF129" s="3">
        <f>BE129</f>
        <v>19052</v>
      </c>
      <c r="BG129" s="3">
        <f>BF129</f>
        <v>19052</v>
      </c>
      <c r="BH129" s="3">
        <f>BG129</f>
        <v>19052</v>
      </c>
      <c r="BI129" s="3">
        <f>BH129</f>
        <v>19052</v>
      </c>
      <c r="BJ129" s="3">
        <f>BI129</f>
        <v>19052</v>
      </c>
      <c r="BK129" s="3">
        <f>BJ129</f>
        <v>19052</v>
      </c>
      <c r="BL129" s="3">
        <f>BK129</f>
        <v>19052</v>
      </c>
      <c r="BM129" s="3">
        <f>BL129</f>
        <v>19052</v>
      </c>
      <c r="BN129" s="3">
        <f>BM129</f>
        <v>19052</v>
      </c>
      <c r="BO129" s="3">
        <f>BN129</f>
        <v>19052</v>
      </c>
      <c r="BP129" s="3">
        <f>BO129</f>
        <v>19052</v>
      </c>
      <c r="BQ129" s="3">
        <f>BP129</f>
        <v>19052</v>
      </c>
      <c r="BR129" s="3">
        <f>BQ129</f>
        <v>19052</v>
      </c>
      <c r="BS129" s="3">
        <f>BR129</f>
        <v>19052</v>
      </c>
      <c r="BT129" s="3">
        <f>BS129</f>
        <v>19052</v>
      </c>
      <c r="BU129" s="3">
        <f>BT129</f>
        <v>19052</v>
      </c>
      <c r="BV129" s="3">
        <f>BU129</f>
        <v>19052</v>
      </c>
      <c r="BW129" s="3">
        <f>BV129</f>
        <v>19052</v>
      </c>
      <c r="BX129" s="3">
        <f>BW129</f>
        <v>19052</v>
      </c>
      <c r="BY129" s="3">
        <f>BX129</f>
        <v>19052</v>
      </c>
      <c r="BZ129" s="3">
        <f>BY129</f>
        <v>19052</v>
      </c>
      <c r="CA129" s="3">
        <f>BZ129</f>
        <v>19052</v>
      </c>
      <c r="CB129" s="3">
        <f>CA129</f>
        <v>19052</v>
      </c>
      <c r="CC129" s="3">
        <f>CB129</f>
        <v>19052</v>
      </c>
      <c r="CD129" s="3">
        <f>CC129</f>
        <v>19052</v>
      </c>
      <c r="CE129" s="3">
        <f>CD129</f>
        <v>19052</v>
      </c>
      <c r="CF129" s="3">
        <f>CE129</f>
        <v>19052</v>
      </c>
      <c r="CG129" s="3">
        <f>CF129</f>
        <v>19052</v>
      </c>
      <c r="CH129" s="3">
        <f>CG129</f>
        <v>19052</v>
      </c>
      <c r="CI129" s="3">
        <f>CH129</f>
        <v>19052</v>
      </c>
      <c r="CJ129" s="3">
        <f>CI129</f>
        <v>19052</v>
      </c>
      <c r="CK129" s="3">
        <f>CJ129</f>
        <v>19052</v>
      </c>
      <c r="CL129" s="3">
        <f>CK129</f>
        <v>19052</v>
      </c>
      <c r="CM129" s="3">
        <f>CL129</f>
        <v>19052</v>
      </c>
      <c r="CN129" s="3">
        <f>CM129</f>
        <v>19052</v>
      </c>
      <c r="CO129" s="3">
        <f>CN129</f>
        <v>19052</v>
      </c>
      <c r="CP129" s="3">
        <f>CO129</f>
        <v>19052</v>
      </c>
      <c r="CQ129" s="3">
        <f>CP129</f>
        <v>19052</v>
      </c>
      <c r="CR129" s="3">
        <f>CQ129</f>
        <v>19052</v>
      </c>
      <c r="CS129" s="3">
        <f>CR129</f>
        <v>19052</v>
      </c>
      <c r="CT129" s="3">
        <f>CS129</f>
        <v>19052</v>
      </c>
      <c r="CU129" s="3">
        <f>CT129</f>
        <v>19052</v>
      </c>
      <c r="CV129" s="3">
        <f>CU129</f>
        <v>19052</v>
      </c>
      <c r="CW129" s="3">
        <f>CV129</f>
        <v>19052</v>
      </c>
      <c r="CX129" s="3">
        <f>CW129</f>
        <v>19052</v>
      </c>
      <c r="CY129" s="3">
        <f>CX129</f>
        <v>19052</v>
      </c>
    </row>
    <row r="130" hidden="1" outlineLevel="1">
      <c r="C130" s="38" t="inlineStr">
        <is>
          <t>%(Var.)</t>
        </is>
      </c>
      <c r="D130" s="3" t="n"/>
      <c r="E130" s="47">
        <f>(E129-D129)/D129</f>
        <v>-0.17921146953405</v>
      </c>
      <c r="F130" s="47">
        <f>(F129-E129)/E129</f>
        <v>0.0146369076500081</v>
      </c>
      <c r="G130" s="47">
        <f>(G129-F129)/F129</f>
        <v>-0.101617916633458</v>
      </c>
      <c r="H130" s="3" t="n"/>
      <c r="I130" s="47">
        <f>(I129-H129)/H129</f>
        <v>0.126330731014904</v>
      </c>
      <c r="J130" s="47">
        <f>(J129-I129)/I129</f>
        <v>0.0842785129174543</v>
      </c>
      <c r="K130" s="47">
        <f>(K129-J129)/J129</f>
        <v>-0.11906145576057</v>
      </c>
      <c r="L130" s="47">
        <f>(L129-K129)/K129</f>
        <v>-0.0150078337593799</v>
      </c>
      <c r="M130" s="3" t="n"/>
      <c r="N130" s="47">
        <f>(N129-M129)/M129</f>
        <v>0.52331519464211</v>
      </c>
      <c r="O130" s="47">
        <f>(O129-N129)/N129</f>
        <v>-0.576005715541877</v>
      </c>
      <c r="P130" s="47">
        <f>(P129-O129)/O129</f>
        <v>0.166817887232664</v>
      </c>
      <c r="Q130" s="47">
        <f>(Q129-P129)/P129</f>
        <v>-0.0838702510553211</v>
      </c>
      <c r="R130" s="3" t="n"/>
      <c r="S130" s="47">
        <f>(S129-R129)/R129</f>
        <v>0.119437371165272</v>
      </c>
      <c r="T130" s="47">
        <f>(T129-S129)/S129</f>
        <v>-0.00368284228769497</v>
      </c>
      <c r="U130" s="47">
        <f>(U129-T129)/T129</f>
        <v>0.0250054359643401</v>
      </c>
      <c r="V130" s="47">
        <f>(V129-U129)/U129</f>
        <v>-0.0865507000424268</v>
      </c>
      <c r="W130" s="3" t="n"/>
      <c r="X130" s="47">
        <f>(X129-W129)/W129</f>
        <v>0.154435671156526</v>
      </c>
      <c r="Y130" s="47">
        <f>(Y129-X129)/X129</f>
        <v>0.0538121102393885</v>
      </c>
      <c r="Z130" s="47">
        <f>(Z129-Y129)/Y129</f>
        <v>0.37711176863606</v>
      </c>
      <c r="AA130" s="47">
        <f>(AA129-Z129)/Z129</f>
        <v>0.0991821458275575</v>
      </c>
      <c r="AB130" s="3" t="n"/>
      <c r="AC130" s="47">
        <f>(AC129-AB129)/AB129</f>
        <v>-0.129201084557664</v>
      </c>
      <c r="AD130" s="47">
        <f>(AD129-AC129)/AC129</f>
        <v>-0.0674149167270094</v>
      </c>
      <c r="AE130" s="47">
        <f>(AE129-AD129)/AD129</f>
        <v>0.410280301265626</v>
      </c>
      <c r="AF130" s="218">
        <f>(AF129-AE129)/AE129</f>
        <v>-0.11864780047349</v>
      </c>
      <c r="AG130" s="3" t="n"/>
      <c r="AH130" s="3">
        <f>(AH129-AG129)/AG129</f>
        <v>-0.00793353323338331</v>
      </c>
      <c r="AI130" s="3">
        <f>(AI129-AH129)/AH129</f>
        <v>0.199672564699956</v>
      </c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47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52" t="inlineStr">
        <is>
          <t xml:space="preserve">Impostos e Contribuições a Recuperar </t>
        </is>
      </c>
      <c r="D132" s="6" t="n"/>
      <c r="E132" s="6" t="n"/>
      <c r="F132" s="6" t="n"/>
      <c r="G132" s="6" t="n"/>
      <c r="H132" s="3" t="n"/>
      <c r="I132" s="6" t="n"/>
      <c r="J132" s="6" t="n"/>
      <c r="K132" s="6" t="n"/>
      <c r="L132" s="6" t="n"/>
      <c r="M132" s="3" t="n"/>
      <c r="N132" s="6" t="n"/>
      <c r="O132" s="6" t="n"/>
      <c r="P132" s="6" t="n"/>
      <c r="Q132" s="6" t="n"/>
      <c r="R132" s="3" t="n"/>
      <c r="S132" s="6" t="n"/>
      <c r="T132" s="6" t="n"/>
      <c r="U132" s="6" t="n"/>
      <c r="V132" s="6" t="n"/>
      <c r="W132" s="3" t="n"/>
      <c r="X132" s="6" t="n"/>
      <c r="Y132" s="6" t="n"/>
      <c r="Z132" s="6" t="n"/>
      <c r="AA132" s="6" t="n"/>
      <c r="AB132" s="3" t="n"/>
      <c r="AC132" s="6" t="n"/>
      <c r="AD132" s="6" t="n"/>
      <c r="AE132" s="6" t="n"/>
      <c r="AF132" s="6" t="n"/>
      <c r="AG132" s="3">
        <f>AF132</f>
        <v>0</v>
      </c>
      <c r="AH132" s="216">
        <f>AG132*AH15/AG15</f>
        <v>0</v>
      </c>
      <c r="AI132" s="216">
        <f>AH132*AI15/AH15</f>
        <v>0</v>
      </c>
      <c r="AJ132" s="216">
        <f>AI132*AJ15/AI15</f>
        <v>0</v>
      </c>
      <c r="AK132" s="216">
        <f>AJ132*AK15/AJ15</f>
        <v>0</v>
      </c>
      <c r="AL132" s="3">
        <f>AK132</f>
        <v>0</v>
      </c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52" t="inlineStr">
        <is>
          <t>Outros Créditos</t>
        </is>
      </c>
      <c r="D133" s="6" t="n"/>
      <c r="E133" s="6" t="n"/>
      <c r="F133" s="6" t="n"/>
      <c r="G133" s="6" t="n"/>
      <c r="H133" s="3" t="n"/>
      <c r="I133" s="6" t="n"/>
      <c r="J133" s="6" t="n"/>
      <c r="K133" s="6" t="n"/>
      <c r="L133" s="6" t="n"/>
      <c r="M133" s="3" t="n"/>
      <c r="N133" s="6" t="n"/>
      <c r="O133" s="6" t="n"/>
      <c r="P133" s="6" t="n"/>
      <c r="Q133" s="6" t="n"/>
      <c r="R133" s="3" t="n"/>
      <c r="S133" s="6" t="n"/>
      <c r="T133" s="6" t="n"/>
      <c r="U133" s="6" t="n"/>
      <c r="V133" s="6" t="n"/>
      <c r="W133" s="3" t="n"/>
      <c r="X133" s="6" t="n"/>
      <c r="Y133" s="6" t="n"/>
      <c r="Z133" s="6" t="n"/>
      <c r="AA133" s="6" t="n"/>
      <c r="AB133" s="3" t="n"/>
      <c r="AC133" s="6" t="n"/>
      <c r="AD133" s="6" t="n"/>
      <c r="AE133" s="6" t="n"/>
      <c r="AF133" s="6" t="n"/>
      <c r="AG133" s="3">
        <f>AF133</f>
        <v>0</v>
      </c>
      <c r="AH133" s="3">
        <f>AG133</f>
        <v>0</v>
      </c>
      <c r="AI133" s="3">
        <f>AH133</f>
        <v>0</v>
      </c>
      <c r="AJ133" s="3">
        <f>AI133</f>
        <v>0</v>
      </c>
      <c r="AK133" s="3">
        <f>AJ133</f>
        <v>0</v>
      </c>
      <c r="AL133" s="3">
        <f>AK133</f>
        <v>0</v>
      </c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affiliates</t>
        </is>
      </c>
      <c r="D135" s="25">
        <f>INDEX('Inputs (2)'!$D$21:$AL$21,MATCH(D$7,'Inputs (2)'!$D$2:$AL$2,0))</f>
        <v>0</v>
      </c>
      <c r="E135" s="25">
        <f>INDEX('Inputs (2)'!$D$21:$AL$21,MATCH(E$7,'Inputs (2)'!$D$2:$AL$2,0))</f>
        <v>0</v>
      </c>
      <c r="F135" s="25">
        <f>INDEX('Inputs (2)'!$D$21:$AL$21,MATCH(F$7,'Inputs (2)'!$D$2:$AL$2,0))</f>
        <v>0</v>
      </c>
      <c r="G135" s="25">
        <f>INDEX('Inputs (2)'!$D$21:$AL$21,MATCH(G$7,'Inputs (2)'!$D$2:$AL$2,0))</f>
        <v>0</v>
      </c>
      <c r="H135" s="3">
        <f>G135</f>
        <v>0</v>
      </c>
      <c r="I135" s="25">
        <f>INDEX('Inputs (2)'!$D$21:$AL$21,MATCH(I$7,'Inputs (2)'!$D$2:$AL$2,0))</f>
        <v>0</v>
      </c>
      <c r="J135" s="25">
        <f>INDEX('Inputs (2)'!$D$21:$AL$21,MATCH(J$7,'Inputs (2)'!$D$2:$AL$2,0))</f>
        <v>0</v>
      </c>
      <c r="K135" s="25">
        <f>INDEX('Inputs (2)'!$D$21:$AL$21,MATCH(K$7,'Inputs (2)'!$D$2:$AL$2,0))</f>
        <v>0</v>
      </c>
      <c r="L135" s="25">
        <f>INDEX('Inputs (2)'!$D$21:$AL$21,MATCH(L$7,'Inputs (2)'!$D$2:$AL$2,0))</f>
        <v>0</v>
      </c>
      <c r="M135" s="3">
        <f>L135</f>
        <v>0</v>
      </c>
      <c r="N135" s="25">
        <f>INDEX('Inputs (2)'!$D$21:$AL$21,MATCH(N$7,'Inputs (2)'!$D$2:$AL$2,0))</f>
        <v>0</v>
      </c>
      <c r="O135" s="25">
        <f>INDEX('Inputs (2)'!$D$21:$AL$21,MATCH(O$7,'Inputs (2)'!$D$2:$AL$2,0))</f>
        <v>0</v>
      </c>
      <c r="P135" s="25">
        <f>INDEX('Inputs (2)'!$D$21:$AL$21,MATCH(P$7,'Inputs (2)'!$D$2:$AL$2,0))</f>
        <v>0</v>
      </c>
      <c r="Q135" s="25">
        <f>INDEX('Inputs (2)'!$D$21:$AL$21,MATCH(Q$7,'Inputs (2)'!$D$2:$AL$2,0))</f>
        <v>0</v>
      </c>
      <c r="R135" s="3">
        <f>Q135</f>
        <v>0</v>
      </c>
      <c r="S135" s="25">
        <f>INDEX('Inputs (2)'!$D$21:$AL$21,MATCH(S$7,'Inputs (2)'!$D$2:$AL$2,0))</f>
        <v>0</v>
      </c>
      <c r="T135" s="25">
        <f>INDEX('Inputs (2)'!$D$21:$AL$21,MATCH(T$7,'Inputs (2)'!$D$2:$AL$2,0))</f>
        <v>0</v>
      </c>
      <c r="U135" s="25">
        <f>INDEX('Inputs (2)'!$D$21:$AL$21,MATCH(U$7,'Inputs (2)'!$D$2:$AL$2,0))</f>
        <v>0</v>
      </c>
      <c r="V135" s="25">
        <f>INDEX('Inputs (2)'!$D$21:$AL$21,MATCH(V$7,'Inputs (2)'!$D$2:$AL$2,0))</f>
        <v>0</v>
      </c>
      <c r="W135" s="3">
        <f>V135</f>
        <v>0</v>
      </c>
      <c r="X135" s="25">
        <f>INDEX('Inputs (2)'!$D$21:$AL$21,MATCH(X$7,'Inputs (2)'!$D$2:$AL$2,0))</f>
        <v>0</v>
      </c>
      <c r="Y135" s="25">
        <f>INDEX('Inputs (2)'!$D$21:$AL$21,MATCH(Y$7,'Inputs (2)'!$D$2:$AL$2,0))</f>
        <v>0</v>
      </c>
      <c r="Z135" s="25">
        <f>INDEX('Inputs (2)'!$D$21:$AL$21,MATCH(Z$7,'Inputs (2)'!$D$2:$AL$2,0))</f>
        <v>0</v>
      </c>
      <c r="AA135" s="25">
        <f>INDEX('Inputs (2)'!$D$21:$AL$21,MATCH(AA$7,'Inputs (2)'!$D$2:$AL$2,0))</f>
        <v>0</v>
      </c>
      <c r="AB135" s="3">
        <f>AA135</f>
        <v>0</v>
      </c>
      <c r="AC135" s="25">
        <f>INDEX('Inputs (2)'!$D$21:$AL$21,MATCH(AC$7,'Inputs (2)'!$D$2:$AL$2,0))</f>
        <v>0</v>
      </c>
      <c r="AD135" s="25">
        <f>INDEX('Inputs (2)'!$D$21:$AL$21,MATCH(AD$7,'Inputs (2)'!$D$2:$AL$2,0))</f>
        <v>0</v>
      </c>
      <c r="AE135" s="25">
        <f>INDEX('Inputs (2)'!$D$21:$AL$21,MATCH(AE$7,'Inputs (2)'!$D$2:$AL$2,0))</f>
        <v>0</v>
      </c>
      <c r="AF135" s="25">
        <f>INDEX('Inputs (2)'!$D$21:$AL$21,MATCH(AF$7,'Inputs (2)'!$D$2:$AL$2,0))</f>
        <v>0</v>
      </c>
      <c r="AG135" s="3">
        <f>AF135</f>
        <v>0</v>
      </c>
      <c r="AH135" s="3">
        <f>INDEX('Inputs (2)'!$D$21:$AL$21,MATCH(AH$7,'Inputs (2)'!$D$2:$AL$2,0))</f>
        <v>0</v>
      </c>
      <c r="AI135" s="3">
        <f>INDEX('Inputs (2)'!$D$21:$AL$21,MATCH(AI$7,'Inputs (2)'!$D$2:$AL$2,0))</f>
        <v>0</v>
      </c>
      <c r="AJ135" s="3">
        <f>AI135+AJ109+AJ138</f>
        <v>0</v>
      </c>
      <c r="AK135" s="3">
        <f>AJ135+AK109+AK138</f>
        <v>0</v>
      </c>
      <c r="AL135" s="3">
        <f>AK135</f>
        <v>0</v>
      </c>
      <c r="AM135" s="3">
        <f>AL135+AM109+AM138</f>
        <v>0</v>
      </c>
      <c r="AN135" s="3">
        <f>AM135+AN109+AN138</f>
        <v>0</v>
      </c>
      <c r="AO135" s="3">
        <f>AN135+AO109+AO138</f>
        <v>0</v>
      </c>
      <c r="AP135" s="3">
        <f>AO135+AP109+AP138</f>
        <v>0</v>
      </c>
      <c r="AQ135" s="3">
        <f>AP135</f>
        <v>0</v>
      </c>
      <c r="AR135" s="3">
        <f>AQ135+AR109+AR138</f>
        <v>0</v>
      </c>
      <c r="AS135" s="3">
        <f>AR135+AS109+AS138</f>
        <v>0</v>
      </c>
      <c r="AT135" s="3">
        <f>AS135+AT109+AT138</f>
        <v>0</v>
      </c>
      <c r="AU135" s="3">
        <f>AT135+AU109+AU138</f>
        <v>0</v>
      </c>
      <c r="AV135" s="3">
        <f>AU135</f>
        <v>0</v>
      </c>
      <c r="AW135" s="3">
        <f>AV135+AW109+AW138</f>
        <v>0</v>
      </c>
      <c r="AX135" s="3">
        <f>AW135+AX109+AX138</f>
        <v>0</v>
      </c>
      <c r="AY135" s="3">
        <f>AX135+AY109+AY138</f>
        <v>0</v>
      </c>
      <c r="AZ135" s="3">
        <f>AY135+AZ109+AZ138</f>
        <v>0</v>
      </c>
      <c r="BA135" s="3">
        <f>AZ135</f>
        <v>0</v>
      </c>
      <c r="BB135" s="3">
        <f>BA135+BB109+BB138</f>
        <v>0</v>
      </c>
      <c r="BC135" s="3">
        <f>BB135+BC109+BC138</f>
        <v>0</v>
      </c>
      <c r="BD135" s="3">
        <f>BC135+BD109+BD138</f>
        <v>0</v>
      </c>
      <c r="BE135" s="3">
        <f>BD135+BE109+BE138</f>
        <v>0</v>
      </c>
      <c r="BF135" s="3">
        <f>BE135</f>
        <v>0</v>
      </c>
      <c r="BG135" s="3">
        <f>BF135+BG109+BG138</f>
        <v>0</v>
      </c>
      <c r="BH135" s="3">
        <f>BG135+BH109+BH138</f>
        <v>0</v>
      </c>
      <c r="BI135" s="3">
        <f>BH135+BI109+BI138</f>
        <v>0</v>
      </c>
      <c r="BJ135" s="3">
        <f>BI135+BJ109+BJ138</f>
        <v>0</v>
      </c>
      <c r="BK135" s="3">
        <f>BJ135</f>
        <v>0</v>
      </c>
      <c r="BL135" s="3">
        <f>BK135+BL109+BL138</f>
        <v>0</v>
      </c>
      <c r="BM135" s="3">
        <f>BL135+BM109+BM138</f>
        <v>0</v>
      </c>
      <c r="BN135" s="3">
        <f>BM135+BN109+BN138</f>
        <v>0</v>
      </c>
      <c r="BO135" s="3">
        <f>BN135+BO109+BO138</f>
        <v>0</v>
      </c>
      <c r="BP135" s="3">
        <f>BO135</f>
        <v>0</v>
      </c>
      <c r="BQ135" s="3">
        <f>BP135+BQ109+BQ138</f>
        <v>0</v>
      </c>
      <c r="BR135" s="3">
        <f>BQ135+BR109+BR138</f>
        <v>0</v>
      </c>
      <c r="BS135" s="3">
        <f>BR135+BS109+BS138</f>
        <v>0</v>
      </c>
      <c r="BT135" s="3">
        <f>BS135+BT109+BT138</f>
        <v>0</v>
      </c>
      <c r="BU135" s="3">
        <f>BT135</f>
        <v>0</v>
      </c>
      <c r="BV135" s="3">
        <f>BU135+BV109+BV138</f>
        <v>0</v>
      </c>
      <c r="BW135" s="3">
        <f>BV135+BW109+BW138</f>
        <v>0</v>
      </c>
      <c r="BX135" s="3">
        <f>BW135+BX109+BX138</f>
        <v>0</v>
      </c>
      <c r="BY135" s="3">
        <f>BX135+BY109+BY138</f>
        <v>0</v>
      </c>
      <c r="BZ135" s="3">
        <f>BY135</f>
        <v>0</v>
      </c>
      <c r="CA135" s="3">
        <f>BZ135+CA109+CA138</f>
        <v>0</v>
      </c>
      <c r="CB135" s="3">
        <f>CA135+CB109+CB138</f>
        <v>0</v>
      </c>
      <c r="CC135" s="3">
        <f>CB135+CC109+CC138</f>
        <v>0</v>
      </c>
      <c r="CD135" s="3">
        <f>CC135+CD109+CD138</f>
        <v>0</v>
      </c>
      <c r="CE135" s="3">
        <f>CD135</f>
        <v>0</v>
      </c>
      <c r="CF135" s="3">
        <f>CE135+CF109+CF138</f>
        <v>0</v>
      </c>
      <c r="CG135" s="3">
        <f>CF135+CG109+CG138</f>
        <v>0</v>
      </c>
      <c r="CH135" s="3">
        <f>CG135+CH109+CH138</f>
        <v>0</v>
      </c>
      <c r="CI135" s="3">
        <f>CH135+CI109+CI138</f>
        <v>0</v>
      </c>
      <c r="CJ135" s="3">
        <f>CI135</f>
        <v>0</v>
      </c>
      <c r="CK135" s="3">
        <f>CJ135+CK109+CK138</f>
        <v>0</v>
      </c>
      <c r="CL135" s="3">
        <f>CK135+CL109+CL138</f>
        <v>0</v>
      </c>
      <c r="CM135" s="3">
        <f>CL135+CM109+CM138</f>
        <v>0</v>
      </c>
      <c r="CN135" s="3">
        <f>CM135+CN109+CN138</f>
        <v>0</v>
      </c>
      <c r="CO135" s="3">
        <f>CN135</f>
        <v>0</v>
      </c>
      <c r="CP135" s="3">
        <f>CO135+CP109+CP138</f>
        <v>0</v>
      </c>
      <c r="CQ135" s="3">
        <f>CP135+CQ109+CQ138</f>
        <v>0</v>
      </c>
      <c r="CR135" s="3">
        <f>CQ135+CR109+CR138</f>
        <v>0</v>
      </c>
      <c r="CS135" s="3">
        <f>CR135+CS109+CS138</f>
        <v>0</v>
      </c>
      <c r="CT135" s="3">
        <f>CS135</f>
        <v>0</v>
      </c>
      <c r="CU135" s="3">
        <f>CT135+CU109+CU138</f>
        <v>0</v>
      </c>
      <c r="CV135" s="3">
        <f>CU135+CV109+CV138</f>
        <v>0</v>
      </c>
      <c r="CW135" s="3">
        <f>CV135+CW109+CW138</f>
        <v>0</v>
      </c>
      <c r="CX135" s="3">
        <f>CW135+CX109+CX138</f>
        <v>0</v>
      </c>
      <c r="CY135" s="3">
        <f>CX135</f>
        <v>0</v>
      </c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4" t="inlineStr">
        <is>
          <t>Equity in Income - % YoY</t>
        </is>
      </c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>
        <f>IF(I109=0,0,N109/I109-1)</f>
        <v>0</v>
      </c>
      <c r="O137" s="3">
        <f>IF(J109=0,0,O109/J109-1)</f>
        <v>0</v>
      </c>
      <c r="P137" s="3">
        <f>IF(K109=0,0,P109/K109-1)</f>
        <v>0</v>
      </c>
      <c r="Q137" s="3">
        <f>IF(L109=0,0,Q109/L109-1)</f>
        <v>0</v>
      </c>
      <c r="R137" s="3" t="n"/>
      <c r="S137" s="3">
        <f>IF(N109=0,0,S109/N109-1)</f>
        <v>0</v>
      </c>
      <c r="T137" s="3">
        <f>IF(O109=0,0,T109/O109-1)</f>
        <v>0</v>
      </c>
      <c r="U137" s="3">
        <f>IF(P109=0,0,U109/P109-1)</f>
        <v>0</v>
      </c>
      <c r="V137" s="3">
        <f>IF(Q109=0,0,V109/Q109-1)</f>
        <v>0</v>
      </c>
      <c r="W137" s="3" t="n"/>
      <c r="X137" s="3">
        <f>IF(S109=0,0,X109/S109-1)</f>
        <v>0</v>
      </c>
      <c r="Y137" s="3">
        <f>IF(T109=0,0,Y109/T109-1)</f>
        <v>0</v>
      </c>
      <c r="Z137" s="3">
        <f>IF(U109=0,0,Z109/U109-1)</f>
        <v>0</v>
      </c>
      <c r="AA137" s="3">
        <f>IF(V109=0,0,AA109/V109-1)</f>
        <v>0</v>
      </c>
      <c r="AB137" s="3" t="n"/>
      <c r="AC137" s="3">
        <f>IF(X109=0,0,AC109/X109-1)</f>
        <v>0</v>
      </c>
      <c r="AD137" s="3">
        <f>IF(Y109=0,0,AD109/Y109-1)</f>
        <v>0</v>
      </c>
      <c r="AE137" s="3">
        <f>IF(Z109=0,0,AE109/Z109-1)</f>
        <v>0</v>
      </c>
      <c r="AF137" s="3">
        <f>IF(AA109=0,0,AF109/AA109-1)</f>
        <v>0</v>
      </c>
      <c r="AG137" s="3" t="n"/>
      <c r="AH137" s="6">
        <f>IF(AC109=0,0,AH109/AC109-1)</f>
        <v>0</v>
      </c>
      <c r="AI137" s="6">
        <f>IF(AD109=0,0,AI109/AD109-1)</f>
        <v>0</v>
      </c>
      <c r="AJ137" s="6" t="n"/>
      <c r="AK137" s="6" t="n"/>
      <c r="AL137" s="3" t="n"/>
      <c r="AM137" s="6" t="n"/>
      <c r="AN137" s="6" t="n"/>
      <c r="AO137" s="6" t="n"/>
      <c r="AP137" s="6" t="n"/>
      <c r="AQ137" s="3" t="n"/>
      <c r="AR137" s="6" t="n"/>
      <c r="AS137" s="6" t="n"/>
      <c r="AT137" s="6" t="n"/>
      <c r="AU137" s="6" t="n"/>
      <c r="AV137" s="3" t="n"/>
      <c r="AW137" s="6" t="n"/>
      <c r="AX137" s="6" t="n"/>
      <c r="AY137" s="6" t="n"/>
      <c r="AZ137" s="6" t="n"/>
      <c r="BA137" s="3" t="n"/>
      <c r="BB137" s="6" t="n"/>
      <c r="BC137" s="6" t="n"/>
      <c r="BD137" s="6" t="n"/>
      <c r="BE137" s="6" t="n"/>
      <c r="BF137" s="3" t="n"/>
      <c r="BG137" s="6" t="n"/>
      <c r="BH137" s="6" t="n"/>
      <c r="BI137" s="6" t="n"/>
      <c r="BJ137" s="6" t="n"/>
      <c r="BK137" s="3" t="n"/>
      <c r="BL137" s="6" t="n"/>
      <c r="BM137" s="6" t="n"/>
      <c r="BN137" s="6" t="n"/>
      <c r="BO137" s="6" t="n"/>
      <c r="BP137" s="3" t="n"/>
      <c r="BQ137" s="6" t="n"/>
      <c r="BR137" s="6" t="n"/>
      <c r="BS137" s="6" t="n"/>
      <c r="BT137" s="6" t="n"/>
      <c r="BU137" s="3" t="n"/>
      <c r="BV137" s="6" t="n"/>
      <c r="BW137" s="6" t="n"/>
      <c r="BX137" s="6" t="n"/>
      <c r="BY137" s="6" t="n"/>
      <c r="BZ137" s="3" t="n"/>
      <c r="CA137" s="6" t="n"/>
      <c r="CB137" s="6" t="n"/>
      <c r="CC137" s="6" t="n"/>
      <c r="CD137" s="6" t="n"/>
      <c r="CE137" s="3" t="n"/>
      <c r="CF137" s="6" t="n"/>
      <c r="CG137" s="6" t="n"/>
      <c r="CH137" s="6" t="n"/>
      <c r="CI137" s="6" t="n"/>
      <c r="CJ137" s="3" t="n"/>
      <c r="CK137" s="6" t="n"/>
      <c r="CL137" s="6" t="n"/>
      <c r="CM137" s="6" t="n"/>
      <c r="CN137" s="6" t="n"/>
      <c r="CO137" s="3" t="n"/>
      <c r="CP137" s="6" t="n"/>
      <c r="CQ137" s="6" t="n"/>
      <c r="CR137" s="6" t="n"/>
      <c r="CS137" s="6" t="n"/>
      <c r="CT137" s="3" t="n"/>
      <c r="CU137" s="6" t="n"/>
      <c r="CV137" s="6" t="n"/>
      <c r="CW137" s="6" t="n"/>
      <c r="CX137" s="6" t="n"/>
      <c r="CY137" s="3" t="n"/>
    </row>
    <row r="138" hidden="1" outlineLevel="1">
      <c r="C138" s="34" t="inlineStr">
        <is>
          <t>Dividends (enter as -)</t>
        </is>
      </c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6" t="n"/>
      <c r="AI138" s="6" t="n"/>
      <c r="AJ138" s="6" t="n"/>
      <c r="AK138" s="6" t="n"/>
      <c r="AL138" s="3" t="n"/>
      <c r="AM138" s="6" t="n"/>
      <c r="AN138" s="6" t="n"/>
      <c r="AO138" s="6" t="n"/>
      <c r="AP138" s="6" t="n"/>
      <c r="AQ138" s="3" t="n"/>
      <c r="AR138" s="6" t="n"/>
      <c r="AS138" s="6" t="n"/>
      <c r="AT138" s="6" t="n"/>
      <c r="AU138" s="6" t="n"/>
      <c r="AV138" s="3" t="n"/>
      <c r="AW138" s="6" t="n"/>
      <c r="AX138" s="6" t="n"/>
      <c r="AY138" s="6" t="n"/>
      <c r="AZ138" s="6" t="n"/>
      <c r="BA138" s="3" t="n"/>
      <c r="BB138" s="6" t="n"/>
      <c r="BC138" s="6" t="n"/>
      <c r="BD138" s="6" t="n"/>
      <c r="BE138" s="6" t="n"/>
      <c r="BF138" s="3" t="n"/>
      <c r="BG138" s="6" t="n"/>
      <c r="BH138" s="6" t="n"/>
      <c r="BI138" s="6" t="n"/>
      <c r="BJ138" s="6" t="n"/>
      <c r="BK138" s="3" t="n"/>
      <c r="BL138" s="6" t="n"/>
      <c r="BM138" s="6" t="n"/>
      <c r="BN138" s="6" t="n"/>
      <c r="BO138" s="6" t="n"/>
      <c r="BP138" s="3" t="n"/>
      <c r="BQ138" s="6" t="n"/>
      <c r="BR138" s="6" t="n"/>
      <c r="BS138" s="6" t="n"/>
      <c r="BT138" s="6" t="n"/>
      <c r="BU138" s="3" t="n"/>
      <c r="BV138" s="6" t="n"/>
      <c r="BW138" s="6" t="n"/>
      <c r="BX138" s="6" t="n"/>
      <c r="BY138" s="6" t="n"/>
      <c r="BZ138" s="3" t="n"/>
      <c r="CA138" s="6" t="n"/>
      <c r="CB138" s="6" t="n"/>
      <c r="CC138" s="6" t="n"/>
      <c r="CD138" s="6" t="n"/>
      <c r="CE138" s="3" t="n"/>
      <c r="CF138" s="6" t="n"/>
      <c r="CG138" s="6" t="n"/>
      <c r="CH138" s="6" t="n"/>
      <c r="CI138" s="6" t="n"/>
      <c r="CJ138" s="3" t="n"/>
      <c r="CK138" s="6" t="n"/>
      <c r="CL138" s="6" t="n"/>
      <c r="CM138" s="6" t="n"/>
      <c r="CN138" s="6" t="n"/>
      <c r="CO138" s="3" t="n"/>
      <c r="CP138" s="6" t="n"/>
      <c r="CQ138" s="6" t="n"/>
      <c r="CR138" s="6" t="n"/>
      <c r="CS138" s="6" t="n"/>
      <c r="CT138" s="3" t="n"/>
      <c r="CU138" s="6" t="n"/>
      <c r="CV138" s="6" t="n"/>
      <c r="CW138" s="6" t="n"/>
      <c r="CX138" s="6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collapsed="1">
      <c r="C140" s="26" t="inlineStr">
        <is>
          <t>PP&amp;E</t>
        </is>
      </c>
      <c r="D140" s="25">
        <f>INDEX('Inputs (2)'!$D$22:$AL$22,MATCH(D$7,'Inputs (2)'!$D$2:$AL$2,0))</f>
        <v>149220</v>
      </c>
      <c r="E140" s="25">
        <f>INDEX('Inputs (2)'!$D$22:$AL$22,MATCH(E$7,'Inputs (2)'!$D$2:$AL$2,0))</f>
        <v>143850</v>
      </c>
      <c r="F140" s="25">
        <f>INDEX('Inputs (2)'!$D$22:$AL$22,MATCH(F$7,'Inputs (2)'!$D$2:$AL$2,0))</f>
        <v>142383</v>
      </c>
      <c r="G140" s="25">
        <f>INDEX('Inputs (2)'!$D$22:$AL$22,MATCH(G$7,'Inputs (2)'!$D$2:$AL$2,0))</f>
        <v>156618</v>
      </c>
      <c r="H140" s="3">
        <f>G140</f>
        <v>156618</v>
      </c>
      <c r="I140" s="25">
        <f>INDEX('Inputs (2)'!$D$22:$AL$22,MATCH(I$7,'Inputs (2)'!$D$2:$AL$2,0))</f>
        <v>154003</v>
      </c>
      <c r="J140" s="25">
        <f>INDEX('Inputs (2)'!$D$22:$AL$22,MATCH(J$7,'Inputs (2)'!$D$2:$AL$2,0))</f>
        <v>151208</v>
      </c>
      <c r="K140" s="25">
        <f>INDEX('Inputs (2)'!$D$22:$AL$22,MATCH(K$7,'Inputs (2)'!$D$2:$AL$2,0))</f>
        <v>147945</v>
      </c>
      <c r="L140" s="25">
        <f>INDEX('Inputs (2)'!$D$22:$AL$22,MATCH(L$7,'Inputs (2)'!$D$2:$AL$2,0))</f>
        <v>146961</v>
      </c>
      <c r="M140" s="3">
        <f>L140</f>
        <v>146961</v>
      </c>
      <c r="N140" s="25">
        <f>INDEX('Inputs (2)'!$D$22:$AL$22,MATCH(N$7,'Inputs (2)'!$D$2:$AL$2,0))</f>
        <v>144444</v>
      </c>
      <c r="O140" s="25">
        <f>INDEX('Inputs (2)'!$D$22:$AL$22,MATCH(O$7,'Inputs (2)'!$D$2:$AL$2,0))</f>
        <v>144410</v>
      </c>
      <c r="P140" s="25">
        <f>INDEX('Inputs (2)'!$D$22:$AL$22,MATCH(P$7,'Inputs (2)'!$D$2:$AL$2,0))</f>
        <v>144144</v>
      </c>
      <c r="Q140" s="25">
        <f>INDEX('Inputs (2)'!$D$22:$AL$22,MATCH(Q$7,'Inputs (2)'!$D$2:$AL$2,0))</f>
        <v>143591</v>
      </c>
      <c r="R140" s="3">
        <f>Q140</f>
        <v>143591</v>
      </c>
      <c r="S140" s="25">
        <f>INDEX('Inputs (2)'!$D$22:$AL$22,MATCH(S$7,'Inputs (2)'!$D$2:$AL$2,0))</f>
        <v>142951</v>
      </c>
      <c r="T140" s="25">
        <f>INDEX('Inputs (2)'!$D$22:$AL$22,MATCH(T$7,'Inputs (2)'!$D$2:$AL$2,0))</f>
        <v>142768</v>
      </c>
      <c r="U140" s="25">
        <f>INDEX('Inputs (2)'!$D$22:$AL$22,MATCH(U$7,'Inputs (2)'!$D$2:$AL$2,0))</f>
        <v>153972</v>
      </c>
      <c r="V140" s="25">
        <f>INDEX('Inputs (2)'!$D$22:$AL$22,MATCH(V$7,'Inputs (2)'!$D$2:$AL$2,0))</f>
        <v>153619</v>
      </c>
      <c r="W140" s="3">
        <f>V140</f>
        <v>153619</v>
      </c>
      <c r="X140" s="25">
        <f>INDEX('Inputs (2)'!$D$22:$AL$22,MATCH(X$7,'Inputs (2)'!$D$2:$AL$2,0))</f>
        <v>153641</v>
      </c>
      <c r="Y140" s="25">
        <f>INDEX('Inputs (2)'!$D$22:$AL$22,MATCH(Y$7,'Inputs (2)'!$D$2:$AL$2,0))</f>
        <v>153003</v>
      </c>
      <c r="Z140" s="25">
        <f>INDEX('Inputs (2)'!$D$22:$AL$22,MATCH(Z$7,'Inputs (2)'!$D$2:$AL$2,0))</f>
        <v>147891</v>
      </c>
      <c r="AA140" s="25">
        <f>INDEX('Inputs (2)'!$D$22:$AL$22,MATCH(AA$7,'Inputs (2)'!$D$2:$AL$2,0))</f>
        <v>147799</v>
      </c>
      <c r="AB140" s="3">
        <f>AA140</f>
        <v>147799</v>
      </c>
      <c r="AC140" s="25">
        <f>INDEX('Inputs (2)'!$D$22:$AL$22,MATCH(AC$7,'Inputs (2)'!$D$2:$AL$2,0))</f>
        <v>148124</v>
      </c>
      <c r="AD140" s="25">
        <f>INDEX('Inputs (2)'!$D$22:$AL$22,MATCH(AD$7,'Inputs (2)'!$D$2:$AL$2,0))</f>
        <v>147442</v>
      </c>
      <c r="AE140" s="25">
        <f>INDEX('Inputs (2)'!$D$22:$AL$22,MATCH(AE$7,'Inputs (2)'!$D$2:$AL$2,0))</f>
        <v>219494</v>
      </c>
      <c r="AF140" s="25">
        <f>INDEX('Inputs (2)'!$D$22:$AL$22,MATCH(AF$7,'Inputs (2)'!$D$2:$AL$2,0))</f>
        <v>219729</v>
      </c>
      <c r="AG140" s="3">
        <f>AF140</f>
        <v>219729</v>
      </c>
      <c r="AH140" s="3">
        <f>INDEX('Inputs (2)'!$D$22:$AL$22,MATCH(AH$7,'Inputs (2)'!$D$2:$AL$2,0))</f>
        <v>218149</v>
      </c>
      <c r="AI140" s="3">
        <f>INDEX('Inputs (2)'!$D$22:$AL$22,MATCH(AI$7,'Inputs (2)'!$D$2:$AL$2,0))</f>
        <v>215937</v>
      </c>
      <c r="AJ140" s="3">
        <f>AJ145</f>
        <v>215937</v>
      </c>
      <c r="AK140" s="3">
        <f>AK145</f>
        <v>215937</v>
      </c>
      <c r="AL140" s="3">
        <f>AK140</f>
        <v>215937</v>
      </c>
      <c r="AM140" s="3">
        <f>AM145</f>
        <v>215937</v>
      </c>
      <c r="AN140" s="3">
        <f>AN145</f>
        <v>215937</v>
      </c>
      <c r="AO140" s="3">
        <f>AO145</f>
        <v>215937</v>
      </c>
      <c r="AP140" s="3">
        <f>AP145</f>
        <v>215937</v>
      </c>
      <c r="AQ140" s="3">
        <f>AP140</f>
        <v>215937</v>
      </c>
      <c r="AR140" s="3">
        <f>AR145</f>
        <v>215937</v>
      </c>
      <c r="AS140" s="3">
        <f>AS145</f>
        <v>215937</v>
      </c>
      <c r="AT140" s="3">
        <f>AT145</f>
        <v>215937</v>
      </c>
      <c r="AU140" s="3">
        <f>AU145</f>
        <v>215937</v>
      </c>
      <c r="AV140" s="3">
        <f>AU140</f>
        <v>215937</v>
      </c>
      <c r="AW140" s="3">
        <f>AW145</f>
        <v>215937</v>
      </c>
      <c r="AX140" s="3">
        <f>AX145</f>
        <v>215937</v>
      </c>
      <c r="AY140" s="3">
        <f>AY145</f>
        <v>215937</v>
      </c>
      <c r="AZ140" s="3">
        <f>AZ145</f>
        <v>215937</v>
      </c>
      <c r="BA140" s="3">
        <f>AZ140</f>
        <v>215937</v>
      </c>
      <c r="BB140" s="3">
        <f>BB145</f>
        <v>215937</v>
      </c>
      <c r="BC140" s="3">
        <f>BC145</f>
        <v>215937</v>
      </c>
      <c r="BD140" s="3">
        <f>BD145</f>
        <v>215937</v>
      </c>
      <c r="BE140" s="3">
        <f>BE145</f>
        <v>215937</v>
      </c>
      <c r="BF140" s="3">
        <f>BE140</f>
        <v>215937</v>
      </c>
      <c r="BG140" s="3">
        <f>BG145</f>
        <v>215937</v>
      </c>
      <c r="BH140" s="3">
        <f>BH145</f>
        <v>215937</v>
      </c>
      <c r="BI140" s="3">
        <f>BI145</f>
        <v>215937</v>
      </c>
      <c r="BJ140" s="3">
        <f>BJ145</f>
        <v>215937</v>
      </c>
      <c r="BK140" s="3">
        <f>BJ140</f>
        <v>215937</v>
      </c>
      <c r="BL140" s="3">
        <f>BL145</f>
        <v>215937</v>
      </c>
      <c r="BM140" s="3">
        <f>BM145</f>
        <v>215937</v>
      </c>
      <c r="BN140" s="3">
        <f>BN145</f>
        <v>215937</v>
      </c>
      <c r="BO140" s="3">
        <f>BO145</f>
        <v>215937</v>
      </c>
      <c r="BP140" s="3">
        <f>BO140</f>
        <v>215937</v>
      </c>
      <c r="BQ140" s="3">
        <f>BQ145</f>
        <v>215937</v>
      </c>
      <c r="BR140" s="3">
        <f>BR145</f>
        <v>215937</v>
      </c>
      <c r="BS140" s="3">
        <f>BS145</f>
        <v>215937</v>
      </c>
      <c r="BT140" s="3">
        <f>BT145</f>
        <v>215937</v>
      </c>
      <c r="BU140" s="3">
        <f>BT140</f>
        <v>215937</v>
      </c>
      <c r="BV140" s="3">
        <f>BV145</f>
        <v>215937</v>
      </c>
      <c r="BW140" s="3">
        <f>BW145</f>
        <v>215937</v>
      </c>
      <c r="BX140" s="3">
        <f>BX145</f>
        <v>215937</v>
      </c>
      <c r="BY140" s="3">
        <f>BY145</f>
        <v>215937</v>
      </c>
      <c r="BZ140" s="3">
        <f>BY140</f>
        <v>215937</v>
      </c>
      <c r="CA140" s="3">
        <f>CA145</f>
        <v>215937</v>
      </c>
      <c r="CB140" s="3">
        <f>CB145</f>
        <v>215937</v>
      </c>
      <c r="CC140" s="3">
        <f>CC145</f>
        <v>215937</v>
      </c>
      <c r="CD140" s="3">
        <f>CD145</f>
        <v>215937</v>
      </c>
      <c r="CE140" s="3">
        <f>CD140</f>
        <v>215937</v>
      </c>
      <c r="CF140" s="3">
        <f>CF145</f>
        <v>215937</v>
      </c>
      <c r="CG140" s="3">
        <f>CG145</f>
        <v>215937</v>
      </c>
      <c r="CH140" s="3">
        <f>CH145</f>
        <v>215937</v>
      </c>
      <c r="CI140" s="3">
        <f>CI145</f>
        <v>215937</v>
      </c>
      <c r="CJ140" s="3">
        <f>CI140</f>
        <v>215937</v>
      </c>
      <c r="CK140" s="3">
        <f>CK145</f>
        <v>215937</v>
      </c>
      <c r="CL140" s="3">
        <f>CL145</f>
        <v>215937</v>
      </c>
      <c r="CM140" s="3">
        <f>CM145</f>
        <v>215937</v>
      </c>
      <c r="CN140" s="3">
        <f>CN145</f>
        <v>215937</v>
      </c>
      <c r="CO140" s="3">
        <f>CN140</f>
        <v>215937</v>
      </c>
      <c r="CP140" s="3">
        <f>CP145</f>
        <v>215937</v>
      </c>
      <c r="CQ140" s="3">
        <f>CQ145</f>
        <v>215937</v>
      </c>
      <c r="CR140" s="3">
        <f>CR145</f>
        <v>215937</v>
      </c>
      <c r="CS140" s="3">
        <f>CS145</f>
        <v>215937</v>
      </c>
      <c r="CT140" s="3">
        <f>CS140</f>
        <v>215937</v>
      </c>
      <c r="CU140" s="3">
        <f>CU145</f>
        <v>215937</v>
      </c>
      <c r="CV140" s="3">
        <f>CV145</f>
        <v>215937</v>
      </c>
      <c r="CW140" s="3">
        <f>CW145</f>
        <v>215937</v>
      </c>
      <c r="CX140" s="3">
        <f>CX145</f>
        <v>215937</v>
      </c>
      <c r="CY140" s="3">
        <f>CX140</f>
        <v>215937</v>
      </c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inlineStr">
        <is>
          <t>Capital expenditures</t>
        </is>
      </c>
      <c r="D142" s="3" t="n"/>
      <c r="E142" s="3">
        <f>E140-D140-E44</f>
        <v>1347</v>
      </c>
      <c r="F142" s="3">
        <f>F140-E140-F44</f>
        <v>2550</v>
      </c>
      <c r="G142" s="3">
        <f>G140-F140-G44</f>
        <v>18721</v>
      </c>
      <c r="H142" s="3" t="n"/>
      <c r="I142" s="3">
        <f>I140-H140-I44</f>
        <v>1671</v>
      </c>
      <c r="J142" s="3">
        <f>J140-I140-J44</f>
        <v>1727</v>
      </c>
      <c r="K142" s="3">
        <f>K140-J140-K44</f>
        <v>1041</v>
      </c>
      <c r="L142" s="3">
        <f>L140-K140-L44</f>
        <v>3829</v>
      </c>
      <c r="M142" s="3" t="n"/>
      <c r="N142" s="3">
        <f>N140-M140-N44</f>
        <v>1137</v>
      </c>
      <c r="O142" s="3">
        <f>O140-N140-O44</f>
        <v>3666</v>
      </c>
      <c r="P142" s="3">
        <f>P140-O140-P44</f>
        <v>3935</v>
      </c>
      <c r="Q142" s="3">
        <f>Q140-P140-Q44</f>
        <v>4211</v>
      </c>
      <c r="R142" s="3" t="n"/>
      <c r="S142" s="3">
        <f>S140-R140-S44</f>
        <v>2886</v>
      </c>
      <c r="T142" s="3">
        <f>T140-S140-T44</f>
        <v>3338</v>
      </c>
      <c r="U142" s="3">
        <f>U140-T140-U44</f>
        <v>15229</v>
      </c>
      <c r="V142" s="3">
        <f>V140-U140-V44</f>
        <v>5901</v>
      </c>
      <c r="W142" s="3" t="n"/>
      <c r="X142" s="3">
        <f>X140-W140-X44</f>
        <v>4113</v>
      </c>
      <c r="Y142" s="3">
        <f>Y140-X140-Y44</f>
        <v>3366</v>
      </c>
      <c r="Z142" s="3">
        <f>Z140-Y140-Z44</f>
        <v>-898</v>
      </c>
      <c r="AA142" s="3">
        <f>AA140-Z140-AA44</f>
        <v>4881</v>
      </c>
      <c r="AB142" s="3" t="n"/>
      <c r="AC142" s="3">
        <f>AC140-AB140-AC44</f>
        <v>4448</v>
      </c>
      <c r="AD142" s="3">
        <f>AD140-AC140-AD44</f>
        <v>3662</v>
      </c>
      <c r="AE142" s="3">
        <f>AE140-AD140-AE44</f>
        <v>77833</v>
      </c>
      <c r="AF142" s="6">
        <f>AF140-AE140-AF44</f>
        <v>6119</v>
      </c>
      <c r="AG142" s="3">
        <f>SUM(AC142:AF142)</f>
        <v>92062</v>
      </c>
      <c r="AH142" s="6">
        <f>AH140-AG140-AH44</f>
        <v>4228</v>
      </c>
      <c r="AI142" s="6">
        <f>AI140-AH140-AI44</f>
        <v>3870</v>
      </c>
      <c r="AJ142" s="6" t="n"/>
      <c r="AK142" s="6" t="n"/>
      <c r="AL142" s="3" t="n"/>
      <c r="AM142" s="6" t="n"/>
      <c r="AN142" s="6" t="n"/>
      <c r="AO142" s="6" t="n"/>
      <c r="AP142" s="6" t="n"/>
      <c r="AQ142" s="3" t="n"/>
      <c r="AR142" s="6" t="n"/>
      <c r="AS142" s="6" t="n"/>
      <c r="AT142" s="6" t="n"/>
      <c r="AU142" s="6" t="n"/>
      <c r="AV142" s="3" t="n"/>
      <c r="AW142" s="6" t="n"/>
      <c r="AX142" s="6" t="n"/>
      <c r="AY142" s="6" t="n"/>
      <c r="AZ142" s="6" t="n"/>
      <c r="BA142" s="3" t="n"/>
      <c r="BB142" s="6" t="n"/>
      <c r="BC142" s="6" t="n"/>
      <c r="BD142" s="6" t="n"/>
      <c r="BE142" s="6" t="n"/>
      <c r="BF142" s="3" t="n"/>
      <c r="BG142" s="6" t="n"/>
      <c r="BH142" s="6" t="n"/>
      <c r="BI142" s="6" t="n"/>
      <c r="BJ142" s="6" t="n"/>
      <c r="BK142" s="3" t="n"/>
      <c r="BL142" s="6" t="n"/>
      <c r="BM142" s="6" t="n"/>
      <c r="BN142" s="6" t="n"/>
      <c r="BO142" s="6" t="n"/>
      <c r="BP142" s="3" t="n"/>
      <c r="BQ142" s="6" t="n"/>
      <c r="BR142" s="6" t="n"/>
      <c r="BS142" s="6" t="n"/>
      <c r="BT142" s="6" t="n"/>
      <c r="BU142" s="3" t="n"/>
      <c r="BV142" s="6" t="n"/>
      <c r="BW142" s="6" t="n"/>
      <c r="BX142" s="6" t="n"/>
      <c r="BY142" s="6" t="n"/>
      <c r="BZ142" s="3" t="n"/>
      <c r="CA142" s="6" t="n"/>
      <c r="CB142" s="6" t="n"/>
      <c r="CC142" s="6" t="n"/>
      <c r="CD142" s="6" t="n"/>
      <c r="CE142" s="3" t="n"/>
      <c r="CF142" s="6" t="n"/>
      <c r="CG142" s="6" t="n"/>
      <c r="CH142" s="6" t="n"/>
      <c r="CI142" s="6" t="n"/>
      <c r="CJ142" s="3" t="n"/>
      <c r="CK142" s="6" t="n"/>
      <c r="CL142" s="6" t="n"/>
      <c r="CM142" s="6" t="n"/>
      <c r="CN142" s="6" t="n"/>
      <c r="CO142" s="3" t="n"/>
      <c r="CP142" s="6" t="n"/>
      <c r="CQ142" s="6" t="n"/>
      <c r="CR142" s="6" t="n"/>
      <c r="CS142" s="6" t="n"/>
      <c r="CT142" s="3" t="n"/>
      <c r="CU142" s="6" t="n"/>
      <c r="CV142" s="6" t="n"/>
      <c r="CW142" s="6" t="n"/>
      <c r="CX142" s="6" t="n"/>
      <c r="CY142" s="3" t="n"/>
    </row>
    <row r="143" hidden="1" outlineLevel="1">
      <c r="C143" s="34" t="inlineStr">
        <is>
          <t>Recurring asset sales (enter as -)</t>
        </is>
      </c>
      <c r="D143" s="3" t="n"/>
      <c r="E143" s="3" t="n"/>
      <c r="F143" s="3" t="n"/>
      <c r="G143" s="3" t="n"/>
      <c r="H143" s="3">
        <f>SUM(D143:G143)</f>
        <v>0</v>
      </c>
      <c r="I143" s="3" t="n"/>
      <c r="J143" s="3" t="n"/>
      <c r="K143" s="3" t="n"/>
      <c r="L143" s="3" t="n"/>
      <c r="M143" s="3">
        <f>SUM(I143:L143)</f>
        <v>0</v>
      </c>
      <c r="N143" s="3" t="n"/>
      <c r="O143" s="3" t="n"/>
      <c r="P143" s="3" t="n"/>
      <c r="Q143" s="3" t="n"/>
      <c r="R143" s="3">
        <f>SUM(N143:Q143)</f>
        <v>0</v>
      </c>
      <c r="S143" s="3" t="n"/>
      <c r="T143" s="3" t="n"/>
      <c r="U143" s="3" t="n"/>
      <c r="V143" s="3" t="n"/>
      <c r="W143" s="3">
        <f>SUM(S143:V143)</f>
        <v>0</v>
      </c>
      <c r="X143" s="3" t="n"/>
      <c r="Y143" s="3" t="n"/>
      <c r="Z143" s="3" t="n"/>
      <c r="AA143" s="3" t="n"/>
      <c r="AB143" s="3">
        <f>SUM(X143:AA143)</f>
        <v>0</v>
      </c>
      <c r="AC143" s="3" t="n"/>
      <c r="AD143" s="3" t="n"/>
      <c r="AE143" s="3" t="n"/>
      <c r="AF143" s="6" t="n"/>
      <c r="AG143" s="3" t="n"/>
      <c r="AH143" s="6" t="n"/>
      <c r="AI143" s="6" t="n"/>
      <c r="AJ143" s="6" t="n"/>
      <c r="AK143" s="6" t="n"/>
      <c r="AL143" s="3" t="n"/>
      <c r="AM143" s="6" t="n"/>
      <c r="AN143" s="6" t="n"/>
      <c r="AO143" s="6" t="n"/>
      <c r="AP143" s="6" t="n"/>
      <c r="AQ143" s="3" t="n"/>
      <c r="AR143" s="6" t="n"/>
      <c r="AS143" s="6" t="n"/>
      <c r="AT143" s="6" t="n"/>
      <c r="AU143" s="6" t="n"/>
      <c r="AV143" s="3" t="n"/>
      <c r="AW143" s="6" t="n"/>
      <c r="AX143" s="6" t="n"/>
      <c r="AY143" s="6" t="n"/>
      <c r="AZ143" s="6" t="n"/>
      <c r="BA143" s="3" t="n"/>
      <c r="BB143" s="6" t="n"/>
      <c r="BC143" s="6" t="n"/>
      <c r="BD143" s="6" t="n"/>
      <c r="BE143" s="6" t="n"/>
      <c r="BF143" s="3" t="n"/>
      <c r="BG143" s="6" t="n"/>
      <c r="BH143" s="6" t="n"/>
      <c r="BI143" s="6" t="n"/>
      <c r="BJ143" s="6" t="n"/>
      <c r="BK143" s="3" t="n"/>
      <c r="BL143" s="6" t="n"/>
      <c r="BM143" s="6" t="n"/>
      <c r="BN143" s="6" t="n"/>
      <c r="BO143" s="6" t="n"/>
      <c r="BP143" s="3" t="n"/>
      <c r="BQ143" s="6" t="n"/>
      <c r="BR143" s="6" t="n"/>
      <c r="BS143" s="6" t="n"/>
      <c r="BT143" s="6" t="n"/>
      <c r="BU143" s="3" t="n"/>
      <c r="BV143" s="6" t="n"/>
      <c r="BW143" s="6" t="n"/>
      <c r="BX143" s="6" t="n"/>
      <c r="BY143" s="6" t="n"/>
      <c r="BZ143" s="3" t="n"/>
      <c r="CA143" s="6" t="n"/>
      <c r="CB143" s="6" t="n"/>
      <c r="CC143" s="6" t="n"/>
      <c r="CD143" s="6" t="n"/>
      <c r="CE143" s="3" t="n"/>
      <c r="CF143" s="6" t="n"/>
      <c r="CG143" s="6" t="n"/>
      <c r="CH143" s="6" t="n"/>
      <c r="CI143" s="6" t="n"/>
      <c r="CJ143" s="3" t="n"/>
      <c r="CK143" s="6" t="n"/>
      <c r="CL143" s="6" t="n"/>
      <c r="CM143" s="6" t="n"/>
      <c r="CN143" s="6" t="n"/>
      <c r="CO143" s="3" t="n"/>
      <c r="CP143" s="6" t="n"/>
      <c r="CQ143" s="6" t="n"/>
      <c r="CR143" s="6" t="n"/>
      <c r="CS143" s="6" t="n"/>
      <c r="CT143" s="3" t="n"/>
      <c r="CU143" s="6" t="n"/>
      <c r="CV143" s="6" t="n"/>
      <c r="CW143" s="6" t="n"/>
      <c r="CX143" s="6" t="n"/>
      <c r="CY143" s="3" t="n"/>
    </row>
    <row r="144" hidden="1" outlineLevel="1">
      <c r="C144" s="34" t="inlineStr">
        <is>
          <t>Depreciation</t>
        </is>
      </c>
      <c r="D144" s="3">
        <f>D44</f>
        <v>-4288</v>
      </c>
      <c r="E144" s="3">
        <f>E44</f>
        <v>-6717</v>
      </c>
      <c r="F144" s="3">
        <f>F44</f>
        <v>-4017</v>
      </c>
      <c r="G144" s="3">
        <f>G44</f>
        <v>-4486</v>
      </c>
      <c r="H144" s="3" t="n"/>
      <c r="I144" s="3">
        <f>I44</f>
        <v>-4286</v>
      </c>
      <c r="J144" s="3">
        <f>J44</f>
        <v>-4522</v>
      </c>
      <c r="K144" s="3">
        <f>K44</f>
        <v>-4304</v>
      </c>
      <c r="L144" s="3">
        <f>L44</f>
        <v>-4813</v>
      </c>
      <c r="M144" s="3" t="n"/>
      <c r="N144" s="3">
        <f>N44</f>
        <v>-3654</v>
      </c>
      <c r="O144" s="3">
        <f>O44</f>
        <v>-3700</v>
      </c>
      <c r="P144" s="3">
        <f>P44</f>
        <v>-4201</v>
      </c>
      <c r="Q144" s="3">
        <f>Q44</f>
        <v>-4764</v>
      </c>
      <c r="R144" s="3" t="n"/>
      <c r="S144" s="3">
        <f>S44</f>
        <v>-3526</v>
      </c>
      <c r="T144" s="3">
        <f>T44</f>
        <v>-3521</v>
      </c>
      <c r="U144" s="3">
        <f>U44</f>
        <v>-4025</v>
      </c>
      <c r="V144" s="3">
        <f>V44</f>
        <v>-6254</v>
      </c>
      <c r="W144" s="3" t="n"/>
      <c r="X144" s="3">
        <f>X44</f>
        <v>-4091</v>
      </c>
      <c r="Y144" s="3">
        <f>Y44</f>
        <v>-4004</v>
      </c>
      <c r="Z144" s="3">
        <f>Z44</f>
        <v>-4214</v>
      </c>
      <c r="AA144" s="3">
        <f>AA44</f>
        <v>-4973</v>
      </c>
      <c r="AB144" s="3" t="n"/>
      <c r="AC144" s="3">
        <f>AC44</f>
        <v>-4123</v>
      </c>
      <c r="AD144" s="3">
        <f>AD44</f>
        <v>-4344</v>
      </c>
      <c r="AE144" s="3">
        <f>AE44</f>
        <v>-5781</v>
      </c>
      <c r="AF144" s="3">
        <f>AF44</f>
        <v>-5884</v>
      </c>
      <c r="AG144" s="3" t="n"/>
      <c r="AH144" s="3">
        <f>AH44</f>
        <v>-5808</v>
      </c>
      <c r="AI144" s="3">
        <f>AI44</f>
        <v>-6082</v>
      </c>
      <c r="AJ144" s="3">
        <f>AJ44</f>
        <v>0</v>
      </c>
      <c r="AK144" s="3">
        <f>AK44</f>
        <v>0</v>
      </c>
      <c r="AL144" s="3" t="n"/>
      <c r="AM144" s="3">
        <f>AM44</f>
        <v>0</v>
      </c>
      <c r="AN144" s="3">
        <f>AN44</f>
        <v>0</v>
      </c>
      <c r="AO144" s="3">
        <f>AO44</f>
        <v>0</v>
      </c>
      <c r="AP144" s="3">
        <f>AP44</f>
        <v>0</v>
      </c>
      <c r="AQ144" s="3" t="n"/>
      <c r="AR144" s="3">
        <f>AR44</f>
        <v>0</v>
      </c>
      <c r="AS144" s="3">
        <f>AS44</f>
        <v>0</v>
      </c>
      <c r="AT144" s="3">
        <f>AT44</f>
        <v>0</v>
      </c>
      <c r="AU144" s="3">
        <f>AU44</f>
        <v>0</v>
      </c>
      <c r="AV144" s="3" t="n"/>
      <c r="AW144" s="3">
        <f>AW44</f>
        <v>0</v>
      </c>
      <c r="AX144" s="3">
        <f>AX44</f>
        <v>0</v>
      </c>
      <c r="AY144" s="3">
        <f>AY44</f>
        <v>0</v>
      </c>
      <c r="AZ144" s="3">
        <f>AZ44</f>
        <v>0</v>
      </c>
      <c r="BA144" s="3" t="n"/>
      <c r="BB144" s="3">
        <f>BB44</f>
        <v>0</v>
      </c>
      <c r="BC144" s="3">
        <f>BC44</f>
        <v>0</v>
      </c>
      <c r="BD144" s="3">
        <f>BD44</f>
        <v>0</v>
      </c>
      <c r="BE144" s="3">
        <f>BE44</f>
        <v>0</v>
      </c>
      <c r="BF144" s="3" t="n"/>
      <c r="BG144" s="3">
        <f>BG44</f>
        <v>0</v>
      </c>
      <c r="BH144" s="3">
        <f>BH44</f>
        <v>0</v>
      </c>
      <c r="BI144" s="3">
        <f>BI44</f>
        <v>0</v>
      </c>
      <c r="BJ144" s="3">
        <f>BJ44</f>
        <v>0</v>
      </c>
      <c r="BK144" s="3" t="n"/>
      <c r="BL144" s="3">
        <f>BL44</f>
        <v>0</v>
      </c>
      <c r="BM144" s="3">
        <f>BM44</f>
        <v>0</v>
      </c>
      <c r="BN144" s="3">
        <f>BN44</f>
        <v>0</v>
      </c>
      <c r="BO144" s="3">
        <f>BO44</f>
        <v>0</v>
      </c>
      <c r="BP144" s="3" t="n"/>
      <c r="BQ144" s="3">
        <f>BQ44</f>
        <v>0</v>
      </c>
      <c r="BR144" s="3">
        <f>BR44</f>
        <v>0</v>
      </c>
      <c r="BS144" s="3">
        <f>BS44</f>
        <v>0</v>
      </c>
      <c r="BT144" s="3">
        <f>BT44</f>
        <v>0</v>
      </c>
      <c r="BU144" s="3" t="n"/>
      <c r="BV144" s="3">
        <f>BV44</f>
        <v>0</v>
      </c>
      <c r="BW144" s="3">
        <f>BW44</f>
        <v>0</v>
      </c>
      <c r="BX144" s="3">
        <f>BX44</f>
        <v>0</v>
      </c>
      <c r="BY144" s="3">
        <f>BY44</f>
        <v>0</v>
      </c>
      <c r="BZ144" s="3" t="n"/>
      <c r="CA144" s="3">
        <f>CA44</f>
        <v>0</v>
      </c>
      <c r="CB144" s="3">
        <f>CB44</f>
        <v>0</v>
      </c>
      <c r="CC144" s="3">
        <f>CC44</f>
        <v>0</v>
      </c>
      <c r="CD144" s="3">
        <f>CD44</f>
        <v>0</v>
      </c>
      <c r="CE144" s="3" t="n"/>
      <c r="CF144" s="3">
        <f>CF44</f>
        <v>0</v>
      </c>
      <c r="CG144" s="3">
        <f>CG44</f>
        <v>0</v>
      </c>
      <c r="CH144" s="3">
        <f>CH44</f>
        <v>0</v>
      </c>
      <c r="CI144" s="3">
        <f>CI44</f>
        <v>0</v>
      </c>
      <c r="CJ144" s="3" t="n"/>
      <c r="CK144" s="3">
        <f>CK44</f>
        <v>0</v>
      </c>
      <c r="CL144" s="3">
        <f>CL44</f>
        <v>0</v>
      </c>
      <c r="CM144" s="3">
        <f>CM44</f>
        <v>0</v>
      </c>
      <c r="CN144" s="3">
        <f>CN44</f>
        <v>0</v>
      </c>
      <c r="CO144" s="3" t="n"/>
      <c r="CP144" s="3">
        <f>CP44</f>
        <v>0</v>
      </c>
      <c r="CQ144" s="3">
        <f>CQ44</f>
        <v>0</v>
      </c>
      <c r="CR144" s="3">
        <f>CR44</f>
        <v>0</v>
      </c>
      <c r="CS144" s="3">
        <f>CS44</f>
        <v>0</v>
      </c>
      <c r="CT144" s="3" t="n"/>
      <c r="CU144" s="3">
        <f>CU44</f>
        <v>0</v>
      </c>
      <c r="CV144" s="3">
        <f>CV44</f>
        <v>0</v>
      </c>
      <c r="CW144" s="3">
        <f>CW44</f>
        <v>0</v>
      </c>
      <c r="CX144" s="3">
        <f>CX44</f>
        <v>0</v>
      </c>
      <c r="CY144" s="3" t="n"/>
    </row>
    <row r="145" hidden="1" outlineLevel="1">
      <c r="C145" s="34" t="inlineStr">
        <is>
          <t>PP&amp;E</t>
        </is>
      </c>
      <c r="D145" s="3">
        <f>D140</f>
        <v>149220</v>
      </c>
      <c r="E145" s="3">
        <f>E140</f>
        <v>143850</v>
      </c>
      <c r="F145" s="3">
        <f>F140</f>
        <v>142383</v>
      </c>
      <c r="G145" s="3">
        <f>G140</f>
        <v>156618</v>
      </c>
      <c r="H145" s="3" t="n"/>
      <c r="I145" s="3">
        <f>I140</f>
        <v>154003</v>
      </c>
      <c r="J145" s="3">
        <f>J140</f>
        <v>151208</v>
      </c>
      <c r="K145" s="3">
        <f>K140</f>
        <v>147945</v>
      </c>
      <c r="L145" s="3">
        <f>L140</f>
        <v>146961</v>
      </c>
      <c r="M145" s="3" t="n"/>
      <c r="N145" s="3">
        <f>N140</f>
        <v>144444</v>
      </c>
      <c r="O145" s="3">
        <f>O140</f>
        <v>144410</v>
      </c>
      <c r="P145" s="3">
        <f>P140</f>
        <v>144144</v>
      </c>
      <c r="Q145" s="3">
        <f>Q140</f>
        <v>143591</v>
      </c>
      <c r="R145" s="3" t="n"/>
      <c r="S145" s="3">
        <f>S140</f>
        <v>142951</v>
      </c>
      <c r="T145" s="3">
        <f>T140</f>
        <v>142768</v>
      </c>
      <c r="U145" s="3">
        <f>U140</f>
        <v>153972</v>
      </c>
      <c r="V145" s="3">
        <f>V140</f>
        <v>153619</v>
      </c>
      <c r="W145" s="3" t="n"/>
      <c r="X145" s="3">
        <f>X140</f>
        <v>153641</v>
      </c>
      <c r="Y145" s="3">
        <f>Y140</f>
        <v>153003</v>
      </c>
      <c r="Z145" s="3">
        <f>Z140</f>
        <v>147891</v>
      </c>
      <c r="AA145" s="3">
        <f>Y145+SUM(AA142:AA144)</f>
        <v>152911</v>
      </c>
      <c r="AB145" s="3" t="n"/>
      <c r="AC145" s="3">
        <f>AC140</f>
        <v>148124</v>
      </c>
      <c r="AD145" s="3">
        <f>AD140</f>
        <v>147442</v>
      </c>
      <c r="AE145" s="3">
        <f>AE140</f>
        <v>219494</v>
      </c>
      <c r="AF145" s="3">
        <f>AE145+SUM(AF142:AF144)</f>
        <v>219729</v>
      </c>
      <c r="AG145" s="3" t="n"/>
      <c r="AH145" s="3">
        <f>AH140</f>
        <v>218149</v>
      </c>
      <c r="AI145" s="3">
        <f>AI140</f>
        <v>215937</v>
      </c>
      <c r="AJ145" s="3">
        <f>AI145+SUM(AJ142:AJ144)</f>
        <v>215937</v>
      </c>
      <c r="AK145" s="3">
        <f>AJ145+SUM(AK142:AK144)</f>
        <v>215937</v>
      </c>
      <c r="AL145" s="3" t="n"/>
      <c r="AM145" s="3">
        <f>AK145+SUM(AM142:AM144)</f>
        <v>215937</v>
      </c>
      <c r="AN145" s="3">
        <f>AM145+SUM(AN142:AN144)</f>
        <v>215937</v>
      </c>
      <c r="AO145" s="3">
        <f>AN145+SUM(AO142:AO144)</f>
        <v>215937</v>
      </c>
      <c r="AP145" s="3">
        <f>AO145+SUM(AP142:AP144)</f>
        <v>215937</v>
      </c>
      <c r="AQ145" s="3" t="n"/>
      <c r="AR145" s="3">
        <f>AP145+SUM(AR142:AR144)</f>
        <v>215937</v>
      </c>
      <c r="AS145" s="3">
        <f>AR145+SUM(AS142:AS144)</f>
        <v>215937</v>
      </c>
      <c r="AT145" s="3">
        <f>AS145+SUM(AT142:AT144)</f>
        <v>215937</v>
      </c>
      <c r="AU145" s="3">
        <f>AT145+SUM(AU142:AU144)</f>
        <v>215937</v>
      </c>
      <c r="AV145" s="3" t="n"/>
      <c r="AW145" s="3">
        <f>AU145+SUM(AW142:AW144)</f>
        <v>215937</v>
      </c>
      <c r="AX145" s="3">
        <f>AW145+SUM(AX142:AX144)</f>
        <v>215937</v>
      </c>
      <c r="AY145" s="3">
        <f>AX145+SUM(AY142:AY144)</f>
        <v>215937</v>
      </c>
      <c r="AZ145" s="3">
        <f>AY145+SUM(AZ142:AZ144)</f>
        <v>215937</v>
      </c>
      <c r="BA145" s="3" t="n"/>
      <c r="BB145" s="3">
        <f>AZ145+SUM(BB142:BB144)</f>
        <v>215937</v>
      </c>
      <c r="BC145" s="3">
        <f>BB145+SUM(BC142:BC144)</f>
        <v>215937</v>
      </c>
      <c r="BD145" s="3">
        <f>BC145+SUM(BD142:BD144)</f>
        <v>215937</v>
      </c>
      <c r="BE145" s="3">
        <f>BD145+SUM(BE142:BE144)</f>
        <v>215937</v>
      </c>
      <c r="BF145" s="3" t="n"/>
      <c r="BG145" s="3">
        <f>BE145+SUM(BG142:BG144)</f>
        <v>215937</v>
      </c>
      <c r="BH145" s="3">
        <f>BG145+SUM(BH142:BH144)</f>
        <v>215937</v>
      </c>
      <c r="BI145" s="3">
        <f>BH145+SUM(BI142:BI144)</f>
        <v>215937</v>
      </c>
      <c r="BJ145" s="3">
        <f>BI145+SUM(BJ142:BJ144)</f>
        <v>215937</v>
      </c>
      <c r="BK145" s="3" t="n"/>
      <c r="BL145" s="3">
        <f>BJ145+SUM(BL142:BL144)</f>
        <v>215937</v>
      </c>
      <c r="BM145" s="3">
        <f>BL145+SUM(BM142:BM144)</f>
        <v>215937</v>
      </c>
      <c r="BN145" s="3">
        <f>BM145+SUM(BN142:BN144)</f>
        <v>215937</v>
      </c>
      <c r="BO145" s="3">
        <f>BN145+SUM(BO142:BO144)</f>
        <v>215937</v>
      </c>
      <c r="BP145" s="3" t="n"/>
      <c r="BQ145" s="3">
        <f>BO145+SUM(BQ142:BQ144)</f>
        <v>215937</v>
      </c>
      <c r="BR145" s="3">
        <f>BQ145+SUM(BR142:BR144)</f>
        <v>215937</v>
      </c>
      <c r="BS145" s="3">
        <f>BR145+SUM(BS142:BS144)</f>
        <v>215937</v>
      </c>
      <c r="BT145" s="3">
        <f>BS145+SUM(BT142:BT144)</f>
        <v>215937</v>
      </c>
      <c r="BU145" s="3" t="n"/>
      <c r="BV145" s="3">
        <f>BT145+SUM(BV142:BV144)</f>
        <v>215937</v>
      </c>
      <c r="BW145" s="3">
        <f>BV145+SUM(BW142:BW144)</f>
        <v>215937</v>
      </c>
      <c r="BX145" s="3">
        <f>BW145+SUM(BX142:BX144)</f>
        <v>215937</v>
      </c>
      <c r="BY145" s="3">
        <f>BX145+SUM(BY142:BY144)</f>
        <v>215937</v>
      </c>
      <c r="BZ145" s="3" t="n"/>
      <c r="CA145" s="3">
        <f>BY145+SUM(CA142:CA144)</f>
        <v>215937</v>
      </c>
      <c r="CB145" s="3">
        <f>CA145+SUM(CB142:CB144)</f>
        <v>215937</v>
      </c>
      <c r="CC145" s="3">
        <f>CB145+SUM(CC142:CC144)</f>
        <v>215937</v>
      </c>
      <c r="CD145" s="3">
        <f>CC145+SUM(CD142:CD144)</f>
        <v>215937</v>
      </c>
      <c r="CE145" s="3" t="n"/>
      <c r="CF145" s="3">
        <f>CD145+SUM(CF142:CF144)</f>
        <v>215937</v>
      </c>
      <c r="CG145" s="3">
        <f>CF145+SUM(CG142:CG144)</f>
        <v>215937</v>
      </c>
      <c r="CH145" s="3">
        <f>CG145+SUM(CH142:CH144)</f>
        <v>215937</v>
      </c>
      <c r="CI145" s="3">
        <f>CH145+SUM(CI142:CI144)</f>
        <v>215937</v>
      </c>
      <c r="CJ145" s="3" t="n"/>
      <c r="CK145" s="3">
        <f>CI145+SUM(CK142:CK144)</f>
        <v>215937</v>
      </c>
      <c r="CL145" s="3">
        <f>CK145+SUM(CL142:CL144)</f>
        <v>215937</v>
      </c>
      <c r="CM145" s="3">
        <f>CL145+SUM(CM142:CM144)</f>
        <v>215937</v>
      </c>
      <c r="CN145" s="3">
        <f>CM145+SUM(CN142:CN144)</f>
        <v>215937</v>
      </c>
      <c r="CO145" s="3" t="n"/>
      <c r="CP145" s="3">
        <f>CN145+SUM(CP142:CP144)</f>
        <v>215937</v>
      </c>
      <c r="CQ145" s="3">
        <f>CP145+SUM(CQ142:CQ144)</f>
        <v>215937</v>
      </c>
      <c r="CR145" s="3">
        <f>CQ145+SUM(CR142:CR144)</f>
        <v>215937</v>
      </c>
      <c r="CS145" s="3">
        <f>CR145+SUM(CS142:CS144)</f>
        <v>215937</v>
      </c>
      <c r="CT145" s="3" t="n"/>
      <c r="CU145" s="3">
        <f>CS145+SUM(CU142:CU144)</f>
        <v>215937</v>
      </c>
      <c r="CV145" s="3">
        <f>CU145+SUM(CV142:CV144)</f>
        <v>215937</v>
      </c>
      <c r="CW145" s="3">
        <f>CV145+SUM(CW142:CW144)</f>
        <v>215937</v>
      </c>
      <c r="CX145" s="3">
        <f>CW145+SUM(CX142:CX144)</f>
        <v>215937</v>
      </c>
      <c r="CY145" s="3" t="n"/>
      <c r="CZ145">
        <f>CX145+SUM(CZ142:CZ144)</f>
        <v>215937</v>
      </c>
      <c r="DA145">
        <f>CZ145+SUM(DA142:DA144)</f>
        <v>215937</v>
      </c>
      <c r="DB145">
        <f>DA145+SUM(DB142:DB144)</f>
        <v>215937</v>
      </c>
      <c r="DC145">
        <f>DB145+SUM(DC142:DC144)</f>
        <v>215937</v>
      </c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34" t="inlineStr">
        <is>
          <t>Capital expenditures (% Net Revenues)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40">
        <f>AF142/AF15</f>
        <v>0.130544236554093</v>
      </c>
      <c r="AG147" s="40">
        <f>AG142/AG15</f>
        <v>0.487020647407039</v>
      </c>
      <c r="AH147" s="40">
        <f>AH142/AH15</f>
        <v>0.0869833563067048</v>
      </c>
      <c r="AI147" s="40">
        <f>AI142/AI15</f>
        <v>0.0552423096138748</v>
      </c>
      <c r="AJ147" s="40">
        <f>AJ142/AJ15</f>
        <v>0</v>
      </c>
      <c r="AK147" s="40">
        <f>AK142/AK15</f>
        <v>0</v>
      </c>
      <c r="AL147" s="40">
        <f>AL142/AL15</f>
        <v>0</v>
      </c>
      <c r="AM147" s="40">
        <f>AM142/AM15</f>
        <v>0</v>
      </c>
      <c r="AN147" s="40">
        <f>AN142/AN15</f>
        <v>0</v>
      </c>
      <c r="AO147" s="40">
        <f>AO142/AO15</f>
        <v>0</v>
      </c>
      <c r="AP147" s="40">
        <f>AP142/AP15</f>
        <v>0</v>
      </c>
      <c r="AQ147" s="40">
        <f>AQ142/AQ15</f>
        <v>0</v>
      </c>
      <c r="AR147" s="40">
        <f>AR142/AR15</f>
        <v>0</v>
      </c>
      <c r="AS147" s="40">
        <f>AS142/AS15</f>
        <v>0</v>
      </c>
      <c r="AT147" s="40">
        <f>AT142/AT15</f>
        <v>0</v>
      </c>
      <c r="AU147" s="40">
        <f>AU142/AU15</f>
        <v>0</v>
      </c>
      <c r="AV147" s="40">
        <f>AV142/AV15</f>
        <v>0</v>
      </c>
      <c r="AW147" s="40">
        <f>AW142/AW15</f>
        <v>0</v>
      </c>
      <c r="AX147" s="40">
        <f>AX142/AX15</f>
        <v>0</v>
      </c>
      <c r="AY147" s="40">
        <f>AY142/AY15</f>
        <v>0</v>
      </c>
      <c r="AZ147" s="40">
        <f>AZ142/AZ15</f>
        <v>0</v>
      </c>
      <c r="BA147" s="40">
        <f>BA142/BA15</f>
        <v>0</v>
      </c>
      <c r="BB147" s="40">
        <f>BB142/BB15</f>
        <v>0</v>
      </c>
      <c r="BC147" s="40">
        <f>BC142/BC15</f>
        <v>0</v>
      </c>
      <c r="BD147" s="40">
        <f>BD142/BD15</f>
        <v>0</v>
      </c>
      <c r="BE147" s="40">
        <f>BE142/BE15</f>
        <v>0</v>
      </c>
      <c r="BF147" s="40">
        <f>BF142/BF15</f>
        <v>0</v>
      </c>
      <c r="BG147" s="40">
        <f>BG142/BG15</f>
        <v>0</v>
      </c>
      <c r="BH147" s="40">
        <f>BH142/BH15</f>
        <v>0</v>
      </c>
      <c r="BI147" s="40">
        <f>BI142/BI15</f>
        <v>0</v>
      </c>
      <c r="BJ147" s="40">
        <f>BJ142/BJ15</f>
        <v>0</v>
      </c>
      <c r="BK147" s="40">
        <f>BK142/BK15</f>
        <v>0</v>
      </c>
      <c r="BL147" s="40">
        <f>BL142/BL15</f>
        <v>0</v>
      </c>
      <c r="BM147" s="40">
        <f>BM142/BM15</f>
        <v>0</v>
      </c>
      <c r="BN147" s="40">
        <f>BN142/BN15</f>
        <v>0</v>
      </c>
      <c r="BO147" s="40">
        <f>BO142/BO15</f>
        <v>0</v>
      </c>
      <c r="BP147" s="40">
        <f>BP142/BP15</f>
        <v>0</v>
      </c>
      <c r="BQ147" s="40">
        <f>BQ142/BQ15</f>
        <v>0</v>
      </c>
      <c r="BR147" s="40">
        <f>BR142/BR15</f>
        <v>0</v>
      </c>
      <c r="BS147" s="40">
        <f>BS142/BS15</f>
        <v>0</v>
      </c>
      <c r="BT147" s="40">
        <f>BT142/BT15</f>
        <v>0</v>
      </c>
      <c r="BU147" s="40">
        <f>BU142/BU15</f>
        <v>0</v>
      </c>
      <c r="BV147" s="40">
        <f>BV142/BV15</f>
        <v>0</v>
      </c>
      <c r="BW147" s="40">
        <f>BW142/BW15</f>
        <v>0</v>
      </c>
      <c r="BX147" s="40">
        <f>BX142/BX15</f>
        <v>0</v>
      </c>
      <c r="BY147" s="40">
        <f>BY142/BY15</f>
        <v>0</v>
      </c>
      <c r="BZ147" s="40">
        <f>BZ142/BZ15</f>
        <v>0</v>
      </c>
      <c r="CA147" s="40">
        <f>CA142/CA15</f>
        <v>0</v>
      </c>
      <c r="CB147" s="40">
        <f>CB142/CB15</f>
        <v>0</v>
      </c>
      <c r="CC147" s="40">
        <f>CC142/CC15</f>
        <v>0</v>
      </c>
      <c r="CD147" s="40">
        <f>CD142/CD15</f>
        <v>0</v>
      </c>
      <c r="CE147" s="40">
        <f>CE142/CE15</f>
        <v>0</v>
      </c>
      <c r="CF147" s="40">
        <f>CF142/CF15</f>
        <v>0</v>
      </c>
      <c r="CG147" s="40">
        <f>CG142/CG15</f>
        <v>0</v>
      </c>
      <c r="CH147" s="40">
        <f>CH142/CH15</f>
        <v>0</v>
      </c>
      <c r="CI147" s="40">
        <f>CI142/CI15</f>
        <v>0</v>
      </c>
      <c r="CJ147" s="40">
        <f>CJ142/CJ15</f>
        <v>0</v>
      </c>
      <c r="CK147" s="40">
        <f>CK142/CK15</f>
        <v>0</v>
      </c>
      <c r="CL147" s="40">
        <f>CL142/CL15</f>
        <v>0</v>
      </c>
      <c r="CM147" s="40">
        <f>CM142/CM15</f>
        <v>0</v>
      </c>
      <c r="CN147" s="40">
        <f>CN142/CN15</f>
        <v>0</v>
      </c>
      <c r="CO147" s="40">
        <f>CO142/CO15</f>
        <v>0</v>
      </c>
      <c r="CP147" s="40">
        <f>CP142/CP15</f>
        <v>0</v>
      </c>
      <c r="CQ147" s="40">
        <f>CQ142/CQ15</f>
        <v>0</v>
      </c>
      <c r="CR147" s="40">
        <f>CR142/CR15</f>
        <v>0</v>
      </c>
      <c r="CS147" s="40">
        <f>CS142/CS15</f>
        <v>0</v>
      </c>
      <c r="CT147" s="40">
        <f>CT142/CT15</f>
        <v>0</v>
      </c>
      <c r="CU147" s="40">
        <f>CU142/CU15</f>
        <v>0</v>
      </c>
      <c r="CV147" s="40">
        <f>CV142/CV15</f>
        <v>0</v>
      </c>
      <c r="CW147" s="40">
        <f>CW142/CW15</f>
        <v>0</v>
      </c>
      <c r="CX147" s="40">
        <f>CX142/CX15</f>
        <v>0</v>
      </c>
      <c r="CY147" s="40">
        <f>CY142/CY15</f>
        <v>0</v>
      </c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hidden="1" outlineLevel="1">
      <c r="C149" s="34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collapsed="1">
      <c r="C150" s="26" t="inlineStr">
        <is>
          <t>Right-of-use-assets</t>
        </is>
      </c>
      <c r="D150" s="25">
        <f>INDEX('Inputs (2)'!$D$23:$AL$23,MATCH(D$7,'Inputs (2)'!$D$2:$AL$2,0))</f>
        <v>0</v>
      </c>
      <c r="E150" s="25">
        <f>INDEX('Inputs (2)'!$D$23:$AL$23,MATCH(E$7,'Inputs (2)'!$D$2:$AL$2,0))</f>
        <v>0</v>
      </c>
      <c r="F150" s="25">
        <f>INDEX('Inputs (2)'!$D$23:$AL$23,MATCH(F$7,'Inputs (2)'!$D$2:$AL$2,0))</f>
        <v>0</v>
      </c>
      <c r="G150" s="25">
        <f>INDEX('Inputs (2)'!$D$23:$AL$23,MATCH(G$7,'Inputs (2)'!$D$2:$AL$2,0))</f>
        <v>0</v>
      </c>
      <c r="H150" s="3">
        <f>G150</f>
        <v>0</v>
      </c>
      <c r="I150" s="25">
        <f>INDEX('Inputs (2)'!$D$23:$AL$23,MATCH(I$7,'Inputs (2)'!$D$2:$AL$2,0))</f>
        <v>0</v>
      </c>
      <c r="J150" s="25">
        <f>INDEX('Inputs (2)'!$D$23:$AL$23,MATCH(J$7,'Inputs (2)'!$D$2:$AL$2,0))</f>
        <v>0</v>
      </c>
      <c r="K150" s="25">
        <f>INDEX('Inputs (2)'!$D$23:$AL$23,MATCH(K$7,'Inputs (2)'!$D$2:$AL$2,0))</f>
        <v>0</v>
      </c>
      <c r="L150" s="25">
        <f>INDEX('Inputs (2)'!$D$23:$AL$23,MATCH(L$7,'Inputs (2)'!$D$2:$AL$2,0))</f>
        <v>0</v>
      </c>
      <c r="M150" s="3">
        <f>L150</f>
        <v>0</v>
      </c>
      <c r="N150" s="25">
        <f>INDEX('Inputs (2)'!$D$23:$AL$23,MATCH(N$7,'Inputs (2)'!$D$2:$AL$2,0))</f>
        <v>0</v>
      </c>
      <c r="O150" s="25">
        <f>INDEX('Inputs (2)'!$D$23:$AL$23,MATCH(O$7,'Inputs (2)'!$D$2:$AL$2,0))</f>
        <v>0</v>
      </c>
      <c r="P150" s="25">
        <f>INDEX('Inputs (2)'!$D$23:$AL$23,MATCH(P$7,'Inputs (2)'!$D$2:$AL$2,0))</f>
        <v>0</v>
      </c>
      <c r="Q150" s="25">
        <f>INDEX('Inputs (2)'!$D$23:$AL$23,MATCH(Q$7,'Inputs (2)'!$D$2:$AL$2,0))</f>
        <v>0</v>
      </c>
      <c r="R150" s="3">
        <f>Q150</f>
        <v>0</v>
      </c>
      <c r="S150" s="25">
        <f>INDEX('Inputs (2)'!$D$23:$AL$23,MATCH(S$7,'Inputs (2)'!$D$2:$AL$2,0))</f>
        <v>0</v>
      </c>
      <c r="T150" s="25">
        <f>INDEX('Inputs (2)'!$D$23:$AL$23,MATCH(T$7,'Inputs (2)'!$D$2:$AL$2,0))</f>
        <v>0</v>
      </c>
      <c r="U150" s="25">
        <f>INDEX('Inputs (2)'!$D$23:$AL$23,MATCH(U$7,'Inputs (2)'!$D$2:$AL$2,0))</f>
        <v>0</v>
      </c>
      <c r="V150" s="25">
        <f>INDEX('Inputs (2)'!$D$23:$AL$23,MATCH(V$7,'Inputs (2)'!$D$2:$AL$2,0))</f>
        <v>0</v>
      </c>
      <c r="W150" s="3">
        <f>V150</f>
        <v>0</v>
      </c>
      <c r="X150" s="25">
        <f>INDEX('Inputs (2)'!$D$23:$AL$23,MATCH(X$7,'Inputs (2)'!$D$2:$AL$2,0))</f>
        <v>0</v>
      </c>
      <c r="Y150" s="25">
        <f>INDEX('Inputs (2)'!$D$23:$AL$23,MATCH(Y$7,'Inputs (2)'!$D$2:$AL$2,0))</f>
        <v>0</v>
      </c>
      <c r="Z150" s="25">
        <f>INDEX('Inputs (2)'!$D$23:$AL$23,MATCH(Z$7,'Inputs (2)'!$D$2:$AL$2,0))</f>
        <v>0</v>
      </c>
      <c r="AA150" s="25">
        <f>INDEX('Inputs (2)'!$D$23:$AL$23,MATCH(AA$7,'Inputs (2)'!$D$2:$AL$2,0))</f>
        <v>0</v>
      </c>
      <c r="AB150" s="3">
        <f>AA150</f>
        <v>0</v>
      </c>
      <c r="AC150" s="25">
        <f>INDEX('Inputs (2)'!$D$23:$AL$23,MATCH(AC$7,'Inputs (2)'!$D$2:$AL$2,0))</f>
        <v>0</v>
      </c>
      <c r="AD150" s="25">
        <f>INDEX('Inputs (2)'!$D$23:$AL$23,MATCH(AD$7,'Inputs (2)'!$D$2:$AL$2,0))</f>
        <v>0</v>
      </c>
      <c r="AE150" s="25">
        <f>INDEX('Inputs (2)'!$D$23:$AL$23,MATCH(AE$7,'Inputs (2)'!$D$2:$AL$2,0))</f>
        <v>0</v>
      </c>
      <c r="AF150" s="25">
        <f>INDEX('Inputs (2)'!$D$23:$AL$23,MATCH(AF$7,'Inputs (2)'!$D$2:$AL$2,0))</f>
        <v>0</v>
      </c>
      <c r="AG150" s="3">
        <f>AF150</f>
        <v>0</v>
      </c>
      <c r="AH150" s="3">
        <f>INDEX('Inputs (2)'!$D$23:$AL$23,MATCH(AH$7,'Inputs (2)'!$D$2:$AL$2,0))</f>
        <v>0</v>
      </c>
      <c r="AI150" s="3">
        <f>INDEX('Inputs (2)'!$D$23:$AL$23,MATCH(AI$7,'Inputs (2)'!$D$2:$AL$2,0))</f>
        <v>0</v>
      </c>
      <c r="AJ150" s="3">
        <f>AI150</f>
        <v>0</v>
      </c>
      <c r="AK150" s="3">
        <f>AJ150</f>
        <v>0</v>
      </c>
      <c r="AL150" s="3">
        <f>AK150</f>
        <v>0</v>
      </c>
      <c r="AM150" s="3">
        <f>AL150</f>
        <v>0</v>
      </c>
      <c r="AN150" s="3">
        <f>AM150</f>
        <v>0</v>
      </c>
      <c r="AO150" s="3">
        <f>AN150</f>
        <v>0</v>
      </c>
      <c r="AP150" s="3">
        <f>AO150</f>
        <v>0</v>
      </c>
      <c r="AQ150" s="3">
        <f>AP150</f>
        <v>0</v>
      </c>
      <c r="AR150" s="3">
        <f>AQ150</f>
        <v>0</v>
      </c>
      <c r="AS150" s="3">
        <f>AR150</f>
        <v>0</v>
      </c>
      <c r="AT150" s="3">
        <f>AS150</f>
        <v>0</v>
      </c>
      <c r="AU150" s="3">
        <f>AT150</f>
        <v>0</v>
      </c>
      <c r="AV150" s="3">
        <f>AU150</f>
        <v>0</v>
      </c>
      <c r="AW150" s="3">
        <f>AV150</f>
        <v>0</v>
      </c>
      <c r="AX150" s="3">
        <f>AW150</f>
        <v>0</v>
      </c>
      <c r="AY150" s="3">
        <f>AX150</f>
        <v>0</v>
      </c>
      <c r="AZ150" s="3">
        <f>AY150</f>
        <v>0</v>
      </c>
      <c r="BA150" s="3">
        <f>AZ150</f>
        <v>0</v>
      </c>
      <c r="BB150" s="3">
        <f>BA150</f>
        <v>0</v>
      </c>
      <c r="BC150" s="3">
        <f>BB150</f>
        <v>0</v>
      </c>
      <c r="BD150" s="3">
        <f>BC150</f>
        <v>0</v>
      </c>
      <c r="BE150" s="3">
        <f>BD150</f>
        <v>0</v>
      </c>
      <c r="BF150" s="3">
        <f>BE150</f>
        <v>0</v>
      </c>
      <c r="BG150" s="3">
        <f>BF150</f>
        <v>0</v>
      </c>
      <c r="BH150" s="3">
        <f>BG150</f>
        <v>0</v>
      </c>
      <c r="BI150" s="3">
        <f>BH150</f>
        <v>0</v>
      </c>
      <c r="BJ150" s="3">
        <f>BI150</f>
        <v>0</v>
      </c>
      <c r="BK150" s="3">
        <f>BJ150</f>
        <v>0</v>
      </c>
      <c r="BL150" s="3">
        <f>BK150</f>
        <v>0</v>
      </c>
      <c r="BM150" s="3">
        <f>BL150</f>
        <v>0</v>
      </c>
      <c r="BN150" s="3">
        <f>BM150</f>
        <v>0</v>
      </c>
      <c r="BO150" s="3">
        <f>BN150</f>
        <v>0</v>
      </c>
      <c r="BP150" s="3">
        <f>BO150</f>
        <v>0</v>
      </c>
      <c r="BQ150" s="3">
        <f>BP150</f>
        <v>0</v>
      </c>
      <c r="BR150" s="3">
        <f>BQ150</f>
        <v>0</v>
      </c>
      <c r="BS150" s="3">
        <f>BR150</f>
        <v>0</v>
      </c>
      <c r="BT150" s="3">
        <f>BS150</f>
        <v>0</v>
      </c>
      <c r="BU150" s="3">
        <f>BT150</f>
        <v>0</v>
      </c>
      <c r="BV150" s="3">
        <f>BU150</f>
        <v>0</v>
      </c>
      <c r="BW150" s="3">
        <f>BV150</f>
        <v>0</v>
      </c>
      <c r="BX150" s="3">
        <f>BW150</f>
        <v>0</v>
      </c>
      <c r="BY150" s="3">
        <f>BX150</f>
        <v>0</v>
      </c>
      <c r="BZ150" s="3">
        <f>BY150</f>
        <v>0</v>
      </c>
      <c r="CA150" s="3">
        <f>BZ150</f>
        <v>0</v>
      </c>
      <c r="CB150" s="3">
        <f>CA150</f>
        <v>0</v>
      </c>
      <c r="CC150" s="3">
        <f>CB150</f>
        <v>0</v>
      </c>
      <c r="CD150" s="3">
        <f>CC150</f>
        <v>0</v>
      </c>
      <c r="CE150" s="3">
        <f>CD150</f>
        <v>0</v>
      </c>
      <c r="CF150" s="3">
        <f>CE150</f>
        <v>0</v>
      </c>
      <c r="CG150" s="3">
        <f>CF150</f>
        <v>0</v>
      </c>
      <c r="CH150" s="3">
        <f>CG150</f>
        <v>0</v>
      </c>
      <c r="CI150" s="3">
        <f>CH150</f>
        <v>0</v>
      </c>
      <c r="CJ150" s="3">
        <f>CI150</f>
        <v>0</v>
      </c>
      <c r="CK150" s="3">
        <f>CJ150</f>
        <v>0</v>
      </c>
      <c r="CL150" s="3">
        <f>CK150</f>
        <v>0</v>
      </c>
      <c r="CM150" s="3">
        <f>CL150</f>
        <v>0</v>
      </c>
      <c r="CN150" s="3">
        <f>CM150</f>
        <v>0</v>
      </c>
      <c r="CO150" s="3">
        <f>CN150</f>
        <v>0</v>
      </c>
      <c r="CP150" s="3">
        <f>CO150</f>
        <v>0</v>
      </c>
      <c r="CQ150" s="3">
        <f>CP150</f>
        <v>0</v>
      </c>
      <c r="CR150" s="3">
        <f>CQ150</f>
        <v>0</v>
      </c>
      <c r="CS150" s="3">
        <f>CR150</f>
        <v>0</v>
      </c>
      <c r="CT150" s="3">
        <f>CS150</f>
        <v>0</v>
      </c>
      <c r="CU150" s="3">
        <f>CT150</f>
        <v>0</v>
      </c>
      <c r="CV150" s="3">
        <f>CU150</f>
        <v>0</v>
      </c>
      <c r="CW150" s="3">
        <f>CV150</f>
        <v>0</v>
      </c>
      <c r="CX150" s="3">
        <f>CW150</f>
        <v>0</v>
      </c>
      <c r="CY150" s="3">
        <f>CX150</f>
        <v>0</v>
      </c>
    </row>
    <row r="151" hidden="1" outlineLevel="1">
      <c r="C151" s="38" t="inlineStr">
        <is>
          <t>%(Var.)</t>
        </is>
      </c>
      <c r="D151" s="3" t="n"/>
      <c r="E151" s="47">
        <f>IFERROR((E150-D150)/D150,0)</f>
        <v>0</v>
      </c>
      <c r="F151" s="47">
        <f>IFERROR((F150-E150)/E150,0)</f>
        <v>0</v>
      </c>
      <c r="G151" s="47">
        <f>IFERROR((G150-F150)/F150,0)</f>
        <v>0</v>
      </c>
      <c r="H151" s="3" t="n"/>
      <c r="I151" s="47">
        <f>IFERROR((I150-H150)/H150,0)</f>
        <v>0</v>
      </c>
      <c r="J151" s="47">
        <f>IFERROR((J150-I150)/I150,0)</f>
        <v>0</v>
      </c>
      <c r="K151" s="47">
        <f>IFERROR((K150-J150)/J150,0)</f>
        <v>0</v>
      </c>
      <c r="L151" s="47">
        <f>IFERROR((L150-K150)/K150,0)</f>
        <v>0</v>
      </c>
      <c r="M151" s="3" t="n"/>
      <c r="N151" s="47">
        <f>IFERROR((N150-M150)/M150,0)</f>
        <v>0</v>
      </c>
      <c r="O151" s="47">
        <f>IFERROR((O150-N150)/N150,0)</f>
        <v>0</v>
      </c>
      <c r="P151" s="47">
        <f>IFERROR((P150-O150)/O150,0)</f>
        <v>0</v>
      </c>
      <c r="Q151" s="47">
        <f>IFERROR((Q150-P150)/P150,0)</f>
        <v>0</v>
      </c>
      <c r="R151" s="3" t="n"/>
      <c r="S151" s="47">
        <f>IFERROR((S150-R150)/R150,0)</f>
        <v>0</v>
      </c>
      <c r="T151" s="47">
        <f>IFERROR((T150-S150)/S150,0)</f>
        <v>0</v>
      </c>
      <c r="U151" s="47">
        <f>IFERROR((U150-T150)/T150,0)</f>
        <v>0</v>
      </c>
      <c r="V151" s="47">
        <f>IFERROR((V150-U150)/U150,0)</f>
        <v>0</v>
      </c>
      <c r="W151" s="3" t="n"/>
      <c r="X151" s="47">
        <f>IFERROR((X150-W150)/W150,0)</f>
        <v>0</v>
      </c>
      <c r="Y151" s="47">
        <f>IFERROR((Y150-X150)/X150,0)</f>
        <v>0</v>
      </c>
      <c r="Z151" s="47">
        <f>IFERROR((Z150-Y150)/Y150,0)</f>
        <v>0</v>
      </c>
      <c r="AA151" s="47">
        <f>IFERROR((AA150-Z150)/Z150,0)</f>
        <v>0</v>
      </c>
      <c r="AB151" s="3" t="n"/>
      <c r="AC151" s="47">
        <f>IFERROR((AC150-AB150)/AB150,0)</f>
        <v>0</v>
      </c>
      <c r="AD151" s="47">
        <f>IFERROR((AD150-AC150)/AC150,0)</f>
        <v>0</v>
      </c>
      <c r="AE151" s="47">
        <f>IFERROR((AE150-AD150)/AD150,0)</f>
        <v>0</v>
      </c>
      <c r="AF151" s="218">
        <f>IFERROR((AF150-AE150)/AE150,0)</f>
        <v>0</v>
      </c>
      <c r="AG151" s="3" t="n"/>
      <c r="AH151" s="218">
        <f>IFERROR((AH150-AG150)/AG150,0)</f>
        <v>0</v>
      </c>
      <c r="AI151" s="218">
        <f>IFERROR((AI150-AH150)/AH150,0)</f>
        <v>0</v>
      </c>
      <c r="AJ151" s="218" t="n"/>
      <c r="AK151" s="218" t="n"/>
      <c r="AL151" s="3" t="n"/>
      <c r="AM151" s="218" t="n"/>
      <c r="AN151" s="218" t="n"/>
      <c r="AO151" s="218" t="n"/>
      <c r="AP151" s="218" t="n"/>
      <c r="AQ151" s="3" t="n"/>
      <c r="AR151" s="218" t="n"/>
      <c r="AS151" s="218" t="n"/>
      <c r="AT151" s="218" t="n"/>
      <c r="AU151" s="218" t="n"/>
      <c r="AV151" s="3" t="n"/>
      <c r="AW151" s="218" t="n"/>
      <c r="AX151" s="218" t="n"/>
      <c r="AY151" s="218" t="n"/>
      <c r="AZ151" s="218" t="n"/>
      <c r="BA151" s="3" t="n"/>
      <c r="BB151" s="218" t="n"/>
      <c r="BC151" s="218" t="n"/>
      <c r="BD151" s="218" t="n"/>
      <c r="BE151" s="218" t="n"/>
      <c r="BF151" s="3" t="n"/>
      <c r="BG151" s="218" t="n"/>
      <c r="BH151" s="218" t="n"/>
      <c r="BI151" s="218" t="n"/>
      <c r="BJ151" s="218" t="n"/>
      <c r="BK151" s="3" t="n"/>
      <c r="BL151" s="218" t="n"/>
      <c r="BM151" s="218" t="n"/>
      <c r="BN151" s="218" t="n"/>
      <c r="BO151" s="218" t="n"/>
      <c r="BP151" s="3" t="n"/>
      <c r="BQ151" s="218" t="n"/>
      <c r="BR151" s="218" t="n"/>
      <c r="BS151" s="218" t="n"/>
      <c r="BT151" s="218" t="n"/>
      <c r="BU151" s="3" t="n"/>
      <c r="BV151" s="218" t="n"/>
      <c r="BW151" s="218" t="n"/>
      <c r="BX151" s="218" t="n"/>
      <c r="BY151" s="218" t="n"/>
      <c r="BZ151" s="3" t="n"/>
      <c r="CA151" s="218" t="n"/>
      <c r="CB151" s="218" t="n"/>
      <c r="CC151" s="218" t="n"/>
      <c r="CD151" s="218" t="n"/>
      <c r="CE151" s="3" t="n"/>
      <c r="CF151" s="218" t="n"/>
      <c r="CG151" s="218" t="n"/>
      <c r="CH151" s="218" t="n"/>
      <c r="CI151" s="218" t="n"/>
      <c r="CJ151" s="3" t="n"/>
      <c r="CK151" s="218" t="n"/>
      <c r="CL151" s="218" t="n"/>
      <c r="CM151" s="218" t="n"/>
      <c r="CN151" s="218" t="n"/>
      <c r="CO151" s="3" t="n"/>
      <c r="CP151" s="218" t="n"/>
      <c r="CQ151" s="218" t="n"/>
      <c r="CR151" s="218" t="n"/>
      <c r="CS151" s="218" t="n"/>
      <c r="CT151" s="3" t="n"/>
      <c r="CU151" s="218" t="n"/>
      <c r="CV151" s="218" t="n"/>
      <c r="CW151" s="218" t="n"/>
      <c r="CX151" s="218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Goodwill</t>
        </is>
      </c>
      <c r="D153" s="25">
        <f>INDEX('Inputs (2)'!$D$24:$AL$24,MATCH(D$7,'Inputs (2)'!$D$2:$AL$2,0))</f>
        <v>4454</v>
      </c>
      <c r="E153" s="25">
        <f>INDEX('Inputs (2)'!$D$24:$AL$24,MATCH(E$7,'Inputs (2)'!$D$2:$AL$2,0))</f>
        <v>4416</v>
      </c>
      <c r="F153" s="25">
        <f>INDEX('Inputs (2)'!$D$24:$AL$24,MATCH(F$7,'Inputs (2)'!$D$2:$AL$2,0))</f>
        <v>4416</v>
      </c>
      <c r="G153" s="25">
        <f>INDEX('Inputs (2)'!$D$24:$AL$24,MATCH(G$7,'Inputs (2)'!$D$2:$AL$2,0))</f>
        <v>4402</v>
      </c>
      <c r="H153" s="3">
        <f>G153</f>
        <v>4402</v>
      </c>
      <c r="I153" s="25">
        <f>INDEX('Inputs (2)'!$D$24:$AL$24,MATCH(I$7,'Inputs (2)'!$D$2:$AL$2,0))</f>
        <v>4402</v>
      </c>
      <c r="J153" s="25">
        <f>INDEX('Inputs (2)'!$D$24:$AL$24,MATCH(J$7,'Inputs (2)'!$D$2:$AL$2,0))</f>
        <v>4402</v>
      </c>
      <c r="K153" s="25">
        <f>INDEX('Inputs (2)'!$D$24:$AL$24,MATCH(K$7,'Inputs (2)'!$D$2:$AL$2,0))</f>
        <v>4402</v>
      </c>
      <c r="L153" s="25">
        <f>INDEX('Inputs (2)'!$D$24:$AL$24,MATCH(L$7,'Inputs (2)'!$D$2:$AL$2,0))</f>
        <v>4385</v>
      </c>
      <c r="M153" s="3">
        <f>L153</f>
        <v>4385</v>
      </c>
      <c r="N153" s="25">
        <f>INDEX('Inputs (2)'!$D$24:$AL$24,MATCH(N$7,'Inputs (2)'!$D$2:$AL$2,0))</f>
        <v>4374</v>
      </c>
      <c r="O153" s="25">
        <f>INDEX('Inputs (2)'!$D$24:$AL$24,MATCH(O$7,'Inputs (2)'!$D$2:$AL$2,0))</f>
        <v>4663</v>
      </c>
      <c r="P153" s="25">
        <f>INDEX('Inputs (2)'!$D$24:$AL$24,MATCH(P$7,'Inputs (2)'!$D$2:$AL$2,0))</f>
        <v>4663</v>
      </c>
      <c r="Q153" s="25">
        <f>INDEX('Inputs (2)'!$D$24:$AL$24,MATCH(Q$7,'Inputs (2)'!$D$2:$AL$2,0))</f>
        <v>4722</v>
      </c>
      <c r="R153" s="3">
        <f>Q153</f>
        <v>4722</v>
      </c>
      <c r="S153" s="25">
        <f>INDEX('Inputs (2)'!$D$24:$AL$24,MATCH(S$7,'Inputs (2)'!$D$2:$AL$2,0))</f>
        <v>4722</v>
      </c>
      <c r="T153" s="25">
        <f>INDEX('Inputs (2)'!$D$24:$AL$24,MATCH(T$7,'Inputs (2)'!$D$2:$AL$2,0))</f>
        <v>4722</v>
      </c>
      <c r="U153" s="25">
        <f>INDEX('Inputs (2)'!$D$24:$AL$24,MATCH(U$7,'Inputs (2)'!$D$2:$AL$2,0))</f>
        <v>4722</v>
      </c>
      <c r="V153" s="25">
        <f>INDEX('Inputs (2)'!$D$24:$AL$24,MATCH(V$7,'Inputs (2)'!$D$2:$AL$2,0))</f>
        <v>4722</v>
      </c>
      <c r="W153" s="3">
        <f>V153</f>
        <v>4722</v>
      </c>
      <c r="X153" s="25">
        <f>INDEX('Inputs (2)'!$D$24:$AL$24,MATCH(X$7,'Inputs (2)'!$D$2:$AL$2,0))</f>
        <v>4722</v>
      </c>
      <c r="Y153" s="25">
        <f>INDEX('Inputs (2)'!$D$24:$AL$24,MATCH(Y$7,'Inputs (2)'!$D$2:$AL$2,0))</f>
        <v>4722</v>
      </c>
      <c r="Z153" s="25">
        <f>INDEX('Inputs (2)'!$D$24:$AL$24,MATCH(Z$7,'Inputs (2)'!$D$2:$AL$2,0))</f>
        <v>4722</v>
      </c>
      <c r="AA153" s="25">
        <f>INDEX('Inputs (2)'!$D$24:$AL$24,MATCH(AA$7,'Inputs (2)'!$D$2:$AL$2,0))</f>
        <v>4578</v>
      </c>
      <c r="AB153" s="3">
        <f>AA153</f>
        <v>4578</v>
      </c>
      <c r="AC153" s="25">
        <f>INDEX('Inputs (2)'!$D$24:$AL$24,MATCH(AC$7,'Inputs (2)'!$D$2:$AL$2,0))</f>
        <v>4568</v>
      </c>
      <c r="AD153" s="25">
        <f>INDEX('Inputs (2)'!$D$24:$AL$24,MATCH(AD$7,'Inputs (2)'!$D$2:$AL$2,0))</f>
        <v>4568</v>
      </c>
      <c r="AE153" s="25">
        <f>INDEX('Inputs (2)'!$D$24:$AL$24,MATCH(AE$7,'Inputs (2)'!$D$2:$AL$2,0))</f>
        <v>4568</v>
      </c>
      <c r="AF153" s="25">
        <f>INDEX('Inputs (2)'!$D$24:$AL$24,MATCH(AF$7,'Inputs (2)'!$D$2:$AL$2,0))</f>
        <v>4568</v>
      </c>
      <c r="AG153" s="3">
        <f>AF153</f>
        <v>4568</v>
      </c>
      <c r="AH153" s="3">
        <f>INDEX('Inputs (2)'!$D$24:$AL$24,MATCH(AH$7,'Inputs (2)'!$D$2:$AL$2,0))</f>
        <v>4568</v>
      </c>
      <c r="AI153" s="3">
        <f>INDEX('Inputs (2)'!$D$24:$AL$24,MATCH(AI$7,'Inputs (2)'!$D$2:$AL$2,0))</f>
        <v>4568</v>
      </c>
      <c r="AJ153" s="3">
        <f>AI153</f>
        <v>4568</v>
      </c>
      <c r="AK153" s="3">
        <f>AJ153</f>
        <v>4568</v>
      </c>
      <c r="AL153" s="3">
        <f>AK153</f>
        <v>4568</v>
      </c>
      <c r="AM153" s="3">
        <f>AL153</f>
        <v>4568</v>
      </c>
      <c r="AN153" s="3">
        <f>AM153</f>
        <v>4568</v>
      </c>
      <c r="AO153" s="3">
        <f>AN153</f>
        <v>4568</v>
      </c>
      <c r="AP153" s="3">
        <f>AO153</f>
        <v>4568</v>
      </c>
      <c r="AQ153" s="3">
        <f>AP153</f>
        <v>4568</v>
      </c>
      <c r="AR153" s="3">
        <f>AQ153</f>
        <v>4568</v>
      </c>
      <c r="AS153" s="3">
        <f>AR153</f>
        <v>4568</v>
      </c>
      <c r="AT153" s="3">
        <f>AS153</f>
        <v>4568</v>
      </c>
      <c r="AU153" s="3">
        <f>AT153</f>
        <v>4568</v>
      </c>
      <c r="AV153" s="3">
        <f>AU153</f>
        <v>4568</v>
      </c>
      <c r="AW153" s="3">
        <f>AV153</f>
        <v>4568</v>
      </c>
      <c r="AX153" s="3">
        <f>AW153</f>
        <v>4568</v>
      </c>
      <c r="AY153" s="3">
        <f>AX153</f>
        <v>4568</v>
      </c>
      <c r="AZ153" s="3">
        <f>AY153</f>
        <v>4568</v>
      </c>
      <c r="BA153" s="3">
        <f>AZ153</f>
        <v>4568</v>
      </c>
      <c r="BB153" s="3">
        <f>BA153</f>
        <v>4568</v>
      </c>
      <c r="BC153" s="3">
        <f>BB153</f>
        <v>4568</v>
      </c>
      <c r="BD153" s="3">
        <f>BC153</f>
        <v>4568</v>
      </c>
      <c r="BE153" s="3">
        <f>BD153</f>
        <v>4568</v>
      </c>
      <c r="BF153" s="3">
        <f>BE153</f>
        <v>4568</v>
      </c>
      <c r="BG153" s="3">
        <f>BF153</f>
        <v>4568</v>
      </c>
      <c r="BH153" s="3">
        <f>BG153</f>
        <v>4568</v>
      </c>
      <c r="BI153" s="3">
        <f>BH153</f>
        <v>4568</v>
      </c>
      <c r="BJ153" s="3">
        <f>BI153</f>
        <v>4568</v>
      </c>
      <c r="BK153" s="3">
        <f>BJ153</f>
        <v>4568</v>
      </c>
      <c r="BL153" s="3">
        <f>BK153</f>
        <v>4568</v>
      </c>
      <c r="BM153" s="3">
        <f>BL153</f>
        <v>4568</v>
      </c>
      <c r="BN153" s="3">
        <f>BM153</f>
        <v>4568</v>
      </c>
      <c r="BO153" s="3">
        <f>BN153</f>
        <v>4568</v>
      </c>
      <c r="BP153" s="3">
        <f>BO153</f>
        <v>4568</v>
      </c>
      <c r="BQ153" s="3">
        <f>BP153</f>
        <v>4568</v>
      </c>
      <c r="BR153" s="3">
        <f>BQ153</f>
        <v>4568</v>
      </c>
      <c r="BS153" s="3">
        <f>BR153</f>
        <v>4568</v>
      </c>
      <c r="BT153" s="3">
        <f>BS153</f>
        <v>4568</v>
      </c>
      <c r="BU153" s="3">
        <f>BT153</f>
        <v>4568</v>
      </c>
      <c r="BV153" s="3">
        <f>BU153</f>
        <v>4568</v>
      </c>
      <c r="BW153" s="3">
        <f>BV153</f>
        <v>4568</v>
      </c>
      <c r="BX153" s="3">
        <f>BW153</f>
        <v>4568</v>
      </c>
      <c r="BY153" s="3">
        <f>BX153</f>
        <v>4568</v>
      </c>
      <c r="BZ153" s="3">
        <f>BY153</f>
        <v>4568</v>
      </c>
      <c r="CA153" s="3">
        <f>BZ153</f>
        <v>4568</v>
      </c>
      <c r="CB153" s="3">
        <f>CA153</f>
        <v>4568</v>
      </c>
      <c r="CC153" s="3">
        <f>CB153</f>
        <v>4568</v>
      </c>
      <c r="CD153" s="3">
        <f>CC153</f>
        <v>4568</v>
      </c>
      <c r="CE153" s="3">
        <f>CD153</f>
        <v>4568</v>
      </c>
      <c r="CF153" s="3">
        <f>CE153</f>
        <v>4568</v>
      </c>
      <c r="CG153" s="3">
        <f>CF153</f>
        <v>4568</v>
      </c>
      <c r="CH153" s="3">
        <f>CG153</f>
        <v>4568</v>
      </c>
      <c r="CI153" s="3">
        <f>CH153</f>
        <v>4568</v>
      </c>
      <c r="CJ153" s="3">
        <f>CI153</f>
        <v>4568</v>
      </c>
      <c r="CK153" s="3">
        <f>CJ153</f>
        <v>4568</v>
      </c>
      <c r="CL153" s="3">
        <f>CK153</f>
        <v>4568</v>
      </c>
      <c r="CM153" s="3">
        <f>CL153</f>
        <v>4568</v>
      </c>
      <c r="CN153" s="3">
        <f>CM153</f>
        <v>4568</v>
      </c>
      <c r="CO153" s="3">
        <f>CN153</f>
        <v>4568</v>
      </c>
      <c r="CP153" s="3">
        <f>CO153</f>
        <v>4568</v>
      </c>
      <c r="CQ153" s="3">
        <f>CP153</f>
        <v>4568</v>
      </c>
      <c r="CR153" s="3">
        <f>CQ153</f>
        <v>4568</v>
      </c>
      <c r="CS153" s="3">
        <f>CR153</f>
        <v>4568</v>
      </c>
      <c r="CT153" s="3">
        <f>CS153</f>
        <v>4568</v>
      </c>
      <c r="CU153" s="3">
        <f>CT153</f>
        <v>4568</v>
      </c>
      <c r="CV153" s="3">
        <f>CU153</f>
        <v>4568</v>
      </c>
      <c r="CW153" s="3">
        <f>CV153</f>
        <v>4568</v>
      </c>
      <c r="CX153" s="3">
        <f>CW153</f>
        <v>4568</v>
      </c>
      <c r="CY153" s="3">
        <f>CX153</f>
        <v>4568</v>
      </c>
    </row>
    <row r="154">
      <c r="C154" s="26" t="inlineStr">
        <is>
          <t>Intangibles</t>
        </is>
      </c>
      <c r="D154" s="25">
        <f>INDEX('Inputs (2)'!$D$25:$AL$25,MATCH(D$7,'Inputs (2)'!$D$2:$AL$2,0))</f>
        <v>0</v>
      </c>
      <c r="E154" s="25">
        <f>INDEX('Inputs (2)'!$D$25:$AL$25,MATCH(E$7,'Inputs (2)'!$D$2:$AL$2,0))</f>
        <v>0</v>
      </c>
      <c r="F154" s="25">
        <f>INDEX('Inputs (2)'!$D$25:$AL$25,MATCH(F$7,'Inputs (2)'!$D$2:$AL$2,0))</f>
        <v>0</v>
      </c>
      <c r="G154" s="25">
        <f>INDEX('Inputs (2)'!$D$25:$AL$25,MATCH(G$7,'Inputs (2)'!$D$2:$AL$2,0))</f>
        <v>0</v>
      </c>
      <c r="H154" s="3">
        <f>G154</f>
        <v>0</v>
      </c>
      <c r="I154" s="25">
        <f>INDEX('Inputs (2)'!$D$25:$AL$25,MATCH(I$7,'Inputs (2)'!$D$2:$AL$2,0))</f>
        <v>0</v>
      </c>
      <c r="J154" s="25">
        <f>INDEX('Inputs (2)'!$D$25:$AL$25,MATCH(J$7,'Inputs (2)'!$D$2:$AL$2,0))</f>
        <v>0</v>
      </c>
      <c r="K154" s="25">
        <f>INDEX('Inputs (2)'!$D$25:$AL$25,MATCH(K$7,'Inputs (2)'!$D$2:$AL$2,0))</f>
        <v>0</v>
      </c>
      <c r="L154" s="25">
        <f>INDEX('Inputs (2)'!$D$25:$AL$25,MATCH(L$7,'Inputs (2)'!$D$2:$AL$2,0))</f>
        <v>0</v>
      </c>
      <c r="M154" s="3">
        <f>L154</f>
        <v>0</v>
      </c>
      <c r="N154" s="25">
        <f>INDEX('Inputs (2)'!$D$25:$AL$25,MATCH(N$7,'Inputs (2)'!$D$2:$AL$2,0))</f>
        <v>0</v>
      </c>
      <c r="O154" s="25">
        <f>INDEX('Inputs (2)'!$D$25:$AL$25,MATCH(O$7,'Inputs (2)'!$D$2:$AL$2,0))</f>
        <v>0</v>
      </c>
      <c r="P154" s="25">
        <f>INDEX('Inputs (2)'!$D$25:$AL$25,MATCH(P$7,'Inputs (2)'!$D$2:$AL$2,0))</f>
        <v>0</v>
      </c>
      <c r="Q154" s="25">
        <f>INDEX('Inputs (2)'!$D$25:$AL$25,MATCH(Q$7,'Inputs (2)'!$D$2:$AL$2,0))</f>
        <v>0</v>
      </c>
      <c r="R154" s="3">
        <f>Q154</f>
        <v>0</v>
      </c>
      <c r="S154" s="25">
        <f>INDEX('Inputs (2)'!$D$25:$AL$25,MATCH(S$7,'Inputs (2)'!$D$2:$AL$2,0))</f>
        <v>0</v>
      </c>
      <c r="T154" s="25">
        <f>INDEX('Inputs (2)'!$D$25:$AL$25,MATCH(T$7,'Inputs (2)'!$D$2:$AL$2,0))</f>
        <v>0</v>
      </c>
      <c r="U154" s="25">
        <f>INDEX('Inputs (2)'!$D$25:$AL$25,MATCH(U$7,'Inputs (2)'!$D$2:$AL$2,0))</f>
        <v>0</v>
      </c>
      <c r="V154" s="25">
        <f>INDEX('Inputs (2)'!$D$25:$AL$25,MATCH(V$7,'Inputs (2)'!$D$2:$AL$2,0))</f>
        <v>0</v>
      </c>
      <c r="W154" s="3">
        <f>V154</f>
        <v>0</v>
      </c>
      <c r="X154" s="25">
        <f>INDEX('Inputs (2)'!$D$25:$AL$25,MATCH(X$7,'Inputs (2)'!$D$2:$AL$2,0))</f>
        <v>0</v>
      </c>
      <c r="Y154" s="25">
        <f>INDEX('Inputs (2)'!$D$25:$AL$25,MATCH(Y$7,'Inputs (2)'!$D$2:$AL$2,0))</f>
        <v>0</v>
      </c>
      <c r="Z154" s="25">
        <f>INDEX('Inputs (2)'!$D$25:$AL$25,MATCH(Z$7,'Inputs (2)'!$D$2:$AL$2,0))</f>
        <v>0</v>
      </c>
      <c r="AA154" s="25">
        <f>INDEX('Inputs (2)'!$D$25:$AL$25,MATCH(AA$7,'Inputs (2)'!$D$2:$AL$2,0))</f>
        <v>0</v>
      </c>
      <c r="AB154" s="3">
        <f>AA154</f>
        <v>0</v>
      </c>
      <c r="AC154" s="25">
        <f>INDEX('Inputs (2)'!$D$25:$AL$25,MATCH(AC$7,'Inputs (2)'!$D$2:$AL$2,0))</f>
        <v>0</v>
      </c>
      <c r="AD154" s="25">
        <f>INDEX('Inputs (2)'!$D$25:$AL$25,MATCH(AD$7,'Inputs (2)'!$D$2:$AL$2,0))</f>
        <v>0</v>
      </c>
      <c r="AE154" s="25">
        <f>INDEX('Inputs (2)'!$D$25:$AL$25,MATCH(AE$7,'Inputs (2)'!$D$2:$AL$2,0))</f>
        <v>0</v>
      </c>
      <c r="AF154" s="25">
        <f>INDEX('Inputs (2)'!$D$25:$AL$25,MATCH(AF$7,'Inputs (2)'!$D$2:$AL$2,0))</f>
        <v>0</v>
      </c>
      <c r="AG154" s="3">
        <f>AF154</f>
        <v>0</v>
      </c>
      <c r="AH154" s="3">
        <f>INDEX('Inputs (2)'!$D$25:$AL$25,MATCH(AH$7,'Inputs (2)'!$D$2:$AL$2,0))</f>
        <v>0</v>
      </c>
      <c r="AI154" s="3">
        <f>INDEX('Inputs (2)'!$D$25:$AL$25,MATCH(AI$7,'Inputs (2)'!$D$2:$AL$2,0))</f>
        <v>0</v>
      </c>
      <c r="AJ154" s="3" t="n"/>
      <c r="AK154" s="3" t="n"/>
      <c r="AL154" s="3">
        <f>AK154</f>
        <v>0</v>
      </c>
      <c r="AN154" s="3" t="n"/>
      <c r="AO154" s="3" t="n"/>
      <c r="AP154" s="3" t="n"/>
      <c r="AQ154" s="3">
        <f>AP154</f>
        <v>0</v>
      </c>
      <c r="AS154" s="3" t="n"/>
      <c r="AT154" s="3" t="n"/>
      <c r="AU154" s="3" t="n"/>
      <c r="AV154" s="3">
        <f>AU154</f>
        <v>0</v>
      </c>
      <c r="AX154" s="3" t="n"/>
      <c r="AY154" s="3" t="n"/>
      <c r="AZ154" s="3" t="n"/>
      <c r="BA154" s="3">
        <f>AZ154</f>
        <v>0</v>
      </c>
      <c r="BC154" s="3" t="n"/>
      <c r="BD154" s="3" t="n"/>
      <c r="BE154" s="3" t="n"/>
      <c r="BF154" s="3">
        <f>BE154</f>
        <v>0</v>
      </c>
      <c r="BH154" s="3" t="n"/>
      <c r="BI154" s="3" t="n"/>
      <c r="BJ154" s="3" t="n"/>
      <c r="BK154" s="3">
        <f>BJ154</f>
        <v>0</v>
      </c>
      <c r="BM154" s="3" t="n"/>
      <c r="BN154" s="3" t="n"/>
      <c r="BO154" s="3" t="n"/>
      <c r="BP154" s="3">
        <f>BO154</f>
        <v>0</v>
      </c>
      <c r="BR154" s="3" t="n"/>
      <c r="BS154" s="3" t="n"/>
      <c r="BT154" s="3" t="n"/>
      <c r="BU154" s="3">
        <f>BT154</f>
        <v>0</v>
      </c>
      <c r="BW154" s="3" t="n"/>
      <c r="BX154" s="3" t="n"/>
      <c r="BY154" s="3" t="n"/>
      <c r="BZ154" s="3">
        <f>BY154</f>
        <v>0</v>
      </c>
      <c r="CB154" s="3" t="n"/>
      <c r="CC154" s="3" t="n"/>
      <c r="CD154" s="3" t="n"/>
      <c r="CE154" s="3">
        <f>CD154</f>
        <v>0</v>
      </c>
      <c r="CG154" s="3" t="n"/>
      <c r="CH154" s="3" t="n"/>
      <c r="CI154" s="3" t="n"/>
      <c r="CJ154" s="3">
        <f>CI154</f>
        <v>0</v>
      </c>
      <c r="CL154" s="3" t="n"/>
      <c r="CM154" s="3" t="n"/>
      <c r="CN154" s="3" t="n"/>
      <c r="CO154" s="3">
        <f>CN154</f>
        <v>0</v>
      </c>
      <c r="CQ154" s="3" t="n"/>
      <c r="CR154" s="3" t="n"/>
      <c r="CS154" s="3" t="n"/>
      <c r="CT154" s="3">
        <f>CS154</f>
        <v>0</v>
      </c>
      <c r="CV154" s="3" t="n"/>
      <c r="CW154" s="3" t="n"/>
      <c r="CX154" s="3" t="n"/>
      <c r="CY154" s="3">
        <f>CX154</f>
        <v>0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Purchase of intangible assets</t>
        </is>
      </c>
      <c r="D156" s="3" t="n"/>
      <c r="E156" s="3">
        <f>E154-D154-E58</f>
        <v>0</v>
      </c>
      <c r="F156" s="3">
        <f>F154-E154-F58</f>
        <v>0</v>
      </c>
      <c r="G156" s="3">
        <f>G154-F154-G58</f>
        <v>0</v>
      </c>
      <c r="H156" s="3" t="n"/>
      <c r="I156" s="3">
        <f>I154-H154-I58</f>
        <v>0</v>
      </c>
      <c r="J156" s="3">
        <f>J154-I154-J58</f>
        <v>0</v>
      </c>
      <c r="K156" s="3">
        <f>K154-J154-K58</f>
        <v>0</v>
      </c>
      <c r="L156" s="3">
        <f>L154-K154-L58</f>
        <v>0</v>
      </c>
      <c r="M156" s="3" t="n"/>
      <c r="N156" s="3">
        <f>N154-M154-N58</f>
        <v>0</v>
      </c>
      <c r="O156" s="3">
        <f>O154-N154-O58</f>
        <v>0</v>
      </c>
      <c r="P156" s="3">
        <f>P154-O154-P58</f>
        <v>0</v>
      </c>
      <c r="Q156" s="3">
        <f>Q154-P154-Q58</f>
        <v>0</v>
      </c>
      <c r="R156" s="3" t="n"/>
      <c r="S156" s="3">
        <f>S154-R154-S58</f>
        <v>0</v>
      </c>
      <c r="T156" s="3">
        <f>T154-S154-T58</f>
        <v>0</v>
      </c>
      <c r="U156" s="3">
        <f>U154-T154-U58</f>
        <v>0</v>
      </c>
      <c r="V156" s="3">
        <f>V154-U154-V58</f>
        <v>0</v>
      </c>
      <c r="W156" s="3" t="n"/>
      <c r="X156" s="3">
        <f>X154-W154-X58</f>
        <v>0</v>
      </c>
      <c r="Y156" s="3">
        <f>Y154-X154-Y58</f>
        <v>0</v>
      </c>
      <c r="Z156" s="3">
        <f>Z154-Y154-Z58</f>
        <v>0</v>
      </c>
      <c r="AA156" s="3">
        <f>AA154-Z154-AA58</f>
        <v>0</v>
      </c>
      <c r="AB156" s="3" t="n"/>
      <c r="AC156" s="3">
        <f>AC154-AB154-AC58</f>
        <v>0</v>
      </c>
      <c r="AD156" s="3">
        <f>AD154-AC154-AD58</f>
        <v>0</v>
      </c>
      <c r="AE156" s="3">
        <f>AE154-AD154-AE58</f>
        <v>0</v>
      </c>
      <c r="AF156" s="3" t="n"/>
      <c r="AG156" s="3" t="n"/>
      <c r="AH156" s="6">
        <f>AH154-AG154-AH58</f>
        <v>0</v>
      </c>
      <c r="AI156" s="6">
        <f>AI154-AH154-AI58</f>
        <v>0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Amortization (enter as -)</t>
        </is>
      </c>
      <c r="D157" s="3" t="n"/>
      <c r="E157" s="3">
        <f>E57</f>
        <v>0</v>
      </c>
      <c r="F157" s="3">
        <f>F57</f>
        <v>0</v>
      </c>
      <c r="G157" s="3">
        <f>G57</f>
        <v>0</v>
      </c>
      <c r="H157" s="3" t="n"/>
      <c r="I157" s="3">
        <f>I57</f>
        <v>0</v>
      </c>
      <c r="J157" s="3">
        <f>J57</f>
        <v>0</v>
      </c>
      <c r="K157" s="3">
        <f>K57</f>
        <v>0</v>
      </c>
      <c r="L157" s="3">
        <f>L57</f>
        <v>0</v>
      </c>
      <c r="M157" s="3" t="n"/>
      <c r="N157" s="3">
        <f>N57</f>
        <v>0</v>
      </c>
      <c r="O157" s="3">
        <f>O57</f>
        <v>0</v>
      </c>
      <c r="P157" s="3">
        <f>P57</f>
        <v>0</v>
      </c>
      <c r="Q157" s="3">
        <f>Q57</f>
        <v>0</v>
      </c>
      <c r="R157" s="3" t="n"/>
      <c r="S157" s="3">
        <f>S57</f>
        <v>0</v>
      </c>
      <c r="T157" s="3">
        <f>T57</f>
        <v>0</v>
      </c>
      <c r="U157" s="3">
        <f>U57</f>
        <v>0</v>
      </c>
      <c r="V157" s="3">
        <f>V57</f>
        <v>0</v>
      </c>
      <c r="W157" s="3" t="n"/>
      <c r="X157" s="3">
        <f>X57</f>
        <v>0</v>
      </c>
      <c r="Y157" s="3">
        <f>Y57</f>
        <v>0</v>
      </c>
      <c r="Z157" s="3">
        <f>Z57</f>
        <v>0</v>
      </c>
      <c r="AA157" s="3">
        <f>AA57</f>
        <v>0</v>
      </c>
      <c r="AB157" s="3" t="n"/>
      <c r="AC157" s="3">
        <f>AC57</f>
        <v>0</v>
      </c>
      <c r="AD157" s="3">
        <f>AD57</f>
        <v>0</v>
      </c>
      <c r="AE157" s="3">
        <f>AE57</f>
        <v>0</v>
      </c>
      <c r="AF157" s="3" t="n"/>
      <c r="AG157" s="3" t="n"/>
      <c r="AH157" s="3">
        <f>AH57</f>
        <v>0</v>
      </c>
      <c r="AI157" s="6">
        <f>AI57</f>
        <v>0</v>
      </c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Intangibles</t>
        </is>
      </c>
      <c r="D158" s="3" t="n"/>
      <c r="E158" s="3">
        <f>E154</f>
        <v>0</v>
      </c>
      <c r="F158" s="3">
        <f>F154</f>
        <v>0</v>
      </c>
      <c r="G158" s="3">
        <f>G154</f>
        <v>0</v>
      </c>
      <c r="H158" s="3" t="n"/>
      <c r="I158" s="3">
        <f>I154</f>
        <v>0</v>
      </c>
      <c r="J158" s="3">
        <f>J154</f>
        <v>0</v>
      </c>
      <c r="K158" s="3">
        <f>K154</f>
        <v>0</v>
      </c>
      <c r="L158" s="3">
        <f>L154</f>
        <v>0</v>
      </c>
      <c r="M158" s="3" t="n"/>
      <c r="N158" s="3">
        <f>N154</f>
        <v>0</v>
      </c>
      <c r="O158" s="3">
        <f>O154</f>
        <v>0</v>
      </c>
      <c r="P158" s="3">
        <f>P154</f>
        <v>0</v>
      </c>
      <c r="Q158" s="3">
        <f>Q154</f>
        <v>0</v>
      </c>
      <c r="R158" s="3" t="n"/>
      <c r="S158" s="3">
        <f>S154</f>
        <v>0</v>
      </c>
      <c r="T158" s="3">
        <f>T154</f>
        <v>0</v>
      </c>
      <c r="U158" s="3">
        <f>U154</f>
        <v>0</v>
      </c>
      <c r="V158" s="3">
        <f>V154</f>
        <v>0</v>
      </c>
      <c r="W158" s="3" t="n"/>
      <c r="X158" s="3">
        <f>X154</f>
        <v>0</v>
      </c>
      <c r="Y158" s="3">
        <f>Y154</f>
        <v>0</v>
      </c>
      <c r="Z158" s="3">
        <f>Z154</f>
        <v>0</v>
      </c>
      <c r="AA158" s="3">
        <f>AA154</f>
        <v>0</v>
      </c>
      <c r="AB158" s="3" t="n"/>
      <c r="AC158" s="3">
        <f>AC154</f>
        <v>0</v>
      </c>
      <c r="AD158" s="3">
        <f>AD154</f>
        <v>0</v>
      </c>
      <c r="AE158" s="3">
        <f>AE154</f>
        <v>0</v>
      </c>
      <c r="AF158" s="3">
        <f>AF154</f>
        <v>0</v>
      </c>
      <c r="AG158" s="3" t="n"/>
      <c r="AH158" s="3">
        <f>AH154</f>
        <v>0</v>
      </c>
      <c r="AI158" s="3">
        <f>AI154</f>
        <v>0</v>
      </c>
      <c r="AJ158" s="3">
        <f>AI158+SUM(AJ156:AJ157)</f>
        <v>0</v>
      </c>
      <c r="AK158" s="3">
        <f>AJ158+SUM(AK156:AK157)</f>
        <v>0</v>
      </c>
      <c r="AL158" s="3" t="n"/>
      <c r="AM158" s="3">
        <f>AK158+SUM(AM156:AM157)</f>
        <v>0</v>
      </c>
      <c r="AN158" s="3">
        <f>AM158+SUM(AN156:AN157)</f>
        <v>0</v>
      </c>
      <c r="AO158" s="3">
        <f>AN158+SUM(AO156:AO157)</f>
        <v>0</v>
      </c>
      <c r="AP158" s="3">
        <f>AO158+SUM(AP156:AP157)</f>
        <v>0</v>
      </c>
      <c r="AQ158" s="3" t="n"/>
      <c r="AR158" s="3">
        <f>AP158+SUM(AR156:AR157)</f>
        <v>0</v>
      </c>
      <c r="AS158" s="3">
        <f>AR158+SUM(AS156:AS157)</f>
        <v>0</v>
      </c>
      <c r="AT158" s="3">
        <f>AS158+SUM(AT156:AT157)</f>
        <v>0</v>
      </c>
      <c r="AU158" s="3">
        <f>AT158+SUM(AU156:AU157)</f>
        <v>0</v>
      </c>
      <c r="AV158" s="3" t="n"/>
      <c r="AW158" s="3">
        <f>AU158+SUM(AW156:AW157)</f>
        <v>0</v>
      </c>
      <c r="AX158" s="3">
        <f>AW158+SUM(AX156:AX157)</f>
        <v>0</v>
      </c>
      <c r="AY158" s="3">
        <f>AX158+SUM(AY156:AY157)</f>
        <v>0</v>
      </c>
      <c r="AZ158" s="3">
        <f>AY158+SUM(AZ156:AZ157)</f>
        <v>0</v>
      </c>
      <c r="BA158" s="3" t="n"/>
      <c r="BB158" s="3">
        <f>AZ158+SUM(BB156:BB157)</f>
        <v>0</v>
      </c>
      <c r="BC158" s="3">
        <f>BB158+SUM(BC156:BC157)</f>
        <v>0</v>
      </c>
      <c r="BD158" s="3">
        <f>BC158+SUM(BD156:BD157)</f>
        <v>0</v>
      </c>
      <c r="BE158" s="3">
        <f>BD158+SUM(BE156:BE157)</f>
        <v>0</v>
      </c>
      <c r="BF158" s="3" t="n"/>
      <c r="BG158" s="3">
        <f>BE158+SUM(BG156:BG157)</f>
        <v>0</v>
      </c>
      <c r="BH158" s="3">
        <f>BG158+SUM(BH156:BH157)</f>
        <v>0</v>
      </c>
      <c r="BI158" s="3">
        <f>BH158+SUM(BI156:BI157)</f>
        <v>0</v>
      </c>
      <c r="BJ158" s="3">
        <f>BI158+SUM(BJ156:BJ157)</f>
        <v>0</v>
      </c>
      <c r="BK158" s="3" t="n"/>
      <c r="BL158" s="3">
        <f>BJ158+SUM(BL156:BL157)</f>
        <v>0</v>
      </c>
      <c r="BM158" s="3">
        <f>BL158+SUM(BM156:BM157)</f>
        <v>0</v>
      </c>
      <c r="BN158" s="3">
        <f>BM158+SUM(BN156:BN157)</f>
        <v>0</v>
      </c>
      <c r="BO158" s="3">
        <f>BN158+SUM(BO156:BO157)</f>
        <v>0</v>
      </c>
      <c r="BP158" s="3" t="n"/>
      <c r="BQ158" s="3">
        <f>BO158+SUM(BQ156:BQ157)</f>
        <v>0</v>
      </c>
      <c r="BR158" s="3">
        <f>BQ158+SUM(BR156:BR157)</f>
        <v>0</v>
      </c>
      <c r="BS158" s="3">
        <f>BR158+SUM(BS156:BS157)</f>
        <v>0</v>
      </c>
      <c r="BT158" s="3">
        <f>BS158+SUM(BT156:BT157)</f>
        <v>0</v>
      </c>
      <c r="BU158" s="3" t="n"/>
      <c r="BV158" s="3">
        <f>BT158+SUM(BV156:BV157)</f>
        <v>0</v>
      </c>
      <c r="BW158" s="3">
        <f>BV158+SUM(BW156:BW157)</f>
        <v>0</v>
      </c>
      <c r="BX158" s="3">
        <f>BW158+SUM(BX156:BX157)</f>
        <v>0</v>
      </c>
      <c r="BY158" s="3">
        <f>BX158+SUM(BY156:BY157)</f>
        <v>0</v>
      </c>
      <c r="BZ158" s="3" t="n"/>
      <c r="CA158" s="3">
        <f>BY158+SUM(CA156:CA157)</f>
        <v>0</v>
      </c>
      <c r="CB158" s="3">
        <f>CA158+SUM(CB156:CB157)</f>
        <v>0</v>
      </c>
      <c r="CC158" s="3">
        <f>CB158+SUM(CC156:CC157)</f>
        <v>0</v>
      </c>
      <c r="CD158" s="3">
        <f>CC158+SUM(CD156:CD157)</f>
        <v>0</v>
      </c>
      <c r="CE158" s="3" t="n"/>
      <c r="CF158" s="3">
        <f>CD158+SUM(CF156:CF157)</f>
        <v>0</v>
      </c>
      <c r="CG158" s="3">
        <f>CF158+SUM(CG156:CG157)</f>
        <v>0</v>
      </c>
      <c r="CH158" s="3">
        <f>CG158+SUM(CH156:CH157)</f>
        <v>0</v>
      </c>
      <c r="CI158" s="3">
        <f>CH158+SUM(CI156:CI157)</f>
        <v>0</v>
      </c>
      <c r="CJ158" s="3" t="n"/>
      <c r="CK158" s="3">
        <f>CI158+SUM(CK156:CK157)</f>
        <v>0</v>
      </c>
      <c r="CL158" s="3">
        <f>CK158+SUM(CL156:CL157)</f>
        <v>0</v>
      </c>
      <c r="CM158" s="3">
        <f>CL158+SUM(CM156:CM157)</f>
        <v>0</v>
      </c>
      <c r="CN158" s="3">
        <f>CM158+SUM(CN156:CN157)</f>
        <v>0</v>
      </c>
      <c r="CO158" s="3" t="n"/>
      <c r="CP158" s="3">
        <f>CN158+SUM(CP156:CP157)</f>
        <v>0</v>
      </c>
      <c r="CQ158" s="3">
        <f>CP158+SUM(CQ156:CQ157)</f>
        <v>0</v>
      </c>
      <c r="CR158" s="3">
        <f>CQ158+SUM(CR156:CR157)</f>
        <v>0</v>
      </c>
      <c r="CS158" s="3">
        <f>CR158+SUM(CS156:CS157)</f>
        <v>0</v>
      </c>
      <c r="CT158" s="3" t="n"/>
      <c r="CU158" s="3">
        <f>CS158+SUM(CU156:CU157)</f>
        <v>0</v>
      </c>
      <c r="CV158" s="3">
        <f>CU158+SUM(CV156:CV157)</f>
        <v>0</v>
      </c>
      <c r="CW158" s="3">
        <f>CV158+SUM(CW156:CW157)</f>
        <v>0</v>
      </c>
      <c r="CX158" s="3">
        <f>CW158+SUM(CX156:CX157)</f>
        <v>0</v>
      </c>
      <c r="CY158" s="3" t="n"/>
      <c r="CZ158">
        <f>CX158+SUM(CZ156:CZ157)</f>
        <v>0</v>
      </c>
      <c r="DA158">
        <f>CZ158+SUM(DA156:DA157)</f>
        <v>0</v>
      </c>
      <c r="DB158">
        <f>DA158+SUM(DB156:DB157)</f>
        <v>0</v>
      </c>
      <c r="DC158">
        <f>DB158+SUM(DC156:DC157)</f>
        <v>0</v>
      </c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inlineStr">
        <is>
          <t>Definir % do D&amp;A No PPE and Intagibles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Other non-current assets</t>
        </is>
      </c>
      <c r="D163" s="25">
        <f>INDEX('Inputs (2)'!$D$26:$AL$26,MATCH(D$7,'Inputs (2)'!$D$2:$AL$2,0))</f>
        <v>54441</v>
      </c>
      <c r="E163" s="25">
        <f>INDEX('Inputs (2)'!$D$26:$AL$26,MATCH(E$7,'Inputs (2)'!$D$2:$AL$2,0))</f>
        <v>51405</v>
      </c>
      <c r="F163" s="25">
        <f>INDEX('Inputs (2)'!$D$26:$AL$26,MATCH(F$7,'Inputs (2)'!$D$2:$AL$2,0))</f>
        <v>51461</v>
      </c>
      <c r="G163" s="25">
        <f>INDEX('Inputs (2)'!$D$26:$AL$26,MATCH(G$7,'Inputs (2)'!$D$2:$AL$2,0))</f>
        <v>52692</v>
      </c>
      <c r="H163" s="3">
        <f>G163</f>
        <v>52692</v>
      </c>
      <c r="I163" s="25">
        <f>INDEX('Inputs (2)'!$D$26:$AL$26,MATCH(I$7,'Inputs (2)'!$D$2:$AL$2,0))</f>
        <v>52807</v>
      </c>
      <c r="J163" s="25">
        <f>INDEX('Inputs (2)'!$D$26:$AL$26,MATCH(J$7,'Inputs (2)'!$D$2:$AL$2,0))</f>
        <v>54223</v>
      </c>
      <c r="K163" s="25">
        <f>INDEX('Inputs (2)'!$D$26:$AL$26,MATCH(K$7,'Inputs (2)'!$D$2:$AL$2,0))</f>
        <v>55464</v>
      </c>
      <c r="L163" s="25">
        <f>INDEX('Inputs (2)'!$D$26:$AL$26,MATCH(L$7,'Inputs (2)'!$D$2:$AL$2,0))</f>
        <v>54451</v>
      </c>
      <c r="M163" s="3">
        <f>L163</f>
        <v>54451</v>
      </c>
      <c r="N163" s="25">
        <f>INDEX('Inputs (2)'!$D$26:$AL$26,MATCH(N$7,'Inputs (2)'!$D$2:$AL$2,0))</f>
        <v>55521</v>
      </c>
      <c r="O163" s="25">
        <f>INDEX('Inputs (2)'!$D$26:$AL$26,MATCH(O$7,'Inputs (2)'!$D$2:$AL$2,0))</f>
        <v>57675</v>
      </c>
      <c r="P163" s="25">
        <f>INDEX('Inputs (2)'!$D$26:$AL$26,MATCH(P$7,'Inputs (2)'!$D$2:$AL$2,0))</f>
        <v>59425</v>
      </c>
      <c r="Q163" s="25">
        <f>INDEX('Inputs (2)'!$D$26:$AL$26,MATCH(Q$7,'Inputs (2)'!$D$2:$AL$2,0))</f>
        <v>59053</v>
      </c>
      <c r="R163" s="3">
        <f>Q163</f>
        <v>59053</v>
      </c>
      <c r="S163" s="25">
        <f>INDEX('Inputs (2)'!$D$26:$AL$26,MATCH(S$7,'Inputs (2)'!$D$2:$AL$2,0))</f>
        <v>59862</v>
      </c>
      <c r="T163" s="25">
        <f>INDEX('Inputs (2)'!$D$26:$AL$26,MATCH(T$7,'Inputs (2)'!$D$2:$AL$2,0))</f>
        <v>61499</v>
      </c>
      <c r="U163" s="25">
        <f>INDEX('Inputs (2)'!$D$26:$AL$26,MATCH(U$7,'Inputs (2)'!$D$2:$AL$2,0))</f>
        <v>63501</v>
      </c>
      <c r="V163" s="25">
        <f>INDEX('Inputs (2)'!$D$26:$AL$26,MATCH(V$7,'Inputs (2)'!$D$2:$AL$2,0))</f>
        <v>62163</v>
      </c>
      <c r="W163" s="3">
        <f>V163</f>
        <v>62163</v>
      </c>
      <c r="X163" s="25">
        <f>INDEX('Inputs (2)'!$D$26:$AL$26,MATCH(X$7,'Inputs (2)'!$D$2:$AL$2,0))</f>
        <v>62780</v>
      </c>
      <c r="Y163" s="25">
        <f>INDEX('Inputs (2)'!$D$26:$AL$26,MATCH(Y$7,'Inputs (2)'!$D$2:$AL$2,0))</f>
        <v>63550</v>
      </c>
      <c r="Z163" s="25">
        <f>INDEX('Inputs (2)'!$D$26:$AL$26,MATCH(Z$7,'Inputs (2)'!$D$2:$AL$2,0))</f>
        <v>68432</v>
      </c>
      <c r="AA163" s="25">
        <f>INDEX('Inputs (2)'!$D$26:$AL$26,MATCH(AA$7,'Inputs (2)'!$D$2:$AL$2,0))</f>
        <v>63650</v>
      </c>
      <c r="AB163" s="3">
        <f>AA163</f>
        <v>63650</v>
      </c>
      <c r="AC163" s="25">
        <f>INDEX('Inputs (2)'!$D$26:$AL$26,MATCH(AC$7,'Inputs (2)'!$D$2:$AL$2,0))</f>
        <v>65131</v>
      </c>
      <c r="AD163" s="25">
        <f>INDEX('Inputs (2)'!$D$26:$AL$26,MATCH(AD$7,'Inputs (2)'!$D$2:$AL$2,0))</f>
        <v>64119</v>
      </c>
      <c r="AE163" s="25">
        <f>INDEX('Inputs (2)'!$D$26:$AL$26,MATCH(AE$7,'Inputs (2)'!$D$2:$AL$2,0))</f>
        <v>61573</v>
      </c>
      <c r="AF163" s="25">
        <f>INDEX('Inputs (2)'!$D$26:$AL$26,MATCH(AF$7,'Inputs (2)'!$D$2:$AL$2,0))</f>
        <v>61163</v>
      </c>
      <c r="AG163" s="3">
        <f>AF163</f>
        <v>61163</v>
      </c>
      <c r="AH163" s="3">
        <f>INDEX('Inputs (2)'!$D$26:$AL$26,MATCH(AH$7,'Inputs (2)'!$D$2:$AL$2,0))</f>
        <v>60674</v>
      </c>
      <c r="AI163" s="3">
        <f>INDEX('Inputs (2)'!$D$26:$AL$26,MATCH(AI$7,'Inputs (2)'!$D$2:$AL$2,0))</f>
        <v>60494</v>
      </c>
      <c r="AJ163" s="3">
        <f>AI163</f>
        <v>60494</v>
      </c>
      <c r="AK163" s="3">
        <f>AJ163</f>
        <v>60494</v>
      </c>
      <c r="AL163" s="3">
        <f>AK163</f>
        <v>60494</v>
      </c>
      <c r="AM163" s="3">
        <f>AL163</f>
        <v>60494</v>
      </c>
      <c r="AN163" s="3">
        <f>AM163</f>
        <v>60494</v>
      </c>
      <c r="AO163" s="3">
        <f>AN163</f>
        <v>60494</v>
      </c>
      <c r="AP163" s="3">
        <f>AO163</f>
        <v>60494</v>
      </c>
      <c r="AQ163" s="3">
        <f>AP163</f>
        <v>60494</v>
      </c>
      <c r="AR163" s="3">
        <f>AQ163</f>
        <v>60494</v>
      </c>
      <c r="AS163" s="3">
        <f>AR163</f>
        <v>60494</v>
      </c>
      <c r="AT163" s="3">
        <f>AS163</f>
        <v>60494</v>
      </c>
      <c r="AU163" s="3">
        <f>AT163</f>
        <v>60494</v>
      </c>
      <c r="AV163" s="3">
        <f>AU163</f>
        <v>60494</v>
      </c>
      <c r="AW163" s="3">
        <f>AV163</f>
        <v>60494</v>
      </c>
      <c r="AX163" s="3">
        <f>AW163</f>
        <v>60494</v>
      </c>
      <c r="AY163" s="3">
        <f>AX163</f>
        <v>60494</v>
      </c>
      <c r="AZ163" s="3">
        <f>AY163</f>
        <v>60494</v>
      </c>
      <c r="BA163" s="3">
        <f>AZ163</f>
        <v>60494</v>
      </c>
      <c r="BB163" s="3">
        <f>BA163</f>
        <v>60494</v>
      </c>
      <c r="BC163" s="3">
        <f>BB163</f>
        <v>60494</v>
      </c>
      <c r="BD163" s="3">
        <f>BC163</f>
        <v>60494</v>
      </c>
      <c r="BE163" s="3">
        <f>BD163</f>
        <v>60494</v>
      </c>
      <c r="BF163" s="3">
        <f>BE163</f>
        <v>60494</v>
      </c>
      <c r="BG163" s="3">
        <f>BF163</f>
        <v>60494</v>
      </c>
      <c r="BH163" s="3">
        <f>BG163</f>
        <v>60494</v>
      </c>
      <c r="BI163" s="3">
        <f>BH163</f>
        <v>60494</v>
      </c>
      <c r="BJ163" s="3">
        <f>BI163</f>
        <v>60494</v>
      </c>
      <c r="BK163" s="3">
        <f>BJ163</f>
        <v>60494</v>
      </c>
      <c r="BL163" s="3">
        <f>BK163</f>
        <v>60494</v>
      </c>
      <c r="BM163" s="3">
        <f>BL163</f>
        <v>60494</v>
      </c>
      <c r="BN163" s="3">
        <f>BM163</f>
        <v>60494</v>
      </c>
      <c r="BO163" s="3">
        <f>BN163</f>
        <v>60494</v>
      </c>
      <c r="BP163" s="3">
        <f>BO163</f>
        <v>60494</v>
      </c>
      <c r="BQ163" s="3">
        <f>BP163</f>
        <v>60494</v>
      </c>
      <c r="BR163" s="3">
        <f>BQ163</f>
        <v>60494</v>
      </c>
      <c r="BS163" s="3">
        <f>BR163</f>
        <v>60494</v>
      </c>
      <c r="BT163" s="3">
        <f>BS163</f>
        <v>60494</v>
      </c>
      <c r="BU163" s="3">
        <f>BT163</f>
        <v>60494</v>
      </c>
      <c r="BV163" s="3">
        <f>BU163</f>
        <v>60494</v>
      </c>
      <c r="BW163" s="3">
        <f>BV163</f>
        <v>60494</v>
      </c>
      <c r="BX163" s="3">
        <f>BW163</f>
        <v>60494</v>
      </c>
      <c r="BY163" s="3">
        <f>BX163</f>
        <v>60494</v>
      </c>
      <c r="BZ163" s="3">
        <f>BY163</f>
        <v>60494</v>
      </c>
      <c r="CA163" s="3">
        <f>BZ163</f>
        <v>60494</v>
      </c>
      <c r="CB163" s="3">
        <f>CA163</f>
        <v>60494</v>
      </c>
      <c r="CC163" s="3">
        <f>CB163</f>
        <v>60494</v>
      </c>
      <c r="CD163" s="3">
        <f>CC163</f>
        <v>60494</v>
      </c>
      <c r="CE163" s="3">
        <f>CD163</f>
        <v>60494</v>
      </c>
      <c r="CF163" s="3">
        <f>CE163</f>
        <v>60494</v>
      </c>
      <c r="CG163" s="3">
        <f>CF163</f>
        <v>60494</v>
      </c>
      <c r="CH163" s="3">
        <f>CG163</f>
        <v>60494</v>
      </c>
      <c r="CI163" s="3">
        <f>CH163</f>
        <v>60494</v>
      </c>
      <c r="CJ163" s="3">
        <f>CI163</f>
        <v>60494</v>
      </c>
      <c r="CK163" s="3">
        <f>CJ163</f>
        <v>60494</v>
      </c>
      <c r="CL163" s="3">
        <f>CK163</f>
        <v>60494</v>
      </c>
      <c r="CM163" s="3">
        <f>CL163</f>
        <v>60494</v>
      </c>
      <c r="CN163" s="3">
        <f>CM163</f>
        <v>60494</v>
      </c>
      <c r="CO163" s="3">
        <f>CN163</f>
        <v>60494</v>
      </c>
      <c r="CP163" s="3">
        <f>CO163</f>
        <v>60494</v>
      </c>
      <c r="CQ163" s="3">
        <f>CP163</f>
        <v>60494</v>
      </c>
      <c r="CR163" s="3">
        <f>CQ163</f>
        <v>60494</v>
      </c>
      <c r="CS163" s="3">
        <f>CR163</f>
        <v>60494</v>
      </c>
      <c r="CT163" s="3">
        <f>CS163</f>
        <v>60494</v>
      </c>
      <c r="CU163" s="3">
        <f>CT163</f>
        <v>60494</v>
      </c>
      <c r="CV163" s="3">
        <f>CU163</f>
        <v>60494</v>
      </c>
      <c r="CW163" s="3">
        <f>CV163</f>
        <v>60494</v>
      </c>
      <c r="CX163" s="3">
        <f>CW163</f>
        <v>60494</v>
      </c>
      <c r="CY163" s="3">
        <f>CX163</f>
        <v>60494</v>
      </c>
    </row>
    <row r="164" hidden="1" outlineLevel="1">
      <c r="C164" s="38" t="inlineStr">
        <is>
          <t>%(Var.)</t>
        </is>
      </c>
      <c r="D164" s="3" t="n"/>
      <c r="E164" s="47">
        <f>(E163-D163)/D163</f>
        <v>-0.055766793409379</v>
      </c>
      <c r="F164" s="47">
        <f>(F163-E163)/E163</f>
        <v>0.00108938819181014</v>
      </c>
      <c r="G164" s="47">
        <f>(G163-F163)/F163</f>
        <v>0.0239210275742796</v>
      </c>
      <c r="H164" s="3" t="n"/>
      <c r="I164" s="47">
        <f>(I163-H163)/H163</f>
        <v>0.00218249449631823</v>
      </c>
      <c r="J164" s="47">
        <f>(J163-I163)/I163</f>
        <v>0.0268146268487132</v>
      </c>
      <c r="K164" s="47">
        <f>(K163-J163)/J163</f>
        <v>0.0228869667853125</v>
      </c>
      <c r="L164" s="47">
        <f>(L163-K163)/K163</f>
        <v>-0.0182640992355402</v>
      </c>
      <c r="M164" s="3" t="n"/>
      <c r="N164" s="47">
        <f>(N163-M163)/M163</f>
        <v>0.0196506951203835</v>
      </c>
      <c r="O164" s="47">
        <f>(O163-N163)/N163</f>
        <v>0.0387961311936024</v>
      </c>
      <c r="P164" s="47">
        <f>(P163-O163)/O163</f>
        <v>0.0303424360641526</v>
      </c>
      <c r="Q164" s="47">
        <f>(Q163-P163)/P163</f>
        <v>-0.00625999158603282</v>
      </c>
      <c r="R164" s="3" t="n"/>
      <c r="S164" s="47">
        <f>(S163-R163)/R163</f>
        <v>0.0136995580241478</v>
      </c>
      <c r="T164" s="47">
        <f>(T163-S163)/S163</f>
        <v>0.0273462296615549</v>
      </c>
      <c r="U164" s="47">
        <f>(U163-T163)/T163</f>
        <v>0.0325533748516236</v>
      </c>
      <c r="V164" s="47">
        <f>(V163-U163)/U163</f>
        <v>-0.0210705343222941</v>
      </c>
      <c r="W164" s="3" t="n"/>
      <c r="X164" s="47">
        <f>(X163-W163)/W163</f>
        <v>0.00992551839518685</v>
      </c>
      <c r="Y164" s="47">
        <f>(Y163-X163)/X163</f>
        <v>0.012265052564511</v>
      </c>
      <c r="Z164" s="47">
        <f>(Z163-Y163)/Y163</f>
        <v>0.0768214004720692</v>
      </c>
      <c r="AA164" s="47">
        <f>(AA163-Z163)/Z163</f>
        <v>-0.0698795884966098</v>
      </c>
      <c r="AB164" s="3" t="n"/>
      <c r="AC164" s="47">
        <f>(AC163-AB163)/AB163</f>
        <v>0.0232678711704635</v>
      </c>
      <c r="AD164" s="47">
        <f>(AD163-AC163)/AC163</f>
        <v>-0.0155379158925857</v>
      </c>
      <c r="AE164" s="47">
        <f>(AE163-AD163)/AD163</f>
        <v>-0.0397074190177639</v>
      </c>
      <c r="AF164" s="218">
        <f>(AF163-AE163)/AE163</f>
        <v>-0.00665876276939568</v>
      </c>
      <c r="AG164" s="3" t="n"/>
      <c r="AH164" s="218">
        <f>(AH163-AG163)/AG163</f>
        <v>-0.00799502967480339</v>
      </c>
      <c r="AI164" s="218">
        <f>(AI163-AH163)/AH163</f>
        <v>-0.00296667435804463</v>
      </c>
      <c r="AJ164" s="218" t="n"/>
      <c r="AK164" s="218" t="n"/>
      <c r="AL164" s="3" t="n"/>
      <c r="AM164" s="218" t="n"/>
      <c r="AN164" s="218" t="n"/>
      <c r="AO164" s="218" t="n"/>
      <c r="AP164" s="218" t="n"/>
      <c r="AQ164" s="3" t="n"/>
      <c r="AR164" s="218" t="n"/>
      <c r="AS164" s="218" t="n"/>
      <c r="AT164" s="218" t="n"/>
      <c r="AU164" s="218" t="n"/>
      <c r="AV164" s="3" t="n"/>
      <c r="AW164" s="218" t="n"/>
      <c r="AX164" s="218" t="n"/>
      <c r="AY164" s="218" t="n"/>
      <c r="AZ164" s="218" t="n"/>
      <c r="BA164" s="3" t="n"/>
      <c r="BB164" s="218" t="n"/>
      <c r="BC164" s="218" t="n"/>
      <c r="BD164" s="218" t="n"/>
      <c r="BE164" s="218" t="n"/>
      <c r="BF164" s="3" t="n"/>
      <c r="BG164" s="218" t="n"/>
      <c r="BH164" s="218" t="n"/>
      <c r="BI164" s="218" t="n"/>
      <c r="BJ164" s="218" t="n"/>
      <c r="BK164" s="3" t="n"/>
      <c r="BL164" s="218" t="n"/>
      <c r="BM164" s="218" t="n"/>
      <c r="BN164" s="218" t="n"/>
      <c r="BO164" s="218" t="n"/>
      <c r="BP164" s="3" t="n"/>
      <c r="BQ164" s="218" t="n"/>
      <c r="BR164" s="218" t="n"/>
      <c r="BS164" s="218" t="n"/>
      <c r="BT164" s="218" t="n"/>
      <c r="BU164" s="3" t="n"/>
      <c r="BV164" s="218" t="n"/>
      <c r="BW164" s="218" t="n"/>
      <c r="BX164" s="218" t="n"/>
      <c r="BY164" s="218" t="n"/>
      <c r="BZ164" s="3" t="n"/>
      <c r="CA164" s="218" t="n"/>
      <c r="CB164" s="218" t="n"/>
      <c r="CC164" s="218" t="n"/>
      <c r="CD164" s="218" t="n"/>
      <c r="CE164" s="3" t="n"/>
      <c r="CF164" s="218" t="n"/>
      <c r="CG164" s="218" t="n"/>
      <c r="CH164" s="218" t="n"/>
      <c r="CI164" s="218" t="n"/>
      <c r="CJ164" s="3" t="n"/>
      <c r="CK164" s="218" t="n"/>
      <c r="CL164" s="218" t="n"/>
      <c r="CM164" s="218" t="n"/>
      <c r="CN164" s="218" t="n"/>
      <c r="CO164" s="3" t="n"/>
      <c r="CP164" s="218" t="n"/>
      <c r="CQ164" s="218" t="n"/>
      <c r="CR164" s="218" t="n"/>
      <c r="CS164" s="218" t="n"/>
      <c r="CT164" s="3" t="n"/>
      <c r="CU164" s="218" t="n"/>
      <c r="CV164" s="218" t="n"/>
      <c r="CW164" s="218" t="n"/>
      <c r="CX164" s="218" t="n"/>
      <c r="CY164" s="3" t="n"/>
    </row>
    <row r="165" hidden="1" outlineLevel="1">
      <c r="C165" s="34" t="n"/>
      <c r="D165" s="3" t="n"/>
      <c r="E165" s="47" t="n"/>
      <c r="F165" s="47" t="n"/>
      <c r="G165" s="47" t="n"/>
      <c r="H165" s="3" t="n"/>
      <c r="I165" s="47" t="n"/>
      <c r="J165" s="47" t="n"/>
      <c r="K165" s="47" t="n"/>
      <c r="L165" s="47" t="n"/>
      <c r="M165" s="3" t="n"/>
      <c r="N165" s="47" t="n"/>
      <c r="O165" s="47" t="n"/>
      <c r="P165" s="47" t="n"/>
      <c r="Q165" s="47" t="n"/>
      <c r="R165" s="3" t="n"/>
      <c r="S165" s="47" t="n"/>
      <c r="T165" s="47" t="n"/>
      <c r="U165" s="47" t="n"/>
      <c r="V165" s="47" t="n"/>
      <c r="W165" s="3" t="n"/>
      <c r="X165" s="47" t="n"/>
      <c r="Y165" s="47" t="n"/>
      <c r="Z165" s="47" t="n"/>
      <c r="AA165" s="47" t="n"/>
      <c r="AB165" s="3" t="n"/>
      <c r="AC165" s="47" t="n"/>
      <c r="AD165" s="47" t="n"/>
      <c r="AE165" s="47" t="n"/>
      <c r="AF165" s="218" t="n"/>
      <c r="AG165" s="3" t="n"/>
      <c r="AH165" s="218" t="n"/>
      <c r="AI165" s="218" t="n"/>
      <c r="AJ165" s="218" t="n"/>
      <c r="AK165" s="218" t="n"/>
      <c r="AL165" s="3" t="n"/>
      <c r="AM165" s="218" t="n"/>
      <c r="AN165" s="218" t="n"/>
      <c r="AO165" s="218" t="n"/>
      <c r="AP165" s="218" t="n"/>
      <c r="AQ165" s="3" t="n"/>
      <c r="AR165" s="218" t="n"/>
      <c r="AS165" s="218" t="n"/>
      <c r="AT165" s="218" t="n"/>
      <c r="AU165" s="218" t="n"/>
      <c r="AV165" s="3" t="n"/>
      <c r="AW165" s="218" t="n"/>
      <c r="AX165" s="218" t="n"/>
      <c r="AY165" s="218" t="n"/>
      <c r="AZ165" s="218" t="n"/>
      <c r="BA165" s="3" t="n"/>
      <c r="BB165" s="218" t="n"/>
      <c r="BC165" s="218" t="n"/>
      <c r="BD165" s="218" t="n"/>
      <c r="BE165" s="218" t="n"/>
      <c r="BF165" s="3" t="n"/>
      <c r="BG165" s="218" t="n"/>
      <c r="BH165" s="218" t="n"/>
      <c r="BI165" s="218" t="n"/>
      <c r="BJ165" s="218" t="n"/>
      <c r="BK165" s="3" t="n"/>
      <c r="BL165" s="218" t="n"/>
      <c r="BM165" s="218" t="n"/>
      <c r="BN165" s="218" t="n"/>
      <c r="BO165" s="218" t="n"/>
      <c r="BP165" s="3" t="n"/>
      <c r="BQ165" s="218" t="n"/>
      <c r="BR165" s="218" t="n"/>
      <c r="BS165" s="218" t="n"/>
      <c r="BT165" s="218" t="n"/>
      <c r="BU165" s="3" t="n"/>
      <c r="BV165" s="218" t="n"/>
      <c r="BW165" s="218" t="n"/>
      <c r="BX165" s="218" t="n"/>
      <c r="BY165" s="218" t="n"/>
      <c r="BZ165" s="3" t="n"/>
      <c r="CA165" s="218" t="n"/>
      <c r="CB165" s="218" t="n"/>
      <c r="CC165" s="218" t="n"/>
      <c r="CD165" s="218" t="n"/>
      <c r="CE165" s="3" t="n"/>
      <c r="CF165" s="218" t="n"/>
      <c r="CG165" s="218" t="n"/>
      <c r="CH165" s="218" t="n"/>
      <c r="CI165" s="218" t="n"/>
      <c r="CJ165" s="3" t="n"/>
      <c r="CK165" s="218" t="n"/>
      <c r="CL165" s="218" t="n"/>
      <c r="CM165" s="218" t="n"/>
      <c r="CN165" s="218" t="n"/>
      <c r="CO165" s="3" t="n"/>
      <c r="CP165" s="218" t="n"/>
      <c r="CQ165" s="218" t="n"/>
      <c r="CR165" s="218" t="n"/>
      <c r="CS165" s="218" t="n"/>
      <c r="CT165" s="3" t="n"/>
      <c r="CU165" s="218" t="n"/>
      <c r="CV165" s="218" t="n"/>
      <c r="CW165" s="218" t="n"/>
      <c r="CX165" s="218" t="n"/>
      <c r="CY165" s="3" t="n"/>
    </row>
    <row r="166" hidden="1" outlineLevel="1">
      <c r="C166" s="52" t="inlineStr">
        <is>
          <t>Outros Créditos - LP</t>
        </is>
      </c>
      <c r="D166" s="6" t="n"/>
      <c r="E166" s="6" t="n"/>
      <c r="F166" s="6" t="n"/>
      <c r="G166" s="6" t="n"/>
      <c r="H166" s="3" t="n"/>
      <c r="I166" s="6" t="n"/>
      <c r="J166" s="6" t="n"/>
      <c r="K166" s="6" t="n"/>
      <c r="L166" s="6" t="n"/>
      <c r="M166" s="3" t="n"/>
      <c r="N166" s="6" t="n"/>
      <c r="O166" s="6" t="n"/>
      <c r="P166" s="6" t="n"/>
      <c r="Q166" s="6" t="n"/>
      <c r="R166" s="3" t="n"/>
      <c r="S166" s="6" t="n"/>
      <c r="T166" s="6" t="n"/>
      <c r="U166" s="6" t="n"/>
      <c r="V166" s="6" t="n"/>
      <c r="W166" s="3" t="n"/>
      <c r="X166" s="6" t="n"/>
      <c r="Y166" s="6" t="n"/>
      <c r="Z166" s="6" t="n"/>
      <c r="AA166" s="6" t="n"/>
      <c r="AB166" s="3" t="n"/>
      <c r="AC166" s="6" t="n"/>
      <c r="AD166" s="6" t="n"/>
      <c r="AE166" s="6" t="n"/>
      <c r="AF166" s="6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52" t="inlineStr">
        <is>
          <t xml:space="preserve">Impostos e Contribuições a Recuperar </t>
        </is>
      </c>
      <c r="D167" s="6" t="n"/>
      <c r="E167" s="6" t="n"/>
      <c r="F167" s="6" t="n"/>
      <c r="G167" s="6" t="n"/>
      <c r="H167" s="3" t="n"/>
      <c r="I167" s="6" t="n"/>
      <c r="J167" s="6" t="n"/>
      <c r="K167" s="6" t="n"/>
      <c r="L167" s="6" t="n"/>
      <c r="M167" s="3" t="n"/>
      <c r="N167" s="6" t="n"/>
      <c r="O167" s="6" t="n"/>
      <c r="P167" s="6" t="n"/>
      <c r="Q167" s="6" t="n"/>
      <c r="R167" s="3" t="n"/>
      <c r="S167" s="6" t="n"/>
      <c r="T167" s="6" t="n"/>
      <c r="U167" s="6" t="n"/>
      <c r="V167" s="6" t="n"/>
      <c r="W167" s="3" t="n"/>
      <c r="X167" s="6" t="n"/>
      <c r="Y167" s="6" t="n"/>
      <c r="Z167" s="6" t="n"/>
      <c r="AA167" s="6" t="n"/>
      <c r="AB167" s="3" t="n"/>
      <c r="AC167" s="6" t="n"/>
      <c r="AD167" s="6" t="n"/>
      <c r="AE167" s="6" t="n"/>
      <c r="AF167" s="6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52" t="inlineStr">
        <is>
          <t xml:space="preserve">Imposto de Renda e Contribuição Social Diferidos </t>
        </is>
      </c>
      <c r="D168" s="6" t="n"/>
      <c r="E168" s="6" t="n"/>
      <c r="F168" s="6" t="n"/>
      <c r="G168" s="6" t="n"/>
      <c r="H168" s="3" t="n"/>
      <c r="I168" s="6" t="n"/>
      <c r="J168" s="6" t="n"/>
      <c r="K168" s="6" t="n"/>
      <c r="L168" s="6" t="n"/>
      <c r="M168" s="3" t="n"/>
      <c r="N168" s="6" t="n"/>
      <c r="O168" s="6" t="n"/>
      <c r="P168" s="6" t="n"/>
      <c r="Q168" s="6" t="n"/>
      <c r="R168" s="3" t="n"/>
      <c r="S168" s="6" t="n"/>
      <c r="T168" s="6" t="n"/>
      <c r="U168" s="6" t="n"/>
      <c r="V168" s="6" t="n"/>
      <c r="W168" s="3" t="n"/>
      <c r="X168" s="6" t="n"/>
      <c r="Y168" s="6" t="n"/>
      <c r="Z168" s="6" t="n"/>
      <c r="AA168" s="6" t="n"/>
      <c r="AB168" s="3" t="n"/>
      <c r="AC168" s="6" t="n"/>
      <c r="AD168" s="6" t="n"/>
      <c r="AE168" s="6" t="n"/>
      <c r="AF168" s="6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52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collapsed="1" customFormat="1" s="17">
      <c r="A171" s="13" t="n"/>
      <c r="B171" s="1" t="n"/>
      <c r="C171" s="14" t="inlineStr">
        <is>
          <t>Total Assets</t>
        </is>
      </c>
      <c r="D171" s="16">
        <f>(D118+D119+D123+D127+D128+D129+D135+D140+D150+D153+D154+D163)</f>
        <v>236677</v>
      </c>
      <c r="E171" s="16">
        <f>(E118+E119+E123+E127+E128+E129+E135+E140+E150+E153+E154+E163)</f>
        <v>223403</v>
      </c>
      <c r="F171" s="16">
        <f>(F118+F119+F123+F127+F128+F129+F135+F140+F150+F153+F154+F163)</f>
        <v>223063</v>
      </c>
      <c r="G171" s="16">
        <f>(G118+G119+G123+G127+G128+G129+G135+G140+G150+G153+G154+G163)</f>
        <v>239790</v>
      </c>
      <c r="H171" s="16">
        <f>SUM(H118,H119,H123,H127,H128,H129,H135,H150,H153,H154,H163,H140)</f>
        <v>239790</v>
      </c>
      <c r="I171" s="16">
        <f>(I118+I119+I123+I127+I128+I129+I135+I140+I150+I153+I154+I163)</f>
        <v>241645</v>
      </c>
      <c r="J171" s="16">
        <f>(J118+J119+J123+J127+J128+J129+J135+J140+J150+J153+J154+J163)</f>
        <v>242806</v>
      </c>
      <c r="K171" s="16">
        <f>(K118+K119+K123+K127+K128+K129+K135+K140+K150+K153+K154+K163)</f>
        <v>239948</v>
      </c>
      <c r="L171" s="16">
        <f>(L118+L119+L123+L127+L128+L129+L135+L140+L150+L153+L154+L163)</f>
        <v>239535</v>
      </c>
      <c r="M171" s="16">
        <f>SUM(M118,M119,M123,M127,M128,M129,M135,M150,M153,M154,M163,M140)</f>
        <v>239535</v>
      </c>
      <c r="N171" s="16">
        <f>(N118+N119+N123+N127+N128+N129+N135+N140+N150+N153+N154+N163)</f>
        <v>249048</v>
      </c>
      <c r="O171" s="16">
        <f>(O118+O119+O123+O127+O128+O129+O135+O140+O150+O153+O154+O163)</f>
        <v>257936</v>
      </c>
      <c r="P171" s="16">
        <f>(P118+P119+P123+P127+P128+P129+P135+P140+P150+P153+P154+P163)</f>
        <v>259735</v>
      </c>
      <c r="Q171" s="16">
        <f>(Q118+Q119+Q123+Q127+Q128+Q129+Q135+Q140+Q150+Q153+Q154+Q163)</f>
        <v>257709</v>
      </c>
      <c r="R171" s="16">
        <f>SUM(R118,R119,R123,R127,R128,R129,R135,R150,R153,R154,R163,R140)</f>
        <v>257709</v>
      </c>
      <c r="S171" s="16">
        <f>(S118+S119+S123+S127+S128+S129+S135+S140+S150+S153+S154+S163)</f>
        <v>255886</v>
      </c>
      <c r="T171" s="16">
        <f>(T118+T119+T123+T127+T128+T129+T135+T140+T150+T153+T154+T163)</f>
        <v>251779</v>
      </c>
      <c r="U171" s="16">
        <f>(U118+U119+U123+U127+U128+U129+U135+U140+U150+U153+U154+U163)</f>
        <v>263927</v>
      </c>
      <c r="V171" s="16">
        <f>(V118+V119+V123+V127+V128+V129+V135+V140+V150+V153+V154+V163)</f>
        <v>261632</v>
      </c>
      <c r="W171" s="16">
        <f>SUM(W118,W119,W123,W127,W128,W129,W135,W150,W153,W154,W163,W140)</f>
        <v>261632</v>
      </c>
      <c r="X171" s="16">
        <f>(X118+X119+X123+X127+X128+X129+X135+X140+X150+X153+X154+X163)</f>
        <v>261651</v>
      </c>
      <c r="Y171" s="16">
        <f>(Y118+Y119+Y123+Y127+Y128+Y129+Y135+Y140+Y150+Y153+Y154+Y163)</f>
        <v>260644</v>
      </c>
      <c r="Z171" s="16">
        <f>(Z118+Z119+Z123+Z127+Z128+Z129+Z135+Z140+Z150+Z153+Z154+Z163)</f>
        <v>259232</v>
      </c>
      <c r="AA171" s="16">
        <f>(AA118+AA119+AA123+AA127+AA128+AA129+AA135+AA140+AA150+AA153+AA154+AA163)</f>
        <v>256938</v>
      </c>
      <c r="AB171" s="16">
        <f>SUM(AB118,AB119,AB123,AB127,AB128,AB129,AB135,AB150,AB153,AB154,AB163,AB140)</f>
        <v>256938</v>
      </c>
      <c r="AC171" s="16">
        <f>(AC118+AC119+AC123+AC127+AC128+AC129+AC135+AC140+AC150+AC153+AC154+AC163)</f>
        <v>256397</v>
      </c>
      <c r="AD171" s="16">
        <f>(AD118+AD119+AD123+AD127+AD128+AD129+AD135+AD140+AD150+AD153+AD154+AD163)</f>
        <v>250820</v>
      </c>
      <c r="AE171" s="16">
        <f>(AE118+AE119+AE123+AE127+AE128+AE129+AE135+AE140+AE150+AE153+AE154+AE163)</f>
        <v>326501</v>
      </c>
      <c r="AF171" s="16">
        <f>(AF118+AF119+AF123+AF127+AF128+AF129+AF135+AF140+AF150+AF153+AF154+AF163)</f>
        <v>324012</v>
      </c>
      <c r="AG171" s="16">
        <f>SUM(AG118,AG119,AG123,AG127,AG128,AG129,AG135,AG150,AG153,AG154,AG163,AG140)</f>
        <v>324012</v>
      </c>
      <c r="AH171" s="16">
        <f>(AH118+AH119+AH123+AH127+AH128+AH129+AH135+AH140+AH150+AH153+AH154+AH163)</f>
        <v>329551</v>
      </c>
      <c r="AI171" s="16">
        <f>(AI118+AI119+AI123+AI127+AI128+AI129+AI135+AI140+AI150+AI153+AI154+AI163)</f>
        <v>330135</v>
      </c>
      <c r="AJ171" s="16">
        <f>(AJ118+AJ119+AJ123+AJ127+AJ128+AJ129+AJ135+AJ140+AJ150+AJ153+AJ154+AJ163)</f>
        <v>292672</v>
      </c>
      <c r="AK171" s="16">
        <f>(AK118+AK119+AK123+AK127+AK128+AK129+AK135+AK140+AK150+AK153+AK154+AK163)</f>
        <v>292672</v>
      </c>
      <c r="AL171" s="16">
        <f>SUM(AL118,AL119,AL123,AL127,AL128,AL129,AL135,AL150,AL153,AL154,AL163,AL140)</f>
        <v>292672</v>
      </c>
      <c r="AM171" s="16" t="e">
        <f>(AM118+AM119+AM123+AM127+AM128+AM129+AM135+AM140+AM150+AM153+AM154+AM163)</f>
        <v>#DIV/0!</v>
      </c>
      <c r="AN171" s="16" t="e">
        <f>(AN118+AN119+AN123+AN127+AN128+AN129+AN135+AN140+AN150+AN153+AN154+AN163)</f>
        <v>#DIV/0!</v>
      </c>
      <c r="AO171" s="16" t="e">
        <f>(AO118+AO119+AO123+AO127+AO128+AO129+AO135+AO140+AO150+AO153+AO154+AO163)</f>
        <v>#DIV/0!</v>
      </c>
      <c r="AP171" s="16" t="e">
        <f>(AP118+AP119+AP123+AP127+AP128+AP129+AP135+AP140+AP150+AP153+AP154+AP163)</f>
        <v>#DIV/0!</v>
      </c>
      <c r="AQ171" s="16" t="e">
        <f>SUM(AQ118,AQ119,AQ123,AQ127,AQ128,AQ129,AQ135,AQ150,AQ153,AQ154,AQ163,AQ140)</f>
        <v>#DIV/0!</v>
      </c>
      <c r="AR171" s="16" t="e">
        <f>(AR118+AR119+AR123+AR127+AR128+AR129+AR135+AR140+AR150+AR153+AR154+AR163)</f>
        <v>#DIV/0!</v>
      </c>
      <c r="AS171" s="16" t="e">
        <f>(AS118+AS119+AS123+AS127+AS128+AS129+AS135+AS140+AS150+AS153+AS154+AS163)</f>
        <v>#DIV/0!</v>
      </c>
      <c r="AT171" s="16" t="e">
        <f>(AT118+AT119+AT123+AT127+AT128+AT129+AT135+AT140+AT150+AT153+AT154+AT163)</f>
        <v>#DIV/0!</v>
      </c>
      <c r="AU171" s="16" t="e">
        <f>(AU118+AU119+AU123+AU127+AU128+AU129+AU135+AU140+AU150+AU153+AU154+AU163)</f>
        <v>#DIV/0!</v>
      </c>
      <c r="AV171" s="16" t="e">
        <f>SUM(AV118,AV119,AV123,AV127,AV128,AV129,AV135,AV150,AV153,AV154,AV163,AV140)</f>
        <v>#DIV/0!</v>
      </c>
      <c r="AW171" s="16" t="e">
        <f>(AW118+AW119+AW123+AW127+AW128+AW129+AW135+AW140+AW150+AW153+AW154+AW163)</f>
        <v>#DIV/0!</v>
      </c>
      <c r="AX171" s="16" t="e">
        <f>(AX118+AX119+AX123+AX127+AX128+AX129+AX135+AX140+AX150+AX153+AX154+AX163)</f>
        <v>#DIV/0!</v>
      </c>
      <c r="AY171" s="16" t="e">
        <f>(AY118+AY119+AY123+AY127+AY128+AY129+AY135+AY140+AY150+AY153+AY154+AY163)</f>
        <v>#DIV/0!</v>
      </c>
      <c r="AZ171" s="16" t="e">
        <f>(AZ118+AZ119+AZ123+AZ127+AZ128+AZ129+AZ135+AZ140+AZ150+AZ153+AZ154+AZ163)</f>
        <v>#DIV/0!</v>
      </c>
      <c r="BA171" s="16" t="e">
        <f>SUM(BA118,BA119,BA123,BA127,BA128,BA129,BA135,BA150,BA153,BA154,BA163,BA140)</f>
        <v>#DIV/0!</v>
      </c>
      <c r="BB171" s="16" t="e">
        <f>(BB118+BB119+BB123+BB127+BB128+BB129+BB135+BB140+BB150+BB153+BB154+BB163)</f>
        <v>#DIV/0!</v>
      </c>
      <c r="BC171" s="16" t="e">
        <f>(BC118+BC119+BC123+BC127+BC128+BC129+BC135+BC140+BC150+BC153+BC154+BC163)</f>
        <v>#DIV/0!</v>
      </c>
      <c r="BD171" s="16" t="e">
        <f>(BD118+BD119+BD123+BD127+BD128+BD129+BD135+BD140+BD150+BD153+BD154+BD163)</f>
        <v>#DIV/0!</v>
      </c>
      <c r="BE171" s="16" t="e">
        <f>(BE118+BE119+BE123+BE127+BE128+BE129+BE135+BE140+BE150+BE153+BE154+BE163)</f>
        <v>#DIV/0!</v>
      </c>
      <c r="BF171" s="16" t="e">
        <f>SUM(BF118,BF119,BF123,BF127,BF128,BF129,BF135,BF150,BF153,BF154,BF163,BF140)</f>
        <v>#DIV/0!</v>
      </c>
      <c r="BG171" s="16" t="e">
        <f>(BG118+BG119+BG123+BG127+BG128+BG129+BG135+BG140+BG150+BG153+BG154+BG163)</f>
        <v>#DIV/0!</v>
      </c>
      <c r="BH171" s="16" t="e">
        <f>(BH118+BH119+BH123+BH127+BH128+BH129+BH135+BH140+BH150+BH153+BH154+BH163)</f>
        <v>#DIV/0!</v>
      </c>
      <c r="BI171" s="16" t="e">
        <f>(BI118+BI119+BI123+BI127+BI128+BI129+BI135+BI140+BI150+BI153+BI154+BI163)</f>
        <v>#DIV/0!</v>
      </c>
      <c r="BJ171" s="16" t="e">
        <f>(BJ118+BJ119+BJ123+BJ127+BJ128+BJ129+BJ135+BJ140+BJ150+BJ153+BJ154+BJ163)</f>
        <v>#DIV/0!</v>
      </c>
      <c r="BK171" s="16" t="e">
        <f>SUM(BK118,BK119,BK123,BK127,BK128,BK129,BK135,BK150,BK153,BK154,BK163,BK140)</f>
        <v>#DIV/0!</v>
      </c>
      <c r="BL171" s="16" t="e">
        <f>(BL118+BL119+BL123+BL127+BL128+BL129+BL135+BL140+BL150+BL153+BL154+BL163)</f>
        <v>#DIV/0!</v>
      </c>
      <c r="BM171" s="16" t="e">
        <f>(BM118+BM119+BM123+BM127+BM128+BM129+BM135+BM140+BM150+BM153+BM154+BM163)</f>
        <v>#DIV/0!</v>
      </c>
      <c r="BN171" s="16" t="e">
        <f>(BN118+BN119+BN123+BN127+BN128+BN129+BN135+BN140+BN150+BN153+BN154+BN163)</f>
        <v>#DIV/0!</v>
      </c>
      <c r="BO171" s="16" t="e">
        <f>(BO118+BO119+BO123+BO127+BO128+BO129+BO135+BO140+BO150+BO153+BO154+BO163)</f>
        <v>#DIV/0!</v>
      </c>
      <c r="BP171" s="16" t="e">
        <f>SUM(BP118,BP119,BP123,BP127,BP128,BP129,BP135,BP150,BP153,BP154,BP163,BP140)</f>
        <v>#DIV/0!</v>
      </c>
      <c r="BQ171" s="16" t="e">
        <f>(BQ118+BQ119+BQ123+BQ127+BQ128+BQ129+BQ135+BQ140+BQ150+BQ153+BQ154+BQ163)</f>
        <v>#DIV/0!</v>
      </c>
      <c r="BR171" s="16" t="e">
        <f>(BR118+BR119+BR123+BR127+BR128+BR129+BR135+BR140+BR150+BR153+BR154+BR163)</f>
        <v>#DIV/0!</v>
      </c>
      <c r="BS171" s="16" t="e">
        <f>(BS118+BS119+BS123+BS127+BS128+BS129+BS135+BS140+BS150+BS153+BS154+BS163)</f>
        <v>#DIV/0!</v>
      </c>
      <c r="BT171" s="16" t="e">
        <f>(BT118+BT119+BT123+BT127+BT128+BT129+BT135+BT140+BT150+BT153+BT154+BT163)</f>
        <v>#DIV/0!</v>
      </c>
      <c r="BU171" s="16" t="e">
        <f>SUM(BU118,BU119,BU123,BU127,BU128,BU129,BU135,BU150,BU153,BU154,BU163,BU140)</f>
        <v>#DIV/0!</v>
      </c>
      <c r="BV171" s="16" t="e">
        <f>(BV118+BV119+BV123+BV127+BV128+BV129+BV135+BV140+BV150+BV153+BV154+BV163)</f>
        <v>#DIV/0!</v>
      </c>
      <c r="BW171" s="16" t="e">
        <f>(BW118+BW119+BW123+BW127+BW128+BW129+BW135+BW140+BW150+BW153+BW154+BW163)</f>
        <v>#DIV/0!</v>
      </c>
      <c r="BX171" s="16" t="e">
        <f>(BX118+BX119+BX123+BX127+BX128+BX129+BX135+BX140+BX150+BX153+BX154+BX163)</f>
        <v>#DIV/0!</v>
      </c>
      <c r="BY171" s="16" t="e">
        <f>(BY118+BY119+BY123+BY127+BY128+BY129+BY135+BY140+BY150+BY153+BY154+BY163)</f>
        <v>#DIV/0!</v>
      </c>
      <c r="BZ171" s="16" t="e">
        <f>SUM(BZ118,BZ119,BZ123,BZ127,BZ128,BZ129,BZ135,BZ150,BZ153,BZ154,BZ163,BZ140)</f>
        <v>#DIV/0!</v>
      </c>
      <c r="CA171" s="16" t="e">
        <f>(CA118+CA119+CA123+CA127+CA128+CA129+CA135+CA140+CA150+CA153+CA154+CA163)</f>
        <v>#DIV/0!</v>
      </c>
      <c r="CB171" s="16" t="e">
        <f>(CB118+CB119+CB123+CB127+CB128+CB129+CB135+CB140+CB150+CB153+CB154+CB163)</f>
        <v>#DIV/0!</v>
      </c>
      <c r="CC171" s="16" t="e">
        <f>(CC118+CC119+CC123+CC127+CC128+CC129+CC135+CC140+CC150+CC153+CC154+CC163)</f>
        <v>#DIV/0!</v>
      </c>
      <c r="CD171" s="16" t="e">
        <f>(CD118+CD119+CD123+CD127+CD128+CD129+CD135+CD140+CD150+CD153+CD154+CD163)</f>
        <v>#DIV/0!</v>
      </c>
      <c r="CE171" s="16" t="e">
        <f>SUM(CE118,CE119,CE123,CE127,CE128,CE129,CE135,CE150,CE153,CE154,CE163,CE140)</f>
        <v>#DIV/0!</v>
      </c>
      <c r="CF171" s="16" t="e">
        <f>(CF118+CF119+CF123+CF127+CF128+CF129+CF135+CF140+CF150+CF153+CF154+CF163)</f>
        <v>#DIV/0!</v>
      </c>
      <c r="CG171" s="16" t="e">
        <f>(CG118+CG119+CG123+CG127+CG128+CG129+CG135+CG140+CG150+CG153+CG154+CG163)</f>
        <v>#DIV/0!</v>
      </c>
      <c r="CH171" s="16" t="e">
        <f>(CH118+CH119+CH123+CH127+CH128+CH129+CH135+CH140+CH150+CH153+CH154+CH163)</f>
        <v>#DIV/0!</v>
      </c>
      <c r="CI171" s="16" t="e">
        <f>(CI118+CI119+CI123+CI127+CI128+CI129+CI135+CI140+CI150+CI153+CI154+CI163)</f>
        <v>#DIV/0!</v>
      </c>
      <c r="CJ171" s="16" t="e">
        <f>SUM(CJ118,CJ119,CJ123,CJ127,CJ128,CJ129,CJ135,CJ150,CJ153,CJ154,CJ163,CJ140)</f>
        <v>#DIV/0!</v>
      </c>
      <c r="CK171" s="16" t="e">
        <f>(CK118+CK119+CK123+CK127+CK128+CK129+CK135+CK140+CK150+CK153+CK154+CK163)</f>
        <v>#DIV/0!</v>
      </c>
      <c r="CL171" s="16" t="e">
        <f>(CL118+CL119+CL123+CL127+CL128+CL129+CL135+CL140+CL150+CL153+CL154+CL163)</f>
        <v>#DIV/0!</v>
      </c>
      <c r="CM171" s="16" t="e">
        <f>(CM118+CM119+CM123+CM127+CM128+CM129+CM135+CM140+CM150+CM153+CM154+CM163)</f>
        <v>#DIV/0!</v>
      </c>
      <c r="CN171" s="16" t="e">
        <f>(CN118+CN119+CN123+CN127+CN128+CN129+CN135+CN140+CN150+CN153+CN154+CN163)</f>
        <v>#DIV/0!</v>
      </c>
      <c r="CO171" s="16" t="e">
        <f>SUM(CO118,CO119,CO123,CO127,CO128,CO129,CO135,CO150,CO153,CO154,CO163,CO140)</f>
        <v>#DIV/0!</v>
      </c>
      <c r="CP171" s="16" t="e">
        <f>(CP118+CP119+CP123+CP127+CP128+CP129+CP135+CP140+CP150+CP153+CP154+CP163)</f>
        <v>#DIV/0!</v>
      </c>
      <c r="CQ171" s="16" t="e">
        <f>(CQ118+CQ119+CQ123+CQ127+CQ128+CQ129+CQ135+CQ140+CQ150+CQ153+CQ154+CQ163)</f>
        <v>#DIV/0!</v>
      </c>
      <c r="CR171" s="16" t="e">
        <f>(CR118+CR119+CR123+CR127+CR128+CR129+CR135+CR140+CR150+CR153+CR154+CR163)</f>
        <v>#DIV/0!</v>
      </c>
      <c r="CS171" s="16" t="e">
        <f>(CS118+CS119+CS123+CS127+CS128+CS129+CS135+CS140+CS150+CS153+CS154+CS163)</f>
        <v>#DIV/0!</v>
      </c>
      <c r="CT171" s="16" t="e">
        <f>SUM(CT118,CT119,CT123,CT127,CT128,CT129,CT135,CT150,CT153,CT154,CT163,CT140)</f>
        <v>#DIV/0!</v>
      </c>
      <c r="CU171" s="16" t="e">
        <f>(CU118+CU119+CU123+CU127+CU128+CU129+CU135+CU140+CU150+CU153+CU154+CU163)</f>
        <v>#DIV/0!</v>
      </c>
      <c r="CV171" s="16" t="e">
        <f>(CV118+CV119+CV123+CV127+CV128+CV129+CV135+CV140+CV150+CV153+CV154+CV163)</f>
        <v>#DIV/0!</v>
      </c>
      <c r="CW171" s="16" t="e">
        <f>(CW118+CW119+CW123+CW127+CW128+CW129+CW135+CW140+CW150+CW153+CW154+CW163)</f>
        <v>#DIV/0!</v>
      </c>
      <c r="CX171" s="16" t="e">
        <f>(CX118+CX119+CX123+CX127+CX128+CX129+CX135+CX140+CX150+CX153+CX154+CX163)</f>
        <v>#DIV/0!</v>
      </c>
      <c r="CY171" s="16" t="e">
        <f>SUM(CY118,CY119,CY123,CY127,CY128,CY129,CY135,CY150,CY153,CY154,CY163,CY140)</f>
        <v>#DIV/0!</v>
      </c>
    </row>
    <row r="172">
      <c r="C172" s="26" t="inlineStr">
        <is>
          <t>Accounts payable</t>
        </is>
      </c>
      <c r="D172" s="25">
        <f>INDEX('Inputs (2)'!$D$28:$AL$28,MATCH(D$7,'Inputs (2)'!$D$2:$AL$2,0))</f>
        <v>11006</v>
      </c>
      <c r="E172" s="25">
        <f>INDEX('Inputs (2)'!$D$28:$AL$28,MATCH(E$7,'Inputs (2)'!$D$2:$AL$2,0))</f>
        <v>8250</v>
      </c>
      <c r="F172" s="25">
        <f>INDEX('Inputs (2)'!$D$28:$AL$28,MATCH(F$7,'Inputs (2)'!$D$2:$AL$2,0))</f>
        <v>9537</v>
      </c>
      <c r="G172" s="25">
        <f>INDEX('Inputs (2)'!$D$28:$AL$28,MATCH(G$7,'Inputs (2)'!$D$2:$AL$2,0))</f>
        <v>10950</v>
      </c>
      <c r="H172" s="3">
        <f>G172</f>
        <v>10950</v>
      </c>
      <c r="I172" s="25">
        <f>INDEX('Inputs (2)'!$D$28:$AL$28,MATCH(I$7,'Inputs (2)'!$D$2:$AL$2,0))</f>
        <v>12858</v>
      </c>
      <c r="J172" s="25">
        <f>INDEX('Inputs (2)'!$D$28:$AL$28,MATCH(J$7,'Inputs (2)'!$D$2:$AL$2,0))</f>
        <v>14719</v>
      </c>
      <c r="K172" s="25">
        <f>INDEX('Inputs (2)'!$D$28:$AL$28,MATCH(K$7,'Inputs (2)'!$D$2:$AL$2,0))</f>
        <v>15308</v>
      </c>
      <c r="L172" s="25">
        <f>INDEX('Inputs (2)'!$D$28:$AL$28,MATCH(L$7,'Inputs (2)'!$D$2:$AL$2,0))</f>
        <v>16454</v>
      </c>
      <c r="M172" s="3">
        <f>L172</f>
        <v>16454</v>
      </c>
      <c r="N172" s="25">
        <f>INDEX('Inputs (2)'!$D$28:$AL$28,MATCH(N$7,'Inputs (2)'!$D$2:$AL$2,0))</f>
        <v>20137</v>
      </c>
      <c r="O172" s="25">
        <f>INDEX('Inputs (2)'!$D$28:$AL$28,MATCH(O$7,'Inputs (2)'!$D$2:$AL$2,0))</f>
        <v>24906</v>
      </c>
      <c r="P172" s="25">
        <f>INDEX('Inputs (2)'!$D$28:$AL$28,MATCH(P$7,'Inputs (2)'!$D$2:$AL$2,0))</f>
        <v>21699</v>
      </c>
      <c r="Q172" s="25">
        <f>INDEX('Inputs (2)'!$D$28:$AL$28,MATCH(Q$7,'Inputs (2)'!$D$2:$AL$2,0))</f>
        <v>18955</v>
      </c>
      <c r="R172" s="3">
        <f>Q172</f>
        <v>18955</v>
      </c>
      <c r="S172" s="25">
        <f>INDEX('Inputs (2)'!$D$28:$AL$28,MATCH(S$7,'Inputs (2)'!$D$2:$AL$2,0))</f>
        <v>17942</v>
      </c>
      <c r="T172" s="25">
        <f>INDEX('Inputs (2)'!$D$28:$AL$28,MATCH(T$7,'Inputs (2)'!$D$2:$AL$2,0))</f>
        <v>18656</v>
      </c>
      <c r="U172" s="25">
        <f>INDEX('Inputs (2)'!$D$28:$AL$28,MATCH(U$7,'Inputs (2)'!$D$2:$AL$2,0))</f>
        <v>21649</v>
      </c>
      <c r="V172" s="25">
        <f>INDEX('Inputs (2)'!$D$28:$AL$28,MATCH(V$7,'Inputs (2)'!$D$2:$AL$2,0))</f>
        <v>20423</v>
      </c>
      <c r="W172" s="3">
        <f>V172</f>
        <v>20423</v>
      </c>
      <c r="X172" s="25">
        <f>INDEX('Inputs (2)'!$D$28:$AL$28,MATCH(X$7,'Inputs (2)'!$D$2:$AL$2,0))</f>
        <v>21257</v>
      </c>
      <c r="Y172" s="25">
        <f>INDEX('Inputs (2)'!$D$28:$AL$28,MATCH(Y$7,'Inputs (2)'!$D$2:$AL$2,0))</f>
        <v>21007</v>
      </c>
      <c r="Z172" s="25">
        <f>INDEX('Inputs (2)'!$D$28:$AL$28,MATCH(Z$7,'Inputs (2)'!$D$2:$AL$2,0))</f>
        <v>20037</v>
      </c>
      <c r="AA172" s="25">
        <f>INDEX('Inputs (2)'!$D$28:$AL$28,MATCH(AA$7,'Inputs (2)'!$D$2:$AL$2,0))</f>
        <v>22079</v>
      </c>
      <c r="AB172" s="3">
        <f>AA172</f>
        <v>22079</v>
      </c>
      <c r="AC172" s="25">
        <f>INDEX('Inputs (2)'!$D$28:$AL$28,MATCH(AC$7,'Inputs (2)'!$D$2:$AL$2,0))</f>
        <v>20878</v>
      </c>
      <c r="AD172" s="25">
        <f>INDEX('Inputs (2)'!$D$28:$AL$28,MATCH(AD$7,'Inputs (2)'!$D$2:$AL$2,0))</f>
        <v>18609</v>
      </c>
      <c r="AE172" s="25">
        <f>INDEX('Inputs (2)'!$D$28:$AL$28,MATCH(AE$7,'Inputs (2)'!$D$2:$AL$2,0))</f>
        <v>19073</v>
      </c>
      <c r="AF172" s="25">
        <f>INDEX('Inputs (2)'!$D$28:$AL$28,MATCH(AF$7,'Inputs (2)'!$D$2:$AL$2,0))</f>
        <v>19280</v>
      </c>
      <c r="AG172" s="3">
        <f>AF172</f>
        <v>19280</v>
      </c>
      <c r="AH172" s="3">
        <f>INDEX('Inputs (2)'!$D$28:$AL$28,MATCH(AH$7,'Inputs (2)'!$D$2:$AL$2,0))</f>
        <v>23181</v>
      </c>
      <c r="AI172" s="3">
        <f>INDEX('Inputs (2)'!$D$28:$AL$28,MATCH(AI$7,'Inputs (2)'!$D$2:$AL$2,0))</f>
        <v>24419</v>
      </c>
      <c r="AJ172" s="3">
        <f>(AJ173/(AJ$5-AI$5))*-AJ28</f>
        <v>0</v>
      </c>
      <c r="AK172" s="3">
        <f>(AK173/(AK$5-AJ$5))*-AK28</f>
        <v>0</v>
      </c>
      <c r="AL172" s="3">
        <f>AK172</f>
        <v>0</v>
      </c>
      <c r="AM172" s="3">
        <f>(AM173/(AM$5-AL$5))*-AM28</f>
        <v>0</v>
      </c>
      <c r="AN172" s="3">
        <f>(AN173/(AN$5-AM$5))*-AN28</f>
        <v>0</v>
      </c>
      <c r="AO172" s="3">
        <f>(AO173/(AO$5-AN$5))*-AO28</f>
        <v>0</v>
      </c>
      <c r="AP172" s="3">
        <f>(AP173/(AP$5-AO$5))*-AP28</f>
        <v>0</v>
      </c>
      <c r="AQ172" s="3">
        <f>AP172</f>
        <v>0</v>
      </c>
      <c r="AR172" s="3">
        <f>(AR173/(AR$5-AQ$5))*-AR28</f>
        <v>0</v>
      </c>
      <c r="AS172" s="3">
        <f>(AS173/(AS$5-AR$5))*-AS28</f>
        <v>0</v>
      </c>
      <c r="AT172" s="3">
        <f>(AT173/(AT$5-AS$5))*-AT28</f>
        <v>0</v>
      </c>
      <c r="AU172" s="3">
        <f>(AU173/(AU$5-AT$5))*-AU28</f>
        <v>0</v>
      </c>
      <c r="AV172" s="3">
        <f>AU172</f>
        <v>0</v>
      </c>
      <c r="AW172" s="3">
        <f>(AW173/(AW$5-AV$5))*-AW28</f>
        <v>0</v>
      </c>
      <c r="AX172" s="3">
        <f>(AX173/(AX$5-AW$5))*-AX28</f>
        <v>0</v>
      </c>
      <c r="AY172" s="3">
        <f>(AY173/(AY$5-AX$5))*-AY28</f>
        <v>0</v>
      </c>
      <c r="AZ172" s="3">
        <f>(AZ173/(AZ$5-AY$5))*-AZ28</f>
        <v>0</v>
      </c>
      <c r="BA172" s="3">
        <f>AZ172</f>
        <v>0</v>
      </c>
      <c r="BB172" s="3">
        <f>(BB173/(BB$5-BA$5))*-BB28</f>
        <v>0</v>
      </c>
      <c r="BC172" s="3">
        <f>(BC173/(BC$5-BB$5))*-BC28</f>
        <v>0</v>
      </c>
      <c r="BD172" s="3">
        <f>(BD173/(BD$5-BC$5))*-BD28</f>
        <v>0</v>
      </c>
      <c r="BE172" s="3">
        <f>(BE173/(BE$5-BD$5))*-BE28</f>
        <v>0</v>
      </c>
      <c r="BF172" s="3">
        <f>BE172</f>
        <v>0</v>
      </c>
      <c r="BG172" s="3">
        <f>(BG173/(BG$5-BF$5))*-BG28</f>
        <v>0</v>
      </c>
      <c r="BH172" s="3">
        <f>(BH173/(BH$5-BG$5))*-BH28</f>
        <v>0</v>
      </c>
      <c r="BI172" s="3">
        <f>(BI173/(BI$5-BH$5))*-BI28</f>
        <v>0</v>
      </c>
      <c r="BJ172" s="3">
        <f>(BJ173/(BJ$5-BI$5))*-BJ28</f>
        <v>0</v>
      </c>
      <c r="BK172" s="3">
        <f>BJ172</f>
        <v>0</v>
      </c>
      <c r="BL172" s="3">
        <f>(BL173/(BL$5-BK$5))*-BL28</f>
        <v>0</v>
      </c>
      <c r="BM172" s="3">
        <f>(BM173/(BM$5-BL$5))*-BM28</f>
        <v>0</v>
      </c>
      <c r="BN172" s="3">
        <f>(BN173/(BN$5-BM$5))*-BN28</f>
        <v>0</v>
      </c>
      <c r="BO172" s="3">
        <f>(BO173/(BO$5-BN$5))*-BO28</f>
        <v>0</v>
      </c>
      <c r="BP172" s="3">
        <f>BO172</f>
        <v>0</v>
      </c>
      <c r="BQ172" s="3">
        <f>(BQ173/(BQ$5-BP$5))*-BQ28</f>
        <v>0</v>
      </c>
      <c r="BR172" s="3">
        <f>(BR173/(BR$5-BQ$5))*-BR28</f>
        <v>0</v>
      </c>
      <c r="BS172" s="3">
        <f>(BS173/(BS$5-BR$5))*-BS28</f>
        <v>0</v>
      </c>
      <c r="BT172" s="3">
        <f>(BT173/(BT$5-BS$5))*-BT28</f>
        <v>0</v>
      </c>
      <c r="BU172" s="3">
        <f>BT172</f>
        <v>0</v>
      </c>
      <c r="BV172" s="3">
        <f>(BV173/(BV$5-BU$5))*-BV28</f>
        <v>0</v>
      </c>
      <c r="BW172" s="3">
        <f>(BW173/(BW$5-BV$5))*-BW28</f>
        <v>0</v>
      </c>
      <c r="BX172" s="3">
        <f>(BX173/(BX$5-BW$5))*-BX28</f>
        <v>0</v>
      </c>
      <c r="BY172" s="3">
        <f>(BY173/(BY$5-BX$5))*-BY28</f>
        <v>0</v>
      </c>
      <c r="BZ172" s="3">
        <f>BY172</f>
        <v>0</v>
      </c>
      <c r="CA172" s="3">
        <f>(CA173/(CA$5-BZ$5))*-CA28</f>
        <v>0</v>
      </c>
      <c r="CB172" s="3">
        <f>(CB173/(CB$5-CA$5))*-CB28</f>
        <v>0</v>
      </c>
      <c r="CC172" s="3">
        <f>(CC173/(CC$5-CB$5))*-CC28</f>
        <v>0</v>
      </c>
      <c r="CD172" s="3">
        <f>(CD173/(CD$5-CC$5))*-CD28</f>
        <v>0</v>
      </c>
      <c r="CE172" s="3">
        <f>CD172</f>
        <v>0</v>
      </c>
      <c r="CF172" s="3">
        <f>(CF173/(CF$5-CE$5))*-CF28</f>
        <v>0</v>
      </c>
      <c r="CG172" s="3">
        <f>(CG173/(CG$5-CF$5))*-CG28</f>
        <v>0</v>
      </c>
      <c r="CH172" s="3">
        <f>(CH173/(CH$5-CG$5))*-CH28</f>
        <v>0</v>
      </c>
      <c r="CI172" s="3">
        <f>(CI173/(CI$5-CH$5))*-CI28</f>
        <v>0</v>
      </c>
      <c r="CJ172" s="3">
        <f>CI172</f>
        <v>0</v>
      </c>
      <c r="CK172" s="3">
        <f>(CK173/(CK$5-CJ$5))*-CK28</f>
        <v>0</v>
      </c>
      <c r="CL172" s="3">
        <f>(CL173/(CL$5-CK$5))*-CL28</f>
        <v>0</v>
      </c>
      <c r="CM172" s="3">
        <f>(CM173/(CM$5-CL$5))*-CM28</f>
        <v>0</v>
      </c>
      <c r="CN172" s="3">
        <f>(CN173/(CN$5-CM$5))*-CN28</f>
        <v>0</v>
      </c>
      <c r="CO172" s="3">
        <f>CN172</f>
        <v>0</v>
      </c>
      <c r="CP172" s="3">
        <f>(CP173/(CP$5-CO$5))*-CP28</f>
        <v>0</v>
      </c>
      <c r="CQ172" s="3">
        <f>(CQ173/(CQ$5-CP$5))*-CQ28</f>
        <v>0</v>
      </c>
      <c r="CR172" s="3">
        <f>(CR173/(CR$5-CQ$5))*-CR28</f>
        <v>0</v>
      </c>
      <c r="CS172" s="3">
        <f>(CS173/(CS$5-CR$5))*-CS28</f>
        <v>0</v>
      </c>
      <c r="CT172" s="3">
        <f>CS172</f>
        <v>0</v>
      </c>
      <c r="CU172" s="3">
        <f>(CU173/(CU$5-CT$5))*-CU28</f>
        <v>0</v>
      </c>
      <c r="CV172" s="3">
        <f>(CV173/(CV$5-CU$5))*-CV28</f>
        <v>0</v>
      </c>
      <c r="CW172" s="3">
        <f>(CW173/(CW$5-CV$5))*-CW28</f>
        <v>0</v>
      </c>
      <c r="CX172" s="3">
        <f>(CX173/(CX$5-CW$5))*-CX28</f>
        <v>0</v>
      </c>
      <c r="CY172" s="3">
        <f>CX172</f>
        <v>0</v>
      </c>
    </row>
    <row r="173" hidden="1" outlineLevel="1">
      <c r="C173" s="34" t="inlineStr">
        <is>
          <t>DPO</t>
        </is>
      </c>
      <c r="D173" s="3" t="n"/>
      <c r="E173" s="3">
        <f>-(E172/E$28)*(E$5-D$5)</f>
        <v>92.1844302554028</v>
      </c>
      <c r="F173" s="3">
        <f>-(F172/F$28)*(F$5-E$5)</f>
        <v>65.2441998810232</v>
      </c>
      <c r="G173" s="3">
        <f>-(G172/G$28)*(G$5-F$5)</f>
        <v>75.2521102562187</v>
      </c>
      <c r="H173" s="3" t="n"/>
      <c r="I173" s="3">
        <f>-(I172/I$28)*(I$5-H$5)</f>
        <v>65.8709016393443</v>
      </c>
      <c r="J173" s="3">
        <f>-(J172/J$28)*(J$5-I$5)</f>
        <v>64.9294197488972</v>
      </c>
      <c r="K173" s="3">
        <f>-(K172/K$28)*(K$5-J$5)</f>
        <v>59.0893681295628</v>
      </c>
      <c r="L173" s="3">
        <f>-(L172/L$28)*(L$5-K$5)</f>
        <v>55.3662265462127</v>
      </c>
      <c r="M173" s="3" t="n"/>
      <c r="N173" s="3">
        <f>-(N172/N$28)*(N$5-M$5)</f>
        <v>54.2435126156056</v>
      </c>
      <c r="O173" s="3">
        <f>-(O172/O$28)*(O$5-N$5)</f>
        <v>55.7085340674467</v>
      </c>
      <c r="P173" s="3">
        <f>-(P172/P$28)*(P$5-O$5)</f>
        <v>51.5162963536425</v>
      </c>
      <c r="Q173" s="3">
        <f>-(Q172/Q$28)*(Q$5-P$5)</f>
        <v>53.541909732883</v>
      </c>
      <c r="R173" s="3" t="n"/>
      <c r="S173" s="3">
        <f>-(S172/S$28)*(S$5-R$5)</f>
        <v>54.9114156493352</v>
      </c>
      <c r="T173" s="3">
        <f>-(T172/T$28)*(T$5-S$5)</f>
        <v>58.5735578250069</v>
      </c>
      <c r="U173" s="3">
        <f>-(U172/U$28)*(U$5-T$5)</f>
        <v>61.6093788666172</v>
      </c>
      <c r="V173" s="3">
        <f>-(V172/V$28)*(V$5-U$5)</f>
        <v>65.9801243108473</v>
      </c>
      <c r="W173" s="3" t="n"/>
      <c r="X173" s="3">
        <f>-(X172/X$28)*(X$5-W$5)</f>
        <v>69.7302548574313</v>
      </c>
      <c r="Y173" s="3">
        <f>-(Y172/Y$28)*(Y$5-X$5)</f>
        <v>61.9314154274792</v>
      </c>
      <c r="Z173" s="3">
        <f>-(Z172/Z$28)*(Z$5-Y$5)</f>
        <v>60.5387192118227</v>
      </c>
      <c r="AA173" s="3">
        <f>-(AA172/AA$28)*(AA$5-Z$5)</f>
        <v>67.3765423908717</v>
      </c>
      <c r="AB173" s="3" t="n"/>
      <c r="AC173" s="3">
        <f>-(AC172/AC$28)*(AC$5-AB$5)</f>
        <v>65.6770360013981</v>
      </c>
      <c r="AD173" s="3">
        <f>-(AD172/AD$28)*(AD$5-AC$5)</f>
        <v>63.0508228460794</v>
      </c>
      <c r="AE173" s="3">
        <f>-(AE172/AE$28)*(AE$5-AD$5)</f>
        <v>64.0454047740711</v>
      </c>
      <c r="AF173" s="6">
        <f>-(AF172/AF$28)*(AF$5-AE$5)</f>
        <v>69.9763294934512</v>
      </c>
      <c r="AG173" s="3" t="n"/>
      <c r="AH173" s="6">
        <f>-(AH172/AH$28)*(AH$5-AG$5)</f>
        <v>73.8117813550327</v>
      </c>
      <c r="AI173" s="6">
        <f>-(AI172/AI$28)*(AI$5-AH$5)</f>
        <v>60.702297374819</v>
      </c>
      <c r="AJ173" s="6" t="n"/>
      <c r="AK173" s="6" t="n"/>
      <c r="AL173" s="3" t="n"/>
      <c r="AM173" s="6" t="n"/>
      <c r="AN173" s="6" t="n"/>
      <c r="AO173" s="6" t="n"/>
      <c r="AP173" s="6" t="n"/>
      <c r="AQ173" s="3" t="n"/>
      <c r="AR173" s="6" t="n"/>
      <c r="AS173" s="6" t="n"/>
      <c r="AT173" s="6" t="n"/>
      <c r="AU173" s="6" t="n"/>
      <c r="AV173" s="3" t="n"/>
      <c r="AW173" s="6" t="n"/>
      <c r="AX173" s="6" t="n"/>
      <c r="AY173" s="6" t="n"/>
      <c r="AZ173" s="6" t="n"/>
      <c r="BA173" s="3" t="n"/>
      <c r="BB173" s="6" t="n"/>
      <c r="BC173" s="6" t="n"/>
      <c r="BD173" s="6" t="n"/>
      <c r="BE173" s="6" t="n"/>
      <c r="BF173" s="3" t="n"/>
      <c r="BG173" s="6" t="n"/>
      <c r="BH173" s="6" t="n"/>
      <c r="BI173" s="6" t="n"/>
      <c r="BJ173" s="6" t="n"/>
      <c r="BK173" s="3" t="n"/>
      <c r="BL173" s="6" t="n"/>
      <c r="BM173" s="6" t="n"/>
      <c r="BN173" s="6" t="n"/>
      <c r="BO173" s="6" t="n"/>
      <c r="BP173" s="3" t="n"/>
      <c r="BQ173" s="6" t="n"/>
      <c r="BR173" s="6" t="n"/>
      <c r="BS173" s="6" t="n"/>
      <c r="BT173" s="6" t="n"/>
      <c r="BU173" s="3" t="n"/>
      <c r="BV173" s="6" t="n"/>
      <c r="BW173" s="6" t="n"/>
      <c r="BX173" s="6" t="n"/>
      <c r="BY173" s="6" t="n"/>
      <c r="BZ173" s="3" t="n"/>
      <c r="CA173" s="6" t="n"/>
      <c r="CB173" s="6" t="n"/>
      <c r="CC173" s="6" t="n"/>
      <c r="CD173" s="6" t="n"/>
      <c r="CE173" s="3" t="n"/>
      <c r="CF173" s="6" t="n"/>
      <c r="CG173" s="6" t="n"/>
      <c r="CH173" s="6" t="n"/>
      <c r="CI173" s="6" t="n"/>
      <c r="CJ173" s="3" t="n"/>
      <c r="CK173" s="6" t="n"/>
      <c r="CL173" s="6" t="n"/>
      <c r="CM173" s="6" t="n"/>
      <c r="CN173" s="6" t="n"/>
      <c r="CO173" s="3" t="n"/>
      <c r="CP173" s="6" t="n"/>
      <c r="CQ173" s="6" t="n"/>
      <c r="CR173" s="6" t="n"/>
      <c r="CS173" s="6" t="n"/>
      <c r="CT173" s="3" t="n"/>
      <c r="CU173" s="6" t="n"/>
      <c r="CV173" s="6" t="n"/>
      <c r="CW173" s="6" t="n"/>
      <c r="CX173" s="6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Accrued expenses</t>
        </is>
      </c>
      <c r="D176" s="25">
        <f>INDEX('Inputs (2)'!$D$29:$AL$29,MATCH(D$7,'Inputs (2)'!$D$2:$AL$2,0))</f>
        <v>6263</v>
      </c>
      <c r="E176" s="25">
        <f>INDEX('Inputs (2)'!$D$29:$AL$29,MATCH(E$7,'Inputs (2)'!$D$2:$AL$2,0))</f>
        <v>7405</v>
      </c>
      <c r="F176" s="25">
        <f>INDEX('Inputs (2)'!$D$29:$AL$29,MATCH(F$7,'Inputs (2)'!$D$2:$AL$2,0))</f>
        <v>7944</v>
      </c>
      <c r="G176" s="25">
        <f>INDEX('Inputs (2)'!$D$29:$AL$29,MATCH(G$7,'Inputs (2)'!$D$2:$AL$2,0))</f>
        <v>7812</v>
      </c>
      <c r="H176" s="3">
        <f>G176</f>
        <v>7812</v>
      </c>
      <c r="I176" s="25">
        <f>INDEX('Inputs (2)'!$D$29:$AL$29,MATCH(I$7,'Inputs (2)'!$D$2:$AL$2,0))</f>
        <v>7557</v>
      </c>
      <c r="J176" s="25">
        <f>INDEX('Inputs (2)'!$D$29:$AL$29,MATCH(J$7,'Inputs (2)'!$D$2:$AL$2,0))</f>
        <v>7680</v>
      </c>
      <c r="K176" s="25">
        <f>INDEX('Inputs (2)'!$D$29:$AL$29,MATCH(K$7,'Inputs (2)'!$D$2:$AL$2,0))</f>
        <v>6938</v>
      </c>
      <c r="L176" s="25">
        <f>INDEX('Inputs (2)'!$D$29:$AL$29,MATCH(L$7,'Inputs (2)'!$D$2:$AL$2,0))</f>
        <v>6972</v>
      </c>
      <c r="M176" s="3">
        <f>L176</f>
        <v>6972</v>
      </c>
      <c r="N176" s="25">
        <f>INDEX('Inputs (2)'!$D$29:$AL$29,MATCH(N$7,'Inputs (2)'!$D$2:$AL$2,0))</f>
        <v>6974</v>
      </c>
      <c r="O176" s="25">
        <f>INDEX('Inputs (2)'!$D$29:$AL$29,MATCH(O$7,'Inputs (2)'!$D$2:$AL$2,0))</f>
        <v>6710</v>
      </c>
      <c r="P176" s="25">
        <f>INDEX('Inputs (2)'!$D$29:$AL$29,MATCH(P$7,'Inputs (2)'!$D$2:$AL$2,0))</f>
        <v>7181</v>
      </c>
      <c r="Q176" s="25">
        <f>INDEX('Inputs (2)'!$D$29:$AL$29,MATCH(Q$7,'Inputs (2)'!$D$2:$AL$2,0))</f>
        <v>7486</v>
      </c>
      <c r="R176" s="3">
        <f>Q176</f>
        <v>7486</v>
      </c>
      <c r="S176" s="25">
        <f>INDEX('Inputs (2)'!$D$29:$AL$29,MATCH(S$7,'Inputs (2)'!$D$2:$AL$2,0))</f>
        <v>6658</v>
      </c>
      <c r="T176" s="25">
        <f>INDEX('Inputs (2)'!$D$29:$AL$29,MATCH(T$7,'Inputs (2)'!$D$2:$AL$2,0))</f>
        <v>7262</v>
      </c>
      <c r="U176" s="25">
        <f>INDEX('Inputs (2)'!$D$29:$AL$29,MATCH(U$7,'Inputs (2)'!$D$2:$AL$2,0))</f>
        <v>7618</v>
      </c>
      <c r="V176" s="25">
        <f>INDEX('Inputs (2)'!$D$29:$AL$29,MATCH(V$7,'Inputs (2)'!$D$2:$AL$2,0))</f>
        <v>7655</v>
      </c>
      <c r="W176" s="3">
        <f>V176</f>
        <v>7655</v>
      </c>
      <c r="X176" s="25">
        <f>INDEX('Inputs (2)'!$D$29:$AL$29,MATCH(X$7,'Inputs (2)'!$D$2:$AL$2,0))</f>
        <v>7777</v>
      </c>
      <c r="Y176" s="25">
        <f>INDEX('Inputs (2)'!$D$29:$AL$29,MATCH(Y$7,'Inputs (2)'!$D$2:$AL$2,0))</f>
        <v>9054</v>
      </c>
      <c r="Z176" s="25">
        <f>INDEX('Inputs (2)'!$D$29:$AL$29,MATCH(Z$7,'Inputs (2)'!$D$2:$AL$2,0))</f>
        <v>8313</v>
      </c>
      <c r="AA176" s="25">
        <f>INDEX('Inputs (2)'!$D$29:$AL$29,MATCH(AA$7,'Inputs (2)'!$D$2:$AL$2,0))</f>
        <v>8486</v>
      </c>
      <c r="AB176" s="3">
        <f>AA176</f>
        <v>8486</v>
      </c>
      <c r="AC176" s="25">
        <f>INDEX('Inputs (2)'!$D$29:$AL$29,MATCH(AC$7,'Inputs (2)'!$D$2:$AL$2,0))</f>
        <v>8374</v>
      </c>
      <c r="AD176" s="25">
        <f>INDEX('Inputs (2)'!$D$29:$AL$29,MATCH(AD$7,'Inputs (2)'!$D$2:$AL$2,0))</f>
        <v>8117</v>
      </c>
      <c r="AE176" s="25">
        <f>INDEX('Inputs (2)'!$D$29:$AL$29,MATCH(AE$7,'Inputs (2)'!$D$2:$AL$2,0))</f>
        <v>10541</v>
      </c>
      <c r="AF176" s="25">
        <f>INDEX('Inputs (2)'!$D$29:$AL$29,MATCH(AF$7,'Inputs (2)'!$D$2:$AL$2,0))</f>
        <v>10763</v>
      </c>
      <c r="AG176" s="3">
        <f>AF176</f>
        <v>10763</v>
      </c>
      <c r="AH176" s="3">
        <f>INDEX('Inputs (2)'!$D$29:$AL$29,MATCH(AH$7,'Inputs (2)'!$D$2:$AL$2,0))</f>
        <v>10349</v>
      </c>
      <c r="AI176" s="3">
        <f>INDEX('Inputs (2)'!$D$29:$AL$29,MATCH(AI$7,'Inputs (2)'!$D$2:$AL$2,0))</f>
        <v>10840</v>
      </c>
      <c r="AJ176" s="3">
        <f>AH176*AJ32/AH32</f>
        <v>0</v>
      </c>
      <c r="AK176" s="3">
        <f>AI176*AK32/AI32</f>
        <v>0</v>
      </c>
      <c r="AL176" s="3">
        <f>AK176</f>
        <v>0</v>
      </c>
      <c r="AM176" s="3" t="e">
        <f>AK176*AM32/AK32</f>
        <v>#DIV/0!</v>
      </c>
      <c r="AN176" s="3">
        <f>AL176*AN32/AL32</f>
        <v>0</v>
      </c>
      <c r="AO176" s="3" t="e">
        <f>AM176*AO32/AM32</f>
        <v>#DIV/0!</v>
      </c>
      <c r="AP176" s="3" t="e">
        <f>AN176*AP32/AN32</f>
        <v>#DIV/0!</v>
      </c>
      <c r="AQ176" s="3" t="e">
        <f>AP176</f>
        <v>#DIV/0!</v>
      </c>
      <c r="AR176" s="3" t="e">
        <f>AP176*AR32/AP32</f>
        <v>#DIV/0!</v>
      </c>
      <c r="AS176" s="3" t="e">
        <f>AQ176*AS32/AQ32</f>
        <v>#DIV/0!</v>
      </c>
      <c r="AT176" s="3" t="e">
        <f>AR176*AT32/AR32</f>
        <v>#DIV/0!</v>
      </c>
      <c r="AU176" s="3" t="e">
        <f>AS176*AU32/AS32</f>
        <v>#DIV/0!</v>
      </c>
      <c r="AV176" s="3" t="e">
        <f>AU176</f>
        <v>#DIV/0!</v>
      </c>
      <c r="AW176" s="3" t="e">
        <f>AU176*AW32/AU32</f>
        <v>#DIV/0!</v>
      </c>
      <c r="AX176" s="3" t="e">
        <f>AV176*AX32/AV32</f>
        <v>#DIV/0!</v>
      </c>
      <c r="AY176" s="3" t="e">
        <f>AW176*AY32/AW32</f>
        <v>#DIV/0!</v>
      </c>
      <c r="AZ176" s="3" t="e">
        <f>AX176*AZ32/AX32</f>
        <v>#DIV/0!</v>
      </c>
      <c r="BA176" s="3" t="e">
        <f>AZ176</f>
        <v>#DIV/0!</v>
      </c>
      <c r="BB176" s="3" t="e">
        <f>AZ176*BB32/AZ32</f>
        <v>#DIV/0!</v>
      </c>
      <c r="BC176" s="3" t="e">
        <f>BA176*BC32/BA32</f>
        <v>#DIV/0!</v>
      </c>
      <c r="BD176" s="3" t="e">
        <f>BB176*BD32/BB32</f>
        <v>#DIV/0!</v>
      </c>
      <c r="BE176" s="3" t="e">
        <f>BC176*BE32/BC32</f>
        <v>#DIV/0!</v>
      </c>
      <c r="BF176" s="3" t="e">
        <f>BE176</f>
        <v>#DIV/0!</v>
      </c>
      <c r="BG176" s="3" t="e">
        <f>BE176*BG32/BE32</f>
        <v>#DIV/0!</v>
      </c>
      <c r="BH176" s="3" t="e">
        <f>BF176*BH32/BF32</f>
        <v>#DIV/0!</v>
      </c>
      <c r="BI176" s="3" t="e">
        <f>BG176*BI32/BG32</f>
        <v>#DIV/0!</v>
      </c>
      <c r="BJ176" s="3" t="e">
        <f>BH176*BJ32/BH32</f>
        <v>#DIV/0!</v>
      </c>
      <c r="BK176" s="3" t="e">
        <f>BJ176</f>
        <v>#DIV/0!</v>
      </c>
      <c r="BL176" s="3" t="e">
        <f>BJ176*BL32/BJ32</f>
        <v>#DIV/0!</v>
      </c>
      <c r="BM176" s="3" t="e">
        <f>BK176*BM32/BK32</f>
        <v>#DIV/0!</v>
      </c>
      <c r="BN176" s="3" t="e">
        <f>BL176*BN32/BL32</f>
        <v>#DIV/0!</v>
      </c>
      <c r="BO176" s="3" t="e">
        <f>BM176*BO32/BM32</f>
        <v>#DIV/0!</v>
      </c>
      <c r="BP176" s="3" t="e">
        <f>BO176</f>
        <v>#DIV/0!</v>
      </c>
      <c r="BQ176" s="3" t="e">
        <f>BO176*BQ32/BO32</f>
        <v>#DIV/0!</v>
      </c>
      <c r="BR176" s="3" t="e">
        <f>BP176*BR32/BP32</f>
        <v>#DIV/0!</v>
      </c>
      <c r="BS176" s="3" t="e">
        <f>BQ176*BS32/BQ32</f>
        <v>#DIV/0!</v>
      </c>
      <c r="BT176" s="3" t="e">
        <f>BR176*BT32/BR32</f>
        <v>#DIV/0!</v>
      </c>
      <c r="BU176" s="3" t="e">
        <f>BT176</f>
        <v>#DIV/0!</v>
      </c>
      <c r="BV176" s="3" t="e">
        <f>BT176*BV32/BT32</f>
        <v>#DIV/0!</v>
      </c>
      <c r="BW176" s="3" t="e">
        <f>BU176*BW32/BU32</f>
        <v>#DIV/0!</v>
      </c>
      <c r="BX176" s="3" t="e">
        <f>BV176*BX32/BV32</f>
        <v>#DIV/0!</v>
      </c>
      <c r="BY176" s="3" t="e">
        <f>BW176*BY32/BW32</f>
        <v>#DIV/0!</v>
      </c>
      <c r="BZ176" s="3" t="e">
        <f>BY176</f>
        <v>#DIV/0!</v>
      </c>
      <c r="CA176" s="3" t="e">
        <f>BY176*CA32/BY32</f>
        <v>#DIV/0!</v>
      </c>
      <c r="CB176" s="3" t="e">
        <f>BZ176*CB32/BZ32</f>
        <v>#DIV/0!</v>
      </c>
      <c r="CC176" s="3" t="e">
        <f>CA176*CC32/CA32</f>
        <v>#DIV/0!</v>
      </c>
      <c r="CD176" s="3" t="e">
        <f>CB176*CD32/CB32</f>
        <v>#DIV/0!</v>
      </c>
      <c r="CE176" s="3" t="e">
        <f>CD176</f>
        <v>#DIV/0!</v>
      </c>
      <c r="CF176" s="3" t="e">
        <f>CD176*CF32/CD32</f>
        <v>#DIV/0!</v>
      </c>
      <c r="CG176" s="3" t="e">
        <f>CE176*CG32/CE32</f>
        <v>#DIV/0!</v>
      </c>
      <c r="CH176" s="3" t="e">
        <f>CF176*CH32/CF32</f>
        <v>#DIV/0!</v>
      </c>
      <c r="CI176" s="3" t="e">
        <f>CG176*CI32/CG32</f>
        <v>#DIV/0!</v>
      </c>
      <c r="CJ176" s="3" t="e">
        <f>CI176</f>
        <v>#DIV/0!</v>
      </c>
      <c r="CK176" s="3" t="e">
        <f>CI176*CK32/CI32</f>
        <v>#DIV/0!</v>
      </c>
      <c r="CL176" s="3" t="e">
        <f>CJ176*CL32/CJ32</f>
        <v>#DIV/0!</v>
      </c>
      <c r="CM176" s="3" t="e">
        <f>CK176*CM32/CK32</f>
        <v>#DIV/0!</v>
      </c>
      <c r="CN176" s="3" t="e">
        <f>CL176*CN32/CL32</f>
        <v>#DIV/0!</v>
      </c>
      <c r="CO176" s="3" t="e">
        <f>CN176</f>
        <v>#DIV/0!</v>
      </c>
      <c r="CP176" s="3" t="e">
        <f>CN176*CP32/CN32</f>
        <v>#DIV/0!</v>
      </c>
      <c r="CQ176" s="3" t="e">
        <f>CO176*CQ32/CO32</f>
        <v>#DIV/0!</v>
      </c>
      <c r="CR176" s="3" t="e">
        <f>CP176*CR32/CP32</f>
        <v>#DIV/0!</v>
      </c>
      <c r="CS176" s="3" t="e">
        <f>CQ176*CS32/CQ32</f>
        <v>#DIV/0!</v>
      </c>
      <c r="CT176" s="3" t="e">
        <f>CS176</f>
        <v>#DIV/0!</v>
      </c>
      <c r="CU176" s="3" t="e">
        <f>CS176*CU32/CS32</f>
        <v>#DIV/0!</v>
      </c>
      <c r="CV176" s="3" t="e">
        <f>CT176*CV32/CT32</f>
        <v>#DIV/0!</v>
      </c>
      <c r="CW176" s="3" t="e">
        <f>CU176*CW32/CU32</f>
        <v>#DIV/0!</v>
      </c>
      <c r="CX176" s="3" t="e">
        <f>CV176*CX32/CV32</f>
        <v>#DIV/0!</v>
      </c>
      <c r="CY176" s="3" t="e">
        <f>CX176</f>
        <v>#DIV/0!</v>
      </c>
    </row>
    <row r="177" hidden="1" outlineLevel="1">
      <c r="C177" s="38" t="inlineStr">
        <is>
          <t>%(Var.)</t>
        </is>
      </c>
      <c r="D177" s="3" t="n"/>
      <c r="E177" s="47">
        <f>(E176-D176)/D176</f>
        <v>0.18234073127894</v>
      </c>
      <c r="F177" s="47">
        <f>(F176-E176)/E176</f>
        <v>0.0727886563133018</v>
      </c>
      <c r="G177" s="47">
        <f>(G176-F176)/F176</f>
        <v>-0.0166163141993958</v>
      </c>
      <c r="H177" s="3" t="n"/>
      <c r="I177" s="47">
        <f>(I176-H176)/H176</f>
        <v>-0.032642089093702</v>
      </c>
      <c r="J177" s="47">
        <f>(J176-I176)/I176</f>
        <v>0.0162763001190949</v>
      </c>
      <c r="K177" s="47">
        <f>(K176-J176)/J176</f>
        <v>-0.0966145833333333</v>
      </c>
      <c r="L177" s="47">
        <f>(L176-K176)/K176</f>
        <v>0.00490054770827328</v>
      </c>
      <c r="M177" s="3" t="n"/>
      <c r="N177" s="47">
        <f>(N176-M176)/M176</f>
        <v>0.000286861732644865</v>
      </c>
      <c r="O177" s="47">
        <f>(O176-N176)/N176</f>
        <v>-0.0378548895899054</v>
      </c>
      <c r="P177" s="47">
        <f>(P176-O176)/O176</f>
        <v>0.070193740685544</v>
      </c>
      <c r="Q177" s="47">
        <f>(Q176-P176)/P176</f>
        <v>0.0424731931485865</v>
      </c>
      <c r="R177" s="3" t="n"/>
      <c r="S177" s="47">
        <f>(S176-R176)/R176</f>
        <v>-0.110606465402084</v>
      </c>
      <c r="T177" s="47">
        <f>(T176-S176)/S176</f>
        <v>0.0907179333133073</v>
      </c>
      <c r="U177" s="47">
        <f>(U176-T176)/T176</f>
        <v>0.0490223079041586</v>
      </c>
      <c r="V177" s="47">
        <f>(V176-U176)/U176</f>
        <v>0.0048569178262011</v>
      </c>
      <c r="W177" s="3" t="n"/>
      <c r="X177" s="47">
        <f>(X176-W176)/W176</f>
        <v>0.0159372958850425</v>
      </c>
      <c r="Y177" s="47">
        <f>(Y176-X176)/X176</f>
        <v>0.164202134499164</v>
      </c>
      <c r="Z177" s="47">
        <f>(Z176-Y176)/Y176</f>
        <v>-0.0818422796554009</v>
      </c>
      <c r="AA177" s="47">
        <f>(AA176-Z176)/Z176</f>
        <v>0.0208107782990497</v>
      </c>
      <c r="AB177" s="3" t="n"/>
      <c r="AC177" s="47">
        <f>(AC176-AB176)/AB176</f>
        <v>-0.013198208814518</v>
      </c>
      <c r="AD177" s="47">
        <f>(AD176-AC176)/AC176</f>
        <v>-0.0306902316694531</v>
      </c>
      <c r="AE177" s="47">
        <f>(AE176-AD176)/AD176</f>
        <v>0.298632499692004</v>
      </c>
      <c r="AF177" s="218">
        <f>(AF176-AE176)/AE176</f>
        <v>0.0210606204344939</v>
      </c>
      <c r="AG177" s="3" t="n"/>
      <c r="AH177" s="218">
        <f>(AH176-AG176)/AG176</f>
        <v>-0.0384651119576326</v>
      </c>
      <c r="AI177" s="218">
        <f>(AI176-AH176)/AH176</f>
        <v>0.0474441975070055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collapsed="1">
      <c r="C178" s="26" t="inlineStr">
        <is>
          <t>Taxes payable</t>
        </is>
      </c>
      <c r="D178" s="25">
        <f>INDEX('Inputs (2)'!$D$30:$AL$30,MATCH(D$7,'Inputs (2)'!$D$2:$AL$2,0))</f>
        <v>1534</v>
      </c>
      <c r="E178" s="25">
        <f>INDEX('Inputs (2)'!$D$30:$AL$30,MATCH(E$7,'Inputs (2)'!$D$2:$AL$2,0))</f>
        <v>628</v>
      </c>
      <c r="F178" s="25">
        <f>INDEX('Inputs (2)'!$D$30:$AL$30,MATCH(F$7,'Inputs (2)'!$D$2:$AL$2,0))</f>
        <v>788</v>
      </c>
      <c r="G178" s="25">
        <f>INDEX('Inputs (2)'!$D$30:$AL$30,MATCH(G$7,'Inputs (2)'!$D$2:$AL$2,0))</f>
        <v>921</v>
      </c>
      <c r="H178" s="3">
        <f>G178</f>
        <v>921</v>
      </c>
      <c r="I178" s="25">
        <f>INDEX('Inputs (2)'!$D$30:$AL$30,MATCH(I$7,'Inputs (2)'!$D$2:$AL$2,0))</f>
        <v>1315</v>
      </c>
      <c r="J178" s="25">
        <f>INDEX('Inputs (2)'!$D$30:$AL$30,MATCH(J$7,'Inputs (2)'!$D$2:$AL$2,0))</f>
        <v>1212</v>
      </c>
      <c r="K178" s="25">
        <f>INDEX('Inputs (2)'!$D$30:$AL$30,MATCH(K$7,'Inputs (2)'!$D$2:$AL$2,0))</f>
        <v>1467</v>
      </c>
      <c r="L178" s="25">
        <f>INDEX('Inputs (2)'!$D$30:$AL$30,MATCH(L$7,'Inputs (2)'!$D$2:$AL$2,0))</f>
        <v>1700</v>
      </c>
      <c r="M178" s="3">
        <f>L178</f>
        <v>1700</v>
      </c>
      <c r="N178" s="25">
        <f>INDEX('Inputs (2)'!$D$30:$AL$30,MATCH(N$7,'Inputs (2)'!$D$2:$AL$2,0))</f>
        <v>2573</v>
      </c>
      <c r="O178" s="25">
        <f>INDEX('Inputs (2)'!$D$30:$AL$30,MATCH(O$7,'Inputs (2)'!$D$2:$AL$2,0))</f>
        <v>2922</v>
      </c>
      <c r="P178" s="25">
        <f>INDEX('Inputs (2)'!$D$30:$AL$30,MATCH(P$7,'Inputs (2)'!$D$2:$AL$2,0))</f>
        <v>4020</v>
      </c>
      <c r="Q178" s="25">
        <f>INDEX('Inputs (2)'!$D$30:$AL$30,MATCH(Q$7,'Inputs (2)'!$D$2:$AL$2,0))</f>
        <v>4381</v>
      </c>
      <c r="R178" s="3">
        <f>Q178</f>
        <v>4381</v>
      </c>
      <c r="S178" s="25">
        <f>INDEX('Inputs (2)'!$D$30:$AL$30,MATCH(S$7,'Inputs (2)'!$D$2:$AL$2,0))</f>
        <v>4883</v>
      </c>
      <c r="T178" s="25">
        <f>INDEX('Inputs (2)'!$D$30:$AL$30,MATCH(T$7,'Inputs (2)'!$D$2:$AL$2,0))</f>
        <v>1548</v>
      </c>
      <c r="U178" s="25">
        <f>INDEX('Inputs (2)'!$D$30:$AL$30,MATCH(U$7,'Inputs (2)'!$D$2:$AL$2,0))</f>
        <v>1927</v>
      </c>
      <c r="V178" s="25">
        <f>INDEX('Inputs (2)'!$D$30:$AL$30,MATCH(V$7,'Inputs (2)'!$D$2:$AL$2,0))</f>
        <v>1863</v>
      </c>
      <c r="W178" s="3">
        <f>V178</f>
        <v>1863</v>
      </c>
      <c r="X178" s="25">
        <f>INDEX('Inputs (2)'!$D$30:$AL$30,MATCH(X$7,'Inputs (2)'!$D$2:$AL$2,0))</f>
        <v>2001</v>
      </c>
      <c r="Y178" s="25">
        <f>INDEX('Inputs (2)'!$D$30:$AL$30,MATCH(Y$7,'Inputs (2)'!$D$2:$AL$2,0))</f>
        <v>893</v>
      </c>
      <c r="Z178" s="25">
        <f>INDEX('Inputs (2)'!$D$30:$AL$30,MATCH(Z$7,'Inputs (2)'!$D$2:$AL$2,0))</f>
        <v>702</v>
      </c>
      <c r="AA178" s="25">
        <f>INDEX('Inputs (2)'!$D$30:$AL$30,MATCH(AA$7,'Inputs (2)'!$D$2:$AL$2,0))</f>
        <v>1872</v>
      </c>
      <c r="AB178" s="3">
        <f>AA178</f>
        <v>1872</v>
      </c>
      <c r="AC178" s="25">
        <f>INDEX('Inputs (2)'!$D$30:$AL$30,MATCH(AC$7,'Inputs (2)'!$D$2:$AL$2,0))</f>
        <v>842</v>
      </c>
      <c r="AD178" s="25">
        <f>INDEX('Inputs (2)'!$D$30:$AL$30,MATCH(AD$7,'Inputs (2)'!$D$2:$AL$2,0))</f>
        <v>659</v>
      </c>
      <c r="AE178" s="25">
        <f>INDEX('Inputs (2)'!$D$30:$AL$30,MATCH(AE$7,'Inputs (2)'!$D$2:$AL$2,0))</f>
        <v>914</v>
      </c>
      <c r="AF178" s="25">
        <f>INDEX('Inputs (2)'!$D$30:$AL$30,MATCH(AF$7,'Inputs (2)'!$D$2:$AL$2,0))</f>
        <v>844</v>
      </c>
      <c r="AG178" s="3">
        <f>AF178</f>
        <v>844</v>
      </c>
      <c r="AH178" s="3">
        <f>INDEX('Inputs (2)'!$D$30:$AL$30,MATCH(AH$7,'Inputs (2)'!$D$2:$AL$2,0))</f>
        <v>1312</v>
      </c>
      <c r="AI178" s="3">
        <f>INDEX('Inputs (2)'!$D$30:$AL$30,MATCH(AI$7,'Inputs (2)'!$D$2:$AL$2,0))</f>
        <v>2204</v>
      </c>
      <c r="AJ178" s="3">
        <f>AH178*AJ105/AH105</f>
        <v>0</v>
      </c>
      <c r="AK178" s="3">
        <f>AI178*AK105/AI105</f>
        <v>0</v>
      </c>
      <c r="AL178" s="3">
        <f>AK178</f>
        <v>0</v>
      </c>
      <c r="AM178" s="3" t="e">
        <f>AK178*AM105/AK105</f>
        <v>#DIV/0!</v>
      </c>
      <c r="AN178" s="3">
        <f>AL178*AN105/AL105</f>
        <v>0</v>
      </c>
      <c r="AO178" s="3" t="e">
        <f>AM178*AO105/AM105</f>
        <v>#DIV/0!</v>
      </c>
      <c r="AP178" s="3" t="e">
        <f>AN178*AP105/AN105</f>
        <v>#DIV/0!</v>
      </c>
      <c r="AQ178" s="3" t="e">
        <f>AP178</f>
        <v>#DIV/0!</v>
      </c>
      <c r="AR178" s="3" t="e">
        <f>AP178*AR105/AP105</f>
        <v>#DIV/0!</v>
      </c>
      <c r="AS178" s="3" t="e">
        <f>AQ178*AS105/AQ105</f>
        <v>#DIV/0!</v>
      </c>
      <c r="AT178" s="3" t="e">
        <f>AR178*AT105/AR105</f>
        <v>#DIV/0!</v>
      </c>
      <c r="AU178" s="3" t="e">
        <f>AS178*AU105/AS105</f>
        <v>#DIV/0!</v>
      </c>
      <c r="AV178" s="3" t="e">
        <f>AU178</f>
        <v>#DIV/0!</v>
      </c>
      <c r="AW178" s="3" t="e">
        <f>AU178*AW105/AU105</f>
        <v>#DIV/0!</v>
      </c>
      <c r="AX178" s="3" t="e">
        <f>AV178*AX105/AV105</f>
        <v>#DIV/0!</v>
      </c>
      <c r="AY178" s="3" t="e">
        <f>AW178*AY105/AW105</f>
        <v>#DIV/0!</v>
      </c>
      <c r="AZ178" s="3" t="e">
        <f>AX178*AZ105/AX105</f>
        <v>#DIV/0!</v>
      </c>
      <c r="BA178" s="3" t="e">
        <f>AZ178</f>
        <v>#DIV/0!</v>
      </c>
      <c r="BB178" s="3" t="e">
        <f>AZ178*BB105/AZ105</f>
        <v>#DIV/0!</v>
      </c>
      <c r="BC178" s="3" t="e">
        <f>BA178*BC105/BA105</f>
        <v>#DIV/0!</v>
      </c>
      <c r="BD178" s="3" t="e">
        <f>BB178*BD105/BB105</f>
        <v>#DIV/0!</v>
      </c>
      <c r="BE178" s="3" t="e">
        <f>BC178*BE105/BC105</f>
        <v>#DIV/0!</v>
      </c>
      <c r="BF178" s="3" t="e">
        <f>BE178</f>
        <v>#DIV/0!</v>
      </c>
      <c r="BG178" s="3" t="e">
        <f>BE178*BG105/BE105</f>
        <v>#DIV/0!</v>
      </c>
      <c r="BH178" s="3" t="e">
        <f>BF178*BH105/BF105</f>
        <v>#DIV/0!</v>
      </c>
      <c r="BI178" s="3" t="e">
        <f>BG178*BI105/BG105</f>
        <v>#DIV/0!</v>
      </c>
      <c r="BJ178" s="3" t="e">
        <f>BH178*BJ105/BH105</f>
        <v>#DIV/0!</v>
      </c>
      <c r="BK178" s="3" t="e">
        <f>BJ178</f>
        <v>#DIV/0!</v>
      </c>
      <c r="BL178" s="3" t="e">
        <f>BJ178*BL105/BJ105</f>
        <v>#DIV/0!</v>
      </c>
      <c r="BM178" s="3" t="e">
        <f>BK178*BM105/BK105</f>
        <v>#DIV/0!</v>
      </c>
      <c r="BN178" s="3" t="e">
        <f>BL178*BN105/BL105</f>
        <v>#DIV/0!</v>
      </c>
      <c r="BO178" s="3" t="e">
        <f>BM178*BO105/BM105</f>
        <v>#DIV/0!</v>
      </c>
      <c r="BP178" s="3" t="e">
        <f>BO178</f>
        <v>#DIV/0!</v>
      </c>
      <c r="BQ178" s="3" t="e">
        <f>BO178*BQ105/BO105</f>
        <v>#DIV/0!</v>
      </c>
      <c r="BR178" s="3" t="e">
        <f>BP178*BR105/BP105</f>
        <v>#DIV/0!</v>
      </c>
      <c r="BS178" s="3" t="e">
        <f>BQ178*BS105/BQ105</f>
        <v>#DIV/0!</v>
      </c>
      <c r="BT178" s="3" t="e">
        <f>BR178*BT105/BR105</f>
        <v>#DIV/0!</v>
      </c>
      <c r="BU178" s="3" t="e">
        <f>BT178</f>
        <v>#DIV/0!</v>
      </c>
      <c r="BV178" s="3" t="e">
        <f>BT178*BV105/BT105</f>
        <v>#DIV/0!</v>
      </c>
      <c r="BW178" s="3" t="e">
        <f>BU178*BW105/BU105</f>
        <v>#DIV/0!</v>
      </c>
      <c r="BX178" s="3" t="e">
        <f>BV178*BX105/BV105</f>
        <v>#DIV/0!</v>
      </c>
      <c r="BY178" s="3" t="e">
        <f>BW178*BY105/BW105</f>
        <v>#DIV/0!</v>
      </c>
      <c r="BZ178" s="3" t="e">
        <f>BY178</f>
        <v>#DIV/0!</v>
      </c>
      <c r="CA178" s="3" t="e">
        <f>BY178*CA105/BY105</f>
        <v>#DIV/0!</v>
      </c>
      <c r="CB178" s="3" t="e">
        <f>BZ178*CB105/BZ105</f>
        <v>#DIV/0!</v>
      </c>
      <c r="CC178" s="3" t="e">
        <f>CA178*CC105/CA105</f>
        <v>#DIV/0!</v>
      </c>
      <c r="CD178" s="3" t="e">
        <f>CB178*CD105/CB105</f>
        <v>#DIV/0!</v>
      </c>
      <c r="CE178" s="3" t="e">
        <f>CD178</f>
        <v>#DIV/0!</v>
      </c>
      <c r="CF178" s="3" t="e">
        <f>CD178*CF105/CD105</f>
        <v>#DIV/0!</v>
      </c>
      <c r="CG178" s="3" t="e">
        <f>CE178*CG105/CE105</f>
        <v>#DIV/0!</v>
      </c>
      <c r="CH178" s="3" t="e">
        <f>CF178*CH105/CF105</f>
        <v>#DIV/0!</v>
      </c>
      <c r="CI178" s="3" t="e">
        <f>CG178*CI105/CG105</f>
        <v>#DIV/0!</v>
      </c>
      <c r="CJ178" s="3" t="e">
        <f>CI178</f>
        <v>#DIV/0!</v>
      </c>
      <c r="CK178" s="3" t="e">
        <f>CI178*CK105/CI105</f>
        <v>#DIV/0!</v>
      </c>
      <c r="CL178" s="3" t="e">
        <f>CJ178*CL105/CJ105</f>
        <v>#DIV/0!</v>
      </c>
      <c r="CM178" s="3" t="e">
        <f>CK178*CM105/CK105</f>
        <v>#DIV/0!</v>
      </c>
      <c r="CN178" s="3" t="e">
        <f>CL178*CN105/CL105</f>
        <v>#DIV/0!</v>
      </c>
      <c r="CO178" s="3" t="e">
        <f>CN178</f>
        <v>#DIV/0!</v>
      </c>
      <c r="CP178" s="3" t="e">
        <f>CN178*CP105/CN105</f>
        <v>#DIV/0!</v>
      </c>
      <c r="CQ178" s="3" t="e">
        <f>CO178*CQ105/CO105</f>
        <v>#DIV/0!</v>
      </c>
      <c r="CR178" s="3" t="e">
        <f>CP178*CR105/CP105</f>
        <v>#DIV/0!</v>
      </c>
      <c r="CS178" s="3" t="e">
        <f>CQ178*CS105/CQ105</f>
        <v>#DIV/0!</v>
      </c>
      <c r="CT178" s="3" t="e">
        <f>CS178</f>
        <v>#DIV/0!</v>
      </c>
      <c r="CU178" s="3" t="e">
        <f>CS178*CU105/CS105</f>
        <v>#DIV/0!</v>
      </c>
      <c r="CV178" s="3" t="e">
        <f>CT178*CV105/CT105</f>
        <v>#DIV/0!</v>
      </c>
      <c r="CW178" s="3" t="e">
        <f>CU178*CW105/CU105</f>
        <v>#DIV/0!</v>
      </c>
      <c r="CX178" s="3" t="e">
        <f>CV178*CX105/CV105</f>
        <v>#DIV/0!</v>
      </c>
      <c r="CY178" s="3" t="e">
        <f>CX178</f>
        <v>#DIV/0!</v>
      </c>
    </row>
    <row r="179">
      <c r="C179" s="26" t="inlineStr">
        <is>
          <t>Other current liabilities (non-debt)</t>
        </is>
      </c>
      <c r="D179" s="25">
        <f>INDEX('Inputs (2)'!$D$31:$AL$31,MATCH(D$7,'Inputs (2)'!$D$2:$AL$2,0))</f>
        <v>744</v>
      </c>
      <c r="E179" s="25">
        <f>INDEX('Inputs (2)'!$D$31:$AL$31,MATCH(E$7,'Inputs (2)'!$D$2:$AL$2,0))</f>
        <v>791</v>
      </c>
      <c r="F179" s="25">
        <f>INDEX('Inputs (2)'!$D$31:$AL$31,MATCH(F$7,'Inputs (2)'!$D$2:$AL$2,0))</f>
        <v>865</v>
      </c>
      <c r="G179" s="25">
        <f>INDEX('Inputs (2)'!$D$31:$AL$31,MATCH(G$7,'Inputs (2)'!$D$2:$AL$2,0))</f>
        <v>952</v>
      </c>
      <c r="H179" s="3">
        <f>G179</f>
        <v>952</v>
      </c>
      <c r="I179" s="25">
        <f>INDEX('Inputs (2)'!$D$31:$AL$31,MATCH(I$7,'Inputs (2)'!$D$2:$AL$2,0))</f>
        <v>909</v>
      </c>
      <c r="J179" s="25">
        <f>INDEX('Inputs (2)'!$D$31:$AL$31,MATCH(J$7,'Inputs (2)'!$D$2:$AL$2,0))</f>
        <v>1039</v>
      </c>
      <c r="K179" s="25">
        <f>INDEX('Inputs (2)'!$D$31:$AL$31,MATCH(K$7,'Inputs (2)'!$D$2:$AL$2,0))</f>
        <v>1184</v>
      </c>
      <c r="L179" s="25">
        <f>INDEX('Inputs (2)'!$D$31:$AL$31,MATCH(L$7,'Inputs (2)'!$D$2:$AL$2,0))</f>
        <v>1409</v>
      </c>
      <c r="M179" s="3">
        <f>L179</f>
        <v>1409</v>
      </c>
      <c r="N179" s="25">
        <f>INDEX('Inputs (2)'!$D$31:$AL$31,MATCH(N$7,'Inputs (2)'!$D$2:$AL$2,0))</f>
        <v>1205</v>
      </c>
      <c r="O179" s="25">
        <f>INDEX('Inputs (2)'!$D$31:$AL$31,MATCH(O$7,'Inputs (2)'!$D$2:$AL$2,0))</f>
        <v>1353</v>
      </c>
      <c r="P179" s="25">
        <f>INDEX('Inputs (2)'!$D$31:$AL$31,MATCH(P$7,'Inputs (2)'!$D$2:$AL$2,0))</f>
        <v>1762</v>
      </c>
      <c r="Q179" s="25">
        <f>INDEX('Inputs (2)'!$D$31:$AL$31,MATCH(Q$7,'Inputs (2)'!$D$2:$AL$2,0))</f>
        <v>1422</v>
      </c>
      <c r="R179" s="3">
        <f>Q179</f>
        <v>1422</v>
      </c>
      <c r="S179" s="25">
        <f>INDEX('Inputs (2)'!$D$31:$AL$31,MATCH(S$7,'Inputs (2)'!$D$2:$AL$2,0))</f>
        <v>1321</v>
      </c>
      <c r="T179" s="25">
        <f>INDEX('Inputs (2)'!$D$31:$AL$31,MATCH(T$7,'Inputs (2)'!$D$2:$AL$2,0))</f>
        <v>1112</v>
      </c>
      <c r="U179" s="25">
        <f>INDEX('Inputs (2)'!$D$31:$AL$31,MATCH(U$7,'Inputs (2)'!$D$2:$AL$2,0))</f>
        <v>1629</v>
      </c>
      <c r="V179" s="25">
        <f>INDEX('Inputs (2)'!$D$31:$AL$31,MATCH(V$7,'Inputs (2)'!$D$2:$AL$2,0))</f>
        <v>1788</v>
      </c>
      <c r="W179" s="3">
        <f>V179</f>
        <v>1788</v>
      </c>
      <c r="X179" s="25">
        <f>INDEX('Inputs (2)'!$D$31:$AL$31,MATCH(X$7,'Inputs (2)'!$D$2:$AL$2,0))</f>
        <v>1623</v>
      </c>
      <c r="Y179" s="25">
        <f>INDEX('Inputs (2)'!$D$31:$AL$31,MATCH(Y$7,'Inputs (2)'!$D$2:$AL$2,0))</f>
        <v>1338</v>
      </c>
      <c r="Z179" s="25">
        <f>INDEX('Inputs (2)'!$D$31:$AL$31,MATCH(Z$7,'Inputs (2)'!$D$2:$AL$2,0))</f>
        <v>1522</v>
      </c>
      <c r="AA179" s="25">
        <f>INDEX('Inputs (2)'!$D$31:$AL$31,MATCH(AA$7,'Inputs (2)'!$D$2:$AL$2,0))</f>
        <v>1715</v>
      </c>
      <c r="AB179" s="3">
        <f>AA179</f>
        <v>1715</v>
      </c>
      <c r="AC179" s="25">
        <f>INDEX('Inputs (2)'!$D$31:$AL$31,MATCH(AC$7,'Inputs (2)'!$D$2:$AL$2,0))</f>
        <v>1532</v>
      </c>
      <c r="AD179" s="25">
        <f>INDEX('Inputs (2)'!$D$31:$AL$31,MATCH(AD$7,'Inputs (2)'!$D$2:$AL$2,0))</f>
        <v>1251</v>
      </c>
      <c r="AE179" s="25">
        <f>INDEX('Inputs (2)'!$D$31:$AL$31,MATCH(AE$7,'Inputs (2)'!$D$2:$AL$2,0))</f>
        <v>1353</v>
      </c>
      <c r="AF179" s="25">
        <f>INDEX('Inputs (2)'!$D$31:$AL$31,MATCH(AF$7,'Inputs (2)'!$D$2:$AL$2,0))</f>
        <v>1523</v>
      </c>
      <c r="AG179" s="3">
        <f>AF179</f>
        <v>1523</v>
      </c>
      <c r="AH179" s="3">
        <f>INDEX('Inputs (2)'!$D$31:$AL$31,MATCH(AH$7,'Inputs (2)'!$D$2:$AL$2,0))</f>
        <v>1506</v>
      </c>
      <c r="AI179" s="3">
        <f>INDEX('Inputs (2)'!$D$31:$AL$31,MATCH(AI$7,'Inputs (2)'!$D$2:$AL$2,0))</f>
        <v>1377</v>
      </c>
      <c r="AJ179" s="3">
        <f>AI179</f>
        <v>1377</v>
      </c>
      <c r="AK179" s="3">
        <f>AJ179</f>
        <v>1377</v>
      </c>
      <c r="AL179" s="3">
        <f>AK179</f>
        <v>1377</v>
      </c>
      <c r="AM179" s="3">
        <f>AL179</f>
        <v>1377</v>
      </c>
      <c r="AN179" s="3">
        <f>AM179</f>
        <v>1377</v>
      </c>
      <c r="AO179" s="3">
        <f>AN179</f>
        <v>1377</v>
      </c>
      <c r="AP179" s="3">
        <f>AO179</f>
        <v>1377</v>
      </c>
      <c r="AQ179" s="3">
        <f>AP179</f>
        <v>1377</v>
      </c>
      <c r="AR179" s="3">
        <f>AQ179</f>
        <v>1377</v>
      </c>
      <c r="AS179" s="3">
        <f>AR179</f>
        <v>1377</v>
      </c>
      <c r="AT179" s="3">
        <f>AS179</f>
        <v>1377</v>
      </c>
      <c r="AU179" s="3">
        <f>AT179</f>
        <v>1377</v>
      </c>
      <c r="AV179" s="3">
        <f>AU179</f>
        <v>1377</v>
      </c>
      <c r="AW179" s="3">
        <f>AV179</f>
        <v>1377</v>
      </c>
      <c r="AX179" s="3">
        <f>AW179</f>
        <v>1377</v>
      </c>
      <c r="AY179" s="3">
        <f>AX179</f>
        <v>1377</v>
      </c>
      <c r="AZ179" s="3">
        <f>AY179</f>
        <v>1377</v>
      </c>
      <c r="BA179" s="3">
        <f>AZ179</f>
        <v>1377</v>
      </c>
      <c r="BB179" s="3">
        <f>BA179</f>
        <v>1377</v>
      </c>
      <c r="BC179" s="3">
        <f>BB179</f>
        <v>1377</v>
      </c>
      <c r="BD179" s="3">
        <f>BC179</f>
        <v>1377</v>
      </c>
      <c r="BE179" s="3">
        <f>BD179</f>
        <v>1377</v>
      </c>
      <c r="BF179" s="3">
        <f>BE179</f>
        <v>1377</v>
      </c>
      <c r="BG179" s="3">
        <f>BF179</f>
        <v>1377</v>
      </c>
      <c r="BH179" s="3">
        <f>BG179</f>
        <v>1377</v>
      </c>
      <c r="BI179" s="3">
        <f>BH179</f>
        <v>1377</v>
      </c>
      <c r="BJ179" s="3">
        <f>BI179</f>
        <v>1377</v>
      </c>
      <c r="BK179" s="3">
        <f>BJ179</f>
        <v>1377</v>
      </c>
      <c r="BL179" s="3">
        <f>BK179</f>
        <v>1377</v>
      </c>
      <c r="BM179" s="3">
        <f>BL179</f>
        <v>1377</v>
      </c>
      <c r="BN179" s="3">
        <f>BM179</f>
        <v>1377</v>
      </c>
      <c r="BO179" s="3">
        <f>BN179</f>
        <v>1377</v>
      </c>
      <c r="BP179" s="3">
        <f>BO179</f>
        <v>1377</v>
      </c>
      <c r="BQ179" s="3">
        <f>BP179</f>
        <v>1377</v>
      </c>
      <c r="BR179" s="3">
        <f>BQ179</f>
        <v>1377</v>
      </c>
      <c r="BS179" s="3">
        <f>BR179</f>
        <v>1377</v>
      </c>
      <c r="BT179" s="3">
        <f>BS179</f>
        <v>1377</v>
      </c>
      <c r="BU179" s="3">
        <f>BT179</f>
        <v>1377</v>
      </c>
      <c r="BV179" s="3">
        <f>BU179</f>
        <v>1377</v>
      </c>
      <c r="BW179" s="3">
        <f>BV179</f>
        <v>1377</v>
      </c>
      <c r="BX179" s="3">
        <f>BW179</f>
        <v>1377</v>
      </c>
      <c r="BY179" s="3">
        <f>BX179</f>
        <v>1377</v>
      </c>
      <c r="BZ179" s="3">
        <f>BY179</f>
        <v>1377</v>
      </c>
      <c r="CA179" s="3">
        <f>BZ179</f>
        <v>1377</v>
      </c>
      <c r="CB179" s="3">
        <f>CA179</f>
        <v>1377</v>
      </c>
      <c r="CC179" s="3">
        <f>CB179</f>
        <v>1377</v>
      </c>
      <c r="CD179" s="3">
        <f>CC179</f>
        <v>1377</v>
      </c>
      <c r="CE179" s="3">
        <f>CD179</f>
        <v>1377</v>
      </c>
      <c r="CF179" s="3">
        <f>CE179</f>
        <v>1377</v>
      </c>
      <c r="CG179" s="3">
        <f>CF179</f>
        <v>1377</v>
      </c>
      <c r="CH179" s="3">
        <f>CG179</f>
        <v>1377</v>
      </c>
      <c r="CI179" s="3">
        <f>CH179</f>
        <v>1377</v>
      </c>
      <c r="CJ179" s="3">
        <f>CI179</f>
        <v>1377</v>
      </c>
      <c r="CK179" s="3">
        <f>CJ179</f>
        <v>1377</v>
      </c>
      <c r="CL179" s="3">
        <f>CK179</f>
        <v>1377</v>
      </c>
      <c r="CM179" s="3">
        <f>CL179</f>
        <v>1377</v>
      </c>
      <c r="CN179" s="3">
        <f>CM179</f>
        <v>1377</v>
      </c>
      <c r="CO179" s="3">
        <f>CN179</f>
        <v>1377</v>
      </c>
      <c r="CP179" s="3">
        <f>CO179</f>
        <v>1377</v>
      </c>
      <c r="CQ179" s="3">
        <f>CP179</f>
        <v>1377</v>
      </c>
      <c r="CR179" s="3">
        <f>CQ179</f>
        <v>1377</v>
      </c>
      <c r="CS179" s="3">
        <f>CR179</f>
        <v>1377</v>
      </c>
      <c r="CT179" s="3">
        <f>CS179</f>
        <v>1377</v>
      </c>
      <c r="CU179" s="3">
        <f>CT179</f>
        <v>1377</v>
      </c>
      <c r="CV179" s="3">
        <f>CU179</f>
        <v>1377</v>
      </c>
      <c r="CW179" s="3">
        <f>CV179</f>
        <v>1377</v>
      </c>
      <c r="CX179" s="3">
        <f>CW179</f>
        <v>1377</v>
      </c>
      <c r="CY179" s="3">
        <f>CX179</f>
        <v>1377</v>
      </c>
    </row>
    <row r="180" hidden="1" outlineLevel="1">
      <c r="C180" s="38" t="inlineStr">
        <is>
          <t>%(Var.)</t>
        </is>
      </c>
      <c r="D180" s="3" t="n"/>
      <c r="E180" s="47">
        <f>(E179-D179)/D179</f>
        <v>0.0631720430107527</v>
      </c>
      <c r="F180" s="47">
        <f>(F179-E179)/E179</f>
        <v>0.0935524652338812</v>
      </c>
      <c r="G180" s="47">
        <f>(G179-F179)/F179</f>
        <v>0.100578034682081</v>
      </c>
      <c r="H180" s="3" t="n"/>
      <c r="I180" s="47">
        <f>(I179-H179)/H179</f>
        <v>-0.0451680672268908</v>
      </c>
      <c r="J180" s="47">
        <f>(J179-I179)/I179</f>
        <v>0.143014301430143</v>
      </c>
      <c r="K180" s="47">
        <f>(K179-J179)/J179</f>
        <v>0.139557266602502</v>
      </c>
      <c r="L180" s="47">
        <f>(L179-K179)/K179</f>
        <v>0.190033783783784</v>
      </c>
      <c r="M180" s="3" t="n"/>
      <c r="N180" s="47">
        <f>(N179-M179)/M179</f>
        <v>-0.144783534421576</v>
      </c>
      <c r="O180" s="47">
        <f>(O179-N179)/N179</f>
        <v>0.122821576763485</v>
      </c>
      <c r="P180" s="47">
        <f>(P179-O179)/O179</f>
        <v>0.302291204730229</v>
      </c>
      <c r="Q180" s="47">
        <f>(Q179-P179)/P179</f>
        <v>-0.192962542565267</v>
      </c>
      <c r="R180" s="3" t="n"/>
      <c r="S180" s="47">
        <f>(S179-R179)/R179</f>
        <v>-0.0710267229254571</v>
      </c>
      <c r="T180" s="47">
        <f>(T179-S179)/S179</f>
        <v>-0.158213474640424</v>
      </c>
      <c r="U180" s="47">
        <f>(U179-T179)/T179</f>
        <v>0.464928057553957</v>
      </c>
      <c r="V180" s="47">
        <f>(V179-U179)/U179</f>
        <v>0.0976058931860037</v>
      </c>
      <c r="W180" s="3" t="n"/>
      <c r="X180" s="47">
        <f>(X179-W179)/W179</f>
        <v>-0.0922818791946309</v>
      </c>
      <c r="Y180" s="47">
        <f>(Y179-X179)/X179</f>
        <v>-0.175600739371534</v>
      </c>
      <c r="Z180" s="47">
        <f>(Z179-Y179)/Y179</f>
        <v>0.137518684603886</v>
      </c>
      <c r="AA180" s="47">
        <f>(AA179-Z179)/Z179</f>
        <v>0.126806833114323</v>
      </c>
      <c r="AB180" s="3" t="n"/>
      <c r="AC180" s="47">
        <f>(AC179-AB179)/AB179</f>
        <v>-0.106705539358601</v>
      </c>
      <c r="AD180" s="47">
        <f>(AD179-AC179)/AC179</f>
        <v>-0.183420365535248</v>
      </c>
      <c r="AE180" s="47">
        <f>(AE179-AD179)/AD179</f>
        <v>0.0815347721822542</v>
      </c>
      <c r="AF180" s="218">
        <f>(AF179-AE179)/AE179</f>
        <v>0.125646711012565</v>
      </c>
      <c r="AG180" s="3" t="n"/>
      <c r="AH180" s="218">
        <f>(AH179-AG179)/AG179</f>
        <v>-0.0111621799080762</v>
      </c>
      <c r="AI180" s="218">
        <f>(AI179-AH179)/AH179</f>
        <v>-0.0856573705179283</v>
      </c>
      <c r="AJ180" s="218" t="n"/>
      <c r="AK180" s="218" t="n"/>
      <c r="AL180" s="3" t="n"/>
      <c r="AM180" s="218" t="n"/>
      <c r="AN180" s="218" t="n"/>
      <c r="AO180" s="218" t="n"/>
      <c r="AP180" s="218" t="n"/>
      <c r="AQ180" s="3" t="n"/>
      <c r="AR180" s="218" t="n"/>
      <c r="AS180" s="218" t="n"/>
      <c r="AT180" s="218" t="n"/>
      <c r="AU180" s="218" t="n"/>
      <c r="AV180" s="3" t="n"/>
      <c r="AW180" s="218" t="n"/>
      <c r="AX180" s="218" t="n"/>
      <c r="AY180" s="218" t="n"/>
      <c r="AZ180" s="218" t="n"/>
      <c r="BA180" s="3" t="n"/>
      <c r="BB180" s="218" t="n"/>
      <c r="BC180" s="218" t="n"/>
      <c r="BD180" s="218" t="n"/>
      <c r="BE180" s="218" t="n"/>
      <c r="BF180" s="3" t="n"/>
      <c r="BG180" s="218" t="n"/>
      <c r="BH180" s="218" t="n"/>
      <c r="BI180" s="218" t="n"/>
      <c r="BJ180" s="218" t="n"/>
      <c r="BK180" s="3" t="n"/>
      <c r="BL180" s="218" t="n"/>
      <c r="BM180" s="218" t="n"/>
      <c r="BN180" s="218" t="n"/>
      <c r="BO180" s="218" t="n"/>
      <c r="BP180" s="3" t="n"/>
      <c r="BQ180" s="218" t="n"/>
      <c r="BR180" s="218" t="n"/>
      <c r="BS180" s="218" t="n"/>
      <c r="BT180" s="218" t="n"/>
      <c r="BU180" s="3" t="n"/>
      <c r="BV180" s="218" t="n"/>
      <c r="BW180" s="218" t="n"/>
      <c r="BX180" s="218" t="n"/>
      <c r="BY180" s="218" t="n"/>
      <c r="BZ180" s="3" t="n"/>
      <c r="CA180" s="218" t="n"/>
      <c r="CB180" s="218" t="n"/>
      <c r="CC180" s="218" t="n"/>
      <c r="CD180" s="218" t="n"/>
      <c r="CE180" s="3" t="n"/>
      <c r="CF180" s="218" t="n"/>
      <c r="CG180" s="218" t="n"/>
      <c r="CH180" s="218" t="n"/>
      <c r="CI180" s="218" t="n"/>
      <c r="CJ180" s="3" t="n"/>
      <c r="CK180" s="218" t="n"/>
      <c r="CL180" s="218" t="n"/>
      <c r="CM180" s="218" t="n"/>
      <c r="CN180" s="218" t="n"/>
      <c r="CO180" s="3" t="n"/>
      <c r="CP180" s="218" t="n"/>
      <c r="CQ180" s="218" t="n"/>
      <c r="CR180" s="218" t="n"/>
      <c r="CS180" s="218" t="n"/>
      <c r="CT180" s="3" t="n"/>
      <c r="CU180" s="218" t="n"/>
      <c r="CV180" s="218" t="n"/>
      <c r="CW180" s="218" t="n"/>
      <c r="CX180" s="218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 xml:space="preserve">Dividendos a Pagar </t>
        </is>
      </c>
      <c r="D182" s="6" t="n"/>
      <c r="E182" s="6" t="n"/>
      <c r="F182" s="6" t="n"/>
      <c r="G182" s="6" t="n"/>
      <c r="H182" s="3" t="n"/>
      <c r="I182" s="6" t="n"/>
      <c r="J182" s="6" t="n"/>
      <c r="K182" s="6" t="n"/>
      <c r="L182" s="6" t="n"/>
      <c r="M182" s="3" t="n"/>
      <c r="N182" s="6" t="n"/>
      <c r="O182" s="6" t="n"/>
      <c r="P182" s="6" t="n"/>
      <c r="Q182" s="6" t="n"/>
      <c r="R182" s="3" t="n"/>
      <c r="S182" s="6" t="n"/>
      <c r="T182" s="6" t="n"/>
      <c r="U182" s="6" t="n"/>
      <c r="V182" s="6" t="n"/>
      <c r="W182" s="3" t="n"/>
      <c r="X182" s="6" t="n"/>
      <c r="Y182" s="6" t="n"/>
      <c r="Z182" s="6" t="n"/>
      <c r="AA182" s="6" t="n"/>
      <c r="AB182" s="3" t="n"/>
      <c r="AC182" s="6" t="n"/>
      <c r="AD182" s="6" t="n"/>
      <c r="AE182" s="6" t="n"/>
      <c r="AF182" s="6" t="n"/>
      <c r="AG182" s="3" t="n"/>
      <c r="AH182" s="6" t="n"/>
      <c r="AI182" s="6" t="n"/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Contas a pagar pela aquisição de controladas</t>
        </is>
      </c>
      <c r="D183" s="6" t="n"/>
      <c r="E183" s="6" t="n"/>
      <c r="F183" s="6" t="n"/>
      <c r="G183" s="6" t="n"/>
      <c r="H183" s="3" t="n"/>
      <c r="I183" s="6" t="n"/>
      <c r="J183" s="6" t="n"/>
      <c r="K183" s="6" t="n"/>
      <c r="L183" s="6" t="n"/>
      <c r="M183" s="3" t="n"/>
      <c r="N183" s="6" t="n"/>
      <c r="O183" s="6" t="n"/>
      <c r="P183" s="6" t="n"/>
      <c r="Q183" s="6" t="n"/>
      <c r="R183" s="3" t="n"/>
      <c r="S183" s="6" t="n"/>
      <c r="T183" s="6" t="n"/>
      <c r="U183" s="6" t="n"/>
      <c r="V183" s="6" t="n"/>
      <c r="W183" s="3" t="n"/>
      <c r="X183" s="6" t="n"/>
      <c r="Y183" s="6" t="n"/>
      <c r="Z183" s="6" t="n"/>
      <c r="AA183" s="6" t="n"/>
      <c r="AB183" s="3" t="n"/>
      <c r="AC183" s="6" t="n"/>
      <c r="AD183" s="6" t="n"/>
      <c r="AE183" s="6" t="n"/>
      <c r="AF183" s="6" t="n"/>
      <c r="AG183" s="3" t="n"/>
      <c r="AH183" s="6" t="n"/>
      <c r="AI183" s="6" t="n"/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Outros</t>
        </is>
      </c>
      <c r="D184" s="6" t="n"/>
      <c r="E184" s="6" t="n"/>
      <c r="F184" s="6" t="n"/>
      <c r="G184" s="6" t="n"/>
      <c r="H184" s="3" t="n"/>
      <c r="I184" s="6" t="n"/>
      <c r="J184" s="6" t="n"/>
      <c r="K184" s="6" t="n"/>
      <c r="L184" s="6" t="n"/>
      <c r="M184" s="3" t="n"/>
      <c r="N184" s="6" t="n"/>
      <c r="O184" s="6" t="n"/>
      <c r="P184" s="6" t="n"/>
      <c r="Q184" s="6" t="n"/>
      <c r="R184" s="3" t="n"/>
      <c r="S184" s="6" t="n"/>
      <c r="T184" s="6" t="n"/>
      <c r="U184" s="6" t="n"/>
      <c r="V184" s="6" t="n"/>
      <c r="W184" s="3" t="n"/>
      <c r="X184" s="6" t="n"/>
      <c r="Y184" s="6" t="n"/>
      <c r="Z184" s="6" t="n"/>
      <c r="AA184" s="6" t="n"/>
      <c r="AB184" s="3" t="n"/>
      <c r="AC184" s="6" t="n"/>
      <c r="AD184" s="6" t="n"/>
      <c r="AE184" s="6" t="n"/>
      <c r="AF184" s="6" t="n"/>
      <c r="AG184" s="3" t="n"/>
      <c r="AH184" s="6" t="n"/>
      <c r="AI184" s="6" t="n"/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collapsed="1">
      <c r="C186" s="26" t="inlineStr">
        <is>
          <t>Current portion of long-term debt</t>
        </is>
      </c>
      <c r="D186" s="25">
        <f>INDEX('Inputs (2)'!$D$32:$AL$32,MATCH(D$7,'Inputs (2)'!$D$2:$AL$2,0))</f>
        <v>8688</v>
      </c>
      <c r="E186" s="25">
        <f>INDEX('Inputs (2)'!$D$32:$AL$32,MATCH(E$7,'Inputs (2)'!$D$2:$AL$2,0))</f>
        <v>3751</v>
      </c>
      <c r="F186" s="25">
        <f>INDEX('Inputs (2)'!$D$32:$AL$32,MATCH(F$7,'Inputs (2)'!$D$2:$AL$2,0))</f>
        <v>530</v>
      </c>
      <c r="G186" s="25">
        <f>INDEX('Inputs (2)'!$D$32:$AL$32,MATCH(G$7,'Inputs (2)'!$D$2:$AL$2,0))</f>
        <v>1548</v>
      </c>
      <c r="H186" s="3">
        <f>G186</f>
        <v>1548</v>
      </c>
      <c r="I186" s="25">
        <f>INDEX('Inputs (2)'!$D$32:$AL$32,MATCH(I$7,'Inputs (2)'!$D$2:$AL$2,0))</f>
        <v>4841</v>
      </c>
      <c r="J186" s="25">
        <f>INDEX('Inputs (2)'!$D$32:$AL$32,MATCH(J$7,'Inputs (2)'!$D$2:$AL$2,0))</f>
        <v>3497</v>
      </c>
      <c r="K186" s="25">
        <f>INDEX('Inputs (2)'!$D$32:$AL$32,MATCH(K$7,'Inputs (2)'!$D$2:$AL$2,0))</f>
        <v>291</v>
      </c>
      <c r="L186" s="25">
        <f>INDEX('Inputs (2)'!$D$32:$AL$32,MATCH(L$7,'Inputs (2)'!$D$2:$AL$2,0))</f>
        <v>256</v>
      </c>
      <c r="M186" s="3">
        <f>L186</f>
        <v>256</v>
      </c>
      <c r="N186" s="25">
        <f>INDEX('Inputs (2)'!$D$32:$AL$32,MATCH(N$7,'Inputs (2)'!$D$2:$AL$2,0))</f>
        <v>314</v>
      </c>
      <c r="O186" s="25">
        <f>INDEX('Inputs (2)'!$D$32:$AL$32,MATCH(O$7,'Inputs (2)'!$D$2:$AL$2,0))</f>
        <v>3230</v>
      </c>
      <c r="P186" s="25">
        <f>INDEX('Inputs (2)'!$D$32:$AL$32,MATCH(P$7,'Inputs (2)'!$D$2:$AL$2,0))</f>
        <v>2221</v>
      </c>
      <c r="Q186" s="25">
        <f>INDEX('Inputs (2)'!$D$32:$AL$32,MATCH(Q$7,'Inputs (2)'!$D$2:$AL$2,0))</f>
        <v>1964</v>
      </c>
      <c r="R186" s="3">
        <f>Q186</f>
        <v>1964</v>
      </c>
      <c r="S186" s="25">
        <f>INDEX('Inputs (2)'!$D$32:$AL$32,MATCH(S$7,'Inputs (2)'!$D$2:$AL$2,0))</f>
        <v>2931</v>
      </c>
      <c r="T186" s="25">
        <f>INDEX('Inputs (2)'!$D$32:$AL$32,MATCH(T$7,'Inputs (2)'!$D$2:$AL$2,0))</f>
        <v>1269</v>
      </c>
      <c r="U186" s="25">
        <f>INDEX('Inputs (2)'!$D$32:$AL$32,MATCH(U$7,'Inputs (2)'!$D$2:$AL$2,0))</f>
        <v>440</v>
      </c>
      <c r="V186" s="25">
        <f>INDEX('Inputs (2)'!$D$32:$AL$32,MATCH(V$7,'Inputs (2)'!$D$2:$AL$2,0))</f>
        <v>529</v>
      </c>
      <c r="W186" s="3">
        <f>V186</f>
        <v>529</v>
      </c>
      <c r="X186" s="25">
        <f>INDEX('Inputs (2)'!$D$32:$AL$32,MATCH(X$7,'Inputs (2)'!$D$2:$AL$2,0))</f>
        <v>282</v>
      </c>
      <c r="Y186" s="25">
        <f>INDEX('Inputs (2)'!$D$32:$AL$32,MATCH(Y$7,'Inputs (2)'!$D$2:$AL$2,0))</f>
        <v>1735</v>
      </c>
      <c r="Z186" s="25">
        <f>INDEX('Inputs (2)'!$D$32:$AL$32,MATCH(Z$7,'Inputs (2)'!$D$2:$AL$2,0))</f>
        <v>5144</v>
      </c>
      <c r="AA186" s="25">
        <f>INDEX('Inputs (2)'!$D$32:$AL$32,MATCH(AA$7,'Inputs (2)'!$D$2:$AL$2,0))</f>
        <v>4406</v>
      </c>
      <c r="AB186" s="3">
        <f>AA186</f>
        <v>4406</v>
      </c>
      <c r="AC186" s="25">
        <f>INDEX('Inputs (2)'!$D$32:$AL$32,MATCH(AC$7,'Inputs (2)'!$D$2:$AL$2,0))</f>
        <v>4076</v>
      </c>
      <c r="AD186" s="25">
        <f>INDEX('Inputs (2)'!$D$32:$AL$32,MATCH(AD$7,'Inputs (2)'!$D$2:$AL$2,0))</f>
        <v>6191</v>
      </c>
      <c r="AE186" s="25">
        <f>INDEX('Inputs (2)'!$D$32:$AL$32,MATCH(AE$7,'Inputs (2)'!$D$2:$AL$2,0))</f>
        <v>3591</v>
      </c>
      <c r="AF186" s="25">
        <f>INDEX('Inputs (2)'!$D$32:$AL$32,MATCH(AF$7,'Inputs (2)'!$D$2:$AL$2,0))</f>
        <v>977</v>
      </c>
      <c r="AG186" s="3">
        <f>AF186</f>
        <v>977</v>
      </c>
      <c r="AH186" s="3">
        <f>INDEX('Inputs (2)'!$D$32:$AL$32,MATCH(AH$7,'Inputs (2)'!$D$2:$AL$2,0))</f>
        <v>5828</v>
      </c>
      <c r="AI186" s="3">
        <f>INDEX('Inputs (2)'!$D$32:$AL$32,MATCH(AI$7,'Inputs (2)'!$D$2:$AL$2,0))</f>
        <v>401</v>
      </c>
      <c r="AJ186" s="3">
        <f>AI186</f>
        <v>401</v>
      </c>
      <c r="AK186" s="3">
        <f>AJ186</f>
        <v>401</v>
      </c>
      <c r="AL186" s="3">
        <f>AK186</f>
        <v>401</v>
      </c>
      <c r="AM186" s="3">
        <f>AL186</f>
        <v>401</v>
      </c>
      <c r="AN186" s="3">
        <f>AM186</f>
        <v>401</v>
      </c>
      <c r="AO186" s="3">
        <f>AN186</f>
        <v>401</v>
      </c>
      <c r="AP186" s="3">
        <f>AO186</f>
        <v>401</v>
      </c>
      <c r="AQ186" s="3">
        <f>AP186</f>
        <v>401</v>
      </c>
      <c r="AR186" s="3">
        <f>AQ186</f>
        <v>401</v>
      </c>
      <c r="AS186" s="3">
        <f>AR186</f>
        <v>401</v>
      </c>
      <c r="AT186" s="3">
        <f>AS186</f>
        <v>401</v>
      </c>
      <c r="AU186" s="3">
        <f>AT186</f>
        <v>401</v>
      </c>
      <c r="AV186" s="3">
        <f>AU186</f>
        <v>401</v>
      </c>
      <c r="AW186" s="3">
        <f>AV186</f>
        <v>401</v>
      </c>
      <c r="AX186" s="3">
        <f>AW186</f>
        <v>401</v>
      </c>
      <c r="AY186" s="3">
        <f>AX186</f>
        <v>401</v>
      </c>
      <c r="AZ186" s="3">
        <f>AY186</f>
        <v>401</v>
      </c>
      <c r="BA186" s="3">
        <f>AZ186</f>
        <v>401</v>
      </c>
      <c r="BB186" s="3">
        <f>BA186</f>
        <v>401</v>
      </c>
      <c r="BC186" s="3">
        <f>BB186</f>
        <v>401</v>
      </c>
      <c r="BD186" s="3">
        <f>BC186</f>
        <v>401</v>
      </c>
      <c r="BE186" s="3">
        <f>BD186</f>
        <v>401</v>
      </c>
      <c r="BF186" s="3">
        <f>BE186</f>
        <v>401</v>
      </c>
      <c r="BG186" s="3">
        <f>BF186</f>
        <v>401</v>
      </c>
      <c r="BH186" s="3">
        <f>BG186</f>
        <v>401</v>
      </c>
      <c r="BI186" s="3">
        <f>BH186</f>
        <v>401</v>
      </c>
      <c r="BJ186" s="3">
        <f>BI186</f>
        <v>401</v>
      </c>
      <c r="BK186" s="3">
        <f>BJ186</f>
        <v>401</v>
      </c>
      <c r="BL186" s="3">
        <f>BK186</f>
        <v>401</v>
      </c>
      <c r="BM186" s="3">
        <f>BL186</f>
        <v>401</v>
      </c>
      <c r="BN186" s="3">
        <f>BM186</f>
        <v>401</v>
      </c>
      <c r="BO186" s="3">
        <f>BN186</f>
        <v>401</v>
      </c>
      <c r="BP186" s="3">
        <f>BO186</f>
        <v>401</v>
      </c>
      <c r="BQ186" s="3">
        <f>BP186</f>
        <v>401</v>
      </c>
      <c r="BR186" s="3">
        <f>BQ186</f>
        <v>401</v>
      </c>
      <c r="BS186" s="3">
        <f>BR186</f>
        <v>401</v>
      </c>
      <c r="BT186" s="3">
        <f>BS186</f>
        <v>401</v>
      </c>
      <c r="BU186" s="3">
        <f>BT186</f>
        <v>401</v>
      </c>
      <c r="BV186" s="3">
        <f>BU186</f>
        <v>401</v>
      </c>
      <c r="BW186" s="3">
        <f>BV186</f>
        <v>401</v>
      </c>
      <c r="BX186" s="3">
        <f>BW186</f>
        <v>401</v>
      </c>
      <c r="BY186" s="3">
        <f>BX186</f>
        <v>401</v>
      </c>
      <c r="BZ186" s="3">
        <f>BY186</f>
        <v>401</v>
      </c>
      <c r="CA186" s="3">
        <f>BZ186</f>
        <v>401</v>
      </c>
      <c r="CB186" s="3">
        <f>CA186</f>
        <v>401</v>
      </c>
      <c r="CC186" s="3">
        <f>CB186</f>
        <v>401</v>
      </c>
      <c r="CD186" s="3">
        <f>CC186</f>
        <v>401</v>
      </c>
      <c r="CE186" s="3">
        <f>CD186</f>
        <v>401</v>
      </c>
      <c r="CF186" s="3">
        <f>CE186</f>
        <v>401</v>
      </c>
      <c r="CG186" s="3">
        <f>CF186</f>
        <v>401</v>
      </c>
      <c r="CH186" s="3">
        <f>CG186</f>
        <v>401</v>
      </c>
      <c r="CI186" s="3">
        <f>CH186</f>
        <v>401</v>
      </c>
      <c r="CJ186" s="3">
        <f>CI186</f>
        <v>401</v>
      </c>
      <c r="CK186" s="3">
        <f>CJ186</f>
        <v>401</v>
      </c>
      <c r="CL186" s="3">
        <f>CK186</f>
        <v>401</v>
      </c>
      <c r="CM186" s="3">
        <f>CL186</f>
        <v>401</v>
      </c>
      <c r="CN186" s="3">
        <f>CM186</f>
        <v>401</v>
      </c>
      <c r="CO186" s="3">
        <f>CN186</f>
        <v>401</v>
      </c>
      <c r="CP186" s="3">
        <f>CO186</f>
        <v>401</v>
      </c>
      <c r="CQ186" s="3">
        <f>CP186</f>
        <v>401</v>
      </c>
      <c r="CR186" s="3">
        <f>CQ186</f>
        <v>401</v>
      </c>
      <c r="CS186" s="3">
        <f>CR186</f>
        <v>401</v>
      </c>
      <c r="CT186" s="3">
        <f>CS186</f>
        <v>401</v>
      </c>
      <c r="CU186" s="3">
        <f>CT186</f>
        <v>401</v>
      </c>
      <c r="CV186" s="3">
        <f>CU186</f>
        <v>401</v>
      </c>
      <c r="CW186" s="3">
        <f>CV186</f>
        <v>401</v>
      </c>
      <c r="CX186" s="3">
        <f>CW186</f>
        <v>401</v>
      </c>
      <c r="CY186" s="3">
        <f>CX186</f>
        <v>401</v>
      </c>
    </row>
    <row r="187">
      <c r="C187" s="26" t="inlineStr">
        <is>
          <t>Short term debt (Revolving credit facility)</t>
        </is>
      </c>
      <c r="D187" s="25">
        <f>INDEX('Inputs (2)'!$D$33:$AL$33,MATCH(D$7,'Inputs (2)'!$D$2:$AL$2,0))</f>
        <v>0</v>
      </c>
      <c r="E187" s="25">
        <f>INDEX('Inputs (2)'!$D$33:$AL$33,MATCH(E$7,'Inputs (2)'!$D$2:$AL$2,0))</f>
        <v>0</v>
      </c>
      <c r="F187" s="25">
        <f>INDEX('Inputs (2)'!$D$33:$AL$33,MATCH(F$7,'Inputs (2)'!$D$2:$AL$2,0))</f>
        <v>0</v>
      </c>
      <c r="G187" s="25">
        <f>INDEX('Inputs (2)'!$D$33:$AL$33,MATCH(G$7,'Inputs (2)'!$D$2:$AL$2,0))</f>
        <v>0</v>
      </c>
      <c r="H187" s="3">
        <f>G187</f>
        <v>0</v>
      </c>
      <c r="I187" s="25">
        <f>INDEX('Inputs (2)'!$D$33:$AL$33,MATCH(I$7,'Inputs (2)'!$D$2:$AL$2,0))</f>
        <v>0</v>
      </c>
      <c r="J187" s="25">
        <f>INDEX('Inputs (2)'!$D$33:$AL$33,MATCH(J$7,'Inputs (2)'!$D$2:$AL$2,0))</f>
        <v>0</v>
      </c>
      <c r="K187" s="25">
        <f>INDEX('Inputs (2)'!$D$33:$AL$33,MATCH(K$7,'Inputs (2)'!$D$2:$AL$2,0))</f>
        <v>0</v>
      </c>
      <c r="L187" s="25">
        <f>INDEX('Inputs (2)'!$D$33:$AL$33,MATCH(L$7,'Inputs (2)'!$D$2:$AL$2,0))</f>
        <v>0</v>
      </c>
      <c r="M187" s="3">
        <f>L187</f>
        <v>0</v>
      </c>
      <c r="N187" s="25">
        <f>INDEX('Inputs (2)'!$D$33:$AL$33,MATCH(N$7,'Inputs (2)'!$D$2:$AL$2,0))</f>
        <v>0</v>
      </c>
      <c r="O187" s="25">
        <f>INDEX('Inputs (2)'!$D$33:$AL$33,MATCH(O$7,'Inputs (2)'!$D$2:$AL$2,0))</f>
        <v>0</v>
      </c>
      <c r="P187" s="25">
        <f>INDEX('Inputs (2)'!$D$33:$AL$33,MATCH(P$7,'Inputs (2)'!$D$2:$AL$2,0))</f>
        <v>0</v>
      </c>
      <c r="Q187" s="25">
        <f>INDEX('Inputs (2)'!$D$33:$AL$33,MATCH(Q$7,'Inputs (2)'!$D$2:$AL$2,0))</f>
        <v>0</v>
      </c>
      <c r="R187" s="3">
        <f>Q187</f>
        <v>0</v>
      </c>
      <c r="S187" s="25">
        <f>INDEX('Inputs (2)'!$D$33:$AL$33,MATCH(S$7,'Inputs (2)'!$D$2:$AL$2,0))</f>
        <v>0</v>
      </c>
      <c r="T187" s="25">
        <f>INDEX('Inputs (2)'!$D$33:$AL$33,MATCH(T$7,'Inputs (2)'!$D$2:$AL$2,0))</f>
        <v>0</v>
      </c>
      <c r="U187" s="25">
        <f>INDEX('Inputs (2)'!$D$33:$AL$33,MATCH(U$7,'Inputs (2)'!$D$2:$AL$2,0))</f>
        <v>0</v>
      </c>
      <c r="V187" s="25">
        <f>INDEX('Inputs (2)'!$D$33:$AL$33,MATCH(V$7,'Inputs (2)'!$D$2:$AL$2,0))</f>
        <v>0</v>
      </c>
      <c r="W187" s="3">
        <f>V187</f>
        <v>0</v>
      </c>
      <c r="X187" s="25">
        <f>INDEX('Inputs (2)'!$D$33:$AL$33,MATCH(X$7,'Inputs (2)'!$D$2:$AL$2,0))</f>
        <v>0</v>
      </c>
      <c r="Y187" s="25">
        <f>INDEX('Inputs (2)'!$D$33:$AL$33,MATCH(Y$7,'Inputs (2)'!$D$2:$AL$2,0))</f>
        <v>0</v>
      </c>
      <c r="Z187" s="25">
        <f>INDEX('Inputs (2)'!$D$33:$AL$33,MATCH(Z$7,'Inputs (2)'!$D$2:$AL$2,0))</f>
        <v>0</v>
      </c>
      <c r="AA187" s="25">
        <f>INDEX('Inputs (2)'!$D$33:$AL$33,MATCH(AA$7,'Inputs (2)'!$D$2:$AL$2,0))</f>
        <v>0</v>
      </c>
      <c r="AB187" s="3">
        <f>AA187</f>
        <v>0</v>
      </c>
      <c r="AC187" s="25">
        <f>INDEX('Inputs (2)'!$D$33:$AL$33,MATCH(AC$7,'Inputs (2)'!$D$2:$AL$2,0))</f>
        <v>0</v>
      </c>
      <c r="AD187" s="25">
        <f>INDEX('Inputs (2)'!$D$33:$AL$33,MATCH(AD$7,'Inputs (2)'!$D$2:$AL$2,0))</f>
        <v>0</v>
      </c>
      <c r="AE187" s="25">
        <f>INDEX('Inputs (2)'!$D$33:$AL$33,MATCH(AE$7,'Inputs (2)'!$D$2:$AL$2,0))</f>
        <v>0</v>
      </c>
      <c r="AF187" s="25">
        <f>INDEX('Inputs (2)'!$D$33:$AL$33,MATCH(AF$7,'Inputs (2)'!$D$2:$AL$2,0))</f>
        <v>0</v>
      </c>
      <c r="AG187" s="3">
        <f>AF187</f>
        <v>0</v>
      </c>
      <c r="AH187" s="3">
        <f>INDEX('Inputs (2)'!$D$33:$AL$33,MATCH(AH$7,'Inputs (2)'!$D$2:$AL$2,0))</f>
        <v>0</v>
      </c>
      <c r="AI187" s="3">
        <f>INDEX('Inputs (2)'!$D$33:$AL$33,MATCH(AI$7,'Inputs (2)'!$D$2:$AL$2,0))</f>
        <v>0</v>
      </c>
      <c r="AJ187" s="3">
        <f>AI187</f>
        <v>0</v>
      </c>
      <c r="AK187" s="3">
        <f>AJ187</f>
        <v>0</v>
      </c>
      <c r="AL187" s="3">
        <f>AK187</f>
        <v>0</v>
      </c>
      <c r="AM187" s="3">
        <f>AL187</f>
        <v>0</v>
      </c>
      <c r="AN187" s="3">
        <f>AM187</f>
        <v>0</v>
      </c>
      <c r="AO187" s="3">
        <f>AN187</f>
        <v>0</v>
      </c>
      <c r="AP187" s="3">
        <f>AO187</f>
        <v>0</v>
      </c>
      <c r="AQ187" s="3">
        <f>AP187</f>
        <v>0</v>
      </c>
      <c r="AR187" s="3">
        <f>AQ187</f>
        <v>0</v>
      </c>
      <c r="AS187" s="3">
        <f>AR187</f>
        <v>0</v>
      </c>
      <c r="AT187" s="3">
        <f>AS187</f>
        <v>0</v>
      </c>
      <c r="AU187" s="3">
        <f>AT187</f>
        <v>0</v>
      </c>
      <c r="AV187" s="3">
        <f>AU187</f>
        <v>0</v>
      </c>
      <c r="AW187" s="3">
        <f>AV187</f>
        <v>0</v>
      </c>
      <c r="AX187" s="3">
        <f>AW187</f>
        <v>0</v>
      </c>
      <c r="AY187" s="3">
        <f>AX187</f>
        <v>0</v>
      </c>
      <c r="AZ187" s="3">
        <f>AY187</f>
        <v>0</v>
      </c>
      <c r="BA187" s="3">
        <f>AZ187</f>
        <v>0</v>
      </c>
      <c r="BB187" s="3">
        <f>BA187</f>
        <v>0</v>
      </c>
      <c r="BC187" s="3">
        <f>BB187</f>
        <v>0</v>
      </c>
      <c r="BD187" s="3">
        <f>BC187</f>
        <v>0</v>
      </c>
      <c r="BE187" s="3">
        <f>BD187</f>
        <v>0</v>
      </c>
      <c r="BF187" s="3">
        <f>BE187</f>
        <v>0</v>
      </c>
      <c r="BG187" s="3">
        <f>BF187</f>
        <v>0</v>
      </c>
      <c r="BH187" s="3">
        <f>BG187</f>
        <v>0</v>
      </c>
      <c r="BI187" s="3">
        <f>BH187</f>
        <v>0</v>
      </c>
      <c r="BJ187" s="3">
        <f>BI187</f>
        <v>0</v>
      </c>
      <c r="BK187" s="3">
        <f>BJ187</f>
        <v>0</v>
      </c>
      <c r="BL187" s="3">
        <f>BK187</f>
        <v>0</v>
      </c>
      <c r="BM187" s="3">
        <f>BL187</f>
        <v>0</v>
      </c>
      <c r="BN187" s="3">
        <f>BM187</f>
        <v>0</v>
      </c>
      <c r="BO187" s="3">
        <f>BN187</f>
        <v>0</v>
      </c>
      <c r="BP187" s="3">
        <f>BO187</f>
        <v>0</v>
      </c>
      <c r="BQ187" s="3">
        <f>BP187</f>
        <v>0</v>
      </c>
      <c r="BR187" s="3">
        <f>BQ187</f>
        <v>0</v>
      </c>
      <c r="BS187" s="3">
        <f>BR187</f>
        <v>0</v>
      </c>
      <c r="BT187" s="3">
        <f>BS187</f>
        <v>0</v>
      </c>
      <c r="BU187" s="3">
        <f>BT187</f>
        <v>0</v>
      </c>
      <c r="BV187" s="3">
        <f>BU187</f>
        <v>0</v>
      </c>
      <c r="BW187" s="3">
        <f>BV187</f>
        <v>0</v>
      </c>
      <c r="BX187" s="3">
        <f>BW187</f>
        <v>0</v>
      </c>
      <c r="BY187" s="3">
        <f>BX187</f>
        <v>0</v>
      </c>
      <c r="BZ187" s="3">
        <f>BY187</f>
        <v>0</v>
      </c>
      <c r="CA187" s="3">
        <f>BZ187</f>
        <v>0</v>
      </c>
      <c r="CB187" s="3">
        <f>CA187</f>
        <v>0</v>
      </c>
      <c r="CC187" s="3">
        <f>CB187</f>
        <v>0</v>
      </c>
      <c r="CD187" s="3">
        <f>CC187</f>
        <v>0</v>
      </c>
      <c r="CE187" s="3">
        <f>CD187</f>
        <v>0</v>
      </c>
      <c r="CF187" s="3">
        <f>CE187</f>
        <v>0</v>
      </c>
      <c r="CG187" s="3">
        <f>CF187</f>
        <v>0</v>
      </c>
      <c r="CH187" s="3">
        <f>CG187</f>
        <v>0</v>
      </c>
      <c r="CI187" s="3">
        <f>CH187</f>
        <v>0</v>
      </c>
      <c r="CJ187" s="3">
        <f>CI187</f>
        <v>0</v>
      </c>
      <c r="CK187" s="3">
        <f>CJ187</f>
        <v>0</v>
      </c>
      <c r="CL187" s="3">
        <f>CK187</f>
        <v>0</v>
      </c>
      <c r="CM187" s="3">
        <f>CL187</f>
        <v>0</v>
      </c>
      <c r="CN187" s="3">
        <f>CM187</f>
        <v>0</v>
      </c>
      <c r="CO187" s="3">
        <f>CN187</f>
        <v>0</v>
      </c>
      <c r="CP187" s="3">
        <f>CO187</f>
        <v>0</v>
      </c>
      <c r="CQ187" s="3">
        <f>CP187</f>
        <v>0</v>
      </c>
      <c r="CR187" s="3">
        <f>CQ187</f>
        <v>0</v>
      </c>
      <c r="CS187" s="3">
        <f>CR187</f>
        <v>0</v>
      </c>
      <c r="CT187" s="3">
        <f>CS187</f>
        <v>0</v>
      </c>
      <c r="CU187" s="3">
        <f>CT187</f>
        <v>0</v>
      </c>
      <c r="CV187" s="3">
        <f>CU187</f>
        <v>0</v>
      </c>
      <c r="CW187" s="3">
        <f>CV187</f>
        <v>0</v>
      </c>
      <c r="CX187" s="3">
        <f>CW187</f>
        <v>0</v>
      </c>
      <c r="CY187" s="3">
        <f>CX187</f>
        <v>0</v>
      </c>
    </row>
    <row r="188">
      <c r="C188" s="26" t="inlineStr">
        <is>
          <t>Short term operating leases</t>
        </is>
      </c>
      <c r="D188" s="25">
        <f>INDEX('Inputs (2)'!$D$34:$AL$34,MATCH(D$7,'Inputs (2)'!$D$2:$AL$2,0))</f>
        <v>0</v>
      </c>
      <c r="E188" s="25">
        <f>INDEX('Inputs (2)'!$D$34:$AL$34,MATCH(E$7,'Inputs (2)'!$D$2:$AL$2,0))</f>
        <v>0</v>
      </c>
      <c r="F188" s="25">
        <f>INDEX('Inputs (2)'!$D$34:$AL$34,MATCH(F$7,'Inputs (2)'!$D$2:$AL$2,0))</f>
        <v>0</v>
      </c>
      <c r="G188" s="25">
        <f>INDEX('Inputs (2)'!$D$34:$AL$34,MATCH(G$7,'Inputs (2)'!$D$2:$AL$2,0))</f>
        <v>0</v>
      </c>
      <c r="H188" s="3">
        <f>G188</f>
        <v>0</v>
      </c>
      <c r="I188" s="25">
        <f>INDEX('Inputs (2)'!$D$34:$AL$34,MATCH(I$7,'Inputs (2)'!$D$2:$AL$2,0))</f>
        <v>0</v>
      </c>
      <c r="J188" s="25">
        <f>INDEX('Inputs (2)'!$D$34:$AL$34,MATCH(J$7,'Inputs (2)'!$D$2:$AL$2,0))</f>
        <v>0</v>
      </c>
      <c r="K188" s="25">
        <f>INDEX('Inputs (2)'!$D$34:$AL$34,MATCH(K$7,'Inputs (2)'!$D$2:$AL$2,0))</f>
        <v>0</v>
      </c>
      <c r="L188" s="25">
        <f>INDEX('Inputs (2)'!$D$34:$AL$34,MATCH(L$7,'Inputs (2)'!$D$2:$AL$2,0))</f>
        <v>0</v>
      </c>
      <c r="M188" s="3">
        <f>L188</f>
        <v>0</v>
      </c>
      <c r="N188" s="25">
        <f>INDEX('Inputs (2)'!$D$34:$AL$34,MATCH(N$7,'Inputs (2)'!$D$2:$AL$2,0))</f>
        <v>0</v>
      </c>
      <c r="O188" s="25">
        <f>INDEX('Inputs (2)'!$D$34:$AL$34,MATCH(O$7,'Inputs (2)'!$D$2:$AL$2,0))</f>
        <v>0</v>
      </c>
      <c r="P188" s="25">
        <f>INDEX('Inputs (2)'!$D$34:$AL$34,MATCH(P$7,'Inputs (2)'!$D$2:$AL$2,0))</f>
        <v>0</v>
      </c>
      <c r="Q188" s="25">
        <f>INDEX('Inputs (2)'!$D$34:$AL$34,MATCH(Q$7,'Inputs (2)'!$D$2:$AL$2,0))</f>
        <v>0</v>
      </c>
      <c r="R188" s="3">
        <f>Q188</f>
        <v>0</v>
      </c>
      <c r="S188" s="25">
        <f>INDEX('Inputs (2)'!$D$34:$AL$34,MATCH(S$7,'Inputs (2)'!$D$2:$AL$2,0))</f>
        <v>0</v>
      </c>
      <c r="T188" s="25">
        <f>INDEX('Inputs (2)'!$D$34:$AL$34,MATCH(T$7,'Inputs (2)'!$D$2:$AL$2,0))</f>
        <v>0</v>
      </c>
      <c r="U188" s="25">
        <f>INDEX('Inputs (2)'!$D$34:$AL$34,MATCH(U$7,'Inputs (2)'!$D$2:$AL$2,0))</f>
        <v>0</v>
      </c>
      <c r="V188" s="25">
        <f>INDEX('Inputs (2)'!$D$34:$AL$34,MATCH(V$7,'Inputs (2)'!$D$2:$AL$2,0))</f>
        <v>0</v>
      </c>
      <c r="W188" s="3">
        <f>V188</f>
        <v>0</v>
      </c>
      <c r="X188" s="25">
        <f>INDEX('Inputs (2)'!$D$34:$AL$34,MATCH(X$7,'Inputs (2)'!$D$2:$AL$2,0))</f>
        <v>0</v>
      </c>
      <c r="Y188" s="25">
        <f>INDEX('Inputs (2)'!$D$34:$AL$34,MATCH(Y$7,'Inputs (2)'!$D$2:$AL$2,0))</f>
        <v>0</v>
      </c>
      <c r="Z188" s="25">
        <f>INDEX('Inputs (2)'!$D$34:$AL$34,MATCH(Z$7,'Inputs (2)'!$D$2:$AL$2,0))</f>
        <v>0</v>
      </c>
      <c r="AA188" s="25">
        <f>INDEX('Inputs (2)'!$D$34:$AL$34,MATCH(AA$7,'Inputs (2)'!$D$2:$AL$2,0))</f>
        <v>0</v>
      </c>
      <c r="AB188" s="3">
        <f>AA188</f>
        <v>0</v>
      </c>
      <c r="AC188" s="25">
        <f>INDEX('Inputs (2)'!$D$34:$AL$34,MATCH(AC$7,'Inputs (2)'!$D$2:$AL$2,0))</f>
        <v>0</v>
      </c>
      <c r="AD188" s="25">
        <f>INDEX('Inputs (2)'!$D$34:$AL$34,MATCH(AD$7,'Inputs (2)'!$D$2:$AL$2,0))</f>
        <v>0</v>
      </c>
      <c r="AE188" s="25">
        <f>INDEX('Inputs (2)'!$D$34:$AL$34,MATCH(AE$7,'Inputs (2)'!$D$2:$AL$2,0))</f>
        <v>0</v>
      </c>
      <c r="AF188" s="25">
        <f>INDEX('Inputs (2)'!$D$34:$AL$34,MATCH(AF$7,'Inputs (2)'!$D$2:$AL$2,0))</f>
        <v>0</v>
      </c>
      <c r="AG188" s="3">
        <f>AF188</f>
        <v>0</v>
      </c>
      <c r="AH188" s="3">
        <f>INDEX('Inputs (2)'!$D$34:$AL$34,MATCH(AH$7,'Inputs (2)'!$D$2:$AL$2,0))</f>
        <v>0</v>
      </c>
      <c r="AI188" s="3">
        <f>INDEX('Inputs (2)'!$D$34:$AL$34,MATCH(AI$7,'Inputs (2)'!$D$2:$AL$2,0))</f>
        <v>0</v>
      </c>
      <c r="AJ188" s="3">
        <f>AI188</f>
        <v>0</v>
      </c>
      <c r="AK188" s="3">
        <f>AJ188</f>
        <v>0</v>
      </c>
      <c r="AL188" s="3">
        <f>AK188</f>
        <v>0</v>
      </c>
      <c r="AM188" s="3">
        <f>AL188</f>
        <v>0</v>
      </c>
      <c r="AN188" s="3">
        <f>AM188</f>
        <v>0</v>
      </c>
      <c r="AO188" s="3">
        <f>AN188</f>
        <v>0</v>
      </c>
      <c r="AP188" s="3">
        <f>AO188</f>
        <v>0</v>
      </c>
      <c r="AQ188" s="3">
        <f>AP188</f>
        <v>0</v>
      </c>
      <c r="AR188" s="3">
        <f>AQ188</f>
        <v>0</v>
      </c>
      <c r="AS188" s="3">
        <f>AR188</f>
        <v>0</v>
      </c>
      <c r="AT188" s="3">
        <f>AS188</f>
        <v>0</v>
      </c>
      <c r="AU188" s="3">
        <f>AT188</f>
        <v>0</v>
      </c>
      <c r="AV188" s="3">
        <f>AU188</f>
        <v>0</v>
      </c>
      <c r="AW188" s="3">
        <f>AV188</f>
        <v>0</v>
      </c>
      <c r="AX188" s="3">
        <f>AW188</f>
        <v>0</v>
      </c>
      <c r="AY188" s="3">
        <f>AX188</f>
        <v>0</v>
      </c>
      <c r="AZ188" s="3">
        <f>AY188</f>
        <v>0</v>
      </c>
      <c r="BA188" s="3">
        <f>AZ188</f>
        <v>0</v>
      </c>
      <c r="BB188" s="3">
        <f>BA188</f>
        <v>0</v>
      </c>
      <c r="BC188" s="3">
        <f>BB188</f>
        <v>0</v>
      </c>
      <c r="BD188" s="3">
        <f>BC188</f>
        <v>0</v>
      </c>
      <c r="BE188" s="3">
        <f>BD188</f>
        <v>0</v>
      </c>
      <c r="BF188" s="3">
        <f>BE188</f>
        <v>0</v>
      </c>
      <c r="BG188" s="3">
        <f>BF188</f>
        <v>0</v>
      </c>
      <c r="BH188" s="3">
        <f>BG188</f>
        <v>0</v>
      </c>
      <c r="BI188" s="3">
        <f>BH188</f>
        <v>0</v>
      </c>
      <c r="BJ188" s="3">
        <f>BI188</f>
        <v>0</v>
      </c>
      <c r="BK188" s="3">
        <f>BJ188</f>
        <v>0</v>
      </c>
      <c r="BL188" s="3">
        <f>BK188</f>
        <v>0</v>
      </c>
      <c r="BM188" s="3">
        <f>BL188</f>
        <v>0</v>
      </c>
      <c r="BN188" s="3">
        <f>BM188</f>
        <v>0</v>
      </c>
      <c r="BO188" s="3">
        <f>BN188</f>
        <v>0</v>
      </c>
      <c r="BP188" s="3">
        <f>BO188</f>
        <v>0</v>
      </c>
      <c r="BQ188" s="3">
        <f>BP188</f>
        <v>0</v>
      </c>
      <c r="BR188" s="3">
        <f>BQ188</f>
        <v>0</v>
      </c>
      <c r="BS188" s="3">
        <f>BR188</f>
        <v>0</v>
      </c>
      <c r="BT188" s="3">
        <f>BS188</f>
        <v>0</v>
      </c>
      <c r="BU188" s="3">
        <f>BT188</f>
        <v>0</v>
      </c>
      <c r="BV188" s="3">
        <f>BU188</f>
        <v>0</v>
      </c>
      <c r="BW188" s="3">
        <f>BV188</f>
        <v>0</v>
      </c>
      <c r="BX188" s="3">
        <f>BW188</f>
        <v>0</v>
      </c>
      <c r="BY188" s="3">
        <f>BX188</f>
        <v>0</v>
      </c>
      <c r="BZ188" s="3">
        <f>BY188</f>
        <v>0</v>
      </c>
      <c r="CA188" s="3">
        <f>BZ188</f>
        <v>0</v>
      </c>
      <c r="CB188" s="3">
        <f>CA188</f>
        <v>0</v>
      </c>
      <c r="CC188" s="3">
        <f>CB188</f>
        <v>0</v>
      </c>
      <c r="CD188" s="3">
        <f>CC188</f>
        <v>0</v>
      </c>
      <c r="CE188" s="3">
        <f>CD188</f>
        <v>0</v>
      </c>
      <c r="CF188" s="3">
        <f>CE188</f>
        <v>0</v>
      </c>
      <c r="CG188" s="3">
        <f>CF188</f>
        <v>0</v>
      </c>
      <c r="CH188" s="3">
        <f>CG188</f>
        <v>0</v>
      </c>
      <c r="CI188" s="3">
        <f>CH188</f>
        <v>0</v>
      </c>
      <c r="CJ188" s="3">
        <f>CI188</f>
        <v>0</v>
      </c>
      <c r="CK188" s="3">
        <f>CJ188</f>
        <v>0</v>
      </c>
      <c r="CL188" s="3">
        <f>CK188</f>
        <v>0</v>
      </c>
      <c r="CM188" s="3">
        <f>CL188</f>
        <v>0</v>
      </c>
      <c r="CN188" s="3">
        <f>CM188</f>
        <v>0</v>
      </c>
      <c r="CO188" s="3">
        <f>CN188</f>
        <v>0</v>
      </c>
      <c r="CP188" s="3">
        <f>CO188</f>
        <v>0</v>
      </c>
      <c r="CQ188" s="3">
        <f>CP188</f>
        <v>0</v>
      </c>
      <c r="CR188" s="3">
        <f>CQ188</f>
        <v>0</v>
      </c>
      <c r="CS188" s="3">
        <f>CR188</f>
        <v>0</v>
      </c>
      <c r="CT188" s="3">
        <f>CS188</f>
        <v>0</v>
      </c>
      <c r="CU188" s="3">
        <f>CT188</f>
        <v>0</v>
      </c>
      <c r="CV188" s="3">
        <f>CU188</f>
        <v>0</v>
      </c>
      <c r="CW188" s="3">
        <f>CV188</f>
        <v>0</v>
      </c>
      <c r="CX188" s="3">
        <f>CW188</f>
        <v>0</v>
      </c>
      <c r="CY188" s="3">
        <f>CX188</f>
        <v>0</v>
      </c>
    </row>
    <row r="189" hidden="1" outlineLevel="1">
      <c r="C189" s="38" t="inlineStr">
        <is>
          <t>%(Var.)</t>
        </is>
      </c>
      <c r="D189" s="3" t="n"/>
      <c r="E189" s="47">
        <f>IFERROR((E188-D188)/D188,0)</f>
        <v>0</v>
      </c>
      <c r="F189" s="47">
        <f>IFERROR((F188-E188)/E188,0)</f>
        <v>0</v>
      </c>
      <c r="G189" s="47">
        <f>IFERROR((G188-F188)/F188,0)</f>
        <v>0</v>
      </c>
      <c r="H189" s="3" t="n"/>
      <c r="I189" s="47">
        <f>IFERROR((I188-H188)/H188,0)</f>
        <v>0</v>
      </c>
      <c r="J189" s="47">
        <f>IFERROR((J188-I188)/I188,0)</f>
        <v>0</v>
      </c>
      <c r="K189" s="47">
        <f>IFERROR((K188-J188)/J188,0)</f>
        <v>0</v>
      </c>
      <c r="L189" s="47">
        <f>IFERROR((L188-K188)/K188,0)</f>
        <v>0</v>
      </c>
      <c r="M189" s="3" t="n"/>
      <c r="N189" s="47">
        <f>IFERROR((N188-M188)/M188,0)</f>
        <v>0</v>
      </c>
      <c r="O189" s="47">
        <f>IFERROR((O188-N188)/N188,0)</f>
        <v>0</v>
      </c>
      <c r="P189" s="47">
        <f>IFERROR((P188-O188)/O188,0)</f>
        <v>0</v>
      </c>
      <c r="Q189" s="47">
        <f>IFERROR((Q188-P188)/P188,0)</f>
        <v>0</v>
      </c>
      <c r="R189" s="3" t="n"/>
      <c r="S189" s="47">
        <f>IFERROR((S188-R188)/R188,0)</f>
        <v>0</v>
      </c>
      <c r="T189" s="47">
        <f>IFERROR((T188-S188)/S188,0)</f>
        <v>0</v>
      </c>
      <c r="U189" s="47">
        <f>IFERROR((U188-T188)/T188,0)</f>
        <v>0</v>
      </c>
      <c r="V189" s="47">
        <f>IFERROR((V188-U188)/U188,0)</f>
        <v>0</v>
      </c>
      <c r="W189" s="3" t="n"/>
      <c r="X189" s="47">
        <f>IFERROR((X188-W188)/W188,0)</f>
        <v>0</v>
      </c>
      <c r="Y189" s="47">
        <f>IFERROR((Y188-X188)/X188,0)</f>
        <v>0</v>
      </c>
      <c r="Z189" s="47">
        <f>IFERROR((Z188-Y188)/Y188,0)</f>
        <v>0</v>
      </c>
      <c r="AA189" s="47">
        <f>IFERROR((AA188-Z188)/Z188,0)</f>
        <v>0</v>
      </c>
      <c r="AB189" s="3" t="n"/>
      <c r="AC189" s="47">
        <f>IFERROR((AC188-AB188)/AB188,0)</f>
        <v>0</v>
      </c>
      <c r="AD189" s="47">
        <f>IFERROR((AD188-AC188)/AC188,0)</f>
        <v>0</v>
      </c>
      <c r="AE189" s="47">
        <f>IFERROR((AE188-AD188)/AD188,0)</f>
        <v>0</v>
      </c>
      <c r="AF189" s="6">
        <f>IFERROR((AF188-AE188)/AE188,0)</f>
        <v>0</v>
      </c>
      <c r="AG189" s="3" t="n"/>
      <c r="AH189" s="6">
        <f>IFERROR((AH188-AG188)/AG188,0)</f>
        <v>0</v>
      </c>
      <c r="AI189" s="6">
        <f>IFERROR((AI188-AH188)/AH188,0)</f>
        <v>0</v>
      </c>
      <c r="AJ189" s="6" t="n"/>
      <c r="AK189" s="6" t="n"/>
      <c r="AL189" s="3" t="n"/>
      <c r="AM189" s="6" t="n"/>
      <c r="AN189" s="6" t="n"/>
      <c r="AO189" s="6" t="n"/>
      <c r="AP189" s="6" t="n"/>
      <c r="AQ189" s="3" t="n"/>
      <c r="AR189" s="6" t="n"/>
      <c r="AS189" s="6" t="n"/>
      <c r="AT189" s="6" t="n"/>
      <c r="AU189" s="6" t="n"/>
      <c r="AV189" s="3" t="n"/>
      <c r="AW189" s="6" t="n"/>
      <c r="AX189" s="6" t="n"/>
      <c r="AY189" s="6" t="n"/>
      <c r="AZ189" s="6" t="n"/>
      <c r="BA189" s="3" t="n"/>
      <c r="BB189" s="6" t="n"/>
      <c r="BC189" s="6" t="n"/>
      <c r="BD189" s="6" t="n"/>
      <c r="BE189" s="6" t="n"/>
      <c r="BF189" s="3" t="n"/>
      <c r="BG189" s="6" t="n"/>
      <c r="BH189" s="6" t="n"/>
      <c r="BI189" s="6" t="n"/>
      <c r="BJ189" s="6" t="n"/>
      <c r="BK189" s="3" t="n"/>
      <c r="BL189" s="6" t="n"/>
      <c r="BM189" s="6" t="n"/>
      <c r="BN189" s="6" t="n"/>
      <c r="BO189" s="6" t="n"/>
      <c r="BP189" s="3" t="n"/>
      <c r="BQ189" s="6" t="n"/>
      <c r="BR189" s="6" t="n"/>
      <c r="BS189" s="6" t="n"/>
      <c r="BT189" s="6" t="n"/>
      <c r="BU189" s="3" t="n"/>
      <c r="BV189" s="6" t="n"/>
      <c r="BW189" s="6" t="n"/>
      <c r="BX189" s="6" t="n"/>
      <c r="BY189" s="6" t="n"/>
      <c r="BZ189" s="3" t="n"/>
      <c r="CA189" s="6" t="n"/>
      <c r="CB189" s="6" t="n"/>
      <c r="CC189" s="6" t="n"/>
      <c r="CD189" s="6" t="n"/>
      <c r="CE189" s="3" t="n"/>
      <c r="CF189" s="6" t="n"/>
      <c r="CG189" s="6" t="n"/>
      <c r="CH189" s="6" t="n"/>
      <c r="CI189" s="6" t="n"/>
      <c r="CJ189" s="3" t="n"/>
      <c r="CK189" s="6" t="n"/>
      <c r="CL189" s="6" t="n"/>
      <c r="CM189" s="6" t="n"/>
      <c r="CN189" s="6" t="n"/>
      <c r="CO189" s="3" t="n"/>
      <c r="CP189" s="6" t="n"/>
      <c r="CQ189" s="6" t="n"/>
      <c r="CR189" s="6" t="n"/>
      <c r="CS189" s="6" t="n"/>
      <c r="CT189" s="3" t="n"/>
      <c r="CU189" s="6" t="n"/>
      <c r="CV189" s="6" t="n"/>
      <c r="CW189" s="6" t="n"/>
      <c r="CX189" s="6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>
      <c r="C191" s="26" t="inlineStr">
        <is>
          <t>Long term debt</t>
        </is>
      </c>
      <c r="D191" s="25">
        <f>INDEX('Inputs (2)'!$D$35:$AL$35,MATCH(D$7,'Inputs (2)'!$D$2:$AL$2,0))</f>
        <v>0</v>
      </c>
      <c r="E191" s="25">
        <f>INDEX('Inputs (2)'!$D$35:$AL$35,MATCH(E$7,'Inputs (2)'!$D$2:$AL$2,0))</f>
        <v>0</v>
      </c>
      <c r="F191" s="25">
        <f>INDEX('Inputs (2)'!$D$35:$AL$35,MATCH(F$7,'Inputs (2)'!$D$2:$AL$2,0))</f>
        <v>0</v>
      </c>
      <c r="G191" s="25">
        <f>INDEX('Inputs (2)'!$D$35:$AL$35,MATCH(G$7,'Inputs (2)'!$D$2:$AL$2,0))</f>
        <v>0</v>
      </c>
      <c r="H191" s="3">
        <f>G191</f>
        <v>0</v>
      </c>
      <c r="I191" s="25">
        <f>INDEX('Inputs (2)'!$D$35:$AL$35,MATCH(I$7,'Inputs (2)'!$D$2:$AL$2,0))</f>
        <v>0</v>
      </c>
      <c r="J191" s="25">
        <f>INDEX('Inputs (2)'!$D$35:$AL$35,MATCH(J$7,'Inputs (2)'!$D$2:$AL$2,0))</f>
        <v>0</v>
      </c>
      <c r="K191" s="25">
        <f>INDEX('Inputs (2)'!$D$35:$AL$35,MATCH(K$7,'Inputs (2)'!$D$2:$AL$2,0))</f>
        <v>0</v>
      </c>
      <c r="L191" s="25">
        <f>INDEX('Inputs (2)'!$D$35:$AL$35,MATCH(L$7,'Inputs (2)'!$D$2:$AL$2,0))</f>
        <v>0</v>
      </c>
      <c r="M191" s="3">
        <f>L191</f>
        <v>0</v>
      </c>
      <c r="N191" s="25">
        <f>INDEX('Inputs (2)'!$D$35:$AL$35,MATCH(N$7,'Inputs (2)'!$D$2:$AL$2,0))</f>
        <v>0</v>
      </c>
      <c r="O191" s="25">
        <f>INDEX('Inputs (2)'!$D$35:$AL$35,MATCH(O$7,'Inputs (2)'!$D$2:$AL$2,0))</f>
        <v>0</v>
      </c>
      <c r="P191" s="25">
        <f>INDEX('Inputs (2)'!$D$35:$AL$35,MATCH(P$7,'Inputs (2)'!$D$2:$AL$2,0))</f>
        <v>0</v>
      </c>
      <c r="Q191" s="25">
        <f>INDEX('Inputs (2)'!$D$35:$AL$35,MATCH(Q$7,'Inputs (2)'!$D$2:$AL$2,0))</f>
        <v>0</v>
      </c>
      <c r="R191" s="3">
        <f>Q191</f>
        <v>0</v>
      </c>
      <c r="S191" s="25">
        <f>INDEX('Inputs (2)'!$D$35:$AL$35,MATCH(S$7,'Inputs (2)'!$D$2:$AL$2,0))</f>
        <v>0</v>
      </c>
      <c r="T191" s="25">
        <f>INDEX('Inputs (2)'!$D$35:$AL$35,MATCH(T$7,'Inputs (2)'!$D$2:$AL$2,0))</f>
        <v>0</v>
      </c>
      <c r="U191" s="25">
        <f>INDEX('Inputs (2)'!$D$35:$AL$35,MATCH(U$7,'Inputs (2)'!$D$2:$AL$2,0))</f>
        <v>0</v>
      </c>
      <c r="V191" s="25">
        <f>INDEX('Inputs (2)'!$D$35:$AL$35,MATCH(V$7,'Inputs (2)'!$D$2:$AL$2,0))</f>
        <v>0</v>
      </c>
      <c r="W191" s="3">
        <f>V191</f>
        <v>0</v>
      </c>
      <c r="X191" s="25">
        <f>INDEX('Inputs (2)'!$D$35:$AL$35,MATCH(X$7,'Inputs (2)'!$D$2:$AL$2,0))</f>
        <v>0</v>
      </c>
      <c r="Y191" s="25">
        <f>INDEX('Inputs (2)'!$D$35:$AL$35,MATCH(Y$7,'Inputs (2)'!$D$2:$AL$2,0))</f>
        <v>0</v>
      </c>
      <c r="Z191" s="25">
        <f>INDEX('Inputs (2)'!$D$35:$AL$35,MATCH(Z$7,'Inputs (2)'!$D$2:$AL$2,0))</f>
        <v>0</v>
      </c>
      <c r="AA191" s="25">
        <f>INDEX('Inputs (2)'!$D$35:$AL$35,MATCH(AA$7,'Inputs (2)'!$D$2:$AL$2,0))</f>
        <v>0</v>
      </c>
      <c r="AB191" s="3">
        <f>AA191</f>
        <v>0</v>
      </c>
      <c r="AC191" s="25">
        <f>INDEX('Inputs (2)'!$D$35:$AL$35,MATCH(AC$7,'Inputs (2)'!$D$2:$AL$2,0))</f>
        <v>0</v>
      </c>
      <c r="AD191" s="25">
        <f>INDEX('Inputs (2)'!$D$35:$AL$35,MATCH(AD$7,'Inputs (2)'!$D$2:$AL$2,0))</f>
        <v>0</v>
      </c>
      <c r="AE191" s="25">
        <f>INDEX('Inputs (2)'!$D$35:$AL$35,MATCH(AE$7,'Inputs (2)'!$D$2:$AL$2,0))</f>
        <v>0</v>
      </c>
      <c r="AF191" s="25">
        <f>INDEX('Inputs (2)'!$D$35:$AL$35,MATCH(AF$7,'Inputs (2)'!$D$2:$AL$2,0))</f>
        <v>0</v>
      </c>
      <c r="AG191" s="3">
        <f>AF191</f>
        <v>0</v>
      </c>
      <c r="AH191" s="3">
        <f>INDEX('Inputs (2)'!$D$35:$AL$35,MATCH(AH$7,'Inputs (2)'!$D$2:$AL$2,0))</f>
        <v>0</v>
      </c>
      <c r="AI191" s="3">
        <f>INDEX('Inputs (2)'!$D$35:$AL$35,MATCH(AI$7,'Inputs (2)'!$D$2:$AL$2,0))</f>
        <v>0</v>
      </c>
      <c r="AJ191" s="3">
        <f>AJ197</f>
        <v>0</v>
      </c>
      <c r="AK191" s="3">
        <f>AK197</f>
        <v>0</v>
      </c>
      <c r="AL191" s="3">
        <f>AK191</f>
        <v>0</v>
      </c>
      <c r="AM191" s="3">
        <f>AM197</f>
        <v>0</v>
      </c>
      <c r="AN191" s="3">
        <f>AN197</f>
        <v>0</v>
      </c>
      <c r="AO191" s="3">
        <f>AO197</f>
        <v>0</v>
      </c>
      <c r="AP191" s="3">
        <f>AP197</f>
        <v>0</v>
      </c>
      <c r="AQ191" s="3">
        <f>AP191</f>
        <v>0</v>
      </c>
      <c r="AR191" s="3">
        <f>AR197</f>
        <v>0</v>
      </c>
      <c r="AS191" s="3">
        <f>AS197</f>
        <v>0</v>
      </c>
      <c r="AT191" s="3">
        <f>AT197</f>
        <v>0</v>
      </c>
      <c r="AU191" s="3">
        <f>AU197</f>
        <v>0</v>
      </c>
      <c r="AV191" s="3">
        <f>AU191</f>
        <v>0</v>
      </c>
      <c r="AW191" s="3">
        <f>AW197</f>
        <v>0</v>
      </c>
      <c r="AX191" s="3">
        <f>AX197</f>
        <v>0</v>
      </c>
      <c r="AY191" s="3">
        <f>AY197</f>
        <v>0</v>
      </c>
      <c r="AZ191" s="3">
        <f>AZ197</f>
        <v>0</v>
      </c>
      <c r="BA191" s="3">
        <f>AZ191</f>
        <v>0</v>
      </c>
      <c r="BB191" s="3">
        <f>BB197</f>
        <v>0</v>
      </c>
      <c r="BC191" s="3">
        <f>BC197</f>
        <v>0</v>
      </c>
      <c r="BD191" s="3">
        <f>BD197</f>
        <v>0</v>
      </c>
      <c r="BE191" s="3">
        <f>BE197</f>
        <v>0</v>
      </c>
      <c r="BF191" s="3">
        <f>BE191</f>
        <v>0</v>
      </c>
      <c r="BG191" s="3">
        <f>BG197</f>
        <v>0</v>
      </c>
      <c r="BH191" s="3">
        <f>BH197</f>
        <v>0</v>
      </c>
      <c r="BI191" s="3">
        <f>BI197</f>
        <v>0</v>
      </c>
      <c r="BJ191" s="3">
        <f>BJ197</f>
        <v>0</v>
      </c>
      <c r="BK191" s="3">
        <f>BJ191</f>
        <v>0</v>
      </c>
      <c r="BL191" s="3">
        <f>BL197</f>
        <v>0</v>
      </c>
      <c r="BM191" s="3">
        <f>BM197</f>
        <v>0</v>
      </c>
      <c r="BN191" s="3">
        <f>BN197</f>
        <v>0</v>
      </c>
      <c r="BO191" s="3">
        <f>BO197</f>
        <v>0</v>
      </c>
      <c r="BP191" s="3">
        <f>BO191</f>
        <v>0</v>
      </c>
      <c r="BQ191" s="3">
        <f>BQ197</f>
        <v>0</v>
      </c>
      <c r="BR191" s="3">
        <f>BR197</f>
        <v>0</v>
      </c>
      <c r="BS191" s="3">
        <f>BS197</f>
        <v>0</v>
      </c>
      <c r="BT191" s="3">
        <f>BT197</f>
        <v>0</v>
      </c>
      <c r="BU191" s="3">
        <f>BT191</f>
        <v>0</v>
      </c>
      <c r="BV191" s="3">
        <f>BV197</f>
        <v>0</v>
      </c>
      <c r="BW191" s="3">
        <f>BW197</f>
        <v>0</v>
      </c>
      <c r="BX191" s="3">
        <f>BX197</f>
        <v>0</v>
      </c>
      <c r="BY191" s="3">
        <f>BY197</f>
        <v>0</v>
      </c>
      <c r="BZ191" s="3">
        <f>BY191</f>
        <v>0</v>
      </c>
      <c r="CA191" s="3">
        <f>CA197</f>
        <v>0</v>
      </c>
      <c r="CB191" s="3">
        <f>CB197</f>
        <v>0</v>
      </c>
      <c r="CC191" s="3">
        <f>CC197</f>
        <v>0</v>
      </c>
      <c r="CD191" s="3">
        <f>CD197</f>
        <v>0</v>
      </c>
      <c r="CE191" s="3">
        <f>CD191</f>
        <v>0</v>
      </c>
      <c r="CF191" s="3">
        <f>CF197</f>
        <v>0</v>
      </c>
      <c r="CG191" s="3">
        <f>CG197</f>
        <v>0</v>
      </c>
      <c r="CH191" s="3">
        <f>CH197</f>
        <v>0</v>
      </c>
      <c r="CI191" s="3">
        <f>CI197</f>
        <v>0</v>
      </c>
      <c r="CJ191" s="3">
        <f>CI191</f>
        <v>0</v>
      </c>
      <c r="CK191" s="3">
        <f>CK197</f>
        <v>0</v>
      </c>
      <c r="CL191" s="3">
        <f>CL197</f>
        <v>0</v>
      </c>
      <c r="CM191" s="3">
        <f>CM197</f>
        <v>0</v>
      </c>
      <c r="CN191" s="3">
        <f>CN197</f>
        <v>0</v>
      </c>
      <c r="CO191" s="3">
        <f>CN191</f>
        <v>0</v>
      </c>
      <c r="CP191" s="3">
        <f>CP197</f>
        <v>0</v>
      </c>
      <c r="CQ191" s="3">
        <f>CQ197</f>
        <v>0</v>
      </c>
      <c r="CR191" s="3">
        <f>CR197</f>
        <v>0</v>
      </c>
      <c r="CS191" s="3">
        <f>CS197</f>
        <v>0</v>
      </c>
      <c r="CT191" s="3">
        <f>CS191</f>
        <v>0</v>
      </c>
      <c r="CU191" s="3">
        <f>CU197</f>
        <v>0</v>
      </c>
      <c r="CV191" s="3">
        <f>CV197</f>
        <v>0</v>
      </c>
      <c r="CW191" s="3">
        <f>CW197</f>
        <v>0</v>
      </c>
      <c r="CX191" s="3">
        <f>CX197</f>
        <v>0</v>
      </c>
      <c r="CY191" s="3">
        <f>CX191</f>
        <v>0</v>
      </c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inlineStr">
        <is>
          <t>Current portion of LTD</t>
        </is>
      </c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>
        <f>AF186</f>
        <v>977</v>
      </c>
      <c r="AI193" s="35" t="n"/>
      <c r="AJ193" s="35" t="n"/>
      <c r="AK193" s="35" t="n"/>
      <c r="AL193" s="3" t="n"/>
      <c r="AM193" s="3">
        <f>AK186</f>
        <v>401</v>
      </c>
      <c r="AN193" s="35" t="n"/>
      <c r="AO193" s="35" t="n"/>
      <c r="AP193" s="35" t="n"/>
      <c r="AQ193" s="3" t="n"/>
      <c r="AR193" s="3">
        <f>AP186</f>
        <v>401</v>
      </c>
      <c r="AS193" s="35" t="n"/>
      <c r="AT193" s="35" t="n"/>
      <c r="AU193" s="35" t="n"/>
      <c r="AV193" s="3" t="n"/>
      <c r="AW193" s="3">
        <f>AU186</f>
        <v>401</v>
      </c>
      <c r="AX193" s="35" t="n"/>
      <c r="AY193" s="35" t="n"/>
      <c r="AZ193" s="35" t="n"/>
      <c r="BA193" s="3" t="n"/>
      <c r="BB193" s="3">
        <f>AZ186</f>
        <v>401</v>
      </c>
      <c r="BC193" s="35" t="n"/>
      <c r="BD193" s="35" t="n"/>
      <c r="BE193" s="35" t="n"/>
      <c r="BF193" s="3" t="n"/>
      <c r="BG193" s="3">
        <f>BE186</f>
        <v>401</v>
      </c>
      <c r="BH193" s="35" t="n"/>
      <c r="BI193" s="35" t="n"/>
      <c r="BJ193" s="35" t="n"/>
      <c r="BK193" s="3" t="n"/>
      <c r="BL193" s="3">
        <f>BJ186</f>
        <v>401</v>
      </c>
      <c r="BM193" s="35" t="n"/>
      <c r="BN193" s="35" t="n"/>
      <c r="BO193" s="35" t="n"/>
      <c r="BP193" s="3" t="n"/>
      <c r="BQ193" s="3">
        <f>BO186</f>
        <v>401</v>
      </c>
      <c r="BR193" s="35" t="n"/>
      <c r="BS193" s="35" t="n"/>
      <c r="BT193" s="35" t="n"/>
      <c r="BU193" s="3" t="n"/>
      <c r="BV193" s="3">
        <f>BT186</f>
        <v>401</v>
      </c>
      <c r="BW193" s="35" t="n"/>
      <c r="BX193" s="35" t="n"/>
      <c r="BY193" s="35" t="n"/>
      <c r="BZ193" s="3" t="n"/>
      <c r="CA193" s="3">
        <f>BY186</f>
        <v>401</v>
      </c>
      <c r="CB193" s="35" t="n"/>
      <c r="CC193" s="35" t="n"/>
      <c r="CD193" s="35" t="n"/>
      <c r="CE193" s="3" t="n"/>
      <c r="CF193" s="3">
        <f>CD186</f>
        <v>401</v>
      </c>
      <c r="CG193" s="35" t="n"/>
      <c r="CH193" s="35" t="n"/>
      <c r="CI193" s="35" t="n"/>
      <c r="CJ193" s="3" t="n"/>
      <c r="CK193" s="3">
        <f>CI186</f>
        <v>401</v>
      </c>
      <c r="CL193" s="35" t="n"/>
      <c r="CM193" s="35" t="n"/>
      <c r="CN193" s="35" t="n"/>
      <c r="CO193" s="3" t="n"/>
      <c r="CP193" s="3">
        <f>CN186</f>
        <v>401</v>
      </c>
      <c r="CQ193" s="35" t="n"/>
      <c r="CR193" s="35" t="n"/>
      <c r="CS193" s="35" t="n"/>
      <c r="CT193" s="3" t="n"/>
      <c r="CU193" s="3">
        <f>CS186</f>
        <v>401</v>
      </c>
      <c r="CV193" s="35" t="n"/>
      <c r="CW193" s="35" t="n"/>
      <c r="CX193" s="35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Reclassification of LTD to CP of LTD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>
        <f>-AI193</f>
        <v>0</v>
      </c>
      <c r="AJ195" s="3">
        <f>-AJ193</f>
        <v>0</v>
      </c>
      <c r="AK195" s="3">
        <f>-AK193</f>
        <v>0</v>
      </c>
      <c r="AL195" s="3" t="n"/>
      <c r="AM195" s="3" t="n"/>
      <c r="AN195" s="3">
        <f>-AN193</f>
        <v>0</v>
      </c>
      <c r="AO195" s="3">
        <f>-AO193</f>
        <v>0</v>
      </c>
      <c r="AP195" s="3">
        <f>-AP193</f>
        <v>0</v>
      </c>
      <c r="AQ195" s="3" t="n"/>
      <c r="AR195" s="3" t="n"/>
      <c r="AS195" s="3">
        <f>-AS193</f>
        <v>0</v>
      </c>
      <c r="AT195" s="3">
        <f>-AT193</f>
        <v>0</v>
      </c>
      <c r="AU195" s="3">
        <f>-AU193</f>
        <v>0</v>
      </c>
      <c r="AV195" s="3" t="n"/>
      <c r="AW195" s="3" t="n"/>
      <c r="AX195" s="3">
        <f>-AX193</f>
        <v>0</v>
      </c>
      <c r="AY195" s="3">
        <f>-AY193</f>
        <v>0</v>
      </c>
      <c r="AZ195" s="3">
        <f>-AZ193</f>
        <v>0</v>
      </c>
      <c r="BA195" s="3" t="n"/>
      <c r="BB195" s="3" t="n"/>
      <c r="BC195" s="3">
        <f>-BC193</f>
        <v>0</v>
      </c>
      <c r="BD195" s="3">
        <f>-BD193</f>
        <v>0</v>
      </c>
      <c r="BE195" s="3">
        <f>-BE193</f>
        <v>0</v>
      </c>
      <c r="BF195" s="3" t="n"/>
      <c r="BG195" s="3" t="n"/>
      <c r="BH195" s="3">
        <f>-BH193</f>
        <v>0</v>
      </c>
      <c r="BI195" s="3">
        <f>-BI193</f>
        <v>0</v>
      </c>
      <c r="BJ195" s="3">
        <f>-BJ193</f>
        <v>0</v>
      </c>
      <c r="BK195" s="3" t="n"/>
      <c r="BL195" s="3" t="n"/>
      <c r="BM195" s="3">
        <f>-BM193</f>
        <v>0</v>
      </c>
      <c r="BN195" s="3">
        <f>-BN193</f>
        <v>0</v>
      </c>
      <c r="BO195" s="3">
        <f>-BO193</f>
        <v>0</v>
      </c>
      <c r="BP195" s="3" t="n"/>
      <c r="BQ195" s="3" t="n"/>
      <c r="BR195" s="3">
        <f>-BR193</f>
        <v>0</v>
      </c>
      <c r="BS195" s="3">
        <f>-BS193</f>
        <v>0</v>
      </c>
      <c r="BT195" s="3">
        <f>-BT193</f>
        <v>0</v>
      </c>
      <c r="BU195" s="3" t="n"/>
      <c r="BV195" s="3" t="n"/>
      <c r="BW195" s="3">
        <f>-BW193</f>
        <v>0</v>
      </c>
      <c r="BX195" s="3">
        <f>-BX193</f>
        <v>0</v>
      </c>
      <c r="BY195" s="3">
        <f>-BY193</f>
        <v>0</v>
      </c>
      <c r="BZ195" s="3" t="n"/>
      <c r="CA195" s="3" t="n"/>
      <c r="CB195" s="3">
        <f>-CB193</f>
        <v>0</v>
      </c>
      <c r="CC195" s="3">
        <f>-CC193</f>
        <v>0</v>
      </c>
      <c r="CD195" s="3">
        <f>-CD193</f>
        <v>0</v>
      </c>
      <c r="CE195" s="3" t="n"/>
      <c r="CF195" s="3" t="n"/>
      <c r="CG195" s="3">
        <f>-CG193</f>
        <v>0</v>
      </c>
      <c r="CH195" s="3">
        <f>-CH193</f>
        <v>0</v>
      </c>
      <c r="CI195" s="3">
        <f>-CI193</f>
        <v>0</v>
      </c>
      <c r="CJ195" s="3" t="n"/>
      <c r="CK195" s="3" t="n"/>
      <c r="CL195" s="3">
        <f>-CL193</f>
        <v>0</v>
      </c>
      <c r="CM195" s="3">
        <f>-CM193</f>
        <v>0</v>
      </c>
      <c r="CN195" s="3">
        <f>-CN193</f>
        <v>0</v>
      </c>
      <c r="CO195" s="3" t="n"/>
      <c r="CP195" s="3" t="n"/>
      <c r="CQ195" s="3">
        <f>-CQ193</f>
        <v>0</v>
      </c>
      <c r="CR195" s="3">
        <f>-CR193</f>
        <v>0</v>
      </c>
      <c r="CS195" s="3">
        <f>-CS193</f>
        <v>0</v>
      </c>
      <c r="CT195" s="3" t="n"/>
      <c r="CU195" s="3" t="n"/>
      <c r="CV195" s="3">
        <f>-CV193</f>
        <v>0</v>
      </c>
      <c r="CW195" s="3">
        <f>-CW193</f>
        <v>0</v>
      </c>
      <c r="CX195" s="3">
        <f>-CX193</f>
        <v>0</v>
      </c>
      <c r="CY195" s="3" t="n"/>
    </row>
    <row r="196" hidden="1" outlineLevel="1">
      <c r="C196" s="34" t="inlineStr">
        <is>
          <t>Discretionary (paydown)/borrowing of long term debt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5" t="n"/>
      <c r="AI196" s="35" t="n"/>
      <c r="AJ196" s="35" t="n"/>
      <c r="AK196" s="35" t="n"/>
      <c r="AL196" s="3" t="n"/>
      <c r="AM196" s="35" t="n"/>
      <c r="AN196" s="35" t="n"/>
      <c r="AO196" s="35" t="n"/>
      <c r="AP196" s="35" t="n"/>
      <c r="AQ196" s="3" t="n"/>
      <c r="AR196" s="35" t="n"/>
      <c r="AS196" s="35" t="n"/>
      <c r="AT196" s="35" t="n"/>
      <c r="AU196" s="35" t="n"/>
      <c r="AV196" s="3" t="n"/>
      <c r="AW196" s="35" t="n"/>
      <c r="AX196" s="35" t="n"/>
      <c r="AY196" s="35" t="n"/>
      <c r="AZ196" s="35" t="n"/>
      <c r="BA196" s="3" t="n"/>
      <c r="BB196" s="35" t="n"/>
      <c r="BC196" s="35" t="n"/>
      <c r="BD196" s="35" t="n"/>
      <c r="BE196" s="35" t="n"/>
      <c r="BF196" s="3" t="n"/>
      <c r="BG196" s="35" t="n"/>
      <c r="BH196" s="35" t="n"/>
      <c r="BI196" s="35" t="n"/>
      <c r="BJ196" s="35" t="n"/>
      <c r="BK196" s="3" t="n"/>
      <c r="BL196" s="35" t="n"/>
      <c r="BM196" s="35" t="n"/>
      <c r="BN196" s="35" t="n"/>
      <c r="BO196" s="35" t="n"/>
      <c r="BP196" s="3" t="n"/>
      <c r="BQ196" s="35" t="n"/>
      <c r="BR196" s="35" t="n"/>
      <c r="BS196" s="35" t="n"/>
      <c r="BT196" s="35" t="n"/>
      <c r="BU196" s="3" t="n"/>
      <c r="BV196" s="35" t="n"/>
      <c r="BW196" s="35" t="n"/>
      <c r="BX196" s="35" t="n"/>
      <c r="BY196" s="35" t="n"/>
      <c r="BZ196" s="3" t="n"/>
      <c r="CA196" s="35" t="n"/>
      <c r="CB196" s="35" t="n"/>
      <c r="CC196" s="35" t="n"/>
      <c r="CD196" s="35" t="n"/>
      <c r="CE196" s="3" t="n"/>
      <c r="CF196" s="35" t="n"/>
      <c r="CG196" s="35" t="n"/>
      <c r="CH196" s="35" t="n"/>
      <c r="CI196" s="35" t="n"/>
      <c r="CJ196" s="3" t="n"/>
      <c r="CK196" s="35" t="n"/>
      <c r="CL196" s="35" t="n"/>
      <c r="CM196" s="35" t="n"/>
      <c r="CN196" s="35" t="n"/>
      <c r="CO196" s="3" t="n"/>
      <c r="CP196" s="35" t="n"/>
      <c r="CQ196" s="35" t="n"/>
      <c r="CR196" s="35" t="n"/>
      <c r="CS196" s="35" t="n"/>
      <c r="CT196" s="3" t="n"/>
      <c r="CU196" s="35" t="n"/>
      <c r="CV196" s="35" t="n"/>
      <c r="CW196" s="35" t="n"/>
      <c r="CX196" s="35" t="n"/>
      <c r="CY196" s="3" t="n"/>
    </row>
    <row r="197" hidden="1" outlineLevel="1">
      <c r="C197" s="34" t="inlineStr">
        <is>
          <t>Long term debt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>
        <f>AF191+SUM(AH195:AH196)</f>
        <v>0</v>
      </c>
      <c r="AI197" s="3">
        <f>AH197+SUM(AI195:AI196)</f>
        <v>0</v>
      </c>
      <c r="AJ197" s="3">
        <f>AI191+SUM(AJ195:AJ196)</f>
        <v>0</v>
      </c>
      <c r="AK197" s="3">
        <f>AJ197+SUM(AK195:AK196)</f>
        <v>0</v>
      </c>
      <c r="AL197" s="3" t="n"/>
      <c r="AM197" s="3">
        <f>AK197+SUM(AM195:AM196)</f>
        <v>0</v>
      </c>
      <c r="AN197" s="3">
        <f>AM197+SUM(AN195:AN196)</f>
        <v>0</v>
      </c>
      <c r="AO197" s="3">
        <f>AN197+SUM(AO195:AO196)</f>
        <v>0</v>
      </c>
      <c r="AP197" s="3">
        <f>AO197+SUM(AP195:AP196)</f>
        <v>0</v>
      </c>
      <c r="AQ197" s="3" t="n"/>
      <c r="AR197" s="3">
        <f>AP197+SUM(AR195:AR196)</f>
        <v>0</v>
      </c>
      <c r="AS197" s="3">
        <f>AR197+SUM(AS195:AS196)</f>
        <v>0</v>
      </c>
      <c r="AT197" s="3">
        <f>AS197+SUM(AT195:AT196)</f>
        <v>0</v>
      </c>
      <c r="AU197" s="3">
        <f>AT197+SUM(AU195:AU196)</f>
        <v>0</v>
      </c>
      <c r="AV197" s="3" t="n"/>
      <c r="AW197" s="3">
        <f>AU197+SUM(AW195:AW196)</f>
        <v>0</v>
      </c>
      <c r="AX197" s="3">
        <f>AW197+SUM(AX195:AX196)</f>
        <v>0</v>
      </c>
      <c r="AY197" s="3">
        <f>AX197+SUM(AY195:AY196)</f>
        <v>0</v>
      </c>
      <c r="AZ197" s="3">
        <f>AY197+SUM(AZ195:AZ196)</f>
        <v>0</v>
      </c>
      <c r="BA197" s="3" t="n"/>
      <c r="BB197" s="3">
        <f>AZ197+SUM(BB195:BB196)</f>
        <v>0</v>
      </c>
      <c r="BC197" s="3">
        <f>BB197+SUM(BC195:BC196)</f>
        <v>0</v>
      </c>
      <c r="BD197" s="3">
        <f>BC197+SUM(BD195:BD196)</f>
        <v>0</v>
      </c>
      <c r="BE197" s="3">
        <f>BD197+SUM(BE195:BE196)</f>
        <v>0</v>
      </c>
      <c r="BF197" s="3" t="n"/>
      <c r="BG197" s="3">
        <f>BE197+SUM(BG195:BG196)</f>
        <v>0</v>
      </c>
      <c r="BH197" s="3">
        <f>BG197+SUM(BH195:BH196)</f>
        <v>0</v>
      </c>
      <c r="BI197" s="3">
        <f>BH197+SUM(BI195:BI196)</f>
        <v>0</v>
      </c>
      <c r="BJ197" s="3">
        <f>BI197+SUM(BJ195:BJ196)</f>
        <v>0</v>
      </c>
      <c r="BK197" s="3" t="n"/>
      <c r="BL197" s="3">
        <f>BJ197+SUM(BL195:BL196)</f>
        <v>0</v>
      </c>
      <c r="BM197" s="3">
        <f>BL197+SUM(BM195:BM196)</f>
        <v>0</v>
      </c>
      <c r="BN197" s="3">
        <f>BM197+SUM(BN195:BN196)</f>
        <v>0</v>
      </c>
      <c r="BO197" s="3">
        <f>BN197+SUM(BO195:BO196)</f>
        <v>0</v>
      </c>
      <c r="BP197" s="3" t="n"/>
      <c r="BQ197" s="3">
        <f>BO197+SUM(BQ195:BQ196)</f>
        <v>0</v>
      </c>
      <c r="BR197" s="3">
        <f>BQ197+SUM(BR195:BR196)</f>
        <v>0</v>
      </c>
      <c r="BS197" s="3">
        <f>BR197+SUM(BS195:BS196)</f>
        <v>0</v>
      </c>
      <c r="BT197" s="3">
        <f>BS197+SUM(BT195:BT196)</f>
        <v>0</v>
      </c>
      <c r="BU197" s="3" t="n"/>
      <c r="BV197" s="3">
        <f>BT197+SUM(BV195:BV196)</f>
        <v>0</v>
      </c>
      <c r="BW197" s="3">
        <f>BV197+SUM(BW195:BW196)</f>
        <v>0</v>
      </c>
      <c r="BX197" s="3">
        <f>BW197+SUM(BX195:BX196)</f>
        <v>0</v>
      </c>
      <c r="BY197" s="3">
        <f>BX197+SUM(BY195:BY196)</f>
        <v>0</v>
      </c>
      <c r="BZ197" s="3" t="n"/>
      <c r="CA197" s="3">
        <f>BY197+SUM(CA195:CA196)</f>
        <v>0</v>
      </c>
      <c r="CB197" s="3">
        <f>CA197+SUM(CB195:CB196)</f>
        <v>0</v>
      </c>
      <c r="CC197" s="3">
        <f>CB197+SUM(CC195:CC196)</f>
        <v>0</v>
      </c>
      <c r="CD197" s="3">
        <f>CC197+SUM(CD195:CD196)</f>
        <v>0</v>
      </c>
      <c r="CE197" s="3" t="n"/>
      <c r="CF197" s="3">
        <f>CD197+SUM(CF195:CF196)</f>
        <v>0</v>
      </c>
      <c r="CG197" s="3">
        <f>CF197+SUM(CG195:CG196)</f>
        <v>0</v>
      </c>
      <c r="CH197" s="3">
        <f>CG197+SUM(CH195:CH196)</f>
        <v>0</v>
      </c>
      <c r="CI197" s="3">
        <f>CH197+SUM(CI195:CI196)</f>
        <v>0</v>
      </c>
      <c r="CJ197" s="3" t="n"/>
      <c r="CK197" s="3">
        <f>CI197+SUM(CK195:CK196)</f>
        <v>0</v>
      </c>
      <c r="CL197" s="3">
        <f>CK197+SUM(CL195:CL196)</f>
        <v>0</v>
      </c>
      <c r="CM197" s="3">
        <f>CL197+SUM(CM195:CM196)</f>
        <v>0</v>
      </c>
      <c r="CN197" s="3">
        <f>CM197+SUM(CN195:CN196)</f>
        <v>0</v>
      </c>
      <c r="CO197" s="3" t="n"/>
      <c r="CP197" s="3">
        <f>CN197+SUM(CP195:CP196)</f>
        <v>0</v>
      </c>
      <c r="CQ197" s="3">
        <f>CP197+SUM(CQ195:CQ196)</f>
        <v>0</v>
      </c>
      <c r="CR197" s="3">
        <f>CQ197+SUM(CR195:CR196)</f>
        <v>0</v>
      </c>
      <c r="CS197" s="3">
        <f>CR197+SUM(CS195:CS196)</f>
        <v>0</v>
      </c>
      <c r="CT197" s="3" t="n"/>
      <c r="CU197" s="3">
        <f>CS197+SUM(CU195:CU196)</f>
        <v>0</v>
      </c>
      <c r="CV197" s="3">
        <f>CU197+SUM(CV195:CV196)</f>
        <v>0</v>
      </c>
      <c r="CW197" s="3">
        <f>CV197+SUM(CW195:CW196)</f>
        <v>0</v>
      </c>
      <c r="CX197" s="3">
        <f>CW197+SUM(CX195:CX196)</f>
        <v>0</v>
      </c>
      <c r="CY197" s="3" t="n"/>
      <c r="CZ197">
        <f>CX197+SUM(CZ195:CZ196)</f>
        <v>0</v>
      </c>
      <c r="DA197">
        <f>CZ197+SUM(DA195:DA196)</f>
        <v>0</v>
      </c>
      <c r="DB197">
        <f>DA197+SUM(DB195:DB196)</f>
        <v>0</v>
      </c>
      <c r="DC197">
        <f>DB197+SUM(DC195:DC196)</f>
        <v>0</v>
      </c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34" t="inlineStr">
        <is>
          <t>Discretionary (paydown)/borrowing of convertible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5" t="n"/>
      <c r="AI199" s="35" t="n"/>
      <c r="AJ199" s="35" t="n"/>
      <c r="AK199" s="35" t="n"/>
      <c r="AL199" s="3" t="n"/>
      <c r="AM199" s="35" t="n"/>
      <c r="AN199" s="35" t="n"/>
      <c r="AO199" s="35" t="n"/>
      <c r="AP199" s="35" t="n"/>
      <c r="AQ199" s="3" t="n"/>
      <c r="AR199" s="35" t="n"/>
      <c r="AS199" s="35" t="n"/>
      <c r="AT199" s="35" t="n"/>
      <c r="AU199" s="35" t="n"/>
      <c r="AV199" s="3" t="n"/>
      <c r="AW199" s="35" t="n"/>
      <c r="AX199" s="35" t="n"/>
      <c r="AY199" s="35" t="n"/>
      <c r="AZ199" s="35" t="n"/>
      <c r="BA199" s="3" t="n"/>
      <c r="BB199" s="35" t="n"/>
      <c r="BC199" s="35" t="n"/>
      <c r="BD199" s="35" t="n"/>
      <c r="BE199" s="35" t="n"/>
      <c r="BF199" s="3" t="n"/>
      <c r="BG199" s="35" t="n"/>
      <c r="BH199" s="35" t="n"/>
      <c r="BI199" s="35" t="n"/>
      <c r="BJ199" s="35" t="n"/>
      <c r="BK199" s="3" t="n"/>
      <c r="BL199" s="35" t="n"/>
      <c r="BM199" s="35" t="n"/>
      <c r="BN199" s="35" t="n"/>
      <c r="BO199" s="35" t="n"/>
      <c r="BP199" s="3" t="n"/>
      <c r="BQ199" s="35" t="n"/>
      <c r="BR199" s="35" t="n"/>
      <c r="BS199" s="35" t="n"/>
      <c r="BT199" s="35" t="n"/>
      <c r="BU199" s="3" t="n"/>
      <c r="BV199" s="35" t="n"/>
      <c r="BW199" s="35" t="n"/>
      <c r="BX199" s="35" t="n"/>
      <c r="BY199" s="35" t="n"/>
      <c r="BZ199" s="3" t="n"/>
      <c r="CA199" s="35" t="n"/>
      <c r="CB199" s="35" t="n"/>
      <c r="CC199" s="35" t="n"/>
      <c r="CD199" s="35" t="n"/>
      <c r="CE199" s="3" t="n"/>
      <c r="CF199" s="35" t="n"/>
      <c r="CG199" s="35" t="n"/>
      <c r="CH199" s="35" t="n"/>
      <c r="CI199" s="35" t="n"/>
      <c r="CJ199" s="3" t="n"/>
      <c r="CK199" s="35" t="n"/>
      <c r="CL199" s="35" t="n"/>
      <c r="CM199" s="35" t="n"/>
      <c r="CN199" s="35" t="n"/>
      <c r="CO199" s="3" t="n"/>
      <c r="CP199" s="35" t="n"/>
      <c r="CQ199" s="35" t="n"/>
      <c r="CR199" s="35" t="n"/>
      <c r="CS199" s="35" t="n"/>
      <c r="CT199" s="3" t="n"/>
      <c r="CU199" s="35" t="n"/>
      <c r="CV199" s="35" t="n"/>
      <c r="CW199" s="35" t="n"/>
      <c r="CX199" s="35" t="n"/>
      <c r="CY199" s="3" t="n"/>
    </row>
    <row r="200" hidden="1" outlineLevel="1">
      <c r="C200" s="34" t="inlineStr">
        <is>
          <t>Convertible debt</t>
        </is>
      </c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>
        <f>AH212</f>
        <v>0</v>
      </c>
      <c r="AI200" s="3">
        <f>AH200+SUM(AI199)</f>
        <v>0</v>
      </c>
      <c r="AJ200" s="3">
        <f>AI200+SUM(AJ199)</f>
        <v>0</v>
      </c>
      <c r="AK200" s="3">
        <f>AJ200+SUM(AK199)</f>
        <v>0</v>
      </c>
      <c r="AL200" s="3" t="n"/>
      <c r="AM200" s="3">
        <f>AM212</f>
        <v>0</v>
      </c>
      <c r="AN200" s="3">
        <f>AM200+SUM(AN199)</f>
        <v>0</v>
      </c>
      <c r="AO200" s="3">
        <f>AN200+SUM(AO199)</f>
        <v>0</v>
      </c>
      <c r="AP200" s="3">
        <f>AO200+SUM(AP199)</f>
        <v>0</v>
      </c>
      <c r="AQ200" s="3" t="n"/>
      <c r="AR200" s="3">
        <f>AR212</f>
        <v>0</v>
      </c>
      <c r="AS200" s="3">
        <f>AR200+SUM(AS199)</f>
        <v>0</v>
      </c>
      <c r="AT200" s="3">
        <f>AS200+SUM(AT199)</f>
        <v>0</v>
      </c>
      <c r="AU200" s="3">
        <f>AT200+SUM(AU199)</f>
        <v>0</v>
      </c>
      <c r="AV200" s="3" t="n"/>
      <c r="AW200" s="3">
        <f>AW212</f>
        <v>0</v>
      </c>
      <c r="AX200" s="3">
        <f>AW200+SUM(AX199)</f>
        <v>0</v>
      </c>
      <c r="AY200" s="3">
        <f>AX200+SUM(AY199)</f>
        <v>0</v>
      </c>
      <c r="AZ200" s="3">
        <f>AY200+SUM(AZ199)</f>
        <v>0</v>
      </c>
      <c r="BA200" s="3" t="n"/>
      <c r="BB200" s="3">
        <f>BB212</f>
        <v>0</v>
      </c>
      <c r="BC200" s="3">
        <f>BB200+SUM(BC199)</f>
        <v>0</v>
      </c>
      <c r="BD200" s="3">
        <f>BC200+SUM(BD199)</f>
        <v>0</v>
      </c>
      <c r="BE200" s="3">
        <f>BD200+SUM(BE199)</f>
        <v>0</v>
      </c>
      <c r="BF200" s="3" t="n"/>
      <c r="BG200" s="3">
        <f>BG212</f>
        <v>0</v>
      </c>
      <c r="BH200" s="3">
        <f>BG200+SUM(BH199)</f>
        <v>0</v>
      </c>
      <c r="BI200" s="3">
        <f>BH200+SUM(BI199)</f>
        <v>0</v>
      </c>
      <c r="BJ200" s="3">
        <f>BI200+SUM(BJ199)</f>
        <v>0</v>
      </c>
      <c r="BK200" s="3" t="n"/>
      <c r="BL200" s="3">
        <f>BL212</f>
        <v>0</v>
      </c>
      <c r="BM200" s="3">
        <f>BL200+SUM(BM199)</f>
        <v>0</v>
      </c>
      <c r="BN200" s="3">
        <f>BM200+SUM(BN199)</f>
        <v>0</v>
      </c>
      <c r="BO200" s="3">
        <f>BN200+SUM(BO199)</f>
        <v>0</v>
      </c>
      <c r="BP200" s="3" t="n"/>
      <c r="BQ200" s="3">
        <f>BQ212</f>
        <v>0</v>
      </c>
      <c r="BR200" s="3">
        <f>BQ200+SUM(BR199)</f>
        <v>0</v>
      </c>
      <c r="BS200" s="3">
        <f>BR200+SUM(BS199)</f>
        <v>0</v>
      </c>
      <c r="BT200" s="3">
        <f>BS200+SUM(BT199)</f>
        <v>0</v>
      </c>
      <c r="BU200" s="3" t="n"/>
      <c r="BV200" s="3">
        <f>BV212</f>
        <v>0</v>
      </c>
      <c r="BW200" s="3">
        <f>BV200+SUM(BW199)</f>
        <v>0</v>
      </c>
      <c r="BX200" s="3">
        <f>BW200+SUM(BX199)</f>
        <v>0</v>
      </c>
      <c r="BY200" s="3">
        <f>BX200+SUM(BY199)</f>
        <v>0</v>
      </c>
      <c r="BZ200" s="3" t="n"/>
      <c r="CA200" s="3">
        <f>CA212</f>
        <v>0</v>
      </c>
      <c r="CB200" s="3">
        <f>CA200+SUM(CB199)</f>
        <v>0</v>
      </c>
      <c r="CC200" s="3">
        <f>CB200+SUM(CC199)</f>
        <v>0</v>
      </c>
      <c r="CD200" s="3">
        <f>CC200+SUM(CD199)</f>
        <v>0</v>
      </c>
      <c r="CE200" s="3" t="n"/>
      <c r="CF200" s="3">
        <f>CF212</f>
        <v>0</v>
      </c>
      <c r="CG200" s="3">
        <f>CF200+SUM(CG199)</f>
        <v>0</v>
      </c>
      <c r="CH200" s="3">
        <f>CG200+SUM(CH199)</f>
        <v>0</v>
      </c>
      <c r="CI200" s="3">
        <f>CH200+SUM(CI199)</f>
        <v>0</v>
      </c>
      <c r="CJ200" s="3" t="n"/>
      <c r="CK200" s="3">
        <f>CK212</f>
        <v>0</v>
      </c>
      <c r="CL200" s="3">
        <f>CK200+SUM(CL199)</f>
        <v>0</v>
      </c>
      <c r="CM200" s="3">
        <f>CL200+SUM(CM199)</f>
        <v>0</v>
      </c>
      <c r="CN200" s="3">
        <f>CM200+SUM(CN199)</f>
        <v>0</v>
      </c>
      <c r="CO200" s="3" t="n"/>
      <c r="CP200" s="3">
        <f>CP212</f>
        <v>0</v>
      </c>
      <c r="CQ200" s="3">
        <f>CP200+SUM(CQ199)</f>
        <v>0</v>
      </c>
      <c r="CR200" s="3">
        <f>CQ200+SUM(CR199)</f>
        <v>0</v>
      </c>
      <c r="CS200" s="3">
        <f>CR200+SUM(CS199)</f>
        <v>0</v>
      </c>
      <c r="CT200" s="3" t="n"/>
      <c r="CU200" s="3">
        <f>CU212</f>
        <v>0</v>
      </c>
      <c r="CV200" s="3">
        <f>CU200+SUM(CV199)</f>
        <v>0</v>
      </c>
      <c r="CW200" s="3">
        <f>CV200+SUM(CW199)</f>
        <v>0</v>
      </c>
      <c r="CX200" s="3">
        <f>CW200+SUM(CX199)</f>
        <v>0</v>
      </c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I201" s="3" t="n"/>
      <c r="AJ201" s="3" t="n"/>
      <c r="AK201" s="3" t="n"/>
      <c r="AL201" s="3" t="n"/>
      <c r="AN201" s="3" t="n"/>
      <c r="AO201" s="3" t="n"/>
      <c r="AP201" s="3" t="n"/>
      <c r="AQ201" s="3" t="n"/>
      <c r="AS201" s="3" t="n"/>
      <c r="AT201" s="3" t="n"/>
      <c r="AU201" s="3" t="n"/>
      <c r="AV201" s="3" t="n"/>
      <c r="AX201" s="3" t="n"/>
      <c r="AY201" s="3" t="n"/>
      <c r="AZ201" s="3" t="n"/>
      <c r="BA201" s="3" t="n"/>
      <c r="BC201" s="3" t="n"/>
      <c r="BD201" s="3" t="n"/>
      <c r="BE201" s="3" t="n"/>
      <c r="BF201" s="3" t="n"/>
      <c r="BH201" s="3" t="n"/>
      <c r="BI201" s="3" t="n"/>
      <c r="BJ201" s="3" t="n"/>
      <c r="BK201" s="3" t="n"/>
      <c r="BM201" s="3" t="n"/>
      <c r="BN201" s="3" t="n"/>
      <c r="BO201" s="3" t="n"/>
      <c r="BP201" s="3" t="n"/>
      <c r="BR201" s="3" t="n"/>
      <c r="BS201" s="3" t="n"/>
      <c r="BT201" s="3" t="n"/>
      <c r="BU201" s="3" t="n"/>
      <c r="BW201" s="3" t="n"/>
      <c r="BX201" s="3" t="n"/>
      <c r="BY201" s="3" t="n"/>
      <c r="BZ201" s="3" t="n"/>
      <c r="CB201" s="3" t="n"/>
      <c r="CC201" s="3" t="n"/>
      <c r="CD201" s="3" t="n"/>
      <c r="CE201" s="3" t="n"/>
      <c r="CG201" s="3" t="n"/>
      <c r="CH201" s="3" t="n"/>
      <c r="CI201" s="3" t="n"/>
      <c r="CJ201" s="3" t="n"/>
      <c r="CL201" s="3" t="n"/>
      <c r="CM201" s="3" t="n"/>
      <c r="CN201" s="3" t="n"/>
      <c r="CO201" s="3" t="n"/>
      <c r="CQ201" s="3" t="n"/>
      <c r="CR201" s="3" t="n"/>
      <c r="CS201" s="3" t="n"/>
      <c r="CT201" s="3" t="n"/>
      <c r="CV201" s="3" t="n"/>
      <c r="CW201" s="3" t="n"/>
      <c r="CX201" s="3" t="n"/>
      <c r="CY201" s="3" t="n"/>
    </row>
    <row r="202" hidden="1" outlineLevel="1">
      <c r="C202" s="34" t="inlineStr">
        <is>
          <t>Calculation of short term debt</t>
        </is>
      </c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34" t="inlineStr">
        <is>
          <t>Cash @ beginning of the period (end of last period)</t>
        </is>
      </c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6">
        <f>AG118</f>
        <v>0</v>
      </c>
      <c r="AI203" s="3" t="n"/>
      <c r="AJ203" s="3" t="n"/>
      <c r="AK203" s="3" t="n"/>
      <c r="AL203" s="3" t="n"/>
      <c r="AM203" s="36">
        <f>AL118</f>
        <v>-12888</v>
      </c>
      <c r="AN203" s="3" t="n"/>
      <c r="AO203" s="3" t="n"/>
      <c r="AP203" s="3" t="n"/>
      <c r="AQ203" s="3" t="n"/>
      <c r="AR203" s="36" t="e">
        <f>AQ118</f>
        <v>#DIV/0!</v>
      </c>
      <c r="AS203" s="3" t="n"/>
      <c r="AT203" s="3" t="n"/>
      <c r="AU203" s="3" t="n"/>
      <c r="AV203" s="3" t="n"/>
      <c r="AW203" s="36" t="e">
        <f>AV118</f>
        <v>#DIV/0!</v>
      </c>
      <c r="AX203" s="3" t="n"/>
      <c r="AY203" s="3" t="n"/>
      <c r="AZ203" s="3" t="n"/>
      <c r="BA203" s="3" t="n"/>
      <c r="BB203" s="36" t="e">
        <f>BA118</f>
        <v>#DIV/0!</v>
      </c>
      <c r="BC203" s="3" t="n"/>
      <c r="BD203" s="3" t="n"/>
      <c r="BE203" s="3" t="n"/>
      <c r="BF203" s="3" t="n"/>
      <c r="BG203" s="36" t="e">
        <f>BF118</f>
        <v>#DIV/0!</v>
      </c>
      <c r="BH203" s="3" t="n"/>
      <c r="BI203" s="3" t="n"/>
      <c r="BJ203" s="3" t="n"/>
      <c r="BK203" s="3" t="n"/>
      <c r="BL203" s="36" t="e">
        <f>BK118</f>
        <v>#DIV/0!</v>
      </c>
      <c r="BM203" s="3" t="n"/>
      <c r="BN203" s="3" t="n"/>
      <c r="BO203" s="3" t="n"/>
      <c r="BP203" s="3" t="n"/>
      <c r="BQ203" s="36" t="e">
        <f>BP118</f>
        <v>#DIV/0!</v>
      </c>
      <c r="BR203" s="3" t="n"/>
      <c r="BS203" s="3" t="n"/>
      <c r="BT203" s="3" t="n"/>
      <c r="BU203" s="3" t="n"/>
      <c r="BV203" s="36" t="e">
        <f>BU118</f>
        <v>#DIV/0!</v>
      </c>
      <c r="BW203" s="3" t="n"/>
      <c r="BX203" s="3" t="n"/>
      <c r="BY203" s="3" t="n"/>
      <c r="BZ203" s="3" t="n"/>
      <c r="CA203" s="36" t="e">
        <f>BZ118</f>
        <v>#DIV/0!</v>
      </c>
      <c r="CB203" s="3" t="n"/>
      <c r="CC203" s="3" t="n"/>
      <c r="CD203" s="3" t="n"/>
      <c r="CE203" s="3" t="n"/>
      <c r="CF203" s="36" t="e">
        <f>CE118</f>
        <v>#DIV/0!</v>
      </c>
      <c r="CG203" s="3" t="n"/>
      <c r="CH203" s="3" t="n"/>
      <c r="CI203" s="3" t="n"/>
      <c r="CJ203" s="3" t="n"/>
      <c r="CK203" s="36" t="e">
        <f>CJ118</f>
        <v>#DIV/0!</v>
      </c>
      <c r="CL203" s="3" t="n"/>
      <c r="CM203" s="3" t="n"/>
      <c r="CN203" s="3" t="n"/>
      <c r="CO203" s="3" t="n"/>
      <c r="CP203" s="36" t="e">
        <f>CO118</f>
        <v>#DIV/0!</v>
      </c>
      <c r="CQ203" s="3" t="n"/>
      <c r="CR203" s="3" t="n"/>
      <c r="CS203" s="3" t="n"/>
      <c r="CT203" s="3" t="n"/>
      <c r="CU203" s="36" t="e">
        <f>CT118</f>
        <v>#DIV/0!</v>
      </c>
      <c r="CV203" s="3" t="n"/>
      <c r="CW203" s="3" t="n"/>
      <c r="CX203" s="3" t="n"/>
      <c r="CY203" s="3" t="n"/>
    </row>
    <row r="204" hidden="1" outlineLevel="1">
      <c r="C204" s="34" t="inlineStr">
        <is>
          <t>Plus: Free cash flows prior to debt during period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inlineStr">
        <is>
          <t>% of sales</t>
        </is>
      </c>
      <c r="AH204" s="37">
        <f>SUM(AH267,AH274)+SUM(AH276:AH282)</f>
        <v>-4851</v>
      </c>
      <c r="AI204" s="37">
        <f>SUM(AI267,AI274)+SUM(AI276:AI282)</f>
        <v>5427</v>
      </c>
      <c r="AJ204" s="37">
        <f>SUM(AJ267,AJ274)+SUM(AJ276:AJ282)</f>
        <v>-12888</v>
      </c>
      <c r="AK204" s="37">
        <f>SUM(AK267,AK274)+SUM(AK276:AK282)</f>
        <v>0</v>
      </c>
      <c r="AL204" s="3" t="n"/>
      <c r="AM204" s="37" t="e">
        <f>SUM(AM267,AM274)+SUM(AM276:AM282)</f>
        <v>#DIV/0!</v>
      </c>
      <c r="AN204" s="37" t="e">
        <f>SUM(AN267,AN274)+SUM(AN276:AN282)</f>
        <v>#DIV/0!</v>
      </c>
      <c r="AO204" s="37" t="e">
        <f>SUM(AO267,AO274)+SUM(AO276:AO282)</f>
        <v>#DIV/0!</v>
      </c>
      <c r="AP204" s="37" t="e">
        <f>SUM(AP267,AP274)+SUM(AP276:AP282)</f>
        <v>#DIV/0!</v>
      </c>
      <c r="AQ204" s="3" t="n"/>
      <c r="AR204" s="37" t="e">
        <f>SUM(AR267,AR274)+SUM(AR276:AR282)</f>
        <v>#DIV/0!</v>
      </c>
      <c r="AS204" s="37" t="e">
        <f>SUM(AS267,AS274)+SUM(AS276:AS282)</f>
        <v>#DIV/0!</v>
      </c>
      <c r="AT204" s="37" t="e">
        <f>SUM(AT267,AT274)+SUM(AT276:AT282)</f>
        <v>#DIV/0!</v>
      </c>
      <c r="AU204" s="37" t="e">
        <f>SUM(AU267,AU274)+SUM(AU276:AU282)</f>
        <v>#DIV/0!</v>
      </c>
      <c r="AV204" s="3" t="n"/>
      <c r="AW204" s="37" t="e">
        <f>SUM(AW267,AW274)+SUM(AW276:AW282)</f>
        <v>#DIV/0!</v>
      </c>
      <c r="AX204" s="37" t="e">
        <f>SUM(AX267,AX274)+SUM(AX276:AX282)</f>
        <v>#DIV/0!</v>
      </c>
      <c r="AY204" s="37" t="e">
        <f>SUM(AY267,AY274)+SUM(AY276:AY282)</f>
        <v>#DIV/0!</v>
      </c>
      <c r="AZ204" s="37" t="e">
        <f>SUM(AZ267,AZ274)+SUM(AZ276:AZ282)</f>
        <v>#DIV/0!</v>
      </c>
      <c r="BA204" s="3" t="n"/>
      <c r="BB204" s="37" t="e">
        <f>SUM(BB267,BB274)+SUM(BB276:BB282)</f>
        <v>#DIV/0!</v>
      </c>
      <c r="BC204" s="37" t="e">
        <f>SUM(BC267,BC274)+SUM(BC276:BC282)</f>
        <v>#DIV/0!</v>
      </c>
      <c r="BD204" s="37" t="e">
        <f>SUM(BD267,BD274)+SUM(BD276:BD282)</f>
        <v>#DIV/0!</v>
      </c>
      <c r="BE204" s="37" t="e">
        <f>SUM(BE267,BE274)+SUM(BE276:BE282)</f>
        <v>#DIV/0!</v>
      </c>
      <c r="BF204" s="3" t="n"/>
      <c r="BG204" s="37" t="e">
        <f>SUM(BG267,BG274)+SUM(BG276:BG282)</f>
        <v>#DIV/0!</v>
      </c>
      <c r="BH204" s="37" t="e">
        <f>SUM(BH267,BH274)+SUM(BH276:BH282)</f>
        <v>#DIV/0!</v>
      </c>
      <c r="BI204" s="37" t="e">
        <f>SUM(BI267,BI274)+SUM(BI276:BI282)</f>
        <v>#DIV/0!</v>
      </c>
      <c r="BJ204" s="37" t="e">
        <f>SUM(BJ267,BJ274)+SUM(BJ276:BJ282)</f>
        <v>#DIV/0!</v>
      </c>
      <c r="BK204" s="3" t="n"/>
      <c r="BL204" s="37" t="e">
        <f>SUM(BL267,BL274)+SUM(BL276:BL282)</f>
        <v>#DIV/0!</v>
      </c>
      <c r="BM204" s="37" t="e">
        <f>SUM(BM267,BM274)+SUM(BM276:BM282)</f>
        <v>#DIV/0!</v>
      </c>
      <c r="BN204" s="37" t="e">
        <f>SUM(BN267,BN274)+SUM(BN276:BN282)</f>
        <v>#DIV/0!</v>
      </c>
      <c r="BO204" s="37" t="e">
        <f>SUM(BO267,BO274)+SUM(BO276:BO282)</f>
        <v>#DIV/0!</v>
      </c>
      <c r="BP204" s="3" t="n"/>
      <c r="BQ204" s="37" t="e">
        <f>SUM(BQ267,BQ274)+SUM(BQ276:BQ282)</f>
        <v>#DIV/0!</v>
      </c>
      <c r="BR204" s="37" t="e">
        <f>SUM(BR267,BR274)+SUM(BR276:BR282)</f>
        <v>#DIV/0!</v>
      </c>
      <c r="BS204" s="37" t="e">
        <f>SUM(BS267,BS274)+SUM(BS276:BS282)</f>
        <v>#DIV/0!</v>
      </c>
      <c r="BT204" s="37" t="e">
        <f>SUM(BT267,BT274)+SUM(BT276:BT282)</f>
        <v>#DIV/0!</v>
      </c>
      <c r="BU204" s="3" t="n"/>
      <c r="BV204" s="37" t="e">
        <f>SUM(BV267,BV274)+SUM(BV276:BV282)</f>
        <v>#DIV/0!</v>
      </c>
      <c r="BW204" s="37" t="e">
        <f>SUM(BW267,BW274)+SUM(BW276:BW282)</f>
        <v>#DIV/0!</v>
      </c>
      <c r="BX204" s="37" t="e">
        <f>SUM(BX267,BX274)+SUM(BX276:BX282)</f>
        <v>#DIV/0!</v>
      </c>
      <c r="BY204" s="37" t="e">
        <f>SUM(BY267,BY274)+SUM(BY276:BY282)</f>
        <v>#DIV/0!</v>
      </c>
      <c r="BZ204" s="3" t="n"/>
      <c r="CA204" s="37" t="e">
        <f>SUM(CA267,CA274)+SUM(CA276:CA282)</f>
        <v>#DIV/0!</v>
      </c>
      <c r="CB204" s="37" t="e">
        <f>SUM(CB267,CB274)+SUM(CB276:CB282)</f>
        <v>#DIV/0!</v>
      </c>
      <c r="CC204" s="37" t="e">
        <f>SUM(CC267,CC274)+SUM(CC276:CC282)</f>
        <v>#DIV/0!</v>
      </c>
      <c r="CD204" s="37" t="e">
        <f>SUM(CD267,CD274)+SUM(CD276:CD282)</f>
        <v>#DIV/0!</v>
      </c>
      <c r="CE204" s="3" t="n"/>
      <c r="CF204" s="37" t="e">
        <f>SUM(CF267,CF274)+SUM(CF276:CF282)</f>
        <v>#DIV/0!</v>
      </c>
      <c r="CG204" s="37" t="e">
        <f>SUM(CG267,CG274)+SUM(CG276:CG282)</f>
        <v>#DIV/0!</v>
      </c>
      <c r="CH204" s="37" t="e">
        <f>SUM(CH267,CH274)+SUM(CH276:CH282)</f>
        <v>#DIV/0!</v>
      </c>
      <c r="CI204" s="37" t="e">
        <f>SUM(CI267,CI274)+SUM(CI276:CI282)</f>
        <v>#DIV/0!</v>
      </c>
      <c r="CJ204" s="3" t="n"/>
      <c r="CK204" s="37" t="e">
        <f>SUM(CK267,CK274)+SUM(CK276:CK282)</f>
        <v>#DIV/0!</v>
      </c>
      <c r="CL204" s="37" t="e">
        <f>SUM(CL267,CL274)+SUM(CL276:CL282)</f>
        <v>#DIV/0!</v>
      </c>
      <c r="CM204" s="37" t="e">
        <f>SUM(CM267,CM274)+SUM(CM276:CM282)</f>
        <v>#DIV/0!</v>
      </c>
      <c r="CN204" s="37" t="e">
        <f>SUM(CN267,CN274)+SUM(CN276:CN282)</f>
        <v>#DIV/0!</v>
      </c>
      <c r="CO204" s="3" t="n"/>
      <c r="CP204" s="37" t="e">
        <f>SUM(CP267,CP274)+SUM(CP276:CP282)</f>
        <v>#DIV/0!</v>
      </c>
      <c r="CQ204" s="37" t="e">
        <f>SUM(CQ267,CQ274)+SUM(CQ276:CQ282)</f>
        <v>#DIV/0!</v>
      </c>
      <c r="CR204" s="37" t="e">
        <f>SUM(CR267,CR274)+SUM(CR276:CR282)</f>
        <v>#DIV/0!</v>
      </c>
      <c r="CS204" s="37" t="e">
        <f>SUM(CS267,CS274)+SUM(CS276:CS282)</f>
        <v>#DIV/0!</v>
      </c>
      <c r="CT204" s="3" t="n"/>
      <c r="CU204" s="37" t="e">
        <f>SUM(CU267,CU274)+SUM(CU276:CU282)</f>
        <v>#DIV/0!</v>
      </c>
      <c r="CV204" s="37" t="e">
        <f>SUM(CV267,CV274)+SUM(CV276:CV282)</f>
        <v>#DIV/0!</v>
      </c>
      <c r="CW204" s="37" t="e">
        <f>SUM(CW267,CW274)+SUM(CW276:CW282)</f>
        <v>#DIV/0!</v>
      </c>
      <c r="CX204" s="37" t="e">
        <f>SUM(CX267,CX274)+SUM(CX276:CX282)</f>
        <v>#DIV/0!</v>
      </c>
      <c r="CY204" s="3" t="n"/>
    </row>
    <row r="205" hidden="1" outlineLevel="1">
      <c r="C205" s="34" t="inlineStr">
        <is>
          <t>Less: Minimum cash balance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250" t="n"/>
      <c r="AH205" s="3">
        <f>($AG$205*AH15)</f>
        <v>0</v>
      </c>
      <c r="AI205" s="3">
        <f>($AG$205*AI15)</f>
        <v>0</v>
      </c>
      <c r="AJ205" s="3">
        <f>($AG$205*AJ15)</f>
        <v>0</v>
      </c>
      <c r="AK205" s="3">
        <f>($AG$205*AK15)</f>
        <v>0</v>
      </c>
      <c r="AL205" s="3" t="n"/>
      <c r="AM205" s="3">
        <f>($AG$205*AM15)</f>
        <v>0</v>
      </c>
      <c r="AN205" s="3">
        <f>($AG$205*AN15)</f>
        <v>0</v>
      </c>
      <c r="AO205" s="3">
        <f>($AG$205*AO15)</f>
        <v>0</v>
      </c>
      <c r="AP205" s="3">
        <f>($AG$205*AP15)</f>
        <v>0</v>
      </c>
      <c r="AQ205" s="3" t="n"/>
      <c r="AR205" s="3">
        <f>($AG$205*AR15)</f>
        <v>0</v>
      </c>
      <c r="AS205" s="3">
        <f>($AG$205*AS15)</f>
        <v>0</v>
      </c>
      <c r="AT205" s="3">
        <f>($AG$205*AT15)</f>
        <v>0</v>
      </c>
      <c r="AU205" s="3">
        <f>($AG$205*AU15)</f>
        <v>0</v>
      </c>
      <c r="AV205" s="3" t="n"/>
      <c r="AW205" s="3">
        <f>($AG$205*AW15)</f>
        <v>0</v>
      </c>
      <c r="AX205" s="3">
        <f>($AG$205*AX15)</f>
        <v>0</v>
      </c>
      <c r="AY205" s="3">
        <f>($AG$205*AY15)</f>
        <v>0</v>
      </c>
      <c r="AZ205" s="3">
        <f>($AG$205*AZ15)</f>
        <v>0</v>
      </c>
      <c r="BA205" s="3" t="n"/>
      <c r="BB205" s="3">
        <f>($AG$205*BB15)</f>
        <v>0</v>
      </c>
      <c r="BC205" s="3">
        <f>($AG$205*BC15)</f>
        <v>0</v>
      </c>
      <c r="BD205" s="3">
        <f>($AG$205*BD15)</f>
        <v>0</v>
      </c>
      <c r="BE205" s="3">
        <f>($AG$205*BE15)</f>
        <v>0</v>
      </c>
      <c r="BF205" s="3" t="n"/>
      <c r="BG205" s="3">
        <f>($AG$205*BG15)</f>
        <v>0</v>
      </c>
      <c r="BH205" s="3">
        <f>($AG$205*BH15)</f>
        <v>0</v>
      </c>
      <c r="BI205" s="3">
        <f>($AG$205*BI15)</f>
        <v>0</v>
      </c>
      <c r="BJ205" s="3">
        <f>($AG$205*BJ15)</f>
        <v>0</v>
      </c>
      <c r="BK205" s="3" t="n"/>
      <c r="BL205" s="3">
        <f>($AG$205*BL15)</f>
        <v>0</v>
      </c>
      <c r="BM205" s="3">
        <f>($AG$205*BM15)</f>
        <v>0</v>
      </c>
      <c r="BN205" s="3">
        <f>($AG$205*BN15)</f>
        <v>0</v>
      </c>
      <c r="BO205" s="3">
        <f>($AG$205*BO15)</f>
        <v>0</v>
      </c>
      <c r="BP205" s="3" t="n"/>
      <c r="BQ205" s="3">
        <f>($AG$205*BQ15)</f>
        <v>0</v>
      </c>
      <c r="BR205" s="3">
        <f>($AG$205*BR15)</f>
        <v>0</v>
      </c>
      <c r="BS205" s="3">
        <f>($AG$205*BS15)</f>
        <v>0</v>
      </c>
      <c r="BT205" s="3">
        <f>($AG$205*BT15)</f>
        <v>0</v>
      </c>
      <c r="BU205" s="3" t="n"/>
      <c r="BV205" s="3">
        <f>($AG$205*BV15)</f>
        <v>0</v>
      </c>
      <c r="BW205" s="3">
        <f>($AG$205*BW15)</f>
        <v>0</v>
      </c>
      <c r="BX205" s="3">
        <f>($AG$205*BX15)</f>
        <v>0</v>
      </c>
      <c r="BY205" s="3">
        <f>($AG$205*BY15)</f>
        <v>0</v>
      </c>
      <c r="BZ205" s="3" t="n"/>
      <c r="CA205" s="3">
        <f>($AG$205*CA15)</f>
        <v>0</v>
      </c>
      <c r="CB205" s="3">
        <f>($AG$205*CB15)</f>
        <v>0</v>
      </c>
      <c r="CC205" s="3">
        <f>($AG$205*CC15)</f>
        <v>0</v>
      </c>
      <c r="CD205" s="3">
        <f>($AG$205*CD15)</f>
        <v>0</v>
      </c>
      <c r="CE205" s="3" t="n"/>
      <c r="CF205" s="3">
        <f>($AG$205*CF15)</f>
        <v>0</v>
      </c>
      <c r="CG205" s="3">
        <f>($AG$205*CG15)</f>
        <v>0</v>
      </c>
      <c r="CH205" s="3">
        <f>($AG$205*CH15)</f>
        <v>0</v>
      </c>
      <c r="CI205" s="3">
        <f>($AG$205*CI15)</f>
        <v>0</v>
      </c>
      <c r="CJ205" s="3" t="n"/>
      <c r="CK205" s="3">
        <f>($AG$205*CK15)</f>
        <v>0</v>
      </c>
      <c r="CL205" s="3">
        <f>($AG$205*CL15)</f>
        <v>0</v>
      </c>
      <c r="CM205" s="3">
        <f>($AG$205*CM15)</f>
        <v>0</v>
      </c>
      <c r="CN205" s="3">
        <f>($AG$205*CN15)</f>
        <v>0</v>
      </c>
      <c r="CO205" s="3" t="n"/>
      <c r="CP205" s="3">
        <f>($AG$205*CP15)</f>
        <v>0</v>
      </c>
      <c r="CQ205" s="3">
        <f>($AG$205*CQ15)</f>
        <v>0</v>
      </c>
      <c r="CR205" s="3">
        <f>($AG$205*CR15)</f>
        <v>0</v>
      </c>
      <c r="CS205" s="3">
        <f>($AG$205*CS15)</f>
        <v>0</v>
      </c>
      <c r="CT205" s="3" t="n"/>
      <c r="CU205" s="3">
        <f>($AG$205*CU15)</f>
        <v>0</v>
      </c>
      <c r="CV205" s="3">
        <f>($AG$205*CV15)</f>
        <v>0</v>
      </c>
      <c r="CW205" s="3">
        <f>($AG$205*CW15)</f>
        <v>0</v>
      </c>
      <c r="CX205" s="3">
        <f>($AG$205*CX15)</f>
        <v>0</v>
      </c>
      <c r="CY205" s="3" t="n"/>
    </row>
    <row r="206" hidden="1" outlineLevel="1">
      <c r="C206" s="34" t="inlineStr">
        <is>
          <t>Total cash available / (debt required) for short term debt paydown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1">
        <f>AH203+AH204-AH205-AF193+AH195+AH199</f>
        <v>-4851</v>
      </c>
      <c r="AI206" s="1">
        <f>AI203+AI204-AI205-AG193+AI195+AI199</f>
        <v>5427</v>
      </c>
      <c r="AJ206" s="1">
        <f>AJ203+AJ204-AJ205-AH193+AJ195+AJ199</f>
        <v>-13865</v>
      </c>
      <c r="AK206" s="1">
        <f>AK203+AK204-AK205-AI193+AK195+AK199</f>
        <v>0</v>
      </c>
      <c r="AL206" s="3" t="n"/>
      <c r="AM206" s="1" t="e">
        <f>AM203+AM204-AM205-AK193+AM195+AM199</f>
        <v>#DIV/0!</v>
      </c>
      <c r="AN206" s="1" t="e">
        <f>AN203+AN204-AN205-AL193+AN195+AN199</f>
        <v>#DIV/0!</v>
      </c>
      <c r="AO206" s="1" t="e">
        <f>AO203+AO204-AO205-AM193+AO195+AO199</f>
        <v>#DIV/0!</v>
      </c>
      <c r="AP206" s="1" t="e">
        <f>AP203+AP204-AP205-AN193+AP195+AP199</f>
        <v>#DIV/0!</v>
      </c>
      <c r="AQ206" s="3" t="n"/>
      <c r="AR206" s="1" t="e">
        <f>AR203+AR204-AR205-AP193+AR195+AR199</f>
        <v>#DIV/0!</v>
      </c>
      <c r="AS206" s="1" t="e">
        <f>AS203+AS204-AS205-AQ193+AS195+AS199</f>
        <v>#DIV/0!</v>
      </c>
      <c r="AT206" s="1" t="e">
        <f>AT203+AT204-AT205-AR193+AT195+AT199</f>
        <v>#DIV/0!</v>
      </c>
      <c r="AU206" s="1" t="e">
        <f>AU203+AU204-AU205-AS193+AU195+AU199</f>
        <v>#DIV/0!</v>
      </c>
      <c r="AV206" s="3" t="n"/>
      <c r="AW206" s="1" t="e">
        <f>AW203+AW204-AW205-AU193+AW195+AW199</f>
        <v>#DIV/0!</v>
      </c>
      <c r="AX206" s="1" t="e">
        <f>AX203+AX204-AX205-AV193+AX195+AX199</f>
        <v>#DIV/0!</v>
      </c>
      <c r="AY206" s="1" t="e">
        <f>AY203+AY204-AY205-AW193+AY195+AY199</f>
        <v>#DIV/0!</v>
      </c>
      <c r="AZ206" s="1" t="e">
        <f>AZ203+AZ204-AZ205-AX193+AZ195+AZ199</f>
        <v>#DIV/0!</v>
      </c>
      <c r="BA206" s="3" t="n"/>
      <c r="BB206" s="1" t="e">
        <f>BB203+BB204-BB205-AZ193+BB195+BB199</f>
        <v>#DIV/0!</v>
      </c>
      <c r="BC206" s="1" t="e">
        <f>BC203+BC204-BC205-BA193+BC195+BC199</f>
        <v>#DIV/0!</v>
      </c>
      <c r="BD206" s="1" t="e">
        <f>BD203+BD204-BD205-BB193+BD195+BD199</f>
        <v>#DIV/0!</v>
      </c>
      <c r="BE206" s="1" t="e">
        <f>BE203+BE204-BE205-BC193+BE195+BE199</f>
        <v>#DIV/0!</v>
      </c>
      <c r="BF206" s="3" t="n"/>
      <c r="BG206" s="1" t="e">
        <f>BG203+BG204-BG205-BE193+BG195+BG199</f>
        <v>#DIV/0!</v>
      </c>
      <c r="BH206" s="1" t="e">
        <f>BH203+BH204-BH205-BF193+BH195+BH199</f>
        <v>#DIV/0!</v>
      </c>
      <c r="BI206" s="1" t="e">
        <f>BI203+BI204-BI205-BG193+BI195+BI199</f>
        <v>#DIV/0!</v>
      </c>
      <c r="BJ206" s="1" t="e">
        <f>BJ203+BJ204-BJ205-BH193+BJ195+BJ199</f>
        <v>#DIV/0!</v>
      </c>
      <c r="BK206" s="3" t="n"/>
      <c r="BL206" s="1" t="e">
        <f>BL203+BL204-BL205-BJ193+BL195+BL199</f>
        <v>#DIV/0!</v>
      </c>
      <c r="BM206" s="1" t="e">
        <f>BM203+BM204-BM205-BK193+BM195+BM199</f>
        <v>#DIV/0!</v>
      </c>
      <c r="BN206" s="1" t="e">
        <f>BN203+BN204-BN205-BL193+BN195+BN199</f>
        <v>#DIV/0!</v>
      </c>
      <c r="BO206" s="1" t="e">
        <f>BO203+BO204-BO205-BM193+BO195+BO199</f>
        <v>#DIV/0!</v>
      </c>
      <c r="BP206" s="3" t="n"/>
      <c r="BQ206" s="1" t="e">
        <f>BQ203+BQ204-BQ205-BO193+BQ195+BQ199</f>
        <v>#DIV/0!</v>
      </c>
      <c r="BR206" s="1" t="e">
        <f>BR203+BR204-BR205-BP193+BR195+BR199</f>
        <v>#DIV/0!</v>
      </c>
      <c r="BS206" s="1" t="e">
        <f>BS203+BS204-BS205-BQ193+BS195+BS199</f>
        <v>#DIV/0!</v>
      </c>
      <c r="BT206" s="1" t="e">
        <f>BT203+BT204-BT205-BR193+BT195+BT199</f>
        <v>#DIV/0!</v>
      </c>
      <c r="BU206" s="3" t="n"/>
      <c r="BV206" s="1" t="e">
        <f>BV203+BV204-BV205-BT193+BV195+BV199</f>
        <v>#DIV/0!</v>
      </c>
      <c r="BW206" s="1" t="e">
        <f>BW203+BW204-BW205-BU193+BW195+BW199</f>
        <v>#DIV/0!</v>
      </c>
      <c r="BX206" s="1" t="e">
        <f>BX203+BX204-BX205-BV193+BX195+BX199</f>
        <v>#DIV/0!</v>
      </c>
      <c r="BY206" s="1" t="e">
        <f>BY203+BY204-BY205-BW193+BY195+BY199</f>
        <v>#DIV/0!</v>
      </c>
      <c r="BZ206" s="3" t="n"/>
      <c r="CA206" s="1" t="e">
        <f>CA203+CA204-CA205-BY193+CA195+CA199</f>
        <v>#DIV/0!</v>
      </c>
      <c r="CB206" s="1" t="e">
        <f>CB203+CB204-CB205-BZ193+CB195+CB199</f>
        <v>#DIV/0!</v>
      </c>
      <c r="CC206" s="1" t="e">
        <f>CC203+CC204-CC205-CA193+CC195+CC199</f>
        <v>#DIV/0!</v>
      </c>
      <c r="CD206" s="1" t="e">
        <f>CD203+CD204-CD205-CB193+CD195+CD199</f>
        <v>#DIV/0!</v>
      </c>
      <c r="CE206" s="3" t="n"/>
      <c r="CF206" s="1" t="e">
        <f>CF203+CF204-CF205-CD193+CF195+CF199</f>
        <v>#DIV/0!</v>
      </c>
      <c r="CG206" s="1" t="e">
        <f>CG203+CG204-CG205-CE193+CG195+CG199</f>
        <v>#DIV/0!</v>
      </c>
      <c r="CH206" s="1" t="e">
        <f>CH203+CH204-CH205-CF193+CH195+CH199</f>
        <v>#DIV/0!</v>
      </c>
      <c r="CI206" s="1" t="e">
        <f>CI203+CI204-CI205-CG193+CI195+CI199</f>
        <v>#DIV/0!</v>
      </c>
      <c r="CJ206" s="3" t="n"/>
      <c r="CK206" s="1" t="e">
        <f>CK203+CK204-CK205-CI193+CK195+CK199</f>
        <v>#DIV/0!</v>
      </c>
      <c r="CL206" s="1" t="e">
        <f>CL203+CL204-CL205-CJ193+CL195+CL199</f>
        <v>#DIV/0!</v>
      </c>
      <c r="CM206" s="1" t="e">
        <f>CM203+CM204-CM205-CK193+CM195+CM199</f>
        <v>#DIV/0!</v>
      </c>
      <c r="CN206" s="1" t="e">
        <f>CN203+CN204-CN205-CL193+CN195+CN199</f>
        <v>#DIV/0!</v>
      </c>
      <c r="CO206" s="3" t="n"/>
      <c r="CP206" s="1" t="e">
        <f>CP203+CP204-CP205-CN193+CP195+CP199</f>
        <v>#DIV/0!</v>
      </c>
      <c r="CQ206" s="1" t="e">
        <f>CQ203+CQ204-CQ205-CO193+CQ195+CQ199</f>
        <v>#DIV/0!</v>
      </c>
      <c r="CR206" s="1" t="e">
        <f>CR203+CR204-CR205-CP193+CR195+CR199</f>
        <v>#DIV/0!</v>
      </c>
      <c r="CS206" s="1" t="e">
        <f>CS203+CS204-CS205-CQ193+CS195+CS199</f>
        <v>#DIV/0!</v>
      </c>
      <c r="CT206" s="3" t="n"/>
      <c r="CU206" s="1" t="e">
        <f>CU203+CU204-CU205-CS193+CU195+CU199</f>
        <v>#DIV/0!</v>
      </c>
      <c r="CV206" s="1" t="e">
        <f>CV203+CV204-CV205-CT193+CV195+CV199</f>
        <v>#DIV/0!</v>
      </c>
      <c r="CW206" s="1" t="e">
        <f>CW203+CW204-CW205-CU193+CW195+CW199</f>
        <v>#DIV/0!</v>
      </c>
      <c r="CX206" s="1" t="e">
        <f>CX203+CX204-CX205-CV193+CX195+CX199</f>
        <v>#DIV/0!</v>
      </c>
      <c r="CY206" s="3" t="n"/>
    </row>
    <row r="207" hidden="1" outlineLevel="1">
      <c r="C207" s="34" t="inlineStr">
        <is>
          <t>Short term debt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>
        <f>AH187</f>
        <v>0</v>
      </c>
      <c r="AI207" s="3">
        <f>MAX(0,AH207-AI206)</f>
        <v>0</v>
      </c>
      <c r="AJ207" s="3">
        <f>MAX(0,AI207-AJ206)</f>
        <v>13865</v>
      </c>
      <c r="AK207" s="3">
        <f>MAX(0,AJ207-AK206)</f>
        <v>13865</v>
      </c>
      <c r="AL207" s="3" t="n"/>
      <c r="AM207" s="3">
        <f>AM187</f>
        <v>0</v>
      </c>
      <c r="AN207" s="3" t="e">
        <f>MAX(0,AM207-AN206)</f>
        <v>#DIV/0!</v>
      </c>
      <c r="AO207" s="3" t="e">
        <f>MAX(0,AN207-AO206)</f>
        <v>#DIV/0!</v>
      </c>
      <c r="AP207" s="3" t="e">
        <f>MAX(0,AO207-AP206)</f>
        <v>#DIV/0!</v>
      </c>
      <c r="AQ207" s="3" t="n"/>
      <c r="AR207" s="3">
        <f>AR187</f>
        <v>0</v>
      </c>
      <c r="AS207" s="3" t="e">
        <f>MAX(0,AR207-AS206)</f>
        <v>#DIV/0!</v>
      </c>
      <c r="AT207" s="3" t="e">
        <f>MAX(0,AS207-AT206)</f>
        <v>#DIV/0!</v>
      </c>
      <c r="AU207" s="3" t="e">
        <f>MAX(0,AT207-AU206)</f>
        <v>#DIV/0!</v>
      </c>
      <c r="AV207" s="3" t="n"/>
      <c r="AW207" s="3">
        <f>AW187</f>
        <v>0</v>
      </c>
      <c r="AX207" s="3" t="e">
        <f>MAX(0,AW207-AX206)</f>
        <v>#DIV/0!</v>
      </c>
      <c r="AY207" s="3" t="e">
        <f>MAX(0,AX207-AY206)</f>
        <v>#DIV/0!</v>
      </c>
      <c r="AZ207" s="3" t="e">
        <f>MAX(0,AY207-AZ206)</f>
        <v>#DIV/0!</v>
      </c>
      <c r="BA207" s="3" t="n"/>
      <c r="BB207" s="3">
        <f>BB187</f>
        <v>0</v>
      </c>
      <c r="BC207" s="3" t="e">
        <f>MAX(0,BB207-BC206)</f>
        <v>#DIV/0!</v>
      </c>
      <c r="BD207" s="3" t="e">
        <f>MAX(0,BC207-BD206)</f>
        <v>#DIV/0!</v>
      </c>
      <c r="BE207" s="3" t="e">
        <f>MAX(0,BD207-BE206)</f>
        <v>#DIV/0!</v>
      </c>
      <c r="BF207" s="3" t="n"/>
      <c r="BG207" s="3">
        <f>BG187</f>
        <v>0</v>
      </c>
      <c r="BH207" s="3" t="e">
        <f>MAX(0,BG207-BH206)</f>
        <v>#DIV/0!</v>
      </c>
      <c r="BI207" s="3" t="e">
        <f>MAX(0,BH207-BI206)</f>
        <v>#DIV/0!</v>
      </c>
      <c r="BJ207" s="3" t="e">
        <f>MAX(0,BI207-BJ206)</f>
        <v>#DIV/0!</v>
      </c>
      <c r="BK207" s="3" t="n"/>
      <c r="BL207" s="3">
        <f>BL187</f>
        <v>0</v>
      </c>
      <c r="BM207" s="3" t="e">
        <f>MAX(0,BL207-BM206)</f>
        <v>#DIV/0!</v>
      </c>
      <c r="BN207" s="3" t="e">
        <f>MAX(0,BM207-BN206)</f>
        <v>#DIV/0!</v>
      </c>
      <c r="BO207" s="3" t="e">
        <f>MAX(0,BN207-BO206)</f>
        <v>#DIV/0!</v>
      </c>
      <c r="BP207" s="3" t="n"/>
      <c r="BQ207" s="3">
        <f>BQ187</f>
        <v>0</v>
      </c>
      <c r="BR207" s="3" t="e">
        <f>MAX(0,BQ207-BR206)</f>
        <v>#DIV/0!</v>
      </c>
      <c r="BS207" s="3" t="e">
        <f>MAX(0,BR207-BS206)</f>
        <v>#DIV/0!</v>
      </c>
      <c r="BT207" s="3" t="e">
        <f>MAX(0,BS207-BT206)</f>
        <v>#DIV/0!</v>
      </c>
      <c r="BU207" s="3" t="n"/>
      <c r="BV207" s="3">
        <f>BV187</f>
        <v>0</v>
      </c>
      <c r="BW207" s="3" t="e">
        <f>MAX(0,BV207-BW206)</f>
        <v>#DIV/0!</v>
      </c>
      <c r="BX207" s="3" t="e">
        <f>MAX(0,BW207-BX206)</f>
        <v>#DIV/0!</v>
      </c>
      <c r="BY207" s="3" t="e">
        <f>MAX(0,BX207-BY206)</f>
        <v>#DIV/0!</v>
      </c>
      <c r="BZ207" s="3" t="n"/>
      <c r="CA207" s="3">
        <f>CA187</f>
        <v>0</v>
      </c>
      <c r="CB207" s="3" t="e">
        <f>MAX(0,CA207-CB206)</f>
        <v>#DIV/0!</v>
      </c>
      <c r="CC207" s="3" t="e">
        <f>MAX(0,CB207-CC206)</f>
        <v>#DIV/0!</v>
      </c>
      <c r="CD207" s="3" t="e">
        <f>MAX(0,CC207-CD206)</f>
        <v>#DIV/0!</v>
      </c>
      <c r="CE207" s="3" t="n"/>
      <c r="CF207" s="3">
        <f>CF187</f>
        <v>0</v>
      </c>
      <c r="CG207" s="3" t="e">
        <f>MAX(0,CF207-CG206)</f>
        <v>#DIV/0!</v>
      </c>
      <c r="CH207" s="3" t="e">
        <f>MAX(0,CG207-CH206)</f>
        <v>#DIV/0!</v>
      </c>
      <c r="CI207" s="3" t="e">
        <f>MAX(0,CH207-CI206)</f>
        <v>#DIV/0!</v>
      </c>
      <c r="CJ207" s="3" t="n"/>
      <c r="CK207" s="3">
        <f>CK187</f>
        <v>0</v>
      </c>
      <c r="CL207" s="3" t="e">
        <f>MAX(0,CK207-CL206)</f>
        <v>#DIV/0!</v>
      </c>
      <c r="CM207" s="3" t="e">
        <f>MAX(0,CL207-CM206)</f>
        <v>#DIV/0!</v>
      </c>
      <c r="CN207" s="3" t="e">
        <f>MAX(0,CM207-CN206)</f>
        <v>#DIV/0!</v>
      </c>
      <c r="CO207" s="3" t="n"/>
      <c r="CP207" s="3">
        <f>CP187</f>
        <v>0</v>
      </c>
      <c r="CQ207" s="3" t="e">
        <f>MAX(0,CP207-CQ206)</f>
        <v>#DIV/0!</v>
      </c>
      <c r="CR207" s="3" t="e">
        <f>MAX(0,CQ207-CR206)</f>
        <v>#DIV/0!</v>
      </c>
      <c r="CS207" s="3" t="e">
        <f>MAX(0,CR207-CS206)</f>
        <v>#DIV/0!</v>
      </c>
      <c r="CT207" s="3" t="n"/>
      <c r="CU207" s="3">
        <f>CU187</f>
        <v>0</v>
      </c>
      <c r="CV207" s="3" t="e">
        <f>MAX(0,CU207-CV206)</f>
        <v>#DIV/0!</v>
      </c>
      <c r="CW207" s="3" t="e">
        <f>MAX(0,CV207-CW206)</f>
        <v>#DIV/0!</v>
      </c>
      <c r="CX207" s="3" t="e">
        <f>MAX(0,CW207-CX206)</f>
        <v>#DIV/0!</v>
      </c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collapsed="1">
      <c r="C209" s="26" t="inlineStr">
        <is>
          <t>Long term operating leases</t>
        </is>
      </c>
      <c r="D209" s="25">
        <f>INDEX('Inputs (2)'!$D$36:$AL$36,MATCH(D$7,'Inputs (2)'!$D$2:$AL$2,0))</f>
        <v>0</v>
      </c>
      <c r="E209" s="25">
        <f>INDEX('Inputs (2)'!$D$36:$AL$36,MATCH(E$7,'Inputs (2)'!$D$2:$AL$2,0))</f>
        <v>0</v>
      </c>
      <c r="F209" s="25">
        <f>INDEX('Inputs (2)'!$D$36:$AL$36,MATCH(F$7,'Inputs (2)'!$D$2:$AL$2,0))</f>
        <v>0</v>
      </c>
      <c r="G209" s="25">
        <f>INDEX('Inputs (2)'!$D$36:$AL$36,MATCH(G$7,'Inputs (2)'!$D$2:$AL$2,0))</f>
        <v>0</v>
      </c>
      <c r="H209" s="3">
        <f>G209</f>
        <v>0</v>
      </c>
      <c r="I209" s="25">
        <f>INDEX('Inputs (2)'!$D$36:$AL$36,MATCH(I$7,'Inputs (2)'!$D$2:$AL$2,0))</f>
        <v>0</v>
      </c>
      <c r="J209" s="25">
        <f>INDEX('Inputs (2)'!$D$36:$AL$36,MATCH(J$7,'Inputs (2)'!$D$2:$AL$2,0))</f>
        <v>0</v>
      </c>
      <c r="K209" s="25">
        <f>INDEX('Inputs (2)'!$D$36:$AL$36,MATCH(K$7,'Inputs (2)'!$D$2:$AL$2,0))</f>
        <v>0</v>
      </c>
      <c r="L209" s="25">
        <f>INDEX('Inputs (2)'!$D$36:$AL$36,MATCH(L$7,'Inputs (2)'!$D$2:$AL$2,0))</f>
        <v>0</v>
      </c>
      <c r="M209" s="3">
        <f>L209</f>
        <v>0</v>
      </c>
      <c r="N209" s="25">
        <f>INDEX('Inputs (2)'!$D$36:$AL$36,MATCH(N$7,'Inputs (2)'!$D$2:$AL$2,0))</f>
        <v>0</v>
      </c>
      <c r="O209" s="25">
        <f>INDEX('Inputs (2)'!$D$36:$AL$36,MATCH(O$7,'Inputs (2)'!$D$2:$AL$2,0))</f>
        <v>0</v>
      </c>
      <c r="P209" s="25">
        <f>INDEX('Inputs (2)'!$D$36:$AL$36,MATCH(P$7,'Inputs (2)'!$D$2:$AL$2,0))</f>
        <v>0</v>
      </c>
      <c r="Q209" s="25">
        <f>INDEX('Inputs (2)'!$D$36:$AL$36,MATCH(Q$7,'Inputs (2)'!$D$2:$AL$2,0))</f>
        <v>0</v>
      </c>
      <c r="R209" s="3">
        <f>Q209</f>
        <v>0</v>
      </c>
      <c r="S209" s="25">
        <f>INDEX('Inputs (2)'!$D$36:$AL$36,MATCH(S$7,'Inputs (2)'!$D$2:$AL$2,0))</f>
        <v>0</v>
      </c>
      <c r="T209" s="25">
        <f>INDEX('Inputs (2)'!$D$36:$AL$36,MATCH(T$7,'Inputs (2)'!$D$2:$AL$2,0))</f>
        <v>0</v>
      </c>
      <c r="U209" s="25">
        <f>INDEX('Inputs (2)'!$D$36:$AL$36,MATCH(U$7,'Inputs (2)'!$D$2:$AL$2,0))</f>
        <v>0</v>
      </c>
      <c r="V209" s="25">
        <f>INDEX('Inputs (2)'!$D$36:$AL$36,MATCH(V$7,'Inputs (2)'!$D$2:$AL$2,0))</f>
        <v>0</v>
      </c>
      <c r="W209" s="3">
        <f>V209</f>
        <v>0</v>
      </c>
      <c r="X209" s="25">
        <f>INDEX('Inputs (2)'!$D$36:$AL$36,MATCH(X$7,'Inputs (2)'!$D$2:$AL$2,0))</f>
        <v>0</v>
      </c>
      <c r="Y209" s="25">
        <f>INDEX('Inputs (2)'!$D$36:$AL$36,MATCH(Y$7,'Inputs (2)'!$D$2:$AL$2,0))</f>
        <v>0</v>
      </c>
      <c r="Z209" s="25">
        <f>INDEX('Inputs (2)'!$D$36:$AL$36,MATCH(Z$7,'Inputs (2)'!$D$2:$AL$2,0))</f>
        <v>0</v>
      </c>
      <c r="AA209" s="25">
        <f>INDEX('Inputs (2)'!$D$36:$AL$36,MATCH(AA$7,'Inputs (2)'!$D$2:$AL$2,0))</f>
        <v>0</v>
      </c>
      <c r="AB209" s="3">
        <f>AA209</f>
        <v>0</v>
      </c>
      <c r="AC209" s="25">
        <f>INDEX('Inputs (2)'!$D$36:$AL$36,MATCH(AC$7,'Inputs (2)'!$D$2:$AL$2,0))</f>
        <v>0</v>
      </c>
      <c r="AD209" s="25">
        <f>INDEX('Inputs (2)'!$D$36:$AL$36,MATCH(AD$7,'Inputs (2)'!$D$2:$AL$2,0))</f>
        <v>0</v>
      </c>
      <c r="AE209" s="25">
        <f>INDEX('Inputs (2)'!$D$36:$AL$36,MATCH(AE$7,'Inputs (2)'!$D$2:$AL$2,0))</f>
        <v>0</v>
      </c>
      <c r="AF209" s="25">
        <f>INDEX('Inputs (2)'!$D$36:$AL$36,MATCH(AF$7,'Inputs (2)'!$D$2:$AL$2,0))</f>
        <v>0</v>
      </c>
      <c r="AG209" s="3">
        <f>AF209</f>
        <v>0</v>
      </c>
      <c r="AH209" s="3">
        <f>INDEX('Inputs (2)'!$D$36:$AL$36,MATCH(AH$7,'Inputs (2)'!$D$2:$AL$2,0))</f>
        <v>0</v>
      </c>
      <c r="AI209" s="3">
        <f>INDEX('Inputs (2)'!$D$36:$AL$36,MATCH(AI$7,'Inputs (2)'!$D$2:$AL$2,0))</f>
        <v>0</v>
      </c>
      <c r="AJ209" s="3">
        <f>AI209</f>
        <v>0</v>
      </c>
      <c r="AK209" s="3">
        <f>AJ209</f>
        <v>0</v>
      </c>
      <c r="AL209" s="3">
        <f>AK209</f>
        <v>0</v>
      </c>
      <c r="AM209" s="3">
        <f>AL209</f>
        <v>0</v>
      </c>
      <c r="AN209" s="3">
        <f>AM209</f>
        <v>0</v>
      </c>
      <c r="AO209" s="3">
        <f>AN209</f>
        <v>0</v>
      </c>
      <c r="AP209" s="3">
        <f>AO209</f>
        <v>0</v>
      </c>
      <c r="AQ209" s="3">
        <f>AP209</f>
        <v>0</v>
      </c>
      <c r="AR209" s="3">
        <f>AQ209</f>
        <v>0</v>
      </c>
      <c r="AS209" s="3">
        <f>AR209</f>
        <v>0</v>
      </c>
      <c r="AT209" s="3">
        <f>AS209</f>
        <v>0</v>
      </c>
      <c r="AU209" s="3">
        <f>AT209</f>
        <v>0</v>
      </c>
      <c r="AV209" s="3">
        <f>AU209</f>
        <v>0</v>
      </c>
      <c r="AW209" s="3">
        <f>AV209</f>
        <v>0</v>
      </c>
      <c r="AX209" s="3">
        <f>AW209</f>
        <v>0</v>
      </c>
      <c r="AY209" s="3">
        <f>AX209</f>
        <v>0</v>
      </c>
      <c r="AZ209" s="3">
        <f>AY209</f>
        <v>0</v>
      </c>
      <c r="BA209" s="3">
        <f>AZ209</f>
        <v>0</v>
      </c>
      <c r="BB209" s="3">
        <f>BA209</f>
        <v>0</v>
      </c>
      <c r="BC209" s="3">
        <f>BB209</f>
        <v>0</v>
      </c>
      <c r="BD209" s="3">
        <f>BC209</f>
        <v>0</v>
      </c>
      <c r="BE209" s="3">
        <f>BD209</f>
        <v>0</v>
      </c>
      <c r="BF209" s="3">
        <f>BE209</f>
        <v>0</v>
      </c>
      <c r="BG209" s="3">
        <f>BF209</f>
        <v>0</v>
      </c>
      <c r="BH209" s="3">
        <f>BG209</f>
        <v>0</v>
      </c>
      <c r="BI209" s="3">
        <f>BH209</f>
        <v>0</v>
      </c>
      <c r="BJ209" s="3">
        <f>BI209</f>
        <v>0</v>
      </c>
      <c r="BK209" s="3">
        <f>BJ209</f>
        <v>0</v>
      </c>
      <c r="BL209" s="3">
        <f>BK209</f>
        <v>0</v>
      </c>
      <c r="BM209" s="3">
        <f>BL209</f>
        <v>0</v>
      </c>
      <c r="BN209" s="3">
        <f>BM209</f>
        <v>0</v>
      </c>
      <c r="BO209" s="3">
        <f>BN209</f>
        <v>0</v>
      </c>
      <c r="BP209" s="3">
        <f>BO209</f>
        <v>0</v>
      </c>
      <c r="BQ209" s="3">
        <f>BP209</f>
        <v>0</v>
      </c>
      <c r="BR209" s="3">
        <f>BQ209</f>
        <v>0</v>
      </c>
      <c r="BS209" s="3">
        <f>BR209</f>
        <v>0</v>
      </c>
      <c r="BT209" s="3">
        <f>BS209</f>
        <v>0</v>
      </c>
      <c r="BU209" s="3">
        <f>BT209</f>
        <v>0</v>
      </c>
      <c r="BV209" s="3">
        <f>BU209</f>
        <v>0</v>
      </c>
      <c r="BW209" s="3">
        <f>BV209</f>
        <v>0</v>
      </c>
      <c r="BX209" s="3">
        <f>BW209</f>
        <v>0</v>
      </c>
      <c r="BY209" s="3">
        <f>BX209</f>
        <v>0</v>
      </c>
      <c r="BZ209" s="3">
        <f>BY209</f>
        <v>0</v>
      </c>
      <c r="CA209" s="3">
        <f>BZ209</f>
        <v>0</v>
      </c>
      <c r="CB209" s="3">
        <f>CA209</f>
        <v>0</v>
      </c>
      <c r="CC209" s="3">
        <f>CB209</f>
        <v>0</v>
      </c>
      <c r="CD209" s="3">
        <f>CC209</f>
        <v>0</v>
      </c>
      <c r="CE209" s="3">
        <f>CD209</f>
        <v>0</v>
      </c>
      <c r="CF209" s="3">
        <f>CE209</f>
        <v>0</v>
      </c>
      <c r="CG209" s="3">
        <f>CF209</f>
        <v>0</v>
      </c>
      <c r="CH209" s="3">
        <f>CG209</f>
        <v>0</v>
      </c>
      <c r="CI209" s="3">
        <f>CH209</f>
        <v>0</v>
      </c>
      <c r="CJ209" s="3">
        <f>CI209</f>
        <v>0</v>
      </c>
      <c r="CK209" s="3">
        <f>CJ209</f>
        <v>0</v>
      </c>
      <c r="CL209" s="3">
        <f>CK209</f>
        <v>0</v>
      </c>
      <c r="CM209" s="3">
        <f>CL209</f>
        <v>0</v>
      </c>
      <c r="CN209" s="3">
        <f>CM209</f>
        <v>0</v>
      </c>
      <c r="CO209" s="3">
        <f>CN209</f>
        <v>0</v>
      </c>
      <c r="CP209" s="3">
        <f>CO209</f>
        <v>0</v>
      </c>
      <c r="CQ209" s="3">
        <f>CP209</f>
        <v>0</v>
      </c>
      <c r="CR209" s="3">
        <f>CQ209</f>
        <v>0</v>
      </c>
      <c r="CS209" s="3">
        <f>CR209</f>
        <v>0</v>
      </c>
      <c r="CT209" s="3">
        <f>CS209</f>
        <v>0</v>
      </c>
      <c r="CU209" s="3">
        <f>CT209</f>
        <v>0</v>
      </c>
      <c r="CV209" s="3">
        <f>CU209</f>
        <v>0</v>
      </c>
      <c r="CW209" s="3">
        <f>CV209</f>
        <v>0</v>
      </c>
      <c r="CX209" s="3">
        <f>CW209</f>
        <v>0</v>
      </c>
      <c r="CY209" s="3">
        <f>CX209</f>
        <v>0</v>
      </c>
    </row>
    <row r="210" hidden="1" outlineLevel="1">
      <c r="C210" s="38" t="inlineStr">
        <is>
          <t>%(Var.)</t>
        </is>
      </c>
      <c r="D210" s="3" t="n"/>
      <c r="E210" s="47">
        <f>IFERROR((E209-D209)/D209,0)</f>
        <v>0</v>
      </c>
      <c r="F210" s="47">
        <f>IFERROR((F209-E209)/E209,0)</f>
        <v>0</v>
      </c>
      <c r="G210" s="47">
        <f>IFERROR((G209-F209)/F209,0)</f>
        <v>0</v>
      </c>
      <c r="H210" s="3" t="n"/>
      <c r="I210" s="47">
        <f>IFERROR((I209-H209)/H209,0)</f>
        <v>0</v>
      </c>
      <c r="J210" s="47">
        <f>IFERROR((J209-I209)/I209,0)</f>
        <v>0</v>
      </c>
      <c r="K210" s="47">
        <f>IFERROR((K209-J209)/J209,0)</f>
        <v>0</v>
      </c>
      <c r="L210" s="47">
        <f>IFERROR((L209-K209)/K209,0)</f>
        <v>0</v>
      </c>
      <c r="M210" s="3" t="n"/>
      <c r="N210" s="47">
        <f>IFERROR((N209-M209)/M209,0)</f>
        <v>0</v>
      </c>
      <c r="O210" s="47">
        <f>IFERROR((O209-N209)/N209,0)</f>
        <v>0</v>
      </c>
      <c r="P210" s="47">
        <f>IFERROR((P209-O209)/O209,0)</f>
        <v>0</v>
      </c>
      <c r="Q210" s="47">
        <f>IFERROR((Q209-P209)/P209,0)</f>
        <v>0</v>
      </c>
      <c r="R210" s="3" t="n"/>
      <c r="S210" s="47">
        <f>IFERROR((S209-R209)/R209,0)</f>
        <v>0</v>
      </c>
      <c r="T210" s="47">
        <f>IFERROR((T209-S209)/S209,0)</f>
        <v>0</v>
      </c>
      <c r="U210" s="47">
        <f>IFERROR((U209-T209)/T209,0)</f>
        <v>0</v>
      </c>
      <c r="V210" s="47">
        <f>IFERROR((V209-U209)/U209,0)</f>
        <v>0</v>
      </c>
      <c r="W210" s="3" t="n"/>
      <c r="X210" s="47">
        <f>IFERROR((X209-W209)/W209,0)</f>
        <v>0</v>
      </c>
      <c r="Y210" s="47">
        <f>IFERROR((Y209-X209)/X209,0)</f>
        <v>0</v>
      </c>
      <c r="Z210" s="47">
        <f>IFERROR((Z209-Y209)/Y209,0)</f>
        <v>0</v>
      </c>
      <c r="AA210" s="47">
        <f>IFERROR((AA209-Z209)/Z209,0)</f>
        <v>0</v>
      </c>
      <c r="AB210" s="3" t="n"/>
      <c r="AC210" s="47">
        <f>IFERROR((AC209-AB209)/AB209,0)</f>
        <v>0</v>
      </c>
      <c r="AD210" s="47">
        <f>IFERROR((AD209-AC209)/AC209,0)</f>
        <v>0</v>
      </c>
      <c r="AE210" s="47">
        <f>IFERROR((AE209-AD209)/AD209,0)</f>
        <v>0</v>
      </c>
      <c r="AF210" s="230">
        <f>IFERROR((AF209-AE209)/AE209,0)</f>
        <v>0</v>
      </c>
      <c r="AG210" s="3" t="n"/>
      <c r="AH210" s="6">
        <f>IFERROR((AH209-AG209)/AG209,0)</f>
        <v>0</v>
      </c>
      <c r="AI210" s="6">
        <f>IFERROR((AI209-AH209)/AH209,0)</f>
        <v>0</v>
      </c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Convertible debt</t>
        </is>
      </c>
      <c r="D212" s="25">
        <f>INDEX('Inputs (2)'!$D$37:$AL$37,MATCH(D$7,'Inputs (2)'!$D$2:$AL$2,0))</f>
        <v>0</v>
      </c>
      <c r="E212" s="25">
        <f>INDEX('Inputs (2)'!$D$37:$AL$37,MATCH(E$7,'Inputs (2)'!$D$2:$AL$2,0))</f>
        <v>0</v>
      </c>
      <c r="F212" s="25">
        <f>INDEX('Inputs (2)'!$D$37:$AL$37,MATCH(F$7,'Inputs (2)'!$D$2:$AL$2,0))</f>
        <v>0</v>
      </c>
      <c r="G212" s="25">
        <f>INDEX('Inputs (2)'!$D$37:$AL$37,MATCH(G$7,'Inputs (2)'!$D$2:$AL$2,0))</f>
        <v>0</v>
      </c>
      <c r="H212" s="3">
        <f>G212</f>
        <v>0</v>
      </c>
      <c r="I212" s="25">
        <f>INDEX('Inputs (2)'!$D$37:$AL$37,MATCH(I$7,'Inputs (2)'!$D$2:$AL$2,0))</f>
        <v>0</v>
      </c>
      <c r="J212" s="25">
        <f>INDEX('Inputs (2)'!$D$37:$AL$37,MATCH(J$7,'Inputs (2)'!$D$2:$AL$2,0))</f>
        <v>0</v>
      </c>
      <c r="K212" s="25">
        <f>INDEX('Inputs (2)'!$D$37:$AL$37,MATCH(K$7,'Inputs (2)'!$D$2:$AL$2,0))</f>
        <v>0</v>
      </c>
      <c r="L212" s="25">
        <f>INDEX('Inputs (2)'!$D$37:$AL$37,MATCH(L$7,'Inputs (2)'!$D$2:$AL$2,0))</f>
        <v>0</v>
      </c>
      <c r="M212" s="3">
        <f>L212</f>
        <v>0</v>
      </c>
      <c r="N212" s="25">
        <f>INDEX('Inputs (2)'!$D$37:$AL$37,MATCH(N$7,'Inputs (2)'!$D$2:$AL$2,0))</f>
        <v>0</v>
      </c>
      <c r="O212" s="25">
        <f>INDEX('Inputs (2)'!$D$37:$AL$37,MATCH(O$7,'Inputs (2)'!$D$2:$AL$2,0))</f>
        <v>0</v>
      </c>
      <c r="P212" s="25">
        <f>INDEX('Inputs (2)'!$D$37:$AL$37,MATCH(P$7,'Inputs (2)'!$D$2:$AL$2,0))</f>
        <v>0</v>
      </c>
      <c r="Q212" s="25">
        <f>INDEX('Inputs (2)'!$D$37:$AL$37,MATCH(Q$7,'Inputs (2)'!$D$2:$AL$2,0))</f>
        <v>0</v>
      </c>
      <c r="R212" s="3">
        <f>Q212</f>
        <v>0</v>
      </c>
      <c r="S212" s="25">
        <f>INDEX('Inputs (2)'!$D$37:$AL$37,MATCH(S$7,'Inputs (2)'!$D$2:$AL$2,0))</f>
        <v>0</v>
      </c>
      <c r="T212" s="25">
        <f>INDEX('Inputs (2)'!$D$37:$AL$37,MATCH(T$7,'Inputs (2)'!$D$2:$AL$2,0))</f>
        <v>0</v>
      </c>
      <c r="U212" s="25">
        <f>INDEX('Inputs (2)'!$D$37:$AL$37,MATCH(U$7,'Inputs (2)'!$D$2:$AL$2,0))</f>
        <v>0</v>
      </c>
      <c r="V212" s="25">
        <f>INDEX('Inputs (2)'!$D$37:$AL$37,MATCH(V$7,'Inputs (2)'!$D$2:$AL$2,0))</f>
        <v>0</v>
      </c>
      <c r="W212" s="3">
        <f>V212</f>
        <v>0</v>
      </c>
      <c r="X212" s="25">
        <f>INDEX('Inputs (2)'!$D$37:$AL$37,MATCH(X$7,'Inputs (2)'!$D$2:$AL$2,0))</f>
        <v>0</v>
      </c>
      <c r="Y212" s="25">
        <f>INDEX('Inputs (2)'!$D$37:$AL$37,MATCH(Y$7,'Inputs (2)'!$D$2:$AL$2,0))</f>
        <v>0</v>
      </c>
      <c r="Z212" s="25">
        <f>INDEX('Inputs (2)'!$D$37:$AL$37,MATCH(Z$7,'Inputs (2)'!$D$2:$AL$2,0))</f>
        <v>0</v>
      </c>
      <c r="AA212" s="25">
        <f>INDEX('Inputs (2)'!$D$37:$AL$37,MATCH(AA$7,'Inputs (2)'!$D$2:$AL$2,0))</f>
        <v>0</v>
      </c>
      <c r="AB212" s="3">
        <f>AA212</f>
        <v>0</v>
      </c>
      <c r="AC212" s="25">
        <f>INDEX('Inputs (2)'!$D$37:$AL$37,MATCH(AC$7,'Inputs (2)'!$D$2:$AL$2,0))</f>
        <v>0</v>
      </c>
      <c r="AD212" s="25">
        <f>INDEX('Inputs (2)'!$D$37:$AL$37,MATCH(AD$7,'Inputs (2)'!$D$2:$AL$2,0))</f>
        <v>0</v>
      </c>
      <c r="AE212" s="25">
        <f>INDEX('Inputs (2)'!$D$37:$AL$37,MATCH(AE$7,'Inputs (2)'!$D$2:$AL$2,0))</f>
        <v>0</v>
      </c>
      <c r="AF212" s="25">
        <f>INDEX('Inputs (2)'!$D$37:$AL$37,MATCH(AF$7,'Inputs (2)'!$D$2:$AL$2,0))</f>
        <v>0</v>
      </c>
      <c r="AG212" s="3">
        <f>AF212</f>
        <v>0</v>
      </c>
      <c r="AH212" s="3">
        <f>INDEX('Inputs (2)'!$D$37:$AL$37,MATCH(AH$7,'Inputs (2)'!$D$2:$AL$2,0))</f>
        <v>0</v>
      </c>
      <c r="AI212" s="3">
        <f>INDEX('Inputs (2)'!$D$37:$AL$37,MATCH(AI$7,'Inputs (2)'!$D$2:$AL$2,0))</f>
        <v>0</v>
      </c>
      <c r="AJ212" s="3">
        <f>AI212</f>
        <v>0</v>
      </c>
      <c r="AK212" s="3">
        <f>AJ212</f>
        <v>0</v>
      </c>
      <c r="AL212" s="3">
        <f>AK212</f>
        <v>0</v>
      </c>
      <c r="AM212" s="3">
        <f>AL212</f>
        <v>0</v>
      </c>
      <c r="AN212" s="3">
        <f>AM212</f>
        <v>0</v>
      </c>
      <c r="AO212" s="3">
        <f>AN212</f>
        <v>0</v>
      </c>
      <c r="AP212" s="3">
        <f>AO212</f>
        <v>0</v>
      </c>
      <c r="AQ212" s="3">
        <f>AP212</f>
        <v>0</v>
      </c>
      <c r="AR212" s="3">
        <f>AQ212</f>
        <v>0</v>
      </c>
      <c r="AS212" s="3">
        <f>AR212</f>
        <v>0</v>
      </c>
      <c r="AT212" s="3">
        <f>AS212</f>
        <v>0</v>
      </c>
      <c r="AU212" s="3">
        <f>AT212</f>
        <v>0</v>
      </c>
      <c r="AV212" s="3">
        <f>AU212</f>
        <v>0</v>
      </c>
      <c r="AW212" s="3">
        <f>AV212</f>
        <v>0</v>
      </c>
      <c r="AX212" s="3">
        <f>AW212</f>
        <v>0</v>
      </c>
      <c r="AY212" s="3">
        <f>AX212</f>
        <v>0</v>
      </c>
      <c r="AZ212" s="3">
        <f>AY212</f>
        <v>0</v>
      </c>
      <c r="BA212" s="3">
        <f>AZ212</f>
        <v>0</v>
      </c>
      <c r="BB212" s="3">
        <f>BA212</f>
        <v>0</v>
      </c>
      <c r="BC212" s="3">
        <f>BB212</f>
        <v>0</v>
      </c>
      <c r="BD212" s="3">
        <f>BC212</f>
        <v>0</v>
      </c>
      <c r="BE212" s="3">
        <f>BD212</f>
        <v>0</v>
      </c>
      <c r="BF212" s="3">
        <f>BE212</f>
        <v>0</v>
      </c>
      <c r="BG212" s="3">
        <f>BF212</f>
        <v>0</v>
      </c>
      <c r="BH212" s="3">
        <f>BG212</f>
        <v>0</v>
      </c>
      <c r="BI212" s="3">
        <f>BH212</f>
        <v>0</v>
      </c>
      <c r="BJ212" s="3">
        <f>BI212</f>
        <v>0</v>
      </c>
      <c r="BK212" s="3">
        <f>BJ212</f>
        <v>0</v>
      </c>
      <c r="BL212" s="3">
        <f>BK212</f>
        <v>0</v>
      </c>
      <c r="BM212" s="3">
        <f>BL212</f>
        <v>0</v>
      </c>
      <c r="BN212" s="3">
        <f>BM212</f>
        <v>0</v>
      </c>
      <c r="BO212" s="3">
        <f>BN212</f>
        <v>0</v>
      </c>
      <c r="BP212" s="3">
        <f>BO212</f>
        <v>0</v>
      </c>
      <c r="BQ212" s="3">
        <f>BP212</f>
        <v>0</v>
      </c>
      <c r="BR212" s="3">
        <f>BQ212</f>
        <v>0</v>
      </c>
      <c r="BS212" s="3">
        <f>BR212</f>
        <v>0</v>
      </c>
      <c r="BT212" s="3">
        <f>BS212</f>
        <v>0</v>
      </c>
      <c r="BU212" s="3">
        <f>BT212</f>
        <v>0</v>
      </c>
      <c r="BV212" s="3">
        <f>BU212</f>
        <v>0</v>
      </c>
      <c r="BW212" s="3">
        <f>BV212</f>
        <v>0</v>
      </c>
      <c r="BX212" s="3">
        <f>BW212</f>
        <v>0</v>
      </c>
      <c r="BY212" s="3">
        <f>BX212</f>
        <v>0</v>
      </c>
      <c r="BZ212" s="3">
        <f>BY212</f>
        <v>0</v>
      </c>
      <c r="CA212" s="3">
        <f>BZ212</f>
        <v>0</v>
      </c>
      <c r="CB212" s="3">
        <f>CA212</f>
        <v>0</v>
      </c>
      <c r="CC212" s="3">
        <f>CB212</f>
        <v>0</v>
      </c>
      <c r="CD212" s="3">
        <f>CC212</f>
        <v>0</v>
      </c>
      <c r="CE212" s="3">
        <f>CD212</f>
        <v>0</v>
      </c>
      <c r="CF212" s="3">
        <f>CE212</f>
        <v>0</v>
      </c>
      <c r="CG212" s="3">
        <f>CF212</f>
        <v>0</v>
      </c>
      <c r="CH212" s="3">
        <f>CG212</f>
        <v>0</v>
      </c>
      <c r="CI212" s="3">
        <f>CH212</f>
        <v>0</v>
      </c>
      <c r="CJ212" s="3">
        <f>CI212</f>
        <v>0</v>
      </c>
      <c r="CK212" s="3">
        <f>CJ212</f>
        <v>0</v>
      </c>
      <c r="CL212" s="3">
        <f>CK212</f>
        <v>0</v>
      </c>
      <c r="CM212" s="3">
        <f>CL212</f>
        <v>0</v>
      </c>
      <c r="CN212" s="3">
        <f>CM212</f>
        <v>0</v>
      </c>
      <c r="CO212" s="3">
        <f>CN212</f>
        <v>0</v>
      </c>
      <c r="CP212" s="3">
        <f>CO212</f>
        <v>0</v>
      </c>
      <c r="CQ212" s="3">
        <f>CP212</f>
        <v>0</v>
      </c>
      <c r="CR212" s="3">
        <f>CQ212</f>
        <v>0</v>
      </c>
      <c r="CS212" s="3">
        <f>CR212</f>
        <v>0</v>
      </c>
      <c r="CT212" s="3">
        <f>CS212</f>
        <v>0</v>
      </c>
      <c r="CU212" s="3">
        <f>CT212</f>
        <v>0</v>
      </c>
      <c r="CV212" s="3">
        <f>CU212</f>
        <v>0</v>
      </c>
      <c r="CW212" s="3">
        <f>CV212</f>
        <v>0</v>
      </c>
      <c r="CX212" s="3">
        <f>CW212</f>
        <v>0</v>
      </c>
      <c r="CY212" s="3">
        <f>CX212</f>
        <v>0</v>
      </c>
    </row>
    <row r="213">
      <c r="C213" s="26" t="inlineStr">
        <is>
          <t>Deferred income taxes</t>
        </is>
      </c>
      <c r="D213" s="25">
        <f>INDEX('Inputs (2)'!$D$38:$AL$38,MATCH(D$7,'Inputs (2)'!$D$2:$AL$2,0))</f>
        <v>13457</v>
      </c>
      <c r="E213" s="25">
        <f>INDEX('Inputs (2)'!$D$38:$AL$38,MATCH(E$7,'Inputs (2)'!$D$2:$AL$2,0))</f>
        <v>11110</v>
      </c>
      <c r="F213" s="25">
        <f>INDEX('Inputs (2)'!$D$38:$AL$38,MATCH(F$7,'Inputs (2)'!$D$2:$AL$2,0))</f>
        <v>10625</v>
      </c>
      <c r="G213" s="25">
        <f>INDEX('Inputs (2)'!$D$38:$AL$38,MATCH(G$7,'Inputs (2)'!$D$2:$AL$2,0))</f>
        <v>12569</v>
      </c>
      <c r="H213" s="3">
        <f>G213</f>
        <v>12569</v>
      </c>
      <c r="I213" s="25">
        <f>INDEX('Inputs (2)'!$D$38:$AL$38,MATCH(I$7,'Inputs (2)'!$D$2:$AL$2,0))</f>
        <v>12474</v>
      </c>
      <c r="J213" s="25">
        <f>INDEX('Inputs (2)'!$D$38:$AL$38,MATCH(J$7,'Inputs (2)'!$D$2:$AL$2,0))</f>
        <v>13140</v>
      </c>
      <c r="K213" s="25">
        <f>INDEX('Inputs (2)'!$D$38:$AL$38,MATCH(K$7,'Inputs (2)'!$D$2:$AL$2,0))</f>
        <v>13546</v>
      </c>
      <c r="L213" s="25">
        <f>INDEX('Inputs (2)'!$D$38:$AL$38,MATCH(L$7,'Inputs (2)'!$D$2:$AL$2,0))</f>
        <v>14665</v>
      </c>
      <c r="M213" s="3">
        <f>L213</f>
        <v>14665</v>
      </c>
      <c r="N213" s="25">
        <f>INDEX('Inputs (2)'!$D$38:$AL$38,MATCH(N$7,'Inputs (2)'!$D$2:$AL$2,0))</f>
        <v>15526</v>
      </c>
      <c r="O213" s="25">
        <f>INDEX('Inputs (2)'!$D$38:$AL$38,MATCH(O$7,'Inputs (2)'!$D$2:$AL$2,0))</f>
        <v>15942</v>
      </c>
      <c r="P213" s="25">
        <f>INDEX('Inputs (2)'!$D$38:$AL$38,MATCH(P$7,'Inputs (2)'!$D$2:$AL$2,0))</f>
        <v>16616</v>
      </c>
      <c r="Q213" s="25">
        <f>INDEX('Inputs (2)'!$D$38:$AL$38,MATCH(Q$7,'Inputs (2)'!$D$2:$AL$2,0))</f>
        <v>17131</v>
      </c>
      <c r="R213" s="3">
        <f>Q213</f>
        <v>17131</v>
      </c>
      <c r="S213" s="25">
        <f>INDEX('Inputs (2)'!$D$38:$AL$38,MATCH(S$7,'Inputs (2)'!$D$2:$AL$2,0))</f>
        <v>17736</v>
      </c>
      <c r="T213" s="25">
        <f>INDEX('Inputs (2)'!$D$38:$AL$38,MATCH(T$7,'Inputs (2)'!$D$2:$AL$2,0))</f>
        <v>18451</v>
      </c>
      <c r="U213" s="25">
        <f>INDEX('Inputs (2)'!$D$38:$AL$38,MATCH(U$7,'Inputs (2)'!$D$2:$AL$2,0))</f>
        <v>19637</v>
      </c>
      <c r="V213" s="25">
        <f>INDEX('Inputs (2)'!$D$38:$AL$38,MATCH(V$7,'Inputs (2)'!$D$2:$AL$2,0))</f>
        <v>18830</v>
      </c>
      <c r="W213" s="3">
        <f>V213</f>
        <v>18830</v>
      </c>
      <c r="X213" s="25">
        <f>INDEX('Inputs (2)'!$D$38:$AL$38,MATCH(X$7,'Inputs (2)'!$D$2:$AL$2,0))</f>
        <v>19106</v>
      </c>
      <c r="Y213" s="25">
        <f>INDEX('Inputs (2)'!$D$38:$AL$38,MATCH(Y$7,'Inputs (2)'!$D$2:$AL$2,0))</f>
        <v>19509</v>
      </c>
      <c r="Z213" s="25">
        <f>INDEX('Inputs (2)'!$D$38:$AL$38,MATCH(Z$7,'Inputs (2)'!$D$2:$AL$2,0))</f>
        <v>19899</v>
      </c>
      <c r="AA213" s="25">
        <f>INDEX('Inputs (2)'!$D$38:$AL$38,MATCH(AA$7,'Inputs (2)'!$D$2:$AL$2,0))</f>
        <v>19137</v>
      </c>
      <c r="AB213" s="3">
        <f>AA213</f>
        <v>19137</v>
      </c>
      <c r="AC213" s="25">
        <f>INDEX('Inputs (2)'!$D$38:$AL$38,MATCH(AC$7,'Inputs (2)'!$D$2:$AL$2,0))</f>
        <v>19594</v>
      </c>
      <c r="AD213" s="25">
        <f>INDEX('Inputs (2)'!$D$38:$AL$38,MATCH(AD$7,'Inputs (2)'!$D$2:$AL$2,0))</f>
        <v>19708</v>
      </c>
      <c r="AE213" s="25">
        <f>INDEX('Inputs (2)'!$D$38:$AL$38,MATCH(AE$7,'Inputs (2)'!$D$2:$AL$2,0))</f>
        <v>29796</v>
      </c>
      <c r="AF213" s="25">
        <f>INDEX('Inputs (2)'!$D$38:$AL$38,MATCH(AF$7,'Inputs (2)'!$D$2:$AL$2,0))</f>
        <v>30014</v>
      </c>
      <c r="AG213" s="3">
        <f>AF213</f>
        <v>30014</v>
      </c>
      <c r="AH213" s="3">
        <f>INDEX('Inputs (2)'!$D$38:$AL$38,MATCH(AH$7,'Inputs (2)'!$D$2:$AL$2,0))</f>
        <v>29945</v>
      </c>
      <c r="AI213" s="3">
        <f>INDEX('Inputs (2)'!$D$38:$AL$38,MATCH(AI$7,'Inputs (2)'!$D$2:$AL$2,0))</f>
        <v>30338</v>
      </c>
      <c r="AJ213" s="3">
        <f>AI213</f>
        <v>30338</v>
      </c>
      <c r="AK213" s="3">
        <f>AJ213</f>
        <v>30338</v>
      </c>
      <c r="AL213" s="3">
        <f>AK213</f>
        <v>30338</v>
      </c>
      <c r="AM213" s="3">
        <f>AL213</f>
        <v>30338</v>
      </c>
      <c r="AN213" s="3">
        <f>AM213</f>
        <v>30338</v>
      </c>
      <c r="AO213" s="3">
        <f>AN213</f>
        <v>30338</v>
      </c>
      <c r="AP213" s="3">
        <f>AO213</f>
        <v>30338</v>
      </c>
      <c r="AQ213" s="3">
        <f>AP213</f>
        <v>30338</v>
      </c>
      <c r="AR213" s="3">
        <f>AQ213</f>
        <v>30338</v>
      </c>
      <c r="AS213" s="3">
        <f>AR213</f>
        <v>30338</v>
      </c>
      <c r="AT213" s="3">
        <f>AS213</f>
        <v>30338</v>
      </c>
      <c r="AU213" s="3">
        <f>AT213</f>
        <v>30338</v>
      </c>
      <c r="AV213" s="3">
        <f>AU213</f>
        <v>30338</v>
      </c>
      <c r="AW213" s="3">
        <f>AV213</f>
        <v>30338</v>
      </c>
      <c r="AX213" s="3">
        <f>AW213</f>
        <v>30338</v>
      </c>
      <c r="AY213" s="3">
        <f>AX213</f>
        <v>30338</v>
      </c>
      <c r="AZ213" s="3">
        <f>AY213</f>
        <v>30338</v>
      </c>
      <c r="BA213" s="3">
        <f>AZ213</f>
        <v>30338</v>
      </c>
      <c r="BB213" s="3">
        <f>BA213</f>
        <v>30338</v>
      </c>
      <c r="BC213" s="3">
        <f>BB213</f>
        <v>30338</v>
      </c>
      <c r="BD213" s="3">
        <f>BC213</f>
        <v>30338</v>
      </c>
      <c r="BE213" s="3">
        <f>BD213</f>
        <v>30338</v>
      </c>
      <c r="BF213" s="3">
        <f>BE213</f>
        <v>30338</v>
      </c>
      <c r="BG213" s="3">
        <f>BF213</f>
        <v>30338</v>
      </c>
      <c r="BH213" s="3">
        <f>BG213</f>
        <v>30338</v>
      </c>
      <c r="BI213" s="3">
        <f>BH213</f>
        <v>30338</v>
      </c>
      <c r="BJ213" s="3">
        <f>BI213</f>
        <v>30338</v>
      </c>
      <c r="BK213" s="3">
        <f>BJ213</f>
        <v>30338</v>
      </c>
      <c r="BL213" s="3">
        <f>BK213</f>
        <v>30338</v>
      </c>
      <c r="BM213" s="3">
        <f>BL213</f>
        <v>30338</v>
      </c>
      <c r="BN213" s="3">
        <f>BM213</f>
        <v>30338</v>
      </c>
      <c r="BO213" s="3">
        <f>BN213</f>
        <v>30338</v>
      </c>
      <c r="BP213" s="3">
        <f>BO213</f>
        <v>30338</v>
      </c>
      <c r="BQ213" s="3">
        <f>BP213</f>
        <v>30338</v>
      </c>
      <c r="BR213" s="3">
        <f>BQ213</f>
        <v>30338</v>
      </c>
      <c r="BS213" s="3">
        <f>BR213</f>
        <v>30338</v>
      </c>
      <c r="BT213" s="3">
        <f>BS213</f>
        <v>30338</v>
      </c>
      <c r="BU213" s="3">
        <f>BT213</f>
        <v>30338</v>
      </c>
      <c r="BV213" s="3">
        <f>BU213</f>
        <v>30338</v>
      </c>
      <c r="BW213" s="3">
        <f>BV213</f>
        <v>30338</v>
      </c>
      <c r="BX213" s="3">
        <f>BW213</f>
        <v>30338</v>
      </c>
      <c r="BY213" s="3">
        <f>BX213</f>
        <v>30338</v>
      </c>
      <c r="BZ213" s="3">
        <f>BY213</f>
        <v>30338</v>
      </c>
      <c r="CA213" s="3">
        <f>BZ213</f>
        <v>30338</v>
      </c>
      <c r="CB213" s="3">
        <f>CA213</f>
        <v>30338</v>
      </c>
      <c r="CC213" s="3">
        <f>CB213</f>
        <v>30338</v>
      </c>
      <c r="CD213" s="3">
        <f>CC213</f>
        <v>30338</v>
      </c>
      <c r="CE213" s="3">
        <f>CD213</f>
        <v>30338</v>
      </c>
      <c r="CF213" s="3">
        <f>CE213</f>
        <v>30338</v>
      </c>
      <c r="CG213" s="3">
        <f>CF213</f>
        <v>30338</v>
      </c>
      <c r="CH213" s="3">
        <f>CG213</f>
        <v>30338</v>
      </c>
      <c r="CI213" s="3">
        <f>CH213</f>
        <v>30338</v>
      </c>
      <c r="CJ213" s="3">
        <f>CI213</f>
        <v>30338</v>
      </c>
      <c r="CK213" s="3">
        <f>CJ213</f>
        <v>30338</v>
      </c>
      <c r="CL213" s="3">
        <f>CK213</f>
        <v>30338</v>
      </c>
      <c r="CM213" s="3">
        <f>CL213</f>
        <v>30338</v>
      </c>
      <c r="CN213" s="3">
        <f>CM213</f>
        <v>30338</v>
      </c>
      <c r="CO213" s="3">
        <f>CN213</f>
        <v>30338</v>
      </c>
      <c r="CP213" s="3">
        <f>CO213</f>
        <v>30338</v>
      </c>
      <c r="CQ213" s="3">
        <f>CP213</f>
        <v>30338</v>
      </c>
      <c r="CR213" s="3">
        <f>CQ213</f>
        <v>30338</v>
      </c>
      <c r="CS213" s="3">
        <f>CR213</f>
        <v>30338</v>
      </c>
      <c r="CT213" s="3">
        <f>CS213</f>
        <v>30338</v>
      </c>
      <c r="CU213" s="3">
        <f>CT213</f>
        <v>30338</v>
      </c>
      <c r="CV213" s="3">
        <f>CU213</f>
        <v>30338</v>
      </c>
      <c r="CW213" s="3">
        <f>CV213</f>
        <v>30338</v>
      </c>
      <c r="CX213" s="3">
        <f>CW213</f>
        <v>30338</v>
      </c>
      <c r="CY213" s="3">
        <f>CX213</f>
        <v>30338</v>
      </c>
    </row>
    <row r="214">
      <c r="C214" s="26" t="inlineStr">
        <is>
          <t>Other non-current liabilities</t>
        </is>
      </c>
      <c r="D214" s="25">
        <f>INDEX('Inputs (2)'!$D$39:$AL$39,MATCH(D$7,'Inputs (2)'!$D$2:$AL$2,0))</f>
        <v>50071</v>
      </c>
      <c r="E214" s="25">
        <f>INDEX('Inputs (2)'!$D$39:$AL$39,MATCH(E$7,'Inputs (2)'!$D$2:$AL$2,0))</f>
        <v>57082</v>
      </c>
      <c r="F214" s="25">
        <f>INDEX('Inputs (2)'!$D$39:$AL$39,MATCH(F$7,'Inputs (2)'!$D$2:$AL$2,0))</f>
        <v>60736</v>
      </c>
      <c r="G214" s="25">
        <f>INDEX('Inputs (2)'!$D$39:$AL$39,MATCH(G$7,'Inputs (2)'!$D$2:$AL$2,0))</f>
        <v>72312</v>
      </c>
      <c r="H214" s="3">
        <f>G214</f>
        <v>72312</v>
      </c>
      <c r="I214" s="25">
        <f>INDEX('Inputs (2)'!$D$39:$AL$39,MATCH(I$7,'Inputs (2)'!$D$2:$AL$2,0))</f>
        <v>68758</v>
      </c>
      <c r="J214" s="25">
        <f>INDEX('Inputs (2)'!$D$39:$AL$39,MATCH(J$7,'Inputs (2)'!$D$2:$AL$2,0))</f>
        <v>67608</v>
      </c>
      <c r="K214" s="25">
        <f>INDEX('Inputs (2)'!$D$39:$AL$39,MATCH(K$7,'Inputs (2)'!$D$2:$AL$2,0))</f>
        <v>64492</v>
      </c>
      <c r="L214" s="25">
        <f>INDEX('Inputs (2)'!$D$39:$AL$39,MATCH(L$7,'Inputs (2)'!$D$2:$AL$2,0))</f>
        <v>58139</v>
      </c>
      <c r="M214" s="3">
        <f>L214</f>
        <v>58139</v>
      </c>
      <c r="N214" s="25">
        <f>INDEX('Inputs (2)'!$D$39:$AL$39,MATCH(N$7,'Inputs (2)'!$D$2:$AL$2,0))</f>
        <v>55219</v>
      </c>
      <c r="O214" s="25">
        <f>INDEX('Inputs (2)'!$D$39:$AL$39,MATCH(O$7,'Inputs (2)'!$D$2:$AL$2,0))</f>
        <v>48311</v>
      </c>
      <c r="P214" s="25">
        <f>INDEX('Inputs (2)'!$D$39:$AL$39,MATCH(P$7,'Inputs (2)'!$D$2:$AL$2,0))</f>
        <v>46609</v>
      </c>
      <c r="Q214" s="25">
        <f>INDEX('Inputs (2)'!$D$39:$AL$39,MATCH(Q$7,'Inputs (2)'!$D$2:$AL$2,0))</f>
        <v>46128</v>
      </c>
      <c r="R214" s="3">
        <f>Q214</f>
        <v>46128</v>
      </c>
      <c r="S214" s="25">
        <f>INDEX('Inputs (2)'!$D$39:$AL$39,MATCH(S$7,'Inputs (2)'!$D$2:$AL$2,0))</f>
        <v>43981</v>
      </c>
      <c r="T214" s="25">
        <f>INDEX('Inputs (2)'!$D$39:$AL$39,MATCH(T$7,'Inputs (2)'!$D$2:$AL$2,0))</f>
        <v>44183</v>
      </c>
      <c r="U214" s="25">
        <f>INDEX('Inputs (2)'!$D$39:$AL$39,MATCH(U$7,'Inputs (2)'!$D$2:$AL$2,0))</f>
        <v>44779</v>
      </c>
      <c r="V214" s="25">
        <f>INDEX('Inputs (2)'!$D$39:$AL$39,MATCH(V$7,'Inputs (2)'!$D$2:$AL$2,0))</f>
        <v>48615</v>
      </c>
      <c r="W214" s="3">
        <f>V214</f>
        <v>48615</v>
      </c>
      <c r="X214" s="25">
        <f>INDEX('Inputs (2)'!$D$39:$AL$39,MATCH(X$7,'Inputs (2)'!$D$2:$AL$2,0))</f>
        <v>47949</v>
      </c>
      <c r="Y214" s="25">
        <f>INDEX('Inputs (2)'!$D$39:$AL$39,MATCH(Y$7,'Inputs (2)'!$D$2:$AL$2,0))</f>
        <v>46845</v>
      </c>
      <c r="Z214" s="25">
        <f>INDEX('Inputs (2)'!$D$39:$AL$39,MATCH(Z$7,'Inputs (2)'!$D$2:$AL$2,0))</f>
        <v>46585</v>
      </c>
      <c r="AA214" s="25">
        <f>INDEX('Inputs (2)'!$D$39:$AL$39,MATCH(AA$7,'Inputs (2)'!$D$2:$AL$2,0))</f>
        <v>46086</v>
      </c>
      <c r="AB214" s="3">
        <f>AA214</f>
        <v>46086</v>
      </c>
      <c r="AC214" s="25">
        <f>INDEX('Inputs (2)'!$D$39:$AL$39,MATCH(AC$7,'Inputs (2)'!$D$2:$AL$2,0))</f>
        <v>51021</v>
      </c>
      <c r="AD214" s="25">
        <f>INDEX('Inputs (2)'!$D$39:$AL$39,MATCH(AD$7,'Inputs (2)'!$D$2:$AL$2,0))</f>
        <v>49027</v>
      </c>
      <c r="AE214" s="25">
        <f>INDEX('Inputs (2)'!$D$39:$AL$39,MATCH(AE$7,'Inputs (2)'!$D$2:$AL$2,0))</f>
        <v>65633</v>
      </c>
      <c r="AF214" s="25">
        <f>INDEX('Inputs (2)'!$D$39:$AL$39,MATCH(AF$7,'Inputs (2)'!$D$2:$AL$2,0))</f>
        <v>68435</v>
      </c>
      <c r="AG214" s="3">
        <f>AF214</f>
        <v>68435</v>
      </c>
      <c r="AH214" s="3">
        <f>INDEX('Inputs (2)'!$D$39:$AL$39,MATCH(AH$7,'Inputs (2)'!$D$2:$AL$2,0))</f>
        <v>68059</v>
      </c>
      <c r="AI214" s="3">
        <f>INDEX('Inputs (2)'!$D$39:$AL$39,MATCH(AI$7,'Inputs (2)'!$D$2:$AL$2,0))</f>
        <v>64998</v>
      </c>
      <c r="AJ214" s="3">
        <f>AI214</f>
        <v>64998</v>
      </c>
      <c r="AK214" s="3">
        <f>AJ214</f>
        <v>64998</v>
      </c>
      <c r="AL214" s="3">
        <f>AK214</f>
        <v>64998</v>
      </c>
      <c r="AM214" s="3">
        <f>AL214</f>
        <v>64998</v>
      </c>
      <c r="AN214" s="3">
        <f>AM214</f>
        <v>64998</v>
      </c>
      <c r="AO214" s="3">
        <f>AN214</f>
        <v>64998</v>
      </c>
      <c r="AP214" s="3">
        <f>AO214</f>
        <v>64998</v>
      </c>
      <c r="AQ214" s="3">
        <f>AP214</f>
        <v>64998</v>
      </c>
      <c r="AR214" s="3">
        <f>AQ214</f>
        <v>64998</v>
      </c>
      <c r="AS214" s="3">
        <f>AR214</f>
        <v>64998</v>
      </c>
      <c r="AT214" s="3">
        <f>AS214</f>
        <v>64998</v>
      </c>
      <c r="AU214" s="3">
        <f>AT214</f>
        <v>64998</v>
      </c>
      <c r="AV214" s="3">
        <f>AU214</f>
        <v>64998</v>
      </c>
      <c r="AW214" s="3">
        <f>AV214</f>
        <v>64998</v>
      </c>
      <c r="AX214" s="3">
        <f>AW214</f>
        <v>64998</v>
      </c>
      <c r="AY214" s="3">
        <f>AX214</f>
        <v>64998</v>
      </c>
      <c r="AZ214" s="3">
        <f>AY214</f>
        <v>64998</v>
      </c>
      <c r="BA214" s="3">
        <f>AZ214</f>
        <v>64998</v>
      </c>
      <c r="BB214" s="3">
        <f>BA214</f>
        <v>64998</v>
      </c>
      <c r="BC214" s="3">
        <f>BB214</f>
        <v>64998</v>
      </c>
      <c r="BD214" s="3">
        <f>BC214</f>
        <v>64998</v>
      </c>
      <c r="BE214" s="3">
        <f>BD214</f>
        <v>64998</v>
      </c>
      <c r="BF214" s="3">
        <f>BE214</f>
        <v>64998</v>
      </c>
      <c r="BG214" s="3">
        <f>BF214</f>
        <v>64998</v>
      </c>
      <c r="BH214" s="3">
        <f>BG214</f>
        <v>64998</v>
      </c>
      <c r="BI214" s="3">
        <f>BH214</f>
        <v>64998</v>
      </c>
      <c r="BJ214" s="3">
        <f>BI214</f>
        <v>64998</v>
      </c>
      <c r="BK214" s="3">
        <f>BJ214</f>
        <v>64998</v>
      </c>
      <c r="BL214" s="3">
        <f>BK214</f>
        <v>64998</v>
      </c>
      <c r="BM214" s="3">
        <f>BL214</f>
        <v>64998</v>
      </c>
      <c r="BN214" s="3">
        <f>BM214</f>
        <v>64998</v>
      </c>
      <c r="BO214" s="3">
        <f>BN214</f>
        <v>64998</v>
      </c>
      <c r="BP214" s="3">
        <f>BO214</f>
        <v>64998</v>
      </c>
      <c r="BQ214" s="3">
        <f>BP214</f>
        <v>64998</v>
      </c>
      <c r="BR214" s="3">
        <f>BQ214</f>
        <v>64998</v>
      </c>
      <c r="BS214" s="3">
        <f>BR214</f>
        <v>64998</v>
      </c>
      <c r="BT214" s="3">
        <f>BS214</f>
        <v>64998</v>
      </c>
      <c r="BU214" s="3">
        <f>BT214</f>
        <v>64998</v>
      </c>
      <c r="BV214" s="3">
        <f>BU214</f>
        <v>64998</v>
      </c>
      <c r="BW214" s="3">
        <f>BV214</f>
        <v>64998</v>
      </c>
      <c r="BX214" s="3">
        <f>BW214</f>
        <v>64998</v>
      </c>
      <c r="BY214" s="3">
        <f>BX214</f>
        <v>64998</v>
      </c>
      <c r="BZ214" s="3">
        <f>BY214</f>
        <v>64998</v>
      </c>
      <c r="CA214" s="3">
        <f>BZ214</f>
        <v>64998</v>
      </c>
      <c r="CB214" s="3">
        <f>CA214</f>
        <v>64998</v>
      </c>
      <c r="CC214" s="3">
        <f>CB214</f>
        <v>64998</v>
      </c>
      <c r="CD214" s="3">
        <f>CC214</f>
        <v>64998</v>
      </c>
      <c r="CE214" s="3">
        <f>CD214</f>
        <v>64998</v>
      </c>
      <c r="CF214" s="3">
        <f>CE214</f>
        <v>64998</v>
      </c>
      <c r="CG214" s="3">
        <f>CF214</f>
        <v>64998</v>
      </c>
      <c r="CH214" s="3">
        <f>CG214</f>
        <v>64998</v>
      </c>
      <c r="CI214" s="3">
        <f>CH214</f>
        <v>64998</v>
      </c>
      <c r="CJ214" s="3">
        <f>CI214</f>
        <v>64998</v>
      </c>
      <c r="CK214" s="3">
        <f>CJ214</f>
        <v>64998</v>
      </c>
      <c r="CL214" s="3">
        <f>CK214</f>
        <v>64998</v>
      </c>
      <c r="CM214" s="3">
        <f>CL214</f>
        <v>64998</v>
      </c>
      <c r="CN214" s="3">
        <f>CM214</f>
        <v>64998</v>
      </c>
      <c r="CO214" s="3">
        <f>CN214</f>
        <v>64998</v>
      </c>
      <c r="CP214" s="3">
        <f>CO214</f>
        <v>64998</v>
      </c>
      <c r="CQ214" s="3">
        <f>CP214</f>
        <v>64998</v>
      </c>
      <c r="CR214" s="3">
        <f>CQ214</f>
        <v>64998</v>
      </c>
      <c r="CS214" s="3">
        <f>CR214</f>
        <v>64998</v>
      </c>
      <c r="CT214" s="3">
        <f>CS214</f>
        <v>64998</v>
      </c>
      <c r="CU214" s="3">
        <f>CT214</f>
        <v>64998</v>
      </c>
      <c r="CV214" s="3">
        <f>CU214</f>
        <v>64998</v>
      </c>
      <c r="CW214" s="3">
        <f>CV214</f>
        <v>64998</v>
      </c>
      <c r="CX214" s="3">
        <f>CW214</f>
        <v>64998</v>
      </c>
      <c r="CY214" s="3">
        <f>CX214</f>
        <v>64998</v>
      </c>
    </row>
    <row r="215" hidden="1" outlineLevel="1" ht="12" customHeight="1">
      <c r="C215" s="38" t="inlineStr">
        <is>
          <t>%(Var.)</t>
        </is>
      </c>
      <c r="D215" s="3" t="n"/>
      <c r="E215" s="47">
        <f>(E214-D214)/D214</f>
        <v>0.140021169938687</v>
      </c>
      <c r="F215" s="47">
        <f>(F214-E214)/E214</f>
        <v>0.0640131740303423</v>
      </c>
      <c r="G215" s="47">
        <f>(G214-F214)/F214</f>
        <v>0.190595363540569</v>
      </c>
      <c r="H215" s="3" t="n"/>
      <c r="I215" s="47">
        <f>(I214-H214)/H214</f>
        <v>-0.0491481358557363</v>
      </c>
      <c r="J215" s="47">
        <f>(J214-I214)/I214</f>
        <v>-0.016725326507461</v>
      </c>
      <c r="K215" s="47">
        <f>(K214-J214)/J214</f>
        <v>-0.046089220210626</v>
      </c>
      <c r="L215" s="47">
        <f>(L214-K214)/K214</f>
        <v>-0.0985083421199529</v>
      </c>
      <c r="M215" s="3" t="n"/>
      <c r="N215" s="47">
        <f>(N214-M214)/M214</f>
        <v>-0.050224462065051</v>
      </c>
      <c r="O215" s="47">
        <f>(O214-N214)/N214</f>
        <v>-0.125101867110958</v>
      </c>
      <c r="P215" s="47">
        <f>(P214-O214)/O214</f>
        <v>-0.0352300718262922</v>
      </c>
      <c r="Q215" s="47">
        <f>(Q214-P214)/P214</f>
        <v>-0.0103198952991911</v>
      </c>
      <c r="R215" s="3" t="n"/>
      <c r="S215" s="47">
        <f>(S214-R214)/R214</f>
        <v>-0.0465443981963233</v>
      </c>
      <c r="T215" s="47">
        <f>(T214-S214)/S214</f>
        <v>0.00459289238534822</v>
      </c>
      <c r="U215" s="47">
        <f>(U214-T214)/T214</f>
        <v>0.0134893511078922</v>
      </c>
      <c r="V215" s="47">
        <f>(V214-U214)/U214</f>
        <v>0.0856651555416602</v>
      </c>
      <c r="W215" s="3" t="n"/>
      <c r="X215" s="47">
        <f>(X214-W214)/W214</f>
        <v>-0.0136994754705338</v>
      </c>
      <c r="Y215" s="47">
        <f>(Y214-X214)/X214</f>
        <v>-0.0230244634924607</v>
      </c>
      <c r="Z215" s="47">
        <f>(Z214-Y214)/Y214</f>
        <v>-0.00555021880670296</v>
      </c>
      <c r="AA215" s="47">
        <f>(AA214-Z214)/Z214</f>
        <v>-0.0107116024471396</v>
      </c>
      <c r="AB215" s="3" t="n"/>
      <c r="AC215" s="47">
        <f>(AC214-AB214)/AB214</f>
        <v>0.107082411144382</v>
      </c>
      <c r="AD215" s="47">
        <f>(AD214-AC214)/AC214</f>
        <v>-0.0390819466494189</v>
      </c>
      <c r="AE215" s="47">
        <f>(AE214-AD214)/AD214</f>
        <v>0.338711322332592</v>
      </c>
      <c r="AF215" s="230">
        <f>(AF214-AE214)/AE214</f>
        <v>0.042691938506544</v>
      </c>
      <c r="AG215" s="3" t="n"/>
      <c r="AH215" s="230">
        <f>(AH214-AG214)/AG214</f>
        <v>-0.00549426463067144</v>
      </c>
      <c r="AI215" s="230">
        <f>(AI214-AH214)/AH214</f>
        <v>-0.0449756828633979</v>
      </c>
      <c r="AJ215" s="230" t="n"/>
      <c r="AK215" s="230" t="n"/>
      <c r="AL215" s="3" t="n"/>
      <c r="AM215" s="230" t="n"/>
      <c r="AN215" s="230" t="n"/>
      <c r="AO215" s="230" t="n"/>
      <c r="AP215" s="230" t="n"/>
      <c r="AQ215" s="3" t="n"/>
      <c r="AR215" s="230" t="n"/>
      <c r="AS215" s="230" t="n"/>
      <c r="AT215" s="230" t="n"/>
      <c r="AU215" s="230" t="n"/>
      <c r="AV215" s="3" t="n"/>
      <c r="AW215" s="230" t="n"/>
      <c r="AX215" s="230" t="n"/>
      <c r="AY215" s="230" t="n"/>
      <c r="AZ215" s="230" t="n"/>
      <c r="BA215" s="3" t="n"/>
      <c r="BB215" s="230" t="n"/>
      <c r="BC215" s="230" t="n"/>
      <c r="BD215" s="230" t="n"/>
      <c r="BE215" s="230" t="n"/>
      <c r="BF215" s="3" t="n"/>
      <c r="BG215" s="230" t="n"/>
      <c r="BH215" s="230" t="n"/>
      <c r="BI215" s="230" t="n"/>
      <c r="BJ215" s="230" t="n"/>
      <c r="BK215" s="3" t="n"/>
      <c r="BL215" s="230" t="n"/>
      <c r="BM215" s="230" t="n"/>
      <c r="BN215" s="230" t="n"/>
      <c r="BO215" s="230" t="n"/>
      <c r="BP215" s="3" t="n"/>
      <c r="BQ215" s="230" t="n"/>
      <c r="BR215" s="230" t="n"/>
      <c r="BS215" s="230" t="n"/>
      <c r="BT215" s="230" t="n"/>
      <c r="BU215" s="3" t="n"/>
      <c r="BV215" s="230" t="n"/>
      <c r="BW215" s="230" t="n"/>
      <c r="BX215" s="230" t="n"/>
      <c r="BY215" s="230" t="n"/>
      <c r="BZ215" s="3" t="n"/>
      <c r="CA215" s="230" t="n"/>
      <c r="CB215" s="230" t="n"/>
      <c r="CC215" s="230" t="n"/>
      <c r="CD215" s="230" t="n"/>
      <c r="CE215" s="3" t="n"/>
      <c r="CF215" s="230" t="n"/>
      <c r="CG215" s="230" t="n"/>
      <c r="CH215" s="230" t="n"/>
      <c r="CI215" s="230" t="n"/>
      <c r="CJ215" s="3" t="n"/>
      <c r="CK215" s="230" t="n"/>
      <c r="CL215" s="230" t="n"/>
      <c r="CM215" s="230" t="n"/>
      <c r="CN215" s="230" t="n"/>
      <c r="CO215" s="3" t="n"/>
      <c r="CP215" s="230" t="n"/>
      <c r="CQ215" s="230" t="n"/>
      <c r="CR215" s="230" t="n"/>
      <c r="CS215" s="230" t="n"/>
      <c r="CT215" s="3" t="n"/>
      <c r="CU215" s="230" t="n"/>
      <c r="CV215" s="230" t="n"/>
      <c r="CW215" s="230" t="n"/>
      <c r="CX215" s="230" t="n"/>
      <c r="CY215" s="3" t="n"/>
    </row>
    <row r="216" hidden="1" outlineLevel="1" ht="12" customHeight="1">
      <c r="C216" s="38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Contas a pagar pela aquisição de controladas</t>
        </is>
      </c>
      <c r="D217" s="6" t="n"/>
      <c r="E217" s="6" t="n"/>
      <c r="F217" s="6" t="n"/>
      <c r="G217" s="6" t="n"/>
      <c r="H217" s="3" t="n"/>
      <c r="I217" s="6" t="n"/>
      <c r="J217" s="6" t="n"/>
      <c r="K217" s="6" t="n"/>
      <c r="L217" s="6" t="n"/>
      <c r="M217" s="3" t="n"/>
      <c r="N217" s="6" t="n"/>
      <c r="O217" s="6" t="n"/>
      <c r="P217" s="6" t="n"/>
      <c r="Q217" s="6" t="n"/>
      <c r="R217" s="3" t="n"/>
      <c r="S217" s="6" t="n"/>
      <c r="T217" s="6" t="n"/>
      <c r="U217" s="6" t="n"/>
      <c r="V217" s="6" t="n"/>
      <c r="W217" s="3" t="n"/>
      <c r="X217" s="6" t="n"/>
      <c r="Y217" s="6" t="n"/>
      <c r="Z217" s="6" t="n"/>
      <c r="AA217" s="6" t="n"/>
      <c r="AB217" s="3" t="n"/>
      <c r="AC217" s="6" t="n"/>
      <c r="AD217" s="6" t="n"/>
      <c r="AE217" s="6" t="n"/>
      <c r="AF217" s="6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hidden="1" outlineLevel="1">
      <c r="C218" s="34" t="inlineStr">
        <is>
          <t xml:space="preserve">Outras Obrigações </t>
        </is>
      </c>
      <c r="D218" s="6" t="n"/>
      <c r="E218" s="6" t="n"/>
      <c r="F218" s="6" t="n"/>
      <c r="G218" s="6" t="n"/>
      <c r="H218" s="3" t="n"/>
      <c r="I218" s="6" t="n"/>
      <c r="J218" s="6" t="n"/>
      <c r="K218" s="6" t="n"/>
      <c r="L218" s="6" t="n"/>
      <c r="M218" s="3" t="n"/>
      <c r="N218" s="6" t="n"/>
      <c r="O218" s="6" t="n"/>
      <c r="P218" s="6" t="n"/>
      <c r="Q218" s="6" t="n"/>
      <c r="R218" s="3" t="n"/>
      <c r="S218" s="6" t="n"/>
      <c r="T218" s="6" t="n"/>
      <c r="U218" s="6" t="n"/>
      <c r="V218" s="6" t="n"/>
      <c r="W218" s="3" t="n"/>
      <c r="X218" s="6" t="n"/>
      <c r="Y218" s="6" t="n"/>
      <c r="Z218" s="6" t="n"/>
      <c r="AA218" s="6" t="n"/>
      <c r="AB218" s="3" t="n"/>
      <c r="AC218" s="6" t="n"/>
      <c r="AD218" s="6" t="n"/>
      <c r="AE218" s="6" t="n"/>
      <c r="AF218" s="6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 xml:space="preserve">Provisão de Risco Cíveis, Trabalhistas e Tributários </t>
        </is>
      </c>
      <c r="D219" s="6" t="n"/>
      <c r="E219" s="6" t="n"/>
      <c r="F219" s="6" t="n"/>
      <c r="G219" s="6" t="n"/>
      <c r="H219" s="3" t="n"/>
      <c r="I219" s="6" t="n"/>
      <c r="J219" s="6" t="n"/>
      <c r="K219" s="6" t="n"/>
      <c r="L219" s="6" t="n"/>
      <c r="M219" s="3" t="n"/>
      <c r="N219" s="6" t="n"/>
      <c r="O219" s="6" t="n"/>
      <c r="P219" s="6" t="n"/>
      <c r="Q219" s="6" t="n"/>
      <c r="R219" s="3" t="n"/>
      <c r="S219" s="6" t="n"/>
      <c r="T219" s="6" t="n"/>
      <c r="U219" s="6" t="n"/>
      <c r="V219" s="6" t="n"/>
      <c r="W219" s="3" t="n"/>
      <c r="X219" s="6" t="n"/>
      <c r="Y219" s="6" t="n"/>
      <c r="Z219" s="6" t="n"/>
      <c r="AA219" s="6" t="n"/>
      <c r="AB219" s="3" t="n"/>
      <c r="AC219" s="6" t="n"/>
      <c r="AD219" s="6" t="n"/>
      <c r="AE219" s="6" t="n"/>
      <c r="AF219" s="6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 customFormat="1" s="17">
      <c r="A221" s="13" t="n"/>
      <c r="B221" s="13" t="n"/>
      <c r="C221" s="27" t="inlineStr">
        <is>
          <t>Total Liabilities</t>
        </is>
      </c>
      <c r="D221" s="16">
        <f>SUM(D172+D176+D178+D179+D186+D187+D188+D191+D209+D212+D213+D214)</f>
        <v>91763</v>
      </c>
      <c r="E221" s="16">
        <f>SUM(E172+E176+E178+E179+E186+E187+E188+E191+E209+E212+E213+E214)</f>
        <v>89017</v>
      </c>
      <c r="F221" s="16">
        <f>SUM(F172+F176+F178+F179+F186+F187+F188+F191+F209+F212+F213+F214)</f>
        <v>91025</v>
      </c>
      <c r="G221" s="16">
        <f>SUM(G172+G176+G178+G179+G186+G187+G188+G191+G209+G212+G213+G214)</f>
        <v>107064</v>
      </c>
      <c r="H221" s="16">
        <f>SUM(H172,H176,H178,H179,H186,H187,H191,H188,H209,H212,H213,H214)</f>
        <v>107064</v>
      </c>
      <c r="I221" s="16">
        <f>SUM(I172+I176+I178+I179+I186+I187+I188+I191+I209+I212+I213+I214)</f>
        <v>108712</v>
      </c>
      <c r="J221" s="16">
        <f>SUM(J172+J176+J178+J179+J186+J187+J188+J191+J209+J212+J213+J214)</f>
        <v>108895</v>
      </c>
      <c r="K221" s="16">
        <f>SUM(K172+K176+K178+K179+K186+K187+K188+K191+K209+K212+K213+K214)</f>
        <v>103226</v>
      </c>
      <c r="L221" s="16">
        <f>SUM(L172+L176+L178+L179+L186+L187+L188+L191+L209+L212+L213+L214)</f>
        <v>99595</v>
      </c>
      <c r="M221" s="16">
        <f>SUM(M172,M176,M178,M179,M186,M187,M191,M188,M209,M212,M213,M214)</f>
        <v>99595</v>
      </c>
      <c r="N221" s="16">
        <f>SUM(N172+N176+N178+N179+N186+N187+N188+N191+N209+N212+N213+N214)</f>
        <v>101948</v>
      </c>
      <c r="O221" s="16">
        <f>SUM(O172+O176+O178+O179+O186+O187+O188+O191+O209+O212+O213+O214)</f>
        <v>103374</v>
      </c>
      <c r="P221" s="16">
        <f>SUM(P172+P176+P178+P179+P186+P187+P188+P191+P209+P212+P213+P214)</f>
        <v>100108</v>
      </c>
      <c r="Q221" s="16">
        <f>SUM(Q172+Q176+Q178+Q179+Q186+Q187+Q188+Q191+Q209+Q212+Q213+Q214)</f>
        <v>97467</v>
      </c>
      <c r="R221" s="16">
        <f>SUM(R172,R176,R178,R179,R186,R187,R191,R188,R209,R212,R213,R214)</f>
        <v>97467</v>
      </c>
      <c r="S221" s="16">
        <f>SUM(S172+S176+S178+S179+S186+S187+S188+S191+S209+S212+S213+S214)</f>
        <v>95452</v>
      </c>
      <c r="T221" s="16">
        <f>SUM(T172+T176+T178+T179+T186+T187+T188+T191+T209+T212+T213+T214)</f>
        <v>92481</v>
      </c>
      <c r="U221" s="16">
        <f>SUM(U172+U176+U178+U179+U186+U187+U188+U191+U209+U212+U213+U214)</f>
        <v>97679</v>
      </c>
      <c r="V221" s="16">
        <f>SUM(V172+V176+V178+V179+V186+V187+V188+V191+V209+V212+V213+V214)</f>
        <v>99703</v>
      </c>
      <c r="W221" s="16">
        <f>SUM(W172,W176,W178,W179,W186,W187,W191,W188,W209,W212,W213,W214)</f>
        <v>99703</v>
      </c>
      <c r="X221" s="16">
        <f>SUM(X172+X176+X178+X179+X186+X187+X188+X191+X209+X212+X213+X214)</f>
        <v>99995</v>
      </c>
      <c r="Y221" s="16">
        <f>SUM(Y172+Y176+Y178+Y179+Y186+Y187+Y188+Y191+Y209+Y212+Y213+Y214)</f>
        <v>100381</v>
      </c>
      <c r="Z221" s="16">
        <f>SUM(Z172+Z176+Z178+Z179+Z186+Z187+Z188+Z191+Z209+Z212+Z213+Z214)</f>
        <v>102202</v>
      </c>
      <c r="AA221" s="16">
        <f>SUM(AA172+AA176+AA178+AA179+AA186+AA187+AA188+AA191+AA209+AA212+AA213+AA214)</f>
        <v>103781</v>
      </c>
      <c r="AB221" s="16">
        <f>SUM(AB172,AB176,AB178,AB179,AB186,AB187,AB191,AB188,AB209,AB212,AB213,AB214)</f>
        <v>103781</v>
      </c>
      <c r="AC221" s="16">
        <f>SUM(AC172+AC176+AC178+AC179+AC186+AC187+AC188+AC191+AC209+AC212+AC213+AC214)</f>
        <v>106317</v>
      </c>
      <c r="AD221" s="16">
        <f>SUM(AD172+AD176+AD178+AD179+AD186+AD187+AD188+AD191+AD209+AD212+AD213+AD214)</f>
        <v>103562</v>
      </c>
      <c r="AE221" s="16">
        <f>SUM(AE172+AE176+AE178+AE179+AE186+AE187+AE188+AE191+AE209+AE212+AE213+AE214)</f>
        <v>130901</v>
      </c>
      <c r="AF221" s="16">
        <f>SUM(AF172+AF176+AF178+AF179+AF186+AF187+AF188+AF191+AF209+AF212+AF213+AF214)</f>
        <v>131836</v>
      </c>
      <c r="AG221" s="16">
        <f>SUM(AG172,AG176,AG178,AG179,AG186,AG187,AG191,AG188,AG209,AG212,AG213,AG214)</f>
        <v>131836</v>
      </c>
      <c r="AH221" s="16">
        <f>SUM(AH172+AH176+AH178+AH179+AH186+AH187+AH188+AH191+AH209+AH212+AH213+AH214)</f>
        <v>140180</v>
      </c>
      <c r="AI221" s="16">
        <f>SUM(AI172+AI176+AI178+AI179+AI186+AI187+AI188+AI191+AI209+AI212+AI213+AI214)</f>
        <v>134577</v>
      </c>
      <c r="AJ221" s="16">
        <f>SUM(AJ172+AJ176+AJ178+AJ179+AJ186+AJ187+AJ188+AJ191+AJ209+AJ212+AJ213+AJ214)</f>
        <v>97114</v>
      </c>
      <c r="AK221" s="16">
        <f>SUM(AK172+AK176+AK178+AK179+AK186+AK187+AK188+AK191+AK209+AK212+AK213+AK214)</f>
        <v>97114</v>
      </c>
      <c r="AL221" s="16">
        <f>SUM(AL172,AL176,AL178,AL179,AL186,AL187,AL191,AL188,AL209,AL212,AL213,AL214)</f>
        <v>97114</v>
      </c>
      <c r="AM221" s="16" t="e">
        <f>SUM(AM172+AM176+AM178+AM179+AM186+AM187+AM188+AM191+AM209+AM212+AM213+AM214)</f>
        <v>#DIV/0!</v>
      </c>
      <c r="AN221" s="16">
        <f>SUM(AN172+AN176+AN178+AN179+AN186+AN187+AN188+AN191+AN209+AN212+AN213+AN214)</f>
        <v>97114</v>
      </c>
      <c r="AO221" s="16" t="e">
        <f>SUM(AO172+AO176+AO178+AO179+AO186+AO187+AO188+AO191+AO209+AO212+AO213+AO214)</f>
        <v>#DIV/0!</v>
      </c>
      <c r="AP221" s="16" t="e">
        <f>SUM(AP172+AP176+AP178+AP179+AP186+AP187+AP188+AP191+AP209+AP212+AP213+AP214)</f>
        <v>#DIV/0!</v>
      </c>
      <c r="AQ221" s="16" t="e">
        <f>SUM(AQ172,AQ176,AQ178,AQ179,AQ186,AQ187,AQ191,AQ188,AQ209,AQ212,AQ213,AQ214)</f>
        <v>#DIV/0!</v>
      </c>
      <c r="AR221" s="16" t="e">
        <f>SUM(AR172+AR176+AR178+AR179+AR186+AR187+AR188+AR191+AR209+AR212+AR213+AR214)</f>
        <v>#DIV/0!</v>
      </c>
      <c r="AS221" s="16" t="e">
        <f>SUM(AS172+AS176+AS178+AS179+AS186+AS187+AS188+AS191+AS209+AS212+AS213+AS214)</f>
        <v>#DIV/0!</v>
      </c>
      <c r="AT221" s="16" t="e">
        <f>SUM(AT172+AT176+AT178+AT179+AT186+AT187+AT188+AT191+AT209+AT212+AT213+AT214)</f>
        <v>#DIV/0!</v>
      </c>
      <c r="AU221" s="16" t="e">
        <f>SUM(AU172+AU176+AU178+AU179+AU186+AU187+AU188+AU191+AU209+AU212+AU213+AU214)</f>
        <v>#DIV/0!</v>
      </c>
      <c r="AV221" s="16" t="e">
        <f>SUM(AV172,AV176,AV178,AV179,AV186,AV187,AV191,AV188,AV209,AV212,AV213,AV214)</f>
        <v>#DIV/0!</v>
      </c>
      <c r="AW221" s="16" t="e">
        <f>SUM(AW172+AW176+AW178+AW179+AW186+AW187+AW188+AW191+AW209+AW212+AW213+AW214)</f>
        <v>#DIV/0!</v>
      </c>
      <c r="AX221" s="16" t="e">
        <f>SUM(AX172+AX176+AX178+AX179+AX186+AX187+AX188+AX191+AX209+AX212+AX213+AX214)</f>
        <v>#DIV/0!</v>
      </c>
      <c r="AY221" s="16" t="e">
        <f>SUM(AY172+AY176+AY178+AY179+AY186+AY187+AY188+AY191+AY209+AY212+AY213+AY214)</f>
        <v>#DIV/0!</v>
      </c>
      <c r="AZ221" s="16" t="e">
        <f>SUM(AZ172+AZ176+AZ178+AZ179+AZ186+AZ187+AZ188+AZ191+AZ209+AZ212+AZ213+AZ214)</f>
        <v>#DIV/0!</v>
      </c>
      <c r="BA221" s="16" t="e">
        <f>SUM(BA172,BA176,BA178,BA179,BA186,BA187,BA191,BA188,BA209,BA212,BA213,BA214)</f>
        <v>#DIV/0!</v>
      </c>
      <c r="BB221" s="16" t="e">
        <f>SUM(BB172+BB176+BB178+BB179+BB186+BB187+BB188+BB191+BB209+BB212+BB213+BB214)</f>
        <v>#DIV/0!</v>
      </c>
      <c r="BC221" s="16" t="e">
        <f>SUM(BC172+BC176+BC178+BC179+BC186+BC187+BC188+BC191+BC209+BC212+BC213+BC214)</f>
        <v>#DIV/0!</v>
      </c>
      <c r="BD221" s="16" t="e">
        <f>SUM(BD172+BD176+BD178+BD179+BD186+BD187+BD188+BD191+BD209+BD212+BD213+BD214)</f>
        <v>#DIV/0!</v>
      </c>
      <c r="BE221" s="16" t="e">
        <f>SUM(BE172+BE176+BE178+BE179+BE186+BE187+BE188+BE191+BE209+BE212+BE213+BE214)</f>
        <v>#DIV/0!</v>
      </c>
      <c r="BF221" s="16" t="e">
        <f>SUM(BF172,BF176,BF178,BF179,BF186,BF187,BF191,BF188,BF209,BF212,BF213,BF214)</f>
        <v>#DIV/0!</v>
      </c>
      <c r="BG221" s="16" t="e">
        <f>SUM(BG172+BG176+BG178+BG179+BG186+BG187+BG188+BG191+BG209+BG212+BG213+BG214)</f>
        <v>#DIV/0!</v>
      </c>
      <c r="BH221" s="16" t="e">
        <f>SUM(BH172+BH176+BH178+BH179+BH186+BH187+BH188+BH191+BH209+BH212+BH213+BH214)</f>
        <v>#DIV/0!</v>
      </c>
      <c r="BI221" s="16" t="e">
        <f>SUM(BI172+BI176+BI178+BI179+BI186+BI187+BI188+BI191+BI209+BI212+BI213+BI214)</f>
        <v>#DIV/0!</v>
      </c>
      <c r="BJ221" s="16" t="e">
        <f>SUM(BJ172+BJ176+BJ178+BJ179+BJ186+BJ187+BJ188+BJ191+BJ209+BJ212+BJ213+BJ214)</f>
        <v>#DIV/0!</v>
      </c>
      <c r="BK221" s="16" t="e">
        <f>SUM(BK172,BK176,BK178,BK179,BK186,BK187,BK191,BK188,BK209,BK212,BK213,BK214)</f>
        <v>#DIV/0!</v>
      </c>
      <c r="BL221" s="16" t="e">
        <f>SUM(BL172+BL176+BL178+BL179+BL186+BL187+BL188+BL191+BL209+BL212+BL213+BL214)</f>
        <v>#DIV/0!</v>
      </c>
      <c r="BM221" s="16" t="e">
        <f>SUM(BM172+BM176+BM178+BM179+BM186+BM187+BM188+BM191+BM209+BM212+BM213+BM214)</f>
        <v>#DIV/0!</v>
      </c>
      <c r="BN221" s="16" t="e">
        <f>SUM(BN172+BN176+BN178+BN179+BN186+BN187+BN188+BN191+BN209+BN212+BN213+BN214)</f>
        <v>#DIV/0!</v>
      </c>
      <c r="BO221" s="16" t="e">
        <f>SUM(BO172+BO176+BO178+BO179+BO186+BO187+BO188+BO191+BO209+BO212+BO213+BO214)</f>
        <v>#DIV/0!</v>
      </c>
      <c r="BP221" s="16" t="e">
        <f>SUM(BP172,BP176,BP178,BP179,BP186,BP187,BP191,BP188,BP209,BP212,BP213,BP214)</f>
        <v>#DIV/0!</v>
      </c>
      <c r="BQ221" s="16" t="e">
        <f>SUM(BQ172+BQ176+BQ178+BQ179+BQ186+BQ187+BQ188+BQ191+BQ209+BQ212+BQ213+BQ214)</f>
        <v>#DIV/0!</v>
      </c>
      <c r="BR221" s="16" t="e">
        <f>SUM(BR172+BR176+BR178+BR179+BR186+BR187+BR188+BR191+BR209+BR212+BR213+BR214)</f>
        <v>#DIV/0!</v>
      </c>
      <c r="BS221" s="16" t="e">
        <f>SUM(BS172+BS176+BS178+BS179+BS186+BS187+BS188+BS191+BS209+BS212+BS213+BS214)</f>
        <v>#DIV/0!</v>
      </c>
      <c r="BT221" s="16" t="e">
        <f>SUM(BT172+BT176+BT178+BT179+BT186+BT187+BT188+BT191+BT209+BT212+BT213+BT214)</f>
        <v>#DIV/0!</v>
      </c>
      <c r="BU221" s="16" t="e">
        <f>SUM(BU172,BU176,BU178,BU179,BU186,BU187,BU191,BU188,BU209,BU212,BU213,BU214)</f>
        <v>#DIV/0!</v>
      </c>
      <c r="BV221" s="16" t="e">
        <f>SUM(BV172+BV176+BV178+BV179+BV186+BV187+BV188+BV191+BV209+BV212+BV213+BV214)</f>
        <v>#DIV/0!</v>
      </c>
      <c r="BW221" s="16" t="e">
        <f>SUM(BW172+BW176+BW178+BW179+BW186+BW187+BW188+BW191+BW209+BW212+BW213+BW214)</f>
        <v>#DIV/0!</v>
      </c>
      <c r="BX221" s="16" t="e">
        <f>SUM(BX172+BX176+BX178+BX179+BX186+BX187+BX188+BX191+BX209+BX212+BX213+BX214)</f>
        <v>#DIV/0!</v>
      </c>
      <c r="BY221" s="16" t="e">
        <f>SUM(BY172+BY176+BY178+BY179+BY186+BY187+BY188+BY191+BY209+BY212+BY213+BY214)</f>
        <v>#DIV/0!</v>
      </c>
      <c r="BZ221" s="16" t="e">
        <f>SUM(BZ172,BZ176,BZ178,BZ179,BZ186,BZ187,BZ191,BZ188,BZ209,BZ212,BZ213,BZ214)</f>
        <v>#DIV/0!</v>
      </c>
      <c r="CA221" s="16" t="e">
        <f>SUM(CA172+CA176+CA178+CA179+CA186+CA187+CA188+CA191+CA209+CA212+CA213+CA214)</f>
        <v>#DIV/0!</v>
      </c>
      <c r="CB221" s="16" t="e">
        <f>SUM(CB172+CB176+CB178+CB179+CB186+CB187+CB188+CB191+CB209+CB212+CB213+CB214)</f>
        <v>#DIV/0!</v>
      </c>
      <c r="CC221" s="16" t="e">
        <f>SUM(CC172+CC176+CC178+CC179+CC186+CC187+CC188+CC191+CC209+CC212+CC213+CC214)</f>
        <v>#DIV/0!</v>
      </c>
      <c r="CD221" s="16" t="e">
        <f>SUM(CD172+CD176+CD178+CD179+CD186+CD187+CD188+CD191+CD209+CD212+CD213+CD214)</f>
        <v>#DIV/0!</v>
      </c>
      <c r="CE221" s="16" t="e">
        <f>SUM(CE172,CE176,CE178,CE179,CE186,CE187,CE191,CE188,CE209,CE212,CE213,CE214)</f>
        <v>#DIV/0!</v>
      </c>
      <c r="CF221" s="16" t="e">
        <f>SUM(CF172+CF176+CF178+CF179+CF186+CF187+CF188+CF191+CF209+CF212+CF213+CF214)</f>
        <v>#DIV/0!</v>
      </c>
      <c r="CG221" s="16" t="e">
        <f>SUM(CG172+CG176+CG178+CG179+CG186+CG187+CG188+CG191+CG209+CG212+CG213+CG214)</f>
        <v>#DIV/0!</v>
      </c>
      <c r="CH221" s="16" t="e">
        <f>SUM(CH172+CH176+CH178+CH179+CH186+CH187+CH188+CH191+CH209+CH212+CH213+CH214)</f>
        <v>#DIV/0!</v>
      </c>
      <c r="CI221" s="16" t="e">
        <f>SUM(CI172+CI176+CI178+CI179+CI186+CI187+CI188+CI191+CI209+CI212+CI213+CI214)</f>
        <v>#DIV/0!</v>
      </c>
      <c r="CJ221" s="16" t="e">
        <f>SUM(CJ172,CJ176,CJ178,CJ179,CJ186,CJ187,CJ191,CJ188,CJ209,CJ212,CJ213,CJ214)</f>
        <v>#DIV/0!</v>
      </c>
      <c r="CK221" s="16" t="e">
        <f>SUM(CK172+CK176+CK178+CK179+CK186+CK187+CK188+CK191+CK209+CK212+CK213+CK214)</f>
        <v>#DIV/0!</v>
      </c>
      <c r="CL221" s="16" t="e">
        <f>SUM(CL172+CL176+CL178+CL179+CL186+CL187+CL188+CL191+CL209+CL212+CL213+CL214)</f>
        <v>#DIV/0!</v>
      </c>
      <c r="CM221" s="16" t="e">
        <f>SUM(CM172+CM176+CM178+CM179+CM186+CM187+CM188+CM191+CM209+CM212+CM213+CM214)</f>
        <v>#DIV/0!</v>
      </c>
      <c r="CN221" s="16" t="e">
        <f>SUM(CN172+CN176+CN178+CN179+CN186+CN187+CN188+CN191+CN209+CN212+CN213+CN214)</f>
        <v>#DIV/0!</v>
      </c>
      <c r="CO221" s="16" t="e">
        <f>SUM(CO172,CO176,CO178,CO179,CO186,CO187,CO191,CO188,CO209,CO212,CO213,CO214)</f>
        <v>#DIV/0!</v>
      </c>
      <c r="CP221" s="16" t="e">
        <f>SUM(CP172+CP176+CP178+CP179+CP186+CP187+CP188+CP191+CP209+CP212+CP213+CP214)</f>
        <v>#DIV/0!</v>
      </c>
      <c r="CQ221" s="16" t="e">
        <f>SUM(CQ172+CQ176+CQ178+CQ179+CQ186+CQ187+CQ188+CQ191+CQ209+CQ212+CQ213+CQ214)</f>
        <v>#DIV/0!</v>
      </c>
      <c r="CR221" s="16" t="e">
        <f>SUM(CR172+CR176+CR178+CR179+CR186+CR187+CR188+CR191+CR209+CR212+CR213+CR214)</f>
        <v>#DIV/0!</v>
      </c>
      <c r="CS221" s="16" t="e">
        <f>SUM(CS172+CS176+CS178+CS179+CS186+CS187+CS188+CS191+CS209+CS212+CS213+CS214)</f>
        <v>#DIV/0!</v>
      </c>
      <c r="CT221" s="16" t="e">
        <f>SUM(CT172,CT176,CT178,CT179,CT186,CT187,CT191,CT188,CT209,CT212,CT213,CT214)</f>
        <v>#DIV/0!</v>
      </c>
      <c r="CU221" s="16" t="e">
        <f>SUM(CU172+CU176+CU178+CU179+CU186+CU187+CU188+CU191+CU209+CU212+CU213+CU214)</f>
        <v>#DIV/0!</v>
      </c>
      <c r="CV221" s="16" t="e">
        <f>SUM(CV172+CV176+CV178+CV179+CV186+CV187+CV188+CV191+CV209+CV212+CV213+CV214)</f>
        <v>#DIV/0!</v>
      </c>
      <c r="CW221" s="16" t="e">
        <f>SUM(CW172+CW176+CW178+CW179+CW186+CW187+CW188+CW191+CW209+CW212+CW213+CW214)</f>
        <v>#DIV/0!</v>
      </c>
      <c r="CX221" s="16" t="e">
        <f>SUM(CX172+CX176+CX178+CX179+CX186+CX187+CX188+CX191+CX209+CX212+CX213+CX214)</f>
        <v>#DIV/0!</v>
      </c>
      <c r="CY221" s="16" t="e">
        <f>SUM(CY172,CY176,CY178,CY179,CY186,CY187,CY191,CY188,CY209,CY212,CY213,CY214)</f>
        <v>#DIV/0!</v>
      </c>
    </row>
    <row r="222">
      <c r="C222" s="26" t="inlineStr">
        <is>
          <t>Minority interest</t>
        </is>
      </c>
      <c r="D222" s="25">
        <f>INDEX('Inputs (2)'!$D$41:$AL$41,MATCH(D$7,'Inputs (2)'!$D$2:$AL$2,0))</f>
        <v>984</v>
      </c>
      <c r="E222" s="25">
        <f>INDEX('Inputs (2)'!$D$41:$AL$41,MATCH(E$7,'Inputs (2)'!$D$2:$AL$2,0))</f>
        <v>268</v>
      </c>
      <c r="F222" s="25">
        <f>INDEX('Inputs (2)'!$D$41:$AL$41,MATCH(F$7,'Inputs (2)'!$D$2:$AL$2,0))</f>
        <v>264</v>
      </c>
      <c r="G222" s="25">
        <f>INDEX('Inputs (2)'!$D$41:$AL$41,MATCH(G$7,'Inputs (2)'!$D$2:$AL$2,0))</f>
        <v>1158</v>
      </c>
      <c r="H222" s="3">
        <f>G222</f>
        <v>1158</v>
      </c>
      <c r="I222" s="25">
        <f>INDEX('Inputs (2)'!$D$41:$AL$41,MATCH(I$7,'Inputs (2)'!$D$2:$AL$2,0))</f>
        <v>1168</v>
      </c>
      <c r="J222" s="25">
        <f>INDEX('Inputs (2)'!$D$41:$AL$41,MATCH(J$7,'Inputs (2)'!$D$2:$AL$2,0))</f>
        <v>856</v>
      </c>
      <c r="K222" s="25">
        <f>INDEX('Inputs (2)'!$D$41:$AL$41,MATCH(K$7,'Inputs (2)'!$D$2:$AL$2,0))</f>
        <v>991</v>
      </c>
      <c r="L222" s="25">
        <f>INDEX('Inputs (2)'!$D$41:$AL$41,MATCH(L$7,'Inputs (2)'!$D$2:$AL$2,0))</f>
        <v>1008</v>
      </c>
      <c r="M222" s="3">
        <f>L222</f>
        <v>1008</v>
      </c>
      <c r="N222" s="25">
        <f>INDEX('Inputs (2)'!$D$41:$AL$41,MATCH(N$7,'Inputs (2)'!$D$2:$AL$2,0))</f>
        <v>1016</v>
      </c>
      <c r="O222" s="25">
        <f>INDEX('Inputs (2)'!$D$41:$AL$41,MATCH(O$7,'Inputs (2)'!$D$2:$AL$2,0))</f>
        <v>1147</v>
      </c>
      <c r="P222" s="25">
        <f>INDEX('Inputs (2)'!$D$41:$AL$41,MATCH(P$7,'Inputs (2)'!$D$2:$AL$2,0))</f>
        <v>1089</v>
      </c>
      <c r="Q222" s="25">
        <f>INDEX('Inputs (2)'!$D$41:$AL$41,MATCH(Q$7,'Inputs (2)'!$D$2:$AL$2,0))</f>
        <v>1102</v>
      </c>
      <c r="R222" s="3">
        <f>Q222</f>
        <v>1102</v>
      </c>
      <c r="S222" s="25">
        <f>INDEX('Inputs (2)'!$D$41:$AL$41,MATCH(S$7,'Inputs (2)'!$D$2:$AL$2,0))</f>
        <v>1130</v>
      </c>
      <c r="T222" s="25">
        <f>INDEX('Inputs (2)'!$D$41:$AL$41,MATCH(T$7,'Inputs (2)'!$D$2:$AL$2,0))</f>
        <v>1120</v>
      </c>
      <c r="U222" s="25">
        <f>INDEX('Inputs (2)'!$D$41:$AL$41,MATCH(U$7,'Inputs (2)'!$D$2:$AL$2,0))</f>
        <v>1133</v>
      </c>
      <c r="V222" s="25">
        <f>INDEX('Inputs (2)'!$D$41:$AL$41,MATCH(V$7,'Inputs (2)'!$D$2:$AL$2,0))</f>
        <v>1138</v>
      </c>
      <c r="W222" s="3">
        <f>V222</f>
        <v>1138</v>
      </c>
      <c r="X222" s="25">
        <f>INDEX('Inputs (2)'!$D$41:$AL$41,MATCH(X$7,'Inputs (2)'!$D$2:$AL$2,0))</f>
        <v>1203</v>
      </c>
      <c r="Y222" s="25">
        <f>INDEX('Inputs (2)'!$D$41:$AL$41,MATCH(Y$7,'Inputs (2)'!$D$2:$AL$2,0))</f>
        <v>1207</v>
      </c>
      <c r="Z222" s="25">
        <f>INDEX('Inputs (2)'!$D$41:$AL$41,MATCH(Z$7,'Inputs (2)'!$D$2:$AL$2,0))</f>
        <v>828</v>
      </c>
      <c r="AA222" s="25">
        <f>INDEX('Inputs (2)'!$D$41:$AL$41,MATCH(AA$7,'Inputs (2)'!$D$2:$AL$2,0))</f>
        <v>839</v>
      </c>
      <c r="AB222" s="3">
        <f>AA222</f>
        <v>839</v>
      </c>
      <c r="AC222" s="25">
        <f>INDEX('Inputs (2)'!$D$41:$AL$41,MATCH(AC$7,'Inputs (2)'!$D$2:$AL$2,0))</f>
        <v>836</v>
      </c>
      <c r="AD222" s="25">
        <f>INDEX('Inputs (2)'!$D$41:$AL$41,MATCH(AD$7,'Inputs (2)'!$D$2:$AL$2,0))</f>
        <v>841</v>
      </c>
      <c r="AE222" s="25">
        <f>INDEX('Inputs (2)'!$D$41:$AL$41,MATCH(AE$7,'Inputs (2)'!$D$2:$AL$2,0))</f>
        <v>5757</v>
      </c>
      <c r="AF222" s="25">
        <f>INDEX('Inputs (2)'!$D$41:$AL$41,MATCH(AF$7,'Inputs (2)'!$D$2:$AL$2,0))</f>
        <v>5726</v>
      </c>
      <c r="AG222" s="3">
        <f>AF222</f>
        <v>5726</v>
      </c>
      <c r="AH222" s="3">
        <f>INDEX('Inputs (2)'!$D$41:$AL$41,MATCH(AH$7,'Inputs (2)'!$D$2:$AL$2,0))</f>
        <v>5656</v>
      </c>
      <c r="AI222" s="3">
        <f>INDEX('Inputs (2)'!$D$41:$AL$41,MATCH(AI$7,'Inputs (2)'!$D$2:$AL$2,0))</f>
        <v>5675</v>
      </c>
      <c r="AJ222" s="3">
        <f>AI222-AJ110+AJ225</f>
        <v>5749</v>
      </c>
      <c r="AK222" s="3">
        <f>AJ222-AK110+AK225</f>
        <v>5824</v>
      </c>
      <c r="AL222" s="3">
        <f>AK222</f>
        <v>5824</v>
      </c>
      <c r="AM222" s="3">
        <f>AL222-AM110+AM225</f>
        <v>5907</v>
      </c>
      <c r="AN222" s="3">
        <f>AM222-AN110+AN225</f>
        <v>6049</v>
      </c>
      <c r="AO222" s="3">
        <f>AN222-AO110+AO225</f>
        <v>6123</v>
      </c>
      <c r="AP222" s="3">
        <f>AO222-AP110+AP225</f>
        <v>6198</v>
      </c>
      <c r="AQ222" s="3">
        <f>AP222</f>
        <v>6198</v>
      </c>
      <c r="AR222" s="3">
        <f>AQ222-AR110+AR225</f>
        <v>6281</v>
      </c>
      <c r="AS222" s="3">
        <f>AR222-AS110+AS225</f>
        <v>6423</v>
      </c>
      <c r="AT222" s="3">
        <f>AS222-AT110+AT225</f>
        <v>6497</v>
      </c>
      <c r="AU222" s="3">
        <f>AT222-AU110+AU225</f>
        <v>6572</v>
      </c>
      <c r="AV222" s="3">
        <f>AU222</f>
        <v>6572</v>
      </c>
      <c r="AW222" s="3">
        <f>AV222-AW110+AW225</f>
        <v>6655</v>
      </c>
      <c r="AX222" s="3">
        <f>AW222-AX110+AX225</f>
        <v>6797</v>
      </c>
      <c r="AY222" s="3">
        <f>AX222-AY110+AY225</f>
        <v>6871</v>
      </c>
      <c r="AZ222" s="3">
        <f>AY222-AZ110+AZ225</f>
        <v>6946</v>
      </c>
      <c r="BA222" s="3">
        <f>AZ222</f>
        <v>6946</v>
      </c>
      <c r="BB222" s="3">
        <f>BA222-BB110+BB225</f>
        <v>7029</v>
      </c>
      <c r="BC222" s="3">
        <f>BB222-BC110+BC225</f>
        <v>7171</v>
      </c>
      <c r="BD222" s="3">
        <f>BC222-BD110+BD225</f>
        <v>7245</v>
      </c>
      <c r="BE222" s="3">
        <f>BD222-BE110+BE225</f>
        <v>7320</v>
      </c>
      <c r="BF222" s="3">
        <f>BE222</f>
        <v>7320</v>
      </c>
      <c r="BG222" s="3">
        <f>BF222-BG110+BG225</f>
        <v>7403</v>
      </c>
      <c r="BH222" s="3">
        <f>BG222-BH110+BH225</f>
        <v>7545</v>
      </c>
      <c r="BI222" s="3">
        <f>BH222-BI110+BI225</f>
        <v>7619</v>
      </c>
      <c r="BJ222" s="3">
        <f>BI222-BJ110+BJ225</f>
        <v>7694</v>
      </c>
      <c r="BK222" s="3">
        <f>BJ222</f>
        <v>7694</v>
      </c>
      <c r="BL222" s="3">
        <f>BK222-BL110+BL225</f>
        <v>7777</v>
      </c>
      <c r="BM222" s="3">
        <f>BL222-BM110+BM225</f>
        <v>7919</v>
      </c>
      <c r="BN222" s="3">
        <f>BM222-BN110+BN225</f>
        <v>7993</v>
      </c>
      <c r="BO222" s="3">
        <f>BN222-BO110+BO225</f>
        <v>8068</v>
      </c>
      <c r="BP222" s="3">
        <f>BO222</f>
        <v>8068</v>
      </c>
      <c r="BQ222" s="3">
        <f>BP222-BQ110+BQ225</f>
        <v>8151</v>
      </c>
      <c r="BR222" s="3">
        <f>BQ222-BR110+BR225</f>
        <v>8293</v>
      </c>
      <c r="BS222" s="3">
        <f>BR222-BS110+BS225</f>
        <v>8367</v>
      </c>
      <c r="BT222" s="3">
        <f>BS222-BT110+BT225</f>
        <v>8442</v>
      </c>
      <c r="BU222" s="3">
        <f>BT222</f>
        <v>8442</v>
      </c>
      <c r="BV222" s="3">
        <f>BU222-BV110+BV225</f>
        <v>8525</v>
      </c>
      <c r="BW222" s="3">
        <f>BV222-BW110+BW225</f>
        <v>8667</v>
      </c>
      <c r="BX222" s="3">
        <f>BW222-BX110+BX225</f>
        <v>8741</v>
      </c>
      <c r="BY222" s="3">
        <f>BX222-BY110+BY225</f>
        <v>8816</v>
      </c>
      <c r="BZ222" s="3">
        <f>BY222</f>
        <v>8816</v>
      </c>
      <c r="CA222" s="3">
        <f>BZ222-CA110+CA225</f>
        <v>8899</v>
      </c>
      <c r="CB222" s="3">
        <f>CA222-CB110+CB225</f>
        <v>9041</v>
      </c>
      <c r="CC222" s="3">
        <f>CB222-CC110+CC225</f>
        <v>9115</v>
      </c>
      <c r="CD222" s="3">
        <f>CC222-CD110+CD225</f>
        <v>9190</v>
      </c>
      <c r="CE222" s="3">
        <f>CD222</f>
        <v>9190</v>
      </c>
      <c r="CF222" s="3">
        <f>CE222-CF110+CF225</f>
        <v>9273</v>
      </c>
      <c r="CG222" s="3">
        <f>CF222-CG110+CG225</f>
        <v>9415</v>
      </c>
      <c r="CH222" s="3">
        <f>CG222-CH110+CH225</f>
        <v>9489</v>
      </c>
      <c r="CI222" s="3">
        <f>CH222-CI110+CI225</f>
        <v>9564</v>
      </c>
      <c r="CJ222" s="3">
        <f>CI222</f>
        <v>9564</v>
      </c>
      <c r="CK222" s="3">
        <f>CJ222-CK110+CK225</f>
        <v>9647</v>
      </c>
      <c r="CL222" s="3">
        <f>CK222-CL110+CL225</f>
        <v>9789</v>
      </c>
      <c r="CM222" s="3">
        <f>CL222-CM110+CM225</f>
        <v>9863</v>
      </c>
      <c r="CN222" s="3">
        <f>CM222-CN110+CN225</f>
        <v>9938</v>
      </c>
      <c r="CO222" s="3">
        <f>CN222</f>
        <v>9938</v>
      </c>
      <c r="CP222" s="3">
        <f>CO222-CP110+CP225</f>
        <v>10021</v>
      </c>
      <c r="CQ222" s="3">
        <f>CP222-CQ110+CQ225</f>
        <v>10163</v>
      </c>
      <c r="CR222" s="3">
        <f>CQ222-CR110+CR225</f>
        <v>10237</v>
      </c>
      <c r="CS222" s="3">
        <f>CR222-CS110+CS225</f>
        <v>10312</v>
      </c>
      <c r="CT222" s="3">
        <f>CS222</f>
        <v>10312</v>
      </c>
      <c r="CU222" s="3">
        <f>CT222-CU110+CU225</f>
        <v>10395</v>
      </c>
      <c r="CV222" s="3">
        <f>CU222-CV110+CV225</f>
        <v>10537</v>
      </c>
      <c r="CW222" s="3">
        <f>CV222-CW110+CW225</f>
        <v>10611</v>
      </c>
      <c r="CX222" s="3">
        <f>CW222-CX110+CX225</f>
        <v>10686</v>
      </c>
      <c r="CY222" s="3">
        <f>CX222</f>
        <v>10686</v>
      </c>
    </row>
    <row r="223" hidden="1" outlineLevel="1" customFormat="1" s="39">
      <c r="A223" s="19" t="n"/>
      <c r="B223" s="19" t="n"/>
      <c r="C223" s="38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  <c r="AP223" s="22" t="n"/>
      <c r="AQ223" s="22" t="n"/>
      <c r="AR223" s="22" t="n"/>
      <c r="AS223" s="22" t="n"/>
      <c r="AT223" s="22" t="n"/>
      <c r="AU223" s="22" t="n"/>
      <c r="AV223" s="22" t="n"/>
      <c r="AW223" s="22" t="n"/>
      <c r="AX223" s="22" t="n"/>
      <c r="AY223" s="22" t="n"/>
      <c r="AZ223" s="22" t="n"/>
      <c r="BA223" s="22" t="n"/>
      <c r="BB223" s="22" t="n"/>
      <c r="BC223" s="22" t="n"/>
      <c r="BD223" s="22" t="n"/>
      <c r="BE223" s="22" t="n"/>
      <c r="BF223" s="22" t="n"/>
      <c r="BG223" s="22" t="n"/>
      <c r="BH223" s="22" t="n"/>
      <c r="BI223" s="22" t="n"/>
      <c r="BJ223" s="22" t="n"/>
      <c r="BK223" s="22" t="n"/>
      <c r="BL223" s="22" t="n"/>
      <c r="BM223" s="22" t="n"/>
      <c r="BN223" s="22" t="n"/>
      <c r="BO223" s="22" t="n"/>
      <c r="BP223" s="22" t="n"/>
      <c r="BQ223" s="22" t="n"/>
      <c r="BR223" s="22" t="n"/>
      <c r="BS223" s="22" t="n"/>
      <c r="BT223" s="22" t="n"/>
      <c r="BU223" s="22" t="n"/>
      <c r="BV223" s="22" t="n"/>
      <c r="BW223" s="22" t="n"/>
      <c r="BX223" s="22" t="n"/>
      <c r="BY223" s="22" t="n"/>
      <c r="BZ223" s="22" t="n"/>
      <c r="CA223" s="22" t="n"/>
      <c r="CB223" s="22" t="n"/>
      <c r="CC223" s="22" t="n"/>
      <c r="CD223" s="22" t="n"/>
      <c r="CE223" s="22" t="n"/>
      <c r="CF223" s="22" t="n"/>
      <c r="CG223" s="22" t="n"/>
      <c r="CH223" s="22" t="n"/>
      <c r="CI223" s="22" t="n"/>
      <c r="CJ223" s="22" t="n"/>
      <c r="CK223" s="22" t="n"/>
      <c r="CL223" s="22" t="n"/>
      <c r="CM223" s="22" t="n"/>
      <c r="CN223" s="22" t="n"/>
      <c r="CO223" s="22" t="n"/>
      <c r="CP223" s="22" t="n"/>
      <c r="CQ223" s="22" t="n"/>
      <c r="CR223" s="22" t="n"/>
      <c r="CS223" s="22" t="n"/>
      <c r="CT223" s="22" t="n"/>
      <c r="CU223" s="22" t="n"/>
      <c r="CV223" s="22" t="n"/>
      <c r="CW223" s="22" t="n"/>
      <c r="CX223" s="22" t="n"/>
      <c r="CY223" s="22" t="n"/>
    </row>
    <row r="224" hidden="1" outlineLevel="1" customFormat="1" s="39">
      <c r="A224" s="19" t="n"/>
      <c r="B224" s="19" t="n"/>
      <c r="C224" s="34" t="inlineStr">
        <is>
          <t>Minority Interest Expense - % YoY</t>
        </is>
      </c>
      <c r="D224" s="22" t="n"/>
      <c r="E224" s="40">
        <f>IF(D109=0,0,E109/D109-1)</f>
        <v>0</v>
      </c>
      <c r="F224" s="22" t="n"/>
      <c r="G224" s="22" t="n"/>
      <c r="H224" s="40" t="n"/>
      <c r="I224" s="22" t="n"/>
      <c r="J224" s="40">
        <f>IF(I109=0,0,J109/I109-1)</f>
        <v>0</v>
      </c>
      <c r="K224" s="22" t="n"/>
      <c r="L224" s="22" t="n"/>
      <c r="M224" s="40" t="n"/>
      <c r="N224" s="40">
        <f>IF(I109=0,0,N109/I109-1)</f>
        <v>0</v>
      </c>
      <c r="O224" s="40">
        <f>IF(J109=0,0,O109/J109-1)</f>
        <v>0</v>
      </c>
      <c r="P224" s="40">
        <f>IF(K109=0,0,P109/K109-1)</f>
        <v>0</v>
      </c>
      <c r="Q224" s="40">
        <f>IF(L109=0,0,Q109/L109-1)</f>
        <v>0</v>
      </c>
      <c r="R224" s="40" t="n"/>
      <c r="S224" s="40">
        <f>IF(N109=0,0,S109/N109-1)</f>
        <v>0</v>
      </c>
      <c r="T224" s="40">
        <f>IF(O109=0,0,T109/O109-1)</f>
        <v>0</v>
      </c>
      <c r="U224" s="40">
        <f>IF(P109=0,0,U109/P109-1)</f>
        <v>0</v>
      </c>
      <c r="V224" s="40">
        <f>IF(Q109=0,0,V109/Q109-1)</f>
        <v>0</v>
      </c>
      <c r="W224" s="40">
        <f>IF(R110=0,0,W110/R110-1)</f>
        <v>-0.706293706293706</v>
      </c>
      <c r="X224" s="40">
        <f>IF(S109=0,0,X109/S109-1)</f>
        <v>0</v>
      </c>
      <c r="Y224" s="40">
        <f>IF(T109=0,0,Y109/T109-1)</f>
        <v>0</v>
      </c>
      <c r="Z224" s="40">
        <f>IF(U109=0,0,Z109/U109-1)</f>
        <v>0</v>
      </c>
      <c r="AA224" s="40">
        <f>IF(V109=0,0,AA109/V109-1)</f>
        <v>0</v>
      </c>
      <c r="AB224" s="40">
        <f>IF(W110=0,0,AB110/W110-1)</f>
        <v>1.0952380952381</v>
      </c>
      <c r="AC224" s="40">
        <f>IF(X109=0,0,AC109/X109-1)</f>
        <v>0</v>
      </c>
      <c r="AD224" s="40">
        <f>IF(Y109=0,0,AD109/Y109-1)</f>
        <v>0</v>
      </c>
      <c r="AE224" s="40">
        <f>IF(Z109=0,0,AE109/Z109-1)</f>
        <v>0</v>
      </c>
      <c r="AF224" s="40">
        <f>IF(AA109=0,0,AF109/AA109-1)</f>
        <v>0</v>
      </c>
      <c r="AG224" s="40">
        <f>IF(AB110=0,0,AG110/AB110-1)</f>
        <v>1.11363636363636</v>
      </c>
      <c r="AH224" s="35">
        <f>IF(AC109=0,0,AH109/AC109-1)</f>
        <v>0</v>
      </c>
      <c r="AI224" s="35">
        <f>IF(AD109=0,0,AI109/AD109-1)</f>
        <v>0</v>
      </c>
      <c r="AJ224" s="35" t="n"/>
      <c r="AK224" s="35" t="n"/>
      <c r="AL224" s="40">
        <f>IF(AG110=0,0,AL110/AG110-1)</f>
        <v>1.01075268817204</v>
      </c>
      <c r="AM224" s="35" t="n"/>
      <c r="AN224" s="35" t="n"/>
      <c r="AO224" s="35" t="n"/>
      <c r="AP224" s="35" t="n"/>
      <c r="AQ224" s="40">
        <f>IF(AL110=0,0,AQ110/AL110-1)</f>
        <v>0</v>
      </c>
      <c r="AR224" s="35" t="n"/>
      <c r="AS224" s="35" t="n"/>
      <c r="AT224" s="35" t="n"/>
      <c r="AU224" s="35" t="n"/>
      <c r="AV224" s="40">
        <f>IF(AQ110=0,0,AV110/AQ110-1)</f>
        <v>0</v>
      </c>
      <c r="AW224" s="35" t="n"/>
      <c r="AX224" s="35" t="n"/>
      <c r="AY224" s="35" t="n"/>
      <c r="AZ224" s="35" t="n"/>
      <c r="BA224" s="40">
        <f>IF(AV110=0,0,BA110/AV110-1)</f>
        <v>0</v>
      </c>
      <c r="BB224" s="35" t="n"/>
      <c r="BC224" s="35" t="n"/>
      <c r="BD224" s="35" t="n"/>
      <c r="BE224" s="35" t="n"/>
      <c r="BF224" s="40">
        <f>IF(BA110=0,0,BF110/BA110-1)</f>
        <v>0</v>
      </c>
      <c r="BG224" s="35" t="n"/>
      <c r="BH224" s="35" t="n"/>
      <c r="BI224" s="35" t="n"/>
      <c r="BJ224" s="35" t="n"/>
      <c r="BK224" s="40">
        <f>IF(BF110=0,0,BK110/BF110-1)</f>
        <v>0</v>
      </c>
      <c r="BL224" s="35" t="n"/>
      <c r="BM224" s="35" t="n"/>
      <c r="BN224" s="35" t="n"/>
      <c r="BO224" s="35" t="n"/>
      <c r="BP224" s="40">
        <f>IF(BK110=0,0,BP110/BK110-1)</f>
        <v>0</v>
      </c>
      <c r="BQ224" s="35" t="n"/>
      <c r="BR224" s="35" t="n"/>
      <c r="BS224" s="35" t="n"/>
      <c r="BT224" s="35" t="n"/>
      <c r="BU224" s="40">
        <f>IF(BP110=0,0,BU110/BP110-1)</f>
        <v>0</v>
      </c>
      <c r="BV224" s="35" t="n"/>
      <c r="BW224" s="35" t="n"/>
      <c r="BX224" s="35" t="n"/>
      <c r="BY224" s="35" t="n"/>
      <c r="BZ224" s="40">
        <f>IF(BU110=0,0,BZ110/BU110-1)</f>
        <v>0</v>
      </c>
      <c r="CA224" s="35" t="n"/>
      <c r="CB224" s="35" t="n"/>
      <c r="CC224" s="35" t="n"/>
      <c r="CD224" s="35" t="n"/>
      <c r="CE224" s="40">
        <f>IF(BZ110=0,0,CE110/BZ110-1)</f>
        <v>0</v>
      </c>
      <c r="CF224" s="35" t="n"/>
      <c r="CG224" s="35" t="n"/>
      <c r="CH224" s="35" t="n"/>
      <c r="CI224" s="35" t="n"/>
      <c r="CJ224" s="40">
        <f>IF(CE110=0,0,CJ110/CE110-1)</f>
        <v>0</v>
      </c>
      <c r="CK224" s="35" t="n"/>
      <c r="CL224" s="35" t="n"/>
      <c r="CM224" s="35" t="n"/>
      <c r="CN224" s="35" t="n"/>
      <c r="CO224" s="40">
        <f>IF(CJ110=0,0,CO110/CJ110-1)</f>
        <v>0</v>
      </c>
      <c r="CP224" s="35" t="n"/>
      <c r="CQ224" s="35" t="n"/>
      <c r="CR224" s="35" t="n"/>
      <c r="CS224" s="35" t="n"/>
      <c r="CT224" s="40">
        <f>IF(CO110=0,0,CT110/CO110-1)</f>
        <v>0</v>
      </c>
      <c r="CU224" s="35" t="n"/>
      <c r="CV224" s="35" t="n"/>
      <c r="CW224" s="35" t="n"/>
      <c r="CX224" s="35" t="n"/>
      <c r="CY224" s="40">
        <f>IF(CT110=0,0,CY110/CT110-1)</f>
        <v>0</v>
      </c>
    </row>
    <row r="225" hidden="1" outlineLevel="1" customFormat="1" s="39">
      <c r="A225" s="19" t="n"/>
      <c r="B225" s="19" t="n"/>
      <c r="C225" s="34" t="inlineStr">
        <is>
          <t>Dividends (enter as -)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35" t="n"/>
      <c r="AI225" s="35" t="n"/>
      <c r="AJ225" s="35" t="n"/>
      <c r="AK225" s="35" t="n"/>
      <c r="AL225" s="22" t="n"/>
      <c r="AM225" s="35" t="n"/>
      <c r="AN225" s="35" t="n"/>
      <c r="AO225" s="35" t="n"/>
      <c r="AP225" s="35" t="n"/>
      <c r="AQ225" s="22" t="n"/>
      <c r="AR225" s="35" t="n"/>
      <c r="AS225" s="35" t="n"/>
      <c r="AT225" s="35" t="n"/>
      <c r="AU225" s="35" t="n"/>
      <c r="AV225" s="22" t="n"/>
      <c r="AW225" s="35" t="n"/>
      <c r="AX225" s="35" t="n"/>
      <c r="AY225" s="35" t="n"/>
      <c r="AZ225" s="35" t="n"/>
      <c r="BA225" s="22" t="n"/>
      <c r="BB225" s="35" t="n"/>
      <c r="BC225" s="35" t="n"/>
      <c r="BD225" s="35" t="n"/>
      <c r="BE225" s="35" t="n"/>
      <c r="BF225" s="22" t="n"/>
      <c r="BG225" s="35" t="n"/>
      <c r="BH225" s="35" t="n"/>
      <c r="BI225" s="35" t="n"/>
      <c r="BJ225" s="35" t="n"/>
      <c r="BK225" s="22" t="n"/>
      <c r="BL225" s="35" t="n"/>
      <c r="BM225" s="35" t="n"/>
      <c r="BN225" s="35" t="n"/>
      <c r="BO225" s="35" t="n"/>
      <c r="BP225" s="22" t="n"/>
      <c r="BQ225" s="35" t="n"/>
      <c r="BR225" s="35" t="n"/>
      <c r="BS225" s="35" t="n"/>
      <c r="BT225" s="35" t="n"/>
      <c r="BU225" s="22" t="n"/>
      <c r="BV225" s="35" t="n"/>
      <c r="BW225" s="35" t="n"/>
      <c r="BX225" s="35" t="n"/>
      <c r="BY225" s="35" t="n"/>
      <c r="BZ225" s="22" t="n"/>
      <c r="CA225" s="35" t="n"/>
      <c r="CB225" s="35" t="n"/>
      <c r="CC225" s="35" t="n"/>
      <c r="CD225" s="35" t="n"/>
      <c r="CE225" s="22" t="n"/>
      <c r="CF225" s="35" t="n"/>
      <c r="CG225" s="35" t="n"/>
      <c r="CH225" s="35" t="n"/>
      <c r="CI225" s="35" t="n"/>
      <c r="CJ225" s="22" t="n"/>
      <c r="CK225" s="35" t="n"/>
      <c r="CL225" s="35" t="n"/>
      <c r="CM225" s="35" t="n"/>
      <c r="CN225" s="35" t="n"/>
      <c r="CO225" s="22" t="n"/>
      <c r="CP225" s="35" t="n"/>
      <c r="CQ225" s="35" t="n"/>
      <c r="CR225" s="35" t="n"/>
      <c r="CS225" s="35" t="n"/>
      <c r="CT225" s="22" t="n"/>
      <c r="CU225" s="35" t="n"/>
      <c r="CV225" s="35" t="n"/>
      <c r="CW225" s="35" t="n"/>
      <c r="CX225" s="35" t="n"/>
      <c r="CY225" s="22" t="n"/>
    </row>
    <row r="226" hidden="1" outlineLevel="1" customFormat="1" s="39">
      <c r="A226" s="19" t="n"/>
      <c r="B226" s="19" t="n"/>
      <c r="C226" s="38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  <c r="AP226" s="22" t="n"/>
      <c r="AQ226" s="22" t="n"/>
      <c r="AR226" s="22" t="n"/>
      <c r="AS226" s="22" t="n"/>
      <c r="AT226" s="22" t="n"/>
      <c r="AU226" s="22" t="n"/>
      <c r="AV226" s="22" t="n"/>
      <c r="AW226" s="22" t="n"/>
      <c r="AX226" s="22" t="n"/>
      <c r="AY226" s="22" t="n"/>
      <c r="AZ226" s="22" t="n"/>
      <c r="BA226" s="22" t="n"/>
      <c r="BB226" s="22" t="n"/>
      <c r="BC226" s="22" t="n"/>
      <c r="BD226" s="22" t="n"/>
      <c r="BE226" s="22" t="n"/>
      <c r="BF226" s="22" t="n"/>
      <c r="BG226" s="22" t="n"/>
      <c r="BH226" s="22" t="n"/>
      <c r="BI226" s="22" t="n"/>
      <c r="BJ226" s="22" t="n"/>
      <c r="BK226" s="22" t="n"/>
      <c r="BL226" s="22" t="n"/>
      <c r="BM226" s="22" t="n"/>
      <c r="BN226" s="22" t="n"/>
      <c r="BO226" s="22" t="n"/>
      <c r="BP226" s="22" t="n"/>
      <c r="BQ226" s="22" t="n"/>
      <c r="BR226" s="22" t="n"/>
      <c r="BS226" s="22" t="n"/>
      <c r="BT226" s="22" t="n"/>
      <c r="BU226" s="22" t="n"/>
      <c r="BV226" s="22" t="n"/>
      <c r="BW226" s="22" t="n"/>
      <c r="BX226" s="22" t="n"/>
      <c r="BY226" s="22" t="n"/>
      <c r="BZ226" s="22" t="n"/>
      <c r="CA226" s="22" t="n"/>
      <c r="CB226" s="22" t="n"/>
      <c r="CC226" s="22" t="n"/>
      <c r="CD226" s="22" t="n"/>
      <c r="CE226" s="22" t="n"/>
      <c r="CF226" s="22" t="n"/>
      <c r="CG226" s="22" t="n"/>
      <c r="CH226" s="22" t="n"/>
      <c r="CI226" s="22" t="n"/>
      <c r="CJ226" s="22" t="n"/>
      <c r="CK226" s="22" t="n"/>
      <c r="CL226" s="22" t="n"/>
      <c r="CM226" s="22" t="n"/>
      <c r="CN226" s="22" t="n"/>
      <c r="CO226" s="22" t="n"/>
      <c r="CP226" s="22" t="n"/>
      <c r="CQ226" s="22" t="n"/>
      <c r="CR226" s="22" t="n"/>
      <c r="CS226" s="22" t="n"/>
      <c r="CT226" s="22" t="n"/>
      <c r="CU226" s="22" t="n"/>
      <c r="CV226" s="22" t="n"/>
      <c r="CW226" s="22" t="n"/>
      <c r="CX226" s="22" t="n"/>
      <c r="CY226" s="22" t="n"/>
    </row>
    <row r="227" collapsed="1">
      <c r="C227" s="26" t="inlineStr">
        <is>
          <t>Convertible Preferred Stock</t>
        </is>
      </c>
      <c r="D227" s="25" t="n"/>
      <c r="E227" s="25" t="n"/>
      <c r="F227" s="25" t="n"/>
      <c r="G227" s="25" t="n"/>
      <c r="H227" s="3">
        <f>G227</f>
        <v>0</v>
      </c>
      <c r="I227" s="25" t="n"/>
      <c r="J227" s="25" t="n"/>
      <c r="K227" s="25" t="n"/>
      <c r="L227" s="25" t="n"/>
      <c r="M227" s="3">
        <f>L227</f>
        <v>0</v>
      </c>
      <c r="N227" s="25" t="n"/>
      <c r="O227" s="25" t="n"/>
      <c r="P227" s="25" t="n"/>
      <c r="Q227" s="25" t="n"/>
      <c r="R227" s="3">
        <f>Q227</f>
        <v>0</v>
      </c>
      <c r="S227" s="25" t="n"/>
      <c r="T227" s="25" t="n"/>
      <c r="U227" s="25" t="n"/>
      <c r="V227" s="25" t="n"/>
      <c r="W227" s="3">
        <f>V227</f>
        <v>0</v>
      </c>
      <c r="X227" s="25" t="n"/>
      <c r="Y227" s="25" t="n"/>
      <c r="Z227" s="25" t="n"/>
      <c r="AA227" s="25" t="n"/>
      <c r="AB227" s="3">
        <f>AA227</f>
        <v>0</v>
      </c>
      <c r="AC227" s="25" t="n"/>
      <c r="AD227" s="25" t="n"/>
      <c r="AE227" s="25" t="n"/>
      <c r="AF227" s="25" t="n"/>
      <c r="AG227" s="3">
        <f>AF227</f>
        <v>0</v>
      </c>
      <c r="AH227" s="3">
        <f>AG227</f>
        <v>0</v>
      </c>
      <c r="AI227" s="3">
        <f>AH227</f>
        <v>0</v>
      </c>
      <c r="AJ227" s="3">
        <f>AI227</f>
        <v>0</v>
      </c>
      <c r="AK227" s="3">
        <f>AJ227</f>
        <v>0</v>
      </c>
      <c r="AL227" s="3">
        <f>AK227</f>
        <v>0</v>
      </c>
      <c r="AM227" s="3">
        <f>AL227</f>
        <v>0</v>
      </c>
      <c r="AN227" s="3">
        <f>AM227</f>
        <v>0</v>
      </c>
      <c r="AO227" s="3">
        <f>AN227</f>
        <v>0</v>
      </c>
      <c r="AP227" s="3">
        <f>AO227</f>
        <v>0</v>
      </c>
      <c r="AQ227" s="3">
        <f>AP227</f>
        <v>0</v>
      </c>
      <c r="AR227" s="3">
        <f>AQ227</f>
        <v>0</v>
      </c>
      <c r="AS227" s="3">
        <f>AR227</f>
        <v>0</v>
      </c>
      <c r="AT227" s="3">
        <f>AS227</f>
        <v>0</v>
      </c>
      <c r="AU227" s="3">
        <f>AT227</f>
        <v>0</v>
      </c>
      <c r="AV227" s="3">
        <f>AU227</f>
        <v>0</v>
      </c>
      <c r="AW227" s="3">
        <f>AV227</f>
        <v>0</v>
      </c>
      <c r="AX227" s="3">
        <f>AW227</f>
        <v>0</v>
      </c>
      <c r="AY227" s="3">
        <f>AX227</f>
        <v>0</v>
      </c>
      <c r="AZ227" s="3">
        <f>AY227</f>
        <v>0</v>
      </c>
      <c r="BA227" s="3">
        <f>AZ227</f>
        <v>0</v>
      </c>
      <c r="BB227" s="3">
        <f>BA227</f>
        <v>0</v>
      </c>
      <c r="BC227" s="3">
        <f>BB227</f>
        <v>0</v>
      </c>
      <c r="BD227" s="3">
        <f>BC227</f>
        <v>0</v>
      </c>
      <c r="BE227" s="3">
        <f>BD227</f>
        <v>0</v>
      </c>
      <c r="BF227" s="3">
        <f>BE227</f>
        <v>0</v>
      </c>
      <c r="BG227" s="3">
        <f>BF227</f>
        <v>0</v>
      </c>
      <c r="BH227" s="3">
        <f>BG227</f>
        <v>0</v>
      </c>
      <c r="BI227" s="3">
        <f>BH227</f>
        <v>0</v>
      </c>
      <c r="BJ227" s="3">
        <f>BI227</f>
        <v>0</v>
      </c>
      <c r="BK227" s="3">
        <f>BJ227</f>
        <v>0</v>
      </c>
      <c r="BL227" s="3">
        <f>BK227</f>
        <v>0</v>
      </c>
      <c r="BM227" s="3">
        <f>BL227</f>
        <v>0</v>
      </c>
      <c r="BN227" s="3">
        <f>BM227</f>
        <v>0</v>
      </c>
      <c r="BO227" s="3">
        <f>BN227</f>
        <v>0</v>
      </c>
      <c r="BP227" s="3">
        <f>BO227</f>
        <v>0</v>
      </c>
      <c r="BQ227" s="3">
        <f>BP227</f>
        <v>0</v>
      </c>
      <c r="BR227" s="3">
        <f>BQ227</f>
        <v>0</v>
      </c>
      <c r="BS227" s="3">
        <f>BR227</f>
        <v>0</v>
      </c>
      <c r="BT227" s="3">
        <f>BS227</f>
        <v>0</v>
      </c>
      <c r="BU227" s="3">
        <f>BT227</f>
        <v>0</v>
      </c>
      <c r="BV227" s="3">
        <f>BU227</f>
        <v>0</v>
      </c>
      <c r="BW227" s="3">
        <f>BV227</f>
        <v>0</v>
      </c>
      <c r="BX227" s="3">
        <f>BW227</f>
        <v>0</v>
      </c>
      <c r="BY227" s="3">
        <f>BX227</f>
        <v>0</v>
      </c>
      <c r="BZ227" s="3">
        <f>BY227</f>
        <v>0</v>
      </c>
      <c r="CA227" s="3">
        <f>BZ227</f>
        <v>0</v>
      </c>
      <c r="CB227" s="3">
        <f>CA227</f>
        <v>0</v>
      </c>
      <c r="CC227" s="3">
        <f>CB227</f>
        <v>0</v>
      </c>
      <c r="CD227" s="3">
        <f>CC227</f>
        <v>0</v>
      </c>
      <c r="CE227" s="3">
        <f>CD227</f>
        <v>0</v>
      </c>
      <c r="CF227" s="3">
        <f>CE227</f>
        <v>0</v>
      </c>
      <c r="CG227" s="3">
        <f>CF227</f>
        <v>0</v>
      </c>
      <c r="CH227" s="3">
        <f>CG227</f>
        <v>0</v>
      </c>
      <c r="CI227" s="3">
        <f>CH227</f>
        <v>0</v>
      </c>
      <c r="CJ227" s="3">
        <f>CI227</f>
        <v>0</v>
      </c>
      <c r="CK227" s="3">
        <f>CJ227</f>
        <v>0</v>
      </c>
      <c r="CL227" s="3">
        <f>CK227</f>
        <v>0</v>
      </c>
      <c r="CM227" s="3">
        <f>CL227</f>
        <v>0</v>
      </c>
      <c r="CN227" s="3">
        <f>CM227</f>
        <v>0</v>
      </c>
      <c r="CO227" s="3">
        <f>CN227</f>
        <v>0</v>
      </c>
      <c r="CP227" s="3">
        <f>CO227</f>
        <v>0</v>
      </c>
      <c r="CQ227" s="3">
        <f>CP227</f>
        <v>0</v>
      </c>
      <c r="CR227" s="3">
        <f>CQ227</f>
        <v>0</v>
      </c>
      <c r="CS227" s="3">
        <f>CR227</f>
        <v>0</v>
      </c>
      <c r="CT227" s="3">
        <f>CS227</f>
        <v>0</v>
      </c>
      <c r="CU227" s="3">
        <f>CT227</f>
        <v>0</v>
      </c>
      <c r="CV227" s="3">
        <f>CU227</f>
        <v>0</v>
      </c>
      <c r="CW227" s="3">
        <f>CV227</f>
        <v>0</v>
      </c>
      <c r="CX227" s="3">
        <f>CW227</f>
        <v>0</v>
      </c>
      <c r="CY227" s="3">
        <f>CX227</f>
        <v>0</v>
      </c>
    </row>
    <row r="228">
      <c r="C228" s="24" t="inlineStr">
        <is>
          <t>Common Stock and APIC</t>
        </is>
      </c>
      <c r="D228" s="25">
        <f>INDEX('Inputs (2)'!$D$43:$AL$43,MATCH(D$7,'Inputs (2)'!$D$2:$AL$2,0))</f>
        <v>19107</v>
      </c>
      <c r="E228" s="25">
        <f>INDEX('Inputs (2)'!$D$43:$AL$43,MATCH(E$7,'Inputs (2)'!$D$2:$AL$2,0))</f>
        <v>19129</v>
      </c>
      <c r="F228" s="25">
        <f>INDEX('Inputs (2)'!$D$43:$AL$43,MATCH(F$7,'Inputs (2)'!$D$2:$AL$2,0))</f>
        <v>19150</v>
      </c>
      <c r="G228" s="25">
        <f>INDEX('Inputs (2)'!$D$43:$AL$43,MATCH(G$7,'Inputs (2)'!$D$2:$AL$2,0))</f>
        <v>18661</v>
      </c>
      <c r="H228" s="3">
        <f>G228</f>
        <v>18661</v>
      </c>
      <c r="I228" s="25">
        <f>INDEX('Inputs (2)'!$D$43:$AL$43,MATCH(I$7,'Inputs (2)'!$D$2:$AL$2,0))</f>
        <v>18698</v>
      </c>
      <c r="J228" s="25">
        <f>INDEX('Inputs (2)'!$D$43:$AL$43,MATCH(J$7,'Inputs (2)'!$D$2:$AL$2,0))</f>
        <v>18876</v>
      </c>
      <c r="K228" s="25">
        <f>INDEX('Inputs (2)'!$D$43:$AL$43,MATCH(K$7,'Inputs (2)'!$D$2:$AL$2,0))</f>
        <v>18894</v>
      </c>
      <c r="L228" s="25">
        <f>INDEX('Inputs (2)'!$D$43:$AL$43,MATCH(L$7,'Inputs (2)'!$D$2:$AL$2,0))</f>
        <v>19114</v>
      </c>
      <c r="M228" s="3">
        <f>L228</f>
        <v>19114</v>
      </c>
      <c r="N228" s="25">
        <f>INDEX('Inputs (2)'!$D$43:$AL$43,MATCH(N$7,'Inputs (2)'!$D$2:$AL$2,0))</f>
        <v>20210</v>
      </c>
      <c r="O228" s="25">
        <f>INDEX('Inputs (2)'!$D$43:$AL$43,MATCH(O$7,'Inputs (2)'!$D$2:$AL$2,0))</f>
        <v>20391</v>
      </c>
      <c r="P228" s="25">
        <f>INDEX('Inputs (2)'!$D$43:$AL$43,MATCH(P$7,'Inputs (2)'!$D$2:$AL$2,0))</f>
        <v>20419</v>
      </c>
      <c r="Q228" s="25">
        <f>INDEX('Inputs (2)'!$D$43:$AL$43,MATCH(Q$7,'Inputs (2)'!$D$2:$AL$2,0))</f>
        <v>20492</v>
      </c>
      <c r="R228" s="3">
        <f>Q228</f>
        <v>20492</v>
      </c>
      <c r="S228" s="25">
        <f>INDEX('Inputs (2)'!$D$43:$AL$43,MATCH(S$7,'Inputs (2)'!$D$2:$AL$2,0))</f>
        <v>20546</v>
      </c>
      <c r="T228" s="25">
        <f>INDEX('Inputs (2)'!$D$43:$AL$43,MATCH(T$7,'Inputs (2)'!$D$2:$AL$2,0))</f>
        <v>20590</v>
      </c>
      <c r="U228" s="25">
        <f>INDEX('Inputs (2)'!$D$43:$AL$43,MATCH(U$7,'Inputs (2)'!$D$2:$AL$2,0))</f>
        <v>23149</v>
      </c>
      <c r="V228" s="25">
        <f>INDEX('Inputs (2)'!$D$43:$AL$43,MATCH(V$7,'Inputs (2)'!$D$2:$AL$2,0))</f>
        <v>23197</v>
      </c>
      <c r="W228" s="3">
        <f>V228</f>
        <v>23197</v>
      </c>
      <c r="X228" s="25">
        <f>INDEX('Inputs (2)'!$D$43:$AL$43,MATCH(X$7,'Inputs (2)'!$D$2:$AL$2,0))</f>
        <v>23275</v>
      </c>
      <c r="Y228" s="25">
        <f>INDEX('Inputs (2)'!$D$43:$AL$43,MATCH(Y$7,'Inputs (2)'!$D$2:$AL$2,0))</f>
        <v>23327</v>
      </c>
      <c r="Z228" s="25">
        <f>INDEX('Inputs (2)'!$D$43:$AL$43,MATCH(Z$7,'Inputs (2)'!$D$2:$AL$2,0))</f>
        <v>23410</v>
      </c>
      <c r="AA228" s="25">
        <f>INDEX('Inputs (2)'!$D$43:$AL$43,MATCH(AA$7,'Inputs (2)'!$D$2:$AL$2,0))</f>
        <v>23503</v>
      </c>
      <c r="AB228" s="3">
        <f>AA228</f>
        <v>23503</v>
      </c>
      <c r="AC228" s="25">
        <f>INDEX('Inputs (2)'!$D$43:$AL$43,MATCH(AC$7,'Inputs (2)'!$D$2:$AL$2,0))</f>
        <v>23551</v>
      </c>
      <c r="AD228" s="25">
        <f>INDEX('Inputs (2)'!$D$43:$AL$43,MATCH(AD$7,'Inputs (2)'!$D$2:$AL$2,0))</f>
        <v>23635</v>
      </c>
      <c r="AE228" s="25">
        <f>INDEX('Inputs (2)'!$D$43:$AL$43,MATCH(AE$7,'Inputs (2)'!$D$2:$AL$2,0))</f>
        <v>35644</v>
      </c>
      <c r="AF228" s="25">
        <f>INDEX('Inputs (2)'!$D$43:$AL$43,MATCH(AF$7,'Inputs (2)'!$D$2:$AL$2,0))</f>
        <v>35718</v>
      </c>
      <c r="AG228" s="3">
        <f>AF228</f>
        <v>35718</v>
      </c>
      <c r="AH228" s="3">
        <f>INDEX('Inputs (2)'!$D$43:$AL$43,MATCH(AH$7,'Inputs (2)'!$D$2:$AL$2,0))</f>
        <v>35718</v>
      </c>
      <c r="AI228" s="3">
        <f>INDEX('Inputs (2)'!$D$43:$AL$43,MATCH(AI$7,'Inputs (2)'!$D$2:$AL$2,0))</f>
        <v>35831</v>
      </c>
      <c r="AJ228" s="3">
        <f>AI228+AJ232</f>
        <v>35831</v>
      </c>
      <c r="AK228" s="3">
        <f>AJ228+AK232</f>
        <v>35831</v>
      </c>
      <c r="AL228" s="3">
        <f>AK228</f>
        <v>35831</v>
      </c>
      <c r="AM228" s="3">
        <f>AL228+AM232</f>
        <v>35831</v>
      </c>
      <c r="AN228" s="3">
        <f>AM228+AN232</f>
        <v>35831</v>
      </c>
      <c r="AO228" s="3">
        <f>AN228+AO232</f>
        <v>35831</v>
      </c>
      <c r="AP228" s="3">
        <f>AO228+AP232</f>
        <v>35831</v>
      </c>
      <c r="AQ228" s="3">
        <f>AP228</f>
        <v>35831</v>
      </c>
      <c r="AR228" s="3">
        <f>AQ228+AR232</f>
        <v>35831</v>
      </c>
      <c r="AS228" s="3">
        <f>AR228+AS232</f>
        <v>35831</v>
      </c>
      <c r="AT228" s="3">
        <f>AS228+AT232</f>
        <v>35831</v>
      </c>
      <c r="AU228" s="3">
        <f>AT228+AU232</f>
        <v>35831</v>
      </c>
      <c r="AV228" s="3">
        <f>AU228</f>
        <v>35831</v>
      </c>
      <c r="AW228" s="3">
        <f>AV228+AW232</f>
        <v>35831</v>
      </c>
      <c r="AX228" s="3">
        <f>AW228+AX232</f>
        <v>35831</v>
      </c>
      <c r="AY228" s="3">
        <f>AX228+AY232</f>
        <v>35831</v>
      </c>
      <c r="AZ228" s="3">
        <f>AY228+AZ232</f>
        <v>35831</v>
      </c>
      <c r="BA228" s="3">
        <f>AZ228</f>
        <v>35831</v>
      </c>
      <c r="BB228" s="3">
        <f>BA228+BB232</f>
        <v>35831</v>
      </c>
      <c r="BC228" s="3">
        <f>BB228+BC232</f>
        <v>35831</v>
      </c>
      <c r="BD228" s="3">
        <f>BC228+BD232</f>
        <v>35831</v>
      </c>
      <c r="BE228" s="3">
        <f>BD228+BE232</f>
        <v>35831</v>
      </c>
      <c r="BF228" s="3">
        <f>BE228</f>
        <v>35831</v>
      </c>
      <c r="BG228" s="3">
        <f>BF228+BG232</f>
        <v>35831</v>
      </c>
      <c r="BH228" s="3">
        <f>BG228+BH232</f>
        <v>35831</v>
      </c>
      <c r="BI228" s="3">
        <f>BH228+BI232</f>
        <v>35831</v>
      </c>
      <c r="BJ228" s="3">
        <f>BI228+BJ232</f>
        <v>35831</v>
      </c>
      <c r="BK228" s="3">
        <f>BJ228</f>
        <v>35831</v>
      </c>
      <c r="BL228" s="3">
        <f>BK228+BL232</f>
        <v>35831</v>
      </c>
      <c r="BM228" s="3">
        <f>BL228+BM232</f>
        <v>35831</v>
      </c>
      <c r="BN228" s="3">
        <f>BM228+BN232</f>
        <v>35831</v>
      </c>
      <c r="BO228" s="3">
        <f>BN228+BO232</f>
        <v>35831</v>
      </c>
      <c r="BP228" s="3">
        <f>BO228</f>
        <v>35831</v>
      </c>
      <c r="BQ228" s="3">
        <f>BP228+BQ232</f>
        <v>35831</v>
      </c>
      <c r="BR228" s="3">
        <f>BQ228+BR232</f>
        <v>35831</v>
      </c>
      <c r="BS228" s="3">
        <f>BR228+BS232</f>
        <v>35831</v>
      </c>
      <c r="BT228" s="3">
        <f>BS228+BT232</f>
        <v>35831</v>
      </c>
      <c r="BU228" s="3">
        <f>BT228</f>
        <v>35831</v>
      </c>
      <c r="BV228" s="3">
        <f>BU228+BV232</f>
        <v>35831</v>
      </c>
      <c r="BW228" s="3">
        <f>BV228+BW232</f>
        <v>35831</v>
      </c>
      <c r="BX228" s="3">
        <f>BW228+BX232</f>
        <v>35831</v>
      </c>
      <c r="BY228" s="3">
        <f>BX228+BY232</f>
        <v>35831</v>
      </c>
      <c r="BZ228" s="3">
        <f>BY228</f>
        <v>35831</v>
      </c>
      <c r="CA228" s="3">
        <f>BZ228+CA232</f>
        <v>35831</v>
      </c>
      <c r="CB228" s="3">
        <f>CA228+CB232</f>
        <v>35831</v>
      </c>
      <c r="CC228" s="3">
        <f>CB228+CC232</f>
        <v>35831</v>
      </c>
      <c r="CD228" s="3">
        <f>CC228+CD232</f>
        <v>35831</v>
      </c>
      <c r="CE228" s="3">
        <f>CD228</f>
        <v>35831</v>
      </c>
      <c r="CF228" s="3">
        <f>CE228+CF232</f>
        <v>35831</v>
      </c>
      <c r="CG228" s="3">
        <f>CF228+CG232</f>
        <v>35831</v>
      </c>
      <c r="CH228" s="3">
        <f>CG228+CH232</f>
        <v>35831</v>
      </c>
      <c r="CI228" s="3">
        <f>CH228+CI232</f>
        <v>35831</v>
      </c>
      <c r="CJ228" s="3">
        <f>CI228</f>
        <v>35831</v>
      </c>
      <c r="CK228" s="3">
        <f>CJ228+CK232</f>
        <v>35831</v>
      </c>
      <c r="CL228" s="3">
        <f>CK228+CL232</f>
        <v>35831</v>
      </c>
      <c r="CM228" s="3">
        <f>CL228+CM232</f>
        <v>35831</v>
      </c>
      <c r="CN228" s="3">
        <f>CM228+CN232</f>
        <v>35831</v>
      </c>
      <c r="CO228" s="3">
        <f>CN228</f>
        <v>35831</v>
      </c>
      <c r="CP228" s="3">
        <f>CO228+CP232</f>
        <v>35831</v>
      </c>
      <c r="CQ228" s="3">
        <f>CP228+CQ232</f>
        <v>35831</v>
      </c>
      <c r="CR228" s="3">
        <f>CQ228+CR232</f>
        <v>35831</v>
      </c>
      <c r="CS228" s="3">
        <f>CR228+CS232</f>
        <v>35831</v>
      </c>
      <c r="CT228" s="3">
        <f>CS228</f>
        <v>35831</v>
      </c>
      <c r="CU228" s="3">
        <f>CT228+CU232</f>
        <v>35831</v>
      </c>
      <c r="CV228" s="3">
        <f>CU228+CV232</f>
        <v>35831</v>
      </c>
      <c r="CW228" s="3">
        <f>CV228+CW232</f>
        <v>35831</v>
      </c>
      <c r="CX228" s="3">
        <f>CW228+CX232</f>
        <v>35831</v>
      </c>
      <c r="CY228" s="3">
        <f>CX228</f>
        <v>35831</v>
      </c>
    </row>
    <row r="229" hidden="1" outlineLevel="1" customFormat="1" s="39">
      <c r="A229" s="19" t="n"/>
      <c r="B229" s="19" t="n"/>
      <c r="C229" s="41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  <c r="AJ229" s="22" t="n"/>
      <c r="AK229" s="22" t="n"/>
      <c r="AL229" s="22" t="n"/>
      <c r="AM229" s="22" t="n"/>
      <c r="AN229" s="22" t="n"/>
      <c r="AO229" s="22" t="n"/>
      <c r="AP229" s="22" t="n"/>
      <c r="AQ229" s="22" t="n"/>
      <c r="AR229" s="22" t="n"/>
      <c r="AS229" s="22" t="n"/>
      <c r="AT229" s="22" t="n"/>
      <c r="AU229" s="22" t="n"/>
      <c r="AV229" s="22" t="n"/>
      <c r="AW229" s="22" t="n"/>
      <c r="AX229" s="22" t="n"/>
      <c r="AY229" s="22" t="n"/>
      <c r="AZ229" s="22" t="n"/>
      <c r="BA229" s="22" t="n"/>
      <c r="BB229" s="22" t="n"/>
      <c r="BC229" s="22" t="n"/>
      <c r="BD229" s="22" t="n"/>
      <c r="BE229" s="22" t="n"/>
      <c r="BF229" s="22" t="n"/>
      <c r="BG229" s="22" t="n"/>
      <c r="BH229" s="22" t="n"/>
      <c r="BI229" s="22" t="n"/>
      <c r="BJ229" s="22" t="n"/>
      <c r="BK229" s="22" t="n"/>
      <c r="BL229" s="22" t="n"/>
      <c r="BM229" s="22" t="n"/>
      <c r="BN229" s="22" t="n"/>
      <c r="BO229" s="22" t="n"/>
      <c r="BP229" s="22" t="n"/>
      <c r="BQ229" s="22" t="n"/>
      <c r="BR229" s="22" t="n"/>
      <c r="BS229" s="22" t="n"/>
      <c r="BT229" s="22" t="n"/>
      <c r="BU229" s="22" t="n"/>
      <c r="BV229" s="22" t="n"/>
      <c r="BW229" s="22" t="n"/>
      <c r="BX229" s="22" t="n"/>
      <c r="BY229" s="22" t="n"/>
      <c r="BZ229" s="22" t="n"/>
      <c r="CA229" s="22" t="n"/>
      <c r="CB229" s="22" t="n"/>
      <c r="CC229" s="22" t="n"/>
      <c r="CD229" s="22" t="n"/>
      <c r="CE229" s="22" t="n"/>
      <c r="CF229" s="22" t="n"/>
      <c r="CG229" s="22" t="n"/>
      <c r="CH229" s="22" t="n"/>
      <c r="CI229" s="22" t="n"/>
      <c r="CJ229" s="22" t="n"/>
      <c r="CK229" s="22" t="n"/>
      <c r="CL229" s="22" t="n"/>
      <c r="CM229" s="22" t="n"/>
      <c r="CN229" s="22" t="n"/>
      <c r="CO229" s="22" t="n"/>
      <c r="CP229" s="22" t="n"/>
      <c r="CQ229" s="22" t="n"/>
      <c r="CR229" s="22" t="n"/>
      <c r="CS229" s="22" t="n"/>
      <c r="CT229" s="22" t="n"/>
      <c r="CU229" s="22" t="n"/>
      <c r="CV229" s="22" t="n"/>
      <c r="CW229" s="22" t="n"/>
      <c r="CX229" s="22" t="n"/>
      <c r="CY229" s="22" t="n"/>
    </row>
    <row r="230" hidden="1" outlineLevel="1" customFormat="1" s="39">
      <c r="A230" s="19" t="n"/>
      <c r="B230" s="19" t="n"/>
      <c r="C230" s="41" t="inlineStr">
        <is>
          <t>Diluted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  <c r="AJ230" s="22" t="n"/>
      <c r="AK230" s="22" t="n"/>
      <c r="AL230" s="22" t="n"/>
      <c r="AM230" s="22" t="n"/>
      <c r="AN230" s="22" t="n"/>
      <c r="AO230" s="22" t="n"/>
      <c r="AP230" s="22" t="n"/>
      <c r="AQ230" s="22" t="n"/>
      <c r="AR230" s="22" t="n"/>
      <c r="AS230" s="22" t="n"/>
      <c r="AT230" s="22" t="n"/>
      <c r="AU230" s="22" t="n"/>
      <c r="AV230" s="22" t="n"/>
      <c r="AW230" s="22" t="n"/>
      <c r="AX230" s="22" t="n"/>
      <c r="AY230" s="22" t="n"/>
      <c r="AZ230" s="22" t="n"/>
      <c r="BA230" s="22" t="n"/>
      <c r="BB230" s="22" t="n"/>
      <c r="BC230" s="22" t="n"/>
      <c r="BD230" s="22" t="n"/>
      <c r="BE230" s="22" t="n"/>
      <c r="BF230" s="22" t="n"/>
      <c r="BG230" s="22" t="n"/>
      <c r="BH230" s="22" t="n"/>
      <c r="BI230" s="22" t="n"/>
      <c r="BJ230" s="22" t="n"/>
      <c r="BK230" s="22" t="n"/>
      <c r="BL230" s="22" t="n"/>
      <c r="BM230" s="22" t="n"/>
      <c r="BN230" s="22" t="n"/>
      <c r="BO230" s="22" t="n"/>
      <c r="BP230" s="22" t="n"/>
      <c r="BQ230" s="22" t="n"/>
      <c r="BR230" s="22" t="n"/>
      <c r="BS230" s="22" t="n"/>
      <c r="BT230" s="22" t="n"/>
      <c r="BU230" s="22" t="n"/>
      <c r="BV230" s="22" t="n"/>
      <c r="BW230" s="22" t="n"/>
      <c r="BX230" s="22" t="n"/>
      <c r="BY230" s="22" t="n"/>
      <c r="BZ230" s="22" t="n"/>
      <c r="CA230" s="22" t="n"/>
      <c r="CB230" s="22" t="n"/>
      <c r="CC230" s="22" t="n"/>
      <c r="CD230" s="22" t="n"/>
      <c r="CE230" s="22" t="n"/>
      <c r="CF230" s="22" t="n"/>
      <c r="CG230" s="22" t="n"/>
      <c r="CH230" s="22" t="n"/>
      <c r="CI230" s="22" t="n"/>
      <c r="CJ230" s="22" t="n"/>
      <c r="CK230" s="22" t="n"/>
      <c r="CL230" s="22" t="n"/>
      <c r="CM230" s="22" t="n"/>
      <c r="CN230" s="22" t="n"/>
      <c r="CO230" s="22" t="n"/>
      <c r="CP230" s="22" t="n"/>
      <c r="CQ230" s="22" t="n"/>
      <c r="CR230" s="22" t="n"/>
      <c r="CS230" s="22" t="n"/>
      <c r="CT230" s="22" t="n"/>
      <c r="CU230" s="22" t="n"/>
      <c r="CV230" s="22" t="n"/>
      <c r="CW230" s="22" t="n"/>
      <c r="CX230" s="22" t="n"/>
      <c r="CY230" s="22" t="n"/>
    </row>
    <row r="231" hidden="1" outlineLevel="1" customFormat="1" s="39">
      <c r="A231" s="19" t="n"/>
      <c r="B231" s="19" t="n"/>
      <c r="C231" s="41" t="inlineStr">
        <is>
          <t>Treasury share $ repurchases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6" t="n"/>
      <c r="AI231" s="6" t="n"/>
      <c r="AJ231" s="6" t="n"/>
      <c r="AK231" s="6" t="n"/>
      <c r="AL231" s="22" t="n"/>
      <c r="AM231" s="6" t="n"/>
      <c r="AN231" s="6" t="n"/>
      <c r="AO231" s="6" t="n"/>
      <c r="AP231" s="6" t="n"/>
      <c r="AQ231" s="22" t="n"/>
      <c r="AR231" s="6" t="n"/>
      <c r="AS231" s="6" t="n"/>
      <c r="AT231" s="6" t="n"/>
      <c r="AU231" s="6" t="n"/>
      <c r="AV231" s="22" t="n"/>
      <c r="AW231" s="6" t="n"/>
      <c r="AX231" s="6" t="n"/>
      <c r="AY231" s="6" t="n"/>
      <c r="AZ231" s="6" t="n"/>
      <c r="BA231" s="22" t="n"/>
      <c r="BB231" s="6" t="n"/>
      <c r="BC231" s="6" t="n"/>
      <c r="BD231" s="6" t="n"/>
      <c r="BE231" s="6" t="n"/>
      <c r="BF231" s="22" t="n"/>
      <c r="BG231" s="6" t="n"/>
      <c r="BH231" s="6" t="n"/>
      <c r="BI231" s="6" t="n"/>
      <c r="BJ231" s="6" t="n"/>
      <c r="BK231" s="22" t="n"/>
      <c r="BL231" s="6" t="n"/>
      <c r="BM231" s="6" t="n"/>
      <c r="BN231" s="6" t="n"/>
      <c r="BO231" s="6" t="n"/>
      <c r="BP231" s="22" t="n"/>
      <c r="BQ231" s="6" t="n"/>
      <c r="BR231" s="6" t="n"/>
      <c r="BS231" s="6" t="n"/>
      <c r="BT231" s="6" t="n"/>
      <c r="BU231" s="22" t="n"/>
      <c r="BV231" s="6" t="n"/>
      <c r="BW231" s="6" t="n"/>
      <c r="BX231" s="6" t="n"/>
      <c r="BY231" s="6" t="n"/>
      <c r="BZ231" s="22" t="n"/>
      <c r="CA231" s="6" t="n"/>
      <c r="CB231" s="6" t="n"/>
      <c r="CC231" s="6" t="n"/>
      <c r="CD231" s="6" t="n"/>
      <c r="CE231" s="22" t="n"/>
      <c r="CF231" s="6" t="n"/>
      <c r="CG231" s="6" t="n"/>
      <c r="CH231" s="6" t="n"/>
      <c r="CI231" s="6" t="n"/>
      <c r="CJ231" s="22" t="n"/>
      <c r="CK231" s="6" t="n"/>
      <c r="CL231" s="6" t="n"/>
      <c r="CM231" s="6" t="n"/>
      <c r="CN231" s="6" t="n"/>
      <c r="CO231" s="22" t="n"/>
      <c r="CP231" s="6" t="n"/>
      <c r="CQ231" s="6" t="n"/>
      <c r="CR231" s="6" t="n"/>
      <c r="CS231" s="6" t="n"/>
      <c r="CT231" s="22" t="n"/>
      <c r="CU231" s="6" t="n"/>
      <c r="CV231" s="6" t="n"/>
      <c r="CW231" s="6" t="n"/>
      <c r="CX231" s="6" t="n"/>
      <c r="CY231" s="22" t="n"/>
    </row>
    <row r="232" hidden="1" outlineLevel="1" customFormat="1" s="39">
      <c r="A232" s="19" t="n"/>
      <c r="B232" s="19" t="n"/>
      <c r="C232" s="41" t="inlineStr">
        <is>
          <t>Value of shares issued</t>
        </is>
      </c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6" t="n"/>
      <c r="AI232" s="6" t="n"/>
      <c r="AJ232" s="6" t="n"/>
      <c r="AK232" s="6" t="n"/>
      <c r="AL232" s="22" t="n"/>
      <c r="AM232" s="6" t="n"/>
      <c r="AN232" s="6" t="n"/>
      <c r="AO232" s="6" t="n"/>
      <c r="AP232" s="6" t="n"/>
      <c r="AQ232" s="22" t="n"/>
      <c r="AR232" s="6" t="n"/>
      <c r="AS232" s="6" t="n"/>
      <c r="AT232" s="6" t="n"/>
      <c r="AU232" s="6" t="n"/>
      <c r="AV232" s="22" t="n"/>
      <c r="AW232" s="6" t="n"/>
      <c r="AX232" s="6" t="n"/>
      <c r="AY232" s="6" t="n"/>
      <c r="AZ232" s="6" t="n"/>
      <c r="BA232" s="22" t="n"/>
      <c r="BB232" s="6" t="n"/>
      <c r="BC232" s="6" t="n"/>
      <c r="BD232" s="6" t="n"/>
      <c r="BE232" s="6" t="n"/>
      <c r="BF232" s="22" t="n"/>
      <c r="BG232" s="6" t="n"/>
      <c r="BH232" s="6" t="n"/>
      <c r="BI232" s="6" t="n"/>
      <c r="BJ232" s="6" t="n"/>
      <c r="BK232" s="22" t="n"/>
      <c r="BL232" s="6" t="n"/>
      <c r="BM232" s="6" t="n"/>
      <c r="BN232" s="6" t="n"/>
      <c r="BO232" s="6" t="n"/>
      <c r="BP232" s="22" t="n"/>
      <c r="BQ232" s="6" t="n"/>
      <c r="BR232" s="6" t="n"/>
      <c r="BS232" s="6" t="n"/>
      <c r="BT232" s="6" t="n"/>
      <c r="BU232" s="22" t="n"/>
      <c r="BV232" s="6" t="n"/>
      <c r="BW232" s="6" t="n"/>
      <c r="BX232" s="6" t="n"/>
      <c r="BY232" s="6" t="n"/>
      <c r="BZ232" s="22" t="n"/>
      <c r="CA232" s="6" t="n"/>
      <c r="CB232" s="6" t="n"/>
      <c r="CC232" s="6" t="n"/>
      <c r="CD232" s="6" t="n"/>
      <c r="CE232" s="22" t="n"/>
      <c r="CF232" s="6" t="n"/>
      <c r="CG232" s="6" t="n"/>
      <c r="CH232" s="6" t="n"/>
      <c r="CI232" s="6" t="n"/>
      <c r="CJ232" s="22" t="n"/>
      <c r="CK232" s="6" t="n"/>
      <c r="CL232" s="6" t="n"/>
      <c r="CM232" s="6" t="n"/>
      <c r="CN232" s="6" t="n"/>
      <c r="CO232" s="22" t="n"/>
      <c r="CP232" s="6" t="n"/>
      <c r="CQ232" s="6" t="n"/>
      <c r="CR232" s="6" t="n"/>
      <c r="CS232" s="6" t="n"/>
      <c r="CT232" s="22" t="n"/>
      <c r="CU232" s="6" t="n"/>
      <c r="CV232" s="6" t="n"/>
      <c r="CW232" s="6" t="n"/>
      <c r="CX232" s="6" t="n"/>
      <c r="CY232" s="22" t="n"/>
    </row>
    <row r="233" hidden="1" outlineLevel="1" customFormat="1" s="39">
      <c r="A233" s="19" t="n"/>
      <c r="B233" s="19" t="n"/>
      <c r="C233" s="41" t="inlineStr">
        <is>
          <t>Expected average share price</t>
        </is>
      </c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51" t="n"/>
      <c r="AH233" s="42">
        <f>AG233*(1+AH234)</f>
        <v>0</v>
      </c>
      <c r="AI233" s="42">
        <f>AH233*(1+AI234)</f>
        <v>0</v>
      </c>
      <c r="AJ233" s="42">
        <f>AI233*(1+AJ234)</f>
        <v>0</v>
      </c>
      <c r="AK233" s="42">
        <f>AJ233*(1+AK234)</f>
        <v>0</v>
      </c>
      <c r="AL233" s="22" t="n"/>
      <c r="AM233" s="42">
        <f>AK233*(1+AM234)</f>
        <v>0</v>
      </c>
      <c r="AN233" s="42">
        <f>AM233*(1+AN234)</f>
        <v>0</v>
      </c>
      <c r="AO233" s="42">
        <f>AN233*(1+AO234)</f>
        <v>0</v>
      </c>
      <c r="AP233" s="42">
        <f>AO233*(1+AP234)</f>
        <v>0</v>
      </c>
      <c r="AQ233" s="22" t="n"/>
      <c r="AR233" s="42">
        <f>AP233*(1+AR234)</f>
        <v>0</v>
      </c>
      <c r="AS233" s="42">
        <f>AR233*(1+AS234)</f>
        <v>0</v>
      </c>
      <c r="AT233" s="42">
        <f>AS233*(1+AT234)</f>
        <v>0</v>
      </c>
      <c r="AU233" s="42">
        <f>AT233*(1+AU234)</f>
        <v>0</v>
      </c>
      <c r="AV233" s="22" t="n"/>
      <c r="AW233" s="42">
        <f>AU233*(1+AW234)</f>
        <v>0</v>
      </c>
      <c r="AX233" s="42">
        <f>AW233*(1+AX234)</f>
        <v>0</v>
      </c>
      <c r="AY233" s="42">
        <f>AX233*(1+AY234)</f>
        <v>0</v>
      </c>
      <c r="AZ233" s="42">
        <f>AY233*(1+AZ234)</f>
        <v>0</v>
      </c>
      <c r="BA233" s="22" t="n"/>
      <c r="BB233" s="42">
        <f>AZ233*(1+BB234)</f>
        <v>0</v>
      </c>
      <c r="BC233" s="42">
        <f>BB233*(1+BC234)</f>
        <v>0</v>
      </c>
      <c r="BD233" s="42">
        <f>BC233*(1+BD234)</f>
        <v>0</v>
      </c>
      <c r="BE233" s="42">
        <f>BD233*(1+BE234)</f>
        <v>0</v>
      </c>
      <c r="BF233" s="22" t="n"/>
      <c r="BG233" s="42">
        <f>BE233*(1+BG234)</f>
        <v>0</v>
      </c>
      <c r="BH233" s="42">
        <f>BG233*(1+BH234)</f>
        <v>0</v>
      </c>
      <c r="BI233" s="42">
        <f>BH233*(1+BI234)</f>
        <v>0</v>
      </c>
      <c r="BJ233" s="42">
        <f>BI233*(1+BJ234)</f>
        <v>0</v>
      </c>
      <c r="BK233" s="22" t="n"/>
      <c r="BL233" s="42">
        <f>BJ233*(1+BL234)</f>
        <v>0</v>
      </c>
      <c r="BM233" s="42">
        <f>BL233*(1+BM234)</f>
        <v>0</v>
      </c>
      <c r="BN233" s="42">
        <f>BM233*(1+BN234)</f>
        <v>0</v>
      </c>
      <c r="BO233" s="42">
        <f>BN233*(1+BO234)</f>
        <v>0</v>
      </c>
      <c r="BP233" s="22" t="n"/>
      <c r="BQ233" s="42">
        <f>BO233*(1+BQ234)</f>
        <v>0</v>
      </c>
      <c r="BR233" s="42">
        <f>BQ233*(1+BR234)</f>
        <v>0</v>
      </c>
      <c r="BS233" s="42">
        <f>BR233*(1+BS234)</f>
        <v>0</v>
      </c>
      <c r="BT233" s="42">
        <f>BS233*(1+BT234)</f>
        <v>0</v>
      </c>
      <c r="BU233" s="22" t="n"/>
      <c r="BV233" s="42">
        <f>BT233*(1+BV234)</f>
        <v>0</v>
      </c>
      <c r="BW233" s="42">
        <f>BV233*(1+BW234)</f>
        <v>0</v>
      </c>
      <c r="BX233" s="42">
        <f>BW233*(1+BX234)</f>
        <v>0</v>
      </c>
      <c r="BY233" s="42">
        <f>BX233*(1+BY234)</f>
        <v>0</v>
      </c>
      <c r="BZ233" s="22" t="n"/>
      <c r="CA233" s="42">
        <f>BY233*(1+CA234)</f>
        <v>0</v>
      </c>
      <c r="CB233" s="42">
        <f>CA233*(1+CB234)</f>
        <v>0</v>
      </c>
      <c r="CC233" s="42">
        <f>CB233*(1+CC234)</f>
        <v>0</v>
      </c>
      <c r="CD233" s="42">
        <f>CC233*(1+CD234)</f>
        <v>0</v>
      </c>
      <c r="CE233" s="22" t="n"/>
      <c r="CF233" s="42">
        <f>CD233*(1+CF234)</f>
        <v>0</v>
      </c>
      <c r="CG233" s="42">
        <f>CF233*(1+CG234)</f>
        <v>0</v>
      </c>
      <c r="CH233" s="42">
        <f>CG233*(1+CH234)</f>
        <v>0</v>
      </c>
      <c r="CI233" s="42">
        <f>CH233*(1+CI234)</f>
        <v>0</v>
      </c>
      <c r="CJ233" s="22" t="n"/>
      <c r="CK233" s="42">
        <f>CI233*(1+CK234)</f>
        <v>0</v>
      </c>
      <c r="CL233" s="42">
        <f>CK233*(1+CL234)</f>
        <v>0</v>
      </c>
      <c r="CM233" s="42">
        <f>CL233*(1+CM234)</f>
        <v>0</v>
      </c>
      <c r="CN233" s="42">
        <f>CM233*(1+CN234)</f>
        <v>0</v>
      </c>
      <c r="CO233" s="22" t="n"/>
      <c r="CP233" s="42">
        <f>CN233*(1+CP234)</f>
        <v>0</v>
      </c>
      <c r="CQ233" s="42">
        <f>CP233*(1+CQ234)</f>
        <v>0</v>
      </c>
      <c r="CR233" s="42">
        <f>CQ233*(1+CR234)</f>
        <v>0</v>
      </c>
      <c r="CS233" s="42">
        <f>CR233*(1+CS234)</f>
        <v>0</v>
      </c>
      <c r="CT233" s="22" t="n"/>
      <c r="CU233" s="42">
        <f>CS233*(1+CU234)</f>
        <v>0</v>
      </c>
      <c r="CV233" s="42">
        <f>CU233*(1+CV234)</f>
        <v>0</v>
      </c>
      <c r="CW233" s="42">
        <f>CV233*(1+CW234)</f>
        <v>0</v>
      </c>
      <c r="CX233" s="42">
        <f>CW233*(1+CX234)</f>
        <v>0</v>
      </c>
      <c r="CY233" s="22" t="n"/>
      <c r="CZ233">
        <f>CX233*(1+CZ234)</f>
        <v>0</v>
      </c>
      <c r="DA233">
        <f>CZ233*(1+DA234)</f>
        <v>0</v>
      </c>
      <c r="DB233">
        <f>DA233*(1+DB234)</f>
        <v>0</v>
      </c>
      <c r="DC233">
        <f>DB233*(1+DC234)</f>
        <v>0</v>
      </c>
    </row>
    <row r="234" hidden="1" outlineLevel="1" customFormat="1" s="39">
      <c r="A234" s="19" t="n"/>
      <c r="B234" s="19" t="n"/>
      <c r="C234" s="41" t="inlineStr">
        <is>
          <t>Consensus EPS growth</t>
        </is>
      </c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40">
        <f>$AL$239</f>
        <v>0</v>
      </c>
      <c r="AI234" s="40">
        <f>$AL$239</f>
        <v>0</v>
      </c>
      <c r="AJ234" s="40">
        <f>$AL$239</f>
        <v>0</v>
      </c>
      <c r="AK234" s="40">
        <f>$AL$239</f>
        <v>0</v>
      </c>
      <c r="AL234" s="22" t="n"/>
      <c r="AM234" s="40">
        <f>$AL$239</f>
        <v>0</v>
      </c>
      <c r="AN234" s="40">
        <f>$AL$239</f>
        <v>0</v>
      </c>
      <c r="AO234" s="40">
        <f>$AL$239</f>
        <v>0</v>
      </c>
      <c r="AP234" s="40">
        <f>$AL$239</f>
        <v>0</v>
      </c>
      <c r="AQ234" s="22" t="n"/>
      <c r="AR234" s="40">
        <f>$AL$239</f>
        <v>0</v>
      </c>
      <c r="AS234" s="40">
        <f>$AL$239</f>
        <v>0</v>
      </c>
      <c r="AT234" s="40">
        <f>$AL$239</f>
        <v>0</v>
      </c>
      <c r="AU234" s="40">
        <f>$AL$239</f>
        <v>0</v>
      </c>
      <c r="AV234" s="22" t="n"/>
      <c r="AW234" s="40">
        <f>$AL$239</f>
        <v>0</v>
      </c>
      <c r="AX234" s="40">
        <f>$AL$239</f>
        <v>0</v>
      </c>
      <c r="AY234" s="40">
        <f>$AL$239</f>
        <v>0</v>
      </c>
      <c r="AZ234" s="40">
        <f>$AL$239</f>
        <v>0</v>
      </c>
      <c r="BA234" s="22" t="n"/>
      <c r="BB234" s="40">
        <f>$AL$239</f>
        <v>0</v>
      </c>
      <c r="BC234" s="40">
        <f>$AL$239</f>
        <v>0</v>
      </c>
      <c r="BD234" s="40">
        <f>$AL$239</f>
        <v>0</v>
      </c>
      <c r="BE234" s="40">
        <f>$AL$239</f>
        <v>0</v>
      </c>
      <c r="BF234" s="22" t="n"/>
      <c r="BG234" s="40">
        <f>$AL$239</f>
        <v>0</v>
      </c>
      <c r="BH234" s="40">
        <f>$AL$239</f>
        <v>0</v>
      </c>
      <c r="BI234" s="40">
        <f>$AL$239</f>
        <v>0</v>
      </c>
      <c r="BJ234" s="40">
        <f>$AL$239</f>
        <v>0</v>
      </c>
      <c r="BK234" s="22" t="n"/>
      <c r="BL234" s="40">
        <f>$AL$239</f>
        <v>0</v>
      </c>
      <c r="BM234" s="40">
        <f>$AL$239</f>
        <v>0</v>
      </c>
      <c r="BN234" s="40">
        <f>$AL$239</f>
        <v>0</v>
      </c>
      <c r="BO234" s="40">
        <f>$AL$239</f>
        <v>0</v>
      </c>
      <c r="BP234" s="22" t="n"/>
      <c r="BQ234" s="40">
        <f>$AL$239</f>
        <v>0</v>
      </c>
      <c r="BR234" s="40">
        <f>$AL$239</f>
        <v>0</v>
      </c>
      <c r="BS234" s="40">
        <f>$AL$239</f>
        <v>0</v>
      </c>
      <c r="BT234" s="40">
        <f>$AL$239</f>
        <v>0</v>
      </c>
      <c r="BU234" s="22" t="n"/>
      <c r="BV234" s="40">
        <f>$AL$239</f>
        <v>0</v>
      </c>
      <c r="BW234" s="40">
        <f>$AL$239</f>
        <v>0</v>
      </c>
      <c r="BX234" s="40">
        <f>$AL$239</f>
        <v>0</v>
      </c>
      <c r="BY234" s="40">
        <f>$AL$239</f>
        <v>0</v>
      </c>
      <c r="BZ234" s="22" t="n"/>
      <c r="CA234" s="40">
        <f>$AL$239</f>
        <v>0</v>
      </c>
      <c r="CB234" s="40">
        <f>$AL$239</f>
        <v>0</v>
      </c>
      <c r="CC234" s="40">
        <f>$AL$239</f>
        <v>0</v>
      </c>
      <c r="CD234" s="40">
        <f>$AL$239</f>
        <v>0</v>
      </c>
      <c r="CE234" s="22" t="n"/>
      <c r="CF234" s="40">
        <f>$AL$239</f>
        <v>0</v>
      </c>
      <c r="CG234" s="40">
        <f>$AL$239</f>
        <v>0</v>
      </c>
      <c r="CH234" s="40">
        <f>$AL$239</f>
        <v>0</v>
      </c>
      <c r="CI234" s="40">
        <f>$AL$239</f>
        <v>0</v>
      </c>
      <c r="CJ234" s="22" t="n"/>
      <c r="CK234" s="40">
        <f>$AL$239</f>
        <v>0</v>
      </c>
      <c r="CL234" s="40">
        <f>$AL$239</f>
        <v>0</v>
      </c>
      <c r="CM234" s="40">
        <f>$AL$239</f>
        <v>0</v>
      </c>
      <c r="CN234" s="40">
        <f>$AL$239</f>
        <v>0</v>
      </c>
      <c r="CO234" s="22" t="n"/>
      <c r="CP234" s="40">
        <f>$AL$239</f>
        <v>0</v>
      </c>
      <c r="CQ234" s="40">
        <f>$AL$239</f>
        <v>0</v>
      </c>
      <c r="CR234" s="40">
        <f>$AL$239</f>
        <v>0</v>
      </c>
      <c r="CS234" s="40">
        <f>$AL$239</f>
        <v>0</v>
      </c>
      <c r="CT234" s="22" t="n"/>
      <c r="CU234" s="40">
        <f>$AL$239</f>
        <v>0</v>
      </c>
      <c r="CV234" s="40">
        <f>$AL$239</f>
        <v>0</v>
      </c>
      <c r="CW234" s="40">
        <f>$AL$239</f>
        <v>0</v>
      </c>
      <c r="CX234" s="40">
        <f>$AL$239</f>
        <v>0</v>
      </c>
      <c r="CY234" s="22" t="n"/>
    </row>
    <row r="235" hidden="1" outlineLevel="1" customFormat="1" s="39">
      <c r="A235" s="19" t="n"/>
      <c r="B235" s="19" t="n"/>
      <c r="C235" s="41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3" t="n"/>
      <c r="AI235" s="3" t="n"/>
      <c r="AJ235" s="3" t="n"/>
      <c r="AK235" s="3" t="n"/>
      <c r="AL235" s="22" t="n"/>
      <c r="AM235" s="3" t="n"/>
      <c r="AN235" s="3" t="n"/>
      <c r="AO235" s="3" t="n"/>
      <c r="AP235" s="3" t="n"/>
      <c r="AQ235" s="22" t="n"/>
      <c r="AR235" s="3" t="n"/>
      <c r="AS235" s="3" t="n"/>
      <c r="AT235" s="3" t="n"/>
      <c r="AU235" s="3" t="n"/>
      <c r="AV235" s="22" t="n"/>
      <c r="AW235" s="3" t="n"/>
      <c r="AX235" s="3" t="n"/>
      <c r="AY235" s="3" t="n"/>
      <c r="AZ235" s="3" t="n"/>
      <c r="BA235" s="22" t="n"/>
      <c r="BB235" s="3" t="n"/>
      <c r="BC235" s="3" t="n"/>
      <c r="BD235" s="3" t="n"/>
      <c r="BE235" s="3" t="n"/>
      <c r="BF235" s="22" t="n"/>
      <c r="BG235" s="3" t="n"/>
      <c r="BH235" s="3" t="n"/>
      <c r="BI235" s="3" t="n"/>
      <c r="BJ235" s="3" t="n"/>
      <c r="BK235" s="22" t="n"/>
      <c r="BL235" s="3" t="n"/>
      <c r="BM235" s="3" t="n"/>
      <c r="BN235" s="3" t="n"/>
      <c r="BO235" s="3" t="n"/>
      <c r="BP235" s="22" t="n"/>
      <c r="BQ235" s="3" t="n"/>
      <c r="BR235" s="3" t="n"/>
      <c r="BS235" s="3" t="n"/>
      <c r="BT235" s="3" t="n"/>
      <c r="BU235" s="22" t="n"/>
      <c r="BV235" s="3" t="n"/>
      <c r="BW235" s="3" t="n"/>
      <c r="BX235" s="3" t="n"/>
      <c r="BY235" s="3" t="n"/>
      <c r="BZ235" s="22" t="n"/>
      <c r="CA235" s="3" t="n"/>
      <c r="CB235" s="3" t="n"/>
      <c r="CC235" s="3" t="n"/>
      <c r="CD235" s="3" t="n"/>
      <c r="CE235" s="22" t="n"/>
      <c r="CF235" s="3" t="n"/>
      <c r="CG235" s="3" t="n"/>
      <c r="CH235" s="3" t="n"/>
      <c r="CI235" s="3" t="n"/>
      <c r="CJ235" s="22" t="n"/>
      <c r="CK235" s="3" t="n"/>
      <c r="CL235" s="3" t="n"/>
      <c r="CM235" s="3" t="n"/>
      <c r="CN235" s="3" t="n"/>
      <c r="CO235" s="22" t="n"/>
      <c r="CP235" s="3" t="n"/>
      <c r="CQ235" s="3" t="n"/>
      <c r="CR235" s="3" t="n"/>
      <c r="CS235" s="3" t="n"/>
      <c r="CT235" s="22" t="n"/>
      <c r="CU235" s="3" t="n"/>
      <c r="CV235" s="3" t="n"/>
      <c r="CW235" s="3" t="n"/>
      <c r="CX235" s="3" t="n"/>
      <c r="CY235" s="22" t="n"/>
    </row>
    <row r="236" hidden="1" outlineLevel="1" customFormat="1" s="39">
      <c r="A236" s="19" t="n"/>
      <c r="B236" s="19" t="n"/>
      <c r="C236" s="41" t="inlineStr">
        <is>
          <t>Shares repurchased</t>
        </is>
      </c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43" t="n"/>
      <c r="AI236" s="43" t="n"/>
      <c r="AJ236" s="43" t="e">
        <f>-AJ231/AJ233</f>
        <v>#DIV/0!</v>
      </c>
      <c r="AK236" s="43" t="e">
        <f>-AK231/AK233</f>
        <v>#DIV/0!</v>
      </c>
      <c r="AL236" s="22" t="n"/>
      <c r="AM236" s="43" t="e">
        <f>-AM231/AM233</f>
        <v>#DIV/0!</v>
      </c>
      <c r="AN236" s="43" t="e">
        <f>-AN231/AN233</f>
        <v>#DIV/0!</v>
      </c>
      <c r="AO236" s="43" t="e">
        <f>-AO231/AO233</f>
        <v>#DIV/0!</v>
      </c>
      <c r="AP236" s="43" t="e">
        <f>-AP231/AP233</f>
        <v>#DIV/0!</v>
      </c>
      <c r="AQ236" s="22" t="n"/>
      <c r="AR236" s="43" t="e">
        <f>-AR231/AR233</f>
        <v>#DIV/0!</v>
      </c>
      <c r="AS236" s="43" t="e">
        <f>-AS231/AS233</f>
        <v>#DIV/0!</v>
      </c>
      <c r="AT236" s="43" t="e">
        <f>-AT231/AT233</f>
        <v>#DIV/0!</v>
      </c>
      <c r="AU236" s="43" t="e">
        <f>-AU231/AU233</f>
        <v>#DIV/0!</v>
      </c>
      <c r="AV236" s="22" t="n"/>
      <c r="AW236" s="43" t="e">
        <f>-AW231/AW233</f>
        <v>#DIV/0!</v>
      </c>
      <c r="AX236" s="43" t="e">
        <f>-AX231/AX233</f>
        <v>#DIV/0!</v>
      </c>
      <c r="AY236" s="43" t="e">
        <f>-AY231/AY233</f>
        <v>#DIV/0!</v>
      </c>
      <c r="AZ236" s="43" t="e">
        <f>-AZ231/AZ233</f>
        <v>#DIV/0!</v>
      </c>
      <c r="BA236" s="22" t="n"/>
      <c r="BB236" s="43" t="e">
        <f>-BB231/BB233</f>
        <v>#DIV/0!</v>
      </c>
      <c r="BC236" s="43" t="e">
        <f>-BC231/BC233</f>
        <v>#DIV/0!</v>
      </c>
      <c r="BD236" s="43" t="e">
        <f>-BD231/BD233</f>
        <v>#DIV/0!</v>
      </c>
      <c r="BE236" s="43" t="e">
        <f>-BE231/BE233</f>
        <v>#DIV/0!</v>
      </c>
      <c r="BF236" s="22" t="n"/>
      <c r="BG236" s="43" t="e">
        <f>-BG231/BG233</f>
        <v>#DIV/0!</v>
      </c>
      <c r="BH236" s="43" t="e">
        <f>-BH231/BH233</f>
        <v>#DIV/0!</v>
      </c>
      <c r="BI236" s="43" t="e">
        <f>-BI231/BI233</f>
        <v>#DIV/0!</v>
      </c>
      <c r="BJ236" s="43" t="e">
        <f>-BJ231/BJ233</f>
        <v>#DIV/0!</v>
      </c>
      <c r="BK236" s="22" t="n"/>
      <c r="BL236" s="43" t="e">
        <f>-BL231/BL233</f>
        <v>#DIV/0!</v>
      </c>
      <c r="BM236" s="43" t="e">
        <f>-BM231/BM233</f>
        <v>#DIV/0!</v>
      </c>
      <c r="BN236" s="43" t="e">
        <f>-BN231/BN233</f>
        <v>#DIV/0!</v>
      </c>
      <c r="BO236" s="43" t="e">
        <f>-BO231/BO233</f>
        <v>#DIV/0!</v>
      </c>
      <c r="BP236" s="22" t="n"/>
      <c r="BQ236" s="43" t="e">
        <f>-BQ231/BQ233</f>
        <v>#DIV/0!</v>
      </c>
      <c r="BR236" s="43" t="e">
        <f>-BR231/BR233</f>
        <v>#DIV/0!</v>
      </c>
      <c r="BS236" s="43" t="e">
        <f>-BS231/BS233</f>
        <v>#DIV/0!</v>
      </c>
      <c r="BT236" s="43" t="e">
        <f>-BT231/BT233</f>
        <v>#DIV/0!</v>
      </c>
      <c r="BU236" s="22" t="n"/>
      <c r="BV236" s="43" t="e">
        <f>-BV231/BV233</f>
        <v>#DIV/0!</v>
      </c>
      <c r="BW236" s="43" t="e">
        <f>-BW231/BW233</f>
        <v>#DIV/0!</v>
      </c>
      <c r="BX236" s="43" t="e">
        <f>-BX231/BX233</f>
        <v>#DIV/0!</v>
      </c>
      <c r="BY236" s="43" t="e">
        <f>-BY231/BY233</f>
        <v>#DIV/0!</v>
      </c>
      <c r="BZ236" s="22" t="n"/>
      <c r="CA236" s="43" t="e">
        <f>-CA231/CA233</f>
        <v>#DIV/0!</v>
      </c>
      <c r="CB236" s="43" t="e">
        <f>-CB231/CB233</f>
        <v>#DIV/0!</v>
      </c>
      <c r="CC236" s="43" t="e">
        <f>-CC231/CC233</f>
        <v>#DIV/0!</v>
      </c>
      <c r="CD236" s="43" t="e">
        <f>-CD231/CD233</f>
        <v>#DIV/0!</v>
      </c>
      <c r="CE236" s="22" t="n"/>
      <c r="CF236" s="43" t="e">
        <f>-CF231/CF233</f>
        <v>#DIV/0!</v>
      </c>
      <c r="CG236" s="43" t="e">
        <f>-CG231/CG233</f>
        <v>#DIV/0!</v>
      </c>
      <c r="CH236" s="43" t="e">
        <f>-CH231/CH233</f>
        <v>#DIV/0!</v>
      </c>
      <c r="CI236" s="43" t="e">
        <f>-CI231/CI233</f>
        <v>#DIV/0!</v>
      </c>
      <c r="CJ236" s="22" t="n"/>
      <c r="CK236" s="43" t="e">
        <f>-CK231/CK233</f>
        <v>#DIV/0!</v>
      </c>
      <c r="CL236" s="43" t="e">
        <f>-CL231/CL233</f>
        <v>#DIV/0!</v>
      </c>
      <c r="CM236" s="43" t="e">
        <f>-CM231/CM233</f>
        <v>#DIV/0!</v>
      </c>
      <c r="CN236" s="43" t="e">
        <f>-CN231/CN233</f>
        <v>#DIV/0!</v>
      </c>
      <c r="CO236" s="22" t="n"/>
      <c r="CP236" s="43" t="e">
        <f>-CP231/CP233</f>
        <v>#DIV/0!</v>
      </c>
      <c r="CQ236" s="43" t="e">
        <f>-CQ231/CQ233</f>
        <v>#DIV/0!</v>
      </c>
      <c r="CR236" s="43" t="e">
        <f>-CR231/CR233</f>
        <v>#DIV/0!</v>
      </c>
      <c r="CS236" s="43" t="e">
        <f>-CS231/CS233</f>
        <v>#DIV/0!</v>
      </c>
      <c r="CT236" s="22" t="n"/>
      <c r="CU236" s="43" t="e">
        <f>-CU231/CU233</f>
        <v>#DIV/0!</v>
      </c>
      <c r="CV236" s="43" t="e">
        <f>-CV231/CV233</f>
        <v>#DIV/0!</v>
      </c>
      <c r="CW236" s="43" t="e">
        <f>-CW231/CW233</f>
        <v>#DIV/0!</v>
      </c>
      <c r="CX236" s="43" t="e">
        <f>-CX231/CX233</f>
        <v>#DIV/0!</v>
      </c>
      <c r="CY236" s="22" t="n"/>
    </row>
    <row r="237" hidden="1" outlineLevel="1" customFormat="1" s="39">
      <c r="A237" s="19" t="n"/>
      <c r="B237" s="19" t="n"/>
      <c r="C237" s="41" t="inlineStr">
        <is>
          <t>Shares issued</t>
        </is>
      </c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46" t="n"/>
      <c r="AG237" s="22" t="n"/>
      <c r="AH237" s="43" t="n"/>
      <c r="AI237" s="43" t="n"/>
      <c r="AJ237" s="43" t="e">
        <f>AJ232/AJ233</f>
        <v>#DIV/0!</v>
      </c>
      <c r="AK237" s="43" t="e">
        <f>AK232/AK233</f>
        <v>#DIV/0!</v>
      </c>
      <c r="AL237" s="22" t="n"/>
      <c r="AM237" s="43" t="e">
        <f>AM232/AM233</f>
        <v>#DIV/0!</v>
      </c>
      <c r="AN237" s="43" t="e">
        <f>AN232/AN233</f>
        <v>#DIV/0!</v>
      </c>
      <c r="AO237" s="43" t="e">
        <f>AO232/AO233</f>
        <v>#DIV/0!</v>
      </c>
      <c r="AP237" s="43" t="e">
        <f>AP232/AP233</f>
        <v>#DIV/0!</v>
      </c>
      <c r="AQ237" s="22" t="n"/>
      <c r="AR237" s="43" t="e">
        <f>AR232/AR233</f>
        <v>#DIV/0!</v>
      </c>
      <c r="AS237" s="43" t="e">
        <f>AS232/AS233</f>
        <v>#DIV/0!</v>
      </c>
      <c r="AT237" s="43" t="e">
        <f>AT232/AT233</f>
        <v>#DIV/0!</v>
      </c>
      <c r="AU237" s="43" t="e">
        <f>AU232/AU233</f>
        <v>#DIV/0!</v>
      </c>
      <c r="AV237" s="22" t="n"/>
      <c r="AW237" s="43" t="e">
        <f>AW232/AW233</f>
        <v>#DIV/0!</v>
      </c>
      <c r="AX237" s="43" t="e">
        <f>AX232/AX233</f>
        <v>#DIV/0!</v>
      </c>
      <c r="AY237" s="43" t="e">
        <f>AY232/AY233</f>
        <v>#DIV/0!</v>
      </c>
      <c r="AZ237" s="43" t="e">
        <f>AZ232/AZ233</f>
        <v>#DIV/0!</v>
      </c>
      <c r="BA237" s="22" t="n"/>
      <c r="BB237" s="43" t="e">
        <f>BB232/BB233</f>
        <v>#DIV/0!</v>
      </c>
      <c r="BC237" s="43" t="e">
        <f>BC232/BC233</f>
        <v>#DIV/0!</v>
      </c>
      <c r="BD237" s="43" t="e">
        <f>BD232/BD233</f>
        <v>#DIV/0!</v>
      </c>
      <c r="BE237" s="43" t="e">
        <f>BE232/BE233</f>
        <v>#DIV/0!</v>
      </c>
      <c r="BF237" s="22" t="n"/>
      <c r="BG237" s="43" t="e">
        <f>BG232/BG233</f>
        <v>#DIV/0!</v>
      </c>
      <c r="BH237" s="43" t="e">
        <f>BH232/BH233</f>
        <v>#DIV/0!</v>
      </c>
      <c r="BI237" s="43" t="e">
        <f>BI232/BI233</f>
        <v>#DIV/0!</v>
      </c>
      <c r="BJ237" s="43" t="e">
        <f>BJ232/BJ233</f>
        <v>#DIV/0!</v>
      </c>
      <c r="BK237" s="22" t="n"/>
      <c r="BL237" s="43" t="e">
        <f>BL232/BL233</f>
        <v>#DIV/0!</v>
      </c>
      <c r="BM237" s="43" t="e">
        <f>BM232/BM233</f>
        <v>#DIV/0!</v>
      </c>
      <c r="BN237" s="43" t="e">
        <f>BN232/BN233</f>
        <v>#DIV/0!</v>
      </c>
      <c r="BO237" s="43" t="e">
        <f>BO232/BO233</f>
        <v>#DIV/0!</v>
      </c>
      <c r="BP237" s="22" t="n"/>
      <c r="BQ237" s="43" t="e">
        <f>BQ232/BQ233</f>
        <v>#DIV/0!</v>
      </c>
      <c r="BR237" s="43" t="e">
        <f>BR232/BR233</f>
        <v>#DIV/0!</v>
      </c>
      <c r="BS237" s="43" t="e">
        <f>BS232/BS233</f>
        <v>#DIV/0!</v>
      </c>
      <c r="BT237" s="43" t="e">
        <f>BT232/BT233</f>
        <v>#DIV/0!</v>
      </c>
      <c r="BU237" s="22" t="n"/>
      <c r="BV237" s="43" t="e">
        <f>BV232/BV233</f>
        <v>#DIV/0!</v>
      </c>
      <c r="BW237" s="43" t="e">
        <f>BW232/BW233</f>
        <v>#DIV/0!</v>
      </c>
      <c r="BX237" s="43" t="e">
        <f>BX232/BX233</f>
        <v>#DIV/0!</v>
      </c>
      <c r="BY237" s="43" t="e">
        <f>BY232/BY233</f>
        <v>#DIV/0!</v>
      </c>
      <c r="BZ237" s="22" t="n"/>
      <c r="CA237" s="43" t="e">
        <f>CA232/CA233</f>
        <v>#DIV/0!</v>
      </c>
      <c r="CB237" s="43" t="e">
        <f>CB232/CB233</f>
        <v>#DIV/0!</v>
      </c>
      <c r="CC237" s="43" t="e">
        <f>CC232/CC233</f>
        <v>#DIV/0!</v>
      </c>
      <c r="CD237" s="43" t="e">
        <f>CD232/CD233</f>
        <v>#DIV/0!</v>
      </c>
      <c r="CE237" s="22" t="n"/>
      <c r="CF237" s="43" t="e">
        <f>CF232/CF233</f>
        <v>#DIV/0!</v>
      </c>
      <c r="CG237" s="43" t="e">
        <f>CG232/CG233</f>
        <v>#DIV/0!</v>
      </c>
      <c r="CH237" s="43" t="e">
        <f>CH232/CH233</f>
        <v>#DIV/0!</v>
      </c>
      <c r="CI237" s="43" t="e">
        <f>CI232/CI233</f>
        <v>#DIV/0!</v>
      </c>
      <c r="CJ237" s="22" t="n"/>
      <c r="CK237" s="43" t="e">
        <f>CK232/CK233</f>
        <v>#DIV/0!</v>
      </c>
      <c r="CL237" s="43" t="e">
        <f>CL232/CL233</f>
        <v>#DIV/0!</v>
      </c>
      <c r="CM237" s="43" t="e">
        <f>CM232/CM233</f>
        <v>#DIV/0!</v>
      </c>
      <c r="CN237" s="43" t="e">
        <f>CN232/CN233</f>
        <v>#DIV/0!</v>
      </c>
      <c r="CO237" s="22" t="n"/>
      <c r="CP237" s="43" t="e">
        <f>CP232/CP233</f>
        <v>#DIV/0!</v>
      </c>
      <c r="CQ237" s="43" t="e">
        <f>CQ232/CQ233</f>
        <v>#DIV/0!</v>
      </c>
      <c r="CR237" s="43" t="e">
        <f>CR232/CR233</f>
        <v>#DIV/0!</v>
      </c>
      <c r="CS237" s="43" t="e">
        <f>CS232/CS233</f>
        <v>#DIV/0!</v>
      </c>
      <c r="CT237" s="22" t="n"/>
      <c r="CU237" s="43" t="e">
        <f>CU232/CU233</f>
        <v>#DIV/0!</v>
      </c>
      <c r="CV237" s="43" t="e">
        <f>CV232/CV233</f>
        <v>#DIV/0!</v>
      </c>
      <c r="CW237" s="43" t="e">
        <f>CW232/CW233</f>
        <v>#DIV/0!</v>
      </c>
      <c r="CX237" s="43" t="e">
        <f>CX232/CX233</f>
        <v>#DIV/0!</v>
      </c>
      <c r="CY237" s="22" t="n"/>
    </row>
    <row r="238" hidden="1" outlineLevel="1" customFormat="1" s="39">
      <c r="A238" s="19" t="n"/>
      <c r="B238" s="19" t="n"/>
      <c r="C238" s="41" t="inlineStr">
        <is>
          <t>End of period basic shares outstanding</t>
        </is>
      </c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51" t="n"/>
      <c r="AH238" s="1">
        <f>AG238+AH237-AH236</f>
        <v>0</v>
      </c>
      <c r="AI238" s="1">
        <f>AH238+AI237-AI236</f>
        <v>0</v>
      </c>
      <c r="AJ238" s="43" t="e">
        <f>AI238+AJ237-AJ236</f>
        <v>#DIV/0!</v>
      </c>
      <c r="AK238" s="43" t="e">
        <f>AJ238+AK237-AK236</f>
        <v>#DIV/0!</v>
      </c>
      <c r="AL238" s="22" t="n"/>
      <c r="AM238" s="1" t="e">
        <f>AK238+AM237-AM236</f>
        <v>#DIV/0!</v>
      </c>
      <c r="AN238" s="1" t="e">
        <f>AM238+AN237-AN236</f>
        <v>#DIV/0!</v>
      </c>
      <c r="AO238" s="43" t="e">
        <f>AN238+AO237-AO236</f>
        <v>#DIV/0!</v>
      </c>
      <c r="AP238" s="43" t="e">
        <f>AO238+AP237-AP236</f>
        <v>#DIV/0!</v>
      </c>
      <c r="AQ238" s="22" t="n"/>
      <c r="AR238" s="1" t="e">
        <f>AP238+AR237-AR236</f>
        <v>#DIV/0!</v>
      </c>
      <c r="AS238" s="1" t="e">
        <f>AR238+AS237-AS236</f>
        <v>#DIV/0!</v>
      </c>
      <c r="AT238" s="43" t="e">
        <f>AS238+AT237-AT236</f>
        <v>#DIV/0!</v>
      </c>
      <c r="AU238" s="43" t="e">
        <f>AT238+AU237-AU236</f>
        <v>#DIV/0!</v>
      </c>
      <c r="AV238" s="22" t="n"/>
      <c r="AW238" s="1" t="e">
        <f>AU238+AW237-AW236</f>
        <v>#DIV/0!</v>
      </c>
      <c r="AX238" s="1" t="e">
        <f>AW238+AX237-AX236</f>
        <v>#DIV/0!</v>
      </c>
      <c r="AY238" s="43" t="e">
        <f>AX238+AY237-AY236</f>
        <v>#DIV/0!</v>
      </c>
      <c r="AZ238" s="43" t="e">
        <f>AY238+AZ237-AZ236</f>
        <v>#DIV/0!</v>
      </c>
      <c r="BA238" s="22" t="n"/>
      <c r="BB238" s="1" t="e">
        <f>AZ238+BB237-BB236</f>
        <v>#DIV/0!</v>
      </c>
      <c r="BC238" s="1" t="e">
        <f>BB238+BC237-BC236</f>
        <v>#DIV/0!</v>
      </c>
      <c r="BD238" s="43" t="e">
        <f>BC238+BD237-BD236</f>
        <v>#DIV/0!</v>
      </c>
      <c r="BE238" s="43" t="e">
        <f>BD238+BE237-BE236</f>
        <v>#DIV/0!</v>
      </c>
      <c r="BF238" s="22" t="n"/>
      <c r="BG238" s="1" t="e">
        <f>BE238+BG237-BG236</f>
        <v>#DIV/0!</v>
      </c>
      <c r="BH238" s="1" t="e">
        <f>BG238+BH237-BH236</f>
        <v>#DIV/0!</v>
      </c>
      <c r="BI238" s="43" t="e">
        <f>BH238+BI237-BI236</f>
        <v>#DIV/0!</v>
      </c>
      <c r="BJ238" s="43" t="e">
        <f>BI238+BJ237-BJ236</f>
        <v>#DIV/0!</v>
      </c>
      <c r="BK238" s="22" t="n"/>
      <c r="BL238" s="1" t="e">
        <f>BJ238+BL237-BL236</f>
        <v>#DIV/0!</v>
      </c>
      <c r="BM238" s="1" t="e">
        <f>BL238+BM237-BM236</f>
        <v>#DIV/0!</v>
      </c>
      <c r="BN238" s="43" t="e">
        <f>BM238+BN237-BN236</f>
        <v>#DIV/0!</v>
      </c>
      <c r="BO238" s="43" t="e">
        <f>BN238+BO237-BO236</f>
        <v>#DIV/0!</v>
      </c>
      <c r="BP238" s="22" t="n"/>
      <c r="BQ238" s="1" t="e">
        <f>BO238+BQ237-BQ236</f>
        <v>#DIV/0!</v>
      </c>
      <c r="BR238" s="1" t="e">
        <f>BQ238+BR237-BR236</f>
        <v>#DIV/0!</v>
      </c>
      <c r="BS238" s="43" t="e">
        <f>BR238+BS237-BS236</f>
        <v>#DIV/0!</v>
      </c>
      <c r="BT238" s="43" t="e">
        <f>BS238+BT237-BT236</f>
        <v>#DIV/0!</v>
      </c>
      <c r="BU238" s="22" t="n"/>
      <c r="BV238" s="1" t="e">
        <f>BT238+BV237-BV236</f>
        <v>#DIV/0!</v>
      </c>
      <c r="BW238" s="1" t="e">
        <f>BV238+BW237-BW236</f>
        <v>#DIV/0!</v>
      </c>
      <c r="BX238" s="43" t="e">
        <f>BW238+BX237-BX236</f>
        <v>#DIV/0!</v>
      </c>
      <c r="BY238" s="43" t="e">
        <f>BX238+BY237-BY236</f>
        <v>#DIV/0!</v>
      </c>
      <c r="BZ238" s="22" t="n"/>
      <c r="CA238" s="1" t="e">
        <f>BY238+CA237-CA236</f>
        <v>#DIV/0!</v>
      </c>
      <c r="CB238" s="1" t="e">
        <f>CA238+CB237-CB236</f>
        <v>#DIV/0!</v>
      </c>
      <c r="CC238" s="43" t="e">
        <f>CB238+CC237-CC236</f>
        <v>#DIV/0!</v>
      </c>
      <c r="CD238" s="43" t="e">
        <f>CC238+CD237-CD236</f>
        <v>#DIV/0!</v>
      </c>
      <c r="CE238" s="22" t="n"/>
      <c r="CF238" s="1" t="e">
        <f>CD238+CF237-CF236</f>
        <v>#DIV/0!</v>
      </c>
      <c r="CG238" s="1" t="e">
        <f>CF238+CG237-CG236</f>
        <v>#DIV/0!</v>
      </c>
      <c r="CH238" s="43" t="e">
        <f>CG238+CH237-CH236</f>
        <v>#DIV/0!</v>
      </c>
      <c r="CI238" s="43" t="e">
        <f>CH238+CI237-CI236</f>
        <v>#DIV/0!</v>
      </c>
      <c r="CJ238" s="22" t="n"/>
      <c r="CK238" s="1" t="e">
        <f>CI238+CK237-CK236</f>
        <v>#DIV/0!</v>
      </c>
      <c r="CL238" s="1" t="e">
        <f>CK238+CL237-CL236</f>
        <v>#DIV/0!</v>
      </c>
      <c r="CM238" s="43" t="e">
        <f>CL238+CM237-CM236</f>
        <v>#DIV/0!</v>
      </c>
      <c r="CN238" s="43" t="e">
        <f>CM238+CN237-CN236</f>
        <v>#DIV/0!</v>
      </c>
      <c r="CO238" s="22" t="n"/>
      <c r="CP238" s="1" t="e">
        <f>CN238+CP237-CP236</f>
        <v>#DIV/0!</v>
      </c>
      <c r="CQ238" s="1" t="e">
        <f>CP238+CQ237-CQ236</f>
        <v>#DIV/0!</v>
      </c>
      <c r="CR238" s="43" t="e">
        <f>CQ238+CR237-CR236</f>
        <v>#DIV/0!</v>
      </c>
      <c r="CS238" s="43" t="e">
        <f>CR238+CS237-CS236</f>
        <v>#DIV/0!</v>
      </c>
      <c r="CT238" s="22" t="n"/>
      <c r="CU238" s="1" t="e">
        <f>CS238+CU237-CU236</f>
        <v>#DIV/0!</v>
      </c>
      <c r="CV238" s="1" t="e">
        <f>CU238+CV237-CV236</f>
        <v>#DIV/0!</v>
      </c>
      <c r="CW238" s="43" t="e">
        <f>CV238+CW237-CW236</f>
        <v>#DIV/0!</v>
      </c>
      <c r="CX238" s="43" t="e">
        <f>CW238+CX237-CX236</f>
        <v>#DIV/0!</v>
      </c>
      <c r="CY238" s="22" t="n"/>
      <c r="CZ238" t="e">
        <f>CX238+CZ237-CZ236</f>
        <v>#DIV/0!</v>
      </c>
      <c r="DA238" t="e">
        <f>CZ238+DA237-DA236</f>
        <v>#DIV/0!</v>
      </c>
      <c r="DB238" t="e">
        <f>DA238+DB237-DB236</f>
        <v>#DIV/0!</v>
      </c>
      <c r="DC238" t="e">
        <f>DB238+DC237-DC236</f>
        <v>#DIV/0!</v>
      </c>
    </row>
    <row r="239" hidden="1" outlineLevel="1" customFormat="1" s="39">
      <c r="A239" s="19" t="n"/>
      <c r="B239" s="19" t="n"/>
      <c r="C239" s="41" t="inlineStr">
        <is>
          <t>Weighted average basic shares outstanding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43">
        <f>AVERAGE(AG238,AH238)</f>
        <v>0</v>
      </c>
      <c r="AI239" s="43">
        <f>AVERAGE(AH238,AI238)</f>
        <v>0</v>
      </c>
      <c r="AJ239" s="43" t="e">
        <f>AVERAGE(AI238,AJ238)</f>
        <v>#DIV/0!</v>
      </c>
      <c r="AK239" s="43" t="e">
        <f>AVERAGE(AJ238,AK238)</f>
        <v>#DIV/0!</v>
      </c>
      <c r="AL239" s="22" t="n"/>
      <c r="AM239" s="43" t="e">
        <f>AVERAGE(AK238,AM238)</f>
        <v>#DIV/0!</v>
      </c>
      <c r="AN239" s="43" t="e">
        <f>AVERAGE(AM238,AN238)</f>
        <v>#DIV/0!</v>
      </c>
      <c r="AO239" s="43" t="e">
        <f>AVERAGE(AN238,AO238)</f>
        <v>#DIV/0!</v>
      </c>
      <c r="AP239" s="43" t="e">
        <f>AVERAGE(AO238,AP238)</f>
        <v>#DIV/0!</v>
      </c>
      <c r="AQ239" s="22" t="n"/>
      <c r="AR239" s="43" t="e">
        <f>AVERAGE(AP238,AR238)</f>
        <v>#DIV/0!</v>
      </c>
      <c r="AS239" s="43" t="e">
        <f>AVERAGE(AR238,AS238)</f>
        <v>#DIV/0!</v>
      </c>
      <c r="AT239" s="43" t="e">
        <f>AVERAGE(AS238,AT238)</f>
        <v>#DIV/0!</v>
      </c>
      <c r="AU239" s="43" t="e">
        <f>AVERAGE(AT238,AU238)</f>
        <v>#DIV/0!</v>
      </c>
      <c r="AV239" s="22" t="n"/>
      <c r="AW239" s="43" t="e">
        <f>AVERAGE(AU238,AW238)</f>
        <v>#DIV/0!</v>
      </c>
      <c r="AX239" s="43" t="e">
        <f>AVERAGE(AW238,AX238)</f>
        <v>#DIV/0!</v>
      </c>
      <c r="AY239" s="43" t="e">
        <f>AVERAGE(AX238,AY238)</f>
        <v>#DIV/0!</v>
      </c>
      <c r="AZ239" s="43" t="e">
        <f>AVERAGE(AY238,AZ238)</f>
        <v>#DIV/0!</v>
      </c>
      <c r="BA239" s="22" t="n"/>
      <c r="BB239" s="43" t="e">
        <f>AVERAGE(AZ238,BB238)</f>
        <v>#DIV/0!</v>
      </c>
      <c r="BC239" s="43" t="e">
        <f>AVERAGE(BB238,BC238)</f>
        <v>#DIV/0!</v>
      </c>
      <c r="BD239" s="43" t="e">
        <f>AVERAGE(BC238,BD238)</f>
        <v>#DIV/0!</v>
      </c>
      <c r="BE239" s="43" t="e">
        <f>AVERAGE(BD238,BE238)</f>
        <v>#DIV/0!</v>
      </c>
      <c r="BF239" s="22" t="n"/>
      <c r="BG239" s="43" t="e">
        <f>AVERAGE(BE238,BG238)</f>
        <v>#DIV/0!</v>
      </c>
      <c r="BH239" s="43" t="e">
        <f>AVERAGE(BG238,BH238)</f>
        <v>#DIV/0!</v>
      </c>
      <c r="BI239" s="43" t="e">
        <f>AVERAGE(BH238,BI238)</f>
        <v>#DIV/0!</v>
      </c>
      <c r="BJ239" s="43" t="e">
        <f>AVERAGE(BI238,BJ238)</f>
        <v>#DIV/0!</v>
      </c>
      <c r="BK239" s="22" t="n"/>
      <c r="BL239" s="43" t="e">
        <f>AVERAGE(BJ238,BL238)</f>
        <v>#DIV/0!</v>
      </c>
      <c r="BM239" s="43" t="e">
        <f>AVERAGE(BL238,BM238)</f>
        <v>#DIV/0!</v>
      </c>
      <c r="BN239" s="43" t="e">
        <f>AVERAGE(BM238,BN238)</f>
        <v>#DIV/0!</v>
      </c>
      <c r="BO239" s="43" t="e">
        <f>AVERAGE(BN238,BO238)</f>
        <v>#DIV/0!</v>
      </c>
      <c r="BP239" s="22" t="n"/>
      <c r="BQ239" s="43" t="e">
        <f>AVERAGE(BO238,BQ238)</f>
        <v>#DIV/0!</v>
      </c>
      <c r="BR239" s="43" t="e">
        <f>AVERAGE(BQ238,BR238)</f>
        <v>#DIV/0!</v>
      </c>
      <c r="BS239" s="43" t="e">
        <f>AVERAGE(BR238,BS238)</f>
        <v>#DIV/0!</v>
      </c>
      <c r="BT239" s="43" t="e">
        <f>AVERAGE(BS238,BT238)</f>
        <v>#DIV/0!</v>
      </c>
      <c r="BU239" s="22" t="n"/>
      <c r="BV239" s="43" t="e">
        <f>AVERAGE(BT238,BV238)</f>
        <v>#DIV/0!</v>
      </c>
      <c r="BW239" s="43" t="e">
        <f>AVERAGE(BV238,BW238)</f>
        <v>#DIV/0!</v>
      </c>
      <c r="BX239" s="43" t="e">
        <f>AVERAGE(BW238,BX238)</f>
        <v>#DIV/0!</v>
      </c>
      <c r="BY239" s="43" t="e">
        <f>AVERAGE(BX238,BY238)</f>
        <v>#DIV/0!</v>
      </c>
      <c r="BZ239" s="22" t="n"/>
      <c r="CA239" s="43" t="e">
        <f>AVERAGE(BY238,CA238)</f>
        <v>#DIV/0!</v>
      </c>
      <c r="CB239" s="43" t="e">
        <f>AVERAGE(CA238,CB238)</f>
        <v>#DIV/0!</v>
      </c>
      <c r="CC239" s="43" t="e">
        <f>AVERAGE(CB238,CC238)</f>
        <v>#DIV/0!</v>
      </c>
      <c r="CD239" s="43" t="e">
        <f>AVERAGE(CC238,CD238)</f>
        <v>#DIV/0!</v>
      </c>
      <c r="CE239" s="22" t="n"/>
      <c r="CF239" s="43" t="e">
        <f>AVERAGE(CD238,CF238)</f>
        <v>#DIV/0!</v>
      </c>
      <c r="CG239" s="43" t="e">
        <f>AVERAGE(CF238,CG238)</f>
        <v>#DIV/0!</v>
      </c>
      <c r="CH239" s="43" t="e">
        <f>AVERAGE(CG238,CH238)</f>
        <v>#DIV/0!</v>
      </c>
      <c r="CI239" s="43" t="e">
        <f>AVERAGE(CH238,CI238)</f>
        <v>#DIV/0!</v>
      </c>
      <c r="CJ239" s="22" t="n"/>
      <c r="CK239" s="43" t="e">
        <f>AVERAGE(CI238,CK238)</f>
        <v>#DIV/0!</v>
      </c>
      <c r="CL239" s="43" t="e">
        <f>AVERAGE(CK238,CL238)</f>
        <v>#DIV/0!</v>
      </c>
      <c r="CM239" s="43" t="e">
        <f>AVERAGE(CL238,CM238)</f>
        <v>#DIV/0!</v>
      </c>
      <c r="CN239" s="43" t="e">
        <f>AVERAGE(CM238,CN238)</f>
        <v>#DIV/0!</v>
      </c>
      <c r="CO239" s="22" t="n"/>
      <c r="CP239" s="43" t="e">
        <f>AVERAGE(CN238,CP238)</f>
        <v>#DIV/0!</v>
      </c>
      <c r="CQ239" s="43" t="e">
        <f>AVERAGE(CP238,CQ238)</f>
        <v>#DIV/0!</v>
      </c>
      <c r="CR239" s="43" t="e">
        <f>AVERAGE(CQ238,CR238)</f>
        <v>#DIV/0!</v>
      </c>
      <c r="CS239" s="43" t="e">
        <f>AVERAGE(CR238,CS238)</f>
        <v>#DIV/0!</v>
      </c>
      <c r="CT239" s="22" t="n"/>
      <c r="CU239" s="43" t="e">
        <f>AVERAGE(CS238,CU238)</f>
        <v>#DIV/0!</v>
      </c>
      <c r="CV239" s="43" t="e">
        <f>AVERAGE(CU238,CV238)</f>
        <v>#DIV/0!</v>
      </c>
      <c r="CW239" s="43" t="e">
        <f>AVERAGE(CV238,CW238)</f>
        <v>#DIV/0!</v>
      </c>
      <c r="CX239" s="43" t="e">
        <f>AVERAGE(CW238,CX238)</f>
        <v>#DIV/0!</v>
      </c>
      <c r="CY239" s="22" t="n"/>
      <c r="CZ239" t="e">
        <f>AVERAGE(CX238,CZ238)</f>
        <v>#DIV/0!</v>
      </c>
      <c r="DA239" t="e">
        <f>AVERAGE(CZ238,DA238)</f>
        <v>#DIV/0!</v>
      </c>
      <c r="DB239" t="e">
        <f>AVERAGE(DA238,DB238)</f>
        <v>#DIV/0!</v>
      </c>
      <c r="DC239" t="e">
        <f>AVERAGE(DB238,DC238)</f>
        <v>#DIV/0!</v>
      </c>
    </row>
    <row r="240" hidden="1" outlineLevel="1" customFormat="1" s="39">
      <c r="A240" s="19" t="n"/>
      <c r="B240" s="19" t="n"/>
      <c r="C240" s="41" t="n"/>
      <c r="D240" s="22" t="n"/>
      <c r="E240" s="22" t="n"/>
      <c r="F240" s="22" t="n"/>
      <c r="G240" s="22" t="n"/>
      <c r="H240" s="3" t="n"/>
      <c r="I240" s="22" t="n"/>
      <c r="J240" s="22" t="n"/>
      <c r="K240" s="22" t="n"/>
      <c r="L240" s="22" t="n"/>
      <c r="M240" s="3" t="n"/>
      <c r="N240" s="22" t="n"/>
      <c r="O240" s="22" t="n"/>
      <c r="P240" s="22" t="n"/>
      <c r="Q240" s="22" t="n"/>
      <c r="R240" s="3" t="n"/>
      <c r="S240" s="22" t="n"/>
      <c r="T240" s="22" t="n"/>
      <c r="U240" s="22" t="n"/>
      <c r="V240" s="22" t="n"/>
      <c r="W240" s="3" t="n"/>
      <c r="X240" s="22" t="n"/>
      <c r="Y240" s="22" t="n"/>
      <c r="Z240" s="22" t="n"/>
      <c r="AA240" s="22" t="n"/>
      <c r="AB240" s="3" t="n"/>
      <c r="AC240" s="22" t="n"/>
      <c r="AD240" s="22" t="n"/>
      <c r="AE240" s="22" t="n"/>
      <c r="AF240" s="22" t="n"/>
      <c r="AG240" s="3" t="n"/>
      <c r="AH240" s="22" t="n"/>
      <c r="AI240" s="22" t="n"/>
      <c r="AJ240" s="22" t="n"/>
      <c r="AK240" s="22" t="n"/>
      <c r="AL240" s="3" t="n"/>
      <c r="AM240" s="22" t="n"/>
      <c r="AN240" s="22" t="n"/>
      <c r="AO240" s="22" t="n"/>
      <c r="AP240" s="22" t="n"/>
      <c r="AQ240" s="3" t="n"/>
      <c r="AR240" s="22" t="n"/>
      <c r="AS240" s="22" t="n"/>
      <c r="AT240" s="22" t="n"/>
      <c r="AU240" s="22" t="n"/>
      <c r="AV240" s="3" t="n"/>
      <c r="AW240" s="22" t="n"/>
      <c r="AX240" s="22" t="n"/>
      <c r="AY240" s="22" t="n"/>
      <c r="AZ240" s="22" t="n"/>
      <c r="BA240" s="3" t="n"/>
      <c r="BB240" s="22" t="n"/>
      <c r="BC240" s="22" t="n"/>
      <c r="BD240" s="22" t="n"/>
      <c r="BE240" s="22" t="n"/>
      <c r="BF240" s="3" t="n"/>
      <c r="BG240" s="22" t="n"/>
      <c r="BH240" s="22" t="n"/>
      <c r="BI240" s="22" t="n"/>
      <c r="BJ240" s="22" t="n"/>
      <c r="BK240" s="3" t="n"/>
      <c r="BL240" s="22" t="n"/>
      <c r="BM240" s="22" t="n"/>
      <c r="BN240" s="22" t="n"/>
      <c r="BO240" s="22" t="n"/>
      <c r="BP240" s="3" t="n"/>
      <c r="BQ240" s="22" t="n"/>
      <c r="BR240" s="22" t="n"/>
      <c r="BS240" s="22" t="n"/>
      <c r="BT240" s="22" t="n"/>
      <c r="BU240" s="3" t="n"/>
      <c r="BV240" s="22" t="n"/>
      <c r="BW240" s="22" t="n"/>
      <c r="BX240" s="22" t="n"/>
      <c r="BY240" s="22" t="n"/>
      <c r="BZ240" s="3" t="n"/>
      <c r="CA240" s="22" t="n"/>
      <c r="CB240" s="22" t="n"/>
      <c r="CC240" s="22" t="n"/>
      <c r="CD240" s="22" t="n"/>
      <c r="CE240" s="3" t="n"/>
      <c r="CF240" s="22" t="n"/>
      <c r="CG240" s="22" t="n"/>
      <c r="CH240" s="22" t="n"/>
      <c r="CI240" s="22" t="n"/>
      <c r="CJ240" s="3" t="n"/>
      <c r="CK240" s="22" t="n"/>
      <c r="CL240" s="22" t="n"/>
      <c r="CM240" s="22" t="n"/>
      <c r="CN240" s="22" t="n"/>
      <c r="CO240" s="3" t="n"/>
      <c r="CP240" s="22" t="n"/>
      <c r="CQ240" s="22" t="n"/>
      <c r="CR240" s="22" t="n"/>
      <c r="CS240" s="22" t="n"/>
      <c r="CT240" s="3" t="n"/>
      <c r="CU240" s="22" t="n"/>
      <c r="CV240" s="22" t="n"/>
      <c r="CW240" s="22" t="n"/>
      <c r="CX240" s="22" t="n"/>
      <c r="CY240" s="3" t="n"/>
    </row>
    <row r="241" collapsed="1">
      <c r="C241" s="26" t="inlineStr">
        <is>
          <t>Treasury stock (contra account)</t>
        </is>
      </c>
      <c r="D241" s="25">
        <f>INDEX('Inputs (2)'!$D$44:$AL$44,MATCH(D$7,'Inputs (2)'!$D$2:$AL$2,0))</f>
        <v>-46166</v>
      </c>
      <c r="E241" s="25">
        <f>INDEX('Inputs (2)'!$D$44:$AL$44,MATCH(E$7,'Inputs (2)'!$D$2:$AL$2,0))</f>
        <v>-46143</v>
      </c>
      <c r="F241" s="25">
        <f>INDEX('Inputs (2)'!$D$44:$AL$44,MATCH(F$7,'Inputs (2)'!$D$2:$AL$2,0))</f>
        <v>-46138</v>
      </c>
      <c r="G241" s="25">
        <f>INDEX('Inputs (2)'!$D$44:$AL$44,MATCH(G$7,'Inputs (2)'!$D$2:$AL$2,0))</f>
        <v>-41498</v>
      </c>
      <c r="H241" s="3">
        <f>G241</f>
        <v>-41498</v>
      </c>
      <c r="I241" s="25">
        <f>INDEX('Inputs (2)'!$D$44:$AL$44,MATCH(I$7,'Inputs (2)'!$D$2:$AL$2,0))</f>
        <v>-41269</v>
      </c>
      <c r="J241" s="25">
        <f>INDEX('Inputs (2)'!$D$44:$AL$44,MATCH(J$7,'Inputs (2)'!$D$2:$AL$2,0))</f>
        <v>-40799</v>
      </c>
      <c r="K241" s="25">
        <f>INDEX('Inputs (2)'!$D$44:$AL$44,MATCH(K$7,'Inputs (2)'!$D$2:$AL$2,0))</f>
        <v>-41418</v>
      </c>
      <c r="L241" s="25">
        <f>INDEX('Inputs (2)'!$D$44:$AL$44,MATCH(L$7,'Inputs (2)'!$D$2:$AL$2,0))</f>
        <v>-41464</v>
      </c>
      <c r="M241" s="3">
        <f>L241</f>
        <v>-41464</v>
      </c>
      <c r="N241" s="25">
        <f>INDEX('Inputs (2)'!$D$44:$AL$44,MATCH(N$7,'Inputs (2)'!$D$2:$AL$2,0))</f>
        <v>-39158</v>
      </c>
      <c r="O241" s="25">
        <f>INDEX('Inputs (2)'!$D$44:$AL$44,MATCH(O$7,'Inputs (2)'!$D$2:$AL$2,0))</f>
        <v>-41015</v>
      </c>
      <c r="P241" s="25">
        <f>INDEX('Inputs (2)'!$D$44:$AL$44,MATCH(P$7,'Inputs (2)'!$D$2:$AL$2,0))</f>
        <v>-44720</v>
      </c>
      <c r="Q241" s="25">
        <f>INDEX('Inputs (2)'!$D$44:$AL$44,MATCH(Q$7,'Inputs (2)'!$D$2:$AL$2,0))</f>
        <v>-48196</v>
      </c>
      <c r="R241" s="3">
        <f>Q241</f>
        <v>-48196</v>
      </c>
      <c r="S241" s="25">
        <f>INDEX('Inputs (2)'!$D$44:$AL$44,MATCH(S$7,'Inputs (2)'!$D$2:$AL$2,0))</f>
        <v>-51854</v>
      </c>
      <c r="T241" s="25">
        <f>INDEX('Inputs (2)'!$D$44:$AL$44,MATCH(T$7,'Inputs (2)'!$D$2:$AL$2,0))</f>
        <v>-56240</v>
      </c>
      <c r="U241" s="25">
        <f>INDEX('Inputs (2)'!$D$44:$AL$44,MATCH(U$7,'Inputs (2)'!$D$2:$AL$2,0))</f>
        <v>-55640</v>
      </c>
      <c r="V241" s="25">
        <f>INDEX('Inputs (2)'!$D$44:$AL$44,MATCH(V$7,'Inputs (2)'!$D$2:$AL$2,0))</f>
        <v>-59065</v>
      </c>
      <c r="W241" s="3">
        <f>V241</f>
        <v>-59065</v>
      </c>
      <c r="X241" s="25">
        <f>INDEX('Inputs (2)'!$D$44:$AL$44,MATCH(X$7,'Inputs (2)'!$D$2:$AL$2,0))</f>
        <v>-61959</v>
      </c>
      <c r="Y241" s="25">
        <f>INDEX('Inputs (2)'!$D$44:$AL$44,MATCH(Y$7,'Inputs (2)'!$D$2:$AL$2,0))</f>
        <v>-64890</v>
      </c>
      <c r="Z241" s="25">
        <f>INDEX('Inputs (2)'!$D$44:$AL$44,MATCH(Z$7,'Inputs (2)'!$D$2:$AL$2,0))</f>
        <v>-69646</v>
      </c>
      <c r="AA241" s="25">
        <f>INDEX('Inputs (2)'!$D$44:$AL$44,MATCH(AA$7,'Inputs (2)'!$D$2:$AL$2,0))</f>
        <v>-74037</v>
      </c>
      <c r="AB241" s="3">
        <f>AA241</f>
        <v>-74037</v>
      </c>
      <c r="AC241" s="25">
        <f>INDEX('Inputs (2)'!$D$44:$AL$44,MATCH(AC$7,'Inputs (2)'!$D$2:$AL$2,0))</f>
        <v>-77717</v>
      </c>
      <c r="AD241" s="25">
        <f>INDEX('Inputs (2)'!$D$44:$AL$44,MATCH(AD$7,'Inputs (2)'!$D$2:$AL$2,0))</f>
        <v>-80316</v>
      </c>
      <c r="AE241" s="25">
        <f>INDEX('Inputs (2)'!$D$44:$AL$44,MATCH(AE$7,'Inputs (2)'!$D$2:$AL$2,0))</f>
        <v>-48976</v>
      </c>
      <c r="AF241" s="25">
        <f>INDEX('Inputs (2)'!$D$44:$AL$44,MATCH(AF$7,'Inputs (2)'!$D$2:$AL$2,0))</f>
        <v>-51929</v>
      </c>
      <c r="AG241" s="3">
        <f>AF241</f>
        <v>-51929</v>
      </c>
      <c r="AH241" s="3">
        <f>INDEX('Inputs (2)'!$D$44:$AL$44,MATCH(AH$7,'Inputs (2)'!$D$2:$AL$2,0))</f>
        <v>-53209</v>
      </c>
      <c r="AI241" s="3">
        <f>INDEX('Inputs (2)'!$D$44:$AL$44,MATCH(AI$7,'Inputs (2)'!$D$2:$AL$2,0))</f>
        <v>-56190</v>
      </c>
      <c r="AJ241" s="3">
        <f>AI241+AJ231</f>
        <v>-56190</v>
      </c>
      <c r="AK241" s="3">
        <f>AJ241+AK231</f>
        <v>-56190</v>
      </c>
      <c r="AL241" s="3">
        <f>AK241</f>
        <v>-56190</v>
      </c>
      <c r="AM241" s="3">
        <f>AL241+AM231</f>
        <v>-56190</v>
      </c>
      <c r="AN241" s="3">
        <f>AM241+AN231</f>
        <v>-56190</v>
      </c>
      <c r="AO241" s="3">
        <f>AN241+AO231</f>
        <v>-56190</v>
      </c>
      <c r="AP241" s="3">
        <f>AO241+AP231</f>
        <v>-56190</v>
      </c>
      <c r="AQ241" s="3">
        <f>AP241</f>
        <v>-56190</v>
      </c>
      <c r="AR241" s="3">
        <f>AQ241+AR231</f>
        <v>-56190</v>
      </c>
      <c r="AS241" s="3">
        <f>AR241+AS231</f>
        <v>-56190</v>
      </c>
      <c r="AT241" s="3">
        <f>AS241+AT231</f>
        <v>-56190</v>
      </c>
      <c r="AU241" s="3">
        <f>AT241+AU231</f>
        <v>-56190</v>
      </c>
      <c r="AV241" s="3">
        <f>AU241</f>
        <v>-56190</v>
      </c>
      <c r="AW241" s="3">
        <f>AV241+AW231</f>
        <v>-56190</v>
      </c>
      <c r="AX241" s="3">
        <f>AW241+AX231</f>
        <v>-56190</v>
      </c>
      <c r="AY241" s="3">
        <f>AX241+AY231</f>
        <v>-56190</v>
      </c>
      <c r="AZ241" s="3">
        <f>AY241+AZ231</f>
        <v>-56190</v>
      </c>
      <c r="BA241" s="3">
        <f>AZ241</f>
        <v>-56190</v>
      </c>
      <c r="BB241" s="3">
        <f>BA241+BB231</f>
        <v>-56190</v>
      </c>
      <c r="BC241" s="3">
        <f>BB241+BC231</f>
        <v>-56190</v>
      </c>
      <c r="BD241" s="3">
        <f>BC241+BD231</f>
        <v>-56190</v>
      </c>
      <c r="BE241" s="3">
        <f>BD241+BE231</f>
        <v>-56190</v>
      </c>
      <c r="BF241" s="3">
        <f>BE241</f>
        <v>-56190</v>
      </c>
      <c r="BG241" s="3">
        <f>BF241+BG231</f>
        <v>-56190</v>
      </c>
      <c r="BH241" s="3">
        <f>BG241+BH231</f>
        <v>-56190</v>
      </c>
      <c r="BI241" s="3">
        <f>BH241+BI231</f>
        <v>-56190</v>
      </c>
      <c r="BJ241" s="3">
        <f>BI241+BJ231</f>
        <v>-56190</v>
      </c>
      <c r="BK241" s="3">
        <f>BJ241</f>
        <v>-56190</v>
      </c>
      <c r="BL241" s="3">
        <f>BK241+BL231</f>
        <v>-56190</v>
      </c>
      <c r="BM241" s="3">
        <f>BL241+BM231</f>
        <v>-56190</v>
      </c>
      <c r="BN241" s="3">
        <f>BM241+BN231</f>
        <v>-56190</v>
      </c>
      <c r="BO241" s="3">
        <f>BN241+BO231</f>
        <v>-56190</v>
      </c>
      <c r="BP241" s="3">
        <f>BO241</f>
        <v>-56190</v>
      </c>
      <c r="BQ241" s="3">
        <f>BP241+BQ231</f>
        <v>-56190</v>
      </c>
      <c r="BR241" s="3">
        <f>BQ241+BR231</f>
        <v>-56190</v>
      </c>
      <c r="BS241" s="3">
        <f>BR241+BS231</f>
        <v>-56190</v>
      </c>
      <c r="BT241" s="3">
        <f>BS241+BT231</f>
        <v>-56190</v>
      </c>
      <c r="BU241" s="3">
        <f>BT241</f>
        <v>-56190</v>
      </c>
      <c r="BV241" s="3">
        <f>BU241+BV231</f>
        <v>-56190</v>
      </c>
      <c r="BW241" s="3">
        <f>BV241+BW231</f>
        <v>-56190</v>
      </c>
      <c r="BX241" s="3">
        <f>BW241+BX231</f>
        <v>-56190</v>
      </c>
      <c r="BY241" s="3">
        <f>BX241+BY231</f>
        <v>-56190</v>
      </c>
      <c r="BZ241" s="3">
        <f>BY241</f>
        <v>-56190</v>
      </c>
      <c r="CA241" s="3">
        <f>BZ241+CA231</f>
        <v>-56190</v>
      </c>
      <c r="CB241" s="3">
        <f>CA241+CB231</f>
        <v>-56190</v>
      </c>
      <c r="CC241" s="3">
        <f>CB241+CC231</f>
        <v>-56190</v>
      </c>
      <c r="CD241" s="3">
        <f>CC241+CD231</f>
        <v>-56190</v>
      </c>
      <c r="CE241" s="3">
        <f>CD241</f>
        <v>-56190</v>
      </c>
      <c r="CF241" s="3">
        <f>CE241+CF231</f>
        <v>-56190</v>
      </c>
      <c r="CG241" s="3">
        <f>CF241+CG231</f>
        <v>-56190</v>
      </c>
      <c r="CH241" s="3">
        <f>CG241+CH231</f>
        <v>-56190</v>
      </c>
      <c r="CI241" s="3">
        <f>CH241+CI231</f>
        <v>-56190</v>
      </c>
      <c r="CJ241" s="3">
        <f>CI241</f>
        <v>-56190</v>
      </c>
      <c r="CK241" s="3">
        <f>CJ241+CK231</f>
        <v>-56190</v>
      </c>
      <c r="CL241" s="3">
        <f>CK241+CL231</f>
        <v>-56190</v>
      </c>
      <c r="CM241" s="3">
        <f>CL241+CM231</f>
        <v>-56190</v>
      </c>
      <c r="CN241" s="3">
        <f>CM241+CN231</f>
        <v>-56190</v>
      </c>
      <c r="CO241" s="3">
        <f>CN241</f>
        <v>-56190</v>
      </c>
      <c r="CP241" s="3">
        <f>CO241+CP231</f>
        <v>-56190</v>
      </c>
      <c r="CQ241" s="3">
        <f>CP241+CQ231</f>
        <v>-56190</v>
      </c>
      <c r="CR241" s="3">
        <f>CQ241+CR231</f>
        <v>-56190</v>
      </c>
      <c r="CS241" s="3">
        <f>CR241+CS231</f>
        <v>-56190</v>
      </c>
      <c r="CT241" s="3">
        <f>CS241</f>
        <v>-56190</v>
      </c>
      <c r="CU241" s="3">
        <f>CT241+CU231</f>
        <v>-56190</v>
      </c>
      <c r="CV241" s="3">
        <f>CU241+CV231</f>
        <v>-56190</v>
      </c>
      <c r="CW241" s="3">
        <f>CV241+CW231</f>
        <v>-56190</v>
      </c>
      <c r="CX241" s="3">
        <f>CW241+CX231</f>
        <v>-56190</v>
      </c>
      <c r="CY241" s="3">
        <f>CX241</f>
        <v>-56190</v>
      </c>
    </row>
    <row r="242">
      <c r="C242" s="26" t="inlineStr">
        <is>
          <t>Comprehensive (accumulated) loss</t>
        </is>
      </c>
      <c r="D242" s="25">
        <f>INDEX('Inputs (2)'!$D$45:$AL$45,MATCH(D$7,'Inputs (2)'!$D$2:$AL$2,0))</f>
        <v>-4884</v>
      </c>
      <c r="E242" s="25">
        <f>INDEX('Inputs (2)'!$D$45:$AL$45,MATCH(E$7,'Inputs (2)'!$D$2:$AL$2,0))</f>
        <v>-4750</v>
      </c>
      <c r="F242" s="25">
        <f>INDEX('Inputs (2)'!$D$45:$AL$45,MATCH(F$7,'Inputs (2)'!$D$2:$AL$2,0))</f>
        <v>-4507</v>
      </c>
      <c r="G242" s="25">
        <f>INDEX('Inputs (2)'!$D$45:$AL$45,MATCH(G$7,'Inputs (2)'!$D$2:$AL$2,0))</f>
        <v>-5612</v>
      </c>
      <c r="H242" s="3">
        <f>G242</f>
        <v>-5612</v>
      </c>
      <c r="I242" s="25">
        <f>INDEX('Inputs (2)'!$D$45:$AL$45,MATCH(I$7,'Inputs (2)'!$D$2:$AL$2,0))</f>
        <v>-4586</v>
      </c>
      <c r="J242" s="25">
        <f>INDEX('Inputs (2)'!$D$45:$AL$45,MATCH(J$7,'Inputs (2)'!$D$2:$AL$2,0))</f>
        <v>-4295</v>
      </c>
      <c r="K242" s="25">
        <f>INDEX('Inputs (2)'!$D$45:$AL$45,MATCH(K$7,'Inputs (2)'!$D$2:$AL$2,0))</f>
        <v>-4418</v>
      </c>
      <c r="L242" s="25">
        <f>INDEX('Inputs (2)'!$D$45:$AL$45,MATCH(L$7,'Inputs (2)'!$D$2:$AL$2,0))</f>
        <v>-3889</v>
      </c>
      <c r="M242" s="3">
        <f>L242</f>
        <v>-3889</v>
      </c>
      <c r="N242" s="25">
        <f>INDEX('Inputs (2)'!$D$45:$AL$45,MATCH(N$7,'Inputs (2)'!$D$2:$AL$2,0))</f>
        <v>-3652</v>
      </c>
      <c r="O242" s="25">
        <f>INDEX('Inputs (2)'!$D$45:$AL$45,MATCH(O$7,'Inputs (2)'!$D$2:$AL$2,0))</f>
        <v>-3491</v>
      </c>
      <c r="P242" s="25">
        <f>INDEX('Inputs (2)'!$D$45:$AL$45,MATCH(P$7,'Inputs (2)'!$D$2:$AL$2,0))</f>
        <v>-3173</v>
      </c>
      <c r="Q242" s="25">
        <f>INDEX('Inputs (2)'!$D$45:$AL$45,MATCH(Q$7,'Inputs (2)'!$D$2:$AL$2,0))</f>
        <v>-2798</v>
      </c>
      <c r="R242" s="3">
        <f>Q242</f>
        <v>-2798</v>
      </c>
      <c r="S242" s="25">
        <f>INDEX('Inputs (2)'!$D$45:$AL$45,MATCH(S$7,'Inputs (2)'!$D$2:$AL$2,0))</f>
        <v>-2741</v>
      </c>
      <c r="T242" s="25">
        <f>INDEX('Inputs (2)'!$D$45:$AL$45,MATCH(T$7,'Inputs (2)'!$D$2:$AL$2,0))</f>
        <v>-2711</v>
      </c>
      <c r="U242" s="25">
        <f>INDEX('Inputs (2)'!$D$45:$AL$45,MATCH(U$7,'Inputs (2)'!$D$2:$AL$2,0))</f>
        <v>-2597</v>
      </c>
      <c r="V242" s="25">
        <f>INDEX('Inputs (2)'!$D$45:$AL$45,MATCH(V$7,'Inputs (2)'!$D$2:$AL$2,0))</f>
        <v>-2960</v>
      </c>
      <c r="W242" s="3">
        <f>V242</f>
        <v>-2960</v>
      </c>
      <c r="X242" s="25">
        <f>INDEX('Inputs (2)'!$D$45:$AL$45,MATCH(X$7,'Inputs (2)'!$D$2:$AL$2,0))</f>
        <v>-2965</v>
      </c>
      <c r="Y242" s="25">
        <f>INDEX('Inputs (2)'!$D$45:$AL$45,MATCH(Y$7,'Inputs (2)'!$D$2:$AL$2,0))</f>
        <v>-2924</v>
      </c>
      <c r="Z242" s="25">
        <f>INDEX('Inputs (2)'!$D$45:$AL$45,MATCH(Z$7,'Inputs (2)'!$D$2:$AL$2,0))</f>
        <v>-2825</v>
      </c>
      <c r="AA242" s="25">
        <f>INDEX('Inputs (2)'!$D$45:$AL$45,MATCH(AA$7,'Inputs (2)'!$D$2:$AL$2,0))</f>
        <v>-2760</v>
      </c>
      <c r="AB242" s="3">
        <f>AA242</f>
        <v>-2760</v>
      </c>
      <c r="AC242" s="25">
        <f>INDEX('Inputs (2)'!$D$45:$AL$45,MATCH(AC$7,'Inputs (2)'!$D$2:$AL$2,0))</f>
        <v>-2709</v>
      </c>
      <c r="AD242" s="25">
        <f>INDEX('Inputs (2)'!$D$45:$AL$45,MATCH(AD$7,'Inputs (2)'!$D$2:$AL$2,0))</f>
        <v>-2567</v>
      </c>
      <c r="AE242" s="25">
        <f>INDEX('Inputs (2)'!$D$45:$AL$45,MATCH(AE$7,'Inputs (2)'!$D$2:$AL$2,0))</f>
        <v>-2591</v>
      </c>
      <c r="AF242" s="25">
        <f>INDEX('Inputs (2)'!$D$45:$AL$45,MATCH(AF$7,'Inputs (2)'!$D$2:$AL$2,0))</f>
        <v>-2464</v>
      </c>
      <c r="AG242" s="3">
        <f>AF242</f>
        <v>-2464</v>
      </c>
      <c r="AH242" s="3">
        <f>INDEX('Inputs (2)'!$D$45:$AL$45,MATCH(AH$7,'Inputs (2)'!$D$2:$AL$2,0))</f>
        <v>-2593</v>
      </c>
      <c r="AI242" s="3">
        <f>INDEX('Inputs (2)'!$D$45:$AL$45,MATCH(AI$7,'Inputs (2)'!$D$2:$AL$2,0))</f>
        <v>-2113</v>
      </c>
      <c r="AJ242" s="3">
        <f>AI242</f>
        <v>-2113</v>
      </c>
      <c r="AK242" s="3">
        <f>AJ242</f>
        <v>-2113</v>
      </c>
      <c r="AL242" s="3">
        <f>AK242</f>
        <v>-2113</v>
      </c>
      <c r="AM242" s="3">
        <f>AL242</f>
        <v>-2113</v>
      </c>
      <c r="AN242" s="3">
        <f>AM242</f>
        <v>-2113</v>
      </c>
      <c r="AO242" s="3">
        <f>AN242</f>
        <v>-2113</v>
      </c>
      <c r="AP242" s="3">
        <f>AO242</f>
        <v>-2113</v>
      </c>
      <c r="AQ242" s="3">
        <f>AP242</f>
        <v>-2113</v>
      </c>
      <c r="AR242" s="3">
        <f>AQ242</f>
        <v>-2113</v>
      </c>
      <c r="AS242" s="3">
        <f>AR242</f>
        <v>-2113</v>
      </c>
      <c r="AT242" s="3">
        <f>AS242</f>
        <v>-2113</v>
      </c>
      <c r="AU242" s="3">
        <f>AT242</f>
        <v>-2113</v>
      </c>
      <c r="AV242" s="3">
        <f>AU242</f>
        <v>-2113</v>
      </c>
      <c r="AW242" s="3">
        <f>AV242</f>
        <v>-2113</v>
      </c>
      <c r="AX242" s="3">
        <f>AW242</f>
        <v>-2113</v>
      </c>
      <c r="AY242" s="3">
        <f>AX242</f>
        <v>-2113</v>
      </c>
      <c r="AZ242" s="3">
        <f>AY242</f>
        <v>-2113</v>
      </c>
      <c r="BA242" s="3">
        <f>AZ242</f>
        <v>-2113</v>
      </c>
      <c r="BB242" s="3">
        <f>BA242</f>
        <v>-2113</v>
      </c>
      <c r="BC242" s="3">
        <f>BB242</f>
        <v>-2113</v>
      </c>
      <c r="BD242" s="3">
        <f>BC242</f>
        <v>-2113</v>
      </c>
      <c r="BE242" s="3">
        <f>BD242</f>
        <v>-2113</v>
      </c>
      <c r="BF242" s="3">
        <f>BE242</f>
        <v>-2113</v>
      </c>
      <c r="BG242" s="3">
        <f>BF242</f>
        <v>-2113</v>
      </c>
      <c r="BH242" s="3">
        <f>BG242</f>
        <v>-2113</v>
      </c>
      <c r="BI242" s="3">
        <f>BH242</f>
        <v>-2113</v>
      </c>
      <c r="BJ242" s="3">
        <f>BI242</f>
        <v>-2113</v>
      </c>
      <c r="BK242" s="3">
        <f>BJ242</f>
        <v>-2113</v>
      </c>
      <c r="BL242" s="3">
        <f>BK242</f>
        <v>-2113</v>
      </c>
      <c r="BM242" s="3">
        <f>BL242</f>
        <v>-2113</v>
      </c>
      <c r="BN242" s="3">
        <f>BM242</f>
        <v>-2113</v>
      </c>
      <c r="BO242" s="3">
        <f>BN242</f>
        <v>-2113</v>
      </c>
      <c r="BP242" s="3">
        <f>BO242</f>
        <v>-2113</v>
      </c>
      <c r="BQ242" s="3">
        <f>BP242</f>
        <v>-2113</v>
      </c>
      <c r="BR242" s="3">
        <f>BQ242</f>
        <v>-2113</v>
      </c>
      <c r="BS242" s="3">
        <f>BR242</f>
        <v>-2113</v>
      </c>
      <c r="BT242" s="3">
        <f>BS242</f>
        <v>-2113</v>
      </c>
      <c r="BU242" s="3">
        <f>BT242</f>
        <v>-2113</v>
      </c>
      <c r="BV242" s="3">
        <f>BU242</f>
        <v>-2113</v>
      </c>
      <c r="BW242" s="3">
        <f>BV242</f>
        <v>-2113</v>
      </c>
      <c r="BX242" s="3">
        <f>BW242</f>
        <v>-2113</v>
      </c>
      <c r="BY242" s="3">
        <f>BX242</f>
        <v>-2113</v>
      </c>
      <c r="BZ242" s="3">
        <f>BY242</f>
        <v>-2113</v>
      </c>
      <c r="CA242" s="3">
        <f>BZ242</f>
        <v>-2113</v>
      </c>
      <c r="CB242" s="3">
        <f>CA242</f>
        <v>-2113</v>
      </c>
      <c r="CC242" s="3">
        <f>CB242</f>
        <v>-2113</v>
      </c>
      <c r="CD242" s="3">
        <f>CC242</f>
        <v>-2113</v>
      </c>
      <c r="CE242" s="3">
        <f>CD242</f>
        <v>-2113</v>
      </c>
      <c r="CF242" s="3">
        <f>CE242</f>
        <v>-2113</v>
      </c>
      <c r="CG242" s="3">
        <f>CF242</f>
        <v>-2113</v>
      </c>
      <c r="CH242" s="3">
        <f>CG242</f>
        <v>-2113</v>
      </c>
      <c r="CI242" s="3">
        <f>CH242</f>
        <v>-2113</v>
      </c>
      <c r="CJ242" s="3">
        <f>CI242</f>
        <v>-2113</v>
      </c>
      <c r="CK242" s="3">
        <f>CJ242</f>
        <v>-2113</v>
      </c>
      <c r="CL242" s="3">
        <f>CK242</f>
        <v>-2113</v>
      </c>
      <c r="CM242" s="3">
        <f>CL242</f>
        <v>-2113</v>
      </c>
      <c r="CN242" s="3">
        <f>CM242</f>
        <v>-2113</v>
      </c>
      <c r="CO242" s="3">
        <f>CN242</f>
        <v>-2113</v>
      </c>
      <c r="CP242" s="3">
        <f>CO242</f>
        <v>-2113</v>
      </c>
      <c r="CQ242" s="3">
        <f>CP242</f>
        <v>-2113</v>
      </c>
      <c r="CR242" s="3">
        <f>CQ242</f>
        <v>-2113</v>
      </c>
      <c r="CS242" s="3">
        <f>CR242</f>
        <v>-2113</v>
      </c>
      <c r="CT242" s="3">
        <f>CS242</f>
        <v>-2113</v>
      </c>
      <c r="CU242" s="3">
        <f>CT242</f>
        <v>-2113</v>
      </c>
      <c r="CV242" s="3">
        <f>CU242</f>
        <v>-2113</v>
      </c>
      <c r="CW242" s="3">
        <f>CV242</f>
        <v>-2113</v>
      </c>
      <c r="CX242" s="3">
        <f>CW242</f>
        <v>-2113</v>
      </c>
      <c r="CY242" s="3">
        <f>CX242</f>
        <v>-2113</v>
      </c>
    </row>
    <row r="243">
      <c r="C243" s="26" t="inlineStr">
        <is>
          <t>Other equity account</t>
        </is>
      </c>
      <c r="D243" s="25">
        <f>INDEX('Inputs (2)'!$D$46:$AL$46,MATCH(D$7,'Inputs (2)'!$D$2:$AL$2,0))</f>
        <v>-240</v>
      </c>
      <c r="E243" s="25">
        <f>INDEX('Inputs (2)'!$D$46:$AL$46,MATCH(E$7,'Inputs (2)'!$D$2:$AL$2,0))</f>
        <v>-240</v>
      </c>
      <c r="F243" s="25">
        <f>INDEX('Inputs (2)'!$D$46:$AL$46,MATCH(F$7,'Inputs (2)'!$D$2:$AL$2,0))</f>
        <v>-240</v>
      </c>
      <c r="G243" s="25">
        <f>INDEX('Inputs (2)'!$D$46:$AL$46,MATCH(G$7,'Inputs (2)'!$D$2:$AL$2,0))</f>
        <v>-360</v>
      </c>
      <c r="H243" s="3">
        <f>G243</f>
        <v>-360</v>
      </c>
      <c r="I243" s="25">
        <f>INDEX('Inputs (2)'!$D$46:$AL$46,MATCH(I$7,'Inputs (2)'!$D$2:$AL$2,0))</f>
        <v>-363</v>
      </c>
      <c r="J243" s="25">
        <f>INDEX('Inputs (2)'!$D$46:$AL$46,MATCH(J$7,'Inputs (2)'!$D$2:$AL$2,0))</f>
        <v>-367</v>
      </c>
      <c r="K243" s="25">
        <f>INDEX('Inputs (2)'!$D$46:$AL$46,MATCH(K$7,'Inputs (2)'!$D$2:$AL$2,0))</f>
        <v>-371</v>
      </c>
      <c r="L243" s="25">
        <f>INDEX('Inputs (2)'!$D$46:$AL$46,MATCH(L$7,'Inputs (2)'!$D$2:$AL$2,0))</f>
        <v>-375</v>
      </c>
      <c r="M243" s="3">
        <f>L243</f>
        <v>-375</v>
      </c>
      <c r="N243" s="25">
        <f>INDEX('Inputs (2)'!$D$46:$AL$46,MATCH(N$7,'Inputs (2)'!$D$2:$AL$2,0))</f>
        <v>-375</v>
      </c>
      <c r="O243" s="25">
        <f>INDEX('Inputs (2)'!$D$46:$AL$46,MATCH(O$7,'Inputs (2)'!$D$2:$AL$2,0))</f>
        <v>-379</v>
      </c>
      <c r="P243" s="25">
        <f>INDEX('Inputs (2)'!$D$46:$AL$46,MATCH(P$7,'Inputs (2)'!$D$2:$AL$2,0))</f>
        <v>-382</v>
      </c>
      <c r="Q243" s="25">
        <f>INDEX('Inputs (2)'!$D$46:$AL$46,MATCH(Q$7,'Inputs (2)'!$D$2:$AL$2,0))</f>
        <v>-382</v>
      </c>
      <c r="R243" s="3">
        <f>Q243</f>
        <v>-382</v>
      </c>
      <c r="S243" s="25">
        <f>INDEX('Inputs (2)'!$D$46:$AL$46,MATCH(S$7,'Inputs (2)'!$D$2:$AL$2,0))</f>
        <v>-385</v>
      </c>
      <c r="T243" s="25">
        <f>INDEX('Inputs (2)'!$D$46:$AL$46,MATCH(T$7,'Inputs (2)'!$D$2:$AL$2,0))</f>
        <v>-387</v>
      </c>
      <c r="U243" s="25">
        <f>INDEX('Inputs (2)'!$D$46:$AL$46,MATCH(U$7,'Inputs (2)'!$D$2:$AL$2,0))</f>
        <v>-390</v>
      </c>
      <c r="V243" s="25">
        <f>INDEX('Inputs (2)'!$D$46:$AL$46,MATCH(V$7,'Inputs (2)'!$D$2:$AL$2,0))</f>
        <v>-406</v>
      </c>
      <c r="W243" s="3">
        <f>V243</f>
        <v>-406</v>
      </c>
      <c r="X243" s="25">
        <f>INDEX('Inputs (2)'!$D$46:$AL$46,MATCH(X$7,'Inputs (2)'!$D$2:$AL$2,0))</f>
        <v>-412</v>
      </c>
      <c r="Y243" s="25">
        <f>INDEX('Inputs (2)'!$D$46:$AL$46,MATCH(Y$7,'Inputs (2)'!$D$2:$AL$2,0))</f>
        <v>-417</v>
      </c>
      <c r="Z243" s="25">
        <f>INDEX('Inputs (2)'!$D$46:$AL$46,MATCH(Z$7,'Inputs (2)'!$D$2:$AL$2,0))</f>
        <v>-240</v>
      </c>
      <c r="AA243" s="25">
        <f>INDEX('Inputs (2)'!$D$46:$AL$46,MATCH(AA$7,'Inputs (2)'!$D$2:$AL$2,0))</f>
        <v>-240</v>
      </c>
      <c r="AB243" s="3">
        <f>AA243</f>
        <v>-240</v>
      </c>
      <c r="AC243" s="25">
        <f>INDEX('Inputs (2)'!$D$46:$AL$46,MATCH(AC$7,'Inputs (2)'!$D$2:$AL$2,0))</f>
        <v>-240</v>
      </c>
      <c r="AD243" s="25">
        <f>INDEX('Inputs (2)'!$D$46:$AL$46,MATCH(AD$7,'Inputs (2)'!$D$2:$AL$2,0))</f>
        <v>-240</v>
      </c>
      <c r="AE243" s="25">
        <f>INDEX('Inputs (2)'!$D$46:$AL$46,MATCH(AE$7,'Inputs (2)'!$D$2:$AL$2,0))</f>
        <v>-240</v>
      </c>
      <c r="AF243" s="25">
        <f>INDEX('Inputs (2)'!$D$46:$AL$46,MATCH(AF$7,'Inputs (2)'!$D$2:$AL$2,0))</f>
        <v>-240</v>
      </c>
      <c r="AG243" s="3">
        <f>AF243</f>
        <v>-240</v>
      </c>
      <c r="AH243" s="3">
        <f>INDEX('Inputs (2)'!$D$46:$AL$46,MATCH(AH$7,'Inputs (2)'!$D$2:$AL$2,0))</f>
        <v>-240</v>
      </c>
      <c r="AI243" s="3">
        <f>INDEX('Inputs (2)'!$D$46:$AL$46,MATCH(AI$7,'Inputs (2)'!$D$2:$AL$2,0))</f>
        <v>-240</v>
      </c>
      <c r="AJ243" s="3">
        <f>AI243</f>
        <v>-240</v>
      </c>
      <c r="AK243" s="3">
        <f>AJ243</f>
        <v>-240</v>
      </c>
      <c r="AL243" s="3">
        <f>AK243</f>
        <v>-240</v>
      </c>
      <c r="AM243" s="3">
        <f>AL243</f>
        <v>-240</v>
      </c>
      <c r="AN243" s="3">
        <f>AM243</f>
        <v>-240</v>
      </c>
      <c r="AO243" s="3">
        <f>AN243</f>
        <v>-240</v>
      </c>
      <c r="AP243" s="3">
        <f>AO243</f>
        <v>-240</v>
      </c>
      <c r="AQ243" s="3">
        <f>AP243</f>
        <v>-240</v>
      </c>
      <c r="AR243" s="3">
        <f>AQ243</f>
        <v>-240</v>
      </c>
      <c r="AS243" s="3">
        <f>AR243</f>
        <v>-240</v>
      </c>
      <c r="AT243" s="3">
        <f>AS243</f>
        <v>-240</v>
      </c>
      <c r="AU243" s="3">
        <f>AT243</f>
        <v>-240</v>
      </c>
      <c r="AV243" s="3">
        <f>AU243</f>
        <v>-240</v>
      </c>
      <c r="AW243" s="3">
        <f>AV243</f>
        <v>-240</v>
      </c>
      <c r="AX243" s="3">
        <f>AW243</f>
        <v>-240</v>
      </c>
      <c r="AY243" s="3">
        <f>AX243</f>
        <v>-240</v>
      </c>
      <c r="AZ243" s="3">
        <f>AY243</f>
        <v>-240</v>
      </c>
      <c r="BA243" s="3">
        <f>AZ243</f>
        <v>-240</v>
      </c>
      <c r="BB243" s="3">
        <f>BA243</f>
        <v>-240</v>
      </c>
      <c r="BC243" s="3">
        <f>BB243</f>
        <v>-240</v>
      </c>
      <c r="BD243" s="3">
        <f>BC243</f>
        <v>-240</v>
      </c>
      <c r="BE243" s="3">
        <f>BD243</f>
        <v>-240</v>
      </c>
      <c r="BF243" s="3">
        <f>BE243</f>
        <v>-240</v>
      </c>
      <c r="BG243" s="3">
        <f>BF243</f>
        <v>-240</v>
      </c>
      <c r="BH243" s="3">
        <f>BG243</f>
        <v>-240</v>
      </c>
      <c r="BI243" s="3">
        <f>BH243</f>
        <v>-240</v>
      </c>
      <c r="BJ243" s="3">
        <f>BI243</f>
        <v>-240</v>
      </c>
      <c r="BK243" s="3">
        <f>BJ243</f>
        <v>-240</v>
      </c>
      <c r="BL243" s="3">
        <f>BK243</f>
        <v>-240</v>
      </c>
      <c r="BM243" s="3">
        <f>BL243</f>
        <v>-240</v>
      </c>
      <c r="BN243" s="3">
        <f>BM243</f>
        <v>-240</v>
      </c>
      <c r="BO243" s="3">
        <f>BN243</f>
        <v>-240</v>
      </c>
      <c r="BP243" s="3">
        <f>BO243</f>
        <v>-240</v>
      </c>
      <c r="BQ243" s="3">
        <f>BP243</f>
        <v>-240</v>
      </c>
      <c r="BR243" s="3">
        <f>BQ243</f>
        <v>-240</v>
      </c>
      <c r="BS243" s="3">
        <f>BR243</f>
        <v>-240</v>
      </c>
      <c r="BT243" s="3">
        <f>BS243</f>
        <v>-240</v>
      </c>
      <c r="BU243" s="3">
        <f>BT243</f>
        <v>-240</v>
      </c>
      <c r="BV243" s="3">
        <f>BU243</f>
        <v>-240</v>
      </c>
      <c r="BW243" s="3">
        <f>BV243</f>
        <v>-240</v>
      </c>
      <c r="BX243" s="3">
        <f>BW243</f>
        <v>-240</v>
      </c>
      <c r="BY243" s="3">
        <f>BX243</f>
        <v>-240</v>
      </c>
      <c r="BZ243" s="3">
        <f>BY243</f>
        <v>-240</v>
      </c>
      <c r="CA243" s="3">
        <f>BZ243</f>
        <v>-240</v>
      </c>
      <c r="CB243" s="3">
        <f>CA243</f>
        <v>-240</v>
      </c>
      <c r="CC243" s="3">
        <f>CB243</f>
        <v>-240</v>
      </c>
      <c r="CD243" s="3">
        <f>CC243</f>
        <v>-240</v>
      </c>
      <c r="CE243" s="3">
        <f>CD243</f>
        <v>-240</v>
      </c>
      <c r="CF243" s="3">
        <f>CE243</f>
        <v>-240</v>
      </c>
      <c r="CG243" s="3">
        <f>CF243</f>
        <v>-240</v>
      </c>
      <c r="CH243" s="3">
        <f>CG243</f>
        <v>-240</v>
      </c>
      <c r="CI243" s="3">
        <f>CH243</f>
        <v>-240</v>
      </c>
      <c r="CJ243" s="3">
        <f>CI243</f>
        <v>-240</v>
      </c>
      <c r="CK243" s="3">
        <f>CJ243</f>
        <v>-240</v>
      </c>
      <c r="CL243" s="3">
        <f>CK243</f>
        <v>-240</v>
      </c>
      <c r="CM243" s="3">
        <f>CL243</f>
        <v>-240</v>
      </c>
      <c r="CN243" s="3">
        <f>CM243</f>
        <v>-240</v>
      </c>
      <c r="CO243" s="3">
        <f>CN243</f>
        <v>-240</v>
      </c>
      <c r="CP243" s="3">
        <f>CO243</f>
        <v>-240</v>
      </c>
      <c r="CQ243" s="3">
        <f>CP243</f>
        <v>-240</v>
      </c>
      <c r="CR243" s="3">
        <f>CQ243</f>
        <v>-240</v>
      </c>
      <c r="CS243" s="3">
        <f>CR243</f>
        <v>-240</v>
      </c>
      <c r="CT243" s="3">
        <f>CS243</f>
        <v>-240</v>
      </c>
      <c r="CU243" s="3">
        <f>CT243</f>
        <v>-240</v>
      </c>
      <c r="CV243" s="3">
        <f>CU243</f>
        <v>-240</v>
      </c>
      <c r="CW243" s="3">
        <f>CV243</f>
        <v>-240</v>
      </c>
      <c r="CX243" s="3">
        <f>CW243</f>
        <v>-240</v>
      </c>
      <c r="CY243" s="3">
        <f>CX243</f>
        <v>-240</v>
      </c>
    </row>
    <row r="244">
      <c r="C244" s="28" t="inlineStr">
        <is>
          <t>Retained earnings</t>
        </is>
      </c>
      <c r="D244" s="25">
        <f>INDEX('Inputs (2)'!$D$47:$AL$47,MATCH(D$7,'Inputs (2)'!$D$2:$AL$2,0))</f>
        <v>176113</v>
      </c>
      <c r="E244" s="25">
        <f>INDEX('Inputs (2)'!$D$47:$AL$47,MATCH(E$7,'Inputs (2)'!$D$2:$AL$2,0))</f>
        <v>166122</v>
      </c>
      <c r="F244" s="25">
        <f>INDEX('Inputs (2)'!$D$47:$AL$47,MATCH(F$7,'Inputs (2)'!$D$2:$AL$2,0))</f>
        <v>163509</v>
      </c>
      <c r="G244" s="25">
        <f>INDEX('Inputs (2)'!$D$47:$AL$47,MATCH(G$7,'Inputs (2)'!$D$2:$AL$2,0))</f>
        <v>160377</v>
      </c>
      <c r="H244" s="3">
        <f>G244</f>
        <v>160377</v>
      </c>
      <c r="I244" s="25">
        <f>INDEX('Inputs (2)'!$D$47:$AL$47,MATCH(I$7,'Inputs (2)'!$D$2:$AL$2,0))</f>
        <v>159285</v>
      </c>
      <c r="J244" s="25">
        <f>INDEX('Inputs (2)'!$D$47:$AL$47,MATCH(J$7,'Inputs (2)'!$D$2:$AL$2,0))</f>
        <v>159640</v>
      </c>
      <c r="K244" s="25">
        <f>INDEX('Inputs (2)'!$D$47:$AL$47,MATCH(K$7,'Inputs (2)'!$D$2:$AL$2,0))</f>
        <v>163044</v>
      </c>
      <c r="L244" s="25">
        <f>INDEX('Inputs (2)'!$D$47:$AL$47,MATCH(L$7,'Inputs (2)'!$D$2:$AL$2,0))</f>
        <v>165546</v>
      </c>
      <c r="M244" s="3">
        <f>L244</f>
        <v>165546</v>
      </c>
      <c r="N244" s="25">
        <f>INDEX('Inputs (2)'!$D$47:$AL$47,MATCH(N$7,'Inputs (2)'!$D$2:$AL$2,0))</f>
        <v>169059</v>
      </c>
      <c r="O244" s="25">
        <f>INDEX('Inputs (2)'!$D$47:$AL$47,MATCH(O$7,'Inputs (2)'!$D$2:$AL$2,0))</f>
        <v>177909</v>
      </c>
      <c r="P244" s="25">
        <f>INDEX('Inputs (2)'!$D$47:$AL$47,MATCH(P$7,'Inputs (2)'!$D$2:$AL$2,0))</f>
        <v>186394</v>
      </c>
      <c r="Q244" s="25">
        <f>INDEX('Inputs (2)'!$D$47:$AL$47,MATCH(Q$7,'Inputs (2)'!$D$2:$AL$2,0))</f>
        <v>190024</v>
      </c>
      <c r="R244" s="3">
        <f>Q244</f>
        <v>190024</v>
      </c>
      <c r="S244" s="25">
        <f>INDEX('Inputs (2)'!$D$47:$AL$47,MATCH(S$7,'Inputs (2)'!$D$2:$AL$2,0))</f>
        <v>193738</v>
      </c>
      <c r="T244" s="25">
        <f>INDEX('Inputs (2)'!$D$47:$AL$47,MATCH(T$7,'Inputs (2)'!$D$2:$AL$2,0))</f>
        <v>196926</v>
      </c>
      <c r="U244" s="25">
        <f>INDEX('Inputs (2)'!$D$47:$AL$47,MATCH(U$7,'Inputs (2)'!$D$2:$AL$2,0))</f>
        <v>200593</v>
      </c>
      <c r="V244" s="25">
        <f>INDEX('Inputs (2)'!$D$47:$AL$47,MATCH(V$7,'Inputs (2)'!$D$2:$AL$2,0))</f>
        <v>200025</v>
      </c>
      <c r="W244" s="3">
        <f>V244</f>
        <v>200025</v>
      </c>
      <c r="X244" s="25">
        <f>INDEX('Inputs (2)'!$D$47:$AL$47,MATCH(X$7,'Inputs (2)'!$D$2:$AL$2,0))</f>
        <v>202514</v>
      </c>
      <c r="Y244" s="25">
        <f>INDEX('Inputs (2)'!$D$47:$AL$47,MATCH(Y$7,'Inputs (2)'!$D$2:$AL$2,0))</f>
        <v>203960</v>
      </c>
      <c r="Z244" s="25">
        <f>INDEX('Inputs (2)'!$D$47:$AL$47,MATCH(Z$7,'Inputs (2)'!$D$2:$AL$2,0))</f>
        <v>205503</v>
      </c>
      <c r="AA244" s="25">
        <f>INDEX('Inputs (2)'!$D$47:$AL$47,MATCH(AA$7,'Inputs (2)'!$D$2:$AL$2,0))</f>
        <v>205852</v>
      </c>
      <c r="AB244" s="3">
        <f>AA244</f>
        <v>205852</v>
      </c>
      <c r="AC244" s="25">
        <f>INDEX('Inputs (2)'!$D$47:$AL$47,MATCH(AC$7,'Inputs (2)'!$D$2:$AL$2,0))</f>
        <v>206359</v>
      </c>
      <c r="AD244" s="25">
        <f>INDEX('Inputs (2)'!$D$47:$AL$47,MATCH(AD$7,'Inputs (2)'!$D$2:$AL$2,0))</f>
        <v>205905</v>
      </c>
      <c r="AE244" s="25">
        <f>INDEX('Inputs (2)'!$D$47:$AL$47,MATCH(AE$7,'Inputs (2)'!$D$2:$AL$2,0))</f>
        <v>206006</v>
      </c>
      <c r="AF244" s="25">
        <f>INDEX('Inputs (2)'!$D$47:$AL$47,MATCH(AF$7,'Inputs (2)'!$D$2:$AL$2,0))</f>
        <v>205365</v>
      </c>
      <c r="AG244" s="3">
        <f>AF244</f>
        <v>205365</v>
      </c>
      <c r="AH244" s="3">
        <f>INDEX('Inputs (2)'!$D$47:$AL$47,MATCH(AH$7,'Inputs (2)'!$D$2:$AL$2,0))</f>
        <v>204039</v>
      </c>
      <c r="AI244" s="3">
        <f>INDEX('Inputs (2)'!$D$47:$AL$47,MATCH(AI$7,'Inputs (2)'!$D$2:$AL$2,0))</f>
        <v>212595</v>
      </c>
      <c r="AJ244" s="3">
        <f>AI244+AJ111+AJ112</f>
        <v>212521</v>
      </c>
      <c r="AK244" s="3">
        <f>AJ244+AK111+AK112</f>
        <v>212446</v>
      </c>
      <c r="AL244" s="3">
        <f>AK244</f>
        <v>212446</v>
      </c>
      <c r="AM244" s="3">
        <f>AL244+AM111+AM112</f>
        <v>212363</v>
      </c>
      <c r="AN244" s="3">
        <f>AM244+AN111+AN112</f>
        <v>212221</v>
      </c>
      <c r="AO244" s="3">
        <f>AN244+AO111+AO112</f>
        <v>212147</v>
      </c>
      <c r="AP244" s="3">
        <f>AO244+AP111+AP112</f>
        <v>212072</v>
      </c>
      <c r="AQ244" s="3">
        <f>AP244</f>
        <v>212072</v>
      </c>
      <c r="AR244" s="3">
        <f>AQ244+AR111+AR112</f>
        <v>211989</v>
      </c>
      <c r="AS244" s="3">
        <f>AR244+AS111+AS112</f>
        <v>211847</v>
      </c>
      <c r="AT244" s="3">
        <f>AS244+AT111+AT112</f>
        <v>211773</v>
      </c>
      <c r="AU244" s="3">
        <f>AT244+AU111+AU112</f>
        <v>211698</v>
      </c>
      <c r="AV244" s="3">
        <f>AU244</f>
        <v>211698</v>
      </c>
      <c r="AW244" s="3">
        <f>AV244+AW111+AW112</f>
        <v>211615</v>
      </c>
      <c r="AX244" s="3">
        <f>AW244+AX111+AX112</f>
        <v>211473</v>
      </c>
      <c r="AY244" s="3">
        <f>AX244+AY111+AY112</f>
        <v>211399</v>
      </c>
      <c r="AZ244" s="3">
        <f>AY244+AZ111+AZ112</f>
        <v>211324</v>
      </c>
      <c r="BA244" s="3">
        <f>AZ244</f>
        <v>211324</v>
      </c>
      <c r="BB244" s="3">
        <f>BA244+BB111+BB112</f>
        <v>211241</v>
      </c>
      <c r="BC244" s="3">
        <f>BB244+BC111+BC112</f>
        <v>211099</v>
      </c>
      <c r="BD244" s="3">
        <f>BC244+BD111+BD112</f>
        <v>211025</v>
      </c>
      <c r="BE244" s="3">
        <f>BD244+BE111+BE112</f>
        <v>210950</v>
      </c>
      <c r="BF244" s="3">
        <f>BE244</f>
        <v>210950</v>
      </c>
      <c r="BG244" s="3">
        <f>BF244+BG111+BG112</f>
        <v>210867</v>
      </c>
      <c r="BH244" s="3">
        <f>BG244+BH111+BH112</f>
        <v>210725</v>
      </c>
      <c r="BI244" s="3">
        <f>BH244+BI111+BI112</f>
        <v>210651</v>
      </c>
      <c r="BJ244" s="3">
        <f>BI244+BJ111+BJ112</f>
        <v>210576</v>
      </c>
      <c r="BK244" s="3">
        <f>BJ244</f>
        <v>210576</v>
      </c>
      <c r="BL244" s="3">
        <f>BK244+BL111+BL112</f>
        <v>210493</v>
      </c>
      <c r="BM244" s="3">
        <f>BL244+BM111+BM112</f>
        <v>210351</v>
      </c>
      <c r="BN244" s="3">
        <f>BM244+BN111+BN112</f>
        <v>210277</v>
      </c>
      <c r="BO244" s="3">
        <f>BN244+BO111+BO112</f>
        <v>210202</v>
      </c>
      <c r="BP244" s="3">
        <f>BO244</f>
        <v>210202</v>
      </c>
      <c r="BQ244" s="3">
        <f>BP244+BQ111+BQ112</f>
        <v>210119</v>
      </c>
      <c r="BR244" s="3">
        <f>BQ244+BR111+BR112</f>
        <v>209977</v>
      </c>
      <c r="BS244" s="3">
        <f>BR244+BS111+BS112</f>
        <v>209903</v>
      </c>
      <c r="BT244" s="3">
        <f>BS244+BT111+BT112</f>
        <v>209828</v>
      </c>
      <c r="BU244" s="3">
        <f>BT244</f>
        <v>209828</v>
      </c>
      <c r="BV244" s="3">
        <f>BU244+BV111+BV112</f>
        <v>209745</v>
      </c>
      <c r="BW244" s="3">
        <f>BV244+BW111+BW112</f>
        <v>209603</v>
      </c>
      <c r="BX244" s="3">
        <f>BW244+BX111+BX112</f>
        <v>209529</v>
      </c>
      <c r="BY244" s="3">
        <f>BX244+BY111+BY112</f>
        <v>209454</v>
      </c>
      <c r="BZ244" s="3">
        <f>BY244</f>
        <v>209454</v>
      </c>
      <c r="CA244" s="3">
        <f>BZ244+CA111+CA112</f>
        <v>209371</v>
      </c>
      <c r="CB244" s="3">
        <f>CA244+CB111+CB112</f>
        <v>209229</v>
      </c>
      <c r="CC244" s="3">
        <f>CB244+CC111+CC112</f>
        <v>209155</v>
      </c>
      <c r="CD244" s="3">
        <f>CC244+CD111+CD112</f>
        <v>209080</v>
      </c>
      <c r="CE244" s="3">
        <f>CD244</f>
        <v>209080</v>
      </c>
      <c r="CF244" s="3">
        <f>CE244+CF111+CF112</f>
        <v>208997</v>
      </c>
      <c r="CG244" s="3">
        <f>CF244+CG111+CG112</f>
        <v>208855</v>
      </c>
      <c r="CH244" s="3">
        <f>CG244+CH111+CH112</f>
        <v>208781</v>
      </c>
      <c r="CI244" s="3">
        <f>CH244+CI111+CI112</f>
        <v>208706</v>
      </c>
      <c r="CJ244" s="3">
        <f>CI244</f>
        <v>208706</v>
      </c>
      <c r="CK244" s="3">
        <f>CJ244+CK111+CK112</f>
        <v>208623</v>
      </c>
      <c r="CL244" s="3">
        <f>CK244+CL111+CL112</f>
        <v>208481</v>
      </c>
      <c r="CM244" s="3">
        <f>CL244+CM111+CM112</f>
        <v>208407</v>
      </c>
      <c r="CN244" s="3">
        <f>CM244+CN111+CN112</f>
        <v>208332</v>
      </c>
      <c r="CO244" s="3">
        <f>CN244</f>
        <v>208332</v>
      </c>
      <c r="CP244" s="3">
        <f>CO244+CP111+CP112</f>
        <v>208249</v>
      </c>
      <c r="CQ244" s="3">
        <f>CP244+CQ111+CQ112</f>
        <v>208107</v>
      </c>
      <c r="CR244" s="3">
        <f>CQ244+CR111+CR112</f>
        <v>208033</v>
      </c>
      <c r="CS244" s="3">
        <f>CR244+CS111+CS112</f>
        <v>207958</v>
      </c>
      <c r="CT244" s="3">
        <f>CS244</f>
        <v>207958</v>
      </c>
      <c r="CU244" s="3">
        <f>CT244+CU111+CU112</f>
        <v>207875</v>
      </c>
      <c r="CV244" s="3">
        <f>CU244+CV111+CV112</f>
        <v>207733</v>
      </c>
      <c r="CW244" s="3">
        <f>CV244+CW111+CW112</f>
        <v>207659</v>
      </c>
      <c r="CX244" s="3">
        <f>CW244+CX111+CX112</f>
        <v>207584</v>
      </c>
      <c r="CY244" s="3">
        <f>CX244</f>
        <v>207584</v>
      </c>
    </row>
    <row r="245" customFormat="1" s="17">
      <c r="A245" s="13" t="inlineStr">
        <is>
          <t xml:space="preserve"> </t>
        </is>
      </c>
      <c r="B245" s="13" t="n"/>
      <c r="C245" s="27" t="inlineStr">
        <is>
          <t>Total Shareholders' Equity</t>
        </is>
      </c>
      <c r="D245" s="16">
        <f>SUM(D222+D227+D228+D241+D242+D243+D244)</f>
        <v>144914</v>
      </c>
      <c r="E245" s="16">
        <f>SUM(E222+E227+E228+E241+E242+E243+E244)</f>
        <v>134386</v>
      </c>
      <c r="F245" s="16">
        <f>SUM(F222+F227+F228+F241+F242+F243+F244)</f>
        <v>132038</v>
      </c>
      <c r="G245" s="16">
        <f>SUM(G222+G227+G228+G241+G242+G243+G244)</f>
        <v>132726</v>
      </c>
      <c r="H245" s="16">
        <f>SUM(H222,H227,H228,H241,H242,H243,H244)</f>
        <v>132726</v>
      </c>
      <c r="I245" s="16">
        <f>SUM(I222+I227+I228+I241+I242+I243+I244)</f>
        <v>132933</v>
      </c>
      <c r="J245" s="16">
        <f>SUM(J222+J227+J228+J241+J242+J243+J244)</f>
        <v>133911</v>
      </c>
      <c r="K245" s="16">
        <f>SUM(K222+K227+K228+K241+K242+K243+K244)</f>
        <v>136722</v>
      </c>
      <c r="L245" s="16">
        <f>SUM(L222+L227+L228+L241+L242+L243+L244)</f>
        <v>139940</v>
      </c>
      <c r="M245" s="16">
        <f>SUM(M222,M227,M228,M241,M242,M243,M244)</f>
        <v>139940</v>
      </c>
      <c r="N245" s="16">
        <f>SUM(N222+N227+N228+N241+N242+N243+N244)</f>
        <v>147100</v>
      </c>
      <c r="O245" s="16">
        <f>SUM(O222+O227+O228+O241+O242+O243+O244)</f>
        <v>154562</v>
      </c>
      <c r="P245" s="16">
        <f>SUM(P222+P227+P228+P241+P242+P243+P244)</f>
        <v>159627</v>
      </c>
      <c r="Q245" s="16">
        <f>SUM(Q222+Q227+Q228+Q241+Q242+Q243+Q244)</f>
        <v>160242</v>
      </c>
      <c r="R245" s="16">
        <f>SUM(R222,R227,R228,R241,R242,R243,R244)</f>
        <v>160242</v>
      </c>
      <c r="S245" s="16">
        <f>SUM(S222+S227+S228+S241+S242+S243+S244)</f>
        <v>160434</v>
      </c>
      <c r="T245" s="16">
        <f>SUM(T222+T227+T228+T241+T242+T243+T244)</f>
        <v>159298</v>
      </c>
      <c r="U245" s="16">
        <f>SUM(U222+U227+U228+U241+U242+U243+U244)</f>
        <v>166248</v>
      </c>
      <c r="V245" s="16">
        <f>SUM(V222+V227+V228+V241+V242+V243+V244)</f>
        <v>161929</v>
      </c>
      <c r="W245" s="16">
        <f>SUM(W222,W227,W228,W241,W242,W243,W244)</f>
        <v>161929</v>
      </c>
      <c r="X245" s="16">
        <f>SUM(X222+X227+X228+X241+X242+X243+X244)</f>
        <v>161656</v>
      </c>
      <c r="Y245" s="16">
        <f>SUM(Y222+Y227+Y228+Y241+Y242+Y243+Y244)</f>
        <v>160263</v>
      </c>
      <c r="Z245" s="16">
        <f>SUM(Z222+Z227+Z228+Z241+Z242+Z243+Z244)</f>
        <v>157030</v>
      </c>
      <c r="AA245" s="16">
        <f>SUM(AA222+AA227+AA228+AA241+AA242+AA243+AA244)</f>
        <v>153157</v>
      </c>
      <c r="AB245" s="16">
        <f>SUM(AB222,AB227,AB228,AB241,AB242,AB243,AB244)</f>
        <v>153157</v>
      </c>
      <c r="AC245" s="16">
        <f>SUM(AC222+AC227+AC228+AC241+AC242+AC243+AC244)</f>
        <v>150080</v>
      </c>
      <c r="AD245" s="16">
        <f>SUM(AD222+AD227+AD228+AD241+AD242+AD243+AD244)</f>
        <v>147258</v>
      </c>
      <c r="AE245" s="16">
        <f>SUM(AE222+AE227+AE228+AE241+AE242+AE243+AE244)</f>
        <v>195600</v>
      </c>
      <c r="AF245" s="16">
        <f>SUM(AF222+AF227+AF228+AF241+AF242+AF243+AF244)</f>
        <v>192176</v>
      </c>
      <c r="AG245" s="16">
        <f>SUM(AG222,AG227,AG228,AG241,AG242,AG243,AG244)</f>
        <v>192176</v>
      </c>
      <c r="AH245" s="16">
        <f>SUM(AH222+AH227+AH228+AH241+AH242+AH243+AH244)</f>
        <v>189371</v>
      </c>
      <c r="AI245" s="16">
        <f>SUM(AI222+AI227+AI228+AI241+AI242+AI243+AI244)</f>
        <v>195558</v>
      </c>
      <c r="AJ245" s="16">
        <f>SUM(AJ222+AJ227+AJ228+AJ241+AJ242+AJ243+AJ244)</f>
        <v>195558</v>
      </c>
      <c r="AK245" s="16">
        <f>SUM(AK222+AK227+AK228+AK241+AK242+AK243+AK244)</f>
        <v>195558</v>
      </c>
      <c r="AL245" s="16">
        <f>SUM(AL222,AL227,AL228,AL241,AL242,AL243,AL244)</f>
        <v>195558</v>
      </c>
      <c r="AM245" s="16">
        <f>SUM(AM222+AM227+AM228+AM241+AM242+AM243+AM244)</f>
        <v>195558</v>
      </c>
      <c r="AN245" s="16">
        <f>SUM(AN222+AN227+AN228+AN241+AN242+AN243+AN244)</f>
        <v>195558</v>
      </c>
      <c r="AO245" s="16">
        <f>SUM(AO222+AO227+AO228+AO241+AO242+AO243+AO244)</f>
        <v>195558</v>
      </c>
      <c r="AP245" s="16">
        <f>SUM(AP222+AP227+AP228+AP241+AP242+AP243+AP244)</f>
        <v>195558</v>
      </c>
      <c r="AQ245" s="16">
        <f>SUM(AQ222,AQ227,AQ228,AQ241,AQ242,AQ243,AQ244)</f>
        <v>195558</v>
      </c>
      <c r="AR245" s="16">
        <f>SUM(AR222+AR227+AR228+AR241+AR242+AR243+AR244)</f>
        <v>195558</v>
      </c>
      <c r="AS245" s="16">
        <f>SUM(AS222+AS227+AS228+AS241+AS242+AS243+AS244)</f>
        <v>195558</v>
      </c>
      <c r="AT245" s="16">
        <f>SUM(AT222+AT227+AT228+AT241+AT242+AT243+AT244)</f>
        <v>195558</v>
      </c>
      <c r="AU245" s="16">
        <f>SUM(AU222+AU227+AU228+AU241+AU242+AU243+AU244)</f>
        <v>195558</v>
      </c>
      <c r="AV245" s="16">
        <f>SUM(AV222,AV227,AV228,AV241,AV242,AV243,AV244)</f>
        <v>195558</v>
      </c>
      <c r="AW245" s="16">
        <f>SUM(AW222+AW227+AW228+AW241+AW242+AW243+AW244)</f>
        <v>195558</v>
      </c>
      <c r="AX245" s="16">
        <f>SUM(AX222+AX227+AX228+AX241+AX242+AX243+AX244)</f>
        <v>195558</v>
      </c>
      <c r="AY245" s="16">
        <f>SUM(AY222+AY227+AY228+AY241+AY242+AY243+AY244)</f>
        <v>195558</v>
      </c>
      <c r="AZ245" s="16">
        <f>SUM(AZ222+AZ227+AZ228+AZ241+AZ242+AZ243+AZ244)</f>
        <v>195558</v>
      </c>
      <c r="BA245" s="16">
        <f>SUM(BA222,BA227,BA228,BA241,BA242,BA243,BA244)</f>
        <v>195558</v>
      </c>
      <c r="BB245" s="16">
        <f>SUM(BB222+BB227+BB228+BB241+BB242+BB243+BB244)</f>
        <v>195558</v>
      </c>
      <c r="BC245" s="16">
        <f>SUM(BC222+BC227+BC228+BC241+BC242+BC243+BC244)</f>
        <v>195558</v>
      </c>
      <c r="BD245" s="16">
        <f>SUM(BD222+BD227+BD228+BD241+BD242+BD243+BD244)</f>
        <v>195558</v>
      </c>
      <c r="BE245" s="16">
        <f>SUM(BE222+BE227+BE228+BE241+BE242+BE243+BE244)</f>
        <v>195558</v>
      </c>
      <c r="BF245" s="16">
        <f>SUM(BF222,BF227,BF228,BF241,BF242,BF243,BF244)</f>
        <v>195558</v>
      </c>
      <c r="BG245" s="16">
        <f>SUM(BG222+BG227+BG228+BG241+BG242+BG243+BG244)</f>
        <v>195558</v>
      </c>
      <c r="BH245" s="16">
        <f>SUM(BH222+BH227+BH228+BH241+BH242+BH243+BH244)</f>
        <v>195558</v>
      </c>
      <c r="BI245" s="16">
        <f>SUM(BI222+BI227+BI228+BI241+BI242+BI243+BI244)</f>
        <v>195558</v>
      </c>
      <c r="BJ245" s="16">
        <f>SUM(BJ222+BJ227+BJ228+BJ241+BJ242+BJ243+BJ244)</f>
        <v>195558</v>
      </c>
      <c r="BK245" s="16">
        <f>SUM(BK222,BK227,BK228,BK241,BK242,BK243,BK244)</f>
        <v>195558</v>
      </c>
      <c r="BL245" s="16">
        <f>SUM(BL222+BL227+BL228+BL241+BL242+BL243+BL244)</f>
        <v>195558</v>
      </c>
      <c r="BM245" s="16">
        <f>SUM(BM222+BM227+BM228+BM241+BM242+BM243+BM244)</f>
        <v>195558</v>
      </c>
      <c r="BN245" s="16">
        <f>SUM(BN222+BN227+BN228+BN241+BN242+BN243+BN244)</f>
        <v>195558</v>
      </c>
      <c r="BO245" s="16">
        <f>SUM(BO222+BO227+BO228+BO241+BO242+BO243+BO244)</f>
        <v>195558</v>
      </c>
      <c r="BP245" s="16">
        <f>SUM(BP222,BP227,BP228,BP241,BP242,BP243,BP244)</f>
        <v>195558</v>
      </c>
      <c r="BQ245" s="16">
        <f>SUM(BQ222+BQ227+BQ228+BQ241+BQ242+BQ243+BQ244)</f>
        <v>195558</v>
      </c>
      <c r="BR245" s="16">
        <f>SUM(BR222+BR227+BR228+BR241+BR242+BR243+BR244)</f>
        <v>195558</v>
      </c>
      <c r="BS245" s="16">
        <f>SUM(BS222+BS227+BS228+BS241+BS242+BS243+BS244)</f>
        <v>195558</v>
      </c>
      <c r="BT245" s="16">
        <f>SUM(BT222+BT227+BT228+BT241+BT242+BT243+BT244)</f>
        <v>195558</v>
      </c>
      <c r="BU245" s="16">
        <f>SUM(BU222,BU227,BU228,BU241,BU242,BU243,BU244)</f>
        <v>195558</v>
      </c>
      <c r="BV245" s="16">
        <f>SUM(BV222+BV227+BV228+BV241+BV242+BV243+BV244)</f>
        <v>195558</v>
      </c>
      <c r="BW245" s="16">
        <f>SUM(BW222+BW227+BW228+BW241+BW242+BW243+BW244)</f>
        <v>195558</v>
      </c>
      <c r="BX245" s="16">
        <f>SUM(BX222+BX227+BX228+BX241+BX242+BX243+BX244)</f>
        <v>195558</v>
      </c>
      <c r="BY245" s="16">
        <f>SUM(BY222+BY227+BY228+BY241+BY242+BY243+BY244)</f>
        <v>195558</v>
      </c>
      <c r="BZ245" s="16">
        <f>SUM(BZ222,BZ227,BZ228,BZ241,BZ242,BZ243,BZ244)</f>
        <v>195558</v>
      </c>
      <c r="CA245" s="16">
        <f>SUM(CA222+CA227+CA228+CA241+CA242+CA243+CA244)</f>
        <v>195558</v>
      </c>
      <c r="CB245" s="16">
        <f>SUM(CB222+CB227+CB228+CB241+CB242+CB243+CB244)</f>
        <v>195558</v>
      </c>
      <c r="CC245" s="16">
        <f>SUM(CC222+CC227+CC228+CC241+CC242+CC243+CC244)</f>
        <v>195558</v>
      </c>
      <c r="CD245" s="16">
        <f>SUM(CD222+CD227+CD228+CD241+CD242+CD243+CD244)</f>
        <v>195558</v>
      </c>
      <c r="CE245" s="16">
        <f>SUM(CE222,CE227,CE228,CE241,CE242,CE243,CE244)</f>
        <v>195558</v>
      </c>
      <c r="CF245" s="16">
        <f>SUM(CF222+CF227+CF228+CF241+CF242+CF243+CF244)</f>
        <v>195558</v>
      </c>
      <c r="CG245" s="16">
        <f>SUM(CG222+CG227+CG228+CG241+CG242+CG243+CG244)</f>
        <v>195558</v>
      </c>
      <c r="CH245" s="16">
        <f>SUM(CH222+CH227+CH228+CH241+CH242+CH243+CH244)</f>
        <v>195558</v>
      </c>
      <c r="CI245" s="16">
        <f>SUM(CI222+CI227+CI228+CI241+CI242+CI243+CI244)</f>
        <v>195558</v>
      </c>
      <c r="CJ245" s="16">
        <f>SUM(CJ222,CJ227,CJ228,CJ241,CJ242,CJ243,CJ244)</f>
        <v>195558</v>
      </c>
      <c r="CK245" s="16">
        <f>SUM(CK222+CK227+CK228+CK241+CK242+CK243+CK244)</f>
        <v>195558</v>
      </c>
      <c r="CL245" s="16">
        <f>SUM(CL222+CL227+CL228+CL241+CL242+CL243+CL244)</f>
        <v>195558</v>
      </c>
      <c r="CM245" s="16">
        <f>SUM(CM222+CM227+CM228+CM241+CM242+CM243+CM244)</f>
        <v>195558</v>
      </c>
      <c r="CN245" s="16">
        <f>SUM(CN222+CN227+CN228+CN241+CN242+CN243+CN244)</f>
        <v>195558</v>
      </c>
      <c r="CO245" s="16">
        <f>SUM(CO222,CO227,CO228,CO241,CO242,CO243,CO244)</f>
        <v>195558</v>
      </c>
      <c r="CP245" s="16">
        <f>SUM(CP222+CP227+CP228+CP241+CP242+CP243+CP244)</f>
        <v>195558</v>
      </c>
      <c r="CQ245" s="16">
        <f>SUM(CQ222+CQ227+CQ228+CQ241+CQ242+CQ243+CQ244)</f>
        <v>195558</v>
      </c>
      <c r="CR245" s="16">
        <f>SUM(CR222+CR227+CR228+CR241+CR242+CR243+CR244)</f>
        <v>195558</v>
      </c>
      <c r="CS245" s="16">
        <f>SUM(CS222+CS227+CS228+CS241+CS242+CS243+CS244)</f>
        <v>195558</v>
      </c>
      <c r="CT245" s="16">
        <f>SUM(CT222,CT227,CT228,CT241,CT242,CT243,CT244)</f>
        <v>195558</v>
      </c>
      <c r="CU245" s="16">
        <f>SUM(CU222+CU227+CU228+CU241+CU242+CU243+CU244)</f>
        <v>195558</v>
      </c>
      <c r="CV245" s="16">
        <f>SUM(CV222+CV227+CV228+CV241+CV242+CV243+CV244)</f>
        <v>195558</v>
      </c>
      <c r="CW245" s="16">
        <f>SUM(CW222+CW227+CW228+CW241+CW242+CW243+CW244)</f>
        <v>195558</v>
      </c>
      <c r="CX245" s="16">
        <f>SUM(CX222+CX227+CX228+CX241+CX242+CX243+CX244)</f>
        <v>195558</v>
      </c>
      <c r="CY245" s="16">
        <f>SUM(CY222,CY227,CY228,CY241,CY242,CY243,CY244)</f>
        <v>195558</v>
      </c>
    </row>
    <row r="246">
      <c r="C246" s="29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ustomFormat="1" s="17">
      <c r="A247" s="13" t="n"/>
      <c r="B247" s="1" t="n"/>
      <c r="C247" s="14" t="inlineStr">
        <is>
          <t>Total Liabilities + Shareholders' Equity</t>
        </is>
      </c>
      <c r="D247" s="16">
        <f>D245+D221</f>
        <v>236677</v>
      </c>
      <c r="E247" s="16">
        <f>E245+E221</f>
        <v>223403</v>
      </c>
      <c r="F247" s="16">
        <f>F245+F221</f>
        <v>223063</v>
      </c>
      <c r="G247" s="16">
        <f>G245+G221</f>
        <v>239790</v>
      </c>
      <c r="H247" s="16">
        <f>H245+H221</f>
        <v>239790</v>
      </c>
      <c r="I247" s="16">
        <f>I245+I221</f>
        <v>241645</v>
      </c>
      <c r="J247" s="16">
        <f>J245+J221</f>
        <v>242806</v>
      </c>
      <c r="K247" s="16">
        <f>K245+K221</f>
        <v>239948</v>
      </c>
      <c r="L247" s="16">
        <f>L245+L221</f>
        <v>239535</v>
      </c>
      <c r="M247" s="16">
        <f>M245+M221</f>
        <v>239535</v>
      </c>
      <c r="N247" s="16">
        <f>N245+N221</f>
        <v>249048</v>
      </c>
      <c r="O247" s="16">
        <f>O245+O221</f>
        <v>257936</v>
      </c>
      <c r="P247" s="16">
        <f>P245+P221</f>
        <v>259735</v>
      </c>
      <c r="Q247" s="16">
        <f>Q245+Q221</f>
        <v>257709</v>
      </c>
      <c r="R247" s="16">
        <f>R245+R221</f>
        <v>257709</v>
      </c>
      <c r="S247" s="16">
        <f>S245+S221</f>
        <v>255886</v>
      </c>
      <c r="T247" s="16">
        <f>T245+T221</f>
        <v>251779</v>
      </c>
      <c r="U247" s="16">
        <f>U245+U221</f>
        <v>263927</v>
      </c>
      <c r="V247" s="16">
        <f>V245+V221</f>
        <v>261632</v>
      </c>
      <c r="W247" s="16">
        <f>W245+W221</f>
        <v>261632</v>
      </c>
      <c r="X247" s="16">
        <f>X245+X221</f>
        <v>261651</v>
      </c>
      <c r="Y247" s="16">
        <f>Y245+Y221</f>
        <v>260644</v>
      </c>
      <c r="Z247" s="16">
        <f>Z245+Z221</f>
        <v>259232</v>
      </c>
      <c r="AA247" s="16">
        <f>AA245+AA221</f>
        <v>256938</v>
      </c>
      <c r="AB247" s="16">
        <f>AB245+AB221</f>
        <v>256938</v>
      </c>
      <c r="AC247" s="16">
        <f>AC245+AC221</f>
        <v>256397</v>
      </c>
      <c r="AD247" s="16">
        <f>AD245+AD221</f>
        <v>250820</v>
      </c>
      <c r="AE247" s="16">
        <f>AE245+AE221</f>
        <v>326501</v>
      </c>
      <c r="AF247" s="16">
        <f>AF245+AF221</f>
        <v>324012</v>
      </c>
      <c r="AG247" s="16">
        <f>AG245+AG221</f>
        <v>324012</v>
      </c>
      <c r="AH247" s="16">
        <f>AH245+AH221</f>
        <v>329551</v>
      </c>
      <c r="AI247" s="16">
        <f>AI245+AI221</f>
        <v>330135</v>
      </c>
      <c r="AJ247" s="16">
        <f>AJ245+AJ221</f>
        <v>292672</v>
      </c>
      <c r="AK247" s="16">
        <f>AK245+AK221</f>
        <v>292672</v>
      </c>
      <c r="AL247" s="16">
        <f>AL245+AL221</f>
        <v>292672</v>
      </c>
      <c r="AM247" s="16" t="e">
        <f>AM245+AM221</f>
        <v>#DIV/0!</v>
      </c>
      <c r="AN247" s="16">
        <f>AN245+AN221</f>
        <v>292672</v>
      </c>
      <c r="AO247" s="16" t="e">
        <f>AO245+AO221</f>
        <v>#DIV/0!</v>
      </c>
      <c r="AP247" s="16" t="e">
        <f>AP245+AP221</f>
        <v>#DIV/0!</v>
      </c>
      <c r="AQ247" s="16" t="e">
        <f>AQ245+AQ221</f>
        <v>#DIV/0!</v>
      </c>
      <c r="AR247" s="16" t="e">
        <f>AR245+AR221</f>
        <v>#DIV/0!</v>
      </c>
      <c r="AS247" s="16" t="e">
        <f>AS245+AS221</f>
        <v>#DIV/0!</v>
      </c>
      <c r="AT247" s="16" t="e">
        <f>AT245+AT221</f>
        <v>#DIV/0!</v>
      </c>
      <c r="AU247" s="16" t="e">
        <f>AU245+AU221</f>
        <v>#DIV/0!</v>
      </c>
      <c r="AV247" s="16" t="e">
        <f>AV245+AV221</f>
        <v>#DIV/0!</v>
      </c>
      <c r="AW247" s="16" t="e">
        <f>AW245+AW221</f>
        <v>#DIV/0!</v>
      </c>
      <c r="AX247" s="16" t="e">
        <f>AX245+AX221</f>
        <v>#DIV/0!</v>
      </c>
      <c r="AY247" s="16" t="e">
        <f>AY245+AY221</f>
        <v>#DIV/0!</v>
      </c>
      <c r="AZ247" s="16" t="e">
        <f>AZ245+AZ221</f>
        <v>#DIV/0!</v>
      </c>
      <c r="BA247" s="16" t="e">
        <f>BA245+BA221</f>
        <v>#DIV/0!</v>
      </c>
      <c r="BB247" s="16" t="e">
        <f>BB245+BB221</f>
        <v>#DIV/0!</v>
      </c>
      <c r="BC247" s="16" t="e">
        <f>BC245+BC221</f>
        <v>#DIV/0!</v>
      </c>
      <c r="BD247" s="16" t="e">
        <f>BD245+BD221</f>
        <v>#DIV/0!</v>
      </c>
      <c r="BE247" s="16" t="e">
        <f>BE245+BE221</f>
        <v>#DIV/0!</v>
      </c>
      <c r="BF247" s="16" t="e">
        <f>BF245+BF221</f>
        <v>#DIV/0!</v>
      </c>
      <c r="BG247" s="16" t="e">
        <f>BG245+BG221</f>
        <v>#DIV/0!</v>
      </c>
      <c r="BH247" s="16" t="e">
        <f>BH245+BH221</f>
        <v>#DIV/0!</v>
      </c>
      <c r="BI247" s="16" t="e">
        <f>BI245+BI221</f>
        <v>#DIV/0!</v>
      </c>
      <c r="BJ247" s="16" t="e">
        <f>BJ245+BJ221</f>
        <v>#DIV/0!</v>
      </c>
      <c r="BK247" s="16" t="e">
        <f>BK245+BK221</f>
        <v>#DIV/0!</v>
      </c>
      <c r="BL247" s="16" t="e">
        <f>BL245+BL221</f>
        <v>#DIV/0!</v>
      </c>
      <c r="BM247" s="16" t="e">
        <f>BM245+BM221</f>
        <v>#DIV/0!</v>
      </c>
      <c r="BN247" s="16" t="e">
        <f>BN245+BN221</f>
        <v>#DIV/0!</v>
      </c>
      <c r="BO247" s="16" t="e">
        <f>BO245+BO221</f>
        <v>#DIV/0!</v>
      </c>
      <c r="BP247" s="16" t="e">
        <f>BP245+BP221</f>
        <v>#DIV/0!</v>
      </c>
      <c r="BQ247" s="16" t="e">
        <f>BQ245+BQ221</f>
        <v>#DIV/0!</v>
      </c>
      <c r="BR247" s="16" t="e">
        <f>BR245+BR221</f>
        <v>#DIV/0!</v>
      </c>
      <c r="BS247" s="16" t="e">
        <f>BS245+BS221</f>
        <v>#DIV/0!</v>
      </c>
      <c r="BT247" s="16" t="e">
        <f>BT245+BT221</f>
        <v>#DIV/0!</v>
      </c>
      <c r="BU247" s="16" t="e">
        <f>BU245+BU221</f>
        <v>#DIV/0!</v>
      </c>
      <c r="BV247" s="16" t="e">
        <f>BV245+BV221</f>
        <v>#DIV/0!</v>
      </c>
      <c r="BW247" s="16" t="e">
        <f>BW245+BW221</f>
        <v>#DIV/0!</v>
      </c>
      <c r="BX247" s="16" t="e">
        <f>BX245+BX221</f>
        <v>#DIV/0!</v>
      </c>
      <c r="BY247" s="16" t="e">
        <f>BY245+BY221</f>
        <v>#DIV/0!</v>
      </c>
      <c r="BZ247" s="16" t="e">
        <f>BZ245+BZ221</f>
        <v>#DIV/0!</v>
      </c>
      <c r="CA247" s="16" t="e">
        <f>CA245+CA221</f>
        <v>#DIV/0!</v>
      </c>
      <c r="CB247" s="16" t="e">
        <f>CB245+CB221</f>
        <v>#DIV/0!</v>
      </c>
      <c r="CC247" s="16" t="e">
        <f>CC245+CC221</f>
        <v>#DIV/0!</v>
      </c>
      <c r="CD247" s="16" t="e">
        <f>CD245+CD221</f>
        <v>#DIV/0!</v>
      </c>
      <c r="CE247" s="16" t="e">
        <f>CE245+CE221</f>
        <v>#DIV/0!</v>
      </c>
      <c r="CF247" s="16" t="e">
        <f>CF245+CF221</f>
        <v>#DIV/0!</v>
      </c>
      <c r="CG247" s="16" t="e">
        <f>CG245+CG221</f>
        <v>#DIV/0!</v>
      </c>
      <c r="CH247" s="16" t="e">
        <f>CH245+CH221</f>
        <v>#DIV/0!</v>
      </c>
      <c r="CI247" s="16" t="e">
        <f>CI245+CI221</f>
        <v>#DIV/0!</v>
      </c>
      <c r="CJ247" s="16" t="e">
        <f>CJ245+CJ221</f>
        <v>#DIV/0!</v>
      </c>
      <c r="CK247" s="16" t="e">
        <f>CK245+CK221</f>
        <v>#DIV/0!</v>
      </c>
      <c r="CL247" s="16" t="e">
        <f>CL245+CL221</f>
        <v>#DIV/0!</v>
      </c>
      <c r="CM247" s="16" t="e">
        <f>CM245+CM221</f>
        <v>#DIV/0!</v>
      </c>
      <c r="CN247" s="16" t="e">
        <f>CN245+CN221</f>
        <v>#DIV/0!</v>
      </c>
      <c r="CO247" s="16" t="e">
        <f>CO245+CO221</f>
        <v>#DIV/0!</v>
      </c>
      <c r="CP247" s="16" t="e">
        <f>CP245+CP221</f>
        <v>#DIV/0!</v>
      </c>
      <c r="CQ247" s="16" t="e">
        <f>CQ245+CQ221</f>
        <v>#DIV/0!</v>
      </c>
      <c r="CR247" s="16" t="e">
        <f>CR245+CR221</f>
        <v>#DIV/0!</v>
      </c>
      <c r="CS247" s="16" t="e">
        <f>CS245+CS221</f>
        <v>#DIV/0!</v>
      </c>
      <c r="CT247" s="16" t="e">
        <f>CT245+CT221</f>
        <v>#DIV/0!</v>
      </c>
      <c r="CU247" s="16" t="e">
        <f>CU245+CU221</f>
        <v>#DIV/0!</v>
      </c>
      <c r="CV247" s="16" t="e">
        <f>CV245+CV221</f>
        <v>#DIV/0!</v>
      </c>
      <c r="CW247" s="16" t="e">
        <f>CW245+CW221</f>
        <v>#DIV/0!</v>
      </c>
      <c r="CX247" s="16" t="e">
        <f>CX245+CX221</f>
        <v>#DIV/0!</v>
      </c>
      <c r="CY247" s="16" t="e">
        <f>CY245+CY221</f>
        <v>#DIV/0!</v>
      </c>
    </row>
    <row r="248">
      <c r="C248" s="5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  <c r="BA248" s="1" t="n"/>
      <c r="BB248" s="1" t="n"/>
      <c r="BC248" s="1" t="n"/>
      <c r="BD248" s="1" t="n"/>
      <c r="BE248" s="1" t="n"/>
      <c r="BF248" s="1" t="n"/>
      <c r="BG248" s="1" t="n"/>
      <c r="BH248" s="1" t="n"/>
      <c r="BI248" s="1" t="n"/>
      <c r="BJ248" s="1" t="n"/>
      <c r="BK248" s="1" t="n"/>
      <c r="BL248" s="1" t="n"/>
      <c r="BM248" s="1" t="n"/>
      <c r="BN248" s="1" t="n"/>
      <c r="BO248" s="1" t="n"/>
      <c r="BP248" s="1" t="n"/>
      <c r="BQ248" s="1" t="n"/>
      <c r="BR248" s="1" t="n"/>
      <c r="BS248" s="1" t="n"/>
      <c r="BT248" s="1" t="n"/>
      <c r="BU248" s="1" t="n"/>
      <c r="BV248" s="1" t="n"/>
      <c r="BW248" s="1" t="n"/>
      <c r="BX248" s="1" t="n"/>
      <c r="BY248" s="1" t="n"/>
      <c r="BZ248" s="1" t="n"/>
      <c r="CA248" s="1" t="n"/>
      <c r="CB248" s="1" t="n"/>
      <c r="CC248" s="1" t="n"/>
      <c r="CD248" s="1" t="n"/>
      <c r="CE248" s="1" t="n"/>
      <c r="CF248" s="1" t="n"/>
      <c r="CG248" s="1" t="n"/>
      <c r="CH248" s="1" t="n"/>
      <c r="CI248" s="1" t="n"/>
      <c r="CJ248" s="1" t="n"/>
      <c r="CK248" s="1" t="n"/>
      <c r="CL248" s="1" t="n"/>
      <c r="CM248" s="1" t="n"/>
      <c r="CN248" s="1" t="n"/>
      <c r="CO248" s="1" t="n"/>
      <c r="CP248" s="1" t="n"/>
      <c r="CQ248" s="1" t="n"/>
      <c r="CR248" s="1" t="n"/>
      <c r="CS248" s="1" t="n"/>
      <c r="CT248" s="1" t="n"/>
      <c r="CU248" s="1" t="n"/>
      <c r="CV248" s="1" t="n"/>
      <c r="CW248" s="1" t="n"/>
      <c r="CX248" s="1" t="n"/>
      <c r="CY248" s="1" t="n"/>
    </row>
    <row r="249" customFormat="1" s="17">
      <c r="A249" s="13" t="n"/>
      <c r="B249" s="13" t="n"/>
      <c r="C249" s="12" t="inlineStr">
        <is>
          <t>Cash Flow Statement</t>
        </is>
      </c>
      <c r="D249" s="232" t="str">
        <f>D116</f>
        <v>1Q20</v>
      </c>
      <c r="E249" s="232" t="str">
        <f>E116</f>
        <v>2Q20</v>
      </c>
      <c r="F249" s="232" t="str">
        <f>F116</f>
        <v>3Q20</v>
      </c>
      <c r="G249" s="232" t="str">
        <f>G116</f>
        <v>4Q20</v>
      </c>
      <c r="H249" s="232">
        <f>H116</f>
        <v>2020</v>
      </c>
      <c r="I249" s="232" t="str">
        <f>I116</f>
        <v>1Q21</v>
      </c>
      <c r="J249" s="232" t="str">
        <f>J116</f>
        <v>2Q21</v>
      </c>
      <c r="K249" s="232" t="str">
        <f>K116</f>
        <v>3Q21</v>
      </c>
      <c r="L249" s="232" t="str">
        <f>L116</f>
        <v>4Q21</v>
      </c>
      <c r="M249" s="232">
        <f>M116</f>
        <v>2021</v>
      </c>
      <c r="N249" s="232" t="str">
        <f>N116</f>
        <v>1Q22</v>
      </c>
      <c r="O249" s="232" t="str">
        <f>O116</f>
        <v>2Q22</v>
      </c>
      <c r="P249" s="232" t="str">
        <f>P116</f>
        <v>3Q22</v>
      </c>
      <c r="Q249" s="232" t="str">
        <f>Q116</f>
        <v>4Q22</v>
      </c>
      <c r="R249" s="232">
        <f>R116</f>
        <v>2022</v>
      </c>
      <c r="S249" s="232" t="str">
        <f>S116</f>
        <v>1Q23</v>
      </c>
      <c r="T249" s="232" t="str">
        <f>T116</f>
        <v>2Q23</v>
      </c>
      <c r="U249" s="232" t="str">
        <f>U116</f>
        <v>3Q23</v>
      </c>
      <c r="V249" s="232" t="str">
        <f>V116</f>
        <v>4Q23</v>
      </c>
      <c r="W249" s="232">
        <f>W116</f>
        <v>2023</v>
      </c>
      <c r="X249" s="232" t="str">
        <f>X116</f>
        <v>1Q24</v>
      </c>
      <c r="Y249" s="232" t="str">
        <f>Y116</f>
        <v>2Q24</v>
      </c>
      <c r="Z249" s="232" t="str">
        <f>Z116</f>
        <v>3Q24</v>
      </c>
      <c r="AA249" s="232" t="str">
        <f>AA116</f>
        <v>4Q24</v>
      </c>
      <c r="AB249" s="232">
        <f>AB116</f>
        <v>2024</v>
      </c>
      <c r="AC249" s="232" t="str">
        <f>AC116</f>
        <v>1Q25</v>
      </c>
      <c r="AD249" s="232" t="str">
        <f>AD116</f>
        <v>2Q25</v>
      </c>
      <c r="AE249" s="232" t="str">
        <f>AE116</f>
        <v>3Q25</v>
      </c>
      <c r="AF249" s="232" t="str">
        <f>AF116</f>
        <v>4Q25</v>
      </c>
      <c r="AG249" s="232">
        <f>AG116</f>
        <v>2025</v>
      </c>
      <c r="AH249" s="232" t="str">
        <f>AH116</f>
        <v>1Q26</v>
      </c>
      <c r="AI249" s="232" t="str">
        <f>AI116</f>
        <v>2Q26</v>
      </c>
      <c r="AJ249" s="232" t="str">
        <f>AJ116</f>
        <v>3Q26</v>
      </c>
      <c r="AK249" s="232" t="str">
        <f>AK116</f>
        <v>4Q26</v>
      </c>
      <c r="AL249" s="232">
        <f>AL116</f>
        <v>2026</v>
      </c>
      <c r="AM249" s="232" t="str">
        <f>AM116</f>
        <v>1Q27</v>
      </c>
      <c r="AN249" s="232" t="str">
        <f>AN116</f>
        <v>2Q27</v>
      </c>
      <c r="AO249" s="232" t="str">
        <f>AO116</f>
        <v>3Q27</v>
      </c>
      <c r="AP249" s="232" t="str">
        <f>AP116</f>
        <v>4Q27</v>
      </c>
      <c r="AQ249" s="232">
        <f>AQ116</f>
        <v>2027</v>
      </c>
      <c r="AR249" s="232" t="str">
        <f>AR116</f>
        <v>1Q28</v>
      </c>
      <c r="AS249" s="232" t="str">
        <f>AS116</f>
        <v>2Q28</v>
      </c>
      <c r="AT249" s="232" t="str">
        <f>AT116</f>
        <v>3Q28</v>
      </c>
      <c r="AU249" s="232" t="str">
        <f>AU116</f>
        <v>4Q28</v>
      </c>
      <c r="AV249" s="232">
        <f>AV116</f>
        <v>2028</v>
      </c>
      <c r="AW249" s="232" t="str">
        <f>AW116</f>
        <v>1Q29</v>
      </c>
      <c r="AX249" s="232" t="str">
        <f>AX116</f>
        <v>2Q29</v>
      </c>
      <c r="AY249" s="232" t="str">
        <f>AY116</f>
        <v>3Q29</v>
      </c>
      <c r="AZ249" s="232" t="str">
        <f>AZ116</f>
        <v>4Q29</v>
      </c>
      <c r="BA249" s="232">
        <f>BA116</f>
        <v>2029</v>
      </c>
      <c r="BB249" s="232" t="str">
        <f>BB116</f>
        <v>1Q30</v>
      </c>
      <c r="BC249" s="232" t="str">
        <f>BC116</f>
        <v>2Q30</v>
      </c>
      <c r="BD249" s="232" t="str">
        <f>BD116</f>
        <v>3Q30</v>
      </c>
      <c r="BE249" s="232" t="str">
        <f>BE116</f>
        <v>4Q30</v>
      </c>
      <c r="BF249" s="232">
        <f>BF116</f>
        <v>2030</v>
      </c>
      <c r="BG249" s="232" t="str">
        <f>BG116</f>
        <v>1Q31</v>
      </c>
      <c r="BH249" s="232" t="str">
        <f>BH116</f>
        <v>2Q31</v>
      </c>
      <c r="BI249" s="232" t="str">
        <f>BI116</f>
        <v>3Q31</v>
      </c>
      <c r="BJ249" s="232" t="str">
        <f>BJ116</f>
        <v>4Q31</v>
      </c>
      <c r="BK249" s="232">
        <f>BK116</f>
        <v>2031</v>
      </c>
      <c r="BL249" s="232" t="str">
        <f>BL116</f>
        <v>1Q32</v>
      </c>
      <c r="BM249" s="232" t="str">
        <f>BM116</f>
        <v>2Q32</v>
      </c>
      <c r="BN249" s="232" t="str">
        <f>BN116</f>
        <v>3Q32</v>
      </c>
      <c r="BO249" s="232" t="str">
        <f>BO116</f>
        <v>4Q32</v>
      </c>
      <c r="BP249" s="232">
        <f>BP116</f>
        <v>2032</v>
      </c>
      <c r="BQ249" s="232" t="str">
        <f>BQ116</f>
        <v>1Q33</v>
      </c>
      <c r="BR249" s="232" t="str">
        <f>BR116</f>
        <v>2Q33</v>
      </c>
      <c r="BS249" s="232" t="str">
        <f>BS116</f>
        <v>3Q33</v>
      </c>
      <c r="BT249" s="232" t="str">
        <f>BT116</f>
        <v>4Q33</v>
      </c>
      <c r="BU249" s="232">
        <f>BU116</f>
        <v>2033</v>
      </c>
      <c r="BV249" s="232" t="str">
        <f>BV116</f>
        <v>1Q34</v>
      </c>
      <c r="BW249" s="232" t="str">
        <f>BW116</f>
        <v>2Q34</v>
      </c>
      <c r="BX249" s="232" t="str">
        <f>BX116</f>
        <v>3Q34</v>
      </c>
      <c r="BY249" s="232" t="str">
        <f>BY116</f>
        <v>4Q34</v>
      </c>
      <c r="BZ249" s="232">
        <f>BZ116</f>
        <v>2034</v>
      </c>
      <c r="CA249" s="232" t="str">
        <f>CA116</f>
        <v>1Q35</v>
      </c>
      <c r="CB249" s="232" t="str">
        <f>CB116</f>
        <v>2Q35</v>
      </c>
      <c r="CC249" s="232" t="str">
        <f>CC116</f>
        <v>3Q35</v>
      </c>
      <c r="CD249" s="232" t="str">
        <f>CD116</f>
        <v>4Q35</v>
      </c>
      <c r="CE249" s="232">
        <f>CE116</f>
        <v>2035</v>
      </c>
      <c r="CF249" s="232" t="str">
        <f>CF116</f>
        <v>1Q36</v>
      </c>
      <c r="CG249" s="232" t="str">
        <f>CG116</f>
        <v>2Q36</v>
      </c>
      <c r="CH249" s="232" t="str">
        <f>CH116</f>
        <v>3Q36</v>
      </c>
      <c r="CI249" s="232" t="str">
        <f>CI116</f>
        <v>4Q36</v>
      </c>
      <c r="CJ249" s="232">
        <f>CJ116</f>
        <v>2036</v>
      </c>
      <c r="CK249" s="232" t="str">
        <f>CK116</f>
        <v>1Q37</v>
      </c>
      <c r="CL249" s="232" t="str">
        <f>CL116</f>
        <v>2Q37</v>
      </c>
      <c r="CM249" s="232" t="str">
        <f>CM116</f>
        <v>3Q37</v>
      </c>
      <c r="CN249" s="232" t="str">
        <f>CN116</f>
        <v>4Q37</v>
      </c>
      <c r="CO249" s="232">
        <f>CO116</f>
        <v>2037</v>
      </c>
      <c r="CP249" s="232" t="str">
        <f>CP116</f>
        <v>1Q38</v>
      </c>
      <c r="CQ249" s="232" t="str">
        <f>CQ116</f>
        <v>2Q38</v>
      </c>
      <c r="CR249" s="232" t="str">
        <f>CR116</f>
        <v>3Q38</v>
      </c>
      <c r="CS249" s="232" t="str">
        <f>CS116</f>
        <v>4Q38</v>
      </c>
      <c r="CT249" s="232">
        <f>CT116</f>
        <v>2038</v>
      </c>
      <c r="CU249" s="232" t="str">
        <f>CU116</f>
        <v>1Q39</v>
      </c>
      <c r="CV249" s="232" t="str">
        <f>CV116</f>
        <v>2Q39</v>
      </c>
      <c r="CW249" s="232" t="str">
        <f>CW116</f>
        <v>3Q39</v>
      </c>
      <c r="CX249" s="232" t="str">
        <f>CX116</f>
        <v>4Q39</v>
      </c>
      <c r="CY249" s="232">
        <f>CY116</f>
        <v>2039</v>
      </c>
    </row>
    <row r="250">
      <c r="C250" s="5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  <c r="BA250" s="1" t="n"/>
      <c r="BB250" s="1" t="n"/>
      <c r="BC250" s="1" t="n"/>
      <c r="BD250" s="1" t="n"/>
      <c r="BE250" s="1" t="n"/>
      <c r="BF250" s="1" t="n"/>
      <c r="BG250" s="1" t="n"/>
      <c r="BH250" s="1" t="n"/>
      <c r="BI250" s="1" t="n"/>
      <c r="BJ250" s="1" t="n"/>
      <c r="BK250" s="1" t="n"/>
      <c r="BL250" s="1" t="n"/>
      <c r="BM250" s="1" t="n"/>
      <c r="BN250" s="1" t="n"/>
      <c r="BO250" s="1" t="n"/>
      <c r="BP250" s="1" t="n"/>
      <c r="BQ250" s="1" t="n"/>
      <c r="BR250" s="1" t="n"/>
      <c r="BS250" s="1" t="n"/>
      <c r="BT250" s="1" t="n"/>
      <c r="BU250" s="1" t="n"/>
      <c r="BV250" s="1" t="n"/>
      <c r="BW250" s="1" t="n"/>
      <c r="BX250" s="1" t="n"/>
      <c r="BY250" s="1" t="n"/>
      <c r="BZ250" s="1" t="n"/>
      <c r="CA250" s="1" t="n"/>
      <c r="CB250" s="1" t="n"/>
      <c r="CC250" s="1" t="n"/>
      <c r="CD250" s="1" t="n"/>
      <c r="CE250" s="1" t="n"/>
      <c r="CF250" s="1" t="n"/>
      <c r="CG250" s="1" t="n"/>
      <c r="CH250" s="1" t="n"/>
      <c r="CI250" s="1" t="n"/>
      <c r="CJ250" s="1" t="n"/>
      <c r="CK250" s="1" t="n"/>
      <c r="CL250" s="1" t="n"/>
      <c r="CM250" s="1" t="n"/>
      <c r="CN250" s="1" t="n"/>
      <c r="CO250" s="1" t="n"/>
      <c r="CP250" s="1" t="n"/>
      <c r="CQ250" s="1" t="n"/>
      <c r="CR250" s="1" t="n"/>
      <c r="CS250" s="1" t="n"/>
      <c r="CT250" s="1" t="n"/>
      <c r="CU250" s="1" t="n"/>
      <c r="CV250" s="1" t="n"/>
      <c r="CW250" s="1" t="n"/>
      <c r="CX250" s="1" t="n"/>
      <c r="CY250" s="1" t="n"/>
    </row>
    <row r="251">
      <c r="C251" s="29" t="inlineStr">
        <is>
          <t>Net Income</t>
        </is>
      </c>
      <c r="D251" s="3" t="n"/>
      <c r="E251" s="3">
        <f>E111</f>
        <v>-8270</v>
      </c>
      <c r="F251" s="3">
        <f>F111</f>
        <v>-207</v>
      </c>
      <c r="G251" s="3">
        <f>G111</f>
        <v>-665</v>
      </c>
      <c r="H251" s="3">
        <f>SUM(D251:G251)</f>
        <v>-9142</v>
      </c>
      <c r="I251" s="3">
        <f>I111</f>
        <v>1377</v>
      </c>
      <c r="J251" s="3">
        <f>J111</f>
        <v>3082</v>
      </c>
      <c r="K251" s="3">
        <f>K111</f>
        <v>6111</v>
      </c>
      <c r="L251" s="3">
        <f>L111</f>
        <v>5055</v>
      </c>
      <c r="M251" s="3">
        <f>SUM(I251:L251)</f>
        <v>15625</v>
      </c>
      <c r="N251" s="3">
        <f>N111</f>
        <v>6259</v>
      </c>
      <c r="O251" s="3">
        <f>O111</f>
        <v>11622</v>
      </c>
      <c r="P251" s="3">
        <f>P111</f>
        <v>11231</v>
      </c>
      <c r="Q251" s="3">
        <f>Q111</f>
        <v>6353</v>
      </c>
      <c r="R251" s="3">
        <f>SUM(N251:Q251)</f>
        <v>35465</v>
      </c>
      <c r="S251" s="3">
        <f>S111</f>
        <v>6574</v>
      </c>
      <c r="T251" s="3">
        <f>T111</f>
        <v>6010</v>
      </c>
      <c r="U251" s="3">
        <f>U111</f>
        <v>6526</v>
      </c>
      <c r="V251" s="3">
        <f>V111</f>
        <v>2259</v>
      </c>
      <c r="W251" s="3">
        <f>SUM(S251:V251)</f>
        <v>21369</v>
      </c>
      <c r="X251" s="3">
        <f>X111</f>
        <v>5501</v>
      </c>
      <c r="Y251" s="3">
        <f>Y111</f>
        <v>4434</v>
      </c>
      <c r="Z251" s="3">
        <f>Z111</f>
        <v>4487</v>
      </c>
      <c r="AA251" s="3">
        <f>AA111</f>
        <v>3239</v>
      </c>
      <c r="AB251" s="3">
        <f>SUM(X251:AA251)</f>
        <v>17661</v>
      </c>
      <c r="AC251" s="3">
        <f>AC111</f>
        <v>3500</v>
      </c>
      <c r="AD251" s="3">
        <f>AD111</f>
        <v>2490</v>
      </c>
      <c r="AE251" s="3">
        <f>AE111</f>
        <v>3539</v>
      </c>
      <c r="AF251" s="3">
        <f>AF111</f>
        <v>2770</v>
      </c>
      <c r="AG251" s="3">
        <f>SUM(AC251:AF251)</f>
        <v>12299</v>
      </c>
      <c r="AH251" s="3">
        <f>AH111</f>
        <v>2210</v>
      </c>
      <c r="AI251" s="3">
        <f>AI111</f>
        <v>12072</v>
      </c>
      <c r="AJ251" s="3">
        <f>AJ111</f>
        <v>-74</v>
      </c>
      <c r="AK251" s="3">
        <f>AK111</f>
        <v>-75</v>
      </c>
      <c r="AL251" s="3">
        <f>SUM(AH251:AK251)</f>
        <v>14133</v>
      </c>
      <c r="AM251" s="3">
        <f>AM111</f>
        <v>-83</v>
      </c>
      <c r="AN251" s="3">
        <f>AN111</f>
        <v>-142</v>
      </c>
      <c r="AO251" s="3">
        <f>AO111</f>
        <v>-74</v>
      </c>
      <c r="AP251" s="3">
        <f>AP111</f>
        <v>-75</v>
      </c>
      <c r="AQ251" s="3">
        <f>SUM(AM251:AP251)</f>
        <v>-374</v>
      </c>
      <c r="AR251" s="3">
        <f>AR111</f>
        <v>-83</v>
      </c>
      <c r="AS251" s="3">
        <f>AS111</f>
        <v>-142</v>
      </c>
      <c r="AT251" s="3">
        <f>AT111</f>
        <v>-74</v>
      </c>
      <c r="AU251" s="3">
        <f>AU111</f>
        <v>-75</v>
      </c>
      <c r="AV251" s="3">
        <f>SUM(AR251:AU251)</f>
        <v>-374</v>
      </c>
      <c r="AW251" s="3">
        <f>AW111</f>
        <v>-83</v>
      </c>
      <c r="AX251" s="3">
        <f>AX111</f>
        <v>-142</v>
      </c>
      <c r="AY251" s="3">
        <f>AY111</f>
        <v>-74</v>
      </c>
      <c r="AZ251" s="3">
        <f>AZ111</f>
        <v>-75</v>
      </c>
      <c r="BA251" s="3">
        <f>SUM(AW251:AZ251)</f>
        <v>-374</v>
      </c>
      <c r="BB251" s="3">
        <f>BB111</f>
        <v>-83</v>
      </c>
      <c r="BC251" s="3">
        <f>BC111</f>
        <v>-142</v>
      </c>
      <c r="BD251" s="3">
        <f>BD111</f>
        <v>-74</v>
      </c>
      <c r="BE251" s="3">
        <f>BE111</f>
        <v>-75</v>
      </c>
      <c r="BF251" s="3">
        <f>SUM(BB251:BE251)</f>
        <v>-374</v>
      </c>
      <c r="BG251" s="3">
        <f>BG111</f>
        <v>-83</v>
      </c>
      <c r="BH251" s="3">
        <f>BH111</f>
        <v>-142</v>
      </c>
      <c r="BI251" s="3">
        <f>BI111</f>
        <v>-74</v>
      </c>
      <c r="BJ251" s="3">
        <f>BJ111</f>
        <v>-75</v>
      </c>
      <c r="BK251" s="3">
        <f>SUM(BG251:BJ251)</f>
        <v>-374</v>
      </c>
      <c r="BL251" s="3">
        <f>BL111</f>
        <v>-83</v>
      </c>
      <c r="BM251" s="3">
        <f>BM111</f>
        <v>-142</v>
      </c>
      <c r="BN251" s="3">
        <f>BN111</f>
        <v>-74</v>
      </c>
      <c r="BO251" s="3">
        <f>BO111</f>
        <v>-75</v>
      </c>
      <c r="BP251" s="3">
        <f>SUM(BL251:BO251)</f>
        <v>-374</v>
      </c>
      <c r="BQ251" s="3">
        <f>BQ111</f>
        <v>-83</v>
      </c>
      <c r="BR251" s="3">
        <f>BR111</f>
        <v>-142</v>
      </c>
      <c r="BS251" s="3">
        <f>BS111</f>
        <v>-74</v>
      </c>
      <c r="BT251" s="3">
        <f>BT111</f>
        <v>-75</v>
      </c>
      <c r="BU251" s="3">
        <f>SUM(BQ251:BT251)</f>
        <v>-374</v>
      </c>
      <c r="BV251" s="3">
        <f>BV111</f>
        <v>-83</v>
      </c>
      <c r="BW251" s="3">
        <f>BW111</f>
        <v>-142</v>
      </c>
      <c r="BX251" s="3">
        <f>BX111</f>
        <v>-74</v>
      </c>
      <c r="BY251" s="3">
        <f>BY111</f>
        <v>-75</v>
      </c>
      <c r="BZ251" s="3">
        <f>SUM(BV251:BY251)</f>
        <v>-374</v>
      </c>
      <c r="CA251" s="3">
        <f>CA111</f>
        <v>-83</v>
      </c>
      <c r="CB251" s="3">
        <f>CB111</f>
        <v>-142</v>
      </c>
      <c r="CC251" s="3">
        <f>CC111</f>
        <v>-74</v>
      </c>
      <c r="CD251" s="3">
        <f>CD111</f>
        <v>-75</v>
      </c>
      <c r="CE251" s="3">
        <f>SUM(CA251:CD251)</f>
        <v>-374</v>
      </c>
      <c r="CF251" s="3">
        <f>CF111</f>
        <v>-83</v>
      </c>
      <c r="CG251" s="3">
        <f>CG111</f>
        <v>-142</v>
      </c>
      <c r="CH251" s="3">
        <f>CH111</f>
        <v>-74</v>
      </c>
      <c r="CI251" s="3">
        <f>CI111</f>
        <v>-75</v>
      </c>
      <c r="CJ251" s="3">
        <f>SUM(CF251:CI251)</f>
        <v>-374</v>
      </c>
      <c r="CK251" s="3">
        <f>CK111</f>
        <v>-83</v>
      </c>
      <c r="CL251" s="3">
        <f>CL111</f>
        <v>-142</v>
      </c>
      <c r="CM251" s="3">
        <f>CM111</f>
        <v>-74</v>
      </c>
      <c r="CN251" s="3">
        <f>CN111</f>
        <v>-75</v>
      </c>
      <c r="CO251" s="3">
        <f>SUM(CK251:CN251)</f>
        <v>-374</v>
      </c>
      <c r="CP251" s="3">
        <f>CP111</f>
        <v>-83</v>
      </c>
      <c r="CQ251" s="3">
        <f>CQ111</f>
        <v>-142</v>
      </c>
      <c r="CR251" s="3">
        <f>CR111</f>
        <v>-74</v>
      </c>
      <c r="CS251" s="3">
        <f>CS111</f>
        <v>-75</v>
      </c>
      <c r="CT251" s="3">
        <f>SUM(CP251:CS251)</f>
        <v>-374</v>
      </c>
      <c r="CU251" s="3">
        <f>CU111</f>
        <v>-83</v>
      </c>
      <c r="CV251" s="3">
        <f>CV111</f>
        <v>-142</v>
      </c>
      <c r="CW251" s="3">
        <f>CW111</f>
        <v>-74</v>
      </c>
      <c r="CX251" s="3">
        <f>CX111</f>
        <v>-75</v>
      </c>
      <c r="CY251" s="3">
        <f>SUM(CU251:CX251)</f>
        <v>-374</v>
      </c>
    </row>
    <row r="252">
      <c r="C252" s="29" t="inlineStr">
        <is>
          <t>Depreciation &amp; amortization</t>
        </is>
      </c>
      <c r="D252" s="3" t="n"/>
      <c r="E252" s="3">
        <f>-E44</f>
        <v>6717</v>
      </c>
      <c r="F252" s="3">
        <f>-F44</f>
        <v>4017</v>
      </c>
      <c r="G252" s="3">
        <f>-G44</f>
        <v>4486</v>
      </c>
      <c r="H252" s="3">
        <f>SUM(D252:G252)</f>
        <v>15220</v>
      </c>
      <c r="I252" s="3">
        <f>-I44</f>
        <v>4286</v>
      </c>
      <c r="J252" s="3">
        <f>-J44</f>
        <v>4522</v>
      </c>
      <c r="K252" s="3">
        <f>-K44</f>
        <v>4304</v>
      </c>
      <c r="L252" s="3">
        <f>-L44</f>
        <v>4813</v>
      </c>
      <c r="M252" s="3">
        <f>SUM(I252:L252)</f>
        <v>17925</v>
      </c>
      <c r="N252" s="3">
        <f>-N44</f>
        <v>3654</v>
      </c>
      <c r="O252" s="3">
        <f>-O44</f>
        <v>3700</v>
      </c>
      <c r="P252" s="3">
        <f>-P44</f>
        <v>4201</v>
      </c>
      <c r="Q252" s="3">
        <f>-Q44</f>
        <v>4764</v>
      </c>
      <c r="R252" s="3">
        <f>SUM(N252:Q252)</f>
        <v>16319</v>
      </c>
      <c r="S252" s="3">
        <f>-S44</f>
        <v>3526</v>
      </c>
      <c r="T252" s="3">
        <f>-T44</f>
        <v>3521</v>
      </c>
      <c r="U252" s="3">
        <f>-U44</f>
        <v>4025</v>
      </c>
      <c r="V252" s="3">
        <f>-V44</f>
        <v>6254</v>
      </c>
      <c r="W252" s="3">
        <f>SUM(S252:V252)</f>
        <v>17326</v>
      </c>
      <c r="X252" s="3">
        <f>-X44</f>
        <v>4091</v>
      </c>
      <c r="Y252" s="3">
        <f>-Y44</f>
        <v>4004</v>
      </c>
      <c r="Z252" s="3">
        <f>-Z44</f>
        <v>4214</v>
      </c>
      <c r="AA252" s="3">
        <f>-AA44</f>
        <v>4973</v>
      </c>
      <c r="AB252" s="3">
        <f>SUM(X252:AA252)</f>
        <v>17282</v>
      </c>
      <c r="AC252" s="3">
        <f>-AC44</f>
        <v>4123</v>
      </c>
      <c r="AD252" s="3">
        <f>-AD44</f>
        <v>4344</v>
      </c>
      <c r="AE252" s="3">
        <f>-AE44</f>
        <v>5781</v>
      </c>
      <c r="AF252" s="3">
        <f>-AF44</f>
        <v>5884</v>
      </c>
      <c r="AG252" s="3">
        <f>SUM(AC252:AF252)</f>
        <v>20132</v>
      </c>
      <c r="AH252" s="3">
        <f>-AH44</f>
        <v>5808</v>
      </c>
      <c r="AI252" s="3">
        <f>-AI44</f>
        <v>6082</v>
      </c>
      <c r="AJ252" s="3">
        <f>-AJ44</f>
        <v>0</v>
      </c>
      <c r="AK252" s="3">
        <f>-AK44</f>
        <v>0</v>
      </c>
      <c r="AL252" s="3">
        <f>SUM(AH252:AK252)</f>
        <v>11890</v>
      </c>
      <c r="AM252" s="3">
        <f>-AM44</f>
        <v>0</v>
      </c>
      <c r="AN252" s="3">
        <f>-AN44</f>
        <v>0</v>
      </c>
      <c r="AO252" s="3">
        <f>-AO44</f>
        <v>0</v>
      </c>
      <c r="AP252" s="3">
        <f>-AP44</f>
        <v>0</v>
      </c>
      <c r="AQ252" s="3">
        <f>SUM(AM252:AP252)</f>
        <v>0</v>
      </c>
      <c r="AR252" s="3">
        <f>-AR44</f>
        <v>0</v>
      </c>
      <c r="AS252" s="3">
        <f>-AS44</f>
        <v>0</v>
      </c>
      <c r="AT252" s="3">
        <f>-AT44</f>
        <v>0</v>
      </c>
      <c r="AU252" s="3">
        <f>-AU44</f>
        <v>0</v>
      </c>
      <c r="AV252" s="3">
        <f>SUM(AR252:AU252)</f>
        <v>0</v>
      </c>
      <c r="AW252" s="3">
        <f>-AW44</f>
        <v>0</v>
      </c>
      <c r="AX252" s="3">
        <f>-AX44</f>
        <v>0</v>
      </c>
      <c r="AY252" s="3">
        <f>-AY44</f>
        <v>0</v>
      </c>
      <c r="AZ252" s="3">
        <f>-AZ44</f>
        <v>0</v>
      </c>
      <c r="BA252" s="3">
        <f>SUM(AW252:AZ252)</f>
        <v>0</v>
      </c>
      <c r="BB252" s="3">
        <f>-BB44</f>
        <v>0</v>
      </c>
      <c r="BC252" s="3">
        <f>-BC44</f>
        <v>0</v>
      </c>
      <c r="BD252" s="3">
        <f>-BD44</f>
        <v>0</v>
      </c>
      <c r="BE252" s="3">
        <f>-BE44</f>
        <v>0</v>
      </c>
      <c r="BF252" s="3">
        <f>SUM(BB252:BE252)</f>
        <v>0</v>
      </c>
      <c r="BG252" s="3">
        <f>-BG44</f>
        <v>0</v>
      </c>
      <c r="BH252" s="3">
        <f>-BH44</f>
        <v>0</v>
      </c>
      <c r="BI252" s="3">
        <f>-BI44</f>
        <v>0</v>
      </c>
      <c r="BJ252" s="3">
        <f>-BJ44</f>
        <v>0</v>
      </c>
      <c r="BK252" s="3">
        <f>SUM(BG252:BJ252)</f>
        <v>0</v>
      </c>
      <c r="BL252" s="3">
        <f>-BL44</f>
        <v>0</v>
      </c>
      <c r="BM252" s="3">
        <f>-BM44</f>
        <v>0</v>
      </c>
      <c r="BN252" s="3">
        <f>-BN44</f>
        <v>0</v>
      </c>
      <c r="BO252" s="3">
        <f>-BO44</f>
        <v>0</v>
      </c>
      <c r="BP252" s="3">
        <f>SUM(BL252:BO252)</f>
        <v>0</v>
      </c>
      <c r="BQ252" s="3">
        <f>-BQ44</f>
        <v>0</v>
      </c>
      <c r="BR252" s="3">
        <f>-BR44</f>
        <v>0</v>
      </c>
      <c r="BS252" s="3">
        <f>-BS44</f>
        <v>0</v>
      </c>
      <c r="BT252" s="3">
        <f>-BT44</f>
        <v>0</v>
      </c>
      <c r="BU252" s="3">
        <f>SUM(BQ252:BT252)</f>
        <v>0</v>
      </c>
      <c r="BV252" s="3">
        <f>-BV44</f>
        <v>0</v>
      </c>
      <c r="BW252" s="3">
        <f>-BW44</f>
        <v>0</v>
      </c>
      <c r="BX252" s="3">
        <f>-BX44</f>
        <v>0</v>
      </c>
      <c r="BY252" s="3">
        <f>-BY44</f>
        <v>0</v>
      </c>
      <c r="BZ252" s="3">
        <f>SUM(BV252:BY252)</f>
        <v>0</v>
      </c>
      <c r="CA252" s="3">
        <f>-CA44</f>
        <v>0</v>
      </c>
      <c r="CB252" s="3">
        <f>-CB44</f>
        <v>0</v>
      </c>
      <c r="CC252" s="3">
        <f>-CC44</f>
        <v>0</v>
      </c>
      <c r="CD252" s="3">
        <f>-CD44</f>
        <v>0</v>
      </c>
      <c r="CE252" s="3">
        <f>SUM(CA252:CD252)</f>
        <v>0</v>
      </c>
      <c r="CF252" s="3">
        <f>-CF44</f>
        <v>0</v>
      </c>
      <c r="CG252" s="3">
        <f>-CG44</f>
        <v>0</v>
      </c>
      <c r="CH252" s="3">
        <f>-CH44</f>
        <v>0</v>
      </c>
      <c r="CI252" s="3">
        <f>-CI44</f>
        <v>0</v>
      </c>
      <c r="CJ252" s="3">
        <f>SUM(CF252:CI252)</f>
        <v>0</v>
      </c>
      <c r="CK252" s="3">
        <f>-CK44</f>
        <v>0</v>
      </c>
      <c r="CL252" s="3">
        <f>-CL44</f>
        <v>0</v>
      </c>
      <c r="CM252" s="3">
        <f>-CM44</f>
        <v>0</v>
      </c>
      <c r="CN252" s="3">
        <f>-CN44</f>
        <v>0</v>
      </c>
      <c r="CO252" s="3">
        <f>SUM(CK252:CN252)</f>
        <v>0</v>
      </c>
      <c r="CP252" s="3">
        <f>-CP44</f>
        <v>0</v>
      </c>
      <c r="CQ252" s="3">
        <f>-CQ44</f>
        <v>0</v>
      </c>
      <c r="CR252" s="3">
        <f>-CR44</f>
        <v>0</v>
      </c>
      <c r="CS252" s="3">
        <f>-CS44</f>
        <v>0</v>
      </c>
      <c r="CT252" s="3">
        <f>SUM(CP252:CS252)</f>
        <v>0</v>
      </c>
      <c r="CU252" s="3">
        <f>-CU44</f>
        <v>0</v>
      </c>
      <c r="CV252" s="3">
        <f>-CV44</f>
        <v>0</v>
      </c>
      <c r="CW252" s="3">
        <f>-CW44</f>
        <v>0</v>
      </c>
      <c r="CX252" s="3">
        <f>-CX44</f>
        <v>0</v>
      </c>
      <c r="CY252" s="3">
        <f>SUM(CU252:CX252)</f>
        <v>0</v>
      </c>
    </row>
    <row r="253">
      <c r="C253" s="29" t="inlineStr">
        <is>
          <t xml:space="preserve">Changes in working capital </t>
        </is>
      </c>
      <c r="D253" s="3" t="n"/>
      <c r="E253" s="3">
        <f>SUM(E254:E263)</f>
        <v>19</v>
      </c>
      <c r="F253" s="3">
        <f>SUM(F254:F263)</f>
        <v>473</v>
      </c>
      <c r="G253" s="3">
        <f>SUM(G254:G263)</f>
        <v>2173</v>
      </c>
      <c r="H253" s="3">
        <f>SUM(D253:G253)</f>
        <v>2665</v>
      </c>
      <c r="I253" s="3">
        <f>SUM(I254:I263)</f>
        <v>-2445</v>
      </c>
      <c r="J253" s="3">
        <f>SUM(J254:J263)</f>
        <v>139</v>
      </c>
      <c r="K253" s="3">
        <f>SUM(K254:K263)</f>
        <v>1489</v>
      </c>
      <c r="L253" s="3">
        <f>SUM(L254:L263)</f>
        <v>1157</v>
      </c>
      <c r="M253" s="3">
        <f>SUM(I253:L253)</f>
        <v>340</v>
      </c>
      <c r="N253" s="3">
        <f>SUM(N254:N263)</f>
        <v>-5758</v>
      </c>
      <c r="O253" s="3">
        <f>SUM(O254:O263)</f>
        <v>11276</v>
      </c>
      <c r="P253" s="3">
        <f>SUM(P254:P263)</f>
        <v>2191</v>
      </c>
      <c r="Q253" s="3">
        <f>SUM(Q254:Q263)</f>
        <v>1727</v>
      </c>
      <c r="R253" s="3">
        <f>SUM(N253:Q253)</f>
        <v>9436</v>
      </c>
      <c r="S253" s="3">
        <f>SUM(S254:S263)</f>
        <v>-946</v>
      </c>
      <c r="T253" s="3">
        <f>SUM(T254:T263)</f>
        <v>-2138</v>
      </c>
      <c r="U253" s="3">
        <f>SUM(U254:U263)</f>
        <v>2817</v>
      </c>
      <c r="V253" s="3">
        <f>SUM(V254:V263)</f>
        <v>988</v>
      </c>
      <c r="W253" s="3">
        <f>SUM(S253:V253)</f>
        <v>721</v>
      </c>
      <c r="X253" s="3">
        <f>SUM(X254:X263)</f>
        <v>-120</v>
      </c>
      <c r="Y253" s="3">
        <f>SUM(Y254:Y263)</f>
        <v>-1094</v>
      </c>
      <c r="Z253" s="3">
        <f>SUM(Z254:Z263)</f>
        <v>-4154</v>
      </c>
      <c r="AA253" s="3">
        <f>SUM(AA254:AA263)</f>
        <v>92</v>
      </c>
      <c r="AB253" s="3">
        <f>SUM(X253:AA253)</f>
        <v>-5276</v>
      </c>
      <c r="AC253" s="3">
        <f>SUM(AC254:AC263)</f>
        <v>268</v>
      </c>
      <c r="AD253" s="3">
        <f>SUM(AD254:AD263)</f>
        <v>1007</v>
      </c>
      <c r="AE253" s="3">
        <f>SUM(AE254:AE263)</f>
        <v>7158</v>
      </c>
      <c r="AF253" s="3">
        <f>SUM(AF254:AF263)</f>
        <v>3061</v>
      </c>
      <c r="AG253" s="3">
        <f>SUM(AC253:AF253)</f>
        <v>11494</v>
      </c>
      <c r="AH253" s="3">
        <f>SUM(AH254:AH263)</f>
        <v>-3739</v>
      </c>
      <c r="AI253" s="3">
        <f>SUM(AI254:AI263)</f>
        <v>-91</v>
      </c>
      <c r="AJ253" s="3">
        <f>SUM(AJ254:AJ263)</f>
        <v>-12888</v>
      </c>
      <c r="AK253" s="3">
        <f>SUM(AK254:AK263)</f>
        <v>0</v>
      </c>
      <c r="AL253" s="3">
        <f>SUM(AH253:AK253)</f>
        <v>-16718</v>
      </c>
      <c r="AM253" s="3" t="e">
        <f>SUM(AM254:AM263)</f>
        <v>#DIV/0!</v>
      </c>
      <c r="AN253" s="3" t="e">
        <f>SUM(AN254:AN263)</f>
        <v>#DIV/0!</v>
      </c>
      <c r="AO253" s="3" t="e">
        <f>SUM(AO254:AO263)</f>
        <v>#DIV/0!</v>
      </c>
      <c r="AP253" s="3" t="e">
        <f>SUM(AP254:AP263)</f>
        <v>#DIV/0!</v>
      </c>
      <c r="AQ253" s="3" t="e">
        <f>SUM(AM253:AP253)</f>
        <v>#DIV/0!</v>
      </c>
      <c r="AR253" s="3" t="e">
        <f>SUM(AR254:AR263)</f>
        <v>#DIV/0!</v>
      </c>
      <c r="AS253" s="3" t="e">
        <f>SUM(AS254:AS263)</f>
        <v>#DIV/0!</v>
      </c>
      <c r="AT253" s="3" t="e">
        <f>SUM(AT254:AT263)</f>
        <v>#DIV/0!</v>
      </c>
      <c r="AU253" s="3" t="e">
        <f>SUM(AU254:AU263)</f>
        <v>#DIV/0!</v>
      </c>
      <c r="AV253" s="3" t="e">
        <f>SUM(AR253:AU253)</f>
        <v>#DIV/0!</v>
      </c>
      <c r="AW253" s="3" t="e">
        <f>SUM(AW254:AW263)</f>
        <v>#DIV/0!</v>
      </c>
      <c r="AX253" s="3" t="e">
        <f>SUM(AX254:AX263)</f>
        <v>#DIV/0!</v>
      </c>
      <c r="AY253" s="3" t="e">
        <f>SUM(AY254:AY263)</f>
        <v>#DIV/0!</v>
      </c>
      <c r="AZ253" s="3" t="e">
        <f>SUM(AZ254:AZ263)</f>
        <v>#DIV/0!</v>
      </c>
      <c r="BA253" s="3" t="e">
        <f>SUM(AW253:AZ253)</f>
        <v>#DIV/0!</v>
      </c>
      <c r="BB253" s="3" t="e">
        <f>SUM(BB254:BB263)</f>
        <v>#DIV/0!</v>
      </c>
      <c r="BC253" s="3" t="e">
        <f>SUM(BC254:BC263)</f>
        <v>#DIV/0!</v>
      </c>
      <c r="BD253" s="3" t="e">
        <f>SUM(BD254:BD263)</f>
        <v>#DIV/0!</v>
      </c>
      <c r="BE253" s="3" t="e">
        <f>SUM(BE254:BE263)</f>
        <v>#DIV/0!</v>
      </c>
      <c r="BF253" s="3" t="e">
        <f>SUM(BB253:BE253)</f>
        <v>#DIV/0!</v>
      </c>
      <c r="BG253" s="3" t="e">
        <f>SUM(BG254:BG263)</f>
        <v>#DIV/0!</v>
      </c>
      <c r="BH253" s="3" t="e">
        <f>SUM(BH254:BH263)</f>
        <v>#DIV/0!</v>
      </c>
      <c r="BI253" s="3" t="e">
        <f>SUM(BI254:BI263)</f>
        <v>#DIV/0!</v>
      </c>
      <c r="BJ253" s="3" t="e">
        <f>SUM(BJ254:BJ263)</f>
        <v>#DIV/0!</v>
      </c>
      <c r="BK253" s="3" t="e">
        <f>SUM(BG253:BJ253)</f>
        <v>#DIV/0!</v>
      </c>
      <c r="BL253" s="3" t="e">
        <f>SUM(BL254:BL263)</f>
        <v>#DIV/0!</v>
      </c>
      <c r="BM253" s="3" t="e">
        <f>SUM(BM254:BM263)</f>
        <v>#DIV/0!</v>
      </c>
      <c r="BN253" s="3" t="e">
        <f>SUM(BN254:BN263)</f>
        <v>#DIV/0!</v>
      </c>
      <c r="BO253" s="3" t="e">
        <f>SUM(BO254:BO263)</f>
        <v>#DIV/0!</v>
      </c>
      <c r="BP253" s="3" t="e">
        <f>SUM(BL253:BO253)</f>
        <v>#DIV/0!</v>
      </c>
      <c r="BQ253" s="3" t="e">
        <f>SUM(BQ254:BQ263)</f>
        <v>#DIV/0!</v>
      </c>
      <c r="BR253" s="3" t="e">
        <f>SUM(BR254:BR263)</f>
        <v>#DIV/0!</v>
      </c>
      <c r="BS253" s="3" t="e">
        <f>SUM(BS254:BS263)</f>
        <v>#DIV/0!</v>
      </c>
      <c r="BT253" s="3" t="e">
        <f>SUM(BT254:BT263)</f>
        <v>#DIV/0!</v>
      </c>
      <c r="BU253" s="3" t="e">
        <f>SUM(BQ253:BT253)</f>
        <v>#DIV/0!</v>
      </c>
      <c r="BV253" s="3" t="e">
        <f>SUM(BV254:BV263)</f>
        <v>#DIV/0!</v>
      </c>
      <c r="BW253" s="3" t="e">
        <f>SUM(BW254:BW263)</f>
        <v>#DIV/0!</v>
      </c>
      <c r="BX253" s="3" t="e">
        <f>SUM(BX254:BX263)</f>
        <v>#DIV/0!</v>
      </c>
      <c r="BY253" s="3" t="e">
        <f>SUM(BY254:BY263)</f>
        <v>#DIV/0!</v>
      </c>
      <c r="BZ253" s="3" t="e">
        <f>SUM(BV253:BY253)</f>
        <v>#DIV/0!</v>
      </c>
      <c r="CA253" s="3" t="e">
        <f>SUM(CA254:CA263)</f>
        <v>#DIV/0!</v>
      </c>
      <c r="CB253" s="3" t="e">
        <f>SUM(CB254:CB263)</f>
        <v>#DIV/0!</v>
      </c>
      <c r="CC253" s="3" t="e">
        <f>SUM(CC254:CC263)</f>
        <v>#DIV/0!</v>
      </c>
      <c r="CD253" s="3" t="e">
        <f>SUM(CD254:CD263)</f>
        <v>#DIV/0!</v>
      </c>
      <c r="CE253" s="3" t="e">
        <f>SUM(CA253:CD253)</f>
        <v>#DIV/0!</v>
      </c>
      <c r="CF253" s="3" t="e">
        <f>SUM(CF254:CF263)</f>
        <v>#DIV/0!</v>
      </c>
      <c r="CG253" s="3" t="e">
        <f>SUM(CG254:CG263)</f>
        <v>#DIV/0!</v>
      </c>
      <c r="CH253" s="3" t="e">
        <f>SUM(CH254:CH263)</f>
        <v>#DIV/0!</v>
      </c>
      <c r="CI253" s="3" t="e">
        <f>SUM(CI254:CI263)</f>
        <v>#DIV/0!</v>
      </c>
      <c r="CJ253" s="3" t="e">
        <f>SUM(CF253:CI253)</f>
        <v>#DIV/0!</v>
      </c>
      <c r="CK253" s="3" t="e">
        <f>SUM(CK254:CK263)</f>
        <v>#DIV/0!</v>
      </c>
      <c r="CL253" s="3" t="e">
        <f>SUM(CL254:CL263)</f>
        <v>#DIV/0!</v>
      </c>
      <c r="CM253" s="3" t="e">
        <f>SUM(CM254:CM263)</f>
        <v>#DIV/0!</v>
      </c>
      <c r="CN253" s="3" t="e">
        <f>SUM(CN254:CN263)</f>
        <v>#DIV/0!</v>
      </c>
      <c r="CO253" s="3" t="e">
        <f>SUM(CK253:CN253)</f>
        <v>#DIV/0!</v>
      </c>
      <c r="CP253" s="3" t="e">
        <f>SUM(CP254:CP263)</f>
        <v>#DIV/0!</v>
      </c>
      <c r="CQ253" s="3" t="e">
        <f>SUM(CQ254:CQ263)</f>
        <v>#DIV/0!</v>
      </c>
      <c r="CR253" s="3" t="e">
        <f>SUM(CR254:CR263)</f>
        <v>#DIV/0!</v>
      </c>
      <c r="CS253" s="3" t="e">
        <f>SUM(CS254:CS263)</f>
        <v>#DIV/0!</v>
      </c>
      <c r="CT253" s="3" t="e">
        <f>SUM(CP253:CS253)</f>
        <v>#DIV/0!</v>
      </c>
      <c r="CU253" s="3" t="e">
        <f>SUM(CU254:CU263)</f>
        <v>#DIV/0!</v>
      </c>
      <c r="CV253" s="3" t="e">
        <f>SUM(CV254:CV263)</f>
        <v>#DIV/0!</v>
      </c>
      <c r="CW253" s="3" t="e">
        <f>SUM(CW254:CW263)</f>
        <v>#DIV/0!</v>
      </c>
      <c r="CX253" s="3" t="e">
        <f>SUM(CX254:CX263)</f>
        <v>#DIV/0!</v>
      </c>
      <c r="CY253" s="3" t="e">
        <f>SUM(CU253:CX253)</f>
        <v>#DIV/0!</v>
      </c>
    </row>
    <row r="254" hidden="1" outlineLevel="1">
      <c r="C254" s="29" t="inlineStr">
        <is>
          <t>Accounts receivable</t>
        </is>
      </c>
      <c r="D254" s="3" t="n"/>
      <c r="E254" s="3">
        <f>(E119-D119)*-1</f>
        <v>1597</v>
      </c>
      <c r="F254" s="3">
        <f>(F119-E119)*-1</f>
        <v>-1152</v>
      </c>
      <c r="G254" s="3">
        <f>(G119-F119)*-1</f>
        <v>-1749</v>
      </c>
      <c r="H254" s="3">
        <f>SUM(D254:G254)</f>
        <v>-1304</v>
      </c>
      <c r="I254" s="3">
        <f>(I119-H119)*-1</f>
        <v>-2647</v>
      </c>
      <c r="J254" s="3">
        <f>(J119-I119)*-1</f>
        <v>-1587</v>
      </c>
      <c r="K254" s="3">
        <f>(K119-J119)*-1</f>
        <v>-862</v>
      </c>
      <c r="L254" s="3">
        <f>(L119-K119)*-1</f>
        <v>-1852</v>
      </c>
      <c r="M254" s="3">
        <f>SUM(I254:L254)</f>
        <v>-6948</v>
      </c>
      <c r="N254" s="3">
        <f>(N119-M119)*-1</f>
        <v>-4836</v>
      </c>
      <c r="O254" s="3">
        <f>(O119-N119)*-1</f>
        <v>-3605</v>
      </c>
      <c r="P254" s="3">
        <f>(P119-O119)*-1</f>
        <v>4394</v>
      </c>
      <c r="Q254" s="3">
        <f>(Q119-P119)*-1</f>
        <v>2010</v>
      </c>
      <c r="R254" s="3">
        <f>SUM(N254:Q254)</f>
        <v>-2037</v>
      </c>
      <c r="S254" s="3">
        <f>(S119-R119)*-1</f>
        <v>1435</v>
      </c>
      <c r="T254" s="3">
        <f>(T119-S119)*-1</f>
        <v>-264</v>
      </c>
      <c r="U254" s="3">
        <f>(U119-T119)*-1</f>
        <v>-2708</v>
      </c>
      <c r="V254" s="3">
        <f>(V119-U119)*-1</f>
        <v>2072</v>
      </c>
      <c r="W254" s="3">
        <f>SUM(S254:V254)</f>
        <v>535</v>
      </c>
      <c r="X254" s="3">
        <f>(X119-W119)*-1</f>
        <v>-493</v>
      </c>
      <c r="Y254" s="3">
        <f>(Y119-X119)*-1</f>
        <v>-338</v>
      </c>
      <c r="Z254" s="3">
        <f>(Z119-Y119)*-1</f>
        <v>1161</v>
      </c>
      <c r="AA254" s="3">
        <f>(AA119-Z119)*-1</f>
        <v>-1093</v>
      </c>
      <c r="AB254" s="3">
        <f>SUM(X254:AA254)</f>
        <v>-763</v>
      </c>
      <c r="AC254" s="3">
        <f>(AC119-AB119)*-1</f>
        <v>1124</v>
      </c>
      <c r="AD254" s="3">
        <f>(AD119-AC119)*-1</f>
        <v>1897</v>
      </c>
      <c r="AE254" s="3">
        <f>(AE119-AD119)*-1</f>
        <v>-224</v>
      </c>
      <c r="AF254" s="3">
        <f>(AF119-AE119)*-1</f>
        <v>-188</v>
      </c>
      <c r="AG254" s="3">
        <f>SUM(AC254:AF254)</f>
        <v>2609</v>
      </c>
      <c r="AH254" s="3">
        <f>(AH119-AG119)*-1</f>
        <v>-7181</v>
      </c>
      <c r="AI254" s="3">
        <f>(AI119-AH119)*-1</f>
        <v>681</v>
      </c>
      <c r="AJ254" s="3">
        <f>(AJ119-AI119)*-1</f>
        <v>24575</v>
      </c>
      <c r="AK254" s="3">
        <f>(AK119-AJ119)*-1</f>
        <v>0</v>
      </c>
      <c r="AL254" s="3">
        <f>SUM(AH254:AK254)</f>
        <v>18075</v>
      </c>
      <c r="AM254" s="3">
        <f>(AM119-AL119)*-1</f>
        <v>0</v>
      </c>
      <c r="AN254" s="3">
        <f>(AN119-AM119)*-1</f>
        <v>0</v>
      </c>
      <c r="AO254" s="3">
        <f>(AO119-AN119)*-1</f>
        <v>0</v>
      </c>
      <c r="AP254" s="3">
        <f>(AP119-AO119)*-1</f>
        <v>0</v>
      </c>
      <c r="AQ254" s="3">
        <f>SUM(AM254:AP254)</f>
        <v>0</v>
      </c>
      <c r="AR254" s="3">
        <f>(AR119-AQ119)*-1</f>
        <v>0</v>
      </c>
      <c r="AS254" s="3">
        <f>(AS119-AR119)*-1</f>
        <v>0</v>
      </c>
      <c r="AT254" s="3">
        <f>(AT119-AS119)*-1</f>
        <v>0</v>
      </c>
      <c r="AU254" s="3">
        <f>(AU119-AT119)*-1</f>
        <v>0</v>
      </c>
      <c r="AV254" s="3">
        <f>SUM(AR254:AU254)</f>
        <v>0</v>
      </c>
      <c r="AW254" s="3">
        <f>(AW119-AV119)*-1</f>
        <v>0</v>
      </c>
      <c r="AX254" s="3">
        <f>(AX119-AW119)*-1</f>
        <v>0</v>
      </c>
      <c r="AY254" s="3">
        <f>(AY119-AX119)*-1</f>
        <v>0</v>
      </c>
      <c r="AZ254" s="3">
        <f>(AZ119-AY119)*-1</f>
        <v>0</v>
      </c>
      <c r="BA254" s="3">
        <f>SUM(AW254:AZ254)</f>
        <v>0</v>
      </c>
      <c r="BB254" s="3">
        <f>(BB119-BA119)*-1</f>
        <v>0</v>
      </c>
      <c r="BC254" s="3">
        <f>(BC119-BB119)*-1</f>
        <v>0</v>
      </c>
      <c r="BD254" s="3">
        <f>(BD119-BC119)*-1</f>
        <v>0</v>
      </c>
      <c r="BE254" s="3">
        <f>(BE119-BD119)*-1</f>
        <v>0</v>
      </c>
      <c r="BF254" s="3">
        <f>SUM(BB254:BE254)</f>
        <v>0</v>
      </c>
      <c r="BG254" s="3">
        <f>(BG119-BF119)*-1</f>
        <v>0</v>
      </c>
      <c r="BH254" s="3">
        <f>(BH119-BG119)*-1</f>
        <v>0</v>
      </c>
      <c r="BI254" s="3">
        <f>(BI119-BH119)*-1</f>
        <v>0</v>
      </c>
      <c r="BJ254" s="3">
        <f>(BJ119-BI119)*-1</f>
        <v>0</v>
      </c>
      <c r="BK254" s="3">
        <f>SUM(BG254:BJ254)</f>
        <v>0</v>
      </c>
      <c r="BL254" s="3">
        <f>(BL119-BK119)*-1</f>
        <v>0</v>
      </c>
      <c r="BM254" s="3">
        <f>(BM119-BL119)*-1</f>
        <v>0</v>
      </c>
      <c r="BN254" s="3">
        <f>(BN119-BM119)*-1</f>
        <v>0</v>
      </c>
      <c r="BO254" s="3">
        <f>(BO119-BN119)*-1</f>
        <v>0</v>
      </c>
      <c r="BP254" s="3">
        <f>SUM(BL254:BO254)</f>
        <v>0</v>
      </c>
      <c r="BQ254" s="3">
        <f>(BQ119-BP119)*-1</f>
        <v>0</v>
      </c>
      <c r="BR254" s="3">
        <f>(BR119-BQ119)*-1</f>
        <v>0</v>
      </c>
      <c r="BS254" s="3">
        <f>(BS119-BR119)*-1</f>
        <v>0</v>
      </c>
      <c r="BT254" s="3">
        <f>(BT119-BS119)*-1</f>
        <v>0</v>
      </c>
      <c r="BU254" s="3">
        <f>SUM(BQ254:BT254)</f>
        <v>0</v>
      </c>
      <c r="BV254" s="3">
        <f>(BV119-BU119)*-1</f>
        <v>0</v>
      </c>
      <c r="BW254" s="3">
        <f>(BW119-BV119)*-1</f>
        <v>0</v>
      </c>
      <c r="BX254" s="3">
        <f>(BX119-BW119)*-1</f>
        <v>0</v>
      </c>
      <c r="BY254" s="3">
        <f>(BY119-BX119)*-1</f>
        <v>0</v>
      </c>
      <c r="BZ254" s="3">
        <f>SUM(BV254:BY254)</f>
        <v>0</v>
      </c>
      <c r="CA254" s="3">
        <f>(CA119-BZ119)*-1</f>
        <v>0</v>
      </c>
      <c r="CB254" s="3">
        <f>(CB119-CA119)*-1</f>
        <v>0</v>
      </c>
      <c r="CC254" s="3">
        <f>(CC119-CB119)*-1</f>
        <v>0</v>
      </c>
      <c r="CD254" s="3">
        <f>(CD119-CC119)*-1</f>
        <v>0</v>
      </c>
      <c r="CE254" s="3">
        <f>SUM(CA254:CD254)</f>
        <v>0</v>
      </c>
      <c r="CF254" s="3">
        <f>(CF119-CE119)*-1</f>
        <v>0</v>
      </c>
      <c r="CG254" s="3">
        <f>(CG119-CF119)*-1</f>
        <v>0</v>
      </c>
      <c r="CH254" s="3">
        <f>(CH119-CG119)*-1</f>
        <v>0</v>
      </c>
      <c r="CI254" s="3">
        <f>(CI119-CH119)*-1</f>
        <v>0</v>
      </c>
      <c r="CJ254" s="3">
        <f>SUM(CF254:CI254)</f>
        <v>0</v>
      </c>
      <c r="CK254" s="3">
        <f>(CK119-CJ119)*-1</f>
        <v>0</v>
      </c>
      <c r="CL254" s="3">
        <f>(CL119-CK119)*-1</f>
        <v>0</v>
      </c>
      <c r="CM254" s="3">
        <f>(CM119-CL119)*-1</f>
        <v>0</v>
      </c>
      <c r="CN254" s="3">
        <f>(CN119-CM119)*-1</f>
        <v>0</v>
      </c>
      <c r="CO254" s="3">
        <f>SUM(CK254:CN254)</f>
        <v>0</v>
      </c>
      <c r="CP254" s="3">
        <f>(CP119-CO119)*-1</f>
        <v>0</v>
      </c>
      <c r="CQ254" s="3">
        <f>(CQ119-CP119)*-1</f>
        <v>0</v>
      </c>
      <c r="CR254" s="3">
        <f>(CR119-CQ119)*-1</f>
        <v>0</v>
      </c>
      <c r="CS254" s="3">
        <f>(CS119-CR119)*-1</f>
        <v>0</v>
      </c>
      <c r="CT254" s="3">
        <f>SUM(CP254:CS254)</f>
        <v>0</v>
      </c>
      <c r="CU254" s="3">
        <f>(CU119-CT119)*-1</f>
        <v>0</v>
      </c>
      <c r="CV254" s="3">
        <f>(CV119-CU119)*-1</f>
        <v>0</v>
      </c>
      <c r="CW254" s="3">
        <f>(CW119-CV119)*-1</f>
        <v>0</v>
      </c>
      <c r="CX254" s="3">
        <f>(CX119-CW119)*-1</f>
        <v>0</v>
      </c>
      <c r="CY254" s="3">
        <f>SUM(CU254:CX254)</f>
        <v>0</v>
      </c>
    </row>
    <row r="255" hidden="1" outlineLevel="1">
      <c r="C255" s="29" t="inlineStr">
        <is>
          <t>Inventories</t>
        </is>
      </c>
      <c r="D255" s="3" t="n"/>
      <c r="E255" s="3">
        <f>(E123-D123)*-1</f>
        <v>0</v>
      </c>
      <c r="F255" s="3">
        <f>(F123-E123)*-1</f>
        <v>0</v>
      </c>
      <c r="G255" s="3">
        <f>(G123-F123)*-1</f>
        <v>0</v>
      </c>
      <c r="H255" s="3">
        <f>SUM(D255:G255)</f>
        <v>0</v>
      </c>
      <c r="I255" s="3">
        <f>(I123-H123)*-1</f>
        <v>0</v>
      </c>
      <c r="J255" s="3">
        <f>(J123-I123)*-1</f>
        <v>0</v>
      </c>
      <c r="K255" s="3">
        <f>(K123-J123)*-1</f>
        <v>0</v>
      </c>
      <c r="L255" s="3">
        <f>(L123-K123)*-1</f>
        <v>0</v>
      </c>
      <c r="M255" s="3">
        <f>SUM(I255:L255)</f>
        <v>0</v>
      </c>
      <c r="N255" s="3">
        <f>(N123-M123)*-1</f>
        <v>0</v>
      </c>
      <c r="O255" s="3">
        <f>(O123-N123)*-1</f>
        <v>0</v>
      </c>
      <c r="P255" s="3">
        <f>(P123-O123)*-1</f>
        <v>0</v>
      </c>
      <c r="Q255" s="3">
        <f>(Q123-P123)*-1</f>
        <v>0</v>
      </c>
      <c r="R255" s="3">
        <f>SUM(N255:Q255)</f>
        <v>0</v>
      </c>
      <c r="S255" s="3">
        <f>(S123-R123)*-1</f>
        <v>0</v>
      </c>
      <c r="T255" s="3">
        <f>(T123-S123)*-1</f>
        <v>0</v>
      </c>
      <c r="U255" s="3">
        <f>(U123-T123)*-1</f>
        <v>0</v>
      </c>
      <c r="V255" s="3">
        <f>(V123-U123)*-1</f>
        <v>0</v>
      </c>
      <c r="W255" s="3">
        <f>SUM(S255:V255)</f>
        <v>0</v>
      </c>
      <c r="X255" s="3">
        <f>(X123-W123)*-1</f>
        <v>0</v>
      </c>
      <c r="Y255" s="3">
        <f>(Y123-X123)*-1</f>
        <v>0</v>
      </c>
      <c r="Z255" s="3">
        <f>(Z123-Y123)*-1</f>
        <v>0</v>
      </c>
      <c r="AA255" s="3">
        <f>(AA123-Z123)*-1</f>
        <v>0</v>
      </c>
      <c r="AB255" s="3">
        <f>SUM(X255:AA255)</f>
        <v>0</v>
      </c>
      <c r="AC255" s="3">
        <f>(AC123-AB123)*-1</f>
        <v>0</v>
      </c>
      <c r="AD255" s="3">
        <f>(AD123-AC123)*-1</f>
        <v>0</v>
      </c>
      <c r="AE255" s="3">
        <f>(AE123-AD123)*-1</f>
        <v>0</v>
      </c>
      <c r="AF255" s="3">
        <f>(AF123-AE123)*-1</f>
        <v>0</v>
      </c>
      <c r="AG255" s="3">
        <f>SUM(AC255:AF255)</f>
        <v>0</v>
      </c>
      <c r="AH255" s="3">
        <f>(AH123-AG123)*-1</f>
        <v>0</v>
      </c>
      <c r="AI255" s="3">
        <f>(AI123-AH123)*-1</f>
        <v>0</v>
      </c>
      <c r="AJ255" s="3">
        <f>(AJ123-AI123)*-1</f>
        <v>0</v>
      </c>
      <c r="AK255" s="3">
        <f>(AK123-AJ123)*-1</f>
        <v>0</v>
      </c>
      <c r="AL255" s="3">
        <f>SUM(AH255:AK255)</f>
        <v>0</v>
      </c>
      <c r="AM255" s="3">
        <f>(AM123-AL123)*-1</f>
        <v>0</v>
      </c>
      <c r="AN255" s="3">
        <f>(AN123-AM123)*-1</f>
        <v>0</v>
      </c>
      <c r="AO255" s="3">
        <f>(AO123-AN123)*-1</f>
        <v>0</v>
      </c>
      <c r="AP255" s="3">
        <f>(AP123-AO123)*-1</f>
        <v>0</v>
      </c>
      <c r="AQ255" s="3">
        <f>SUM(AM255:AP255)</f>
        <v>0</v>
      </c>
      <c r="AR255" s="3">
        <f>(AR123-AQ123)*-1</f>
        <v>0</v>
      </c>
      <c r="AS255" s="3">
        <f>(AS123-AR123)*-1</f>
        <v>0</v>
      </c>
      <c r="AT255" s="3">
        <f>(AT123-AS123)*-1</f>
        <v>0</v>
      </c>
      <c r="AU255" s="3">
        <f>(AU123-AT123)*-1</f>
        <v>0</v>
      </c>
      <c r="AV255" s="3">
        <f>SUM(AR255:AU255)</f>
        <v>0</v>
      </c>
      <c r="AW255" s="3">
        <f>(AW123-AV123)*-1</f>
        <v>0</v>
      </c>
      <c r="AX255" s="3">
        <f>(AX123-AW123)*-1</f>
        <v>0</v>
      </c>
      <c r="AY255" s="3">
        <f>(AY123-AX123)*-1</f>
        <v>0</v>
      </c>
      <c r="AZ255" s="3">
        <f>(AZ123-AY123)*-1</f>
        <v>0</v>
      </c>
      <c r="BA255" s="3">
        <f>SUM(AW255:AZ255)</f>
        <v>0</v>
      </c>
      <c r="BB255" s="3">
        <f>(BB123-BA123)*-1</f>
        <v>0</v>
      </c>
      <c r="BC255" s="3">
        <f>(BC123-BB123)*-1</f>
        <v>0</v>
      </c>
      <c r="BD255" s="3">
        <f>(BD123-BC123)*-1</f>
        <v>0</v>
      </c>
      <c r="BE255" s="3">
        <f>(BE123-BD123)*-1</f>
        <v>0</v>
      </c>
      <c r="BF255" s="3">
        <f>SUM(BB255:BE255)</f>
        <v>0</v>
      </c>
      <c r="BG255" s="3">
        <f>(BG123-BF123)*-1</f>
        <v>0</v>
      </c>
      <c r="BH255" s="3">
        <f>(BH123-BG123)*-1</f>
        <v>0</v>
      </c>
      <c r="BI255" s="3">
        <f>(BI123-BH123)*-1</f>
        <v>0</v>
      </c>
      <c r="BJ255" s="3">
        <f>(BJ123-BI123)*-1</f>
        <v>0</v>
      </c>
      <c r="BK255" s="3">
        <f>SUM(BG255:BJ255)</f>
        <v>0</v>
      </c>
      <c r="BL255" s="3">
        <f>(BL123-BK123)*-1</f>
        <v>0</v>
      </c>
      <c r="BM255" s="3">
        <f>(BM123-BL123)*-1</f>
        <v>0</v>
      </c>
      <c r="BN255" s="3">
        <f>(BN123-BM123)*-1</f>
        <v>0</v>
      </c>
      <c r="BO255" s="3">
        <f>(BO123-BN123)*-1</f>
        <v>0</v>
      </c>
      <c r="BP255" s="3">
        <f>SUM(BL255:BO255)</f>
        <v>0</v>
      </c>
      <c r="BQ255" s="3">
        <f>(BQ123-BP123)*-1</f>
        <v>0</v>
      </c>
      <c r="BR255" s="3">
        <f>(BR123-BQ123)*-1</f>
        <v>0</v>
      </c>
      <c r="BS255" s="3">
        <f>(BS123-BR123)*-1</f>
        <v>0</v>
      </c>
      <c r="BT255" s="3">
        <f>(BT123-BS123)*-1</f>
        <v>0</v>
      </c>
      <c r="BU255" s="3">
        <f>SUM(BQ255:BT255)</f>
        <v>0</v>
      </c>
      <c r="BV255" s="3">
        <f>(BV123-BU123)*-1</f>
        <v>0</v>
      </c>
      <c r="BW255" s="3">
        <f>(BW123-BV123)*-1</f>
        <v>0</v>
      </c>
      <c r="BX255" s="3">
        <f>(BX123-BW123)*-1</f>
        <v>0</v>
      </c>
      <c r="BY255" s="3">
        <f>(BY123-BX123)*-1</f>
        <v>0</v>
      </c>
      <c r="BZ255" s="3">
        <f>SUM(BV255:BY255)</f>
        <v>0</v>
      </c>
      <c r="CA255" s="3">
        <f>(CA123-BZ123)*-1</f>
        <v>0</v>
      </c>
      <c r="CB255" s="3">
        <f>(CB123-CA123)*-1</f>
        <v>0</v>
      </c>
      <c r="CC255" s="3">
        <f>(CC123-CB123)*-1</f>
        <v>0</v>
      </c>
      <c r="CD255" s="3">
        <f>(CD123-CC123)*-1</f>
        <v>0</v>
      </c>
      <c r="CE255" s="3">
        <f>SUM(CA255:CD255)</f>
        <v>0</v>
      </c>
      <c r="CF255" s="3">
        <f>(CF123-CE123)*-1</f>
        <v>0</v>
      </c>
      <c r="CG255" s="3">
        <f>(CG123-CF123)*-1</f>
        <v>0</v>
      </c>
      <c r="CH255" s="3">
        <f>(CH123-CG123)*-1</f>
        <v>0</v>
      </c>
      <c r="CI255" s="3">
        <f>(CI123-CH123)*-1</f>
        <v>0</v>
      </c>
      <c r="CJ255" s="3">
        <f>SUM(CF255:CI255)</f>
        <v>0</v>
      </c>
      <c r="CK255" s="3">
        <f>(CK123-CJ123)*-1</f>
        <v>0</v>
      </c>
      <c r="CL255" s="3">
        <f>(CL123-CK123)*-1</f>
        <v>0</v>
      </c>
      <c r="CM255" s="3">
        <f>(CM123-CL123)*-1</f>
        <v>0</v>
      </c>
      <c r="CN255" s="3">
        <f>(CN123-CM123)*-1</f>
        <v>0</v>
      </c>
      <c r="CO255" s="3">
        <f>SUM(CK255:CN255)</f>
        <v>0</v>
      </c>
      <c r="CP255" s="3">
        <f>(CP123-CO123)*-1</f>
        <v>0</v>
      </c>
      <c r="CQ255" s="3">
        <f>(CQ123-CP123)*-1</f>
        <v>0</v>
      </c>
      <c r="CR255" s="3">
        <f>(CR123-CQ123)*-1</f>
        <v>0</v>
      </c>
      <c r="CS255" s="3">
        <f>(CS123-CR123)*-1</f>
        <v>0</v>
      </c>
      <c r="CT255" s="3">
        <f>SUM(CP255:CS255)</f>
        <v>0</v>
      </c>
      <c r="CU255" s="3">
        <f>(CU123-CT123)*-1</f>
        <v>0</v>
      </c>
      <c r="CV255" s="3">
        <f>(CV123-CU123)*-1</f>
        <v>0</v>
      </c>
      <c r="CW255" s="3">
        <f>(CW123-CV123)*-1</f>
        <v>0</v>
      </c>
      <c r="CX255" s="3">
        <f>(CX123-CW123)*-1</f>
        <v>0</v>
      </c>
      <c r="CY255" s="3">
        <f>SUM(CU255:CX255)</f>
        <v>0</v>
      </c>
    </row>
    <row r="256" hidden="1" outlineLevel="1">
      <c r="C256" s="29" t="inlineStr">
        <is>
          <t>Deferred income taxes</t>
        </is>
      </c>
      <c r="D256" s="3" t="n"/>
      <c r="E256" s="3">
        <f>(E127-D127)*-1</f>
        <v>0</v>
      </c>
      <c r="F256" s="3">
        <f>(F127-E127)*-1</f>
        <v>0</v>
      </c>
      <c r="G256" s="3">
        <f>(G127-F127)*-1</f>
        <v>0</v>
      </c>
      <c r="H256" s="3">
        <f>SUM(D256:G256)</f>
        <v>0</v>
      </c>
      <c r="I256" s="3">
        <f>(I127-H127)*-1</f>
        <v>0</v>
      </c>
      <c r="J256" s="3">
        <f>(J127-I127)*-1</f>
        <v>0</v>
      </c>
      <c r="K256" s="3">
        <f>(K127-J127)*-1</f>
        <v>0</v>
      </c>
      <c r="L256" s="3">
        <f>(L127-K127)*-1</f>
        <v>0</v>
      </c>
      <c r="M256" s="3">
        <f>SUM(I256:L256)</f>
        <v>0</v>
      </c>
      <c r="N256" s="3">
        <f>(N127-M127)*-1</f>
        <v>0</v>
      </c>
      <c r="O256" s="3">
        <f>(O127-N127)*-1</f>
        <v>0</v>
      </c>
      <c r="P256" s="3">
        <f>(P127-O127)*-1</f>
        <v>0</v>
      </c>
      <c r="Q256" s="3">
        <f>(Q127-P127)*-1</f>
        <v>0</v>
      </c>
      <c r="R256" s="3">
        <f>SUM(N256:Q256)</f>
        <v>0</v>
      </c>
      <c r="S256" s="3">
        <f>(S127-R127)*-1</f>
        <v>0</v>
      </c>
      <c r="T256" s="3">
        <f>(T127-S127)*-1</f>
        <v>0</v>
      </c>
      <c r="U256" s="3">
        <f>(U127-T127)*-1</f>
        <v>0</v>
      </c>
      <c r="V256" s="3">
        <f>(V127-U127)*-1</f>
        <v>0</v>
      </c>
      <c r="W256" s="3">
        <f>SUM(S256:V256)</f>
        <v>0</v>
      </c>
      <c r="X256" s="3">
        <f>(X127-W127)*-1</f>
        <v>0</v>
      </c>
      <c r="Y256" s="3">
        <f>(Y127-X127)*-1</f>
        <v>0</v>
      </c>
      <c r="Z256" s="3">
        <f>(Z127-Y127)*-1</f>
        <v>0</v>
      </c>
      <c r="AA256" s="3">
        <f>(AA127-Z127)*-1</f>
        <v>0</v>
      </c>
      <c r="AB256" s="3">
        <f>SUM(X256:AA256)</f>
        <v>0</v>
      </c>
      <c r="AC256" s="3">
        <f>(AC127-AB127)*-1</f>
        <v>0</v>
      </c>
      <c r="AD256" s="3">
        <f>(AD127-AC127)*-1</f>
        <v>0</v>
      </c>
      <c r="AE256" s="3">
        <f>(AE127-AD127)*-1</f>
        <v>0</v>
      </c>
      <c r="AF256" s="3">
        <f>(AF127-AE127)*-1</f>
        <v>0</v>
      </c>
      <c r="AG256" s="3">
        <f>SUM(AC256:AF256)</f>
        <v>0</v>
      </c>
      <c r="AH256" s="3">
        <f>(AH127-AG127)*-1</f>
        <v>0</v>
      </c>
      <c r="AI256" s="3">
        <f>(AI127-AH127)*-1</f>
        <v>0</v>
      </c>
      <c r="AJ256" s="3">
        <f>(AJ127-AI127)*-1</f>
        <v>0</v>
      </c>
      <c r="AK256" s="3">
        <f>(AK127-AJ127)*-1</f>
        <v>0</v>
      </c>
      <c r="AL256" s="3">
        <f>SUM(AH256:AK256)</f>
        <v>0</v>
      </c>
      <c r="AM256" s="3">
        <f>(AM127-AL127)*-1</f>
        <v>0</v>
      </c>
      <c r="AN256" s="3">
        <f>(AN127-AM127)*-1</f>
        <v>0</v>
      </c>
      <c r="AO256" s="3">
        <f>(AO127-AN127)*-1</f>
        <v>0</v>
      </c>
      <c r="AP256" s="3">
        <f>(AP127-AO127)*-1</f>
        <v>0</v>
      </c>
      <c r="AQ256" s="3">
        <f>SUM(AM256:AP256)</f>
        <v>0</v>
      </c>
      <c r="AR256" s="3">
        <f>(AR127-AQ127)*-1</f>
        <v>0</v>
      </c>
      <c r="AS256" s="3">
        <f>(AS127-AR127)*-1</f>
        <v>0</v>
      </c>
      <c r="AT256" s="3">
        <f>(AT127-AS127)*-1</f>
        <v>0</v>
      </c>
      <c r="AU256" s="3">
        <f>(AU127-AT127)*-1</f>
        <v>0</v>
      </c>
      <c r="AV256" s="3">
        <f>SUM(AR256:AU256)</f>
        <v>0</v>
      </c>
      <c r="AW256" s="3">
        <f>(AW127-AV127)*-1</f>
        <v>0</v>
      </c>
      <c r="AX256" s="3">
        <f>(AX127-AW127)*-1</f>
        <v>0</v>
      </c>
      <c r="AY256" s="3">
        <f>(AY127-AX127)*-1</f>
        <v>0</v>
      </c>
      <c r="AZ256" s="3">
        <f>(AZ127-AY127)*-1</f>
        <v>0</v>
      </c>
      <c r="BA256" s="3">
        <f>SUM(AW256:AZ256)</f>
        <v>0</v>
      </c>
      <c r="BB256" s="3">
        <f>(BB127-BA127)*-1</f>
        <v>0</v>
      </c>
      <c r="BC256" s="3">
        <f>(BC127-BB127)*-1</f>
        <v>0</v>
      </c>
      <c r="BD256" s="3">
        <f>(BD127-BC127)*-1</f>
        <v>0</v>
      </c>
      <c r="BE256" s="3">
        <f>(BE127-BD127)*-1</f>
        <v>0</v>
      </c>
      <c r="BF256" s="3">
        <f>SUM(BB256:BE256)</f>
        <v>0</v>
      </c>
      <c r="BG256" s="3">
        <f>(BG127-BF127)*-1</f>
        <v>0</v>
      </c>
      <c r="BH256" s="3">
        <f>(BH127-BG127)*-1</f>
        <v>0</v>
      </c>
      <c r="BI256" s="3">
        <f>(BI127-BH127)*-1</f>
        <v>0</v>
      </c>
      <c r="BJ256" s="3">
        <f>(BJ127-BI127)*-1</f>
        <v>0</v>
      </c>
      <c r="BK256" s="3">
        <f>SUM(BG256:BJ256)</f>
        <v>0</v>
      </c>
      <c r="BL256" s="3">
        <f>(BL127-BK127)*-1</f>
        <v>0</v>
      </c>
      <c r="BM256" s="3">
        <f>(BM127-BL127)*-1</f>
        <v>0</v>
      </c>
      <c r="BN256" s="3">
        <f>(BN127-BM127)*-1</f>
        <v>0</v>
      </c>
      <c r="BO256" s="3">
        <f>(BO127-BN127)*-1</f>
        <v>0</v>
      </c>
      <c r="BP256" s="3">
        <f>SUM(BL256:BO256)</f>
        <v>0</v>
      </c>
      <c r="BQ256" s="3">
        <f>(BQ127-BP127)*-1</f>
        <v>0</v>
      </c>
      <c r="BR256" s="3">
        <f>(BR127-BQ127)*-1</f>
        <v>0</v>
      </c>
      <c r="BS256" s="3">
        <f>(BS127-BR127)*-1</f>
        <v>0</v>
      </c>
      <c r="BT256" s="3">
        <f>(BT127-BS127)*-1</f>
        <v>0</v>
      </c>
      <c r="BU256" s="3">
        <f>SUM(BQ256:BT256)</f>
        <v>0</v>
      </c>
      <c r="BV256" s="3">
        <f>(BV127-BU127)*-1</f>
        <v>0</v>
      </c>
      <c r="BW256" s="3">
        <f>(BW127-BV127)*-1</f>
        <v>0</v>
      </c>
      <c r="BX256" s="3">
        <f>(BX127-BW127)*-1</f>
        <v>0</v>
      </c>
      <c r="BY256" s="3">
        <f>(BY127-BX127)*-1</f>
        <v>0</v>
      </c>
      <c r="BZ256" s="3">
        <f>SUM(BV256:BY256)</f>
        <v>0</v>
      </c>
      <c r="CA256" s="3">
        <f>(CA127-BZ127)*-1</f>
        <v>0</v>
      </c>
      <c r="CB256" s="3">
        <f>(CB127-CA127)*-1</f>
        <v>0</v>
      </c>
      <c r="CC256" s="3">
        <f>(CC127-CB127)*-1</f>
        <v>0</v>
      </c>
      <c r="CD256" s="3">
        <f>(CD127-CC127)*-1</f>
        <v>0</v>
      </c>
      <c r="CE256" s="3">
        <f>SUM(CA256:CD256)</f>
        <v>0</v>
      </c>
      <c r="CF256" s="3">
        <f>(CF127-CE127)*-1</f>
        <v>0</v>
      </c>
      <c r="CG256" s="3">
        <f>(CG127-CF127)*-1</f>
        <v>0</v>
      </c>
      <c r="CH256" s="3">
        <f>(CH127-CG127)*-1</f>
        <v>0</v>
      </c>
      <c r="CI256" s="3">
        <f>(CI127-CH127)*-1</f>
        <v>0</v>
      </c>
      <c r="CJ256" s="3">
        <f>SUM(CF256:CI256)</f>
        <v>0</v>
      </c>
      <c r="CK256" s="3">
        <f>(CK127-CJ127)*-1</f>
        <v>0</v>
      </c>
      <c r="CL256" s="3">
        <f>(CL127-CK127)*-1</f>
        <v>0</v>
      </c>
      <c r="CM256" s="3">
        <f>(CM127-CL127)*-1</f>
        <v>0</v>
      </c>
      <c r="CN256" s="3">
        <f>(CN127-CM127)*-1</f>
        <v>0</v>
      </c>
      <c r="CO256" s="3">
        <f>SUM(CK256:CN256)</f>
        <v>0</v>
      </c>
      <c r="CP256" s="3">
        <f>(CP127-CO127)*-1</f>
        <v>0</v>
      </c>
      <c r="CQ256" s="3">
        <f>(CQ127-CP127)*-1</f>
        <v>0</v>
      </c>
      <c r="CR256" s="3">
        <f>(CR127-CQ127)*-1</f>
        <v>0</v>
      </c>
      <c r="CS256" s="3">
        <f>(CS127-CR127)*-1</f>
        <v>0</v>
      </c>
      <c r="CT256" s="3">
        <f>SUM(CP256:CS256)</f>
        <v>0</v>
      </c>
      <c r="CU256" s="3">
        <f>(CU127-CT127)*-1</f>
        <v>0</v>
      </c>
      <c r="CV256" s="3">
        <f>(CV127-CU127)*-1</f>
        <v>0</v>
      </c>
      <c r="CW256" s="3">
        <f>(CW127-CV127)*-1</f>
        <v>0</v>
      </c>
      <c r="CX256" s="3">
        <f>(CX127-CW127)*-1</f>
        <v>0</v>
      </c>
      <c r="CY256" s="3">
        <f>SUM(CU256:CX256)</f>
        <v>0</v>
      </c>
    </row>
    <row r="257" hidden="1" outlineLevel="1">
      <c r="C257" s="29" t="inlineStr">
        <is>
          <t>Prepaid expenses</t>
        </is>
      </c>
      <c r="D257" s="3" t="n"/>
      <c r="E257" s="3">
        <f>(E128-D128)*-1</f>
        <v>542</v>
      </c>
      <c r="F257" s="3">
        <f>(F128-E128)*-1</f>
        <v>231</v>
      </c>
      <c r="G257" s="3">
        <f>(G128-F128)*-1</f>
        <v>-798</v>
      </c>
      <c r="H257" s="3">
        <f>SUM(D257:G257)</f>
        <v>-25</v>
      </c>
      <c r="I257" s="3">
        <f>(I128-H128)*-1</f>
        <v>-283</v>
      </c>
      <c r="J257" s="3">
        <f>(J128-I128)*-1</f>
        <v>119</v>
      </c>
      <c r="K257" s="3">
        <f>(K128-J128)*-1</f>
        <v>59</v>
      </c>
      <c r="L257" s="3">
        <f>(L128-K128)*-1</f>
        <v>70</v>
      </c>
      <c r="M257" s="3">
        <f>SUM(I257:L257)</f>
        <v>-35</v>
      </c>
      <c r="N257" s="3">
        <f>(N128-M128)*-1</f>
        <v>114</v>
      </c>
      <c r="O257" s="3">
        <f>(O128-N128)*-1</f>
        <v>-1018</v>
      </c>
      <c r="P257" s="3">
        <f>(P128-O128)*-1</f>
        <v>-361</v>
      </c>
      <c r="Q257" s="3">
        <f>(Q128-P128)*-1</f>
        <v>865</v>
      </c>
      <c r="R257" s="3">
        <f>SUM(N257:Q257)</f>
        <v>-400</v>
      </c>
      <c r="S257" s="3">
        <f>(S128-R128)*-1</f>
        <v>-561</v>
      </c>
      <c r="T257" s="3">
        <f>(T128-S128)*-1</f>
        <v>-397</v>
      </c>
      <c r="U257" s="3">
        <f>(U128-T128)*-1</f>
        <v>324</v>
      </c>
      <c r="V257" s="3">
        <f>(V128-U128)*-1</f>
        <v>1</v>
      </c>
      <c r="W257" s="3">
        <f>SUM(S257:V257)</f>
        <v>-633</v>
      </c>
      <c r="X257" s="3">
        <f>(X128-W128)*-1</f>
        <v>498</v>
      </c>
      <c r="Y257" s="3">
        <f>(Y128-X128)*-1</f>
        <v>-258</v>
      </c>
      <c r="Z257" s="3">
        <f>(Z128-Y128)*-1</f>
        <v>-36</v>
      </c>
      <c r="AA257" s="3">
        <f>(AA128-Z128)*-1</f>
        <v>-200</v>
      </c>
      <c r="AB257" s="3">
        <f>SUM(X257:AA257)</f>
        <v>4</v>
      </c>
      <c r="AC257" s="3">
        <f>(AC128-AB128)*-1</f>
        <v>-836</v>
      </c>
      <c r="AD257" s="3">
        <f>(AD128-AC128)*-1</f>
        <v>1055</v>
      </c>
      <c r="AE257" s="3">
        <f>(AE128-AD128)*-1</f>
        <v>-667</v>
      </c>
      <c r="AF257" s="3">
        <f>(AF128-AE128)*-1</f>
        <v>347</v>
      </c>
      <c r="AG257" s="3">
        <f>SUM(AC257:AF257)</f>
        <v>-101</v>
      </c>
      <c r="AH257" s="3">
        <f>(AH128-AG128)*-1</f>
        <v>-554</v>
      </c>
      <c r="AI257" s="3">
        <f>(AI128-AH128)*-1</f>
        <v>-486</v>
      </c>
      <c r="AJ257" s="3">
        <f>(AJ128-AI128)*-1</f>
        <v>0</v>
      </c>
      <c r="AK257" s="3">
        <f>(AK128-AJ128)*-1</f>
        <v>0</v>
      </c>
      <c r="AL257" s="3">
        <f>SUM(AH257:AK257)</f>
        <v>-1040</v>
      </c>
      <c r="AM257" s="3">
        <f>(AM128-AL128)*-1</f>
        <v>0</v>
      </c>
      <c r="AN257" s="3">
        <f>(AN128-AM128)*-1</f>
        <v>0</v>
      </c>
      <c r="AO257" s="3">
        <f>(AO128-AN128)*-1</f>
        <v>0</v>
      </c>
      <c r="AP257" s="3">
        <f>(AP128-AO128)*-1</f>
        <v>0</v>
      </c>
      <c r="AQ257" s="3">
        <f>SUM(AM257:AP257)</f>
        <v>0</v>
      </c>
      <c r="AR257" s="3">
        <f>(AR128-AQ128)*-1</f>
        <v>0</v>
      </c>
      <c r="AS257" s="3">
        <f>(AS128-AR128)*-1</f>
        <v>0</v>
      </c>
      <c r="AT257" s="3">
        <f>(AT128-AS128)*-1</f>
        <v>0</v>
      </c>
      <c r="AU257" s="3">
        <f>(AU128-AT128)*-1</f>
        <v>0</v>
      </c>
      <c r="AV257" s="3">
        <f>SUM(AR257:AU257)</f>
        <v>0</v>
      </c>
      <c r="AW257" s="3">
        <f>(AW128-AV128)*-1</f>
        <v>0</v>
      </c>
      <c r="AX257" s="3">
        <f>(AX128-AW128)*-1</f>
        <v>0</v>
      </c>
      <c r="AY257" s="3">
        <f>(AY128-AX128)*-1</f>
        <v>0</v>
      </c>
      <c r="AZ257" s="3">
        <f>(AZ128-AY128)*-1</f>
        <v>0</v>
      </c>
      <c r="BA257" s="3">
        <f>SUM(AW257:AZ257)</f>
        <v>0</v>
      </c>
      <c r="BB257" s="3">
        <f>(BB128-BA128)*-1</f>
        <v>0</v>
      </c>
      <c r="BC257" s="3">
        <f>(BC128-BB128)*-1</f>
        <v>0</v>
      </c>
      <c r="BD257" s="3">
        <f>(BD128-BC128)*-1</f>
        <v>0</v>
      </c>
      <c r="BE257" s="3">
        <f>(BE128-BD128)*-1</f>
        <v>0</v>
      </c>
      <c r="BF257" s="3">
        <f>SUM(BB257:BE257)</f>
        <v>0</v>
      </c>
      <c r="BG257" s="3">
        <f>(BG128-BF128)*-1</f>
        <v>0</v>
      </c>
      <c r="BH257" s="3">
        <f>(BH128-BG128)*-1</f>
        <v>0</v>
      </c>
      <c r="BI257" s="3">
        <f>(BI128-BH128)*-1</f>
        <v>0</v>
      </c>
      <c r="BJ257" s="3">
        <f>(BJ128-BI128)*-1</f>
        <v>0</v>
      </c>
      <c r="BK257" s="3">
        <f>SUM(BG257:BJ257)</f>
        <v>0</v>
      </c>
      <c r="BL257" s="3">
        <f>(BL128-BK128)*-1</f>
        <v>0</v>
      </c>
      <c r="BM257" s="3">
        <f>(BM128-BL128)*-1</f>
        <v>0</v>
      </c>
      <c r="BN257" s="3">
        <f>(BN128-BM128)*-1</f>
        <v>0</v>
      </c>
      <c r="BO257" s="3">
        <f>(BO128-BN128)*-1</f>
        <v>0</v>
      </c>
      <c r="BP257" s="3">
        <f>SUM(BL257:BO257)</f>
        <v>0</v>
      </c>
      <c r="BQ257" s="3">
        <f>(BQ128-BP128)*-1</f>
        <v>0</v>
      </c>
      <c r="BR257" s="3">
        <f>(BR128-BQ128)*-1</f>
        <v>0</v>
      </c>
      <c r="BS257" s="3">
        <f>(BS128-BR128)*-1</f>
        <v>0</v>
      </c>
      <c r="BT257" s="3">
        <f>(BT128-BS128)*-1</f>
        <v>0</v>
      </c>
      <c r="BU257" s="3">
        <f>SUM(BQ257:BT257)</f>
        <v>0</v>
      </c>
      <c r="BV257" s="3">
        <f>(BV128-BU128)*-1</f>
        <v>0</v>
      </c>
      <c r="BW257" s="3">
        <f>(BW128-BV128)*-1</f>
        <v>0</v>
      </c>
      <c r="BX257" s="3">
        <f>(BX128-BW128)*-1</f>
        <v>0</v>
      </c>
      <c r="BY257" s="3">
        <f>(BY128-BX128)*-1</f>
        <v>0</v>
      </c>
      <c r="BZ257" s="3">
        <f>SUM(BV257:BY257)</f>
        <v>0</v>
      </c>
      <c r="CA257" s="3">
        <f>(CA128-BZ128)*-1</f>
        <v>0</v>
      </c>
      <c r="CB257" s="3">
        <f>(CB128-CA128)*-1</f>
        <v>0</v>
      </c>
      <c r="CC257" s="3">
        <f>(CC128-CB128)*-1</f>
        <v>0</v>
      </c>
      <c r="CD257" s="3">
        <f>(CD128-CC128)*-1</f>
        <v>0</v>
      </c>
      <c r="CE257" s="3">
        <f>SUM(CA257:CD257)</f>
        <v>0</v>
      </c>
      <c r="CF257" s="3">
        <f>(CF128-CE128)*-1</f>
        <v>0</v>
      </c>
      <c r="CG257" s="3">
        <f>(CG128-CF128)*-1</f>
        <v>0</v>
      </c>
      <c r="CH257" s="3">
        <f>(CH128-CG128)*-1</f>
        <v>0</v>
      </c>
      <c r="CI257" s="3">
        <f>(CI128-CH128)*-1</f>
        <v>0</v>
      </c>
      <c r="CJ257" s="3">
        <f>SUM(CF257:CI257)</f>
        <v>0</v>
      </c>
      <c r="CK257" s="3">
        <f>(CK128-CJ128)*-1</f>
        <v>0</v>
      </c>
      <c r="CL257" s="3">
        <f>(CL128-CK128)*-1</f>
        <v>0</v>
      </c>
      <c r="CM257" s="3">
        <f>(CM128-CL128)*-1</f>
        <v>0</v>
      </c>
      <c r="CN257" s="3">
        <f>(CN128-CM128)*-1</f>
        <v>0</v>
      </c>
      <c r="CO257" s="3">
        <f>SUM(CK257:CN257)</f>
        <v>0</v>
      </c>
      <c r="CP257" s="3">
        <f>(CP128-CO128)*-1</f>
        <v>0</v>
      </c>
      <c r="CQ257" s="3">
        <f>(CQ128-CP128)*-1</f>
        <v>0</v>
      </c>
      <c r="CR257" s="3">
        <f>(CR128-CQ128)*-1</f>
        <v>0</v>
      </c>
      <c r="CS257" s="3">
        <f>(CS128-CR128)*-1</f>
        <v>0</v>
      </c>
      <c r="CT257" s="3">
        <f>SUM(CP257:CS257)</f>
        <v>0</v>
      </c>
      <c r="CU257" s="3">
        <f>(CU128-CT128)*-1</f>
        <v>0</v>
      </c>
      <c r="CV257" s="3">
        <f>(CV128-CU128)*-1</f>
        <v>0</v>
      </c>
      <c r="CW257" s="3">
        <f>(CW128-CV128)*-1</f>
        <v>0</v>
      </c>
      <c r="CX257" s="3">
        <f>(CX128-CW128)*-1</f>
        <v>0</v>
      </c>
      <c r="CY257" s="3">
        <f>SUM(CU257:CX257)</f>
        <v>0</v>
      </c>
    </row>
    <row r="258" hidden="1" outlineLevel="1">
      <c r="C258" s="29" t="inlineStr">
        <is>
          <t>Other current assets</t>
        </is>
      </c>
      <c r="D258" s="3" t="n"/>
      <c r="E258" s="3">
        <f>(E129-D129)*-1</f>
        <v>2700</v>
      </c>
      <c r="F258" s="3">
        <f>(F129-E129)*-1</f>
        <v>-181</v>
      </c>
      <c r="G258" s="3">
        <f>(G129-F129)*-1</f>
        <v>1275</v>
      </c>
      <c r="H258" s="3">
        <f>SUM(D258:G258)</f>
        <v>3794</v>
      </c>
      <c r="I258" s="3">
        <f>(I129-H129)*-1</f>
        <v>-1424</v>
      </c>
      <c r="J258" s="3">
        <f>(J129-I129)*-1</f>
        <v>-1070</v>
      </c>
      <c r="K258" s="3">
        <f>(K129-J129)*-1</f>
        <v>1639</v>
      </c>
      <c r="L258" s="3">
        <f>(L129-K129)*-1</f>
        <v>182</v>
      </c>
      <c r="M258" s="3">
        <f>SUM(I258:L258)</f>
        <v>-673</v>
      </c>
      <c r="N258" s="3">
        <f>(N129-M129)*-1</f>
        <v>-6251</v>
      </c>
      <c r="O258" s="3">
        <f>(O129-N129)*-1</f>
        <v>10481</v>
      </c>
      <c r="P258" s="3">
        <f>(P129-O129)*-1</f>
        <v>-1287</v>
      </c>
      <c r="Q258" s="3">
        <f>(Q129-P129)*-1</f>
        <v>755</v>
      </c>
      <c r="R258" s="3">
        <f>SUM(N258:Q258)</f>
        <v>3698</v>
      </c>
      <c r="S258" s="3">
        <f>(S129-R129)*-1</f>
        <v>-985</v>
      </c>
      <c r="T258" s="3">
        <f>(T129-S129)*-1</f>
        <v>34</v>
      </c>
      <c r="U258" s="3">
        <f>(U129-T129)*-1</f>
        <v>-230</v>
      </c>
      <c r="V258" s="3">
        <f>(V129-U129)*-1</f>
        <v>816</v>
      </c>
      <c r="W258" s="3">
        <f>SUM(S258:V258)</f>
        <v>-365</v>
      </c>
      <c r="X258" s="3">
        <f>(X129-W129)*-1</f>
        <v>-1330</v>
      </c>
      <c r="Y258" s="3">
        <f>(Y129-X129)*-1</f>
        <v>-535</v>
      </c>
      <c r="Z258" s="3">
        <f>(Z129-Y129)*-1</f>
        <v>-3951</v>
      </c>
      <c r="AA258" s="3">
        <f>(AA129-Z129)*-1</f>
        <v>-1431</v>
      </c>
      <c r="AB258" s="3">
        <f>SUM(X258:AA258)</f>
        <v>-7247</v>
      </c>
      <c r="AC258" s="3">
        <f>(AC129-AB129)*-1</f>
        <v>2049</v>
      </c>
      <c r="AD258" s="3">
        <f>(AD129-AC129)*-1</f>
        <v>931</v>
      </c>
      <c r="AE258" s="3">
        <f>(AE129-AD129)*-1</f>
        <v>-5284</v>
      </c>
      <c r="AF258" s="3">
        <f>(AF129-AE129)*-1</f>
        <v>2155</v>
      </c>
      <c r="AG258" s="3">
        <f>SUM(AC258:AF258)</f>
        <v>-149</v>
      </c>
      <c r="AH258" s="3">
        <f>(AH129-AG129)*-1</f>
        <v>127</v>
      </c>
      <c r="AI258" s="3">
        <f>(AI129-AH129)*-1</f>
        <v>-3171</v>
      </c>
      <c r="AJ258" s="3">
        <f>(AJ129-AI129)*-1</f>
        <v>0</v>
      </c>
      <c r="AK258" s="3">
        <f>(AK129-AJ129)*-1</f>
        <v>0</v>
      </c>
      <c r="AL258" s="3">
        <f>SUM(AH258:AK258)</f>
        <v>-3044</v>
      </c>
      <c r="AM258" s="3">
        <f>(AM129-AL129)*-1</f>
        <v>0</v>
      </c>
      <c r="AN258" s="3">
        <f>(AN129-AM129)*-1</f>
        <v>0</v>
      </c>
      <c r="AO258" s="3">
        <f>(AO129-AN129)*-1</f>
        <v>0</v>
      </c>
      <c r="AP258" s="3">
        <f>(AP129-AO129)*-1</f>
        <v>0</v>
      </c>
      <c r="AQ258" s="3">
        <f>SUM(AM258:AP258)</f>
        <v>0</v>
      </c>
      <c r="AR258" s="3">
        <f>(AR129-AQ129)*-1</f>
        <v>0</v>
      </c>
      <c r="AS258" s="3">
        <f>(AS129-AR129)*-1</f>
        <v>0</v>
      </c>
      <c r="AT258" s="3">
        <f>(AT129-AS129)*-1</f>
        <v>0</v>
      </c>
      <c r="AU258" s="3">
        <f>(AU129-AT129)*-1</f>
        <v>0</v>
      </c>
      <c r="AV258" s="3">
        <f>SUM(AR258:AU258)</f>
        <v>0</v>
      </c>
      <c r="AW258" s="3">
        <f>(AW129-AV129)*-1</f>
        <v>0</v>
      </c>
      <c r="AX258" s="3">
        <f>(AX129-AW129)*-1</f>
        <v>0</v>
      </c>
      <c r="AY258" s="3">
        <f>(AY129-AX129)*-1</f>
        <v>0</v>
      </c>
      <c r="AZ258" s="3">
        <f>(AZ129-AY129)*-1</f>
        <v>0</v>
      </c>
      <c r="BA258" s="3">
        <f>SUM(AW258:AZ258)</f>
        <v>0</v>
      </c>
      <c r="BB258" s="3">
        <f>(BB129-BA129)*-1</f>
        <v>0</v>
      </c>
      <c r="BC258" s="3">
        <f>(BC129-BB129)*-1</f>
        <v>0</v>
      </c>
      <c r="BD258" s="3">
        <f>(BD129-BC129)*-1</f>
        <v>0</v>
      </c>
      <c r="BE258" s="3">
        <f>(BE129-BD129)*-1</f>
        <v>0</v>
      </c>
      <c r="BF258" s="3">
        <f>SUM(BB258:BE258)</f>
        <v>0</v>
      </c>
      <c r="BG258" s="3">
        <f>(BG129-BF129)*-1</f>
        <v>0</v>
      </c>
      <c r="BH258" s="3">
        <f>(BH129-BG129)*-1</f>
        <v>0</v>
      </c>
      <c r="BI258" s="3">
        <f>(BI129-BH129)*-1</f>
        <v>0</v>
      </c>
      <c r="BJ258" s="3">
        <f>(BJ129-BI129)*-1</f>
        <v>0</v>
      </c>
      <c r="BK258" s="3">
        <f>SUM(BG258:BJ258)</f>
        <v>0</v>
      </c>
      <c r="BL258" s="3">
        <f>(BL129-BK129)*-1</f>
        <v>0</v>
      </c>
      <c r="BM258" s="3">
        <f>(BM129-BL129)*-1</f>
        <v>0</v>
      </c>
      <c r="BN258" s="3">
        <f>(BN129-BM129)*-1</f>
        <v>0</v>
      </c>
      <c r="BO258" s="3">
        <f>(BO129-BN129)*-1</f>
        <v>0</v>
      </c>
      <c r="BP258" s="3">
        <f>SUM(BL258:BO258)</f>
        <v>0</v>
      </c>
      <c r="BQ258" s="3">
        <f>(BQ129-BP129)*-1</f>
        <v>0</v>
      </c>
      <c r="BR258" s="3">
        <f>(BR129-BQ129)*-1</f>
        <v>0</v>
      </c>
      <c r="BS258" s="3">
        <f>(BS129-BR129)*-1</f>
        <v>0</v>
      </c>
      <c r="BT258" s="3">
        <f>(BT129-BS129)*-1</f>
        <v>0</v>
      </c>
      <c r="BU258" s="3">
        <f>SUM(BQ258:BT258)</f>
        <v>0</v>
      </c>
      <c r="BV258" s="3">
        <f>(BV129-BU129)*-1</f>
        <v>0</v>
      </c>
      <c r="BW258" s="3">
        <f>(BW129-BV129)*-1</f>
        <v>0</v>
      </c>
      <c r="BX258" s="3">
        <f>(BX129-BW129)*-1</f>
        <v>0</v>
      </c>
      <c r="BY258" s="3">
        <f>(BY129-BX129)*-1</f>
        <v>0</v>
      </c>
      <c r="BZ258" s="3">
        <f>SUM(BV258:BY258)</f>
        <v>0</v>
      </c>
      <c r="CA258" s="3">
        <f>(CA129-BZ129)*-1</f>
        <v>0</v>
      </c>
      <c r="CB258" s="3">
        <f>(CB129-CA129)*-1</f>
        <v>0</v>
      </c>
      <c r="CC258" s="3">
        <f>(CC129-CB129)*-1</f>
        <v>0</v>
      </c>
      <c r="CD258" s="3">
        <f>(CD129-CC129)*-1</f>
        <v>0</v>
      </c>
      <c r="CE258" s="3">
        <f>SUM(CA258:CD258)</f>
        <v>0</v>
      </c>
      <c r="CF258" s="3">
        <f>(CF129-CE129)*-1</f>
        <v>0</v>
      </c>
      <c r="CG258" s="3">
        <f>(CG129-CF129)*-1</f>
        <v>0</v>
      </c>
      <c r="CH258" s="3">
        <f>(CH129-CG129)*-1</f>
        <v>0</v>
      </c>
      <c r="CI258" s="3">
        <f>(CI129-CH129)*-1</f>
        <v>0</v>
      </c>
      <c r="CJ258" s="3">
        <f>SUM(CF258:CI258)</f>
        <v>0</v>
      </c>
      <c r="CK258" s="3">
        <f>(CK129-CJ129)*-1</f>
        <v>0</v>
      </c>
      <c r="CL258" s="3">
        <f>(CL129-CK129)*-1</f>
        <v>0</v>
      </c>
      <c r="CM258" s="3">
        <f>(CM129-CL129)*-1</f>
        <v>0</v>
      </c>
      <c r="CN258" s="3">
        <f>(CN129-CM129)*-1</f>
        <v>0</v>
      </c>
      <c r="CO258" s="3">
        <f>SUM(CK258:CN258)</f>
        <v>0</v>
      </c>
      <c r="CP258" s="3">
        <f>(CP129-CO129)*-1</f>
        <v>0</v>
      </c>
      <c r="CQ258" s="3">
        <f>(CQ129-CP129)*-1</f>
        <v>0</v>
      </c>
      <c r="CR258" s="3">
        <f>(CR129-CQ129)*-1</f>
        <v>0</v>
      </c>
      <c r="CS258" s="3">
        <f>(CS129-CR129)*-1</f>
        <v>0</v>
      </c>
      <c r="CT258" s="3">
        <f>SUM(CP258:CS258)</f>
        <v>0</v>
      </c>
      <c r="CU258" s="3">
        <f>(CU129-CT129)*-1</f>
        <v>0</v>
      </c>
      <c r="CV258" s="3">
        <f>(CV129-CU129)*-1</f>
        <v>0</v>
      </c>
      <c r="CW258" s="3">
        <f>(CW129-CV129)*-1</f>
        <v>0</v>
      </c>
      <c r="CX258" s="3">
        <f>(CX129-CW129)*-1</f>
        <v>0</v>
      </c>
      <c r="CY258" s="3">
        <f>SUM(CU258:CX258)</f>
        <v>0</v>
      </c>
    </row>
    <row r="259" hidden="1" outlineLevel="1">
      <c r="C259" s="29" t="inlineStr">
        <is>
          <t>Accounts payable</t>
        </is>
      </c>
      <c r="D259" s="3" t="n"/>
      <c r="E259" s="3">
        <f>E172-D172</f>
        <v>-2756</v>
      </c>
      <c r="F259" s="3">
        <f>F172-E172</f>
        <v>1287</v>
      </c>
      <c r="G259" s="3">
        <f>G172-F172</f>
        <v>1413</v>
      </c>
      <c r="H259" s="3">
        <f>SUM(D259:G259)</f>
        <v>-56</v>
      </c>
      <c r="I259" s="3">
        <f>I172-H172</f>
        <v>1908</v>
      </c>
      <c r="J259" s="3">
        <f>J172-I172</f>
        <v>1861</v>
      </c>
      <c r="K259" s="3">
        <f>K172-J172</f>
        <v>589</v>
      </c>
      <c r="L259" s="3">
        <f>L172-K172</f>
        <v>1146</v>
      </c>
      <c r="M259" s="3">
        <f>SUM(I259:L259)</f>
        <v>5504</v>
      </c>
      <c r="N259" s="3">
        <f>N172-M172</f>
        <v>3683</v>
      </c>
      <c r="O259" s="3">
        <f>O172-N172</f>
        <v>4769</v>
      </c>
      <c r="P259" s="3">
        <f>P172-O172</f>
        <v>-3207</v>
      </c>
      <c r="Q259" s="3">
        <f>Q172-P172</f>
        <v>-2744</v>
      </c>
      <c r="R259" s="3">
        <f>SUM(N259:Q259)</f>
        <v>2501</v>
      </c>
      <c r="S259" s="3">
        <f>S172-R172</f>
        <v>-1013</v>
      </c>
      <c r="T259" s="3">
        <f>T172-S172</f>
        <v>714</v>
      </c>
      <c r="U259" s="3">
        <f>U172-T172</f>
        <v>2993</v>
      </c>
      <c r="V259" s="3">
        <f>V172-U172</f>
        <v>-1226</v>
      </c>
      <c r="W259" s="3">
        <f>SUM(S259:V259)</f>
        <v>1468</v>
      </c>
      <c r="X259" s="3">
        <f>X172-W172</f>
        <v>834</v>
      </c>
      <c r="Y259" s="3">
        <f>Y172-X172</f>
        <v>-250</v>
      </c>
      <c r="Z259" s="3">
        <f>Z172-Y172</f>
        <v>-970</v>
      </c>
      <c r="AA259" s="3">
        <f>AA172-Z172</f>
        <v>2042</v>
      </c>
      <c r="AB259" s="3">
        <f>SUM(X259:AA259)</f>
        <v>1656</v>
      </c>
      <c r="AC259" s="3">
        <f>AC172-AB172</f>
        <v>-1201</v>
      </c>
      <c r="AD259" s="3">
        <f>AD172-AC172</f>
        <v>-2269</v>
      </c>
      <c r="AE259" s="3">
        <f>AE172-AD172</f>
        <v>464</v>
      </c>
      <c r="AF259" s="3">
        <f>AF172-AE172</f>
        <v>207</v>
      </c>
      <c r="AG259" s="3">
        <f>SUM(AC259:AF259)</f>
        <v>-2799</v>
      </c>
      <c r="AH259" s="3">
        <f>AH172-AG172</f>
        <v>3901</v>
      </c>
      <c r="AI259" s="3">
        <f>AI172-AH172</f>
        <v>1238</v>
      </c>
      <c r="AJ259" s="3">
        <f>AJ172-AI172</f>
        <v>-24419</v>
      </c>
      <c r="AK259" s="3">
        <f>AK172-AJ172</f>
        <v>0</v>
      </c>
      <c r="AL259" s="3">
        <f>SUM(AH259:AK259)</f>
        <v>-19280</v>
      </c>
      <c r="AM259" s="3">
        <f>AM172-AL172</f>
        <v>0</v>
      </c>
      <c r="AN259" s="3">
        <f>AN172-AM172</f>
        <v>0</v>
      </c>
      <c r="AO259" s="3">
        <f>AO172-AN172</f>
        <v>0</v>
      </c>
      <c r="AP259" s="3">
        <f>AP172-AO172</f>
        <v>0</v>
      </c>
      <c r="AQ259" s="3">
        <f>SUM(AM259:AP259)</f>
        <v>0</v>
      </c>
      <c r="AR259" s="3">
        <f>AR172-AQ172</f>
        <v>0</v>
      </c>
      <c r="AS259" s="3">
        <f>AS172-AR172</f>
        <v>0</v>
      </c>
      <c r="AT259" s="3">
        <f>AT172-AS172</f>
        <v>0</v>
      </c>
      <c r="AU259" s="3">
        <f>AU172-AT172</f>
        <v>0</v>
      </c>
      <c r="AV259" s="3">
        <f>SUM(AR259:AU259)</f>
        <v>0</v>
      </c>
      <c r="AW259" s="3">
        <f>AW172-AV172</f>
        <v>0</v>
      </c>
      <c r="AX259" s="3">
        <f>AX172-AW172</f>
        <v>0</v>
      </c>
      <c r="AY259" s="3">
        <f>AY172-AX172</f>
        <v>0</v>
      </c>
      <c r="AZ259" s="3">
        <f>AZ172-AY172</f>
        <v>0</v>
      </c>
      <c r="BA259" s="3">
        <f>SUM(AW259:AZ259)</f>
        <v>0</v>
      </c>
      <c r="BB259" s="3">
        <f>BB172-BA172</f>
        <v>0</v>
      </c>
      <c r="BC259" s="3">
        <f>BC172-BB172</f>
        <v>0</v>
      </c>
      <c r="BD259" s="3">
        <f>BD172-BC172</f>
        <v>0</v>
      </c>
      <c r="BE259" s="3">
        <f>BE172-BD172</f>
        <v>0</v>
      </c>
      <c r="BF259" s="3">
        <f>SUM(BB259:BE259)</f>
        <v>0</v>
      </c>
      <c r="BG259" s="3">
        <f>BG172-BF172</f>
        <v>0</v>
      </c>
      <c r="BH259" s="3">
        <f>BH172-BG172</f>
        <v>0</v>
      </c>
      <c r="BI259" s="3">
        <f>BI172-BH172</f>
        <v>0</v>
      </c>
      <c r="BJ259" s="3">
        <f>BJ172-BI172</f>
        <v>0</v>
      </c>
      <c r="BK259" s="3">
        <f>SUM(BG259:BJ259)</f>
        <v>0</v>
      </c>
      <c r="BL259" s="3">
        <f>BL172-BK172</f>
        <v>0</v>
      </c>
      <c r="BM259" s="3">
        <f>BM172-BL172</f>
        <v>0</v>
      </c>
      <c r="BN259" s="3">
        <f>BN172-BM172</f>
        <v>0</v>
      </c>
      <c r="BO259" s="3">
        <f>BO172-BN172</f>
        <v>0</v>
      </c>
      <c r="BP259" s="3">
        <f>SUM(BL259:BO259)</f>
        <v>0</v>
      </c>
      <c r="BQ259" s="3">
        <f>BQ172-BP172</f>
        <v>0</v>
      </c>
      <c r="BR259" s="3">
        <f>BR172-BQ172</f>
        <v>0</v>
      </c>
      <c r="BS259" s="3">
        <f>BS172-BR172</f>
        <v>0</v>
      </c>
      <c r="BT259" s="3">
        <f>BT172-BS172</f>
        <v>0</v>
      </c>
      <c r="BU259" s="3">
        <f>SUM(BQ259:BT259)</f>
        <v>0</v>
      </c>
      <c r="BV259" s="3">
        <f>BV172-BU172</f>
        <v>0</v>
      </c>
      <c r="BW259" s="3">
        <f>BW172-BV172</f>
        <v>0</v>
      </c>
      <c r="BX259" s="3">
        <f>BX172-BW172</f>
        <v>0</v>
      </c>
      <c r="BY259" s="3">
        <f>BY172-BX172</f>
        <v>0</v>
      </c>
      <c r="BZ259" s="3">
        <f>SUM(BV259:BY259)</f>
        <v>0</v>
      </c>
      <c r="CA259" s="3">
        <f>CA172-BZ172</f>
        <v>0</v>
      </c>
      <c r="CB259" s="3">
        <f>CB172-CA172</f>
        <v>0</v>
      </c>
      <c r="CC259" s="3">
        <f>CC172-CB172</f>
        <v>0</v>
      </c>
      <c r="CD259" s="3">
        <f>CD172-CC172</f>
        <v>0</v>
      </c>
      <c r="CE259" s="3">
        <f>SUM(CA259:CD259)</f>
        <v>0</v>
      </c>
      <c r="CF259" s="3">
        <f>CF172-CE172</f>
        <v>0</v>
      </c>
      <c r="CG259" s="3">
        <f>CG172-CF172</f>
        <v>0</v>
      </c>
      <c r="CH259" s="3">
        <f>CH172-CG172</f>
        <v>0</v>
      </c>
      <c r="CI259" s="3">
        <f>CI172-CH172</f>
        <v>0</v>
      </c>
      <c r="CJ259" s="3">
        <f>SUM(CF259:CI259)</f>
        <v>0</v>
      </c>
      <c r="CK259" s="3">
        <f>CK172-CJ172</f>
        <v>0</v>
      </c>
      <c r="CL259" s="3">
        <f>CL172-CK172</f>
        <v>0</v>
      </c>
      <c r="CM259" s="3">
        <f>CM172-CL172</f>
        <v>0</v>
      </c>
      <c r="CN259" s="3">
        <f>CN172-CM172</f>
        <v>0</v>
      </c>
      <c r="CO259" s="3">
        <f>SUM(CK259:CN259)</f>
        <v>0</v>
      </c>
      <c r="CP259" s="3">
        <f>CP172-CO172</f>
        <v>0</v>
      </c>
      <c r="CQ259" s="3">
        <f>CQ172-CP172</f>
        <v>0</v>
      </c>
      <c r="CR259" s="3">
        <f>CR172-CQ172</f>
        <v>0</v>
      </c>
      <c r="CS259" s="3">
        <f>CS172-CR172</f>
        <v>0</v>
      </c>
      <c r="CT259" s="3">
        <f>SUM(CP259:CS259)</f>
        <v>0</v>
      </c>
      <c r="CU259" s="3">
        <f>CU172-CT172</f>
        <v>0</v>
      </c>
      <c r="CV259" s="3">
        <f>CV172-CU172</f>
        <v>0</v>
      </c>
      <c r="CW259" s="3">
        <f>CW172-CV172</f>
        <v>0</v>
      </c>
      <c r="CX259" s="3">
        <f>CX172-CW172</f>
        <v>0</v>
      </c>
      <c r="CY259" s="3">
        <f>SUM(CU259:CX259)</f>
        <v>0</v>
      </c>
    </row>
    <row r="260" hidden="1" outlineLevel="1">
      <c r="C260" s="29" t="inlineStr">
        <is>
          <t>Accrued expenses</t>
        </is>
      </c>
      <c r="D260" s="3" t="n"/>
      <c r="E260" s="3">
        <f>E176-D176</f>
        <v>1142</v>
      </c>
      <c r="F260" s="3">
        <f>F176-E176</f>
        <v>539</v>
      </c>
      <c r="G260" s="3">
        <f>G176-F176</f>
        <v>-132</v>
      </c>
      <c r="H260" s="3">
        <f>SUM(D260:G260)</f>
        <v>1549</v>
      </c>
      <c r="I260" s="3">
        <f>I176-H176</f>
        <v>-255</v>
      </c>
      <c r="J260" s="3">
        <f>J176-I176</f>
        <v>123</v>
      </c>
      <c r="K260" s="3">
        <f>K176-J176</f>
        <v>-742</v>
      </c>
      <c r="L260" s="3">
        <f>L176-K176</f>
        <v>34</v>
      </c>
      <c r="M260" s="3">
        <f>SUM(I260:L260)</f>
        <v>-840</v>
      </c>
      <c r="N260" s="3">
        <f>N176-M176</f>
        <v>2</v>
      </c>
      <c r="O260" s="3">
        <f>O176-N176</f>
        <v>-264</v>
      </c>
      <c r="P260" s="3">
        <f>P176-O176</f>
        <v>471</v>
      </c>
      <c r="Q260" s="3">
        <f>Q176-P176</f>
        <v>305</v>
      </c>
      <c r="R260" s="3">
        <f>SUM(N260:Q260)</f>
        <v>514</v>
      </c>
      <c r="S260" s="3">
        <f>S176-R176</f>
        <v>-828</v>
      </c>
      <c r="T260" s="3">
        <f>T176-S176</f>
        <v>604</v>
      </c>
      <c r="U260" s="3">
        <f>U176-T176</f>
        <v>356</v>
      </c>
      <c r="V260" s="3">
        <f>V176-U176</f>
        <v>37</v>
      </c>
      <c r="W260" s="3">
        <f>SUM(S260:V260)</f>
        <v>169</v>
      </c>
      <c r="X260" s="3">
        <f>X176-W176</f>
        <v>122</v>
      </c>
      <c r="Y260" s="3">
        <f>Y176-X176</f>
        <v>1277</v>
      </c>
      <c r="Z260" s="3">
        <f>Z176-Y176</f>
        <v>-741</v>
      </c>
      <c r="AA260" s="3">
        <f>AA176-Z176</f>
        <v>173</v>
      </c>
      <c r="AB260" s="3">
        <f>SUM(X260:AA260)</f>
        <v>831</v>
      </c>
      <c r="AC260" s="3">
        <f>AC176-AB176</f>
        <v>-112</v>
      </c>
      <c r="AD260" s="3">
        <f>AD176-AC176</f>
        <v>-257</v>
      </c>
      <c r="AE260" s="3">
        <f>AE176-AD176</f>
        <v>2424</v>
      </c>
      <c r="AF260" s="3">
        <f>AF176-AE176</f>
        <v>222</v>
      </c>
      <c r="AG260" s="3">
        <f>SUM(AC260:AF260)</f>
        <v>2277</v>
      </c>
      <c r="AH260" s="3">
        <f>AH176-AG176</f>
        <v>-414</v>
      </c>
      <c r="AI260" s="3">
        <f>AI176-AH176</f>
        <v>491</v>
      </c>
      <c r="AJ260" s="3">
        <f>AJ176-AI176</f>
        <v>-10840</v>
      </c>
      <c r="AK260" s="3">
        <f>AK176-AJ176</f>
        <v>0</v>
      </c>
      <c r="AL260" s="3">
        <f>SUM(AH260:AK260)</f>
        <v>-10763</v>
      </c>
      <c r="AM260" s="3" t="e">
        <f>AM176-AL176</f>
        <v>#DIV/0!</v>
      </c>
      <c r="AN260" s="3" t="e">
        <f>AN176-AM176</f>
        <v>#DIV/0!</v>
      </c>
      <c r="AO260" s="3" t="e">
        <f>AO176-AN176</f>
        <v>#DIV/0!</v>
      </c>
      <c r="AP260" s="3" t="e">
        <f>AP176-AO176</f>
        <v>#DIV/0!</v>
      </c>
      <c r="AQ260" s="3" t="e">
        <f>SUM(AM260:AP260)</f>
        <v>#DIV/0!</v>
      </c>
      <c r="AR260" s="3" t="e">
        <f>AR176-AQ176</f>
        <v>#DIV/0!</v>
      </c>
      <c r="AS260" s="3" t="e">
        <f>AS176-AR176</f>
        <v>#DIV/0!</v>
      </c>
      <c r="AT260" s="3" t="e">
        <f>AT176-AS176</f>
        <v>#DIV/0!</v>
      </c>
      <c r="AU260" s="3" t="e">
        <f>AU176-AT176</f>
        <v>#DIV/0!</v>
      </c>
      <c r="AV260" s="3" t="e">
        <f>SUM(AR260:AU260)</f>
        <v>#DIV/0!</v>
      </c>
      <c r="AW260" s="3" t="e">
        <f>AW176-AV176</f>
        <v>#DIV/0!</v>
      </c>
      <c r="AX260" s="3" t="e">
        <f>AX176-AW176</f>
        <v>#DIV/0!</v>
      </c>
      <c r="AY260" s="3" t="e">
        <f>AY176-AX176</f>
        <v>#DIV/0!</v>
      </c>
      <c r="AZ260" s="3" t="e">
        <f>AZ176-AY176</f>
        <v>#DIV/0!</v>
      </c>
      <c r="BA260" s="3" t="e">
        <f>SUM(AW260:AZ260)</f>
        <v>#DIV/0!</v>
      </c>
      <c r="BB260" s="3" t="e">
        <f>BB176-BA176</f>
        <v>#DIV/0!</v>
      </c>
      <c r="BC260" s="3" t="e">
        <f>BC176-BB176</f>
        <v>#DIV/0!</v>
      </c>
      <c r="BD260" s="3" t="e">
        <f>BD176-BC176</f>
        <v>#DIV/0!</v>
      </c>
      <c r="BE260" s="3" t="e">
        <f>BE176-BD176</f>
        <v>#DIV/0!</v>
      </c>
      <c r="BF260" s="3" t="e">
        <f>SUM(BB260:BE260)</f>
        <v>#DIV/0!</v>
      </c>
      <c r="BG260" s="3" t="e">
        <f>BG176-BF176</f>
        <v>#DIV/0!</v>
      </c>
      <c r="BH260" s="3" t="e">
        <f>BH176-BG176</f>
        <v>#DIV/0!</v>
      </c>
      <c r="BI260" s="3" t="e">
        <f>BI176-BH176</f>
        <v>#DIV/0!</v>
      </c>
      <c r="BJ260" s="3" t="e">
        <f>BJ176-BI176</f>
        <v>#DIV/0!</v>
      </c>
      <c r="BK260" s="3" t="e">
        <f>SUM(BG260:BJ260)</f>
        <v>#DIV/0!</v>
      </c>
      <c r="BL260" s="3" t="e">
        <f>BL176-BK176</f>
        <v>#DIV/0!</v>
      </c>
      <c r="BM260" s="3" t="e">
        <f>BM176-BL176</f>
        <v>#DIV/0!</v>
      </c>
      <c r="BN260" s="3" t="e">
        <f>BN176-BM176</f>
        <v>#DIV/0!</v>
      </c>
      <c r="BO260" s="3" t="e">
        <f>BO176-BN176</f>
        <v>#DIV/0!</v>
      </c>
      <c r="BP260" s="3" t="e">
        <f>SUM(BL260:BO260)</f>
        <v>#DIV/0!</v>
      </c>
      <c r="BQ260" s="3" t="e">
        <f>BQ176-BP176</f>
        <v>#DIV/0!</v>
      </c>
      <c r="BR260" s="3" t="e">
        <f>BR176-BQ176</f>
        <v>#DIV/0!</v>
      </c>
      <c r="BS260" s="3" t="e">
        <f>BS176-BR176</f>
        <v>#DIV/0!</v>
      </c>
      <c r="BT260" s="3" t="e">
        <f>BT176-BS176</f>
        <v>#DIV/0!</v>
      </c>
      <c r="BU260" s="3" t="e">
        <f>SUM(BQ260:BT260)</f>
        <v>#DIV/0!</v>
      </c>
      <c r="BV260" s="3" t="e">
        <f>BV176-BU176</f>
        <v>#DIV/0!</v>
      </c>
      <c r="BW260" s="3" t="e">
        <f>BW176-BV176</f>
        <v>#DIV/0!</v>
      </c>
      <c r="BX260" s="3" t="e">
        <f>BX176-BW176</f>
        <v>#DIV/0!</v>
      </c>
      <c r="BY260" s="3" t="e">
        <f>BY176-BX176</f>
        <v>#DIV/0!</v>
      </c>
      <c r="BZ260" s="3" t="e">
        <f>SUM(BV260:BY260)</f>
        <v>#DIV/0!</v>
      </c>
      <c r="CA260" s="3" t="e">
        <f>CA176-BZ176</f>
        <v>#DIV/0!</v>
      </c>
      <c r="CB260" s="3" t="e">
        <f>CB176-CA176</f>
        <v>#DIV/0!</v>
      </c>
      <c r="CC260" s="3" t="e">
        <f>CC176-CB176</f>
        <v>#DIV/0!</v>
      </c>
      <c r="CD260" s="3" t="e">
        <f>CD176-CC176</f>
        <v>#DIV/0!</v>
      </c>
      <c r="CE260" s="3" t="e">
        <f>SUM(CA260:CD260)</f>
        <v>#DIV/0!</v>
      </c>
      <c r="CF260" s="3" t="e">
        <f>CF176-CE176</f>
        <v>#DIV/0!</v>
      </c>
      <c r="CG260" s="3" t="e">
        <f>CG176-CF176</f>
        <v>#DIV/0!</v>
      </c>
      <c r="CH260" s="3" t="e">
        <f>CH176-CG176</f>
        <v>#DIV/0!</v>
      </c>
      <c r="CI260" s="3" t="e">
        <f>CI176-CH176</f>
        <v>#DIV/0!</v>
      </c>
      <c r="CJ260" s="3" t="e">
        <f>SUM(CF260:CI260)</f>
        <v>#DIV/0!</v>
      </c>
      <c r="CK260" s="3" t="e">
        <f>CK176-CJ176</f>
        <v>#DIV/0!</v>
      </c>
      <c r="CL260" s="3" t="e">
        <f>CL176-CK176</f>
        <v>#DIV/0!</v>
      </c>
      <c r="CM260" s="3" t="e">
        <f>CM176-CL176</f>
        <v>#DIV/0!</v>
      </c>
      <c r="CN260" s="3" t="e">
        <f>CN176-CM176</f>
        <v>#DIV/0!</v>
      </c>
      <c r="CO260" s="3" t="e">
        <f>SUM(CK260:CN260)</f>
        <v>#DIV/0!</v>
      </c>
      <c r="CP260" s="3" t="e">
        <f>CP176-CO176</f>
        <v>#DIV/0!</v>
      </c>
      <c r="CQ260" s="3" t="e">
        <f>CQ176-CP176</f>
        <v>#DIV/0!</v>
      </c>
      <c r="CR260" s="3" t="e">
        <f>CR176-CQ176</f>
        <v>#DIV/0!</v>
      </c>
      <c r="CS260" s="3" t="e">
        <f>CS176-CR176</f>
        <v>#DIV/0!</v>
      </c>
      <c r="CT260" s="3" t="e">
        <f>SUM(CP260:CS260)</f>
        <v>#DIV/0!</v>
      </c>
      <c r="CU260" s="3" t="e">
        <f>CU176-CT176</f>
        <v>#DIV/0!</v>
      </c>
      <c r="CV260" s="3" t="e">
        <f>CV176-CU176</f>
        <v>#DIV/0!</v>
      </c>
      <c r="CW260" s="3" t="e">
        <f>CW176-CV176</f>
        <v>#DIV/0!</v>
      </c>
      <c r="CX260" s="3" t="e">
        <f>CX176-CW176</f>
        <v>#DIV/0!</v>
      </c>
      <c r="CY260" s="3" t="e">
        <f>SUM(CU260:CX260)</f>
        <v>#DIV/0!</v>
      </c>
    </row>
    <row r="261" hidden="1" outlineLevel="1">
      <c r="C261" s="29" t="inlineStr">
        <is>
          <t>Taxes payable</t>
        </is>
      </c>
      <c r="D261" s="3" t="n"/>
      <c r="E261" s="3">
        <f>E178-D178</f>
        <v>-906</v>
      </c>
      <c r="F261" s="3">
        <f>F178-E178</f>
        <v>160</v>
      </c>
      <c r="G261" s="3">
        <f>G178-F178</f>
        <v>133</v>
      </c>
      <c r="H261" s="3">
        <f>SUM(D261:G261)</f>
        <v>-613</v>
      </c>
      <c r="I261" s="3">
        <f>I178-H178</f>
        <v>394</v>
      </c>
      <c r="J261" s="3">
        <f>J178-I178</f>
        <v>-103</v>
      </c>
      <c r="K261" s="3">
        <f>K178-J178</f>
        <v>255</v>
      </c>
      <c r="L261" s="3">
        <f>L178-K178</f>
        <v>233</v>
      </c>
      <c r="M261" s="3">
        <f>SUM(I261:L261)</f>
        <v>779</v>
      </c>
      <c r="N261" s="3">
        <f>N178-M178</f>
        <v>873</v>
      </c>
      <c r="O261" s="3">
        <f>O178-N178</f>
        <v>349</v>
      </c>
      <c r="P261" s="3">
        <f>P178-O178</f>
        <v>1098</v>
      </c>
      <c r="Q261" s="3">
        <f>Q178-P178</f>
        <v>361</v>
      </c>
      <c r="R261" s="3">
        <f>SUM(N261:Q261)</f>
        <v>2681</v>
      </c>
      <c r="S261" s="3">
        <f>S178-R178</f>
        <v>502</v>
      </c>
      <c r="T261" s="3">
        <f>T178-S178</f>
        <v>-3335</v>
      </c>
      <c r="U261" s="3">
        <f>U178-T178</f>
        <v>379</v>
      </c>
      <c r="V261" s="3">
        <f>V178-U178</f>
        <v>-64</v>
      </c>
      <c r="W261" s="3">
        <f>SUM(S261:V261)</f>
        <v>-2518</v>
      </c>
      <c r="X261" s="3">
        <f>X178-W178</f>
        <v>138</v>
      </c>
      <c r="Y261" s="3">
        <f>Y178-X178</f>
        <v>-1108</v>
      </c>
      <c r="Z261" s="3">
        <f>Z178-Y178</f>
        <v>-191</v>
      </c>
      <c r="AA261" s="3">
        <f>AA178-Z178</f>
        <v>1170</v>
      </c>
      <c r="AB261" s="3">
        <f>SUM(X261:AA261)</f>
        <v>9</v>
      </c>
      <c r="AC261" s="3">
        <f>AC178-AB178</f>
        <v>-1030</v>
      </c>
      <c r="AD261" s="3">
        <f>AD178-AC178</f>
        <v>-183</v>
      </c>
      <c r="AE261" s="3">
        <f>AE178-AD178</f>
        <v>255</v>
      </c>
      <c r="AF261" s="3">
        <f>AF178-AE178</f>
        <v>-70</v>
      </c>
      <c r="AG261" s="3">
        <f>SUM(AC261:AF261)</f>
        <v>-1028</v>
      </c>
      <c r="AH261" s="3">
        <f>AH178-AG178</f>
        <v>468</v>
      </c>
      <c r="AI261" s="3">
        <f>AI178-AH178</f>
        <v>892</v>
      </c>
      <c r="AJ261" s="3">
        <f>AJ178-AI178</f>
        <v>-2204</v>
      </c>
      <c r="AK261" s="3">
        <f>AK178-AJ178</f>
        <v>0</v>
      </c>
      <c r="AL261" s="3">
        <f>SUM(AH261:AK261)</f>
        <v>-844</v>
      </c>
      <c r="AM261" s="3" t="e">
        <f>AM178-AL178</f>
        <v>#DIV/0!</v>
      </c>
      <c r="AN261" s="3" t="e">
        <f>AN178-AM178</f>
        <v>#DIV/0!</v>
      </c>
      <c r="AO261" s="3" t="e">
        <f>AO178-AN178</f>
        <v>#DIV/0!</v>
      </c>
      <c r="AP261" s="3" t="e">
        <f>AP178-AO178</f>
        <v>#DIV/0!</v>
      </c>
      <c r="AQ261" s="3" t="e">
        <f>SUM(AM261:AP261)</f>
        <v>#DIV/0!</v>
      </c>
      <c r="AR261" s="3" t="e">
        <f>AR178-AQ178</f>
        <v>#DIV/0!</v>
      </c>
      <c r="AS261" s="3" t="e">
        <f>AS178-AR178</f>
        <v>#DIV/0!</v>
      </c>
      <c r="AT261" s="3" t="e">
        <f>AT178-AS178</f>
        <v>#DIV/0!</v>
      </c>
      <c r="AU261" s="3" t="e">
        <f>AU178-AT178</f>
        <v>#DIV/0!</v>
      </c>
      <c r="AV261" s="3" t="e">
        <f>SUM(AR261:AU261)</f>
        <v>#DIV/0!</v>
      </c>
      <c r="AW261" s="3" t="e">
        <f>AW178-AV178</f>
        <v>#DIV/0!</v>
      </c>
      <c r="AX261" s="3" t="e">
        <f>AX178-AW178</f>
        <v>#DIV/0!</v>
      </c>
      <c r="AY261" s="3" t="e">
        <f>AY178-AX178</f>
        <v>#DIV/0!</v>
      </c>
      <c r="AZ261" s="3" t="e">
        <f>AZ178-AY178</f>
        <v>#DIV/0!</v>
      </c>
      <c r="BA261" s="3" t="e">
        <f>SUM(AW261:AZ261)</f>
        <v>#DIV/0!</v>
      </c>
      <c r="BB261" s="3" t="e">
        <f>BB178-BA178</f>
        <v>#DIV/0!</v>
      </c>
      <c r="BC261" s="3" t="e">
        <f>BC178-BB178</f>
        <v>#DIV/0!</v>
      </c>
      <c r="BD261" s="3" t="e">
        <f>BD178-BC178</f>
        <v>#DIV/0!</v>
      </c>
      <c r="BE261" s="3" t="e">
        <f>BE178-BD178</f>
        <v>#DIV/0!</v>
      </c>
      <c r="BF261" s="3" t="e">
        <f>SUM(BB261:BE261)</f>
        <v>#DIV/0!</v>
      </c>
      <c r="BG261" s="3" t="e">
        <f>BG178-BF178</f>
        <v>#DIV/0!</v>
      </c>
      <c r="BH261" s="3" t="e">
        <f>BH178-BG178</f>
        <v>#DIV/0!</v>
      </c>
      <c r="BI261" s="3" t="e">
        <f>BI178-BH178</f>
        <v>#DIV/0!</v>
      </c>
      <c r="BJ261" s="3" t="e">
        <f>BJ178-BI178</f>
        <v>#DIV/0!</v>
      </c>
      <c r="BK261" s="3" t="e">
        <f>SUM(BG261:BJ261)</f>
        <v>#DIV/0!</v>
      </c>
      <c r="BL261" s="3" t="e">
        <f>BL178-BK178</f>
        <v>#DIV/0!</v>
      </c>
      <c r="BM261" s="3" t="e">
        <f>BM178-BL178</f>
        <v>#DIV/0!</v>
      </c>
      <c r="BN261" s="3" t="e">
        <f>BN178-BM178</f>
        <v>#DIV/0!</v>
      </c>
      <c r="BO261" s="3" t="e">
        <f>BO178-BN178</f>
        <v>#DIV/0!</v>
      </c>
      <c r="BP261" s="3" t="e">
        <f>SUM(BL261:BO261)</f>
        <v>#DIV/0!</v>
      </c>
      <c r="BQ261" s="3" t="e">
        <f>BQ178-BP178</f>
        <v>#DIV/0!</v>
      </c>
      <c r="BR261" s="3" t="e">
        <f>BR178-BQ178</f>
        <v>#DIV/0!</v>
      </c>
      <c r="BS261" s="3" t="e">
        <f>BS178-BR178</f>
        <v>#DIV/0!</v>
      </c>
      <c r="BT261" s="3" t="e">
        <f>BT178-BS178</f>
        <v>#DIV/0!</v>
      </c>
      <c r="BU261" s="3" t="e">
        <f>SUM(BQ261:BT261)</f>
        <v>#DIV/0!</v>
      </c>
      <c r="BV261" s="3" t="e">
        <f>BV178-BU178</f>
        <v>#DIV/0!</v>
      </c>
      <c r="BW261" s="3" t="e">
        <f>BW178-BV178</f>
        <v>#DIV/0!</v>
      </c>
      <c r="BX261" s="3" t="e">
        <f>BX178-BW178</f>
        <v>#DIV/0!</v>
      </c>
      <c r="BY261" s="3" t="e">
        <f>BY178-BX178</f>
        <v>#DIV/0!</v>
      </c>
      <c r="BZ261" s="3" t="e">
        <f>SUM(BV261:BY261)</f>
        <v>#DIV/0!</v>
      </c>
      <c r="CA261" s="3" t="e">
        <f>CA178-BZ178</f>
        <v>#DIV/0!</v>
      </c>
      <c r="CB261" s="3" t="e">
        <f>CB178-CA178</f>
        <v>#DIV/0!</v>
      </c>
      <c r="CC261" s="3" t="e">
        <f>CC178-CB178</f>
        <v>#DIV/0!</v>
      </c>
      <c r="CD261" s="3" t="e">
        <f>CD178-CC178</f>
        <v>#DIV/0!</v>
      </c>
      <c r="CE261" s="3" t="e">
        <f>SUM(CA261:CD261)</f>
        <v>#DIV/0!</v>
      </c>
      <c r="CF261" s="3" t="e">
        <f>CF178-CE178</f>
        <v>#DIV/0!</v>
      </c>
      <c r="CG261" s="3" t="e">
        <f>CG178-CF178</f>
        <v>#DIV/0!</v>
      </c>
      <c r="CH261" s="3" t="e">
        <f>CH178-CG178</f>
        <v>#DIV/0!</v>
      </c>
      <c r="CI261" s="3" t="e">
        <f>CI178-CH178</f>
        <v>#DIV/0!</v>
      </c>
      <c r="CJ261" s="3" t="e">
        <f>SUM(CF261:CI261)</f>
        <v>#DIV/0!</v>
      </c>
      <c r="CK261" s="3" t="e">
        <f>CK178-CJ178</f>
        <v>#DIV/0!</v>
      </c>
      <c r="CL261" s="3" t="e">
        <f>CL178-CK178</f>
        <v>#DIV/0!</v>
      </c>
      <c r="CM261" s="3" t="e">
        <f>CM178-CL178</f>
        <v>#DIV/0!</v>
      </c>
      <c r="CN261" s="3" t="e">
        <f>CN178-CM178</f>
        <v>#DIV/0!</v>
      </c>
      <c r="CO261" s="3" t="e">
        <f>SUM(CK261:CN261)</f>
        <v>#DIV/0!</v>
      </c>
      <c r="CP261" s="3" t="e">
        <f>CP178-CO178</f>
        <v>#DIV/0!</v>
      </c>
      <c r="CQ261" s="3" t="e">
        <f>CQ178-CP178</f>
        <v>#DIV/0!</v>
      </c>
      <c r="CR261" s="3" t="e">
        <f>CR178-CQ178</f>
        <v>#DIV/0!</v>
      </c>
      <c r="CS261" s="3" t="e">
        <f>CS178-CR178</f>
        <v>#DIV/0!</v>
      </c>
      <c r="CT261" s="3" t="e">
        <f>SUM(CP261:CS261)</f>
        <v>#DIV/0!</v>
      </c>
      <c r="CU261" s="3" t="e">
        <f>CU178-CT178</f>
        <v>#DIV/0!</v>
      </c>
      <c r="CV261" s="3" t="e">
        <f>CV178-CU178</f>
        <v>#DIV/0!</v>
      </c>
      <c r="CW261" s="3" t="e">
        <f>CW178-CV178</f>
        <v>#DIV/0!</v>
      </c>
      <c r="CX261" s="3" t="e">
        <f>CX178-CW178</f>
        <v>#DIV/0!</v>
      </c>
      <c r="CY261" s="3" t="e">
        <f>SUM(CU261:CX261)</f>
        <v>#DIV/0!</v>
      </c>
    </row>
    <row r="262" hidden="1" outlineLevel="1">
      <c r="C262" s="29" t="inlineStr">
        <is>
          <t>Other current liabilities (non-debt)</t>
        </is>
      </c>
      <c r="D262" s="3" t="n"/>
      <c r="E262" s="3">
        <f>E179-D179</f>
        <v>47</v>
      </c>
      <c r="F262" s="3">
        <f>F179-E179</f>
        <v>74</v>
      </c>
      <c r="G262" s="3">
        <f>G179-F179</f>
        <v>87</v>
      </c>
      <c r="H262" s="3">
        <f>SUM(D262:G262)</f>
        <v>208</v>
      </c>
      <c r="I262" s="3">
        <f>I179-H179</f>
        <v>-43</v>
      </c>
      <c r="J262" s="3">
        <f>J179-I179</f>
        <v>130</v>
      </c>
      <c r="K262" s="3">
        <f>K179-J179</f>
        <v>145</v>
      </c>
      <c r="L262" s="3">
        <f>L179-K179</f>
        <v>225</v>
      </c>
      <c r="M262" s="3">
        <f>SUM(I262:L262)</f>
        <v>457</v>
      </c>
      <c r="N262" s="3">
        <f>N179-M179</f>
        <v>-204</v>
      </c>
      <c r="O262" s="3">
        <f>O179-N179</f>
        <v>148</v>
      </c>
      <c r="P262" s="3">
        <f>P179-O179</f>
        <v>409</v>
      </c>
      <c r="Q262" s="3">
        <f>Q179-P179</f>
        <v>-340</v>
      </c>
      <c r="R262" s="3">
        <f>SUM(N262:Q262)</f>
        <v>13</v>
      </c>
      <c r="S262" s="3">
        <f>S179-R179</f>
        <v>-101</v>
      </c>
      <c r="T262" s="3">
        <f>T179-S179</f>
        <v>-209</v>
      </c>
      <c r="U262" s="3">
        <f>U179-T179</f>
        <v>517</v>
      </c>
      <c r="V262" s="3">
        <f>V179-U179</f>
        <v>159</v>
      </c>
      <c r="W262" s="3">
        <f>SUM(S262:V262)</f>
        <v>366</v>
      </c>
      <c r="X262" s="3">
        <f>X179-W179</f>
        <v>-165</v>
      </c>
      <c r="Y262" s="3">
        <f>Y179-X179</f>
        <v>-285</v>
      </c>
      <c r="Z262" s="3">
        <f>Z179-Y179</f>
        <v>184</v>
      </c>
      <c r="AA262" s="3">
        <f>AA179-Z179</f>
        <v>193</v>
      </c>
      <c r="AB262" s="3">
        <f>SUM(X262:AA262)</f>
        <v>-73</v>
      </c>
      <c r="AC262" s="3">
        <f>AC179-AB179</f>
        <v>-183</v>
      </c>
      <c r="AD262" s="3">
        <f>AD179-AC179</f>
        <v>-281</v>
      </c>
      <c r="AE262" s="3">
        <f>AE179-AD179</f>
        <v>102</v>
      </c>
      <c r="AF262" s="3">
        <f>AF179-AE179</f>
        <v>170</v>
      </c>
      <c r="AG262" s="3">
        <f>SUM(AC262:AF262)</f>
        <v>-192</v>
      </c>
      <c r="AH262" s="3">
        <f>AH179-AG179</f>
        <v>-17</v>
      </c>
      <c r="AI262" s="3">
        <f>AI179-AH179</f>
        <v>-129</v>
      </c>
      <c r="AJ262" s="3">
        <f>AJ179-AI179</f>
        <v>0</v>
      </c>
      <c r="AK262" s="3">
        <f>AK179-AJ179</f>
        <v>0</v>
      </c>
      <c r="AL262" s="3">
        <f>SUM(AH262:AK262)</f>
        <v>-146</v>
      </c>
      <c r="AM262" s="3">
        <f>AM179-AL179</f>
        <v>0</v>
      </c>
      <c r="AN262" s="3">
        <f>AN179-AM179</f>
        <v>0</v>
      </c>
      <c r="AO262" s="3">
        <f>AO179-AN179</f>
        <v>0</v>
      </c>
      <c r="AP262" s="3">
        <f>AP179-AO179</f>
        <v>0</v>
      </c>
      <c r="AQ262" s="3">
        <f>SUM(AM262:AP262)</f>
        <v>0</v>
      </c>
      <c r="AR262" s="3">
        <f>AR179-AQ179</f>
        <v>0</v>
      </c>
      <c r="AS262" s="3">
        <f>AS179-AR179</f>
        <v>0</v>
      </c>
      <c r="AT262" s="3">
        <f>AT179-AS179</f>
        <v>0</v>
      </c>
      <c r="AU262" s="3">
        <f>AU179-AT179</f>
        <v>0</v>
      </c>
      <c r="AV262" s="3">
        <f>SUM(AR262:AU262)</f>
        <v>0</v>
      </c>
      <c r="AW262" s="3">
        <f>AW179-AV179</f>
        <v>0</v>
      </c>
      <c r="AX262" s="3">
        <f>AX179-AW179</f>
        <v>0</v>
      </c>
      <c r="AY262" s="3">
        <f>AY179-AX179</f>
        <v>0</v>
      </c>
      <c r="AZ262" s="3">
        <f>AZ179-AY179</f>
        <v>0</v>
      </c>
      <c r="BA262" s="3">
        <f>SUM(AW262:AZ262)</f>
        <v>0</v>
      </c>
      <c r="BB262" s="3">
        <f>BB179-BA179</f>
        <v>0</v>
      </c>
      <c r="BC262" s="3">
        <f>BC179-BB179</f>
        <v>0</v>
      </c>
      <c r="BD262" s="3">
        <f>BD179-BC179</f>
        <v>0</v>
      </c>
      <c r="BE262" s="3">
        <f>BE179-BD179</f>
        <v>0</v>
      </c>
      <c r="BF262" s="3">
        <f>SUM(BB262:BE262)</f>
        <v>0</v>
      </c>
      <c r="BG262" s="3">
        <f>BG179-BF179</f>
        <v>0</v>
      </c>
      <c r="BH262" s="3">
        <f>BH179-BG179</f>
        <v>0</v>
      </c>
      <c r="BI262" s="3">
        <f>BI179-BH179</f>
        <v>0</v>
      </c>
      <c r="BJ262" s="3">
        <f>BJ179-BI179</f>
        <v>0</v>
      </c>
      <c r="BK262" s="3">
        <f>SUM(BG262:BJ262)</f>
        <v>0</v>
      </c>
      <c r="BL262" s="3">
        <f>BL179-BK179</f>
        <v>0</v>
      </c>
      <c r="BM262" s="3">
        <f>BM179-BL179</f>
        <v>0</v>
      </c>
      <c r="BN262" s="3">
        <f>BN179-BM179</f>
        <v>0</v>
      </c>
      <c r="BO262" s="3">
        <f>BO179-BN179</f>
        <v>0</v>
      </c>
      <c r="BP262" s="3">
        <f>SUM(BL262:BO262)</f>
        <v>0</v>
      </c>
      <c r="BQ262" s="3">
        <f>BQ179-BP179</f>
        <v>0</v>
      </c>
      <c r="BR262" s="3">
        <f>BR179-BQ179</f>
        <v>0</v>
      </c>
      <c r="BS262" s="3">
        <f>BS179-BR179</f>
        <v>0</v>
      </c>
      <c r="BT262" s="3">
        <f>BT179-BS179</f>
        <v>0</v>
      </c>
      <c r="BU262" s="3">
        <f>SUM(BQ262:BT262)</f>
        <v>0</v>
      </c>
      <c r="BV262" s="3">
        <f>BV179-BU179</f>
        <v>0</v>
      </c>
      <c r="BW262" s="3">
        <f>BW179-BV179</f>
        <v>0</v>
      </c>
      <c r="BX262" s="3">
        <f>BX179-BW179</f>
        <v>0</v>
      </c>
      <c r="BY262" s="3">
        <f>BY179-BX179</f>
        <v>0</v>
      </c>
      <c r="BZ262" s="3">
        <f>SUM(BV262:BY262)</f>
        <v>0</v>
      </c>
      <c r="CA262" s="3">
        <f>CA179-BZ179</f>
        <v>0</v>
      </c>
      <c r="CB262" s="3">
        <f>CB179-CA179</f>
        <v>0</v>
      </c>
      <c r="CC262" s="3">
        <f>CC179-CB179</f>
        <v>0</v>
      </c>
      <c r="CD262" s="3">
        <f>CD179-CC179</f>
        <v>0</v>
      </c>
      <c r="CE262" s="3">
        <f>SUM(CA262:CD262)</f>
        <v>0</v>
      </c>
      <c r="CF262" s="3">
        <f>CF179-CE179</f>
        <v>0</v>
      </c>
      <c r="CG262" s="3">
        <f>CG179-CF179</f>
        <v>0</v>
      </c>
      <c r="CH262" s="3">
        <f>CH179-CG179</f>
        <v>0</v>
      </c>
      <c r="CI262" s="3">
        <f>CI179-CH179</f>
        <v>0</v>
      </c>
      <c r="CJ262" s="3">
        <f>SUM(CF262:CI262)</f>
        <v>0</v>
      </c>
      <c r="CK262" s="3">
        <f>CK179-CJ179</f>
        <v>0</v>
      </c>
      <c r="CL262" s="3">
        <f>CL179-CK179</f>
        <v>0</v>
      </c>
      <c r="CM262" s="3">
        <f>CM179-CL179</f>
        <v>0</v>
      </c>
      <c r="CN262" s="3">
        <f>CN179-CM179</f>
        <v>0</v>
      </c>
      <c r="CO262" s="3">
        <f>SUM(CK262:CN262)</f>
        <v>0</v>
      </c>
      <c r="CP262" s="3">
        <f>CP179-CO179</f>
        <v>0</v>
      </c>
      <c r="CQ262" s="3">
        <f>CQ179-CP179</f>
        <v>0</v>
      </c>
      <c r="CR262" s="3">
        <f>CR179-CQ179</f>
        <v>0</v>
      </c>
      <c r="CS262" s="3">
        <f>CS179-CR179</f>
        <v>0</v>
      </c>
      <c r="CT262" s="3">
        <f>SUM(CP262:CS262)</f>
        <v>0</v>
      </c>
      <c r="CU262" s="3">
        <f>CU179-CT179</f>
        <v>0</v>
      </c>
      <c r="CV262" s="3">
        <f>CV179-CU179</f>
        <v>0</v>
      </c>
      <c r="CW262" s="3">
        <f>CW179-CV179</f>
        <v>0</v>
      </c>
      <c r="CX262" s="3">
        <f>CX179-CW179</f>
        <v>0</v>
      </c>
      <c r="CY262" s="3">
        <f>SUM(CU262:CX262)</f>
        <v>0</v>
      </c>
    </row>
    <row r="263" hidden="1" outlineLevel="1">
      <c r="C263" s="29" t="inlineStr">
        <is>
          <t>Deferred income taxes</t>
        </is>
      </c>
      <c r="D263" s="3" t="n"/>
      <c r="E263" s="3">
        <f>E213-D213</f>
        <v>-2347</v>
      </c>
      <c r="F263" s="3">
        <f>F213-E213</f>
        <v>-485</v>
      </c>
      <c r="G263" s="3">
        <f>G213-F213</f>
        <v>1944</v>
      </c>
      <c r="H263" s="3">
        <f>SUM(D263:G263)</f>
        <v>-888</v>
      </c>
      <c r="I263" s="3">
        <f>I213-H213</f>
        <v>-95</v>
      </c>
      <c r="J263" s="3">
        <f>J213-I213</f>
        <v>666</v>
      </c>
      <c r="K263" s="3">
        <f>K213-J213</f>
        <v>406</v>
      </c>
      <c r="L263" s="3">
        <f>L213-K213</f>
        <v>1119</v>
      </c>
      <c r="M263" s="3">
        <f>SUM(I263:L263)</f>
        <v>2096</v>
      </c>
      <c r="N263" s="3">
        <f>N213-M213</f>
        <v>861</v>
      </c>
      <c r="O263" s="3">
        <f>O213-N213</f>
        <v>416</v>
      </c>
      <c r="P263" s="3">
        <f>P213-O213</f>
        <v>674</v>
      </c>
      <c r="Q263" s="3">
        <f>Q213-P213</f>
        <v>515</v>
      </c>
      <c r="R263" s="3">
        <f>SUM(N263:Q263)</f>
        <v>2466</v>
      </c>
      <c r="S263" s="3">
        <f>S213-R213</f>
        <v>605</v>
      </c>
      <c r="T263" s="3">
        <f>T213-S213</f>
        <v>715</v>
      </c>
      <c r="U263" s="3">
        <f>U213-T213</f>
        <v>1186</v>
      </c>
      <c r="V263" s="3">
        <f>V213-U213</f>
        <v>-807</v>
      </c>
      <c r="W263" s="3">
        <f>SUM(S263:V263)</f>
        <v>1699</v>
      </c>
      <c r="X263" s="3">
        <f>X213-W213</f>
        <v>276</v>
      </c>
      <c r="Y263" s="3">
        <f>Y213-X213</f>
        <v>403</v>
      </c>
      <c r="Z263" s="3">
        <f>Z213-Y213</f>
        <v>390</v>
      </c>
      <c r="AA263" s="3">
        <f>AA213-Z213</f>
        <v>-762</v>
      </c>
      <c r="AB263" s="3">
        <f>SUM(X263:AA263)</f>
        <v>307</v>
      </c>
      <c r="AC263" s="3">
        <f>AC213-AB213</f>
        <v>457</v>
      </c>
      <c r="AD263" s="3">
        <f>AD213-AC213</f>
        <v>114</v>
      </c>
      <c r="AE263" s="3">
        <f>AE213-AD213</f>
        <v>10088</v>
      </c>
      <c r="AF263" s="3">
        <f>AF213-AE213</f>
        <v>218</v>
      </c>
      <c r="AG263" s="3">
        <f>SUM(AC263:AF263)</f>
        <v>10877</v>
      </c>
      <c r="AH263" s="3">
        <f>AH213-AG213</f>
        <v>-69</v>
      </c>
      <c r="AI263" s="3">
        <f>AI213-AH213</f>
        <v>393</v>
      </c>
      <c r="AJ263" s="3">
        <f>AJ213-AI213</f>
        <v>0</v>
      </c>
      <c r="AK263" s="3">
        <f>AK213-AJ213</f>
        <v>0</v>
      </c>
      <c r="AL263" s="3">
        <f>SUM(AH263:AK263)</f>
        <v>324</v>
      </c>
      <c r="AM263" s="3">
        <f>AM213-AL213</f>
        <v>0</v>
      </c>
      <c r="AN263" s="3">
        <f>AN213-AM213</f>
        <v>0</v>
      </c>
      <c r="AO263" s="3">
        <f>AO213-AN213</f>
        <v>0</v>
      </c>
      <c r="AP263" s="3">
        <f>AP213-AO213</f>
        <v>0</v>
      </c>
      <c r="AQ263" s="3">
        <f>SUM(AM263:AP263)</f>
        <v>0</v>
      </c>
      <c r="AR263" s="3">
        <f>AR213-AQ213</f>
        <v>0</v>
      </c>
      <c r="AS263" s="3">
        <f>AS213-AR213</f>
        <v>0</v>
      </c>
      <c r="AT263" s="3">
        <f>AT213-AS213</f>
        <v>0</v>
      </c>
      <c r="AU263" s="3">
        <f>AU213-AT213</f>
        <v>0</v>
      </c>
      <c r="AV263" s="3">
        <f>SUM(AR263:AU263)</f>
        <v>0</v>
      </c>
      <c r="AW263" s="3">
        <f>AW213-AV213</f>
        <v>0</v>
      </c>
      <c r="AX263" s="3">
        <f>AX213-AW213</f>
        <v>0</v>
      </c>
      <c r="AY263" s="3">
        <f>AY213-AX213</f>
        <v>0</v>
      </c>
      <c r="AZ263" s="3">
        <f>AZ213-AY213</f>
        <v>0</v>
      </c>
      <c r="BA263" s="3">
        <f>SUM(AW263:AZ263)</f>
        <v>0</v>
      </c>
      <c r="BB263" s="3">
        <f>BB213-BA213</f>
        <v>0</v>
      </c>
      <c r="BC263" s="3">
        <f>BC213-BB213</f>
        <v>0</v>
      </c>
      <c r="BD263" s="3">
        <f>BD213-BC213</f>
        <v>0</v>
      </c>
      <c r="BE263" s="3">
        <f>BE213-BD213</f>
        <v>0</v>
      </c>
      <c r="BF263" s="3">
        <f>SUM(BB263:BE263)</f>
        <v>0</v>
      </c>
      <c r="BG263" s="3">
        <f>BG213-BF213</f>
        <v>0</v>
      </c>
      <c r="BH263" s="3">
        <f>BH213-BG213</f>
        <v>0</v>
      </c>
      <c r="BI263" s="3">
        <f>BI213-BH213</f>
        <v>0</v>
      </c>
      <c r="BJ263" s="3">
        <f>BJ213-BI213</f>
        <v>0</v>
      </c>
      <c r="BK263" s="3">
        <f>SUM(BG263:BJ263)</f>
        <v>0</v>
      </c>
      <c r="BL263" s="3">
        <f>BL213-BK213</f>
        <v>0</v>
      </c>
      <c r="BM263" s="3">
        <f>BM213-BL213</f>
        <v>0</v>
      </c>
      <c r="BN263" s="3">
        <f>BN213-BM213</f>
        <v>0</v>
      </c>
      <c r="BO263" s="3">
        <f>BO213-BN213</f>
        <v>0</v>
      </c>
      <c r="BP263" s="3">
        <f>SUM(BL263:BO263)</f>
        <v>0</v>
      </c>
      <c r="BQ263" s="3">
        <f>BQ213-BP213</f>
        <v>0</v>
      </c>
      <c r="BR263" s="3">
        <f>BR213-BQ213</f>
        <v>0</v>
      </c>
      <c r="BS263" s="3">
        <f>BS213-BR213</f>
        <v>0</v>
      </c>
      <c r="BT263" s="3">
        <f>BT213-BS213</f>
        <v>0</v>
      </c>
      <c r="BU263" s="3">
        <f>SUM(BQ263:BT263)</f>
        <v>0</v>
      </c>
      <c r="BV263" s="3">
        <f>BV213-BU213</f>
        <v>0</v>
      </c>
      <c r="BW263" s="3">
        <f>BW213-BV213</f>
        <v>0</v>
      </c>
      <c r="BX263" s="3">
        <f>BX213-BW213</f>
        <v>0</v>
      </c>
      <c r="BY263" s="3">
        <f>BY213-BX213</f>
        <v>0</v>
      </c>
      <c r="BZ263" s="3">
        <f>SUM(BV263:BY263)</f>
        <v>0</v>
      </c>
      <c r="CA263" s="3">
        <f>CA213-BZ213</f>
        <v>0</v>
      </c>
      <c r="CB263" s="3">
        <f>CB213-CA213</f>
        <v>0</v>
      </c>
      <c r="CC263" s="3">
        <f>CC213-CB213</f>
        <v>0</v>
      </c>
      <c r="CD263" s="3">
        <f>CD213-CC213</f>
        <v>0</v>
      </c>
      <c r="CE263" s="3">
        <f>SUM(CA263:CD263)</f>
        <v>0</v>
      </c>
      <c r="CF263" s="3">
        <f>CF213-CE213</f>
        <v>0</v>
      </c>
      <c r="CG263" s="3">
        <f>CG213-CF213</f>
        <v>0</v>
      </c>
      <c r="CH263" s="3">
        <f>CH213-CG213</f>
        <v>0</v>
      </c>
      <c r="CI263" s="3">
        <f>CI213-CH213</f>
        <v>0</v>
      </c>
      <c r="CJ263" s="3">
        <f>SUM(CF263:CI263)</f>
        <v>0</v>
      </c>
      <c r="CK263" s="3">
        <f>CK213-CJ213</f>
        <v>0</v>
      </c>
      <c r="CL263" s="3">
        <f>CL213-CK213</f>
        <v>0</v>
      </c>
      <c r="CM263" s="3">
        <f>CM213-CL213</f>
        <v>0</v>
      </c>
      <c r="CN263" s="3">
        <f>CN213-CM213</f>
        <v>0</v>
      </c>
      <c r="CO263" s="3">
        <f>SUM(CK263:CN263)</f>
        <v>0</v>
      </c>
      <c r="CP263" s="3">
        <f>CP213-CO213</f>
        <v>0</v>
      </c>
      <c r="CQ263" s="3">
        <f>CQ213-CP213</f>
        <v>0</v>
      </c>
      <c r="CR263" s="3">
        <f>CR213-CQ213</f>
        <v>0</v>
      </c>
      <c r="CS263" s="3">
        <f>CS213-CR213</f>
        <v>0</v>
      </c>
      <c r="CT263" s="3">
        <f>SUM(CP263:CS263)</f>
        <v>0</v>
      </c>
      <c r="CU263" s="3">
        <f>CU213-CT213</f>
        <v>0</v>
      </c>
      <c r="CV263" s="3">
        <f>CV213-CU213</f>
        <v>0</v>
      </c>
      <c r="CW263" s="3">
        <f>CW213-CV213</f>
        <v>0</v>
      </c>
      <c r="CX263" s="3">
        <f>CX213-CW213</f>
        <v>0</v>
      </c>
      <c r="CY263" s="3">
        <f>SUM(CU263:CX263)</f>
        <v>0</v>
      </c>
    </row>
    <row r="264" collapsed="1">
      <c r="C264" s="29" t="inlineStr">
        <is>
          <t>Equity income in affiliates</t>
        </is>
      </c>
      <c r="D264" s="3" t="n"/>
      <c r="E264" s="3">
        <f>(E135-D135)*-1</f>
        <v>0</v>
      </c>
      <c r="F264" s="3">
        <f>(F135-E135)*-1</f>
        <v>0</v>
      </c>
      <c r="G264" s="3">
        <f>(G135-F135)*-1</f>
        <v>0</v>
      </c>
      <c r="H264" s="3">
        <f>SUM(D264:G264)</f>
        <v>0</v>
      </c>
      <c r="I264" s="3">
        <f>(I135-H135)*-1</f>
        <v>0</v>
      </c>
      <c r="J264" s="3">
        <f>(J135-I135)*-1</f>
        <v>0</v>
      </c>
      <c r="K264" s="3">
        <f>(K135-J135)*-1</f>
        <v>0</v>
      </c>
      <c r="L264" s="3">
        <f>(L135-K135)*-1</f>
        <v>0</v>
      </c>
      <c r="M264" s="3">
        <f>SUM(I264:L264)</f>
        <v>0</v>
      </c>
      <c r="N264" s="3">
        <f>(N135-M135)*-1</f>
        <v>0</v>
      </c>
      <c r="O264" s="3">
        <f>(O135-N135)*-1</f>
        <v>0</v>
      </c>
      <c r="P264" s="3">
        <f>(P135-O135)*-1</f>
        <v>0</v>
      </c>
      <c r="Q264" s="3">
        <f>(Q135-P135)*-1</f>
        <v>0</v>
      </c>
      <c r="R264" s="3">
        <f>SUM(N264:Q264)</f>
        <v>0</v>
      </c>
      <c r="S264" s="3">
        <f>(S135-R135)*-1</f>
        <v>0</v>
      </c>
      <c r="T264" s="3">
        <f>(T135-S135)*-1</f>
        <v>0</v>
      </c>
      <c r="U264" s="3">
        <f>(U135-T135)*-1</f>
        <v>0</v>
      </c>
      <c r="V264" s="3">
        <f>(V135-U135)*-1</f>
        <v>0</v>
      </c>
      <c r="W264" s="3">
        <f>SUM(S264:V264)</f>
        <v>0</v>
      </c>
      <c r="X264" s="3">
        <f>(X135-W135)*-1</f>
        <v>0</v>
      </c>
      <c r="Y264" s="3">
        <f>(Y135-X135)*-1</f>
        <v>0</v>
      </c>
      <c r="Z264" s="3">
        <f>(Z135-Y135)*-1</f>
        <v>0</v>
      </c>
      <c r="AA264" s="3">
        <f>(AA135-Z135)*-1</f>
        <v>0</v>
      </c>
      <c r="AB264" s="3">
        <f>SUM(X264:AA264)</f>
        <v>0</v>
      </c>
      <c r="AC264" s="3">
        <f>(AC135-AB135)*-1</f>
        <v>0</v>
      </c>
      <c r="AD264" s="3">
        <f>(AD135-AC135)*-1</f>
        <v>0</v>
      </c>
      <c r="AE264" s="3">
        <f>(AE135-AD135)*-1</f>
        <v>0</v>
      </c>
      <c r="AF264" s="3">
        <f>(AF135-AE135)*-1</f>
        <v>0</v>
      </c>
      <c r="AG264" s="3">
        <f>SUM(AC264:AF264)</f>
        <v>0</v>
      </c>
      <c r="AH264" s="3">
        <f>(AH135-AG135)*-1</f>
        <v>0</v>
      </c>
      <c r="AI264" s="3">
        <f>(AI135-AH135)*-1</f>
        <v>0</v>
      </c>
      <c r="AJ264" s="3">
        <f>(AJ135-AI135)*-1</f>
        <v>0</v>
      </c>
      <c r="AK264" s="3">
        <f>(AK135-AJ135)*-1</f>
        <v>0</v>
      </c>
      <c r="AL264" s="3">
        <f>SUM(AH264:AK264)</f>
        <v>0</v>
      </c>
      <c r="AM264" s="3">
        <f>(AM135-AL135)*-1</f>
        <v>0</v>
      </c>
      <c r="AN264" s="3">
        <f>(AN135-AM135)*-1</f>
        <v>0</v>
      </c>
      <c r="AO264" s="3">
        <f>(AO135-AN135)*-1</f>
        <v>0</v>
      </c>
      <c r="AP264" s="3">
        <f>(AP135-AO135)*-1</f>
        <v>0</v>
      </c>
      <c r="AQ264" s="3">
        <f>SUM(AM264:AP264)</f>
        <v>0</v>
      </c>
      <c r="AR264" s="3">
        <f>(AR135-AQ135)*-1</f>
        <v>0</v>
      </c>
      <c r="AS264" s="3">
        <f>(AS135-AR135)*-1</f>
        <v>0</v>
      </c>
      <c r="AT264" s="3">
        <f>(AT135-AS135)*-1</f>
        <v>0</v>
      </c>
      <c r="AU264" s="3">
        <f>(AU135-AT135)*-1</f>
        <v>0</v>
      </c>
      <c r="AV264" s="3">
        <f>SUM(AR264:AU264)</f>
        <v>0</v>
      </c>
      <c r="AW264" s="3">
        <f>(AW135-AV135)*-1</f>
        <v>0</v>
      </c>
      <c r="AX264" s="3">
        <f>(AX135-AW135)*-1</f>
        <v>0</v>
      </c>
      <c r="AY264" s="3">
        <f>(AY135-AX135)*-1</f>
        <v>0</v>
      </c>
      <c r="AZ264" s="3">
        <f>(AZ135-AY135)*-1</f>
        <v>0</v>
      </c>
      <c r="BA264" s="3">
        <f>SUM(AW264:AZ264)</f>
        <v>0</v>
      </c>
      <c r="BB264" s="3">
        <f>(BB135-BA135)*-1</f>
        <v>0</v>
      </c>
      <c r="BC264" s="3">
        <f>(BC135-BB135)*-1</f>
        <v>0</v>
      </c>
      <c r="BD264" s="3">
        <f>(BD135-BC135)*-1</f>
        <v>0</v>
      </c>
      <c r="BE264" s="3">
        <f>(BE135-BD135)*-1</f>
        <v>0</v>
      </c>
      <c r="BF264" s="3">
        <f>SUM(BB264:BE264)</f>
        <v>0</v>
      </c>
      <c r="BG264" s="3">
        <f>(BG135-BF135)*-1</f>
        <v>0</v>
      </c>
      <c r="BH264" s="3">
        <f>(BH135-BG135)*-1</f>
        <v>0</v>
      </c>
      <c r="BI264" s="3">
        <f>(BI135-BH135)*-1</f>
        <v>0</v>
      </c>
      <c r="BJ264" s="3">
        <f>(BJ135-BI135)*-1</f>
        <v>0</v>
      </c>
      <c r="BK264" s="3">
        <f>SUM(BG264:BJ264)</f>
        <v>0</v>
      </c>
      <c r="BL264" s="3">
        <f>(BL135-BK135)*-1</f>
        <v>0</v>
      </c>
      <c r="BM264" s="3">
        <f>(BM135-BL135)*-1</f>
        <v>0</v>
      </c>
      <c r="BN264" s="3">
        <f>(BN135-BM135)*-1</f>
        <v>0</v>
      </c>
      <c r="BO264" s="3">
        <f>(BO135-BN135)*-1</f>
        <v>0</v>
      </c>
      <c r="BP264" s="3">
        <f>SUM(BL264:BO264)</f>
        <v>0</v>
      </c>
      <c r="BQ264" s="3">
        <f>(BQ135-BP135)*-1</f>
        <v>0</v>
      </c>
      <c r="BR264" s="3">
        <f>(BR135-BQ135)*-1</f>
        <v>0</v>
      </c>
      <c r="BS264" s="3">
        <f>(BS135-BR135)*-1</f>
        <v>0</v>
      </c>
      <c r="BT264" s="3">
        <f>(BT135-BS135)*-1</f>
        <v>0</v>
      </c>
      <c r="BU264" s="3">
        <f>SUM(BQ264:BT264)</f>
        <v>0</v>
      </c>
      <c r="BV264" s="3">
        <f>(BV135-BU135)*-1</f>
        <v>0</v>
      </c>
      <c r="BW264" s="3">
        <f>(BW135-BV135)*-1</f>
        <v>0</v>
      </c>
      <c r="BX264" s="3">
        <f>(BX135-BW135)*-1</f>
        <v>0</v>
      </c>
      <c r="BY264" s="3">
        <f>(BY135-BX135)*-1</f>
        <v>0</v>
      </c>
      <c r="BZ264" s="3">
        <f>SUM(BV264:BY264)</f>
        <v>0</v>
      </c>
      <c r="CA264" s="3">
        <f>(CA135-BZ135)*-1</f>
        <v>0</v>
      </c>
      <c r="CB264" s="3">
        <f>(CB135-CA135)*-1</f>
        <v>0</v>
      </c>
      <c r="CC264" s="3">
        <f>(CC135-CB135)*-1</f>
        <v>0</v>
      </c>
      <c r="CD264" s="3">
        <f>(CD135-CC135)*-1</f>
        <v>0</v>
      </c>
      <c r="CE264" s="3">
        <f>SUM(CA264:CD264)</f>
        <v>0</v>
      </c>
      <c r="CF264" s="3">
        <f>(CF135-CE135)*-1</f>
        <v>0</v>
      </c>
      <c r="CG264" s="3">
        <f>(CG135-CF135)*-1</f>
        <v>0</v>
      </c>
      <c r="CH264" s="3">
        <f>(CH135-CG135)*-1</f>
        <v>0</v>
      </c>
      <c r="CI264" s="3">
        <f>(CI135-CH135)*-1</f>
        <v>0</v>
      </c>
      <c r="CJ264" s="3">
        <f>SUM(CF264:CI264)</f>
        <v>0</v>
      </c>
      <c r="CK264" s="3">
        <f>(CK135-CJ135)*-1</f>
        <v>0</v>
      </c>
      <c r="CL264" s="3">
        <f>(CL135-CK135)*-1</f>
        <v>0</v>
      </c>
      <c r="CM264" s="3">
        <f>(CM135-CL135)*-1</f>
        <v>0</v>
      </c>
      <c r="CN264" s="3">
        <f>(CN135-CM135)*-1</f>
        <v>0</v>
      </c>
      <c r="CO264" s="3">
        <f>SUM(CK264:CN264)</f>
        <v>0</v>
      </c>
      <c r="CP264" s="3">
        <f>(CP135-CO135)*-1</f>
        <v>0</v>
      </c>
      <c r="CQ264" s="3">
        <f>(CQ135-CP135)*-1</f>
        <v>0</v>
      </c>
      <c r="CR264" s="3">
        <f>(CR135-CQ135)*-1</f>
        <v>0</v>
      </c>
      <c r="CS264" s="3">
        <f>(CS135-CR135)*-1</f>
        <v>0</v>
      </c>
      <c r="CT264" s="3">
        <f>SUM(CP264:CS264)</f>
        <v>0</v>
      </c>
      <c r="CU264" s="3">
        <f>(CU135-CT135)*-1</f>
        <v>0</v>
      </c>
      <c r="CV264" s="3">
        <f>(CV135-CU135)*-1</f>
        <v>0</v>
      </c>
      <c r="CW264" s="3">
        <f>(CW135-CV135)*-1</f>
        <v>0</v>
      </c>
      <c r="CX264" s="3">
        <f>(CX135-CW135)*-1</f>
        <v>0</v>
      </c>
      <c r="CY264" s="3">
        <f>SUM(CU264:CX264)</f>
        <v>0</v>
      </c>
    </row>
    <row r="265">
      <c r="C265" s="29" t="inlineStr">
        <is>
          <t>Dividends received from affiliates</t>
        </is>
      </c>
      <c r="D265" s="3" t="n"/>
      <c r="E265" s="3">
        <f>-E138</f>
        <v>0</v>
      </c>
      <c r="F265" s="3">
        <f>-F138</f>
        <v>0</v>
      </c>
      <c r="G265" s="3">
        <f>-G138</f>
        <v>0</v>
      </c>
      <c r="H265" s="3">
        <f>SUM(D265:G265)</f>
        <v>0</v>
      </c>
      <c r="I265" s="3">
        <f>-I138</f>
        <v>0</v>
      </c>
      <c r="J265" s="3">
        <f>-J138</f>
        <v>0</v>
      </c>
      <c r="K265" s="3">
        <f>-K138</f>
        <v>0</v>
      </c>
      <c r="L265" s="3">
        <f>-L138</f>
        <v>0</v>
      </c>
      <c r="M265" s="3">
        <f>SUM(I265:L265)</f>
        <v>0</v>
      </c>
      <c r="N265" s="3">
        <f>-N138</f>
        <v>0</v>
      </c>
      <c r="O265" s="3">
        <f>-O138</f>
        <v>0</v>
      </c>
      <c r="P265" s="3">
        <f>-P138</f>
        <v>0</v>
      </c>
      <c r="Q265" s="3">
        <f>-Q138</f>
        <v>0</v>
      </c>
      <c r="R265" s="3">
        <f>SUM(N265:Q265)</f>
        <v>0</v>
      </c>
      <c r="S265" s="3">
        <f>-S138</f>
        <v>0</v>
      </c>
      <c r="T265" s="3">
        <f>-T138</f>
        <v>0</v>
      </c>
      <c r="U265" s="3">
        <f>-U138</f>
        <v>0</v>
      </c>
      <c r="V265" s="3">
        <f>-V138</f>
        <v>0</v>
      </c>
      <c r="W265" s="3">
        <f>SUM(S265:V265)</f>
        <v>0</v>
      </c>
      <c r="X265" s="3">
        <f>-X138</f>
        <v>0</v>
      </c>
      <c r="Y265" s="3">
        <f>-Y138</f>
        <v>0</v>
      </c>
      <c r="Z265" s="3">
        <f>-Z138</f>
        <v>0</v>
      </c>
      <c r="AA265" s="3">
        <f>-AA138</f>
        <v>0</v>
      </c>
      <c r="AB265" s="3">
        <f>SUM(X265:AA265)</f>
        <v>0</v>
      </c>
      <c r="AC265" s="3">
        <f>-AC138</f>
        <v>0</v>
      </c>
      <c r="AD265" s="3">
        <f>-AD138</f>
        <v>0</v>
      </c>
      <c r="AE265" s="3">
        <f>-AE138</f>
        <v>0</v>
      </c>
      <c r="AF265" s="3">
        <f>-AF138</f>
        <v>0</v>
      </c>
      <c r="AG265" s="3">
        <f>SUM(AC265:AF265)</f>
        <v>0</v>
      </c>
      <c r="AH265" s="3">
        <f>-AH138</f>
        <v>0</v>
      </c>
      <c r="AI265" s="3">
        <f>-AI138</f>
        <v>0</v>
      </c>
      <c r="AJ265" s="3">
        <f>-AJ138</f>
        <v>0</v>
      </c>
      <c r="AK265" s="3">
        <f>-AK138</f>
        <v>0</v>
      </c>
      <c r="AL265" s="3">
        <f>SUM(AH265:AK265)</f>
        <v>0</v>
      </c>
      <c r="AM265" s="3">
        <f>-AM138</f>
        <v>0</v>
      </c>
      <c r="AN265" s="3">
        <f>-AN138</f>
        <v>0</v>
      </c>
      <c r="AO265" s="3">
        <f>-AO138</f>
        <v>0</v>
      </c>
      <c r="AP265" s="3">
        <f>-AP138</f>
        <v>0</v>
      </c>
      <c r="AQ265" s="3">
        <f>SUM(AM265:AP265)</f>
        <v>0</v>
      </c>
      <c r="AR265" s="3">
        <f>-AR138</f>
        <v>0</v>
      </c>
      <c r="AS265" s="3">
        <f>-AS138</f>
        <v>0</v>
      </c>
      <c r="AT265" s="3">
        <f>-AT138</f>
        <v>0</v>
      </c>
      <c r="AU265" s="3">
        <f>-AU138</f>
        <v>0</v>
      </c>
      <c r="AV265" s="3">
        <f>SUM(AR265:AU265)</f>
        <v>0</v>
      </c>
      <c r="AW265" s="3">
        <f>-AW138</f>
        <v>0</v>
      </c>
      <c r="AX265" s="3">
        <f>-AX138</f>
        <v>0</v>
      </c>
      <c r="AY265" s="3">
        <f>-AY138</f>
        <v>0</v>
      </c>
      <c r="AZ265" s="3">
        <f>-AZ138</f>
        <v>0</v>
      </c>
      <c r="BA265" s="3">
        <f>SUM(AW265:AZ265)</f>
        <v>0</v>
      </c>
      <c r="BB265" s="3">
        <f>-BB138</f>
        <v>0</v>
      </c>
      <c r="BC265" s="3">
        <f>-BC138</f>
        <v>0</v>
      </c>
      <c r="BD265" s="3">
        <f>-BD138</f>
        <v>0</v>
      </c>
      <c r="BE265" s="3">
        <f>-BE138</f>
        <v>0</v>
      </c>
      <c r="BF265" s="3">
        <f>SUM(BB265:BE265)</f>
        <v>0</v>
      </c>
      <c r="BG265" s="3">
        <f>-BG138</f>
        <v>0</v>
      </c>
      <c r="BH265" s="3">
        <f>-BH138</f>
        <v>0</v>
      </c>
      <c r="BI265" s="3">
        <f>-BI138</f>
        <v>0</v>
      </c>
      <c r="BJ265" s="3">
        <f>-BJ138</f>
        <v>0</v>
      </c>
      <c r="BK265" s="3">
        <f>SUM(BG265:BJ265)</f>
        <v>0</v>
      </c>
      <c r="BL265" s="3">
        <f>-BL138</f>
        <v>0</v>
      </c>
      <c r="BM265" s="3">
        <f>-BM138</f>
        <v>0</v>
      </c>
      <c r="BN265" s="3">
        <f>-BN138</f>
        <v>0</v>
      </c>
      <c r="BO265" s="3">
        <f>-BO138</f>
        <v>0</v>
      </c>
      <c r="BP265" s="3">
        <f>SUM(BL265:BO265)</f>
        <v>0</v>
      </c>
      <c r="BQ265" s="3">
        <f>-BQ138</f>
        <v>0</v>
      </c>
      <c r="BR265" s="3">
        <f>-BR138</f>
        <v>0</v>
      </c>
      <c r="BS265" s="3">
        <f>-BS138</f>
        <v>0</v>
      </c>
      <c r="BT265" s="3">
        <f>-BT138</f>
        <v>0</v>
      </c>
      <c r="BU265" s="3">
        <f>SUM(BQ265:BT265)</f>
        <v>0</v>
      </c>
      <c r="BV265" s="3">
        <f>-BV138</f>
        <v>0</v>
      </c>
      <c r="BW265" s="3">
        <f>-BW138</f>
        <v>0</v>
      </c>
      <c r="BX265" s="3">
        <f>-BX138</f>
        <v>0</v>
      </c>
      <c r="BY265" s="3">
        <f>-BY138</f>
        <v>0</v>
      </c>
      <c r="BZ265" s="3">
        <f>SUM(BV265:BY265)</f>
        <v>0</v>
      </c>
      <c r="CA265" s="3">
        <f>-CA138</f>
        <v>0</v>
      </c>
      <c r="CB265" s="3">
        <f>-CB138</f>
        <v>0</v>
      </c>
      <c r="CC265" s="3">
        <f>-CC138</f>
        <v>0</v>
      </c>
      <c r="CD265" s="3">
        <f>-CD138</f>
        <v>0</v>
      </c>
      <c r="CE265" s="3">
        <f>SUM(CA265:CD265)</f>
        <v>0</v>
      </c>
      <c r="CF265" s="3">
        <f>-CF138</f>
        <v>0</v>
      </c>
      <c r="CG265" s="3">
        <f>-CG138</f>
        <v>0</v>
      </c>
      <c r="CH265" s="3">
        <f>-CH138</f>
        <v>0</v>
      </c>
      <c r="CI265" s="3">
        <f>-CI138</f>
        <v>0</v>
      </c>
      <c r="CJ265" s="3">
        <f>SUM(CF265:CI265)</f>
        <v>0</v>
      </c>
      <c r="CK265" s="3">
        <f>-CK138</f>
        <v>0</v>
      </c>
      <c r="CL265" s="3">
        <f>-CL138</f>
        <v>0</v>
      </c>
      <c r="CM265" s="3">
        <f>-CM138</f>
        <v>0</v>
      </c>
      <c r="CN265" s="3">
        <f>-CN138</f>
        <v>0</v>
      </c>
      <c r="CO265" s="3">
        <f>SUM(CK265:CN265)</f>
        <v>0</v>
      </c>
      <c r="CP265" s="3">
        <f>-CP138</f>
        <v>0</v>
      </c>
      <c r="CQ265" s="3">
        <f>-CQ138</f>
        <v>0</v>
      </c>
      <c r="CR265" s="3">
        <f>-CR138</f>
        <v>0</v>
      </c>
      <c r="CS265" s="3">
        <f>-CS138</f>
        <v>0</v>
      </c>
      <c r="CT265" s="3">
        <f>SUM(CP265:CS265)</f>
        <v>0</v>
      </c>
      <c r="CU265" s="3">
        <f>-CU138</f>
        <v>0</v>
      </c>
      <c r="CV265" s="3">
        <f>-CV138</f>
        <v>0</v>
      </c>
      <c r="CW265" s="3">
        <f>-CW138</f>
        <v>0</v>
      </c>
      <c r="CX265" s="3">
        <f>-CX138</f>
        <v>0</v>
      </c>
      <c r="CY265" s="3">
        <f>SUM(CU265:CX265)</f>
        <v>0</v>
      </c>
    </row>
    <row r="266">
      <c r="C266" s="30" t="inlineStr">
        <is>
          <t>Minority interest expense</t>
        </is>
      </c>
      <c r="D266" s="3" t="n"/>
      <c r="E266" s="3">
        <f>-E110</f>
        <v>-7</v>
      </c>
      <c r="F266" s="3">
        <f>-F110</f>
        <v>-2</v>
      </c>
      <c r="G266" s="3">
        <f>-G110</f>
        <v>9</v>
      </c>
      <c r="H266" s="3">
        <f>SUM(D266:G266)</f>
        <v>0</v>
      </c>
      <c r="I266" s="3">
        <f>-I110</f>
        <v>21</v>
      </c>
      <c r="J266" s="3">
        <f>-J110</f>
        <v>12</v>
      </c>
      <c r="K266" s="3">
        <f>-K110</f>
        <v>4</v>
      </c>
      <c r="L266" s="3">
        <f>-L110</f>
        <v>27</v>
      </c>
      <c r="M266" s="3">
        <f>SUM(I266:L266)</f>
        <v>64</v>
      </c>
      <c r="N266" s="3">
        <f>-N110</f>
        <v>18</v>
      </c>
      <c r="O266" s="3">
        <f>-O110</f>
        <v>93</v>
      </c>
      <c r="P266" s="3">
        <f>-P110</f>
        <v>7</v>
      </c>
      <c r="Q266" s="3">
        <f>-Q110</f>
        <v>25</v>
      </c>
      <c r="R266" s="3">
        <f>SUM(N266:Q266)</f>
        <v>143</v>
      </c>
      <c r="S266" s="3">
        <f>-S110</f>
        <v>31</v>
      </c>
      <c r="T266" s="3">
        <f>-T110</f>
        <v>-2</v>
      </c>
      <c r="U266" s="3">
        <f>-U110</f>
        <v>29</v>
      </c>
      <c r="V266" s="3">
        <f>-V110</f>
        <v>-16</v>
      </c>
      <c r="W266" s="3">
        <f>SUM(S266:V266)</f>
        <v>42</v>
      </c>
      <c r="X266" s="3">
        <f>-X110</f>
        <v>50</v>
      </c>
      <c r="Y266" s="3">
        <f>-Y110</f>
        <v>9</v>
      </c>
      <c r="Z266" s="3">
        <f>-Z110</f>
        <v>9</v>
      </c>
      <c r="AA266" s="3">
        <f>-AA110</f>
        <v>20</v>
      </c>
      <c r="AB266" s="3">
        <f>SUM(X266:AA266)</f>
        <v>88</v>
      </c>
      <c r="AC266" s="3">
        <f>-AC110</f>
        <v>12</v>
      </c>
      <c r="AD266" s="3">
        <f>-AD110</f>
        <v>25</v>
      </c>
      <c r="AE266" s="3">
        <f>-AE110</f>
        <v>74</v>
      </c>
      <c r="AF266" s="3">
        <f>-AF110</f>
        <v>75</v>
      </c>
      <c r="AG266" s="3">
        <f>SUM(AC266:AF266)</f>
        <v>186</v>
      </c>
      <c r="AH266" s="3">
        <f>-AH110</f>
        <v>83</v>
      </c>
      <c r="AI266" s="3">
        <f>-AI110</f>
        <v>142</v>
      </c>
      <c r="AJ266" s="3">
        <f>-AJ110</f>
        <v>74</v>
      </c>
      <c r="AK266" s="3">
        <f>-AK110</f>
        <v>75</v>
      </c>
      <c r="AL266" s="3">
        <f>SUM(AH266:AK266)</f>
        <v>374</v>
      </c>
      <c r="AM266" s="3">
        <f>-AM110</f>
        <v>83</v>
      </c>
      <c r="AN266" s="3">
        <f>-AN110</f>
        <v>142</v>
      </c>
      <c r="AO266" s="3">
        <f>-AO110</f>
        <v>74</v>
      </c>
      <c r="AP266" s="3">
        <f>-AP110</f>
        <v>75</v>
      </c>
      <c r="AQ266" s="3">
        <f>SUM(AM266:AP266)</f>
        <v>374</v>
      </c>
      <c r="AR266" s="3">
        <f>-AR110</f>
        <v>83</v>
      </c>
      <c r="AS266" s="3">
        <f>-AS110</f>
        <v>142</v>
      </c>
      <c r="AT266" s="3">
        <f>-AT110</f>
        <v>74</v>
      </c>
      <c r="AU266" s="3">
        <f>-AU110</f>
        <v>75</v>
      </c>
      <c r="AV266" s="3">
        <f>SUM(AR266:AU266)</f>
        <v>374</v>
      </c>
      <c r="AW266" s="3">
        <f>-AW110</f>
        <v>83</v>
      </c>
      <c r="AX266" s="3">
        <f>-AX110</f>
        <v>142</v>
      </c>
      <c r="AY266" s="3">
        <f>-AY110</f>
        <v>74</v>
      </c>
      <c r="AZ266" s="3">
        <f>-AZ110</f>
        <v>75</v>
      </c>
      <c r="BA266" s="3">
        <f>SUM(AW266:AZ266)</f>
        <v>374</v>
      </c>
      <c r="BB266" s="3">
        <f>-BB110</f>
        <v>83</v>
      </c>
      <c r="BC266" s="3">
        <f>-BC110</f>
        <v>142</v>
      </c>
      <c r="BD266" s="3">
        <f>-BD110</f>
        <v>74</v>
      </c>
      <c r="BE266" s="3">
        <f>-BE110</f>
        <v>75</v>
      </c>
      <c r="BF266" s="3">
        <f>SUM(BB266:BE266)</f>
        <v>374</v>
      </c>
      <c r="BG266" s="3">
        <f>-BG110</f>
        <v>83</v>
      </c>
      <c r="BH266" s="3">
        <f>-BH110</f>
        <v>142</v>
      </c>
      <c r="BI266" s="3">
        <f>-BI110</f>
        <v>74</v>
      </c>
      <c r="BJ266" s="3">
        <f>-BJ110</f>
        <v>75</v>
      </c>
      <c r="BK266" s="3">
        <f>SUM(BG266:BJ266)</f>
        <v>374</v>
      </c>
      <c r="BL266" s="3">
        <f>-BL110</f>
        <v>83</v>
      </c>
      <c r="BM266" s="3">
        <f>-BM110</f>
        <v>142</v>
      </c>
      <c r="BN266" s="3">
        <f>-BN110</f>
        <v>74</v>
      </c>
      <c r="BO266" s="3">
        <f>-BO110</f>
        <v>75</v>
      </c>
      <c r="BP266" s="3">
        <f>SUM(BL266:BO266)</f>
        <v>374</v>
      </c>
      <c r="BQ266" s="3">
        <f>-BQ110</f>
        <v>83</v>
      </c>
      <c r="BR266" s="3">
        <f>-BR110</f>
        <v>142</v>
      </c>
      <c r="BS266" s="3">
        <f>-BS110</f>
        <v>74</v>
      </c>
      <c r="BT266" s="3">
        <f>-BT110</f>
        <v>75</v>
      </c>
      <c r="BU266" s="3">
        <f>SUM(BQ266:BT266)</f>
        <v>374</v>
      </c>
      <c r="BV266" s="3">
        <f>-BV110</f>
        <v>83</v>
      </c>
      <c r="BW266" s="3">
        <f>-BW110</f>
        <v>142</v>
      </c>
      <c r="BX266" s="3">
        <f>-BX110</f>
        <v>74</v>
      </c>
      <c r="BY266" s="3">
        <f>-BY110</f>
        <v>75</v>
      </c>
      <c r="BZ266" s="3">
        <f>SUM(BV266:BY266)</f>
        <v>374</v>
      </c>
      <c r="CA266" s="3">
        <f>-CA110</f>
        <v>83</v>
      </c>
      <c r="CB266" s="3">
        <f>-CB110</f>
        <v>142</v>
      </c>
      <c r="CC266" s="3">
        <f>-CC110</f>
        <v>74</v>
      </c>
      <c r="CD266" s="3">
        <f>-CD110</f>
        <v>75</v>
      </c>
      <c r="CE266" s="3">
        <f>SUM(CA266:CD266)</f>
        <v>374</v>
      </c>
      <c r="CF266" s="3">
        <f>-CF110</f>
        <v>83</v>
      </c>
      <c r="CG266" s="3">
        <f>-CG110</f>
        <v>142</v>
      </c>
      <c r="CH266" s="3">
        <f>-CH110</f>
        <v>74</v>
      </c>
      <c r="CI266" s="3">
        <f>-CI110</f>
        <v>75</v>
      </c>
      <c r="CJ266" s="3">
        <f>SUM(CF266:CI266)</f>
        <v>374</v>
      </c>
      <c r="CK266" s="3">
        <f>-CK110</f>
        <v>83</v>
      </c>
      <c r="CL266" s="3">
        <f>-CL110</f>
        <v>142</v>
      </c>
      <c r="CM266" s="3">
        <f>-CM110</f>
        <v>74</v>
      </c>
      <c r="CN266" s="3">
        <f>-CN110</f>
        <v>75</v>
      </c>
      <c r="CO266" s="3">
        <f>SUM(CK266:CN266)</f>
        <v>374</v>
      </c>
      <c r="CP266" s="3">
        <f>-CP110</f>
        <v>83</v>
      </c>
      <c r="CQ266" s="3">
        <f>-CQ110</f>
        <v>142</v>
      </c>
      <c r="CR266" s="3">
        <f>-CR110</f>
        <v>74</v>
      </c>
      <c r="CS266" s="3">
        <f>-CS110</f>
        <v>75</v>
      </c>
      <c r="CT266" s="3">
        <f>SUM(CP266:CS266)</f>
        <v>374</v>
      </c>
      <c r="CU266" s="3">
        <f>-CU110</f>
        <v>83</v>
      </c>
      <c r="CV266" s="3">
        <f>-CV110</f>
        <v>142</v>
      </c>
      <c r="CW266" s="3">
        <f>-CW110</f>
        <v>74</v>
      </c>
      <c r="CX266" s="3">
        <f>-CX110</f>
        <v>75</v>
      </c>
      <c r="CY266" s="3">
        <f>SUM(CU266:CX266)</f>
        <v>374</v>
      </c>
    </row>
    <row r="267">
      <c r="C267" s="26" t="inlineStr">
        <is>
          <t>Cash from operations</t>
        </is>
      </c>
      <c r="D267" s="3" t="n"/>
      <c r="E267" s="3">
        <f>SUM(E251,E252,E253,E264,E265,E266)</f>
        <v>-1541</v>
      </c>
      <c r="F267" s="3">
        <f>SUM(F251,F252,F253,F264,F265,F266)</f>
        <v>4281</v>
      </c>
      <c r="G267" s="3">
        <f>SUM(G251,G252,G253,G264,G265,G266)</f>
        <v>6003</v>
      </c>
      <c r="H267" s="3">
        <f>SUM(H251,H252,H253,H264,H265,H266)</f>
        <v>8743</v>
      </c>
      <c r="I267" s="3">
        <f>SUM(I251,I252,I253,I264,I265,I266)</f>
        <v>3239</v>
      </c>
      <c r="J267" s="3">
        <f>SUM(J251,J252,J253,J264,J265,J266)</f>
        <v>7755</v>
      </c>
      <c r="K267" s="3">
        <f>SUM(K251,K252,K253,K264,K265,K266)</f>
        <v>11908</v>
      </c>
      <c r="L267" s="3">
        <f>SUM(L251,L252,L253,L264,L265,L266)</f>
        <v>11052</v>
      </c>
      <c r="M267" s="3">
        <f>SUM(M251,M252,M253,M264,M265,M266)</f>
        <v>33954</v>
      </c>
      <c r="N267" s="3">
        <f>SUM(N251,N252,N253,N264,N265,N266)</f>
        <v>4173</v>
      </c>
      <c r="O267" s="3">
        <f>SUM(O251,O252,O253,O264,O265,O266)</f>
        <v>26691</v>
      </c>
      <c r="P267" s="3">
        <f>SUM(P251,P252,P253,P264,P265,P266)</f>
        <v>17630</v>
      </c>
      <c r="Q267" s="3">
        <f>SUM(Q251,Q252,Q253,Q264,Q265,Q266)</f>
        <v>12869</v>
      </c>
      <c r="R267" s="3">
        <f>SUM(R251,R252,R253,R264,R265,R266)</f>
        <v>61363</v>
      </c>
      <c r="S267" s="3">
        <f>SUM(S251,S252,S253,S264,S265,S266)</f>
        <v>9185</v>
      </c>
      <c r="T267" s="3">
        <f>SUM(T251,T252,T253,T264,T265,T266)</f>
        <v>7391</v>
      </c>
      <c r="U267" s="3">
        <f>SUM(U251,U252,U253,U264,U265,U266)</f>
        <v>13397</v>
      </c>
      <c r="V267" s="3">
        <f>SUM(V251,V252,V253,V264,V265,V266)</f>
        <v>9485</v>
      </c>
      <c r="W267" s="3">
        <f>SUM(W251,W252,W253,W264,W265,W266)</f>
        <v>39458</v>
      </c>
      <c r="X267" s="3">
        <f>SUM(X251,X252,X253,X264,X265,X266)</f>
        <v>9522</v>
      </c>
      <c r="Y267" s="3">
        <f>SUM(Y251,Y252,Y253,Y264,Y265,Y266)</f>
        <v>7353</v>
      </c>
      <c r="Z267" s="3">
        <f>SUM(Z251,Z252,Z253,Z264,Z265,Z266)</f>
        <v>4556</v>
      </c>
      <c r="AA267" s="3">
        <f>SUM(AA251,AA252,AA253,AA264,AA265,AA266)</f>
        <v>8324</v>
      </c>
      <c r="AB267" s="3">
        <f>SUM(AB251,AB252,AB253,AB264,AB265,AB266)</f>
        <v>29755</v>
      </c>
      <c r="AC267" s="3">
        <f>SUM(AC251,AC252,AC253,AC264,AC265,AC266)</f>
        <v>7903</v>
      </c>
      <c r="AD267" s="3">
        <f>SUM(AD251,AD252,AD253,AD264,AD265,AD266)</f>
        <v>7866</v>
      </c>
      <c r="AE267" s="3">
        <f>SUM(AE251,AE252,AE253,AE264,AE265,AE266)</f>
        <v>16552</v>
      </c>
      <c r="AF267" s="3">
        <f>SUM(AF251,AF252,AF253,AF264,AF265,AF266)</f>
        <v>11790</v>
      </c>
      <c r="AG267" s="3">
        <f>SUM(AG251,AG252,AG253,AG264,AG265,AG266)</f>
        <v>44111</v>
      </c>
      <c r="AH267" s="3">
        <f>SUM(AH251,AH252,AH253,AH264,AH265,AH266)</f>
        <v>4362</v>
      </c>
      <c r="AI267" s="3">
        <f>SUM(AI251,AI252,AI253,AI264,AI265,AI266)</f>
        <v>18205</v>
      </c>
      <c r="AJ267" s="3">
        <f>SUM(AJ251,AJ252,AJ253,AJ264,AJ265,AJ266)</f>
        <v>-12888</v>
      </c>
      <c r="AK267" s="3">
        <f>SUM(AK251,AK252,AK253,AK264,AK265,AK266)</f>
        <v>0</v>
      </c>
      <c r="AL267" s="3">
        <f>SUM(AL251,AL252,AL253,AL264,AL265,AL266)</f>
        <v>9679</v>
      </c>
      <c r="AM267" s="3" t="e">
        <f>SUM(AM251,AM252,AM253,AM264,AM265,AM266)</f>
        <v>#DIV/0!</v>
      </c>
      <c r="AN267" s="3" t="e">
        <f>SUM(AN251,AN252,AN253,AN264,AN265,AN266)</f>
        <v>#DIV/0!</v>
      </c>
      <c r="AO267" s="3" t="e">
        <f>SUM(AO251,AO252,AO253,AO264,AO265,AO266)</f>
        <v>#DIV/0!</v>
      </c>
      <c r="AP267" s="3" t="e">
        <f>SUM(AP251,AP252,AP253,AP264,AP265,AP266)</f>
        <v>#DIV/0!</v>
      </c>
      <c r="AQ267" s="3" t="e">
        <f>SUM(AQ251,AQ252,AQ253,AQ264,AQ265,AQ266)</f>
        <v>#DIV/0!</v>
      </c>
      <c r="AR267" s="3" t="e">
        <f>SUM(AR251,AR252,AR253,AR264,AR265,AR266)</f>
        <v>#DIV/0!</v>
      </c>
      <c r="AS267" s="3" t="e">
        <f>SUM(AS251,AS252,AS253,AS264,AS265,AS266)</f>
        <v>#DIV/0!</v>
      </c>
      <c r="AT267" s="3" t="e">
        <f>SUM(AT251,AT252,AT253,AT264,AT265,AT266)</f>
        <v>#DIV/0!</v>
      </c>
      <c r="AU267" s="3" t="e">
        <f>SUM(AU251,AU252,AU253,AU264,AU265,AU266)</f>
        <v>#DIV/0!</v>
      </c>
      <c r="AV267" s="3" t="e">
        <f>SUM(AV251,AV252,AV253,AV264,AV265,AV266)</f>
        <v>#DIV/0!</v>
      </c>
      <c r="AW267" s="3" t="e">
        <f>SUM(AW251,AW252,AW253,AW264,AW265,AW266)</f>
        <v>#DIV/0!</v>
      </c>
      <c r="AX267" s="3" t="e">
        <f>SUM(AX251,AX252,AX253,AX264,AX265,AX266)</f>
        <v>#DIV/0!</v>
      </c>
      <c r="AY267" s="3" t="e">
        <f>SUM(AY251,AY252,AY253,AY264,AY265,AY266)</f>
        <v>#DIV/0!</v>
      </c>
      <c r="AZ267" s="3" t="e">
        <f>SUM(AZ251,AZ252,AZ253,AZ264,AZ265,AZ266)</f>
        <v>#DIV/0!</v>
      </c>
      <c r="BA267" s="3" t="e">
        <f>SUM(BA251,BA252,BA253,BA264,BA265,BA266)</f>
        <v>#DIV/0!</v>
      </c>
      <c r="BB267" s="3" t="e">
        <f>SUM(BB251,BB252,BB253,BB264,BB265,BB266)</f>
        <v>#DIV/0!</v>
      </c>
      <c r="BC267" s="3" t="e">
        <f>SUM(BC251,BC252,BC253,BC264,BC265,BC266)</f>
        <v>#DIV/0!</v>
      </c>
      <c r="BD267" s="3" t="e">
        <f>SUM(BD251,BD252,BD253,BD264,BD265,BD266)</f>
        <v>#DIV/0!</v>
      </c>
      <c r="BE267" s="3" t="e">
        <f>SUM(BE251,BE252,BE253,BE264,BE265,BE266)</f>
        <v>#DIV/0!</v>
      </c>
      <c r="BF267" s="3" t="e">
        <f>SUM(BF251,BF252,BF253,BF264,BF265,BF266)</f>
        <v>#DIV/0!</v>
      </c>
      <c r="BG267" s="3" t="e">
        <f>SUM(BG251,BG252,BG253,BG264,BG265,BG266)</f>
        <v>#DIV/0!</v>
      </c>
      <c r="BH267" s="3" t="e">
        <f>SUM(BH251,BH252,BH253,BH264,BH265,BH266)</f>
        <v>#DIV/0!</v>
      </c>
      <c r="BI267" s="3" t="e">
        <f>SUM(BI251,BI252,BI253,BI264,BI265,BI266)</f>
        <v>#DIV/0!</v>
      </c>
      <c r="BJ267" s="3" t="e">
        <f>SUM(BJ251,BJ252,BJ253,BJ264,BJ265,BJ266)</f>
        <v>#DIV/0!</v>
      </c>
      <c r="BK267" s="3" t="e">
        <f>SUM(BK251,BK252,BK253,BK264,BK265,BK266)</f>
        <v>#DIV/0!</v>
      </c>
      <c r="BL267" s="3" t="e">
        <f>SUM(BL251,BL252,BL253,BL264,BL265,BL266)</f>
        <v>#DIV/0!</v>
      </c>
      <c r="BM267" s="3" t="e">
        <f>SUM(BM251,BM252,BM253,BM264,BM265,BM266)</f>
        <v>#DIV/0!</v>
      </c>
      <c r="BN267" s="3" t="e">
        <f>SUM(BN251,BN252,BN253,BN264,BN265,BN266)</f>
        <v>#DIV/0!</v>
      </c>
      <c r="BO267" s="3" t="e">
        <f>SUM(BO251,BO252,BO253,BO264,BO265,BO266)</f>
        <v>#DIV/0!</v>
      </c>
      <c r="BP267" s="3" t="e">
        <f>SUM(BP251,BP252,BP253,BP264,BP265,BP266)</f>
        <v>#DIV/0!</v>
      </c>
      <c r="BQ267" s="3" t="e">
        <f>SUM(BQ251,BQ252,BQ253,BQ264,BQ265,BQ266)</f>
        <v>#DIV/0!</v>
      </c>
      <c r="BR267" s="3" t="e">
        <f>SUM(BR251,BR252,BR253,BR264,BR265,BR266)</f>
        <v>#DIV/0!</v>
      </c>
      <c r="BS267" s="3" t="e">
        <f>SUM(BS251,BS252,BS253,BS264,BS265,BS266)</f>
        <v>#DIV/0!</v>
      </c>
      <c r="BT267" s="3" t="e">
        <f>SUM(BT251,BT252,BT253,BT264,BT265,BT266)</f>
        <v>#DIV/0!</v>
      </c>
      <c r="BU267" s="3" t="e">
        <f>SUM(BU251,BU252,BU253,BU264,BU265,BU266)</f>
        <v>#DIV/0!</v>
      </c>
      <c r="BV267" s="3" t="e">
        <f>SUM(BV251,BV252,BV253,BV264,BV265,BV266)</f>
        <v>#DIV/0!</v>
      </c>
      <c r="BW267" s="3" t="e">
        <f>SUM(BW251,BW252,BW253,BW264,BW265,BW266)</f>
        <v>#DIV/0!</v>
      </c>
      <c r="BX267" s="3" t="e">
        <f>SUM(BX251,BX252,BX253,BX264,BX265,BX266)</f>
        <v>#DIV/0!</v>
      </c>
      <c r="BY267" s="3" t="e">
        <f>SUM(BY251,BY252,BY253,BY264,BY265,BY266)</f>
        <v>#DIV/0!</v>
      </c>
      <c r="BZ267" s="3" t="e">
        <f>SUM(BZ251,BZ252,BZ253,BZ264,BZ265,BZ266)</f>
        <v>#DIV/0!</v>
      </c>
      <c r="CA267" s="3" t="e">
        <f>SUM(CA251,CA252,CA253,CA264,CA265,CA266)</f>
        <v>#DIV/0!</v>
      </c>
      <c r="CB267" s="3" t="e">
        <f>SUM(CB251,CB252,CB253,CB264,CB265,CB266)</f>
        <v>#DIV/0!</v>
      </c>
      <c r="CC267" s="3" t="e">
        <f>SUM(CC251,CC252,CC253,CC264,CC265,CC266)</f>
        <v>#DIV/0!</v>
      </c>
      <c r="CD267" s="3" t="e">
        <f>SUM(CD251,CD252,CD253,CD264,CD265,CD266)</f>
        <v>#DIV/0!</v>
      </c>
      <c r="CE267" s="3" t="e">
        <f>SUM(CE251,CE252,CE253,CE264,CE265,CE266)</f>
        <v>#DIV/0!</v>
      </c>
      <c r="CF267" s="3" t="e">
        <f>SUM(CF251,CF252,CF253,CF264,CF265,CF266)</f>
        <v>#DIV/0!</v>
      </c>
      <c r="CG267" s="3" t="e">
        <f>SUM(CG251,CG252,CG253,CG264,CG265,CG266)</f>
        <v>#DIV/0!</v>
      </c>
      <c r="CH267" s="3" t="e">
        <f>SUM(CH251,CH252,CH253,CH264,CH265,CH266)</f>
        <v>#DIV/0!</v>
      </c>
      <c r="CI267" s="3" t="e">
        <f>SUM(CI251,CI252,CI253,CI264,CI265,CI266)</f>
        <v>#DIV/0!</v>
      </c>
      <c r="CJ267" s="3" t="e">
        <f>SUM(CJ251,CJ252,CJ253,CJ264,CJ265,CJ266)</f>
        <v>#DIV/0!</v>
      </c>
      <c r="CK267" s="3" t="e">
        <f>SUM(CK251,CK252,CK253,CK264,CK265,CK266)</f>
        <v>#DIV/0!</v>
      </c>
      <c r="CL267" s="3" t="e">
        <f>SUM(CL251,CL252,CL253,CL264,CL265,CL266)</f>
        <v>#DIV/0!</v>
      </c>
      <c r="CM267" s="3" t="e">
        <f>SUM(CM251,CM252,CM253,CM264,CM265,CM266)</f>
        <v>#DIV/0!</v>
      </c>
      <c r="CN267" s="3" t="e">
        <f>SUM(CN251,CN252,CN253,CN264,CN265,CN266)</f>
        <v>#DIV/0!</v>
      </c>
      <c r="CO267" s="3" t="e">
        <f>SUM(CO251,CO252,CO253,CO264,CO265,CO266)</f>
        <v>#DIV/0!</v>
      </c>
      <c r="CP267" s="3" t="e">
        <f>SUM(CP251,CP252,CP253,CP264,CP265,CP266)</f>
        <v>#DIV/0!</v>
      </c>
      <c r="CQ267" s="3" t="e">
        <f>SUM(CQ251,CQ252,CQ253,CQ264,CQ265,CQ266)</f>
        <v>#DIV/0!</v>
      </c>
      <c r="CR267" s="3" t="e">
        <f>SUM(CR251,CR252,CR253,CR264,CR265,CR266)</f>
        <v>#DIV/0!</v>
      </c>
      <c r="CS267" s="3" t="e">
        <f>SUM(CS251,CS252,CS253,CS264,CS265,CS266)</f>
        <v>#DIV/0!</v>
      </c>
      <c r="CT267" s="3" t="e">
        <f>SUM(CT251,CT252,CT253,CT264,CT265,CT266)</f>
        <v>#DIV/0!</v>
      </c>
      <c r="CU267" s="3" t="e">
        <f>SUM(CU251,CU252,CU253,CU264,CU265,CU266)</f>
        <v>#DIV/0!</v>
      </c>
      <c r="CV267" s="3" t="e">
        <f>SUM(CV251,CV252,CV253,CV264,CV265,CV266)</f>
        <v>#DIV/0!</v>
      </c>
      <c r="CW267" s="3" t="e">
        <f>SUM(CW251,CW252,CW253,CW264,CW265,CW266)</f>
        <v>#DIV/0!</v>
      </c>
      <c r="CX267" s="3" t="e">
        <f>SUM(CX251,CX252,CX253,CX264,CX265,CX266)</f>
        <v>#DIV/0!</v>
      </c>
      <c r="CY267" s="3" t="e">
        <f>SUM(CY251,CY252,CY253,CY264,CY265,CY266)</f>
        <v>#DIV/0!</v>
      </c>
    </row>
    <row r="268">
      <c r="C268" s="26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>
      <c r="C269" s="29" t="inlineStr">
        <is>
          <t>Purchase of fixed assets (capital expenditures)</t>
        </is>
      </c>
      <c r="D269" s="3" t="n"/>
      <c r="E269" s="3">
        <f>-E142</f>
        <v>-1347</v>
      </c>
      <c r="F269" s="3">
        <f>-F142</f>
        <v>-2550</v>
      </c>
      <c r="G269" s="3">
        <f>-G142</f>
        <v>-18721</v>
      </c>
      <c r="H269" s="3">
        <f>SUM(D269:G269)</f>
        <v>-22618</v>
      </c>
      <c r="I269" s="3">
        <f>-I142</f>
        <v>-1671</v>
      </c>
      <c r="J269" s="3">
        <f>-J142</f>
        <v>-1727</v>
      </c>
      <c r="K269" s="3">
        <f>-K142</f>
        <v>-1041</v>
      </c>
      <c r="L269" s="3">
        <f>-L142</f>
        <v>-3829</v>
      </c>
      <c r="M269" s="3">
        <f>SUM(I269:L269)</f>
        <v>-8268</v>
      </c>
      <c r="N269" s="3">
        <f>-N142</f>
        <v>-1137</v>
      </c>
      <c r="O269" s="3">
        <f>-O142</f>
        <v>-3666</v>
      </c>
      <c r="P269" s="3">
        <f>-P142</f>
        <v>-3935</v>
      </c>
      <c r="Q269" s="3">
        <f>-Q142</f>
        <v>-4211</v>
      </c>
      <c r="R269" s="3">
        <f>SUM(N269:Q269)</f>
        <v>-12949</v>
      </c>
      <c r="S269" s="3">
        <f>-S142</f>
        <v>-2886</v>
      </c>
      <c r="T269" s="3">
        <f>-T142</f>
        <v>-3338</v>
      </c>
      <c r="U269" s="3">
        <f>-U142</f>
        <v>-15229</v>
      </c>
      <c r="V269" s="3">
        <f>-V142</f>
        <v>-5901</v>
      </c>
      <c r="W269" s="3">
        <f>SUM(S269:V269)</f>
        <v>-27354</v>
      </c>
      <c r="X269" s="3">
        <f>-X142</f>
        <v>-4113</v>
      </c>
      <c r="Y269" s="3">
        <f>-Y142</f>
        <v>-3366</v>
      </c>
      <c r="Z269" s="3">
        <f>-Z142</f>
        <v>898</v>
      </c>
      <c r="AA269" s="3">
        <f>-AA142</f>
        <v>-4881</v>
      </c>
      <c r="AB269" s="3">
        <f>SUM(X269:AA269)</f>
        <v>-11462</v>
      </c>
      <c r="AC269" s="3">
        <f>-AC142</f>
        <v>-4448</v>
      </c>
      <c r="AD269" s="3">
        <f>-AD142</f>
        <v>-3662</v>
      </c>
      <c r="AE269" s="3">
        <f>-AE142</f>
        <v>-77833</v>
      </c>
      <c r="AF269" s="3">
        <f>-AF142</f>
        <v>-6119</v>
      </c>
      <c r="AG269" s="3">
        <f>SUM(AC269:AF269)</f>
        <v>-92062</v>
      </c>
      <c r="AH269" s="3">
        <f>-AH142</f>
        <v>-4228</v>
      </c>
      <c r="AI269" s="3">
        <f>-AI142</f>
        <v>-3870</v>
      </c>
      <c r="AJ269" s="3">
        <f>-AJ142</f>
        <v>0</v>
      </c>
      <c r="AK269" s="3">
        <f>-AK142</f>
        <v>0</v>
      </c>
      <c r="AL269" s="3">
        <f>SUM(AH269:AK269)</f>
        <v>-8098</v>
      </c>
      <c r="AM269" s="3">
        <f>-AM142</f>
        <v>0</v>
      </c>
      <c r="AN269" s="3">
        <f>-AN142</f>
        <v>0</v>
      </c>
      <c r="AO269" s="3">
        <f>-AO142</f>
        <v>0</v>
      </c>
      <c r="AP269" s="3">
        <f>-AP142</f>
        <v>0</v>
      </c>
      <c r="AQ269" s="3">
        <f>SUM(AM269:AP269)</f>
        <v>0</v>
      </c>
      <c r="AR269" s="3">
        <f>-AR142</f>
        <v>0</v>
      </c>
      <c r="AS269" s="3">
        <f>-AS142</f>
        <v>0</v>
      </c>
      <c r="AT269" s="3">
        <f>-AT142</f>
        <v>0</v>
      </c>
      <c r="AU269" s="3">
        <f>-AU142</f>
        <v>0</v>
      </c>
      <c r="AV269" s="3">
        <f>SUM(AR269:AU269)</f>
        <v>0</v>
      </c>
      <c r="AW269" s="3">
        <f>-AW142</f>
        <v>0</v>
      </c>
      <c r="AX269" s="3">
        <f>-AX142</f>
        <v>0</v>
      </c>
      <c r="AY269" s="3">
        <f>-AY142</f>
        <v>0</v>
      </c>
      <c r="AZ269" s="3">
        <f>-AZ142</f>
        <v>0</v>
      </c>
      <c r="BA269" s="3">
        <f>SUM(AW269:AZ269)</f>
        <v>0</v>
      </c>
      <c r="BB269" s="3">
        <f>-BB142</f>
        <v>0</v>
      </c>
      <c r="BC269" s="3">
        <f>-BC142</f>
        <v>0</v>
      </c>
      <c r="BD269" s="3">
        <f>-BD142</f>
        <v>0</v>
      </c>
      <c r="BE269" s="3">
        <f>-BE142</f>
        <v>0</v>
      </c>
      <c r="BF269" s="3">
        <f>SUM(BB269:BE269)</f>
        <v>0</v>
      </c>
      <c r="BG269" s="3">
        <f>-BG142</f>
        <v>0</v>
      </c>
      <c r="BH269" s="3">
        <f>-BH142</f>
        <v>0</v>
      </c>
      <c r="BI269" s="3">
        <f>-BI142</f>
        <v>0</v>
      </c>
      <c r="BJ269" s="3">
        <f>-BJ142</f>
        <v>0</v>
      </c>
      <c r="BK269" s="3">
        <f>SUM(BG269:BJ269)</f>
        <v>0</v>
      </c>
      <c r="BL269" s="3">
        <f>-BL142</f>
        <v>0</v>
      </c>
      <c r="BM269" s="3">
        <f>-BM142</f>
        <v>0</v>
      </c>
      <c r="BN269" s="3">
        <f>-BN142</f>
        <v>0</v>
      </c>
      <c r="BO269" s="3">
        <f>-BO142</f>
        <v>0</v>
      </c>
      <c r="BP269" s="3">
        <f>SUM(BL269:BO269)</f>
        <v>0</v>
      </c>
      <c r="BQ269" s="3">
        <f>-BQ142</f>
        <v>0</v>
      </c>
      <c r="BR269" s="3">
        <f>-BR142</f>
        <v>0</v>
      </c>
      <c r="BS269" s="3">
        <f>-BS142</f>
        <v>0</v>
      </c>
      <c r="BT269" s="3">
        <f>-BT142</f>
        <v>0</v>
      </c>
      <c r="BU269" s="3">
        <f>SUM(BQ269:BT269)</f>
        <v>0</v>
      </c>
      <c r="BV269" s="3">
        <f>-BV142</f>
        <v>0</v>
      </c>
      <c r="BW269" s="3">
        <f>-BW142</f>
        <v>0</v>
      </c>
      <c r="BX269" s="3">
        <f>-BX142</f>
        <v>0</v>
      </c>
      <c r="BY269" s="3">
        <f>-BY142</f>
        <v>0</v>
      </c>
      <c r="BZ269" s="3">
        <f>SUM(BV269:BY269)</f>
        <v>0</v>
      </c>
      <c r="CA269" s="3">
        <f>-CA142</f>
        <v>0</v>
      </c>
      <c r="CB269" s="3">
        <f>-CB142</f>
        <v>0</v>
      </c>
      <c r="CC269" s="3">
        <f>-CC142</f>
        <v>0</v>
      </c>
      <c r="CD269" s="3">
        <f>-CD142</f>
        <v>0</v>
      </c>
      <c r="CE269" s="3">
        <f>SUM(CA269:CD269)</f>
        <v>0</v>
      </c>
      <c r="CF269" s="3">
        <f>-CF142</f>
        <v>0</v>
      </c>
      <c r="CG269" s="3">
        <f>-CG142</f>
        <v>0</v>
      </c>
      <c r="CH269" s="3">
        <f>-CH142</f>
        <v>0</v>
      </c>
      <c r="CI269" s="3">
        <f>-CI142</f>
        <v>0</v>
      </c>
      <c r="CJ269" s="3">
        <f>SUM(CF269:CI269)</f>
        <v>0</v>
      </c>
      <c r="CK269" s="3">
        <f>-CK142</f>
        <v>0</v>
      </c>
      <c r="CL269" s="3">
        <f>-CL142</f>
        <v>0</v>
      </c>
      <c r="CM269" s="3">
        <f>-CM142</f>
        <v>0</v>
      </c>
      <c r="CN269" s="3">
        <f>-CN142</f>
        <v>0</v>
      </c>
      <c r="CO269" s="3">
        <f>SUM(CK269:CN269)</f>
        <v>0</v>
      </c>
      <c r="CP269" s="3">
        <f>-CP142</f>
        <v>0</v>
      </c>
      <c r="CQ269" s="3">
        <f>-CQ142</f>
        <v>0</v>
      </c>
      <c r="CR269" s="3">
        <f>-CR142</f>
        <v>0</v>
      </c>
      <c r="CS269" s="3">
        <f>-CS142</f>
        <v>0</v>
      </c>
      <c r="CT269" s="3">
        <f>SUM(CP269:CS269)</f>
        <v>0</v>
      </c>
      <c r="CU269" s="3">
        <f>-CU142</f>
        <v>0</v>
      </c>
      <c r="CV269" s="3">
        <f>-CV142</f>
        <v>0</v>
      </c>
      <c r="CW269" s="3">
        <f>-CW142</f>
        <v>0</v>
      </c>
      <c r="CX269" s="3">
        <f>-CX142</f>
        <v>0</v>
      </c>
      <c r="CY269" s="3">
        <f>SUM(CU269:CX269)</f>
        <v>0</v>
      </c>
    </row>
    <row r="270">
      <c r="C270" s="29" t="inlineStr">
        <is>
          <t>Proceeds from sale of fixed assets</t>
        </is>
      </c>
      <c r="D270" s="3" t="n"/>
      <c r="E270" s="3">
        <f>-E143</f>
        <v>0</v>
      </c>
      <c r="F270" s="3">
        <f>-F143</f>
        <v>0</v>
      </c>
      <c r="G270" s="3">
        <f>-G143</f>
        <v>0</v>
      </c>
      <c r="H270" s="3">
        <f>SUM(D270:G270)</f>
        <v>0</v>
      </c>
      <c r="I270" s="3">
        <f>-I143</f>
        <v>0</v>
      </c>
      <c r="J270" s="3">
        <f>-J143</f>
        <v>0</v>
      </c>
      <c r="K270" s="3">
        <f>-K143</f>
        <v>0</v>
      </c>
      <c r="L270" s="3">
        <f>-L143</f>
        <v>0</v>
      </c>
      <c r="M270" s="3">
        <f>SUM(I270:L270)</f>
        <v>0</v>
      </c>
      <c r="N270" s="3">
        <f>-N143</f>
        <v>0</v>
      </c>
      <c r="O270" s="3">
        <f>-O143</f>
        <v>0</v>
      </c>
      <c r="P270" s="3">
        <f>-P143</f>
        <v>0</v>
      </c>
      <c r="Q270" s="3">
        <f>-Q143</f>
        <v>0</v>
      </c>
      <c r="R270" s="3">
        <f>SUM(N270:Q270)</f>
        <v>0</v>
      </c>
      <c r="S270" s="3">
        <f>-S143</f>
        <v>0</v>
      </c>
      <c r="T270" s="3">
        <f>-T143</f>
        <v>0</v>
      </c>
      <c r="U270" s="3">
        <f>-U143</f>
        <v>0</v>
      </c>
      <c r="V270" s="3">
        <f>-V143</f>
        <v>0</v>
      </c>
      <c r="W270" s="3">
        <f>SUM(S270:V270)</f>
        <v>0</v>
      </c>
      <c r="X270" s="3">
        <f>-X143</f>
        <v>0</v>
      </c>
      <c r="Y270" s="3">
        <f>-Y143</f>
        <v>0</v>
      </c>
      <c r="Z270" s="3">
        <f>-Z143</f>
        <v>0</v>
      </c>
      <c r="AA270" s="3">
        <f>-AA143</f>
        <v>0</v>
      </c>
      <c r="AB270" s="3">
        <f>SUM(X270:AA270)</f>
        <v>0</v>
      </c>
      <c r="AC270" s="3">
        <f>-AC143</f>
        <v>0</v>
      </c>
      <c r="AD270" s="3">
        <f>-AD143</f>
        <v>0</v>
      </c>
      <c r="AE270" s="3">
        <f>-AE143</f>
        <v>0</v>
      </c>
      <c r="AF270" s="3">
        <f>-AF143</f>
        <v>0</v>
      </c>
      <c r="AG270" s="3">
        <f>SUM(AC270:AF270)</f>
        <v>0</v>
      </c>
      <c r="AH270" s="3">
        <f>-AH143</f>
        <v>0</v>
      </c>
      <c r="AI270" s="3">
        <f>-AI143</f>
        <v>0</v>
      </c>
      <c r="AJ270" s="3">
        <f>-AJ143</f>
        <v>0</v>
      </c>
      <c r="AK270" s="3">
        <f>-AK143</f>
        <v>0</v>
      </c>
      <c r="AL270" s="3">
        <f>SUM(AH270:AK270)</f>
        <v>0</v>
      </c>
      <c r="AM270" s="3">
        <f>-AM143</f>
        <v>0</v>
      </c>
      <c r="AN270" s="3">
        <f>-AN143</f>
        <v>0</v>
      </c>
      <c r="AO270" s="3">
        <f>-AO143</f>
        <v>0</v>
      </c>
      <c r="AP270" s="3">
        <f>-AP143</f>
        <v>0</v>
      </c>
      <c r="AQ270" s="3">
        <f>SUM(AM270:AP270)</f>
        <v>0</v>
      </c>
      <c r="AR270" s="3">
        <f>-AR143</f>
        <v>0</v>
      </c>
      <c r="AS270" s="3">
        <f>-AS143</f>
        <v>0</v>
      </c>
      <c r="AT270" s="3">
        <f>-AT143</f>
        <v>0</v>
      </c>
      <c r="AU270" s="3">
        <f>-AU143</f>
        <v>0</v>
      </c>
      <c r="AV270" s="3">
        <f>SUM(AR270:AU270)</f>
        <v>0</v>
      </c>
      <c r="AW270" s="3">
        <f>-AW143</f>
        <v>0</v>
      </c>
      <c r="AX270" s="3">
        <f>-AX143</f>
        <v>0</v>
      </c>
      <c r="AY270" s="3">
        <f>-AY143</f>
        <v>0</v>
      </c>
      <c r="AZ270" s="3">
        <f>-AZ143</f>
        <v>0</v>
      </c>
      <c r="BA270" s="3">
        <f>SUM(AW270:AZ270)</f>
        <v>0</v>
      </c>
      <c r="BB270" s="3">
        <f>-BB143</f>
        <v>0</v>
      </c>
      <c r="BC270" s="3">
        <f>-BC143</f>
        <v>0</v>
      </c>
      <c r="BD270" s="3">
        <f>-BD143</f>
        <v>0</v>
      </c>
      <c r="BE270" s="3">
        <f>-BE143</f>
        <v>0</v>
      </c>
      <c r="BF270" s="3">
        <f>SUM(BB270:BE270)</f>
        <v>0</v>
      </c>
      <c r="BG270" s="3">
        <f>-BG143</f>
        <v>0</v>
      </c>
      <c r="BH270" s="3">
        <f>-BH143</f>
        <v>0</v>
      </c>
      <c r="BI270" s="3">
        <f>-BI143</f>
        <v>0</v>
      </c>
      <c r="BJ270" s="3">
        <f>-BJ143</f>
        <v>0</v>
      </c>
      <c r="BK270" s="3">
        <f>SUM(BG270:BJ270)</f>
        <v>0</v>
      </c>
      <c r="BL270" s="3">
        <f>-BL143</f>
        <v>0</v>
      </c>
      <c r="BM270" s="3">
        <f>-BM143</f>
        <v>0</v>
      </c>
      <c r="BN270" s="3">
        <f>-BN143</f>
        <v>0</v>
      </c>
      <c r="BO270" s="3">
        <f>-BO143</f>
        <v>0</v>
      </c>
      <c r="BP270" s="3">
        <f>SUM(BL270:BO270)</f>
        <v>0</v>
      </c>
      <c r="BQ270" s="3">
        <f>-BQ143</f>
        <v>0</v>
      </c>
      <c r="BR270" s="3">
        <f>-BR143</f>
        <v>0</v>
      </c>
      <c r="BS270" s="3">
        <f>-BS143</f>
        <v>0</v>
      </c>
      <c r="BT270" s="3">
        <f>-BT143</f>
        <v>0</v>
      </c>
      <c r="BU270" s="3">
        <f>SUM(BQ270:BT270)</f>
        <v>0</v>
      </c>
      <c r="BV270" s="3">
        <f>-BV143</f>
        <v>0</v>
      </c>
      <c r="BW270" s="3">
        <f>-BW143</f>
        <v>0</v>
      </c>
      <c r="BX270" s="3">
        <f>-BX143</f>
        <v>0</v>
      </c>
      <c r="BY270" s="3">
        <f>-BY143</f>
        <v>0</v>
      </c>
      <c r="BZ270" s="3">
        <f>SUM(BV270:BY270)</f>
        <v>0</v>
      </c>
      <c r="CA270" s="3">
        <f>-CA143</f>
        <v>0</v>
      </c>
      <c r="CB270" s="3">
        <f>-CB143</f>
        <v>0</v>
      </c>
      <c r="CC270" s="3">
        <f>-CC143</f>
        <v>0</v>
      </c>
      <c r="CD270" s="3">
        <f>-CD143</f>
        <v>0</v>
      </c>
      <c r="CE270" s="3">
        <f>SUM(CA270:CD270)</f>
        <v>0</v>
      </c>
      <c r="CF270" s="3">
        <f>-CF143</f>
        <v>0</v>
      </c>
      <c r="CG270" s="3">
        <f>-CG143</f>
        <v>0</v>
      </c>
      <c r="CH270" s="3">
        <f>-CH143</f>
        <v>0</v>
      </c>
      <c r="CI270" s="3">
        <f>-CI143</f>
        <v>0</v>
      </c>
      <c r="CJ270" s="3">
        <f>SUM(CF270:CI270)</f>
        <v>0</v>
      </c>
      <c r="CK270" s="3">
        <f>-CK143</f>
        <v>0</v>
      </c>
      <c r="CL270" s="3">
        <f>-CL143</f>
        <v>0</v>
      </c>
      <c r="CM270" s="3">
        <f>-CM143</f>
        <v>0</v>
      </c>
      <c r="CN270" s="3">
        <f>-CN143</f>
        <v>0</v>
      </c>
      <c r="CO270" s="3">
        <f>SUM(CK270:CN270)</f>
        <v>0</v>
      </c>
      <c r="CP270" s="3">
        <f>-CP143</f>
        <v>0</v>
      </c>
      <c r="CQ270" s="3">
        <f>-CQ143</f>
        <v>0</v>
      </c>
      <c r="CR270" s="3">
        <f>-CR143</f>
        <v>0</v>
      </c>
      <c r="CS270" s="3">
        <f>-CS143</f>
        <v>0</v>
      </c>
      <c r="CT270" s="3">
        <f>SUM(CP270:CS270)</f>
        <v>0</v>
      </c>
      <c r="CU270" s="3">
        <f>-CU143</f>
        <v>0</v>
      </c>
      <c r="CV270" s="3">
        <f>-CV143</f>
        <v>0</v>
      </c>
      <c r="CW270" s="3">
        <f>-CW143</f>
        <v>0</v>
      </c>
      <c r="CX270" s="3">
        <f>-CX143</f>
        <v>0</v>
      </c>
      <c r="CY270" s="3">
        <f>SUM(CU270:CX270)</f>
        <v>0</v>
      </c>
    </row>
    <row r="271">
      <c r="C271" s="29" t="inlineStr">
        <is>
          <t>Var.Right-of-use-assets</t>
        </is>
      </c>
      <c r="D271" s="3" t="n"/>
      <c r="E271" s="3">
        <f>(E150-D150)*-1</f>
        <v>0</v>
      </c>
      <c r="F271" s="3">
        <f>(F150-E150)*-1</f>
        <v>0</v>
      </c>
      <c r="G271" s="3">
        <f>(G150-F150)*-1</f>
        <v>0</v>
      </c>
      <c r="H271" s="3">
        <f>SUM(D271:G271)</f>
        <v>0</v>
      </c>
      <c r="I271" s="3">
        <f>(I150-H150)*-1</f>
        <v>0</v>
      </c>
      <c r="J271" s="3">
        <f>(J150-I150)*-1</f>
        <v>0</v>
      </c>
      <c r="K271" s="3">
        <f>(K150-J150)*-1</f>
        <v>0</v>
      </c>
      <c r="L271" s="3">
        <f>(L150-K150)*-1</f>
        <v>0</v>
      </c>
      <c r="M271" s="3">
        <f>SUM(I271:L271)</f>
        <v>0</v>
      </c>
      <c r="N271" s="3">
        <f>(N150-M150)*-1</f>
        <v>0</v>
      </c>
      <c r="O271" s="3">
        <f>(O150-N150)*-1</f>
        <v>0</v>
      </c>
      <c r="P271" s="3">
        <f>(P150-O150)*-1</f>
        <v>0</v>
      </c>
      <c r="Q271" s="3">
        <f>(Q150-P150)*-1</f>
        <v>0</v>
      </c>
      <c r="R271" s="3">
        <f>SUM(N271:Q271)</f>
        <v>0</v>
      </c>
      <c r="S271" s="3">
        <f>(S150-R150)*-1</f>
        <v>0</v>
      </c>
      <c r="T271" s="3">
        <f>(T150-S150)*-1</f>
        <v>0</v>
      </c>
      <c r="U271" s="3">
        <f>(U150-T150)*-1</f>
        <v>0</v>
      </c>
      <c r="V271" s="3">
        <f>(V150-U150)*-1</f>
        <v>0</v>
      </c>
      <c r="W271" s="3">
        <f>SUM(S271:V271)</f>
        <v>0</v>
      </c>
      <c r="X271" s="3">
        <f>(X150-W150)*-1</f>
        <v>0</v>
      </c>
      <c r="Y271" s="3">
        <f>(Y150-X150)*-1</f>
        <v>0</v>
      </c>
      <c r="Z271" s="3">
        <f>(Z150-Y150)*-1</f>
        <v>0</v>
      </c>
      <c r="AA271" s="3">
        <f>(AA150-Z150)*-1</f>
        <v>0</v>
      </c>
      <c r="AB271" s="3">
        <f>SUM(X271:AA271)</f>
        <v>0</v>
      </c>
      <c r="AC271" s="3">
        <f>(AC150-AB150)*-1</f>
        <v>0</v>
      </c>
      <c r="AD271" s="3">
        <f>(AD150-AC150)*-1</f>
        <v>0</v>
      </c>
      <c r="AE271" s="3">
        <f>(AE150-AD150)*-1</f>
        <v>0</v>
      </c>
      <c r="AF271" s="3">
        <f>(AF150-AE150)*-1</f>
        <v>0</v>
      </c>
      <c r="AG271" s="3">
        <f>SUM(AC271:AF271)</f>
        <v>0</v>
      </c>
      <c r="AH271" s="3">
        <f>(AH150-AG150)*-1</f>
        <v>0</v>
      </c>
      <c r="AI271" s="3">
        <f>(AI150-AH150)*-1</f>
        <v>0</v>
      </c>
      <c r="AJ271" s="3">
        <f>(AJ150-AI150)*-1</f>
        <v>0</v>
      </c>
      <c r="AK271" s="3">
        <f>(AK150-AJ150)*-1</f>
        <v>0</v>
      </c>
      <c r="AL271" s="3">
        <f>SUM(AH271:AK271)</f>
        <v>0</v>
      </c>
      <c r="AM271" s="3">
        <f>(AM150-AL150)*-1</f>
        <v>0</v>
      </c>
      <c r="AN271" s="3">
        <f>(AN150-AM150)*-1</f>
        <v>0</v>
      </c>
      <c r="AO271" s="3">
        <f>(AO150-AN150)*-1</f>
        <v>0</v>
      </c>
      <c r="AP271" s="3">
        <f>(AP150-AO150)*-1</f>
        <v>0</v>
      </c>
      <c r="AQ271" s="3">
        <f>SUM(AM271:AP271)</f>
        <v>0</v>
      </c>
      <c r="AR271" s="3">
        <f>(AR150-AQ150)*-1</f>
        <v>0</v>
      </c>
      <c r="AS271" s="3">
        <f>(AS150-AR150)*-1</f>
        <v>0</v>
      </c>
      <c r="AT271" s="3">
        <f>(AT150-AS150)*-1</f>
        <v>0</v>
      </c>
      <c r="AU271" s="3">
        <f>(AU150-AT150)*-1</f>
        <v>0</v>
      </c>
      <c r="AV271" s="3">
        <f>SUM(AR271:AU271)</f>
        <v>0</v>
      </c>
      <c r="AW271" s="3">
        <f>(AW150-AV150)*-1</f>
        <v>0</v>
      </c>
      <c r="AX271" s="3">
        <f>(AX150-AW150)*-1</f>
        <v>0</v>
      </c>
      <c r="AY271" s="3">
        <f>(AY150-AX150)*-1</f>
        <v>0</v>
      </c>
      <c r="AZ271" s="3">
        <f>(AZ150-AY150)*-1</f>
        <v>0</v>
      </c>
      <c r="BA271" s="3">
        <f>SUM(AW271:AZ271)</f>
        <v>0</v>
      </c>
      <c r="BB271" s="3">
        <f>(BB150-BA150)*-1</f>
        <v>0</v>
      </c>
      <c r="BC271" s="3">
        <f>(BC150-BB150)*-1</f>
        <v>0</v>
      </c>
      <c r="BD271" s="3">
        <f>(BD150-BC150)*-1</f>
        <v>0</v>
      </c>
      <c r="BE271" s="3">
        <f>(BE150-BD150)*-1</f>
        <v>0</v>
      </c>
      <c r="BF271" s="3">
        <f>SUM(BB271:BE271)</f>
        <v>0</v>
      </c>
      <c r="BG271" s="3">
        <f>(BG150-BF150)*-1</f>
        <v>0</v>
      </c>
      <c r="BH271" s="3">
        <f>(BH150-BG150)*-1</f>
        <v>0</v>
      </c>
      <c r="BI271" s="3">
        <f>(BI150-BH150)*-1</f>
        <v>0</v>
      </c>
      <c r="BJ271" s="3">
        <f>(BJ150-BI150)*-1</f>
        <v>0</v>
      </c>
      <c r="BK271" s="3">
        <f>SUM(BG271:BJ271)</f>
        <v>0</v>
      </c>
      <c r="BL271" s="3">
        <f>(BL150-BK150)*-1</f>
        <v>0</v>
      </c>
      <c r="BM271" s="3">
        <f>(BM150-BL150)*-1</f>
        <v>0</v>
      </c>
      <c r="BN271" s="3">
        <f>(BN150-BM150)*-1</f>
        <v>0</v>
      </c>
      <c r="BO271" s="3">
        <f>(BO150-BN150)*-1</f>
        <v>0</v>
      </c>
      <c r="BP271" s="3">
        <f>SUM(BL271:BO271)</f>
        <v>0</v>
      </c>
      <c r="BQ271" s="3">
        <f>(BQ150-BP150)*-1</f>
        <v>0</v>
      </c>
      <c r="BR271" s="3">
        <f>(BR150-BQ150)*-1</f>
        <v>0</v>
      </c>
      <c r="BS271" s="3">
        <f>(BS150-BR150)*-1</f>
        <v>0</v>
      </c>
      <c r="BT271" s="3">
        <f>(BT150-BS150)*-1</f>
        <v>0</v>
      </c>
      <c r="BU271" s="3">
        <f>SUM(BQ271:BT271)</f>
        <v>0</v>
      </c>
      <c r="BV271" s="3">
        <f>(BV150-BU150)*-1</f>
        <v>0</v>
      </c>
      <c r="BW271" s="3">
        <f>(BW150-BV150)*-1</f>
        <v>0</v>
      </c>
      <c r="BX271" s="3">
        <f>(BX150-BW150)*-1</f>
        <v>0</v>
      </c>
      <c r="BY271" s="3">
        <f>(BY150-BX150)*-1</f>
        <v>0</v>
      </c>
      <c r="BZ271" s="3">
        <f>SUM(BV271:BY271)</f>
        <v>0</v>
      </c>
      <c r="CA271" s="3">
        <f>(CA150-BZ150)*-1</f>
        <v>0</v>
      </c>
      <c r="CB271" s="3">
        <f>(CB150-CA150)*-1</f>
        <v>0</v>
      </c>
      <c r="CC271" s="3">
        <f>(CC150-CB150)*-1</f>
        <v>0</v>
      </c>
      <c r="CD271" s="3">
        <f>(CD150-CC150)*-1</f>
        <v>0</v>
      </c>
      <c r="CE271" s="3">
        <f>SUM(CA271:CD271)</f>
        <v>0</v>
      </c>
      <c r="CF271" s="3">
        <f>(CF150-CE150)*-1</f>
        <v>0</v>
      </c>
      <c r="CG271" s="3">
        <f>(CG150-CF150)*-1</f>
        <v>0</v>
      </c>
      <c r="CH271" s="3">
        <f>(CH150-CG150)*-1</f>
        <v>0</v>
      </c>
      <c r="CI271" s="3">
        <f>(CI150-CH150)*-1</f>
        <v>0</v>
      </c>
      <c r="CJ271" s="3">
        <f>SUM(CF271:CI271)</f>
        <v>0</v>
      </c>
      <c r="CK271" s="3">
        <f>(CK150-CJ150)*-1</f>
        <v>0</v>
      </c>
      <c r="CL271" s="3">
        <f>(CL150-CK150)*-1</f>
        <v>0</v>
      </c>
      <c r="CM271" s="3">
        <f>(CM150-CL150)*-1</f>
        <v>0</v>
      </c>
      <c r="CN271" s="3">
        <f>(CN150-CM150)*-1</f>
        <v>0</v>
      </c>
      <c r="CO271" s="3">
        <f>SUM(CK271:CN271)</f>
        <v>0</v>
      </c>
      <c r="CP271" s="3">
        <f>(CP150-CO150)*-1</f>
        <v>0</v>
      </c>
      <c r="CQ271" s="3">
        <f>(CQ150-CP150)*-1</f>
        <v>0</v>
      </c>
      <c r="CR271" s="3">
        <f>(CR150-CQ150)*-1</f>
        <v>0</v>
      </c>
      <c r="CS271" s="3">
        <f>(CS150-CR150)*-1</f>
        <v>0</v>
      </c>
      <c r="CT271" s="3">
        <f>SUM(CP271:CS271)</f>
        <v>0</v>
      </c>
      <c r="CU271" s="3">
        <f>(CU150-CT150)*-1</f>
        <v>0</v>
      </c>
      <c r="CV271" s="3">
        <f>(CV150-CU150)*-1</f>
        <v>0</v>
      </c>
      <c r="CW271" s="3">
        <f>(CW150-CV150)*-1</f>
        <v>0</v>
      </c>
      <c r="CX271" s="3">
        <f>(CX150-CW150)*-1</f>
        <v>0</v>
      </c>
      <c r="CY271" s="3">
        <f>SUM(CU271:CX271)</f>
        <v>0</v>
      </c>
      <c r="CZ271" s="3" t="n"/>
      <c r="DA271" s="3" t="n"/>
      <c r="DB271" s="3" t="n"/>
      <c r="DC271" s="3" t="n"/>
    </row>
    <row r="272">
      <c r="C272" s="29" t="inlineStr">
        <is>
          <t>Purchases of intangible assets</t>
        </is>
      </c>
      <c r="D272" s="3" t="n"/>
      <c r="E272" s="3">
        <f>((E154-D154)*-1)+((E153-D153)*-1)</f>
        <v>38</v>
      </c>
      <c r="F272" s="3">
        <f>((F154-E154)*-1)+((F153-E153)*-1)</f>
        <v>0</v>
      </c>
      <c r="G272" s="3">
        <f>((G154-F154)*-1)+((G153-F153)*-1)</f>
        <v>14</v>
      </c>
      <c r="H272" s="3">
        <f>SUM(D272:G272)</f>
        <v>52</v>
      </c>
      <c r="I272" s="3">
        <f>((I154-H154)*-1)+((I153-H153)*-1)</f>
        <v>0</v>
      </c>
      <c r="J272" s="3">
        <f>((J154-I154)*-1)+((J153-I153)*-1)</f>
        <v>0</v>
      </c>
      <c r="K272" s="3">
        <f>((K154-J154)*-1)+((K153-J153)*-1)</f>
        <v>0</v>
      </c>
      <c r="L272" s="3">
        <f>((L154-K154)*-1)+((L153-K153)*-1)</f>
        <v>17</v>
      </c>
      <c r="M272" s="3">
        <f>SUM(I272:L272)</f>
        <v>17</v>
      </c>
      <c r="N272" s="3">
        <f>((N154-M154)*-1)+((N153-M153)*-1)</f>
        <v>11</v>
      </c>
      <c r="O272" s="3">
        <f>((O154-N154)*-1)+((O153-N153)*-1)</f>
        <v>-289</v>
      </c>
      <c r="P272" s="3">
        <f>((P154-O154)*-1)+((P153-O153)*-1)</f>
        <v>0</v>
      </c>
      <c r="Q272" s="3">
        <f>((Q154-P154)*-1)+((Q153-P153)*-1)</f>
        <v>-59</v>
      </c>
      <c r="R272" s="3">
        <f>SUM(N272:Q272)</f>
        <v>-337</v>
      </c>
      <c r="S272" s="3">
        <f>((S154-R154)*-1)+((S153-R153)*-1)</f>
        <v>0</v>
      </c>
      <c r="T272" s="3">
        <f>((T154-S154)*-1)+((T153-S153)*-1)</f>
        <v>0</v>
      </c>
      <c r="U272" s="3">
        <f>((U154-T154)*-1)+((U153-T153)*-1)</f>
        <v>0</v>
      </c>
      <c r="V272" s="3">
        <f>((V154-U154)*-1)+((V153-U153)*-1)</f>
        <v>0</v>
      </c>
      <c r="W272" s="3">
        <f>SUM(S272:V272)</f>
        <v>0</v>
      </c>
      <c r="X272" s="3">
        <f>((X154-W154)*-1)+((X153-W153)*-1)</f>
        <v>0</v>
      </c>
      <c r="Y272" s="3">
        <f>((Y154-X154)*-1)+((Y153-X153)*-1)</f>
        <v>0</v>
      </c>
      <c r="Z272" s="3">
        <f>((Z154-Y154)*-1)+((Z153-Y153)*-1)</f>
        <v>0</v>
      </c>
      <c r="AA272" s="3">
        <f>((AA154-Z154)*-1)+((AA153-Z153)*-1)</f>
        <v>144</v>
      </c>
      <c r="AB272" s="3">
        <f>SUM(X272:AA272)</f>
        <v>144</v>
      </c>
      <c r="AC272" s="3">
        <f>((AC154-AB154)*-1)+((AC153-AB153)*-1)</f>
        <v>10</v>
      </c>
      <c r="AD272" s="3">
        <f>((AD154-AC154)*-1)+((AD153-AC153)*-1)</f>
        <v>0</v>
      </c>
      <c r="AE272" s="3">
        <f>((AE154-AD154)*-1)+((AE153-AD153)*-1)</f>
        <v>0</v>
      </c>
      <c r="AF272" s="3">
        <f>((AF154-AE154)*-1)+((AF153-AE153)*-1)</f>
        <v>0</v>
      </c>
      <c r="AG272" s="3">
        <f>SUM(AC272:AF272)</f>
        <v>10</v>
      </c>
      <c r="AH272" s="3">
        <f>((AH154-AG154)*-1)+((AH153-AG153)*-1)</f>
        <v>0</v>
      </c>
      <c r="AI272" s="3">
        <f>((AI154-AH154)*-1)+((AI153-AH153)*-1)</f>
        <v>0</v>
      </c>
      <c r="AJ272" s="3">
        <f>((AJ154-AI154)*-1)+((AJ153-AI153)*-1)</f>
        <v>0</v>
      </c>
      <c r="AK272" s="3">
        <f>((AK154-AJ154)*-1)+((AK153-AJ153)*-1)</f>
        <v>0</v>
      </c>
      <c r="AL272" s="3">
        <f>SUM(AH272:AK272)</f>
        <v>0</v>
      </c>
      <c r="AM272" s="3">
        <f>((AM154-AL154)*-1)+((AM153-AL153)*-1)</f>
        <v>0</v>
      </c>
      <c r="AN272" s="3">
        <f>((AN154-AM154)*-1)+((AN153-AM153)*-1)</f>
        <v>0</v>
      </c>
      <c r="AO272" s="3">
        <f>((AO154-AN154)*-1)+((AO153-AN153)*-1)</f>
        <v>0</v>
      </c>
      <c r="AP272" s="3">
        <f>((AP154-AO154)*-1)+((AP153-AO153)*-1)</f>
        <v>0</v>
      </c>
      <c r="AQ272" s="3">
        <f>SUM(AM272:AP272)</f>
        <v>0</v>
      </c>
      <c r="AR272" s="3">
        <f>((AR154-AQ154)*-1)+((AR153-AQ153)*-1)</f>
        <v>0</v>
      </c>
      <c r="AS272" s="3">
        <f>((AS154-AR154)*-1)+((AS153-AR153)*-1)</f>
        <v>0</v>
      </c>
      <c r="AT272" s="3">
        <f>((AT154-AS154)*-1)+((AT153-AS153)*-1)</f>
        <v>0</v>
      </c>
      <c r="AU272" s="3">
        <f>((AU154-AT154)*-1)+((AU153-AT153)*-1)</f>
        <v>0</v>
      </c>
      <c r="AV272" s="3">
        <f>SUM(AR272:AU272)</f>
        <v>0</v>
      </c>
      <c r="AW272" s="3">
        <f>((AW154-AV154)*-1)+((AW153-AV153)*-1)</f>
        <v>0</v>
      </c>
      <c r="AX272" s="3">
        <f>((AX154-AW154)*-1)+((AX153-AW153)*-1)</f>
        <v>0</v>
      </c>
      <c r="AY272" s="3">
        <f>((AY154-AX154)*-1)+((AY153-AX153)*-1)</f>
        <v>0</v>
      </c>
      <c r="AZ272" s="3">
        <f>((AZ154-AY154)*-1)+((AZ153-AY153)*-1)</f>
        <v>0</v>
      </c>
      <c r="BA272" s="3">
        <f>SUM(AW272:AZ272)</f>
        <v>0</v>
      </c>
      <c r="BB272" s="3">
        <f>((BB154-BA154)*-1)+((BB153-BA153)*-1)</f>
        <v>0</v>
      </c>
      <c r="BC272" s="3">
        <f>((BC154-BB154)*-1)+((BC153-BB153)*-1)</f>
        <v>0</v>
      </c>
      <c r="BD272" s="3">
        <f>((BD154-BC154)*-1)+((BD153-BC153)*-1)</f>
        <v>0</v>
      </c>
      <c r="BE272" s="3">
        <f>((BE154-BD154)*-1)+((BE153-BD153)*-1)</f>
        <v>0</v>
      </c>
      <c r="BF272" s="3">
        <f>SUM(BB272:BE272)</f>
        <v>0</v>
      </c>
      <c r="BG272" s="3">
        <f>((BG154-BF154)*-1)+((BG153-BF153)*-1)</f>
        <v>0</v>
      </c>
      <c r="BH272" s="3">
        <f>((BH154-BG154)*-1)+((BH153-BG153)*-1)</f>
        <v>0</v>
      </c>
      <c r="BI272" s="3">
        <f>((BI154-BH154)*-1)+((BI153-BH153)*-1)</f>
        <v>0</v>
      </c>
      <c r="BJ272" s="3">
        <f>((BJ154-BI154)*-1)+((BJ153-BI153)*-1)</f>
        <v>0</v>
      </c>
      <c r="BK272" s="3">
        <f>SUM(BG272:BJ272)</f>
        <v>0</v>
      </c>
      <c r="BL272" s="3">
        <f>((BL154-BK154)*-1)+((BL153-BK153)*-1)</f>
        <v>0</v>
      </c>
      <c r="BM272" s="3">
        <f>((BM154-BL154)*-1)+((BM153-BL153)*-1)</f>
        <v>0</v>
      </c>
      <c r="BN272" s="3">
        <f>((BN154-BM154)*-1)+((BN153-BM153)*-1)</f>
        <v>0</v>
      </c>
      <c r="BO272" s="3">
        <f>((BO154-BN154)*-1)+((BO153-BN153)*-1)</f>
        <v>0</v>
      </c>
      <c r="BP272" s="3">
        <f>SUM(BL272:BO272)</f>
        <v>0</v>
      </c>
      <c r="BQ272" s="3">
        <f>((BQ154-BP154)*-1)+((BQ153-BP153)*-1)</f>
        <v>0</v>
      </c>
      <c r="BR272" s="3">
        <f>((BR154-BQ154)*-1)+((BR153-BQ153)*-1)</f>
        <v>0</v>
      </c>
      <c r="BS272" s="3">
        <f>((BS154-BR154)*-1)+((BS153-BR153)*-1)</f>
        <v>0</v>
      </c>
      <c r="BT272" s="3">
        <f>((BT154-BS154)*-1)+((BT153-BS153)*-1)</f>
        <v>0</v>
      </c>
      <c r="BU272" s="3">
        <f>SUM(BQ272:BT272)</f>
        <v>0</v>
      </c>
      <c r="BV272" s="3">
        <f>((BV154-BU154)*-1)+((BV153-BU153)*-1)</f>
        <v>0</v>
      </c>
      <c r="BW272" s="3">
        <f>((BW154-BV154)*-1)+((BW153-BV153)*-1)</f>
        <v>0</v>
      </c>
      <c r="BX272" s="3">
        <f>((BX154-BW154)*-1)+((BX153-BW153)*-1)</f>
        <v>0</v>
      </c>
      <c r="BY272" s="3">
        <f>((BY154-BX154)*-1)+((BY153-BX153)*-1)</f>
        <v>0</v>
      </c>
      <c r="BZ272" s="3">
        <f>SUM(BV272:BY272)</f>
        <v>0</v>
      </c>
      <c r="CA272" s="3">
        <f>((CA154-BZ154)*-1)+((CA153-BZ153)*-1)</f>
        <v>0</v>
      </c>
      <c r="CB272" s="3">
        <f>((CB154-CA154)*-1)+((CB153-CA153)*-1)</f>
        <v>0</v>
      </c>
      <c r="CC272" s="3">
        <f>((CC154-CB154)*-1)+((CC153-CB153)*-1)</f>
        <v>0</v>
      </c>
      <c r="CD272" s="3">
        <f>((CD154-CC154)*-1)+((CD153-CC153)*-1)</f>
        <v>0</v>
      </c>
      <c r="CE272" s="3">
        <f>SUM(CA272:CD272)</f>
        <v>0</v>
      </c>
      <c r="CF272" s="3">
        <f>((CF154-CE154)*-1)+((CF153-CE153)*-1)</f>
        <v>0</v>
      </c>
      <c r="CG272" s="3">
        <f>((CG154-CF154)*-1)+((CG153-CF153)*-1)</f>
        <v>0</v>
      </c>
      <c r="CH272" s="3">
        <f>((CH154-CG154)*-1)+((CH153-CG153)*-1)</f>
        <v>0</v>
      </c>
      <c r="CI272" s="3">
        <f>((CI154-CH154)*-1)+((CI153-CH153)*-1)</f>
        <v>0</v>
      </c>
      <c r="CJ272" s="3">
        <f>SUM(CF272:CI272)</f>
        <v>0</v>
      </c>
      <c r="CK272" s="3">
        <f>((CK154-CJ154)*-1)+((CK153-CJ153)*-1)</f>
        <v>0</v>
      </c>
      <c r="CL272" s="3">
        <f>((CL154-CK154)*-1)+((CL153-CK153)*-1)</f>
        <v>0</v>
      </c>
      <c r="CM272" s="3">
        <f>((CM154-CL154)*-1)+((CM153-CL153)*-1)</f>
        <v>0</v>
      </c>
      <c r="CN272" s="3">
        <f>((CN154-CM154)*-1)+((CN153-CM153)*-1)</f>
        <v>0</v>
      </c>
      <c r="CO272" s="3">
        <f>SUM(CK272:CN272)</f>
        <v>0</v>
      </c>
      <c r="CP272" s="3">
        <f>((CP154-CO154)*-1)+((CP153-CO153)*-1)</f>
        <v>0</v>
      </c>
      <c r="CQ272" s="3">
        <f>((CQ154-CP154)*-1)+((CQ153-CP153)*-1)</f>
        <v>0</v>
      </c>
      <c r="CR272" s="3">
        <f>((CR154-CQ154)*-1)+((CR153-CQ153)*-1)</f>
        <v>0</v>
      </c>
      <c r="CS272" s="3">
        <f>((CS154-CR154)*-1)+((CS153-CR153)*-1)</f>
        <v>0</v>
      </c>
      <c r="CT272" s="3">
        <f>SUM(CP272:CS272)</f>
        <v>0</v>
      </c>
      <c r="CU272" s="3">
        <f>((CU154-CT154)*-1)+((CU153-CT153)*-1)</f>
        <v>0</v>
      </c>
      <c r="CV272" s="3">
        <f>((CV154-CU154)*-1)+((CV153-CU153)*-1)</f>
        <v>0</v>
      </c>
      <c r="CW272" s="3">
        <f>((CW154-CV154)*-1)+((CW153-CV153)*-1)</f>
        <v>0</v>
      </c>
      <c r="CX272" s="3">
        <f>((CX154-CW154)*-1)+((CX153-CW153)*-1)</f>
        <v>0</v>
      </c>
      <c r="CY272" s="3">
        <f>SUM(CU272:CX272)</f>
        <v>0</v>
      </c>
      <c r="CZ272" s="3" t="n"/>
      <c r="DA272" s="3" t="n"/>
      <c r="DB272" s="3" t="n"/>
      <c r="DC272" s="3" t="n"/>
    </row>
    <row r="273">
      <c r="C273" s="30" t="inlineStr">
        <is>
          <t>Purchases/Proceeds from other long-term assets</t>
        </is>
      </c>
      <c r="D273" s="3" t="n"/>
      <c r="E273" s="3">
        <f>((E163-D163)*-1)+(E214-D214)</f>
        <v>10047</v>
      </c>
      <c r="F273" s="3">
        <f>((F163-E163)*-1)+(F214-E214)</f>
        <v>3598</v>
      </c>
      <c r="G273" s="3">
        <f>((G163-F163)*-1)+(G214-F214)</f>
        <v>10345</v>
      </c>
      <c r="H273" s="3">
        <f>SUM(D273:G273)</f>
        <v>23990</v>
      </c>
      <c r="I273" s="3">
        <f>((I163-H163)*-1)+(I214-H214)</f>
        <v>-3669</v>
      </c>
      <c r="J273" s="3">
        <f>((J163-I163)*-1)+(J214-I214)</f>
        <v>-2566</v>
      </c>
      <c r="K273" s="3">
        <f>((K163-J163)*-1)+(K214-J214)</f>
        <v>-4357</v>
      </c>
      <c r="L273" s="3">
        <f>((L163-K163)*-1)+(L214-K214)</f>
        <v>-5340</v>
      </c>
      <c r="M273" s="3">
        <f>SUM(I273:L273)</f>
        <v>-15932</v>
      </c>
      <c r="N273" s="3">
        <f>((N163-M163)*-1)+(N214-M214)</f>
        <v>-3990</v>
      </c>
      <c r="O273" s="3">
        <f>((O163-N163)*-1)+(O214-N214)</f>
        <v>-9062</v>
      </c>
      <c r="P273" s="3">
        <f>((P163-O163)*-1)+(P214-O214)</f>
        <v>-3452</v>
      </c>
      <c r="Q273" s="3">
        <f>((Q163-P163)*-1)+(Q214-P214)</f>
        <v>-109</v>
      </c>
      <c r="R273" s="3">
        <f>SUM(N273:Q273)</f>
        <v>-16613</v>
      </c>
      <c r="S273" s="3">
        <f>((S163-R163)*-1)+(S214-R214)</f>
        <v>-2956</v>
      </c>
      <c r="T273" s="3">
        <f>((T163-S163)*-1)+(T214-S214)</f>
        <v>-1435</v>
      </c>
      <c r="U273" s="3">
        <f>((U163-T163)*-1)+(U214-T214)</f>
        <v>-1406</v>
      </c>
      <c r="V273" s="3">
        <f>((V163-U163)*-1)+(V214-U214)</f>
        <v>5174</v>
      </c>
      <c r="W273" s="3">
        <f>SUM(S273:V273)</f>
        <v>-623</v>
      </c>
      <c r="X273" s="3">
        <f>((X163-W163)*-1)+(X214-W214)</f>
        <v>-1283</v>
      </c>
      <c r="Y273" s="3">
        <f>((Y163-X163)*-1)+(Y214-X214)</f>
        <v>-1874</v>
      </c>
      <c r="Z273" s="3">
        <f>((Z163-Y163)*-1)+(Z214-Y214)</f>
        <v>-5142</v>
      </c>
      <c r="AA273" s="3">
        <f>((AA163-Z163)*-1)+(AA214-Z214)</f>
        <v>4283</v>
      </c>
      <c r="AB273" s="3">
        <f>SUM(X273:AA273)</f>
        <v>-4016</v>
      </c>
      <c r="AC273" s="3">
        <f>((AC163-AB163)*-1)+(AC214-AB214)</f>
        <v>3454</v>
      </c>
      <c r="AD273" s="3">
        <f>((AD163-AC163)*-1)+(AD214-AC214)</f>
        <v>-982</v>
      </c>
      <c r="AE273" s="3">
        <f>((AE163-AD163)*-1)+(AE214-AD214)</f>
        <v>19152</v>
      </c>
      <c r="AF273" s="3">
        <f>((AF163-AE163)*-1)+(AF214-AE214)</f>
        <v>3212</v>
      </c>
      <c r="AG273" s="3">
        <f>SUM(AC273:AF273)</f>
        <v>24836</v>
      </c>
      <c r="AH273" s="3">
        <f>((AH163-AG163)*-1)+(AH214-AG214)</f>
        <v>113</v>
      </c>
      <c r="AI273" s="3">
        <f>((AI163-AH163)*-1)+(AI214-AH214)</f>
        <v>-2881</v>
      </c>
      <c r="AJ273" s="3">
        <f>((AJ163-AI163)*-1)+(AJ214-AI214)</f>
        <v>0</v>
      </c>
      <c r="AK273" s="3">
        <f>((AK163-AJ163)*-1)+(AK214-AJ214)</f>
        <v>0</v>
      </c>
      <c r="AL273" s="3">
        <f>SUM(AH273:AK273)</f>
        <v>-2768</v>
      </c>
      <c r="AM273" s="3">
        <f>((AM163-AL163)*-1)+(AM214-AL214)</f>
        <v>0</v>
      </c>
      <c r="AN273" s="3">
        <f>((AN163-AM163)*-1)+(AN214-AM214)</f>
        <v>0</v>
      </c>
      <c r="AO273" s="3">
        <f>((AO163-AN163)*-1)+(AO214-AN214)</f>
        <v>0</v>
      </c>
      <c r="AP273" s="3">
        <f>((AP163-AO163)*-1)+(AP214-AO214)</f>
        <v>0</v>
      </c>
      <c r="AQ273" s="3">
        <f>SUM(AM273:AP273)</f>
        <v>0</v>
      </c>
      <c r="AR273" s="3">
        <f>((AR163-AQ163)*-1)+(AR214-AQ214)</f>
        <v>0</v>
      </c>
      <c r="AS273" s="3">
        <f>((AS163-AR163)*-1)+(AS214-AR214)</f>
        <v>0</v>
      </c>
      <c r="AT273" s="3">
        <f>((AT163-AS163)*-1)+(AT214-AS214)</f>
        <v>0</v>
      </c>
      <c r="AU273" s="3">
        <f>((AU163-AT163)*-1)+(AU214-AT214)</f>
        <v>0</v>
      </c>
      <c r="AV273" s="3">
        <f>SUM(AR273:AU273)</f>
        <v>0</v>
      </c>
      <c r="AW273" s="3">
        <f>((AW163-AV163)*-1)+(AW214-AV214)</f>
        <v>0</v>
      </c>
      <c r="AX273" s="3">
        <f>((AX163-AW163)*-1)+(AX214-AW214)</f>
        <v>0</v>
      </c>
      <c r="AY273" s="3">
        <f>((AY163-AX163)*-1)+(AY214-AX214)</f>
        <v>0</v>
      </c>
      <c r="AZ273" s="3">
        <f>((AZ163-AY163)*-1)+(AZ214-AY214)</f>
        <v>0</v>
      </c>
      <c r="BA273" s="3">
        <f>SUM(AW273:AZ273)</f>
        <v>0</v>
      </c>
      <c r="BB273" s="3">
        <f>((BB163-BA163)*-1)+(BB214-BA214)</f>
        <v>0</v>
      </c>
      <c r="BC273" s="3">
        <f>((BC163-BB163)*-1)+(BC214-BB214)</f>
        <v>0</v>
      </c>
      <c r="BD273" s="3">
        <f>((BD163-BC163)*-1)+(BD214-BC214)</f>
        <v>0</v>
      </c>
      <c r="BE273" s="3">
        <f>((BE163-BD163)*-1)+(BE214-BD214)</f>
        <v>0</v>
      </c>
      <c r="BF273" s="3">
        <f>SUM(BB273:BE273)</f>
        <v>0</v>
      </c>
      <c r="BG273" s="3">
        <f>((BG163-BF163)*-1)+(BG214-BF214)</f>
        <v>0</v>
      </c>
      <c r="BH273" s="3">
        <f>((BH163-BG163)*-1)+(BH214-BG214)</f>
        <v>0</v>
      </c>
      <c r="BI273" s="3">
        <f>((BI163-BH163)*-1)+(BI214-BH214)</f>
        <v>0</v>
      </c>
      <c r="BJ273" s="3">
        <f>((BJ163-BI163)*-1)+(BJ214-BI214)</f>
        <v>0</v>
      </c>
      <c r="BK273" s="3">
        <f>SUM(BG273:BJ273)</f>
        <v>0</v>
      </c>
      <c r="BL273" s="3">
        <f>((BL163-BK163)*-1)+(BL214-BK214)</f>
        <v>0</v>
      </c>
      <c r="BM273" s="3">
        <f>((BM163-BL163)*-1)+(BM214-BL214)</f>
        <v>0</v>
      </c>
      <c r="BN273" s="3">
        <f>((BN163-BM163)*-1)+(BN214-BM214)</f>
        <v>0</v>
      </c>
      <c r="BO273" s="3">
        <f>((BO163-BN163)*-1)+(BO214-BN214)</f>
        <v>0</v>
      </c>
      <c r="BP273" s="3">
        <f>SUM(BL273:BO273)</f>
        <v>0</v>
      </c>
      <c r="BQ273" s="3">
        <f>((BQ163-BP163)*-1)+(BQ214-BP214)</f>
        <v>0</v>
      </c>
      <c r="BR273" s="3">
        <f>((BR163-BQ163)*-1)+(BR214-BQ214)</f>
        <v>0</v>
      </c>
      <c r="BS273" s="3">
        <f>((BS163-BR163)*-1)+(BS214-BR214)</f>
        <v>0</v>
      </c>
      <c r="BT273" s="3">
        <f>((BT163-BS163)*-1)+(BT214-BS214)</f>
        <v>0</v>
      </c>
      <c r="BU273" s="3">
        <f>SUM(BQ273:BT273)</f>
        <v>0</v>
      </c>
      <c r="BV273" s="3">
        <f>((BV163-BU163)*-1)+(BV214-BU214)</f>
        <v>0</v>
      </c>
      <c r="BW273" s="3">
        <f>((BW163-BV163)*-1)+(BW214-BV214)</f>
        <v>0</v>
      </c>
      <c r="BX273" s="3">
        <f>((BX163-BW163)*-1)+(BX214-BW214)</f>
        <v>0</v>
      </c>
      <c r="BY273" s="3">
        <f>((BY163-BX163)*-1)+(BY214-BX214)</f>
        <v>0</v>
      </c>
      <c r="BZ273" s="3">
        <f>SUM(BV273:BY273)</f>
        <v>0</v>
      </c>
      <c r="CA273" s="3">
        <f>((CA163-BZ163)*-1)+(CA214-BZ214)</f>
        <v>0</v>
      </c>
      <c r="CB273" s="3">
        <f>((CB163-CA163)*-1)+(CB214-CA214)</f>
        <v>0</v>
      </c>
      <c r="CC273" s="3">
        <f>((CC163-CB163)*-1)+(CC214-CB214)</f>
        <v>0</v>
      </c>
      <c r="CD273" s="3">
        <f>((CD163-CC163)*-1)+(CD214-CC214)</f>
        <v>0</v>
      </c>
      <c r="CE273" s="3">
        <f>SUM(CA273:CD273)</f>
        <v>0</v>
      </c>
      <c r="CF273" s="3">
        <f>((CF163-CE163)*-1)+(CF214-CE214)</f>
        <v>0</v>
      </c>
      <c r="CG273" s="3">
        <f>((CG163-CF163)*-1)+(CG214-CF214)</f>
        <v>0</v>
      </c>
      <c r="CH273" s="3">
        <f>((CH163-CG163)*-1)+(CH214-CG214)</f>
        <v>0</v>
      </c>
      <c r="CI273" s="3">
        <f>((CI163-CH163)*-1)+(CI214-CH214)</f>
        <v>0</v>
      </c>
      <c r="CJ273" s="3">
        <f>SUM(CF273:CI273)</f>
        <v>0</v>
      </c>
      <c r="CK273" s="3">
        <f>((CK163-CJ163)*-1)+(CK214-CJ214)</f>
        <v>0</v>
      </c>
      <c r="CL273" s="3">
        <f>((CL163-CK163)*-1)+(CL214-CK214)</f>
        <v>0</v>
      </c>
      <c r="CM273" s="3">
        <f>((CM163-CL163)*-1)+(CM214-CL214)</f>
        <v>0</v>
      </c>
      <c r="CN273" s="3">
        <f>((CN163-CM163)*-1)+(CN214-CM214)</f>
        <v>0</v>
      </c>
      <c r="CO273" s="3">
        <f>SUM(CK273:CN273)</f>
        <v>0</v>
      </c>
      <c r="CP273" s="3">
        <f>((CP163-CO163)*-1)+(CP214-CO214)</f>
        <v>0</v>
      </c>
      <c r="CQ273" s="3">
        <f>((CQ163-CP163)*-1)+(CQ214-CP214)</f>
        <v>0</v>
      </c>
      <c r="CR273" s="3">
        <f>((CR163-CQ163)*-1)+(CR214-CQ214)</f>
        <v>0</v>
      </c>
      <c r="CS273" s="3">
        <f>((CS163-CR163)*-1)+(CS214-CR214)</f>
        <v>0</v>
      </c>
      <c r="CT273" s="3">
        <f>SUM(CP273:CS273)</f>
        <v>0</v>
      </c>
      <c r="CU273" s="3">
        <f>((CU163-CT163)*-1)+(CU214-CT214)</f>
        <v>0</v>
      </c>
      <c r="CV273" s="3">
        <f>((CV163-CU163)*-1)+(CV214-CU214)</f>
        <v>0</v>
      </c>
      <c r="CW273" s="3">
        <f>((CW163-CV163)*-1)+(CW214-CV214)</f>
        <v>0</v>
      </c>
      <c r="CX273" s="3">
        <f>((CX163-CW163)*-1)+(CX214-CW214)</f>
        <v>0</v>
      </c>
      <c r="CY273" s="3">
        <f>SUM(CU273:CX273)</f>
        <v>0</v>
      </c>
    </row>
    <row r="274">
      <c r="C274" s="26" t="inlineStr">
        <is>
          <t>Cash from investing</t>
        </is>
      </c>
      <c r="D274" s="3" t="n"/>
      <c r="E274" s="3">
        <f>SUM(E269,E270,E272,E273,E271)</f>
        <v>8738</v>
      </c>
      <c r="F274" s="3">
        <f>SUM(F269,F270,F272,F273,F271)</f>
        <v>1048</v>
      </c>
      <c r="G274" s="3">
        <f>SUM(G269,G270,G272,G273,G271)</f>
        <v>-8362</v>
      </c>
      <c r="H274" s="3">
        <f>SUM(H269,H270,H272,H273)</f>
        <v>1424</v>
      </c>
      <c r="I274" s="3">
        <f>SUM(I269,I270,I272,I273,I271)</f>
        <v>-5340</v>
      </c>
      <c r="J274" s="3">
        <f>SUM(J269,J270,J272,J273,J271)</f>
        <v>-4293</v>
      </c>
      <c r="K274" s="3">
        <f>SUM(K269,K270,K272,K273,K271)</f>
        <v>-5398</v>
      </c>
      <c r="L274" s="3">
        <f>SUM(L269,L270,L272,L273,L271)</f>
        <v>-9152</v>
      </c>
      <c r="M274" s="3">
        <f>SUM(M269,M270,M272,M273)</f>
        <v>-24183</v>
      </c>
      <c r="N274" s="3">
        <f>SUM(N269,N270,N272,N273,N271)</f>
        <v>-5116</v>
      </c>
      <c r="O274" s="3">
        <f>SUM(O269,O270,O272,O273,O271)</f>
        <v>-13017</v>
      </c>
      <c r="P274" s="3">
        <f>SUM(P269,P270,P272,P273,P271)</f>
        <v>-7387</v>
      </c>
      <c r="Q274" s="3">
        <f>SUM(Q269,Q270,Q272,Q273,Q271)</f>
        <v>-4379</v>
      </c>
      <c r="R274" s="3">
        <f>SUM(R269,R270,R272,R273)</f>
        <v>-29899</v>
      </c>
      <c r="S274" s="3">
        <f>SUM(S269,S270,S272,S273,S271)</f>
        <v>-5842</v>
      </c>
      <c r="T274" s="3">
        <f>SUM(T269,T270,T272,T273,T271)</f>
        <v>-4773</v>
      </c>
      <c r="U274" s="3">
        <f>SUM(U269,U270,U272,U273,U271)</f>
        <v>-16635</v>
      </c>
      <c r="V274" s="3">
        <f>SUM(V269,V270,V272,V273,V271)</f>
        <v>-727</v>
      </c>
      <c r="W274" s="3">
        <f>SUM(W269,W270,W272,W273)</f>
        <v>-27977</v>
      </c>
      <c r="X274" s="3">
        <f>SUM(X269,X270,X272,X273,X271)</f>
        <v>-5396</v>
      </c>
      <c r="Y274" s="3">
        <f>SUM(Y269,Y270,Y272,Y273,Y271)</f>
        <v>-5240</v>
      </c>
      <c r="Z274" s="3">
        <f>SUM(Z269,Z270,Z272,Z273,Z271)</f>
        <v>-4244</v>
      </c>
      <c r="AA274" s="3">
        <f>SUM(AA269,AA270,AA272,AA273,AA271)</f>
        <v>-454</v>
      </c>
      <c r="AB274" s="3">
        <f>SUM(AB269,AB270,AB272,AB273)</f>
        <v>-15334</v>
      </c>
      <c r="AC274" s="3">
        <f>SUM(AC269,AC270,AC272,AC273,AC271)</f>
        <v>-984</v>
      </c>
      <c r="AD274" s="3">
        <f>SUM(AD269,AD270,AD272,AD273,AD271)</f>
        <v>-4644</v>
      </c>
      <c r="AE274" s="3">
        <f>SUM(AE269,AE270,AE272,AE273,AE271)</f>
        <v>-58681</v>
      </c>
      <c r="AF274" s="3">
        <f>SUM(AF269,AF270,AF272,AF273,AF271)</f>
        <v>-2907</v>
      </c>
      <c r="AG274" s="3">
        <f>SUM(AG269,AG270,AG272,AG273)</f>
        <v>-67216</v>
      </c>
      <c r="AH274" s="3">
        <f>SUM(AH269,AH270,AH272,AH273,AH271)</f>
        <v>-4115</v>
      </c>
      <c r="AI274" s="3">
        <f>SUM(AI269,AI270,AI272,AI273,AI271)</f>
        <v>-6751</v>
      </c>
      <c r="AJ274" s="3">
        <f>SUM(AJ269,AJ270,AJ272,AJ273,AJ271)</f>
        <v>0</v>
      </c>
      <c r="AK274" s="3">
        <f>SUM(AK269,AK270,AK272,AK273,AK271)</f>
        <v>0</v>
      </c>
      <c r="AL274" s="3">
        <f>SUM(AL269,AL270,AL272,AL273)</f>
        <v>-10866</v>
      </c>
      <c r="AM274" s="3">
        <f>SUM(AM269,AM270,AM272,AM273,AM271)</f>
        <v>0</v>
      </c>
      <c r="AN274" s="3">
        <f>SUM(AN269,AN270,AN272,AN273,AN271)</f>
        <v>0</v>
      </c>
      <c r="AO274" s="3">
        <f>SUM(AO269,AO270,AO272,AO273,AO271)</f>
        <v>0</v>
      </c>
      <c r="AP274" s="3">
        <f>SUM(AP269,AP270,AP272,AP273,AP271)</f>
        <v>0</v>
      </c>
      <c r="AQ274" s="3">
        <f>SUM(AQ269,AQ270,AQ272,AQ273)</f>
        <v>0</v>
      </c>
      <c r="AR274" s="3">
        <f>SUM(AR269,AR270,AR272,AR273,AR271)</f>
        <v>0</v>
      </c>
      <c r="AS274" s="3">
        <f>SUM(AS269,AS270,AS272,AS273,AS271)</f>
        <v>0</v>
      </c>
      <c r="AT274" s="3">
        <f>SUM(AT269,AT270,AT272,AT273,AT271)</f>
        <v>0</v>
      </c>
      <c r="AU274" s="3">
        <f>SUM(AU269,AU270,AU272,AU273,AU271)</f>
        <v>0</v>
      </c>
      <c r="AV274" s="3">
        <f>SUM(AV269,AV270,AV272,AV273)</f>
        <v>0</v>
      </c>
      <c r="AW274" s="3">
        <f>SUM(AW269,AW270,AW272,AW273,AW271)</f>
        <v>0</v>
      </c>
      <c r="AX274" s="3">
        <f>SUM(AX269,AX270,AX272,AX273,AX271)</f>
        <v>0</v>
      </c>
      <c r="AY274" s="3">
        <f>SUM(AY269,AY270,AY272,AY273,AY271)</f>
        <v>0</v>
      </c>
      <c r="AZ274" s="3">
        <f>SUM(AZ269,AZ270,AZ272,AZ273,AZ271)</f>
        <v>0</v>
      </c>
      <c r="BA274" s="3">
        <f>SUM(BA269,BA270,BA272,BA273)</f>
        <v>0</v>
      </c>
      <c r="BB274" s="3">
        <f>SUM(BB269,BB270,BB272,BB273,BB271)</f>
        <v>0</v>
      </c>
      <c r="BC274" s="3">
        <f>SUM(BC269,BC270,BC272,BC273,BC271)</f>
        <v>0</v>
      </c>
      <c r="BD274" s="3">
        <f>SUM(BD269,BD270,BD272,BD273,BD271)</f>
        <v>0</v>
      </c>
      <c r="BE274" s="3">
        <f>SUM(BE269,BE270,BE272,BE273,BE271)</f>
        <v>0</v>
      </c>
      <c r="BF274" s="3">
        <f>SUM(BF269,BF270,BF272,BF273)</f>
        <v>0</v>
      </c>
      <c r="BG274" s="3">
        <f>SUM(BG269,BG270,BG272,BG273,BG271)</f>
        <v>0</v>
      </c>
      <c r="BH274" s="3">
        <f>SUM(BH269,BH270,BH272,BH273,BH271)</f>
        <v>0</v>
      </c>
      <c r="BI274" s="3">
        <f>SUM(BI269,BI270,BI272,BI273,BI271)</f>
        <v>0</v>
      </c>
      <c r="BJ274" s="3">
        <f>SUM(BJ269,BJ270,BJ272,BJ273,BJ271)</f>
        <v>0</v>
      </c>
      <c r="BK274" s="3">
        <f>SUM(BK269,BK270,BK272,BK273)</f>
        <v>0</v>
      </c>
      <c r="BL274" s="3">
        <f>SUM(BL269,BL270,BL272,BL273,BL271)</f>
        <v>0</v>
      </c>
      <c r="BM274" s="3">
        <f>SUM(BM269,BM270,BM272,BM273,BM271)</f>
        <v>0</v>
      </c>
      <c r="BN274" s="3">
        <f>SUM(BN269,BN270,BN272,BN273,BN271)</f>
        <v>0</v>
      </c>
      <c r="BO274" s="3">
        <f>SUM(BO269,BO270,BO272,BO273,BO271)</f>
        <v>0</v>
      </c>
      <c r="BP274" s="3">
        <f>SUM(BP269,BP270,BP272,BP273)</f>
        <v>0</v>
      </c>
      <c r="BQ274" s="3">
        <f>SUM(BQ269,BQ270,BQ272,BQ273,BQ271)</f>
        <v>0</v>
      </c>
      <c r="BR274" s="3">
        <f>SUM(BR269,BR270,BR272,BR273,BR271)</f>
        <v>0</v>
      </c>
      <c r="BS274" s="3">
        <f>SUM(BS269,BS270,BS272,BS273,BS271)</f>
        <v>0</v>
      </c>
      <c r="BT274" s="3">
        <f>SUM(BT269,BT270,BT272,BT273,BT271)</f>
        <v>0</v>
      </c>
      <c r="BU274" s="3">
        <f>SUM(BU269,BU270,BU272,BU273)</f>
        <v>0</v>
      </c>
      <c r="BV274" s="3">
        <f>SUM(BV269,BV270,BV272,BV273,BV271)</f>
        <v>0</v>
      </c>
      <c r="BW274" s="3">
        <f>SUM(BW269,BW270,BW272,BW273,BW271)</f>
        <v>0</v>
      </c>
      <c r="BX274" s="3">
        <f>SUM(BX269,BX270,BX272,BX273,BX271)</f>
        <v>0</v>
      </c>
      <c r="BY274" s="3">
        <f>SUM(BY269,BY270,BY272,BY273,BY271)</f>
        <v>0</v>
      </c>
      <c r="BZ274" s="3">
        <f>SUM(BZ269,BZ270,BZ272,BZ273)</f>
        <v>0</v>
      </c>
      <c r="CA274" s="3">
        <f>SUM(CA269,CA270,CA272,CA273,CA271)</f>
        <v>0</v>
      </c>
      <c r="CB274" s="3">
        <f>SUM(CB269,CB270,CB272,CB273,CB271)</f>
        <v>0</v>
      </c>
      <c r="CC274" s="3">
        <f>SUM(CC269,CC270,CC272,CC273,CC271)</f>
        <v>0</v>
      </c>
      <c r="CD274" s="3">
        <f>SUM(CD269,CD270,CD272,CD273,CD271)</f>
        <v>0</v>
      </c>
      <c r="CE274" s="3">
        <f>SUM(CE269,CE270,CE272,CE273)</f>
        <v>0</v>
      </c>
      <c r="CF274" s="3">
        <f>SUM(CF269,CF270,CF272,CF273,CF271)</f>
        <v>0</v>
      </c>
      <c r="CG274" s="3">
        <f>SUM(CG269,CG270,CG272,CG273,CG271)</f>
        <v>0</v>
      </c>
      <c r="CH274" s="3">
        <f>SUM(CH269,CH270,CH272,CH273,CH271)</f>
        <v>0</v>
      </c>
      <c r="CI274" s="3">
        <f>SUM(CI269,CI270,CI272,CI273,CI271)</f>
        <v>0</v>
      </c>
      <c r="CJ274" s="3">
        <f>SUM(CJ269,CJ270,CJ272,CJ273)</f>
        <v>0</v>
      </c>
      <c r="CK274" s="3">
        <f>SUM(CK269,CK270,CK272,CK273,CK271)</f>
        <v>0</v>
      </c>
      <c r="CL274" s="3">
        <f>SUM(CL269,CL270,CL272,CL273,CL271)</f>
        <v>0</v>
      </c>
      <c r="CM274" s="3">
        <f>SUM(CM269,CM270,CM272,CM273,CM271)</f>
        <v>0</v>
      </c>
      <c r="CN274" s="3">
        <f>SUM(CN269,CN270,CN272,CN273,CN271)</f>
        <v>0</v>
      </c>
      <c r="CO274" s="3">
        <f>SUM(CO269,CO270,CO272,CO273)</f>
        <v>0</v>
      </c>
      <c r="CP274" s="3">
        <f>SUM(CP269,CP270,CP272,CP273,CP271)</f>
        <v>0</v>
      </c>
      <c r="CQ274" s="3">
        <f>SUM(CQ269,CQ270,CQ272,CQ273,CQ271)</f>
        <v>0</v>
      </c>
      <c r="CR274" s="3">
        <f>SUM(CR269,CR270,CR272,CR273,CR271)</f>
        <v>0</v>
      </c>
      <c r="CS274" s="3">
        <f>SUM(CS269,CS270,CS272,CS273,CS271)</f>
        <v>0</v>
      </c>
      <c r="CT274" s="3">
        <f>SUM(CT269,CT270,CT272,CT273)</f>
        <v>0</v>
      </c>
      <c r="CU274" s="3">
        <f>SUM(CU269,CU270,CU272,CU273,CU271)</f>
        <v>0</v>
      </c>
      <c r="CV274" s="3">
        <f>SUM(CV269,CV270,CV272,CV273,CV271)</f>
        <v>0</v>
      </c>
      <c r="CW274" s="3">
        <f>SUM(CW269,CW270,CW272,CW273,CW271)</f>
        <v>0</v>
      </c>
      <c r="CX274" s="3">
        <f>SUM(CX269,CX270,CX272,CX273,CX271)</f>
        <v>0</v>
      </c>
      <c r="CY274" s="3">
        <f>SUM(CY269,CY270,CY272,CY273)</f>
        <v>0</v>
      </c>
    </row>
    <row r="275">
      <c r="C275" s="26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n"/>
      <c r="BE275" s="3" t="n"/>
      <c r="BF275" s="3" t="n"/>
      <c r="BG275" s="3" t="n"/>
      <c r="BH275" s="3" t="n"/>
      <c r="BI275" s="3" t="n"/>
      <c r="BJ275" s="3" t="n"/>
      <c r="BK275" s="3" t="n"/>
      <c r="BL275" s="3" t="n"/>
      <c r="BM275" s="3" t="n"/>
      <c r="BN275" s="3" t="n"/>
      <c r="BO275" s="3" t="n"/>
      <c r="BP275" s="3" t="n"/>
      <c r="BQ275" s="3" t="n"/>
      <c r="BR275" s="3" t="n"/>
      <c r="BS275" s="3" t="n"/>
      <c r="BT275" s="3" t="n"/>
      <c r="BU275" s="3" t="n"/>
      <c r="BV275" s="3" t="n"/>
      <c r="BW275" s="3" t="n"/>
      <c r="BX275" s="3" t="n"/>
      <c r="BY275" s="3" t="n"/>
      <c r="BZ275" s="3" t="n"/>
      <c r="CA275" s="3" t="n"/>
      <c r="CB275" s="3" t="n"/>
      <c r="CC275" s="3" t="n"/>
      <c r="CD275" s="3" t="n"/>
      <c r="CE275" s="3" t="n"/>
      <c r="CF275" s="3" t="n"/>
      <c r="CG275" s="3" t="n"/>
      <c r="CH275" s="3" t="n"/>
      <c r="CI275" s="3" t="n"/>
      <c r="CJ275" s="3" t="n"/>
      <c r="CK275" s="3" t="n"/>
      <c r="CL275" s="3" t="n"/>
      <c r="CM275" s="3" t="n"/>
      <c r="CN275" s="3" t="n"/>
      <c r="CO275" s="3" t="n"/>
      <c r="CP275" s="3" t="n"/>
      <c r="CQ275" s="3" t="n"/>
      <c r="CR275" s="3" t="n"/>
      <c r="CS275" s="3" t="n"/>
      <c r="CT275" s="3" t="n"/>
      <c r="CU275" s="3" t="n"/>
      <c r="CV275" s="3" t="n"/>
      <c r="CW275" s="3" t="n"/>
      <c r="CX275" s="3" t="n"/>
      <c r="CY275" s="3" t="n"/>
    </row>
    <row r="276">
      <c r="C276" s="26" t="inlineStr">
        <is>
          <t>Convertible preferred stock</t>
        </is>
      </c>
      <c r="D276" s="3" t="n"/>
      <c r="E276" s="3">
        <f>E227-D227</f>
        <v>0</v>
      </c>
      <c r="F276" s="3">
        <f>F227-E227</f>
        <v>0</v>
      </c>
      <c r="G276" s="3">
        <f>G227-F227</f>
        <v>0</v>
      </c>
      <c r="H276" s="3">
        <f>SUM(D276:G276)</f>
        <v>0</v>
      </c>
      <c r="I276" s="3">
        <f>I227-H227</f>
        <v>0</v>
      </c>
      <c r="J276" s="3">
        <f>J227-I227</f>
        <v>0</v>
      </c>
      <c r="K276" s="3">
        <f>K227-J227</f>
        <v>0</v>
      </c>
      <c r="L276" s="3">
        <f>L227-K227</f>
        <v>0</v>
      </c>
      <c r="M276" s="3">
        <f>SUM(I276:L276)</f>
        <v>0</v>
      </c>
      <c r="N276" s="3">
        <f>N227-M227</f>
        <v>0</v>
      </c>
      <c r="O276" s="3">
        <f>O227-N227</f>
        <v>0</v>
      </c>
      <c r="P276" s="3">
        <f>P227-O227</f>
        <v>0</v>
      </c>
      <c r="Q276" s="3">
        <f>Q227-P227</f>
        <v>0</v>
      </c>
      <c r="R276" s="3">
        <f>SUM(N276:Q276)</f>
        <v>0</v>
      </c>
      <c r="S276" s="3">
        <f>S227-R227</f>
        <v>0</v>
      </c>
      <c r="T276" s="3">
        <f>T227-S227</f>
        <v>0</v>
      </c>
      <c r="U276" s="3">
        <f>U227-T227</f>
        <v>0</v>
      </c>
      <c r="V276" s="3">
        <f>V227-U227</f>
        <v>0</v>
      </c>
      <c r="W276" s="3">
        <f>SUM(S276:V276)</f>
        <v>0</v>
      </c>
      <c r="X276" s="3">
        <f>X227-W227</f>
        <v>0</v>
      </c>
      <c r="Y276" s="3">
        <f>Y227-X227</f>
        <v>0</v>
      </c>
      <c r="Z276" s="3">
        <f>Z227-Y227</f>
        <v>0</v>
      </c>
      <c r="AA276" s="3">
        <f>AA227-Z227</f>
        <v>0</v>
      </c>
      <c r="AB276" s="3">
        <f>SUM(X276:AA276)</f>
        <v>0</v>
      </c>
      <c r="AC276" s="3">
        <f>AC227-AB227</f>
        <v>0</v>
      </c>
      <c r="AD276" s="3">
        <f>AD227-AC227</f>
        <v>0</v>
      </c>
      <c r="AE276" s="3">
        <f>AE227-AD227</f>
        <v>0</v>
      </c>
      <c r="AF276" s="3">
        <f>AF227-AE227</f>
        <v>0</v>
      </c>
      <c r="AG276" s="3">
        <f>SUM(AC276:AF276)</f>
        <v>0</v>
      </c>
      <c r="AH276" s="3">
        <f>AH227-AG227</f>
        <v>0</v>
      </c>
      <c r="AI276" s="3">
        <f>AI227-AH227</f>
        <v>0</v>
      </c>
      <c r="AJ276" s="3">
        <f>AJ227-AI227</f>
        <v>0</v>
      </c>
      <c r="AK276" s="3">
        <f>AK227-AJ227</f>
        <v>0</v>
      </c>
      <c r="AL276" s="3">
        <f>SUM(AH276:AK276)</f>
        <v>0</v>
      </c>
      <c r="AM276" s="3">
        <f>AM227-AL227</f>
        <v>0</v>
      </c>
      <c r="AN276" s="3">
        <f>AN227-AM227</f>
        <v>0</v>
      </c>
      <c r="AO276" s="3">
        <f>AO227-AN227</f>
        <v>0</v>
      </c>
      <c r="AP276" s="3">
        <f>AP227-AO227</f>
        <v>0</v>
      </c>
      <c r="AQ276" s="3">
        <f>SUM(AM276:AP276)</f>
        <v>0</v>
      </c>
      <c r="AR276" s="3">
        <f>AR227-AQ227</f>
        <v>0</v>
      </c>
      <c r="AS276" s="3">
        <f>AS227-AR227</f>
        <v>0</v>
      </c>
      <c r="AT276" s="3">
        <f>AT227-AS227</f>
        <v>0</v>
      </c>
      <c r="AU276" s="3">
        <f>AU227-AT227</f>
        <v>0</v>
      </c>
      <c r="AV276" s="3">
        <f>SUM(AR276:AU276)</f>
        <v>0</v>
      </c>
      <c r="AW276" s="3">
        <f>AW227-AV227</f>
        <v>0</v>
      </c>
      <c r="AX276" s="3">
        <f>AX227-AW227</f>
        <v>0</v>
      </c>
      <c r="AY276" s="3">
        <f>AY227-AX227</f>
        <v>0</v>
      </c>
      <c r="AZ276" s="3">
        <f>AZ227-AY227</f>
        <v>0</v>
      </c>
      <c r="BA276" s="3">
        <f>SUM(AW276:AZ276)</f>
        <v>0</v>
      </c>
      <c r="BB276" s="3">
        <f>BB227-BA227</f>
        <v>0</v>
      </c>
      <c r="BC276" s="3">
        <f>BC227-BB227</f>
        <v>0</v>
      </c>
      <c r="BD276" s="3">
        <f>BD227-BC227</f>
        <v>0</v>
      </c>
      <c r="BE276" s="3">
        <f>BE227-BD227</f>
        <v>0</v>
      </c>
      <c r="BF276" s="3">
        <f>SUM(BB276:BE276)</f>
        <v>0</v>
      </c>
      <c r="BG276" s="3">
        <f>BG227-BF227</f>
        <v>0</v>
      </c>
      <c r="BH276" s="3">
        <f>BH227-BG227</f>
        <v>0</v>
      </c>
      <c r="BI276" s="3">
        <f>BI227-BH227</f>
        <v>0</v>
      </c>
      <c r="BJ276" s="3">
        <f>BJ227-BI227</f>
        <v>0</v>
      </c>
      <c r="BK276" s="3">
        <f>SUM(BG276:BJ276)</f>
        <v>0</v>
      </c>
      <c r="BL276" s="3">
        <f>BL227-BK227</f>
        <v>0</v>
      </c>
      <c r="BM276" s="3">
        <f>BM227-BL227</f>
        <v>0</v>
      </c>
      <c r="BN276" s="3">
        <f>BN227-BM227</f>
        <v>0</v>
      </c>
      <c r="BO276" s="3">
        <f>BO227-BN227</f>
        <v>0</v>
      </c>
      <c r="BP276" s="3">
        <f>SUM(BL276:BO276)</f>
        <v>0</v>
      </c>
      <c r="BQ276" s="3">
        <f>BQ227-BP227</f>
        <v>0</v>
      </c>
      <c r="BR276" s="3">
        <f>BR227-BQ227</f>
        <v>0</v>
      </c>
      <c r="BS276" s="3">
        <f>BS227-BR227</f>
        <v>0</v>
      </c>
      <c r="BT276" s="3">
        <f>BT227-BS227</f>
        <v>0</v>
      </c>
      <c r="BU276" s="3">
        <f>SUM(BQ276:BT276)</f>
        <v>0</v>
      </c>
      <c r="BV276" s="3">
        <f>BV227-BU227</f>
        <v>0</v>
      </c>
      <c r="BW276" s="3">
        <f>BW227-BV227</f>
        <v>0</v>
      </c>
      <c r="BX276" s="3">
        <f>BX227-BW227</f>
        <v>0</v>
      </c>
      <c r="BY276" s="3">
        <f>BY227-BX227</f>
        <v>0</v>
      </c>
      <c r="BZ276" s="3">
        <f>SUM(BV276:BY276)</f>
        <v>0</v>
      </c>
      <c r="CA276" s="3">
        <f>CA227-BZ227</f>
        <v>0</v>
      </c>
      <c r="CB276" s="3">
        <f>CB227-CA227</f>
        <v>0</v>
      </c>
      <c r="CC276" s="3">
        <f>CC227-CB227</f>
        <v>0</v>
      </c>
      <c r="CD276" s="3">
        <f>CD227-CC227</f>
        <v>0</v>
      </c>
      <c r="CE276" s="3">
        <f>SUM(CA276:CD276)</f>
        <v>0</v>
      </c>
      <c r="CF276" s="3">
        <f>CF227-CE227</f>
        <v>0</v>
      </c>
      <c r="CG276" s="3">
        <f>CG227-CF227</f>
        <v>0</v>
      </c>
      <c r="CH276" s="3">
        <f>CH227-CG227</f>
        <v>0</v>
      </c>
      <c r="CI276" s="3">
        <f>CI227-CH227</f>
        <v>0</v>
      </c>
      <c r="CJ276" s="3">
        <f>SUM(CF276:CI276)</f>
        <v>0</v>
      </c>
      <c r="CK276" s="3">
        <f>CK227-CJ227</f>
        <v>0</v>
      </c>
      <c r="CL276" s="3">
        <f>CL227-CK227</f>
        <v>0</v>
      </c>
      <c r="CM276" s="3">
        <f>CM227-CL227</f>
        <v>0</v>
      </c>
      <c r="CN276" s="3">
        <f>CN227-CM227</f>
        <v>0</v>
      </c>
      <c r="CO276" s="3">
        <f>SUM(CK276:CN276)</f>
        <v>0</v>
      </c>
      <c r="CP276" s="3">
        <f>CP227-CO227</f>
        <v>0</v>
      </c>
      <c r="CQ276" s="3">
        <f>CQ227-CP227</f>
        <v>0</v>
      </c>
      <c r="CR276" s="3">
        <f>CR227-CQ227</f>
        <v>0</v>
      </c>
      <c r="CS276" s="3">
        <f>CS227-CR227</f>
        <v>0</v>
      </c>
      <c r="CT276" s="3">
        <f>SUM(CP276:CS276)</f>
        <v>0</v>
      </c>
      <c r="CU276" s="3">
        <f>CU227-CT227</f>
        <v>0</v>
      </c>
      <c r="CV276" s="3">
        <f>CV227-CU227</f>
        <v>0</v>
      </c>
      <c r="CW276" s="3">
        <f>CW227-CV227</f>
        <v>0</v>
      </c>
      <c r="CX276" s="3">
        <f>CX227-CW227</f>
        <v>0</v>
      </c>
      <c r="CY276" s="3">
        <f>SUM(CU276:CX276)</f>
        <v>0</v>
      </c>
    </row>
    <row r="277">
      <c r="C277" s="26" t="inlineStr">
        <is>
          <t>Common stock and APIC</t>
        </is>
      </c>
      <c r="D277" s="3" t="n"/>
      <c r="E277" s="3">
        <f>E228-D228</f>
        <v>22</v>
      </c>
      <c r="F277" s="3">
        <f>F228-E228</f>
        <v>21</v>
      </c>
      <c r="G277" s="3">
        <f>G228-F228</f>
        <v>-489</v>
      </c>
      <c r="H277" s="3">
        <f>SUM(D277:G277)</f>
        <v>-446</v>
      </c>
      <c r="I277" s="3">
        <f>I228-H228</f>
        <v>37</v>
      </c>
      <c r="J277" s="3">
        <f>J228-I228</f>
        <v>178</v>
      </c>
      <c r="K277" s="3">
        <f>K228-J228</f>
        <v>18</v>
      </c>
      <c r="L277" s="3">
        <f>L228-K228</f>
        <v>220</v>
      </c>
      <c r="M277" s="3">
        <f>SUM(I277:L277)</f>
        <v>453</v>
      </c>
      <c r="N277" s="3">
        <f>N228-M228</f>
        <v>1096</v>
      </c>
      <c r="O277" s="3">
        <f>O228-N228</f>
        <v>181</v>
      </c>
      <c r="P277" s="3">
        <f>P228-O228</f>
        <v>28</v>
      </c>
      <c r="Q277" s="3">
        <f>Q228-P228</f>
        <v>73</v>
      </c>
      <c r="R277" s="3">
        <f>SUM(N277:Q277)</f>
        <v>1378</v>
      </c>
      <c r="S277" s="3">
        <f>S228-R228</f>
        <v>54</v>
      </c>
      <c r="T277" s="3">
        <f>T228-S228</f>
        <v>44</v>
      </c>
      <c r="U277" s="3">
        <f>U228-T228</f>
        <v>2559</v>
      </c>
      <c r="V277" s="3">
        <f>V228-U228</f>
        <v>48</v>
      </c>
      <c r="W277" s="3">
        <f>SUM(S277:V277)</f>
        <v>2705</v>
      </c>
      <c r="X277" s="3">
        <f>X228-W228</f>
        <v>78</v>
      </c>
      <c r="Y277" s="3">
        <f>Y228-X228</f>
        <v>52</v>
      </c>
      <c r="Z277" s="3">
        <f>Z228-Y228</f>
        <v>83</v>
      </c>
      <c r="AA277" s="3">
        <f>AA228-Z228</f>
        <v>93</v>
      </c>
      <c r="AB277" s="3">
        <f>SUM(X277:AA277)</f>
        <v>306</v>
      </c>
      <c r="AC277" s="3">
        <f>AC228-AB228</f>
        <v>48</v>
      </c>
      <c r="AD277" s="3">
        <f>AD228-AC228</f>
        <v>84</v>
      </c>
      <c r="AE277" s="3">
        <f>AE228-AD228</f>
        <v>12009</v>
      </c>
      <c r="AF277" s="3">
        <f>AF228-AE228</f>
        <v>74</v>
      </c>
      <c r="AG277" s="3">
        <f>SUM(AC277:AF277)</f>
        <v>12215</v>
      </c>
      <c r="AH277" s="3">
        <f>AH228-AG228</f>
        <v>0</v>
      </c>
      <c r="AI277" s="3">
        <f>AI228-AH228</f>
        <v>113</v>
      </c>
      <c r="AJ277" s="3">
        <f>AJ228-AI228</f>
        <v>0</v>
      </c>
      <c r="AK277" s="3">
        <f>AK228-AJ228</f>
        <v>0</v>
      </c>
      <c r="AL277" s="3">
        <f>SUM(AH277:AK277)</f>
        <v>113</v>
      </c>
      <c r="AM277" s="3">
        <f>AM228-AL228</f>
        <v>0</v>
      </c>
      <c r="AN277" s="3">
        <f>AN228-AM228</f>
        <v>0</v>
      </c>
      <c r="AO277" s="3">
        <f>AO228-AN228</f>
        <v>0</v>
      </c>
      <c r="AP277" s="3">
        <f>AP228-AO228</f>
        <v>0</v>
      </c>
      <c r="AQ277" s="3">
        <f>SUM(AM277:AP277)</f>
        <v>0</v>
      </c>
      <c r="AR277" s="3">
        <f>AR228-AQ228</f>
        <v>0</v>
      </c>
      <c r="AS277" s="3">
        <f>AS228-AR228</f>
        <v>0</v>
      </c>
      <c r="AT277" s="3">
        <f>AT228-AS228</f>
        <v>0</v>
      </c>
      <c r="AU277" s="3">
        <f>AU228-AT228</f>
        <v>0</v>
      </c>
      <c r="AV277" s="3">
        <f>SUM(AR277:AU277)</f>
        <v>0</v>
      </c>
      <c r="AW277" s="3">
        <f>AW228-AV228</f>
        <v>0</v>
      </c>
      <c r="AX277" s="3">
        <f>AX228-AW228</f>
        <v>0</v>
      </c>
      <c r="AY277" s="3">
        <f>AY228-AX228</f>
        <v>0</v>
      </c>
      <c r="AZ277" s="3">
        <f>AZ228-AY228</f>
        <v>0</v>
      </c>
      <c r="BA277" s="3">
        <f>SUM(AW277:AZ277)</f>
        <v>0</v>
      </c>
      <c r="BB277" s="3">
        <f>BB228-BA228</f>
        <v>0</v>
      </c>
      <c r="BC277" s="3">
        <f>BC228-BB228</f>
        <v>0</v>
      </c>
      <c r="BD277" s="3">
        <f>BD228-BC228</f>
        <v>0</v>
      </c>
      <c r="BE277" s="3">
        <f>BE228-BD228</f>
        <v>0</v>
      </c>
      <c r="BF277" s="3">
        <f>SUM(BB277:BE277)</f>
        <v>0</v>
      </c>
      <c r="BG277" s="3">
        <f>BG228-BF228</f>
        <v>0</v>
      </c>
      <c r="BH277" s="3">
        <f>BH228-BG228</f>
        <v>0</v>
      </c>
      <c r="BI277" s="3">
        <f>BI228-BH228</f>
        <v>0</v>
      </c>
      <c r="BJ277" s="3">
        <f>BJ228-BI228</f>
        <v>0</v>
      </c>
      <c r="BK277" s="3">
        <f>SUM(BG277:BJ277)</f>
        <v>0</v>
      </c>
      <c r="BL277" s="3">
        <f>BL228-BK228</f>
        <v>0</v>
      </c>
      <c r="BM277" s="3">
        <f>BM228-BL228</f>
        <v>0</v>
      </c>
      <c r="BN277" s="3">
        <f>BN228-BM228</f>
        <v>0</v>
      </c>
      <c r="BO277" s="3">
        <f>BO228-BN228</f>
        <v>0</v>
      </c>
      <c r="BP277" s="3">
        <f>SUM(BL277:BO277)</f>
        <v>0</v>
      </c>
      <c r="BQ277" s="3">
        <f>BQ228-BP228</f>
        <v>0</v>
      </c>
      <c r="BR277" s="3">
        <f>BR228-BQ228</f>
        <v>0</v>
      </c>
      <c r="BS277" s="3">
        <f>BS228-BR228</f>
        <v>0</v>
      </c>
      <c r="BT277" s="3">
        <f>BT228-BS228</f>
        <v>0</v>
      </c>
      <c r="BU277" s="3">
        <f>SUM(BQ277:BT277)</f>
        <v>0</v>
      </c>
      <c r="BV277" s="3">
        <f>BV228-BU228</f>
        <v>0</v>
      </c>
      <c r="BW277" s="3">
        <f>BW228-BV228</f>
        <v>0</v>
      </c>
      <c r="BX277" s="3">
        <f>BX228-BW228</f>
        <v>0</v>
      </c>
      <c r="BY277" s="3">
        <f>BY228-BX228</f>
        <v>0</v>
      </c>
      <c r="BZ277" s="3">
        <f>SUM(BV277:BY277)</f>
        <v>0</v>
      </c>
      <c r="CA277" s="3">
        <f>CA228-BZ228</f>
        <v>0</v>
      </c>
      <c r="CB277" s="3">
        <f>CB228-CA228</f>
        <v>0</v>
      </c>
      <c r="CC277" s="3">
        <f>CC228-CB228</f>
        <v>0</v>
      </c>
      <c r="CD277" s="3">
        <f>CD228-CC228</f>
        <v>0</v>
      </c>
      <c r="CE277" s="3">
        <f>SUM(CA277:CD277)</f>
        <v>0</v>
      </c>
      <c r="CF277" s="3">
        <f>CF228-CE228</f>
        <v>0</v>
      </c>
      <c r="CG277" s="3">
        <f>CG228-CF228</f>
        <v>0</v>
      </c>
      <c r="CH277" s="3">
        <f>CH228-CG228</f>
        <v>0</v>
      </c>
      <c r="CI277" s="3">
        <f>CI228-CH228</f>
        <v>0</v>
      </c>
      <c r="CJ277" s="3">
        <f>SUM(CF277:CI277)</f>
        <v>0</v>
      </c>
      <c r="CK277" s="3">
        <f>CK228-CJ228</f>
        <v>0</v>
      </c>
      <c r="CL277" s="3">
        <f>CL228-CK228</f>
        <v>0</v>
      </c>
      <c r="CM277" s="3">
        <f>CM228-CL228</f>
        <v>0</v>
      </c>
      <c r="CN277" s="3">
        <f>CN228-CM228</f>
        <v>0</v>
      </c>
      <c r="CO277" s="3">
        <f>SUM(CK277:CN277)</f>
        <v>0</v>
      </c>
      <c r="CP277" s="3">
        <f>CP228-CO228</f>
        <v>0</v>
      </c>
      <c r="CQ277" s="3">
        <f>CQ228-CP228</f>
        <v>0</v>
      </c>
      <c r="CR277" s="3">
        <f>CR228-CQ228</f>
        <v>0</v>
      </c>
      <c r="CS277" s="3">
        <f>CS228-CR228</f>
        <v>0</v>
      </c>
      <c r="CT277" s="3">
        <f>SUM(CP277:CS277)</f>
        <v>0</v>
      </c>
      <c r="CU277" s="3">
        <f>CU228-CT228</f>
        <v>0</v>
      </c>
      <c r="CV277" s="3">
        <f>CV228-CU228</f>
        <v>0</v>
      </c>
      <c r="CW277" s="3">
        <f>CW228-CV228</f>
        <v>0</v>
      </c>
      <c r="CX277" s="3">
        <f>CX228-CW228</f>
        <v>0</v>
      </c>
      <c r="CY277" s="3">
        <f>SUM(CU277:CX277)</f>
        <v>0</v>
      </c>
    </row>
    <row r="278">
      <c r="C278" s="26" t="inlineStr">
        <is>
          <t>Treasury stock repurchases</t>
        </is>
      </c>
      <c r="D278" s="3" t="n"/>
      <c r="E278" s="3">
        <f>E241-D241</f>
        <v>23</v>
      </c>
      <c r="F278" s="3">
        <f>F241-E241</f>
        <v>5</v>
      </c>
      <c r="G278" s="3">
        <f>G241-F241</f>
        <v>4640</v>
      </c>
      <c r="H278" s="3">
        <f>SUM(D278:G278)</f>
        <v>4668</v>
      </c>
      <c r="I278" s="3">
        <f>I241-H241</f>
        <v>229</v>
      </c>
      <c r="J278" s="3">
        <f>J241-I241</f>
        <v>470</v>
      </c>
      <c r="K278" s="3">
        <f>K241-J241</f>
        <v>-619</v>
      </c>
      <c r="L278" s="3">
        <f>L241-K241</f>
        <v>-46</v>
      </c>
      <c r="M278" s="3">
        <f>SUM(I278:L278)</f>
        <v>34</v>
      </c>
      <c r="N278" s="3">
        <f>N241-M241</f>
        <v>2306</v>
      </c>
      <c r="O278" s="3">
        <f>O241-N241</f>
        <v>-1857</v>
      </c>
      <c r="P278" s="3">
        <f>P241-O241</f>
        <v>-3705</v>
      </c>
      <c r="Q278" s="3">
        <f>Q241-P241</f>
        <v>-3476</v>
      </c>
      <c r="R278" s="3">
        <f>SUM(N278:Q278)</f>
        <v>-6732</v>
      </c>
      <c r="S278" s="3">
        <f>S241-R241</f>
        <v>-3658</v>
      </c>
      <c r="T278" s="3">
        <f>T241-S241</f>
        <v>-4386</v>
      </c>
      <c r="U278" s="3">
        <f>U241-T241</f>
        <v>600</v>
      </c>
      <c r="V278" s="3">
        <f>V241-U241</f>
        <v>-3425</v>
      </c>
      <c r="W278" s="3">
        <f>SUM(S278:V278)</f>
        <v>-10869</v>
      </c>
      <c r="X278" s="3">
        <f>X241-W241</f>
        <v>-2894</v>
      </c>
      <c r="Y278" s="3">
        <f>Y241-X241</f>
        <v>-2931</v>
      </c>
      <c r="Z278" s="3">
        <f>Z241-Y241</f>
        <v>-4756</v>
      </c>
      <c r="AA278" s="3">
        <f>AA241-Z241</f>
        <v>-4391</v>
      </c>
      <c r="AB278" s="3">
        <f>SUM(X278:AA278)</f>
        <v>-14972</v>
      </c>
      <c r="AC278" s="3">
        <f>AC241-AB241</f>
        <v>-3680</v>
      </c>
      <c r="AD278" s="3">
        <f>AD241-AC241</f>
        <v>-2599</v>
      </c>
      <c r="AE278" s="3">
        <f>AE241-AD241</f>
        <v>31340</v>
      </c>
      <c r="AF278" s="3">
        <f>AF241-AE241</f>
        <v>-2953</v>
      </c>
      <c r="AG278" s="3">
        <f>SUM(AC278:AF278)</f>
        <v>22108</v>
      </c>
      <c r="AH278" s="3">
        <f>AH241-AG241</f>
        <v>-1280</v>
      </c>
      <c r="AI278" s="3">
        <f>AI241-AH241</f>
        <v>-2981</v>
      </c>
      <c r="AJ278" s="3">
        <f>AJ241-AI241</f>
        <v>0</v>
      </c>
      <c r="AK278" s="3">
        <f>AK241-AJ241</f>
        <v>0</v>
      </c>
      <c r="AL278" s="3">
        <f>SUM(AH278:AK278)</f>
        <v>-4261</v>
      </c>
      <c r="AM278" s="3">
        <f>AM241-AL241</f>
        <v>0</v>
      </c>
      <c r="AN278" s="3">
        <f>AN241-AM241</f>
        <v>0</v>
      </c>
      <c r="AO278" s="3">
        <f>AO241-AN241</f>
        <v>0</v>
      </c>
      <c r="AP278" s="3">
        <f>AP241-AO241</f>
        <v>0</v>
      </c>
      <c r="AQ278" s="3">
        <f>SUM(AM278:AP278)</f>
        <v>0</v>
      </c>
      <c r="AR278" s="3">
        <f>AR241-AQ241</f>
        <v>0</v>
      </c>
      <c r="AS278" s="3">
        <f>AS241-AR241</f>
        <v>0</v>
      </c>
      <c r="AT278" s="3">
        <f>AT241-AS241</f>
        <v>0</v>
      </c>
      <c r="AU278" s="3">
        <f>AU241-AT241</f>
        <v>0</v>
      </c>
      <c r="AV278" s="3">
        <f>SUM(AR278:AU278)</f>
        <v>0</v>
      </c>
      <c r="AW278" s="3">
        <f>AW241-AV241</f>
        <v>0</v>
      </c>
      <c r="AX278" s="3">
        <f>AX241-AW241</f>
        <v>0</v>
      </c>
      <c r="AY278" s="3">
        <f>AY241-AX241</f>
        <v>0</v>
      </c>
      <c r="AZ278" s="3">
        <f>AZ241-AY241</f>
        <v>0</v>
      </c>
      <c r="BA278" s="3">
        <f>SUM(AW278:AZ278)</f>
        <v>0</v>
      </c>
      <c r="BB278" s="3">
        <f>BB241-BA241</f>
        <v>0</v>
      </c>
      <c r="BC278" s="3">
        <f>BC241-BB241</f>
        <v>0</v>
      </c>
      <c r="BD278" s="3">
        <f>BD241-BC241</f>
        <v>0</v>
      </c>
      <c r="BE278" s="3">
        <f>BE241-BD241</f>
        <v>0</v>
      </c>
      <c r="BF278" s="3">
        <f>SUM(BB278:BE278)</f>
        <v>0</v>
      </c>
      <c r="BG278" s="3">
        <f>BG241-BF241</f>
        <v>0</v>
      </c>
      <c r="BH278" s="3">
        <f>BH241-BG241</f>
        <v>0</v>
      </c>
      <c r="BI278" s="3">
        <f>BI241-BH241</f>
        <v>0</v>
      </c>
      <c r="BJ278" s="3">
        <f>BJ241-BI241</f>
        <v>0</v>
      </c>
      <c r="BK278" s="3">
        <f>SUM(BG278:BJ278)</f>
        <v>0</v>
      </c>
      <c r="BL278" s="3">
        <f>BL241-BK241</f>
        <v>0</v>
      </c>
      <c r="BM278" s="3">
        <f>BM241-BL241</f>
        <v>0</v>
      </c>
      <c r="BN278" s="3">
        <f>BN241-BM241</f>
        <v>0</v>
      </c>
      <c r="BO278" s="3">
        <f>BO241-BN241</f>
        <v>0</v>
      </c>
      <c r="BP278" s="3">
        <f>SUM(BL278:BO278)</f>
        <v>0</v>
      </c>
      <c r="BQ278" s="3">
        <f>BQ241-BP241</f>
        <v>0</v>
      </c>
      <c r="BR278" s="3">
        <f>BR241-BQ241</f>
        <v>0</v>
      </c>
      <c r="BS278" s="3">
        <f>BS241-BR241</f>
        <v>0</v>
      </c>
      <c r="BT278" s="3">
        <f>BT241-BS241</f>
        <v>0</v>
      </c>
      <c r="BU278" s="3">
        <f>SUM(BQ278:BT278)</f>
        <v>0</v>
      </c>
      <c r="BV278" s="3">
        <f>BV241-BU241</f>
        <v>0</v>
      </c>
      <c r="BW278" s="3">
        <f>BW241-BV241</f>
        <v>0</v>
      </c>
      <c r="BX278" s="3">
        <f>BX241-BW241</f>
        <v>0</v>
      </c>
      <c r="BY278" s="3">
        <f>BY241-BX241</f>
        <v>0</v>
      </c>
      <c r="BZ278" s="3">
        <f>SUM(BV278:BY278)</f>
        <v>0</v>
      </c>
      <c r="CA278" s="3">
        <f>CA241-BZ241</f>
        <v>0</v>
      </c>
      <c r="CB278" s="3">
        <f>CB241-CA241</f>
        <v>0</v>
      </c>
      <c r="CC278" s="3">
        <f>CC241-CB241</f>
        <v>0</v>
      </c>
      <c r="CD278" s="3">
        <f>CD241-CC241</f>
        <v>0</v>
      </c>
      <c r="CE278" s="3">
        <f>SUM(CA278:CD278)</f>
        <v>0</v>
      </c>
      <c r="CF278" s="3">
        <f>CF241-CE241</f>
        <v>0</v>
      </c>
      <c r="CG278" s="3">
        <f>CG241-CF241</f>
        <v>0</v>
      </c>
      <c r="CH278" s="3">
        <f>CH241-CG241</f>
        <v>0</v>
      </c>
      <c r="CI278" s="3">
        <f>CI241-CH241</f>
        <v>0</v>
      </c>
      <c r="CJ278" s="3">
        <f>SUM(CF278:CI278)</f>
        <v>0</v>
      </c>
      <c r="CK278" s="3">
        <f>CK241-CJ241</f>
        <v>0</v>
      </c>
      <c r="CL278" s="3">
        <f>CL241-CK241</f>
        <v>0</v>
      </c>
      <c r="CM278" s="3">
        <f>CM241-CL241</f>
        <v>0</v>
      </c>
      <c r="CN278" s="3">
        <f>CN241-CM241</f>
        <v>0</v>
      </c>
      <c r="CO278" s="3">
        <f>SUM(CK278:CN278)</f>
        <v>0</v>
      </c>
      <c r="CP278" s="3">
        <f>CP241-CO241</f>
        <v>0</v>
      </c>
      <c r="CQ278" s="3">
        <f>CQ241-CP241</f>
        <v>0</v>
      </c>
      <c r="CR278" s="3">
        <f>CR241-CQ241</f>
        <v>0</v>
      </c>
      <c r="CS278" s="3">
        <f>CS241-CR241</f>
        <v>0</v>
      </c>
      <c r="CT278" s="3">
        <f>SUM(CP278:CS278)</f>
        <v>0</v>
      </c>
      <c r="CU278" s="3">
        <f>CU241-CT241</f>
        <v>0</v>
      </c>
      <c r="CV278" s="3">
        <f>CV241-CU241</f>
        <v>0</v>
      </c>
      <c r="CW278" s="3">
        <f>CW241-CV241</f>
        <v>0</v>
      </c>
      <c r="CX278" s="3">
        <f>CX241-CW241</f>
        <v>0</v>
      </c>
      <c r="CY278" s="3">
        <f>SUM(CU278:CX278)</f>
        <v>0</v>
      </c>
    </row>
    <row r="279">
      <c r="C279" s="26" t="inlineStr">
        <is>
          <t>Comprehensive accumulated loss</t>
        </is>
      </c>
      <c r="D279" s="3" t="n"/>
      <c r="E279" s="3">
        <f>E242-D242</f>
        <v>134</v>
      </c>
      <c r="F279" s="3">
        <f>F242-E242</f>
        <v>243</v>
      </c>
      <c r="G279" s="3">
        <f>G242-F242</f>
        <v>-1105</v>
      </c>
      <c r="H279" s="3">
        <f>SUM(D279:G279)</f>
        <v>-728</v>
      </c>
      <c r="I279" s="3">
        <f>I242-H242</f>
        <v>1026</v>
      </c>
      <c r="J279" s="3">
        <f>J242-I242</f>
        <v>291</v>
      </c>
      <c r="K279" s="3">
        <f>K242-J242</f>
        <v>-123</v>
      </c>
      <c r="L279" s="3">
        <f>L242-K242</f>
        <v>529</v>
      </c>
      <c r="M279" s="3">
        <f>SUM(I279:L279)</f>
        <v>1723</v>
      </c>
      <c r="N279" s="3">
        <f>N242-M242</f>
        <v>237</v>
      </c>
      <c r="O279" s="3">
        <f>O242-N242</f>
        <v>161</v>
      </c>
      <c r="P279" s="3">
        <f>P242-O242</f>
        <v>318</v>
      </c>
      <c r="Q279" s="3">
        <f>Q242-P242</f>
        <v>375</v>
      </c>
      <c r="R279" s="3">
        <f>SUM(N279:Q279)</f>
        <v>1091</v>
      </c>
      <c r="S279" s="3">
        <f>S242-R242</f>
        <v>57</v>
      </c>
      <c r="T279" s="3">
        <f>T242-S242</f>
        <v>30</v>
      </c>
      <c r="U279" s="3">
        <f>U242-T242</f>
        <v>114</v>
      </c>
      <c r="V279" s="3">
        <f>V242-U242</f>
        <v>-363</v>
      </c>
      <c r="W279" s="3">
        <f>SUM(S279:V279)</f>
        <v>-162</v>
      </c>
      <c r="X279" s="3">
        <f>X242-W242</f>
        <v>-5</v>
      </c>
      <c r="Y279" s="3">
        <f>Y242-X242</f>
        <v>41</v>
      </c>
      <c r="Z279" s="3">
        <f>Z242-Y242</f>
        <v>99</v>
      </c>
      <c r="AA279" s="3">
        <f>AA242-Z242</f>
        <v>65</v>
      </c>
      <c r="AB279" s="3">
        <f>SUM(X279:AA279)</f>
        <v>200</v>
      </c>
      <c r="AC279" s="3">
        <f>AC242-AB242</f>
        <v>51</v>
      </c>
      <c r="AD279" s="3">
        <f>AD242-AC242</f>
        <v>142</v>
      </c>
      <c r="AE279" s="3">
        <f>AE242-AD242</f>
        <v>-24</v>
      </c>
      <c r="AF279" s="3">
        <f>AF242-AE242</f>
        <v>127</v>
      </c>
      <c r="AG279" s="3">
        <f>SUM(AC279:AF279)</f>
        <v>296</v>
      </c>
      <c r="AH279" s="3">
        <f>AH242-AG242</f>
        <v>-129</v>
      </c>
      <c r="AI279" s="3">
        <f>AI242-AH242</f>
        <v>480</v>
      </c>
      <c r="AJ279" s="3">
        <f>AJ242-AI242</f>
        <v>0</v>
      </c>
      <c r="AK279" s="3">
        <f>AK242-AJ242</f>
        <v>0</v>
      </c>
      <c r="AL279" s="3">
        <f>SUM(AH279:AK279)</f>
        <v>351</v>
      </c>
      <c r="AM279" s="3">
        <f>AM242-AL242</f>
        <v>0</v>
      </c>
      <c r="AN279" s="3">
        <f>AN242-AM242</f>
        <v>0</v>
      </c>
      <c r="AO279" s="3">
        <f>AO242-AN242</f>
        <v>0</v>
      </c>
      <c r="AP279" s="3">
        <f>AP242-AO242</f>
        <v>0</v>
      </c>
      <c r="AQ279" s="3">
        <f>SUM(AM279:AP279)</f>
        <v>0</v>
      </c>
      <c r="AR279" s="3">
        <f>AR242-AQ242</f>
        <v>0</v>
      </c>
      <c r="AS279" s="3">
        <f>AS242-AR242</f>
        <v>0</v>
      </c>
      <c r="AT279" s="3">
        <f>AT242-AS242</f>
        <v>0</v>
      </c>
      <c r="AU279" s="3">
        <f>AU242-AT242</f>
        <v>0</v>
      </c>
      <c r="AV279" s="3">
        <f>SUM(AR279:AU279)</f>
        <v>0</v>
      </c>
      <c r="AW279" s="3">
        <f>AW242-AV242</f>
        <v>0</v>
      </c>
      <c r="AX279" s="3">
        <f>AX242-AW242</f>
        <v>0</v>
      </c>
      <c r="AY279" s="3">
        <f>AY242-AX242</f>
        <v>0</v>
      </c>
      <c r="AZ279" s="3">
        <f>AZ242-AY242</f>
        <v>0</v>
      </c>
      <c r="BA279" s="3">
        <f>SUM(AW279:AZ279)</f>
        <v>0</v>
      </c>
      <c r="BB279" s="3">
        <f>BB242-BA242</f>
        <v>0</v>
      </c>
      <c r="BC279" s="3">
        <f>BC242-BB242</f>
        <v>0</v>
      </c>
      <c r="BD279" s="3">
        <f>BD242-BC242</f>
        <v>0</v>
      </c>
      <c r="BE279" s="3">
        <f>BE242-BD242</f>
        <v>0</v>
      </c>
      <c r="BF279" s="3">
        <f>SUM(BB279:BE279)</f>
        <v>0</v>
      </c>
      <c r="BG279" s="3">
        <f>BG242-BF242</f>
        <v>0</v>
      </c>
      <c r="BH279" s="3">
        <f>BH242-BG242</f>
        <v>0</v>
      </c>
      <c r="BI279" s="3">
        <f>BI242-BH242</f>
        <v>0</v>
      </c>
      <c r="BJ279" s="3">
        <f>BJ242-BI242</f>
        <v>0</v>
      </c>
      <c r="BK279" s="3">
        <f>SUM(BG279:BJ279)</f>
        <v>0</v>
      </c>
      <c r="BL279" s="3">
        <f>BL242-BK242</f>
        <v>0</v>
      </c>
      <c r="BM279" s="3">
        <f>BM242-BL242</f>
        <v>0</v>
      </c>
      <c r="BN279" s="3">
        <f>BN242-BM242</f>
        <v>0</v>
      </c>
      <c r="BO279" s="3">
        <f>BO242-BN242</f>
        <v>0</v>
      </c>
      <c r="BP279" s="3">
        <f>SUM(BL279:BO279)</f>
        <v>0</v>
      </c>
      <c r="BQ279" s="3">
        <f>BQ242-BP242</f>
        <v>0</v>
      </c>
      <c r="BR279" s="3">
        <f>BR242-BQ242</f>
        <v>0</v>
      </c>
      <c r="BS279" s="3">
        <f>BS242-BR242</f>
        <v>0</v>
      </c>
      <c r="BT279" s="3">
        <f>BT242-BS242</f>
        <v>0</v>
      </c>
      <c r="BU279" s="3">
        <f>SUM(BQ279:BT279)</f>
        <v>0</v>
      </c>
      <c r="BV279" s="3">
        <f>BV242-BU242</f>
        <v>0</v>
      </c>
      <c r="BW279" s="3">
        <f>BW242-BV242</f>
        <v>0</v>
      </c>
      <c r="BX279" s="3">
        <f>BX242-BW242</f>
        <v>0</v>
      </c>
      <c r="BY279" s="3">
        <f>BY242-BX242</f>
        <v>0</v>
      </c>
      <c r="BZ279" s="3">
        <f>SUM(BV279:BY279)</f>
        <v>0</v>
      </c>
      <c r="CA279" s="3">
        <f>CA242-BZ242</f>
        <v>0</v>
      </c>
      <c r="CB279" s="3">
        <f>CB242-CA242</f>
        <v>0</v>
      </c>
      <c r="CC279" s="3">
        <f>CC242-CB242</f>
        <v>0</v>
      </c>
      <c r="CD279" s="3">
        <f>CD242-CC242</f>
        <v>0</v>
      </c>
      <c r="CE279" s="3">
        <f>SUM(CA279:CD279)</f>
        <v>0</v>
      </c>
      <c r="CF279" s="3">
        <f>CF242-CE242</f>
        <v>0</v>
      </c>
      <c r="CG279" s="3">
        <f>CG242-CF242</f>
        <v>0</v>
      </c>
      <c r="CH279" s="3">
        <f>CH242-CG242</f>
        <v>0</v>
      </c>
      <c r="CI279" s="3">
        <f>CI242-CH242</f>
        <v>0</v>
      </c>
      <c r="CJ279" s="3">
        <f>SUM(CF279:CI279)</f>
        <v>0</v>
      </c>
      <c r="CK279" s="3">
        <f>CK242-CJ242</f>
        <v>0</v>
      </c>
      <c r="CL279" s="3">
        <f>CL242-CK242</f>
        <v>0</v>
      </c>
      <c r="CM279" s="3">
        <f>CM242-CL242</f>
        <v>0</v>
      </c>
      <c r="CN279" s="3">
        <f>CN242-CM242</f>
        <v>0</v>
      </c>
      <c r="CO279" s="3">
        <f>SUM(CK279:CN279)</f>
        <v>0</v>
      </c>
      <c r="CP279" s="3">
        <f>CP242-CO242</f>
        <v>0</v>
      </c>
      <c r="CQ279" s="3">
        <f>CQ242-CP242</f>
        <v>0</v>
      </c>
      <c r="CR279" s="3">
        <f>CR242-CQ242</f>
        <v>0</v>
      </c>
      <c r="CS279" s="3">
        <f>CS242-CR242</f>
        <v>0</v>
      </c>
      <c r="CT279" s="3">
        <f>SUM(CP279:CS279)</f>
        <v>0</v>
      </c>
      <c r="CU279" s="3">
        <f>CU242-CT242</f>
        <v>0</v>
      </c>
      <c r="CV279" s="3">
        <f>CV242-CU242</f>
        <v>0</v>
      </c>
      <c r="CW279" s="3">
        <f>CW242-CV242</f>
        <v>0</v>
      </c>
      <c r="CX279" s="3">
        <f>CX242-CW242</f>
        <v>0</v>
      </c>
      <c r="CY279" s="3">
        <f>SUM(CU279:CX279)</f>
        <v>0</v>
      </c>
    </row>
    <row r="280">
      <c r="C280" s="26" t="inlineStr">
        <is>
          <t>Other equity account</t>
        </is>
      </c>
      <c r="D280" s="3" t="n"/>
      <c r="E280" s="3">
        <f>E243-D243</f>
        <v>0</v>
      </c>
      <c r="F280" s="3">
        <f>F243-E243</f>
        <v>0</v>
      </c>
      <c r="G280" s="3">
        <f>G243-F243</f>
        <v>-120</v>
      </c>
      <c r="H280" s="3">
        <f>SUM(D280:G280)</f>
        <v>-120</v>
      </c>
      <c r="I280" s="3">
        <f>I243-H243</f>
        <v>-3</v>
      </c>
      <c r="J280" s="3">
        <f>J243-I243</f>
        <v>-4</v>
      </c>
      <c r="K280" s="3">
        <f>K243-J243</f>
        <v>-4</v>
      </c>
      <c r="L280" s="3">
        <f>L243-K243</f>
        <v>-4</v>
      </c>
      <c r="M280" s="3">
        <f>SUM(I280:L280)</f>
        <v>-15</v>
      </c>
      <c r="N280" s="3">
        <f>N243-M243</f>
        <v>0</v>
      </c>
      <c r="O280" s="3">
        <f>O243-N243</f>
        <v>-4</v>
      </c>
      <c r="P280" s="3">
        <f>P243-O243</f>
        <v>-3</v>
      </c>
      <c r="Q280" s="3">
        <f>Q243-P243</f>
        <v>0</v>
      </c>
      <c r="R280" s="3">
        <f>SUM(N280:Q280)</f>
        <v>-7</v>
      </c>
      <c r="S280" s="3">
        <f>S243-R243</f>
        <v>-3</v>
      </c>
      <c r="T280" s="3">
        <f>T243-S243</f>
        <v>-2</v>
      </c>
      <c r="U280" s="3">
        <f>U243-T243</f>
        <v>-3</v>
      </c>
      <c r="V280" s="3">
        <f>V243-U243</f>
        <v>-16</v>
      </c>
      <c r="W280" s="3">
        <f>SUM(S280:V280)</f>
        <v>-24</v>
      </c>
      <c r="X280" s="3">
        <f>X243-W243</f>
        <v>-6</v>
      </c>
      <c r="Y280" s="3">
        <f>Y243-X243</f>
        <v>-5</v>
      </c>
      <c r="Z280" s="3">
        <f>Z243-Y243</f>
        <v>177</v>
      </c>
      <c r="AA280" s="3">
        <f>AA243-Z243</f>
        <v>0</v>
      </c>
      <c r="AB280" s="3">
        <f>SUM(X280:AA280)</f>
        <v>166</v>
      </c>
      <c r="AC280" s="3">
        <f>AC243-AB243</f>
        <v>0</v>
      </c>
      <c r="AD280" s="3">
        <f>AD243-AC243</f>
        <v>0</v>
      </c>
      <c r="AE280" s="3">
        <f>AE243-AD243</f>
        <v>0</v>
      </c>
      <c r="AF280" s="3">
        <f>AF243-AE243</f>
        <v>0</v>
      </c>
      <c r="AG280" s="3">
        <f>SUM(AC280:AF280)</f>
        <v>0</v>
      </c>
      <c r="AH280" s="3">
        <f>AH243-AG243</f>
        <v>0</v>
      </c>
      <c r="AI280" s="3">
        <f>AI243-AH243</f>
        <v>0</v>
      </c>
      <c r="AJ280" s="3">
        <f>AJ243-AI243</f>
        <v>0</v>
      </c>
      <c r="AK280" s="3">
        <f>AK243-AJ243</f>
        <v>0</v>
      </c>
      <c r="AL280" s="3">
        <f>SUM(AH280:AK280)</f>
        <v>0</v>
      </c>
      <c r="AM280" s="3">
        <f>AM243-AL243</f>
        <v>0</v>
      </c>
      <c r="AN280" s="3">
        <f>AN243-AM243</f>
        <v>0</v>
      </c>
      <c r="AO280" s="3">
        <f>AO243-AN243</f>
        <v>0</v>
      </c>
      <c r="AP280" s="3">
        <f>AP243-AO243</f>
        <v>0</v>
      </c>
      <c r="AQ280" s="3">
        <f>SUM(AM280:AP280)</f>
        <v>0</v>
      </c>
      <c r="AR280" s="3">
        <f>AR243-AQ243</f>
        <v>0</v>
      </c>
      <c r="AS280" s="3">
        <f>AS243-AR243</f>
        <v>0</v>
      </c>
      <c r="AT280" s="3">
        <f>AT243-AS243</f>
        <v>0</v>
      </c>
      <c r="AU280" s="3">
        <f>AU243-AT243</f>
        <v>0</v>
      </c>
      <c r="AV280" s="3">
        <f>SUM(AR280:AU280)</f>
        <v>0</v>
      </c>
      <c r="AW280" s="3">
        <f>AW243-AV243</f>
        <v>0</v>
      </c>
      <c r="AX280" s="3">
        <f>AX243-AW243</f>
        <v>0</v>
      </c>
      <c r="AY280" s="3">
        <f>AY243-AX243</f>
        <v>0</v>
      </c>
      <c r="AZ280" s="3">
        <f>AZ243-AY243</f>
        <v>0</v>
      </c>
      <c r="BA280" s="3">
        <f>SUM(AW280:AZ280)</f>
        <v>0</v>
      </c>
      <c r="BB280" s="3">
        <f>BB243-BA243</f>
        <v>0</v>
      </c>
      <c r="BC280" s="3">
        <f>BC243-BB243</f>
        <v>0</v>
      </c>
      <c r="BD280" s="3">
        <f>BD243-BC243</f>
        <v>0</v>
      </c>
      <c r="BE280" s="3">
        <f>BE243-BD243</f>
        <v>0</v>
      </c>
      <c r="BF280" s="3">
        <f>SUM(BB280:BE280)</f>
        <v>0</v>
      </c>
      <c r="BG280" s="3">
        <f>BG243-BF243</f>
        <v>0</v>
      </c>
      <c r="BH280" s="3">
        <f>BH243-BG243</f>
        <v>0</v>
      </c>
      <c r="BI280" s="3">
        <f>BI243-BH243</f>
        <v>0</v>
      </c>
      <c r="BJ280" s="3">
        <f>BJ243-BI243</f>
        <v>0</v>
      </c>
      <c r="BK280" s="3">
        <f>SUM(BG280:BJ280)</f>
        <v>0</v>
      </c>
      <c r="BL280" s="3">
        <f>BL243-BK243</f>
        <v>0</v>
      </c>
      <c r="BM280" s="3">
        <f>BM243-BL243</f>
        <v>0</v>
      </c>
      <c r="BN280" s="3">
        <f>BN243-BM243</f>
        <v>0</v>
      </c>
      <c r="BO280" s="3">
        <f>BO243-BN243</f>
        <v>0</v>
      </c>
      <c r="BP280" s="3">
        <f>SUM(BL280:BO280)</f>
        <v>0</v>
      </c>
      <c r="BQ280" s="3">
        <f>BQ243-BP243</f>
        <v>0</v>
      </c>
      <c r="BR280" s="3">
        <f>BR243-BQ243</f>
        <v>0</v>
      </c>
      <c r="BS280" s="3">
        <f>BS243-BR243</f>
        <v>0</v>
      </c>
      <c r="BT280" s="3">
        <f>BT243-BS243</f>
        <v>0</v>
      </c>
      <c r="BU280" s="3">
        <f>SUM(BQ280:BT280)</f>
        <v>0</v>
      </c>
      <c r="BV280" s="3">
        <f>BV243-BU243</f>
        <v>0</v>
      </c>
      <c r="BW280" s="3">
        <f>BW243-BV243</f>
        <v>0</v>
      </c>
      <c r="BX280" s="3">
        <f>BX243-BW243</f>
        <v>0</v>
      </c>
      <c r="BY280" s="3">
        <f>BY243-BX243</f>
        <v>0</v>
      </c>
      <c r="BZ280" s="3">
        <f>SUM(BV280:BY280)</f>
        <v>0</v>
      </c>
      <c r="CA280" s="3">
        <f>CA243-BZ243</f>
        <v>0</v>
      </c>
      <c r="CB280" s="3">
        <f>CB243-CA243</f>
        <v>0</v>
      </c>
      <c r="CC280" s="3">
        <f>CC243-CB243</f>
        <v>0</v>
      </c>
      <c r="CD280" s="3">
        <f>CD243-CC243</f>
        <v>0</v>
      </c>
      <c r="CE280" s="3">
        <f>SUM(CA280:CD280)</f>
        <v>0</v>
      </c>
      <c r="CF280" s="3">
        <f>CF243-CE243</f>
        <v>0</v>
      </c>
      <c r="CG280" s="3">
        <f>CG243-CF243</f>
        <v>0</v>
      </c>
      <c r="CH280" s="3">
        <f>CH243-CG243</f>
        <v>0</v>
      </c>
      <c r="CI280" s="3">
        <f>CI243-CH243</f>
        <v>0</v>
      </c>
      <c r="CJ280" s="3">
        <f>SUM(CF280:CI280)</f>
        <v>0</v>
      </c>
      <c r="CK280" s="3">
        <f>CK243-CJ243</f>
        <v>0</v>
      </c>
      <c r="CL280" s="3">
        <f>CL243-CK243</f>
        <v>0</v>
      </c>
      <c r="CM280" s="3">
        <f>CM243-CL243</f>
        <v>0</v>
      </c>
      <c r="CN280" s="3">
        <f>CN243-CM243</f>
        <v>0</v>
      </c>
      <c r="CO280" s="3">
        <f>SUM(CK280:CN280)</f>
        <v>0</v>
      </c>
      <c r="CP280" s="3">
        <f>CP243-CO243</f>
        <v>0</v>
      </c>
      <c r="CQ280" s="3">
        <f>CQ243-CP243</f>
        <v>0</v>
      </c>
      <c r="CR280" s="3">
        <f>CR243-CQ243</f>
        <v>0</v>
      </c>
      <c r="CS280" s="3">
        <f>CS243-CR243</f>
        <v>0</v>
      </c>
      <c r="CT280" s="3">
        <f>SUM(CP280:CS280)</f>
        <v>0</v>
      </c>
      <c r="CU280" s="3">
        <f>CU243-CT243</f>
        <v>0</v>
      </c>
      <c r="CV280" s="3">
        <f>CV243-CU243</f>
        <v>0</v>
      </c>
      <c r="CW280" s="3">
        <f>CW243-CV243</f>
        <v>0</v>
      </c>
      <c r="CX280" s="3">
        <f>CX243-CW243</f>
        <v>0</v>
      </c>
      <c r="CY280" s="3">
        <f>SUM(CU280:CX280)</f>
        <v>0</v>
      </c>
    </row>
    <row r="281">
      <c r="C281" s="29" t="inlineStr">
        <is>
          <t>Common and preferred dividends</t>
        </is>
      </c>
      <c r="D281" s="3" t="n"/>
      <c r="E281" s="3">
        <f>(E244-D244)-E251</f>
        <v>-1721</v>
      </c>
      <c r="F281" s="3">
        <f>(F244-E244)-F251</f>
        <v>-2406</v>
      </c>
      <c r="G281" s="3">
        <f>(G244-F244)-G251</f>
        <v>-2467</v>
      </c>
      <c r="H281" s="3">
        <f>SUM(D281:G281)</f>
        <v>-6594</v>
      </c>
      <c r="I281" s="3">
        <f>(I244-H244)-I251</f>
        <v>-2469</v>
      </c>
      <c r="J281" s="3">
        <f>(J244-I244)-J251</f>
        <v>-2727</v>
      </c>
      <c r="K281" s="3">
        <f>(K244-J244)-K251</f>
        <v>-2707</v>
      </c>
      <c r="L281" s="3">
        <f>(L244-K244)-L251</f>
        <v>-2553</v>
      </c>
      <c r="M281" s="3">
        <f>SUM(I281:L281)</f>
        <v>-10456</v>
      </c>
      <c r="N281" s="3">
        <f>(N244-M244)-N251</f>
        <v>-2746</v>
      </c>
      <c r="O281" s="3">
        <f>(O244-N244)-O251</f>
        <v>-2772</v>
      </c>
      <c r="P281" s="3">
        <f>(P244-O244)-P251</f>
        <v>-2746</v>
      </c>
      <c r="Q281" s="3">
        <f>(Q244-P244)-Q251</f>
        <v>-2723</v>
      </c>
      <c r="R281" s="3">
        <f>SUM(N281:Q281)</f>
        <v>-10987</v>
      </c>
      <c r="S281" s="3">
        <f>(S244-R244)-S251</f>
        <v>-2860</v>
      </c>
      <c r="T281" s="3">
        <f>(T244-S244)-T251</f>
        <v>-2822</v>
      </c>
      <c r="U281" s="3">
        <f>(U244-T244)-U251</f>
        <v>-2859</v>
      </c>
      <c r="V281" s="3">
        <f>(V244-U244)-V251</f>
        <v>-2827</v>
      </c>
      <c r="W281" s="3">
        <f>SUM(S281:V281)</f>
        <v>-11368</v>
      </c>
      <c r="X281" s="3">
        <f>(X244-W244)-X251</f>
        <v>-3012</v>
      </c>
      <c r="Y281" s="3">
        <f>(Y244-X244)-Y251</f>
        <v>-2988</v>
      </c>
      <c r="Z281" s="3">
        <f>(Z244-Y244)-Z251</f>
        <v>-2944</v>
      </c>
      <c r="AA281" s="3">
        <f>(AA244-Z244)-AA251</f>
        <v>-2890</v>
      </c>
      <c r="AB281" s="3">
        <f>SUM(X281:AA281)</f>
        <v>-11834</v>
      </c>
      <c r="AC281" s="3">
        <f>(AC244-AB244)-AC251</f>
        <v>-2993</v>
      </c>
      <c r="AD281" s="3">
        <f>(AD244-AC244)-AD251</f>
        <v>-2944</v>
      </c>
      <c r="AE281" s="3">
        <f>(AE244-AD244)-AE251</f>
        <v>-3438</v>
      </c>
      <c r="AF281" s="3">
        <f>(AF244-AE244)-AF251</f>
        <v>-3411</v>
      </c>
      <c r="AG281" s="3">
        <f>SUM(AC281:AF281)</f>
        <v>-12786</v>
      </c>
      <c r="AH281" s="3">
        <f>(AH244-AG244)-AH251</f>
        <v>-3536</v>
      </c>
      <c r="AI281" s="3">
        <f>(AI244-AH244)-AI251</f>
        <v>-3516</v>
      </c>
      <c r="AJ281" s="3">
        <f>(AJ244-AI244)-AJ251</f>
        <v>0</v>
      </c>
      <c r="AK281" s="3">
        <f>(AK244-AJ244)-AK251</f>
        <v>0</v>
      </c>
      <c r="AL281" s="3">
        <f>SUM(AH281:AK281)</f>
        <v>-7052</v>
      </c>
      <c r="AM281" s="3">
        <f>(AM244-AL244)-AM251</f>
        <v>0</v>
      </c>
      <c r="AN281" s="3">
        <f>(AN244-AM244)-AN251</f>
        <v>0</v>
      </c>
      <c r="AO281" s="3">
        <f>(AO244-AN244)-AO251</f>
        <v>0</v>
      </c>
      <c r="AP281" s="3">
        <f>(AP244-AO244)-AP251</f>
        <v>0</v>
      </c>
      <c r="AQ281" s="3">
        <f>SUM(AM281:AP281)</f>
        <v>0</v>
      </c>
      <c r="AR281" s="3">
        <f>(AR244-AQ244)-AR251</f>
        <v>0</v>
      </c>
      <c r="AS281" s="3">
        <f>(AS244-AR244)-AS251</f>
        <v>0</v>
      </c>
      <c r="AT281" s="3">
        <f>(AT244-AS244)-AT251</f>
        <v>0</v>
      </c>
      <c r="AU281" s="3">
        <f>(AU244-AT244)-AU251</f>
        <v>0</v>
      </c>
      <c r="AV281" s="3">
        <f>SUM(AR281:AU281)</f>
        <v>0</v>
      </c>
      <c r="AW281" s="3">
        <f>(AW244-AV244)-AW251</f>
        <v>0</v>
      </c>
      <c r="AX281" s="3">
        <f>(AX244-AW244)-AX251</f>
        <v>0</v>
      </c>
      <c r="AY281" s="3">
        <f>(AY244-AX244)-AY251</f>
        <v>0</v>
      </c>
      <c r="AZ281" s="3">
        <f>(AZ244-AY244)-AZ251</f>
        <v>0</v>
      </c>
      <c r="BA281" s="3">
        <f>SUM(AW281:AZ281)</f>
        <v>0</v>
      </c>
      <c r="BB281" s="3">
        <f>(BB244-BA244)-BB251</f>
        <v>0</v>
      </c>
      <c r="BC281" s="3">
        <f>(BC244-BB244)-BC251</f>
        <v>0</v>
      </c>
      <c r="BD281" s="3">
        <f>(BD244-BC244)-BD251</f>
        <v>0</v>
      </c>
      <c r="BE281" s="3">
        <f>(BE244-BD244)-BE251</f>
        <v>0</v>
      </c>
      <c r="BF281" s="3">
        <f>SUM(BB281:BE281)</f>
        <v>0</v>
      </c>
      <c r="BG281" s="3">
        <f>(BG244-BF244)-BG251</f>
        <v>0</v>
      </c>
      <c r="BH281" s="3">
        <f>(BH244-BG244)-BH251</f>
        <v>0</v>
      </c>
      <c r="BI281" s="3">
        <f>(BI244-BH244)-BI251</f>
        <v>0</v>
      </c>
      <c r="BJ281" s="3">
        <f>(BJ244-BI244)-BJ251</f>
        <v>0</v>
      </c>
      <c r="BK281" s="3">
        <f>SUM(BG281:BJ281)</f>
        <v>0</v>
      </c>
      <c r="BL281" s="3">
        <f>(BL244-BK244)-BL251</f>
        <v>0</v>
      </c>
      <c r="BM281" s="3">
        <f>(BM244-BL244)-BM251</f>
        <v>0</v>
      </c>
      <c r="BN281" s="3">
        <f>(BN244-BM244)-BN251</f>
        <v>0</v>
      </c>
      <c r="BO281" s="3">
        <f>(BO244-BN244)-BO251</f>
        <v>0</v>
      </c>
      <c r="BP281" s="3">
        <f>SUM(BL281:BO281)</f>
        <v>0</v>
      </c>
      <c r="BQ281" s="3">
        <f>(BQ244-BP244)-BQ251</f>
        <v>0</v>
      </c>
      <c r="BR281" s="3">
        <f>(BR244-BQ244)-BR251</f>
        <v>0</v>
      </c>
      <c r="BS281" s="3">
        <f>(BS244-BR244)-BS251</f>
        <v>0</v>
      </c>
      <c r="BT281" s="3">
        <f>(BT244-BS244)-BT251</f>
        <v>0</v>
      </c>
      <c r="BU281" s="3">
        <f>SUM(BQ281:BT281)</f>
        <v>0</v>
      </c>
      <c r="BV281" s="3">
        <f>(BV244-BU244)-BV251</f>
        <v>0</v>
      </c>
      <c r="BW281" s="3">
        <f>(BW244-BV244)-BW251</f>
        <v>0</v>
      </c>
      <c r="BX281" s="3">
        <f>(BX244-BW244)-BX251</f>
        <v>0</v>
      </c>
      <c r="BY281" s="3">
        <f>(BY244-BX244)-BY251</f>
        <v>0</v>
      </c>
      <c r="BZ281" s="3">
        <f>SUM(BV281:BY281)</f>
        <v>0</v>
      </c>
      <c r="CA281" s="3">
        <f>(CA244-BZ244)-CA251</f>
        <v>0</v>
      </c>
      <c r="CB281" s="3">
        <f>(CB244-CA244)-CB251</f>
        <v>0</v>
      </c>
      <c r="CC281" s="3">
        <f>(CC244-CB244)-CC251</f>
        <v>0</v>
      </c>
      <c r="CD281" s="3">
        <f>(CD244-CC244)-CD251</f>
        <v>0</v>
      </c>
      <c r="CE281" s="3">
        <f>SUM(CA281:CD281)</f>
        <v>0</v>
      </c>
      <c r="CF281" s="3">
        <f>(CF244-CE244)-CF251</f>
        <v>0</v>
      </c>
      <c r="CG281" s="3">
        <f>(CG244-CF244)-CG251</f>
        <v>0</v>
      </c>
      <c r="CH281" s="3">
        <f>(CH244-CG244)-CH251</f>
        <v>0</v>
      </c>
      <c r="CI281" s="3">
        <f>(CI244-CH244)-CI251</f>
        <v>0</v>
      </c>
      <c r="CJ281" s="3">
        <f>SUM(CF281:CI281)</f>
        <v>0</v>
      </c>
      <c r="CK281" s="3">
        <f>(CK244-CJ244)-CK251</f>
        <v>0</v>
      </c>
      <c r="CL281" s="3">
        <f>(CL244-CK244)-CL251</f>
        <v>0</v>
      </c>
      <c r="CM281" s="3">
        <f>(CM244-CL244)-CM251</f>
        <v>0</v>
      </c>
      <c r="CN281" s="3">
        <f>(CN244-CM244)-CN251</f>
        <v>0</v>
      </c>
      <c r="CO281" s="3">
        <f>SUM(CK281:CN281)</f>
        <v>0</v>
      </c>
      <c r="CP281" s="3">
        <f>(CP244-CO244)-CP251</f>
        <v>0</v>
      </c>
      <c r="CQ281" s="3">
        <f>(CQ244-CP244)-CQ251</f>
        <v>0</v>
      </c>
      <c r="CR281" s="3">
        <f>(CR244-CQ244)-CR251</f>
        <v>0</v>
      </c>
      <c r="CS281" s="3">
        <f>(CS244-CR244)-CS251</f>
        <v>0</v>
      </c>
      <c r="CT281" s="3">
        <f>SUM(CP281:CS281)</f>
        <v>0</v>
      </c>
      <c r="CU281" s="3">
        <f>(CU244-CT244)-CU251</f>
        <v>0</v>
      </c>
      <c r="CV281" s="3">
        <f>(CV244-CU244)-CV251</f>
        <v>0</v>
      </c>
      <c r="CW281" s="3">
        <f>(CW244-CV244)-CW251</f>
        <v>0</v>
      </c>
      <c r="CX281" s="3">
        <f>(CX244-CW244)-CX251</f>
        <v>0</v>
      </c>
      <c r="CY281" s="3">
        <f>SUM(CU281:CX281)</f>
        <v>0</v>
      </c>
    </row>
    <row r="282">
      <c r="C282" s="26" t="inlineStr">
        <is>
          <t>Dividends to minority interests</t>
        </is>
      </c>
      <c r="D282" s="3" t="n"/>
      <c r="E282" s="3">
        <f>(E222-D222)+E110</f>
        <v>-709</v>
      </c>
      <c r="F282" s="3">
        <f>(F222-E222)+F110</f>
        <v>-2</v>
      </c>
      <c r="G282" s="3">
        <f>(G222-F222)+G110</f>
        <v>885</v>
      </c>
      <c r="H282" s="3">
        <f>SUM(D282:G282)</f>
        <v>174</v>
      </c>
      <c r="I282" s="3">
        <f>(I222-H222)+I110</f>
        <v>-11</v>
      </c>
      <c r="J282" s="3">
        <f>(J222-I222)+J110</f>
        <v>-324</v>
      </c>
      <c r="K282" s="3">
        <f>(K222-J222)+K110</f>
        <v>131</v>
      </c>
      <c r="L282" s="3">
        <f>(L222-K222)+L110</f>
        <v>-10</v>
      </c>
      <c r="M282" s="3">
        <f>SUM(I282:L282)</f>
        <v>-214</v>
      </c>
      <c r="N282" s="3">
        <f>(N222-M222)+N110</f>
        <v>-10</v>
      </c>
      <c r="O282" s="3">
        <f>(O222-N222)+O110</f>
        <v>38</v>
      </c>
      <c r="P282" s="3">
        <f>(P222-O222)+P110</f>
        <v>-65</v>
      </c>
      <c r="Q282" s="3">
        <f>(Q222-P222)+Q110</f>
        <v>-12</v>
      </c>
      <c r="R282" s="3">
        <f>SUM(N282:Q282)</f>
        <v>-49</v>
      </c>
      <c r="S282" s="3">
        <f>(S222-R222)+S110</f>
        <v>-3</v>
      </c>
      <c r="T282" s="3">
        <f>(T222-S222)+T110</f>
        <v>-8</v>
      </c>
      <c r="U282" s="3">
        <f>(U222-T222)+U110</f>
        <v>-16</v>
      </c>
      <c r="V282" s="3">
        <f>(V222-U222)+V110</f>
        <v>21</v>
      </c>
      <c r="W282" s="3">
        <f>SUM(S282:V282)</f>
        <v>-6</v>
      </c>
      <c r="X282" s="3">
        <f>(X222-W222)+X110</f>
        <v>15</v>
      </c>
      <c r="Y282" s="3">
        <f>(Y222-X222)+Y110</f>
        <v>-5</v>
      </c>
      <c r="Z282" s="3">
        <f>(Z222-Y222)+Z110</f>
        <v>-388</v>
      </c>
      <c r="AA282" s="3">
        <f>(AA222-Z222)+AA110</f>
        <v>-9</v>
      </c>
      <c r="AB282" s="3">
        <f>SUM(X282:AA282)</f>
        <v>-387</v>
      </c>
      <c r="AC282" s="3">
        <f>(AC222-AB222)+AC110</f>
        <v>-15</v>
      </c>
      <c r="AD282" s="3">
        <f>(AD222-AC222)+AD110</f>
        <v>-20</v>
      </c>
      <c r="AE282" s="3">
        <f>(AE222-AD222)+AE110</f>
        <v>4842</v>
      </c>
      <c r="AF282" s="3">
        <f>(AF222-AE222)+AF110</f>
        <v>-106</v>
      </c>
      <c r="AG282" s="3">
        <f>SUM(AC282:AF282)</f>
        <v>4701</v>
      </c>
      <c r="AH282" s="3">
        <f>(AH222-AG222)+AH110</f>
        <v>-153</v>
      </c>
      <c r="AI282" s="3">
        <f>(AI222-AH222)+AI110</f>
        <v>-123</v>
      </c>
      <c r="AJ282" s="3">
        <f>(AJ222-AI222)+AJ110</f>
        <v>0</v>
      </c>
      <c r="AK282" s="3">
        <f>(AK222-AJ222)+AK110</f>
        <v>0</v>
      </c>
      <c r="AL282" s="3">
        <f>SUM(AH282:AK282)</f>
        <v>-276</v>
      </c>
      <c r="AM282" s="3">
        <f>(AM222-AL222)+AM110</f>
        <v>0</v>
      </c>
      <c r="AN282" s="3">
        <f>(AN222-AM222)+AN110</f>
        <v>0</v>
      </c>
      <c r="AO282" s="3">
        <f>(AO222-AN222)+AO110</f>
        <v>0</v>
      </c>
      <c r="AP282" s="3">
        <f>(AP222-AO222)+AP110</f>
        <v>0</v>
      </c>
      <c r="AQ282" s="3">
        <f>SUM(AM282:AP282)</f>
        <v>0</v>
      </c>
      <c r="AR282" s="3">
        <f>(AR222-AQ222)+AR110</f>
        <v>0</v>
      </c>
      <c r="AS282" s="3">
        <f>(AS222-AR222)+AS110</f>
        <v>0</v>
      </c>
      <c r="AT282" s="3">
        <f>(AT222-AS222)+AT110</f>
        <v>0</v>
      </c>
      <c r="AU282" s="3">
        <f>(AU222-AT222)+AU110</f>
        <v>0</v>
      </c>
      <c r="AV282" s="3">
        <f>SUM(AR282:AU282)</f>
        <v>0</v>
      </c>
      <c r="AW282" s="3">
        <f>(AW222-AV222)+AW110</f>
        <v>0</v>
      </c>
      <c r="AX282" s="3">
        <f>(AX222-AW222)+AX110</f>
        <v>0</v>
      </c>
      <c r="AY282" s="3">
        <f>(AY222-AX222)+AY110</f>
        <v>0</v>
      </c>
      <c r="AZ282" s="3">
        <f>(AZ222-AY222)+AZ110</f>
        <v>0</v>
      </c>
      <c r="BA282" s="3">
        <f>SUM(AW282:AZ282)</f>
        <v>0</v>
      </c>
      <c r="BB282" s="3">
        <f>(BB222-BA222)+BB110</f>
        <v>0</v>
      </c>
      <c r="BC282" s="3">
        <f>(BC222-BB222)+BC110</f>
        <v>0</v>
      </c>
      <c r="BD282" s="3">
        <f>(BD222-BC222)+BD110</f>
        <v>0</v>
      </c>
      <c r="BE282" s="3">
        <f>(BE222-BD222)+BE110</f>
        <v>0</v>
      </c>
      <c r="BF282" s="3">
        <f>SUM(BB282:BE282)</f>
        <v>0</v>
      </c>
      <c r="BG282" s="3">
        <f>(BG222-BF222)+BG110</f>
        <v>0</v>
      </c>
      <c r="BH282" s="3">
        <f>(BH222-BG222)+BH110</f>
        <v>0</v>
      </c>
      <c r="BI282" s="3">
        <f>(BI222-BH222)+BI110</f>
        <v>0</v>
      </c>
      <c r="BJ282" s="3">
        <f>(BJ222-BI222)+BJ110</f>
        <v>0</v>
      </c>
      <c r="BK282" s="3">
        <f>SUM(BG282:BJ282)</f>
        <v>0</v>
      </c>
      <c r="BL282" s="3">
        <f>(BL222-BK222)+BL110</f>
        <v>0</v>
      </c>
      <c r="BM282" s="3">
        <f>(BM222-BL222)+BM110</f>
        <v>0</v>
      </c>
      <c r="BN282" s="3">
        <f>(BN222-BM222)+BN110</f>
        <v>0</v>
      </c>
      <c r="BO282" s="3">
        <f>(BO222-BN222)+BO110</f>
        <v>0</v>
      </c>
      <c r="BP282" s="3">
        <f>SUM(BL282:BO282)</f>
        <v>0</v>
      </c>
      <c r="BQ282" s="3">
        <f>(BQ222-BP222)+BQ110</f>
        <v>0</v>
      </c>
      <c r="BR282" s="3">
        <f>(BR222-BQ222)+BR110</f>
        <v>0</v>
      </c>
      <c r="BS282" s="3">
        <f>(BS222-BR222)+BS110</f>
        <v>0</v>
      </c>
      <c r="BT282" s="3">
        <f>(BT222-BS222)+BT110</f>
        <v>0</v>
      </c>
      <c r="BU282" s="3">
        <f>SUM(BQ282:BT282)</f>
        <v>0</v>
      </c>
      <c r="BV282" s="3">
        <f>(BV222-BU222)+BV110</f>
        <v>0</v>
      </c>
      <c r="BW282" s="3">
        <f>(BW222-BV222)+BW110</f>
        <v>0</v>
      </c>
      <c r="BX282" s="3">
        <f>(BX222-BW222)+BX110</f>
        <v>0</v>
      </c>
      <c r="BY282" s="3">
        <f>(BY222-BX222)+BY110</f>
        <v>0</v>
      </c>
      <c r="BZ282" s="3">
        <f>SUM(BV282:BY282)</f>
        <v>0</v>
      </c>
      <c r="CA282" s="3">
        <f>(CA222-BZ222)+CA110</f>
        <v>0</v>
      </c>
      <c r="CB282" s="3">
        <f>(CB222-CA222)+CB110</f>
        <v>0</v>
      </c>
      <c r="CC282" s="3">
        <f>(CC222-CB222)+CC110</f>
        <v>0</v>
      </c>
      <c r="CD282" s="3">
        <f>(CD222-CC222)+CD110</f>
        <v>0</v>
      </c>
      <c r="CE282" s="3">
        <f>SUM(CA282:CD282)</f>
        <v>0</v>
      </c>
      <c r="CF282" s="3">
        <f>(CF222-CE222)+CF110</f>
        <v>0</v>
      </c>
      <c r="CG282" s="3">
        <f>(CG222-CF222)+CG110</f>
        <v>0</v>
      </c>
      <c r="CH282" s="3">
        <f>(CH222-CG222)+CH110</f>
        <v>0</v>
      </c>
      <c r="CI282" s="3">
        <f>(CI222-CH222)+CI110</f>
        <v>0</v>
      </c>
      <c r="CJ282" s="3">
        <f>SUM(CF282:CI282)</f>
        <v>0</v>
      </c>
      <c r="CK282" s="3">
        <f>(CK222-CJ222)+CK110</f>
        <v>0</v>
      </c>
      <c r="CL282" s="3">
        <f>(CL222-CK222)+CL110</f>
        <v>0</v>
      </c>
      <c r="CM282" s="3">
        <f>(CM222-CL222)+CM110</f>
        <v>0</v>
      </c>
      <c r="CN282" s="3">
        <f>(CN222-CM222)+CN110</f>
        <v>0</v>
      </c>
      <c r="CO282" s="3">
        <f>SUM(CK282:CN282)</f>
        <v>0</v>
      </c>
      <c r="CP282" s="3">
        <f>(CP222-CO222)+CP110</f>
        <v>0</v>
      </c>
      <c r="CQ282" s="3">
        <f>(CQ222-CP222)+CQ110</f>
        <v>0</v>
      </c>
      <c r="CR282" s="3">
        <f>(CR222-CQ222)+CR110</f>
        <v>0</v>
      </c>
      <c r="CS282" s="3">
        <f>(CS222-CR222)+CS110</f>
        <v>0</v>
      </c>
      <c r="CT282" s="3">
        <f>SUM(CP282:CS282)</f>
        <v>0</v>
      </c>
      <c r="CU282" s="3">
        <f>(CU222-CT222)+CU110</f>
        <v>0</v>
      </c>
      <c r="CV282" s="3">
        <f>(CV222-CU222)+CV110</f>
        <v>0</v>
      </c>
      <c r="CW282" s="3">
        <f>(CW222-CV222)+CW110</f>
        <v>0</v>
      </c>
      <c r="CX282" s="3">
        <f>(CX222-CW222)+CX110</f>
        <v>0</v>
      </c>
      <c r="CY282" s="3">
        <f>SUM(CU282:CX282)</f>
        <v>0</v>
      </c>
    </row>
    <row r="283">
      <c r="C283" s="28" t="inlineStr">
        <is>
          <t>Increases / (decreases) in debt</t>
        </is>
      </c>
      <c r="D283" s="3" t="n"/>
      <c r="E283" s="3">
        <f>SUM(E186:E188,E191,E212,E209)-SUM(D186:D188,D191,D212,D209)</f>
        <v>-4937</v>
      </c>
      <c r="F283" s="3">
        <f>SUM(F186:F188,F191,F212,F209)-SUM(E186:E188,E191,E212,E209)</f>
        <v>-3221</v>
      </c>
      <c r="G283" s="3">
        <f>SUM(G186:G188,G191,G212,G209)-SUM(F186:F188,F191,F212,F209)</f>
        <v>1018</v>
      </c>
      <c r="H283" s="3">
        <f>SUM(D283:G283)</f>
        <v>-7140</v>
      </c>
      <c r="I283" s="3">
        <f>SUM(I186:I188,I191,I212,I209)-SUM(H186:H188,H191,H212,H209)</f>
        <v>3293</v>
      </c>
      <c r="J283" s="3">
        <f>SUM(J186:J188,J191,J212,J209)-SUM(I186:I188,I191,I212,I209)</f>
        <v>-1344</v>
      </c>
      <c r="K283" s="3">
        <f>SUM(K186:K188,K191,K212,K209)-SUM(J186:J188,J191,J212,J209)</f>
        <v>-3206</v>
      </c>
      <c r="L283" s="3">
        <f>SUM(L186:L188,L191,L212,L209)-SUM(K186:K188,K191,K212,K209)</f>
        <v>-35</v>
      </c>
      <c r="M283" s="3">
        <f>SUM(I283:L283)</f>
        <v>-1292</v>
      </c>
      <c r="N283" s="3">
        <f>SUM(N186:N188,N191,N212,N209)-SUM(M186:M188,M191,M212,M209)</f>
        <v>58</v>
      </c>
      <c r="O283" s="3">
        <f>SUM(O186:O188,O191,O212,O209)-SUM(N186:N188,N191,N212,N209)</f>
        <v>2916</v>
      </c>
      <c r="P283" s="3">
        <f>SUM(P186:P188,P191,P212,P209)-SUM(O186:O188,O191,O212,O209)</f>
        <v>-1009</v>
      </c>
      <c r="Q283" s="3">
        <f>SUM(Q186:Q188,Q191,Q212,Q209)-SUM(P186:P188,P191,P212,P209)</f>
        <v>-257</v>
      </c>
      <c r="R283" s="3">
        <f>SUM(N283:Q283)</f>
        <v>1708</v>
      </c>
      <c r="S283" s="3">
        <f>SUM(S186:S188,S191,S212,S209)-SUM(R186:R188,R191,R212,R209)</f>
        <v>967</v>
      </c>
      <c r="T283" s="3">
        <f>SUM(T186:T188,T191,T212,T209)-SUM(S186:S188,S191,S212,S209)</f>
        <v>-1662</v>
      </c>
      <c r="U283" s="3">
        <f>SUM(U186:U188,U191,U212,U209)-SUM(T186:T188,T191,T212,T209)</f>
        <v>-829</v>
      </c>
      <c r="V283" s="3">
        <f>SUM(V186:V188,V191,V212,V209)-SUM(U186:U188,U191,U212,U209)</f>
        <v>89</v>
      </c>
      <c r="W283" s="3">
        <f>SUM(S283:V283)</f>
        <v>-1435</v>
      </c>
      <c r="X283" s="3">
        <f>SUM(X186:X188,X191,X212,X209)-SUM(W186:W188,W191,W212,W209)</f>
        <v>-247</v>
      </c>
      <c r="Y283" s="3">
        <f>SUM(Y186:Y188,Y191,Y212,Y209)-SUM(X186:X188,X191,X212,X209)</f>
        <v>1453</v>
      </c>
      <c r="Z283" s="3">
        <f>SUM(Z186:Z188,Z191,Z212,Z209)-SUM(Y186:Y188,Y191,Y212,Y209)</f>
        <v>3409</v>
      </c>
      <c r="AA283" s="3">
        <f>SUM(AA186:AA188,AA191,AA212,AA209)-SUM(Z186:Z188,Z191,Z212,Z209)</f>
        <v>-738</v>
      </c>
      <c r="AB283" s="3">
        <f>SUM(X283:AA283)</f>
        <v>3877</v>
      </c>
      <c r="AC283" s="3">
        <f>SUM(AC186:AC188,AC191,AC212,AC209)-SUM(AB186:AB188,AB191,AB212,AB209)</f>
        <v>-330</v>
      </c>
      <c r="AD283" s="3">
        <f>SUM(AD186:AD188,AD191,AD212,AD209)-SUM(AC186:AC188,AC191,AC212,AC209)</f>
        <v>2115</v>
      </c>
      <c r="AE283" s="3">
        <f>SUM(AE186:AE188,AE191,AE212,AE209)-SUM(AD186:AD188,AD191,AD212,AD209)</f>
        <v>-2600</v>
      </c>
      <c r="AF283" s="3">
        <f>SUM(AF186:AF188,AF191,AF212,AF209)-SUM(AE186:AE188,AE191,AE212,AE209)</f>
        <v>-2614</v>
      </c>
      <c r="AG283" s="3">
        <f>SUM(AC283:AF283)</f>
        <v>-3429</v>
      </c>
      <c r="AH283" s="3">
        <f>SUM(AH186:AH188,AH191,AH212,AH209)-SUM(AG186:AG188,AG191,AG212,AG209)</f>
        <v>4851</v>
      </c>
      <c r="AI283" s="3">
        <f>SUM(AI186:AI188,AI191,AI212,AI209)-SUM(AH186:AH188,AH191,AH212,AH209)</f>
        <v>-5427</v>
      </c>
      <c r="AJ283" s="3">
        <f>SUM(AJ186:AJ188,AJ191,AJ212,AJ209)-SUM(AI186:AI188,AI191,AI212,AI209)</f>
        <v>0</v>
      </c>
      <c r="AK283" s="3">
        <f>SUM(AK186:AK188,AK191,AK212,AK209)-SUM(AJ186:AJ188,AJ191,AJ212,AJ209)</f>
        <v>0</v>
      </c>
      <c r="AL283" s="3">
        <f>SUM(AH283:AK283)</f>
        <v>-576</v>
      </c>
      <c r="AM283" s="3">
        <f>SUM(AM186:AM188,AM191,AM212,AM209)-SUM(AL186:AL188,AL191,AL212,AL209)</f>
        <v>0</v>
      </c>
      <c r="AN283" s="3">
        <f>SUM(AN186:AN188,AN191,AN212,AN209)-SUM(AM186:AM188,AM191,AM212,AM209)</f>
        <v>0</v>
      </c>
      <c r="AO283" s="3">
        <f>SUM(AO186:AO188,AO191,AO212,AO209)-SUM(AN186:AN188,AN191,AN212,AN209)</f>
        <v>0</v>
      </c>
      <c r="AP283" s="3">
        <f>SUM(AP186:AP188,AP191,AP212,AP209)-SUM(AO186:AO188,AO191,AO212,AO209)</f>
        <v>0</v>
      </c>
      <c r="AQ283" s="3">
        <f>SUM(AM283:AP283)</f>
        <v>0</v>
      </c>
      <c r="AR283" s="3">
        <f>SUM(AR186:AR188,AR191,AR212,AR209)-SUM(AQ186:AQ188,AQ191,AQ212,AQ209)</f>
        <v>0</v>
      </c>
      <c r="AS283" s="3">
        <f>SUM(AS186:AS188,AS191,AS212,AS209)-SUM(AR186:AR188,AR191,AR212,AR209)</f>
        <v>0</v>
      </c>
      <c r="AT283" s="3">
        <f>SUM(AT186:AT188,AT191,AT212,AT209)-SUM(AS186:AS188,AS191,AS212,AS209)</f>
        <v>0</v>
      </c>
      <c r="AU283" s="3">
        <f>SUM(AU186:AU188,AU191,AU212,AU209)-SUM(AT186:AT188,AT191,AT212,AT209)</f>
        <v>0</v>
      </c>
      <c r="AV283" s="3">
        <f>SUM(AR283:AU283)</f>
        <v>0</v>
      </c>
      <c r="AW283" s="3">
        <f>SUM(AW186:AW188,AW191,AW212,AW209)-SUM(AV186:AV188,AV191,AV212,AV209)</f>
        <v>0</v>
      </c>
      <c r="AX283" s="3">
        <f>SUM(AX186:AX188,AX191,AX212,AX209)-SUM(AW186:AW188,AW191,AW212,AW209)</f>
        <v>0</v>
      </c>
      <c r="AY283" s="3">
        <f>SUM(AY186:AY188,AY191,AY212,AY209)-SUM(AX186:AX188,AX191,AX212,AX209)</f>
        <v>0</v>
      </c>
      <c r="AZ283" s="3">
        <f>SUM(AZ186:AZ188,AZ191,AZ212,AZ209)-SUM(AY186:AY188,AY191,AY212,AY209)</f>
        <v>0</v>
      </c>
      <c r="BA283" s="3">
        <f>SUM(AW283:AZ283)</f>
        <v>0</v>
      </c>
      <c r="BB283" s="3">
        <f>SUM(BB186:BB188,BB191,BB212,BB209)-SUM(BA186:BA188,BA191,BA212,BA209)</f>
        <v>0</v>
      </c>
      <c r="BC283" s="3">
        <f>SUM(BC186:BC188,BC191,BC212,BC209)-SUM(BB186:BB188,BB191,BB212,BB209)</f>
        <v>0</v>
      </c>
      <c r="BD283" s="3">
        <f>SUM(BD186:BD188,BD191,BD212,BD209)-SUM(BC186:BC188,BC191,BC212,BC209)</f>
        <v>0</v>
      </c>
      <c r="BE283" s="3">
        <f>SUM(BE186:BE188,BE191,BE212,BE209)-SUM(BD186:BD188,BD191,BD212,BD209)</f>
        <v>0</v>
      </c>
      <c r="BF283" s="3">
        <f>SUM(BB283:BE283)</f>
        <v>0</v>
      </c>
      <c r="BG283" s="3">
        <f>SUM(BG186:BG188,BG191,BG212,BG209)-SUM(BF186:BF188,BF191,BF212,BF209)</f>
        <v>0</v>
      </c>
      <c r="BH283" s="3">
        <f>SUM(BH186:BH188,BH191,BH212,BH209)-SUM(BG186:BG188,BG191,BG212,BG209)</f>
        <v>0</v>
      </c>
      <c r="BI283" s="3">
        <f>SUM(BI186:BI188,BI191,BI212,BI209)-SUM(BH186:BH188,BH191,BH212,BH209)</f>
        <v>0</v>
      </c>
      <c r="BJ283" s="3">
        <f>SUM(BJ186:BJ188,BJ191,BJ212,BJ209)-SUM(BI186:BI188,BI191,BI212,BI209)</f>
        <v>0</v>
      </c>
      <c r="BK283" s="3">
        <f>SUM(BG283:BJ283)</f>
        <v>0</v>
      </c>
      <c r="BL283" s="3">
        <f>SUM(BL186:BL188,BL191,BL212,BL209)-SUM(BK186:BK188,BK191,BK212,BK209)</f>
        <v>0</v>
      </c>
      <c r="BM283" s="3">
        <f>SUM(BM186:BM188,BM191,BM212,BM209)-SUM(BL186:BL188,BL191,BL212,BL209)</f>
        <v>0</v>
      </c>
      <c r="BN283" s="3">
        <f>SUM(BN186:BN188,BN191,BN212,BN209)-SUM(BM186:BM188,BM191,BM212,BM209)</f>
        <v>0</v>
      </c>
      <c r="BO283" s="3">
        <f>SUM(BO186:BO188,BO191,BO212,BO209)-SUM(BN186:BN188,BN191,BN212,BN209)</f>
        <v>0</v>
      </c>
      <c r="BP283" s="3">
        <f>SUM(BL283:BO283)</f>
        <v>0</v>
      </c>
      <c r="BQ283" s="3">
        <f>SUM(BQ186:BQ188,BQ191,BQ212,BQ209)-SUM(BP186:BP188,BP191,BP212,BP209)</f>
        <v>0</v>
      </c>
      <c r="BR283" s="3">
        <f>SUM(BR186:BR188,BR191,BR212,BR209)-SUM(BQ186:BQ188,BQ191,BQ212,BQ209)</f>
        <v>0</v>
      </c>
      <c r="BS283" s="3">
        <f>SUM(BS186:BS188,BS191,BS212,BS209)-SUM(BR186:BR188,BR191,BR212,BR209)</f>
        <v>0</v>
      </c>
      <c r="BT283" s="3">
        <f>SUM(BT186:BT188,BT191,BT212,BT209)-SUM(BS186:BS188,BS191,BS212,BS209)</f>
        <v>0</v>
      </c>
      <c r="BU283" s="3">
        <f>SUM(BQ283:BT283)</f>
        <v>0</v>
      </c>
      <c r="BV283" s="3">
        <f>SUM(BV186:BV188,BV191,BV212,BV209)-SUM(BU186:BU188,BU191,BU212,BU209)</f>
        <v>0</v>
      </c>
      <c r="BW283" s="3">
        <f>SUM(BW186:BW188,BW191,BW212,BW209)-SUM(BV186:BV188,BV191,BV212,BV209)</f>
        <v>0</v>
      </c>
      <c r="BX283" s="3">
        <f>SUM(BX186:BX188,BX191,BX212,BX209)-SUM(BW186:BW188,BW191,BW212,BW209)</f>
        <v>0</v>
      </c>
      <c r="BY283" s="3">
        <f>SUM(BY186:BY188,BY191,BY212,BY209)-SUM(BX186:BX188,BX191,BX212,BX209)</f>
        <v>0</v>
      </c>
      <c r="BZ283" s="3">
        <f>SUM(BV283:BY283)</f>
        <v>0</v>
      </c>
      <c r="CA283" s="3">
        <f>SUM(CA186:CA188,CA191,CA212,CA209)-SUM(BZ186:BZ188,BZ191,BZ212,BZ209)</f>
        <v>0</v>
      </c>
      <c r="CB283" s="3">
        <f>SUM(CB186:CB188,CB191,CB212,CB209)-SUM(CA186:CA188,CA191,CA212,CA209)</f>
        <v>0</v>
      </c>
      <c r="CC283" s="3">
        <f>SUM(CC186:CC188,CC191,CC212,CC209)-SUM(CB186:CB188,CB191,CB212,CB209)</f>
        <v>0</v>
      </c>
      <c r="CD283" s="3">
        <f>SUM(CD186:CD188,CD191,CD212,CD209)-SUM(CC186:CC188,CC191,CC212,CC209)</f>
        <v>0</v>
      </c>
      <c r="CE283" s="3">
        <f>SUM(CA283:CD283)</f>
        <v>0</v>
      </c>
      <c r="CF283" s="3">
        <f>SUM(CF186:CF188,CF191,CF212,CF209)-SUM(CE186:CE188,CE191,CE212,CE209)</f>
        <v>0</v>
      </c>
      <c r="CG283" s="3">
        <f>SUM(CG186:CG188,CG191,CG212,CG209)-SUM(CF186:CF188,CF191,CF212,CF209)</f>
        <v>0</v>
      </c>
      <c r="CH283" s="3">
        <f>SUM(CH186:CH188,CH191,CH212,CH209)-SUM(CG186:CG188,CG191,CG212,CG209)</f>
        <v>0</v>
      </c>
      <c r="CI283" s="3">
        <f>SUM(CI186:CI188,CI191,CI212,CI209)-SUM(CH186:CH188,CH191,CH212,CH209)</f>
        <v>0</v>
      </c>
      <c r="CJ283" s="3">
        <f>SUM(CF283:CI283)</f>
        <v>0</v>
      </c>
      <c r="CK283" s="3">
        <f>SUM(CK186:CK188,CK191,CK212,CK209)-SUM(CJ186:CJ188,CJ191,CJ212,CJ209)</f>
        <v>0</v>
      </c>
      <c r="CL283" s="3">
        <f>SUM(CL186:CL188,CL191,CL212,CL209)-SUM(CK186:CK188,CK191,CK212,CK209)</f>
        <v>0</v>
      </c>
      <c r="CM283" s="3">
        <f>SUM(CM186:CM188,CM191,CM212,CM209)-SUM(CL186:CL188,CL191,CL212,CL209)</f>
        <v>0</v>
      </c>
      <c r="CN283" s="3">
        <f>SUM(CN186:CN188,CN191,CN212,CN209)-SUM(CM186:CM188,CM191,CM212,CM209)</f>
        <v>0</v>
      </c>
      <c r="CO283" s="3">
        <f>SUM(CK283:CN283)</f>
        <v>0</v>
      </c>
      <c r="CP283" s="3">
        <f>SUM(CP186:CP188,CP191,CP212,CP209)-SUM(CO186:CO188,CO191,CO212,CO209)</f>
        <v>0</v>
      </c>
      <c r="CQ283" s="3">
        <f>SUM(CQ186:CQ188,CQ191,CQ212,CQ209)-SUM(CP186:CP188,CP191,CP212,CP209)</f>
        <v>0</v>
      </c>
      <c r="CR283" s="3">
        <f>SUM(CR186:CR188,CR191,CR212,CR209)-SUM(CQ186:CQ188,CQ191,CQ212,CQ209)</f>
        <v>0</v>
      </c>
      <c r="CS283" s="3">
        <f>SUM(CS186:CS188,CS191,CS212,CS209)-SUM(CR186:CR188,CR191,CR212,CR209)</f>
        <v>0</v>
      </c>
      <c r="CT283" s="3">
        <f>SUM(CP283:CS283)</f>
        <v>0</v>
      </c>
      <c r="CU283" s="3">
        <f>SUM(CU186:CU188,CU191,CU212,CU209)-SUM(CT186:CT188,CT191,CT212,CT209)</f>
        <v>0</v>
      </c>
      <c r="CV283" s="3">
        <f>SUM(CV186:CV188,CV191,CV212,CV209)-SUM(CU186:CU188,CU191,CU212,CU209)</f>
        <v>0</v>
      </c>
      <c r="CW283" s="3">
        <f>SUM(CW186:CW188,CW191,CW212,CW209)-SUM(CV186:CV188,CV191,CV212,CV209)</f>
        <v>0</v>
      </c>
      <c r="CX283" s="3">
        <f>SUM(CX186:CX188,CX191,CX212,CX209)-SUM(CW186:CW188,CW191,CW212,CW209)</f>
        <v>0</v>
      </c>
      <c r="CY283" s="3">
        <f>SUM(CU283:CX283)</f>
        <v>0</v>
      </c>
      <c r="CZ283" s="3" t="n"/>
      <c r="DA283" s="3" t="n"/>
      <c r="DB283" s="3" t="n"/>
      <c r="DC283" s="3" t="n"/>
    </row>
    <row r="284">
      <c r="C284" s="26" t="inlineStr">
        <is>
          <t>Cash from financing</t>
        </is>
      </c>
      <c r="D284" s="3" t="n"/>
      <c r="E284" s="3">
        <f>SUM(E276,E277,E278,E279,E280,E281,E282,E283)</f>
        <v>-7188</v>
      </c>
      <c r="F284" s="3">
        <f>SUM(F276,F277,F278,F279,F280,F281,F282,F283)</f>
        <v>-5360</v>
      </c>
      <c r="G284" s="3">
        <f>SUM(G276,G277,G278,G279,G280,G281,G282,G283)</f>
        <v>2362</v>
      </c>
      <c r="H284" s="3">
        <f>SUM(H276,H277,H278,H279,H280,H281,H282,H283)</f>
        <v>-10186</v>
      </c>
      <c r="I284" s="3">
        <f>SUM(I276,I277,I278,I279,I280,I281,I282,I283)</f>
        <v>2102</v>
      </c>
      <c r="J284" s="3">
        <f>SUM(J276,J277,J278,J279,J280,J281,J282,J283)</f>
        <v>-3460</v>
      </c>
      <c r="K284" s="3">
        <f>SUM(K276,K277,K278,K279,K280,K281,K282,K283)</f>
        <v>-6510</v>
      </c>
      <c r="L284" s="3">
        <f>SUM(L276,L277,L278,L279,L280,L281,L282,L283)</f>
        <v>-1899</v>
      </c>
      <c r="M284" s="3">
        <f>SUM(M276,M277,M278,M279,M280,M281,M282,M283)</f>
        <v>-9767</v>
      </c>
      <c r="N284" s="3">
        <f>SUM(N276,N277,N278,N279,N280,N281,N282,N283)</f>
        <v>941</v>
      </c>
      <c r="O284" s="3">
        <f>SUM(O276,O277,O278,O279,O280,O281,O282,O283)</f>
        <v>-1337</v>
      </c>
      <c r="P284" s="3">
        <f>SUM(P276,P277,P278,P279,P280,P281,P282,P283)</f>
        <v>-7182</v>
      </c>
      <c r="Q284" s="3">
        <f>SUM(Q276,Q277,Q278,Q279,Q280,Q281,Q282,Q283)</f>
        <v>-6020</v>
      </c>
      <c r="R284" s="3">
        <f>SUM(R276,R277,R278,R279,R280,R281,R282,R283)</f>
        <v>-13598</v>
      </c>
      <c r="S284" s="3">
        <f>SUM(S276,S277,S278,S279,S280,S281,S282,S283)</f>
        <v>-5446</v>
      </c>
      <c r="T284" s="3">
        <f>SUM(T276,T277,T278,T279,T280,T281,T282,T283)</f>
        <v>-8806</v>
      </c>
      <c r="U284" s="3">
        <f>SUM(U276,U277,U278,U279,U280,U281,U282,U283)</f>
        <v>-434</v>
      </c>
      <c r="V284" s="3">
        <f>SUM(V276,V277,V278,V279,V280,V281,V282,V283)</f>
        <v>-6473</v>
      </c>
      <c r="W284" s="3">
        <f>SUM(W276,W277,W278,W279,W280,W281,W282,W283)</f>
        <v>-21159</v>
      </c>
      <c r="X284" s="3">
        <f>SUM(X276,X277,X278,X279,X280,X281,X282,X283)</f>
        <v>-6071</v>
      </c>
      <c r="Y284" s="3">
        <f>SUM(Y276,Y277,Y278,Y279,Y280,Y281,Y282,Y283)</f>
        <v>-4383</v>
      </c>
      <c r="Z284" s="3">
        <f>SUM(Z276,Z277,Z278,Z279,Z280,Z281,Z282,Z283)</f>
        <v>-4320</v>
      </c>
      <c r="AA284" s="3">
        <f>SUM(AA276,AA277,AA278,AA279,AA280,AA281,AA282,AA283)</f>
        <v>-7870</v>
      </c>
      <c r="AB284" s="3">
        <f>SUM(AB276,AB277,AB278,AB279,AB280,AB281,AB282,AB283)</f>
        <v>-22644</v>
      </c>
      <c r="AC284" s="3">
        <f>SUM(AC276,AC277,AC278,AC279,AC280,AC281,AC282,AC283)</f>
        <v>-6919</v>
      </c>
      <c r="AD284" s="3">
        <f>SUM(AD276,AD277,AD278,AD279,AD280,AD281,AD282,AD283)</f>
        <v>-3222</v>
      </c>
      <c r="AE284" s="3">
        <f>SUM(AE276,AE277,AE278,AE279,AE280,AE281,AE282,AE283)</f>
        <v>42129</v>
      </c>
      <c r="AF284" s="3">
        <f>SUM(AF276,AF277,AF278,AF279,AF280,AF281,AF282,AF283)</f>
        <v>-8883</v>
      </c>
      <c r="AG284" s="3">
        <f>SUM(AG276,AG277,AG278,AG279,AG280,AG281,AG282,AG283)</f>
        <v>23105</v>
      </c>
      <c r="AH284" s="3">
        <f>SUM(AH276,AH277,AH278,AH279,AH280,AH281,AH282,AH283)</f>
        <v>-247</v>
      </c>
      <c r="AI284" s="3">
        <f>SUM(AI276,AI277,AI278,AI279,AI280,AI281,AI282,AI283)</f>
        <v>-11454</v>
      </c>
      <c r="AJ284" s="3">
        <f>SUM(AJ276,AJ277,AJ278,AJ279,AJ280,AJ281,AJ282,AJ283)</f>
        <v>0</v>
      </c>
      <c r="AK284" s="3">
        <f>SUM(AK276,AK277,AK278,AK279,AK280,AK281,AK282,AK283)</f>
        <v>0</v>
      </c>
      <c r="AL284" s="3">
        <f>SUM(AL276,AL277,AL278,AL279,AL280,AL281,AL282,AL283)</f>
        <v>-11701</v>
      </c>
      <c r="AM284" s="3">
        <f>SUM(AM276,AM277,AM278,AM279,AM280,AM281,AM282,AM283)</f>
        <v>0</v>
      </c>
      <c r="AN284" s="3">
        <f>SUM(AN276,AN277,AN278,AN279,AN280,AN281,AN282,AN283)</f>
        <v>0</v>
      </c>
      <c r="AO284" s="3">
        <f>SUM(AO276,AO277,AO278,AO279,AO280,AO281,AO282,AO283)</f>
        <v>0</v>
      </c>
      <c r="AP284" s="3">
        <f>SUM(AP276,AP277,AP278,AP279,AP280,AP281,AP282,AP283)</f>
        <v>0</v>
      </c>
      <c r="AQ284" s="3">
        <f>SUM(AQ276,AQ277,AQ278,AQ279,AQ280,AQ281,AQ282,AQ283)</f>
        <v>0</v>
      </c>
      <c r="AR284" s="3">
        <f>SUM(AR276,AR277,AR278,AR279,AR280,AR281,AR282,AR283)</f>
        <v>0</v>
      </c>
      <c r="AS284" s="3">
        <f>SUM(AS276,AS277,AS278,AS279,AS280,AS281,AS282,AS283)</f>
        <v>0</v>
      </c>
      <c r="AT284" s="3">
        <f>SUM(AT276,AT277,AT278,AT279,AT280,AT281,AT282,AT283)</f>
        <v>0</v>
      </c>
      <c r="AU284" s="3">
        <f>SUM(AU276,AU277,AU278,AU279,AU280,AU281,AU282,AU283)</f>
        <v>0</v>
      </c>
      <c r="AV284" s="3">
        <f>SUM(AV276,AV277,AV278,AV279,AV280,AV281,AV282,AV283)</f>
        <v>0</v>
      </c>
      <c r="AW284" s="3">
        <f>SUM(AW276,AW277,AW278,AW279,AW280,AW281,AW282,AW283)</f>
        <v>0</v>
      </c>
      <c r="AX284" s="3">
        <f>SUM(AX276,AX277,AX278,AX279,AX280,AX281,AX282,AX283)</f>
        <v>0</v>
      </c>
      <c r="AY284" s="3">
        <f>SUM(AY276,AY277,AY278,AY279,AY280,AY281,AY282,AY283)</f>
        <v>0</v>
      </c>
      <c r="AZ284" s="3">
        <f>SUM(AZ276,AZ277,AZ278,AZ279,AZ280,AZ281,AZ282,AZ283)</f>
        <v>0</v>
      </c>
      <c r="BA284" s="3">
        <f>SUM(BA276,BA277,BA278,BA279,BA280,BA281,BA282,BA283)</f>
        <v>0</v>
      </c>
      <c r="BB284" s="3">
        <f>SUM(BB276,BB277,BB278,BB279,BB280,BB281,BB282,BB283)</f>
        <v>0</v>
      </c>
      <c r="BC284" s="3">
        <f>SUM(BC276,BC277,BC278,BC279,BC280,BC281,BC282,BC283)</f>
        <v>0</v>
      </c>
      <c r="BD284" s="3">
        <f>SUM(BD276,BD277,BD278,BD279,BD280,BD281,BD282,BD283)</f>
        <v>0</v>
      </c>
      <c r="BE284" s="3">
        <f>SUM(BE276,BE277,BE278,BE279,BE280,BE281,BE282,BE283)</f>
        <v>0</v>
      </c>
      <c r="BF284" s="3">
        <f>SUM(BF276,BF277,BF278,BF279,BF280,BF281,BF282,BF283)</f>
        <v>0</v>
      </c>
      <c r="BG284" s="3">
        <f>SUM(BG276,BG277,BG278,BG279,BG280,BG281,BG282,BG283)</f>
        <v>0</v>
      </c>
      <c r="BH284" s="3">
        <f>SUM(BH276,BH277,BH278,BH279,BH280,BH281,BH282,BH283)</f>
        <v>0</v>
      </c>
      <c r="BI284" s="3">
        <f>SUM(BI276,BI277,BI278,BI279,BI280,BI281,BI282,BI283)</f>
        <v>0</v>
      </c>
      <c r="BJ284" s="3">
        <f>SUM(BJ276,BJ277,BJ278,BJ279,BJ280,BJ281,BJ282,BJ283)</f>
        <v>0</v>
      </c>
      <c r="BK284" s="3">
        <f>SUM(BK276,BK277,BK278,BK279,BK280,BK281,BK282,BK283)</f>
        <v>0</v>
      </c>
      <c r="BL284" s="3">
        <f>SUM(BL276,BL277,BL278,BL279,BL280,BL281,BL282,BL283)</f>
        <v>0</v>
      </c>
      <c r="BM284" s="3">
        <f>SUM(BM276,BM277,BM278,BM279,BM280,BM281,BM282,BM283)</f>
        <v>0</v>
      </c>
      <c r="BN284" s="3">
        <f>SUM(BN276,BN277,BN278,BN279,BN280,BN281,BN282,BN283)</f>
        <v>0</v>
      </c>
      <c r="BO284" s="3">
        <f>SUM(BO276,BO277,BO278,BO279,BO280,BO281,BO282,BO283)</f>
        <v>0</v>
      </c>
      <c r="BP284" s="3">
        <f>SUM(BP276,BP277,BP278,BP279,BP280,BP281,BP282,BP283)</f>
        <v>0</v>
      </c>
      <c r="BQ284" s="3">
        <f>SUM(BQ276,BQ277,BQ278,BQ279,BQ280,BQ281,BQ282,BQ283)</f>
        <v>0</v>
      </c>
      <c r="BR284" s="3">
        <f>SUM(BR276,BR277,BR278,BR279,BR280,BR281,BR282,BR283)</f>
        <v>0</v>
      </c>
      <c r="BS284" s="3">
        <f>SUM(BS276,BS277,BS278,BS279,BS280,BS281,BS282,BS283)</f>
        <v>0</v>
      </c>
      <c r="BT284" s="3">
        <f>SUM(BT276,BT277,BT278,BT279,BT280,BT281,BT282,BT283)</f>
        <v>0</v>
      </c>
      <c r="BU284" s="3">
        <f>SUM(BU276,BU277,BU278,BU279,BU280,BU281,BU282,BU283)</f>
        <v>0</v>
      </c>
      <c r="BV284" s="3">
        <f>SUM(BV276,BV277,BV278,BV279,BV280,BV281,BV282,BV283)</f>
        <v>0</v>
      </c>
      <c r="BW284" s="3">
        <f>SUM(BW276,BW277,BW278,BW279,BW280,BW281,BW282,BW283)</f>
        <v>0</v>
      </c>
      <c r="BX284" s="3">
        <f>SUM(BX276,BX277,BX278,BX279,BX280,BX281,BX282,BX283)</f>
        <v>0</v>
      </c>
      <c r="BY284" s="3">
        <f>SUM(BY276,BY277,BY278,BY279,BY280,BY281,BY282,BY283)</f>
        <v>0</v>
      </c>
      <c r="BZ284" s="3">
        <f>SUM(BZ276,BZ277,BZ278,BZ279,BZ280,BZ281,BZ282,BZ283)</f>
        <v>0</v>
      </c>
      <c r="CA284" s="3">
        <f>SUM(CA276,CA277,CA278,CA279,CA280,CA281,CA282,CA283)</f>
        <v>0</v>
      </c>
      <c r="CB284" s="3">
        <f>SUM(CB276,CB277,CB278,CB279,CB280,CB281,CB282,CB283)</f>
        <v>0</v>
      </c>
      <c r="CC284" s="3">
        <f>SUM(CC276,CC277,CC278,CC279,CC280,CC281,CC282,CC283)</f>
        <v>0</v>
      </c>
      <c r="CD284" s="3">
        <f>SUM(CD276,CD277,CD278,CD279,CD280,CD281,CD282,CD283)</f>
        <v>0</v>
      </c>
      <c r="CE284" s="3">
        <f>SUM(CE276,CE277,CE278,CE279,CE280,CE281,CE282,CE283)</f>
        <v>0</v>
      </c>
      <c r="CF284" s="3">
        <f>SUM(CF276,CF277,CF278,CF279,CF280,CF281,CF282,CF283)</f>
        <v>0</v>
      </c>
      <c r="CG284" s="3">
        <f>SUM(CG276,CG277,CG278,CG279,CG280,CG281,CG282,CG283)</f>
        <v>0</v>
      </c>
      <c r="CH284" s="3">
        <f>SUM(CH276,CH277,CH278,CH279,CH280,CH281,CH282,CH283)</f>
        <v>0</v>
      </c>
      <c r="CI284" s="3">
        <f>SUM(CI276,CI277,CI278,CI279,CI280,CI281,CI282,CI283)</f>
        <v>0</v>
      </c>
      <c r="CJ284" s="3">
        <f>SUM(CJ276,CJ277,CJ278,CJ279,CJ280,CJ281,CJ282,CJ283)</f>
        <v>0</v>
      </c>
      <c r="CK284" s="3">
        <f>SUM(CK276,CK277,CK278,CK279,CK280,CK281,CK282,CK283)</f>
        <v>0</v>
      </c>
      <c r="CL284" s="3">
        <f>SUM(CL276,CL277,CL278,CL279,CL280,CL281,CL282,CL283)</f>
        <v>0</v>
      </c>
      <c r="CM284" s="3">
        <f>SUM(CM276,CM277,CM278,CM279,CM280,CM281,CM282,CM283)</f>
        <v>0</v>
      </c>
      <c r="CN284" s="3">
        <f>SUM(CN276,CN277,CN278,CN279,CN280,CN281,CN282,CN283)</f>
        <v>0</v>
      </c>
      <c r="CO284" s="3">
        <f>SUM(CO276,CO277,CO278,CO279,CO280,CO281,CO282,CO283)</f>
        <v>0</v>
      </c>
      <c r="CP284" s="3">
        <f>SUM(CP276,CP277,CP278,CP279,CP280,CP281,CP282,CP283)</f>
        <v>0</v>
      </c>
      <c r="CQ284" s="3">
        <f>SUM(CQ276,CQ277,CQ278,CQ279,CQ280,CQ281,CQ282,CQ283)</f>
        <v>0</v>
      </c>
      <c r="CR284" s="3">
        <f>SUM(CR276,CR277,CR278,CR279,CR280,CR281,CR282,CR283)</f>
        <v>0</v>
      </c>
      <c r="CS284" s="3">
        <f>SUM(CS276,CS277,CS278,CS279,CS280,CS281,CS282,CS283)</f>
        <v>0</v>
      </c>
      <c r="CT284" s="3">
        <f>SUM(CT276,CT277,CT278,CT279,CT280,CT281,CT282,CT283)</f>
        <v>0</v>
      </c>
      <c r="CU284" s="3">
        <f>SUM(CU276,CU277,CU278,CU279,CU280,CU281,CU282,CU283)</f>
        <v>0</v>
      </c>
      <c r="CV284" s="3">
        <f>SUM(CV276,CV277,CV278,CV279,CV280,CV281,CV282,CV283)</f>
        <v>0</v>
      </c>
      <c r="CW284" s="3">
        <f>SUM(CW276,CW277,CW278,CW279,CW280,CW281,CW282,CW283)</f>
        <v>0</v>
      </c>
      <c r="CX284" s="3">
        <f>SUM(CX276,CX277,CX278,CX279,CX280,CX281,CX282,CX283)</f>
        <v>0</v>
      </c>
      <c r="CY284" s="3">
        <f>SUM(CY276,CY277,CY278,CY279,CY280,CY281,CY282,CY283)</f>
        <v>0</v>
      </c>
    </row>
    <row r="285">
      <c r="C285" s="26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n"/>
      <c r="BE285" s="3" t="n"/>
      <c r="BF285" s="3" t="n"/>
      <c r="BG285" s="3" t="n"/>
      <c r="BH285" s="3" t="n"/>
      <c r="BI285" s="3" t="n"/>
      <c r="BJ285" s="3" t="n"/>
      <c r="BK285" s="3" t="n"/>
      <c r="BL285" s="3" t="n"/>
      <c r="BM285" s="3" t="n"/>
      <c r="BN285" s="3" t="n"/>
      <c r="BO285" s="3" t="n"/>
      <c r="BP285" s="3" t="n"/>
      <c r="BQ285" s="3" t="n"/>
      <c r="BR285" s="3" t="n"/>
      <c r="BS285" s="3" t="n"/>
      <c r="BT285" s="3" t="n"/>
      <c r="BU285" s="3" t="n"/>
      <c r="BV285" s="3" t="n"/>
      <c r="BW285" s="3" t="n"/>
      <c r="BX285" s="3" t="n"/>
      <c r="BY285" s="3" t="n"/>
      <c r="BZ285" s="3" t="n"/>
      <c r="CA285" s="3" t="n"/>
      <c r="CB285" s="3" t="n"/>
      <c r="CC285" s="3" t="n"/>
      <c r="CD285" s="3" t="n"/>
      <c r="CE285" s="3" t="n"/>
      <c r="CF285" s="3" t="n"/>
      <c r="CG285" s="3" t="n"/>
      <c r="CH285" s="3" t="n"/>
      <c r="CI285" s="3" t="n"/>
      <c r="CJ285" s="3" t="n"/>
      <c r="CK285" s="3" t="n"/>
      <c r="CL285" s="3" t="n"/>
      <c r="CM285" s="3" t="n"/>
      <c r="CN285" s="3" t="n"/>
      <c r="CO285" s="3" t="n"/>
      <c r="CP285" s="3" t="n"/>
      <c r="CQ285" s="3" t="n"/>
      <c r="CR285" s="3" t="n"/>
      <c r="CS285" s="3" t="n"/>
      <c r="CT285" s="3" t="n"/>
      <c r="CU285" s="3" t="n"/>
      <c r="CV285" s="3" t="n"/>
      <c r="CW285" s="3" t="n"/>
      <c r="CX285" s="3" t="n"/>
      <c r="CY285" s="3" t="n"/>
    </row>
    <row r="286">
      <c r="C286" s="26" t="inlineStr">
        <is>
          <t>Others</t>
        </is>
      </c>
      <c r="D286" s="3" t="n"/>
      <c r="E286" s="3" t="n"/>
      <c r="F286" s="3" t="n"/>
      <c r="G286" s="3" t="n"/>
      <c r="H286" s="3">
        <f>SUM(D286:G286)</f>
        <v>0</v>
      </c>
      <c r="I286" s="3" t="n"/>
      <c r="J286" s="3" t="n"/>
      <c r="K286" s="3" t="n"/>
      <c r="L286" s="3" t="n"/>
      <c r="M286" s="3">
        <f>SUM(I286:L286)</f>
        <v>0</v>
      </c>
      <c r="N286" s="3" t="n"/>
      <c r="O286" s="3" t="n"/>
      <c r="P286" s="3" t="n"/>
      <c r="Q286" s="3" t="n"/>
      <c r="R286" s="3">
        <f>SUM(N286:Q286)</f>
        <v>0</v>
      </c>
      <c r="S286" s="3" t="n"/>
      <c r="T286" s="3" t="n"/>
      <c r="U286" s="3" t="n"/>
      <c r="V286" s="3" t="n"/>
      <c r="W286" s="3">
        <f>SUM(S286:V286)</f>
        <v>0</v>
      </c>
      <c r="X286" s="3" t="n"/>
      <c r="Y286" s="3" t="n"/>
      <c r="Z286" s="3" t="n"/>
      <c r="AA286" s="3" t="n"/>
      <c r="AB286" s="3">
        <f>SUM(X286:AA286)</f>
        <v>0</v>
      </c>
      <c r="AC286" s="3" t="n"/>
      <c r="AD286" s="3" t="n"/>
      <c r="AE286" s="3" t="n"/>
      <c r="AF286" s="3" t="n"/>
      <c r="AG286" s="3">
        <f>SUM(AC286:AF286)</f>
        <v>0</v>
      </c>
      <c r="AH286" s="3" t="n"/>
      <c r="AI286" s="3" t="n"/>
      <c r="AJ286" s="3" t="n"/>
      <c r="AK286" s="3" t="n"/>
      <c r="AL286" s="3">
        <f>SUM(AH286:AK286)</f>
        <v>0</v>
      </c>
      <c r="AM286" s="3" t="n"/>
      <c r="AN286" s="3" t="n"/>
      <c r="AO286" s="3" t="n"/>
      <c r="AP286" s="3" t="n"/>
      <c r="AQ286" s="3">
        <f>SUM(AM286:AP286)</f>
        <v>0</v>
      </c>
      <c r="AR286" s="3" t="n"/>
      <c r="AS286" s="3" t="n"/>
      <c r="AT286" s="3" t="n"/>
      <c r="AU286" s="3" t="n"/>
      <c r="AV286" s="3">
        <f>SUM(AR286:AU286)</f>
        <v>0</v>
      </c>
      <c r="AW286" s="3" t="n"/>
      <c r="AX286" s="3" t="n"/>
      <c r="AY286" s="3" t="n"/>
      <c r="AZ286" s="3" t="n"/>
      <c r="BA286" s="3">
        <f>SUM(AW286:AZ286)</f>
        <v>0</v>
      </c>
      <c r="BB286" s="3" t="n"/>
      <c r="BC286" s="3" t="n"/>
      <c r="BD286" s="3" t="n"/>
      <c r="BE286" s="3" t="n"/>
      <c r="BF286" s="3">
        <f>SUM(BB286:BE286)</f>
        <v>0</v>
      </c>
      <c r="BG286" s="3" t="n"/>
      <c r="BH286" s="3" t="n"/>
      <c r="BI286" s="3" t="n"/>
      <c r="BJ286" s="3" t="n"/>
      <c r="BK286" s="3">
        <f>SUM(BG286:BJ286)</f>
        <v>0</v>
      </c>
      <c r="BL286" s="3" t="n"/>
      <c r="BM286" s="3" t="n"/>
      <c r="BN286" s="3" t="n"/>
      <c r="BO286" s="3" t="n"/>
      <c r="BP286" s="3">
        <f>SUM(BL286:BO286)</f>
        <v>0</v>
      </c>
      <c r="BQ286" s="3" t="n"/>
      <c r="BR286" s="3" t="n"/>
      <c r="BS286" s="3" t="n"/>
      <c r="BT286" s="3" t="n"/>
      <c r="BU286" s="3">
        <f>SUM(BQ286:BT286)</f>
        <v>0</v>
      </c>
      <c r="BV286" s="3" t="n"/>
      <c r="BW286" s="3" t="n"/>
      <c r="BX286" s="3" t="n"/>
      <c r="BY286" s="3" t="n"/>
      <c r="BZ286" s="3">
        <f>SUM(BV286:BY286)</f>
        <v>0</v>
      </c>
      <c r="CA286" s="3" t="n"/>
      <c r="CB286" s="3" t="n"/>
      <c r="CC286" s="3" t="n"/>
      <c r="CD286" s="3" t="n"/>
      <c r="CE286" s="3">
        <f>SUM(CA286:CD286)</f>
        <v>0</v>
      </c>
      <c r="CF286" s="3" t="n"/>
      <c r="CG286" s="3" t="n"/>
      <c r="CH286" s="3" t="n"/>
      <c r="CI286" s="3" t="n"/>
      <c r="CJ286" s="3">
        <f>SUM(CF286:CI286)</f>
        <v>0</v>
      </c>
      <c r="CK286" s="3" t="n"/>
      <c r="CL286" s="3" t="n"/>
      <c r="CM286" s="3" t="n"/>
      <c r="CN286" s="3" t="n"/>
      <c r="CO286" s="3">
        <f>SUM(CK286:CN286)</f>
        <v>0</v>
      </c>
      <c r="CP286" s="3" t="n"/>
      <c r="CQ286" s="3" t="n"/>
      <c r="CR286" s="3" t="n"/>
      <c r="CS286" s="3" t="n"/>
      <c r="CT286" s="3">
        <f>SUM(CP286:CS286)</f>
        <v>0</v>
      </c>
      <c r="CU286" s="3" t="n"/>
      <c r="CV286" s="3" t="n"/>
      <c r="CW286" s="3" t="n"/>
      <c r="CX286" s="3" t="n"/>
      <c r="CY286" s="3">
        <f>SUM(CU286:CX286)</f>
        <v>0</v>
      </c>
    </row>
    <row r="287">
      <c r="C287" s="26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  <c r="AY287" s="3" t="n"/>
      <c r="AZ287" s="3" t="n"/>
      <c r="BA287" s="3" t="n"/>
      <c r="BB287" s="3" t="n"/>
      <c r="BC287" s="3" t="n"/>
      <c r="BD287" s="3" t="n"/>
      <c r="BE287" s="3" t="n"/>
      <c r="BF287" s="3" t="n"/>
      <c r="BG287" s="3" t="n"/>
      <c r="BH287" s="3" t="n"/>
      <c r="BI287" s="3" t="n"/>
      <c r="BJ287" s="3" t="n"/>
      <c r="BK287" s="3" t="n"/>
      <c r="BL287" s="3" t="n"/>
      <c r="BM287" s="3" t="n"/>
      <c r="BN287" s="3" t="n"/>
      <c r="BO287" s="3" t="n"/>
      <c r="BP287" s="3" t="n"/>
      <c r="BQ287" s="3" t="n"/>
      <c r="BR287" s="3" t="n"/>
      <c r="BS287" s="3" t="n"/>
      <c r="BT287" s="3" t="n"/>
      <c r="BU287" s="3" t="n"/>
      <c r="BV287" s="3" t="n"/>
      <c r="BW287" s="3" t="n"/>
      <c r="BX287" s="3" t="n"/>
      <c r="BY287" s="3" t="n"/>
      <c r="BZ287" s="3" t="n"/>
      <c r="CA287" s="3" t="n"/>
      <c r="CB287" s="3" t="n"/>
      <c r="CC287" s="3" t="n"/>
      <c r="CD287" s="3" t="n"/>
      <c r="CE287" s="3" t="n"/>
      <c r="CF287" s="3" t="n"/>
      <c r="CG287" s="3" t="n"/>
      <c r="CH287" s="3" t="n"/>
      <c r="CI287" s="3" t="n"/>
      <c r="CJ287" s="3" t="n"/>
      <c r="CK287" s="3" t="n"/>
      <c r="CL287" s="3" t="n"/>
      <c r="CM287" s="3" t="n"/>
      <c r="CN287" s="3" t="n"/>
      <c r="CO287" s="3" t="n"/>
      <c r="CP287" s="3" t="n"/>
      <c r="CQ287" s="3" t="n"/>
      <c r="CR287" s="3" t="n"/>
      <c r="CS287" s="3" t="n"/>
      <c r="CT287" s="3" t="n"/>
      <c r="CU287" s="3" t="n"/>
      <c r="CV287" s="3" t="n"/>
      <c r="CW287" s="3" t="n"/>
      <c r="CX287" s="3" t="n"/>
      <c r="CY287" s="3" t="n"/>
    </row>
    <row r="288">
      <c r="C288" s="26" t="inlineStr">
        <is>
          <t>Total increase/decrease of cash</t>
        </is>
      </c>
      <c r="D288" s="3" t="n"/>
      <c r="E288" s="3">
        <f>SUM(E267,E274,E284,E286)</f>
        <v>9</v>
      </c>
      <c r="F288" s="3">
        <f>SUM(F267,F274,F284,F286)</f>
        <v>-31</v>
      </c>
      <c r="G288" s="3">
        <f>SUM(G267,G274,G284,G286)</f>
        <v>3</v>
      </c>
      <c r="H288" s="3">
        <f>SUM(D288:G288)</f>
        <v>-19</v>
      </c>
      <c r="I288" s="3">
        <f>SUM(I267,I274,I284,I286)</f>
        <v>1</v>
      </c>
      <c r="J288" s="3">
        <f>SUM(J267,J274,J284,J286)</f>
        <v>2</v>
      </c>
      <c r="K288" s="3">
        <f>SUM(K267,K274,K284,K286)</f>
        <v>0</v>
      </c>
      <c r="L288" s="3">
        <f>SUM(L267,L274,L284,L286)</f>
        <v>1</v>
      </c>
      <c r="M288" s="3">
        <f>SUM(I288:L288)</f>
        <v>4</v>
      </c>
      <c r="N288" s="3">
        <f>SUM(N267,N274,N284,N286)</f>
        <v>-2</v>
      </c>
      <c r="O288" s="3">
        <f>SUM(O267,O274,O284,O286)</f>
        <v>12337</v>
      </c>
      <c r="P288" s="3">
        <f>SUM(P267,P274,P284,P286)</f>
        <v>3061</v>
      </c>
      <c r="Q288" s="3">
        <f>SUM(Q267,Q274,Q284,Q286)</f>
        <v>2470</v>
      </c>
      <c r="R288" s="3">
        <f>SUM(N288:Q288)</f>
        <v>17866</v>
      </c>
      <c r="S288" s="3">
        <f>SUM(S267,S274,S284,S286)</f>
        <v>-2103</v>
      </c>
      <c r="T288" s="3">
        <f>SUM(T267,T274,T284,T286)</f>
        <v>-6188</v>
      </c>
      <c r="U288" s="3">
        <f>SUM(U267,U274,U284,U286)</f>
        <v>-3672</v>
      </c>
      <c r="V288" s="3">
        <f>SUM(V267,V274,V284,V286)</f>
        <v>2285</v>
      </c>
      <c r="W288" s="3">
        <f>SUM(S288:V288)</f>
        <v>-9678</v>
      </c>
      <c r="X288" s="3">
        <f>SUM(X267,X274,X284,X286)</f>
        <v>-1945</v>
      </c>
      <c r="Y288" s="3">
        <f>SUM(Y267,Y274,Y284,Y286)</f>
        <v>-2270</v>
      </c>
      <c r="Z288" s="3">
        <f>SUM(Z267,Z274,Z284,Z286)</f>
        <v>-4008</v>
      </c>
      <c r="AA288" s="3">
        <f>SUM(AA267,AA274,AA284,AA286)</f>
        <v>0</v>
      </c>
      <c r="AB288" s="3">
        <f>SUM(X288:AA288)</f>
        <v>-8223</v>
      </c>
      <c r="AC288" s="3">
        <f>SUM(AC267,AC274,AC284,AC286)</f>
        <v>0</v>
      </c>
      <c r="AD288" s="3">
        <f>SUM(AD267,AD274,AD284,AD286)</f>
        <v>0</v>
      </c>
      <c r="AE288" s="3">
        <f>SUM(AE267,AE274,AE284,AE286)</f>
        <v>0</v>
      </c>
      <c r="AF288" s="3">
        <f>SUM(AF267,AF274,AF284,AF286)</f>
        <v>0</v>
      </c>
      <c r="AG288" s="3">
        <f>SUM(AC288:AF288)</f>
        <v>0</v>
      </c>
      <c r="AH288" s="3">
        <f>SUM(AH267,AH274,AH284,AH286)</f>
        <v>0</v>
      </c>
      <c r="AI288" s="3">
        <f>SUM(AI267,AI274,AI284,AI286)</f>
        <v>0</v>
      </c>
      <c r="AJ288" s="3">
        <f>SUM(AJ267,AJ274,AJ284,AJ286)</f>
        <v>-12888</v>
      </c>
      <c r="AK288" s="3">
        <f>SUM(AK267,AK274,AK284,AK286)</f>
        <v>0</v>
      </c>
      <c r="AL288" s="3">
        <f>SUM(AH288:AK288)</f>
        <v>-12888</v>
      </c>
      <c r="AM288" s="3" t="e">
        <f>SUM(AM267,AM274,AM284,AM286)</f>
        <v>#DIV/0!</v>
      </c>
      <c r="AN288" s="3" t="e">
        <f>SUM(AN267,AN274,AN284,AN286)</f>
        <v>#DIV/0!</v>
      </c>
      <c r="AO288" s="3" t="e">
        <f>SUM(AO267,AO274,AO284,AO286)</f>
        <v>#DIV/0!</v>
      </c>
      <c r="AP288" s="3" t="e">
        <f>SUM(AP267,AP274,AP284,AP286)</f>
        <v>#DIV/0!</v>
      </c>
      <c r="AQ288" s="3" t="e">
        <f>SUM(AM288:AP288)</f>
        <v>#DIV/0!</v>
      </c>
      <c r="AR288" s="3" t="e">
        <f>SUM(AR267,AR274,AR284,AR286)</f>
        <v>#DIV/0!</v>
      </c>
      <c r="AS288" s="3" t="e">
        <f>SUM(AS267,AS274,AS284,AS286)</f>
        <v>#DIV/0!</v>
      </c>
      <c r="AT288" s="3" t="e">
        <f>SUM(AT267,AT274,AT284,AT286)</f>
        <v>#DIV/0!</v>
      </c>
      <c r="AU288" s="3" t="e">
        <f>SUM(AU267,AU274,AU284,AU286)</f>
        <v>#DIV/0!</v>
      </c>
      <c r="AV288" s="3" t="e">
        <f>SUM(AR288:AU288)</f>
        <v>#DIV/0!</v>
      </c>
      <c r="AW288" s="3" t="e">
        <f>SUM(AW267,AW274,AW284,AW286)</f>
        <v>#DIV/0!</v>
      </c>
      <c r="AX288" s="3" t="e">
        <f>SUM(AX267,AX274,AX284,AX286)</f>
        <v>#DIV/0!</v>
      </c>
      <c r="AY288" s="3" t="e">
        <f>SUM(AY267,AY274,AY284,AY286)</f>
        <v>#DIV/0!</v>
      </c>
      <c r="AZ288" s="3" t="e">
        <f>SUM(AZ267,AZ274,AZ284,AZ286)</f>
        <v>#DIV/0!</v>
      </c>
      <c r="BA288" s="3" t="e">
        <f>SUM(AW288:AZ288)</f>
        <v>#DIV/0!</v>
      </c>
      <c r="BB288" s="3" t="e">
        <f>SUM(BB267,BB274,BB284,BB286)</f>
        <v>#DIV/0!</v>
      </c>
      <c r="BC288" s="3" t="e">
        <f>SUM(BC267,BC274,BC284,BC286)</f>
        <v>#DIV/0!</v>
      </c>
      <c r="BD288" s="3" t="e">
        <f>SUM(BD267,BD274,BD284,BD286)</f>
        <v>#DIV/0!</v>
      </c>
      <c r="BE288" s="3" t="e">
        <f>SUM(BE267,BE274,BE284,BE286)</f>
        <v>#DIV/0!</v>
      </c>
      <c r="BF288" s="3" t="e">
        <f>SUM(BB288:BE288)</f>
        <v>#DIV/0!</v>
      </c>
      <c r="BG288" s="3" t="e">
        <f>SUM(BG267,BG274,BG284,BG286)</f>
        <v>#DIV/0!</v>
      </c>
      <c r="BH288" s="3" t="e">
        <f>SUM(BH267,BH274,BH284,BH286)</f>
        <v>#DIV/0!</v>
      </c>
      <c r="BI288" s="3" t="e">
        <f>SUM(BI267,BI274,BI284,BI286)</f>
        <v>#DIV/0!</v>
      </c>
      <c r="BJ288" s="3" t="e">
        <f>SUM(BJ267,BJ274,BJ284,BJ286)</f>
        <v>#DIV/0!</v>
      </c>
      <c r="BK288" s="3" t="e">
        <f>SUM(BG288:BJ288)</f>
        <v>#DIV/0!</v>
      </c>
      <c r="BL288" s="3" t="e">
        <f>SUM(BL267,BL274,BL284,BL286)</f>
        <v>#DIV/0!</v>
      </c>
      <c r="BM288" s="3" t="e">
        <f>SUM(BM267,BM274,BM284,BM286)</f>
        <v>#DIV/0!</v>
      </c>
      <c r="BN288" s="3" t="e">
        <f>SUM(BN267,BN274,BN284,BN286)</f>
        <v>#DIV/0!</v>
      </c>
      <c r="BO288" s="3" t="e">
        <f>SUM(BO267,BO274,BO284,BO286)</f>
        <v>#DIV/0!</v>
      </c>
      <c r="BP288" s="3" t="e">
        <f>SUM(BL288:BO288)</f>
        <v>#DIV/0!</v>
      </c>
      <c r="BQ288" s="3" t="e">
        <f>SUM(BQ267,BQ274,BQ284,BQ286)</f>
        <v>#DIV/0!</v>
      </c>
      <c r="BR288" s="3" t="e">
        <f>SUM(BR267,BR274,BR284,BR286)</f>
        <v>#DIV/0!</v>
      </c>
      <c r="BS288" s="3" t="e">
        <f>SUM(BS267,BS274,BS284,BS286)</f>
        <v>#DIV/0!</v>
      </c>
      <c r="BT288" s="3" t="e">
        <f>SUM(BT267,BT274,BT284,BT286)</f>
        <v>#DIV/0!</v>
      </c>
      <c r="BU288" s="3" t="e">
        <f>SUM(BQ288:BT288)</f>
        <v>#DIV/0!</v>
      </c>
      <c r="BV288" s="3" t="e">
        <f>SUM(BV267,BV274,BV284,BV286)</f>
        <v>#DIV/0!</v>
      </c>
      <c r="BW288" s="3" t="e">
        <f>SUM(BW267,BW274,BW284,BW286)</f>
        <v>#DIV/0!</v>
      </c>
      <c r="BX288" s="3" t="e">
        <f>SUM(BX267,BX274,BX284,BX286)</f>
        <v>#DIV/0!</v>
      </c>
      <c r="BY288" s="3" t="e">
        <f>SUM(BY267,BY274,BY284,BY286)</f>
        <v>#DIV/0!</v>
      </c>
      <c r="BZ288" s="3" t="e">
        <f>SUM(BV288:BY288)</f>
        <v>#DIV/0!</v>
      </c>
      <c r="CA288" s="3" t="e">
        <f>SUM(CA267,CA274,CA284,CA286)</f>
        <v>#DIV/0!</v>
      </c>
      <c r="CB288" s="3" t="e">
        <f>SUM(CB267,CB274,CB284,CB286)</f>
        <v>#DIV/0!</v>
      </c>
      <c r="CC288" s="3" t="e">
        <f>SUM(CC267,CC274,CC284,CC286)</f>
        <v>#DIV/0!</v>
      </c>
      <c r="CD288" s="3" t="e">
        <f>SUM(CD267,CD274,CD284,CD286)</f>
        <v>#DIV/0!</v>
      </c>
      <c r="CE288" s="3" t="e">
        <f>SUM(CA288:CD288)</f>
        <v>#DIV/0!</v>
      </c>
      <c r="CF288" s="3" t="e">
        <f>SUM(CF267,CF274,CF284,CF286)</f>
        <v>#DIV/0!</v>
      </c>
      <c r="CG288" s="3" t="e">
        <f>SUM(CG267,CG274,CG284,CG286)</f>
        <v>#DIV/0!</v>
      </c>
      <c r="CH288" s="3" t="e">
        <f>SUM(CH267,CH274,CH284,CH286)</f>
        <v>#DIV/0!</v>
      </c>
      <c r="CI288" s="3" t="e">
        <f>SUM(CI267,CI274,CI284,CI286)</f>
        <v>#DIV/0!</v>
      </c>
      <c r="CJ288" s="3" t="e">
        <f>SUM(CF288:CI288)</f>
        <v>#DIV/0!</v>
      </c>
      <c r="CK288" s="3" t="e">
        <f>SUM(CK267,CK274,CK284,CK286)</f>
        <v>#DIV/0!</v>
      </c>
      <c r="CL288" s="3" t="e">
        <f>SUM(CL267,CL274,CL284,CL286)</f>
        <v>#DIV/0!</v>
      </c>
      <c r="CM288" s="3" t="e">
        <f>SUM(CM267,CM274,CM284,CM286)</f>
        <v>#DIV/0!</v>
      </c>
      <c r="CN288" s="3" t="e">
        <f>SUM(CN267,CN274,CN284,CN286)</f>
        <v>#DIV/0!</v>
      </c>
      <c r="CO288" s="3" t="e">
        <f>SUM(CK288:CN288)</f>
        <v>#DIV/0!</v>
      </c>
      <c r="CP288" s="3" t="e">
        <f>SUM(CP267,CP274,CP284,CP286)</f>
        <v>#DIV/0!</v>
      </c>
      <c r="CQ288" s="3" t="e">
        <f>SUM(CQ267,CQ274,CQ284,CQ286)</f>
        <v>#DIV/0!</v>
      </c>
      <c r="CR288" s="3" t="e">
        <f>SUM(CR267,CR274,CR284,CR286)</f>
        <v>#DIV/0!</v>
      </c>
      <c r="CS288" s="3" t="e">
        <f>SUM(CS267,CS274,CS284,CS286)</f>
        <v>#DIV/0!</v>
      </c>
      <c r="CT288" s="3" t="e">
        <f>SUM(CP288:CS288)</f>
        <v>#DIV/0!</v>
      </c>
      <c r="CU288" s="3" t="e">
        <f>SUM(CU267,CU274,CU284,CU286)</f>
        <v>#DIV/0!</v>
      </c>
      <c r="CV288" s="3" t="e">
        <f>SUM(CV267,CV274,CV284,CV286)</f>
        <v>#DIV/0!</v>
      </c>
      <c r="CW288" s="3" t="e">
        <f>SUM(CW267,CW274,CW284,CW286)</f>
        <v>#DIV/0!</v>
      </c>
      <c r="CX288" s="3" t="e">
        <f>SUM(CX267,CX274,CX284,CX286)</f>
        <v>#DIV/0!</v>
      </c>
      <c r="CY288" s="3" t="e">
        <f>SUM(CU288:CX288)</f>
        <v>#DIV/0!</v>
      </c>
    </row>
    <row r="289">
      <c r="C289" s="4" t="inlineStr">
        <is>
          <t>Check</t>
        </is>
      </c>
      <c r="E289" s="51">
        <f>(E288)-(E118-D118)</f>
        <v>0</v>
      </c>
      <c r="F289" s="51">
        <f>(F288)-(F118-E118)</f>
        <v>0</v>
      </c>
      <c r="G289" s="51">
        <f>(G288)-(G118-F118)</f>
        <v>0</v>
      </c>
      <c r="I289" s="51">
        <f>(I288)-(I118-H118)</f>
        <v>0</v>
      </c>
      <c r="J289" s="51">
        <f>(J288)-(J118-I118)</f>
        <v>0</v>
      </c>
      <c r="K289" s="51">
        <f>(K288)-(K118-J118)</f>
        <v>0</v>
      </c>
      <c r="L289" s="51">
        <f>(L288)-(L118-K118)</f>
        <v>0</v>
      </c>
      <c r="N289" s="51">
        <f>(N288)-(N118-M118)</f>
        <v>0</v>
      </c>
      <c r="O289" s="51">
        <f>(O288)-(O118-N118)</f>
        <v>0</v>
      </c>
      <c r="P289" s="51">
        <f>(P288)-(P118-O118)</f>
        <v>0</v>
      </c>
      <c r="Q289" s="51">
        <f>(Q288)-(Q118-P118)</f>
        <v>0</v>
      </c>
      <c r="S289" s="51">
        <f>(S288)-(S118-R118)</f>
        <v>0</v>
      </c>
      <c r="T289" s="51">
        <f>(T288)-(T118-S118)</f>
        <v>0</v>
      </c>
      <c r="U289" s="51">
        <f>(U288)-(U118-T118)</f>
        <v>0</v>
      </c>
      <c r="V289" s="51">
        <f>(V288)-(V118-U118)</f>
        <v>0</v>
      </c>
      <c r="X289" s="51">
        <f>(X288)-(X118-W118)</f>
        <v>0</v>
      </c>
      <c r="Y289" s="51">
        <f>(Y288)-(Y118-X118)</f>
        <v>0</v>
      </c>
      <c r="Z289" s="51">
        <f>(Z288)-(Z118-Y118)</f>
        <v>0</v>
      </c>
      <c r="AA289" s="51">
        <f>(AA288)-(AA118-Z118)</f>
        <v>0</v>
      </c>
      <c r="AC289" s="51">
        <f>(AC288)-(AC118-AB118)</f>
        <v>0</v>
      </c>
      <c r="AD289" s="51">
        <f>(AD288)-(AD118-AC118)</f>
        <v>0</v>
      </c>
      <c r="AE289" s="51">
        <f>(AE288)-(AE118-AD118)</f>
        <v>0</v>
      </c>
      <c r="AF289" s="51">
        <f>(AF288)-(AF118-AE118)</f>
        <v>0</v>
      </c>
      <c r="AH289" s="51">
        <f>(AH288)-(AH118-AG118)</f>
        <v>0</v>
      </c>
      <c r="AI289" s="51">
        <f>(AI288)-(AI118-AH118)</f>
        <v>0</v>
      </c>
      <c r="AJ289" s="51">
        <f>(AJ288)-(AJ118-AI118)</f>
        <v>0</v>
      </c>
      <c r="AK289" s="51">
        <f>(AK288)-(AK118-AJ118)</f>
        <v>0</v>
      </c>
      <c r="AM289" s="51" t="e">
        <f>(AM288)-(AM118-AL118)</f>
        <v>#DIV/0!</v>
      </c>
      <c r="AN289" s="51" t="e">
        <f>(AN288)-(AN118-AM118)</f>
        <v>#DIV/0!</v>
      </c>
      <c r="AO289" s="51" t="e">
        <f>(AO288)-(AO118-AN118)</f>
        <v>#DIV/0!</v>
      </c>
      <c r="AP289" s="51" t="e">
        <f>(AP288)-(AP118-AO118)</f>
        <v>#DIV/0!</v>
      </c>
      <c r="AR289" s="51" t="e">
        <f>(AR288)-(AR118-AQ118)</f>
        <v>#DIV/0!</v>
      </c>
      <c r="AS289" s="51" t="e">
        <f>(AS288)-(AS118-AR118)</f>
        <v>#DIV/0!</v>
      </c>
      <c r="AT289" s="51" t="e">
        <f>(AT288)-(AT118-AS118)</f>
        <v>#DIV/0!</v>
      </c>
      <c r="AU289" s="51" t="e">
        <f>(AU288)-(AU118-AT118)</f>
        <v>#DIV/0!</v>
      </c>
      <c r="AW289" s="51" t="e">
        <f>(AW288)-(AW118-AV118)</f>
        <v>#DIV/0!</v>
      </c>
      <c r="AX289" s="51" t="e">
        <f>(AX288)-(AX118-AW118)</f>
        <v>#DIV/0!</v>
      </c>
      <c r="AY289" s="51" t="e">
        <f>(AY288)-(AY118-AX118)</f>
        <v>#DIV/0!</v>
      </c>
      <c r="AZ289" s="51" t="e">
        <f>(AZ288)-(AZ118-AY118)</f>
        <v>#DIV/0!</v>
      </c>
      <c r="BB289" s="51" t="e">
        <f>(BB288)-(BB118-BA118)</f>
        <v>#DIV/0!</v>
      </c>
      <c r="BC289" s="51" t="e">
        <f>(BC288)-(BC118-BB118)</f>
        <v>#DIV/0!</v>
      </c>
      <c r="BD289" s="51" t="e">
        <f>(BD288)-(BD118-BC118)</f>
        <v>#DIV/0!</v>
      </c>
      <c r="BE289" s="51" t="e">
        <f>(BE288)-(BE118-BD118)</f>
        <v>#DIV/0!</v>
      </c>
      <c r="BG289" s="51" t="e">
        <f>(BG288)-(BG118-BF118)</f>
        <v>#DIV/0!</v>
      </c>
      <c r="BH289" s="51" t="e">
        <f>(BH288)-(BH118-BG118)</f>
        <v>#DIV/0!</v>
      </c>
      <c r="BI289" s="51" t="e">
        <f>(BI288)-(BI118-BH118)</f>
        <v>#DIV/0!</v>
      </c>
      <c r="BJ289" s="51" t="e">
        <f>(BJ288)-(BJ118-BI118)</f>
        <v>#DIV/0!</v>
      </c>
      <c r="BL289" s="51" t="e">
        <f>(BL288)-(BL118-BK118)</f>
        <v>#DIV/0!</v>
      </c>
      <c r="BM289" s="51" t="e">
        <f>(BM288)-(BM118-BL118)</f>
        <v>#DIV/0!</v>
      </c>
      <c r="BN289" s="51" t="e">
        <f>(BN288)-(BN118-BM118)</f>
        <v>#DIV/0!</v>
      </c>
      <c r="BO289" s="51" t="e">
        <f>(BO288)-(BO118-BN118)</f>
        <v>#DIV/0!</v>
      </c>
      <c r="BQ289" s="51" t="e">
        <f>(BQ288)-(BQ118-BP118)</f>
        <v>#DIV/0!</v>
      </c>
      <c r="BR289" s="51" t="e">
        <f>(BR288)-(BR118-BQ118)</f>
        <v>#DIV/0!</v>
      </c>
      <c r="BS289" s="51" t="e">
        <f>(BS288)-(BS118-BR118)</f>
        <v>#DIV/0!</v>
      </c>
      <c r="BT289" s="51" t="e">
        <f>(BT288)-(BT118-BS118)</f>
        <v>#DIV/0!</v>
      </c>
      <c r="BV289" s="51" t="e">
        <f>(BV288)-(BV118-BU118)</f>
        <v>#DIV/0!</v>
      </c>
      <c r="BW289" s="51" t="e">
        <f>(BW288)-(BW118-BV118)</f>
        <v>#DIV/0!</v>
      </c>
      <c r="BX289" s="51" t="e">
        <f>(BX288)-(BX118-BW118)</f>
        <v>#DIV/0!</v>
      </c>
      <c r="BY289" s="51" t="e">
        <f>(BY288)-(BY118-BX118)</f>
        <v>#DIV/0!</v>
      </c>
      <c r="CA289" s="51" t="e">
        <f>(CA288)-(CA118-BZ118)</f>
        <v>#DIV/0!</v>
      </c>
      <c r="CB289" s="51" t="e">
        <f>(CB288)-(CB118-CA118)</f>
        <v>#DIV/0!</v>
      </c>
      <c r="CC289" s="51" t="e">
        <f>(CC288)-(CC118-CB118)</f>
        <v>#DIV/0!</v>
      </c>
      <c r="CD289" s="51" t="e">
        <f>(CD288)-(CD118-CC118)</f>
        <v>#DIV/0!</v>
      </c>
      <c r="CF289" s="51" t="e">
        <f>(CF288)-(CF118-CE118)</f>
        <v>#DIV/0!</v>
      </c>
      <c r="CG289" s="51" t="e">
        <f>(CG288)-(CG118-CF118)</f>
        <v>#DIV/0!</v>
      </c>
      <c r="CH289" s="51" t="e">
        <f>(CH288)-(CH118-CG118)</f>
        <v>#DIV/0!</v>
      </c>
      <c r="CI289" s="51" t="e">
        <f>(CI288)-(CI118-CH118)</f>
        <v>#DIV/0!</v>
      </c>
      <c r="CK289" s="51" t="e">
        <f>(CK288)-(CK118-CJ118)</f>
        <v>#DIV/0!</v>
      </c>
      <c r="CL289" s="51" t="e">
        <f>(CL288)-(CL118-CK118)</f>
        <v>#DIV/0!</v>
      </c>
      <c r="CM289" s="51" t="e">
        <f>(CM288)-(CM118-CL118)</f>
        <v>#DIV/0!</v>
      </c>
      <c r="CN289" s="51" t="e">
        <f>(CN288)-(CN118-CM118)</f>
        <v>#DIV/0!</v>
      </c>
      <c r="CP289" s="51" t="e">
        <f>(CP288)-(CP118-CO118)</f>
        <v>#DIV/0!</v>
      </c>
      <c r="CQ289" s="51" t="e">
        <f>(CQ288)-(CQ118-CP118)</f>
        <v>#DIV/0!</v>
      </c>
      <c r="CR289" s="51" t="e">
        <f>(CR288)-(CR118-CQ118)</f>
        <v>#DIV/0!</v>
      </c>
      <c r="CS289" s="51" t="e">
        <f>(CS288)-(CS118-CR118)</f>
        <v>#DIV/0!</v>
      </c>
      <c r="CU289" s="51" t="e">
        <f>(CU288)-(CU118-CT118)</f>
        <v>#DIV/0!</v>
      </c>
      <c r="CV289" s="51" t="e">
        <f>(CV288)-(CV118-CU118)</f>
        <v>#DIV/0!</v>
      </c>
      <c r="CW289" s="51" t="e">
        <f>(CW288)-(CW118-CV118)</f>
        <v>#DIV/0!</v>
      </c>
      <c r="CX289" s="51" t="e">
        <f>(CX288)-(CX118-CW118)</f>
        <v>#DIV/0!</v>
      </c>
    </row>
    <row r="291">
      <c r="C291" s="53" t="inlineStr">
        <is>
          <t>Ratio Analysis</t>
        </is>
      </c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  <c r="AJ291" s="53" t="n"/>
      <c r="AK291" s="53" t="n"/>
      <c r="AL291" s="53" t="n"/>
      <c r="AM291" s="53" t="n"/>
      <c r="AN291" s="53" t="n"/>
      <c r="AO291" s="53" t="n"/>
      <c r="AP291" s="53" t="n"/>
      <c r="AQ291" s="53" t="n"/>
      <c r="AR291" s="53" t="n"/>
      <c r="AS291" s="53" t="n"/>
      <c r="AT291" s="53" t="n"/>
      <c r="AU291" s="53" t="n"/>
      <c r="AV291" s="53" t="n"/>
      <c r="AW291" s="53" t="n"/>
      <c r="AX291" s="53" t="n"/>
      <c r="AY291" s="53" t="n"/>
      <c r="AZ291" s="53" t="n"/>
      <c r="BA291" s="53" t="n"/>
      <c r="BB291" s="53" t="n"/>
      <c r="BC291" s="53" t="n"/>
      <c r="BD291" s="53" t="n"/>
      <c r="BE291" s="53" t="n"/>
      <c r="BF291" s="53" t="n"/>
      <c r="BG291" s="53" t="n"/>
      <c r="BH291" s="53" t="n"/>
      <c r="BI291" s="53" t="n"/>
      <c r="BJ291" s="53" t="n"/>
      <c r="BK291" s="53" t="n"/>
      <c r="BL291" s="53" t="n"/>
      <c r="BM291" s="53" t="n"/>
      <c r="BN291" s="53" t="n"/>
      <c r="BO291" s="53" t="n"/>
      <c r="BP291" s="53" t="n"/>
      <c r="BQ291" s="53" t="n"/>
      <c r="BR291" s="53" t="n"/>
      <c r="BS291" s="53" t="n"/>
      <c r="BT291" s="53" t="n"/>
      <c r="BU291" s="53" t="n"/>
      <c r="BV291" s="53" t="n"/>
      <c r="BW291" s="53" t="n"/>
      <c r="BX291" s="53" t="n"/>
      <c r="BY291" s="53" t="n"/>
      <c r="BZ291" s="53" t="n"/>
      <c r="CA291" s="53" t="n"/>
      <c r="CB291" s="53" t="n"/>
      <c r="CC291" s="53" t="n"/>
      <c r="CD291" s="53" t="n"/>
      <c r="CE291" s="53" t="n"/>
      <c r="CF291" s="53" t="n"/>
      <c r="CG291" s="53" t="n"/>
      <c r="CH291" s="53" t="n"/>
      <c r="CI291" s="53" t="n"/>
      <c r="CJ291" s="53" t="n"/>
      <c r="CK291" s="53" t="n"/>
      <c r="CL291" s="53" t="n"/>
      <c r="CM291" s="53" t="n"/>
      <c r="CN291" s="53" t="n"/>
      <c r="CO291" s="53" t="n"/>
      <c r="CP291" s="53" t="n"/>
      <c r="CQ291" s="53" t="n"/>
      <c r="CR291" s="53" t="n"/>
      <c r="CS291" s="53" t="n"/>
      <c r="CT291" s="53" t="n"/>
      <c r="CU291" s="53" t="n"/>
      <c r="CV291" s="53" t="n"/>
      <c r="CW291" s="53" t="n"/>
      <c r="CX291" s="53" t="n"/>
      <c r="CY291" s="53" t="n"/>
    </row>
    <row r="293" customFormat="1" s="234">
      <c r="C293" s="234" t="inlineStr">
        <is>
          <t>YEAR</t>
        </is>
      </c>
      <c r="D293" s="234" t="str">
        <f>D249</f>
        <v>1Q20</v>
      </c>
      <c r="E293" s="235" t="str">
        <f>E249</f>
        <v>2Q20</v>
      </c>
      <c r="F293" s="235" t="str">
        <f>F249</f>
        <v>3Q20</v>
      </c>
      <c r="G293" s="235" t="str">
        <f>G249</f>
        <v>4Q20</v>
      </c>
      <c r="H293" s="235">
        <f>H249</f>
        <v>2020</v>
      </c>
      <c r="I293" s="235" t="str">
        <f>I249</f>
        <v>1Q21</v>
      </c>
      <c r="J293" s="235" t="str">
        <f>J249</f>
        <v>2Q21</v>
      </c>
      <c r="K293" s="235" t="str">
        <f>K249</f>
        <v>3Q21</v>
      </c>
      <c r="L293" s="235" t="str">
        <f>L249</f>
        <v>4Q21</v>
      </c>
      <c r="M293" s="235">
        <f>M249</f>
        <v>2021</v>
      </c>
      <c r="N293" s="235" t="str">
        <f>N249</f>
        <v>1Q22</v>
      </c>
      <c r="O293" s="235" t="str">
        <f>O249</f>
        <v>2Q22</v>
      </c>
      <c r="P293" s="235" t="str">
        <f>P249</f>
        <v>3Q22</v>
      </c>
      <c r="Q293" s="235" t="str">
        <f>Q249</f>
        <v>4Q22</v>
      </c>
      <c r="R293" s="235">
        <f>R249</f>
        <v>2022</v>
      </c>
      <c r="S293" s="235" t="str">
        <f>S249</f>
        <v>1Q23</v>
      </c>
      <c r="T293" s="235" t="str">
        <f>T249</f>
        <v>2Q23</v>
      </c>
      <c r="U293" s="235" t="str">
        <f>U249</f>
        <v>3Q23</v>
      </c>
      <c r="V293" s="235" t="str">
        <f>V249</f>
        <v>4Q23</v>
      </c>
      <c r="W293" s="235">
        <f>W249</f>
        <v>2023</v>
      </c>
      <c r="X293" s="235" t="str">
        <f>X249</f>
        <v>1Q24</v>
      </c>
      <c r="Y293" s="235" t="str">
        <f>Y249</f>
        <v>2Q24</v>
      </c>
      <c r="Z293" s="235" t="str">
        <f>Z249</f>
        <v>3Q24</v>
      </c>
      <c r="AA293" s="235" t="str">
        <f>AA249</f>
        <v>4Q24</v>
      </c>
      <c r="AB293" s="235">
        <f>AB249</f>
        <v>2024</v>
      </c>
      <c r="AC293" s="235" t="str">
        <f>AC249</f>
        <v>1Q25</v>
      </c>
      <c r="AD293" s="235" t="str">
        <f>AD249</f>
        <v>2Q25</v>
      </c>
      <c r="AE293" s="235" t="str">
        <f>AE249</f>
        <v>3Q25</v>
      </c>
      <c r="AF293" s="235" t="str">
        <f>AF249</f>
        <v>4Q25</v>
      </c>
      <c r="AG293" s="235">
        <f>AG249</f>
        <v>2025</v>
      </c>
      <c r="AH293" s="235" t="str">
        <f>AH249</f>
        <v>1Q26</v>
      </c>
      <c r="AI293" s="235" t="str">
        <f>AI249</f>
        <v>2Q26</v>
      </c>
      <c r="AJ293" s="235" t="str">
        <f>AJ249</f>
        <v>3Q26</v>
      </c>
      <c r="AK293" s="235" t="str">
        <f>AK249</f>
        <v>4Q26</v>
      </c>
      <c r="AL293" s="235">
        <f>AL249</f>
        <v>2026</v>
      </c>
      <c r="AM293" s="235" t="str">
        <f>AM249</f>
        <v>1Q27</v>
      </c>
      <c r="AN293" s="235" t="str">
        <f>AN249</f>
        <v>2Q27</v>
      </c>
      <c r="AO293" s="235" t="str">
        <f>AO249</f>
        <v>3Q27</v>
      </c>
      <c r="AP293" s="235" t="str">
        <f>AP249</f>
        <v>4Q27</v>
      </c>
      <c r="AQ293" s="235">
        <f>AQ249</f>
        <v>2027</v>
      </c>
      <c r="AR293" s="235" t="str">
        <f>AR249</f>
        <v>1Q28</v>
      </c>
      <c r="AS293" s="235" t="str">
        <f>AS249</f>
        <v>2Q28</v>
      </c>
      <c r="AT293" s="235" t="str">
        <f>AT249</f>
        <v>3Q28</v>
      </c>
      <c r="AU293" s="235" t="str">
        <f>AU249</f>
        <v>4Q28</v>
      </c>
      <c r="AV293" s="235">
        <f>AV249</f>
        <v>2028</v>
      </c>
      <c r="AW293" s="235" t="str">
        <f>AW249</f>
        <v>1Q29</v>
      </c>
      <c r="AX293" s="235" t="str">
        <f>AX249</f>
        <v>2Q29</v>
      </c>
      <c r="AY293" s="235" t="str">
        <f>AY249</f>
        <v>3Q29</v>
      </c>
      <c r="AZ293" s="235" t="str">
        <f>AZ249</f>
        <v>4Q29</v>
      </c>
      <c r="BA293" s="235">
        <f>BA249</f>
        <v>2029</v>
      </c>
      <c r="BB293" s="235" t="str">
        <f>BB249</f>
        <v>1Q30</v>
      </c>
      <c r="BC293" s="235" t="str">
        <f>BC249</f>
        <v>2Q30</v>
      </c>
      <c r="BD293" s="235" t="str">
        <f>BD249</f>
        <v>3Q30</v>
      </c>
      <c r="BE293" s="235" t="str">
        <f>BE249</f>
        <v>4Q30</v>
      </c>
      <c r="BF293" s="235">
        <f>BF249</f>
        <v>2030</v>
      </c>
      <c r="BG293" s="235" t="str">
        <f>BG249</f>
        <v>1Q31</v>
      </c>
      <c r="BH293" s="235" t="str">
        <f>BH249</f>
        <v>2Q31</v>
      </c>
      <c r="BI293" s="235" t="str">
        <f>BI249</f>
        <v>3Q31</v>
      </c>
      <c r="BJ293" s="235" t="str">
        <f>BJ249</f>
        <v>4Q31</v>
      </c>
      <c r="BK293" s="235">
        <f>BK249</f>
        <v>2031</v>
      </c>
      <c r="BL293" s="235" t="str">
        <f>BL249</f>
        <v>1Q32</v>
      </c>
      <c r="BM293" s="235" t="str">
        <f>BM249</f>
        <v>2Q32</v>
      </c>
      <c r="BN293" s="235" t="str">
        <f>BN249</f>
        <v>3Q32</v>
      </c>
      <c r="BO293" s="235" t="str">
        <f>BO249</f>
        <v>4Q32</v>
      </c>
      <c r="BP293" s="235">
        <f>BP249</f>
        <v>2032</v>
      </c>
      <c r="BQ293" s="235" t="str">
        <f>BQ249</f>
        <v>1Q33</v>
      </c>
      <c r="BR293" s="235" t="str">
        <f>BR249</f>
        <v>2Q33</v>
      </c>
      <c r="BS293" s="235" t="str">
        <f>BS249</f>
        <v>3Q33</v>
      </c>
      <c r="BT293" s="235" t="str">
        <f>BT249</f>
        <v>4Q33</v>
      </c>
      <c r="BU293" s="235">
        <f>BU249</f>
        <v>2033</v>
      </c>
      <c r="BV293" s="235" t="str">
        <f>BV249</f>
        <v>1Q34</v>
      </c>
      <c r="BW293" s="235" t="str">
        <f>BW249</f>
        <v>2Q34</v>
      </c>
      <c r="BX293" s="235" t="str">
        <f>BX249</f>
        <v>3Q34</v>
      </c>
      <c r="BY293" s="235" t="str">
        <f>BY249</f>
        <v>4Q34</v>
      </c>
      <c r="BZ293" s="235">
        <f>BZ249</f>
        <v>2034</v>
      </c>
      <c r="CA293" s="235" t="str">
        <f>CA249</f>
        <v>1Q35</v>
      </c>
      <c r="CB293" s="235" t="str">
        <f>CB249</f>
        <v>2Q35</v>
      </c>
      <c r="CC293" s="235" t="str">
        <f>CC249</f>
        <v>3Q35</v>
      </c>
      <c r="CD293" s="235" t="str">
        <f>CD249</f>
        <v>4Q35</v>
      </c>
      <c r="CE293" s="235">
        <f>CE249</f>
        <v>2035</v>
      </c>
      <c r="CF293" s="235" t="str">
        <f>CF249</f>
        <v>1Q36</v>
      </c>
      <c r="CG293" s="235" t="str">
        <f>CG249</f>
        <v>2Q36</v>
      </c>
      <c r="CH293" s="235" t="str">
        <f>CH249</f>
        <v>3Q36</v>
      </c>
      <c r="CI293" s="235" t="str">
        <f>CI249</f>
        <v>4Q36</v>
      </c>
      <c r="CJ293" s="235">
        <f>CJ249</f>
        <v>2036</v>
      </c>
      <c r="CK293" s="235" t="str">
        <f>CK249</f>
        <v>1Q37</v>
      </c>
      <c r="CL293" s="235" t="str">
        <f>CL249</f>
        <v>2Q37</v>
      </c>
      <c r="CM293" s="235" t="str">
        <f>CM249</f>
        <v>3Q37</v>
      </c>
      <c r="CN293" s="235" t="str">
        <f>CN249</f>
        <v>4Q37</v>
      </c>
      <c r="CO293" s="235">
        <f>CO249</f>
        <v>2037</v>
      </c>
      <c r="CP293" s="235" t="str">
        <f>CP249</f>
        <v>1Q38</v>
      </c>
      <c r="CQ293" s="235" t="str">
        <f>CQ249</f>
        <v>2Q38</v>
      </c>
      <c r="CR293" s="235" t="str">
        <f>CR249</f>
        <v>3Q38</v>
      </c>
      <c r="CS293" s="235" t="str">
        <f>CS249</f>
        <v>4Q38</v>
      </c>
      <c r="CT293" s="235">
        <f>CT249</f>
        <v>2038</v>
      </c>
      <c r="CU293" s="235" t="str">
        <f>CU249</f>
        <v>1Q39</v>
      </c>
      <c r="CV293" s="235" t="str">
        <f>CV249</f>
        <v>2Q39</v>
      </c>
      <c r="CW293" s="235" t="str">
        <f>CW249</f>
        <v>3Q39</v>
      </c>
      <c r="CX293" s="235" t="str">
        <f>CX249</f>
        <v>4Q39</v>
      </c>
      <c r="CY293" s="235">
        <f>CY249</f>
        <v>2039</v>
      </c>
    </row>
    <row r="294" customFormat="1" s="233">
      <c r="A294" s="224" t="n"/>
      <c r="B294" s="224" t="n"/>
      <c r="C294" s="234" t="inlineStr">
        <is>
          <t>GROWTH &amp; MARGINS</t>
        </is>
      </c>
    </row>
    <row r="295" customFormat="1" s="233">
      <c r="A295" s="224" t="n"/>
      <c r="B295" s="224" t="n"/>
      <c r="C295" s="233" t="inlineStr">
        <is>
          <t>NET REVENUE GROWTH</t>
        </is>
      </c>
      <c r="E295" s="236">
        <f>E15/D15-1</f>
        <v>-0.571632646582648</v>
      </c>
      <c r="F295" s="236">
        <f>F15/E15-1</f>
        <v>0.811990514302653</v>
      </c>
      <c r="G295" s="236">
        <f>G15/F15-1</f>
        <v>0.0325140076070509</v>
      </c>
      <c r="H295" s="236" t="n"/>
      <c r="I295" s="220">
        <f>I15/H15-1</f>
        <v>-0.66175600895535</v>
      </c>
      <c r="J295" s="220">
        <f>J15/I15-1</f>
        <v>0.173842455274907</v>
      </c>
      <c r="K295" s="220">
        <f>K15/J15-1</f>
        <v>0.189190626911722</v>
      </c>
      <c r="L295" s="220">
        <f>L15/K15-1</f>
        <v>0.0764705882352941</v>
      </c>
      <c r="M295" s="236" t="n"/>
      <c r="N295" s="220">
        <f>N15/M15-1</f>
        <v>-0.665324839196135</v>
      </c>
      <c r="O295" s="220">
        <f>O15/N15-1</f>
        <v>0.264635021058246</v>
      </c>
      <c r="P295" s="220">
        <f>P15/O15-1</f>
        <v>-0.0308018963962654</v>
      </c>
      <c r="Q295" s="220">
        <f>Q15/P15-1</f>
        <v>-0.152616889742512</v>
      </c>
      <c r="R295" s="236" t="n"/>
      <c r="S295" s="220">
        <f>S15/R15-1</f>
        <v>-0.793735685395449</v>
      </c>
      <c r="T295" s="220">
        <f>T15/S15-1</f>
        <v>-0.0373476660169708</v>
      </c>
      <c r="U295" s="220">
        <f>U15/T15-1</f>
        <v>0.106020942408377</v>
      </c>
      <c r="V295" s="220">
        <f>V15/U15-1</f>
        <v>-0.12758875739645</v>
      </c>
      <c r="W295" s="236" t="n"/>
      <c r="X295" s="220">
        <f>X15/W15-1</f>
        <v>-0.757570328789892</v>
      </c>
      <c r="Y295" s="220">
        <f>Y15/X15-1</f>
        <v>0.0505993923967485</v>
      </c>
      <c r="Z295" s="220">
        <f>Z15/Y15-1</f>
        <v>-0.010003712315117</v>
      </c>
      <c r="AA295" s="220">
        <f>AA15/Z15-1</f>
        <v>0.0307288480135783</v>
      </c>
      <c r="AB295" s="236" t="n"/>
      <c r="AC295" s="220">
        <f>AC15/AB15-1</f>
        <v>-0.765227425144976</v>
      </c>
      <c r="AD295" s="220">
        <f>AD15/AC15-1</f>
        <v>-0.0585591262339844</v>
      </c>
      <c r="AE295" s="220">
        <f>AE15/AD15-1</f>
        <v>0.109410557315604</v>
      </c>
      <c r="AF295" s="220">
        <f>AF15/AE15-1</f>
        <v>-0.0573744117765355</v>
      </c>
      <c r="AG295" s="236" t="n"/>
      <c r="AH295" s="220">
        <f>AH15/AG15-1</f>
        <v>-0.742862281847951</v>
      </c>
      <c r="AI295" s="220">
        <f>AI15/AH15-1</f>
        <v>0.441253317423416</v>
      </c>
      <c r="AJ295" s="220">
        <f>AJ15/AI15-1</f>
        <v>-0.290186282206838</v>
      </c>
      <c r="AK295" s="220">
        <f>AK15/AJ15-1</f>
        <v>-0.0573744117765355</v>
      </c>
      <c r="AL295" s="236" t="n"/>
      <c r="AM295" s="220">
        <f>AM15/AL15-1</f>
        <v>-0.774195046943013</v>
      </c>
      <c r="AN295" s="220">
        <f>AN15/AM15-1</f>
        <v>0.441253317423416</v>
      </c>
      <c r="AO295" s="220">
        <f>AO15/AN15-1</f>
        <v>-0.290186282206838</v>
      </c>
      <c r="AP295" s="220">
        <f>AP15/AO15-1</f>
        <v>-0.0573744117765355</v>
      </c>
      <c r="AQ295" s="236" t="n"/>
      <c r="AR295" s="220">
        <f>AR15/AQ15-1</f>
        <v>-0.774195046943013</v>
      </c>
      <c r="AS295" s="220">
        <f>AS15/AR15-1</f>
        <v>0.441253317423416</v>
      </c>
      <c r="AT295" s="220">
        <f>AT15/AS15-1</f>
        <v>-0.290186282206838</v>
      </c>
      <c r="AU295" s="220">
        <f>AU15/AT15-1</f>
        <v>-0.0573744117765355</v>
      </c>
      <c r="AV295" s="236" t="n"/>
      <c r="AW295" s="220">
        <f>AW15/AV15-1</f>
        <v>-0.774195046943013</v>
      </c>
      <c r="AX295" s="220">
        <f>AX15/AW15-1</f>
        <v>0.441253317423416</v>
      </c>
      <c r="AY295" s="220">
        <f>AY15/AX15-1</f>
        <v>-0.290186282206838</v>
      </c>
      <c r="AZ295" s="220">
        <f>AZ15/AY15-1</f>
        <v>-0.0573744117765355</v>
      </c>
      <c r="BA295" s="236" t="n"/>
      <c r="BB295" s="220">
        <f>BB15/BA15-1</f>
        <v>-0.774195046943013</v>
      </c>
      <c r="BC295" s="220">
        <f>BC15/BB15-1</f>
        <v>0.441253317423416</v>
      </c>
      <c r="BD295" s="220">
        <f>BD15/BC15-1</f>
        <v>-0.290186282206838</v>
      </c>
      <c r="BE295" s="220">
        <f>BE15/BD15-1</f>
        <v>-0.0573744117765355</v>
      </c>
      <c r="BF295" s="236" t="n"/>
      <c r="BG295" s="220">
        <f>BG15/BF15-1</f>
        <v>-0.774195046943013</v>
      </c>
      <c r="BH295" s="220">
        <f>BH15/BG15-1</f>
        <v>0.441253317423416</v>
      </c>
      <c r="BI295" s="220">
        <f>BI15/BH15-1</f>
        <v>-0.290186282206838</v>
      </c>
      <c r="BJ295" s="220">
        <f>BJ15/BI15-1</f>
        <v>-0.0573744117765355</v>
      </c>
      <c r="BK295" s="236" t="n"/>
      <c r="BL295" s="220">
        <f>BL15/BK15-1</f>
        <v>-0.774195046943013</v>
      </c>
      <c r="BM295" s="220">
        <f>BM15/BL15-1</f>
        <v>0.441253317423416</v>
      </c>
      <c r="BN295" s="220">
        <f>BN15/BM15-1</f>
        <v>-0.290186282206838</v>
      </c>
      <c r="BO295" s="220">
        <f>BO15/BN15-1</f>
        <v>-0.0573744117765355</v>
      </c>
      <c r="BP295" s="236" t="n"/>
      <c r="BQ295" s="220">
        <f>BQ15/BP15-1</f>
        <v>-0.774195046943013</v>
      </c>
      <c r="BR295" s="220">
        <f>BR15/BQ15-1</f>
        <v>0.441253317423416</v>
      </c>
      <c r="BS295" s="220">
        <f>BS15/BR15-1</f>
        <v>-0.290186282206838</v>
      </c>
      <c r="BT295" s="220">
        <f>BT15/BS15-1</f>
        <v>-0.0573744117765355</v>
      </c>
      <c r="BU295" s="236" t="n"/>
      <c r="BV295" s="220">
        <f>BV15/BU15-1</f>
        <v>-0.774195046943013</v>
      </c>
      <c r="BW295" s="220">
        <f>BW15/BV15-1</f>
        <v>0.441253317423416</v>
      </c>
      <c r="BX295" s="220">
        <f>BX15/BW15-1</f>
        <v>-0.290186282206838</v>
      </c>
      <c r="BY295" s="220">
        <f>BY15/BX15-1</f>
        <v>-0.0573744117765355</v>
      </c>
      <c r="BZ295" s="236" t="n"/>
      <c r="CA295" s="220">
        <f>CA15/BZ15-1</f>
        <v>-0.774195046943013</v>
      </c>
      <c r="CB295" s="220">
        <f>CB15/CA15-1</f>
        <v>0.441253317423416</v>
      </c>
      <c r="CC295" s="220">
        <f>CC15/CB15-1</f>
        <v>-0.290186282206838</v>
      </c>
      <c r="CD295" s="220">
        <f>CD15/CC15-1</f>
        <v>-0.0573744117765355</v>
      </c>
      <c r="CE295" s="236" t="n"/>
      <c r="CF295" s="220">
        <f>CF15/CE15-1</f>
        <v>-0.774195046943013</v>
      </c>
      <c r="CG295" s="220">
        <f>CG15/CF15-1</f>
        <v>0.441253317423416</v>
      </c>
      <c r="CH295" s="220">
        <f>CH15/CG15-1</f>
        <v>-0.290186282206838</v>
      </c>
      <c r="CI295" s="220">
        <f>CI15/CH15-1</f>
        <v>-0.0573744117765355</v>
      </c>
      <c r="CJ295" s="236" t="n"/>
      <c r="CK295" s="220">
        <f>CK15/CJ15-1</f>
        <v>-0.774195046943013</v>
      </c>
      <c r="CL295" s="220">
        <f>CL15/CK15-1</f>
        <v>0.441253317423416</v>
      </c>
      <c r="CM295" s="220">
        <f>CM15/CL15-1</f>
        <v>-0.290186282206838</v>
      </c>
      <c r="CN295" s="220">
        <f>CN15/CM15-1</f>
        <v>-0.0573744117765355</v>
      </c>
      <c r="CO295" s="236" t="n"/>
      <c r="CP295" s="220">
        <f>CP15/CO15-1</f>
        <v>-0.774195046943013</v>
      </c>
      <c r="CQ295" s="220">
        <f>CQ15/CP15-1</f>
        <v>0.441253317423416</v>
      </c>
      <c r="CR295" s="220">
        <f>CR15/CQ15-1</f>
        <v>-0.290186282206838</v>
      </c>
      <c r="CS295" s="220">
        <f>CS15/CR15-1</f>
        <v>-0.0573744117765355</v>
      </c>
      <c r="CT295" s="236" t="n"/>
      <c r="CU295" s="220">
        <f>CU15/CT15-1</f>
        <v>-0.774195046943013</v>
      </c>
      <c r="CV295" s="220">
        <f>CV15/CU15-1</f>
        <v>0.441253317423416</v>
      </c>
      <c r="CW295" s="220">
        <f>CW15/CV15-1</f>
        <v>-0.290186282206838</v>
      </c>
      <c r="CX295" s="220">
        <f>CX15/CW15-1</f>
        <v>-0.0573744117765355</v>
      </c>
      <c r="CY295" s="236" t="n"/>
    </row>
    <row r="296" customFormat="1" s="233">
      <c r="A296" s="224" t="n"/>
      <c r="B296" s="224" t="n"/>
      <c r="C296" s="233" t="inlineStr">
        <is>
          <t>GROSS MARGIN</t>
        </is>
      </c>
      <c r="D296" s="220">
        <f>SUM(D15,D28)/D15</f>
        <v>0.50766642328815</v>
      </c>
      <c r="E296" s="220">
        <f>SUM(E15,E28)/E15</f>
        <v>0.396472506299096</v>
      </c>
      <c r="F296" s="220">
        <f>SUM(F15,F28)/F15</f>
        <v>0.450002044906139</v>
      </c>
      <c r="G296" s="220">
        <f>SUM(G15,G28)/G15</f>
        <v>0.469737780242415</v>
      </c>
      <c r="I296" s="221">
        <f>SUM(I15,I28)/I15</f>
        <v>0.451497080770552</v>
      </c>
      <c r="J296" s="221">
        <f>SUM(J15,J28)/J15</f>
        <v>0.451312604729101</v>
      </c>
      <c r="K296" s="221">
        <f>SUM(K15,K28)/K15</f>
        <v>0.466920152091255</v>
      </c>
      <c r="L296" s="221">
        <f>SUM(L15,L28)/L15</f>
        <v>0.431922541503044</v>
      </c>
      <c r="N296" s="221">
        <f>SUM(N15,N28)/N15</f>
        <v>0.385522226104868</v>
      </c>
      <c r="O296" s="221">
        <f>SUM(O15,O28)/O15</f>
        <v>0.408335999534627</v>
      </c>
      <c r="P296" s="221">
        <f>SUM(P15,P28)/P15</f>
        <v>0.418537302682912</v>
      </c>
      <c r="Q296" s="221">
        <f>SUM(Q15,Q28)/Q15</f>
        <v>0.423264214757495</v>
      </c>
      <c r="S296" s="221">
        <f>SUM(S15,S28)/S15</f>
        <v>0.421042269604079</v>
      </c>
      <c r="T296" s="221">
        <f>SUM(T15,T28)/T15</f>
        <v>0.40723167539267</v>
      </c>
      <c r="U296" s="221">
        <f>SUM(U15,U28)/U15</f>
        <v>0.402218934911243</v>
      </c>
      <c r="V296" s="221">
        <f>SUM(V15,V28)/V15</f>
        <v>0.396417973717677</v>
      </c>
      <c r="X296" s="221">
        <f>SUM(X15,X28)/X15</f>
        <v>0.430556695952049</v>
      </c>
      <c r="Y296" s="221">
        <f>SUM(Y15,Y28)/Y15</f>
        <v>0.396905101502511</v>
      </c>
      <c r="Z296" s="221">
        <f>SUM(Z15,Z28)/Z15</f>
        <v>0.399040833645819</v>
      </c>
      <c r="AA296" s="221">
        <f>SUM(AA15,AA28)/AA15</f>
        <v>0.422739631601118</v>
      </c>
      <c r="AC296" s="221">
        <f>SUM(AC15,AC28)/AC15</f>
        <v>0.399075824406637</v>
      </c>
      <c r="AD296" s="221">
        <f>SUM(AD15,AD28)/AD15</f>
        <v>0.40078532863326</v>
      </c>
      <c r="AE296" s="221">
        <f>SUM(AE15,AE28)/AE15</f>
        <v>0.449020633069219</v>
      </c>
      <c r="AF296" s="221">
        <f>SUM(AF15,AF28)/AF15</f>
        <v>0.459219593369317</v>
      </c>
      <c r="AH296" s="221">
        <f>SUM(AH15,AH28)/AH15</f>
        <v>0.41849939309153</v>
      </c>
      <c r="AI296" s="221">
        <f>SUM(AI15,AI28)/AI15</f>
        <v>0.477453429448291</v>
      </c>
      <c r="AJ296" s="221">
        <f>SUM(AJ15,AJ28)/AJ15</f>
        <v>0</v>
      </c>
      <c r="AK296" s="221">
        <f>SUM(AK15,AK28)/AK15</f>
        <v>0</v>
      </c>
      <c r="AM296" s="221">
        <f>SUM(AM15,AM28)/AM15</f>
        <v>0</v>
      </c>
      <c r="AN296" s="221">
        <f>SUM(AN15,AN28)/AN15</f>
        <v>0</v>
      </c>
      <c r="AO296" s="221">
        <f>SUM(AO15,AO28)/AO15</f>
        <v>0</v>
      </c>
      <c r="AP296" s="221">
        <f>SUM(AP15,AP28)/AP15</f>
        <v>0</v>
      </c>
      <c r="AR296" s="221">
        <f>SUM(AR15,AR28)/AR15</f>
        <v>0</v>
      </c>
      <c r="AS296" s="221">
        <f>SUM(AS15,AS28)/AS15</f>
        <v>0</v>
      </c>
      <c r="AT296" s="221">
        <f>SUM(AT15,AT28)/AT15</f>
        <v>0</v>
      </c>
      <c r="AU296" s="221">
        <f>SUM(AU15,AU28)/AU15</f>
        <v>0</v>
      </c>
      <c r="AW296" s="221">
        <f>SUM(AW15,AW28)/AW15</f>
        <v>0</v>
      </c>
      <c r="AX296" s="221">
        <f>SUM(AX15,AX28)/AX15</f>
        <v>0</v>
      </c>
      <c r="AY296" s="221">
        <f>SUM(AY15,AY28)/AY15</f>
        <v>0</v>
      </c>
      <c r="AZ296" s="221">
        <f>SUM(AZ15,AZ28)/AZ15</f>
        <v>0</v>
      </c>
      <c r="BB296" s="221">
        <f>SUM(BB15,BB28)/BB15</f>
        <v>0</v>
      </c>
      <c r="BC296" s="221">
        <f>SUM(BC15,BC28)/BC15</f>
        <v>0</v>
      </c>
      <c r="BD296" s="221">
        <f>SUM(BD15,BD28)/BD15</f>
        <v>0</v>
      </c>
      <c r="BE296" s="221">
        <f>SUM(BE15,BE28)/BE15</f>
        <v>0</v>
      </c>
      <c r="BG296" s="221">
        <f>SUM(BG15,BG28)/BG15</f>
        <v>0</v>
      </c>
      <c r="BH296" s="221">
        <f>SUM(BH15,BH28)/BH15</f>
        <v>0</v>
      </c>
      <c r="BI296" s="221">
        <f>SUM(BI15,BI28)/BI15</f>
        <v>0</v>
      </c>
      <c r="BJ296" s="221">
        <f>SUM(BJ15,BJ28)/BJ15</f>
        <v>0</v>
      </c>
      <c r="BL296" s="221">
        <f>SUM(BL15,BL28)/BL15</f>
        <v>0</v>
      </c>
      <c r="BM296" s="221">
        <f>SUM(BM15,BM28)/BM15</f>
        <v>0</v>
      </c>
      <c r="BN296" s="221">
        <f>SUM(BN15,BN28)/BN15</f>
        <v>0</v>
      </c>
      <c r="BO296" s="221">
        <f>SUM(BO15,BO28)/BO15</f>
        <v>0</v>
      </c>
      <c r="BQ296" s="221">
        <f>SUM(BQ15,BQ28)/BQ15</f>
        <v>0</v>
      </c>
      <c r="BR296" s="221">
        <f>SUM(BR15,BR28)/BR15</f>
        <v>0</v>
      </c>
      <c r="BS296" s="221">
        <f>SUM(BS15,BS28)/BS15</f>
        <v>0</v>
      </c>
      <c r="BT296" s="221">
        <f>SUM(BT15,BT28)/BT15</f>
        <v>0</v>
      </c>
      <c r="BV296" s="221">
        <f>SUM(BV15,BV28)/BV15</f>
        <v>0</v>
      </c>
      <c r="BW296" s="221">
        <f>SUM(BW15,BW28)/BW15</f>
        <v>0</v>
      </c>
      <c r="BX296" s="221">
        <f>SUM(BX15,BX28)/BX15</f>
        <v>0</v>
      </c>
      <c r="BY296" s="221">
        <f>SUM(BY15,BY28)/BY15</f>
        <v>0</v>
      </c>
      <c r="CA296" s="221">
        <f>SUM(CA15,CA28)/CA15</f>
        <v>0</v>
      </c>
      <c r="CB296" s="221">
        <f>SUM(CB15,CB28)/CB15</f>
        <v>0</v>
      </c>
      <c r="CC296" s="221">
        <f>SUM(CC15,CC28)/CC15</f>
        <v>0</v>
      </c>
      <c r="CD296" s="221">
        <f>SUM(CD15,CD28)/CD15</f>
        <v>0</v>
      </c>
      <c r="CF296" s="221">
        <f>SUM(CF15,CF28)/CF15</f>
        <v>0</v>
      </c>
      <c r="CG296" s="221">
        <f>SUM(CG15,CG28)/CG15</f>
        <v>0</v>
      </c>
      <c r="CH296" s="221">
        <f>SUM(CH15,CH28)/CH15</f>
        <v>0</v>
      </c>
      <c r="CI296" s="221">
        <f>SUM(CI15,CI28)/CI15</f>
        <v>0</v>
      </c>
      <c r="CK296" s="221">
        <f>SUM(CK15,CK28)/CK15</f>
        <v>0</v>
      </c>
      <c r="CL296" s="221">
        <f>SUM(CL15,CL28)/CL15</f>
        <v>0</v>
      </c>
      <c r="CM296" s="221">
        <f>SUM(CM15,CM28)/CM15</f>
        <v>0</v>
      </c>
      <c r="CN296" s="221">
        <f>SUM(CN15,CN28)/CN15</f>
        <v>0</v>
      </c>
      <c r="CP296" s="221">
        <f>SUM(CP15,CP28)/CP15</f>
        <v>0</v>
      </c>
      <c r="CQ296" s="221">
        <f>SUM(CQ15,CQ28)/CQ15</f>
        <v>0</v>
      </c>
      <c r="CR296" s="221">
        <f>SUM(CR15,CR28)/CR15</f>
        <v>0</v>
      </c>
      <c r="CS296" s="221">
        <f>SUM(CS15,CS28)/CS15</f>
        <v>0</v>
      </c>
      <c r="CU296" s="221">
        <f>SUM(CU15,CU28)/CU15</f>
        <v>0</v>
      </c>
      <c r="CV296" s="221">
        <f>SUM(CV15,CV28)/CV15</f>
        <v>0</v>
      </c>
      <c r="CW296" s="221">
        <f>SUM(CW15,CW28)/CW15</f>
        <v>0</v>
      </c>
      <c r="CX296" s="221">
        <f>SUM(CX15,CX28)/CX15</f>
        <v>0</v>
      </c>
    </row>
    <row r="297" customFormat="1" s="233">
      <c r="A297" s="224" t="n"/>
      <c r="B297" s="224" t="n"/>
      <c r="C297" s="233" t="inlineStr">
        <is>
          <t>EBIT MARGIN</t>
        </is>
      </c>
      <c r="D297" s="236">
        <f>(D47/D15)</f>
        <v>0.136725818227993</v>
      </c>
      <c r="E297" s="236">
        <f>(E47/E15)</f>
        <v>-0.772565584704313</v>
      </c>
      <c r="F297" s="236">
        <f>(F47/F15)</f>
        <v>0.00490777473313975</v>
      </c>
      <c r="G297" s="236">
        <f>(G47/G15)</f>
        <v>-0.0300245583458766</v>
      </c>
      <c r="I297" s="222">
        <f>(I47/I15)</f>
        <v>0.0741515501576696</v>
      </c>
      <c r="J297" s="222">
        <f>(J47/J15)</f>
        <v>0.122536372582919</v>
      </c>
      <c r="K297" s="222">
        <f>(K47/K15)</f>
        <v>0.184052784611944</v>
      </c>
      <c r="L297" s="222">
        <f>(L47/L15)</f>
        <v>0.148351305865487</v>
      </c>
      <c r="N297" s="222">
        <f>(N47/N15)</f>
        <v>0.169017710996267</v>
      </c>
      <c r="O297" s="222">
        <f>(O47/O15)</f>
        <v>0.23460632325994</v>
      </c>
      <c r="P297" s="222">
        <f>(P47/P15)</f>
        <v>0.224131204609567</v>
      </c>
      <c r="Q297" s="222">
        <f>(Q47/Q15)</f>
        <v>0.175853947904308</v>
      </c>
      <c r="S297" s="222">
        <f>(S47/S15)</f>
        <v>0.189671805170004</v>
      </c>
      <c r="T297" s="222">
        <f>(T47/T15)</f>
        <v>0.162733147905759</v>
      </c>
      <c r="U297" s="222">
        <f>(U47/U15)</f>
        <v>0.163683431952663</v>
      </c>
      <c r="V297" s="222">
        <f>(V47/V15)</f>
        <v>0.0765154726579059</v>
      </c>
      <c r="X297" s="222">
        <f>(X47/X15)</f>
        <v>0.165038180474587</v>
      </c>
      <c r="Y297" s="222">
        <f>(Y47/Y15)</f>
        <v>0.139680740899943</v>
      </c>
      <c r="Z297" s="222">
        <f>(Z47/Z15)</f>
        <v>0.131303163670094</v>
      </c>
      <c r="AA297" s="222">
        <f>(AA47/AA15)</f>
        <v>0.119825374334623</v>
      </c>
      <c r="AC297" s="222">
        <f>(AC47/AC15)</f>
        <v>0.121718126444024</v>
      </c>
      <c r="AD297" s="222">
        <f>(AD47/AD15)</f>
        <v>0.0986345990808085</v>
      </c>
      <c r="AE297" s="222">
        <f>(AE47/AE15)</f>
        <v>0.116317419458633</v>
      </c>
      <c r="AF297" s="222">
        <f>(AF47/AF15)</f>
        <v>0.105817848228191</v>
      </c>
      <c r="AH297" s="222">
        <f>(AH47/AH15)</f>
        <v>0.0882794659205464</v>
      </c>
      <c r="AI297" s="222">
        <f>(AI47/AI15)</f>
        <v>0.243180358289915</v>
      </c>
      <c r="AJ297" s="222">
        <f>(AJ47/AJ15)</f>
        <v>0</v>
      </c>
      <c r="AK297" s="222">
        <f>(AK47/AK15)</f>
        <v>0</v>
      </c>
      <c r="AM297" s="222">
        <f>(AM47/AM15)</f>
        <v>0</v>
      </c>
      <c r="AN297" s="222">
        <f>(AN47/AN15)</f>
        <v>0</v>
      </c>
      <c r="AO297" s="222">
        <f>(AO47/AO15)</f>
        <v>0</v>
      </c>
      <c r="AP297" s="222">
        <f>(AP47/AP15)</f>
        <v>0</v>
      </c>
      <c r="AR297" s="222">
        <f>(AR47/AR15)</f>
        <v>0</v>
      </c>
      <c r="AS297" s="222">
        <f>(AS47/AS15)</f>
        <v>0</v>
      </c>
      <c r="AT297" s="222">
        <f>(AT47/AT15)</f>
        <v>0</v>
      </c>
      <c r="AU297" s="222">
        <f>(AU47/AU15)</f>
        <v>0</v>
      </c>
      <c r="AW297" s="222">
        <f>(AW47/AW15)</f>
        <v>0</v>
      </c>
      <c r="AX297" s="222">
        <f>(AX47/AX15)</f>
        <v>0</v>
      </c>
      <c r="AY297" s="222">
        <f>(AY47/AY15)</f>
        <v>0</v>
      </c>
      <c r="AZ297" s="222">
        <f>(AZ47/AZ15)</f>
        <v>0</v>
      </c>
      <c r="BB297" s="222">
        <f>(BB47/BB15)</f>
        <v>0</v>
      </c>
      <c r="BC297" s="222">
        <f>(BC47/BC15)</f>
        <v>0</v>
      </c>
      <c r="BD297" s="222">
        <f>(BD47/BD15)</f>
        <v>0</v>
      </c>
      <c r="BE297" s="222">
        <f>(BE47/BE15)</f>
        <v>0</v>
      </c>
      <c r="BG297" s="222">
        <f>(BG47/BG15)</f>
        <v>0</v>
      </c>
      <c r="BH297" s="222">
        <f>(BH47/BH15)</f>
        <v>0</v>
      </c>
      <c r="BI297" s="222">
        <f>(BI47/BI15)</f>
        <v>0</v>
      </c>
      <c r="BJ297" s="222">
        <f>(BJ47/BJ15)</f>
        <v>0</v>
      </c>
      <c r="BL297" s="222">
        <f>(BL47/BL15)</f>
        <v>0</v>
      </c>
      <c r="BM297" s="222">
        <f>(BM47/BM15)</f>
        <v>0</v>
      </c>
      <c r="BN297" s="222">
        <f>(BN47/BN15)</f>
        <v>0</v>
      </c>
      <c r="BO297" s="222">
        <f>(BO47/BO15)</f>
        <v>0</v>
      </c>
      <c r="BQ297" s="222">
        <f>(BQ47/BQ15)</f>
        <v>0</v>
      </c>
      <c r="BR297" s="222">
        <f>(BR47/BR15)</f>
        <v>0</v>
      </c>
      <c r="BS297" s="222">
        <f>(BS47/BS15)</f>
        <v>0</v>
      </c>
      <c r="BT297" s="222">
        <f>(BT47/BT15)</f>
        <v>0</v>
      </c>
      <c r="BV297" s="222">
        <f>(BV47/BV15)</f>
        <v>0</v>
      </c>
      <c r="BW297" s="222">
        <f>(BW47/BW15)</f>
        <v>0</v>
      </c>
      <c r="BX297" s="222">
        <f>(BX47/BX15)</f>
        <v>0</v>
      </c>
      <c r="BY297" s="222">
        <f>(BY47/BY15)</f>
        <v>0</v>
      </c>
      <c r="CA297" s="222">
        <f>(CA47/CA15)</f>
        <v>0</v>
      </c>
      <c r="CB297" s="222">
        <f>(CB47/CB15)</f>
        <v>0</v>
      </c>
      <c r="CC297" s="222">
        <f>(CC47/CC15)</f>
        <v>0</v>
      </c>
      <c r="CD297" s="222">
        <f>(CD47/CD15)</f>
        <v>0</v>
      </c>
      <c r="CF297" s="222">
        <f>(CF47/CF15)</f>
        <v>0</v>
      </c>
      <c r="CG297" s="222">
        <f>(CG47/CG15)</f>
        <v>0</v>
      </c>
      <c r="CH297" s="222">
        <f>(CH47/CH15)</f>
        <v>0</v>
      </c>
      <c r="CI297" s="222">
        <f>(CI47/CI15)</f>
        <v>0</v>
      </c>
      <c r="CK297" s="222">
        <f>(CK47/CK15)</f>
        <v>0</v>
      </c>
      <c r="CL297" s="222">
        <f>(CL47/CL15)</f>
        <v>0</v>
      </c>
      <c r="CM297" s="222">
        <f>(CM47/CM15)</f>
        <v>0</v>
      </c>
      <c r="CN297" s="222">
        <f>(CN47/CN15)</f>
        <v>0</v>
      </c>
      <c r="CP297" s="222">
        <f>(CP47/CP15)</f>
        <v>0</v>
      </c>
      <c r="CQ297" s="222">
        <f>(CQ47/CQ15)</f>
        <v>0</v>
      </c>
      <c r="CR297" s="222">
        <f>(CR47/CR15)</f>
        <v>0</v>
      </c>
      <c r="CS297" s="222">
        <f>(CS47/CS15)</f>
        <v>0</v>
      </c>
      <c r="CU297" s="222">
        <f>(CU47/CU15)</f>
        <v>0</v>
      </c>
      <c r="CV297" s="222">
        <f>(CV47/CV15)</f>
        <v>0</v>
      </c>
      <c r="CW297" s="222">
        <f>(CW47/CW15)</f>
        <v>0</v>
      </c>
      <c r="CX297" s="222">
        <f>(CX47/CX15)</f>
        <v>0</v>
      </c>
    </row>
    <row r="298" customFormat="1" s="233">
      <c r="A298" s="224" t="n"/>
      <c r="B298" s="224" t="n"/>
      <c r="C298" s="233" t="inlineStr">
        <is>
          <t>EBITDA MARTGIN</t>
        </is>
      </c>
      <c r="D298" s="236">
        <f>D43/D15</f>
        <v>0.272848481000603</v>
      </c>
      <c r="E298" s="236">
        <f>E43/E15</f>
        <v>-0.274788795020009</v>
      </c>
      <c r="F298" s="236">
        <f>F43/F15</f>
        <v>0.169195533924993</v>
      </c>
      <c r="G298" s="236">
        <f>G43/G15</f>
        <v>0.147666957141725</v>
      </c>
      <c r="I298" s="222">
        <f>I43/I15</f>
        <v>0.2079677792001</v>
      </c>
      <c r="J298" s="222">
        <f>J43/J15</f>
        <v>0.242811926483496</v>
      </c>
      <c r="K298" s="222">
        <f>K43/K15</f>
        <v>0.280317602326102</v>
      </c>
      <c r="L298" s="222">
        <f>L43/L15</f>
        <v>0.248353383614868</v>
      </c>
      <c r="N298" s="222">
        <f>N43/N15</f>
        <v>0.236220182811322</v>
      </c>
      <c r="O298" s="222">
        <f>O43/O15</f>
        <v>0.288415112998458</v>
      </c>
      <c r="P298" s="222">
        <f>P43/P15</f>
        <v>0.287167636996579</v>
      </c>
      <c r="Q298" s="222">
        <f>Q43/Q15</f>
        <v>0.260212845076408</v>
      </c>
      <c r="S298" s="222">
        <f>S43/S15</f>
        <v>0.259090819601126</v>
      </c>
      <c r="T298" s="222">
        <f>T43/T15</f>
        <v>0.234743128272251</v>
      </c>
      <c r="U298" s="222">
        <f>U43/U15</f>
        <v>0.238110207100592</v>
      </c>
      <c r="V298" s="222">
        <f>V43/V15</f>
        <v>0.209071640525646</v>
      </c>
      <c r="X298" s="222">
        <f>X43/X15</f>
        <v>0.249014697430002</v>
      </c>
      <c r="Y298" s="222">
        <f>Y43/Y15</f>
        <v>0.217912897364256</v>
      </c>
      <c r="Z298" s="222">
        <f>Z43/Z15</f>
        <v>0.214470386232213</v>
      </c>
      <c r="AA298" s="222">
        <f>AA43/AA15</f>
        <v>0.215046145597978</v>
      </c>
      <c r="AC298" s="222">
        <f>AC43/AC15</f>
        <v>0.208317580340265</v>
      </c>
      <c r="AD298" s="222">
        <f>AD43/AD15</f>
        <v>0.19555129177636</v>
      </c>
      <c r="AE298" s="222">
        <f>AE43/AE15</f>
        <v>0.232574508305514</v>
      </c>
      <c r="AF298" s="222">
        <f>AF43/AF15</f>
        <v>0.231348537537602</v>
      </c>
      <c r="AH298" s="222">
        <f>AH43/AH15</f>
        <v>0.20776842841566</v>
      </c>
      <c r="AI298" s="222">
        <f>AI43/AI15</f>
        <v>0.329997858825209</v>
      </c>
      <c r="AJ298" s="222">
        <f>AJ43/AJ15</f>
        <v>0</v>
      </c>
      <c r="AK298" s="222">
        <f>AK43/AK15</f>
        <v>0</v>
      </c>
      <c r="AM298" s="222">
        <f>AM43/AM15</f>
        <v>0</v>
      </c>
      <c r="AN298" s="222">
        <f>AN43/AN15</f>
        <v>0</v>
      </c>
      <c r="AO298" s="222">
        <f>AO43/AO15</f>
        <v>0</v>
      </c>
      <c r="AP298" s="222">
        <f>AP43/AP15</f>
        <v>0</v>
      </c>
      <c r="AR298" s="222">
        <f>AR43/AR15</f>
        <v>0</v>
      </c>
      <c r="AS298" s="222">
        <f>AS43/AS15</f>
        <v>0</v>
      </c>
      <c r="AT298" s="222">
        <f>AT43/AT15</f>
        <v>0</v>
      </c>
      <c r="AU298" s="222">
        <f>AU43/AU15</f>
        <v>0</v>
      </c>
      <c r="AW298" s="222">
        <f>AW43/AW15</f>
        <v>0</v>
      </c>
      <c r="AX298" s="222">
        <f>AX43/AX15</f>
        <v>0</v>
      </c>
      <c r="AY298" s="222">
        <f>AY43/AY15</f>
        <v>0</v>
      </c>
      <c r="AZ298" s="222">
        <f>AZ43/AZ15</f>
        <v>0</v>
      </c>
      <c r="BB298" s="222">
        <f>BB43/BB15</f>
        <v>0</v>
      </c>
      <c r="BC298" s="222">
        <f>BC43/BC15</f>
        <v>0</v>
      </c>
      <c r="BD298" s="222">
        <f>BD43/BD15</f>
        <v>0</v>
      </c>
      <c r="BE298" s="222">
        <f>BE43/BE15</f>
        <v>0</v>
      </c>
      <c r="BG298" s="222">
        <f>BG43/BG15</f>
        <v>0</v>
      </c>
      <c r="BH298" s="222">
        <f>BH43/BH15</f>
        <v>0</v>
      </c>
      <c r="BI298" s="222">
        <f>BI43/BI15</f>
        <v>0</v>
      </c>
      <c r="BJ298" s="222">
        <f>BJ43/BJ15</f>
        <v>0</v>
      </c>
      <c r="BL298" s="222">
        <f>BL43/BL15</f>
        <v>0</v>
      </c>
      <c r="BM298" s="222">
        <f>BM43/BM15</f>
        <v>0</v>
      </c>
      <c r="BN298" s="222">
        <f>BN43/BN15</f>
        <v>0</v>
      </c>
      <c r="BO298" s="222">
        <f>BO43/BO15</f>
        <v>0</v>
      </c>
      <c r="BQ298" s="222">
        <f>BQ43/BQ15</f>
        <v>0</v>
      </c>
      <c r="BR298" s="222">
        <f>BR43/BR15</f>
        <v>0</v>
      </c>
      <c r="BS298" s="222">
        <f>BS43/BS15</f>
        <v>0</v>
      </c>
      <c r="BT298" s="222">
        <f>BT43/BT15</f>
        <v>0</v>
      </c>
      <c r="BV298" s="222">
        <f>BV43/BV15</f>
        <v>0</v>
      </c>
      <c r="BW298" s="222">
        <f>BW43/BW15</f>
        <v>0</v>
      </c>
      <c r="BX298" s="222">
        <f>BX43/BX15</f>
        <v>0</v>
      </c>
      <c r="BY298" s="222">
        <f>BY43/BY15</f>
        <v>0</v>
      </c>
      <c r="CA298" s="222">
        <f>CA43/CA15</f>
        <v>0</v>
      </c>
      <c r="CB298" s="222">
        <f>CB43/CB15</f>
        <v>0</v>
      </c>
      <c r="CC298" s="222">
        <f>CC43/CC15</f>
        <v>0</v>
      </c>
      <c r="CD298" s="222">
        <f>CD43/CD15</f>
        <v>0</v>
      </c>
      <c r="CF298" s="222">
        <f>CF43/CF15</f>
        <v>0</v>
      </c>
      <c r="CG298" s="222">
        <f>CG43/CG15</f>
        <v>0</v>
      </c>
      <c r="CH298" s="222">
        <f>CH43/CH15</f>
        <v>0</v>
      </c>
      <c r="CI298" s="222">
        <f>CI43/CI15</f>
        <v>0</v>
      </c>
      <c r="CK298" s="222">
        <f>CK43/CK15</f>
        <v>0</v>
      </c>
      <c r="CL298" s="222">
        <f>CL43/CL15</f>
        <v>0</v>
      </c>
      <c r="CM298" s="222">
        <f>CM43/CM15</f>
        <v>0</v>
      </c>
      <c r="CN298" s="222">
        <f>CN43/CN15</f>
        <v>0</v>
      </c>
      <c r="CP298" s="222">
        <f>CP43/CP15</f>
        <v>0</v>
      </c>
      <c r="CQ298" s="222">
        <f>CQ43/CQ15</f>
        <v>0</v>
      </c>
      <c r="CR298" s="222">
        <f>CR43/CR15</f>
        <v>0</v>
      </c>
      <c r="CS298" s="222">
        <f>CS43/CS15</f>
        <v>0</v>
      </c>
      <c r="CU298" s="222">
        <f>CU43/CU15</f>
        <v>0</v>
      </c>
      <c r="CV298" s="222">
        <f>CV43/CV15</f>
        <v>0</v>
      </c>
      <c r="CW298" s="222">
        <f>CW43/CW15</f>
        <v>0</v>
      </c>
      <c r="CX298" s="222">
        <f>CX43/CX15</f>
        <v>0</v>
      </c>
    </row>
    <row r="299" customFormat="1" s="233">
      <c r="A299" s="224" t="n"/>
      <c r="B299" s="224" t="n"/>
      <c r="C299" s="233" t="inlineStr">
        <is>
          <t>ETR</t>
        </is>
      </c>
      <c r="D299" s="236">
        <f>-D105/D104</f>
        <v>0.136067551266586</v>
      </c>
      <c r="E299" s="236">
        <f>-E105/E104</f>
        <v>0.218929885816741</v>
      </c>
      <c r="F299" s="236">
        <f>-F105/F104</f>
        <v>-3.75</v>
      </c>
      <c r="G299" s="236">
        <f>-G105/G104</f>
        <v>0.314524555903866</v>
      </c>
      <c r="I299" s="222">
        <f>-I105/I104</f>
        <v>0.3578318787322</v>
      </c>
      <c r="J299" s="222">
        <f>-J105/J104</f>
        <v>0.300316598824062</v>
      </c>
      <c r="K299" s="222">
        <f>-K105/K104</f>
        <v>0.240844196151459</v>
      </c>
      <c r="L299" s="222">
        <f>-L105/L104</f>
        <v>0.27244094488189</v>
      </c>
      <c r="N299" s="222">
        <f>-N105/N104</f>
        <v>0.306715263971725</v>
      </c>
      <c r="O299" s="222">
        <f>-O105/O104</f>
        <v>0.267949759420109</v>
      </c>
      <c r="P299" s="222">
        <f>-P105/P104</f>
        <v>0.241137146329935</v>
      </c>
      <c r="Q299" s="222">
        <f>-Q105/Q104</f>
        <v>0.349714518760196</v>
      </c>
      <c r="S299" s="222">
        <f>-S105/S104</f>
        <v>0.306124592919424</v>
      </c>
      <c r="T299" s="222">
        <f>-T105/T104</f>
        <v>0.233380119943856</v>
      </c>
      <c r="U299" s="222">
        <f>-U105/U104</f>
        <v>0.249828336003662</v>
      </c>
      <c r="V299" s="222">
        <f>-V105/V104</f>
        <v>0.35730659025788</v>
      </c>
      <c r="X299" s="222">
        <f>-X105/X104</f>
        <v>0.29929310780106</v>
      </c>
      <c r="Y299" s="222">
        <f>-Y105/Y104</f>
        <v>0.368533257532689</v>
      </c>
      <c r="Z299" s="222">
        <f>-Z105/Z104</f>
        <v>0.307135151795346</v>
      </c>
      <c r="AA299" s="222">
        <f>-AA105/AA104</f>
        <v>0.46212246245255</v>
      </c>
      <c r="AC299" s="222">
        <f>-AC105/AC104</f>
        <v>0.370947519254881</v>
      </c>
      <c r="AD299" s="222">
        <f>-AD105/AD104</f>
        <v>0.393537496985773</v>
      </c>
      <c r="AE299" s="222">
        <f>-AE105/AE104</f>
        <v>0.332656076837828</v>
      </c>
      <c r="AF299" s="222">
        <f>-AF105/AF104</f>
        <v>0.381387258099587</v>
      </c>
      <c r="AH299" s="222">
        <f>-AH105/AH104</f>
        <v>0.418905220476432</v>
      </c>
      <c r="AI299" s="222">
        <f>-AI105/AI104</f>
        <v>0.267921361783745</v>
      </c>
      <c r="AJ299" s="222" t="e">
        <f>-AJ105/AJ104</f>
        <v>#DIV/0!</v>
      </c>
      <c r="AK299" s="222" t="e">
        <f>-AK105/AK104</f>
        <v>#DIV/0!</v>
      </c>
      <c r="AM299" s="222" t="e">
        <f>-AM105/AM104</f>
        <v>#DIV/0!</v>
      </c>
      <c r="AN299" s="222" t="e">
        <f>-AN105/AN104</f>
        <v>#DIV/0!</v>
      </c>
      <c r="AO299" s="222" t="e">
        <f>-AO105/AO104</f>
        <v>#DIV/0!</v>
      </c>
      <c r="AP299" s="222" t="e">
        <f>-AP105/AP104</f>
        <v>#DIV/0!</v>
      </c>
      <c r="AR299" s="222" t="e">
        <f>-AR105/AR104</f>
        <v>#DIV/0!</v>
      </c>
      <c r="AS299" s="222" t="e">
        <f>-AS105/AS104</f>
        <v>#DIV/0!</v>
      </c>
      <c r="AT299" s="222" t="e">
        <f>-AT105/AT104</f>
        <v>#DIV/0!</v>
      </c>
      <c r="AU299" s="222" t="e">
        <f>-AU105/AU104</f>
        <v>#DIV/0!</v>
      </c>
      <c r="AW299" s="222" t="e">
        <f>-AW105/AW104</f>
        <v>#DIV/0!</v>
      </c>
      <c r="AX299" s="222" t="e">
        <f>-AX105/AX104</f>
        <v>#DIV/0!</v>
      </c>
      <c r="AY299" s="222" t="e">
        <f>-AY105/AY104</f>
        <v>#DIV/0!</v>
      </c>
      <c r="AZ299" s="222" t="e">
        <f>-AZ105/AZ104</f>
        <v>#DIV/0!</v>
      </c>
      <c r="BB299" s="222" t="e">
        <f>-BB105/BB104</f>
        <v>#DIV/0!</v>
      </c>
      <c r="BC299" s="222" t="e">
        <f>-BC105/BC104</f>
        <v>#DIV/0!</v>
      </c>
      <c r="BD299" s="222" t="e">
        <f>-BD105/BD104</f>
        <v>#DIV/0!</v>
      </c>
      <c r="BE299" s="222" t="e">
        <f>-BE105/BE104</f>
        <v>#DIV/0!</v>
      </c>
      <c r="BG299" s="222" t="e">
        <f>-BG105/BG104</f>
        <v>#DIV/0!</v>
      </c>
      <c r="BH299" s="222" t="e">
        <f>-BH105/BH104</f>
        <v>#DIV/0!</v>
      </c>
      <c r="BI299" s="222" t="e">
        <f>-BI105/BI104</f>
        <v>#DIV/0!</v>
      </c>
      <c r="BJ299" s="222" t="e">
        <f>-BJ105/BJ104</f>
        <v>#DIV/0!</v>
      </c>
      <c r="BL299" s="222" t="e">
        <f>-BL105/BL104</f>
        <v>#DIV/0!</v>
      </c>
      <c r="BM299" s="222" t="e">
        <f>-BM105/BM104</f>
        <v>#DIV/0!</v>
      </c>
      <c r="BN299" s="222" t="e">
        <f>-BN105/BN104</f>
        <v>#DIV/0!</v>
      </c>
      <c r="BO299" s="222" t="e">
        <f>-BO105/BO104</f>
        <v>#DIV/0!</v>
      </c>
      <c r="BQ299" s="222" t="e">
        <f>-BQ105/BQ104</f>
        <v>#DIV/0!</v>
      </c>
      <c r="BR299" s="222" t="e">
        <f>-BR105/BR104</f>
        <v>#DIV/0!</v>
      </c>
      <c r="BS299" s="222" t="e">
        <f>-BS105/BS104</f>
        <v>#DIV/0!</v>
      </c>
      <c r="BT299" s="222" t="e">
        <f>-BT105/BT104</f>
        <v>#DIV/0!</v>
      </c>
      <c r="BV299" s="222" t="e">
        <f>-BV105/BV104</f>
        <v>#DIV/0!</v>
      </c>
      <c r="BW299" s="222" t="e">
        <f>-BW105/BW104</f>
        <v>#DIV/0!</v>
      </c>
      <c r="BX299" s="222" t="e">
        <f>-BX105/BX104</f>
        <v>#DIV/0!</v>
      </c>
      <c r="BY299" s="222" t="e">
        <f>-BY105/BY104</f>
        <v>#DIV/0!</v>
      </c>
      <c r="CA299" s="222" t="e">
        <f>-CA105/CA104</f>
        <v>#DIV/0!</v>
      </c>
      <c r="CB299" s="222" t="e">
        <f>-CB105/CB104</f>
        <v>#DIV/0!</v>
      </c>
      <c r="CC299" s="222" t="e">
        <f>-CC105/CC104</f>
        <v>#DIV/0!</v>
      </c>
      <c r="CD299" s="222" t="e">
        <f>-CD105/CD104</f>
        <v>#DIV/0!</v>
      </c>
      <c r="CF299" s="222" t="e">
        <f>-CF105/CF104</f>
        <v>#DIV/0!</v>
      </c>
      <c r="CG299" s="222" t="e">
        <f>-CG105/CG104</f>
        <v>#DIV/0!</v>
      </c>
      <c r="CH299" s="222" t="e">
        <f>-CH105/CH104</f>
        <v>#DIV/0!</v>
      </c>
      <c r="CI299" s="222" t="e">
        <f>-CI105/CI104</f>
        <v>#DIV/0!</v>
      </c>
      <c r="CK299" s="222" t="e">
        <f>-CK105/CK104</f>
        <v>#DIV/0!</v>
      </c>
      <c r="CL299" s="222" t="e">
        <f>-CL105/CL104</f>
        <v>#DIV/0!</v>
      </c>
      <c r="CM299" s="222" t="e">
        <f>-CM105/CM104</f>
        <v>#DIV/0!</v>
      </c>
      <c r="CN299" s="222" t="e">
        <f>-CN105/CN104</f>
        <v>#DIV/0!</v>
      </c>
      <c r="CP299" s="222" t="e">
        <f>-CP105/CP104</f>
        <v>#DIV/0!</v>
      </c>
      <c r="CQ299" s="222" t="e">
        <f>-CQ105/CQ104</f>
        <v>#DIV/0!</v>
      </c>
      <c r="CR299" s="222" t="e">
        <f>-CR105/CR104</f>
        <v>#DIV/0!</v>
      </c>
      <c r="CS299" s="222" t="e">
        <f>-CS105/CS104</f>
        <v>#DIV/0!</v>
      </c>
      <c r="CU299" s="222" t="e">
        <f>-CU105/CU104</f>
        <v>#DIV/0!</v>
      </c>
      <c r="CV299" s="222" t="e">
        <f>-CV105/CV104</f>
        <v>#DIV/0!</v>
      </c>
      <c r="CW299" s="222" t="e">
        <f>-CW105/CW104</f>
        <v>#DIV/0!</v>
      </c>
      <c r="CX299" s="222" t="e">
        <f>-CX105/CX104</f>
        <v>#DIV/0!</v>
      </c>
    </row>
    <row r="300" customFormat="1" s="233">
      <c r="A300" s="224" t="n"/>
      <c r="B300" s="224" t="n"/>
    </row>
    <row r="301" customFormat="1" s="233">
      <c r="A301" s="224" t="n"/>
      <c r="B301" s="224" t="n"/>
      <c r="C301" s="234" t="inlineStr">
        <is>
          <t>CAPITAL STRUCTURE</t>
        </is>
      </c>
    </row>
    <row r="302" customFormat="1" s="233">
      <c r="A302" s="224" t="n"/>
      <c r="B302" s="224" t="n"/>
      <c r="C302" s="233" t="inlineStr">
        <is>
          <t>MARKET DEBT / EQUITY</t>
        </is>
      </c>
    </row>
    <row r="303" customFormat="1" s="233">
      <c r="A303" s="224" t="n"/>
      <c r="B303" s="224" t="n"/>
      <c r="C303" s="233" t="inlineStr">
        <is>
          <t>NET DEBT / (NET DEBT + MARKET CAP)</t>
        </is>
      </c>
    </row>
    <row r="304" customFormat="1" s="233">
      <c r="A304" s="224" t="n"/>
      <c r="B304" s="224" t="n"/>
    </row>
    <row r="305" customFormat="1" s="233">
      <c r="A305" s="224" t="n"/>
      <c r="B305" s="224" t="n"/>
      <c r="C305" s="234" t="inlineStr">
        <is>
          <t>FINANCIAL RISK RATIOS</t>
        </is>
      </c>
    </row>
    <row r="306" customFormat="1" s="233">
      <c r="A306" s="224" t="n"/>
      <c r="B306" s="224" t="n"/>
      <c r="C306" s="233" t="inlineStr">
        <is>
          <t>EBITDA / TOTAL INTEREST</t>
        </is>
      </c>
      <c r="D306" s="219">
        <f>D43/-D48</f>
        <v>53.0555555555556</v>
      </c>
      <c r="E306" s="219">
        <f>E43/-E48</f>
        <v>-21.5581395348837</v>
      </c>
      <c r="F306" s="219">
        <f>F43/-F48</f>
        <v>25.2256097560976</v>
      </c>
      <c r="G306" s="219">
        <f>G43/-G48</f>
        <v>18.7336683417085</v>
      </c>
      <c r="I306" s="219">
        <f>I43/-I48</f>
        <v>33.6414141414141</v>
      </c>
      <c r="J306" s="219">
        <f>J43/-J48</f>
        <v>49.3459459459459</v>
      </c>
      <c r="K306" s="219">
        <f>K43/-K48</f>
        <v>72.0287356321839</v>
      </c>
      <c r="L306" s="219">
        <f>L43/-L48</f>
        <v>77.1161290322581</v>
      </c>
      <c r="N306" s="219">
        <f>N43/-N48</f>
        <v>94.4411764705882</v>
      </c>
      <c r="O306" s="219">
        <f>O43/-O48</f>
        <v>153.736434108527</v>
      </c>
      <c r="P306" s="219">
        <f>P43/-P48</f>
        <v>149.515625</v>
      </c>
      <c r="Q306" s="219">
        <f>Q43/-Q48</f>
        <v>119.471544715447</v>
      </c>
      <c r="S306" s="219">
        <f>S43/-S48</f>
        <v>114.434782608696</v>
      </c>
      <c r="T306" s="219">
        <f>T43/-T48</f>
        <v>95.65</v>
      </c>
      <c r="U306" s="219">
        <f>U43/-U48</f>
        <v>112.956140350877</v>
      </c>
      <c r="V306" s="219">
        <f>V43/-V48</f>
        <v>82.2</v>
      </c>
      <c r="X306" s="219">
        <f>X43/-X48</f>
        <v>102.805084745763</v>
      </c>
      <c r="Y306" s="219">
        <f>Y43/-Y48</f>
        <v>98.6991150442478</v>
      </c>
      <c r="Z306" s="219">
        <f>Z43/-Z48</f>
        <v>66.2621951219512</v>
      </c>
      <c r="AA306" s="219">
        <f>AA43/-AA48</f>
        <v>56.4371859296482</v>
      </c>
      <c r="AC306" s="219">
        <f>AC43/-AC48</f>
        <v>46.7830188679245</v>
      </c>
      <c r="AD306" s="219">
        <f>AD43/-AD48</f>
        <v>31.9890510948905</v>
      </c>
      <c r="AE306" s="219">
        <f>AE43/-AE48</f>
        <v>31.2567567567568</v>
      </c>
      <c r="AF306" s="219">
        <f>AF43/-AF48</f>
        <v>30.0387811634349</v>
      </c>
      <c r="AH306" s="219">
        <f>AH43/-AH48</f>
        <v>29.2724637681159</v>
      </c>
      <c r="AI306" s="219">
        <f>AI43/-AI48</f>
        <v>65.6761363636364</v>
      </c>
      <c r="AJ306" s="219" t="e">
        <f>AJ43/-AJ48</f>
        <v>#DIV/0!</v>
      </c>
      <c r="AK306" s="219" t="e">
        <f>AK43/-AK48</f>
        <v>#DIV/0!</v>
      </c>
      <c r="AM306" s="219" t="e">
        <f>AM43/-AM48</f>
        <v>#DIV/0!</v>
      </c>
      <c r="AN306" s="219" t="e">
        <f>AN43/-AN48</f>
        <v>#DIV/0!</v>
      </c>
      <c r="AO306" s="219" t="e">
        <f>AO43/-AO48</f>
        <v>#DIV/0!</v>
      </c>
      <c r="AP306" s="219" t="e">
        <f>AP43/-AP48</f>
        <v>#DIV/0!</v>
      </c>
      <c r="AR306" s="219" t="e">
        <f>AR43/-AR48</f>
        <v>#DIV/0!</v>
      </c>
      <c r="AS306" s="219" t="e">
        <f>AS43/-AS48</f>
        <v>#DIV/0!</v>
      </c>
      <c r="AT306" s="219" t="e">
        <f>AT43/-AT48</f>
        <v>#DIV/0!</v>
      </c>
      <c r="AU306" s="219" t="e">
        <f>AU43/-AU48</f>
        <v>#DIV/0!</v>
      </c>
      <c r="AW306" s="219" t="e">
        <f>AW43/-AW48</f>
        <v>#DIV/0!</v>
      </c>
      <c r="AX306" s="219" t="e">
        <f>AX43/-AX48</f>
        <v>#DIV/0!</v>
      </c>
      <c r="AY306" s="219" t="e">
        <f>AY43/-AY48</f>
        <v>#DIV/0!</v>
      </c>
      <c r="AZ306" s="219" t="e">
        <f>AZ43/-AZ48</f>
        <v>#DIV/0!</v>
      </c>
      <c r="BB306" s="219" t="e">
        <f>BB43/-BB48</f>
        <v>#DIV/0!</v>
      </c>
      <c r="BC306" s="219" t="e">
        <f>BC43/-BC48</f>
        <v>#DIV/0!</v>
      </c>
      <c r="BD306" s="219" t="e">
        <f>BD43/-BD48</f>
        <v>#DIV/0!</v>
      </c>
      <c r="BE306" s="219" t="e">
        <f>BE43/-BE48</f>
        <v>#DIV/0!</v>
      </c>
      <c r="BG306" s="219" t="e">
        <f>BG43/-BG48</f>
        <v>#DIV/0!</v>
      </c>
      <c r="BH306" s="219" t="e">
        <f>BH43/-BH48</f>
        <v>#DIV/0!</v>
      </c>
      <c r="BI306" s="219" t="e">
        <f>BI43/-BI48</f>
        <v>#DIV/0!</v>
      </c>
      <c r="BJ306" s="219" t="e">
        <f>BJ43/-BJ48</f>
        <v>#DIV/0!</v>
      </c>
      <c r="BL306" s="219" t="e">
        <f>BL43/-BL48</f>
        <v>#DIV/0!</v>
      </c>
      <c r="BM306" s="219" t="e">
        <f>BM43/-BM48</f>
        <v>#DIV/0!</v>
      </c>
      <c r="BN306" s="219" t="e">
        <f>BN43/-BN48</f>
        <v>#DIV/0!</v>
      </c>
      <c r="BO306" s="219" t="e">
        <f>BO43/-BO48</f>
        <v>#DIV/0!</v>
      </c>
      <c r="BQ306" s="219" t="e">
        <f>BQ43/-BQ48</f>
        <v>#DIV/0!</v>
      </c>
      <c r="BR306" s="219" t="e">
        <f>BR43/-BR48</f>
        <v>#DIV/0!</v>
      </c>
      <c r="BS306" s="219" t="e">
        <f>BS43/-BS48</f>
        <v>#DIV/0!</v>
      </c>
      <c r="BT306" s="219" t="e">
        <f>BT43/-BT48</f>
        <v>#DIV/0!</v>
      </c>
      <c r="BV306" s="219" t="e">
        <f>BV43/-BV48</f>
        <v>#DIV/0!</v>
      </c>
      <c r="BW306" s="219" t="e">
        <f>BW43/-BW48</f>
        <v>#DIV/0!</v>
      </c>
      <c r="BX306" s="219" t="e">
        <f>BX43/-BX48</f>
        <v>#DIV/0!</v>
      </c>
      <c r="BY306" s="219" t="e">
        <f>BY43/-BY48</f>
        <v>#DIV/0!</v>
      </c>
      <c r="CA306" s="219" t="e">
        <f>CA43/-CA48</f>
        <v>#DIV/0!</v>
      </c>
      <c r="CB306" s="219" t="e">
        <f>CB43/-CB48</f>
        <v>#DIV/0!</v>
      </c>
      <c r="CC306" s="219" t="e">
        <f>CC43/-CC48</f>
        <v>#DIV/0!</v>
      </c>
      <c r="CD306" s="219" t="e">
        <f>CD43/-CD48</f>
        <v>#DIV/0!</v>
      </c>
      <c r="CF306" s="219" t="e">
        <f>CF43/-CF48</f>
        <v>#DIV/0!</v>
      </c>
      <c r="CG306" s="219" t="e">
        <f>CG43/-CG48</f>
        <v>#DIV/0!</v>
      </c>
      <c r="CH306" s="219" t="e">
        <f>CH43/-CH48</f>
        <v>#DIV/0!</v>
      </c>
      <c r="CI306" s="219" t="e">
        <f>CI43/-CI48</f>
        <v>#DIV/0!</v>
      </c>
      <c r="CK306" s="219" t="e">
        <f>CK43/-CK48</f>
        <v>#DIV/0!</v>
      </c>
      <c r="CL306" s="219" t="e">
        <f>CL43/-CL48</f>
        <v>#DIV/0!</v>
      </c>
      <c r="CM306" s="219" t="e">
        <f>CM43/-CM48</f>
        <v>#DIV/0!</v>
      </c>
      <c r="CN306" s="219" t="e">
        <f>CN43/-CN48</f>
        <v>#DIV/0!</v>
      </c>
      <c r="CP306" s="219" t="e">
        <f>CP43/-CP48</f>
        <v>#DIV/0!</v>
      </c>
      <c r="CQ306" s="219" t="e">
        <f>CQ43/-CQ48</f>
        <v>#DIV/0!</v>
      </c>
      <c r="CR306" s="219" t="e">
        <f>CR43/-CR48</f>
        <v>#DIV/0!</v>
      </c>
      <c r="CS306" s="219" t="e">
        <f>CS43/-CS48</f>
        <v>#DIV/0!</v>
      </c>
      <c r="CU306" s="219" t="e">
        <f>CU43/-CU48</f>
        <v>#DIV/0!</v>
      </c>
      <c r="CV306" s="219" t="e">
        <f>CV43/-CV48</f>
        <v>#DIV/0!</v>
      </c>
      <c r="CW306" s="219" t="e">
        <f>CW43/-CW48</f>
        <v>#DIV/0!</v>
      </c>
      <c r="CX306" s="219" t="e">
        <f>CX43/-CX48</f>
        <v>#DIV/0!</v>
      </c>
    </row>
    <row r="307" customFormat="1" s="233">
      <c r="A307" s="224" t="n"/>
      <c r="B307" s="224" t="n"/>
      <c r="C307" s="233" t="inlineStr">
        <is>
          <t>(EBITDA - CAPEX) / TOTAL INTEREST</t>
        </is>
      </c>
      <c r="D307" s="219">
        <f>(D43-D142)/-D48</f>
        <v>53.0555555555556</v>
      </c>
      <c r="E307" s="219">
        <f>(E43-E142)/-E48</f>
        <v>-29.3895348837209</v>
      </c>
      <c r="F307" s="219">
        <f>(F43-F142)/-F48</f>
        <v>9.67682926829268</v>
      </c>
      <c r="G307" s="219">
        <f>(G43-G142)/-G48</f>
        <v>-75.3417085427136</v>
      </c>
      <c r="I307" s="219">
        <f>(I43-I142)/-I48</f>
        <v>25.2020202020202</v>
      </c>
      <c r="J307" s="219">
        <f>(J43-J142)/-J48</f>
        <v>40.0108108108108</v>
      </c>
      <c r="K307" s="219">
        <f>(K43-K142)/-K48</f>
        <v>66.0459770114943</v>
      </c>
      <c r="L307" s="219">
        <f>(L43-L142)/-L48</f>
        <v>52.4129032258065</v>
      </c>
      <c r="N307" s="219">
        <f>(N43-N142)/-N48</f>
        <v>86.0808823529412</v>
      </c>
      <c r="O307" s="219">
        <f>(O43-O142)/-O48</f>
        <v>125.317829457364</v>
      </c>
      <c r="P307" s="219">
        <f>(P43-P142)/-P48</f>
        <v>118.7734375</v>
      </c>
      <c r="Q307" s="219">
        <f>(Q43-Q142)/-Q48</f>
        <v>85.2357723577236</v>
      </c>
      <c r="S307" s="219">
        <f>(S43-S142)/-S48</f>
        <v>89.3391304347826</v>
      </c>
      <c r="T307" s="219">
        <f>(T43-T142)/-T48</f>
        <v>67.8333333333333</v>
      </c>
      <c r="U307" s="219">
        <f>(U43-U142)/-U48</f>
        <v>-20.6315789473684</v>
      </c>
      <c r="V307" s="219">
        <f>(V43-V142)/-V48</f>
        <v>33.025</v>
      </c>
      <c r="X307" s="219">
        <f>(X43-X142)/-X48</f>
        <v>67.9491525423729</v>
      </c>
      <c r="Y307" s="219">
        <f>(Y43-Y142)/-Y48</f>
        <v>68.9115044247788</v>
      </c>
      <c r="Z307" s="219">
        <f>(Z43-Z142)/-Z48</f>
        <v>71.7378048780488</v>
      </c>
      <c r="AA307" s="219">
        <f>(AA43-AA142)/-AA48</f>
        <v>31.9095477386935</v>
      </c>
      <c r="AC307" s="219">
        <f>(AC43-AC142)/-AC48</f>
        <v>25.8018867924528</v>
      </c>
      <c r="AD307" s="219">
        <f>(AD43-AD142)/-AD48</f>
        <v>18.6240875912409</v>
      </c>
      <c r="AE307" s="219">
        <f>(AE43-AE142)/-AE48</f>
        <v>-179.102702702703</v>
      </c>
      <c r="AF307" s="219">
        <f>(AF43-AF142)/-AF48</f>
        <v>13.0886426592798</v>
      </c>
      <c r="AH307" s="219">
        <f>(AH43-AH142)/-AH48</f>
        <v>17.0173913043478</v>
      </c>
      <c r="AI307" s="219">
        <f>(AI43-AI142)/-AI48</f>
        <v>54.6818181818182</v>
      </c>
      <c r="AJ307" s="219" t="e">
        <f>(AJ43-AJ142)/-AJ48</f>
        <v>#DIV/0!</v>
      </c>
      <c r="AK307" s="219" t="e">
        <f>(AK43-AK142)/-AK48</f>
        <v>#DIV/0!</v>
      </c>
      <c r="AM307" s="219" t="e">
        <f>(AM43-AM142)/-AM48</f>
        <v>#DIV/0!</v>
      </c>
      <c r="AN307" s="219" t="e">
        <f>(AN43-AN142)/-AN48</f>
        <v>#DIV/0!</v>
      </c>
      <c r="AO307" s="219" t="e">
        <f>(AO43-AO142)/-AO48</f>
        <v>#DIV/0!</v>
      </c>
      <c r="AP307" s="219" t="e">
        <f>(AP43-AP142)/-AP48</f>
        <v>#DIV/0!</v>
      </c>
      <c r="AR307" s="219" t="e">
        <f>(AR43-AR142)/-AR48</f>
        <v>#DIV/0!</v>
      </c>
      <c r="AS307" s="219" t="e">
        <f>(AS43-AS142)/-AS48</f>
        <v>#DIV/0!</v>
      </c>
      <c r="AT307" s="219" t="e">
        <f>(AT43-AT142)/-AT48</f>
        <v>#DIV/0!</v>
      </c>
      <c r="AU307" s="219" t="e">
        <f>(AU43-AU142)/-AU48</f>
        <v>#DIV/0!</v>
      </c>
      <c r="AW307" s="219" t="e">
        <f>(AW43-AW142)/-AW48</f>
        <v>#DIV/0!</v>
      </c>
      <c r="AX307" s="219" t="e">
        <f>(AX43-AX142)/-AX48</f>
        <v>#DIV/0!</v>
      </c>
      <c r="AY307" s="219" t="e">
        <f>(AY43-AY142)/-AY48</f>
        <v>#DIV/0!</v>
      </c>
      <c r="AZ307" s="219" t="e">
        <f>(AZ43-AZ142)/-AZ48</f>
        <v>#DIV/0!</v>
      </c>
      <c r="BB307" s="219" t="e">
        <f>(BB43-BB142)/-BB48</f>
        <v>#DIV/0!</v>
      </c>
      <c r="BC307" s="219" t="e">
        <f>(BC43-BC142)/-BC48</f>
        <v>#DIV/0!</v>
      </c>
      <c r="BD307" s="219" t="e">
        <f>(BD43-BD142)/-BD48</f>
        <v>#DIV/0!</v>
      </c>
      <c r="BE307" s="219" t="e">
        <f>(BE43-BE142)/-BE48</f>
        <v>#DIV/0!</v>
      </c>
      <c r="BG307" s="219" t="e">
        <f>(BG43-BG142)/-BG48</f>
        <v>#DIV/0!</v>
      </c>
      <c r="BH307" s="219" t="e">
        <f>(BH43-BH142)/-BH48</f>
        <v>#DIV/0!</v>
      </c>
      <c r="BI307" s="219" t="e">
        <f>(BI43-BI142)/-BI48</f>
        <v>#DIV/0!</v>
      </c>
      <c r="BJ307" s="219" t="e">
        <f>(BJ43-BJ142)/-BJ48</f>
        <v>#DIV/0!</v>
      </c>
      <c r="BL307" s="219" t="e">
        <f>(BL43-BL142)/-BL48</f>
        <v>#DIV/0!</v>
      </c>
      <c r="BM307" s="219" t="e">
        <f>(BM43-BM142)/-BM48</f>
        <v>#DIV/0!</v>
      </c>
      <c r="BN307" s="219" t="e">
        <f>(BN43-BN142)/-BN48</f>
        <v>#DIV/0!</v>
      </c>
      <c r="BO307" s="219" t="e">
        <f>(BO43-BO142)/-BO48</f>
        <v>#DIV/0!</v>
      </c>
      <c r="BQ307" s="219" t="e">
        <f>(BQ43-BQ142)/-BQ48</f>
        <v>#DIV/0!</v>
      </c>
      <c r="BR307" s="219" t="e">
        <f>(BR43-BR142)/-BR48</f>
        <v>#DIV/0!</v>
      </c>
      <c r="BS307" s="219" t="e">
        <f>(BS43-BS142)/-BS48</f>
        <v>#DIV/0!</v>
      </c>
      <c r="BT307" s="219" t="e">
        <f>(BT43-BT142)/-BT48</f>
        <v>#DIV/0!</v>
      </c>
      <c r="BV307" s="219" t="e">
        <f>(BV43-BV142)/-BV48</f>
        <v>#DIV/0!</v>
      </c>
      <c r="BW307" s="219" t="e">
        <f>(BW43-BW142)/-BW48</f>
        <v>#DIV/0!</v>
      </c>
      <c r="BX307" s="219" t="e">
        <f>(BX43-BX142)/-BX48</f>
        <v>#DIV/0!</v>
      </c>
      <c r="BY307" s="219" t="e">
        <f>(BY43-BY142)/-BY48</f>
        <v>#DIV/0!</v>
      </c>
      <c r="CA307" s="219" t="e">
        <f>(CA43-CA142)/-CA48</f>
        <v>#DIV/0!</v>
      </c>
      <c r="CB307" s="219" t="e">
        <f>(CB43-CB142)/-CB48</f>
        <v>#DIV/0!</v>
      </c>
      <c r="CC307" s="219" t="e">
        <f>(CC43-CC142)/-CC48</f>
        <v>#DIV/0!</v>
      </c>
      <c r="CD307" s="219" t="e">
        <f>(CD43-CD142)/-CD48</f>
        <v>#DIV/0!</v>
      </c>
      <c r="CF307" s="219" t="e">
        <f>(CF43-CF142)/-CF48</f>
        <v>#DIV/0!</v>
      </c>
      <c r="CG307" s="219" t="e">
        <f>(CG43-CG142)/-CG48</f>
        <v>#DIV/0!</v>
      </c>
      <c r="CH307" s="219" t="e">
        <f>(CH43-CH142)/-CH48</f>
        <v>#DIV/0!</v>
      </c>
      <c r="CI307" s="219" t="e">
        <f>(CI43-CI142)/-CI48</f>
        <v>#DIV/0!</v>
      </c>
      <c r="CK307" s="219" t="e">
        <f>(CK43-CK142)/-CK48</f>
        <v>#DIV/0!</v>
      </c>
      <c r="CL307" s="219" t="e">
        <f>(CL43-CL142)/-CL48</f>
        <v>#DIV/0!</v>
      </c>
      <c r="CM307" s="219" t="e">
        <f>(CM43-CM142)/-CM48</f>
        <v>#DIV/0!</v>
      </c>
      <c r="CN307" s="219" t="e">
        <f>(CN43-CN142)/-CN48</f>
        <v>#DIV/0!</v>
      </c>
      <c r="CP307" s="219" t="e">
        <f>(CP43-CP142)/-CP48</f>
        <v>#DIV/0!</v>
      </c>
      <c r="CQ307" s="219" t="e">
        <f>(CQ43-CQ142)/-CQ48</f>
        <v>#DIV/0!</v>
      </c>
      <c r="CR307" s="219" t="e">
        <f>(CR43-CR142)/-CR48</f>
        <v>#DIV/0!</v>
      </c>
      <c r="CS307" s="219" t="e">
        <f>(CS43-CS142)/-CS48</f>
        <v>#DIV/0!</v>
      </c>
      <c r="CU307" s="219" t="e">
        <f>(CU43-CU142)/-CU48</f>
        <v>#DIV/0!</v>
      </c>
      <c r="CV307" s="219" t="e">
        <f>(CV43-CV142)/-CV48</f>
        <v>#DIV/0!</v>
      </c>
      <c r="CW307" s="219" t="e">
        <f>(CW43-CW142)/-CW48</f>
        <v>#DIV/0!</v>
      </c>
      <c r="CX307" s="219" t="e">
        <f>(CX43-CX142)/-CX48</f>
        <v>#DIV/0!</v>
      </c>
    </row>
    <row r="308" customFormat="1" s="233">
      <c r="A308" s="224" t="n"/>
      <c r="B308" s="224" t="n"/>
      <c r="C308" s="233" t="inlineStr">
        <is>
          <t>TOTAL DEBT / EBITDA LTM</t>
        </is>
      </c>
      <c r="D308" s="219" t="str">
        <f>""</f>
        <v/>
      </c>
      <c r="E308" s="219" t="str">
        <f>""</f>
        <v/>
      </c>
      <c r="F308" s="219" t="str">
        <f>""</f>
        <v/>
      </c>
      <c r="G308" s="219">
        <f>IFERROR(SUM(G186,G187,G188,G191,G209,G212)/(G43+F43+E43+D43),"")</f>
        <v>0.121392722710163</v>
      </c>
      <c r="I308" s="219">
        <f>IFERROR(SUM(I186,I187,I188,I191,I209,I212)/(I43+G43+F43+E43),"")</f>
        <v>0.447494915880939</v>
      </c>
      <c r="J308" s="219">
        <f>IFERROR(SUM(J186,J187,J188,J191,J209,J212)/(J43+I43+G43+F43),"")</f>
        <v>0.147833439019235</v>
      </c>
      <c r="K308" s="219">
        <f>IFERROR(SUM(K186,K187,K188,K191,K209,K212)/(K43+J43+I43+G43),"")</f>
        <v>0.0090792798976631</v>
      </c>
      <c r="L308" s="219">
        <f>IFERROR(SUM(L186,L187,L188,L191,L209,L212)/(L43+K43+J43+I43),"")</f>
        <v>0.00635614261594995</v>
      </c>
      <c r="N308" s="219">
        <f>IFERROR(SUM(N186,N187,N188,N191,N209,N212)/(N43+L43+K43+J43),"")</f>
        <v>0.0067586474095439</v>
      </c>
      <c r="O308" s="219">
        <f>IFERROR(SUM(O186,O187,O188,O191,O209,O212)/(O43+N43+L43+K43),"")</f>
        <v>0.0565060704663938</v>
      </c>
      <c r="P308" s="219">
        <f>IFERROR(SUM(P186,P187,P188,P191,P209,P212)/(P43+O43+N43+L43),"")</f>
        <v>0.034829927705553</v>
      </c>
      <c r="Q308" s="219">
        <f>IFERROR(SUM(Q186,Q187,Q188,Q191,Q209,Q212)/(Q43+P43+O43+N43),"")</f>
        <v>0.0295298380670285</v>
      </c>
      <c r="S308" s="219">
        <f>IFERROR(SUM(S186,S187,S188,S191,S209,S212)/(S43+Q43+P43+O43),"")</f>
        <v>0.0438608305274972</v>
      </c>
      <c r="T308" s="219">
        <f>IFERROR(SUM(T186,T187,T188,T191,T209,T212)/(T43+S43+Q43+P43),"")</f>
        <v>0.0217030664773991</v>
      </c>
      <c r="U308" s="219">
        <f>IFERROR(SUM(U186,U187,U188,U191,U209,U212)/(U43+T43+S43+Q43),"")</f>
        <v>0.00842750430951925</v>
      </c>
      <c r="V308" s="219">
        <f>IFERROR(SUM(V186,V187,V188,V191,V209,V212)/(V43+U43+T43+S43),"")</f>
        <v>0.0111652841976403</v>
      </c>
      <c r="X308" s="219">
        <f>IFERROR(SUM(X186,X187,X188,X191,X209,X212)/(X43+V43+U43+T43),"")</f>
        <v>0.00608414239482201</v>
      </c>
      <c r="Y308" s="219">
        <f>IFERROR(SUM(Y186,Y187,Y188,Y191,Y209,Y212)/(Y43+X43+V43+U43),"")</f>
        <v>0.0376969038565997</v>
      </c>
      <c r="Z308" s="219">
        <f>IFERROR(SUM(Z186,Z187,Z188,Z191,Z209,Z212)/(Z43+Y43+X43+V43),"")</f>
        <v>0.116869249119618</v>
      </c>
      <c r="AA308" s="219">
        <f>IFERROR(SUM(AA186,AA187,AA188,AA191,AA209,AA212)/(AA43+Z43+Y43+X43),"")</f>
        <v>0.0970869507734344</v>
      </c>
      <c r="AC308" s="219">
        <f>IFERROR(SUM(AC186,AC187,AC188,AC191,AC209,AC212)/(AC43+AA43+Z43+Y43),"")</f>
        <v>0.0944196066621881</v>
      </c>
      <c r="AD308" s="219">
        <f>IFERROR(SUM(AD186,AD187,AD188,AD191,AD209,AD212)/(AD43+AC43+AA43+Z43),"")</f>
        <v>0.151810892327309</v>
      </c>
      <c r="AE308" s="219">
        <f>IFERROR(SUM(AE186,AE187,AE188,AE191,AE209,AE212)/(AE43+AD43+AC43+AA43),"")</f>
        <v>0.0865739289761084</v>
      </c>
      <c r="AF308" s="219">
        <f>IFERROR(SUM(AF186,AF187,AF188,AF191,AF209,AF212)/(AF43+AE43+AD43+AC43),"")</f>
        <v>0.0237759174535189</v>
      </c>
      <c r="AH308" s="219">
        <f>IFERROR(SUM(AH186,AH187,AH188,AH191,AH209,AH212)/(AH43+AF43+AE43+AD43),"")</f>
        <v>0.141206115378092</v>
      </c>
      <c r="AI308" s="219">
        <f>IFERROR(SUM(AI186,AI187,AI188,AI191,AI209,AI212)/(AI43+AH43+AF43+AE43),"")</f>
        <v>0.00720885916657678</v>
      </c>
      <c r="AJ308" s="219">
        <f>IFERROR(SUM(AJ186,AJ187,AJ188,AJ191,AJ209,AJ212)/(AJ43+AI43+AH43+AF43),"")</f>
        <v>0.00910101904178298</v>
      </c>
      <c r="AK308" s="219">
        <f>IFERROR(SUM(AK186,AK187,AK188,AK191,AK209,AK212)/(AK43+AJ43+AI43+AH43),"")</f>
        <v>0.0120721317397718</v>
      </c>
      <c r="AM308" s="219">
        <f>IFERROR(SUM(AM186,AM187,AM188,AM191,AM209,AM212)/(AM43+AK43+AJ43+AI43),"")</f>
        <v>0.0173457911584047</v>
      </c>
      <c r="AN308" s="219" t="str">
        <f>IFERROR(SUM(AN186,AN187,AN188,AN191,AN209,AN212)/(AN43+AM43+AK43+AJ43),"")</f>
        <v/>
      </c>
      <c r="AO308" s="219" t="str">
        <f>IFERROR(SUM(AO186,AO187,AO188,AO191,AO209,AO212)/(AO43+AN43+AM43+AK43),"")</f>
        <v/>
      </c>
      <c r="AP308" s="219" t="str">
        <f>IFERROR(SUM(AP186,AP187,AP188,AP191,AP209,AP212)/(AP43+AO43+AN43+AM43),"")</f>
        <v/>
      </c>
      <c r="AR308" s="219" t="str">
        <f>IFERROR(SUM(AR186,AR187,AR188,AR191,AR209,AR212)/(AR43+AP43+AO43+AN43),"")</f>
        <v/>
      </c>
      <c r="AS308" s="219" t="str">
        <f>IFERROR(SUM(AS186,AS187,AS188,AS191,AS209,AS212)/(AS43+AR43+AP43+AO43),"")</f>
        <v/>
      </c>
      <c r="AT308" s="219" t="str">
        <f>IFERROR(SUM(AT186,AT187,AT188,AT191,AT209,AT212)/(AT43+AS43+AR43+AP43),"")</f>
        <v/>
      </c>
      <c r="AU308" s="219" t="str">
        <f>IFERROR(SUM(AU186,AU187,AU188,AU191,AU209,AU212)/(AU43+AT43+AS43+AR43),"")</f>
        <v/>
      </c>
      <c r="AW308" s="219" t="str">
        <f>IFERROR(SUM(AW186,AW187,AW188,AW191,AW209,AW212)/(AW43+AU43+AT43+AS43),"")</f>
        <v/>
      </c>
      <c r="AX308" s="219" t="str">
        <f>IFERROR(SUM(AX186,AX187,AX188,AX191,AX209,AX212)/(AX43+AW43+AU43+AT43),"")</f>
        <v/>
      </c>
      <c r="AY308" s="219" t="str">
        <f>IFERROR(SUM(AY186,AY187,AY188,AY191,AY209,AY212)/(AY43+AX43+AW43+AU43),"")</f>
        <v/>
      </c>
      <c r="AZ308" s="219" t="str">
        <f>IFERROR(SUM(AZ186,AZ187,AZ188,AZ191,AZ209,AZ212)/(AZ43+AY43+AX43+AW43),"")</f>
        <v/>
      </c>
      <c r="BB308" s="219" t="str">
        <f>IFERROR(SUM(BB186,BB187,BB188,BB191,BB209,BB212)/(BB43+AZ43+AY43+AX43),"")</f>
        <v/>
      </c>
      <c r="BC308" s="219" t="str">
        <f>IFERROR(SUM(BC186,BC187,BC188,BC191,BC209,BC212)/(BC43+BB43+AZ43+AY43),"")</f>
        <v/>
      </c>
      <c r="BD308" s="219" t="str">
        <f>IFERROR(SUM(BD186,BD187,BD188,BD191,BD209,BD212)/(BD43+BC43+BB43+AZ43),"")</f>
        <v/>
      </c>
      <c r="BE308" s="219" t="str">
        <f>IFERROR(SUM(BE186,BE187,BE188,BE191,BE209,BE212)/(BE43+BD43+BC43+BB43),"")</f>
        <v/>
      </c>
      <c r="BG308" s="219" t="str">
        <f>IFERROR(SUM(BG186,BG187,BG188,BG191,BG209,BG212)/(BG43+BE43+BD43+BC43),"")</f>
        <v/>
      </c>
      <c r="BH308" s="219" t="str">
        <f>IFERROR(SUM(BH186,BH187,BH188,BH191,BH209,BH212)/(BH43+BG43+BE43+BD43),"")</f>
        <v/>
      </c>
      <c r="BI308" s="219" t="str">
        <f>IFERROR(SUM(BI186,BI187,BI188,BI191,BI209,BI212)/(BI43+BH43+BG43+BE43),"")</f>
        <v/>
      </c>
      <c r="BJ308" s="219" t="str">
        <f>IFERROR(SUM(BJ186,BJ187,BJ188,BJ191,BJ209,BJ212)/(BJ43+BI43+BH43+BG43),"")</f>
        <v/>
      </c>
      <c r="BL308" s="219" t="str">
        <f>IFERROR(SUM(BL186,BL187,BL188,BL191,BL209,BL212)/(BL43+BJ43+BI43+BH43),"")</f>
        <v/>
      </c>
      <c r="BM308" s="219" t="str">
        <f>IFERROR(SUM(BM186,BM187,BM188,BM191,BM209,BM212)/(BM43+BL43+BJ43+BI43),"")</f>
        <v/>
      </c>
      <c r="BN308" s="219" t="str">
        <f>IFERROR(SUM(BN186,BN187,BN188,BN191,BN209,BN212)/(BN43+BM43+BL43+BJ43),"")</f>
        <v/>
      </c>
      <c r="BO308" s="219" t="str">
        <f>IFERROR(SUM(BO186,BO187,BO188,BO191,BO209,BO212)/(BO43+BN43+BM43+BL43),"")</f>
        <v/>
      </c>
      <c r="BQ308" s="219" t="str">
        <f>IFERROR(SUM(BQ186,BQ187,BQ188,BQ191,BQ209,BQ212)/(BQ43+BO43+BN43+BM43),"")</f>
        <v/>
      </c>
      <c r="BR308" s="219" t="str">
        <f>IFERROR(SUM(BR186,BR187,BR188,BR191,BR209,BR212)/(BR43+BQ43+BO43+BN43),"")</f>
        <v/>
      </c>
      <c r="BS308" s="219" t="str">
        <f>IFERROR(SUM(BS186,BS187,BS188,BS191,BS209,BS212)/(BS43+BR43+BQ43+BO43),"")</f>
        <v/>
      </c>
      <c r="BT308" s="219" t="str">
        <f>IFERROR(SUM(BT186,BT187,BT188,BT191,BT209,BT212)/(BT43+BS43+BR43+BQ43),"")</f>
        <v/>
      </c>
      <c r="BV308" s="219" t="str">
        <f>IFERROR(SUM(BV186,BV187,BV188,BV191,BV209,BV212)/(BV43+BT43+BS43+BR43),"")</f>
        <v/>
      </c>
      <c r="BW308" s="219" t="str">
        <f>IFERROR(SUM(BW186,BW187,BW188,BW191,BW209,BW212)/(BW43+BV43+BT43+BS43),"")</f>
        <v/>
      </c>
      <c r="BX308" s="219" t="str">
        <f>IFERROR(SUM(BX186,BX187,BX188,BX191,BX209,BX212)/(BX43+BW43+BV43+BT43),"")</f>
        <v/>
      </c>
      <c r="BY308" s="219" t="str">
        <f>IFERROR(SUM(BY186,BY187,BY188,BY191,BY209,BY212)/(BY43+BX43+BW43+BV43),"")</f>
        <v/>
      </c>
      <c r="CA308" s="219" t="str">
        <f>IFERROR(SUM(CA186,CA187,CA188,CA191,CA209,CA212)/(CA43+BY43+BX43+BW43),"")</f>
        <v/>
      </c>
      <c r="CB308" s="219" t="str">
        <f>IFERROR(SUM(CB186,CB187,CB188,CB191,CB209,CB212)/(CB43+CA43+BY43+BX43),"")</f>
        <v/>
      </c>
      <c r="CC308" s="219" t="str">
        <f>IFERROR(SUM(CC186,CC187,CC188,CC191,CC209,CC212)/(CC43+CB43+CA43+BY43),"")</f>
        <v/>
      </c>
      <c r="CD308" s="219" t="str">
        <f>IFERROR(SUM(CD186,CD187,CD188,CD191,CD209,CD212)/(CD43+CC43+CB43+CA43),"")</f>
        <v/>
      </c>
      <c r="CF308" s="219" t="str">
        <f>IFERROR(SUM(CF186,CF187,CF188,CF191,CF209,CF212)/(CF43+CD43+CC43+CB43),"")</f>
        <v/>
      </c>
      <c r="CG308" s="219" t="str">
        <f>IFERROR(SUM(CG186,CG187,CG188,CG191,CG209,CG212)/(CG43+CF43+CD43+CC43),"")</f>
        <v/>
      </c>
      <c r="CH308" s="219" t="str">
        <f>IFERROR(SUM(CH186,CH187,CH188,CH191,CH209,CH212)/(CH43+CG43+CF43+CD43),"")</f>
        <v/>
      </c>
      <c r="CI308" s="219" t="str">
        <f>IFERROR(SUM(CI186,CI187,CI188,CI191,CI209,CI212)/(CI43+CH43+CG43+CF43),"")</f>
        <v/>
      </c>
      <c r="CK308" s="219" t="str">
        <f>IFERROR(SUM(CK186,CK187,CK188,CK191,CK209,CK212)/(CK43+CI43+CH43+CG43),"")</f>
        <v/>
      </c>
      <c r="CL308" s="219" t="str">
        <f>IFERROR(SUM(CL186,CL187,CL188,CL191,CL209,CL212)/(CL43+CK43+CI43+CH43),"")</f>
        <v/>
      </c>
      <c r="CM308" s="219" t="str">
        <f>IFERROR(SUM(CM186,CM187,CM188,CM191,CM209,CM212)/(CM43+CL43+CK43+CI43),"")</f>
        <v/>
      </c>
      <c r="CN308" s="219" t="str">
        <f>IFERROR(SUM(CN186,CN187,CN188,CN191,CN209,CN212)/(CN43+CM43+CL43+CK43),"")</f>
        <v/>
      </c>
      <c r="CP308" s="219" t="str">
        <f>IFERROR(SUM(CP186,CP187,CP188,CP191,CP209,CP212)/(CP43+CN43+CM43+CL43),"")</f>
        <v/>
      </c>
      <c r="CQ308" s="219" t="str">
        <f>IFERROR(SUM(CQ186,CQ187,CQ188,CQ191,CQ209,CQ212)/(CQ43+CP43+CN43+CM43),"")</f>
        <v/>
      </c>
      <c r="CR308" s="219" t="str">
        <f>IFERROR(SUM(CR186,CR187,CR188,CR191,CR209,CR212)/(CR43+CQ43+CP43+CN43),"")</f>
        <v/>
      </c>
      <c r="CS308" s="219" t="str">
        <f>IFERROR(SUM(CS186,CS187,CS188,CS191,CS209,CS212)/(CS43+CR43+CQ43+CP43),"")</f>
        <v/>
      </c>
      <c r="CU308" s="219" t="str">
        <f>IFERROR(SUM(CU186,CU187,CU188,CU191,CU209,CU212)/(CU43+CS43+CR43+CQ43),"")</f>
        <v/>
      </c>
      <c r="CV308" s="219" t="str">
        <f>IFERROR(SUM(CV186,CV187,CV188,CV191,CV209,CV212)/(CV43+CU43+CS43+CR43),"")</f>
        <v/>
      </c>
      <c r="CW308" s="219" t="str">
        <f>IFERROR(SUM(CW186,CW187,CW188,CW191,CW209,CW212)/(CW43+CV43+CU43+CS43),"")</f>
        <v/>
      </c>
      <c r="CX308" s="219" t="str">
        <f>IFERROR(SUM(CX186,CX187,CX188,CX191,CX209,CX212)/(CX43+CW43+CV43+CU43),"")</f>
        <v/>
      </c>
    </row>
    <row r="309" customFormat="1" s="233">
      <c r="A309" s="224" t="n"/>
      <c r="B309" s="224" t="n"/>
      <c r="C309" s="233" t="inlineStr">
        <is>
          <t>TOTAL DEBT / TOTAL CAPITALIZATION</t>
        </is>
      </c>
      <c r="D309" s="221">
        <f>SUM(D186+D187+D188+D191+D209+D212)/(SUM(D186+D187+D188+D191+D209+D212)+D245)</f>
        <v>0.0565617635187042</v>
      </c>
      <c r="E309" s="221">
        <f>SUM(E186+E187+E188+E191+E209+E212)/(SUM(E186+E187+E188+E191+E209+E212)+E245)</f>
        <v>0.0271542019878816</v>
      </c>
      <c r="F309" s="221">
        <f>SUM(F186+F187+F188+F191+F209+F212)/(SUM(F186+F187+F188+F191+F209+F212)+F245)</f>
        <v>0.00399794822279887</v>
      </c>
      <c r="G309" s="221">
        <f>SUM(G186+G187+G188+G191+G209+G212)/(SUM(G186+G187+G188+G191+G209+G212)+G245)</f>
        <v>0.0115286652665445</v>
      </c>
      <c r="I309" s="221">
        <f>SUM(I186+I187+I188+I191+I209+I212)/(SUM(I186+I187+I188+I191+I209+I212)+I245)</f>
        <v>0.0351372537634096</v>
      </c>
      <c r="J309" s="221">
        <f>SUM(J186+J187+J188+J191+J209+J212)/(SUM(J186+J187+J188+J191+J209+J212)+J245)</f>
        <v>0.0254497554727527</v>
      </c>
      <c r="K309" s="221">
        <f>SUM(K186+K187+K188+K191+K209+K212)/(SUM(K186+K187+K188+K191+K209+K212)+K245)</f>
        <v>0.00212388605460796</v>
      </c>
      <c r="L309" s="221">
        <f>SUM(L186+L187+L188+L191+L209+L212)/(SUM(L186+L187+L188+L191+L209+L212)+L245)</f>
        <v>0.00182601500756084</v>
      </c>
      <c r="N309" s="221">
        <f>SUM(N186+N187+N188+N191+N209+N212)/(SUM(N186+N187+N188+N191+N209+N212)+N245)</f>
        <v>0.0021300554899806</v>
      </c>
      <c r="O309" s="221">
        <f>SUM(O186+O187+O188+O191+O209+O212)/(SUM(O186+O187+O188+O191+O209+O212)+O245)</f>
        <v>0.0204699858040965</v>
      </c>
      <c r="P309" s="221">
        <f>SUM(P186+P187+P188+P191+P209+P212)/(SUM(P186+P187+P188+P191+P209+P212)+P245)</f>
        <v>0.013722752211952</v>
      </c>
      <c r="Q309" s="221">
        <f>SUM(Q186+Q187+Q188+Q191+Q209+Q212)/(SUM(Q186+Q187+Q188+Q191+Q209+Q212)+Q245)</f>
        <v>0.0121080601210806</v>
      </c>
      <c r="S309" s="221">
        <f>SUM(S186+S187+S188+S191+S209+S212)/(SUM(S186+S187+S188+S191+S209+S212)+S245)</f>
        <v>0.0179414195207052</v>
      </c>
      <c r="T309" s="221">
        <f>SUM(T186+T187+T188+T191+T209+T212)/(SUM(T186+T187+T188+T191+T209+T212)+T245)</f>
        <v>0.00790324288303325</v>
      </c>
      <c r="U309" s="221">
        <f>SUM(U186+U187+U188+U191+U209+U212)/(SUM(U186+U187+U188+U191+U209+U212)+U245)</f>
        <v>0.00263966212324822</v>
      </c>
      <c r="V309" s="221">
        <f>SUM(V186+V187+V188+V191+V209+V212)/(SUM(V186+V187+V188+V191+V209+V212)+V245)</f>
        <v>0.00325622622462421</v>
      </c>
      <c r="X309" s="221">
        <f>SUM(X186+X187+X188+X191+X209+X212)/(SUM(X186+X187+X188+X191+X209+X212)+X245)</f>
        <v>0.00174140720522669</v>
      </c>
      <c r="Y309" s="221">
        <f>SUM(Y186+Y187+Y188+Y191+Y209+Y212)/(SUM(Y186+Y187+Y188+Y191+Y209+Y212)+Y245)</f>
        <v>0.0107100087655403</v>
      </c>
      <c r="Z309" s="221">
        <f>SUM(Z186+Z187+Z188+Z191+Z209+Z212)/(SUM(Z186+Z187+Z188+Z191+Z209+Z212)+Z245)</f>
        <v>0.0317190178450306</v>
      </c>
      <c r="AA309" s="221">
        <f>SUM(AA186+AA187+AA188+AA191+AA209+AA212)/(SUM(AA186+AA187+AA188+AA191+AA209+AA212)+AA245)</f>
        <v>0.0279634178074802</v>
      </c>
      <c r="AC309" s="221">
        <f>SUM(AC186+AC187+AC188+AC191+AC209+AC212)/(SUM(AC186+AC187+AC188+AC191+AC209+AC212)+AC245)</f>
        <v>0.0264407483328576</v>
      </c>
      <c r="AD309" s="221">
        <f>SUM(AD186+AD187+AD188+AD191+AD209+AD212)/(SUM(AD186+AD187+AD188+AD191+AD209+AD212)+AD245)</f>
        <v>0.0403456523014161</v>
      </c>
      <c r="AE309" s="221">
        <f>SUM(AE186+AE187+AE188+AE191+AE209+AE212)/(SUM(AE186+AE187+AE188+AE191+AE209+AE212)+AE245)</f>
        <v>0.018027922948326</v>
      </c>
      <c r="AF309" s="221">
        <f>SUM(AF186+AF187+AF188+AF191+AF209+AF212)/(SUM(AF186+AF187+AF188+AF191+AF209+AF212)+AF245)</f>
        <v>0.00505816632410576</v>
      </c>
      <c r="AH309" s="221">
        <f>SUM(AH186+AH187+AH188+AH191+AH209+AH212)/(SUM(AH186+AH187+AH188+AH191+AH209+AH212)+AH245)</f>
        <v>0.0298567103315078</v>
      </c>
      <c r="AI309" s="221">
        <f>SUM(AI186+AI187+AI188+AI191+AI209+AI212)/(SUM(AI186+AI187+AI188+AI191+AI209+AI212)+AI245)</f>
        <v>0.00204634642961028</v>
      </c>
      <c r="AJ309" s="221">
        <f>SUM(AJ186+AJ187+AJ188+AJ191+AJ209+AJ212)/(SUM(AJ186+AJ187+AJ188+AJ191+AJ209+AJ212)+AJ245)</f>
        <v>0.00204634642961028</v>
      </c>
      <c r="AK309" s="221">
        <f>SUM(AK186+AK187+AK188+AK191+AK209+AK212)/(SUM(AK186+AK187+AK188+AK191+AK209+AK212)+AK245)</f>
        <v>0.00204634642961028</v>
      </c>
      <c r="AM309" s="221">
        <f>SUM(AM186+AM187+AM188+AM191+AM209+AM212)/(SUM(AM186+AM187+AM188+AM191+AM209+AM212)+AM245)</f>
        <v>0.00204634642961028</v>
      </c>
      <c r="AN309" s="221">
        <f>SUM(AN186+AN187+AN188+AN191+AN209+AN212)/(SUM(AN186+AN187+AN188+AN191+AN209+AN212)+AN245)</f>
        <v>0.00204634642961028</v>
      </c>
      <c r="AO309" s="221">
        <f>SUM(AO186+AO187+AO188+AO191+AO209+AO212)/(SUM(AO186+AO187+AO188+AO191+AO209+AO212)+AO245)</f>
        <v>0.00204634642961028</v>
      </c>
      <c r="AP309" s="221">
        <f>SUM(AP186+AP187+AP188+AP191+AP209+AP212)/(SUM(AP186+AP187+AP188+AP191+AP209+AP212)+AP245)</f>
        <v>0.00204634642961028</v>
      </c>
      <c r="AR309" s="221">
        <f>SUM(AR186+AR187+AR188+AR191+AR209+AR212)/(SUM(AR186+AR187+AR188+AR191+AR209+AR212)+AR245)</f>
        <v>0.00204634642961028</v>
      </c>
      <c r="AS309" s="221">
        <f>SUM(AS186+AS187+AS188+AS191+AS209+AS212)/(SUM(AS186+AS187+AS188+AS191+AS209+AS212)+AS245)</f>
        <v>0.00204634642961028</v>
      </c>
      <c r="AT309" s="221">
        <f>SUM(AT186+AT187+AT188+AT191+AT209+AT212)/(SUM(AT186+AT187+AT188+AT191+AT209+AT212)+AT245)</f>
        <v>0.00204634642961028</v>
      </c>
      <c r="AU309" s="221">
        <f>SUM(AU186+AU187+AU188+AU191+AU209+AU212)/(SUM(AU186+AU187+AU188+AU191+AU209+AU212)+AU245)</f>
        <v>0.00204634642961028</v>
      </c>
      <c r="AW309" s="221">
        <f>SUM(AW186+AW187+AW188+AW191+AW209+AW212)/(SUM(AW186+AW187+AW188+AW191+AW209+AW212)+AW245)</f>
        <v>0.00204634642961028</v>
      </c>
      <c r="AX309" s="221">
        <f>SUM(AX186+AX187+AX188+AX191+AX209+AX212)/(SUM(AX186+AX187+AX188+AX191+AX209+AX212)+AX245)</f>
        <v>0.00204634642961028</v>
      </c>
      <c r="AY309" s="221">
        <f>SUM(AY186+AY187+AY188+AY191+AY209+AY212)/(SUM(AY186+AY187+AY188+AY191+AY209+AY212)+AY245)</f>
        <v>0.00204634642961028</v>
      </c>
      <c r="AZ309" s="221">
        <f>SUM(AZ186+AZ187+AZ188+AZ191+AZ209+AZ212)/(SUM(AZ186+AZ187+AZ188+AZ191+AZ209+AZ212)+AZ245)</f>
        <v>0.00204634642961028</v>
      </c>
      <c r="BB309" s="221">
        <f>SUM(BB186+BB187+BB188+BB191+BB209+BB212)/(SUM(BB186+BB187+BB188+BB191+BB209+BB212)+BB245)</f>
        <v>0.00204634642961028</v>
      </c>
      <c r="BC309" s="221">
        <f>SUM(BC186+BC187+BC188+BC191+BC209+BC212)/(SUM(BC186+BC187+BC188+BC191+BC209+BC212)+BC245)</f>
        <v>0.00204634642961028</v>
      </c>
      <c r="BD309" s="221">
        <f>SUM(BD186+BD187+BD188+BD191+BD209+BD212)/(SUM(BD186+BD187+BD188+BD191+BD209+BD212)+BD245)</f>
        <v>0.00204634642961028</v>
      </c>
      <c r="BE309" s="221">
        <f>SUM(BE186+BE187+BE188+BE191+BE209+BE212)/(SUM(BE186+BE187+BE188+BE191+BE209+BE212)+BE245)</f>
        <v>0.00204634642961028</v>
      </c>
      <c r="BG309" s="221">
        <f>SUM(BG186+BG187+BG188+BG191+BG209+BG212)/(SUM(BG186+BG187+BG188+BG191+BG209+BG212)+BG245)</f>
        <v>0.00204634642961028</v>
      </c>
      <c r="BH309" s="221">
        <f>SUM(BH186+BH187+BH188+BH191+BH209+BH212)/(SUM(BH186+BH187+BH188+BH191+BH209+BH212)+BH245)</f>
        <v>0.00204634642961028</v>
      </c>
      <c r="BI309" s="221">
        <f>SUM(BI186+BI187+BI188+BI191+BI209+BI212)/(SUM(BI186+BI187+BI188+BI191+BI209+BI212)+BI245)</f>
        <v>0.00204634642961028</v>
      </c>
      <c r="BJ309" s="221">
        <f>SUM(BJ186+BJ187+BJ188+BJ191+BJ209+BJ212)/(SUM(BJ186+BJ187+BJ188+BJ191+BJ209+BJ212)+BJ245)</f>
        <v>0.00204634642961028</v>
      </c>
      <c r="BL309" s="221">
        <f>SUM(BL186+BL187+BL188+BL191+BL209+BL212)/(SUM(BL186+BL187+BL188+BL191+BL209+BL212)+BL245)</f>
        <v>0.00204634642961028</v>
      </c>
      <c r="BM309" s="221">
        <f>SUM(BM186+BM187+BM188+BM191+BM209+BM212)/(SUM(BM186+BM187+BM188+BM191+BM209+BM212)+BM245)</f>
        <v>0.00204634642961028</v>
      </c>
      <c r="BN309" s="221">
        <f>SUM(BN186+BN187+BN188+BN191+BN209+BN212)/(SUM(BN186+BN187+BN188+BN191+BN209+BN212)+BN245)</f>
        <v>0.00204634642961028</v>
      </c>
      <c r="BO309" s="221">
        <f>SUM(BO186+BO187+BO188+BO191+BO209+BO212)/(SUM(BO186+BO187+BO188+BO191+BO209+BO212)+BO245)</f>
        <v>0.00204634642961028</v>
      </c>
      <c r="BQ309" s="221">
        <f>SUM(BQ186+BQ187+BQ188+BQ191+BQ209+BQ212)/(SUM(BQ186+BQ187+BQ188+BQ191+BQ209+BQ212)+BQ245)</f>
        <v>0.00204634642961028</v>
      </c>
      <c r="BR309" s="221">
        <f>SUM(BR186+BR187+BR188+BR191+BR209+BR212)/(SUM(BR186+BR187+BR188+BR191+BR209+BR212)+BR245)</f>
        <v>0.00204634642961028</v>
      </c>
      <c r="BS309" s="221">
        <f>SUM(BS186+BS187+BS188+BS191+BS209+BS212)/(SUM(BS186+BS187+BS188+BS191+BS209+BS212)+BS245)</f>
        <v>0.00204634642961028</v>
      </c>
      <c r="BT309" s="221">
        <f>SUM(BT186+BT187+BT188+BT191+BT209+BT212)/(SUM(BT186+BT187+BT188+BT191+BT209+BT212)+BT245)</f>
        <v>0.00204634642961028</v>
      </c>
      <c r="BV309" s="221">
        <f>SUM(BV186+BV187+BV188+BV191+BV209+BV212)/(SUM(BV186+BV187+BV188+BV191+BV209+BV212)+BV245)</f>
        <v>0.00204634642961028</v>
      </c>
      <c r="BW309" s="221">
        <f>SUM(BW186+BW187+BW188+BW191+BW209+BW212)/(SUM(BW186+BW187+BW188+BW191+BW209+BW212)+BW245)</f>
        <v>0.00204634642961028</v>
      </c>
      <c r="BX309" s="221">
        <f>SUM(BX186+BX187+BX188+BX191+BX209+BX212)/(SUM(BX186+BX187+BX188+BX191+BX209+BX212)+BX245)</f>
        <v>0.00204634642961028</v>
      </c>
      <c r="BY309" s="221">
        <f>SUM(BY186+BY187+BY188+BY191+BY209+BY212)/(SUM(BY186+BY187+BY188+BY191+BY209+BY212)+BY245)</f>
        <v>0.00204634642961028</v>
      </c>
      <c r="CA309" s="221">
        <f>SUM(CA186+CA187+CA188+CA191+CA209+CA212)/(SUM(CA186+CA187+CA188+CA191+CA209+CA212)+CA245)</f>
        <v>0.00204634642961028</v>
      </c>
      <c r="CB309" s="221">
        <f>SUM(CB186+CB187+CB188+CB191+CB209+CB212)/(SUM(CB186+CB187+CB188+CB191+CB209+CB212)+CB245)</f>
        <v>0.00204634642961028</v>
      </c>
      <c r="CC309" s="221">
        <f>SUM(CC186+CC187+CC188+CC191+CC209+CC212)/(SUM(CC186+CC187+CC188+CC191+CC209+CC212)+CC245)</f>
        <v>0.00204634642961028</v>
      </c>
      <c r="CD309" s="221">
        <f>SUM(CD186+CD187+CD188+CD191+CD209+CD212)/(SUM(CD186+CD187+CD188+CD191+CD209+CD212)+CD245)</f>
        <v>0.00204634642961028</v>
      </c>
      <c r="CF309" s="221">
        <f>SUM(CF186+CF187+CF188+CF191+CF209+CF212)/(SUM(CF186+CF187+CF188+CF191+CF209+CF212)+CF245)</f>
        <v>0.00204634642961028</v>
      </c>
      <c r="CG309" s="221">
        <f>SUM(CG186+CG187+CG188+CG191+CG209+CG212)/(SUM(CG186+CG187+CG188+CG191+CG209+CG212)+CG245)</f>
        <v>0.00204634642961028</v>
      </c>
      <c r="CH309" s="221">
        <f>SUM(CH186+CH187+CH188+CH191+CH209+CH212)/(SUM(CH186+CH187+CH188+CH191+CH209+CH212)+CH245)</f>
        <v>0.00204634642961028</v>
      </c>
      <c r="CI309" s="221">
        <f>SUM(CI186+CI187+CI188+CI191+CI209+CI212)/(SUM(CI186+CI187+CI188+CI191+CI209+CI212)+CI245)</f>
        <v>0.00204634642961028</v>
      </c>
      <c r="CK309" s="221">
        <f>SUM(CK186+CK187+CK188+CK191+CK209+CK212)/(SUM(CK186+CK187+CK188+CK191+CK209+CK212)+CK245)</f>
        <v>0.00204634642961028</v>
      </c>
      <c r="CL309" s="221">
        <f>SUM(CL186+CL187+CL188+CL191+CL209+CL212)/(SUM(CL186+CL187+CL188+CL191+CL209+CL212)+CL245)</f>
        <v>0.00204634642961028</v>
      </c>
      <c r="CM309" s="221">
        <f>SUM(CM186+CM187+CM188+CM191+CM209+CM212)/(SUM(CM186+CM187+CM188+CM191+CM209+CM212)+CM245)</f>
        <v>0.00204634642961028</v>
      </c>
      <c r="CN309" s="221">
        <f>SUM(CN186+CN187+CN188+CN191+CN209+CN212)/(SUM(CN186+CN187+CN188+CN191+CN209+CN212)+CN245)</f>
        <v>0.00204634642961028</v>
      </c>
      <c r="CP309" s="221">
        <f>SUM(CP186+CP187+CP188+CP191+CP209+CP212)/(SUM(CP186+CP187+CP188+CP191+CP209+CP212)+CP245)</f>
        <v>0.00204634642961028</v>
      </c>
      <c r="CQ309" s="221">
        <f>SUM(CQ186+CQ187+CQ188+CQ191+CQ209+CQ212)/(SUM(CQ186+CQ187+CQ188+CQ191+CQ209+CQ212)+CQ245)</f>
        <v>0.00204634642961028</v>
      </c>
      <c r="CR309" s="221">
        <f>SUM(CR186+CR187+CR188+CR191+CR209+CR212)/(SUM(CR186+CR187+CR188+CR191+CR209+CR212)+CR245)</f>
        <v>0.00204634642961028</v>
      </c>
      <c r="CS309" s="221">
        <f>SUM(CS186+CS187+CS188+CS191+CS209+CS212)/(SUM(CS186+CS187+CS188+CS191+CS209+CS212)+CS245)</f>
        <v>0.00204634642961028</v>
      </c>
      <c r="CU309" s="221">
        <f>SUM(CU186+CU187+CU188+CU191+CU209+CU212)/(SUM(CU186+CU187+CU188+CU191+CU209+CU212)+CU245)</f>
        <v>0.00204634642961028</v>
      </c>
      <c r="CV309" s="221">
        <f>SUM(CV186+CV187+CV188+CV191+CV209+CV212)/(SUM(CV186+CV187+CV188+CV191+CV209+CV212)+CV245)</f>
        <v>0.00204634642961028</v>
      </c>
      <c r="CW309" s="221">
        <f>SUM(CW186+CW187+CW188+CW191+CW209+CW212)/(SUM(CW186+CW187+CW188+CW191+CW209+CW212)+CW245)</f>
        <v>0.00204634642961028</v>
      </c>
      <c r="CX309" s="221">
        <f>SUM(CX186+CX187+CX188+CX191+CX209+CX212)/(SUM(CX186+CX187+CX188+CX191+CX209+CX212)+CX245)</f>
        <v>0.00204634642961028</v>
      </c>
    </row>
    <row r="310" customFormat="1" s="233">
      <c r="A310" s="224" t="n"/>
      <c r="B310" s="224" t="n"/>
      <c r="C310" s="233" t="inlineStr">
        <is>
          <t>NET DEBT / EBITDA LTM (com arrendamentos)</t>
        </is>
      </c>
      <c r="D310" s="219" t="str">
        <f>""</f>
        <v/>
      </c>
      <c r="E310" s="219" t="str">
        <f>""</f>
        <v/>
      </c>
      <c r="F310" s="219" t="str">
        <f>""</f>
        <v/>
      </c>
      <c r="G310" s="219">
        <f>IFERROR((SUM(G186,G187,G188,G191,G209,G212)-G118)/(G43+F43+E43+D43),"")</f>
        <v>0.118961731493099</v>
      </c>
      <c r="I310" s="219">
        <f>IFERROR((SUM(I186,I187,I188,I191,I209,I212)-I118)/(I43+G43+F43+E43),"")</f>
        <v>0.444536882972823</v>
      </c>
      <c r="J310" s="219">
        <f>IFERROR((SUM(J186,J187,J188,J191,J209,J212)-J118)/(J43+I43+G43+F43),"")</f>
        <v>0.146396110758825</v>
      </c>
      <c r="K310" s="219">
        <f>IFERROR((SUM(K186,K187,K188,K191,K209,K212)-K118)/(K43+J43+I43+G43),"")</f>
        <v>0.00801847056254095</v>
      </c>
      <c r="L310" s="219">
        <f>IFERROR((SUM(L186,L187,L188,L191,L209,L212)-L118)/(L43+K43+J43+I43),"")</f>
        <v>0.00548713874267554</v>
      </c>
      <c r="N310" s="219">
        <f>IFERROR((SUM(N186,N187,N188,N191,N209,N212)-N118)/(N43+L43+K43+J43),"")</f>
        <v>0.00604834370089757</v>
      </c>
      <c r="O310" s="219">
        <f>IFERROR((SUM(O186,O187,O188,O191,O209,O212)-O118)/(O43+N43+L43+K43),"")</f>
        <v>-0.159896434694377</v>
      </c>
      <c r="P310" s="219">
        <f>IFERROR((SUM(P186,P187,P188,P191,P209,P212)-P118)/(P43+O43+N43+L43),"")</f>
        <v>-0.207160443489579</v>
      </c>
      <c r="Q310" s="219">
        <f>IFERROR((SUM(Q186,Q187,Q188,Q191,Q209,Q212)-Q118)/(Q43+P43+O43+N43),"")</f>
        <v>-0.239621705333113</v>
      </c>
      <c r="S310" s="219">
        <f>IFERROR((SUM(S186,S187,S188,S191,S209,S212)-S118)/(S43+Q43+P43+O43),"")</f>
        <v>-0.192547699214366</v>
      </c>
      <c r="T310" s="219">
        <f>IFERROR((SUM(T186,T187,T188,T191,T209,T212)-T118)/(T43+S43+Q43+P43),"")</f>
        <v>-0.142651912914094</v>
      </c>
      <c r="U310" s="219">
        <f>IFERROR((SUM(U186,U187,U188,U191,U209,U212)-U118)/(U43+T43+S43+Q43),"")</f>
        <v>-0.10530549703122</v>
      </c>
      <c r="V310" s="219">
        <f>IFERROR((SUM(V186,V187,V188,V191,V209,V212)-V118)/(V43+U43+T43+S43),"")</f>
        <v>-0.162392621203487</v>
      </c>
      <c r="X310" s="219">
        <f>IFERROR((SUM(X186,X187,X188,X191,X209,X212)-X118)/(X43+V43+U43+T43),"")</f>
        <v>-0.129363538295577</v>
      </c>
      <c r="Y310" s="219">
        <f>IFERROR((SUM(Y186,Y187,Y188,Y191,Y209,Y212)-Y118)/(Y43+X43+V43+U43),"")</f>
        <v>-0.0493862031504617</v>
      </c>
      <c r="Z310" s="219">
        <f>IFERROR((SUM(Z186,Z187,Z188,Z191,Z209,Z212)-Z118)/(Z43+Y43+X43+V43),"")</f>
        <v>0.116869249119618</v>
      </c>
      <c r="AA310" s="219">
        <f>IFERROR((SUM(AA186,AA187,AA188,AA191,AA209,AA212)-AA118)/(AA43+Z43+Y43+X43),"")</f>
        <v>0.0970869507734344</v>
      </c>
      <c r="AC310" s="219">
        <f>IFERROR((SUM(AC186,AC187,AC188,AC191,AC209,AC212)-AC118)/(AC43+AA43+Z43+Y43),"")</f>
        <v>0.0944196066621881</v>
      </c>
      <c r="AD310" s="219">
        <f>IFERROR((SUM(AD186,AD187,AD188,AD191,AD209,AD212)-AD118)/(AD43+AC43+AA43+Z43),"")</f>
        <v>0.151810892327309</v>
      </c>
      <c r="AE310" s="219">
        <f>IFERROR((SUM(AE186,AE187,AE188,AE191,AE209,AE212)-AE118)/(AE43+AD43+AC43+AA43),"")</f>
        <v>0.0865739289761084</v>
      </c>
      <c r="AF310" s="219">
        <f>IFERROR((SUM(AF186,AF187,AF188,AF191,AF209,AF212)-AF118)/(AF43+AE43+AD43+AC43),"")</f>
        <v>0.0237759174535189</v>
      </c>
      <c r="AH310" s="219">
        <f>IFERROR((SUM(AH186,AH187,AH188,AH191,AH209,AH212)-AH118)/(AH43+AF43+AE43+AD43),"")</f>
        <v>0.141206115378092</v>
      </c>
      <c r="AI310" s="219">
        <f>IFERROR((SUM(AI186,AI187,AI188,AI191,AI209,AI212)-AI118)/(AI43+AH43+AF43+AE43),"")</f>
        <v>0.00720885916657678</v>
      </c>
      <c r="AJ310" s="219">
        <f>IFERROR((SUM(AJ186,AJ187,AJ188,AJ191,AJ209,AJ212)-AJ118)/(AJ43+AI43+AH43+AF43),"")</f>
        <v>0.301604593631556</v>
      </c>
      <c r="AK310" s="219">
        <f>IFERROR((SUM(AK186,AK187,AK188,AK191,AK209,AK212)-AK118)/(AK43+AJ43+AI43+AH43),"")</f>
        <v>0.400066231146702</v>
      </c>
      <c r="AM310" s="219" t="str">
        <f>IFERROR((SUM(AM186,AM187,AM188,AM191,AM209,AM212)-AM118)/(AM43+AK43+AJ43+AI43),"")</f>
        <v/>
      </c>
      <c r="AN310" s="219" t="str">
        <f>IFERROR((SUM(AN186,AN187,AN188,AN191,AN209,AN212)-AN118)/(AN43+AM43+AK43+AJ43),"")</f>
        <v/>
      </c>
      <c r="AO310" s="219" t="str">
        <f>IFERROR((SUM(AO186,AO187,AO188,AO191,AO209,AO212)-AO118)/(AO43+AN43+AM43+AK43),"")</f>
        <v/>
      </c>
      <c r="AP310" s="219" t="str">
        <f>IFERROR((SUM(AP186,AP187,AP188,AP191,AP209,AP212)-AP118)/(AP43+AO43+AN43+AM43),"")</f>
        <v/>
      </c>
      <c r="AR310" s="219" t="str">
        <f>IFERROR((SUM(AR186,AR187,AR188,AR191,AR209,AR212)-AR118)/(AR43+AP43+AO43+AN43),"")</f>
        <v/>
      </c>
      <c r="AS310" s="219" t="str">
        <f>IFERROR((SUM(AS186,AS187,AS188,AS191,AS209,AS212)-AS118)/(AS43+AR43+AP43+AO43),"")</f>
        <v/>
      </c>
      <c r="AT310" s="219" t="str">
        <f>IFERROR((SUM(AT186,AT187,AT188,AT191,AT209,AT212)-AT118)/(AT43+AS43+AR43+AP43),"")</f>
        <v/>
      </c>
      <c r="AU310" s="219" t="str">
        <f>IFERROR((SUM(AU186,AU187,AU188,AU191,AU209,AU212)-AU118)/(AU43+AT43+AS43+AR43),"")</f>
        <v/>
      </c>
      <c r="AW310" s="219" t="str">
        <f>IFERROR((SUM(AW186,AW187,AW188,AW191,AW209,AW212)-AW118)/(AW43+AU43+AT43+AS43),"")</f>
        <v/>
      </c>
      <c r="AX310" s="219" t="str">
        <f>IFERROR((SUM(AX186,AX187,AX188,AX191,AX209,AX212)-AX118)/(AX43+AW43+AU43+AT43),"")</f>
        <v/>
      </c>
      <c r="AY310" s="219" t="str">
        <f>IFERROR((SUM(AY186,AY187,AY188,AY191,AY209,AY212)-AY118)/(AY43+AX43+AW43+AU43),"")</f>
        <v/>
      </c>
      <c r="AZ310" s="219" t="str">
        <f>IFERROR((SUM(AZ186,AZ187,AZ188,AZ191,AZ209,AZ212)-AZ118)/(AZ43+AY43+AX43+AW43),"")</f>
        <v/>
      </c>
      <c r="BB310" s="219" t="str">
        <f>IFERROR((SUM(BB186,BB187,BB188,BB191,BB209,BB212)-BB118)/(BB43+AZ43+AY43+AX43),"")</f>
        <v/>
      </c>
      <c r="BC310" s="219" t="str">
        <f>IFERROR((SUM(BC186,BC187,BC188,BC191,BC209,BC212)-BC118)/(BC43+BB43+AZ43+AY43),"")</f>
        <v/>
      </c>
      <c r="BD310" s="219" t="str">
        <f>IFERROR((SUM(BD186,BD187,BD188,BD191,BD209,BD212)-BD118)/(BD43+BC43+BB43+AZ43),"")</f>
        <v/>
      </c>
      <c r="BE310" s="219" t="str">
        <f>IFERROR((SUM(BE186,BE187,BE188,BE191,BE209,BE212)-BE118)/(BE43+BD43+BC43+BB43),"")</f>
        <v/>
      </c>
      <c r="BG310" s="219" t="str">
        <f>IFERROR((SUM(BG186,BG187,BG188,BG191,BG209,BG212)-BG118)/(BG43+BE43+BD43+BC43),"")</f>
        <v/>
      </c>
      <c r="BH310" s="219" t="str">
        <f>IFERROR((SUM(BH186,BH187,BH188,BH191,BH209,BH212)-BH118)/(BH43+BG43+BE43+BD43),"")</f>
        <v/>
      </c>
      <c r="BI310" s="219" t="str">
        <f>IFERROR((SUM(BI186,BI187,BI188,BI191,BI209,BI212)-BI118)/(BI43+BH43+BG43+BE43),"")</f>
        <v/>
      </c>
      <c r="BJ310" s="219" t="str">
        <f>IFERROR((SUM(BJ186,BJ187,BJ188,BJ191,BJ209,BJ212)-BJ118)/(BJ43+BI43+BH43+BG43),"")</f>
        <v/>
      </c>
      <c r="BL310" s="219" t="str">
        <f>IFERROR((SUM(BL186,BL187,BL188,BL191,BL209,BL212)-BL118)/(BL43+BJ43+BI43+BH43),"")</f>
        <v/>
      </c>
      <c r="BM310" s="219" t="str">
        <f>IFERROR((SUM(BM186,BM187,BM188,BM191,BM209,BM212)-BM118)/(BM43+BL43+BJ43+BI43),"")</f>
        <v/>
      </c>
      <c r="BN310" s="219" t="str">
        <f>IFERROR((SUM(BN186,BN187,BN188,BN191,BN209,BN212)-BN118)/(BN43+BM43+BL43+BJ43),"")</f>
        <v/>
      </c>
      <c r="BO310" s="219" t="str">
        <f>IFERROR((SUM(BO186,BO187,BO188,BO191,BO209,BO212)-BO118)/(BO43+BN43+BM43+BL43),"")</f>
        <v/>
      </c>
      <c r="BQ310" s="219" t="str">
        <f>IFERROR((SUM(BQ186,BQ187,BQ188,BQ191,BQ209,BQ212)-BQ118)/(BQ43+BO43+BN43+BM43),"")</f>
        <v/>
      </c>
      <c r="BR310" s="219" t="str">
        <f>IFERROR((SUM(BR186,BR187,BR188,BR191,BR209,BR212)-BR118)/(BR43+BQ43+BO43+BN43),"")</f>
        <v/>
      </c>
      <c r="BS310" s="219" t="str">
        <f>IFERROR((SUM(BS186,BS187,BS188,BS191,BS209,BS212)-BS118)/(BS43+BR43+BQ43+BO43),"")</f>
        <v/>
      </c>
      <c r="BT310" s="219" t="str">
        <f>IFERROR((SUM(BT186,BT187,BT188,BT191,BT209,BT212)-BT118)/(BT43+BS43+BR43+BQ43),"")</f>
        <v/>
      </c>
      <c r="BV310" s="219" t="str">
        <f>IFERROR((SUM(BV186,BV187,BV188,BV191,BV209,BV212)-BV118)/(BV43+BT43+BS43+BR43),"")</f>
        <v/>
      </c>
      <c r="BW310" s="219" t="str">
        <f>IFERROR((SUM(BW186,BW187,BW188,BW191,BW209,BW212)-BW118)/(BW43+BV43+BT43+BS43),"")</f>
        <v/>
      </c>
      <c r="BX310" s="219" t="str">
        <f>IFERROR((SUM(BX186,BX187,BX188,BX191,BX209,BX212)-BX118)/(BX43+BW43+BV43+BT43),"")</f>
        <v/>
      </c>
      <c r="BY310" s="219" t="str">
        <f>IFERROR((SUM(BY186,BY187,BY188,BY191,BY209,BY212)-BY118)/(BY43+BX43+BW43+BV43),"")</f>
        <v/>
      </c>
      <c r="CA310" s="219" t="str">
        <f>IFERROR((SUM(CA186,CA187,CA188,CA191,CA209,CA212)-CA118)/(CA43+BY43+BX43+BW43),"")</f>
        <v/>
      </c>
      <c r="CB310" s="219" t="str">
        <f>IFERROR((SUM(CB186,CB187,CB188,CB191,CB209,CB212)-CB118)/(CB43+CA43+BY43+BX43),"")</f>
        <v/>
      </c>
      <c r="CC310" s="219" t="str">
        <f>IFERROR((SUM(CC186,CC187,CC188,CC191,CC209,CC212)-CC118)/(CC43+CB43+CA43+BY43),"")</f>
        <v/>
      </c>
      <c r="CD310" s="219" t="str">
        <f>IFERROR((SUM(CD186,CD187,CD188,CD191,CD209,CD212)-CD118)/(CD43+CC43+CB43+CA43),"")</f>
        <v/>
      </c>
      <c r="CF310" s="219" t="str">
        <f>IFERROR((SUM(CF186,CF187,CF188,CF191,CF209,CF212)-CF118)/(CF43+CD43+CC43+CB43),"")</f>
        <v/>
      </c>
      <c r="CG310" s="219" t="str">
        <f>IFERROR((SUM(CG186,CG187,CG188,CG191,CG209,CG212)-CG118)/(CG43+CF43+CD43+CC43),"")</f>
        <v/>
      </c>
      <c r="CH310" s="219" t="str">
        <f>IFERROR((SUM(CH186,CH187,CH188,CH191,CH209,CH212)-CH118)/(CH43+CG43+CF43+CD43),"")</f>
        <v/>
      </c>
      <c r="CI310" s="219" t="str">
        <f>IFERROR((SUM(CI186,CI187,CI188,CI191,CI209,CI212)-CI118)/(CI43+CH43+CG43+CF43),"")</f>
        <v/>
      </c>
      <c r="CK310" s="219" t="str">
        <f>IFERROR((SUM(CK186,CK187,CK188,CK191,CK209,CK212)-CK118)/(CK43+CI43+CH43+CG43),"")</f>
        <v/>
      </c>
      <c r="CL310" s="219" t="str">
        <f>IFERROR((SUM(CL186,CL187,CL188,CL191,CL209,CL212)-CL118)/(CL43+CK43+CI43+CH43),"")</f>
        <v/>
      </c>
      <c r="CM310" s="219" t="str">
        <f>IFERROR((SUM(CM186,CM187,CM188,CM191,CM209,CM212)-CM118)/(CM43+CL43+CK43+CI43),"")</f>
        <v/>
      </c>
      <c r="CN310" s="219" t="str">
        <f>IFERROR((SUM(CN186,CN187,CN188,CN191,CN209,CN212)-CN118)/(CN43+CM43+CL43+CK43),"")</f>
        <v/>
      </c>
      <c r="CP310" s="219" t="str">
        <f>IFERROR((SUM(CP186,CP187,CP188,CP191,CP209,CP212)-CP118)/(CP43+CN43+CM43+CL43),"")</f>
        <v/>
      </c>
      <c r="CQ310" s="219" t="str">
        <f>IFERROR((SUM(CQ186,CQ187,CQ188,CQ191,CQ209,CQ212)-CQ118)/(CQ43+CP43+CN43+CM43),"")</f>
        <v/>
      </c>
      <c r="CR310" s="219" t="str">
        <f>IFERROR((SUM(CR186,CR187,CR188,CR191,CR209,CR212)-CR118)/(CR43+CQ43+CP43+CN43),"")</f>
        <v/>
      </c>
      <c r="CS310" s="219" t="str">
        <f>IFERROR((SUM(CS186,CS187,CS188,CS191,CS209,CS212)-CS118)/(CS43+CR43+CQ43+CP43),"")</f>
        <v/>
      </c>
      <c r="CU310" s="219" t="str">
        <f>IFERROR((SUM(CU186,CU187,CU188,CU191,CU209,CU212)-CU118)/(CU43+CS43+CR43+CQ43),"")</f>
        <v/>
      </c>
      <c r="CV310" s="219" t="str">
        <f>IFERROR((SUM(CV186,CV187,CV188,CV191,CV209,CV212)-CV118)/(CV43+CU43+CS43+CR43),"")</f>
        <v/>
      </c>
      <c r="CW310" s="219" t="str">
        <f>IFERROR((SUM(CW186,CW187,CW188,CW191,CW209,CW212)-CW118)/(CW43+CV43+CU43+CS43),"")</f>
        <v/>
      </c>
      <c r="CX310" s="219" t="str">
        <f>IFERROR((SUM(CX186,CX187,CX188,CX191,CX209,CX212)-CX118)/(CX43+CW43+CV43+CU43),"")</f>
        <v/>
      </c>
    </row>
    <row r="311" customFormat="1" s="233">
      <c r="A311" s="224" t="n"/>
      <c r="B311" s="224" t="n"/>
      <c r="C311" s="237" t="inlineStr">
        <is>
          <t>NET DEBT (EX IFRS 16) / EBITDA LTM</t>
        </is>
      </c>
      <c r="D311" s="219" t="str">
        <f>""</f>
        <v/>
      </c>
      <c r="E311" s="219" t="str">
        <f>""</f>
        <v/>
      </c>
      <c r="F311" s="219" t="str">
        <f>""</f>
        <v/>
      </c>
      <c r="G311" s="219">
        <f>IFERROR((SUM(G186,G187,G191,G212)-G118)/(G43+F43+E43+D43),"")</f>
        <v>0.118961731493099</v>
      </c>
      <c r="I311" s="219">
        <f>IFERROR((SUM(I186,I187,I191,I212)-I118)/(I43+G43+F43+E43),"")</f>
        <v>0.444536882972823</v>
      </c>
      <c r="J311" s="219">
        <f>IFERROR((SUM(J186,J187,J191,J212)-J118)/(J43+I43+G43+F43),"")</f>
        <v>0.146396110758825</v>
      </c>
      <c r="K311" s="219">
        <f>IFERROR((SUM(K186,K187,K191,K212)-K118)/(K43+J43+I43+G43),"")</f>
        <v>0.00801847056254095</v>
      </c>
      <c r="L311" s="219">
        <f>IFERROR((SUM(L186,L187,L191,L212)-L118)/(L43+K43+J43+I43),"")</f>
        <v>0.00548713874267554</v>
      </c>
      <c r="N311" s="219">
        <f>IFERROR((SUM(N186,N187,N191,N212)-N118)/(N43+L43+K43+J43),"")</f>
        <v>0.00604834370089757</v>
      </c>
      <c r="O311" s="219">
        <f>IFERROR((SUM(O186,O187,O191,O212)-O118)/(O43+N43+L43+K43),"")</f>
        <v>-0.159896434694377</v>
      </c>
      <c r="P311" s="219">
        <f>IFERROR((SUM(P186,P187,P191,P212)-P118)/(P43+O43+N43+L43),"")</f>
        <v>-0.207160443489579</v>
      </c>
      <c r="Q311" s="219">
        <f>IFERROR((SUM(Q186,Q187,Q191,Q212)-Q118)/(Q43+P43+O43+N43),"")</f>
        <v>-0.239621705333113</v>
      </c>
      <c r="S311" s="219">
        <f>IFERROR((SUM(S186,S187,S191,S212)-S118)/(S43+Q43+P43+O43),"")</f>
        <v>-0.192547699214366</v>
      </c>
      <c r="T311" s="219">
        <f>IFERROR((SUM(T186,T187,T191,T212)-T118)/(T43+S43+Q43+P43),"")</f>
        <v>-0.142651912914094</v>
      </c>
      <c r="U311" s="219">
        <f>IFERROR((SUM(U186,U187,U191,U212)-U118)/(U43+T43+S43+Q43),"")</f>
        <v>-0.10530549703122</v>
      </c>
      <c r="V311" s="219">
        <f>IFERROR((SUM(V186,V187,V191,V212)-V118)/(V43+U43+T43+S43),"")</f>
        <v>-0.162392621203487</v>
      </c>
      <c r="X311" s="219">
        <f>IFERROR((SUM(X186,X187,X191,X212)-X118)/(X43+V43+U43+T43),"")</f>
        <v>-0.129363538295577</v>
      </c>
      <c r="Y311" s="219">
        <f>IFERROR((SUM(Y186,Y187,Y191,Y212)-Y118)/(Y43+X43+V43+U43),"")</f>
        <v>-0.0493862031504617</v>
      </c>
      <c r="Z311" s="219">
        <f>IFERROR((SUM(Z186,Z187,Z191,Z212)-Z118)/(Z43+Y43+X43+V43),"")</f>
        <v>0.116869249119618</v>
      </c>
      <c r="AA311" s="219">
        <f>IFERROR((SUM(AA186,AA187,AA191,AA212)-AA118)/(AA43+Z43+Y43+X43),"")</f>
        <v>0.0970869507734344</v>
      </c>
      <c r="AC311" s="219">
        <f>IFERROR((SUM(AC186,AC187,AC191,AC212)-AC118)/(AC43+AA43+Z43+Y43),"")</f>
        <v>0.0944196066621881</v>
      </c>
      <c r="AD311" s="219">
        <f>IFERROR((SUM(AD186,AD187,AD191,AD212)-AD118)/(AD43+AC43+AA43+Z43),"")</f>
        <v>0.151810892327309</v>
      </c>
      <c r="AE311" s="219">
        <f>IFERROR((SUM(AE186,AE187,AE191,AE212)-AE118)/(AE43+AD43+AC43+AA43),"")</f>
        <v>0.0865739289761084</v>
      </c>
      <c r="AF311" s="219">
        <f>IFERROR((SUM(AF186,AF187,AF191,AF212)-AF118)/(AF43+AE43+AD43+AC43),"")</f>
        <v>0.0237759174535189</v>
      </c>
      <c r="AH311" s="219">
        <f>IFERROR((SUM(AH186,AH187,AH191,AH212)-AH118)/(AH43+AF43+AE43+AD43),"")</f>
        <v>0.141206115378092</v>
      </c>
      <c r="AI311" s="219">
        <f>IFERROR((SUM(AI186,AI187,AI191,AI212)-AI118)/(AI43+AH43+AF43+AE43),"")</f>
        <v>0.00720885916657678</v>
      </c>
      <c r="AJ311" s="219">
        <f>IFERROR((SUM(AJ186,AJ187,AJ191,AJ212)-AJ118)/(AJ43+AI43+AH43+AF43),"")</f>
        <v>0.301604593631556</v>
      </c>
      <c r="AK311" s="219">
        <f>IFERROR((SUM(AK186,AK187,AK191,AK212)-AK118)/(AK43+AJ43+AI43+AH43),"")</f>
        <v>0.400066231146702</v>
      </c>
      <c r="AM311" s="219" t="str">
        <f>IFERROR((SUM(AM186,AM187,AM191,AM212)-AM118)/(AM43+AK43+AJ43+AI43),"")</f>
        <v/>
      </c>
      <c r="AN311" s="219" t="str">
        <f>IFERROR((SUM(AN186,AN187,AN191,AN212)-AN118)/(AN43+AM43+AK43+AJ43),"")</f>
        <v/>
      </c>
      <c r="AO311" s="219" t="str">
        <f>IFERROR((SUM(AO186,AO187,AO191,AO212)-AO118)/(AO43+AN43+AM43+AK43),"")</f>
        <v/>
      </c>
      <c r="AP311" s="219" t="str">
        <f>IFERROR((SUM(AP186,AP187,AP191,AP212)-AP118)/(AP43+AO43+AN43+AM43),"")</f>
        <v/>
      </c>
      <c r="AR311" s="219" t="str">
        <f>IFERROR((SUM(AR186,AR187,AR191,AR212)-AR118)/(AR43+AP43+AO43+AN43),"")</f>
        <v/>
      </c>
      <c r="AS311" s="219" t="str">
        <f>IFERROR((SUM(AS186,AS187,AS191,AS212)-AS118)/(AS43+AR43+AP43+AO43),"")</f>
        <v/>
      </c>
      <c r="AT311" s="219" t="str">
        <f>IFERROR((SUM(AT186,AT187,AT191,AT212)-AT118)/(AT43+AS43+AR43+AP43),"")</f>
        <v/>
      </c>
      <c r="AU311" s="219" t="str">
        <f>IFERROR((SUM(AU186,AU187,AU191,AU212)-AU118)/(AU43+AT43+AS43+AR43),"")</f>
        <v/>
      </c>
      <c r="AW311" s="219" t="str">
        <f>IFERROR((SUM(AW186,AW187,AW191,AW212)-AW118)/(AW43+AU43+AT43+AS43),"")</f>
        <v/>
      </c>
      <c r="AX311" s="219" t="str">
        <f>IFERROR((SUM(AX186,AX187,AX191,AX212)-AX118)/(AX43+AW43+AU43+AT43),"")</f>
        <v/>
      </c>
      <c r="AY311" s="219" t="str">
        <f>IFERROR((SUM(AY186,AY187,AY191,AY212)-AY118)/(AY43+AX43+AW43+AU43),"")</f>
        <v/>
      </c>
      <c r="AZ311" s="219" t="str">
        <f>IFERROR((SUM(AZ186,AZ187,AZ191,AZ212)-AZ118)/(AZ43+AY43+AX43+AW43),"")</f>
        <v/>
      </c>
      <c r="BB311" s="219" t="str">
        <f>IFERROR((SUM(BB186,BB187,BB191,BB212)-BB118)/(BB43+AZ43+AY43+AX43),"")</f>
        <v/>
      </c>
      <c r="BC311" s="219" t="str">
        <f>IFERROR((SUM(BC186,BC187,BC191,BC212)-BC118)/(BC43+BB43+AZ43+AY43),"")</f>
        <v/>
      </c>
      <c r="BD311" s="219" t="str">
        <f>IFERROR((SUM(BD186,BD187,BD191,BD212)-BD118)/(BD43+BC43+BB43+AZ43),"")</f>
        <v/>
      </c>
      <c r="BE311" s="219" t="str">
        <f>IFERROR((SUM(BE186,BE187,BE191,BE212)-BE118)/(BE43+BD43+BC43+BB43),"")</f>
        <v/>
      </c>
      <c r="BG311" s="219" t="str">
        <f>IFERROR((SUM(BG186,BG187,BG191,BG212)-BG118)/(BG43+BE43+BD43+BC43),"")</f>
        <v/>
      </c>
      <c r="BH311" s="219" t="str">
        <f>IFERROR((SUM(BH186,BH187,BH191,BH212)-BH118)/(BH43+BG43+BE43+BD43),"")</f>
        <v/>
      </c>
      <c r="BI311" s="219" t="str">
        <f>IFERROR((SUM(BI186,BI187,BI191,BI212)-BI118)/(BI43+BH43+BG43+BE43),"")</f>
        <v/>
      </c>
      <c r="BJ311" s="219" t="str">
        <f>IFERROR((SUM(BJ186,BJ187,BJ191,BJ212)-BJ118)/(BJ43+BI43+BH43+BG43),"")</f>
        <v/>
      </c>
      <c r="BL311" s="219" t="str">
        <f>IFERROR((SUM(BL186,BL187,BL191,BL212)-BL118)/(BL43+BJ43+BI43+BH43),"")</f>
        <v/>
      </c>
      <c r="BM311" s="219" t="str">
        <f>IFERROR((SUM(BM186,BM187,BM191,BM212)-BM118)/(BM43+BL43+BJ43+BI43),"")</f>
        <v/>
      </c>
      <c r="BN311" s="219" t="str">
        <f>IFERROR((SUM(BN186,BN187,BN191,BN212)-BN118)/(BN43+BM43+BL43+BJ43),"")</f>
        <v/>
      </c>
      <c r="BO311" s="219" t="str">
        <f>IFERROR((SUM(BO186,BO187,BO191,BO212)-BO118)/(BO43+BN43+BM43+BL43),"")</f>
        <v/>
      </c>
      <c r="BQ311" s="219" t="str">
        <f>IFERROR((SUM(BQ186,BQ187,BQ191,BQ212)-BQ118)/(BQ43+BO43+BN43+BM43),"")</f>
        <v/>
      </c>
      <c r="BR311" s="219" t="str">
        <f>IFERROR((SUM(BR186,BR187,BR191,BR212)-BR118)/(BR43+BQ43+BO43+BN43),"")</f>
        <v/>
      </c>
      <c r="BS311" s="219" t="str">
        <f>IFERROR((SUM(BS186,BS187,BS191,BS212)-BS118)/(BS43+BR43+BQ43+BO43),"")</f>
        <v/>
      </c>
      <c r="BT311" s="219" t="str">
        <f>IFERROR((SUM(BT186,BT187,BT191,BT212)-BT118)/(BT43+BS43+BR43+BQ43),"")</f>
        <v/>
      </c>
      <c r="BV311" s="219" t="str">
        <f>IFERROR((SUM(BV186,BV187,BV191,BV212)-BV118)/(BV43+BT43+BS43+BR43),"")</f>
        <v/>
      </c>
      <c r="BW311" s="219" t="str">
        <f>IFERROR((SUM(BW186,BW187,BW191,BW212)-BW118)/(BW43+BV43+BT43+BS43),"")</f>
        <v/>
      </c>
      <c r="BX311" s="219" t="str">
        <f>IFERROR((SUM(BX186,BX187,BX191,BX212)-BX118)/(BX43+BW43+BV43+BT43),"")</f>
        <v/>
      </c>
      <c r="BY311" s="219" t="str">
        <f>IFERROR((SUM(BY186,BY187,BY191,BY212)-BY118)/(BY43+BX43+BW43+BV43),"")</f>
        <v/>
      </c>
      <c r="CA311" s="219" t="str">
        <f>IFERROR((SUM(CA186,CA187,CA191,CA212)-CA118)/(CA43+BY43+BX43+BW43),"")</f>
        <v/>
      </c>
      <c r="CB311" s="219" t="str">
        <f>IFERROR((SUM(CB186,CB187,CB191,CB212)-CB118)/(CB43+CA43+BY43+BX43),"")</f>
        <v/>
      </c>
      <c r="CC311" s="219" t="str">
        <f>IFERROR((SUM(CC186,CC187,CC191,CC212)-CC118)/(CC43+CB43+CA43+BY43),"")</f>
        <v/>
      </c>
      <c r="CD311" s="219" t="str">
        <f>IFERROR((SUM(CD186,CD187,CD191,CD212)-CD118)/(CD43+CC43+CB43+CA43),"")</f>
        <v/>
      </c>
      <c r="CF311" s="219" t="str">
        <f>IFERROR((SUM(CF186,CF187,CF191,CF212)-CF118)/(CF43+CD43+CC43+CB43),"")</f>
        <v/>
      </c>
      <c r="CG311" s="219" t="str">
        <f>IFERROR((SUM(CG186,CG187,CG191,CG212)-CG118)/(CG43+CF43+CD43+CC43),"")</f>
        <v/>
      </c>
      <c r="CH311" s="219" t="str">
        <f>IFERROR((SUM(CH186,CH187,CH191,CH212)-CH118)/(CH43+CG43+CF43+CD43),"")</f>
        <v/>
      </c>
      <c r="CI311" s="219" t="str">
        <f>IFERROR((SUM(CI186,CI187,CI191,CI212)-CI118)/(CI43+CH43+CG43+CF43),"")</f>
        <v/>
      </c>
      <c r="CK311" s="219" t="str">
        <f>IFERROR((SUM(CK186,CK187,CK191,CK212)-CK118)/(CK43+CI43+CH43+CG43),"")</f>
        <v/>
      </c>
      <c r="CL311" s="219" t="str">
        <f>IFERROR((SUM(CL186,CL187,CL191,CL212)-CL118)/(CL43+CK43+CI43+CH43),"")</f>
        <v/>
      </c>
      <c r="CM311" s="219" t="str">
        <f>IFERROR((SUM(CM186,CM187,CM191,CM212)-CM118)/(CM43+CL43+CK43+CI43),"")</f>
        <v/>
      </c>
      <c r="CN311" s="219" t="str">
        <f>IFERROR((SUM(CN186,CN187,CN191,CN212)-CN118)/(CN43+CM43+CL43+CK43),"")</f>
        <v/>
      </c>
      <c r="CP311" s="219" t="str">
        <f>IFERROR((SUM(CP186,CP187,CP191,CP212)-CP118)/(CP43+CN43+CM43+CL43),"")</f>
        <v/>
      </c>
      <c r="CQ311" s="219" t="str">
        <f>IFERROR((SUM(CQ186,CQ187,CQ191,CQ212)-CQ118)/(CQ43+CP43+CN43+CM43),"")</f>
        <v/>
      </c>
      <c r="CR311" s="219" t="str">
        <f>IFERROR((SUM(CR186,CR187,CR191,CR212)-CR118)/(CR43+CQ43+CP43+CN43),"")</f>
        <v/>
      </c>
      <c r="CS311" s="219" t="str">
        <f>IFERROR((SUM(CS186,CS187,CS191,CS212)-CS118)/(CS43+CR43+CQ43+CP43),"")</f>
        <v/>
      </c>
      <c r="CU311" s="219" t="str">
        <f>IFERROR((SUM(CU186,CU187,CU191,CU212)-CU118)/(CU43+CS43+CR43+CQ43),"")</f>
        <v/>
      </c>
      <c r="CV311" s="219" t="str">
        <f>IFERROR((SUM(CV186,CV187,CV191,CV212)-CV118)/(CV43+CU43+CS43+CR43),"")</f>
        <v/>
      </c>
      <c r="CW311" s="219" t="str">
        <f>IFERROR((SUM(CW186,CW187,CW191,CW212)-CW118)/(CW43+CV43+CU43+CS43),"")</f>
        <v/>
      </c>
      <c r="CX311" s="219" t="str">
        <f>IFERROR((SUM(CX186,CX187,CX191,CX212)-CX118)/(CX43+CW43+CV43+CU43),"")</f>
        <v/>
      </c>
    </row>
    <row r="312" customFormat="1" s="233">
      <c r="A312" s="224" t="n"/>
      <c r="B312" s="224" t="n"/>
      <c r="C312" s="233" t="inlineStr">
        <is>
          <t>INTEREST COVERAGE</t>
        </is>
      </c>
      <c r="D312" s="219">
        <f>D47/-D48</f>
        <v>26.5864197530864</v>
      </c>
      <c r="E312" s="219">
        <f>E47/-E48</f>
        <v>-60.6104651162791</v>
      </c>
      <c r="F312" s="219">
        <f>F47/-F48</f>
        <v>0.731707317073171</v>
      </c>
      <c r="G312" s="219">
        <f>G47/-G48</f>
        <v>-3.80904522613065</v>
      </c>
      <c r="I312" s="219">
        <f>I47/-I48</f>
        <v>11.9949494949495</v>
      </c>
      <c r="J312" s="219">
        <f>J47/-J48</f>
        <v>24.9027027027027</v>
      </c>
      <c r="K312" s="219">
        <f>K47/-K48</f>
        <v>47.2931034482759</v>
      </c>
      <c r="L312" s="219">
        <f>L47/-L48</f>
        <v>46.0645161290323</v>
      </c>
      <c r="N312" s="219">
        <f>N47/-N48</f>
        <v>67.5735294117647</v>
      </c>
      <c r="O312" s="219">
        <f>O47/-O48</f>
        <v>125.054263565891</v>
      </c>
      <c r="P312" s="219">
        <f>P47/-P48</f>
        <v>116.6953125</v>
      </c>
      <c r="Q312" s="219">
        <f>Q47/-Q48</f>
        <v>80.739837398374</v>
      </c>
      <c r="S312" s="219">
        <f>S47/-S48</f>
        <v>83.7739130434783</v>
      </c>
      <c r="T312" s="219">
        <f>T47/-T48</f>
        <v>66.3083333333333</v>
      </c>
      <c r="U312" s="219">
        <f>U47/-U48</f>
        <v>77.6491228070176</v>
      </c>
      <c r="V312" s="219">
        <f>V47/-V48</f>
        <v>30.0833333333333</v>
      </c>
      <c r="X312" s="219">
        <f>X47/-X48</f>
        <v>68.135593220339</v>
      </c>
      <c r="Y312" s="219">
        <f>Y47/-Y48</f>
        <v>63.2654867256637</v>
      </c>
      <c r="Z312" s="219">
        <f>Z47/-Z48</f>
        <v>40.5670731707317</v>
      </c>
      <c r="AA312" s="219">
        <f>AA47/-AA48</f>
        <v>31.4472361809045</v>
      </c>
      <c r="AC312" s="219">
        <f>AC47/-AC48</f>
        <v>27.3349056603774</v>
      </c>
      <c r="AD312" s="219">
        <f>AD47/-AD48</f>
        <v>16.1350364963504</v>
      </c>
      <c r="AE312" s="219">
        <f>AE47/-AE48</f>
        <v>15.6324324324324</v>
      </c>
      <c r="AF312" s="219">
        <f>AF47/-AF48</f>
        <v>13.7396121883657</v>
      </c>
      <c r="AH312" s="219">
        <f>AH47/-AH48</f>
        <v>12.4376811594203</v>
      </c>
      <c r="AI312" s="219">
        <f>AI47/-AI48</f>
        <v>48.3977272727273</v>
      </c>
      <c r="AJ312" s="219" t="e">
        <f>AJ47/-AJ48</f>
        <v>#DIV/0!</v>
      </c>
      <c r="AK312" s="219" t="e">
        <f>AK47/-AK48</f>
        <v>#DIV/0!</v>
      </c>
      <c r="AM312" s="219" t="e">
        <f>AM47/-AM48</f>
        <v>#DIV/0!</v>
      </c>
      <c r="AN312" s="219" t="e">
        <f>AN47/-AN48</f>
        <v>#DIV/0!</v>
      </c>
      <c r="AO312" s="219" t="e">
        <f>AO47/-AO48</f>
        <v>#DIV/0!</v>
      </c>
      <c r="AP312" s="219" t="e">
        <f>AP47/-AP48</f>
        <v>#DIV/0!</v>
      </c>
      <c r="AR312" s="219" t="e">
        <f>AR47/-AR48</f>
        <v>#DIV/0!</v>
      </c>
      <c r="AS312" s="219" t="e">
        <f>AS47/-AS48</f>
        <v>#DIV/0!</v>
      </c>
      <c r="AT312" s="219" t="e">
        <f>AT47/-AT48</f>
        <v>#DIV/0!</v>
      </c>
      <c r="AU312" s="219" t="e">
        <f>AU47/-AU48</f>
        <v>#DIV/0!</v>
      </c>
      <c r="AW312" s="219" t="e">
        <f>AW47/-AW48</f>
        <v>#DIV/0!</v>
      </c>
      <c r="AX312" s="219" t="e">
        <f>AX47/-AX48</f>
        <v>#DIV/0!</v>
      </c>
      <c r="AY312" s="219" t="e">
        <f>AY47/-AY48</f>
        <v>#DIV/0!</v>
      </c>
      <c r="AZ312" s="219" t="e">
        <f>AZ47/-AZ48</f>
        <v>#DIV/0!</v>
      </c>
      <c r="BB312" s="219" t="e">
        <f>BB47/-BB48</f>
        <v>#DIV/0!</v>
      </c>
      <c r="BC312" s="219" t="e">
        <f>BC47/-BC48</f>
        <v>#DIV/0!</v>
      </c>
      <c r="BD312" s="219" t="e">
        <f>BD47/-BD48</f>
        <v>#DIV/0!</v>
      </c>
      <c r="BE312" s="219" t="e">
        <f>BE47/-BE48</f>
        <v>#DIV/0!</v>
      </c>
      <c r="BG312" s="219" t="e">
        <f>BG47/-BG48</f>
        <v>#DIV/0!</v>
      </c>
      <c r="BH312" s="219" t="e">
        <f>BH47/-BH48</f>
        <v>#DIV/0!</v>
      </c>
      <c r="BI312" s="219" t="e">
        <f>BI47/-BI48</f>
        <v>#DIV/0!</v>
      </c>
      <c r="BJ312" s="219" t="e">
        <f>BJ47/-BJ48</f>
        <v>#DIV/0!</v>
      </c>
      <c r="BL312" s="219" t="e">
        <f>BL47/-BL48</f>
        <v>#DIV/0!</v>
      </c>
      <c r="BM312" s="219" t="e">
        <f>BM47/-BM48</f>
        <v>#DIV/0!</v>
      </c>
      <c r="BN312" s="219" t="e">
        <f>BN47/-BN48</f>
        <v>#DIV/0!</v>
      </c>
      <c r="BO312" s="219" t="e">
        <f>BO47/-BO48</f>
        <v>#DIV/0!</v>
      </c>
      <c r="BQ312" s="219" t="e">
        <f>BQ47/-BQ48</f>
        <v>#DIV/0!</v>
      </c>
      <c r="BR312" s="219" t="e">
        <f>BR47/-BR48</f>
        <v>#DIV/0!</v>
      </c>
      <c r="BS312" s="219" t="e">
        <f>BS47/-BS48</f>
        <v>#DIV/0!</v>
      </c>
      <c r="BT312" s="219" t="e">
        <f>BT47/-BT48</f>
        <v>#DIV/0!</v>
      </c>
      <c r="BV312" s="219" t="e">
        <f>BV47/-BV48</f>
        <v>#DIV/0!</v>
      </c>
      <c r="BW312" s="219" t="e">
        <f>BW47/-BW48</f>
        <v>#DIV/0!</v>
      </c>
      <c r="BX312" s="219" t="e">
        <f>BX47/-BX48</f>
        <v>#DIV/0!</v>
      </c>
      <c r="BY312" s="219" t="e">
        <f>BY47/-BY48</f>
        <v>#DIV/0!</v>
      </c>
      <c r="CA312" s="219" t="e">
        <f>CA47/-CA48</f>
        <v>#DIV/0!</v>
      </c>
      <c r="CB312" s="219" t="e">
        <f>CB47/-CB48</f>
        <v>#DIV/0!</v>
      </c>
      <c r="CC312" s="219" t="e">
        <f>CC47/-CC48</f>
        <v>#DIV/0!</v>
      </c>
      <c r="CD312" s="219" t="e">
        <f>CD47/-CD48</f>
        <v>#DIV/0!</v>
      </c>
      <c r="CF312" s="219" t="e">
        <f>CF47/-CF48</f>
        <v>#DIV/0!</v>
      </c>
      <c r="CG312" s="219" t="e">
        <f>CG47/-CG48</f>
        <v>#DIV/0!</v>
      </c>
      <c r="CH312" s="219" t="e">
        <f>CH47/-CH48</f>
        <v>#DIV/0!</v>
      </c>
      <c r="CI312" s="219" t="e">
        <f>CI47/-CI48</f>
        <v>#DIV/0!</v>
      </c>
      <c r="CK312" s="219" t="e">
        <f>CK47/-CK48</f>
        <v>#DIV/0!</v>
      </c>
      <c r="CL312" s="219" t="e">
        <f>CL47/-CL48</f>
        <v>#DIV/0!</v>
      </c>
      <c r="CM312" s="219" t="e">
        <f>CM47/-CM48</f>
        <v>#DIV/0!</v>
      </c>
      <c r="CN312" s="219" t="e">
        <f>CN47/-CN48</f>
        <v>#DIV/0!</v>
      </c>
      <c r="CP312" s="219" t="e">
        <f>CP47/-CP48</f>
        <v>#DIV/0!</v>
      </c>
      <c r="CQ312" s="219" t="e">
        <f>CQ47/-CQ48</f>
        <v>#DIV/0!</v>
      </c>
      <c r="CR312" s="219" t="e">
        <f>CR47/-CR48</f>
        <v>#DIV/0!</v>
      </c>
      <c r="CS312" s="219" t="e">
        <f>CS47/-CS48</f>
        <v>#DIV/0!</v>
      </c>
      <c r="CU312" s="219" t="e">
        <f>CU47/-CU48</f>
        <v>#DIV/0!</v>
      </c>
      <c r="CV312" s="219" t="e">
        <f>CV47/-CV48</f>
        <v>#DIV/0!</v>
      </c>
      <c r="CW312" s="219" t="e">
        <f>CW47/-CW48</f>
        <v>#DIV/0!</v>
      </c>
      <c r="CX312" s="219" t="e">
        <f>CX47/-CX48</f>
        <v>#DIV/0!</v>
      </c>
    </row>
    <row r="313" customFormat="1" s="233">
      <c r="A313" s="224" t="n"/>
      <c r="B313" s="224" t="n"/>
    </row>
    <row r="314" customFormat="1" s="233">
      <c r="A314" s="224" t="n"/>
      <c r="B314" s="224" t="n"/>
      <c r="C314" s="234" t="inlineStr">
        <is>
          <t>INTERNAL LIQUIDITY</t>
        </is>
      </c>
    </row>
    <row r="315" customFormat="1" s="233">
      <c r="A315" s="224" t="n"/>
      <c r="B315" s="224" t="n"/>
      <c r="C315" s="233" t="inlineStr">
        <is>
          <t>CURRENT RATIO</t>
        </is>
      </c>
      <c r="D315" s="219">
        <f>SUM(D118,D119,D123,D127,D128,D129)/SUM(D172,D176,D178,D179)</f>
        <v>1.46119609147184</v>
      </c>
      <c r="E315" s="219">
        <f>SUM(E118,E119,E123,E127,E128,E129)/SUM(E172,E176,E178,E179)</f>
        <v>1.38994963101792</v>
      </c>
      <c r="F315" s="219">
        <f>SUM(F118,F119,F123,F127,F128,F129)/SUM(F172,F176,F178,F179)</f>
        <v>1.29627887530051</v>
      </c>
      <c r="G315" s="219">
        <f>SUM(G118,G119,G123,G127,G128,G129)/SUM(G172,G176,G178,G179)</f>
        <v>1.26377513932639</v>
      </c>
      <c r="I315" s="219">
        <f>SUM(I118,I119,I123,I127,I128,I129)/SUM(I172,I176,I178,I179)</f>
        <v>1.34427315694156</v>
      </c>
      <c r="J315" s="219">
        <f>SUM(J118,J119,J123,J127,J128,J129)/SUM(J172,J176,J178,J179)</f>
        <v>1.33764705882353</v>
      </c>
      <c r="K315" s="219">
        <f>SUM(K118,K119,K123,K127,K128,K129)/SUM(K172,K176,K178,K179)</f>
        <v>1.29079808812307</v>
      </c>
      <c r="L315" s="219">
        <f>SUM(L118,L119,L123,L127,L128,L129)/SUM(L172,L176,L178,L179)</f>
        <v>1.27145279819107</v>
      </c>
      <c r="N315" s="219">
        <f>SUM(N118,N119,N123,N127,N128,N129)/SUM(N172,N176,N178,N179)</f>
        <v>1.44740846255949</v>
      </c>
      <c r="O315" s="219">
        <f>SUM(O118,O119,O123,O127,O128,O129)/SUM(O172,O176,O178,O179)</f>
        <v>1.42620712713494</v>
      </c>
      <c r="P315" s="219">
        <f>SUM(P118,P119,P123,P127,P128,P129)/SUM(P172,P176,P178,P179)</f>
        <v>1.48586348162253</v>
      </c>
      <c r="Q315" s="219">
        <f>SUM(Q118,Q119,Q123,Q127,Q128,Q129)/SUM(Q172,Q176,Q178,Q179)</f>
        <v>1.5613137327875</v>
      </c>
      <c r="S315" s="219">
        <f>SUM(S118,S119,S123,S127,S128,S129)/SUM(S172,S176,S178,S179)</f>
        <v>1.56963381379042</v>
      </c>
      <c r="T315" s="219">
        <f>SUM(T118,T119,T123,T127,T128,T129)/SUM(T172,T176,T178,T179)</f>
        <v>1.49730561970747</v>
      </c>
      <c r="U315" s="219">
        <f>SUM(U118,U119,U123,U127,U128,U129)/SUM(U172,U176,U178,U179)</f>
        <v>1.27142552478445</v>
      </c>
      <c r="V315" s="219">
        <f>SUM(V118,V119,V123,V127,V128,V129)/SUM(V172,V176,V178,V179)</f>
        <v>1.29622742601406</v>
      </c>
      <c r="X315" s="219">
        <f>SUM(X118,X119,X123,X127,X128,X129)/SUM(X172,X176,X178,X179)</f>
        <v>1.24036989405352</v>
      </c>
      <c r="Y315" s="219">
        <f>SUM(Y118,Y119,Y123,Y127,Y128,Y129)/SUM(Y172,Y176,Y178,Y179)</f>
        <v>1.21915644741732</v>
      </c>
      <c r="Z315" s="219">
        <f>SUM(Z118,Z119,Z123,Z127,Z128,Z129)/SUM(Z172,Z176,Z178,Z179)</f>
        <v>1.24900242035717</v>
      </c>
      <c r="AA315" s="219">
        <f>SUM(AA118,AA119,AA123,AA127,AA128,AA129)/SUM(AA172,AA176,AA178,AA179)</f>
        <v>1.19790934645116</v>
      </c>
      <c r="AC315" s="219">
        <f>SUM(AC118,AC119,AC123,AC127,AC128,AC129)/SUM(AC172,AC176,AC178,AC179)</f>
        <v>1.21969265793967</v>
      </c>
      <c r="AD315" s="219">
        <f>SUM(AD118,AD119,AD123,AD127,AD128,AD129)/SUM(AD172,AD176,AD178,AD179)</f>
        <v>1.21144712948736</v>
      </c>
      <c r="AE315" s="219">
        <f>SUM(AE118,AE119,AE123,AE127,AE128,AE129)/SUM(AE172,AE176,AE178,AE179)</f>
        <v>1.28182930271949</v>
      </c>
      <c r="AF315" s="219">
        <f>SUM(AF118,AF119,AF123,AF127,AF128,AF129)/SUM(AF172,AF176,AF178,AF179)</f>
        <v>1.18950941067572</v>
      </c>
      <c r="AH315" s="219">
        <f>SUM(AH118,AH119,AH123,AH127,AH128,AH129)/SUM(AH172,AH176,AH178,AH179)</f>
        <v>1.26994607681303</v>
      </c>
      <c r="AI315" s="219">
        <f>SUM(AI118,AI119,AI123,AI127,AI128,AI129)/SUM(AI172,AI176,AI178,AI179)</f>
        <v>1.26508753861998</v>
      </c>
      <c r="AJ315" s="219">
        <f>SUM(AJ118,AJ119,AJ123,AJ127,AJ128,AJ129)/SUM(AJ172,AJ176,AJ178,AJ179)</f>
        <v>8.47712418300654</v>
      </c>
      <c r="AK315" s="219">
        <f>SUM(AK118,AK119,AK123,AK127,AK128,AK129)/SUM(AK172,AK176,AK178,AK179)</f>
        <v>8.47712418300654</v>
      </c>
      <c r="AM315" s="219" t="e">
        <f>SUM(AM118,AM119,AM123,AM127,AM128,AM129)/SUM(AM172,AM176,AM178,AM179)</f>
        <v>#DIV/0!</v>
      </c>
      <c r="AN315" s="219" t="e">
        <f>SUM(AN118,AN119,AN123,AN127,AN128,AN129)/SUM(AN172,AN176,AN178,AN179)</f>
        <v>#DIV/0!</v>
      </c>
      <c r="AO315" s="219" t="e">
        <f>SUM(AO118,AO119,AO123,AO127,AO128,AO129)/SUM(AO172,AO176,AO178,AO179)</f>
        <v>#DIV/0!</v>
      </c>
      <c r="AP315" s="219" t="e">
        <f>SUM(AP118,AP119,AP123,AP127,AP128,AP129)/SUM(AP172,AP176,AP178,AP179)</f>
        <v>#DIV/0!</v>
      </c>
      <c r="AR315" s="219" t="e">
        <f>SUM(AR118,AR119,AR123,AR127,AR128,AR129)/SUM(AR172,AR176,AR178,AR179)</f>
        <v>#DIV/0!</v>
      </c>
      <c r="AS315" s="219" t="e">
        <f>SUM(AS118,AS119,AS123,AS127,AS128,AS129)/SUM(AS172,AS176,AS178,AS179)</f>
        <v>#DIV/0!</v>
      </c>
      <c r="AT315" s="219" t="e">
        <f>SUM(AT118,AT119,AT123,AT127,AT128,AT129)/SUM(AT172,AT176,AT178,AT179)</f>
        <v>#DIV/0!</v>
      </c>
      <c r="AU315" s="219" t="e">
        <f>SUM(AU118,AU119,AU123,AU127,AU128,AU129)/SUM(AU172,AU176,AU178,AU179)</f>
        <v>#DIV/0!</v>
      </c>
      <c r="AW315" s="219" t="e">
        <f>SUM(AW118,AW119,AW123,AW127,AW128,AW129)/SUM(AW172,AW176,AW178,AW179)</f>
        <v>#DIV/0!</v>
      </c>
      <c r="AX315" s="219" t="e">
        <f>SUM(AX118,AX119,AX123,AX127,AX128,AX129)/SUM(AX172,AX176,AX178,AX179)</f>
        <v>#DIV/0!</v>
      </c>
      <c r="AY315" s="219" t="e">
        <f>SUM(AY118,AY119,AY123,AY127,AY128,AY129)/SUM(AY172,AY176,AY178,AY179)</f>
        <v>#DIV/0!</v>
      </c>
      <c r="AZ315" s="219" t="e">
        <f>SUM(AZ118,AZ119,AZ123,AZ127,AZ128,AZ129)/SUM(AZ172,AZ176,AZ178,AZ179)</f>
        <v>#DIV/0!</v>
      </c>
      <c r="BB315" s="219" t="e">
        <f>SUM(BB118,BB119,BB123,BB127,BB128,BB129)/SUM(BB172,BB176,BB178,BB179)</f>
        <v>#DIV/0!</v>
      </c>
      <c r="BC315" s="219" t="e">
        <f>SUM(BC118,BC119,BC123,BC127,BC128,BC129)/SUM(BC172,BC176,BC178,BC179)</f>
        <v>#DIV/0!</v>
      </c>
      <c r="BD315" s="219" t="e">
        <f>SUM(BD118,BD119,BD123,BD127,BD128,BD129)/SUM(BD172,BD176,BD178,BD179)</f>
        <v>#DIV/0!</v>
      </c>
      <c r="BE315" s="219" t="e">
        <f>SUM(BE118,BE119,BE123,BE127,BE128,BE129)/SUM(BE172,BE176,BE178,BE179)</f>
        <v>#DIV/0!</v>
      </c>
      <c r="BG315" s="219" t="e">
        <f>SUM(BG118,BG119,BG123,BG127,BG128,BG129)/SUM(BG172,BG176,BG178,BG179)</f>
        <v>#DIV/0!</v>
      </c>
      <c r="BH315" s="219" t="e">
        <f>SUM(BH118,BH119,BH123,BH127,BH128,BH129)/SUM(BH172,BH176,BH178,BH179)</f>
        <v>#DIV/0!</v>
      </c>
      <c r="BI315" s="219" t="e">
        <f>SUM(BI118,BI119,BI123,BI127,BI128,BI129)/SUM(BI172,BI176,BI178,BI179)</f>
        <v>#DIV/0!</v>
      </c>
      <c r="BJ315" s="219" t="e">
        <f>SUM(BJ118,BJ119,BJ123,BJ127,BJ128,BJ129)/SUM(BJ172,BJ176,BJ178,BJ179)</f>
        <v>#DIV/0!</v>
      </c>
      <c r="BL315" s="219" t="e">
        <f>SUM(BL118,BL119,BL123,BL127,BL128,BL129)/SUM(BL172,BL176,BL178,BL179)</f>
        <v>#DIV/0!</v>
      </c>
      <c r="BM315" s="219" t="e">
        <f>SUM(BM118,BM119,BM123,BM127,BM128,BM129)/SUM(BM172,BM176,BM178,BM179)</f>
        <v>#DIV/0!</v>
      </c>
      <c r="BN315" s="219" t="e">
        <f>SUM(BN118,BN119,BN123,BN127,BN128,BN129)/SUM(BN172,BN176,BN178,BN179)</f>
        <v>#DIV/0!</v>
      </c>
      <c r="BO315" s="219" t="e">
        <f>SUM(BO118,BO119,BO123,BO127,BO128,BO129)/SUM(BO172,BO176,BO178,BO179)</f>
        <v>#DIV/0!</v>
      </c>
      <c r="BQ315" s="219" t="e">
        <f>SUM(BQ118,BQ119,BQ123,BQ127,BQ128,BQ129)/SUM(BQ172,BQ176,BQ178,BQ179)</f>
        <v>#DIV/0!</v>
      </c>
      <c r="BR315" s="219" t="e">
        <f>SUM(BR118,BR119,BR123,BR127,BR128,BR129)/SUM(BR172,BR176,BR178,BR179)</f>
        <v>#DIV/0!</v>
      </c>
      <c r="BS315" s="219" t="e">
        <f>SUM(BS118,BS119,BS123,BS127,BS128,BS129)/SUM(BS172,BS176,BS178,BS179)</f>
        <v>#DIV/0!</v>
      </c>
      <c r="BT315" s="219" t="e">
        <f>SUM(BT118,BT119,BT123,BT127,BT128,BT129)/SUM(BT172,BT176,BT178,BT179)</f>
        <v>#DIV/0!</v>
      </c>
      <c r="BV315" s="219" t="e">
        <f>SUM(BV118,BV119,BV123,BV127,BV128,BV129)/SUM(BV172,BV176,BV178,BV179)</f>
        <v>#DIV/0!</v>
      </c>
      <c r="BW315" s="219" t="e">
        <f>SUM(BW118,BW119,BW123,BW127,BW128,BW129)/SUM(BW172,BW176,BW178,BW179)</f>
        <v>#DIV/0!</v>
      </c>
      <c r="BX315" s="219" t="e">
        <f>SUM(BX118,BX119,BX123,BX127,BX128,BX129)/SUM(BX172,BX176,BX178,BX179)</f>
        <v>#DIV/0!</v>
      </c>
      <c r="BY315" s="219" t="e">
        <f>SUM(BY118,BY119,BY123,BY127,BY128,BY129)/SUM(BY172,BY176,BY178,BY179)</f>
        <v>#DIV/0!</v>
      </c>
      <c r="CA315" s="219" t="e">
        <f>SUM(CA118,CA119,CA123,CA127,CA128,CA129)/SUM(CA172,CA176,CA178,CA179)</f>
        <v>#DIV/0!</v>
      </c>
      <c r="CB315" s="219" t="e">
        <f>SUM(CB118,CB119,CB123,CB127,CB128,CB129)/SUM(CB172,CB176,CB178,CB179)</f>
        <v>#DIV/0!</v>
      </c>
      <c r="CC315" s="219" t="e">
        <f>SUM(CC118,CC119,CC123,CC127,CC128,CC129)/SUM(CC172,CC176,CC178,CC179)</f>
        <v>#DIV/0!</v>
      </c>
      <c r="CD315" s="219" t="e">
        <f>SUM(CD118,CD119,CD123,CD127,CD128,CD129)/SUM(CD172,CD176,CD178,CD179)</f>
        <v>#DIV/0!</v>
      </c>
      <c r="CF315" s="219" t="e">
        <f>SUM(CF118,CF119,CF123,CF127,CF128,CF129)/SUM(CF172,CF176,CF178,CF179)</f>
        <v>#DIV/0!</v>
      </c>
      <c r="CG315" s="219" t="e">
        <f>SUM(CG118,CG119,CG123,CG127,CG128,CG129)/SUM(CG172,CG176,CG178,CG179)</f>
        <v>#DIV/0!</v>
      </c>
      <c r="CH315" s="219" t="e">
        <f>SUM(CH118,CH119,CH123,CH127,CH128,CH129)/SUM(CH172,CH176,CH178,CH179)</f>
        <v>#DIV/0!</v>
      </c>
      <c r="CI315" s="219" t="e">
        <f>SUM(CI118,CI119,CI123,CI127,CI128,CI129)/SUM(CI172,CI176,CI178,CI179)</f>
        <v>#DIV/0!</v>
      </c>
      <c r="CK315" s="219" t="e">
        <f>SUM(CK118,CK119,CK123,CK127,CK128,CK129)/SUM(CK172,CK176,CK178,CK179)</f>
        <v>#DIV/0!</v>
      </c>
      <c r="CL315" s="219" t="e">
        <f>SUM(CL118,CL119,CL123,CL127,CL128,CL129)/SUM(CL172,CL176,CL178,CL179)</f>
        <v>#DIV/0!</v>
      </c>
      <c r="CM315" s="219" t="e">
        <f>SUM(CM118,CM119,CM123,CM127,CM128,CM129)/SUM(CM172,CM176,CM178,CM179)</f>
        <v>#DIV/0!</v>
      </c>
      <c r="CN315" s="219" t="e">
        <f>SUM(CN118,CN119,CN123,CN127,CN128,CN129)/SUM(CN172,CN176,CN178,CN179)</f>
        <v>#DIV/0!</v>
      </c>
      <c r="CP315" s="219" t="e">
        <f>SUM(CP118,CP119,CP123,CP127,CP128,CP129)/SUM(CP172,CP176,CP178,CP179)</f>
        <v>#DIV/0!</v>
      </c>
      <c r="CQ315" s="219" t="e">
        <f>SUM(CQ118,CQ119,CQ123,CQ127,CQ128,CQ129)/SUM(CQ172,CQ176,CQ178,CQ179)</f>
        <v>#DIV/0!</v>
      </c>
      <c r="CR315" s="219" t="e">
        <f>SUM(CR118,CR119,CR123,CR127,CR128,CR129)/SUM(CR172,CR176,CR178,CR179)</f>
        <v>#DIV/0!</v>
      </c>
      <c r="CS315" s="219" t="e">
        <f>SUM(CS118,CS119,CS123,CS127,CS128,CS129)/SUM(CS172,CS176,CS178,CS179)</f>
        <v>#DIV/0!</v>
      </c>
      <c r="CU315" s="219" t="e">
        <f>SUM(CU118,CU119,CU123,CU127,CU128,CU129)/SUM(CU172,CU176,CU178,CU179)</f>
        <v>#DIV/0!</v>
      </c>
      <c r="CV315" s="219" t="e">
        <f>SUM(CV118,CV119,CV123,CV127,CV128,CV129)/SUM(CV172,CV176,CV178,CV179)</f>
        <v>#DIV/0!</v>
      </c>
      <c r="CW315" s="219" t="e">
        <f>SUM(CW118,CW119,CW123,CW127,CW128,CW129)/SUM(CW172,CW176,CW178,CW179)</f>
        <v>#DIV/0!</v>
      </c>
      <c r="CX315" s="219" t="e">
        <f>SUM(CX118,CX119,CX123,CX127,CX128,CX129)/SUM(CX172,CX176,CX178,CX179)</f>
        <v>#DIV/0!</v>
      </c>
    </row>
    <row r="316" customFormat="1" s="233">
      <c r="A316" s="224" t="n"/>
      <c r="B316" s="224" t="n"/>
      <c r="C316" s="233" t="inlineStr">
        <is>
          <t>CASH RATIO</t>
        </is>
      </c>
      <c r="D316" s="219">
        <f>SUM(D118)/SUM(D172,D176,D178,D179)</f>
        <v>0.00255793727937791</v>
      </c>
      <c r="E316" s="219">
        <f>SUM(E118)/SUM(E172,E176,E178,E179)</f>
        <v>0.00345554644488696</v>
      </c>
      <c r="F316" s="219">
        <f>SUM(F118)/SUM(F172,F176,F178,F179)</f>
        <v>0.001463363645866</v>
      </c>
      <c r="G316" s="219">
        <f>SUM(G118)/SUM(G172,G176,G178,G179)</f>
        <v>0.00150230191422341</v>
      </c>
      <c r="I316" s="219">
        <f>SUM(I118)/SUM(I172,I176,I178,I179)</f>
        <v>0.00141348999514113</v>
      </c>
      <c r="J316" s="219">
        <f>SUM(J118)/SUM(J172,J176,J178,J179)</f>
        <v>0.00137931034482759</v>
      </c>
      <c r="K316" s="219">
        <f>SUM(K118)/SUM(K172,K176,K178,K179)</f>
        <v>0.00136562638068844</v>
      </c>
      <c r="L316" s="219">
        <f>SUM(L118)/SUM(L172,L176,L178,L179)</f>
        <v>0.00131901262483512</v>
      </c>
      <c r="N316" s="219">
        <f>SUM(N118)/SUM(N172,N176,N178,N179)</f>
        <v>0.00106834148078604</v>
      </c>
      <c r="O316" s="219">
        <f>SUM(O118)/SUM(O172,O176,O178,O179)</f>
        <v>0.344654648797749</v>
      </c>
      <c r="P316" s="219">
        <f>SUM(P118)/SUM(P172,P176,P178,P179)</f>
        <v>0.445184928740407</v>
      </c>
      <c r="Q316" s="219">
        <f>SUM(Q118)/SUM(Q172,Q176,Q178,Q179)</f>
        <v>0.555173055452177</v>
      </c>
      <c r="S316" s="219">
        <f>SUM(S118)/SUM(S172,S176,S178,S179)</f>
        <v>0.512855473315154</v>
      </c>
      <c r="T316" s="219">
        <f>SUM(T118)/SUM(T172,T176,T178,T179)</f>
        <v>0.336272657288824</v>
      </c>
      <c r="U316" s="219">
        <f>SUM(U118)/SUM(U172,U176,U178,U179)</f>
        <v>0.18090972793468</v>
      </c>
      <c r="V316" s="219">
        <f>SUM(V118)/SUM(V172,V176,V178,V179)</f>
        <v>0.259163541239875</v>
      </c>
      <c r="X316" s="219">
        <f>SUM(X118)/SUM(X172,X176,X178,X179)</f>
        <v>0.192234674505481</v>
      </c>
      <c r="Y316" s="219">
        <f>SUM(Y118)/SUM(Y172,Y176,Y178,Y179)</f>
        <v>0.124117428465255</v>
      </c>
      <c r="Z316" s="219">
        <f>SUM(Z118)/SUM(Z172,Z176,Z178,Z179)</f>
        <v>0</v>
      </c>
      <c r="AA316" s="219">
        <f>SUM(AA118)/SUM(AA172,AA176,AA178,AA179)</f>
        <v>0</v>
      </c>
      <c r="AC316" s="219">
        <f>SUM(AC118)/SUM(AC172,AC176,AC178,AC179)</f>
        <v>0</v>
      </c>
      <c r="AD316" s="219">
        <f>SUM(AD118)/SUM(AD172,AD176,AD178,AD179)</f>
        <v>0</v>
      </c>
      <c r="AE316" s="219">
        <f>SUM(AE118)/SUM(AE172,AE176,AE178,AE179)</f>
        <v>0</v>
      </c>
      <c r="AF316" s="219">
        <f>SUM(AF118)/SUM(AF172,AF176,AF178,AF179)</f>
        <v>0</v>
      </c>
      <c r="AH316" s="219">
        <f>SUM(AH118)/SUM(AH172,AH176,AH178,AH179)</f>
        <v>0</v>
      </c>
      <c r="AI316" s="219">
        <f>SUM(AI118)/SUM(AI172,AI176,AI178,AI179)</f>
        <v>0</v>
      </c>
      <c r="AJ316" s="219">
        <f>SUM(AJ118)/SUM(AJ172,AJ176,AJ178,AJ179)</f>
        <v>-9.35947712418301</v>
      </c>
      <c r="AK316" s="219">
        <f>SUM(AK118)/SUM(AK172,AK176,AK178,AK179)</f>
        <v>-9.35947712418301</v>
      </c>
      <c r="AM316" s="219" t="e">
        <f>SUM(AM118)/SUM(AM172,AM176,AM178,AM179)</f>
        <v>#DIV/0!</v>
      </c>
      <c r="AN316" s="219" t="e">
        <f>SUM(AN118)/SUM(AN172,AN176,AN178,AN179)</f>
        <v>#DIV/0!</v>
      </c>
      <c r="AO316" s="219" t="e">
        <f>SUM(AO118)/SUM(AO172,AO176,AO178,AO179)</f>
        <v>#DIV/0!</v>
      </c>
      <c r="AP316" s="219" t="e">
        <f>SUM(AP118)/SUM(AP172,AP176,AP178,AP179)</f>
        <v>#DIV/0!</v>
      </c>
      <c r="AR316" s="219" t="e">
        <f>SUM(AR118)/SUM(AR172,AR176,AR178,AR179)</f>
        <v>#DIV/0!</v>
      </c>
      <c r="AS316" s="219" t="e">
        <f>SUM(AS118)/SUM(AS172,AS176,AS178,AS179)</f>
        <v>#DIV/0!</v>
      </c>
      <c r="AT316" s="219" t="e">
        <f>SUM(AT118)/SUM(AT172,AT176,AT178,AT179)</f>
        <v>#DIV/0!</v>
      </c>
      <c r="AU316" s="219" t="e">
        <f>SUM(AU118)/SUM(AU172,AU176,AU178,AU179)</f>
        <v>#DIV/0!</v>
      </c>
      <c r="AW316" s="219" t="e">
        <f>SUM(AW118)/SUM(AW172,AW176,AW178,AW179)</f>
        <v>#DIV/0!</v>
      </c>
      <c r="AX316" s="219" t="e">
        <f>SUM(AX118)/SUM(AX172,AX176,AX178,AX179)</f>
        <v>#DIV/0!</v>
      </c>
      <c r="AY316" s="219" t="e">
        <f>SUM(AY118)/SUM(AY172,AY176,AY178,AY179)</f>
        <v>#DIV/0!</v>
      </c>
      <c r="AZ316" s="219" t="e">
        <f>SUM(AZ118)/SUM(AZ172,AZ176,AZ178,AZ179)</f>
        <v>#DIV/0!</v>
      </c>
      <c r="BB316" s="219" t="e">
        <f>SUM(BB118)/SUM(BB172,BB176,BB178,BB179)</f>
        <v>#DIV/0!</v>
      </c>
      <c r="BC316" s="219" t="e">
        <f>SUM(BC118)/SUM(BC172,BC176,BC178,BC179)</f>
        <v>#DIV/0!</v>
      </c>
      <c r="BD316" s="219" t="e">
        <f>SUM(BD118)/SUM(BD172,BD176,BD178,BD179)</f>
        <v>#DIV/0!</v>
      </c>
      <c r="BE316" s="219" t="e">
        <f>SUM(BE118)/SUM(BE172,BE176,BE178,BE179)</f>
        <v>#DIV/0!</v>
      </c>
      <c r="BG316" s="219" t="e">
        <f>SUM(BG118)/SUM(BG172,BG176,BG178,BG179)</f>
        <v>#DIV/0!</v>
      </c>
      <c r="BH316" s="219" t="e">
        <f>SUM(BH118)/SUM(BH172,BH176,BH178,BH179)</f>
        <v>#DIV/0!</v>
      </c>
      <c r="BI316" s="219" t="e">
        <f>SUM(BI118)/SUM(BI172,BI176,BI178,BI179)</f>
        <v>#DIV/0!</v>
      </c>
      <c r="BJ316" s="219" t="e">
        <f>SUM(BJ118)/SUM(BJ172,BJ176,BJ178,BJ179)</f>
        <v>#DIV/0!</v>
      </c>
      <c r="BL316" s="219" t="e">
        <f>SUM(BL118)/SUM(BL172,BL176,BL178,BL179)</f>
        <v>#DIV/0!</v>
      </c>
      <c r="BM316" s="219" t="e">
        <f>SUM(BM118)/SUM(BM172,BM176,BM178,BM179)</f>
        <v>#DIV/0!</v>
      </c>
      <c r="BN316" s="219" t="e">
        <f>SUM(BN118)/SUM(BN172,BN176,BN178,BN179)</f>
        <v>#DIV/0!</v>
      </c>
      <c r="BO316" s="219" t="e">
        <f>SUM(BO118)/SUM(BO172,BO176,BO178,BO179)</f>
        <v>#DIV/0!</v>
      </c>
      <c r="BQ316" s="219" t="e">
        <f>SUM(BQ118)/SUM(BQ172,BQ176,BQ178,BQ179)</f>
        <v>#DIV/0!</v>
      </c>
      <c r="BR316" s="219" t="e">
        <f>SUM(BR118)/SUM(BR172,BR176,BR178,BR179)</f>
        <v>#DIV/0!</v>
      </c>
      <c r="BS316" s="219" t="e">
        <f>SUM(BS118)/SUM(BS172,BS176,BS178,BS179)</f>
        <v>#DIV/0!</v>
      </c>
      <c r="BT316" s="219" t="e">
        <f>SUM(BT118)/SUM(BT172,BT176,BT178,BT179)</f>
        <v>#DIV/0!</v>
      </c>
      <c r="BV316" s="219" t="e">
        <f>SUM(BV118)/SUM(BV172,BV176,BV178,BV179)</f>
        <v>#DIV/0!</v>
      </c>
      <c r="BW316" s="219" t="e">
        <f>SUM(BW118)/SUM(BW172,BW176,BW178,BW179)</f>
        <v>#DIV/0!</v>
      </c>
      <c r="BX316" s="219" t="e">
        <f>SUM(BX118)/SUM(BX172,BX176,BX178,BX179)</f>
        <v>#DIV/0!</v>
      </c>
      <c r="BY316" s="219" t="e">
        <f>SUM(BY118)/SUM(BY172,BY176,BY178,BY179)</f>
        <v>#DIV/0!</v>
      </c>
      <c r="CA316" s="219" t="e">
        <f>SUM(CA118)/SUM(CA172,CA176,CA178,CA179)</f>
        <v>#DIV/0!</v>
      </c>
      <c r="CB316" s="219" t="e">
        <f>SUM(CB118)/SUM(CB172,CB176,CB178,CB179)</f>
        <v>#DIV/0!</v>
      </c>
      <c r="CC316" s="219" t="e">
        <f>SUM(CC118)/SUM(CC172,CC176,CC178,CC179)</f>
        <v>#DIV/0!</v>
      </c>
      <c r="CD316" s="219" t="e">
        <f>SUM(CD118)/SUM(CD172,CD176,CD178,CD179)</f>
        <v>#DIV/0!</v>
      </c>
      <c r="CF316" s="219" t="e">
        <f>SUM(CF118)/SUM(CF172,CF176,CF178,CF179)</f>
        <v>#DIV/0!</v>
      </c>
      <c r="CG316" s="219" t="e">
        <f>SUM(CG118)/SUM(CG172,CG176,CG178,CG179)</f>
        <v>#DIV/0!</v>
      </c>
      <c r="CH316" s="219" t="e">
        <f>SUM(CH118)/SUM(CH172,CH176,CH178,CH179)</f>
        <v>#DIV/0!</v>
      </c>
      <c r="CI316" s="219" t="e">
        <f>SUM(CI118)/SUM(CI172,CI176,CI178,CI179)</f>
        <v>#DIV/0!</v>
      </c>
      <c r="CK316" s="219" t="e">
        <f>SUM(CK118)/SUM(CK172,CK176,CK178,CK179)</f>
        <v>#DIV/0!</v>
      </c>
      <c r="CL316" s="219" t="e">
        <f>SUM(CL118)/SUM(CL172,CL176,CL178,CL179)</f>
        <v>#DIV/0!</v>
      </c>
      <c r="CM316" s="219" t="e">
        <f>SUM(CM118)/SUM(CM172,CM176,CM178,CM179)</f>
        <v>#DIV/0!</v>
      </c>
      <c r="CN316" s="219" t="e">
        <f>SUM(CN118)/SUM(CN172,CN176,CN178,CN179)</f>
        <v>#DIV/0!</v>
      </c>
      <c r="CP316" s="219" t="e">
        <f>SUM(CP118)/SUM(CP172,CP176,CP178,CP179)</f>
        <v>#DIV/0!</v>
      </c>
      <c r="CQ316" s="219" t="e">
        <f>SUM(CQ118)/SUM(CQ172,CQ176,CQ178,CQ179)</f>
        <v>#DIV/0!</v>
      </c>
      <c r="CR316" s="219" t="e">
        <f>SUM(CR118)/SUM(CR172,CR176,CR178,CR179)</f>
        <v>#DIV/0!</v>
      </c>
      <c r="CS316" s="219" t="e">
        <f>SUM(CS118)/SUM(CS172,CS176,CS178,CS179)</f>
        <v>#DIV/0!</v>
      </c>
      <c r="CU316" s="219" t="e">
        <f>SUM(CU118)/SUM(CU172,CU176,CU178,CU179)</f>
        <v>#DIV/0!</v>
      </c>
      <c r="CV316" s="219" t="e">
        <f>SUM(CV118)/SUM(CV172,CV176,CV178,CV179)</f>
        <v>#DIV/0!</v>
      </c>
      <c r="CW316" s="219" t="e">
        <f>SUM(CW118)/SUM(CW172,CW176,CW178,CW179)</f>
        <v>#DIV/0!</v>
      </c>
      <c r="CX316" s="219" t="e">
        <f>SUM(CX118)/SUM(CX172,CX176,CX178,CX179)</f>
        <v>#DIV/0!</v>
      </c>
    </row>
    <row r="317" customFormat="1" s="233">
      <c r="A317" s="224" t="n"/>
      <c r="B317" s="224" t="n"/>
    </row>
    <row r="318" customFormat="1" s="233">
      <c r="A318" s="224" t="n"/>
      <c r="B318" s="224" t="n"/>
      <c r="C318" s="234" t="inlineStr">
        <is>
          <t>OPERATING EFFICIENCY</t>
        </is>
      </c>
    </row>
    <row r="319" customFormat="1" s="238">
      <c r="A319" s="222" t="n"/>
      <c r="B319" s="222" t="n"/>
      <c r="C319" s="238" t="inlineStr">
        <is>
          <t>RETURN ON CAPITAL (ROIC)</t>
        </is>
      </c>
      <c r="D319" s="238">
        <f>D321/D324</f>
        <v>0.0222799792627632</v>
      </c>
      <c r="E319" s="238">
        <f>E321/E324</f>
        <v>-0.0545798317583216</v>
      </c>
      <c r="F319" s="238">
        <f>F321/F324</f>
        <v>0.0039814200398142</v>
      </c>
      <c r="G319" s="238">
        <f>G321/G324</f>
        <v>-0.00353915474637543</v>
      </c>
      <c r="H319" s="238">
        <f>H321/H324</f>
        <v>-0.0343360126039409</v>
      </c>
      <c r="I319" s="222">
        <f>I321/I324</f>
        <v>0.0101530415402555</v>
      </c>
      <c r="J319" s="222">
        <f>J321/J324</f>
        <v>0.0214162232697128</v>
      </c>
      <c r="K319" s="222">
        <f>K321/K324</f>
        <v>0.0415020302931051</v>
      </c>
      <c r="L319" s="222">
        <f>L321/L324</f>
        <v>0.0335523210154839</v>
      </c>
      <c r="M319" s="222">
        <f>M321/M324</f>
        <v>0.104667328840611</v>
      </c>
      <c r="N319" s="222">
        <f>N321/N324</f>
        <v>0.0391099628874133</v>
      </c>
      <c r="O319" s="222">
        <f>O321/O324</f>
        <v>0.0731850628457079</v>
      </c>
      <c r="P319" s="222">
        <f>P321/P324</f>
        <v>0.0695266261754968</v>
      </c>
      <c r="Q319" s="222">
        <f>Q321/Q324</f>
        <v>0.0400033766581958</v>
      </c>
      <c r="R319" s="222">
        <f>R321/R324</f>
        <v>0.222861605949988</v>
      </c>
      <c r="S319" s="222">
        <f>S321/S324</f>
        <v>0.0404396512574743</v>
      </c>
      <c r="T319" s="222">
        <f>T321/T324</f>
        <v>0.0360077114752948</v>
      </c>
      <c r="U319" s="222">
        <f>U321/U324</f>
        <v>0.0368126282364892</v>
      </c>
      <c r="V319" s="222">
        <f>V321/V324</f>
        <v>0.0134060798495886</v>
      </c>
      <c r="W319" s="222">
        <f>W321/W324</f>
        <v>0.125677821001769</v>
      </c>
      <c r="X319" s="222">
        <f>X321/X324</f>
        <v>0.0322355802231525</v>
      </c>
      <c r="Y319" s="222">
        <f>Y321/Y324</f>
        <v>0.025433133380463</v>
      </c>
      <c r="Z319" s="222">
        <f>Z321/Z324</f>
        <v>0.0253174816425586</v>
      </c>
      <c r="AA319" s="222">
        <f>AA321/AA324</f>
        <v>0.0190494489528689</v>
      </c>
      <c r="AB319" s="222">
        <f>AB321/AB324</f>
        <v>0.102616269224956</v>
      </c>
      <c r="AC319" s="222">
        <f>AC321/AC324</f>
        <v>0.0209804841779451</v>
      </c>
      <c r="AD319" s="222">
        <f>AD321/AD324</f>
        <v>0.0154840446867634</v>
      </c>
      <c r="AE319" s="222">
        <f>AE321/AE324</f>
        <v>0.0168564907683406</v>
      </c>
      <c r="AF319" s="222">
        <f>AF321/AF324</f>
        <v>0.0137489825996946</v>
      </c>
      <c r="AG319" s="222">
        <f>AG321/AG324</f>
        <v>0.0593931971615777</v>
      </c>
      <c r="AH319" s="222">
        <f>AH321/AH324</f>
        <v>0.0110750350839269</v>
      </c>
      <c r="AI319" s="222">
        <f>AI321/AI324</f>
        <v>0.0551120504498607</v>
      </c>
      <c r="AJ319" s="222">
        <f>AJ321/AJ324</f>
        <v>0</v>
      </c>
      <c r="AK319" s="222">
        <f>AK321/AK324</f>
        <v>0</v>
      </c>
      <c r="AL319" s="222">
        <f>AL321/AL324</f>
        <v>0.0627009631014822</v>
      </c>
      <c r="AM319" s="222" t="e">
        <f>AM321/AM324</f>
        <v>#DIV/0!</v>
      </c>
      <c r="AN319" s="222">
        <f>AN321/AN324</f>
        <v>0</v>
      </c>
      <c r="AO319" s="222" t="e">
        <f>AO321/AO324</f>
        <v>#DIV/0!</v>
      </c>
      <c r="AP319" s="222" t="e">
        <f>AP321/AP324</f>
        <v>#DIV/0!</v>
      </c>
      <c r="AQ319" s="222" t="e">
        <f>AQ321/AQ324</f>
        <v>#DIV/0!</v>
      </c>
      <c r="AR319" s="222" t="e">
        <f>AR321/AR324</f>
        <v>#DIV/0!</v>
      </c>
      <c r="AS319" s="222" t="e">
        <f>AS321/AS324</f>
        <v>#DIV/0!</v>
      </c>
      <c r="AT319" s="222" t="e">
        <f>AT321/AT324</f>
        <v>#DIV/0!</v>
      </c>
      <c r="AU319" s="222" t="e">
        <f>AU321/AU324</f>
        <v>#DIV/0!</v>
      </c>
      <c r="AV319" s="222" t="e">
        <f>AV321/AV324</f>
        <v>#DIV/0!</v>
      </c>
      <c r="AW319" s="222" t="e">
        <f>AW321/AW324</f>
        <v>#DIV/0!</v>
      </c>
      <c r="AX319" s="222" t="e">
        <f>AX321/AX324</f>
        <v>#DIV/0!</v>
      </c>
      <c r="AY319" s="222" t="e">
        <f>AY321/AY324</f>
        <v>#DIV/0!</v>
      </c>
      <c r="AZ319" s="222" t="e">
        <f>AZ321/AZ324</f>
        <v>#DIV/0!</v>
      </c>
      <c r="BA319" s="222" t="e">
        <f>BA321/BA324</f>
        <v>#DIV/0!</v>
      </c>
      <c r="BB319" s="222" t="e">
        <f>BB321/BB324</f>
        <v>#DIV/0!</v>
      </c>
      <c r="BC319" s="222" t="e">
        <f>BC321/BC324</f>
        <v>#DIV/0!</v>
      </c>
      <c r="BD319" s="222" t="e">
        <f>BD321/BD324</f>
        <v>#DIV/0!</v>
      </c>
      <c r="BE319" s="222" t="e">
        <f>BE321/BE324</f>
        <v>#DIV/0!</v>
      </c>
      <c r="BF319" s="222" t="e">
        <f>BF321/BF324</f>
        <v>#DIV/0!</v>
      </c>
      <c r="BG319" s="222" t="e">
        <f>BG321/BG324</f>
        <v>#DIV/0!</v>
      </c>
      <c r="BH319" s="222" t="e">
        <f>BH321/BH324</f>
        <v>#DIV/0!</v>
      </c>
      <c r="BI319" s="222" t="e">
        <f>BI321/BI324</f>
        <v>#DIV/0!</v>
      </c>
      <c r="BJ319" s="222" t="e">
        <f>BJ321/BJ324</f>
        <v>#DIV/0!</v>
      </c>
      <c r="BK319" s="222" t="e">
        <f>BK321/BK324</f>
        <v>#DIV/0!</v>
      </c>
      <c r="BL319" s="222" t="e">
        <f>BL321/BL324</f>
        <v>#DIV/0!</v>
      </c>
      <c r="BM319" s="222" t="e">
        <f>BM321/BM324</f>
        <v>#DIV/0!</v>
      </c>
      <c r="BN319" s="222" t="e">
        <f>BN321/BN324</f>
        <v>#DIV/0!</v>
      </c>
      <c r="BO319" s="222" t="e">
        <f>BO321/BO324</f>
        <v>#DIV/0!</v>
      </c>
      <c r="BP319" s="222" t="e">
        <f>BP321/BP324</f>
        <v>#DIV/0!</v>
      </c>
      <c r="BQ319" s="222" t="e">
        <f>BQ321/BQ324</f>
        <v>#DIV/0!</v>
      </c>
      <c r="BR319" s="222" t="e">
        <f>BR321/BR324</f>
        <v>#DIV/0!</v>
      </c>
      <c r="BS319" s="222" t="e">
        <f>BS321/BS324</f>
        <v>#DIV/0!</v>
      </c>
      <c r="BT319" s="222" t="e">
        <f>BT321/BT324</f>
        <v>#DIV/0!</v>
      </c>
      <c r="BU319" s="222" t="e">
        <f>BU321/BU324</f>
        <v>#DIV/0!</v>
      </c>
      <c r="BV319" s="222" t="e">
        <f>BV321/BV324</f>
        <v>#DIV/0!</v>
      </c>
      <c r="BW319" s="222" t="e">
        <f>BW321/BW324</f>
        <v>#DIV/0!</v>
      </c>
      <c r="BX319" s="222" t="e">
        <f>BX321/BX324</f>
        <v>#DIV/0!</v>
      </c>
      <c r="BY319" s="222" t="e">
        <f>BY321/BY324</f>
        <v>#DIV/0!</v>
      </c>
      <c r="BZ319" s="222" t="e">
        <f>BZ321/BZ324</f>
        <v>#DIV/0!</v>
      </c>
      <c r="CA319" s="222" t="e">
        <f>CA321/CA324</f>
        <v>#DIV/0!</v>
      </c>
      <c r="CB319" s="222" t="e">
        <f>CB321/CB324</f>
        <v>#DIV/0!</v>
      </c>
      <c r="CC319" s="222" t="e">
        <f>CC321/CC324</f>
        <v>#DIV/0!</v>
      </c>
      <c r="CD319" s="222" t="e">
        <f>CD321/CD324</f>
        <v>#DIV/0!</v>
      </c>
      <c r="CE319" s="222" t="e">
        <f>CE321/CE324</f>
        <v>#DIV/0!</v>
      </c>
      <c r="CF319" s="222" t="e">
        <f>CF321/CF324</f>
        <v>#DIV/0!</v>
      </c>
      <c r="CG319" s="222" t="e">
        <f>CG321/CG324</f>
        <v>#DIV/0!</v>
      </c>
      <c r="CH319" s="222" t="e">
        <f>CH321/CH324</f>
        <v>#DIV/0!</v>
      </c>
      <c r="CI319" s="222" t="e">
        <f>CI321/CI324</f>
        <v>#DIV/0!</v>
      </c>
      <c r="CJ319" s="222" t="e">
        <f>CJ321/CJ324</f>
        <v>#DIV/0!</v>
      </c>
      <c r="CK319" s="222" t="e">
        <f>CK321/CK324</f>
        <v>#DIV/0!</v>
      </c>
      <c r="CL319" s="222" t="e">
        <f>CL321/CL324</f>
        <v>#DIV/0!</v>
      </c>
      <c r="CM319" s="222" t="e">
        <f>CM321/CM324</f>
        <v>#DIV/0!</v>
      </c>
      <c r="CN319" s="222" t="e">
        <f>CN321/CN324</f>
        <v>#DIV/0!</v>
      </c>
      <c r="CO319" s="222" t="e">
        <f>CO321/CO324</f>
        <v>#DIV/0!</v>
      </c>
      <c r="CP319" s="222" t="e">
        <f>CP321/CP324</f>
        <v>#DIV/0!</v>
      </c>
      <c r="CQ319" s="222" t="e">
        <f>CQ321/CQ324</f>
        <v>#DIV/0!</v>
      </c>
      <c r="CR319" s="222" t="e">
        <f>CR321/CR324</f>
        <v>#DIV/0!</v>
      </c>
      <c r="CS319" s="222" t="e">
        <f>CS321/CS324</f>
        <v>#DIV/0!</v>
      </c>
      <c r="CT319" s="222" t="e">
        <f>CT321/CT324</f>
        <v>#DIV/0!</v>
      </c>
      <c r="CU319" s="222" t="e">
        <f>CU321/CU324</f>
        <v>#DIV/0!</v>
      </c>
      <c r="CV319" s="222" t="e">
        <f>CV321/CV324</f>
        <v>#DIV/0!</v>
      </c>
      <c r="CW319" s="222" t="e">
        <f>CW321/CW324</f>
        <v>#DIV/0!</v>
      </c>
      <c r="CX319" s="222" t="e">
        <f>CX321/CX324</f>
        <v>#DIV/0!</v>
      </c>
      <c r="CY319" s="222" t="e">
        <f>CY321/CY324</f>
        <v>#DIV/0!</v>
      </c>
    </row>
    <row r="320" customFormat="1" s="238">
      <c r="A320" s="222" t="n"/>
      <c r="B320" s="222" t="n"/>
      <c r="C320" s="238" t="inlineStr">
        <is>
          <t>RETURN ON CAPITAL (ROIC) - EX GOODWILL</t>
        </is>
      </c>
      <c r="D320" s="238">
        <f>D321/D325</f>
        <v>0.0228904497351346</v>
      </c>
      <c r="E320" s="238">
        <f>E321/E325</f>
        <v>-0.0562446877874208</v>
      </c>
      <c r="F320" s="238">
        <f>F321/F325</f>
        <v>0.00410813771630787</v>
      </c>
      <c r="G320" s="238">
        <f>G321/G325</f>
        <v>-0.00364855267625075</v>
      </c>
      <c r="H320" s="238">
        <f>H321/H325</f>
        <v>-0.0353973645278405</v>
      </c>
      <c r="I320" s="222">
        <f>I321/I325</f>
        <v>0.0104595531842692</v>
      </c>
      <c r="J320" s="222">
        <f>J321/J325</f>
        <v>0.0220614421075445</v>
      </c>
      <c r="K320" s="222">
        <f>K321/K325</f>
        <v>0.0427522916301311</v>
      </c>
      <c r="L320" s="222">
        <f>L321/L325</f>
        <v>0.0345302919652442</v>
      </c>
      <c r="M320" s="222">
        <f>M321/M325</f>
        <v>0.107718134385417</v>
      </c>
      <c r="N320" s="222">
        <f>N321/N325</f>
        <v>0.0401890251499678</v>
      </c>
      <c r="O320" s="222">
        <f>O321/O325</f>
        <v>0.0753628533387458</v>
      </c>
      <c r="P320" s="222">
        <f>P321/P325</f>
        <v>0.0715737478390463</v>
      </c>
      <c r="Q320" s="222">
        <f>Q321/Q325</f>
        <v>0.0412087312824157</v>
      </c>
      <c r="R320" s="222">
        <f>R321/R325</f>
        <v>0.229576720766124</v>
      </c>
      <c r="S320" s="222">
        <f>S321/S325</f>
        <v>0.0416288083385598</v>
      </c>
      <c r="T320" s="222">
        <f>T321/T325</f>
        <v>0.0370401514737545</v>
      </c>
      <c r="U320" s="222">
        <f>U321/U325</f>
        <v>0.0378021778367665</v>
      </c>
      <c r="V320" s="222">
        <f>V321/V325</f>
        <v>0.0137821187050786</v>
      </c>
      <c r="W320" s="222">
        <f>W321/W325</f>
        <v>0.129203068091166</v>
      </c>
      <c r="X320" s="222">
        <f>X321/X325</f>
        <v>0.0331307391809148</v>
      </c>
      <c r="Y320" s="222">
        <f>Y321/Y325</f>
        <v>0.0261282215914086</v>
      </c>
      <c r="Z320" s="222">
        <f>Z321/Z325</f>
        <v>0.0259915638203651</v>
      </c>
      <c r="AA320" s="222">
        <f>AA321/AA325</f>
        <v>0.019556115022902</v>
      </c>
      <c r="AB320" s="222">
        <f>AB321/AB325</f>
        <v>0.105345596565516</v>
      </c>
      <c r="AC320" s="222">
        <f>AC321/AC325</f>
        <v>0.0215469679157237</v>
      </c>
      <c r="AD320" s="222">
        <f>AD321/AD325</f>
        <v>0.0159035923211236</v>
      </c>
      <c r="AE320" s="222">
        <f>AE321/AE325</f>
        <v>0.0171996009766107</v>
      </c>
      <c r="AF320" s="222">
        <f>AF321/AF325</f>
        <v>0.0140362911075808</v>
      </c>
      <c r="AG320" s="222">
        <f>AG321/AG325</f>
        <v>0.0606343196032819</v>
      </c>
      <c r="AH320" s="222">
        <f>AH321/AH325</f>
        <v>0.0113043925854836</v>
      </c>
      <c r="AI320" s="222">
        <f>AI321/AI325</f>
        <v>0.0562474537866139</v>
      </c>
      <c r="AJ320" s="222">
        <f>AJ321/AJ325</f>
        <v>0</v>
      </c>
      <c r="AK320" s="222">
        <f>AK321/AK325</f>
        <v>0</v>
      </c>
      <c r="AL320" s="222">
        <f>AL321/AL325</f>
        <v>0.0639217527264777</v>
      </c>
      <c r="AM320" s="222" t="e">
        <f>AM321/AM325</f>
        <v>#DIV/0!</v>
      </c>
      <c r="AN320" s="222">
        <f>AN321/AN325</f>
        <v>0</v>
      </c>
      <c r="AO320" s="222" t="e">
        <f>AO321/AO325</f>
        <v>#DIV/0!</v>
      </c>
      <c r="AP320" s="222" t="e">
        <f>AP321/AP325</f>
        <v>#DIV/0!</v>
      </c>
      <c r="AQ320" s="222" t="e">
        <f>AQ321/AQ325</f>
        <v>#DIV/0!</v>
      </c>
      <c r="AR320" s="222" t="e">
        <f>AR321/AR325</f>
        <v>#DIV/0!</v>
      </c>
      <c r="AS320" s="222" t="e">
        <f>AS321/AS325</f>
        <v>#DIV/0!</v>
      </c>
      <c r="AT320" s="222" t="e">
        <f>AT321/AT325</f>
        <v>#DIV/0!</v>
      </c>
      <c r="AU320" s="222" t="e">
        <f>AU321/AU325</f>
        <v>#DIV/0!</v>
      </c>
      <c r="AV320" s="222" t="e">
        <f>AV321/AV325</f>
        <v>#DIV/0!</v>
      </c>
      <c r="AW320" s="222" t="e">
        <f>AW321/AW325</f>
        <v>#DIV/0!</v>
      </c>
      <c r="AX320" s="222" t="e">
        <f>AX321/AX325</f>
        <v>#DIV/0!</v>
      </c>
      <c r="AY320" s="222" t="e">
        <f>AY321/AY325</f>
        <v>#DIV/0!</v>
      </c>
      <c r="AZ320" s="222" t="e">
        <f>AZ321/AZ325</f>
        <v>#DIV/0!</v>
      </c>
      <c r="BA320" s="222" t="e">
        <f>BA321/BA325</f>
        <v>#DIV/0!</v>
      </c>
      <c r="BB320" s="222" t="e">
        <f>BB321/BB325</f>
        <v>#DIV/0!</v>
      </c>
      <c r="BC320" s="222" t="e">
        <f>BC321/BC325</f>
        <v>#DIV/0!</v>
      </c>
      <c r="BD320" s="222" t="e">
        <f>BD321/BD325</f>
        <v>#DIV/0!</v>
      </c>
      <c r="BE320" s="222" t="e">
        <f>BE321/BE325</f>
        <v>#DIV/0!</v>
      </c>
      <c r="BF320" s="222" t="e">
        <f>BF321/BF325</f>
        <v>#DIV/0!</v>
      </c>
      <c r="BG320" s="222" t="e">
        <f>BG321/BG325</f>
        <v>#DIV/0!</v>
      </c>
      <c r="BH320" s="222" t="e">
        <f>BH321/BH325</f>
        <v>#DIV/0!</v>
      </c>
      <c r="BI320" s="222" t="e">
        <f>BI321/BI325</f>
        <v>#DIV/0!</v>
      </c>
      <c r="BJ320" s="222" t="e">
        <f>BJ321/BJ325</f>
        <v>#DIV/0!</v>
      </c>
      <c r="BK320" s="222" t="e">
        <f>BK321/BK325</f>
        <v>#DIV/0!</v>
      </c>
      <c r="BL320" s="222" t="e">
        <f>BL321/BL325</f>
        <v>#DIV/0!</v>
      </c>
      <c r="BM320" s="222" t="e">
        <f>BM321/BM325</f>
        <v>#DIV/0!</v>
      </c>
      <c r="BN320" s="222" t="e">
        <f>BN321/BN325</f>
        <v>#DIV/0!</v>
      </c>
      <c r="BO320" s="222" t="e">
        <f>BO321/BO325</f>
        <v>#DIV/0!</v>
      </c>
      <c r="BP320" s="222" t="e">
        <f>BP321/BP325</f>
        <v>#DIV/0!</v>
      </c>
      <c r="BQ320" s="222" t="e">
        <f>BQ321/BQ325</f>
        <v>#DIV/0!</v>
      </c>
      <c r="BR320" s="222" t="e">
        <f>BR321/BR325</f>
        <v>#DIV/0!</v>
      </c>
      <c r="BS320" s="222" t="e">
        <f>BS321/BS325</f>
        <v>#DIV/0!</v>
      </c>
      <c r="BT320" s="222" t="e">
        <f>BT321/BT325</f>
        <v>#DIV/0!</v>
      </c>
      <c r="BU320" s="222" t="e">
        <f>BU321/BU325</f>
        <v>#DIV/0!</v>
      </c>
      <c r="BV320" s="222" t="e">
        <f>BV321/BV325</f>
        <v>#DIV/0!</v>
      </c>
      <c r="BW320" s="222" t="e">
        <f>BW321/BW325</f>
        <v>#DIV/0!</v>
      </c>
      <c r="BX320" s="222" t="e">
        <f>BX321/BX325</f>
        <v>#DIV/0!</v>
      </c>
      <c r="BY320" s="222" t="e">
        <f>BY321/BY325</f>
        <v>#DIV/0!</v>
      </c>
      <c r="BZ320" s="222" t="e">
        <f>BZ321/BZ325</f>
        <v>#DIV/0!</v>
      </c>
      <c r="CA320" s="222" t="e">
        <f>CA321/CA325</f>
        <v>#DIV/0!</v>
      </c>
      <c r="CB320" s="222" t="e">
        <f>CB321/CB325</f>
        <v>#DIV/0!</v>
      </c>
      <c r="CC320" s="222" t="e">
        <f>CC321/CC325</f>
        <v>#DIV/0!</v>
      </c>
      <c r="CD320" s="222" t="e">
        <f>CD321/CD325</f>
        <v>#DIV/0!</v>
      </c>
      <c r="CE320" s="222" t="e">
        <f>CE321/CE325</f>
        <v>#DIV/0!</v>
      </c>
      <c r="CF320" s="222" t="e">
        <f>CF321/CF325</f>
        <v>#DIV/0!</v>
      </c>
      <c r="CG320" s="222" t="e">
        <f>CG321/CG325</f>
        <v>#DIV/0!</v>
      </c>
      <c r="CH320" s="222" t="e">
        <f>CH321/CH325</f>
        <v>#DIV/0!</v>
      </c>
      <c r="CI320" s="222" t="e">
        <f>CI321/CI325</f>
        <v>#DIV/0!</v>
      </c>
      <c r="CJ320" s="222" t="e">
        <f>CJ321/CJ325</f>
        <v>#DIV/0!</v>
      </c>
      <c r="CK320" s="222" t="e">
        <f>CK321/CK325</f>
        <v>#DIV/0!</v>
      </c>
      <c r="CL320" s="222" t="e">
        <f>CL321/CL325</f>
        <v>#DIV/0!</v>
      </c>
      <c r="CM320" s="222" t="e">
        <f>CM321/CM325</f>
        <v>#DIV/0!</v>
      </c>
      <c r="CN320" s="222" t="e">
        <f>CN321/CN325</f>
        <v>#DIV/0!</v>
      </c>
      <c r="CO320" s="222" t="e">
        <f>CO321/CO325</f>
        <v>#DIV/0!</v>
      </c>
      <c r="CP320" s="222" t="e">
        <f>CP321/CP325</f>
        <v>#DIV/0!</v>
      </c>
      <c r="CQ320" s="222" t="e">
        <f>CQ321/CQ325</f>
        <v>#DIV/0!</v>
      </c>
      <c r="CR320" s="222" t="e">
        <f>CR321/CR325</f>
        <v>#DIV/0!</v>
      </c>
      <c r="CS320" s="222" t="e">
        <f>CS321/CS325</f>
        <v>#DIV/0!</v>
      </c>
      <c r="CT320" s="222" t="e">
        <f>CT321/CT325</f>
        <v>#DIV/0!</v>
      </c>
      <c r="CU320" s="222" t="e">
        <f>CU321/CU325</f>
        <v>#DIV/0!</v>
      </c>
      <c r="CV320" s="222" t="e">
        <f>CV321/CV325</f>
        <v>#DIV/0!</v>
      </c>
      <c r="CW320" s="222" t="e">
        <f>CW321/CW325</f>
        <v>#DIV/0!</v>
      </c>
      <c r="CX320" s="222" t="e">
        <f>CX321/CX325</f>
        <v>#DIV/0!</v>
      </c>
      <c r="CY320" s="222" t="e">
        <f>CY321/CY325</f>
        <v>#DIV/0!</v>
      </c>
    </row>
    <row r="321" customFormat="1" s="233">
      <c r="A321" s="224" t="n"/>
      <c r="B321" s="224" t="n"/>
      <c r="C321" s="233" t="inlineStr">
        <is>
          <t>NOPLAT</t>
        </is>
      </c>
      <c r="D321" s="233">
        <f>D322*(1-D323)</f>
        <v>3720.95705669481</v>
      </c>
      <c r="E321" s="233">
        <f>E322*(1-E323)</f>
        <v>-8142.65594036048</v>
      </c>
      <c r="F321" s="233">
        <f>F322*(1-F323)</f>
        <v>570</v>
      </c>
      <c r="G321" s="233">
        <f>G322*(1-G323)</f>
        <v>-519.590386624869</v>
      </c>
      <c r="H321" s="233">
        <f>H322*(1-H323)</f>
        <v>-5040.93868240977</v>
      </c>
      <c r="I321" s="223">
        <f>I322*(1-I323)</f>
        <v>1525.14928801102</v>
      </c>
      <c r="J321" s="224">
        <f>J322*(1-J323)</f>
        <v>3223.44142921755</v>
      </c>
      <c r="K321" s="224">
        <f>K322*(1-K323)</f>
        <v>6247.09310986965</v>
      </c>
      <c r="L321" s="224">
        <f>L322*(1-L323)</f>
        <v>5194.77165354331</v>
      </c>
      <c r="M321" s="224">
        <f>M322*(1-M323)</f>
        <v>16205.2238550765</v>
      </c>
      <c r="N321" s="223">
        <f>N322*(1-N323)</f>
        <v>6371.28672409985</v>
      </c>
      <c r="O321" s="224">
        <f>O322*(1-O323)</f>
        <v>11809.4344810348</v>
      </c>
      <c r="P321" s="224">
        <f>P322*(1-P323)</f>
        <v>11335.1344452698</v>
      </c>
      <c r="Q321" s="224">
        <f>Q322*(1-Q323)</f>
        <v>6457.9851141925</v>
      </c>
      <c r="R321" s="224">
        <f>R322*(1-R323)</f>
        <v>35977.8862181423</v>
      </c>
      <c r="S321" s="223">
        <f>S322*(1-S323)</f>
        <v>6684.79567181427</v>
      </c>
      <c r="T321" s="224">
        <f>T322*(1-T323)</f>
        <v>6099.99438560674</v>
      </c>
      <c r="U321" s="224">
        <f>U322*(1-U323)</f>
        <v>6640.51956969558</v>
      </c>
      <c r="V321" s="224">
        <f>V322*(1-V323)</f>
        <v>2320.12320916906</v>
      </c>
      <c r="W321" s="224">
        <f>W322*(1-W323)</f>
        <v>21750.4320916712</v>
      </c>
      <c r="X321" s="223">
        <f>X322*(1-X323)</f>
        <v>5633.68341327948</v>
      </c>
      <c r="Y321" s="224">
        <f>Y322*(1-Y323)</f>
        <v>4514.35574189881</v>
      </c>
      <c r="Z321" s="224">
        <f>Z322*(1-Z323)</f>
        <v>4609.62983510556</v>
      </c>
      <c r="AA321" s="224">
        <f>AA322*(1-AA323)</f>
        <v>3366.03762997194</v>
      </c>
      <c r="AB321" s="224">
        <f>AB322*(1-AB323)</f>
        <v>18132.2947720497</v>
      </c>
      <c r="AC321" s="223">
        <f>AC322*(1-AC323)</f>
        <v>3645.35912591797</v>
      </c>
      <c r="AD321" s="224">
        <f>AD322*(1-AD323)</f>
        <v>2681.1707258259</v>
      </c>
      <c r="AE321" s="224">
        <f>AE322*(1-AE323)</f>
        <v>3859.91725157</v>
      </c>
      <c r="AF321" s="224">
        <f>AF322*(1-AF323)</f>
        <v>3068.31919982605</v>
      </c>
      <c r="AG321" s="224">
        <f>AG322*(1-AG323)</f>
        <v>13254.6016309578</v>
      </c>
      <c r="AH321" s="223">
        <f>AH322*(1-AH323)</f>
        <v>2493.47769893563</v>
      </c>
      <c r="AI321" s="224">
        <f>AI322*(1-AI323)</f>
        <v>12471.6916806521</v>
      </c>
      <c r="AJ321" s="224">
        <f>AJ322*(1-AJ323)</f>
        <v>0</v>
      </c>
      <c r="AK321" s="224">
        <f>AK322*(1-AK323)</f>
        <v>0</v>
      </c>
      <c r="AL321" s="224">
        <f>AL322*(1-AL323)</f>
        <v>14997.129859428</v>
      </c>
      <c r="AM321" s="223">
        <f>AM322*(1-AM323)</f>
        <v>0</v>
      </c>
      <c r="AN321" s="224">
        <f>AN322*(1-AN323)</f>
        <v>0</v>
      </c>
      <c r="AO321" s="224">
        <f>AO322*(1-AO323)</f>
        <v>0</v>
      </c>
      <c r="AP321" s="224">
        <f>AP322*(1-AP323)</f>
        <v>0</v>
      </c>
      <c r="AQ321" s="224" t="e">
        <f>AQ322*(1-AQ323)</f>
        <v>#DIV/0!</v>
      </c>
      <c r="AR321" s="223">
        <f>AR322*(1-AR323)</f>
        <v>0</v>
      </c>
      <c r="AS321" s="224">
        <f>AS322*(1-AS323)</f>
        <v>0</v>
      </c>
      <c r="AT321" s="224">
        <f>AT322*(1-AT323)</f>
        <v>0</v>
      </c>
      <c r="AU321" s="224">
        <f>AU322*(1-AU323)</f>
        <v>0</v>
      </c>
      <c r="AV321" s="224" t="e">
        <f>AV322*(1-AV323)</f>
        <v>#DIV/0!</v>
      </c>
      <c r="AW321" s="223">
        <f>AW322*(1-AW323)</f>
        <v>0</v>
      </c>
      <c r="AX321" s="224">
        <f>AX322*(1-AX323)</f>
        <v>0</v>
      </c>
      <c r="AY321" s="224">
        <f>AY322*(1-AY323)</f>
        <v>0</v>
      </c>
      <c r="AZ321" s="224">
        <f>AZ322*(1-AZ323)</f>
        <v>0</v>
      </c>
      <c r="BA321" s="224" t="e">
        <f>BA322*(1-BA323)</f>
        <v>#DIV/0!</v>
      </c>
      <c r="BB321" s="223">
        <f>BB322*(1-BB323)</f>
        <v>0</v>
      </c>
      <c r="BC321" s="224">
        <f>BC322*(1-BC323)</f>
        <v>0</v>
      </c>
      <c r="BD321" s="224">
        <f>BD322*(1-BD323)</f>
        <v>0</v>
      </c>
      <c r="BE321" s="224">
        <f>BE322*(1-BE323)</f>
        <v>0</v>
      </c>
      <c r="BF321" s="224" t="e">
        <f>BF322*(1-BF323)</f>
        <v>#DIV/0!</v>
      </c>
      <c r="BG321" s="223">
        <f>BG322*(1-BG323)</f>
        <v>0</v>
      </c>
      <c r="BH321" s="224">
        <f>BH322*(1-BH323)</f>
        <v>0</v>
      </c>
      <c r="BI321" s="224">
        <f>BI322*(1-BI323)</f>
        <v>0</v>
      </c>
      <c r="BJ321" s="224">
        <f>BJ322*(1-BJ323)</f>
        <v>0</v>
      </c>
      <c r="BK321" s="224" t="e">
        <f>BK322*(1-BK323)</f>
        <v>#DIV/0!</v>
      </c>
      <c r="BL321" s="223">
        <f>BL322*(1-BL323)</f>
        <v>0</v>
      </c>
      <c r="BM321" s="224">
        <f>BM322*(1-BM323)</f>
        <v>0</v>
      </c>
      <c r="BN321" s="224">
        <f>BN322*(1-BN323)</f>
        <v>0</v>
      </c>
      <c r="BO321" s="224">
        <f>BO322*(1-BO323)</f>
        <v>0</v>
      </c>
      <c r="BP321" s="224" t="e">
        <f>BP322*(1-BP323)</f>
        <v>#DIV/0!</v>
      </c>
      <c r="BQ321" s="223">
        <f>BQ322*(1-BQ323)</f>
        <v>0</v>
      </c>
      <c r="BR321" s="224">
        <f>BR322*(1-BR323)</f>
        <v>0</v>
      </c>
      <c r="BS321" s="224">
        <f>BS322*(1-BS323)</f>
        <v>0</v>
      </c>
      <c r="BT321" s="224">
        <f>BT322*(1-BT323)</f>
        <v>0</v>
      </c>
      <c r="BU321" s="224" t="e">
        <f>BU322*(1-BU323)</f>
        <v>#DIV/0!</v>
      </c>
      <c r="BV321" s="223">
        <f>BV322*(1-BV323)</f>
        <v>0</v>
      </c>
      <c r="BW321" s="224">
        <f>BW322*(1-BW323)</f>
        <v>0</v>
      </c>
      <c r="BX321" s="224">
        <f>BX322*(1-BX323)</f>
        <v>0</v>
      </c>
      <c r="BY321" s="224">
        <f>BY322*(1-BY323)</f>
        <v>0</v>
      </c>
      <c r="BZ321" s="224" t="e">
        <f>BZ322*(1-BZ323)</f>
        <v>#DIV/0!</v>
      </c>
      <c r="CA321" s="223">
        <f>CA322*(1-CA323)</f>
        <v>0</v>
      </c>
      <c r="CB321" s="224">
        <f>CB322*(1-CB323)</f>
        <v>0</v>
      </c>
      <c r="CC321" s="224">
        <f>CC322*(1-CC323)</f>
        <v>0</v>
      </c>
      <c r="CD321" s="224">
        <f>CD322*(1-CD323)</f>
        <v>0</v>
      </c>
      <c r="CE321" s="224" t="e">
        <f>CE322*(1-CE323)</f>
        <v>#DIV/0!</v>
      </c>
      <c r="CF321" s="223">
        <f>CF322*(1-CF323)</f>
        <v>0</v>
      </c>
      <c r="CG321" s="224">
        <f>CG322*(1-CG323)</f>
        <v>0</v>
      </c>
      <c r="CH321" s="224">
        <f>CH322*(1-CH323)</f>
        <v>0</v>
      </c>
      <c r="CI321" s="224">
        <f>CI322*(1-CI323)</f>
        <v>0</v>
      </c>
      <c r="CJ321" s="224" t="e">
        <f>CJ322*(1-CJ323)</f>
        <v>#DIV/0!</v>
      </c>
      <c r="CK321" s="223">
        <f>CK322*(1-CK323)</f>
        <v>0</v>
      </c>
      <c r="CL321" s="224">
        <f>CL322*(1-CL323)</f>
        <v>0</v>
      </c>
      <c r="CM321" s="224">
        <f>CM322*(1-CM323)</f>
        <v>0</v>
      </c>
      <c r="CN321" s="224">
        <f>CN322*(1-CN323)</f>
        <v>0</v>
      </c>
      <c r="CO321" s="224" t="e">
        <f>CO322*(1-CO323)</f>
        <v>#DIV/0!</v>
      </c>
      <c r="CP321" s="223">
        <f>CP322*(1-CP323)</f>
        <v>0</v>
      </c>
      <c r="CQ321" s="224">
        <f>CQ322*(1-CQ323)</f>
        <v>0</v>
      </c>
      <c r="CR321" s="224">
        <f>CR322*(1-CR323)</f>
        <v>0</v>
      </c>
      <c r="CS321" s="224">
        <f>CS322*(1-CS323)</f>
        <v>0</v>
      </c>
      <c r="CT321" s="224" t="e">
        <f>CT322*(1-CT323)</f>
        <v>#DIV/0!</v>
      </c>
      <c r="CU321" s="223">
        <f>CU322*(1-CU323)</f>
        <v>0</v>
      </c>
      <c r="CV321" s="224">
        <f>CV322*(1-CV323)</f>
        <v>0</v>
      </c>
      <c r="CW321" s="224">
        <f>CW322*(1-CW323)</f>
        <v>0</v>
      </c>
      <c r="CX321" s="224">
        <f>CX322*(1-CX323)</f>
        <v>0</v>
      </c>
      <c r="CY321" s="224" t="e">
        <f>CY322*(1-CY323)</f>
        <v>#DIV/0!</v>
      </c>
    </row>
    <row r="322" customFormat="1" s="233">
      <c r="A322" s="224" t="n"/>
      <c r="B322" s="224" t="n"/>
      <c r="C322" s="233" t="inlineStr">
        <is>
          <t>EBIT</t>
        </is>
      </c>
      <c r="D322" s="239">
        <f>D47</f>
        <v>4307</v>
      </c>
      <c r="E322" s="239">
        <f>E47</f>
        <v>-10425</v>
      </c>
      <c r="F322" s="239">
        <f>F47</f>
        <v>120</v>
      </c>
      <c r="G322" s="239">
        <f>G47</f>
        <v>-758</v>
      </c>
      <c r="H322" s="239">
        <f>H47</f>
        <v>-6756</v>
      </c>
      <c r="I322" s="36">
        <f>I47</f>
        <v>2375</v>
      </c>
      <c r="J322" s="36">
        <f>J47</f>
        <v>4607</v>
      </c>
      <c r="K322" s="36">
        <f>K47</f>
        <v>8229</v>
      </c>
      <c r="L322" s="36">
        <f>L47</f>
        <v>7140</v>
      </c>
      <c r="M322" s="36">
        <f>M47</f>
        <v>22351</v>
      </c>
      <c r="N322" s="36">
        <f>N47</f>
        <v>9190</v>
      </c>
      <c r="O322" s="36">
        <f>O47</f>
        <v>16132</v>
      </c>
      <c r="P322" s="36">
        <f>P47</f>
        <v>14937</v>
      </c>
      <c r="Q322" s="36">
        <f>Q47</f>
        <v>9931</v>
      </c>
      <c r="R322" s="36">
        <f>R47</f>
        <v>50190</v>
      </c>
      <c r="S322" s="36">
        <f>S47</f>
        <v>9634</v>
      </c>
      <c r="T322" s="36">
        <f>T47</f>
        <v>7957</v>
      </c>
      <c r="U322" s="36">
        <f>U47</f>
        <v>8852</v>
      </c>
      <c r="V322" s="36">
        <f>V47</f>
        <v>3610</v>
      </c>
      <c r="W322" s="36">
        <f>W47</f>
        <v>30053</v>
      </c>
      <c r="X322" s="36">
        <f>X47</f>
        <v>8040</v>
      </c>
      <c r="Y322" s="36">
        <f>Y47</f>
        <v>7149</v>
      </c>
      <c r="Z322" s="36">
        <f>Z47</f>
        <v>6653</v>
      </c>
      <c r="AA322" s="36">
        <f>AA47</f>
        <v>6258</v>
      </c>
      <c r="AB322" s="36">
        <f>AB47</f>
        <v>28100</v>
      </c>
      <c r="AC322" s="36">
        <f>AC47</f>
        <v>5795</v>
      </c>
      <c r="AD322" s="36">
        <f>AD47</f>
        <v>4421</v>
      </c>
      <c r="AE322" s="36">
        <f>AE47</f>
        <v>5784</v>
      </c>
      <c r="AF322" s="36">
        <f>AF47</f>
        <v>4960</v>
      </c>
      <c r="AG322" s="36">
        <f>AG47</f>
        <v>20960</v>
      </c>
      <c r="AH322" s="36">
        <f>AH47</f>
        <v>4291</v>
      </c>
      <c r="AI322" s="36">
        <f>AI47</f>
        <v>17036</v>
      </c>
      <c r="AJ322" s="36">
        <f>AJ47</f>
        <v>0</v>
      </c>
      <c r="AK322" s="36">
        <f>AK47</f>
        <v>0</v>
      </c>
      <c r="AL322" s="36">
        <f>AL47</f>
        <v>21327</v>
      </c>
      <c r="AM322" s="36">
        <f>AM47</f>
        <v>0</v>
      </c>
      <c r="AN322" s="36">
        <f>AN47</f>
        <v>0</v>
      </c>
      <c r="AO322" s="36">
        <f>AO47</f>
        <v>0</v>
      </c>
      <c r="AP322" s="36">
        <f>AP47</f>
        <v>0</v>
      </c>
      <c r="AQ322" s="36">
        <f>AQ47</f>
        <v>0</v>
      </c>
      <c r="AR322" s="36">
        <f>AR47</f>
        <v>0</v>
      </c>
      <c r="AS322" s="36">
        <f>AS47</f>
        <v>0</v>
      </c>
      <c r="AT322" s="36">
        <f>AT47</f>
        <v>0</v>
      </c>
      <c r="AU322" s="36">
        <f>AU47</f>
        <v>0</v>
      </c>
      <c r="AV322" s="36">
        <f>AV47</f>
        <v>0</v>
      </c>
      <c r="AW322" s="36">
        <f>AW47</f>
        <v>0</v>
      </c>
      <c r="AX322" s="36">
        <f>AX47</f>
        <v>0</v>
      </c>
      <c r="AY322" s="36">
        <f>AY47</f>
        <v>0</v>
      </c>
      <c r="AZ322" s="36">
        <f>AZ47</f>
        <v>0</v>
      </c>
      <c r="BA322" s="36">
        <f>BA47</f>
        <v>0</v>
      </c>
      <c r="BB322" s="36">
        <f>BB47</f>
        <v>0</v>
      </c>
      <c r="BC322" s="36">
        <f>BC47</f>
        <v>0</v>
      </c>
      <c r="BD322" s="36">
        <f>BD47</f>
        <v>0</v>
      </c>
      <c r="BE322" s="36">
        <f>BE47</f>
        <v>0</v>
      </c>
      <c r="BF322" s="36">
        <f>BF47</f>
        <v>0</v>
      </c>
      <c r="BG322" s="36">
        <f>BG47</f>
        <v>0</v>
      </c>
      <c r="BH322" s="36">
        <f>BH47</f>
        <v>0</v>
      </c>
      <c r="BI322" s="36">
        <f>BI47</f>
        <v>0</v>
      </c>
      <c r="BJ322" s="36">
        <f>BJ47</f>
        <v>0</v>
      </c>
      <c r="BK322" s="36">
        <f>BK47</f>
        <v>0</v>
      </c>
      <c r="BL322" s="36">
        <f>BL47</f>
        <v>0</v>
      </c>
      <c r="BM322" s="36">
        <f>BM47</f>
        <v>0</v>
      </c>
      <c r="BN322" s="36">
        <f>BN47</f>
        <v>0</v>
      </c>
      <c r="BO322" s="36">
        <f>BO47</f>
        <v>0</v>
      </c>
      <c r="BP322" s="36">
        <f>BP47</f>
        <v>0</v>
      </c>
      <c r="BQ322" s="36">
        <f>BQ47</f>
        <v>0</v>
      </c>
      <c r="BR322" s="36">
        <f>BR47</f>
        <v>0</v>
      </c>
      <c r="BS322" s="36">
        <f>BS47</f>
        <v>0</v>
      </c>
      <c r="BT322" s="36">
        <f>BT47</f>
        <v>0</v>
      </c>
      <c r="BU322" s="36">
        <f>BU47</f>
        <v>0</v>
      </c>
      <c r="BV322" s="36">
        <f>BV47</f>
        <v>0</v>
      </c>
      <c r="BW322" s="36">
        <f>BW47</f>
        <v>0</v>
      </c>
      <c r="BX322" s="36">
        <f>BX47</f>
        <v>0</v>
      </c>
      <c r="BY322" s="36">
        <f>BY47</f>
        <v>0</v>
      </c>
      <c r="BZ322" s="36">
        <f>BZ47</f>
        <v>0</v>
      </c>
      <c r="CA322" s="36">
        <f>CA47</f>
        <v>0</v>
      </c>
      <c r="CB322" s="36">
        <f>CB47</f>
        <v>0</v>
      </c>
      <c r="CC322" s="36">
        <f>CC47</f>
        <v>0</v>
      </c>
      <c r="CD322" s="36">
        <f>CD47</f>
        <v>0</v>
      </c>
      <c r="CE322" s="36">
        <f>CE47</f>
        <v>0</v>
      </c>
      <c r="CF322" s="36">
        <f>CF47</f>
        <v>0</v>
      </c>
      <c r="CG322" s="36">
        <f>CG47</f>
        <v>0</v>
      </c>
      <c r="CH322" s="36">
        <f>CH47</f>
        <v>0</v>
      </c>
      <c r="CI322" s="36">
        <f>CI47</f>
        <v>0</v>
      </c>
      <c r="CJ322" s="36">
        <f>CJ47</f>
        <v>0</v>
      </c>
      <c r="CK322" s="36">
        <f>CK47</f>
        <v>0</v>
      </c>
      <c r="CL322" s="36">
        <f>CL47</f>
        <v>0</v>
      </c>
      <c r="CM322" s="36">
        <f>CM47</f>
        <v>0</v>
      </c>
      <c r="CN322" s="36">
        <f>CN47</f>
        <v>0</v>
      </c>
      <c r="CO322" s="36">
        <f>CO47</f>
        <v>0</v>
      </c>
      <c r="CP322" s="36">
        <f>CP47</f>
        <v>0</v>
      </c>
      <c r="CQ322" s="36">
        <f>CQ47</f>
        <v>0</v>
      </c>
      <c r="CR322" s="36">
        <f>CR47</f>
        <v>0</v>
      </c>
      <c r="CS322" s="36">
        <f>CS47</f>
        <v>0</v>
      </c>
      <c r="CT322" s="36">
        <f>CT47</f>
        <v>0</v>
      </c>
      <c r="CU322" s="36">
        <f>CU47</f>
        <v>0</v>
      </c>
      <c r="CV322" s="36">
        <f>CV47</f>
        <v>0</v>
      </c>
      <c r="CW322" s="36">
        <f>CW47</f>
        <v>0</v>
      </c>
      <c r="CX322" s="36">
        <f>CX47</f>
        <v>0</v>
      </c>
      <c r="CY322" s="36">
        <f>CY47</f>
        <v>0</v>
      </c>
    </row>
    <row r="323" customFormat="1" s="233">
      <c r="A323" s="224" t="n"/>
      <c r="B323" s="224" t="n"/>
      <c r="C323" s="233" t="inlineStr">
        <is>
          <t>ETR</t>
        </is>
      </c>
      <c r="D323" s="240">
        <f>D106</f>
        <v>0.136067551266586</v>
      </c>
      <c r="E323" s="240">
        <f>E106</f>
        <v>0.218929885816741</v>
      </c>
      <c r="F323" s="240">
        <f>F106</f>
        <v>-3.75</v>
      </c>
      <c r="G323" s="240">
        <f>G106</f>
        <v>0.314524555903866</v>
      </c>
      <c r="H323" s="240">
        <f>H106</f>
        <v>0.253857507044143</v>
      </c>
      <c r="I323" s="225">
        <f>I106</f>
        <v>0.3578318787322</v>
      </c>
      <c r="J323" s="225">
        <f>J106</f>
        <v>0.300316598824062</v>
      </c>
      <c r="K323" s="225">
        <f>K106</f>
        <v>0.240844196151459</v>
      </c>
      <c r="L323" s="225">
        <f>L106</f>
        <v>0.27244094488189</v>
      </c>
      <c r="M323" s="225">
        <f>M106</f>
        <v>0.274966495679098</v>
      </c>
      <c r="N323" s="225">
        <f>N106</f>
        <v>0.306715263971725</v>
      </c>
      <c r="O323" s="225">
        <f>O106</f>
        <v>0.267949759420109</v>
      </c>
      <c r="P323" s="225">
        <f>P106</f>
        <v>0.241137146329935</v>
      </c>
      <c r="Q323" s="225">
        <f>Q106</f>
        <v>0.349714518760196</v>
      </c>
      <c r="R323" s="225">
        <f>R106</f>
        <v>0.283166243910295</v>
      </c>
      <c r="S323" s="225">
        <f>S106</f>
        <v>0.306124592919424</v>
      </c>
      <c r="T323" s="225">
        <f>T106</f>
        <v>0.233380119943856</v>
      </c>
      <c r="U323" s="225">
        <f>U106</f>
        <v>0.249828336003662</v>
      </c>
      <c r="V323" s="225">
        <f>V106</f>
        <v>0.35730659025788</v>
      </c>
      <c r="W323" s="225">
        <f>W106</f>
        <v>0.276264196863169</v>
      </c>
      <c r="X323" s="225">
        <f>X106</f>
        <v>0.29929310780106</v>
      </c>
      <c r="Y323" s="225">
        <f>Y106</f>
        <v>0.368533257532689</v>
      </c>
      <c r="Z323" s="225">
        <f>Z106</f>
        <v>0.307135151795346</v>
      </c>
      <c r="AA323" s="225">
        <f>AA106</f>
        <v>0.46212246245255</v>
      </c>
      <c r="AB323" s="225">
        <f>AB106</f>
        <v>0.354722605976878</v>
      </c>
      <c r="AC323" s="225">
        <f>AC106</f>
        <v>0.370947519254881</v>
      </c>
      <c r="AD323" s="225">
        <f>AD106</f>
        <v>0.393537496985773</v>
      </c>
      <c r="AE323" s="225">
        <f>AE106</f>
        <v>0.332656076837828</v>
      </c>
      <c r="AF323" s="225">
        <f>AF106</f>
        <v>0.381387258099587</v>
      </c>
      <c r="AG323" s="225">
        <f>AG106</f>
        <v>0.367623967988654</v>
      </c>
      <c r="AH323" s="225">
        <f>AH106</f>
        <v>0.418905220476432</v>
      </c>
      <c r="AI323" s="225">
        <f>AI106</f>
        <v>0.267921361783745</v>
      </c>
      <c r="AJ323" s="225">
        <f>AJ106</f>
        <v>0</v>
      </c>
      <c r="AK323" s="225">
        <f>AK106</f>
        <v>0</v>
      </c>
      <c r="AL323" s="225">
        <f>AL106</f>
        <v>0.296800775569559</v>
      </c>
      <c r="AM323" s="225">
        <f>AM106</f>
        <v>0</v>
      </c>
      <c r="AN323" s="225">
        <f>AN106</f>
        <v>0</v>
      </c>
      <c r="AO323" s="225">
        <f>AO106</f>
        <v>0</v>
      </c>
      <c r="AP323" s="225">
        <f>AP106</f>
        <v>0</v>
      </c>
      <c r="AQ323" s="225" t="e">
        <f>AQ106</f>
        <v>#DIV/0!</v>
      </c>
      <c r="AR323" s="225">
        <f>AR106</f>
        <v>0</v>
      </c>
      <c r="AS323" s="225">
        <f>AS106</f>
        <v>0</v>
      </c>
      <c r="AT323" s="225">
        <f>AT106</f>
        <v>0</v>
      </c>
      <c r="AU323" s="225">
        <f>AU106</f>
        <v>0</v>
      </c>
      <c r="AV323" s="225" t="e">
        <f>AV106</f>
        <v>#DIV/0!</v>
      </c>
      <c r="AW323" s="225">
        <f>AW106</f>
        <v>0</v>
      </c>
      <c r="AX323" s="225">
        <f>AX106</f>
        <v>0</v>
      </c>
      <c r="AY323" s="225">
        <f>AY106</f>
        <v>0</v>
      </c>
      <c r="AZ323" s="225">
        <f>AZ106</f>
        <v>0</v>
      </c>
      <c r="BA323" s="225" t="e">
        <f>BA106</f>
        <v>#DIV/0!</v>
      </c>
      <c r="BB323" s="225">
        <f>BB106</f>
        <v>0</v>
      </c>
      <c r="BC323" s="225">
        <f>BC106</f>
        <v>0</v>
      </c>
      <c r="BD323" s="225">
        <f>BD106</f>
        <v>0</v>
      </c>
      <c r="BE323" s="225">
        <f>BE106</f>
        <v>0</v>
      </c>
      <c r="BF323" s="225" t="e">
        <f>BF106</f>
        <v>#DIV/0!</v>
      </c>
      <c r="BG323" s="225">
        <f>BG106</f>
        <v>0</v>
      </c>
      <c r="BH323" s="225">
        <f>BH106</f>
        <v>0</v>
      </c>
      <c r="BI323" s="225">
        <f>BI106</f>
        <v>0</v>
      </c>
      <c r="BJ323" s="225">
        <f>BJ106</f>
        <v>0</v>
      </c>
      <c r="BK323" s="225" t="e">
        <f>BK106</f>
        <v>#DIV/0!</v>
      </c>
      <c r="BL323" s="225">
        <f>BL106</f>
        <v>0</v>
      </c>
      <c r="BM323" s="225">
        <f>BM106</f>
        <v>0</v>
      </c>
      <c r="BN323" s="225">
        <f>BN106</f>
        <v>0</v>
      </c>
      <c r="BO323" s="225">
        <f>BO106</f>
        <v>0</v>
      </c>
      <c r="BP323" s="225" t="e">
        <f>BP106</f>
        <v>#DIV/0!</v>
      </c>
      <c r="BQ323" s="225">
        <f>BQ106</f>
        <v>0</v>
      </c>
      <c r="BR323" s="225">
        <f>BR106</f>
        <v>0</v>
      </c>
      <c r="BS323" s="225">
        <f>BS106</f>
        <v>0</v>
      </c>
      <c r="BT323" s="225">
        <f>BT106</f>
        <v>0</v>
      </c>
      <c r="BU323" s="225" t="e">
        <f>BU106</f>
        <v>#DIV/0!</v>
      </c>
      <c r="BV323" s="225">
        <f>BV106</f>
        <v>0</v>
      </c>
      <c r="BW323" s="225">
        <f>BW106</f>
        <v>0</v>
      </c>
      <c r="BX323" s="225">
        <f>BX106</f>
        <v>0</v>
      </c>
      <c r="BY323" s="225">
        <f>BY106</f>
        <v>0</v>
      </c>
      <c r="BZ323" s="225" t="e">
        <f>BZ106</f>
        <v>#DIV/0!</v>
      </c>
      <c r="CA323" s="225">
        <f>CA106</f>
        <v>0</v>
      </c>
      <c r="CB323" s="225">
        <f>CB106</f>
        <v>0</v>
      </c>
      <c r="CC323" s="225">
        <f>CC106</f>
        <v>0</v>
      </c>
      <c r="CD323" s="225">
        <f>CD106</f>
        <v>0</v>
      </c>
      <c r="CE323" s="225" t="e">
        <f>CE106</f>
        <v>#DIV/0!</v>
      </c>
      <c r="CF323" s="225">
        <f>CF106</f>
        <v>0</v>
      </c>
      <c r="CG323" s="225">
        <f>CG106</f>
        <v>0</v>
      </c>
      <c r="CH323" s="225">
        <f>CH106</f>
        <v>0</v>
      </c>
      <c r="CI323" s="225">
        <f>CI106</f>
        <v>0</v>
      </c>
      <c r="CJ323" s="225" t="e">
        <f>CJ106</f>
        <v>#DIV/0!</v>
      </c>
      <c r="CK323" s="225">
        <f>CK106</f>
        <v>0</v>
      </c>
      <c r="CL323" s="225">
        <f>CL106</f>
        <v>0</v>
      </c>
      <c r="CM323" s="225">
        <f>CM106</f>
        <v>0</v>
      </c>
      <c r="CN323" s="225">
        <f>CN106</f>
        <v>0</v>
      </c>
      <c r="CO323" s="225" t="e">
        <f>CO106</f>
        <v>#DIV/0!</v>
      </c>
      <c r="CP323" s="225">
        <f>CP106</f>
        <v>0</v>
      </c>
      <c r="CQ323" s="225">
        <f>CQ106</f>
        <v>0</v>
      </c>
      <c r="CR323" s="225">
        <f>CR106</f>
        <v>0</v>
      </c>
      <c r="CS323" s="225">
        <f>CS106</f>
        <v>0</v>
      </c>
      <c r="CT323" s="225" t="e">
        <f>CT106</f>
        <v>#DIV/0!</v>
      </c>
      <c r="CU323" s="225">
        <f>CU106</f>
        <v>0</v>
      </c>
      <c r="CV323" s="225">
        <f>CV106</f>
        <v>0</v>
      </c>
      <c r="CW323" s="225">
        <f>CW106</f>
        <v>0</v>
      </c>
      <c r="CX323" s="225">
        <f>CX106</f>
        <v>0</v>
      </c>
      <c r="CY323" s="225" t="e">
        <f>CY106</f>
        <v>#DIV/0!</v>
      </c>
    </row>
    <row r="324" customFormat="1" s="233">
      <c r="A324" s="224" t="n"/>
      <c r="B324" s="224" t="n"/>
      <c r="C324" s="233" t="inlineStr">
        <is>
          <t>INVESTED CAPITAL</t>
        </is>
      </c>
      <c r="D324" s="239">
        <f>D327-D328+D329</f>
        <v>167009</v>
      </c>
      <c r="E324" s="239">
        <f>E327-E328+E329</f>
        <v>149188</v>
      </c>
      <c r="F324" s="239">
        <f>F327-F328+F329</f>
        <v>143165</v>
      </c>
      <c r="G324" s="239">
        <f>G327-G328+G329</f>
        <v>146812</v>
      </c>
      <c r="H324" s="239">
        <f>H327-H328+H329</f>
        <v>146812</v>
      </c>
      <c r="I324" s="36">
        <f>I327-I328+I329</f>
        <v>150216</v>
      </c>
      <c r="J324" s="36">
        <f>J327-J328+J329</f>
        <v>150514</v>
      </c>
      <c r="K324" s="36">
        <f>K327-K328+K329</f>
        <v>150525</v>
      </c>
      <c r="L324" s="36">
        <f>L327-L328+L329</f>
        <v>154826</v>
      </c>
      <c r="M324" s="36">
        <f>M327-M328+M329</f>
        <v>154826</v>
      </c>
      <c r="N324" s="36">
        <f>N327-N328+N329</f>
        <v>162907</v>
      </c>
      <c r="O324" s="36">
        <f>O327-O328+O329</f>
        <v>161364</v>
      </c>
      <c r="P324" s="36">
        <f>P327-P328+P329</f>
        <v>163033</v>
      </c>
      <c r="Q324" s="36">
        <f>Q327-Q328+Q329</f>
        <v>161436</v>
      </c>
      <c r="R324" s="36">
        <f>R327-R328+R329</f>
        <v>161436</v>
      </c>
      <c r="S324" s="36">
        <f>S327-S328+S329</f>
        <v>165303</v>
      </c>
      <c r="T324" s="36">
        <f>T327-T328+T329</f>
        <v>169408</v>
      </c>
      <c r="U324" s="36">
        <f>U327-U328+U329</f>
        <v>180387</v>
      </c>
      <c r="V324" s="36">
        <f>V327-V328+V329</f>
        <v>173065</v>
      </c>
      <c r="W324" s="36">
        <f>W327-W328+W329</f>
        <v>173065</v>
      </c>
      <c r="X324" s="36">
        <f>X327-X328+X329</f>
        <v>174766</v>
      </c>
      <c r="Y324" s="36">
        <f>Y327-Y328+Y329</f>
        <v>177499</v>
      </c>
      <c r="Z324" s="36">
        <f>Z327-Z328+Z329</f>
        <v>182073</v>
      </c>
      <c r="AA324" s="36">
        <f>AA327-AA328+AA329</f>
        <v>176700</v>
      </c>
      <c r="AB324" s="36">
        <f>AB327-AB328+AB329</f>
        <v>176700</v>
      </c>
      <c r="AC324" s="36">
        <f>AC327-AC328+AC329</f>
        <v>173750</v>
      </c>
      <c r="AD324" s="36">
        <f>AD327-AD328+AD329</f>
        <v>173157</v>
      </c>
      <c r="AE324" s="36">
        <f>AE327-AE328+AE329</f>
        <v>228987</v>
      </c>
      <c r="AF324" s="36">
        <f>AF327-AF328+AF329</f>
        <v>223167</v>
      </c>
      <c r="AG324" s="36">
        <f>AG327-AG328+AG329</f>
        <v>223167</v>
      </c>
      <c r="AH324" s="36">
        <f>AH327-AH328+AH329</f>
        <v>225144</v>
      </c>
      <c r="AI324" s="36">
        <f>AI327-AI328+AI329</f>
        <v>226297</v>
      </c>
      <c r="AJ324" s="36">
        <f>AJ327-AJ328+AJ329</f>
        <v>239185</v>
      </c>
      <c r="AK324" s="36">
        <f>AK327-AK328+AK329</f>
        <v>239185</v>
      </c>
      <c r="AL324" s="36">
        <f>AL327-AL328+AL329</f>
        <v>239185</v>
      </c>
      <c r="AM324" s="36" t="e">
        <f>AM327-AM328+AM329</f>
        <v>#DIV/0!</v>
      </c>
      <c r="AN324" s="36">
        <f>AN327-AN328+AN329</f>
        <v>239185</v>
      </c>
      <c r="AO324" s="36" t="e">
        <f>AO327-AO328+AO329</f>
        <v>#DIV/0!</v>
      </c>
      <c r="AP324" s="36" t="e">
        <f>AP327-AP328+AP329</f>
        <v>#DIV/0!</v>
      </c>
      <c r="AQ324" s="36" t="e">
        <f>AQ327-AQ328+AQ329</f>
        <v>#DIV/0!</v>
      </c>
      <c r="AR324" s="36" t="e">
        <f>AR327-AR328+AR329</f>
        <v>#DIV/0!</v>
      </c>
      <c r="AS324" s="36" t="e">
        <f>AS327-AS328+AS329</f>
        <v>#DIV/0!</v>
      </c>
      <c r="AT324" s="36" t="e">
        <f>AT327-AT328+AT329</f>
        <v>#DIV/0!</v>
      </c>
      <c r="AU324" s="36" t="e">
        <f>AU327-AU328+AU329</f>
        <v>#DIV/0!</v>
      </c>
      <c r="AV324" s="36" t="e">
        <f>AV327-AV328+AV329</f>
        <v>#DIV/0!</v>
      </c>
      <c r="AW324" s="36" t="e">
        <f>AW327-AW328+AW329</f>
        <v>#DIV/0!</v>
      </c>
      <c r="AX324" s="36" t="e">
        <f>AX327-AX328+AX329</f>
        <v>#DIV/0!</v>
      </c>
      <c r="AY324" s="36" t="e">
        <f>AY327-AY328+AY329</f>
        <v>#DIV/0!</v>
      </c>
      <c r="AZ324" s="36" t="e">
        <f>AZ327-AZ328+AZ329</f>
        <v>#DIV/0!</v>
      </c>
      <c r="BA324" s="36" t="e">
        <f>BA327-BA328+BA329</f>
        <v>#DIV/0!</v>
      </c>
      <c r="BB324" s="36" t="e">
        <f>BB327-BB328+BB329</f>
        <v>#DIV/0!</v>
      </c>
      <c r="BC324" s="36" t="e">
        <f>BC327-BC328+BC329</f>
        <v>#DIV/0!</v>
      </c>
      <c r="BD324" s="36" t="e">
        <f>BD327-BD328+BD329</f>
        <v>#DIV/0!</v>
      </c>
      <c r="BE324" s="36" t="e">
        <f>BE327-BE328+BE329</f>
        <v>#DIV/0!</v>
      </c>
      <c r="BF324" s="36" t="e">
        <f>BF327-BF328+BF329</f>
        <v>#DIV/0!</v>
      </c>
      <c r="BG324" s="36" t="e">
        <f>BG327-BG328+BG329</f>
        <v>#DIV/0!</v>
      </c>
      <c r="BH324" s="36" t="e">
        <f>BH327-BH328+BH329</f>
        <v>#DIV/0!</v>
      </c>
      <c r="BI324" s="36" t="e">
        <f>BI327-BI328+BI329</f>
        <v>#DIV/0!</v>
      </c>
      <c r="BJ324" s="36" t="e">
        <f>BJ327-BJ328+BJ329</f>
        <v>#DIV/0!</v>
      </c>
      <c r="BK324" s="36" t="e">
        <f>BK327-BK328+BK329</f>
        <v>#DIV/0!</v>
      </c>
      <c r="BL324" s="36" t="e">
        <f>BL327-BL328+BL329</f>
        <v>#DIV/0!</v>
      </c>
      <c r="BM324" s="36" t="e">
        <f>BM327-BM328+BM329</f>
        <v>#DIV/0!</v>
      </c>
      <c r="BN324" s="36" t="e">
        <f>BN327-BN328+BN329</f>
        <v>#DIV/0!</v>
      </c>
      <c r="BO324" s="36" t="e">
        <f>BO327-BO328+BO329</f>
        <v>#DIV/0!</v>
      </c>
      <c r="BP324" s="36" t="e">
        <f>BP327-BP328+BP329</f>
        <v>#DIV/0!</v>
      </c>
      <c r="BQ324" s="36" t="e">
        <f>BQ327-BQ328+BQ329</f>
        <v>#DIV/0!</v>
      </c>
      <c r="BR324" s="36" t="e">
        <f>BR327-BR328+BR329</f>
        <v>#DIV/0!</v>
      </c>
      <c r="BS324" s="36" t="e">
        <f>BS327-BS328+BS329</f>
        <v>#DIV/0!</v>
      </c>
      <c r="BT324" s="36" t="e">
        <f>BT327-BT328+BT329</f>
        <v>#DIV/0!</v>
      </c>
      <c r="BU324" s="36" t="e">
        <f>BU327-BU328+BU329</f>
        <v>#DIV/0!</v>
      </c>
      <c r="BV324" s="36" t="e">
        <f>BV327-BV328+BV329</f>
        <v>#DIV/0!</v>
      </c>
      <c r="BW324" s="36" t="e">
        <f>BW327-BW328+BW329</f>
        <v>#DIV/0!</v>
      </c>
      <c r="BX324" s="36" t="e">
        <f>BX327-BX328+BX329</f>
        <v>#DIV/0!</v>
      </c>
      <c r="BY324" s="36" t="e">
        <f>BY327-BY328+BY329</f>
        <v>#DIV/0!</v>
      </c>
      <c r="BZ324" s="36" t="e">
        <f>BZ327-BZ328+BZ329</f>
        <v>#DIV/0!</v>
      </c>
      <c r="CA324" s="36" t="e">
        <f>CA327-CA328+CA329</f>
        <v>#DIV/0!</v>
      </c>
      <c r="CB324" s="36" t="e">
        <f>CB327-CB328+CB329</f>
        <v>#DIV/0!</v>
      </c>
      <c r="CC324" s="36" t="e">
        <f>CC327-CC328+CC329</f>
        <v>#DIV/0!</v>
      </c>
      <c r="CD324" s="36" t="e">
        <f>CD327-CD328+CD329</f>
        <v>#DIV/0!</v>
      </c>
      <c r="CE324" s="36" t="e">
        <f>CE327-CE328+CE329</f>
        <v>#DIV/0!</v>
      </c>
      <c r="CF324" s="36" t="e">
        <f>CF327-CF328+CF329</f>
        <v>#DIV/0!</v>
      </c>
      <c r="CG324" s="36" t="e">
        <f>CG327-CG328+CG329</f>
        <v>#DIV/0!</v>
      </c>
      <c r="CH324" s="36" t="e">
        <f>CH327-CH328+CH329</f>
        <v>#DIV/0!</v>
      </c>
      <c r="CI324" s="36" t="e">
        <f>CI327-CI328+CI329</f>
        <v>#DIV/0!</v>
      </c>
      <c r="CJ324" s="36" t="e">
        <f>CJ327-CJ328+CJ329</f>
        <v>#DIV/0!</v>
      </c>
      <c r="CK324" s="36" t="e">
        <f>CK327-CK328+CK329</f>
        <v>#DIV/0!</v>
      </c>
      <c r="CL324" s="36" t="e">
        <f>CL327-CL328+CL329</f>
        <v>#DIV/0!</v>
      </c>
      <c r="CM324" s="36" t="e">
        <f>CM327-CM328+CM329</f>
        <v>#DIV/0!</v>
      </c>
      <c r="CN324" s="36" t="e">
        <f>CN327-CN328+CN329</f>
        <v>#DIV/0!</v>
      </c>
      <c r="CO324" s="36" t="e">
        <f>CO327-CO328+CO329</f>
        <v>#DIV/0!</v>
      </c>
      <c r="CP324" s="36" t="e">
        <f>CP327-CP328+CP329</f>
        <v>#DIV/0!</v>
      </c>
      <c r="CQ324" s="36" t="e">
        <f>CQ327-CQ328+CQ329</f>
        <v>#DIV/0!</v>
      </c>
      <c r="CR324" s="36" t="e">
        <f>CR327-CR328+CR329</f>
        <v>#DIV/0!</v>
      </c>
      <c r="CS324" s="36" t="e">
        <f>CS327-CS328+CS329</f>
        <v>#DIV/0!</v>
      </c>
      <c r="CT324" s="36" t="e">
        <f>CT327-CT328+CT329</f>
        <v>#DIV/0!</v>
      </c>
      <c r="CU324" s="36" t="e">
        <f>CU327-CU328+CU329</f>
        <v>#DIV/0!</v>
      </c>
      <c r="CV324" s="36" t="e">
        <f>CV327-CV328+CV329</f>
        <v>#DIV/0!</v>
      </c>
      <c r="CW324" s="36" t="e">
        <f>CW327-CW328+CW329</f>
        <v>#DIV/0!</v>
      </c>
      <c r="CX324" s="36" t="e">
        <f>CX327-CX328+CX329</f>
        <v>#DIV/0!</v>
      </c>
      <c r="CY324" s="36" t="e">
        <f>CY327-CY328+CY329</f>
        <v>#DIV/0!</v>
      </c>
    </row>
    <row r="325" customFormat="1" s="233">
      <c r="A325" s="224" t="n"/>
      <c r="B325" s="224" t="n"/>
      <c r="C325" s="233" t="inlineStr">
        <is>
          <t>INVESTED CAPITAL - EX GOODWILL</t>
        </is>
      </c>
      <c r="D325" s="241">
        <f>D324-D153</f>
        <v>162555</v>
      </c>
      <c r="E325" s="241">
        <f>E324-E153</f>
        <v>144772</v>
      </c>
      <c r="F325" s="241">
        <f>F324-F153</f>
        <v>138749</v>
      </c>
      <c r="G325" s="241">
        <f>G324-G153</f>
        <v>142410</v>
      </c>
      <c r="H325" s="241">
        <f>H324-H153</f>
        <v>142410</v>
      </c>
      <c r="I325" s="226">
        <f>I324-I153</f>
        <v>145814</v>
      </c>
      <c r="J325" s="226">
        <f>J324-J153</f>
        <v>146112</v>
      </c>
      <c r="K325" s="226">
        <f>K324-K153</f>
        <v>146123</v>
      </c>
      <c r="L325" s="226">
        <f>L324-L153</f>
        <v>150441</v>
      </c>
      <c r="M325" s="226">
        <f>M324-M153</f>
        <v>150441</v>
      </c>
      <c r="N325" s="226">
        <f>N324-N153</f>
        <v>158533</v>
      </c>
      <c r="O325" s="226">
        <f>O324-O153</f>
        <v>156701</v>
      </c>
      <c r="P325" s="226">
        <f>P324-P153</f>
        <v>158370</v>
      </c>
      <c r="Q325" s="226">
        <f>Q324-Q153</f>
        <v>156714</v>
      </c>
      <c r="R325" s="226">
        <f>R324-R153</f>
        <v>156714</v>
      </c>
      <c r="S325" s="226">
        <f>S324-S153</f>
        <v>160581</v>
      </c>
      <c r="T325" s="226">
        <f>T324-T153</f>
        <v>164686</v>
      </c>
      <c r="U325" s="226">
        <f>U324-U153</f>
        <v>175665</v>
      </c>
      <c r="V325" s="226">
        <f>V324-V153</f>
        <v>168343</v>
      </c>
      <c r="W325" s="226">
        <f>W324-W153</f>
        <v>168343</v>
      </c>
      <c r="X325" s="226">
        <f>X324-X153</f>
        <v>170044</v>
      </c>
      <c r="Y325" s="226">
        <f>Y324-Y153</f>
        <v>172777</v>
      </c>
      <c r="Z325" s="226">
        <f>Z324-Z153</f>
        <v>177351</v>
      </c>
      <c r="AA325" s="226">
        <f>AA324-AA153</f>
        <v>172122</v>
      </c>
      <c r="AB325" s="226">
        <f>AB324-AB153</f>
        <v>172122</v>
      </c>
      <c r="AC325" s="226">
        <f>AC324-AC153</f>
        <v>169182</v>
      </c>
      <c r="AD325" s="226">
        <f>AD324-AD153</f>
        <v>168589</v>
      </c>
      <c r="AE325" s="226">
        <f>AE324-AE153</f>
        <v>224419</v>
      </c>
      <c r="AF325" s="226">
        <f>AF324-AF153</f>
        <v>218599</v>
      </c>
      <c r="AG325" s="226">
        <f>AG324-AG153</f>
        <v>218599</v>
      </c>
      <c r="AH325" s="226">
        <f>AH324-AH153</f>
        <v>220576</v>
      </c>
      <c r="AI325" s="226">
        <f>AI324-AI153</f>
        <v>221729</v>
      </c>
      <c r="AJ325" s="226">
        <f>AJ324-AJ153</f>
        <v>234617</v>
      </c>
      <c r="AK325" s="226">
        <f>AK324-AK153</f>
        <v>234617</v>
      </c>
      <c r="AL325" s="226">
        <f>AL324-AL153</f>
        <v>234617</v>
      </c>
      <c r="AM325" s="226" t="e">
        <f>AM324-AM153</f>
        <v>#DIV/0!</v>
      </c>
      <c r="AN325" s="226">
        <f>AN324-AN153</f>
        <v>234617</v>
      </c>
      <c r="AO325" s="226" t="e">
        <f>AO324-AO153</f>
        <v>#DIV/0!</v>
      </c>
      <c r="AP325" s="226" t="e">
        <f>AP324-AP153</f>
        <v>#DIV/0!</v>
      </c>
      <c r="AQ325" s="226" t="e">
        <f>AQ324-AQ153</f>
        <v>#DIV/0!</v>
      </c>
      <c r="AR325" s="226" t="e">
        <f>AR324-AR153</f>
        <v>#DIV/0!</v>
      </c>
      <c r="AS325" s="226" t="e">
        <f>AS324-AS153</f>
        <v>#DIV/0!</v>
      </c>
      <c r="AT325" s="226" t="e">
        <f>AT324-AT153</f>
        <v>#DIV/0!</v>
      </c>
      <c r="AU325" s="226" t="e">
        <f>AU324-AU153</f>
        <v>#DIV/0!</v>
      </c>
      <c r="AV325" s="226" t="e">
        <f>AV324-AV153</f>
        <v>#DIV/0!</v>
      </c>
      <c r="AW325" s="226" t="e">
        <f>AW324-AW153</f>
        <v>#DIV/0!</v>
      </c>
      <c r="AX325" s="226" t="e">
        <f>AX324-AX153</f>
        <v>#DIV/0!</v>
      </c>
      <c r="AY325" s="226" t="e">
        <f>AY324-AY153</f>
        <v>#DIV/0!</v>
      </c>
      <c r="AZ325" s="226" t="e">
        <f>AZ324-AZ153</f>
        <v>#DIV/0!</v>
      </c>
      <c r="BA325" s="226" t="e">
        <f>BA324-BA153</f>
        <v>#DIV/0!</v>
      </c>
      <c r="BB325" s="226" t="e">
        <f>BB324-BB153</f>
        <v>#DIV/0!</v>
      </c>
      <c r="BC325" s="226" t="e">
        <f>BC324-BC153</f>
        <v>#DIV/0!</v>
      </c>
      <c r="BD325" s="226" t="e">
        <f>BD324-BD153</f>
        <v>#DIV/0!</v>
      </c>
      <c r="BE325" s="226" t="e">
        <f>BE324-BE153</f>
        <v>#DIV/0!</v>
      </c>
      <c r="BF325" s="226" t="e">
        <f>BF324-BF153</f>
        <v>#DIV/0!</v>
      </c>
      <c r="BG325" s="226" t="e">
        <f>BG324-BG153</f>
        <v>#DIV/0!</v>
      </c>
      <c r="BH325" s="226" t="e">
        <f>BH324-BH153</f>
        <v>#DIV/0!</v>
      </c>
      <c r="BI325" s="226" t="e">
        <f>BI324-BI153</f>
        <v>#DIV/0!</v>
      </c>
      <c r="BJ325" s="226" t="e">
        <f>BJ324-BJ153</f>
        <v>#DIV/0!</v>
      </c>
      <c r="BK325" s="226" t="e">
        <f>BK324-BK153</f>
        <v>#DIV/0!</v>
      </c>
      <c r="BL325" s="226" t="e">
        <f>BL324-BL153</f>
        <v>#DIV/0!</v>
      </c>
      <c r="BM325" s="226" t="e">
        <f>BM324-BM153</f>
        <v>#DIV/0!</v>
      </c>
      <c r="BN325" s="226" t="e">
        <f>BN324-BN153</f>
        <v>#DIV/0!</v>
      </c>
      <c r="BO325" s="226" t="e">
        <f>BO324-BO153</f>
        <v>#DIV/0!</v>
      </c>
      <c r="BP325" s="226" t="e">
        <f>BP324-BP153</f>
        <v>#DIV/0!</v>
      </c>
      <c r="BQ325" s="226" t="e">
        <f>BQ324-BQ153</f>
        <v>#DIV/0!</v>
      </c>
      <c r="BR325" s="226" t="e">
        <f>BR324-BR153</f>
        <v>#DIV/0!</v>
      </c>
      <c r="BS325" s="226" t="e">
        <f>BS324-BS153</f>
        <v>#DIV/0!</v>
      </c>
      <c r="BT325" s="226" t="e">
        <f>BT324-BT153</f>
        <v>#DIV/0!</v>
      </c>
      <c r="BU325" s="226" t="e">
        <f>BU324-BU153</f>
        <v>#DIV/0!</v>
      </c>
      <c r="BV325" s="226" t="e">
        <f>BV324-BV153</f>
        <v>#DIV/0!</v>
      </c>
      <c r="BW325" s="226" t="e">
        <f>BW324-BW153</f>
        <v>#DIV/0!</v>
      </c>
      <c r="BX325" s="226" t="e">
        <f>BX324-BX153</f>
        <v>#DIV/0!</v>
      </c>
      <c r="BY325" s="226" t="e">
        <f>BY324-BY153</f>
        <v>#DIV/0!</v>
      </c>
      <c r="BZ325" s="226" t="e">
        <f>BZ324-BZ153</f>
        <v>#DIV/0!</v>
      </c>
      <c r="CA325" s="226" t="e">
        <f>CA324-CA153</f>
        <v>#DIV/0!</v>
      </c>
      <c r="CB325" s="226" t="e">
        <f>CB324-CB153</f>
        <v>#DIV/0!</v>
      </c>
      <c r="CC325" s="226" t="e">
        <f>CC324-CC153</f>
        <v>#DIV/0!</v>
      </c>
      <c r="CD325" s="226" t="e">
        <f>CD324-CD153</f>
        <v>#DIV/0!</v>
      </c>
      <c r="CE325" s="226" t="e">
        <f>CE324-CE153</f>
        <v>#DIV/0!</v>
      </c>
      <c r="CF325" s="226" t="e">
        <f>CF324-CF153</f>
        <v>#DIV/0!</v>
      </c>
      <c r="CG325" s="226" t="e">
        <f>CG324-CG153</f>
        <v>#DIV/0!</v>
      </c>
      <c r="CH325" s="226" t="e">
        <f>CH324-CH153</f>
        <v>#DIV/0!</v>
      </c>
      <c r="CI325" s="226" t="e">
        <f>CI324-CI153</f>
        <v>#DIV/0!</v>
      </c>
      <c r="CJ325" s="226" t="e">
        <f>CJ324-CJ153</f>
        <v>#DIV/0!</v>
      </c>
      <c r="CK325" s="226" t="e">
        <f>CK324-CK153</f>
        <v>#DIV/0!</v>
      </c>
      <c r="CL325" s="226" t="e">
        <f>CL324-CL153</f>
        <v>#DIV/0!</v>
      </c>
      <c r="CM325" s="226" t="e">
        <f>CM324-CM153</f>
        <v>#DIV/0!</v>
      </c>
      <c r="CN325" s="226" t="e">
        <f>CN324-CN153</f>
        <v>#DIV/0!</v>
      </c>
      <c r="CO325" s="226" t="e">
        <f>CO324-CO153</f>
        <v>#DIV/0!</v>
      </c>
      <c r="CP325" s="226" t="e">
        <f>CP324-CP153</f>
        <v>#DIV/0!</v>
      </c>
      <c r="CQ325" s="226" t="e">
        <f>CQ324-CQ153</f>
        <v>#DIV/0!</v>
      </c>
      <c r="CR325" s="226" t="e">
        <f>CR324-CR153</f>
        <v>#DIV/0!</v>
      </c>
      <c r="CS325" s="226" t="e">
        <f>CS324-CS153</f>
        <v>#DIV/0!</v>
      </c>
      <c r="CT325" s="226" t="e">
        <f>CT324-CT153</f>
        <v>#DIV/0!</v>
      </c>
      <c r="CU325" s="226" t="e">
        <f>CU324-CU153</f>
        <v>#DIV/0!</v>
      </c>
      <c r="CV325" s="226" t="e">
        <f>CV324-CV153</f>
        <v>#DIV/0!</v>
      </c>
      <c r="CW325" s="226" t="e">
        <f>CW324-CW153</f>
        <v>#DIV/0!</v>
      </c>
      <c r="CX325" s="226" t="e">
        <f>CX324-CX153</f>
        <v>#DIV/0!</v>
      </c>
      <c r="CY325" s="226" t="e">
        <f>CY324-CY153</f>
        <v>#DIV/0!</v>
      </c>
    </row>
    <row r="326" customFormat="1" s="233">
      <c r="A326" s="224" t="n"/>
      <c r="B326" s="224" t="n"/>
      <c r="C326" s="233" t="inlineStr">
        <is>
          <t>OPERATING WORKING CAPITAL</t>
        </is>
      </c>
      <c r="D326" s="242">
        <f>D327-D328</f>
        <v>8965</v>
      </c>
      <c r="E326" s="242">
        <f>E327-E328</f>
        <v>6599</v>
      </c>
      <c r="F326" s="242">
        <f>F327-F328</f>
        <v>5641</v>
      </c>
      <c r="G326" s="242">
        <f>G327-G328</f>
        <v>5412</v>
      </c>
      <c r="H326" s="242">
        <f>H327-H328</f>
        <v>5412</v>
      </c>
      <c r="I326" s="36">
        <f>I327-I328</f>
        <v>7762</v>
      </c>
      <c r="J326" s="36">
        <f>J327-J328</f>
        <v>8289</v>
      </c>
      <c r="K326" s="36">
        <f>K327-K328</f>
        <v>7206</v>
      </c>
      <c r="L326" s="36">
        <f>L327-L328</f>
        <v>7168</v>
      </c>
      <c r="M326" s="36">
        <f>M327-M328</f>
        <v>7168</v>
      </c>
      <c r="N326" s="36">
        <f>N327-N328</f>
        <v>13787</v>
      </c>
      <c r="O326" s="36">
        <f>O327-O328</f>
        <v>2927</v>
      </c>
      <c r="P326" s="36">
        <f>P327-P328</f>
        <v>1410</v>
      </c>
      <c r="Q326" s="36">
        <f>Q327-Q328</f>
        <v>198</v>
      </c>
      <c r="R326" s="36">
        <f>R327-R328</f>
        <v>198</v>
      </c>
      <c r="S326" s="36">
        <f>S327-S328</f>
        <v>1749</v>
      </c>
      <c r="T326" s="36">
        <f>T327-T328</f>
        <v>4602</v>
      </c>
      <c r="U326" s="36">
        <f>U327-U328</f>
        <v>2971</v>
      </c>
      <c r="V326" s="36">
        <f>V327-V328</f>
        <v>1176</v>
      </c>
      <c r="W326" s="36">
        <f>W327-W328</f>
        <v>1176</v>
      </c>
      <c r="X326" s="36">
        <f>X327-X328</f>
        <v>1572</v>
      </c>
      <c r="Y326" s="36">
        <f>Y327-Y328</f>
        <v>3069</v>
      </c>
      <c r="Z326" s="36">
        <f>Z327-Z328</f>
        <v>7613</v>
      </c>
      <c r="AA326" s="36">
        <f>AA327-AA328</f>
        <v>6759</v>
      </c>
      <c r="AB326" s="36">
        <f>AB327-AB328</f>
        <v>6759</v>
      </c>
      <c r="AC326" s="36">
        <f>AC327-AC328</f>
        <v>6948</v>
      </c>
      <c r="AD326" s="36">
        <f>AD327-AD328</f>
        <v>6055</v>
      </c>
      <c r="AE326" s="36">
        <f>AE327-AE328</f>
        <v>8985</v>
      </c>
      <c r="AF326" s="36">
        <f>AF327-AF328</f>
        <v>6142</v>
      </c>
      <c r="AG326" s="36">
        <f>AG327-AG328</f>
        <v>6142</v>
      </c>
      <c r="AH326" s="36">
        <f>AH327-AH328</f>
        <v>9812</v>
      </c>
      <c r="AI326" s="36">
        <f>AI327-AI328</f>
        <v>10296</v>
      </c>
      <c r="AJ326" s="36">
        <f>AJ327-AJ328</f>
        <v>23184</v>
      </c>
      <c r="AK326" s="36">
        <f>AK327-AK328</f>
        <v>23184</v>
      </c>
      <c r="AL326" s="36">
        <f>AL327-AL328</f>
        <v>23184</v>
      </c>
      <c r="AM326" s="36" t="e">
        <f>AM327-AM328</f>
        <v>#DIV/0!</v>
      </c>
      <c r="AN326" s="36">
        <f>AN327-AN328</f>
        <v>23184</v>
      </c>
      <c r="AO326" s="36" t="e">
        <f>AO327-AO328</f>
        <v>#DIV/0!</v>
      </c>
      <c r="AP326" s="36" t="e">
        <f>AP327-AP328</f>
        <v>#DIV/0!</v>
      </c>
      <c r="AQ326" s="36" t="e">
        <f>AQ327-AQ328</f>
        <v>#DIV/0!</v>
      </c>
      <c r="AR326" s="36" t="e">
        <f>AR327-AR328</f>
        <v>#DIV/0!</v>
      </c>
      <c r="AS326" s="36" t="e">
        <f>AS327-AS328</f>
        <v>#DIV/0!</v>
      </c>
      <c r="AT326" s="36" t="e">
        <f>AT327-AT328</f>
        <v>#DIV/0!</v>
      </c>
      <c r="AU326" s="36" t="e">
        <f>AU327-AU328</f>
        <v>#DIV/0!</v>
      </c>
      <c r="AV326" s="36" t="e">
        <f>AV327-AV328</f>
        <v>#DIV/0!</v>
      </c>
      <c r="AW326" s="36" t="e">
        <f>AW327-AW328</f>
        <v>#DIV/0!</v>
      </c>
      <c r="AX326" s="36" t="e">
        <f>AX327-AX328</f>
        <v>#DIV/0!</v>
      </c>
      <c r="AY326" s="36" t="e">
        <f>AY327-AY328</f>
        <v>#DIV/0!</v>
      </c>
      <c r="AZ326" s="36" t="e">
        <f>AZ327-AZ328</f>
        <v>#DIV/0!</v>
      </c>
      <c r="BA326" s="36" t="e">
        <f>BA327-BA328</f>
        <v>#DIV/0!</v>
      </c>
      <c r="BB326" s="36" t="e">
        <f>BB327-BB328</f>
        <v>#DIV/0!</v>
      </c>
      <c r="BC326" s="36" t="e">
        <f>BC327-BC328</f>
        <v>#DIV/0!</v>
      </c>
      <c r="BD326" s="36" t="e">
        <f>BD327-BD328</f>
        <v>#DIV/0!</v>
      </c>
      <c r="BE326" s="36" t="e">
        <f>BE327-BE328</f>
        <v>#DIV/0!</v>
      </c>
      <c r="BF326" s="36" t="e">
        <f>BF327-BF328</f>
        <v>#DIV/0!</v>
      </c>
      <c r="BG326" s="36" t="e">
        <f>BG327-BG328</f>
        <v>#DIV/0!</v>
      </c>
      <c r="BH326" s="36" t="e">
        <f>BH327-BH328</f>
        <v>#DIV/0!</v>
      </c>
      <c r="BI326" s="36" t="e">
        <f>BI327-BI328</f>
        <v>#DIV/0!</v>
      </c>
      <c r="BJ326" s="36" t="e">
        <f>BJ327-BJ328</f>
        <v>#DIV/0!</v>
      </c>
      <c r="BK326" s="36" t="e">
        <f>BK327-BK328</f>
        <v>#DIV/0!</v>
      </c>
      <c r="BL326" s="36" t="e">
        <f>BL327-BL328</f>
        <v>#DIV/0!</v>
      </c>
      <c r="BM326" s="36" t="e">
        <f>BM327-BM328</f>
        <v>#DIV/0!</v>
      </c>
      <c r="BN326" s="36" t="e">
        <f>BN327-BN328</f>
        <v>#DIV/0!</v>
      </c>
      <c r="BO326" s="36" t="e">
        <f>BO327-BO328</f>
        <v>#DIV/0!</v>
      </c>
      <c r="BP326" s="36" t="e">
        <f>BP327-BP328</f>
        <v>#DIV/0!</v>
      </c>
      <c r="BQ326" s="36" t="e">
        <f>BQ327-BQ328</f>
        <v>#DIV/0!</v>
      </c>
      <c r="BR326" s="36" t="e">
        <f>BR327-BR328</f>
        <v>#DIV/0!</v>
      </c>
      <c r="BS326" s="36" t="e">
        <f>BS327-BS328</f>
        <v>#DIV/0!</v>
      </c>
      <c r="BT326" s="36" t="e">
        <f>BT327-BT328</f>
        <v>#DIV/0!</v>
      </c>
      <c r="BU326" s="36" t="e">
        <f>BU327-BU328</f>
        <v>#DIV/0!</v>
      </c>
      <c r="BV326" s="36" t="e">
        <f>BV327-BV328</f>
        <v>#DIV/0!</v>
      </c>
      <c r="BW326" s="36" t="e">
        <f>BW327-BW328</f>
        <v>#DIV/0!</v>
      </c>
      <c r="BX326" s="36" t="e">
        <f>BX327-BX328</f>
        <v>#DIV/0!</v>
      </c>
      <c r="BY326" s="36" t="e">
        <f>BY327-BY328</f>
        <v>#DIV/0!</v>
      </c>
      <c r="BZ326" s="36" t="e">
        <f>BZ327-BZ328</f>
        <v>#DIV/0!</v>
      </c>
      <c r="CA326" s="36" t="e">
        <f>CA327-CA328</f>
        <v>#DIV/0!</v>
      </c>
      <c r="CB326" s="36" t="e">
        <f>CB327-CB328</f>
        <v>#DIV/0!</v>
      </c>
      <c r="CC326" s="36" t="e">
        <f>CC327-CC328</f>
        <v>#DIV/0!</v>
      </c>
      <c r="CD326" s="36" t="e">
        <f>CD327-CD328</f>
        <v>#DIV/0!</v>
      </c>
      <c r="CE326" s="36" t="e">
        <f>CE327-CE328</f>
        <v>#DIV/0!</v>
      </c>
      <c r="CF326" s="36" t="e">
        <f>CF327-CF328</f>
        <v>#DIV/0!</v>
      </c>
      <c r="CG326" s="36" t="e">
        <f>CG327-CG328</f>
        <v>#DIV/0!</v>
      </c>
      <c r="CH326" s="36" t="e">
        <f>CH327-CH328</f>
        <v>#DIV/0!</v>
      </c>
      <c r="CI326" s="36" t="e">
        <f>CI327-CI328</f>
        <v>#DIV/0!</v>
      </c>
      <c r="CJ326" s="36" t="e">
        <f>CJ327-CJ328</f>
        <v>#DIV/0!</v>
      </c>
      <c r="CK326" s="36" t="e">
        <f>CK327-CK328</f>
        <v>#DIV/0!</v>
      </c>
      <c r="CL326" s="36" t="e">
        <f>CL327-CL328</f>
        <v>#DIV/0!</v>
      </c>
      <c r="CM326" s="36" t="e">
        <f>CM327-CM328</f>
        <v>#DIV/0!</v>
      </c>
      <c r="CN326" s="36" t="e">
        <f>CN327-CN328</f>
        <v>#DIV/0!</v>
      </c>
      <c r="CO326" s="36" t="e">
        <f>CO327-CO328</f>
        <v>#DIV/0!</v>
      </c>
      <c r="CP326" s="36" t="e">
        <f>CP327-CP328</f>
        <v>#DIV/0!</v>
      </c>
      <c r="CQ326" s="36" t="e">
        <f>CQ327-CQ328</f>
        <v>#DIV/0!</v>
      </c>
      <c r="CR326" s="36" t="e">
        <f>CR327-CR328</f>
        <v>#DIV/0!</v>
      </c>
      <c r="CS326" s="36" t="e">
        <f>CS327-CS328</f>
        <v>#DIV/0!</v>
      </c>
      <c r="CT326" s="36" t="e">
        <f>CT327-CT328</f>
        <v>#DIV/0!</v>
      </c>
      <c r="CU326" s="36" t="e">
        <f>CU327-CU328</f>
        <v>#DIV/0!</v>
      </c>
      <c r="CV326" s="36" t="e">
        <f>CV327-CV328</f>
        <v>#DIV/0!</v>
      </c>
      <c r="CW326" s="36" t="e">
        <f>CW327-CW328</f>
        <v>#DIV/0!</v>
      </c>
      <c r="CX326" s="36" t="e">
        <f>CX327-CX328</f>
        <v>#DIV/0!</v>
      </c>
      <c r="CY326" s="36" t="e">
        <f>CY327-CY328</f>
        <v>#DIV/0!</v>
      </c>
    </row>
    <row r="327" customFormat="1" s="233">
      <c r="A327" s="224" t="n"/>
      <c r="B327" s="224" t="n"/>
      <c r="C327" s="233" t="inlineStr">
        <is>
          <t>CURRENT ASSETS</t>
        </is>
      </c>
      <c r="D327" s="241">
        <f>D119+D123+D127+D128+D129</f>
        <v>28512</v>
      </c>
      <c r="E327" s="241">
        <f>E119+E123+E127+E128+E129</f>
        <v>23673</v>
      </c>
      <c r="F327" s="241">
        <f>F119+F123+F127+F128+F129</f>
        <v>24775</v>
      </c>
      <c r="G327" s="241">
        <f>G119+G123+G127+G128+G129</f>
        <v>26047</v>
      </c>
      <c r="H327" s="241">
        <f>H119+H123+H127+H128+H129</f>
        <v>26047</v>
      </c>
      <c r="I327" s="226">
        <f>I119+I123+I127+I128+I129</f>
        <v>30401</v>
      </c>
      <c r="J327" s="226">
        <f>J119+J123+J127+J128+J129</f>
        <v>32939</v>
      </c>
      <c r="K327" s="226">
        <f>K119+K123+K127+K128+K129</f>
        <v>32103</v>
      </c>
      <c r="L327" s="226">
        <f>L119+L123+L127+L128+L129</f>
        <v>33703</v>
      </c>
      <c r="M327" s="226">
        <f>M119+M123+M127+M128+M129</f>
        <v>33703</v>
      </c>
      <c r="N327" s="226">
        <f>N119+N123+N127+N128+N129</f>
        <v>44676</v>
      </c>
      <c r="O327" s="226">
        <f>O119+O123+O127+O128+O129</f>
        <v>38818</v>
      </c>
      <c r="P327" s="226">
        <f>P119+P123+P127+P128+P129</f>
        <v>36072</v>
      </c>
      <c r="Q327" s="226">
        <f>Q119+Q123+Q127+Q128+Q129</f>
        <v>32442</v>
      </c>
      <c r="R327" s="226">
        <f>R119+R123+R127+R128+R129</f>
        <v>32442</v>
      </c>
      <c r="S327" s="226">
        <f>S119+S123+S127+S128+S129</f>
        <v>32553</v>
      </c>
      <c r="T327" s="226">
        <f>T119+T123+T127+T128+T129</f>
        <v>33180</v>
      </c>
      <c r="U327" s="226">
        <f>U119+U123+U127+U128+U129</f>
        <v>35794</v>
      </c>
      <c r="V327" s="226">
        <f>V119+V123+V127+V128+V129</f>
        <v>32905</v>
      </c>
      <c r="W327" s="226">
        <f>W119+W123+W127+W128+W129</f>
        <v>32905</v>
      </c>
      <c r="X327" s="226">
        <f>X119+X123+X127+X128+X129</f>
        <v>34230</v>
      </c>
      <c r="Y327" s="226">
        <f>Y119+Y123+Y127+Y128+Y129</f>
        <v>35361</v>
      </c>
      <c r="Z327" s="226">
        <f>Z119+Z123+Z127+Z128+Z129</f>
        <v>38187</v>
      </c>
      <c r="AA327" s="226">
        <f>AA119+AA123+AA127+AA128+AA129</f>
        <v>40911</v>
      </c>
      <c r="AB327" s="226">
        <f>AB119+AB123+AB127+AB128+AB129</f>
        <v>40911</v>
      </c>
      <c r="AC327" s="226">
        <f>AC119+AC123+AC127+AC128+AC129</f>
        <v>38574</v>
      </c>
      <c r="AD327" s="226">
        <f>AD119+AD123+AD127+AD128+AD129</f>
        <v>34691</v>
      </c>
      <c r="AE327" s="226">
        <f>AE119+AE123+AE127+AE128+AE129</f>
        <v>40866</v>
      </c>
      <c r="AF327" s="226">
        <f>AF119+AF123+AF127+AF128+AF129</f>
        <v>38552</v>
      </c>
      <c r="AG327" s="226">
        <f>AG119+AG123+AG127+AG128+AG129</f>
        <v>38552</v>
      </c>
      <c r="AH327" s="226">
        <f>AH119+AH123+AH127+AH128+AH129</f>
        <v>46160</v>
      </c>
      <c r="AI327" s="226">
        <f>AI119+AI123+AI127+AI128+AI129</f>
        <v>49136</v>
      </c>
      <c r="AJ327" s="226">
        <f>AJ119+AJ123+AJ127+AJ128+AJ129</f>
        <v>24561</v>
      </c>
      <c r="AK327" s="226">
        <f>AK119+AK123+AK127+AK128+AK129</f>
        <v>24561</v>
      </c>
      <c r="AL327" s="226">
        <f>AL119+AL123+AL127+AL128+AL129</f>
        <v>24561</v>
      </c>
      <c r="AM327" s="226">
        <f>AM119+AM123+AM127+AM128+AM129</f>
        <v>24561</v>
      </c>
      <c r="AN327" s="226">
        <f>AN119+AN123+AN127+AN128+AN129</f>
        <v>24561</v>
      </c>
      <c r="AO327" s="226">
        <f>AO119+AO123+AO127+AO128+AO129</f>
        <v>24561</v>
      </c>
      <c r="AP327" s="226">
        <f>AP119+AP123+AP127+AP128+AP129</f>
        <v>24561</v>
      </c>
      <c r="AQ327" s="226">
        <f>AQ119+AQ123+AQ127+AQ128+AQ129</f>
        <v>24561</v>
      </c>
      <c r="AR327" s="226">
        <f>AR119+AR123+AR127+AR128+AR129</f>
        <v>24561</v>
      </c>
      <c r="AS327" s="226">
        <f>AS119+AS123+AS127+AS128+AS129</f>
        <v>24561</v>
      </c>
      <c r="AT327" s="226">
        <f>AT119+AT123+AT127+AT128+AT129</f>
        <v>24561</v>
      </c>
      <c r="AU327" s="226">
        <f>AU119+AU123+AU127+AU128+AU129</f>
        <v>24561</v>
      </c>
      <c r="AV327" s="226">
        <f>AV119+AV123+AV127+AV128+AV129</f>
        <v>24561</v>
      </c>
      <c r="AW327" s="226">
        <f>AW119+AW123+AW127+AW128+AW129</f>
        <v>24561</v>
      </c>
      <c r="AX327" s="226">
        <f>AX119+AX123+AX127+AX128+AX129</f>
        <v>24561</v>
      </c>
      <c r="AY327" s="226">
        <f>AY119+AY123+AY127+AY128+AY129</f>
        <v>24561</v>
      </c>
      <c r="AZ327" s="226">
        <f>AZ119+AZ123+AZ127+AZ128+AZ129</f>
        <v>24561</v>
      </c>
      <c r="BA327" s="226">
        <f>BA119+BA123+BA127+BA128+BA129</f>
        <v>24561</v>
      </c>
      <c r="BB327" s="226">
        <f>BB119+BB123+BB127+BB128+BB129</f>
        <v>24561</v>
      </c>
      <c r="BC327" s="226">
        <f>BC119+BC123+BC127+BC128+BC129</f>
        <v>24561</v>
      </c>
      <c r="BD327" s="226">
        <f>BD119+BD123+BD127+BD128+BD129</f>
        <v>24561</v>
      </c>
      <c r="BE327" s="226">
        <f>BE119+BE123+BE127+BE128+BE129</f>
        <v>24561</v>
      </c>
      <c r="BF327" s="226">
        <f>BF119+BF123+BF127+BF128+BF129</f>
        <v>24561</v>
      </c>
      <c r="BG327" s="226">
        <f>BG119+BG123+BG127+BG128+BG129</f>
        <v>24561</v>
      </c>
      <c r="BH327" s="226">
        <f>BH119+BH123+BH127+BH128+BH129</f>
        <v>24561</v>
      </c>
      <c r="BI327" s="226">
        <f>BI119+BI123+BI127+BI128+BI129</f>
        <v>24561</v>
      </c>
      <c r="BJ327" s="226">
        <f>BJ119+BJ123+BJ127+BJ128+BJ129</f>
        <v>24561</v>
      </c>
      <c r="BK327" s="226">
        <f>BK119+BK123+BK127+BK128+BK129</f>
        <v>24561</v>
      </c>
      <c r="BL327" s="226">
        <f>BL119+BL123+BL127+BL128+BL129</f>
        <v>24561</v>
      </c>
      <c r="BM327" s="226">
        <f>BM119+BM123+BM127+BM128+BM129</f>
        <v>24561</v>
      </c>
      <c r="BN327" s="226">
        <f>BN119+BN123+BN127+BN128+BN129</f>
        <v>24561</v>
      </c>
      <c r="BO327" s="226">
        <f>BO119+BO123+BO127+BO128+BO129</f>
        <v>24561</v>
      </c>
      <c r="BP327" s="226">
        <f>BP119+BP123+BP127+BP128+BP129</f>
        <v>24561</v>
      </c>
      <c r="BQ327" s="226">
        <f>BQ119+BQ123+BQ127+BQ128+BQ129</f>
        <v>24561</v>
      </c>
      <c r="BR327" s="226">
        <f>BR119+BR123+BR127+BR128+BR129</f>
        <v>24561</v>
      </c>
      <c r="BS327" s="226">
        <f>BS119+BS123+BS127+BS128+BS129</f>
        <v>24561</v>
      </c>
      <c r="BT327" s="226">
        <f>BT119+BT123+BT127+BT128+BT129</f>
        <v>24561</v>
      </c>
      <c r="BU327" s="226">
        <f>BU119+BU123+BU127+BU128+BU129</f>
        <v>24561</v>
      </c>
      <c r="BV327" s="226">
        <f>BV119+BV123+BV127+BV128+BV129</f>
        <v>24561</v>
      </c>
      <c r="BW327" s="226">
        <f>BW119+BW123+BW127+BW128+BW129</f>
        <v>24561</v>
      </c>
      <c r="BX327" s="226">
        <f>BX119+BX123+BX127+BX128+BX129</f>
        <v>24561</v>
      </c>
      <c r="BY327" s="226">
        <f>BY119+BY123+BY127+BY128+BY129</f>
        <v>24561</v>
      </c>
      <c r="BZ327" s="226">
        <f>BZ119+BZ123+BZ127+BZ128+BZ129</f>
        <v>24561</v>
      </c>
      <c r="CA327" s="226">
        <f>CA119+CA123+CA127+CA128+CA129</f>
        <v>24561</v>
      </c>
      <c r="CB327" s="226">
        <f>CB119+CB123+CB127+CB128+CB129</f>
        <v>24561</v>
      </c>
      <c r="CC327" s="226">
        <f>CC119+CC123+CC127+CC128+CC129</f>
        <v>24561</v>
      </c>
      <c r="CD327" s="226">
        <f>CD119+CD123+CD127+CD128+CD129</f>
        <v>24561</v>
      </c>
      <c r="CE327" s="226">
        <f>CE119+CE123+CE127+CE128+CE129</f>
        <v>24561</v>
      </c>
      <c r="CF327" s="226">
        <f>CF119+CF123+CF127+CF128+CF129</f>
        <v>24561</v>
      </c>
      <c r="CG327" s="226">
        <f>CG119+CG123+CG127+CG128+CG129</f>
        <v>24561</v>
      </c>
      <c r="CH327" s="226">
        <f>CH119+CH123+CH127+CH128+CH129</f>
        <v>24561</v>
      </c>
      <c r="CI327" s="226">
        <f>CI119+CI123+CI127+CI128+CI129</f>
        <v>24561</v>
      </c>
      <c r="CJ327" s="226">
        <f>CJ119+CJ123+CJ127+CJ128+CJ129</f>
        <v>24561</v>
      </c>
      <c r="CK327" s="226">
        <f>CK119+CK123+CK127+CK128+CK129</f>
        <v>24561</v>
      </c>
      <c r="CL327" s="226">
        <f>CL119+CL123+CL127+CL128+CL129</f>
        <v>24561</v>
      </c>
      <c r="CM327" s="226">
        <f>CM119+CM123+CM127+CM128+CM129</f>
        <v>24561</v>
      </c>
      <c r="CN327" s="226">
        <f>CN119+CN123+CN127+CN128+CN129</f>
        <v>24561</v>
      </c>
      <c r="CO327" s="226">
        <f>CO119+CO123+CO127+CO128+CO129</f>
        <v>24561</v>
      </c>
      <c r="CP327" s="226">
        <f>CP119+CP123+CP127+CP128+CP129</f>
        <v>24561</v>
      </c>
      <c r="CQ327" s="226">
        <f>CQ119+CQ123+CQ127+CQ128+CQ129</f>
        <v>24561</v>
      </c>
      <c r="CR327" s="226">
        <f>CR119+CR123+CR127+CR128+CR129</f>
        <v>24561</v>
      </c>
      <c r="CS327" s="226">
        <f>CS119+CS123+CS127+CS128+CS129</f>
        <v>24561</v>
      </c>
      <c r="CT327" s="226">
        <f>CT119+CT123+CT127+CT128+CT129</f>
        <v>24561</v>
      </c>
      <c r="CU327" s="226">
        <f>CU119+CU123+CU127+CU128+CU129</f>
        <v>24561</v>
      </c>
      <c r="CV327" s="226">
        <f>CV119+CV123+CV127+CV128+CV129</f>
        <v>24561</v>
      </c>
      <c r="CW327" s="226">
        <f>CW119+CW123+CW127+CW128+CW129</f>
        <v>24561</v>
      </c>
      <c r="CX327" s="226">
        <f>CX119+CX123+CX127+CX128+CX129</f>
        <v>24561</v>
      </c>
      <c r="CY327" s="226">
        <f>CY119+CY123+CY127+CY128+CY129</f>
        <v>24561</v>
      </c>
    </row>
    <row r="328" customFormat="1" s="233">
      <c r="A328" s="224" t="n"/>
      <c r="B328" s="224" t="n"/>
      <c r="C328" s="233" t="inlineStr">
        <is>
          <t>CURRENT LIABILITIES</t>
        </is>
      </c>
      <c r="D328" s="241">
        <f>D172+D176+D178+D179</f>
        <v>19547</v>
      </c>
      <c r="E328" s="241">
        <f>E172+E176+E178+E179</f>
        <v>17074</v>
      </c>
      <c r="F328" s="241">
        <f>F172+F176+F178+F179</f>
        <v>19134</v>
      </c>
      <c r="G328" s="241">
        <f>G172+G176+G178+G179</f>
        <v>20635</v>
      </c>
      <c r="H328" s="241">
        <f>H172+H176+H178+H179</f>
        <v>20635</v>
      </c>
      <c r="I328" s="226">
        <f>I172+I176+I178+I179</f>
        <v>22639</v>
      </c>
      <c r="J328" s="226">
        <f>J172+J176+J178+J179</f>
        <v>24650</v>
      </c>
      <c r="K328" s="226">
        <f>K172+K176+K178+K179</f>
        <v>24897</v>
      </c>
      <c r="L328" s="226">
        <f>L172+L176+L178+L179</f>
        <v>26535</v>
      </c>
      <c r="M328" s="226">
        <f>M172+M176+M178+M179</f>
        <v>26535</v>
      </c>
      <c r="N328" s="226">
        <f>N172+N176+N178+N179</f>
        <v>30889</v>
      </c>
      <c r="O328" s="226">
        <f>O172+O176+O178+O179</f>
        <v>35891</v>
      </c>
      <c r="P328" s="226">
        <f>P172+P176+P178+P179</f>
        <v>34662</v>
      </c>
      <c r="Q328" s="226">
        <f>Q172+Q176+Q178+Q179</f>
        <v>32244</v>
      </c>
      <c r="R328" s="226">
        <f>R172+R176+R178+R179</f>
        <v>32244</v>
      </c>
      <c r="S328" s="226">
        <f>S172+S176+S178+S179</f>
        <v>30804</v>
      </c>
      <c r="T328" s="226">
        <f>T172+T176+T178+T179</f>
        <v>28578</v>
      </c>
      <c r="U328" s="226">
        <f>U172+U176+U178+U179</f>
        <v>32823</v>
      </c>
      <c r="V328" s="226">
        <f>V172+V176+V178+V179</f>
        <v>31729</v>
      </c>
      <c r="W328" s="226">
        <f>W172+W176+W178+W179</f>
        <v>31729</v>
      </c>
      <c r="X328" s="226">
        <f>X172+X176+X178+X179</f>
        <v>32658</v>
      </c>
      <c r="Y328" s="226">
        <f>Y172+Y176+Y178+Y179</f>
        <v>32292</v>
      </c>
      <c r="Z328" s="226">
        <f>Z172+Z176+Z178+Z179</f>
        <v>30574</v>
      </c>
      <c r="AA328" s="226">
        <f>AA172+AA176+AA178+AA179</f>
        <v>34152</v>
      </c>
      <c r="AB328" s="226">
        <f>AB172+AB176+AB178+AB179</f>
        <v>34152</v>
      </c>
      <c r="AC328" s="226">
        <f>AC172+AC176+AC178+AC179</f>
        <v>31626</v>
      </c>
      <c r="AD328" s="226">
        <f>AD172+AD176+AD178+AD179</f>
        <v>28636</v>
      </c>
      <c r="AE328" s="226">
        <f>AE172+AE176+AE178+AE179</f>
        <v>31881</v>
      </c>
      <c r="AF328" s="226">
        <f>AF172+AF176+AF178+AF179</f>
        <v>32410</v>
      </c>
      <c r="AG328" s="226">
        <f>AG172+AG176+AG178+AG179</f>
        <v>32410</v>
      </c>
      <c r="AH328" s="226">
        <f>AH172+AH176+AH178+AH179</f>
        <v>36348</v>
      </c>
      <c r="AI328" s="226">
        <f>AI172+AI176+AI178+AI179</f>
        <v>38840</v>
      </c>
      <c r="AJ328" s="226">
        <f>AJ172+AJ176+AJ178+AJ179</f>
        <v>1377</v>
      </c>
      <c r="AK328" s="226">
        <f>AK172+AK176+AK178+AK179</f>
        <v>1377</v>
      </c>
      <c r="AL328" s="226">
        <f>AL172+AL176+AL178+AL179</f>
        <v>1377</v>
      </c>
      <c r="AM328" s="226" t="e">
        <f>AM172+AM176+AM178+AM179</f>
        <v>#DIV/0!</v>
      </c>
      <c r="AN328" s="226">
        <f>AN172+AN176+AN178+AN179</f>
        <v>1377</v>
      </c>
      <c r="AO328" s="226" t="e">
        <f>AO172+AO176+AO178+AO179</f>
        <v>#DIV/0!</v>
      </c>
      <c r="AP328" s="226" t="e">
        <f>AP172+AP176+AP178+AP179</f>
        <v>#DIV/0!</v>
      </c>
      <c r="AQ328" s="226" t="e">
        <f>AQ172+AQ176+AQ178+AQ179</f>
        <v>#DIV/0!</v>
      </c>
      <c r="AR328" s="226" t="e">
        <f>AR172+AR176+AR178+AR179</f>
        <v>#DIV/0!</v>
      </c>
      <c r="AS328" s="226" t="e">
        <f>AS172+AS176+AS178+AS179</f>
        <v>#DIV/0!</v>
      </c>
      <c r="AT328" s="226" t="e">
        <f>AT172+AT176+AT178+AT179</f>
        <v>#DIV/0!</v>
      </c>
      <c r="AU328" s="226" t="e">
        <f>AU172+AU176+AU178+AU179</f>
        <v>#DIV/0!</v>
      </c>
      <c r="AV328" s="226" t="e">
        <f>AV172+AV176+AV178+AV179</f>
        <v>#DIV/0!</v>
      </c>
      <c r="AW328" s="226" t="e">
        <f>AW172+AW176+AW178+AW179</f>
        <v>#DIV/0!</v>
      </c>
      <c r="AX328" s="226" t="e">
        <f>AX172+AX176+AX178+AX179</f>
        <v>#DIV/0!</v>
      </c>
      <c r="AY328" s="226" t="e">
        <f>AY172+AY176+AY178+AY179</f>
        <v>#DIV/0!</v>
      </c>
      <c r="AZ328" s="226" t="e">
        <f>AZ172+AZ176+AZ178+AZ179</f>
        <v>#DIV/0!</v>
      </c>
      <c r="BA328" s="226" t="e">
        <f>BA172+BA176+BA178+BA179</f>
        <v>#DIV/0!</v>
      </c>
      <c r="BB328" s="226" t="e">
        <f>BB172+BB176+BB178+BB179</f>
        <v>#DIV/0!</v>
      </c>
      <c r="BC328" s="226" t="e">
        <f>BC172+BC176+BC178+BC179</f>
        <v>#DIV/0!</v>
      </c>
      <c r="BD328" s="226" t="e">
        <f>BD172+BD176+BD178+BD179</f>
        <v>#DIV/0!</v>
      </c>
      <c r="BE328" s="226" t="e">
        <f>BE172+BE176+BE178+BE179</f>
        <v>#DIV/0!</v>
      </c>
      <c r="BF328" s="226" t="e">
        <f>BF172+BF176+BF178+BF179</f>
        <v>#DIV/0!</v>
      </c>
      <c r="BG328" s="226" t="e">
        <f>BG172+BG176+BG178+BG179</f>
        <v>#DIV/0!</v>
      </c>
      <c r="BH328" s="226" t="e">
        <f>BH172+BH176+BH178+BH179</f>
        <v>#DIV/0!</v>
      </c>
      <c r="BI328" s="226" t="e">
        <f>BI172+BI176+BI178+BI179</f>
        <v>#DIV/0!</v>
      </c>
      <c r="BJ328" s="226" t="e">
        <f>BJ172+BJ176+BJ178+BJ179</f>
        <v>#DIV/0!</v>
      </c>
      <c r="BK328" s="226" t="e">
        <f>BK172+BK176+BK178+BK179</f>
        <v>#DIV/0!</v>
      </c>
      <c r="BL328" s="226" t="e">
        <f>BL172+BL176+BL178+BL179</f>
        <v>#DIV/0!</v>
      </c>
      <c r="BM328" s="226" t="e">
        <f>BM172+BM176+BM178+BM179</f>
        <v>#DIV/0!</v>
      </c>
      <c r="BN328" s="226" t="e">
        <f>BN172+BN176+BN178+BN179</f>
        <v>#DIV/0!</v>
      </c>
      <c r="BO328" s="226" t="e">
        <f>BO172+BO176+BO178+BO179</f>
        <v>#DIV/0!</v>
      </c>
      <c r="BP328" s="226" t="e">
        <f>BP172+BP176+BP178+BP179</f>
        <v>#DIV/0!</v>
      </c>
      <c r="BQ328" s="226" t="e">
        <f>BQ172+BQ176+BQ178+BQ179</f>
        <v>#DIV/0!</v>
      </c>
      <c r="BR328" s="226" t="e">
        <f>BR172+BR176+BR178+BR179</f>
        <v>#DIV/0!</v>
      </c>
      <c r="BS328" s="226" t="e">
        <f>BS172+BS176+BS178+BS179</f>
        <v>#DIV/0!</v>
      </c>
      <c r="BT328" s="226" t="e">
        <f>BT172+BT176+BT178+BT179</f>
        <v>#DIV/0!</v>
      </c>
      <c r="BU328" s="226" t="e">
        <f>BU172+BU176+BU178+BU179</f>
        <v>#DIV/0!</v>
      </c>
      <c r="BV328" s="226" t="e">
        <f>BV172+BV176+BV178+BV179</f>
        <v>#DIV/0!</v>
      </c>
      <c r="BW328" s="226" t="e">
        <f>BW172+BW176+BW178+BW179</f>
        <v>#DIV/0!</v>
      </c>
      <c r="BX328" s="226" t="e">
        <f>BX172+BX176+BX178+BX179</f>
        <v>#DIV/0!</v>
      </c>
      <c r="BY328" s="226" t="e">
        <f>BY172+BY176+BY178+BY179</f>
        <v>#DIV/0!</v>
      </c>
      <c r="BZ328" s="226" t="e">
        <f>BZ172+BZ176+BZ178+BZ179</f>
        <v>#DIV/0!</v>
      </c>
      <c r="CA328" s="226" t="e">
        <f>CA172+CA176+CA178+CA179</f>
        <v>#DIV/0!</v>
      </c>
      <c r="CB328" s="226" t="e">
        <f>CB172+CB176+CB178+CB179</f>
        <v>#DIV/0!</v>
      </c>
      <c r="CC328" s="226" t="e">
        <f>CC172+CC176+CC178+CC179</f>
        <v>#DIV/0!</v>
      </c>
      <c r="CD328" s="226" t="e">
        <f>CD172+CD176+CD178+CD179</f>
        <v>#DIV/0!</v>
      </c>
      <c r="CE328" s="226" t="e">
        <f>CE172+CE176+CE178+CE179</f>
        <v>#DIV/0!</v>
      </c>
      <c r="CF328" s="226" t="e">
        <f>CF172+CF176+CF178+CF179</f>
        <v>#DIV/0!</v>
      </c>
      <c r="CG328" s="226" t="e">
        <f>CG172+CG176+CG178+CG179</f>
        <v>#DIV/0!</v>
      </c>
      <c r="CH328" s="226" t="e">
        <f>CH172+CH176+CH178+CH179</f>
        <v>#DIV/0!</v>
      </c>
      <c r="CI328" s="226" t="e">
        <f>CI172+CI176+CI178+CI179</f>
        <v>#DIV/0!</v>
      </c>
      <c r="CJ328" s="226" t="e">
        <f>CJ172+CJ176+CJ178+CJ179</f>
        <v>#DIV/0!</v>
      </c>
      <c r="CK328" s="226" t="e">
        <f>CK172+CK176+CK178+CK179</f>
        <v>#DIV/0!</v>
      </c>
      <c r="CL328" s="226" t="e">
        <f>CL172+CL176+CL178+CL179</f>
        <v>#DIV/0!</v>
      </c>
      <c r="CM328" s="226" t="e">
        <f>CM172+CM176+CM178+CM179</f>
        <v>#DIV/0!</v>
      </c>
      <c r="CN328" s="226" t="e">
        <f>CN172+CN176+CN178+CN179</f>
        <v>#DIV/0!</v>
      </c>
      <c r="CO328" s="226" t="e">
        <f>CO172+CO176+CO178+CO179</f>
        <v>#DIV/0!</v>
      </c>
      <c r="CP328" s="226" t="e">
        <f>CP172+CP176+CP178+CP179</f>
        <v>#DIV/0!</v>
      </c>
      <c r="CQ328" s="226" t="e">
        <f>CQ172+CQ176+CQ178+CQ179</f>
        <v>#DIV/0!</v>
      </c>
      <c r="CR328" s="226" t="e">
        <f>CR172+CR176+CR178+CR179</f>
        <v>#DIV/0!</v>
      </c>
      <c r="CS328" s="226" t="e">
        <f>CS172+CS176+CS178+CS179</f>
        <v>#DIV/0!</v>
      </c>
      <c r="CT328" s="226" t="e">
        <f>CT172+CT176+CT178+CT179</f>
        <v>#DIV/0!</v>
      </c>
      <c r="CU328" s="226" t="e">
        <f>CU172+CU176+CU178+CU179</f>
        <v>#DIV/0!</v>
      </c>
      <c r="CV328" s="226" t="e">
        <f>CV172+CV176+CV178+CV179</f>
        <v>#DIV/0!</v>
      </c>
      <c r="CW328" s="226" t="e">
        <f>CW172+CW176+CW178+CW179</f>
        <v>#DIV/0!</v>
      </c>
      <c r="CX328" s="226" t="e">
        <f>CX172+CX176+CX178+CX179</f>
        <v>#DIV/0!</v>
      </c>
      <c r="CY328" s="226" t="e">
        <f>CY172+CY176+CY178+CY179</f>
        <v>#DIV/0!</v>
      </c>
    </row>
    <row r="329" customFormat="1" s="233">
      <c r="A329" s="224" t="n"/>
      <c r="B329" s="224" t="n"/>
      <c r="C329" s="233" t="inlineStr">
        <is>
          <t>FIXED ASSETS</t>
        </is>
      </c>
      <c r="D329" s="241">
        <f>D140+D150+D153+D154+D163-D214</f>
        <v>158044</v>
      </c>
      <c r="E329" s="241">
        <f>E140+E150+E153+E154+E163-E214</f>
        <v>142589</v>
      </c>
      <c r="F329" s="241">
        <f>F140+F150+F153+F154+F163-F214</f>
        <v>137524</v>
      </c>
      <c r="G329" s="241">
        <f>G140+G150+G153+G154+G163-G214</f>
        <v>141400</v>
      </c>
      <c r="H329" s="241">
        <f>H140+H150+H153+H154+H163-H214</f>
        <v>141400</v>
      </c>
      <c r="I329" s="226">
        <f>I140+I150+I153+I154+I163-I214</f>
        <v>142454</v>
      </c>
      <c r="J329" s="226">
        <f>J140+J150+J153+J154+J163-J214</f>
        <v>142225</v>
      </c>
      <c r="K329" s="226">
        <f>K140+K150+K153+K154+K163-K214</f>
        <v>143319</v>
      </c>
      <c r="L329" s="226">
        <f>L140+L150+L153+L154+L163-L214</f>
        <v>147658</v>
      </c>
      <c r="M329" s="226">
        <f>M140+M150+M153+M154+M163-M214</f>
        <v>147658</v>
      </c>
      <c r="N329" s="226">
        <f>N140+N150+N153+N154+N163-N214</f>
        <v>149120</v>
      </c>
      <c r="O329" s="226">
        <f>O140+O150+O153+O154+O163-O214</f>
        <v>158437</v>
      </c>
      <c r="P329" s="226">
        <f>P140+P150+P153+P154+P163-P214</f>
        <v>161623</v>
      </c>
      <c r="Q329" s="226">
        <f>Q140+Q150+Q153+Q154+Q163-Q214</f>
        <v>161238</v>
      </c>
      <c r="R329" s="226">
        <f>R140+R150+R153+R154+R163-R214</f>
        <v>161238</v>
      </c>
      <c r="S329" s="226">
        <f>S140+S150+S153+S154+S163-S214</f>
        <v>163554</v>
      </c>
      <c r="T329" s="226">
        <f>T140+T150+T153+T154+T163-T214</f>
        <v>164806</v>
      </c>
      <c r="U329" s="226">
        <f>U140+U150+U153+U154+U163-U214</f>
        <v>177416</v>
      </c>
      <c r="V329" s="226">
        <f>V140+V150+V153+V154+V163-V214</f>
        <v>171889</v>
      </c>
      <c r="W329" s="226">
        <f>W140+W150+W153+W154+W163-W214</f>
        <v>171889</v>
      </c>
      <c r="X329" s="226">
        <f>X140+X150+X153+X154+X163-X214</f>
        <v>173194</v>
      </c>
      <c r="Y329" s="226">
        <f>Y140+Y150+Y153+Y154+Y163-Y214</f>
        <v>174430</v>
      </c>
      <c r="Z329" s="226">
        <f>Z140+Z150+Z153+Z154+Z163-Z214</f>
        <v>174460</v>
      </c>
      <c r="AA329" s="226">
        <f>AA140+AA150+AA153+AA154+AA163-AA214</f>
        <v>169941</v>
      </c>
      <c r="AB329" s="226">
        <f>AB140+AB150+AB153+AB154+AB163-AB214</f>
        <v>169941</v>
      </c>
      <c r="AC329" s="226">
        <f>AC140+AC150+AC153+AC154+AC163-AC214</f>
        <v>166802</v>
      </c>
      <c r="AD329" s="226">
        <f>AD140+AD150+AD153+AD154+AD163-AD214</f>
        <v>167102</v>
      </c>
      <c r="AE329" s="226">
        <f>AE140+AE150+AE153+AE154+AE163-AE214</f>
        <v>220002</v>
      </c>
      <c r="AF329" s="226">
        <f>AF140+AF150+AF153+AF154+AF163-AF214</f>
        <v>217025</v>
      </c>
      <c r="AG329" s="226">
        <f>AG140+AG150+AG153+AG154+AG163-AG214</f>
        <v>217025</v>
      </c>
      <c r="AH329" s="226">
        <f>AH140+AH150+AH153+AH154+AH163-AH214</f>
        <v>215332</v>
      </c>
      <c r="AI329" s="226">
        <f>AI140+AI150+AI153+AI154+AI163-AI214</f>
        <v>216001</v>
      </c>
      <c r="AJ329" s="226">
        <f>AJ140+AJ150+AJ153+AJ154+AJ163-AJ214</f>
        <v>216001</v>
      </c>
      <c r="AK329" s="226">
        <f>AK140+AK150+AK153+AK154+AK163-AK214</f>
        <v>216001</v>
      </c>
      <c r="AL329" s="226">
        <f>AL140+AL150+AL153+AL154+AL163-AL214</f>
        <v>216001</v>
      </c>
      <c r="AM329" s="226">
        <f>AM140+AM150+AM153+AM154+AM163-AM214</f>
        <v>216001</v>
      </c>
      <c r="AN329" s="226">
        <f>AN140+AN150+AN153+AN154+AN163-AN214</f>
        <v>216001</v>
      </c>
      <c r="AO329" s="226">
        <f>AO140+AO150+AO153+AO154+AO163-AO214</f>
        <v>216001</v>
      </c>
      <c r="AP329" s="226">
        <f>AP140+AP150+AP153+AP154+AP163-AP214</f>
        <v>216001</v>
      </c>
      <c r="AQ329" s="226">
        <f>AQ140+AQ150+AQ153+AQ154+AQ163-AQ214</f>
        <v>216001</v>
      </c>
      <c r="AR329" s="226">
        <f>AR140+AR150+AR153+AR154+AR163-AR214</f>
        <v>216001</v>
      </c>
      <c r="AS329" s="226">
        <f>AS140+AS150+AS153+AS154+AS163-AS214</f>
        <v>216001</v>
      </c>
      <c r="AT329" s="226">
        <f>AT140+AT150+AT153+AT154+AT163-AT214</f>
        <v>216001</v>
      </c>
      <c r="AU329" s="226">
        <f>AU140+AU150+AU153+AU154+AU163-AU214</f>
        <v>216001</v>
      </c>
      <c r="AV329" s="226">
        <f>AV140+AV150+AV153+AV154+AV163-AV214</f>
        <v>216001</v>
      </c>
      <c r="AW329" s="226">
        <f>AW140+AW150+AW153+AW154+AW163-AW214</f>
        <v>216001</v>
      </c>
      <c r="AX329" s="226">
        <f>AX140+AX150+AX153+AX154+AX163-AX214</f>
        <v>216001</v>
      </c>
      <c r="AY329" s="226">
        <f>AY140+AY150+AY153+AY154+AY163-AY214</f>
        <v>216001</v>
      </c>
      <c r="AZ329" s="226">
        <f>AZ140+AZ150+AZ153+AZ154+AZ163-AZ214</f>
        <v>216001</v>
      </c>
      <c r="BA329" s="226">
        <f>BA140+BA150+BA153+BA154+BA163-BA214</f>
        <v>216001</v>
      </c>
      <c r="BB329" s="226">
        <f>BB140+BB150+BB153+BB154+BB163-BB214</f>
        <v>216001</v>
      </c>
      <c r="BC329" s="226">
        <f>BC140+BC150+BC153+BC154+BC163-BC214</f>
        <v>216001</v>
      </c>
      <c r="BD329" s="226">
        <f>BD140+BD150+BD153+BD154+BD163-BD214</f>
        <v>216001</v>
      </c>
      <c r="BE329" s="226">
        <f>BE140+BE150+BE153+BE154+BE163-BE214</f>
        <v>216001</v>
      </c>
      <c r="BF329" s="226">
        <f>BF140+BF150+BF153+BF154+BF163-BF214</f>
        <v>216001</v>
      </c>
      <c r="BG329" s="226">
        <f>BG140+BG150+BG153+BG154+BG163-BG214</f>
        <v>216001</v>
      </c>
      <c r="BH329" s="226">
        <f>BH140+BH150+BH153+BH154+BH163-BH214</f>
        <v>216001</v>
      </c>
      <c r="BI329" s="226">
        <f>BI140+BI150+BI153+BI154+BI163-BI214</f>
        <v>216001</v>
      </c>
      <c r="BJ329" s="226">
        <f>BJ140+BJ150+BJ153+BJ154+BJ163-BJ214</f>
        <v>216001</v>
      </c>
      <c r="BK329" s="226">
        <f>BK140+BK150+BK153+BK154+BK163-BK214</f>
        <v>216001</v>
      </c>
      <c r="BL329" s="226">
        <f>BL140+BL150+BL153+BL154+BL163-BL214</f>
        <v>216001</v>
      </c>
      <c r="BM329" s="226">
        <f>BM140+BM150+BM153+BM154+BM163-BM214</f>
        <v>216001</v>
      </c>
      <c r="BN329" s="226">
        <f>BN140+BN150+BN153+BN154+BN163-BN214</f>
        <v>216001</v>
      </c>
      <c r="BO329" s="226">
        <f>BO140+BO150+BO153+BO154+BO163-BO214</f>
        <v>216001</v>
      </c>
      <c r="BP329" s="226">
        <f>BP140+BP150+BP153+BP154+BP163-BP214</f>
        <v>216001</v>
      </c>
      <c r="BQ329" s="226">
        <f>BQ140+BQ150+BQ153+BQ154+BQ163-BQ214</f>
        <v>216001</v>
      </c>
      <c r="BR329" s="226">
        <f>BR140+BR150+BR153+BR154+BR163-BR214</f>
        <v>216001</v>
      </c>
      <c r="BS329" s="226">
        <f>BS140+BS150+BS153+BS154+BS163-BS214</f>
        <v>216001</v>
      </c>
      <c r="BT329" s="226">
        <f>BT140+BT150+BT153+BT154+BT163-BT214</f>
        <v>216001</v>
      </c>
      <c r="BU329" s="226">
        <f>BU140+BU150+BU153+BU154+BU163-BU214</f>
        <v>216001</v>
      </c>
      <c r="BV329" s="226">
        <f>BV140+BV150+BV153+BV154+BV163-BV214</f>
        <v>216001</v>
      </c>
      <c r="BW329" s="226">
        <f>BW140+BW150+BW153+BW154+BW163-BW214</f>
        <v>216001</v>
      </c>
      <c r="BX329" s="226">
        <f>BX140+BX150+BX153+BX154+BX163-BX214</f>
        <v>216001</v>
      </c>
      <c r="BY329" s="226">
        <f>BY140+BY150+BY153+BY154+BY163-BY214</f>
        <v>216001</v>
      </c>
      <c r="BZ329" s="226">
        <f>BZ140+BZ150+BZ153+BZ154+BZ163-BZ214</f>
        <v>216001</v>
      </c>
      <c r="CA329" s="226">
        <f>CA140+CA150+CA153+CA154+CA163-CA214</f>
        <v>216001</v>
      </c>
      <c r="CB329" s="226">
        <f>CB140+CB150+CB153+CB154+CB163-CB214</f>
        <v>216001</v>
      </c>
      <c r="CC329" s="226">
        <f>CC140+CC150+CC153+CC154+CC163-CC214</f>
        <v>216001</v>
      </c>
      <c r="CD329" s="226">
        <f>CD140+CD150+CD153+CD154+CD163-CD214</f>
        <v>216001</v>
      </c>
      <c r="CE329" s="226">
        <f>CE140+CE150+CE153+CE154+CE163-CE214</f>
        <v>216001</v>
      </c>
      <c r="CF329" s="226">
        <f>CF140+CF150+CF153+CF154+CF163-CF214</f>
        <v>216001</v>
      </c>
      <c r="CG329" s="226">
        <f>CG140+CG150+CG153+CG154+CG163-CG214</f>
        <v>216001</v>
      </c>
      <c r="CH329" s="226">
        <f>CH140+CH150+CH153+CH154+CH163-CH214</f>
        <v>216001</v>
      </c>
      <c r="CI329" s="226">
        <f>CI140+CI150+CI153+CI154+CI163-CI214</f>
        <v>216001</v>
      </c>
      <c r="CJ329" s="226">
        <f>CJ140+CJ150+CJ153+CJ154+CJ163-CJ214</f>
        <v>216001</v>
      </c>
      <c r="CK329" s="226">
        <f>CK140+CK150+CK153+CK154+CK163-CK214</f>
        <v>216001</v>
      </c>
      <c r="CL329" s="226">
        <f>CL140+CL150+CL153+CL154+CL163-CL214</f>
        <v>216001</v>
      </c>
      <c r="CM329" s="226">
        <f>CM140+CM150+CM153+CM154+CM163-CM214</f>
        <v>216001</v>
      </c>
      <c r="CN329" s="226">
        <f>CN140+CN150+CN153+CN154+CN163-CN214</f>
        <v>216001</v>
      </c>
      <c r="CO329" s="226">
        <f>CO140+CO150+CO153+CO154+CO163-CO214</f>
        <v>216001</v>
      </c>
      <c r="CP329" s="226">
        <f>CP140+CP150+CP153+CP154+CP163-CP214</f>
        <v>216001</v>
      </c>
      <c r="CQ329" s="226">
        <f>CQ140+CQ150+CQ153+CQ154+CQ163-CQ214</f>
        <v>216001</v>
      </c>
      <c r="CR329" s="226">
        <f>CR140+CR150+CR153+CR154+CR163-CR214</f>
        <v>216001</v>
      </c>
      <c r="CS329" s="226">
        <f>CS140+CS150+CS153+CS154+CS163-CS214</f>
        <v>216001</v>
      </c>
      <c r="CT329" s="226">
        <f>CT140+CT150+CT153+CT154+CT163-CT214</f>
        <v>216001</v>
      </c>
      <c r="CU329" s="226">
        <f>CU140+CU150+CU153+CU154+CU163-CU214</f>
        <v>216001</v>
      </c>
      <c r="CV329" s="226">
        <f>CV140+CV150+CV153+CV154+CV163-CV214</f>
        <v>216001</v>
      </c>
      <c r="CW329" s="226">
        <f>CW140+CW150+CW153+CW154+CW163-CW214</f>
        <v>216001</v>
      </c>
      <c r="CX329" s="226">
        <f>CX140+CX150+CX153+CX154+CX163-CX214</f>
        <v>216001</v>
      </c>
      <c r="CY329" s="226">
        <f>CY140+CY150+CY153+CY154+CY163-CY214</f>
        <v>216001</v>
      </c>
    </row>
    <row r="330" customFormat="1" s="233">
      <c r="A330" s="224" t="n"/>
      <c r="B330" s="224" t="n"/>
    </row>
    <row r="331" customFormat="1" s="233">
      <c r="A331" s="224" t="n"/>
      <c r="B331" s="224" t="n"/>
    </row>
    <row r="332" customFormat="1" s="233">
      <c r="A332" s="224" t="n"/>
      <c r="B332" s="224" t="n"/>
    </row>
    <row r="333" customFormat="1" s="233">
      <c r="A333" s="224" t="n"/>
      <c r="B333" s="224" t="n"/>
    </row>
    <row r="334" customFormat="1" s="233">
      <c r="A334" s="224" t="n"/>
      <c r="B334" s="224" t="n"/>
    </row>
    <row r="335" customFormat="1" s="233">
      <c r="A335" s="224" t="n"/>
      <c r="B335" s="224" t="n"/>
    </row>
    <row r="336" customFormat="1" s="233">
      <c r="A336" s="224" t="n"/>
      <c r="B336" s="224" t="n"/>
    </row>
    <row r="337" customFormat="1" s="233">
      <c r="A337" s="224" t="n"/>
      <c r="B337" s="224" t="n"/>
      <c r="C337" s="234" t="inlineStr">
        <is>
          <t>DUPONT ANALYSIS</t>
        </is>
      </c>
    </row>
    <row r="338" customFormat="1" s="233">
      <c r="A338" s="224" t="n"/>
      <c r="B338" s="224" t="n"/>
      <c r="C338" s="233" t="inlineStr">
        <is>
          <t>NET PROFIT MARGIN</t>
        </is>
      </c>
      <c r="D338" s="238">
        <f>D111/D15</f>
        <v>0.114250341259008</v>
      </c>
      <c r="E338" s="238">
        <f>E111/E15</f>
        <v>-0.612864977026827</v>
      </c>
      <c r="F338" s="238">
        <f>F111/F15</f>
        <v>-0.00846591141466607</v>
      </c>
      <c r="G338" s="238">
        <f>G111/G15</f>
        <v>-0.0263408064643904</v>
      </c>
      <c r="I338" s="222">
        <f>I111/I15</f>
        <v>0.0429922882387836</v>
      </c>
      <c r="J338" s="222">
        <f>J111/J15</f>
        <v>0.0819746256350241</v>
      </c>
      <c r="K338" s="222">
        <f>K111/K15</f>
        <v>0.136680832028629</v>
      </c>
      <c r="L338" s="222">
        <f>L111/L15</f>
        <v>0.105030231253506</v>
      </c>
      <c r="N338" s="222">
        <f>N111/N15</f>
        <v>0.115112279991908</v>
      </c>
      <c r="O338" s="222">
        <f>O111/O15</f>
        <v>0.16901777144353</v>
      </c>
      <c r="P338" s="222">
        <f>P111/P15</f>
        <v>0.168522297581178</v>
      </c>
      <c r="Q338" s="222">
        <f>Q111/Q15</f>
        <v>0.112496237139872</v>
      </c>
      <c r="S338" s="222">
        <f>S111/S15</f>
        <v>0.129427283287067</v>
      </c>
      <c r="T338" s="222">
        <f>T111/T15</f>
        <v>0.122913939790576</v>
      </c>
      <c r="U338" s="222">
        <f>U111/U15</f>
        <v>0.120673076923077</v>
      </c>
      <c r="V338" s="222">
        <f>V111/V15</f>
        <v>0.0478804578211106</v>
      </c>
      <c r="X338" s="222">
        <f>X111/X15</f>
        <v>0.112919779949093</v>
      </c>
      <c r="Y338" s="222">
        <f>Y111/Y15</f>
        <v>0.0866337117289619</v>
      </c>
      <c r="Z338" s="222">
        <f>Z111/Z15</f>
        <v>0.0885551323294322</v>
      </c>
      <c r="AA338" s="222">
        <f>AA111/AA15</f>
        <v>0.0620189177804159</v>
      </c>
      <c r="AC338" s="222">
        <f>AC111/AC15</f>
        <v>0.0735139676538542</v>
      </c>
      <c r="AD338" s="222">
        <f>AD111/AD15</f>
        <v>0.0555530766141627</v>
      </c>
      <c r="AE338" s="222">
        <f>AE111/AE15</f>
        <v>0.0711700116639183</v>
      </c>
      <c r="AF338" s="222">
        <f>AF111/AF15</f>
        <v>0.0590958547564696</v>
      </c>
      <c r="AH338" s="222">
        <f>AH111/AH15</f>
        <v>0.0454667023268254</v>
      </c>
      <c r="AI338" s="222">
        <f>AI111/AI15</f>
        <v>0.17232174719863</v>
      </c>
      <c r="AJ338" s="222">
        <f>AJ111/AJ15</f>
        <v>-0.00148815508989261</v>
      </c>
      <c r="AK338" s="222">
        <f>AK111/AK15</f>
        <v>-0.0016000682695795</v>
      </c>
      <c r="AM338" s="222">
        <f>AM111/AM15</f>
        <v>-0.00170757298331516</v>
      </c>
      <c r="AN338" s="222">
        <f>AN111/AN15</f>
        <v>-0.00202697880236957</v>
      </c>
      <c r="AO338" s="222">
        <f>AO111/AO15</f>
        <v>-0.00148815508989261</v>
      </c>
      <c r="AP338" s="222">
        <f>AP111/AP15</f>
        <v>-0.0016000682695795</v>
      </c>
      <c r="AR338" s="222">
        <f>AR111/AR15</f>
        <v>-0.00170757298331516</v>
      </c>
      <c r="AS338" s="222">
        <f>AS111/AS15</f>
        <v>-0.00202697880236957</v>
      </c>
      <c r="AT338" s="222">
        <f>AT111/AT15</f>
        <v>-0.00148815508989261</v>
      </c>
      <c r="AU338" s="222">
        <f>AU111/AU15</f>
        <v>-0.0016000682695795</v>
      </c>
      <c r="AW338" s="222">
        <f>AW111/AW15</f>
        <v>-0.00170757298331516</v>
      </c>
      <c r="AX338" s="222">
        <f>AX111/AX15</f>
        <v>-0.00202697880236957</v>
      </c>
      <c r="AY338" s="222">
        <f>AY111/AY15</f>
        <v>-0.00148815508989261</v>
      </c>
      <c r="AZ338" s="222">
        <f>AZ111/AZ15</f>
        <v>-0.0016000682695795</v>
      </c>
      <c r="BB338" s="222">
        <f>BB111/BB15</f>
        <v>-0.00170757298331516</v>
      </c>
      <c r="BC338" s="222">
        <f>BC111/BC15</f>
        <v>-0.00202697880236957</v>
      </c>
      <c r="BD338" s="222">
        <f>BD111/BD15</f>
        <v>-0.00148815508989261</v>
      </c>
      <c r="BE338" s="222">
        <f>BE111/BE15</f>
        <v>-0.0016000682695795</v>
      </c>
      <c r="BG338" s="222">
        <f>BG111/BG15</f>
        <v>-0.00170757298331516</v>
      </c>
      <c r="BH338" s="222">
        <f>BH111/BH15</f>
        <v>-0.00202697880236957</v>
      </c>
      <c r="BI338" s="222">
        <f>BI111/BI15</f>
        <v>-0.00148815508989261</v>
      </c>
      <c r="BJ338" s="222">
        <f>BJ111/BJ15</f>
        <v>-0.0016000682695795</v>
      </c>
      <c r="BL338" s="222">
        <f>BL111/BL15</f>
        <v>-0.00170757298331516</v>
      </c>
      <c r="BM338" s="222">
        <f>BM111/BM15</f>
        <v>-0.00202697880236957</v>
      </c>
      <c r="BN338" s="222">
        <f>BN111/BN15</f>
        <v>-0.00148815508989261</v>
      </c>
      <c r="BO338" s="222">
        <f>BO111/BO15</f>
        <v>-0.0016000682695795</v>
      </c>
      <c r="BQ338" s="222">
        <f>BQ111/BQ15</f>
        <v>-0.00170757298331516</v>
      </c>
      <c r="BR338" s="222">
        <f>BR111/BR15</f>
        <v>-0.00202697880236957</v>
      </c>
      <c r="BS338" s="222">
        <f>BS111/BS15</f>
        <v>-0.00148815508989261</v>
      </c>
      <c r="BT338" s="222">
        <f>BT111/BT15</f>
        <v>-0.0016000682695795</v>
      </c>
      <c r="BV338" s="222">
        <f>BV111/BV15</f>
        <v>-0.00170757298331516</v>
      </c>
      <c r="BW338" s="222">
        <f>BW111/BW15</f>
        <v>-0.00202697880236957</v>
      </c>
      <c r="BX338" s="222">
        <f>BX111/BX15</f>
        <v>-0.00148815508989261</v>
      </c>
      <c r="BY338" s="222">
        <f>BY111/BY15</f>
        <v>-0.0016000682695795</v>
      </c>
      <c r="CA338" s="222">
        <f>CA111/CA15</f>
        <v>-0.00170757298331516</v>
      </c>
      <c r="CB338" s="222">
        <f>CB111/CB15</f>
        <v>-0.00202697880236957</v>
      </c>
      <c r="CC338" s="222">
        <f>CC111/CC15</f>
        <v>-0.00148815508989261</v>
      </c>
      <c r="CD338" s="222">
        <f>CD111/CD15</f>
        <v>-0.0016000682695795</v>
      </c>
      <c r="CF338" s="222">
        <f>CF111/CF15</f>
        <v>-0.00170757298331516</v>
      </c>
      <c r="CG338" s="222">
        <f>CG111/CG15</f>
        <v>-0.00202697880236957</v>
      </c>
      <c r="CH338" s="222">
        <f>CH111/CH15</f>
        <v>-0.00148815508989261</v>
      </c>
      <c r="CI338" s="222">
        <f>CI111/CI15</f>
        <v>-0.0016000682695795</v>
      </c>
      <c r="CK338" s="222">
        <f>CK111/CK15</f>
        <v>-0.00170757298331516</v>
      </c>
      <c r="CL338" s="222">
        <f>CL111/CL15</f>
        <v>-0.00202697880236957</v>
      </c>
      <c r="CM338" s="222">
        <f>CM111/CM15</f>
        <v>-0.00148815508989261</v>
      </c>
      <c r="CN338" s="222">
        <f>CN111/CN15</f>
        <v>-0.0016000682695795</v>
      </c>
      <c r="CP338" s="222">
        <f>CP111/CP15</f>
        <v>-0.00170757298331516</v>
      </c>
      <c r="CQ338" s="222">
        <f>CQ111/CQ15</f>
        <v>-0.00202697880236957</v>
      </c>
      <c r="CR338" s="222">
        <f>CR111/CR15</f>
        <v>-0.00148815508989261</v>
      </c>
      <c r="CS338" s="222">
        <f>CS111/CS15</f>
        <v>-0.0016000682695795</v>
      </c>
      <c r="CU338" s="222">
        <f>CU111/CU15</f>
        <v>-0.00170757298331516</v>
      </c>
      <c r="CV338" s="222">
        <f>CV111/CV15</f>
        <v>-0.00202697880236957</v>
      </c>
      <c r="CW338" s="222">
        <f>CW111/CW15</f>
        <v>-0.00148815508989261</v>
      </c>
      <c r="CX338" s="222">
        <f>CX111/CX15</f>
        <v>-0.0016000682695795</v>
      </c>
    </row>
    <row r="339" customFormat="1" s="233">
      <c r="A339" s="224" t="n"/>
      <c r="B339" s="224" t="n"/>
      <c r="C339" s="233" t="inlineStr">
        <is>
          <t>ASSET TURNOVER</t>
        </is>
      </c>
      <c r="D339" s="238">
        <f>D111/D171</f>
        <v>0.0152063783130596</v>
      </c>
      <c r="E339" s="238">
        <f>E111/E171</f>
        <v>-0.037018303245704</v>
      </c>
      <c r="F339" s="238">
        <f>F111/F171</f>
        <v>-0.000927988953793323</v>
      </c>
      <c r="G339" s="238">
        <f>G111/G171</f>
        <v>-0.00277325993577714</v>
      </c>
      <c r="I339" s="222">
        <f>I111/I171</f>
        <v>0.00569844192927642</v>
      </c>
      <c r="J339" s="222">
        <f>J111/J171</f>
        <v>0.0126932612867886</v>
      </c>
      <c r="K339" s="222">
        <f>K111/K171</f>
        <v>0.025468018070582</v>
      </c>
      <c r="L339" s="222">
        <f>L111/L171</f>
        <v>0.0211033878138894</v>
      </c>
      <c r="N339" s="222">
        <f>N111/N171</f>
        <v>0.0251317015193858</v>
      </c>
      <c r="O339" s="222">
        <f>O111/O171</f>
        <v>0.045057688728987</v>
      </c>
      <c r="P339" s="222">
        <f>P111/P171</f>
        <v>0.0432402256145687</v>
      </c>
      <c r="Q339" s="222">
        <f>Q111/Q171</f>
        <v>0.0246518359855496</v>
      </c>
      <c r="S339" s="222">
        <f>S111/S171</f>
        <v>0.0256911280804733</v>
      </c>
      <c r="T339" s="222">
        <f>T111/T171</f>
        <v>0.0238701400831682</v>
      </c>
      <c r="U339" s="222">
        <f>U111/U171</f>
        <v>0.0247265342310563</v>
      </c>
      <c r="V339" s="222">
        <f>V111/V171</f>
        <v>0.00863426492172211</v>
      </c>
      <c r="X339" s="222">
        <f>X111/X171</f>
        <v>0.0210241887093877</v>
      </c>
      <c r="Y339" s="222">
        <f>Y111/Y171</f>
        <v>0.0170117094581114</v>
      </c>
      <c r="Z339" s="222">
        <f>Z111/Z171</f>
        <v>0.0173088198987779</v>
      </c>
      <c r="AA339" s="222">
        <f>AA111/AA171</f>
        <v>0.0126061540138088</v>
      </c>
      <c r="AC339" s="222">
        <f>AC111/AC171</f>
        <v>0.0136507057414868</v>
      </c>
      <c r="AD339" s="222">
        <f>AD111/AD171</f>
        <v>0.00992743800334902</v>
      </c>
      <c r="AE339" s="222">
        <f>AE111/AE171</f>
        <v>0.0108391704772727</v>
      </c>
      <c r="AF339" s="222">
        <f>AF111/AF171</f>
        <v>0.0085490660839722</v>
      </c>
      <c r="AH339" s="222">
        <f>AH111/AH171</f>
        <v>0.006706094049176</v>
      </c>
      <c r="AI339" s="222">
        <f>AI111/AI171</f>
        <v>0.0365668590122223</v>
      </c>
      <c r="AJ339" s="222">
        <f>AJ111/AJ171</f>
        <v>-0.000252842772796851</v>
      </c>
      <c r="AK339" s="222">
        <f>AK111/AK171</f>
        <v>-0.000256259567023836</v>
      </c>
      <c r="AM339" s="222" t="e">
        <f>AM111/AM171</f>
        <v>#DIV/0!</v>
      </c>
      <c r="AN339" s="222" t="e">
        <f>AN111/AN171</f>
        <v>#DIV/0!</v>
      </c>
      <c r="AO339" s="222" t="e">
        <f>AO111/AO171</f>
        <v>#DIV/0!</v>
      </c>
      <c r="AP339" s="222" t="e">
        <f>AP111/AP171</f>
        <v>#DIV/0!</v>
      </c>
      <c r="AR339" s="222" t="e">
        <f>AR111/AR171</f>
        <v>#DIV/0!</v>
      </c>
      <c r="AS339" s="222" t="e">
        <f>AS111/AS171</f>
        <v>#DIV/0!</v>
      </c>
      <c r="AT339" s="222" t="e">
        <f>AT111/AT171</f>
        <v>#DIV/0!</v>
      </c>
      <c r="AU339" s="222" t="e">
        <f>AU111/AU171</f>
        <v>#DIV/0!</v>
      </c>
      <c r="AW339" s="222" t="e">
        <f>AW111/AW171</f>
        <v>#DIV/0!</v>
      </c>
      <c r="AX339" s="222" t="e">
        <f>AX111/AX171</f>
        <v>#DIV/0!</v>
      </c>
      <c r="AY339" s="222" t="e">
        <f>AY111/AY171</f>
        <v>#DIV/0!</v>
      </c>
      <c r="AZ339" s="222" t="e">
        <f>AZ111/AZ171</f>
        <v>#DIV/0!</v>
      </c>
      <c r="BB339" s="222" t="e">
        <f>BB111/BB171</f>
        <v>#DIV/0!</v>
      </c>
      <c r="BC339" s="222" t="e">
        <f>BC111/BC171</f>
        <v>#DIV/0!</v>
      </c>
      <c r="BD339" s="222" t="e">
        <f>BD111/BD171</f>
        <v>#DIV/0!</v>
      </c>
      <c r="BE339" s="222" t="e">
        <f>BE111/BE171</f>
        <v>#DIV/0!</v>
      </c>
      <c r="BG339" s="222" t="e">
        <f>BG111/BG171</f>
        <v>#DIV/0!</v>
      </c>
      <c r="BH339" s="222" t="e">
        <f>BH111/BH171</f>
        <v>#DIV/0!</v>
      </c>
      <c r="BI339" s="222" t="e">
        <f>BI111/BI171</f>
        <v>#DIV/0!</v>
      </c>
      <c r="BJ339" s="222" t="e">
        <f>BJ111/BJ171</f>
        <v>#DIV/0!</v>
      </c>
      <c r="BL339" s="222" t="e">
        <f>BL111/BL171</f>
        <v>#DIV/0!</v>
      </c>
      <c r="BM339" s="222" t="e">
        <f>BM111/BM171</f>
        <v>#DIV/0!</v>
      </c>
      <c r="BN339" s="222" t="e">
        <f>BN111/BN171</f>
        <v>#DIV/0!</v>
      </c>
      <c r="BO339" s="222" t="e">
        <f>BO111/BO171</f>
        <v>#DIV/0!</v>
      </c>
      <c r="BQ339" s="222" t="e">
        <f>BQ111/BQ171</f>
        <v>#DIV/0!</v>
      </c>
      <c r="BR339" s="222" t="e">
        <f>BR111/BR171</f>
        <v>#DIV/0!</v>
      </c>
      <c r="BS339" s="222" t="e">
        <f>BS111/BS171</f>
        <v>#DIV/0!</v>
      </c>
      <c r="BT339" s="222" t="e">
        <f>BT111/BT171</f>
        <v>#DIV/0!</v>
      </c>
      <c r="BV339" s="222" t="e">
        <f>BV111/BV171</f>
        <v>#DIV/0!</v>
      </c>
      <c r="BW339" s="222" t="e">
        <f>BW111/BW171</f>
        <v>#DIV/0!</v>
      </c>
      <c r="BX339" s="222" t="e">
        <f>BX111/BX171</f>
        <v>#DIV/0!</v>
      </c>
      <c r="BY339" s="222" t="e">
        <f>BY111/BY171</f>
        <v>#DIV/0!</v>
      </c>
      <c r="CA339" s="222" t="e">
        <f>CA111/CA171</f>
        <v>#DIV/0!</v>
      </c>
      <c r="CB339" s="222" t="e">
        <f>CB111/CB171</f>
        <v>#DIV/0!</v>
      </c>
      <c r="CC339" s="222" t="e">
        <f>CC111/CC171</f>
        <v>#DIV/0!</v>
      </c>
      <c r="CD339" s="222" t="e">
        <f>CD111/CD171</f>
        <v>#DIV/0!</v>
      </c>
      <c r="CF339" s="222" t="e">
        <f>CF111/CF171</f>
        <v>#DIV/0!</v>
      </c>
      <c r="CG339" s="222" t="e">
        <f>CG111/CG171</f>
        <v>#DIV/0!</v>
      </c>
      <c r="CH339" s="222" t="e">
        <f>CH111/CH171</f>
        <v>#DIV/0!</v>
      </c>
      <c r="CI339" s="222" t="e">
        <f>CI111/CI171</f>
        <v>#DIV/0!</v>
      </c>
      <c r="CK339" s="222" t="e">
        <f>CK111/CK171</f>
        <v>#DIV/0!</v>
      </c>
      <c r="CL339" s="222" t="e">
        <f>CL111/CL171</f>
        <v>#DIV/0!</v>
      </c>
      <c r="CM339" s="222" t="e">
        <f>CM111/CM171</f>
        <v>#DIV/0!</v>
      </c>
      <c r="CN339" s="222" t="e">
        <f>CN111/CN171</f>
        <v>#DIV/0!</v>
      </c>
      <c r="CP339" s="222" t="e">
        <f>CP111/CP171</f>
        <v>#DIV/0!</v>
      </c>
      <c r="CQ339" s="222" t="e">
        <f>CQ111/CQ171</f>
        <v>#DIV/0!</v>
      </c>
      <c r="CR339" s="222" t="e">
        <f>CR111/CR171</f>
        <v>#DIV/0!</v>
      </c>
      <c r="CS339" s="222" t="e">
        <f>CS111/CS171</f>
        <v>#DIV/0!</v>
      </c>
      <c r="CU339" s="222" t="e">
        <f>CU111/CU171</f>
        <v>#DIV/0!</v>
      </c>
      <c r="CV339" s="222" t="e">
        <f>CV111/CV171</f>
        <v>#DIV/0!</v>
      </c>
      <c r="CW339" s="222" t="e">
        <f>CW111/CW171</f>
        <v>#DIV/0!</v>
      </c>
      <c r="CX339" s="222" t="e">
        <f>CX111/CX171</f>
        <v>#DIV/0!</v>
      </c>
    </row>
    <row r="340" customFormat="1" s="233">
      <c r="A340" s="224" t="n"/>
      <c r="B340" s="224" t="n"/>
      <c r="C340" s="233" t="inlineStr">
        <is>
          <t>EQUITY MULTIPLIER</t>
        </is>
      </c>
      <c r="D340" s="238">
        <f>D171/D245</f>
        <v>1.63322384310695</v>
      </c>
      <c r="E340" s="238">
        <f>E171/E245</f>
        <v>1.66239786882562</v>
      </c>
      <c r="F340" s="238">
        <f>F171/F245</f>
        <v>1.68938487405141</v>
      </c>
      <c r="G340" s="238">
        <f>G171/G245</f>
        <v>1.8066543103838</v>
      </c>
      <c r="I340" s="222">
        <f>I171/I245</f>
        <v>1.81779543078092</v>
      </c>
      <c r="J340" s="222">
        <f>J171/J245</f>
        <v>1.81318935711032</v>
      </c>
      <c r="K340" s="222">
        <f>K171/K245</f>
        <v>1.75500650955954</v>
      </c>
      <c r="L340" s="222">
        <f>L171/L245</f>
        <v>1.71169787051594</v>
      </c>
      <c r="N340" s="222">
        <f>N171/N245</f>
        <v>1.6930523453433</v>
      </c>
      <c r="O340" s="222">
        <f>O171/O245</f>
        <v>1.66881898526158</v>
      </c>
      <c r="P340" s="222">
        <f>P171/P245</f>
        <v>1.62713701316193</v>
      </c>
      <c r="Q340" s="222">
        <f>Q171/Q245</f>
        <v>1.60824877372973</v>
      </c>
      <c r="S340" s="222">
        <f>S171/S245</f>
        <v>1.59496116783226</v>
      </c>
      <c r="T340" s="222">
        <f>T171/T245</f>
        <v>1.58055342816608</v>
      </c>
      <c r="U340" s="222">
        <f>U171/U245</f>
        <v>1.58754992541264</v>
      </c>
      <c r="V340" s="222">
        <f>V171/V245</f>
        <v>1.61572047008257</v>
      </c>
      <c r="X340" s="222">
        <f>X171/X245</f>
        <v>1.61856658583659</v>
      </c>
      <c r="Y340" s="222">
        <f>Y171/Y245</f>
        <v>1.62635168441874</v>
      </c>
      <c r="Z340" s="222">
        <f>Z171/Z245</f>
        <v>1.65084378781125</v>
      </c>
      <c r="AA340" s="222">
        <f>AA171/AA245</f>
        <v>1.67761186233734</v>
      </c>
      <c r="AC340" s="222">
        <f>AC171/AC245</f>
        <v>1.70840218550107</v>
      </c>
      <c r="AD340" s="222">
        <f>AD171/AD245</f>
        <v>1.70326909234133</v>
      </c>
      <c r="AE340" s="222">
        <f>AE171/AE245</f>
        <v>1.66922801635992</v>
      </c>
      <c r="AF340" s="222">
        <f>AF171/AF245</f>
        <v>1.68601698443094</v>
      </c>
      <c r="AH340" s="222">
        <f>AH171/AH245</f>
        <v>1.74024005787581</v>
      </c>
      <c r="AI340" s="222">
        <f>AI171/AI245</f>
        <v>1.68816923879361</v>
      </c>
      <c r="AJ340" s="222">
        <f>AJ171/AJ245</f>
        <v>1.49659947432475</v>
      </c>
      <c r="AK340" s="222">
        <f>AK171/AK245</f>
        <v>1.49659947432475</v>
      </c>
      <c r="AM340" s="222" t="e">
        <f>AM171/AM245</f>
        <v>#DIV/0!</v>
      </c>
      <c r="AN340" s="222" t="e">
        <f>AN171/AN245</f>
        <v>#DIV/0!</v>
      </c>
      <c r="AO340" s="222" t="e">
        <f>AO171/AO245</f>
        <v>#DIV/0!</v>
      </c>
      <c r="AP340" s="222" t="e">
        <f>AP171/AP245</f>
        <v>#DIV/0!</v>
      </c>
      <c r="AR340" s="222" t="e">
        <f>AR171/AR245</f>
        <v>#DIV/0!</v>
      </c>
      <c r="AS340" s="222" t="e">
        <f>AS171/AS245</f>
        <v>#DIV/0!</v>
      </c>
      <c r="AT340" s="222" t="e">
        <f>AT171/AT245</f>
        <v>#DIV/0!</v>
      </c>
      <c r="AU340" s="222" t="e">
        <f>AU171/AU245</f>
        <v>#DIV/0!</v>
      </c>
      <c r="AW340" s="222" t="e">
        <f>AW171/AW245</f>
        <v>#DIV/0!</v>
      </c>
      <c r="AX340" s="222" t="e">
        <f>AX171/AX245</f>
        <v>#DIV/0!</v>
      </c>
      <c r="AY340" s="222" t="e">
        <f>AY171/AY245</f>
        <v>#DIV/0!</v>
      </c>
      <c r="AZ340" s="222" t="e">
        <f>AZ171/AZ245</f>
        <v>#DIV/0!</v>
      </c>
      <c r="BB340" s="222" t="e">
        <f>BB171/BB245</f>
        <v>#DIV/0!</v>
      </c>
      <c r="BC340" s="222" t="e">
        <f>BC171/BC245</f>
        <v>#DIV/0!</v>
      </c>
      <c r="BD340" s="222" t="e">
        <f>BD171/BD245</f>
        <v>#DIV/0!</v>
      </c>
      <c r="BE340" s="222" t="e">
        <f>BE171/BE245</f>
        <v>#DIV/0!</v>
      </c>
      <c r="BG340" s="222" t="e">
        <f>BG171/BG245</f>
        <v>#DIV/0!</v>
      </c>
      <c r="BH340" s="222" t="e">
        <f>BH171/BH245</f>
        <v>#DIV/0!</v>
      </c>
      <c r="BI340" s="222" t="e">
        <f>BI171/BI245</f>
        <v>#DIV/0!</v>
      </c>
      <c r="BJ340" s="222" t="e">
        <f>BJ171/BJ245</f>
        <v>#DIV/0!</v>
      </c>
      <c r="BL340" s="222" t="e">
        <f>BL171/BL245</f>
        <v>#DIV/0!</v>
      </c>
      <c r="BM340" s="222" t="e">
        <f>BM171/BM245</f>
        <v>#DIV/0!</v>
      </c>
      <c r="BN340" s="222" t="e">
        <f>BN171/BN245</f>
        <v>#DIV/0!</v>
      </c>
      <c r="BO340" s="222" t="e">
        <f>BO171/BO245</f>
        <v>#DIV/0!</v>
      </c>
      <c r="BQ340" s="222" t="e">
        <f>BQ171/BQ245</f>
        <v>#DIV/0!</v>
      </c>
      <c r="BR340" s="222" t="e">
        <f>BR171/BR245</f>
        <v>#DIV/0!</v>
      </c>
      <c r="BS340" s="222" t="e">
        <f>BS171/BS245</f>
        <v>#DIV/0!</v>
      </c>
      <c r="BT340" s="222" t="e">
        <f>BT171/BT245</f>
        <v>#DIV/0!</v>
      </c>
      <c r="BV340" s="222" t="e">
        <f>BV171/BV245</f>
        <v>#DIV/0!</v>
      </c>
      <c r="BW340" s="222" t="e">
        <f>BW171/BW245</f>
        <v>#DIV/0!</v>
      </c>
      <c r="BX340" s="222" t="e">
        <f>BX171/BX245</f>
        <v>#DIV/0!</v>
      </c>
      <c r="BY340" s="222" t="e">
        <f>BY171/BY245</f>
        <v>#DIV/0!</v>
      </c>
      <c r="CA340" s="222" t="e">
        <f>CA171/CA245</f>
        <v>#DIV/0!</v>
      </c>
      <c r="CB340" s="222" t="e">
        <f>CB171/CB245</f>
        <v>#DIV/0!</v>
      </c>
      <c r="CC340" s="222" t="e">
        <f>CC171/CC245</f>
        <v>#DIV/0!</v>
      </c>
      <c r="CD340" s="222" t="e">
        <f>CD171/CD245</f>
        <v>#DIV/0!</v>
      </c>
      <c r="CF340" s="222" t="e">
        <f>CF171/CF245</f>
        <v>#DIV/0!</v>
      </c>
      <c r="CG340" s="222" t="e">
        <f>CG171/CG245</f>
        <v>#DIV/0!</v>
      </c>
      <c r="CH340" s="222" t="e">
        <f>CH171/CH245</f>
        <v>#DIV/0!</v>
      </c>
      <c r="CI340" s="222" t="e">
        <f>CI171/CI245</f>
        <v>#DIV/0!</v>
      </c>
      <c r="CK340" s="222" t="e">
        <f>CK171/CK245</f>
        <v>#DIV/0!</v>
      </c>
      <c r="CL340" s="222" t="e">
        <f>CL171/CL245</f>
        <v>#DIV/0!</v>
      </c>
      <c r="CM340" s="222" t="e">
        <f>CM171/CM245</f>
        <v>#DIV/0!</v>
      </c>
      <c r="CN340" s="222" t="e">
        <f>CN171/CN245</f>
        <v>#DIV/0!</v>
      </c>
      <c r="CP340" s="222" t="e">
        <f>CP171/CP245</f>
        <v>#DIV/0!</v>
      </c>
      <c r="CQ340" s="222" t="e">
        <f>CQ171/CQ245</f>
        <v>#DIV/0!</v>
      </c>
      <c r="CR340" s="222" t="e">
        <f>CR171/CR245</f>
        <v>#DIV/0!</v>
      </c>
      <c r="CS340" s="222" t="e">
        <f>CS171/CS245</f>
        <v>#DIV/0!</v>
      </c>
      <c r="CU340" s="222" t="e">
        <f>CU171/CU245</f>
        <v>#DIV/0!</v>
      </c>
      <c r="CV340" s="222" t="e">
        <f>CV171/CV245</f>
        <v>#DIV/0!</v>
      </c>
      <c r="CW340" s="222" t="e">
        <f>CW171/CW245</f>
        <v>#DIV/0!</v>
      </c>
      <c r="CX340" s="222" t="e">
        <f>CX171/CX245</f>
        <v>#DIV/0!</v>
      </c>
    </row>
    <row r="341" customFormat="1" s="233">
      <c r="A341" s="224" t="n"/>
      <c r="B341" s="224" t="n"/>
      <c r="C341" s="233" t="inlineStr">
        <is>
          <t>ROE - DUPONT</t>
        </is>
      </c>
      <c r="D341" s="238">
        <f>PRODUCT(D338:D340)</f>
        <v>0.00283745516783174</v>
      </c>
      <c r="E341" s="238">
        <f>PRODUCT(E338:E340)</f>
        <v>0.0377151887846342</v>
      </c>
      <c r="F341" s="238">
        <f>PRODUCT(F338:F340)</f>
        <v>1.32722675505224e-05</v>
      </c>
      <c r="G341" s="238">
        <f>PRODUCT(G338:G340)</f>
        <v>0.000131975922568446</v>
      </c>
      <c r="I341" s="222">
        <f>PRODUCT(I338:I340)</f>
        <v>0.000445339990106332</v>
      </c>
      <c r="J341" s="222">
        <f>PRODUCT(J338:J340)</f>
        <v>0.0018866694760486</v>
      </c>
      <c r="K341" s="222">
        <f>PRODUCT(K338:K340)</f>
        <v>0.00610915993422384</v>
      </c>
      <c r="L341" s="222">
        <f>PRODUCT(L338:L340)</f>
        <v>0.00379396755028208</v>
      </c>
      <c r="N341" s="222">
        <f>PRODUCT(N338:N340)</f>
        <v>0.00489794534649457</v>
      </c>
      <c r="O341" s="222">
        <f>PRODUCT(O338:O340)</f>
        <v>0.0127089746491162</v>
      </c>
      <c r="P341" s="222">
        <f>PRODUCT(P338:P340)</f>
        <v>0.0118568533151297</v>
      </c>
      <c r="Q341" s="222">
        <f>PRODUCT(Q338:Q340)</f>
        <v>0.00446005787839398</v>
      </c>
      <c r="S341" s="222">
        <f>PRODUCT(S338:S340)</f>
        <v>0.005303457872578</v>
      </c>
      <c r="T341" s="222">
        <f>PRODUCT(T338:T340)</f>
        <v>0.00463730102161585</v>
      </c>
      <c r="U341" s="222">
        <f>PRODUCT(U338:U340)</f>
        <v>0.00473697427938983</v>
      </c>
      <c r="V341" s="222">
        <f>PRODUCT(V338:V340)</f>
        <v>0.000667959131581674</v>
      </c>
      <c r="X341" s="222">
        <f>PRODUCT(X338:X340)</f>
        <v>0.00384255276327485</v>
      </c>
      <c r="Y341" s="222">
        <f>PRODUCT(Y338:Y340)</f>
        <v>0.00239689683711285</v>
      </c>
      <c r="Z341" s="222">
        <f>PRODUCT(Z338:Z340)</f>
        <v>0.00253038832555666</v>
      </c>
      <c r="AA341" s="222">
        <f>PRODUCT(AA338:AA340)</f>
        <v>0.00131159055538282</v>
      </c>
      <c r="AC341" s="222">
        <f>PRODUCT(AC338:AC340)</f>
        <v>0.00171441155909175</v>
      </c>
      <c r="AD341" s="222">
        <f>PRODUCT(AD338:AD340)</f>
        <v>0.000939352434293995</v>
      </c>
      <c r="AE341" s="222">
        <f>PRODUCT(AE338:AE340)</f>
        <v>0.00128768236850003</v>
      </c>
      <c r="AF341" s="222">
        <f>PRODUCT(AF338:AF340)</f>
        <v>0.000851800004555308</v>
      </c>
      <c r="AH341" s="222">
        <f>PRODUCT(AH338:AH340)</f>
        <v>0.000530606123124893</v>
      </c>
      <c r="AI341" s="222">
        <f>PRODUCT(AI338:AI340)</f>
        <v>0.0106376017968166</v>
      </c>
      <c r="AJ341" s="222">
        <f>PRODUCT(AJ338:AJ340)</f>
        <v>5.63124375643304e-07</v>
      </c>
      <c r="AK341" s="222">
        <f>PRODUCT(AK338:AK340)</f>
        <v>6.13654875885735e-07</v>
      </c>
      <c r="AM341" s="222" t="e">
        <f>PRODUCT(AM338:AM340)</f>
        <v>#DIV/0!</v>
      </c>
      <c r="AN341" s="222" t="e">
        <f>PRODUCT(AN338:AN340)</f>
        <v>#DIV/0!</v>
      </c>
      <c r="AO341" s="222" t="e">
        <f>PRODUCT(AO338:AO340)</f>
        <v>#DIV/0!</v>
      </c>
      <c r="AP341" s="222" t="e">
        <f>PRODUCT(AP338:AP340)</f>
        <v>#DIV/0!</v>
      </c>
      <c r="AR341" s="222" t="e">
        <f>PRODUCT(AR338:AR340)</f>
        <v>#DIV/0!</v>
      </c>
      <c r="AS341" s="222" t="e">
        <f>PRODUCT(AS338:AS340)</f>
        <v>#DIV/0!</v>
      </c>
      <c r="AT341" s="222" t="e">
        <f>PRODUCT(AT338:AT340)</f>
        <v>#DIV/0!</v>
      </c>
      <c r="AU341" s="222" t="e">
        <f>PRODUCT(AU338:AU340)</f>
        <v>#DIV/0!</v>
      </c>
      <c r="AW341" s="222" t="e">
        <f>PRODUCT(AW338:AW340)</f>
        <v>#DIV/0!</v>
      </c>
      <c r="AX341" s="222" t="e">
        <f>PRODUCT(AX338:AX340)</f>
        <v>#DIV/0!</v>
      </c>
      <c r="AY341" s="222" t="e">
        <f>PRODUCT(AY338:AY340)</f>
        <v>#DIV/0!</v>
      </c>
      <c r="AZ341" s="222" t="e">
        <f>PRODUCT(AZ338:AZ340)</f>
        <v>#DIV/0!</v>
      </c>
      <c r="BB341" s="222" t="e">
        <f>PRODUCT(BB338:BB340)</f>
        <v>#DIV/0!</v>
      </c>
      <c r="BC341" s="222" t="e">
        <f>PRODUCT(BC338:BC340)</f>
        <v>#DIV/0!</v>
      </c>
      <c r="BD341" s="222" t="e">
        <f>PRODUCT(BD338:BD340)</f>
        <v>#DIV/0!</v>
      </c>
      <c r="BE341" s="222" t="e">
        <f>PRODUCT(BE338:BE340)</f>
        <v>#DIV/0!</v>
      </c>
      <c r="BG341" s="222" t="e">
        <f>PRODUCT(BG338:BG340)</f>
        <v>#DIV/0!</v>
      </c>
      <c r="BH341" s="222" t="e">
        <f>PRODUCT(BH338:BH340)</f>
        <v>#DIV/0!</v>
      </c>
      <c r="BI341" s="222" t="e">
        <f>PRODUCT(BI338:BI340)</f>
        <v>#DIV/0!</v>
      </c>
      <c r="BJ341" s="222" t="e">
        <f>PRODUCT(BJ338:BJ340)</f>
        <v>#DIV/0!</v>
      </c>
      <c r="BL341" s="222" t="e">
        <f>PRODUCT(BL338:BL340)</f>
        <v>#DIV/0!</v>
      </c>
      <c r="BM341" s="222" t="e">
        <f>PRODUCT(BM338:BM340)</f>
        <v>#DIV/0!</v>
      </c>
      <c r="BN341" s="222" t="e">
        <f>PRODUCT(BN338:BN340)</f>
        <v>#DIV/0!</v>
      </c>
      <c r="BO341" s="222" t="e">
        <f>PRODUCT(BO338:BO340)</f>
        <v>#DIV/0!</v>
      </c>
      <c r="BQ341" s="222" t="e">
        <f>PRODUCT(BQ338:BQ340)</f>
        <v>#DIV/0!</v>
      </c>
      <c r="BR341" s="222" t="e">
        <f>PRODUCT(BR338:BR340)</f>
        <v>#DIV/0!</v>
      </c>
      <c r="BS341" s="222" t="e">
        <f>PRODUCT(BS338:BS340)</f>
        <v>#DIV/0!</v>
      </c>
      <c r="BT341" s="222" t="e">
        <f>PRODUCT(BT338:BT340)</f>
        <v>#DIV/0!</v>
      </c>
      <c r="BV341" s="222" t="e">
        <f>PRODUCT(BV338:BV340)</f>
        <v>#DIV/0!</v>
      </c>
      <c r="BW341" s="222" t="e">
        <f>PRODUCT(BW338:BW340)</f>
        <v>#DIV/0!</v>
      </c>
      <c r="BX341" s="222" t="e">
        <f>PRODUCT(BX338:BX340)</f>
        <v>#DIV/0!</v>
      </c>
      <c r="BY341" s="222" t="e">
        <f>PRODUCT(BY338:BY340)</f>
        <v>#DIV/0!</v>
      </c>
      <c r="CA341" s="222" t="e">
        <f>PRODUCT(CA338:CA340)</f>
        <v>#DIV/0!</v>
      </c>
      <c r="CB341" s="222" t="e">
        <f>PRODUCT(CB338:CB340)</f>
        <v>#DIV/0!</v>
      </c>
      <c r="CC341" s="222" t="e">
        <f>PRODUCT(CC338:CC340)</f>
        <v>#DIV/0!</v>
      </c>
      <c r="CD341" s="222" t="e">
        <f>PRODUCT(CD338:CD340)</f>
        <v>#DIV/0!</v>
      </c>
      <c r="CF341" s="222" t="e">
        <f>PRODUCT(CF338:CF340)</f>
        <v>#DIV/0!</v>
      </c>
      <c r="CG341" s="222" t="e">
        <f>PRODUCT(CG338:CG340)</f>
        <v>#DIV/0!</v>
      </c>
      <c r="CH341" s="222" t="e">
        <f>PRODUCT(CH338:CH340)</f>
        <v>#DIV/0!</v>
      </c>
      <c r="CI341" s="222" t="e">
        <f>PRODUCT(CI338:CI340)</f>
        <v>#DIV/0!</v>
      </c>
      <c r="CK341" s="222" t="e">
        <f>PRODUCT(CK338:CK340)</f>
        <v>#DIV/0!</v>
      </c>
      <c r="CL341" s="222" t="e">
        <f>PRODUCT(CL338:CL340)</f>
        <v>#DIV/0!</v>
      </c>
      <c r="CM341" s="222" t="e">
        <f>PRODUCT(CM338:CM340)</f>
        <v>#DIV/0!</v>
      </c>
      <c r="CN341" s="222" t="e">
        <f>PRODUCT(CN338:CN340)</f>
        <v>#DIV/0!</v>
      </c>
      <c r="CP341" s="222" t="e">
        <f>PRODUCT(CP338:CP340)</f>
        <v>#DIV/0!</v>
      </c>
      <c r="CQ341" s="222" t="e">
        <f>PRODUCT(CQ338:CQ340)</f>
        <v>#DIV/0!</v>
      </c>
      <c r="CR341" s="222" t="e">
        <f>PRODUCT(CR338:CR340)</f>
        <v>#DIV/0!</v>
      </c>
      <c r="CS341" s="222" t="e">
        <f>PRODUCT(CS338:CS340)</f>
        <v>#DIV/0!</v>
      </c>
      <c r="CU341" s="222" t="e">
        <f>PRODUCT(CU338:CU340)</f>
        <v>#DIV/0!</v>
      </c>
      <c r="CV341" s="222" t="e">
        <f>PRODUCT(CV338:CV340)</f>
        <v>#DIV/0!</v>
      </c>
      <c r="CW341" s="222" t="e">
        <f>PRODUCT(CW338:CW340)</f>
        <v>#DIV/0!</v>
      </c>
      <c r="CX341" s="222" t="e">
        <f>PRODUCT(CX338:CX340)</f>
        <v>#DIV/0!</v>
      </c>
    </row>
    <row r="342" customFormat="1" s="233">
      <c r="A342" s="224" t="n"/>
      <c r="B342" s="224" t="n"/>
      <c r="C342" s="233" t="inlineStr">
        <is>
          <t>ROE</t>
        </is>
      </c>
      <c r="D342" s="238">
        <f>D111/D245</f>
        <v>0.0248354196281933</v>
      </c>
      <c r="E342" s="238">
        <f>E111/E245</f>
        <v>-0.0615391484231988</v>
      </c>
      <c r="F342" s="238">
        <f>F111/F245</f>
        <v>-0.00156773050182523</v>
      </c>
      <c r="G342" s="238">
        <f>G111/G245</f>
        <v>-0.00501032201678646</v>
      </c>
      <c r="I342" s="222">
        <f>I111/I245</f>
        <v>0.0103586017016091</v>
      </c>
      <c r="J342" s="222">
        <f>J111/J245</f>
        <v>0.0230152862722256</v>
      </c>
      <c r="K342" s="222">
        <f>K111/K245</f>
        <v>0.0446965374994514</v>
      </c>
      <c r="L342" s="222">
        <f>L111/L245</f>
        <v>0.0361226239817064</v>
      </c>
      <c r="N342" s="222">
        <f>N111/N245</f>
        <v>0.042549286199864</v>
      </c>
      <c r="O342" s="222">
        <f>O111/O245</f>
        <v>0.0751931263829402</v>
      </c>
      <c r="P342" s="222">
        <f>P111/P245</f>
        <v>0.0703577715549374</v>
      </c>
      <c r="Q342" s="222">
        <f>Q111/Q245</f>
        <v>0.0396462849939467</v>
      </c>
      <c r="S342" s="222">
        <f>S111/S245</f>
        <v>0.0409763516461598</v>
      </c>
      <c r="T342" s="222">
        <f>T111/T245</f>
        <v>0.037728031739256</v>
      </c>
      <c r="U342" s="222">
        <f>U111/U245</f>
        <v>0.0392546075742265</v>
      </c>
      <c r="V342" s="222">
        <f>V111/V245</f>
        <v>0.0139505585781423</v>
      </c>
      <c r="X342" s="222">
        <f>X111/X245</f>
        <v>0.0340290493393379</v>
      </c>
      <c r="Y342" s="222">
        <f>Y111/Y245</f>
        <v>0.0276670223320417</v>
      </c>
      <c r="Z342" s="222">
        <f>Z111/Z245</f>
        <v>0.0285741578042412</v>
      </c>
      <c r="AA342" s="222">
        <f>AA111/AA245</f>
        <v>0.0211482335120171</v>
      </c>
      <c r="AC342" s="222">
        <f>AC111/AC245</f>
        <v>0.0233208955223881</v>
      </c>
      <c r="AD342" s="222">
        <f>AD111/AD245</f>
        <v>0.0169090983172391</v>
      </c>
      <c r="AE342" s="222">
        <f>AE111/AE245</f>
        <v>0.0180930470347648</v>
      </c>
      <c r="AF342" s="222">
        <f>AF111/AF245</f>
        <v>0.0144138706185996</v>
      </c>
      <c r="AH342" s="222">
        <f>AH111/AH245</f>
        <v>0.0116702134962587</v>
      </c>
      <c r="AI342" s="222">
        <f>AI111/AI245</f>
        <v>0.0617310465437364</v>
      </c>
      <c r="AJ342" s="222">
        <f>AJ111/AJ245</f>
        <v>-0.00037840436085458</v>
      </c>
      <c r="AK342" s="222">
        <f>AK111/AK245</f>
        <v>-0.000383517933298561</v>
      </c>
      <c r="AM342" s="222">
        <f>AM111/AM245</f>
        <v>-0.000424426512850408</v>
      </c>
      <c r="AN342" s="222">
        <f>AN111/AN245</f>
        <v>-0.000726127287045276</v>
      </c>
      <c r="AO342" s="222">
        <f>AO111/AO245</f>
        <v>-0.00037840436085458</v>
      </c>
      <c r="AP342" s="222">
        <f>AP111/AP245</f>
        <v>-0.000383517933298561</v>
      </c>
      <c r="AR342" s="222">
        <f>AR111/AR245</f>
        <v>-0.000424426512850408</v>
      </c>
      <c r="AS342" s="222">
        <f>AS111/AS245</f>
        <v>-0.000726127287045276</v>
      </c>
      <c r="AT342" s="222">
        <f>AT111/AT245</f>
        <v>-0.00037840436085458</v>
      </c>
      <c r="AU342" s="222">
        <f>AU111/AU245</f>
        <v>-0.000383517933298561</v>
      </c>
      <c r="AW342" s="222">
        <f>AW111/AW245</f>
        <v>-0.000424426512850408</v>
      </c>
      <c r="AX342" s="222">
        <f>AX111/AX245</f>
        <v>-0.000726127287045276</v>
      </c>
      <c r="AY342" s="222">
        <f>AY111/AY245</f>
        <v>-0.00037840436085458</v>
      </c>
      <c r="AZ342" s="222">
        <f>AZ111/AZ245</f>
        <v>-0.000383517933298561</v>
      </c>
      <c r="BB342" s="222">
        <f>BB111/BB245</f>
        <v>-0.000424426512850408</v>
      </c>
      <c r="BC342" s="222">
        <f>BC111/BC245</f>
        <v>-0.000726127287045276</v>
      </c>
      <c r="BD342" s="222">
        <f>BD111/BD245</f>
        <v>-0.00037840436085458</v>
      </c>
      <c r="BE342" s="222">
        <f>BE111/BE245</f>
        <v>-0.000383517933298561</v>
      </c>
      <c r="BG342" s="222">
        <f>BG111/BG245</f>
        <v>-0.000424426512850408</v>
      </c>
      <c r="BH342" s="222">
        <f>BH111/BH245</f>
        <v>-0.000726127287045276</v>
      </c>
      <c r="BI342" s="222">
        <f>BI111/BI245</f>
        <v>-0.00037840436085458</v>
      </c>
      <c r="BJ342" s="222">
        <f>BJ111/BJ245</f>
        <v>-0.000383517933298561</v>
      </c>
      <c r="BL342" s="222">
        <f>BL111/BL245</f>
        <v>-0.000424426512850408</v>
      </c>
      <c r="BM342" s="222">
        <f>BM111/BM245</f>
        <v>-0.000726127287045276</v>
      </c>
      <c r="BN342" s="222">
        <f>BN111/BN245</f>
        <v>-0.00037840436085458</v>
      </c>
      <c r="BO342" s="222">
        <f>BO111/BO245</f>
        <v>-0.000383517933298561</v>
      </c>
      <c r="BQ342" s="222">
        <f>BQ111/BQ245</f>
        <v>-0.000424426512850408</v>
      </c>
      <c r="BR342" s="222">
        <f>BR111/BR245</f>
        <v>-0.000726127287045276</v>
      </c>
      <c r="BS342" s="222">
        <f>BS111/BS245</f>
        <v>-0.00037840436085458</v>
      </c>
      <c r="BT342" s="222">
        <f>BT111/BT245</f>
        <v>-0.000383517933298561</v>
      </c>
      <c r="BV342" s="222">
        <f>BV111/BV245</f>
        <v>-0.000424426512850408</v>
      </c>
      <c r="BW342" s="222">
        <f>BW111/BW245</f>
        <v>-0.000726127287045276</v>
      </c>
      <c r="BX342" s="222">
        <f>BX111/BX245</f>
        <v>-0.00037840436085458</v>
      </c>
      <c r="BY342" s="222">
        <f>BY111/BY245</f>
        <v>-0.000383517933298561</v>
      </c>
      <c r="CA342" s="222">
        <f>CA111/CA245</f>
        <v>-0.000424426512850408</v>
      </c>
      <c r="CB342" s="222">
        <f>CB111/CB245</f>
        <v>-0.000726127287045276</v>
      </c>
      <c r="CC342" s="222">
        <f>CC111/CC245</f>
        <v>-0.00037840436085458</v>
      </c>
      <c r="CD342" s="222">
        <f>CD111/CD245</f>
        <v>-0.000383517933298561</v>
      </c>
      <c r="CF342" s="222">
        <f>CF111/CF245</f>
        <v>-0.000424426512850408</v>
      </c>
      <c r="CG342" s="222">
        <f>CG111/CG245</f>
        <v>-0.000726127287045276</v>
      </c>
      <c r="CH342" s="222">
        <f>CH111/CH245</f>
        <v>-0.00037840436085458</v>
      </c>
      <c r="CI342" s="222">
        <f>CI111/CI245</f>
        <v>-0.000383517933298561</v>
      </c>
      <c r="CK342" s="222">
        <f>CK111/CK245</f>
        <v>-0.000424426512850408</v>
      </c>
      <c r="CL342" s="222">
        <f>CL111/CL245</f>
        <v>-0.000726127287045276</v>
      </c>
      <c r="CM342" s="222">
        <f>CM111/CM245</f>
        <v>-0.00037840436085458</v>
      </c>
      <c r="CN342" s="222">
        <f>CN111/CN245</f>
        <v>-0.000383517933298561</v>
      </c>
      <c r="CP342" s="222">
        <f>CP111/CP245</f>
        <v>-0.000424426512850408</v>
      </c>
      <c r="CQ342" s="222">
        <f>CQ111/CQ245</f>
        <v>-0.000726127287045276</v>
      </c>
      <c r="CR342" s="222">
        <f>CR111/CR245</f>
        <v>-0.00037840436085458</v>
      </c>
      <c r="CS342" s="222">
        <f>CS111/CS245</f>
        <v>-0.000383517933298561</v>
      </c>
      <c r="CU342" s="222">
        <f>CU111/CU245</f>
        <v>-0.000424426512850408</v>
      </c>
      <c r="CV342" s="222">
        <f>CV111/CV245</f>
        <v>-0.000726127287045276</v>
      </c>
      <c r="CW342" s="222">
        <f>CW111/CW245</f>
        <v>-0.00037840436085458</v>
      </c>
      <c r="CX342" s="222">
        <f>CX111/CX245</f>
        <v>-0.000383517933298561</v>
      </c>
    </row>
    <row r="344">
      <c r="C344" s="53" t="inlineStr">
        <is>
          <t>Scenario Analysis</t>
        </is>
      </c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  <c r="AJ344" s="53" t="n"/>
      <c r="AK344" s="53" t="n"/>
      <c r="AL344" s="53" t="n"/>
      <c r="AM344" s="53" t="n"/>
      <c r="AN344" s="53" t="n"/>
      <c r="AO344" s="53" t="n"/>
      <c r="AP344" s="53" t="n"/>
      <c r="AQ344" s="53" t="n"/>
      <c r="AR344" s="53" t="n"/>
      <c r="AS344" s="53" t="n"/>
      <c r="AT344" s="53" t="n"/>
      <c r="AU344" s="53" t="n"/>
      <c r="AV344" s="53" t="n"/>
      <c r="AW344" s="53" t="n"/>
      <c r="AX344" s="53" t="n"/>
      <c r="AY344" s="53" t="n"/>
      <c r="AZ344" s="53" t="n"/>
      <c r="BA344" s="53" t="n"/>
      <c r="BB344" s="53" t="n"/>
      <c r="BC344" s="53" t="n"/>
      <c r="BD344" s="53" t="n"/>
      <c r="BE344" s="53" t="n"/>
      <c r="BF344" s="53" t="n"/>
      <c r="BG344" s="53" t="n"/>
      <c r="BH344" s="53" t="n"/>
      <c r="BI344" s="53" t="n"/>
      <c r="BJ344" s="53" t="n"/>
      <c r="BK344" s="53" t="n"/>
      <c r="BL344" s="53" t="n"/>
      <c r="BM344" s="53" t="n"/>
      <c r="BN344" s="53" t="n"/>
      <c r="BO344" s="53" t="n"/>
      <c r="BP344" s="53" t="n"/>
      <c r="BQ344" s="53" t="n"/>
      <c r="BR344" s="53" t="n"/>
      <c r="BS344" s="53" t="n"/>
      <c r="BT344" s="53" t="n"/>
      <c r="BU344" s="53" t="n"/>
      <c r="BV344" s="53" t="n"/>
      <c r="BW344" s="53" t="n"/>
      <c r="BX344" s="53" t="n"/>
      <c r="BY344" s="53" t="n"/>
      <c r="BZ344" s="53" t="n"/>
      <c r="CA344" s="53" t="n"/>
      <c r="CB344" s="53" t="n"/>
      <c r="CC344" s="53" t="n"/>
      <c r="CD344" s="53" t="n"/>
      <c r="CE344" s="53" t="n"/>
      <c r="CF344" s="53" t="n"/>
      <c r="CG344" s="53" t="n"/>
      <c r="CH344" s="53" t="n"/>
      <c r="CI344" s="53" t="n"/>
      <c r="CJ344" s="53" t="n"/>
      <c r="CK344" s="53" t="n"/>
      <c r="CL344" s="53" t="n"/>
      <c r="CM344" s="53" t="n"/>
      <c r="CN344" s="53" t="n"/>
      <c r="CO344" s="53" t="n"/>
      <c r="CP344" s="53" t="n"/>
      <c r="CQ344" s="53" t="n"/>
      <c r="CR344" s="53" t="n"/>
      <c r="CS344" s="53" t="n"/>
      <c r="CT344" s="53" t="n"/>
      <c r="CU344" s="53" t="n"/>
      <c r="CV344" s="53" t="n"/>
      <c r="CW344" s="53" t="n"/>
      <c r="CX344" s="53" t="n"/>
      <c r="CY344" s="53" t="n"/>
    </row>
    <row r="347">
      <c r="C347" s="4" t="inlineStr">
        <is>
          <t>Bull case</t>
        </is>
      </c>
    </row>
    <row r="348">
      <c r="C348" s="4" t="inlineStr">
        <is>
          <t>Base case</t>
        </is>
      </c>
    </row>
    <row r="349">
      <c r="C349" s="4" t="inlineStr">
        <is>
          <t>Bear case</t>
        </is>
      </c>
    </row>
    <row r="352">
      <c r="C352" s="4" t="inlineStr">
        <is>
          <t>Bull case</t>
        </is>
      </c>
    </row>
    <row r="353">
      <c r="C353" s="4" t="inlineStr">
        <is>
          <t>Base case</t>
        </is>
      </c>
    </row>
    <row r="354">
      <c r="C354" s="4" t="inlineStr">
        <is>
          <t>Bear case</t>
        </is>
      </c>
    </row>
    <row r="357">
      <c r="C357" s="4" t="inlineStr">
        <is>
          <t>% Gross Margin</t>
        </is>
      </c>
    </row>
    <row r="358">
      <c r="C358" s="4" t="inlineStr">
        <is>
          <t>Bull case</t>
        </is>
      </c>
    </row>
    <row r="359">
      <c r="C359" s="4" t="inlineStr">
        <is>
          <t>Base case</t>
        </is>
      </c>
    </row>
    <row r="360">
      <c r="C360" s="4" t="inlineStr">
        <is>
          <t>Bear case</t>
        </is>
      </c>
    </row>
    <row r="363">
      <c r="C363" s="4" t="inlineStr">
        <is>
          <t>Capital expenditures</t>
        </is>
      </c>
    </row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9:G289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9:L289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9:Q289">
    <cfRule type="cellIs" priority="44" operator="notEqual" dxfId="0">
      <formula>0</formula>
    </cfRule>
  </conditionalFormatting>
  <conditionalFormatting sqref="S289:V289">
    <cfRule type="cellIs" priority="43" operator="notEqual" dxfId="0">
      <formula>0</formula>
    </cfRule>
  </conditionalFormatting>
  <conditionalFormatting sqref="X289:AA289">
    <cfRule type="cellIs" priority="42" operator="notEqual" dxfId="0">
      <formula>0</formula>
    </cfRule>
  </conditionalFormatting>
  <conditionalFormatting sqref="AC289:AF289">
    <cfRule type="cellIs" priority="41" operator="notEqual" dxfId="0">
      <formula>0</formula>
    </cfRule>
  </conditionalFormatting>
  <conditionalFormatting sqref="AH289:AK289">
    <cfRule type="cellIs" priority="14" operator="notEqual" dxfId="0">
      <formula>0</formula>
    </cfRule>
  </conditionalFormatting>
  <conditionalFormatting sqref="AM289:AP289">
    <cfRule type="cellIs" priority="13" operator="notEqual" dxfId="0">
      <formula>0</formula>
    </cfRule>
  </conditionalFormatting>
  <conditionalFormatting sqref="AR289:AU289">
    <cfRule type="cellIs" priority="12" operator="notEqual" dxfId="0">
      <formula>0</formula>
    </cfRule>
  </conditionalFormatting>
  <conditionalFormatting sqref="AW289:AZ289">
    <cfRule type="cellIs" priority="11" operator="notEqual" dxfId="0">
      <formula>0</formula>
    </cfRule>
  </conditionalFormatting>
  <conditionalFormatting sqref="BB289:BE289">
    <cfRule type="cellIs" priority="10" operator="notEqual" dxfId="0">
      <formula>0</formula>
    </cfRule>
  </conditionalFormatting>
  <conditionalFormatting sqref="BG289:BJ289">
    <cfRule type="cellIs" priority="9" operator="notEqual" dxfId="0">
      <formula>0</formula>
    </cfRule>
  </conditionalFormatting>
  <conditionalFormatting sqref="BL289:BO289">
    <cfRule type="cellIs" priority="8" operator="notEqual" dxfId="0">
      <formula>0</formula>
    </cfRule>
  </conditionalFormatting>
  <conditionalFormatting sqref="BQ289:BT289">
    <cfRule type="cellIs" priority="7" operator="notEqual" dxfId="0">
      <formula>0</formula>
    </cfRule>
  </conditionalFormatting>
  <conditionalFormatting sqref="BV289:BY289">
    <cfRule type="cellIs" priority="6" operator="notEqual" dxfId="0">
      <formula>0</formula>
    </cfRule>
  </conditionalFormatting>
  <conditionalFormatting sqref="CA289:CD289">
    <cfRule type="cellIs" priority="5" operator="notEqual" dxfId="0">
      <formula>0</formula>
    </cfRule>
  </conditionalFormatting>
  <conditionalFormatting sqref="CF289:CI289">
    <cfRule type="cellIs" priority="4" operator="notEqual" dxfId="0">
      <formula>0</formula>
    </cfRule>
  </conditionalFormatting>
  <conditionalFormatting sqref="CK289:CN289">
    <cfRule type="cellIs" priority="3" operator="notEqual" dxfId="0">
      <formula>0</formula>
    </cfRule>
  </conditionalFormatting>
  <conditionalFormatting sqref="CP289:CS289">
    <cfRule type="cellIs" priority="2" operator="notEqual" dxfId="0">
      <formula>0</formula>
    </cfRule>
  </conditionalFormatting>
  <conditionalFormatting sqref="CU289:CX289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200949</v>
      </c>
      <c r="E18" s="83">
        <f>Model!AB15</f>
        <v>202792</v>
      </c>
      <c r="F18" s="83">
        <f>Model!AG15</f>
        <v>189031</v>
      </c>
      <c r="G18" s="83">
        <f>Model!AL15</f>
        <v>215261</v>
      </c>
      <c r="H18" s="83">
        <f>Model!AQ15</f>
        <v>215261</v>
      </c>
      <c r="I18" s="83">
        <f>Model!AV15</f>
        <v>215261</v>
      </c>
      <c r="J18" s="83">
        <f>Model!BA15</f>
        <v>215261</v>
      </c>
      <c r="K18" s="83">
        <f>Model!BF15</f>
        <v>215261</v>
      </c>
      <c r="L18" s="83">
        <f>Model!BK15</f>
        <v>215261</v>
      </c>
      <c r="M18" s="83">
        <f>Model!BP15</f>
        <v>215261</v>
      </c>
      <c r="N18" s="83">
        <f>Model!BU15</f>
        <v>215261</v>
      </c>
      <c r="O18" s="83">
        <f>Model!BZ15</f>
        <v>215261</v>
      </c>
      <c r="P18" s="83">
        <f>Model!CE15</f>
        <v>215261</v>
      </c>
      <c r="Q18" s="83">
        <f>Model!CJ15</f>
        <v>215261</v>
      </c>
      <c r="R18" s="83">
        <f>Model!CO15</f>
        <v>215261</v>
      </c>
      <c r="S18" s="83" t="n"/>
      <c r="T18" s="83" t="n"/>
      <c r="U18" s="83" t="n"/>
      <c r="V18" s="84" t="n"/>
      <c r="X18" s="85">
        <f>((L18/F18)^(1/6))-1</f>
        <v>0.0218929122591056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0.00917148132113121</v>
      </c>
      <c r="F19" s="87">
        <f>F18/E18-1</f>
        <v>-0.0678577064183992</v>
      </c>
      <c r="G19" s="87">
        <f>G18/F18-1</f>
        <v>0.138760309155641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Model!W43</f>
        <v>47379</v>
      </c>
      <c r="E20" s="83">
        <f>Model!AB43</f>
        <v>45382</v>
      </c>
      <c r="F20" s="83">
        <f>Model!AG43</f>
        <v>41092</v>
      </c>
      <c r="G20" s="83">
        <f>Model!AL43</f>
        <v>33217</v>
      </c>
      <c r="H20" s="83">
        <f>Model!AQ43</f>
        <v>0</v>
      </c>
      <c r="I20" s="83">
        <f>Model!BA43</f>
        <v>0</v>
      </c>
      <c r="J20" s="83">
        <f>Model!BA43</f>
        <v>0</v>
      </c>
      <c r="K20" s="83">
        <f>Model!BF43</f>
        <v>0</v>
      </c>
      <c r="L20" s="83">
        <f>Model!BK43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0.235776241732977</v>
      </c>
      <c r="E21" s="92">
        <f>E20/E18</f>
        <v>0.223785948163636</v>
      </c>
      <c r="F21" s="92">
        <f>F20/F18</f>
        <v>0.21738233411451</v>
      </c>
      <c r="G21" s="92">
        <f>G20/G18</f>
        <v>0.154310348832348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Model!W47</f>
        <v>30053</v>
      </c>
      <c r="E22" s="83">
        <f>Model!AB47</f>
        <v>28100</v>
      </c>
      <c r="F22" s="83">
        <f>Model!AG47</f>
        <v>20960</v>
      </c>
      <c r="G22" s="83">
        <f>Model!AL47</f>
        <v>21327</v>
      </c>
      <c r="H22" s="83">
        <f>Model!AQ47</f>
        <v>0</v>
      </c>
      <c r="I22" s="83">
        <f>Model!AV47</f>
        <v>0</v>
      </c>
      <c r="J22" s="83">
        <f>Model!BA47</f>
        <v>0</v>
      </c>
      <c r="K22" s="83">
        <f>Model!BF47</f>
        <v>0</v>
      </c>
      <c r="L22" s="83">
        <f>Model!BK47</f>
        <v>0</v>
      </c>
      <c r="M22" s="83">
        <f>Model!BP47</f>
        <v>0</v>
      </c>
      <c r="N22" s="83">
        <f>Model!BU47</f>
        <v>0</v>
      </c>
      <c r="O22" s="83">
        <f>Model!BZ47</f>
        <v>0</v>
      </c>
      <c r="P22" s="83">
        <f>Model!CE47</f>
        <v>0</v>
      </c>
      <c r="Q22" s="83">
        <f>Model!CJ47</f>
        <v>0</v>
      </c>
      <c r="R22" s="83">
        <f>Model!CO47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0.149555359817665</v>
      </c>
      <c r="E23" s="92">
        <f>E22/E18</f>
        <v>0.138565623890489</v>
      </c>
      <c r="F23" s="92">
        <f>F22/F18</f>
        <v>0.110881284022197</v>
      </c>
      <c r="G23" s="92">
        <f>G22/G18</f>
        <v>0.0990750763027209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Model!W106</f>
        <v>0.276264196863169</v>
      </c>
      <c r="E24" s="95">
        <f>Model!AB106</f>
        <v>0.354722605976878</v>
      </c>
      <c r="F24" s="95">
        <f>Model!AG106</f>
        <v>0.367623967988654</v>
      </c>
      <c r="G24" s="95">
        <f>Model!AL106</f>
        <v>0.296800775569559</v>
      </c>
      <c r="H24" s="95" t="e">
        <f>Model!AQ106</f>
        <v>#DIV/0!</v>
      </c>
      <c r="I24" s="95" t="e">
        <f>Model!AV106</f>
        <v>#DIV/0!</v>
      </c>
      <c r="J24" s="95" t="e">
        <f>Model!BA106</f>
        <v>#DIV/0!</v>
      </c>
      <c r="K24" s="95" t="e">
        <f>Model!BF106</f>
        <v>#DIV/0!</v>
      </c>
      <c r="L24" s="95" t="e">
        <f>Model!BK106</f>
        <v>#DIV/0!</v>
      </c>
      <c r="M24" s="95" t="e">
        <f>Model!BP106</f>
        <v>#DIV/0!</v>
      </c>
      <c r="N24" s="95" t="e">
        <f>Model!BU106</f>
        <v>#DIV/0!</v>
      </c>
      <c r="O24" s="95" t="e">
        <f>Model!BZ106</f>
        <v>#DIV/0!</v>
      </c>
      <c r="P24" s="95" t="e">
        <f>Model!CE106</f>
        <v>#DIV/0!</v>
      </c>
      <c r="Q24" s="95" t="e">
        <f>Model!CJ106</f>
        <v>#DIV/0!</v>
      </c>
      <c r="R24" s="95" t="e">
        <f>Model!CO106</f>
        <v>#DIV/0!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21750.4320916712</v>
      </c>
      <c r="E25" s="97">
        <f>E22*(1-E24)</f>
        <v>18132.2947720497</v>
      </c>
      <c r="F25" s="97">
        <f>F22*(1-F24)</f>
        <v>13254.6016309578</v>
      </c>
      <c r="G25" s="97">
        <f>G22*(1-G24)</f>
        <v>14997.129859428</v>
      </c>
      <c r="H25" s="97" t="e">
        <f>H22*(1-H24)</f>
        <v>#DIV/0!</v>
      </c>
      <c r="I25" s="97" t="e">
        <f>I22*(1-I24)</f>
        <v>#DIV/0!</v>
      </c>
      <c r="J25" s="97" t="e">
        <f>J22*(1-J24)</f>
        <v>#DIV/0!</v>
      </c>
      <c r="K25" s="97" t="e">
        <f>K22*(1-K24)</f>
        <v>#DIV/0!</v>
      </c>
      <c r="L25" s="97" t="e">
        <f>L22*(1-L24)</f>
        <v>#DIV/0!</v>
      </c>
      <c r="M25" s="97" t="e">
        <f>M22*(1-M24)</f>
        <v>#DIV/0!</v>
      </c>
      <c r="N25" s="97" t="e">
        <f>N22*(1-N24)</f>
        <v>#DIV/0!</v>
      </c>
      <c r="O25" s="97" t="e">
        <f>O22*(1-O24)</f>
        <v>#DIV/0!</v>
      </c>
      <c r="P25" s="97" t="e">
        <f>P22*(1-P24)</f>
        <v>#DIV/0!</v>
      </c>
      <c r="Q25" s="97" t="e">
        <f>Q22*(1-Q24)</f>
        <v>#DIV/0!</v>
      </c>
      <c r="R25" s="97" t="e">
        <f>R22*(1-R24)</f>
        <v>#DIV/0!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Model!W44</f>
        <v>-17326</v>
      </c>
      <c r="E26" s="100">
        <f>Model!AB44</f>
        <v>-17282</v>
      </c>
      <c r="F26" s="100">
        <f>Model!AG44</f>
        <v>-20132</v>
      </c>
      <c r="G26" s="100">
        <f>Model!AL44</f>
        <v>-11890</v>
      </c>
      <c r="H26" s="100">
        <f>Model!AQ44</f>
        <v>0</v>
      </c>
      <c r="I26" s="100">
        <f>Model!AV44</f>
        <v>0</v>
      </c>
      <c r="J26" s="100">
        <f>Model!BA44</f>
        <v>0</v>
      </c>
      <c r="K26" s="100">
        <f>Model!BF44</f>
        <v>0</v>
      </c>
      <c r="L26" s="101">
        <f>Model!BK44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98</v>
      </c>
      <c r="E27" s="103">
        <f>SUM(E28:E39)</f>
        <v>-9292</v>
      </c>
      <c r="F27" s="103">
        <f>SUM(F28:F39)</f>
        <v>36330</v>
      </c>
      <c r="G27" s="103">
        <f>SUM(G28:G39)</f>
        <v>-19486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Model!W254</f>
        <v>535</v>
      </c>
      <c r="E28" s="106">
        <f>Model!AB254</f>
        <v>-763</v>
      </c>
      <c r="F28" s="106">
        <f>Model!AG254</f>
        <v>2609</v>
      </c>
      <c r="G28" s="106">
        <f>Model!AL254</f>
        <v>18075</v>
      </c>
      <c r="H28" s="106">
        <f>Model!AQ254</f>
        <v>0</v>
      </c>
      <c r="I28" s="106">
        <f>Model!AV254</f>
        <v>0</v>
      </c>
      <c r="J28" s="106">
        <f>Model!BA254</f>
        <v>0</v>
      </c>
      <c r="K28" s="106">
        <f>Model!BF254</f>
        <v>0</v>
      </c>
      <c r="L28" s="107">
        <f>Model!BK254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Model!W255</f>
        <v>0</v>
      </c>
      <c r="E29" s="106">
        <f>Model!AB255</f>
        <v>0</v>
      </c>
      <c r="F29" s="106">
        <f>Model!AG255</f>
        <v>0</v>
      </c>
      <c r="G29" s="106">
        <f>Model!AL255</f>
        <v>0</v>
      </c>
      <c r="H29" s="106">
        <f>Model!AQ255</f>
        <v>0</v>
      </c>
      <c r="I29" s="106">
        <f>Model!AV255</f>
        <v>0</v>
      </c>
      <c r="J29" s="106">
        <f>Model!BA255</f>
        <v>0</v>
      </c>
      <c r="K29" s="106">
        <f>Model!BF255</f>
        <v>0</v>
      </c>
      <c r="L29" s="107">
        <f>Model!BK255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Model!W256</f>
        <v>0</v>
      </c>
      <c r="E30" s="106">
        <f>Model!AB256</f>
        <v>0</v>
      </c>
      <c r="F30" s="106">
        <f>Model!AG256</f>
        <v>0</v>
      </c>
      <c r="G30" s="106">
        <f>Model!AL256</f>
        <v>0</v>
      </c>
      <c r="H30" s="106">
        <f>Model!AQ256</f>
        <v>0</v>
      </c>
      <c r="I30" s="106">
        <f>Model!AV256</f>
        <v>0</v>
      </c>
      <c r="J30" s="106">
        <f>Model!BA256</f>
        <v>0</v>
      </c>
      <c r="K30" s="106">
        <f>Model!BF256</f>
        <v>0</v>
      </c>
      <c r="L30" s="107">
        <f>Model!BK256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Model!W257</f>
        <v>-633</v>
      </c>
      <c r="E31" s="106">
        <f>Model!AB257</f>
        <v>4</v>
      </c>
      <c r="F31" s="106">
        <f>Model!AG257</f>
        <v>-101</v>
      </c>
      <c r="G31" s="106">
        <f>Model!AL257</f>
        <v>-1040</v>
      </c>
      <c r="H31" s="106">
        <f>Model!AQ257</f>
        <v>0</v>
      </c>
      <c r="I31" s="106">
        <f>Model!AV257</f>
        <v>0</v>
      </c>
      <c r="J31" s="106">
        <f>Model!BA257</f>
        <v>0</v>
      </c>
      <c r="K31" s="106">
        <f>Model!BF257</f>
        <v>0</v>
      </c>
      <c r="L31" s="107">
        <f>Model!BK257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Model!W258</f>
        <v>-365</v>
      </c>
      <c r="E32" s="106">
        <f>Model!AB258</f>
        <v>-7247</v>
      </c>
      <c r="F32" s="106">
        <f>Model!AG258</f>
        <v>-149</v>
      </c>
      <c r="G32" s="106">
        <f>Model!AL258</f>
        <v>-3044</v>
      </c>
      <c r="H32" s="106">
        <f>Model!AQ258</f>
        <v>0</v>
      </c>
      <c r="I32" s="106">
        <f>Model!AV258</f>
        <v>0</v>
      </c>
      <c r="J32" s="106">
        <f>Model!BA258</f>
        <v>0</v>
      </c>
      <c r="K32" s="106">
        <f>Model!BF258</f>
        <v>0</v>
      </c>
      <c r="L32" s="107">
        <f>Model!BK258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Model!W259</f>
        <v>1468</v>
      </c>
      <c r="E33" s="106">
        <f>Model!AB259</f>
        <v>1656</v>
      </c>
      <c r="F33" s="106">
        <f>Model!AG259</f>
        <v>-2799</v>
      </c>
      <c r="G33" s="106">
        <f>Model!AL259</f>
        <v>-19280</v>
      </c>
      <c r="H33" s="106">
        <f>Model!AQ259</f>
        <v>0</v>
      </c>
      <c r="I33" s="106">
        <f>Model!AV259</f>
        <v>0</v>
      </c>
      <c r="J33" s="106">
        <f>Model!BA259</f>
        <v>0</v>
      </c>
      <c r="K33" s="106">
        <f>Model!BF259</f>
        <v>0</v>
      </c>
      <c r="L33" s="107">
        <f>Model!BK259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Model!W260</f>
        <v>169</v>
      </c>
      <c r="E34" s="106">
        <f>Model!AB260</f>
        <v>831</v>
      </c>
      <c r="F34" s="106">
        <f>Model!AG260</f>
        <v>2277</v>
      </c>
      <c r="G34" s="106">
        <f>Model!AL260</f>
        <v>-10763</v>
      </c>
      <c r="H34" s="106" t="e">
        <f>Model!AQ260</f>
        <v>#DIV/0!</v>
      </c>
      <c r="I34" s="106" t="e">
        <f>Model!AV260</f>
        <v>#DIV/0!</v>
      </c>
      <c r="J34" s="106" t="e">
        <f>Model!BA260</f>
        <v>#DIV/0!</v>
      </c>
      <c r="K34" s="106" t="e">
        <f>Model!BF260</f>
        <v>#DIV/0!</v>
      </c>
      <c r="L34" s="107" t="e">
        <f>Model!BK260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Model!W261</f>
        <v>-2518</v>
      </c>
      <c r="E35" s="106">
        <f>Model!AB261</f>
        <v>9</v>
      </c>
      <c r="F35" s="106">
        <f>Model!AG261</f>
        <v>-1028</v>
      </c>
      <c r="G35" s="106">
        <f>Model!AL261</f>
        <v>-844</v>
      </c>
      <c r="H35" s="106" t="e">
        <f>Model!AQ261</f>
        <v>#DIV/0!</v>
      </c>
      <c r="I35" s="106" t="e">
        <f>Model!AV261</f>
        <v>#DIV/0!</v>
      </c>
      <c r="J35" s="106" t="e">
        <f>Model!BA261</f>
        <v>#DIV/0!</v>
      </c>
      <c r="K35" s="106" t="e">
        <f>Model!BF261</f>
        <v>#DIV/0!</v>
      </c>
      <c r="L35" s="107" t="e">
        <f>Model!BK261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Model!W262</f>
        <v>366</v>
      </c>
      <c r="E36" s="106">
        <f>Model!AB262</f>
        <v>-73</v>
      </c>
      <c r="F36" s="106">
        <f>Model!AG262</f>
        <v>-192</v>
      </c>
      <c r="G36" s="106">
        <f>Model!AL262</f>
        <v>-146</v>
      </c>
      <c r="H36" s="106">
        <f>Model!AQ262</f>
        <v>0</v>
      </c>
      <c r="I36" s="106">
        <f>Model!AV262</f>
        <v>0</v>
      </c>
      <c r="J36" s="106">
        <f>Model!BA262</f>
        <v>0</v>
      </c>
      <c r="K36" s="106">
        <f>Model!BF262</f>
        <v>0</v>
      </c>
      <c r="L36" s="107">
        <f>Model!BK262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Model!W263</f>
        <v>1699</v>
      </c>
      <c r="E37" s="106">
        <f>Model!AB263</f>
        <v>307</v>
      </c>
      <c r="F37" s="106">
        <f>Model!AG263</f>
        <v>10877</v>
      </c>
      <c r="G37" s="106">
        <f>Model!AL263</f>
        <v>324</v>
      </c>
      <c r="H37" s="106">
        <f>Model!AQ263</f>
        <v>0</v>
      </c>
      <c r="I37" s="106">
        <f>Model!AV263</f>
        <v>0</v>
      </c>
      <c r="J37" s="106">
        <f>Model!BA263</f>
        <v>0</v>
      </c>
      <c r="K37" s="106">
        <f>Model!BF263</f>
        <v>0</v>
      </c>
      <c r="L37" s="107">
        <f>Model!BK263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(Model!W163-Model!R163)*-1</f>
        <v>-3110</v>
      </c>
      <c r="E38" s="106">
        <f>(Model!AB163-Model!W163)*-1</f>
        <v>-1487</v>
      </c>
      <c r="F38" s="106">
        <f>(Model!AG163-Model!AB163)*-1</f>
        <v>2487</v>
      </c>
      <c r="G38" s="106">
        <f>(Model!AL163-Model!AG163)*-1</f>
        <v>669</v>
      </c>
      <c r="H38" s="106">
        <f>(Model!AQ163-Model!AL163)*-1</f>
        <v>0</v>
      </c>
      <c r="I38" s="106">
        <f>(Model!AV163-Model!AQ163)*-1</f>
        <v>0</v>
      </c>
      <c r="J38" s="106">
        <f>(Model!BA163-Model!AV163)*-1</f>
        <v>0</v>
      </c>
      <c r="K38" s="106">
        <f>(Model!BF163-Model!BA163)*-1</f>
        <v>0</v>
      </c>
      <c r="L38" s="107">
        <f>(Model!BK163-Model!BF163)*-1</f>
        <v>0</v>
      </c>
      <c r="M38">
        <f>(Model!BP163-Model!BK163)*-1</f>
        <v>0</v>
      </c>
      <c r="N38">
        <f>(Model!BU163-Model!BP163)*-1</f>
        <v>0</v>
      </c>
      <c r="O38">
        <f>(Model!BZ163-Model!BU163)*-1</f>
        <v>0</v>
      </c>
      <c r="P38">
        <f>(Model!CE163-Model!BZ163)*-1</f>
        <v>0</v>
      </c>
      <c r="Q38">
        <f>(Model!CJ163-Model!CE163)*-1</f>
        <v>0</v>
      </c>
      <c r="R38">
        <f>(Model!CO163-Model!CJ163)*-1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Model!W214-Model!R214</f>
        <v>2487</v>
      </c>
      <c r="E39" s="106">
        <f>Model!AB214-Model!W214</f>
        <v>-2529</v>
      </c>
      <c r="F39" s="106">
        <f>Model!AG214-Model!AB214</f>
        <v>22349</v>
      </c>
      <c r="G39" s="106">
        <f>Model!AL214-Model!AG214</f>
        <v>-3437</v>
      </c>
      <c r="H39" s="106">
        <f>Model!AQ214-Model!AL214</f>
        <v>0</v>
      </c>
      <c r="I39" s="106">
        <f>Model!AV214-Model!AQ214</f>
        <v>0</v>
      </c>
      <c r="J39" s="106">
        <f>Model!BA214-Model!AV214</f>
        <v>0</v>
      </c>
      <c r="K39" s="106">
        <f>Model!BF214-Model!BA214</f>
        <v>0</v>
      </c>
      <c r="L39" s="107">
        <f>Model!BK214-Model!BF214</f>
        <v>0</v>
      </c>
      <c r="M39">
        <f>Model!BP214-Model!BK214</f>
        <v>0</v>
      </c>
      <c r="N39">
        <f>Model!BU214-Model!BP214</f>
        <v>0</v>
      </c>
      <c r="O39">
        <f>Model!BZ214-Model!BU214</f>
        <v>0</v>
      </c>
      <c r="P39">
        <f>Model!CE214-Model!BZ214</f>
        <v>0</v>
      </c>
      <c r="Q39">
        <f>Model!CJ214-Model!CE214</f>
        <v>0</v>
      </c>
      <c r="R39">
        <f>Model!CO214-Model!CJ214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-17228</v>
      </c>
      <c r="E44" s="103">
        <f>SUM(E27+E40+E41+E42+E26)</f>
        <v>-26574</v>
      </c>
      <c r="F44" s="103">
        <f>SUM(F27+F40+F41+F42+F26)</f>
        <v>16198</v>
      </c>
      <c r="G44" s="103">
        <f>SUM(G27+G40+G41+G42+G26)</f>
        <v>-31376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Model!W324</f>
        <v>173065</v>
      </c>
      <c r="E46" s="106">
        <f>Model!AB324</f>
        <v>176700</v>
      </c>
      <c r="F46" s="106">
        <f>Model!AG324</f>
        <v>223167</v>
      </c>
      <c r="G46" s="106">
        <f>Model!AL324</f>
        <v>239185</v>
      </c>
      <c r="H46" s="106" t="e">
        <f>Model!AQ324</f>
        <v>#DIV/0!</v>
      </c>
      <c r="I46" s="106" t="e">
        <f>Model!AV324</f>
        <v>#DIV/0!</v>
      </c>
      <c r="J46" s="106" t="e">
        <f>Model!BA324</f>
        <v>#DIV/0!</v>
      </c>
      <c r="K46" s="106" t="e">
        <f>Model!BF324</f>
        <v>#DIV/0!</v>
      </c>
      <c r="L46" s="106" t="e">
        <f>Model!BK324</f>
        <v>#DIV/0!</v>
      </c>
      <c r="M46" s="115" t="e">
        <f>Model!BP324</f>
        <v>#DIV/0!</v>
      </c>
      <c r="N46" s="115" t="e">
        <f>Model!BU324</f>
        <v>#DIV/0!</v>
      </c>
      <c r="O46" s="115" t="e">
        <f>Model!BZ324</f>
        <v>#DIV/0!</v>
      </c>
      <c r="P46" s="115" t="e">
        <f>Model!CE324</f>
        <v>#DIV/0!</v>
      </c>
      <c r="Q46" s="115" t="e">
        <f>Model!CJ324</f>
        <v>#DIV/0!</v>
      </c>
      <c r="R46" s="115" t="e">
        <f>Model!CO324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Model!W325</f>
        <v>168343</v>
      </c>
      <c r="E47" s="106">
        <f>Model!AB325</f>
        <v>172122</v>
      </c>
      <c r="F47" s="106">
        <f>Model!AG325</f>
        <v>218599</v>
      </c>
      <c r="G47" s="106">
        <f>Model!AL325</f>
        <v>234617</v>
      </c>
      <c r="H47" s="106" t="e">
        <f>Model!AQ325</f>
        <v>#DIV/0!</v>
      </c>
      <c r="I47" s="106" t="e">
        <f>Model!AV325</f>
        <v>#DIV/0!</v>
      </c>
      <c r="J47" s="106" t="e">
        <f>Model!BA325</f>
        <v>#DIV/0!</v>
      </c>
      <c r="K47" s="106" t="e">
        <f>Model!BF325</f>
        <v>#DIV/0!</v>
      </c>
      <c r="L47" s="106" t="e">
        <f>Model!BK325</f>
        <v>#DIV/0!</v>
      </c>
      <c r="M47" t="e">
        <f>Model!BP325</f>
        <v>#DIV/0!</v>
      </c>
      <c r="N47" t="e">
        <f>Model!BU325</f>
        <v>#DIV/0!</v>
      </c>
      <c r="O47" t="e">
        <f>Model!BZ325</f>
        <v>#DIV/0!</v>
      </c>
      <c r="P47" t="e">
        <f>Model!CE325</f>
        <v>#DIV/0!</v>
      </c>
      <c r="Q47" t="e">
        <f>Model!CJ325</f>
        <v>#DIV/0!</v>
      </c>
      <c r="R47" t="e">
        <f>Model!CO325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0.86123842367964</v>
      </c>
      <c r="E48" s="92">
        <f>E46/E18</f>
        <v>0.87133614738254</v>
      </c>
      <c r="F48" s="92">
        <f>F46/F18</f>
        <v>1.1805841369934</v>
      </c>
      <c r="G48" s="92">
        <f>G46/G18</f>
        <v>1.11113950042042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0.064873212874295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1.16111865484067</v>
      </c>
      <c r="E51" s="124">
        <f>E18/E46</f>
        <v>1.14766270514997</v>
      </c>
      <c r="F51" s="124">
        <f>F18/F46</f>
        <v>0.847038316596988</v>
      </c>
      <c r="G51" s="124">
        <f>G18/G46</f>
        <v>0.899977005246985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4522.43209167117</v>
      </c>
      <c r="E53" s="125">
        <f>E25+E44</f>
        <v>-8441.70522795026</v>
      </c>
      <c r="F53" s="125">
        <f>F25+F44</f>
        <v>29452.6016309578</v>
      </c>
      <c r="G53" s="126">
        <f>(G25+G44)*stub_year_fraction</f>
        <v>-4262.99359823107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 t="e">
        <f>SUMIFS(INDEX($C$17:$AQ$42,,MATCH(D$59,$C$17:$AQ$17,0)),$C$17:$C$42,"NOPLAT")*(1+D63)</f>
        <v>#DIV/0!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0.367623967988654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2026-10-14T11:53:36Z</dcterms:modified>
  <cp:lastModifiedBy>Lucas Nascimento</cp:lastModifiedBy>
</cp:coreProperties>
</file>