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1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Control" sheetId="5" state="visible" r:id="rId5"/>
  </sheets>
  <definedNames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BalType" hidden="1">TRUE()</definedName>
    <definedName name="beta_observed">Valuation!$D$93</definedName>
    <definedName name="GrpAcct1" hidden="1">"5611"</definedName>
    <definedName name="GrpAcct2" hidden="1">"5612"</definedName>
    <definedName name="GrpLevel" hidden="1">2</definedName>
    <definedName name="last_close">Valuation!$G$7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owLevel" hidden="1">1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>2</definedName>
    <definedName name="XRefCopyRangeCount" hidden="1">5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</definedNames>
  <calcPr calcId="191029" fullCalcOnLoad="1"/>
</workbook>
</file>

<file path=xl/styles.xml><?xml version="1.0" encoding="utf-8"?>
<styleSheet xmlns="http://schemas.openxmlformats.org/spreadsheetml/2006/main">
  <numFmts count="38">
    <numFmt numFmtId="164" formatCode="#,##0_ ;[Red]\-#,##0\ "/>
    <numFmt numFmtId="165" formatCode="#,##0_);[Red]\(#,##0\)"/>
    <numFmt numFmtId="166" formatCode="#,##0.0_);[Red]\(#,##0.0\)"/>
    <numFmt numFmtId="167" formatCode="#,##0.0_ ;[Red]\-#,##0.0\ "/>
    <numFmt numFmtId="168" formatCode="[$-409]d\-mmm;@"/>
    <numFmt numFmtId="169" formatCode="[$-409]d\-mmm"/>
    <numFmt numFmtId="170" formatCode="[$-416]d\-mmm"/>
    <numFmt numFmtId="171" formatCode="0.0%"/>
    <numFmt numFmtId="172" formatCode="#,##0.0;[Red]#,##0.0"/>
    <numFmt numFmtId="173" formatCode="#,##0.00_);[Red]\(#,##0.00\)"/>
    <numFmt numFmtId="174" formatCode="0.0\x"/>
    <numFmt numFmtId="175" formatCode="0.0"/>
    <numFmt numFmtId="176" formatCode="[$-409]d\-mmm\-yy;@"/>
    <numFmt numFmtId="177" formatCode="[$BRL]\ #,##0.00_);[Red]\([$BRL]\ #,##0.00\)"/>
    <numFmt numFmtId="178" formatCode="#,##0.0_);\(#,##0.0\)"/>
    <numFmt numFmtId="179" formatCode="#,##0.000_);\(#,##0.000\)"/>
    <numFmt numFmtId="180" formatCode="&quot;R$ &quot;#,##0.00"/>
    <numFmt numFmtId="181" formatCode="#,##0.0\x"/>
    <numFmt numFmtId="182" formatCode="\$#,##0.00_);&quot;($&quot;#,##0.00\)"/>
    <numFmt numFmtId="183" formatCode="#,##0.000_);[Red]\(#,##0.000\)"/>
    <numFmt numFmtId="184" formatCode="\$#,##0.00_);[Red]&quot;($&quot;#,##0.00\)"/>
    <numFmt numFmtId="185" formatCode="\$#,##0.0_);&quot;($&quot;#,##0.0\)"/>
    <numFmt numFmtId="186" formatCode="#,##0_);\(#,##0\)"/>
    <numFmt numFmtId="187" formatCode="0.0%;\(0.0%\)"/>
    <numFmt numFmtId="188" formatCode="0.000"/>
    <numFmt numFmtId="189" formatCode="#,##0.00_);\(#,##0.00\)"/>
    <numFmt numFmtId="190" formatCode="#,##0.0"/>
    <numFmt numFmtId="191" formatCode="0.00\x"/>
    <numFmt numFmtId="192" formatCode="0.0&quot;x&quot;"/>
    <numFmt numFmtId="193" formatCode="#,##0.0;\(#,##0.0\)"/>
    <numFmt numFmtId="194" formatCode="_(* #,##0.00_);_(* \(#,##0.00\);_(* \-??_);_(@_)"/>
    <numFmt numFmtId="195" formatCode="_(* #,##0_);_(* \(#,##0\);_(* \-_);_(@_)"/>
    <numFmt numFmtId="196" formatCode="_(\$* #,##0.00_);_(\$* \(#,##0.00\);_(\$* \-??_);_(@_)"/>
    <numFmt numFmtId="197" formatCode="_(\$* #,##0_);_(\$* \(#,##0\);_(\$* \-_);_(@_)"/>
    <numFmt numFmtId="198" formatCode="m/d/yyyy"/>
    <numFmt numFmtId="199" formatCode="0_);\(0\)"/>
    <numFmt numFmtId="200" formatCode="#,##0.0;(#,##0.0)"/>
    <numFmt numFmtId="201" formatCode="dd/mm/yyyy"/>
  </numFmts>
  <fonts count="26">
    <font>
      <name val="Arial"/>
      <family val="2"/>
      <sz val="10"/>
    </font>
    <font>
      <name val="Arial"/>
      <charset val="1"/>
      <sz val="10"/>
    </font>
    <font>
      <name val="Arial"/>
      <charset val="1"/>
      <b val="1"/>
      <sz val="8"/>
    </font>
    <font>
      <name val="Aptos Narrow"/>
      <charset val="1"/>
      <color theme="1"/>
      <sz val="11"/>
    </font>
    <font>
      <name val="Verdana"/>
      <charset val="1"/>
      <color theme="1"/>
      <sz val="10"/>
    </font>
    <font>
      <name val="Arial"/>
      <charset val="1"/>
      <sz val="8"/>
    </font>
    <font>
      <name val="Arial"/>
      <charset val="1"/>
      <b val="1"/>
      <color rgb="FF333333"/>
      <sz val="10"/>
    </font>
    <font>
      <name val="Calibri"/>
      <charset val="1"/>
      <color rgb="FF000000"/>
      <sz val="11"/>
    </font>
    <font>
      <name val="Cambria"/>
      <charset val="1"/>
      <b val="1"/>
      <color rgb="FFFFFFFF"/>
      <sz val="11"/>
    </font>
    <font>
      <name val="Cambria"/>
      <charset val="1"/>
      <b val="1"/>
      <color rgb="FF17365D"/>
      <sz val="11"/>
    </font>
    <font>
      <name val="Verdana"/>
      <charset val="1"/>
      <color rgb="FF0000FF"/>
      <sz val="10"/>
    </font>
    <font>
      <name val="Verdana"/>
      <charset val="1"/>
      <b val="1"/>
      <color theme="1"/>
      <sz val="10"/>
    </font>
    <font>
      <name val="Verdana"/>
      <charset val="1"/>
      <b val="1"/>
      <color rgb="FFFFFFFF"/>
      <sz val="10"/>
    </font>
    <font>
      <name val="Verdana"/>
      <charset val="1"/>
      <i val="1"/>
      <color theme="1"/>
      <sz val="10"/>
    </font>
    <font>
      <name val="Verdana"/>
      <charset val="1"/>
      <sz val="10"/>
    </font>
    <font>
      <name val="Verdana"/>
      <charset val="1"/>
      <b val="1"/>
      <color theme="0"/>
      <sz val="10"/>
    </font>
    <font>
      <name val="Verdana"/>
      <charset val="1"/>
      <b val="1"/>
      <sz val="10"/>
    </font>
    <font>
      <name val="Verdana"/>
      <charset val="1"/>
      <b val="1"/>
      <color theme="0" tint="-0.0499893185216834"/>
      <sz val="10"/>
    </font>
    <font>
      <name val="Verdana"/>
      <charset val="1"/>
      <b val="1"/>
      <color rgb="FF333333"/>
      <sz val="10"/>
    </font>
    <font>
      <name val="Verdana"/>
      <charset val="1"/>
      <b val="1"/>
      <color rgb="FF0000FF"/>
      <sz val="10"/>
    </font>
    <font>
      <name val="Verdana"/>
      <charset val="1"/>
      <color rgb="FF008000"/>
      <sz val="10"/>
    </font>
    <font>
      <name val="Cambria"/>
      <charset val="1"/>
      <b val="1"/>
      <color rgb="FFFFFFFF"/>
      <sz val="14"/>
    </font>
    <font>
      <name val="Cambria"/>
      <charset val="1"/>
      <color rgb="FF0000FF"/>
      <sz val="11"/>
    </font>
    <font>
      <name val="Verdana"/>
      <family val="2"/>
      <b val="1"/>
      <color rgb="FFFFFFFF"/>
      <sz val="10"/>
    </font>
    <font>
      <name val="Verdana"/>
      <family val="2"/>
      <b val="1"/>
      <color theme="1"/>
      <sz val="10"/>
    </font>
    <font>
      <name val="Verdana"/>
      <b val="1"/>
      <sz val="10"/>
    </font>
  </fonts>
  <fills count="18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theme="4" tint="0.3998840296639912"/>
        <bgColor rgb="FF00CCFF"/>
      </patternFill>
    </fill>
    <fill>
      <patternFill patternType="solid">
        <fgColor theme="0" tint="-0.0499893185216834"/>
        <bgColor rgb="FFE2F0D9"/>
      </patternFill>
    </fill>
    <fill>
      <patternFill patternType="solid">
        <fgColor rgb="FFFFF2CC"/>
        <bgColor rgb="FFFFFFCC"/>
      </patternFill>
    </fill>
    <fill>
      <patternFill patternType="solid">
        <fgColor rgb="FF4472C4"/>
        <bgColor rgb="FF666699"/>
      </patternFill>
    </fill>
    <fill>
      <patternFill patternType="solid">
        <fgColor rgb="FF00B050"/>
        <bgColor rgb="FF00B050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>
        <color auto="1"/>
      </bottom>
      <diagonal/>
    </border>
    <border>
      <left style="thin">
        <color rgb="FFFFFF00"/>
      </left>
      <right/>
      <top/>
      <bottom style="thin">
        <color auto="1"/>
      </bottom>
      <diagonal/>
    </border>
    <border>
      <left style="medium">
        <color rgb="FF00B050"/>
      </left>
      <right style="thin">
        <color auto="1"/>
      </right>
      <top style="medium">
        <color rgb="FF00B050"/>
      </top>
      <bottom style="medium">
        <color rgb="FF00B050"/>
      </bottom>
      <diagonal/>
    </border>
    <border>
      <left/>
      <right style="thin">
        <color auto="1"/>
      </right>
      <top style="thin">
        <color rgb="FFFFFF00"/>
      </top>
      <bottom style="thin">
        <color rgb="FFFFFF00"/>
      </bottom>
      <diagonal/>
    </border>
    <border>
      <left/>
      <right style="thin">
        <color auto="1"/>
      </right>
      <top style="thin">
        <color rgb="FFFFFF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5" fontId="1" fillId="0" borderId="0"/>
    <xf numFmtId="195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7" fontId="1" fillId="0" borderId="0"/>
    <xf numFmtId="197" fontId="1" fillId="0" borderId="0"/>
    <xf numFmtId="197" fontId="1" fillId="0" borderId="0"/>
    <xf numFmtId="197" fontId="1" fillId="0" borderId="0"/>
    <xf numFmtId="198" fontId="2" fillId="0" borderId="1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199" fontId="5" fillId="0" borderId="0"/>
    <xf numFmtId="0" fontId="6" fillId="2" borderId="2"/>
    <xf numFmtId="9" fontId="1" fillId="0" borderId="0"/>
    <xf numFmtId="9" fontId="3" fillId="0" borderId="0"/>
    <xf numFmtId="9" fontId="1" fillId="0" borderId="0"/>
    <xf numFmtId="9" fontId="1" fillId="0" borderId="0"/>
    <xf numFmtId="9" fontId="4" fillId="0" borderId="0"/>
    <xf numFmtId="194" fontId="7" fillId="0" borderId="0"/>
  </cellStyleXfs>
  <cellXfs count="275">
    <xf numFmtId="0" fontId="0" fillId="0" borderId="0" pivotButton="0" quotePrefix="0" xfId="0"/>
    <xf numFmtId="0" fontId="8" fillId="3" borderId="0" pivotButton="0" quotePrefix="0" xfId="24"/>
    <xf numFmtId="0" fontId="9" fillId="4" borderId="0" pivotButton="0" quotePrefix="0" xfId="24"/>
    <xf numFmtId="0" fontId="4" fillId="0" borderId="0" applyAlignment="1" pivotButton="0" quotePrefix="0" xfId="24">
      <alignment horizontal="center"/>
    </xf>
    <xf numFmtId="0" fontId="4" fillId="0" borderId="0" pivotButton="0" quotePrefix="0" xfId="24"/>
    <xf numFmtId="0" fontId="8" fillId="3" borderId="0" applyAlignment="1" pivotButton="0" quotePrefix="0" xfId="24">
      <alignment horizontal="center"/>
    </xf>
    <xf numFmtId="0" fontId="8" fillId="3" borderId="0" applyAlignment="1" pivotButton="0" quotePrefix="0" xfId="21">
      <alignment horizontal="center"/>
    </xf>
    <xf numFmtId="164" fontId="8" fillId="3" borderId="0" applyAlignment="1" pivotButton="0" quotePrefix="0" xfId="21">
      <alignment horizontal="center"/>
    </xf>
    <xf numFmtId="0" fontId="3" fillId="5" borderId="0" pivotButton="0" quotePrefix="0" xfId="24"/>
    <xf numFmtId="165" fontId="10" fillId="6" borderId="0" applyAlignment="1" pivotButton="0" quotePrefix="0" xfId="24">
      <alignment horizontal="center"/>
    </xf>
    <xf numFmtId="0" fontId="4" fillId="7" borderId="0" pivotButton="0" quotePrefix="0" xfId="20"/>
    <xf numFmtId="166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/>
    </xf>
    <xf numFmtId="167" fontId="4" fillId="7" borderId="0" applyAlignment="1" pivotButton="0" quotePrefix="0" xfId="20">
      <alignment horizontal="left"/>
    </xf>
    <xf numFmtId="0" fontId="4" fillId="7" borderId="0" applyAlignment="1" pivotButton="0" quotePrefix="0" xfId="20">
      <alignment horizontal="left"/>
    </xf>
    <xf numFmtId="0" fontId="4" fillId="7" borderId="1" applyAlignment="1" pivotButton="0" quotePrefix="0" xfId="20">
      <alignment horizontal="left"/>
    </xf>
    <xf numFmtId="166" fontId="4" fillId="0" borderId="0" pivotButton="0" quotePrefix="0" xfId="24"/>
    <xf numFmtId="0" fontId="11" fillId="0" borderId="0" pivotButton="0" quotePrefix="0" xfId="20"/>
    <xf numFmtId="0" fontId="4" fillId="0" borderId="0" pivotButton="0" quotePrefix="0" xfId="20"/>
    <xf numFmtId="168" fontId="10" fillId="6" borderId="0" applyAlignment="1" pivotButton="0" quotePrefix="0" xfId="24">
      <alignment horizontal="center"/>
    </xf>
    <xf numFmtId="169" fontId="10" fillId="6" borderId="0" applyAlignment="1" pivotButton="0" quotePrefix="0" xfId="21">
      <alignment horizontal="center"/>
    </xf>
    <xf numFmtId="170" fontId="4" fillId="7" borderId="0" applyAlignment="1" pivotButton="0" quotePrefix="0" xfId="21">
      <alignment horizontal="center"/>
    </xf>
    <xf numFmtId="170" fontId="11" fillId="7" borderId="0" applyAlignment="1" pivotButton="0" quotePrefix="0" xfId="21">
      <alignment horizontal="center"/>
    </xf>
    <xf numFmtId="168" fontId="10" fillId="0" borderId="0" applyAlignment="1" pivotButton="0" quotePrefix="0" xfId="24">
      <alignment horizontal="center"/>
    </xf>
    <xf numFmtId="164" fontId="4" fillId="0" borderId="0" applyAlignment="1" pivotButton="0" quotePrefix="0" xfId="21">
      <alignment horizontal="center"/>
    </xf>
    <xf numFmtId="0" fontId="4" fillId="0" borderId="0" applyAlignment="1" pivotButton="0" quotePrefix="0" xfId="21">
      <alignment horizontal="center"/>
    </xf>
    <xf numFmtId="0" fontId="11" fillId="8" borderId="0" applyAlignment="1" pivotButton="0" quotePrefix="0" xfId="21">
      <alignment horizontal="center"/>
    </xf>
    <xf numFmtId="10" fontId="11" fillId="0" borderId="0" applyAlignment="1" pivotButton="0" quotePrefix="0" xfId="30">
      <alignment horizontal="center"/>
    </xf>
    <xf numFmtId="0" fontId="11" fillId="0" borderId="0" applyAlignment="1" pivotButton="0" quotePrefix="0" xfId="21">
      <alignment horizontal="center"/>
    </xf>
    <xf numFmtId="10" fontId="11" fillId="0" borderId="0" applyAlignment="1" pivotButton="0" quotePrefix="0" xfId="21">
      <alignment horizontal="center"/>
    </xf>
    <xf numFmtId="0" fontId="11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left"/>
    </xf>
    <xf numFmtId="0" fontId="11" fillId="0" borderId="0" pivotButton="0" quotePrefix="0" xfId="24"/>
    <xf numFmtId="0" fontId="11" fillId="7" borderId="0" pivotButton="0" quotePrefix="0" xfId="20"/>
    <xf numFmtId="166" fontId="11" fillId="7" borderId="0" applyAlignment="1" pivotButton="0" quotePrefix="0" xfId="24">
      <alignment horizontal="center"/>
    </xf>
    <xf numFmtId="166" fontId="11" fillId="0" borderId="0" applyAlignment="1" pivotButton="0" quotePrefix="0" xfId="24">
      <alignment horizontal="center"/>
    </xf>
    <xf numFmtId="0" fontId="11" fillId="10" borderId="0" applyAlignment="1" pivotButton="0" quotePrefix="0" xfId="24">
      <alignment horizontal="center"/>
    </xf>
    <xf numFmtId="0" fontId="4" fillId="10" borderId="0" applyAlignment="1" pivotButton="0" quotePrefix="0" xfId="24">
      <alignment horizontal="center"/>
    </xf>
    <xf numFmtId="171" fontId="4" fillId="10" borderId="0" pivotButton="0" quotePrefix="0" xfId="20"/>
    <xf numFmtId="166" fontId="11" fillId="10" borderId="0" applyAlignment="1" pivotButton="0" quotePrefix="0" xfId="24">
      <alignment horizontal="center"/>
    </xf>
    <xf numFmtId="9" fontId="4" fillId="10" borderId="0" applyAlignment="1" pivotButton="0" quotePrefix="0" xfId="30">
      <alignment horizontal="center"/>
    </xf>
    <xf numFmtId="10" fontId="10" fillId="6" borderId="0" applyAlignment="1" pivotButton="0" quotePrefix="0" xfId="24">
      <alignment horizontal="center"/>
    </xf>
    <xf numFmtId="166" fontId="4" fillId="10" borderId="0" applyAlignment="1" pivotButton="0" quotePrefix="0" xfId="24">
      <alignment horizontal="center"/>
    </xf>
    <xf numFmtId="0" fontId="11" fillId="10" borderId="0" pivotButton="0" quotePrefix="0" xfId="24"/>
    <xf numFmtId="171" fontId="13" fillId="10" borderId="0" pivotButton="0" quotePrefix="0" xfId="20"/>
    <xf numFmtId="0" fontId="11" fillId="10" borderId="0" pivotButton="0" quotePrefix="0" xfId="20"/>
    <xf numFmtId="166" fontId="4" fillId="7" borderId="0" applyAlignment="1" pivotButton="0" quotePrefix="0" xfId="24">
      <alignment horizontal="center"/>
    </xf>
    <xf numFmtId="171" fontId="4" fillId="10" borderId="0" applyAlignment="1" pivotButton="0" quotePrefix="0" xfId="20">
      <alignment horizontal="left"/>
    </xf>
    <xf numFmtId="171" fontId="4" fillId="10" borderId="0" applyAlignment="1" pivotButton="0" quotePrefix="0" xfId="30">
      <alignment horizontal="center"/>
    </xf>
    <xf numFmtId="171" fontId="10" fillId="6" borderId="0" applyAlignment="1" pivotButton="0" quotePrefix="0" xfId="30">
      <alignment horizontal="center"/>
    </xf>
    <xf numFmtId="167" fontId="4" fillId="0" borderId="0" applyAlignment="1" pivotButton="0" quotePrefix="0" xfId="20">
      <alignment horizontal="left"/>
    </xf>
    <xf numFmtId="171" fontId="4" fillId="0" borderId="0" applyAlignment="1" pivotButton="0" quotePrefix="0" xfId="30">
      <alignment horizontal="center"/>
    </xf>
    <xf numFmtId="171" fontId="10" fillId="6" borderId="0" applyAlignment="1" pivotButton="0" quotePrefix="0" xfId="24">
      <alignment horizontal="center"/>
    </xf>
    <xf numFmtId="9" fontId="4" fillId="0" borderId="0" applyAlignment="1" pivotButton="0" quotePrefix="0" xfId="30">
      <alignment horizontal="center"/>
    </xf>
    <xf numFmtId="9" fontId="4" fillId="0" borderId="0" applyAlignment="1" pivotButton="0" quotePrefix="0" xfId="30">
      <alignment horizontal="left"/>
    </xf>
    <xf numFmtId="9" fontId="10" fillId="6" borderId="0" applyAlignment="1" pivotButton="0" quotePrefix="0" xfId="30">
      <alignment horizontal="center"/>
    </xf>
    <xf numFmtId="9" fontId="4" fillId="0" borderId="0" pivotButton="0" quotePrefix="0" xfId="30"/>
    <xf numFmtId="0" fontId="4" fillId="0" borderId="0" applyAlignment="1" pivotButton="0" quotePrefix="0" xfId="20">
      <alignment horizontal="left"/>
    </xf>
    <xf numFmtId="171" fontId="4" fillId="0" borderId="0" applyAlignment="1" pivotButton="0" quotePrefix="0" xfId="24">
      <alignment horizontal="center"/>
    </xf>
    <xf numFmtId="0" fontId="4" fillId="10" borderId="0" applyAlignment="1" pivotButton="0" quotePrefix="0" xfId="20">
      <alignment horizontal="left"/>
    </xf>
    <xf numFmtId="0" fontId="14" fillId="10" borderId="0" applyAlignment="1" pivotButton="0" quotePrefix="0" xfId="20">
      <alignment horizontal="left"/>
    </xf>
    <xf numFmtId="166" fontId="14" fillId="10" borderId="0" applyAlignment="1" pivotButton="0" quotePrefix="0" xfId="24">
      <alignment horizontal="center"/>
    </xf>
    <xf numFmtId="164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horizontal="center"/>
    </xf>
    <xf numFmtId="0" fontId="11" fillId="7" borderId="0" applyAlignment="1" pivotButton="0" quotePrefix="0" xfId="20">
      <alignment horizontal="left"/>
    </xf>
    <xf numFmtId="0" fontId="4" fillId="10" borderId="0" pivotButton="0" quotePrefix="0" xfId="24"/>
    <xf numFmtId="167" fontId="4" fillId="10" borderId="0" applyAlignment="1" pivotButton="0" quotePrefix="0" xfId="20">
      <alignment horizontal="left"/>
    </xf>
    <xf numFmtId="173" fontId="4" fillId="0" borderId="0" applyAlignment="1" pivotButton="0" quotePrefix="0" xfId="24">
      <alignment horizontal="center"/>
    </xf>
    <xf numFmtId="165" fontId="4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center"/>
    </xf>
    <xf numFmtId="0" fontId="4" fillId="7" borderId="1" pivotButton="0" quotePrefix="0" xfId="20"/>
    <xf numFmtId="172" fontId="4" fillId="0" borderId="0" pivotButton="0" quotePrefix="0" xfId="24"/>
    <xf numFmtId="0" fontId="15" fillId="11" borderId="0" pivotButton="0" quotePrefix="0" xfId="24"/>
    <xf numFmtId="0" fontId="11" fillId="0" borderId="0" applyAlignment="1" pivotButton="0" quotePrefix="0" xfId="24">
      <alignment vertical="center"/>
    </xf>
    <xf numFmtId="0" fontId="11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vertical="center"/>
    </xf>
    <xf numFmtId="9" fontId="4" fillId="0" borderId="0" applyAlignment="1" pivotButton="0" quotePrefix="0" xfId="30">
      <alignment vertical="center"/>
    </xf>
    <xf numFmtId="9" fontId="4" fillId="0" borderId="0" applyAlignment="1" pivotButton="0" quotePrefix="0" xfId="30">
      <alignment horizontal="center" vertical="center"/>
    </xf>
    <xf numFmtId="171" fontId="4" fillId="0" borderId="0" applyAlignment="1" pivotButton="0" quotePrefix="0" xfId="24">
      <alignment horizontal="center" vertical="center"/>
    </xf>
    <xf numFmtId="171" fontId="4" fillId="0" borderId="0" applyAlignment="1" pivotButton="0" quotePrefix="0" xfId="30">
      <alignment horizontal="center" vertical="center"/>
    </xf>
    <xf numFmtId="174" fontId="4" fillId="0" borderId="0" applyAlignment="1" pivotButton="0" quotePrefix="0" xfId="24">
      <alignment horizontal="center" vertical="center"/>
    </xf>
    <xf numFmtId="174" fontId="4" fillId="0" borderId="0" applyAlignment="1" pivotButton="0" quotePrefix="0" xfId="24">
      <alignment vertical="center"/>
    </xf>
    <xf numFmtId="171" fontId="4" fillId="0" borderId="0" applyAlignment="1" pivotButton="0" quotePrefix="0" xfId="30">
      <alignment vertical="center"/>
    </xf>
    <xf numFmtId="175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vertical="center"/>
    </xf>
    <xf numFmtId="172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horizontal="right" vertical="center"/>
    </xf>
    <xf numFmtId="0" fontId="14" fillId="0" borderId="0" pivotButton="0" quotePrefix="0" xfId="22"/>
    <xf numFmtId="0" fontId="12" fillId="0" borderId="0" pivotButton="0" quotePrefix="0" xfId="22"/>
    <xf numFmtId="0" fontId="14" fillId="0" borderId="3" pivotButton="0" quotePrefix="0" xfId="22"/>
    <xf numFmtId="176" fontId="10" fillId="6" borderId="4" applyAlignment="1" pivotButton="0" quotePrefix="0" xfId="18">
      <alignment horizontal="center"/>
    </xf>
    <xf numFmtId="177" fontId="10" fillId="6" borderId="0" applyAlignment="1" pivotButton="0" quotePrefix="0" xfId="22">
      <alignment horizontal="center"/>
    </xf>
    <xf numFmtId="171" fontId="14" fillId="0" borderId="0" applyAlignment="1" pivotButton="0" quotePrefix="0" xfId="22">
      <alignment horizontal="right"/>
    </xf>
    <xf numFmtId="176" fontId="10" fillId="6" borderId="4" applyAlignment="1" pivotButton="0" quotePrefix="0" xfId="18">
      <alignment horizontal="right"/>
    </xf>
    <xf numFmtId="171" fontId="14" fillId="0" borderId="0" applyAlignment="1" pivotButton="0" quotePrefix="0" xfId="22">
      <alignment horizontal="center"/>
    </xf>
    <xf numFmtId="178" fontId="10" fillId="0" borderId="0" applyAlignment="1" pivotButton="0" quotePrefix="0" xfId="22">
      <alignment horizontal="center"/>
    </xf>
    <xf numFmtId="179" fontId="14" fillId="0" borderId="0" applyAlignment="1" pivotButton="0" quotePrefix="0" xfId="22">
      <alignment horizontal="center"/>
    </xf>
    <xf numFmtId="0" fontId="16" fillId="0" borderId="0" pivotButton="0" quotePrefix="0" xfId="22"/>
    <xf numFmtId="180" fontId="14" fillId="0" borderId="0" pivotButton="0" quotePrefix="0" xfId="22"/>
    <xf numFmtId="0" fontId="11" fillId="7" borderId="0" pivotButton="0" quotePrefix="0" xfId="22"/>
    <xf numFmtId="0" fontId="11" fillId="7" borderId="1" pivotButton="0" quotePrefix="0" xfId="22"/>
    <xf numFmtId="0" fontId="16" fillId="0" borderId="0" applyAlignment="1" pivotButton="0" quotePrefix="0" xfId="22">
      <alignment horizontal="center"/>
    </xf>
    <xf numFmtId="0" fontId="14" fillId="0" borderId="0" applyAlignment="1" pivotButton="0" quotePrefix="0" xfId="22">
      <alignment horizontal="center"/>
    </xf>
    <xf numFmtId="1" fontId="16" fillId="0" borderId="0" applyAlignment="1" pivotButton="0" quotePrefix="0" xfId="22">
      <alignment horizontal="center"/>
    </xf>
    <xf numFmtId="0" fontId="14" fillId="0" borderId="1" pivotButton="0" quotePrefix="0" xfId="22"/>
    <xf numFmtId="168" fontId="14" fillId="0" borderId="1" applyAlignment="1" pivotButton="0" quotePrefix="0" xfId="22">
      <alignment horizontal="center"/>
    </xf>
    <xf numFmtId="168" fontId="14" fillId="0" borderId="0" applyAlignment="1" pivotButton="0" quotePrefix="0" xfId="22">
      <alignment horizontal="center"/>
    </xf>
    <xf numFmtId="0" fontId="14" fillId="0" borderId="5" pivotButton="0" quotePrefix="0" xfId="22"/>
    <xf numFmtId="178" fontId="14" fillId="12" borderId="6" applyAlignment="1" pivotButton="0" quotePrefix="0" xfId="22">
      <alignment horizontal="center"/>
    </xf>
    <xf numFmtId="178" fontId="14" fillId="12" borderId="7" applyAlignment="1" pivotButton="0" quotePrefix="0" xfId="22">
      <alignment horizontal="center"/>
    </xf>
    <xf numFmtId="171" fontId="16" fillId="0" borderId="0" applyAlignment="1" pivotButton="0" quotePrefix="0" xfId="33">
      <alignment horizontal="center"/>
    </xf>
    <xf numFmtId="0" fontId="14" fillId="0" borderId="8" pivotButton="0" quotePrefix="0" xfId="22"/>
    <xf numFmtId="171" fontId="16" fillId="0" borderId="1" applyAlignment="1" pivotButton="0" quotePrefix="0" xfId="33">
      <alignment horizontal="center"/>
    </xf>
    <xf numFmtId="171" fontId="16" fillId="0" borderId="9" applyAlignment="1" pivotButton="0" quotePrefix="0" xfId="33">
      <alignment horizontal="center"/>
    </xf>
    <xf numFmtId="178" fontId="14" fillId="0" borderId="5" pivotButton="0" quotePrefix="0" xfId="22"/>
    <xf numFmtId="0" fontId="14" fillId="0" borderId="6" pivotButton="0" quotePrefix="0" xfId="22"/>
    <xf numFmtId="0" fontId="14" fillId="0" borderId="7" pivotButton="0" quotePrefix="0" xfId="22"/>
    <xf numFmtId="171" fontId="14" fillId="0" borderId="1" applyAlignment="1" pivotButton="0" quotePrefix="0" xfId="33">
      <alignment horizontal="center"/>
    </xf>
    <xf numFmtId="0" fontId="14" fillId="0" borderId="9" pivotButton="0" quotePrefix="0" xfId="22"/>
    <xf numFmtId="171" fontId="14" fillId="0" borderId="9" applyAlignment="1" pivotButton="0" quotePrefix="0" xfId="33">
      <alignment horizontal="center"/>
    </xf>
    <xf numFmtId="171" fontId="14" fillId="12" borderId="6" applyAlignment="1" pivotButton="0" quotePrefix="0" xfId="22">
      <alignment horizontal="center"/>
    </xf>
    <xf numFmtId="171" fontId="14" fillId="12" borderId="7" applyAlignment="1" pivotButton="0" quotePrefix="0" xfId="22">
      <alignment horizontal="center"/>
    </xf>
    <xf numFmtId="178" fontId="14" fillId="0" borderId="1" applyAlignment="1" pivotButton="0" quotePrefix="0" xfId="22">
      <alignment horizontal="center"/>
    </xf>
    <xf numFmtId="178" fontId="14" fillId="0" borderId="9" applyAlignment="1" pivotButton="0" quotePrefix="0" xfId="22">
      <alignment horizontal="center"/>
    </xf>
    <xf numFmtId="178" fontId="14" fillId="0" borderId="10" applyAlignment="1" pivotButton="0" quotePrefix="0" xfId="22">
      <alignment horizontal="left"/>
    </xf>
    <xf numFmtId="178" fontId="14" fillId="12" borderId="11" applyAlignment="1" pivotButton="0" quotePrefix="0" xfId="22">
      <alignment horizontal="center"/>
    </xf>
    <xf numFmtId="178" fontId="14" fillId="12" borderId="12" applyAlignment="1" pivotButton="0" quotePrefix="0" xfId="22">
      <alignment horizontal="center"/>
    </xf>
    <xf numFmtId="178" fontId="14" fillId="0" borderId="5" applyAlignment="1" pivotButton="0" quotePrefix="0" xfId="22">
      <alignment horizontal="left"/>
    </xf>
    <xf numFmtId="178" fontId="14" fillId="0" borderId="6" applyAlignment="1" pivotButton="0" quotePrefix="0" xfId="22">
      <alignment horizontal="center"/>
    </xf>
    <xf numFmtId="178" fontId="14" fillId="0" borderId="7" applyAlignment="1" pivotButton="0" quotePrefix="0" xfId="22">
      <alignment horizontal="center"/>
    </xf>
    <xf numFmtId="178" fontId="14" fillId="0" borderId="13" applyAlignment="1" pivotButton="0" quotePrefix="0" xfId="22">
      <alignment horizontal="left"/>
    </xf>
    <xf numFmtId="178" fontId="14" fillId="12" borderId="0" applyAlignment="1" pivotButton="0" quotePrefix="0" xfId="22">
      <alignment horizontal="center"/>
    </xf>
    <xf numFmtId="178" fontId="14" fillId="12" borderId="14" applyAlignment="1" pivotButton="0" quotePrefix="0" xfId="22">
      <alignment horizontal="center"/>
    </xf>
    <xf numFmtId="178" fontId="14" fillId="0" borderId="8" applyAlignment="1" pivotButton="0" quotePrefix="0" xfId="22">
      <alignment horizontal="left"/>
    </xf>
    <xf numFmtId="178" fontId="14" fillId="12" borderId="1" applyAlignment="1" pivotButton="0" quotePrefix="0" xfId="22">
      <alignment horizontal="center"/>
    </xf>
    <xf numFmtId="178" fontId="14" fillId="12" borderId="9" applyAlignment="1" pivotButton="0" quotePrefix="0" xfId="22">
      <alignment horizontal="center"/>
    </xf>
    <xf numFmtId="178" fontId="14" fillId="0" borderId="0" applyAlignment="1" pivotButton="0" quotePrefix="0" xfId="22">
      <alignment horizontal="center"/>
    </xf>
    <xf numFmtId="178" fontId="14" fillId="0" borderId="15" applyAlignment="1" pivotButton="0" quotePrefix="0" xfId="22">
      <alignment horizontal="center"/>
    </xf>
    <xf numFmtId="0" fontId="14" fillId="0" borderId="13" pivotButton="0" quotePrefix="0" xfId="22"/>
    <xf numFmtId="0" fontId="14" fillId="0" borderId="14" pivotButton="0" quotePrefix="0" xfId="22"/>
    <xf numFmtId="178" fontId="4" fillId="0" borderId="0" applyAlignment="1" pivotButton="0" quotePrefix="0" xfId="22">
      <alignment horizontal="center"/>
    </xf>
    <xf numFmtId="178" fontId="4" fillId="0" borderId="14" applyAlignment="1" pivotButton="0" quotePrefix="0" xfId="22">
      <alignment horizontal="center"/>
    </xf>
    <xf numFmtId="171" fontId="10" fillId="6" borderId="1" applyAlignment="1" pivotButton="0" quotePrefix="0" xfId="33">
      <alignment horizontal="center"/>
    </xf>
    <xf numFmtId="171" fontId="10" fillId="6" borderId="9" applyAlignment="1" pivotButton="0" quotePrefix="0" xfId="33">
      <alignment horizontal="center"/>
    </xf>
    <xf numFmtId="0" fontId="16" fillId="0" borderId="10" pivotButton="0" quotePrefix="0" xfId="22"/>
    <xf numFmtId="171" fontId="16" fillId="12" borderId="11" applyAlignment="1" pivotButton="0" quotePrefix="0" xfId="22">
      <alignment horizontal="center"/>
    </xf>
    <xf numFmtId="171" fontId="16" fillId="0" borderId="11" applyAlignment="1" pivotButton="0" quotePrefix="0" xfId="33">
      <alignment horizontal="center"/>
    </xf>
    <xf numFmtId="171" fontId="16" fillId="0" borderId="12" applyAlignment="1" pivotButton="0" quotePrefix="0" xfId="33">
      <alignment horizontal="center"/>
    </xf>
    <xf numFmtId="171" fontId="16" fillId="0" borderId="0" applyAlignment="1" pivotButton="0" quotePrefix="0" xfId="22">
      <alignment horizontal="center"/>
    </xf>
    <xf numFmtId="181" fontId="14" fillId="0" borderId="0" applyAlignment="1" pivotButton="0" quotePrefix="0" xfId="23">
      <alignment horizontal="center" vertical="center"/>
    </xf>
    <xf numFmtId="178" fontId="16" fillId="0" borderId="0" applyAlignment="1" pivotButton="0" quotePrefix="0" xfId="22">
      <alignment horizontal="center"/>
    </xf>
    <xf numFmtId="178" fontId="18" fillId="2" borderId="2" applyAlignment="1" pivotButton="0" quotePrefix="0" xfId="28">
      <alignment horizontal="center"/>
    </xf>
    <xf numFmtId="0" fontId="14" fillId="0" borderId="0" applyAlignment="1" pivotButton="0" quotePrefix="0" xfId="22">
      <alignment horizontal="left"/>
    </xf>
    <xf numFmtId="173" fontId="14" fillId="0" borderId="0" applyAlignment="1" pivotButton="0" quotePrefix="0" xfId="22">
      <alignment horizontal="center"/>
    </xf>
    <xf numFmtId="173" fontId="18" fillId="2" borderId="2" applyAlignment="1" pivotButton="0" quotePrefix="0" xfId="28">
      <alignment horizontal="center"/>
    </xf>
    <xf numFmtId="10" fontId="14" fillId="0" borderId="0" pivotButton="0" quotePrefix="0" xfId="22"/>
    <xf numFmtId="178" fontId="16" fillId="0" borderId="0" pivotButton="0" quotePrefix="0" xfId="22"/>
    <xf numFmtId="179" fontId="14" fillId="0" borderId="0" pivotButton="0" quotePrefix="0" xfId="22"/>
    <xf numFmtId="0" fontId="11" fillId="7" borderId="5" pivotButton="0" quotePrefix="0" xfId="22"/>
    <xf numFmtId="171" fontId="4" fillId="7" borderId="7" applyAlignment="1" pivotButton="0" quotePrefix="0" xfId="22">
      <alignment horizontal="center"/>
    </xf>
    <xf numFmtId="0" fontId="11" fillId="7" borderId="6" pivotButton="0" quotePrefix="0" xfId="22"/>
    <xf numFmtId="0" fontId="4" fillId="7" borderId="6" pivotButton="0" quotePrefix="0" xfId="22"/>
    <xf numFmtId="0" fontId="11" fillId="7" borderId="16" pivotButton="0" quotePrefix="0" xfId="22"/>
    <xf numFmtId="171" fontId="4" fillId="7" borderId="17" applyAlignment="1" pivotButton="0" quotePrefix="0" xfId="22">
      <alignment horizontal="center"/>
    </xf>
    <xf numFmtId="0" fontId="4" fillId="7" borderId="17" pivotButton="0" quotePrefix="0" xfId="22"/>
    <xf numFmtId="0" fontId="4" fillId="7" borderId="18" pivotButton="0" quotePrefix="0" xfId="22"/>
    <xf numFmtId="0" fontId="16" fillId="0" borderId="13" applyAlignment="1" pivotButton="0" quotePrefix="0" xfId="22">
      <alignment horizontal="left"/>
    </xf>
    <xf numFmtId="178" fontId="14" fillId="0" borderId="14" applyAlignment="1" pivotButton="0" quotePrefix="0" xfId="22">
      <alignment horizontal="right"/>
    </xf>
    <xf numFmtId="0" fontId="16" fillId="0" borderId="0" applyAlignment="1" pivotButton="0" quotePrefix="0" xfId="22">
      <alignment horizontal="left"/>
    </xf>
    <xf numFmtId="0" fontId="14" fillId="0" borderId="13" applyAlignment="1" pivotButton="0" quotePrefix="0" xfId="22">
      <alignment horizontal="left"/>
    </xf>
    <xf numFmtId="178" fontId="4" fillId="12" borderId="14" applyAlignment="1" pivotButton="0" quotePrefix="0" xfId="22">
      <alignment horizontal="center"/>
    </xf>
    <xf numFmtId="171" fontId="19" fillId="6" borderId="14" applyAlignment="1" pivotButton="0" quotePrefix="0" xfId="22">
      <alignment horizontal="center"/>
    </xf>
    <xf numFmtId="182" fontId="4" fillId="12" borderId="14" applyAlignment="1" pivotButton="0" quotePrefix="0" xfId="18">
      <alignment horizontal="center"/>
    </xf>
    <xf numFmtId="171" fontId="11" fillId="0" borderId="19" applyAlignment="1" pivotButton="0" quotePrefix="0" xfId="24">
      <alignment horizontal="center"/>
    </xf>
    <xf numFmtId="0" fontId="14" fillId="0" borderId="1" applyAlignment="1" pivotButton="0" quotePrefix="0" xfId="22">
      <alignment horizontal="left"/>
    </xf>
    <xf numFmtId="0" fontId="14" fillId="0" borderId="9" applyAlignment="1" pivotButton="0" quotePrefix="0" xfId="22">
      <alignment horizontal="right"/>
    </xf>
    <xf numFmtId="178" fontId="16" fillId="0" borderId="14" applyAlignment="1" pivotButton="0" quotePrefix="0" xfId="22">
      <alignment horizontal="center"/>
    </xf>
    <xf numFmtId="0" fontId="14" fillId="0" borderId="1" applyAlignment="1" pivotButton="0" quotePrefix="0" xfId="22">
      <alignment horizontal="right"/>
    </xf>
    <xf numFmtId="183" fontId="10" fillId="6" borderId="20" pivotButton="0" quotePrefix="0" xfId="22"/>
    <xf numFmtId="182" fontId="10" fillId="6" borderId="21" pivotButton="0" quotePrefix="0" xfId="10"/>
    <xf numFmtId="179" fontId="14" fillId="0" borderId="14" applyAlignment="1" pivotButton="0" quotePrefix="0" xfId="22">
      <alignment horizontal="right"/>
    </xf>
    <xf numFmtId="183" fontId="10" fillId="6" borderId="22" pivotButton="0" quotePrefix="0" xfId="22"/>
    <xf numFmtId="182" fontId="10" fillId="6" borderId="23" pivotButton="0" quotePrefix="0" xfId="10"/>
    <xf numFmtId="178" fontId="14" fillId="0" borderId="14" applyAlignment="1" pivotButton="0" quotePrefix="0" xfId="22">
      <alignment horizontal="center"/>
    </xf>
    <xf numFmtId="183" fontId="10" fillId="6" borderId="24" pivotButton="0" quotePrefix="0" xfId="22"/>
    <xf numFmtId="182" fontId="10" fillId="6" borderId="25" pivotButton="0" quotePrefix="0" xfId="10"/>
    <xf numFmtId="179" fontId="14" fillId="0" borderId="9" applyAlignment="1" pivotButton="0" quotePrefix="0" xfId="22">
      <alignment horizontal="right"/>
    </xf>
    <xf numFmtId="174" fontId="10" fillId="6" borderId="14" applyAlignment="1" pivotButton="0" quotePrefix="0" xfId="22">
      <alignment horizontal="center"/>
    </xf>
    <xf numFmtId="184" fontId="14" fillId="0" borderId="0" applyAlignment="1" pivotButton="0" quotePrefix="0" xfId="22">
      <alignment horizontal="right"/>
    </xf>
    <xf numFmtId="185" fontId="14" fillId="0" borderId="14" applyAlignment="1" pivotButton="0" quotePrefix="0" xfId="22">
      <alignment horizontal="right"/>
    </xf>
    <xf numFmtId="0" fontId="14" fillId="0" borderId="0" applyAlignment="1" pivotButton="0" quotePrefix="0" xfId="22">
      <alignment horizontal="right"/>
    </xf>
    <xf numFmtId="178" fontId="20" fillId="0" borderId="0" pivotButton="0" quotePrefix="0" xfId="22"/>
    <xf numFmtId="178" fontId="14" fillId="0" borderId="14" pivotButton="0" quotePrefix="0" xfId="22"/>
    <xf numFmtId="182" fontId="16" fillId="0" borderId="26" applyAlignment="1" pivotButton="0" quotePrefix="0" xfId="22">
      <alignment horizontal="center"/>
    </xf>
    <xf numFmtId="183" fontId="10" fillId="6" borderId="27" applyAlignment="1" pivotButton="0" quotePrefix="0" xfId="22">
      <alignment horizontal="right"/>
    </xf>
    <xf numFmtId="0" fontId="14" fillId="0" borderId="14" applyAlignment="1" pivotButton="0" quotePrefix="0" xfId="22">
      <alignment horizontal="right"/>
    </xf>
    <xf numFmtId="182" fontId="16" fillId="0" borderId="14" applyAlignment="1" pivotButton="0" quotePrefix="0" xfId="22">
      <alignment horizontal="center"/>
    </xf>
    <xf numFmtId="183" fontId="10" fillId="6" borderId="28" applyAlignment="1" pivotButton="0" quotePrefix="0" xfId="22">
      <alignment horizontal="right"/>
    </xf>
    <xf numFmtId="186" fontId="10" fillId="6" borderId="14" applyAlignment="1" pivotButton="0" quotePrefix="0" xfId="22">
      <alignment horizontal="right"/>
    </xf>
    <xf numFmtId="0" fontId="16" fillId="0" borderId="0" applyAlignment="1" pivotButton="0" quotePrefix="0" xfId="22">
      <alignment horizontal="right"/>
    </xf>
    <xf numFmtId="178" fontId="16" fillId="0" borderId="14" applyAlignment="1" pivotButton="0" quotePrefix="0" xfId="27">
      <alignment horizontal="right"/>
    </xf>
    <xf numFmtId="0" fontId="14" fillId="0" borderId="8" applyAlignment="1" pivotButton="0" quotePrefix="0" xfId="22">
      <alignment horizontal="left"/>
    </xf>
    <xf numFmtId="171" fontId="14" fillId="0" borderId="9" applyAlignment="1" pivotButton="0" quotePrefix="0" xfId="22">
      <alignment horizontal="right"/>
    </xf>
    <xf numFmtId="0" fontId="11" fillId="7" borderId="3" pivotButton="0" quotePrefix="0" xfId="22"/>
    <xf numFmtId="171" fontId="4" fillId="7" borderId="3" applyAlignment="1" pivotButton="0" quotePrefix="0" xfId="22">
      <alignment horizontal="center"/>
    </xf>
    <xf numFmtId="0" fontId="4" fillId="7" borderId="3" pivotButton="0" quotePrefix="0" xfId="22"/>
    <xf numFmtId="0" fontId="16" fillId="0" borderId="1" pivotButton="0" quotePrefix="0" xfId="22"/>
    <xf numFmtId="171" fontId="10" fillId="6" borderId="0" applyAlignment="1" pivotButton="0" quotePrefix="0" xfId="22">
      <alignment horizontal="center"/>
    </xf>
    <xf numFmtId="0" fontId="14" fillId="0" borderId="11" applyAlignment="1" pivotButton="0" quotePrefix="0" xfId="22">
      <alignment horizontal="right"/>
    </xf>
    <xf numFmtId="178" fontId="14" fillId="0" borderId="0" pivotButton="0" quotePrefix="0" xfId="22"/>
    <xf numFmtId="9" fontId="14" fillId="0" borderId="0" pivotButton="0" quotePrefix="0" xfId="22"/>
    <xf numFmtId="187" fontId="14" fillId="0" borderId="0" applyAlignment="1" pivotButton="0" quotePrefix="0" xfId="22">
      <alignment horizontal="center"/>
    </xf>
    <xf numFmtId="178" fontId="14" fillId="0" borderId="0" applyAlignment="1" pivotButton="0" quotePrefix="0" xfId="22">
      <alignment horizontal="right"/>
    </xf>
    <xf numFmtId="188" fontId="14" fillId="0" borderId="0" pivotButton="0" quotePrefix="0" xfId="22"/>
    <xf numFmtId="189" fontId="10" fillId="6" borderId="0" applyAlignment="1" pivotButton="0" quotePrefix="0" xfId="22">
      <alignment horizontal="center"/>
    </xf>
    <xf numFmtId="0" fontId="16" fillId="0" borderId="1" applyAlignment="1" pivotButton="0" quotePrefix="0" xfId="22">
      <alignment horizontal="left" wrapText="1"/>
    </xf>
    <xf numFmtId="0" fontId="16" fillId="0" borderId="1" applyAlignment="1" pivotButton="0" quotePrefix="0" xfId="22">
      <alignment horizontal="center" wrapText="1"/>
    </xf>
    <xf numFmtId="189" fontId="14" fillId="0" borderId="0" applyAlignment="1" pivotButton="0" quotePrefix="0" xfId="22">
      <alignment horizontal="center"/>
    </xf>
    <xf numFmtId="182" fontId="14" fillId="0" borderId="0" applyAlignment="1" pivotButton="0" quotePrefix="0" xfId="22">
      <alignment horizontal="center"/>
    </xf>
    <xf numFmtId="10" fontId="14" fillId="0" borderId="0" applyAlignment="1" pivotButton="0" quotePrefix="0" xfId="22">
      <alignment horizontal="center"/>
    </xf>
    <xf numFmtId="2" fontId="14" fillId="0" borderId="0" applyAlignment="1" pivotButton="0" quotePrefix="0" xfId="22">
      <alignment horizontal="center"/>
    </xf>
    <xf numFmtId="189" fontId="10" fillId="6" borderId="0" applyAlignment="1" pivotButton="0" quotePrefix="0" xfId="22">
      <alignment horizontal="left"/>
    </xf>
    <xf numFmtId="182" fontId="10" fillId="6" borderId="0" applyAlignment="1" pivotButton="0" quotePrefix="0" xfId="22">
      <alignment horizontal="center"/>
    </xf>
    <xf numFmtId="178" fontId="10" fillId="6" borderId="0" applyAlignment="1" pivotButton="0" quotePrefix="0" xfId="22">
      <alignment horizontal="center"/>
    </xf>
    <xf numFmtId="10" fontId="10" fillId="6" borderId="0" applyAlignment="1" pivotButton="0" quotePrefix="0" xfId="22">
      <alignment horizontal="center"/>
    </xf>
    <xf numFmtId="189" fontId="10" fillId="6" borderId="1" applyAlignment="1" pivotButton="0" quotePrefix="0" xfId="22">
      <alignment horizontal="left"/>
    </xf>
    <xf numFmtId="189" fontId="10" fillId="6" borderId="1" applyAlignment="1" pivotButton="0" quotePrefix="0" xfId="22">
      <alignment horizontal="center"/>
    </xf>
    <xf numFmtId="182" fontId="10" fillId="6" borderId="1" applyAlignment="1" pivotButton="0" quotePrefix="0" xfId="22">
      <alignment horizontal="center"/>
    </xf>
    <xf numFmtId="178" fontId="10" fillId="6" borderId="1" applyAlignment="1" pivotButton="0" quotePrefix="0" xfId="22">
      <alignment horizontal="center"/>
    </xf>
    <xf numFmtId="10" fontId="14" fillId="0" borderId="1" applyAlignment="1" pivotButton="0" quotePrefix="0" xfId="22">
      <alignment horizontal="center"/>
    </xf>
    <xf numFmtId="10" fontId="10" fillId="6" borderId="1" applyAlignment="1" pivotButton="0" quotePrefix="0" xfId="22">
      <alignment horizontal="center"/>
    </xf>
    <xf numFmtId="189" fontId="14" fillId="0" borderId="1" applyAlignment="1" pivotButton="0" quotePrefix="0" xfId="22">
      <alignment horizontal="center"/>
    </xf>
    <xf numFmtId="189" fontId="16" fillId="0" borderId="0" applyAlignment="1" pivotButton="0" quotePrefix="0" xfId="22">
      <alignment horizontal="right"/>
    </xf>
    <xf numFmtId="189" fontId="16" fillId="0" borderId="29" applyAlignment="1" pivotButton="0" quotePrefix="0" xfId="22">
      <alignment horizontal="center"/>
    </xf>
    <xf numFmtId="0" fontId="21" fillId="3" borderId="0" pivotButton="0" quotePrefix="0" xfId="24"/>
    <xf numFmtId="0" fontId="22" fillId="13" borderId="0" pivotButton="0" quotePrefix="0" xfId="24"/>
    <xf numFmtId="0" fontId="8" fillId="14" borderId="0" pivotButton="0" quotePrefix="0" xfId="24"/>
    <xf numFmtId="180" fontId="22" fillId="13" borderId="0" pivotButton="0" quotePrefix="0" xfId="24"/>
    <xf numFmtId="190" fontId="22" fillId="13" borderId="0" pivotButton="0" quotePrefix="0" xfId="24"/>
    <xf numFmtId="171" fontId="22" fillId="13" borderId="0" pivotButton="0" quotePrefix="0" xfId="24"/>
    <xf numFmtId="14" fontId="22" fillId="13" borderId="0" pivotButton="0" quotePrefix="0" xfId="24"/>
    <xf numFmtId="191" fontId="22" fillId="13" borderId="0" pivotButton="0" quotePrefix="0" xfId="24"/>
    <xf numFmtId="171" fontId="3" fillId="0" borderId="0" pivotButton="0" quotePrefix="0" xfId="24"/>
    <xf numFmtId="174" fontId="22" fillId="13" borderId="0" pivotButton="0" quotePrefix="0" xfId="24"/>
    <xf numFmtId="175" fontId="3" fillId="0" borderId="0" pivotButton="0" quotePrefix="0" xfId="24"/>
    <xf numFmtId="0" fontId="17" fillId="9" borderId="0" applyAlignment="1" pivotButton="0" quotePrefix="0" xfId="22">
      <alignment horizontal="center" wrapText="1"/>
    </xf>
    <xf numFmtId="0" fontId="14" fillId="0" borderId="0" pivotButton="0" quotePrefix="0" xfId="22"/>
    <xf numFmtId="0" fontId="16" fillId="0" borderId="1" applyAlignment="1" pivotButton="0" quotePrefix="0" xfId="22">
      <alignment horizontal="center"/>
    </xf>
    <xf numFmtId="0" fontId="0" fillId="0" borderId="1" pivotButton="0" quotePrefix="0" xfId="0"/>
    <xf numFmtId="0" fontId="16" fillId="0" borderId="10" applyAlignment="1" pivotButton="0" quotePrefix="0" xfId="22">
      <alignment horizontal="center"/>
    </xf>
    <xf numFmtId="0" fontId="0" fillId="0" borderId="11" pivotButton="0" quotePrefix="0" xfId="0"/>
    <xf numFmtId="0" fontId="15" fillId="9" borderId="1" applyAlignment="1" pivotButton="0" quotePrefix="0" xfId="22">
      <alignment horizontal="center"/>
    </xf>
    <xf numFmtId="171" fontId="4" fillId="0" borderId="0" applyAlignment="1" pivotButton="0" quotePrefix="0" xfId="30">
      <alignment horizontal="right" vertical="center"/>
    </xf>
    <xf numFmtId="171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200" fontId="0" fillId="0" borderId="0" pivotButton="0" quotePrefix="0" xfId="0"/>
    <xf numFmtId="169" fontId="11" fillId="7" borderId="0" applyAlignment="1" pivotButton="0" quotePrefix="0" xfId="21">
      <alignment horizontal="center"/>
    </xf>
    <xf numFmtId="0" fontId="23" fillId="15" borderId="0" applyAlignment="1" pivotButton="0" quotePrefix="0" xfId="0">
      <alignment horizontal="left"/>
    </xf>
    <xf numFmtId="0" fontId="24" fillId="16" borderId="0" pivotButton="0" quotePrefix="0" xfId="0"/>
    <xf numFmtId="3" fontId="24" fillId="17" borderId="0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0" fontId="25" fillId="16" borderId="0" pivotButton="0" quotePrefix="0" xfId="0"/>
    <xf numFmtId="171" fontId="24" fillId="17" borderId="0" applyAlignment="1" pivotButton="0" quotePrefix="0" xfId="0">
      <alignment horizontal="center"/>
    </xf>
    <xf numFmtId="171" fontId="24" fillId="0" borderId="0" applyAlignment="1" pivotButton="0" quotePrefix="0" xfId="0">
      <alignment horizontal="center"/>
    </xf>
    <xf numFmtId="201" fontId="22" fillId="13" borderId="0" pivotButton="0" quotePrefix="0" xfId="24"/>
  </cellXfs>
  <cellStyles count="35">
    <cellStyle name="Normal" xfId="0" builtinId="0"/>
    <cellStyle name="Comma" xfId="1"/>
    <cellStyle name="Comma 1" xfId="2"/>
    <cellStyle name="Comma 2" xfId="3"/>
    <cellStyle name="Comma 3" xfId="4"/>
    <cellStyle name="Comma [0]" xfId="5"/>
    <cellStyle name="Comma [0] 2" xfId="6"/>
    <cellStyle name="Comma [0] 3" xfId="7"/>
    <cellStyle name="Comma [0] 4" xfId="8"/>
    <cellStyle name="Currency" xfId="9"/>
    <cellStyle name="Currency 2" xfId="10"/>
    <cellStyle name="Currency 3" xfId="11"/>
    <cellStyle name="Currency 4" xfId="12"/>
    <cellStyle name="Currency 5" xfId="13"/>
    <cellStyle name="Currency [0]" xfId="14"/>
    <cellStyle name="Currency [0] 4" xfId="15"/>
    <cellStyle name="Currency [0] 5" xfId="16"/>
    <cellStyle name="Currency [0] 6" xfId="17"/>
    <cellStyle name="m/d/yy" xfId="18"/>
    <cellStyle name="Normal 3" xfId="19"/>
    <cellStyle name="Normal 2" xfId="20"/>
    <cellStyle name="Normal 2 2" xfId="21"/>
    <cellStyle name="Normal 2 3" xfId="22"/>
    <cellStyle name="Normal 4" xfId="23"/>
    <cellStyle name="Normal 5" xfId="24"/>
    <cellStyle name="Normal 6" xfId="25"/>
    <cellStyle name="Normal 7" xfId="26"/>
    <cellStyle name="Normal [3] 2" xfId="27"/>
    <cellStyle name="Output_dcfmodel" xfId="28"/>
    <cellStyle name="Percent" xfId="29"/>
    <cellStyle name="Percent 6" xfId="30"/>
    <cellStyle name="Percent 7" xfId="31"/>
    <cellStyle name="Percent 8" xfId="32"/>
    <cellStyle name="Porcentagem 3" xfId="33"/>
    <cellStyle name="Separador de milhares 2 17" xfId="34"/>
  </cellStyles>
  <dxfs count="24"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2CC"/>
      <rgbColor rgb="FF99CCFF"/>
      <rgbColor rgb="FFFF99CC"/>
      <rgbColor rgb="FFCC99FF"/>
      <rgbColor rgb="FFD9D9D9"/>
      <rgbColor rgb="FF4472C4"/>
      <rgbColor rgb="FF46B1E1"/>
      <rgbColor rgb="FF99CC00"/>
      <rgbColor rgb="FFFFCC00"/>
      <rgbColor rgb="FFFF9900"/>
      <rgbColor rgb="FFFF6600"/>
      <rgbColor rgb="FF666699"/>
      <rgbColor rgb="FF70AD47"/>
      <rgbColor rgb="FF17365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5"/>
  <sheetViews>
    <sheetView showGridLines="0" tabSelected="1" zoomScaleNormal="100" workbookViewId="0">
      <pane xSplit="3" ySplit="2" topLeftCell="D3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9.7109375" defaultRowHeight="12.75"/>
  <cols>
    <col width="90" customWidth="1" min="1" max="1"/>
    <col width="10.140625" customWidth="1" min="2" max="2"/>
    <col width="45" customWidth="1" min="3" max="3"/>
    <col width="12.42578125" customWidth="1" min="4" max="33"/>
  </cols>
  <sheetData>
    <row r="1" ht="14.25" customHeight="1">
      <c r="A1" s="1" t="inlineStr">
        <is>
          <t>Base histórica normalizada (US$ mil) — convertida da máscara anterior; linhas de origem auditáveis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14.25" customHeight="1">
      <c r="A2" s="2" t="inlineStr">
        <is>
          <t>Fonte / conta original</t>
        </is>
      </c>
      <c r="B2" s="2" t="inlineStr">
        <is>
          <t>Código</t>
        </is>
      </c>
      <c r="C2" s="2" t="inlineStr">
        <is>
          <t>Conta padronizada</t>
        </is>
      </c>
      <c r="D2" s="2" t="inlineStr">
        <is>
          <t>1Q21</t>
        </is>
      </c>
      <c r="E2" s="2" t="inlineStr">
        <is>
          <t>2Q21</t>
        </is>
      </c>
      <c r="F2" s="2" t="inlineStr">
        <is>
          <t>3Q21</t>
        </is>
      </c>
      <c r="G2" s="2" t="inlineStr">
        <is>
          <t>4Q21</t>
        </is>
      </c>
      <c r="H2" s="2" t="inlineStr">
        <is>
          <t>2021</t>
        </is>
      </c>
      <c r="I2" s="2" t="inlineStr">
        <is>
          <t>1Q22</t>
        </is>
      </c>
      <c r="J2" s="2" t="inlineStr">
        <is>
          <t>2Q22</t>
        </is>
      </c>
      <c r="K2" s="2" t="inlineStr">
        <is>
          <t>3Q22</t>
        </is>
      </c>
      <c r="L2" s="2" t="inlineStr">
        <is>
          <t>4Q22</t>
        </is>
      </c>
      <c r="M2" s="2" t="inlineStr">
        <is>
          <t>2022</t>
        </is>
      </c>
      <c r="N2" s="2" t="inlineStr">
        <is>
          <t>1Q23</t>
        </is>
      </c>
      <c r="O2" s="2" t="inlineStr">
        <is>
          <t>2Q23</t>
        </is>
      </c>
      <c r="P2" s="2" t="inlineStr">
        <is>
          <t>3Q23</t>
        </is>
      </c>
      <c r="Q2" s="2" t="inlineStr">
        <is>
          <t>4Q23</t>
        </is>
      </c>
      <c r="R2" s="2" t="inlineStr">
        <is>
          <t>2023</t>
        </is>
      </c>
      <c r="S2" s="2" t="inlineStr">
        <is>
          <t>1Q24</t>
        </is>
      </c>
      <c r="T2" s="2" t="inlineStr">
        <is>
          <t>2Q24</t>
        </is>
      </c>
      <c r="U2" s="2" t="inlineStr">
        <is>
          <t>3Q24</t>
        </is>
      </c>
      <c r="V2" s="2" t="inlineStr">
        <is>
          <t>4Q24</t>
        </is>
      </c>
      <c r="W2" s="2" t="inlineStr">
        <is>
          <t>2024</t>
        </is>
      </c>
      <c r="X2" s="2" t="inlineStr">
        <is>
          <t>1Q25</t>
        </is>
      </c>
      <c r="Y2" s="2" t="inlineStr">
        <is>
          <t>2Q25</t>
        </is>
      </c>
      <c r="Z2" s="2" t="inlineStr">
        <is>
          <t>3Q25</t>
        </is>
      </c>
      <c r="AA2" s="2" t="inlineStr">
        <is>
          <t>4Q25</t>
        </is>
      </c>
      <c r="AB2" s="2" t="inlineStr">
        <is>
          <t>2025</t>
        </is>
      </c>
      <c r="AC2" s="2" t="inlineStr">
        <is>
          <t>1Q26</t>
        </is>
      </c>
      <c r="AD2" s="2" t="inlineStr">
        <is>
          <t>2Q26</t>
        </is>
      </c>
      <c r="AE2" s="2" t="inlineStr">
        <is>
          <t>3Q26</t>
        </is>
      </c>
      <c r="AF2" s="2" t="inlineStr">
        <is>
          <t>4Q26</t>
        </is>
      </c>
      <c r="AG2" s="2" t="inlineStr">
        <is>
          <t>2026</t>
        </is>
      </c>
    </row>
    <row r="3">
      <c r="A3" t="inlineStr">
        <is>
          <t>Fonte: ver coluna A de cada linha</t>
        </is>
      </c>
      <c r="C3" t="inlineStr">
        <is>
          <t>Unidade: US$ mil (monetário); demais unidades × 1.000</t>
        </is>
      </c>
    </row>
    <row r="4">
      <c r="A4" t="inlineStr">
        <is>
          <t>DRE - trimestre isolado (USD). Brutos SEC XBRL; linhas "derivada" são fórmulas nesta aba</t>
        </is>
      </c>
      <c r="C4" t="inlineStr">
        <is>
          <t>[linha bruta, sem código; lançada nas linhas abaixo]</t>
        </is>
      </c>
      <c r="D4" s="265" t="n"/>
      <c r="E4" s="265" t="n"/>
      <c r="F4" s="265" t="n"/>
      <c r="G4" s="265" t="n"/>
      <c r="I4" s="265" t="n"/>
      <c r="J4" s="265" t="n"/>
      <c r="K4" s="265" t="n"/>
      <c r="L4" s="265" t="n"/>
      <c r="N4" s="265" t="n"/>
      <c r="O4" s="265" t="n"/>
      <c r="P4" s="265" t="n"/>
      <c r="Q4" s="265" t="n"/>
      <c r="S4" s="265" t="n"/>
      <c r="T4" s="265" t="n"/>
      <c r="U4" s="265" t="n"/>
      <c r="V4" s="265" t="n"/>
      <c r="X4" s="265" t="n"/>
      <c r="Y4" s="265" t="n"/>
      <c r="Z4" s="265" t="n"/>
      <c r="AA4" s="265" t="n"/>
      <c r="AC4" s="265" t="n"/>
      <c r="AD4" s="265" t="n"/>
    </row>
    <row r="5">
      <c r="A5" t="inlineStr">
        <is>
          <t>Receita [us-gaap:Revenues/RevenueFromContractWithCustomerExcludingAssessedTax] · fonte · unid. moeda</t>
        </is>
      </c>
      <c r="B5" t="n">
        <v>1</v>
      </c>
      <c r="C5" t="inlineStr">
        <is>
          <t>Net Revenues</t>
        </is>
      </c>
      <c r="D5" s="265" t="n">
        <v>17071000</v>
      </c>
      <c r="E5" s="265" t="n">
        <v>18253000</v>
      </c>
      <c r="F5" s="265" t="n">
        <v>18569000</v>
      </c>
      <c r="G5" s="265" t="n">
        <v>20303000</v>
      </c>
      <c r="I5" s="265" t="n">
        <v>12675000</v>
      </c>
      <c r="J5" s="265" t="n">
        <v>14127000</v>
      </c>
      <c r="K5" s="265" t="n">
        <v>14470000</v>
      </c>
      <c r="L5" s="265" t="n">
        <v>16828000</v>
      </c>
      <c r="N5" s="265" t="n">
        <v>7836000</v>
      </c>
      <c r="O5" s="265" t="n">
        <v>8755000</v>
      </c>
      <c r="P5" s="265" t="n">
        <v>9302000</v>
      </c>
      <c r="Q5" s="265" t="n">
        <v>9456000</v>
      </c>
      <c r="S5" s="265" t="n">
        <v>8955000</v>
      </c>
      <c r="T5" s="265" t="n">
        <v>9094000</v>
      </c>
      <c r="U5" s="265" t="n">
        <v>9842000</v>
      </c>
      <c r="V5" s="265" t="n">
        <v>10812000</v>
      </c>
      <c r="X5" s="265" t="n">
        <v>9935000</v>
      </c>
      <c r="Y5" s="265" t="n">
        <v>11023000</v>
      </c>
      <c r="Z5" s="265" t="n">
        <v>12181000</v>
      </c>
      <c r="AA5" s="265" t="n">
        <v>12717000</v>
      </c>
      <c r="AC5" s="265" t="n">
        <v>12392000</v>
      </c>
      <c r="AD5" s="265" t="n">
        <v>13349000</v>
      </c>
    </row>
    <row r="6">
      <c r="A6" t="inlineStr">
        <is>
          <t>Custo da receita (divulgado positivo) [us-gaap:CostOfRevenue/CostOfGoodsAndServicesSold] · fonte · unid. moeda</t>
        </is>
      </c>
      <c r="C6" t="inlineStr">
        <is>
          <t>[linha bruta, sem código; lançada nas linhas abaixo]</t>
        </is>
      </c>
      <c r="D6" s="265" t="n">
        <v>12538000</v>
      </c>
      <c r="E6" s="265" t="n">
        <v>13618000</v>
      </c>
      <c r="F6" s="265" t="n">
        <v>13401000</v>
      </c>
      <c r="G6" s="265" t="n">
        <v>14338000</v>
      </c>
      <c r="I6" s="265" t="n">
        <v>9774000</v>
      </c>
      <c r="J6" s="265" t="n">
        <v>10525000</v>
      </c>
      <c r="K6" s="265" t="n">
        <v>11534000</v>
      </c>
      <c r="L6" s="265" t="n">
        <v>12440000</v>
      </c>
      <c r="N6" s="265" t="n">
        <v>4998000</v>
      </c>
      <c r="O6" s="265" t="n">
        <v>5693000</v>
      </c>
      <c r="P6" s="265" t="n">
        <v>5992000</v>
      </c>
      <c r="Q6" s="265" t="n">
        <v>6256000</v>
      </c>
      <c r="S6" s="265" t="n">
        <v>5747000</v>
      </c>
      <c r="T6" s="265" t="n">
        <v>5574000</v>
      </c>
      <c r="U6" s="265" t="n">
        <v>6226000</v>
      </c>
      <c r="V6" s="265" t="n">
        <v>6761000</v>
      </c>
      <c r="X6" s="265" t="n">
        <v>5995000</v>
      </c>
      <c r="Y6" s="265" t="n">
        <v>6846000</v>
      </c>
      <c r="Z6" s="265" t="n">
        <v>7762000</v>
      </c>
      <c r="AA6" s="265" t="n">
        <v>8363000</v>
      </c>
      <c r="AC6" s="265" t="n">
        <v>7922000</v>
      </c>
      <c r="AD6" s="265" t="n">
        <v>8673000</v>
      </c>
    </row>
    <row r="7">
      <c r="A7" t="inlineStr">
        <is>
          <t>(lançamento) código 2, sinal -1 sobre a linha bruta 6: Custo da receita (divulgado positivo) [us-gaap:CostOfRevenue/CostOfGoodsAndServicesSold]</t>
        </is>
      </c>
      <c r="B7" t="n">
        <v>2</v>
      </c>
      <c r="C7" t="inlineStr">
        <is>
          <t>COGS (cash)</t>
        </is>
      </c>
      <c r="D7" s="265">
        <f>IF(D6="","",-1*D6)</f>
        <v>-12538000</v>
      </c>
      <c r="E7" s="265">
        <f>IF(E6="","",-1*E6)</f>
        <v>-13618000</v>
      </c>
      <c r="F7" s="265">
        <f>IF(F6="","",-1*F6)</f>
        <v>-13401000</v>
      </c>
      <c r="G7" s="265">
        <f>IF(G6="","",-1*G6)</f>
        <v>-14338000</v>
      </c>
      <c r="I7" s="265">
        <f>IF(I6="","",-1*I6)</f>
        <v>-9774000</v>
      </c>
      <c r="J7" s="265">
        <f>IF(J6="","",-1*J6)</f>
        <v>-10525000</v>
      </c>
      <c r="K7" s="265">
        <f>IF(K6="","",-1*K6)</f>
        <v>-11534000</v>
      </c>
      <c r="L7" s="265">
        <f>IF(L6="","",-1*L6)</f>
        <v>-12440000</v>
      </c>
      <c r="N7" s="265">
        <f>IF(N6="","",-1*N6)</f>
        <v>-4998000</v>
      </c>
      <c r="O7" s="265">
        <f>IF(O6="","",-1*O6)</f>
        <v>-5693000</v>
      </c>
      <c r="P7" s="265">
        <f>IF(P6="","",-1*P6)</f>
        <v>-5992000</v>
      </c>
      <c r="Q7" s="265">
        <f>IF(Q6="","",-1*Q6)</f>
        <v>-6256000</v>
      </c>
      <c r="S7" s="265">
        <f>IF(S6="","",-1*S6)</f>
        <v>-5747000</v>
      </c>
      <c r="T7" s="265">
        <f>IF(T6="","",-1*T6)</f>
        <v>-5574000</v>
      </c>
      <c r="U7" s="265">
        <f>IF(U6="","",-1*U6)</f>
        <v>-6226000</v>
      </c>
      <c r="V7" s="265">
        <f>IF(V6="","",-1*V6)</f>
        <v>-6761000</v>
      </c>
      <c r="X7" s="265">
        <f>IF(X6="","",-1*X6)</f>
        <v>-5995000</v>
      </c>
      <c r="Y7" s="265">
        <f>IF(Y6="","",-1*Y6)</f>
        <v>-6846000</v>
      </c>
      <c r="Z7" s="265">
        <f>IF(Z6="","",-1*Z6)</f>
        <v>-7762000</v>
      </c>
      <c r="AA7" s="265">
        <f>IF(AA6="","",-1*AA6)</f>
        <v>-8363000</v>
      </c>
      <c r="AC7" s="265">
        <f>IF(AC6="","",-1*AC6)</f>
        <v>-7922000</v>
      </c>
      <c r="AD7" s="265">
        <f>IF(AD6="","",-1*AD6)</f>
        <v>-8673000</v>
      </c>
    </row>
    <row r="8">
      <c r="A8" t="inlineStr">
        <is>
          <t>Lucro operacional DERIVADO = receita - custos e despesas totais [us-gaap:CostsAndExpenses] + despesa de juros (a companhia não divulga lucro operacional) · memoria · unid. moeda</t>
        </is>
      </c>
      <c r="C8" t="inlineStr">
        <is>
          <t>[linha bruta, sem código; lançada nas linhas abaixo]</t>
        </is>
      </c>
      <c r="D8" s="265" t="n">
        <v>65000</v>
      </c>
      <c r="E8" s="265" t="n">
        <v>-1282000</v>
      </c>
      <c r="F8" s="265" t="n">
        <v>694000</v>
      </c>
      <c r="G8" s="265" t="n">
        <v>-4107000</v>
      </c>
      <c r="I8" s="265" t="n">
        <v>-842000</v>
      </c>
      <c r="J8" s="265" t="n">
        <v>629000</v>
      </c>
      <c r="K8" s="265" t="n">
        <v>-36000</v>
      </c>
      <c r="L8" s="265" t="n">
        <v>-4478000</v>
      </c>
      <c r="N8" s="265" t="n">
        <v>-5970000</v>
      </c>
      <c r="O8" s="265" t="n">
        <v>1262000</v>
      </c>
      <c r="P8" s="265" t="n">
        <v>1448000</v>
      </c>
      <c r="Q8" s="265" t="n">
        <v>-8690000</v>
      </c>
      <c r="S8" s="265" t="n">
        <v>1244000</v>
      </c>
      <c r="T8" s="265" t="n">
        <v>1758000</v>
      </c>
      <c r="U8" s="265" t="n">
        <v>1123000</v>
      </c>
      <c r="V8" s="265" t="n">
        <v>2219000</v>
      </c>
      <c r="X8" s="265" t="n">
        <v>2153000</v>
      </c>
      <c r="Y8" s="265" t="n">
        <v>2249000</v>
      </c>
      <c r="Z8" s="265" t="n">
        <v>2455000</v>
      </c>
      <c r="AA8" s="265" t="n">
        <v>2499000</v>
      </c>
      <c r="AC8" s="265" t="n">
        <v>2444000</v>
      </c>
      <c r="AD8" s="265" t="n">
        <v>2704000</v>
      </c>
    </row>
    <row r="9">
      <c r="A9" t="inlineStr">
        <is>
          <t>Despesas operacionais = receita - custo - lucro operacional (P&amp;D + SG&amp;A + outras operacionais) · derivada · unid. moeda</t>
        </is>
      </c>
      <c r="C9" t="inlineStr">
        <is>
          <t>[linha bruta, sem código; lançada nas linhas abaixo]</t>
        </is>
      </c>
      <c r="D9" s="265">
        <f>N(D5)-N(D6)-N(D8)</f>
        <v>4468000</v>
      </c>
      <c r="E9" s="265">
        <f>N(E5)-N(E6)-N(E8)</f>
        <v>5917000</v>
      </c>
      <c r="F9" s="265">
        <f>N(F5)-N(F6)-N(F8)</f>
        <v>4474000</v>
      </c>
      <c r="G9" s="265">
        <f>N(G5)-N(G6)-N(G8)</f>
        <v>10072000</v>
      </c>
      <c r="I9" s="265">
        <f>N(I5)-N(I6)-N(I8)</f>
        <v>3743000</v>
      </c>
      <c r="J9" s="265">
        <f>N(J5)-N(J6)-N(J8)</f>
        <v>2973000</v>
      </c>
      <c r="K9" s="265">
        <f>N(K5)-N(K6)-N(K8)</f>
        <v>2972000</v>
      </c>
      <c r="L9" s="265">
        <f>N(L5)-N(L6)-N(L8)</f>
        <v>8866000</v>
      </c>
      <c r="N9" s="265">
        <f>N(N5)-N(N6)-N(N8)</f>
        <v>8808000</v>
      </c>
      <c r="O9" s="265">
        <f>N(O5)-N(O6)-N(O8)</f>
        <v>1800000</v>
      </c>
      <c r="P9" s="265">
        <f>N(P5)-N(P6)-N(P8)</f>
        <v>1862000</v>
      </c>
      <c r="Q9" s="265">
        <f>N(Q5)-N(Q6)-N(Q8)</f>
        <v>11890000</v>
      </c>
      <c r="S9" s="265">
        <f>N(S5)-N(S6)-N(S8)</f>
        <v>1964000</v>
      </c>
      <c r="T9" s="265">
        <f>N(T5)-N(T6)-N(T8)</f>
        <v>1762000</v>
      </c>
      <c r="U9" s="265">
        <f>N(U5)-N(U6)-N(U8)</f>
        <v>2493000</v>
      </c>
      <c r="V9" s="265">
        <f>N(V5)-N(V6)-N(V8)</f>
        <v>1832000</v>
      </c>
      <c r="X9" s="265">
        <f>N(X5)-N(X6)-N(X8)</f>
        <v>1787000</v>
      </c>
      <c r="Y9" s="265">
        <f>N(Y5)-N(Y6)-N(Y8)</f>
        <v>1928000</v>
      </c>
      <c r="Z9" s="265">
        <f>N(Z5)-N(Z6)-N(Z8)</f>
        <v>1964000</v>
      </c>
      <c r="AA9" s="265">
        <f>N(AA5)-N(AA6)-N(AA8)</f>
        <v>1855000</v>
      </c>
      <c r="AC9" s="265">
        <f>N(AC5)-N(AC6)-N(AC8)</f>
        <v>2026000</v>
      </c>
      <c r="AD9" s="265">
        <f>N(AD5)-N(AD6)-N(AD8)</f>
        <v>1972000</v>
      </c>
    </row>
    <row r="10">
      <c r="A10" t="inlineStr">
        <is>
          <t>(lançamento) código 3, sinal -1 sobre a linha bruta 9: Despesas operacionais = receita - custo - lucro operacional (P&amp;D + SG&amp;A + outras operacion</t>
        </is>
      </c>
      <c r="B10" t="n">
        <v>3</v>
      </c>
      <c r="C10" t="inlineStr">
        <is>
          <t>SG&amp;A and Other (cash)</t>
        </is>
      </c>
      <c r="D10" s="265">
        <f>IF(D9="","",-1*D9)</f>
        <v>-4468000</v>
      </c>
      <c r="E10" s="265">
        <f>IF(E9="","",-1*E9)</f>
        <v>-5917000</v>
      </c>
      <c r="F10" s="265">
        <f>IF(F9="","",-1*F9)</f>
        <v>-4474000</v>
      </c>
      <c r="G10" s="265">
        <f>IF(G9="","",-1*G9)</f>
        <v>-10072000</v>
      </c>
      <c r="I10" s="265">
        <f>IF(I9="","",-1*I9)</f>
        <v>-3743000</v>
      </c>
      <c r="J10" s="265">
        <f>IF(J9="","",-1*J9)</f>
        <v>-2973000</v>
      </c>
      <c r="K10" s="265">
        <f>IF(K9="","",-1*K9)</f>
        <v>-2972000</v>
      </c>
      <c r="L10" s="265">
        <f>IF(L9="","",-1*L9)</f>
        <v>-8866000</v>
      </c>
      <c r="N10" s="265">
        <f>IF(N9="","",-1*N9)</f>
        <v>-8808000</v>
      </c>
      <c r="O10" s="265">
        <f>IF(O9="","",-1*O9)</f>
        <v>-1800000</v>
      </c>
      <c r="P10" s="265">
        <f>IF(P9="","",-1*P9)</f>
        <v>-1862000</v>
      </c>
      <c r="Q10" s="265">
        <f>IF(Q9="","",-1*Q9)</f>
        <v>-11890000</v>
      </c>
      <c r="S10" s="265">
        <f>IF(S9="","",-1*S9)</f>
        <v>-1964000</v>
      </c>
      <c r="T10" s="265">
        <f>IF(T9="","",-1*T9)</f>
        <v>-1762000</v>
      </c>
      <c r="U10" s="265">
        <f>IF(U9="","",-1*U9)</f>
        <v>-2493000</v>
      </c>
      <c r="V10" s="265">
        <f>IF(V9="","",-1*V9)</f>
        <v>-1832000</v>
      </c>
      <c r="X10" s="265">
        <f>IF(X9="","",-1*X9)</f>
        <v>-1787000</v>
      </c>
      <c r="Y10" s="265">
        <f>IF(Y9="","",-1*Y9)</f>
        <v>-1928000</v>
      </c>
      <c r="Z10" s="265">
        <f>IF(Z9="","",-1*Z9)</f>
        <v>-1964000</v>
      </c>
      <c r="AA10" s="265">
        <f>IF(AA9="","",-1*AA9)</f>
        <v>-1855000</v>
      </c>
      <c r="AC10" s="265">
        <f>IF(AC9="","",-1*AC9)</f>
        <v>-2026000</v>
      </c>
      <c r="AD10" s="265">
        <f>IF(AD9="","",-1*AD9)</f>
        <v>-1972000</v>
      </c>
    </row>
    <row r="11">
      <c r="A11" t="inlineStr">
        <is>
          <t>Lucro antes do IR [us-gaap:IncomeLossFromContinuingOperationsBeforeIncomeTaxesExtraordi] · memoria · unid. moeda</t>
        </is>
      </c>
      <c r="C11" t="inlineStr">
        <is>
          <t>[linha bruta, sem código; lançada nas linhas abaixo]</t>
        </is>
      </c>
      <c r="D11" s="265" t="n">
        <v>238000</v>
      </c>
      <c r="E11" s="265" t="n">
        <v>-1037000</v>
      </c>
      <c r="F11" s="265" t="n">
        <v>584000</v>
      </c>
      <c r="G11" s="265" t="n">
        <v>-3467000</v>
      </c>
      <c r="I11" s="265" t="n">
        <v>-1180000</v>
      </c>
      <c r="J11" s="265" t="n">
        <v>-966000</v>
      </c>
      <c r="K11" s="265" t="n">
        <v>-232000</v>
      </c>
      <c r="L11" s="265" t="n">
        <v>2237000</v>
      </c>
      <c r="N11" s="265" t="n">
        <v>6492000</v>
      </c>
      <c r="O11" s="265" t="n">
        <v>1509000</v>
      </c>
      <c r="P11" s="265" t="n">
        <v>333000</v>
      </c>
      <c r="Q11" s="265" t="n">
        <v>2009000</v>
      </c>
      <c r="S11" s="265" t="n">
        <v>1987000</v>
      </c>
      <c r="T11" s="265" t="n">
        <v>1447000</v>
      </c>
      <c r="U11" s="265" t="n">
        <v>1893000</v>
      </c>
      <c r="V11" s="265" t="n">
        <v>2293000</v>
      </c>
      <c r="X11" s="265" t="n">
        <v>2245000</v>
      </c>
      <c r="Y11" s="265" t="n">
        <v>2389000</v>
      </c>
      <c r="Z11" s="265" t="n">
        <v>2515000</v>
      </c>
      <c r="AA11" s="265" t="n">
        <v>2851000</v>
      </c>
      <c r="AC11" s="265" t="n">
        <v>2198000</v>
      </c>
      <c r="AD11" s="265" t="n">
        <v>2801000</v>
      </c>
    </row>
    <row r="12">
      <c r="A12" t="inlineStr">
        <is>
          <t>Resultado não operacional total = lucro antes do IR - lucro operacional · derivada · unid. moeda</t>
        </is>
      </c>
      <c r="B12" t="n">
        <v>6</v>
      </c>
      <c r="C12" t="inlineStr">
        <is>
          <t>Nonoperating Income / (Loss)</t>
        </is>
      </c>
      <c r="D12" s="265">
        <f>N(D11)-N(D8)</f>
        <v>173000</v>
      </c>
      <c r="E12" s="265">
        <f>N(E11)-N(E8)</f>
        <v>245000</v>
      </c>
      <c r="F12" s="265">
        <f>N(F11)-N(F8)</f>
        <v>-110000</v>
      </c>
      <c r="G12" s="265">
        <f>N(G11)-N(G8)</f>
        <v>640000</v>
      </c>
      <c r="I12" s="265">
        <f>N(I11)-N(I8)</f>
        <v>-338000</v>
      </c>
      <c r="J12" s="265">
        <f>N(J11)-N(J8)</f>
        <v>-1595000</v>
      </c>
      <c r="K12" s="265">
        <f>N(K11)-N(K8)</f>
        <v>-196000</v>
      </c>
      <c r="L12" s="265">
        <f>N(L11)-N(L8)</f>
        <v>6715000</v>
      </c>
      <c r="N12" s="265">
        <f>N(N11)-N(N8)</f>
        <v>12462000</v>
      </c>
      <c r="O12" s="265">
        <f>N(O11)-N(O8)</f>
        <v>247000</v>
      </c>
      <c r="P12" s="265">
        <f>N(P11)-N(P8)</f>
        <v>-1115000</v>
      </c>
      <c r="Q12" s="265">
        <f>N(Q11)-N(Q8)</f>
        <v>10699000</v>
      </c>
      <c r="S12" s="265">
        <f>N(S11)-N(S8)</f>
        <v>743000</v>
      </c>
      <c r="T12" s="265">
        <f>N(T11)-N(T8)</f>
        <v>-311000</v>
      </c>
      <c r="U12" s="265">
        <f>N(U11)-N(U8)</f>
        <v>770000</v>
      </c>
      <c r="V12" s="265">
        <f>N(V11)-N(V8)</f>
        <v>74000</v>
      </c>
      <c r="X12" s="265">
        <f>N(X11)-N(X8)</f>
        <v>92000</v>
      </c>
      <c r="Y12" s="265">
        <f>N(Y11)-N(Y8)</f>
        <v>140000</v>
      </c>
      <c r="Z12" s="265">
        <f>N(Z11)-N(Z8)</f>
        <v>60000</v>
      </c>
      <c r="AA12" s="265">
        <f>N(AA11)-N(AA8)</f>
        <v>352000</v>
      </c>
      <c r="AC12" s="265">
        <f>N(AC11)-N(AC8)</f>
        <v>-246000</v>
      </c>
      <c r="AD12" s="265">
        <f>N(AD11)-N(AD8)</f>
        <v>97000</v>
      </c>
    </row>
    <row r="13">
      <c r="A13" t="inlineStr">
        <is>
          <t>Despesa de juros (divulgado positivo): COD1=5 lança; COD2=6 devolve ao não operacional, que já a contém [us-gaap:InterestExpense/InterestExpenseNonoperating] · fonte · unid. moeda</t>
        </is>
      </c>
      <c r="C13" t="inlineStr">
        <is>
          <t>[linha bruta, sem código; lançada nas linhas abaixo]</t>
        </is>
      </c>
      <c r="D13" s="265" t="n">
        <v>500000</v>
      </c>
      <c r="E13" s="265" t="n">
        <v>488000</v>
      </c>
      <c r="F13" s="265" t="n">
        <v>462000</v>
      </c>
      <c r="G13" s="265" t="n">
        <v>426000</v>
      </c>
      <c r="I13" s="265" t="n">
        <v>387000</v>
      </c>
      <c r="J13" s="265" t="n">
        <v>368000</v>
      </c>
      <c r="K13" s="265" t="n">
        <v>374000</v>
      </c>
      <c r="L13" s="265" t="n">
        <v>416000</v>
      </c>
      <c r="N13" s="265" t="n">
        <v>269000</v>
      </c>
      <c r="O13" s="265" t="n">
        <v>249000</v>
      </c>
      <c r="P13" s="265" t="n">
        <v>270000</v>
      </c>
      <c r="Q13" s="265" t="n">
        <v>296000</v>
      </c>
      <c r="S13" s="265" t="n">
        <v>263000</v>
      </c>
      <c r="T13" s="265" t="n">
        <v>248000</v>
      </c>
      <c r="U13" s="265" t="n">
        <v>251000</v>
      </c>
      <c r="V13" s="265" t="n">
        <v>224000</v>
      </c>
      <c r="X13" s="265" t="n">
        <v>210000</v>
      </c>
      <c r="Y13" s="265" t="n">
        <v>158000</v>
      </c>
      <c r="Z13" s="265" t="n">
        <v>225000</v>
      </c>
      <c r="AA13" s="265" t="n">
        <v>250000</v>
      </c>
      <c r="AC13" s="265" t="n">
        <v>230000</v>
      </c>
      <c r="AD13" s="265" t="n">
        <v>215000</v>
      </c>
    </row>
    <row r="14">
      <c r="A14" t="inlineStr">
        <is>
          <t>(lançamento) código 5, sinal -1 sobre a linha bruta 13: Despesa de juros (divulgado positivo): COD1=5 lança; COD2=6 devolve ao não operacional, qu</t>
        </is>
      </c>
      <c r="B14" t="n">
        <v>5</v>
      </c>
      <c r="C14" t="inlineStr">
        <is>
          <t>Interest Expense</t>
        </is>
      </c>
      <c r="D14" s="265">
        <f>IF(D13="","",-1*D13)</f>
        <v>-500000</v>
      </c>
      <c r="E14" s="265">
        <f>IF(E13="","",-1*E13)</f>
        <v>-488000</v>
      </c>
      <c r="F14" s="265">
        <f>IF(F13="","",-1*F13)</f>
        <v>-462000</v>
      </c>
      <c r="G14" s="265">
        <f>IF(G13="","",-1*G13)</f>
        <v>-426000</v>
      </c>
      <c r="I14" s="265">
        <f>IF(I13="","",-1*I13)</f>
        <v>-387000</v>
      </c>
      <c r="J14" s="265">
        <f>IF(J13="","",-1*J13)</f>
        <v>-368000</v>
      </c>
      <c r="K14" s="265">
        <f>IF(K13="","",-1*K13)</f>
        <v>-374000</v>
      </c>
      <c r="L14" s="265">
        <f>IF(L13="","",-1*L13)</f>
        <v>-416000</v>
      </c>
      <c r="N14" s="265">
        <f>IF(N13="","",-1*N13)</f>
        <v>-269000</v>
      </c>
      <c r="O14" s="265">
        <f>IF(O13="","",-1*O13)</f>
        <v>-249000</v>
      </c>
      <c r="P14" s="265">
        <f>IF(P13="","",-1*P13)</f>
        <v>-270000</v>
      </c>
      <c r="Q14" s="265">
        <f>IF(Q13="","",-1*Q13)</f>
        <v>-296000</v>
      </c>
      <c r="S14" s="265">
        <f>IF(S13="","",-1*S13)</f>
        <v>-263000</v>
      </c>
      <c r="T14" s="265">
        <f>IF(T13="","",-1*T13)</f>
        <v>-248000</v>
      </c>
      <c r="U14" s="265">
        <f>IF(U13="","",-1*U13)</f>
        <v>-251000</v>
      </c>
      <c r="V14" s="265">
        <f>IF(V13="","",-1*V13)</f>
        <v>-224000</v>
      </c>
      <c r="X14" s="265">
        <f>IF(X13="","",-1*X13)</f>
        <v>-210000</v>
      </c>
      <c r="Y14" s="265">
        <f>IF(Y13="","",-1*Y13)</f>
        <v>-158000</v>
      </c>
      <c r="Z14" s="265">
        <f>IF(Z13="","",-1*Z13)</f>
        <v>-225000</v>
      </c>
      <c r="AA14" s="265">
        <f>IF(AA13="","",-1*AA13)</f>
        <v>-250000</v>
      </c>
      <c r="AC14" s="265">
        <f>IF(AC13="","",-1*AC13)</f>
        <v>-230000</v>
      </c>
      <c r="AD14" s="265">
        <f>IF(AD13="","",-1*AD13)</f>
        <v>-215000</v>
      </c>
    </row>
    <row r="15">
      <c r="A15" t="inlineStr">
        <is>
          <t>(lançamento) código 6, sinal +1 sobre a linha bruta 13: Despesa de juros (divulgado positivo): COD1=5 lança; COD2=6 devolve ao não operacional, qu</t>
        </is>
      </c>
      <c r="B15" t="n">
        <v>6</v>
      </c>
      <c r="C15" t="inlineStr">
        <is>
          <t>Nonoperating Income / (Loss)</t>
        </is>
      </c>
      <c r="D15" s="265">
        <f>IF(D13="","",D13)</f>
        <v>500000</v>
      </c>
      <c r="E15" s="265">
        <f>IF(E13="","",E13)</f>
        <v>488000</v>
      </c>
      <c r="F15" s="265">
        <f>IF(F13="","",F13)</f>
        <v>462000</v>
      </c>
      <c r="G15" s="265">
        <f>IF(G13="","",G13)</f>
        <v>426000</v>
      </c>
      <c r="I15" s="265">
        <f>IF(I13="","",I13)</f>
        <v>387000</v>
      </c>
      <c r="J15" s="265">
        <f>IF(J13="","",J13)</f>
        <v>368000</v>
      </c>
      <c r="K15" s="265">
        <f>IF(K13="","",K13)</f>
        <v>374000</v>
      </c>
      <c r="L15" s="265">
        <f>IF(L13="","",L13)</f>
        <v>416000</v>
      </c>
      <c r="N15" s="265">
        <f>IF(N13="","",N13)</f>
        <v>269000</v>
      </c>
      <c r="O15" s="265">
        <f>IF(O13="","",O13)</f>
        <v>249000</v>
      </c>
      <c r="P15" s="265">
        <f>IF(P13="","",P13)</f>
        <v>270000</v>
      </c>
      <c r="Q15" s="265">
        <f>IF(Q13="","",Q13)</f>
        <v>296000</v>
      </c>
      <c r="S15" s="265">
        <f>IF(S13="","",S13)</f>
        <v>263000</v>
      </c>
      <c r="T15" s="265">
        <f>IF(T13="","",T13)</f>
        <v>248000</v>
      </c>
      <c r="U15" s="265">
        <f>IF(U13="","",U13)</f>
        <v>251000</v>
      </c>
      <c r="V15" s="265">
        <f>IF(V13="","",V13)</f>
        <v>224000</v>
      </c>
      <c r="X15" s="265">
        <f>IF(X13="","",X13)</f>
        <v>210000</v>
      </c>
      <c r="Y15" s="265">
        <f>IF(Y13="","",Y13)</f>
        <v>158000</v>
      </c>
      <c r="Z15" s="265">
        <f>IF(Z13="","",Z13)</f>
        <v>225000</v>
      </c>
      <c r="AA15" s="265">
        <f>IF(AA13="","",AA13)</f>
        <v>250000</v>
      </c>
      <c r="AC15" s="265">
        <f>IF(AC13="","",AC13)</f>
        <v>230000</v>
      </c>
      <c r="AD15" s="265">
        <f>IF(AD13="","",AD13)</f>
        <v>215000</v>
      </c>
    </row>
    <row r="16">
      <c r="A16" t="inlineStr">
        <is>
          <t>Imposto de renda (divulgado positivo) [us-gaap:IncomeTaxExpenseBenefit] · fonte · unid. moeda</t>
        </is>
      </c>
      <c r="C16" t="inlineStr">
        <is>
          <t>[linha bruta, sem código; lançada nas linhas abaixo]</t>
        </is>
      </c>
      <c r="D16" s="265" t="n">
        <v>142000</v>
      </c>
      <c r="E16" s="265" t="n">
        <v>-466000</v>
      </c>
      <c r="F16" s="265" t="n">
        <v>2000</v>
      </c>
      <c r="G16" s="265" t="n">
        <v>37000</v>
      </c>
      <c r="I16" s="265" t="n">
        <v>29000</v>
      </c>
      <c r="J16" s="265" t="n">
        <v>161000</v>
      </c>
      <c r="K16" s="265" t="n">
        <v>13000</v>
      </c>
      <c r="L16" s="265" t="n">
        <v>-65000</v>
      </c>
      <c r="N16" s="265" t="n">
        <v>271000</v>
      </c>
      <c r="O16" s="265" t="n">
        <v>253000</v>
      </c>
      <c r="P16" s="265" t="n">
        <v>26000</v>
      </c>
      <c r="Q16" s="265" t="n">
        <v>421000</v>
      </c>
      <c r="S16" s="265" t="n">
        <v>244000</v>
      </c>
      <c r="T16" s="265" t="n">
        <v>125000</v>
      </c>
      <c r="U16" s="265" t="n">
        <v>198000</v>
      </c>
      <c r="V16" s="265" t="n">
        <v>395000</v>
      </c>
      <c r="X16" s="265" t="n">
        <v>283000</v>
      </c>
      <c r="Y16" s="265" t="n">
        <v>388000</v>
      </c>
      <c r="Z16" s="265" t="n">
        <v>344000</v>
      </c>
      <c r="AA16" s="265" t="n">
        <v>390000</v>
      </c>
      <c r="AC16" s="265" t="n">
        <v>252000</v>
      </c>
      <c r="AD16" s="265" t="n">
        <v>407000</v>
      </c>
    </row>
    <row r="17">
      <c r="A17" t="inlineStr">
        <is>
          <t>(lançamento) código 7, sinal -1 sobre a linha bruta 16: Imposto de renda (divulgado positivo) [us-gaap:IncomeTaxExpenseBenefit]</t>
        </is>
      </c>
      <c r="B17" t="n">
        <v>7</v>
      </c>
      <c r="C17" t="inlineStr">
        <is>
          <t>Taxes</t>
        </is>
      </c>
      <c r="D17" s="265">
        <f>IF(D16="","",-1*D16)</f>
        <v>-142000</v>
      </c>
      <c r="E17" s="265">
        <f>IF(E16="","",-1*E16)</f>
        <v>466000</v>
      </c>
      <c r="F17" s="265">
        <f>IF(F16="","",-1*F16)</f>
        <v>-2000</v>
      </c>
      <c r="G17" s="265">
        <f>IF(G16="","",-1*G16)</f>
        <v>-37000</v>
      </c>
      <c r="I17" s="265">
        <f>IF(I16="","",-1*I16)</f>
        <v>-29000</v>
      </c>
      <c r="J17" s="265">
        <f>IF(J16="","",-1*J16)</f>
        <v>-161000</v>
      </c>
      <c r="K17" s="265">
        <f>IF(K16="","",-1*K16)</f>
        <v>-13000</v>
      </c>
      <c r="L17" s="265">
        <f>IF(L16="","",-1*L16)</f>
        <v>65000</v>
      </c>
      <c r="N17" s="265">
        <f>IF(N16="","",-1*N16)</f>
        <v>-271000</v>
      </c>
      <c r="O17" s="265">
        <f>IF(O16="","",-1*O16)</f>
        <v>-253000</v>
      </c>
      <c r="P17" s="265">
        <f>IF(P16="","",-1*P16)</f>
        <v>-26000</v>
      </c>
      <c r="Q17" s="265">
        <f>IF(Q16="","",-1*Q16)</f>
        <v>-421000</v>
      </c>
      <c r="S17" s="265">
        <f>IF(S16="","",-1*S16)</f>
        <v>-244000</v>
      </c>
      <c r="T17" s="265">
        <f>IF(T16="","",-1*T16)</f>
        <v>-125000</v>
      </c>
      <c r="U17" s="265">
        <f>IF(U16="","",-1*U16)</f>
        <v>-198000</v>
      </c>
      <c r="V17" s="265">
        <f>IF(V16="","",-1*V16)</f>
        <v>-395000</v>
      </c>
      <c r="X17" s="265">
        <f>IF(X16="","",-1*X16)</f>
        <v>-283000</v>
      </c>
      <c r="Y17" s="265">
        <f>IF(Y16="","",-1*Y16)</f>
        <v>-388000</v>
      </c>
      <c r="Z17" s="265">
        <f>IF(Z16="","",-1*Z16)</f>
        <v>-344000</v>
      </c>
      <c r="AA17" s="265">
        <f>IF(AA16="","",-1*AA16)</f>
        <v>-390000</v>
      </c>
      <c r="AC17" s="265">
        <f>IF(AC16="","",-1*AC16)</f>
        <v>-252000</v>
      </c>
      <c r="AD17" s="265">
        <f>IF(AD16="","",-1*AD16)</f>
        <v>-407000</v>
      </c>
    </row>
    <row r="18">
      <c r="A18" t="inlineStr">
        <is>
          <t>Lucro atribuído a não controladores (divulgado positivo) [us-gaap:NetIncomeLossAttributableToNoncontrollingInterest] · fonte · unid. moeda</t>
        </is>
      </c>
      <c r="C18" t="inlineStr">
        <is>
          <t>[linha bruta, sem código; lançada nas linhas abaixo]</t>
        </is>
      </c>
      <c r="D18" s="265" t="n">
        <v>5000</v>
      </c>
      <c r="E18" s="265" t="n">
        <v>-3000</v>
      </c>
      <c r="F18" s="265" t="n">
        <v>-73000</v>
      </c>
      <c r="G18" s="265" t="n">
        <v>1000</v>
      </c>
      <c r="I18" s="265" t="n">
        <v>28000</v>
      </c>
      <c r="J18" s="265" t="n">
        <v>19000</v>
      </c>
      <c r="K18" s="265" t="n">
        <v>4000</v>
      </c>
      <c r="L18" s="265" t="n">
        <v>16000</v>
      </c>
      <c r="N18" s="265" t="n">
        <v>-27000</v>
      </c>
      <c r="O18" s="265" t="n">
        <v>4000</v>
      </c>
      <c r="P18" s="265" t="n">
        <v>-14000</v>
      </c>
      <c r="Q18" s="265" t="n">
        <v>0</v>
      </c>
      <c r="S18" s="265" t="n">
        <v>27000</v>
      </c>
      <c r="T18" s="265" t="n">
        <v>2000</v>
      </c>
      <c r="U18" s="265" t="n">
        <v>-10000</v>
      </c>
      <c r="V18" s="265" t="n">
        <v>-8000</v>
      </c>
      <c r="X18" s="265" t="n">
        <v>-5000</v>
      </c>
      <c r="Y18" s="265" t="n">
        <v>-7000</v>
      </c>
      <c r="Z18" s="265" t="n">
        <v>-3000</v>
      </c>
      <c r="AA18" s="265" t="n">
        <v>10000</v>
      </c>
      <c r="AC18" s="265" t="n">
        <v>16000</v>
      </c>
      <c r="AD18" s="265" t="n">
        <v>-13000</v>
      </c>
    </row>
    <row r="19">
      <c r="A19" t="inlineStr">
        <is>
          <t>(lançamento) código 9, sinal -1 sobre a linha bruta 18: Lucro atribuído a não controladores (divulgado positivo) [us-gaap:NetIncomeLossAttributabl</t>
        </is>
      </c>
      <c r="B19" t="n">
        <v>9</v>
      </c>
      <c r="C19" t="inlineStr">
        <is>
          <t>Minority Interest Expense, after tax (enter as - )</t>
        </is>
      </c>
      <c r="D19" s="265">
        <f>IF(D18="","",-1*D18)</f>
        <v>-5000</v>
      </c>
      <c r="E19" s="265">
        <f>IF(E18="","",-1*E18)</f>
        <v>3000</v>
      </c>
      <c r="F19" s="265">
        <f>IF(F18="","",-1*F18)</f>
        <v>73000</v>
      </c>
      <c r="G19" s="265">
        <f>IF(G18="","",-1*G18)</f>
        <v>-1000</v>
      </c>
      <c r="I19" s="265">
        <f>IF(I18="","",-1*I18)</f>
        <v>-28000</v>
      </c>
      <c r="J19" s="265">
        <f>IF(J18="","",-1*J18)</f>
        <v>-19000</v>
      </c>
      <c r="K19" s="265">
        <f>IF(K18="","",-1*K18)</f>
        <v>-4000</v>
      </c>
      <c r="L19" s="265">
        <f>IF(L18="","",-1*L18)</f>
        <v>-16000</v>
      </c>
      <c r="N19" s="265">
        <f>IF(N18="","",-1*N18)</f>
        <v>27000</v>
      </c>
      <c r="O19" s="265">
        <f>IF(O18="","",-1*O18)</f>
        <v>-4000</v>
      </c>
      <c r="P19" s="265">
        <f>IF(P18="","",-1*P18)</f>
        <v>14000</v>
      </c>
      <c r="Q19" s="265">
        <f>IF(Q18="","",-1*Q18)</f>
        <v>0</v>
      </c>
      <c r="S19" s="265">
        <f>IF(S18="","",-1*S18)</f>
        <v>-27000</v>
      </c>
      <c r="T19" s="265">
        <f>IF(T18="","",-1*T18)</f>
        <v>-2000</v>
      </c>
      <c r="U19" s="265">
        <f>IF(U18="","",-1*U18)</f>
        <v>10000</v>
      </c>
      <c r="V19" s="265">
        <f>IF(V18="","",-1*V18)</f>
        <v>8000</v>
      </c>
      <c r="X19" s="265">
        <f>IF(X18="","",-1*X18)</f>
        <v>5000</v>
      </c>
      <c r="Y19" s="265">
        <f>IF(Y18="","",-1*Y18)</f>
        <v>7000</v>
      </c>
      <c r="Z19" s="265">
        <f>IF(Z18="","",-1*Z18)</f>
        <v>3000</v>
      </c>
      <c r="AA19" s="265">
        <f>IF(AA18="","",-1*AA18)</f>
        <v>-10000</v>
      </c>
      <c r="AC19" s="265">
        <f>IF(AC18="","",-1*AC18)</f>
        <v>-16000</v>
      </c>
      <c r="AD19" s="265">
        <f>IF(AD18="","",-1*AD18)</f>
        <v>13000</v>
      </c>
    </row>
    <row r="20">
      <c r="A20" t="inlineStr">
        <is>
          <t>Lucro líquido atribuído à companhia [us-gaap:NetIncomeLoss] · memoria · unid. moeda</t>
        </is>
      </c>
      <c r="C20" t="inlineStr">
        <is>
          <t>[linha bruta, sem código; lançada nas linhas abaixo]</t>
        </is>
      </c>
      <c r="D20" s="265" t="n">
        <v>-2802000</v>
      </c>
      <c r="E20" s="265" t="n">
        <v>-1131000</v>
      </c>
      <c r="F20" s="265" t="n">
        <v>1257000</v>
      </c>
      <c r="G20" s="265" t="n">
        <v>-3843000</v>
      </c>
      <c r="I20" s="265" t="n">
        <v>-1136000</v>
      </c>
      <c r="J20" s="265" t="n">
        <v>-882000</v>
      </c>
      <c r="K20" s="265" t="n">
        <v>161000</v>
      </c>
      <c r="L20" s="265" t="n">
        <v>2197000</v>
      </c>
      <c r="N20" s="265" t="n">
        <v>7508000</v>
      </c>
      <c r="O20" s="265" t="n">
        <v>33000</v>
      </c>
      <c r="P20" s="265" t="n">
        <v>352000</v>
      </c>
      <c r="Q20" s="265" t="n">
        <v>1589000</v>
      </c>
      <c r="S20" s="265" t="n">
        <v>1539000</v>
      </c>
      <c r="T20" s="265" t="n">
        <v>1266000</v>
      </c>
      <c r="U20" s="265" t="n">
        <v>1852000</v>
      </c>
      <c r="V20" s="265" t="n">
        <v>1899000</v>
      </c>
      <c r="X20" s="265" t="n">
        <v>1978000</v>
      </c>
      <c r="Y20" s="265" t="n">
        <v>2028000</v>
      </c>
      <c r="Z20" s="265" t="n">
        <v>2157000</v>
      </c>
      <c r="AA20" s="265" t="n">
        <v>2541000</v>
      </c>
      <c r="AC20" s="265" t="n">
        <v>1904000</v>
      </c>
      <c r="AD20" s="265" t="n">
        <v>2370000</v>
      </c>
    </row>
    <row r="21">
      <c r="A21" t="inlineStr">
        <is>
          <t>Resultado após IR não classificado acima (equivalência patrimonial, operações descontinuadas): lucro - (LAIR - IR - minoritários); zero quando não há · derivada · unid. moeda</t>
        </is>
      </c>
      <c r="B21" t="n">
        <v>8</v>
      </c>
      <c r="C21" t="inlineStr">
        <is>
          <t>Equity in Income of Affiliates, after tax (enter as +)</t>
        </is>
      </c>
      <c r="D21" s="265">
        <f>N(D20)-(N(D11)-N(D16)-N(D18))</f>
        <v>-2893000</v>
      </c>
      <c r="E21" s="265">
        <f>N(E20)-(N(E11)-N(E16)-N(E18))</f>
        <v>-563000</v>
      </c>
      <c r="F21" s="265">
        <f>N(F20)-(N(F11)-N(F16)-N(F18))</f>
        <v>602000</v>
      </c>
      <c r="G21" s="265">
        <f>N(G20)-(N(G11)-N(G16)-N(G18))</f>
        <v>-338000</v>
      </c>
      <c r="I21" s="265">
        <f>N(I20)-(N(I11)-N(I16)-N(I18))</f>
        <v>101000</v>
      </c>
      <c r="J21" s="265">
        <f>N(J20)-(N(J11)-N(J16)-N(J18))</f>
        <v>264000</v>
      </c>
      <c r="K21" s="265">
        <f>N(K20)-(N(K11)-N(K16)-N(K18))</f>
        <v>410000</v>
      </c>
      <c r="L21" s="265">
        <f>N(L20)-(N(L11)-N(L16)-N(L18))</f>
        <v>-89000</v>
      </c>
      <c r="N21" s="265">
        <f>N(N20)-(N(N11)-N(N16)-N(N18))</f>
        <v>1260000</v>
      </c>
      <c r="O21" s="265">
        <f>N(O20)-(N(O11)-N(O16)-N(O18))</f>
        <v>-1219000</v>
      </c>
      <c r="P21" s="265">
        <f>N(P20)-(N(P11)-N(P16)-N(P18))</f>
        <v>31000</v>
      </c>
      <c r="Q21" s="265">
        <f>N(Q20)-(N(Q11)-N(Q16)-N(Q18))</f>
        <v>1000</v>
      </c>
      <c r="S21" s="265">
        <f>N(S20)-(N(S11)-N(S16)-N(S18))</f>
        <v>-177000</v>
      </c>
      <c r="T21" s="265">
        <f>N(T20)-(N(T11)-N(T16)-N(T18))</f>
        <v>-54000</v>
      </c>
      <c r="U21" s="265">
        <f>N(U20)-(N(U11)-N(U16)-N(U18))</f>
        <v>147000</v>
      </c>
      <c r="V21" s="265">
        <f>N(V20)-(N(V11)-N(V16)-N(V18))</f>
        <v>-7000</v>
      </c>
      <c r="X21" s="265">
        <f>N(X20)-(N(X11)-N(X16)-N(X18))</f>
        <v>11000</v>
      </c>
      <c r="Y21" s="265">
        <f>N(Y20)-(N(Y11)-N(Y16)-N(Y18))</f>
        <v>20000</v>
      </c>
      <c r="Z21" s="265">
        <f>N(Z20)-(N(Z11)-N(Z16)-N(Z18))</f>
        <v>-17000</v>
      </c>
      <c r="AA21" s="265">
        <f>N(AA20)-(N(AA11)-N(AA16)-N(AA18))</f>
        <v>90000</v>
      </c>
      <c r="AC21" s="265">
        <f>N(AC20)-(N(AC11)-N(AC16)-N(AC18))</f>
        <v>-26000</v>
      </c>
      <c r="AD21" s="265">
        <f>N(AD20)-(N(AD11)-N(AD16)-N(AD18))</f>
        <v>-37000</v>
      </c>
    </row>
    <row r="22">
      <c r="A22" t="inlineStr">
        <is>
          <t>Lucro líquido (check IS, código 44) · derivada · unid. moeda</t>
        </is>
      </c>
      <c r="B22" t="n">
        <v>44</v>
      </c>
      <c r="C22" t="inlineStr">
        <is>
          <t>Lucro líquido (check IS, código 44)</t>
        </is>
      </c>
      <c r="D22" s="265">
        <f>N(D20)</f>
        <v>-2802000</v>
      </c>
      <c r="E22" s="265">
        <f>N(E20)</f>
        <v>-1131000</v>
      </c>
      <c r="F22" s="265">
        <f>N(F20)</f>
        <v>1257000</v>
      </c>
      <c r="G22" s="265">
        <f>N(G20)</f>
        <v>-3843000</v>
      </c>
      <c r="I22" s="265">
        <f>N(I20)</f>
        <v>-1136000</v>
      </c>
      <c r="J22" s="265">
        <f>N(J20)</f>
        <v>-882000</v>
      </c>
      <c r="K22" s="265">
        <f>N(K20)</f>
        <v>161000</v>
      </c>
      <c r="L22" s="265">
        <f>N(L20)</f>
        <v>2197000</v>
      </c>
      <c r="N22" s="265">
        <f>N(N20)</f>
        <v>7508000</v>
      </c>
      <c r="O22" s="265">
        <f>N(O20)</f>
        <v>33000</v>
      </c>
      <c r="P22" s="265">
        <f>N(P20)</f>
        <v>352000</v>
      </c>
      <c r="Q22" s="265">
        <f>N(Q20)</f>
        <v>1589000</v>
      </c>
      <c r="S22" s="265">
        <f>N(S20)</f>
        <v>1539000</v>
      </c>
      <c r="T22" s="265">
        <f>N(T20)</f>
        <v>1266000</v>
      </c>
      <c r="U22" s="265">
        <f>N(U20)</f>
        <v>1852000</v>
      </c>
      <c r="V22" s="265">
        <f>N(V20)</f>
        <v>1899000</v>
      </c>
      <c r="X22" s="265">
        <f>N(X20)</f>
        <v>1978000</v>
      </c>
      <c r="Y22" s="265">
        <f>N(Y20)</f>
        <v>2028000</v>
      </c>
      <c r="Z22" s="265">
        <f>N(Z20)</f>
        <v>2157000</v>
      </c>
      <c r="AA22" s="265">
        <f>N(AA20)</f>
        <v>2541000</v>
      </c>
      <c r="AC22" s="265">
        <f>N(AC20)</f>
        <v>1904000</v>
      </c>
      <c r="AD22" s="265">
        <f>N(AD20)</f>
        <v>2370000</v>
      </c>
    </row>
    <row r="23">
      <c r="A23" t="inlineStr">
        <is>
          <t>DFC - trimestre isolado (desacumulado na extração)</t>
        </is>
      </c>
      <c r="C23" t="inlineStr">
        <is>
          <t>[linha bruta, sem código; lançada nas linhas abaixo]</t>
        </is>
      </c>
      <c r="D23" s="265" t="n"/>
      <c r="E23" s="265" t="n"/>
      <c r="F23" s="265" t="n"/>
      <c r="G23" s="265" t="n"/>
      <c r="I23" s="265" t="n"/>
      <c r="J23" s="265" t="n"/>
      <c r="K23" s="265" t="n"/>
      <c r="L23" s="265" t="n"/>
      <c r="N23" s="265" t="n"/>
      <c r="O23" s="265" t="n"/>
      <c r="P23" s="265" t="n"/>
      <c r="Q23" s="265" t="n"/>
      <c r="S23" s="265" t="n"/>
      <c r="T23" s="265" t="n"/>
      <c r="U23" s="265" t="n"/>
      <c r="V23" s="265" t="n"/>
      <c r="X23" s="265" t="n"/>
      <c r="Y23" s="265" t="n"/>
      <c r="Z23" s="265" t="n"/>
      <c r="AA23" s="265" t="n"/>
      <c r="AC23" s="265" t="n"/>
      <c r="AD23" s="265" t="n"/>
    </row>
    <row r="24">
      <c r="A24" t="inlineStr">
        <is>
          <t>D&amp;A (fluxo de caixa). COD1=4 lança (positivo -&gt; -1); COD2=3 devolve às despesas operacionais (a companhia não abre D&amp;A entre custo e despesa) [us-gaap:DepreciationDepletionAndAmortization/DepreciationAmortizationAndImpairment] · fonte · unid. moeda</t>
        </is>
      </c>
      <c r="C24" t="inlineStr">
        <is>
          <t>[linha bruta, sem código; lançada nas linhas abaixo]</t>
        </is>
      </c>
      <c r="D24" s="265" t="n">
        <v>452000</v>
      </c>
      <c r="E24" s="265" t="n">
        <v>483000</v>
      </c>
      <c r="F24" s="265" t="n">
        <v>455000</v>
      </c>
      <c r="G24" s="265" t="n">
        <v>481000</v>
      </c>
      <c r="I24" s="265" t="n">
        <v>460000</v>
      </c>
      <c r="J24" s="265" t="n">
        <v>443000</v>
      </c>
      <c r="K24" s="265" t="n">
        <v>407000</v>
      </c>
      <c r="L24" s="265" t="n">
        <v>492000</v>
      </c>
      <c r="N24" s="265" t="n">
        <v>367000</v>
      </c>
      <c r="O24" s="265" t="n">
        <v>352000</v>
      </c>
      <c r="P24" s="265" t="n">
        <v>378000</v>
      </c>
      <c r="Q24" s="265" t="n">
        <v>376000</v>
      </c>
      <c r="S24" s="265" t="n">
        <v>378000</v>
      </c>
      <c r="T24" s="265" t="n">
        <v>199000</v>
      </c>
      <c r="U24" s="265" t="n">
        <v>224000</v>
      </c>
      <c r="V24" s="265" t="n">
        <v>209000</v>
      </c>
      <c r="X24" s="265" t="n">
        <v>210000</v>
      </c>
      <c r="Y24" s="265" t="n">
        <v>219000</v>
      </c>
      <c r="Z24" s="265" t="n">
        <v>214000</v>
      </c>
      <c r="AA24" s="265" t="n">
        <v>220000</v>
      </c>
      <c r="AC24" s="265" t="n">
        <v>227000</v>
      </c>
      <c r="AD24" s="265" t="n">
        <v>224000</v>
      </c>
    </row>
    <row r="25">
      <c r="A25" t="inlineStr">
        <is>
          <t>(lançamento) código 4, sinal -1 sobre a linha bruta 24: D&amp;A (fluxo de caixa). COD1=4 lança (positivo -&gt; -1); COD2=3 devolve às despesas operaciona</t>
        </is>
      </c>
      <c r="B25" t="n">
        <v>4</v>
      </c>
      <c r="C25" t="inlineStr">
        <is>
          <t>D&amp;A</t>
        </is>
      </c>
      <c r="D25" s="265">
        <f>IF(D24="","",-1*D24)</f>
        <v>-452000</v>
      </c>
      <c r="E25" s="265">
        <f>IF(E24="","",-1*E24)</f>
        <v>-483000</v>
      </c>
      <c r="F25" s="265">
        <f>IF(F24="","",-1*F24)</f>
        <v>-455000</v>
      </c>
      <c r="G25" s="265">
        <f>IF(G24="","",-1*G24)</f>
        <v>-481000</v>
      </c>
      <c r="I25" s="265">
        <f>IF(I24="","",-1*I24)</f>
        <v>-460000</v>
      </c>
      <c r="J25" s="265">
        <f>IF(J24="","",-1*J24)</f>
        <v>-443000</v>
      </c>
      <c r="K25" s="265">
        <f>IF(K24="","",-1*K24)</f>
        <v>-407000</v>
      </c>
      <c r="L25" s="265">
        <f>IF(L24="","",-1*L24)</f>
        <v>-492000</v>
      </c>
      <c r="N25" s="265">
        <f>IF(N24="","",-1*N24)</f>
        <v>-367000</v>
      </c>
      <c r="O25" s="265">
        <f>IF(O24="","",-1*O24)</f>
        <v>-352000</v>
      </c>
      <c r="P25" s="265">
        <f>IF(P24="","",-1*P24)</f>
        <v>-378000</v>
      </c>
      <c r="Q25" s="265">
        <f>IF(Q24="","",-1*Q24)</f>
        <v>-376000</v>
      </c>
      <c r="S25" s="265">
        <f>IF(S24="","",-1*S24)</f>
        <v>-378000</v>
      </c>
      <c r="T25" s="265">
        <f>IF(T24="","",-1*T24)</f>
        <v>-199000</v>
      </c>
      <c r="U25" s="265">
        <f>IF(U24="","",-1*U24)</f>
        <v>-224000</v>
      </c>
      <c r="V25" s="265">
        <f>IF(V24="","",-1*V24)</f>
        <v>-209000</v>
      </c>
      <c r="X25" s="265">
        <f>IF(X24="","",-1*X24)</f>
        <v>-210000</v>
      </c>
      <c r="Y25" s="265">
        <f>IF(Y24="","",-1*Y24)</f>
        <v>-219000</v>
      </c>
      <c r="Z25" s="265">
        <f>IF(Z24="","",-1*Z24)</f>
        <v>-214000</v>
      </c>
      <c r="AA25" s="265">
        <f>IF(AA24="","",-1*AA24)</f>
        <v>-220000</v>
      </c>
      <c r="AC25" s="265">
        <f>IF(AC24="","",-1*AC24)</f>
        <v>-227000</v>
      </c>
      <c r="AD25" s="265">
        <f>IF(AD24="","",-1*AD24)</f>
        <v>-224000</v>
      </c>
    </row>
    <row r="26">
      <c r="A26" t="inlineStr">
        <is>
          <t>(lançamento) código 3, sinal +1 sobre a linha bruta 24: D&amp;A (fluxo de caixa). COD1=4 lança (positivo -&gt; -1); COD2=3 devolve às despesas operaciona</t>
        </is>
      </c>
      <c r="B26" t="n">
        <v>3</v>
      </c>
      <c r="C26" t="inlineStr">
        <is>
          <t>SG&amp;A and Other (cash)</t>
        </is>
      </c>
      <c r="D26" s="265">
        <f>IF(D24="","",D24)</f>
        <v>452000</v>
      </c>
      <c r="E26" s="265">
        <f>IF(E24="","",E24)</f>
        <v>483000</v>
      </c>
      <c r="F26" s="265">
        <f>IF(F24="","",F24)</f>
        <v>455000</v>
      </c>
      <c r="G26" s="265">
        <f>IF(G24="","",G24)</f>
        <v>481000</v>
      </c>
      <c r="I26" s="265">
        <f>IF(I24="","",I24)</f>
        <v>460000</v>
      </c>
      <c r="J26" s="265">
        <f>IF(J24="","",J24)</f>
        <v>443000</v>
      </c>
      <c r="K26" s="265">
        <f>IF(K24="","",K24)</f>
        <v>407000</v>
      </c>
      <c r="L26" s="265">
        <f>IF(L24="","",L24)</f>
        <v>492000</v>
      </c>
      <c r="N26" s="265">
        <f>IF(N24="","",N24)</f>
        <v>367000</v>
      </c>
      <c r="O26" s="265">
        <f>IF(O24="","",O24)</f>
        <v>352000</v>
      </c>
      <c r="P26" s="265">
        <f>IF(P24="","",P24)</f>
        <v>378000</v>
      </c>
      <c r="Q26" s="265">
        <f>IF(Q24="","",Q24)</f>
        <v>376000</v>
      </c>
      <c r="S26" s="265">
        <f>IF(S24="","",S24)</f>
        <v>378000</v>
      </c>
      <c r="T26" s="265">
        <f>IF(T24="","",T24)</f>
        <v>199000</v>
      </c>
      <c r="U26" s="265">
        <f>IF(U24="","",U24)</f>
        <v>224000</v>
      </c>
      <c r="V26" s="265">
        <f>IF(V24="","",V24)</f>
        <v>209000</v>
      </c>
      <c r="X26" s="265">
        <f>IF(X24="","",X24)</f>
        <v>210000</v>
      </c>
      <c r="Y26" s="265">
        <f>IF(Y24="","",Y24)</f>
        <v>219000</v>
      </c>
      <c r="Z26" s="265">
        <f>IF(Z24="","",Z24)</f>
        <v>214000</v>
      </c>
      <c r="AA26" s="265">
        <f>IF(AA24="","",AA24)</f>
        <v>220000</v>
      </c>
      <c r="AC26" s="265">
        <f>IF(AC24="","",AC24)</f>
        <v>227000</v>
      </c>
      <c r="AD26" s="265">
        <f>IF(AD24="","",AD24)</f>
        <v>224000</v>
      </c>
    </row>
    <row r="27">
      <c r="A27" t="inlineStr">
        <is>
          <t>Dividendos pagos [us-gaap:PaymentsOfDividends] · fonte · unid. moeda</t>
        </is>
      </c>
      <c r="C27" t="inlineStr">
        <is>
          <t>[linha bruta, sem código; lançada nas linhas abaixo]</t>
        </is>
      </c>
      <c r="D27" s="265" t="n">
        <v>148000</v>
      </c>
      <c r="E27" s="265" t="n">
        <v>144000</v>
      </c>
      <c r="F27" s="265" t="n">
        <v>139000</v>
      </c>
      <c r="G27" s="265" t="n">
        <v>144000</v>
      </c>
      <c r="I27" s="265" t="n">
        <v>140000</v>
      </c>
      <c r="J27" s="265" t="n">
        <v>154000</v>
      </c>
      <c r="K27" s="265" t="n">
        <v>161000</v>
      </c>
      <c r="L27" s="265" t="n">
        <v>184000</v>
      </c>
      <c r="N27" s="265" t="n">
        <v>203000</v>
      </c>
      <c r="O27" s="265" t="n">
        <v>147000</v>
      </c>
      <c r="P27" s="265" t="n">
        <v>151000</v>
      </c>
      <c r="Q27" s="265" t="n">
        <v>88000</v>
      </c>
      <c r="S27" s="265" t="n">
        <v>86000</v>
      </c>
      <c r="T27" s="265" t="n">
        <v>308000</v>
      </c>
      <c r="U27" s="265" t="n">
        <v>308000</v>
      </c>
      <c r="V27" s="265" t="n">
        <v>306000</v>
      </c>
      <c r="X27" s="265" t="n">
        <v>302000</v>
      </c>
      <c r="Y27" s="265" t="n">
        <v>386000</v>
      </c>
      <c r="Z27" s="265" t="n">
        <v>383000</v>
      </c>
      <c r="AA27" s="265" t="n">
        <v>381000</v>
      </c>
      <c r="AC27" s="265" t="n">
        <v>381000</v>
      </c>
      <c r="AD27" s="265" t="n">
        <v>492000</v>
      </c>
    </row>
    <row r="28">
      <c r="A28" t="inlineStr">
        <is>
          <t>(lançamento) código 10, sinal -1 sobre a linha bruta 27: Dividendos pagos [us-gaap:PaymentsOfDividends]</t>
        </is>
      </c>
      <c r="B28" t="n">
        <v>10</v>
      </c>
      <c r="C28" t="inlineStr">
        <is>
          <t>Common Dividends</t>
        </is>
      </c>
      <c r="D28" s="265">
        <f>IF(D27="","",-1*D27)</f>
        <v>-148000</v>
      </c>
      <c r="E28" s="265">
        <f>IF(E27="","",-1*E27)</f>
        <v>-144000</v>
      </c>
      <c r="F28" s="265">
        <f>IF(F27="","",-1*F27)</f>
        <v>-139000</v>
      </c>
      <c r="G28" s="265">
        <f>IF(G27="","",-1*G27)</f>
        <v>-144000</v>
      </c>
      <c r="I28" s="265">
        <f>IF(I27="","",-1*I27)</f>
        <v>-140000</v>
      </c>
      <c r="J28" s="265">
        <f>IF(J27="","",-1*J27)</f>
        <v>-154000</v>
      </c>
      <c r="K28" s="265">
        <f>IF(K27="","",-1*K27)</f>
        <v>-161000</v>
      </c>
      <c r="L28" s="265">
        <f>IF(L27="","",-1*L27)</f>
        <v>-184000</v>
      </c>
      <c r="N28" s="265">
        <f>IF(N27="","",-1*N27)</f>
        <v>-203000</v>
      </c>
      <c r="O28" s="265">
        <f>IF(O27="","",-1*O27)</f>
        <v>-147000</v>
      </c>
      <c r="P28" s="265">
        <f>IF(P27="","",-1*P27)</f>
        <v>-151000</v>
      </c>
      <c r="Q28" s="265">
        <f>IF(Q27="","",-1*Q27)</f>
        <v>-88000</v>
      </c>
      <c r="S28" s="265">
        <f>IF(S27="","",-1*S27)</f>
        <v>-86000</v>
      </c>
      <c r="T28" s="265">
        <f>IF(T27="","",-1*T27)</f>
        <v>-308000</v>
      </c>
      <c r="U28" s="265">
        <f>IF(U27="","",-1*U27)</f>
        <v>-308000</v>
      </c>
      <c r="V28" s="265">
        <f>IF(V27="","",-1*V27)</f>
        <v>-306000</v>
      </c>
      <c r="X28" s="265">
        <f>IF(X27="","",-1*X27)</f>
        <v>-302000</v>
      </c>
      <c r="Y28" s="265">
        <f>IF(Y27="","",-1*Y27)</f>
        <v>-386000</v>
      </c>
      <c r="Z28" s="265">
        <f>IF(Z27="","",-1*Z27)</f>
        <v>-383000</v>
      </c>
      <c r="AA28" s="265">
        <f>IF(AA27="","",-1*AA27)</f>
        <v>-381000</v>
      </c>
      <c r="AC28" s="265">
        <f>IF(AC27="","",-1*AC27)</f>
        <v>-381000</v>
      </c>
      <c r="AD28" s="265">
        <f>IF(AD27="","",-1*AD27)</f>
        <v>-492000</v>
      </c>
    </row>
    <row r="29">
      <c r="A29" t="inlineStr">
        <is>
          <t>BALANÇO DE FACE (USD, saldo no fim do trimestre; cada trimestre lido da instância do próprio 10-Q/10-K)</t>
        </is>
      </c>
      <c r="C29" t="inlineStr">
        <is>
          <t>[linha bruta, sem código; lançada nas linhas abaixo]</t>
        </is>
      </c>
      <c r="D29" s="265" t="n"/>
      <c r="E29" s="265" t="n"/>
      <c r="F29" s="265" t="n"/>
      <c r="G29" s="265" t="n"/>
      <c r="I29" s="265" t="n"/>
      <c r="J29" s="265" t="n"/>
      <c r="K29" s="265" t="n"/>
      <c r="L29" s="265" t="n"/>
      <c r="N29" s="265" t="n"/>
      <c r="O29" s="265" t="n"/>
      <c r="P29" s="265" t="n"/>
      <c r="Q29" s="265" t="n"/>
      <c r="S29" s="265" t="n"/>
      <c r="T29" s="265" t="n"/>
      <c r="U29" s="265" t="n"/>
      <c r="V29" s="265" t="n"/>
      <c r="X29" s="265" t="n"/>
      <c r="Y29" s="265" t="n"/>
      <c r="Z29" s="265" t="n"/>
      <c r="AA29" s="265" t="n"/>
      <c r="AC29" s="265" t="n"/>
      <c r="AD29" s="265" t="n"/>
    </row>
    <row r="30">
      <c r="A30" t="inlineStr">
        <is>
          <t>CashCashEquivalentsRestrictedCashAndRestrictedCashEquivalents · fonte · unid. moeda</t>
        </is>
      </c>
      <c r="B30" t="n">
        <v>11</v>
      </c>
      <c r="C30" t="inlineStr">
        <is>
          <t>Cash and equivalents (inc. investment securities)</t>
        </is>
      </c>
      <c r="D30" s="265" t="n">
        <v>31783000</v>
      </c>
      <c r="E30" s="265" t="n">
        <v>22460000</v>
      </c>
      <c r="F30" s="265" t="n">
        <v>24955000</v>
      </c>
      <c r="G30" s="265" t="n">
        <v>15770000</v>
      </c>
      <c r="I30" s="265" t="n">
        <v>12842000</v>
      </c>
      <c r="J30" s="265" t="n">
        <v>13190000</v>
      </c>
      <c r="K30" s="265" t="n">
        <v>12596000</v>
      </c>
      <c r="L30" s="265" t="n">
        <v>17262000</v>
      </c>
      <c r="N30" s="265" t="n">
        <v>12001000</v>
      </c>
      <c r="O30" s="265" t="n">
        <v>12766000</v>
      </c>
      <c r="P30" s="265" t="n">
        <v>13127000</v>
      </c>
      <c r="Q30" s="265" t="n">
        <v>16967000</v>
      </c>
      <c r="S30" s="265" t="n">
        <v>18447000</v>
      </c>
      <c r="T30" s="265" t="n">
        <v>12107000</v>
      </c>
      <c r="U30" s="265" t="n">
        <v>13724000</v>
      </c>
      <c r="V30" s="265" t="n">
        <v>13619000</v>
      </c>
      <c r="X30" s="265" t="n">
        <v>12405000</v>
      </c>
      <c r="Y30" s="265" t="n">
        <v>10861000</v>
      </c>
      <c r="Z30" s="265" t="n">
        <v>12501000</v>
      </c>
      <c r="AA30" s="265" t="n">
        <v>12392000</v>
      </c>
      <c r="AC30" s="265" t="n">
        <v>10981000</v>
      </c>
      <c r="AD30" s="265" t="n">
        <v>9345000</v>
      </c>
    </row>
    <row r="31">
      <c r="A31" t="inlineStr">
        <is>
          <t>AccountsReceivableNetCurrent · fonte · unid. moeda</t>
        </is>
      </c>
      <c r="B31" t="n">
        <v>12</v>
      </c>
      <c r="C31" t="inlineStr">
        <is>
          <t>Accounts receivable</t>
        </is>
      </c>
      <c r="D31" s="265" t="n">
        <v>15381000</v>
      </c>
      <c r="E31" s="265" t="n">
        <v>15190000</v>
      </c>
      <c r="F31" s="265" t="n">
        <v>14874000</v>
      </c>
      <c r="G31" s="265" t="n">
        <v>0</v>
      </c>
      <c r="I31" s="265" t="n">
        <v>0</v>
      </c>
      <c r="J31" s="265" t="n">
        <v>0</v>
      </c>
      <c r="K31" s="265" t="n">
        <v>0</v>
      </c>
      <c r="L31" s="265" t="n">
        <v>0</v>
      </c>
      <c r="N31" s="265" t="n">
        <v>0</v>
      </c>
      <c r="O31" s="265" t="n">
        <v>0</v>
      </c>
      <c r="P31" s="265" t="n">
        <v>0</v>
      </c>
      <c r="Q31" s="265" t="n">
        <v>0</v>
      </c>
      <c r="S31" s="265" t="n">
        <v>0</v>
      </c>
      <c r="T31" s="265" t="n">
        <v>0</v>
      </c>
      <c r="U31" s="265" t="n">
        <v>0</v>
      </c>
      <c r="V31" s="265" t="n">
        <v>0</v>
      </c>
      <c r="X31" s="265" t="n">
        <v>0</v>
      </c>
      <c r="Y31" s="265" t="n">
        <v>0</v>
      </c>
      <c r="Z31" s="265" t="n">
        <v>0</v>
      </c>
      <c r="AA31" s="265" t="n">
        <v>0</v>
      </c>
      <c r="AC31" s="265" t="n">
        <v>0</v>
      </c>
      <c r="AD31" s="265" t="n">
        <v>0</v>
      </c>
    </row>
    <row r="32">
      <c r="A32" t="inlineStr">
        <is>
          <t>ReceivablesNetCurrent · fonte · unid. moeda</t>
        </is>
      </c>
      <c r="B32" t="n">
        <v>12</v>
      </c>
      <c r="C32" t="inlineStr">
        <is>
          <t>Accounts receivable</t>
        </is>
      </c>
      <c r="D32" s="265" t="n">
        <v>0</v>
      </c>
      <c r="E32" s="265" t="n">
        <v>0</v>
      </c>
      <c r="F32" s="265" t="n">
        <v>0</v>
      </c>
      <c r="G32" s="265" t="n">
        <v>15620000</v>
      </c>
      <c r="I32" s="265" t="n">
        <v>16050000</v>
      </c>
      <c r="J32" s="265" t="n">
        <v>16283000</v>
      </c>
      <c r="K32" s="265" t="n">
        <v>17197000</v>
      </c>
      <c r="L32" s="265" t="n">
        <v>17976000</v>
      </c>
      <c r="N32" s="265" t="n">
        <v>14212000</v>
      </c>
      <c r="O32" s="265" t="n">
        <v>14767000</v>
      </c>
      <c r="P32" s="265" t="n">
        <v>14546000</v>
      </c>
      <c r="Q32" s="265" t="n">
        <v>15466000</v>
      </c>
      <c r="S32" s="265" t="n">
        <v>15100000</v>
      </c>
      <c r="T32" s="265" t="n">
        <v>8370000</v>
      </c>
      <c r="U32" s="265" t="n">
        <v>8936000</v>
      </c>
      <c r="V32" s="265" t="n">
        <v>9327000</v>
      </c>
      <c r="X32" s="265" t="n">
        <v>9653000</v>
      </c>
      <c r="Y32" s="265" t="n">
        <v>10512000</v>
      </c>
      <c r="Z32" s="265" t="n">
        <v>10671000</v>
      </c>
      <c r="AA32" s="265" t="n">
        <v>11773000</v>
      </c>
      <c r="AC32" s="265" t="n">
        <v>12466000</v>
      </c>
      <c r="AD32" s="265" t="n">
        <v>12360000</v>
      </c>
    </row>
    <row r="33">
      <c r="A33" t="inlineStr">
        <is>
          <t>InventoryNet · fonte · unid. moeda</t>
        </is>
      </c>
      <c r="B33" t="n">
        <v>13</v>
      </c>
      <c r="C33" t="inlineStr">
        <is>
          <t>Inventories</t>
        </is>
      </c>
      <c r="D33" s="265" t="n">
        <v>16530000</v>
      </c>
      <c r="E33" s="265" t="n">
        <v>17016000</v>
      </c>
      <c r="F33" s="265" t="n">
        <v>16790000</v>
      </c>
      <c r="G33" s="265" t="n">
        <v>15847000</v>
      </c>
      <c r="I33" s="265" t="n">
        <v>16570000</v>
      </c>
      <c r="J33" s="265" t="n">
        <v>17553000</v>
      </c>
      <c r="K33" s="265" t="n">
        <v>17536000</v>
      </c>
      <c r="L33" s="265" t="n">
        <v>17403000</v>
      </c>
      <c r="N33" s="265" t="n">
        <v>16198000</v>
      </c>
      <c r="O33" s="265" t="n">
        <v>16789000</v>
      </c>
      <c r="P33" s="265" t="n">
        <v>17020000</v>
      </c>
      <c r="Q33" s="265" t="n">
        <v>16528000</v>
      </c>
      <c r="S33" s="265" t="n">
        <v>17603000</v>
      </c>
      <c r="T33" s="265" t="n">
        <v>9469000</v>
      </c>
      <c r="U33" s="265" t="n">
        <v>9718000</v>
      </c>
      <c r="V33" s="265" t="n">
        <v>9763000</v>
      </c>
      <c r="X33" s="265" t="n">
        <v>10504000</v>
      </c>
      <c r="Y33" s="265" t="n">
        <v>11297000</v>
      </c>
      <c r="Z33" s="265" t="n">
        <v>11667000</v>
      </c>
      <c r="AA33" s="265" t="n">
        <v>11868000</v>
      </c>
      <c r="AC33" s="265" t="n">
        <v>12367000</v>
      </c>
      <c r="AD33" s="265" t="n">
        <v>12440000</v>
      </c>
    </row>
    <row r="34">
      <c r="A34" t="inlineStr">
        <is>
          <t>DeferredIncomeTaxAssetsNet · fonte · unid. moeda</t>
        </is>
      </c>
      <c r="B34" t="n">
        <v>14</v>
      </c>
      <c r="C34" t="inlineStr">
        <is>
          <t>Deferred income taxes</t>
        </is>
      </c>
      <c r="D34" s="265" t="n">
        <v>14232000</v>
      </c>
      <c r="E34" s="265" t="n">
        <v>14864000</v>
      </c>
      <c r="F34" s="265" t="n">
        <v>14466000</v>
      </c>
      <c r="G34" s="265" t="n">
        <v>10855000</v>
      </c>
      <c r="I34" s="265" t="n">
        <v>10583000</v>
      </c>
      <c r="J34" s="265" t="n">
        <v>10956000</v>
      </c>
      <c r="K34" s="265" t="n">
        <v>11504000</v>
      </c>
      <c r="L34" s="265" t="n">
        <v>11705000</v>
      </c>
      <c r="N34" s="265" t="n">
        <v>10344000</v>
      </c>
      <c r="O34" s="265" t="n">
        <v>10354000</v>
      </c>
      <c r="P34" s="265" t="n">
        <v>10235000</v>
      </c>
      <c r="Q34" s="265" t="n">
        <v>10575000</v>
      </c>
      <c r="S34" s="265" t="n">
        <v>10316000</v>
      </c>
      <c r="T34" s="265" t="n">
        <v>7338000</v>
      </c>
      <c r="U34" s="265" t="n">
        <v>7491000</v>
      </c>
      <c r="V34" s="265" t="n">
        <v>7111000</v>
      </c>
      <c r="X34" s="265" t="n">
        <v>6956000</v>
      </c>
      <c r="Y34" s="265" t="n">
        <v>6890000</v>
      </c>
      <c r="Z34" s="265" t="n">
        <v>6845000</v>
      </c>
      <c r="AA34" s="265" t="n">
        <v>7459000</v>
      </c>
      <c r="AC34" s="265" t="n">
        <v>6973000</v>
      </c>
      <c r="AD34" s="265" t="n">
        <v>6929000</v>
      </c>
    </row>
    <row r="35">
      <c r="A35" t="inlineStr">
        <is>
          <t>Investments · fonte · unid. moeda</t>
        </is>
      </c>
      <c r="B35" t="n">
        <v>16</v>
      </c>
      <c r="C35" t="inlineStr">
        <is>
          <t>Other current assets</t>
        </is>
      </c>
      <c r="D35" s="265" t="n">
        <v>0</v>
      </c>
      <c r="E35" s="265" t="n">
        <v>0</v>
      </c>
      <c r="F35" s="265" t="n">
        <v>0</v>
      </c>
      <c r="G35" s="265" t="n">
        <v>0</v>
      </c>
      <c r="I35" s="265" t="n">
        <v>0</v>
      </c>
      <c r="J35" s="265" t="n">
        <v>0</v>
      </c>
      <c r="K35" s="265" t="n">
        <v>0</v>
      </c>
      <c r="L35" s="265" t="n">
        <v>0</v>
      </c>
      <c r="N35" s="265" t="n">
        <v>0</v>
      </c>
      <c r="O35" s="265" t="n">
        <v>0</v>
      </c>
      <c r="P35" s="265" t="n">
        <v>0</v>
      </c>
      <c r="Q35" s="265" t="n">
        <v>0</v>
      </c>
      <c r="S35" s="265" t="n">
        <v>0</v>
      </c>
      <c r="T35" s="265" t="n">
        <v>0</v>
      </c>
      <c r="U35" s="265" t="n">
        <v>0</v>
      </c>
      <c r="V35" s="265" t="n">
        <v>0</v>
      </c>
      <c r="X35" s="265" t="n">
        <v>0</v>
      </c>
      <c r="Y35" s="265" t="n">
        <v>0</v>
      </c>
      <c r="Z35" s="265" t="n">
        <v>0</v>
      </c>
      <c r="AA35" s="265" t="n">
        <v>0</v>
      </c>
      <c r="AC35" s="265" t="n">
        <v>0</v>
      </c>
      <c r="AD35" s="265" t="n">
        <v>0</v>
      </c>
    </row>
    <row r="36">
      <c r="A36" t="inlineStr">
        <is>
          <t>NotesReceivableNet · fonte · unid. moeda</t>
        </is>
      </c>
      <c r="B36" t="n">
        <v>16</v>
      </c>
      <c r="C36" t="inlineStr">
        <is>
          <t>Other current assets</t>
        </is>
      </c>
      <c r="D36" s="265" t="n">
        <v>0</v>
      </c>
      <c r="E36" s="265" t="n">
        <v>0</v>
      </c>
      <c r="F36" s="265" t="n">
        <v>0</v>
      </c>
      <c r="G36" s="265" t="n">
        <v>0</v>
      </c>
      <c r="I36" s="265" t="n">
        <v>0</v>
      </c>
      <c r="J36" s="265" t="n">
        <v>0</v>
      </c>
      <c r="K36" s="265" t="n">
        <v>0</v>
      </c>
      <c r="L36" s="265" t="n">
        <v>0</v>
      </c>
      <c r="N36" s="265" t="n">
        <v>0</v>
      </c>
      <c r="O36" s="265" t="n">
        <v>0</v>
      </c>
      <c r="P36" s="265" t="n">
        <v>0</v>
      </c>
      <c r="Q36" s="265" t="n">
        <v>0</v>
      </c>
      <c r="S36" s="265" t="n">
        <v>0</v>
      </c>
      <c r="T36" s="265" t="n">
        <v>0</v>
      </c>
      <c r="U36" s="265" t="n">
        <v>0</v>
      </c>
      <c r="V36" s="265" t="n">
        <v>0</v>
      </c>
      <c r="X36" s="265" t="n">
        <v>0</v>
      </c>
      <c r="Y36" s="265" t="n">
        <v>0</v>
      </c>
      <c r="Z36" s="265" t="n">
        <v>0</v>
      </c>
      <c r="AA36" s="265" t="n">
        <v>0</v>
      </c>
      <c r="AC36" s="265" t="n">
        <v>0</v>
      </c>
      <c r="AD36" s="265" t="n">
        <v>0</v>
      </c>
    </row>
    <row r="37">
      <c r="A37" t="inlineStr">
        <is>
          <t>PremiumsAndOtherReceivablesNet · fonte · unid. moeda</t>
        </is>
      </c>
      <c r="B37" t="n">
        <v>16</v>
      </c>
      <c r="C37" t="inlineStr">
        <is>
          <t>Other current assets</t>
        </is>
      </c>
      <c r="D37" s="265" t="n">
        <v>0</v>
      </c>
      <c r="E37" s="265" t="n">
        <v>0</v>
      </c>
      <c r="F37" s="265" t="n">
        <v>0</v>
      </c>
      <c r="G37" s="265" t="n">
        <v>0</v>
      </c>
      <c r="I37" s="265" t="n">
        <v>0</v>
      </c>
      <c r="J37" s="265" t="n">
        <v>0</v>
      </c>
      <c r="K37" s="265" t="n">
        <v>0</v>
      </c>
      <c r="L37" s="265" t="n">
        <v>0</v>
      </c>
      <c r="N37" s="265" t="n">
        <v>0</v>
      </c>
      <c r="O37" s="265" t="n">
        <v>0</v>
      </c>
      <c r="P37" s="265" t="n">
        <v>0</v>
      </c>
      <c r="Q37" s="265" t="n">
        <v>0</v>
      </c>
      <c r="S37" s="265" t="n">
        <v>0</v>
      </c>
      <c r="T37" s="265" t="n">
        <v>0</v>
      </c>
      <c r="U37" s="265" t="n">
        <v>0</v>
      </c>
      <c r="V37" s="265" t="n">
        <v>0</v>
      </c>
      <c r="X37" s="265" t="n">
        <v>0</v>
      </c>
      <c r="Y37" s="265" t="n">
        <v>0</v>
      </c>
      <c r="Z37" s="265" t="n">
        <v>0</v>
      </c>
      <c r="AA37" s="265" t="n">
        <v>0</v>
      </c>
      <c r="AC37" s="265" t="n">
        <v>0</v>
      </c>
      <c r="AD37" s="265" t="n">
        <v>0</v>
      </c>
    </row>
    <row r="38">
      <c r="A38" t="inlineStr">
        <is>
          <t>PropertyPlantandEquipmentandOperatingLeaseRightofUseAssetafterAccumulatedDepreciationandAmortization · fonte · unid. moeda</t>
        </is>
      </c>
      <c r="B38" t="n">
        <v>16</v>
      </c>
      <c r="C38" t="inlineStr">
        <is>
          <t>Other current assets</t>
        </is>
      </c>
      <c r="D38" s="265" t="n">
        <v>0</v>
      </c>
      <c r="E38" s="265" t="n">
        <v>0</v>
      </c>
      <c r="F38" s="265" t="n">
        <v>0</v>
      </c>
      <c r="G38" s="265" t="n">
        <v>0</v>
      </c>
      <c r="I38" s="265" t="n">
        <v>0</v>
      </c>
      <c r="J38" s="265" t="n">
        <v>0</v>
      </c>
      <c r="K38" s="265" t="n">
        <v>0</v>
      </c>
      <c r="L38" s="265" t="n">
        <v>0</v>
      </c>
      <c r="N38" s="265" t="n">
        <v>0</v>
      </c>
      <c r="O38" s="265" t="n">
        <v>0</v>
      </c>
      <c r="P38" s="265" t="n">
        <v>0</v>
      </c>
      <c r="Q38" s="265" t="n">
        <v>0</v>
      </c>
      <c r="S38" s="265" t="n">
        <v>0</v>
      </c>
      <c r="T38" s="265" t="n">
        <v>0</v>
      </c>
      <c r="U38" s="265" t="n">
        <v>0</v>
      </c>
      <c r="V38" s="265" t="n">
        <v>0</v>
      </c>
      <c r="X38" s="265" t="n">
        <v>0</v>
      </c>
      <c r="Y38" s="265" t="n">
        <v>0</v>
      </c>
      <c r="Z38" s="265" t="n">
        <v>0</v>
      </c>
      <c r="AA38" s="265" t="n">
        <v>0</v>
      </c>
      <c r="AC38" s="265" t="n">
        <v>0</v>
      </c>
      <c r="AD38" s="265" t="n">
        <v>0</v>
      </c>
    </row>
    <row r="39">
      <c r="A39" t="inlineStr">
        <is>
          <t>DueFromRelatedPartiesNoncurrent · fonte · unid. moeda</t>
        </is>
      </c>
      <c r="B39" t="n">
        <v>16</v>
      </c>
      <c r="C39" t="inlineStr">
        <is>
          <t>Other current assets</t>
        </is>
      </c>
      <c r="D39" s="265" t="n">
        <v>0</v>
      </c>
      <c r="E39" s="265" t="n">
        <v>0</v>
      </c>
      <c r="F39" s="265" t="n">
        <v>0</v>
      </c>
      <c r="G39" s="265" t="n">
        <v>0</v>
      </c>
      <c r="I39" s="265" t="n">
        <v>0</v>
      </c>
      <c r="J39" s="265" t="n">
        <v>0</v>
      </c>
      <c r="K39" s="265" t="n">
        <v>0</v>
      </c>
      <c r="L39" s="265" t="n">
        <v>0</v>
      </c>
      <c r="N39" s="265" t="n">
        <v>0</v>
      </c>
      <c r="O39" s="265" t="n">
        <v>0</v>
      </c>
      <c r="P39" s="265" t="n">
        <v>0</v>
      </c>
      <c r="Q39" s="265" t="n">
        <v>0</v>
      </c>
      <c r="S39" s="265" t="n">
        <v>0</v>
      </c>
      <c r="T39" s="265" t="n">
        <v>0</v>
      </c>
      <c r="U39" s="265" t="n">
        <v>0</v>
      </c>
      <c r="V39" s="265" t="n">
        <v>0</v>
      </c>
      <c r="X39" s="265" t="n">
        <v>0</v>
      </c>
      <c r="Y39" s="265" t="n">
        <v>0</v>
      </c>
      <c r="Z39" s="265" t="n">
        <v>0</v>
      </c>
      <c r="AA39" s="265" t="n">
        <v>0</v>
      </c>
      <c r="AC39" s="265" t="n">
        <v>0</v>
      </c>
      <c r="AD39" s="265" t="n">
        <v>0</v>
      </c>
    </row>
    <row r="40">
      <c r="A40" t="inlineStr">
        <is>
          <t>InvestmentInSubsidiary · fonte · unid. moeda</t>
        </is>
      </c>
      <c r="B40" t="n">
        <v>16</v>
      </c>
      <c r="C40" t="inlineStr">
        <is>
          <t>Other current assets</t>
        </is>
      </c>
      <c r="D40" s="265" t="n">
        <v>0</v>
      </c>
      <c r="E40" s="265" t="n">
        <v>0</v>
      </c>
      <c r="F40" s="265" t="n">
        <v>0</v>
      </c>
      <c r="G40" s="265" t="n">
        <v>0</v>
      </c>
      <c r="I40" s="265" t="n">
        <v>0</v>
      </c>
      <c r="J40" s="265" t="n">
        <v>0</v>
      </c>
      <c r="K40" s="265" t="n">
        <v>0</v>
      </c>
      <c r="L40" s="265" t="n">
        <v>0</v>
      </c>
      <c r="N40" s="265" t="n">
        <v>0</v>
      </c>
      <c r="O40" s="265" t="n">
        <v>0</v>
      </c>
      <c r="P40" s="265" t="n">
        <v>0</v>
      </c>
      <c r="Q40" s="265" t="n">
        <v>0</v>
      </c>
      <c r="S40" s="265" t="n">
        <v>0</v>
      </c>
      <c r="T40" s="265" t="n">
        <v>0</v>
      </c>
      <c r="U40" s="265" t="n">
        <v>0</v>
      </c>
      <c r="V40" s="265" t="n">
        <v>0</v>
      </c>
      <c r="X40" s="265" t="n">
        <v>0</v>
      </c>
      <c r="Y40" s="265" t="n">
        <v>0</v>
      </c>
      <c r="Z40" s="265" t="n">
        <v>0</v>
      </c>
      <c r="AA40" s="265" t="n">
        <v>0</v>
      </c>
      <c r="AC40" s="265" t="n">
        <v>0</v>
      </c>
      <c r="AD40" s="265" t="n">
        <v>0</v>
      </c>
    </row>
    <row r="41">
      <c r="A41" t="inlineStr">
        <is>
          <t>ContractAndOtherDeferredAssets · fonte · unid. moeda</t>
        </is>
      </c>
      <c r="B41" t="n">
        <v>16</v>
      </c>
      <c r="C41" t="inlineStr">
        <is>
          <t>Other current assets</t>
        </is>
      </c>
      <c r="D41" s="265" t="n">
        <v>0</v>
      </c>
      <c r="E41" s="265" t="n">
        <v>0</v>
      </c>
      <c r="F41" s="265" t="n">
        <v>0</v>
      </c>
      <c r="G41" s="265" t="n">
        <v>0</v>
      </c>
      <c r="I41" s="265" t="n">
        <v>0</v>
      </c>
      <c r="J41" s="265" t="n">
        <v>0</v>
      </c>
      <c r="K41" s="265" t="n">
        <v>0</v>
      </c>
      <c r="L41" s="265" t="n">
        <v>0</v>
      </c>
      <c r="N41" s="265" t="n">
        <v>0</v>
      </c>
      <c r="O41" s="265" t="n">
        <v>0</v>
      </c>
      <c r="P41" s="265" t="n">
        <v>0</v>
      </c>
      <c r="Q41" s="265" t="n">
        <v>0</v>
      </c>
      <c r="S41" s="265" t="n">
        <v>0</v>
      </c>
      <c r="T41" s="265" t="n">
        <v>0</v>
      </c>
      <c r="U41" s="265" t="n">
        <v>0</v>
      </c>
      <c r="V41" s="265" t="n">
        <v>0</v>
      </c>
      <c r="X41" s="265" t="n">
        <v>0</v>
      </c>
      <c r="Y41" s="265" t="n">
        <v>0</v>
      </c>
      <c r="Z41" s="265" t="n">
        <v>0</v>
      </c>
      <c r="AA41" s="265" t="n">
        <v>0</v>
      </c>
      <c r="AC41" s="265" t="n">
        <v>0</v>
      </c>
      <c r="AD41" s="265" t="n">
        <v>0</v>
      </c>
    </row>
    <row r="42">
      <c r="A42" t="inlineStr">
        <is>
          <t>OtherAssets · fonte · unid. moeda</t>
        </is>
      </c>
      <c r="B42" t="n">
        <v>16</v>
      </c>
      <c r="C42" t="inlineStr">
        <is>
          <t>Other current assets</t>
        </is>
      </c>
      <c r="D42" s="265" t="n">
        <v>0</v>
      </c>
      <c r="E42" s="265" t="n">
        <v>0</v>
      </c>
      <c r="F42" s="265" t="n">
        <v>0</v>
      </c>
      <c r="G42" s="265" t="n">
        <v>0</v>
      </c>
      <c r="I42" s="265" t="n">
        <v>0</v>
      </c>
      <c r="J42" s="265" t="n">
        <v>0</v>
      </c>
      <c r="K42" s="265" t="n">
        <v>0</v>
      </c>
      <c r="L42" s="265" t="n">
        <v>0</v>
      </c>
      <c r="N42" s="265" t="n">
        <v>0</v>
      </c>
      <c r="O42" s="265" t="n">
        <v>0</v>
      </c>
      <c r="P42" s="265" t="n">
        <v>0</v>
      </c>
      <c r="Q42" s="265" t="n">
        <v>0</v>
      </c>
      <c r="S42" s="265" t="n">
        <v>0</v>
      </c>
      <c r="T42" s="265" t="n">
        <v>0</v>
      </c>
      <c r="U42" s="265" t="n">
        <v>0</v>
      </c>
      <c r="V42" s="265" t="n">
        <v>0</v>
      </c>
      <c r="X42" s="265" t="n">
        <v>0</v>
      </c>
      <c r="Y42" s="265" t="n">
        <v>0</v>
      </c>
      <c r="Z42" s="265" t="n">
        <v>0</v>
      </c>
      <c r="AA42" s="265" t="n">
        <v>0</v>
      </c>
      <c r="AC42" s="265" t="n">
        <v>0</v>
      </c>
      <c r="AD42" s="265" t="n">
        <v>0</v>
      </c>
    </row>
    <row r="43">
      <c r="A43" t="inlineStr">
        <is>
          <t>AssetsHeldForSaleAtCarryingValue1 · fonte · unid. moeda</t>
        </is>
      </c>
      <c r="B43" t="n">
        <v>16</v>
      </c>
      <c r="C43" t="inlineStr">
        <is>
          <t>Other current assets</t>
        </is>
      </c>
      <c r="D43" s="265" t="n">
        <v>0</v>
      </c>
      <c r="E43" s="265" t="n">
        <v>0</v>
      </c>
      <c r="F43" s="265" t="n">
        <v>0</v>
      </c>
      <c r="G43" s="265" t="n">
        <v>0</v>
      </c>
      <c r="I43" s="265" t="n">
        <v>0</v>
      </c>
      <c r="J43" s="265" t="n">
        <v>0</v>
      </c>
      <c r="K43" s="265" t="n">
        <v>0</v>
      </c>
      <c r="L43" s="265" t="n">
        <v>0</v>
      </c>
      <c r="N43" s="265" t="n">
        <v>0</v>
      </c>
      <c r="O43" s="265" t="n">
        <v>0</v>
      </c>
      <c r="P43" s="265" t="n">
        <v>0</v>
      </c>
      <c r="Q43" s="265" t="n">
        <v>0</v>
      </c>
      <c r="S43" s="265" t="n">
        <v>0</v>
      </c>
      <c r="T43" s="265" t="n">
        <v>0</v>
      </c>
      <c r="U43" s="265" t="n">
        <v>0</v>
      </c>
      <c r="V43" s="265" t="n">
        <v>0</v>
      </c>
      <c r="X43" s="265" t="n">
        <v>0</v>
      </c>
      <c r="Y43" s="265" t="n">
        <v>0</v>
      </c>
      <c r="Z43" s="265" t="n">
        <v>0</v>
      </c>
      <c r="AA43" s="265" t="n">
        <v>0</v>
      </c>
      <c r="AC43" s="265" t="n">
        <v>0</v>
      </c>
      <c r="AD43" s="265" t="n">
        <v>0</v>
      </c>
    </row>
    <row r="44">
      <c r="A44" t="inlineStr">
        <is>
          <t>AssetsOfDisposalGroupIncludingDiscontinuedOperation · fonte · unid. moeda</t>
        </is>
      </c>
      <c r="B44" t="n">
        <v>16</v>
      </c>
      <c r="C44" t="inlineStr">
        <is>
          <t>Other current assets</t>
        </is>
      </c>
      <c r="D44" s="265" t="n">
        <v>0</v>
      </c>
      <c r="E44" s="265" t="n">
        <v>0</v>
      </c>
      <c r="F44" s="265" t="n">
        <v>0</v>
      </c>
      <c r="G44" s="265" t="n">
        <v>0</v>
      </c>
      <c r="I44" s="265" t="n">
        <v>0</v>
      </c>
      <c r="J44" s="265" t="n">
        <v>0</v>
      </c>
      <c r="K44" s="265" t="n">
        <v>0</v>
      </c>
      <c r="L44" s="265" t="n">
        <v>0</v>
      </c>
      <c r="N44" s="265" t="n">
        <v>0</v>
      </c>
      <c r="O44" s="265" t="n">
        <v>0</v>
      </c>
      <c r="P44" s="265" t="n">
        <v>0</v>
      </c>
      <c r="Q44" s="265" t="n">
        <v>0</v>
      </c>
      <c r="S44" s="265" t="n">
        <v>0</v>
      </c>
      <c r="T44" s="265" t="n">
        <v>0</v>
      </c>
      <c r="U44" s="265" t="n">
        <v>0</v>
      </c>
      <c r="V44" s="265" t="n">
        <v>0</v>
      </c>
      <c r="X44" s="265" t="n">
        <v>0</v>
      </c>
      <c r="Y44" s="265" t="n">
        <v>0</v>
      </c>
      <c r="Z44" s="265" t="n">
        <v>0</v>
      </c>
      <c r="AA44" s="265" t="n">
        <v>0</v>
      </c>
      <c r="AC44" s="265" t="n">
        <v>0</v>
      </c>
      <c r="AD44" s="265" t="n">
        <v>0</v>
      </c>
    </row>
    <row r="45">
      <c r="A45" t="inlineStr">
        <is>
          <t>DebtAndEquitySecurities · fonte · unid. moeda</t>
        </is>
      </c>
      <c r="B45" t="n">
        <v>16</v>
      </c>
      <c r="C45" t="inlineStr">
        <is>
          <t>Other current assets</t>
        </is>
      </c>
      <c r="D45" s="265" t="n">
        <v>0</v>
      </c>
      <c r="E45" s="265" t="n">
        <v>0</v>
      </c>
      <c r="F45" s="265" t="n">
        <v>0</v>
      </c>
      <c r="G45" s="265" t="n">
        <v>0</v>
      </c>
      <c r="I45" s="265" t="n">
        <v>0</v>
      </c>
      <c r="J45" s="265" t="n">
        <v>0</v>
      </c>
      <c r="K45" s="265" t="n">
        <v>0</v>
      </c>
      <c r="L45" s="265" t="n">
        <v>0</v>
      </c>
      <c r="N45" s="265" t="n">
        <v>0</v>
      </c>
      <c r="O45" s="265" t="n">
        <v>0</v>
      </c>
      <c r="P45" s="265" t="n">
        <v>0</v>
      </c>
      <c r="Q45" s="265" t="n">
        <v>0</v>
      </c>
      <c r="S45" s="265" t="n">
        <v>0</v>
      </c>
      <c r="T45" s="265" t="n">
        <v>0</v>
      </c>
      <c r="U45" s="265" t="n">
        <v>0</v>
      </c>
      <c r="V45" s="265" t="n">
        <v>0</v>
      </c>
      <c r="X45" s="265" t="n">
        <v>0</v>
      </c>
      <c r="Y45" s="265" t="n">
        <v>0</v>
      </c>
      <c r="Z45" s="265" t="n">
        <v>0</v>
      </c>
      <c r="AA45" s="265" t="n">
        <v>0</v>
      </c>
      <c r="AC45" s="265" t="n">
        <v>0</v>
      </c>
      <c r="AD45" s="265" t="n">
        <v>0</v>
      </c>
    </row>
    <row r="46">
      <c r="A46" t="inlineStr">
        <is>
          <t>DebtAndEquitySecuritiesCurrent · fonte · unid. moeda</t>
        </is>
      </c>
      <c r="B46" t="n">
        <v>16</v>
      </c>
      <c r="C46" t="inlineStr">
        <is>
          <t>Other current assets</t>
        </is>
      </c>
      <c r="D46" s="265" t="n">
        <v>6741000</v>
      </c>
      <c r="E46" s="265" t="n">
        <v>6134000</v>
      </c>
      <c r="F46" s="265" t="n">
        <v>5300000</v>
      </c>
      <c r="G46" s="265" t="n">
        <v>0</v>
      </c>
      <c r="I46" s="265" t="n">
        <v>0</v>
      </c>
      <c r="J46" s="265" t="n">
        <v>0</v>
      </c>
      <c r="K46" s="265" t="n">
        <v>0</v>
      </c>
      <c r="L46" s="265" t="n">
        <v>0</v>
      </c>
      <c r="N46" s="265" t="n">
        <v>0</v>
      </c>
      <c r="O46" s="265" t="n">
        <v>0</v>
      </c>
      <c r="P46" s="265" t="n">
        <v>0</v>
      </c>
      <c r="Q46" s="265" t="n">
        <v>0</v>
      </c>
      <c r="S46" s="265" t="n">
        <v>0</v>
      </c>
      <c r="T46" s="265" t="n">
        <v>0</v>
      </c>
      <c r="U46" s="265" t="n">
        <v>0</v>
      </c>
      <c r="V46" s="265" t="n">
        <v>0</v>
      </c>
      <c r="X46" s="265" t="n">
        <v>0</v>
      </c>
      <c r="Y46" s="265" t="n">
        <v>0</v>
      </c>
      <c r="Z46" s="265" t="n">
        <v>0</v>
      </c>
      <c r="AA46" s="265" t="n">
        <v>0</v>
      </c>
      <c r="AC46" s="265" t="n">
        <v>0</v>
      </c>
      <c r="AD46" s="265" t="n">
        <v>0</v>
      </c>
    </row>
    <row r="47">
      <c r="A47" t="inlineStr">
        <is>
          <t>NotesAndLoansReceivableNetCurrent · fonte · unid. moeda</t>
        </is>
      </c>
      <c r="B47" t="n">
        <v>16</v>
      </c>
      <c r="C47" t="inlineStr">
        <is>
          <t>Other current assets</t>
        </is>
      </c>
      <c r="D47" s="265" t="n">
        <v>306000</v>
      </c>
      <c r="E47" s="265" t="n">
        <v>316000</v>
      </c>
      <c r="F47" s="265" t="n">
        <v>271000</v>
      </c>
      <c r="G47" s="265" t="n">
        <v>0</v>
      </c>
      <c r="I47" s="265" t="n">
        <v>0</v>
      </c>
      <c r="J47" s="265" t="n">
        <v>0</v>
      </c>
      <c r="K47" s="265" t="n">
        <v>0</v>
      </c>
      <c r="L47" s="265" t="n">
        <v>0</v>
      </c>
      <c r="N47" s="265" t="n">
        <v>0</v>
      </c>
      <c r="O47" s="265" t="n">
        <v>0</v>
      </c>
      <c r="P47" s="265" t="n">
        <v>0</v>
      </c>
      <c r="Q47" s="265" t="n">
        <v>0</v>
      </c>
      <c r="S47" s="265" t="n">
        <v>0</v>
      </c>
      <c r="T47" s="265" t="n">
        <v>0</v>
      </c>
      <c r="U47" s="265" t="n">
        <v>0</v>
      </c>
      <c r="V47" s="265" t="n">
        <v>0</v>
      </c>
      <c r="X47" s="265" t="n">
        <v>0</v>
      </c>
      <c r="Y47" s="265" t="n">
        <v>0</v>
      </c>
      <c r="Z47" s="265" t="n">
        <v>0</v>
      </c>
      <c r="AA47" s="265" t="n">
        <v>0</v>
      </c>
      <c r="AC47" s="265" t="n">
        <v>0</v>
      </c>
      <c r="AD47" s="265" t="n">
        <v>0</v>
      </c>
    </row>
    <row r="48">
      <c r="A48" t="inlineStr">
        <is>
          <t>PremiumsAndOtherReceivablesNetCurrent · fonte · unid. moeda</t>
        </is>
      </c>
      <c r="B48" t="n">
        <v>16</v>
      </c>
      <c r="C48" t="inlineStr">
        <is>
          <t>Other current assets</t>
        </is>
      </c>
      <c r="D48" s="265" t="n">
        <v>1339000</v>
      </c>
      <c r="E48" s="265" t="n">
        <v>1363000</v>
      </c>
      <c r="F48" s="265" t="n">
        <v>1186000</v>
      </c>
      <c r="G48" s="265" t="n">
        <v>0</v>
      </c>
      <c r="I48" s="265" t="n">
        <v>0</v>
      </c>
      <c r="J48" s="265" t="n">
        <v>0</v>
      </c>
      <c r="K48" s="265" t="n">
        <v>0</v>
      </c>
      <c r="L48" s="265" t="n">
        <v>0</v>
      </c>
      <c r="N48" s="265" t="n">
        <v>0</v>
      </c>
      <c r="O48" s="265" t="n">
        <v>0</v>
      </c>
      <c r="P48" s="265" t="n">
        <v>0</v>
      </c>
      <c r="Q48" s="265" t="n">
        <v>0</v>
      </c>
      <c r="S48" s="265" t="n">
        <v>0</v>
      </c>
      <c r="T48" s="265" t="n">
        <v>0</v>
      </c>
      <c r="U48" s="265" t="n">
        <v>0</v>
      </c>
      <c r="V48" s="265" t="n">
        <v>0</v>
      </c>
      <c r="X48" s="265" t="n">
        <v>0</v>
      </c>
      <c r="Y48" s="265" t="n">
        <v>0</v>
      </c>
      <c r="Z48" s="265" t="n">
        <v>0</v>
      </c>
      <c r="AA48" s="265" t="n">
        <v>0</v>
      </c>
      <c r="AC48" s="265" t="n">
        <v>0</v>
      </c>
      <c r="AD48" s="265" t="n">
        <v>0</v>
      </c>
    </row>
    <row r="49">
      <c r="A49" t="inlineStr">
        <is>
          <t>DueFromRelatedPartiesCurrent · fonte · unid. moeda</t>
        </is>
      </c>
      <c r="B49" t="n">
        <v>16</v>
      </c>
      <c r="C49" t="inlineStr">
        <is>
          <t>Other current assets</t>
        </is>
      </c>
      <c r="D49" s="265" t="n">
        <v>0</v>
      </c>
      <c r="E49" s="265" t="n">
        <v>0</v>
      </c>
      <c r="F49" s="265" t="n">
        <v>0</v>
      </c>
      <c r="G49" s="265" t="n">
        <v>0</v>
      </c>
      <c r="I49" s="265" t="n">
        <v>0</v>
      </c>
      <c r="J49" s="265" t="n">
        <v>0</v>
      </c>
      <c r="K49" s="265" t="n">
        <v>0</v>
      </c>
      <c r="L49" s="265" t="n">
        <v>0</v>
      </c>
      <c r="N49" s="265" t="n">
        <v>0</v>
      </c>
      <c r="O49" s="265" t="n">
        <v>0</v>
      </c>
      <c r="P49" s="265" t="n">
        <v>0</v>
      </c>
      <c r="Q49" s="265" t="n">
        <v>0</v>
      </c>
      <c r="S49" s="265" t="n">
        <v>0</v>
      </c>
      <c r="T49" s="265" t="n">
        <v>0</v>
      </c>
      <c r="U49" s="265" t="n">
        <v>0</v>
      </c>
      <c r="V49" s="265" t="n">
        <v>0</v>
      </c>
      <c r="X49" s="265" t="n">
        <v>0</v>
      </c>
      <c r="Y49" s="265" t="n">
        <v>0</v>
      </c>
      <c r="Z49" s="265" t="n">
        <v>0</v>
      </c>
      <c r="AA49" s="265" t="n">
        <v>0</v>
      </c>
      <c r="AC49" s="265" t="n">
        <v>0</v>
      </c>
      <c r="AD49" s="265" t="n">
        <v>0</v>
      </c>
    </row>
    <row r="50">
      <c r="A50" t="inlineStr">
        <is>
          <t>ContractWithCustomerAssetNetCurrent · fonte · unid. moeda</t>
        </is>
      </c>
      <c r="B50" t="n">
        <v>16</v>
      </c>
      <c r="C50" t="inlineStr">
        <is>
          <t>Other current assets</t>
        </is>
      </c>
      <c r="D50" s="265" t="n">
        <v>5821000</v>
      </c>
      <c r="E50" s="265" t="n">
        <v>5431000</v>
      </c>
      <c r="F50" s="265" t="n">
        <v>5238000</v>
      </c>
      <c r="G50" s="265" t="n">
        <v>4881000</v>
      </c>
      <c r="I50" s="265" t="n">
        <v>4246000</v>
      </c>
      <c r="J50" s="265" t="n">
        <v>4241000</v>
      </c>
      <c r="K50" s="265" t="n">
        <v>3701000</v>
      </c>
      <c r="L50" s="265" t="n">
        <v>3088000</v>
      </c>
      <c r="N50" s="265" t="n">
        <v>2244000</v>
      </c>
      <c r="O50" s="265" t="n">
        <v>2037000</v>
      </c>
      <c r="P50" s="265" t="n">
        <v>1875000</v>
      </c>
      <c r="Q50" s="265" t="n">
        <v>1500000</v>
      </c>
      <c r="S50" s="265" t="n">
        <v>1547000</v>
      </c>
      <c r="T50" s="265" t="n">
        <v>2719000</v>
      </c>
      <c r="U50" s="265" t="n">
        <v>2884000</v>
      </c>
      <c r="V50" s="265" t="n">
        <v>2982000</v>
      </c>
      <c r="X50" s="265" t="n">
        <v>2940000</v>
      </c>
      <c r="Y50" s="265" t="n">
        <v>3059000</v>
      </c>
      <c r="Z50" s="265" t="n">
        <v>3111000</v>
      </c>
      <c r="AA50" s="265" t="n">
        <v>3511000</v>
      </c>
      <c r="AC50" s="265" t="n">
        <v>3439000</v>
      </c>
      <c r="AD50" s="265" t="n">
        <v>3473000</v>
      </c>
    </row>
    <row r="51">
      <c r="A51" t="inlineStr">
        <is>
          <t>OtherAssetsCurrent · fonte · unid. moeda</t>
        </is>
      </c>
      <c r="B51" t="n">
        <v>16</v>
      </c>
      <c r="C51" t="inlineStr">
        <is>
          <t>Other current assets</t>
        </is>
      </c>
      <c r="D51" s="265" t="n">
        <v>1376000</v>
      </c>
      <c r="E51" s="265" t="n">
        <v>1315000</v>
      </c>
      <c r="F51" s="265" t="n">
        <v>1191000</v>
      </c>
      <c r="G51" s="265" t="n">
        <v>1933000</v>
      </c>
      <c r="I51" s="265" t="n">
        <v>2065000</v>
      </c>
      <c r="J51" s="265" t="n">
        <v>1879000</v>
      </c>
      <c r="K51" s="265" t="n">
        <v>2059000</v>
      </c>
      <c r="L51" s="265" t="n">
        <v>1521000</v>
      </c>
      <c r="N51" s="265" t="n">
        <v>1464000</v>
      </c>
      <c r="O51" s="265" t="n">
        <v>1638000</v>
      </c>
      <c r="P51" s="265" t="n">
        <v>1438000</v>
      </c>
      <c r="Q51" s="265" t="n">
        <v>1647000</v>
      </c>
      <c r="S51" s="265" t="n">
        <v>1650000</v>
      </c>
      <c r="T51" s="265" t="n">
        <v>1210000</v>
      </c>
      <c r="U51" s="265" t="n">
        <v>1156000</v>
      </c>
      <c r="V51" s="265" t="n">
        <v>962000</v>
      </c>
      <c r="X51" s="265" t="n">
        <v>1073000</v>
      </c>
      <c r="Y51" s="265" t="n">
        <v>1073000</v>
      </c>
      <c r="Z51" s="265" t="n">
        <v>1116000</v>
      </c>
      <c r="AA51" s="265" t="n">
        <v>1052000</v>
      </c>
      <c r="AC51" s="265" t="n">
        <v>1107000</v>
      </c>
      <c r="AD51" s="265" t="n">
        <v>2078000</v>
      </c>
    </row>
    <row r="52">
      <c r="A52" t="inlineStr">
        <is>
          <t>AssetsOfDisposalGroupIncludingDiscontinuedOperationCurrent · fonte · unid. moeda</t>
        </is>
      </c>
      <c r="B52" t="n">
        <v>16</v>
      </c>
      <c r="C52" t="inlineStr">
        <is>
          <t>Other current assets</t>
        </is>
      </c>
      <c r="D52" s="265" t="n">
        <v>33922000</v>
      </c>
      <c r="E52" s="265" t="n">
        <v>33186000</v>
      </c>
      <c r="F52" s="265" t="n">
        <v>33782000</v>
      </c>
      <c r="G52" s="265" t="n">
        <v>0</v>
      </c>
      <c r="I52" s="265" t="n">
        <v>747000</v>
      </c>
      <c r="J52" s="265" t="n">
        <v>767000</v>
      </c>
      <c r="K52" s="265" t="n">
        <v>696000</v>
      </c>
      <c r="L52" s="265" t="n">
        <v>1374000</v>
      </c>
      <c r="N52" s="265" t="n">
        <v>1353000</v>
      </c>
      <c r="O52" s="265" t="n">
        <v>1331000</v>
      </c>
      <c r="P52" s="265" t="n">
        <v>1375000</v>
      </c>
      <c r="Q52" s="265" t="n">
        <v>1985000</v>
      </c>
      <c r="S52" s="265" t="n">
        <v>1507000</v>
      </c>
      <c r="T52" s="265" t="n">
        <v>137000</v>
      </c>
      <c r="U52" s="265" t="n">
        <v>0</v>
      </c>
      <c r="V52" s="265" t="n">
        <v>0</v>
      </c>
      <c r="X52" s="265" t="n">
        <v>0</v>
      </c>
      <c r="Y52" s="265" t="n">
        <v>0</v>
      </c>
      <c r="Z52" s="265" t="n">
        <v>0</v>
      </c>
      <c r="AA52" s="265" t="n">
        <v>0</v>
      </c>
      <c r="AC52" s="265" t="n">
        <v>0</v>
      </c>
      <c r="AD52" s="265" t="n">
        <v>0</v>
      </c>
    </row>
    <row r="53">
      <c r="A53" t="inlineStr">
        <is>
          <t>EquitySecuritiesFvNi · fonte · unid. moeda</t>
        </is>
      </c>
      <c r="B53" t="n">
        <v>16</v>
      </c>
      <c r="C53" t="inlineStr">
        <is>
          <t>Other current assets</t>
        </is>
      </c>
      <c r="D53" s="265" t="n">
        <v>0</v>
      </c>
      <c r="E53" s="265" t="n">
        <v>0</v>
      </c>
      <c r="F53" s="265" t="n">
        <v>0</v>
      </c>
      <c r="G53" s="265" t="n">
        <v>12297000</v>
      </c>
      <c r="I53" s="265" t="n">
        <v>10779000</v>
      </c>
      <c r="J53" s="265" t="n">
        <v>6745000</v>
      </c>
      <c r="K53" s="265" t="n">
        <v>6297000</v>
      </c>
      <c r="L53" s="265" t="n">
        <v>7609000</v>
      </c>
      <c r="N53" s="265" t="n">
        <v>12814000</v>
      </c>
      <c r="O53" s="265" t="n">
        <v>10885000</v>
      </c>
      <c r="P53" s="265" t="n">
        <v>7054000</v>
      </c>
      <c r="Q53" s="265" t="n">
        <v>5706000</v>
      </c>
      <c r="S53" s="265" t="n">
        <v>3737000</v>
      </c>
      <c r="T53" s="265" t="n">
        <v>3338000</v>
      </c>
      <c r="U53" s="265" t="n">
        <v>2232000</v>
      </c>
      <c r="V53" s="265" t="n">
        <v>982000</v>
      </c>
      <c r="X53" s="265" t="n">
        <v>1000000</v>
      </c>
      <c r="Y53" s="265" t="n">
        <v>998000</v>
      </c>
      <c r="Z53" s="265" t="n">
        <v>1008000</v>
      </c>
      <c r="AA53" s="265" t="n">
        <v>0</v>
      </c>
      <c r="AC53" s="265" t="n">
        <v>0</v>
      </c>
      <c r="AD53" s="265" t="n">
        <v>0</v>
      </c>
    </row>
    <row r="54">
      <c r="A54" t="inlineStr">
        <is>
          <t>PropertyPlantAndEquipmentNet · fonte · unid. moeda</t>
        </is>
      </c>
      <c r="B54" t="n">
        <v>18</v>
      </c>
      <c r="C54" t="inlineStr">
        <is>
          <t>PP&amp;E</t>
        </is>
      </c>
      <c r="D54" s="265" t="n">
        <v>0</v>
      </c>
      <c r="E54" s="265" t="n">
        <v>0</v>
      </c>
      <c r="F54" s="265" t="n">
        <v>0</v>
      </c>
      <c r="G54" s="265" t="n">
        <v>0</v>
      </c>
      <c r="I54" s="265" t="n">
        <v>0</v>
      </c>
      <c r="J54" s="265" t="n">
        <v>0</v>
      </c>
      <c r="K54" s="265" t="n">
        <v>0</v>
      </c>
      <c r="L54" s="265" t="n">
        <v>0</v>
      </c>
      <c r="N54" s="265" t="n">
        <v>0</v>
      </c>
      <c r="O54" s="265" t="n">
        <v>0</v>
      </c>
      <c r="P54" s="265" t="n">
        <v>0</v>
      </c>
      <c r="Q54" s="265" t="n">
        <v>0</v>
      </c>
      <c r="S54" s="265" t="n">
        <v>0</v>
      </c>
      <c r="T54" s="265" t="n">
        <v>0</v>
      </c>
      <c r="U54" s="265" t="n">
        <v>0</v>
      </c>
      <c r="V54" s="265" t="n">
        <v>0</v>
      </c>
      <c r="X54" s="265" t="n">
        <v>0</v>
      </c>
      <c r="Y54" s="265" t="n">
        <v>0</v>
      </c>
      <c r="Z54" s="265" t="n">
        <v>0</v>
      </c>
      <c r="AA54" s="265" t="n">
        <v>0</v>
      </c>
      <c r="AC54" s="265" t="n">
        <v>0</v>
      </c>
      <c r="AD54" s="265" t="n">
        <v>0</v>
      </c>
    </row>
    <row r="55">
      <c r="A55" t="inlineStr">
        <is>
          <t>Goodwill · fonte · unid. moeda</t>
        </is>
      </c>
      <c r="B55" t="n">
        <v>20</v>
      </c>
      <c r="C55" t="inlineStr">
        <is>
          <t>Goodwill</t>
        </is>
      </c>
      <c r="D55" s="265" t="n">
        <v>25320000</v>
      </c>
      <c r="E55" s="265" t="n">
        <v>25491000</v>
      </c>
      <c r="F55" s="265" t="n">
        <v>25333000</v>
      </c>
      <c r="G55" s="265" t="n">
        <v>26182000</v>
      </c>
      <c r="I55" s="265" t="n">
        <v>26047000</v>
      </c>
      <c r="J55" s="265" t="n">
        <v>25790000</v>
      </c>
      <c r="K55" s="265" t="n">
        <v>25275000</v>
      </c>
      <c r="L55" s="265" t="n">
        <v>25798000</v>
      </c>
      <c r="N55" s="265" t="n">
        <v>13107000</v>
      </c>
      <c r="O55" s="265" t="n">
        <v>13345000</v>
      </c>
      <c r="P55" s="265" t="n">
        <v>13177000</v>
      </c>
      <c r="Q55" s="265" t="n">
        <v>13385000</v>
      </c>
      <c r="S55" s="265" t="n">
        <v>13304000</v>
      </c>
      <c r="T55" s="265" t="n">
        <v>8859000</v>
      </c>
      <c r="U55" s="265" t="n">
        <v>8754000</v>
      </c>
      <c r="V55" s="265" t="n">
        <v>8538000</v>
      </c>
      <c r="X55" s="265" t="n">
        <v>8696000</v>
      </c>
      <c r="Y55" s="265" t="n">
        <v>9006000</v>
      </c>
      <c r="Z55" s="265" t="n">
        <v>9041000</v>
      </c>
      <c r="AA55" s="265" t="n">
        <v>9060000</v>
      </c>
      <c r="AC55" s="265" t="n">
        <v>9003000</v>
      </c>
      <c r="AD55" s="265" t="n">
        <v>8954000</v>
      </c>
    </row>
    <row r="56">
      <c r="A56" t="inlineStr">
        <is>
          <t>IntangibleAssetsNetExcludingGoodwill · fonte · unid. moeda</t>
        </is>
      </c>
      <c r="B56" t="n">
        <v>21</v>
      </c>
      <c r="C56" t="inlineStr">
        <is>
          <t>Intangibles</t>
        </is>
      </c>
      <c r="D56" s="265" t="n">
        <v>9395000</v>
      </c>
      <c r="E56" s="265" t="n">
        <v>9460000</v>
      </c>
      <c r="F56" s="265" t="n">
        <v>9187000</v>
      </c>
      <c r="G56" s="265" t="n">
        <v>9330000</v>
      </c>
      <c r="I56" s="265" t="n">
        <v>8290000</v>
      </c>
      <c r="J56" s="265" t="n">
        <v>8026000</v>
      </c>
      <c r="K56" s="265" t="n">
        <v>7725000</v>
      </c>
      <c r="L56" s="265" t="n">
        <v>7625000</v>
      </c>
      <c r="N56" s="265" t="n">
        <v>5990000</v>
      </c>
      <c r="O56" s="265" t="n">
        <v>5954000</v>
      </c>
      <c r="P56" s="265" t="n">
        <v>5790000</v>
      </c>
      <c r="Q56" s="265" t="n">
        <v>5695000</v>
      </c>
      <c r="S56" s="265" t="n">
        <v>5547000</v>
      </c>
      <c r="T56" s="265" t="n">
        <v>4394000</v>
      </c>
      <c r="U56" s="265" t="n">
        <v>4371000</v>
      </c>
      <c r="V56" s="265" t="n">
        <v>4257000</v>
      </c>
      <c r="X56" s="265" t="n">
        <v>4277000</v>
      </c>
      <c r="Y56" s="265" t="n">
        <v>4336000</v>
      </c>
      <c r="Z56" s="265" t="n">
        <v>4283000</v>
      </c>
      <c r="AA56" s="265" t="n">
        <v>4225000</v>
      </c>
      <c r="AC56" s="265" t="n">
        <v>4151000</v>
      </c>
      <c r="AD56" s="265" t="n">
        <v>4085000</v>
      </c>
    </row>
    <row r="57">
      <c r="A57" t="inlineStr">
        <is>
          <t>FiniteLivedIntangibleAssetsNet · fonte · unid. moeda</t>
        </is>
      </c>
      <c r="B57" t="n">
        <v>21</v>
      </c>
      <c r="C57" t="inlineStr">
        <is>
          <t>Intangibles</t>
        </is>
      </c>
      <c r="D57" s="265" t="n">
        <v>0</v>
      </c>
      <c r="E57" s="265" t="n">
        <v>0</v>
      </c>
      <c r="F57" s="265" t="n">
        <v>0</v>
      </c>
      <c r="G57" s="265" t="n">
        <v>0</v>
      </c>
      <c r="I57" s="265" t="n">
        <v>0</v>
      </c>
      <c r="J57" s="265" t="n">
        <v>0</v>
      </c>
      <c r="K57" s="265" t="n">
        <v>0</v>
      </c>
      <c r="L57" s="265" t="n">
        <v>0</v>
      </c>
      <c r="N57" s="265" t="n">
        <v>0</v>
      </c>
      <c r="O57" s="265" t="n">
        <v>0</v>
      </c>
      <c r="P57" s="265" t="n">
        <v>0</v>
      </c>
      <c r="Q57" s="265" t="n">
        <v>0</v>
      </c>
      <c r="S57" s="265" t="n">
        <v>0</v>
      </c>
      <c r="T57" s="265" t="n">
        <v>0</v>
      </c>
      <c r="U57" s="265" t="n">
        <v>0</v>
      </c>
      <c r="V57" s="265" t="n">
        <v>0</v>
      </c>
      <c r="X57" s="265" t="n">
        <v>0</v>
      </c>
      <c r="Y57" s="265" t="n">
        <v>0</v>
      </c>
      <c r="Z57" s="265" t="n">
        <v>0</v>
      </c>
      <c r="AA57" s="265" t="n">
        <v>0</v>
      </c>
      <c r="AC57" s="265" t="n">
        <v>0</v>
      </c>
      <c r="AD57" s="265" t="n">
        <v>0</v>
      </c>
    </row>
    <row r="58">
      <c r="A58" t="inlineStr">
        <is>
          <t>DebtAndEquitySecuritiesNoncurrent · fonte · unid. moeda</t>
        </is>
      </c>
      <c r="B58" t="n">
        <v>22</v>
      </c>
      <c r="C58" t="inlineStr">
        <is>
          <t>Other non-current assets</t>
        </is>
      </c>
      <c r="D58" s="265" t="n">
        <v>40786000</v>
      </c>
      <c r="E58" s="265" t="n">
        <v>42665000</v>
      </c>
      <c r="F58" s="265" t="n">
        <v>42394000</v>
      </c>
      <c r="G58" s="265" t="n">
        <v>0</v>
      </c>
      <c r="I58" s="265" t="n">
        <v>0</v>
      </c>
      <c r="J58" s="265" t="n">
        <v>0</v>
      </c>
      <c r="K58" s="265" t="n">
        <v>0</v>
      </c>
      <c r="L58" s="265" t="n">
        <v>0</v>
      </c>
      <c r="N58" s="265" t="n">
        <v>0</v>
      </c>
      <c r="O58" s="265" t="n">
        <v>0</v>
      </c>
      <c r="P58" s="265" t="n">
        <v>0</v>
      </c>
      <c r="Q58" s="265" t="n">
        <v>0</v>
      </c>
      <c r="S58" s="265" t="n">
        <v>0</v>
      </c>
      <c r="T58" s="265" t="n">
        <v>0</v>
      </c>
      <c r="U58" s="265" t="n">
        <v>0</v>
      </c>
      <c r="V58" s="265" t="n">
        <v>0</v>
      </c>
      <c r="X58" s="265" t="n">
        <v>0</v>
      </c>
      <c r="Y58" s="265" t="n">
        <v>0</v>
      </c>
      <c r="Z58" s="265" t="n">
        <v>0</v>
      </c>
      <c r="AA58" s="265" t="n">
        <v>0</v>
      </c>
      <c r="AC58" s="265" t="n">
        <v>0</v>
      </c>
      <c r="AD58" s="265" t="n">
        <v>0</v>
      </c>
    </row>
    <row r="59">
      <c r="A59" t="inlineStr">
        <is>
          <t>NotesAndLoansReceivableNetNoncurrent · fonte · unid. moeda</t>
        </is>
      </c>
      <c r="B59" t="n">
        <v>22</v>
      </c>
      <c r="C59" t="inlineStr">
        <is>
          <t>Other non-current assets</t>
        </is>
      </c>
      <c r="D59" s="265" t="n">
        <v>0</v>
      </c>
      <c r="E59" s="265" t="n">
        <v>0</v>
      </c>
      <c r="F59" s="265" t="n">
        <v>0</v>
      </c>
      <c r="G59" s="265" t="n">
        <v>0</v>
      </c>
      <c r="I59" s="265" t="n">
        <v>0</v>
      </c>
      <c r="J59" s="265" t="n">
        <v>0</v>
      </c>
      <c r="K59" s="265" t="n">
        <v>0</v>
      </c>
      <c r="L59" s="265" t="n">
        <v>0</v>
      </c>
      <c r="N59" s="265" t="n">
        <v>0</v>
      </c>
      <c r="O59" s="265" t="n">
        <v>0</v>
      </c>
      <c r="P59" s="265" t="n">
        <v>0</v>
      </c>
      <c r="Q59" s="265" t="n">
        <v>0</v>
      </c>
      <c r="S59" s="265" t="n">
        <v>0</v>
      </c>
      <c r="T59" s="265" t="n">
        <v>0</v>
      </c>
      <c r="U59" s="265" t="n">
        <v>0</v>
      </c>
      <c r="V59" s="265" t="n">
        <v>0</v>
      </c>
      <c r="X59" s="265" t="n">
        <v>0</v>
      </c>
      <c r="Y59" s="265" t="n">
        <v>0</v>
      </c>
      <c r="Z59" s="265" t="n">
        <v>0</v>
      </c>
      <c r="AA59" s="265" t="n">
        <v>0</v>
      </c>
      <c r="AC59" s="265" t="n">
        <v>0</v>
      </c>
      <c r="AD59" s="265" t="n">
        <v>0</v>
      </c>
    </row>
    <row r="60">
      <c r="A60" t="inlineStr">
        <is>
          <t>PremiumsAndOtherReceivablesNetNoncurrent · fonte · unid. moeda</t>
        </is>
      </c>
      <c r="B60" t="n">
        <v>22</v>
      </c>
      <c r="C60" t="inlineStr">
        <is>
          <t>Other non-current assets</t>
        </is>
      </c>
      <c r="D60" s="265" t="n">
        <v>4634000</v>
      </c>
      <c r="E60" s="265" t="n">
        <v>4672000</v>
      </c>
      <c r="F60" s="265" t="n">
        <v>4668000</v>
      </c>
      <c r="G60" s="265" t="n">
        <v>0</v>
      </c>
      <c r="I60" s="265" t="n">
        <v>0</v>
      </c>
      <c r="J60" s="265" t="n">
        <v>0</v>
      </c>
      <c r="K60" s="265" t="n">
        <v>0</v>
      </c>
      <c r="L60" s="265" t="n">
        <v>0</v>
      </c>
      <c r="N60" s="265" t="n">
        <v>0</v>
      </c>
      <c r="O60" s="265" t="n">
        <v>0</v>
      </c>
      <c r="P60" s="265" t="n">
        <v>0</v>
      </c>
      <c r="Q60" s="265" t="n">
        <v>0</v>
      </c>
      <c r="S60" s="265" t="n">
        <v>0</v>
      </c>
      <c r="T60" s="265" t="n">
        <v>0</v>
      </c>
      <c r="U60" s="265" t="n">
        <v>0</v>
      </c>
      <c r="V60" s="265" t="n">
        <v>0</v>
      </c>
      <c r="X60" s="265" t="n">
        <v>0</v>
      </c>
      <c r="Y60" s="265" t="n">
        <v>0</v>
      </c>
      <c r="Z60" s="265" t="n">
        <v>0</v>
      </c>
      <c r="AA60" s="265" t="n">
        <v>0</v>
      </c>
      <c r="AC60" s="265" t="n">
        <v>0</v>
      </c>
      <c r="AD60" s="265" t="n">
        <v>0</v>
      </c>
    </row>
    <row r="61">
      <c r="A61" t="inlineStr">
        <is>
          <t>DueFromRelatedPartiesNoncurrent · fonte · unid. moeda</t>
        </is>
      </c>
      <c r="B61" t="n">
        <v>22</v>
      </c>
      <c r="C61" t="inlineStr">
        <is>
          <t>Other non-current assets</t>
        </is>
      </c>
      <c r="D61" s="265" t="n">
        <v>0</v>
      </c>
      <c r="E61" s="265" t="n">
        <v>0</v>
      </c>
      <c r="F61" s="265" t="n">
        <v>0</v>
      </c>
      <c r="G61" s="265" t="n">
        <v>0</v>
      </c>
      <c r="I61" s="265" t="n">
        <v>0</v>
      </c>
      <c r="J61" s="265" t="n">
        <v>0</v>
      </c>
      <c r="K61" s="265" t="n">
        <v>0</v>
      </c>
      <c r="L61" s="265" t="n">
        <v>0</v>
      </c>
      <c r="N61" s="265" t="n">
        <v>0</v>
      </c>
      <c r="O61" s="265" t="n">
        <v>0</v>
      </c>
      <c r="P61" s="265" t="n">
        <v>0</v>
      </c>
      <c r="Q61" s="265" t="n">
        <v>0</v>
      </c>
      <c r="S61" s="265" t="n">
        <v>0</v>
      </c>
      <c r="T61" s="265" t="n">
        <v>0</v>
      </c>
      <c r="U61" s="265" t="n">
        <v>0</v>
      </c>
      <c r="V61" s="265" t="n">
        <v>0</v>
      </c>
      <c r="X61" s="265" t="n">
        <v>0</v>
      </c>
      <c r="Y61" s="265" t="n">
        <v>0</v>
      </c>
      <c r="Z61" s="265" t="n">
        <v>0</v>
      </c>
      <c r="AA61" s="265" t="n">
        <v>0</v>
      </c>
      <c r="AC61" s="265" t="n">
        <v>0</v>
      </c>
      <c r="AD61" s="265" t="n">
        <v>0</v>
      </c>
    </row>
    <row r="62">
      <c r="A62" t="inlineStr">
        <is>
          <t>CommodityContractAssetNoncurrent · fonte · unid. moeda</t>
        </is>
      </c>
      <c r="B62" t="n">
        <v>22</v>
      </c>
      <c r="C62" t="inlineStr">
        <is>
          <t>Other non-current assets</t>
        </is>
      </c>
      <c r="D62" s="265" t="n">
        <v>0</v>
      </c>
      <c r="E62" s="265" t="n">
        <v>0</v>
      </c>
      <c r="F62" s="265" t="n">
        <v>0</v>
      </c>
      <c r="G62" s="265" t="n">
        <v>0</v>
      </c>
      <c r="I62" s="265" t="n">
        <v>0</v>
      </c>
      <c r="J62" s="265" t="n">
        <v>0</v>
      </c>
      <c r="K62" s="265" t="n">
        <v>0</v>
      </c>
      <c r="L62" s="265" t="n">
        <v>0</v>
      </c>
      <c r="N62" s="265" t="n">
        <v>0</v>
      </c>
      <c r="O62" s="265" t="n">
        <v>0</v>
      </c>
      <c r="P62" s="265" t="n">
        <v>0</v>
      </c>
      <c r="Q62" s="265" t="n">
        <v>0</v>
      </c>
      <c r="S62" s="265" t="n">
        <v>0</v>
      </c>
      <c r="T62" s="265" t="n">
        <v>0</v>
      </c>
      <c r="U62" s="265" t="n">
        <v>0</v>
      </c>
      <c r="V62" s="265" t="n">
        <v>0</v>
      </c>
      <c r="X62" s="265" t="n">
        <v>0</v>
      </c>
      <c r="Y62" s="265" t="n">
        <v>0</v>
      </c>
      <c r="Z62" s="265" t="n">
        <v>0</v>
      </c>
      <c r="AA62" s="265" t="n">
        <v>0</v>
      </c>
      <c r="AC62" s="265" t="n">
        <v>0</v>
      </c>
      <c r="AD62" s="265" t="n">
        <v>0</v>
      </c>
    </row>
    <row r="63">
      <c r="A63" t="inlineStr">
        <is>
          <t>OtherAssetsNoncurrent · fonte · unid. moeda</t>
        </is>
      </c>
      <c r="B63" t="n">
        <v>22</v>
      </c>
      <c r="C63" t="inlineStr">
        <is>
          <t>Other non-current assets</t>
        </is>
      </c>
      <c r="D63" s="265" t="n">
        <v>12308000</v>
      </c>
      <c r="E63" s="265" t="n">
        <v>12640000</v>
      </c>
      <c r="F63" s="265" t="n">
        <v>12651000</v>
      </c>
      <c r="G63" s="265" t="n">
        <v>19040000</v>
      </c>
      <c r="I63" s="265" t="n">
        <v>19767000</v>
      </c>
      <c r="J63" s="265" t="n">
        <v>19737000</v>
      </c>
      <c r="K63" s="265" t="n">
        <v>19166000</v>
      </c>
      <c r="L63" s="265" t="n">
        <v>16998000</v>
      </c>
      <c r="N63" s="265" t="n">
        <v>15888000</v>
      </c>
      <c r="O63" s="265" t="n">
        <v>16172000</v>
      </c>
      <c r="P63" s="265" t="n">
        <v>16307000</v>
      </c>
      <c r="Q63" s="265" t="n">
        <v>15997000</v>
      </c>
      <c r="S63" s="265" t="n">
        <v>16995000</v>
      </c>
      <c r="T63" s="265" t="n">
        <v>13405000</v>
      </c>
      <c r="U63" s="265" t="n">
        <v>13836000</v>
      </c>
      <c r="V63" s="265" t="n">
        <v>13910000</v>
      </c>
      <c r="X63" s="265" t="n">
        <v>14453000</v>
      </c>
      <c r="Y63" s="265" t="n">
        <v>15002000</v>
      </c>
      <c r="Z63" s="265" t="n">
        <v>15558000</v>
      </c>
      <c r="AA63" s="265" t="n">
        <v>15277000</v>
      </c>
      <c r="AC63" s="265" t="n">
        <v>15159000</v>
      </c>
      <c r="AD63" s="265" t="n">
        <v>15469000</v>
      </c>
    </row>
    <row r="64">
      <c r="A64" t="inlineStr">
        <is>
          <t>DisposalGroupIncludingDiscontinuedOperationAssetsNoncurrent · fonte · unid. moeda</t>
        </is>
      </c>
      <c r="B64" t="n">
        <v>22</v>
      </c>
      <c r="C64" t="inlineStr">
        <is>
          <t>Other non-current assets</t>
        </is>
      </c>
      <c r="D64" s="265" t="n">
        <v>3009000</v>
      </c>
      <c r="E64" s="265" t="n">
        <v>3057000</v>
      </c>
      <c r="F64" s="265" t="n">
        <v>2855000</v>
      </c>
      <c r="G64" s="265" t="n">
        <v>3177000</v>
      </c>
      <c r="I64" s="265" t="n">
        <v>2935000</v>
      </c>
      <c r="J64" s="265" t="n">
        <v>3199000</v>
      </c>
      <c r="K64" s="265" t="n">
        <v>2985000</v>
      </c>
      <c r="L64" s="265" t="n">
        <v>2892000</v>
      </c>
      <c r="N64" s="265" t="n">
        <v>2793000</v>
      </c>
      <c r="O64" s="265" t="n">
        <v>1761000</v>
      </c>
      <c r="P64" s="265" t="n">
        <v>1560000</v>
      </c>
      <c r="Q64" s="265" t="n">
        <v>1695000</v>
      </c>
      <c r="S64" s="265" t="n">
        <v>1709000</v>
      </c>
      <c r="T64" s="265" t="n">
        <v>1817000</v>
      </c>
      <c r="U64" s="265" t="n">
        <v>2006000</v>
      </c>
      <c r="V64" s="265" t="n">
        <v>1841000</v>
      </c>
      <c r="X64" s="265" t="n">
        <v>1895000</v>
      </c>
      <c r="Y64" s="265" t="n">
        <v>2007000</v>
      </c>
      <c r="Z64" s="265" t="n">
        <v>1957000</v>
      </c>
      <c r="AA64" s="265" t="n">
        <v>1855000</v>
      </c>
      <c r="AC64" s="265" t="n">
        <v>1666000</v>
      </c>
      <c r="AD64" s="265" t="n">
        <v>1517000</v>
      </c>
    </row>
    <row r="65">
      <c r="A65" t="inlineStr">
        <is>
          <t>PropertyPlantAndEquipmentAndOperatingLeaseRightOfUseAssetAfterAccumulatedDepreciationAndAmortization · fonte · unid. moeda</t>
        </is>
      </c>
      <c r="B65" t="n">
        <v>22</v>
      </c>
      <c r="C65" t="inlineStr">
        <is>
          <t>Other non-current assets</t>
        </is>
      </c>
      <c r="D65" s="265" t="n">
        <v>16296000</v>
      </c>
      <c r="E65" s="265" t="n">
        <v>16169000</v>
      </c>
      <c r="F65" s="265" t="n">
        <v>15873000</v>
      </c>
      <c r="G65" s="265" t="n">
        <v>15609000</v>
      </c>
      <c r="I65" s="265" t="n">
        <v>15036000</v>
      </c>
      <c r="J65" s="265" t="n">
        <v>14790000</v>
      </c>
      <c r="K65" s="265" t="n">
        <v>14295000</v>
      </c>
      <c r="L65" s="265" t="n">
        <v>14478000</v>
      </c>
      <c r="N65" s="265" t="n">
        <v>12170000</v>
      </c>
      <c r="O65" s="265" t="n">
        <v>12374000</v>
      </c>
      <c r="P65" s="265" t="n">
        <v>12203000</v>
      </c>
      <c r="Q65" s="265" t="n">
        <v>12494000</v>
      </c>
      <c r="S65" s="265" t="n">
        <v>12345000</v>
      </c>
      <c r="T65" s="265" t="n">
        <v>7095000</v>
      </c>
      <c r="U65" s="265" t="n">
        <v>7254000</v>
      </c>
      <c r="V65" s="265" t="n">
        <v>7277000</v>
      </c>
      <c r="X65" s="265" t="n">
        <v>7426000</v>
      </c>
      <c r="Y65" s="265" t="n">
        <v>7523000</v>
      </c>
      <c r="Z65" s="265" t="n">
        <v>7608000</v>
      </c>
      <c r="AA65" s="265" t="n">
        <v>7987000</v>
      </c>
      <c r="AC65" s="265" t="n">
        <v>7973000</v>
      </c>
      <c r="AD65" s="265" t="n">
        <v>8135000</v>
      </c>
    </row>
    <row r="66">
      <c r="A66" t="inlineStr">
        <is>
          <t>ContractAndOtherDeferredAssetsNoncurrent · fonte · unid. moeda</t>
        </is>
      </c>
      <c r="B66" t="n">
        <v>22</v>
      </c>
      <c r="C66" t="inlineStr">
        <is>
          <t>Other non-current assets</t>
        </is>
      </c>
      <c r="D66" s="265" t="n">
        <v>5985000</v>
      </c>
      <c r="E66" s="265" t="n">
        <v>6131000</v>
      </c>
      <c r="F66" s="265" t="n">
        <v>6119000</v>
      </c>
      <c r="G66" s="265" t="n">
        <v>6124000</v>
      </c>
      <c r="I66" s="265" t="n">
        <v>6159000</v>
      </c>
      <c r="J66" s="265" t="n">
        <v>6189000</v>
      </c>
      <c r="K66" s="265" t="n">
        <v>6221000</v>
      </c>
      <c r="L66" s="265" t="n">
        <v>6010000</v>
      </c>
      <c r="N66" s="265" t="n">
        <v>5631000</v>
      </c>
      <c r="O66" s="265" t="n">
        <v>5440000</v>
      </c>
      <c r="P66" s="265" t="n">
        <v>5427000</v>
      </c>
      <c r="Q66" s="265" t="n">
        <v>5406000</v>
      </c>
      <c r="S66" s="265" t="n">
        <v>5431000</v>
      </c>
      <c r="T66" s="265" t="n">
        <v>4801000</v>
      </c>
      <c r="U66" s="265" t="n">
        <v>4823000</v>
      </c>
      <c r="V66" s="265" t="n">
        <v>4831000</v>
      </c>
      <c r="X66" s="265" t="n">
        <v>4835000</v>
      </c>
      <c r="Y66" s="265" t="n">
        <v>4803000</v>
      </c>
      <c r="Z66" s="265" t="n">
        <v>4720000</v>
      </c>
      <c r="AA66" s="265" t="n">
        <v>4920000</v>
      </c>
      <c r="AC66" s="265" t="n">
        <v>4966000</v>
      </c>
      <c r="AD66" s="265" t="n">
        <v>4976000</v>
      </c>
    </row>
    <row r="67">
      <c r="A67" t="inlineStr">
        <is>
          <t>LongTermInvestments · fonte · unid. moeda</t>
        </is>
      </c>
      <c r="B67" t="n">
        <v>22</v>
      </c>
      <c r="C67" t="inlineStr">
        <is>
          <t>Other non-current assets</t>
        </is>
      </c>
      <c r="D67" s="265" t="n">
        <v>0</v>
      </c>
      <c r="E67" s="265" t="n">
        <v>0</v>
      </c>
      <c r="F67" s="265" t="n">
        <v>0</v>
      </c>
      <c r="G67" s="265" t="n">
        <v>42209000</v>
      </c>
      <c r="I67" s="265" t="n">
        <v>39845000</v>
      </c>
      <c r="J67" s="265" t="n">
        <v>36195000</v>
      </c>
      <c r="K67" s="265" t="n">
        <v>33624000</v>
      </c>
      <c r="L67" s="265" t="n">
        <v>36048000</v>
      </c>
      <c r="N67" s="265" t="n">
        <v>38262000</v>
      </c>
      <c r="O67" s="265" t="n">
        <v>37392000</v>
      </c>
      <c r="P67" s="265" t="n">
        <v>35528000</v>
      </c>
      <c r="Q67" s="265" t="n">
        <v>38000000</v>
      </c>
      <c r="S67" s="265" t="n">
        <v>38705000</v>
      </c>
      <c r="T67" s="265" t="n">
        <v>38129000</v>
      </c>
      <c r="U67" s="265" t="n">
        <v>39514000</v>
      </c>
      <c r="V67" s="265" t="n">
        <v>37741000</v>
      </c>
      <c r="X67" s="265" t="n">
        <v>38010000</v>
      </c>
      <c r="Y67" s="265" t="n">
        <v>37887000</v>
      </c>
      <c r="Z67" s="265" t="n">
        <v>38158000</v>
      </c>
      <c r="AA67" s="265" t="n">
        <v>38788000</v>
      </c>
      <c r="AC67" s="265" t="n">
        <v>38193000</v>
      </c>
      <c r="AD67" s="265" t="n">
        <v>37910000</v>
      </c>
    </row>
    <row r="68">
      <c r="A68" t="inlineStr">
        <is>
          <t>AccountsPayableCurrent · fonte · unid. moeda</t>
        </is>
      </c>
      <c r="B68" t="n">
        <v>23</v>
      </c>
      <c r="C68" t="inlineStr">
        <is>
          <t>Accounts payable</t>
        </is>
      </c>
      <c r="D68" s="265" t="n">
        <v>0</v>
      </c>
      <c r="E68" s="265" t="n">
        <v>0</v>
      </c>
      <c r="F68" s="265" t="n">
        <v>0</v>
      </c>
      <c r="G68" s="265" t="n">
        <v>0</v>
      </c>
      <c r="I68" s="265" t="n">
        <v>0</v>
      </c>
      <c r="J68" s="265" t="n">
        <v>0</v>
      </c>
      <c r="K68" s="265" t="n">
        <v>0</v>
      </c>
      <c r="L68" s="265" t="n">
        <v>0</v>
      </c>
      <c r="N68" s="265" t="n">
        <v>0</v>
      </c>
      <c r="O68" s="265" t="n">
        <v>0</v>
      </c>
      <c r="P68" s="265" t="n">
        <v>0</v>
      </c>
      <c r="Q68" s="265" t="n">
        <v>0</v>
      </c>
      <c r="S68" s="265" t="n">
        <v>0</v>
      </c>
      <c r="T68" s="265" t="n">
        <v>7707000</v>
      </c>
      <c r="U68" s="265" t="n">
        <v>7829000</v>
      </c>
      <c r="V68" s="265" t="n">
        <v>7909000</v>
      </c>
      <c r="X68" s="265" t="n">
        <v>8625000</v>
      </c>
      <c r="Y68" s="265" t="n">
        <v>9495000</v>
      </c>
      <c r="Z68" s="265" t="n">
        <v>9485000</v>
      </c>
      <c r="AA68" s="265" t="n">
        <v>10078000</v>
      </c>
      <c r="AC68" s="265" t="n">
        <v>10683000</v>
      </c>
      <c r="AD68" s="265" t="n">
        <v>10822000</v>
      </c>
    </row>
    <row r="69">
      <c r="A69" t="inlineStr">
        <is>
          <t>AccruedLiabilitiesCurrent · fonte · unid. moeda</t>
        </is>
      </c>
      <c r="B69" t="n">
        <v>24</v>
      </c>
      <c r="C69" t="inlineStr">
        <is>
          <t>Accrued expenses</t>
        </is>
      </c>
      <c r="D69" s="265" t="n">
        <v>0</v>
      </c>
      <c r="E69" s="265" t="n">
        <v>0</v>
      </c>
      <c r="F69" s="265" t="n">
        <v>0</v>
      </c>
      <c r="G69" s="265" t="n">
        <v>0</v>
      </c>
      <c r="I69" s="265" t="n">
        <v>0</v>
      </c>
      <c r="J69" s="265" t="n">
        <v>0</v>
      </c>
      <c r="K69" s="265" t="n">
        <v>0</v>
      </c>
      <c r="L69" s="265" t="n">
        <v>0</v>
      </c>
      <c r="N69" s="265" t="n">
        <v>0</v>
      </c>
      <c r="O69" s="265" t="n">
        <v>0</v>
      </c>
      <c r="P69" s="265" t="n">
        <v>0</v>
      </c>
      <c r="Q69" s="265" t="n">
        <v>0</v>
      </c>
      <c r="S69" s="265" t="n">
        <v>0</v>
      </c>
      <c r="T69" s="265" t="n">
        <v>0</v>
      </c>
      <c r="U69" s="265" t="n">
        <v>0</v>
      </c>
      <c r="V69" s="265" t="n">
        <v>0</v>
      </c>
      <c r="X69" s="265" t="n">
        <v>0</v>
      </c>
      <c r="Y69" s="265" t="n">
        <v>0</v>
      </c>
      <c r="Z69" s="265" t="n">
        <v>0</v>
      </c>
      <c r="AA69" s="265" t="n">
        <v>0</v>
      </c>
      <c r="AC69" s="265" t="n">
        <v>0</v>
      </c>
      <c r="AD69" s="265" t="n">
        <v>0</v>
      </c>
    </row>
    <row r="70">
      <c r="A70" t="inlineStr">
        <is>
          <t>ShortTermDebtAssumed · fonte · unid. moeda</t>
        </is>
      </c>
      <c r="B70" t="n">
        <v>26</v>
      </c>
      <c r="C70" t="inlineStr">
        <is>
          <t>Other current liabilities (non-debt)</t>
        </is>
      </c>
      <c r="D70" s="265" t="n">
        <v>0</v>
      </c>
      <c r="E70" s="265" t="n">
        <v>0</v>
      </c>
      <c r="F70" s="265" t="n">
        <v>0</v>
      </c>
      <c r="G70" s="265" t="n">
        <v>0</v>
      </c>
      <c r="I70" s="265" t="n">
        <v>0</v>
      </c>
      <c r="J70" s="265" t="n">
        <v>0</v>
      </c>
      <c r="K70" s="265" t="n">
        <v>0</v>
      </c>
      <c r="L70" s="265" t="n">
        <v>0</v>
      </c>
      <c r="N70" s="265" t="n">
        <v>0</v>
      </c>
      <c r="O70" s="265" t="n">
        <v>0</v>
      </c>
      <c r="P70" s="265" t="n">
        <v>0</v>
      </c>
      <c r="Q70" s="265" t="n">
        <v>0</v>
      </c>
      <c r="S70" s="265" t="n">
        <v>0</v>
      </c>
      <c r="T70" s="265" t="n">
        <v>0</v>
      </c>
      <c r="U70" s="265" t="n">
        <v>0</v>
      </c>
      <c r="V70" s="265" t="n">
        <v>0</v>
      </c>
      <c r="X70" s="265" t="n">
        <v>0</v>
      </c>
      <c r="Y70" s="265" t="n">
        <v>0</v>
      </c>
      <c r="Z70" s="265" t="n">
        <v>0</v>
      </c>
      <c r="AA70" s="265" t="n">
        <v>0</v>
      </c>
      <c r="AC70" s="265" t="n">
        <v>0</v>
      </c>
      <c r="AD70" s="265" t="n">
        <v>0</v>
      </c>
    </row>
    <row r="71">
      <c r="A71" t="inlineStr">
        <is>
          <t>ContractWithCustomerLiabilityProgressBillingsAndDeferredRevenue · fonte · unid. moeda</t>
        </is>
      </c>
      <c r="B71" t="n">
        <v>26</v>
      </c>
      <c r="C71" t="inlineStr">
        <is>
          <t>Other current liabilities (non-debt)</t>
        </is>
      </c>
      <c r="D71" s="265" t="n">
        <v>0</v>
      </c>
      <c r="E71" s="265" t="n">
        <v>0</v>
      </c>
      <c r="F71" s="265" t="n">
        <v>0</v>
      </c>
      <c r="G71" s="265" t="n">
        <v>0</v>
      </c>
      <c r="I71" s="265" t="n">
        <v>0</v>
      </c>
      <c r="J71" s="265" t="n">
        <v>0</v>
      </c>
      <c r="K71" s="265" t="n">
        <v>0</v>
      </c>
      <c r="L71" s="265" t="n">
        <v>0</v>
      </c>
      <c r="N71" s="265" t="n">
        <v>0</v>
      </c>
      <c r="O71" s="265" t="n">
        <v>0</v>
      </c>
      <c r="P71" s="265" t="n">
        <v>0</v>
      </c>
      <c r="Q71" s="265" t="n">
        <v>0</v>
      </c>
      <c r="S71" s="265" t="n">
        <v>0</v>
      </c>
      <c r="T71" s="265" t="n">
        <v>0</v>
      </c>
      <c r="U71" s="265" t="n">
        <v>0</v>
      </c>
      <c r="V71" s="265" t="n">
        <v>0</v>
      </c>
      <c r="X71" s="265" t="n">
        <v>0</v>
      </c>
      <c r="Y71" s="265" t="n">
        <v>0</v>
      </c>
      <c r="Z71" s="265" t="n">
        <v>0</v>
      </c>
      <c r="AA71" s="265" t="n">
        <v>0</v>
      </c>
      <c r="AC71" s="265" t="n">
        <v>0</v>
      </c>
      <c r="AD71" s="265" t="n">
        <v>0</v>
      </c>
    </row>
    <row r="72">
      <c r="A72" t="inlineStr">
        <is>
          <t>NonRecourseBorrowingsOfConsolidatedSecuritizationEntities · fonte · unid. moeda</t>
        </is>
      </c>
      <c r="B72" t="n">
        <v>26</v>
      </c>
      <c r="C72" t="inlineStr">
        <is>
          <t>Other current liabilities (non-debt)</t>
        </is>
      </c>
      <c r="D72" s="265" t="n">
        <v>0</v>
      </c>
      <c r="E72" s="265" t="n">
        <v>0</v>
      </c>
      <c r="F72" s="265" t="n">
        <v>0</v>
      </c>
      <c r="G72" s="265" t="n">
        <v>0</v>
      </c>
      <c r="I72" s="265" t="n">
        <v>0</v>
      </c>
      <c r="J72" s="265" t="n">
        <v>0</v>
      </c>
      <c r="K72" s="265" t="n">
        <v>0</v>
      </c>
      <c r="L72" s="265" t="n">
        <v>0</v>
      </c>
      <c r="N72" s="265" t="n">
        <v>0</v>
      </c>
      <c r="O72" s="265" t="n">
        <v>0</v>
      </c>
      <c r="P72" s="265" t="n">
        <v>0</v>
      </c>
      <c r="Q72" s="265" t="n">
        <v>0</v>
      </c>
      <c r="S72" s="265" t="n">
        <v>0</v>
      </c>
      <c r="T72" s="265" t="n">
        <v>0</v>
      </c>
      <c r="U72" s="265" t="n">
        <v>0</v>
      </c>
      <c r="V72" s="265" t="n">
        <v>0</v>
      </c>
      <c r="X72" s="265" t="n">
        <v>0</v>
      </c>
      <c r="Y72" s="265" t="n">
        <v>0</v>
      </c>
      <c r="Z72" s="265" t="n">
        <v>0</v>
      </c>
      <c r="AA72" s="265" t="n">
        <v>0</v>
      </c>
      <c r="AC72" s="265" t="n">
        <v>0</v>
      </c>
      <c r="AD72" s="265" t="n">
        <v>0</v>
      </c>
    </row>
    <row r="73">
      <c r="A73" t="inlineStr">
        <is>
          <t>LongTermDebtAssumed · fonte · unid. moeda</t>
        </is>
      </c>
      <c r="B73" t="n">
        <v>26</v>
      </c>
      <c r="C73" t="inlineStr">
        <is>
          <t>Other current liabilities (non-debt)</t>
        </is>
      </c>
      <c r="D73" s="265" t="n">
        <v>0</v>
      </c>
      <c r="E73" s="265" t="n">
        <v>0</v>
      </c>
      <c r="F73" s="265" t="n">
        <v>0</v>
      </c>
      <c r="G73" s="265" t="n">
        <v>0</v>
      </c>
      <c r="I73" s="265" t="n">
        <v>0</v>
      </c>
      <c r="J73" s="265" t="n">
        <v>0</v>
      </c>
      <c r="K73" s="265" t="n">
        <v>0</v>
      </c>
      <c r="L73" s="265" t="n">
        <v>0</v>
      </c>
      <c r="N73" s="265" t="n">
        <v>0</v>
      </c>
      <c r="O73" s="265" t="n">
        <v>0</v>
      </c>
      <c r="P73" s="265" t="n">
        <v>0</v>
      </c>
      <c r="Q73" s="265" t="n">
        <v>0</v>
      </c>
      <c r="S73" s="265" t="n">
        <v>0</v>
      </c>
      <c r="T73" s="265" t="n">
        <v>0</v>
      </c>
      <c r="U73" s="265" t="n">
        <v>0</v>
      </c>
      <c r="V73" s="265" t="n">
        <v>0</v>
      </c>
      <c r="X73" s="265" t="n">
        <v>0</v>
      </c>
      <c r="Y73" s="265" t="n">
        <v>0</v>
      </c>
      <c r="Z73" s="265" t="n">
        <v>0</v>
      </c>
      <c r="AA73" s="265" t="n">
        <v>0</v>
      </c>
      <c r="AC73" s="265" t="n">
        <v>0</v>
      </c>
      <c r="AD73" s="265" t="n">
        <v>0</v>
      </c>
    </row>
    <row r="74">
      <c r="A74" t="inlineStr">
        <is>
          <t>InvestmentContractsInsuranceLiabilitiesAnnuityBenefits · fonte · unid. moeda</t>
        </is>
      </c>
      <c r="B74" t="n">
        <v>26</v>
      </c>
      <c r="C74" t="inlineStr">
        <is>
          <t>Other current liabilities (non-debt)</t>
        </is>
      </c>
      <c r="D74" s="265" t="n">
        <v>0</v>
      </c>
      <c r="E74" s="265" t="n">
        <v>0</v>
      </c>
      <c r="F74" s="265" t="n">
        <v>0</v>
      </c>
      <c r="G74" s="265" t="n">
        <v>0</v>
      </c>
      <c r="I74" s="265" t="n">
        <v>0</v>
      </c>
      <c r="J74" s="265" t="n">
        <v>0</v>
      </c>
      <c r="K74" s="265" t="n">
        <v>0</v>
      </c>
      <c r="L74" s="265" t="n">
        <v>0</v>
      </c>
      <c r="N74" s="265" t="n">
        <v>0</v>
      </c>
      <c r="O74" s="265" t="n">
        <v>0</v>
      </c>
      <c r="P74" s="265" t="n">
        <v>0</v>
      </c>
      <c r="Q74" s="265" t="n">
        <v>0</v>
      </c>
      <c r="S74" s="265" t="n">
        <v>0</v>
      </c>
      <c r="T74" s="265" t="n">
        <v>0</v>
      </c>
      <c r="U74" s="265" t="n">
        <v>0</v>
      </c>
      <c r="V74" s="265" t="n">
        <v>0</v>
      </c>
      <c r="X74" s="265" t="n">
        <v>0</v>
      </c>
      <c r="Y74" s="265" t="n">
        <v>0</v>
      </c>
      <c r="Z74" s="265" t="n">
        <v>0</v>
      </c>
      <c r="AA74" s="265" t="n">
        <v>0</v>
      </c>
      <c r="AC74" s="265" t="n">
        <v>0</v>
      </c>
      <c r="AD74" s="265" t="n">
        <v>0</v>
      </c>
    </row>
    <row r="75">
      <c r="A75" t="inlineStr">
        <is>
          <t>DeferredCompensationLiabilityClassifiedNoncurrent · fonte · unid. moeda</t>
        </is>
      </c>
      <c r="B75" t="n">
        <v>26</v>
      </c>
      <c r="C75" t="inlineStr">
        <is>
          <t>Other current liabilities (non-debt)</t>
        </is>
      </c>
      <c r="D75" s="265" t="n">
        <v>0</v>
      </c>
      <c r="E75" s="265" t="n">
        <v>0</v>
      </c>
      <c r="F75" s="265" t="n">
        <v>0</v>
      </c>
      <c r="G75" s="265" t="n">
        <v>0</v>
      </c>
      <c r="I75" s="265" t="n">
        <v>0</v>
      </c>
      <c r="J75" s="265" t="n">
        <v>0</v>
      </c>
      <c r="K75" s="265" t="n">
        <v>0</v>
      </c>
      <c r="L75" s="265" t="n">
        <v>0</v>
      </c>
      <c r="N75" s="265" t="n">
        <v>0</v>
      </c>
      <c r="O75" s="265" t="n">
        <v>0</v>
      </c>
      <c r="P75" s="265" t="n">
        <v>0</v>
      </c>
      <c r="Q75" s="265" t="n">
        <v>0</v>
      </c>
      <c r="S75" s="265" t="n">
        <v>0</v>
      </c>
      <c r="T75" s="265" t="n">
        <v>0</v>
      </c>
      <c r="U75" s="265" t="n">
        <v>0</v>
      </c>
      <c r="V75" s="265" t="n">
        <v>0</v>
      </c>
      <c r="X75" s="265" t="n">
        <v>0</v>
      </c>
      <c r="Y75" s="265" t="n">
        <v>0</v>
      </c>
      <c r="Z75" s="265" t="n">
        <v>0</v>
      </c>
      <c r="AA75" s="265" t="n">
        <v>0</v>
      </c>
      <c r="AC75" s="265" t="n">
        <v>0</v>
      </c>
      <c r="AD75" s="265" t="n">
        <v>0</v>
      </c>
    </row>
    <row r="76">
      <c r="A76" t="inlineStr">
        <is>
          <t>OtherLiabilities · fonte · unid. moeda</t>
        </is>
      </c>
      <c r="B76" t="n">
        <v>26</v>
      </c>
      <c r="C76" t="inlineStr">
        <is>
          <t>Other current liabilities (non-debt)</t>
        </is>
      </c>
      <c r="D76" s="265" t="n">
        <v>0</v>
      </c>
      <c r="E76" s="265" t="n">
        <v>0</v>
      </c>
      <c r="F76" s="265" t="n">
        <v>0</v>
      </c>
      <c r="G76" s="265" t="n">
        <v>0</v>
      </c>
      <c r="I76" s="265" t="n">
        <v>0</v>
      </c>
      <c r="J76" s="265" t="n">
        <v>0</v>
      </c>
      <c r="K76" s="265" t="n">
        <v>0</v>
      </c>
      <c r="L76" s="265" t="n">
        <v>0</v>
      </c>
      <c r="N76" s="265" t="n">
        <v>0</v>
      </c>
      <c r="O76" s="265" t="n">
        <v>0</v>
      </c>
      <c r="P76" s="265" t="n">
        <v>0</v>
      </c>
      <c r="Q76" s="265" t="n">
        <v>0</v>
      </c>
      <c r="S76" s="265" t="n">
        <v>0</v>
      </c>
      <c r="T76" s="265" t="n">
        <v>0</v>
      </c>
      <c r="U76" s="265" t="n">
        <v>0</v>
      </c>
      <c r="V76" s="265" t="n">
        <v>0</v>
      </c>
      <c r="X76" s="265" t="n">
        <v>0</v>
      </c>
      <c r="Y76" s="265" t="n">
        <v>0</v>
      </c>
      <c r="Z76" s="265" t="n">
        <v>0</v>
      </c>
      <c r="AA76" s="265" t="n">
        <v>0</v>
      </c>
      <c r="AC76" s="265" t="n">
        <v>0</v>
      </c>
      <c r="AD76" s="265" t="n">
        <v>0</v>
      </c>
    </row>
    <row r="77">
      <c r="A77" t="inlineStr">
        <is>
          <t>LiabilitiesOfAssetsHeldForSale1 · fonte · unid. moeda</t>
        </is>
      </c>
      <c r="B77" t="n">
        <v>26</v>
      </c>
      <c r="C77" t="inlineStr">
        <is>
          <t>Other current liabilities (non-debt)</t>
        </is>
      </c>
      <c r="D77" s="265" t="n">
        <v>0</v>
      </c>
      <c r="E77" s="265" t="n">
        <v>0</v>
      </c>
      <c r="F77" s="265" t="n">
        <v>0</v>
      </c>
      <c r="G77" s="265" t="n">
        <v>0</v>
      </c>
      <c r="I77" s="265" t="n">
        <v>0</v>
      </c>
      <c r="J77" s="265" t="n">
        <v>0</v>
      </c>
      <c r="K77" s="265" t="n">
        <v>0</v>
      </c>
      <c r="L77" s="265" t="n">
        <v>0</v>
      </c>
      <c r="N77" s="265" t="n">
        <v>0</v>
      </c>
      <c r="O77" s="265" t="n">
        <v>0</v>
      </c>
      <c r="P77" s="265" t="n">
        <v>0</v>
      </c>
      <c r="Q77" s="265" t="n">
        <v>0</v>
      </c>
      <c r="S77" s="265" t="n">
        <v>0</v>
      </c>
      <c r="T77" s="265" t="n">
        <v>0</v>
      </c>
      <c r="U77" s="265" t="n">
        <v>0</v>
      </c>
      <c r="V77" s="265" t="n">
        <v>0</v>
      </c>
      <c r="X77" s="265" t="n">
        <v>0</v>
      </c>
      <c r="Y77" s="265" t="n">
        <v>0</v>
      </c>
      <c r="Z77" s="265" t="n">
        <v>0</v>
      </c>
      <c r="AA77" s="265" t="n">
        <v>0</v>
      </c>
      <c r="AC77" s="265" t="n">
        <v>0</v>
      </c>
      <c r="AD77" s="265" t="n">
        <v>0</v>
      </c>
    </row>
    <row r="78">
      <c r="A78" t="inlineStr">
        <is>
          <t>LiabilitiesOfDisposalGroupIncludingDiscontinuedOperation · fonte · unid. moeda</t>
        </is>
      </c>
      <c r="B78" t="n">
        <v>26</v>
      </c>
      <c r="C78" t="inlineStr">
        <is>
          <t>Other current liabilities (non-debt)</t>
        </is>
      </c>
      <c r="D78" s="265" t="n">
        <v>0</v>
      </c>
      <c r="E78" s="265" t="n">
        <v>0</v>
      </c>
      <c r="F78" s="265" t="n">
        <v>0</v>
      </c>
      <c r="G78" s="265" t="n">
        <v>0</v>
      </c>
      <c r="I78" s="265" t="n">
        <v>0</v>
      </c>
      <c r="J78" s="265" t="n">
        <v>0</v>
      </c>
      <c r="K78" s="265" t="n">
        <v>0</v>
      </c>
      <c r="L78" s="265" t="n">
        <v>0</v>
      </c>
      <c r="N78" s="265" t="n">
        <v>0</v>
      </c>
      <c r="O78" s="265" t="n">
        <v>0</v>
      </c>
      <c r="P78" s="265" t="n">
        <v>0</v>
      </c>
      <c r="Q78" s="265" t="n">
        <v>0</v>
      </c>
      <c r="S78" s="265" t="n">
        <v>0</v>
      </c>
      <c r="T78" s="265" t="n">
        <v>0</v>
      </c>
      <c r="U78" s="265" t="n">
        <v>0</v>
      </c>
      <c r="V78" s="265" t="n">
        <v>0</v>
      </c>
      <c r="X78" s="265" t="n">
        <v>0</v>
      </c>
      <c r="Y78" s="265" t="n">
        <v>0</v>
      </c>
      <c r="Z78" s="265" t="n">
        <v>0</v>
      </c>
      <c r="AA78" s="265" t="n">
        <v>0</v>
      </c>
      <c r="AC78" s="265" t="n">
        <v>0</v>
      </c>
      <c r="AD78" s="265" t="n">
        <v>0</v>
      </c>
    </row>
    <row r="79">
      <c r="A79" t="inlineStr">
        <is>
          <t>DebtInstrumentCarryingAmount · fonte · unid. moeda</t>
        </is>
      </c>
      <c r="B79" t="n">
        <v>26</v>
      </c>
      <c r="C79" t="inlineStr">
        <is>
          <t>Other current liabilities (non-debt)</t>
        </is>
      </c>
      <c r="D79" s="265" t="n">
        <v>0</v>
      </c>
      <c r="E79" s="265" t="n">
        <v>0</v>
      </c>
      <c r="F79" s="265" t="n">
        <v>0</v>
      </c>
      <c r="G79" s="265" t="n">
        <v>0</v>
      </c>
      <c r="I79" s="265" t="n">
        <v>0</v>
      </c>
      <c r="J79" s="265" t="n">
        <v>0</v>
      </c>
      <c r="K79" s="265" t="n">
        <v>0</v>
      </c>
      <c r="L79" s="265" t="n">
        <v>0</v>
      </c>
      <c r="N79" s="265" t="n">
        <v>0</v>
      </c>
      <c r="O79" s="265" t="n">
        <v>0</v>
      </c>
      <c r="P79" s="265" t="n">
        <v>0</v>
      </c>
      <c r="Q79" s="265" t="n">
        <v>0</v>
      </c>
      <c r="S79" s="265" t="n">
        <v>0</v>
      </c>
      <c r="T79" s="265" t="n">
        <v>0</v>
      </c>
      <c r="U79" s="265" t="n">
        <v>0</v>
      </c>
      <c r="V79" s="265" t="n">
        <v>0</v>
      </c>
      <c r="X79" s="265" t="n">
        <v>0</v>
      </c>
      <c r="Y79" s="265" t="n">
        <v>0</v>
      </c>
      <c r="Z79" s="265" t="n">
        <v>0</v>
      </c>
      <c r="AA79" s="265" t="n">
        <v>0</v>
      </c>
      <c r="AC79" s="265" t="n">
        <v>0</v>
      </c>
      <c r="AD79" s="265" t="n">
        <v>0</v>
      </c>
    </row>
    <row r="80">
      <c r="A80" t="inlineStr">
        <is>
          <t>LiabilityForFuturePolicyBenefitsAndUnpaidClaimsAndClaimsAdjustmentExpense · fonte · unid. moeda</t>
        </is>
      </c>
      <c r="B80" t="n">
        <v>26</v>
      </c>
      <c r="C80" t="inlineStr">
        <is>
          <t>Other current liabilities (non-debt)</t>
        </is>
      </c>
      <c r="D80" s="265" t="n">
        <v>0</v>
      </c>
      <c r="E80" s="265" t="n">
        <v>0</v>
      </c>
      <c r="F80" s="265" t="n">
        <v>0</v>
      </c>
      <c r="G80" s="265" t="n">
        <v>0</v>
      </c>
      <c r="I80" s="265" t="n">
        <v>0</v>
      </c>
      <c r="J80" s="265" t="n">
        <v>0</v>
      </c>
      <c r="K80" s="265" t="n">
        <v>0</v>
      </c>
      <c r="L80" s="265" t="n">
        <v>0</v>
      </c>
      <c r="N80" s="265" t="n">
        <v>0</v>
      </c>
      <c r="O80" s="265" t="n">
        <v>0</v>
      </c>
      <c r="P80" s="265" t="n">
        <v>0</v>
      </c>
      <c r="Q80" s="265" t="n">
        <v>0</v>
      </c>
      <c r="S80" s="265" t="n">
        <v>0</v>
      </c>
      <c r="T80" s="265" t="n">
        <v>0</v>
      </c>
      <c r="U80" s="265" t="n">
        <v>0</v>
      </c>
      <c r="V80" s="265" t="n">
        <v>0</v>
      </c>
      <c r="X80" s="265" t="n">
        <v>0</v>
      </c>
      <c r="Y80" s="265" t="n">
        <v>0</v>
      </c>
      <c r="Z80" s="265" t="n">
        <v>0</v>
      </c>
      <c r="AA80" s="265" t="n">
        <v>0</v>
      </c>
      <c r="AC80" s="265" t="n">
        <v>0</v>
      </c>
      <c r="AD80" s="265" t="n">
        <v>0</v>
      </c>
    </row>
    <row r="81">
      <c r="A81" t="inlineStr">
        <is>
          <t>AccountsPayableAndOtherAccruedLiabilitiesCurrent · fonte · unid. moeda</t>
        </is>
      </c>
      <c r="B81" t="n">
        <v>26</v>
      </c>
      <c r="C81" t="inlineStr">
        <is>
          <t>Other current liabilities (non-debt)</t>
        </is>
      </c>
      <c r="D81" s="265" t="n">
        <v>16090000</v>
      </c>
      <c r="E81" s="265" t="n">
        <v>16653000</v>
      </c>
      <c r="F81" s="265" t="n">
        <v>16172000</v>
      </c>
      <c r="G81" s="265" t="n">
        <v>16243000</v>
      </c>
      <c r="I81" s="265" t="n">
        <v>16206000</v>
      </c>
      <c r="J81" s="265" t="n">
        <v>17030000</v>
      </c>
      <c r="K81" s="265" t="n">
        <v>17331000</v>
      </c>
      <c r="L81" s="265" t="n">
        <v>18644000</v>
      </c>
      <c r="N81" s="265" t="n">
        <v>15063000</v>
      </c>
      <c r="O81" s="265" t="n">
        <v>15515000</v>
      </c>
      <c r="P81" s="265" t="n">
        <v>15785000</v>
      </c>
      <c r="Q81" s="265" t="n">
        <v>15408000</v>
      </c>
      <c r="S81" s="265" t="n">
        <v>15184000</v>
      </c>
      <c r="T81" s="265" t="n">
        <v>0</v>
      </c>
      <c r="U81" s="265" t="n">
        <v>0</v>
      </c>
      <c r="V81" s="265" t="n">
        <v>0</v>
      </c>
      <c r="X81" s="265" t="n">
        <v>0</v>
      </c>
      <c r="Y81" s="265" t="n">
        <v>0</v>
      </c>
      <c r="Z81" s="265" t="n">
        <v>0</v>
      </c>
      <c r="AA81" s="265" t="n">
        <v>0</v>
      </c>
      <c r="AC81" s="265" t="n">
        <v>0</v>
      </c>
      <c r="AD81" s="265" t="n">
        <v>0</v>
      </c>
    </row>
    <row r="82">
      <c r="A82" t="inlineStr">
        <is>
          <t>ContractWithCustomerLiabilityCurrent · fonte · unid. moeda</t>
        </is>
      </c>
      <c r="B82" t="n">
        <v>26</v>
      </c>
      <c r="C82" t="inlineStr">
        <is>
          <t>Other current liabilities (non-debt)</t>
        </is>
      </c>
      <c r="D82" s="265" t="n">
        <v>17993000</v>
      </c>
      <c r="E82" s="265" t="n">
        <v>17201000</v>
      </c>
      <c r="F82" s="265" t="n">
        <v>16909000</v>
      </c>
      <c r="G82" s="265" t="n">
        <v>17372000</v>
      </c>
      <c r="I82" s="265" t="n">
        <v>16206000</v>
      </c>
      <c r="J82" s="265" t="n">
        <v>16360000</v>
      </c>
      <c r="K82" s="265" t="n">
        <v>16445000</v>
      </c>
      <c r="L82" s="265" t="n">
        <v>18118000</v>
      </c>
      <c r="N82" s="265" t="n">
        <v>16586000</v>
      </c>
      <c r="O82" s="265" t="n">
        <v>17142000</v>
      </c>
      <c r="P82" s="265" t="n">
        <v>17185000</v>
      </c>
      <c r="Q82" s="265" t="n">
        <v>19677000</v>
      </c>
      <c r="S82" s="265" t="n">
        <v>20718000</v>
      </c>
      <c r="T82" s="265" t="n">
        <v>8671000</v>
      </c>
      <c r="U82" s="265" t="n">
        <v>9047000</v>
      </c>
      <c r="V82" s="265" t="n">
        <v>9353000</v>
      </c>
      <c r="X82" s="265" t="n">
        <v>9624000</v>
      </c>
      <c r="Y82" s="265" t="n">
        <v>9738000</v>
      </c>
      <c r="Z82" s="265" t="n">
        <v>9852000</v>
      </c>
      <c r="AA82" s="265" t="n">
        <v>10333000</v>
      </c>
      <c r="AC82" s="265" t="n">
        <v>10204000</v>
      </c>
      <c r="AD82" s="265" t="n">
        <v>10159000</v>
      </c>
    </row>
    <row r="83">
      <c r="A83" t="inlineStr">
        <is>
          <t>OtherLiabilitiesCurrent · fonte · unid. moeda</t>
        </is>
      </c>
      <c r="B83" t="n">
        <v>26</v>
      </c>
      <c r="C83" t="inlineStr">
        <is>
          <t>Other current liabilities (non-debt)</t>
        </is>
      </c>
      <c r="D83" s="265" t="n">
        <v>14139000</v>
      </c>
      <c r="E83" s="265" t="n">
        <v>13569000</v>
      </c>
      <c r="F83" s="265" t="n">
        <v>14349000</v>
      </c>
      <c r="G83" s="265" t="n">
        <v>13977000</v>
      </c>
      <c r="I83" s="265" t="n">
        <v>14216000</v>
      </c>
      <c r="J83" s="265" t="n">
        <v>13909000</v>
      </c>
      <c r="K83" s="265" t="n">
        <v>15094000</v>
      </c>
      <c r="L83" s="265" t="n">
        <v>14485000</v>
      </c>
      <c r="N83" s="265" t="n">
        <v>12313000</v>
      </c>
      <c r="O83" s="265" t="n">
        <v>11620000</v>
      </c>
      <c r="P83" s="265" t="n">
        <v>12026000</v>
      </c>
      <c r="Q83" s="265" t="n">
        <v>12712000</v>
      </c>
      <c r="S83" s="265" t="n">
        <v>12342000</v>
      </c>
      <c r="T83" s="265" t="n">
        <v>4506000</v>
      </c>
      <c r="U83" s="265" t="n">
        <v>4986000</v>
      </c>
      <c r="V83" s="265" t="n">
        <v>4920000</v>
      </c>
      <c r="X83" s="265" t="n">
        <v>4211000</v>
      </c>
      <c r="Y83" s="265" t="n">
        <v>4395000</v>
      </c>
      <c r="Z83" s="265" t="n">
        <v>4788000</v>
      </c>
      <c r="AA83" s="265" t="n">
        <v>5185000</v>
      </c>
      <c r="AC83" s="265" t="n">
        <v>4280000</v>
      </c>
      <c r="AD83" s="265" t="n">
        <v>4518000</v>
      </c>
    </row>
    <row r="84">
      <c r="A84" t="inlineStr">
        <is>
          <t>LiabilitiesOfDisposalGroupIncludingDiscontinuedOperationCurrent · fonte · unid. moeda</t>
        </is>
      </c>
      <c r="B84" t="n">
        <v>26</v>
      </c>
      <c r="C84" t="inlineStr">
        <is>
          <t>Other current liabilities (non-debt)</t>
        </is>
      </c>
      <c r="D84" s="265" t="n">
        <v>4991000</v>
      </c>
      <c r="E84" s="265" t="n">
        <v>4922000</v>
      </c>
      <c r="F84" s="265" t="n">
        <v>4788000</v>
      </c>
      <c r="G84" s="265" t="n">
        <v>0</v>
      </c>
      <c r="I84" s="265" t="n">
        <v>1732000</v>
      </c>
      <c r="J84" s="265" t="n">
        <v>1638000</v>
      </c>
      <c r="K84" s="265" t="n">
        <v>1503000</v>
      </c>
      <c r="L84" s="265" t="n">
        <v>1944000</v>
      </c>
      <c r="N84" s="265" t="n">
        <v>1953000</v>
      </c>
      <c r="O84" s="265" t="n">
        <v>1949000</v>
      </c>
      <c r="P84" s="265" t="n">
        <v>1835000</v>
      </c>
      <c r="Q84" s="265" t="n">
        <v>1826000</v>
      </c>
      <c r="S84" s="265" t="n">
        <v>1811000</v>
      </c>
      <c r="T84" s="265" t="n">
        <v>61000</v>
      </c>
      <c r="U84" s="265" t="n">
        <v>0</v>
      </c>
      <c r="V84" s="265" t="n">
        <v>0</v>
      </c>
      <c r="X84" s="265" t="n">
        <v>0</v>
      </c>
      <c r="Y84" s="265" t="n">
        <v>0</v>
      </c>
      <c r="Z84" s="265" t="n">
        <v>0</v>
      </c>
      <c r="AA84" s="265" t="n">
        <v>0</v>
      </c>
      <c r="AC84" s="265" t="n">
        <v>0</v>
      </c>
      <c r="AD84" s="265" t="n">
        <v>0</v>
      </c>
    </row>
    <row r="85">
      <c r="A85" t="inlineStr">
        <is>
          <t>ContractWithCustomerLiabilityProgressBillings · fonte · unid. moeda</t>
        </is>
      </c>
      <c r="B85" t="n">
        <v>26</v>
      </c>
      <c r="C85" t="inlineStr">
        <is>
          <t>Other current liabilities (non-debt)</t>
        </is>
      </c>
      <c r="D85" s="265" t="n">
        <v>0</v>
      </c>
      <c r="E85" s="265" t="n">
        <v>0</v>
      </c>
      <c r="F85" s="265" t="n">
        <v>0</v>
      </c>
      <c r="G85" s="265" t="n">
        <v>0</v>
      </c>
      <c r="I85" s="265" t="n">
        <v>0</v>
      </c>
      <c r="J85" s="265" t="n">
        <v>0</v>
      </c>
      <c r="K85" s="265" t="n">
        <v>0</v>
      </c>
      <c r="L85" s="265" t="n">
        <v>0</v>
      </c>
      <c r="N85" s="265" t="n">
        <v>0</v>
      </c>
      <c r="O85" s="265" t="n">
        <v>0</v>
      </c>
      <c r="P85" s="265" t="n">
        <v>0</v>
      </c>
      <c r="Q85" s="265" t="n">
        <v>0</v>
      </c>
      <c r="S85" s="265" t="n">
        <v>0</v>
      </c>
      <c r="T85" s="265" t="n">
        <v>6465000</v>
      </c>
      <c r="U85" s="265" t="n">
        <v>6477000</v>
      </c>
      <c r="V85" s="265" t="n">
        <v>6695000</v>
      </c>
      <c r="X85" s="265" t="n">
        <v>6842000</v>
      </c>
      <c r="Y85" s="265" t="n">
        <v>7026000</v>
      </c>
      <c r="Z85" s="265" t="n">
        <v>6982000</v>
      </c>
      <c r="AA85" s="265" t="n">
        <v>7662000</v>
      </c>
      <c r="AC85" s="265" t="n">
        <v>7721000</v>
      </c>
      <c r="AD85" s="265" t="n">
        <v>7937000</v>
      </c>
    </row>
    <row r="86">
      <c r="A86" t="inlineStr">
        <is>
          <t>SalesDiscountsAndAllowancesCurrent · fonte · unid. moeda</t>
        </is>
      </c>
      <c r="B86" t="n">
        <v>26</v>
      </c>
      <c r="C86" t="inlineStr">
        <is>
          <t>Other current liabilities (non-debt)</t>
        </is>
      </c>
      <c r="D86" s="265" t="n">
        <v>0</v>
      </c>
      <c r="E86" s="265" t="n">
        <v>0</v>
      </c>
      <c r="F86" s="265" t="n">
        <v>0</v>
      </c>
      <c r="G86" s="265" t="n">
        <v>0</v>
      </c>
      <c r="I86" s="265" t="n">
        <v>0</v>
      </c>
      <c r="J86" s="265" t="n">
        <v>0</v>
      </c>
      <c r="K86" s="265" t="n">
        <v>0</v>
      </c>
      <c r="L86" s="265" t="n">
        <v>0</v>
      </c>
      <c r="N86" s="265" t="n">
        <v>0</v>
      </c>
      <c r="O86" s="265" t="n">
        <v>0</v>
      </c>
      <c r="P86" s="265" t="n">
        <v>0</v>
      </c>
      <c r="Q86" s="265" t="n">
        <v>0</v>
      </c>
      <c r="S86" s="265" t="n">
        <v>0</v>
      </c>
      <c r="T86" s="265" t="n">
        <v>3639000</v>
      </c>
      <c r="U86" s="265" t="n">
        <v>4073000</v>
      </c>
      <c r="V86" s="265" t="n">
        <v>3475000</v>
      </c>
      <c r="X86" s="265" t="n">
        <v>3555000</v>
      </c>
      <c r="Y86" s="265" t="n">
        <v>3923000</v>
      </c>
      <c r="Z86" s="265" t="n">
        <v>4029000</v>
      </c>
      <c r="AA86" s="265" t="n">
        <v>4037000</v>
      </c>
      <c r="AC86" s="265" t="n">
        <v>5037000</v>
      </c>
      <c r="AD86" s="265" t="n">
        <v>4993000</v>
      </c>
    </row>
    <row r="87">
      <c r="A87" t="inlineStr">
        <is>
          <t>ShortTermBorrowings · fonte · unid. moeda</t>
        </is>
      </c>
      <c r="B87" t="n">
        <v>27</v>
      </c>
      <c r="C87" t="inlineStr">
        <is>
          <t>Current portion of long-term debt</t>
        </is>
      </c>
      <c r="D87" s="265" t="n">
        <v>4468000</v>
      </c>
      <c r="E87" s="265" t="n">
        <v>4293000</v>
      </c>
      <c r="F87" s="265" t="n">
        <v>5459000</v>
      </c>
      <c r="G87" s="265" t="n">
        <v>0</v>
      </c>
      <c r="I87" s="265" t="n">
        <v>0</v>
      </c>
      <c r="J87" s="265" t="n">
        <v>0</v>
      </c>
      <c r="K87" s="265" t="n">
        <v>0</v>
      </c>
      <c r="L87" s="265" t="n">
        <v>0</v>
      </c>
      <c r="N87" s="265" t="n">
        <v>0</v>
      </c>
      <c r="O87" s="265" t="n">
        <v>0</v>
      </c>
      <c r="P87" s="265" t="n">
        <v>0</v>
      </c>
      <c r="Q87" s="265" t="n">
        <v>0</v>
      </c>
      <c r="S87" s="265" t="n">
        <v>0</v>
      </c>
      <c r="T87" s="265" t="n">
        <v>0</v>
      </c>
      <c r="U87" s="265" t="n">
        <v>0</v>
      </c>
      <c r="V87" s="265" t="n">
        <v>0</v>
      </c>
      <c r="X87" s="265" t="n">
        <v>0</v>
      </c>
      <c r="Y87" s="265" t="n">
        <v>0</v>
      </c>
      <c r="Z87" s="265" t="n">
        <v>0</v>
      </c>
      <c r="AA87" s="265" t="n">
        <v>0</v>
      </c>
      <c r="AC87" s="265" t="n">
        <v>0</v>
      </c>
      <c r="AD87" s="265" t="n">
        <v>0</v>
      </c>
    </row>
    <row r="88">
      <c r="A88" t="inlineStr">
        <is>
          <t>LongTermDebtAndCapitalLeaseObligations · fonte · unid. moeda</t>
        </is>
      </c>
      <c r="B88" t="n">
        <v>27</v>
      </c>
      <c r="C88" t="inlineStr">
        <is>
          <t>Current portion of long-term debt</t>
        </is>
      </c>
      <c r="D88" s="265" t="n">
        <v>0</v>
      </c>
      <c r="E88" s="265" t="n">
        <v>0</v>
      </c>
      <c r="F88" s="265" t="n">
        <v>0</v>
      </c>
      <c r="G88" s="265" t="n">
        <v>0</v>
      </c>
      <c r="I88" s="265" t="n">
        <v>0</v>
      </c>
      <c r="J88" s="265" t="n">
        <v>0</v>
      </c>
      <c r="K88" s="265" t="n">
        <v>0</v>
      </c>
      <c r="L88" s="265" t="n">
        <v>0</v>
      </c>
      <c r="N88" s="265" t="n">
        <v>0</v>
      </c>
      <c r="O88" s="265" t="n">
        <v>0</v>
      </c>
      <c r="P88" s="265" t="n">
        <v>0</v>
      </c>
      <c r="Q88" s="265" t="n">
        <v>0</v>
      </c>
      <c r="S88" s="265" t="n">
        <v>0</v>
      </c>
      <c r="T88" s="265" t="n">
        <v>0</v>
      </c>
      <c r="U88" s="265" t="n">
        <v>0</v>
      </c>
      <c r="V88" s="265" t="n">
        <v>0</v>
      </c>
      <c r="X88" s="265" t="n">
        <v>0</v>
      </c>
      <c r="Y88" s="265" t="n">
        <v>0</v>
      </c>
      <c r="Z88" s="265" t="n">
        <v>0</v>
      </c>
      <c r="AA88" s="265" t="n">
        <v>0</v>
      </c>
      <c r="AC88" s="265" t="n">
        <v>0</v>
      </c>
      <c r="AD88" s="265" t="n">
        <v>0</v>
      </c>
    </row>
    <row r="89">
      <c r="A89" t="inlineStr">
        <is>
          <t>DebtCurrent · fonte · unid. moeda</t>
        </is>
      </c>
      <c r="B89" t="n">
        <v>27</v>
      </c>
      <c r="C89" t="inlineStr">
        <is>
          <t>Current portion of long-term debt</t>
        </is>
      </c>
      <c r="D89" s="265" t="n">
        <v>0</v>
      </c>
      <c r="E89" s="265" t="n">
        <v>0</v>
      </c>
      <c r="F89" s="265" t="n">
        <v>0</v>
      </c>
      <c r="G89" s="265" t="n">
        <v>4361000</v>
      </c>
      <c r="I89" s="265" t="n">
        <v>4985000</v>
      </c>
      <c r="J89" s="265" t="n">
        <v>4947000</v>
      </c>
      <c r="K89" s="265" t="n">
        <v>4285000</v>
      </c>
      <c r="L89" s="265" t="n">
        <v>3757000</v>
      </c>
      <c r="N89" s="265" t="n">
        <v>2262000</v>
      </c>
      <c r="O89" s="265" t="n">
        <v>1882000</v>
      </c>
      <c r="P89" s="265" t="n">
        <v>1334000</v>
      </c>
      <c r="Q89" s="265" t="n">
        <v>1253000</v>
      </c>
      <c r="S89" s="265" t="n">
        <v>1032000</v>
      </c>
      <c r="T89" s="265" t="n">
        <v>1700000</v>
      </c>
      <c r="U89" s="265" t="n">
        <v>1681000</v>
      </c>
      <c r="V89" s="265" t="n">
        <v>2039000</v>
      </c>
      <c r="X89" s="265" t="n">
        <v>2084000</v>
      </c>
      <c r="Y89" s="265" t="n">
        <v>1889000</v>
      </c>
      <c r="Z89" s="265" t="n">
        <v>2067000</v>
      </c>
      <c r="AA89" s="265" t="n">
        <v>1686000</v>
      </c>
      <c r="AC89" s="265" t="n">
        <v>2103000</v>
      </c>
      <c r="AD89" s="265" t="n">
        <v>2000000</v>
      </c>
    </row>
    <row r="90">
      <c r="A90" t="inlineStr">
        <is>
          <t>LongTermDebtAndCapitalLeaseObligations · fonte · unid. moeda</t>
        </is>
      </c>
      <c r="B90" t="n">
        <v>30</v>
      </c>
      <c r="C90" t="inlineStr">
        <is>
          <t>Long term debt</t>
        </is>
      </c>
      <c r="D90" s="265" t="n">
        <v>66890000</v>
      </c>
      <c r="E90" s="265" t="n">
        <v>59231000</v>
      </c>
      <c r="F90" s="265" t="n">
        <v>57429000</v>
      </c>
      <c r="G90" s="265" t="n">
        <v>30824000</v>
      </c>
      <c r="I90" s="265" t="n">
        <v>28649000</v>
      </c>
      <c r="J90" s="265" t="n">
        <v>27571000</v>
      </c>
      <c r="K90" s="265" t="n">
        <v>26121000</v>
      </c>
      <c r="L90" s="265" t="n">
        <v>28593000</v>
      </c>
      <c r="N90" s="265" t="n">
        <v>20159000</v>
      </c>
      <c r="O90" s="265" t="n">
        <v>19900000</v>
      </c>
      <c r="P90" s="265" t="n">
        <v>19488000</v>
      </c>
      <c r="Q90" s="265" t="n">
        <v>19711000</v>
      </c>
      <c r="S90" s="265" t="n">
        <v>19493000</v>
      </c>
      <c r="T90" s="265" t="n">
        <v>17973000</v>
      </c>
      <c r="U90" s="265" t="n">
        <v>18240000</v>
      </c>
      <c r="V90" s="265" t="n">
        <v>17234000</v>
      </c>
      <c r="X90" s="265" t="n">
        <v>17487000</v>
      </c>
      <c r="Y90" s="265" t="n">
        <v>16998000</v>
      </c>
      <c r="Z90" s="265" t="n">
        <v>18771000</v>
      </c>
      <c r="AA90" s="265" t="n">
        <v>18808000</v>
      </c>
      <c r="AC90" s="265" t="n">
        <v>18174000</v>
      </c>
      <c r="AD90" s="265" t="n">
        <v>17157000</v>
      </c>
    </row>
    <row r="91">
      <c r="A91" t="inlineStr">
        <is>
          <t>ContractWithCustomerLiabilityNoncurrent · fonte · unid. moeda</t>
        </is>
      </c>
      <c r="B91" t="n">
        <v>34</v>
      </c>
      <c r="C91" t="inlineStr">
        <is>
          <t>Other non-current liabilities</t>
        </is>
      </c>
      <c r="D91" s="265" t="n">
        <v>1748000</v>
      </c>
      <c r="E91" s="265" t="n">
        <v>1779000</v>
      </c>
      <c r="F91" s="265" t="n">
        <v>1839000</v>
      </c>
      <c r="G91" s="265" t="n">
        <v>1989000</v>
      </c>
      <c r="I91" s="265" t="n">
        <v>1953000</v>
      </c>
      <c r="J91" s="265" t="n">
        <v>1916000</v>
      </c>
      <c r="K91" s="265" t="n">
        <v>1842000</v>
      </c>
      <c r="L91" s="265" t="n">
        <v>2006000</v>
      </c>
      <c r="N91" s="265" t="n">
        <v>1500000</v>
      </c>
      <c r="O91" s="265" t="n">
        <v>1384000</v>
      </c>
      <c r="P91" s="265" t="n">
        <v>1337000</v>
      </c>
      <c r="Q91" s="265" t="n">
        <v>1339000</v>
      </c>
      <c r="S91" s="265" t="n">
        <v>1297000</v>
      </c>
      <c r="T91" s="265" t="n">
        <v>960000</v>
      </c>
      <c r="U91" s="265" t="n">
        <v>972000</v>
      </c>
      <c r="V91" s="265" t="n">
        <v>1013000</v>
      </c>
      <c r="X91" s="265" t="n">
        <v>1054000</v>
      </c>
      <c r="Y91" s="265" t="n">
        <v>1040000</v>
      </c>
      <c r="Z91" s="265" t="n">
        <v>1081000</v>
      </c>
      <c r="AA91" s="265" t="n">
        <v>1065000</v>
      </c>
      <c r="AC91" s="265" t="n">
        <v>1084000</v>
      </c>
      <c r="AD91" s="265" t="n">
        <v>1070000</v>
      </c>
    </row>
    <row r="92">
      <c r="A92" t="inlineStr">
        <is>
          <t>LongTermDebtAssumed · fonte · unid. moeda</t>
        </is>
      </c>
      <c r="B92" t="n">
        <v>34</v>
      </c>
      <c r="C92" t="inlineStr">
        <is>
          <t>Other non-current liabilities</t>
        </is>
      </c>
      <c r="D92" s="265" t="n">
        <v>0</v>
      </c>
      <c r="E92" s="265" t="n">
        <v>0</v>
      </c>
      <c r="F92" s="265" t="n">
        <v>0</v>
      </c>
      <c r="G92" s="265" t="n">
        <v>0</v>
      </c>
      <c r="I92" s="265" t="n">
        <v>0</v>
      </c>
      <c r="J92" s="265" t="n">
        <v>0</v>
      </c>
      <c r="K92" s="265" t="n">
        <v>0</v>
      </c>
      <c r="L92" s="265" t="n">
        <v>0</v>
      </c>
      <c r="N92" s="265" t="n">
        <v>0</v>
      </c>
      <c r="O92" s="265" t="n">
        <v>0</v>
      </c>
      <c r="P92" s="265" t="n">
        <v>0</v>
      </c>
      <c r="Q92" s="265" t="n">
        <v>0</v>
      </c>
      <c r="S92" s="265" t="n">
        <v>0</v>
      </c>
      <c r="T92" s="265" t="n">
        <v>0</v>
      </c>
      <c r="U92" s="265" t="n">
        <v>0</v>
      </c>
      <c r="V92" s="265" t="n">
        <v>0</v>
      </c>
      <c r="X92" s="265" t="n">
        <v>0</v>
      </c>
      <c r="Y92" s="265" t="n">
        <v>0</v>
      </c>
      <c r="Z92" s="265" t="n">
        <v>0</v>
      </c>
      <c r="AA92" s="265" t="n">
        <v>0</v>
      </c>
      <c r="AC92" s="265" t="n">
        <v>0</v>
      </c>
      <c r="AD92" s="265" t="n">
        <v>0</v>
      </c>
    </row>
    <row r="93">
      <c r="A93" t="inlineStr">
        <is>
          <t>InvestmentContractsInsuranceLiabilitiesAnnuityBenefits · fonte · unid. moeda</t>
        </is>
      </c>
      <c r="B93" t="n">
        <v>34</v>
      </c>
      <c r="C93" t="inlineStr">
        <is>
          <t>Other non-current liabilities</t>
        </is>
      </c>
      <c r="D93" s="265" t="n">
        <v>39562000</v>
      </c>
      <c r="E93" s="265" t="n">
        <v>40795000</v>
      </c>
      <c r="F93" s="265" t="n">
        <v>37705000</v>
      </c>
      <c r="G93" s="265" t="n">
        <v>37166000</v>
      </c>
      <c r="I93" s="265" t="n">
        <v>33626000</v>
      </c>
      <c r="J93" s="265" t="n">
        <v>33551000</v>
      </c>
      <c r="K93" s="265" t="n">
        <v>33435000</v>
      </c>
      <c r="L93" s="265" t="n">
        <v>33347000</v>
      </c>
      <c r="N93" s="265" t="n">
        <v>39082000</v>
      </c>
      <c r="O93" s="265" t="n">
        <v>38673000</v>
      </c>
      <c r="P93" s="265" t="n">
        <v>35832000</v>
      </c>
      <c r="Q93" s="265" t="n">
        <v>39624000</v>
      </c>
      <c r="S93" s="265" t="n">
        <v>37934000</v>
      </c>
      <c r="T93" s="265" t="n">
        <v>37215000</v>
      </c>
      <c r="U93" s="265" t="n">
        <v>39147000</v>
      </c>
      <c r="V93" s="265" t="n">
        <v>36209000</v>
      </c>
      <c r="X93" s="265" t="n">
        <v>36424000</v>
      </c>
      <c r="Y93" s="265" t="n">
        <v>36745000</v>
      </c>
      <c r="Z93" s="265" t="n">
        <v>37153000</v>
      </c>
      <c r="AA93" s="265" t="n">
        <v>36894000</v>
      </c>
      <c r="AC93" s="265" t="n">
        <v>35699000</v>
      </c>
      <c r="AD93" s="265" t="n">
        <v>36195000</v>
      </c>
    </row>
    <row r="94">
      <c r="A94" t="inlineStr">
        <is>
          <t>DeferredCompensationLiabilityClassifiedNoncurrent · fonte · unid. moeda</t>
        </is>
      </c>
      <c r="B94" t="n">
        <v>34</v>
      </c>
      <c r="C94" t="inlineStr">
        <is>
          <t>Other non-current liabilities</t>
        </is>
      </c>
      <c r="D94" s="265" t="n">
        <v>29104000</v>
      </c>
      <c r="E94" s="265" t="n">
        <v>28805000</v>
      </c>
      <c r="F94" s="265" t="n">
        <v>28415000</v>
      </c>
      <c r="G94" s="265" t="n">
        <v>21202000</v>
      </c>
      <c r="I94" s="265" t="n">
        <v>20636000</v>
      </c>
      <c r="J94" s="265" t="n">
        <v>19758000</v>
      </c>
      <c r="K94" s="265" t="n">
        <v>19201000</v>
      </c>
      <c r="L94" s="265" t="n">
        <v>16021000</v>
      </c>
      <c r="N94" s="265" t="n">
        <v>10244000</v>
      </c>
      <c r="O94" s="265" t="n">
        <v>9941000</v>
      </c>
      <c r="P94" s="265" t="n">
        <v>9718000</v>
      </c>
      <c r="Q94" s="265" t="n">
        <v>11214000</v>
      </c>
      <c r="S94" s="265" t="n">
        <v>11002000</v>
      </c>
      <c r="T94" s="265" t="n">
        <v>7248000</v>
      </c>
      <c r="U94" s="265" t="n">
        <v>7169000</v>
      </c>
      <c r="V94" s="265" t="n">
        <v>7035000</v>
      </c>
      <c r="X94" s="265" t="n">
        <v>6872000</v>
      </c>
      <c r="Y94" s="265" t="n">
        <v>6796000</v>
      </c>
      <c r="Z94" s="265" t="n">
        <v>6725000</v>
      </c>
      <c r="AA94" s="265" t="n">
        <v>6833000</v>
      </c>
      <c r="AC94" s="265" t="n">
        <v>6661000</v>
      </c>
      <c r="AD94" s="265" t="n">
        <v>6537000</v>
      </c>
    </row>
    <row r="95">
      <c r="A95" t="inlineStr">
        <is>
          <t>OtherLiabilitiesNoncurrent · fonte · unid. moeda</t>
        </is>
      </c>
      <c r="B95" t="n">
        <v>34</v>
      </c>
      <c r="C95" t="inlineStr">
        <is>
          <t>Other non-current liabilities</t>
        </is>
      </c>
      <c r="D95" s="265" t="n">
        <v>14821000</v>
      </c>
      <c r="E95" s="265" t="n">
        <v>15245000</v>
      </c>
      <c r="F95" s="265" t="n">
        <v>14999000</v>
      </c>
      <c r="G95" s="265" t="n">
        <v>13240000</v>
      </c>
      <c r="I95" s="265" t="n">
        <v>12477000</v>
      </c>
      <c r="J95" s="265" t="n">
        <v>11885000</v>
      </c>
      <c r="K95" s="265" t="n">
        <v>11767000</v>
      </c>
      <c r="L95" s="265" t="n">
        <v>12154000</v>
      </c>
      <c r="N95" s="265" t="n">
        <v>10937000</v>
      </c>
      <c r="O95" s="265" t="n">
        <v>11067000</v>
      </c>
      <c r="P95" s="265" t="n">
        <v>11177000</v>
      </c>
      <c r="Q95" s="265" t="n">
        <v>10508000</v>
      </c>
      <c r="S95" s="265" t="n">
        <v>10855000</v>
      </c>
      <c r="T95" s="265" t="n">
        <v>6534000</v>
      </c>
      <c r="U95" s="265" t="n">
        <v>6647000</v>
      </c>
      <c r="V95" s="265" t="n">
        <v>6376000</v>
      </c>
      <c r="X95" s="265" t="n">
        <v>6538000</v>
      </c>
      <c r="Y95" s="265" t="n">
        <v>6504000</v>
      </c>
      <c r="Z95" s="265" t="n">
        <v>6999000</v>
      </c>
      <c r="AA95" s="265" t="n">
        <v>7276000</v>
      </c>
      <c r="AC95" s="265" t="n">
        <v>7226000</v>
      </c>
      <c r="AD95" s="265" t="n">
        <v>7273000</v>
      </c>
    </row>
    <row r="96">
      <c r="A96" t="inlineStr">
        <is>
          <t>LiabilitiesOfDisposalGroupIncludingDiscontinuedOperationNoncurrent · fonte · unid. moeda</t>
        </is>
      </c>
      <c r="B96" t="n">
        <v>34</v>
      </c>
      <c r="C96" t="inlineStr">
        <is>
          <t>Other non-current liabilities</t>
        </is>
      </c>
      <c r="D96" s="265" t="n">
        <v>204000</v>
      </c>
      <c r="E96" s="265" t="n">
        <v>0</v>
      </c>
      <c r="F96" s="265" t="n">
        <v>0</v>
      </c>
      <c r="G96" s="265" t="n">
        <v>887000</v>
      </c>
      <c r="I96" s="265" t="n">
        <v>993000</v>
      </c>
      <c r="J96" s="265" t="n">
        <v>1032000</v>
      </c>
      <c r="K96" s="265" t="n">
        <v>1103000</v>
      </c>
      <c r="L96" s="265" t="n">
        <v>1137000</v>
      </c>
      <c r="N96" s="265" t="n">
        <v>1551000</v>
      </c>
      <c r="O96" s="265" t="n">
        <v>1565000</v>
      </c>
      <c r="P96" s="265" t="n">
        <v>1112000</v>
      </c>
      <c r="Q96" s="265" t="n">
        <v>1193000</v>
      </c>
      <c r="S96" s="265" t="n">
        <v>1169000</v>
      </c>
      <c r="T96" s="265" t="n">
        <v>1667000</v>
      </c>
      <c r="U96" s="265" t="n">
        <v>1328000</v>
      </c>
      <c r="V96" s="265" t="n">
        <v>1317000</v>
      </c>
      <c r="X96" s="265" t="n">
        <v>1339000</v>
      </c>
      <c r="Y96" s="265" t="n">
        <v>1362000</v>
      </c>
      <c r="Z96" s="265" t="n">
        <v>1290000</v>
      </c>
      <c r="AA96" s="265" t="n">
        <v>1413000</v>
      </c>
      <c r="AC96" s="265" t="n">
        <v>1279000</v>
      </c>
      <c r="AD96" s="265" t="n">
        <v>1144000</v>
      </c>
    </row>
    <row r="97">
      <c r="A97" t="inlineStr">
        <is>
          <t>DisposalGroupIncludingDiscontinuedOperationLiabilitiesNetNoncurrent · fonte · unid. moeda</t>
        </is>
      </c>
      <c r="B97" t="n">
        <v>34</v>
      </c>
      <c r="C97" t="inlineStr">
        <is>
          <t>Other non-current liabilities</t>
        </is>
      </c>
      <c r="D97" s="265" t="n">
        <v>0</v>
      </c>
      <c r="E97" s="265" t="n">
        <v>17000</v>
      </c>
      <c r="F97" s="265" t="n">
        <v>109000</v>
      </c>
      <c r="G97" s="265" t="n">
        <v>0</v>
      </c>
      <c r="I97" s="265" t="n">
        <v>0</v>
      </c>
      <c r="J97" s="265" t="n">
        <v>0</v>
      </c>
      <c r="K97" s="265" t="n">
        <v>0</v>
      </c>
      <c r="L97" s="265" t="n">
        <v>0</v>
      </c>
      <c r="N97" s="265" t="n">
        <v>0</v>
      </c>
      <c r="O97" s="265" t="n">
        <v>0</v>
      </c>
      <c r="P97" s="265" t="n">
        <v>0</v>
      </c>
      <c r="Q97" s="265" t="n">
        <v>0</v>
      </c>
      <c r="S97" s="265" t="n">
        <v>0</v>
      </c>
      <c r="T97" s="265" t="n">
        <v>0</v>
      </c>
      <c r="U97" s="265" t="n">
        <v>0</v>
      </c>
      <c r="V97" s="265" t="n">
        <v>0</v>
      </c>
      <c r="X97" s="265" t="n">
        <v>0</v>
      </c>
      <c r="Y97" s="265" t="n">
        <v>0</v>
      </c>
      <c r="Z97" s="265" t="n">
        <v>0</v>
      </c>
      <c r="AA97" s="265" t="n">
        <v>0</v>
      </c>
      <c r="AC97" s="265" t="n">
        <v>0</v>
      </c>
      <c r="AD97" s="265" t="n">
        <v>0</v>
      </c>
    </row>
    <row r="98">
      <c r="A98" t="inlineStr">
        <is>
          <t>MinorityInterest · fonte · unid. moeda</t>
        </is>
      </c>
      <c r="B98" t="n">
        <v>35</v>
      </c>
      <c r="C98" t="inlineStr">
        <is>
          <t>Minority interest</t>
        </is>
      </c>
      <c r="D98" s="265" t="n">
        <v>1568000</v>
      </c>
      <c r="E98" s="265" t="n">
        <v>1560000</v>
      </c>
      <c r="F98" s="265" t="n">
        <v>1484000</v>
      </c>
      <c r="G98" s="265" t="n">
        <v>1302000</v>
      </c>
      <c r="I98" s="265" t="n">
        <v>1278000</v>
      </c>
      <c r="J98" s="265" t="n">
        <v>1293000</v>
      </c>
      <c r="K98" s="265" t="n">
        <v>1278000</v>
      </c>
      <c r="L98" s="265" t="n">
        <v>1216000</v>
      </c>
      <c r="N98" s="265" t="n">
        <v>1171000</v>
      </c>
      <c r="O98" s="265" t="n">
        <v>1174000</v>
      </c>
      <c r="P98" s="265" t="n">
        <v>1167000</v>
      </c>
      <c r="Q98" s="265" t="n">
        <v>1202000</v>
      </c>
      <c r="S98" s="265" t="n">
        <v>1248000</v>
      </c>
      <c r="T98" s="265" t="n">
        <v>245000</v>
      </c>
      <c r="U98" s="265" t="n">
        <v>229000</v>
      </c>
      <c r="V98" s="265" t="n">
        <v>223000</v>
      </c>
      <c r="X98" s="265" t="n">
        <v>217000</v>
      </c>
      <c r="Y98" s="265" t="n">
        <v>210000</v>
      </c>
      <c r="Z98" s="265" t="n">
        <v>209000</v>
      </c>
      <c r="AA98" s="265" t="n">
        <v>221000</v>
      </c>
      <c r="AC98" s="265" t="n">
        <v>240000</v>
      </c>
      <c r="AD98" s="265" t="n">
        <v>227000</v>
      </c>
    </row>
    <row r="99">
      <c r="A99" t="inlineStr">
        <is>
          <t>CommonStockValue · fonte · unid. moeda</t>
        </is>
      </c>
      <c r="B99" t="n">
        <v>37</v>
      </c>
      <c r="C99" t="inlineStr">
        <is>
          <t>Common Stock and APIC</t>
        </is>
      </c>
      <c r="D99" s="265" t="n">
        <v>702000</v>
      </c>
      <c r="E99" s="265" t="n">
        <v>702000</v>
      </c>
      <c r="F99" s="265" t="n">
        <v>15000</v>
      </c>
      <c r="G99" s="265" t="n">
        <v>15000</v>
      </c>
      <c r="I99" s="265" t="n">
        <v>15000</v>
      </c>
      <c r="J99" s="265" t="n">
        <v>15000</v>
      </c>
      <c r="K99" s="265" t="n">
        <v>15000</v>
      </c>
      <c r="L99" s="265" t="n">
        <v>15000</v>
      </c>
      <c r="N99" s="265" t="n">
        <v>15000</v>
      </c>
      <c r="O99" s="265" t="n">
        <v>15000</v>
      </c>
      <c r="P99" s="265" t="n">
        <v>15000</v>
      </c>
      <c r="Q99" s="265" t="n">
        <v>15000</v>
      </c>
      <c r="S99" s="265" t="n">
        <v>15000</v>
      </c>
      <c r="T99" s="265" t="n">
        <v>15000</v>
      </c>
      <c r="U99" s="265" t="n">
        <v>15000</v>
      </c>
      <c r="V99" s="265" t="n">
        <v>15000</v>
      </c>
      <c r="X99" s="265" t="n">
        <v>15000</v>
      </c>
      <c r="Y99" s="265" t="n">
        <v>15000</v>
      </c>
      <c r="Z99" s="265" t="n">
        <v>15000</v>
      </c>
      <c r="AA99" s="265" t="n">
        <v>15000</v>
      </c>
      <c r="AC99" s="265" t="n">
        <v>15000</v>
      </c>
      <c r="AD99" s="265" t="n">
        <v>15000</v>
      </c>
    </row>
    <row r="100">
      <c r="A100" t="inlineStr">
        <is>
          <t>AdditionalPaidInCapital · fonte · unid. moeda</t>
        </is>
      </c>
      <c r="B100" t="n">
        <v>37</v>
      </c>
      <c r="C100" t="inlineStr">
        <is>
          <t>Common Stock and APIC</t>
        </is>
      </c>
      <c r="D100" s="265" t="n">
        <v>34042000</v>
      </c>
      <c r="E100" s="265" t="n">
        <v>34032000</v>
      </c>
      <c r="F100" s="265" t="n">
        <v>34751000</v>
      </c>
      <c r="G100" s="265" t="n">
        <v>34691000</v>
      </c>
      <c r="I100" s="265" t="n">
        <v>34391000</v>
      </c>
      <c r="J100" s="265" t="n">
        <v>34382000</v>
      </c>
      <c r="K100" s="265" t="n">
        <v>34254000</v>
      </c>
      <c r="L100" s="265" t="n">
        <v>34173000</v>
      </c>
      <c r="N100" s="265" t="n">
        <v>30729000</v>
      </c>
      <c r="O100" s="265" t="n">
        <v>30426000</v>
      </c>
      <c r="P100" s="265" t="n">
        <v>27229000</v>
      </c>
      <c r="Q100" s="265" t="n">
        <v>26962000</v>
      </c>
      <c r="S100" s="265" t="n">
        <v>25887000</v>
      </c>
      <c r="T100" s="265" t="n">
        <v>25282000</v>
      </c>
      <c r="U100" s="265" t="n">
        <v>24406000</v>
      </c>
      <c r="V100" s="265" t="n">
        <v>24266000</v>
      </c>
      <c r="X100" s="265" t="n">
        <v>23912000</v>
      </c>
      <c r="Y100" s="265" t="n">
        <v>23839000</v>
      </c>
      <c r="Z100" s="265" t="n">
        <v>23645000</v>
      </c>
      <c r="AA100" s="265" t="n">
        <v>23599000</v>
      </c>
      <c r="AC100" s="265" t="n">
        <v>23146000</v>
      </c>
      <c r="AD100" s="265" t="n">
        <v>23074000</v>
      </c>
    </row>
    <row r="101">
      <c r="A101" t="inlineStr">
        <is>
          <t>TreasuryStockValue (divulgado positivo, lançado negativo) · fonte · unid. moeda</t>
        </is>
      </c>
      <c r="B101" t="n">
        <v>38</v>
      </c>
      <c r="C101" t="inlineStr">
        <is>
          <t>Treasury stock (contra account)</t>
        </is>
      </c>
      <c r="D101" s="265" t="n">
        <v>-81548000</v>
      </c>
      <c r="E101" s="265" t="n">
        <v>-81425000</v>
      </c>
      <c r="F101" s="265" t="n">
        <v>-81314000</v>
      </c>
      <c r="G101" s="265" t="n">
        <v>-81093000</v>
      </c>
      <c r="I101" s="265" t="n">
        <v>-80673000</v>
      </c>
      <c r="J101" s="265" t="n">
        <v>-80883000</v>
      </c>
      <c r="K101" s="265" t="n">
        <v>-81049000</v>
      </c>
      <c r="L101" s="265" t="n">
        <v>-81209000</v>
      </c>
      <c r="N101" s="265" t="n">
        <v>-80762000</v>
      </c>
      <c r="O101" s="265" t="n">
        <v>-80524000</v>
      </c>
      <c r="P101" s="265" t="n">
        <v>-80244000</v>
      </c>
      <c r="Q101" s="265" t="n">
        <v>0</v>
      </c>
      <c r="S101" s="265" t="n">
        <v>0</v>
      </c>
      <c r="T101" s="265" t="n">
        <v>0</v>
      </c>
      <c r="U101" s="265" t="n">
        <v>0</v>
      </c>
      <c r="V101" s="265" t="n">
        <v>0</v>
      </c>
      <c r="X101" s="265" t="n">
        <v>0</v>
      </c>
      <c r="Y101" s="265" t="n">
        <v>0</v>
      </c>
      <c r="Z101" s="265" t="n">
        <v>0</v>
      </c>
      <c r="AA101" s="265" t="n">
        <v>0</v>
      </c>
      <c r="AC101" s="265" t="n">
        <v>0</v>
      </c>
      <c r="AD101" s="265" t="n">
        <v>0</v>
      </c>
    </row>
    <row r="102">
      <c r="A102" t="inlineStr">
        <is>
          <t>TreasuryStockCommonValue (divulgado positivo, lançado negativo) · fonte · unid. moeda</t>
        </is>
      </c>
      <c r="B102" t="n">
        <v>38</v>
      </c>
      <c r="C102" t="inlineStr">
        <is>
          <t>Treasury stock (contra account)</t>
        </is>
      </c>
      <c r="D102" s="265" t="n">
        <v>0</v>
      </c>
      <c r="E102" s="265" t="n">
        <v>0</v>
      </c>
      <c r="F102" s="265" t="n">
        <v>0</v>
      </c>
      <c r="G102" s="265" t="n">
        <v>0</v>
      </c>
      <c r="I102" s="265" t="n">
        <v>0</v>
      </c>
      <c r="J102" s="265" t="n">
        <v>0</v>
      </c>
      <c r="K102" s="265" t="n">
        <v>0</v>
      </c>
      <c r="L102" s="265" t="n">
        <v>0</v>
      </c>
      <c r="N102" s="265" t="n">
        <v>0</v>
      </c>
      <c r="O102" s="265" t="n">
        <v>0</v>
      </c>
      <c r="P102" s="265" t="n">
        <v>0</v>
      </c>
      <c r="Q102" s="265" t="n">
        <v>-79976000</v>
      </c>
      <c r="S102" s="265" t="n">
        <v>-78508000</v>
      </c>
      <c r="T102" s="265" t="n">
        <v>-80013000</v>
      </c>
      <c r="U102" s="265" t="n">
        <v>-80061000</v>
      </c>
      <c r="V102" s="265" t="n">
        <v>-81566000</v>
      </c>
      <c r="X102" s="265" t="n">
        <v>-83024000</v>
      </c>
      <c r="Y102" s="265" t="n">
        <v>-84421000</v>
      </c>
      <c r="Z102" s="265" t="n">
        <v>-86002000</v>
      </c>
      <c r="AA102" s="265" t="n">
        <v>-87801000</v>
      </c>
      <c r="AC102" s="265" t="n">
        <v>-89690000</v>
      </c>
      <c r="AD102" s="265" t="n">
        <v>-91454000</v>
      </c>
    </row>
    <row r="103">
      <c r="A103" t="inlineStr">
        <is>
          <t>AccumulatedOtherComprehensiveIncomeLossNetOfTax · fonte · unid. moeda</t>
        </is>
      </c>
      <c r="B103" t="n">
        <v>39</v>
      </c>
      <c r="C103" t="inlineStr">
        <is>
          <t>Comprehensive (accumulated) loss</t>
        </is>
      </c>
      <c r="D103" s="265" t="n">
        <v>-8893000</v>
      </c>
      <c r="E103" s="265" t="n">
        <v>-7820000</v>
      </c>
      <c r="F103" s="265" t="n">
        <v>-5078000</v>
      </c>
      <c r="G103" s="265" t="n">
        <v>1582000</v>
      </c>
      <c r="I103" s="265" t="n">
        <v>1341000</v>
      </c>
      <c r="J103" s="265" t="n">
        <v>-1852000</v>
      </c>
      <c r="K103" s="265" t="n">
        <v>-4405000</v>
      </c>
      <c r="L103" s="265" t="n">
        <v>-1311000</v>
      </c>
      <c r="N103" s="265" t="n">
        <v>-3289000</v>
      </c>
      <c r="O103" s="265" t="n">
        <v>-3573000</v>
      </c>
      <c r="P103" s="265" t="n">
        <v>-3351000</v>
      </c>
      <c r="Q103" s="265" t="n">
        <v>-6150000</v>
      </c>
      <c r="S103" s="265" t="n">
        <v>-5603000</v>
      </c>
      <c r="T103" s="265" t="n">
        <v>-4035000</v>
      </c>
      <c r="U103" s="265" t="n">
        <v>-4375000</v>
      </c>
      <c r="V103" s="265" t="n">
        <v>-3861000</v>
      </c>
      <c r="X103" s="265" t="n">
        <v>-3733000</v>
      </c>
      <c r="Y103" s="265" t="n">
        <v>-4024000</v>
      </c>
      <c r="Z103" s="265" t="n">
        <v>-4347000</v>
      </c>
      <c r="AA103" s="265" t="n">
        <v>-4798000</v>
      </c>
      <c r="AC103" s="265" t="n">
        <v>-4486000</v>
      </c>
      <c r="AD103" s="265" t="n">
        <v>-4948000</v>
      </c>
    </row>
    <row r="104">
      <c r="A104" t="inlineStr">
        <is>
          <t>RetainedEarningsAccumulatedDeficit · fonte · unid. moeda</t>
        </is>
      </c>
      <c r="B104" t="n">
        <v>41</v>
      </c>
      <c r="C104" t="inlineStr">
        <is>
          <t>Retained earnings</t>
        </is>
      </c>
      <c r="D104" s="265" t="n">
        <v>89276000</v>
      </c>
      <c r="E104" s="265" t="n">
        <v>87993000</v>
      </c>
      <c r="F104" s="265" t="n">
        <v>89098000</v>
      </c>
      <c r="G104" s="265" t="n">
        <v>85110000</v>
      </c>
      <c r="I104" s="265" t="n">
        <v>83927000</v>
      </c>
      <c r="J104" s="265" t="n">
        <v>82981000</v>
      </c>
      <c r="K104" s="265" t="n">
        <v>82655000</v>
      </c>
      <c r="L104" s="265" t="n">
        <v>84693000</v>
      </c>
      <c r="N104" s="265" t="n">
        <v>84955000</v>
      </c>
      <c r="O104" s="265" t="n">
        <v>84848000</v>
      </c>
      <c r="P104" s="265" t="n">
        <v>85017000</v>
      </c>
      <c r="Q104" s="265" t="n">
        <v>86527000</v>
      </c>
      <c r="S104" s="265" t="n">
        <v>88065000</v>
      </c>
      <c r="T104" s="265" t="n">
        <v>77349000</v>
      </c>
      <c r="U104" s="265" t="n">
        <v>78889000</v>
      </c>
      <c r="V104" s="265" t="n">
        <v>80488000</v>
      </c>
      <c r="X104" s="265" t="n">
        <v>82081000</v>
      </c>
      <c r="Y104" s="265" t="n">
        <v>83726000</v>
      </c>
      <c r="Z104" s="265" t="n">
        <v>85502000</v>
      </c>
      <c r="AA104" s="265" t="n">
        <v>87663000</v>
      </c>
      <c r="AC104" s="265" t="n">
        <v>89073000</v>
      </c>
      <c r="AD104" s="265" t="n">
        <v>90953000</v>
      </c>
    </row>
    <row r="105">
      <c r="A105" t="inlineStr">
        <is>
          <t>[vazio] Despesas antecipadas: não aparece como linha própria nas demonstrações (zero) · derivada · unid. moeda</t>
        </is>
      </c>
      <c r="B105" t="n">
        <v>15</v>
      </c>
      <c r="C105" t="inlineStr">
        <is>
          <t>Prepaid expenses</t>
        </is>
      </c>
      <c r="D105" s="265" t="n">
        <v>0</v>
      </c>
      <c r="E105" s="265" t="n">
        <v>0</v>
      </c>
      <c r="F105" s="265" t="n">
        <v>0</v>
      </c>
      <c r="G105" s="265" t="n">
        <v>0</v>
      </c>
      <c r="I105" s="265" t="n">
        <v>0</v>
      </c>
      <c r="J105" s="265" t="n">
        <v>0</v>
      </c>
      <c r="K105" s="265" t="n">
        <v>0</v>
      </c>
      <c r="L105" s="265" t="n">
        <v>0</v>
      </c>
      <c r="N105" s="265" t="n">
        <v>0</v>
      </c>
      <c r="O105" s="265" t="n">
        <v>0</v>
      </c>
      <c r="P105" s="265" t="n">
        <v>0</v>
      </c>
      <c r="Q105" s="265" t="n">
        <v>0</v>
      </c>
      <c r="S105" s="265" t="n">
        <v>0</v>
      </c>
      <c r="T105" s="265" t="n">
        <v>0</v>
      </c>
      <c r="U105" s="265" t="n">
        <v>0</v>
      </c>
      <c r="V105" s="265" t="n">
        <v>0</v>
      </c>
      <c r="X105" s="265" t="n">
        <v>0</v>
      </c>
      <c r="Y105" s="265" t="n">
        <v>0</v>
      </c>
      <c r="Z105" s="265" t="n">
        <v>0</v>
      </c>
      <c r="AA105" s="265" t="n">
        <v>0</v>
      </c>
      <c r="AC105" s="265" t="n">
        <v>0</v>
      </c>
      <c r="AD105" s="265" t="n">
        <v>0</v>
      </c>
    </row>
    <row r="106">
      <c r="A106" t="inlineStr">
        <is>
          <t>[vazio] Investimentos em coligadas: não aparece como linha própria nas demonstrações (zero) · derivada · unid. moeda</t>
        </is>
      </c>
      <c r="B106" t="n">
        <v>17</v>
      </c>
      <c r="C106" t="inlineStr">
        <is>
          <t>Equity in affiliates</t>
        </is>
      </c>
      <c r="D106" s="265" t="n">
        <v>0</v>
      </c>
      <c r="E106" s="265" t="n">
        <v>0</v>
      </c>
      <c r="F106" s="265" t="n">
        <v>0</v>
      </c>
      <c r="G106" s="265" t="n">
        <v>0</v>
      </c>
      <c r="I106" s="265" t="n">
        <v>0</v>
      </c>
      <c r="J106" s="265" t="n">
        <v>0</v>
      </c>
      <c r="K106" s="265" t="n">
        <v>0</v>
      </c>
      <c r="L106" s="265" t="n">
        <v>0</v>
      </c>
      <c r="N106" s="265" t="n">
        <v>0</v>
      </c>
      <c r="O106" s="265" t="n">
        <v>0</v>
      </c>
      <c r="P106" s="265" t="n">
        <v>0</v>
      </c>
      <c r="Q106" s="265" t="n">
        <v>0</v>
      </c>
      <c r="S106" s="265" t="n">
        <v>0</v>
      </c>
      <c r="T106" s="265" t="n">
        <v>0</v>
      </c>
      <c r="U106" s="265" t="n">
        <v>0</v>
      </c>
      <c r="V106" s="265" t="n">
        <v>0</v>
      </c>
      <c r="X106" s="265" t="n">
        <v>0</v>
      </c>
      <c r="Y106" s="265" t="n">
        <v>0</v>
      </c>
      <c r="Z106" s="265" t="n">
        <v>0</v>
      </c>
      <c r="AA106" s="265" t="n">
        <v>0</v>
      </c>
      <c r="AC106" s="265" t="n">
        <v>0</v>
      </c>
      <c r="AD106" s="265" t="n">
        <v>0</v>
      </c>
    </row>
    <row r="107">
      <c r="A107" t="inlineStr">
        <is>
          <t>[vazio] Direito de uso: não aparece como linha própria nas demonstrações (zero) · derivada · unid. moeda</t>
        </is>
      </c>
      <c r="B107" t="n">
        <v>19</v>
      </c>
      <c r="C107" t="inlineStr">
        <is>
          <t>Right-of-use-assets</t>
        </is>
      </c>
      <c r="D107" s="265" t="n">
        <v>0</v>
      </c>
      <c r="E107" s="265" t="n">
        <v>0</v>
      </c>
      <c r="F107" s="265" t="n">
        <v>0</v>
      </c>
      <c r="G107" s="265" t="n">
        <v>0</v>
      </c>
      <c r="I107" s="265" t="n">
        <v>0</v>
      </c>
      <c r="J107" s="265" t="n">
        <v>0</v>
      </c>
      <c r="K107" s="265" t="n">
        <v>0</v>
      </c>
      <c r="L107" s="265" t="n">
        <v>0</v>
      </c>
      <c r="N107" s="265" t="n">
        <v>0</v>
      </c>
      <c r="O107" s="265" t="n">
        <v>0</v>
      </c>
      <c r="P107" s="265" t="n">
        <v>0</v>
      </c>
      <c r="Q107" s="265" t="n">
        <v>0</v>
      </c>
      <c r="S107" s="265" t="n">
        <v>0</v>
      </c>
      <c r="T107" s="265" t="n">
        <v>0</v>
      </c>
      <c r="U107" s="265" t="n">
        <v>0</v>
      </c>
      <c r="V107" s="265" t="n">
        <v>0</v>
      </c>
      <c r="X107" s="265" t="n">
        <v>0</v>
      </c>
      <c r="Y107" s="265" t="n">
        <v>0</v>
      </c>
      <c r="Z107" s="265" t="n">
        <v>0</v>
      </c>
      <c r="AA107" s="265" t="n">
        <v>0</v>
      </c>
      <c r="AC107" s="265" t="n">
        <v>0</v>
      </c>
      <c r="AD107" s="265" t="n">
        <v>0</v>
      </c>
    </row>
    <row r="108">
      <c r="A108" t="inlineStr">
        <is>
          <t>[vazio] Impostos a pagar: não aparece como linha própria nas demonstrações (zero) · derivada · unid. moeda</t>
        </is>
      </c>
      <c r="B108" t="n">
        <v>25</v>
      </c>
      <c r="C108" t="inlineStr">
        <is>
          <t>Taxes payable</t>
        </is>
      </c>
      <c r="D108" s="265" t="n">
        <v>0</v>
      </c>
      <c r="E108" s="265" t="n">
        <v>0</v>
      </c>
      <c r="F108" s="265" t="n">
        <v>0</v>
      </c>
      <c r="G108" s="265" t="n">
        <v>0</v>
      </c>
      <c r="I108" s="265" t="n">
        <v>0</v>
      </c>
      <c r="J108" s="265" t="n">
        <v>0</v>
      </c>
      <c r="K108" s="265" t="n">
        <v>0</v>
      </c>
      <c r="L108" s="265" t="n">
        <v>0</v>
      </c>
      <c r="N108" s="265" t="n">
        <v>0</v>
      </c>
      <c r="O108" s="265" t="n">
        <v>0</v>
      </c>
      <c r="P108" s="265" t="n">
        <v>0</v>
      </c>
      <c r="Q108" s="265" t="n">
        <v>0</v>
      </c>
      <c r="S108" s="265" t="n">
        <v>0</v>
      </c>
      <c r="T108" s="265" t="n">
        <v>0</v>
      </c>
      <c r="U108" s="265" t="n">
        <v>0</v>
      </c>
      <c r="V108" s="265" t="n">
        <v>0</v>
      </c>
      <c r="X108" s="265" t="n">
        <v>0</v>
      </c>
      <c r="Y108" s="265" t="n">
        <v>0</v>
      </c>
      <c r="Z108" s="265" t="n">
        <v>0</v>
      </c>
      <c r="AA108" s="265" t="n">
        <v>0</v>
      </c>
      <c r="AC108" s="265" t="n">
        <v>0</v>
      </c>
      <c r="AD108" s="265" t="n">
        <v>0</v>
      </c>
    </row>
    <row r="109">
      <c r="A109" t="inlineStr">
        <is>
          <t>[vazio] Revolving: não aparece como linha própria nas demonstrações (zero) · derivada · unid. moeda</t>
        </is>
      </c>
      <c r="B109" t="n">
        <v>28</v>
      </c>
      <c r="C109" t="inlineStr">
        <is>
          <t>Short term debt (Revolving credit facility)</t>
        </is>
      </c>
      <c r="D109" s="265" t="n">
        <v>0</v>
      </c>
      <c r="E109" s="265" t="n">
        <v>0</v>
      </c>
      <c r="F109" s="265" t="n">
        <v>0</v>
      </c>
      <c r="G109" s="265" t="n">
        <v>0</v>
      </c>
      <c r="I109" s="265" t="n">
        <v>0</v>
      </c>
      <c r="J109" s="265" t="n">
        <v>0</v>
      </c>
      <c r="K109" s="265" t="n">
        <v>0</v>
      </c>
      <c r="L109" s="265" t="n">
        <v>0</v>
      </c>
      <c r="N109" s="265" t="n">
        <v>0</v>
      </c>
      <c r="O109" s="265" t="n">
        <v>0</v>
      </c>
      <c r="P109" s="265" t="n">
        <v>0</v>
      </c>
      <c r="Q109" s="265" t="n">
        <v>0</v>
      </c>
      <c r="S109" s="265" t="n">
        <v>0</v>
      </c>
      <c r="T109" s="265" t="n">
        <v>0</v>
      </c>
      <c r="U109" s="265" t="n">
        <v>0</v>
      </c>
      <c r="V109" s="265" t="n">
        <v>0</v>
      </c>
      <c r="X109" s="265" t="n">
        <v>0</v>
      </c>
      <c r="Y109" s="265" t="n">
        <v>0</v>
      </c>
      <c r="Z109" s="265" t="n">
        <v>0</v>
      </c>
      <c r="AA109" s="265" t="n">
        <v>0</v>
      </c>
      <c r="AC109" s="265" t="n">
        <v>0</v>
      </c>
      <c r="AD109" s="265" t="n">
        <v>0</v>
      </c>
    </row>
    <row r="110">
      <c r="A110" t="inlineStr">
        <is>
          <t>[vazio] Arrendamento CP: não aparece como linha própria nas demonstrações (zero) · derivada · unid. moeda</t>
        </is>
      </c>
      <c r="B110" t="n">
        <v>29</v>
      </c>
      <c r="C110" t="inlineStr">
        <is>
          <t>Short term operating leases</t>
        </is>
      </c>
      <c r="D110" s="265" t="n">
        <v>0</v>
      </c>
      <c r="E110" s="265" t="n">
        <v>0</v>
      </c>
      <c r="F110" s="265" t="n">
        <v>0</v>
      </c>
      <c r="G110" s="265" t="n">
        <v>0</v>
      </c>
      <c r="I110" s="265" t="n">
        <v>0</v>
      </c>
      <c r="J110" s="265" t="n">
        <v>0</v>
      </c>
      <c r="K110" s="265" t="n">
        <v>0</v>
      </c>
      <c r="L110" s="265" t="n">
        <v>0</v>
      </c>
      <c r="N110" s="265" t="n">
        <v>0</v>
      </c>
      <c r="O110" s="265" t="n">
        <v>0</v>
      </c>
      <c r="P110" s="265" t="n">
        <v>0</v>
      </c>
      <c r="Q110" s="265" t="n">
        <v>0</v>
      </c>
      <c r="S110" s="265" t="n">
        <v>0</v>
      </c>
      <c r="T110" s="265" t="n">
        <v>0</v>
      </c>
      <c r="U110" s="265" t="n">
        <v>0</v>
      </c>
      <c r="V110" s="265" t="n">
        <v>0</v>
      </c>
      <c r="X110" s="265" t="n">
        <v>0</v>
      </c>
      <c r="Y110" s="265" t="n">
        <v>0</v>
      </c>
      <c r="Z110" s="265" t="n">
        <v>0</v>
      </c>
      <c r="AA110" s="265" t="n">
        <v>0</v>
      </c>
      <c r="AC110" s="265" t="n">
        <v>0</v>
      </c>
      <c r="AD110" s="265" t="n">
        <v>0</v>
      </c>
    </row>
    <row r="111">
      <c r="A111" t="inlineStr">
        <is>
          <t>[vazio] Arrendamento LP: não aparece como linha própria nas demonstrações (zero) · derivada · unid. moeda</t>
        </is>
      </c>
      <c r="B111" t="n">
        <v>31</v>
      </c>
      <c r="C111" t="inlineStr">
        <is>
          <t>Long term operating leases</t>
        </is>
      </c>
      <c r="D111" s="265" t="n">
        <v>0</v>
      </c>
      <c r="E111" s="265" t="n">
        <v>0</v>
      </c>
      <c r="F111" s="265" t="n">
        <v>0</v>
      </c>
      <c r="G111" s="265" t="n">
        <v>0</v>
      </c>
      <c r="I111" s="265" t="n">
        <v>0</v>
      </c>
      <c r="J111" s="265" t="n">
        <v>0</v>
      </c>
      <c r="K111" s="265" t="n">
        <v>0</v>
      </c>
      <c r="L111" s="265" t="n">
        <v>0</v>
      </c>
      <c r="N111" s="265" t="n">
        <v>0</v>
      </c>
      <c r="O111" s="265" t="n">
        <v>0</v>
      </c>
      <c r="P111" s="265" t="n">
        <v>0</v>
      </c>
      <c r="Q111" s="265" t="n">
        <v>0</v>
      </c>
      <c r="S111" s="265" t="n">
        <v>0</v>
      </c>
      <c r="T111" s="265" t="n">
        <v>0</v>
      </c>
      <c r="U111" s="265" t="n">
        <v>0</v>
      </c>
      <c r="V111" s="265" t="n">
        <v>0</v>
      </c>
      <c r="X111" s="265" t="n">
        <v>0</v>
      </c>
      <c r="Y111" s="265" t="n">
        <v>0</v>
      </c>
      <c r="Z111" s="265" t="n">
        <v>0</v>
      </c>
      <c r="AA111" s="265" t="n">
        <v>0</v>
      </c>
      <c r="AC111" s="265" t="n">
        <v>0</v>
      </c>
      <c r="AD111" s="265" t="n">
        <v>0</v>
      </c>
    </row>
    <row r="112">
      <c r="A112" t="inlineStr">
        <is>
          <t>[vazio] Dívida conversível: não aparece como linha própria nas demonstrações (zero) · derivada · unid. moeda</t>
        </is>
      </c>
      <c r="B112" t="n">
        <v>32</v>
      </c>
      <c r="C112" t="inlineStr">
        <is>
          <t>Convertible debt</t>
        </is>
      </c>
      <c r="D112" s="265" t="n">
        <v>0</v>
      </c>
      <c r="E112" s="265" t="n">
        <v>0</v>
      </c>
      <c r="F112" s="265" t="n">
        <v>0</v>
      </c>
      <c r="G112" s="265" t="n">
        <v>0</v>
      </c>
      <c r="I112" s="265" t="n">
        <v>0</v>
      </c>
      <c r="J112" s="265" t="n">
        <v>0</v>
      </c>
      <c r="K112" s="265" t="n">
        <v>0</v>
      </c>
      <c r="L112" s="265" t="n">
        <v>0</v>
      </c>
      <c r="N112" s="265" t="n">
        <v>0</v>
      </c>
      <c r="O112" s="265" t="n">
        <v>0</v>
      </c>
      <c r="P112" s="265" t="n">
        <v>0</v>
      </c>
      <c r="Q112" s="265" t="n">
        <v>0</v>
      </c>
      <c r="S112" s="265" t="n">
        <v>0</v>
      </c>
      <c r="T112" s="265" t="n">
        <v>0</v>
      </c>
      <c r="U112" s="265" t="n">
        <v>0</v>
      </c>
      <c r="V112" s="265" t="n">
        <v>0</v>
      </c>
      <c r="X112" s="265" t="n">
        <v>0</v>
      </c>
      <c r="Y112" s="265" t="n">
        <v>0</v>
      </c>
      <c r="Z112" s="265" t="n">
        <v>0</v>
      </c>
      <c r="AA112" s="265" t="n">
        <v>0</v>
      </c>
      <c r="AC112" s="265" t="n">
        <v>0</v>
      </c>
      <c r="AD112" s="265" t="n">
        <v>0</v>
      </c>
    </row>
    <row r="113">
      <c r="A113" t="inlineStr">
        <is>
          <t>[vazio] IR diferido passivo: não aparece como linha própria nas demonstrações (zero) · derivada · unid. moeda</t>
        </is>
      </c>
      <c r="B113" t="n">
        <v>33</v>
      </c>
      <c r="C113" t="inlineStr">
        <is>
          <t>Deferred income taxes</t>
        </is>
      </c>
      <c r="D113" s="265" t="n">
        <v>0</v>
      </c>
      <c r="E113" s="265" t="n">
        <v>0</v>
      </c>
      <c r="F113" s="265" t="n">
        <v>0</v>
      </c>
      <c r="G113" s="265" t="n">
        <v>0</v>
      </c>
      <c r="I113" s="265" t="n">
        <v>0</v>
      </c>
      <c r="J113" s="265" t="n">
        <v>0</v>
      </c>
      <c r="K113" s="265" t="n">
        <v>0</v>
      </c>
      <c r="L113" s="265" t="n">
        <v>0</v>
      </c>
      <c r="N113" s="265" t="n">
        <v>0</v>
      </c>
      <c r="O113" s="265" t="n">
        <v>0</v>
      </c>
      <c r="P113" s="265" t="n">
        <v>0</v>
      </c>
      <c r="Q113" s="265" t="n">
        <v>0</v>
      </c>
      <c r="S113" s="265" t="n">
        <v>0</v>
      </c>
      <c r="T113" s="265" t="n">
        <v>0</v>
      </c>
      <c r="U113" s="265" t="n">
        <v>0</v>
      </c>
      <c r="V113" s="265" t="n">
        <v>0</v>
      </c>
      <c r="X113" s="265" t="n">
        <v>0</v>
      </c>
      <c r="Y113" s="265" t="n">
        <v>0</v>
      </c>
      <c r="Z113" s="265" t="n">
        <v>0</v>
      </c>
      <c r="AA113" s="265" t="n">
        <v>0</v>
      </c>
      <c r="AC113" s="265" t="n">
        <v>0</v>
      </c>
      <c r="AD113" s="265" t="n">
        <v>0</v>
      </c>
    </row>
    <row r="114">
      <c r="A114" t="inlineStr">
        <is>
          <t>[vazio] Outras contas do PL: não aparece como linha própria nas demonstrações (zero) · derivada · unid. moeda</t>
        </is>
      </c>
      <c r="B114" t="n">
        <v>40</v>
      </c>
      <c r="C114" t="inlineStr">
        <is>
          <t>Other equity account</t>
        </is>
      </c>
      <c r="D114" s="265" t="n">
        <v>0</v>
      </c>
      <c r="E114" s="265" t="n">
        <v>0</v>
      </c>
      <c r="F114" s="265" t="n">
        <v>0</v>
      </c>
      <c r="G114" s="265" t="n">
        <v>0</v>
      </c>
      <c r="I114" s="265" t="n">
        <v>0</v>
      </c>
      <c r="J114" s="265" t="n">
        <v>0</v>
      </c>
      <c r="K114" s="265" t="n">
        <v>0</v>
      </c>
      <c r="L114" s="265" t="n">
        <v>0</v>
      </c>
      <c r="N114" s="265" t="n">
        <v>0</v>
      </c>
      <c r="O114" s="265" t="n">
        <v>0</v>
      </c>
      <c r="P114" s="265" t="n">
        <v>0</v>
      </c>
      <c r="Q114" s="265" t="n">
        <v>0</v>
      </c>
      <c r="S114" s="265" t="n">
        <v>0</v>
      </c>
      <c r="T114" s="265" t="n">
        <v>0</v>
      </c>
      <c r="U114" s="265" t="n">
        <v>0</v>
      </c>
      <c r="V114" s="265" t="n">
        <v>0</v>
      </c>
      <c r="X114" s="265" t="n">
        <v>0</v>
      </c>
      <c r="Y114" s="265" t="n">
        <v>0</v>
      </c>
      <c r="Z114" s="265" t="n">
        <v>0</v>
      </c>
      <c r="AA114" s="265" t="n">
        <v>0</v>
      </c>
      <c r="AC114" s="265" t="n">
        <v>0</v>
      </c>
      <c r="AD114" s="265" t="n">
        <v>0</v>
      </c>
    </row>
    <row r="115">
      <c r="A115" t="inlineStr">
        <is>
          <t>Diferença de arredondamento do ativo (total divulgado - soma das linhas; &lt; US$ 50 mi) · derivada · unid. moeda</t>
        </is>
      </c>
      <c r="B115" t="n">
        <v>16</v>
      </c>
      <c r="C115" t="inlineStr">
        <is>
          <t>Other current assets</t>
        </is>
      </c>
      <c r="D115" s="265" t="n">
        <v>0</v>
      </c>
      <c r="E115" s="265" t="n">
        <v>-1000</v>
      </c>
      <c r="F115" s="265" t="n">
        <v>0</v>
      </c>
      <c r="G115" s="265" t="n">
        <v>0</v>
      </c>
      <c r="I115" s="265" t="n">
        <v>0</v>
      </c>
      <c r="J115" s="265" t="n">
        <v>0</v>
      </c>
      <c r="K115" s="265" t="n">
        <v>0</v>
      </c>
      <c r="L115" s="265" t="n">
        <v>1000</v>
      </c>
      <c r="N115" s="265" t="n">
        <v>1000</v>
      </c>
      <c r="O115" s="265" t="n">
        <v>1000</v>
      </c>
      <c r="P115" s="265" t="n">
        <v>0</v>
      </c>
      <c r="Q115" s="265" t="n">
        <v>-1000</v>
      </c>
      <c r="S115" s="265" t="n">
        <v>-1000</v>
      </c>
      <c r="T115" s="265" t="n">
        <v>2000</v>
      </c>
      <c r="U115" s="265" t="n">
        <v>-1000</v>
      </c>
      <c r="V115" s="265" t="n">
        <v>-1000</v>
      </c>
      <c r="X115" s="265" t="n">
        <v>0</v>
      </c>
      <c r="Y115" s="265" t="n">
        <v>2000</v>
      </c>
      <c r="Z115" s="265" t="n">
        <v>-1000</v>
      </c>
      <c r="AA115" s="265" t="n">
        <v>2000</v>
      </c>
      <c r="AC115" s="265" t="n">
        <v>1000</v>
      </c>
      <c r="AD115" s="265" t="n">
        <v>1000</v>
      </c>
    </row>
    <row r="116">
      <c r="A116" t="inlineStr">
        <is>
          <t>Diferença de arredondamento do passivo + PL (total divulgado - soma das linhas; &lt; US$ 50 mi) · derivada · unid. moeda</t>
        </is>
      </c>
      <c r="B116" t="n">
        <v>26</v>
      </c>
      <c r="C116" t="inlineStr">
        <is>
          <t>Other current liabilities (non-debt)</t>
        </is>
      </c>
      <c r="D116" s="265" t="n">
        <v>7000</v>
      </c>
      <c r="E116" s="265" t="n">
        <v>7000</v>
      </c>
      <c r="F116" s="265" t="n">
        <v>4000</v>
      </c>
      <c r="G116" s="265" t="n">
        <v>6000</v>
      </c>
      <c r="I116" s="265" t="n">
        <v>3000</v>
      </c>
      <c r="J116" s="265" t="n">
        <v>7000</v>
      </c>
      <c r="K116" s="265" t="n">
        <v>2000</v>
      </c>
      <c r="L116" s="265" t="n">
        <v>5000</v>
      </c>
      <c r="N116" s="265" t="n">
        <v>3000</v>
      </c>
      <c r="O116" s="265" t="n">
        <v>2000</v>
      </c>
      <c r="P116" s="265" t="n">
        <v>0</v>
      </c>
      <c r="Q116" s="265" t="n">
        <v>0</v>
      </c>
      <c r="S116" s="265" t="n">
        <v>1000</v>
      </c>
      <c r="T116" s="265" t="n">
        <v>1000</v>
      </c>
      <c r="U116" s="265" t="n">
        <v>-1000</v>
      </c>
      <c r="V116" s="265" t="n">
        <v>0</v>
      </c>
      <c r="X116" s="265" t="n">
        <v>0</v>
      </c>
      <c r="Y116" s="265" t="n">
        <v>0</v>
      </c>
      <c r="Z116" s="265" t="n">
        <v>-1000</v>
      </c>
      <c r="AA116" s="265" t="n">
        <v>0</v>
      </c>
      <c r="AC116" s="265" t="n">
        <v>-4000</v>
      </c>
      <c r="AD116" s="265" t="n">
        <v>0</v>
      </c>
    </row>
    <row r="117">
      <c r="A117" t="inlineStr">
        <is>
          <t>BALANÇO - totais divulgados (memória)</t>
        </is>
      </c>
      <c r="C117" t="inlineStr">
        <is>
          <t>[linha bruta, sem código; lançada nas linhas abaixo]</t>
        </is>
      </c>
      <c r="D117" s="265" t="n"/>
      <c r="E117" s="265" t="n"/>
      <c r="F117" s="265" t="n"/>
      <c r="G117" s="265" t="n"/>
      <c r="I117" s="265" t="n"/>
      <c r="J117" s="265" t="n"/>
      <c r="K117" s="265" t="n"/>
      <c r="L117" s="265" t="n"/>
      <c r="N117" s="265" t="n"/>
      <c r="O117" s="265" t="n"/>
      <c r="P117" s="265" t="n"/>
      <c r="Q117" s="265" t="n"/>
      <c r="S117" s="265" t="n"/>
      <c r="T117" s="265" t="n"/>
      <c r="U117" s="265" t="n"/>
      <c r="V117" s="265" t="n"/>
      <c r="X117" s="265" t="n"/>
      <c r="Y117" s="265" t="n"/>
      <c r="Z117" s="265" t="n"/>
      <c r="AA117" s="265" t="n"/>
      <c r="AC117" s="265" t="n"/>
      <c r="AD117" s="265" t="n"/>
    </row>
    <row r="118">
      <c r="A118" t="inlineStr">
        <is>
          <t>Total do ativo [us-gaap:Assets] · memoria · unid. moeda</t>
        </is>
      </c>
      <c r="C118" t="inlineStr">
        <is>
          <t>[linha bruta, sem código; lançada nas linhas abaixo]</t>
        </is>
      </c>
      <c r="D118" s="265" t="n">
        <v>245164000</v>
      </c>
      <c r="E118" s="265" t="n">
        <v>237559000</v>
      </c>
      <c r="F118" s="265" t="n">
        <v>237133000</v>
      </c>
      <c r="G118" s="265" t="n">
        <v>198874000</v>
      </c>
      <c r="I118" s="265" t="n">
        <v>191961000</v>
      </c>
      <c r="J118" s="265" t="n">
        <v>185540000</v>
      </c>
      <c r="K118" s="265" t="n">
        <v>180877000</v>
      </c>
      <c r="L118" s="265" t="n">
        <v>187788000</v>
      </c>
      <c r="N118" s="265" t="n">
        <v>164472000</v>
      </c>
      <c r="O118" s="265" t="n">
        <v>163006000</v>
      </c>
      <c r="P118" s="265" t="n">
        <v>156662000</v>
      </c>
      <c r="Q118" s="265" t="n">
        <v>163045000</v>
      </c>
      <c r="S118" s="265" t="n">
        <v>163942000</v>
      </c>
      <c r="T118" s="265" t="n">
        <v>123190000</v>
      </c>
      <c r="U118" s="265" t="n">
        <v>126698000</v>
      </c>
      <c r="V118" s="265" t="n">
        <v>123140000</v>
      </c>
      <c r="X118" s="265" t="n">
        <v>124123000</v>
      </c>
      <c r="Y118" s="265" t="n">
        <v>125256000</v>
      </c>
      <c r="Z118" s="265" t="n">
        <v>128243000</v>
      </c>
      <c r="AA118" s="265" t="n">
        <v>130169000</v>
      </c>
      <c r="AC118" s="265" t="n">
        <v>128445000</v>
      </c>
      <c r="AD118" s="265" t="n">
        <v>127672000</v>
      </c>
    </row>
    <row r="119">
      <c r="A119" t="inlineStr">
        <is>
          <t>Total do passivo + PL [us-gaap:LiabilitiesAndStockholdersEquity] · memoria · unid. moeda</t>
        </is>
      </c>
      <c r="C119" t="inlineStr">
        <is>
          <t>[linha bruta, sem código; lançada nas linhas abaixo]</t>
        </is>
      </c>
      <c r="D119" s="265" t="n">
        <v>245164000</v>
      </c>
      <c r="E119" s="265" t="n">
        <v>237559000</v>
      </c>
      <c r="F119" s="265" t="n">
        <v>237133000</v>
      </c>
      <c r="G119" s="265" t="n">
        <v>198874000</v>
      </c>
      <c r="I119" s="265" t="n">
        <v>191961000</v>
      </c>
      <c r="J119" s="265" t="n">
        <v>185540000</v>
      </c>
      <c r="K119" s="265" t="n">
        <v>180877000</v>
      </c>
      <c r="L119" s="265" t="n">
        <v>187788000</v>
      </c>
      <c r="N119" s="265" t="n">
        <v>164472000</v>
      </c>
      <c r="O119" s="265" t="n">
        <v>163006000</v>
      </c>
      <c r="P119" s="265" t="n">
        <v>156662000</v>
      </c>
      <c r="Q119" s="265" t="n">
        <v>163045000</v>
      </c>
      <c r="S119" s="265" t="n">
        <v>163942000</v>
      </c>
      <c r="T119" s="265" t="n">
        <v>123190000</v>
      </c>
      <c r="U119" s="265" t="n">
        <v>126698000</v>
      </c>
      <c r="V119" s="265" t="n">
        <v>123140000</v>
      </c>
      <c r="X119" s="265" t="n">
        <v>124123000</v>
      </c>
      <c r="Y119" s="265" t="n">
        <v>125256000</v>
      </c>
      <c r="Z119" s="265" t="n">
        <v>128243000</v>
      </c>
      <c r="AA119" s="265" t="n">
        <v>130169000</v>
      </c>
      <c r="AC119" s="265" t="n">
        <v>128445000</v>
      </c>
      <c r="AD119" s="265" t="n">
        <v>127672000</v>
      </c>
    </row>
    <row r="120">
      <c r="A120" t="inlineStr">
        <is>
          <t>CHECKS (devem ser 0)</t>
        </is>
      </c>
      <c r="C120" t="inlineStr">
        <is>
          <t>[linha bruta, sem código; lançada nas linhas abaixo]</t>
        </is>
      </c>
      <c r="D120" s="265" t="n"/>
      <c r="E120" s="265" t="n"/>
      <c r="F120" s="265" t="n"/>
      <c r="G120" s="265" t="n"/>
      <c r="I120" s="265" t="n"/>
      <c r="J120" s="265" t="n"/>
      <c r="K120" s="265" t="n"/>
      <c r="L120" s="265" t="n"/>
      <c r="N120" s="265" t="n"/>
      <c r="O120" s="265" t="n"/>
      <c r="P120" s="265" t="n"/>
      <c r="Q120" s="265" t="n"/>
      <c r="S120" s="265" t="n"/>
      <c r="T120" s="265" t="n"/>
      <c r="U120" s="265" t="n"/>
      <c r="V120" s="265" t="n"/>
      <c r="X120" s="265" t="n"/>
      <c r="Y120" s="265" t="n"/>
      <c r="Z120" s="265" t="n"/>
      <c r="AA120" s="265" t="n"/>
      <c r="AC120" s="265" t="n"/>
      <c r="AD120" s="265" t="n"/>
    </row>
    <row r="121">
      <c r="A121" t="inlineStr">
        <is>
          <t>CHECK: contas de ativo - ativo total (USD, arredondado a 100 mil) · derivada · unid. moeda</t>
        </is>
      </c>
      <c r="C121" t="inlineStr">
        <is>
          <t>[linha bruta, sem código; lançada nas linhas abaixo]</t>
        </is>
      </c>
      <c r="D121" s="265">
        <f>ROUND(N(D30)+N(D31)+N(D32)+N(D33)+N(D34)+N(D35)+N(D36)+N(D37)+N(D38)+N(D39)+N(D40)+N(D41)+N(D42)+N(D43)+N(D44)+N(D45)+N(D46)+N(D47)+N(D48)+N(D49)+N(D50)+N(D51)+N(D52)+N(D53)+N(D54)+N(D55)+N(D56)+N(D57)+N(D58)+N(D59)+N(D60)+N(D61)+N(D62)+N(D63)+N(D64)+N(D65)+N(D66)+N(D67)+N(D115)-N(D118),-2)</f>
        <v>0</v>
      </c>
      <c r="E121" s="265">
        <f>ROUND(N(E30)+N(E31)+N(E32)+N(E33)+N(E34)+N(E35)+N(E36)+N(E37)+N(E38)+N(E39)+N(E40)+N(E41)+N(E42)+N(E43)+N(E44)+N(E45)+N(E46)+N(E47)+N(E48)+N(E49)+N(E50)+N(E51)+N(E52)+N(E53)+N(E54)+N(E55)+N(E56)+N(E57)+N(E58)+N(E59)+N(E60)+N(E61)+N(E62)+N(E63)+N(E64)+N(E65)+N(E66)+N(E67)+N(E115)-N(E118),-2)</f>
        <v>0</v>
      </c>
      <c r="F121" s="265">
        <f>ROUND(N(F30)+N(F31)+N(F32)+N(F33)+N(F34)+N(F35)+N(F36)+N(F37)+N(F38)+N(F39)+N(F40)+N(F41)+N(F42)+N(F43)+N(F44)+N(F45)+N(F46)+N(F47)+N(F48)+N(F49)+N(F50)+N(F51)+N(F52)+N(F53)+N(F54)+N(F55)+N(F56)+N(F57)+N(F58)+N(F59)+N(F60)+N(F61)+N(F62)+N(F63)+N(F64)+N(F65)+N(F66)+N(F67)+N(F115)-N(F118),-2)</f>
        <v>0</v>
      </c>
      <c r="G121" s="265">
        <f>ROUND(N(G30)+N(G31)+N(G32)+N(G33)+N(G34)+N(G35)+N(G36)+N(G37)+N(G38)+N(G39)+N(G40)+N(G41)+N(G42)+N(G43)+N(G44)+N(G45)+N(G46)+N(G47)+N(G48)+N(G49)+N(G50)+N(G51)+N(G52)+N(G53)+N(G54)+N(G55)+N(G56)+N(G57)+N(G58)+N(G59)+N(G60)+N(G61)+N(G62)+N(G63)+N(G64)+N(G65)+N(G66)+N(G67)+N(G115)-N(G118),-2)</f>
        <v>0</v>
      </c>
      <c r="I121" s="265">
        <f>ROUND(N(I30)+N(I31)+N(I32)+N(I33)+N(I34)+N(I35)+N(I36)+N(I37)+N(I38)+N(I39)+N(I40)+N(I41)+N(I42)+N(I43)+N(I44)+N(I45)+N(I46)+N(I47)+N(I48)+N(I49)+N(I50)+N(I51)+N(I52)+N(I53)+N(I54)+N(I55)+N(I56)+N(I57)+N(I58)+N(I59)+N(I60)+N(I61)+N(I62)+N(I63)+N(I64)+N(I65)+N(I66)+N(I67)+N(I115)-N(I118),-2)</f>
        <v>0</v>
      </c>
      <c r="J121" s="265">
        <f>ROUND(N(J30)+N(J31)+N(J32)+N(J33)+N(J34)+N(J35)+N(J36)+N(J37)+N(J38)+N(J39)+N(J40)+N(J41)+N(J42)+N(J43)+N(J44)+N(J45)+N(J46)+N(J47)+N(J48)+N(J49)+N(J50)+N(J51)+N(J52)+N(J53)+N(J54)+N(J55)+N(J56)+N(J57)+N(J58)+N(J59)+N(J60)+N(J61)+N(J62)+N(J63)+N(J64)+N(J65)+N(J66)+N(J67)+N(J115)-N(J118),-2)</f>
        <v>0</v>
      </c>
      <c r="K121" s="265">
        <f>ROUND(N(K30)+N(K31)+N(K32)+N(K33)+N(K34)+N(K35)+N(K36)+N(K37)+N(K38)+N(K39)+N(K40)+N(K41)+N(K42)+N(K43)+N(K44)+N(K45)+N(K46)+N(K47)+N(K48)+N(K49)+N(K50)+N(K51)+N(K52)+N(K53)+N(K54)+N(K55)+N(K56)+N(K57)+N(K58)+N(K59)+N(K60)+N(K61)+N(K62)+N(K63)+N(K64)+N(K65)+N(K66)+N(K67)+N(K115)-N(K118),-2)</f>
        <v>0</v>
      </c>
      <c r="L121" s="265">
        <f>ROUND(N(L30)+N(L31)+N(L32)+N(L33)+N(L34)+N(L35)+N(L36)+N(L37)+N(L38)+N(L39)+N(L40)+N(L41)+N(L42)+N(L43)+N(L44)+N(L45)+N(L46)+N(L47)+N(L48)+N(L49)+N(L50)+N(L51)+N(L52)+N(L53)+N(L54)+N(L55)+N(L56)+N(L57)+N(L58)+N(L59)+N(L60)+N(L61)+N(L62)+N(L63)+N(L64)+N(L65)+N(L66)+N(L67)+N(L115)-N(L118),-2)</f>
        <v>0</v>
      </c>
      <c r="N121" s="265">
        <f>ROUND(N(N30)+N(N31)+N(N32)+N(N33)+N(N34)+N(N35)+N(N36)+N(N37)+N(N38)+N(N39)+N(N40)+N(N41)+N(N42)+N(N43)+N(N44)+N(N45)+N(N46)+N(N47)+N(N48)+N(N49)+N(N50)+N(N51)+N(N52)+N(N53)+N(N54)+N(N55)+N(N56)+N(N57)+N(N58)+N(N59)+N(N60)+N(N61)+N(N62)+N(N63)+N(N64)+N(N65)+N(N66)+N(N67)+N(N115)-N(N118),-2)</f>
        <v>0</v>
      </c>
      <c r="O121" s="265">
        <f>ROUND(N(O30)+N(O31)+N(O32)+N(O33)+N(O34)+N(O35)+N(O36)+N(O37)+N(O38)+N(O39)+N(O40)+N(O41)+N(O42)+N(O43)+N(O44)+N(O45)+N(O46)+N(O47)+N(O48)+N(O49)+N(O50)+N(O51)+N(O52)+N(O53)+N(O54)+N(O55)+N(O56)+N(O57)+N(O58)+N(O59)+N(O60)+N(O61)+N(O62)+N(O63)+N(O64)+N(O65)+N(O66)+N(O67)+N(O115)-N(O118),-2)</f>
        <v>0</v>
      </c>
      <c r="P121" s="265">
        <f>ROUND(N(P30)+N(P31)+N(P32)+N(P33)+N(P34)+N(P35)+N(P36)+N(P37)+N(P38)+N(P39)+N(P40)+N(P41)+N(P42)+N(P43)+N(P44)+N(P45)+N(P46)+N(P47)+N(P48)+N(P49)+N(P50)+N(P51)+N(P52)+N(P53)+N(P54)+N(P55)+N(P56)+N(P57)+N(P58)+N(P59)+N(P60)+N(P61)+N(P62)+N(P63)+N(P64)+N(P65)+N(P66)+N(P67)+N(P115)-N(P118),-2)</f>
        <v>0</v>
      </c>
      <c r="Q121" s="265">
        <f>ROUND(N(Q30)+N(Q31)+N(Q32)+N(Q33)+N(Q34)+N(Q35)+N(Q36)+N(Q37)+N(Q38)+N(Q39)+N(Q40)+N(Q41)+N(Q42)+N(Q43)+N(Q44)+N(Q45)+N(Q46)+N(Q47)+N(Q48)+N(Q49)+N(Q50)+N(Q51)+N(Q52)+N(Q53)+N(Q54)+N(Q55)+N(Q56)+N(Q57)+N(Q58)+N(Q59)+N(Q60)+N(Q61)+N(Q62)+N(Q63)+N(Q64)+N(Q65)+N(Q66)+N(Q67)+N(Q115)-N(Q118),-2)</f>
        <v>0</v>
      </c>
      <c r="S121" s="265">
        <f>ROUND(N(S30)+N(S31)+N(S32)+N(S33)+N(S34)+N(S35)+N(S36)+N(S37)+N(S38)+N(S39)+N(S40)+N(S41)+N(S42)+N(S43)+N(S44)+N(S45)+N(S46)+N(S47)+N(S48)+N(S49)+N(S50)+N(S51)+N(S52)+N(S53)+N(S54)+N(S55)+N(S56)+N(S57)+N(S58)+N(S59)+N(S60)+N(S61)+N(S62)+N(S63)+N(S64)+N(S65)+N(S66)+N(S67)+N(S115)-N(S118),-2)</f>
        <v>0</v>
      </c>
      <c r="T121" s="265">
        <f>ROUND(N(T30)+N(T31)+N(T32)+N(T33)+N(T34)+N(T35)+N(T36)+N(T37)+N(T38)+N(T39)+N(T40)+N(T41)+N(T42)+N(T43)+N(T44)+N(T45)+N(T46)+N(T47)+N(T48)+N(T49)+N(T50)+N(T51)+N(T52)+N(T53)+N(T54)+N(T55)+N(T56)+N(T57)+N(T58)+N(T59)+N(T60)+N(T61)+N(T62)+N(T63)+N(T64)+N(T65)+N(T66)+N(T67)+N(T115)-N(T118),-2)</f>
        <v>0</v>
      </c>
      <c r="U121" s="265">
        <f>ROUND(N(U30)+N(U31)+N(U32)+N(U33)+N(U34)+N(U35)+N(U36)+N(U37)+N(U38)+N(U39)+N(U40)+N(U41)+N(U42)+N(U43)+N(U44)+N(U45)+N(U46)+N(U47)+N(U48)+N(U49)+N(U50)+N(U51)+N(U52)+N(U53)+N(U54)+N(U55)+N(U56)+N(U57)+N(U58)+N(U59)+N(U60)+N(U61)+N(U62)+N(U63)+N(U64)+N(U65)+N(U66)+N(U67)+N(U115)-N(U118),-2)</f>
        <v>0</v>
      </c>
      <c r="V121" s="265">
        <f>ROUND(N(V30)+N(V31)+N(V32)+N(V33)+N(V34)+N(V35)+N(V36)+N(V37)+N(V38)+N(V39)+N(V40)+N(V41)+N(V42)+N(V43)+N(V44)+N(V45)+N(V46)+N(V47)+N(V48)+N(V49)+N(V50)+N(V51)+N(V52)+N(V53)+N(V54)+N(V55)+N(V56)+N(V57)+N(V58)+N(V59)+N(V60)+N(V61)+N(V62)+N(V63)+N(V64)+N(V65)+N(V66)+N(V67)+N(V115)-N(V118),-2)</f>
        <v>0</v>
      </c>
      <c r="X121" s="265">
        <f>ROUND(N(X30)+N(X31)+N(X32)+N(X33)+N(X34)+N(X35)+N(X36)+N(X37)+N(X38)+N(X39)+N(X40)+N(X41)+N(X42)+N(X43)+N(X44)+N(X45)+N(X46)+N(X47)+N(X48)+N(X49)+N(X50)+N(X51)+N(X52)+N(X53)+N(X54)+N(X55)+N(X56)+N(X57)+N(X58)+N(X59)+N(X60)+N(X61)+N(X62)+N(X63)+N(X64)+N(X65)+N(X66)+N(X67)+N(X115)-N(X118),-2)</f>
        <v>0</v>
      </c>
      <c r="Y121" s="265">
        <f>ROUND(N(Y30)+N(Y31)+N(Y32)+N(Y33)+N(Y34)+N(Y35)+N(Y36)+N(Y37)+N(Y38)+N(Y39)+N(Y40)+N(Y41)+N(Y42)+N(Y43)+N(Y44)+N(Y45)+N(Y46)+N(Y47)+N(Y48)+N(Y49)+N(Y50)+N(Y51)+N(Y52)+N(Y53)+N(Y54)+N(Y55)+N(Y56)+N(Y57)+N(Y58)+N(Y59)+N(Y60)+N(Y61)+N(Y62)+N(Y63)+N(Y64)+N(Y65)+N(Y66)+N(Y67)+N(Y115)-N(Y118),-2)</f>
        <v>0</v>
      </c>
      <c r="Z121" s="265">
        <f>ROUND(N(Z30)+N(Z31)+N(Z32)+N(Z33)+N(Z34)+N(Z35)+N(Z36)+N(Z37)+N(Z38)+N(Z39)+N(Z40)+N(Z41)+N(Z42)+N(Z43)+N(Z44)+N(Z45)+N(Z46)+N(Z47)+N(Z48)+N(Z49)+N(Z50)+N(Z51)+N(Z52)+N(Z53)+N(Z54)+N(Z55)+N(Z56)+N(Z57)+N(Z58)+N(Z59)+N(Z60)+N(Z61)+N(Z62)+N(Z63)+N(Z64)+N(Z65)+N(Z66)+N(Z67)+N(Z115)-N(Z118),-2)</f>
        <v>0</v>
      </c>
      <c r="AA121" s="265">
        <f>ROUND(N(AA30)+N(AA31)+N(AA32)+N(AA33)+N(AA34)+N(AA35)+N(AA36)+N(AA37)+N(AA38)+N(AA39)+N(AA40)+N(AA41)+N(AA42)+N(AA43)+N(AA44)+N(AA45)+N(AA46)+N(AA47)+N(AA48)+N(AA49)+N(AA50)+N(AA51)+N(AA52)+N(AA53)+N(AA54)+N(AA55)+N(AA56)+N(AA57)+N(AA58)+N(AA59)+N(AA60)+N(AA61)+N(AA62)+N(AA63)+N(AA64)+N(AA65)+N(AA66)+N(AA67)+N(AA115)-N(AA118),-2)</f>
        <v>0</v>
      </c>
      <c r="AC121" s="265">
        <f>ROUND(N(AC30)+N(AC31)+N(AC32)+N(AC33)+N(AC34)+N(AC35)+N(AC36)+N(AC37)+N(AC38)+N(AC39)+N(AC40)+N(AC41)+N(AC42)+N(AC43)+N(AC44)+N(AC45)+N(AC46)+N(AC47)+N(AC48)+N(AC49)+N(AC50)+N(AC51)+N(AC52)+N(AC53)+N(AC54)+N(AC55)+N(AC56)+N(AC57)+N(AC58)+N(AC59)+N(AC60)+N(AC61)+N(AC62)+N(AC63)+N(AC64)+N(AC65)+N(AC66)+N(AC67)+N(AC115)-N(AC118),-2)</f>
        <v>0</v>
      </c>
      <c r="AD121" s="265">
        <f>ROUND(N(AD30)+N(AD31)+N(AD32)+N(AD33)+N(AD34)+N(AD35)+N(AD36)+N(AD37)+N(AD38)+N(AD39)+N(AD40)+N(AD41)+N(AD42)+N(AD43)+N(AD44)+N(AD45)+N(AD46)+N(AD47)+N(AD48)+N(AD49)+N(AD50)+N(AD51)+N(AD52)+N(AD53)+N(AD54)+N(AD55)+N(AD56)+N(AD57)+N(AD58)+N(AD59)+N(AD60)+N(AD61)+N(AD62)+N(AD63)+N(AD64)+N(AD65)+N(AD66)+N(AD67)+N(AD115)-N(AD118),-2)</f>
        <v>0</v>
      </c>
    </row>
    <row r="122">
      <c r="A122" t="inlineStr">
        <is>
          <t>CHECK: passivo + PL (contas) - passivo + PL total · derivada · unid. moeda</t>
        </is>
      </c>
      <c r="C122" t="inlineStr">
        <is>
          <t>[linha bruta, sem código; lançada nas linhas abaixo]</t>
        </is>
      </c>
      <c r="D122" s="265">
        <f>ROUND(N(D68)+N(D69)+N(D70)+N(D71)+N(D72)+N(D73)+N(D74)+N(D75)+N(D76)+N(D77)+N(D78)+N(D79)+N(D80)+N(D81)+N(D82)+N(D83)+N(D84)+N(D85)+N(D86)+N(D87)+N(D88)+N(D89)+N(D90)+N(D91)+N(D92)+N(D93)+N(D94)+N(D95)+N(D96)+N(D97)+N(D98)+N(D99)+N(D100)+N(D101)+N(D102)+N(D103)+N(D104)+N(D116)-N(D119),-2)</f>
        <v>0</v>
      </c>
      <c r="E122" s="265">
        <f>ROUND(N(E68)+N(E69)+N(E70)+N(E71)+N(E72)+N(E73)+N(E74)+N(E75)+N(E76)+N(E77)+N(E78)+N(E79)+N(E80)+N(E81)+N(E82)+N(E83)+N(E84)+N(E85)+N(E86)+N(E87)+N(E88)+N(E89)+N(E90)+N(E91)+N(E92)+N(E93)+N(E94)+N(E95)+N(E96)+N(E97)+N(E98)+N(E99)+N(E100)+N(E101)+N(E102)+N(E103)+N(E104)+N(E116)-N(E119),-2)</f>
        <v>0</v>
      </c>
      <c r="F122" s="265">
        <f>ROUND(N(F68)+N(F69)+N(F70)+N(F71)+N(F72)+N(F73)+N(F74)+N(F75)+N(F76)+N(F77)+N(F78)+N(F79)+N(F80)+N(F81)+N(F82)+N(F83)+N(F84)+N(F85)+N(F86)+N(F87)+N(F88)+N(F89)+N(F90)+N(F91)+N(F92)+N(F93)+N(F94)+N(F95)+N(F96)+N(F97)+N(F98)+N(F99)+N(F100)+N(F101)+N(F102)+N(F103)+N(F104)+N(F116)-N(F119),-2)</f>
        <v>0</v>
      </c>
      <c r="G122" s="265">
        <f>ROUND(N(G68)+N(G69)+N(G70)+N(G71)+N(G72)+N(G73)+N(G74)+N(G75)+N(G76)+N(G77)+N(G78)+N(G79)+N(G80)+N(G81)+N(G82)+N(G83)+N(G84)+N(G85)+N(G86)+N(G87)+N(G88)+N(G89)+N(G90)+N(G91)+N(G92)+N(G93)+N(G94)+N(G95)+N(G96)+N(G97)+N(G98)+N(G99)+N(G100)+N(G101)+N(G102)+N(G103)+N(G104)+N(G116)-N(G119),-2)</f>
        <v>0</v>
      </c>
      <c r="I122" s="265">
        <f>ROUND(N(I68)+N(I69)+N(I70)+N(I71)+N(I72)+N(I73)+N(I74)+N(I75)+N(I76)+N(I77)+N(I78)+N(I79)+N(I80)+N(I81)+N(I82)+N(I83)+N(I84)+N(I85)+N(I86)+N(I87)+N(I88)+N(I89)+N(I90)+N(I91)+N(I92)+N(I93)+N(I94)+N(I95)+N(I96)+N(I97)+N(I98)+N(I99)+N(I100)+N(I101)+N(I102)+N(I103)+N(I104)+N(I116)-N(I119),-2)</f>
        <v>0</v>
      </c>
      <c r="J122" s="265">
        <f>ROUND(N(J68)+N(J69)+N(J70)+N(J71)+N(J72)+N(J73)+N(J74)+N(J75)+N(J76)+N(J77)+N(J78)+N(J79)+N(J80)+N(J81)+N(J82)+N(J83)+N(J84)+N(J85)+N(J86)+N(J87)+N(J88)+N(J89)+N(J90)+N(J91)+N(J92)+N(J93)+N(J94)+N(J95)+N(J96)+N(J97)+N(J98)+N(J99)+N(J100)+N(J101)+N(J102)+N(J103)+N(J104)+N(J116)-N(J119),-2)</f>
        <v>0</v>
      </c>
      <c r="K122" s="265">
        <f>ROUND(N(K68)+N(K69)+N(K70)+N(K71)+N(K72)+N(K73)+N(K74)+N(K75)+N(K76)+N(K77)+N(K78)+N(K79)+N(K80)+N(K81)+N(K82)+N(K83)+N(K84)+N(K85)+N(K86)+N(K87)+N(K88)+N(K89)+N(K90)+N(K91)+N(K92)+N(K93)+N(K94)+N(K95)+N(K96)+N(K97)+N(K98)+N(K99)+N(K100)+N(K101)+N(K102)+N(K103)+N(K104)+N(K116)-N(K119),-2)</f>
        <v>0</v>
      </c>
      <c r="L122" s="265">
        <f>ROUND(N(L68)+N(L69)+N(L70)+N(L71)+N(L72)+N(L73)+N(L74)+N(L75)+N(L76)+N(L77)+N(L78)+N(L79)+N(L80)+N(L81)+N(L82)+N(L83)+N(L84)+N(L85)+N(L86)+N(L87)+N(L88)+N(L89)+N(L90)+N(L91)+N(L92)+N(L93)+N(L94)+N(L95)+N(L96)+N(L97)+N(L98)+N(L99)+N(L100)+N(L101)+N(L102)+N(L103)+N(L104)+N(L116)-N(L119),-2)</f>
        <v>0</v>
      </c>
      <c r="N122" s="265">
        <f>ROUND(N(N68)+N(N69)+N(N70)+N(N71)+N(N72)+N(N73)+N(N74)+N(N75)+N(N76)+N(N77)+N(N78)+N(N79)+N(N80)+N(N81)+N(N82)+N(N83)+N(N84)+N(N85)+N(N86)+N(N87)+N(N88)+N(N89)+N(N90)+N(N91)+N(N92)+N(N93)+N(N94)+N(N95)+N(N96)+N(N97)+N(N98)+N(N99)+N(N100)+N(N101)+N(N102)+N(N103)+N(N104)+N(N116)-N(N119),-2)</f>
        <v>0</v>
      </c>
      <c r="O122" s="265">
        <f>ROUND(N(O68)+N(O69)+N(O70)+N(O71)+N(O72)+N(O73)+N(O74)+N(O75)+N(O76)+N(O77)+N(O78)+N(O79)+N(O80)+N(O81)+N(O82)+N(O83)+N(O84)+N(O85)+N(O86)+N(O87)+N(O88)+N(O89)+N(O90)+N(O91)+N(O92)+N(O93)+N(O94)+N(O95)+N(O96)+N(O97)+N(O98)+N(O99)+N(O100)+N(O101)+N(O102)+N(O103)+N(O104)+N(O116)-N(O119),-2)</f>
        <v>0</v>
      </c>
      <c r="P122" s="265">
        <f>ROUND(N(P68)+N(P69)+N(P70)+N(P71)+N(P72)+N(P73)+N(P74)+N(P75)+N(P76)+N(P77)+N(P78)+N(P79)+N(P80)+N(P81)+N(P82)+N(P83)+N(P84)+N(P85)+N(P86)+N(P87)+N(P88)+N(P89)+N(P90)+N(P91)+N(P92)+N(P93)+N(P94)+N(P95)+N(P96)+N(P97)+N(P98)+N(P99)+N(P100)+N(P101)+N(P102)+N(P103)+N(P104)+N(P116)-N(P119),-2)</f>
        <v>0</v>
      </c>
      <c r="Q122" s="265">
        <f>ROUND(N(Q68)+N(Q69)+N(Q70)+N(Q71)+N(Q72)+N(Q73)+N(Q74)+N(Q75)+N(Q76)+N(Q77)+N(Q78)+N(Q79)+N(Q80)+N(Q81)+N(Q82)+N(Q83)+N(Q84)+N(Q85)+N(Q86)+N(Q87)+N(Q88)+N(Q89)+N(Q90)+N(Q91)+N(Q92)+N(Q93)+N(Q94)+N(Q95)+N(Q96)+N(Q97)+N(Q98)+N(Q99)+N(Q100)+N(Q101)+N(Q102)+N(Q103)+N(Q104)+N(Q116)-N(Q119),-2)</f>
        <v>0</v>
      </c>
      <c r="S122" s="265">
        <f>ROUND(N(S68)+N(S69)+N(S70)+N(S71)+N(S72)+N(S73)+N(S74)+N(S75)+N(S76)+N(S77)+N(S78)+N(S79)+N(S80)+N(S81)+N(S82)+N(S83)+N(S84)+N(S85)+N(S86)+N(S87)+N(S88)+N(S89)+N(S90)+N(S91)+N(S92)+N(S93)+N(S94)+N(S95)+N(S96)+N(S97)+N(S98)+N(S99)+N(S100)+N(S101)+N(S102)+N(S103)+N(S104)+N(S116)-N(S119),-2)</f>
        <v>0</v>
      </c>
      <c r="T122" s="265">
        <f>ROUND(N(T68)+N(T69)+N(T70)+N(T71)+N(T72)+N(T73)+N(T74)+N(T75)+N(T76)+N(T77)+N(T78)+N(T79)+N(T80)+N(T81)+N(T82)+N(T83)+N(T84)+N(T85)+N(T86)+N(T87)+N(T88)+N(T89)+N(T90)+N(T91)+N(T92)+N(T93)+N(T94)+N(T95)+N(T96)+N(T97)+N(T98)+N(T99)+N(T100)+N(T101)+N(T102)+N(T103)+N(T104)+N(T116)-N(T119),-2)</f>
        <v>0</v>
      </c>
      <c r="U122" s="265">
        <f>ROUND(N(U68)+N(U69)+N(U70)+N(U71)+N(U72)+N(U73)+N(U74)+N(U75)+N(U76)+N(U77)+N(U78)+N(U79)+N(U80)+N(U81)+N(U82)+N(U83)+N(U84)+N(U85)+N(U86)+N(U87)+N(U88)+N(U89)+N(U90)+N(U91)+N(U92)+N(U93)+N(U94)+N(U95)+N(U96)+N(U97)+N(U98)+N(U99)+N(U100)+N(U101)+N(U102)+N(U103)+N(U104)+N(U116)-N(U119),-2)</f>
        <v>0</v>
      </c>
      <c r="V122" s="265">
        <f>ROUND(N(V68)+N(V69)+N(V70)+N(V71)+N(V72)+N(V73)+N(V74)+N(V75)+N(V76)+N(V77)+N(V78)+N(V79)+N(V80)+N(V81)+N(V82)+N(V83)+N(V84)+N(V85)+N(V86)+N(V87)+N(V88)+N(V89)+N(V90)+N(V91)+N(V92)+N(V93)+N(V94)+N(V95)+N(V96)+N(V97)+N(V98)+N(V99)+N(V100)+N(V101)+N(V102)+N(V103)+N(V104)+N(V116)-N(V119),-2)</f>
        <v>0</v>
      </c>
      <c r="X122" s="265">
        <f>ROUND(N(X68)+N(X69)+N(X70)+N(X71)+N(X72)+N(X73)+N(X74)+N(X75)+N(X76)+N(X77)+N(X78)+N(X79)+N(X80)+N(X81)+N(X82)+N(X83)+N(X84)+N(X85)+N(X86)+N(X87)+N(X88)+N(X89)+N(X90)+N(X91)+N(X92)+N(X93)+N(X94)+N(X95)+N(X96)+N(X97)+N(X98)+N(X99)+N(X100)+N(X101)+N(X102)+N(X103)+N(X104)+N(X116)-N(X119),-2)</f>
        <v>0</v>
      </c>
      <c r="Y122" s="265">
        <f>ROUND(N(Y68)+N(Y69)+N(Y70)+N(Y71)+N(Y72)+N(Y73)+N(Y74)+N(Y75)+N(Y76)+N(Y77)+N(Y78)+N(Y79)+N(Y80)+N(Y81)+N(Y82)+N(Y83)+N(Y84)+N(Y85)+N(Y86)+N(Y87)+N(Y88)+N(Y89)+N(Y90)+N(Y91)+N(Y92)+N(Y93)+N(Y94)+N(Y95)+N(Y96)+N(Y97)+N(Y98)+N(Y99)+N(Y100)+N(Y101)+N(Y102)+N(Y103)+N(Y104)+N(Y116)-N(Y119),-2)</f>
        <v>0</v>
      </c>
      <c r="Z122" s="265">
        <f>ROUND(N(Z68)+N(Z69)+N(Z70)+N(Z71)+N(Z72)+N(Z73)+N(Z74)+N(Z75)+N(Z76)+N(Z77)+N(Z78)+N(Z79)+N(Z80)+N(Z81)+N(Z82)+N(Z83)+N(Z84)+N(Z85)+N(Z86)+N(Z87)+N(Z88)+N(Z89)+N(Z90)+N(Z91)+N(Z92)+N(Z93)+N(Z94)+N(Z95)+N(Z96)+N(Z97)+N(Z98)+N(Z99)+N(Z100)+N(Z101)+N(Z102)+N(Z103)+N(Z104)+N(Z116)-N(Z119),-2)</f>
        <v>0</v>
      </c>
      <c r="AA122" s="265">
        <f>ROUND(N(AA68)+N(AA69)+N(AA70)+N(AA71)+N(AA72)+N(AA73)+N(AA74)+N(AA75)+N(AA76)+N(AA77)+N(AA78)+N(AA79)+N(AA80)+N(AA81)+N(AA82)+N(AA83)+N(AA84)+N(AA85)+N(AA86)+N(AA87)+N(AA88)+N(AA89)+N(AA90)+N(AA91)+N(AA92)+N(AA93)+N(AA94)+N(AA95)+N(AA96)+N(AA97)+N(AA98)+N(AA99)+N(AA100)+N(AA101)+N(AA102)+N(AA103)+N(AA104)+N(AA116)-N(AA119),-2)</f>
        <v>0</v>
      </c>
      <c r="AC122" s="265">
        <f>ROUND(N(AC68)+N(AC69)+N(AC70)+N(AC71)+N(AC72)+N(AC73)+N(AC74)+N(AC75)+N(AC76)+N(AC77)+N(AC78)+N(AC79)+N(AC80)+N(AC81)+N(AC82)+N(AC83)+N(AC84)+N(AC85)+N(AC86)+N(AC87)+N(AC88)+N(AC89)+N(AC90)+N(AC91)+N(AC92)+N(AC93)+N(AC94)+N(AC95)+N(AC96)+N(AC97)+N(AC98)+N(AC99)+N(AC100)+N(AC101)+N(AC102)+N(AC103)+N(AC104)+N(AC116)-N(AC119),-2)</f>
        <v>0</v>
      </c>
      <c r="AD122" s="265">
        <f>ROUND(N(AD68)+N(AD69)+N(AD70)+N(AD71)+N(AD72)+N(AD73)+N(AD74)+N(AD75)+N(AD76)+N(AD77)+N(AD78)+N(AD79)+N(AD80)+N(AD81)+N(AD82)+N(AD83)+N(AD84)+N(AD85)+N(AD86)+N(AD87)+N(AD88)+N(AD89)+N(AD90)+N(AD91)+N(AD92)+N(AD93)+N(AD94)+N(AD95)+N(AD96)+N(AD97)+N(AD98)+N(AD99)+N(AD100)+N(AD101)+N(AD102)+N(AD103)+N(AD104)+N(AD116)-N(AD119),-2)</f>
        <v>0</v>
      </c>
    </row>
    <row r="123">
      <c r="A123" t="inlineStr">
        <is>
          <t>CHECK: receita - custo - despesas + não operacional - IR - minoritários + outros após IR - lucro (deve ser 0) · derivada</t>
        </is>
      </c>
      <c r="C123" t="inlineStr">
        <is>
          <t>[linha bruta, sem código; lançada nas linhas abaixo]</t>
        </is>
      </c>
      <c r="D123" s="265">
        <f>ROUND(N(D5)-N(D6)-N(D9)+N(D12)-N(D16)-N(D18)+N(D21)-N(D22),-2)</f>
        <v>0</v>
      </c>
      <c r="E123" s="265">
        <f>ROUND(N(E5)-N(E6)-N(E9)+N(E12)-N(E16)-N(E18)+N(E21)-N(E22),-2)</f>
        <v>0</v>
      </c>
      <c r="F123" s="265">
        <f>ROUND(N(F5)-N(F6)-N(F9)+N(F12)-N(F16)-N(F18)+N(F21)-N(F22),-2)</f>
        <v>0</v>
      </c>
      <c r="G123" s="265">
        <f>ROUND(N(G5)-N(G6)-N(G9)+N(G12)-N(G16)-N(G18)+N(G21)-N(G22),-2)</f>
        <v>0</v>
      </c>
      <c r="I123" s="265">
        <f>ROUND(N(I5)-N(I6)-N(I9)+N(I12)-N(I16)-N(I18)+N(I21)-N(I22),-2)</f>
        <v>0</v>
      </c>
      <c r="J123" s="265">
        <f>ROUND(N(J5)-N(J6)-N(J9)+N(J12)-N(J16)-N(J18)+N(J21)-N(J22),-2)</f>
        <v>0</v>
      </c>
      <c r="K123" s="265">
        <f>ROUND(N(K5)-N(K6)-N(K9)+N(K12)-N(K16)-N(K18)+N(K21)-N(K22),-2)</f>
        <v>0</v>
      </c>
      <c r="L123" s="265">
        <f>ROUND(N(L5)-N(L6)-N(L9)+N(L12)-N(L16)-N(L18)+N(L21)-N(L22),-2)</f>
        <v>0</v>
      </c>
      <c r="N123" s="265">
        <f>ROUND(N(N5)-N(N6)-N(N9)+N(N12)-N(N16)-N(N18)+N(N21)-N(N22),-2)</f>
        <v>0</v>
      </c>
      <c r="O123" s="265">
        <f>ROUND(N(O5)-N(O6)-N(O9)+N(O12)-N(O16)-N(O18)+N(O21)-N(O22),-2)</f>
        <v>0</v>
      </c>
      <c r="P123" s="265">
        <f>ROUND(N(P5)-N(P6)-N(P9)+N(P12)-N(P16)-N(P18)+N(P21)-N(P22),-2)</f>
        <v>0</v>
      </c>
      <c r="Q123" s="265">
        <f>ROUND(N(Q5)-N(Q6)-N(Q9)+N(Q12)-N(Q16)-N(Q18)+N(Q21)-N(Q22),-2)</f>
        <v>0</v>
      </c>
      <c r="S123" s="265">
        <f>ROUND(N(S5)-N(S6)-N(S9)+N(S12)-N(S16)-N(S18)+N(S21)-N(S22),-2)</f>
        <v>0</v>
      </c>
      <c r="T123" s="265">
        <f>ROUND(N(T5)-N(T6)-N(T9)+N(T12)-N(T16)-N(T18)+N(T21)-N(T22),-2)</f>
        <v>0</v>
      </c>
      <c r="U123" s="265">
        <f>ROUND(N(U5)-N(U6)-N(U9)+N(U12)-N(U16)-N(U18)+N(U21)-N(U22),-2)</f>
        <v>0</v>
      </c>
      <c r="V123" s="265">
        <f>ROUND(N(V5)-N(V6)-N(V9)+N(V12)-N(V16)-N(V18)+N(V21)-N(V22),-2)</f>
        <v>0</v>
      </c>
      <c r="X123" s="265">
        <f>ROUND(N(X5)-N(X6)-N(X9)+N(X12)-N(X16)-N(X18)+N(X21)-N(X22),-2)</f>
        <v>0</v>
      </c>
      <c r="Y123" s="265">
        <f>ROUND(N(Y5)-N(Y6)-N(Y9)+N(Y12)-N(Y16)-N(Y18)+N(Y21)-N(Y22),-2)</f>
        <v>0</v>
      </c>
      <c r="Z123" s="265">
        <f>ROUND(N(Z5)-N(Z6)-N(Z9)+N(Z12)-N(Z16)-N(Z18)+N(Z21)-N(Z22),-2)</f>
        <v>0</v>
      </c>
      <c r="AA123" s="265">
        <f>ROUND(N(AA5)-N(AA6)-N(AA9)+N(AA12)-N(AA16)-N(AA18)+N(AA21)-N(AA22),-2)</f>
        <v>0</v>
      </c>
      <c r="AC123" s="265">
        <f>ROUND(N(AC5)-N(AC6)-N(AC9)+N(AC12)-N(AC16)-N(AC18)+N(AC21)-N(AC22),-2)</f>
        <v>0</v>
      </c>
      <c r="AD123" s="265">
        <f>ROUND(N(AD5)-N(AD6)-N(AD9)+N(AD12)-N(AD16)-N(AD18)+N(AD21)-N(AD22),-2)</f>
        <v>0</v>
      </c>
    </row>
    <row r="124">
      <c r="D124" s="265" t="n"/>
      <c r="E124" s="265" t="n"/>
      <c r="F124" s="265" t="n"/>
      <c r="G124" s="265" t="n"/>
      <c r="I124" s="265" t="n"/>
      <c r="J124" s="265" t="n"/>
      <c r="K124" s="265" t="n"/>
      <c r="L124" s="265" t="n"/>
      <c r="N124" s="265" t="n"/>
      <c r="O124" s="265" t="n"/>
      <c r="P124" s="265" t="n"/>
      <c r="Q124" s="265" t="n"/>
      <c r="S124" s="265" t="n"/>
      <c r="T124" s="265" t="n"/>
      <c r="U124" s="265" t="n"/>
      <c r="V124" s="265" t="n"/>
      <c r="X124" s="265" t="n"/>
      <c r="Y124" s="265" t="n"/>
      <c r="Z124" s="265" t="n"/>
      <c r="AA124" s="265" t="n"/>
      <c r="AC124" s="265" t="n"/>
      <c r="AD124" s="265" t="n"/>
    </row>
    <row r="125">
      <c r="A125" t="inlineStr">
        <is>
          <t>DRIVERS DE RECEITA (codigos 45+): produtos x serviços e segmentos da GE Aerospace (CES e DPT: receita e lucro) - SEC XBRL (USD, fator 0,000001).</t>
        </is>
      </c>
      <c r="C125" t="inlineStr">
        <is>
          <t>[linha bruta, sem código; lançada nas linhas abaixo]</t>
        </is>
      </c>
      <c r="D125" s="265" t="n"/>
      <c r="E125" s="265" t="n"/>
      <c r="F125" s="265" t="n"/>
      <c r="G125" s="265" t="n"/>
      <c r="I125" s="265" t="n"/>
      <c r="J125" s="265" t="n"/>
      <c r="K125" s="265" t="n"/>
      <c r="L125" s="265" t="n"/>
      <c r="N125" s="265" t="n"/>
      <c r="O125" s="265" t="n"/>
      <c r="P125" s="265" t="n"/>
      <c r="Q125" s="265" t="n"/>
      <c r="S125" s="265" t="n"/>
      <c r="T125" s="265" t="n"/>
      <c r="U125" s="265" t="n"/>
      <c r="V125" s="265" t="n"/>
      <c r="X125" s="265" t="n"/>
      <c r="Y125" s="265" t="n"/>
      <c r="Z125" s="265" t="n"/>
      <c r="AA125" s="265" t="n"/>
      <c r="AC125" s="265" t="n"/>
      <c r="AD125" s="265" t="n"/>
    </row>
    <row r="126">
      <c r="A126" t="inlineStr">
        <is>
          <t>Receita de produtos (USD) · fonte · unid. moeda</t>
        </is>
      </c>
      <c r="B126" t="n">
        <v>45</v>
      </c>
      <c r="C126" t="inlineStr">
        <is>
          <t>Receita de produtos (USD)</t>
        </is>
      </c>
      <c r="D126" s="265" t="n">
        <v>8159000</v>
      </c>
      <c r="E126" s="265" t="n">
        <v>8498000</v>
      </c>
      <c r="F126" s="265" t="n">
        <v>9087000</v>
      </c>
      <c r="G126" s="265" t="n">
        <v>9150000</v>
      </c>
      <c r="I126" s="265" t="n">
        <v>4792000</v>
      </c>
      <c r="J126" s="265" t="n">
        <v>5399000</v>
      </c>
      <c r="K126" s="265" t="n">
        <v>5809000</v>
      </c>
      <c r="L126" s="265" t="n">
        <v>9468000</v>
      </c>
      <c r="N126" s="265" t="n">
        <v>5387000</v>
      </c>
      <c r="O126" s="265" t="n">
        <v>2744000</v>
      </c>
      <c r="P126" s="265" t="n">
        <v>2482000</v>
      </c>
      <c r="Q126" s="265" t="n">
        <v>8024000</v>
      </c>
      <c r="S126" s="265" t="n">
        <v>2715000</v>
      </c>
      <c r="T126" s="265" t="n">
        <v>2498000</v>
      </c>
      <c r="U126" s="265" t="n">
        <v>2622000</v>
      </c>
      <c r="V126" s="265" t="n">
        <v>3479000</v>
      </c>
      <c r="X126" s="265" t="n">
        <v>2972000</v>
      </c>
      <c r="Y126" s="265" t="n">
        <v>3234000</v>
      </c>
      <c r="Z126" s="265" t="n">
        <v>3493000</v>
      </c>
      <c r="AA126" s="265" t="n">
        <v>3867000</v>
      </c>
      <c r="AC126" s="265" t="n">
        <v>3708000</v>
      </c>
      <c r="AD126" s="265" t="n">
        <v>4041000</v>
      </c>
    </row>
    <row r="127">
      <c r="A127" t="inlineStr">
        <is>
          <t>Receita de serviços (USD) · fonte · unid. moeda</t>
        </is>
      </c>
      <c r="B127" t="n">
        <v>46</v>
      </c>
      <c r="C127" t="inlineStr">
        <is>
          <t>Receita de serviços (USD)</t>
        </is>
      </c>
      <c r="D127" s="265" t="n">
        <v>8309000</v>
      </c>
      <c r="E127" s="265" t="n">
        <v>9140000</v>
      </c>
      <c r="F127" s="265" t="n">
        <v>8883000</v>
      </c>
      <c r="G127" s="265" t="n">
        <v>10408000</v>
      </c>
      <c r="I127" s="265" t="n">
        <v>7183000</v>
      </c>
      <c r="J127" s="265" t="n">
        <v>8030000</v>
      </c>
      <c r="K127" s="265" t="n">
        <v>8018000</v>
      </c>
      <c r="L127" s="265" t="n">
        <v>11556000</v>
      </c>
      <c r="N127" s="265" t="n">
        <v>8252000</v>
      </c>
      <c r="O127" s="265" t="n">
        <v>5368000</v>
      </c>
      <c r="P127" s="265" t="n">
        <v>6180000</v>
      </c>
      <c r="Q127" s="265" t="n">
        <v>10494000</v>
      </c>
      <c r="S127" s="265" t="n">
        <v>5693000</v>
      </c>
      <c r="T127" s="265" t="n">
        <v>6034000</v>
      </c>
      <c r="U127" s="265" t="n">
        <v>6623000</v>
      </c>
      <c r="V127" s="265" t="n">
        <v>6694000</v>
      </c>
      <c r="X127" s="265" t="n">
        <v>6390000</v>
      </c>
      <c r="Y127" s="265" t="n">
        <v>7390000</v>
      </c>
      <c r="Z127" s="265" t="n">
        <v>8215000</v>
      </c>
      <c r="AA127" s="265" t="n">
        <v>8440000</v>
      </c>
      <c r="AC127" s="265" t="n">
        <v>8425000</v>
      </c>
      <c r="AD127" s="265" t="n">
        <v>9133000</v>
      </c>
    </row>
    <row r="128">
      <c r="A128" t="inlineStr">
        <is>
          <t>Commercial Engines &amp; Services - receita (USD) · fonte · unid. moeda</t>
        </is>
      </c>
      <c r="B128" t="n">
        <v>47</v>
      </c>
      <c r="C128" t="inlineStr">
        <is>
          <t>Commercial Engines &amp; Services - receita (USD)</t>
        </is>
      </c>
      <c r="D128" s="265" t="n"/>
      <c r="E128" s="265" t="n"/>
      <c r="F128" s="265" t="n"/>
      <c r="G128" s="265" t="n"/>
      <c r="I128" s="265" t="n"/>
      <c r="J128" s="265" t="n"/>
      <c r="K128" s="265" t="n"/>
      <c r="L128" s="265" t="n"/>
      <c r="N128" s="265" t="n"/>
      <c r="O128" s="265" t="n">
        <v>5737000</v>
      </c>
      <c r="P128" s="265" t="n">
        <v>6457000</v>
      </c>
      <c r="Q128" s="265" t="n">
        <v>6429000</v>
      </c>
      <c r="S128" s="265" t="n">
        <v>6095000</v>
      </c>
      <c r="T128" s="265" t="n">
        <v>6132000</v>
      </c>
      <c r="U128" s="265" t="n">
        <v>7003000</v>
      </c>
      <c r="V128" s="265" t="n">
        <v>7650000</v>
      </c>
      <c r="X128" s="265" t="n">
        <v>6663000</v>
      </c>
      <c r="Y128" s="265" t="n">
        <v>7646000</v>
      </c>
      <c r="Z128" s="265" t="n">
        <v>8880000</v>
      </c>
      <c r="AA128" s="265" t="n">
        <v>9468000</v>
      </c>
      <c r="AC128" s="265" t="n">
        <v>8920000</v>
      </c>
      <c r="AD128" s="265" t="n">
        <v>9731000</v>
      </c>
    </row>
    <row r="129">
      <c r="A129" t="inlineStr">
        <is>
          <t>Defense &amp; Propulsion Technologies - receita (USD) · fonte · unid. moeda</t>
        </is>
      </c>
      <c r="B129" t="n">
        <v>48</v>
      </c>
      <c r="C129" t="inlineStr">
        <is>
          <t>Defense &amp; Propulsion Technologies - receita (USD)</t>
        </is>
      </c>
      <c r="D129" s="265" t="n"/>
      <c r="E129" s="265" t="n"/>
      <c r="F129" s="265" t="n"/>
      <c r="G129" s="265" t="n"/>
      <c r="I129" s="265" t="n"/>
      <c r="J129" s="265" t="n"/>
      <c r="K129" s="265" t="n"/>
      <c r="L129" s="265" t="n"/>
      <c r="N129" s="265" t="n"/>
      <c r="O129" s="265" t="n">
        <v>2375000</v>
      </c>
      <c r="P129" s="265" t="n">
        <v>2205000</v>
      </c>
      <c r="Q129" s="265" t="n">
        <v>2415000</v>
      </c>
      <c r="S129" s="265" t="n">
        <v>2312000</v>
      </c>
      <c r="T129" s="265" t="n">
        <v>2401000</v>
      </c>
      <c r="U129" s="265" t="n">
        <v>2243000</v>
      </c>
      <c r="V129" s="265" t="n">
        <v>2523000</v>
      </c>
      <c r="X129" s="265" t="n">
        <v>2698000</v>
      </c>
      <c r="Y129" s="265" t="n">
        <v>2978000</v>
      </c>
      <c r="Z129" s="265" t="n">
        <v>2828000</v>
      </c>
      <c r="AA129" s="265" t="n">
        <v>2839000</v>
      </c>
      <c r="AC129" s="265" t="n">
        <v>3214000</v>
      </c>
      <c r="AD129" s="265" t="n">
        <v>3443000</v>
      </c>
    </row>
    <row r="130">
      <c r="A130" t="inlineStr">
        <is>
          <t>Commercial Engines &amp; Services - lucro do segmento (USD) · fonte · unid. moeda</t>
        </is>
      </c>
      <c r="B130" t="n">
        <v>49</v>
      </c>
      <c r="C130" t="inlineStr">
        <is>
          <t>Commercial Engines &amp; Services - lucro do segmento (USD)</t>
        </is>
      </c>
      <c r="D130" s="265" t="n"/>
      <c r="E130" s="265" t="n"/>
      <c r="F130" s="265" t="n"/>
      <c r="G130" s="265" t="n"/>
      <c r="I130" s="265" t="n"/>
      <c r="J130" s="265" t="n"/>
      <c r="K130" s="265" t="n"/>
      <c r="L130" s="265" t="n"/>
      <c r="N130" s="265" t="n"/>
      <c r="O130" s="265" t="n">
        <v>1389000</v>
      </c>
      <c r="P130" s="265" t="n">
        <v>1545000</v>
      </c>
      <c r="Q130" s="265" t="n">
        <v>1495000</v>
      </c>
      <c r="S130" s="265" t="n">
        <v>1419000</v>
      </c>
      <c r="T130" s="265" t="n">
        <v>1679000</v>
      </c>
      <c r="U130" s="265" t="n">
        <v>1799000</v>
      </c>
      <c r="V130" s="265" t="n">
        <v>2158000</v>
      </c>
      <c r="X130" s="265" t="n">
        <v>1910000</v>
      </c>
      <c r="Y130" s="265" t="n">
        <v>2208000</v>
      </c>
      <c r="Z130" s="265" t="n">
        <v>2436000</v>
      </c>
      <c r="AA130" s="265" t="n">
        <v>2273000</v>
      </c>
      <c r="AC130" s="265" t="n">
        <v>2356000</v>
      </c>
      <c r="AD130" s="265" t="n">
        <v>2657000</v>
      </c>
    </row>
    <row r="131">
      <c r="A131" t="inlineStr">
        <is>
          <t>Defense &amp; Propulsion Technologies - lucro do segmento (USD) · fonte · unid. moeda</t>
        </is>
      </c>
      <c r="B131" t="n">
        <v>50</v>
      </c>
      <c r="C131" t="inlineStr">
        <is>
          <t>Defense &amp; Propulsion Technologies - lucro do segmento (USD)</t>
        </is>
      </c>
      <c r="D131" s="265" t="n"/>
      <c r="E131" s="265" t="n"/>
      <c r="F131" s="265" t="n"/>
      <c r="G131" s="265" t="n"/>
      <c r="I131" s="265" t="n"/>
      <c r="J131" s="265" t="n"/>
      <c r="K131" s="265" t="n"/>
      <c r="L131" s="265" t="n"/>
      <c r="N131" s="265" t="n"/>
      <c r="O131" s="265" t="n">
        <v>201000</v>
      </c>
      <c r="P131" s="265" t="n">
        <v>269000</v>
      </c>
      <c r="Q131" s="265" t="n">
        <v>237000</v>
      </c>
      <c r="S131" s="265" t="n">
        <v>256000</v>
      </c>
      <c r="T131" s="265" t="n">
        <v>344000</v>
      </c>
      <c r="U131" s="265" t="n">
        <v>220000</v>
      </c>
      <c r="V131" s="265" t="n">
        <v>241000</v>
      </c>
      <c r="X131" s="265" t="n">
        <v>325000</v>
      </c>
      <c r="Y131" s="265" t="n">
        <v>403000</v>
      </c>
      <c r="Z131" s="265" t="n">
        <v>386000</v>
      </c>
      <c r="AA131" s="265" t="n">
        <v>252000</v>
      </c>
      <c r="AC131" s="265" t="n">
        <v>379000</v>
      </c>
      <c r="AD131" s="265" t="n">
        <v>475000</v>
      </c>
    </row>
    <row r="132">
      <c r="A132" t="inlineStr">
        <is>
          <t>CES - receita de serviços (USD) · fonte · unid. moeda</t>
        </is>
      </c>
      <c r="B132" t="n">
        <v>51</v>
      </c>
      <c r="C132" t="inlineStr">
        <is>
          <t>CES - receita de serviços (USD)</t>
        </is>
      </c>
      <c r="D132" s="265" t="n"/>
      <c r="E132" s="265" t="n"/>
      <c r="F132" s="265" t="n"/>
      <c r="G132" s="265" t="n"/>
      <c r="I132" s="265" t="n"/>
      <c r="J132" s="265" t="n"/>
      <c r="K132" s="265" t="n"/>
      <c r="L132" s="265" t="n"/>
      <c r="N132" s="265" t="n"/>
      <c r="O132" s="265" t="n">
        <v>4130000</v>
      </c>
      <c r="P132" s="265" t="n">
        <v>4853000</v>
      </c>
      <c r="Q132" s="265" t="n">
        <v>4770000</v>
      </c>
      <c r="S132" s="265" t="n">
        <v>4390000</v>
      </c>
      <c r="T132" s="265" t="n">
        <v>4705000</v>
      </c>
      <c r="U132" s="265" t="n">
        <v>5317000</v>
      </c>
      <c r="V132" s="265" t="n">
        <v>5363000</v>
      </c>
      <c r="X132" s="265" t="n">
        <v>4915000</v>
      </c>
      <c r="Y132" s="265" t="n">
        <v>5881000</v>
      </c>
      <c r="Z132" s="265" t="n">
        <v>6820000</v>
      </c>
      <c r="AA132" s="265" t="n">
        <v>7012000</v>
      </c>
      <c r="AC132" s="265" t="n">
        <v>6817000</v>
      </c>
      <c r="AD132" s="265" t="n">
        <v>7434000</v>
      </c>
    </row>
    <row r="133">
      <c r="A133" t="inlineStr">
        <is>
          <t>Notas: valores dimensionais das instâncias XBRL. Segmentos CES e DPT só a partir de 2023 (reapresentados desde 4T22). A DRE do modelo segue a última apresentação de cada período: 2020-21 é a GE inteira, 2022 já sem a GE HealthCare (cisão jan/23) e 2023 em diante sem a GE Vernova (cisão abr/24); o balanço é o de cada data (até mar/24 inclui a Vernova).</t>
        </is>
      </c>
      <c r="C133" t="inlineStr">
        <is>
          <t>[linha bruta, sem código; lançada nas linhas abaixo]</t>
        </is>
      </c>
      <c r="D133" s="265" t="n"/>
      <c r="E133" s="265" t="n"/>
      <c r="F133" s="265" t="n"/>
      <c r="G133" s="265" t="n"/>
      <c r="I133" s="265" t="n"/>
      <c r="J133" s="265" t="n"/>
      <c r="K133" s="265" t="n"/>
      <c r="L133" s="265" t="n"/>
      <c r="N133" s="265" t="n"/>
      <c r="O133" s="265" t="n"/>
      <c r="P133" s="265" t="n"/>
      <c r="Q133" s="265" t="n"/>
      <c r="S133" s="265" t="n"/>
      <c r="T133" s="265" t="n"/>
      <c r="U133" s="265" t="n"/>
      <c r="V133" s="265" t="n"/>
      <c r="X133" s="265" t="n"/>
      <c r="Y133" s="265" t="n"/>
      <c r="Z133" s="265" t="n"/>
      <c r="AA133" s="265" t="n"/>
      <c r="AC133" s="265" t="n"/>
      <c r="AD133" s="265" t="n"/>
    </row>
    <row r="135">
      <c r="A135" t="inlineStr">
        <is>
          <t>Linhas de origem: 4 a 133. A Inputs (2) varre as linhas 4 a 200; as linhas 134 a 200 estão livres. Linhas "(lançamento)" aplicam código e sinal sobre a linha bruta indicada (a máscara tem uma só coluna de código).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9"/>
  <sheetViews>
    <sheetView showGridLines="0" tabSelected="1" zoomScaleNormal="100" workbookViewId="0">
      <pane xSplit="3" ySplit="3" topLeftCell="D4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10.42578125" defaultRowHeight="12.75"/>
  <cols>
    <col width="14.7109375" customWidth="1" style="3" min="1" max="1"/>
    <col width="10.140625" customWidth="1" style="3" min="2" max="2"/>
    <col width="50" customWidth="1" style="4" min="3" max="3"/>
    <col width="12.42578125" customWidth="1" style="3" min="4" max="33"/>
    <col width="10.42578125" customWidth="1" style="4" min="34" max="54"/>
    <col width="11" customWidth="1" style="4" min="55" max="55"/>
    <col width="10.42578125" customWidth="1" style="4" min="56" max="58"/>
    <col width="10.42578125" customWidth="1" style="4" min="59" max="16384"/>
  </cols>
  <sheetData>
    <row r="1" ht="14.25" customFormat="1" customHeight="1" s="3">
      <c r="A1" s="5" t="str">
        <f>IF(Control!B3="","EMPRESA",Control!B3)</f>
        <v>GE Aerospace</v>
      </c>
      <c r="B1" s="5" t="inlineStr">
        <is>
          <t>Código</t>
        </is>
      </c>
      <c r="C1" s="1" t="inlineStr">
        <is>
          <t>Conta padronizada</t>
        </is>
      </c>
      <c r="D1" s="1" t="n">
        <v>2021</v>
      </c>
      <c r="E1" s="1" t="n">
        <v>2021</v>
      </c>
      <c r="F1" s="1" t="n">
        <v>2021</v>
      </c>
      <c r="G1" s="1" t="n">
        <v>2021</v>
      </c>
      <c r="H1" s="1" t="n">
        <v>2021</v>
      </c>
      <c r="I1" s="1" t="n">
        <v>2022</v>
      </c>
      <c r="J1" s="1" t="n">
        <v>2022</v>
      </c>
      <c r="K1" s="1" t="n">
        <v>2022</v>
      </c>
      <c r="L1" s="1" t="n">
        <v>2022</v>
      </c>
      <c r="M1" s="1" t="n">
        <v>2022</v>
      </c>
      <c r="N1" s="1" t="n">
        <v>2023</v>
      </c>
      <c r="O1" s="1" t="n">
        <v>2023</v>
      </c>
      <c r="P1" s="1" t="n">
        <v>2023</v>
      </c>
      <c r="Q1" s="1" t="n">
        <v>2023</v>
      </c>
      <c r="R1" s="1" t="n">
        <v>2023</v>
      </c>
      <c r="S1" s="1" t="n">
        <v>2024</v>
      </c>
      <c r="T1" s="1" t="n">
        <v>2024</v>
      </c>
      <c r="U1" s="1" t="n">
        <v>2024</v>
      </c>
      <c r="V1" s="1" t="n">
        <v>2024</v>
      </c>
      <c r="W1" s="1" t="n">
        <v>2024</v>
      </c>
      <c r="X1" s="1" t="n">
        <v>2025</v>
      </c>
      <c r="Y1" s="1" t="n">
        <v>2025</v>
      </c>
      <c r="Z1" s="1" t="n">
        <v>2025</v>
      </c>
      <c r="AA1" s="1" t="n">
        <v>2025</v>
      </c>
      <c r="AB1" s="1" t="n">
        <v>2025</v>
      </c>
      <c r="AC1" s="1" t="n">
        <v>2026</v>
      </c>
      <c r="AD1" s="1" t="n">
        <v>2026</v>
      </c>
      <c r="AE1" s="1" t="n">
        <v>2026</v>
      </c>
      <c r="AF1" s="1" t="n">
        <v>2026</v>
      </c>
      <c r="AG1" s="1" t="n">
        <v>2026</v>
      </c>
    </row>
    <row r="2" ht="14.25" customHeight="1">
      <c r="A2" s="1" t="inlineStr">
        <is>
          <t>US$ milhões</t>
        </is>
      </c>
      <c r="B2" s="1" t="n"/>
      <c r="C2" s="1" t="inlineStr">
        <is>
          <t>Período</t>
        </is>
      </c>
      <c r="D2" s="6" t="inlineStr">
        <is>
          <t>1Q21</t>
        </is>
      </c>
      <c r="E2" s="6" t="inlineStr">
        <is>
          <t>2Q21</t>
        </is>
      </c>
      <c r="F2" s="6" t="inlineStr">
        <is>
          <t>3Q21</t>
        </is>
      </c>
      <c r="G2" s="6" t="inlineStr">
        <is>
          <t>4Q21</t>
        </is>
      </c>
      <c r="H2" s="7" t="inlineStr">
        <is>
          <t>2021</t>
        </is>
      </c>
      <c r="I2" s="6" t="inlineStr">
        <is>
          <t>1Q22</t>
        </is>
      </c>
      <c r="J2" s="6" t="inlineStr">
        <is>
          <t>2Q22</t>
        </is>
      </c>
      <c r="K2" s="6" t="inlineStr">
        <is>
          <t>3Q22</t>
        </is>
      </c>
      <c r="L2" s="6" t="inlineStr">
        <is>
          <t>4Q22</t>
        </is>
      </c>
      <c r="M2" s="7" t="inlineStr">
        <is>
          <t>2022</t>
        </is>
      </c>
      <c r="N2" s="6" t="inlineStr">
        <is>
          <t>1Q23</t>
        </is>
      </c>
      <c r="O2" s="6" t="inlineStr">
        <is>
          <t>2Q23</t>
        </is>
      </c>
      <c r="P2" s="6" t="inlineStr">
        <is>
          <t>3Q23</t>
        </is>
      </c>
      <c r="Q2" s="6" t="inlineStr">
        <is>
          <t>4Q23</t>
        </is>
      </c>
      <c r="R2" s="7" t="inlineStr">
        <is>
          <t>2023</t>
        </is>
      </c>
      <c r="S2" s="6" t="inlineStr">
        <is>
          <t>1Q24</t>
        </is>
      </c>
      <c r="T2" s="6" t="inlineStr">
        <is>
          <t>2Q24</t>
        </is>
      </c>
      <c r="U2" s="6" t="inlineStr">
        <is>
          <t>3Q24</t>
        </is>
      </c>
      <c r="V2" s="6" t="inlineStr">
        <is>
          <t>4Q24</t>
        </is>
      </c>
      <c r="W2" s="7" t="inlineStr">
        <is>
          <t>2024</t>
        </is>
      </c>
      <c r="X2" s="6" t="inlineStr">
        <is>
          <t>1Q25</t>
        </is>
      </c>
      <c r="Y2" s="6" t="inlineStr">
        <is>
          <t>2Q25</t>
        </is>
      </c>
      <c r="Z2" s="6" t="inlineStr">
        <is>
          <t>3Q25</t>
        </is>
      </c>
      <c r="AA2" s="6" t="inlineStr">
        <is>
          <t>4Q25</t>
        </is>
      </c>
      <c r="AB2" s="7" t="inlineStr">
        <is>
          <t>2025</t>
        </is>
      </c>
      <c r="AC2" s="6" t="inlineStr">
        <is>
          <t>1Q26</t>
        </is>
      </c>
      <c r="AD2" s="6" t="inlineStr">
        <is>
          <t>2Q26</t>
        </is>
      </c>
      <c r="AE2" s="6" t="inlineStr">
        <is>
          <t>3Q26</t>
        </is>
      </c>
      <c r="AF2" s="6" t="inlineStr">
        <is>
          <t>4Q26</t>
        </is>
      </c>
      <c r="AG2" s="7" t="inlineStr">
        <is>
          <t>2026</t>
        </is>
      </c>
    </row>
    <row r="3" ht="15" customHeight="1">
      <c r="A3" s="8" t="inlineStr">
        <is>
          <t>Actual flag</t>
        </is>
      </c>
      <c r="B3" s="8" t="n"/>
      <c r="C3" s="8" t="inlineStr">
        <is>
          <t>0 = sem dados / 1 = realizado</t>
        </is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>
        <v>1</v>
      </c>
      <c r="J3" s="8" t="n">
        <v>1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  <c r="P3" s="8" t="n">
        <v>1</v>
      </c>
      <c r="Q3" s="8" t="n">
        <v>1</v>
      </c>
      <c r="R3" s="8" t="n">
        <v>1</v>
      </c>
      <c r="S3" s="8" t="n">
        <v>1</v>
      </c>
      <c r="T3" s="8" t="n">
        <v>1</v>
      </c>
      <c r="U3" s="8" t="n">
        <v>1</v>
      </c>
      <c r="V3" s="8" t="n">
        <v>1</v>
      </c>
      <c r="W3" s="8" t="n">
        <v>1</v>
      </c>
      <c r="X3" s="8" t="n">
        <v>1</v>
      </c>
      <c r="Y3" s="8" t="n">
        <v>1</v>
      </c>
      <c r="Z3" s="8" t="n">
        <v>1</v>
      </c>
      <c r="AA3" s="8" t="n">
        <v>1</v>
      </c>
      <c r="AB3" s="8" t="n">
        <v>1</v>
      </c>
      <c r="AC3" s="8" t="n">
        <v>1</v>
      </c>
      <c r="AD3" s="8" t="n">
        <v>1</v>
      </c>
      <c r="AE3" s="8" t="n">
        <v>0</v>
      </c>
      <c r="AF3" s="8" t="n">
        <v>0</v>
      </c>
      <c r="AG3" s="8" t="n">
        <v>0</v>
      </c>
    </row>
    <row r="4">
      <c r="B4" s="9" t="n">
        <v>1</v>
      </c>
      <c r="C4" s="10" t="inlineStr">
        <is>
          <t>Net Revenues</t>
        </is>
      </c>
      <c r="D4" s="11">
        <f>IF(D$3=0,"",SUMIFS(INDEX(Inputs!$D$4:$AG$200,0,MATCH(D$2,Inputs!$D$2:$AG$2,0)),Inputs!$B$4:$B$200,$B4)/1000)</f>
        <v>17071</v>
      </c>
      <c r="E4" s="11">
        <f>IF(E$3=0,"",SUMIFS(INDEX(Inputs!$D$4:$AG$200,0,MATCH(E$2,Inputs!$D$2:$AG$2,0)),Inputs!$B$4:$B$200,$B4)/1000)</f>
        <v>18253</v>
      </c>
      <c r="F4" s="11">
        <f>IF(F$3=0,"",SUMIFS(INDEX(Inputs!$D$4:$AG$200,0,MATCH(F$2,Inputs!$D$2:$AG$2,0)),Inputs!$B$4:$B$200,$B4)/1000)</f>
        <v>18569</v>
      </c>
      <c r="G4" s="11">
        <f>IF(G$3=0,"",SUMIFS(INDEX(Inputs!$D$4:$AG$200,0,MATCH(G$2,Inputs!$D$2:$AG$2,0)),Inputs!$B$4:$B$200,$B4)/1000)</f>
        <v>20303</v>
      </c>
      <c r="H4" s="12">
        <f>IF(COUNT(D4:G4)=4,SUM(D4:G4),"")</f>
        <v>74196</v>
      </c>
      <c r="I4" s="11">
        <f>IF(I$3=0,"",SUMIFS(INDEX(Inputs!$D$4:$AG$200,0,MATCH(I$2,Inputs!$D$2:$AG$2,0)),Inputs!$B$4:$B$200,$B4)/1000)</f>
        <v>12675</v>
      </c>
      <c r="J4" s="11">
        <f>IF(J$3=0,"",SUMIFS(INDEX(Inputs!$D$4:$AG$200,0,MATCH(J$2,Inputs!$D$2:$AG$2,0)),Inputs!$B$4:$B$200,$B4)/1000)</f>
        <v>14127</v>
      </c>
      <c r="K4" s="11">
        <f>IF(K$3=0,"",SUMIFS(INDEX(Inputs!$D$4:$AG$200,0,MATCH(K$2,Inputs!$D$2:$AG$2,0)),Inputs!$B$4:$B$200,$B4)/1000)</f>
        <v>14470</v>
      </c>
      <c r="L4" s="11">
        <f>IF(L$3=0,"",SUMIFS(INDEX(Inputs!$D$4:$AG$200,0,MATCH(L$2,Inputs!$D$2:$AG$2,0)),Inputs!$B$4:$B$200,$B4)/1000)</f>
        <v>16828</v>
      </c>
      <c r="M4" s="12">
        <f>IF(COUNT(I4:L4)=4,SUM(I4:L4),"")</f>
        <v>58100</v>
      </c>
      <c r="N4" s="11">
        <f>IF(N$3=0,"",SUMIFS(INDEX(Inputs!$D$4:$AG$200,0,MATCH(N$2,Inputs!$D$2:$AG$2,0)),Inputs!$B$4:$B$200,$B4)/1000)</f>
        <v>7836</v>
      </c>
      <c r="O4" s="11">
        <f>IF(O$3=0,"",SUMIFS(INDEX(Inputs!$D$4:$AG$200,0,MATCH(O$2,Inputs!$D$2:$AG$2,0)),Inputs!$B$4:$B$200,$B4)/1000)</f>
        <v>8755</v>
      </c>
      <c r="P4" s="11">
        <f>IF(P$3=0,"",SUMIFS(INDEX(Inputs!$D$4:$AG$200,0,MATCH(P$2,Inputs!$D$2:$AG$2,0)),Inputs!$B$4:$B$200,$B4)/1000)</f>
        <v>9302</v>
      </c>
      <c r="Q4" s="11">
        <f>IF(Q$3=0,"",SUMIFS(INDEX(Inputs!$D$4:$AG$200,0,MATCH(Q$2,Inputs!$D$2:$AG$2,0)),Inputs!$B$4:$B$200,$B4)/1000)</f>
        <v>9456</v>
      </c>
      <c r="R4" s="12">
        <f>IF(COUNT(N4:Q4)=4,SUM(N4:Q4),"")</f>
        <v>35349</v>
      </c>
      <c r="S4" s="11">
        <f>IF(S$3=0,"",SUMIFS(INDEX(Inputs!$D$4:$AG$200,0,MATCH(S$2,Inputs!$D$2:$AG$2,0)),Inputs!$B$4:$B$200,$B4)/1000)</f>
        <v>8955</v>
      </c>
      <c r="T4" s="11">
        <f>IF(T$3=0,"",SUMIFS(INDEX(Inputs!$D$4:$AG$200,0,MATCH(T$2,Inputs!$D$2:$AG$2,0)),Inputs!$B$4:$B$200,$B4)/1000)</f>
        <v>9094</v>
      </c>
      <c r="U4" s="11">
        <f>IF(U$3=0,"",SUMIFS(INDEX(Inputs!$D$4:$AG$200,0,MATCH(U$2,Inputs!$D$2:$AG$2,0)),Inputs!$B$4:$B$200,$B4)/1000)</f>
        <v>9842</v>
      </c>
      <c r="V4" s="11">
        <f>IF(V$3=0,"",SUMIFS(INDEX(Inputs!$D$4:$AG$200,0,MATCH(V$2,Inputs!$D$2:$AG$2,0)),Inputs!$B$4:$B$200,$B4)/1000)</f>
        <v>10812</v>
      </c>
      <c r="W4" s="12">
        <f>IF(COUNT(S4:V4)=4,SUM(S4:V4),"")</f>
        <v>38703</v>
      </c>
      <c r="X4" s="11">
        <f>IF(X$3=0,"",SUMIFS(INDEX(Inputs!$D$4:$AG$200,0,MATCH(X$2,Inputs!$D$2:$AG$2,0)),Inputs!$B$4:$B$200,$B4)/1000)</f>
        <v>9935</v>
      </c>
      <c r="Y4" s="11">
        <f>IF(Y$3=0,"",SUMIFS(INDEX(Inputs!$D$4:$AG$200,0,MATCH(Y$2,Inputs!$D$2:$AG$2,0)),Inputs!$B$4:$B$200,$B4)/1000)</f>
        <v>11023</v>
      </c>
      <c r="Z4" s="11">
        <f>IF(Z$3=0,"",SUMIFS(INDEX(Inputs!$D$4:$AG$200,0,MATCH(Z$2,Inputs!$D$2:$AG$2,0)),Inputs!$B$4:$B$200,$B4)/1000)</f>
        <v>12181</v>
      </c>
      <c r="AA4" s="11">
        <f>IF(AA$3=0,"",SUMIFS(INDEX(Inputs!$D$4:$AG$200,0,MATCH(AA$2,Inputs!$D$2:$AG$2,0)),Inputs!$B$4:$B$200,$B4)/1000)</f>
        <v>12717</v>
      </c>
      <c r="AB4" s="12">
        <f>IF(COUNT(X4:AA4)=4,SUM(X4:AA4),"")</f>
        <v>45856</v>
      </c>
      <c r="AC4" s="11">
        <f>IF(AC$3=0,"",SUMIFS(INDEX(Inputs!$D$4:$AG$200,0,MATCH(AC$2,Inputs!$D$2:$AG$2,0)),Inputs!$B$4:$B$200,$B4)/1000)</f>
        <v>12392</v>
      </c>
      <c r="AD4" s="11">
        <f>IF(AD$3=0,"",SUMIFS(INDEX(Inputs!$D$4:$AG$200,0,MATCH(AD$2,Inputs!$D$2:$AG$2,0)),Inputs!$B$4:$B$200,$B4)/1000)</f>
        <v>13349</v>
      </c>
      <c r="AE4" s="11" t="str">
        <f>IF(AE$3=0,"",SUMIFS(INDEX(Inputs!$D$4:$AG$200,0,MATCH(AE$2,Inputs!$D$2:$AG$2,0)),Inputs!$B$4:$B$200,$B4)/1000)</f>
        <v/>
      </c>
      <c r="AF4" s="11" t="str">
        <f>IF(AF$3=0,"",SUMIFS(INDEX(Inputs!$D$4:$AG$200,0,MATCH(AF$2,Inputs!$D$2:$AG$2,0)),Inputs!$B$4:$B$200,$B4)/1000)</f>
        <v/>
      </c>
      <c r="AG4" s="12" t="str">
        <f>IF(COUNT(AC4:AF4)=4,SUM(AC4:AF4),"")</f>
        <v/>
      </c>
    </row>
    <row r="5">
      <c r="B5" s="9" t="n">
        <v>2</v>
      </c>
      <c r="C5" s="13" t="inlineStr">
        <is>
          <t>COGS (cash)</t>
        </is>
      </c>
      <c r="D5" s="11">
        <f>IF(D$3=0,"",SUMIFS(INDEX(Inputs!$D$4:$AG$200,0,MATCH(D$2,Inputs!$D$2:$AG$2,0)),Inputs!$B$4:$B$200,$B5)/1000)</f>
        <v>-12538</v>
      </c>
      <c r="E5" s="11">
        <f>IF(E$3=0,"",SUMIFS(INDEX(Inputs!$D$4:$AG$200,0,MATCH(E$2,Inputs!$D$2:$AG$2,0)),Inputs!$B$4:$B$200,$B5)/1000)</f>
        <v>-13618</v>
      </c>
      <c r="F5" s="11">
        <f>IF(F$3=0,"",SUMIFS(INDEX(Inputs!$D$4:$AG$200,0,MATCH(F$2,Inputs!$D$2:$AG$2,0)),Inputs!$B$4:$B$200,$B5)/1000)</f>
        <v>-13401</v>
      </c>
      <c r="G5" s="11">
        <f>IF(G$3=0,"",SUMIFS(INDEX(Inputs!$D$4:$AG$200,0,MATCH(G$2,Inputs!$D$2:$AG$2,0)),Inputs!$B$4:$B$200,$B5)/1000)</f>
        <v>-14338</v>
      </c>
      <c r="H5" s="12">
        <f>IF(COUNT(D5:G5)=4,SUM(D5:G5),"")</f>
        <v>-53895</v>
      </c>
      <c r="I5" s="11">
        <f>IF(I$3=0,"",SUMIFS(INDEX(Inputs!$D$4:$AG$200,0,MATCH(I$2,Inputs!$D$2:$AG$2,0)),Inputs!$B$4:$B$200,$B5)/1000)</f>
        <v>-9774</v>
      </c>
      <c r="J5" s="11">
        <f>IF(J$3=0,"",SUMIFS(INDEX(Inputs!$D$4:$AG$200,0,MATCH(J$2,Inputs!$D$2:$AG$2,0)),Inputs!$B$4:$B$200,$B5)/1000)</f>
        <v>-10525</v>
      </c>
      <c r="K5" s="11">
        <f>IF(K$3=0,"",SUMIFS(INDEX(Inputs!$D$4:$AG$200,0,MATCH(K$2,Inputs!$D$2:$AG$2,0)),Inputs!$B$4:$B$200,$B5)/1000)</f>
        <v>-11534</v>
      </c>
      <c r="L5" s="11">
        <f>IF(L$3=0,"",SUMIFS(INDEX(Inputs!$D$4:$AG$200,0,MATCH(L$2,Inputs!$D$2:$AG$2,0)),Inputs!$B$4:$B$200,$B5)/1000)</f>
        <v>-12440</v>
      </c>
      <c r="M5" s="12">
        <f>IF(COUNT(I5:L5)=4,SUM(I5:L5),"")</f>
        <v>-44273</v>
      </c>
      <c r="N5" s="11">
        <f>IF(N$3=0,"",SUMIFS(INDEX(Inputs!$D$4:$AG$200,0,MATCH(N$2,Inputs!$D$2:$AG$2,0)),Inputs!$B$4:$B$200,$B5)/1000)</f>
        <v>-4998</v>
      </c>
      <c r="O5" s="11">
        <f>IF(O$3=0,"",SUMIFS(INDEX(Inputs!$D$4:$AG$200,0,MATCH(O$2,Inputs!$D$2:$AG$2,0)),Inputs!$B$4:$B$200,$B5)/1000)</f>
        <v>-5693</v>
      </c>
      <c r="P5" s="11">
        <f>IF(P$3=0,"",SUMIFS(INDEX(Inputs!$D$4:$AG$200,0,MATCH(P$2,Inputs!$D$2:$AG$2,0)),Inputs!$B$4:$B$200,$B5)/1000)</f>
        <v>-5992</v>
      </c>
      <c r="Q5" s="11">
        <f>IF(Q$3=0,"",SUMIFS(INDEX(Inputs!$D$4:$AG$200,0,MATCH(Q$2,Inputs!$D$2:$AG$2,0)),Inputs!$B$4:$B$200,$B5)/1000)</f>
        <v>-6256</v>
      </c>
      <c r="R5" s="12">
        <f>IF(COUNT(N5:Q5)=4,SUM(N5:Q5),"")</f>
        <v>-22939</v>
      </c>
      <c r="S5" s="11">
        <f>IF(S$3=0,"",SUMIFS(INDEX(Inputs!$D$4:$AG$200,0,MATCH(S$2,Inputs!$D$2:$AG$2,0)),Inputs!$B$4:$B$200,$B5)/1000)</f>
        <v>-5747</v>
      </c>
      <c r="T5" s="11">
        <f>IF(T$3=0,"",SUMIFS(INDEX(Inputs!$D$4:$AG$200,0,MATCH(T$2,Inputs!$D$2:$AG$2,0)),Inputs!$B$4:$B$200,$B5)/1000)</f>
        <v>-5574</v>
      </c>
      <c r="U5" s="11">
        <f>IF(U$3=0,"",SUMIFS(INDEX(Inputs!$D$4:$AG$200,0,MATCH(U$2,Inputs!$D$2:$AG$2,0)),Inputs!$B$4:$B$200,$B5)/1000)</f>
        <v>-6226</v>
      </c>
      <c r="V5" s="11">
        <f>IF(V$3=0,"",SUMIFS(INDEX(Inputs!$D$4:$AG$200,0,MATCH(V$2,Inputs!$D$2:$AG$2,0)),Inputs!$B$4:$B$200,$B5)/1000)</f>
        <v>-6761</v>
      </c>
      <c r="W5" s="12">
        <f>IF(COUNT(S5:V5)=4,SUM(S5:V5),"")</f>
        <v>-24308</v>
      </c>
      <c r="X5" s="11">
        <f>IF(X$3=0,"",SUMIFS(INDEX(Inputs!$D$4:$AG$200,0,MATCH(X$2,Inputs!$D$2:$AG$2,0)),Inputs!$B$4:$B$200,$B5)/1000)</f>
        <v>-5995</v>
      </c>
      <c r="Y5" s="11">
        <f>IF(Y$3=0,"",SUMIFS(INDEX(Inputs!$D$4:$AG$200,0,MATCH(Y$2,Inputs!$D$2:$AG$2,0)),Inputs!$B$4:$B$200,$B5)/1000)</f>
        <v>-6846</v>
      </c>
      <c r="Z5" s="11">
        <f>IF(Z$3=0,"",SUMIFS(INDEX(Inputs!$D$4:$AG$200,0,MATCH(Z$2,Inputs!$D$2:$AG$2,0)),Inputs!$B$4:$B$200,$B5)/1000)</f>
        <v>-7762</v>
      </c>
      <c r="AA5" s="11">
        <f>IF(AA$3=0,"",SUMIFS(INDEX(Inputs!$D$4:$AG$200,0,MATCH(AA$2,Inputs!$D$2:$AG$2,0)),Inputs!$B$4:$B$200,$B5)/1000)</f>
        <v>-8363</v>
      </c>
      <c r="AB5" s="12">
        <f>IF(COUNT(X5:AA5)=4,SUM(X5:AA5),"")</f>
        <v>-28966</v>
      </c>
      <c r="AC5" s="11">
        <f>IF(AC$3=0,"",SUMIFS(INDEX(Inputs!$D$4:$AG$200,0,MATCH(AC$2,Inputs!$D$2:$AG$2,0)),Inputs!$B$4:$B$200,$B5)/1000)</f>
        <v>-7922</v>
      </c>
      <c r="AD5" s="11">
        <f>IF(AD$3=0,"",SUMIFS(INDEX(Inputs!$D$4:$AG$200,0,MATCH(AD$2,Inputs!$D$2:$AG$2,0)),Inputs!$B$4:$B$200,$B5)/1000)</f>
        <v>-8673</v>
      </c>
      <c r="AE5" s="11" t="str">
        <f>IF(AE$3=0,"",SUMIFS(INDEX(Inputs!$D$4:$AG$200,0,MATCH(AE$2,Inputs!$D$2:$AG$2,0)),Inputs!$B$4:$B$200,$B5)/1000)</f>
        <v/>
      </c>
      <c r="AF5" s="11" t="str">
        <f>IF(AF$3=0,"",SUMIFS(INDEX(Inputs!$D$4:$AG$200,0,MATCH(AF$2,Inputs!$D$2:$AG$2,0)),Inputs!$B$4:$B$200,$B5)/1000)</f>
        <v/>
      </c>
      <c r="AG5" s="12" t="str">
        <f>IF(COUNT(AC5:AF5)=4,SUM(AC5:AF5),"")</f>
        <v/>
      </c>
    </row>
    <row r="6">
      <c r="B6" s="9" t="n">
        <v>3</v>
      </c>
      <c r="C6" s="13" t="inlineStr">
        <is>
          <t>SG&amp;A and Other (cash)</t>
        </is>
      </c>
      <c r="D6" s="11">
        <f>IF(D$3=0,"",SUMIFS(INDEX(Inputs!$D$4:$AG$200,0,MATCH(D$2,Inputs!$D$2:$AG$2,0)),Inputs!$B$4:$B$200,$B6)/1000)</f>
        <v>-4016</v>
      </c>
      <c r="E6" s="11">
        <f>IF(E$3=0,"",SUMIFS(INDEX(Inputs!$D$4:$AG$200,0,MATCH(E$2,Inputs!$D$2:$AG$2,0)),Inputs!$B$4:$B$200,$B6)/1000)</f>
        <v>-5434</v>
      </c>
      <c r="F6" s="11">
        <f>IF(F$3=0,"",SUMIFS(INDEX(Inputs!$D$4:$AG$200,0,MATCH(F$2,Inputs!$D$2:$AG$2,0)),Inputs!$B$4:$B$200,$B6)/1000)</f>
        <v>-4019</v>
      </c>
      <c r="G6" s="11">
        <f>IF(G$3=0,"",SUMIFS(INDEX(Inputs!$D$4:$AG$200,0,MATCH(G$2,Inputs!$D$2:$AG$2,0)),Inputs!$B$4:$B$200,$B6)/1000)</f>
        <v>-9591</v>
      </c>
      <c r="H6" s="12">
        <f>IF(COUNT(D6:G6)=4,SUM(D6:G6),"")</f>
        <v>-23060</v>
      </c>
      <c r="I6" s="11">
        <f>IF(I$3=0,"",SUMIFS(INDEX(Inputs!$D$4:$AG$200,0,MATCH(I$2,Inputs!$D$2:$AG$2,0)),Inputs!$B$4:$B$200,$B6)/1000)</f>
        <v>-3283</v>
      </c>
      <c r="J6" s="11">
        <f>IF(J$3=0,"",SUMIFS(INDEX(Inputs!$D$4:$AG$200,0,MATCH(J$2,Inputs!$D$2:$AG$2,0)),Inputs!$B$4:$B$200,$B6)/1000)</f>
        <v>-2530</v>
      </c>
      <c r="K6" s="11">
        <f>IF(K$3=0,"",SUMIFS(INDEX(Inputs!$D$4:$AG$200,0,MATCH(K$2,Inputs!$D$2:$AG$2,0)),Inputs!$B$4:$B$200,$B6)/1000)</f>
        <v>-2565</v>
      </c>
      <c r="L6" s="11">
        <f>IF(L$3=0,"",SUMIFS(INDEX(Inputs!$D$4:$AG$200,0,MATCH(L$2,Inputs!$D$2:$AG$2,0)),Inputs!$B$4:$B$200,$B6)/1000)</f>
        <v>-8374</v>
      </c>
      <c r="M6" s="12">
        <f>IF(COUNT(I6:L6)=4,SUM(I6:L6),"")</f>
        <v>-16752</v>
      </c>
      <c r="N6" s="11">
        <f>IF(N$3=0,"",SUMIFS(INDEX(Inputs!$D$4:$AG$200,0,MATCH(N$2,Inputs!$D$2:$AG$2,0)),Inputs!$B$4:$B$200,$B6)/1000)</f>
        <v>-8441</v>
      </c>
      <c r="O6" s="11">
        <f>IF(O$3=0,"",SUMIFS(INDEX(Inputs!$D$4:$AG$200,0,MATCH(O$2,Inputs!$D$2:$AG$2,0)),Inputs!$B$4:$B$200,$B6)/1000)</f>
        <v>-1448</v>
      </c>
      <c r="P6" s="11">
        <f>IF(P$3=0,"",SUMIFS(INDEX(Inputs!$D$4:$AG$200,0,MATCH(P$2,Inputs!$D$2:$AG$2,0)),Inputs!$B$4:$B$200,$B6)/1000)</f>
        <v>-1484</v>
      </c>
      <c r="Q6" s="11">
        <f>IF(Q$3=0,"",SUMIFS(INDEX(Inputs!$D$4:$AG$200,0,MATCH(Q$2,Inputs!$D$2:$AG$2,0)),Inputs!$B$4:$B$200,$B6)/1000)</f>
        <v>-11514</v>
      </c>
      <c r="R6" s="12">
        <f>IF(COUNT(N6:Q6)=4,SUM(N6:Q6),"")</f>
        <v>-22887</v>
      </c>
      <c r="S6" s="11">
        <f>IF(S$3=0,"",SUMIFS(INDEX(Inputs!$D$4:$AG$200,0,MATCH(S$2,Inputs!$D$2:$AG$2,0)),Inputs!$B$4:$B$200,$B6)/1000)</f>
        <v>-1586</v>
      </c>
      <c r="T6" s="11">
        <f>IF(T$3=0,"",SUMIFS(INDEX(Inputs!$D$4:$AG$200,0,MATCH(T$2,Inputs!$D$2:$AG$2,0)),Inputs!$B$4:$B$200,$B6)/1000)</f>
        <v>-1563</v>
      </c>
      <c r="U6" s="11">
        <f>IF(U$3=0,"",SUMIFS(INDEX(Inputs!$D$4:$AG$200,0,MATCH(U$2,Inputs!$D$2:$AG$2,0)),Inputs!$B$4:$B$200,$B6)/1000)</f>
        <v>-2269</v>
      </c>
      <c r="V6" s="11">
        <f>IF(V$3=0,"",SUMIFS(INDEX(Inputs!$D$4:$AG$200,0,MATCH(V$2,Inputs!$D$2:$AG$2,0)),Inputs!$B$4:$B$200,$B6)/1000)</f>
        <v>-1623</v>
      </c>
      <c r="W6" s="12">
        <f>IF(COUNT(S6:V6)=4,SUM(S6:V6),"")</f>
        <v>-7041</v>
      </c>
      <c r="X6" s="11">
        <f>IF(X$3=0,"",SUMIFS(INDEX(Inputs!$D$4:$AG$200,0,MATCH(X$2,Inputs!$D$2:$AG$2,0)),Inputs!$B$4:$B$200,$B6)/1000)</f>
        <v>-1577</v>
      </c>
      <c r="Y6" s="11">
        <f>IF(Y$3=0,"",SUMIFS(INDEX(Inputs!$D$4:$AG$200,0,MATCH(Y$2,Inputs!$D$2:$AG$2,0)),Inputs!$B$4:$B$200,$B6)/1000)</f>
        <v>-1709</v>
      </c>
      <c r="Z6" s="11">
        <f>IF(Z$3=0,"",SUMIFS(INDEX(Inputs!$D$4:$AG$200,0,MATCH(Z$2,Inputs!$D$2:$AG$2,0)),Inputs!$B$4:$B$200,$B6)/1000)</f>
        <v>-1750</v>
      </c>
      <c r="AA6" s="11">
        <f>IF(AA$3=0,"",SUMIFS(INDEX(Inputs!$D$4:$AG$200,0,MATCH(AA$2,Inputs!$D$2:$AG$2,0)),Inputs!$B$4:$B$200,$B6)/1000)</f>
        <v>-1635</v>
      </c>
      <c r="AB6" s="12">
        <f>IF(COUNT(X6:AA6)=4,SUM(X6:AA6),"")</f>
        <v>-6671</v>
      </c>
      <c r="AC6" s="11">
        <f>IF(AC$3=0,"",SUMIFS(INDEX(Inputs!$D$4:$AG$200,0,MATCH(AC$2,Inputs!$D$2:$AG$2,0)),Inputs!$B$4:$B$200,$B6)/1000)</f>
        <v>-1799</v>
      </c>
      <c r="AD6" s="11">
        <f>IF(AD$3=0,"",SUMIFS(INDEX(Inputs!$D$4:$AG$200,0,MATCH(AD$2,Inputs!$D$2:$AG$2,0)),Inputs!$B$4:$B$200,$B6)/1000)</f>
        <v>-1748</v>
      </c>
      <c r="AE6" s="11" t="str">
        <f>IF(AE$3=0,"",SUMIFS(INDEX(Inputs!$D$4:$AG$200,0,MATCH(AE$2,Inputs!$D$2:$AG$2,0)),Inputs!$B$4:$B$200,$B6)/1000)</f>
        <v/>
      </c>
      <c r="AF6" s="11" t="str">
        <f>IF(AF$3=0,"",SUMIFS(INDEX(Inputs!$D$4:$AG$200,0,MATCH(AF$2,Inputs!$D$2:$AG$2,0)),Inputs!$B$4:$B$200,$B6)/1000)</f>
        <v/>
      </c>
      <c r="AG6" s="12" t="str">
        <f>IF(COUNT(AC6:AF6)=4,SUM(AC6:AF6),"")</f>
        <v/>
      </c>
    </row>
    <row r="7">
      <c r="B7" s="9" t="n">
        <v>4</v>
      </c>
      <c r="C7" s="13" t="inlineStr">
        <is>
          <t>D&amp;A</t>
        </is>
      </c>
      <c r="D7" s="11">
        <f>IF(D$3=0,"",SUMIFS(INDEX(Inputs!$D$4:$AG$200,0,MATCH(D$2,Inputs!$D$2:$AG$2,0)),Inputs!$B$4:$B$200,$B7)/1000)</f>
        <v>-452</v>
      </c>
      <c r="E7" s="11">
        <f>IF(E$3=0,"",SUMIFS(INDEX(Inputs!$D$4:$AG$200,0,MATCH(E$2,Inputs!$D$2:$AG$2,0)),Inputs!$B$4:$B$200,$B7)/1000)</f>
        <v>-483</v>
      </c>
      <c r="F7" s="11">
        <f>IF(F$3=0,"",SUMIFS(INDEX(Inputs!$D$4:$AG$200,0,MATCH(F$2,Inputs!$D$2:$AG$2,0)),Inputs!$B$4:$B$200,$B7)/1000)</f>
        <v>-455</v>
      </c>
      <c r="G7" s="11">
        <f>IF(G$3=0,"",SUMIFS(INDEX(Inputs!$D$4:$AG$200,0,MATCH(G$2,Inputs!$D$2:$AG$2,0)),Inputs!$B$4:$B$200,$B7)/1000)</f>
        <v>-481</v>
      </c>
      <c r="H7" s="12">
        <f>IF(COUNT(D7:G7)=4,SUM(D7:G7),"")</f>
        <v>-1871</v>
      </c>
      <c r="I7" s="11">
        <f>IF(I$3=0,"",SUMIFS(INDEX(Inputs!$D$4:$AG$200,0,MATCH(I$2,Inputs!$D$2:$AG$2,0)),Inputs!$B$4:$B$200,$B7)/1000)</f>
        <v>-460</v>
      </c>
      <c r="J7" s="11">
        <f>IF(J$3=0,"",SUMIFS(INDEX(Inputs!$D$4:$AG$200,0,MATCH(J$2,Inputs!$D$2:$AG$2,0)),Inputs!$B$4:$B$200,$B7)/1000)</f>
        <v>-443</v>
      </c>
      <c r="K7" s="11">
        <f>IF(K$3=0,"",SUMIFS(INDEX(Inputs!$D$4:$AG$200,0,MATCH(K$2,Inputs!$D$2:$AG$2,0)),Inputs!$B$4:$B$200,$B7)/1000)</f>
        <v>-407</v>
      </c>
      <c r="L7" s="11">
        <f>IF(L$3=0,"",SUMIFS(INDEX(Inputs!$D$4:$AG$200,0,MATCH(L$2,Inputs!$D$2:$AG$2,0)),Inputs!$B$4:$B$200,$B7)/1000)</f>
        <v>-492</v>
      </c>
      <c r="M7" s="12">
        <f>IF(COUNT(I7:L7)=4,SUM(I7:L7),"")</f>
        <v>-1802</v>
      </c>
      <c r="N7" s="11">
        <f>IF(N$3=0,"",SUMIFS(INDEX(Inputs!$D$4:$AG$200,0,MATCH(N$2,Inputs!$D$2:$AG$2,0)),Inputs!$B$4:$B$200,$B7)/1000)</f>
        <v>-367</v>
      </c>
      <c r="O7" s="11">
        <f>IF(O$3=0,"",SUMIFS(INDEX(Inputs!$D$4:$AG$200,0,MATCH(O$2,Inputs!$D$2:$AG$2,0)),Inputs!$B$4:$B$200,$B7)/1000)</f>
        <v>-352</v>
      </c>
      <c r="P7" s="11">
        <f>IF(P$3=0,"",SUMIFS(INDEX(Inputs!$D$4:$AG$200,0,MATCH(P$2,Inputs!$D$2:$AG$2,0)),Inputs!$B$4:$B$200,$B7)/1000)</f>
        <v>-378</v>
      </c>
      <c r="Q7" s="11">
        <f>IF(Q$3=0,"",SUMIFS(INDEX(Inputs!$D$4:$AG$200,0,MATCH(Q$2,Inputs!$D$2:$AG$2,0)),Inputs!$B$4:$B$200,$B7)/1000)</f>
        <v>-376</v>
      </c>
      <c r="R7" s="12">
        <f>IF(COUNT(N7:Q7)=4,SUM(N7:Q7),"")</f>
        <v>-1473</v>
      </c>
      <c r="S7" s="11">
        <f>IF(S$3=0,"",SUMIFS(INDEX(Inputs!$D$4:$AG$200,0,MATCH(S$2,Inputs!$D$2:$AG$2,0)),Inputs!$B$4:$B$200,$B7)/1000)</f>
        <v>-378</v>
      </c>
      <c r="T7" s="11">
        <f>IF(T$3=0,"",SUMIFS(INDEX(Inputs!$D$4:$AG$200,0,MATCH(T$2,Inputs!$D$2:$AG$2,0)),Inputs!$B$4:$B$200,$B7)/1000)</f>
        <v>-199</v>
      </c>
      <c r="U7" s="11">
        <f>IF(U$3=0,"",SUMIFS(INDEX(Inputs!$D$4:$AG$200,0,MATCH(U$2,Inputs!$D$2:$AG$2,0)),Inputs!$B$4:$B$200,$B7)/1000)</f>
        <v>-224</v>
      </c>
      <c r="V7" s="11">
        <f>IF(V$3=0,"",SUMIFS(INDEX(Inputs!$D$4:$AG$200,0,MATCH(V$2,Inputs!$D$2:$AG$2,0)),Inputs!$B$4:$B$200,$B7)/1000)</f>
        <v>-209</v>
      </c>
      <c r="W7" s="12">
        <f>IF(COUNT(S7:V7)=4,SUM(S7:V7),"")</f>
        <v>-1010</v>
      </c>
      <c r="X7" s="11">
        <f>IF(X$3=0,"",SUMIFS(INDEX(Inputs!$D$4:$AG$200,0,MATCH(X$2,Inputs!$D$2:$AG$2,0)),Inputs!$B$4:$B$200,$B7)/1000)</f>
        <v>-210</v>
      </c>
      <c r="Y7" s="11">
        <f>IF(Y$3=0,"",SUMIFS(INDEX(Inputs!$D$4:$AG$200,0,MATCH(Y$2,Inputs!$D$2:$AG$2,0)),Inputs!$B$4:$B$200,$B7)/1000)</f>
        <v>-219</v>
      </c>
      <c r="Z7" s="11">
        <f>IF(Z$3=0,"",SUMIFS(INDEX(Inputs!$D$4:$AG$200,0,MATCH(Z$2,Inputs!$D$2:$AG$2,0)),Inputs!$B$4:$B$200,$B7)/1000)</f>
        <v>-214</v>
      </c>
      <c r="AA7" s="11">
        <f>IF(AA$3=0,"",SUMIFS(INDEX(Inputs!$D$4:$AG$200,0,MATCH(AA$2,Inputs!$D$2:$AG$2,0)),Inputs!$B$4:$B$200,$B7)/1000)</f>
        <v>-220</v>
      </c>
      <c r="AB7" s="12">
        <f>IF(COUNT(X7:AA7)=4,SUM(X7:AA7),"")</f>
        <v>-863</v>
      </c>
      <c r="AC7" s="11">
        <f>IF(AC$3=0,"",SUMIFS(INDEX(Inputs!$D$4:$AG$200,0,MATCH(AC$2,Inputs!$D$2:$AG$2,0)),Inputs!$B$4:$B$200,$B7)/1000)</f>
        <v>-227</v>
      </c>
      <c r="AD7" s="11">
        <f>IF(AD$3=0,"",SUMIFS(INDEX(Inputs!$D$4:$AG$200,0,MATCH(AD$2,Inputs!$D$2:$AG$2,0)),Inputs!$B$4:$B$200,$B7)/1000)</f>
        <v>-224</v>
      </c>
      <c r="AE7" s="11" t="str">
        <f>IF(AE$3=0,"",SUMIFS(INDEX(Inputs!$D$4:$AG$200,0,MATCH(AE$2,Inputs!$D$2:$AG$2,0)),Inputs!$B$4:$B$200,$B7)/1000)</f>
        <v/>
      </c>
      <c r="AF7" s="11" t="str">
        <f>IF(AF$3=0,"",SUMIFS(INDEX(Inputs!$D$4:$AG$200,0,MATCH(AF$2,Inputs!$D$2:$AG$2,0)),Inputs!$B$4:$B$200,$B7)/1000)</f>
        <v/>
      </c>
      <c r="AG7" s="12" t="str">
        <f>IF(COUNT(AC7:AF7)=4,SUM(AC7:AF7),"")</f>
        <v/>
      </c>
    </row>
    <row r="8">
      <c r="B8" s="9" t="n">
        <v>5</v>
      </c>
      <c r="C8" s="14" t="inlineStr">
        <is>
          <t>Interest Expense</t>
        </is>
      </c>
      <c r="D8" s="11">
        <f>IF(D$3=0,"",SUMIFS(INDEX(Inputs!$D$4:$AG$200,0,MATCH(D$2,Inputs!$D$2:$AG$2,0)),Inputs!$B$4:$B$200,$B8)/1000)</f>
        <v>-500</v>
      </c>
      <c r="E8" s="11">
        <f>IF(E$3=0,"",SUMIFS(INDEX(Inputs!$D$4:$AG$200,0,MATCH(E$2,Inputs!$D$2:$AG$2,0)),Inputs!$B$4:$B$200,$B8)/1000)</f>
        <v>-488</v>
      </c>
      <c r="F8" s="11">
        <f>IF(F$3=0,"",SUMIFS(INDEX(Inputs!$D$4:$AG$200,0,MATCH(F$2,Inputs!$D$2:$AG$2,0)),Inputs!$B$4:$B$200,$B8)/1000)</f>
        <v>-462</v>
      </c>
      <c r="G8" s="11">
        <f>IF(G$3=0,"",SUMIFS(INDEX(Inputs!$D$4:$AG$200,0,MATCH(G$2,Inputs!$D$2:$AG$2,0)),Inputs!$B$4:$B$200,$B8)/1000)</f>
        <v>-426</v>
      </c>
      <c r="H8" s="12">
        <f>IF(COUNT(D8:G8)=4,SUM(D8:G8),"")</f>
        <v>-1876</v>
      </c>
      <c r="I8" s="11">
        <f>IF(I$3=0,"",SUMIFS(INDEX(Inputs!$D$4:$AG$200,0,MATCH(I$2,Inputs!$D$2:$AG$2,0)),Inputs!$B$4:$B$200,$B8)/1000)</f>
        <v>-387</v>
      </c>
      <c r="J8" s="11">
        <f>IF(J$3=0,"",SUMIFS(INDEX(Inputs!$D$4:$AG$200,0,MATCH(J$2,Inputs!$D$2:$AG$2,0)),Inputs!$B$4:$B$200,$B8)/1000)</f>
        <v>-368</v>
      </c>
      <c r="K8" s="11">
        <f>IF(K$3=0,"",SUMIFS(INDEX(Inputs!$D$4:$AG$200,0,MATCH(K$2,Inputs!$D$2:$AG$2,0)),Inputs!$B$4:$B$200,$B8)/1000)</f>
        <v>-374</v>
      </c>
      <c r="L8" s="11">
        <f>IF(L$3=0,"",SUMIFS(INDEX(Inputs!$D$4:$AG$200,0,MATCH(L$2,Inputs!$D$2:$AG$2,0)),Inputs!$B$4:$B$200,$B8)/1000)</f>
        <v>-416</v>
      </c>
      <c r="M8" s="12">
        <f>IF(COUNT(I8:L8)=4,SUM(I8:L8),"")</f>
        <v>-1545</v>
      </c>
      <c r="N8" s="11">
        <f>IF(N$3=0,"",SUMIFS(INDEX(Inputs!$D$4:$AG$200,0,MATCH(N$2,Inputs!$D$2:$AG$2,0)),Inputs!$B$4:$B$200,$B8)/1000)</f>
        <v>-269</v>
      </c>
      <c r="O8" s="11">
        <f>IF(O$3=0,"",SUMIFS(INDEX(Inputs!$D$4:$AG$200,0,MATCH(O$2,Inputs!$D$2:$AG$2,0)),Inputs!$B$4:$B$200,$B8)/1000)</f>
        <v>-249</v>
      </c>
      <c r="P8" s="11">
        <f>IF(P$3=0,"",SUMIFS(INDEX(Inputs!$D$4:$AG$200,0,MATCH(P$2,Inputs!$D$2:$AG$2,0)),Inputs!$B$4:$B$200,$B8)/1000)</f>
        <v>-270</v>
      </c>
      <c r="Q8" s="11">
        <f>IF(Q$3=0,"",SUMIFS(INDEX(Inputs!$D$4:$AG$200,0,MATCH(Q$2,Inputs!$D$2:$AG$2,0)),Inputs!$B$4:$B$200,$B8)/1000)</f>
        <v>-296</v>
      </c>
      <c r="R8" s="12">
        <f>IF(COUNT(N8:Q8)=4,SUM(N8:Q8),"")</f>
        <v>-1084</v>
      </c>
      <c r="S8" s="11">
        <f>IF(S$3=0,"",SUMIFS(INDEX(Inputs!$D$4:$AG$200,0,MATCH(S$2,Inputs!$D$2:$AG$2,0)),Inputs!$B$4:$B$200,$B8)/1000)</f>
        <v>-263</v>
      </c>
      <c r="T8" s="11">
        <f>IF(T$3=0,"",SUMIFS(INDEX(Inputs!$D$4:$AG$200,0,MATCH(T$2,Inputs!$D$2:$AG$2,0)),Inputs!$B$4:$B$200,$B8)/1000)</f>
        <v>-248</v>
      </c>
      <c r="U8" s="11">
        <f>IF(U$3=0,"",SUMIFS(INDEX(Inputs!$D$4:$AG$200,0,MATCH(U$2,Inputs!$D$2:$AG$2,0)),Inputs!$B$4:$B$200,$B8)/1000)</f>
        <v>-251</v>
      </c>
      <c r="V8" s="11">
        <f>IF(V$3=0,"",SUMIFS(INDEX(Inputs!$D$4:$AG$200,0,MATCH(V$2,Inputs!$D$2:$AG$2,0)),Inputs!$B$4:$B$200,$B8)/1000)</f>
        <v>-224</v>
      </c>
      <c r="W8" s="12">
        <f>IF(COUNT(S8:V8)=4,SUM(S8:V8),"")</f>
        <v>-986</v>
      </c>
      <c r="X8" s="11">
        <f>IF(X$3=0,"",SUMIFS(INDEX(Inputs!$D$4:$AG$200,0,MATCH(X$2,Inputs!$D$2:$AG$2,0)),Inputs!$B$4:$B$200,$B8)/1000)</f>
        <v>-210</v>
      </c>
      <c r="Y8" s="11">
        <f>IF(Y$3=0,"",SUMIFS(INDEX(Inputs!$D$4:$AG$200,0,MATCH(Y$2,Inputs!$D$2:$AG$2,0)),Inputs!$B$4:$B$200,$B8)/1000)</f>
        <v>-158</v>
      </c>
      <c r="Z8" s="11">
        <f>IF(Z$3=0,"",SUMIFS(INDEX(Inputs!$D$4:$AG$200,0,MATCH(Z$2,Inputs!$D$2:$AG$2,0)),Inputs!$B$4:$B$200,$B8)/1000)</f>
        <v>-225</v>
      </c>
      <c r="AA8" s="11">
        <f>IF(AA$3=0,"",SUMIFS(INDEX(Inputs!$D$4:$AG$200,0,MATCH(AA$2,Inputs!$D$2:$AG$2,0)),Inputs!$B$4:$B$200,$B8)/1000)</f>
        <v>-250</v>
      </c>
      <c r="AB8" s="12">
        <f>IF(COUNT(X8:AA8)=4,SUM(X8:AA8),"")</f>
        <v>-843</v>
      </c>
      <c r="AC8" s="11">
        <f>IF(AC$3=0,"",SUMIFS(INDEX(Inputs!$D$4:$AG$200,0,MATCH(AC$2,Inputs!$D$2:$AG$2,0)),Inputs!$B$4:$B$200,$B8)/1000)</f>
        <v>-230</v>
      </c>
      <c r="AD8" s="11">
        <f>IF(AD$3=0,"",SUMIFS(INDEX(Inputs!$D$4:$AG$200,0,MATCH(AD$2,Inputs!$D$2:$AG$2,0)),Inputs!$B$4:$B$200,$B8)/1000)</f>
        <v>-215</v>
      </c>
      <c r="AE8" s="11" t="str">
        <f>IF(AE$3=0,"",SUMIFS(INDEX(Inputs!$D$4:$AG$200,0,MATCH(AE$2,Inputs!$D$2:$AG$2,0)),Inputs!$B$4:$B$200,$B8)/1000)</f>
        <v/>
      </c>
      <c r="AF8" s="11" t="str">
        <f>IF(AF$3=0,"",SUMIFS(INDEX(Inputs!$D$4:$AG$200,0,MATCH(AF$2,Inputs!$D$2:$AG$2,0)),Inputs!$B$4:$B$200,$B8)/1000)</f>
        <v/>
      </c>
      <c r="AG8" s="12" t="str">
        <f>IF(COUNT(AC8:AF8)=4,SUM(AC8:AF8),"")</f>
        <v/>
      </c>
    </row>
    <row r="9">
      <c r="B9" s="9" t="n">
        <v>6</v>
      </c>
      <c r="C9" s="14" t="inlineStr">
        <is>
          <t>Nonoperating Income / (Loss)</t>
        </is>
      </c>
      <c r="D9" s="11">
        <f>IF(D$3=0,"",SUMIFS(INDEX(Inputs!$D$4:$AG$200,0,MATCH(D$2,Inputs!$D$2:$AG$2,0)),Inputs!$B$4:$B$200,$B9)/1000)</f>
        <v>673</v>
      </c>
      <c r="E9" s="11">
        <f>IF(E$3=0,"",SUMIFS(INDEX(Inputs!$D$4:$AG$200,0,MATCH(E$2,Inputs!$D$2:$AG$2,0)),Inputs!$B$4:$B$200,$B9)/1000)</f>
        <v>733</v>
      </c>
      <c r="F9" s="11">
        <f>IF(F$3=0,"",SUMIFS(INDEX(Inputs!$D$4:$AG$200,0,MATCH(F$2,Inputs!$D$2:$AG$2,0)),Inputs!$B$4:$B$200,$B9)/1000)</f>
        <v>352</v>
      </c>
      <c r="G9" s="11">
        <f>IF(G$3=0,"",SUMIFS(INDEX(Inputs!$D$4:$AG$200,0,MATCH(G$2,Inputs!$D$2:$AG$2,0)),Inputs!$B$4:$B$200,$B9)/1000)</f>
        <v>1066</v>
      </c>
      <c r="H9" s="12">
        <f>IF(COUNT(D9:G9)=4,SUM(D9:G9),"")</f>
        <v>2824</v>
      </c>
      <c r="I9" s="11">
        <f>IF(I$3=0,"",SUMIFS(INDEX(Inputs!$D$4:$AG$200,0,MATCH(I$2,Inputs!$D$2:$AG$2,0)),Inputs!$B$4:$B$200,$B9)/1000)</f>
        <v>49</v>
      </c>
      <c r="J9" s="11">
        <f>IF(J$3=0,"",SUMIFS(INDEX(Inputs!$D$4:$AG$200,0,MATCH(J$2,Inputs!$D$2:$AG$2,0)),Inputs!$B$4:$B$200,$B9)/1000)</f>
        <v>-1227</v>
      </c>
      <c r="K9" s="11">
        <f>IF(K$3=0,"",SUMIFS(INDEX(Inputs!$D$4:$AG$200,0,MATCH(K$2,Inputs!$D$2:$AG$2,0)),Inputs!$B$4:$B$200,$B9)/1000)</f>
        <v>178</v>
      </c>
      <c r="L9" s="11">
        <f>IF(L$3=0,"",SUMIFS(INDEX(Inputs!$D$4:$AG$200,0,MATCH(L$2,Inputs!$D$2:$AG$2,0)),Inputs!$B$4:$B$200,$B9)/1000)</f>
        <v>7131</v>
      </c>
      <c r="M9" s="12">
        <f>IF(COUNT(I9:L9)=4,SUM(I9:L9),"")</f>
        <v>6131</v>
      </c>
      <c r="N9" s="11">
        <f>IF(N$3=0,"",SUMIFS(INDEX(Inputs!$D$4:$AG$200,0,MATCH(N$2,Inputs!$D$2:$AG$2,0)),Inputs!$B$4:$B$200,$B9)/1000)</f>
        <v>12731</v>
      </c>
      <c r="O9" s="11">
        <f>IF(O$3=0,"",SUMIFS(INDEX(Inputs!$D$4:$AG$200,0,MATCH(O$2,Inputs!$D$2:$AG$2,0)),Inputs!$B$4:$B$200,$B9)/1000)</f>
        <v>496</v>
      </c>
      <c r="P9" s="11">
        <f>IF(P$3=0,"",SUMIFS(INDEX(Inputs!$D$4:$AG$200,0,MATCH(P$2,Inputs!$D$2:$AG$2,0)),Inputs!$B$4:$B$200,$B9)/1000)</f>
        <v>-845</v>
      </c>
      <c r="Q9" s="11">
        <f>IF(Q$3=0,"",SUMIFS(INDEX(Inputs!$D$4:$AG$200,0,MATCH(Q$2,Inputs!$D$2:$AG$2,0)),Inputs!$B$4:$B$200,$B9)/1000)</f>
        <v>10995</v>
      </c>
      <c r="R9" s="12">
        <f>IF(COUNT(N9:Q9)=4,SUM(N9:Q9),"")</f>
        <v>23377</v>
      </c>
      <c r="S9" s="11">
        <f>IF(S$3=0,"",SUMIFS(INDEX(Inputs!$D$4:$AG$200,0,MATCH(S$2,Inputs!$D$2:$AG$2,0)),Inputs!$B$4:$B$200,$B9)/1000)</f>
        <v>1006</v>
      </c>
      <c r="T9" s="11">
        <f>IF(T$3=0,"",SUMIFS(INDEX(Inputs!$D$4:$AG$200,0,MATCH(T$2,Inputs!$D$2:$AG$2,0)),Inputs!$B$4:$B$200,$B9)/1000)</f>
        <v>-63</v>
      </c>
      <c r="U9" s="11">
        <f>IF(U$3=0,"",SUMIFS(INDEX(Inputs!$D$4:$AG$200,0,MATCH(U$2,Inputs!$D$2:$AG$2,0)),Inputs!$B$4:$B$200,$B9)/1000)</f>
        <v>1021</v>
      </c>
      <c r="V9" s="11">
        <f>IF(V$3=0,"",SUMIFS(INDEX(Inputs!$D$4:$AG$200,0,MATCH(V$2,Inputs!$D$2:$AG$2,0)),Inputs!$B$4:$B$200,$B9)/1000)</f>
        <v>298</v>
      </c>
      <c r="W9" s="12">
        <f>IF(COUNT(S9:V9)=4,SUM(S9:V9),"")</f>
        <v>2262</v>
      </c>
      <c r="X9" s="11">
        <f>IF(X$3=0,"",SUMIFS(INDEX(Inputs!$D$4:$AG$200,0,MATCH(X$2,Inputs!$D$2:$AG$2,0)),Inputs!$B$4:$B$200,$B9)/1000)</f>
        <v>302</v>
      </c>
      <c r="Y9" s="11">
        <f>IF(Y$3=0,"",SUMIFS(INDEX(Inputs!$D$4:$AG$200,0,MATCH(Y$2,Inputs!$D$2:$AG$2,0)),Inputs!$B$4:$B$200,$B9)/1000)</f>
        <v>298</v>
      </c>
      <c r="Z9" s="11">
        <f>IF(Z$3=0,"",SUMIFS(INDEX(Inputs!$D$4:$AG$200,0,MATCH(Z$2,Inputs!$D$2:$AG$2,0)),Inputs!$B$4:$B$200,$B9)/1000)</f>
        <v>285</v>
      </c>
      <c r="AA9" s="11">
        <f>IF(AA$3=0,"",SUMIFS(INDEX(Inputs!$D$4:$AG$200,0,MATCH(AA$2,Inputs!$D$2:$AG$2,0)),Inputs!$B$4:$B$200,$B9)/1000)</f>
        <v>602</v>
      </c>
      <c r="AB9" s="12">
        <f>IF(COUNT(X9:AA9)=4,SUM(X9:AA9),"")</f>
        <v>1487</v>
      </c>
      <c r="AC9" s="11">
        <f>IF(AC$3=0,"",SUMIFS(INDEX(Inputs!$D$4:$AG$200,0,MATCH(AC$2,Inputs!$D$2:$AG$2,0)),Inputs!$B$4:$B$200,$B9)/1000)</f>
        <v>-16</v>
      </c>
      <c r="AD9" s="11">
        <f>IF(AD$3=0,"",SUMIFS(INDEX(Inputs!$D$4:$AG$200,0,MATCH(AD$2,Inputs!$D$2:$AG$2,0)),Inputs!$B$4:$B$200,$B9)/1000)</f>
        <v>312</v>
      </c>
      <c r="AE9" s="11" t="str">
        <f>IF(AE$3=0,"",SUMIFS(INDEX(Inputs!$D$4:$AG$200,0,MATCH(AE$2,Inputs!$D$2:$AG$2,0)),Inputs!$B$4:$B$200,$B9)/1000)</f>
        <v/>
      </c>
      <c r="AF9" s="11" t="str">
        <f>IF(AF$3=0,"",SUMIFS(INDEX(Inputs!$D$4:$AG$200,0,MATCH(AF$2,Inputs!$D$2:$AG$2,0)),Inputs!$B$4:$B$200,$B9)/1000)</f>
        <v/>
      </c>
      <c r="AG9" s="12" t="str">
        <f>IF(COUNT(AC9:AF9)=4,SUM(AC9:AF9),"")</f>
        <v/>
      </c>
    </row>
    <row r="10">
      <c r="B10" s="9" t="n">
        <v>7</v>
      </c>
      <c r="C10" s="14" t="inlineStr">
        <is>
          <t>Taxes</t>
        </is>
      </c>
      <c r="D10" s="11">
        <f>IF(D$3=0,"",SUMIFS(INDEX(Inputs!$D$4:$AG$200,0,MATCH(D$2,Inputs!$D$2:$AG$2,0)),Inputs!$B$4:$B$200,$B10)/1000)</f>
        <v>-142</v>
      </c>
      <c r="E10" s="11">
        <f>IF(E$3=0,"",SUMIFS(INDEX(Inputs!$D$4:$AG$200,0,MATCH(E$2,Inputs!$D$2:$AG$2,0)),Inputs!$B$4:$B$200,$B10)/1000)</f>
        <v>466</v>
      </c>
      <c r="F10" s="11">
        <f>IF(F$3=0,"",SUMIFS(INDEX(Inputs!$D$4:$AG$200,0,MATCH(F$2,Inputs!$D$2:$AG$2,0)),Inputs!$B$4:$B$200,$B10)/1000)</f>
        <v>-2</v>
      </c>
      <c r="G10" s="11">
        <f>IF(G$3=0,"",SUMIFS(INDEX(Inputs!$D$4:$AG$200,0,MATCH(G$2,Inputs!$D$2:$AG$2,0)),Inputs!$B$4:$B$200,$B10)/1000)</f>
        <v>-37</v>
      </c>
      <c r="H10" s="12">
        <f>IF(COUNT(D10:G10)=4,SUM(D10:G10),"")</f>
        <v>285</v>
      </c>
      <c r="I10" s="11">
        <f>IF(I$3=0,"",SUMIFS(INDEX(Inputs!$D$4:$AG$200,0,MATCH(I$2,Inputs!$D$2:$AG$2,0)),Inputs!$B$4:$B$200,$B10)/1000)</f>
        <v>-29</v>
      </c>
      <c r="J10" s="11">
        <f>IF(J$3=0,"",SUMIFS(INDEX(Inputs!$D$4:$AG$200,0,MATCH(J$2,Inputs!$D$2:$AG$2,0)),Inputs!$B$4:$B$200,$B10)/1000)</f>
        <v>-161</v>
      </c>
      <c r="K10" s="11">
        <f>IF(K$3=0,"",SUMIFS(INDEX(Inputs!$D$4:$AG$200,0,MATCH(K$2,Inputs!$D$2:$AG$2,0)),Inputs!$B$4:$B$200,$B10)/1000)</f>
        <v>-13</v>
      </c>
      <c r="L10" s="11">
        <f>IF(L$3=0,"",SUMIFS(INDEX(Inputs!$D$4:$AG$200,0,MATCH(L$2,Inputs!$D$2:$AG$2,0)),Inputs!$B$4:$B$200,$B10)/1000)</f>
        <v>65</v>
      </c>
      <c r="M10" s="12">
        <f>IF(COUNT(I10:L10)=4,SUM(I10:L10),"")</f>
        <v>-138</v>
      </c>
      <c r="N10" s="11">
        <f>IF(N$3=0,"",SUMIFS(INDEX(Inputs!$D$4:$AG$200,0,MATCH(N$2,Inputs!$D$2:$AG$2,0)),Inputs!$B$4:$B$200,$B10)/1000)</f>
        <v>-271</v>
      </c>
      <c r="O10" s="11">
        <f>IF(O$3=0,"",SUMIFS(INDEX(Inputs!$D$4:$AG$200,0,MATCH(O$2,Inputs!$D$2:$AG$2,0)),Inputs!$B$4:$B$200,$B10)/1000)</f>
        <v>-253</v>
      </c>
      <c r="P10" s="11">
        <f>IF(P$3=0,"",SUMIFS(INDEX(Inputs!$D$4:$AG$200,0,MATCH(P$2,Inputs!$D$2:$AG$2,0)),Inputs!$B$4:$B$200,$B10)/1000)</f>
        <v>-26</v>
      </c>
      <c r="Q10" s="11">
        <f>IF(Q$3=0,"",SUMIFS(INDEX(Inputs!$D$4:$AG$200,0,MATCH(Q$2,Inputs!$D$2:$AG$2,0)),Inputs!$B$4:$B$200,$B10)/1000)</f>
        <v>-421</v>
      </c>
      <c r="R10" s="12">
        <f>IF(COUNT(N10:Q10)=4,SUM(N10:Q10),"")</f>
        <v>-971</v>
      </c>
      <c r="S10" s="11">
        <f>IF(S$3=0,"",SUMIFS(INDEX(Inputs!$D$4:$AG$200,0,MATCH(S$2,Inputs!$D$2:$AG$2,0)),Inputs!$B$4:$B$200,$B10)/1000)</f>
        <v>-244</v>
      </c>
      <c r="T10" s="11">
        <f>IF(T$3=0,"",SUMIFS(INDEX(Inputs!$D$4:$AG$200,0,MATCH(T$2,Inputs!$D$2:$AG$2,0)),Inputs!$B$4:$B$200,$B10)/1000)</f>
        <v>-125</v>
      </c>
      <c r="U10" s="11">
        <f>IF(U$3=0,"",SUMIFS(INDEX(Inputs!$D$4:$AG$200,0,MATCH(U$2,Inputs!$D$2:$AG$2,0)),Inputs!$B$4:$B$200,$B10)/1000)</f>
        <v>-198</v>
      </c>
      <c r="V10" s="11">
        <f>IF(V$3=0,"",SUMIFS(INDEX(Inputs!$D$4:$AG$200,0,MATCH(V$2,Inputs!$D$2:$AG$2,0)),Inputs!$B$4:$B$200,$B10)/1000)</f>
        <v>-395</v>
      </c>
      <c r="W10" s="12">
        <f>IF(COUNT(S10:V10)=4,SUM(S10:V10),"")</f>
        <v>-962</v>
      </c>
      <c r="X10" s="11">
        <f>IF(X$3=0,"",SUMIFS(INDEX(Inputs!$D$4:$AG$200,0,MATCH(X$2,Inputs!$D$2:$AG$2,0)),Inputs!$B$4:$B$200,$B10)/1000)</f>
        <v>-283</v>
      </c>
      <c r="Y10" s="11">
        <f>IF(Y$3=0,"",SUMIFS(INDEX(Inputs!$D$4:$AG$200,0,MATCH(Y$2,Inputs!$D$2:$AG$2,0)),Inputs!$B$4:$B$200,$B10)/1000)</f>
        <v>-388</v>
      </c>
      <c r="Z10" s="11">
        <f>IF(Z$3=0,"",SUMIFS(INDEX(Inputs!$D$4:$AG$200,0,MATCH(Z$2,Inputs!$D$2:$AG$2,0)),Inputs!$B$4:$B$200,$B10)/1000)</f>
        <v>-344</v>
      </c>
      <c r="AA10" s="11">
        <f>IF(AA$3=0,"",SUMIFS(INDEX(Inputs!$D$4:$AG$200,0,MATCH(AA$2,Inputs!$D$2:$AG$2,0)),Inputs!$B$4:$B$200,$B10)/1000)</f>
        <v>-390</v>
      </c>
      <c r="AB10" s="12">
        <f>IF(COUNT(X10:AA10)=4,SUM(X10:AA10),"")</f>
        <v>-1405</v>
      </c>
      <c r="AC10" s="11">
        <f>IF(AC$3=0,"",SUMIFS(INDEX(Inputs!$D$4:$AG$200,0,MATCH(AC$2,Inputs!$D$2:$AG$2,0)),Inputs!$B$4:$B$200,$B10)/1000)</f>
        <v>-252</v>
      </c>
      <c r="AD10" s="11">
        <f>IF(AD$3=0,"",SUMIFS(INDEX(Inputs!$D$4:$AG$200,0,MATCH(AD$2,Inputs!$D$2:$AG$2,0)),Inputs!$B$4:$B$200,$B10)/1000)</f>
        <v>-407</v>
      </c>
      <c r="AE10" s="11" t="str">
        <f>IF(AE$3=0,"",SUMIFS(INDEX(Inputs!$D$4:$AG$200,0,MATCH(AE$2,Inputs!$D$2:$AG$2,0)),Inputs!$B$4:$B$200,$B10)/1000)</f>
        <v/>
      </c>
      <c r="AF10" s="11" t="str">
        <f>IF(AF$3=0,"",SUMIFS(INDEX(Inputs!$D$4:$AG$200,0,MATCH(AF$2,Inputs!$D$2:$AG$2,0)),Inputs!$B$4:$B$200,$B10)/1000)</f>
        <v/>
      </c>
      <c r="AG10" s="12" t="str">
        <f>IF(COUNT(AC10:AF10)=4,SUM(AC10:AF10),"")</f>
        <v/>
      </c>
    </row>
    <row r="11">
      <c r="B11" s="9" t="n">
        <v>8</v>
      </c>
      <c r="C11" s="14" t="inlineStr">
        <is>
          <t>Equity in Income of Affiliates, after tax (enter as +)</t>
        </is>
      </c>
      <c r="D11" s="11">
        <f>IF(D$3=0,"",SUMIFS(INDEX(Inputs!$D$4:$AG$200,0,MATCH(D$2,Inputs!$D$2:$AG$2,0)),Inputs!$B$4:$B$200,$B11)/1000)</f>
        <v>-2893</v>
      </c>
      <c r="E11" s="11">
        <f>IF(E$3=0,"",SUMIFS(INDEX(Inputs!$D$4:$AG$200,0,MATCH(E$2,Inputs!$D$2:$AG$2,0)),Inputs!$B$4:$B$200,$B11)/1000)</f>
        <v>-563</v>
      </c>
      <c r="F11" s="11">
        <f>IF(F$3=0,"",SUMIFS(INDEX(Inputs!$D$4:$AG$200,0,MATCH(F$2,Inputs!$D$2:$AG$2,0)),Inputs!$B$4:$B$200,$B11)/1000)</f>
        <v>602</v>
      </c>
      <c r="G11" s="11">
        <f>IF(G$3=0,"",SUMIFS(INDEX(Inputs!$D$4:$AG$200,0,MATCH(G$2,Inputs!$D$2:$AG$2,0)),Inputs!$B$4:$B$200,$B11)/1000)</f>
        <v>-338</v>
      </c>
      <c r="H11" s="12">
        <f>IF(COUNT(D11:G11)=4,SUM(D11:G11),"")</f>
        <v>-3192</v>
      </c>
      <c r="I11" s="11">
        <f>IF(I$3=0,"",SUMIFS(INDEX(Inputs!$D$4:$AG$200,0,MATCH(I$2,Inputs!$D$2:$AG$2,0)),Inputs!$B$4:$B$200,$B11)/1000)</f>
        <v>101</v>
      </c>
      <c r="J11" s="11">
        <f>IF(J$3=0,"",SUMIFS(INDEX(Inputs!$D$4:$AG$200,0,MATCH(J$2,Inputs!$D$2:$AG$2,0)),Inputs!$B$4:$B$200,$B11)/1000)</f>
        <v>264</v>
      </c>
      <c r="K11" s="11">
        <f>IF(K$3=0,"",SUMIFS(INDEX(Inputs!$D$4:$AG$200,0,MATCH(K$2,Inputs!$D$2:$AG$2,0)),Inputs!$B$4:$B$200,$B11)/1000)</f>
        <v>410</v>
      </c>
      <c r="L11" s="11">
        <f>IF(L$3=0,"",SUMIFS(INDEX(Inputs!$D$4:$AG$200,0,MATCH(L$2,Inputs!$D$2:$AG$2,0)),Inputs!$B$4:$B$200,$B11)/1000)</f>
        <v>-89</v>
      </c>
      <c r="M11" s="12">
        <f>IF(COUNT(I11:L11)=4,SUM(I11:L11),"")</f>
        <v>686</v>
      </c>
      <c r="N11" s="11">
        <f>IF(N$3=0,"",SUMIFS(INDEX(Inputs!$D$4:$AG$200,0,MATCH(N$2,Inputs!$D$2:$AG$2,0)),Inputs!$B$4:$B$200,$B11)/1000)</f>
        <v>1260</v>
      </c>
      <c r="O11" s="11">
        <f>IF(O$3=0,"",SUMIFS(INDEX(Inputs!$D$4:$AG$200,0,MATCH(O$2,Inputs!$D$2:$AG$2,0)),Inputs!$B$4:$B$200,$B11)/1000)</f>
        <v>-1219</v>
      </c>
      <c r="P11" s="11">
        <f>IF(P$3=0,"",SUMIFS(INDEX(Inputs!$D$4:$AG$200,0,MATCH(P$2,Inputs!$D$2:$AG$2,0)),Inputs!$B$4:$B$200,$B11)/1000)</f>
        <v>31</v>
      </c>
      <c r="Q11" s="11">
        <f>IF(Q$3=0,"",SUMIFS(INDEX(Inputs!$D$4:$AG$200,0,MATCH(Q$2,Inputs!$D$2:$AG$2,0)),Inputs!$B$4:$B$200,$B11)/1000)</f>
        <v>1</v>
      </c>
      <c r="R11" s="12">
        <f>IF(COUNT(N11:Q11)=4,SUM(N11:Q11),"")</f>
        <v>73</v>
      </c>
      <c r="S11" s="11">
        <f>IF(S$3=0,"",SUMIFS(INDEX(Inputs!$D$4:$AG$200,0,MATCH(S$2,Inputs!$D$2:$AG$2,0)),Inputs!$B$4:$B$200,$B11)/1000)</f>
        <v>-177</v>
      </c>
      <c r="T11" s="11">
        <f>IF(T$3=0,"",SUMIFS(INDEX(Inputs!$D$4:$AG$200,0,MATCH(T$2,Inputs!$D$2:$AG$2,0)),Inputs!$B$4:$B$200,$B11)/1000)</f>
        <v>-54</v>
      </c>
      <c r="U11" s="11">
        <f>IF(U$3=0,"",SUMIFS(INDEX(Inputs!$D$4:$AG$200,0,MATCH(U$2,Inputs!$D$2:$AG$2,0)),Inputs!$B$4:$B$200,$B11)/1000)</f>
        <v>147</v>
      </c>
      <c r="V11" s="11">
        <f>IF(V$3=0,"",SUMIFS(INDEX(Inputs!$D$4:$AG$200,0,MATCH(V$2,Inputs!$D$2:$AG$2,0)),Inputs!$B$4:$B$200,$B11)/1000)</f>
        <v>-7</v>
      </c>
      <c r="W11" s="12">
        <f>IF(COUNT(S11:V11)=4,SUM(S11:V11),"")</f>
        <v>-91</v>
      </c>
      <c r="X11" s="11">
        <f>IF(X$3=0,"",SUMIFS(INDEX(Inputs!$D$4:$AG$200,0,MATCH(X$2,Inputs!$D$2:$AG$2,0)),Inputs!$B$4:$B$200,$B11)/1000)</f>
        <v>11</v>
      </c>
      <c r="Y11" s="11">
        <f>IF(Y$3=0,"",SUMIFS(INDEX(Inputs!$D$4:$AG$200,0,MATCH(Y$2,Inputs!$D$2:$AG$2,0)),Inputs!$B$4:$B$200,$B11)/1000)</f>
        <v>20</v>
      </c>
      <c r="Z11" s="11">
        <f>IF(Z$3=0,"",SUMIFS(INDEX(Inputs!$D$4:$AG$200,0,MATCH(Z$2,Inputs!$D$2:$AG$2,0)),Inputs!$B$4:$B$200,$B11)/1000)</f>
        <v>-17</v>
      </c>
      <c r="AA11" s="11">
        <f>IF(AA$3=0,"",SUMIFS(INDEX(Inputs!$D$4:$AG$200,0,MATCH(AA$2,Inputs!$D$2:$AG$2,0)),Inputs!$B$4:$B$200,$B11)/1000)</f>
        <v>90</v>
      </c>
      <c r="AB11" s="12">
        <f>IF(COUNT(X11:AA11)=4,SUM(X11:AA11),"")</f>
        <v>104</v>
      </c>
      <c r="AC11" s="11">
        <f>IF(AC$3=0,"",SUMIFS(INDEX(Inputs!$D$4:$AG$200,0,MATCH(AC$2,Inputs!$D$2:$AG$2,0)),Inputs!$B$4:$B$200,$B11)/1000)</f>
        <v>-26</v>
      </c>
      <c r="AD11" s="11">
        <f>IF(AD$3=0,"",SUMIFS(INDEX(Inputs!$D$4:$AG$200,0,MATCH(AD$2,Inputs!$D$2:$AG$2,0)),Inputs!$B$4:$B$200,$B11)/1000)</f>
        <v>-37</v>
      </c>
      <c r="AE11" s="11" t="str">
        <f>IF(AE$3=0,"",SUMIFS(INDEX(Inputs!$D$4:$AG$200,0,MATCH(AE$2,Inputs!$D$2:$AG$2,0)),Inputs!$B$4:$B$200,$B11)/1000)</f>
        <v/>
      </c>
      <c r="AF11" s="11" t="str">
        <f>IF(AF$3=0,"",SUMIFS(INDEX(Inputs!$D$4:$AG$200,0,MATCH(AF$2,Inputs!$D$2:$AG$2,0)),Inputs!$B$4:$B$200,$B11)/1000)</f>
        <v/>
      </c>
      <c r="AG11" s="12" t="str">
        <f>IF(COUNT(AC11:AF11)=4,SUM(AC11:AF11),"")</f>
        <v/>
      </c>
    </row>
    <row r="12">
      <c r="B12" s="9" t="n">
        <v>9</v>
      </c>
      <c r="C12" s="14" t="inlineStr">
        <is>
          <t>Minority Interest Expense, after tax (enter as - )</t>
        </is>
      </c>
      <c r="D12" s="11">
        <f>IF(D$3=0,"",SUMIFS(INDEX(Inputs!$D$4:$AG$200,0,MATCH(D$2,Inputs!$D$2:$AG$2,0)),Inputs!$B$4:$B$200,$B12)/1000)</f>
        <v>-5</v>
      </c>
      <c r="E12" s="11">
        <f>IF(E$3=0,"",SUMIFS(INDEX(Inputs!$D$4:$AG$200,0,MATCH(E$2,Inputs!$D$2:$AG$2,0)),Inputs!$B$4:$B$200,$B12)/1000)</f>
        <v>3</v>
      </c>
      <c r="F12" s="11">
        <f>IF(F$3=0,"",SUMIFS(INDEX(Inputs!$D$4:$AG$200,0,MATCH(F$2,Inputs!$D$2:$AG$2,0)),Inputs!$B$4:$B$200,$B12)/1000)</f>
        <v>73</v>
      </c>
      <c r="G12" s="11">
        <f>IF(G$3=0,"",SUMIFS(INDEX(Inputs!$D$4:$AG$200,0,MATCH(G$2,Inputs!$D$2:$AG$2,0)),Inputs!$B$4:$B$200,$B12)/1000)</f>
        <v>-1</v>
      </c>
      <c r="H12" s="12">
        <f>IF(COUNT(D12:G12)=4,SUM(D12:G12),"")</f>
        <v>70</v>
      </c>
      <c r="I12" s="11">
        <f>IF(I$3=0,"",SUMIFS(INDEX(Inputs!$D$4:$AG$200,0,MATCH(I$2,Inputs!$D$2:$AG$2,0)),Inputs!$B$4:$B$200,$B12)/1000)</f>
        <v>-28</v>
      </c>
      <c r="J12" s="11">
        <f>IF(J$3=0,"",SUMIFS(INDEX(Inputs!$D$4:$AG$200,0,MATCH(J$2,Inputs!$D$2:$AG$2,0)),Inputs!$B$4:$B$200,$B12)/1000)</f>
        <v>-19</v>
      </c>
      <c r="K12" s="11">
        <f>IF(K$3=0,"",SUMIFS(INDEX(Inputs!$D$4:$AG$200,0,MATCH(K$2,Inputs!$D$2:$AG$2,0)),Inputs!$B$4:$B$200,$B12)/1000)</f>
        <v>-4</v>
      </c>
      <c r="L12" s="11">
        <f>IF(L$3=0,"",SUMIFS(INDEX(Inputs!$D$4:$AG$200,0,MATCH(L$2,Inputs!$D$2:$AG$2,0)),Inputs!$B$4:$B$200,$B12)/1000)</f>
        <v>-16</v>
      </c>
      <c r="M12" s="12">
        <f>IF(COUNT(I12:L12)=4,SUM(I12:L12),"")</f>
        <v>-67</v>
      </c>
      <c r="N12" s="11">
        <f>IF(N$3=0,"",SUMIFS(INDEX(Inputs!$D$4:$AG$200,0,MATCH(N$2,Inputs!$D$2:$AG$2,0)),Inputs!$B$4:$B$200,$B12)/1000)</f>
        <v>27</v>
      </c>
      <c r="O12" s="11">
        <f>IF(O$3=0,"",SUMIFS(INDEX(Inputs!$D$4:$AG$200,0,MATCH(O$2,Inputs!$D$2:$AG$2,0)),Inputs!$B$4:$B$200,$B12)/1000)</f>
        <v>-4</v>
      </c>
      <c r="P12" s="11">
        <f>IF(P$3=0,"",SUMIFS(INDEX(Inputs!$D$4:$AG$200,0,MATCH(P$2,Inputs!$D$2:$AG$2,0)),Inputs!$B$4:$B$200,$B12)/1000)</f>
        <v>14</v>
      </c>
      <c r="Q12" s="11">
        <f>IF(Q$3=0,"",SUMIFS(INDEX(Inputs!$D$4:$AG$200,0,MATCH(Q$2,Inputs!$D$2:$AG$2,0)),Inputs!$B$4:$B$200,$B12)/1000)</f>
        <v>0</v>
      </c>
      <c r="R12" s="12">
        <f>IF(COUNT(N12:Q12)=4,SUM(N12:Q12),"")</f>
        <v>37</v>
      </c>
      <c r="S12" s="11">
        <f>IF(S$3=0,"",SUMIFS(INDEX(Inputs!$D$4:$AG$200,0,MATCH(S$2,Inputs!$D$2:$AG$2,0)),Inputs!$B$4:$B$200,$B12)/1000)</f>
        <v>-27</v>
      </c>
      <c r="T12" s="11">
        <f>IF(T$3=0,"",SUMIFS(INDEX(Inputs!$D$4:$AG$200,0,MATCH(T$2,Inputs!$D$2:$AG$2,0)),Inputs!$B$4:$B$200,$B12)/1000)</f>
        <v>-2</v>
      </c>
      <c r="U12" s="11">
        <f>IF(U$3=0,"",SUMIFS(INDEX(Inputs!$D$4:$AG$200,0,MATCH(U$2,Inputs!$D$2:$AG$2,0)),Inputs!$B$4:$B$200,$B12)/1000)</f>
        <v>10</v>
      </c>
      <c r="V12" s="11">
        <f>IF(V$3=0,"",SUMIFS(INDEX(Inputs!$D$4:$AG$200,0,MATCH(V$2,Inputs!$D$2:$AG$2,0)),Inputs!$B$4:$B$200,$B12)/1000)</f>
        <v>8</v>
      </c>
      <c r="W12" s="12">
        <f>IF(COUNT(S12:V12)=4,SUM(S12:V12),"")</f>
        <v>-11</v>
      </c>
      <c r="X12" s="11">
        <f>IF(X$3=0,"",SUMIFS(INDEX(Inputs!$D$4:$AG$200,0,MATCH(X$2,Inputs!$D$2:$AG$2,0)),Inputs!$B$4:$B$200,$B12)/1000)</f>
        <v>5</v>
      </c>
      <c r="Y12" s="11">
        <f>IF(Y$3=0,"",SUMIFS(INDEX(Inputs!$D$4:$AG$200,0,MATCH(Y$2,Inputs!$D$2:$AG$2,0)),Inputs!$B$4:$B$200,$B12)/1000)</f>
        <v>7</v>
      </c>
      <c r="Z12" s="11">
        <f>IF(Z$3=0,"",SUMIFS(INDEX(Inputs!$D$4:$AG$200,0,MATCH(Z$2,Inputs!$D$2:$AG$2,0)),Inputs!$B$4:$B$200,$B12)/1000)</f>
        <v>3</v>
      </c>
      <c r="AA12" s="11">
        <f>IF(AA$3=0,"",SUMIFS(INDEX(Inputs!$D$4:$AG$200,0,MATCH(AA$2,Inputs!$D$2:$AG$2,0)),Inputs!$B$4:$B$200,$B12)/1000)</f>
        <v>-10</v>
      </c>
      <c r="AB12" s="12">
        <f>IF(COUNT(X12:AA12)=4,SUM(X12:AA12),"")</f>
        <v>5</v>
      </c>
      <c r="AC12" s="11">
        <f>IF(AC$3=0,"",SUMIFS(INDEX(Inputs!$D$4:$AG$200,0,MATCH(AC$2,Inputs!$D$2:$AG$2,0)),Inputs!$B$4:$B$200,$B12)/1000)</f>
        <v>-16</v>
      </c>
      <c r="AD12" s="11">
        <f>IF(AD$3=0,"",SUMIFS(INDEX(Inputs!$D$4:$AG$200,0,MATCH(AD$2,Inputs!$D$2:$AG$2,0)),Inputs!$B$4:$B$200,$B12)/1000)</f>
        <v>13</v>
      </c>
      <c r="AE12" s="11" t="str">
        <f>IF(AE$3=0,"",SUMIFS(INDEX(Inputs!$D$4:$AG$200,0,MATCH(AE$2,Inputs!$D$2:$AG$2,0)),Inputs!$B$4:$B$200,$B12)/1000)</f>
        <v/>
      </c>
      <c r="AF12" s="11" t="str">
        <f>IF(AF$3=0,"",SUMIFS(INDEX(Inputs!$D$4:$AG$200,0,MATCH(AF$2,Inputs!$D$2:$AG$2,0)),Inputs!$B$4:$B$200,$B12)/1000)</f>
        <v/>
      </c>
      <c r="AG12" s="12" t="str">
        <f>IF(COUNT(AC12:AF12)=4,SUM(AC12:AF12),"")</f>
        <v/>
      </c>
    </row>
    <row r="13">
      <c r="B13" s="9" t="n">
        <v>10</v>
      </c>
      <c r="C13" s="13" t="inlineStr">
        <is>
          <t>Common Dividends</t>
        </is>
      </c>
      <c r="D13" s="11">
        <f>IF(D$3=0,"",SUMIFS(INDEX(Inputs!$D$4:$AG$200,0,MATCH(D$2,Inputs!$D$2:$AG$2,0)),Inputs!$B$4:$B$200,$B13)/1000)</f>
        <v>-148</v>
      </c>
      <c r="E13" s="11">
        <f>IF(E$3=0,"",SUMIFS(INDEX(Inputs!$D$4:$AG$200,0,MATCH(E$2,Inputs!$D$2:$AG$2,0)),Inputs!$B$4:$B$200,$B13)/1000)</f>
        <v>-144</v>
      </c>
      <c r="F13" s="11">
        <f>IF(F$3=0,"",SUMIFS(INDEX(Inputs!$D$4:$AG$200,0,MATCH(F$2,Inputs!$D$2:$AG$2,0)),Inputs!$B$4:$B$200,$B13)/1000)</f>
        <v>-139</v>
      </c>
      <c r="G13" s="11">
        <f>IF(G$3=0,"",SUMIFS(INDEX(Inputs!$D$4:$AG$200,0,MATCH(G$2,Inputs!$D$2:$AG$2,0)),Inputs!$B$4:$B$200,$B13)/1000)</f>
        <v>-144</v>
      </c>
      <c r="H13" s="12">
        <f>IF(COUNT(D13:G13)=4,SUM(D13:G13),"")</f>
        <v>-575</v>
      </c>
      <c r="I13" s="11">
        <f>IF(I$3=0,"",SUMIFS(INDEX(Inputs!$D$4:$AG$200,0,MATCH(I$2,Inputs!$D$2:$AG$2,0)),Inputs!$B$4:$B$200,$B13)/1000)</f>
        <v>-140</v>
      </c>
      <c r="J13" s="11">
        <f>IF(J$3=0,"",SUMIFS(INDEX(Inputs!$D$4:$AG$200,0,MATCH(J$2,Inputs!$D$2:$AG$2,0)),Inputs!$B$4:$B$200,$B13)/1000)</f>
        <v>-154</v>
      </c>
      <c r="K13" s="11">
        <f>IF(K$3=0,"",SUMIFS(INDEX(Inputs!$D$4:$AG$200,0,MATCH(K$2,Inputs!$D$2:$AG$2,0)),Inputs!$B$4:$B$200,$B13)/1000)</f>
        <v>-161</v>
      </c>
      <c r="L13" s="11">
        <f>IF(L$3=0,"",SUMIFS(INDEX(Inputs!$D$4:$AG$200,0,MATCH(L$2,Inputs!$D$2:$AG$2,0)),Inputs!$B$4:$B$200,$B13)/1000)</f>
        <v>-184</v>
      </c>
      <c r="M13" s="12">
        <f>IF(COUNT(I13:L13)=4,SUM(I13:L13),"")</f>
        <v>-639</v>
      </c>
      <c r="N13" s="11">
        <f>IF(N$3=0,"",SUMIFS(INDEX(Inputs!$D$4:$AG$200,0,MATCH(N$2,Inputs!$D$2:$AG$2,0)),Inputs!$B$4:$B$200,$B13)/1000)</f>
        <v>-203</v>
      </c>
      <c r="O13" s="11">
        <f>IF(O$3=0,"",SUMIFS(INDEX(Inputs!$D$4:$AG$200,0,MATCH(O$2,Inputs!$D$2:$AG$2,0)),Inputs!$B$4:$B$200,$B13)/1000)</f>
        <v>-147</v>
      </c>
      <c r="P13" s="11">
        <f>IF(P$3=0,"",SUMIFS(INDEX(Inputs!$D$4:$AG$200,0,MATCH(P$2,Inputs!$D$2:$AG$2,0)),Inputs!$B$4:$B$200,$B13)/1000)</f>
        <v>-151</v>
      </c>
      <c r="Q13" s="11">
        <f>IF(Q$3=0,"",SUMIFS(INDEX(Inputs!$D$4:$AG$200,0,MATCH(Q$2,Inputs!$D$2:$AG$2,0)),Inputs!$B$4:$B$200,$B13)/1000)</f>
        <v>-88</v>
      </c>
      <c r="R13" s="12">
        <f>IF(COUNT(N13:Q13)=4,SUM(N13:Q13),"")</f>
        <v>-589</v>
      </c>
      <c r="S13" s="11">
        <f>IF(S$3=0,"",SUMIFS(INDEX(Inputs!$D$4:$AG$200,0,MATCH(S$2,Inputs!$D$2:$AG$2,0)),Inputs!$B$4:$B$200,$B13)/1000)</f>
        <v>-86</v>
      </c>
      <c r="T13" s="11">
        <f>IF(T$3=0,"",SUMIFS(INDEX(Inputs!$D$4:$AG$200,0,MATCH(T$2,Inputs!$D$2:$AG$2,0)),Inputs!$B$4:$B$200,$B13)/1000)</f>
        <v>-308</v>
      </c>
      <c r="U13" s="11">
        <f>IF(U$3=0,"",SUMIFS(INDEX(Inputs!$D$4:$AG$200,0,MATCH(U$2,Inputs!$D$2:$AG$2,0)),Inputs!$B$4:$B$200,$B13)/1000)</f>
        <v>-308</v>
      </c>
      <c r="V13" s="11">
        <f>IF(V$3=0,"",SUMIFS(INDEX(Inputs!$D$4:$AG$200,0,MATCH(V$2,Inputs!$D$2:$AG$2,0)),Inputs!$B$4:$B$200,$B13)/1000)</f>
        <v>-306</v>
      </c>
      <c r="W13" s="12">
        <f>IF(COUNT(S13:V13)=4,SUM(S13:V13),"")</f>
        <v>-1008</v>
      </c>
      <c r="X13" s="11">
        <f>IF(X$3=0,"",SUMIFS(INDEX(Inputs!$D$4:$AG$200,0,MATCH(X$2,Inputs!$D$2:$AG$2,0)),Inputs!$B$4:$B$200,$B13)/1000)</f>
        <v>-302</v>
      </c>
      <c r="Y13" s="11">
        <f>IF(Y$3=0,"",SUMIFS(INDEX(Inputs!$D$4:$AG$200,0,MATCH(Y$2,Inputs!$D$2:$AG$2,0)),Inputs!$B$4:$B$200,$B13)/1000)</f>
        <v>-386</v>
      </c>
      <c r="Z13" s="11">
        <f>IF(Z$3=0,"",SUMIFS(INDEX(Inputs!$D$4:$AG$200,0,MATCH(Z$2,Inputs!$D$2:$AG$2,0)),Inputs!$B$4:$B$200,$B13)/1000)</f>
        <v>-383</v>
      </c>
      <c r="AA13" s="11">
        <f>IF(AA$3=0,"",SUMIFS(INDEX(Inputs!$D$4:$AG$200,0,MATCH(AA$2,Inputs!$D$2:$AG$2,0)),Inputs!$B$4:$B$200,$B13)/1000)</f>
        <v>-381</v>
      </c>
      <c r="AB13" s="12">
        <f>IF(COUNT(X13:AA13)=4,SUM(X13:AA13),"")</f>
        <v>-1452</v>
      </c>
      <c r="AC13" s="11">
        <f>IF(AC$3=0,"",SUMIFS(INDEX(Inputs!$D$4:$AG$200,0,MATCH(AC$2,Inputs!$D$2:$AG$2,0)),Inputs!$B$4:$B$200,$B13)/1000)</f>
        <v>-381</v>
      </c>
      <c r="AD13" s="11">
        <f>IF(AD$3=0,"",SUMIFS(INDEX(Inputs!$D$4:$AG$200,0,MATCH(AD$2,Inputs!$D$2:$AG$2,0)),Inputs!$B$4:$B$200,$B13)/1000)</f>
        <v>-492</v>
      </c>
      <c r="AE13" s="11" t="str">
        <f>IF(AE$3=0,"",SUMIFS(INDEX(Inputs!$D$4:$AG$200,0,MATCH(AE$2,Inputs!$D$2:$AG$2,0)),Inputs!$B$4:$B$200,$B13)/1000)</f>
        <v/>
      </c>
      <c r="AF13" s="11" t="str">
        <f>IF(AF$3=0,"",SUMIFS(INDEX(Inputs!$D$4:$AG$200,0,MATCH(AF$2,Inputs!$D$2:$AG$2,0)),Inputs!$B$4:$B$200,$B13)/1000)</f>
        <v/>
      </c>
      <c r="AG13" s="12" t="str">
        <f>IF(COUNT(AC13:AF13)=4,SUM(AC13:AF13),"")</f>
        <v/>
      </c>
    </row>
    <row r="14">
      <c r="D14" s="12" t="n"/>
    </row>
    <row r="15">
      <c r="B15" s="9" t="n">
        <v>11</v>
      </c>
      <c r="C15" s="13" t="inlineStr">
        <is>
          <t>Cash and equivalents (inc. investment securities)</t>
        </is>
      </c>
      <c r="D15" s="11">
        <f>IF(D$3=0,"",SUMIFS(INDEX(Inputs!$D$4:$AG$200,0,MATCH(D$2,Inputs!$D$2:$AG$2,0)),Inputs!$B$4:$B$200,$B15)/1000)</f>
        <v>31783</v>
      </c>
      <c r="E15" s="11">
        <f>IF(E$3=0,"",SUMIFS(INDEX(Inputs!$D$4:$AG$200,0,MATCH(E$2,Inputs!$D$2:$AG$2,0)),Inputs!$B$4:$B$200,$B15)/1000)</f>
        <v>22460</v>
      </c>
      <c r="F15" s="11">
        <f>IF(F$3=0,"",SUMIFS(INDEX(Inputs!$D$4:$AG$200,0,MATCH(F$2,Inputs!$D$2:$AG$2,0)),Inputs!$B$4:$B$200,$B15)/1000)</f>
        <v>24955</v>
      </c>
      <c r="G15" s="11">
        <f>IF(G$3=0,"",SUMIFS(INDEX(Inputs!$D$4:$AG$200,0,MATCH(G$2,Inputs!$D$2:$AG$2,0)),Inputs!$B$4:$B$200,$B15)/1000)</f>
        <v>15770</v>
      </c>
      <c r="H15" s="12">
        <f>IF(G15="","",G15)</f>
        <v>15770</v>
      </c>
      <c r="I15" s="11">
        <f>IF(I$3=0,"",SUMIFS(INDEX(Inputs!$D$4:$AG$200,0,MATCH(I$2,Inputs!$D$2:$AG$2,0)),Inputs!$B$4:$B$200,$B15)/1000)</f>
        <v>12842</v>
      </c>
      <c r="J15" s="11">
        <f>IF(J$3=0,"",SUMIFS(INDEX(Inputs!$D$4:$AG$200,0,MATCH(J$2,Inputs!$D$2:$AG$2,0)),Inputs!$B$4:$B$200,$B15)/1000)</f>
        <v>13190</v>
      </c>
      <c r="K15" s="11">
        <f>IF(K$3=0,"",SUMIFS(INDEX(Inputs!$D$4:$AG$200,0,MATCH(K$2,Inputs!$D$2:$AG$2,0)),Inputs!$B$4:$B$200,$B15)/1000)</f>
        <v>12596</v>
      </c>
      <c r="L15" s="11">
        <f>IF(L$3=0,"",SUMIFS(INDEX(Inputs!$D$4:$AG$200,0,MATCH(L$2,Inputs!$D$2:$AG$2,0)),Inputs!$B$4:$B$200,$B15)/1000)</f>
        <v>17262</v>
      </c>
      <c r="M15" s="12">
        <f>IF(L15="","",L15)</f>
        <v>17262</v>
      </c>
      <c r="N15" s="11">
        <f>IF(N$3=0,"",SUMIFS(INDEX(Inputs!$D$4:$AG$200,0,MATCH(N$2,Inputs!$D$2:$AG$2,0)),Inputs!$B$4:$B$200,$B15)/1000)</f>
        <v>12001</v>
      </c>
      <c r="O15" s="11">
        <f>IF(O$3=0,"",SUMIFS(INDEX(Inputs!$D$4:$AG$200,0,MATCH(O$2,Inputs!$D$2:$AG$2,0)),Inputs!$B$4:$B$200,$B15)/1000)</f>
        <v>12766</v>
      </c>
      <c r="P15" s="11">
        <f>IF(P$3=0,"",SUMIFS(INDEX(Inputs!$D$4:$AG$200,0,MATCH(P$2,Inputs!$D$2:$AG$2,0)),Inputs!$B$4:$B$200,$B15)/1000)</f>
        <v>13127</v>
      </c>
      <c r="Q15" s="11">
        <f>IF(Q$3=0,"",SUMIFS(INDEX(Inputs!$D$4:$AG$200,0,MATCH(Q$2,Inputs!$D$2:$AG$2,0)),Inputs!$B$4:$B$200,$B15)/1000)</f>
        <v>16967</v>
      </c>
      <c r="R15" s="12">
        <f>IF(Q15="","",Q15)</f>
        <v>16967</v>
      </c>
      <c r="S15" s="11">
        <f>IF(S$3=0,"",SUMIFS(INDEX(Inputs!$D$4:$AG$200,0,MATCH(S$2,Inputs!$D$2:$AG$2,0)),Inputs!$B$4:$B$200,$B15)/1000)</f>
        <v>18447</v>
      </c>
      <c r="T15" s="11">
        <f>IF(T$3=0,"",SUMIFS(INDEX(Inputs!$D$4:$AG$200,0,MATCH(T$2,Inputs!$D$2:$AG$2,0)),Inputs!$B$4:$B$200,$B15)/1000)</f>
        <v>12107</v>
      </c>
      <c r="U15" s="11">
        <f>IF(U$3=0,"",SUMIFS(INDEX(Inputs!$D$4:$AG$200,0,MATCH(U$2,Inputs!$D$2:$AG$2,0)),Inputs!$B$4:$B$200,$B15)/1000)</f>
        <v>13724</v>
      </c>
      <c r="V15" s="11">
        <f>IF(V$3=0,"",SUMIFS(INDEX(Inputs!$D$4:$AG$200,0,MATCH(V$2,Inputs!$D$2:$AG$2,0)),Inputs!$B$4:$B$200,$B15)/1000)</f>
        <v>13619</v>
      </c>
      <c r="W15" s="12">
        <f>IF(V15="","",V15)</f>
        <v>13619</v>
      </c>
      <c r="X15" s="11">
        <f>IF(X$3=0,"",SUMIFS(INDEX(Inputs!$D$4:$AG$200,0,MATCH(X$2,Inputs!$D$2:$AG$2,0)),Inputs!$B$4:$B$200,$B15)/1000)</f>
        <v>12405</v>
      </c>
      <c r="Y15" s="11">
        <f>IF(Y$3=0,"",SUMIFS(INDEX(Inputs!$D$4:$AG$200,0,MATCH(Y$2,Inputs!$D$2:$AG$2,0)),Inputs!$B$4:$B$200,$B15)/1000)</f>
        <v>10861</v>
      </c>
      <c r="Z15" s="11">
        <f>IF(Z$3=0,"",SUMIFS(INDEX(Inputs!$D$4:$AG$200,0,MATCH(Z$2,Inputs!$D$2:$AG$2,0)),Inputs!$B$4:$B$200,$B15)/1000)</f>
        <v>12501</v>
      </c>
      <c r="AA15" s="11">
        <f>IF(AA$3=0,"",SUMIFS(INDEX(Inputs!$D$4:$AG$200,0,MATCH(AA$2,Inputs!$D$2:$AG$2,0)),Inputs!$B$4:$B$200,$B15)/1000)</f>
        <v>12392</v>
      </c>
      <c r="AB15" s="12">
        <f>IF(AA15="","",AA15)</f>
        <v>12392</v>
      </c>
      <c r="AC15" s="11">
        <f>IF(AC$3=0,"",SUMIFS(INDEX(Inputs!$D$4:$AG$200,0,MATCH(AC$2,Inputs!$D$2:$AG$2,0)),Inputs!$B$4:$B$200,$B15)/1000)</f>
        <v>10981</v>
      </c>
      <c r="AD15" s="11">
        <f>IF(AD$3=0,"",SUMIFS(INDEX(Inputs!$D$4:$AG$200,0,MATCH(AD$2,Inputs!$D$2:$AG$2,0)),Inputs!$B$4:$B$200,$B15)/1000)</f>
        <v>9345</v>
      </c>
      <c r="AE15" s="11" t="str">
        <f>IF(AE$3=0,"",SUMIFS(INDEX(Inputs!$D$4:$AG$200,0,MATCH(AE$2,Inputs!$D$2:$AG$2,0)),Inputs!$B$4:$B$200,$B15)/1000)</f>
        <v/>
      </c>
      <c r="AF15" s="11" t="str">
        <f>IF(AF$3=0,"",SUMIFS(INDEX(Inputs!$D$4:$AG$200,0,MATCH(AF$2,Inputs!$D$2:$AG$2,0)),Inputs!$B$4:$B$200,$B15)/1000)</f>
        <v/>
      </c>
      <c r="AG15" s="12" t="str">
        <f>IF(AF15="","",AF15)</f>
        <v/>
      </c>
    </row>
    <row r="16">
      <c r="B16" s="9" t="n">
        <v>12</v>
      </c>
      <c r="C16" s="14" t="inlineStr">
        <is>
          <t>Accounts receivable</t>
        </is>
      </c>
      <c r="D16" s="11">
        <f>IF(D$3=0,"",SUMIFS(INDEX(Inputs!$D$4:$AG$200,0,MATCH(D$2,Inputs!$D$2:$AG$2,0)),Inputs!$B$4:$B$200,$B16)/1000)</f>
        <v>15381</v>
      </c>
      <c r="E16" s="11">
        <f>IF(E$3=0,"",SUMIFS(INDEX(Inputs!$D$4:$AG$200,0,MATCH(E$2,Inputs!$D$2:$AG$2,0)),Inputs!$B$4:$B$200,$B16)/1000)</f>
        <v>15190</v>
      </c>
      <c r="F16" s="11">
        <f>IF(F$3=0,"",SUMIFS(INDEX(Inputs!$D$4:$AG$200,0,MATCH(F$2,Inputs!$D$2:$AG$2,0)),Inputs!$B$4:$B$200,$B16)/1000)</f>
        <v>14874</v>
      </c>
      <c r="G16" s="11">
        <f>IF(G$3=0,"",SUMIFS(INDEX(Inputs!$D$4:$AG$200,0,MATCH(G$2,Inputs!$D$2:$AG$2,0)),Inputs!$B$4:$B$200,$B16)/1000)</f>
        <v>15620</v>
      </c>
      <c r="H16" s="12">
        <f>IF(G16="","",G16)</f>
        <v>15620</v>
      </c>
      <c r="I16" s="11">
        <f>IF(I$3=0,"",SUMIFS(INDEX(Inputs!$D$4:$AG$200,0,MATCH(I$2,Inputs!$D$2:$AG$2,0)),Inputs!$B$4:$B$200,$B16)/1000)</f>
        <v>16050</v>
      </c>
      <c r="J16" s="11">
        <f>IF(J$3=0,"",SUMIFS(INDEX(Inputs!$D$4:$AG$200,0,MATCH(J$2,Inputs!$D$2:$AG$2,0)),Inputs!$B$4:$B$200,$B16)/1000)</f>
        <v>16283</v>
      </c>
      <c r="K16" s="11">
        <f>IF(K$3=0,"",SUMIFS(INDEX(Inputs!$D$4:$AG$200,0,MATCH(K$2,Inputs!$D$2:$AG$2,0)),Inputs!$B$4:$B$200,$B16)/1000)</f>
        <v>17197</v>
      </c>
      <c r="L16" s="11">
        <f>IF(L$3=0,"",SUMIFS(INDEX(Inputs!$D$4:$AG$200,0,MATCH(L$2,Inputs!$D$2:$AG$2,0)),Inputs!$B$4:$B$200,$B16)/1000)</f>
        <v>17976</v>
      </c>
      <c r="M16" s="12">
        <f>IF(L16="","",L16)</f>
        <v>17976</v>
      </c>
      <c r="N16" s="11">
        <f>IF(N$3=0,"",SUMIFS(INDEX(Inputs!$D$4:$AG$200,0,MATCH(N$2,Inputs!$D$2:$AG$2,0)),Inputs!$B$4:$B$200,$B16)/1000)</f>
        <v>14212</v>
      </c>
      <c r="O16" s="11">
        <f>IF(O$3=0,"",SUMIFS(INDEX(Inputs!$D$4:$AG$200,0,MATCH(O$2,Inputs!$D$2:$AG$2,0)),Inputs!$B$4:$B$200,$B16)/1000)</f>
        <v>14767</v>
      </c>
      <c r="P16" s="11">
        <f>IF(P$3=0,"",SUMIFS(INDEX(Inputs!$D$4:$AG$200,0,MATCH(P$2,Inputs!$D$2:$AG$2,0)),Inputs!$B$4:$B$200,$B16)/1000)</f>
        <v>14546</v>
      </c>
      <c r="Q16" s="11">
        <f>IF(Q$3=0,"",SUMIFS(INDEX(Inputs!$D$4:$AG$200,0,MATCH(Q$2,Inputs!$D$2:$AG$2,0)),Inputs!$B$4:$B$200,$B16)/1000)</f>
        <v>15466</v>
      </c>
      <c r="R16" s="12">
        <f>IF(Q16="","",Q16)</f>
        <v>15466</v>
      </c>
      <c r="S16" s="11">
        <f>IF(S$3=0,"",SUMIFS(INDEX(Inputs!$D$4:$AG$200,0,MATCH(S$2,Inputs!$D$2:$AG$2,0)),Inputs!$B$4:$B$200,$B16)/1000)</f>
        <v>15100</v>
      </c>
      <c r="T16" s="11">
        <f>IF(T$3=0,"",SUMIFS(INDEX(Inputs!$D$4:$AG$200,0,MATCH(T$2,Inputs!$D$2:$AG$2,0)),Inputs!$B$4:$B$200,$B16)/1000)</f>
        <v>8370</v>
      </c>
      <c r="U16" s="11">
        <f>IF(U$3=0,"",SUMIFS(INDEX(Inputs!$D$4:$AG$200,0,MATCH(U$2,Inputs!$D$2:$AG$2,0)),Inputs!$B$4:$B$200,$B16)/1000)</f>
        <v>8936</v>
      </c>
      <c r="V16" s="11">
        <f>IF(V$3=0,"",SUMIFS(INDEX(Inputs!$D$4:$AG$200,0,MATCH(V$2,Inputs!$D$2:$AG$2,0)),Inputs!$B$4:$B$200,$B16)/1000)</f>
        <v>9327</v>
      </c>
      <c r="W16" s="12">
        <f>IF(V16="","",V16)</f>
        <v>9327</v>
      </c>
      <c r="X16" s="11">
        <f>IF(X$3=0,"",SUMIFS(INDEX(Inputs!$D$4:$AG$200,0,MATCH(X$2,Inputs!$D$2:$AG$2,0)),Inputs!$B$4:$B$200,$B16)/1000)</f>
        <v>9653</v>
      </c>
      <c r="Y16" s="11">
        <f>IF(Y$3=0,"",SUMIFS(INDEX(Inputs!$D$4:$AG$200,0,MATCH(Y$2,Inputs!$D$2:$AG$2,0)),Inputs!$B$4:$B$200,$B16)/1000)</f>
        <v>10512</v>
      </c>
      <c r="Z16" s="11">
        <f>IF(Z$3=0,"",SUMIFS(INDEX(Inputs!$D$4:$AG$200,0,MATCH(Z$2,Inputs!$D$2:$AG$2,0)),Inputs!$B$4:$B$200,$B16)/1000)</f>
        <v>10671</v>
      </c>
      <c r="AA16" s="11">
        <f>IF(AA$3=0,"",SUMIFS(INDEX(Inputs!$D$4:$AG$200,0,MATCH(AA$2,Inputs!$D$2:$AG$2,0)),Inputs!$B$4:$B$200,$B16)/1000)</f>
        <v>11773</v>
      </c>
      <c r="AB16" s="12">
        <f>IF(AA16="","",AA16)</f>
        <v>11773</v>
      </c>
      <c r="AC16" s="11">
        <f>IF(AC$3=0,"",SUMIFS(INDEX(Inputs!$D$4:$AG$200,0,MATCH(AC$2,Inputs!$D$2:$AG$2,0)),Inputs!$B$4:$B$200,$B16)/1000)</f>
        <v>12466</v>
      </c>
      <c r="AD16" s="11">
        <f>IF(AD$3=0,"",SUMIFS(INDEX(Inputs!$D$4:$AG$200,0,MATCH(AD$2,Inputs!$D$2:$AG$2,0)),Inputs!$B$4:$B$200,$B16)/1000)</f>
        <v>12360</v>
      </c>
      <c r="AE16" s="11" t="str">
        <f>IF(AE$3=0,"",SUMIFS(INDEX(Inputs!$D$4:$AG$200,0,MATCH(AE$2,Inputs!$D$2:$AG$2,0)),Inputs!$B$4:$B$200,$B16)/1000)</f>
        <v/>
      </c>
      <c r="AF16" s="11" t="str">
        <f>IF(AF$3=0,"",SUMIFS(INDEX(Inputs!$D$4:$AG$200,0,MATCH(AF$2,Inputs!$D$2:$AG$2,0)),Inputs!$B$4:$B$200,$B16)/1000)</f>
        <v/>
      </c>
      <c r="AG16" s="12" t="str">
        <f>IF(AF16="","",AF16)</f>
        <v/>
      </c>
    </row>
    <row r="17">
      <c r="B17" s="9" t="n">
        <v>13</v>
      </c>
      <c r="C17" s="14" t="inlineStr">
        <is>
          <t>Inventories</t>
        </is>
      </c>
      <c r="D17" s="11">
        <f>IF(D$3=0,"",SUMIFS(INDEX(Inputs!$D$4:$AG$200,0,MATCH(D$2,Inputs!$D$2:$AG$2,0)),Inputs!$B$4:$B$200,$B17)/1000)</f>
        <v>16530</v>
      </c>
      <c r="E17" s="11">
        <f>IF(E$3=0,"",SUMIFS(INDEX(Inputs!$D$4:$AG$200,0,MATCH(E$2,Inputs!$D$2:$AG$2,0)),Inputs!$B$4:$B$200,$B17)/1000)</f>
        <v>17016</v>
      </c>
      <c r="F17" s="11">
        <f>IF(F$3=0,"",SUMIFS(INDEX(Inputs!$D$4:$AG$200,0,MATCH(F$2,Inputs!$D$2:$AG$2,0)),Inputs!$B$4:$B$200,$B17)/1000)</f>
        <v>16790</v>
      </c>
      <c r="G17" s="11">
        <f>IF(G$3=0,"",SUMIFS(INDEX(Inputs!$D$4:$AG$200,0,MATCH(G$2,Inputs!$D$2:$AG$2,0)),Inputs!$B$4:$B$200,$B17)/1000)</f>
        <v>15847</v>
      </c>
      <c r="H17" s="12">
        <f>IF(G17="","",G17)</f>
        <v>15847</v>
      </c>
      <c r="I17" s="11">
        <f>IF(I$3=0,"",SUMIFS(INDEX(Inputs!$D$4:$AG$200,0,MATCH(I$2,Inputs!$D$2:$AG$2,0)),Inputs!$B$4:$B$200,$B17)/1000)</f>
        <v>16570</v>
      </c>
      <c r="J17" s="11">
        <f>IF(J$3=0,"",SUMIFS(INDEX(Inputs!$D$4:$AG$200,0,MATCH(J$2,Inputs!$D$2:$AG$2,0)),Inputs!$B$4:$B$200,$B17)/1000)</f>
        <v>17553</v>
      </c>
      <c r="K17" s="11">
        <f>IF(K$3=0,"",SUMIFS(INDEX(Inputs!$D$4:$AG$200,0,MATCH(K$2,Inputs!$D$2:$AG$2,0)),Inputs!$B$4:$B$200,$B17)/1000)</f>
        <v>17536</v>
      </c>
      <c r="L17" s="11">
        <f>IF(L$3=0,"",SUMIFS(INDEX(Inputs!$D$4:$AG$200,0,MATCH(L$2,Inputs!$D$2:$AG$2,0)),Inputs!$B$4:$B$200,$B17)/1000)</f>
        <v>17403</v>
      </c>
      <c r="M17" s="12">
        <f>IF(L17="","",L17)</f>
        <v>17403</v>
      </c>
      <c r="N17" s="11">
        <f>IF(N$3=0,"",SUMIFS(INDEX(Inputs!$D$4:$AG$200,0,MATCH(N$2,Inputs!$D$2:$AG$2,0)),Inputs!$B$4:$B$200,$B17)/1000)</f>
        <v>16198</v>
      </c>
      <c r="O17" s="11">
        <f>IF(O$3=0,"",SUMIFS(INDEX(Inputs!$D$4:$AG$200,0,MATCH(O$2,Inputs!$D$2:$AG$2,0)),Inputs!$B$4:$B$200,$B17)/1000)</f>
        <v>16789</v>
      </c>
      <c r="P17" s="11">
        <f>IF(P$3=0,"",SUMIFS(INDEX(Inputs!$D$4:$AG$200,0,MATCH(P$2,Inputs!$D$2:$AG$2,0)),Inputs!$B$4:$B$200,$B17)/1000)</f>
        <v>17020</v>
      </c>
      <c r="Q17" s="11">
        <f>IF(Q$3=0,"",SUMIFS(INDEX(Inputs!$D$4:$AG$200,0,MATCH(Q$2,Inputs!$D$2:$AG$2,0)),Inputs!$B$4:$B$200,$B17)/1000)</f>
        <v>16528</v>
      </c>
      <c r="R17" s="12">
        <f>IF(Q17="","",Q17)</f>
        <v>16528</v>
      </c>
      <c r="S17" s="11">
        <f>IF(S$3=0,"",SUMIFS(INDEX(Inputs!$D$4:$AG$200,0,MATCH(S$2,Inputs!$D$2:$AG$2,0)),Inputs!$B$4:$B$200,$B17)/1000)</f>
        <v>17603</v>
      </c>
      <c r="T17" s="11">
        <f>IF(T$3=0,"",SUMIFS(INDEX(Inputs!$D$4:$AG$200,0,MATCH(T$2,Inputs!$D$2:$AG$2,0)),Inputs!$B$4:$B$200,$B17)/1000)</f>
        <v>9469</v>
      </c>
      <c r="U17" s="11">
        <f>IF(U$3=0,"",SUMIFS(INDEX(Inputs!$D$4:$AG$200,0,MATCH(U$2,Inputs!$D$2:$AG$2,0)),Inputs!$B$4:$B$200,$B17)/1000)</f>
        <v>9718</v>
      </c>
      <c r="V17" s="11">
        <f>IF(V$3=0,"",SUMIFS(INDEX(Inputs!$D$4:$AG$200,0,MATCH(V$2,Inputs!$D$2:$AG$2,0)),Inputs!$B$4:$B$200,$B17)/1000)</f>
        <v>9763</v>
      </c>
      <c r="W17" s="12">
        <f>IF(V17="","",V17)</f>
        <v>9763</v>
      </c>
      <c r="X17" s="11">
        <f>IF(X$3=0,"",SUMIFS(INDEX(Inputs!$D$4:$AG$200,0,MATCH(X$2,Inputs!$D$2:$AG$2,0)),Inputs!$B$4:$B$200,$B17)/1000)</f>
        <v>10504</v>
      </c>
      <c r="Y17" s="11">
        <f>IF(Y$3=0,"",SUMIFS(INDEX(Inputs!$D$4:$AG$200,0,MATCH(Y$2,Inputs!$D$2:$AG$2,0)),Inputs!$B$4:$B$200,$B17)/1000)</f>
        <v>11297</v>
      </c>
      <c r="Z17" s="11">
        <f>IF(Z$3=0,"",SUMIFS(INDEX(Inputs!$D$4:$AG$200,0,MATCH(Z$2,Inputs!$D$2:$AG$2,0)),Inputs!$B$4:$B$200,$B17)/1000)</f>
        <v>11667</v>
      </c>
      <c r="AA17" s="11">
        <f>IF(AA$3=0,"",SUMIFS(INDEX(Inputs!$D$4:$AG$200,0,MATCH(AA$2,Inputs!$D$2:$AG$2,0)),Inputs!$B$4:$B$200,$B17)/1000)</f>
        <v>11868</v>
      </c>
      <c r="AB17" s="12">
        <f>IF(AA17="","",AA17)</f>
        <v>11868</v>
      </c>
      <c r="AC17" s="11">
        <f>IF(AC$3=0,"",SUMIFS(INDEX(Inputs!$D$4:$AG$200,0,MATCH(AC$2,Inputs!$D$2:$AG$2,0)),Inputs!$B$4:$B$200,$B17)/1000)</f>
        <v>12367</v>
      </c>
      <c r="AD17" s="11">
        <f>IF(AD$3=0,"",SUMIFS(INDEX(Inputs!$D$4:$AG$200,0,MATCH(AD$2,Inputs!$D$2:$AG$2,0)),Inputs!$B$4:$B$200,$B17)/1000)</f>
        <v>12440</v>
      </c>
      <c r="AE17" s="11" t="str">
        <f>IF(AE$3=0,"",SUMIFS(INDEX(Inputs!$D$4:$AG$200,0,MATCH(AE$2,Inputs!$D$2:$AG$2,0)),Inputs!$B$4:$B$200,$B17)/1000)</f>
        <v/>
      </c>
      <c r="AF17" s="11" t="str">
        <f>IF(AF$3=0,"",SUMIFS(INDEX(Inputs!$D$4:$AG$200,0,MATCH(AF$2,Inputs!$D$2:$AG$2,0)),Inputs!$B$4:$B$200,$B17)/1000)</f>
        <v/>
      </c>
      <c r="AG17" s="12" t="str">
        <f>IF(AF17="","",AF17)</f>
        <v/>
      </c>
    </row>
    <row r="18">
      <c r="B18" s="9" t="n">
        <v>14</v>
      </c>
      <c r="C18" s="14" t="inlineStr">
        <is>
          <t>Deferred income taxes</t>
        </is>
      </c>
      <c r="D18" s="11">
        <f>IF(D$3=0,"",SUMIFS(INDEX(Inputs!$D$4:$AG$200,0,MATCH(D$2,Inputs!$D$2:$AG$2,0)),Inputs!$B$4:$B$200,$B18)/1000)</f>
        <v>14232</v>
      </c>
      <c r="E18" s="11">
        <f>IF(E$3=0,"",SUMIFS(INDEX(Inputs!$D$4:$AG$200,0,MATCH(E$2,Inputs!$D$2:$AG$2,0)),Inputs!$B$4:$B$200,$B18)/1000)</f>
        <v>14864</v>
      </c>
      <c r="F18" s="11">
        <f>IF(F$3=0,"",SUMIFS(INDEX(Inputs!$D$4:$AG$200,0,MATCH(F$2,Inputs!$D$2:$AG$2,0)),Inputs!$B$4:$B$200,$B18)/1000)</f>
        <v>14466</v>
      </c>
      <c r="G18" s="11">
        <f>IF(G$3=0,"",SUMIFS(INDEX(Inputs!$D$4:$AG$200,0,MATCH(G$2,Inputs!$D$2:$AG$2,0)),Inputs!$B$4:$B$200,$B18)/1000)</f>
        <v>10855</v>
      </c>
      <c r="H18" s="12">
        <f>IF(G18="","",G18)</f>
        <v>10855</v>
      </c>
      <c r="I18" s="11">
        <f>IF(I$3=0,"",SUMIFS(INDEX(Inputs!$D$4:$AG$200,0,MATCH(I$2,Inputs!$D$2:$AG$2,0)),Inputs!$B$4:$B$200,$B18)/1000)</f>
        <v>10583</v>
      </c>
      <c r="J18" s="11">
        <f>IF(J$3=0,"",SUMIFS(INDEX(Inputs!$D$4:$AG$200,0,MATCH(J$2,Inputs!$D$2:$AG$2,0)),Inputs!$B$4:$B$200,$B18)/1000)</f>
        <v>10956</v>
      </c>
      <c r="K18" s="11">
        <f>IF(K$3=0,"",SUMIFS(INDEX(Inputs!$D$4:$AG$200,0,MATCH(K$2,Inputs!$D$2:$AG$2,0)),Inputs!$B$4:$B$200,$B18)/1000)</f>
        <v>11504</v>
      </c>
      <c r="L18" s="11">
        <f>IF(L$3=0,"",SUMIFS(INDEX(Inputs!$D$4:$AG$200,0,MATCH(L$2,Inputs!$D$2:$AG$2,0)),Inputs!$B$4:$B$200,$B18)/1000)</f>
        <v>11705</v>
      </c>
      <c r="M18" s="12">
        <f>IF(L18="","",L18)</f>
        <v>11705</v>
      </c>
      <c r="N18" s="11">
        <f>IF(N$3=0,"",SUMIFS(INDEX(Inputs!$D$4:$AG$200,0,MATCH(N$2,Inputs!$D$2:$AG$2,0)),Inputs!$B$4:$B$200,$B18)/1000)</f>
        <v>10344</v>
      </c>
      <c r="O18" s="11">
        <f>IF(O$3=0,"",SUMIFS(INDEX(Inputs!$D$4:$AG$200,0,MATCH(O$2,Inputs!$D$2:$AG$2,0)),Inputs!$B$4:$B$200,$B18)/1000)</f>
        <v>10354</v>
      </c>
      <c r="P18" s="11">
        <f>IF(P$3=0,"",SUMIFS(INDEX(Inputs!$D$4:$AG$200,0,MATCH(P$2,Inputs!$D$2:$AG$2,0)),Inputs!$B$4:$B$200,$B18)/1000)</f>
        <v>10235</v>
      </c>
      <c r="Q18" s="11">
        <f>IF(Q$3=0,"",SUMIFS(INDEX(Inputs!$D$4:$AG$200,0,MATCH(Q$2,Inputs!$D$2:$AG$2,0)),Inputs!$B$4:$B$200,$B18)/1000)</f>
        <v>10575</v>
      </c>
      <c r="R18" s="12">
        <f>IF(Q18="","",Q18)</f>
        <v>10575</v>
      </c>
      <c r="S18" s="11">
        <f>IF(S$3=0,"",SUMIFS(INDEX(Inputs!$D$4:$AG$200,0,MATCH(S$2,Inputs!$D$2:$AG$2,0)),Inputs!$B$4:$B$200,$B18)/1000)</f>
        <v>10316</v>
      </c>
      <c r="T18" s="11">
        <f>IF(T$3=0,"",SUMIFS(INDEX(Inputs!$D$4:$AG$200,0,MATCH(T$2,Inputs!$D$2:$AG$2,0)),Inputs!$B$4:$B$200,$B18)/1000)</f>
        <v>7338</v>
      </c>
      <c r="U18" s="11">
        <f>IF(U$3=0,"",SUMIFS(INDEX(Inputs!$D$4:$AG$200,0,MATCH(U$2,Inputs!$D$2:$AG$2,0)),Inputs!$B$4:$B$200,$B18)/1000)</f>
        <v>7491</v>
      </c>
      <c r="V18" s="11">
        <f>IF(V$3=0,"",SUMIFS(INDEX(Inputs!$D$4:$AG$200,0,MATCH(V$2,Inputs!$D$2:$AG$2,0)),Inputs!$B$4:$B$200,$B18)/1000)</f>
        <v>7111</v>
      </c>
      <c r="W18" s="12">
        <f>IF(V18="","",V18)</f>
        <v>7111</v>
      </c>
      <c r="X18" s="11">
        <f>IF(X$3=0,"",SUMIFS(INDEX(Inputs!$D$4:$AG$200,0,MATCH(X$2,Inputs!$D$2:$AG$2,0)),Inputs!$B$4:$B$200,$B18)/1000)</f>
        <v>6956</v>
      </c>
      <c r="Y18" s="11">
        <f>IF(Y$3=0,"",SUMIFS(INDEX(Inputs!$D$4:$AG$200,0,MATCH(Y$2,Inputs!$D$2:$AG$2,0)),Inputs!$B$4:$B$200,$B18)/1000)</f>
        <v>6890</v>
      </c>
      <c r="Z18" s="11">
        <f>IF(Z$3=0,"",SUMIFS(INDEX(Inputs!$D$4:$AG$200,0,MATCH(Z$2,Inputs!$D$2:$AG$2,0)),Inputs!$B$4:$B$200,$B18)/1000)</f>
        <v>6845</v>
      </c>
      <c r="AA18" s="11">
        <f>IF(AA$3=0,"",SUMIFS(INDEX(Inputs!$D$4:$AG$200,0,MATCH(AA$2,Inputs!$D$2:$AG$2,0)),Inputs!$B$4:$B$200,$B18)/1000)</f>
        <v>7459</v>
      </c>
      <c r="AB18" s="12">
        <f>IF(AA18="","",AA18)</f>
        <v>7459</v>
      </c>
      <c r="AC18" s="11">
        <f>IF(AC$3=0,"",SUMIFS(INDEX(Inputs!$D$4:$AG$200,0,MATCH(AC$2,Inputs!$D$2:$AG$2,0)),Inputs!$B$4:$B$200,$B18)/1000)</f>
        <v>6973</v>
      </c>
      <c r="AD18" s="11">
        <f>IF(AD$3=0,"",SUMIFS(INDEX(Inputs!$D$4:$AG$200,0,MATCH(AD$2,Inputs!$D$2:$AG$2,0)),Inputs!$B$4:$B$200,$B18)/1000)</f>
        <v>6929</v>
      </c>
      <c r="AE18" s="11" t="str">
        <f>IF(AE$3=0,"",SUMIFS(INDEX(Inputs!$D$4:$AG$200,0,MATCH(AE$2,Inputs!$D$2:$AG$2,0)),Inputs!$B$4:$B$200,$B18)/1000)</f>
        <v/>
      </c>
      <c r="AF18" s="11" t="str">
        <f>IF(AF$3=0,"",SUMIFS(INDEX(Inputs!$D$4:$AG$200,0,MATCH(AF$2,Inputs!$D$2:$AG$2,0)),Inputs!$B$4:$B$200,$B18)/1000)</f>
        <v/>
      </c>
      <c r="AG18" s="12" t="str">
        <f>IF(AF18="","",AF18)</f>
        <v/>
      </c>
    </row>
    <row r="19">
      <c r="B19" s="9" t="n">
        <v>15</v>
      </c>
      <c r="C19" s="14" t="inlineStr">
        <is>
          <t>Prepaid expenses</t>
        </is>
      </c>
      <c r="D19" s="11">
        <f>IF(D$3=0,"",SUMIFS(INDEX(Inputs!$D$4:$AG$200,0,MATCH(D$2,Inputs!$D$2:$AG$2,0)),Inputs!$B$4:$B$200,$B19)/1000)</f>
        <v>0</v>
      </c>
      <c r="E19" s="11">
        <f>IF(E$3=0,"",SUMIFS(INDEX(Inputs!$D$4:$AG$200,0,MATCH(E$2,Inputs!$D$2:$AG$2,0)),Inputs!$B$4:$B$200,$B19)/1000)</f>
        <v>0</v>
      </c>
      <c r="F19" s="11">
        <f>IF(F$3=0,"",SUMIFS(INDEX(Inputs!$D$4:$AG$200,0,MATCH(F$2,Inputs!$D$2:$AG$2,0)),Inputs!$B$4:$B$200,$B19)/1000)</f>
        <v>0</v>
      </c>
      <c r="G19" s="11">
        <f>IF(G$3=0,"",SUMIFS(INDEX(Inputs!$D$4:$AG$200,0,MATCH(G$2,Inputs!$D$2:$AG$2,0)),Inputs!$B$4:$B$200,$B19)/1000)</f>
        <v>0</v>
      </c>
      <c r="H19" s="12">
        <f>IF(G19="","",G19)</f>
        <v>0</v>
      </c>
      <c r="I19" s="11">
        <f>IF(I$3=0,"",SUMIFS(INDEX(Inputs!$D$4:$AG$200,0,MATCH(I$2,Inputs!$D$2:$AG$2,0)),Inputs!$B$4:$B$200,$B19)/1000)</f>
        <v>0</v>
      </c>
      <c r="J19" s="11">
        <f>IF(J$3=0,"",SUMIFS(INDEX(Inputs!$D$4:$AG$200,0,MATCH(J$2,Inputs!$D$2:$AG$2,0)),Inputs!$B$4:$B$200,$B19)/1000)</f>
        <v>0</v>
      </c>
      <c r="K19" s="11">
        <f>IF(K$3=0,"",SUMIFS(INDEX(Inputs!$D$4:$AG$200,0,MATCH(K$2,Inputs!$D$2:$AG$2,0)),Inputs!$B$4:$B$200,$B19)/1000)</f>
        <v>0</v>
      </c>
      <c r="L19" s="11">
        <f>IF(L$3=0,"",SUMIFS(INDEX(Inputs!$D$4:$AG$200,0,MATCH(L$2,Inputs!$D$2:$AG$2,0)),Inputs!$B$4:$B$200,$B19)/1000)</f>
        <v>0</v>
      </c>
      <c r="M19" s="12">
        <f>IF(L19="","",L19)</f>
        <v>0</v>
      </c>
      <c r="N19" s="11">
        <f>IF(N$3=0,"",SUMIFS(INDEX(Inputs!$D$4:$AG$200,0,MATCH(N$2,Inputs!$D$2:$AG$2,0)),Inputs!$B$4:$B$200,$B19)/1000)</f>
        <v>0</v>
      </c>
      <c r="O19" s="11">
        <f>IF(O$3=0,"",SUMIFS(INDEX(Inputs!$D$4:$AG$200,0,MATCH(O$2,Inputs!$D$2:$AG$2,0)),Inputs!$B$4:$B$200,$B19)/1000)</f>
        <v>0</v>
      </c>
      <c r="P19" s="11">
        <f>IF(P$3=0,"",SUMIFS(INDEX(Inputs!$D$4:$AG$200,0,MATCH(P$2,Inputs!$D$2:$AG$2,0)),Inputs!$B$4:$B$200,$B19)/1000)</f>
        <v>0</v>
      </c>
      <c r="Q19" s="11">
        <f>IF(Q$3=0,"",SUMIFS(INDEX(Inputs!$D$4:$AG$200,0,MATCH(Q$2,Inputs!$D$2:$AG$2,0)),Inputs!$B$4:$B$200,$B19)/1000)</f>
        <v>0</v>
      </c>
      <c r="R19" s="12">
        <f>IF(Q19="","",Q19)</f>
        <v>0</v>
      </c>
      <c r="S19" s="11">
        <f>IF(S$3=0,"",SUMIFS(INDEX(Inputs!$D$4:$AG$200,0,MATCH(S$2,Inputs!$D$2:$AG$2,0)),Inputs!$B$4:$B$200,$B19)/1000)</f>
        <v>0</v>
      </c>
      <c r="T19" s="11">
        <f>IF(T$3=0,"",SUMIFS(INDEX(Inputs!$D$4:$AG$200,0,MATCH(T$2,Inputs!$D$2:$AG$2,0)),Inputs!$B$4:$B$200,$B19)/1000)</f>
        <v>0</v>
      </c>
      <c r="U19" s="11">
        <f>IF(U$3=0,"",SUMIFS(INDEX(Inputs!$D$4:$AG$200,0,MATCH(U$2,Inputs!$D$2:$AG$2,0)),Inputs!$B$4:$B$200,$B19)/1000)</f>
        <v>0</v>
      </c>
      <c r="V19" s="11">
        <f>IF(V$3=0,"",SUMIFS(INDEX(Inputs!$D$4:$AG$200,0,MATCH(V$2,Inputs!$D$2:$AG$2,0)),Inputs!$B$4:$B$200,$B19)/1000)</f>
        <v>0</v>
      </c>
      <c r="W19" s="12">
        <f>IF(V19="","",V19)</f>
        <v>0</v>
      </c>
      <c r="X19" s="11">
        <f>IF(X$3=0,"",SUMIFS(INDEX(Inputs!$D$4:$AG$200,0,MATCH(X$2,Inputs!$D$2:$AG$2,0)),Inputs!$B$4:$B$200,$B19)/1000)</f>
        <v>0</v>
      </c>
      <c r="Y19" s="11">
        <f>IF(Y$3=0,"",SUMIFS(INDEX(Inputs!$D$4:$AG$200,0,MATCH(Y$2,Inputs!$D$2:$AG$2,0)),Inputs!$B$4:$B$200,$B19)/1000)</f>
        <v>0</v>
      </c>
      <c r="Z19" s="11">
        <f>IF(Z$3=0,"",SUMIFS(INDEX(Inputs!$D$4:$AG$200,0,MATCH(Z$2,Inputs!$D$2:$AG$2,0)),Inputs!$B$4:$B$200,$B19)/1000)</f>
        <v>0</v>
      </c>
      <c r="AA19" s="11">
        <f>IF(AA$3=0,"",SUMIFS(INDEX(Inputs!$D$4:$AG$200,0,MATCH(AA$2,Inputs!$D$2:$AG$2,0)),Inputs!$B$4:$B$200,$B19)/1000)</f>
        <v>0</v>
      </c>
      <c r="AB19" s="12">
        <f>IF(AA19="","",AA19)</f>
        <v>0</v>
      </c>
      <c r="AC19" s="11">
        <f>IF(AC$3=0,"",SUMIFS(INDEX(Inputs!$D$4:$AG$200,0,MATCH(AC$2,Inputs!$D$2:$AG$2,0)),Inputs!$B$4:$B$200,$B19)/1000)</f>
        <v>0</v>
      </c>
      <c r="AD19" s="11">
        <f>IF(AD$3=0,"",SUMIFS(INDEX(Inputs!$D$4:$AG$200,0,MATCH(AD$2,Inputs!$D$2:$AG$2,0)),Inputs!$B$4:$B$200,$B19)/1000)</f>
        <v>0</v>
      </c>
      <c r="AE19" s="11" t="str">
        <f>IF(AE$3=0,"",SUMIFS(INDEX(Inputs!$D$4:$AG$200,0,MATCH(AE$2,Inputs!$D$2:$AG$2,0)),Inputs!$B$4:$B$200,$B19)/1000)</f>
        <v/>
      </c>
      <c r="AF19" s="11" t="str">
        <f>IF(AF$3=0,"",SUMIFS(INDEX(Inputs!$D$4:$AG$200,0,MATCH(AF$2,Inputs!$D$2:$AG$2,0)),Inputs!$B$4:$B$200,$B19)/1000)</f>
        <v/>
      </c>
      <c r="AG19" s="12" t="str">
        <f>IF(AF19="","",AF19)</f>
        <v/>
      </c>
    </row>
    <row r="20">
      <c r="B20" s="9" t="n">
        <v>16</v>
      </c>
      <c r="C20" s="14" t="inlineStr">
        <is>
          <t>Other current assets</t>
        </is>
      </c>
      <c r="D20" s="11">
        <f>IF(D$3=0,"",SUMIFS(INDEX(Inputs!$D$4:$AG$200,0,MATCH(D$2,Inputs!$D$2:$AG$2,0)),Inputs!$B$4:$B$200,$B20)/1000)</f>
        <v>49505</v>
      </c>
      <c r="E20" s="11">
        <f>IF(E$3=0,"",SUMIFS(INDEX(Inputs!$D$4:$AG$200,0,MATCH(E$2,Inputs!$D$2:$AG$2,0)),Inputs!$B$4:$B$200,$B20)/1000)</f>
        <v>47744</v>
      </c>
      <c r="F20" s="11">
        <f>IF(F$3=0,"",SUMIFS(INDEX(Inputs!$D$4:$AG$200,0,MATCH(F$2,Inputs!$D$2:$AG$2,0)),Inputs!$B$4:$B$200,$B20)/1000)</f>
        <v>46968</v>
      </c>
      <c r="G20" s="11">
        <f>IF(G$3=0,"",SUMIFS(INDEX(Inputs!$D$4:$AG$200,0,MATCH(G$2,Inputs!$D$2:$AG$2,0)),Inputs!$B$4:$B$200,$B20)/1000)</f>
        <v>19111</v>
      </c>
      <c r="H20" s="12">
        <f>IF(G20="","",G20)</f>
        <v>19111</v>
      </c>
      <c r="I20" s="11">
        <f>IF(I$3=0,"",SUMIFS(INDEX(Inputs!$D$4:$AG$200,0,MATCH(I$2,Inputs!$D$2:$AG$2,0)),Inputs!$B$4:$B$200,$B20)/1000)</f>
        <v>17837</v>
      </c>
      <c r="J20" s="11">
        <f>IF(J$3=0,"",SUMIFS(INDEX(Inputs!$D$4:$AG$200,0,MATCH(J$2,Inputs!$D$2:$AG$2,0)),Inputs!$B$4:$B$200,$B20)/1000)</f>
        <v>13632</v>
      </c>
      <c r="K20" s="11">
        <f>IF(K$3=0,"",SUMIFS(INDEX(Inputs!$D$4:$AG$200,0,MATCH(K$2,Inputs!$D$2:$AG$2,0)),Inputs!$B$4:$B$200,$B20)/1000)</f>
        <v>12753</v>
      </c>
      <c r="L20" s="11">
        <f>IF(L$3=0,"",SUMIFS(INDEX(Inputs!$D$4:$AG$200,0,MATCH(L$2,Inputs!$D$2:$AG$2,0)),Inputs!$B$4:$B$200,$B20)/1000)</f>
        <v>13593</v>
      </c>
      <c r="M20" s="12">
        <f>IF(L20="","",L20)</f>
        <v>13593</v>
      </c>
      <c r="N20" s="11">
        <f>IF(N$3=0,"",SUMIFS(INDEX(Inputs!$D$4:$AG$200,0,MATCH(N$2,Inputs!$D$2:$AG$2,0)),Inputs!$B$4:$B$200,$B20)/1000)</f>
        <v>17876</v>
      </c>
      <c r="O20" s="11">
        <f>IF(O$3=0,"",SUMIFS(INDEX(Inputs!$D$4:$AG$200,0,MATCH(O$2,Inputs!$D$2:$AG$2,0)),Inputs!$B$4:$B$200,$B20)/1000)</f>
        <v>15892</v>
      </c>
      <c r="P20" s="11">
        <f>IF(P$3=0,"",SUMIFS(INDEX(Inputs!$D$4:$AG$200,0,MATCH(P$2,Inputs!$D$2:$AG$2,0)),Inputs!$B$4:$B$200,$B20)/1000)</f>
        <v>11742</v>
      </c>
      <c r="Q20" s="11">
        <f>IF(Q$3=0,"",SUMIFS(INDEX(Inputs!$D$4:$AG$200,0,MATCH(Q$2,Inputs!$D$2:$AG$2,0)),Inputs!$B$4:$B$200,$B20)/1000)</f>
        <v>10837</v>
      </c>
      <c r="R20" s="12">
        <f>IF(Q20="","",Q20)</f>
        <v>10837</v>
      </c>
      <c r="S20" s="11">
        <f>IF(S$3=0,"",SUMIFS(INDEX(Inputs!$D$4:$AG$200,0,MATCH(S$2,Inputs!$D$2:$AG$2,0)),Inputs!$B$4:$B$200,$B20)/1000)</f>
        <v>8440</v>
      </c>
      <c r="T20" s="11">
        <f>IF(T$3=0,"",SUMIFS(INDEX(Inputs!$D$4:$AG$200,0,MATCH(T$2,Inputs!$D$2:$AG$2,0)),Inputs!$B$4:$B$200,$B20)/1000)</f>
        <v>7406</v>
      </c>
      <c r="U20" s="11">
        <f>IF(U$3=0,"",SUMIFS(INDEX(Inputs!$D$4:$AG$200,0,MATCH(U$2,Inputs!$D$2:$AG$2,0)),Inputs!$B$4:$B$200,$B20)/1000)</f>
        <v>6271</v>
      </c>
      <c r="V20" s="11">
        <f>IF(V$3=0,"",SUMIFS(INDEX(Inputs!$D$4:$AG$200,0,MATCH(V$2,Inputs!$D$2:$AG$2,0)),Inputs!$B$4:$B$200,$B20)/1000)</f>
        <v>4925</v>
      </c>
      <c r="W20" s="12">
        <f>IF(V20="","",V20)</f>
        <v>4925</v>
      </c>
      <c r="X20" s="11">
        <f>IF(X$3=0,"",SUMIFS(INDEX(Inputs!$D$4:$AG$200,0,MATCH(X$2,Inputs!$D$2:$AG$2,0)),Inputs!$B$4:$B$200,$B20)/1000)</f>
        <v>5013</v>
      </c>
      <c r="Y20" s="11">
        <f>IF(Y$3=0,"",SUMIFS(INDEX(Inputs!$D$4:$AG$200,0,MATCH(Y$2,Inputs!$D$2:$AG$2,0)),Inputs!$B$4:$B$200,$B20)/1000)</f>
        <v>5132</v>
      </c>
      <c r="Z20" s="11">
        <f>IF(Z$3=0,"",SUMIFS(INDEX(Inputs!$D$4:$AG$200,0,MATCH(Z$2,Inputs!$D$2:$AG$2,0)),Inputs!$B$4:$B$200,$B20)/1000)</f>
        <v>5234</v>
      </c>
      <c r="AA20" s="11">
        <f>IF(AA$3=0,"",SUMIFS(INDEX(Inputs!$D$4:$AG$200,0,MATCH(AA$2,Inputs!$D$2:$AG$2,0)),Inputs!$B$4:$B$200,$B20)/1000)</f>
        <v>4565</v>
      </c>
      <c r="AB20" s="12">
        <f>IF(AA20="","",AA20)</f>
        <v>4565</v>
      </c>
      <c r="AC20" s="11">
        <f>IF(AC$3=0,"",SUMIFS(INDEX(Inputs!$D$4:$AG$200,0,MATCH(AC$2,Inputs!$D$2:$AG$2,0)),Inputs!$B$4:$B$200,$B20)/1000)</f>
        <v>4547</v>
      </c>
      <c r="AD20" s="11">
        <f>IF(AD$3=0,"",SUMIFS(INDEX(Inputs!$D$4:$AG$200,0,MATCH(AD$2,Inputs!$D$2:$AG$2,0)),Inputs!$B$4:$B$200,$B20)/1000)</f>
        <v>5552</v>
      </c>
      <c r="AE20" s="11" t="str">
        <f>IF(AE$3=0,"",SUMIFS(INDEX(Inputs!$D$4:$AG$200,0,MATCH(AE$2,Inputs!$D$2:$AG$2,0)),Inputs!$B$4:$B$200,$B20)/1000)</f>
        <v/>
      </c>
      <c r="AF20" s="11" t="str">
        <f>IF(AF$3=0,"",SUMIFS(INDEX(Inputs!$D$4:$AG$200,0,MATCH(AF$2,Inputs!$D$2:$AG$2,0)),Inputs!$B$4:$B$200,$B20)/1000)</f>
        <v/>
      </c>
      <c r="AG20" s="12" t="str">
        <f>IF(AF20="","",AF20)</f>
        <v/>
      </c>
    </row>
    <row r="21">
      <c r="B21" s="9" t="n">
        <v>17</v>
      </c>
      <c r="C21" s="14" t="inlineStr">
        <is>
          <t>Equity in affiliates</t>
        </is>
      </c>
      <c r="D21" s="11">
        <f>IF(D$3=0,"",SUMIFS(INDEX(Inputs!$D$4:$AG$200,0,MATCH(D$2,Inputs!$D$2:$AG$2,0)),Inputs!$B$4:$B$200,$B21)/1000)</f>
        <v>0</v>
      </c>
      <c r="E21" s="11">
        <f>IF(E$3=0,"",SUMIFS(INDEX(Inputs!$D$4:$AG$200,0,MATCH(E$2,Inputs!$D$2:$AG$2,0)),Inputs!$B$4:$B$200,$B21)/1000)</f>
        <v>0</v>
      </c>
      <c r="F21" s="11">
        <f>IF(F$3=0,"",SUMIFS(INDEX(Inputs!$D$4:$AG$200,0,MATCH(F$2,Inputs!$D$2:$AG$2,0)),Inputs!$B$4:$B$200,$B21)/1000)</f>
        <v>0</v>
      </c>
      <c r="G21" s="11">
        <f>IF(G$3=0,"",SUMIFS(INDEX(Inputs!$D$4:$AG$200,0,MATCH(G$2,Inputs!$D$2:$AG$2,0)),Inputs!$B$4:$B$200,$B21)/1000)</f>
        <v>0</v>
      </c>
      <c r="H21" s="12">
        <f>IF(G21="","",G21)</f>
        <v>0</v>
      </c>
      <c r="I21" s="11">
        <f>IF(I$3=0,"",SUMIFS(INDEX(Inputs!$D$4:$AG$200,0,MATCH(I$2,Inputs!$D$2:$AG$2,0)),Inputs!$B$4:$B$200,$B21)/1000)</f>
        <v>0</v>
      </c>
      <c r="J21" s="11">
        <f>IF(J$3=0,"",SUMIFS(INDEX(Inputs!$D$4:$AG$200,0,MATCH(J$2,Inputs!$D$2:$AG$2,0)),Inputs!$B$4:$B$200,$B21)/1000)</f>
        <v>0</v>
      </c>
      <c r="K21" s="11">
        <f>IF(K$3=0,"",SUMIFS(INDEX(Inputs!$D$4:$AG$200,0,MATCH(K$2,Inputs!$D$2:$AG$2,0)),Inputs!$B$4:$B$200,$B21)/1000)</f>
        <v>0</v>
      </c>
      <c r="L21" s="11">
        <f>IF(L$3=0,"",SUMIFS(INDEX(Inputs!$D$4:$AG$200,0,MATCH(L$2,Inputs!$D$2:$AG$2,0)),Inputs!$B$4:$B$200,$B21)/1000)</f>
        <v>0</v>
      </c>
      <c r="M21" s="12">
        <f>IF(L21="","",L21)</f>
        <v>0</v>
      </c>
      <c r="N21" s="11">
        <f>IF(N$3=0,"",SUMIFS(INDEX(Inputs!$D$4:$AG$200,0,MATCH(N$2,Inputs!$D$2:$AG$2,0)),Inputs!$B$4:$B$200,$B21)/1000)</f>
        <v>0</v>
      </c>
      <c r="O21" s="11">
        <f>IF(O$3=0,"",SUMIFS(INDEX(Inputs!$D$4:$AG$200,0,MATCH(O$2,Inputs!$D$2:$AG$2,0)),Inputs!$B$4:$B$200,$B21)/1000)</f>
        <v>0</v>
      </c>
      <c r="P21" s="11">
        <f>IF(P$3=0,"",SUMIFS(INDEX(Inputs!$D$4:$AG$200,0,MATCH(P$2,Inputs!$D$2:$AG$2,0)),Inputs!$B$4:$B$200,$B21)/1000)</f>
        <v>0</v>
      </c>
      <c r="Q21" s="11">
        <f>IF(Q$3=0,"",SUMIFS(INDEX(Inputs!$D$4:$AG$200,0,MATCH(Q$2,Inputs!$D$2:$AG$2,0)),Inputs!$B$4:$B$200,$B21)/1000)</f>
        <v>0</v>
      </c>
      <c r="R21" s="12">
        <f>IF(Q21="","",Q21)</f>
        <v>0</v>
      </c>
      <c r="S21" s="11">
        <f>IF(S$3=0,"",SUMIFS(INDEX(Inputs!$D$4:$AG$200,0,MATCH(S$2,Inputs!$D$2:$AG$2,0)),Inputs!$B$4:$B$200,$B21)/1000)</f>
        <v>0</v>
      </c>
      <c r="T21" s="11">
        <f>IF(T$3=0,"",SUMIFS(INDEX(Inputs!$D$4:$AG$200,0,MATCH(T$2,Inputs!$D$2:$AG$2,0)),Inputs!$B$4:$B$200,$B21)/1000)</f>
        <v>0</v>
      </c>
      <c r="U21" s="11">
        <f>IF(U$3=0,"",SUMIFS(INDEX(Inputs!$D$4:$AG$200,0,MATCH(U$2,Inputs!$D$2:$AG$2,0)),Inputs!$B$4:$B$200,$B21)/1000)</f>
        <v>0</v>
      </c>
      <c r="V21" s="11">
        <f>IF(V$3=0,"",SUMIFS(INDEX(Inputs!$D$4:$AG$200,0,MATCH(V$2,Inputs!$D$2:$AG$2,0)),Inputs!$B$4:$B$200,$B21)/1000)</f>
        <v>0</v>
      </c>
      <c r="W21" s="12">
        <f>IF(V21="","",V21)</f>
        <v>0</v>
      </c>
      <c r="X21" s="11">
        <f>IF(X$3=0,"",SUMIFS(INDEX(Inputs!$D$4:$AG$200,0,MATCH(X$2,Inputs!$D$2:$AG$2,0)),Inputs!$B$4:$B$200,$B21)/1000)</f>
        <v>0</v>
      </c>
      <c r="Y21" s="11">
        <f>IF(Y$3=0,"",SUMIFS(INDEX(Inputs!$D$4:$AG$200,0,MATCH(Y$2,Inputs!$D$2:$AG$2,0)),Inputs!$B$4:$B$200,$B21)/1000)</f>
        <v>0</v>
      </c>
      <c r="Z21" s="11">
        <f>IF(Z$3=0,"",SUMIFS(INDEX(Inputs!$D$4:$AG$200,0,MATCH(Z$2,Inputs!$D$2:$AG$2,0)),Inputs!$B$4:$B$200,$B21)/1000)</f>
        <v>0</v>
      </c>
      <c r="AA21" s="11">
        <f>IF(AA$3=0,"",SUMIFS(INDEX(Inputs!$D$4:$AG$200,0,MATCH(AA$2,Inputs!$D$2:$AG$2,0)),Inputs!$B$4:$B$200,$B21)/1000)</f>
        <v>0</v>
      </c>
      <c r="AB21" s="12">
        <f>IF(AA21="","",AA21)</f>
        <v>0</v>
      </c>
      <c r="AC21" s="11">
        <f>IF(AC$3=0,"",SUMIFS(INDEX(Inputs!$D$4:$AG$200,0,MATCH(AC$2,Inputs!$D$2:$AG$2,0)),Inputs!$B$4:$B$200,$B21)/1000)</f>
        <v>0</v>
      </c>
      <c r="AD21" s="11">
        <f>IF(AD$3=0,"",SUMIFS(INDEX(Inputs!$D$4:$AG$200,0,MATCH(AD$2,Inputs!$D$2:$AG$2,0)),Inputs!$B$4:$B$200,$B21)/1000)</f>
        <v>0</v>
      </c>
      <c r="AE21" s="11" t="str">
        <f>IF(AE$3=0,"",SUMIFS(INDEX(Inputs!$D$4:$AG$200,0,MATCH(AE$2,Inputs!$D$2:$AG$2,0)),Inputs!$B$4:$B$200,$B21)/1000)</f>
        <v/>
      </c>
      <c r="AF21" s="11" t="str">
        <f>IF(AF$3=0,"",SUMIFS(INDEX(Inputs!$D$4:$AG$200,0,MATCH(AF$2,Inputs!$D$2:$AG$2,0)),Inputs!$B$4:$B$200,$B21)/1000)</f>
        <v/>
      </c>
      <c r="AG21" s="12" t="str">
        <f>IF(AF21="","",AF21)</f>
        <v/>
      </c>
    </row>
    <row r="22">
      <c r="B22" s="9" t="n">
        <v>18</v>
      </c>
      <c r="C22" s="14" t="inlineStr">
        <is>
          <t>PP&amp;E</t>
        </is>
      </c>
      <c r="D22" s="11">
        <f>IF(D$3=0,"",SUMIFS(INDEX(Inputs!$D$4:$AG$200,0,MATCH(D$2,Inputs!$D$2:$AG$2,0)),Inputs!$B$4:$B$200,$B22)/1000)</f>
        <v>0</v>
      </c>
      <c r="E22" s="11">
        <f>IF(E$3=0,"",SUMIFS(INDEX(Inputs!$D$4:$AG$200,0,MATCH(E$2,Inputs!$D$2:$AG$2,0)),Inputs!$B$4:$B$200,$B22)/1000)</f>
        <v>0</v>
      </c>
      <c r="F22" s="11">
        <f>IF(F$3=0,"",SUMIFS(INDEX(Inputs!$D$4:$AG$200,0,MATCH(F$2,Inputs!$D$2:$AG$2,0)),Inputs!$B$4:$B$200,$B22)/1000)</f>
        <v>0</v>
      </c>
      <c r="G22" s="11">
        <f>IF(G$3=0,"",SUMIFS(INDEX(Inputs!$D$4:$AG$200,0,MATCH(G$2,Inputs!$D$2:$AG$2,0)),Inputs!$B$4:$B$200,$B22)/1000)</f>
        <v>0</v>
      </c>
      <c r="H22" s="12">
        <f>IF(G22="","",G22)</f>
        <v>0</v>
      </c>
      <c r="I22" s="11">
        <f>IF(I$3=0,"",SUMIFS(INDEX(Inputs!$D$4:$AG$200,0,MATCH(I$2,Inputs!$D$2:$AG$2,0)),Inputs!$B$4:$B$200,$B22)/1000)</f>
        <v>0</v>
      </c>
      <c r="J22" s="11">
        <f>IF(J$3=0,"",SUMIFS(INDEX(Inputs!$D$4:$AG$200,0,MATCH(J$2,Inputs!$D$2:$AG$2,0)),Inputs!$B$4:$B$200,$B22)/1000)</f>
        <v>0</v>
      </c>
      <c r="K22" s="11">
        <f>IF(K$3=0,"",SUMIFS(INDEX(Inputs!$D$4:$AG$200,0,MATCH(K$2,Inputs!$D$2:$AG$2,0)),Inputs!$B$4:$B$200,$B22)/1000)</f>
        <v>0</v>
      </c>
      <c r="L22" s="11">
        <f>IF(L$3=0,"",SUMIFS(INDEX(Inputs!$D$4:$AG$200,0,MATCH(L$2,Inputs!$D$2:$AG$2,0)),Inputs!$B$4:$B$200,$B22)/1000)</f>
        <v>0</v>
      </c>
      <c r="M22" s="12">
        <f>IF(L22="","",L22)</f>
        <v>0</v>
      </c>
      <c r="N22" s="11">
        <f>IF(N$3=0,"",SUMIFS(INDEX(Inputs!$D$4:$AG$200,0,MATCH(N$2,Inputs!$D$2:$AG$2,0)),Inputs!$B$4:$B$200,$B22)/1000)</f>
        <v>0</v>
      </c>
      <c r="O22" s="11">
        <f>IF(O$3=0,"",SUMIFS(INDEX(Inputs!$D$4:$AG$200,0,MATCH(O$2,Inputs!$D$2:$AG$2,0)),Inputs!$B$4:$B$200,$B22)/1000)</f>
        <v>0</v>
      </c>
      <c r="P22" s="11">
        <f>IF(P$3=0,"",SUMIFS(INDEX(Inputs!$D$4:$AG$200,0,MATCH(P$2,Inputs!$D$2:$AG$2,0)),Inputs!$B$4:$B$200,$B22)/1000)</f>
        <v>0</v>
      </c>
      <c r="Q22" s="11">
        <f>IF(Q$3=0,"",SUMIFS(INDEX(Inputs!$D$4:$AG$200,0,MATCH(Q$2,Inputs!$D$2:$AG$2,0)),Inputs!$B$4:$B$200,$B22)/1000)</f>
        <v>0</v>
      </c>
      <c r="R22" s="12">
        <f>IF(Q22="","",Q22)</f>
        <v>0</v>
      </c>
      <c r="S22" s="11">
        <f>IF(S$3=0,"",SUMIFS(INDEX(Inputs!$D$4:$AG$200,0,MATCH(S$2,Inputs!$D$2:$AG$2,0)),Inputs!$B$4:$B$200,$B22)/1000)</f>
        <v>0</v>
      </c>
      <c r="T22" s="11">
        <f>IF(T$3=0,"",SUMIFS(INDEX(Inputs!$D$4:$AG$200,0,MATCH(T$2,Inputs!$D$2:$AG$2,0)),Inputs!$B$4:$B$200,$B22)/1000)</f>
        <v>0</v>
      </c>
      <c r="U22" s="11">
        <f>IF(U$3=0,"",SUMIFS(INDEX(Inputs!$D$4:$AG$200,0,MATCH(U$2,Inputs!$D$2:$AG$2,0)),Inputs!$B$4:$B$200,$B22)/1000)</f>
        <v>0</v>
      </c>
      <c r="V22" s="11">
        <f>IF(V$3=0,"",SUMIFS(INDEX(Inputs!$D$4:$AG$200,0,MATCH(V$2,Inputs!$D$2:$AG$2,0)),Inputs!$B$4:$B$200,$B22)/1000)</f>
        <v>0</v>
      </c>
      <c r="W22" s="12">
        <f>IF(V22="","",V22)</f>
        <v>0</v>
      </c>
      <c r="X22" s="11">
        <f>IF(X$3=0,"",SUMIFS(INDEX(Inputs!$D$4:$AG$200,0,MATCH(X$2,Inputs!$D$2:$AG$2,0)),Inputs!$B$4:$B$200,$B22)/1000)</f>
        <v>0</v>
      </c>
      <c r="Y22" s="11">
        <f>IF(Y$3=0,"",SUMIFS(INDEX(Inputs!$D$4:$AG$200,0,MATCH(Y$2,Inputs!$D$2:$AG$2,0)),Inputs!$B$4:$B$200,$B22)/1000)</f>
        <v>0</v>
      </c>
      <c r="Z22" s="11">
        <f>IF(Z$3=0,"",SUMIFS(INDEX(Inputs!$D$4:$AG$200,0,MATCH(Z$2,Inputs!$D$2:$AG$2,0)),Inputs!$B$4:$B$200,$B22)/1000)</f>
        <v>0</v>
      </c>
      <c r="AA22" s="11">
        <f>IF(AA$3=0,"",SUMIFS(INDEX(Inputs!$D$4:$AG$200,0,MATCH(AA$2,Inputs!$D$2:$AG$2,0)),Inputs!$B$4:$B$200,$B22)/1000)</f>
        <v>0</v>
      </c>
      <c r="AB22" s="12">
        <f>IF(AA22="","",AA22)</f>
        <v>0</v>
      </c>
      <c r="AC22" s="11">
        <f>IF(AC$3=0,"",SUMIFS(INDEX(Inputs!$D$4:$AG$200,0,MATCH(AC$2,Inputs!$D$2:$AG$2,0)),Inputs!$B$4:$B$200,$B22)/1000)</f>
        <v>0</v>
      </c>
      <c r="AD22" s="11">
        <f>IF(AD$3=0,"",SUMIFS(INDEX(Inputs!$D$4:$AG$200,0,MATCH(AD$2,Inputs!$D$2:$AG$2,0)),Inputs!$B$4:$B$200,$B22)/1000)</f>
        <v>0</v>
      </c>
      <c r="AE22" s="11" t="str">
        <f>IF(AE$3=0,"",SUMIFS(INDEX(Inputs!$D$4:$AG$200,0,MATCH(AE$2,Inputs!$D$2:$AG$2,0)),Inputs!$B$4:$B$200,$B22)/1000)</f>
        <v/>
      </c>
      <c r="AF22" s="11" t="str">
        <f>IF(AF$3=0,"",SUMIFS(INDEX(Inputs!$D$4:$AG$200,0,MATCH(AF$2,Inputs!$D$2:$AG$2,0)),Inputs!$B$4:$B$200,$B22)/1000)</f>
        <v/>
      </c>
      <c r="AG22" s="12" t="str">
        <f>IF(AF22="","",AF22)</f>
        <v/>
      </c>
    </row>
    <row r="23">
      <c r="B23" s="9" t="n">
        <v>19</v>
      </c>
      <c r="C23" s="14" t="inlineStr">
        <is>
          <t>Right-of-use-assets</t>
        </is>
      </c>
      <c r="D23" s="11">
        <f>IF(D$3=0,"",SUMIFS(INDEX(Inputs!$D$4:$AG$200,0,MATCH(D$2,Inputs!$D$2:$AG$2,0)),Inputs!$B$4:$B$200,$B23)/1000)</f>
        <v>0</v>
      </c>
      <c r="E23" s="11">
        <f>IF(E$3=0,"",SUMIFS(INDEX(Inputs!$D$4:$AG$200,0,MATCH(E$2,Inputs!$D$2:$AG$2,0)),Inputs!$B$4:$B$200,$B23)/1000)</f>
        <v>0</v>
      </c>
      <c r="F23" s="11">
        <f>IF(F$3=0,"",SUMIFS(INDEX(Inputs!$D$4:$AG$200,0,MATCH(F$2,Inputs!$D$2:$AG$2,0)),Inputs!$B$4:$B$200,$B23)/1000)</f>
        <v>0</v>
      </c>
      <c r="G23" s="11">
        <f>IF(G$3=0,"",SUMIFS(INDEX(Inputs!$D$4:$AG$200,0,MATCH(G$2,Inputs!$D$2:$AG$2,0)),Inputs!$B$4:$B$200,$B23)/1000)</f>
        <v>0</v>
      </c>
      <c r="H23" s="12">
        <f>IF(G23="","",G23)</f>
        <v>0</v>
      </c>
      <c r="I23" s="11">
        <f>IF(I$3=0,"",SUMIFS(INDEX(Inputs!$D$4:$AG$200,0,MATCH(I$2,Inputs!$D$2:$AG$2,0)),Inputs!$B$4:$B$200,$B23)/1000)</f>
        <v>0</v>
      </c>
      <c r="J23" s="11">
        <f>IF(J$3=0,"",SUMIFS(INDEX(Inputs!$D$4:$AG$200,0,MATCH(J$2,Inputs!$D$2:$AG$2,0)),Inputs!$B$4:$B$200,$B23)/1000)</f>
        <v>0</v>
      </c>
      <c r="K23" s="11">
        <f>IF(K$3=0,"",SUMIFS(INDEX(Inputs!$D$4:$AG$200,0,MATCH(K$2,Inputs!$D$2:$AG$2,0)),Inputs!$B$4:$B$200,$B23)/1000)</f>
        <v>0</v>
      </c>
      <c r="L23" s="11">
        <f>IF(L$3=0,"",SUMIFS(INDEX(Inputs!$D$4:$AG$200,0,MATCH(L$2,Inputs!$D$2:$AG$2,0)),Inputs!$B$4:$B$200,$B23)/1000)</f>
        <v>0</v>
      </c>
      <c r="M23" s="12">
        <f>IF(L23="","",L23)</f>
        <v>0</v>
      </c>
      <c r="N23" s="11">
        <f>IF(N$3=0,"",SUMIFS(INDEX(Inputs!$D$4:$AG$200,0,MATCH(N$2,Inputs!$D$2:$AG$2,0)),Inputs!$B$4:$B$200,$B23)/1000)</f>
        <v>0</v>
      </c>
      <c r="O23" s="11">
        <f>IF(O$3=0,"",SUMIFS(INDEX(Inputs!$D$4:$AG$200,0,MATCH(O$2,Inputs!$D$2:$AG$2,0)),Inputs!$B$4:$B$200,$B23)/1000)</f>
        <v>0</v>
      </c>
      <c r="P23" s="11">
        <f>IF(P$3=0,"",SUMIFS(INDEX(Inputs!$D$4:$AG$200,0,MATCH(P$2,Inputs!$D$2:$AG$2,0)),Inputs!$B$4:$B$200,$B23)/1000)</f>
        <v>0</v>
      </c>
      <c r="Q23" s="11">
        <f>IF(Q$3=0,"",SUMIFS(INDEX(Inputs!$D$4:$AG$200,0,MATCH(Q$2,Inputs!$D$2:$AG$2,0)),Inputs!$B$4:$B$200,$B23)/1000)</f>
        <v>0</v>
      </c>
      <c r="R23" s="12">
        <f>IF(Q23="","",Q23)</f>
        <v>0</v>
      </c>
      <c r="S23" s="11">
        <f>IF(S$3=0,"",SUMIFS(INDEX(Inputs!$D$4:$AG$200,0,MATCH(S$2,Inputs!$D$2:$AG$2,0)),Inputs!$B$4:$B$200,$B23)/1000)</f>
        <v>0</v>
      </c>
      <c r="T23" s="11">
        <f>IF(T$3=0,"",SUMIFS(INDEX(Inputs!$D$4:$AG$200,0,MATCH(T$2,Inputs!$D$2:$AG$2,0)),Inputs!$B$4:$B$200,$B23)/1000)</f>
        <v>0</v>
      </c>
      <c r="U23" s="11">
        <f>IF(U$3=0,"",SUMIFS(INDEX(Inputs!$D$4:$AG$200,0,MATCH(U$2,Inputs!$D$2:$AG$2,0)),Inputs!$B$4:$B$200,$B23)/1000)</f>
        <v>0</v>
      </c>
      <c r="V23" s="11">
        <f>IF(V$3=0,"",SUMIFS(INDEX(Inputs!$D$4:$AG$200,0,MATCH(V$2,Inputs!$D$2:$AG$2,0)),Inputs!$B$4:$B$200,$B23)/1000)</f>
        <v>0</v>
      </c>
      <c r="W23" s="12">
        <f>IF(V23="","",V23)</f>
        <v>0</v>
      </c>
      <c r="X23" s="11">
        <f>IF(X$3=0,"",SUMIFS(INDEX(Inputs!$D$4:$AG$200,0,MATCH(X$2,Inputs!$D$2:$AG$2,0)),Inputs!$B$4:$B$200,$B23)/1000)</f>
        <v>0</v>
      </c>
      <c r="Y23" s="11">
        <f>IF(Y$3=0,"",SUMIFS(INDEX(Inputs!$D$4:$AG$200,0,MATCH(Y$2,Inputs!$D$2:$AG$2,0)),Inputs!$B$4:$B$200,$B23)/1000)</f>
        <v>0</v>
      </c>
      <c r="Z23" s="11">
        <f>IF(Z$3=0,"",SUMIFS(INDEX(Inputs!$D$4:$AG$200,0,MATCH(Z$2,Inputs!$D$2:$AG$2,0)),Inputs!$B$4:$B$200,$B23)/1000)</f>
        <v>0</v>
      </c>
      <c r="AA23" s="11">
        <f>IF(AA$3=0,"",SUMIFS(INDEX(Inputs!$D$4:$AG$200,0,MATCH(AA$2,Inputs!$D$2:$AG$2,0)),Inputs!$B$4:$B$200,$B23)/1000)</f>
        <v>0</v>
      </c>
      <c r="AB23" s="12">
        <f>IF(AA23="","",AA23)</f>
        <v>0</v>
      </c>
      <c r="AC23" s="11">
        <f>IF(AC$3=0,"",SUMIFS(INDEX(Inputs!$D$4:$AG$200,0,MATCH(AC$2,Inputs!$D$2:$AG$2,0)),Inputs!$B$4:$B$200,$B23)/1000)</f>
        <v>0</v>
      </c>
      <c r="AD23" s="11">
        <f>IF(AD$3=0,"",SUMIFS(INDEX(Inputs!$D$4:$AG$200,0,MATCH(AD$2,Inputs!$D$2:$AG$2,0)),Inputs!$B$4:$B$200,$B23)/1000)</f>
        <v>0</v>
      </c>
      <c r="AE23" s="11" t="str">
        <f>IF(AE$3=0,"",SUMIFS(INDEX(Inputs!$D$4:$AG$200,0,MATCH(AE$2,Inputs!$D$2:$AG$2,0)),Inputs!$B$4:$B$200,$B23)/1000)</f>
        <v/>
      </c>
      <c r="AF23" s="11" t="str">
        <f>IF(AF$3=0,"",SUMIFS(INDEX(Inputs!$D$4:$AG$200,0,MATCH(AF$2,Inputs!$D$2:$AG$2,0)),Inputs!$B$4:$B$200,$B23)/1000)</f>
        <v/>
      </c>
      <c r="AG23" s="12" t="str">
        <f>IF(AF23="","",AF23)</f>
        <v/>
      </c>
    </row>
    <row r="24">
      <c r="B24" s="9" t="n">
        <v>20</v>
      </c>
      <c r="C24" s="14" t="inlineStr">
        <is>
          <t>Goodwill</t>
        </is>
      </c>
      <c r="D24" s="11">
        <f>IF(D$3=0,"",SUMIFS(INDEX(Inputs!$D$4:$AG$200,0,MATCH(D$2,Inputs!$D$2:$AG$2,0)),Inputs!$B$4:$B$200,$B24)/1000)</f>
        <v>25320</v>
      </c>
      <c r="E24" s="11">
        <f>IF(E$3=0,"",SUMIFS(INDEX(Inputs!$D$4:$AG$200,0,MATCH(E$2,Inputs!$D$2:$AG$2,0)),Inputs!$B$4:$B$200,$B24)/1000)</f>
        <v>25491</v>
      </c>
      <c r="F24" s="11">
        <f>IF(F$3=0,"",SUMIFS(INDEX(Inputs!$D$4:$AG$200,0,MATCH(F$2,Inputs!$D$2:$AG$2,0)),Inputs!$B$4:$B$200,$B24)/1000)</f>
        <v>25333</v>
      </c>
      <c r="G24" s="11">
        <f>IF(G$3=0,"",SUMIFS(INDEX(Inputs!$D$4:$AG$200,0,MATCH(G$2,Inputs!$D$2:$AG$2,0)),Inputs!$B$4:$B$200,$B24)/1000)</f>
        <v>26182</v>
      </c>
      <c r="H24" s="12">
        <f>IF(G24="","",G24)</f>
        <v>26182</v>
      </c>
      <c r="I24" s="11">
        <f>IF(I$3=0,"",SUMIFS(INDEX(Inputs!$D$4:$AG$200,0,MATCH(I$2,Inputs!$D$2:$AG$2,0)),Inputs!$B$4:$B$200,$B24)/1000)</f>
        <v>26047</v>
      </c>
      <c r="J24" s="11">
        <f>IF(J$3=0,"",SUMIFS(INDEX(Inputs!$D$4:$AG$200,0,MATCH(J$2,Inputs!$D$2:$AG$2,0)),Inputs!$B$4:$B$200,$B24)/1000)</f>
        <v>25790</v>
      </c>
      <c r="K24" s="11">
        <f>IF(K$3=0,"",SUMIFS(INDEX(Inputs!$D$4:$AG$200,0,MATCH(K$2,Inputs!$D$2:$AG$2,0)),Inputs!$B$4:$B$200,$B24)/1000)</f>
        <v>25275</v>
      </c>
      <c r="L24" s="11">
        <f>IF(L$3=0,"",SUMIFS(INDEX(Inputs!$D$4:$AG$200,0,MATCH(L$2,Inputs!$D$2:$AG$2,0)),Inputs!$B$4:$B$200,$B24)/1000)</f>
        <v>25798</v>
      </c>
      <c r="M24" s="12">
        <f>IF(L24="","",L24)</f>
        <v>25798</v>
      </c>
      <c r="N24" s="11">
        <f>IF(N$3=0,"",SUMIFS(INDEX(Inputs!$D$4:$AG$200,0,MATCH(N$2,Inputs!$D$2:$AG$2,0)),Inputs!$B$4:$B$200,$B24)/1000)</f>
        <v>13107</v>
      </c>
      <c r="O24" s="11">
        <f>IF(O$3=0,"",SUMIFS(INDEX(Inputs!$D$4:$AG$200,0,MATCH(O$2,Inputs!$D$2:$AG$2,0)),Inputs!$B$4:$B$200,$B24)/1000)</f>
        <v>13345</v>
      </c>
      <c r="P24" s="11">
        <f>IF(P$3=0,"",SUMIFS(INDEX(Inputs!$D$4:$AG$200,0,MATCH(P$2,Inputs!$D$2:$AG$2,0)),Inputs!$B$4:$B$200,$B24)/1000)</f>
        <v>13177</v>
      </c>
      <c r="Q24" s="11">
        <f>IF(Q$3=0,"",SUMIFS(INDEX(Inputs!$D$4:$AG$200,0,MATCH(Q$2,Inputs!$D$2:$AG$2,0)),Inputs!$B$4:$B$200,$B24)/1000)</f>
        <v>13385</v>
      </c>
      <c r="R24" s="12">
        <f>IF(Q24="","",Q24)</f>
        <v>13385</v>
      </c>
      <c r="S24" s="11">
        <f>IF(S$3=0,"",SUMIFS(INDEX(Inputs!$D$4:$AG$200,0,MATCH(S$2,Inputs!$D$2:$AG$2,0)),Inputs!$B$4:$B$200,$B24)/1000)</f>
        <v>13304</v>
      </c>
      <c r="T24" s="11">
        <f>IF(T$3=0,"",SUMIFS(INDEX(Inputs!$D$4:$AG$200,0,MATCH(T$2,Inputs!$D$2:$AG$2,0)),Inputs!$B$4:$B$200,$B24)/1000)</f>
        <v>8859</v>
      </c>
      <c r="U24" s="11">
        <f>IF(U$3=0,"",SUMIFS(INDEX(Inputs!$D$4:$AG$200,0,MATCH(U$2,Inputs!$D$2:$AG$2,0)),Inputs!$B$4:$B$200,$B24)/1000)</f>
        <v>8754</v>
      </c>
      <c r="V24" s="11">
        <f>IF(V$3=0,"",SUMIFS(INDEX(Inputs!$D$4:$AG$200,0,MATCH(V$2,Inputs!$D$2:$AG$2,0)),Inputs!$B$4:$B$200,$B24)/1000)</f>
        <v>8538</v>
      </c>
      <c r="W24" s="12">
        <f>IF(V24="","",V24)</f>
        <v>8538</v>
      </c>
      <c r="X24" s="11">
        <f>IF(X$3=0,"",SUMIFS(INDEX(Inputs!$D$4:$AG$200,0,MATCH(X$2,Inputs!$D$2:$AG$2,0)),Inputs!$B$4:$B$200,$B24)/1000)</f>
        <v>8696</v>
      </c>
      <c r="Y24" s="11">
        <f>IF(Y$3=0,"",SUMIFS(INDEX(Inputs!$D$4:$AG$200,0,MATCH(Y$2,Inputs!$D$2:$AG$2,0)),Inputs!$B$4:$B$200,$B24)/1000)</f>
        <v>9006</v>
      </c>
      <c r="Z24" s="11">
        <f>IF(Z$3=0,"",SUMIFS(INDEX(Inputs!$D$4:$AG$200,0,MATCH(Z$2,Inputs!$D$2:$AG$2,0)),Inputs!$B$4:$B$200,$B24)/1000)</f>
        <v>9041</v>
      </c>
      <c r="AA24" s="11">
        <f>IF(AA$3=0,"",SUMIFS(INDEX(Inputs!$D$4:$AG$200,0,MATCH(AA$2,Inputs!$D$2:$AG$2,0)),Inputs!$B$4:$B$200,$B24)/1000)</f>
        <v>9060</v>
      </c>
      <c r="AB24" s="12">
        <f>IF(AA24="","",AA24)</f>
        <v>9060</v>
      </c>
      <c r="AC24" s="11">
        <f>IF(AC$3=0,"",SUMIFS(INDEX(Inputs!$D$4:$AG$200,0,MATCH(AC$2,Inputs!$D$2:$AG$2,0)),Inputs!$B$4:$B$200,$B24)/1000)</f>
        <v>9003</v>
      </c>
      <c r="AD24" s="11">
        <f>IF(AD$3=0,"",SUMIFS(INDEX(Inputs!$D$4:$AG$200,0,MATCH(AD$2,Inputs!$D$2:$AG$2,0)),Inputs!$B$4:$B$200,$B24)/1000)</f>
        <v>8954</v>
      </c>
      <c r="AE24" s="11" t="str">
        <f>IF(AE$3=0,"",SUMIFS(INDEX(Inputs!$D$4:$AG$200,0,MATCH(AE$2,Inputs!$D$2:$AG$2,0)),Inputs!$B$4:$B$200,$B24)/1000)</f>
        <v/>
      </c>
      <c r="AF24" s="11" t="str">
        <f>IF(AF$3=0,"",SUMIFS(INDEX(Inputs!$D$4:$AG$200,0,MATCH(AF$2,Inputs!$D$2:$AG$2,0)),Inputs!$B$4:$B$200,$B24)/1000)</f>
        <v/>
      </c>
      <c r="AG24" s="12" t="str">
        <f>IF(AF24="","",AF24)</f>
        <v/>
      </c>
    </row>
    <row r="25">
      <c r="B25" s="9" t="n">
        <v>21</v>
      </c>
      <c r="C25" s="14" t="inlineStr">
        <is>
          <t>Intangibles</t>
        </is>
      </c>
      <c r="D25" s="11">
        <f>IF(D$3=0,"",SUMIFS(INDEX(Inputs!$D$4:$AG$200,0,MATCH(D$2,Inputs!$D$2:$AG$2,0)),Inputs!$B$4:$B$200,$B25)/1000)</f>
        <v>9395</v>
      </c>
      <c r="E25" s="11">
        <f>IF(E$3=0,"",SUMIFS(INDEX(Inputs!$D$4:$AG$200,0,MATCH(E$2,Inputs!$D$2:$AG$2,0)),Inputs!$B$4:$B$200,$B25)/1000)</f>
        <v>9460</v>
      </c>
      <c r="F25" s="11">
        <f>IF(F$3=0,"",SUMIFS(INDEX(Inputs!$D$4:$AG$200,0,MATCH(F$2,Inputs!$D$2:$AG$2,0)),Inputs!$B$4:$B$200,$B25)/1000)</f>
        <v>9187</v>
      </c>
      <c r="G25" s="11">
        <f>IF(G$3=0,"",SUMIFS(INDEX(Inputs!$D$4:$AG$200,0,MATCH(G$2,Inputs!$D$2:$AG$2,0)),Inputs!$B$4:$B$200,$B25)/1000)</f>
        <v>9330</v>
      </c>
      <c r="H25" s="12">
        <f>IF(G25="","",G25)</f>
        <v>9330</v>
      </c>
      <c r="I25" s="11">
        <f>IF(I$3=0,"",SUMIFS(INDEX(Inputs!$D$4:$AG$200,0,MATCH(I$2,Inputs!$D$2:$AG$2,0)),Inputs!$B$4:$B$200,$B25)/1000)</f>
        <v>8290</v>
      </c>
      <c r="J25" s="11">
        <f>IF(J$3=0,"",SUMIFS(INDEX(Inputs!$D$4:$AG$200,0,MATCH(J$2,Inputs!$D$2:$AG$2,0)),Inputs!$B$4:$B$200,$B25)/1000)</f>
        <v>8026</v>
      </c>
      <c r="K25" s="11">
        <f>IF(K$3=0,"",SUMIFS(INDEX(Inputs!$D$4:$AG$200,0,MATCH(K$2,Inputs!$D$2:$AG$2,0)),Inputs!$B$4:$B$200,$B25)/1000)</f>
        <v>7725</v>
      </c>
      <c r="L25" s="11">
        <f>IF(L$3=0,"",SUMIFS(INDEX(Inputs!$D$4:$AG$200,0,MATCH(L$2,Inputs!$D$2:$AG$2,0)),Inputs!$B$4:$B$200,$B25)/1000)</f>
        <v>7625</v>
      </c>
      <c r="M25" s="12">
        <f>IF(L25="","",L25)</f>
        <v>7625</v>
      </c>
      <c r="N25" s="11">
        <f>IF(N$3=0,"",SUMIFS(INDEX(Inputs!$D$4:$AG$200,0,MATCH(N$2,Inputs!$D$2:$AG$2,0)),Inputs!$B$4:$B$200,$B25)/1000)</f>
        <v>5990</v>
      </c>
      <c r="O25" s="11">
        <f>IF(O$3=0,"",SUMIFS(INDEX(Inputs!$D$4:$AG$200,0,MATCH(O$2,Inputs!$D$2:$AG$2,0)),Inputs!$B$4:$B$200,$B25)/1000)</f>
        <v>5954</v>
      </c>
      <c r="P25" s="11">
        <f>IF(P$3=0,"",SUMIFS(INDEX(Inputs!$D$4:$AG$200,0,MATCH(P$2,Inputs!$D$2:$AG$2,0)),Inputs!$B$4:$B$200,$B25)/1000)</f>
        <v>5790</v>
      </c>
      <c r="Q25" s="11">
        <f>IF(Q$3=0,"",SUMIFS(INDEX(Inputs!$D$4:$AG$200,0,MATCH(Q$2,Inputs!$D$2:$AG$2,0)),Inputs!$B$4:$B$200,$B25)/1000)</f>
        <v>5695</v>
      </c>
      <c r="R25" s="12">
        <f>IF(Q25="","",Q25)</f>
        <v>5695</v>
      </c>
      <c r="S25" s="11">
        <f>IF(S$3=0,"",SUMIFS(INDEX(Inputs!$D$4:$AG$200,0,MATCH(S$2,Inputs!$D$2:$AG$2,0)),Inputs!$B$4:$B$200,$B25)/1000)</f>
        <v>5547</v>
      </c>
      <c r="T25" s="11">
        <f>IF(T$3=0,"",SUMIFS(INDEX(Inputs!$D$4:$AG$200,0,MATCH(T$2,Inputs!$D$2:$AG$2,0)),Inputs!$B$4:$B$200,$B25)/1000)</f>
        <v>4394</v>
      </c>
      <c r="U25" s="11">
        <f>IF(U$3=0,"",SUMIFS(INDEX(Inputs!$D$4:$AG$200,0,MATCH(U$2,Inputs!$D$2:$AG$2,0)),Inputs!$B$4:$B$200,$B25)/1000)</f>
        <v>4371</v>
      </c>
      <c r="V25" s="11">
        <f>IF(V$3=0,"",SUMIFS(INDEX(Inputs!$D$4:$AG$200,0,MATCH(V$2,Inputs!$D$2:$AG$2,0)),Inputs!$B$4:$B$200,$B25)/1000)</f>
        <v>4257</v>
      </c>
      <c r="W25" s="12">
        <f>IF(V25="","",V25)</f>
        <v>4257</v>
      </c>
      <c r="X25" s="11">
        <f>IF(X$3=0,"",SUMIFS(INDEX(Inputs!$D$4:$AG$200,0,MATCH(X$2,Inputs!$D$2:$AG$2,0)),Inputs!$B$4:$B$200,$B25)/1000)</f>
        <v>4277</v>
      </c>
      <c r="Y25" s="11">
        <f>IF(Y$3=0,"",SUMIFS(INDEX(Inputs!$D$4:$AG$200,0,MATCH(Y$2,Inputs!$D$2:$AG$2,0)),Inputs!$B$4:$B$200,$B25)/1000)</f>
        <v>4336</v>
      </c>
      <c r="Z25" s="11">
        <f>IF(Z$3=0,"",SUMIFS(INDEX(Inputs!$D$4:$AG$200,0,MATCH(Z$2,Inputs!$D$2:$AG$2,0)),Inputs!$B$4:$B$200,$B25)/1000)</f>
        <v>4283</v>
      </c>
      <c r="AA25" s="11">
        <f>IF(AA$3=0,"",SUMIFS(INDEX(Inputs!$D$4:$AG$200,0,MATCH(AA$2,Inputs!$D$2:$AG$2,0)),Inputs!$B$4:$B$200,$B25)/1000)</f>
        <v>4225</v>
      </c>
      <c r="AB25" s="12">
        <f>IF(AA25="","",AA25)</f>
        <v>4225</v>
      </c>
      <c r="AC25" s="11">
        <f>IF(AC$3=0,"",SUMIFS(INDEX(Inputs!$D$4:$AG$200,0,MATCH(AC$2,Inputs!$D$2:$AG$2,0)),Inputs!$B$4:$B$200,$B25)/1000)</f>
        <v>4151</v>
      </c>
      <c r="AD25" s="11">
        <f>IF(AD$3=0,"",SUMIFS(INDEX(Inputs!$D$4:$AG$200,0,MATCH(AD$2,Inputs!$D$2:$AG$2,0)),Inputs!$B$4:$B$200,$B25)/1000)</f>
        <v>4085</v>
      </c>
      <c r="AE25" s="11" t="str">
        <f>IF(AE$3=0,"",SUMIFS(INDEX(Inputs!$D$4:$AG$200,0,MATCH(AE$2,Inputs!$D$2:$AG$2,0)),Inputs!$B$4:$B$200,$B25)/1000)</f>
        <v/>
      </c>
      <c r="AF25" s="11" t="str">
        <f>IF(AF$3=0,"",SUMIFS(INDEX(Inputs!$D$4:$AG$200,0,MATCH(AF$2,Inputs!$D$2:$AG$2,0)),Inputs!$B$4:$B$200,$B25)/1000)</f>
        <v/>
      </c>
      <c r="AG25" s="12" t="str">
        <f>IF(AF25="","",AF25)</f>
        <v/>
      </c>
    </row>
    <row r="26">
      <c r="B26" s="9" t="n">
        <v>22</v>
      </c>
      <c r="C26" s="14" t="inlineStr">
        <is>
          <t>Other non-current assets</t>
        </is>
      </c>
      <c r="D26" s="11">
        <f>IF(D$3=0,"",SUMIFS(INDEX(Inputs!$D$4:$AG$200,0,MATCH(D$2,Inputs!$D$2:$AG$2,0)),Inputs!$B$4:$B$200,$B26)/1000)</f>
        <v>83018</v>
      </c>
      <c r="E26" s="11">
        <f>IF(E$3=0,"",SUMIFS(INDEX(Inputs!$D$4:$AG$200,0,MATCH(E$2,Inputs!$D$2:$AG$2,0)),Inputs!$B$4:$B$200,$B26)/1000)</f>
        <v>85334</v>
      </c>
      <c r="F26" s="11">
        <f>IF(F$3=0,"",SUMIFS(INDEX(Inputs!$D$4:$AG$200,0,MATCH(F$2,Inputs!$D$2:$AG$2,0)),Inputs!$B$4:$B$200,$B26)/1000)</f>
        <v>84560</v>
      </c>
      <c r="G26" s="11">
        <f>IF(G$3=0,"",SUMIFS(INDEX(Inputs!$D$4:$AG$200,0,MATCH(G$2,Inputs!$D$2:$AG$2,0)),Inputs!$B$4:$B$200,$B26)/1000)</f>
        <v>86159</v>
      </c>
      <c r="H26" s="12">
        <f>IF(G26="","",G26)</f>
        <v>86159</v>
      </c>
      <c r="I26" s="11">
        <f>IF(I$3=0,"",SUMIFS(INDEX(Inputs!$D$4:$AG$200,0,MATCH(I$2,Inputs!$D$2:$AG$2,0)),Inputs!$B$4:$B$200,$B26)/1000)</f>
        <v>83742</v>
      </c>
      <c r="J26" s="11">
        <f>IF(J$3=0,"",SUMIFS(INDEX(Inputs!$D$4:$AG$200,0,MATCH(J$2,Inputs!$D$2:$AG$2,0)),Inputs!$B$4:$B$200,$B26)/1000)</f>
        <v>80110</v>
      </c>
      <c r="K26" s="11">
        <f>IF(K$3=0,"",SUMIFS(INDEX(Inputs!$D$4:$AG$200,0,MATCH(K$2,Inputs!$D$2:$AG$2,0)),Inputs!$B$4:$B$200,$B26)/1000)</f>
        <v>76291</v>
      </c>
      <c r="L26" s="11">
        <f>IF(L$3=0,"",SUMIFS(INDEX(Inputs!$D$4:$AG$200,0,MATCH(L$2,Inputs!$D$2:$AG$2,0)),Inputs!$B$4:$B$200,$B26)/1000)</f>
        <v>76426</v>
      </c>
      <c r="M26" s="12">
        <f>IF(L26="","",L26)</f>
        <v>76426</v>
      </c>
      <c r="N26" s="11">
        <f>IF(N$3=0,"",SUMIFS(INDEX(Inputs!$D$4:$AG$200,0,MATCH(N$2,Inputs!$D$2:$AG$2,0)),Inputs!$B$4:$B$200,$B26)/1000)</f>
        <v>74744</v>
      </c>
      <c r="O26" s="11">
        <f>IF(O$3=0,"",SUMIFS(INDEX(Inputs!$D$4:$AG$200,0,MATCH(O$2,Inputs!$D$2:$AG$2,0)),Inputs!$B$4:$B$200,$B26)/1000)</f>
        <v>73139</v>
      </c>
      <c r="P26" s="11">
        <f>IF(P$3=0,"",SUMIFS(INDEX(Inputs!$D$4:$AG$200,0,MATCH(P$2,Inputs!$D$2:$AG$2,0)),Inputs!$B$4:$B$200,$B26)/1000)</f>
        <v>71025</v>
      </c>
      <c r="Q26" s="11">
        <f>IF(Q$3=0,"",SUMIFS(INDEX(Inputs!$D$4:$AG$200,0,MATCH(Q$2,Inputs!$D$2:$AG$2,0)),Inputs!$B$4:$B$200,$B26)/1000)</f>
        <v>73592</v>
      </c>
      <c r="R26" s="12">
        <f>IF(Q26="","",Q26)</f>
        <v>73592</v>
      </c>
      <c r="S26" s="11">
        <f>IF(S$3=0,"",SUMIFS(INDEX(Inputs!$D$4:$AG$200,0,MATCH(S$2,Inputs!$D$2:$AG$2,0)),Inputs!$B$4:$B$200,$B26)/1000)</f>
        <v>75185</v>
      </c>
      <c r="T26" s="11">
        <f>IF(T$3=0,"",SUMIFS(INDEX(Inputs!$D$4:$AG$200,0,MATCH(T$2,Inputs!$D$2:$AG$2,0)),Inputs!$B$4:$B$200,$B26)/1000)</f>
        <v>65247</v>
      </c>
      <c r="U26" s="11">
        <f>IF(U$3=0,"",SUMIFS(INDEX(Inputs!$D$4:$AG$200,0,MATCH(U$2,Inputs!$D$2:$AG$2,0)),Inputs!$B$4:$B$200,$B26)/1000)</f>
        <v>67433</v>
      </c>
      <c r="V26" s="11">
        <f>IF(V$3=0,"",SUMIFS(INDEX(Inputs!$D$4:$AG$200,0,MATCH(V$2,Inputs!$D$2:$AG$2,0)),Inputs!$B$4:$B$200,$B26)/1000)</f>
        <v>65600</v>
      </c>
      <c r="W26" s="12">
        <f>IF(V26="","",V26)</f>
        <v>65600</v>
      </c>
      <c r="X26" s="11">
        <f>IF(X$3=0,"",SUMIFS(INDEX(Inputs!$D$4:$AG$200,0,MATCH(X$2,Inputs!$D$2:$AG$2,0)),Inputs!$B$4:$B$200,$B26)/1000)</f>
        <v>66619</v>
      </c>
      <c r="Y26" s="11">
        <f>IF(Y$3=0,"",SUMIFS(INDEX(Inputs!$D$4:$AG$200,0,MATCH(Y$2,Inputs!$D$2:$AG$2,0)),Inputs!$B$4:$B$200,$B26)/1000)</f>
        <v>67222</v>
      </c>
      <c r="Z26" s="11">
        <f>IF(Z$3=0,"",SUMIFS(INDEX(Inputs!$D$4:$AG$200,0,MATCH(Z$2,Inputs!$D$2:$AG$2,0)),Inputs!$B$4:$B$200,$B26)/1000)</f>
        <v>68001</v>
      </c>
      <c r="AA26" s="11">
        <f>IF(AA$3=0,"",SUMIFS(INDEX(Inputs!$D$4:$AG$200,0,MATCH(AA$2,Inputs!$D$2:$AG$2,0)),Inputs!$B$4:$B$200,$B26)/1000)</f>
        <v>68827</v>
      </c>
      <c r="AB26" s="12">
        <f>IF(AA26="","",AA26)</f>
        <v>68827</v>
      </c>
      <c r="AC26" s="11">
        <f>IF(AC$3=0,"",SUMIFS(INDEX(Inputs!$D$4:$AG$200,0,MATCH(AC$2,Inputs!$D$2:$AG$2,0)),Inputs!$B$4:$B$200,$B26)/1000)</f>
        <v>67957</v>
      </c>
      <c r="AD26" s="11">
        <f>IF(AD$3=0,"",SUMIFS(INDEX(Inputs!$D$4:$AG$200,0,MATCH(AD$2,Inputs!$D$2:$AG$2,0)),Inputs!$B$4:$B$200,$B26)/1000)</f>
        <v>68007</v>
      </c>
      <c r="AE26" s="11" t="str">
        <f>IF(AE$3=0,"",SUMIFS(INDEX(Inputs!$D$4:$AG$200,0,MATCH(AE$2,Inputs!$D$2:$AG$2,0)),Inputs!$B$4:$B$200,$B26)/1000)</f>
        <v/>
      </c>
      <c r="AF26" s="11" t="str">
        <f>IF(AF$3=0,"",SUMIFS(INDEX(Inputs!$D$4:$AG$200,0,MATCH(AF$2,Inputs!$D$2:$AG$2,0)),Inputs!$B$4:$B$200,$B26)/1000)</f>
        <v/>
      </c>
      <c r="AG26" s="12" t="str">
        <f>IF(AF26="","",AF26)</f>
        <v/>
      </c>
    </row>
    <row r="27">
      <c r="C27" s="3" t="n"/>
    </row>
    <row r="28">
      <c r="B28" s="9" t="n">
        <v>23</v>
      </c>
      <c r="C28" s="14" t="inlineStr">
        <is>
          <t>Accounts payable</t>
        </is>
      </c>
      <c r="D28" s="11">
        <f>IF(D$3=0,"",SUMIFS(INDEX(Inputs!$D$4:$AG$200,0,MATCH(D$2,Inputs!$D$2:$AG$2,0)),Inputs!$B$4:$B$200,$B28)/1000)</f>
        <v>0</v>
      </c>
      <c r="E28" s="11">
        <f>IF(E$3=0,"",SUMIFS(INDEX(Inputs!$D$4:$AG$200,0,MATCH(E$2,Inputs!$D$2:$AG$2,0)),Inputs!$B$4:$B$200,$B28)/1000)</f>
        <v>0</v>
      </c>
      <c r="F28" s="11">
        <f>IF(F$3=0,"",SUMIFS(INDEX(Inputs!$D$4:$AG$200,0,MATCH(F$2,Inputs!$D$2:$AG$2,0)),Inputs!$B$4:$B$200,$B28)/1000)</f>
        <v>0</v>
      </c>
      <c r="G28" s="11">
        <f>IF(G$3=0,"",SUMIFS(INDEX(Inputs!$D$4:$AG$200,0,MATCH(G$2,Inputs!$D$2:$AG$2,0)),Inputs!$B$4:$B$200,$B28)/1000)</f>
        <v>0</v>
      </c>
      <c r="H28" s="12">
        <f>IF(G28="","",G28)</f>
        <v>0</v>
      </c>
      <c r="I28" s="11">
        <f>IF(I$3=0,"",SUMIFS(INDEX(Inputs!$D$4:$AG$200,0,MATCH(I$2,Inputs!$D$2:$AG$2,0)),Inputs!$B$4:$B$200,$B28)/1000)</f>
        <v>0</v>
      </c>
      <c r="J28" s="11">
        <f>IF(J$3=0,"",SUMIFS(INDEX(Inputs!$D$4:$AG$200,0,MATCH(J$2,Inputs!$D$2:$AG$2,0)),Inputs!$B$4:$B$200,$B28)/1000)</f>
        <v>0</v>
      </c>
      <c r="K28" s="11">
        <f>IF(K$3=0,"",SUMIFS(INDEX(Inputs!$D$4:$AG$200,0,MATCH(K$2,Inputs!$D$2:$AG$2,0)),Inputs!$B$4:$B$200,$B28)/1000)</f>
        <v>0</v>
      </c>
      <c r="L28" s="11">
        <f>IF(L$3=0,"",SUMIFS(INDEX(Inputs!$D$4:$AG$200,0,MATCH(L$2,Inputs!$D$2:$AG$2,0)),Inputs!$B$4:$B$200,$B28)/1000)</f>
        <v>0</v>
      </c>
      <c r="M28" s="12">
        <f>IF(L28="","",L28)</f>
        <v>0</v>
      </c>
      <c r="N28" s="11">
        <f>IF(N$3=0,"",SUMIFS(INDEX(Inputs!$D$4:$AG$200,0,MATCH(N$2,Inputs!$D$2:$AG$2,0)),Inputs!$B$4:$B$200,$B28)/1000)</f>
        <v>0</v>
      </c>
      <c r="O28" s="11">
        <f>IF(O$3=0,"",SUMIFS(INDEX(Inputs!$D$4:$AG$200,0,MATCH(O$2,Inputs!$D$2:$AG$2,0)),Inputs!$B$4:$B$200,$B28)/1000)</f>
        <v>0</v>
      </c>
      <c r="P28" s="11">
        <f>IF(P$3=0,"",SUMIFS(INDEX(Inputs!$D$4:$AG$200,0,MATCH(P$2,Inputs!$D$2:$AG$2,0)),Inputs!$B$4:$B$200,$B28)/1000)</f>
        <v>0</v>
      </c>
      <c r="Q28" s="11">
        <f>IF(Q$3=0,"",SUMIFS(INDEX(Inputs!$D$4:$AG$200,0,MATCH(Q$2,Inputs!$D$2:$AG$2,0)),Inputs!$B$4:$B$200,$B28)/1000)</f>
        <v>0</v>
      </c>
      <c r="R28" s="12">
        <f>IF(Q28="","",Q28)</f>
        <v>0</v>
      </c>
      <c r="S28" s="11">
        <f>IF(S$3=0,"",SUMIFS(INDEX(Inputs!$D$4:$AG$200,0,MATCH(S$2,Inputs!$D$2:$AG$2,0)),Inputs!$B$4:$B$200,$B28)/1000)</f>
        <v>0</v>
      </c>
      <c r="T28" s="11">
        <f>IF(T$3=0,"",SUMIFS(INDEX(Inputs!$D$4:$AG$200,0,MATCH(T$2,Inputs!$D$2:$AG$2,0)),Inputs!$B$4:$B$200,$B28)/1000)</f>
        <v>7707</v>
      </c>
      <c r="U28" s="11">
        <f>IF(U$3=0,"",SUMIFS(INDEX(Inputs!$D$4:$AG$200,0,MATCH(U$2,Inputs!$D$2:$AG$2,0)),Inputs!$B$4:$B$200,$B28)/1000)</f>
        <v>7829</v>
      </c>
      <c r="V28" s="11">
        <f>IF(V$3=0,"",SUMIFS(INDEX(Inputs!$D$4:$AG$200,0,MATCH(V$2,Inputs!$D$2:$AG$2,0)),Inputs!$B$4:$B$200,$B28)/1000)</f>
        <v>7909</v>
      </c>
      <c r="W28" s="12">
        <f>IF(V28="","",V28)</f>
        <v>7909</v>
      </c>
      <c r="X28" s="11">
        <f>IF(X$3=0,"",SUMIFS(INDEX(Inputs!$D$4:$AG$200,0,MATCH(X$2,Inputs!$D$2:$AG$2,0)),Inputs!$B$4:$B$200,$B28)/1000)</f>
        <v>8625</v>
      </c>
      <c r="Y28" s="11">
        <f>IF(Y$3=0,"",SUMIFS(INDEX(Inputs!$D$4:$AG$200,0,MATCH(Y$2,Inputs!$D$2:$AG$2,0)),Inputs!$B$4:$B$200,$B28)/1000)</f>
        <v>9495</v>
      </c>
      <c r="Z28" s="11">
        <f>IF(Z$3=0,"",SUMIFS(INDEX(Inputs!$D$4:$AG$200,0,MATCH(Z$2,Inputs!$D$2:$AG$2,0)),Inputs!$B$4:$B$200,$B28)/1000)</f>
        <v>9485</v>
      </c>
      <c r="AA28" s="11">
        <f>IF(AA$3=0,"",SUMIFS(INDEX(Inputs!$D$4:$AG$200,0,MATCH(AA$2,Inputs!$D$2:$AG$2,0)),Inputs!$B$4:$B$200,$B28)/1000)</f>
        <v>10078</v>
      </c>
      <c r="AB28" s="12">
        <f>IF(AA28="","",AA28)</f>
        <v>10078</v>
      </c>
      <c r="AC28" s="11">
        <f>IF(AC$3=0,"",SUMIFS(INDEX(Inputs!$D$4:$AG$200,0,MATCH(AC$2,Inputs!$D$2:$AG$2,0)),Inputs!$B$4:$B$200,$B28)/1000)</f>
        <v>10683</v>
      </c>
      <c r="AD28" s="11">
        <f>IF(AD$3=0,"",SUMIFS(INDEX(Inputs!$D$4:$AG$200,0,MATCH(AD$2,Inputs!$D$2:$AG$2,0)),Inputs!$B$4:$B$200,$B28)/1000)</f>
        <v>10822</v>
      </c>
      <c r="AE28" s="11" t="str">
        <f>IF(AE$3=0,"",SUMIFS(INDEX(Inputs!$D$4:$AG$200,0,MATCH(AE$2,Inputs!$D$2:$AG$2,0)),Inputs!$B$4:$B$200,$B28)/1000)</f>
        <v/>
      </c>
      <c r="AF28" s="11" t="str">
        <f>IF(AF$3=0,"",SUMIFS(INDEX(Inputs!$D$4:$AG$200,0,MATCH(AF$2,Inputs!$D$2:$AG$2,0)),Inputs!$B$4:$B$200,$B28)/1000)</f>
        <v/>
      </c>
      <c r="AG28" s="12" t="str">
        <f>IF(AF28="","",AF28)</f>
        <v/>
      </c>
    </row>
    <row r="29">
      <c r="B29" s="9" t="n">
        <v>24</v>
      </c>
      <c r="C29" s="14" t="inlineStr">
        <is>
          <t>Accrued expenses</t>
        </is>
      </c>
      <c r="D29" s="11">
        <f>IF(D$3=0,"",SUMIFS(INDEX(Inputs!$D$4:$AG$200,0,MATCH(D$2,Inputs!$D$2:$AG$2,0)),Inputs!$B$4:$B$200,$B29)/1000)</f>
        <v>0</v>
      </c>
      <c r="E29" s="11">
        <f>IF(E$3=0,"",SUMIFS(INDEX(Inputs!$D$4:$AG$200,0,MATCH(E$2,Inputs!$D$2:$AG$2,0)),Inputs!$B$4:$B$200,$B29)/1000)</f>
        <v>0</v>
      </c>
      <c r="F29" s="11">
        <f>IF(F$3=0,"",SUMIFS(INDEX(Inputs!$D$4:$AG$200,0,MATCH(F$2,Inputs!$D$2:$AG$2,0)),Inputs!$B$4:$B$200,$B29)/1000)</f>
        <v>0</v>
      </c>
      <c r="G29" s="11">
        <f>IF(G$3=0,"",SUMIFS(INDEX(Inputs!$D$4:$AG$200,0,MATCH(G$2,Inputs!$D$2:$AG$2,0)),Inputs!$B$4:$B$200,$B29)/1000)</f>
        <v>0</v>
      </c>
      <c r="H29" s="12">
        <f>IF(G29="","",G29)</f>
        <v>0</v>
      </c>
      <c r="I29" s="11">
        <f>IF(I$3=0,"",SUMIFS(INDEX(Inputs!$D$4:$AG$200,0,MATCH(I$2,Inputs!$D$2:$AG$2,0)),Inputs!$B$4:$B$200,$B29)/1000)</f>
        <v>0</v>
      </c>
      <c r="J29" s="11">
        <f>IF(J$3=0,"",SUMIFS(INDEX(Inputs!$D$4:$AG$200,0,MATCH(J$2,Inputs!$D$2:$AG$2,0)),Inputs!$B$4:$B$200,$B29)/1000)</f>
        <v>0</v>
      </c>
      <c r="K29" s="11">
        <f>IF(K$3=0,"",SUMIFS(INDEX(Inputs!$D$4:$AG$200,0,MATCH(K$2,Inputs!$D$2:$AG$2,0)),Inputs!$B$4:$B$200,$B29)/1000)</f>
        <v>0</v>
      </c>
      <c r="L29" s="11">
        <f>IF(L$3=0,"",SUMIFS(INDEX(Inputs!$D$4:$AG$200,0,MATCH(L$2,Inputs!$D$2:$AG$2,0)),Inputs!$B$4:$B$200,$B29)/1000)</f>
        <v>0</v>
      </c>
      <c r="M29" s="12">
        <f>IF(L29="","",L29)</f>
        <v>0</v>
      </c>
      <c r="N29" s="11">
        <f>IF(N$3=0,"",SUMIFS(INDEX(Inputs!$D$4:$AG$200,0,MATCH(N$2,Inputs!$D$2:$AG$2,0)),Inputs!$B$4:$B$200,$B29)/1000)</f>
        <v>0</v>
      </c>
      <c r="O29" s="11">
        <f>IF(O$3=0,"",SUMIFS(INDEX(Inputs!$D$4:$AG$200,0,MATCH(O$2,Inputs!$D$2:$AG$2,0)),Inputs!$B$4:$B$200,$B29)/1000)</f>
        <v>0</v>
      </c>
      <c r="P29" s="11">
        <f>IF(P$3=0,"",SUMIFS(INDEX(Inputs!$D$4:$AG$200,0,MATCH(P$2,Inputs!$D$2:$AG$2,0)),Inputs!$B$4:$B$200,$B29)/1000)</f>
        <v>0</v>
      </c>
      <c r="Q29" s="11">
        <f>IF(Q$3=0,"",SUMIFS(INDEX(Inputs!$D$4:$AG$200,0,MATCH(Q$2,Inputs!$D$2:$AG$2,0)),Inputs!$B$4:$B$200,$B29)/1000)</f>
        <v>0</v>
      </c>
      <c r="R29" s="12">
        <f>IF(Q29="","",Q29)</f>
        <v>0</v>
      </c>
      <c r="S29" s="11">
        <f>IF(S$3=0,"",SUMIFS(INDEX(Inputs!$D$4:$AG$200,0,MATCH(S$2,Inputs!$D$2:$AG$2,0)),Inputs!$B$4:$B$200,$B29)/1000)</f>
        <v>0</v>
      </c>
      <c r="T29" s="11">
        <f>IF(T$3=0,"",SUMIFS(INDEX(Inputs!$D$4:$AG$200,0,MATCH(T$2,Inputs!$D$2:$AG$2,0)),Inputs!$B$4:$B$200,$B29)/1000)</f>
        <v>0</v>
      </c>
      <c r="U29" s="11">
        <f>IF(U$3=0,"",SUMIFS(INDEX(Inputs!$D$4:$AG$200,0,MATCH(U$2,Inputs!$D$2:$AG$2,0)),Inputs!$B$4:$B$200,$B29)/1000)</f>
        <v>0</v>
      </c>
      <c r="V29" s="11">
        <f>IF(V$3=0,"",SUMIFS(INDEX(Inputs!$D$4:$AG$200,0,MATCH(V$2,Inputs!$D$2:$AG$2,0)),Inputs!$B$4:$B$200,$B29)/1000)</f>
        <v>0</v>
      </c>
      <c r="W29" s="12">
        <f>IF(V29="","",V29)</f>
        <v>0</v>
      </c>
      <c r="X29" s="11">
        <f>IF(X$3=0,"",SUMIFS(INDEX(Inputs!$D$4:$AG$200,0,MATCH(X$2,Inputs!$D$2:$AG$2,0)),Inputs!$B$4:$B$200,$B29)/1000)</f>
        <v>0</v>
      </c>
      <c r="Y29" s="11">
        <f>IF(Y$3=0,"",SUMIFS(INDEX(Inputs!$D$4:$AG$200,0,MATCH(Y$2,Inputs!$D$2:$AG$2,0)),Inputs!$B$4:$B$200,$B29)/1000)</f>
        <v>0</v>
      </c>
      <c r="Z29" s="11">
        <f>IF(Z$3=0,"",SUMIFS(INDEX(Inputs!$D$4:$AG$200,0,MATCH(Z$2,Inputs!$D$2:$AG$2,0)),Inputs!$B$4:$B$200,$B29)/1000)</f>
        <v>0</v>
      </c>
      <c r="AA29" s="11">
        <f>IF(AA$3=0,"",SUMIFS(INDEX(Inputs!$D$4:$AG$200,0,MATCH(AA$2,Inputs!$D$2:$AG$2,0)),Inputs!$B$4:$B$200,$B29)/1000)</f>
        <v>0</v>
      </c>
      <c r="AB29" s="12">
        <f>IF(AA29="","",AA29)</f>
        <v>0</v>
      </c>
      <c r="AC29" s="11">
        <f>IF(AC$3=0,"",SUMIFS(INDEX(Inputs!$D$4:$AG$200,0,MATCH(AC$2,Inputs!$D$2:$AG$2,0)),Inputs!$B$4:$B$200,$B29)/1000)</f>
        <v>0</v>
      </c>
      <c r="AD29" s="11">
        <f>IF(AD$3=0,"",SUMIFS(INDEX(Inputs!$D$4:$AG$200,0,MATCH(AD$2,Inputs!$D$2:$AG$2,0)),Inputs!$B$4:$B$200,$B29)/1000)</f>
        <v>0</v>
      </c>
      <c r="AE29" s="11" t="str">
        <f>IF(AE$3=0,"",SUMIFS(INDEX(Inputs!$D$4:$AG$200,0,MATCH(AE$2,Inputs!$D$2:$AG$2,0)),Inputs!$B$4:$B$200,$B29)/1000)</f>
        <v/>
      </c>
      <c r="AF29" s="11" t="str">
        <f>IF(AF$3=0,"",SUMIFS(INDEX(Inputs!$D$4:$AG$200,0,MATCH(AF$2,Inputs!$D$2:$AG$2,0)),Inputs!$B$4:$B$200,$B29)/1000)</f>
        <v/>
      </c>
      <c r="AG29" s="12" t="str">
        <f>IF(AF29="","",AF29)</f>
        <v/>
      </c>
    </row>
    <row r="30">
      <c r="B30" s="9" t="n">
        <v>25</v>
      </c>
      <c r="C30" s="14" t="inlineStr">
        <is>
          <t>Taxes payable</t>
        </is>
      </c>
      <c r="D30" s="11">
        <f>IF(D$3=0,"",SUMIFS(INDEX(Inputs!$D$4:$AG$200,0,MATCH(D$2,Inputs!$D$2:$AG$2,0)),Inputs!$B$4:$B$200,$B30)/1000)</f>
        <v>0</v>
      </c>
      <c r="E30" s="11">
        <f>IF(E$3=0,"",SUMIFS(INDEX(Inputs!$D$4:$AG$200,0,MATCH(E$2,Inputs!$D$2:$AG$2,0)),Inputs!$B$4:$B$200,$B30)/1000)</f>
        <v>0</v>
      </c>
      <c r="F30" s="11">
        <f>IF(F$3=0,"",SUMIFS(INDEX(Inputs!$D$4:$AG$200,0,MATCH(F$2,Inputs!$D$2:$AG$2,0)),Inputs!$B$4:$B$200,$B30)/1000)</f>
        <v>0</v>
      </c>
      <c r="G30" s="11">
        <f>IF(G$3=0,"",SUMIFS(INDEX(Inputs!$D$4:$AG$200,0,MATCH(G$2,Inputs!$D$2:$AG$2,0)),Inputs!$B$4:$B$200,$B30)/1000)</f>
        <v>0</v>
      </c>
      <c r="H30" s="12">
        <f>IF(G30="","",G30)</f>
        <v>0</v>
      </c>
      <c r="I30" s="11">
        <f>IF(I$3=0,"",SUMIFS(INDEX(Inputs!$D$4:$AG$200,0,MATCH(I$2,Inputs!$D$2:$AG$2,0)),Inputs!$B$4:$B$200,$B30)/1000)</f>
        <v>0</v>
      </c>
      <c r="J30" s="11">
        <f>IF(J$3=0,"",SUMIFS(INDEX(Inputs!$D$4:$AG$200,0,MATCH(J$2,Inputs!$D$2:$AG$2,0)),Inputs!$B$4:$B$200,$B30)/1000)</f>
        <v>0</v>
      </c>
      <c r="K30" s="11">
        <f>IF(K$3=0,"",SUMIFS(INDEX(Inputs!$D$4:$AG$200,0,MATCH(K$2,Inputs!$D$2:$AG$2,0)),Inputs!$B$4:$B$200,$B30)/1000)</f>
        <v>0</v>
      </c>
      <c r="L30" s="11">
        <f>IF(L$3=0,"",SUMIFS(INDEX(Inputs!$D$4:$AG$200,0,MATCH(L$2,Inputs!$D$2:$AG$2,0)),Inputs!$B$4:$B$200,$B30)/1000)</f>
        <v>0</v>
      </c>
      <c r="M30" s="12">
        <f>IF(L30="","",L30)</f>
        <v>0</v>
      </c>
      <c r="N30" s="11">
        <f>IF(N$3=0,"",SUMIFS(INDEX(Inputs!$D$4:$AG$200,0,MATCH(N$2,Inputs!$D$2:$AG$2,0)),Inputs!$B$4:$B$200,$B30)/1000)</f>
        <v>0</v>
      </c>
      <c r="O30" s="11">
        <f>IF(O$3=0,"",SUMIFS(INDEX(Inputs!$D$4:$AG$200,0,MATCH(O$2,Inputs!$D$2:$AG$2,0)),Inputs!$B$4:$B$200,$B30)/1000)</f>
        <v>0</v>
      </c>
      <c r="P30" s="11">
        <f>IF(P$3=0,"",SUMIFS(INDEX(Inputs!$D$4:$AG$200,0,MATCH(P$2,Inputs!$D$2:$AG$2,0)),Inputs!$B$4:$B$200,$B30)/1000)</f>
        <v>0</v>
      </c>
      <c r="Q30" s="11">
        <f>IF(Q$3=0,"",SUMIFS(INDEX(Inputs!$D$4:$AG$200,0,MATCH(Q$2,Inputs!$D$2:$AG$2,0)),Inputs!$B$4:$B$200,$B30)/1000)</f>
        <v>0</v>
      </c>
      <c r="R30" s="12">
        <f>IF(Q30="","",Q30)</f>
        <v>0</v>
      </c>
      <c r="S30" s="11">
        <f>IF(S$3=0,"",SUMIFS(INDEX(Inputs!$D$4:$AG$200,0,MATCH(S$2,Inputs!$D$2:$AG$2,0)),Inputs!$B$4:$B$200,$B30)/1000)</f>
        <v>0</v>
      </c>
      <c r="T30" s="11">
        <f>IF(T$3=0,"",SUMIFS(INDEX(Inputs!$D$4:$AG$200,0,MATCH(T$2,Inputs!$D$2:$AG$2,0)),Inputs!$B$4:$B$200,$B30)/1000)</f>
        <v>0</v>
      </c>
      <c r="U30" s="11">
        <f>IF(U$3=0,"",SUMIFS(INDEX(Inputs!$D$4:$AG$200,0,MATCH(U$2,Inputs!$D$2:$AG$2,0)),Inputs!$B$4:$B$200,$B30)/1000)</f>
        <v>0</v>
      </c>
      <c r="V30" s="11">
        <f>IF(V$3=0,"",SUMIFS(INDEX(Inputs!$D$4:$AG$200,0,MATCH(V$2,Inputs!$D$2:$AG$2,0)),Inputs!$B$4:$B$200,$B30)/1000)</f>
        <v>0</v>
      </c>
      <c r="W30" s="12">
        <f>IF(V30="","",V30)</f>
        <v>0</v>
      </c>
      <c r="X30" s="11">
        <f>IF(X$3=0,"",SUMIFS(INDEX(Inputs!$D$4:$AG$200,0,MATCH(X$2,Inputs!$D$2:$AG$2,0)),Inputs!$B$4:$B$200,$B30)/1000)</f>
        <v>0</v>
      </c>
      <c r="Y30" s="11">
        <f>IF(Y$3=0,"",SUMIFS(INDEX(Inputs!$D$4:$AG$200,0,MATCH(Y$2,Inputs!$D$2:$AG$2,0)),Inputs!$B$4:$B$200,$B30)/1000)</f>
        <v>0</v>
      </c>
      <c r="Z30" s="11">
        <f>IF(Z$3=0,"",SUMIFS(INDEX(Inputs!$D$4:$AG$200,0,MATCH(Z$2,Inputs!$D$2:$AG$2,0)),Inputs!$B$4:$B$200,$B30)/1000)</f>
        <v>0</v>
      </c>
      <c r="AA30" s="11">
        <f>IF(AA$3=0,"",SUMIFS(INDEX(Inputs!$D$4:$AG$200,0,MATCH(AA$2,Inputs!$D$2:$AG$2,0)),Inputs!$B$4:$B$200,$B30)/1000)</f>
        <v>0</v>
      </c>
      <c r="AB30" s="12">
        <f>IF(AA30="","",AA30)</f>
        <v>0</v>
      </c>
      <c r="AC30" s="11">
        <f>IF(AC$3=0,"",SUMIFS(INDEX(Inputs!$D$4:$AG$200,0,MATCH(AC$2,Inputs!$D$2:$AG$2,0)),Inputs!$B$4:$B$200,$B30)/1000)</f>
        <v>0</v>
      </c>
      <c r="AD30" s="11">
        <f>IF(AD$3=0,"",SUMIFS(INDEX(Inputs!$D$4:$AG$200,0,MATCH(AD$2,Inputs!$D$2:$AG$2,0)),Inputs!$B$4:$B$200,$B30)/1000)</f>
        <v>0</v>
      </c>
      <c r="AE30" s="11" t="str">
        <f>IF(AE$3=0,"",SUMIFS(INDEX(Inputs!$D$4:$AG$200,0,MATCH(AE$2,Inputs!$D$2:$AG$2,0)),Inputs!$B$4:$B$200,$B30)/1000)</f>
        <v/>
      </c>
      <c r="AF30" s="11" t="str">
        <f>IF(AF$3=0,"",SUMIFS(INDEX(Inputs!$D$4:$AG$200,0,MATCH(AF$2,Inputs!$D$2:$AG$2,0)),Inputs!$B$4:$B$200,$B30)/1000)</f>
        <v/>
      </c>
      <c r="AG30" s="12" t="str">
        <f>IF(AF30="","",AF30)</f>
        <v/>
      </c>
    </row>
    <row r="31">
      <c r="B31" s="9" t="n">
        <v>26</v>
      </c>
      <c r="C31" s="14" t="inlineStr">
        <is>
          <t>Other current liabilities (non-debt)</t>
        </is>
      </c>
      <c r="D31" s="11">
        <f>IF(D$3=0,"",SUMIFS(INDEX(Inputs!$D$4:$AG$200,0,MATCH(D$2,Inputs!$D$2:$AG$2,0)),Inputs!$B$4:$B$200,$B31)/1000)</f>
        <v>53220</v>
      </c>
      <c r="E31" s="11">
        <f>IF(E$3=0,"",SUMIFS(INDEX(Inputs!$D$4:$AG$200,0,MATCH(E$2,Inputs!$D$2:$AG$2,0)),Inputs!$B$4:$B$200,$B31)/1000)</f>
        <v>52352</v>
      </c>
      <c r="F31" s="11">
        <f>IF(F$3=0,"",SUMIFS(INDEX(Inputs!$D$4:$AG$200,0,MATCH(F$2,Inputs!$D$2:$AG$2,0)),Inputs!$B$4:$B$200,$B31)/1000)</f>
        <v>52222</v>
      </c>
      <c r="G31" s="11">
        <f>IF(G$3=0,"",SUMIFS(INDEX(Inputs!$D$4:$AG$200,0,MATCH(G$2,Inputs!$D$2:$AG$2,0)),Inputs!$B$4:$B$200,$B31)/1000)</f>
        <v>47598</v>
      </c>
      <c r="H31" s="12">
        <f>IF(G31="","",G31)</f>
        <v>47598</v>
      </c>
      <c r="I31" s="11">
        <f>IF(I$3=0,"",SUMIFS(INDEX(Inputs!$D$4:$AG$200,0,MATCH(I$2,Inputs!$D$2:$AG$2,0)),Inputs!$B$4:$B$200,$B31)/1000)</f>
        <v>48363</v>
      </c>
      <c r="J31" s="11">
        <f>IF(J$3=0,"",SUMIFS(INDEX(Inputs!$D$4:$AG$200,0,MATCH(J$2,Inputs!$D$2:$AG$2,0)),Inputs!$B$4:$B$200,$B31)/1000)</f>
        <v>48944</v>
      </c>
      <c r="K31" s="11">
        <f>IF(K$3=0,"",SUMIFS(INDEX(Inputs!$D$4:$AG$200,0,MATCH(K$2,Inputs!$D$2:$AG$2,0)),Inputs!$B$4:$B$200,$B31)/1000)</f>
        <v>50375</v>
      </c>
      <c r="L31" s="11">
        <f>IF(L$3=0,"",SUMIFS(INDEX(Inputs!$D$4:$AG$200,0,MATCH(L$2,Inputs!$D$2:$AG$2,0)),Inputs!$B$4:$B$200,$B31)/1000)</f>
        <v>53196</v>
      </c>
      <c r="M31" s="12">
        <f>IF(L31="","",L31)</f>
        <v>53196</v>
      </c>
      <c r="N31" s="11">
        <f>IF(N$3=0,"",SUMIFS(INDEX(Inputs!$D$4:$AG$200,0,MATCH(N$2,Inputs!$D$2:$AG$2,0)),Inputs!$B$4:$B$200,$B31)/1000)</f>
        <v>45918</v>
      </c>
      <c r="O31" s="11">
        <f>IF(O$3=0,"",SUMIFS(INDEX(Inputs!$D$4:$AG$200,0,MATCH(O$2,Inputs!$D$2:$AG$2,0)),Inputs!$B$4:$B$200,$B31)/1000)</f>
        <v>46228</v>
      </c>
      <c r="P31" s="11">
        <f>IF(P$3=0,"",SUMIFS(INDEX(Inputs!$D$4:$AG$200,0,MATCH(P$2,Inputs!$D$2:$AG$2,0)),Inputs!$B$4:$B$200,$B31)/1000)</f>
        <v>46831</v>
      </c>
      <c r="Q31" s="11">
        <f>IF(Q$3=0,"",SUMIFS(INDEX(Inputs!$D$4:$AG$200,0,MATCH(Q$2,Inputs!$D$2:$AG$2,0)),Inputs!$B$4:$B$200,$B31)/1000)</f>
        <v>49623</v>
      </c>
      <c r="R31" s="12">
        <f>IF(Q31="","",Q31)</f>
        <v>49623</v>
      </c>
      <c r="S31" s="11">
        <f>IF(S$3=0,"",SUMIFS(INDEX(Inputs!$D$4:$AG$200,0,MATCH(S$2,Inputs!$D$2:$AG$2,0)),Inputs!$B$4:$B$200,$B31)/1000)</f>
        <v>50056</v>
      </c>
      <c r="T31" s="11">
        <f>IF(T$3=0,"",SUMIFS(INDEX(Inputs!$D$4:$AG$200,0,MATCH(T$2,Inputs!$D$2:$AG$2,0)),Inputs!$B$4:$B$200,$B31)/1000)</f>
        <v>23343</v>
      </c>
      <c r="U31" s="11">
        <f>IF(U$3=0,"",SUMIFS(INDEX(Inputs!$D$4:$AG$200,0,MATCH(U$2,Inputs!$D$2:$AG$2,0)),Inputs!$B$4:$B$200,$B31)/1000)</f>
        <v>24582</v>
      </c>
      <c r="V31" s="11">
        <f>IF(V$3=0,"",SUMIFS(INDEX(Inputs!$D$4:$AG$200,0,MATCH(V$2,Inputs!$D$2:$AG$2,0)),Inputs!$B$4:$B$200,$B31)/1000)</f>
        <v>24443</v>
      </c>
      <c r="W31" s="12">
        <f>IF(V31="","",V31)</f>
        <v>24443</v>
      </c>
      <c r="X31" s="11">
        <f>IF(X$3=0,"",SUMIFS(INDEX(Inputs!$D$4:$AG$200,0,MATCH(X$2,Inputs!$D$2:$AG$2,0)),Inputs!$B$4:$B$200,$B31)/1000)</f>
        <v>24232</v>
      </c>
      <c r="Y31" s="11">
        <f>IF(Y$3=0,"",SUMIFS(INDEX(Inputs!$D$4:$AG$200,0,MATCH(Y$2,Inputs!$D$2:$AG$2,0)),Inputs!$B$4:$B$200,$B31)/1000)</f>
        <v>25082</v>
      </c>
      <c r="Z31" s="11">
        <f>IF(Z$3=0,"",SUMIFS(INDEX(Inputs!$D$4:$AG$200,0,MATCH(Z$2,Inputs!$D$2:$AG$2,0)),Inputs!$B$4:$B$200,$B31)/1000)</f>
        <v>25650</v>
      </c>
      <c r="AA31" s="11">
        <f>IF(AA$3=0,"",SUMIFS(INDEX(Inputs!$D$4:$AG$200,0,MATCH(AA$2,Inputs!$D$2:$AG$2,0)),Inputs!$B$4:$B$200,$B31)/1000)</f>
        <v>27217</v>
      </c>
      <c r="AB31" s="12">
        <f>IF(AA31="","",AA31)</f>
        <v>27217</v>
      </c>
      <c r="AC31" s="11">
        <f>IF(AC$3=0,"",SUMIFS(INDEX(Inputs!$D$4:$AG$200,0,MATCH(AC$2,Inputs!$D$2:$AG$2,0)),Inputs!$B$4:$B$200,$B31)/1000)</f>
        <v>27238</v>
      </c>
      <c r="AD31" s="11">
        <f>IF(AD$3=0,"",SUMIFS(INDEX(Inputs!$D$4:$AG$200,0,MATCH(AD$2,Inputs!$D$2:$AG$2,0)),Inputs!$B$4:$B$200,$B31)/1000)</f>
        <v>27607</v>
      </c>
      <c r="AE31" s="11" t="str">
        <f>IF(AE$3=0,"",SUMIFS(INDEX(Inputs!$D$4:$AG$200,0,MATCH(AE$2,Inputs!$D$2:$AG$2,0)),Inputs!$B$4:$B$200,$B31)/1000)</f>
        <v/>
      </c>
      <c r="AF31" s="11" t="str">
        <f>IF(AF$3=0,"",SUMIFS(INDEX(Inputs!$D$4:$AG$200,0,MATCH(AF$2,Inputs!$D$2:$AG$2,0)),Inputs!$B$4:$B$200,$B31)/1000)</f>
        <v/>
      </c>
      <c r="AG31" s="12" t="str">
        <f>IF(AF31="","",AF31)</f>
        <v/>
      </c>
    </row>
    <row r="32">
      <c r="B32" s="9" t="n">
        <v>27</v>
      </c>
      <c r="C32" s="14" t="inlineStr">
        <is>
          <t>Current portion of long-term debt</t>
        </is>
      </c>
      <c r="D32" s="11">
        <f>IF(D$3=0,"",SUMIFS(INDEX(Inputs!$D$4:$AG$200,0,MATCH(D$2,Inputs!$D$2:$AG$2,0)),Inputs!$B$4:$B$200,$B32)/1000)</f>
        <v>4468</v>
      </c>
      <c r="E32" s="11">
        <f>IF(E$3=0,"",SUMIFS(INDEX(Inputs!$D$4:$AG$200,0,MATCH(E$2,Inputs!$D$2:$AG$2,0)),Inputs!$B$4:$B$200,$B32)/1000)</f>
        <v>4293</v>
      </c>
      <c r="F32" s="11">
        <f>IF(F$3=0,"",SUMIFS(INDEX(Inputs!$D$4:$AG$200,0,MATCH(F$2,Inputs!$D$2:$AG$2,0)),Inputs!$B$4:$B$200,$B32)/1000)</f>
        <v>5459</v>
      </c>
      <c r="G32" s="11">
        <f>IF(G$3=0,"",SUMIFS(INDEX(Inputs!$D$4:$AG$200,0,MATCH(G$2,Inputs!$D$2:$AG$2,0)),Inputs!$B$4:$B$200,$B32)/1000)</f>
        <v>4361</v>
      </c>
      <c r="H32" s="12">
        <f>IF(G32="","",G32)</f>
        <v>4361</v>
      </c>
      <c r="I32" s="11">
        <f>IF(I$3=0,"",SUMIFS(INDEX(Inputs!$D$4:$AG$200,0,MATCH(I$2,Inputs!$D$2:$AG$2,0)),Inputs!$B$4:$B$200,$B32)/1000)</f>
        <v>4985</v>
      </c>
      <c r="J32" s="11">
        <f>IF(J$3=0,"",SUMIFS(INDEX(Inputs!$D$4:$AG$200,0,MATCH(J$2,Inputs!$D$2:$AG$2,0)),Inputs!$B$4:$B$200,$B32)/1000)</f>
        <v>4947</v>
      </c>
      <c r="K32" s="11">
        <f>IF(K$3=0,"",SUMIFS(INDEX(Inputs!$D$4:$AG$200,0,MATCH(K$2,Inputs!$D$2:$AG$2,0)),Inputs!$B$4:$B$200,$B32)/1000)</f>
        <v>4285</v>
      </c>
      <c r="L32" s="11">
        <f>IF(L$3=0,"",SUMIFS(INDEX(Inputs!$D$4:$AG$200,0,MATCH(L$2,Inputs!$D$2:$AG$2,0)),Inputs!$B$4:$B$200,$B32)/1000)</f>
        <v>3757</v>
      </c>
      <c r="M32" s="12">
        <f>IF(L32="","",L32)</f>
        <v>3757</v>
      </c>
      <c r="N32" s="11">
        <f>IF(N$3=0,"",SUMIFS(INDEX(Inputs!$D$4:$AG$200,0,MATCH(N$2,Inputs!$D$2:$AG$2,0)),Inputs!$B$4:$B$200,$B32)/1000)</f>
        <v>2262</v>
      </c>
      <c r="O32" s="11">
        <f>IF(O$3=0,"",SUMIFS(INDEX(Inputs!$D$4:$AG$200,0,MATCH(O$2,Inputs!$D$2:$AG$2,0)),Inputs!$B$4:$B$200,$B32)/1000)</f>
        <v>1882</v>
      </c>
      <c r="P32" s="11">
        <f>IF(P$3=0,"",SUMIFS(INDEX(Inputs!$D$4:$AG$200,0,MATCH(P$2,Inputs!$D$2:$AG$2,0)),Inputs!$B$4:$B$200,$B32)/1000)</f>
        <v>1334</v>
      </c>
      <c r="Q32" s="11">
        <f>IF(Q$3=0,"",SUMIFS(INDEX(Inputs!$D$4:$AG$200,0,MATCH(Q$2,Inputs!$D$2:$AG$2,0)),Inputs!$B$4:$B$200,$B32)/1000)</f>
        <v>1253</v>
      </c>
      <c r="R32" s="12">
        <f>IF(Q32="","",Q32)</f>
        <v>1253</v>
      </c>
      <c r="S32" s="11">
        <f>IF(S$3=0,"",SUMIFS(INDEX(Inputs!$D$4:$AG$200,0,MATCH(S$2,Inputs!$D$2:$AG$2,0)),Inputs!$B$4:$B$200,$B32)/1000)</f>
        <v>1032</v>
      </c>
      <c r="T32" s="11">
        <f>IF(T$3=0,"",SUMIFS(INDEX(Inputs!$D$4:$AG$200,0,MATCH(T$2,Inputs!$D$2:$AG$2,0)),Inputs!$B$4:$B$200,$B32)/1000)</f>
        <v>1700</v>
      </c>
      <c r="U32" s="11">
        <f>IF(U$3=0,"",SUMIFS(INDEX(Inputs!$D$4:$AG$200,0,MATCH(U$2,Inputs!$D$2:$AG$2,0)),Inputs!$B$4:$B$200,$B32)/1000)</f>
        <v>1681</v>
      </c>
      <c r="V32" s="11">
        <f>IF(V$3=0,"",SUMIFS(INDEX(Inputs!$D$4:$AG$200,0,MATCH(V$2,Inputs!$D$2:$AG$2,0)),Inputs!$B$4:$B$200,$B32)/1000)</f>
        <v>2039</v>
      </c>
      <c r="W32" s="12">
        <f>IF(V32="","",V32)</f>
        <v>2039</v>
      </c>
      <c r="X32" s="11">
        <f>IF(X$3=0,"",SUMIFS(INDEX(Inputs!$D$4:$AG$200,0,MATCH(X$2,Inputs!$D$2:$AG$2,0)),Inputs!$B$4:$B$200,$B32)/1000)</f>
        <v>2084</v>
      </c>
      <c r="Y32" s="11">
        <f>IF(Y$3=0,"",SUMIFS(INDEX(Inputs!$D$4:$AG$200,0,MATCH(Y$2,Inputs!$D$2:$AG$2,0)),Inputs!$B$4:$B$200,$B32)/1000)</f>
        <v>1889</v>
      </c>
      <c r="Z32" s="11">
        <f>IF(Z$3=0,"",SUMIFS(INDEX(Inputs!$D$4:$AG$200,0,MATCH(Z$2,Inputs!$D$2:$AG$2,0)),Inputs!$B$4:$B$200,$B32)/1000)</f>
        <v>2067</v>
      </c>
      <c r="AA32" s="11">
        <f>IF(AA$3=0,"",SUMIFS(INDEX(Inputs!$D$4:$AG$200,0,MATCH(AA$2,Inputs!$D$2:$AG$2,0)),Inputs!$B$4:$B$200,$B32)/1000)</f>
        <v>1686</v>
      </c>
      <c r="AB32" s="12">
        <f>IF(AA32="","",AA32)</f>
        <v>1686</v>
      </c>
      <c r="AC32" s="11">
        <f>IF(AC$3=0,"",SUMIFS(INDEX(Inputs!$D$4:$AG$200,0,MATCH(AC$2,Inputs!$D$2:$AG$2,0)),Inputs!$B$4:$B$200,$B32)/1000)</f>
        <v>2103</v>
      </c>
      <c r="AD32" s="11">
        <f>IF(AD$3=0,"",SUMIFS(INDEX(Inputs!$D$4:$AG$200,0,MATCH(AD$2,Inputs!$D$2:$AG$2,0)),Inputs!$B$4:$B$200,$B32)/1000)</f>
        <v>2000</v>
      </c>
      <c r="AE32" s="11" t="str">
        <f>IF(AE$3=0,"",SUMIFS(INDEX(Inputs!$D$4:$AG$200,0,MATCH(AE$2,Inputs!$D$2:$AG$2,0)),Inputs!$B$4:$B$200,$B32)/1000)</f>
        <v/>
      </c>
      <c r="AF32" s="11" t="str">
        <f>IF(AF$3=0,"",SUMIFS(INDEX(Inputs!$D$4:$AG$200,0,MATCH(AF$2,Inputs!$D$2:$AG$2,0)),Inputs!$B$4:$B$200,$B32)/1000)</f>
        <v/>
      </c>
      <c r="AG32" s="12" t="str">
        <f>IF(AF32="","",AF32)</f>
        <v/>
      </c>
    </row>
    <row r="33">
      <c r="B33" s="9" t="n">
        <v>28</v>
      </c>
      <c r="C33" s="14" t="inlineStr">
        <is>
          <t>Short term debt (Revolving credit facility)</t>
        </is>
      </c>
      <c r="D33" s="11">
        <f>IF(D$3=0,"",SUMIFS(INDEX(Inputs!$D$4:$AG$200,0,MATCH(D$2,Inputs!$D$2:$AG$2,0)),Inputs!$B$4:$B$200,$B33)/1000)</f>
        <v>0</v>
      </c>
      <c r="E33" s="11">
        <f>IF(E$3=0,"",SUMIFS(INDEX(Inputs!$D$4:$AG$200,0,MATCH(E$2,Inputs!$D$2:$AG$2,0)),Inputs!$B$4:$B$200,$B33)/1000)</f>
        <v>0</v>
      </c>
      <c r="F33" s="11">
        <f>IF(F$3=0,"",SUMIFS(INDEX(Inputs!$D$4:$AG$200,0,MATCH(F$2,Inputs!$D$2:$AG$2,0)),Inputs!$B$4:$B$200,$B33)/1000)</f>
        <v>0</v>
      </c>
      <c r="G33" s="11">
        <f>IF(G$3=0,"",SUMIFS(INDEX(Inputs!$D$4:$AG$200,0,MATCH(G$2,Inputs!$D$2:$AG$2,0)),Inputs!$B$4:$B$200,$B33)/1000)</f>
        <v>0</v>
      </c>
      <c r="H33" s="12">
        <f>IF(G33="","",G33)</f>
        <v>0</v>
      </c>
      <c r="I33" s="11">
        <f>IF(I$3=0,"",SUMIFS(INDEX(Inputs!$D$4:$AG$200,0,MATCH(I$2,Inputs!$D$2:$AG$2,0)),Inputs!$B$4:$B$200,$B33)/1000)</f>
        <v>0</v>
      </c>
      <c r="J33" s="11">
        <f>IF(J$3=0,"",SUMIFS(INDEX(Inputs!$D$4:$AG$200,0,MATCH(J$2,Inputs!$D$2:$AG$2,0)),Inputs!$B$4:$B$200,$B33)/1000)</f>
        <v>0</v>
      </c>
      <c r="K33" s="11">
        <f>IF(K$3=0,"",SUMIFS(INDEX(Inputs!$D$4:$AG$200,0,MATCH(K$2,Inputs!$D$2:$AG$2,0)),Inputs!$B$4:$B$200,$B33)/1000)</f>
        <v>0</v>
      </c>
      <c r="L33" s="11">
        <f>IF(L$3=0,"",SUMIFS(INDEX(Inputs!$D$4:$AG$200,0,MATCH(L$2,Inputs!$D$2:$AG$2,0)),Inputs!$B$4:$B$200,$B33)/1000)</f>
        <v>0</v>
      </c>
      <c r="M33" s="12">
        <f>IF(L33="","",L33)</f>
        <v>0</v>
      </c>
      <c r="N33" s="11">
        <f>IF(N$3=0,"",SUMIFS(INDEX(Inputs!$D$4:$AG$200,0,MATCH(N$2,Inputs!$D$2:$AG$2,0)),Inputs!$B$4:$B$200,$B33)/1000)</f>
        <v>0</v>
      </c>
      <c r="O33" s="11">
        <f>IF(O$3=0,"",SUMIFS(INDEX(Inputs!$D$4:$AG$200,0,MATCH(O$2,Inputs!$D$2:$AG$2,0)),Inputs!$B$4:$B$200,$B33)/1000)</f>
        <v>0</v>
      </c>
      <c r="P33" s="11">
        <f>IF(P$3=0,"",SUMIFS(INDEX(Inputs!$D$4:$AG$200,0,MATCH(P$2,Inputs!$D$2:$AG$2,0)),Inputs!$B$4:$B$200,$B33)/1000)</f>
        <v>0</v>
      </c>
      <c r="Q33" s="11">
        <f>IF(Q$3=0,"",SUMIFS(INDEX(Inputs!$D$4:$AG$200,0,MATCH(Q$2,Inputs!$D$2:$AG$2,0)),Inputs!$B$4:$B$200,$B33)/1000)</f>
        <v>0</v>
      </c>
      <c r="R33" s="12">
        <f>IF(Q33="","",Q33)</f>
        <v>0</v>
      </c>
      <c r="S33" s="11">
        <f>IF(S$3=0,"",SUMIFS(INDEX(Inputs!$D$4:$AG$200,0,MATCH(S$2,Inputs!$D$2:$AG$2,0)),Inputs!$B$4:$B$200,$B33)/1000)</f>
        <v>0</v>
      </c>
      <c r="T33" s="11">
        <f>IF(T$3=0,"",SUMIFS(INDEX(Inputs!$D$4:$AG$200,0,MATCH(T$2,Inputs!$D$2:$AG$2,0)),Inputs!$B$4:$B$200,$B33)/1000)</f>
        <v>0</v>
      </c>
      <c r="U33" s="11">
        <f>IF(U$3=0,"",SUMIFS(INDEX(Inputs!$D$4:$AG$200,0,MATCH(U$2,Inputs!$D$2:$AG$2,0)),Inputs!$B$4:$B$200,$B33)/1000)</f>
        <v>0</v>
      </c>
      <c r="V33" s="11">
        <f>IF(V$3=0,"",SUMIFS(INDEX(Inputs!$D$4:$AG$200,0,MATCH(V$2,Inputs!$D$2:$AG$2,0)),Inputs!$B$4:$B$200,$B33)/1000)</f>
        <v>0</v>
      </c>
      <c r="W33" s="12">
        <f>IF(V33="","",V33)</f>
        <v>0</v>
      </c>
      <c r="X33" s="11">
        <f>IF(X$3=0,"",SUMIFS(INDEX(Inputs!$D$4:$AG$200,0,MATCH(X$2,Inputs!$D$2:$AG$2,0)),Inputs!$B$4:$B$200,$B33)/1000)</f>
        <v>0</v>
      </c>
      <c r="Y33" s="11">
        <f>IF(Y$3=0,"",SUMIFS(INDEX(Inputs!$D$4:$AG$200,0,MATCH(Y$2,Inputs!$D$2:$AG$2,0)),Inputs!$B$4:$B$200,$B33)/1000)</f>
        <v>0</v>
      </c>
      <c r="Z33" s="11">
        <f>IF(Z$3=0,"",SUMIFS(INDEX(Inputs!$D$4:$AG$200,0,MATCH(Z$2,Inputs!$D$2:$AG$2,0)),Inputs!$B$4:$B$200,$B33)/1000)</f>
        <v>0</v>
      </c>
      <c r="AA33" s="11">
        <f>IF(AA$3=0,"",SUMIFS(INDEX(Inputs!$D$4:$AG$200,0,MATCH(AA$2,Inputs!$D$2:$AG$2,0)),Inputs!$B$4:$B$200,$B33)/1000)</f>
        <v>0</v>
      </c>
      <c r="AB33" s="12">
        <f>IF(AA33="","",AA33)</f>
        <v>0</v>
      </c>
      <c r="AC33" s="11">
        <f>IF(AC$3=0,"",SUMIFS(INDEX(Inputs!$D$4:$AG$200,0,MATCH(AC$2,Inputs!$D$2:$AG$2,0)),Inputs!$B$4:$B$200,$B33)/1000)</f>
        <v>0</v>
      </c>
      <c r="AD33" s="11">
        <f>IF(AD$3=0,"",SUMIFS(INDEX(Inputs!$D$4:$AG$200,0,MATCH(AD$2,Inputs!$D$2:$AG$2,0)),Inputs!$B$4:$B$200,$B33)/1000)</f>
        <v>0</v>
      </c>
      <c r="AE33" s="11" t="str">
        <f>IF(AE$3=0,"",SUMIFS(INDEX(Inputs!$D$4:$AG$200,0,MATCH(AE$2,Inputs!$D$2:$AG$2,0)),Inputs!$B$4:$B$200,$B33)/1000)</f>
        <v/>
      </c>
      <c r="AF33" s="11" t="str">
        <f>IF(AF$3=0,"",SUMIFS(INDEX(Inputs!$D$4:$AG$200,0,MATCH(AF$2,Inputs!$D$2:$AG$2,0)),Inputs!$B$4:$B$200,$B33)/1000)</f>
        <v/>
      </c>
      <c r="AG33" s="12" t="str">
        <f>IF(AF33="","",AF33)</f>
        <v/>
      </c>
    </row>
    <row r="34">
      <c r="B34" s="9" t="n">
        <v>29</v>
      </c>
      <c r="C34" s="14" t="inlineStr">
        <is>
          <t>Short term operating leases</t>
        </is>
      </c>
      <c r="D34" s="11">
        <f>IF(D$3=0,"",SUMIFS(INDEX(Inputs!$D$4:$AG$200,0,MATCH(D$2,Inputs!$D$2:$AG$2,0)),Inputs!$B$4:$B$200,$B34)/1000)</f>
        <v>0</v>
      </c>
      <c r="E34" s="11">
        <f>IF(E$3=0,"",SUMIFS(INDEX(Inputs!$D$4:$AG$200,0,MATCH(E$2,Inputs!$D$2:$AG$2,0)),Inputs!$B$4:$B$200,$B34)/1000)</f>
        <v>0</v>
      </c>
      <c r="F34" s="11">
        <f>IF(F$3=0,"",SUMIFS(INDEX(Inputs!$D$4:$AG$200,0,MATCH(F$2,Inputs!$D$2:$AG$2,0)),Inputs!$B$4:$B$200,$B34)/1000)</f>
        <v>0</v>
      </c>
      <c r="G34" s="11">
        <f>IF(G$3=0,"",SUMIFS(INDEX(Inputs!$D$4:$AG$200,0,MATCH(G$2,Inputs!$D$2:$AG$2,0)),Inputs!$B$4:$B$200,$B34)/1000)</f>
        <v>0</v>
      </c>
      <c r="H34" s="12">
        <f>IF(G34="","",G34)</f>
        <v>0</v>
      </c>
      <c r="I34" s="11">
        <f>IF(I$3=0,"",SUMIFS(INDEX(Inputs!$D$4:$AG$200,0,MATCH(I$2,Inputs!$D$2:$AG$2,0)),Inputs!$B$4:$B$200,$B34)/1000)</f>
        <v>0</v>
      </c>
      <c r="J34" s="11">
        <f>IF(J$3=0,"",SUMIFS(INDEX(Inputs!$D$4:$AG$200,0,MATCH(J$2,Inputs!$D$2:$AG$2,0)),Inputs!$B$4:$B$200,$B34)/1000)</f>
        <v>0</v>
      </c>
      <c r="K34" s="11">
        <f>IF(K$3=0,"",SUMIFS(INDEX(Inputs!$D$4:$AG$200,0,MATCH(K$2,Inputs!$D$2:$AG$2,0)),Inputs!$B$4:$B$200,$B34)/1000)</f>
        <v>0</v>
      </c>
      <c r="L34" s="11">
        <f>IF(L$3=0,"",SUMIFS(INDEX(Inputs!$D$4:$AG$200,0,MATCH(L$2,Inputs!$D$2:$AG$2,0)),Inputs!$B$4:$B$200,$B34)/1000)</f>
        <v>0</v>
      </c>
      <c r="M34" s="12">
        <f>IF(L34="","",L34)</f>
        <v>0</v>
      </c>
      <c r="N34" s="11">
        <f>IF(N$3=0,"",SUMIFS(INDEX(Inputs!$D$4:$AG$200,0,MATCH(N$2,Inputs!$D$2:$AG$2,0)),Inputs!$B$4:$B$200,$B34)/1000)</f>
        <v>0</v>
      </c>
      <c r="O34" s="11">
        <f>IF(O$3=0,"",SUMIFS(INDEX(Inputs!$D$4:$AG$200,0,MATCH(O$2,Inputs!$D$2:$AG$2,0)),Inputs!$B$4:$B$200,$B34)/1000)</f>
        <v>0</v>
      </c>
      <c r="P34" s="11">
        <f>IF(P$3=0,"",SUMIFS(INDEX(Inputs!$D$4:$AG$200,0,MATCH(P$2,Inputs!$D$2:$AG$2,0)),Inputs!$B$4:$B$200,$B34)/1000)</f>
        <v>0</v>
      </c>
      <c r="Q34" s="11">
        <f>IF(Q$3=0,"",SUMIFS(INDEX(Inputs!$D$4:$AG$200,0,MATCH(Q$2,Inputs!$D$2:$AG$2,0)),Inputs!$B$4:$B$200,$B34)/1000)</f>
        <v>0</v>
      </c>
      <c r="R34" s="12">
        <f>IF(Q34="","",Q34)</f>
        <v>0</v>
      </c>
      <c r="S34" s="11">
        <f>IF(S$3=0,"",SUMIFS(INDEX(Inputs!$D$4:$AG$200,0,MATCH(S$2,Inputs!$D$2:$AG$2,0)),Inputs!$B$4:$B$200,$B34)/1000)</f>
        <v>0</v>
      </c>
      <c r="T34" s="11">
        <f>IF(T$3=0,"",SUMIFS(INDEX(Inputs!$D$4:$AG$200,0,MATCH(T$2,Inputs!$D$2:$AG$2,0)),Inputs!$B$4:$B$200,$B34)/1000)</f>
        <v>0</v>
      </c>
      <c r="U34" s="11">
        <f>IF(U$3=0,"",SUMIFS(INDEX(Inputs!$D$4:$AG$200,0,MATCH(U$2,Inputs!$D$2:$AG$2,0)),Inputs!$B$4:$B$200,$B34)/1000)</f>
        <v>0</v>
      </c>
      <c r="V34" s="11">
        <f>IF(V$3=0,"",SUMIFS(INDEX(Inputs!$D$4:$AG$200,0,MATCH(V$2,Inputs!$D$2:$AG$2,0)),Inputs!$B$4:$B$200,$B34)/1000)</f>
        <v>0</v>
      </c>
      <c r="W34" s="12">
        <f>IF(V34="","",V34)</f>
        <v>0</v>
      </c>
      <c r="X34" s="11">
        <f>IF(X$3=0,"",SUMIFS(INDEX(Inputs!$D$4:$AG$200,0,MATCH(X$2,Inputs!$D$2:$AG$2,0)),Inputs!$B$4:$B$200,$B34)/1000)</f>
        <v>0</v>
      </c>
      <c r="Y34" s="11">
        <f>IF(Y$3=0,"",SUMIFS(INDEX(Inputs!$D$4:$AG$200,0,MATCH(Y$2,Inputs!$D$2:$AG$2,0)),Inputs!$B$4:$B$200,$B34)/1000)</f>
        <v>0</v>
      </c>
      <c r="Z34" s="11">
        <f>IF(Z$3=0,"",SUMIFS(INDEX(Inputs!$D$4:$AG$200,0,MATCH(Z$2,Inputs!$D$2:$AG$2,0)),Inputs!$B$4:$B$200,$B34)/1000)</f>
        <v>0</v>
      </c>
      <c r="AA34" s="11">
        <f>IF(AA$3=0,"",SUMIFS(INDEX(Inputs!$D$4:$AG$200,0,MATCH(AA$2,Inputs!$D$2:$AG$2,0)),Inputs!$B$4:$B$200,$B34)/1000)</f>
        <v>0</v>
      </c>
      <c r="AB34" s="12">
        <f>IF(AA34="","",AA34)</f>
        <v>0</v>
      </c>
      <c r="AC34" s="11">
        <f>IF(AC$3=0,"",SUMIFS(INDEX(Inputs!$D$4:$AG$200,0,MATCH(AC$2,Inputs!$D$2:$AG$2,0)),Inputs!$B$4:$B$200,$B34)/1000)</f>
        <v>0</v>
      </c>
      <c r="AD34" s="11">
        <f>IF(AD$3=0,"",SUMIFS(INDEX(Inputs!$D$4:$AG$200,0,MATCH(AD$2,Inputs!$D$2:$AG$2,0)),Inputs!$B$4:$B$200,$B34)/1000)</f>
        <v>0</v>
      </c>
      <c r="AE34" s="11" t="str">
        <f>IF(AE$3=0,"",SUMIFS(INDEX(Inputs!$D$4:$AG$200,0,MATCH(AE$2,Inputs!$D$2:$AG$2,0)),Inputs!$B$4:$B$200,$B34)/1000)</f>
        <v/>
      </c>
      <c r="AF34" s="11" t="str">
        <f>IF(AF$3=0,"",SUMIFS(INDEX(Inputs!$D$4:$AG$200,0,MATCH(AF$2,Inputs!$D$2:$AG$2,0)),Inputs!$B$4:$B$200,$B34)/1000)</f>
        <v/>
      </c>
      <c r="AG34" s="12" t="str">
        <f>IF(AF34="","",AF34)</f>
        <v/>
      </c>
    </row>
    <row r="35">
      <c r="B35" s="9" t="n">
        <v>30</v>
      </c>
      <c r="C35" s="14" t="inlineStr">
        <is>
          <t>Long term debt</t>
        </is>
      </c>
      <c r="D35" s="11">
        <f>IF(D$3=0,"",SUMIFS(INDEX(Inputs!$D$4:$AG$200,0,MATCH(D$2,Inputs!$D$2:$AG$2,0)),Inputs!$B$4:$B$200,$B35)/1000)</f>
        <v>66890</v>
      </c>
      <c r="E35" s="11">
        <f>IF(E$3=0,"",SUMIFS(INDEX(Inputs!$D$4:$AG$200,0,MATCH(E$2,Inputs!$D$2:$AG$2,0)),Inputs!$B$4:$B$200,$B35)/1000)</f>
        <v>59231</v>
      </c>
      <c r="F35" s="11">
        <f>IF(F$3=0,"",SUMIFS(INDEX(Inputs!$D$4:$AG$200,0,MATCH(F$2,Inputs!$D$2:$AG$2,0)),Inputs!$B$4:$B$200,$B35)/1000)</f>
        <v>57429</v>
      </c>
      <c r="G35" s="11">
        <f>IF(G$3=0,"",SUMIFS(INDEX(Inputs!$D$4:$AG$200,0,MATCH(G$2,Inputs!$D$2:$AG$2,0)),Inputs!$B$4:$B$200,$B35)/1000)</f>
        <v>30824</v>
      </c>
      <c r="H35" s="12">
        <f>IF(G35="","",G35)</f>
        <v>30824</v>
      </c>
      <c r="I35" s="11">
        <f>IF(I$3=0,"",SUMIFS(INDEX(Inputs!$D$4:$AG$200,0,MATCH(I$2,Inputs!$D$2:$AG$2,0)),Inputs!$B$4:$B$200,$B35)/1000)</f>
        <v>28649</v>
      </c>
      <c r="J35" s="11">
        <f>IF(J$3=0,"",SUMIFS(INDEX(Inputs!$D$4:$AG$200,0,MATCH(J$2,Inputs!$D$2:$AG$2,0)),Inputs!$B$4:$B$200,$B35)/1000)</f>
        <v>27571</v>
      </c>
      <c r="K35" s="11">
        <f>IF(K$3=0,"",SUMIFS(INDEX(Inputs!$D$4:$AG$200,0,MATCH(K$2,Inputs!$D$2:$AG$2,0)),Inputs!$B$4:$B$200,$B35)/1000)</f>
        <v>26121</v>
      </c>
      <c r="L35" s="11">
        <f>IF(L$3=0,"",SUMIFS(INDEX(Inputs!$D$4:$AG$200,0,MATCH(L$2,Inputs!$D$2:$AG$2,0)),Inputs!$B$4:$B$200,$B35)/1000)</f>
        <v>28593</v>
      </c>
      <c r="M35" s="12">
        <f>IF(L35="","",L35)</f>
        <v>28593</v>
      </c>
      <c r="N35" s="11">
        <f>IF(N$3=0,"",SUMIFS(INDEX(Inputs!$D$4:$AG$200,0,MATCH(N$2,Inputs!$D$2:$AG$2,0)),Inputs!$B$4:$B$200,$B35)/1000)</f>
        <v>20159</v>
      </c>
      <c r="O35" s="11">
        <f>IF(O$3=0,"",SUMIFS(INDEX(Inputs!$D$4:$AG$200,0,MATCH(O$2,Inputs!$D$2:$AG$2,0)),Inputs!$B$4:$B$200,$B35)/1000)</f>
        <v>19900</v>
      </c>
      <c r="P35" s="11">
        <f>IF(P$3=0,"",SUMIFS(INDEX(Inputs!$D$4:$AG$200,0,MATCH(P$2,Inputs!$D$2:$AG$2,0)),Inputs!$B$4:$B$200,$B35)/1000)</f>
        <v>19488</v>
      </c>
      <c r="Q35" s="11">
        <f>IF(Q$3=0,"",SUMIFS(INDEX(Inputs!$D$4:$AG$200,0,MATCH(Q$2,Inputs!$D$2:$AG$2,0)),Inputs!$B$4:$B$200,$B35)/1000)</f>
        <v>19711</v>
      </c>
      <c r="R35" s="12">
        <f>IF(Q35="","",Q35)</f>
        <v>19711</v>
      </c>
      <c r="S35" s="11">
        <f>IF(S$3=0,"",SUMIFS(INDEX(Inputs!$D$4:$AG$200,0,MATCH(S$2,Inputs!$D$2:$AG$2,0)),Inputs!$B$4:$B$200,$B35)/1000)</f>
        <v>19493</v>
      </c>
      <c r="T35" s="11">
        <f>IF(T$3=0,"",SUMIFS(INDEX(Inputs!$D$4:$AG$200,0,MATCH(T$2,Inputs!$D$2:$AG$2,0)),Inputs!$B$4:$B$200,$B35)/1000)</f>
        <v>17973</v>
      </c>
      <c r="U35" s="11">
        <f>IF(U$3=0,"",SUMIFS(INDEX(Inputs!$D$4:$AG$200,0,MATCH(U$2,Inputs!$D$2:$AG$2,0)),Inputs!$B$4:$B$200,$B35)/1000)</f>
        <v>18240</v>
      </c>
      <c r="V35" s="11">
        <f>IF(V$3=0,"",SUMIFS(INDEX(Inputs!$D$4:$AG$200,0,MATCH(V$2,Inputs!$D$2:$AG$2,0)),Inputs!$B$4:$B$200,$B35)/1000)</f>
        <v>17234</v>
      </c>
      <c r="W35" s="12">
        <f>IF(V35="","",V35)</f>
        <v>17234</v>
      </c>
      <c r="X35" s="11">
        <f>IF(X$3=0,"",SUMIFS(INDEX(Inputs!$D$4:$AG$200,0,MATCH(X$2,Inputs!$D$2:$AG$2,0)),Inputs!$B$4:$B$200,$B35)/1000)</f>
        <v>17487</v>
      </c>
      <c r="Y35" s="11">
        <f>IF(Y$3=0,"",SUMIFS(INDEX(Inputs!$D$4:$AG$200,0,MATCH(Y$2,Inputs!$D$2:$AG$2,0)),Inputs!$B$4:$B$200,$B35)/1000)</f>
        <v>16998</v>
      </c>
      <c r="Z35" s="11">
        <f>IF(Z$3=0,"",SUMIFS(INDEX(Inputs!$D$4:$AG$200,0,MATCH(Z$2,Inputs!$D$2:$AG$2,0)),Inputs!$B$4:$B$200,$B35)/1000)</f>
        <v>18771</v>
      </c>
      <c r="AA35" s="11">
        <f>IF(AA$3=0,"",SUMIFS(INDEX(Inputs!$D$4:$AG$200,0,MATCH(AA$2,Inputs!$D$2:$AG$2,0)),Inputs!$B$4:$B$200,$B35)/1000)</f>
        <v>18808</v>
      </c>
      <c r="AB35" s="12">
        <f>IF(AA35="","",AA35)</f>
        <v>18808</v>
      </c>
      <c r="AC35" s="11">
        <f>IF(AC$3=0,"",SUMIFS(INDEX(Inputs!$D$4:$AG$200,0,MATCH(AC$2,Inputs!$D$2:$AG$2,0)),Inputs!$B$4:$B$200,$B35)/1000)</f>
        <v>18174</v>
      </c>
      <c r="AD35" s="11">
        <f>IF(AD$3=0,"",SUMIFS(INDEX(Inputs!$D$4:$AG$200,0,MATCH(AD$2,Inputs!$D$2:$AG$2,0)),Inputs!$B$4:$B$200,$B35)/1000)</f>
        <v>17157</v>
      </c>
      <c r="AE35" s="11" t="str">
        <f>IF(AE$3=0,"",SUMIFS(INDEX(Inputs!$D$4:$AG$200,0,MATCH(AE$2,Inputs!$D$2:$AG$2,0)),Inputs!$B$4:$B$200,$B35)/1000)</f>
        <v/>
      </c>
      <c r="AF35" s="11" t="str">
        <f>IF(AF$3=0,"",SUMIFS(INDEX(Inputs!$D$4:$AG$200,0,MATCH(AF$2,Inputs!$D$2:$AG$2,0)),Inputs!$B$4:$B$200,$B35)/1000)</f>
        <v/>
      </c>
      <c r="AG35" s="12" t="str">
        <f>IF(AF35="","",AF35)</f>
        <v/>
      </c>
    </row>
    <row r="36">
      <c r="B36" s="9" t="n">
        <v>31</v>
      </c>
      <c r="C36" s="14" t="inlineStr">
        <is>
          <t>Long term operating leases</t>
        </is>
      </c>
      <c r="D36" s="11">
        <f>IF(D$3=0,"",SUMIFS(INDEX(Inputs!$D$4:$AG$200,0,MATCH(D$2,Inputs!$D$2:$AG$2,0)),Inputs!$B$4:$B$200,$B36)/1000)</f>
        <v>0</v>
      </c>
      <c r="E36" s="11">
        <f>IF(E$3=0,"",SUMIFS(INDEX(Inputs!$D$4:$AG$200,0,MATCH(E$2,Inputs!$D$2:$AG$2,0)),Inputs!$B$4:$B$200,$B36)/1000)</f>
        <v>0</v>
      </c>
      <c r="F36" s="11">
        <f>IF(F$3=0,"",SUMIFS(INDEX(Inputs!$D$4:$AG$200,0,MATCH(F$2,Inputs!$D$2:$AG$2,0)),Inputs!$B$4:$B$200,$B36)/1000)</f>
        <v>0</v>
      </c>
      <c r="G36" s="11">
        <f>IF(G$3=0,"",SUMIFS(INDEX(Inputs!$D$4:$AG$200,0,MATCH(G$2,Inputs!$D$2:$AG$2,0)),Inputs!$B$4:$B$200,$B36)/1000)</f>
        <v>0</v>
      </c>
      <c r="H36" s="12">
        <f>IF(G36="","",G36)</f>
        <v>0</v>
      </c>
      <c r="I36" s="11">
        <f>IF(I$3=0,"",SUMIFS(INDEX(Inputs!$D$4:$AG$200,0,MATCH(I$2,Inputs!$D$2:$AG$2,0)),Inputs!$B$4:$B$200,$B36)/1000)</f>
        <v>0</v>
      </c>
      <c r="J36" s="11">
        <f>IF(J$3=0,"",SUMIFS(INDEX(Inputs!$D$4:$AG$200,0,MATCH(J$2,Inputs!$D$2:$AG$2,0)),Inputs!$B$4:$B$200,$B36)/1000)</f>
        <v>0</v>
      </c>
      <c r="K36" s="11">
        <f>IF(K$3=0,"",SUMIFS(INDEX(Inputs!$D$4:$AG$200,0,MATCH(K$2,Inputs!$D$2:$AG$2,0)),Inputs!$B$4:$B$200,$B36)/1000)</f>
        <v>0</v>
      </c>
      <c r="L36" s="11">
        <f>IF(L$3=0,"",SUMIFS(INDEX(Inputs!$D$4:$AG$200,0,MATCH(L$2,Inputs!$D$2:$AG$2,0)),Inputs!$B$4:$B$200,$B36)/1000)</f>
        <v>0</v>
      </c>
      <c r="M36" s="12">
        <f>IF(L36="","",L36)</f>
        <v>0</v>
      </c>
      <c r="N36" s="11">
        <f>IF(N$3=0,"",SUMIFS(INDEX(Inputs!$D$4:$AG$200,0,MATCH(N$2,Inputs!$D$2:$AG$2,0)),Inputs!$B$4:$B$200,$B36)/1000)</f>
        <v>0</v>
      </c>
      <c r="O36" s="11">
        <f>IF(O$3=0,"",SUMIFS(INDEX(Inputs!$D$4:$AG$200,0,MATCH(O$2,Inputs!$D$2:$AG$2,0)),Inputs!$B$4:$B$200,$B36)/1000)</f>
        <v>0</v>
      </c>
      <c r="P36" s="11">
        <f>IF(P$3=0,"",SUMIFS(INDEX(Inputs!$D$4:$AG$200,0,MATCH(P$2,Inputs!$D$2:$AG$2,0)),Inputs!$B$4:$B$200,$B36)/1000)</f>
        <v>0</v>
      </c>
      <c r="Q36" s="11">
        <f>IF(Q$3=0,"",SUMIFS(INDEX(Inputs!$D$4:$AG$200,0,MATCH(Q$2,Inputs!$D$2:$AG$2,0)),Inputs!$B$4:$B$200,$B36)/1000)</f>
        <v>0</v>
      </c>
      <c r="R36" s="12">
        <f>IF(Q36="","",Q36)</f>
        <v>0</v>
      </c>
      <c r="S36" s="11">
        <f>IF(S$3=0,"",SUMIFS(INDEX(Inputs!$D$4:$AG$200,0,MATCH(S$2,Inputs!$D$2:$AG$2,0)),Inputs!$B$4:$B$200,$B36)/1000)</f>
        <v>0</v>
      </c>
      <c r="T36" s="11">
        <f>IF(T$3=0,"",SUMIFS(INDEX(Inputs!$D$4:$AG$200,0,MATCH(T$2,Inputs!$D$2:$AG$2,0)),Inputs!$B$4:$B$200,$B36)/1000)</f>
        <v>0</v>
      </c>
      <c r="U36" s="11">
        <f>IF(U$3=0,"",SUMIFS(INDEX(Inputs!$D$4:$AG$200,0,MATCH(U$2,Inputs!$D$2:$AG$2,0)),Inputs!$B$4:$B$200,$B36)/1000)</f>
        <v>0</v>
      </c>
      <c r="V36" s="11">
        <f>IF(V$3=0,"",SUMIFS(INDEX(Inputs!$D$4:$AG$200,0,MATCH(V$2,Inputs!$D$2:$AG$2,0)),Inputs!$B$4:$B$200,$B36)/1000)</f>
        <v>0</v>
      </c>
      <c r="W36" s="12">
        <f>IF(V36="","",V36)</f>
        <v>0</v>
      </c>
      <c r="X36" s="11">
        <f>IF(X$3=0,"",SUMIFS(INDEX(Inputs!$D$4:$AG$200,0,MATCH(X$2,Inputs!$D$2:$AG$2,0)),Inputs!$B$4:$B$200,$B36)/1000)</f>
        <v>0</v>
      </c>
      <c r="Y36" s="11">
        <f>IF(Y$3=0,"",SUMIFS(INDEX(Inputs!$D$4:$AG$200,0,MATCH(Y$2,Inputs!$D$2:$AG$2,0)),Inputs!$B$4:$B$200,$B36)/1000)</f>
        <v>0</v>
      </c>
      <c r="Z36" s="11">
        <f>IF(Z$3=0,"",SUMIFS(INDEX(Inputs!$D$4:$AG$200,0,MATCH(Z$2,Inputs!$D$2:$AG$2,0)),Inputs!$B$4:$B$200,$B36)/1000)</f>
        <v>0</v>
      </c>
      <c r="AA36" s="11">
        <f>IF(AA$3=0,"",SUMIFS(INDEX(Inputs!$D$4:$AG$200,0,MATCH(AA$2,Inputs!$D$2:$AG$2,0)),Inputs!$B$4:$B$200,$B36)/1000)</f>
        <v>0</v>
      </c>
      <c r="AB36" s="12">
        <f>IF(AA36="","",AA36)</f>
        <v>0</v>
      </c>
      <c r="AC36" s="11">
        <f>IF(AC$3=0,"",SUMIFS(INDEX(Inputs!$D$4:$AG$200,0,MATCH(AC$2,Inputs!$D$2:$AG$2,0)),Inputs!$B$4:$B$200,$B36)/1000)</f>
        <v>0</v>
      </c>
      <c r="AD36" s="11">
        <f>IF(AD$3=0,"",SUMIFS(INDEX(Inputs!$D$4:$AG$200,0,MATCH(AD$2,Inputs!$D$2:$AG$2,0)),Inputs!$B$4:$B$200,$B36)/1000)</f>
        <v>0</v>
      </c>
      <c r="AE36" s="11" t="str">
        <f>IF(AE$3=0,"",SUMIFS(INDEX(Inputs!$D$4:$AG$200,0,MATCH(AE$2,Inputs!$D$2:$AG$2,0)),Inputs!$B$4:$B$200,$B36)/1000)</f>
        <v/>
      </c>
      <c r="AF36" s="11" t="str">
        <f>IF(AF$3=0,"",SUMIFS(INDEX(Inputs!$D$4:$AG$200,0,MATCH(AF$2,Inputs!$D$2:$AG$2,0)),Inputs!$B$4:$B$200,$B36)/1000)</f>
        <v/>
      </c>
      <c r="AG36" s="12" t="str">
        <f>IF(AF36="","",AF36)</f>
        <v/>
      </c>
    </row>
    <row r="37">
      <c r="B37" s="9" t="n">
        <v>32</v>
      </c>
      <c r="C37" s="14" t="inlineStr">
        <is>
          <t>Convertible debt</t>
        </is>
      </c>
      <c r="D37" s="11">
        <f>IF(D$3=0,"",SUMIFS(INDEX(Inputs!$D$4:$AG$200,0,MATCH(D$2,Inputs!$D$2:$AG$2,0)),Inputs!$B$4:$B$200,$B37)/1000)</f>
        <v>0</v>
      </c>
      <c r="E37" s="11">
        <f>IF(E$3=0,"",SUMIFS(INDEX(Inputs!$D$4:$AG$200,0,MATCH(E$2,Inputs!$D$2:$AG$2,0)),Inputs!$B$4:$B$200,$B37)/1000)</f>
        <v>0</v>
      </c>
      <c r="F37" s="11">
        <f>IF(F$3=0,"",SUMIFS(INDEX(Inputs!$D$4:$AG$200,0,MATCH(F$2,Inputs!$D$2:$AG$2,0)),Inputs!$B$4:$B$200,$B37)/1000)</f>
        <v>0</v>
      </c>
      <c r="G37" s="11">
        <f>IF(G$3=0,"",SUMIFS(INDEX(Inputs!$D$4:$AG$200,0,MATCH(G$2,Inputs!$D$2:$AG$2,0)),Inputs!$B$4:$B$200,$B37)/1000)</f>
        <v>0</v>
      </c>
      <c r="H37" s="12">
        <f>IF(G37="","",G37)</f>
        <v>0</v>
      </c>
      <c r="I37" s="11">
        <f>IF(I$3=0,"",SUMIFS(INDEX(Inputs!$D$4:$AG$200,0,MATCH(I$2,Inputs!$D$2:$AG$2,0)),Inputs!$B$4:$B$200,$B37)/1000)</f>
        <v>0</v>
      </c>
      <c r="J37" s="11">
        <f>IF(J$3=0,"",SUMIFS(INDEX(Inputs!$D$4:$AG$200,0,MATCH(J$2,Inputs!$D$2:$AG$2,0)),Inputs!$B$4:$B$200,$B37)/1000)</f>
        <v>0</v>
      </c>
      <c r="K37" s="11">
        <f>IF(K$3=0,"",SUMIFS(INDEX(Inputs!$D$4:$AG$200,0,MATCH(K$2,Inputs!$D$2:$AG$2,0)),Inputs!$B$4:$B$200,$B37)/1000)</f>
        <v>0</v>
      </c>
      <c r="L37" s="11">
        <f>IF(L$3=0,"",SUMIFS(INDEX(Inputs!$D$4:$AG$200,0,MATCH(L$2,Inputs!$D$2:$AG$2,0)),Inputs!$B$4:$B$200,$B37)/1000)</f>
        <v>0</v>
      </c>
      <c r="M37" s="12">
        <f>IF(L37="","",L37)</f>
        <v>0</v>
      </c>
      <c r="N37" s="11">
        <f>IF(N$3=0,"",SUMIFS(INDEX(Inputs!$D$4:$AG$200,0,MATCH(N$2,Inputs!$D$2:$AG$2,0)),Inputs!$B$4:$B$200,$B37)/1000)</f>
        <v>0</v>
      </c>
      <c r="O37" s="11">
        <f>IF(O$3=0,"",SUMIFS(INDEX(Inputs!$D$4:$AG$200,0,MATCH(O$2,Inputs!$D$2:$AG$2,0)),Inputs!$B$4:$B$200,$B37)/1000)</f>
        <v>0</v>
      </c>
      <c r="P37" s="11">
        <f>IF(P$3=0,"",SUMIFS(INDEX(Inputs!$D$4:$AG$200,0,MATCH(P$2,Inputs!$D$2:$AG$2,0)),Inputs!$B$4:$B$200,$B37)/1000)</f>
        <v>0</v>
      </c>
      <c r="Q37" s="11">
        <f>IF(Q$3=0,"",SUMIFS(INDEX(Inputs!$D$4:$AG$200,0,MATCH(Q$2,Inputs!$D$2:$AG$2,0)),Inputs!$B$4:$B$200,$B37)/1000)</f>
        <v>0</v>
      </c>
      <c r="R37" s="12">
        <f>IF(Q37="","",Q37)</f>
        <v>0</v>
      </c>
      <c r="S37" s="11">
        <f>IF(S$3=0,"",SUMIFS(INDEX(Inputs!$D$4:$AG$200,0,MATCH(S$2,Inputs!$D$2:$AG$2,0)),Inputs!$B$4:$B$200,$B37)/1000)</f>
        <v>0</v>
      </c>
      <c r="T37" s="11">
        <f>IF(T$3=0,"",SUMIFS(INDEX(Inputs!$D$4:$AG$200,0,MATCH(T$2,Inputs!$D$2:$AG$2,0)),Inputs!$B$4:$B$200,$B37)/1000)</f>
        <v>0</v>
      </c>
      <c r="U37" s="11">
        <f>IF(U$3=0,"",SUMIFS(INDEX(Inputs!$D$4:$AG$200,0,MATCH(U$2,Inputs!$D$2:$AG$2,0)),Inputs!$B$4:$B$200,$B37)/1000)</f>
        <v>0</v>
      </c>
      <c r="V37" s="11">
        <f>IF(V$3=0,"",SUMIFS(INDEX(Inputs!$D$4:$AG$200,0,MATCH(V$2,Inputs!$D$2:$AG$2,0)),Inputs!$B$4:$B$200,$B37)/1000)</f>
        <v>0</v>
      </c>
      <c r="W37" s="12">
        <f>IF(V37="","",V37)</f>
        <v>0</v>
      </c>
      <c r="X37" s="11">
        <f>IF(X$3=0,"",SUMIFS(INDEX(Inputs!$D$4:$AG$200,0,MATCH(X$2,Inputs!$D$2:$AG$2,0)),Inputs!$B$4:$B$200,$B37)/1000)</f>
        <v>0</v>
      </c>
      <c r="Y37" s="11">
        <f>IF(Y$3=0,"",SUMIFS(INDEX(Inputs!$D$4:$AG$200,0,MATCH(Y$2,Inputs!$D$2:$AG$2,0)),Inputs!$B$4:$B$200,$B37)/1000)</f>
        <v>0</v>
      </c>
      <c r="Z37" s="11">
        <f>IF(Z$3=0,"",SUMIFS(INDEX(Inputs!$D$4:$AG$200,0,MATCH(Z$2,Inputs!$D$2:$AG$2,0)),Inputs!$B$4:$B$200,$B37)/1000)</f>
        <v>0</v>
      </c>
      <c r="AA37" s="11">
        <f>IF(AA$3=0,"",SUMIFS(INDEX(Inputs!$D$4:$AG$200,0,MATCH(AA$2,Inputs!$D$2:$AG$2,0)),Inputs!$B$4:$B$200,$B37)/1000)</f>
        <v>0</v>
      </c>
      <c r="AB37" s="12">
        <f>IF(AA37="","",AA37)</f>
        <v>0</v>
      </c>
      <c r="AC37" s="11">
        <f>IF(AC$3=0,"",SUMIFS(INDEX(Inputs!$D$4:$AG$200,0,MATCH(AC$2,Inputs!$D$2:$AG$2,0)),Inputs!$B$4:$B$200,$B37)/1000)</f>
        <v>0</v>
      </c>
      <c r="AD37" s="11">
        <f>IF(AD$3=0,"",SUMIFS(INDEX(Inputs!$D$4:$AG$200,0,MATCH(AD$2,Inputs!$D$2:$AG$2,0)),Inputs!$B$4:$B$200,$B37)/1000)</f>
        <v>0</v>
      </c>
      <c r="AE37" s="11" t="str">
        <f>IF(AE$3=0,"",SUMIFS(INDEX(Inputs!$D$4:$AG$200,0,MATCH(AE$2,Inputs!$D$2:$AG$2,0)),Inputs!$B$4:$B$200,$B37)/1000)</f>
        <v/>
      </c>
      <c r="AF37" s="11" t="str">
        <f>IF(AF$3=0,"",SUMIFS(INDEX(Inputs!$D$4:$AG$200,0,MATCH(AF$2,Inputs!$D$2:$AG$2,0)),Inputs!$B$4:$B$200,$B37)/1000)</f>
        <v/>
      </c>
      <c r="AG37" s="12" t="str">
        <f>IF(AF37="","",AF37)</f>
        <v/>
      </c>
    </row>
    <row r="38">
      <c r="B38" s="9" t="n">
        <v>33</v>
      </c>
      <c r="C38" s="14" t="inlineStr">
        <is>
          <t>Deferred income taxes</t>
        </is>
      </c>
      <c r="D38" s="11">
        <f>IF(D$3=0,"",SUMIFS(INDEX(Inputs!$D$4:$AG$200,0,MATCH(D$2,Inputs!$D$2:$AG$2,0)),Inputs!$B$4:$B$200,$B38)/1000)</f>
        <v>0</v>
      </c>
      <c r="E38" s="11">
        <f>IF(E$3=0,"",SUMIFS(INDEX(Inputs!$D$4:$AG$200,0,MATCH(E$2,Inputs!$D$2:$AG$2,0)),Inputs!$B$4:$B$200,$B38)/1000)</f>
        <v>0</v>
      </c>
      <c r="F38" s="11">
        <f>IF(F$3=0,"",SUMIFS(INDEX(Inputs!$D$4:$AG$200,0,MATCH(F$2,Inputs!$D$2:$AG$2,0)),Inputs!$B$4:$B$200,$B38)/1000)</f>
        <v>0</v>
      </c>
      <c r="G38" s="11">
        <f>IF(G$3=0,"",SUMIFS(INDEX(Inputs!$D$4:$AG$200,0,MATCH(G$2,Inputs!$D$2:$AG$2,0)),Inputs!$B$4:$B$200,$B38)/1000)</f>
        <v>0</v>
      </c>
      <c r="H38" s="12">
        <f>IF(G38="","",G38)</f>
        <v>0</v>
      </c>
      <c r="I38" s="11">
        <f>IF(I$3=0,"",SUMIFS(INDEX(Inputs!$D$4:$AG$200,0,MATCH(I$2,Inputs!$D$2:$AG$2,0)),Inputs!$B$4:$B$200,$B38)/1000)</f>
        <v>0</v>
      </c>
      <c r="J38" s="11">
        <f>IF(J$3=0,"",SUMIFS(INDEX(Inputs!$D$4:$AG$200,0,MATCH(J$2,Inputs!$D$2:$AG$2,0)),Inputs!$B$4:$B$200,$B38)/1000)</f>
        <v>0</v>
      </c>
      <c r="K38" s="11">
        <f>IF(K$3=0,"",SUMIFS(INDEX(Inputs!$D$4:$AG$200,0,MATCH(K$2,Inputs!$D$2:$AG$2,0)),Inputs!$B$4:$B$200,$B38)/1000)</f>
        <v>0</v>
      </c>
      <c r="L38" s="11">
        <f>IF(L$3=0,"",SUMIFS(INDEX(Inputs!$D$4:$AG$200,0,MATCH(L$2,Inputs!$D$2:$AG$2,0)),Inputs!$B$4:$B$200,$B38)/1000)</f>
        <v>0</v>
      </c>
      <c r="M38" s="12">
        <f>IF(L38="","",L38)</f>
        <v>0</v>
      </c>
      <c r="N38" s="11">
        <f>IF(N$3=0,"",SUMIFS(INDEX(Inputs!$D$4:$AG$200,0,MATCH(N$2,Inputs!$D$2:$AG$2,0)),Inputs!$B$4:$B$200,$B38)/1000)</f>
        <v>0</v>
      </c>
      <c r="O38" s="11">
        <f>IF(O$3=0,"",SUMIFS(INDEX(Inputs!$D$4:$AG$200,0,MATCH(O$2,Inputs!$D$2:$AG$2,0)),Inputs!$B$4:$B$200,$B38)/1000)</f>
        <v>0</v>
      </c>
      <c r="P38" s="11">
        <f>IF(P$3=0,"",SUMIFS(INDEX(Inputs!$D$4:$AG$200,0,MATCH(P$2,Inputs!$D$2:$AG$2,0)),Inputs!$B$4:$B$200,$B38)/1000)</f>
        <v>0</v>
      </c>
      <c r="Q38" s="11">
        <f>IF(Q$3=0,"",SUMIFS(INDEX(Inputs!$D$4:$AG$200,0,MATCH(Q$2,Inputs!$D$2:$AG$2,0)),Inputs!$B$4:$B$200,$B38)/1000)</f>
        <v>0</v>
      </c>
      <c r="R38" s="12">
        <f>IF(Q38="","",Q38)</f>
        <v>0</v>
      </c>
      <c r="S38" s="11">
        <f>IF(S$3=0,"",SUMIFS(INDEX(Inputs!$D$4:$AG$200,0,MATCH(S$2,Inputs!$D$2:$AG$2,0)),Inputs!$B$4:$B$200,$B38)/1000)</f>
        <v>0</v>
      </c>
      <c r="T38" s="11">
        <f>IF(T$3=0,"",SUMIFS(INDEX(Inputs!$D$4:$AG$200,0,MATCH(T$2,Inputs!$D$2:$AG$2,0)),Inputs!$B$4:$B$200,$B38)/1000)</f>
        <v>0</v>
      </c>
      <c r="U38" s="11">
        <f>IF(U$3=0,"",SUMIFS(INDEX(Inputs!$D$4:$AG$200,0,MATCH(U$2,Inputs!$D$2:$AG$2,0)),Inputs!$B$4:$B$200,$B38)/1000)</f>
        <v>0</v>
      </c>
      <c r="V38" s="11">
        <f>IF(V$3=0,"",SUMIFS(INDEX(Inputs!$D$4:$AG$200,0,MATCH(V$2,Inputs!$D$2:$AG$2,0)),Inputs!$B$4:$B$200,$B38)/1000)</f>
        <v>0</v>
      </c>
      <c r="W38" s="12">
        <f>IF(V38="","",V38)</f>
        <v>0</v>
      </c>
      <c r="X38" s="11">
        <f>IF(X$3=0,"",SUMIFS(INDEX(Inputs!$D$4:$AG$200,0,MATCH(X$2,Inputs!$D$2:$AG$2,0)),Inputs!$B$4:$B$200,$B38)/1000)</f>
        <v>0</v>
      </c>
      <c r="Y38" s="11">
        <f>IF(Y$3=0,"",SUMIFS(INDEX(Inputs!$D$4:$AG$200,0,MATCH(Y$2,Inputs!$D$2:$AG$2,0)),Inputs!$B$4:$B$200,$B38)/1000)</f>
        <v>0</v>
      </c>
      <c r="Z38" s="11">
        <f>IF(Z$3=0,"",SUMIFS(INDEX(Inputs!$D$4:$AG$200,0,MATCH(Z$2,Inputs!$D$2:$AG$2,0)),Inputs!$B$4:$B$200,$B38)/1000)</f>
        <v>0</v>
      </c>
      <c r="AA38" s="11">
        <f>IF(AA$3=0,"",SUMIFS(INDEX(Inputs!$D$4:$AG$200,0,MATCH(AA$2,Inputs!$D$2:$AG$2,0)),Inputs!$B$4:$B$200,$B38)/1000)</f>
        <v>0</v>
      </c>
      <c r="AB38" s="12">
        <f>IF(AA38="","",AA38)</f>
        <v>0</v>
      </c>
      <c r="AC38" s="11">
        <f>IF(AC$3=0,"",SUMIFS(INDEX(Inputs!$D$4:$AG$200,0,MATCH(AC$2,Inputs!$D$2:$AG$2,0)),Inputs!$B$4:$B$200,$B38)/1000)</f>
        <v>0</v>
      </c>
      <c r="AD38" s="11">
        <f>IF(AD$3=0,"",SUMIFS(INDEX(Inputs!$D$4:$AG$200,0,MATCH(AD$2,Inputs!$D$2:$AG$2,0)),Inputs!$B$4:$B$200,$B38)/1000)</f>
        <v>0</v>
      </c>
      <c r="AE38" s="11" t="str">
        <f>IF(AE$3=0,"",SUMIFS(INDEX(Inputs!$D$4:$AG$200,0,MATCH(AE$2,Inputs!$D$2:$AG$2,0)),Inputs!$B$4:$B$200,$B38)/1000)</f>
        <v/>
      </c>
      <c r="AF38" s="11" t="str">
        <f>IF(AF$3=0,"",SUMIFS(INDEX(Inputs!$D$4:$AG$200,0,MATCH(AF$2,Inputs!$D$2:$AG$2,0)),Inputs!$B$4:$B$200,$B38)/1000)</f>
        <v/>
      </c>
      <c r="AG38" s="12" t="str">
        <f>IF(AF38="","",AF38)</f>
        <v/>
      </c>
    </row>
    <row r="39">
      <c r="B39" s="9" t="n">
        <v>34</v>
      </c>
      <c r="C39" s="14" t="inlineStr">
        <is>
          <t>Other non-current liabilities</t>
        </is>
      </c>
      <c r="D39" s="11">
        <f>IF(D$3=0,"",SUMIFS(INDEX(Inputs!$D$4:$AG$200,0,MATCH(D$2,Inputs!$D$2:$AG$2,0)),Inputs!$B$4:$B$200,$B39)/1000)</f>
        <v>85439</v>
      </c>
      <c r="E39" s="11">
        <f>IF(E$3=0,"",SUMIFS(INDEX(Inputs!$D$4:$AG$200,0,MATCH(E$2,Inputs!$D$2:$AG$2,0)),Inputs!$B$4:$B$200,$B39)/1000)</f>
        <v>86641</v>
      </c>
      <c r="F39" s="11">
        <f>IF(F$3=0,"",SUMIFS(INDEX(Inputs!$D$4:$AG$200,0,MATCH(F$2,Inputs!$D$2:$AG$2,0)),Inputs!$B$4:$B$200,$B39)/1000)</f>
        <v>83067</v>
      </c>
      <c r="G39" s="11">
        <f>IF(G$3=0,"",SUMIFS(INDEX(Inputs!$D$4:$AG$200,0,MATCH(G$2,Inputs!$D$2:$AG$2,0)),Inputs!$B$4:$B$200,$B39)/1000)</f>
        <v>74484</v>
      </c>
      <c r="H39" s="12">
        <f>IF(G39="","",G39)</f>
        <v>74484</v>
      </c>
      <c r="I39" s="11">
        <f>IF(I$3=0,"",SUMIFS(INDEX(Inputs!$D$4:$AG$200,0,MATCH(I$2,Inputs!$D$2:$AG$2,0)),Inputs!$B$4:$B$200,$B39)/1000)</f>
        <v>69685</v>
      </c>
      <c r="J39" s="11">
        <f>IF(J$3=0,"",SUMIFS(INDEX(Inputs!$D$4:$AG$200,0,MATCH(J$2,Inputs!$D$2:$AG$2,0)),Inputs!$B$4:$B$200,$B39)/1000)</f>
        <v>68142</v>
      </c>
      <c r="K39" s="11">
        <f>IF(K$3=0,"",SUMIFS(INDEX(Inputs!$D$4:$AG$200,0,MATCH(K$2,Inputs!$D$2:$AG$2,0)),Inputs!$B$4:$B$200,$B39)/1000)</f>
        <v>67348</v>
      </c>
      <c r="L39" s="11">
        <f>IF(L$3=0,"",SUMIFS(INDEX(Inputs!$D$4:$AG$200,0,MATCH(L$2,Inputs!$D$2:$AG$2,0)),Inputs!$B$4:$B$200,$B39)/1000)</f>
        <v>64665</v>
      </c>
      <c r="M39" s="12">
        <f>IF(L39="","",L39)</f>
        <v>64665</v>
      </c>
      <c r="N39" s="11">
        <f>IF(N$3=0,"",SUMIFS(INDEX(Inputs!$D$4:$AG$200,0,MATCH(N$2,Inputs!$D$2:$AG$2,0)),Inputs!$B$4:$B$200,$B39)/1000)</f>
        <v>63314</v>
      </c>
      <c r="O39" s="11">
        <f>IF(O$3=0,"",SUMIFS(INDEX(Inputs!$D$4:$AG$200,0,MATCH(O$2,Inputs!$D$2:$AG$2,0)),Inputs!$B$4:$B$200,$B39)/1000)</f>
        <v>62630</v>
      </c>
      <c r="P39" s="11">
        <f>IF(P$3=0,"",SUMIFS(INDEX(Inputs!$D$4:$AG$200,0,MATCH(P$2,Inputs!$D$2:$AG$2,0)),Inputs!$B$4:$B$200,$B39)/1000)</f>
        <v>59176</v>
      </c>
      <c r="Q39" s="11">
        <f>IF(Q$3=0,"",SUMIFS(INDEX(Inputs!$D$4:$AG$200,0,MATCH(Q$2,Inputs!$D$2:$AG$2,0)),Inputs!$B$4:$B$200,$B39)/1000)</f>
        <v>63878</v>
      </c>
      <c r="R39" s="12">
        <f>IF(Q39="","",Q39)</f>
        <v>63878</v>
      </c>
      <c r="S39" s="11">
        <f>IF(S$3=0,"",SUMIFS(INDEX(Inputs!$D$4:$AG$200,0,MATCH(S$2,Inputs!$D$2:$AG$2,0)),Inputs!$B$4:$B$200,$B39)/1000)</f>
        <v>62257</v>
      </c>
      <c r="T39" s="11">
        <f>IF(T$3=0,"",SUMIFS(INDEX(Inputs!$D$4:$AG$200,0,MATCH(T$2,Inputs!$D$2:$AG$2,0)),Inputs!$B$4:$B$200,$B39)/1000)</f>
        <v>53624</v>
      </c>
      <c r="U39" s="11">
        <f>IF(U$3=0,"",SUMIFS(INDEX(Inputs!$D$4:$AG$200,0,MATCH(U$2,Inputs!$D$2:$AG$2,0)),Inputs!$B$4:$B$200,$B39)/1000)</f>
        <v>55263</v>
      </c>
      <c r="V39" s="11">
        <f>IF(V$3=0,"",SUMIFS(INDEX(Inputs!$D$4:$AG$200,0,MATCH(V$2,Inputs!$D$2:$AG$2,0)),Inputs!$B$4:$B$200,$B39)/1000)</f>
        <v>51950</v>
      </c>
      <c r="W39" s="12">
        <f>IF(V39="","",V39)</f>
        <v>51950</v>
      </c>
      <c r="X39" s="11">
        <f>IF(X$3=0,"",SUMIFS(INDEX(Inputs!$D$4:$AG$200,0,MATCH(X$2,Inputs!$D$2:$AG$2,0)),Inputs!$B$4:$B$200,$B39)/1000)</f>
        <v>52227</v>
      </c>
      <c r="Y39" s="11">
        <f>IF(Y$3=0,"",SUMIFS(INDEX(Inputs!$D$4:$AG$200,0,MATCH(Y$2,Inputs!$D$2:$AG$2,0)),Inputs!$B$4:$B$200,$B39)/1000)</f>
        <v>52447</v>
      </c>
      <c r="Z39" s="11">
        <f>IF(Z$3=0,"",SUMIFS(INDEX(Inputs!$D$4:$AG$200,0,MATCH(Z$2,Inputs!$D$2:$AG$2,0)),Inputs!$B$4:$B$200,$B39)/1000)</f>
        <v>53248</v>
      </c>
      <c r="AA39" s="11">
        <f>IF(AA$3=0,"",SUMIFS(INDEX(Inputs!$D$4:$AG$200,0,MATCH(AA$2,Inputs!$D$2:$AG$2,0)),Inputs!$B$4:$B$200,$B39)/1000)</f>
        <v>53481</v>
      </c>
      <c r="AB39" s="12">
        <f>IF(AA39="","",AA39)</f>
        <v>53481</v>
      </c>
      <c r="AC39" s="11">
        <f>IF(AC$3=0,"",SUMIFS(INDEX(Inputs!$D$4:$AG$200,0,MATCH(AC$2,Inputs!$D$2:$AG$2,0)),Inputs!$B$4:$B$200,$B39)/1000)</f>
        <v>51949</v>
      </c>
      <c r="AD39" s="11">
        <f>IF(AD$3=0,"",SUMIFS(INDEX(Inputs!$D$4:$AG$200,0,MATCH(AD$2,Inputs!$D$2:$AG$2,0)),Inputs!$B$4:$B$200,$B39)/1000)</f>
        <v>52219</v>
      </c>
      <c r="AE39" s="11" t="str">
        <f>IF(AE$3=0,"",SUMIFS(INDEX(Inputs!$D$4:$AG$200,0,MATCH(AE$2,Inputs!$D$2:$AG$2,0)),Inputs!$B$4:$B$200,$B39)/1000)</f>
        <v/>
      </c>
      <c r="AF39" s="11" t="str">
        <f>IF(AF$3=0,"",SUMIFS(INDEX(Inputs!$D$4:$AG$200,0,MATCH(AF$2,Inputs!$D$2:$AG$2,0)),Inputs!$B$4:$B$200,$B39)/1000)</f>
        <v/>
      </c>
      <c r="AG39" s="12" t="str">
        <f>IF(AF39="","",AF39)</f>
        <v/>
      </c>
    </row>
    <row r="40">
      <c r="C40" s="3" t="n"/>
    </row>
    <row r="41">
      <c r="B41" s="9" t="n">
        <v>35</v>
      </c>
      <c r="C41" s="14" t="inlineStr">
        <is>
          <t>Minority interest</t>
        </is>
      </c>
      <c r="D41" s="11">
        <f>IF(D$3=0,"",SUMIFS(INDEX(Inputs!$D$4:$AG$200,0,MATCH(D$2,Inputs!$D$2:$AG$2,0)),Inputs!$B$4:$B$200,$B41)/1000)</f>
        <v>1568</v>
      </c>
      <c r="E41" s="11">
        <f>IF(E$3=0,"",SUMIFS(INDEX(Inputs!$D$4:$AG$200,0,MATCH(E$2,Inputs!$D$2:$AG$2,0)),Inputs!$B$4:$B$200,$B41)/1000)</f>
        <v>1560</v>
      </c>
      <c r="F41" s="11">
        <f>IF(F$3=0,"",SUMIFS(INDEX(Inputs!$D$4:$AG$200,0,MATCH(F$2,Inputs!$D$2:$AG$2,0)),Inputs!$B$4:$B$200,$B41)/1000)</f>
        <v>1484</v>
      </c>
      <c r="G41" s="11">
        <f>IF(G$3=0,"",SUMIFS(INDEX(Inputs!$D$4:$AG$200,0,MATCH(G$2,Inputs!$D$2:$AG$2,0)),Inputs!$B$4:$B$200,$B41)/1000)</f>
        <v>1302</v>
      </c>
      <c r="H41" s="12">
        <f>IF(G41="","",G41)</f>
        <v>1302</v>
      </c>
      <c r="I41" s="11">
        <f>IF(I$3=0,"",SUMIFS(INDEX(Inputs!$D$4:$AG$200,0,MATCH(I$2,Inputs!$D$2:$AG$2,0)),Inputs!$B$4:$B$200,$B41)/1000)</f>
        <v>1278</v>
      </c>
      <c r="J41" s="11">
        <f>IF(J$3=0,"",SUMIFS(INDEX(Inputs!$D$4:$AG$200,0,MATCH(J$2,Inputs!$D$2:$AG$2,0)),Inputs!$B$4:$B$200,$B41)/1000)</f>
        <v>1293</v>
      </c>
      <c r="K41" s="11">
        <f>IF(K$3=0,"",SUMIFS(INDEX(Inputs!$D$4:$AG$200,0,MATCH(K$2,Inputs!$D$2:$AG$2,0)),Inputs!$B$4:$B$200,$B41)/1000)</f>
        <v>1278</v>
      </c>
      <c r="L41" s="11">
        <f>IF(L$3=0,"",SUMIFS(INDEX(Inputs!$D$4:$AG$200,0,MATCH(L$2,Inputs!$D$2:$AG$2,0)),Inputs!$B$4:$B$200,$B41)/1000)</f>
        <v>1216</v>
      </c>
      <c r="M41" s="12">
        <f>IF(L41="","",L41)</f>
        <v>1216</v>
      </c>
      <c r="N41" s="11">
        <f>IF(N$3=0,"",SUMIFS(INDEX(Inputs!$D$4:$AG$200,0,MATCH(N$2,Inputs!$D$2:$AG$2,0)),Inputs!$B$4:$B$200,$B41)/1000)</f>
        <v>1171</v>
      </c>
      <c r="O41" s="11">
        <f>IF(O$3=0,"",SUMIFS(INDEX(Inputs!$D$4:$AG$200,0,MATCH(O$2,Inputs!$D$2:$AG$2,0)),Inputs!$B$4:$B$200,$B41)/1000)</f>
        <v>1174</v>
      </c>
      <c r="P41" s="11">
        <f>IF(P$3=0,"",SUMIFS(INDEX(Inputs!$D$4:$AG$200,0,MATCH(P$2,Inputs!$D$2:$AG$2,0)),Inputs!$B$4:$B$200,$B41)/1000)</f>
        <v>1167</v>
      </c>
      <c r="Q41" s="11">
        <f>IF(Q$3=0,"",SUMIFS(INDEX(Inputs!$D$4:$AG$200,0,MATCH(Q$2,Inputs!$D$2:$AG$2,0)),Inputs!$B$4:$B$200,$B41)/1000)</f>
        <v>1202</v>
      </c>
      <c r="R41" s="12">
        <f>IF(Q41="","",Q41)</f>
        <v>1202</v>
      </c>
      <c r="S41" s="11">
        <f>IF(S$3=0,"",SUMIFS(INDEX(Inputs!$D$4:$AG$200,0,MATCH(S$2,Inputs!$D$2:$AG$2,0)),Inputs!$B$4:$B$200,$B41)/1000)</f>
        <v>1248</v>
      </c>
      <c r="T41" s="11">
        <f>IF(T$3=0,"",SUMIFS(INDEX(Inputs!$D$4:$AG$200,0,MATCH(T$2,Inputs!$D$2:$AG$2,0)),Inputs!$B$4:$B$200,$B41)/1000)</f>
        <v>245</v>
      </c>
      <c r="U41" s="11">
        <f>IF(U$3=0,"",SUMIFS(INDEX(Inputs!$D$4:$AG$200,0,MATCH(U$2,Inputs!$D$2:$AG$2,0)),Inputs!$B$4:$B$200,$B41)/1000)</f>
        <v>229</v>
      </c>
      <c r="V41" s="11">
        <f>IF(V$3=0,"",SUMIFS(INDEX(Inputs!$D$4:$AG$200,0,MATCH(V$2,Inputs!$D$2:$AG$2,0)),Inputs!$B$4:$B$200,$B41)/1000)</f>
        <v>223</v>
      </c>
      <c r="W41" s="12">
        <f>IF(V41="","",V41)</f>
        <v>223</v>
      </c>
      <c r="X41" s="11">
        <f>IF(X$3=0,"",SUMIFS(INDEX(Inputs!$D$4:$AG$200,0,MATCH(X$2,Inputs!$D$2:$AG$2,0)),Inputs!$B$4:$B$200,$B41)/1000)</f>
        <v>217</v>
      </c>
      <c r="Y41" s="11">
        <f>IF(Y$3=0,"",SUMIFS(INDEX(Inputs!$D$4:$AG$200,0,MATCH(Y$2,Inputs!$D$2:$AG$2,0)),Inputs!$B$4:$B$200,$B41)/1000)</f>
        <v>210</v>
      </c>
      <c r="Z41" s="11">
        <f>IF(Z$3=0,"",SUMIFS(INDEX(Inputs!$D$4:$AG$200,0,MATCH(Z$2,Inputs!$D$2:$AG$2,0)),Inputs!$B$4:$B$200,$B41)/1000)</f>
        <v>209</v>
      </c>
      <c r="AA41" s="11">
        <f>IF(AA$3=0,"",SUMIFS(INDEX(Inputs!$D$4:$AG$200,0,MATCH(AA$2,Inputs!$D$2:$AG$2,0)),Inputs!$B$4:$B$200,$B41)/1000)</f>
        <v>221</v>
      </c>
      <c r="AB41" s="12">
        <f>IF(AA41="","",AA41)</f>
        <v>221</v>
      </c>
      <c r="AC41" s="11">
        <f>IF(AC$3=0,"",SUMIFS(INDEX(Inputs!$D$4:$AG$200,0,MATCH(AC$2,Inputs!$D$2:$AG$2,0)),Inputs!$B$4:$B$200,$B41)/1000)</f>
        <v>240</v>
      </c>
      <c r="AD41" s="11">
        <f>IF(AD$3=0,"",SUMIFS(INDEX(Inputs!$D$4:$AG$200,0,MATCH(AD$2,Inputs!$D$2:$AG$2,0)),Inputs!$B$4:$B$200,$B41)/1000)</f>
        <v>227</v>
      </c>
      <c r="AE41" s="11" t="str">
        <f>IF(AE$3=0,"",SUMIFS(INDEX(Inputs!$D$4:$AG$200,0,MATCH(AE$2,Inputs!$D$2:$AG$2,0)),Inputs!$B$4:$B$200,$B41)/1000)</f>
        <v/>
      </c>
      <c r="AF41" s="11" t="str">
        <f>IF(AF$3=0,"",SUMIFS(INDEX(Inputs!$D$4:$AG$200,0,MATCH(AF$2,Inputs!$D$2:$AG$2,0)),Inputs!$B$4:$B$200,$B41)/1000)</f>
        <v/>
      </c>
      <c r="AG41" s="12" t="str">
        <f>IF(AF41="","",AF41)</f>
        <v/>
      </c>
    </row>
    <row r="42">
      <c r="B42" s="9" t="n">
        <v>36</v>
      </c>
      <c r="C42" s="14" t="inlineStr">
        <is>
          <t>Convertible Preferred Stock</t>
        </is>
      </c>
      <c r="D42" s="11">
        <f>IF(D$3=0,"",SUMIFS(INDEX(Inputs!$D$4:$AG$200,0,MATCH(D$2,Inputs!$D$2:$AG$2,0)),Inputs!$B$4:$B$200,$B42)/1000)</f>
        <v>0</v>
      </c>
      <c r="E42" s="11">
        <f>IF(E$3=0,"",SUMIFS(INDEX(Inputs!$D$4:$AG$200,0,MATCH(E$2,Inputs!$D$2:$AG$2,0)),Inputs!$B$4:$B$200,$B42)/1000)</f>
        <v>0</v>
      </c>
      <c r="F42" s="11">
        <f>IF(F$3=0,"",SUMIFS(INDEX(Inputs!$D$4:$AG$200,0,MATCH(F$2,Inputs!$D$2:$AG$2,0)),Inputs!$B$4:$B$200,$B42)/1000)</f>
        <v>0</v>
      </c>
      <c r="G42" s="11">
        <f>IF(G$3=0,"",SUMIFS(INDEX(Inputs!$D$4:$AG$200,0,MATCH(G$2,Inputs!$D$2:$AG$2,0)),Inputs!$B$4:$B$200,$B42)/1000)</f>
        <v>0</v>
      </c>
      <c r="H42" s="12">
        <f>IF(G42="","",G42)</f>
        <v>0</v>
      </c>
      <c r="I42" s="11">
        <f>IF(I$3=0,"",SUMIFS(INDEX(Inputs!$D$4:$AG$200,0,MATCH(I$2,Inputs!$D$2:$AG$2,0)),Inputs!$B$4:$B$200,$B42)/1000)</f>
        <v>0</v>
      </c>
      <c r="J42" s="11">
        <f>IF(J$3=0,"",SUMIFS(INDEX(Inputs!$D$4:$AG$200,0,MATCH(J$2,Inputs!$D$2:$AG$2,0)),Inputs!$B$4:$B$200,$B42)/1000)</f>
        <v>0</v>
      </c>
      <c r="K42" s="11">
        <f>IF(K$3=0,"",SUMIFS(INDEX(Inputs!$D$4:$AG$200,0,MATCH(K$2,Inputs!$D$2:$AG$2,0)),Inputs!$B$4:$B$200,$B42)/1000)</f>
        <v>0</v>
      </c>
      <c r="L42" s="11">
        <f>IF(L$3=0,"",SUMIFS(INDEX(Inputs!$D$4:$AG$200,0,MATCH(L$2,Inputs!$D$2:$AG$2,0)),Inputs!$B$4:$B$200,$B42)/1000)</f>
        <v>0</v>
      </c>
      <c r="M42" s="12">
        <f>IF(L42="","",L42)</f>
        <v>0</v>
      </c>
      <c r="N42" s="11">
        <f>IF(N$3=0,"",SUMIFS(INDEX(Inputs!$D$4:$AG$200,0,MATCH(N$2,Inputs!$D$2:$AG$2,0)),Inputs!$B$4:$B$200,$B42)/1000)</f>
        <v>0</v>
      </c>
      <c r="O42" s="11">
        <f>IF(O$3=0,"",SUMIFS(INDEX(Inputs!$D$4:$AG$200,0,MATCH(O$2,Inputs!$D$2:$AG$2,0)),Inputs!$B$4:$B$200,$B42)/1000)</f>
        <v>0</v>
      </c>
      <c r="P42" s="11">
        <f>IF(P$3=0,"",SUMIFS(INDEX(Inputs!$D$4:$AG$200,0,MATCH(P$2,Inputs!$D$2:$AG$2,0)),Inputs!$B$4:$B$200,$B42)/1000)</f>
        <v>0</v>
      </c>
      <c r="Q42" s="11">
        <f>IF(Q$3=0,"",SUMIFS(INDEX(Inputs!$D$4:$AG$200,0,MATCH(Q$2,Inputs!$D$2:$AG$2,0)),Inputs!$B$4:$B$200,$B42)/1000)</f>
        <v>0</v>
      </c>
      <c r="R42" s="12">
        <f>IF(Q42="","",Q42)</f>
        <v>0</v>
      </c>
      <c r="S42" s="11">
        <f>IF(S$3=0,"",SUMIFS(INDEX(Inputs!$D$4:$AG$200,0,MATCH(S$2,Inputs!$D$2:$AG$2,0)),Inputs!$B$4:$B$200,$B42)/1000)</f>
        <v>0</v>
      </c>
      <c r="T42" s="11">
        <f>IF(T$3=0,"",SUMIFS(INDEX(Inputs!$D$4:$AG$200,0,MATCH(T$2,Inputs!$D$2:$AG$2,0)),Inputs!$B$4:$B$200,$B42)/1000)</f>
        <v>0</v>
      </c>
      <c r="U42" s="11">
        <f>IF(U$3=0,"",SUMIFS(INDEX(Inputs!$D$4:$AG$200,0,MATCH(U$2,Inputs!$D$2:$AG$2,0)),Inputs!$B$4:$B$200,$B42)/1000)</f>
        <v>0</v>
      </c>
      <c r="V42" s="11">
        <f>IF(V$3=0,"",SUMIFS(INDEX(Inputs!$D$4:$AG$200,0,MATCH(V$2,Inputs!$D$2:$AG$2,0)),Inputs!$B$4:$B$200,$B42)/1000)</f>
        <v>0</v>
      </c>
      <c r="W42" s="12">
        <f>IF(V42="","",V42)</f>
        <v>0</v>
      </c>
      <c r="X42" s="11">
        <f>IF(X$3=0,"",SUMIFS(INDEX(Inputs!$D$4:$AG$200,0,MATCH(X$2,Inputs!$D$2:$AG$2,0)),Inputs!$B$4:$B$200,$B42)/1000)</f>
        <v>0</v>
      </c>
      <c r="Y42" s="11">
        <f>IF(Y$3=0,"",SUMIFS(INDEX(Inputs!$D$4:$AG$200,0,MATCH(Y$2,Inputs!$D$2:$AG$2,0)),Inputs!$B$4:$B$200,$B42)/1000)</f>
        <v>0</v>
      </c>
      <c r="Z42" s="11">
        <f>IF(Z$3=0,"",SUMIFS(INDEX(Inputs!$D$4:$AG$200,0,MATCH(Z$2,Inputs!$D$2:$AG$2,0)),Inputs!$B$4:$B$200,$B42)/1000)</f>
        <v>0</v>
      </c>
      <c r="AA42" s="11">
        <f>IF(AA$3=0,"",SUMIFS(INDEX(Inputs!$D$4:$AG$200,0,MATCH(AA$2,Inputs!$D$2:$AG$2,0)),Inputs!$B$4:$B$200,$B42)/1000)</f>
        <v>0</v>
      </c>
      <c r="AB42" s="12">
        <f>IF(AA42="","",AA42)</f>
        <v>0</v>
      </c>
      <c r="AC42" s="11">
        <f>IF(AC$3=0,"",SUMIFS(INDEX(Inputs!$D$4:$AG$200,0,MATCH(AC$2,Inputs!$D$2:$AG$2,0)),Inputs!$B$4:$B$200,$B42)/1000)</f>
        <v>0</v>
      </c>
      <c r="AD42" s="11">
        <f>IF(AD$3=0,"",SUMIFS(INDEX(Inputs!$D$4:$AG$200,0,MATCH(AD$2,Inputs!$D$2:$AG$2,0)),Inputs!$B$4:$B$200,$B42)/1000)</f>
        <v>0</v>
      </c>
      <c r="AE42" s="11" t="str">
        <f>IF(AE$3=0,"",SUMIFS(INDEX(Inputs!$D$4:$AG$200,0,MATCH(AE$2,Inputs!$D$2:$AG$2,0)),Inputs!$B$4:$B$200,$B42)/1000)</f>
        <v/>
      </c>
      <c r="AF42" s="11" t="str">
        <f>IF(AF$3=0,"",SUMIFS(INDEX(Inputs!$D$4:$AG$200,0,MATCH(AF$2,Inputs!$D$2:$AG$2,0)),Inputs!$B$4:$B$200,$B42)/1000)</f>
        <v/>
      </c>
      <c r="AG42" s="12" t="str">
        <f>IF(AF42="","",AF42)</f>
        <v/>
      </c>
    </row>
    <row r="43">
      <c r="B43" s="9" t="n">
        <v>37</v>
      </c>
      <c r="C43" s="13" t="inlineStr">
        <is>
          <t>Common Stock and APIC</t>
        </is>
      </c>
      <c r="D43" s="11">
        <f>IF(D$3=0,"",SUMIFS(INDEX(Inputs!$D$4:$AG$200,0,MATCH(D$2,Inputs!$D$2:$AG$2,0)),Inputs!$B$4:$B$200,$B43)/1000)</f>
        <v>34744</v>
      </c>
      <c r="E43" s="11">
        <f>IF(E$3=0,"",SUMIFS(INDEX(Inputs!$D$4:$AG$200,0,MATCH(E$2,Inputs!$D$2:$AG$2,0)),Inputs!$B$4:$B$200,$B43)/1000)</f>
        <v>34734</v>
      </c>
      <c r="F43" s="11">
        <f>IF(F$3=0,"",SUMIFS(INDEX(Inputs!$D$4:$AG$200,0,MATCH(F$2,Inputs!$D$2:$AG$2,0)),Inputs!$B$4:$B$200,$B43)/1000)</f>
        <v>34766</v>
      </c>
      <c r="G43" s="11">
        <f>IF(G$3=0,"",SUMIFS(INDEX(Inputs!$D$4:$AG$200,0,MATCH(G$2,Inputs!$D$2:$AG$2,0)),Inputs!$B$4:$B$200,$B43)/1000)</f>
        <v>34706</v>
      </c>
      <c r="H43" s="12">
        <f>IF(G43="","",G43)</f>
        <v>34706</v>
      </c>
      <c r="I43" s="11">
        <f>IF(I$3=0,"",SUMIFS(INDEX(Inputs!$D$4:$AG$200,0,MATCH(I$2,Inputs!$D$2:$AG$2,0)),Inputs!$B$4:$B$200,$B43)/1000)</f>
        <v>34406</v>
      </c>
      <c r="J43" s="11">
        <f>IF(J$3=0,"",SUMIFS(INDEX(Inputs!$D$4:$AG$200,0,MATCH(J$2,Inputs!$D$2:$AG$2,0)),Inputs!$B$4:$B$200,$B43)/1000)</f>
        <v>34397</v>
      </c>
      <c r="K43" s="11">
        <f>IF(K$3=0,"",SUMIFS(INDEX(Inputs!$D$4:$AG$200,0,MATCH(K$2,Inputs!$D$2:$AG$2,0)),Inputs!$B$4:$B$200,$B43)/1000)</f>
        <v>34269</v>
      </c>
      <c r="L43" s="11">
        <f>IF(L$3=0,"",SUMIFS(INDEX(Inputs!$D$4:$AG$200,0,MATCH(L$2,Inputs!$D$2:$AG$2,0)),Inputs!$B$4:$B$200,$B43)/1000)</f>
        <v>34188</v>
      </c>
      <c r="M43" s="12">
        <f>IF(L43="","",L43)</f>
        <v>34188</v>
      </c>
      <c r="N43" s="11">
        <f>IF(N$3=0,"",SUMIFS(INDEX(Inputs!$D$4:$AG$200,0,MATCH(N$2,Inputs!$D$2:$AG$2,0)),Inputs!$B$4:$B$200,$B43)/1000)</f>
        <v>30744</v>
      </c>
      <c r="O43" s="11">
        <f>IF(O$3=0,"",SUMIFS(INDEX(Inputs!$D$4:$AG$200,0,MATCH(O$2,Inputs!$D$2:$AG$2,0)),Inputs!$B$4:$B$200,$B43)/1000)</f>
        <v>30441</v>
      </c>
      <c r="P43" s="11">
        <f>IF(P$3=0,"",SUMIFS(INDEX(Inputs!$D$4:$AG$200,0,MATCH(P$2,Inputs!$D$2:$AG$2,0)),Inputs!$B$4:$B$200,$B43)/1000)</f>
        <v>27244</v>
      </c>
      <c r="Q43" s="11">
        <f>IF(Q$3=0,"",SUMIFS(INDEX(Inputs!$D$4:$AG$200,0,MATCH(Q$2,Inputs!$D$2:$AG$2,0)),Inputs!$B$4:$B$200,$B43)/1000)</f>
        <v>26977</v>
      </c>
      <c r="R43" s="12">
        <f>IF(Q43="","",Q43)</f>
        <v>26977</v>
      </c>
      <c r="S43" s="11">
        <f>IF(S$3=0,"",SUMIFS(INDEX(Inputs!$D$4:$AG$200,0,MATCH(S$2,Inputs!$D$2:$AG$2,0)),Inputs!$B$4:$B$200,$B43)/1000)</f>
        <v>25902</v>
      </c>
      <c r="T43" s="11">
        <f>IF(T$3=0,"",SUMIFS(INDEX(Inputs!$D$4:$AG$200,0,MATCH(T$2,Inputs!$D$2:$AG$2,0)),Inputs!$B$4:$B$200,$B43)/1000)</f>
        <v>25297</v>
      </c>
      <c r="U43" s="11">
        <f>IF(U$3=0,"",SUMIFS(INDEX(Inputs!$D$4:$AG$200,0,MATCH(U$2,Inputs!$D$2:$AG$2,0)),Inputs!$B$4:$B$200,$B43)/1000)</f>
        <v>24421</v>
      </c>
      <c r="V43" s="11">
        <f>IF(V$3=0,"",SUMIFS(INDEX(Inputs!$D$4:$AG$200,0,MATCH(V$2,Inputs!$D$2:$AG$2,0)),Inputs!$B$4:$B$200,$B43)/1000)</f>
        <v>24281</v>
      </c>
      <c r="W43" s="12">
        <f>IF(V43="","",V43)</f>
        <v>24281</v>
      </c>
      <c r="X43" s="11">
        <f>IF(X$3=0,"",SUMIFS(INDEX(Inputs!$D$4:$AG$200,0,MATCH(X$2,Inputs!$D$2:$AG$2,0)),Inputs!$B$4:$B$200,$B43)/1000)</f>
        <v>23927</v>
      </c>
      <c r="Y43" s="11">
        <f>IF(Y$3=0,"",SUMIFS(INDEX(Inputs!$D$4:$AG$200,0,MATCH(Y$2,Inputs!$D$2:$AG$2,0)),Inputs!$B$4:$B$200,$B43)/1000)</f>
        <v>23854</v>
      </c>
      <c r="Z43" s="11">
        <f>IF(Z$3=0,"",SUMIFS(INDEX(Inputs!$D$4:$AG$200,0,MATCH(Z$2,Inputs!$D$2:$AG$2,0)),Inputs!$B$4:$B$200,$B43)/1000)</f>
        <v>23660</v>
      </c>
      <c r="AA43" s="11">
        <f>IF(AA$3=0,"",SUMIFS(INDEX(Inputs!$D$4:$AG$200,0,MATCH(AA$2,Inputs!$D$2:$AG$2,0)),Inputs!$B$4:$B$200,$B43)/1000)</f>
        <v>23614</v>
      </c>
      <c r="AB43" s="12">
        <f>IF(AA43="","",AA43)</f>
        <v>23614</v>
      </c>
      <c r="AC43" s="11">
        <f>IF(AC$3=0,"",SUMIFS(INDEX(Inputs!$D$4:$AG$200,0,MATCH(AC$2,Inputs!$D$2:$AG$2,0)),Inputs!$B$4:$B$200,$B43)/1000)</f>
        <v>23161</v>
      </c>
      <c r="AD43" s="11">
        <f>IF(AD$3=0,"",SUMIFS(INDEX(Inputs!$D$4:$AG$200,0,MATCH(AD$2,Inputs!$D$2:$AG$2,0)),Inputs!$B$4:$B$200,$B43)/1000)</f>
        <v>23089</v>
      </c>
      <c r="AE43" s="11" t="str">
        <f>IF(AE$3=0,"",SUMIFS(INDEX(Inputs!$D$4:$AG$200,0,MATCH(AE$2,Inputs!$D$2:$AG$2,0)),Inputs!$B$4:$B$200,$B43)/1000)</f>
        <v/>
      </c>
      <c r="AF43" s="11" t="str">
        <f>IF(AF$3=0,"",SUMIFS(INDEX(Inputs!$D$4:$AG$200,0,MATCH(AF$2,Inputs!$D$2:$AG$2,0)),Inputs!$B$4:$B$200,$B43)/1000)</f>
        <v/>
      </c>
      <c r="AG43" s="12" t="str">
        <f>IF(AF43="","",AF43)</f>
        <v/>
      </c>
    </row>
    <row r="44">
      <c r="B44" s="9" t="n">
        <v>38</v>
      </c>
      <c r="C44" s="14" t="inlineStr">
        <is>
          <t>Treasury stock (contra account)</t>
        </is>
      </c>
      <c r="D44" s="11">
        <f>IF(D$3=0,"",SUMIFS(INDEX(Inputs!$D$4:$AG$200,0,MATCH(D$2,Inputs!$D$2:$AG$2,0)),Inputs!$B$4:$B$200,$B44)/1000)</f>
        <v>-81548</v>
      </c>
      <c r="E44" s="11">
        <f>IF(E$3=0,"",SUMIFS(INDEX(Inputs!$D$4:$AG$200,0,MATCH(E$2,Inputs!$D$2:$AG$2,0)),Inputs!$B$4:$B$200,$B44)/1000)</f>
        <v>-81425</v>
      </c>
      <c r="F44" s="11">
        <f>IF(F$3=0,"",SUMIFS(INDEX(Inputs!$D$4:$AG$200,0,MATCH(F$2,Inputs!$D$2:$AG$2,0)),Inputs!$B$4:$B$200,$B44)/1000)</f>
        <v>-81314</v>
      </c>
      <c r="G44" s="11">
        <f>IF(G$3=0,"",SUMIFS(INDEX(Inputs!$D$4:$AG$200,0,MATCH(G$2,Inputs!$D$2:$AG$2,0)),Inputs!$B$4:$B$200,$B44)/1000)</f>
        <v>-81093</v>
      </c>
      <c r="H44" s="12">
        <f>IF(G44="","",G44)</f>
        <v>-81093</v>
      </c>
      <c r="I44" s="11">
        <f>IF(I$3=0,"",SUMIFS(INDEX(Inputs!$D$4:$AG$200,0,MATCH(I$2,Inputs!$D$2:$AG$2,0)),Inputs!$B$4:$B$200,$B44)/1000)</f>
        <v>-80673</v>
      </c>
      <c r="J44" s="11">
        <f>IF(J$3=0,"",SUMIFS(INDEX(Inputs!$D$4:$AG$200,0,MATCH(J$2,Inputs!$D$2:$AG$2,0)),Inputs!$B$4:$B$200,$B44)/1000)</f>
        <v>-80883</v>
      </c>
      <c r="K44" s="11">
        <f>IF(K$3=0,"",SUMIFS(INDEX(Inputs!$D$4:$AG$200,0,MATCH(K$2,Inputs!$D$2:$AG$2,0)),Inputs!$B$4:$B$200,$B44)/1000)</f>
        <v>-81049</v>
      </c>
      <c r="L44" s="11">
        <f>IF(L$3=0,"",SUMIFS(INDEX(Inputs!$D$4:$AG$200,0,MATCH(L$2,Inputs!$D$2:$AG$2,0)),Inputs!$B$4:$B$200,$B44)/1000)</f>
        <v>-81209</v>
      </c>
      <c r="M44" s="12">
        <f>IF(L44="","",L44)</f>
        <v>-81209</v>
      </c>
      <c r="N44" s="11">
        <f>IF(N$3=0,"",SUMIFS(INDEX(Inputs!$D$4:$AG$200,0,MATCH(N$2,Inputs!$D$2:$AG$2,0)),Inputs!$B$4:$B$200,$B44)/1000)</f>
        <v>-80762</v>
      </c>
      <c r="O44" s="11">
        <f>IF(O$3=0,"",SUMIFS(INDEX(Inputs!$D$4:$AG$200,0,MATCH(O$2,Inputs!$D$2:$AG$2,0)),Inputs!$B$4:$B$200,$B44)/1000)</f>
        <v>-80524</v>
      </c>
      <c r="P44" s="11">
        <f>IF(P$3=0,"",SUMIFS(INDEX(Inputs!$D$4:$AG$200,0,MATCH(P$2,Inputs!$D$2:$AG$2,0)),Inputs!$B$4:$B$200,$B44)/1000)</f>
        <v>-80244</v>
      </c>
      <c r="Q44" s="11">
        <f>IF(Q$3=0,"",SUMIFS(INDEX(Inputs!$D$4:$AG$200,0,MATCH(Q$2,Inputs!$D$2:$AG$2,0)),Inputs!$B$4:$B$200,$B44)/1000)</f>
        <v>-79976</v>
      </c>
      <c r="R44" s="12">
        <f>IF(Q44="","",Q44)</f>
        <v>-79976</v>
      </c>
      <c r="S44" s="11">
        <f>IF(S$3=0,"",SUMIFS(INDEX(Inputs!$D$4:$AG$200,0,MATCH(S$2,Inputs!$D$2:$AG$2,0)),Inputs!$B$4:$B$200,$B44)/1000)</f>
        <v>-78508</v>
      </c>
      <c r="T44" s="11">
        <f>IF(T$3=0,"",SUMIFS(INDEX(Inputs!$D$4:$AG$200,0,MATCH(T$2,Inputs!$D$2:$AG$2,0)),Inputs!$B$4:$B$200,$B44)/1000)</f>
        <v>-80013</v>
      </c>
      <c r="U44" s="11">
        <f>IF(U$3=0,"",SUMIFS(INDEX(Inputs!$D$4:$AG$200,0,MATCH(U$2,Inputs!$D$2:$AG$2,0)),Inputs!$B$4:$B$200,$B44)/1000)</f>
        <v>-80061</v>
      </c>
      <c r="V44" s="11">
        <f>IF(V$3=0,"",SUMIFS(INDEX(Inputs!$D$4:$AG$200,0,MATCH(V$2,Inputs!$D$2:$AG$2,0)),Inputs!$B$4:$B$200,$B44)/1000)</f>
        <v>-81566</v>
      </c>
      <c r="W44" s="12">
        <f>IF(V44="","",V44)</f>
        <v>-81566</v>
      </c>
      <c r="X44" s="11">
        <f>IF(X$3=0,"",SUMIFS(INDEX(Inputs!$D$4:$AG$200,0,MATCH(X$2,Inputs!$D$2:$AG$2,0)),Inputs!$B$4:$B$200,$B44)/1000)</f>
        <v>-83024</v>
      </c>
      <c r="Y44" s="11">
        <f>IF(Y$3=0,"",SUMIFS(INDEX(Inputs!$D$4:$AG$200,0,MATCH(Y$2,Inputs!$D$2:$AG$2,0)),Inputs!$B$4:$B$200,$B44)/1000)</f>
        <v>-84421</v>
      </c>
      <c r="Z44" s="11">
        <f>IF(Z$3=0,"",SUMIFS(INDEX(Inputs!$D$4:$AG$200,0,MATCH(Z$2,Inputs!$D$2:$AG$2,0)),Inputs!$B$4:$B$200,$B44)/1000)</f>
        <v>-86002</v>
      </c>
      <c r="AA44" s="11">
        <f>IF(AA$3=0,"",SUMIFS(INDEX(Inputs!$D$4:$AG$200,0,MATCH(AA$2,Inputs!$D$2:$AG$2,0)),Inputs!$B$4:$B$200,$B44)/1000)</f>
        <v>-87801</v>
      </c>
      <c r="AB44" s="12">
        <f>IF(AA44="","",AA44)</f>
        <v>-87801</v>
      </c>
      <c r="AC44" s="11">
        <f>IF(AC$3=0,"",SUMIFS(INDEX(Inputs!$D$4:$AG$200,0,MATCH(AC$2,Inputs!$D$2:$AG$2,0)),Inputs!$B$4:$B$200,$B44)/1000)</f>
        <v>-89690</v>
      </c>
      <c r="AD44" s="11">
        <f>IF(AD$3=0,"",SUMIFS(INDEX(Inputs!$D$4:$AG$200,0,MATCH(AD$2,Inputs!$D$2:$AG$2,0)),Inputs!$B$4:$B$200,$B44)/1000)</f>
        <v>-91454</v>
      </c>
      <c r="AE44" s="11" t="str">
        <f>IF(AE$3=0,"",SUMIFS(INDEX(Inputs!$D$4:$AG$200,0,MATCH(AE$2,Inputs!$D$2:$AG$2,0)),Inputs!$B$4:$B$200,$B44)/1000)</f>
        <v/>
      </c>
      <c r="AF44" s="11" t="str">
        <f>IF(AF$3=0,"",SUMIFS(INDEX(Inputs!$D$4:$AG$200,0,MATCH(AF$2,Inputs!$D$2:$AG$2,0)),Inputs!$B$4:$B$200,$B44)/1000)</f>
        <v/>
      </c>
      <c r="AG44" s="12" t="str">
        <f>IF(AF44="","",AF44)</f>
        <v/>
      </c>
    </row>
    <row r="45">
      <c r="B45" s="9" t="n">
        <v>39</v>
      </c>
      <c r="C45" s="14" t="inlineStr">
        <is>
          <t>Comprehensive (accumulated) loss</t>
        </is>
      </c>
      <c r="D45" s="11">
        <f>IF(D$3=0,"",SUMIFS(INDEX(Inputs!$D$4:$AG$200,0,MATCH(D$2,Inputs!$D$2:$AG$2,0)),Inputs!$B$4:$B$200,$B45)/1000)</f>
        <v>-8893</v>
      </c>
      <c r="E45" s="11">
        <f>IF(E$3=0,"",SUMIFS(INDEX(Inputs!$D$4:$AG$200,0,MATCH(E$2,Inputs!$D$2:$AG$2,0)),Inputs!$B$4:$B$200,$B45)/1000)</f>
        <v>-7820</v>
      </c>
      <c r="F45" s="11">
        <f>IF(F$3=0,"",SUMIFS(INDEX(Inputs!$D$4:$AG$200,0,MATCH(F$2,Inputs!$D$2:$AG$2,0)),Inputs!$B$4:$B$200,$B45)/1000)</f>
        <v>-5078</v>
      </c>
      <c r="G45" s="11">
        <f>IF(G$3=0,"",SUMIFS(INDEX(Inputs!$D$4:$AG$200,0,MATCH(G$2,Inputs!$D$2:$AG$2,0)),Inputs!$B$4:$B$200,$B45)/1000)</f>
        <v>1582</v>
      </c>
      <c r="H45" s="12">
        <f>IF(G45="","",G45)</f>
        <v>1582</v>
      </c>
      <c r="I45" s="11">
        <f>IF(I$3=0,"",SUMIFS(INDEX(Inputs!$D$4:$AG$200,0,MATCH(I$2,Inputs!$D$2:$AG$2,0)),Inputs!$B$4:$B$200,$B45)/1000)</f>
        <v>1341</v>
      </c>
      <c r="J45" s="11">
        <f>IF(J$3=0,"",SUMIFS(INDEX(Inputs!$D$4:$AG$200,0,MATCH(J$2,Inputs!$D$2:$AG$2,0)),Inputs!$B$4:$B$200,$B45)/1000)</f>
        <v>-1852</v>
      </c>
      <c r="K45" s="11">
        <f>IF(K$3=0,"",SUMIFS(INDEX(Inputs!$D$4:$AG$200,0,MATCH(K$2,Inputs!$D$2:$AG$2,0)),Inputs!$B$4:$B$200,$B45)/1000)</f>
        <v>-4405</v>
      </c>
      <c r="L45" s="11">
        <f>IF(L$3=0,"",SUMIFS(INDEX(Inputs!$D$4:$AG$200,0,MATCH(L$2,Inputs!$D$2:$AG$2,0)),Inputs!$B$4:$B$200,$B45)/1000)</f>
        <v>-1311</v>
      </c>
      <c r="M45" s="12">
        <f>IF(L45="","",L45)</f>
        <v>-1311</v>
      </c>
      <c r="N45" s="11">
        <f>IF(N$3=0,"",SUMIFS(INDEX(Inputs!$D$4:$AG$200,0,MATCH(N$2,Inputs!$D$2:$AG$2,0)),Inputs!$B$4:$B$200,$B45)/1000)</f>
        <v>-3289</v>
      </c>
      <c r="O45" s="11">
        <f>IF(O$3=0,"",SUMIFS(INDEX(Inputs!$D$4:$AG$200,0,MATCH(O$2,Inputs!$D$2:$AG$2,0)),Inputs!$B$4:$B$200,$B45)/1000)</f>
        <v>-3573</v>
      </c>
      <c r="P45" s="11">
        <f>IF(P$3=0,"",SUMIFS(INDEX(Inputs!$D$4:$AG$200,0,MATCH(P$2,Inputs!$D$2:$AG$2,0)),Inputs!$B$4:$B$200,$B45)/1000)</f>
        <v>-3351</v>
      </c>
      <c r="Q45" s="11">
        <f>IF(Q$3=0,"",SUMIFS(INDEX(Inputs!$D$4:$AG$200,0,MATCH(Q$2,Inputs!$D$2:$AG$2,0)),Inputs!$B$4:$B$200,$B45)/1000)</f>
        <v>-6150</v>
      </c>
      <c r="R45" s="12">
        <f>IF(Q45="","",Q45)</f>
        <v>-6150</v>
      </c>
      <c r="S45" s="11">
        <f>IF(S$3=0,"",SUMIFS(INDEX(Inputs!$D$4:$AG$200,0,MATCH(S$2,Inputs!$D$2:$AG$2,0)),Inputs!$B$4:$B$200,$B45)/1000)</f>
        <v>-5603</v>
      </c>
      <c r="T45" s="11">
        <f>IF(T$3=0,"",SUMIFS(INDEX(Inputs!$D$4:$AG$200,0,MATCH(T$2,Inputs!$D$2:$AG$2,0)),Inputs!$B$4:$B$200,$B45)/1000)</f>
        <v>-4035</v>
      </c>
      <c r="U45" s="11">
        <f>IF(U$3=0,"",SUMIFS(INDEX(Inputs!$D$4:$AG$200,0,MATCH(U$2,Inputs!$D$2:$AG$2,0)),Inputs!$B$4:$B$200,$B45)/1000)</f>
        <v>-4375</v>
      </c>
      <c r="V45" s="11">
        <f>IF(V$3=0,"",SUMIFS(INDEX(Inputs!$D$4:$AG$200,0,MATCH(V$2,Inputs!$D$2:$AG$2,0)),Inputs!$B$4:$B$200,$B45)/1000)</f>
        <v>-3861</v>
      </c>
      <c r="W45" s="12">
        <f>IF(V45="","",V45)</f>
        <v>-3861</v>
      </c>
      <c r="X45" s="11">
        <f>IF(X$3=0,"",SUMIFS(INDEX(Inputs!$D$4:$AG$200,0,MATCH(X$2,Inputs!$D$2:$AG$2,0)),Inputs!$B$4:$B$200,$B45)/1000)</f>
        <v>-3733</v>
      </c>
      <c r="Y45" s="11">
        <f>IF(Y$3=0,"",SUMIFS(INDEX(Inputs!$D$4:$AG$200,0,MATCH(Y$2,Inputs!$D$2:$AG$2,0)),Inputs!$B$4:$B$200,$B45)/1000)</f>
        <v>-4024</v>
      </c>
      <c r="Z45" s="11">
        <f>IF(Z$3=0,"",SUMIFS(INDEX(Inputs!$D$4:$AG$200,0,MATCH(Z$2,Inputs!$D$2:$AG$2,0)),Inputs!$B$4:$B$200,$B45)/1000)</f>
        <v>-4347</v>
      </c>
      <c r="AA45" s="11">
        <f>IF(AA$3=0,"",SUMIFS(INDEX(Inputs!$D$4:$AG$200,0,MATCH(AA$2,Inputs!$D$2:$AG$2,0)),Inputs!$B$4:$B$200,$B45)/1000)</f>
        <v>-4798</v>
      </c>
      <c r="AB45" s="12">
        <f>IF(AA45="","",AA45)</f>
        <v>-4798</v>
      </c>
      <c r="AC45" s="11">
        <f>IF(AC$3=0,"",SUMIFS(INDEX(Inputs!$D$4:$AG$200,0,MATCH(AC$2,Inputs!$D$2:$AG$2,0)),Inputs!$B$4:$B$200,$B45)/1000)</f>
        <v>-4486</v>
      </c>
      <c r="AD45" s="11">
        <f>IF(AD$3=0,"",SUMIFS(INDEX(Inputs!$D$4:$AG$200,0,MATCH(AD$2,Inputs!$D$2:$AG$2,0)),Inputs!$B$4:$B$200,$B45)/1000)</f>
        <v>-4948</v>
      </c>
      <c r="AE45" s="11" t="str">
        <f>IF(AE$3=0,"",SUMIFS(INDEX(Inputs!$D$4:$AG$200,0,MATCH(AE$2,Inputs!$D$2:$AG$2,0)),Inputs!$B$4:$B$200,$B45)/1000)</f>
        <v/>
      </c>
      <c r="AF45" s="11" t="str">
        <f>IF(AF$3=0,"",SUMIFS(INDEX(Inputs!$D$4:$AG$200,0,MATCH(AF$2,Inputs!$D$2:$AG$2,0)),Inputs!$B$4:$B$200,$B45)/1000)</f>
        <v/>
      </c>
      <c r="AG45" s="12" t="str">
        <f>IF(AF45="","",AF45)</f>
        <v/>
      </c>
    </row>
    <row r="46">
      <c r="B46" s="9" t="n">
        <v>40</v>
      </c>
      <c r="C46" s="14" t="inlineStr">
        <is>
          <t>Other equity account</t>
        </is>
      </c>
      <c r="D46" s="11">
        <f>IF(D$3=0,"",SUMIFS(INDEX(Inputs!$D$4:$AG$200,0,MATCH(D$2,Inputs!$D$2:$AG$2,0)),Inputs!$B$4:$B$200,$B46)/1000)</f>
        <v>0</v>
      </c>
      <c r="E46" s="11">
        <f>IF(E$3=0,"",SUMIFS(INDEX(Inputs!$D$4:$AG$200,0,MATCH(E$2,Inputs!$D$2:$AG$2,0)),Inputs!$B$4:$B$200,$B46)/1000)</f>
        <v>0</v>
      </c>
      <c r="F46" s="11">
        <f>IF(F$3=0,"",SUMIFS(INDEX(Inputs!$D$4:$AG$200,0,MATCH(F$2,Inputs!$D$2:$AG$2,0)),Inputs!$B$4:$B$200,$B46)/1000)</f>
        <v>0</v>
      </c>
      <c r="G46" s="11">
        <f>IF(G$3=0,"",SUMIFS(INDEX(Inputs!$D$4:$AG$200,0,MATCH(G$2,Inputs!$D$2:$AG$2,0)),Inputs!$B$4:$B$200,$B46)/1000)</f>
        <v>0</v>
      </c>
      <c r="H46" s="12">
        <f>IF(G46="","",G46)</f>
        <v>0</v>
      </c>
      <c r="I46" s="11">
        <f>IF(I$3=0,"",SUMIFS(INDEX(Inputs!$D$4:$AG$200,0,MATCH(I$2,Inputs!$D$2:$AG$2,0)),Inputs!$B$4:$B$200,$B46)/1000)</f>
        <v>0</v>
      </c>
      <c r="J46" s="11">
        <f>IF(J$3=0,"",SUMIFS(INDEX(Inputs!$D$4:$AG$200,0,MATCH(J$2,Inputs!$D$2:$AG$2,0)),Inputs!$B$4:$B$200,$B46)/1000)</f>
        <v>0</v>
      </c>
      <c r="K46" s="11">
        <f>IF(K$3=0,"",SUMIFS(INDEX(Inputs!$D$4:$AG$200,0,MATCH(K$2,Inputs!$D$2:$AG$2,0)),Inputs!$B$4:$B$200,$B46)/1000)</f>
        <v>0</v>
      </c>
      <c r="L46" s="11">
        <f>IF(L$3=0,"",SUMIFS(INDEX(Inputs!$D$4:$AG$200,0,MATCH(L$2,Inputs!$D$2:$AG$2,0)),Inputs!$B$4:$B$200,$B46)/1000)</f>
        <v>0</v>
      </c>
      <c r="M46" s="12">
        <f>IF(L46="","",L46)</f>
        <v>0</v>
      </c>
      <c r="N46" s="11">
        <f>IF(N$3=0,"",SUMIFS(INDEX(Inputs!$D$4:$AG$200,0,MATCH(N$2,Inputs!$D$2:$AG$2,0)),Inputs!$B$4:$B$200,$B46)/1000)</f>
        <v>0</v>
      </c>
      <c r="O46" s="11">
        <f>IF(O$3=0,"",SUMIFS(INDEX(Inputs!$D$4:$AG$200,0,MATCH(O$2,Inputs!$D$2:$AG$2,0)),Inputs!$B$4:$B$200,$B46)/1000)</f>
        <v>0</v>
      </c>
      <c r="P46" s="11">
        <f>IF(P$3=0,"",SUMIFS(INDEX(Inputs!$D$4:$AG$200,0,MATCH(P$2,Inputs!$D$2:$AG$2,0)),Inputs!$B$4:$B$200,$B46)/1000)</f>
        <v>0</v>
      </c>
      <c r="Q46" s="11">
        <f>IF(Q$3=0,"",SUMIFS(INDEX(Inputs!$D$4:$AG$200,0,MATCH(Q$2,Inputs!$D$2:$AG$2,0)),Inputs!$B$4:$B$200,$B46)/1000)</f>
        <v>0</v>
      </c>
      <c r="R46" s="12">
        <f>IF(Q46="","",Q46)</f>
        <v>0</v>
      </c>
      <c r="S46" s="11">
        <f>IF(S$3=0,"",SUMIFS(INDEX(Inputs!$D$4:$AG$200,0,MATCH(S$2,Inputs!$D$2:$AG$2,0)),Inputs!$B$4:$B$200,$B46)/1000)</f>
        <v>0</v>
      </c>
      <c r="T46" s="11">
        <f>IF(T$3=0,"",SUMIFS(INDEX(Inputs!$D$4:$AG$200,0,MATCH(T$2,Inputs!$D$2:$AG$2,0)),Inputs!$B$4:$B$200,$B46)/1000)</f>
        <v>0</v>
      </c>
      <c r="U46" s="11">
        <f>IF(U$3=0,"",SUMIFS(INDEX(Inputs!$D$4:$AG$200,0,MATCH(U$2,Inputs!$D$2:$AG$2,0)),Inputs!$B$4:$B$200,$B46)/1000)</f>
        <v>0</v>
      </c>
      <c r="V46" s="11">
        <f>IF(V$3=0,"",SUMIFS(INDEX(Inputs!$D$4:$AG$200,0,MATCH(V$2,Inputs!$D$2:$AG$2,0)),Inputs!$B$4:$B$200,$B46)/1000)</f>
        <v>0</v>
      </c>
      <c r="W46" s="12">
        <f>IF(V46="","",V46)</f>
        <v>0</v>
      </c>
      <c r="X46" s="11">
        <f>IF(X$3=0,"",SUMIFS(INDEX(Inputs!$D$4:$AG$200,0,MATCH(X$2,Inputs!$D$2:$AG$2,0)),Inputs!$B$4:$B$200,$B46)/1000)</f>
        <v>0</v>
      </c>
      <c r="Y46" s="11">
        <f>IF(Y$3=0,"",SUMIFS(INDEX(Inputs!$D$4:$AG$200,0,MATCH(Y$2,Inputs!$D$2:$AG$2,0)),Inputs!$B$4:$B$200,$B46)/1000)</f>
        <v>0</v>
      </c>
      <c r="Z46" s="11">
        <f>IF(Z$3=0,"",SUMIFS(INDEX(Inputs!$D$4:$AG$200,0,MATCH(Z$2,Inputs!$D$2:$AG$2,0)),Inputs!$B$4:$B$200,$B46)/1000)</f>
        <v>0</v>
      </c>
      <c r="AA46" s="11">
        <f>IF(AA$3=0,"",SUMIFS(INDEX(Inputs!$D$4:$AG$200,0,MATCH(AA$2,Inputs!$D$2:$AG$2,0)),Inputs!$B$4:$B$200,$B46)/1000)</f>
        <v>0</v>
      </c>
      <c r="AB46" s="12">
        <f>IF(AA46="","",AA46)</f>
        <v>0</v>
      </c>
      <c r="AC46" s="11">
        <f>IF(AC$3=0,"",SUMIFS(INDEX(Inputs!$D$4:$AG$200,0,MATCH(AC$2,Inputs!$D$2:$AG$2,0)),Inputs!$B$4:$B$200,$B46)/1000)</f>
        <v>0</v>
      </c>
      <c r="AD46" s="11">
        <f>IF(AD$3=0,"",SUMIFS(INDEX(Inputs!$D$4:$AG$200,0,MATCH(AD$2,Inputs!$D$2:$AG$2,0)),Inputs!$B$4:$B$200,$B46)/1000)</f>
        <v>0</v>
      </c>
      <c r="AE46" s="11" t="str">
        <f>IF(AE$3=0,"",SUMIFS(INDEX(Inputs!$D$4:$AG$200,0,MATCH(AE$2,Inputs!$D$2:$AG$2,0)),Inputs!$B$4:$B$200,$B46)/1000)</f>
        <v/>
      </c>
      <c r="AF46" s="11" t="str">
        <f>IF(AF$3=0,"",SUMIFS(INDEX(Inputs!$D$4:$AG$200,0,MATCH(AF$2,Inputs!$D$2:$AG$2,0)),Inputs!$B$4:$B$200,$B46)/1000)</f>
        <v/>
      </c>
      <c r="AG46" s="12" t="str">
        <f>IF(AF46="","",AF46)</f>
        <v/>
      </c>
    </row>
    <row r="47">
      <c r="B47" s="9" t="n">
        <v>41</v>
      </c>
      <c r="C47" s="15" t="inlineStr">
        <is>
          <t>Retained earnings</t>
        </is>
      </c>
      <c r="D47" s="11">
        <f>IF(D$3=0,"",SUMIFS(INDEX(Inputs!$D$4:$AG$200,0,MATCH(D$2,Inputs!$D$2:$AG$2,0)),Inputs!$B$4:$B$200,$B47)/1000)</f>
        <v>89276</v>
      </c>
      <c r="E47" s="11">
        <f>IF(E$3=0,"",SUMIFS(INDEX(Inputs!$D$4:$AG$200,0,MATCH(E$2,Inputs!$D$2:$AG$2,0)),Inputs!$B$4:$B$200,$B47)/1000)</f>
        <v>87993</v>
      </c>
      <c r="F47" s="11">
        <f>IF(F$3=0,"",SUMIFS(INDEX(Inputs!$D$4:$AG$200,0,MATCH(F$2,Inputs!$D$2:$AG$2,0)),Inputs!$B$4:$B$200,$B47)/1000)</f>
        <v>89098</v>
      </c>
      <c r="G47" s="11">
        <f>IF(G$3=0,"",SUMIFS(INDEX(Inputs!$D$4:$AG$200,0,MATCH(G$2,Inputs!$D$2:$AG$2,0)),Inputs!$B$4:$B$200,$B47)/1000)</f>
        <v>85110</v>
      </c>
      <c r="H47" s="12">
        <f>IF(G47="","",G47)</f>
        <v>85110</v>
      </c>
      <c r="I47" s="11">
        <f>IF(I$3=0,"",SUMIFS(INDEX(Inputs!$D$4:$AG$200,0,MATCH(I$2,Inputs!$D$2:$AG$2,0)),Inputs!$B$4:$B$200,$B47)/1000)</f>
        <v>83927</v>
      </c>
      <c r="J47" s="11">
        <f>IF(J$3=0,"",SUMIFS(INDEX(Inputs!$D$4:$AG$200,0,MATCH(J$2,Inputs!$D$2:$AG$2,0)),Inputs!$B$4:$B$200,$B47)/1000)</f>
        <v>82981</v>
      </c>
      <c r="K47" s="11">
        <f>IF(K$3=0,"",SUMIFS(INDEX(Inputs!$D$4:$AG$200,0,MATCH(K$2,Inputs!$D$2:$AG$2,0)),Inputs!$B$4:$B$200,$B47)/1000)</f>
        <v>82655</v>
      </c>
      <c r="L47" s="11">
        <f>IF(L$3=0,"",SUMIFS(INDEX(Inputs!$D$4:$AG$200,0,MATCH(L$2,Inputs!$D$2:$AG$2,0)),Inputs!$B$4:$B$200,$B47)/1000)</f>
        <v>84693</v>
      </c>
      <c r="M47" s="12">
        <f>IF(L47="","",L47)</f>
        <v>84693</v>
      </c>
      <c r="N47" s="11">
        <f>IF(N$3=0,"",SUMIFS(INDEX(Inputs!$D$4:$AG$200,0,MATCH(N$2,Inputs!$D$2:$AG$2,0)),Inputs!$B$4:$B$200,$B47)/1000)</f>
        <v>84955</v>
      </c>
      <c r="O47" s="11">
        <f>IF(O$3=0,"",SUMIFS(INDEX(Inputs!$D$4:$AG$200,0,MATCH(O$2,Inputs!$D$2:$AG$2,0)),Inputs!$B$4:$B$200,$B47)/1000)</f>
        <v>84848</v>
      </c>
      <c r="P47" s="11">
        <f>IF(P$3=0,"",SUMIFS(INDEX(Inputs!$D$4:$AG$200,0,MATCH(P$2,Inputs!$D$2:$AG$2,0)),Inputs!$B$4:$B$200,$B47)/1000)</f>
        <v>85017</v>
      </c>
      <c r="Q47" s="11">
        <f>IF(Q$3=0,"",SUMIFS(INDEX(Inputs!$D$4:$AG$200,0,MATCH(Q$2,Inputs!$D$2:$AG$2,0)),Inputs!$B$4:$B$200,$B47)/1000)</f>
        <v>86527</v>
      </c>
      <c r="R47" s="12">
        <f>IF(Q47="","",Q47)</f>
        <v>86527</v>
      </c>
      <c r="S47" s="11">
        <f>IF(S$3=0,"",SUMIFS(INDEX(Inputs!$D$4:$AG$200,0,MATCH(S$2,Inputs!$D$2:$AG$2,0)),Inputs!$B$4:$B$200,$B47)/1000)</f>
        <v>88065</v>
      </c>
      <c r="T47" s="11">
        <f>IF(T$3=0,"",SUMIFS(INDEX(Inputs!$D$4:$AG$200,0,MATCH(T$2,Inputs!$D$2:$AG$2,0)),Inputs!$B$4:$B$200,$B47)/1000)</f>
        <v>77349</v>
      </c>
      <c r="U47" s="11">
        <f>IF(U$3=0,"",SUMIFS(INDEX(Inputs!$D$4:$AG$200,0,MATCH(U$2,Inputs!$D$2:$AG$2,0)),Inputs!$B$4:$B$200,$B47)/1000)</f>
        <v>78889</v>
      </c>
      <c r="V47" s="11">
        <f>IF(V$3=0,"",SUMIFS(INDEX(Inputs!$D$4:$AG$200,0,MATCH(V$2,Inputs!$D$2:$AG$2,0)),Inputs!$B$4:$B$200,$B47)/1000)</f>
        <v>80488</v>
      </c>
      <c r="W47" s="12">
        <f>IF(V47="","",V47)</f>
        <v>80488</v>
      </c>
      <c r="X47" s="11">
        <f>IF(X$3=0,"",SUMIFS(INDEX(Inputs!$D$4:$AG$200,0,MATCH(X$2,Inputs!$D$2:$AG$2,0)),Inputs!$B$4:$B$200,$B47)/1000)</f>
        <v>82081</v>
      </c>
      <c r="Y47" s="11">
        <f>IF(Y$3=0,"",SUMIFS(INDEX(Inputs!$D$4:$AG$200,0,MATCH(Y$2,Inputs!$D$2:$AG$2,0)),Inputs!$B$4:$B$200,$B47)/1000)</f>
        <v>83726</v>
      </c>
      <c r="Z47" s="11">
        <f>IF(Z$3=0,"",SUMIFS(INDEX(Inputs!$D$4:$AG$200,0,MATCH(Z$2,Inputs!$D$2:$AG$2,0)),Inputs!$B$4:$B$200,$B47)/1000)</f>
        <v>85502</v>
      </c>
      <c r="AA47" s="11">
        <f>IF(AA$3=0,"",SUMIFS(INDEX(Inputs!$D$4:$AG$200,0,MATCH(AA$2,Inputs!$D$2:$AG$2,0)),Inputs!$B$4:$B$200,$B47)/1000)</f>
        <v>87663</v>
      </c>
      <c r="AB47" s="12">
        <f>IF(AA47="","",AA47)</f>
        <v>87663</v>
      </c>
      <c r="AC47" s="11">
        <f>IF(AC$3=0,"",SUMIFS(INDEX(Inputs!$D$4:$AG$200,0,MATCH(AC$2,Inputs!$D$2:$AG$2,0)),Inputs!$B$4:$B$200,$B47)/1000)</f>
        <v>89073</v>
      </c>
      <c r="AD47" s="11">
        <f>IF(AD$3=0,"",SUMIFS(INDEX(Inputs!$D$4:$AG$200,0,MATCH(AD$2,Inputs!$D$2:$AG$2,0)),Inputs!$B$4:$B$200,$B47)/1000)</f>
        <v>90953</v>
      </c>
      <c r="AE47" s="11" t="str">
        <f>IF(AE$3=0,"",SUMIFS(INDEX(Inputs!$D$4:$AG$200,0,MATCH(AE$2,Inputs!$D$2:$AG$2,0)),Inputs!$B$4:$B$200,$B47)/1000)</f>
        <v/>
      </c>
      <c r="AF47" s="11" t="str">
        <f>IF(AF$3=0,"",SUMIFS(INDEX(Inputs!$D$4:$AG$200,0,MATCH(AF$2,Inputs!$D$2:$AG$2,0)),Inputs!$B$4:$B$200,$B47)/1000)</f>
        <v/>
      </c>
      <c r="AG47" s="12" t="str">
        <f>IF(AF47="","",AF47)</f>
        <v/>
      </c>
    </row>
    <row r="48"/>
    <row r="49" customFormat="1" s="3">
      <c r="C49" s="4" t="n"/>
      <c r="D49" s="16" t="n"/>
      <c r="E49" s="16" t="n"/>
      <c r="F49" s="16" t="n"/>
      <c r="G49" s="16" t="n"/>
      <c r="H49" s="12" t="n"/>
      <c r="I49" s="16" t="n"/>
      <c r="J49" s="16" t="n"/>
      <c r="K49" s="16" t="n"/>
      <c r="L49" s="16" t="n"/>
      <c r="M49" s="12" t="n"/>
      <c r="N49" s="16" t="n"/>
      <c r="O49" s="16" t="n"/>
      <c r="P49" s="16" t="n"/>
      <c r="Q49" s="16" t="n"/>
      <c r="R49" s="12" t="n"/>
      <c r="S49" s="16" t="n"/>
      <c r="T49" s="16" t="n"/>
      <c r="U49" s="16" t="n"/>
      <c r="V49" s="16" t="n"/>
      <c r="W49" s="12" t="n"/>
      <c r="X49" s="16" t="n"/>
      <c r="Y49" s="16" t="n"/>
      <c r="Z49" s="16" t="n"/>
      <c r="AA49" s="16" t="n"/>
      <c r="AC49" s="16" t="n"/>
      <c r="AD49" s="16" t="n"/>
      <c r="AE49" s="16" t="n"/>
      <c r="AF49" s="16" t="n"/>
    </row>
    <row r="50">
      <c r="B50" s="9" t="n">
        <v>44</v>
      </c>
      <c r="C50" s="10" t="inlineStr">
        <is>
          <t>Net income reported (lucro líquido reportado) — base do check de DRE [Model linha 4]</t>
        </is>
      </c>
      <c r="D50" s="11">
        <f>IF(SUMPRODUCT((Inputs!$B$4:$B$200=$B50)*ISNUMBER(INDEX(Inputs!$D$4:$AG$200,0,MATCH(D$2,Inputs!$D$2:$AG$2,0))))=0,"",SUMIFS(INDEX(Inputs!$D$4:$AG$200,0,MATCH(D$2,Inputs!$D$2:$AG$2,0)),Inputs!$B$4:$B$200,$B50)/1000)</f>
        <v>-2802</v>
      </c>
      <c r="E50" s="11">
        <f>IF(SUMPRODUCT((Inputs!$B$4:$B$200=$B50)*ISNUMBER(INDEX(Inputs!$D$4:$AG$200,0,MATCH(E$2,Inputs!$D$2:$AG$2,0))))=0,"",SUMIFS(INDEX(Inputs!$D$4:$AG$200,0,MATCH(E$2,Inputs!$D$2:$AG$2,0)),Inputs!$B$4:$B$200,$B50)/1000)</f>
        <v>-1131</v>
      </c>
      <c r="F50" s="11">
        <f>IF(SUMPRODUCT((Inputs!$B$4:$B$200=$B50)*ISNUMBER(INDEX(Inputs!$D$4:$AG$200,0,MATCH(F$2,Inputs!$D$2:$AG$2,0))))=0,"",SUMIFS(INDEX(Inputs!$D$4:$AG$200,0,MATCH(F$2,Inputs!$D$2:$AG$2,0)),Inputs!$B$4:$B$200,$B50)/1000)</f>
        <v>1257</v>
      </c>
      <c r="G50" s="11">
        <f>IF(SUMPRODUCT((Inputs!$B$4:$B$200=$B50)*ISNUMBER(INDEX(Inputs!$D$4:$AG$200,0,MATCH(G$2,Inputs!$D$2:$AG$2,0))))=0,"",SUMIFS(INDEX(Inputs!$D$4:$AG$200,0,MATCH(G$2,Inputs!$D$2:$AG$2,0)),Inputs!$B$4:$B$200,$B50)/1000)</f>
        <v>-3843</v>
      </c>
      <c r="H50" s="12">
        <f>IF(COUNT(D50:G50)=4,SUM(D50:G50),"")</f>
        <v>-6519</v>
      </c>
      <c r="I50" s="11">
        <f>IF(SUMPRODUCT((Inputs!$B$4:$B$200=$B50)*ISNUMBER(INDEX(Inputs!$D$4:$AG$200,0,MATCH(I$2,Inputs!$D$2:$AG$2,0))))=0,"",SUMIFS(INDEX(Inputs!$D$4:$AG$200,0,MATCH(I$2,Inputs!$D$2:$AG$2,0)),Inputs!$B$4:$B$200,$B50)/1000)</f>
        <v>-1136</v>
      </c>
      <c r="J50" s="11">
        <f>IF(SUMPRODUCT((Inputs!$B$4:$B$200=$B50)*ISNUMBER(INDEX(Inputs!$D$4:$AG$200,0,MATCH(J$2,Inputs!$D$2:$AG$2,0))))=0,"",SUMIFS(INDEX(Inputs!$D$4:$AG$200,0,MATCH(J$2,Inputs!$D$2:$AG$2,0)),Inputs!$B$4:$B$200,$B50)/1000)</f>
        <v>-882</v>
      </c>
      <c r="K50" s="11">
        <f>IF(SUMPRODUCT((Inputs!$B$4:$B$200=$B50)*ISNUMBER(INDEX(Inputs!$D$4:$AG$200,0,MATCH(K$2,Inputs!$D$2:$AG$2,0))))=0,"",SUMIFS(INDEX(Inputs!$D$4:$AG$200,0,MATCH(K$2,Inputs!$D$2:$AG$2,0)),Inputs!$B$4:$B$200,$B50)/1000)</f>
        <v>161</v>
      </c>
      <c r="L50" s="11">
        <f>IF(SUMPRODUCT((Inputs!$B$4:$B$200=$B50)*ISNUMBER(INDEX(Inputs!$D$4:$AG$200,0,MATCH(L$2,Inputs!$D$2:$AG$2,0))))=0,"",SUMIFS(INDEX(Inputs!$D$4:$AG$200,0,MATCH(L$2,Inputs!$D$2:$AG$2,0)),Inputs!$B$4:$B$200,$B50)/1000)</f>
        <v>2197</v>
      </c>
      <c r="M50" s="12">
        <f>IF(COUNT(I50:L50)=4,SUM(I50:L50),"")</f>
        <v>340</v>
      </c>
      <c r="N50" s="11">
        <f>IF(SUMPRODUCT((Inputs!$B$4:$B$200=$B50)*ISNUMBER(INDEX(Inputs!$D$4:$AG$200,0,MATCH(N$2,Inputs!$D$2:$AG$2,0))))=0,"",SUMIFS(INDEX(Inputs!$D$4:$AG$200,0,MATCH(N$2,Inputs!$D$2:$AG$2,0)),Inputs!$B$4:$B$200,$B50)/1000)</f>
        <v>7508</v>
      </c>
      <c r="O50" s="11">
        <f>IF(SUMPRODUCT((Inputs!$B$4:$B$200=$B50)*ISNUMBER(INDEX(Inputs!$D$4:$AG$200,0,MATCH(O$2,Inputs!$D$2:$AG$2,0))))=0,"",SUMIFS(INDEX(Inputs!$D$4:$AG$200,0,MATCH(O$2,Inputs!$D$2:$AG$2,0)),Inputs!$B$4:$B$200,$B50)/1000)</f>
        <v>33</v>
      </c>
      <c r="P50" s="11">
        <f>IF(SUMPRODUCT((Inputs!$B$4:$B$200=$B50)*ISNUMBER(INDEX(Inputs!$D$4:$AG$200,0,MATCH(P$2,Inputs!$D$2:$AG$2,0))))=0,"",SUMIFS(INDEX(Inputs!$D$4:$AG$200,0,MATCH(P$2,Inputs!$D$2:$AG$2,0)),Inputs!$B$4:$B$200,$B50)/1000)</f>
        <v>352</v>
      </c>
      <c r="Q50" s="11">
        <f>IF(SUMPRODUCT((Inputs!$B$4:$B$200=$B50)*ISNUMBER(INDEX(Inputs!$D$4:$AG$200,0,MATCH(Q$2,Inputs!$D$2:$AG$2,0))))=0,"",SUMIFS(INDEX(Inputs!$D$4:$AG$200,0,MATCH(Q$2,Inputs!$D$2:$AG$2,0)),Inputs!$B$4:$B$200,$B50)/1000)</f>
        <v>1589</v>
      </c>
      <c r="R50" s="12">
        <f>IF(COUNT(N50:Q50)=4,SUM(N50:Q50),"")</f>
        <v>9482</v>
      </c>
      <c r="S50" s="11">
        <f>IF(SUMPRODUCT((Inputs!$B$4:$B$200=$B50)*ISNUMBER(INDEX(Inputs!$D$4:$AG$200,0,MATCH(S$2,Inputs!$D$2:$AG$2,0))))=0,"",SUMIFS(INDEX(Inputs!$D$4:$AG$200,0,MATCH(S$2,Inputs!$D$2:$AG$2,0)),Inputs!$B$4:$B$200,$B50)/1000)</f>
        <v>1539</v>
      </c>
      <c r="T50" s="11">
        <f>IF(SUMPRODUCT((Inputs!$B$4:$B$200=$B50)*ISNUMBER(INDEX(Inputs!$D$4:$AG$200,0,MATCH(T$2,Inputs!$D$2:$AG$2,0))))=0,"",SUMIFS(INDEX(Inputs!$D$4:$AG$200,0,MATCH(T$2,Inputs!$D$2:$AG$2,0)),Inputs!$B$4:$B$200,$B50)/1000)</f>
        <v>1266</v>
      </c>
      <c r="U50" s="11">
        <f>IF(SUMPRODUCT((Inputs!$B$4:$B$200=$B50)*ISNUMBER(INDEX(Inputs!$D$4:$AG$200,0,MATCH(U$2,Inputs!$D$2:$AG$2,0))))=0,"",SUMIFS(INDEX(Inputs!$D$4:$AG$200,0,MATCH(U$2,Inputs!$D$2:$AG$2,0)),Inputs!$B$4:$B$200,$B50)/1000)</f>
        <v>1852</v>
      </c>
      <c r="V50" s="11">
        <f>IF(SUMPRODUCT((Inputs!$B$4:$B$200=$B50)*ISNUMBER(INDEX(Inputs!$D$4:$AG$200,0,MATCH(V$2,Inputs!$D$2:$AG$2,0))))=0,"",SUMIFS(INDEX(Inputs!$D$4:$AG$200,0,MATCH(V$2,Inputs!$D$2:$AG$2,0)),Inputs!$B$4:$B$200,$B50)/1000)</f>
        <v>1899</v>
      </c>
      <c r="W50" s="12">
        <f>IF(COUNT(S50:V50)=4,SUM(S50:V50),"")</f>
        <v>6556</v>
      </c>
      <c r="X50" s="11">
        <f>IF(SUMPRODUCT((Inputs!$B$4:$B$200=$B50)*ISNUMBER(INDEX(Inputs!$D$4:$AG$200,0,MATCH(X$2,Inputs!$D$2:$AG$2,0))))=0,"",SUMIFS(INDEX(Inputs!$D$4:$AG$200,0,MATCH(X$2,Inputs!$D$2:$AG$2,0)),Inputs!$B$4:$B$200,$B50)/1000)</f>
        <v>1978</v>
      </c>
      <c r="Y50" s="11">
        <f>IF(SUMPRODUCT((Inputs!$B$4:$B$200=$B50)*ISNUMBER(INDEX(Inputs!$D$4:$AG$200,0,MATCH(Y$2,Inputs!$D$2:$AG$2,0))))=0,"",SUMIFS(INDEX(Inputs!$D$4:$AG$200,0,MATCH(Y$2,Inputs!$D$2:$AG$2,0)),Inputs!$B$4:$B$200,$B50)/1000)</f>
        <v>2028</v>
      </c>
      <c r="Z50" s="11">
        <f>IF(SUMPRODUCT((Inputs!$B$4:$B$200=$B50)*ISNUMBER(INDEX(Inputs!$D$4:$AG$200,0,MATCH(Z$2,Inputs!$D$2:$AG$2,0))))=0,"",SUMIFS(INDEX(Inputs!$D$4:$AG$200,0,MATCH(Z$2,Inputs!$D$2:$AG$2,0)),Inputs!$B$4:$B$200,$B50)/1000)</f>
        <v>2157</v>
      </c>
      <c r="AA50" s="11">
        <f>IF(SUMPRODUCT((Inputs!$B$4:$B$200=$B50)*ISNUMBER(INDEX(Inputs!$D$4:$AG$200,0,MATCH(AA$2,Inputs!$D$2:$AG$2,0))))=0,"",SUMIFS(INDEX(Inputs!$D$4:$AG$200,0,MATCH(AA$2,Inputs!$D$2:$AG$2,0)),Inputs!$B$4:$B$200,$B50)/1000)</f>
        <v>2541</v>
      </c>
      <c r="AB50" s="12">
        <f>IF(COUNT(X50:AA50)=4,SUM(X50:AA50),"")</f>
        <v>8704</v>
      </c>
      <c r="AC50" s="11">
        <f>IF(SUMPRODUCT((Inputs!$B$4:$B$200=$B50)*ISNUMBER(INDEX(Inputs!$D$4:$AG$200,0,MATCH(AC$2,Inputs!$D$2:$AG$2,0))))=0,"",SUMIFS(INDEX(Inputs!$D$4:$AG$200,0,MATCH(AC$2,Inputs!$D$2:$AG$2,0)),Inputs!$B$4:$B$200,$B50)/1000)</f>
        <v>1904</v>
      </c>
      <c r="AD50" s="11">
        <f>IF(SUMPRODUCT((Inputs!$B$4:$B$200=$B50)*ISNUMBER(INDEX(Inputs!$D$4:$AG$200,0,MATCH(AD$2,Inputs!$D$2:$AG$2,0))))=0,"",SUMIFS(INDEX(Inputs!$D$4:$AG$200,0,MATCH(AD$2,Inputs!$D$2:$AG$2,0)),Inputs!$B$4:$B$200,$B50)/1000)</f>
        <v>2370</v>
      </c>
      <c r="AE50" s="11" t="str">
        <f>IF(SUMPRODUCT((Inputs!$B$4:$B$200=$B50)*ISNUMBER(INDEX(Inputs!$D$4:$AG$200,0,MATCH(AE$2,Inputs!$D$2:$AG$2,0))))=0,"",SUMIFS(INDEX(Inputs!$D$4:$AG$200,0,MATCH(AE$2,Inputs!$D$2:$AG$2,0)),Inputs!$B$4:$B$200,$B50)/1000)</f>
        <v/>
      </c>
      <c r="AF50" s="11" t="str">
        <f>IF(SUMPRODUCT((Inputs!$B$4:$B$200=$B50)*ISNUMBER(INDEX(Inputs!$D$4:$AG$200,0,MATCH(AF$2,Inputs!$D$2:$AG$2,0))))=0,"",SUMIFS(INDEX(Inputs!$D$4:$AG$200,0,MATCH(AF$2,Inputs!$D$2:$AG$2,0)),Inputs!$B$4:$B$200,$B50)/1000)</f>
        <v/>
      </c>
      <c r="AG50" s="12" t="str">
        <f>IF(COUNT(AC50:AF50)=4,SUM(AC50:AF50),"")</f>
        <v/>
      </c>
    </row>
    <row r="52">
      <c r="C52" t="inlineStr">
        <is>
          <t>Drivers de receita (memo) - codigos 45+ [Model, bloco abaixo da receita liquida]</t>
        </is>
      </c>
    </row>
    <row r="53">
      <c r="B53" s="9" t="n">
        <v>45</v>
      </c>
      <c r="C53" s="10" t="inlineStr">
        <is>
          <t>Receita de produtos (USD)</t>
        </is>
      </c>
      <c r="D53" s="11">
        <f>IF(SUMPRODUCT((Inputs!$B$4:$B$200=$B53)*ISNUMBER(INDEX(Inputs!$D$4:$AG$200,0,MATCH(D$2,Inputs!$D$2:$AG$2,0))))=0,"",SUMIFS(INDEX(Inputs!$D$4:$AG$200,0,MATCH(D$2,Inputs!$D$2:$AG$2,0)),Inputs!$B$4:$B$200,$B53)/1000)</f>
        <v>8159</v>
      </c>
      <c r="E53" s="11">
        <f>IF(SUMPRODUCT((Inputs!$B$4:$B$200=$B53)*ISNUMBER(INDEX(Inputs!$D$4:$AG$200,0,MATCH(E$2,Inputs!$D$2:$AG$2,0))))=0,"",SUMIFS(INDEX(Inputs!$D$4:$AG$200,0,MATCH(E$2,Inputs!$D$2:$AG$2,0)),Inputs!$B$4:$B$200,$B53)/1000)</f>
        <v>8498</v>
      </c>
      <c r="F53" s="11">
        <f>IF(SUMPRODUCT((Inputs!$B$4:$B$200=$B53)*ISNUMBER(INDEX(Inputs!$D$4:$AG$200,0,MATCH(F$2,Inputs!$D$2:$AG$2,0))))=0,"",SUMIFS(INDEX(Inputs!$D$4:$AG$200,0,MATCH(F$2,Inputs!$D$2:$AG$2,0)),Inputs!$B$4:$B$200,$B53)/1000)</f>
        <v>9087</v>
      </c>
      <c r="G53" s="11">
        <f>IF(SUMPRODUCT((Inputs!$B$4:$B$200=$B53)*ISNUMBER(INDEX(Inputs!$D$4:$AG$200,0,MATCH(G$2,Inputs!$D$2:$AG$2,0))))=0,"",SUMIFS(INDEX(Inputs!$D$4:$AG$200,0,MATCH(G$2,Inputs!$D$2:$AG$2,0)),Inputs!$B$4:$B$200,$B53)/1000)</f>
        <v>9150</v>
      </c>
      <c r="H53" s="12">
        <f>IF(COUNT(D53:G53)=4,SUM(D53:G53),"")</f>
        <v>34894</v>
      </c>
      <c r="I53" s="11">
        <f>IF(SUMPRODUCT((Inputs!$B$4:$B$200=$B53)*ISNUMBER(INDEX(Inputs!$D$4:$AG$200,0,MATCH(I$2,Inputs!$D$2:$AG$2,0))))=0,"",SUMIFS(INDEX(Inputs!$D$4:$AG$200,0,MATCH(I$2,Inputs!$D$2:$AG$2,0)),Inputs!$B$4:$B$200,$B53)/1000)</f>
        <v>4792</v>
      </c>
      <c r="J53" s="11">
        <f>IF(SUMPRODUCT((Inputs!$B$4:$B$200=$B53)*ISNUMBER(INDEX(Inputs!$D$4:$AG$200,0,MATCH(J$2,Inputs!$D$2:$AG$2,0))))=0,"",SUMIFS(INDEX(Inputs!$D$4:$AG$200,0,MATCH(J$2,Inputs!$D$2:$AG$2,0)),Inputs!$B$4:$B$200,$B53)/1000)</f>
        <v>5399</v>
      </c>
      <c r="K53" s="11">
        <f>IF(SUMPRODUCT((Inputs!$B$4:$B$200=$B53)*ISNUMBER(INDEX(Inputs!$D$4:$AG$200,0,MATCH(K$2,Inputs!$D$2:$AG$2,0))))=0,"",SUMIFS(INDEX(Inputs!$D$4:$AG$200,0,MATCH(K$2,Inputs!$D$2:$AG$2,0)),Inputs!$B$4:$B$200,$B53)/1000)</f>
        <v>5809</v>
      </c>
      <c r="L53" s="11">
        <f>IF(SUMPRODUCT((Inputs!$B$4:$B$200=$B53)*ISNUMBER(INDEX(Inputs!$D$4:$AG$200,0,MATCH(L$2,Inputs!$D$2:$AG$2,0))))=0,"",SUMIFS(INDEX(Inputs!$D$4:$AG$200,0,MATCH(L$2,Inputs!$D$2:$AG$2,0)),Inputs!$B$4:$B$200,$B53)/1000)</f>
        <v>9468</v>
      </c>
      <c r="M53" s="12">
        <f>IF(COUNT(I53:L53)=4,SUM(I53:L53),"")</f>
        <v>25468</v>
      </c>
      <c r="N53" s="11">
        <f>IF(SUMPRODUCT((Inputs!$B$4:$B$200=$B53)*ISNUMBER(INDEX(Inputs!$D$4:$AG$200,0,MATCH(N$2,Inputs!$D$2:$AG$2,0))))=0,"",SUMIFS(INDEX(Inputs!$D$4:$AG$200,0,MATCH(N$2,Inputs!$D$2:$AG$2,0)),Inputs!$B$4:$B$200,$B53)/1000)</f>
        <v>5387</v>
      </c>
      <c r="O53" s="11">
        <f>IF(SUMPRODUCT((Inputs!$B$4:$B$200=$B53)*ISNUMBER(INDEX(Inputs!$D$4:$AG$200,0,MATCH(O$2,Inputs!$D$2:$AG$2,0))))=0,"",SUMIFS(INDEX(Inputs!$D$4:$AG$200,0,MATCH(O$2,Inputs!$D$2:$AG$2,0)),Inputs!$B$4:$B$200,$B53)/1000)</f>
        <v>2744</v>
      </c>
      <c r="P53" s="11">
        <f>IF(SUMPRODUCT((Inputs!$B$4:$B$200=$B53)*ISNUMBER(INDEX(Inputs!$D$4:$AG$200,0,MATCH(P$2,Inputs!$D$2:$AG$2,0))))=0,"",SUMIFS(INDEX(Inputs!$D$4:$AG$200,0,MATCH(P$2,Inputs!$D$2:$AG$2,0)),Inputs!$B$4:$B$200,$B53)/1000)</f>
        <v>2482</v>
      </c>
      <c r="Q53" s="11">
        <f>IF(SUMPRODUCT((Inputs!$B$4:$B$200=$B53)*ISNUMBER(INDEX(Inputs!$D$4:$AG$200,0,MATCH(Q$2,Inputs!$D$2:$AG$2,0))))=0,"",SUMIFS(INDEX(Inputs!$D$4:$AG$200,0,MATCH(Q$2,Inputs!$D$2:$AG$2,0)),Inputs!$B$4:$B$200,$B53)/1000)</f>
        <v>8024</v>
      </c>
      <c r="R53" s="12">
        <f>IF(COUNT(N53:Q53)=4,SUM(N53:Q53),"")</f>
        <v>18637</v>
      </c>
      <c r="S53" s="11">
        <f>IF(SUMPRODUCT((Inputs!$B$4:$B$200=$B53)*ISNUMBER(INDEX(Inputs!$D$4:$AG$200,0,MATCH(S$2,Inputs!$D$2:$AG$2,0))))=0,"",SUMIFS(INDEX(Inputs!$D$4:$AG$200,0,MATCH(S$2,Inputs!$D$2:$AG$2,0)),Inputs!$B$4:$B$200,$B53)/1000)</f>
        <v>2715</v>
      </c>
      <c r="T53" s="11">
        <f>IF(SUMPRODUCT((Inputs!$B$4:$B$200=$B53)*ISNUMBER(INDEX(Inputs!$D$4:$AG$200,0,MATCH(T$2,Inputs!$D$2:$AG$2,0))))=0,"",SUMIFS(INDEX(Inputs!$D$4:$AG$200,0,MATCH(T$2,Inputs!$D$2:$AG$2,0)),Inputs!$B$4:$B$200,$B53)/1000)</f>
        <v>2498</v>
      </c>
      <c r="U53" s="11">
        <f>IF(SUMPRODUCT((Inputs!$B$4:$B$200=$B53)*ISNUMBER(INDEX(Inputs!$D$4:$AG$200,0,MATCH(U$2,Inputs!$D$2:$AG$2,0))))=0,"",SUMIFS(INDEX(Inputs!$D$4:$AG$200,0,MATCH(U$2,Inputs!$D$2:$AG$2,0)),Inputs!$B$4:$B$200,$B53)/1000)</f>
        <v>2622</v>
      </c>
      <c r="V53" s="11">
        <f>IF(SUMPRODUCT((Inputs!$B$4:$B$200=$B53)*ISNUMBER(INDEX(Inputs!$D$4:$AG$200,0,MATCH(V$2,Inputs!$D$2:$AG$2,0))))=0,"",SUMIFS(INDEX(Inputs!$D$4:$AG$200,0,MATCH(V$2,Inputs!$D$2:$AG$2,0)),Inputs!$B$4:$B$200,$B53)/1000)</f>
        <v>3479</v>
      </c>
      <c r="W53" s="12">
        <f>IF(COUNT(S53:V53)=4,SUM(S53:V53),"")</f>
        <v>11314</v>
      </c>
      <c r="X53" s="11">
        <f>IF(SUMPRODUCT((Inputs!$B$4:$B$200=$B53)*ISNUMBER(INDEX(Inputs!$D$4:$AG$200,0,MATCH(X$2,Inputs!$D$2:$AG$2,0))))=0,"",SUMIFS(INDEX(Inputs!$D$4:$AG$200,0,MATCH(X$2,Inputs!$D$2:$AG$2,0)),Inputs!$B$4:$B$200,$B53)/1000)</f>
        <v>2972</v>
      </c>
      <c r="Y53" s="11">
        <f>IF(SUMPRODUCT((Inputs!$B$4:$B$200=$B53)*ISNUMBER(INDEX(Inputs!$D$4:$AG$200,0,MATCH(Y$2,Inputs!$D$2:$AG$2,0))))=0,"",SUMIFS(INDEX(Inputs!$D$4:$AG$200,0,MATCH(Y$2,Inputs!$D$2:$AG$2,0)),Inputs!$B$4:$B$200,$B53)/1000)</f>
        <v>3234</v>
      </c>
      <c r="Z53" s="11">
        <f>IF(SUMPRODUCT((Inputs!$B$4:$B$200=$B53)*ISNUMBER(INDEX(Inputs!$D$4:$AG$200,0,MATCH(Z$2,Inputs!$D$2:$AG$2,0))))=0,"",SUMIFS(INDEX(Inputs!$D$4:$AG$200,0,MATCH(Z$2,Inputs!$D$2:$AG$2,0)),Inputs!$B$4:$B$200,$B53)/1000)</f>
        <v>3493</v>
      </c>
      <c r="AA53" s="11">
        <f>IF(SUMPRODUCT((Inputs!$B$4:$B$200=$B53)*ISNUMBER(INDEX(Inputs!$D$4:$AG$200,0,MATCH(AA$2,Inputs!$D$2:$AG$2,0))))=0,"",SUMIFS(INDEX(Inputs!$D$4:$AG$200,0,MATCH(AA$2,Inputs!$D$2:$AG$2,0)),Inputs!$B$4:$B$200,$B53)/1000)</f>
        <v>3867</v>
      </c>
      <c r="AB53" s="12">
        <f>IF(COUNT(X53:AA53)=4,SUM(X53:AA53),"")</f>
        <v>13566</v>
      </c>
      <c r="AC53" s="11">
        <f>IF(SUMPRODUCT((Inputs!$B$4:$B$200=$B53)*ISNUMBER(INDEX(Inputs!$D$4:$AG$200,0,MATCH(AC$2,Inputs!$D$2:$AG$2,0))))=0,"",SUMIFS(INDEX(Inputs!$D$4:$AG$200,0,MATCH(AC$2,Inputs!$D$2:$AG$2,0)),Inputs!$B$4:$B$200,$B53)/1000)</f>
        <v>3708</v>
      </c>
      <c r="AD53" s="11">
        <f>IF(SUMPRODUCT((Inputs!$B$4:$B$200=$B53)*ISNUMBER(INDEX(Inputs!$D$4:$AG$200,0,MATCH(AD$2,Inputs!$D$2:$AG$2,0))))=0,"",SUMIFS(INDEX(Inputs!$D$4:$AG$200,0,MATCH(AD$2,Inputs!$D$2:$AG$2,0)),Inputs!$B$4:$B$200,$B53)/1000)</f>
        <v>4041</v>
      </c>
      <c r="AE53" s="11" t="str">
        <f>IF(SUMPRODUCT((Inputs!$B$4:$B$200=$B53)*ISNUMBER(INDEX(Inputs!$D$4:$AG$200,0,MATCH(AE$2,Inputs!$D$2:$AG$2,0))))=0,"",SUMIFS(INDEX(Inputs!$D$4:$AG$200,0,MATCH(AE$2,Inputs!$D$2:$AG$2,0)),Inputs!$B$4:$B$200,$B53)/1000)</f>
        <v/>
      </c>
      <c r="AF53" s="11" t="str">
        <f>IF(SUMPRODUCT((Inputs!$B$4:$B$200=$B53)*ISNUMBER(INDEX(Inputs!$D$4:$AG$200,0,MATCH(AF$2,Inputs!$D$2:$AG$2,0))))=0,"",SUMIFS(INDEX(Inputs!$D$4:$AG$200,0,MATCH(AF$2,Inputs!$D$2:$AG$2,0)),Inputs!$B$4:$B$200,$B53)/1000)</f>
        <v/>
      </c>
      <c r="AG53" s="12" t="str">
        <f>IF(COUNT(AC53:AF53)=4,SUM(AC53:AF53),"")</f>
        <v/>
      </c>
    </row>
    <row r="54">
      <c r="B54" s="9" t="n">
        <v>46</v>
      </c>
      <c r="C54" s="10" t="inlineStr">
        <is>
          <t>Receita de serviços (USD)</t>
        </is>
      </c>
      <c r="D54" s="11">
        <f>IF(SUMPRODUCT((Inputs!$B$4:$B$200=$B54)*ISNUMBER(INDEX(Inputs!$D$4:$AG$200,0,MATCH(D$2,Inputs!$D$2:$AG$2,0))))=0,"",SUMIFS(INDEX(Inputs!$D$4:$AG$200,0,MATCH(D$2,Inputs!$D$2:$AG$2,0)),Inputs!$B$4:$B$200,$B54)/1000)</f>
        <v>8309</v>
      </c>
      <c r="E54" s="11">
        <f>IF(SUMPRODUCT((Inputs!$B$4:$B$200=$B54)*ISNUMBER(INDEX(Inputs!$D$4:$AG$200,0,MATCH(E$2,Inputs!$D$2:$AG$2,0))))=0,"",SUMIFS(INDEX(Inputs!$D$4:$AG$200,0,MATCH(E$2,Inputs!$D$2:$AG$2,0)),Inputs!$B$4:$B$200,$B54)/1000)</f>
        <v>9140</v>
      </c>
      <c r="F54" s="11">
        <f>IF(SUMPRODUCT((Inputs!$B$4:$B$200=$B54)*ISNUMBER(INDEX(Inputs!$D$4:$AG$200,0,MATCH(F$2,Inputs!$D$2:$AG$2,0))))=0,"",SUMIFS(INDEX(Inputs!$D$4:$AG$200,0,MATCH(F$2,Inputs!$D$2:$AG$2,0)),Inputs!$B$4:$B$200,$B54)/1000)</f>
        <v>8883</v>
      </c>
      <c r="G54" s="11">
        <f>IF(SUMPRODUCT((Inputs!$B$4:$B$200=$B54)*ISNUMBER(INDEX(Inputs!$D$4:$AG$200,0,MATCH(G$2,Inputs!$D$2:$AG$2,0))))=0,"",SUMIFS(INDEX(Inputs!$D$4:$AG$200,0,MATCH(G$2,Inputs!$D$2:$AG$2,0)),Inputs!$B$4:$B$200,$B54)/1000)</f>
        <v>10408</v>
      </c>
      <c r="H54" s="12">
        <f>IF(COUNT(D54:G54)=4,SUM(D54:G54),"")</f>
        <v>36740</v>
      </c>
      <c r="I54" s="11">
        <f>IF(SUMPRODUCT((Inputs!$B$4:$B$200=$B54)*ISNUMBER(INDEX(Inputs!$D$4:$AG$200,0,MATCH(I$2,Inputs!$D$2:$AG$2,0))))=0,"",SUMIFS(INDEX(Inputs!$D$4:$AG$200,0,MATCH(I$2,Inputs!$D$2:$AG$2,0)),Inputs!$B$4:$B$200,$B54)/1000)</f>
        <v>7183</v>
      </c>
      <c r="J54" s="11">
        <f>IF(SUMPRODUCT((Inputs!$B$4:$B$200=$B54)*ISNUMBER(INDEX(Inputs!$D$4:$AG$200,0,MATCH(J$2,Inputs!$D$2:$AG$2,0))))=0,"",SUMIFS(INDEX(Inputs!$D$4:$AG$200,0,MATCH(J$2,Inputs!$D$2:$AG$2,0)),Inputs!$B$4:$B$200,$B54)/1000)</f>
        <v>8030</v>
      </c>
      <c r="K54" s="11">
        <f>IF(SUMPRODUCT((Inputs!$B$4:$B$200=$B54)*ISNUMBER(INDEX(Inputs!$D$4:$AG$200,0,MATCH(K$2,Inputs!$D$2:$AG$2,0))))=0,"",SUMIFS(INDEX(Inputs!$D$4:$AG$200,0,MATCH(K$2,Inputs!$D$2:$AG$2,0)),Inputs!$B$4:$B$200,$B54)/1000)</f>
        <v>8018</v>
      </c>
      <c r="L54" s="11">
        <f>IF(SUMPRODUCT((Inputs!$B$4:$B$200=$B54)*ISNUMBER(INDEX(Inputs!$D$4:$AG$200,0,MATCH(L$2,Inputs!$D$2:$AG$2,0))))=0,"",SUMIFS(INDEX(Inputs!$D$4:$AG$200,0,MATCH(L$2,Inputs!$D$2:$AG$2,0)),Inputs!$B$4:$B$200,$B54)/1000)</f>
        <v>11556</v>
      </c>
      <c r="M54" s="12">
        <f>IF(COUNT(I54:L54)=4,SUM(I54:L54),"")</f>
        <v>34787</v>
      </c>
      <c r="N54" s="11">
        <f>IF(SUMPRODUCT((Inputs!$B$4:$B$200=$B54)*ISNUMBER(INDEX(Inputs!$D$4:$AG$200,0,MATCH(N$2,Inputs!$D$2:$AG$2,0))))=0,"",SUMIFS(INDEX(Inputs!$D$4:$AG$200,0,MATCH(N$2,Inputs!$D$2:$AG$2,0)),Inputs!$B$4:$B$200,$B54)/1000)</f>
        <v>8252</v>
      </c>
      <c r="O54" s="11">
        <f>IF(SUMPRODUCT((Inputs!$B$4:$B$200=$B54)*ISNUMBER(INDEX(Inputs!$D$4:$AG$200,0,MATCH(O$2,Inputs!$D$2:$AG$2,0))))=0,"",SUMIFS(INDEX(Inputs!$D$4:$AG$200,0,MATCH(O$2,Inputs!$D$2:$AG$2,0)),Inputs!$B$4:$B$200,$B54)/1000)</f>
        <v>5368</v>
      </c>
      <c r="P54" s="11">
        <f>IF(SUMPRODUCT((Inputs!$B$4:$B$200=$B54)*ISNUMBER(INDEX(Inputs!$D$4:$AG$200,0,MATCH(P$2,Inputs!$D$2:$AG$2,0))))=0,"",SUMIFS(INDEX(Inputs!$D$4:$AG$200,0,MATCH(P$2,Inputs!$D$2:$AG$2,0)),Inputs!$B$4:$B$200,$B54)/1000)</f>
        <v>6180</v>
      </c>
      <c r="Q54" s="11">
        <f>IF(SUMPRODUCT((Inputs!$B$4:$B$200=$B54)*ISNUMBER(INDEX(Inputs!$D$4:$AG$200,0,MATCH(Q$2,Inputs!$D$2:$AG$2,0))))=0,"",SUMIFS(INDEX(Inputs!$D$4:$AG$200,0,MATCH(Q$2,Inputs!$D$2:$AG$2,0)),Inputs!$B$4:$B$200,$B54)/1000)</f>
        <v>10494</v>
      </c>
      <c r="R54" s="12">
        <f>IF(COUNT(N54:Q54)=4,SUM(N54:Q54),"")</f>
        <v>30294</v>
      </c>
      <c r="S54" s="11">
        <f>IF(SUMPRODUCT((Inputs!$B$4:$B$200=$B54)*ISNUMBER(INDEX(Inputs!$D$4:$AG$200,0,MATCH(S$2,Inputs!$D$2:$AG$2,0))))=0,"",SUMIFS(INDEX(Inputs!$D$4:$AG$200,0,MATCH(S$2,Inputs!$D$2:$AG$2,0)),Inputs!$B$4:$B$200,$B54)/1000)</f>
        <v>5693</v>
      </c>
      <c r="T54" s="11">
        <f>IF(SUMPRODUCT((Inputs!$B$4:$B$200=$B54)*ISNUMBER(INDEX(Inputs!$D$4:$AG$200,0,MATCH(T$2,Inputs!$D$2:$AG$2,0))))=0,"",SUMIFS(INDEX(Inputs!$D$4:$AG$200,0,MATCH(T$2,Inputs!$D$2:$AG$2,0)),Inputs!$B$4:$B$200,$B54)/1000)</f>
        <v>6034</v>
      </c>
      <c r="U54" s="11">
        <f>IF(SUMPRODUCT((Inputs!$B$4:$B$200=$B54)*ISNUMBER(INDEX(Inputs!$D$4:$AG$200,0,MATCH(U$2,Inputs!$D$2:$AG$2,0))))=0,"",SUMIFS(INDEX(Inputs!$D$4:$AG$200,0,MATCH(U$2,Inputs!$D$2:$AG$2,0)),Inputs!$B$4:$B$200,$B54)/1000)</f>
        <v>6623</v>
      </c>
      <c r="V54" s="11">
        <f>IF(SUMPRODUCT((Inputs!$B$4:$B$200=$B54)*ISNUMBER(INDEX(Inputs!$D$4:$AG$200,0,MATCH(V$2,Inputs!$D$2:$AG$2,0))))=0,"",SUMIFS(INDEX(Inputs!$D$4:$AG$200,0,MATCH(V$2,Inputs!$D$2:$AG$2,0)),Inputs!$B$4:$B$200,$B54)/1000)</f>
        <v>6694</v>
      </c>
      <c r="W54" s="12">
        <f>IF(COUNT(S54:V54)=4,SUM(S54:V54),"")</f>
        <v>25044</v>
      </c>
      <c r="X54" s="11">
        <f>IF(SUMPRODUCT((Inputs!$B$4:$B$200=$B54)*ISNUMBER(INDEX(Inputs!$D$4:$AG$200,0,MATCH(X$2,Inputs!$D$2:$AG$2,0))))=0,"",SUMIFS(INDEX(Inputs!$D$4:$AG$200,0,MATCH(X$2,Inputs!$D$2:$AG$2,0)),Inputs!$B$4:$B$200,$B54)/1000)</f>
        <v>6390</v>
      </c>
      <c r="Y54" s="11">
        <f>IF(SUMPRODUCT((Inputs!$B$4:$B$200=$B54)*ISNUMBER(INDEX(Inputs!$D$4:$AG$200,0,MATCH(Y$2,Inputs!$D$2:$AG$2,0))))=0,"",SUMIFS(INDEX(Inputs!$D$4:$AG$200,0,MATCH(Y$2,Inputs!$D$2:$AG$2,0)),Inputs!$B$4:$B$200,$B54)/1000)</f>
        <v>7390</v>
      </c>
      <c r="Z54" s="11">
        <f>IF(SUMPRODUCT((Inputs!$B$4:$B$200=$B54)*ISNUMBER(INDEX(Inputs!$D$4:$AG$200,0,MATCH(Z$2,Inputs!$D$2:$AG$2,0))))=0,"",SUMIFS(INDEX(Inputs!$D$4:$AG$200,0,MATCH(Z$2,Inputs!$D$2:$AG$2,0)),Inputs!$B$4:$B$200,$B54)/1000)</f>
        <v>8215</v>
      </c>
      <c r="AA54" s="11">
        <f>IF(SUMPRODUCT((Inputs!$B$4:$B$200=$B54)*ISNUMBER(INDEX(Inputs!$D$4:$AG$200,0,MATCH(AA$2,Inputs!$D$2:$AG$2,0))))=0,"",SUMIFS(INDEX(Inputs!$D$4:$AG$200,0,MATCH(AA$2,Inputs!$D$2:$AG$2,0)),Inputs!$B$4:$B$200,$B54)/1000)</f>
        <v>8440</v>
      </c>
      <c r="AB54" s="12">
        <f>IF(COUNT(X54:AA54)=4,SUM(X54:AA54),"")</f>
        <v>30435</v>
      </c>
      <c r="AC54" s="11">
        <f>IF(SUMPRODUCT((Inputs!$B$4:$B$200=$B54)*ISNUMBER(INDEX(Inputs!$D$4:$AG$200,0,MATCH(AC$2,Inputs!$D$2:$AG$2,0))))=0,"",SUMIFS(INDEX(Inputs!$D$4:$AG$200,0,MATCH(AC$2,Inputs!$D$2:$AG$2,0)),Inputs!$B$4:$B$200,$B54)/1000)</f>
        <v>8425</v>
      </c>
      <c r="AD54" s="11">
        <f>IF(SUMPRODUCT((Inputs!$B$4:$B$200=$B54)*ISNUMBER(INDEX(Inputs!$D$4:$AG$200,0,MATCH(AD$2,Inputs!$D$2:$AG$2,0))))=0,"",SUMIFS(INDEX(Inputs!$D$4:$AG$200,0,MATCH(AD$2,Inputs!$D$2:$AG$2,0)),Inputs!$B$4:$B$200,$B54)/1000)</f>
        <v>9133</v>
      </c>
      <c r="AE54" s="11" t="str">
        <f>IF(SUMPRODUCT((Inputs!$B$4:$B$200=$B54)*ISNUMBER(INDEX(Inputs!$D$4:$AG$200,0,MATCH(AE$2,Inputs!$D$2:$AG$2,0))))=0,"",SUMIFS(INDEX(Inputs!$D$4:$AG$200,0,MATCH(AE$2,Inputs!$D$2:$AG$2,0)),Inputs!$B$4:$B$200,$B54)/1000)</f>
        <v/>
      </c>
      <c r="AF54" s="11" t="str">
        <f>IF(SUMPRODUCT((Inputs!$B$4:$B$200=$B54)*ISNUMBER(INDEX(Inputs!$D$4:$AG$200,0,MATCH(AF$2,Inputs!$D$2:$AG$2,0))))=0,"",SUMIFS(INDEX(Inputs!$D$4:$AG$200,0,MATCH(AF$2,Inputs!$D$2:$AG$2,0)),Inputs!$B$4:$B$200,$B54)/1000)</f>
        <v/>
      </c>
      <c r="AG54" s="12" t="str">
        <f>IF(COUNT(AC54:AF54)=4,SUM(AC54:AF54),"")</f>
        <v/>
      </c>
    </row>
    <row r="55">
      <c r="B55" s="9" t="n">
        <v>47</v>
      </c>
      <c r="C55" s="10" t="inlineStr">
        <is>
          <t>Commercial Engines &amp; Services - receita (USD)</t>
        </is>
      </c>
      <c r="D55" s="11" t="str">
        <f>IF(SUMPRODUCT((Inputs!$B$4:$B$200=$B55)*ISNUMBER(INDEX(Inputs!$D$4:$AG$200,0,MATCH(D$2,Inputs!$D$2:$AG$2,0))))=0,"",SUMIFS(INDEX(Inputs!$D$4:$AG$200,0,MATCH(D$2,Inputs!$D$2:$AG$2,0)),Inputs!$B$4:$B$200,$B55)/1000)</f>
        <v/>
      </c>
      <c r="E55" s="11" t="str">
        <f>IF(SUMPRODUCT((Inputs!$B$4:$B$200=$B55)*ISNUMBER(INDEX(Inputs!$D$4:$AG$200,0,MATCH(E$2,Inputs!$D$2:$AG$2,0))))=0,"",SUMIFS(INDEX(Inputs!$D$4:$AG$200,0,MATCH(E$2,Inputs!$D$2:$AG$2,0)),Inputs!$B$4:$B$200,$B55)/1000)</f>
        <v/>
      </c>
      <c r="F55" s="11" t="str">
        <f>IF(SUMPRODUCT((Inputs!$B$4:$B$200=$B55)*ISNUMBER(INDEX(Inputs!$D$4:$AG$200,0,MATCH(F$2,Inputs!$D$2:$AG$2,0))))=0,"",SUMIFS(INDEX(Inputs!$D$4:$AG$200,0,MATCH(F$2,Inputs!$D$2:$AG$2,0)),Inputs!$B$4:$B$200,$B55)/1000)</f>
        <v/>
      </c>
      <c r="G55" s="11" t="str">
        <f>IF(SUMPRODUCT((Inputs!$B$4:$B$200=$B55)*ISNUMBER(INDEX(Inputs!$D$4:$AG$200,0,MATCH(G$2,Inputs!$D$2:$AG$2,0))))=0,"",SUMIFS(INDEX(Inputs!$D$4:$AG$200,0,MATCH(G$2,Inputs!$D$2:$AG$2,0)),Inputs!$B$4:$B$200,$B55)/1000)</f>
        <v/>
      </c>
      <c r="H55" s="12" t="str">
        <f>IF(COUNT(D55:G55)=4,SUM(D55:G55),"")</f>
        <v/>
      </c>
      <c r="I55" s="11" t="str">
        <f>IF(SUMPRODUCT((Inputs!$B$4:$B$200=$B55)*ISNUMBER(INDEX(Inputs!$D$4:$AG$200,0,MATCH(I$2,Inputs!$D$2:$AG$2,0))))=0,"",SUMIFS(INDEX(Inputs!$D$4:$AG$200,0,MATCH(I$2,Inputs!$D$2:$AG$2,0)),Inputs!$B$4:$B$200,$B55)/1000)</f>
        <v/>
      </c>
      <c r="J55" s="11" t="str">
        <f>IF(SUMPRODUCT((Inputs!$B$4:$B$200=$B55)*ISNUMBER(INDEX(Inputs!$D$4:$AG$200,0,MATCH(J$2,Inputs!$D$2:$AG$2,0))))=0,"",SUMIFS(INDEX(Inputs!$D$4:$AG$200,0,MATCH(J$2,Inputs!$D$2:$AG$2,0)),Inputs!$B$4:$B$200,$B55)/1000)</f>
        <v/>
      </c>
      <c r="K55" s="11" t="str">
        <f>IF(SUMPRODUCT((Inputs!$B$4:$B$200=$B55)*ISNUMBER(INDEX(Inputs!$D$4:$AG$200,0,MATCH(K$2,Inputs!$D$2:$AG$2,0))))=0,"",SUMIFS(INDEX(Inputs!$D$4:$AG$200,0,MATCH(K$2,Inputs!$D$2:$AG$2,0)),Inputs!$B$4:$B$200,$B55)/1000)</f>
        <v/>
      </c>
      <c r="L55" s="11" t="str">
        <f>IF(SUMPRODUCT((Inputs!$B$4:$B$200=$B55)*ISNUMBER(INDEX(Inputs!$D$4:$AG$200,0,MATCH(L$2,Inputs!$D$2:$AG$2,0))))=0,"",SUMIFS(INDEX(Inputs!$D$4:$AG$200,0,MATCH(L$2,Inputs!$D$2:$AG$2,0)),Inputs!$B$4:$B$200,$B55)/1000)</f>
        <v/>
      </c>
      <c r="M55" s="12" t="str">
        <f>IF(COUNT(I55:L55)=4,SUM(I55:L55),"")</f>
        <v/>
      </c>
      <c r="N55" s="11" t="str">
        <f>IF(SUMPRODUCT((Inputs!$B$4:$B$200=$B55)*ISNUMBER(INDEX(Inputs!$D$4:$AG$200,0,MATCH(N$2,Inputs!$D$2:$AG$2,0))))=0,"",SUMIFS(INDEX(Inputs!$D$4:$AG$200,0,MATCH(N$2,Inputs!$D$2:$AG$2,0)),Inputs!$B$4:$B$200,$B55)/1000)</f>
        <v/>
      </c>
      <c r="O55" s="11">
        <f>IF(SUMPRODUCT((Inputs!$B$4:$B$200=$B55)*ISNUMBER(INDEX(Inputs!$D$4:$AG$200,0,MATCH(O$2,Inputs!$D$2:$AG$2,0))))=0,"",SUMIFS(INDEX(Inputs!$D$4:$AG$200,0,MATCH(O$2,Inputs!$D$2:$AG$2,0)),Inputs!$B$4:$B$200,$B55)/1000)</f>
        <v>5737</v>
      </c>
      <c r="P55" s="11">
        <f>IF(SUMPRODUCT((Inputs!$B$4:$B$200=$B55)*ISNUMBER(INDEX(Inputs!$D$4:$AG$200,0,MATCH(P$2,Inputs!$D$2:$AG$2,0))))=0,"",SUMIFS(INDEX(Inputs!$D$4:$AG$200,0,MATCH(P$2,Inputs!$D$2:$AG$2,0)),Inputs!$B$4:$B$200,$B55)/1000)</f>
        <v>6457</v>
      </c>
      <c r="Q55" s="11">
        <f>IF(SUMPRODUCT((Inputs!$B$4:$B$200=$B55)*ISNUMBER(INDEX(Inputs!$D$4:$AG$200,0,MATCH(Q$2,Inputs!$D$2:$AG$2,0))))=0,"",SUMIFS(INDEX(Inputs!$D$4:$AG$200,0,MATCH(Q$2,Inputs!$D$2:$AG$2,0)),Inputs!$B$4:$B$200,$B55)/1000)</f>
        <v>6429</v>
      </c>
      <c r="R55" s="12" t="str">
        <f>IF(COUNT(N55:Q55)=4,SUM(N55:Q55),"")</f>
        <v/>
      </c>
      <c r="S55" s="11">
        <f>IF(SUMPRODUCT((Inputs!$B$4:$B$200=$B55)*ISNUMBER(INDEX(Inputs!$D$4:$AG$200,0,MATCH(S$2,Inputs!$D$2:$AG$2,0))))=0,"",SUMIFS(INDEX(Inputs!$D$4:$AG$200,0,MATCH(S$2,Inputs!$D$2:$AG$2,0)),Inputs!$B$4:$B$200,$B55)/1000)</f>
        <v>6095</v>
      </c>
      <c r="T55" s="11">
        <f>IF(SUMPRODUCT((Inputs!$B$4:$B$200=$B55)*ISNUMBER(INDEX(Inputs!$D$4:$AG$200,0,MATCH(T$2,Inputs!$D$2:$AG$2,0))))=0,"",SUMIFS(INDEX(Inputs!$D$4:$AG$200,0,MATCH(T$2,Inputs!$D$2:$AG$2,0)),Inputs!$B$4:$B$200,$B55)/1000)</f>
        <v>6132</v>
      </c>
      <c r="U55" s="11">
        <f>IF(SUMPRODUCT((Inputs!$B$4:$B$200=$B55)*ISNUMBER(INDEX(Inputs!$D$4:$AG$200,0,MATCH(U$2,Inputs!$D$2:$AG$2,0))))=0,"",SUMIFS(INDEX(Inputs!$D$4:$AG$200,0,MATCH(U$2,Inputs!$D$2:$AG$2,0)),Inputs!$B$4:$B$200,$B55)/1000)</f>
        <v>7003</v>
      </c>
      <c r="V55" s="11">
        <f>IF(SUMPRODUCT((Inputs!$B$4:$B$200=$B55)*ISNUMBER(INDEX(Inputs!$D$4:$AG$200,0,MATCH(V$2,Inputs!$D$2:$AG$2,0))))=0,"",SUMIFS(INDEX(Inputs!$D$4:$AG$200,0,MATCH(V$2,Inputs!$D$2:$AG$2,0)),Inputs!$B$4:$B$200,$B55)/1000)</f>
        <v>7650</v>
      </c>
      <c r="W55" s="12">
        <f>IF(COUNT(S55:V55)=4,SUM(S55:V55),"")</f>
        <v>26880</v>
      </c>
      <c r="X55" s="11">
        <f>IF(SUMPRODUCT((Inputs!$B$4:$B$200=$B55)*ISNUMBER(INDEX(Inputs!$D$4:$AG$200,0,MATCH(X$2,Inputs!$D$2:$AG$2,0))))=0,"",SUMIFS(INDEX(Inputs!$D$4:$AG$200,0,MATCH(X$2,Inputs!$D$2:$AG$2,0)),Inputs!$B$4:$B$200,$B55)/1000)</f>
        <v>6663</v>
      </c>
      <c r="Y55" s="11">
        <f>IF(SUMPRODUCT((Inputs!$B$4:$B$200=$B55)*ISNUMBER(INDEX(Inputs!$D$4:$AG$200,0,MATCH(Y$2,Inputs!$D$2:$AG$2,0))))=0,"",SUMIFS(INDEX(Inputs!$D$4:$AG$200,0,MATCH(Y$2,Inputs!$D$2:$AG$2,0)),Inputs!$B$4:$B$200,$B55)/1000)</f>
        <v>7646</v>
      </c>
      <c r="Z55" s="11">
        <f>IF(SUMPRODUCT((Inputs!$B$4:$B$200=$B55)*ISNUMBER(INDEX(Inputs!$D$4:$AG$200,0,MATCH(Z$2,Inputs!$D$2:$AG$2,0))))=0,"",SUMIFS(INDEX(Inputs!$D$4:$AG$200,0,MATCH(Z$2,Inputs!$D$2:$AG$2,0)),Inputs!$B$4:$B$200,$B55)/1000)</f>
        <v>8880</v>
      </c>
      <c r="AA55" s="11">
        <f>IF(SUMPRODUCT((Inputs!$B$4:$B$200=$B55)*ISNUMBER(INDEX(Inputs!$D$4:$AG$200,0,MATCH(AA$2,Inputs!$D$2:$AG$2,0))))=0,"",SUMIFS(INDEX(Inputs!$D$4:$AG$200,0,MATCH(AA$2,Inputs!$D$2:$AG$2,0)),Inputs!$B$4:$B$200,$B55)/1000)</f>
        <v>9468</v>
      </c>
      <c r="AB55" s="12">
        <f>IF(COUNT(X55:AA55)=4,SUM(X55:AA55),"")</f>
        <v>32657</v>
      </c>
      <c r="AC55" s="11">
        <f>IF(SUMPRODUCT((Inputs!$B$4:$B$200=$B55)*ISNUMBER(INDEX(Inputs!$D$4:$AG$200,0,MATCH(AC$2,Inputs!$D$2:$AG$2,0))))=0,"",SUMIFS(INDEX(Inputs!$D$4:$AG$200,0,MATCH(AC$2,Inputs!$D$2:$AG$2,0)),Inputs!$B$4:$B$200,$B55)/1000)</f>
        <v>8920</v>
      </c>
      <c r="AD55" s="11">
        <f>IF(SUMPRODUCT((Inputs!$B$4:$B$200=$B55)*ISNUMBER(INDEX(Inputs!$D$4:$AG$200,0,MATCH(AD$2,Inputs!$D$2:$AG$2,0))))=0,"",SUMIFS(INDEX(Inputs!$D$4:$AG$200,0,MATCH(AD$2,Inputs!$D$2:$AG$2,0)),Inputs!$B$4:$B$200,$B55)/1000)</f>
        <v>9731</v>
      </c>
      <c r="AE55" s="11" t="str">
        <f>IF(SUMPRODUCT((Inputs!$B$4:$B$200=$B55)*ISNUMBER(INDEX(Inputs!$D$4:$AG$200,0,MATCH(AE$2,Inputs!$D$2:$AG$2,0))))=0,"",SUMIFS(INDEX(Inputs!$D$4:$AG$200,0,MATCH(AE$2,Inputs!$D$2:$AG$2,0)),Inputs!$B$4:$B$200,$B55)/1000)</f>
        <v/>
      </c>
      <c r="AF55" s="11" t="str">
        <f>IF(SUMPRODUCT((Inputs!$B$4:$B$200=$B55)*ISNUMBER(INDEX(Inputs!$D$4:$AG$200,0,MATCH(AF$2,Inputs!$D$2:$AG$2,0))))=0,"",SUMIFS(INDEX(Inputs!$D$4:$AG$200,0,MATCH(AF$2,Inputs!$D$2:$AG$2,0)),Inputs!$B$4:$B$200,$B55)/1000)</f>
        <v/>
      </c>
      <c r="AG55" s="12" t="str">
        <f>IF(COUNT(AC55:AF55)=4,SUM(AC55:AF55),"")</f>
        <v/>
      </c>
    </row>
    <row r="56">
      <c r="B56" s="9" t="n">
        <v>48</v>
      </c>
      <c r="C56" s="10" t="inlineStr">
        <is>
          <t>Defense &amp; Propulsion Technologies - receita (USD)</t>
        </is>
      </c>
      <c r="D56" s="11" t="str">
        <f>IF(SUMPRODUCT((Inputs!$B$4:$B$200=$B56)*ISNUMBER(INDEX(Inputs!$D$4:$AG$200,0,MATCH(D$2,Inputs!$D$2:$AG$2,0))))=0,"",SUMIFS(INDEX(Inputs!$D$4:$AG$200,0,MATCH(D$2,Inputs!$D$2:$AG$2,0)),Inputs!$B$4:$B$200,$B56)/1000)</f>
        <v/>
      </c>
      <c r="E56" s="11" t="str">
        <f>IF(SUMPRODUCT((Inputs!$B$4:$B$200=$B56)*ISNUMBER(INDEX(Inputs!$D$4:$AG$200,0,MATCH(E$2,Inputs!$D$2:$AG$2,0))))=0,"",SUMIFS(INDEX(Inputs!$D$4:$AG$200,0,MATCH(E$2,Inputs!$D$2:$AG$2,0)),Inputs!$B$4:$B$200,$B56)/1000)</f>
        <v/>
      </c>
      <c r="F56" s="11" t="str">
        <f>IF(SUMPRODUCT((Inputs!$B$4:$B$200=$B56)*ISNUMBER(INDEX(Inputs!$D$4:$AG$200,0,MATCH(F$2,Inputs!$D$2:$AG$2,0))))=0,"",SUMIFS(INDEX(Inputs!$D$4:$AG$200,0,MATCH(F$2,Inputs!$D$2:$AG$2,0)),Inputs!$B$4:$B$200,$B56)/1000)</f>
        <v/>
      </c>
      <c r="G56" s="11" t="str">
        <f>IF(SUMPRODUCT((Inputs!$B$4:$B$200=$B56)*ISNUMBER(INDEX(Inputs!$D$4:$AG$200,0,MATCH(G$2,Inputs!$D$2:$AG$2,0))))=0,"",SUMIFS(INDEX(Inputs!$D$4:$AG$200,0,MATCH(G$2,Inputs!$D$2:$AG$2,0)),Inputs!$B$4:$B$200,$B56)/1000)</f>
        <v/>
      </c>
      <c r="H56" s="12" t="str">
        <f>IF(COUNT(D56:G56)=4,SUM(D56:G56),"")</f>
        <v/>
      </c>
      <c r="I56" s="11" t="str">
        <f>IF(SUMPRODUCT((Inputs!$B$4:$B$200=$B56)*ISNUMBER(INDEX(Inputs!$D$4:$AG$200,0,MATCH(I$2,Inputs!$D$2:$AG$2,0))))=0,"",SUMIFS(INDEX(Inputs!$D$4:$AG$200,0,MATCH(I$2,Inputs!$D$2:$AG$2,0)),Inputs!$B$4:$B$200,$B56)/1000)</f>
        <v/>
      </c>
      <c r="J56" s="11" t="str">
        <f>IF(SUMPRODUCT((Inputs!$B$4:$B$200=$B56)*ISNUMBER(INDEX(Inputs!$D$4:$AG$200,0,MATCH(J$2,Inputs!$D$2:$AG$2,0))))=0,"",SUMIFS(INDEX(Inputs!$D$4:$AG$200,0,MATCH(J$2,Inputs!$D$2:$AG$2,0)),Inputs!$B$4:$B$200,$B56)/1000)</f>
        <v/>
      </c>
      <c r="K56" s="11" t="str">
        <f>IF(SUMPRODUCT((Inputs!$B$4:$B$200=$B56)*ISNUMBER(INDEX(Inputs!$D$4:$AG$200,0,MATCH(K$2,Inputs!$D$2:$AG$2,0))))=0,"",SUMIFS(INDEX(Inputs!$D$4:$AG$200,0,MATCH(K$2,Inputs!$D$2:$AG$2,0)),Inputs!$B$4:$B$200,$B56)/1000)</f>
        <v/>
      </c>
      <c r="L56" s="11" t="str">
        <f>IF(SUMPRODUCT((Inputs!$B$4:$B$200=$B56)*ISNUMBER(INDEX(Inputs!$D$4:$AG$200,0,MATCH(L$2,Inputs!$D$2:$AG$2,0))))=0,"",SUMIFS(INDEX(Inputs!$D$4:$AG$200,0,MATCH(L$2,Inputs!$D$2:$AG$2,0)),Inputs!$B$4:$B$200,$B56)/1000)</f>
        <v/>
      </c>
      <c r="M56" s="12" t="str">
        <f>IF(COUNT(I56:L56)=4,SUM(I56:L56),"")</f>
        <v/>
      </c>
      <c r="N56" s="11" t="str">
        <f>IF(SUMPRODUCT((Inputs!$B$4:$B$200=$B56)*ISNUMBER(INDEX(Inputs!$D$4:$AG$200,0,MATCH(N$2,Inputs!$D$2:$AG$2,0))))=0,"",SUMIFS(INDEX(Inputs!$D$4:$AG$200,0,MATCH(N$2,Inputs!$D$2:$AG$2,0)),Inputs!$B$4:$B$200,$B56)/1000)</f>
        <v/>
      </c>
      <c r="O56" s="11">
        <f>IF(SUMPRODUCT((Inputs!$B$4:$B$200=$B56)*ISNUMBER(INDEX(Inputs!$D$4:$AG$200,0,MATCH(O$2,Inputs!$D$2:$AG$2,0))))=0,"",SUMIFS(INDEX(Inputs!$D$4:$AG$200,0,MATCH(O$2,Inputs!$D$2:$AG$2,0)),Inputs!$B$4:$B$200,$B56)/1000)</f>
        <v>2375</v>
      </c>
      <c r="P56" s="11">
        <f>IF(SUMPRODUCT((Inputs!$B$4:$B$200=$B56)*ISNUMBER(INDEX(Inputs!$D$4:$AG$200,0,MATCH(P$2,Inputs!$D$2:$AG$2,0))))=0,"",SUMIFS(INDEX(Inputs!$D$4:$AG$200,0,MATCH(P$2,Inputs!$D$2:$AG$2,0)),Inputs!$B$4:$B$200,$B56)/1000)</f>
        <v>2205</v>
      </c>
      <c r="Q56" s="11">
        <f>IF(SUMPRODUCT((Inputs!$B$4:$B$200=$B56)*ISNUMBER(INDEX(Inputs!$D$4:$AG$200,0,MATCH(Q$2,Inputs!$D$2:$AG$2,0))))=0,"",SUMIFS(INDEX(Inputs!$D$4:$AG$200,0,MATCH(Q$2,Inputs!$D$2:$AG$2,0)),Inputs!$B$4:$B$200,$B56)/1000)</f>
        <v>2415</v>
      </c>
      <c r="R56" s="12" t="str">
        <f>IF(COUNT(N56:Q56)=4,SUM(N56:Q56),"")</f>
        <v/>
      </c>
      <c r="S56" s="11">
        <f>IF(SUMPRODUCT((Inputs!$B$4:$B$200=$B56)*ISNUMBER(INDEX(Inputs!$D$4:$AG$200,0,MATCH(S$2,Inputs!$D$2:$AG$2,0))))=0,"",SUMIFS(INDEX(Inputs!$D$4:$AG$200,0,MATCH(S$2,Inputs!$D$2:$AG$2,0)),Inputs!$B$4:$B$200,$B56)/1000)</f>
        <v>2312</v>
      </c>
      <c r="T56" s="11">
        <f>IF(SUMPRODUCT((Inputs!$B$4:$B$200=$B56)*ISNUMBER(INDEX(Inputs!$D$4:$AG$200,0,MATCH(T$2,Inputs!$D$2:$AG$2,0))))=0,"",SUMIFS(INDEX(Inputs!$D$4:$AG$200,0,MATCH(T$2,Inputs!$D$2:$AG$2,0)),Inputs!$B$4:$B$200,$B56)/1000)</f>
        <v>2401</v>
      </c>
      <c r="U56" s="11">
        <f>IF(SUMPRODUCT((Inputs!$B$4:$B$200=$B56)*ISNUMBER(INDEX(Inputs!$D$4:$AG$200,0,MATCH(U$2,Inputs!$D$2:$AG$2,0))))=0,"",SUMIFS(INDEX(Inputs!$D$4:$AG$200,0,MATCH(U$2,Inputs!$D$2:$AG$2,0)),Inputs!$B$4:$B$200,$B56)/1000)</f>
        <v>2243</v>
      </c>
      <c r="V56" s="11">
        <f>IF(SUMPRODUCT((Inputs!$B$4:$B$200=$B56)*ISNUMBER(INDEX(Inputs!$D$4:$AG$200,0,MATCH(V$2,Inputs!$D$2:$AG$2,0))))=0,"",SUMIFS(INDEX(Inputs!$D$4:$AG$200,0,MATCH(V$2,Inputs!$D$2:$AG$2,0)),Inputs!$B$4:$B$200,$B56)/1000)</f>
        <v>2523</v>
      </c>
      <c r="W56" s="12">
        <f>IF(COUNT(S56:V56)=4,SUM(S56:V56),"")</f>
        <v>9479</v>
      </c>
      <c r="X56" s="11">
        <f>IF(SUMPRODUCT((Inputs!$B$4:$B$200=$B56)*ISNUMBER(INDEX(Inputs!$D$4:$AG$200,0,MATCH(X$2,Inputs!$D$2:$AG$2,0))))=0,"",SUMIFS(INDEX(Inputs!$D$4:$AG$200,0,MATCH(X$2,Inputs!$D$2:$AG$2,0)),Inputs!$B$4:$B$200,$B56)/1000)</f>
        <v>2698</v>
      </c>
      <c r="Y56" s="11">
        <f>IF(SUMPRODUCT((Inputs!$B$4:$B$200=$B56)*ISNUMBER(INDEX(Inputs!$D$4:$AG$200,0,MATCH(Y$2,Inputs!$D$2:$AG$2,0))))=0,"",SUMIFS(INDEX(Inputs!$D$4:$AG$200,0,MATCH(Y$2,Inputs!$D$2:$AG$2,0)),Inputs!$B$4:$B$200,$B56)/1000)</f>
        <v>2978</v>
      </c>
      <c r="Z56" s="11">
        <f>IF(SUMPRODUCT((Inputs!$B$4:$B$200=$B56)*ISNUMBER(INDEX(Inputs!$D$4:$AG$200,0,MATCH(Z$2,Inputs!$D$2:$AG$2,0))))=0,"",SUMIFS(INDEX(Inputs!$D$4:$AG$200,0,MATCH(Z$2,Inputs!$D$2:$AG$2,0)),Inputs!$B$4:$B$200,$B56)/1000)</f>
        <v>2828</v>
      </c>
      <c r="AA56" s="11">
        <f>IF(SUMPRODUCT((Inputs!$B$4:$B$200=$B56)*ISNUMBER(INDEX(Inputs!$D$4:$AG$200,0,MATCH(AA$2,Inputs!$D$2:$AG$2,0))))=0,"",SUMIFS(INDEX(Inputs!$D$4:$AG$200,0,MATCH(AA$2,Inputs!$D$2:$AG$2,0)),Inputs!$B$4:$B$200,$B56)/1000)</f>
        <v>2839</v>
      </c>
      <c r="AB56" s="12">
        <f>IF(COUNT(X56:AA56)=4,SUM(X56:AA56),"")</f>
        <v>11343</v>
      </c>
      <c r="AC56" s="11">
        <f>IF(SUMPRODUCT((Inputs!$B$4:$B$200=$B56)*ISNUMBER(INDEX(Inputs!$D$4:$AG$200,0,MATCH(AC$2,Inputs!$D$2:$AG$2,0))))=0,"",SUMIFS(INDEX(Inputs!$D$4:$AG$200,0,MATCH(AC$2,Inputs!$D$2:$AG$2,0)),Inputs!$B$4:$B$200,$B56)/1000)</f>
        <v>3214</v>
      </c>
      <c r="AD56" s="11">
        <f>IF(SUMPRODUCT((Inputs!$B$4:$B$200=$B56)*ISNUMBER(INDEX(Inputs!$D$4:$AG$200,0,MATCH(AD$2,Inputs!$D$2:$AG$2,0))))=0,"",SUMIFS(INDEX(Inputs!$D$4:$AG$200,0,MATCH(AD$2,Inputs!$D$2:$AG$2,0)),Inputs!$B$4:$B$200,$B56)/1000)</f>
        <v>3443</v>
      </c>
      <c r="AE56" s="11" t="str">
        <f>IF(SUMPRODUCT((Inputs!$B$4:$B$200=$B56)*ISNUMBER(INDEX(Inputs!$D$4:$AG$200,0,MATCH(AE$2,Inputs!$D$2:$AG$2,0))))=0,"",SUMIFS(INDEX(Inputs!$D$4:$AG$200,0,MATCH(AE$2,Inputs!$D$2:$AG$2,0)),Inputs!$B$4:$B$200,$B56)/1000)</f>
        <v/>
      </c>
      <c r="AF56" s="11" t="str">
        <f>IF(SUMPRODUCT((Inputs!$B$4:$B$200=$B56)*ISNUMBER(INDEX(Inputs!$D$4:$AG$200,0,MATCH(AF$2,Inputs!$D$2:$AG$2,0))))=0,"",SUMIFS(INDEX(Inputs!$D$4:$AG$200,0,MATCH(AF$2,Inputs!$D$2:$AG$2,0)),Inputs!$B$4:$B$200,$B56)/1000)</f>
        <v/>
      </c>
      <c r="AG56" s="12" t="str">
        <f>IF(COUNT(AC56:AF56)=4,SUM(AC56:AF56),"")</f>
        <v/>
      </c>
    </row>
    <row r="57">
      <c r="B57" s="9" t="n">
        <v>49</v>
      </c>
      <c r="C57" s="10" t="inlineStr">
        <is>
          <t>Commercial Engines &amp; Services - lucro do segmento (USD)</t>
        </is>
      </c>
      <c r="D57" s="11" t="str">
        <f>IF(SUMPRODUCT((Inputs!$B$4:$B$200=$B57)*ISNUMBER(INDEX(Inputs!$D$4:$AG$200,0,MATCH(D$2,Inputs!$D$2:$AG$2,0))))=0,"",SUMIFS(INDEX(Inputs!$D$4:$AG$200,0,MATCH(D$2,Inputs!$D$2:$AG$2,0)),Inputs!$B$4:$B$200,$B57)/1000)</f>
        <v/>
      </c>
      <c r="E57" s="11" t="str">
        <f>IF(SUMPRODUCT((Inputs!$B$4:$B$200=$B57)*ISNUMBER(INDEX(Inputs!$D$4:$AG$200,0,MATCH(E$2,Inputs!$D$2:$AG$2,0))))=0,"",SUMIFS(INDEX(Inputs!$D$4:$AG$200,0,MATCH(E$2,Inputs!$D$2:$AG$2,0)),Inputs!$B$4:$B$200,$B57)/1000)</f>
        <v/>
      </c>
      <c r="F57" s="11" t="str">
        <f>IF(SUMPRODUCT((Inputs!$B$4:$B$200=$B57)*ISNUMBER(INDEX(Inputs!$D$4:$AG$200,0,MATCH(F$2,Inputs!$D$2:$AG$2,0))))=0,"",SUMIFS(INDEX(Inputs!$D$4:$AG$200,0,MATCH(F$2,Inputs!$D$2:$AG$2,0)),Inputs!$B$4:$B$200,$B57)/1000)</f>
        <v/>
      </c>
      <c r="G57" s="11" t="str">
        <f>IF(SUMPRODUCT((Inputs!$B$4:$B$200=$B57)*ISNUMBER(INDEX(Inputs!$D$4:$AG$200,0,MATCH(G$2,Inputs!$D$2:$AG$2,0))))=0,"",SUMIFS(INDEX(Inputs!$D$4:$AG$200,0,MATCH(G$2,Inputs!$D$2:$AG$2,0)),Inputs!$B$4:$B$200,$B57)/1000)</f>
        <v/>
      </c>
      <c r="H57" s="12" t="str">
        <f>IF(COUNT(D57:G57)=4,SUM(D57:G57),"")</f>
        <v/>
      </c>
      <c r="I57" s="11" t="str">
        <f>IF(SUMPRODUCT((Inputs!$B$4:$B$200=$B57)*ISNUMBER(INDEX(Inputs!$D$4:$AG$200,0,MATCH(I$2,Inputs!$D$2:$AG$2,0))))=0,"",SUMIFS(INDEX(Inputs!$D$4:$AG$200,0,MATCH(I$2,Inputs!$D$2:$AG$2,0)),Inputs!$B$4:$B$200,$B57)/1000)</f>
        <v/>
      </c>
      <c r="J57" s="11" t="str">
        <f>IF(SUMPRODUCT((Inputs!$B$4:$B$200=$B57)*ISNUMBER(INDEX(Inputs!$D$4:$AG$200,0,MATCH(J$2,Inputs!$D$2:$AG$2,0))))=0,"",SUMIFS(INDEX(Inputs!$D$4:$AG$200,0,MATCH(J$2,Inputs!$D$2:$AG$2,0)),Inputs!$B$4:$B$200,$B57)/1000)</f>
        <v/>
      </c>
      <c r="K57" s="11" t="str">
        <f>IF(SUMPRODUCT((Inputs!$B$4:$B$200=$B57)*ISNUMBER(INDEX(Inputs!$D$4:$AG$200,0,MATCH(K$2,Inputs!$D$2:$AG$2,0))))=0,"",SUMIFS(INDEX(Inputs!$D$4:$AG$200,0,MATCH(K$2,Inputs!$D$2:$AG$2,0)),Inputs!$B$4:$B$200,$B57)/1000)</f>
        <v/>
      </c>
      <c r="L57" s="11" t="str">
        <f>IF(SUMPRODUCT((Inputs!$B$4:$B$200=$B57)*ISNUMBER(INDEX(Inputs!$D$4:$AG$200,0,MATCH(L$2,Inputs!$D$2:$AG$2,0))))=0,"",SUMIFS(INDEX(Inputs!$D$4:$AG$200,0,MATCH(L$2,Inputs!$D$2:$AG$2,0)),Inputs!$B$4:$B$200,$B57)/1000)</f>
        <v/>
      </c>
      <c r="M57" s="12" t="str">
        <f>IF(COUNT(I57:L57)=4,SUM(I57:L57),"")</f>
        <v/>
      </c>
      <c r="N57" s="11" t="str">
        <f>IF(SUMPRODUCT((Inputs!$B$4:$B$200=$B57)*ISNUMBER(INDEX(Inputs!$D$4:$AG$200,0,MATCH(N$2,Inputs!$D$2:$AG$2,0))))=0,"",SUMIFS(INDEX(Inputs!$D$4:$AG$200,0,MATCH(N$2,Inputs!$D$2:$AG$2,0)),Inputs!$B$4:$B$200,$B57)/1000)</f>
        <v/>
      </c>
      <c r="O57" s="11">
        <f>IF(SUMPRODUCT((Inputs!$B$4:$B$200=$B57)*ISNUMBER(INDEX(Inputs!$D$4:$AG$200,0,MATCH(O$2,Inputs!$D$2:$AG$2,0))))=0,"",SUMIFS(INDEX(Inputs!$D$4:$AG$200,0,MATCH(O$2,Inputs!$D$2:$AG$2,0)),Inputs!$B$4:$B$200,$B57)/1000)</f>
        <v>1389</v>
      </c>
      <c r="P57" s="11">
        <f>IF(SUMPRODUCT((Inputs!$B$4:$B$200=$B57)*ISNUMBER(INDEX(Inputs!$D$4:$AG$200,0,MATCH(P$2,Inputs!$D$2:$AG$2,0))))=0,"",SUMIFS(INDEX(Inputs!$D$4:$AG$200,0,MATCH(P$2,Inputs!$D$2:$AG$2,0)),Inputs!$B$4:$B$200,$B57)/1000)</f>
        <v>1545</v>
      </c>
      <c r="Q57" s="11">
        <f>IF(SUMPRODUCT((Inputs!$B$4:$B$200=$B57)*ISNUMBER(INDEX(Inputs!$D$4:$AG$200,0,MATCH(Q$2,Inputs!$D$2:$AG$2,0))))=0,"",SUMIFS(INDEX(Inputs!$D$4:$AG$200,0,MATCH(Q$2,Inputs!$D$2:$AG$2,0)),Inputs!$B$4:$B$200,$B57)/1000)</f>
        <v>1495</v>
      </c>
      <c r="R57" s="12" t="str">
        <f>IF(COUNT(N57:Q57)=4,SUM(N57:Q57),"")</f>
        <v/>
      </c>
      <c r="S57" s="11">
        <f>IF(SUMPRODUCT((Inputs!$B$4:$B$200=$B57)*ISNUMBER(INDEX(Inputs!$D$4:$AG$200,0,MATCH(S$2,Inputs!$D$2:$AG$2,0))))=0,"",SUMIFS(INDEX(Inputs!$D$4:$AG$200,0,MATCH(S$2,Inputs!$D$2:$AG$2,0)),Inputs!$B$4:$B$200,$B57)/1000)</f>
        <v>1419</v>
      </c>
      <c r="T57" s="11">
        <f>IF(SUMPRODUCT((Inputs!$B$4:$B$200=$B57)*ISNUMBER(INDEX(Inputs!$D$4:$AG$200,0,MATCH(T$2,Inputs!$D$2:$AG$2,0))))=0,"",SUMIFS(INDEX(Inputs!$D$4:$AG$200,0,MATCH(T$2,Inputs!$D$2:$AG$2,0)),Inputs!$B$4:$B$200,$B57)/1000)</f>
        <v>1679</v>
      </c>
      <c r="U57" s="11">
        <f>IF(SUMPRODUCT((Inputs!$B$4:$B$200=$B57)*ISNUMBER(INDEX(Inputs!$D$4:$AG$200,0,MATCH(U$2,Inputs!$D$2:$AG$2,0))))=0,"",SUMIFS(INDEX(Inputs!$D$4:$AG$200,0,MATCH(U$2,Inputs!$D$2:$AG$2,0)),Inputs!$B$4:$B$200,$B57)/1000)</f>
        <v>1799</v>
      </c>
      <c r="V57" s="11">
        <f>IF(SUMPRODUCT((Inputs!$B$4:$B$200=$B57)*ISNUMBER(INDEX(Inputs!$D$4:$AG$200,0,MATCH(V$2,Inputs!$D$2:$AG$2,0))))=0,"",SUMIFS(INDEX(Inputs!$D$4:$AG$200,0,MATCH(V$2,Inputs!$D$2:$AG$2,0)),Inputs!$B$4:$B$200,$B57)/1000)</f>
        <v>2158</v>
      </c>
      <c r="W57" s="12">
        <f>IF(COUNT(S57:V57)=4,SUM(S57:V57),"")</f>
        <v>7055</v>
      </c>
      <c r="X57" s="11">
        <f>IF(SUMPRODUCT((Inputs!$B$4:$B$200=$B57)*ISNUMBER(INDEX(Inputs!$D$4:$AG$200,0,MATCH(X$2,Inputs!$D$2:$AG$2,0))))=0,"",SUMIFS(INDEX(Inputs!$D$4:$AG$200,0,MATCH(X$2,Inputs!$D$2:$AG$2,0)),Inputs!$B$4:$B$200,$B57)/1000)</f>
        <v>1910</v>
      </c>
      <c r="Y57" s="11">
        <f>IF(SUMPRODUCT((Inputs!$B$4:$B$200=$B57)*ISNUMBER(INDEX(Inputs!$D$4:$AG$200,0,MATCH(Y$2,Inputs!$D$2:$AG$2,0))))=0,"",SUMIFS(INDEX(Inputs!$D$4:$AG$200,0,MATCH(Y$2,Inputs!$D$2:$AG$2,0)),Inputs!$B$4:$B$200,$B57)/1000)</f>
        <v>2208</v>
      </c>
      <c r="Z57" s="11">
        <f>IF(SUMPRODUCT((Inputs!$B$4:$B$200=$B57)*ISNUMBER(INDEX(Inputs!$D$4:$AG$200,0,MATCH(Z$2,Inputs!$D$2:$AG$2,0))))=0,"",SUMIFS(INDEX(Inputs!$D$4:$AG$200,0,MATCH(Z$2,Inputs!$D$2:$AG$2,0)),Inputs!$B$4:$B$200,$B57)/1000)</f>
        <v>2436</v>
      </c>
      <c r="AA57" s="11">
        <f>IF(SUMPRODUCT((Inputs!$B$4:$B$200=$B57)*ISNUMBER(INDEX(Inputs!$D$4:$AG$200,0,MATCH(AA$2,Inputs!$D$2:$AG$2,0))))=0,"",SUMIFS(INDEX(Inputs!$D$4:$AG$200,0,MATCH(AA$2,Inputs!$D$2:$AG$2,0)),Inputs!$B$4:$B$200,$B57)/1000)</f>
        <v>2273</v>
      </c>
      <c r="AB57" s="12">
        <f>IF(COUNT(X57:AA57)=4,SUM(X57:AA57),"")</f>
        <v>8827</v>
      </c>
      <c r="AC57" s="11">
        <f>IF(SUMPRODUCT((Inputs!$B$4:$B$200=$B57)*ISNUMBER(INDEX(Inputs!$D$4:$AG$200,0,MATCH(AC$2,Inputs!$D$2:$AG$2,0))))=0,"",SUMIFS(INDEX(Inputs!$D$4:$AG$200,0,MATCH(AC$2,Inputs!$D$2:$AG$2,0)),Inputs!$B$4:$B$200,$B57)/1000)</f>
        <v>2356</v>
      </c>
      <c r="AD57" s="11">
        <f>IF(SUMPRODUCT((Inputs!$B$4:$B$200=$B57)*ISNUMBER(INDEX(Inputs!$D$4:$AG$200,0,MATCH(AD$2,Inputs!$D$2:$AG$2,0))))=0,"",SUMIFS(INDEX(Inputs!$D$4:$AG$200,0,MATCH(AD$2,Inputs!$D$2:$AG$2,0)),Inputs!$B$4:$B$200,$B57)/1000)</f>
        <v>2657</v>
      </c>
      <c r="AE57" s="11" t="str">
        <f>IF(SUMPRODUCT((Inputs!$B$4:$B$200=$B57)*ISNUMBER(INDEX(Inputs!$D$4:$AG$200,0,MATCH(AE$2,Inputs!$D$2:$AG$2,0))))=0,"",SUMIFS(INDEX(Inputs!$D$4:$AG$200,0,MATCH(AE$2,Inputs!$D$2:$AG$2,0)),Inputs!$B$4:$B$200,$B57)/1000)</f>
        <v/>
      </c>
      <c r="AF57" s="11" t="str">
        <f>IF(SUMPRODUCT((Inputs!$B$4:$B$200=$B57)*ISNUMBER(INDEX(Inputs!$D$4:$AG$200,0,MATCH(AF$2,Inputs!$D$2:$AG$2,0))))=0,"",SUMIFS(INDEX(Inputs!$D$4:$AG$200,0,MATCH(AF$2,Inputs!$D$2:$AG$2,0)),Inputs!$B$4:$B$200,$B57)/1000)</f>
        <v/>
      </c>
      <c r="AG57" s="12" t="str">
        <f>IF(COUNT(AC57:AF57)=4,SUM(AC57:AF57),"")</f>
        <v/>
      </c>
    </row>
    <row r="58">
      <c r="B58" s="9" t="n">
        <v>50</v>
      </c>
      <c r="C58" s="10" t="inlineStr">
        <is>
          <t>Defense &amp; Propulsion Technologies - lucro do segmento (USD)</t>
        </is>
      </c>
      <c r="D58" s="11" t="str">
        <f>IF(SUMPRODUCT((Inputs!$B$4:$B$200=$B58)*ISNUMBER(INDEX(Inputs!$D$4:$AG$200,0,MATCH(D$2,Inputs!$D$2:$AG$2,0))))=0,"",SUMIFS(INDEX(Inputs!$D$4:$AG$200,0,MATCH(D$2,Inputs!$D$2:$AG$2,0)),Inputs!$B$4:$B$200,$B58)/1000)</f>
        <v/>
      </c>
      <c r="E58" s="11" t="str">
        <f>IF(SUMPRODUCT((Inputs!$B$4:$B$200=$B58)*ISNUMBER(INDEX(Inputs!$D$4:$AG$200,0,MATCH(E$2,Inputs!$D$2:$AG$2,0))))=0,"",SUMIFS(INDEX(Inputs!$D$4:$AG$200,0,MATCH(E$2,Inputs!$D$2:$AG$2,0)),Inputs!$B$4:$B$200,$B58)/1000)</f>
        <v/>
      </c>
      <c r="F58" s="11" t="str">
        <f>IF(SUMPRODUCT((Inputs!$B$4:$B$200=$B58)*ISNUMBER(INDEX(Inputs!$D$4:$AG$200,0,MATCH(F$2,Inputs!$D$2:$AG$2,0))))=0,"",SUMIFS(INDEX(Inputs!$D$4:$AG$200,0,MATCH(F$2,Inputs!$D$2:$AG$2,0)),Inputs!$B$4:$B$200,$B58)/1000)</f>
        <v/>
      </c>
      <c r="G58" s="11" t="str">
        <f>IF(SUMPRODUCT((Inputs!$B$4:$B$200=$B58)*ISNUMBER(INDEX(Inputs!$D$4:$AG$200,0,MATCH(G$2,Inputs!$D$2:$AG$2,0))))=0,"",SUMIFS(INDEX(Inputs!$D$4:$AG$200,0,MATCH(G$2,Inputs!$D$2:$AG$2,0)),Inputs!$B$4:$B$200,$B58)/1000)</f>
        <v/>
      </c>
      <c r="H58" s="12" t="str">
        <f>IF(COUNT(D58:G58)=4,SUM(D58:G58),"")</f>
        <v/>
      </c>
      <c r="I58" s="11" t="str">
        <f>IF(SUMPRODUCT((Inputs!$B$4:$B$200=$B58)*ISNUMBER(INDEX(Inputs!$D$4:$AG$200,0,MATCH(I$2,Inputs!$D$2:$AG$2,0))))=0,"",SUMIFS(INDEX(Inputs!$D$4:$AG$200,0,MATCH(I$2,Inputs!$D$2:$AG$2,0)),Inputs!$B$4:$B$200,$B58)/1000)</f>
        <v/>
      </c>
      <c r="J58" s="11" t="str">
        <f>IF(SUMPRODUCT((Inputs!$B$4:$B$200=$B58)*ISNUMBER(INDEX(Inputs!$D$4:$AG$200,0,MATCH(J$2,Inputs!$D$2:$AG$2,0))))=0,"",SUMIFS(INDEX(Inputs!$D$4:$AG$200,0,MATCH(J$2,Inputs!$D$2:$AG$2,0)),Inputs!$B$4:$B$200,$B58)/1000)</f>
        <v/>
      </c>
      <c r="K58" s="11" t="str">
        <f>IF(SUMPRODUCT((Inputs!$B$4:$B$200=$B58)*ISNUMBER(INDEX(Inputs!$D$4:$AG$200,0,MATCH(K$2,Inputs!$D$2:$AG$2,0))))=0,"",SUMIFS(INDEX(Inputs!$D$4:$AG$200,0,MATCH(K$2,Inputs!$D$2:$AG$2,0)),Inputs!$B$4:$B$200,$B58)/1000)</f>
        <v/>
      </c>
      <c r="L58" s="11" t="str">
        <f>IF(SUMPRODUCT((Inputs!$B$4:$B$200=$B58)*ISNUMBER(INDEX(Inputs!$D$4:$AG$200,0,MATCH(L$2,Inputs!$D$2:$AG$2,0))))=0,"",SUMIFS(INDEX(Inputs!$D$4:$AG$200,0,MATCH(L$2,Inputs!$D$2:$AG$2,0)),Inputs!$B$4:$B$200,$B58)/1000)</f>
        <v/>
      </c>
      <c r="M58" s="12" t="str">
        <f>IF(COUNT(I58:L58)=4,SUM(I58:L58),"")</f>
        <v/>
      </c>
      <c r="N58" s="11" t="str">
        <f>IF(SUMPRODUCT((Inputs!$B$4:$B$200=$B58)*ISNUMBER(INDEX(Inputs!$D$4:$AG$200,0,MATCH(N$2,Inputs!$D$2:$AG$2,0))))=0,"",SUMIFS(INDEX(Inputs!$D$4:$AG$200,0,MATCH(N$2,Inputs!$D$2:$AG$2,0)),Inputs!$B$4:$B$200,$B58)/1000)</f>
        <v/>
      </c>
      <c r="O58" s="11">
        <f>IF(SUMPRODUCT((Inputs!$B$4:$B$200=$B58)*ISNUMBER(INDEX(Inputs!$D$4:$AG$200,0,MATCH(O$2,Inputs!$D$2:$AG$2,0))))=0,"",SUMIFS(INDEX(Inputs!$D$4:$AG$200,0,MATCH(O$2,Inputs!$D$2:$AG$2,0)),Inputs!$B$4:$B$200,$B58)/1000)</f>
        <v>201</v>
      </c>
      <c r="P58" s="11">
        <f>IF(SUMPRODUCT((Inputs!$B$4:$B$200=$B58)*ISNUMBER(INDEX(Inputs!$D$4:$AG$200,0,MATCH(P$2,Inputs!$D$2:$AG$2,0))))=0,"",SUMIFS(INDEX(Inputs!$D$4:$AG$200,0,MATCH(P$2,Inputs!$D$2:$AG$2,0)),Inputs!$B$4:$B$200,$B58)/1000)</f>
        <v>269</v>
      </c>
      <c r="Q58" s="11">
        <f>IF(SUMPRODUCT((Inputs!$B$4:$B$200=$B58)*ISNUMBER(INDEX(Inputs!$D$4:$AG$200,0,MATCH(Q$2,Inputs!$D$2:$AG$2,0))))=0,"",SUMIFS(INDEX(Inputs!$D$4:$AG$200,0,MATCH(Q$2,Inputs!$D$2:$AG$2,0)),Inputs!$B$4:$B$200,$B58)/1000)</f>
        <v>237</v>
      </c>
      <c r="R58" s="12" t="str">
        <f>IF(COUNT(N58:Q58)=4,SUM(N58:Q58),"")</f>
        <v/>
      </c>
      <c r="S58" s="11">
        <f>IF(SUMPRODUCT((Inputs!$B$4:$B$200=$B58)*ISNUMBER(INDEX(Inputs!$D$4:$AG$200,0,MATCH(S$2,Inputs!$D$2:$AG$2,0))))=0,"",SUMIFS(INDEX(Inputs!$D$4:$AG$200,0,MATCH(S$2,Inputs!$D$2:$AG$2,0)),Inputs!$B$4:$B$200,$B58)/1000)</f>
        <v>256</v>
      </c>
      <c r="T58" s="11">
        <f>IF(SUMPRODUCT((Inputs!$B$4:$B$200=$B58)*ISNUMBER(INDEX(Inputs!$D$4:$AG$200,0,MATCH(T$2,Inputs!$D$2:$AG$2,0))))=0,"",SUMIFS(INDEX(Inputs!$D$4:$AG$200,0,MATCH(T$2,Inputs!$D$2:$AG$2,0)),Inputs!$B$4:$B$200,$B58)/1000)</f>
        <v>344</v>
      </c>
      <c r="U58" s="11">
        <f>IF(SUMPRODUCT((Inputs!$B$4:$B$200=$B58)*ISNUMBER(INDEX(Inputs!$D$4:$AG$200,0,MATCH(U$2,Inputs!$D$2:$AG$2,0))))=0,"",SUMIFS(INDEX(Inputs!$D$4:$AG$200,0,MATCH(U$2,Inputs!$D$2:$AG$2,0)),Inputs!$B$4:$B$200,$B58)/1000)</f>
        <v>220</v>
      </c>
      <c r="V58" s="11">
        <f>IF(SUMPRODUCT((Inputs!$B$4:$B$200=$B58)*ISNUMBER(INDEX(Inputs!$D$4:$AG$200,0,MATCH(V$2,Inputs!$D$2:$AG$2,0))))=0,"",SUMIFS(INDEX(Inputs!$D$4:$AG$200,0,MATCH(V$2,Inputs!$D$2:$AG$2,0)),Inputs!$B$4:$B$200,$B58)/1000)</f>
        <v>241</v>
      </c>
      <c r="W58" s="12">
        <f>IF(COUNT(S58:V58)=4,SUM(S58:V58),"")</f>
        <v>1061</v>
      </c>
      <c r="X58" s="11">
        <f>IF(SUMPRODUCT((Inputs!$B$4:$B$200=$B58)*ISNUMBER(INDEX(Inputs!$D$4:$AG$200,0,MATCH(X$2,Inputs!$D$2:$AG$2,0))))=0,"",SUMIFS(INDEX(Inputs!$D$4:$AG$200,0,MATCH(X$2,Inputs!$D$2:$AG$2,0)),Inputs!$B$4:$B$200,$B58)/1000)</f>
        <v>325</v>
      </c>
      <c r="Y58" s="11">
        <f>IF(SUMPRODUCT((Inputs!$B$4:$B$200=$B58)*ISNUMBER(INDEX(Inputs!$D$4:$AG$200,0,MATCH(Y$2,Inputs!$D$2:$AG$2,0))))=0,"",SUMIFS(INDEX(Inputs!$D$4:$AG$200,0,MATCH(Y$2,Inputs!$D$2:$AG$2,0)),Inputs!$B$4:$B$200,$B58)/1000)</f>
        <v>403</v>
      </c>
      <c r="Z58" s="11">
        <f>IF(SUMPRODUCT((Inputs!$B$4:$B$200=$B58)*ISNUMBER(INDEX(Inputs!$D$4:$AG$200,0,MATCH(Z$2,Inputs!$D$2:$AG$2,0))))=0,"",SUMIFS(INDEX(Inputs!$D$4:$AG$200,0,MATCH(Z$2,Inputs!$D$2:$AG$2,0)),Inputs!$B$4:$B$200,$B58)/1000)</f>
        <v>386</v>
      </c>
      <c r="AA58" s="11">
        <f>IF(SUMPRODUCT((Inputs!$B$4:$B$200=$B58)*ISNUMBER(INDEX(Inputs!$D$4:$AG$200,0,MATCH(AA$2,Inputs!$D$2:$AG$2,0))))=0,"",SUMIFS(INDEX(Inputs!$D$4:$AG$200,0,MATCH(AA$2,Inputs!$D$2:$AG$2,0)),Inputs!$B$4:$B$200,$B58)/1000)</f>
        <v>252</v>
      </c>
      <c r="AB58" s="12">
        <f>IF(COUNT(X58:AA58)=4,SUM(X58:AA58),"")</f>
        <v>1366</v>
      </c>
      <c r="AC58" s="11">
        <f>IF(SUMPRODUCT((Inputs!$B$4:$B$200=$B58)*ISNUMBER(INDEX(Inputs!$D$4:$AG$200,0,MATCH(AC$2,Inputs!$D$2:$AG$2,0))))=0,"",SUMIFS(INDEX(Inputs!$D$4:$AG$200,0,MATCH(AC$2,Inputs!$D$2:$AG$2,0)),Inputs!$B$4:$B$200,$B58)/1000)</f>
        <v>379</v>
      </c>
      <c r="AD58" s="11">
        <f>IF(SUMPRODUCT((Inputs!$B$4:$B$200=$B58)*ISNUMBER(INDEX(Inputs!$D$4:$AG$200,0,MATCH(AD$2,Inputs!$D$2:$AG$2,0))))=0,"",SUMIFS(INDEX(Inputs!$D$4:$AG$200,0,MATCH(AD$2,Inputs!$D$2:$AG$2,0)),Inputs!$B$4:$B$200,$B58)/1000)</f>
        <v>475</v>
      </c>
      <c r="AE58" s="11" t="str">
        <f>IF(SUMPRODUCT((Inputs!$B$4:$B$200=$B58)*ISNUMBER(INDEX(Inputs!$D$4:$AG$200,0,MATCH(AE$2,Inputs!$D$2:$AG$2,0))))=0,"",SUMIFS(INDEX(Inputs!$D$4:$AG$200,0,MATCH(AE$2,Inputs!$D$2:$AG$2,0)),Inputs!$B$4:$B$200,$B58)/1000)</f>
        <v/>
      </c>
      <c r="AF58" s="11" t="str">
        <f>IF(SUMPRODUCT((Inputs!$B$4:$B$200=$B58)*ISNUMBER(INDEX(Inputs!$D$4:$AG$200,0,MATCH(AF$2,Inputs!$D$2:$AG$2,0))))=0,"",SUMIFS(INDEX(Inputs!$D$4:$AG$200,0,MATCH(AF$2,Inputs!$D$2:$AG$2,0)),Inputs!$B$4:$B$200,$B58)/1000)</f>
        <v/>
      </c>
      <c r="AG58" s="12" t="str">
        <f>IF(COUNT(AC58:AF58)=4,SUM(AC58:AF58),"")</f>
        <v/>
      </c>
    </row>
    <row r="59">
      <c r="B59" s="9" t="n">
        <v>51</v>
      </c>
      <c r="C59" s="10" t="inlineStr">
        <is>
          <t>CES - receita de serviços (USD)</t>
        </is>
      </c>
      <c r="D59" s="11" t="str">
        <f>IF(SUMPRODUCT((Inputs!$B$4:$B$200=$B59)*ISNUMBER(INDEX(Inputs!$D$4:$AG$200,0,MATCH(D$2,Inputs!$D$2:$AG$2,0))))=0,"",SUMIFS(INDEX(Inputs!$D$4:$AG$200,0,MATCH(D$2,Inputs!$D$2:$AG$2,0)),Inputs!$B$4:$B$200,$B59)/1000)</f>
        <v/>
      </c>
      <c r="E59" s="11" t="str">
        <f>IF(SUMPRODUCT((Inputs!$B$4:$B$200=$B59)*ISNUMBER(INDEX(Inputs!$D$4:$AG$200,0,MATCH(E$2,Inputs!$D$2:$AG$2,0))))=0,"",SUMIFS(INDEX(Inputs!$D$4:$AG$200,0,MATCH(E$2,Inputs!$D$2:$AG$2,0)),Inputs!$B$4:$B$200,$B59)/1000)</f>
        <v/>
      </c>
      <c r="F59" s="11" t="str">
        <f>IF(SUMPRODUCT((Inputs!$B$4:$B$200=$B59)*ISNUMBER(INDEX(Inputs!$D$4:$AG$200,0,MATCH(F$2,Inputs!$D$2:$AG$2,0))))=0,"",SUMIFS(INDEX(Inputs!$D$4:$AG$200,0,MATCH(F$2,Inputs!$D$2:$AG$2,0)),Inputs!$B$4:$B$200,$B59)/1000)</f>
        <v/>
      </c>
      <c r="G59" s="11" t="str">
        <f>IF(SUMPRODUCT((Inputs!$B$4:$B$200=$B59)*ISNUMBER(INDEX(Inputs!$D$4:$AG$200,0,MATCH(G$2,Inputs!$D$2:$AG$2,0))))=0,"",SUMIFS(INDEX(Inputs!$D$4:$AG$200,0,MATCH(G$2,Inputs!$D$2:$AG$2,0)),Inputs!$B$4:$B$200,$B59)/1000)</f>
        <v/>
      </c>
      <c r="H59" s="12" t="str">
        <f>IF(COUNT(D59:G59)=4,SUM(D59:G59),"")</f>
        <v/>
      </c>
      <c r="I59" s="11" t="str">
        <f>IF(SUMPRODUCT((Inputs!$B$4:$B$200=$B59)*ISNUMBER(INDEX(Inputs!$D$4:$AG$200,0,MATCH(I$2,Inputs!$D$2:$AG$2,0))))=0,"",SUMIFS(INDEX(Inputs!$D$4:$AG$200,0,MATCH(I$2,Inputs!$D$2:$AG$2,0)),Inputs!$B$4:$B$200,$B59)/1000)</f>
        <v/>
      </c>
      <c r="J59" s="11" t="str">
        <f>IF(SUMPRODUCT((Inputs!$B$4:$B$200=$B59)*ISNUMBER(INDEX(Inputs!$D$4:$AG$200,0,MATCH(J$2,Inputs!$D$2:$AG$2,0))))=0,"",SUMIFS(INDEX(Inputs!$D$4:$AG$200,0,MATCH(J$2,Inputs!$D$2:$AG$2,0)),Inputs!$B$4:$B$200,$B59)/1000)</f>
        <v/>
      </c>
      <c r="K59" s="11" t="str">
        <f>IF(SUMPRODUCT((Inputs!$B$4:$B$200=$B59)*ISNUMBER(INDEX(Inputs!$D$4:$AG$200,0,MATCH(K$2,Inputs!$D$2:$AG$2,0))))=0,"",SUMIFS(INDEX(Inputs!$D$4:$AG$200,0,MATCH(K$2,Inputs!$D$2:$AG$2,0)),Inputs!$B$4:$B$200,$B59)/1000)</f>
        <v/>
      </c>
      <c r="L59" s="11" t="str">
        <f>IF(SUMPRODUCT((Inputs!$B$4:$B$200=$B59)*ISNUMBER(INDEX(Inputs!$D$4:$AG$200,0,MATCH(L$2,Inputs!$D$2:$AG$2,0))))=0,"",SUMIFS(INDEX(Inputs!$D$4:$AG$200,0,MATCH(L$2,Inputs!$D$2:$AG$2,0)),Inputs!$B$4:$B$200,$B59)/1000)</f>
        <v/>
      </c>
      <c r="M59" s="12" t="str">
        <f>IF(COUNT(I59:L59)=4,SUM(I59:L59),"")</f>
        <v/>
      </c>
      <c r="N59" s="11" t="str">
        <f>IF(SUMPRODUCT((Inputs!$B$4:$B$200=$B59)*ISNUMBER(INDEX(Inputs!$D$4:$AG$200,0,MATCH(N$2,Inputs!$D$2:$AG$2,0))))=0,"",SUMIFS(INDEX(Inputs!$D$4:$AG$200,0,MATCH(N$2,Inputs!$D$2:$AG$2,0)),Inputs!$B$4:$B$200,$B59)/1000)</f>
        <v/>
      </c>
      <c r="O59" s="11">
        <f>IF(SUMPRODUCT((Inputs!$B$4:$B$200=$B59)*ISNUMBER(INDEX(Inputs!$D$4:$AG$200,0,MATCH(O$2,Inputs!$D$2:$AG$2,0))))=0,"",SUMIFS(INDEX(Inputs!$D$4:$AG$200,0,MATCH(O$2,Inputs!$D$2:$AG$2,0)),Inputs!$B$4:$B$200,$B59)/1000)</f>
        <v>4130</v>
      </c>
      <c r="P59" s="11">
        <f>IF(SUMPRODUCT((Inputs!$B$4:$B$200=$B59)*ISNUMBER(INDEX(Inputs!$D$4:$AG$200,0,MATCH(P$2,Inputs!$D$2:$AG$2,0))))=0,"",SUMIFS(INDEX(Inputs!$D$4:$AG$200,0,MATCH(P$2,Inputs!$D$2:$AG$2,0)),Inputs!$B$4:$B$200,$B59)/1000)</f>
        <v>4853</v>
      </c>
      <c r="Q59" s="11">
        <f>IF(SUMPRODUCT((Inputs!$B$4:$B$200=$B59)*ISNUMBER(INDEX(Inputs!$D$4:$AG$200,0,MATCH(Q$2,Inputs!$D$2:$AG$2,0))))=0,"",SUMIFS(INDEX(Inputs!$D$4:$AG$200,0,MATCH(Q$2,Inputs!$D$2:$AG$2,0)),Inputs!$B$4:$B$200,$B59)/1000)</f>
        <v>4770</v>
      </c>
      <c r="R59" s="12" t="str">
        <f>IF(COUNT(N59:Q59)=4,SUM(N59:Q59),"")</f>
        <v/>
      </c>
      <c r="S59" s="11">
        <f>IF(SUMPRODUCT((Inputs!$B$4:$B$200=$B59)*ISNUMBER(INDEX(Inputs!$D$4:$AG$200,0,MATCH(S$2,Inputs!$D$2:$AG$2,0))))=0,"",SUMIFS(INDEX(Inputs!$D$4:$AG$200,0,MATCH(S$2,Inputs!$D$2:$AG$2,0)),Inputs!$B$4:$B$200,$B59)/1000)</f>
        <v>4390</v>
      </c>
      <c r="T59" s="11">
        <f>IF(SUMPRODUCT((Inputs!$B$4:$B$200=$B59)*ISNUMBER(INDEX(Inputs!$D$4:$AG$200,0,MATCH(T$2,Inputs!$D$2:$AG$2,0))))=0,"",SUMIFS(INDEX(Inputs!$D$4:$AG$200,0,MATCH(T$2,Inputs!$D$2:$AG$2,0)),Inputs!$B$4:$B$200,$B59)/1000)</f>
        <v>4705</v>
      </c>
      <c r="U59" s="11">
        <f>IF(SUMPRODUCT((Inputs!$B$4:$B$200=$B59)*ISNUMBER(INDEX(Inputs!$D$4:$AG$200,0,MATCH(U$2,Inputs!$D$2:$AG$2,0))))=0,"",SUMIFS(INDEX(Inputs!$D$4:$AG$200,0,MATCH(U$2,Inputs!$D$2:$AG$2,0)),Inputs!$B$4:$B$200,$B59)/1000)</f>
        <v>5317</v>
      </c>
      <c r="V59" s="11">
        <f>IF(SUMPRODUCT((Inputs!$B$4:$B$200=$B59)*ISNUMBER(INDEX(Inputs!$D$4:$AG$200,0,MATCH(V$2,Inputs!$D$2:$AG$2,0))))=0,"",SUMIFS(INDEX(Inputs!$D$4:$AG$200,0,MATCH(V$2,Inputs!$D$2:$AG$2,0)),Inputs!$B$4:$B$200,$B59)/1000)</f>
        <v>5363</v>
      </c>
      <c r="W59" s="12">
        <f>IF(COUNT(S59:V59)=4,SUM(S59:V59),"")</f>
        <v>19775</v>
      </c>
      <c r="X59" s="11">
        <f>IF(SUMPRODUCT((Inputs!$B$4:$B$200=$B59)*ISNUMBER(INDEX(Inputs!$D$4:$AG$200,0,MATCH(X$2,Inputs!$D$2:$AG$2,0))))=0,"",SUMIFS(INDEX(Inputs!$D$4:$AG$200,0,MATCH(X$2,Inputs!$D$2:$AG$2,0)),Inputs!$B$4:$B$200,$B59)/1000)</f>
        <v>4915</v>
      </c>
      <c r="Y59" s="11">
        <f>IF(SUMPRODUCT((Inputs!$B$4:$B$200=$B59)*ISNUMBER(INDEX(Inputs!$D$4:$AG$200,0,MATCH(Y$2,Inputs!$D$2:$AG$2,0))))=0,"",SUMIFS(INDEX(Inputs!$D$4:$AG$200,0,MATCH(Y$2,Inputs!$D$2:$AG$2,0)),Inputs!$B$4:$B$200,$B59)/1000)</f>
        <v>5881</v>
      </c>
      <c r="Z59" s="11">
        <f>IF(SUMPRODUCT((Inputs!$B$4:$B$200=$B59)*ISNUMBER(INDEX(Inputs!$D$4:$AG$200,0,MATCH(Z$2,Inputs!$D$2:$AG$2,0))))=0,"",SUMIFS(INDEX(Inputs!$D$4:$AG$200,0,MATCH(Z$2,Inputs!$D$2:$AG$2,0)),Inputs!$B$4:$B$200,$B59)/1000)</f>
        <v>6820</v>
      </c>
      <c r="AA59" s="11">
        <f>IF(SUMPRODUCT((Inputs!$B$4:$B$200=$B59)*ISNUMBER(INDEX(Inputs!$D$4:$AG$200,0,MATCH(AA$2,Inputs!$D$2:$AG$2,0))))=0,"",SUMIFS(INDEX(Inputs!$D$4:$AG$200,0,MATCH(AA$2,Inputs!$D$2:$AG$2,0)),Inputs!$B$4:$B$200,$B59)/1000)</f>
        <v>7012</v>
      </c>
      <c r="AB59" s="12">
        <f>IF(COUNT(X59:AA59)=4,SUM(X59:AA59),"")</f>
        <v>24628</v>
      </c>
      <c r="AC59" s="11">
        <f>IF(SUMPRODUCT((Inputs!$B$4:$B$200=$B59)*ISNUMBER(INDEX(Inputs!$D$4:$AG$200,0,MATCH(AC$2,Inputs!$D$2:$AG$2,0))))=0,"",SUMIFS(INDEX(Inputs!$D$4:$AG$200,0,MATCH(AC$2,Inputs!$D$2:$AG$2,0)),Inputs!$B$4:$B$200,$B59)/1000)</f>
        <v>6817</v>
      </c>
      <c r="AD59" s="11">
        <f>IF(SUMPRODUCT((Inputs!$B$4:$B$200=$B59)*ISNUMBER(INDEX(Inputs!$D$4:$AG$200,0,MATCH(AD$2,Inputs!$D$2:$AG$2,0))))=0,"",SUMIFS(INDEX(Inputs!$D$4:$AG$200,0,MATCH(AD$2,Inputs!$D$2:$AG$2,0)),Inputs!$B$4:$B$200,$B59)/1000)</f>
        <v>7434</v>
      </c>
      <c r="AE59" s="11" t="str">
        <f>IF(SUMPRODUCT((Inputs!$B$4:$B$200=$B59)*ISNUMBER(INDEX(Inputs!$D$4:$AG$200,0,MATCH(AE$2,Inputs!$D$2:$AG$2,0))))=0,"",SUMIFS(INDEX(Inputs!$D$4:$AG$200,0,MATCH(AE$2,Inputs!$D$2:$AG$2,0)),Inputs!$B$4:$B$200,$B59)/1000)</f>
        <v/>
      </c>
      <c r="AF59" s="11" t="str">
        <f>IF(SUMPRODUCT((Inputs!$B$4:$B$200=$B59)*ISNUMBER(INDEX(Inputs!$D$4:$AG$200,0,MATCH(AF$2,Inputs!$D$2:$AG$2,0))))=0,"",SUMIFS(INDEX(Inputs!$D$4:$AG$200,0,MATCH(AF$2,Inputs!$D$2:$AG$2,0)),Inputs!$B$4:$B$200,$B59)/1000)</f>
        <v/>
      </c>
      <c r="AG59" s="12" t="str">
        <f>IF(COUNT(AC59:AF59)=4,SUM(AC59:AF59),"")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77"/>
  <sheetViews>
    <sheetView showGridLines="0" zoomScaleNormal="100" workbookViewId="0">
      <pane xSplit="3" ySplit="11" topLeftCell="D270" activePane="bottomRight" state="frozen"/>
      <selection pane="topRight" activeCell="D1" sqref="D1"/>
      <selection pane="bottomLeft" activeCell="A12" sqref="A12"/>
      <selection pane="bottomRight" activeCell="O315" sqref="O315"/>
    </sheetView>
  </sheetViews>
  <sheetFormatPr baseColWidth="8" defaultColWidth="10.42578125" defaultRowHeight="12.75" outlineLevelRow="1"/>
  <cols>
    <col width="2" customWidth="1" style="3" min="1" max="1"/>
    <col width="8.85546875" customWidth="1" style="3" min="2" max="2"/>
    <col width="96.140625" customWidth="1" style="4" min="3" max="3"/>
    <col width="13" customWidth="1" style="4" min="4" max="24"/>
    <col width="12.7109375" customWidth="1" style="4" min="25" max="25"/>
    <col width="13" customWidth="1" style="4" min="26" max="27"/>
    <col width="12.7109375" customWidth="1" style="4" min="28" max="28"/>
    <col width="14" customWidth="1" style="4" min="29" max="29"/>
    <col width="15.140625" customWidth="1" style="4" min="30" max="30"/>
    <col width="12.42578125" customWidth="1" style="4" min="31" max="31"/>
    <col width="11.5703125" customWidth="1" style="4" min="32" max="32"/>
    <col width="12.42578125" customWidth="1" style="4" min="33" max="33"/>
    <col width="11.5703125" customWidth="1" style="4" min="34" max="34"/>
    <col width="12.7109375" customWidth="1" style="4" min="35" max="35"/>
    <col width="11.5703125" customWidth="1" style="4" min="36" max="37"/>
    <col width="11.28515625" customWidth="1" style="4" min="38" max="38"/>
    <col width="11.5703125" customWidth="1" style="4" min="39" max="39"/>
    <col width="12.7109375" customWidth="1" style="4" min="40" max="40"/>
    <col width="11.5703125" customWidth="1" style="4" min="41" max="42"/>
    <col width="11.28515625" customWidth="1" style="4" min="43" max="43"/>
    <col width="11.5703125" customWidth="1" style="4" min="44" max="44"/>
    <col width="12.7109375" customWidth="1" style="4" min="45" max="45"/>
    <col width="11.5703125" customWidth="1" style="4" min="46" max="47"/>
    <col width="11.28515625" customWidth="1" style="4" min="48" max="48"/>
    <col width="11.5703125" customWidth="1" style="4" min="49" max="49"/>
    <col width="12.7109375" customWidth="1" style="4" min="50" max="50"/>
    <col width="11.5703125" customWidth="1" style="4" min="51" max="52"/>
    <col width="11.28515625" customWidth="1" style="4" min="53" max="53"/>
    <col width="11.5703125" customWidth="1" style="4" min="54" max="54"/>
    <col width="12.7109375" customWidth="1" style="4" min="55" max="55"/>
    <col width="11.5703125" customWidth="1" style="4" min="56" max="57"/>
    <col width="11.28515625" customWidth="1" style="4" min="58" max="58"/>
    <col width="11.5703125" customWidth="1" style="4" min="59" max="59"/>
    <col width="12.7109375" customWidth="1" style="4" min="60" max="60"/>
    <col width="11.5703125" customWidth="1" style="4" min="61" max="62"/>
    <col width="11.28515625" customWidth="1" style="4" min="63" max="63"/>
    <col width="11.5703125" customWidth="1" style="4" min="64" max="64"/>
    <col width="12.7109375" customWidth="1" style="4" min="65" max="65"/>
    <col width="11.5703125" customWidth="1" style="4" min="66" max="67"/>
    <col width="11.28515625" customWidth="1" style="4" min="68" max="68"/>
    <col width="11.5703125" customWidth="1" style="4" min="69" max="69"/>
    <col width="12.7109375" customWidth="1" style="4" min="70" max="70"/>
    <col width="11.5703125" customWidth="1" style="4" min="71" max="72"/>
    <col width="11.28515625" customWidth="1" style="4" min="73" max="73"/>
    <col width="11.5703125" customWidth="1" style="4" min="74" max="74"/>
    <col width="12.7109375" customWidth="1" style="4" min="75" max="75"/>
    <col width="11.5703125" customWidth="1" style="4" min="76" max="77"/>
    <col width="11.28515625" customWidth="1" style="4" min="78" max="78"/>
    <col width="11.5703125" customWidth="1" style="4" min="79" max="79"/>
    <col width="12.7109375" customWidth="1" style="4" min="80" max="80"/>
    <col width="11.5703125" customWidth="1" style="4" min="81" max="82"/>
    <col width="11.28515625" customWidth="1" style="4" min="83" max="83"/>
    <col width="11.5703125" customWidth="1" style="4" min="84" max="84"/>
    <col width="12.7109375" customWidth="1" style="4" min="85" max="85"/>
    <col width="11.5703125" customWidth="1" style="4" min="86" max="87"/>
    <col width="11.28515625" customWidth="1" style="4" min="88" max="88"/>
    <col width="11.5703125" customWidth="1" style="4" min="89" max="89"/>
    <col width="12.7109375" customWidth="1" style="4" min="90" max="90"/>
    <col width="11.5703125" customWidth="1" style="4" min="91" max="92"/>
    <col width="11.28515625" customWidth="1" style="4" min="93" max="93"/>
    <col width="11.5703125" customWidth="1" style="4" min="94" max="94"/>
    <col width="12.7109375" customWidth="1" style="4" min="95" max="95"/>
    <col width="11.5703125" customWidth="1" style="4" min="96" max="97"/>
    <col width="11.28515625" customWidth="1" style="4" min="98" max="98"/>
    <col width="11.5703125" customWidth="1" style="4" min="99" max="99"/>
    <col width="12.7109375" customWidth="1" style="4" min="100" max="100"/>
    <col width="11.5703125" customWidth="1" style="4" min="101" max="102"/>
    <col width="11.28515625" customWidth="1" style="4" min="103" max="103"/>
    <col width="10.42578125" customWidth="1" style="4" min="104" max="106"/>
    <col width="10.42578125" customWidth="1" style="4" min="107" max="16384"/>
  </cols>
  <sheetData>
    <row r="1">
      <c r="C1" s="17" t="inlineStr">
        <is>
          <t>CHECKS</t>
        </is>
      </c>
      <c r="D1" s="12" t="n"/>
      <c r="E1" s="12" t="n"/>
      <c r="F1" s="12" t="n"/>
      <c r="G1" s="12" t="n"/>
      <c r="H1" s="12" t="n"/>
      <c r="I1" s="12">
        <f>IF(I2="","",SUM(I2,I3))</f>
        <v>0</v>
      </c>
      <c r="J1" s="12">
        <f>IF(J2="","",SUM(J2,J3))</f>
        <v>0</v>
      </c>
      <c r="K1" s="12">
        <f>IF(K2="","",SUM(K2,K3))</f>
        <v>0</v>
      </c>
      <c r="L1" s="12">
        <f>IF(L2="","",SUM(L2,L3))</f>
        <v>0</v>
      </c>
      <c r="M1" s="12">
        <f>IF(M2="","",SUM(M2,M3))</f>
        <v>0</v>
      </c>
      <c r="N1" s="12">
        <f>IF(N2="","",SUM(N2,N3))</f>
        <v>0</v>
      </c>
      <c r="O1" s="12">
        <f>IF(O2="","",SUM(O2,O3))</f>
        <v>0</v>
      </c>
      <c r="P1" s="12">
        <f>IF(P2="","",SUM(P2,P3))</f>
        <v>0</v>
      </c>
      <c r="Q1" s="12">
        <f>IF(Q2="","",SUM(Q2,Q3))</f>
        <v>0</v>
      </c>
      <c r="R1" s="12">
        <f>IF(R2="","",SUM(R2,R3))</f>
        <v>0</v>
      </c>
      <c r="S1" s="12">
        <f>IF(S2="","",SUM(S2,S3))</f>
        <v>0</v>
      </c>
      <c r="T1" s="12">
        <f>IF(T2="","",SUM(T2,T3))</f>
        <v>0</v>
      </c>
      <c r="U1" s="12">
        <f>IF(U2="","",SUM(U2,U3))</f>
        <v>0</v>
      </c>
      <c r="V1" s="12">
        <f>IF(V2="","",SUM(V2,V3))</f>
        <v>0</v>
      </c>
      <c r="W1" s="12">
        <f>IF(W2="","",SUM(W2,W3))</f>
        <v>0</v>
      </c>
      <c r="X1" s="12">
        <f>IF(X2="","",SUM(X2,X3))</f>
        <v>0</v>
      </c>
      <c r="Y1" s="12">
        <f>IF(Y2="","",SUM(Y2,Y3))</f>
        <v>0</v>
      </c>
      <c r="Z1" s="12">
        <f>IF(Z2="","",SUM(Z2,Z3))</f>
        <v>0</v>
      </c>
      <c r="AA1" s="12">
        <f>IF(AA2="","",SUM(AA2,AA3))</f>
        <v>0</v>
      </c>
      <c r="AB1" s="12">
        <f>IF(AB2="","",SUM(AB2,AB3))</f>
        <v>0</v>
      </c>
      <c r="AC1" s="12">
        <f>IF(AC2="","",SUM(AC2,AC3))</f>
        <v>0</v>
      </c>
      <c r="AD1" s="12">
        <f>IF(AD2="","",SUM(AD2,AD3))</f>
        <v>0</v>
      </c>
      <c r="AE1" s="12">
        <f>IF(AE2="","",SUM(AE2,AE3))</f>
        <v>0</v>
      </c>
      <c r="AF1" s="12">
        <f>IF(AF2="","",SUM(AF2,AF3))</f>
        <v>0</v>
      </c>
      <c r="AG1" s="12">
        <f>IF(AG2="","",SUM(AG2,AG3))</f>
        <v>0</v>
      </c>
      <c r="AH1" s="12">
        <f>IF(AH2="","",SUM(AH2,AH3))</f>
        <v>0</v>
      </c>
      <c r="AI1" s="12">
        <f>IF(AI2="","",SUM(AI2,AI3))</f>
        <v>0</v>
      </c>
      <c r="AJ1" s="12">
        <f>IF(AJ2="","",SUM(AJ2,AJ3))</f>
        <v>2873.62059180864</v>
      </c>
      <c r="AK1" s="12">
        <f>IF(AK2="","",SUM(AK2,AK3))</f>
        <v>3000.06839061082</v>
      </c>
      <c r="AL1" s="12">
        <f>IF(AL2="","",SUM(AL2,AL3))</f>
        <v>10147.6889824195</v>
      </c>
      <c r="AM1" s="12">
        <f>IF(AM2="","",SUM(AM2,AM3))</f>
        <v>2923.39761708338</v>
      </c>
      <c r="AN1" s="12">
        <f>IF(AN2="","",SUM(AN2,AN3))</f>
        <v>3149.16355636266</v>
      </c>
      <c r="AO1" s="12">
        <f>IF(AO2="","",SUM(AO2,AO3))</f>
        <v>3445.33835253588</v>
      </c>
      <c r="AP1" s="12">
        <f>IF(AP2="","",SUM(AP2,AP3))</f>
        <v>3596.94342247752</v>
      </c>
      <c r="AQ1" s="12">
        <f>IF(AQ2="","",SUM(AQ2,AQ3))</f>
        <v>13114.8429484594</v>
      </c>
      <c r="AR1" s="12">
        <f>IF(AR2="","",SUM(AR2,AR3))</f>
        <v>3490.401718476</v>
      </c>
      <c r="AS1" s="12">
        <f>IF(AS2="","",SUM(AS2,AS3))</f>
        <v>3759.95582149258</v>
      </c>
      <c r="AT1" s="12">
        <f>IF(AT2="","",SUM(AT2,AT3))</f>
        <v>4113.57484734499</v>
      </c>
      <c r="AU1" s="12">
        <f>IF(AU2="","",SUM(AU2,AU3))</f>
        <v>4294.58429797933</v>
      </c>
      <c r="AV1" s="12">
        <f>IF(AV2="","",SUM(AV2,AV3))</f>
        <v>15658.5166852929</v>
      </c>
      <c r="AW1" s="12">
        <f>IF(AW2="","",SUM(AW2,AW3))</f>
        <v>4149.92641613756</v>
      </c>
      <c r="AX1" s="12">
        <f>IF(AX2="","",SUM(AX2,AX3))</f>
        <v>4470.41379349744</v>
      </c>
      <c r="AY1" s="12">
        <f>IF(AY2="","",SUM(AY2,AY3))</f>
        <v>4890.85048101846</v>
      </c>
      <c r="AZ1" s="12">
        <f>IF(AZ2="","",SUM(AZ2,AZ3))</f>
        <v>5106.06235671224</v>
      </c>
      <c r="BA1" s="12">
        <f>IF(BA2="","",SUM(BA2,BA3))</f>
        <v>18617.2530473657</v>
      </c>
      <c r="BB1" s="12">
        <f>IF(BB2="","",SUM(BB2,BB3))</f>
        <v>4913.32118509615</v>
      </c>
      <c r="BC1" s="12">
        <f>IF(BC2="","",SUM(BC2,BC3))</f>
        <v>5292.76343607558</v>
      </c>
      <c r="BD1" s="12">
        <f>IF(BD2="","",SUM(BD2,BD3))</f>
        <v>5790.54105347038</v>
      </c>
      <c r="BE1" s="12">
        <f>IF(BE2="","",SUM(BE2,BE3))</f>
        <v>6045.34197331769</v>
      </c>
      <c r="BF1" s="12">
        <f>IF(BF2="","",SUM(BF2,BF3))</f>
        <v>22041.9676479598</v>
      </c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2" t="n"/>
      <c r="CC1" s="12" t="n"/>
      <c r="CD1" s="12" t="n"/>
      <c r="CE1" s="12" t="n"/>
      <c r="CF1" s="12" t="n"/>
      <c r="CG1" s="12" t="n"/>
      <c r="CH1" s="12" t="n"/>
      <c r="CI1" s="12" t="n"/>
      <c r="CJ1" s="12" t="n"/>
      <c r="CK1" s="12" t="n"/>
      <c r="CL1" s="12" t="n"/>
      <c r="CM1" s="12" t="n"/>
      <c r="CN1" s="12" t="n"/>
      <c r="CO1" s="12" t="n"/>
      <c r="CP1" s="12" t="n"/>
      <c r="CQ1" s="12" t="n"/>
      <c r="CR1" s="12" t="n"/>
      <c r="CS1" s="12" t="n"/>
      <c r="CT1" s="12" t="n"/>
      <c r="CU1" s="12" t="n"/>
      <c r="CV1" s="12" t="n"/>
      <c r="CW1" s="12" t="n"/>
      <c r="CX1" s="12" t="n"/>
      <c r="CY1" s="12" t="n"/>
    </row>
    <row r="2">
      <c r="C2" s="18" t="inlineStr">
        <is>
          <t>BS</t>
        </is>
      </c>
      <c r="D2" s="12" t="n"/>
      <c r="E2" s="12" t="n"/>
      <c r="F2" s="12" t="n"/>
      <c r="G2" s="12" t="n"/>
      <c r="H2" s="12" t="n"/>
      <c r="I2" s="12">
        <f>IF(COUNT(I182,I258)&lt;2,"",ABS(I182-I258))</f>
        <v>0</v>
      </c>
      <c r="J2" s="12">
        <f>IF(COUNT(J182,J258)&lt;2,"",ABS(J182-J258))</f>
        <v>0</v>
      </c>
      <c r="K2" s="12">
        <f>IF(COUNT(K182,K258)&lt;2,"",ABS(K182-K258))</f>
        <v>0</v>
      </c>
      <c r="L2" s="12">
        <f>IF(COUNT(L182,L258)&lt;2,"",ABS(L182-L258))</f>
        <v>0</v>
      </c>
      <c r="M2" s="12">
        <f>IF(COUNT(M182,M258)&lt;2,"",ABS(M182-M258))</f>
        <v>0</v>
      </c>
      <c r="N2" s="12">
        <f>IF(COUNT(N182,N258)&lt;2,"",ABS(N182-N258))</f>
        <v>0</v>
      </c>
      <c r="O2" s="12">
        <f>IF(COUNT(O182,O258)&lt;2,"",ABS(O182-O258))</f>
        <v>0</v>
      </c>
      <c r="P2" s="12">
        <f>IF(COUNT(P182,P258)&lt;2,"",ABS(P182-P258))</f>
        <v>0</v>
      </c>
      <c r="Q2" s="12">
        <f>IF(COUNT(Q182,Q258)&lt;2,"",ABS(Q182-Q258))</f>
        <v>0</v>
      </c>
      <c r="R2" s="12">
        <f>IF(COUNT(R182,R258)&lt;2,"",ABS(R182-R258))</f>
        <v>0</v>
      </c>
      <c r="S2" s="12">
        <f>IF(COUNT(S182,S258)&lt;2,"",ABS(S182-S258))</f>
        <v>0</v>
      </c>
      <c r="T2" s="12">
        <f>IF(COUNT(T182,T258)&lt;2,"",ABS(T182-T258))</f>
        <v>0</v>
      </c>
      <c r="U2" s="12">
        <f>IF(COUNT(U182,U258)&lt;2,"",ABS(U182-U258))</f>
        <v>0</v>
      </c>
      <c r="V2" s="12">
        <f>IF(COUNT(V182,V258)&lt;2,"",ABS(V182-V258))</f>
        <v>0</v>
      </c>
      <c r="W2" s="12">
        <f>IF(COUNT(W182,W258)&lt;2,"",ABS(W182-W258))</f>
        <v>0</v>
      </c>
      <c r="X2" s="12">
        <f>IF(COUNT(X182,X258)&lt;2,"",ABS(X182-X258))</f>
        <v>0</v>
      </c>
      <c r="Y2" s="12">
        <f>IF(COUNT(Y182,Y258)&lt;2,"",ABS(Y182-Y258))</f>
        <v>0</v>
      </c>
      <c r="Z2" s="12">
        <f>IF(COUNT(Z182,Z258)&lt;2,"",ABS(Z182-Z258))</f>
        <v>0</v>
      </c>
      <c r="AA2" s="12">
        <f>IF(COUNT(AA182,AA258)&lt;2,"",ABS(AA182-AA258))</f>
        <v>0</v>
      </c>
      <c r="AB2" s="12">
        <f>IF(COUNT(AB182,AB258)&lt;2,"",ABS(AB182-AB258))</f>
        <v>0</v>
      </c>
      <c r="AC2" s="12">
        <f>IF(COUNT(AC182,AC258)&lt;2,"",ABS(AC182-AC258))</f>
        <v>0</v>
      </c>
      <c r="AD2" s="12">
        <f>IF(COUNT(AD182,AD258)&lt;2,"",ABS(AD182-AD258))</f>
        <v>0</v>
      </c>
      <c r="AE2" s="12">
        <f>IF(COUNT(AE182,AE258)&lt;2,"",ABS(AE182-AE258))</f>
        <v>0</v>
      </c>
      <c r="AF2" s="12">
        <f>IF(COUNT(AF182,AF258)&lt;2,"",ABS(AF182-AF258))</f>
        <v>0</v>
      </c>
      <c r="AG2" s="12">
        <f>IF(COUNT(AG182,AG258)&lt;2,"",ABS(AG182-AG258))</f>
        <v>0</v>
      </c>
      <c r="AH2" s="12">
        <f>IF(COUNT(AH182,AH258)&lt;2,"",ABS(AH182-AH258))</f>
        <v>0</v>
      </c>
      <c r="AI2" s="12">
        <f>IF(COUNT(AI182,AI258)&lt;2,"",ABS(AI182-AI258))</f>
        <v>0</v>
      </c>
      <c r="AJ2" s="12">
        <f>IF(COUNT(AJ182,AJ258)&lt;2,"",ABS(AJ182-AJ258))</f>
        <v>0</v>
      </c>
      <c r="AK2" s="12">
        <f>IF(COUNT(AK182,AK258)&lt;2,"",ABS(AK182-AK258))</f>
        <v>0</v>
      </c>
      <c r="AL2" s="12">
        <f>IF(COUNT(AL182,AL258)&lt;2,"",ABS(AL182-AL258))</f>
        <v>0</v>
      </c>
      <c r="AM2" s="12">
        <f>IF(COUNT(AM182,AM258)&lt;2,"",ABS(AM182-AM258))</f>
        <v>0</v>
      </c>
      <c r="AN2" s="12">
        <f>IF(COUNT(AN182,AN258)&lt;2,"",ABS(AN182-AN258))</f>
        <v>0</v>
      </c>
      <c r="AO2" s="12">
        <f>IF(COUNT(AO182,AO258)&lt;2,"",ABS(AO182-AO258))</f>
        <v>0</v>
      </c>
      <c r="AP2" s="12">
        <f>IF(COUNT(AP182,AP258)&lt;2,"",ABS(AP182-AP258))</f>
        <v>0</v>
      </c>
      <c r="AQ2" s="12">
        <f>IF(COUNT(AQ182,AQ258)&lt;2,"",ABS(AQ182-AQ258))</f>
        <v>0</v>
      </c>
      <c r="AR2" s="12">
        <f>IF(COUNT(AR182,AR258)&lt;2,"",ABS(AR182-AR258))</f>
        <v>0</v>
      </c>
      <c r="AS2" s="12">
        <f>IF(COUNT(AS182,AS258)&lt;2,"",ABS(AS182-AS258))</f>
        <v>0</v>
      </c>
      <c r="AT2" s="12">
        <f>IF(COUNT(AT182,AT258)&lt;2,"",ABS(AT182-AT258))</f>
        <v>0</v>
      </c>
      <c r="AU2" s="12">
        <f>IF(COUNT(AU182,AU258)&lt;2,"",ABS(AU182-AU258))</f>
        <v>0</v>
      </c>
      <c r="AV2" s="12">
        <f>IF(COUNT(AV182,AV258)&lt;2,"",ABS(AV182-AV258))</f>
        <v>0</v>
      </c>
      <c r="AW2" s="12">
        <f>IF(COUNT(AW182,AW258)&lt;2,"",ABS(AW182-AW258))</f>
        <v>0</v>
      </c>
      <c r="AX2" s="12">
        <f>IF(COUNT(AX182,AX258)&lt;2,"",ABS(AX182-AX258))</f>
        <v>0</v>
      </c>
      <c r="AY2" s="12">
        <f>IF(COUNT(AY182,AY258)&lt;2,"",ABS(AY182-AY258))</f>
        <v>0</v>
      </c>
      <c r="AZ2" s="12">
        <f>IF(COUNT(AZ182,AZ258)&lt;2,"",ABS(AZ182-AZ258))</f>
        <v>0</v>
      </c>
      <c r="BA2" s="12">
        <f>IF(COUNT(BA182,BA258)&lt;2,"",ABS(BA182-BA258))</f>
        <v>0</v>
      </c>
      <c r="BB2" s="12">
        <f>IF(COUNT(BB182,BB258)&lt;2,"",ABS(BB182-BB258))</f>
        <v>0</v>
      </c>
      <c r="BC2" s="12">
        <f>IF(COUNT(BC182,BC258)&lt;2,"",ABS(BC182-BC258))</f>
        <v>0</v>
      </c>
      <c r="BD2" s="12">
        <f>IF(COUNT(BD182,BD258)&lt;2,"",ABS(BD182-BD258))</f>
        <v>0</v>
      </c>
      <c r="BE2" s="12">
        <f>IF(COUNT(BE182,BE258)&lt;2,"",ABS(BE182-BE258))</f>
        <v>0</v>
      </c>
      <c r="BF2" s="12">
        <f>IF(COUNT(BF182,BF258)&lt;2,"",ABS(BF182-BF258))</f>
        <v>0</v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2" t="n"/>
      <c r="CX2" s="12" t="n"/>
      <c r="CY2" s="12" t="n"/>
    </row>
    <row r="3">
      <c r="C3" s="18" t="inlineStr">
        <is>
          <t>IS</t>
        </is>
      </c>
      <c r="D3" s="12" t="n"/>
      <c r="E3" s="12" t="n"/>
      <c r="F3" s="12" t="n"/>
      <c r="G3" s="12" t="n"/>
      <c r="H3" s="12" t="n"/>
      <c r="I3" s="12">
        <f>IF(COUNT(I122,I4)&lt;2,"",ABS(I122-I4))</f>
        <v>0</v>
      </c>
      <c r="J3" s="12">
        <f>IF(COUNT(J122,J4)&lt;2,"",ABS(J122-J4))</f>
        <v>0</v>
      </c>
      <c r="K3" s="12">
        <f>IF(COUNT(K122,K4)&lt;2,"",ABS(K122-K4))</f>
        <v>0</v>
      </c>
      <c r="L3" s="12">
        <f>IF(COUNT(L122,L4)&lt;2,"",ABS(L122-L4))</f>
        <v>0</v>
      </c>
      <c r="M3" s="12">
        <f>IF(COUNT(M122,M4)&lt;2,"",ABS(M122-M4))</f>
        <v>0</v>
      </c>
      <c r="N3" s="12">
        <f>IF(COUNT(N122,N4)&lt;2,"",ABS(N122-N4))</f>
        <v>0</v>
      </c>
      <c r="O3" s="12">
        <f>IF(COUNT(O122,O4)&lt;2,"",ABS(O122-O4))</f>
        <v>0</v>
      </c>
      <c r="P3" s="12">
        <f>IF(COUNT(P122,P4)&lt;2,"",ABS(P122-P4))</f>
        <v>0</v>
      </c>
      <c r="Q3" s="12">
        <f>IF(COUNT(Q122,Q4)&lt;2,"",ABS(Q122-Q4))</f>
        <v>0</v>
      </c>
      <c r="R3" s="12">
        <f>IF(COUNT(R122,R4)&lt;2,"",ABS(R122-R4))</f>
        <v>0</v>
      </c>
      <c r="S3" s="12">
        <f>IF(COUNT(S122,S4)&lt;2,"",ABS(S122-S4))</f>
        <v>0</v>
      </c>
      <c r="T3" s="12">
        <f>IF(COUNT(T122,T4)&lt;2,"",ABS(T122-T4))</f>
        <v>0</v>
      </c>
      <c r="U3" s="12">
        <f>IF(COUNT(U122,U4)&lt;2,"",ABS(U122-U4))</f>
        <v>0</v>
      </c>
      <c r="V3" s="12">
        <f>IF(COUNT(V122,V4)&lt;2,"",ABS(V122-V4))</f>
        <v>0</v>
      </c>
      <c r="W3" s="12">
        <f>IF(COUNT(W122,W4)&lt;2,"",ABS(W122-W4))</f>
        <v>0</v>
      </c>
      <c r="X3" s="12">
        <f>IF(COUNT(X122,X4)&lt;2,"",ABS(X122-X4))</f>
        <v>0</v>
      </c>
      <c r="Y3" s="12">
        <f>IF(COUNT(Y122,Y4)&lt;2,"",ABS(Y122-Y4))</f>
        <v>0</v>
      </c>
      <c r="Z3" s="12">
        <f>IF(COUNT(Z122,Z4)&lt;2,"",ABS(Z122-Z4))</f>
        <v>0</v>
      </c>
      <c r="AA3" s="12">
        <f>IF(COUNT(AA122,AA4)&lt;2,"",ABS(AA122-AA4))</f>
        <v>0</v>
      </c>
      <c r="AB3" s="12">
        <f>IF(COUNT(AB122,AB4)&lt;2,"",ABS(AB122-AB4))</f>
        <v>0</v>
      </c>
      <c r="AC3" s="12">
        <f>IF(COUNT(AC122,AC4)&lt;2,"",ABS(AC122-AC4))</f>
        <v>0</v>
      </c>
      <c r="AD3" s="12">
        <f>IF(COUNT(AD122,AD4)&lt;2,"",ABS(AD122-AD4))</f>
        <v>0</v>
      </c>
      <c r="AE3" s="12">
        <f>IF(COUNT(AE122,AE4)&lt;2,"",ABS(AE122-AE4))</f>
        <v>0</v>
      </c>
      <c r="AF3" s="12">
        <f>IF(COUNT(AF122,AF4)&lt;2,"",ABS(AF122-AF4))</f>
        <v>0</v>
      </c>
      <c r="AG3" s="12">
        <f>IF(COUNT(AG122,AG4)&lt;2,"",ABS(AG122-AG4))</f>
        <v>0</v>
      </c>
      <c r="AH3" s="12">
        <f>IF(COUNT(AH122,AH4)&lt;2,"",ABS(AH122-AH4))</f>
        <v>0</v>
      </c>
      <c r="AI3" s="12">
        <f>IF(COUNT(AI122,AI4)&lt;2,"",ABS(AI122-AI4))</f>
        <v>0</v>
      </c>
      <c r="AJ3" s="12">
        <f>ABS(AJ122-AJ4)</f>
        <v>2873.62059180864</v>
      </c>
      <c r="AK3" s="12">
        <f>ABS(AK122-AK4)</f>
        <v>3000.06839061082</v>
      </c>
      <c r="AL3" s="12">
        <f>ABS(AL122-AL4)</f>
        <v>10147.6889824195</v>
      </c>
      <c r="AM3" s="12">
        <f>ABS(AM122-AM4)</f>
        <v>2923.39761708338</v>
      </c>
      <c r="AN3" s="12">
        <f>ABS(AN122-AN4)</f>
        <v>3149.16355636266</v>
      </c>
      <c r="AO3" s="12">
        <f>ABS(AO122-AO4)</f>
        <v>3445.33835253588</v>
      </c>
      <c r="AP3" s="12">
        <f>ABS(AP122-AP4)</f>
        <v>3596.94342247752</v>
      </c>
      <c r="AQ3" s="12">
        <f>ABS(AQ122-AQ4)</f>
        <v>13114.8429484594</v>
      </c>
      <c r="AR3" s="12">
        <f>ABS(AR122-AR4)</f>
        <v>3490.401718476</v>
      </c>
      <c r="AS3" s="12">
        <f>ABS(AS122-AS4)</f>
        <v>3759.95582149258</v>
      </c>
      <c r="AT3" s="12">
        <f>ABS(AT122-AT4)</f>
        <v>4113.57484734499</v>
      </c>
      <c r="AU3" s="12">
        <f>ABS(AU122-AU4)</f>
        <v>4294.58429797933</v>
      </c>
      <c r="AV3" s="12">
        <f>ABS(AV122-AV4)</f>
        <v>15658.5166852929</v>
      </c>
      <c r="AW3" s="12">
        <f>ABS(AW122-AW4)</f>
        <v>4149.92641613756</v>
      </c>
      <c r="AX3" s="12">
        <f>ABS(AX122-AX4)</f>
        <v>4470.41379349744</v>
      </c>
      <c r="AY3" s="12">
        <f>ABS(AY122-AY4)</f>
        <v>4890.85048101846</v>
      </c>
      <c r="AZ3" s="12">
        <f>ABS(AZ122-AZ4)</f>
        <v>5106.06235671224</v>
      </c>
      <c r="BA3" s="12">
        <f>ABS(BA122-BA4)</f>
        <v>18617.2530473657</v>
      </c>
      <c r="BB3" s="12">
        <f>ABS(BB122-BB4)</f>
        <v>4913.32118509615</v>
      </c>
      <c r="BC3" s="12">
        <f>ABS(BC122-BC4)</f>
        <v>5292.76343607558</v>
      </c>
      <c r="BD3" s="12">
        <f>ABS(BD122-BD4)</f>
        <v>5790.54105347038</v>
      </c>
      <c r="BE3" s="12">
        <f>ABS(BE122-BE4)</f>
        <v>6045.34197331769</v>
      </c>
      <c r="BF3" s="12">
        <f>ABS(BF122-BF4)</f>
        <v>22041.9676479598</v>
      </c>
      <c r="BG3" s="12" t="n"/>
      <c r="BH3" s="12" t="n"/>
      <c r="BI3" s="12" t="n"/>
      <c r="BJ3" s="12" t="n"/>
      <c r="BK3" s="12" t="n"/>
      <c r="BL3" s="12" t="n"/>
      <c r="BM3" s="12" t="n"/>
      <c r="BN3" s="12" t="n"/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n"/>
      <c r="CU3" s="12" t="n"/>
      <c r="CV3" s="12" t="n"/>
      <c r="CW3" s="12" t="n"/>
      <c r="CX3" s="12" t="n"/>
      <c r="CY3" s="12" t="n"/>
    </row>
    <row r="4">
      <c r="C4" s="17" t="inlineStr">
        <is>
          <t>Net Income reportado (lucro líquido) — base do check de DRE</t>
        </is>
      </c>
      <c r="H4" s="11" t="n"/>
      <c r="I4">
        <f>IF(ISNUMBER('Inputs (2)'!D50),'Inputs (2)'!D50,"")</f>
        <v>-2802</v>
      </c>
      <c r="J4">
        <f>IF(ISNUMBER('Inputs (2)'!E50),'Inputs (2)'!E50,"")</f>
        <v>-1131</v>
      </c>
      <c r="K4">
        <f>IF(ISNUMBER('Inputs (2)'!F50),'Inputs (2)'!F50,"")</f>
        <v>1257</v>
      </c>
      <c r="L4">
        <f>IF(ISNUMBER('Inputs (2)'!G50),'Inputs (2)'!G50,"")</f>
        <v>-3843</v>
      </c>
      <c r="M4" s="11">
        <f>IF(COUNT(I4:L4)=4,SUM(I4:L4),"")</f>
        <v>-6519</v>
      </c>
      <c r="N4">
        <f>IF(ISNUMBER('Inputs (2)'!I50),'Inputs (2)'!I50,"")</f>
        <v>-1136</v>
      </c>
      <c r="O4">
        <f>IF(ISNUMBER('Inputs (2)'!J50),'Inputs (2)'!J50,"")</f>
        <v>-882</v>
      </c>
      <c r="P4">
        <f>IF(ISNUMBER('Inputs (2)'!K50),'Inputs (2)'!K50,"")</f>
        <v>161</v>
      </c>
      <c r="Q4">
        <f>IF(ISNUMBER('Inputs (2)'!L50),'Inputs (2)'!L50,"")</f>
        <v>2197</v>
      </c>
      <c r="R4" s="11">
        <f>IF(COUNT(N4:Q4)=4,SUM(N4:Q4),"")</f>
        <v>340</v>
      </c>
      <c r="S4">
        <f>IF(ISNUMBER('Inputs (2)'!N50),'Inputs (2)'!N50,"")</f>
        <v>7508</v>
      </c>
      <c r="T4">
        <f>IF(ISNUMBER('Inputs (2)'!O50),'Inputs (2)'!O50,"")</f>
        <v>33</v>
      </c>
      <c r="U4">
        <f>IF(ISNUMBER('Inputs (2)'!P50),'Inputs (2)'!P50,"")</f>
        <v>352</v>
      </c>
      <c r="V4">
        <f>IF(ISNUMBER('Inputs (2)'!Q50),'Inputs (2)'!Q50,"")</f>
        <v>1589</v>
      </c>
      <c r="W4" s="11">
        <f>IF(COUNT(S4:V4)=4,SUM(S4:V4),"")</f>
        <v>9482</v>
      </c>
      <c r="X4">
        <f>IF(ISNUMBER('Inputs (2)'!S50),'Inputs (2)'!S50,"")</f>
        <v>1539</v>
      </c>
      <c r="Y4">
        <f>IF(ISNUMBER('Inputs (2)'!T50),'Inputs (2)'!T50,"")</f>
        <v>1266</v>
      </c>
      <c r="Z4">
        <f>IF(ISNUMBER('Inputs (2)'!U50),'Inputs (2)'!U50,"")</f>
        <v>1852</v>
      </c>
      <c r="AA4">
        <f>IF(ISNUMBER('Inputs (2)'!V50),'Inputs (2)'!V50,"")</f>
        <v>1899</v>
      </c>
      <c r="AB4" s="11">
        <f>IF(COUNT(X4:AA4)=4,SUM(X4:AA4),"")</f>
        <v>6556</v>
      </c>
      <c r="AC4">
        <f>IF(ISNUMBER('Inputs (2)'!X50),'Inputs (2)'!X50,"")</f>
        <v>1978</v>
      </c>
      <c r="AD4">
        <f>IF(ISNUMBER('Inputs (2)'!Y50),'Inputs (2)'!Y50,"")</f>
        <v>2028</v>
      </c>
      <c r="AE4">
        <f>IF(ISNUMBER('Inputs (2)'!Z50),'Inputs (2)'!Z50,"")</f>
        <v>2157</v>
      </c>
      <c r="AF4">
        <f>IF(ISNUMBER('Inputs (2)'!AA50),'Inputs (2)'!AA50,"")</f>
        <v>2541</v>
      </c>
      <c r="AG4" s="11">
        <f>IF(COUNT(AC4:AF4)=4,SUM(AC4:AF4),"")</f>
        <v>8704</v>
      </c>
      <c r="AH4" s="11">
        <f>IF(ISNUMBER('Inputs (2)'!AC50),'Inputs (2)'!AC50,"")</f>
        <v>1904</v>
      </c>
      <c r="AI4" s="11">
        <f>IF(ISNUMBER('Inputs (2)'!AD50),'Inputs (2)'!AD50,"")</f>
        <v>2370</v>
      </c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</row>
    <row r="5">
      <c r="B5" s="19" t="n">
        <v>45930</v>
      </c>
      <c r="D5" s="20" t="n"/>
      <c r="E5" s="21" t="n"/>
      <c r="F5" s="21" t="n"/>
      <c r="G5" s="21" t="n"/>
      <c r="H5" s="266" t="n">
        <v>44196</v>
      </c>
      <c r="I5" s="20" t="n">
        <v>44286</v>
      </c>
      <c r="J5" s="21">
        <f>DATE(YEAR(I5),MONTH(I5)+3,DAY(I5)-1)</f>
        <v>44377.0</v>
      </c>
      <c r="K5" s="21">
        <f>DATE(YEAR(J5),MONTH(J5)+3,DAY(J5))</f>
        <v>44469.0</v>
      </c>
      <c r="L5" s="21">
        <f>DATE(YEAR(K5),MONTH(K5)+3,DAY(K5)+1)</f>
        <v>44561.0</v>
      </c>
      <c r="M5" s="22">
        <f>L5</f>
        <v>44561.0</v>
      </c>
      <c r="N5" s="21">
        <f>DATE(YEAR(M5),MONTH(M5)+3,DAY(M5))</f>
        <v>44651.0</v>
      </c>
      <c r="O5" s="21">
        <f>DATE(YEAR(N5),MONTH(N5)+3,DAY(N5)-1)</f>
        <v>44742.0</v>
      </c>
      <c r="P5" s="21">
        <f>DATE(YEAR(O5),MONTH(O5)+3,DAY(O5))</f>
        <v>44834.0</v>
      </c>
      <c r="Q5" s="21">
        <f>DATE(YEAR(P5),MONTH(P5)+3,DAY(P5)+1)</f>
        <v>44926.0</v>
      </c>
      <c r="R5" s="22">
        <f>Q5</f>
        <v>44926.0</v>
      </c>
      <c r="S5" s="21">
        <f>DATE(YEAR(R5),MONTH(R5)+3,DAY(R5))</f>
        <v>45016.0</v>
      </c>
      <c r="T5" s="21">
        <f>DATE(YEAR(S5),MONTH(S5)+3,DAY(S5))-1</f>
        <v>45107.0</v>
      </c>
      <c r="U5" s="21">
        <f>DATE(YEAR(T5),MONTH(T5)+3,DAY(T5))</f>
        <v>45199.0</v>
      </c>
      <c r="V5" s="21">
        <f>DATE(YEAR(U5),MONTH(U5)+3,DAY(U5))+1</f>
        <v>45291.0</v>
      </c>
      <c r="W5" s="22">
        <f>V5</f>
        <v>45291.0</v>
      </c>
      <c r="X5" s="21">
        <f>DATE(YEAR(W5),MONTH(W5)+3,DAY(W5))</f>
        <v>45382.0</v>
      </c>
      <c r="Y5" s="21">
        <f>DATE(YEAR(X5),MONTH(X5)+3,DAY(X5))-1</f>
        <v>45473.0</v>
      </c>
      <c r="Z5" s="21">
        <f>DATE(YEAR(Y5),MONTH(Y5)+3,DAY(Y5))</f>
        <v>45565.0</v>
      </c>
      <c r="AA5" s="21">
        <f>DATE(YEAR(Z5),MONTH(Z5)+3,DAY(Z5))+1</f>
        <v>45657.0</v>
      </c>
      <c r="AB5" s="22">
        <f>AA5</f>
        <v>45657.0</v>
      </c>
      <c r="AC5" s="21">
        <f>DATE(YEAR(AB5),MONTH(AB5)+3,DAY(AB5))</f>
        <v>45747.0</v>
      </c>
      <c r="AD5" s="21">
        <f>DATE(YEAR(AC5),MONTH(AC5)+3,DAY(AC5))-1</f>
        <v>45838.0</v>
      </c>
      <c r="AE5" s="21">
        <f>DATE(YEAR(AD5),MONTH(AD5)+3,DAY(AD5))</f>
        <v>45930.0</v>
      </c>
      <c r="AF5" s="21">
        <f>DATE(YEAR(AE5),MONTH(AE5)+3,DAY(AE5))+1</f>
        <v>46022.0</v>
      </c>
      <c r="AG5" s="22">
        <f>AF5</f>
        <v>46022.0</v>
      </c>
      <c r="AH5" s="21">
        <f>DATE(YEAR(AG5),MONTH(AG5)+3,DAY(AG5))</f>
        <v>46112.0</v>
      </c>
      <c r="AI5" s="21">
        <f>DATE(YEAR(AH5),MONTH(AH5)+3,DAY(AH5))-1</f>
        <v>46203.0</v>
      </c>
      <c r="AJ5" s="21">
        <f>DATE(YEAR(AI5),MONTH(AI5)+3,DAY(AI5))</f>
        <v>46295.0</v>
      </c>
      <c r="AK5" s="21">
        <f>DATE(YEAR(AJ5),MONTH(AJ5)+3,DAY(AJ5))+1</f>
        <v>46387.0</v>
      </c>
      <c r="AL5" s="22">
        <f>AK5</f>
        <v>46387.0</v>
      </c>
      <c r="AM5" s="21">
        <f>DATE(YEAR(AL5),MONTH(AL5)+3,DAY(AL5))</f>
        <v>46477.0</v>
      </c>
      <c r="AN5" s="21">
        <f>DATE(YEAR(AM5),MONTH(AM5)+3,DAY(AM5))-1</f>
        <v>46568.0</v>
      </c>
      <c r="AO5" s="21">
        <f>DATE(YEAR(AN5),MONTH(AN5)+3,DAY(AN5))</f>
        <v>46660.0</v>
      </c>
      <c r="AP5" s="21">
        <f>DATE(YEAR(AO5),MONTH(AO5)+3,DAY(AO5))+1</f>
        <v>46752.0</v>
      </c>
      <c r="AQ5" s="22">
        <f>AP5</f>
        <v>46752.0</v>
      </c>
      <c r="AR5" s="21">
        <f>DATE(YEAR(AQ5),MONTH(AQ5)+3,DAY(AQ5))</f>
        <v>46843.0</v>
      </c>
      <c r="AS5" s="21">
        <f>DATE(YEAR(AR5),MONTH(AR5)+3,DAY(AR5))-1</f>
        <v>46934.0</v>
      </c>
      <c r="AT5" s="21">
        <f>DATE(YEAR(AS5),MONTH(AS5)+3,DAY(AS5))</f>
        <v>47026.0</v>
      </c>
      <c r="AU5" s="21">
        <f>DATE(YEAR(AT5),MONTH(AT5)+3,DAY(AT5))+1</f>
        <v>47118.0</v>
      </c>
      <c r="AV5" s="22">
        <f>AU5</f>
        <v>47118.0</v>
      </c>
      <c r="AW5" s="21">
        <f>DATE(YEAR(AV5),MONTH(AV5)+3,DAY(AV5))</f>
        <v>47208.0</v>
      </c>
      <c r="AX5" s="21">
        <f>DATE(YEAR(AW5),MONTH(AW5)+3,DAY(AW5))-1</f>
        <v>47299.0</v>
      </c>
      <c r="AY5" s="21">
        <f>DATE(YEAR(AX5),MONTH(AX5)+3,DAY(AX5))</f>
        <v>47391.0</v>
      </c>
      <c r="AZ5" s="21">
        <f>DATE(YEAR(AY5),MONTH(AY5)+3,DAY(AY5))+1</f>
        <v>47483.0</v>
      </c>
      <c r="BA5" s="22">
        <f>AZ5</f>
        <v>47483.0</v>
      </c>
      <c r="BB5" s="21">
        <f>DATE(YEAR(BA5),MONTH(BA5)+3,DAY(BA5))</f>
        <v>47573.0</v>
      </c>
      <c r="BC5" s="21">
        <f>DATE(YEAR(BB5),MONTH(BB5)+3,DAY(BB5))-1</f>
        <v>47664.0</v>
      </c>
      <c r="BD5" s="21">
        <f>DATE(YEAR(BC5),MONTH(BC5)+3,DAY(BC5))</f>
        <v>47756.0</v>
      </c>
      <c r="BE5" s="21">
        <f>DATE(YEAR(BD5),MONTH(BD5)+3,DAY(BD5))+1</f>
        <v>47848.0</v>
      </c>
      <c r="BF5" s="22">
        <f>BE5</f>
        <v>47848.0</v>
      </c>
      <c r="BG5" s="21" t="n"/>
      <c r="BH5" s="21" t="n"/>
      <c r="BI5" s="21" t="n"/>
      <c r="BJ5" s="21" t="n"/>
      <c r="BK5" s="22" t="n"/>
      <c r="BL5" s="21" t="n"/>
      <c r="BM5" s="21" t="n"/>
      <c r="BN5" s="21" t="n"/>
      <c r="BO5" s="21" t="n"/>
      <c r="BP5" s="22" t="n"/>
      <c r="BQ5" s="21" t="n"/>
      <c r="BR5" s="21" t="n"/>
      <c r="BS5" s="21" t="n"/>
      <c r="BT5" s="21" t="n"/>
      <c r="BU5" s="22" t="n"/>
      <c r="BV5" s="21" t="n"/>
      <c r="BW5" s="21" t="n"/>
      <c r="BX5" s="21" t="n"/>
      <c r="BY5" s="21" t="n"/>
      <c r="BZ5" s="22" t="n"/>
      <c r="CA5" s="21" t="n"/>
      <c r="CB5" s="21" t="n"/>
      <c r="CC5" s="21" t="n"/>
      <c r="CD5" s="21" t="n"/>
      <c r="CE5" s="22" t="n"/>
      <c r="CF5" s="21" t="n"/>
      <c r="CG5" s="21" t="n"/>
      <c r="CH5" s="21" t="n"/>
      <c r="CI5" s="21" t="n"/>
      <c r="CJ5" s="22" t="n"/>
      <c r="CK5" s="21" t="n"/>
      <c r="CL5" s="21" t="n"/>
      <c r="CM5" s="21" t="n"/>
      <c r="CN5" s="21" t="n"/>
      <c r="CO5" s="22" t="n"/>
      <c r="CP5" s="21" t="n"/>
      <c r="CQ5" s="21" t="n"/>
      <c r="CR5" s="21" t="n"/>
      <c r="CS5" s="21" t="n"/>
      <c r="CT5" s="22" t="n"/>
      <c r="CU5" s="21" t="n"/>
      <c r="CV5" s="21" t="n"/>
      <c r="CW5" s="21" t="n"/>
      <c r="CX5" s="21" t="n"/>
      <c r="CY5" s="22" t="n"/>
    </row>
    <row r="6">
      <c r="B6" s="23" t="n"/>
      <c r="D6" s="24" t="n"/>
      <c r="E6" s="24" t="n"/>
      <c r="F6" s="24" t="n"/>
      <c r="G6" s="24" t="n"/>
      <c r="H6" s="24" t="n"/>
      <c r="I6" s="24">
        <f>YEAR(I5)</f>
        <v>2021</v>
      </c>
      <c r="J6" s="24">
        <f>YEAR(J5)</f>
        <v>2021</v>
      </c>
      <c r="K6" s="24">
        <f>YEAR(K5)</f>
        <v>2021</v>
      </c>
      <c r="L6" s="24">
        <f>YEAR(L5)</f>
        <v>2021</v>
      </c>
      <c r="M6" s="24">
        <f>YEAR(M5)</f>
        <v>2021</v>
      </c>
      <c r="N6" s="24">
        <f>YEAR(N5)</f>
        <v>2022</v>
      </c>
      <c r="O6" s="24">
        <f>YEAR(O5)</f>
        <v>2022</v>
      </c>
      <c r="P6" s="24">
        <f>YEAR(P5)</f>
        <v>2022</v>
      </c>
      <c r="Q6" s="24">
        <f>YEAR(Q5)</f>
        <v>2022</v>
      </c>
      <c r="R6" s="24">
        <f>YEAR(R5)</f>
        <v>2022</v>
      </c>
      <c r="S6" s="24">
        <f>YEAR(S5)</f>
        <v>2023</v>
      </c>
      <c r="T6" s="24">
        <f>YEAR(T5)</f>
        <v>2023</v>
      </c>
      <c r="U6" s="24">
        <f>YEAR(U5)</f>
        <v>2023</v>
      </c>
      <c r="V6" s="24">
        <f>YEAR(V5)</f>
        <v>2023</v>
      </c>
      <c r="W6" s="24">
        <f>YEAR(W5)</f>
        <v>2023</v>
      </c>
      <c r="X6" s="24">
        <f>YEAR(X5)</f>
        <v>2024</v>
      </c>
      <c r="Y6" s="24">
        <f>YEAR(Y5)</f>
        <v>2024</v>
      </c>
      <c r="Z6" s="24">
        <f>YEAR(Z5)</f>
        <v>2024</v>
      </c>
      <c r="AA6" s="24">
        <f>YEAR(AA5)</f>
        <v>2024</v>
      </c>
      <c r="AB6" s="24">
        <f>YEAR(AB5)</f>
        <v>2024</v>
      </c>
      <c r="AC6" s="24">
        <f>YEAR(AC5)</f>
        <v>2025</v>
      </c>
      <c r="AD6" s="24">
        <f>YEAR(AD5)</f>
        <v>2025</v>
      </c>
      <c r="AE6" s="24">
        <f>YEAR(AE5)</f>
        <v>2025</v>
      </c>
      <c r="AF6" s="24">
        <f>YEAR(AF5)</f>
        <v>2025</v>
      </c>
      <c r="AG6" s="24">
        <f>YEAR(AG5)</f>
        <v>2025</v>
      </c>
      <c r="AH6" s="24">
        <f>YEAR(AH5)</f>
        <v>2026</v>
      </c>
      <c r="AI6" s="24">
        <f>YEAR(AI5)</f>
        <v>2026</v>
      </c>
      <c r="AJ6" s="24">
        <f>YEAR(AJ5)</f>
        <v>2026</v>
      </c>
      <c r="AK6" s="24">
        <f>YEAR(AK5)</f>
        <v>2026</v>
      </c>
      <c r="AL6" s="24">
        <f>YEAR(AL5)</f>
        <v>2026</v>
      </c>
      <c r="AM6" s="24">
        <f>YEAR(AM5)</f>
        <v>2027</v>
      </c>
      <c r="AN6" s="24">
        <f>YEAR(AN5)</f>
        <v>2027</v>
      </c>
      <c r="AO6" s="24">
        <f>YEAR(AO5)</f>
        <v>2027</v>
      </c>
      <c r="AP6" s="24">
        <f>YEAR(AP5)</f>
        <v>2027</v>
      </c>
      <c r="AQ6" s="24">
        <f>YEAR(AQ5)</f>
        <v>2027</v>
      </c>
      <c r="AR6" s="24">
        <f>YEAR(AR5)</f>
        <v>2028</v>
      </c>
      <c r="AS6" s="24">
        <f>YEAR(AS5)</f>
        <v>2028</v>
      </c>
      <c r="AT6" s="24">
        <f>YEAR(AT5)</f>
        <v>2028</v>
      </c>
      <c r="AU6" s="24">
        <f>YEAR(AU5)</f>
        <v>2028</v>
      </c>
      <c r="AV6" s="24">
        <f>YEAR(AV5)</f>
        <v>2028</v>
      </c>
      <c r="AW6" s="24">
        <f>YEAR(AW5)</f>
        <v>2029</v>
      </c>
      <c r="AX6" s="24">
        <f>YEAR(AX5)</f>
        <v>2029</v>
      </c>
      <c r="AY6" s="24">
        <f>YEAR(AY5)</f>
        <v>2029</v>
      </c>
      <c r="AZ6" s="24">
        <f>YEAR(AZ5)</f>
        <v>2029</v>
      </c>
      <c r="BA6" s="24">
        <f>YEAR(BA5)</f>
        <v>2029</v>
      </c>
      <c r="BB6" s="24">
        <f>YEAR(BB5)</f>
        <v>2030</v>
      </c>
      <c r="BC6" s="24">
        <f>YEAR(BC5)</f>
        <v>2030</v>
      </c>
      <c r="BD6" s="24">
        <f>YEAR(BD5)</f>
        <v>2030</v>
      </c>
      <c r="BE6" s="24">
        <f>YEAR(BE5)</f>
        <v>2030</v>
      </c>
      <c r="BF6" s="24">
        <f>YEAR(BF5)</f>
        <v>2030</v>
      </c>
      <c r="BG6" s="24" t="n"/>
      <c r="BH6" s="24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</row>
    <row r="7">
      <c r="B7" s="4" t="n"/>
      <c r="D7" s="25" t="n"/>
      <c r="E7" s="25" t="n"/>
      <c r="F7" s="25" t="n"/>
      <c r="G7" s="25" t="n"/>
      <c r="H7" s="26" t="n">
        <v>2020</v>
      </c>
      <c r="I7" s="25" t="str">
        <f>"1Q"&amp;RIGHT(I6,2)</f>
        <v>1Q21</v>
      </c>
      <c r="J7" s="25" t="str">
        <f>"2Q"&amp;RIGHT(J6,2)</f>
        <v>2Q21</v>
      </c>
      <c r="K7" s="25" t="str">
        <f>"3Q"&amp;RIGHT(K6,2)</f>
        <v>3Q21</v>
      </c>
      <c r="L7" s="25" t="str">
        <f>"4Q"&amp;RIGHT(L6,2)</f>
        <v>4Q21</v>
      </c>
      <c r="M7" s="26">
        <f>H7+1</f>
        <v>2021</v>
      </c>
      <c r="N7" s="25" t="str">
        <f>"1Q"&amp;RIGHT(N6,2)</f>
        <v>1Q22</v>
      </c>
      <c r="O7" s="25" t="str">
        <f>"2Q"&amp;RIGHT(O6,2)</f>
        <v>2Q22</v>
      </c>
      <c r="P7" s="25" t="str">
        <f>"3Q"&amp;RIGHT(P6,2)</f>
        <v>3Q22</v>
      </c>
      <c r="Q7" s="25" t="str">
        <f>"4Q"&amp;RIGHT(Q6,2)</f>
        <v>4Q22</v>
      </c>
      <c r="R7" s="26">
        <f>M7+1</f>
        <v>2022</v>
      </c>
      <c r="S7" s="25" t="str">
        <f>"1Q"&amp;RIGHT(S6,2)</f>
        <v>1Q23</v>
      </c>
      <c r="T7" s="25" t="str">
        <f>"2Q"&amp;RIGHT(T6,2)</f>
        <v>2Q23</v>
      </c>
      <c r="U7" s="25" t="str">
        <f>"3Q"&amp;RIGHT(U6,2)</f>
        <v>3Q23</v>
      </c>
      <c r="V7" s="25" t="str">
        <f>"4Q"&amp;RIGHT(V6,2)</f>
        <v>4Q23</v>
      </c>
      <c r="W7" s="26">
        <f>R7+1</f>
        <v>2023</v>
      </c>
      <c r="X7" s="25" t="str">
        <f>"1Q"&amp;RIGHT(X6,2)</f>
        <v>1Q24</v>
      </c>
      <c r="Y7" s="25" t="str">
        <f>"2Q"&amp;RIGHT(Y6,2)</f>
        <v>2Q24</v>
      </c>
      <c r="Z7" s="25" t="str">
        <f>"3Q"&amp;RIGHT(Z6,2)</f>
        <v>3Q24</v>
      </c>
      <c r="AA7" s="25" t="str">
        <f>"4Q"&amp;RIGHT(AA6,2)</f>
        <v>4Q24</v>
      </c>
      <c r="AB7" s="26">
        <f>W7+1</f>
        <v>2024</v>
      </c>
      <c r="AC7" s="25" t="str">
        <f>"1Q"&amp;RIGHT(AC6,2)</f>
        <v>1Q25</v>
      </c>
      <c r="AD7" s="25" t="str">
        <f>"2Q"&amp;RIGHT(AD6,2)</f>
        <v>2Q25</v>
      </c>
      <c r="AE7" s="25" t="str">
        <f>"3Q"&amp;RIGHT(AE6,2)</f>
        <v>3Q25</v>
      </c>
      <c r="AF7" s="25" t="str">
        <f>"4Q"&amp;RIGHT(AF6,2)</f>
        <v>4Q25</v>
      </c>
      <c r="AG7" s="26">
        <f>AB7+1</f>
        <v>2025</v>
      </c>
      <c r="AH7" s="25" t="str">
        <f>"1Q"&amp;RIGHT(AH6,2)</f>
        <v>1Q26</v>
      </c>
      <c r="AI7" s="25" t="str">
        <f>"2Q"&amp;RIGHT(AI6,2)</f>
        <v>2Q26</v>
      </c>
      <c r="AJ7" s="25" t="str">
        <f>"3Q"&amp;RIGHT(AJ6,2)</f>
        <v>3Q26</v>
      </c>
      <c r="AK7" s="25" t="str">
        <f>"4Q"&amp;RIGHT(AK6,2)</f>
        <v>4Q26</v>
      </c>
      <c r="AL7" s="26">
        <f>AG7+1</f>
        <v>2026</v>
      </c>
      <c r="AM7" s="25" t="str">
        <f>"1Q"&amp;RIGHT(AM6,2)</f>
        <v>1Q27</v>
      </c>
      <c r="AN7" s="25" t="str">
        <f>"2Q"&amp;RIGHT(AN6,2)</f>
        <v>2Q27</v>
      </c>
      <c r="AO7" s="25" t="str">
        <f>"3Q"&amp;RIGHT(AO6,2)</f>
        <v>3Q27</v>
      </c>
      <c r="AP7" s="25" t="str">
        <f>"4Q"&amp;RIGHT(AP6,2)</f>
        <v>4Q27</v>
      </c>
      <c r="AQ7" s="26">
        <f>AL7+1</f>
        <v>2027</v>
      </c>
      <c r="AR7" s="25" t="str">
        <f>"1Q"&amp;RIGHT(AR6,2)</f>
        <v>1Q28</v>
      </c>
      <c r="AS7" s="25" t="str">
        <f>"2Q"&amp;RIGHT(AS6,2)</f>
        <v>2Q28</v>
      </c>
      <c r="AT7" s="25" t="str">
        <f>"3Q"&amp;RIGHT(AT6,2)</f>
        <v>3Q28</v>
      </c>
      <c r="AU7" s="25" t="str">
        <f>"4Q"&amp;RIGHT(AU6,2)</f>
        <v>4Q28</v>
      </c>
      <c r="AV7" s="26">
        <f>AQ7+1</f>
        <v>2028</v>
      </c>
      <c r="AW7" s="25" t="str">
        <f>"1Q"&amp;RIGHT(AW6,2)</f>
        <v>1Q29</v>
      </c>
      <c r="AX7" s="25" t="str">
        <f>"2Q"&amp;RIGHT(AX6,2)</f>
        <v>2Q29</v>
      </c>
      <c r="AY7" s="25" t="str">
        <f>"3Q"&amp;RIGHT(AY6,2)</f>
        <v>3Q29</v>
      </c>
      <c r="AZ7" s="25" t="str">
        <f>"4Q"&amp;RIGHT(AZ6,2)</f>
        <v>4Q29</v>
      </c>
      <c r="BA7" s="26">
        <f>AV7+1</f>
        <v>2029</v>
      </c>
      <c r="BB7" s="25" t="str">
        <f>"1Q"&amp;RIGHT(BB6,2)</f>
        <v>1Q30</v>
      </c>
      <c r="BC7" s="25" t="str">
        <f>"2Q"&amp;RIGHT(BC6,2)</f>
        <v>2Q30</v>
      </c>
      <c r="BD7" s="25" t="str">
        <f>"3Q"&amp;RIGHT(BD6,2)</f>
        <v>3Q30</v>
      </c>
      <c r="BE7" s="25" t="str">
        <f>"4Q"&amp;RIGHT(BE6,2)</f>
        <v>4Q30</v>
      </c>
      <c r="BF7" s="26">
        <f>BA7+1</f>
        <v>2030</v>
      </c>
      <c r="BG7" s="25" t="n"/>
      <c r="BH7" s="25" t="n"/>
      <c r="BI7" s="25" t="n"/>
      <c r="BJ7" s="25" t="n"/>
      <c r="BK7" s="26" t="n"/>
      <c r="BL7" s="25" t="n"/>
      <c r="BM7" s="25" t="n"/>
      <c r="BN7" s="25" t="n"/>
      <c r="BO7" s="25" t="n"/>
      <c r="BP7" s="26" t="n"/>
      <c r="BQ7" s="25" t="n"/>
      <c r="BR7" s="25" t="n"/>
      <c r="BS7" s="25" t="n"/>
      <c r="BT7" s="25" t="n"/>
      <c r="BU7" s="26" t="n"/>
      <c r="BV7" s="25" t="n"/>
      <c r="BW7" s="25" t="n"/>
      <c r="BX7" s="25" t="n"/>
      <c r="BY7" s="25" t="n"/>
      <c r="BZ7" s="26" t="n"/>
      <c r="CA7" s="25" t="n"/>
      <c r="CB7" s="25" t="n"/>
      <c r="CC7" s="25" t="n"/>
      <c r="CD7" s="25" t="n"/>
      <c r="CE7" s="26" t="n"/>
      <c r="CF7" s="25" t="n"/>
      <c r="CG7" s="25" t="n"/>
      <c r="CH7" s="25" t="n"/>
      <c r="CI7" s="25" t="n"/>
      <c r="CJ7" s="26" t="n"/>
      <c r="CK7" s="25" t="n"/>
      <c r="CL7" s="25" t="n"/>
      <c r="CM7" s="25" t="n"/>
      <c r="CN7" s="25" t="n"/>
      <c r="CO7" s="26" t="n"/>
      <c r="CP7" s="25" t="n"/>
      <c r="CQ7" s="25" t="n"/>
      <c r="CR7" s="25" t="n"/>
      <c r="CS7" s="25" t="n"/>
      <c r="CT7" s="26" t="n"/>
      <c r="CU7" s="25" t="n"/>
      <c r="CV7" s="25" t="n"/>
      <c r="CW7" s="25" t="n"/>
      <c r="CX7" s="25" t="n"/>
      <c r="CY7" s="26" t="n"/>
    </row>
    <row r="8">
      <c r="B8" s="4" t="n"/>
      <c r="C8" s="4" t="inlineStr">
        <is>
          <t>IPCA</t>
        </is>
      </c>
      <c r="D8" s="25" t="n"/>
      <c r="E8" s="25" t="n"/>
      <c r="F8" s="25" t="n"/>
      <c r="G8" s="25" t="n"/>
      <c r="H8" s="27" t="n"/>
      <c r="I8" s="25" t="n"/>
      <c r="J8" s="25" t="n"/>
      <c r="K8" s="25" t="n"/>
      <c r="L8" s="25" t="n"/>
      <c r="M8" s="27" t="n">
        <v>0.1006</v>
      </c>
      <c r="N8" s="25" t="n"/>
      <c r="O8" s="25" t="n"/>
      <c r="P8" s="25" t="n"/>
      <c r="Q8" s="25" t="n"/>
      <c r="R8" s="27" t="n">
        <v>0.0579</v>
      </c>
      <c r="S8" s="25" t="n"/>
      <c r="T8" s="25" t="n"/>
      <c r="U8" s="25" t="n"/>
      <c r="V8" s="25" t="n"/>
      <c r="W8" s="27" t="n">
        <v>0.0468</v>
      </c>
      <c r="X8" s="25" t="n"/>
      <c r="Y8" s="25" t="n"/>
      <c r="Z8" s="25" t="n"/>
      <c r="AA8" s="25" t="n"/>
      <c r="AB8" s="27" t="n">
        <v>0.0483</v>
      </c>
      <c r="AC8" s="25" t="n"/>
      <c r="AD8" s="25" t="n"/>
      <c r="AE8" s="25" t="n"/>
      <c r="AF8" s="25" t="n"/>
      <c r="AG8" s="27" t="n">
        <v>0.0468</v>
      </c>
      <c r="AH8" s="25" t="n"/>
      <c r="AI8" s="25" t="n"/>
      <c r="AJ8" s="25" t="n"/>
      <c r="AK8" s="25" t="n"/>
      <c r="AL8" s="28" t="n"/>
      <c r="AM8" s="25" t="n"/>
      <c r="AN8" s="25" t="n"/>
      <c r="AO8" s="25" t="n"/>
      <c r="AP8" s="25" t="n"/>
      <c r="AQ8" s="28" t="n"/>
      <c r="AR8" s="25" t="n"/>
      <c r="AS8" s="25" t="n"/>
      <c r="AT8" s="25" t="n"/>
      <c r="AU8" s="25" t="n"/>
      <c r="AV8" s="28" t="n"/>
      <c r="AW8" s="25" t="n"/>
      <c r="AX8" s="25" t="n"/>
      <c r="AY8" s="25" t="n"/>
      <c r="AZ8" s="25" t="n"/>
      <c r="BA8" s="28" t="n"/>
      <c r="BB8" s="25" t="n"/>
      <c r="BC8" s="25" t="n"/>
      <c r="BD8" s="25" t="n"/>
      <c r="BE8" s="25" t="n"/>
      <c r="BF8" s="28" t="n"/>
      <c r="BG8" s="25" t="n"/>
      <c r="BH8" s="25" t="n"/>
      <c r="BI8" s="25" t="n"/>
      <c r="BJ8" s="25" t="n"/>
      <c r="BK8" s="28" t="n"/>
      <c r="BL8" s="25" t="n"/>
      <c r="BM8" s="25" t="n"/>
      <c r="BN8" s="25" t="n"/>
      <c r="BO8" s="25" t="n"/>
      <c r="BP8" s="28" t="n"/>
      <c r="BQ8" s="25" t="n"/>
      <c r="BR8" s="25" t="n"/>
      <c r="BS8" s="25" t="n"/>
      <c r="BT8" s="25" t="n"/>
      <c r="BU8" s="28" t="n"/>
      <c r="BV8" s="25" t="n"/>
      <c r="BW8" s="25" t="n"/>
      <c r="BX8" s="25" t="n"/>
      <c r="BY8" s="25" t="n"/>
      <c r="BZ8" s="28" t="n"/>
      <c r="CA8" s="25" t="n"/>
      <c r="CB8" s="25" t="n"/>
      <c r="CC8" s="25" t="n"/>
      <c r="CD8" s="25" t="n"/>
      <c r="CE8" s="28" t="n"/>
      <c r="CF8" s="25" t="n"/>
      <c r="CG8" s="25" t="n"/>
      <c r="CH8" s="25" t="n"/>
      <c r="CI8" s="25" t="n"/>
      <c r="CJ8" s="28" t="n"/>
      <c r="CK8" s="25" t="n"/>
      <c r="CL8" s="25" t="n"/>
      <c r="CM8" s="25" t="n"/>
      <c r="CN8" s="25" t="n"/>
      <c r="CO8" s="28" t="n"/>
      <c r="CP8" s="25" t="n"/>
      <c r="CQ8" s="25" t="n"/>
      <c r="CR8" s="25" t="n"/>
      <c r="CS8" s="25" t="n"/>
      <c r="CT8" s="28" t="n"/>
      <c r="CU8" s="25" t="n"/>
      <c r="CV8" s="25" t="n"/>
      <c r="CW8" s="25" t="n"/>
      <c r="CX8" s="25" t="n"/>
      <c r="CY8" s="28" t="n"/>
    </row>
    <row r="9">
      <c r="B9" s="4" t="n"/>
      <c r="C9" s="4" t="inlineStr">
        <is>
          <t>GDP BRAZIL</t>
        </is>
      </c>
      <c r="D9" s="25" t="n"/>
      <c r="E9" s="25" t="n"/>
      <c r="F9" s="25" t="n"/>
      <c r="G9" s="25" t="n"/>
      <c r="H9" s="29" t="n"/>
      <c r="I9" s="25" t="n"/>
      <c r="J9" s="25" t="n"/>
      <c r="K9" s="25" t="n"/>
      <c r="L9" s="25" t="n"/>
      <c r="M9" s="29" t="n">
        <v>0.046</v>
      </c>
      <c r="N9" s="25" t="n"/>
      <c r="O9" s="25" t="n"/>
      <c r="P9" s="25" t="n"/>
      <c r="Q9" s="25" t="n"/>
      <c r="R9" s="29" t="n"/>
      <c r="S9" s="25" t="n"/>
      <c r="T9" s="25" t="n"/>
      <c r="U9" s="25" t="n"/>
      <c r="V9" s="25" t="n"/>
      <c r="W9" s="29" t="n"/>
      <c r="X9" s="25" t="n"/>
      <c r="Y9" s="25" t="n"/>
      <c r="Z9" s="25" t="n"/>
      <c r="AA9" s="25" t="n"/>
      <c r="AB9" s="29" t="n"/>
      <c r="AC9" s="25" t="n"/>
      <c r="AD9" s="25" t="n"/>
      <c r="AE9" s="25" t="n"/>
      <c r="AF9" s="25" t="n"/>
      <c r="AG9" s="29" t="n"/>
      <c r="AH9" s="25" t="n"/>
      <c r="AI9" s="25" t="n"/>
      <c r="AJ9" s="25" t="n"/>
      <c r="AK9" s="25" t="n"/>
      <c r="AL9" s="28" t="n"/>
      <c r="AM9" s="25" t="n"/>
      <c r="AN9" s="25" t="n"/>
      <c r="AO9" s="25" t="n"/>
      <c r="AP9" s="25" t="n"/>
      <c r="AQ9" s="28" t="n"/>
      <c r="AR9" s="25" t="n"/>
      <c r="AS9" s="25" t="n"/>
      <c r="AT9" s="25" t="n"/>
      <c r="AU9" s="25" t="n"/>
      <c r="AV9" s="28" t="n"/>
      <c r="AW9" s="25" t="n"/>
      <c r="AX9" s="25" t="n"/>
      <c r="AY9" s="25" t="n"/>
      <c r="AZ9" s="25" t="n"/>
      <c r="BA9" s="28" t="n"/>
      <c r="BB9" s="25" t="n"/>
      <c r="BC9" s="25" t="n"/>
      <c r="BD9" s="25" t="n"/>
      <c r="BE9" s="25" t="n"/>
      <c r="BF9" s="28" t="n"/>
      <c r="BG9" s="25" t="n"/>
      <c r="BH9" s="25" t="n"/>
      <c r="BI9" s="25" t="n"/>
      <c r="BJ9" s="25" t="n"/>
      <c r="BK9" s="28" t="n"/>
      <c r="BL9" s="25" t="n"/>
      <c r="BM9" s="25" t="n"/>
      <c r="BN9" s="25" t="n"/>
      <c r="BO9" s="25" t="n"/>
      <c r="BP9" s="28" t="n"/>
      <c r="BQ9" s="25" t="n"/>
      <c r="BR9" s="25" t="n"/>
      <c r="BS9" s="25" t="n"/>
      <c r="BT9" s="25" t="n"/>
      <c r="BU9" s="28" t="n"/>
      <c r="BV9" s="25" t="n"/>
      <c r="BW9" s="25" t="n"/>
      <c r="BX9" s="25" t="n"/>
      <c r="BY9" s="25" t="n"/>
      <c r="BZ9" s="28" t="n"/>
      <c r="CA9" s="25" t="n"/>
      <c r="CB9" s="25" t="n"/>
      <c r="CC9" s="25" t="n"/>
      <c r="CD9" s="25" t="n"/>
      <c r="CE9" s="28" t="n"/>
      <c r="CF9" s="25" t="n"/>
      <c r="CG9" s="25" t="n"/>
      <c r="CH9" s="25" t="n"/>
      <c r="CI9" s="25" t="n"/>
      <c r="CJ9" s="28" t="n"/>
      <c r="CK9" s="25" t="n"/>
      <c r="CL9" s="25" t="n"/>
      <c r="CM9" s="25" t="n"/>
      <c r="CN9" s="25" t="n"/>
      <c r="CO9" s="28" t="n"/>
      <c r="CP9" s="25" t="n"/>
      <c r="CQ9" s="25" t="n"/>
      <c r="CR9" s="25" t="n"/>
      <c r="CS9" s="25" t="n"/>
      <c r="CT9" s="28" t="n"/>
      <c r="CU9" s="25" t="n"/>
      <c r="CV9" s="25" t="n"/>
      <c r="CW9" s="25" t="n"/>
      <c r="CX9" s="25" t="n"/>
      <c r="CY9" s="28" t="n"/>
    </row>
    <row r="10">
      <c r="C10" s="4" t="inlineStr">
        <is>
          <t>CDI</t>
        </is>
      </c>
      <c r="H10" s="29" t="n"/>
      <c r="M10" s="29" t="n">
        <v>0.0442</v>
      </c>
      <c r="R10" s="29" t="n">
        <v>0.1239</v>
      </c>
      <c r="W10" s="29" t="n">
        <v>0.1304</v>
      </c>
      <c r="AB10" s="29" t="n">
        <v>0.1064</v>
      </c>
      <c r="AG10" s="29" t="n">
        <v>0.1464</v>
      </c>
    </row>
    <row r="11"/>
    <row r="12"/>
    <row r="13" customFormat="1" s="32">
      <c r="A13" s="30" t="n"/>
      <c r="B13" s="30" t="n"/>
      <c r="C13" s="31" t="inlineStr">
        <is>
          <t>Income Statement</t>
        </is>
      </c>
      <c r="D13" s="31" t="n"/>
      <c r="E13" s="31" t="n"/>
      <c r="F13" s="31" t="n"/>
      <c r="G13" s="31" t="n"/>
      <c r="H13" s="31" t="n"/>
      <c r="I13" s="31" t="str">
        <f>I7</f>
        <v>1Q21</v>
      </c>
      <c r="J13" s="31" t="str">
        <f>J7</f>
        <v>2Q21</v>
      </c>
      <c r="K13" s="31" t="str">
        <f>K7</f>
        <v>3Q21</v>
      </c>
      <c r="L13" s="31" t="str">
        <f>L7</f>
        <v>4Q21</v>
      </c>
      <c r="M13" s="31">
        <f>M7</f>
        <v>2021</v>
      </c>
      <c r="N13" s="31" t="str">
        <f>N7</f>
        <v>1Q22</v>
      </c>
      <c r="O13" s="31" t="str">
        <f>O7</f>
        <v>2Q22</v>
      </c>
      <c r="P13" s="31" t="str">
        <f>P7</f>
        <v>3Q22</v>
      </c>
      <c r="Q13" s="31" t="str">
        <f>Q7</f>
        <v>4Q22</v>
      </c>
      <c r="R13" s="31">
        <f>R7</f>
        <v>2022</v>
      </c>
      <c r="S13" s="31" t="str">
        <f>S7</f>
        <v>1Q23</v>
      </c>
      <c r="T13" s="31" t="str">
        <f>T7</f>
        <v>2Q23</v>
      </c>
      <c r="U13" s="31" t="str">
        <f>U7</f>
        <v>3Q23</v>
      </c>
      <c r="V13" s="31" t="str">
        <f>V7</f>
        <v>4Q23</v>
      </c>
      <c r="W13" s="31">
        <f>W7</f>
        <v>2023</v>
      </c>
      <c r="X13" s="31" t="str">
        <f>X7</f>
        <v>1Q24</v>
      </c>
      <c r="Y13" s="31" t="str">
        <f>Y7</f>
        <v>2Q24</v>
      </c>
      <c r="Z13" s="31" t="str">
        <f>Z7</f>
        <v>3Q24</v>
      </c>
      <c r="AA13" s="31" t="str">
        <f>AA7</f>
        <v>4Q24</v>
      </c>
      <c r="AB13" s="31">
        <f>AB7</f>
        <v>2024</v>
      </c>
      <c r="AC13" s="31" t="str">
        <f>AC7</f>
        <v>1Q25</v>
      </c>
      <c r="AD13" s="31" t="str">
        <f>AD7</f>
        <v>2Q25</v>
      </c>
      <c r="AE13" s="31" t="str">
        <f>AE7</f>
        <v>3Q25</v>
      </c>
      <c r="AF13" s="31" t="str">
        <f>AF7</f>
        <v>4Q25</v>
      </c>
      <c r="AG13" s="31">
        <f>AG7</f>
        <v>2025</v>
      </c>
      <c r="AH13" s="31" t="str">
        <f>AH7</f>
        <v>1Q26</v>
      </c>
      <c r="AI13" s="31" t="str">
        <f>AI7</f>
        <v>2Q26</v>
      </c>
      <c r="AJ13" s="31" t="str">
        <f>AJ7</f>
        <v>3Q26</v>
      </c>
      <c r="AK13" s="31" t="str">
        <f>AK7</f>
        <v>4Q26</v>
      </c>
      <c r="AL13" s="31">
        <f>AL7</f>
        <v>2026</v>
      </c>
      <c r="AM13" s="31" t="str">
        <f>AM7</f>
        <v>1Q27</v>
      </c>
      <c r="AN13" s="31" t="str">
        <f>AN7</f>
        <v>2Q27</v>
      </c>
      <c r="AO13" s="31" t="str">
        <f>AO7</f>
        <v>3Q27</v>
      </c>
      <c r="AP13" s="31" t="str">
        <f>AP7</f>
        <v>4Q27</v>
      </c>
      <c r="AQ13" s="31">
        <f>AQ7</f>
        <v>2027</v>
      </c>
      <c r="AR13" s="31" t="str">
        <f>AR7</f>
        <v>1Q28</v>
      </c>
      <c r="AS13" s="31" t="str">
        <f>AS7</f>
        <v>2Q28</v>
      </c>
      <c r="AT13" s="31" t="str">
        <f>AT7</f>
        <v>3Q28</v>
      </c>
      <c r="AU13" s="31" t="str">
        <f>AU7</f>
        <v>4Q28</v>
      </c>
      <c r="AV13" s="31">
        <f>AV7</f>
        <v>2028</v>
      </c>
      <c r="AW13" s="31" t="str">
        <f>AW7</f>
        <v>1Q29</v>
      </c>
      <c r="AX13" s="31" t="str">
        <f>AX7</f>
        <v>2Q29</v>
      </c>
      <c r="AY13" s="31" t="str">
        <f>AY7</f>
        <v>3Q29</v>
      </c>
      <c r="AZ13" s="31" t="str">
        <f>AZ7</f>
        <v>4Q29</v>
      </c>
      <c r="BA13" s="31">
        <f>BA7</f>
        <v>2029</v>
      </c>
      <c r="BB13" s="31" t="str">
        <f>BB7</f>
        <v>1Q30</v>
      </c>
      <c r="BC13" s="31" t="str">
        <f>BC7</f>
        <v>2Q30</v>
      </c>
      <c r="BD13" s="31" t="str">
        <f>BD7</f>
        <v>3Q30</v>
      </c>
      <c r="BE13" s="31" t="str">
        <f>BE7</f>
        <v>4Q30</v>
      </c>
      <c r="BF13" s="31">
        <f>BF7</f>
        <v>2030</v>
      </c>
      <c r="BG13" s="31" t="n"/>
      <c r="BH13" s="31" t="n"/>
      <c r="BI13" s="31" t="n"/>
      <c r="BJ13" s="31" t="n"/>
      <c r="BK13" s="31" t="n"/>
      <c r="BL13" s="31" t="n"/>
      <c r="BM13" s="31" t="n"/>
      <c r="BN13" s="31" t="n"/>
      <c r="BO13" s="31" t="n"/>
      <c r="BP13" s="31" t="n"/>
      <c r="BQ13" s="31" t="n"/>
      <c r="BR13" s="31" t="n"/>
      <c r="BS13" s="31" t="n"/>
      <c r="BT13" s="31" t="n"/>
      <c r="BU13" s="31" t="n"/>
      <c r="BV13" s="31" t="n"/>
      <c r="BW13" s="31" t="n"/>
      <c r="BX13" s="31" t="n"/>
      <c r="BY13" s="31" t="n"/>
      <c r="BZ13" s="31" t="n"/>
      <c r="CA13" s="31" t="n"/>
      <c r="CB13" s="31" t="n"/>
      <c r="CC13" s="31" t="n"/>
      <c r="CD13" s="31" t="n"/>
      <c r="CE13" s="31" t="n"/>
      <c r="CF13" s="31" t="n"/>
      <c r="CG13" s="31" t="n"/>
      <c r="CH13" s="31" t="n"/>
      <c r="CI13" s="31" t="n"/>
      <c r="CJ13" s="31" t="n"/>
      <c r="CK13" s="31" t="n"/>
      <c r="CL13" s="31" t="n"/>
      <c r="CM13" s="31" t="n"/>
      <c r="CN13" s="31" t="n"/>
      <c r="CO13" s="31" t="n"/>
      <c r="CP13" s="31" t="n"/>
      <c r="CQ13" s="31" t="n"/>
      <c r="CR13" s="31" t="n"/>
      <c r="CS13" s="31" t="n"/>
      <c r="CT13" s="31" t="n"/>
      <c r="CU13" s="31" t="n"/>
      <c r="CV13" s="31" t="n"/>
      <c r="CW13" s="31" t="n"/>
      <c r="CX13" s="31" t="n"/>
      <c r="CY13" s="31" t="n"/>
    </row>
    <row r="14">
      <c r="C14" s="17" t="n"/>
    </row>
    <row r="15" customFormat="1" s="32">
      <c r="A15" s="30" t="n"/>
      <c r="B15" s="3" t="n"/>
      <c r="C15" s="33" t="inlineStr">
        <is>
          <t>Net Revenues</t>
        </is>
      </c>
      <c r="D15" s="34" t="n"/>
      <c r="E15" s="34" t="n"/>
      <c r="F15" s="34" t="n"/>
      <c r="G15" s="34" t="n"/>
      <c r="H15" s="35" t="n"/>
      <c r="I15" s="34">
        <f>'Inputs (2)'!D4</f>
        <v>17071</v>
      </c>
      <c r="J15" s="34">
        <f>'Inputs (2)'!E4</f>
        <v>18253</v>
      </c>
      <c r="K15" s="34">
        <f>'Inputs (2)'!F4</f>
        <v>18569</v>
      </c>
      <c r="L15" s="34">
        <f>'Inputs (2)'!G4</f>
        <v>20303</v>
      </c>
      <c r="M15" s="35">
        <f>'Inputs (2)'!H4</f>
        <v>74196</v>
      </c>
      <c r="N15" s="34">
        <f>'Inputs (2)'!I4</f>
        <v>12675</v>
      </c>
      <c r="O15" s="34">
        <f>'Inputs (2)'!J4</f>
        <v>14127</v>
      </c>
      <c r="P15" s="34">
        <f>'Inputs (2)'!K4</f>
        <v>14470</v>
      </c>
      <c r="Q15" s="34">
        <f>'Inputs (2)'!L4</f>
        <v>16828</v>
      </c>
      <c r="R15" s="35">
        <f>'Inputs (2)'!M4</f>
        <v>58100</v>
      </c>
      <c r="S15" s="34">
        <f>'Inputs (2)'!N4</f>
        <v>7836</v>
      </c>
      <c r="T15" s="34">
        <f>'Inputs (2)'!O4</f>
        <v>8755</v>
      </c>
      <c r="U15" s="34">
        <f>'Inputs (2)'!P4</f>
        <v>9302</v>
      </c>
      <c r="V15" s="34">
        <f>'Inputs (2)'!Q4</f>
        <v>9456</v>
      </c>
      <c r="W15" s="35">
        <f>'Inputs (2)'!R4</f>
        <v>35349</v>
      </c>
      <c r="X15" s="34">
        <f>'Inputs (2)'!S4</f>
        <v>8955</v>
      </c>
      <c r="Y15" s="34">
        <f>'Inputs (2)'!T4</f>
        <v>9094</v>
      </c>
      <c r="Z15" s="34">
        <f>'Inputs (2)'!U4</f>
        <v>9842</v>
      </c>
      <c r="AA15" s="34">
        <f>'Inputs (2)'!V4</f>
        <v>10812</v>
      </c>
      <c r="AB15" s="35">
        <f>'Inputs (2)'!W4</f>
        <v>38703</v>
      </c>
      <c r="AC15" s="34">
        <f>'Inputs (2)'!X4</f>
        <v>9935</v>
      </c>
      <c r="AD15" s="34">
        <f>'Inputs (2)'!Y4</f>
        <v>11023</v>
      </c>
      <c r="AE15" s="34">
        <f>'Inputs (2)'!Z4</f>
        <v>12181</v>
      </c>
      <c r="AF15" s="34">
        <f>'Inputs (2)'!AA4</f>
        <v>12717</v>
      </c>
      <c r="AG15" s="35">
        <f>'Inputs (2)'!AB4</f>
        <v>45856</v>
      </c>
      <c r="AH15" s="35">
        <f>'Inputs (2)'!AC4</f>
        <v>12392</v>
      </c>
      <c r="AI15" s="35">
        <f>'Inputs (2)'!AD4</f>
        <v>13349</v>
      </c>
      <c r="AJ15" s="35">
        <f>AE15*(1+AJ16)</f>
        <v>14604.4563405029</v>
      </c>
      <c r="AK15" s="35">
        <f>AF15*(1+AK16)</f>
        <v>15247.0955818222</v>
      </c>
      <c r="AL15" s="35">
        <f>SUM(AH15:AK15)</f>
        <v>55592.5519223251</v>
      </c>
      <c r="AM15" s="35">
        <f>AH15*(1+AM16)</f>
        <v>14857.435594082</v>
      </c>
      <c r="AN15" s="35">
        <f>AI15*(1+AN16)</f>
        <v>16004.8343887508</v>
      </c>
      <c r="AO15" s="35">
        <f>AJ15*(1+AO16)</f>
        <v>17510.0685495162</v>
      </c>
      <c r="AP15" s="35">
        <f>AK15*(1+AP16)</f>
        <v>18280.5633153434</v>
      </c>
      <c r="AQ15" s="35">
        <f>SUM(AM15:AP15)</f>
        <v>66652.9018476924</v>
      </c>
      <c r="AR15" s="35">
        <f>AM15*(1+AR16)</f>
        <v>17739.0918110785</v>
      </c>
      <c r="AS15" s="35">
        <f>AN15*(1+AS16)</f>
        <v>19109.032971763</v>
      </c>
      <c r="AT15" s="35">
        <f>AO15*(1+AT16)</f>
        <v>20906.2130305898</v>
      </c>
      <c r="AU15" s="35">
        <f>AP15*(1+AU16)</f>
        <v>21826.1481906256</v>
      </c>
      <c r="AV15" s="35">
        <f>SUM(AR15:AU15)</f>
        <v>79580.4860040569</v>
      </c>
      <c r="AW15" s="35">
        <f>AR15*(1+AW16)</f>
        <v>21090.9607668961</v>
      </c>
      <c r="AX15" s="35">
        <f>AS15*(1+AX16)</f>
        <v>22719.7575272189</v>
      </c>
      <c r="AY15" s="35">
        <f>AT15*(1+AY16)</f>
        <v>24856.521602598</v>
      </c>
      <c r="AZ15" s="35">
        <f>AU15*(1+AZ16)</f>
        <v>25950.2820146326</v>
      </c>
      <c r="BA15" s="35">
        <f>SUM(AW15:AZ15)</f>
        <v>94617.5219113456</v>
      </c>
      <c r="BB15" s="35">
        <f>AW15*(1+BB16)</f>
        <v>24970.723323444</v>
      </c>
      <c r="BC15" s="35">
        <f>AX15*(1+BC16)</f>
        <v>26899.1434509889</v>
      </c>
      <c r="BD15" s="35">
        <f>AY15*(1+BD16)</f>
        <v>29428.9734157535</v>
      </c>
      <c r="BE15" s="35">
        <f>AZ15*(1+BE16)</f>
        <v>30723.9352210932</v>
      </c>
      <c r="BF15" s="35">
        <f>SUM(BB15:BE15)</f>
        <v>112022.77541128</v>
      </c>
      <c r="BG15" s="35" t="n"/>
      <c r="BH15" s="35" t="n"/>
      <c r="BI15" s="35" t="n"/>
      <c r="BJ15" s="35" t="n"/>
      <c r="BK15" s="35" t="n"/>
      <c r="BL15" s="35" t="n"/>
      <c r="BM15" s="35" t="n"/>
      <c r="BN15" s="35" t="n"/>
      <c r="BO15" s="35" t="n"/>
      <c r="BP15" s="35" t="n"/>
      <c r="BQ15" s="35" t="n"/>
      <c r="BR15" s="35" t="n"/>
      <c r="BS15" s="35" t="n"/>
      <c r="BT15" s="35" t="n"/>
      <c r="BU15" s="35" t="n"/>
      <c r="BV15" s="35" t="n"/>
      <c r="BW15" s="35" t="n"/>
      <c r="BX15" s="35" t="n"/>
      <c r="BY15" s="35" t="n"/>
      <c r="BZ15" s="35" t="n"/>
      <c r="CA15" s="35" t="n"/>
      <c r="CB15" s="35" t="n"/>
      <c r="CC15" s="35" t="n"/>
      <c r="CD15" s="35" t="n"/>
      <c r="CE15" s="35" t="n"/>
      <c r="CF15" s="35" t="n"/>
      <c r="CG15" s="35" t="n"/>
      <c r="CH15" s="35" t="n"/>
      <c r="CI15" s="35" t="n"/>
      <c r="CJ15" s="35" t="n"/>
      <c r="CK15" s="35" t="n"/>
      <c r="CL15" s="35" t="n"/>
      <c r="CM15" s="35" t="n"/>
      <c r="CN15" s="35" t="n"/>
      <c r="CO15" s="35" t="n"/>
      <c r="CP15" s="35" t="n"/>
      <c r="CQ15" s="35" t="n"/>
      <c r="CR15" s="35" t="n"/>
      <c r="CS15" s="35" t="n"/>
      <c r="CT15" s="35" t="n"/>
      <c r="CU15" s="35" t="n"/>
      <c r="CV15" s="35" t="n"/>
      <c r="CW15" s="35" t="n"/>
      <c r="CX15" s="35" t="n"/>
      <c r="CY15" s="35" t="n"/>
    </row>
    <row r="16" hidden="1" outlineLevel="1" customFormat="1" s="43">
      <c r="A16" s="36" t="n"/>
      <c r="B16" s="37" t="n"/>
      <c r="C16" s="38" t="inlineStr">
        <is>
          <t>% YoY</t>
        </is>
      </c>
      <c r="D16" s="39" t="n"/>
      <c r="E16" s="40" t="n"/>
      <c r="F16" s="40" t="n"/>
      <c r="G16" s="40" t="n"/>
      <c r="H16" s="39" t="n"/>
      <c r="I16" s="39" t="n"/>
      <c r="J16" s="40" t="n"/>
      <c r="K16" s="40" t="n"/>
      <c r="L16" s="40" t="n"/>
      <c r="M16" s="39" t="n"/>
      <c r="N16" s="40">
        <f>IFERROR(N15/I15-1,"")</f>
        <v>-0.25751274090563</v>
      </c>
      <c r="O16" s="40">
        <f>IFERROR(O15/J15-1,"")</f>
        <v>-0.226045033693092</v>
      </c>
      <c r="P16" s="40">
        <f>IFERROR(P15/K15-1,"")</f>
        <v>-0.220744251171307</v>
      </c>
      <c r="Q16" s="40">
        <f>IFERROR(Q15/L15-1,"")</f>
        <v>-0.171156971876077</v>
      </c>
      <c r="R16" s="40">
        <f>IFERROR(R15/M15-1,"")</f>
        <v>-0.216938918540083</v>
      </c>
      <c r="S16" s="40">
        <f>IFERROR(S15/N15-1,"")</f>
        <v>-0.381775147928994</v>
      </c>
      <c r="T16" s="40">
        <f>IFERROR(T15/O15-1,"")</f>
        <v>-0.380264741275572</v>
      </c>
      <c r="U16" s="40">
        <f>IFERROR(U15/P15-1,"")</f>
        <v>-0.357152729785764</v>
      </c>
      <c r="V16" s="40">
        <f>IFERROR(V15/Q15-1,"")</f>
        <v>-0.438079391490373</v>
      </c>
      <c r="W16" s="40">
        <f>IFERROR(W15/R15-1,"")</f>
        <v>-0.3915834767642</v>
      </c>
      <c r="X16" s="40">
        <f>IFERROR(X15/S15-1,"")</f>
        <v>0.142802450229709</v>
      </c>
      <c r="Y16" s="40">
        <f>IFERROR(Y15/T15-1,"")</f>
        <v>0.0387207310108511</v>
      </c>
      <c r="Z16" s="40">
        <f>IFERROR(Z15/U15-1,"")</f>
        <v>0.0580520318211137</v>
      </c>
      <c r="AA16" s="40">
        <f>IFERROR(AA15/V15-1,"")</f>
        <v>0.143401015228426</v>
      </c>
      <c r="AB16" s="40">
        <f>IFERROR(AB15/W15-1,"")</f>
        <v>0.0948824577781551</v>
      </c>
      <c r="AC16" s="40">
        <f>IFERROR(AC15/X15-1,"")</f>
        <v>0.109436069235064</v>
      </c>
      <c r="AD16" s="40">
        <f>IFERROR(AD15/Y15-1,"")</f>
        <v>0.212117879920827</v>
      </c>
      <c r="AE16" s="40">
        <f>IFERROR(AE15/Z15-1,"")</f>
        <v>0.237654948181264</v>
      </c>
      <c r="AF16" s="41">
        <f>IFERROR(AF15/AA15-1,"")</f>
        <v>0.176193118756937</v>
      </c>
      <c r="AG16" s="40">
        <f>IFERROR(AG15/AB15-1,"")</f>
        <v>0.184817714389065</v>
      </c>
      <c r="AH16" s="41">
        <f>IFERROR(AH15/AC15-1,"")</f>
        <v>0.247307498741822</v>
      </c>
      <c r="AI16" s="41">
        <f>IFERROR(AI15/AD15-1,"")</f>
        <v>0.211013335752517</v>
      </c>
      <c r="AJ16" s="41">
        <f>Control!$B$18</f>
        <v>0.198953808431405</v>
      </c>
      <c r="AK16" s="41">
        <f>Control!$B$18</f>
        <v>0.198953808431405</v>
      </c>
      <c r="AL16" s="42">
        <f>IFERROR(AL15/AG15-1,"")</f>
        <v>0.212328853853915</v>
      </c>
      <c r="AM16" s="41">
        <f>Control!$C$18</f>
        <v>0.198953808431405</v>
      </c>
      <c r="AN16" s="41">
        <f>Control!$C$18</f>
        <v>0.198953808431405</v>
      </c>
      <c r="AO16" s="41">
        <f>Control!$C$18</f>
        <v>0.198953808431405</v>
      </c>
      <c r="AP16" s="41">
        <f>Control!$C$18</f>
        <v>0.198953808431405</v>
      </c>
      <c r="AQ16" s="42">
        <f>IFERROR(AQ15/AL15-1,"")</f>
        <v>0.198953808431405</v>
      </c>
      <c r="AR16" s="41">
        <f>Control!$D$18</f>
        <v>0.193953808431405</v>
      </c>
      <c r="AS16" s="41">
        <f>Control!$D$18</f>
        <v>0.193953808431405</v>
      </c>
      <c r="AT16" s="41">
        <f>Control!$D$18</f>
        <v>0.193953808431405</v>
      </c>
      <c r="AU16" s="41">
        <f>Control!$D$18</f>
        <v>0.193953808431405</v>
      </c>
      <c r="AV16" s="42">
        <f>IFERROR(AV15/AQ15-1,"")</f>
        <v>0.193953808431405</v>
      </c>
      <c r="AW16" s="41">
        <f>Control!$E$18</f>
        <v>0.188953808431405</v>
      </c>
      <c r="AX16" s="41">
        <f>Control!$E$18</f>
        <v>0.188953808431405</v>
      </c>
      <c r="AY16" s="41">
        <f>Control!$E$18</f>
        <v>0.188953808431405</v>
      </c>
      <c r="AZ16" s="41">
        <f>Control!$E$18</f>
        <v>0.188953808431405</v>
      </c>
      <c r="BA16" s="42">
        <f>IFERROR(BA15/AV15-1,"")</f>
        <v>0.188953808431405</v>
      </c>
      <c r="BB16" s="41">
        <f>Control!$F$18</f>
        <v>0.183953808431405</v>
      </c>
      <c r="BC16" s="41">
        <f>Control!$F$18</f>
        <v>0.183953808431405</v>
      </c>
      <c r="BD16" s="41">
        <f>Control!$F$18</f>
        <v>0.183953808431405</v>
      </c>
      <c r="BE16" s="41">
        <f>Control!$F$18</f>
        <v>0.183953808431405</v>
      </c>
      <c r="BF16" s="42">
        <f>IFERROR(BF15/BA15-1,"")</f>
        <v>0.183953808431405</v>
      </c>
      <c r="BG16" s="41" t="n"/>
      <c r="BH16" s="41" t="n"/>
      <c r="BI16" s="41" t="n"/>
      <c r="BJ16" s="41" t="n"/>
      <c r="BK16" s="42" t="n"/>
      <c r="BL16" s="41" t="n"/>
      <c r="BM16" s="41" t="n"/>
      <c r="BN16" s="41" t="n"/>
      <c r="BO16" s="41" t="n"/>
      <c r="BP16" s="42" t="n"/>
      <c r="BQ16" s="41" t="n"/>
      <c r="BR16" s="41" t="n"/>
      <c r="BS16" s="41" t="n"/>
      <c r="BT16" s="41" t="n"/>
      <c r="BU16" s="42" t="n"/>
      <c r="BV16" s="41" t="n"/>
      <c r="BW16" s="41" t="n"/>
      <c r="BX16" s="41" t="n"/>
      <c r="BY16" s="41" t="n"/>
      <c r="BZ16" s="42" t="n"/>
      <c r="CA16" s="41" t="n"/>
      <c r="CB16" s="41" t="n"/>
      <c r="CC16" s="41" t="n"/>
      <c r="CD16" s="41" t="n"/>
      <c r="CE16" s="42" t="n"/>
      <c r="CF16" s="41" t="n"/>
      <c r="CG16" s="41" t="n"/>
      <c r="CH16" s="41" t="n"/>
      <c r="CI16" s="41" t="n"/>
      <c r="CJ16" s="42" t="n"/>
      <c r="CK16" s="41" t="n"/>
      <c r="CL16" s="41" t="n"/>
      <c r="CM16" s="41" t="n"/>
      <c r="CN16" s="41" t="n"/>
      <c r="CO16" s="42" t="n"/>
      <c r="CP16" s="41" t="n"/>
      <c r="CQ16" s="41" t="n"/>
      <c r="CR16" s="41" t="n"/>
      <c r="CS16" s="41" t="n"/>
      <c r="CT16" s="42" t="n"/>
      <c r="CU16" s="41" t="n"/>
      <c r="CV16" s="41" t="n"/>
      <c r="CW16" s="41" t="n"/>
      <c r="CX16" s="41" t="n"/>
      <c r="CY16" s="42" t="n"/>
    </row>
    <row r="17" hidden="1" outlineLevel="1" customFormat="1" s="43">
      <c r="A17" s="36" t="n"/>
      <c r="B17" s="37" t="n"/>
      <c r="C17" s="44" t="inlineStr">
        <is>
          <t>Check Receita</t>
        </is>
      </c>
      <c r="D17" s="39" t="n"/>
      <c r="E17" s="40" t="n"/>
      <c r="F17" s="40" t="n"/>
      <c r="G17" s="40" t="n"/>
      <c r="H17" s="39" t="n"/>
      <c r="I17" s="39">
        <f>IF(COUNT(I21)=0,"",ROUND(I15-I21,1))</f>
        <v>603</v>
      </c>
      <c r="J17" s="40">
        <f>IF(COUNT(J21)=0,"",ROUND(J15-J21,1))</f>
        <v>615</v>
      </c>
      <c r="K17" s="40">
        <f>IF(COUNT(K21)=0,"",ROUND(K15-K21,1))</f>
        <v>599</v>
      </c>
      <c r="L17" s="40">
        <f>IF(COUNT(L21)=0,"",ROUND(L15-L21,1))</f>
        <v>745</v>
      </c>
      <c r="M17" s="39">
        <f>IF(COUNT(M21)=0,"",ROUND(M15-M21,1))</f>
        <v>2562</v>
      </c>
      <c r="N17" s="40">
        <f>IF(COUNT(N21)=0,"",ROUND(N15-N21,1))</f>
        <v>700</v>
      </c>
      <c r="O17" s="40">
        <f>IF(COUNT(O21)=0,"",ROUND(O15-O21,1))</f>
        <v>698</v>
      </c>
      <c r="P17" s="40">
        <f>IF(COUNT(P21)=0,"",ROUND(P15-P21,1))</f>
        <v>643</v>
      </c>
      <c r="Q17" s="40">
        <f>IF(COUNT(Q21)=0,"",ROUND(Q15-Q21,1))</f>
        <v>-4196</v>
      </c>
      <c r="R17" s="40">
        <f>IF(COUNT(R21)=0,"",ROUND(R15-R21,1))</f>
        <v>-2155</v>
      </c>
      <c r="S17" s="40">
        <f>IF(COUNT(S21)=0,"",ROUND(S15-S21,1))</f>
        <v>-5803</v>
      </c>
      <c r="T17" s="40">
        <f>IF(COUNT(T21)=0,"",ROUND(T15-T21,1))</f>
        <v>643</v>
      </c>
      <c r="U17" s="40">
        <f>IF(COUNT(U21)=0,"",ROUND(U15-U21,1))</f>
        <v>640</v>
      </c>
      <c r="V17" s="40">
        <f>IF(COUNT(V21)=0,"",ROUND(V15-V21,1))</f>
        <v>-9062</v>
      </c>
      <c r="W17" s="40">
        <f>IF(COUNT(W21)=0,"",ROUND(W15-W21,1))</f>
        <v>-13582</v>
      </c>
      <c r="X17" s="40">
        <f>IF(COUNT(X21)=0,"",ROUND(X15-X21,1))</f>
        <v>547</v>
      </c>
      <c r="Y17" s="40">
        <f>IF(COUNT(Y21)=0,"",ROUND(Y15-Y21,1))</f>
        <v>562</v>
      </c>
      <c r="Z17" s="40">
        <f>IF(COUNT(Z21)=0,"",ROUND(Z15-Z21,1))</f>
        <v>597</v>
      </c>
      <c r="AA17" s="40">
        <f>IF(COUNT(AA21)=0,"",ROUND(AA15-AA21,1))</f>
        <v>639</v>
      </c>
      <c r="AB17" s="40">
        <f>IF(COUNT(AB21)=0,"",ROUND(AB15-AB21,1))</f>
        <v>2345</v>
      </c>
      <c r="AC17" s="40">
        <f>IF(COUNT(AC21)=0,"",ROUND(AC15-AC21,1))</f>
        <v>573</v>
      </c>
      <c r="AD17" s="40">
        <f>IF(COUNT(AD21)=0,"",ROUND(AD15-AD21,1))</f>
        <v>399</v>
      </c>
      <c r="AE17" s="40">
        <f>IF(COUNT(AE21)=0,"",ROUND(AE15-AE21,1))</f>
        <v>473</v>
      </c>
      <c r="AF17" s="40">
        <f>IF(COUNT(AF21)=0,"",ROUND(AF15-AF21,1))</f>
        <v>410</v>
      </c>
      <c r="AG17" s="40">
        <f>IF(COUNT(AG21)=0,"",ROUND(AG15-AG21,1))</f>
        <v>1855</v>
      </c>
      <c r="AH17" s="41">
        <f>IF(COUNT(AH21)=0,"",ROUND(AH15-AH21,1))</f>
        <v>259</v>
      </c>
      <c r="AI17" s="41">
        <f>IF(COUNT(AI21)=0,"",ROUND(AI15-AI21,1))</f>
        <v>175</v>
      </c>
      <c r="AJ17" s="41" t="n"/>
      <c r="AK17" s="41" t="n"/>
      <c r="AL17" s="42" t="n"/>
      <c r="AM17" s="41" t="n"/>
      <c r="AN17" s="41" t="n"/>
      <c r="AO17" s="41" t="n"/>
      <c r="AP17" s="41" t="n"/>
      <c r="AQ17" s="42" t="n"/>
      <c r="AR17" s="41" t="n"/>
      <c r="AS17" s="41" t="n"/>
      <c r="AT17" s="41" t="n"/>
      <c r="AU17" s="41" t="n"/>
      <c r="AV17" s="42" t="n"/>
      <c r="AW17" s="41" t="n"/>
      <c r="AX17" s="41" t="n"/>
      <c r="AY17" s="41" t="n"/>
      <c r="AZ17" s="41" t="n"/>
      <c r="BA17" s="42" t="n"/>
      <c r="BB17" s="41" t="n"/>
      <c r="BC17" s="41" t="n"/>
      <c r="BD17" s="41" t="n"/>
      <c r="BE17" s="41" t="n"/>
      <c r="BF17" s="42" t="n"/>
      <c r="BG17" s="41" t="n"/>
      <c r="BH17" s="41" t="n"/>
      <c r="BI17" s="41" t="n"/>
      <c r="BJ17" s="41" t="n"/>
      <c r="BK17" s="42" t="n"/>
      <c r="BL17" s="41" t="n"/>
      <c r="BM17" s="41" t="n"/>
      <c r="BN17" s="41" t="n"/>
      <c r="BO17" s="41" t="n"/>
      <c r="BP17" s="42" t="n"/>
      <c r="BQ17" s="41" t="n"/>
      <c r="BR17" s="41" t="n"/>
      <c r="BS17" s="41" t="n"/>
      <c r="BT17" s="41" t="n"/>
      <c r="BU17" s="42" t="n"/>
      <c r="BV17" s="41" t="n"/>
      <c r="BW17" s="41" t="n"/>
      <c r="BX17" s="41" t="n"/>
      <c r="BY17" s="41" t="n"/>
      <c r="BZ17" s="42" t="n"/>
      <c r="CA17" s="41" t="n"/>
      <c r="CB17" s="41" t="n"/>
      <c r="CC17" s="41" t="n"/>
      <c r="CD17" s="41" t="n"/>
      <c r="CE17" s="42" t="n"/>
      <c r="CF17" s="41" t="n"/>
      <c r="CG17" s="41" t="n"/>
      <c r="CH17" s="41" t="n"/>
      <c r="CI17" s="41" t="n"/>
      <c r="CJ17" s="42" t="n"/>
      <c r="CK17" s="41" t="n"/>
      <c r="CL17" s="41" t="n"/>
      <c r="CM17" s="41" t="n"/>
      <c r="CN17" s="41" t="n"/>
      <c r="CO17" s="42" t="n"/>
      <c r="CP17" s="41" t="n"/>
      <c r="CQ17" s="41" t="n"/>
      <c r="CR17" s="41" t="n"/>
      <c r="CS17" s="41" t="n"/>
      <c r="CT17" s="42" t="n"/>
      <c r="CU17" s="41" t="n"/>
      <c r="CV17" s="41" t="n"/>
      <c r="CW17" s="41" t="n"/>
      <c r="CX17" s="41" t="n"/>
      <c r="CY17" s="42" t="n"/>
    </row>
    <row r="18">
      <c r="C18" s="267" t="inlineStr">
        <is>
          <t>Receita por tipo (USD milhões)</t>
        </is>
      </c>
      <c r="D18" s="267">
        <f>D7</f>
        <v>0</v>
      </c>
      <c r="E18" s="267">
        <f>E7</f>
        <v>0</v>
      </c>
      <c r="F18" s="267">
        <f>F7</f>
        <v>0</v>
      </c>
      <c r="G18" s="267">
        <f>G7</f>
        <v>0</v>
      </c>
      <c r="H18" s="267">
        <f>H7</f>
        <v>2020</v>
      </c>
      <c r="I18" s="267" t="str">
        <f>I7</f>
        <v>1Q21</v>
      </c>
      <c r="J18" s="267" t="str">
        <f>J7</f>
        <v>2Q21</v>
      </c>
      <c r="K18" s="267" t="str">
        <f>K7</f>
        <v>3Q21</v>
      </c>
      <c r="L18" s="267" t="str">
        <f>L7</f>
        <v>4Q21</v>
      </c>
      <c r="M18" s="267">
        <f>M7</f>
        <v>2021</v>
      </c>
      <c r="N18" s="267" t="str">
        <f>N7</f>
        <v>1Q22</v>
      </c>
      <c r="O18" s="267" t="str">
        <f>O7</f>
        <v>2Q22</v>
      </c>
      <c r="P18" s="267" t="str">
        <f>P7</f>
        <v>3Q22</v>
      </c>
      <c r="Q18" s="267" t="str">
        <f>Q7</f>
        <v>4Q22</v>
      </c>
      <c r="R18" s="267">
        <f>R7</f>
        <v>2022</v>
      </c>
      <c r="S18" s="267" t="str">
        <f>S7</f>
        <v>1Q23</v>
      </c>
      <c r="T18" s="267" t="str">
        <f>T7</f>
        <v>2Q23</v>
      </c>
      <c r="U18" s="267" t="str">
        <f>U7</f>
        <v>3Q23</v>
      </c>
      <c r="V18" s="267" t="str">
        <f>V7</f>
        <v>4Q23</v>
      </c>
      <c r="W18" s="267">
        <f>W7</f>
        <v>2023</v>
      </c>
      <c r="X18" s="267" t="str">
        <f>X7</f>
        <v>1Q24</v>
      </c>
      <c r="Y18" s="267" t="str">
        <f>Y7</f>
        <v>2Q24</v>
      </c>
      <c r="Z18" s="267" t="str">
        <f>Z7</f>
        <v>3Q24</v>
      </c>
      <c r="AA18" s="267" t="str">
        <f>AA7</f>
        <v>4Q24</v>
      </c>
      <c r="AB18" s="267">
        <f>AB7</f>
        <v>2024</v>
      </c>
      <c r="AC18" s="267" t="str">
        <f>AC7</f>
        <v>1Q25</v>
      </c>
      <c r="AD18" s="267" t="str">
        <f>AD7</f>
        <v>2Q25</v>
      </c>
      <c r="AE18" s="267" t="str">
        <f>AE7</f>
        <v>3Q25</v>
      </c>
      <c r="AF18" s="267" t="str">
        <f>AF7</f>
        <v>4Q25</v>
      </c>
      <c r="AG18" s="267">
        <f>AG7</f>
        <v>2025</v>
      </c>
      <c r="AH18" s="267" t="str">
        <f>AH7</f>
        <v>1Q26</v>
      </c>
      <c r="AI18" s="267" t="str">
        <f>AI7</f>
        <v>2Q26</v>
      </c>
    </row>
    <row r="19">
      <c r="C19" s="268" t="inlineStr">
        <is>
          <t xml:space="preserve">   Produtos</t>
        </is>
      </c>
      <c r="D19" s="269" t="str">
        <f>IFERROR(INDEX('Inputs (2)'!$D$53:$AL$53,MATCH(D$7&amp;"",'Inputs (2)'!$D$2:$AL$2,0)),"")</f>
        <v/>
      </c>
      <c r="E19" s="269" t="str">
        <f>IFERROR(INDEX('Inputs (2)'!$D$53:$AL$53,MATCH(E$7&amp;"",'Inputs (2)'!$D$2:$AL$2,0)),"")</f>
        <v/>
      </c>
      <c r="F19" s="269" t="str">
        <f>IFERROR(INDEX('Inputs (2)'!$D$53:$AL$53,MATCH(F$7&amp;"",'Inputs (2)'!$D$2:$AL$2,0)),"")</f>
        <v/>
      </c>
      <c r="G19" s="269" t="str">
        <f>IFERROR(INDEX('Inputs (2)'!$D$53:$AL$53,MATCH(G$7&amp;"",'Inputs (2)'!$D$2:$AL$2,0)),"")</f>
        <v/>
      </c>
      <c r="H19" s="270" t="str">
        <f>IF(COUNT(D19:G19)=4,SUM(D19:G19),"")</f>
        <v/>
      </c>
      <c r="I19" s="269">
        <f>IFERROR(INDEX('Inputs (2)'!$D$53:$AL$53,MATCH(I$7&amp;"",'Inputs (2)'!$D$2:$AL$2,0)),"")</f>
        <v>8159</v>
      </c>
      <c r="J19" s="269">
        <f>IFERROR(INDEX('Inputs (2)'!$D$53:$AL$53,MATCH(J$7&amp;"",'Inputs (2)'!$D$2:$AL$2,0)),"")</f>
        <v>8498</v>
      </c>
      <c r="K19" s="269">
        <f>IFERROR(INDEX('Inputs (2)'!$D$53:$AL$53,MATCH(K$7&amp;"",'Inputs (2)'!$D$2:$AL$2,0)),"")</f>
        <v>9087</v>
      </c>
      <c r="L19" s="269">
        <f>IFERROR(INDEX('Inputs (2)'!$D$53:$AL$53,MATCH(L$7&amp;"",'Inputs (2)'!$D$2:$AL$2,0)),"")</f>
        <v>9150</v>
      </c>
      <c r="M19" s="270">
        <f>IF(COUNT(I19:L19)=4,SUM(I19:L19),"")</f>
        <v>34894</v>
      </c>
      <c r="N19" s="269">
        <f>IFERROR(INDEX('Inputs (2)'!$D$53:$AL$53,MATCH(N$7&amp;"",'Inputs (2)'!$D$2:$AL$2,0)),"")</f>
        <v>4792</v>
      </c>
      <c r="O19" s="269">
        <f>IFERROR(INDEX('Inputs (2)'!$D$53:$AL$53,MATCH(O$7&amp;"",'Inputs (2)'!$D$2:$AL$2,0)),"")</f>
        <v>5399</v>
      </c>
      <c r="P19" s="269">
        <f>IFERROR(INDEX('Inputs (2)'!$D$53:$AL$53,MATCH(P$7&amp;"",'Inputs (2)'!$D$2:$AL$2,0)),"")</f>
        <v>5809</v>
      </c>
      <c r="Q19" s="269">
        <f>IFERROR(INDEX('Inputs (2)'!$D$53:$AL$53,MATCH(Q$7&amp;"",'Inputs (2)'!$D$2:$AL$2,0)),"")</f>
        <v>9468</v>
      </c>
      <c r="R19" s="270">
        <f>IF(COUNT(N19:Q19)=4,SUM(N19:Q19),"")</f>
        <v>25468</v>
      </c>
      <c r="S19" s="269">
        <f>IFERROR(INDEX('Inputs (2)'!$D$53:$AL$53,MATCH(S$7&amp;"",'Inputs (2)'!$D$2:$AL$2,0)),"")</f>
        <v>5387</v>
      </c>
      <c r="T19" s="269">
        <f>IFERROR(INDEX('Inputs (2)'!$D$53:$AL$53,MATCH(T$7&amp;"",'Inputs (2)'!$D$2:$AL$2,0)),"")</f>
        <v>2744</v>
      </c>
      <c r="U19" s="269">
        <f>IFERROR(INDEX('Inputs (2)'!$D$53:$AL$53,MATCH(U$7&amp;"",'Inputs (2)'!$D$2:$AL$2,0)),"")</f>
        <v>2482</v>
      </c>
      <c r="V19" s="269">
        <f>IFERROR(INDEX('Inputs (2)'!$D$53:$AL$53,MATCH(V$7&amp;"",'Inputs (2)'!$D$2:$AL$2,0)),"")</f>
        <v>8024</v>
      </c>
      <c r="W19" s="270">
        <f>IF(COUNT(S19:V19)=4,SUM(S19:V19),"")</f>
        <v>18637</v>
      </c>
      <c r="X19" s="269">
        <f>IFERROR(INDEX('Inputs (2)'!$D$53:$AL$53,MATCH(X$7&amp;"",'Inputs (2)'!$D$2:$AL$2,0)),"")</f>
        <v>2715</v>
      </c>
      <c r="Y19" s="269">
        <f>IFERROR(INDEX('Inputs (2)'!$D$53:$AL$53,MATCH(Y$7&amp;"",'Inputs (2)'!$D$2:$AL$2,0)),"")</f>
        <v>2498</v>
      </c>
      <c r="Z19" s="269">
        <f>IFERROR(INDEX('Inputs (2)'!$D$53:$AL$53,MATCH(Z$7&amp;"",'Inputs (2)'!$D$2:$AL$2,0)),"")</f>
        <v>2622</v>
      </c>
      <c r="AA19" s="269">
        <f>IFERROR(INDEX('Inputs (2)'!$D$53:$AL$53,MATCH(AA$7&amp;"",'Inputs (2)'!$D$2:$AL$2,0)),"")</f>
        <v>3479</v>
      </c>
      <c r="AB19" s="270">
        <f>IF(COUNT(X19:AA19)=4,SUM(X19:AA19),"")</f>
        <v>11314</v>
      </c>
      <c r="AC19" s="269">
        <f>IFERROR(INDEX('Inputs (2)'!$D$53:$AL$53,MATCH(AC$7&amp;"",'Inputs (2)'!$D$2:$AL$2,0)),"")</f>
        <v>2972</v>
      </c>
      <c r="AD19" s="269">
        <f>IFERROR(INDEX('Inputs (2)'!$D$53:$AL$53,MATCH(AD$7&amp;"",'Inputs (2)'!$D$2:$AL$2,0)),"")</f>
        <v>3234</v>
      </c>
      <c r="AE19" s="269">
        <f>IFERROR(INDEX('Inputs (2)'!$D$53:$AL$53,MATCH(AE$7&amp;"",'Inputs (2)'!$D$2:$AL$2,0)),"")</f>
        <v>3493</v>
      </c>
      <c r="AF19" s="269">
        <f>IFERROR(INDEX('Inputs (2)'!$D$53:$AL$53,MATCH(AF$7&amp;"",'Inputs (2)'!$D$2:$AL$2,0)),"")</f>
        <v>3867</v>
      </c>
      <c r="AG19" s="270">
        <f>IF(COUNT(AC19:AF19)=4,SUM(AC19:AF19),"")</f>
        <v>13566</v>
      </c>
      <c r="AH19" s="270">
        <f>IFERROR(INDEX('Inputs (2)'!$D$53:$AL$53,MATCH(AH$7&amp;"",'Inputs (2)'!$D$2:$AL$2,0)),"")</f>
        <v>3708</v>
      </c>
      <c r="AI19" s="270">
        <f>IFERROR(INDEX('Inputs (2)'!$D$53:$AL$53,MATCH(AI$7&amp;"",'Inputs (2)'!$D$2:$AL$2,0)),"")</f>
        <v>4041</v>
      </c>
    </row>
    <row r="20">
      <c r="C20" s="268" t="inlineStr">
        <is>
          <t xml:space="preserve">   Serviços</t>
        </is>
      </c>
      <c r="D20" s="269" t="str">
        <f>IFERROR(INDEX('Inputs (2)'!$D$54:$AL$54,MATCH(D$7&amp;"",'Inputs (2)'!$D$2:$AL$2,0)),"")</f>
        <v/>
      </c>
      <c r="E20" s="269" t="str">
        <f>IFERROR(INDEX('Inputs (2)'!$D$54:$AL$54,MATCH(E$7&amp;"",'Inputs (2)'!$D$2:$AL$2,0)),"")</f>
        <v/>
      </c>
      <c r="F20" s="269" t="str">
        <f>IFERROR(INDEX('Inputs (2)'!$D$54:$AL$54,MATCH(F$7&amp;"",'Inputs (2)'!$D$2:$AL$2,0)),"")</f>
        <v/>
      </c>
      <c r="G20" s="269" t="str">
        <f>IFERROR(INDEX('Inputs (2)'!$D$54:$AL$54,MATCH(G$7&amp;"",'Inputs (2)'!$D$2:$AL$2,0)),"")</f>
        <v/>
      </c>
      <c r="H20" s="270" t="str">
        <f>IF(COUNT(D20:G20)=4,SUM(D20:G20),"")</f>
        <v/>
      </c>
      <c r="I20" s="269">
        <f>IFERROR(INDEX('Inputs (2)'!$D$54:$AL$54,MATCH(I$7&amp;"",'Inputs (2)'!$D$2:$AL$2,0)),"")</f>
        <v>8309</v>
      </c>
      <c r="J20" s="269">
        <f>IFERROR(INDEX('Inputs (2)'!$D$54:$AL$54,MATCH(J$7&amp;"",'Inputs (2)'!$D$2:$AL$2,0)),"")</f>
        <v>9140</v>
      </c>
      <c r="K20" s="269">
        <f>IFERROR(INDEX('Inputs (2)'!$D$54:$AL$54,MATCH(K$7&amp;"",'Inputs (2)'!$D$2:$AL$2,0)),"")</f>
        <v>8883</v>
      </c>
      <c r="L20" s="269">
        <f>IFERROR(INDEX('Inputs (2)'!$D$54:$AL$54,MATCH(L$7&amp;"",'Inputs (2)'!$D$2:$AL$2,0)),"")</f>
        <v>10408</v>
      </c>
      <c r="M20" s="270">
        <f>IF(COUNT(I20:L20)=4,SUM(I20:L20),"")</f>
        <v>36740</v>
      </c>
      <c r="N20" s="269">
        <f>IFERROR(INDEX('Inputs (2)'!$D$54:$AL$54,MATCH(N$7&amp;"",'Inputs (2)'!$D$2:$AL$2,0)),"")</f>
        <v>7183</v>
      </c>
      <c r="O20" s="269">
        <f>IFERROR(INDEX('Inputs (2)'!$D$54:$AL$54,MATCH(O$7&amp;"",'Inputs (2)'!$D$2:$AL$2,0)),"")</f>
        <v>8030</v>
      </c>
      <c r="P20" s="269">
        <f>IFERROR(INDEX('Inputs (2)'!$D$54:$AL$54,MATCH(P$7&amp;"",'Inputs (2)'!$D$2:$AL$2,0)),"")</f>
        <v>8018</v>
      </c>
      <c r="Q20" s="269">
        <f>IFERROR(INDEX('Inputs (2)'!$D$54:$AL$54,MATCH(Q$7&amp;"",'Inputs (2)'!$D$2:$AL$2,0)),"")</f>
        <v>11556</v>
      </c>
      <c r="R20" s="270">
        <f>IF(COUNT(N20:Q20)=4,SUM(N20:Q20),"")</f>
        <v>34787</v>
      </c>
      <c r="S20" s="269">
        <f>IFERROR(INDEX('Inputs (2)'!$D$54:$AL$54,MATCH(S$7&amp;"",'Inputs (2)'!$D$2:$AL$2,0)),"")</f>
        <v>8252</v>
      </c>
      <c r="T20" s="269">
        <f>IFERROR(INDEX('Inputs (2)'!$D$54:$AL$54,MATCH(T$7&amp;"",'Inputs (2)'!$D$2:$AL$2,0)),"")</f>
        <v>5368</v>
      </c>
      <c r="U20" s="269">
        <f>IFERROR(INDEX('Inputs (2)'!$D$54:$AL$54,MATCH(U$7&amp;"",'Inputs (2)'!$D$2:$AL$2,0)),"")</f>
        <v>6180</v>
      </c>
      <c r="V20" s="269">
        <f>IFERROR(INDEX('Inputs (2)'!$D$54:$AL$54,MATCH(V$7&amp;"",'Inputs (2)'!$D$2:$AL$2,0)),"")</f>
        <v>10494</v>
      </c>
      <c r="W20" s="270">
        <f>IF(COUNT(S20:V20)=4,SUM(S20:V20),"")</f>
        <v>30294</v>
      </c>
      <c r="X20" s="269">
        <f>IFERROR(INDEX('Inputs (2)'!$D$54:$AL$54,MATCH(X$7&amp;"",'Inputs (2)'!$D$2:$AL$2,0)),"")</f>
        <v>5693</v>
      </c>
      <c r="Y20" s="269">
        <f>IFERROR(INDEX('Inputs (2)'!$D$54:$AL$54,MATCH(Y$7&amp;"",'Inputs (2)'!$D$2:$AL$2,0)),"")</f>
        <v>6034</v>
      </c>
      <c r="Z20" s="269">
        <f>IFERROR(INDEX('Inputs (2)'!$D$54:$AL$54,MATCH(Z$7&amp;"",'Inputs (2)'!$D$2:$AL$2,0)),"")</f>
        <v>6623</v>
      </c>
      <c r="AA20" s="269">
        <f>IFERROR(INDEX('Inputs (2)'!$D$54:$AL$54,MATCH(AA$7&amp;"",'Inputs (2)'!$D$2:$AL$2,0)),"")</f>
        <v>6694</v>
      </c>
      <c r="AB20" s="270">
        <f>IF(COUNT(X20:AA20)=4,SUM(X20:AA20),"")</f>
        <v>25044</v>
      </c>
      <c r="AC20" s="269">
        <f>IFERROR(INDEX('Inputs (2)'!$D$54:$AL$54,MATCH(AC$7&amp;"",'Inputs (2)'!$D$2:$AL$2,0)),"")</f>
        <v>6390</v>
      </c>
      <c r="AD20" s="269">
        <f>IFERROR(INDEX('Inputs (2)'!$D$54:$AL$54,MATCH(AD$7&amp;"",'Inputs (2)'!$D$2:$AL$2,0)),"")</f>
        <v>7390</v>
      </c>
      <c r="AE20" s="269">
        <f>IFERROR(INDEX('Inputs (2)'!$D$54:$AL$54,MATCH(AE$7&amp;"",'Inputs (2)'!$D$2:$AL$2,0)),"")</f>
        <v>8215</v>
      </c>
      <c r="AF20" s="269">
        <f>IFERROR(INDEX('Inputs (2)'!$D$54:$AL$54,MATCH(AF$7&amp;"",'Inputs (2)'!$D$2:$AL$2,0)),"")</f>
        <v>8440</v>
      </c>
      <c r="AG20" s="270">
        <f>IF(COUNT(AC20:AF20)=4,SUM(AC20:AF20),"")</f>
        <v>30435</v>
      </c>
      <c r="AH20" s="270">
        <f>IFERROR(INDEX('Inputs (2)'!$D$54:$AL$54,MATCH(AH$7&amp;"",'Inputs (2)'!$D$2:$AL$2,0)),"")</f>
        <v>8425</v>
      </c>
      <c r="AI20" s="270">
        <f>IFERROR(INDEX('Inputs (2)'!$D$54:$AL$54,MATCH(AI$7&amp;"",'Inputs (2)'!$D$2:$AL$2,0)),"")</f>
        <v>9133</v>
      </c>
    </row>
    <row r="21">
      <c r="C21" s="271" t="inlineStr">
        <is>
          <t>Receita (soma)</t>
        </is>
      </c>
      <c r="D21" s="269" t="str">
        <f>IF(COUNT(D19,D20)=0,"",N(D19)+N(D20))</f>
        <v/>
      </c>
      <c r="E21" s="269" t="str">
        <f>IF(COUNT(E19,E20)=0,"",N(E19)+N(E20))</f>
        <v/>
      </c>
      <c r="F21" s="269" t="str">
        <f>IF(COUNT(F19,F20)=0,"",N(F19)+N(F20))</f>
        <v/>
      </c>
      <c r="G21" s="269" t="str">
        <f>IF(COUNT(G19,G20)=0,"",N(G19)+N(G20))</f>
        <v/>
      </c>
      <c r="H21" s="270" t="str">
        <f>IF(COUNT(H19,H20)=0,"",N(H19)+N(H20))</f>
        <v/>
      </c>
      <c r="I21" s="269">
        <f>IF(COUNT(I19,I20)=0,"",N(I19)+N(I20))</f>
        <v>16468</v>
      </c>
      <c r="J21" s="269">
        <f>IF(COUNT(J19,J20)=0,"",N(J19)+N(J20))</f>
        <v>17638</v>
      </c>
      <c r="K21" s="269">
        <f>IF(COUNT(K19,K20)=0,"",N(K19)+N(K20))</f>
        <v>17970</v>
      </c>
      <c r="L21" s="269">
        <f>IF(COUNT(L19,L20)=0,"",N(L19)+N(L20))</f>
        <v>19558</v>
      </c>
      <c r="M21" s="270">
        <f>IF(COUNT(M19,M20)=0,"",N(M19)+N(M20))</f>
        <v>71634</v>
      </c>
      <c r="N21" s="269">
        <f>IF(COUNT(N19,N20)=0,"",N(N19)+N(N20))</f>
        <v>11975</v>
      </c>
      <c r="O21" s="269">
        <f>IF(COUNT(O19,O20)=0,"",N(O19)+N(O20))</f>
        <v>13429</v>
      </c>
      <c r="P21" s="269">
        <f>IF(COUNT(P19,P20)=0,"",N(P19)+N(P20))</f>
        <v>13827</v>
      </c>
      <c r="Q21" s="269">
        <f>IF(COUNT(Q19,Q20)=0,"",N(Q19)+N(Q20))</f>
        <v>21024</v>
      </c>
      <c r="R21" s="270">
        <f>IF(COUNT(R19,R20)=0,"",N(R19)+N(R20))</f>
        <v>60255</v>
      </c>
      <c r="S21" s="269">
        <f>IF(COUNT(S19,S20)=0,"",N(S19)+N(S20))</f>
        <v>13639</v>
      </c>
      <c r="T21" s="269">
        <f>IF(COUNT(T19,T20)=0,"",N(T19)+N(T20))</f>
        <v>8112</v>
      </c>
      <c r="U21" s="269">
        <f>IF(COUNT(U19,U20)=0,"",N(U19)+N(U20))</f>
        <v>8662</v>
      </c>
      <c r="V21" s="269">
        <f>IF(COUNT(V19,V20)=0,"",N(V19)+N(V20))</f>
        <v>18518</v>
      </c>
      <c r="W21" s="270">
        <f>IF(COUNT(W19,W20)=0,"",N(W19)+N(W20))</f>
        <v>48931</v>
      </c>
      <c r="X21" s="269">
        <f>IF(COUNT(X19,X20)=0,"",N(X19)+N(X20))</f>
        <v>8408</v>
      </c>
      <c r="Y21" s="269">
        <f>IF(COUNT(Y19,Y20)=0,"",N(Y19)+N(Y20))</f>
        <v>8532</v>
      </c>
      <c r="Z21" s="269">
        <f>IF(COUNT(Z19,Z20)=0,"",N(Z19)+N(Z20))</f>
        <v>9245</v>
      </c>
      <c r="AA21" s="269">
        <f>IF(COUNT(AA19,AA20)=0,"",N(AA19)+N(AA20))</f>
        <v>10173</v>
      </c>
      <c r="AB21" s="270">
        <f>IF(COUNT(AB19,AB20)=0,"",N(AB19)+N(AB20))</f>
        <v>36358</v>
      </c>
      <c r="AC21" s="269">
        <f>IF(COUNT(AC19,AC20)=0,"",N(AC19)+N(AC20))</f>
        <v>9362</v>
      </c>
      <c r="AD21" s="269">
        <f>IF(COUNT(AD19,AD20)=0,"",N(AD19)+N(AD20))</f>
        <v>10624</v>
      </c>
      <c r="AE21" s="269">
        <f>IF(COUNT(AE19,AE20)=0,"",N(AE19)+N(AE20))</f>
        <v>11708</v>
      </c>
      <c r="AF21" s="269">
        <f>IF(COUNT(AF19,AF20)=0,"",N(AF19)+N(AF20))</f>
        <v>12307</v>
      </c>
      <c r="AG21" s="270">
        <f>IF(COUNT(AG19,AG20)=0,"",N(AG19)+N(AG20))</f>
        <v>44001</v>
      </c>
      <c r="AH21" s="270">
        <f>IF(COUNT(AH19,AH20)=0,"",N(AH19)+N(AH20))</f>
        <v>12133</v>
      </c>
      <c r="AI21" s="270">
        <f>IF(COUNT(AI19,AI20)=0,"",N(AI19)+N(AI20))</f>
        <v>13174</v>
      </c>
    </row>
    <row r="22">
      <c r="C22" s="268" t="inlineStr">
        <is>
          <t>Diferença vs linha 15: receita de seguros (run-off) e quebras de perímetro (cisões HealthCare 2023 e Vernova 2024)</t>
        </is>
      </c>
      <c r="D22" s="269" t="str">
        <f>IF(COUNT(D21)=0,"",ROUND(D15-D21,1))</f>
        <v/>
      </c>
      <c r="E22" s="269" t="str">
        <f>IF(COUNT(E21)=0,"",ROUND(E15-E21,1))</f>
        <v/>
      </c>
      <c r="F22" s="269" t="str">
        <f>IF(COUNT(F21)=0,"",ROUND(F15-F21,1))</f>
        <v/>
      </c>
      <c r="G22" s="269" t="str">
        <f>IF(COUNT(G21)=0,"",ROUND(G15-G21,1))</f>
        <v/>
      </c>
      <c r="H22" s="270" t="str">
        <f>IF(COUNT(H21)=0,"",ROUND(H15-H21,1))</f>
        <v/>
      </c>
      <c r="I22" s="269">
        <f>IF(COUNT(I21)=0,"",ROUND(I15-I21,1))</f>
        <v>603</v>
      </c>
      <c r="J22" s="269">
        <f>IF(COUNT(J21)=0,"",ROUND(J15-J21,1))</f>
        <v>615</v>
      </c>
      <c r="K22" s="269">
        <f>IF(COUNT(K21)=0,"",ROUND(K15-K21,1))</f>
        <v>599</v>
      </c>
      <c r="L22" s="269">
        <f>IF(COUNT(L21)=0,"",ROUND(L15-L21,1))</f>
        <v>745</v>
      </c>
      <c r="M22" s="270">
        <f>IF(COUNT(M21)=0,"",ROUND(M15-M21,1))</f>
        <v>2562</v>
      </c>
      <c r="N22" s="269">
        <f>IF(COUNT(N21)=0,"",ROUND(N15-N21,1))</f>
        <v>700</v>
      </c>
      <c r="O22" s="269">
        <f>IF(COUNT(O21)=0,"",ROUND(O15-O21,1))</f>
        <v>698</v>
      </c>
      <c r="P22" s="269">
        <f>IF(COUNT(P21)=0,"",ROUND(P15-P21,1))</f>
        <v>643</v>
      </c>
      <c r="Q22" s="269">
        <f>IF(COUNT(Q21)=0,"",ROUND(Q15-Q21,1))</f>
        <v>-4196</v>
      </c>
      <c r="R22" s="270">
        <f>IF(COUNT(R21)=0,"",ROUND(R15-R21,1))</f>
        <v>-2155</v>
      </c>
      <c r="S22" s="269">
        <f>IF(COUNT(S21)=0,"",ROUND(S15-S21,1))</f>
        <v>-5803</v>
      </c>
      <c r="T22" s="269">
        <f>IF(COUNT(T21)=0,"",ROUND(T15-T21,1))</f>
        <v>643</v>
      </c>
      <c r="U22" s="269">
        <f>IF(COUNT(U21)=0,"",ROUND(U15-U21,1))</f>
        <v>640</v>
      </c>
      <c r="V22" s="269">
        <f>IF(COUNT(V21)=0,"",ROUND(V15-V21,1))</f>
        <v>-9062</v>
      </c>
      <c r="W22" s="270">
        <f>IF(COUNT(W21)=0,"",ROUND(W15-W21,1))</f>
        <v>-13582</v>
      </c>
      <c r="X22" s="269">
        <f>IF(COUNT(X21)=0,"",ROUND(X15-X21,1))</f>
        <v>547</v>
      </c>
      <c r="Y22" s="269">
        <f>IF(COUNT(Y21)=0,"",ROUND(Y15-Y21,1))</f>
        <v>562</v>
      </c>
      <c r="Z22" s="269">
        <f>IF(COUNT(Z21)=0,"",ROUND(Z15-Z21,1))</f>
        <v>597</v>
      </c>
      <c r="AA22" s="269">
        <f>IF(COUNT(AA21)=0,"",ROUND(AA15-AA21,1))</f>
        <v>639</v>
      </c>
      <c r="AB22" s="270">
        <f>IF(COUNT(AB21)=0,"",ROUND(AB15-AB21,1))</f>
        <v>2345</v>
      </c>
      <c r="AC22" s="269">
        <f>IF(COUNT(AC21)=0,"",ROUND(AC15-AC21,1))</f>
        <v>573</v>
      </c>
      <c r="AD22" s="269">
        <f>IF(COUNT(AD21)=0,"",ROUND(AD15-AD21,1))</f>
        <v>399</v>
      </c>
      <c r="AE22" s="269">
        <f>IF(COUNT(AE21)=0,"",ROUND(AE15-AE21,1))</f>
        <v>473</v>
      </c>
      <c r="AF22" s="269">
        <f>IF(COUNT(AF21)=0,"",ROUND(AF15-AF21,1))</f>
        <v>410</v>
      </c>
      <c r="AG22" s="270">
        <f>IF(COUNT(AG21)=0,"",ROUND(AG15-AG21,1))</f>
        <v>1855</v>
      </c>
      <c r="AH22" s="270">
        <f>IF(COUNT(AH21)=0,"",ROUND(AH15-AH21,1))</f>
        <v>259</v>
      </c>
      <c r="AI22" s="270">
        <f>IF(COUNT(AI21)=0,"",ROUND(AI15-AI21,1))</f>
        <v>175</v>
      </c>
    </row>
    <row r="23">
      <c r="C23" s="268" t="inlineStr">
        <is>
          <t xml:space="preserve">   % serviços na receita</t>
        </is>
      </c>
      <c r="D23" s="272" t="str">
        <f>IFERROR(D20/D21,"")</f>
        <v/>
      </c>
      <c r="E23" s="272" t="str">
        <f>IFERROR(E20/E21,"")</f>
        <v/>
      </c>
      <c r="F23" s="272" t="str">
        <f>IFERROR(F20/F21,"")</f>
        <v/>
      </c>
      <c r="G23" s="272" t="str">
        <f>IFERROR(G20/G21,"")</f>
        <v/>
      </c>
      <c r="H23" s="273" t="str">
        <f>IFERROR(H20/H21,"")</f>
        <v/>
      </c>
      <c r="I23" s="272">
        <f>IFERROR(I20/I21,"")</f>
        <v>0.504554287102259</v>
      </c>
      <c r="J23" s="272">
        <f>IFERROR(J20/J21,"")</f>
        <v>0.518199342329062</v>
      </c>
      <c r="K23" s="272">
        <f>IFERROR(K20/K21,"")</f>
        <v>0.49432387312187</v>
      </c>
      <c r="L23" s="272">
        <f>IFERROR(L20/L21,"")</f>
        <v>0.532160752633194</v>
      </c>
      <c r="M23" s="273">
        <f>IFERROR(M20/M21,"")</f>
        <v>0.512884942904208</v>
      </c>
      <c r="N23" s="272">
        <f>IFERROR(N20/N21,"")</f>
        <v>0.599832985386221</v>
      </c>
      <c r="O23" s="272">
        <f>IFERROR(O20/O21,"")</f>
        <v>0.597959639585971</v>
      </c>
      <c r="P23" s="272">
        <f>IFERROR(P20/P21,"")</f>
        <v>0.579879945035076</v>
      </c>
      <c r="Q23" s="272">
        <f>IFERROR(Q20/Q21,"")</f>
        <v>0.549657534246575</v>
      </c>
      <c r="R23" s="273">
        <f>IFERROR(R20/R21,"")</f>
        <v>0.577329682184051</v>
      </c>
      <c r="S23" s="272">
        <f>IFERROR(S20/S21,"")</f>
        <v>0.60502969425911</v>
      </c>
      <c r="T23" s="272">
        <f>IFERROR(T20/T21,"")</f>
        <v>0.661735700197239</v>
      </c>
      <c r="U23" s="272">
        <f>IFERROR(U20/U21,"")</f>
        <v>0.713461094435465</v>
      </c>
      <c r="V23" s="272">
        <f>IFERROR(V20/V21,"")</f>
        <v>0.566691867372286</v>
      </c>
      <c r="W23" s="273">
        <f>IFERROR(W20/W21,"")</f>
        <v>0.619116715374711</v>
      </c>
      <c r="X23" s="272">
        <f>IFERROR(X20/X21,"")</f>
        <v>0.67709324452902</v>
      </c>
      <c r="Y23" s="272">
        <f>IFERROR(Y20/Y21,"")</f>
        <v>0.707219878105954</v>
      </c>
      <c r="Z23" s="272">
        <f>IFERROR(Z20/Z21,"")</f>
        <v>0.71638723634397</v>
      </c>
      <c r="AA23" s="272">
        <f>IFERROR(AA20/AA21,"")</f>
        <v>0.658016317703726</v>
      </c>
      <c r="AB23" s="273">
        <f>IFERROR(AB20/AB21,"")</f>
        <v>0.688816766598823</v>
      </c>
      <c r="AC23" s="272">
        <f>IFERROR(AC20/AC21,"")</f>
        <v>0.682546464430677</v>
      </c>
      <c r="AD23" s="272">
        <f>IFERROR(AD20/AD21,"")</f>
        <v>0.695594879518072</v>
      </c>
      <c r="AE23" s="272">
        <f>IFERROR(AE20/AE21,"")</f>
        <v>0.701656986675777</v>
      </c>
      <c r="AF23" s="272">
        <f>IFERROR(AF20/AF21,"")</f>
        <v>0.685788575607378</v>
      </c>
      <c r="AG23" s="273">
        <f>IFERROR(AG20/AG21,"")</f>
        <v>0.691688825253972</v>
      </c>
      <c r="AH23" s="273">
        <f>IFERROR(AH20/AH21,"")</f>
        <v>0.694387208439792</v>
      </c>
      <c r="AI23" s="273">
        <f>IFERROR(AI20/AI21,"")</f>
        <v>0.693259450432671</v>
      </c>
    </row>
    <row r="24"/>
    <row r="25">
      <c r="C25" s="267" t="inlineStr">
        <is>
          <t>Segmentos GE Aerospace (USD milhões; desde 4T22)</t>
        </is>
      </c>
      <c r="D25" s="267">
        <f>D7</f>
        <v>0</v>
      </c>
      <c r="E25" s="267">
        <f>E7</f>
        <v>0</v>
      </c>
      <c r="F25" s="267">
        <f>F7</f>
        <v>0</v>
      </c>
      <c r="G25" s="267">
        <f>G7</f>
        <v>0</v>
      </c>
      <c r="H25" s="267">
        <f>H7</f>
        <v>2020</v>
      </c>
      <c r="I25" s="267" t="str">
        <f>I7</f>
        <v>1Q21</v>
      </c>
      <c r="J25" s="267" t="str">
        <f>J7</f>
        <v>2Q21</v>
      </c>
      <c r="K25" s="267" t="str">
        <f>K7</f>
        <v>3Q21</v>
      </c>
      <c r="L25" s="267" t="str">
        <f>L7</f>
        <v>4Q21</v>
      </c>
      <c r="M25" s="267">
        <f>M7</f>
        <v>2021</v>
      </c>
      <c r="N25" s="267" t="str">
        <f>N7</f>
        <v>1Q22</v>
      </c>
      <c r="O25" s="267" t="str">
        <f>O7</f>
        <v>2Q22</v>
      </c>
      <c r="P25" s="267" t="str">
        <f>P7</f>
        <v>3Q22</v>
      </c>
      <c r="Q25" s="267" t="str">
        <f>Q7</f>
        <v>4Q22</v>
      </c>
      <c r="R25" s="267">
        <f>R7</f>
        <v>2022</v>
      </c>
      <c r="S25" s="267" t="str">
        <f>S7</f>
        <v>1Q23</v>
      </c>
      <c r="T25" s="267" t="str">
        <f>T7</f>
        <v>2Q23</v>
      </c>
      <c r="U25" s="267" t="str">
        <f>U7</f>
        <v>3Q23</v>
      </c>
      <c r="V25" s="267" t="str">
        <f>V7</f>
        <v>4Q23</v>
      </c>
      <c r="W25" s="267">
        <f>W7</f>
        <v>2023</v>
      </c>
      <c r="X25" s="267" t="str">
        <f>X7</f>
        <v>1Q24</v>
      </c>
      <c r="Y25" s="267" t="str">
        <f>Y7</f>
        <v>2Q24</v>
      </c>
      <c r="Z25" s="267" t="str">
        <f>Z7</f>
        <v>3Q24</v>
      </c>
      <c r="AA25" s="267" t="str">
        <f>AA7</f>
        <v>4Q24</v>
      </c>
      <c r="AB25" s="267">
        <f>AB7</f>
        <v>2024</v>
      </c>
      <c r="AC25" s="267" t="str">
        <f>AC7</f>
        <v>1Q25</v>
      </c>
      <c r="AD25" s="267" t="str">
        <f>AD7</f>
        <v>2Q25</v>
      </c>
      <c r="AE25" s="267" t="str">
        <f>AE7</f>
        <v>3Q25</v>
      </c>
      <c r="AF25" s="267" t="str">
        <f>AF7</f>
        <v>4Q25</v>
      </c>
      <c r="AG25" s="267">
        <f>AG7</f>
        <v>2025</v>
      </c>
      <c r="AH25" s="267" t="str">
        <f>AH7</f>
        <v>1Q26</v>
      </c>
      <c r="AI25" s="267" t="str">
        <f>AI7</f>
        <v>2Q26</v>
      </c>
    </row>
    <row r="26">
      <c r="C26" s="268" t="inlineStr">
        <is>
          <t xml:space="preserve">   Receita CES</t>
        </is>
      </c>
      <c r="D26" s="269" t="str">
        <f>IFERROR(INDEX('Inputs (2)'!$D$55:$AL$55,MATCH(D$7&amp;"",'Inputs (2)'!$D$2:$AL$2,0)),"")</f>
        <v/>
      </c>
      <c r="E26" s="269" t="str">
        <f>IFERROR(INDEX('Inputs (2)'!$D$55:$AL$55,MATCH(E$7&amp;"",'Inputs (2)'!$D$2:$AL$2,0)),"")</f>
        <v/>
      </c>
      <c r="F26" s="269" t="str">
        <f>IFERROR(INDEX('Inputs (2)'!$D$55:$AL$55,MATCH(F$7&amp;"",'Inputs (2)'!$D$2:$AL$2,0)),"")</f>
        <v/>
      </c>
      <c r="G26" s="269" t="str">
        <f>IFERROR(INDEX('Inputs (2)'!$D$55:$AL$55,MATCH(G$7&amp;"",'Inputs (2)'!$D$2:$AL$2,0)),"")</f>
        <v/>
      </c>
      <c r="H26" s="270" t="str">
        <f>IF(COUNT(D26:G26)=4,SUM(D26:G26),"")</f>
        <v/>
      </c>
      <c r="I26" s="269" t="str">
        <f>IFERROR(INDEX('Inputs (2)'!$D$55:$AL$55,MATCH(I$7&amp;"",'Inputs (2)'!$D$2:$AL$2,0)),"")</f>
        <v/>
      </c>
      <c r="J26" s="269" t="str">
        <f>IFERROR(INDEX('Inputs (2)'!$D$55:$AL$55,MATCH(J$7&amp;"",'Inputs (2)'!$D$2:$AL$2,0)),"")</f>
        <v/>
      </c>
      <c r="K26" s="269" t="str">
        <f>IFERROR(INDEX('Inputs (2)'!$D$55:$AL$55,MATCH(K$7&amp;"",'Inputs (2)'!$D$2:$AL$2,0)),"")</f>
        <v/>
      </c>
      <c r="L26" s="269" t="str">
        <f>IFERROR(INDEX('Inputs (2)'!$D$55:$AL$55,MATCH(L$7&amp;"",'Inputs (2)'!$D$2:$AL$2,0)),"")</f>
        <v/>
      </c>
      <c r="M26" s="270" t="str">
        <f>IF(COUNT(I26:L26)=4,SUM(I26:L26),"")</f>
        <v/>
      </c>
      <c r="N26" s="269" t="str">
        <f>IFERROR(INDEX('Inputs (2)'!$D$55:$AL$55,MATCH(N$7&amp;"",'Inputs (2)'!$D$2:$AL$2,0)),"")</f>
        <v/>
      </c>
      <c r="O26" s="269" t="str">
        <f>IFERROR(INDEX('Inputs (2)'!$D$55:$AL$55,MATCH(O$7&amp;"",'Inputs (2)'!$D$2:$AL$2,0)),"")</f>
        <v/>
      </c>
      <c r="P26" s="269" t="str">
        <f>IFERROR(INDEX('Inputs (2)'!$D$55:$AL$55,MATCH(P$7&amp;"",'Inputs (2)'!$D$2:$AL$2,0)),"")</f>
        <v/>
      </c>
      <c r="Q26" s="269" t="str">
        <f>IFERROR(INDEX('Inputs (2)'!$D$55:$AL$55,MATCH(Q$7&amp;"",'Inputs (2)'!$D$2:$AL$2,0)),"")</f>
        <v/>
      </c>
      <c r="R26" s="270" t="str">
        <f>IF(COUNT(N26:Q26)=4,SUM(N26:Q26),"")</f>
        <v/>
      </c>
      <c r="S26" s="269" t="str">
        <f>IFERROR(INDEX('Inputs (2)'!$D$55:$AL$55,MATCH(S$7&amp;"",'Inputs (2)'!$D$2:$AL$2,0)),"")</f>
        <v/>
      </c>
      <c r="T26" s="269">
        <f>IFERROR(INDEX('Inputs (2)'!$D$55:$AL$55,MATCH(T$7&amp;"",'Inputs (2)'!$D$2:$AL$2,0)),"")</f>
        <v>5737</v>
      </c>
      <c r="U26" s="269">
        <f>IFERROR(INDEX('Inputs (2)'!$D$55:$AL$55,MATCH(U$7&amp;"",'Inputs (2)'!$D$2:$AL$2,0)),"")</f>
        <v>6457</v>
      </c>
      <c r="V26" s="269">
        <f>IFERROR(INDEX('Inputs (2)'!$D$55:$AL$55,MATCH(V$7&amp;"",'Inputs (2)'!$D$2:$AL$2,0)),"")</f>
        <v>6429</v>
      </c>
      <c r="W26" s="270" t="str">
        <f>IF(COUNT(S26:V26)=4,SUM(S26:V26),"")</f>
        <v/>
      </c>
      <c r="X26" s="269">
        <f>IFERROR(INDEX('Inputs (2)'!$D$55:$AL$55,MATCH(X$7&amp;"",'Inputs (2)'!$D$2:$AL$2,0)),"")</f>
        <v>6095</v>
      </c>
      <c r="Y26" s="269">
        <f>IFERROR(INDEX('Inputs (2)'!$D$55:$AL$55,MATCH(Y$7&amp;"",'Inputs (2)'!$D$2:$AL$2,0)),"")</f>
        <v>6132</v>
      </c>
      <c r="Z26" s="269">
        <f>IFERROR(INDEX('Inputs (2)'!$D$55:$AL$55,MATCH(Z$7&amp;"",'Inputs (2)'!$D$2:$AL$2,0)),"")</f>
        <v>7003</v>
      </c>
      <c r="AA26" s="269">
        <f>IFERROR(INDEX('Inputs (2)'!$D$55:$AL$55,MATCH(AA$7&amp;"",'Inputs (2)'!$D$2:$AL$2,0)),"")</f>
        <v>7650</v>
      </c>
      <c r="AB26" s="270">
        <f>IF(COUNT(X26:AA26)=4,SUM(X26:AA26),"")</f>
        <v>26880</v>
      </c>
      <c r="AC26" s="269">
        <f>IFERROR(INDEX('Inputs (2)'!$D$55:$AL$55,MATCH(AC$7&amp;"",'Inputs (2)'!$D$2:$AL$2,0)),"")</f>
        <v>6663</v>
      </c>
      <c r="AD26" s="269">
        <f>IFERROR(INDEX('Inputs (2)'!$D$55:$AL$55,MATCH(AD$7&amp;"",'Inputs (2)'!$D$2:$AL$2,0)),"")</f>
        <v>7646</v>
      </c>
      <c r="AE26" s="269">
        <f>IFERROR(INDEX('Inputs (2)'!$D$55:$AL$55,MATCH(AE$7&amp;"",'Inputs (2)'!$D$2:$AL$2,0)),"")</f>
        <v>8880</v>
      </c>
      <c r="AF26" s="269">
        <f>IFERROR(INDEX('Inputs (2)'!$D$55:$AL$55,MATCH(AF$7&amp;"",'Inputs (2)'!$D$2:$AL$2,0)),"")</f>
        <v>9468</v>
      </c>
      <c r="AG26" s="270">
        <f>IF(COUNT(AC26:AF26)=4,SUM(AC26:AF26),"")</f>
        <v>32657</v>
      </c>
      <c r="AH26" s="270">
        <f>IFERROR(INDEX('Inputs (2)'!$D$55:$AL$55,MATCH(AH$7&amp;"",'Inputs (2)'!$D$2:$AL$2,0)),"")</f>
        <v>8920</v>
      </c>
      <c r="AI26" s="270">
        <f>IFERROR(INDEX('Inputs (2)'!$D$55:$AL$55,MATCH(AI$7&amp;"",'Inputs (2)'!$D$2:$AL$2,0)),"")</f>
        <v>9731</v>
      </c>
    </row>
    <row r="27">
      <c r="C27" s="268" t="inlineStr">
        <is>
          <t xml:space="preserve">      dos quais serviços</t>
        </is>
      </c>
      <c r="D27" s="269" t="str">
        <f>IFERROR(INDEX('Inputs (2)'!$D$59:$AL$59,MATCH(D$7&amp;"",'Inputs (2)'!$D$2:$AL$2,0)),"")</f>
        <v/>
      </c>
      <c r="E27" s="269" t="str">
        <f>IFERROR(INDEX('Inputs (2)'!$D$59:$AL$59,MATCH(E$7&amp;"",'Inputs (2)'!$D$2:$AL$2,0)),"")</f>
        <v/>
      </c>
      <c r="F27" s="269" t="str">
        <f>IFERROR(INDEX('Inputs (2)'!$D$59:$AL$59,MATCH(F$7&amp;"",'Inputs (2)'!$D$2:$AL$2,0)),"")</f>
        <v/>
      </c>
      <c r="G27" s="269" t="str">
        <f>IFERROR(INDEX('Inputs (2)'!$D$59:$AL$59,MATCH(G$7&amp;"",'Inputs (2)'!$D$2:$AL$2,0)),"")</f>
        <v/>
      </c>
      <c r="H27" s="270" t="str">
        <f>IF(COUNT(D27:G27)=4,SUM(D27:G27),"")</f>
        <v/>
      </c>
      <c r="I27" s="269" t="str">
        <f>IFERROR(INDEX('Inputs (2)'!$D$59:$AL$59,MATCH(I$7&amp;"",'Inputs (2)'!$D$2:$AL$2,0)),"")</f>
        <v/>
      </c>
      <c r="J27" s="269" t="str">
        <f>IFERROR(INDEX('Inputs (2)'!$D$59:$AL$59,MATCH(J$7&amp;"",'Inputs (2)'!$D$2:$AL$2,0)),"")</f>
        <v/>
      </c>
      <c r="K27" s="269" t="str">
        <f>IFERROR(INDEX('Inputs (2)'!$D$59:$AL$59,MATCH(K$7&amp;"",'Inputs (2)'!$D$2:$AL$2,0)),"")</f>
        <v/>
      </c>
      <c r="L27" s="269" t="str">
        <f>IFERROR(INDEX('Inputs (2)'!$D$59:$AL$59,MATCH(L$7&amp;"",'Inputs (2)'!$D$2:$AL$2,0)),"")</f>
        <v/>
      </c>
      <c r="M27" s="270" t="str">
        <f>IF(COUNT(I27:L27)=4,SUM(I27:L27),"")</f>
        <v/>
      </c>
      <c r="N27" s="269" t="str">
        <f>IFERROR(INDEX('Inputs (2)'!$D$59:$AL$59,MATCH(N$7&amp;"",'Inputs (2)'!$D$2:$AL$2,0)),"")</f>
        <v/>
      </c>
      <c r="O27" s="269" t="str">
        <f>IFERROR(INDEX('Inputs (2)'!$D$59:$AL$59,MATCH(O$7&amp;"",'Inputs (2)'!$D$2:$AL$2,0)),"")</f>
        <v/>
      </c>
      <c r="P27" s="269" t="str">
        <f>IFERROR(INDEX('Inputs (2)'!$D$59:$AL$59,MATCH(P$7&amp;"",'Inputs (2)'!$D$2:$AL$2,0)),"")</f>
        <v/>
      </c>
      <c r="Q27" s="269" t="str">
        <f>IFERROR(INDEX('Inputs (2)'!$D$59:$AL$59,MATCH(Q$7&amp;"",'Inputs (2)'!$D$2:$AL$2,0)),"")</f>
        <v/>
      </c>
      <c r="R27" s="270" t="str">
        <f>IF(COUNT(N27:Q27)=4,SUM(N27:Q27),"")</f>
        <v/>
      </c>
      <c r="S27" s="269" t="str">
        <f>IFERROR(INDEX('Inputs (2)'!$D$59:$AL$59,MATCH(S$7&amp;"",'Inputs (2)'!$D$2:$AL$2,0)),"")</f>
        <v/>
      </c>
      <c r="T27" s="269">
        <f>IFERROR(INDEX('Inputs (2)'!$D$59:$AL$59,MATCH(T$7&amp;"",'Inputs (2)'!$D$2:$AL$2,0)),"")</f>
        <v>4130</v>
      </c>
      <c r="U27" s="269">
        <f>IFERROR(INDEX('Inputs (2)'!$D$59:$AL$59,MATCH(U$7&amp;"",'Inputs (2)'!$D$2:$AL$2,0)),"")</f>
        <v>4853</v>
      </c>
      <c r="V27" s="269">
        <f>IFERROR(INDEX('Inputs (2)'!$D$59:$AL$59,MATCH(V$7&amp;"",'Inputs (2)'!$D$2:$AL$2,0)),"")</f>
        <v>4770</v>
      </c>
      <c r="W27" s="270" t="str">
        <f>IF(COUNT(S27:V27)=4,SUM(S27:V27),"")</f>
        <v/>
      </c>
      <c r="X27" s="269">
        <f>IFERROR(INDEX('Inputs (2)'!$D$59:$AL$59,MATCH(X$7&amp;"",'Inputs (2)'!$D$2:$AL$2,0)),"")</f>
        <v>4390</v>
      </c>
      <c r="Y27" s="269">
        <f>IFERROR(INDEX('Inputs (2)'!$D$59:$AL$59,MATCH(Y$7&amp;"",'Inputs (2)'!$D$2:$AL$2,0)),"")</f>
        <v>4705</v>
      </c>
      <c r="Z27" s="269">
        <f>IFERROR(INDEX('Inputs (2)'!$D$59:$AL$59,MATCH(Z$7&amp;"",'Inputs (2)'!$D$2:$AL$2,0)),"")</f>
        <v>5317</v>
      </c>
      <c r="AA27" s="269">
        <f>IFERROR(INDEX('Inputs (2)'!$D$59:$AL$59,MATCH(AA$7&amp;"",'Inputs (2)'!$D$2:$AL$2,0)),"")</f>
        <v>5363</v>
      </c>
      <c r="AB27" s="270">
        <f>IF(COUNT(X27:AA27)=4,SUM(X27:AA27),"")</f>
        <v>19775</v>
      </c>
      <c r="AC27" s="269">
        <f>IFERROR(INDEX('Inputs (2)'!$D$59:$AL$59,MATCH(AC$7&amp;"",'Inputs (2)'!$D$2:$AL$2,0)),"")</f>
        <v>4915</v>
      </c>
      <c r="AD27" s="269">
        <f>IFERROR(INDEX('Inputs (2)'!$D$59:$AL$59,MATCH(AD$7&amp;"",'Inputs (2)'!$D$2:$AL$2,0)),"")</f>
        <v>5881</v>
      </c>
      <c r="AE27" s="269">
        <f>IFERROR(INDEX('Inputs (2)'!$D$59:$AL$59,MATCH(AE$7&amp;"",'Inputs (2)'!$D$2:$AL$2,0)),"")</f>
        <v>6820</v>
      </c>
      <c r="AF27" s="269">
        <f>IFERROR(INDEX('Inputs (2)'!$D$59:$AL$59,MATCH(AF$7&amp;"",'Inputs (2)'!$D$2:$AL$2,0)),"")</f>
        <v>7012</v>
      </c>
      <c r="AG27" s="270">
        <f>IF(COUNT(AC27:AF27)=4,SUM(AC27:AF27),"")</f>
        <v>24628</v>
      </c>
      <c r="AH27" s="270">
        <f>IFERROR(INDEX('Inputs (2)'!$D$59:$AL$59,MATCH(AH$7&amp;"",'Inputs (2)'!$D$2:$AL$2,0)),"")</f>
        <v>6817</v>
      </c>
      <c r="AI27" s="270">
        <f>IFERROR(INDEX('Inputs (2)'!$D$59:$AL$59,MATCH(AI$7&amp;"",'Inputs (2)'!$D$2:$AL$2,0)),"")</f>
        <v>7434</v>
      </c>
    </row>
    <row r="28">
      <c r="C28" s="268" t="inlineStr">
        <is>
          <t xml:space="preserve">   Receita DPT</t>
        </is>
      </c>
      <c r="D28" s="269" t="str">
        <f>IFERROR(INDEX('Inputs (2)'!$D$56:$AL$56,MATCH(D$7&amp;"",'Inputs (2)'!$D$2:$AL$2,0)),"")</f>
        <v/>
      </c>
      <c r="E28" s="269" t="str">
        <f>IFERROR(INDEX('Inputs (2)'!$D$56:$AL$56,MATCH(E$7&amp;"",'Inputs (2)'!$D$2:$AL$2,0)),"")</f>
        <v/>
      </c>
      <c r="F28" s="269" t="str">
        <f>IFERROR(INDEX('Inputs (2)'!$D$56:$AL$56,MATCH(F$7&amp;"",'Inputs (2)'!$D$2:$AL$2,0)),"")</f>
        <v/>
      </c>
      <c r="G28" s="269" t="str">
        <f>IFERROR(INDEX('Inputs (2)'!$D$56:$AL$56,MATCH(G$7&amp;"",'Inputs (2)'!$D$2:$AL$2,0)),"")</f>
        <v/>
      </c>
      <c r="H28" s="270" t="str">
        <f>IF(COUNT(D28:G28)=4,SUM(D28:G28),"")</f>
        <v/>
      </c>
      <c r="I28" s="269" t="str">
        <f>IFERROR(INDEX('Inputs (2)'!$D$56:$AL$56,MATCH(I$7&amp;"",'Inputs (2)'!$D$2:$AL$2,0)),"")</f>
        <v/>
      </c>
      <c r="J28" s="269" t="str">
        <f>IFERROR(INDEX('Inputs (2)'!$D$56:$AL$56,MATCH(J$7&amp;"",'Inputs (2)'!$D$2:$AL$2,0)),"")</f>
        <v/>
      </c>
      <c r="K28" s="269" t="str">
        <f>IFERROR(INDEX('Inputs (2)'!$D$56:$AL$56,MATCH(K$7&amp;"",'Inputs (2)'!$D$2:$AL$2,0)),"")</f>
        <v/>
      </c>
      <c r="L28" s="269" t="str">
        <f>IFERROR(INDEX('Inputs (2)'!$D$56:$AL$56,MATCH(L$7&amp;"",'Inputs (2)'!$D$2:$AL$2,0)),"")</f>
        <v/>
      </c>
      <c r="M28" s="270" t="str">
        <f>IF(COUNT(I28:L28)=4,SUM(I28:L28),"")</f>
        <v/>
      </c>
      <c r="N28" s="269" t="str">
        <f>IFERROR(INDEX('Inputs (2)'!$D$56:$AL$56,MATCH(N$7&amp;"",'Inputs (2)'!$D$2:$AL$2,0)),"")</f>
        <v/>
      </c>
      <c r="O28" s="269" t="str">
        <f>IFERROR(INDEX('Inputs (2)'!$D$56:$AL$56,MATCH(O$7&amp;"",'Inputs (2)'!$D$2:$AL$2,0)),"")</f>
        <v/>
      </c>
      <c r="P28" s="269" t="str">
        <f>IFERROR(INDEX('Inputs (2)'!$D$56:$AL$56,MATCH(P$7&amp;"",'Inputs (2)'!$D$2:$AL$2,0)),"")</f>
        <v/>
      </c>
      <c r="Q28" s="269" t="str">
        <f>IFERROR(INDEX('Inputs (2)'!$D$56:$AL$56,MATCH(Q$7&amp;"",'Inputs (2)'!$D$2:$AL$2,0)),"")</f>
        <v/>
      </c>
      <c r="R28" s="270" t="str">
        <f>IF(COUNT(N28:Q28)=4,SUM(N28:Q28),"")</f>
        <v/>
      </c>
      <c r="S28" s="269" t="str">
        <f>IFERROR(INDEX('Inputs (2)'!$D$56:$AL$56,MATCH(S$7&amp;"",'Inputs (2)'!$D$2:$AL$2,0)),"")</f>
        <v/>
      </c>
      <c r="T28" s="269">
        <f>IFERROR(INDEX('Inputs (2)'!$D$56:$AL$56,MATCH(T$7&amp;"",'Inputs (2)'!$D$2:$AL$2,0)),"")</f>
        <v>2375</v>
      </c>
      <c r="U28" s="269">
        <f>IFERROR(INDEX('Inputs (2)'!$D$56:$AL$56,MATCH(U$7&amp;"",'Inputs (2)'!$D$2:$AL$2,0)),"")</f>
        <v>2205</v>
      </c>
      <c r="V28" s="269">
        <f>IFERROR(INDEX('Inputs (2)'!$D$56:$AL$56,MATCH(V$7&amp;"",'Inputs (2)'!$D$2:$AL$2,0)),"")</f>
        <v>2415</v>
      </c>
      <c r="W28" s="270" t="str">
        <f>IF(COUNT(S28:V28)=4,SUM(S28:V28),"")</f>
        <v/>
      </c>
      <c r="X28" s="269">
        <f>IFERROR(INDEX('Inputs (2)'!$D$56:$AL$56,MATCH(X$7&amp;"",'Inputs (2)'!$D$2:$AL$2,0)),"")</f>
        <v>2312</v>
      </c>
      <c r="Y28" s="269">
        <f>IFERROR(INDEX('Inputs (2)'!$D$56:$AL$56,MATCH(Y$7&amp;"",'Inputs (2)'!$D$2:$AL$2,0)),"")</f>
        <v>2401</v>
      </c>
      <c r="Z28" s="269">
        <f>IFERROR(INDEX('Inputs (2)'!$D$56:$AL$56,MATCH(Z$7&amp;"",'Inputs (2)'!$D$2:$AL$2,0)),"")</f>
        <v>2243</v>
      </c>
      <c r="AA28" s="269">
        <f>IFERROR(INDEX('Inputs (2)'!$D$56:$AL$56,MATCH(AA$7&amp;"",'Inputs (2)'!$D$2:$AL$2,0)),"")</f>
        <v>2523</v>
      </c>
      <c r="AB28" s="270">
        <f>IF(COUNT(X28:AA28)=4,SUM(X28:AA28),"")</f>
        <v>9479</v>
      </c>
      <c r="AC28" s="269">
        <f>IFERROR(INDEX('Inputs (2)'!$D$56:$AL$56,MATCH(AC$7&amp;"",'Inputs (2)'!$D$2:$AL$2,0)),"")</f>
        <v>2698</v>
      </c>
      <c r="AD28" s="269">
        <f>IFERROR(INDEX('Inputs (2)'!$D$56:$AL$56,MATCH(AD$7&amp;"",'Inputs (2)'!$D$2:$AL$2,0)),"")</f>
        <v>2978</v>
      </c>
      <c r="AE28" s="269">
        <f>IFERROR(INDEX('Inputs (2)'!$D$56:$AL$56,MATCH(AE$7&amp;"",'Inputs (2)'!$D$2:$AL$2,0)),"")</f>
        <v>2828</v>
      </c>
      <c r="AF28" s="269">
        <f>IFERROR(INDEX('Inputs (2)'!$D$56:$AL$56,MATCH(AF$7&amp;"",'Inputs (2)'!$D$2:$AL$2,0)),"")</f>
        <v>2839</v>
      </c>
      <c r="AG28" s="270">
        <f>IF(COUNT(AC28:AF28)=4,SUM(AC28:AF28),"")</f>
        <v>11343</v>
      </c>
      <c r="AH28" s="270">
        <f>IFERROR(INDEX('Inputs (2)'!$D$56:$AL$56,MATCH(AH$7&amp;"",'Inputs (2)'!$D$2:$AL$2,0)),"")</f>
        <v>3214</v>
      </c>
      <c r="AI28" s="270">
        <f>IFERROR(INDEX('Inputs (2)'!$D$56:$AL$56,MATCH(AI$7&amp;"",'Inputs (2)'!$D$2:$AL$2,0)),"")</f>
        <v>3443</v>
      </c>
    </row>
    <row r="29">
      <c r="C29" s="268" t="inlineStr">
        <is>
          <t xml:space="preserve">   % YoY CES</t>
        </is>
      </c>
      <c r="D29" s="272" t="str">
        <f>""</f>
        <v/>
      </c>
      <c r="E29" s="272" t="str">
        <f>""</f>
        <v/>
      </c>
      <c r="F29" s="272" t="str">
        <f>""</f>
        <v/>
      </c>
      <c r="G29" s="272" t="str">
        <f>""</f>
        <v/>
      </c>
      <c r="H29" s="273" t="str">
        <f>""</f>
        <v/>
      </c>
      <c r="I29" s="272" t="str">
        <f>IFERROR(I26/D26-1,"")</f>
        <v/>
      </c>
      <c r="J29" s="272" t="str">
        <f>IFERROR(J26/E26-1,"")</f>
        <v/>
      </c>
      <c r="K29" s="272" t="str">
        <f>IFERROR(K26/F26-1,"")</f>
        <v/>
      </c>
      <c r="L29" s="272" t="str">
        <f>IFERROR(L26/G26-1,"")</f>
        <v/>
      </c>
      <c r="M29" s="273" t="str">
        <f>IFERROR(M26/H26-1,"")</f>
        <v/>
      </c>
      <c r="N29" s="272" t="str">
        <f>IFERROR(N26/I26-1,"")</f>
        <v/>
      </c>
      <c r="O29" s="272" t="str">
        <f>IFERROR(O26/J26-1,"")</f>
        <v/>
      </c>
      <c r="P29" s="272" t="str">
        <f>IFERROR(P26/K26-1,"")</f>
        <v/>
      </c>
      <c r="Q29" s="272" t="str">
        <f>IFERROR(Q26/L26-1,"")</f>
        <v/>
      </c>
      <c r="R29" s="273" t="str">
        <f>IFERROR(R26/M26-1,"")</f>
        <v/>
      </c>
      <c r="S29" s="272" t="str">
        <f>IFERROR(S26/N26-1,"")</f>
        <v/>
      </c>
      <c r="T29" s="272" t="str">
        <f>IFERROR(T26/O26-1,"")</f>
        <v/>
      </c>
      <c r="U29" s="272" t="str">
        <f>IFERROR(U26/P26-1,"")</f>
        <v/>
      </c>
      <c r="V29" s="272" t="str">
        <f>IFERROR(V26/Q26-1,"")</f>
        <v/>
      </c>
      <c r="W29" s="273" t="str">
        <f>IFERROR(W26/R26-1,"")</f>
        <v/>
      </c>
      <c r="X29" s="272" t="str">
        <f>IFERROR(X26/S26-1,"")</f>
        <v/>
      </c>
      <c r="Y29" s="272">
        <f>IFERROR(Y26/T26-1,"")</f>
        <v>0.0688513160188251</v>
      </c>
      <c r="Z29" s="272">
        <f>IFERROR(Z26/U26-1,"")</f>
        <v>0.0845593929069228</v>
      </c>
      <c r="AA29" s="272">
        <f>IFERROR(AA26/V26-1,"")</f>
        <v>0.189920671955203</v>
      </c>
      <c r="AB29" s="273" t="str">
        <f>IFERROR(AB26/W26-1,"")</f>
        <v/>
      </c>
      <c r="AC29" s="272">
        <f>IFERROR(AC26/X26-1,"")</f>
        <v>0.0931911402789172</v>
      </c>
      <c r="AD29" s="272">
        <f>IFERROR(AD26/Y26-1,"")</f>
        <v>0.246901500326158</v>
      </c>
      <c r="AE29" s="272">
        <f>IFERROR(AE26/Z26-1,"")</f>
        <v>0.268027988005141</v>
      </c>
      <c r="AF29" s="272">
        <f>IFERROR(AF26/AA26-1,"")</f>
        <v>0.237647058823529</v>
      </c>
      <c r="AG29" s="273">
        <f>IFERROR(AG26/AB26-1,"")</f>
        <v>0.214918154761905</v>
      </c>
      <c r="AH29" s="273">
        <f>IFERROR(AH26/AC26-1,"")</f>
        <v>0.338736304967732</v>
      </c>
      <c r="AI29" s="273">
        <f>IFERROR(AI26/AD26-1,"")</f>
        <v>0.272691603452786</v>
      </c>
    </row>
    <row r="30">
      <c r="C30" s="268" t="inlineStr">
        <is>
          <t xml:space="preserve">   Lucro CES</t>
        </is>
      </c>
      <c r="D30" s="269" t="str">
        <f>IFERROR(INDEX('Inputs (2)'!$D$57:$AL$57,MATCH(D$7&amp;"",'Inputs (2)'!$D$2:$AL$2,0)),"")</f>
        <v/>
      </c>
      <c r="E30" s="269" t="str">
        <f>IFERROR(INDEX('Inputs (2)'!$D$57:$AL$57,MATCH(E$7&amp;"",'Inputs (2)'!$D$2:$AL$2,0)),"")</f>
        <v/>
      </c>
      <c r="F30" s="269" t="str">
        <f>IFERROR(INDEX('Inputs (2)'!$D$57:$AL$57,MATCH(F$7&amp;"",'Inputs (2)'!$D$2:$AL$2,0)),"")</f>
        <v/>
      </c>
      <c r="G30" s="269" t="str">
        <f>IFERROR(INDEX('Inputs (2)'!$D$57:$AL$57,MATCH(G$7&amp;"",'Inputs (2)'!$D$2:$AL$2,0)),"")</f>
        <v/>
      </c>
      <c r="H30" s="270" t="str">
        <f>IF(COUNT(D30:G30)=4,SUM(D30:G30),"")</f>
        <v/>
      </c>
      <c r="I30" s="269" t="str">
        <f>IFERROR(INDEX('Inputs (2)'!$D$57:$AL$57,MATCH(I$7&amp;"",'Inputs (2)'!$D$2:$AL$2,0)),"")</f>
        <v/>
      </c>
      <c r="J30" s="269" t="str">
        <f>IFERROR(INDEX('Inputs (2)'!$D$57:$AL$57,MATCH(J$7&amp;"",'Inputs (2)'!$D$2:$AL$2,0)),"")</f>
        <v/>
      </c>
      <c r="K30" s="269" t="str">
        <f>IFERROR(INDEX('Inputs (2)'!$D$57:$AL$57,MATCH(K$7&amp;"",'Inputs (2)'!$D$2:$AL$2,0)),"")</f>
        <v/>
      </c>
      <c r="L30" s="269" t="str">
        <f>IFERROR(INDEX('Inputs (2)'!$D$57:$AL$57,MATCH(L$7&amp;"",'Inputs (2)'!$D$2:$AL$2,0)),"")</f>
        <v/>
      </c>
      <c r="M30" s="270" t="str">
        <f>IF(COUNT(I30:L30)=4,SUM(I30:L30),"")</f>
        <v/>
      </c>
      <c r="N30" s="269" t="str">
        <f>IFERROR(INDEX('Inputs (2)'!$D$57:$AL$57,MATCH(N$7&amp;"",'Inputs (2)'!$D$2:$AL$2,0)),"")</f>
        <v/>
      </c>
      <c r="O30" s="269" t="str">
        <f>IFERROR(INDEX('Inputs (2)'!$D$57:$AL$57,MATCH(O$7&amp;"",'Inputs (2)'!$D$2:$AL$2,0)),"")</f>
        <v/>
      </c>
      <c r="P30" s="269" t="str">
        <f>IFERROR(INDEX('Inputs (2)'!$D$57:$AL$57,MATCH(P$7&amp;"",'Inputs (2)'!$D$2:$AL$2,0)),"")</f>
        <v/>
      </c>
      <c r="Q30" s="269" t="str">
        <f>IFERROR(INDEX('Inputs (2)'!$D$57:$AL$57,MATCH(Q$7&amp;"",'Inputs (2)'!$D$2:$AL$2,0)),"")</f>
        <v/>
      </c>
      <c r="R30" s="270" t="str">
        <f>IF(COUNT(N30:Q30)=4,SUM(N30:Q30),"")</f>
        <v/>
      </c>
      <c r="S30" s="269" t="str">
        <f>IFERROR(INDEX('Inputs (2)'!$D$57:$AL$57,MATCH(S$7&amp;"",'Inputs (2)'!$D$2:$AL$2,0)),"")</f>
        <v/>
      </c>
      <c r="T30" s="269">
        <f>IFERROR(INDEX('Inputs (2)'!$D$57:$AL$57,MATCH(T$7&amp;"",'Inputs (2)'!$D$2:$AL$2,0)),"")</f>
        <v>1389</v>
      </c>
      <c r="U30" s="269">
        <f>IFERROR(INDEX('Inputs (2)'!$D$57:$AL$57,MATCH(U$7&amp;"",'Inputs (2)'!$D$2:$AL$2,0)),"")</f>
        <v>1545</v>
      </c>
      <c r="V30" s="269">
        <f>IFERROR(INDEX('Inputs (2)'!$D$57:$AL$57,MATCH(V$7&amp;"",'Inputs (2)'!$D$2:$AL$2,0)),"")</f>
        <v>1495</v>
      </c>
      <c r="W30" s="270" t="str">
        <f>IF(COUNT(S30:V30)=4,SUM(S30:V30),"")</f>
        <v/>
      </c>
      <c r="X30" s="269">
        <f>IFERROR(INDEX('Inputs (2)'!$D$57:$AL$57,MATCH(X$7&amp;"",'Inputs (2)'!$D$2:$AL$2,0)),"")</f>
        <v>1419</v>
      </c>
      <c r="Y30" s="269">
        <f>IFERROR(INDEX('Inputs (2)'!$D$57:$AL$57,MATCH(Y$7&amp;"",'Inputs (2)'!$D$2:$AL$2,0)),"")</f>
        <v>1679</v>
      </c>
      <c r="Z30" s="269">
        <f>IFERROR(INDEX('Inputs (2)'!$D$57:$AL$57,MATCH(Z$7&amp;"",'Inputs (2)'!$D$2:$AL$2,0)),"")</f>
        <v>1799</v>
      </c>
      <c r="AA30" s="269">
        <f>IFERROR(INDEX('Inputs (2)'!$D$57:$AL$57,MATCH(AA$7&amp;"",'Inputs (2)'!$D$2:$AL$2,0)),"")</f>
        <v>2158</v>
      </c>
      <c r="AB30" s="270">
        <f>IF(COUNT(X30:AA30)=4,SUM(X30:AA30),"")</f>
        <v>7055</v>
      </c>
      <c r="AC30" s="269">
        <f>IFERROR(INDEX('Inputs (2)'!$D$57:$AL$57,MATCH(AC$7&amp;"",'Inputs (2)'!$D$2:$AL$2,0)),"")</f>
        <v>1910</v>
      </c>
      <c r="AD30" s="269">
        <f>IFERROR(INDEX('Inputs (2)'!$D$57:$AL$57,MATCH(AD$7&amp;"",'Inputs (2)'!$D$2:$AL$2,0)),"")</f>
        <v>2208</v>
      </c>
      <c r="AE30" s="269">
        <f>IFERROR(INDEX('Inputs (2)'!$D$57:$AL$57,MATCH(AE$7&amp;"",'Inputs (2)'!$D$2:$AL$2,0)),"")</f>
        <v>2436</v>
      </c>
      <c r="AF30" s="269">
        <f>IFERROR(INDEX('Inputs (2)'!$D$57:$AL$57,MATCH(AF$7&amp;"",'Inputs (2)'!$D$2:$AL$2,0)),"")</f>
        <v>2273</v>
      </c>
      <c r="AG30" s="270">
        <f>IF(COUNT(AC30:AF30)=4,SUM(AC30:AF30),"")</f>
        <v>8827</v>
      </c>
      <c r="AH30" s="270">
        <f>IFERROR(INDEX('Inputs (2)'!$D$57:$AL$57,MATCH(AH$7&amp;"",'Inputs (2)'!$D$2:$AL$2,0)),"")</f>
        <v>2356</v>
      </c>
      <c r="AI30" s="270">
        <f>IFERROR(INDEX('Inputs (2)'!$D$57:$AL$57,MATCH(AI$7&amp;"",'Inputs (2)'!$D$2:$AL$2,0)),"")</f>
        <v>2657</v>
      </c>
    </row>
    <row r="31">
      <c r="C31" s="268" t="inlineStr">
        <is>
          <t xml:space="preserve">   Lucro DPT</t>
        </is>
      </c>
      <c r="D31" s="269" t="str">
        <f>IFERROR(INDEX('Inputs (2)'!$D$58:$AL$58,MATCH(D$7&amp;"",'Inputs (2)'!$D$2:$AL$2,0)),"")</f>
        <v/>
      </c>
      <c r="E31" s="269" t="str">
        <f>IFERROR(INDEX('Inputs (2)'!$D$58:$AL$58,MATCH(E$7&amp;"",'Inputs (2)'!$D$2:$AL$2,0)),"")</f>
        <v/>
      </c>
      <c r="F31" s="269" t="str">
        <f>IFERROR(INDEX('Inputs (2)'!$D$58:$AL$58,MATCH(F$7&amp;"",'Inputs (2)'!$D$2:$AL$2,0)),"")</f>
        <v/>
      </c>
      <c r="G31" s="269" t="str">
        <f>IFERROR(INDEX('Inputs (2)'!$D$58:$AL$58,MATCH(G$7&amp;"",'Inputs (2)'!$D$2:$AL$2,0)),"")</f>
        <v/>
      </c>
      <c r="H31" s="270" t="str">
        <f>IF(COUNT(D31:G31)=4,SUM(D31:G31),"")</f>
        <v/>
      </c>
      <c r="I31" s="269" t="str">
        <f>IFERROR(INDEX('Inputs (2)'!$D$58:$AL$58,MATCH(I$7&amp;"",'Inputs (2)'!$D$2:$AL$2,0)),"")</f>
        <v/>
      </c>
      <c r="J31" s="269" t="str">
        <f>IFERROR(INDEX('Inputs (2)'!$D$58:$AL$58,MATCH(J$7&amp;"",'Inputs (2)'!$D$2:$AL$2,0)),"")</f>
        <v/>
      </c>
      <c r="K31" s="269" t="str">
        <f>IFERROR(INDEX('Inputs (2)'!$D$58:$AL$58,MATCH(K$7&amp;"",'Inputs (2)'!$D$2:$AL$2,0)),"")</f>
        <v/>
      </c>
      <c r="L31" s="269" t="str">
        <f>IFERROR(INDEX('Inputs (2)'!$D$58:$AL$58,MATCH(L$7&amp;"",'Inputs (2)'!$D$2:$AL$2,0)),"")</f>
        <v/>
      </c>
      <c r="M31" s="270" t="str">
        <f>IF(COUNT(I31:L31)=4,SUM(I31:L31),"")</f>
        <v/>
      </c>
      <c r="N31" s="269" t="str">
        <f>IFERROR(INDEX('Inputs (2)'!$D$58:$AL$58,MATCH(N$7&amp;"",'Inputs (2)'!$D$2:$AL$2,0)),"")</f>
        <v/>
      </c>
      <c r="O31" s="269" t="str">
        <f>IFERROR(INDEX('Inputs (2)'!$D$58:$AL$58,MATCH(O$7&amp;"",'Inputs (2)'!$D$2:$AL$2,0)),"")</f>
        <v/>
      </c>
      <c r="P31" s="269" t="str">
        <f>IFERROR(INDEX('Inputs (2)'!$D$58:$AL$58,MATCH(P$7&amp;"",'Inputs (2)'!$D$2:$AL$2,0)),"")</f>
        <v/>
      </c>
      <c r="Q31" s="269" t="str">
        <f>IFERROR(INDEX('Inputs (2)'!$D$58:$AL$58,MATCH(Q$7&amp;"",'Inputs (2)'!$D$2:$AL$2,0)),"")</f>
        <v/>
      </c>
      <c r="R31" s="270" t="str">
        <f>IF(COUNT(N31:Q31)=4,SUM(N31:Q31),"")</f>
        <v/>
      </c>
      <c r="S31" s="269" t="str">
        <f>IFERROR(INDEX('Inputs (2)'!$D$58:$AL$58,MATCH(S$7&amp;"",'Inputs (2)'!$D$2:$AL$2,0)),"")</f>
        <v/>
      </c>
      <c r="T31" s="269">
        <f>IFERROR(INDEX('Inputs (2)'!$D$58:$AL$58,MATCH(T$7&amp;"",'Inputs (2)'!$D$2:$AL$2,0)),"")</f>
        <v>201</v>
      </c>
      <c r="U31" s="269">
        <f>IFERROR(INDEX('Inputs (2)'!$D$58:$AL$58,MATCH(U$7&amp;"",'Inputs (2)'!$D$2:$AL$2,0)),"")</f>
        <v>269</v>
      </c>
      <c r="V31" s="269">
        <f>IFERROR(INDEX('Inputs (2)'!$D$58:$AL$58,MATCH(V$7&amp;"",'Inputs (2)'!$D$2:$AL$2,0)),"")</f>
        <v>237</v>
      </c>
      <c r="W31" s="270" t="str">
        <f>IF(COUNT(S31:V31)=4,SUM(S31:V31),"")</f>
        <v/>
      </c>
      <c r="X31" s="269">
        <f>IFERROR(INDEX('Inputs (2)'!$D$58:$AL$58,MATCH(X$7&amp;"",'Inputs (2)'!$D$2:$AL$2,0)),"")</f>
        <v>256</v>
      </c>
      <c r="Y31" s="269">
        <f>IFERROR(INDEX('Inputs (2)'!$D$58:$AL$58,MATCH(Y$7&amp;"",'Inputs (2)'!$D$2:$AL$2,0)),"")</f>
        <v>344</v>
      </c>
      <c r="Z31" s="269">
        <f>IFERROR(INDEX('Inputs (2)'!$D$58:$AL$58,MATCH(Z$7&amp;"",'Inputs (2)'!$D$2:$AL$2,0)),"")</f>
        <v>220</v>
      </c>
      <c r="AA31" s="269">
        <f>IFERROR(INDEX('Inputs (2)'!$D$58:$AL$58,MATCH(AA$7&amp;"",'Inputs (2)'!$D$2:$AL$2,0)),"")</f>
        <v>241</v>
      </c>
      <c r="AB31" s="270">
        <f>IF(COUNT(X31:AA31)=4,SUM(X31:AA31),"")</f>
        <v>1061</v>
      </c>
      <c r="AC31" s="269">
        <f>IFERROR(INDEX('Inputs (2)'!$D$58:$AL$58,MATCH(AC$7&amp;"",'Inputs (2)'!$D$2:$AL$2,0)),"")</f>
        <v>325</v>
      </c>
      <c r="AD31" s="269">
        <f>IFERROR(INDEX('Inputs (2)'!$D$58:$AL$58,MATCH(AD$7&amp;"",'Inputs (2)'!$D$2:$AL$2,0)),"")</f>
        <v>403</v>
      </c>
      <c r="AE31" s="269">
        <f>IFERROR(INDEX('Inputs (2)'!$D$58:$AL$58,MATCH(AE$7&amp;"",'Inputs (2)'!$D$2:$AL$2,0)),"")</f>
        <v>386</v>
      </c>
      <c r="AF31" s="269">
        <f>IFERROR(INDEX('Inputs (2)'!$D$58:$AL$58,MATCH(AF$7&amp;"",'Inputs (2)'!$D$2:$AL$2,0)),"")</f>
        <v>252</v>
      </c>
      <c r="AG31" s="270">
        <f>IF(COUNT(AC31:AF31)=4,SUM(AC31:AF31),"")</f>
        <v>1366</v>
      </c>
      <c r="AH31" s="270">
        <f>IFERROR(INDEX('Inputs (2)'!$D$58:$AL$58,MATCH(AH$7&amp;"",'Inputs (2)'!$D$2:$AL$2,0)),"")</f>
        <v>379</v>
      </c>
      <c r="AI31" s="270">
        <f>IFERROR(INDEX('Inputs (2)'!$D$58:$AL$58,MATCH(AI$7&amp;"",'Inputs (2)'!$D$2:$AL$2,0)),"")</f>
        <v>475</v>
      </c>
    </row>
    <row r="32">
      <c r="C32" s="268" t="inlineStr">
        <is>
          <t xml:space="preserve">   Margem CES</t>
        </is>
      </c>
      <c r="D32" s="272" t="str">
        <f>IFERROR(D30/D26,"")</f>
        <v/>
      </c>
      <c r="E32" s="272" t="str">
        <f>IFERROR(E30/E26,"")</f>
        <v/>
      </c>
      <c r="F32" s="272" t="str">
        <f>IFERROR(F30/F26,"")</f>
        <v/>
      </c>
      <c r="G32" s="272" t="str">
        <f>IFERROR(G30/G26,"")</f>
        <v/>
      </c>
      <c r="H32" s="273" t="str">
        <f>IFERROR(H30/H26,"")</f>
        <v/>
      </c>
      <c r="I32" s="272" t="str">
        <f>IFERROR(I30/I26,"")</f>
        <v/>
      </c>
      <c r="J32" s="272" t="str">
        <f>IFERROR(J30/J26,"")</f>
        <v/>
      </c>
      <c r="K32" s="272" t="str">
        <f>IFERROR(K30/K26,"")</f>
        <v/>
      </c>
      <c r="L32" s="272" t="str">
        <f>IFERROR(L30/L26,"")</f>
        <v/>
      </c>
      <c r="M32" s="273" t="str">
        <f>IFERROR(M30/M26,"")</f>
        <v/>
      </c>
      <c r="N32" s="272" t="str">
        <f>IFERROR(N30/N26,"")</f>
        <v/>
      </c>
      <c r="O32" s="272" t="str">
        <f>IFERROR(O30/O26,"")</f>
        <v/>
      </c>
      <c r="P32" s="272" t="str">
        <f>IFERROR(P30/P26,"")</f>
        <v/>
      </c>
      <c r="Q32" s="272" t="str">
        <f>IFERROR(Q30/Q26,"")</f>
        <v/>
      </c>
      <c r="R32" s="273" t="str">
        <f>IFERROR(R30/R26,"")</f>
        <v/>
      </c>
      <c r="S32" s="272" t="str">
        <f>IFERROR(S30/S26,"")</f>
        <v/>
      </c>
      <c r="T32" s="272">
        <f>IFERROR(T30/T26,"")</f>
        <v>0.242112602405438</v>
      </c>
      <c r="U32" s="272">
        <f>IFERROR(U30/U26,"")</f>
        <v>0.239275205203655</v>
      </c>
      <c r="V32" s="272">
        <f>IFERROR(V30/V26,"")</f>
        <v>0.232540052885363</v>
      </c>
      <c r="W32" s="273" t="str">
        <f>IFERROR(W30/W26,"")</f>
        <v/>
      </c>
      <c r="X32" s="272">
        <f>IFERROR(X30/X26,"")</f>
        <v>0.232813781788351</v>
      </c>
      <c r="Y32" s="272">
        <f>IFERROR(Y30/Y26,"")</f>
        <v>0.273809523809524</v>
      </c>
      <c r="Z32" s="272">
        <f>IFERROR(Z30/Z26,"")</f>
        <v>0.256889904326717</v>
      </c>
      <c r="AA32" s="272">
        <f>IFERROR(AA30/AA26,"")</f>
        <v>0.282091503267974</v>
      </c>
      <c r="AB32" s="273">
        <f>IFERROR(AB30/AB26,"")</f>
        <v>0.262462797619048</v>
      </c>
      <c r="AC32" s="272">
        <f>IFERROR(AC30/AC26,"")</f>
        <v>0.286657661713943</v>
      </c>
      <c r="AD32" s="272">
        <f>IFERROR(AD30/AD26,"")</f>
        <v>0.288778446246403</v>
      </c>
      <c r="AE32" s="272">
        <f>IFERROR(AE30/AE26,"")</f>
        <v>0.274324324324324</v>
      </c>
      <c r="AF32" s="272">
        <f>IFERROR(AF30/AF26,"")</f>
        <v>0.2400718208703</v>
      </c>
      <c r="AG32" s="273">
        <f>IFERROR(AG30/AG26,"")</f>
        <v>0.27029427075359</v>
      </c>
      <c r="AH32" s="273">
        <f>IFERROR(AH30/AH26,"")</f>
        <v>0.264125560538117</v>
      </c>
      <c r="AI32" s="273">
        <f>IFERROR(AI30/AI26,"")</f>
        <v>0.273044908025897</v>
      </c>
    </row>
    <row r="33">
      <c r="C33" s="268" t="inlineStr">
        <is>
          <t xml:space="preserve">   Margem DPT</t>
        </is>
      </c>
      <c r="D33" s="272" t="str">
        <f>IFERROR(D31/D28,"")</f>
        <v/>
      </c>
      <c r="E33" s="272" t="str">
        <f>IFERROR(E31/E28,"")</f>
        <v/>
      </c>
      <c r="F33" s="272" t="str">
        <f>IFERROR(F31/F28,"")</f>
        <v/>
      </c>
      <c r="G33" s="272" t="str">
        <f>IFERROR(G31/G28,"")</f>
        <v/>
      </c>
      <c r="H33" s="273" t="str">
        <f>IFERROR(H31/H28,"")</f>
        <v/>
      </c>
      <c r="I33" s="272" t="str">
        <f>IFERROR(I31/I28,"")</f>
        <v/>
      </c>
      <c r="J33" s="272" t="str">
        <f>IFERROR(J31/J28,"")</f>
        <v/>
      </c>
      <c r="K33" s="272" t="str">
        <f>IFERROR(K31/K28,"")</f>
        <v/>
      </c>
      <c r="L33" s="272" t="str">
        <f>IFERROR(L31/L28,"")</f>
        <v/>
      </c>
      <c r="M33" s="273" t="str">
        <f>IFERROR(M31/M28,"")</f>
        <v/>
      </c>
      <c r="N33" s="272" t="str">
        <f>IFERROR(N31/N28,"")</f>
        <v/>
      </c>
      <c r="O33" s="272" t="str">
        <f>IFERROR(O31/O28,"")</f>
        <v/>
      </c>
      <c r="P33" s="272" t="str">
        <f>IFERROR(P31/P28,"")</f>
        <v/>
      </c>
      <c r="Q33" s="272" t="str">
        <f>IFERROR(Q31/Q28,"")</f>
        <v/>
      </c>
      <c r="R33" s="273" t="str">
        <f>IFERROR(R31/R28,"")</f>
        <v/>
      </c>
      <c r="S33" s="272" t="str">
        <f>IFERROR(S31/S28,"")</f>
        <v/>
      </c>
      <c r="T33" s="272">
        <f>IFERROR(T31/T28,"")</f>
        <v>0.0846315789473684</v>
      </c>
      <c r="U33" s="272">
        <f>IFERROR(U31/U28,"")</f>
        <v>0.121995464852608</v>
      </c>
      <c r="V33" s="272">
        <f>IFERROR(V31/V28,"")</f>
        <v>0.0981366459627329</v>
      </c>
      <c r="W33" s="273" t="str">
        <f>IFERROR(W31/W28,"")</f>
        <v/>
      </c>
      <c r="X33" s="272">
        <f>IFERROR(X31/X28,"")</f>
        <v>0.110726643598616</v>
      </c>
      <c r="Y33" s="272">
        <f>IFERROR(Y31/Y28,"")</f>
        <v>0.143273635985006</v>
      </c>
      <c r="Z33" s="272">
        <f>IFERROR(Z31/Z28,"")</f>
        <v>0.0980829246544806</v>
      </c>
      <c r="AA33" s="272">
        <f>IFERROR(AA31/AA28,"")</f>
        <v>0.095521204914784</v>
      </c>
      <c r="AB33" s="273">
        <f>IFERROR(AB31/AB28,"")</f>
        <v>0.111931638358477</v>
      </c>
      <c r="AC33" s="272">
        <f>IFERROR(AC31/AC28,"")</f>
        <v>0.120459599703484</v>
      </c>
      <c r="AD33" s="272">
        <f>IFERROR(AD31/AD28,"")</f>
        <v>0.135325721961048</v>
      </c>
      <c r="AE33" s="272">
        <f>IFERROR(AE31/AE28,"")</f>
        <v>0.136492220650637</v>
      </c>
      <c r="AF33" s="272">
        <f>IFERROR(AF31/AF28,"")</f>
        <v>0.0887636491722438</v>
      </c>
      <c r="AG33" s="273">
        <f>IFERROR(AG31/AG28,"")</f>
        <v>0.120426694877898</v>
      </c>
      <c r="AH33" s="273">
        <f>IFERROR(AH31/AH28,"")</f>
        <v>0.117921593030492</v>
      </c>
      <c r="AI33" s="273">
        <f>IFERROR(AI31/AI28,"")</f>
        <v>0.137961080453093</v>
      </c>
    </row>
    <row r="34"/>
    <row r="35"/>
    <row r="36"/>
    <row r="37" hidden="1" outlineLevel="1" customFormat="1" s="43">
      <c r="A37" s="36" t="n"/>
      <c r="B37" s="37" t="n"/>
      <c r="C37" s="45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  <c r="AA37" s="39" t="n"/>
      <c r="AB37" s="39" t="n"/>
      <c r="AC37" s="39" t="n"/>
      <c r="AD37" s="39" t="n"/>
      <c r="AE37" s="39" t="n"/>
      <c r="AF37" s="39" t="n"/>
      <c r="AG37" s="39" t="n"/>
      <c r="AH37" s="39" t="n"/>
      <c r="AI37" s="39" t="n"/>
      <c r="AJ37" s="39" t="n"/>
      <c r="AK37" s="39" t="n"/>
      <c r="AL37" s="39" t="n"/>
      <c r="AM37" s="39" t="n"/>
      <c r="AN37" s="39" t="n"/>
      <c r="AO37" s="39" t="n"/>
      <c r="AP37" s="39" t="n"/>
      <c r="AQ37" s="39" t="n"/>
      <c r="AR37" s="39" t="n"/>
      <c r="AS37" s="39" t="n"/>
      <c r="AT37" s="39" t="n"/>
      <c r="AU37" s="39" t="n"/>
      <c r="AV37" s="39" t="n"/>
      <c r="AW37" s="39" t="n"/>
      <c r="AX37" s="39" t="n"/>
      <c r="AY37" s="39" t="n"/>
      <c r="AZ37" s="39" t="n"/>
      <c r="BA37" s="39" t="n"/>
      <c r="BB37" s="39" t="n"/>
      <c r="BC37" s="39" t="n"/>
      <c r="BD37" s="39" t="n"/>
      <c r="BE37" s="39" t="n"/>
      <c r="BF37" s="39" t="n"/>
      <c r="BG37" s="39" t="n"/>
      <c r="BH37" s="39" t="n"/>
      <c r="BI37" s="39" t="n"/>
      <c r="BJ37" s="39" t="n"/>
      <c r="BK37" s="39" t="n"/>
      <c r="BL37" s="39" t="n"/>
      <c r="BM37" s="39" t="n"/>
      <c r="BN37" s="39" t="n"/>
      <c r="BO37" s="39" t="n"/>
      <c r="BP37" s="39" t="n"/>
      <c r="BQ37" s="39" t="n"/>
      <c r="BR37" s="39" t="n"/>
      <c r="BS37" s="39" t="n"/>
      <c r="BT37" s="39" t="n"/>
      <c r="BU37" s="39" t="n"/>
      <c r="BV37" s="39" t="n"/>
      <c r="BW37" s="39" t="n"/>
      <c r="BX37" s="39" t="n"/>
      <c r="BY37" s="39" t="n"/>
      <c r="BZ37" s="39" t="n"/>
      <c r="CA37" s="39" t="n"/>
      <c r="CB37" s="39" t="n"/>
      <c r="CC37" s="39" t="n"/>
      <c r="CD37" s="39" t="n"/>
      <c r="CE37" s="39" t="n"/>
      <c r="CF37" s="39" t="n"/>
      <c r="CG37" s="39" t="n"/>
      <c r="CH37" s="39" t="n"/>
      <c r="CI37" s="39" t="n"/>
      <c r="CJ37" s="39" t="n"/>
      <c r="CK37" s="39" t="n"/>
      <c r="CL37" s="39" t="n"/>
      <c r="CM37" s="39" t="n"/>
      <c r="CN37" s="39" t="n"/>
      <c r="CO37" s="39" t="n"/>
      <c r="CP37" s="39" t="n"/>
      <c r="CQ37" s="39" t="n"/>
      <c r="CR37" s="39" t="n"/>
      <c r="CS37" s="39" t="n"/>
      <c r="CT37" s="39" t="n"/>
      <c r="CU37" s="39" t="n"/>
      <c r="CV37" s="39" t="n"/>
      <c r="CW37" s="39" t="n"/>
      <c r="CX37" s="39" t="n"/>
      <c r="CY37" s="39" t="n"/>
    </row>
    <row r="38" hidden="1" outlineLevel="1" customFormat="1" s="43">
      <c r="A38" s="36" t="n"/>
      <c r="B38" s="37" t="n"/>
      <c r="C38" s="45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  <c r="AA38" s="39" t="n"/>
      <c r="AB38" s="39" t="n"/>
      <c r="AC38" s="39" t="n"/>
      <c r="AD38" s="39" t="n"/>
      <c r="AE38" s="39" t="n"/>
      <c r="AF38" s="39" t="n"/>
      <c r="AG38" s="39" t="n"/>
      <c r="AH38" s="39" t="n"/>
      <c r="AI38" s="39" t="n"/>
      <c r="AJ38" s="39" t="n"/>
      <c r="AK38" s="39" t="n"/>
      <c r="AL38" s="39" t="n"/>
      <c r="AM38" s="39" t="n"/>
      <c r="AN38" s="39" t="n"/>
      <c r="AO38" s="39" t="n"/>
      <c r="AP38" s="39" t="n"/>
      <c r="AQ38" s="39" t="n"/>
      <c r="AR38" s="39" t="n"/>
      <c r="AS38" s="39" t="n"/>
      <c r="AT38" s="39" t="n"/>
      <c r="AU38" s="39" t="n"/>
      <c r="AV38" s="39" t="n"/>
      <c r="AW38" s="39" t="n"/>
      <c r="AX38" s="39" t="n"/>
      <c r="AY38" s="39" t="n"/>
      <c r="AZ38" s="39" t="n"/>
      <c r="BA38" s="39" t="n"/>
      <c r="BB38" s="39" t="n"/>
      <c r="BC38" s="39" t="n"/>
      <c r="BD38" s="39" t="n"/>
      <c r="BE38" s="39" t="n"/>
      <c r="BF38" s="39" t="n"/>
      <c r="BG38" s="39" t="n"/>
      <c r="BH38" s="39" t="n"/>
      <c r="BI38" s="39" t="n"/>
      <c r="BJ38" s="39" t="n"/>
      <c r="BK38" s="39" t="n"/>
      <c r="BL38" s="39" t="n"/>
      <c r="BM38" s="39" t="n"/>
      <c r="BN38" s="39" t="n"/>
      <c r="BO38" s="39" t="n"/>
      <c r="BP38" s="39" t="n"/>
      <c r="BQ38" s="39" t="n"/>
      <c r="BR38" s="39" t="n"/>
      <c r="BS38" s="39" t="n"/>
      <c r="BT38" s="39" t="n"/>
      <c r="BU38" s="39" t="n"/>
      <c r="BV38" s="39" t="n"/>
      <c r="BW38" s="39" t="n"/>
      <c r="BX38" s="39" t="n"/>
      <c r="BY38" s="39" t="n"/>
      <c r="BZ38" s="39" t="n"/>
      <c r="CA38" s="39" t="n"/>
      <c r="CB38" s="39" t="n"/>
      <c r="CC38" s="39" t="n"/>
      <c r="CD38" s="39" t="n"/>
      <c r="CE38" s="39" t="n"/>
      <c r="CF38" s="39" t="n"/>
      <c r="CG38" s="39" t="n"/>
      <c r="CH38" s="39" t="n"/>
      <c r="CI38" s="39" t="n"/>
      <c r="CJ38" s="39" t="n"/>
      <c r="CK38" s="39" t="n"/>
      <c r="CL38" s="39" t="n"/>
      <c r="CM38" s="39" t="n"/>
      <c r="CN38" s="39" t="n"/>
      <c r="CO38" s="39" t="n"/>
      <c r="CP38" s="39" t="n"/>
      <c r="CQ38" s="39" t="n"/>
      <c r="CR38" s="39" t="n"/>
      <c r="CS38" s="39" t="n"/>
      <c r="CT38" s="39" t="n"/>
      <c r="CU38" s="39" t="n"/>
      <c r="CV38" s="39" t="n"/>
      <c r="CW38" s="39" t="n"/>
      <c r="CX38" s="39" t="n"/>
      <c r="CY38" s="39" t="n"/>
    </row>
    <row r="39" collapsed="1">
      <c r="C39" s="13" t="inlineStr">
        <is>
          <t>COGS (cash)</t>
        </is>
      </c>
      <c r="D39" s="46" t="n"/>
      <c r="E39" s="46" t="n"/>
      <c r="F39" s="46" t="n"/>
      <c r="G39" s="46" t="n"/>
      <c r="H39" s="12" t="n"/>
      <c r="I39" s="46">
        <f>'Inputs (2)'!D5</f>
        <v>-12538</v>
      </c>
      <c r="J39" s="46">
        <f>'Inputs (2)'!E5</f>
        <v>-13618</v>
      </c>
      <c r="K39" s="46">
        <f>'Inputs (2)'!F5</f>
        <v>-13401</v>
      </c>
      <c r="L39" s="46">
        <f>'Inputs (2)'!G5</f>
        <v>-14338</v>
      </c>
      <c r="M39" s="12">
        <f>'Inputs (2)'!H5</f>
        <v>-53895</v>
      </c>
      <c r="N39" s="46">
        <f>'Inputs (2)'!I5</f>
        <v>-9774</v>
      </c>
      <c r="O39" s="46">
        <f>'Inputs (2)'!J5</f>
        <v>-10525</v>
      </c>
      <c r="P39" s="46">
        <f>'Inputs (2)'!K5</f>
        <v>-11534</v>
      </c>
      <c r="Q39" s="46">
        <f>'Inputs (2)'!L5</f>
        <v>-12440</v>
      </c>
      <c r="R39" s="12">
        <f>'Inputs (2)'!M5</f>
        <v>-44273</v>
      </c>
      <c r="S39" s="46">
        <f>'Inputs (2)'!N5</f>
        <v>-4998</v>
      </c>
      <c r="T39" s="46">
        <f>'Inputs (2)'!O5</f>
        <v>-5693</v>
      </c>
      <c r="U39" s="46">
        <f>'Inputs (2)'!P5</f>
        <v>-5992</v>
      </c>
      <c r="V39" s="46">
        <f>'Inputs (2)'!Q5</f>
        <v>-6256</v>
      </c>
      <c r="W39" s="12">
        <f>'Inputs (2)'!R5</f>
        <v>-22939</v>
      </c>
      <c r="X39" s="46">
        <f>'Inputs (2)'!S5</f>
        <v>-5747</v>
      </c>
      <c r="Y39" s="46">
        <f>'Inputs (2)'!T5</f>
        <v>-5574</v>
      </c>
      <c r="Z39" s="46">
        <f>'Inputs (2)'!U5</f>
        <v>-6226</v>
      </c>
      <c r="AA39" s="46">
        <f>'Inputs (2)'!V5</f>
        <v>-6761</v>
      </c>
      <c r="AB39" s="12">
        <f>'Inputs (2)'!W5</f>
        <v>-24308</v>
      </c>
      <c r="AC39" s="46">
        <f>'Inputs (2)'!X5</f>
        <v>-5995</v>
      </c>
      <c r="AD39" s="46">
        <f>'Inputs (2)'!Y5</f>
        <v>-6846</v>
      </c>
      <c r="AE39" s="46">
        <f>'Inputs (2)'!Z5</f>
        <v>-7762</v>
      </c>
      <c r="AF39" s="46">
        <f>'Inputs (2)'!AA5</f>
        <v>-8363</v>
      </c>
      <c r="AG39" s="12">
        <f>'Inputs (2)'!AB5</f>
        <v>-28966</v>
      </c>
      <c r="AH39" s="12">
        <f>'Inputs (2)'!AC5</f>
        <v>-7922</v>
      </c>
      <c r="AI39" s="12">
        <f>'Inputs (2)'!AD5</f>
        <v>-8673</v>
      </c>
      <c r="AJ39" s="12">
        <f>-(1-AJ40)*AJ15</f>
        <v>-9269.75962201314</v>
      </c>
      <c r="AK39" s="12">
        <f>-(1-AK40)*AK15</f>
        <v>-9677.65644143676</v>
      </c>
      <c r="AL39" s="12">
        <f>SUM(AH39:AK39)</f>
        <v>-35542.4160634499</v>
      </c>
      <c r="AM39" s="12">
        <f>-(1-AM40)*AM15</f>
        <v>-9430.33094458476</v>
      </c>
      <c r="AN39" s="12">
        <f>-(1-AN40)*AN15</f>
        <v>-10158.6094076228</v>
      </c>
      <c r="AO39" s="12">
        <f>-(1-AO40)*AO15</f>
        <v>-11114.0136020563</v>
      </c>
      <c r="AP39" s="12">
        <f>-(1-AP40)*AP15</f>
        <v>-11603.0630471513</v>
      </c>
      <c r="AQ39" s="12">
        <f>SUM(AM39:AP39)</f>
        <v>-42306.0170014152</v>
      </c>
      <c r="AR39" s="12">
        <f>-(1-AR40)*AR15</f>
        <v>-11259.3795460555</v>
      </c>
      <c r="AS39" s="12">
        <f>-(1-AS40)*AS15</f>
        <v>-12128.9103905984</v>
      </c>
      <c r="AT39" s="12">
        <f>-(1-AT40)*AT15</f>
        <v>-13269.6188671336</v>
      </c>
      <c r="AU39" s="12">
        <f>-(1-AU40)*AU15</f>
        <v>-13853.521314616</v>
      </c>
      <c r="AV39" s="12">
        <f>SUM(AR39:AU39)</f>
        <v>-50511.4301184035</v>
      </c>
      <c r="AW39" s="12">
        <f>-(1-AW40)*AW15</f>
        <v>-13386.8821918573</v>
      </c>
      <c r="AX39" s="12">
        <f>-(1-AX40)*AX15</f>
        <v>-14420.7142010252</v>
      </c>
      <c r="AY39" s="12">
        <f>-(1-AY40)*AY15</f>
        <v>-15776.9638885117</v>
      </c>
      <c r="AZ39" s="12">
        <f>-(1-AZ40)*AZ15</f>
        <v>-16471.1969271984</v>
      </c>
      <c r="BA39" s="12">
        <f>SUM(AW39:AZ39)</f>
        <v>-60055.7572085926</v>
      </c>
      <c r="BB39" s="12">
        <f>-(1-BB40)*BB15</f>
        <v>-15849.4501540721</v>
      </c>
      <c r="BC39" s="12">
        <f>-(1-BC40)*BC15</f>
        <v>-17073.4594986046</v>
      </c>
      <c r="BD39" s="12">
        <f>-(1-BD40)*BD15</f>
        <v>-18679.1964812882</v>
      </c>
      <c r="BE39" s="12">
        <f>-(1-BE40)*BE15</f>
        <v>-19501.1363313802</v>
      </c>
      <c r="BF39" s="12">
        <f>SUM(BB39:BE39)</f>
        <v>-71103.242465345</v>
      </c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  <c r="BP39" s="12" t="n"/>
      <c r="BQ39" s="12" t="n"/>
      <c r="BR39" s="12" t="n"/>
      <c r="BS39" s="12" t="n"/>
      <c r="BT39" s="12" t="n"/>
      <c r="BU39" s="12" t="n"/>
      <c r="BV39" s="12" t="n"/>
      <c r="BW39" s="12" t="n"/>
      <c r="BX39" s="12" t="n"/>
      <c r="BY39" s="12" t="n"/>
      <c r="BZ39" s="12" t="n"/>
      <c r="CA39" s="12" t="n"/>
      <c r="CB39" s="12" t="n"/>
      <c r="CC39" s="12" t="n"/>
      <c r="CD39" s="12" t="n"/>
      <c r="CE39" s="12" t="n"/>
      <c r="CF39" s="12" t="n"/>
      <c r="CG39" s="12" t="n"/>
      <c r="CH39" s="12" t="n"/>
      <c r="CI39" s="12" t="n"/>
      <c r="CJ39" s="12" t="n"/>
      <c r="CK39" s="12" t="n"/>
      <c r="CL39" s="12" t="n"/>
      <c r="CM39" s="12" t="n"/>
      <c r="CN39" s="12" t="n"/>
      <c r="CO39" s="12" t="n"/>
      <c r="CP39" s="12" t="n"/>
      <c r="CQ39" s="12" t="n"/>
      <c r="CR39" s="12" t="n"/>
      <c r="CS39" s="12" t="n"/>
      <c r="CT39" s="12" t="n"/>
      <c r="CU39" s="12" t="n"/>
      <c r="CV39" s="12" t="n"/>
      <c r="CW39" s="12" t="n"/>
      <c r="CX39" s="12" t="n"/>
      <c r="CY39" s="12" t="n"/>
    </row>
    <row r="40" hidden="1" outlineLevel="1" customFormat="1" s="3">
      <c r="C40" s="47" t="inlineStr">
        <is>
          <t>% Gross Margin</t>
        </is>
      </c>
      <c r="D40" s="48" t="n"/>
      <c r="E40" s="48" t="n"/>
      <c r="F40" s="48" t="n"/>
      <c r="G40" s="48" t="n"/>
      <c r="H40" s="48" t="n"/>
      <c r="I40" s="48">
        <f>IFERROR((I15+I39)/I$15,"")</f>
        <v>0.265538046980259</v>
      </c>
      <c r="J40" s="48">
        <f>IFERROR((J15+J39)/J$15,"")</f>
        <v>0.253930860680436</v>
      </c>
      <c r="K40" s="48">
        <f>IFERROR((K15+K39)/K$15,"")</f>
        <v>0.278313317895417</v>
      </c>
      <c r="L40" s="48">
        <f>IFERROR((L15+L39)/L$15,"")</f>
        <v>0.293798945968576</v>
      </c>
      <c r="M40" s="48">
        <f>IFERROR((M15+M39)/M$15,"")</f>
        <v>0.273613132783438</v>
      </c>
      <c r="N40" s="48">
        <f>IFERROR((N15+N39)/N$15,"")</f>
        <v>0.22887573964497</v>
      </c>
      <c r="O40" s="48">
        <f>IFERROR((O15+O39)/O$15,"")</f>
        <v>0.254972747221632</v>
      </c>
      <c r="P40" s="48">
        <f>IFERROR((P15+P39)/P$15,"")</f>
        <v>0.202902557014513</v>
      </c>
      <c r="Q40" s="48">
        <f>IFERROR((Q15+Q39)/Q$15,"")</f>
        <v>0.260755883052056</v>
      </c>
      <c r="R40" s="48">
        <f>IFERROR((R15+R39)/R$15,"")</f>
        <v>0.237986230636833</v>
      </c>
      <c r="S40" s="48">
        <f>IFERROR((S15+S39)/S$15,"")</f>
        <v>0.362174578866769</v>
      </c>
      <c r="T40" s="48">
        <f>IFERROR((T15+T39)/T$15,"")</f>
        <v>0.349743003997716</v>
      </c>
      <c r="U40" s="48">
        <f>IFERROR((U15+U39)/U$15,"")</f>
        <v>0.355837454310901</v>
      </c>
      <c r="V40" s="48">
        <f>IFERROR((V15+V39)/V$15,"")</f>
        <v>0.338409475465313</v>
      </c>
      <c r="W40" s="48">
        <f>IFERROR((W15+W39)/W$15,"")</f>
        <v>0.351070751647854</v>
      </c>
      <c r="X40" s="48">
        <f>IFERROR((X15+X39)/X$15,"")</f>
        <v>0.358235622557231</v>
      </c>
      <c r="Y40" s="48">
        <f>IFERROR((Y15+Y39)/Y$15,"")</f>
        <v>0.387068396745107</v>
      </c>
      <c r="Z40" s="48">
        <f>IFERROR((Z15+Z39)/Z$15,"")</f>
        <v>0.367404998983946</v>
      </c>
      <c r="AA40" s="48">
        <f>IFERROR((AA15+AA39)/AA$15,"")</f>
        <v>0.374676285608583</v>
      </c>
      <c r="AB40" s="48">
        <f>IFERROR((AB15+AB39)/AB$15,"")</f>
        <v>0.371934992119474</v>
      </c>
      <c r="AC40" s="48">
        <f>IFERROR((AC15+AC39)/AC$15,"")</f>
        <v>0.396577755410166</v>
      </c>
      <c r="AD40" s="48">
        <f>IFERROR((AD15+AD39)/AD$15,"")</f>
        <v>0.378934954186701</v>
      </c>
      <c r="AE40" s="48">
        <f>IFERROR((AE15+AE39)/AE$15,"")</f>
        <v>0.362778097036368</v>
      </c>
      <c r="AF40" s="41">
        <f>IFERROR((AF15+AF39)/AF$15,"")</f>
        <v>0.342376346622631</v>
      </c>
      <c r="AG40" s="48">
        <f>IFERROR((AG15+AG39)/AG$15,"")</f>
        <v>0.36832693649686</v>
      </c>
      <c r="AH40" s="49">
        <f>IFERROR((AH15+AH39)/AH$15,"")</f>
        <v>0.360716591349258</v>
      </c>
      <c r="AI40" s="49">
        <f>IFERROR((AI15+AI39)/AI$15,"")</f>
        <v>0.350288411116938</v>
      </c>
      <c r="AJ40" s="49">
        <f>Control!$B$19</f>
        <v>0.365278692620344</v>
      </c>
      <c r="AK40" s="49">
        <f>Control!$B$19</f>
        <v>0.365278692620344</v>
      </c>
      <c r="AL40" s="48">
        <f>IFERROR((AL15+AL39)/AL$15,"")</f>
        <v>0.360662267975926</v>
      </c>
      <c r="AM40" s="49">
        <f>Control!$C$19</f>
        <v>0.365278692620344</v>
      </c>
      <c r="AN40" s="49">
        <f>Control!$C$19</f>
        <v>0.365278692620344</v>
      </c>
      <c r="AO40" s="49">
        <f>Control!$C$19</f>
        <v>0.365278692620344</v>
      </c>
      <c r="AP40" s="49">
        <f>Control!$C$19</f>
        <v>0.365278692620344</v>
      </c>
      <c r="AQ40" s="48">
        <f>IFERROR((AQ15+AQ39)/AQ$15,"")</f>
        <v>0.365278692620344</v>
      </c>
      <c r="AR40" s="49">
        <f>Control!$D$19</f>
        <v>0.365278692620344</v>
      </c>
      <c r="AS40" s="49">
        <f>Control!$D$19</f>
        <v>0.365278692620344</v>
      </c>
      <c r="AT40" s="49">
        <f>Control!$D$19</f>
        <v>0.365278692620344</v>
      </c>
      <c r="AU40" s="49">
        <f>Control!$D$19</f>
        <v>0.365278692620344</v>
      </c>
      <c r="AV40" s="48">
        <f>IFERROR((AV15+AV39)/AV$15,"")</f>
        <v>0.365278692620344</v>
      </c>
      <c r="AW40" s="49">
        <f>Control!$E$19</f>
        <v>0.365278692620344</v>
      </c>
      <c r="AX40" s="49">
        <f>Control!$E$19</f>
        <v>0.365278692620344</v>
      </c>
      <c r="AY40" s="49">
        <f>Control!$E$19</f>
        <v>0.365278692620344</v>
      </c>
      <c r="AZ40" s="49">
        <f>Control!$E$19</f>
        <v>0.365278692620344</v>
      </c>
      <c r="BA40" s="48">
        <f>IFERROR((BA15+BA39)/BA$15,"")</f>
        <v>0.365278692620344</v>
      </c>
      <c r="BB40" s="49">
        <f>Control!$F$19</f>
        <v>0.365278692620344</v>
      </c>
      <c r="BC40" s="49">
        <f>Control!$F$19</f>
        <v>0.365278692620344</v>
      </c>
      <c r="BD40" s="49">
        <f>Control!$F$19</f>
        <v>0.365278692620344</v>
      </c>
      <c r="BE40" s="49">
        <f>Control!$F$19</f>
        <v>0.365278692620344</v>
      </c>
      <c r="BF40" s="48">
        <f>IFERROR((BF15+BF39)/BF$15,"")</f>
        <v>0.365278692620343</v>
      </c>
      <c r="BG40" s="49" t="n"/>
      <c r="BH40" s="49" t="n"/>
      <c r="BI40" s="49" t="n"/>
      <c r="BJ40" s="49" t="n"/>
      <c r="BK40" s="48" t="n"/>
      <c r="BL40" s="49" t="n"/>
      <c r="BM40" s="49" t="n"/>
      <c r="BN40" s="49" t="n"/>
      <c r="BO40" s="49" t="n"/>
      <c r="BP40" s="48" t="n"/>
      <c r="BQ40" s="49" t="n"/>
      <c r="BR40" s="49" t="n"/>
      <c r="BS40" s="49" t="n"/>
      <c r="BT40" s="49" t="n"/>
      <c r="BU40" s="48" t="n"/>
      <c r="BV40" s="49" t="n"/>
      <c r="BW40" s="49" t="n"/>
      <c r="BX40" s="49" t="n"/>
      <c r="BY40" s="49" t="n"/>
      <c r="BZ40" s="48" t="n"/>
      <c r="CA40" s="49" t="n"/>
      <c r="CB40" s="49" t="n"/>
      <c r="CC40" s="49" t="n"/>
      <c r="CD40" s="49" t="n"/>
      <c r="CE40" s="48" t="n"/>
      <c r="CF40" s="49" t="n"/>
      <c r="CG40" s="49" t="n"/>
      <c r="CH40" s="49" t="n"/>
      <c r="CI40" s="49" t="n"/>
      <c r="CJ40" s="48" t="n"/>
      <c r="CK40" s="49" t="n"/>
      <c r="CL40" s="49" t="n"/>
      <c r="CM40" s="49" t="n"/>
      <c r="CN40" s="49" t="n"/>
      <c r="CO40" s="48" t="n"/>
      <c r="CP40" s="49" t="n"/>
      <c r="CQ40" s="49" t="n"/>
      <c r="CR40" s="49" t="n"/>
      <c r="CS40" s="49" t="n"/>
      <c r="CT40" s="48" t="n"/>
      <c r="CU40" s="49" t="n"/>
      <c r="CV40" s="49" t="n"/>
      <c r="CW40" s="49" t="n"/>
      <c r="CX40" s="49" t="n"/>
      <c r="CY40" s="48" t="n"/>
    </row>
    <row r="41" hidden="1" outlineLevel="1">
      <c r="C41" s="50" t="n"/>
      <c r="D41" s="50" t="n"/>
      <c r="E41" s="50" t="n"/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  <c r="AA41" s="50" t="n"/>
      <c r="AB41" s="50" t="n"/>
      <c r="AC41" s="50" t="n"/>
      <c r="AD41" s="50" t="n"/>
      <c r="AE41" s="50" t="n"/>
      <c r="AF41" s="50" t="n"/>
      <c r="AG41" s="50" t="n"/>
      <c r="AH41" s="50" t="n"/>
      <c r="AI41" s="50" t="n"/>
      <c r="AJ41" s="50" t="n"/>
      <c r="AK41" s="50" t="n"/>
      <c r="AL41" s="50" t="n"/>
      <c r="AM41" s="50" t="n"/>
      <c r="AN41" s="50" t="n"/>
      <c r="AO41" s="50" t="n"/>
      <c r="AP41" s="50" t="n"/>
      <c r="AQ41" s="50" t="n"/>
      <c r="AR41" s="50" t="n"/>
      <c r="AS41" s="50" t="n"/>
      <c r="AT41" s="50" t="n"/>
      <c r="AU41" s="50" t="n"/>
      <c r="AV41" s="50" t="n"/>
      <c r="AW41" s="50" t="n"/>
      <c r="AX41" s="50" t="n"/>
      <c r="AY41" s="50" t="n"/>
      <c r="AZ41" s="50" t="n"/>
      <c r="BA41" s="50" t="n"/>
      <c r="BB41" s="50" t="n"/>
      <c r="BC41" s="50" t="n"/>
      <c r="BD41" s="50" t="n"/>
      <c r="BE41" s="50" t="n"/>
      <c r="BF41" s="50" t="n"/>
      <c r="BG41" s="50" t="n"/>
      <c r="BH41" s="50" t="n"/>
      <c r="BI41" s="50" t="n"/>
      <c r="BJ41" s="50" t="n"/>
      <c r="BK41" s="50" t="n"/>
      <c r="BL41" s="50" t="n"/>
      <c r="BM41" s="50" t="n"/>
      <c r="BN41" s="50" t="n"/>
      <c r="BO41" s="50" t="n"/>
      <c r="BP41" s="50" t="n"/>
      <c r="BQ41" s="50" t="n"/>
      <c r="BR41" s="50" t="n"/>
      <c r="BS41" s="50" t="n"/>
      <c r="BT41" s="50" t="n"/>
      <c r="BU41" s="50" t="n"/>
      <c r="BV41" s="50" t="n"/>
      <c r="BW41" s="50" t="n"/>
      <c r="BX41" s="50" t="n"/>
      <c r="BY41" s="50" t="n"/>
      <c r="BZ41" s="50" t="n"/>
      <c r="CA41" s="50" t="n"/>
      <c r="CB41" s="50" t="n"/>
      <c r="CC41" s="50" t="n"/>
      <c r="CD41" s="50" t="n"/>
      <c r="CE41" s="50" t="n"/>
      <c r="CF41" s="50" t="n"/>
      <c r="CG41" s="50" t="n"/>
      <c r="CH41" s="50" t="n"/>
      <c r="CI41" s="50" t="n"/>
      <c r="CJ41" s="50" t="n"/>
      <c r="CK41" s="50" t="n"/>
      <c r="CL41" s="50" t="n"/>
      <c r="CM41" s="50" t="n"/>
      <c r="CN41" s="50" t="n"/>
      <c r="CO41" s="50" t="n"/>
      <c r="CP41" s="50" t="n"/>
      <c r="CQ41" s="50" t="n"/>
      <c r="CR41" s="50" t="n"/>
      <c r="CS41" s="50" t="n"/>
      <c r="CT41" s="50" t="n"/>
      <c r="CU41" s="50" t="n"/>
      <c r="CV41" s="50" t="n"/>
      <c r="CW41" s="50" t="n"/>
      <c r="CX41" s="50" t="n"/>
      <c r="CY41" s="50" t="n"/>
    </row>
    <row r="42" hidden="1" outlineLevel="1">
      <c r="C42" s="50" t="n"/>
      <c r="D42" s="50" t="n"/>
      <c r="E42" s="50" t="n"/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  <c r="AA42" s="50" t="n"/>
      <c r="AB42" s="50" t="n"/>
      <c r="AC42" s="50" t="n"/>
      <c r="AD42" s="50" t="n"/>
      <c r="AE42" s="50" t="n"/>
      <c r="AF42" s="50" t="n"/>
      <c r="AG42" s="50" t="n"/>
      <c r="AH42" s="50" t="n"/>
      <c r="AI42" s="50" t="n"/>
      <c r="AJ42" s="50" t="n"/>
      <c r="AK42" s="50" t="n"/>
      <c r="AL42" s="50" t="n"/>
      <c r="AM42" s="50" t="n"/>
      <c r="AN42" s="50" t="n"/>
      <c r="AO42" s="50" t="n"/>
      <c r="AP42" s="50" t="n"/>
      <c r="AQ42" s="50" t="n"/>
      <c r="AR42" s="50" t="n"/>
      <c r="AS42" s="50" t="n"/>
      <c r="AT42" s="50" t="n"/>
      <c r="AU42" s="50" t="n"/>
      <c r="AV42" s="50" t="n"/>
      <c r="AW42" s="50" t="n"/>
      <c r="AX42" s="50" t="n"/>
      <c r="AY42" s="50" t="n"/>
      <c r="AZ42" s="50" t="n"/>
      <c r="BA42" s="50" t="n"/>
      <c r="BB42" s="50" t="n"/>
      <c r="BC42" s="50" t="n"/>
      <c r="BD42" s="50" t="n"/>
      <c r="BE42" s="50" t="n"/>
      <c r="BF42" s="50" t="n"/>
      <c r="BG42" s="50" t="n"/>
      <c r="BH42" s="50" t="n"/>
      <c r="BI42" s="50" t="n"/>
      <c r="BJ42" s="50" t="n"/>
      <c r="BK42" s="50" t="n"/>
      <c r="BL42" s="50" t="n"/>
      <c r="BM42" s="50" t="n"/>
      <c r="BN42" s="50" t="n"/>
      <c r="BO42" s="50" t="n"/>
      <c r="BP42" s="50" t="n"/>
      <c r="BQ42" s="50" t="n"/>
      <c r="BR42" s="50" t="n"/>
      <c r="BS42" s="50" t="n"/>
      <c r="BT42" s="50" t="n"/>
      <c r="BU42" s="50" t="n"/>
      <c r="BV42" s="50" t="n"/>
      <c r="BW42" s="50" t="n"/>
      <c r="BX42" s="50" t="n"/>
      <c r="BY42" s="50" t="n"/>
      <c r="BZ42" s="50" t="n"/>
      <c r="CA42" s="50" t="n"/>
      <c r="CB42" s="50" t="n"/>
      <c r="CC42" s="50" t="n"/>
      <c r="CD42" s="50" t="n"/>
      <c r="CE42" s="50" t="n"/>
      <c r="CF42" s="50" t="n"/>
      <c r="CG42" s="50" t="n"/>
      <c r="CH42" s="50" t="n"/>
      <c r="CI42" s="50" t="n"/>
      <c r="CJ42" s="50" t="n"/>
      <c r="CK42" s="50" t="n"/>
      <c r="CL42" s="50" t="n"/>
      <c r="CM42" s="50" t="n"/>
      <c r="CN42" s="50" t="n"/>
      <c r="CO42" s="50" t="n"/>
      <c r="CP42" s="50" t="n"/>
      <c r="CQ42" s="50" t="n"/>
      <c r="CR42" s="50" t="n"/>
      <c r="CS42" s="50" t="n"/>
      <c r="CT42" s="50" t="n"/>
      <c r="CU42" s="50" t="n"/>
      <c r="CV42" s="50" t="n"/>
      <c r="CW42" s="50" t="n"/>
      <c r="CX42" s="50" t="n"/>
      <c r="CY42" s="50" t="n"/>
    </row>
    <row r="43" collapsed="1">
      <c r="C43" s="13" t="inlineStr">
        <is>
          <t>SG&amp;A and Other (cash)</t>
        </is>
      </c>
      <c r="D43" s="46" t="n"/>
      <c r="E43" s="46" t="n"/>
      <c r="F43" s="46" t="n"/>
      <c r="G43" s="46" t="n"/>
      <c r="H43" s="12" t="n"/>
      <c r="I43" s="46">
        <f>'Inputs (2)'!D6</f>
        <v>-4016</v>
      </c>
      <c r="J43" s="46">
        <f>'Inputs (2)'!E6</f>
        <v>-5434</v>
      </c>
      <c r="K43" s="46">
        <f>'Inputs (2)'!F6</f>
        <v>-4019</v>
      </c>
      <c r="L43" s="46">
        <f>'Inputs (2)'!G6</f>
        <v>-9591</v>
      </c>
      <c r="M43" s="12">
        <f>'Inputs (2)'!H6</f>
        <v>-23060</v>
      </c>
      <c r="N43" s="46">
        <f>'Inputs (2)'!I6</f>
        <v>-3283</v>
      </c>
      <c r="O43" s="46">
        <f>'Inputs (2)'!J6</f>
        <v>-2530</v>
      </c>
      <c r="P43" s="46">
        <f>'Inputs (2)'!K6</f>
        <v>-2565</v>
      </c>
      <c r="Q43" s="46">
        <f>'Inputs (2)'!L6</f>
        <v>-8374</v>
      </c>
      <c r="R43" s="12">
        <f>'Inputs (2)'!M6</f>
        <v>-16752</v>
      </c>
      <c r="S43" s="46">
        <f>'Inputs (2)'!N6</f>
        <v>-8441</v>
      </c>
      <c r="T43" s="46">
        <f>'Inputs (2)'!O6</f>
        <v>-1448</v>
      </c>
      <c r="U43" s="46">
        <f>'Inputs (2)'!P6</f>
        <v>-1484</v>
      </c>
      <c r="V43" s="46">
        <f>'Inputs (2)'!Q6</f>
        <v>-11514</v>
      </c>
      <c r="W43" s="12">
        <f>'Inputs (2)'!R6</f>
        <v>-22887</v>
      </c>
      <c r="X43" s="46">
        <f>'Inputs (2)'!S6</f>
        <v>-1586</v>
      </c>
      <c r="Y43" s="46">
        <f>'Inputs (2)'!T6</f>
        <v>-1563</v>
      </c>
      <c r="Z43" s="46">
        <f>'Inputs (2)'!U6</f>
        <v>-2269</v>
      </c>
      <c r="AA43" s="46">
        <f>'Inputs (2)'!V6</f>
        <v>-1623</v>
      </c>
      <c r="AB43" s="12">
        <f>'Inputs (2)'!W6</f>
        <v>-7041</v>
      </c>
      <c r="AC43" s="46">
        <f>'Inputs (2)'!X6</f>
        <v>-1577</v>
      </c>
      <c r="AD43" s="46">
        <f>'Inputs (2)'!Y6</f>
        <v>-1709</v>
      </c>
      <c r="AE43" s="46">
        <f>'Inputs (2)'!Z6</f>
        <v>-1750</v>
      </c>
      <c r="AF43" s="46">
        <f>'Inputs (2)'!AA6</f>
        <v>-1635</v>
      </c>
      <c r="AG43" s="12">
        <f>'Inputs (2)'!AB6</f>
        <v>-6671</v>
      </c>
      <c r="AH43" s="12">
        <f>'Inputs (2)'!AC6</f>
        <v>-1799</v>
      </c>
      <c r="AI43" s="12">
        <f>'Inputs (2)'!AD6</f>
        <v>-1748</v>
      </c>
      <c r="AJ43" s="12">
        <f>-AJ15*AJ44</f>
        <v>-2098.48046822614</v>
      </c>
      <c r="AK43" s="12">
        <f>-AK15*AK44</f>
        <v>-2190.81981072422</v>
      </c>
      <c r="AL43" s="12">
        <f>SUM(AH43:AK43)</f>
        <v>-7836.30027895036</v>
      </c>
      <c r="AM43" s="12">
        <f>-AM15*AM44</f>
        <v>-2134.83047059012</v>
      </c>
      <c r="AN43" s="12">
        <f>-AN15*AN44</f>
        <v>-2299.69754292346</v>
      </c>
      <c r="AO43" s="12">
        <f>-AO15*AO44</f>
        <v>-2515.98114929864</v>
      </c>
      <c r="AP43" s="12">
        <f>-AP15*AP44</f>
        <v>-2626.69175565478</v>
      </c>
      <c r="AQ43" s="12">
        <f>SUM(AM43:AP43)</f>
        <v>-9577.20091846701</v>
      </c>
      <c r="AR43" s="12">
        <f>-AR15*AR44</f>
        <v>-2548.88897071649</v>
      </c>
      <c r="AS43" s="12">
        <f>-AS15*AS44</f>
        <v>-2745.73263961381</v>
      </c>
      <c r="AT43" s="12">
        <f>-AT15*AT44</f>
        <v>-3003.96527514674</v>
      </c>
      <c r="AU43" s="12">
        <f>-AU15*AU44</f>
        <v>-3136.1486252394</v>
      </c>
      <c r="AV43" s="12">
        <f>SUM(AR43:AU43)</f>
        <v>-11434.7355107164</v>
      </c>
      <c r="AW43" s="12">
        <f>-AW15*AW44</f>
        <v>-3030.51124900217</v>
      </c>
      <c r="AX43" s="12">
        <f>-AX15*AX44</f>
        <v>-3264.54927880326</v>
      </c>
      <c r="AY43" s="12">
        <f>-AY15*AY44</f>
        <v>-3571.57595428141</v>
      </c>
      <c r="AZ43" s="12">
        <f>-AZ15*AZ44</f>
        <v>-3728.7358517853</v>
      </c>
      <c r="BA43" s="12">
        <f>SUM(AW43:AZ43)</f>
        <v>-13595.3723338721</v>
      </c>
      <c r="BB43" s="12">
        <f>-BB15*BB44</f>
        <v>-3587.98533475033</v>
      </c>
      <c r="BC43" s="12">
        <f>-BC15*BC44</f>
        <v>-3865.07555145111</v>
      </c>
      <c r="BD43" s="12">
        <f>-BD15*BD44</f>
        <v>-4228.58095317351</v>
      </c>
      <c r="BE43" s="12">
        <f>-BE15*BE44</f>
        <v>-4414.65101235592</v>
      </c>
      <c r="BF43" s="12">
        <f>SUM(BB43:BE43)</f>
        <v>-16096.2928517309</v>
      </c>
      <c r="BG43" s="12" t="n"/>
      <c r="BH43" s="12" t="n"/>
      <c r="BI43" s="12" t="n"/>
      <c r="BJ43" s="12" t="n"/>
      <c r="BK43" s="12" t="n"/>
      <c r="BL43" s="12" t="n"/>
      <c r="BM43" s="12" t="n"/>
      <c r="BN43" s="12" t="n"/>
      <c r="BO43" s="12" t="n"/>
      <c r="BP43" s="12" t="n"/>
      <c r="BQ43" s="12" t="n"/>
      <c r="BR43" s="12" t="n"/>
      <c r="BS43" s="12" t="n"/>
      <c r="BT43" s="12" t="n"/>
      <c r="BU43" s="12" t="n"/>
      <c r="BV43" s="12" t="n"/>
      <c r="BW43" s="12" t="n"/>
      <c r="BX43" s="12" t="n"/>
      <c r="BY43" s="12" t="n"/>
      <c r="BZ43" s="12" t="n"/>
      <c r="CA43" s="12" t="n"/>
      <c r="CB43" s="12" t="n"/>
      <c r="CC43" s="12" t="n"/>
      <c r="CD43" s="12" t="n"/>
      <c r="CE43" s="12" t="n"/>
      <c r="CF43" s="12" t="n"/>
      <c r="CG43" s="12" t="n"/>
      <c r="CH43" s="12" t="n"/>
      <c r="CI43" s="12" t="n"/>
      <c r="CJ43" s="12" t="n"/>
      <c r="CK43" s="12" t="n"/>
      <c r="CL43" s="12" t="n"/>
      <c r="CM43" s="12" t="n"/>
      <c r="CN43" s="12" t="n"/>
      <c r="CO43" s="12" t="n"/>
      <c r="CP43" s="12" t="n"/>
      <c r="CQ43" s="12" t="n"/>
      <c r="CR43" s="12" t="n"/>
      <c r="CS43" s="12" t="n"/>
      <c r="CT43" s="12" t="n"/>
      <c r="CU43" s="12" t="n"/>
      <c r="CV43" s="12" t="n"/>
      <c r="CW43" s="12" t="n"/>
      <c r="CX43" s="12" t="n"/>
      <c r="CY43" s="12" t="n"/>
    </row>
    <row r="44" hidden="1" outlineLevel="1">
      <c r="C44" s="38" t="inlineStr">
        <is>
          <t>% SG&amp;A and Other Margin</t>
        </is>
      </c>
      <c r="D44" s="51" t="n"/>
      <c r="E44" s="51" t="n"/>
      <c r="F44" s="51" t="n"/>
      <c r="G44" s="51" t="n"/>
      <c r="H44" s="51" t="n"/>
      <c r="I44" s="51">
        <f>IFERROR(-(I43/I$15),"")</f>
        <v>0.235252767851913</v>
      </c>
      <c r="J44" s="51">
        <f>IFERROR(-(J43/J$15),"")</f>
        <v>0.297704486933655</v>
      </c>
      <c r="K44" s="51">
        <f>IFERROR(-(K43/K$15),"")</f>
        <v>0.216435995476332</v>
      </c>
      <c r="L44" s="51">
        <f>IFERROR(-(L43/L$15),"")</f>
        <v>0.472393242377974</v>
      </c>
      <c r="M44" s="51">
        <f>IFERROR(-(M43/M$15),"")</f>
        <v>0.310798425791148</v>
      </c>
      <c r="N44" s="51">
        <f>IFERROR(-(N43/N$15),"")</f>
        <v>0.259013806706114</v>
      </c>
      <c r="O44" s="51">
        <f>IFERROR(-(O43/O$15),"")</f>
        <v>0.179089686416083</v>
      </c>
      <c r="P44" s="51">
        <f>IFERROR(-(P43/P$15),"")</f>
        <v>0.177263303386317</v>
      </c>
      <c r="Q44" s="51">
        <f>IFERROR(-(Q43/Q$15),"")</f>
        <v>0.497623009270264</v>
      </c>
      <c r="R44" s="51">
        <f>IFERROR(-(R43/R$15),"")</f>
        <v>0.288330464716007</v>
      </c>
      <c r="S44" s="51">
        <f>IFERROR(-(S43/S$15),"")</f>
        <v>1.07720775906075</v>
      </c>
      <c r="T44" s="51">
        <f>IFERROR(-(T43/T$15),"")</f>
        <v>0.1653912050257</v>
      </c>
      <c r="U44" s="51">
        <f>IFERROR(-(U43/U$15),"")</f>
        <v>0.159535583745431</v>
      </c>
      <c r="V44" s="51">
        <f>IFERROR(-(V43/V$15),"")</f>
        <v>1.21763959390863</v>
      </c>
      <c r="W44" s="51">
        <f>IFERROR(-(W43/W$15),"")</f>
        <v>0.64745820249512</v>
      </c>
      <c r="X44" s="51">
        <f>IFERROR(-(X43/X$15),"")</f>
        <v>0.177107761027359</v>
      </c>
      <c r="Y44" s="51">
        <f>IFERROR(-(Y43/Y$15),"")</f>
        <v>0.171871563668353</v>
      </c>
      <c r="Z44" s="51">
        <f>IFERROR(-(Z43/Z$15),"")</f>
        <v>0.230542572647836</v>
      </c>
      <c r="AA44" s="51">
        <f>IFERROR(-(AA43/AA$15),"")</f>
        <v>0.150110987791343</v>
      </c>
      <c r="AB44" s="51">
        <f>IFERROR(-(AB43/AB$15),"")</f>
        <v>0.181923881869623</v>
      </c>
      <c r="AC44" s="51">
        <f>IFERROR(-(AC43/AC$15),"")</f>
        <v>0.158731756416709</v>
      </c>
      <c r="AD44" s="51">
        <f>IFERROR(-(AD43/AD$15),"")</f>
        <v>0.155039462941123</v>
      </c>
      <c r="AE44" s="51">
        <f>IFERROR(-(AE43/AE$15),"")</f>
        <v>0.143666365651424</v>
      </c>
      <c r="AF44" s="41">
        <f>IFERROR(-(AF43/AF$15),"")</f>
        <v>0.128568058504364</v>
      </c>
      <c r="AG44" s="51">
        <f>IFERROR(-(AG43/AG$15),"")</f>
        <v>0.145477145847872</v>
      </c>
      <c r="AH44" s="52">
        <f>IFERROR(-(AH43/AH$15),"")</f>
        <v>0.145174306003873</v>
      </c>
      <c r="AI44" s="52">
        <f>IFERROR(-(AI43/AI$15),"")</f>
        <v>0.130946138287512</v>
      </c>
      <c r="AJ44" s="52">
        <f>Control!$B$20</f>
        <v>0.143687681300834</v>
      </c>
      <c r="AK44" s="52">
        <f>Control!$B$20</f>
        <v>0.143687681300834</v>
      </c>
      <c r="AL44" s="51">
        <f>IFERROR(-(AL43/AL$15),"")</f>
        <v>0.140959535189163</v>
      </c>
      <c r="AM44" s="52">
        <f>Control!$C$20</f>
        <v>0.143687681300834</v>
      </c>
      <c r="AN44" s="52">
        <f>Control!$C$20</f>
        <v>0.143687681300834</v>
      </c>
      <c r="AO44" s="52">
        <f>Control!$C$20</f>
        <v>0.143687681300834</v>
      </c>
      <c r="AP44" s="52">
        <f>Control!$C$20</f>
        <v>0.143687681300834</v>
      </c>
      <c r="AQ44" s="51">
        <f>IFERROR(-(AQ43/AQ$15),"")</f>
        <v>0.143687681300834</v>
      </c>
      <c r="AR44" s="52">
        <f>Control!$D$20</f>
        <v>0.143687681300834</v>
      </c>
      <c r="AS44" s="52">
        <f>Control!$D$20</f>
        <v>0.143687681300834</v>
      </c>
      <c r="AT44" s="52">
        <f>Control!$D$20</f>
        <v>0.143687681300834</v>
      </c>
      <c r="AU44" s="52">
        <f>Control!$D$20</f>
        <v>0.143687681300834</v>
      </c>
      <c r="AV44" s="51">
        <f>IFERROR(-(AV43/AV$15),"")</f>
        <v>0.143687681300834</v>
      </c>
      <c r="AW44" s="52">
        <f>Control!$E$20</f>
        <v>0.143687681300834</v>
      </c>
      <c r="AX44" s="52">
        <f>Control!$E$20</f>
        <v>0.143687681300834</v>
      </c>
      <c r="AY44" s="52">
        <f>Control!$E$20</f>
        <v>0.143687681300834</v>
      </c>
      <c r="AZ44" s="52">
        <f>Control!$E$20</f>
        <v>0.143687681300834</v>
      </c>
      <c r="BA44" s="51">
        <f>IFERROR(-(BA43/BA$15),"")</f>
        <v>0.143687681300834</v>
      </c>
      <c r="BB44" s="52">
        <f>Control!$F$20</f>
        <v>0.143687681300834</v>
      </c>
      <c r="BC44" s="52">
        <f>Control!$F$20</f>
        <v>0.143687681300834</v>
      </c>
      <c r="BD44" s="52">
        <f>Control!$F$20</f>
        <v>0.143687681300834</v>
      </c>
      <c r="BE44" s="52">
        <f>Control!$F$20</f>
        <v>0.143687681300834</v>
      </c>
      <c r="BF44" s="51">
        <f>IFERROR(-(BF43/BF$15),"")</f>
        <v>0.143687681300834</v>
      </c>
      <c r="BG44" s="52" t="n"/>
      <c r="BH44" s="52" t="n"/>
      <c r="BI44" s="52" t="n"/>
      <c r="BJ44" s="52" t="n"/>
      <c r="BK44" s="51" t="n"/>
      <c r="BL44" s="52" t="n"/>
      <c r="BM44" s="52" t="n"/>
      <c r="BN44" s="52" t="n"/>
      <c r="BO44" s="52" t="n"/>
      <c r="BP44" s="51" t="n"/>
      <c r="BQ44" s="52" t="n"/>
      <c r="BR44" s="52" t="n"/>
      <c r="BS44" s="52" t="n"/>
      <c r="BT44" s="52" t="n"/>
      <c r="BU44" s="51" t="n"/>
      <c r="BV44" s="52" t="n"/>
      <c r="BW44" s="52" t="n"/>
      <c r="BX44" s="52" t="n"/>
      <c r="BY44" s="52" t="n"/>
      <c r="BZ44" s="51" t="n"/>
      <c r="CA44" s="52" t="n"/>
      <c r="CB44" s="52" t="n"/>
      <c r="CC44" s="52" t="n"/>
      <c r="CD44" s="52" t="n"/>
      <c r="CE44" s="51" t="n"/>
      <c r="CF44" s="52" t="n"/>
      <c r="CG44" s="52" t="n"/>
      <c r="CH44" s="52" t="n"/>
      <c r="CI44" s="52" t="n"/>
      <c r="CJ44" s="51" t="n"/>
      <c r="CK44" s="52" t="n"/>
      <c r="CL44" s="52" t="n"/>
      <c r="CM44" s="52" t="n"/>
      <c r="CN44" s="52" t="n"/>
      <c r="CO44" s="51" t="n"/>
      <c r="CP44" s="52" t="n"/>
      <c r="CQ44" s="52" t="n"/>
      <c r="CR44" s="52" t="n"/>
      <c r="CS44" s="52" t="n"/>
      <c r="CT44" s="51" t="n"/>
      <c r="CU44" s="52" t="n"/>
      <c r="CV44" s="52" t="n"/>
      <c r="CW44" s="52" t="n"/>
      <c r="CX44" s="52" t="n"/>
      <c r="CY44" s="51" t="n"/>
    </row>
    <row r="45" hidden="1" outlineLevel="1">
      <c r="C45" s="50" t="n"/>
      <c r="D45" s="50" t="n"/>
      <c r="E45" s="50" t="n"/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  <c r="AA45" s="50" t="n"/>
      <c r="AB45" s="50" t="n"/>
      <c r="AC45" s="50" t="n"/>
      <c r="AD45" s="50" t="n"/>
      <c r="AE45" s="50" t="n"/>
      <c r="AF45" s="50" t="n"/>
      <c r="AG45" s="50" t="n"/>
      <c r="AH45" s="50" t="n"/>
      <c r="AI45" s="50" t="n"/>
      <c r="AJ45" s="50" t="n"/>
      <c r="AK45" s="50" t="n"/>
      <c r="AL45" s="50" t="n"/>
      <c r="AM45" s="50" t="n"/>
      <c r="AN45" s="50" t="n"/>
      <c r="AO45" s="50" t="n"/>
      <c r="AP45" s="50" t="n"/>
      <c r="AQ45" s="50" t="n"/>
      <c r="AR45" s="50" t="n"/>
      <c r="AS45" s="50" t="n"/>
      <c r="AT45" s="50" t="n"/>
      <c r="AU45" s="50" t="n"/>
      <c r="AV45" s="50" t="n"/>
      <c r="AW45" s="50" t="n"/>
      <c r="AX45" s="50" t="n"/>
      <c r="AY45" s="50" t="n"/>
      <c r="AZ45" s="50" t="n"/>
      <c r="BA45" s="50" t="n"/>
      <c r="BB45" s="50" t="n"/>
      <c r="BC45" s="50" t="n"/>
      <c r="BD45" s="50" t="n"/>
      <c r="BE45" s="50" t="n"/>
      <c r="BF45" s="50" t="n"/>
      <c r="BG45" s="50" t="n"/>
      <c r="BH45" s="50" t="n"/>
      <c r="BI45" s="50" t="n"/>
      <c r="BJ45" s="50" t="n"/>
      <c r="BK45" s="50" t="n"/>
      <c r="BL45" s="50" t="n"/>
      <c r="BM45" s="50" t="n"/>
      <c r="BN45" s="50" t="n"/>
      <c r="BO45" s="50" t="n"/>
      <c r="BP45" s="50" t="n"/>
      <c r="BQ45" s="50" t="n"/>
      <c r="BR45" s="50" t="n"/>
      <c r="BS45" s="50" t="n"/>
      <c r="BT45" s="50" t="n"/>
      <c r="BU45" s="50" t="n"/>
      <c r="BV45" s="50" t="n"/>
      <c r="BW45" s="50" t="n"/>
      <c r="BX45" s="50" t="n"/>
      <c r="BY45" s="50" t="n"/>
      <c r="BZ45" s="50" t="n"/>
      <c r="CA45" s="50" t="n"/>
      <c r="CB45" s="50" t="n"/>
      <c r="CC45" s="50" t="n"/>
      <c r="CD45" s="50" t="n"/>
      <c r="CE45" s="50" t="n"/>
      <c r="CF45" s="50" t="n"/>
      <c r="CG45" s="50" t="n"/>
      <c r="CH45" s="50" t="n"/>
      <c r="CI45" s="50" t="n"/>
      <c r="CJ45" s="50" t="n"/>
      <c r="CK45" s="50" t="n"/>
      <c r="CL45" s="50" t="n"/>
      <c r="CM45" s="50" t="n"/>
      <c r="CN45" s="50" t="n"/>
      <c r="CO45" s="50" t="n"/>
      <c r="CP45" s="50" t="n"/>
      <c r="CQ45" s="50" t="n"/>
      <c r="CR45" s="50" t="n"/>
      <c r="CS45" s="50" t="n"/>
      <c r="CT45" s="50" t="n"/>
      <c r="CU45" s="50" t="n"/>
      <c r="CV45" s="50" t="n"/>
      <c r="CW45" s="50" t="n"/>
      <c r="CX45" s="50" t="n"/>
      <c r="CY45" s="50" t="n"/>
    </row>
    <row r="46" hidden="1" outlineLevel="1">
      <c r="C46" s="50" t="inlineStr">
        <is>
          <t>Com Vendas</t>
        </is>
      </c>
      <c r="D46" s="11" t="n"/>
      <c r="E46" s="11" t="n"/>
      <c r="F46" s="11" t="n"/>
      <c r="G46" s="11" t="n"/>
      <c r="H46" s="50" t="n"/>
      <c r="I46" s="11" t="n"/>
      <c r="J46" s="11" t="n"/>
      <c r="K46" s="11" t="n"/>
      <c r="L46" s="11" t="n"/>
      <c r="M46" s="50" t="n"/>
      <c r="N46" s="11" t="n"/>
      <c r="O46" s="11" t="n"/>
      <c r="P46" s="11" t="n"/>
      <c r="Q46" s="11" t="n"/>
      <c r="R46" s="50" t="n"/>
      <c r="S46" s="11" t="n"/>
      <c r="T46" s="11" t="n"/>
      <c r="U46" s="11" t="n"/>
      <c r="V46" s="11" t="n"/>
      <c r="W46" s="50" t="n"/>
      <c r="X46" s="11" t="n"/>
      <c r="Y46" s="11" t="n"/>
      <c r="Z46" s="11" t="n"/>
      <c r="AA46" s="11" t="n"/>
      <c r="AB46" s="50" t="n"/>
      <c r="AC46" s="11" t="n"/>
      <c r="AD46" s="11" t="n"/>
      <c r="AE46" s="11" t="n"/>
      <c r="AF46" s="11" t="n"/>
      <c r="AG46" s="50" t="n"/>
      <c r="AH46" s="50" t="n"/>
      <c r="AI46" s="50" t="n"/>
      <c r="AJ46" s="50" t="n"/>
      <c r="AK46" s="50" t="n"/>
      <c r="AL46" s="50" t="n"/>
      <c r="AM46" s="50" t="n"/>
      <c r="AN46" s="50" t="n"/>
      <c r="AO46" s="50" t="n"/>
      <c r="AP46" s="50" t="n"/>
      <c r="AQ46" s="50" t="n"/>
      <c r="AR46" s="50" t="n"/>
      <c r="AS46" s="50" t="n"/>
      <c r="AT46" s="50" t="n"/>
      <c r="AU46" s="50" t="n"/>
      <c r="AV46" s="50" t="n"/>
      <c r="AW46" s="50" t="n"/>
      <c r="AX46" s="50" t="n"/>
      <c r="AY46" s="50" t="n"/>
      <c r="AZ46" s="50" t="n"/>
      <c r="BA46" s="50" t="n"/>
      <c r="BB46" s="50" t="n"/>
      <c r="BC46" s="50" t="n"/>
      <c r="BD46" s="50" t="n"/>
      <c r="BE46" s="50" t="n"/>
      <c r="BF46" s="50" t="n"/>
      <c r="BG46" s="50" t="n"/>
      <c r="BH46" s="50" t="n"/>
      <c r="BI46" s="50" t="n"/>
      <c r="BJ46" s="50" t="n"/>
      <c r="BK46" s="50" t="n"/>
      <c r="BL46" s="50" t="n"/>
      <c r="BM46" s="50" t="n"/>
      <c r="BN46" s="50" t="n"/>
      <c r="BO46" s="50" t="n"/>
      <c r="BP46" s="50" t="n"/>
      <c r="BQ46" s="50" t="n"/>
      <c r="BR46" s="50" t="n"/>
      <c r="BS46" s="50" t="n"/>
      <c r="BT46" s="50" t="n"/>
      <c r="BU46" s="50" t="n"/>
      <c r="BV46" s="50" t="n"/>
      <c r="BW46" s="50" t="n"/>
      <c r="BX46" s="50" t="n"/>
      <c r="BY46" s="50" t="n"/>
      <c r="BZ46" s="50" t="n"/>
      <c r="CA46" s="50" t="n"/>
      <c r="CB46" s="50" t="n"/>
      <c r="CC46" s="50" t="n"/>
      <c r="CD46" s="50" t="n"/>
      <c r="CE46" s="50" t="n"/>
      <c r="CF46" s="50" t="n"/>
      <c r="CG46" s="50" t="n"/>
      <c r="CH46" s="50" t="n"/>
      <c r="CI46" s="50" t="n"/>
      <c r="CJ46" s="50" t="n"/>
      <c r="CK46" s="50" t="n"/>
      <c r="CL46" s="50" t="n"/>
      <c r="CM46" s="50" t="n"/>
      <c r="CN46" s="50" t="n"/>
      <c r="CO46" s="50" t="n"/>
      <c r="CP46" s="50" t="n"/>
      <c r="CQ46" s="50" t="n"/>
      <c r="CR46" s="50" t="n"/>
      <c r="CS46" s="50" t="n"/>
      <c r="CT46" s="50" t="n"/>
      <c r="CU46" s="50" t="n"/>
      <c r="CV46" s="50" t="n"/>
      <c r="CW46" s="50" t="n"/>
      <c r="CX46" s="50" t="n"/>
      <c r="CY46" s="50" t="n"/>
    </row>
    <row r="47" hidden="1" outlineLevel="1">
      <c r="C47" s="50" t="inlineStr">
        <is>
          <t>Gerais &amp; Administrativas</t>
        </is>
      </c>
      <c r="D47" s="11" t="n"/>
      <c r="E47" s="11" t="n"/>
      <c r="F47" s="11" t="n"/>
      <c r="G47" s="11" t="n"/>
      <c r="H47" s="50" t="n"/>
      <c r="I47" s="11" t="n"/>
      <c r="J47" s="11" t="n"/>
      <c r="K47" s="11" t="n"/>
      <c r="L47" s="11" t="n"/>
      <c r="M47" s="50" t="n"/>
      <c r="N47" s="11" t="n"/>
      <c r="O47" s="11" t="n"/>
      <c r="P47" s="11" t="n"/>
      <c r="Q47" s="11" t="n"/>
      <c r="R47" s="50" t="n"/>
      <c r="S47" s="11" t="n"/>
      <c r="T47" s="11" t="n"/>
      <c r="U47" s="11" t="n"/>
      <c r="V47" s="11" t="n"/>
      <c r="W47" s="50" t="n"/>
      <c r="X47" s="11" t="n"/>
      <c r="Y47" s="11" t="n"/>
      <c r="Z47" s="11" t="n"/>
      <c r="AA47" s="11" t="n"/>
      <c r="AB47" s="50" t="n"/>
      <c r="AC47" s="11" t="n"/>
      <c r="AD47" s="11" t="n"/>
      <c r="AE47" s="11" t="n"/>
      <c r="AF47" s="11" t="n"/>
      <c r="AG47" s="50" t="n"/>
      <c r="AH47" s="50" t="n"/>
      <c r="AI47" s="50" t="n"/>
      <c r="AJ47" s="50" t="n"/>
      <c r="AK47" s="50" t="n"/>
      <c r="AL47" s="50" t="n"/>
      <c r="AM47" s="50" t="n"/>
      <c r="AN47" s="50" t="n"/>
      <c r="AO47" s="50" t="n"/>
      <c r="AP47" s="50" t="n"/>
      <c r="AQ47" s="50" t="n"/>
      <c r="AR47" s="50" t="n"/>
      <c r="AS47" s="50" t="n"/>
      <c r="AT47" s="50" t="n"/>
      <c r="AU47" s="50" t="n"/>
      <c r="AV47" s="50" t="n"/>
      <c r="AW47" s="50" t="n"/>
      <c r="AX47" s="50" t="n"/>
      <c r="AY47" s="50" t="n"/>
      <c r="AZ47" s="50" t="n"/>
      <c r="BA47" s="50" t="n"/>
      <c r="BB47" s="50" t="n"/>
      <c r="BC47" s="50" t="n"/>
      <c r="BD47" s="50" t="n"/>
      <c r="BE47" s="50" t="n"/>
      <c r="BF47" s="50" t="n"/>
      <c r="BG47" s="50" t="n"/>
      <c r="BH47" s="50" t="n"/>
      <c r="BI47" s="50" t="n"/>
      <c r="BJ47" s="50" t="n"/>
      <c r="BK47" s="50" t="n"/>
      <c r="BL47" s="50" t="n"/>
      <c r="BM47" s="50" t="n"/>
      <c r="BN47" s="50" t="n"/>
      <c r="BO47" s="50" t="n"/>
      <c r="BP47" s="50" t="n"/>
      <c r="BQ47" s="50" t="n"/>
      <c r="BR47" s="50" t="n"/>
      <c r="BS47" s="50" t="n"/>
      <c r="BT47" s="50" t="n"/>
      <c r="BU47" s="50" t="n"/>
      <c r="BV47" s="50" t="n"/>
      <c r="BW47" s="50" t="n"/>
      <c r="BX47" s="50" t="n"/>
      <c r="BY47" s="50" t="n"/>
      <c r="BZ47" s="50" t="n"/>
      <c r="CA47" s="50" t="n"/>
      <c r="CB47" s="50" t="n"/>
      <c r="CC47" s="50" t="n"/>
      <c r="CD47" s="50" t="n"/>
      <c r="CE47" s="50" t="n"/>
      <c r="CF47" s="50" t="n"/>
      <c r="CG47" s="50" t="n"/>
      <c r="CH47" s="50" t="n"/>
      <c r="CI47" s="50" t="n"/>
      <c r="CJ47" s="50" t="n"/>
      <c r="CK47" s="50" t="n"/>
      <c r="CL47" s="50" t="n"/>
      <c r="CM47" s="50" t="n"/>
      <c r="CN47" s="50" t="n"/>
      <c r="CO47" s="50" t="n"/>
      <c r="CP47" s="50" t="n"/>
      <c r="CQ47" s="50" t="n"/>
      <c r="CR47" s="50" t="n"/>
      <c r="CS47" s="50" t="n"/>
      <c r="CT47" s="50" t="n"/>
      <c r="CU47" s="50" t="n"/>
      <c r="CV47" s="50" t="n"/>
      <c r="CW47" s="50" t="n"/>
      <c r="CX47" s="50" t="n"/>
      <c r="CY47" s="50" t="n"/>
    </row>
    <row r="48" hidden="1" outlineLevel="1">
      <c r="C48" s="50" t="inlineStr">
        <is>
          <t>Outras Receitas (Despesas) Operacionais, Líquidas</t>
        </is>
      </c>
      <c r="D48" s="11" t="n"/>
      <c r="E48" s="11" t="n"/>
      <c r="F48" s="11" t="n"/>
      <c r="G48" s="11" t="n"/>
      <c r="H48" s="50" t="n"/>
      <c r="I48" s="11" t="n"/>
      <c r="J48" s="11" t="n"/>
      <c r="K48" s="11" t="n"/>
      <c r="L48" s="11" t="n"/>
      <c r="M48" s="50" t="n"/>
      <c r="N48" s="11" t="n"/>
      <c r="O48" s="11" t="n"/>
      <c r="P48" s="11" t="n"/>
      <c r="Q48" s="11" t="n"/>
      <c r="R48" s="50" t="n"/>
      <c r="S48" s="11" t="n"/>
      <c r="T48" s="11" t="n"/>
      <c r="U48" s="11" t="n"/>
      <c r="V48" s="11" t="n"/>
      <c r="W48" s="50" t="n"/>
      <c r="X48" s="11" t="n"/>
      <c r="Y48" s="11" t="n"/>
      <c r="Z48" s="11" t="n"/>
      <c r="AA48" s="11" t="n"/>
      <c r="AB48" s="50" t="n"/>
      <c r="AC48" s="11" t="n"/>
      <c r="AD48" s="11" t="n"/>
      <c r="AE48" s="11" t="n"/>
      <c r="AF48" s="11" t="n"/>
      <c r="AG48" s="50" t="n"/>
      <c r="AH48" s="50" t="n"/>
      <c r="AI48" s="50" t="n"/>
      <c r="AJ48" s="50" t="n"/>
      <c r="AK48" s="50" t="n"/>
      <c r="AL48" s="50" t="n"/>
      <c r="AM48" s="50" t="n"/>
      <c r="AN48" s="50" t="n"/>
      <c r="AO48" s="50" t="n"/>
      <c r="AP48" s="50" t="n"/>
      <c r="AQ48" s="50" t="n"/>
      <c r="AR48" s="50" t="n"/>
      <c r="AS48" s="50" t="n"/>
      <c r="AT48" s="50" t="n"/>
      <c r="AU48" s="50" t="n"/>
      <c r="AV48" s="50" t="n"/>
      <c r="AW48" s="50" t="n"/>
      <c r="AX48" s="50" t="n"/>
      <c r="AY48" s="50" t="n"/>
      <c r="AZ48" s="50" t="n"/>
      <c r="BA48" s="50" t="n"/>
      <c r="BB48" s="50" t="n"/>
      <c r="BC48" s="50" t="n"/>
      <c r="BD48" s="50" t="n"/>
      <c r="BE48" s="50" t="n"/>
      <c r="BF48" s="50" t="n"/>
      <c r="BG48" s="50" t="n"/>
      <c r="BH48" s="50" t="n"/>
      <c r="BI48" s="50" t="n"/>
      <c r="BJ48" s="50" t="n"/>
      <c r="BK48" s="50" t="n"/>
      <c r="BL48" s="50" t="n"/>
      <c r="BM48" s="50" t="n"/>
      <c r="BN48" s="50" t="n"/>
      <c r="BO48" s="50" t="n"/>
      <c r="BP48" s="50" t="n"/>
      <c r="BQ48" s="50" t="n"/>
      <c r="BR48" s="50" t="n"/>
      <c r="BS48" s="50" t="n"/>
      <c r="BT48" s="50" t="n"/>
      <c r="BU48" s="50" t="n"/>
      <c r="BV48" s="50" t="n"/>
      <c r="BW48" s="50" t="n"/>
      <c r="BX48" s="50" t="n"/>
      <c r="BY48" s="50" t="n"/>
      <c r="BZ48" s="50" t="n"/>
      <c r="CA48" s="50" t="n"/>
      <c r="CB48" s="50" t="n"/>
      <c r="CC48" s="50" t="n"/>
      <c r="CD48" s="50" t="n"/>
      <c r="CE48" s="50" t="n"/>
      <c r="CF48" s="50" t="n"/>
      <c r="CG48" s="50" t="n"/>
      <c r="CH48" s="50" t="n"/>
      <c r="CI48" s="50" t="n"/>
      <c r="CJ48" s="50" t="n"/>
      <c r="CK48" s="50" t="n"/>
      <c r="CL48" s="50" t="n"/>
      <c r="CM48" s="50" t="n"/>
      <c r="CN48" s="50" t="n"/>
      <c r="CO48" s="50" t="n"/>
      <c r="CP48" s="50" t="n"/>
      <c r="CQ48" s="50" t="n"/>
      <c r="CR48" s="50" t="n"/>
      <c r="CS48" s="50" t="n"/>
      <c r="CT48" s="50" t="n"/>
      <c r="CU48" s="50" t="n"/>
      <c r="CV48" s="50" t="n"/>
      <c r="CW48" s="50" t="n"/>
      <c r="CX48" s="50" t="n"/>
      <c r="CY48" s="50" t="n"/>
    </row>
    <row r="49" hidden="1" outlineLevel="1">
      <c r="C49" s="50" t="n"/>
      <c r="D49" s="50" t="n"/>
      <c r="E49" s="50" t="n"/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  <c r="AA49" s="50" t="n"/>
      <c r="AB49" s="50" t="n"/>
      <c r="AC49" s="50" t="n"/>
      <c r="AD49" s="50" t="n"/>
      <c r="AE49" s="50" t="n"/>
      <c r="AF49" s="50" t="n"/>
      <c r="AG49" s="50" t="n"/>
      <c r="AH49" s="50" t="n"/>
      <c r="AI49" s="50" t="n"/>
      <c r="AJ49" s="50" t="n"/>
      <c r="AK49" s="50" t="n"/>
      <c r="AL49" s="50" t="n"/>
      <c r="AM49" s="50" t="n"/>
      <c r="AN49" s="50" t="n"/>
      <c r="AO49" s="50" t="n"/>
      <c r="AP49" s="50" t="n"/>
      <c r="AQ49" s="50" t="n"/>
      <c r="AR49" s="50" t="n"/>
      <c r="AS49" s="50" t="n"/>
      <c r="AT49" s="50" t="n"/>
      <c r="AU49" s="50" t="n"/>
      <c r="AV49" s="50" t="n"/>
      <c r="AW49" s="50" t="n"/>
      <c r="AX49" s="50" t="n"/>
      <c r="AY49" s="50" t="n"/>
      <c r="AZ49" s="50" t="n"/>
      <c r="BA49" s="50" t="n"/>
      <c r="BB49" s="50" t="n"/>
      <c r="BC49" s="50" t="n"/>
      <c r="BD49" s="50" t="n"/>
      <c r="BE49" s="50" t="n"/>
      <c r="BF49" s="50" t="n"/>
      <c r="BG49" s="50" t="n"/>
      <c r="BH49" s="50" t="n"/>
      <c r="BI49" s="50" t="n"/>
      <c r="BJ49" s="50" t="n"/>
      <c r="BK49" s="50" t="n"/>
      <c r="BL49" s="50" t="n"/>
      <c r="BM49" s="50" t="n"/>
      <c r="BN49" s="50" t="n"/>
      <c r="BO49" s="50" t="n"/>
      <c r="BP49" s="50" t="n"/>
      <c r="BQ49" s="50" t="n"/>
      <c r="BR49" s="50" t="n"/>
      <c r="BS49" s="50" t="n"/>
      <c r="BT49" s="50" t="n"/>
      <c r="BU49" s="50" t="n"/>
      <c r="BV49" s="50" t="n"/>
      <c r="BW49" s="50" t="n"/>
      <c r="BX49" s="50" t="n"/>
      <c r="BY49" s="50" t="n"/>
      <c r="BZ49" s="50" t="n"/>
      <c r="CA49" s="50" t="n"/>
      <c r="CB49" s="50" t="n"/>
      <c r="CC49" s="50" t="n"/>
      <c r="CD49" s="50" t="n"/>
      <c r="CE49" s="50" t="n"/>
      <c r="CF49" s="50" t="n"/>
      <c r="CG49" s="50" t="n"/>
      <c r="CH49" s="50" t="n"/>
      <c r="CI49" s="50" t="n"/>
      <c r="CJ49" s="50" t="n"/>
      <c r="CK49" s="50" t="n"/>
      <c r="CL49" s="50" t="n"/>
      <c r="CM49" s="50" t="n"/>
      <c r="CN49" s="50" t="n"/>
      <c r="CO49" s="50" t="n"/>
      <c r="CP49" s="50" t="n"/>
      <c r="CQ49" s="50" t="n"/>
      <c r="CR49" s="50" t="n"/>
      <c r="CS49" s="50" t="n"/>
      <c r="CT49" s="50" t="n"/>
      <c r="CU49" s="50" t="n"/>
      <c r="CV49" s="50" t="n"/>
      <c r="CW49" s="50" t="n"/>
      <c r="CX49" s="50" t="n"/>
      <c r="CY49" s="50" t="n"/>
    </row>
    <row r="50" hidden="1" outlineLevel="1">
      <c r="C50" s="50" t="inlineStr">
        <is>
          <t>Com Vendas (%)</t>
        </is>
      </c>
      <c r="D50" s="50" t="n"/>
      <c r="E50" s="50" t="n"/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  <c r="AA50" s="50" t="n"/>
      <c r="AB50" s="50" t="n"/>
      <c r="AC50" s="50" t="n"/>
      <c r="AD50" s="50" t="n"/>
      <c r="AE50" s="50" t="n"/>
      <c r="AF50" s="50" t="n"/>
      <c r="AG50" s="50" t="n"/>
      <c r="AH50" s="50" t="n"/>
      <c r="AI50" s="50" t="n"/>
      <c r="AJ50" s="50" t="n"/>
      <c r="AK50" s="50" t="n"/>
      <c r="AL50" s="50" t="n"/>
      <c r="AM50" s="50" t="n"/>
      <c r="AN50" s="50" t="n"/>
      <c r="AO50" s="50" t="n"/>
      <c r="AP50" s="50" t="n"/>
      <c r="AQ50" s="50" t="n"/>
      <c r="AR50" s="50" t="n"/>
      <c r="AS50" s="50" t="n"/>
      <c r="AT50" s="50" t="n"/>
      <c r="AU50" s="50" t="n"/>
      <c r="AV50" s="50" t="n"/>
      <c r="AW50" s="50" t="n"/>
      <c r="AX50" s="50" t="n"/>
      <c r="AY50" s="50" t="n"/>
      <c r="AZ50" s="50" t="n"/>
      <c r="BA50" s="50" t="n"/>
      <c r="BB50" s="50" t="n"/>
      <c r="BC50" s="50" t="n"/>
      <c r="BD50" s="50" t="n"/>
      <c r="BE50" s="50" t="n"/>
      <c r="BF50" s="50" t="n"/>
      <c r="BG50" s="50" t="n"/>
      <c r="BH50" s="50" t="n"/>
      <c r="BI50" s="50" t="n"/>
      <c r="BJ50" s="50" t="n"/>
      <c r="BK50" s="50" t="n"/>
      <c r="BL50" s="50" t="n"/>
      <c r="BM50" s="50" t="n"/>
      <c r="BN50" s="50" t="n"/>
      <c r="BO50" s="50" t="n"/>
      <c r="BP50" s="50" t="n"/>
      <c r="BQ50" s="50" t="n"/>
      <c r="BR50" s="50" t="n"/>
      <c r="BS50" s="50" t="n"/>
      <c r="BT50" s="50" t="n"/>
      <c r="BU50" s="50" t="n"/>
      <c r="BV50" s="50" t="n"/>
      <c r="BW50" s="50" t="n"/>
      <c r="BX50" s="50" t="n"/>
      <c r="BY50" s="50" t="n"/>
      <c r="BZ50" s="50" t="n"/>
      <c r="CA50" s="50" t="n"/>
      <c r="CB50" s="50" t="n"/>
      <c r="CC50" s="50" t="n"/>
      <c r="CD50" s="50" t="n"/>
      <c r="CE50" s="50" t="n"/>
      <c r="CF50" s="50" t="n"/>
      <c r="CG50" s="50" t="n"/>
      <c r="CH50" s="50" t="n"/>
      <c r="CI50" s="50" t="n"/>
      <c r="CJ50" s="50" t="n"/>
      <c r="CK50" s="50" t="n"/>
      <c r="CL50" s="50" t="n"/>
      <c r="CM50" s="50" t="n"/>
      <c r="CN50" s="50" t="n"/>
      <c r="CO50" s="50" t="n"/>
      <c r="CP50" s="50" t="n"/>
      <c r="CQ50" s="50" t="n"/>
      <c r="CR50" s="50" t="n"/>
      <c r="CS50" s="50" t="n"/>
      <c r="CT50" s="50" t="n"/>
      <c r="CU50" s="50" t="n"/>
      <c r="CV50" s="50" t="n"/>
      <c r="CW50" s="50" t="n"/>
      <c r="CX50" s="50" t="n"/>
      <c r="CY50" s="50" t="n"/>
    </row>
    <row r="51" hidden="1" outlineLevel="1">
      <c r="C51" s="50" t="inlineStr">
        <is>
          <t>Gerais &amp; Administrativas (%)</t>
        </is>
      </c>
      <c r="D51" s="50" t="n"/>
      <c r="E51" s="50" t="n"/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  <c r="AA51" s="50" t="n"/>
      <c r="AB51" s="50" t="n"/>
      <c r="AC51" s="50" t="n"/>
      <c r="AD51" s="50" t="n"/>
      <c r="AE51" s="50" t="n"/>
      <c r="AF51" s="50" t="n"/>
      <c r="AG51" s="50" t="n"/>
      <c r="AH51" s="50" t="n"/>
      <c r="AI51" s="50" t="n"/>
      <c r="AJ51" s="50" t="n"/>
      <c r="AK51" s="50" t="n"/>
      <c r="AL51" s="50" t="n"/>
      <c r="AM51" s="50" t="n"/>
      <c r="AN51" s="50" t="n"/>
      <c r="AO51" s="50" t="n"/>
      <c r="AP51" s="50" t="n"/>
      <c r="AQ51" s="50" t="n"/>
      <c r="AR51" s="50" t="n"/>
      <c r="AS51" s="50" t="n"/>
      <c r="AT51" s="50" t="n"/>
      <c r="AU51" s="50" t="n"/>
      <c r="AV51" s="50" t="n"/>
      <c r="AW51" s="50" t="n"/>
      <c r="AX51" s="50" t="n"/>
      <c r="AY51" s="50" t="n"/>
      <c r="AZ51" s="50" t="n"/>
      <c r="BA51" s="50" t="n"/>
      <c r="BB51" s="50" t="n"/>
      <c r="BC51" s="50" t="n"/>
      <c r="BD51" s="50" t="n"/>
      <c r="BE51" s="50" t="n"/>
      <c r="BF51" s="50" t="n"/>
      <c r="BG51" s="50" t="n"/>
      <c r="BH51" s="50" t="n"/>
      <c r="BI51" s="50" t="n"/>
      <c r="BJ51" s="50" t="n"/>
      <c r="BK51" s="50" t="n"/>
      <c r="BL51" s="50" t="n"/>
      <c r="BM51" s="50" t="n"/>
      <c r="BN51" s="50" t="n"/>
      <c r="BO51" s="50" t="n"/>
      <c r="BP51" s="50" t="n"/>
      <c r="BQ51" s="50" t="n"/>
      <c r="BR51" s="50" t="n"/>
      <c r="BS51" s="50" t="n"/>
      <c r="BT51" s="50" t="n"/>
      <c r="BU51" s="50" t="n"/>
      <c r="BV51" s="50" t="n"/>
      <c r="BW51" s="50" t="n"/>
      <c r="BX51" s="50" t="n"/>
      <c r="BY51" s="50" t="n"/>
      <c r="BZ51" s="50" t="n"/>
      <c r="CA51" s="50" t="n"/>
      <c r="CB51" s="50" t="n"/>
      <c r="CC51" s="50" t="n"/>
      <c r="CD51" s="50" t="n"/>
      <c r="CE51" s="50" t="n"/>
      <c r="CF51" s="50" t="n"/>
      <c r="CG51" s="50" t="n"/>
      <c r="CH51" s="50" t="n"/>
      <c r="CI51" s="50" t="n"/>
      <c r="CJ51" s="50" t="n"/>
      <c r="CK51" s="50" t="n"/>
      <c r="CL51" s="50" t="n"/>
      <c r="CM51" s="50" t="n"/>
      <c r="CN51" s="50" t="n"/>
      <c r="CO51" s="50" t="n"/>
      <c r="CP51" s="50" t="n"/>
      <c r="CQ51" s="50" t="n"/>
      <c r="CR51" s="50" t="n"/>
      <c r="CS51" s="50" t="n"/>
      <c r="CT51" s="50" t="n"/>
      <c r="CU51" s="50" t="n"/>
      <c r="CV51" s="50" t="n"/>
      <c r="CW51" s="50" t="n"/>
      <c r="CX51" s="50" t="n"/>
      <c r="CY51" s="50" t="n"/>
    </row>
    <row r="52" hidden="1" outlineLevel="1">
      <c r="C52" s="50" t="inlineStr">
        <is>
          <t>Outras Receitas (Despesas) Operacionais, Líquidas (%)</t>
        </is>
      </c>
      <c r="D52" s="50" t="n"/>
      <c r="E52" s="50" t="n"/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  <c r="AA52" s="50" t="n"/>
      <c r="AB52" s="50" t="n"/>
      <c r="AC52" s="50" t="n"/>
      <c r="AD52" s="50" t="n"/>
      <c r="AE52" s="50" t="n"/>
      <c r="AF52" s="50" t="n"/>
      <c r="AG52" s="50" t="n"/>
      <c r="AH52" s="50" t="n"/>
      <c r="AI52" s="50" t="n"/>
      <c r="AJ52" s="50" t="n"/>
      <c r="AK52" s="50" t="n"/>
      <c r="AL52" s="50" t="n"/>
      <c r="AM52" s="50" t="n"/>
      <c r="AN52" s="50" t="n"/>
      <c r="AO52" s="50" t="n"/>
      <c r="AP52" s="50" t="n"/>
      <c r="AQ52" s="50" t="n"/>
      <c r="AR52" s="50" t="n"/>
      <c r="AS52" s="50" t="n"/>
      <c r="AT52" s="50" t="n"/>
      <c r="AU52" s="50" t="n"/>
      <c r="AV52" s="50" t="n"/>
      <c r="AW52" s="50" t="n"/>
      <c r="AX52" s="50" t="n"/>
      <c r="AY52" s="50" t="n"/>
      <c r="AZ52" s="50" t="n"/>
      <c r="BA52" s="50" t="n"/>
      <c r="BB52" s="50" t="n"/>
      <c r="BC52" s="50" t="n"/>
      <c r="BD52" s="50" t="n"/>
      <c r="BE52" s="50" t="n"/>
      <c r="BF52" s="50" t="n"/>
      <c r="BG52" s="50" t="n"/>
      <c r="BH52" s="50" t="n"/>
      <c r="BI52" s="50" t="n"/>
      <c r="BJ52" s="50" t="n"/>
      <c r="BK52" s="50" t="n"/>
      <c r="BL52" s="50" t="n"/>
      <c r="BM52" s="50" t="n"/>
      <c r="BN52" s="50" t="n"/>
      <c r="BO52" s="50" t="n"/>
      <c r="BP52" s="50" t="n"/>
      <c r="BQ52" s="50" t="n"/>
      <c r="BR52" s="50" t="n"/>
      <c r="BS52" s="50" t="n"/>
      <c r="BT52" s="50" t="n"/>
      <c r="BU52" s="50" t="n"/>
      <c r="BV52" s="50" t="n"/>
      <c r="BW52" s="50" t="n"/>
      <c r="BX52" s="50" t="n"/>
      <c r="BY52" s="50" t="n"/>
      <c r="BZ52" s="50" t="n"/>
      <c r="CA52" s="50" t="n"/>
      <c r="CB52" s="50" t="n"/>
      <c r="CC52" s="50" t="n"/>
      <c r="CD52" s="50" t="n"/>
      <c r="CE52" s="50" t="n"/>
      <c r="CF52" s="50" t="n"/>
      <c r="CG52" s="50" t="n"/>
      <c r="CH52" s="50" t="n"/>
      <c r="CI52" s="50" t="n"/>
      <c r="CJ52" s="50" t="n"/>
      <c r="CK52" s="50" t="n"/>
      <c r="CL52" s="50" t="n"/>
      <c r="CM52" s="50" t="n"/>
      <c r="CN52" s="50" t="n"/>
      <c r="CO52" s="50" t="n"/>
      <c r="CP52" s="50" t="n"/>
      <c r="CQ52" s="50" t="n"/>
      <c r="CR52" s="50" t="n"/>
      <c r="CS52" s="50" t="n"/>
      <c r="CT52" s="50" t="n"/>
      <c r="CU52" s="50" t="n"/>
      <c r="CV52" s="50" t="n"/>
      <c r="CW52" s="50" t="n"/>
      <c r="CX52" s="50" t="n"/>
      <c r="CY52" s="50" t="n"/>
    </row>
    <row r="53" hidden="1" outlineLevel="1">
      <c r="C53" s="50" t="n"/>
      <c r="D53" s="50" t="n"/>
      <c r="E53" s="50" t="n"/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  <c r="AA53" s="50" t="n"/>
      <c r="AB53" s="50" t="n"/>
      <c r="AC53" s="50" t="n"/>
      <c r="AD53" s="50" t="n"/>
      <c r="AE53" s="50" t="n"/>
      <c r="AF53" s="50" t="n"/>
      <c r="AG53" s="50" t="n"/>
      <c r="AH53" s="50" t="n"/>
      <c r="AI53" s="50" t="n"/>
      <c r="AJ53" s="50" t="n"/>
      <c r="AK53" s="50" t="n"/>
      <c r="AL53" s="50" t="n"/>
      <c r="AM53" s="50" t="n"/>
      <c r="AN53" s="50" t="n"/>
      <c r="AO53" s="50" t="n"/>
      <c r="AP53" s="50" t="n"/>
      <c r="AQ53" s="50" t="n"/>
      <c r="AR53" s="50" t="n"/>
      <c r="AS53" s="50" t="n"/>
      <c r="AT53" s="50" t="n"/>
      <c r="AU53" s="50" t="n"/>
      <c r="AV53" s="50" t="n"/>
      <c r="AW53" s="50" t="n"/>
      <c r="AX53" s="50" t="n"/>
      <c r="AY53" s="50" t="n"/>
      <c r="AZ53" s="50" t="n"/>
      <c r="BA53" s="50" t="n"/>
      <c r="BB53" s="50" t="n"/>
      <c r="BC53" s="50" t="n"/>
      <c r="BD53" s="50" t="n"/>
      <c r="BE53" s="50" t="n"/>
      <c r="BF53" s="50" t="n"/>
      <c r="BG53" s="50" t="n"/>
      <c r="BH53" s="50" t="n"/>
      <c r="BI53" s="50" t="n"/>
      <c r="BJ53" s="50" t="n"/>
      <c r="BK53" s="50" t="n"/>
      <c r="BL53" s="50" t="n"/>
      <c r="BM53" s="50" t="n"/>
      <c r="BN53" s="50" t="n"/>
      <c r="BO53" s="50" t="n"/>
      <c r="BP53" s="50" t="n"/>
      <c r="BQ53" s="50" t="n"/>
      <c r="BR53" s="50" t="n"/>
      <c r="BS53" s="50" t="n"/>
      <c r="BT53" s="50" t="n"/>
      <c r="BU53" s="50" t="n"/>
      <c r="BV53" s="50" t="n"/>
      <c r="BW53" s="50" t="n"/>
      <c r="BX53" s="50" t="n"/>
      <c r="BY53" s="50" t="n"/>
      <c r="BZ53" s="50" t="n"/>
      <c r="CA53" s="50" t="n"/>
      <c r="CB53" s="50" t="n"/>
      <c r="CC53" s="50" t="n"/>
      <c r="CD53" s="50" t="n"/>
      <c r="CE53" s="50" t="n"/>
      <c r="CF53" s="50" t="n"/>
      <c r="CG53" s="50" t="n"/>
      <c r="CH53" s="50" t="n"/>
      <c r="CI53" s="50" t="n"/>
      <c r="CJ53" s="50" t="n"/>
      <c r="CK53" s="50" t="n"/>
      <c r="CL53" s="50" t="n"/>
      <c r="CM53" s="50" t="n"/>
      <c r="CN53" s="50" t="n"/>
      <c r="CO53" s="50" t="n"/>
      <c r="CP53" s="50" t="n"/>
      <c r="CQ53" s="50" t="n"/>
      <c r="CR53" s="50" t="n"/>
      <c r="CS53" s="50" t="n"/>
      <c r="CT53" s="50" t="n"/>
      <c r="CU53" s="50" t="n"/>
      <c r="CV53" s="50" t="n"/>
      <c r="CW53" s="50" t="n"/>
      <c r="CX53" s="50" t="n"/>
      <c r="CY53" s="50" t="n"/>
    </row>
    <row r="54" collapsed="1" customFormat="1" s="32">
      <c r="A54" s="30" t="n"/>
      <c r="B54" s="3" t="n"/>
      <c r="C54" s="33" t="inlineStr">
        <is>
          <t>EBITDA</t>
        </is>
      </c>
      <c r="D54" s="35" t="n"/>
      <c r="E54" s="35" t="n"/>
      <c r="F54" s="35" t="n"/>
      <c r="G54" s="35" t="n"/>
      <c r="H54" s="35" t="n"/>
      <c r="I54" s="35">
        <f>SUM(I15,I39,I43)</f>
        <v>517</v>
      </c>
      <c r="J54" s="35">
        <f>SUM(J15,J39,J43)</f>
        <v>-799</v>
      </c>
      <c r="K54" s="35">
        <f>SUM(K15,K39,K43)</f>
        <v>1149</v>
      </c>
      <c r="L54" s="35">
        <f>SUM(L15,L39,L43)</f>
        <v>-3626</v>
      </c>
      <c r="M54" s="35">
        <f>SUM(I54:L54)</f>
        <v>-2759</v>
      </c>
      <c r="N54" s="35">
        <f>SUM(N15,N39,N43)</f>
        <v>-382</v>
      </c>
      <c r="O54" s="35">
        <f>SUM(O15,O39,O43)</f>
        <v>1072</v>
      </c>
      <c r="P54" s="35">
        <f>SUM(P15,P39,P43)</f>
        <v>371</v>
      </c>
      <c r="Q54" s="35">
        <f>SUM(Q15,Q39,Q43)</f>
        <v>-3986</v>
      </c>
      <c r="R54" s="35">
        <f>SUM(N54:Q54)</f>
        <v>-2925</v>
      </c>
      <c r="S54" s="35">
        <f>SUM(S15,S39,S43)</f>
        <v>-5603</v>
      </c>
      <c r="T54" s="35">
        <f>SUM(T15,T39,T43)</f>
        <v>1614</v>
      </c>
      <c r="U54" s="35">
        <f>SUM(U15,U39,U43)</f>
        <v>1826</v>
      </c>
      <c r="V54" s="35">
        <f>SUM(V15,V39,V43)</f>
        <v>-8314</v>
      </c>
      <c r="W54" s="35">
        <f>SUM(S54:V54)</f>
        <v>-10477</v>
      </c>
      <c r="X54" s="35">
        <f>SUM(X15,X39,X43)</f>
        <v>1622</v>
      </c>
      <c r="Y54" s="35">
        <f>SUM(Y15,Y39,Y43)</f>
        <v>1957</v>
      </c>
      <c r="Z54" s="35">
        <f>SUM(Z15,Z39,Z43)</f>
        <v>1347</v>
      </c>
      <c r="AA54" s="35">
        <f>SUM(AA15,AA39,AA43)</f>
        <v>2428</v>
      </c>
      <c r="AB54" s="35">
        <f>SUM(X54:AA54)</f>
        <v>7354</v>
      </c>
      <c r="AC54" s="35">
        <f>SUM(AC15,AC39,AC43)</f>
        <v>2363</v>
      </c>
      <c r="AD54" s="35">
        <f>SUM(AD15,AD39,AD43)</f>
        <v>2468</v>
      </c>
      <c r="AE54" s="35">
        <f>SUM(AE15,AE39,AE43)</f>
        <v>2669</v>
      </c>
      <c r="AF54" s="35">
        <f>SUM(AF15,AF39,AF43)</f>
        <v>2719</v>
      </c>
      <c r="AG54" s="35">
        <f>SUM(AC54:AF54)</f>
        <v>10219</v>
      </c>
      <c r="AH54" s="35">
        <f>SUM(AH15,AH39,AH43)</f>
        <v>2671</v>
      </c>
      <c r="AI54" s="35">
        <f>SUM(AI15,AI39,AI43)</f>
        <v>2928</v>
      </c>
      <c r="AJ54" s="35">
        <f>SUM(AJ15,AJ39,AJ43)</f>
        <v>3236.21625026367</v>
      </c>
      <c r="AK54" s="35">
        <f>SUM(AK15,AK39,AK43)</f>
        <v>3378.6193296612</v>
      </c>
      <c r="AL54" s="35">
        <f>SUM(AH54:AK54)</f>
        <v>12213.8355799249</v>
      </c>
      <c r="AM54" s="35">
        <f>SUM(AM15,AM39,AM43)</f>
        <v>3292.2741789071</v>
      </c>
      <c r="AN54" s="35">
        <f>SUM(AN15,AN39,AN43)</f>
        <v>3546.52743820456</v>
      </c>
      <c r="AO54" s="35">
        <f>SUM(AO15,AO39,AO43)</f>
        <v>3880.07379816123</v>
      </c>
      <c r="AP54" s="35">
        <f>SUM(AP15,AP39,AP43)</f>
        <v>4050.80851253725</v>
      </c>
      <c r="AQ54" s="35">
        <f>SUM(AM54:AP54)</f>
        <v>14769.6839278101</v>
      </c>
      <c r="AR54" s="35">
        <f>SUM(AR15,AR39,AR43)</f>
        <v>3930.82329430651</v>
      </c>
      <c r="AS54" s="35">
        <f>SUM(AS15,AS39,AS43)</f>
        <v>4234.3899415508</v>
      </c>
      <c r="AT54" s="35">
        <f>SUM(AT15,AT39,AT43)</f>
        <v>4632.6288883095</v>
      </c>
      <c r="AU54" s="35">
        <f>SUM(AU15,AU39,AU43)</f>
        <v>4836.47825077021</v>
      </c>
      <c r="AV54" s="35">
        <f>SUM(AR54:AU54)</f>
        <v>17634.320374937</v>
      </c>
      <c r="AW54" s="35">
        <f>SUM(AW15,AW39,AW43)</f>
        <v>4673.5673260366</v>
      </c>
      <c r="AX54" s="35">
        <f>SUM(AX15,AX39,AX43)</f>
        <v>5034.49404739046</v>
      </c>
      <c r="AY54" s="35">
        <f>SUM(AY15,AY39,AY43)</f>
        <v>5507.98175980493</v>
      </c>
      <c r="AZ54" s="35">
        <f>SUM(AZ15,AZ39,AZ43)</f>
        <v>5750.3492356489</v>
      </c>
      <c r="BA54" s="35">
        <f>SUM(AW54:AZ54)</f>
        <v>20966.3923688809</v>
      </c>
      <c r="BB54" s="35">
        <f>SUM(BB15,BB39,BB43)</f>
        <v>5533.28783462162</v>
      </c>
      <c r="BC54" s="35">
        <f>SUM(BC15,BC39,BC43)</f>
        <v>5960.60840093318</v>
      </c>
      <c r="BD54" s="35">
        <f>SUM(BD15,BD39,BD43)</f>
        <v>6521.19598129176</v>
      </c>
      <c r="BE54" s="35">
        <f>SUM(BE15,BE39,BE43)</f>
        <v>6808.14787735714</v>
      </c>
      <c r="BF54" s="35">
        <f>SUM(BB54:BE54)</f>
        <v>24823.2400942037</v>
      </c>
      <c r="BG54" s="35" t="n"/>
      <c r="BH54" s="35" t="n"/>
      <c r="BI54" s="35" t="n"/>
      <c r="BJ54" s="35" t="n"/>
      <c r="BK54" s="35" t="n"/>
      <c r="BL54" s="35" t="n"/>
      <c r="BM54" s="35" t="n"/>
      <c r="BN54" s="35" t="n"/>
      <c r="BO54" s="35" t="n"/>
      <c r="BP54" s="35" t="n"/>
      <c r="BQ54" s="35" t="n"/>
      <c r="BR54" s="35" t="n"/>
      <c r="BS54" s="35" t="n"/>
      <c r="BT54" s="35" t="n"/>
      <c r="BU54" s="35" t="n"/>
      <c r="BV54" s="35" t="n"/>
      <c r="BW54" s="35" t="n"/>
      <c r="BX54" s="35" t="n"/>
      <c r="BY54" s="35" t="n"/>
      <c r="BZ54" s="35" t="n"/>
      <c r="CA54" s="35" t="n"/>
      <c r="CB54" s="35" t="n"/>
      <c r="CC54" s="35" t="n"/>
      <c r="CD54" s="35" t="n"/>
      <c r="CE54" s="35" t="n"/>
      <c r="CF54" s="35" t="n"/>
      <c r="CG54" s="35" t="n"/>
      <c r="CH54" s="35" t="n"/>
      <c r="CI54" s="35" t="n"/>
      <c r="CJ54" s="35" t="n"/>
      <c r="CK54" s="35" t="n"/>
      <c r="CL54" s="35" t="n"/>
      <c r="CM54" s="35" t="n"/>
      <c r="CN54" s="35" t="n"/>
      <c r="CO54" s="35" t="n"/>
      <c r="CP54" s="35" t="n"/>
      <c r="CQ54" s="35" t="n"/>
      <c r="CR54" s="35" t="n"/>
      <c r="CS54" s="35" t="n"/>
      <c r="CT54" s="35" t="n"/>
      <c r="CU54" s="35" t="n"/>
      <c r="CV54" s="35" t="n"/>
      <c r="CW54" s="35" t="n"/>
      <c r="CX54" s="35" t="n"/>
      <c r="CY54" s="35" t="n"/>
    </row>
    <row r="55" ht="13.5" customHeight="1">
      <c r="C55" s="13" t="inlineStr">
        <is>
          <t>D&amp;A</t>
        </is>
      </c>
      <c r="D55" s="46" t="n"/>
      <c r="E55" s="46" t="n"/>
      <c r="F55" s="46" t="n"/>
      <c r="G55" s="46" t="n"/>
      <c r="H55" s="12" t="n"/>
      <c r="I55" s="46">
        <f>'Inputs (2)'!D7</f>
        <v>-452</v>
      </c>
      <c r="J55" s="46">
        <f>'Inputs (2)'!E7</f>
        <v>-483</v>
      </c>
      <c r="K55" s="46">
        <f>'Inputs (2)'!F7</f>
        <v>-455</v>
      </c>
      <c r="L55" s="46">
        <f>'Inputs (2)'!G7</f>
        <v>-481</v>
      </c>
      <c r="M55" s="12">
        <f>'Inputs (2)'!H7</f>
        <v>-1871</v>
      </c>
      <c r="N55" s="46">
        <f>'Inputs (2)'!I7</f>
        <v>-460</v>
      </c>
      <c r="O55" s="46">
        <f>'Inputs (2)'!J7</f>
        <v>-443</v>
      </c>
      <c r="P55" s="46">
        <f>'Inputs (2)'!K7</f>
        <v>-407</v>
      </c>
      <c r="Q55" s="46">
        <f>'Inputs (2)'!L7</f>
        <v>-492</v>
      </c>
      <c r="R55" s="12">
        <f>'Inputs (2)'!M7</f>
        <v>-1802</v>
      </c>
      <c r="S55" s="46">
        <f>'Inputs (2)'!N7</f>
        <v>-367</v>
      </c>
      <c r="T55" s="46">
        <f>'Inputs (2)'!O7</f>
        <v>-352</v>
      </c>
      <c r="U55" s="46">
        <f>'Inputs (2)'!P7</f>
        <v>-378</v>
      </c>
      <c r="V55" s="46">
        <f>'Inputs (2)'!Q7</f>
        <v>-376</v>
      </c>
      <c r="W55" s="12">
        <f>'Inputs (2)'!R7</f>
        <v>-1473</v>
      </c>
      <c r="X55" s="46">
        <f>'Inputs (2)'!S7</f>
        <v>-378</v>
      </c>
      <c r="Y55" s="46">
        <f>'Inputs (2)'!T7</f>
        <v>-199</v>
      </c>
      <c r="Z55" s="46">
        <f>'Inputs (2)'!U7</f>
        <v>-224</v>
      </c>
      <c r="AA55" s="46">
        <f>'Inputs (2)'!V7</f>
        <v>-209</v>
      </c>
      <c r="AB55" s="12">
        <f>'Inputs (2)'!W7</f>
        <v>-1010</v>
      </c>
      <c r="AC55" s="46">
        <f>'Inputs (2)'!X7</f>
        <v>-210</v>
      </c>
      <c r="AD55" s="46">
        <f>'Inputs (2)'!Y7</f>
        <v>-219</v>
      </c>
      <c r="AE55" s="46">
        <f>'Inputs (2)'!Z7</f>
        <v>-214</v>
      </c>
      <c r="AF55" s="46">
        <f>'Inputs (2)'!AA7</f>
        <v>-220</v>
      </c>
      <c r="AG55" s="12">
        <f>'Inputs (2)'!AB7</f>
        <v>-863</v>
      </c>
      <c r="AH55" s="12">
        <f>'Inputs (2)'!AC7</f>
        <v>-227</v>
      </c>
      <c r="AI55" s="12">
        <f>'Inputs (2)'!AD7</f>
        <v>-224</v>
      </c>
      <c r="AJ55" s="12">
        <f>-AJ56*AJ15</f>
        <v>-270.113113684109</v>
      </c>
      <c r="AK55" s="12">
        <f>-AK56*AK15</f>
        <v>-281.998888984551</v>
      </c>
      <c r="AL55" s="12">
        <f>SUM(AH55:AK55)</f>
        <v>-1003.11200266866</v>
      </c>
      <c r="AM55" s="12">
        <f>-AM56*AM15</f>
        <v>-274.792028960963</v>
      </c>
      <c r="AN55" s="12">
        <f>-AN56*AN15</f>
        <v>-296.013459861192</v>
      </c>
      <c r="AO55" s="12">
        <f>-AO56*AO15</f>
        <v>-323.853146358828</v>
      </c>
      <c r="AP55" s="12">
        <f>-AP56*AP15</f>
        <v>-338.103641921453</v>
      </c>
      <c r="AQ55" s="12">
        <f>SUM(AM55:AP55)</f>
        <v>-1232.76227710244</v>
      </c>
      <c r="AR55" s="12">
        <f>-AR56*AR15</f>
        <v>-328.088989504534</v>
      </c>
      <c r="AS55" s="12">
        <f>-AS56*AS15</f>
        <v>-353.426397748227</v>
      </c>
      <c r="AT55" s="12">
        <f>-AT56*AT15</f>
        <v>-386.665697467616</v>
      </c>
      <c r="AU55" s="12">
        <f>-AU56*AU15</f>
        <v>-403.680130916647</v>
      </c>
      <c r="AV55" s="12">
        <f>SUM(AR55:AU55)</f>
        <v>-1471.86121563702</v>
      </c>
      <c r="AW55" s="12">
        <f>-AW56*AW15</f>
        <v>-390.082653575827</v>
      </c>
      <c r="AX55" s="12">
        <f>-AX56*AX15</f>
        <v>-420.207661602947</v>
      </c>
      <c r="AY55" s="12">
        <f>-AY56*AY15</f>
        <v>-459.727653593908</v>
      </c>
      <c r="AZ55" s="12">
        <f>-AZ56*AZ15</f>
        <v>-479.957029041435</v>
      </c>
      <c r="BA55" s="12">
        <f>SUM(AW55:AZ55)</f>
        <v>-1749.97499781412</v>
      </c>
      <c r="BB55" s="12">
        <f>-BB56*BB15</f>
        <v>-461.839843304129</v>
      </c>
      <c r="BC55" s="12">
        <f>-BC56*BC15</f>
        <v>-497.506461286864</v>
      </c>
      <c r="BD55" s="12">
        <f>-BD56*BD15</f>
        <v>-544.296306313741</v>
      </c>
      <c r="BE55" s="12">
        <f>-BE56*BE15</f>
        <v>-568.24695241703</v>
      </c>
      <c r="BF55" s="12">
        <f>SUM(BB55:BE55)</f>
        <v>-2071.88956332176</v>
      </c>
      <c r="BG55" s="12" t="n"/>
      <c r="BH55" s="12" t="n"/>
      <c r="BI55" s="12" t="n"/>
      <c r="BJ55" s="12" t="n"/>
      <c r="BK55" s="12" t="n"/>
      <c r="BL55" s="12" t="n"/>
      <c r="BM55" s="12" t="n"/>
      <c r="BN55" s="12" t="n"/>
      <c r="BO55" s="12" t="n"/>
      <c r="BP55" s="12" t="n"/>
      <c r="BQ55" s="12" t="n"/>
      <c r="BR55" s="12" t="n"/>
      <c r="BS55" s="12" t="n"/>
      <c r="BT55" s="12" t="n"/>
      <c r="BU55" s="12" t="n"/>
      <c r="BV55" s="12" t="n"/>
      <c r="BW55" s="12" t="n"/>
      <c r="BX55" s="12" t="n"/>
      <c r="BY55" s="12" t="n"/>
      <c r="BZ55" s="12" t="n"/>
      <c r="CA55" s="12" t="n"/>
      <c r="CB55" s="12" t="n"/>
      <c r="CC55" s="12" t="n"/>
      <c r="CD55" s="12" t="n"/>
      <c r="CE55" s="12" t="n"/>
      <c r="CF55" s="12" t="n"/>
      <c r="CG55" s="12" t="n"/>
      <c r="CH55" s="12" t="n"/>
      <c r="CI55" s="12" t="n"/>
      <c r="CJ55" s="12" t="n"/>
      <c r="CK55" s="12" t="n"/>
      <c r="CL55" s="12" t="n"/>
      <c r="CM55" s="12" t="n"/>
      <c r="CN55" s="12" t="n"/>
      <c r="CO55" s="12" t="n"/>
      <c r="CP55" s="12" t="n"/>
      <c r="CQ55" s="12" t="n"/>
      <c r="CR55" s="12" t="n"/>
      <c r="CS55" s="12" t="n"/>
      <c r="CT55" s="12" t="n"/>
      <c r="CU55" s="12" t="n"/>
      <c r="CV55" s="12" t="n"/>
      <c r="CW55" s="12" t="n"/>
      <c r="CX55" s="12" t="n"/>
      <c r="CY55" s="12" t="n"/>
    </row>
    <row r="56" hidden="1" outlineLevel="1" customFormat="1" s="56">
      <c r="A56" s="53" t="n"/>
      <c r="B56" s="53" t="n"/>
      <c r="C56" s="54" t="inlineStr">
        <is>
          <t>% of Revenue</t>
        </is>
      </c>
      <c r="D56" s="53" t="n"/>
      <c r="E56" s="53" t="n"/>
      <c r="F56" s="53" t="n"/>
      <c r="G56" s="53" t="n"/>
      <c r="H56" s="53" t="n"/>
      <c r="I56" s="53">
        <f>IFERROR(-I55/I15,"")</f>
        <v>0.0264776521586316</v>
      </c>
      <c r="J56" s="53">
        <f>IFERROR(-J55/J15,"")</f>
        <v>0.0264614036048869</v>
      </c>
      <c r="K56" s="53">
        <f>IFERROR(-K55/K15,"")</f>
        <v>0.0245032042651731</v>
      </c>
      <c r="L56" s="53">
        <f>IFERROR(-L55/L15,"")</f>
        <v>0.0236910801359405</v>
      </c>
      <c r="M56" s="53" t="n"/>
      <c r="N56" s="53">
        <f>IFERROR(-N55/N15,"")</f>
        <v>0.0362919132149901</v>
      </c>
      <c r="O56" s="53">
        <f>IFERROR(-O55/O15,"")</f>
        <v>0.0313583917321441</v>
      </c>
      <c r="P56" s="53">
        <f>IFERROR(-P55/P15,"")</f>
        <v>0.0281271596406358</v>
      </c>
      <c r="Q56" s="53">
        <f>IFERROR(-Q55/Q15,"")</f>
        <v>0.0292369859757547</v>
      </c>
      <c r="R56" s="53" t="n"/>
      <c r="S56" s="53">
        <f>IFERROR(-S55/S15,"")</f>
        <v>0.0468351199591628</v>
      </c>
      <c r="T56" s="53">
        <f>IFERROR(-T55/T15,"")</f>
        <v>0.0402055968018275</v>
      </c>
      <c r="U56" s="53">
        <f>IFERROR(-U55/U15,"")</f>
        <v>0.0406364222747796</v>
      </c>
      <c r="V56" s="53">
        <f>IFERROR(-V55/V15,"")</f>
        <v>0.0397631133671743</v>
      </c>
      <c r="W56" s="53" t="n"/>
      <c r="X56" s="53">
        <f>IFERROR(-X55/X15,"")</f>
        <v>0.0422110552763819</v>
      </c>
      <c r="Y56" s="53">
        <f>IFERROR(-Y55/Y15,"")</f>
        <v>0.0218825599296239</v>
      </c>
      <c r="Z56" s="53">
        <f>IFERROR(-Z55/Z15,"")</f>
        <v>0.0227596017069701</v>
      </c>
      <c r="AA56" s="53">
        <f>IFERROR(-AA55/AA15,"")</f>
        <v>0.0193303736588975</v>
      </c>
      <c r="AB56" s="53" t="n"/>
      <c r="AC56" s="53">
        <f>IFERROR(-AC55/AC15,"")</f>
        <v>0.0211373930548566</v>
      </c>
      <c r="AD56" s="53">
        <f>IFERROR(-AD55/AD15,"")</f>
        <v>0.0198675496688742</v>
      </c>
      <c r="AE56" s="53">
        <f>IFERROR(-AE55/AE15,"")</f>
        <v>0.017568344142517</v>
      </c>
      <c r="AF56" s="55">
        <f>IFERROR(-AF55/AF15,"")</f>
        <v>0.0172996775969175</v>
      </c>
      <c r="AG56" s="53" t="n"/>
      <c r="AH56" s="55">
        <f>IFERROR(-AH55/AH15,"")</f>
        <v>0.0183182698515171</v>
      </c>
      <c r="AI56" s="55">
        <f>IFERROR(-AI55/AI15,"")</f>
        <v>0.0167802831672784</v>
      </c>
      <c r="AJ56" s="55">
        <f>Control!$B$21</f>
        <v>0.0184952529136601</v>
      </c>
      <c r="AK56" s="55">
        <f>Control!$B$21</f>
        <v>0.0184952529136601</v>
      </c>
      <c r="AL56" s="53" t="n"/>
      <c r="AM56" s="55">
        <f>Control!$C$21</f>
        <v>0.0184952529136601</v>
      </c>
      <c r="AN56" s="55">
        <f>Control!$C$21</f>
        <v>0.0184952529136601</v>
      </c>
      <c r="AO56" s="55">
        <f>Control!$C$21</f>
        <v>0.0184952529136601</v>
      </c>
      <c r="AP56" s="55">
        <f>Control!$C$21</f>
        <v>0.0184952529136601</v>
      </c>
      <c r="AQ56" s="53" t="n"/>
      <c r="AR56" s="55">
        <f>Control!$D$21</f>
        <v>0.0184952529136601</v>
      </c>
      <c r="AS56" s="55">
        <f>Control!$D$21</f>
        <v>0.0184952529136601</v>
      </c>
      <c r="AT56" s="55">
        <f>Control!$D$21</f>
        <v>0.0184952529136601</v>
      </c>
      <c r="AU56" s="55">
        <f>Control!$D$21</f>
        <v>0.0184952529136601</v>
      </c>
      <c r="AV56" s="53" t="n"/>
      <c r="AW56" s="55">
        <f>Control!$E$21</f>
        <v>0.0184952529136601</v>
      </c>
      <c r="AX56" s="55">
        <f>Control!$E$21</f>
        <v>0.0184952529136601</v>
      </c>
      <c r="AY56" s="55">
        <f>Control!$E$21</f>
        <v>0.0184952529136601</v>
      </c>
      <c r="AZ56" s="55">
        <f>Control!$E$21</f>
        <v>0.0184952529136601</v>
      </c>
      <c r="BA56" s="53" t="n"/>
      <c r="BB56" s="55">
        <f>Control!$F$21</f>
        <v>0.0184952529136601</v>
      </c>
      <c r="BC56" s="55">
        <f>Control!$F$21</f>
        <v>0.0184952529136601</v>
      </c>
      <c r="BD56" s="55">
        <f>Control!$F$21</f>
        <v>0.0184952529136601</v>
      </c>
      <c r="BE56" s="55">
        <f>Control!$F$21</f>
        <v>0.0184952529136601</v>
      </c>
      <c r="BF56" s="53" t="n"/>
      <c r="BG56" s="55" t="n"/>
      <c r="BH56" s="55" t="n"/>
      <c r="BI56" s="55" t="n"/>
      <c r="BJ56" s="55" t="n"/>
      <c r="BK56" s="53" t="n"/>
      <c r="BL56" s="55" t="n"/>
      <c r="BM56" s="55" t="n"/>
      <c r="BN56" s="55" t="n"/>
      <c r="BO56" s="55" t="n"/>
      <c r="BP56" s="53" t="n"/>
      <c r="BQ56" s="55" t="n"/>
      <c r="BR56" s="55" t="n"/>
      <c r="BS56" s="55" t="n"/>
      <c r="BT56" s="55" t="n"/>
      <c r="BU56" s="53" t="n"/>
      <c r="BV56" s="55" t="n"/>
      <c r="BW56" s="55" t="n"/>
      <c r="BX56" s="55" t="n"/>
      <c r="BY56" s="55" t="n"/>
      <c r="BZ56" s="53" t="n"/>
      <c r="CA56" s="55" t="n"/>
      <c r="CB56" s="55" t="n"/>
      <c r="CC56" s="55" t="n"/>
      <c r="CD56" s="55" t="n"/>
      <c r="CE56" s="53" t="n"/>
      <c r="CF56" s="55" t="n"/>
      <c r="CG56" s="55" t="n"/>
      <c r="CH56" s="55" t="n"/>
      <c r="CI56" s="55" t="n"/>
      <c r="CJ56" s="53" t="n"/>
      <c r="CK56" s="55" t="n"/>
      <c r="CL56" s="55" t="n"/>
      <c r="CM56" s="55" t="n"/>
      <c r="CN56" s="55" t="n"/>
      <c r="CO56" s="53" t="n"/>
      <c r="CP56" s="55" t="n"/>
      <c r="CQ56" s="55" t="n"/>
      <c r="CR56" s="55" t="n"/>
      <c r="CS56" s="55" t="n"/>
      <c r="CT56" s="53" t="n"/>
      <c r="CU56" s="55" t="n"/>
      <c r="CV56" s="55" t="n"/>
      <c r="CW56" s="55" t="n"/>
      <c r="CX56" s="55" t="n"/>
      <c r="CY56" s="53" t="n"/>
    </row>
    <row r="57" hidden="1" outlineLevel="1">
      <c r="C57" s="50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/>
      <c r="AN57" s="12" t="n"/>
      <c r="AO57" s="12" t="n"/>
      <c r="AP57" s="12" t="n"/>
      <c r="AQ57" s="12" t="n"/>
      <c r="AR57" s="12" t="n"/>
      <c r="AS57" s="12" t="n"/>
      <c r="AT57" s="12" t="n"/>
      <c r="AU57" s="12" t="n"/>
      <c r="AV57" s="12" t="n"/>
      <c r="AW57" s="12" t="n"/>
      <c r="AX57" s="12" t="n"/>
      <c r="AY57" s="12" t="n"/>
      <c r="AZ57" s="12" t="n"/>
      <c r="BA57" s="12" t="n"/>
      <c r="BB57" s="12" t="n"/>
      <c r="BC57" s="12" t="n"/>
      <c r="BD57" s="12" t="n"/>
      <c r="BE57" s="12" t="n"/>
      <c r="BF57" s="12" t="n"/>
      <c r="BG57" s="12" t="n"/>
      <c r="BH57" s="12" t="n"/>
      <c r="BI57" s="12" t="n"/>
      <c r="BJ57" s="12" t="n"/>
      <c r="BK57" s="12" t="n"/>
      <c r="BL57" s="12" t="n"/>
      <c r="BM57" s="12" t="n"/>
      <c r="BN57" s="12" t="n"/>
      <c r="BO57" s="12" t="n"/>
      <c r="BP57" s="12" t="n"/>
      <c r="BQ57" s="12" t="n"/>
      <c r="BR57" s="12" t="n"/>
      <c r="BS57" s="12" t="n"/>
      <c r="BT57" s="12" t="n"/>
      <c r="BU57" s="12" t="n"/>
      <c r="BV57" s="12" t="n"/>
      <c r="BW57" s="12" t="n"/>
      <c r="BX57" s="12" t="n"/>
      <c r="BY57" s="12" t="n"/>
      <c r="BZ57" s="12" t="n"/>
      <c r="CA57" s="12" t="n"/>
      <c r="CB57" s="12" t="n"/>
      <c r="CC57" s="12" t="n"/>
      <c r="CD57" s="12" t="n"/>
      <c r="CE57" s="12" t="n"/>
      <c r="CF57" s="12" t="n"/>
      <c r="CG57" s="12" t="n"/>
      <c r="CH57" s="12" t="n"/>
      <c r="CI57" s="12" t="n"/>
      <c r="CJ57" s="12" t="n"/>
      <c r="CK57" s="12" t="n"/>
      <c r="CL57" s="12" t="n"/>
      <c r="CM57" s="12" t="n"/>
      <c r="CN57" s="12" t="n"/>
      <c r="CO57" s="12" t="n"/>
      <c r="CP57" s="12" t="n"/>
      <c r="CQ57" s="12" t="n"/>
      <c r="CR57" s="12" t="n"/>
      <c r="CS57" s="12" t="n"/>
      <c r="CT57" s="12" t="n"/>
      <c r="CU57" s="12" t="n"/>
      <c r="CV57" s="12" t="n"/>
      <c r="CW57" s="12" t="n"/>
      <c r="CX57" s="12" t="n"/>
      <c r="CY57" s="12" t="n"/>
    </row>
    <row r="58" collapsed="1" customFormat="1" s="32">
      <c r="A58" s="30" t="n"/>
      <c r="B58" s="3" t="n"/>
      <c r="C58" s="33" t="inlineStr">
        <is>
          <t>Operating Profit - EBIT</t>
        </is>
      </c>
      <c r="D58" s="35" t="n"/>
      <c r="E58" s="35" t="n"/>
      <c r="F58" s="35" t="n"/>
      <c r="G58" s="35" t="n"/>
      <c r="H58" s="35" t="n"/>
      <c r="I58" s="35">
        <f>SUM(I54,I55)</f>
        <v>65</v>
      </c>
      <c r="J58" s="35">
        <f>SUM(J54,J55)</f>
        <v>-1282</v>
      </c>
      <c r="K58" s="35">
        <f>SUM(K54,K55)</f>
        <v>694</v>
      </c>
      <c r="L58" s="35">
        <f>SUM(L54,L55)</f>
        <v>-4107</v>
      </c>
      <c r="M58" s="35">
        <f>SUM(I58:L58)</f>
        <v>-4630</v>
      </c>
      <c r="N58" s="35">
        <f>SUM(N54,N55)</f>
        <v>-842</v>
      </c>
      <c r="O58" s="35">
        <f>SUM(O54,O55)</f>
        <v>629</v>
      </c>
      <c r="P58" s="35">
        <f>SUM(P54,P55)</f>
        <v>-36</v>
      </c>
      <c r="Q58" s="35">
        <f>SUM(Q54,Q55)</f>
        <v>-4478</v>
      </c>
      <c r="R58" s="35">
        <f>SUM(N58:Q58)</f>
        <v>-4727</v>
      </c>
      <c r="S58" s="35">
        <f>SUM(S54,S55)</f>
        <v>-5970</v>
      </c>
      <c r="T58" s="35">
        <f>SUM(T54,T55)</f>
        <v>1262</v>
      </c>
      <c r="U58" s="35">
        <f>SUM(U54,U55)</f>
        <v>1448</v>
      </c>
      <c r="V58" s="35">
        <f>SUM(V54,V55)</f>
        <v>-8690</v>
      </c>
      <c r="W58" s="35">
        <f>SUM(S58:V58)</f>
        <v>-11950</v>
      </c>
      <c r="X58" s="35">
        <f>SUM(X54,X55)</f>
        <v>1244</v>
      </c>
      <c r="Y58" s="35">
        <f>SUM(Y54,Y55)</f>
        <v>1758</v>
      </c>
      <c r="Z58" s="35">
        <f>SUM(Z54,Z55)</f>
        <v>1123</v>
      </c>
      <c r="AA58" s="35">
        <f>SUM(AA54,AA55)</f>
        <v>2219</v>
      </c>
      <c r="AB58" s="35">
        <f>SUM(X58:AA58)</f>
        <v>6344</v>
      </c>
      <c r="AC58" s="35">
        <f>SUM(AC54,AC55)</f>
        <v>2153</v>
      </c>
      <c r="AD58" s="35">
        <f>SUM(AD54,AD55)</f>
        <v>2249</v>
      </c>
      <c r="AE58" s="35">
        <f>SUM(AE54,AE55)</f>
        <v>2455</v>
      </c>
      <c r="AF58" s="35">
        <f>SUM(AF54,AF55)</f>
        <v>2499</v>
      </c>
      <c r="AG58" s="35">
        <f>SUM(AC58:AF58)</f>
        <v>9356</v>
      </c>
      <c r="AH58" s="35">
        <f>SUM(AH54,AH55)</f>
        <v>2444</v>
      </c>
      <c r="AI58" s="35">
        <f>SUM(AI54,AI55)</f>
        <v>2704</v>
      </c>
      <c r="AJ58" s="35">
        <f>SUM(AJ54,AJ55)</f>
        <v>2966.10313657956</v>
      </c>
      <c r="AK58" s="35">
        <f>SUM(AK54,AK55)</f>
        <v>3096.62044067665</v>
      </c>
      <c r="AL58" s="35">
        <f>SUM(AL54,AL55)</f>
        <v>11210.7235772562</v>
      </c>
      <c r="AM58" s="35">
        <f>SUM(AM54,AM55)</f>
        <v>3017.48214994613</v>
      </c>
      <c r="AN58" s="35">
        <f>SUM(AN54,AN55)</f>
        <v>3250.51397834336</v>
      </c>
      <c r="AO58" s="35">
        <f>SUM(AO54,AO55)</f>
        <v>3556.2206518024</v>
      </c>
      <c r="AP58" s="35">
        <f>SUM(AP54,AP55)</f>
        <v>3712.7048706158</v>
      </c>
      <c r="AQ58" s="35">
        <f>SUM(AQ54,AQ55)</f>
        <v>13536.9216507077</v>
      </c>
      <c r="AR58" s="35">
        <f>SUM(AR54,AR55)</f>
        <v>3602.73430480197</v>
      </c>
      <c r="AS58" s="35">
        <f>SUM(AS54,AS55)</f>
        <v>3880.96354380258</v>
      </c>
      <c r="AT58" s="35">
        <f>SUM(AT54,AT55)</f>
        <v>4245.96319084189</v>
      </c>
      <c r="AU58" s="35">
        <f>SUM(AU54,AU55)</f>
        <v>4432.79811985356</v>
      </c>
      <c r="AV58" s="35">
        <f>SUM(AV54,AV55)</f>
        <v>16162.4591593</v>
      </c>
      <c r="AW58" s="35">
        <f>SUM(AW54,AW55)</f>
        <v>4283.48467246078</v>
      </c>
      <c r="AX58" s="35">
        <f>SUM(AX54,AX55)</f>
        <v>4614.28638578752</v>
      </c>
      <c r="AY58" s="35">
        <f>SUM(AY54,AY55)</f>
        <v>5048.25410621102</v>
      </c>
      <c r="AZ58" s="35">
        <f>SUM(AZ54,AZ55)</f>
        <v>5270.39220660747</v>
      </c>
      <c r="BA58" s="35">
        <f>SUM(BA54,BA55)</f>
        <v>19216.4173710668</v>
      </c>
      <c r="BB58" s="35">
        <f>SUM(BB54,BB55)</f>
        <v>5071.44799131749</v>
      </c>
      <c r="BC58" s="35">
        <f>SUM(BC54,BC55)</f>
        <v>5463.10193964631</v>
      </c>
      <c r="BD58" s="35">
        <f>SUM(BD54,BD55)</f>
        <v>5976.89967497802</v>
      </c>
      <c r="BE58" s="35">
        <f>SUM(BE54,BE55)</f>
        <v>6239.90092494011</v>
      </c>
      <c r="BF58" s="35">
        <f>SUM(BF54,BF55)</f>
        <v>22751.3505308819</v>
      </c>
      <c r="BG58" s="35" t="n"/>
      <c r="BH58" s="35" t="n"/>
      <c r="BI58" s="35" t="n"/>
      <c r="BJ58" s="35" t="n"/>
      <c r="BK58" s="35" t="n"/>
      <c r="BL58" s="35" t="n"/>
      <c r="BM58" s="35" t="n"/>
      <c r="BN58" s="35" t="n"/>
      <c r="BO58" s="35" t="n"/>
      <c r="BP58" s="35" t="n"/>
      <c r="BQ58" s="35" t="n"/>
      <c r="BR58" s="35" t="n"/>
      <c r="BS58" s="35" t="n"/>
      <c r="BT58" s="35" t="n"/>
      <c r="BU58" s="35" t="n"/>
      <c r="BV58" s="35" t="n"/>
      <c r="BW58" s="35" t="n"/>
      <c r="BX58" s="35" t="n"/>
      <c r="BY58" s="35" t="n"/>
      <c r="BZ58" s="35" t="n"/>
      <c r="CA58" s="35" t="n"/>
      <c r="CB58" s="35" t="n"/>
      <c r="CC58" s="35" t="n"/>
      <c r="CD58" s="35" t="n"/>
      <c r="CE58" s="35" t="n"/>
      <c r="CF58" s="35" t="n"/>
      <c r="CG58" s="35" t="n"/>
      <c r="CH58" s="35" t="n"/>
      <c r="CI58" s="35" t="n"/>
      <c r="CJ58" s="35" t="n"/>
      <c r="CK58" s="35" t="n"/>
      <c r="CL58" s="35" t="n"/>
      <c r="CM58" s="35" t="n"/>
      <c r="CN58" s="35" t="n"/>
      <c r="CO58" s="35" t="n"/>
      <c r="CP58" s="35" t="n"/>
      <c r="CQ58" s="35" t="n"/>
      <c r="CR58" s="35" t="n"/>
      <c r="CS58" s="35" t="n"/>
      <c r="CT58" s="35" t="n"/>
      <c r="CU58" s="35" t="n"/>
      <c r="CV58" s="35" t="n"/>
      <c r="CW58" s="35" t="n"/>
      <c r="CX58" s="35" t="n"/>
      <c r="CY58" s="35" t="n"/>
    </row>
    <row r="59">
      <c r="C59" s="14" t="inlineStr">
        <is>
          <t>Interest Expense</t>
        </is>
      </c>
      <c r="D59" s="46" t="n"/>
      <c r="E59" s="46" t="n"/>
      <c r="F59" s="46" t="n"/>
      <c r="G59" s="46" t="n"/>
      <c r="H59" s="12" t="n"/>
      <c r="I59" s="46">
        <f>'Inputs (2)'!D8</f>
        <v>-500</v>
      </c>
      <c r="J59" s="46">
        <f>'Inputs (2)'!E8</f>
        <v>-488</v>
      </c>
      <c r="K59" s="46">
        <f>'Inputs (2)'!F8</f>
        <v>-462</v>
      </c>
      <c r="L59" s="46">
        <f>'Inputs (2)'!G8</f>
        <v>-426</v>
      </c>
      <c r="M59" s="12">
        <f>'Inputs (2)'!H8</f>
        <v>-1876</v>
      </c>
      <c r="N59" s="46">
        <f>'Inputs (2)'!I8</f>
        <v>-387</v>
      </c>
      <c r="O59" s="46">
        <f>'Inputs (2)'!J8</f>
        <v>-368</v>
      </c>
      <c r="P59" s="46">
        <f>'Inputs (2)'!K8</f>
        <v>-374</v>
      </c>
      <c r="Q59" s="46">
        <f>'Inputs (2)'!L8</f>
        <v>-416</v>
      </c>
      <c r="R59" s="12">
        <f>'Inputs (2)'!M8</f>
        <v>-1545</v>
      </c>
      <c r="S59" s="46">
        <f>'Inputs (2)'!N8</f>
        <v>-269</v>
      </c>
      <c r="T59" s="46">
        <f>'Inputs (2)'!O8</f>
        <v>-249</v>
      </c>
      <c r="U59" s="46">
        <f>'Inputs (2)'!P8</f>
        <v>-270</v>
      </c>
      <c r="V59" s="46">
        <f>'Inputs (2)'!Q8</f>
        <v>-296</v>
      </c>
      <c r="W59" s="12">
        <f>'Inputs (2)'!R8</f>
        <v>-1084</v>
      </c>
      <c r="X59" s="46">
        <f>'Inputs (2)'!S8</f>
        <v>-263</v>
      </c>
      <c r="Y59" s="46">
        <f>'Inputs (2)'!T8</f>
        <v>-248</v>
      </c>
      <c r="Z59" s="46">
        <f>'Inputs (2)'!U8</f>
        <v>-251</v>
      </c>
      <c r="AA59" s="46">
        <f>'Inputs (2)'!V8</f>
        <v>-224</v>
      </c>
      <c r="AB59" s="12">
        <f>'Inputs (2)'!W8</f>
        <v>-986</v>
      </c>
      <c r="AC59" s="46">
        <f>'Inputs (2)'!X8</f>
        <v>-210</v>
      </c>
      <c r="AD59" s="46">
        <f>'Inputs (2)'!Y8</f>
        <v>-158</v>
      </c>
      <c r="AE59" s="46">
        <f>'Inputs (2)'!Z8</f>
        <v>-225</v>
      </c>
      <c r="AF59" s="46">
        <f>'Inputs (2)'!AA8</f>
        <v>-250</v>
      </c>
      <c r="AG59" s="12">
        <f>'Inputs (2)'!AB8</f>
        <v>-843</v>
      </c>
      <c r="AH59" s="12">
        <f>'Inputs (2)'!AC8</f>
        <v>-230</v>
      </c>
      <c r="AI59" s="12">
        <f>'Inputs (2)'!AD8</f>
        <v>-215</v>
      </c>
      <c r="AJ59" s="12" t="str">
        <f>IF(Control!$E$9="","",-AI77*Control!$E$9/4)</f>
        <v/>
      </c>
      <c r="AK59" s="12" t="str">
        <f>IF(Control!$E$9="","",-AJ77*Control!$E$9/4)</f>
        <v/>
      </c>
      <c r="AL59" s="12">
        <f>SUM(AH59:AK59)</f>
        <v>-445</v>
      </c>
      <c r="AM59" s="12" t="str">
        <f>IF(Control!$E$9="","",-AL77*Control!$E$9/4)</f>
        <v/>
      </c>
      <c r="AN59" s="12" t="str">
        <f>IF(Control!$E$9="","",-AM77*Control!$E$9/4)</f>
        <v/>
      </c>
      <c r="AO59" s="12" t="str">
        <f>IF(Control!$E$9="","",-AN77*Control!$E$9/4)</f>
        <v/>
      </c>
      <c r="AP59" s="12" t="str">
        <f>IF(Control!$E$9="","",-AO77*Control!$E$9/4)</f>
        <v/>
      </c>
      <c r="AQ59" s="12">
        <f>SUM(AM59:AP59)</f>
        <v>0</v>
      </c>
      <c r="AR59" s="12" t="str">
        <f>IF(Control!$E$9="","",-AQ77*Control!$E$9/4)</f>
        <v/>
      </c>
      <c r="AS59" s="12" t="str">
        <f>IF(Control!$E$9="","",-AR77*Control!$E$9/4)</f>
        <v/>
      </c>
      <c r="AT59" s="12" t="str">
        <f>IF(Control!$E$9="","",-AS77*Control!$E$9/4)</f>
        <v/>
      </c>
      <c r="AU59" s="12" t="str">
        <f>IF(Control!$E$9="","",-AT77*Control!$E$9/4)</f>
        <v/>
      </c>
      <c r="AV59" s="12">
        <f>SUM(AR59:AU59)</f>
        <v>0</v>
      </c>
      <c r="AW59" s="12" t="str">
        <f>IF(Control!$E$9="","",-AV77*Control!$E$9/4)</f>
        <v/>
      </c>
      <c r="AX59" s="12" t="str">
        <f>IF(Control!$E$9="","",-AW77*Control!$E$9/4)</f>
        <v/>
      </c>
      <c r="AY59" s="12" t="str">
        <f>IF(Control!$E$9="","",-AX77*Control!$E$9/4)</f>
        <v/>
      </c>
      <c r="AZ59" s="12" t="str">
        <f>IF(Control!$E$9="","",-AY77*Control!$E$9/4)</f>
        <v/>
      </c>
      <c r="BA59" s="12">
        <f>SUM(AW59:AZ59)</f>
        <v>0</v>
      </c>
      <c r="BB59" s="12" t="str">
        <f>IF(Control!$E$9="","",-BA77*Control!$E$9/4)</f>
        <v/>
      </c>
      <c r="BC59" s="12" t="str">
        <f>IF(Control!$E$9="","",-BB77*Control!$E$9/4)</f>
        <v/>
      </c>
      <c r="BD59" s="12" t="str">
        <f>IF(Control!$E$9="","",-BC77*Control!$E$9/4)</f>
        <v/>
      </c>
      <c r="BE59" s="12" t="str">
        <f>IF(Control!$E$9="","",-BD77*Control!$E$9/4)</f>
        <v/>
      </c>
      <c r="BF59" s="12">
        <f>SUM(BB59:BE59)</f>
        <v>0</v>
      </c>
      <c r="BG59" s="12" t="n"/>
      <c r="BH59" s="12" t="n"/>
      <c r="BI59" s="12" t="n"/>
      <c r="BJ59" s="12" t="n"/>
      <c r="BK59" s="12" t="n"/>
      <c r="BL59" s="12" t="n"/>
      <c r="BM59" s="12" t="n"/>
      <c r="BN59" s="12" t="n"/>
      <c r="BO59" s="12" t="n"/>
      <c r="BP59" s="12" t="n"/>
      <c r="BQ59" s="12" t="n"/>
      <c r="BR59" s="12" t="n"/>
      <c r="BS59" s="12" t="n"/>
      <c r="BT59" s="12" t="n"/>
      <c r="BU59" s="12" t="n"/>
      <c r="BV59" s="12" t="n"/>
      <c r="BW59" s="12" t="n"/>
      <c r="BX59" s="12" t="n"/>
      <c r="BY59" s="12" t="n"/>
      <c r="BZ59" s="12" t="n"/>
      <c r="CA59" s="12" t="n"/>
      <c r="CB59" s="12" t="n"/>
      <c r="CC59" s="12" t="n"/>
      <c r="CD59" s="12" t="n"/>
      <c r="CE59" s="12" t="n"/>
      <c r="CF59" s="12" t="n"/>
      <c r="CG59" s="12" t="n"/>
      <c r="CH59" s="12" t="n"/>
      <c r="CI59" s="12" t="n"/>
      <c r="CJ59" s="12" t="n"/>
      <c r="CK59" s="12" t="n"/>
      <c r="CL59" s="12" t="n"/>
      <c r="CM59" s="12" t="n"/>
      <c r="CN59" s="12" t="n"/>
      <c r="CO59" s="12" t="n"/>
      <c r="CP59" s="12" t="n"/>
      <c r="CQ59" s="12" t="n"/>
      <c r="CR59" s="12" t="n"/>
      <c r="CS59" s="12" t="n"/>
      <c r="CT59" s="12" t="n"/>
      <c r="CU59" s="12" t="n"/>
      <c r="CV59" s="12" t="n"/>
      <c r="CW59" s="12" t="n"/>
      <c r="CX59" s="12" t="n"/>
      <c r="CY59" s="12" t="n"/>
    </row>
    <row r="60" hidden="1" outlineLevel="1">
      <c r="C60" s="50" t="inlineStr">
        <is>
          <t>% of Debt</t>
        </is>
      </c>
      <c r="D60" s="53" t="n"/>
      <c r="E60" s="53" t="n"/>
      <c r="F60" s="53" t="n"/>
      <c r="G60" s="53" t="n"/>
      <c r="H60" s="12" t="n"/>
      <c r="I60" s="53">
        <f>IFERROR(-I59/SUM(I197+I202),"")</f>
        <v>0.00700692283976569</v>
      </c>
      <c r="J60" s="53">
        <f>IFERROR(-J59/SUM(J197+J202),"")</f>
        <v>0.00768213588564952</v>
      </c>
      <c r="K60" s="53">
        <f>IFERROR(-K59/SUM(K197+K202),"")</f>
        <v>0.00734639358860196</v>
      </c>
      <c r="L60" s="53">
        <f>IFERROR(-L59/SUM(L197+L202),"")</f>
        <v>0.0121074321443797</v>
      </c>
      <c r="M60" s="12" t="n"/>
      <c r="N60" s="53">
        <f>IFERROR(-N59/SUM(N197+N202),"")</f>
        <v>0.0115062139501695</v>
      </c>
      <c r="O60" s="53">
        <f>IFERROR(-O59/SUM(O197+O202),"")</f>
        <v>0.0113168091518544</v>
      </c>
      <c r="P60" s="53">
        <f>IFERROR(-P59/SUM(P197+P202),"")</f>
        <v>0.0123002039071236</v>
      </c>
      <c r="Q60" s="53">
        <f>IFERROR(-Q59/SUM(Q197+Q202),"")</f>
        <v>0.0128593508500773</v>
      </c>
      <c r="R60" s="12" t="n"/>
      <c r="S60" s="53">
        <f>IFERROR(-S59/SUM(S197+S202),"")</f>
        <v>0.0119976807457295</v>
      </c>
      <c r="T60" s="53">
        <f>IFERROR(-T59/SUM(T197+T202),"")</f>
        <v>0.0114314571664677</v>
      </c>
      <c r="U60" s="53">
        <f>IFERROR(-U59/SUM(U197+U202),"")</f>
        <v>0.0129670540774181</v>
      </c>
      <c r="V60" s="53">
        <f>IFERROR(-V59/SUM(V197+V202),"")</f>
        <v>0.0141194428544171</v>
      </c>
      <c r="W60" s="12" t="n"/>
      <c r="X60" s="53">
        <f>IFERROR(-X59/SUM(X197+X202),"")</f>
        <v>0.0128136419001218</v>
      </c>
      <c r="Y60" s="53">
        <f>IFERROR(-Y59/SUM(Y197+Y202),"")</f>
        <v>0.0126061098968129</v>
      </c>
      <c r="Z60" s="53">
        <f>IFERROR(-Z59/SUM(Z197+Z202),"")</f>
        <v>0.0125997690878972</v>
      </c>
      <c r="AA60" s="53">
        <f>IFERROR(-AA59/SUM(AA197+AA202),"")</f>
        <v>0.0116224770404192</v>
      </c>
      <c r="AB60" s="12" t="n"/>
      <c r="AC60" s="53">
        <f>IFERROR(-AC59/SUM(AC197+AC202),"")</f>
        <v>0.0107301619743498</v>
      </c>
      <c r="AD60" s="53">
        <f>IFERROR(-AD59/SUM(AD197+AD202),"")</f>
        <v>0.0083655424365966</v>
      </c>
      <c r="AE60" s="53">
        <f>IFERROR(-AE59/SUM(AE197+AE202),"")</f>
        <v>0.0107975813417794</v>
      </c>
      <c r="AF60" s="55">
        <f>IFERROR(-AF59/SUM(AF197+AF202),"")</f>
        <v>0.0121986923001854</v>
      </c>
      <c r="AG60" s="12" t="n"/>
      <c r="AH60" s="11">
        <f>IFERROR(-AH59/SUM(AH197+AH202),"")</f>
        <v>0.0113429008235932</v>
      </c>
      <c r="AI60" s="11">
        <f>IFERROR(-AI59/SUM(AI197+AI202),"")</f>
        <v>0.0112230516260375</v>
      </c>
      <c r="AJ60" s="11" t="str">
        <f>IFERROR(Control!$E$9,0)</f>
        <v/>
      </c>
      <c r="AK60" s="11" t="str">
        <f>IFERROR(Control!$E$9,0)</f>
        <v/>
      </c>
      <c r="AL60" s="12" t="n"/>
      <c r="AM60" s="11" t="str">
        <f>IFERROR(Control!$E$9,0)</f>
        <v/>
      </c>
      <c r="AN60" s="11" t="str">
        <f>IFERROR(Control!$E$9,0)</f>
        <v/>
      </c>
      <c r="AO60" s="11" t="str">
        <f>IFERROR(Control!$E$9,0)</f>
        <v/>
      </c>
      <c r="AP60" s="11" t="str">
        <f>IFERROR(Control!$E$9,0)</f>
        <v/>
      </c>
      <c r="AQ60" s="12" t="n"/>
      <c r="AR60" s="11" t="str">
        <f>IFERROR(Control!$E$9,0)</f>
        <v/>
      </c>
      <c r="AS60" s="11" t="str">
        <f>IFERROR(Control!$E$9,0)</f>
        <v/>
      </c>
      <c r="AT60" s="11" t="str">
        <f>IFERROR(Control!$E$9,0)</f>
        <v/>
      </c>
      <c r="AU60" s="11" t="str">
        <f>IFERROR(Control!$E$9,0)</f>
        <v/>
      </c>
      <c r="AV60" s="12" t="n"/>
      <c r="AW60" s="11" t="str">
        <f>IFERROR(Control!$E$9,0)</f>
        <v/>
      </c>
      <c r="AX60" s="11" t="str">
        <f>IFERROR(Control!$E$9,0)</f>
        <v/>
      </c>
      <c r="AY60" s="11" t="str">
        <f>IFERROR(Control!$E$9,0)</f>
        <v/>
      </c>
      <c r="AZ60" s="11" t="str">
        <f>IFERROR(Control!$E$9,0)</f>
        <v/>
      </c>
      <c r="BA60" s="12" t="n"/>
      <c r="BB60" s="11" t="str">
        <f>IFERROR(Control!$E$9,0)</f>
        <v/>
      </c>
      <c r="BC60" s="11" t="str">
        <f>IFERROR(Control!$E$9,0)</f>
        <v/>
      </c>
      <c r="BD60" s="11" t="str">
        <f>IFERROR(Control!$E$9,0)</f>
        <v/>
      </c>
      <c r="BE60" s="11" t="str">
        <f>IFERROR(Control!$E$9,0)</f>
        <v/>
      </c>
      <c r="BF60" s="12" t="n"/>
      <c r="BG60" s="11" t="n"/>
      <c r="BH60" s="11" t="n"/>
      <c r="BI60" s="11" t="n"/>
      <c r="BJ60" s="11" t="n"/>
      <c r="BK60" s="12" t="n"/>
      <c r="BL60" s="11" t="n"/>
      <c r="BM60" s="11" t="n"/>
      <c r="BN60" s="11" t="n"/>
      <c r="BO60" s="11" t="n"/>
      <c r="BP60" s="12" t="n"/>
      <c r="BQ60" s="11" t="n"/>
      <c r="BR60" s="11" t="n"/>
      <c r="BS60" s="11" t="n"/>
      <c r="BT60" s="11" t="n"/>
      <c r="BU60" s="12" t="n"/>
      <c r="BV60" s="11" t="n"/>
      <c r="BW60" s="11" t="n"/>
      <c r="BX60" s="11" t="n"/>
      <c r="BY60" s="11" t="n"/>
      <c r="BZ60" s="12" t="n"/>
      <c r="CA60" s="11" t="n"/>
      <c r="CB60" s="11" t="n"/>
      <c r="CC60" s="11" t="n"/>
      <c r="CD60" s="11" t="n"/>
      <c r="CE60" s="12" t="n"/>
      <c r="CF60" s="11" t="n"/>
      <c r="CG60" s="11" t="n"/>
      <c r="CH60" s="11" t="n"/>
      <c r="CI60" s="11" t="n"/>
      <c r="CJ60" s="12" t="n"/>
      <c r="CK60" s="11" t="n"/>
      <c r="CL60" s="11" t="n"/>
      <c r="CM60" s="11" t="n"/>
      <c r="CN60" s="11" t="n"/>
      <c r="CO60" s="12" t="n"/>
      <c r="CP60" s="11" t="n"/>
      <c r="CQ60" s="11" t="n"/>
      <c r="CR60" s="11" t="n"/>
      <c r="CS60" s="11" t="n"/>
      <c r="CT60" s="12" t="n"/>
      <c r="CU60" s="11" t="n"/>
      <c r="CV60" s="11" t="n"/>
      <c r="CW60" s="11" t="n"/>
      <c r="CX60" s="11" t="n"/>
      <c r="CY60" s="12" t="n"/>
    </row>
    <row r="61" hidden="1" outlineLevel="1">
      <c r="C61" s="50" t="inlineStr">
        <is>
          <t>%CDI</t>
        </is>
      </c>
      <c r="D61" s="11" t="n"/>
      <c r="E61" s="11" t="n"/>
      <c r="F61" s="11" t="n"/>
      <c r="G61" s="11" t="n"/>
      <c r="H61" s="12" t="n"/>
      <c r="I61" s="11" t="n"/>
      <c r="J61" s="11" t="n"/>
      <c r="K61" s="11" t="n"/>
      <c r="L61" s="11" t="n"/>
      <c r="M61" s="12" t="n"/>
      <c r="N61" s="11" t="n"/>
      <c r="O61" s="11" t="n"/>
      <c r="P61" s="11" t="n"/>
      <c r="Q61" s="11" t="n"/>
      <c r="R61" s="12" t="n"/>
      <c r="S61" s="11" t="n"/>
      <c r="T61" s="11" t="n"/>
      <c r="U61" s="11" t="n"/>
      <c r="V61" s="11" t="n"/>
      <c r="W61" s="12" t="n"/>
      <c r="X61" s="11" t="n"/>
      <c r="Y61" s="11" t="n"/>
      <c r="Z61" s="11" t="n"/>
      <c r="AA61" s="11" t="n"/>
      <c r="AB61" s="12" t="n"/>
      <c r="AC61" s="11" t="n"/>
      <c r="AD61" s="11" t="n"/>
      <c r="AE61" s="11" t="n"/>
      <c r="AF61" s="11" t="n"/>
      <c r="AG61" s="12" t="n"/>
      <c r="AH61" s="11" t="n"/>
      <c r="AI61" s="11" t="n"/>
      <c r="AJ61" s="11" t="n"/>
      <c r="AK61" s="11" t="n"/>
      <c r="AL61" s="12" t="n"/>
      <c r="AM61" s="11" t="n"/>
      <c r="AN61" s="11" t="n"/>
      <c r="AO61" s="11" t="n"/>
      <c r="AP61" s="11" t="n"/>
      <c r="AQ61" s="12" t="n"/>
      <c r="AR61" s="11" t="n"/>
      <c r="AS61" s="11" t="n"/>
      <c r="AT61" s="11" t="n"/>
      <c r="AU61" s="11" t="n"/>
      <c r="AV61" s="12" t="n"/>
      <c r="AW61" s="11" t="n"/>
      <c r="AX61" s="11" t="n"/>
      <c r="AY61" s="11" t="n"/>
      <c r="AZ61" s="11" t="n"/>
      <c r="BA61" s="12" t="n"/>
      <c r="BB61" s="11" t="n"/>
      <c r="BC61" s="11" t="n"/>
      <c r="BD61" s="11" t="n"/>
      <c r="BE61" s="11" t="n"/>
      <c r="BF61" s="12" t="n"/>
      <c r="BG61" s="11" t="n"/>
      <c r="BH61" s="11" t="n"/>
      <c r="BI61" s="11" t="n"/>
      <c r="BJ61" s="11" t="n"/>
      <c r="BK61" s="12" t="n"/>
      <c r="BL61" s="11" t="n"/>
      <c r="BM61" s="11" t="n"/>
      <c r="BN61" s="11" t="n"/>
      <c r="BO61" s="11" t="n"/>
      <c r="BP61" s="12" t="n"/>
      <c r="BQ61" s="11" t="n"/>
      <c r="BR61" s="11" t="n"/>
      <c r="BS61" s="11" t="n"/>
      <c r="BT61" s="11" t="n"/>
      <c r="BU61" s="12" t="n"/>
      <c r="BV61" s="11" t="n"/>
      <c r="BW61" s="11" t="n"/>
      <c r="BX61" s="11" t="n"/>
      <c r="BY61" s="11" t="n"/>
      <c r="BZ61" s="12" t="n"/>
      <c r="CA61" s="11" t="n"/>
      <c r="CB61" s="11" t="n"/>
      <c r="CC61" s="11" t="n"/>
      <c r="CD61" s="11" t="n"/>
      <c r="CE61" s="12" t="n"/>
      <c r="CF61" s="11" t="n"/>
      <c r="CG61" s="11" t="n"/>
      <c r="CH61" s="11" t="n"/>
      <c r="CI61" s="11" t="n"/>
      <c r="CJ61" s="12" t="n"/>
      <c r="CK61" s="11" t="n"/>
      <c r="CL61" s="11" t="n"/>
      <c r="CM61" s="11" t="n"/>
      <c r="CN61" s="11" t="n"/>
      <c r="CO61" s="12" t="n"/>
      <c r="CP61" s="11" t="n"/>
      <c r="CQ61" s="11" t="n"/>
      <c r="CR61" s="11" t="n"/>
      <c r="CS61" s="11" t="n"/>
      <c r="CT61" s="12" t="n"/>
      <c r="CU61" s="11" t="n"/>
      <c r="CV61" s="11" t="n"/>
      <c r="CW61" s="11" t="n"/>
      <c r="CX61" s="11" t="n"/>
      <c r="CY61" s="12" t="n"/>
    </row>
    <row r="62" hidden="1" outlineLevel="1">
      <c r="C62" s="57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2" t="n"/>
      <c r="AH62" s="12" t="n"/>
      <c r="AI62" s="12" t="n"/>
      <c r="AJ62" s="12" t="n"/>
      <c r="AK62" s="12" t="n"/>
      <c r="AL62" s="12" t="n"/>
      <c r="AM62" s="12" t="n"/>
      <c r="AN62" s="12" t="n"/>
      <c r="AO62" s="12" t="n"/>
      <c r="AP62" s="12" t="n"/>
      <c r="AQ62" s="12" t="n"/>
      <c r="AR62" s="12" t="n"/>
      <c r="AS62" s="12" t="n"/>
      <c r="AT62" s="12" t="n"/>
      <c r="AU62" s="12" t="n"/>
      <c r="AV62" s="12" t="n"/>
      <c r="AW62" s="12" t="n"/>
      <c r="AX62" s="12" t="n"/>
      <c r="AY62" s="12" t="n"/>
      <c r="AZ62" s="12" t="n"/>
      <c r="BA62" s="12" t="n"/>
      <c r="BB62" s="12" t="n"/>
      <c r="BC62" s="12" t="n"/>
      <c r="BD62" s="12" t="n"/>
      <c r="BE62" s="12" t="n"/>
      <c r="BF62" s="12" t="n"/>
      <c r="BG62" s="12" t="n"/>
      <c r="BH62" s="12" t="n"/>
      <c r="BI62" s="12" t="n"/>
      <c r="BJ62" s="12" t="n"/>
      <c r="BK62" s="12" t="n"/>
      <c r="BL62" s="12" t="n"/>
      <c r="BM62" s="12" t="n"/>
      <c r="BN62" s="12" t="n"/>
      <c r="BO62" s="12" t="n"/>
      <c r="BP62" s="12" t="n"/>
      <c r="BQ62" s="12" t="n"/>
      <c r="BR62" s="12" t="n"/>
      <c r="BS62" s="12" t="n"/>
      <c r="BT62" s="12" t="n"/>
      <c r="BU62" s="12" t="n"/>
      <c r="BV62" s="12" t="n"/>
      <c r="BW62" s="12" t="n"/>
      <c r="BX62" s="12" t="n"/>
      <c r="BY62" s="12" t="n"/>
      <c r="BZ62" s="12" t="n"/>
      <c r="CA62" s="12" t="n"/>
      <c r="CB62" s="12" t="n"/>
      <c r="CC62" s="12" t="n"/>
      <c r="CD62" s="12" t="n"/>
      <c r="CE62" s="12" t="n"/>
      <c r="CF62" s="12" t="n"/>
      <c r="CG62" s="12" t="n"/>
      <c r="CH62" s="12" t="n"/>
      <c r="CI62" s="12" t="n"/>
      <c r="CJ62" s="12" t="n"/>
      <c r="CK62" s="12" t="n"/>
      <c r="CL62" s="12" t="n"/>
      <c r="CM62" s="12" t="n"/>
      <c r="CN62" s="12" t="n"/>
      <c r="CO62" s="12" t="n"/>
      <c r="CP62" s="12" t="n"/>
      <c r="CQ62" s="12" t="n"/>
      <c r="CR62" s="12" t="n"/>
      <c r="CS62" s="12" t="n"/>
      <c r="CT62" s="12" t="n"/>
      <c r="CU62" s="12" t="n"/>
      <c r="CV62" s="12" t="n"/>
      <c r="CW62" s="12" t="n"/>
      <c r="CX62" s="12" t="n"/>
      <c r="CY62" s="12" t="n"/>
    </row>
    <row r="63" hidden="1" outlineLevel="1">
      <c r="C63" s="57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/>
      <c r="AM63" s="12" t="n"/>
      <c r="AN63" s="12" t="n"/>
      <c r="AO63" s="12" t="n"/>
      <c r="AP63" s="12" t="n"/>
      <c r="AQ63" s="12" t="n"/>
      <c r="AR63" s="12" t="n"/>
      <c r="AS63" s="12" t="n"/>
      <c r="AT63" s="12" t="n"/>
      <c r="AU63" s="12" t="n"/>
      <c r="AV63" s="12" t="n"/>
      <c r="AW63" s="12" t="n"/>
      <c r="AX63" s="12" t="n"/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2" t="n"/>
      <c r="BK63" s="12" t="n"/>
      <c r="BL63" s="12" t="n"/>
      <c r="BM63" s="12" t="n"/>
      <c r="BN63" s="12" t="n"/>
      <c r="BO63" s="12" t="n"/>
      <c r="BP63" s="12" t="n"/>
      <c r="BQ63" s="12" t="n"/>
      <c r="BR63" s="12" t="n"/>
      <c r="BS63" s="12" t="n"/>
      <c r="BT63" s="12" t="n"/>
      <c r="BU63" s="12" t="n"/>
      <c r="BV63" s="12" t="n"/>
      <c r="BW63" s="12" t="n"/>
      <c r="BX63" s="12" t="n"/>
      <c r="BY63" s="12" t="n"/>
      <c r="BZ63" s="12" t="n"/>
      <c r="CA63" s="12" t="n"/>
      <c r="CB63" s="12" t="n"/>
      <c r="CC63" s="12" t="n"/>
      <c r="CD63" s="12" t="n"/>
      <c r="CE63" s="12" t="n"/>
      <c r="CF63" s="12" t="n"/>
      <c r="CG63" s="12" t="n"/>
      <c r="CH63" s="12" t="n"/>
      <c r="CI63" s="12" t="n"/>
      <c r="CJ63" s="12" t="n"/>
      <c r="CK63" s="12" t="n"/>
      <c r="CL63" s="12" t="n"/>
      <c r="CM63" s="12" t="n"/>
      <c r="CN63" s="12" t="n"/>
      <c r="CO63" s="12" t="n"/>
      <c r="CP63" s="12" t="n"/>
      <c r="CQ63" s="12" t="n"/>
      <c r="CR63" s="12" t="n"/>
      <c r="CS63" s="12" t="n"/>
      <c r="CT63" s="12" t="n"/>
      <c r="CU63" s="12" t="n"/>
      <c r="CV63" s="12" t="n"/>
      <c r="CW63" s="12" t="n"/>
      <c r="CX63" s="12" t="n"/>
      <c r="CY63" s="12" t="n"/>
    </row>
    <row r="64" hidden="1" outlineLevel="1">
      <c r="C64" s="57" t="inlineStr">
        <is>
          <t>RECEITA FINANCEIRA</t>
        </is>
      </c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2" t="n"/>
      <c r="AH64" s="12" t="n"/>
      <c r="AI64" s="12" t="n"/>
      <c r="AJ64" s="12" t="n"/>
      <c r="AK64" s="12" t="n"/>
      <c r="AL64" s="12" t="n"/>
      <c r="AM64" s="12" t="n"/>
      <c r="AN64" s="12" t="n"/>
      <c r="AO64" s="12" t="n"/>
      <c r="AP64" s="12" t="n"/>
      <c r="AQ64" s="12" t="n"/>
      <c r="AR64" s="12" t="n"/>
      <c r="AS64" s="12" t="n"/>
      <c r="AT64" s="12" t="n"/>
      <c r="AU64" s="12" t="n"/>
      <c r="AV64" s="12" t="n"/>
      <c r="AW64" s="12" t="n"/>
      <c r="AX64" s="12" t="n"/>
      <c r="AY64" s="12" t="n"/>
      <c r="AZ64" s="12" t="n"/>
      <c r="BA64" s="12" t="n"/>
      <c r="BB64" s="12" t="n"/>
      <c r="BC64" s="12" t="n"/>
      <c r="BD64" s="12" t="n"/>
      <c r="BE64" s="12" t="n"/>
      <c r="BF64" s="12" t="n"/>
      <c r="BG64" s="12" t="n"/>
      <c r="BH64" s="12" t="n"/>
      <c r="BI64" s="12" t="n"/>
      <c r="BJ64" s="12" t="n"/>
      <c r="BK64" s="12" t="n"/>
      <c r="BL64" s="12" t="n"/>
      <c r="BM64" s="12" t="n"/>
      <c r="BN64" s="12" t="n"/>
      <c r="BO64" s="12" t="n"/>
      <c r="BP64" s="12" t="n"/>
      <c r="BQ64" s="12" t="n"/>
      <c r="BR64" s="12" t="n"/>
      <c r="BS64" s="12" t="n"/>
      <c r="BT64" s="12" t="n"/>
      <c r="BU64" s="12" t="n"/>
      <c r="BV64" s="12" t="n"/>
      <c r="BW64" s="12" t="n"/>
      <c r="BX64" s="12" t="n"/>
      <c r="BY64" s="12" t="n"/>
      <c r="BZ64" s="12" t="n"/>
      <c r="CA64" s="12" t="n"/>
      <c r="CB64" s="12" t="n"/>
      <c r="CC64" s="12" t="n"/>
      <c r="CD64" s="12" t="n"/>
      <c r="CE64" s="12" t="n"/>
      <c r="CF64" s="12" t="n"/>
      <c r="CG64" s="12" t="n"/>
      <c r="CH64" s="12" t="n"/>
      <c r="CI64" s="12" t="n"/>
      <c r="CJ64" s="12" t="n"/>
      <c r="CK64" s="12" t="n"/>
      <c r="CL64" s="12" t="n"/>
      <c r="CM64" s="12" t="n"/>
      <c r="CN64" s="12" t="n"/>
      <c r="CO64" s="12" t="n"/>
      <c r="CP64" s="12" t="n"/>
      <c r="CQ64" s="12" t="n"/>
      <c r="CR64" s="12" t="n"/>
      <c r="CS64" s="12" t="n"/>
      <c r="CT64" s="12" t="n"/>
      <c r="CU64" s="12" t="n"/>
      <c r="CV64" s="12" t="n"/>
      <c r="CW64" s="12" t="n"/>
      <c r="CX64" s="12" t="n"/>
      <c r="CY64" s="12" t="n"/>
    </row>
    <row r="65" hidden="1" outlineLevel="1">
      <c r="C65" s="57" t="inlineStr">
        <is>
          <t>DESPESA FINANCEIRA</t>
        </is>
      </c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2" t="n"/>
      <c r="AP65" s="12" t="n"/>
      <c r="AQ65" s="12" t="n"/>
      <c r="AR65" s="12" t="n"/>
      <c r="AS65" s="12" t="n"/>
      <c r="AT65" s="12" t="n"/>
      <c r="AU65" s="12" t="n"/>
      <c r="AV65" s="12" t="n"/>
      <c r="AW65" s="12" t="n"/>
      <c r="AX65" s="12" t="n"/>
      <c r="AY65" s="12" t="n"/>
      <c r="AZ65" s="12" t="n"/>
      <c r="BA65" s="12" t="n"/>
      <c r="BB65" s="12" t="n"/>
      <c r="BC65" s="12" t="n"/>
      <c r="BD65" s="12" t="n"/>
      <c r="BE65" s="12" t="n"/>
      <c r="BF65" s="12" t="n"/>
      <c r="BG65" s="12" t="n"/>
      <c r="BH65" s="12" t="n"/>
      <c r="BI65" s="12" t="n"/>
      <c r="BJ65" s="12" t="n"/>
      <c r="BK65" s="12" t="n"/>
      <c r="BL65" s="12" t="n"/>
      <c r="BM65" s="12" t="n"/>
      <c r="BN65" s="12" t="n"/>
      <c r="BO65" s="12" t="n"/>
      <c r="BP65" s="12" t="n"/>
      <c r="BQ65" s="12" t="n"/>
      <c r="BR65" s="12" t="n"/>
      <c r="BS65" s="12" t="n"/>
      <c r="BT65" s="12" t="n"/>
      <c r="BU65" s="12" t="n"/>
      <c r="BV65" s="12" t="n"/>
      <c r="BW65" s="12" t="n"/>
      <c r="BX65" s="12" t="n"/>
      <c r="BY65" s="12" t="n"/>
      <c r="BZ65" s="12" t="n"/>
      <c r="CA65" s="12" t="n"/>
      <c r="CB65" s="12" t="n"/>
      <c r="CC65" s="12" t="n"/>
      <c r="CD65" s="12" t="n"/>
      <c r="CE65" s="12" t="n"/>
      <c r="CF65" s="12" t="n"/>
      <c r="CG65" s="12" t="n"/>
      <c r="CH65" s="12" t="n"/>
      <c r="CI65" s="12" t="n"/>
      <c r="CJ65" s="12" t="n"/>
      <c r="CK65" s="12" t="n"/>
      <c r="CL65" s="12" t="n"/>
      <c r="CM65" s="12" t="n"/>
      <c r="CN65" s="12" t="n"/>
      <c r="CO65" s="12" t="n"/>
      <c r="CP65" s="12" t="n"/>
      <c r="CQ65" s="12" t="n"/>
      <c r="CR65" s="12" t="n"/>
      <c r="CS65" s="12" t="n"/>
      <c r="CT65" s="12" t="n"/>
      <c r="CU65" s="12" t="n"/>
      <c r="CV65" s="12" t="n"/>
      <c r="CW65" s="12" t="n"/>
      <c r="CX65" s="12" t="n"/>
      <c r="CY65" s="12" t="n"/>
    </row>
    <row r="66" hidden="1" outlineLevel="1">
      <c r="C66" s="57" t="inlineStr">
        <is>
          <t>OUTROS</t>
        </is>
      </c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  <c r="AR66" s="12" t="n"/>
      <c r="AS66" s="12" t="n"/>
      <c r="AT66" s="12" t="n"/>
      <c r="AU66" s="12" t="n"/>
      <c r="AV66" s="12" t="n"/>
      <c r="AW66" s="12" t="n"/>
      <c r="AX66" s="12" t="n"/>
      <c r="AY66" s="12" t="n"/>
      <c r="AZ66" s="12" t="n"/>
      <c r="BA66" s="12" t="n"/>
      <c r="BB66" s="12" t="n"/>
      <c r="BC66" s="12" t="n"/>
      <c r="BD66" s="12" t="n"/>
      <c r="BE66" s="12" t="n"/>
      <c r="BF66" s="12" t="n"/>
      <c r="BG66" s="12" t="n"/>
      <c r="BH66" s="12" t="n"/>
      <c r="BI66" s="12" t="n"/>
      <c r="BJ66" s="12" t="n"/>
      <c r="BK66" s="12" t="n"/>
      <c r="BL66" s="12" t="n"/>
      <c r="BM66" s="12" t="n"/>
      <c r="BN66" s="12" t="n"/>
      <c r="BO66" s="12" t="n"/>
      <c r="BP66" s="12" t="n"/>
      <c r="BQ66" s="12" t="n"/>
      <c r="BR66" s="12" t="n"/>
      <c r="BS66" s="12" t="n"/>
      <c r="BT66" s="12" t="n"/>
      <c r="BU66" s="12" t="n"/>
      <c r="BV66" s="12" t="n"/>
      <c r="BW66" s="12" t="n"/>
      <c r="BX66" s="12" t="n"/>
      <c r="BY66" s="12" t="n"/>
      <c r="BZ66" s="12" t="n"/>
      <c r="CA66" s="12" t="n"/>
      <c r="CB66" s="12" t="n"/>
      <c r="CC66" s="12" t="n"/>
      <c r="CD66" s="12" t="n"/>
      <c r="CE66" s="12" t="n"/>
      <c r="CF66" s="12" t="n"/>
      <c r="CG66" s="12" t="n"/>
      <c r="CH66" s="12" t="n"/>
      <c r="CI66" s="12" t="n"/>
      <c r="CJ66" s="12" t="n"/>
      <c r="CK66" s="12" t="n"/>
      <c r="CL66" s="12" t="n"/>
      <c r="CM66" s="12" t="n"/>
      <c r="CN66" s="12" t="n"/>
      <c r="CO66" s="12" t="n"/>
      <c r="CP66" s="12" t="n"/>
      <c r="CQ66" s="12" t="n"/>
      <c r="CR66" s="12" t="n"/>
      <c r="CS66" s="12" t="n"/>
      <c r="CT66" s="12" t="n"/>
      <c r="CU66" s="12" t="n"/>
      <c r="CV66" s="12" t="n"/>
      <c r="CW66" s="12" t="n"/>
      <c r="CX66" s="12" t="n"/>
      <c r="CY66" s="12" t="n"/>
    </row>
    <row r="67" hidden="1" outlineLevel="1">
      <c r="C67" s="57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/>
      <c r="AQ67" s="12" t="n"/>
      <c r="AR67" s="12" t="n"/>
      <c r="AS67" s="12" t="n"/>
      <c r="AT67" s="12" t="n"/>
      <c r="AU67" s="12" t="n"/>
      <c r="AV67" s="12" t="n"/>
      <c r="AW67" s="12" t="n"/>
      <c r="AX67" s="12" t="n"/>
      <c r="AY67" s="12" t="n"/>
      <c r="AZ67" s="12" t="n"/>
      <c r="BA67" s="12" t="n"/>
      <c r="BB67" s="12" t="n"/>
      <c r="BC67" s="12" t="n"/>
      <c r="BD67" s="12" t="n"/>
      <c r="BE67" s="12" t="n"/>
      <c r="BF67" s="12" t="n"/>
      <c r="BG67" s="12" t="n"/>
      <c r="BH67" s="12" t="n"/>
      <c r="BI67" s="12" t="n"/>
      <c r="BJ67" s="12" t="n"/>
      <c r="BK67" s="12" t="n"/>
      <c r="BL67" s="12" t="n"/>
      <c r="BM67" s="12" t="n"/>
      <c r="BN67" s="12" t="n"/>
      <c r="BO67" s="12" t="n"/>
      <c r="BP67" s="12" t="n"/>
      <c r="BQ67" s="12" t="n"/>
      <c r="BR67" s="12" t="n"/>
      <c r="BS67" s="12" t="n"/>
      <c r="BT67" s="12" t="n"/>
      <c r="BU67" s="12" t="n"/>
      <c r="BV67" s="12" t="n"/>
      <c r="BW67" s="12" t="n"/>
      <c r="BX67" s="12" t="n"/>
      <c r="BY67" s="12" t="n"/>
      <c r="BZ67" s="12" t="n"/>
      <c r="CA67" s="12" t="n"/>
      <c r="CB67" s="12" t="n"/>
      <c r="CC67" s="12" t="n"/>
      <c r="CD67" s="12" t="n"/>
      <c r="CE67" s="12" t="n"/>
      <c r="CF67" s="12" t="n"/>
      <c r="CG67" s="12" t="n"/>
      <c r="CH67" s="12" t="n"/>
      <c r="CI67" s="12" t="n"/>
      <c r="CJ67" s="12" t="n"/>
      <c r="CK67" s="12" t="n"/>
      <c r="CL67" s="12" t="n"/>
      <c r="CM67" s="12" t="n"/>
      <c r="CN67" s="12" t="n"/>
      <c r="CO67" s="12" t="n"/>
      <c r="CP67" s="12" t="n"/>
      <c r="CQ67" s="12" t="n"/>
      <c r="CR67" s="12" t="n"/>
      <c r="CS67" s="12" t="n"/>
      <c r="CT67" s="12" t="n"/>
      <c r="CU67" s="12" t="n"/>
      <c r="CV67" s="12" t="n"/>
      <c r="CW67" s="12" t="n"/>
      <c r="CX67" s="12" t="n"/>
      <c r="CY67" s="12" t="n"/>
    </row>
    <row r="68" hidden="1" outlineLevel="1">
      <c r="C68" s="57" t="inlineStr">
        <is>
          <t>Cash and equivalents (inc. investment securities)</t>
        </is>
      </c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2" t="n"/>
      <c r="AK68" s="12" t="n"/>
      <c r="AL68" s="12" t="n"/>
      <c r="AM68" s="12" t="n"/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2" t="n"/>
      <c r="AW68" s="12" t="n"/>
      <c r="AX68" s="12" t="n"/>
      <c r="AY68" s="12" t="n"/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2" t="n"/>
      <c r="BL68" s="12" t="n"/>
      <c r="BM68" s="12" t="n"/>
      <c r="BN68" s="12" t="n"/>
      <c r="BO68" s="12" t="n"/>
      <c r="BP68" s="12" t="n"/>
      <c r="BQ68" s="12" t="n"/>
      <c r="BR68" s="12" t="n"/>
      <c r="BS68" s="12" t="n"/>
      <c r="BT68" s="12" t="n"/>
      <c r="BU68" s="12" t="n"/>
      <c r="BV68" s="12" t="n"/>
      <c r="BW68" s="12" t="n"/>
      <c r="BX68" s="12" t="n"/>
      <c r="BY68" s="12" t="n"/>
      <c r="BZ68" s="12" t="n"/>
      <c r="CA68" s="12" t="n"/>
      <c r="CB68" s="12" t="n"/>
      <c r="CC68" s="12" t="n"/>
      <c r="CD68" s="12" t="n"/>
      <c r="CE68" s="12" t="n"/>
      <c r="CF68" s="12" t="n"/>
      <c r="CG68" s="12" t="n"/>
      <c r="CH68" s="12" t="n"/>
      <c r="CI68" s="12" t="n"/>
      <c r="CJ68" s="12" t="n"/>
      <c r="CK68" s="12" t="n"/>
      <c r="CL68" s="12" t="n"/>
      <c r="CM68" s="12" t="n"/>
      <c r="CN68" s="12" t="n"/>
      <c r="CO68" s="12" t="n"/>
      <c r="CP68" s="12" t="n"/>
      <c r="CQ68" s="12" t="n"/>
      <c r="CR68" s="12" t="n"/>
      <c r="CS68" s="12" t="n"/>
      <c r="CT68" s="12" t="n"/>
      <c r="CU68" s="12" t="n"/>
      <c r="CV68" s="12" t="n"/>
      <c r="CW68" s="12" t="n"/>
      <c r="CX68" s="12" t="n"/>
      <c r="CY68" s="12" t="n"/>
    </row>
    <row r="69" hidden="1" outlineLevel="1">
      <c r="C69" s="57" t="inlineStr">
        <is>
          <t>Interest on cash</t>
        </is>
      </c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2" t="n"/>
      <c r="AP69" s="12" t="n"/>
      <c r="AQ69" s="12" t="n"/>
      <c r="AR69" s="12" t="n"/>
      <c r="AS69" s="12" t="n"/>
      <c r="AT69" s="12" t="n"/>
      <c r="AU69" s="12" t="n"/>
      <c r="AV69" s="12" t="n"/>
      <c r="AW69" s="12" t="n"/>
      <c r="AX69" s="12" t="n"/>
      <c r="AY69" s="12" t="n"/>
      <c r="AZ69" s="12" t="n"/>
      <c r="BA69" s="12" t="n"/>
      <c r="BB69" s="12" t="n"/>
      <c r="BC69" s="12" t="n"/>
      <c r="BD69" s="12" t="n"/>
      <c r="BE69" s="12" t="n"/>
      <c r="BF69" s="12" t="n"/>
      <c r="BG69" s="12" t="n"/>
      <c r="BH69" s="12" t="n"/>
      <c r="BI69" s="12" t="n"/>
      <c r="BJ69" s="12" t="n"/>
      <c r="BK69" s="12" t="n"/>
      <c r="BL69" s="12" t="n"/>
      <c r="BM69" s="12" t="n"/>
      <c r="BN69" s="12" t="n"/>
      <c r="BO69" s="12" t="n"/>
      <c r="BP69" s="12" t="n"/>
      <c r="BQ69" s="12" t="n"/>
      <c r="BR69" s="12" t="n"/>
      <c r="BS69" s="12" t="n"/>
      <c r="BT69" s="12" t="n"/>
      <c r="BU69" s="12" t="n"/>
      <c r="BV69" s="12" t="n"/>
      <c r="BW69" s="12" t="n"/>
      <c r="BX69" s="12" t="n"/>
      <c r="BY69" s="12" t="n"/>
      <c r="BZ69" s="12" t="n"/>
      <c r="CA69" s="12" t="n"/>
      <c r="CB69" s="12" t="n"/>
      <c r="CC69" s="12" t="n"/>
      <c r="CD69" s="12" t="n"/>
      <c r="CE69" s="12" t="n"/>
      <c r="CF69" s="12" t="n"/>
      <c r="CG69" s="12" t="n"/>
      <c r="CH69" s="12" t="n"/>
      <c r="CI69" s="12" t="n"/>
      <c r="CJ69" s="12" t="n"/>
      <c r="CK69" s="12" t="n"/>
      <c r="CL69" s="12" t="n"/>
      <c r="CM69" s="12" t="n"/>
      <c r="CN69" s="12" t="n"/>
      <c r="CO69" s="12" t="n"/>
      <c r="CP69" s="12" t="n"/>
      <c r="CQ69" s="12" t="n"/>
      <c r="CR69" s="12" t="n"/>
      <c r="CS69" s="12" t="n"/>
      <c r="CT69" s="12" t="n"/>
      <c r="CU69" s="12" t="n"/>
      <c r="CV69" s="12" t="n"/>
      <c r="CW69" s="12" t="n"/>
      <c r="CX69" s="12" t="n"/>
      <c r="CY69" s="12" t="n"/>
    </row>
    <row r="70" hidden="1" outlineLevel="1">
      <c r="C70" s="57" t="inlineStr">
        <is>
          <t>Average interest rate</t>
        </is>
      </c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2" t="n"/>
      <c r="AK70" s="12" t="n"/>
      <c r="AL70" s="12" t="n"/>
      <c r="AM70" s="12" t="n"/>
      <c r="AN70" s="12" t="n"/>
      <c r="AO70" s="12" t="n"/>
      <c r="AP70" s="12" t="n"/>
      <c r="AQ70" s="12" t="n"/>
      <c r="AR70" s="12" t="n"/>
      <c r="AS70" s="12" t="n"/>
      <c r="AT70" s="12" t="n"/>
      <c r="AU70" s="12" t="n"/>
      <c r="AV70" s="12" t="n"/>
      <c r="AW70" s="12" t="n"/>
      <c r="AX70" s="12" t="n"/>
      <c r="AY70" s="12" t="n"/>
      <c r="AZ70" s="12" t="n"/>
      <c r="BA70" s="12" t="n"/>
      <c r="BB70" s="12" t="n"/>
      <c r="BC70" s="12" t="n"/>
      <c r="BD70" s="12" t="n"/>
      <c r="BE70" s="12" t="n"/>
      <c r="BF70" s="12" t="n"/>
      <c r="BG70" s="12" t="n"/>
      <c r="BH70" s="12" t="n"/>
      <c r="BI70" s="12" t="n"/>
      <c r="BJ70" s="12" t="n"/>
      <c r="BK70" s="12" t="n"/>
      <c r="BL70" s="12" t="n"/>
      <c r="BM70" s="12" t="n"/>
      <c r="BN70" s="12" t="n"/>
      <c r="BO70" s="12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n"/>
      <c r="BZ70" s="12" t="n"/>
      <c r="CA70" s="12" t="n"/>
      <c r="CB70" s="12" t="n"/>
      <c r="CC70" s="12" t="n"/>
      <c r="CD70" s="12" t="n"/>
      <c r="CE70" s="12" t="n"/>
      <c r="CF70" s="12" t="n"/>
      <c r="CG70" s="12" t="n"/>
      <c r="CH70" s="12" t="n"/>
      <c r="CI70" s="12" t="n"/>
      <c r="CJ70" s="12" t="n"/>
      <c r="CK70" s="12" t="n"/>
      <c r="CL70" s="12" t="n"/>
      <c r="CM70" s="12" t="n"/>
      <c r="CN70" s="12" t="n"/>
      <c r="CO70" s="12" t="n"/>
      <c r="CP70" s="12" t="n"/>
      <c r="CQ70" s="12" t="n"/>
      <c r="CR70" s="12" t="n"/>
      <c r="CS70" s="12" t="n"/>
      <c r="CT70" s="12" t="n"/>
      <c r="CU70" s="12" t="n"/>
      <c r="CV70" s="12" t="n"/>
      <c r="CW70" s="12" t="n"/>
      <c r="CX70" s="12" t="n"/>
      <c r="CY70" s="12" t="n"/>
    </row>
    <row r="71" hidden="1" outlineLevel="1">
      <c r="C71" s="57" t="inlineStr">
        <is>
          <t>% CDI</t>
        </is>
      </c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/>
      <c r="AQ71" s="12" t="n"/>
      <c r="AR71" s="12" t="n"/>
      <c r="AS71" s="12" t="n"/>
      <c r="AT71" s="12" t="n"/>
      <c r="AU71" s="12" t="n"/>
      <c r="AV71" s="12" t="n"/>
      <c r="AW71" s="12" t="n"/>
      <c r="AX71" s="12" t="n"/>
      <c r="AY71" s="12" t="n"/>
      <c r="AZ71" s="12" t="n"/>
      <c r="BA71" s="12" t="n"/>
      <c r="BB71" s="12" t="n"/>
      <c r="BC71" s="12" t="n"/>
      <c r="BD71" s="12" t="n"/>
      <c r="BE71" s="12" t="n"/>
      <c r="BF71" s="12" t="n"/>
      <c r="BG71" s="12" t="n"/>
      <c r="BH71" s="12" t="n"/>
      <c r="BI71" s="12" t="n"/>
      <c r="BJ71" s="12" t="n"/>
      <c r="BK71" s="12" t="n"/>
      <c r="BL71" s="12" t="n"/>
      <c r="BM71" s="12" t="n"/>
      <c r="BN71" s="12" t="n"/>
      <c r="BO71" s="12" t="n"/>
      <c r="BP71" s="12" t="n"/>
      <c r="BQ71" s="12" t="n"/>
      <c r="BR71" s="12" t="n"/>
      <c r="BS71" s="12" t="n"/>
      <c r="BT71" s="12" t="n"/>
      <c r="BU71" s="12" t="n"/>
      <c r="BV71" s="12" t="n"/>
      <c r="BW71" s="12" t="n"/>
      <c r="BX71" s="12" t="n"/>
      <c r="BY71" s="12" t="n"/>
      <c r="BZ71" s="12" t="n"/>
      <c r="CA71" s="12" t="n"/>
      <c r="CB71" s="12" t="n"/>
      <c r="CC71" s="12" t="n"/>
      <c r="CD71" s="12" t="n"/>
      <c r="CE71" s="12" t="n"/>
      <c r="CF71" s="12" t="n"/>
      <c r="CG71" s="12" t="n"/>
      <c r="CH71" s="12" t="n"/>
      <c r="CI71" s="12" t="n"/>
      <c r="CJ71" s="12" t="n"/>
      <c r="CK71" s="12" t="n"/>
      <c r="CL71" s="12" t="n"/>
      <c r="CM71" s="12" t="n"/>
      <c r="CN71" s="12" t="n"/>
      <c r="CO71" s="12" t="n"/>
      <c r="CP71" s="12" t="n"/>
      <c r="CQ71" s="12" t="n"/>
      <c r="CR71" s="12" t="n"/>
      <c r="CS71" s="12" t="n"/>
      <c r="CT71" s="12" t="n"/>
      <c r="CU71" s="12" t="n"/>
      <c r="CV71" s="12" t="n"/>
      <c r="CW71" s="12" t="n"/>
      <c r="CX71" s="12" t="n"/>
      <c r="CY71" s="12" t="n"/>
    </row>
    <row r="72" hidden="1" outlineLevel="1">
      <c r="C72" s="57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12" t="n"/>
      <c r="AY72" s="12" t="n"/>
      <c r="AZ72" s="12" t="n"/>
      <c r="BA72" s="12" t="n"/>
      <c r="BB72" s="12" t="n"/>
      <c r="BC72" s="12" t="n"/>
      <c r="BD72" s="12" t="n"/>
      <c r="BE72" s="12" t="n"/>
      <c r="BF72" s="12" t="n"/>
      <c r="BG72" s="12" t="n"/>
      <c r="BH72" s="12" t="n"/>
      <c r="BI72" s="12" t="n"/>
      <c r="BJ72" s="12" t="n"/>
      <c r="BK72" s="12" t="n"/>
      <c r="BL72" s="12" t="n"/>
      <c r="BM72" s="12" t="n"/>
      <c r="BN72" s="12" t="n"/>
      <c r="BO72" s="12" t="n"/>
      <c r="BP72" s="12" t="n"/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n"/>
      <c r="BZ72" s="12" t="n"/>
      <c r="CA72" s="12" t="n"/>
      <c r="CB72" s="12" t="n"/>
      <c r="CC72" s="12" t="n"/>
      <c r="CD72" s="12" t="n"/>
      <c r="CE72" s="12" t="n"/>
      <c r="CF72" s="12" t="n"/>
      <c r="CG72" s="12" t="n"/>
      <c r="CH72" s="12" t="n"/>
      <c r="CI72" s="12" t="n"/>
      <c r="CJ72" s="12" t="n"/>
      <c r="CK72" s="12" t="n"/>
      <c r="CL72" s="12" t="n"/>
      <c r="CM72" s="12" t="n"/>
      <c r="CN72" s="12" t="n"/>
      <c r="CO72" s="12" t="n"/>
      <c r="CP72" s="12" t="n"/>
      <c r="CQ72" s="12" t="n"/>
      <c r="CR72" s="12" t="n"/>
      <c r="CS72" s="12" t="n"/>
      <c r="CT72" s="12" t="n"/>
      <c r="CU72" s="12" t="n"/>
      <c r="CV72" s="12" t="n"/>
      <c r="CW72" s="12" t="n"/>
      <c r="CX72" s="12" t="n"/>
      <c r="CY72" s="12" t="n"/>
    </row>
    <row r="73" hidden="1" outlineLevel="1">
      <c r="C73" s="57" t="inlineStr">
        <is>
          <t>Current portion of long-term debt</t>
        </is>
      </c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2" t="n"/>
      <c r="AW73" s="12" t="n"/>
      <c r="AX73" s="12" t="n"/>
      <c r="AY73" s="12" t="n"/>
      <c r="AZ73" s="12" t="n"/>
      <c r="BA73" s="12" t="n"/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2" t="n"/>
      <c r="BL73" s="12" t="n"/>
      <c r="BM73" s="12" t="n"/>
      <c r="BN73" s="12" t="n"/>
      <c r="BO73" s="12" t="n"/>
      <c r="BP73" s="12" t="n"/>
      <c r="BQ73" s="12" t="n"/>
      <c r="BR73" s="12" t="n"/>
      <c r="BS73" s="12" t="n"/>
      <c r="BT73" s="12" t="n"/>
      <c r="BU73" s="12" t="n"/>
      <c r="BV73" s="12" t="n"/>
      <c r="BW73" s="12" t="n"/>
      <c r="BX73" s="12" t="n"/>
      <c r="BY73" s="12" t="n"/>
      <c r="BZ73" s="12" t="n"/>
      <c r="CA73" s="12" t="n"/>
      <c r="CB73" s="12" t="n"/>
      <c r="CC73" s="12" t="n"/>
      <c r="CD73" s="12" t="n"/>
      <c r="CE73" s="12" t="n"/>
      <c r="CF73" s="12" t="n"/>
      <c r="CG73" s="12" t="n"/>
      <c r="CH73" s="12" t="n"/>
      <c r="CI73" s="12" t="n"/>
      <c r="CJ73" s="12" t="n"/>
      <c r="CK73" s="12" t="n"/>
      <c r="CL73" s="12" t="n"/>
      <c r="CM73" s="12" t="n"/>
      <c r="CN73" s="12" t="n"/>
      <c r="CO73" s="12" t="n"/>
      <c r="CP73" s="12" t="n"/>
      <c r="CQ73" s="12" t="n"/>
      <c r="CR73" s="12" t="n"/>
      <c r="CS73" s="12" t="n"/>
      <c r="CT73" s="12" t="n"/>
      <c r="CU73" s="12" t="n"/>
      <c r="CV73" s="12" t="n"/>
      <c r="CW73" s="12" t="n"/>
      <c r="CX73" s="12" t="n"/>
      <c r="CY73" s="12" t="n"/>
    </row>
    <row r="74" hidden="1" outlineLevel="1">
      <c r="C74" s="57" t="inlineStr">
        <is>
          <t>Short term debt (Revolving credit facility)</t>
        </is>
      </c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  <c r="AL74" s="12" t="n"/>
      <c r="AM74" s="12" t="n"/>
      <c r="AN74" s="12" t="n"/>
      <c r="AO74" s="12" t="n"/>
      <c r="AP74" s="12" t="n"/>
      <c r="AQ74" s="12" t="n"/>
      <c r="AR74" s="12" t="n"/>
      <c r="AS74" s="12" t="n"/>
      <c r="AT74" s="12" t="n"/>
      <c r="AU74" s="12" t="n"/>
      <c r="AV74" s="12" t="n"/>
      <c r="AW74" s="12" t="n"/>
      <c r="AX74" s="12" t="n"/>
      <c r="AY74" s="12" t="n"/>
      <c r="AZ74" s="12" t="n"/>
      <c r="BA74" s="12" t="n"/>
      <c r="BB74" s="12" t="n"/>
      <c r="BC74" s="12" t="n"/>
      <c r="BD74" s="12" t="n"/>
      <c r="BE74" s="12" t="n"/>
      <c r="BF74" s="12" t="n"/>
      <c r="BG74" s="12" t="n"/>
      <c r="BH74" s="12" t="n"/>
      <c r="BI74" s="12" t="n"/>
      <c r="BJ74" s="12" t="n"/>
      <c r="BK74" s="12" t="n"/>
      <c r="BL74" s="12" t="n"/>
      <c r="BM74" s="12" t="n"/>
      <c r="BN74" s="12" t="n"/>
      <c r="BO74" s="12" t="n"/>
      <c r="BP74" s="12" t="n"/>
      <c r="BQ74" s="12" t="n"/>
      <c r="BR74" s="12" t="n"/>
      <c r="BS74" s="12" t="n"/>
      <c r="BT74" s="12" t="n"/>
      <c r="BU74" s="12" t="n"/>
      <c r="BV74" s="12" t="n"/>
      <c r="BW74" s="12" t="n"/>
      <c r="BX74" s="12" t="n"/>
      <c r="BY74" s="12" t="n"/>
      <c r="BZ74" s="12" t="n"/>
      <c r="CA74" s="12" t="n"/>
      <c r="CB74" s="12" t="n"/>
      <c r="CC74" s="12" t="n"/>
      <c r="CD74" s="12" t="n"/>
      <c r="CE74" s="12" t="n"/>
      <c r="CF74" s="12" t="n"/>
      <c r="CG74" s="12" t="n"/>
      <c r="CH74" s="12" t="n"/>
      <c r="CI74" s="12" t="n"/>
      <c r="CJ74" s="12" t="n"/>
      <c r="CK74" s="12" t="n"/>
      <c r="CL74" s="12" t="n"/>
      <c r="CM74" s="12" t="n"/>
      <c r="CN74" s="12" t="n"/>
      <c r="CO74" s="12" t="n"/>
      <c r="CP74" s="12" t="n"/>
      <c r="CQ74" s="12" t="n"/>
      <c r="CR74" s="12" t="n"/>
      <c r="CS74" s="12" t="n"/>
      <c r="CT74" s="12" t="n"/>
      <c r="CU74" s="12" t="n"/>
      <c r="CV74" s="12" t="n"/>
      <c r="CW74" s="12" t="n"/>
      <c r="CX74" s="12" t="n"/>
      <c r="CY74" s="12" t="n"/>
    </row>
    <row r="75" hidden="1" outlineLevel="1">
      <c r="C75" s="57" t="inlineStr">
        <is>
          <t>Long term debt</t>
        </is>
      </c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/>
      <c r="AQ75" s="12" t="n"/>
      <c r="AR75" s="12" t="n"/>
      <c r="AS75" s="12" t="n"/>
      <c r="AT75" s="12" t="n"/>
      <c r="AU75" s="12" t="n"/>
      <c r="AV75" s="12" t="n"/>
      <c r="AW75" s="12" t="n"/>
      <c r="AX75" s="12" t="n"/>
      <c r="AY75" s="12" t="n"/>
      <c r="AZ75" s="12" t="n"/>
      <c r="BA75" s="12" t="n"/>
      <c r="BB75" s="12" t="n"/>
      <c r="BC75" s="12" t="n"/>
      <c r="BD75" s="12" t="n"/>
      <c r="BE75" s="12" t="n"/>
      <c r="BF75" s="12" t="n"/>
      <c r="BG75" s="12" t="n"/>
      <c r="BH75" s="12" t="n"/>
      <c r="BI75" s="12" t="n"/>
      <c r="BJ75" s="12" t="n"/>
      <c r="BK75" s="12" t="n"/>
      <c r="BL75" s="12" t="n"/>
      <c r="BM75" s="12" t="n"/>
      <c r="BN75" s="12" t="n"/>
      <c r="BO75" s="12" t="n"/>
      <c r="BP75" s="12" t="n"/>
      <c r="BQ75" s="12" t="n"/>
      <c r="BR75" s="12" t="n"/>
      <c r="BS75" s="12" t="n"/>
      <c r="BT75" s="12" t="n"/>
      <c r="BU75" s="12" t="n"/>
      <c r="BV75" s="12" t="n"/>
      <c r="BW75" s="12" t="n"/>
      <c r="BX75" s="12" t="n"/>
      <c r="BY75" s="12" t="n"/>
      <c r="BZ75" s="12" t="n"/>
      <c r="CA75" s="12" t="n"/>
      <c r="CB75" s="12" t="n"/>
      <c r="CC75" s="12" t="n"/>
      <c r="CD75" s="12" t="n"/>
      <c r="CE75" s="12" t="n"/>
      <c r="CF75" s="12" t="n"/>
      <c r="CG75" s="12" t="n"/>
      <c r="CH75" s="12" t="n"/>
      <c r="CI75" s="12" t="n"/>
      <c r="CJ75" s="12" t="n"/>
      <c r="CK75" s="12" t="n"/>
      <c r="CL75" s="12" t="n"/>
      <c r="CM75" s="12" t="n"/>
      <c r="CN75" s="12" t="n"/>
      <c r="CO75" s="12" t="n"/>
      <c r="CP75" s="12" t="n"/>
      <c r="CQ75" s="12" t="n"/>
      <c r="CR75" s="12" t="n"/>
      <c r="CS75" s="12" t="n"/>
      <c r="CT75" s="12" t="n"/>
      <c r="CU75" s="12" t="n"/>
      <c r="CV75" s="12" t="n"/>
      <c r="CW75" s="12" t="n"/>
      <c r="CX75" s="12" t="n"/>
      <c r="CY75" s="12" t="n"/>
    </row>
    <row r="76" hidden="1" outlineLevel="1">
      <c r="C76" s="57" t="inlineStr">
        <is>
          <t>Convertible debt</t>
        </is>
      </c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  <c r="AL76" s="12" t="n"/>
      <c r="AM76" s="12" t="n"/>
      <c r="AN76" s="12" t="n"/>
      <c r="AO76" s="12" t="n"/>
      <c r="AP76" s="12" t="n"/>
      <c r="AQ76" s="12" t="n"/>
      <c r="AR76" s="12" t="n"/>
      <c r="AS76" s="12" t="n"/>
      <c r="AT76" s="12" t="n"/>
      <c r="AU76" s="12" t="n"/>
      <c r="AV76" s="12" t="n"/>
      <c r="AW76" s="12" t="n"/>
      <c r="AX76" s="12" t="n"/>
      <c r="AY76" s="12" t="n"/>
      <c r="AZ76" s="12" t="n"/>
      <c r="BA76" s="12" t="n"/>
      <c r="BB76" s="12" t="n"/>
      <c r="BC76" s="12" t="n"/>
      <c r="BD76" s="12" t="n"/>
      <c r="BE76" s="12" t="n"/>
      <c r="BF76" s="12" t="n"/>
      <c r="BG76" s="12" t="n"/>
      <c r="BH76" s="12" t="n"/>
      <c r="BI76" s="12" t="n"/>
      <c r="BJ76" s="12" t="n"/>
      <c r="BK76" s="12" t="n"/>
      <c r="BL76" s="12" t="n"/>
      <c r="BM76" s="12" t="n"/>
      <c r="BN76" s="12" t="n"/>
      <c r="BO76" s="12" t="n"/>
      <c r="BP76" s="12" t="n"/>
      <c r="BQ76" s="12" t="n"/>
      <c r="BR76" s="12" t="n"/>
      <c r="BS76" s="12" t="n"/>
      <c r="BT76" s="12" t="n"/>
      <c r="BU76" s="12" t="n"/>
      <c r="BV76" s="12" t="n"/>
      <c r="BW76" s="12" t="n"/>
      <c r="BX76" s="12" t="n"/>
      <c r="BY76" s="12" t="n"/>
      <c r="BZ76" s="12" t="n"/>
      <c r="CA76" s="12" t="n"/>
      <c r="CB76" s="12" t="n"/>
      <c r="CC76" s="12" t="n"/>
      <c r="CD76" s="12" t="n"/>
      <c r="CE76" s="12" t="n"/>
      <c r="CF76" s="12" t="n"/>
      <c r="CG76" s="12" t="n"/>
      <c r="CH76" s="12" t="n"/>
      <c r="CI76" s="12" t="n"/>
      <c r="CJ76" s="12" t="n"/>
      <c r="CK76" s="12" t="n"/>
      <c r="CL76" s="12" t="n"/>
      <c r="CM76" s="12" t="n"/>
      <c r="CN76" s="12" t="n"/>
      <c r="CO76" s="12" t="n"/>
      <c r="CP76" s="12" t="n"/>
      <c r="CQ76" s="12" t="n"/>
      <c r="CR76" s="12" t="n"/>
      <c r="CS76" s="12" t="n"/>
      <c r="CT76" s="12" t="n"/>
      <c r="CU76" s="12" t="n"/>
      <c r="CV76" s="12" t="n"/>
      <c r="CW76" s="12" t="n"/>
      <c r="CX76" s="12" t="n"/>
      <c r="CY76" s="12" t="n"/>
    </row>
    <row r="77" hidden="1" outlineLevel="1">
      <c r="C77" s="57" t="inlineStr">
        <is>
          <t>Total debt</t>
        </is>
      </c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2" t="n"/>
      <c r="AZ77" s="12" t="n"/>
      <c r="BA77" s="12" t="n"/>
      <c r="BB77" s="12" t="n"/>
      <c r="BC77" s="12" t="n"/>
      <c r="BD77" s="12" t="n"/>
      <c r="BE77" s="12" t="n"/>
      <c r="BF77" s="12" t="n"/>
      <c r="BG77" s="12" t="n"/>
      <c r="BH77" s="12" t="n"/>
      <c r="BI77" s="12" t="n"/>
      <c r="BJ77" s="12" t="n"/>
      <c r="BK77" s="12" t="n"/>
      <c r="BL77" s="12" t="n"/>
      <c r="BM77" s="12" t="n"/>
      <c r="BN77" s="12" t="n"/>
      <c r="BO77" s="12" t="n"/>
      <c r="BP77" s="12" t="n"/>
      <c r="BQ77" s="12" t="n"/>
      <c r="BR77" s="12" t="n"/>
      <c r="BS77" s="12" t="n"/>
      <c r="BT77" s="12" t="n"/>
      <c r="BU77" s="12" t="n"/>
      <c r="BV77" s="12" t="n"/>
      <c r="BW77" s="12" t="n"/>
      <c r="BX77" s="12" t="n"/>
      <c r="BY77" s="12" t="n"/>
      <c r="BZ77" s="12" t="n"/>
      <c r="CA77" s="12" t="n"/>
      <c r="CB77" s="12" t="n"/>
      <c r="CC77" s="12" t="n"/>
      <c r="CD77" s="12" t="n"/>
      <c r="CE77" s="12" t="n"/>
      <c r="CF77" s="12" t="n"/>
      <c r="CG77" s="12" t="n"/>
      <c r="CH77" s="12" t="n"/>
      <c r="CI77" s="12" t="n"/>
      <c r="CJ77" s="12" t="n"/>
      <c r="CK77" s="12" t="n"/>
      <c r="CL77" s="12" t="n"/>
      <c r="CM77" s="12" t="n"/>
      <c r="CN77" s="12" t="n"/>
      <c r="CO77" s="12" t="n"/>
      <c r="CP77" s="12" t="n"/>
      <c r="CQ77" s="12" t="n"/>
      <c r="CR77" s="12" t="n"/>
      <c r="CS77" s="12" t="n"/>
      <c r="CT77" s="12" t="n"/>
      <c r="CU77" s="12" t="n"/>
      <c r="CV77" s="12" t="n"/>
      <c r="CW77" s="12" t="n"/>
      <c r="CX77" s="12" t="n"/>
      <c r="CY77" s="12" t="n"/>
    </row>
    <row r="78" hidden="1" outlineLevel="1">
      <c r="C78" s="57" t="inlineStr">
        <is>
          <t>Interest expense</t>
        </is>
      </c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  <c r="BM78" s="12" t="n"/>
      <c r="BN78" s="12" t="n"/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  <c r="CR78" s="12" t="n"/>
      <c r="CS78" s="12" t="n"/>
      <c r="CT78" s="12" t="n"/>
      <c r="CU78" s="12" t="n"/>
      <c r="CV78" s="12" t="n"/>
      <c r="CW78" s="12" t="n"/>
      <c r="CX78" s="12" t="n"/>
      <c r="CY78" s="12" t="n"/>
    </row>
    <row r="79" hidden="1" outlineLevel="1">
      <c r="C79" s="57" t="inlineStr">
        <is>
          <t>Average interest rate</t>
        </is>
      </c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12" t="n"/>
      <c r="AY79" s="12" t="n"/>
      <c r="AZ79" s="12" t="n"/>
      <c r="BA79" s="12" t="n"/>
      <c r="BB79" s="12" t="n"/>
      <c r="BC79" s="12" t="n"/>
      <c r="BD79" s="12" t="n"/>
      <c r="BE79" s="12" t="n"/>
      <c r="BF79" s="12" t="n"/>
      <c r="BG79" s="12" t="n"/>
      <c r="BH79" s="12" t="n"/>
      <c r="BI79" s="12" t="n"/>
      <c r="BJ79" s="12" t="n"/>
      <c r="BK79" s="12" t="n"/>
      <c r="BL79" s="12" t="n"/>
      <c r="BM79" s="12" t="n"/>
      <c r="BN79" s="12" t="n"/>
      <c r="BO79" s="12" t="n"/>
      <c r="BP79" s="12" t="n"/>
      <c r="BQ79" s="12" t="n"/>
      <c r="BR79" s="12" t="n"/>
      <c r="BS79" s="12" t="n"/>
      <c r="BT79" s="12" t="n"/>
      <c r="BU79" s="12" t="n"/>
      <c r="BV79" s="12" t="n"/>
      <c r="BW79" s="12" t="n"/>
      <c r="BX79" s="12" t="n"/>
      <c r="BY79" s="12" t="n"/>
      <c r="BZ79" s="12" t="n"/>
      <c r="CA79" s="12" t="n"/>
      <c r="CB79" s="12" t="n"/>
      <c r="CC79" s="12" t="n"/>
      <c r="CD79" s="12" t="n"/>
      <c r="CE79" s="12" t="n"/>
      <c r="CF79" s="12" t="n"/>
      <c r="CG79" s="12" t="n"/>
      <c r="CH79" s="12" t="n"/>
      <c r="CI79" s="12" t="n"/>
      <c r="CJ79" s="12" t="n"/>
      <c r="CK79" s="12" t="n"/>
      <c r="CL79" s="12" t="n"/>
      <c r="CM79" s="12" t="n"/>
      <c r="CN79" s="12" t="n"/>
      <c r="CO79" s="12" t="n"/>
      <c r="CP79" s="12" t="n"/>
      <c r="CQ79" s="12" t="n"/>
      <c r="CR79" s="12" t="n"/>
      <c r="CS79" s="12" t="n"/>
      <c r="CT79" s="12" t="n"/>
      <c r="CU79" s="12" t="n"/>
      <c r="CV79" s="12" t="n"/>
      <c r="CW79" s="12" t="n"/>
      <c r="CX79" s="12" t="n"/>
      <c r="CY79" s="12" t="n"/>
    </row>
    <row r="80" hidden="1" outlineLevel="1">
      <c r="C80" s="57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12" t="n"/>
      <c r="AY80" s="12" t="n"/>
      <c r="AZ80" s="12" t="n"/>
      <c r="BA80" s="12" t="n"/>
      <c r="BB80" s="12" t="n"/>
      <c r="BC80" s="12" t="n"/>
      <c r="BD80" s="12" t="n"/>
      <c r="BE80" s="12" t="n"/>
      <c r="BF80" s="12" t="n"/>
      <c r="BG80" s="12" t="n"/>
      <c r="BH80" s="12" t="n"/>
      <c r="BI80" s="12" t="n"/>
      <c r="BJ80" s="12" t="n"/>
      <c r="BK80" s="12" t="n"/>
      <c r="BL80" s="12" t="n"/>
      <c r="BM80" s="12" t="n"/>
      <c r="BN80" s="12" t="n"/>
      <c r="BO80" s="12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  <c r="CR80" s="12" t="n"/>
      <c r="CS80" s="12" t="n"/>
      <c r="CT80" s="12" t="n"/>
      <c r="CU80" s="12" t="n"/>
      <c r="CV80" s="12" t="n"/>
      <c r="CW80" s="12" t="n"/>
      <c r="CX80" s="12" t="n"/>
      <c r="CY80" s="12" t="n"/>
    </row>
    <row r="81" hidden="1" outlineLevel="1">
      <c r="C81" s="57" t="inlineStr">
        <is>
          <t>Stake</t>
        </is>
      </c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2" t="n"/>
      <c r="AZ81" s="12" t="n"/>
      <c r="BA81" s="12" t="n"/>
      <c r="BB81" s="12" t="n"/>
      <c r="BC81" s="12" t="n"/>
      <c r="BD81" s="12" t="n"/>
      <c r="BE81" s="12" t="n"/>
      <c r="BF81" s="12" t="n"/>
      <c r="BG81" s="12" t="n"/>
      <c r="BH81" s="12" t="n"/>
      <c r="BI81" s="12" t="n"/>
      <c r="BJ81" s="12" t="n"/>
      <c r="BK81" s="12" t="n"/>
      <c r="BL81" s="12" t="n"/>
      <c r="BM81" s="12" t="n"/>
      <c r="BN81" s="12" t="n"/>
      <c r="BO81" s="12" t="n"/>
      <c r="BP81" s="12" t="n"/>
      <c r="BQ81" s="12" t="n"/>
      <c r="BR81" s="12" t="n"/>
      <c r="BS81" s="12" t="n"/>
      <c r="BT81" s="12" t="n"/>
      <c r="BU81" s="12" t="n"/>
      <c r="BV81" s="12" t="n"/>
      <c r="BW81" s="12" t="n"/>
      <c r="BX81" s="12" t="n"/>
      <c r="BY81" s="12" t="n"/>
      <c r="BZ81" s="12" t="n"/>
      <c r="CA81" s="12" t="n"/>
      <c r="CB81" s="12" t="n"/>
      <c r="CC81" s="12" t="n"/>
      <c r="CD81" s="12" t="n"/>
      <c r="CE81" s="12" t="n"/>
      <c r="CF81" s="12" t="n"/>
      <c r="CG81" s="12" t="n"/>
      <c r="CH81" s="12" t="n"/>
      <c r="CI81" s="12" t="n"/>
      <c r="CJ81" s="12" t="n"/>
      <c r="CK81" s="12" t="n"/>
      <c r="CL81" s="12" t="n"/>
      <c r="CM81" s="12" t="n"/>
      <c r="CN81" s="12" t="n"/>
      <c r="CO81" s="12" t="n"/>
      <c r="CP81" s="12" t="n"/>
      <c r="CQ81" s="12" t="n"/>
      <c r="CR81" s="12" t="n"/>
      <c r="CS81" s="12" t="n"/>
      <c r="CT81" s="12" t="n"/>
      <c r="CU81" s="12" t="n"/>
      <c r="CV81" s="12" t="n"/>
      <c r="CW81" s="12" t="n"/>
      <c r="CX81" s="12" t="n"/>
      <c r="CY81" s="12" t="n"/>
    </row>
    <row r="82" hidden="1" outlineLevel="1">
      <c r="C82" s="57" t="inlineStr">
        <is>
          <t>PRE</t>
        </is>
      </c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2" t="n"/>
      <c r="CX82" s="12" t="n"/>
      <c r="CY82" s="12" t="n"/>
    </row>
    <row r="83" hidden="1" outlineLevel="1">
      <c r="C83" s="57" t="inlineStr">
        <is>
          <t>CDI+</t>
        </is>
      </c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  <c r="BM83" s="12" t="n"/>
      <c r="BN83" s="12" t="n"/>
      <c r="BO83" s="12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2" t="n"/>
      <c r="CX83" s="12" t="n"/>
      <c r="CY83" s="12" t="n"/>
    </row>
    <row r="84" hidden="1" outlineLevel="1">
      <c r="C84" s="57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  <c r="BM84" s="12" t="n"/>
      <c r="BN84" s="12" t="n"/>
      <c r="BO84" s="12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2" t="n"/>
      <c r="CX84" s="12" t="n"/>
      <c r="CY84" s="12" t="n"/>
    </row>
    <row r="85" hidden="1" outlineLevel="1">
      <c r="C85" s="57" t="inlineStr">
        <is>
          <t>Spread</t>
        </is>
      </c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  <c r="BJ85" s="12" t="n"/>
      <c r="BK85" s="12" t="n"/>
      <c r="BL85" s="12" t="n"/>
      <c r="BM85" s="12" t="n"/>
      <c r="BN85" s="12" t="n"/>
      <c r="BO85" s="12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n"/>
      <c r="CG85" s="12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  <c r="CR85" s="12" t="n"/>
      <c r="CS85" s="12" t="n"/>
      <c r="CT85" s="12" t="n"/>
      <c r="CU85" s="12" t="n"/>
      <c r="CV85" s="12" t="n"/>
      <c r="CW85" s="12" t="n"/>
      <c r="CX85" s="12" t="n"/>
      <c r="CY85" s="12" t="n"/>
    </row>
    <row r="86" hidden="1" outlineLevel="1">
      <c r="C86" s="57" t="inlineStr">
        <is>
          <t>PRE</t>
        </is>
      </c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  <c r="BJ86" s="12" t="n"/>
      <c r="BK86" s="12" t="n"/>
      <c r="BL86" s="12" t="n"/>
      <c r="BM86" s="12" t="n"/>
      <c r="BN86" s="12" t="n"/>
      <c r="BO86" s="12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2" t="n"/>
      <c r="CX86" s="12" t="n"/>
      <c r="CY86" s="12" t="n"/>
    </row>
    <row r="87" hidden="1" outlineLevel="1">
      <c r="C87" s="57" t="inlineStr">
        <is>
          <t>CDI+</t>
        </is>
      </c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n"/>
      <c r="BH87" s="12" t="n"/>
      <c r="BI87" s="12" t="n"/>
      <c r="BJ87" s="12" t="n"/>
      <c r="BK87" s="12" t="n"/>
      <c r="BL87" s="12" t="n"/>
      <c r="BM87" s="12" t="n"/>
      <c r="BN87" s="12" t="n"/>
      <c r="BO87" s="12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12" t="n"/>
      <c r="CJ87" s="12" t="n"/>
      <c r="CK87" s="12" t="n"/>
      <c r="CL87" s="12" t="n"/>
      <c r="CM87" s="12" t="n"/>
      <c r="CN87" s="12" t="n"/>
      <c r="CO87" s="12" t="n"/>
      <c r="CP87" s="12" t="n"/>
      <c r="CQ87" s="12" t="n"/>
      <c r="CR87" s="12" t="n"/>
      <c r="CS87" s="12" t="n"/>
      <c r="CT87" s="12" t="n"/>
      <c r="CU87" s="12" t="n"/>
      <c r="CV87" s="12" t="n"/>
      <c r="CW87" s="12" t="n"/>
      <c r="CX87" s="12" t="n"/>
      <c r="CY87" s="12" t="n"/>
    </row>
    <row r="88" hidden="1" outlineLevel="1">
      <c r="C88" s="57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  <c r="BJ88" s="12" t="n"/>
      <c r="BK88" s="12" t="n"/>
      <c r="BL88" s="12" t="n"/>
      <c r="BM88" s="12" t="n"/>
      <c r="BN88" s="12" t="n"/>
      <c r="BO88" s="12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  <c r="CN88" s="12" t="n"/>
      <c r="CO88" s="12" t="n"/>
      <c r="CP88" s="12" t="n"/>
      <c r="CQ88" s="12" t="n"/>
      <c r="CR88" s="12" t="n"/>
      <c r="CS88" s="12" t="n"/>
      <c r="CT88" s="12" t="n"/>
      <c r="CU88" s="12" t="n"/>
      <c r="CV88" s="12" t="n"/>
      <c r="CW88" s="12" t="n"/>
      <c r="CX88" s="12" t="n"/>
      <c r="CY88" s="12" t="n"/>
    </row>
    <row r="89" hidden="1" outlineLevel="1">
      <c r="C89" s="57" t="inlineStr">
        <is>
          <t>RECEITAS FINANCEIRAS - Rendimentos de aplicações financeiras</t>
        </is>
      </c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  <c r="BJ89" s="12" t="n"/>
      <c r="BK89" s="12" t="n"/>
      <c r="BL89" s="12" t="n"/>
      <c r="BM89" s="12" t="n"/>
      <c r="BN89" s="12" t="n"/>
      <c r="BO89" s="12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2" t="n"/>
      <c r="CX89" s="12" t="n"/>
      <c r="CY89" s="12" t="n"/>
    </row>
    <row r="90" hidden="1" outlineLevel="1">
      <c r="C90" s="57" t="inlineStr">
        <is>
          <t>RECEITAS FINANCEIRAS - Variação cambial ativa</t>
        </is>
      </c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  <c r="BM90" s="12" t="n"/>
      <c r="BN90" s="12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2" t="n"/>
      <c r="CX90" s="12" t="n"/>
      <c r="CY90" s="12" t="n"/>
    </row>
    <row r="91" hidden="1" outlineLevel="1">
      <c r="C91" s="57" t="inlineStr">
        <is>
          <t>RECEITAS FINANCEIRAS - Atualização de contas a pagar por aquisição de empresas</t>
        </is>
      </c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  <c r="BJ91" s="12" t="n"/>
      <c r="BK91" s="12" t="n"/>
      <c r="BL91" s="12" t="n"/>
      <c r="BM91" s="12" t="n"/>
      <c r="BN91" s="12" t="n"/>
      <c r="BO91" s="12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2" t="n"/>
      <c r="CX91" s="12" t="n"/>
      <c r="CY91" s="12" t="n"/>
    </row>
    <row r="92" hidden="1" outlineLevel="1">
      <c r="C92" s="57" t="inlineStr">
        <is>
          <t>RECEITAS FINANCEIRAS - Resultado positivo com instrumentos derivativos</t>
        </is>
      </c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  <c r="BN92" s="12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2" t="n"/>
      <c r="CX92" s="12" t="n"/>
      <c r="CY92" s="12" t="n"/>
    </row>
    <row r="93" hidden="1" outlineLevel="1">
      <c r="C93" s="57" t="inlineStr">
        <is>
          <t>RECEITAS FINANCEIRAS - Descontos obtidos de fornecedores por antecipação</t>
        </is>
      </c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  <c r="BM93" s="12" t="n"/>
      <c r="BN93" s="12" t="n"/>
      <c r="BO93" s="12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  <c r="CR93" s="12" t="n"/>
      <c r="CS93" s="12" t="n"/>
      <c r="CT93" s="12" t="n"/>
      <c r="CU93" s="12" t="n"/>
      <c r="CV93" s="12" t="n"/>
      <c r="CW93" s="12" t="n"/>
      <c r="CX93" s="12" t="n"/>
      <c r="CY93" s="12" t="n"/>
    </row>
    <row r="94" hidden="1" outlineLevel="1">
      <c r="C94" s="57" t="inlineStr">
        <is>
          <t>RECEITAS FINANCEIRAS - Atualização monetária sobre Exclusão ICMS da base de PIS/COFINS (nota explicativa nº 7)</t>
        </is>
      </c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  <c r="BN94" s="12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  <c r="CR94" s="12" t="n"/>
      <c r="CS94" s="12" t="n"/>
      <c r="CT94" s="12" t="n"/>
      <c r="CU94" s="12" t="n"/>
      <c r="CV94" s="12" t="n"/>
      <c r="CW94" s="12" t="n"/>
      <c r="CX94" s="12" t="n"/>
      <c r="CY94" s="12" t="n"/>
    </row>
    <row r="95" hidden="1" outlineLevel="1">
      <c r="C95" s="57" t="inlineStr">
        <is>
          <t>RECEITAS FINANCEIRAS - Outras</t>
        </is>
      </c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  <c r="BM95" s="12" t="n"/>
      <c r="BN95" s="12" t="n"/>
      <c r="BO95" s="12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  <c r="CR95" s="12" t="n"/>
      <c r="CS95" s="12" t="n"/>
      <c r="CT95" s="12" t="n"/>
      <c r="CU95" s="12" t="n"/>
      <c r="CV95" s="12" t="n"/>
      <c r="CW95" s="12" t="n"/>
      <c r="CX95" s="12" t="n"/>
      <c r="CY95" s="12" t="n"/>
    </row>
    <row r="96" hidden="1" outlineLevel="1">
      <c r="C96" s="57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  <c r="BN96" s="12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2" t="n"/>
      <c r="CX96" s="12" t="n"/>
      <c r="CY96" s="12" t="n"/>
    </row>
    <row r="97" hidden="1" outlineLevel="1">
      <c r="C97" s="57" t="inlineStr">
        <is>
          <t>DESPESAS FINANCEIRAS - Encargos sobre empréstimos, financiamentos e debêntures</t>
        </is>
      </c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  <c r="BJ97" s="12" t="n"/>
      <c r="BK97" s="12" t="n"/>
      <c r="BL97" s="12" t="n"/>
      <c r="BM97" s="12" t="n"/>
      <c r="BN97" s="12" t="n"/>
      <c r="BO97" s="12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12" t="n"/>
      <c r="CT97" s="12" t="n"/>
      <c r="CU97" s="12" t="n"/>
      <c r="CV97" s="12" t="n"/>
      <c r="CW97" s="12" t="n"/>
      <c r="CX97" s="12" t="n"/>
      <c r="CY97" s="12" t="n"/>
    </row>
    <row r="98" hidden="1" outlineLevel="1">
      <c r="C98" s="57" t="inlineStr">
        <is>
          <t>DESPESAS FINANCEIRAS - Variação cambial passiva</t>
        </is>
      </c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  <c r="BM98" s="12" t="n"/>
      <c r="BN98" s="12" t="n"/>
      <c r="BO98" s="12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n"/>
      <c r="CS98" s="12" t="n"/>
      <c r="CT98" s="12" t="n"/>
      <c r="CU98" s="12" t="n"/>
      <c r="CV98" s="12" t="n"/>
      <c r="CW98" s="12" t="n"/>
      <c r="CX98" s="12" t="n"/>
      <c r="CY98" s="12" t="n"/>
    </row>
    <row r="99" hidden="1" outlineLevel="1">
      <c r="C99" s="57" t="inlineStr">
        <is>
          <t>DESPESAS FINANCEIRAS - Resultado negativo com instrumentos derivativos</t>
        </is>
      </c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  <c r="BN99" s="12" t="n"/>
      <c r="BO99" s="12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n"/>
      <c r="CU99" s="12" t="n"/>
      <c r="CV99" s="12" t="n"/>
      <c r="CW99" s="12" t="n"/>
      <c r="CX99" s="12" t="n"/>
      <c r="CY99" s="12" t="n"/>
    </row>
    <row r="100" hidden="1" outlineLevel="1">
      <c r="C100" s="57" t="inlineStr">
        <is>
          <t>DESPESAS FINANCEIRAS - Juros sobre arrendamento - IFRS16</t>
        </is>
      </c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  <c r="BM100" s="12" t="n"/>
      <c r="BN100" s="12" t="n"/>
      <c r="BO100" s="12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n"/>
      <c r="CS100" s="12" t="n"/>
      <c r="CT100" s="12" t="n"/>
      <c r="CU100" s="12" t="n"/>
      <c r="CV100" s="12" t="n"/>
      <c r="CW100" s="12" t="n"/>
      <c r="CX100" s="12" t="n"/>
      <c r="CY100" s="12" t="n"/>
    </row>
    <row r="101" hidden="1" outlineLevel="1">
      <c r="C101" s="57" t="inlineStr">
        <is>
          <t>DESPESAS FINANCEIRAS - Despesas bancárias</t>
        </is>
      </c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  <c r="BM101" s="12" t="n"/>
      <c r="BN101" s="12" t="n"/>
      <c r="BO101" s="12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12" t="n"/>
      <c r="CX101" s="12" t="n"/>
      <c r="CY101" s="12" t="n"/>
    </row>
    <row r="102" hidden="1" outlineLevel="1">
      <c r="C102" s="57" t="inlineStr">
        <is>
          <t>DESPESAS FINANCEIRAS - Despesas com obtenção de empréstimos e financiamentos</t>
        </is>
      </c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2" t="n"/>
      <c r="CX102" s="12" t="n"/>
      <c r="CY102" s="12" t="n"/>
    </row>
    <row r="103" hidden="1" outlineLevel="1">
      <c r="C103" s="57" t="inlineStr">
        <is>
          <t>DESPESAS FINANCEIRAS - Atualização de contas a pagar por aquisição de empresas</t>
        </is>
      </c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  <c r="BM103" s="12" t="n"/>
      <c r="BN103" s="12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2" t="n"/>
      <c r="CX103" s="12" t="n"/>
      <c r="CY103" s="12" t="n"/>
    </row>
    <row r="104" hidden="1" outlineLevel="1">
      <c r="C104" s="57" t="inlineStr">
        <is>
          <t>DESPESAS FINANCEIRAS - Outras</t>
        </is>
      </c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  <c r="BJ104" s="12" t="n"/>
      <c r="BK104" s="12" t="n"/>
      <c r="BL104" s="12" t="n"/>
      <c r="BM104" s="12" t="n"/>
      <c r="BN104" s="12" t="n"/>
      <c r="BO104" s="12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  <c r="CN104" s="12" t="n"/>
      <c r="CO104" s="12" t="n"/>
      <c r="CP104" s="12" t="n"/>
      <c r="CQ104" s="12" t="n"/>
      <c r="CR104" s="12" t="n"/>
      <c r="CS104" s="12" t="n"/>
      <c r="CT104" s="12" t="n"/>
      <c r="CU104" s="12" t="n"/>
      <c r="CV104" s="12" t="n"/>
      <c r="CW104" s="12" t="n"/>
      <c r="CX104" s="12" t="n"/>
      <c r="CY104" s="12" t="n"/>
    </row>
    <row r="105" hidden="1" outlineLevel="1">
      <c r="C105" s="57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  <c r="BJ105" s="12" t="n"/>
      <c r="BK105" s="12" t="n"/>
      <c r="BL105" s="12" t="n"/>
      <c r="BM105" s="12" t="n"/>
      <c r="BN105" s="12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2" t="n"/>
      <c r="CX105" s="12" t="n"/>
      <c r="CY105" s="12" t="n"/>
    </row>
    <row r="106" hidden="1" outlineLevel="1">
      <c r="C106" s="57" t="inlineStr">
        <is>
          <t>CHECK [EX IFRS-16]</t>
        </is>
      </c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2" t="n"/>
      <c r="AZ106" s="12" t="n"/>
      <c r="BA106" s="12" t="n"/>
      <c r="BB106" s="12" t="n"/>
      <c r="BC106" s="12" t="n"/>
      <c r="BD106" s="12" t="n"/>
      <c r="BE106" s="12" t="n"/>
      <c r="BF106" s="12" t="n"/>
      <c r="BG106" s="12" t="n"/>
      <c r="BH106" s="12" t="n"/>
      <c r="BI106" s="12" t="n"/>
      <c r="BJ106" s="12" t="n"/>
      <c r="BK106" s="12" t="n"/>
      <c r="BL106" s="12" t="n"/>
      <c r="BM106" s="12" t="n"/>
      <c r="BN106" s="12" t="n"/>
      <c r="BO106" s="12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  <c r="CN106" s="12" t="n"/>
      <c r="CO106" s="12" t="n"/>
      <c r="CP106" s="12" t="n"/>
      <c r="CQ106" s="12" t="n"/>
      <c r="CR106" s="12" t="n"/>
      <c r="CS106" s="12" t="n"/>
      <c r="CT106" s="12" t="n"/>
      <c r="CU106" s="12" t="n"/>
      <c r="CV106" s="12" t="n"/>
      <c r="CW106" s="12" t="n"/>
      <c r="CX106" s="12" t="n"/>
      <c r="CY106" s="12" t="n"/>
    </row>
    <row r="107" hidden="1" outlineLevel="1">
      <c r="C107" s="57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  <c r="BM107" s="12" t="n"/>
      <c r="BN107" s="12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2" t="n"/>
      <c r="CX107" s="12" t="n"/>
      <c r="CY107" s="12" t="n"/>
    </row>
    <row r="108" collapsed="1">
      <c r="C108" s="14" t="inlineStr">
        <is>
          <t>Nonoperating Income / (Loss)</t>
        </is>
      </c>
      <c r="D108" s="46" t="n"/>
      <c r="E108" s="46" t="n"/>
      <c r="F108" s="46" t="n"/>
      <c r="G108" s="46" t="n"/>
      <c r="H108" s="12" t="n"/>
      <c r="I108" s="46">
        <f>'Inputs (2)'!D9</f>
        <v>673</v>
      </c>
      <c r="J108" s="46">
        <f>'Inputs (2)'!E9</f>
        <v>733</v>
      </c>
      <c r="K108" s="46">
        <f>'Inputs (2)'!F9</f>
        <v>352</v>
      </c>
      <c r="L108" s="46">
        <f>'Inputs (2)'!G9</f>
        <v>1066</v>
      </c>
      <c r="M108" s="12">
        <f>'Inputs (2)'!H9</f>
        <v>2824</v>
      </c>
      <c r="N108" s="46">
        <f>'Inputs (2)'!I9</f>
        <v>49</v>
      </c>
      <c r="O108" s="46">
        <f>'Inputs (2)'!J9</f>
        <v>-1227</v>
      </c>
      <c r="P108" s="46">
        <f>'Inputs (2)'!K9</f>
        <v>178</v>
      </c>
      <c r="Q108" s="46">
        <f>'Inputs (2)'!L9</f>
        <v>7131</v>
      </c>
      <c r="R108" s="12">
        <f>'Inputs (2)'!M9</f>
        <v>6131</v>
      </c>
      <c r="S108" s="46">
        <f>'Inputs (2)'!N9</f>
        <v>12731</v>
      </c>
      <c r="T108" s="46">
        <f>'Inputs (2)'!O9</f>
        <v>496</v>
      </c>
      <c r="U108" s="46">
        <f>'Inputs (2)'!P9</f>
        <v>-845</v>
      </c>
      <c r="V108" s="46">
        <f>'Inputs (2)'!Q9</f>
        <v>10995</v>
      </c>
      <c r="W108" s="12">
        <f>'Inputs (2)'!R9</f>
        <v>23377</v>
      </c>
      <c r="X108" s="46">
        <f>'Inputs (2)'!S9</f>
        <v>1006</v>
      </c>
      <c r="Y108" s="46">
        <f>'Inputs (2)'!T9</f>
        <v>-63</v>
      </c>
      <c r="Z108" s="46">
        <f>'Inputs (2)'!U9</f>
        <v>1021</v>
      </c>
      <c r="AA108" s="46">
        <f>'Inputs (2)'!V9</f>
        <v>298</v>
      </c>
      <c r="AB108" s="12">
        <f>'Inputs (2)'!W9</f>
        <v>2262</v>
      </c>
      <c r="AC108" s="46">
        <f>'Inputs (2)'!X9</f>
        <v>302</v>
      </c>
      <c r="AD108" s="46">
        <f>'Inputs (2)'!Y9</f>
        <v>298</v>
      </c>
      <c r="AE108" s="46">
        <f>'Inputs (2)'!Z9</f>
        <v>285</v>
      </c>
      <c r="AF108" s="46">
        <f>'Inputs (2)'!AA9</f>
        <v>602</v>
      </c>
      <c r="AG108" s="12">
        <f>'Inputs (2)'!AB9</f>
        <v>1487</v>
      </c>
      <c r="AH108" s="12">
        <f>'Inputs (2)'!AC9</f>
        <v>-16</v>
      </c>
      <c r="AI108" s="12">
        <f>'Inputs (2)'!AD9</f>
        <v>312</v>
      </c>
      <c r="AJ108" s="12">
        <f>AJ15*Control!$B$23</f>
        <v>363.69883731325</v>
      </c>
      <c r="AK108" s="12">
        <f>AK15*Control!$B$23</f>
        <v>379.702661038716</v>
      </c>
      <c r="AL108" s="12">
        <f>SUM(AH108:AK108)</f>
        <v>1039.40149835197</v>
      </c>
      <c r="AM108" s="12">
        <f>AM15*Control!$C$23</f>
        <v>369.998850011148</v>
      </c>
      <c r="AN108" s="12">
        <f>AN15*Control!$C$23</f>
        <v>398.572841252325</v>
      </c>
      <c r="AO108" s="12">
        <f>AO15*Control!$C$23</f>
        <v>436.058106118795</v>
      </c>
      <c r="AP108" s="12">
        <f>AP15*Control!$C$23</f>
        <v>455.245951523908</v>
      </c>
      <c r="AQ108" s="12">
        <f>SUM(AM108:AP108)</f>
        <v>1659.87574890618</v>
      </c>
      <c r="AR108" s="12">
        <f>AR15*Control!$D$23</f>
        <v>441.76153608605</v>
      </c>
      <c r="AS108" s="12">
        <f>AS15*Control!$D$23</f>
        <v>475.87756175054</v>
      </c>
      <c r="AT108" s="12">
        <f>AT15*Control!$D$23</f>
        <v>520.633236497921</v>
      </c>
      <c r="AU108" s="12">
        <f>AU15*Control!$D$23</f>
        <v>543.542637594948</v>
      </c>
      <c r="AV108" s="12">
        <f>SUM(AR108:AU108)</f>
        <v>1981.81497192946</v>
      </c>
      <c r="AW108" s="12">
        <f>AW15*Control!$E$23</f>
        <v>525.234060748017</v>
      </c>
      <c r="AX108" s="12">
        <f>AX15*Control!$E$23</f>
        <v>565.796439390355</v>
      </c>
      <c r="AY108" s="12">
        <f>AY15*Control!$E$23</f>
        <v>619.008869330172</v>
      </c>
      <c r="AZ108" s="12">
        <f>AZ15*Control!$E$23</f>
        <v>646.247089013365</v>
      </c>
      <c r="BA108" s="12">
        <f>SUM(AW108:AZ108)</f>
        <v>2356.28645848191</v>
      </c>
      <c r="BB108" s="12">
        <f>BB15*Control!$F$23</f>
        <v>621.852866540507</v>
      </c>
      <c r="BC108" s="12">
        <f>BC15*Control!$F$23</f>
        <v>669.87684921314</v>
      </c>
      <c r="BD108" s="12">
        <f>BD15*Control!$F$23</f>
        <v>732.877908296275</v>
      </c>
      <c r="BE108" s="12">
        <f>BE15*Control!$F$23</f>
        <v>765.126702225083</v>
      </c>
      <c r="BF108" s="12">
        <f>SUM(BB108:BE108)</f>
        <v>2789.734326275</v>
      </c>
      <c r="BG108" s="12" t="n"/>
      <c r="BH108" s="12" t="n"/>
      <c r="BI108" s="12" t="n"/>
      <c r="BJ108" s="12" t="n"/>
      <c r="BK108" s="12" t="n"/>
      <c r="BL108" s="12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2" t="n"/>
      <c r="CX108" s="12" t="n"/>
      <c r="CY108" s="12" t="n"/>
    </row>
    <row r="109" hidden="1" outlineLevel="1">
      <c r="C109" s="57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  <c r="BG109" s="12" t="n"/>
      <c r="BH109" s="12" t="n"/>
      <c r="BI109" s="12" t="n"/>
      <c r="BJ109" s="12" t="n"/>
      <c r="BK109" s="12" t="n"/>
      <c r="BL109" s="12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2" t="n"/>
      <c r="CX109" s="12" t="n"/>
      <c r="CY109" s="12" t="n"/>
    </row>
    <row r="110" hidden="1" outlineLevel="1">
      <c r="C110" s="50" t="inlineStr">
        <is>
          <t>Resultado Não Recorrente</t>
        </is>
      </c>
      <c r="D110" s="11" t="n"/>
      <c r="E110" s="11" t="n"/>
      <c r="F110" s="11" t="n"/>
      <c r="G110" s="11" t="n"/>
      <c r="H110" s="12" t="n"/>
      <c r="I110" s="11" t="n"/>
      <c r="J110" s="11" t="n"/>
      <c r="K110" s="11" t="n"/>
      <c r="L110" s="11" t="n"/>
      <c r="M110" s="12" t="n"/>
      <c r="N110" s="11" t="n"/>
      <c r="O110" s="11" t="n"/>
      <c r="P110" s="11" t="n"/>
      <c r="Q110" s="11" t="n"/>
      <c r="R110" s="12" t="n"/>
      <c r="S110" s="11" t="n"/>
      <c r="T110" s="11" t="n"/>
      <c r="U110" s="11" t="n"/>
      <c r="V110" s="11" t="n"/>
      <c r="W110" s="12" t="n"/>
      <c r="X110" s="11" t="n"/>
      <c r="Y110" s="11" t="n"/>
      <c r="Z110" s="11" t="n"/>
      <c r="AA110" s="11" t="n"/>
      <c r="AB110" s="12" t="n"/>
      <c r="AC110" s="11" t="n"/>
      <c r="AD110" s="11" t="n"/>
      <c r="AE110" s="11" t="n"/>
      <c r="AF110" s="11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  <c r="BJ110" s="12" t="n"/>
      <c r="BK110" s="12" t="n"/>
      <c r="BL110" s="12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  <c r="CR110" s="12" t="n"/>
      <c r="CS110" s="12" t="n"/>
      <c r="CT110" s="12" t="n"/>
      <c r="CU110" s="12" t="n"/>
      <c r="CV110" s="12" t="n"/>
      <c r="CW110" s="12" t="n"/>
      <c r="CX110" s="12" t="n"/>
      <c r="CY110" s="12" t="n"/>
    </row>
    <row r="111" hidden="1" outlineLevel="1">
      <c r="C111" s="50" t="inlineStr">
        <is>
          <t>Plano de Opção de Compra de Ações</t>
        </is>
      </c>
      <c r="D111" s="11" t="n"/>
      <c r="E111" s="11" t="n"/>
      <c r="F111" s="11" t="n"/>
      <c r="G111" s="11" t="n"/>
      <c r="H111" s="12" t="n"/>
      <c r="I111" s="11" t="n"/>
      <c r="J111" s="11" t="n"/>
      <c r="K111" s="11" t="n"/>
      <c r="L111" s="11" t="n"/>
      <c r="M111" s="12" t="n"/>
      <c r="N111" s="11" t="n"/>
      <c r="O111" s="11" t="n"/>
      <c r="P111" s="11" t="n"/>
      <c r="Q111" s="11" t="n"/>
      <c r="R111" s="12" t="n"/>
      <c r="S111" s="11" t="n"/>
      <c r="T111" s="11" t="n"/>
      <c r="U111" s="11" t="n"/>
      <c r="V111" s="11" t="n"/>
      <c r="W111" s="12" t="n"/>
      <c r="X111" s="11" t="n"/>
      <c r="Y111" s="11" t="n"/>
      <c r="Z111" s="11" t="n"/>
      <c r="AA111" s="11" t="n"/>
      <c r="AB111" s="12" t="n"/>
      <c r="AC111" s="11" t="n"/>
      <c r="AD111" s="11" t="n"/>
      <c r="AE111" s="11" t="n"/>
      <c r="AF111" s="11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12" t="n"/>
      <c r="AY111" s="12" t="n"/>
      <c r="AZ111" s="12" t="n"/>
      <c r="BA111" s="12" t="n"/>
      <c r="BB111" s="12" t="n"/>
      <c r="BC111" s="12" t="n"/>
      <c r="BD111" s="12" t="n"/>
      <c r="BE111" s="12" t="n"/>
      <c r="BF111" s="12" t="n"/>
      <c r="BG111" s="12" t="n"/>
      <c r="BH111" s="12" t="n"/>
      <c r="BI111" s="12" t="n"/>
      <c r="BJ111" s="12" t="n"/>
      <c r="BK111" s="12" t="n"/>
      <c r="BL111" s="12" t="n"/>
      <c r="BM111" s="12" t="n"/>
      <c r="BN111" s="12" t="n"/>
      <c r="BO111" s="12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  <c r="CA111" s="12" t="n"/>
      <c r="CB111" s="12" t="n"/>
      <c r="CC111" s="12" t="n"/>
      <c r="CD111" s="12" t="n"/>
      <c r="CE111" s="12" t="n"/>
      <c r="CF111" s="12" t="n"/>
      <c r="CG111" s="12" t="n"/>
      <c r="CH111" s="12" t="n"/>
      <c r="CI111" s="12" t="n"/>
      <c r="CJ111" s="12" t="n"/>
      <c r="CK111" s="12" t="n"/>
      <c r="CL111" s="12" t="n"/>
      <c r="CM111" s="12" t="n"/>
      <c r="CN111" s="12" t="n"/>
      <c r="CO111" s="12" t="n"/>
      <c r="CP111" s="12" t="n"/>
      <c r="CQ111" s="12" t="n"/>
      <c r="CR111" s="12" t="n"/>
      <c r="CS111" s="12" t="n"/>
      <c r="CT111" s="12" t="n"/>
      <c r="CU111" s="12" t="n"/>
      <c r="CV111" s="12" t="n"/>
      <c r="CW111" s="12" t="n"/>
      <c r="CX111" s="12" t="n"/>
      <c r="CY111" s="12" t="n"/>
    </row>
    <row r="112" hidden="1" outlineLevel="1">
      <c r="C112" s="50" t="inlineStr">
        <is>
          <t>Baixa Imobilizado</t>
        </is>
      </c>
      <c r="D112" s="11" t="n"/>
      <c r="E112" s="11" t="n"/>
      <c r="F112" s="11" t="n"/>
      <c r="G112" s="11" t="n"/>
      <c r="H112" s="12" t="n"/>
      <c r="I112" s="11" t="n"/>
      <c r="J112" s="11" t="n"/>
      <c r="K112" s="11" t="n"/>
      <c r="L112" s="11" t="n"/>
      <c r="M112" s="12" t="n"/>
      <c r="N112" s="11" t="n"/>
      <c r="O112" s="11" t="n"/>
      <c r="P112" s="11" t="n"/>
      <c r="Q112" s="11" t="n"/>
      <c r="R112" s="12" t="n"/>
      <c r="S112" s="11" t="n"/>
      <c r="T112" s="11" t="n"/>
      <c r="U112" s="11" t="n"/>
      <c r="V112" s="11" t="n"/>
      <c r="W112" s="12" t="n"/>
      <c r="X112" s="11" t="n"/>
      <c r="Y112" s="11" t="n"/>
      <c r="Z112" s="11" t="n"/>
      <c r="AA112" s="11" t="n"/>
      <c r="AB112" s="12" t="n"/>
      <c r="AC112" s="11" t="n"/>
      <c r="AD112" s="11" t="n"/>
      <c r="AE112" s="11" t="n"/>
      <c r="AF112" s="11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  <c r="BG112" s="12" t="n"/>
      <c r="BH112" s="12" t="n"/>
      <c r="BI112" s="12" t="n"/>
      <c r="BJ112" s="12" t="n"/>
      <c r="BK112" s="12" t="n"/>
      <c r="BL112" s="12" t="n"/>
      <c r="BM112" s="12" t="n"/>
      <c r="BN112" s="12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  <c r="CR112" s="12" t="n"/>
      <c r="CS112" s="12" t="n"/>
      <c r="CT112" s="12" t="n"/>
      <c r="CU112" s="12" t="n"/>
      <c r="CV112" s="12" t="n"/>
      <c r="CW112" s="12" t="n"/>
      <c r="CX112" s="12" t="n"/>
      <c r="CY112" s="12" t="n"/>
    </row>
    <row r="113" hidden="1" outlineLevel="1">
      <c r="C113" s="57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  <c r="BE113" s="12" t="n"/>
      <c r="BF113" s="12" t="n"/>
      <c r="BG113" s="12" t="n"/>
      <c r="BH113" s="12" t="n"/>
      <c r="BI113" s="12" t="n"/>
      <c r="BJ113" s="12" t="n"/>
      <c r="BK113" s="12" t="n"/>
      <c r="BL113" s="12" t="n"/>
      <c r="BM113" s="12" t="n"/>
      <c r="BN113" s="12" t="n"/>
      <c r="BO113" s="12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  <c r="CA113" s="12" t="n"/>
      <c r="CB113" s="12" t="n"/>
      <c r="CC113" s="12" t="n"/>
      <c r="CD113" s="12" t="n"/>
      <c r="CE113" s="12" t="n"/>
      <c r="CF113" s="12" t="n"/>
      <c r="CG113" s="12" t="n"/>
      <c r="CH113" s="12" t="n"/>
      <c r="CI113" s="12" t="n"/>
      <c r="CJ113" s="12" t="n"/>
      <c r="CK113" s="12" t="n"/>
      <c r="CL113" s="12" t="n"/>
      <c r="CM113" s="12" t="n"/>
      <c r="CN113" s="12" t="n"/>
      <c r="CO113" s="12" t="n"/>
      <c r="CP113" s="12" t="n"/>
      <c r="CQ113" s="12" t="n"/>
      <c r="CR113" s="12" t="n"/>
      <c r="CS113" s="12" t="n"/>
      <c r="CT113" s="12" t="n"/>
      <c r="CU113" s="12" t="n"/>
      <c r="CV113" s="12" t="n"/>
      <c r="CW113" s="12" t="n"/>
      <c r="CX113" s="12" t="n"/>
      <c r="CY113" s="12" t="n"/>
    </row>
    <row r="114" hidden="1" outlineLevel="1">
      <c r="C114" s="57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2" t="n"/>
      <c r="AZ114" s="12" t="n"/>
      <c r="BA114" s="12" t="n"/>
      <c r="BB114" s="12" t="n"/>
      <c r="BC114" s="12" t="n"/>
      <c r="BD114" s="12" t="n"/>
      <c r="BE114" s="12" t="n"/>
      <c r="BF114" s="12" t="n"/>
      <c r="BG114" s="12" t="n"/>
      <c r="BH114" s="12" t="n"/>
      <c r="BI114" s="12" t="n"/>
      <c r="BJ114" s="12" t="n"/>
      <c r="BK114" s="12" t="n"/>
      <c r="BL114" s="12" t="n"/>
      <c r="BM114" s="12" t="n"/>
      <c r="BN114" s="12" t="n"/>
      <c r="BO114" s="12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2" t="n"/>
      <c r="CF114" s="12" t="n"/>
      <c r="CG114" s="12" t="n"/>
      <c r="CH114" s="12" t="n"/>
      <c r="CI114" s="12" t="n"/>
      <c r="CJ114" s="12" t="n"/>
      <c r="CK114" s="12" t="n"/>
      <c r="CL114" s="12" t="n"/>
      <c r="CM114" s="12" t="n"/>
      <c r="CN114" s="12" t="n"/>
      <c r="CO114" s="12" t="n"/>
      <c r="CP114" s="12" t="n"/>
      <c r="CQ114" s="12" t="n"/>
      <c r="CR114" s="12" t="n"/>
      <c r="CS114" s="12" t="n"/>
      <c r="CT114" s="12" t="n"/>
      <c r="CU114" s="12" t="n"/>
      <c r="CV114" s="12" t="n"/>
      <c r="CW114" s="12" t="n"/>
      <c r="CX114" s="12" t="n"/>
      <c r="CY114" s="12" t="n"/>
    </row>
    <row r="115" collapsed="1" customFormat="1" s="32">
      <c r="A115" s="30" t="n"/>
      <c r="B115" s="3" t="n"/>
      <c r="C115" s="33" t="inlineStr">
        <is>
          <t>Pretax Income - EBT</t>
        </is>
      </c>
      <c r="D115" s="35" t="n"/>
      <c r="E115" s="35" t="n"/>
      <c r="F115" s="35" t="n"/>
      <c r="G115" s="35" t="n"/>
      <c r="H115" s="35" t="n"/>
      <c r="I115" s="35">
        <f>SUM(I58,I59,I108)</f>
        <v>238</v>
      </c>
      <c r="J115" s="35">
        <f>SUM(J58,J59,J108)</f>
        <v>-1037</v>
      </c>
      <c r="K115" s="35">
        <f>SUM(K58,K59,K108)</f>
        <v>584</v>
      </c>
      <c r="L115" s="35">
        <f>SUM(L58,L59,L108)</f>
        <v>-3467</v>
      </c>
      <c r="M115" s="35">
        <f>SUM(I115:L115)</f>
        <v>-3682</v>
      </c>
      <c r="N115" s="35">
        <f>SUM(N58,N59,N108)</f>
        <v>-1180</v>
      </c>
      <c r="O115" s="35">
        <f>SUM(O58,O59,O108)</f>
        <v>-966</v>
      </c>
      <c r="P115" s="35">
        <f>SUM(P58,P59,P108)</f>
        <v>-232</v>
      </c>
      <c r="Q115" s="35">
        <f>SUM(Q58,Q59,Q108)</f>
        <v>2237</v>
      </c>
      <c r="R115" s="35">
        <f>SUM(N115:Q115)</f>
        <v>-141</v>
      </c>
      <c r="S115" s="35">
        <f>SUM(S58,S59,S108)</f>
        <v>6492</v>
      </c>
      <c r="T115" s="35">
        <f>SUM(T58,T59,T108)</f>
        <v>1509</v>
      </c>
      <c r="U115" s="35">
        <f>SUM(U58,U59,U108)</f>
        <v>333</v>
      </c>
      <c r="V115" s="35">
        <f>SUM(V58,V59,V108)</f>
        <v>2009</v>
      </c>
      <c r="W115" s="35">
        <f>SUM(S115:V115)</f>
        <v>10343</v>
      </c>
      <c r="X115" s="35">
        <f>SUM(X58,X59,X108)</f>
        <v>1987</v>
      </c>
      <c r="Y115" s="35">
        <f>SUM(Y58,Y59,Y108)</f>
        <v>1447</v>
      </c>
      <c r="Z115" s="35">
        <f>SUM(Z58,Z59,Z108)</f>
        <v>1893</v>
      </c>
      <c r="AA115" s="35">
        <f>SUM(AA58,AA59,AA108)</f>
        <v>2293</v>
      </c>
      <c r="AB115" s="35">
        <f>SUM(X115:AA115)</f>
        <v>7620</v>
      </c>
      <c r="AC115" s="35">
        <f>SUM(AC58,AC59,AC108)</f>
        <v>2245</v>
      </c>
      <c r="AD115" s="35">
        <f>SUM(AD58,AD59,AD108)</f>
        <v>2389</v>
      </c>
      <c r="AE115" s="35">
        <f>SUM(AE58,AE59,AE108)</f>
        <v>2515</v>
      </c>
      <c r="AF115" s="35">
        <f>SUM(AF58,AF59,AF108)</f>
        <v>2851</v>
      </c>
      <c r="AG115" s="35">
        <f>SUM(AC115:AF115)</f>
        <v>10000</v>
      </c>
      <c r="AH115" s="35">
        <f>SUM(AH58,AH59,AH108)</f>
        <v>2198</v>
      </c>
      <c r="AI115" s="35">
        <f>SUM(AI58,AI59,AI108)</f>
        <v>2801</v>
      </c>
      <c r="AJ115" s="35">
        <f>SUM(AJ58,AJ59,AJ108:AJ113)</f>
        <v>3329.80197389281</v>
      </c>
      <c r="AK115" s="35">
        <f>SUM(AK58,AK59,AK108:AK113)</f>
        <v>3476.32310171536</v>
      </c>
      <c r="AL115" s="35">
        <f>SUM(AH115:AK115)</f>
        <v>11805.1250756082</v>
      </c>
      <c r="AM115" s="35">
        <f>SUM(AM58,AM59,AM108:AM113)</f>
        <v>3387.48099995728</v>
      </c>
      <c r="AN115" s="35">
        <f>SUM(AN58,AN59,AN108:AN113)</f>
        <v>3649.08681959569</v>
      </c>
      <c r="AO115" s="35">
        <f>SUM(AO58,AO59,AO108:AO113)</f>
        <v>3992.27875792119</v>
      </c>
      <c r="AP115" s="35">
        <f>SUM(AP58,AP59,AP108:AP113)</f>
        <v>4167.95082213971</v>
      </c>
      <c r="AQ115" s="35">
        <f>SUM(AM115:AP115)</f>
        <v>15196.7973996139</v>
      </c>
      <c r="AR115" s="35">
        <f>SUM(AR58,AR59,AR108:AR113)</f>
        <v>4044.49584088802</v>
      </c>
      <c r="AS115" s="35">
        <f>SUM(AS58,AS59,AS108:AS113)</f>
        <v>4356.84110555312</v>
      </c>
      <c r="AT115" s="35">
        <f>SUM(AT58,AT59,AT108:AT113)</f>
        <v>4766.59642733981</v>
      </c>
      <c r="AU115" s="35">
        <f>SUM(AU58,AU59,AU108:AU113)</f>
        <v>4976.34075744851</v>
      </c>
      <c r="AV115" s="35">
        <f>SUM(AR115:AU115)</f>
        <v>18144.2741312295</v>
      </c>
      <c r="AW115" s="35">
        <f>SUM(AW58,AW59,AW108:AW113)</f>
        <v>4808.71873320879</v>
      </c>
      <c r="AX115" s="35">
        <f>SUM(AX58,AX59,AX108:AX113)</f>
        <v>5180.08282517787</v>
      </c>
      <c r="AY115" s="35">
        <f>SUM(AY58,AY59,AY108:AY113)</f>
        <v>5667.26297554119</v>
      </c>
      <c r="AZ115" s="35">
        <f>SUM(AZ58,AZ59,AZ108:AZ113)</f>
        <v>5916.63929562083</v>
      </c>
      <c r="BA115" s="35">
        <f>SUM(AW115:AZ115)</f>
        <v>21572.7038295487</v>
      </c>
      <c r="BB115" s="35">
        <f>SUM(BB58,BB59,BB108:BB113)</f>
        <v>5693.30085785799</v>
      </c>
      <c r="BC115" s="35">
        <f>SUM(BC58,BC59,BC108:BC113)</f>
        <v>6132.97878885945</v>
      </c>
      <c r="BD115" s="35">
        <f>SUM(BD58,BD59,BD108:BD113)</f>
        <v>6709.77758327429</v>
      </c>
      <c r="BE115" s="35">
        <f>SUM(BE58,BE59,BE108:BE113)</f>
        <v>7005.02762716519</v>
      </c>
      <c r="BF115" s="35">
        <f>SUM(BB115:BE115)</f>
        <v>25541.0848571569</v>
      </c>
      <c r="BG115" s="35" t="n"/>
      <c r="BH115" s="35" t="n"/>
      <c r="BI115" s="35" t="n"/>
      <c r="BJ115" s="35" t="n"/>
      <c r="BK115" s="35" t="n"/>
      <c r="BL115" s="35" t="n"/>
      <c r="BM115" s="35" t="n"/>
      <c r="BN115" s="35" t="n"/>
      <c r="BO115" s="35" t="n"/>
      <c r="BP115" s="35" t="n"/>
      <c r="BQ115" s="35" t="n"/>
      <c r="BR115" s="35" t="n"/>
      <c r="BS115" s="35" t="n"/>
      <c r="BT115" s="35" t="n"/>
      <c r="BU115" s="35" t="n"/>
      <c r="BV115" s="35" t="n"/>
      <c r="BW115" s="35" t="n"/>
      <c r="BX115" s="35" t="n"/>
      <c r="BY115" s="35" t="n"/>
      <c r="BZ115" s="35" t="n"/>
      <c r="CA115" s="35" t="n"/>
      <c r="CB115" s="35" t="n"/>
      <c r="CC115" s="35" t="n"/>
      <c r="CD115" s="35" t="n"/>
      <c r="CE115" s="35" t="n"/>
      <c r="CF115" s="35" t="n"/>
      <c r="CG115" s="35" t="n"/>
      <c r="CH115" s="35" t="n"/>
      <c r="CI115" s="35" t="n"/>
      <c r="CJ115" s="35" t="n"/>
      <c r="CK115" s="35" t="n"/>
      <c r="CL115" s="35" t="n"/>
      <c r="CM115" s="35" t="n"/>
      <c r="CN115" s="35" t="n"/>
      <c r="CO115" s="35" t="n"/>
      <c r="CP115" s="35" t="n"/>
      <c r="CQ115" s="35" t="n"/>
      <c r="CR115" s="35" t="n"/>
      <c r="CS115" s="35" t="n"/>
      <c r="CT115" s="35" t="n"/>
      <c r="CU115" s="35" t="n"/>
      <c r="CV115" s="35" t="n"/>
      <c r="CW115" s="35" t="n"/>
      <c r="CX115" s="35" t="n"/>
      <c r="CY115" s="35" t="n"/>
    </row>
    <row r="116">
      <c r="C116" s="14" t="inlineStr">
        <is>
          <t>Taxes</t>
        </is>
      </c>
      <c r="D116" s="46" t="n"/>
      <c r="E116" s="46" t="n"/>
      <c r="F116" s="46" t="n"/>
      <c r="G116" s="46" t="n"/>
      <c r="H116" s="12" t="n"/>
      <c r="I116" s="46">
        <f>'Inputs (2)'!D10</f>
        <v>-142</v>
      </c>
      <c r="J116" s="46">
        <f>'Inputs (2)'!E10</f>
        <v>466</v>
      </c>
      <c r="K116" s="46">
        <f>'Inputs (2)'!F10</f>
        <v>-2</v>
      </c>
      <c r="L116" s="46">
        <f>'Inputs (2)'!G10</f>
        <v>-37</v>
      </c>
      <c r="M116" s="12">
        <f>'Inputs (2)'!H10</f>
        <v>285</v>
      </c>
      <c r="N116" s="46">
        <f>'Inputs (2)'!I10</f>
        <v>-29</v>
      </c>
      <c r="O116" s="46">
        <f>'Inputs (2)'!J10</f>
        <v>-161</v>
      </c>
      <c r="P116" s="46">
        <f>'Inputs (2)'!K10</f>
        <v>-13</v>
      </c>
      <c r="Q116" s="46">
        <f>'Inputs (2)'!L10</f>
        <v>65</v>
      </c>
      <c r="R116" s="12">
        <f>'Inputs (2)'!M10</f>
        <v>-138</v>
      </c>
      <c r="S116" s="46">
        <f>'Inputs (2)'!N10</f>
        <v>-271</v>
      </c>
      <c r="T116" s="46">
        <f>'Inputs (2)'!O10</f>
        <v>-253</v>
      </c>
      <c r="U116" s="46">
        <f>'Inputs (2)'!P10</f>
        <v>-26</v>
      </c>
      <c r="V116" s="46">
        <f>'Inputs (2)'!Q10</f>
        <v>-421</v>
      </c>
      <c r="W116" s="12">
        <f>'Inputs (2)'!R10</f>
        <v>-971</v>
      </c>
      <c r="X116" s="46">
        <f>'Inputs (2)'!S10</f>
        <v>-244</v>
      </c>
      <c r="Y116" s="46">
        <f>'Inputs (2)'!T10</f>
        <v>-125</v>
      </c>
      <c r="Z116" s="46">
        <f>'Inputs (2)'!U10</f>
        <v>-198</v>
      </c>
      <c r="AA116" s="46">
        <f>'Inputs (2)'!V10</f>
        <v>-395</v>
      </c>
      <c r="AB116" s="12">
        <f>'Inputs (2)'!W10</f>
        <v>-962</v>
      </c>
      <c r="AC116" s="46">
        <f>'Inputs (2)'!X10</f>
        <v>-283</v>
      </c>
      <c r="AD116" s="46">
        <f>'Inputs (2)'!Y10</f>
        <v>-388</v>
      </c>
      <c r="AE116" s="46">
        <f>'Inputs (2)'!Z10</f>
        <v>-344</v>
      </c>
      <c r="AF116" s="46">
        <f>'Inputs (2)'!AA10</f>
        <v>-390</v>
      </c>
      <c r="AG116" s="12">
        <f>'Inputs (2)'!AB10</f>
        <v>-1405</v>
      </c>
      <c r="AH116" s="12">
        <f>'Inputs (2)'!AC10</f>
        <v>-252</v>
      </c>
      <c r="AI116" s="12">
        <f>'Inputs (2)'!AD10</f>
        <v>-407</v>
      </c>
      <c r="AJ116" s="12">
        <f>-AJ115*AJ117</f>
        <v>-456.181382084169</v>
      </c>
      <c r="AK116" s="12">
        <f>-AK115*AK117</f>
        <v>-476.254711104538</v>
      </c>
      <c r="AL116" s="12">
        <f>SUM(AH116:AK116)</f>
        <v>-1591.43609318871</v>
      </c>
      <c r="AM116" s="12">
        <f>-AM115*AM117</f>
        <v>-464.083382873904</v>
      </c>
      <c r="AN116" s="12">
        <f>-AN115*AN117</f>
        <v>-499.923263233033</v>
      </c>
      <c r="AO116" s="12">
        <f>-AO115*AO117</f>
        <v>-546.940405385317</v>
      </c>
      <c r="AP116" s="12">
        <f>-AP115*AP117</f>
        <v>-571.007399662185</v>
      </c>
      <c r="AQ116" s="12">
        <f>SUM(AM116:AP116)</f>
        <v>-2081.95445115444</v>
      </c>
      <c r="AR116" s="12">
        <f>-AR115*AR117</f>
        <v>-554.094122412027</v>
      </c>
      <c r="AS116" s="12">
        <f>-AS115*AS117</f>
        <v>-596.885284060535</v>
      </c>
      <c r="AT116" s="12">
        <f>-AT115*AT117</f>
        <v>-653.021579994815</v>
      </c>
      <c r="AU116" s="12">
        <f>-AU115*AU117</f>
        <v>-681.756459469179</v>
      </c>
      <c r="AV116" s="12">
        <f>SUM(AR116:AU116)</f>
        <v>-2485.75744593656</v>
      </c>
      <c r="AW116" s="12">
        <f>-AW115*AW117</f>
        <v>-658.792317071237</v>
      </c>
      <c r="AX116" s="12">
        <f>-AX115*AX117</f>
        <v>-709.669031680434</v>
      </c>
      <c r="AY116" s="12">
        <f>-AY115*AY117</f>
        <v>-776.412494522729</v>
      </c>
      <c r="AZ116" s="12">
        <f>-AZ115*AZ117</f>
        <v>-810.576938908591</v>
      </c>
      <c r="BA116" s="12">
        <f>SUM(AW116:AZ116)</f>
        <v>-2955.45078218299</v>
      </c>
      <c r="BB116" s="12">
        <f>-BB115*BB117</f>
        <v>-779.979672761841</v>
      </c>
      <c r="BC116" s="12">
        <f>-BC115*BC117</f>
        <v>-840.215352783878</v>
      </c>
      <c r="BD116" s="12">
        <f>-BD115*BD117</f>
        <v>-919.236529803913</v>
      </c>
      <c r="BE116" s="12">
        <f>-BE115*BE117</f>
        <v>-959.685653847496</v>
      </c>
      <c r="BF116" s="12">
        <f>SUM(BB116:BE116)</f>
        <v>-3499.11720919713</v>
      </c>
      <c r="BG116" s="12" t="n"/>
      <c r="BH116" s="12" t="n"/>
      <c r="BI116" s="12" t="n"/>
      <c r="BJ116" s="12" t="n"/>
      <c r="BK116" s="12" t="n"/>
      <c r="BL116" s="12" t="n"/>
      <c r="BM116" s="12" t="n"/>
      <c r="BN116" s="12" t="n"/>
      <c r="BO116" s="12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  <c r="CA116" s="12" t="n"/>
      <c r="CB116" s="12" t="n"/>
      <c r="CC116" s="12" t="n"/>
      <c r="CD116" s="12" t="n"/>
      <c r="CE116" s="12" t="n"/>
      <c r="CF116" s="12" t="n"/>
      <c r="CG116" s="12" t="n"/>
      <c r="CH116" s="12" t="n"/>
      <c r="CI116" s="12" t="n"/>
      <c r="CJ116" s="12" t="n"/>
      <c r="CK116" s="12" t="n"/>
      <c r="CL116" s="12" t="n"/>
      <c r="CM116" s="12" t="n"/>
      <c r="CN116" s="12" t="n"/>
      <c r="CO116" s="12" t="n"/>
      <c r="CP116" s="12" t="n"/>
      <c r="CQ116" s="12" t="n"/>
      <c r="CR116" s="12" t="n"/>
      <c r="CS116" s="12" t="n"/>
      <c r="CT116" s="12" t="n"/>
      <c r="CU116" s="12" t="n"/>
      <c r="CV116" s="12" t="n"/>
      <c r="CW116" s="12" t="n"/>
      <c r="CX116" s="12" t="n"/>
      <c r="CY116" s="12" t="n"/>
    </row>
    <row r="117" hidden="1" outlineLevel="1">
      <c r="C117" s="57" t="inlineStr">
        <is>
          <t>% ETR</t>
        </is>
      </c>
      <c r="D117" s="53" t="n"/>
      <c r="E117" s="53" t="n"/>
      <c r="F117" s="53" t="n"/>
      <c r="G117" s="53" t="n"/>
      <c r="H117" s="53" t="n"/>
      <c r="I117" s="53">
        <f>IFERROR(-I116/I115,"")</f>
        <v>0.596638655462185</v>
      </c>
      <c r="J117" s="53">
        <f>IFERROR(-J116/J115,"")</f>
        <v>0.449373191899711</v>
      </c>
      <c r="K117" s="53">
        <f>IFERROR(-K116/K115,"")</f>
        <v>0.00342465753424658</v>
      </c>
      <c r="L117" s="53">
        <f>IFERROR(-L116/L115,"")</f>
        <v>-0.0106720507643496</v>
      </c>
      <c r="M117" s="53">
        <f>IFERROR(-M116/M115,"")</f>
        <v>0.0774035850081477</v>
      </c>
      <c r="N117" s="53">
        <f>IFERROR(-N116/N115,"")</f>
        <v>-0.0245762711864407</v>
      </c>
      <c r="O117" s="53">
        <f>IFERROR(-O116/O115,"")</f>
        <v>-0.166666666666667</v>
      </c>
      <c r="P117" s="53">
        <f>IFERROR(-P116/P115,"")</f>
        <v>-0.0560344827586207</v>
      </c>
      <c r="Q117" s="53">
        <f>IFERROR(-Q116/Q115,"")</f>
        <v>-0.0290567724631203</v>
      </c>
      <c r="R117" s="53">
        <f>IFERROR(-R116/R115,"")</f>
        <v>-0.978723404255319</v>
      </c>
      <c r="S117" s="53">
        <f>IFERROR(-S116/S115,"")</f>
        <v>0.0417436845348121</v>
      </c>
      <c r="T117" s="53">
        <f>IFERROR(-T116/T115,"")</f>
        <v>0.167660702451955</v>
      </c>
      <c r="U117" s="53">
        <f>IFERROR(-U116/U115,"")</f>
        <v>0.0780780780780781</v>
      </c>
      <c r="V117" s="53">
        <f>IFERROR(-V116/V115,"")</f>
        <v>0.209556993529119</v>
      </c>
      <c r="W117" s="53">
        <f>IFERROR(-W116/W115,"")</f>
        <v>0.0938799187856521</v>
      </c>
      <c r="X117" s="53">
        <f>IFERROR(-X116/X115,"")</f>
        <v>0.122798188223452</v>
      </c>
      <c r="Y117" s="53">
        <f>IFERROR(-Y116/Y115,"")</f>
        <v>0.0863856254319281</v>
      </c>
      <c r="Z117" s="53">
        <f>IFERROR(-Z116/Z115,"")</f>
        <v>0.10459587955626</v>
      </c>
      <c r="AA117" s="53">
        <f>IFERROR(-AA116/AA115,"")</f>
        <v>0.172263410379416</v>
      </c>
      <c r="AB117" s="53">
        <f>IFERROR(-AB116/AB115,"")</f>
        <v>0.126246719160105</v>
      </c>
      <c r="AC117" s="53">
        <f>IFERROR(-AC116/AC115,"")</f>
        <v>0.126057906458797</v>
      </c>
      <c r="AD117" s="53">
        <f>IFERROR(-AD116/AD115,"")</f>
        <v>0.162411050648807</v>
      </c>
      <c r="AE117" s="53">
        <f>IFERROR(-AE116/AE115,"")</f>
        <v>0.136779324055666</v>
      </c>
      <c r="AF117" s="41">
        <f>IFERROR(-AF116/AF115,"")</f>
        <v>0.136794107330761</v>
      </c>
      <c r="AG117" s="53">
        <f>IFERROR(-AG116/AG115,"")</f>
        <v>0.1405</v>
      </c>
      <c r="AH117" s="41">
        <f>IFERROR(-AH116/AH115,"")</f>
        <v>0.114649681528662</v>
      </c>
      <c r="AI117" s="41">
        <f>IFERROR(-AI116/AI115,"")</f>
        <v>0.145305248125669</v>
      </c>
      <c r="AJ117" s="41">
        <f>Control!$B$22</f>
        <v>0.136999553024727</v>
      </c>
      <c r="AK117" s="41">
        <f>Control!$B$22</f>
        <v>0.136999553024727</v>
      </c>
      <c r="AL117" s="53">
        <f>IFERROR(-AL116/AL115,"")</f>
        <v>0.134808914178889</v>
      </c>
      <c r="AM117" s="41">
        <f>Control!$C$22</f>
        <v>0.136999553024727</v>
      </c>
      <c r="AN117" s="41">
        <f>Control!$C$22</f>
        <v>0.136999553024727</v>
      </c>
      <c r="AO117" s="41">
        <f>Control!$C$22</f>
        <v>0.136999553024727</v>
      </c>
      <c r="AP117" s="41">
        <f>Control!$C$22</f>
        <v>0.136999553024727</v>
      </c>
      <c r="AQ117" s="53">
        <f>IFERROR(-AQ116/AQ115,"")</f>
        <v>0.136999553024727</v>
      </c>
      <c r="AR117" s="41">
        <f>Control!$D$22</f>
        <v>0.136999553024727</v>
      </c>
      <c r="AS117" s="41">
        <f>Control!$D$22</f>
        <v>0.136999553024727</v>
      </c>
      <c r="AT117" s="41">
        <f>Control!$D$22</f>
        <v>0.136999553024727</v>
      </c>
      <c r="AU117" s="41">
        <f>Control!$D$22</f>
        <v>0.136999553024727</v>
      </c>
      <c r="AV117" s="53">
        <f>IFERROR(-AV116/AV115,"")</f>
        <v>0.136999553024727</v>
      </c>
      <c r="AW117" s="41">
        <f>Control!$E$22</f>
        <v>0.136999553024727</v>
      </c>
      <c r="AX117" s="41">
        <f>Control!$E$22</f>
        <v>0.136999553024727</v>
      </c>
      <c r="AY117" s="41">
        <f>Control!$E$22</f>
        <v>0.136999553024727</v>
      </c>
      <c r="AZ117" s="41">
        <f>Control!$E$22</f>
        <v>0.136999553024727</v>
      </c>
      <c r="BA117" s="53">
        <f>IFERROR(-BA116/BA115,"")</f>
        <v>0.136999553024727</v>
      </c>
      <c r="BB117" s="41">
        <f>Control!$F$22</f>
        <v>0.136999553024727</v>
      </c>
      <c r="BC117" s="41">
        <f>Control!$F$22</f>
        <v>0.136999553024727</v>
      </c>
      <c r="BD117" s="41">
        <f>Control!$F$22</f>
        <v>0.136999553024727</v>
      </c>
      <c r="BE117" s="41">
        <f>Control!$F$22</f>
        <v>0.136999553024727</v>
      </c>
      <c r="BF117" s="53">
        <f>IFERROR(-BF116/BF115,"")</f>
        <v>0.136999553024727</v>
      </c>
      <c r="BG117" s="41" t="n"/>
      <c r="BH117" s="41" t="n"/>
      <c r="BI117" s="41" t="n"/>
      <c r="BJ117" s="41" t="n"/>
      <c r="BK117" s="53" t="n"/>
      <c r="BL117" s="41" t="n"/>
      <c r="BM117" s="41" t="n"/>
      <c r="BN117" s="41" t="n"/>
      <c r="BO117" s="41" t="n"/>
      <c r="BP117" s="53" t="n"/>
      <c r="BQ117" s="41" t="n"/>
      <c r="BR117" s="41" t="n"/>
      <c r="BS117" s="41" t="n"/>
      <c r="BT117" s="41" t="n"/>
      <c r="BU117" s="53" t="n"/>
      <c r="BV117" s="41" t="n"/>
      <c r="BW117" s="41" t="n"/>
      <c r="BX117" s="41" t="n"/>
      <c r="BY117" s="41" t="n"/>
      <c r="BZ117" s="53" t="n"/>
      <c r="CA117" s="41" t="n"/>
      <c r="CB117" s="41" t="n"/>
      <c r="CC117" s="41" t="n"/>
      <c r="CD117" s="41" t="n"/>
      <c r="CE117" s="53" t="n"/>
      <c r="CF117" s="41" t="n"/>
      <c r="CG117" s="41" t="n"/>
      <c r="CH117" s="41" t="n"/>
      <c r="CI117" s="41" t="n"/>
      <c r="CJ117" s="53" t="n"/>
      <c r="CK117" s="41" t="n"/>
      <c r="CL117" s="41" t="n"/>
      <c r="CM117" s="41" t="n"/>
      <c r="CN117" s="41" t="n"/>
      <c r="CO117" s="53" t="n"/>
      <c r="CP117" s="41" t="n"/>
      <c r="CQ117" s="41" t="n"/>
      <c r="CR117" s="41" t="n"/>
      <c r="CS117" s="41" t="n"/>
      <c r="CT117" s="53" t="n"/>
      <c r="CU117" s="41" t="n"/>
      <c r="CV117" s="41" t="n"/>
      <c r="CW117" s="41" t="n"/>
      <c r="CX117" s="41" t="n"/>
      <c r="CY117" s="53" t="n"/>
    </row>
    <row r="118" hidden="1" outlineLevel="1">
      <c r="C118" s="57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/>
      <c r="AU118" s="12" t="n"/>
      <c r="AV118" s="12" t="n"/>
      <c r="AW118" s="12" t="n"/>
      <c r="AX118" s="12" t="n"/>
      <c r="AY118" s="12" t="n"/>
      <c r="AZ118" s="12" t="n"/>
      <c r="BA118" s="12" t="n"/>
      <c r="BB118" s="12" t="n"/>
      <c r="BC118" s="12" t="n"/>
      <c r="BD118" s="12" t="n"/>
      <c r="BE118" s="12" t="n"/>
      <c r="BF118" s="12" t="n"/>
      <c r="BG118" s="12" t="n"/>
      <c r="BH118" s="12" t="n"/>
      <c r="BI118" s="12" t="n"/>
      <c r="BJ118" s="12" t="n"/>
      <c r="BK118" s="12" t="n"/>
      <c r="BL118" s="12" t="n"/>
      <c r="BM118" s="12" t="n"/>
      <c r="BN118" s="12" t="n"/>
      <c r="BO118" s="12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  <c r="CA118" s="12" t="n"/>
      <c r="CB118" s="12" t="n"/>
      <c r="CC118" s="12" t="n"/>
      <c r="CD118" s="12" t="n"/>
      <c r="CE118" s="12" t="n"/>
      <c r="CF118" s="12" t="n"/>
      <c r="CG118" s="12" t="n"/>
      <c r="CH118" s="12" t="n"/>
      <c r="CI118" s="12" t="n"/>
      <c r="CJ118" s="12" t="n"/>
      <c r="CK118" s="12" t="n"/>
      <c r="CL118" s="12" t="n"/>
      <c r="CM118" s="12" t="n"/>
      <c r="CN118" s="12" t="n"/>
      <c r="CO118" s="12" t="n"/>
      <c r="CP118" s="12" t="n"/>
      <c r="CQ118" s="12" t="n"/>
      <c r="CR118" s="12" t="n"/>
      <c r="CS118" s="12" t="n"/>
      <c r="CT118" s="12" t="n"/>
      <c r="CU118" s="12" t="n"/>
      <c r="CV118" s="12" t="n"/>
      <c r="CW118" s="12" t="n"/>
      <c r="CX118" s="12" t="n"/>
      <c r="CY118" s="12" t="n"/>
    </row>
    <row r="119" hidden="1" outlineLevel="1">
      <c r="C119" s="57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12" t="n"/>
      <c r="AP119" s="12" t="n"/>
      <c r="AQ119" s="12" t="n"/>
      <c r="AR119" s="12" t="n"/>
      <c r="AS119" s="12" t="n"/>
      <c r="AT119" s="12" t="n"/>
      <c r="AU119" s="12" t="n"/>
      <c r="AV119" s="12" t="n"/>
      <c r="AW119" s="12" t="n"/>
      <c r="AX119" s="12" t="n"/>
      <c r="AY119" s="12" t="n"/>
      <c r="AZ119" s="12" t="n"/>
      <c r="BA119" s="12" t="n"/>
      <c r="BB119" s="12" t="n"/>
      <c r="BC119" s="12" t="n"/>
      <c r="BD119" s="12" t="n"/>
      <c r="BE119" s="12" t="n"/>
      <c r="BF119" s="12" t="n"/>
      <c r="BG119" s="12" t="n"/>
      <c r="BH119" s="12" t="n"/>
      <c r="BI119" s="12" t="n"/>
      <c r="BJ119" s="12" t="n"/>
      <c r="BK119" s="12" t="n"/>
      <c r="BL119" s="12" t="n"/>
      <c r="BM119" s="12" t="n"/>
      <c r="BN119" s="12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  <c r="CR119" s="12" t="n"/>
      <c r="CS119" s="12" t="n"/>
      <c r="CT119" s="12" t="n"/>
      <c r="CU119" s="12" t="n"/>
      <c r="CV119" s="12" t="n"/>
      <c r="CW119" s="12" t="n"/>
      <c r="CX119" s="12" t="n"/>
      <c r="CY119" s="12" t="n"/>
    </row>
    <row r="120" collapsed="1">
      <c r="C120" s="14" t="inlineStr">
        <is>
          <t>Equity in Income of Affiliates, after tax (enter as +)</t>
        </is>
      </c>
      <c r="D120" s="46" t="n"/>
      <c r="E120" s="46" t="n"/>
      <c r="F120" s="46" t="n"/>
      <c r="G120" s="46" t="n"/>
      <c r="H120" s="12" t="n"/>
      <c r="I120" s="46">
        <f>'Inputs (2)'!D11</f>
        <v>-2893</v>
      </c>
      <c r="J120" s="46">
        <f>'Inputs (2)'!E11</f>
        <v>-563</v>
      </c>
      <c r="K120" s="46">
        <f>'Inputs (2)'!F11</f>
        <v>602</v>
      </c>
      <c r="L120" s="46">
        <f>'Inputs (2)'!G11</f>
        <v>-338</v>
      </c>
      <c r="M120" s="12">
        <f>'Inputs (2)'!H11</f>
        <v>-3192</v>
      </c>
      <c r="N120" s="46">
        <f>'Inputs (2)'!I11</f>
        <v>101</v>
      </c>
      <c r="O120" s="46">
        <f>'Inputs (2)'!J11</f>
        <v>264</v>
      </c>
      <c r="P120" s="46">
        <f>'Inputs (2)'!K11</f>
        <v>410</v>
      </c>
      <c r="Q120" s="46">
        <f>'Inputs (2)'!L11</f>
        <v>-89</v>
      </c>
      <c r="R120" s="12">
        <f>'Inputs (2)'!M11</f>
        <v>686</v>
      </c>
      <c r="S120" s="46">
        <f>'Inputs (2)'!N11</f>
        <v>1260</v>
      </c>
      <c r="T120" s="46">
        <f>'Inputs (2)'!O11</f>
        <v>-1219</v>
      </c>
      <c r="U120" s="46">
        <f>'Inputs (2)'!P11</f>
        <v>31</v>
      </c>
      <c r="V120" s="46">
        <f>'Inputs (2)'!Q11</f>
        <v>1</v>
      </c>
      <c r="W120" s="12">
        <f>'Inputs (2)'!R11</f>
        <v>73</v>
      </c>
      <c r="X120" s="46">
        <f>'Inputs (2)'!S11</f>
        <v>-177</v>
      </c>
      <c r="Y120" s="46">
        <f>'Inputs (2)'!T11</f>
        <v>-54</v>
      </c>
      <c r="Z120" s="46">
        <f>'Inputs (2)'!U11</f>
        <v>147</v>
      </c>
      <c r="AA120" s="46">
        <f>'Inputs (2)'!V11</f>
        <v>-7</v>
      </c>
      <c r="AB120" s="12">
        <f>'Inputs (2)'!W11</f>
        <v>-91</v>
      </c>
      <c r="AC120" s="46">
        <f>'Inputs (2)'!X11</f>
        <v>11</v>
      </c>
      <c r="AD120" s="46">
        <f>'Inputs (2)'!Y11</f>
        <v>20</v>
      </c>
      <c r="AE120" s="46">
        <f>'Inputs (2)'!Z11</f>
        <v>-17</v>
      </c>
      <c r="AF120" s="46">
        <f>'Inputs (2)'!AA11</f>
        <v>90</v>
      </c>
      <c r="AG120" s="12">
        <f>'Inputs (2)'!AB11</f>
        <v>104</v>
      </c>
      <c r="AH120" s="12">
        <f>'Inputs (2)'!AC11</f>
        <v>-26</v>
      </c>
      <c r="AI120" s="12">
        <f>'Inputs (2)'!AD11</f>
        <v>-37</v>
      </c>
      <c r="AJ120" s="12">
        <f>0</f>
        <v>0</v>
      </c>
      <c r="AK120" s="12">
        <f>0</f>
        <v>0</v>
      </c>
      <c r="AL120" s="12">
        <f>SUM(AH120:AK120)</f>
        <v>-63</v>
      </c>
      <c r="AM120" s="12">
        <f>0</f>
        <v>0</v>
      </c>
      <c r="AN120" s="12">
        <f>0</f>
        <v>0</v>
      </c>
      <c r="AO120" s="12">
        <f>0</f>
        <v>0</v>
      </c>
      <c r="AP120" s="12">
        <f>0</f>
        <v>0</v>
      </c>
      <c r="AQ120" s="12">
        <f>SUM(AM120:AP120)</f>
        <v>0</v>
      </c>
      <c r="AR120" s="12">
        <f>0</f>
        <v>0</v>
      </c>
      <c r="AS120" s="12">
        <f>0</f>
        <v>0</v>
      </c>
      <c r="AT120" s="12">
        <f>0</f>
        <v>0</v>
      </c>
      <c r="AU120" s="12">
        <f>0</f>
        <v>0</v>
      </c>
      <c r="AV120" s="12">
        <f>SUM(AR120:AU120)</f>
        <v>0</v>
      </c>
      <c r="AW120" s="12">
        <f>0</f>
        <v>0</v>
      </c>
      <c r="AX120" s="12">
        <f>0</f>
        <v>0</v>
      </c>
      <c r="AY120" s="12">
        <f>0</f>
        <v>0</v>
      </c>
      <c r="AZ120" s="12">
        <f>0</f>
        <v>0</v>
      </c>
      <c r="BA120" s="12">
        <f>SUM(AW120:AZ120)</f>
        <v>0</v>
      </c>
      <c r="BB120" s="12">
        <f>0</f>
        <v>0</v>
      </c>
      <c r="BC120" s="12">
        <f>0</f>
        <v>0</v>
      </c>
      <c r="BD120" s="12">
        <f>0</f>
        <v>0</v>
      </c>
      <c r="BE120" s="12">
        <f>0</f>
        <v>0</v>
      </c>
      <c r="BF120" s="12">
        <f>SUM(BB120:BE120)</f>
        <v>0</v>
      </c>
      <c r="BG120" s="12" t="n"/>
      <c r="BH120" s="12" t="n"/>
      <c r="BI120" s="12" t="n"/>
      <c r="BJ120" s="12" t="n"/>
      <c r="BK120" s="12" t="n"/>
      <c r="BL120" s="12" t="n"/>
      <c r="BM120" s="12" t="n"/>
      <c r="BN120" s="12" t="n"/>
      <c r="BO120" s="12" t="n"/>
      <c r="BP120" s="12" t="n"/>
      <c r="BQ120" s="12" t="n"/>
      <c r="BR120" s="12" t="n"/>
      <c r="BS120" s="12" t="n"/>
      <c r="BT120" s="12" t="n"/>
      <c r="BU120" s="12" t="n"/>
      <c r="BV120" s="12" t="n"/>
      <c r="BW120" s="12" t="n"/>
      <c r="BX120" s="12" t="n"/>
      <c r="BY120" s="12" t="n"/>
      <c r="BZ120" s="12" t="n"/>
      <c r="CA120" s="12" t="n"/>
      <c r="CB120" s="12" t="n"/>
      <c r="CC120" s="12" t="n"/>
      <c r="CD120" s="12" t="n"/>
      <c r="CE120" s="12" t="n"/>
      <c r="CF120" s="12" t="n"/>
      <c r="CG120" s="12" t="n"/>
      <c r="CH120" s="12" t="n"/>
      <c r="CI120" s="12" t="n"/>
      <c r="CJ120" s="12" t="n"/>
      <c r="CK120" s="12" t="n"/>
      <c r="CL120" s="12" t="n"/>
      <c r="CM120" s="12" t="n"/>
      <c r="CN120" s="12" t="n"/>
      <c r="CO120" s="12" t="n"/>
      <c r="CP120" s="12" t="n"/>
      <c r="CQ120" s="12" t="n"/>
      <c r="CR120" s="12" t="n"/>
      <c r="CS120" s="12" t="n"/>
      <c r="CT120" s="12" t="n"/>
      <c r="CU120" s="12" t="n"/>
      <c r="CV120" s="12" t="n"/>
      <c r="CW120" s="12" t="n"/>
      <c r="CX120" s="12" t="n"/>
      <c r="CY120" s="12" t="n"/>
    </row>
    <row r="121">
      <c r="C121" s="14" t="inlineStr">
        <is>
          <t>Minority Interest Expense, after tax (enter as - )</t>
        </is>
      </c>
      <c r="D121" s="46" t="n"/>
      <c r="E121" s="46" t="n"/>
      <c r="F121" s="46" t="n"/>
      <c r="G121" s="46" t="n"/>
      <c r="H121" s="12" t="n"/>
      <c r="I121" s="46">
        <f>'Inputs (2)'!D12</f>
        <v>-5</v>
      </c>
      <c r="J121" s="46">
        <f>'Inputs (2)'!E12</f>
        <v>3</v>
      </c>
      <c r="K121" s="46">
        <f>'Inputs (2)'!F12</f>
        <v>73</v>
      </c>
      <c r="L121" s="46">
        <f>'Inputs (2)'!G12</f>
        <v>-1</v>
      </c>
      <c r="M121" s="12">
        <f>'Inputs (2)'!H12</f>
        <v>70</v>
      </c>
      <c r="N121" s="46">
        <f>'Inputs (2)'!I12</f>
        <v>-28</v>
      </c>
      <c r="O121" s="46">
        <f>'Inputs (2)'!J12</f>
        <v>-19</v>
      </c>
      <c r="P121" s="46">
        <f>'Inputs (2)'!K12</f>
        <v>-4</v>
      </c>
      <c r="Q121" s="46">
        <f>'Inputs (2)'!L12</f>
        <v>-16</v>
      </c>
      <c r="R121" s="12">
        <f>'Inputs (2)'!M12</f>
        <v>-67</v>
      </c>
      <c r="S121" s="46">
        <f>'Inputs (2)'!N12</f>
        <v>27</v>
      </c>
      <c r="T121" s="46">
        <f>'Inputs (2)'!O12</f>
        <v>-4</v>
      </c>
      <c r="U121" s="46">
        <f>'Inputs (2)'!P12</f>
        <v>14</v>
      </c>
      <c r="V121" s="46">
        <f>'Inputs (2)'!Q12</f>
        <v>0</v>
      </c>
      <c r="W121" s="12">
        <f>'Inputs (2)'!R12</f>
        <v>37</v>
      </c>
      <c r="X121" s="46">
        <f>'Inputs (2)'!S12</f>
        <v>-27</v>
      </c>
      <c r="Y121" s="46">
        <f>'Inputs (2)'!T12</f>
        <v>-2</v>
      </c>
      <c r="Z121" s="46">
        <f>'Inputs (2)'!U12</f>
        <v>10</v>
      </c>
      <c r="AA121" s="46">
        <f>'Inputs (2)'!V12</f>
        <v>8</v>
      </c>
      <c r="AB121" s="12">
        <f>'Inputs (2)'!W12</f>
        <v>-11</v>
      </c>
      <c r="AC121" s="46">
        <f>'Inputs (2)'!X12</f>
        <v>5</v>
      </c>
      <c r="AD121" s="46">
        <f>'Inputs (2)'!Y12</f>
        <v>7</v>
      </c>
      <c r="AE121" s="46">
        <f>'Inputs (2)'!Z12</f>
        <v>3</v>
      </c>
      <c r="AF121" s="46">
        <f>'Inputs (2)'!AA12</f>
        <v>-10</v>
      </c>
      <c r="AG121" s="12">
        <f>'Inputs (2)'!AB12</f>
        <v>5</v>
      </c>
      <c r="AH121" s="12">
        <f>'Inputs (2)'!AC12</f>
        <v>-16</v>
      </c>
      <c r="AI121" s="12">
        <f>'Inputs (2)'!AD12</f>
        <v>13</v>
      </c>
      <c r="AJ121" s="12">
        <f>0</f>
        <v>0</v>
      </c>
      <c r="AK121" s="12">
        <f>0</f>
        <v>0</v>
      </c>
      <c r="AL121" s="12">
        <f>SUM(AH121:AK121)</f>
        <v>-3</v>
      </c>
      <c r="AM121" s="12">
        <f>0</f>
        <v>0</v>
      </c>
      <c r="AN121" s="12">
        <f>0</f>
        <v>0</v>
      </c>
      <c r="AO121" s="12">
        <f>0</f>
        <v>0</v>
      </c>
      <c r="AP121" s="12">
        <f>0</f>
        <v>0</v>
      </c>
      <c r="AQ121" s="12">
        <f>SUM(AM121:AP121)</f>
        <v>0</v>
      </c>
      <c r="AR121" s="12">
        <f>0</f>
        <v>0</v>
      </c>
      <c r="AS121" s="12">
        <f>0</f>
        <v>0</v>
      </c>
      <c r="AT121" s="12">
        <f>0</f>
        <v>0</v>
      </c>
      <c r="AU121" s="12">
        <f>0</f>
        <v>0</v>
      </c>
      <c r="AV121" s="12">
        <f>SUM(AR121:AU121)</f>
        <v>0</v>
      </c>
      <c r="AW121" s="12">
        <f>0</f>
        <v>0</v>
      </c>
      <c r="AX121" s="12">
        <f>0</f>
        <v>0</v>
      </c>
      <c r="AY121" s="12">
        <f>0</f>
        <v>0</v>
      </c>
      <c r="AZ121" s="12">
        <f>0</f>
        <v>0</v>
      </c>
      <c r="BA121" s="12">
        <f>SUM(AW121:AZ121)</f>
        <v>0</v>
      </c>
      <c r="BB121" s="12">
        <f>0</f>
        <v>0</v>
      </c>
      <c r="BC121" s="12">
        <f>0</f>
        <v>0</v>
      </c>
      <c r="BD121" s="12">
        <f>0</f>
        <v>0</v>
      </c>
      <c r="BE121" s="12">
        <f>0</f>
        <v>0</v>
      </c>
      <c r="BF121" s="12">
        <f>SUM(BB121:BE121)</f>
        <v>0</v>
      </c>
      <c r="BG121" s="12" t="n"/>
      <c r="BH121" s="12" t="n"/>
      <c r="BI121" s="12" t="n"/>
      <c r="BJ121" s="12" t="n"/>
      <c r="BK121" s="12" t="n"/>
      <c r="BL121" s="12" t="n"/>
      <c r="BM121" s="12" t="n"/>
      <c r="BN121" s="12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  <c r="CR121" s="12" t="n"/>
      <c r="CS121" s="12" t="n"/>
      <c r="CT121" s="12" t="n"/>
      <c r="CU121" s="12" t="n"/>
      <c r="CV121" s="12" t="n"/>
      <c r="CW121" s="12" t="n"/>
      <c r="CX121" s="12" t="n"/>
      <c r="CY121" s="12" t="n"/>
    </row>
    <row r="122" customFormat="1" s="32">
      <c r="A122" s="30" t="n"/>
      <c r="B122" s="3" t="n"/>
      <c r="C122" s="33" t="inlineStr">
        <is>
          <t>Net Income</t>
        </is>
      </c>
      <c r="D122" s="35" t="n"/>
      <c r="E122" s="35" t="n"/>
      <c r="F122" s="35" t="n"/>
      <c r="G122" s="35" t="n"/>
      <c r="H122" s="35" t="n"/>
      <c r="I122" s="35">
        <f>SUM(I115,I116,I120,I121)</f>
        <v>-2802</v>
      </c>
      <c r="J122" s="35">
        <f>SUM(J115,J116,J120,J121)</f>
        <v>-1131</v>
      </c>
      <c r="K122" s="35">
        <f>SUM(K115,K116,K120,K121)</f>
        <v>1257</v>
      </c>
      <c r="L122" s="35">
        <f>SUM(L115,L116,L120,L121)</f>
        <v>-3843</v>
      </c>
      <c r="M122" s="35">
        <f>SUM(I122:L122)</f>
        <v>-6519</v>
      </c>
      <c r="N122" s="35">
        <f>SUM(N115,N116,N120,N121)</f>
        <v>-1136</v>
      </c>
      <c r="O122" s="35">
        <f>SUM(O115,O116,O120,O121)</f>
        <v>-882</v>
      </c>
      <c r="P122" s="35">
        <f>SUM(P115,P116,P120,P121)</f>
        <v>161</v>
      </c>
      <c r="Q122" s="35">
        <f>SUM(Q115,Q116,Q120,Q121)</f>
        <v>2197</v>
      </c>
      <c r="R122" s="35">
        <f>SUM(N122:Q122)</f>
        <v>340</v>
      </c>
      <c r="S122" s="35">
        <f>SUM(S115,S116,S120,S121)</f>
        <v>7508</v>
      </c>
      <c r="T122" s="35">
        <f>SUM(T115,T116,T120,T121)</f>
        <v>33</v>
      </c>
      <c r="U122" s="35">
        <f>SUM(U115,U116,U120,U121)</f>
        <v>352</v>
      </c>
      <c r="V122" s="35">
        <f>SUM(V115,V116,V120,V121)</f>
        <v>1589</v>
      </c>
      <c r="W122" s="35">
        <f>SUM(S122:V122)</f>
        <v>9482</v>
      </c>
      <c r="X122" s="35">
        <f>SUM(X115,X116,X120,X121)</f>
        <v>1539</v>
      </c>
      <c r="Y122" s="35">
        <f>SUM(Y115,Y116,Y120,Y121)</f>
        <v>1266</v>
      </c>
      <c r="Z122" s="35">
        <f>SUM(Z115,Z116,Z120,Z121)</f>
        <v>1852</v>
      </c>
      <c r="AA122" s="35">
        <f>SUM(AA115,AA116,AA120,AA121)</f>
        <v>1899</v>
      </c>
      <c r="AB122" s="35">
        <f>SUM(X122:AA122)</f>
        <v>6556</v>
      </c>
      <c r="AC122" s="35">
        <f>SUM(AC115,AC116,AC120,AC121)</f>
        <v>1978</v>
      </c>
      <c r="AD122" s="35">
        <f>SUM(AD115,AD116,AD120,AD121)</f>
        <v>2028</v>
      </c>
      <c r="AE122" s="35">
        <f>SUM(AE115,AE116,AE120,AE121)</f>
        <v>2157</v>
      </c>
      <c r="AF122" s="35">
        <f>SUM(AF115,AF116,AF120,AF121)</f>
        <v>2541</v>
      </c>
      <c r="AG122" s="35">
        <f>SUM(AC122:AF122)</f>
        <v>8704</v>
      </c>
      <c r="AH122" s="35">
        <f>SUM(AH115,AH116,AH120,AH121)</f>
        <v>1904</v>
      </c>
      <c r="AI122" s="35">
        <f>SUM(AI115,AI116,AI120,AI121)</f>
        <v>2370</v>
      </c>
      <c r="AJ122" s="35">
        <f>SUM(AJ115,AJ116,AJ120,AJ121)</f>
        <v>2873.62059180864</v>
      </c>
      <c r="AK122" s="35">
        <f>SUM(AK115,AK116,AK120,AK121)</f>
        <v>3000.06839061082</v>
      </c>
      <c r="AL122" s="35">
        <f>SUM(AH122:AK122)</f>
        <v>10147.6889824195</v>
      </c>
      <c r="AM122" s="35">
        <f>SUM(AM115,AM116,AM120,AM121)</f>
        <v>2923.39761708338</v>
      </c>
      <c r="AN122" s="35">
        <f>SUM(AN115,AN116,AN120,AN121)</f>
        <v>3149.16355636266</v>
      </c>
      <c r="AO122" s="35">
        <f>SUM(AO115,AO116,AO120,AO121)</f>
        <v>3445.33835253588</v>
      </c>
      <c r="AP122" s="35">
        <f>SUM(AP115,AP116,AP120,AP121)</f>
        <v>3596.94342247752</v>
      </c>
      <c r="AQ122" s="35">
        <f>SUM(AM122:AP122)</f>
        <v>13114.8429484594</v>
      </c>
      <c r="AR122" s="35">
        <f>SUM(AR115,AR116,AR120,AR121)</f>
        <v>3490.401718476</v>
      </c>
      <c r="AS122" s="35">
        <f>SUM(AS115,AS116,AS120,AS121)</f>
        <v>3759.95582149258</v>
      </c>
      <c r="AT122" s="35">
        <f>SUM(AT115,AT116,AT120,AT121)</f>
        <v>4113.57484734499</v>
      </c>
      <c r="AU122" s="35">
        <f>SUM(AU115,AU116,AU120,AU121)</f>
        <v>4294.58429797933</v>
      </c>
      <c r="AV122" s="35">
        <f>SUM(AR122:AU122)</f>
        <v>15658.5166852929</v>
      </c>
      <c r="AW122" s="35">
        <f>SUM(AW115,AW116,AW120,AW121)</f>
        <v>4149.92641613756</v>
      </c>
      <c r="AX122" s="35">
        <f>SUM(AX115,AX116,AX120,AX121)</f>
        <v>4470.41379349744</v>
      </c>
      <c r="AY122" s="35">
        <f>SUM(AY115,AY116,AY120,AY121)</f>
        <v>4890.85048101846</v>
      </c>
      <c r="AZ122" s="35">
        <f>SUM(AZ115,AZ116,AZ120,AZ121)</f>
        <v>5106.06235671224</v>
      </c>
      <c r="BA122" s="35">
        <f>SUM(AW122:AZ122)</f>
        <v>18617.2530473657</v>
      </c>
      <c r="BB122" s="35">
        <f>SUM(BB115,BB116,BB120,BB121)</f>
        <v>4913.32118509615</v>
      </c>
      <c r="BC122" s="35">
        <f>SUM(BC115,BC116,BC120,BC121)</f>
        <v>5292.76343607558</v>
      </c>
      <c r="BD122" s="35">
        <f>SUM(BD115,BD116,BD120,BD121)</f>
        <v>5790.54105347038</v>
      </c>
      <c r="BE122" s="35">
        <f>SUM(BE115,BE116,BE120,BE121)</f>
        <v>6045.34197331769</v>
      </c>
      <c r="BF122" s="35">
        <f>SUM(BB122:BE122)</f>
        <v>22041.9676479598</v>
      </c>
      <c r="BG122" s="35" t="n"/>
      <c r="BH122" s="35" t="n"/>
      <c r="BI122" s="35" t="n"/>
      <c r="BJ122" s="35" t="n"/>
      <c r="BK122" s="35" t="n"/>
      <c r="BL122" s="35" t="n"/>
      <c r="BM122" s="35" t="n"/>
      <c r="BN122" s="35" t="n"/>
      <c r="BO122" s="35" t="n"/>
      <c r="BP122" s="35" t="n"/>
      <c r="BQ122" s="35" t="n"/>
      <c r="BR122" s="35" t="n"/>
      <c r="BS122" s="35" t="n"/>
      <c r="BT122" s="35" t="n"/>
      <c r="BU122" s="35" t="n"/>
      <c r="BV122" s="35" t="n"/>
      <c r="BW122" s="35" t="n"/>
      <c r="BX122" s="35" t="n"/>
      <c r="BY122" s="35" t="n"/>
      <c r="BZ122" s="35" t="n"/>
      <c r="CA122" s="35" t="n"/>
      <c r="CB122" s="35" t="n"/>
      <c r="CC122" s="35" t="n"/>
      <c r="CD122" s="35" t="n"/>
      <c r="CE122" s="35" t="n"/>
      <c r="CF122" s="35" t="n"/>
      <c r="CG122" s="35" t="n"/>
      <c r="CH122" s="35" t="n"/>
      <c r="CI122" s="35" t="n"/>
      <c r="CJ122" s="35" t="n"/>
      <c r="CK122" s="35" t="n"/>
      <c r="CL122" s="35" t="n"/>
      <c r="CM122" s="35" t="n"/>
      <c r="CN122" s="35" t="n"/>
      <c r="CO122" s="35" t="n"/>
      <c r="CP122" s="35" t="n"/>
      <c r="CQ122" s="35" t="n"/>
      <c r="CR122" s="35" t="n"/>
      <c r="CS122" s="35" t="n"/>
      <c r="CT122" s="35" t="n"/>
      <c r="CU122" s="35" t="n"/>
      <c r="CV122" s="35" t="n"/>
      <c r="CW122" s="35" t="n"/>
      <c r="CX122" s="35" t="n"/>
      <c r="CY122" s="35" t="n"/>
    </row>
    <row r="123">
      <c r="C123" s="13" t="inlineStr">
        <is>
          <t>Common Dividends</t>
        </is>
      </c>
      <c r="D123" s="46" t="n"/>
      <c r="E123" s="46" t="n"/>
      <c r="F123" s="46" t="n"/>
      <c r="G123" s="46" t="n"/>
      <c r="H123" s="12" t="n"/>
      <c r="I123" s="46">
        <f>'Inputs (2)'!D13</f>
        <v>-148</v>
      </c>
      <c r="J123" s="46">
        <f>'Inputs (2)'!E13</f>
        <v>-144</v>
      </c>
      <c r="K123" s="46">
        <f>'Inputs (2)'!F13</f>
        <v>-139</v>
      </c>
      <c r="L123" s="46">
        <f>'Inputs (2)'!G13</f>
        <v>-144</v>
      </c>
      <c r="M123" s="12">
        <f>'Inputs (2)'!H13</f>
        <v>-575</v>
      </c>
      <c r="N123" s="46">
        <f>'Inputs (2)'!I13</f>
        <v>-140</v>
      </c>
      <c r="O123" s="46">
        <f>'Inputs (2)'!J13</f>
        <v>-154</v>
      </c>
      <c r="P123" s="46">
        <f>'Inputs (2)'!K13</f>
        <v>-161</v>
      </c>
      <c r="Q123" s="46">
        <f>'Inputs (2)'!L13</f>
        <v>-184</v>
      </c>
      <c r="R123" s="12">
        <f>'Inputs (2)'!M13</f>
        <v>-639</v>
      </c>
      <c r="S123" s="46">
        <f>'Inputs (2)'!N13</f>
        <v>-203</v>
      </c>
      <c r="T123" s="46">
        <f>'Inputs (2)'!O13</f>
        <v>-147</v>
      </c>
      <c r="U123" s="46">
        <f>'Inputs (2)'!P13</f>
        <v>-151</v>
      </c>
      <c r="V123" s="46">
        <f>'Inputs (2)'!Q13</f>
        <v>-88</v>
      </c>
      <c r="W123" s="12">
        <f>'Inputs (2)'!R13</f>
        <v>-589</v>
      </c>
      <c r="X123" s="46">
        <f>'Inputs (2)'!S13</f>
        <v>-86</v>
      </c>
      <c r="Y123" s="46">
        <f>'Inputs (2)'!T13</f>
        <v>-308</v>
      </c>
      <c r="Z123" s="46">
        <f>'Inputs (2)'!U13</f>
        <v>-308</v>
      </c>
      <c r="AA123" s="46">
        <f>'Inputs (2)'!V13</f>
        <v>-306</v>
      </c>
      <c r="AB123" s="12">
        <f>'Inputs (2)'!W13</f>
        <v>-1008</v>
      </c>
      <c r="AC123" s="46">
        <f>'Inputs (2)'!X13</f>
        <v>-302</v>
      </c>
      <c r="AD123" s="46">
        <f>'Inputs (2)'!Y13</f>
        <v>-386</v>
      </c>
      <c r="AE123" s="46">
        <f>'Inputs (2)'!Z13</f>
        <v>-383</v>
      </c>
      <c r="AF123" s="46">
        <f>'Inputs (2)'!AA13</f>
        <v>-381</v>
      </c>
      <c r="AG123" s="12">
        <f>'Inputs (2)'!AB13</f>
        <v>-1452</v>
      </c>
      <c r="AH123" s="12">
        <f>'Inputs (2)'!AC13</f>
        <v>-381</v>
      </c>
      <c r="AI123" s="12">
        <f>'Inputs (2)'!AD13</f>
        <v>-492</v>
      </c>
      <c r="AJ123" s="12">
        <f>-MAX(0,AJ122)*Control!$E$15</f>
        <v>0</v>
      </c>
      <c r="AK123" s="12">
        <f>-MAX(0,AK122)*Control!$E$15</f>
        <v>0</v>
      </c>
      <c r="AL123" s="12">
        <f>SUM(AH123:AK123)</f>
        <v>-873</v>
      </c>
      <c r="AM123" s="12">
        <f>-MAX(0,AM122)*Control!$E$15</f>
        <v>0</v>
      </c>
      <c r="AN123" s="12">
        <f>-MAX(0,AN122)*Control!$E$15</f>
        <v>0</v>
      </c>
      <c r="AO123" s="12">
        <f>-MAX(0,AO122)*Control!$E$15</f>
        <v>0</v>
      </c>
      <c r="AP123" s="12">
        <f>-MAX(0,AP122)*Control!$E$15</f>
        <v>0</v>
      </c>
      <c r="AQ123" s="12">
        <f>SUM(AM123:AP123)</f>
        <v>0</v>
      </c>
      <c r="AR123" s="12">
        <f>-MAX(0,AR122)*Control!$E$15</f>
        <v>0</v>
      </c>
      <c r="AS123" s="12">
        <f>-MAX(0,AS122)*Control!$E$15</f>
        <v>0</v>
      </c>
      <c r="AT123" s="12">
        <f>-MAX(0,AT122)*Control!$E$15</f>
        <v>0</v>
      </c>
      <c r="AU123" s="12">
        <f>-MAX(0,AU122)*Control!$E$15</f>
        <v>0</v>
      </c>
      <c r="AV123" s="12">
        <f>SUM(AR123:AU123)</f>
        <v>0</v>
      </c>
      <c r="AW123" s="12">
        <f>-MAX(0,AW122)*Control!$E$15</f>
        <v>0</v>
      </c>
      <c r="AX123" s="12">
        <f>-MAX(0,AX122)*Control!$E$15</f>
        <v>0</v>
      </c>
      <c r="AY123" s="12">
        <f>-MAX(0,AY122)*Control!$E$15</f>
        <v>0</v>
      </c>
      <c r="AZ123" s="12">
        <f>-MAX(0,AZ122)*Control!$E$15</f>
        <v>0</v>
      </c>
      <c r="BA123" s="12">
        <f>SUM(AW123:AZ123)</f>
        <v>0</v>
      </c>
      <c r="BB123" s="12">
        <f>-MAX(0,BB122)*Control!$E$15</f>
        <v>0</v>
      </c>
      <c r="BC123" s="12">
        <f>-MAX(0,BC122)*Control!$E$15</f>
        <v>0</v>
      </c>
      <c r="BD123" s="12">
        <f>-MAX(0,BD122)*Control!$E$15</f>
        <v>0</v>
      </c>
      <c r="BE123" s="12">
        <f>-MAX(0,BE122)*Control!$E$15</f>
        <v>0</v>
      </c>
      <c r="BF123" s="12">
        <f>SUM(BB123:BE123)</f>
        <v>0</v>
      </c>
      <c r="BG123" s="12" t="n"/>
      <c r="BH123" s="12" t="n"/>
      <c r="BI123" s="12" t="n"/>
      <c r="BJ123" s="12" t="n"/>
      <c r="BK123" s="12" t="n"/>
      <c r="BL123" s="12" t="n"/>
      <c r="BM123" s="12" t="n"/>
      <c r="BN123" s="12" t="n"/>
      <c r="BO123" s="12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  <c r="CA123" s="12" t="n"/>
      <c r="CB123" s="12" t="n"/>
      <c r="CC123" s="12" t="n"/>
      <c r="CD123" s="12" t="n"/>
      <c r="CE123" s="12" t="n"/>
      <c r="CF123" s="12" t="n"/>
      <c r="CG123" s="12" t="n"/>
      <c r="CH123" s="12" t="n"/>
      <c r="CI123" s="12" t="n"/>
      <c r="CJ123" s="12" t="n"/>
      <c r="CK123" s="12" t="n"/>
      <c r="CL123" s="12" t="n"/>
      <c r="CM123" s="12" t="n"/>
      <c r="CN123" s="12" t="n"/>
      <c r="CO123" s="12" t="n"/>
      <c r="CP123" s="12" t="n"/>
      <c r="CQ123" s="12" t="n"/>
      <c r="CR123" s="12" t="n"/>
      <c r="CS123" s="12" t="n"/>
      <c r="CT123" s="12" t="n"/>
      <c r="CU123" s="12" t="n"/>
      <c r="CV123" s="12" t="n"/>
      <c r="CW123" s="12" t="n"/>
      <c r="CX123" s="12" t="n"/>
      <c r="CY123" s="12" t="n"/>
    </row>
    <row r="124" hidden="1" outlineLevel="1">
      <c r="C124" s="50" t="inlineStr">
        <is>
          <t>% DVD Payout</t>
        </is>
      </c>
      <c r="D124" s="58" t="n"/>
      <c r="E124" s="58" t="n"/>
      <c r="F124" s="58" t="n"/>
      <c r="G124" s="58" t="n"/>
      <c r="H124" s="58" t="n"/>
      <c r="I124" s="58">
        <f>IF(I122=0,"",-I123/I122)</f>
        <v>-0.052819414703783</v>
      </c>
      <c r="J124" s="58">
        <f>IF(J122=0,"",-J123/J122)</f>
        <v>-0.127320954907162</v>
      </c>
      <c r="K124" s="58">
        <f>IF(K122=0,"",-K123/K122)</f>
        <v>0.110580747812251</v>
      </c>
      <c r="L124" s="58">
        <f>IF(L122=0,"",-L123/L122)</f>
        <v>-0.0374707259953162</v>
      </c>
      <c r="M124" s="58">
        <f>IF(M122=0,"",-M123/M122)</f>
        <v>-0.0882037122258015</v>
      </c>
      <c r="N124" s="58">
        <f>IF(N122=0,"",-N123/N122)</f>
        <v>-0.123239436619718</v>
      </c>
      <c r="O124" s="58">
        <f>IF(O122=0,"",-O123/O122)</f>
        <v>-0.174603174603175</v>
      </c>
      <c r="P124" s="58">
        <f>IF(P122=0,"",-P123/P122)</f>
        <v>1</v>
      </c>
      <c r="Q124" s="58">
        <f>IF(Q122=0,"",-Q123/Q122)</f>
        <v>0.0837505689576696</v>
      </c>
      <c r="R124" s="58">
        <f>IF(R122=0,"",-R123/R122)</f>
        <v>1.87941176470588</v>
      </c>
      <c r="S124" s="58">
        <f>IF(S122=0,"",-S123/S122)</f>
        <v>0.0270378263185935</v>
      </c>
      <c r="T124" s="58">
        <f>IF(T122=0,"",-T123/T122)</f>
        <v>4.45454545454545</v>
      </c>
      <c r="U124" s="58">
        <f>IF(U122=0,"",-U123/U122)</f>
        <v>0.428977272727273</v>
      </c>
      <c r="V124" s="58">
        <f>IF(V122=0,"",-V123/V122)</f>
        <v>0.0553807426054122</v>
      </c>
      <c r="W124" s="58">
        <f>IF(W122=0,"",-W123/W122)</f>
        <v>0.0621176966884624</v>
      </c>
      <c r="X124" s="58">
        <f>IF(X122=0,"",-X123/X122)</f>
        <v>0.0558804418453541</v>
      </c>
      <c r="Y124" s="58">
        <f>IF(Y122=0,"",-Y123/Y122)</f>
        <v>0.243285939968404</v>
      </c>
      <c r="Z124" s="58">
        <f>IF(Z122=0,"",-Z123/Z122)</f>
        <v>0.166306695464363</v>
      </c>
      <c r="AA124" s="58">
        <f>IF(AA122=0,"",-AA123/AA122)</f>
        <v>0.161137440758294</v>
      </c>
      <c r="AB124" s="58">
        <f>IF(AB122=0,"",-AB123/AB122)</f>
        <v>0.153752287980476</v>
      </c>
      <c r="AC124" s="58">
        <f>IF(AC122=0,"",-AC123/AC122)</f>
        <v>0.15267947421638</v>
      </c>
      <c r="AD124" s="58">
        <f>IF(AD122=0,"",-AD123/AD122)</f>
        <v>0.190335305719921</v>
      </c>
      <c r="AE124" s="58">
        <f>IF(AE122=0,"",-AE123/AE122)</f>
        <v>0.177561427909133</v>
      </c>
      <c r="AF124" s="41">
        <f>IF(AF122=0,"",-AF123/AF122)</f>
        <v>0.149940968122786</v>
      </c>
      <c r="AG124" s="12">
        <f>IF(AG122=0,"",-AG123/AG122)</f>
        <v>0.166819852941176</v>
      </c>
      <c r="AH124" s="41">
        <f>IF(AH122=0,"",-AH123/AH122)</f>
        <v>0.200105042016807</v>
      </c>
      <c r="AI124" s="41">
        <f>IF(AI122=0,"",-AI123/AI122)</f>
        <v>0.207594936708861</v>
      </c>
      <c r="AJ124" s="41">
        <f>IF(AJ122=0,"",-AJ123/AJ122)</f>
        <v>0</v>
      </c>
      <c r="AK124" s="41">
        <f>IF(AK122=0,"",-AK123/AK122)</f>
        <v>0</v>
      </c>
      <c r="AL124" s="12">
        <f>IF(AL122=0,"",-AL123/AL122)</f>
        <v>0.0860294399554858</v>
      </c>
      <c r="AM124" s="41">
        <f>IF(AM122=0,"",-AM123/AM122)</f>
        <v>0</v>
      </c>
      <c r="AN124" s="41">
        <f>IF(AN122=0,"",-AN123/AN122)</f>
        <v>0</v>
      </c>
      <c r="AO124" s="41">
        <f>IF(AO122=0,"",-AO123/AO122)</f>
        <v>0</v>
      </c>
      <c r="AP124" s="41">
        <f>IF(AP122=0,"",-AP123/AP122)</f>
        <v>0</v>
      </c>
      <c r="AQ124" s="12">
        <f>IF(AQ122=0,"",-AQ123/AQ122)</f>
        <v>0</v>
      </c>
      <c r="AR124" s="41">
        <f>IF(AR122=0,"",-AR123/AR122)</f>
        <v>0</v>
      </c>
      <c r="AS124" s="41">
        <f>IF(AS122=0,"",-AS123/AS122)</f>
        <v>0</v>
      </c>
      <c r="AT124" s="41">
        <f>IF(AT122=0,"",-AT123/AT122)</f>
        <v>0</v>
      </c>
      <c r="AU124" s="41">
        <f>IF(AU122=0,"",-AU123/AU122)</f>
        <v>0</v>
      </c>
      <c r="AV124" s="12">
        <f>IF(AV122=0,"",-AV123/AV122)</f>
        <v>0</v>
      </c>
      <c r="AW124" s="41">
        <f>IF(AW122=0,"",-AW123/AW122)</f>
        <v>0</v>
      </c>
      <c r="AX124" s="41">
        <f>IF(AX122=0,"",-AX123/AX122)</f>
        <v>0</v>
      </c>
      <c r="AY124" s="41">
        <f>IF(AY122=0,"",-AY123/AY122)</f>
        <v>0</v>
      </c>
      <c r="AZ124" s="41">
        <f>IF(AZ122=0,"",-AZ123/AZ122)</f>
        <v>0</v>
      </c>
      <c r="BA124" s="12">
        <f>IF(BA122=0,"",-BA123/BA122)</f>
        <v>0</v>
      </c>
      <c r="BB124" s="41">
        <f>IF(BB122=0,"",-BB123/BB122)</f>
        <v>0</v>
      </c>
      <c r="BC124" s="41">
        <f>IF(BC122=0,"",-BC123/BC122)</f>
        <v>0</v>
      </c>
      <c r="BD124" s="41">
        <f>IF(BD122=0,"",-BD123/BD122)</f>
        <v>0</v>
      </c>
      <c r="BE124" s="41">
        <f>IF(BE122=0,"",-BE123/BE122)</f>
        <v>0</v>
      </c>
      <c r="BF124" s="12">
        <f>IF(BF122=0,"",-BF123/BF122)</f>
        <v>0</v>
      </c>
      <c r="BG124" s="41" t="n"/>
      <c r="BH124" s="41" t="n"/>
      <c r="BI124" s="41" t="n"/>
      <c r="BJ124" s="41" t="n"/>
      <c r="BK124" s="12" t="n"/>
      <c r="BL124" s="41" t="n"/>
      <c r="BM124" s="41" t="n"/>
      <c r="BN124" s="41" t="n"/>
      <c r="BO124" s="41" t="n"/>
      <c r="BP124" s="12" t="n"/>
      <c r="BQ124" s="41" t="n"/>
      <c r="BR124" s="41" t="n"/>
      <c r="BS124" s="41" t="n"/>
      <c r="BT124" s="41" t="n"/>
      <c r="BU124" s="12" t="n"/>
      <c r="BV124" s="41" t="n"/>
      <c r="BW124" s="41" t="n"/>
      <c r="BX124" s="41" t="n"/>
      <c r="BY124" s="41" t="n"/>
      <c r="BZ124" s="12" t="n"/>
      <c r="CA124" s="41" t="n"/>
      <c r="CB124" s="41" t="n"/>
      <c r="CC124" s="41" t="n"/>
      <c r="CD124" s="41" t="n"/>
      <c r="CE124" s="12" t="n"/>
      <c r="CF124" s="41" t="n"/>
      <c r="CG124" s="41" t="n"/>
      <c r="CH124" s="41" t="n"/>
      <c r="CI124" s="41" t="n"/>
      <c r="CJ124" s="12" t="n"/>
      <c r="CK124" s="41" t="n"/>
      <c r="CL124" s="41" t="n"/>
      <c r="CM124" s="41" t="n"/>
      <c r="CN124" s="41" t="n"/>
      <c r="CO124" s="12" t="n"/>
      <c r="CP124" s="41" t="n"/>
      <c r="CQ124" s="41" t="n"/>
      <c r="CR124" s="41" t="n"/>
      <c r="CS124" s="41" t="n"/>
      <c r="CT124" s="12" t="n"/>
      <c r="CU124" s="41" t="n"/>
      <c r="CV124" s="41" t="n"/>
      <c r="CW124" s="41" t="n"/>
      <c r="CX124" s="41" t="n"/>
      <c r="CY124" s="12" t="n"/>
    </row>
    <row r="125" hidden="1" outlineLevel="1">
      <c r="C125" s="18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  <c r="CU125" s="3" t="n"/>
      <c r="CV125" s="3" t="n"/>
      <c r="CW125" s="3" t="n"/>
      <c r="CX125" s="3" t="n"/>
      <c r="CY125" s="3" t="n"/>
    </row>
    <row r="126" hidden="1" outlineLevel="1">
      <c r="C126" s="18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  <c r="CU126" s="3" t="n"/>
      <c r="CV126" s="3" t="n"/>
      <c r="CW126" s="3" t="n"/>
      <c r="CX126" s="3" t="n"/>
      <c r="CY126" s="3" t="n"/>
    </row>
    <row r="127" collapsed="1" ht="11.25" customHeight="1">
      <c r="C127" s="31" t="inlineStr">
        <is>
          <t>Balance Sheet</t>
        </is>
      </c>
      <c r="D127" s="31" t="n"/>
      <c r="E127" s="31" t="n"/>
      <c r="F127" s="31" t="n"/>
      <c r="G127" s="31" t="n"/>
      <c r="H127" s="31" t="n"/>
      <c r="I127" s="31" t="str">
        <f>I13</f>
        <v>1Q21</v>
      </c>
      <c r="J127" s="31" t="str">
        <f>J13</f>
        <v>2Q21</v>
      </c>
      <c r="K127" s="31" t="str">
        <f>K13</f>
        <v>3Q21</v>
      </c>
      <c r="L127" s="31" t="str">
        <f>L13</f>
        <v>4Q21</v>
      </c>
      <c r="M127" s="31">
        <f>M13</f>
        <v>2021</v>
      </c>
      <c r="N127" s="31" t="str">
        <f>N13</f>
        <v>1Q22</v>
      </c>
      <c r="O127" s="31" t="str">
        <f>O13</f>
        <v>2Q22</v>
      </c>
      <c r="P127" s="31" t="str">
        <f>P13</f>
        <v>3Q22</v>
      </c>
      <c r="Q127" s="31" t="str">
        <f>Q13</f>
        <v>4Q22</v>
      </c>
      <c r="R127" s="31">
        <f>R13</f>
        <v>2022</v>
      </c>
      <c r="S127" s="31" t="str">
        <f>S13</f>
        <v>1Q23</v>
      </c>
      <c r="T127" s="31" t="str">
        <f>T13</f>
        <v>2Q23</v>
      </c>
      <c r="U127" s="31" t="str">
        <f>U13</f>
        <v>3Q23</v>
      </c>
      <c r="V127" s="31" t="str">
        <f>V13</f>
        <v>4Q23</v>
      </c>
      <c r="W127" s="31">
        <f>W13</f>
        <v>2023</v>
      </c>
      <c r="X127" s="31" t="str">
        <f>X13</f>
        <v>1Q24</v>
      </c>
      <c r="Y127" s="31" t="str">
        <f>Y13</f>
        <v>2Q24</v>
      </c>
      <c r="Z127" s="31" t="str">
        <f>Z13</f>
        <v>3Q24</v>
      </c>
      <c r="AA127" s="31" t="str">
        <f>AA13</f>
        <v>4Q24</v>
      </c>
      <c r="AB127" s="31">
        <f>AB13</f>
        <v>2024</v>
      </c>
      <c r="AC127" s="31" t="str">
        <f>AC13</f>
        <v>1Q25</v>
      </c>
      <c r="AD127" s="31" t="str">
        <f>AD13</f>
        <v>2Q25</v>
      </c>
      <c r="AE127" s="31" t="str">
        <f>AE13</f>
        <v>3Q25</v>
      </c>
      <c r="AF127" s="31" t="str">
        <f>AF13</f>
        <v>4Q25</v>
      </c>
      <c r="AG127" s="31">
        <f>AG13</f>
        <v>2025</v>
      </c>
      <c r="AH127" s="31" t="str">
        <f>AH13</f>
        <v>1Q26</v>
      </c>
      <c r="AI127" s="31" t="str">
        <f>AI13</f>
        <v>2Q26</v>
      </c>
      <c r="AJ127" s="31" t="str">
        <f>AJ13</f>
        <v>3Q26</v>
      </c>
      <c r="AK127" s="31" t="str">
        <f>AK13</f>
        <v>4Q26</v>
      </c>
      <c r="AL127" s="31">
        <f>AL13</f>
        <v>2026</v>
      </c>
      <c r="AM127" s="31" t="str">
        <f>AM13</f>
        <v>1Q27</v>
      </c>
      <c r="AN127" s="31" t="str">
        <f>AN13</f>
        <v>2Q27</v>
      </c>
      <c r="AO127" s="31" t="str">
        <f>AO13</f>
        <v>3Q27</v>
      </c>
      <c r="AP127" s="31" t="str">
        <f>AP13</f>
        <v>4Q27</v>
      </c>
      <c r="AQ127" s="31">
        <f>AQ13</f>
        <v>2027</v>
      </c>
      <c r="AR127" s="31" t="str">
        <f>AR13</f>
        <v>1Q28</v>
      </c>
      <c r="AS127" s="31" t="str">
        <f>AS13</f>
        <v>2Q28</v>
      </c>
      <c r="AT127" s="31" t="str">
        <f>AT13</f>
        <v>3Q28</v>
      </c>
      <c r="AU127" s="31" t="str">
        <f>AU13</f>
        <v>4Q28</v>
      </c>
      <c r="AV127" s="31">
        <f>AV13</f>
        <v>2028</v>
      </c>
      <c r="AW127" s="31" t="str">
        <f>AW13</f>
        <v>1Q29</v>
      </c>
      <c r="AX127" s="31" t="str">
        <f>AX13</f>
        <v>2Q29</v>
      </c>
      <c r="AY127" s="31" t="str">
        <f>AY13</f>
        <v>3Q29</v>
      </c>
      <c r="AZ127" s="31" t="str">
        <f>AZ13</f>
        <v>4Q29</v>
      </c>
      <c r="BA127" s="31">
        <f>BA13</f>
        <v>2029</v>
      </c>
      <c r="BB127" s="31" t="str">
        <f>BB13</f>
        <v>1Q30</v>
      </c>
      <c r="BC127" s="31" t="str">
        <f>BC13</f>
        <v>2Q30</v>
      </c>
      <c r="BD127" s="31" t="str">
        <f>BD13</f>
        <v>3Q30</v>
      </c>
      <c r="BE127" s="31" t="str">
        <f>BE13</f>
        <v>4Q30</v>
      </c>
      <c r="BF127" s="31">
        <f>BF13</f>
        <v>2030</v>
      </c>
      <c r="BG127" s="31" t="n"/>
      <c r="BH127" s="31" t="n"/>
      <c r="BI127" s="31" t="n"/>
      <c r="BJ127" s="31" t="n"/>
      <c r="BK127" s="31" t="n"/>
      <c r="BL127" s="31" t="n"/>
      <c r="BM127" s="31" t="n"/>
      <c r="BN127" s="31" t="n"/>
      <c r="BO127" s="31" t="n"/>
      <c r="BP127" s="31" t="n"/>
      <c r="BQ127" s="31" t="n"/>
      <c r="BR127" s="31" t="n"/>
      <c r="BS127" s="31" t="n"/>
      <c r="BT127" s="31" t="n"/>
      <c r="BU127" s="31" t="n"/>
      <c r="BV127" s="31" t="n"/>
      <c r="BW127" s="31" t="n"/>
      <c r="BX127" s="31" t="n"/>
      <c r="BY127" s="31" t="n"/>
      <c r="BZ127" s="31" t="n"/>
      <c r="CA127" s="31" t="n"/>
      <c r="CB127" s="31" t="n"/>
      <c r="CC127" s="31" t="n"/>
      <c r="CD127" s="31" t="n"/>
      <c r="CE127" s="31" t="n"/>
      <c r="CF127" s="31" t="n"/>
      <c r="CG127" s="31" t="n"/>
      <c r="CH127" s="31" t="n"/>
      <c r="CI127" s="31" t="n"/>
      <c r="CJ127" s="31" t="n"/>
      <c r="CK127" s="31" t="n"/>
      <c r="CL127" s="31" t="n"/>
      <c r="CM127" s="31" t="n"/>
      <c r="CN127" s="31" t="n"/>
      <c r="CO127" s="31" t="n"/>
      <c r="CP127" s="31" t="n"/>
      <c r="CQ127" s="31" t="n"/>
      <c r="CR127" s="31" t="n"/>
      <c r="CS127" s="31" t="n"/>
      <c r="CT127" s="31" t="n"/>
      <c r="CU127" s="31" t="n"/>
      <c r="CV127" s="31" t="n"/>
      <c r="CW127" s="31" t="n"/>
      <c r="CX127" s="31" t="n"/>
      <c r="CY127" s="31" t="n"/>
    </row>
    <row r="128">
      <c r="C128" s="18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  <c r="CU128" s="3" t="n"/>
      <c r="CV128" s="3" t="n"/>
      <c r="CW128" s="3" t="n"/>
      <c r="CX128" s="3" t="n"/>
      <c r="CY128" s="3" t="n"/>
    </row>
    <row r="129">
      <c r="C129" s="13" t="inlineStr">
        <is>
          <t>Cash and equivalents (inc. investment securities)</t>
        </is>
      </c>
      <c r="D129" s="46" t="n"/>
      <c r="E129" s="46" t="n"/>
      <c r="F129" s="46" t="n"/>
      <c r="G129" s="46" t="n"/>
      <c r="H129" s="12" t="n"/>
      <c r="I129" s="46">
        <f>'Inputs (2)'!D15</f>
        <v>31783</v>
      </c>
      <c r="J129" s="46">
        <f>'Inputs (2)'!E15</f>
        <v>22460</v>
      </c>
      <c r="K129" s="46">
        <f>'Inputs (2)'!F15</f>
        <v>24955</v>
      </c>
      <c r="L129" s="46">
        <f>'Inputs (2)'!G15</f>
        <v>15770</v>
      </c>
      <c r="M129" s="12">
        <f>'Inputs (2)'!H15</f>
        <v>15770</v>
      </c>
      <c r="N129" s="46">
        <f>'Inputs (2)'!I15</f>
        <v>12842</v>
      </c>
      <c r="O129" s="46">
        <f>'Inputs (2)'!J15</f>
        <v>13190</v>
      </c>
      <c r="P129" s="46">
        <f>'Inputs (2)'!K15</f>
        <v>12596</v>
      </c>
      <c r="Q129" s="46">
        <f>'Inputs (2)'!L15</f>
        <v>17262</v>
      </c>
      <c r="R129" s="12">
        <f>'Inputs (2)'!M15</f>
        <v>17262</v>
      </c>
      <c r="S129" s="46">
        <f>'Inputs (2)'!N15</f>
        <v>12001</v>
      </c>
      <c r="T129" s="46">
        <f>'Inputs (2)'!O15</f>
        <v>12766</v>
      </c>
      <c r="U129" s="46">
        <f>'Inputs (2)'!P15</f>
        <v>13127</v>
      </c>
      <c r="V129" s="46">
        <f>'Inputs (2)'!Q15</f>
        <v>16967</v>
      </c>
      <c r="W129" s="12">
        <f>'Inputs (2)'!R15</f>
        <v>16967</v>
      </c>
      <c r="X129" s="46">
        <f>'Inputs (2)'!S15</f>
        <v>18447</v>
      </c>
      <c r="Y129" s="46">
        <f>'Inputs (2)'!T15</f>
        <v>12107</v>
      </c>
      <c r="Z129" s="46">
        <f>'Inputs (2)'!U15</f>
        <v>13724</v>
      </c>
      <c r="AA129" s="46">
        <f>'Inputs (2)'!V15</f>
        <v>13619</v>
      </c>
      <c r="AB129" s="12">
        <f>'Inputs (2)'!W15</f>
        <v>13619</v>
      </c>
      <c r="AC129" s="46">
        <f>'Inputs (2)'!X15</f>
        <v>12405</v>
      </c>
      <c r="AD129" s="46">
        <f>'Inputs (2)'!Y15</f>
        <v>10861</v>
      </c>
      <c r="AE129" s="46">
        <f>'Inputs (2)'!Z15</f>
        <v>12501</v>
      </c>
      <c r="AF129" s="46">
        <f>'Inputs (2)'!AA15</f>
        <v>12392</v>
      </c>
      <c r="AG129" s="12">
        <f>'Inputs (2)'!AB15</f>
        <v>12392</v>
      </c>
      <c r="AH129" s="12">
        <f>'Inputs (2)'!AC15</f>
        <v>10981</v>
      </c>
      <c r="AI129" s="12">
        <f>'Inputs (2)'!AD15</f>
        <v>9345</v>
      </c>
      <c r="AJ129" s="12">
        <f>AJ258-SUM(AJ130,AJ134,AJ138,AJ139,AJ140,AJ146,AJ151,AJ161,AJ164,AJ165,AJ174)</f>
        <v>10331.4632490951</v>
      </c>
      <c r="AK129" s="12">
        <f>AK258-SUM(AK130,AK134,AK138,AK139,AK140,AK146,AK151,AK161,AK164,AK165,AK174)</f>
        <v>12635.4993816491</v>
      </c>
      <c r="AL129" s="12">
        <f>AK129</f>
        <v>12635.4993816491</v>
      </c>
      <c r="AM129" s="12">
        <f>AM258-SUM(AM130,AM134,AM138,AM139,AM140,AM146,AM151,AM161,AM164,AM165,AM174)</f>
        <v>15625.6536084191</v>
      </c>
      <c r="AN129" s="12">
        <f>AN258-SUM(AN130,AN134,AN138,AN139,AN140,AN146,AN151,AN161,AN164,AN165,AN174)</f>
        <v>17698.1175610838</v>
      </c>
      <c r="AO129" s="12">
        <f>AO258-SUM(AO130,AO134,AO138,AO139,AO140,AO146,AO151,AO161,AO164,AO165,AO174)</f>
        <v>19701.6511493053</v>
      </c>
      <c r="AP129" s="12">
        <f>AP258-SUM(AP130,AP134,AP138,AP139,AP140,AP146,AP151,AP161,AP164,AP165,AP174)</f>
        <v>22464.0840451945</v>
      </c>
      <c r="AQ129" s="12">
        <f>AP129</f>
        <v>22464.0840451945</v>
      </c>
      <c r="AR129" s="12">
        <f>AR258-SUM(AR130,AR134,AR138,AR139,AR140,AR146,AR151,AR161,AR164,AR165,AR174)</f>
        <v>26333.5139895165</v>
      </c>
      <c r="AS129" s="12">
        <f>AS258-SUM(AS130,AS134,AS138,AS139,AS140,AS146,AS151,AS161,AS164,AS165,AS174)</f>
        <v>28591.4435226735</v>
      </c>
      <c r="AT129" s="12">
        <f>AT258-SUM(AT130,AT134,AT138,AT139,AT140,AT146,AT151,AT161,AT164,AT165,AT174)</f>
        <v>30983.5700806508</v>
      </c>
      <c r="AU129" s="12">
        <f>AU258-SUM(AU130,AU134,AU138,AU139,AU140,AU146,AU151,AU161,AU164,AU165,AU174)</f>
        <v>34281.787357234</v>
      </c>
      <c r="AV129" s="12">
        <f>AU129</f>
        <v>34281.787357234</v>
      </c>
      <c r="AW129" s="12">
        <f>AW258-SUM(AW130,AW134,AW138,AW139,AW140,AW146,AW151,AW161,AW164,AW165,AW174)</f>
        <v>38724.2622674852</v>
      </c>
      <c r="AX129" s="12">
        <f>AX258-SUM(AX130,AX134,AX138,AX139,AX140,AX146,AX151,AX161,AX164,AX165,AX174)</f>
        <v>41666.2407562809</v>
      </c>
      <c r="AY129" s="12">
        <f>AY258-SUM(AY130,AY134,AY138,AY139,AY140,AY146,AY151,AY161,AY164,AY165,AY174)</f>
        <v>44510.3687376379</v>
      </c>
      <c r="AZ129" s="12">
        <f>AZ258-SUM(AZ130,AZ134,AZ138,AZ139,AZ140,AZ146,AZ151,AZ161,AZ164,AZ165,AZ174)</f>
        <v>48431.7967296657</v>
      </c>
      <c r="BA129" s="12">
        <f>AZ129</f>
        <v>48431.7967296657</v>
      </c>
      <c r="BB129" s="12">
        <f>BB258-SUM(BB130,BB134,BB138,BB139,BB140,BB146,BB151,BB161,BB164,BB165,BB174)</f>
        <v>53810.048610546</v>
      </c>
      <c r="BC129" s="12">
        <f>BC258-SUM(BC130,BC134,BC138,BC139,BC140,BC146,BC151,BC161,BC164,BC165,BC174)</f>
        <v>57293.2152466789</v>
      </c>
      <c r="BD129" s="12">
        <f>BD258-SUM(BD130,BD134,BD138,BD139,BD140,BD146,BD151,BD161,BD164,BD165,BD174)</f>
        <v>60660.5314018728</v>
      </c>
      <c r="BE129" s="12">
        <f>BE258-SUM(BE130,BE134,BE138,BE139,BE140,BE146,BE151,BE161,BE164,BE165,BE174)</f>
        <v>65303.3210075237</v>
      </c>
      <c r="BF129" s="12">
        <f>BE129</f>
        <v>65303.3210075237</v>
      </c>
      <c r="BG129" s="12" t="n"/>
      <c r="BH129" s="12" t="n"/>
      <c r="BI129" s="12" t="n"/>
      <c r="BJ129" s="12" t="n"/>
      <c r="BK129" s="12" t="n"/>
      <c r="BL129" s="12" t="n"/>
      <c r="BM129" s="12" t="n"/>
      <c r="BN129" s="12" t="n"/>
      <c r="BO129" s="12" t="n"/>
      <c r="BP129" s="12" t="n"/>
      <c r="BQ129" s="12" t="n"/>
      <c r="BR129" s="12" t="n"/>
      <c r="BS129" s="12" t="n"/>
      <c r="BT129" s="12" t="n"/>
      <c r="BU129" s="12" t="n"/>
      <c r="BV129" s="12" t="n"/>
      <c r="BW129" s="12" t="n"/>
      <c r="BX129" s="12" t="n"/>
      <c r="BY129" s="12" t="n"/>
      <c r="BZ129" s="12" t="n"/>
      <c r="CA129" s="12" t="n"/>
      <c r="CB129" s="12" t="n"/>
      <c r="CC129" s="12" t="n"/>
      <c r="CD129" s="12" t="n"/>
      <c r="CE129" s="12" t="n"/>
      <c r="CF129" s="12" t="n"/>
      <c r="CG129" s="12" t="n"/>
      <c r="CH129" s="12" t="n"/>
      <c r="CI129" s="12" t="n"/>
      <c r="CJ129" s="12" t="n"/>
      <c r="CK129" s="12" t="n"/>
      <c r="CL129" s="12" t="n"/>
      <c r="CM129" s="12" t="n"/>
      <c r="CN129" s="12" t="n"/>
      <c r="CO129" s="12" t="n"/>
      <c r="CP129" s="12" t="n"/>
      <c r="CQ129" s="12" t="n"/>
      <c r="CR129" s="12" t="n"/>
      <c r="CS129" s="12" t="n"/>
      <c r="CT129" s="12" t="n"/>
      <c r="CU129" s="12" t="n"/>
      <c r="CV129" s="12" t="n"/>
      <c r="CW129" s="12" t="n"/>
      <c r="CX129" s="12" t="n"/>
      <c r="CY129" s="12" t="n"/>
    </row>
    <row r="130">
      <c r="C130" s="14" t="inlineStr">
        <is>
          <t>Accounts receivable</t>
        </is>
      </c>
      <c r="D130" s="46" t="n"/>
      <c r="E130" s="46" t="n"/>
      <c r="F130" s="46" t="n"/>
      <c r="G130" s="46" t="n"/>
      <c r="H130" s="12" t="n"/>
      <c r="I130" s="46">
        <f>'Inputs (2)'!D16</f>
        <v>15381</v>
      </c>
      <c r="J130" s="46">
        <f>'Inputs (2)'!E16</f>
        <v>15190</v>
      </c>
      <c r="K130" s="46">
        <f>'Inputs (2)'!F16</f>
        <v>14874</v>
      </c>
      <c r="L130" s="46">
        <f>'Inputs (2)'!G16</f>
        <v>15620</v>
      </c>
      <c r="M130" s="12">
        <f>'Inputs (2)'!H16</f>
        <v>15620</v>
      </c>
      <c r="N130" s="46">
        <f>'Inputs (2)'!I16</f>
        <v>16050</v>
      </c>
      <c r="O130" s="46">
        <f>'Inputs (2)'!J16</f>
        <v>16283</v>
      </c>
      <c r="P130" s="46">
        <f>'Inputs (2)'!K16</f>
        <v>17197</v>
      </c>
      <c r="Q130" s="46">
        <f>'Inputs (2)'!L16</f>
        <v>17976</v>
      </c>
      <c r="R130" s="12">
        <f>'Inputs (2)'!M16</f>
        <v>17976</v>
      </c>
      <c r="S130" s="46">
        <f>'Inputs (2)'!N16</f>
        <v>14212</v>
      </c>
      <c r="T130" s="46">
        <f>'Inputs (2)'!O16</f>
        <v>14767</v>
      </c>
      <c r="U130" s="46">
        <f>'Inputs (2)'!P16</f>
        <v>14546</v>
      </c>
      <c r="V130" s="46">
        <f>'Inputs (2)'!Q16</f>
        <v>15466</v>
      </c>
      <c r="W130" s="12">
        <f>'Inputs (2)'!R16</f>
        <v>15466</v>
      </c>
      <c r="X130" s="46">
        <f>'Inputs (2)'!S16</f>
        <v>15100</v>
      </c>
      <c r="Y130" s="46">
        <f>'Inputs (2)'!T16</f>
        <v>8370</v>
      </c>
      <c r="Z130" s="46">
        <f>'Inputs (2)'!U16</f>
        <v>8936</v>
      </c>
      <c r="AA130" s="46">
        <f>'Inputs (2)'!V16</f>
        <v>9327</v>
      </c>
      <c r="AB130" s="12">
        <f>'Inputs (2)'!W16</f>
        <v>9327</v>
      </c>
      <c r="AC130" s="46">
        <f>'Inputs (2)'!X16</f>
        <v>9653</v>
      </c>
      <c r="AD130" s="46">
        <f>'Inputs (2)'!Y16</f>
        <v>10512</v>
      </c>
      <c r="AE130" s="46">
        <f>'Inputs (2)'!Z16</f>
        <v>10671</v>
      </c>
      <c r="AF130" s="46">
        <f>'Inputs (2)'!AA16</f>
        <v>11773</v>
      </c>
      <c r="AG130" s="12">
        <f>'Inputs (2)'!AB16</f>
        <v>11773</v>
      </c>
      <c r="AH130" s="12">
        <f>'Inputs (2)'!AC16</f>
        <v>12466</v>
      </c>
      <c r="AI130" s="12">
        <f>'Inputs (2)'!AD16</f>
        <v>12360</v>
      </c>
      <c r="AJ130" s="12">
        <f>(AJ131/(AJ$5-AI$5))*AJ$15</f>
        <v>13619.9350723129</v>
      </c>
      <c r="AK130" s="12">
        <f>(AK131/(AK$5-AJ$5))*AK$15</f>
        <v>14219.2524681556</v>
      </c>
      <c r="AL130" s="12">
        <f>AK130</f>
        <v>14219.2524681556</v>
      </c>
      <c r="AM130" s="12">
        <f>(AM131/(AM$5-AL$5))*AM$15</f>
        <v>14163.7683991292</v>
      </c>
      <c r="AN130" s="12">
        <f>(AN131/(AN$5-AM$5))*AN$15</f>
        <v>15089.9312853363</v>
      </c>
      <c r="AO130" s="12">
        <f>(AO131/(AO$5-AN$5))*AO$15</f>
        <v>16329.673025538</v>
      </c>
      <c r="AP130" s="12">
        <f>(AP131/(AP$5-AO$5))*AP$15</f>
        <v>17048.2268997428</v>
      </c>
      <c r="AQ130" s="12">
        <f>AP130</f>
        <v>17048.2268997428</v>
      </c>
      <c r="AR130" s="12">
        <f>(AR131/(AR$5-AQ$5))*AR$15</f>
        <v>16725.0513183435</v>
      </c>
      <c r="AS130" s="12">
        <f>(AS131/(AS$5-AR$5))*AS$15</f>
        <v>18016.6809270955</v>
      </c>
      <c r="AT130" s="12">
        <f>(AT131/(AT$5-AS$5))*AT$15</f>
        <v>19496.8752992807</v>
      </c>
      <c r="AU130" s="12">
        <f>(AU131/(AU$5-AT$5))*AU$15</f>
        <v>20354.7954339506</v>
      </c>
      <c r="AV130" s="12">
        <f>AU130</f>
        <v>20354.7954339506</v>
      </c>
      <c r="AW130" s="12">
        <f>(AW131/(AW$5-AV$5))*AW$15</f>
        <v>20106.2613885014</v>
      </c>
      <c r="AX130" s="12">
        <f>(AX131/(AX$5-AW$5))*AX$15</f>
        <v>21421.0014035637</v>
      </c>
      <c r="AY130" s="12">
        <f>(AY131/(AY$5-AX$5))*AY$15</f>
        <v>23180.884139592</v>
      </c>
      <c r="AZ130" s="12">
        <f>(AZ131/(AZ$5-AY$5))*AZ$15</f>
        <v>24200.9115510378</v>
      </c>
      <c r="BA130" s="12">
        <f>AZ130</f>
        <v>24200.9115510378</v>
      </c>
      <c r="BB130" s="12">
        <f>(BB131/(BB$5-BA$5))*BB$15</f>
        <v>23804.8847442335</v>
      </c>
      <c r="BC130" s="12">
        <f>(BC131/(BC$5-BB$5))*BC$15</f>
        <v>25361.4761921637</v>
      </c>
      <c r="BD130" s="12">
        <f>(BD131/(BD$5-BC$5))*BD$15</f>
        <v>27445.0960598771</v>
      </c>
      <c r="BE130" s="12">
        <f>(BE131/(BE$5-BD$5))*BE$15</f>
        <v>28652.7613983627</v>
      </c>
      <c r="BF130" s="12">
        <f>BE130</f>
        <v>28652.7613983627</v>
      </c>
      <c r="BG130" s="12" t="n"/>
      <c r="BH130" s="12" t="n"/>
      <c r="BI130" s="12" t="n"/>
      <c r="BJ130" s="12" t="n"/>
      <c r="BK130" s="12" t="n"/>
      <c r="BL130" s="12" t="n"/>
      <c r="BM130" s="12" t="n"/>
      <c r="BN130" s="12" t="n"/>
      <c r="BO130" s="12" t="n"/>
      <c r="BP130" s="12" t="n"/>
      <c r="BQ130" s="12" t="n"/>
      <c r="BR130" s="12" t="n"/>
      <c r="BS130" s="12" t="n"/>
      <c r="BT130" s="12" t="n"/>
      <c r="BU130" s="12" t="n"/>
      <c r="BV130" s="12" t="n"/>
      <c r="BW130" s="12" t="n"/>
      <c r="BX130" s="12" t="n"/>
      <c r="BY130" s="12" t="n"/>
      <c r="BZ130" s="12" t="n"/>
      <c r="CA130" s="12" t="n"/>
      <c r="CB130" s="12" t="n"/>
      <c r="CC130" s="12" t="n"/>
      <c r="CD130" s="12" t="n"/>
      <c r="CE130" s="12" t="n"/>
      <c r="CF130" s="12" t="n"/>
      <c r="CG130" s="12" t="n"/>
      <c r="CH130" s="12" t="n"/>
      <c r="CI130" s="12" t="n"/>
      <c r="CJ130" s="12" t="n"/>
      <c r="CK130" s="12" t="n"/>
      <c r="CL130" s="12" t="n"/>
      <c r="CM130" s="12" t="n"/>
      <c r="CN130" s="12" t="n"/>
      <c r="CO130" s="12" t="n"/>
      <c r="CP130" s="12" t="n"/>
      <c r="CQ130" s="12" t="n"/>
      <c r="CR130" s="12" t="n"/>
      <c r="CS130" s="12" t="n"/>
      <c r="CT130" s="12" t="n"/>
      <c r="CU130" s="12" t="n"/>
      <c r="CV130" s="12" t="n"/>
      <c r="CW130" s="12" t="n"/>
      <c r="CX130" s="12" t="n"/>
      <c r="CY130" s="12" t="n"/>
    </row>
    <row r="131" hidden="1" outlineLevel="1">
      <c r="C131" s="57" t="inlineStr">
        <is>
          <t>DSO</t>
        </is>
      </c>
      <c r="D131" s="12" t="n"/>
      <c r="E131" s="12" t="n"/>
      <c r="F131" s="12" t="n"/>
      <c r="G131" s="12" t="n"/>
      <c r="H131" s="12" t="n"/>
      <c r="I131" s="12">
        <f>IFERROR((I130/I$15)*(I$5-H$5),"")</f>
        <v>81.0901528908675</v>
      </c>
      <c r="J131" s="12">
        <f>IFERROR((J130/J$15)*(J$5-I$5),"")</f>
        <v>75.7294691283625</v>
      </c>
      <c r="K131" s="12">
        <f>IFERROR((K130/K$15)*(K$5-J$5),"")</f>
        <v>73.6931444881254</v>
      </c>
      <c r="L131" s="12">
        <f>IFERROR((L130/L$15)*(L$5-K$5),"")</f>
        <v>70.7796877308772</v>
      </c>
      <c r="M131" s="12" t="n"/>
      <c r="N131" s="12">
        <f>IFERROR((N130/N$15)*(N$5-M$5),"")</f>
        <v>113.96449704142</v>
      </c>
      <c r="O131" s="12">
        <f>IFERROR((O130/O$15)*(O$5-N$5),"")</f>
        <v>104.888015856162</v>
      </c>
      <c r="P131" s="12">
        <f>IFERROR((P130/P$15)*(P$5-O$5),"")</f>
        <v>109.338217000691</v>
      </c>
      <c r="Q131" s="12">
        <f>IFERROR((Q130/Q$15)*(Q$5-P$5),"")</f>
        <v>98.2762063227953</v>
      </c>
      <c r="R131" s="12" t="n"/>
      <c r="S131" s="12">
        <f>IFERROR((S130/S$15)*(S$5-R$5),"")</f>
        <v>163.23124042879</v>
      </c>
      <c r="T131" s="12">
        <f>IFERROR((T130/T$15)*(T$5-S$5),"")</f>
        <v>153.489091947459</v>
      </c>
      <c r="U131" s="12">
        <f>IFERROR((U130/U$15)*(U$5-T$5),"")</f>
        <v>143.864975274135</v>
      </c>
      <c r="V131" s="12">
        <f>IFERROR((V130/V$15)*(V$5-U$5),"")</f>
        <v>150.472927241963</v>
      </c>
      <c r="W131" s="12" t="n"/>
      <c r="X131" s="12">
        <f>IFERROR((X130/X$15)*(X$5-W$5),"")</f>
        <v>153.445002791736</v>
      </c>
      <c r="Y131" s="12">
        <f>IFERROR((Y130/Y$15)*(Y$5-X$5),"")</f>
        <v>83.7552232241038</v>
      </c>
      <c r="Z131" s="12">
        <f>IFERROR((Z130/Z$15)*(Z$5-Y$5),"")</f>
        <v>83.5309896362528</v>
      </c>
      <c r="AA131" s="12">
        <f>IFERROR((AA130/AA$15)*(AA$5-Z$5),"")</f>
        <v>79.3640399556049</v>
      </c>
      <c r="AB131" s="12" t="n"/>
      <c r="AC131" s="12">
        <f>IFERROR((AC130/AC$15)*(AC$5-AB$5),"")</f>
        <v>87.4453950679416</v>
      </c>
      <c r="AD131" s="12">
        <f>IFERROR((AD130/AD$15)*(AD$5-AC$5),"")</f>
        <v>86.7814569536424</v>
      </c>
      <c r="AE131" s="12">
        <f>IFERROR((AE130/AE$15)*(AE$5-AD$5),"")</f>
        <v>80.5953534192595</v>
      </c>
      <c r="AF131" s="11">
        <f>IFERROR((AF130/AF$15)*(AF$5-AE$5),"")</f>
        <v>85.1707163639223</v>
      </c>
      <c r="AG131" s="12" t="n"/>
      <c r="AH131" s="11">
        <f>IFERROR((AH130/AH$15)*(AH$5-AG$5),"")</f>
        <v>90.5374435119432</v>
      </c>
      <c r="AI131" s="11">
        <f>IFERROR((AI130/AI$15)*(AI$5-AH$5),"")</f>
        <v>84.2579968536969</v>
      </c>
      <c r="AJ131" s="11">
        <f>Control!$B$25</f>
        <v>85.7980603617343</v>
      </c>
      <c r="AK131" s="11">
        <f>Control!$B$25</f>
        <v>85.7980603617343</v>
      </c>
      <c r="AL131" s="12" t="n"/>
      <c r="AM131" s="11">
        <f>Control!$C$25</f>
        <v>85.7980603617343</v>
      </c>
      <c r="AN131" s="11">
        <f>Control!$C$25</f>
        <v>85.7980603617343</v>
      </c>
      <c r="AO131" s="11">
        <f>Control!$C$25</f>
        <v>85.7980603617343</v>
      </c>
      <c r="AP131" s="11">
        <f>Control!$C$25</f>
        <v>85.7980603617343</v>
      </c>
      <c r="AQ131" s="12" t="n"/>
      <c r="AR131" s="11">
        <f>Control!$D$25</f>
        <v>85.7980603617343</v>
      </c>
      <c r="AS131" s="11">
        <f>Control!$D$25</f>
        <v>85.7980603617343</v>
      </c>
      <c r="AT131" s="11">
        <f>Control!$D$25</f>
        <v>85.7980603617343</v>
      </c>
      <c r="AU131" s="11">
        <f>Control!$D$25</f>
        <v>85.7980603617343</v>
      </c>
      <c r="AV131" s="12" t="n"/>
      <c r="AW131" s="11">
        <f>Control!$E$25</f>
        <v>85.7980603617343</v>
      </c>
      <c r="AX131" s="11">
        <f>Control!$E$25</f>
        <v>85.7980603617343</v>
      </c>
      <c r="AY131" s="11">
        <f>Control!$E$25</f>
        <v>85.7980603617343</v>
      </c>
      <c r="AZ131" s="11">
        <f>Control!$E$25</f>
        <v>85.7980603617343</v>
      </c>
      <c r="BA131" s="12" t="n"/>
      <c r="BB131" s="11">
        <f>Control!$F$25</f>
        <v>85.7980603617343</v>
      </c>
      <c r="BC131" s="11">
        <f>Control!$F$25</f>
        <v>85.7980603617343</v>
      </c>
      <c r="BD131" s="11">
        <f>Control!$F$25</f>
        <v>85.7980603617343</v>
      </c>
      <c r="BE131" s="11">
        <f>Control!$F$25</f>
        <v>85.7980603617343</v>
      </c>
      <c r="BF131" s="12" t="n"/>
      <c r="BG131" s="11" t="n"/>
      <c r="BH131" s="11" t="n"/>
      <c r="BI131" s="11" t="n"/>
      <c r="BJ131" s="11" t="n"/>
      <c r="BK131" s="12" t="n"/>
      <c r="BL131" s="11" t="n"/>
      <c r="BM131" s="11" t="n"/>
      <c r="BN131" s="11" t="n"/>
      <c r="BO131" s="11" t="n"/>
      <c r="BP131" s="12" t="n"/>
      <c r="BQ131" s="11" t="n"/>
      <c r="BR131" s="11" t="n"/>
      <c r="BS131" s="11" t="n"/>
      <c r="BT131" s="11" t="n"/>
      <c r="BU131" s="12" t="n"/>
      <c r="BV131" s="11" t="n"/>
      <c r="BW131" s="11" t="n"/>
      <c r="BX131" s="11" t="n"/>
      <c r="BY131" s="11" t="n"/>
      <c r="BZ131" s="12" t="n"/>
      <c r="CA131" s="11" t="n"/>
      <c r="CB131" s="11" t="n"/>
      <c r="CC131" s="11" t="n"/>
      <c r="CD131" s="11" t="n"/>
      <c r="CE131" s="12" t="n"/>
      <c r="CF131" s="11" t="n"/>
      <c r="CG131" s="11" t="n"/>
      <c r="CH131" s="11" t="n"/>
      <c r="CI131" s="11" t="n"/>
      <c r="CJ131" s="12" t="n"/>
      <c r="CK131" s="11" t="n"/>
      <c r="CL131" s="11" t="n"/>
      <c r="CM131" s="11" t="n"/>
      <c r="CN131" s="11" t="n"/>
      <c r="CO131" s="12" t="n"/>
      <c r="CP131" s="11" t="n"/>
      <c r="CQ131" s="11" t="n"/>
      <c r="CR131" s="11" t="n"/>
      <c r="CS131" s="11" t="n"/>
      <c r="CT131" s="12" t="n"/>
      <c r="CU131" s="11" t="n"/>
      <c r="CV131" s="11" t="n"/>
      <c r="CW131" s="11" t="n"/>
      <c r="CX131" s="11" t="n"/>
      <c r="CY131" s="12" t="n"/>
    </row>
    <row r="132" hidden="1" outlineLevel="1">
      <c r="C132" s="57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12" t="n"/>
      <c r="AJ132" s="12" t="n"/>
      <c r="AK132" s="12" t="n"/>
      <c r="AL132" s="12" t="n"/>
      <c r="AM132" s="12" t="n"/>
      <c r="AN132" s="12" t="n"/>
      <c r="AO132" s="12" t="n"/>
      <c r="AP132" s="12" t="n"/>
      <c r="AQ132" s="12" t="n"/>
      <c r="AR132" s="12" t="n"/>
      <c r="AS132" s="12" t="n"/>
      <c r="AT132" s="12" t="n"/>
      <c r="AU132" s="12" t="n"/>
      <c r="AV132" s="12" t="n"/>
      <c r="AW132" s="12" t="n"/>
      <c r="AX132" s="12" t="n"/>
      <c r="AY132" s="12" t="n"/>
      <c r="AZ132" s="12" t="n"/>
      <c r="BA132" s="12" t="n"/>
      <c r="BB132" s="12" t="n"/>
      <c r="BC132" s="12" t="n"/>
      <c r="BD132" s="12" t="n"/>
      <c r="BE132" s="12" t="n"/>
      <c r="BF132" s="12" t="n"/>
      <c r="BG132" s="12" t="n"/>
      <c r="BH132" s="12" t="n"/>
      <c r="BI132" s="12" t="n"/>
      <c r="BJ132" s="12" t="n"/>
      <c r="BK132" s="12" t="n"/>
      <c r="BL132" s="12" t="n"/>
      <c r="BM132" s="12" t="n"/>
      <c r="BN132" s="12" t="n"/>
      <c r="BO132" s="12" t="n"/>
      <c r="BP132" s="12" t="n"/>
      <c r="BQ132" s="12" t="n"/>
      <c r="BR132" s="12" t="n"/>
      <c r="BS132" s="12" t="n"/>
      <c r="BT132" s="12" t="n"/>
      <c r="BU132" s="12" t="n"/>
      <c r="BV132" s="12" t="n"/>
      <c r="BW132" s="12" t="n"/>
      <c r="BX132" s="12" t="n"/>
      <c r="BY132" s="12" t="n"/>
      <c r="BZ132" s="12" t="n"/>
      <c r="CA132" s="12" t="n"/>
      <c r="CB132" s="12" t="n"/>
      <c r="CC132" s="12" t="n"/>
      <c r="CD132" s="12" t="n"/>
      <c r="CE132" s="12" t="n"/>
      <c r="CF132" s="12" t="n"/>
      <c r="CG132" s="12" t="n"/>
      <c r="CH132" s="12" t="n"/>
      <c r="CI132" s="12" t="n"/>
      <c r="CJ132" s="12" t="n"/>
      <c r="CK132" s="12" t="n"/>
      <c r="CL132" s="12" t="n"/>
      <c r="CM132" s="12" t="n"/>
      <c r="CN132" s="12" t="n"/>
      <c r="CO132" s="12" t="n"/>
      <c r="CP132" s="12" t="n"/>
      <c r="CQ132" s="12" t="n"/>
      <c r="CR132" s="12" t="n"/>
      <c r="CS132" s="12" t="n"/>
      <c r="CT132" s="12" t="n"/>
      <c r="CU132" s="12" t="n"/>
      <c r="CV132" s="12" t="n"/>
      <c r="CW132" s="12" t="n"/>
      <c r="CX132" s="12" t="n"/>
      <c r="CY132" s="12" t="n"/>
    </row>
    <row r="133" hidden="1" outlineLevel="1">
      <c r="C133" s="57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2" t="n"/>
      <c r="AZ133" s="12" t="n"/>
      <c r="BA133" s="12" t="n"/>
      <c r="BB133" s="12" t="n"/>
      <c r="BC133" s="12" t="n"/>
      <c r="BD133" s="12" t="n"/>
      <c r="BE133" s="12" t="n"/>
      <c r="BF133" s="12" t="n"/>
      <c r="BG133" s="12" t="n"/>
      <c r="BH133" s="12" t="n"/>
      <c r="BI133" s="12" t="n"/>
      <c r="BJ133" s="12" t="n"/>
      <c r="BK133" s="12" t="n"/>
      <c r="BL133" s="12" t="n"/>
      <c r="BM133" s="12" t="n"/>
      <c r="BN133" s="12" t="n"/>
      <c r="BO133" s="12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2" t="n"/>
      <c r="CF133" s="12" t="n"/>
      <c r="CG133" s="12" t="n"/>
      <c r="CH133" s="12" t="n"/>
      <c r="CI133" s="12" t="n"/>
      <c r="CJ133" s="12" t="n"/>
      <c r="CK133" s="12" t="n"/>
      <c r="CL133" s="12" t="n"/>
      <c r="CM133" s="12" t="n"/>
      <c r="CN133" s="12" t="n"/>
      <c r="CO133" s="12" t="n"/>
      <c r="CP133" s="12" t="n"/>
      <c r="CQ133" s="12" t="n"/>
      <c r="CR133" s="12" t="n"/>
      <c r="CS133" s="12" t="n"/>
      <c r="CT133" s="12" t="n"/>
      <c r="CU133" s="12" t="n"/>
      <c r="CV133" s="12" t="n"/>
      <c r="CW133" s="12" t="n"/>
      <c r="CX133" s="12" t="n"/>
      <c r="CY133" s="12" t="n"/>
    </row>
    <row r="134" collapsed="1">
      <c r="C134" s="14" t="inlineStr">
        <is>
          <t>Inventories</t>
        </is>
      </c>
      <c r="D134" s="46" t="n"/>
      <c r="E134" s="46" t="n"/>
      <c r="F134" s="46" t="n"/>
      <c r="G134" s="46" t="n"/>
      <c r="H134" s="12" t="n"/>
      <c r="I134" s="46">
        <f>'Inputs (2)'!D17</f>
        <v>16530</v>
      </c>
      <c r="J134" s="46">
        <f>'Inputs (2)'!E17</f>
        <v>17016</v>
      </c>
      <c r="K134" s="46">
        <f>'Inputs (2)'!F17</f>
        <v>16790</v>
      </c>
      <c r="L134" s="46">
        <f>'Inputs (2)'!G17</f>
        <v>15847</v>
      </c>
      <c r="M134" s="12">
        <f>'Inputs (2)'!H17</f>
        <v>15847</v>
      </c>
      <c r="N134" s="46">
        <f>'Inputs (2)'!I17</f>
        <v>16570</v>
      </c>
      <c r="O134" s="46">
        <f>'Inputs (2)'!J17</f>
        <v>17553</v>
      </c>
      <c r="P134" s="46">
        <f>'Inputs (2)'!K17</f>
        <v>17536</v>
      </c>
      <c r="Q134" s="46">
        <f>'Inputs (2)'!L17</f>
        <v>17403</v>
      </c>
      <c r="R134" s="12">
        <f>'Inputs (2)'!M17</f>
        <v>17403</v>
      </c>
      <c r="S134" s="46">
        <f>'Inputs (2)'!N17</f>
        <v>16198</v>
      </c>
      <c r="T134" s="46">
        <f>'Inputs (2)'!O17</f>
        <v>16789</v>
      </c>
      <c r="U134" s="46">
        <f>'Inputs (2)'!P17</f>
        <v>17020</v>
      </c>
      <c r="V134" s="46">
        <f>'Inputs (2)'!Q17</f>
        <v>16528</v>
      </c>
      <c r="W134" s="12">
        <f>'Inputs (2)'!R17</f>
        <v>16528</v>
      </c>
      <c r="X134" s="46">
        <f>'Inputs (2)'!S17</f>
        <v>17603</v>
      </c>
      <c r="Y134" s="46">
        <f>'Inputs (2)'!T17</f>
        <v>9469</v>
      </c>
      <c r="Z134" s="46">
        <f>'Inputs (2)'!U17</f>
        <v>9718</v>
      </c>
      <c r="AA134" s="46">
        <f>'Inputs (2)'!V17</f>
        <v>9763</v>
      </c>
      <c r="AB134" s="12">
        <f>'Inputs (2)'!W17</f>
        <v>9763</v>
      </c>
      <c r="AC134" s="46">
        <f>'Inputs (2)'!X17</f>
        <v>10504</v>
      </c>
      <c r="AD134" s="46">
        <f>'Inputs (2)'!Y17</f>
        <v>11297</v>
      </c>
      <c r="AE134" s="46">
        <f>'Inputs (2)'!Z17</f>
        <v>11667</v>
      </c>
      <c r="AF134" s="46">
        <f>'Inputs (2)'!AA17</f>
        <v>11868</v>
      </c>
      <c r="AG134" s="12">
        <f>'Inputs (2)'!AB17</f>
        <v>11868</v>
      </c>
      <c r="AH134" s="12">
        <f>'Inputs (2)'!AC17</f>
        <v>12367</v>
      </c>
      <c r="AI134" s="12">
        <f>'Inputs (2)'!AD17</f>
        <v>12440</v>
      </c>
      <c r="AJ134" s="12">
        <f>(AJ135/(AJ$5-AI$5))*-AJ$39</f>
        <v>14235.8260427613</v>
      </c>
      <c r="AK134" s="12">
        <f>(AK135/(AK$5-AJ$5))*-AK$39</f>
        <v>14862.2444615216</v>
      </c>
      <c r="AL134" s="12">
        <f>AK134</f>
        <v>14862.2444615216</v>
      </c>
      <c r="AM134" s="12">
        <f>(AM135/(AM$5-AL$5))*-AM$39</f>
        <v>14804.2514130518</v>
      </c>
      <c r="AN134" s="12">
        <f>(AN135/(AN$5-AM$5))*-AN$39</f>
        <v>15772.2952154124</v>
      </c>
      <c r="AO134" s="12">
        <f>(AO135/(AO$5-AN$5))*-AO$39</f>
        <v>17068.0978501356</v>
      </c>
      <c r="AP134" s="12">
        <f>(AP135/(AP$5-AO$5))*-AP$39</f>
        <v>17819.1445989799</v>
      </c>
      <c r="AQ134" s="12">
        <f>AP134</f>
        <v>17819.1445989799</v>
      </c>
      <c r="AR134" s="12">
        <f>(AR135/(AR$5-AQ$5))*-AR$39</f>
        <v>17481.3550769564</v>
      </c>
      <c r="AS134" s="12">
        <f>(AS135/(AS$5-AR$5))*-AS$39</f>
        <v>18831.3919401461</v>
      </c>
      <c r="AT134" s="12">
        <f>(AT135/(AT$5-AS$5))*-AT$39</f>
        <v>20378.5204308493</v>
      </c>
      <c r="AU134" s="12">
        <f>(AU135/(AU$5-AT$5))*-AU$39</f>
        <v>21275.235556942</v>
      </c>
      <c r="AV134" s="12">
        <f>AU134</f>
        <v>21275.235556942</v>
      </c>
      <c r="AW134" s="12">
        <f>(AW135/(AW$5-AV$5))*-AW$39</f>
        <v>21015.4628474588</v>
      </c>
      <c r="AX134" s="12">
        <f>(AX135/(AX$5-AW$5))*-AX$39</f>
        <v>22389.6551653012</v>
      </c>
      <c r="AY134" s="12">
        <f>(AY135/(AY$5-AX$5))*-AY$39</f>
        <v>24229.1194764554</v>
      </c>
      <c r="AZ134" s="12">
        <f>(AZ135/(AZ$5-AY$5))*-AZ$39</f>
        <v>25295.2723407014</v>
      </c>
      <c r="BA134" s="12">
        <f>AZ134</f>
        <v>25295.2723407014</v>
      </c>
      <c r="BB134" s="12">
        <f>(BB135/(BB$5-BA$5))*-BB$39</f>
        <v>24881.3372741976</v>
      </c>
      <c r="BC134" s="12">
        <f>(BC135/(BC$5-BB$5))*-BC$39</f>
        <v>26508.3175024242</v>
      </c>
      <c r="BD134" s="12">
        <f>(BD135/(BD$5-BC$5))*-BD$39</f>
        <v>28686.158279089</v>
      </c>
      <c r="BE134" s="12">
        <f>(BE135/(BE$5-BD$5))*-BE$39</f>
        <v>29948.434023083</v>
      </c>
      <c r="BF134" s="12">
        <f>BE134</f>
        <v>29948.434023083</v>
      </c>
      <c r="BG134" s="12" t="n"/>
      <c r="BH134" s="12" t="n"/>
      <c r="BI134" s="12" t="n"/>
      <c r="BJ134" s="12" t="n"/>
      <c r="BK134" s="12" t="n"/>
      <c r="BL134" s="12" t="n"/>
      <c r="BM134" s="12" t="n"/>
      <c r="BN134" s="12" t="n"/>
      <c r="BO134" s="12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  <c r="CA134" s="12" t="n"/>
      <c r="CB134" s="12" t="n"/>
      <c r="CC134" s="12" t="n"/>
      <c r="CD134" s="12" t="n"/>
      <c r="CE134" s="12" t="n"/>
      <c r="CF134" s="12" t="n"/>
      <c r="CG134" s="12" t="n"/>
      <c r="CH134" s="12" t="n"/>
      <c r="CI134" s="12" t="n"/>
      <c r="CJ134" s="12" t="n"/>
      <c r="CK134" s="12" t="n"/>
      <c r="CL134" s="12" t="n"/>
      <c r="CM134" s="12" t="n"/>
      <c r="CN134" s="12" t="n"/>
      <c r="CO134" s="12" t="n"/>
      <c r="CP134" s="12" t="n"/>
      <c r="CQ134" s="12" t="n"/>
      <c r="CR134" s="12" t="n"/>
      <c r="CS134" s="12" t="n"/>
      <c r="CT134" s="12" t="n"/>
      <c r="CU134" s="12" t="n"/>
      <c r="CV134" s="12" t="n"/>
      <c r="CW134" s="12" t="n"/>
      <c r="CX134" s="12" t="n"/>
      <c r="CY134" s="12" t="n"/>
    </row>
    <row r="135" hidden="1" outlineLevel="1">
      <c r="C135" s="57" t="inlineStr">
        <is>
          <t>DIO</t>
        </is>
      </c>
      <c r="D135" s="12" t="n"/>
      <c r="E135" s="12" t="n"/>
      <c r="F135" s="12" t="n"/>
      <c r="G135" s="12" t="n"/>
      <c r="H135" s="12" t="n"/>
      <c r="I135" s="12">
        <f>IFERROR(((I134/I$39)*(I$5-H$5))*-1,"")</f>
        <v>118.655287924709</v>
      </c>
      <c r="J135" s="12">
        <f>IFERROR(((J134/J$39)*(J$5-I$5))*-1,"")</f>
        <v>113.706564840652</v>
      </c>
      <c r="K135" s="12">
        <f>IFERROR(((K134/K$39)*(K$5-J$5))*-1,"")</f>
        <v>115.266024923513</v>
      </c>
      <c r="L135" s="12">
        <f>IFERROR(((L134/L$39)*(L$5-K$5))*-1,"")</f>
        <v>101.682521969591</v>
      </c>
      <c r="M135" s="12" t="n"/>
      <c r="N135" s="12">
        <f>IFERROR(((N134/N$39)*(N$5-M$5))*-1,"")</f>
        <v>152.578268876611</v>
      </c>
      <c r="O135" s="12">
        <f>IFERROR(((O134/O$39)*(O$5-N$5))*-1,"")</f>
        <v>151.764655581948</v>
      </c>
      <c r="P135" s="12">
        <f>IFERROR(((P134/P$39)*(P$5-O$5))*-1,"")</f>
        <v>139.874458123808</v>
      </c>
      <c r="Q135" s="12">
        <f>IFERROR(((Q134/Q$39)*(Q$5-P$5))*-1,"")</f>
        <v>128.7038585209</v>
      </c>
      <c r="R135" s="12" t="n"/>
      <c r="S135" s="12">
        <f>IFERROR(((S134/S$39)*(S$5-R$5))*-1,"")</f>
        <v>291.680672268908</v>
      </c>
      <c r="T135" s="12">
        <f>IFERROR(((T134/T$39)*(T$5-S$5))*-1,"")</f>
        <v>268.36448269805</v>
      </c>
      <c r="U135" s="12">
        <f>IFERROR(((U134/U$39)*(U$5-T$5))*-1,"")</f>
        <v>261.3217623498</v>
      </c>
      <c r="V135" s="12">
        <f>IFERROR(((V134/V$39)*(V$5-U$5))*-1,"")</f>
        <v>243.058823529412</v>
      </c>
      <c r="W135" s="12" t="n"/>
      <c r="X135" s="12">
        <f>IFERROR(((X134/X$39)*(X$5-W$5))*-1,"")</f>
        <v>278.73203410475</v>
      </c>
      <c r="Y135" s="12">
        <f>IFERROR(((Y134/Y$39)*(Y$5-X$5))*-1,"")</f>
        <v>154.588984571224</v>
      </c>
      <c r="Z135" s="12">
        <f>IFERROR(((Z134/Z$39)*(Z$5-Y$5))*-1,"")</f>
        <v>143.600385480244</v>
      </c>
      <c r="AA135" s="12">
        <f>IFERROR(((AA134/AA$39)*(AA$5-Z$5))*-1,"")</f>
        <v>132.849578464724</v>
      </c>
      <c r="AB135" s="12" t="n"/>
      <c r="AC135" s="12">
        <f>IFERROR(((AC134/AC$39)*(AC$5-AB$5))*-1,"")</f>
        <v>157.691409507923</v>
      </c>
      <c r="AD135" s="12">
        <f>IFERROR(((AD134/AD$39)*(AD$5-AC$5))*-1,"")</f>
        <v>150.164621676892</v>
      </c>
      <c r="AE135" s="12">
        <f>IFERROR(((AE134/AE$39)*(AE$5-AD$5))*-1,"")</f>
        <v>138.284462767328</v>
      </c>
      <c r="AF135" s="11">
        <f>IFERROR(((AF134/AF$39)*(AF$5-AE$5))*-1,"")</f>
        <v>130.557933755829</v>
      </c>
      <c r="AG135" s="12" t="n"/>
      <c r="AH135" s="11">
        <f>IFERROR(((AH134/AH$39)*(AH$5-AG$5))*-1,"")</f>
        <v>140.498611461752</v>
      </c>
      <c r="AI135" s="11">
        <f>IFERROR(((AI134/AI$39)*(AI$5-AH$5))*-1,"")</f>
        <v>130.524616626312</v>
      </c>
      <c r="AJ135" s="11">
        <f>Control!$B$26</f>
        <v>141.286942632673</v>
      </c>
      <c r="AK135" s="11">
        <f>Control!$B$26</f>
        <v>141.286942632673</v>
      </c>
      <c r="AL135" s="12" t="n"/>
      <c r="AM135" s="11">
        <f>Control!$C$26</f>
        <v>141.286942632673</v>
      </c>
      <c r="AN135" s="11">
        <f>Control!$C$26</f>
        <v>141.286942632673</v>
      </c>
      <c r="AO135" s="11">
        <f>Control!$C$26</f>
        <v>141.286942632673</v>
      </c>
      <c r="AP135" s="11">
        <f>Control!$C$26</f>
        <v>141.286942632673</v>
      </c>
      <c r="AQ135" s="12" t="n"/>
      <c r="AR135" s="11">
        <f>Control!$D$26</f>
        <v>141.286942632673</v>
      </c>
      <c r="AS135" s="11">
        <f>Control!$D$26</f>
        <v>141.286942632673</v>
      </c>
      <c r="AT135" s="11">
        <f>Control!$D$26</f>
        <v>141.286942632673</v>
      </c>
      <c r="AU135" s="11">
        <f>Control!$D$26</f>
        <v>141.286942632673</v>
      </c>
      <c r="AV135" s="12" t="n"/>
      <c r="AW135" s="11">
        <f>Control!$E$26</f>
        <v>141.286942632673</v>
      </c>
      <c r="AX135" s="11">
        <f>Control!$E$26</f>
        <v>141.286942632673</v>
      </c>
      <c r="AY135" s="11">
        <f>Control!$E$26</f>
        <v>141.286942632673</v>
      </c>
      <c r="AZ135" s="11">
        <f>Control!$E$26</f>
        <v>141.286942632673</v>
      </c>
      <c r="BA135" s="12" t="n"/>
      <c r="BB135" s="11">
        <f>Control!$F$26</f>
        <v>141.286942632673</v>
      </c>
      <c r="BC135" s="11">
        <f>Control!$F$26</f>
        <v>141.286942632673</v>
      </c>
      <c r="BD135" s="11">
        <f>Control!$F$26</f>
        <v>141.286942632673</v>
      </c>
      <c r="BE135" s="11">
        <f>Control!$F$26</f>
        <v>141.286942632673</v>
      </c>
      <c r="BF135" s="12" t="n"/>
      <c r="BG135" s="11" t="n"/>
      <c r="BH135" s="11" t="n"/>
      <c r="BI135" s="11" t="n"/>
      <c r="BJ135" s="11" t="n"/>
      <c r="BK135" s="12" t="n"/>
      <c r="BL135" s="11" t="n"/>
      <c r="BM135" s="11" t="n"/>
      <c r="BN135" s="11" t="n"/>
      <c r="BO135" s="11" t="n"/>
      <c r="BP135" s="12" t="n"/>
      <c r="BQ135" s="11" t="n"/>
      <c r="BR135" s="11" t="n"/>
      <c r="BS135" s="11" t="n"/>
      <c r="BT135" s="11" t="n"/>
      <c r="BU135" s="12" t="n"/>
      <c r="BV135" s="11" t="n"/>
      <c r="BW135" s="11" t="n"/>
      <c r="BX135" s="11" t="n"/>
      <c r="BY135" s="11" t="n"/>
      <c r="BZ135" s="12" t="n"/>
      <c r="CA135" s="11" t="n"/>
      <c r="CB135" s="11" t="n"/>
      <c r="CC135" s="11" t="n"/>
      <c r="CD135" s="11" t="n"/>
      <c r="CE135" s="12" t="n"/>
      <c r="CF135" s="11" t="n"/>
      <c r="CG135" s="11" t="n"/>
      <c r="CH135" s="11" t="n"/>
      <c r="CI135" s="11" t="n"/>
      <c r="CJ135" s="12" t="n"/>
      <c r="CK135" s="11" t="n"/>
      <c r="CL135" s="11" t="n"/>
      <c r="CM135" s="11" t="n"/>
      <c r="CN135" s="11" t="n"/>
      <c r="CO135" s="12" t="n"/>
      <c r="CP135" s="11" t="n"/>
      <c r="CQ135" s="11" t="n"/>
      <c r="CR135" s="11" t="n"/>
      <c r="CS135" s="11" t="n"/>
      <c r="CT135" s="12" t="n"/>
      <c r="CU135" s="11" t="n"/>
      <c r="CV135" s="11" t="n"/>
      <c r="CW135" s="11" t="n"/>
      <c r="CX135" s="11" t="n"/>
      <c r="CY135" s="12" t="n"/>
    </row>
    <row r="136" hidden="1" outlineLevel="1">
      <c r="C136" s="57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12" t="n"/>
      <c r="AJ136" s="12" t="n"/>
      <c r="AK136" s="12" t="n"/>
      <c r="AL136" s="12" t="n"/>
      <c r="AM136" s="12" t="n"/>
      <c r="AN136" s="12" t="n"/>
      <c r="AO136" s="12" t="n"/>
      <c r="AP136" s="12" t="n"/>
      <c r="AQ136" s="12" t="n"/>
      <c r="AR136" s="12" t="n"/>
      <c r="AS136" s="12" t="n"/>
      <c r="AT136" s="12" t="n"/>
      <c r="AU136" s="12" t="n"/>
      <c r="AV136" s="12" t="n"/>
      <c r="AW136" s="12" t="n"/>
      <c r="AX136" s="12" t="n"/>
      <c r="AY136" s="12" t="n"/>
      <c r="AZ136" s="12" t="n"/>
      <c r="BA136" s="12" t="n"/>
      <c r="BB136" s="12" t="n"/>
      <c r="BC136" s="12" t="n"/>
      <c r="BD136" s="12" t="n"/>
      <c r="BE136" s="12" t="n"/>
      <c r="BF136" s="12" t="n"/>
      <c r="BG136" s="12" t="n"/>
      <c r="BH136" s="12" t="n"/>
      <c r="BI136" s="12" t="n"/>
      <c r="BJ136" s="12" t="n"/>
      <c r="BK136" s="12" t="n"/>
      <c r="BL136" s="12" t="n"/>
      <c r="BM136" s="12" t="n"/>
      <c r="BN136" s="12" t="n"/>
      <c r="BO136" s="12" t="n"/>
      <c r="BP136" s="12" t="n"/>
      <c r="BQ136" s="12" t="n"/>
      <c r="BR136" s="12" t="n"/>
      <c r="BS136" s="12" t="n"/>
      <c r="BT136" s="12" t="n"/>
      <c r="BU136" s="12" t="n"/>
      <c r="BV136" s="12" t="n"/>
      <c r="BW136" s="12" t="n"/>
      <c r="BX136" s="12" t="n"/>
      <c r="BY136" s="12" t="n"/>
      <c r="BZ136" s="12" t="n"/>
      <c r="CA136" s="12" t="n"/>
      <c r="CB136" s="12" t="n"/>
      <c r="CC136" s="12" t="n"/>
      <c r="CD136" s="12" t="n"/>
      <c r="CE136" s="12" t="n"/>
      <c r="CF136" s="12" t="n"/>
      <c r="CG136" s="12" t="n"/>
      <c r="CH136" s="12" t="n"/>
      <c r="CI136" s="12" t="n"/>
      <c r="CJ136" s="12" t="n"/>
      <c r="CK136" s="12" t="n"/>
      <c r="CL136" s="12" t="n"/>
      <c r="CM136" s="12" t="n"/>
      <c r="CN136" s="12" t="n"/>
      <c r="CO136" s="12" t="n"/>
      <c r="CP136" s="12" t="n"/>
      <c r="CQ136" s="12" t="n"/>
      <c r="CR136" s="12" t="n"/>
      <c r="CS136" s="12" t="n"/>
      <c r="CT136" s="12" t="n"/>
      <c r="CU136" s="12" t="n"/>
      <c r="CV136" s="12" t="n"/>
      <c r="CW136" s="12" t="n"/>
      <c r="CX136" s="12" t="n"/>
      <c r="CY136" s="12" t="n"/>
    </row>
    <row r="137" hidden="1" outlineLevel="1">
      <c r="C137" s="57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2" t="n"/>
      <c r="AH137" s="12" t="n"/>
      <c r="AI137" s="12" t="n"/>
      <c r="AJ137" s="12" t="n"/>
      <c r="AK137" s="12" t="n"/>
      <c r="AL137" s="12" t="n"/>
      <c r="AM137" s="12" t="n"/>
      <c r="AN137" s="12" t="n"/>
      <c r="AO137" s="12" t="n"/>
      <c r="AP137" s="12" t="n"/>
      <c r="AQ137" s="12" t="n"/>
      <c r="AR137" s="12" t="n"/>
      <c r="AS137" s="12" t="n"/>
      <c r="AT137" s="12" t="n"/>
      <c r="AU137" s="12" t="n"/>
      <c r="AV137" s="12" t="n"/>
      <c r="AW137" s="12" t="n"/>
      <c r="AX137" s="12" t="n"/>
      <c r="AY137" s="12" t="n"/>
      <c r="AZ137" s="12" t="n"/>
      <c r="BA137" s="12" t="n"/>
      <c r="BB137" s="12" t="n"/>
      <c r="BC137" s="12" t="n"/>
      <c r="BD137" s="12" t="n"/>
      <c r="BE137" s="12" t="n"/>
      <c r="BF137" s="12" t="n"/>
      <c r="BG137" s="12" t="n"/>
      <c r="BH137" s="12" t="n"/>
      <c r="BI137" s="12" t="n"/>
      <c r="BJ137" s="12" t="n"/>
      <c r="BK137" s="12" t="n"/>
      <c r="BL137" s="12" t="n"/>
      <c r="BM137" s="12" t="n"/>
      <c r="BN137" s="12" t="n"/>
      <c r="BO137" s="12" t="n"/>
      <c r="BP137" s="12" t="n"/>
      <c r="BQ137" s="12" t="n"/>
      <c r="BR137" s="12" t="n"/>
      <c r="BS137" s="12" t="n"/>
      <c r="BT137" s="12" t="n"/>
      <c r="BU137" s="12" t="n"/>
      <c r="BV137" s="12" t="n"/>
      <c r="BW137" s="12" t="n"/>
      <c r="BX137" s="12" t="n"/>
      <c r="BY137" s="12" t="n"/>
      <c r="BZ137" s="12" t="n"/>
      <c r="CA137" s="12" t="n"/>
      <c r="CB137" s="12" t="n"/>
      <c r="CC137" s="12" t="n"/>
      <c r="CD137" s="12" t="n"/>
      <c r="CE137" s="12" t="n"/>
      <c r="CF137" s="12" t="n"/>
      <c r="CG137" s="12" t="n"/>
      <c r="CH137" s="12" t="n"/>
      <c r="CI137" s="12" t="n"/>
      <c r="CJ137" s="12" t="n"/>
      <c r="CK137" s="12" t="n"/>
      <c r="CL137" s="12" t="n"/>
      <c r="CM137" s="12" t="n"/>
      <c r="CN137" s="12" t="n"/>
      <c r="CO137" s="12" t="n"/>
      <c r="CP137" s="12" t="n"/>
      <c r="CQ137" s="12" t="n"/>
      <c r="CR137" s="12" t="n"/>
      <c r="CS137" s="12" t="n"/>
      <c r="CT137" s="12" t="n"/>
      <c r="CU137" s="12" t="n"/>
      <c r="CV137" s="12" t="n"/>
      <c r="CW137" s="12" t="n"/>
      <c r="CX137" s="12" t="n"/>
      <c r="CY137" s="12" t="n"/>
    </row>
    <row r="138" collapsed="1">
      <c r="C138" s="14" t="inlineStr">
        <is>
          <t>Deferred income taxes</t>
        </is>
      </c>
      <c r="D138" s="46" t="n"/>
      <c r="E138" s="46" t="n"/>
      <c r="F138" s="46" t="n"/>
      <c r="G138" s="46" t="n"/>
      <c r="H138" s="12" t="n"/>
      <c r="I138" s="46">
        <f>'Inputs (2)'!D18</f>
        <v>14232</v>
      </c>
      <c r="J138" s="46">
        <f>'Inputs (2)'!E18</f>
        <v>14864</v>
      </c>
      <c r="K138" s="46">
        <f>'Inputs (2)'!F18</f>
        <v>14466</v>
      </c>
      <c r="L138" s="46">
        <f>'Inputs (2)'!G18</f>
        <v>10855</v>
      </c>
      <c r="M138" s="12">
        <f>'Inputs (2)'!H18</f>
        <v>10855</v>
      </c>
      <c r="N138" s="46">
        <f>'Inputs (2)'!I18</f>
        <v>10583</v>
      </c>
      <c r="O138" s="46">
        <f>'Inputs (2)'!J18</f>
        <v>10956</v>
      </c>
      <c r="P138" s="46">
        <f>'Inputs (2)'!K18</f>
        <v>11504</v>
      </c>
      <c r="Q138" s="46">
        <f>'Inputs (2)'!L18</f>
        <v>11705</v>
      </c>
      <c r="R138" s="12">
        <f>'Inputs (2)'!M18</f>
        <v>11705</v>
      </c>
      <c r="S138" s="46">
        <f>'Inputs (2)'!N18</f>
        <v>10344</v>
      </c>
      <c r="T138" s="46">
        <f>'Inputs (2)'!O18</f>
        <v>10354</v>
      </c>
      <c r="U138" s="46">
        <f>'Inputs (2)'!P18</f>
        <v>10235</v>
      </c>
      <c r="V138" s="46">
        <f>'Inputs (2)'!Q18</f>
        <v>10575</v>
      </c>
      <c r="W138" s="12">
        <f>'Inputs (2)'!R18</f>
        <v>10575</v>
      </c>
      <c r="X138" s="46">
        <f>'Inputs (2)'!S18</f>
        <v>10316</v>
      </c>
      <c r="Y138" s="46">
        <f>'Inputs (2)'!T18</f>
        <v>7338</v>
      </c>
      <c r="Z138" s="46">
        <f>'Inputs (2)'!U18</f>
        <v>7491</v>
      </c>
      <c r="AA138" s="46">
        <f>'Inputs (2)'!V18</f>
        <v>7111</v>
      </c>
      <c r="AB138" s="12">
        <f>'Inputs (2)'!W18</f>
        <v>7111</v>
      </c>
      <c r="AC138" s="46">
        <f>'Inputs (2)'!X18</f>
        <v>6956</v>
      </c>
      <c r="AD138" s="46">
        <f>'Inputs (2)'!Y18</f>
        <v>6890</v>
      </c>
      <c r="AE138" s="46">
        <f>'Inputs (2)'!Z18</f>
        <v>6845</v>
      </c>
      <c r="AF138" s="46">
        <f>'Inputs (2)'!AA18</f>
        <v>7459</v>
      </c>
      <c r="AG138" s="12">
        <f>'Inputs (2)'!AB18</f>
        <v>7459</v>
      </c>
      <c r="AH138" s="12">
        <f>'Inputs (2)'!AC18</f>
        <v>6973</v>
      </c>
      <c r="AI138" s="12">
        <f>'Inputs (2)'!AD18</f>
        <v>6929</v>
      </c>
      <c r="AJ138" s="12">
        <f>AI138</f>
        <v>6929</v>
      </c>
      <c r="AK138" s="12">
        <f>AJ138</f>
        <v>6929</v>
      </c>
      <c r="AL138" s="12">
        <f>AK138</f>
        <v>6929</v>
      </c>
      <c r="AM138" s="12">
        <f>AL138</f>
        <v>6929</v>
      </c>
      <c r="AN138" s="12">
        <f>AM138</f>
        <v>6929</v>
      </c>
      <c r="AO138" s="12">
        <f>AN138</f>
        <v>6929</v>
      </c>
      <c r="AP138" s="12">
        <f>AO138</f>
        <v>6929</v>
      </c>
      <c r="AQ138" s="12">
        <f>AP138</f>
        <v>6929</v>
      </c>
      <c r="AR138" s="12">
        <f>AQ138</f>
        <v>6929</v>
      </c>
      <c r="AS138" s="12">
        <f>AR138</f>
        <v>6929</v>
      </c>
      <c r="AT138" s="12">
        <f>AS138</f>
        <v>6929</v>
      </c>
      <c r="AU138" s="12">
        <f>AT138</f>
        <v>6929</v>
      </c>
      <c r="AV138" s="12">
        <f>AU138</f>
        <v>6929</v>
      </c>
      <c r="AW138" s="12">
        <f>AV138</f>
        <v>6929</v>
      </c>
      <c r="AX138" s="12">
        <f>AW138</f>
        <v>6929</v>
      </c>
      <c r="AY138" s="12">
        <f>AX138</f>
        <v>6929</v>
      </c>
      <c r="AZ138" s="12">
        <f>AY138</f>
        <v>6929</v>
      </c>
      <c r="BA138" s="12">
        <f>AZ138</f>
        <v>6929</v>
      </c>
      <c r="BB138" s="12">
        <f>BA138</f>
        <v>6929</v>
      </c>
      <c r="BC138" s="12">
        <f>BB138</f>
        <v>6929</v>
      </c>
      <c r="BD138" s="12">
        <f>BC138</f>
        <v>6929</v>
      </c>
      <c r="BE138" s="12">
        <f>BD138</f>
        <v>6929</v>
      </c>
      <c r="BF138" s="12">
        <f>BE138</f>
        <v>6929</v>
      </c>
      <c r="BG138" s="12" t="n"/>
      <c r="BH138" s="12" t="n"/>
      <c r="BI138" s="12" t="n"/>
      <c r="BJ138" s="12" t="n"/>
      <c r="BK138" s="12" t="n"/>
      <c r="BL138" s="12" t="n"/>
      <c r="BM138" s="12" t="n"/>
      <c r="BN138" s="12" t="n"/>
      <c r="BO138" s="12" t="n"/>
      <c r="BP138" s="12" t="n"/>
      <c r="BQ138" s="12" t="n"/>
      <c r="BR138" s="12" t="n"/>
      <c r="BS138" s="12" t="n"/>
      <c r="BT138" s="12" t="n"/>
      <c r="BU138" s="12" t="n"/>
      <c r="BV138" s="12" t="n"/>
      <c r="BW138" s="12" t="n"/>
      <c r="BX138" s="12" t="n"/>
      <c r="BY138" s="12" t="n"/>
      <c r="BZ138" s="12" t="n"/>
      <c r="CA138" s="12" t="n"/>
      <c r="CB138" s="12" t="n"/>
      <c r="CC138" s="12" t="n"/>
      <c r="CD138" s="12" t="n"/>
      <c r="CE138" s="12" t="n"/>
      <c r="CF138" s="12" t="n"/>
      <c r="CG138" s="12" t="n"/>
      <c r="CH138" s="12" t="n"/>
      <c r="CI138" s="12" t="n"/>
      <c r="CJ138" s="12" t="n"/>
      <c r="CK138" s="12" t="n"/>
      <c r="CL138" s="12" t="n"/>
      <c r="CM138" s="12" t="n"/>
      <c r="CN138" s="12" t="n"/>
      <c r="CO138" s="12" t="n"/>
      <c r="CP138" s="12" t="n"/>
      <c r="CQ138" s="12" t="n"/>
      <c r="CR138" s="12" t="n"/>
      <c r="CS138" s="12" t="n"/>
      <c r="CT138" s="12" t="n"/>
      <c r="CU138" s="12" t="n"/>
      <c r="CV138" s="12" t="n"/>
      <c r="CW138" s="12" t="n"/>
      <c r="CX138" s="12" t="n"/>
      <c r="CY138" s="12" t="n"/>
    </row>
    <row r="139">
      <c r="C139" s="14" t="inlineStr">
        <is>
          <t>Prepaid expenses</t>
        </is>
      </c>
      <c r="D139" s="46" t="n"/>
      <c r="E139" s="46" t="n"/>
      <c r="F139" s="46" t="n"/>
      <c r="G139" s="46" t="n"/>
      <c r="H139" s="12" t="n"/>
      <c r="I139" s="46">
        <f>'Inputs (2)'!D19</f>
        <v>0</v>
      </c>
      <c r="J139" s="46">
        <f>'Inputs (2)'!E19</f>
        <v>0</v>
      </c>
      <c r="K139" s="46">
        <f>'Inputs (2)'!F19</f>
        <v>0</v>
      </c>
      <c r="L139" s="46">
        <f>'Inputs (2)'!G19</f>
        <v>0</v>
      </c>
      <c r="M139" s="12">
        <f>'Inputs (2)'!H19</f>
        <v>0</v>
      </c>
      <c r="N139" s="46">
        <f>'Inputs (2)'!I19</f>
        <v>0</v>
      </c>
      <c r="O139" s="46">
        <f>'Inputs (2)'!J19</f>
        <v>0</v>
      </c>
      <c r="P139" s="46">
        <f>'Inputs (2)'!K19</f>
        <v>0</v>
      </c>
      <c r="Q139" s="46">
        <f>'Inputs (2)'!L19</f>
        <v>0</v>
      </c>
      <c r="R139" s="12">
        <f>'Inputs (2)'!M19</f>
        <v>0</v>
      </c>
      <c r="S139" s="46">
        <f>'Inputs (2)'!N19</f>
        <v>0</v>
      </c>
      <c r="T139" s="46">
        <f>'Inputs (2)'!O19</f>
        <v>0</v>
      </c>
      <c r="U139" s="46">
        <f>'Inputs (2)'!P19</f>
        <v>0</v>
      </c>
      <c r="V139" s="46">
        <f>'Inputs (2)'!Q19</f>
        <v>0</v>
      </c>
      <c r="W139" s="12">
        <f>'Inputs (2)'!R19</f>
        <v>0</v>
      </c>
      <c r="X139" s="46">
        <f>'Inputs (2)'!S19</f>
        <v>0</v>
      </c>
      <c r="Y139" s="46">
        <f>'Inputs (2)'!T19</f>
        <v>0</v>
      </c>
      <c r="Z139" s="46">
        <f>'Inputs (2)'!U19</f>
        <v>0</v>
      </c>
      <c r="AA139" s="46">
        <f>'Inputs (2)'!V19</f>
        <v>0</v>
      </c>
      <c r="AB139" s="12">
        <f>'Inputs (2)'!W19</f>
        <v>0</v>
      </c>
      <c r="AC139" s="46">
        <f>'Inputs (2)'!X19</f>
        <v>0</v>
      </c>
      <c r="AD139" s="46">
        <f>'Inputs (2)'!Y19</f>
        <v>0</v>
      </c>
      <c r="AE139" s="46">
        <f>'Inputs (2)'!Z19</f>
        <v>0</v>
      </c>
      <c r="AF139" s="46">
        <f>'Inputs (2)'!AA19</f>
        <v>0</v>
      </c>
      <c r="AG139" s="12">
        <f>'Inputs (2)'!AB19</f>
        <v>0</v>
      </c>
      <c r="AH139" s="12">
        <f>'Inputs (2)'!AC19</f>
        <v>0</v>
      </c>
      <c r="AI139" s="12">
        <f>'Inputs (2)'!AD19</f>
        <v>0</v>
      </c>
      <c r="AJ139" s="12">
        <f>AI139</f>
        <v>0</v>
      </c>
      <c r="AK139" s="12">
        <f>AJ139</f>
        <v>0</v>
      </c>
      <c r="AL139" s="12">
        <f>AK139</f>
        <v>0</v>
      </c>
      <c r="AM139" s="12">
        <f>AL139</f>
        <v>0</v>
      </c>
      <c r="AN139" s="12">
        <f>AM139</f>
        <v>0</v>
      </c>
      <c r="AO139" s="12">
        <f>AN139</f>
        <v>0</v>
      </c>
      <c r="AP139" s="12">
        <f>AO139</f>
        <v>0</v>
      </c>
      <c r="AQ139" s="12">
        <f>AP139</f>
        <v>0</v>
      </c>
      <c r="AR139" s="12">
        <f>AQ139</f>
        <v>0</v>
      </c>
      <c r="AS139" s="12">
        <f>AR139</f>
        <v>0</v>
      </c>
      <c r="AT139" s="12">
        <f>AS139</f>
        <v>0</v>
      </c>
      <c r="AU139" s="12">
        <f>AT139</f>
        <v>0</v>
      </c>
      <c r="AV139" s="12">
        <f>AU139</f>
        <v>0</v>
      </c>
      <c r="AW139" s="12">
        <f>AV139</f>
        <v>0</v>
      </c>
      <c r="AX139" s="12">
        <f>AW139</f>
        <v>0</v>
      </c>
      <c r="AY139" s="12">
        <f>AX139</f>
        <v>0</v>
      </c>
      <c r="AZ139" s="12">
        <f>AY139</f>
        <v>0</v>
      </c>
      <c r="BA139" s="12">
        <f>AZ139</f>
        <v>0</v>
      </c>
      <c r="BB139" s="12">
        <f>BA139</f>
        <v>0</v>
      </c>
      <c r="BC139" s="12">
        <f>BB139</f>
        <v>0</v>
      </c>
      <c r="BD139" s="12">
        <f>BC139</f>
        <v>0</v>
      </c>
      <c r="BE139" s="12">
        <f>BD139</f>
        <v>0</v>
      </c>
      <c r="BF139" s="12">
        <f>BE139</f>
        <v>0</v>
      </c>
      <c r="BG139" s="12" t="n"/>
      <c r="BH139" s="12" t="n"/>
      <c r="BI139" s="12" t="n"/>
      <c r="BJ139" s="12" t="n"/>
      <c r="BK139" s="12" t="n"/>
      <c r="BL139" s="12" t="n"/>
      <c r="BM139" s="12" t="n"/>
      <c r="BN139" s="12" t="n"/>
      <c r="BO139" s="12" t="n"/>
      <c r="BP139" s="12" t="n"/>
      <c r="BQ139" s="12" t="n"/>
      <c r="BR139" s="12" t="n"/>
      <c r="BS139" s="12" t="n"/>
      <c r="BT139" s="12" t="n"/>
      <c r="BU139" s="12" t="n"/>
      <c r="BV139" s="12" t="n"/>
      <c r="BW139" s="12" t="n"/>
      <c r="BX139" s="12" t="n"/>
      <c r="BY139" s="12" t="n"/>
      <c r="BZ139" s="12" t="n"/>
      <c r="CA139" s="12" t="n"/>
      <c r="CB139" s="12" t="n"/>
      <c r="CC139" s="12" t="n"/>
      <c r="CD139" s="12" t="n"/>
      <c r="CE139" s="12" t="n"/>
      <c r="CF139" s="12" t="n"/>
      <c r="CG139" s="12" t="n"/>
      <c r="CH139" s="12" t="n"/>
      <c r="CI139" s="12" t="n"/>
      <c r="CJ139" s="12" t="n"/>
      <c r="CK139" s="12" t="n"/>
      <c r="CL139" s="12" t="n"/>
      <c r="CM139" s="12" t="n"/>
      <c r="CN139" s="12" t="n"/>
      <c r="CO139" s="12" t="n"/>
      <c r="CP139" s="12" t="n"/>
      <c r="CQ139" s="12" t="n"/>
      <c r="CR139" s="12" t="n"/>
      <c r="CS139" s="12" t="n"/>
      <c r="CT139" s="12" t="n"/>
      <c r="CU139" s="12" t="n"/>
      <c r="CV139" s="12" t="n"/>
      <c r="CW139" s="12" t="n"/>
      <c r="CX139" s="12" t="n"/>
      <c r="CY139" s="12" t="n"/>
    </row>
    <row r="140">
      <c r="C140" s="14" t="inlineStr">
        <is>
          <t>Other current assets</t>
        </is>
      </c>
      <c r="D140" s="46" t="n"/>
      <c r="E140" s="46" t="n"/>
      <c r="F140" s="46" t="n"/>
      <c r="G140" s="46" t="n"/>
      <c r="H140" s="12" t="n"/>
      <c r="I140" s="46">
        <f>'Inputs (2)'!D20</f>
        <v>49505</v>
      </c>
      <c r="J140" s="46">
        <f>'Inputs (2)'!E20</f>
        <v>47744</v>
      </c>
      <c r="K140" s="46">
        <f>'Inputs (2)'!F20</f>
        <v>46968</v>
      </c>
      <c r="L140" s="46">
        <f>'Inputs (2)'!G20</f>
        <v>19111</v>
      </c>
      <c r="M140" s="12">
        <f>'Inputs (2)'!H20</f>
        <v>19111</v>
      </c>
      <c r="N140" s="46">
        <f>'Inputs (2)'!I20</f>
        <v>17837</v>
      </c>
      <c r="O140" s="46">
        <f>'Inputs (2)'!J20</f>
        <v>13632</v>
      </c>
      <c r="P140" s="46">
        <f>'Inputs (2)'!K20</f>
        <v>12753</v>
      </c>
      <c r="Q140" s="46">
        <f>'Inputs (2)'!L20</f>
        <v>13593</v>
      </c>
      <c r="R140" s="12">
        <f>'Inputs (2)'!M20</f>
        <v>13593</v>
      </c>
      <c r="S140" s="46">
        <f>'Inputs (2)'!N20</f>
        <v>17876</v>
      </c>
      <c r="T140" s="46">
        <f>'Inputs (2)'!O20</f>
        <v>15892</v>
      </c>
      <c r="U140" s="46">
        <f>'Inputs (2)'!P20</f>
        <v>11742</v>
      </c>
      <c r="V140" s="46">
        <f>'Inputs (2)'!Q20</f>
        <v>10837</v>
      </c>
      <c r="W140" s="12">
        <f>'Inputs (2)'!R20</f>
        <v>10837</v>
      </c>
      <c r="X140" s="46">
        <f>'Inputs (2)'!S20</f>
        <v>8440</v>
      </c>
      <c r="Y140" s="46">
        <f>'Inputs (2)'!T20</f>
        <v>7406</v>
      </c>
      <c r="Z140" s="46">
        <f>'Inputs (2)'!U20</f>
        <v>6271</v>
      </c>
      <c r="AA140" s="46">
        <f>'Inputs (2)'!V20</f>
        <v>4925</v>
      </c>
      <c r="AB140" s="12">
        <f>'Inputs (2)'!W20</f>
        <v>4925</v>
      </c>
      <c r="AC140" s="46">
        <f>'Inputs (2)'!X20</f>
        <v>5013</v>
      </c>
      <c r="AD140" s="46">
        <f>'Inputs (2)'!Y20</f>
        <v>5132</v>
      </c>
      <c r="AE140" s="46">
        <f>'Inputs (2)'!Z20</f>
        <v>5234</v>
      </c>
      <c r="AF140" s="46">
        <f>'Inputs (2)'!AA20</f>
        <v>4565</v>
      </c>
      <c r="AG140" s="12">
        <f>'Inputs (2)'!AB20</f>
        <v>4565</v>
      </c>
      <c r="AH140" s="12">
        <f>'Inputs (2)'!AC20</f>
        <v>4547</v>
      </c>
      <c r="AI140" s="12">
        <f>'Inputs (2)'!AD20</f>
        <v>5552</v>
      </c>
      <c r="AJ140" s="12">
        <f>AI140</f>
        <v>5552</v>
      </c>
      <c r="AK140" s="12">
        <f>AJ140</f>
        <v>5552</v>
      </c>
      <c r="AL140" s="12">
        <f>AK140</f>
        <v>5552</v>
      </c>
      <c r="AM140" s="12">
        <f>AL140</f>
        <v>5552</v>
      </c>
      <c r="AN140" s="12">
        <f>AM140</f>
        <v>5552</v>
      </c>
      <c r="AO140" s="12">
        <f>AN140</f>
        <v>5552</v>
      </c>
      <c r="AP140" s="12">
        <f>AO140</f>
        <v>5552</v>
      </c>
      <c r="AQ140" s="12">
        <f>AP140</f>
        <v>5552</v>
      </c>
      <c r="AR140" s="12">
        <f>AQ140</f>
        <v>5552</v>
      </c>
      <c r="AS140" s="12">
        <f>AR140</f>
        <v>5552</v>
      </c>
      <c r="AT140" s="12">
        <f>AS140</f>
        <v>5552</v>
      </c>
      <c r="AU140" s="12">
        <f>AT140</f>
        <v>5552</v>
      </c>
      <c r="AV140" s="12">
        <f>AU140</f>
        <v>5552</v>
      </c>
      <c r="AW140" s="12">
        <f>AV140</f>
        <v>5552</v>
      </c>
      <c r="AX140" s="12">
        <f>AW140</f>
        <v>5552</v>
      </c>
      <c r="AY140" s="12">
        <f>AX140</f>
        <v>5552</v>
      </c>
      <c r="AZ140" s="12">
        <f>AY140</f>
        <v>5552</v>
      </c>
      <c r="BA140" s="12">
        <f>AZ140</f>
        <v>5552</v>
      </c>
      <c r="BB140" s="12">
        <f>BA140</f>
        <v>5552</v>
      </c>
      <c r="BC140" s="12">
        <f>BB140</f>
        <v>5552</v>
      </c>
      <c r="BD140" s="12">
        <f>BC140</f>
        <v>5552</v>
      </c>
      <c r="BE140" s="12">
        <f>BD140</f>
        <v>5552</v>
      </c>
      <c r="BF140" s="12">
        <f>BE140</f>
        <v>5552</v>
      </c>
      <c r="BG140" s="12" t="n"/>
      <c r="BH140" s="12" t="n"/>
      <c r="BI140" s="12" t="n"/>
      <c r="BJ140" s="12" t="n"/>
      <c r="BK140" s="12" t="n"/>
      <c r="BL140" s="12" t="n"/>
      <c r="BM140" s="12" t="n"/>
      <c r="BN140" s="12" t="n"/>
      <c r="BO140" s="12" t="n"/>
      <c r="BP140" s="12" t="n"/>
      <c r="BQ140" s="12" t="n"/>
      <c r="BR140" s="12" t="n"/>
      <c r="BS140" s="12" t="n"/>
      <c r="BT140" s="12" t="n"/>
      <c r="BU140" s="12" t="n"/>
      <c r="BV140" s="12" t="n"/>
      <c r="BW140" s="12" t="n"/>
      <c r="BX140" s="12" t="n"/>
      <c r="BY140" s="12" t="n"/>
      <c r="BZ140" s="12" t="n"/>
      <c r="CA140" s="12" t="n"/>
      <c r="CB140" s="12" t="n"/>
      <c r="CC140" s="12" t="n"/>
      <c r="CD140" s="12" t="n"/>
      <c r="CE140" s="12" t="n"/>
      <c r="CF140" s="12" t="n"/>
      <c r="CG140" s="12" t="n"/>
      <c r="CH140" s="12" t="n"/>
      <c r="CI140" s="12" t="n"/>
      <c r="CJ140" s="12" t="n"/>
      <c r="CK140" s="12" t="n"/>
      <c r="CL140" s="12" t="n"/>
      <c r="CM140" s="12" t="n"/>
      <c r="CN140" s="12" t="n"/>
      <c r="CO140" s="12" t="n"/>
      <c r="CP140" s="12" t="n"/>
      <c r="CQ140" s="12" t="n"/>
      <c r="CR140" s="12" t="n"/>
      <c r="CS140" s="12" t="n"/>
      <c r="CT140" s="12" t="n"/>
      <c r="CU140" s="12" t="n"/>
      <c r="CV140" s="12" t="n"/>
      <c r="CW140" s="12" t="n"/>
      <c r="CX140" s="12" t="n"/>
      <c r="CY140" s="12" t="n"/>
    </row>
    <row r="141" hidden="1" outlineLevel="1">
      <c r="C141" s="59" t="inlineStr">
        <is>
          <t>%(Var.)</t>
        </is>
      </c>
      <c r="D141" s="12" t="n"/>
      <c r="E141" s="40" t="n"/>
      <c r="F141" s="40" t="n"/>
      <c r="G141" s="40" t="n"/>
      <c r="H141" s="12" t="n"/>
      <c r="I141" s="40" t="str">
        <f>""</f>
        <v/>
      </c>
      <c r="J141" s="40">
        <f>IFERROR(IF(I140=0,"",J140/I140-1),"")</f>
        <v>-0.0355721644278356</v>
      </c>
      <c r="K141" s="40">
        <f>IFERROR(IF(J140=0,"",K140/J140-1),"")</f>
        <v>-0.0162533512064343</v>
      </c>
      <c r="L141" s="40">
        <f>IFERROR(IF(K140=0,"",L140/K140-1),"")</f>
        <v>-0.593105944472833</v>
      </c>
      <c r="M141" s="12">
        <f>IFERROR(IF(L140=0,"",M140/L140-1),"")</f>
        <v>0</v>
      </c>
      <c r="N141" s="40">
        <f>IFERROR(IF(M140=0,"",N140/M140-1),"")</f>
        <v>-0.0666631782742923</v>
      </c>
      <c r="O141" s="40">
        <f>IFERROR(IF(N140=0,"",O140/N140-1),"")</f>
        <v>-0.235745921399338</v>
      </c>
      <c r="P141" s="40">
        <f>IFERROR(IF(O140=0,"",P140/O140-1),"")</f>
        <v>-0.0644806338028169</v>
      </c>
      <c r="Q141" s="40">
        <f>IFERROR(IF(P140=0,"",Q140/P140-1),"")</f>
        <v>0.0658668548576806</v>
      </c>
      <c r="R141" s="12">
        <f>IFERROR(IF(Q140=0,"",R140/Q140-1),"")</f>
        <v>0</v>
      </c>
      <c r="S141" s="40">
        <f>IFERROR(IF(R140=0,"",S140/R140-1),"")</f>
        <v>0.315088648569116</v>
      </c>
      <c r="T141" s="40">
        <f>IFERROR(IF(S140=0,"",T140/S140-1),"")</f>
        <v>-0.110986797941374</v>
      </c>
      <c r="U141" s="40">
        <f>IFERROR(IF(T140=0,"",U140/T140-1),"")</f>
        <v>-0.261137679335515</v>
      </c>
      <c r="V141" s="40">
        <f>IFERROR(IF(U140=0,"",V140/U140-1),"")</f>
        <v>-0.0770737523420201</v>
      </c>
      <c r="W141" s="12">
        <f>IFERROR(IF(V140=0,"",W140/V140-1),"")</f>
        <v>0</v>
      </c>
      <c r="X141" s="40">
        <f>IFERROR(IF(W140=0,"",X140/W140-1),"")</f>
        <v>-0.221186675279136</v>
      </c>
      <c r="Y141" s="40">
        <f>IFERROR(IF(X140=0,"",Y140/X140-1),"")</f>
        <v>-0.122511848341232</v>
      </c>
      <c r="Z141" s="40">
        <f>IFERROR(IF(Y140=0,"",Z140/Y140-1),"")</f>
        <v>-0.153254118282474</v>
      </c>
      <c r="AA141" s="40">
        <f>IFERROR(IF(Z140=0,"",AA140/Z140-1),"")</f>
        <v>-0.21463881358635</v>
      </c>
      <c r="AB141" s="12">
        <f>IFERROR(IF(AA140=0,"",AB140/AA140-1),"")</f>
        <v>0</v>
      </c>
      <c r="AC141" s="40">
        <f>IFERROR(IF(AB140=0,"",AC140/AB140-1),"")</f>
        <v>0.0178680203045685</v>
      </c>
      <c r="AD141" s="40">
        <f>IFERROR(IF(AC140=0,"",AD140/AC140-1),"")</f>
        <v>0.023738280470776</v>
      </c>
      <c r="AE141" s="40">
        <f>IFERROR(IF(AD140=0,"",AE140/AD140-1),"")</f>
        <v>0.01987529228371</v>
      </c>
      <c r="AF141" s="55">
        <f>IFERROR(IF(AE140=0,"",AF140/AE140-1),"")</f>
        <v>-0.127818112342377</v>
      </c>
      <c r="AG141" s="12">
        <f>IFERROR(IF(AF140=0,"",AG140/AF140-1),"")</f>
        <v>0</v>
      </c>
      <c r="AH141" s="12">
        <f>IFERROR(IF(AG140=0,"",AH140/AG140-1),"")</f>
        <v>-0.00394304490690034</v>
      </c>
      <c r="AI141" s="12">
        <f>IFERROR(IF(AH140=0,"",AI140/AH140-1),"")</f>
        <v>0.221024851550473</v>
      </c>
      <c r="AJ141" s="12">
        <f>IFERROR(IF(AI140=0,"",AJ140/AI140-1),"")</f>
        <v>0</v>
      </c>
      <c r="AK141" s="12">
        <f>IFERROR(IF(AJ140=0,"",AK140/AJ140-1),"")</f>
        <v>0</v>
      </c>
      <c r="AL141" s="12">
        <f>IFERROR(IF(AK140=0,"",AL140/AK140-1),"")</f>
        <v>0</v>
      </c>
      <c r="AM141" s="12">
        <f>IFERROR(IF(AL140=0,"",AM140/AL140-1),"")</f>
        <v>0</v>
      </c>
      <c r="AN141" s="12">
        <f>IFERROR(IF(AM140=0,"",AN140/AM140-1),"")</f>
        <v>0</v>
      </c>
      <c r="AO141" s="12">
        <f>IFERROR(IF(AN140=0,"",AO140/AN140-1),"")</f>
        <v>0</v>
      </c>
      <c r="AP141" s="12">
        <f>IFERROR(IF(AO140=0,"",AP140/AO140-1),"")</f>
        <v>0</v>
      </c>
      <c r="AQ141" s="12">
        <f>IFERROR(IF(AP140=0,"",AQ140/AP140-1),"")</f>
        <v>0</v>
      </c>
      <c r="AR141" s="12">
        <f>IFERROR(IF(AQ140=0,"",AR140/AQ140-1),"")</f>
        <v>0</v>
      </c>
      <c r="AS141" s="12">
        <f>IFERROR(IF(AR140=0,"",AS140/AR140-1),"")</f>
        <v>0</v>
      </c>
      <c r="AT141" s="12">
        <f>IFERROR(IF(AS140=0,"",AT140/AS140-1),"")</f>
        <v>0</v>
      </c>
      <c r="AU141" s="12">
        <f>IFERROR(IF(AT140=0,"",AU140/AT140-1),"")</f>
        <v>0</v>
      </c>
      <c r="AV141" s="12">
        <f>IFERROR(IF(AU140=0,"",AV140/AU140-1),"")</f>
        <v>0</v>
      </c>
      <c r="AW141" s="12">
        <f>IFERROR(IF(AV140=0,"",AW140/AV140-1),"")</f>
        <v>0</v>
      </c>
      <c r="AX141" s="12">
        <f>IFERROR(IF(AW140=0,"",AX140/AW140-1),"")</f>
        <v>0</v>
      </c>
      <c r="AY141" s="12">
        <f>IFERROR(IF(AX140=0,"",AY140/AX140-1),"")</f>
        <v>0</v>
      </c>
      <c r="AZ141" s="12">
        <f>IFERROR(IF(AY140=0,"",AZ140/AY140-1),"")</f>
        <v>0</v>
      </c>
      <c r="BA141" s="12">
        <f>IFERROR(IF(AZ140=0,"",BA140/AZ140-1),"")</f>
        <v>0</v>
      </c>
      <c r="BB141" s="12">
        <f>IFERROR(IF(BA140=0,"",BB140/BA140-1),"")</f>
        <v>0</v>
      </c>
      <c r="BC141" s="12">
        <f>IFERROR(IF(BB140=0,"",BC140/BB140-1),"")</f>
        <v>0</v>
      </c>
      <c r="BD141" s="12">
        <f>IFERROR(IF(BC140=0,"",BD140/BC140-1),"")</f>
        <v>0</v>
      </c>
      <c r="BE141" s="12">
        <f>IFERROR(IF(BD140=0,"",BE140/BD140-1),"")</f>
        <v>0</v>
      </c>
      <c r="BF141" s="12">
        <f>IFERROR(IF(BE140=0,"",BF140/BE140-1),"")</f>
        <v>0</v>
      </c>
      <c r="BG141" s="12" t="n"/>
      <c r="BH141" s="12" t="n"/>
      <c r="BI141" s="12" t="n"/>
      <c r="BJ141" s="12" t="n"/>
      <c r="BK141" s="12" t="n"/>
      <c r="BL141" s="12" t="n"/>
      <c r="BM141" s="12" t="n"/>
      <c r="BN141" s="12" t="n"/>
      <c r="BO141" s="12" t="n"/>
      <c r="BP141" s="12" t="n"/>
      <c r="BQ141" s="12" t="n"/>
      <c r="BR141" s="12" t="n"/>
      <c r="BS141" s="12" t="n"/>
      <c r="BT141" s="12" t="n"/>
      <c r="BU141" s="12" t="n"/>
      <c r="BV141" s="12" t="n"/>
      <c r="BW141" s="12" t="n"/>
      <c r="BX141" s="12" t="n"/>
      <c r="BY141" s="12" t="n"/>
      <c r="BZ141" s="12" t="n"/>
      <c r="CA141" s="12" t="n"/>
      <c r="CB141" s="12" t="n"/>
      <c r="CC141" s="12" t="n"/>
      <c r="CD141" s="12" t="n"/>
      <c r="CE141" s="12" t="n"/>
      <c r="CF141" s="12" t="n"/>
      <c r="CG141" s="12" t="n"/>
      <c r="CH141" s="12" t="n"/>
      <c r="CI141" s="12" t="n"/>
      <c r="CJ141" s="12" t="n"/>
      <c r="CK141" s="12" t="n"/>
      <c r="CL141" s="12" t="n"/>
      <c r="CM141" s="12" t="n"/>
      <c r="CN141" s="12" t="n"/>
      <c r="CO141" s="12" t="n"/>
      <c r="CP141" s="12" t="n"/>
      <c r="CQ141" s="12" t="n"/>
      <c r="CR141" s="12" t="n"/>
      <c r="CS141" s="12" t="n"/>
      <c r="CT141" s="12" t="n"/>
      <c r="CU141" s="12" t="n"/>
      <c r="CV141" s="12" t="n"/>
      <c r="CW141" s="12" t="n"/>
      <c r="CX141" s="12" t="n"/>
      <c r="CY141" s="12" t="n"/>
    </row>
    <row r="142" hidden="1" outlineLevel="1">
      <c r="C142" s="57" t="n"/>
      <c r="D142" s="12" t="n"/>
      <c r="E142" s="40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2" t="n"/>
      <c r="AH142" s="12" t="n"/>
      <c r="AI142" s="12" t="n"/>
      <c r="AJ142" s="12" t="n"/>
      <c r="AK142" s="12" t="n"/>
      <c r="AL142" s="12" t="n"/>
      <c r="AM142" s="12" t="n"/>
      <c r="AN142" s="12" t="n"/>
      <c r="AO142" s="12" t="n"/>
      <c r="AP142" s="12" t="n"/>
      <c r="AQ142" s="12" t="n"/>
      <c r="AR142" s="12" t="n"/>
      <c r="AS142" s="12" t="n"/>
      <c r="AT142" s="12" t="n"/>
      <c r="AU142" s="12" t="n"/>
      <c r="AV142" s="12" t="n"/>
      <c r="AW142" s="12" t="n"/>
      <c r="AX142" s="12" t="n"/>
      <c r="AY142" s="12" t="n"/>
      <c r="AZ142" s="12" t="n"/>
      <c r="BA142" s="12" t="n"/>
      <c r="BB142" s="12" t="n"/>
      <c r="BC142" s="12" t="n"/>
      <c r="BD142" s="12" t="n"/>
      <c r="BE142" s="12" t="n"/>
      <c r="BF142" s="12" t="n"/>
      <c r="BG142" s="12" t="n"/>
      <c r="BH142" s="12" t="n"/>
      <c r="BI142" s="12" t="n"/>
      <c r="BJ142" s="12" t="n"/>
      <c r="BK142" s="12" t="n"/>
      <c r="BL142" s="12" t="n"/>
      <c r="BM142" s="12" t="n"/>
      <c r="BN142" s="12" t="n"/>
      <c r="BO142" s="12" t="n"/>
      <c r="BP142" s="12" t="n"/>
      <c r="BQ142" s="12" t="n"/>
      <c r="BR142" s="12" t="n"/>
      <c r="BS142" s="12" t="n"/>
      <c r="BT142" s="12" t="n"/>
      <c r="BU142" s="12" t="n"/>
      <c r="BV142" s="12" t="n"/>
      <c r="BW142" s="12" t="n"/>
      <c r="BX142" s="12" t="n"/>
      <c r="BY142" s="12" t="n"/>
      <c r="BZ142" s="12" t="n"/>
      <c r="CA142" s="12" t="n"/>
      <c r="CB142" s="12" t="n"/>
      <c r="CC142" s="12" t="n"/>
      <c r="CD142" s="12" t="n"/>
      <c r="CE142" s="12" t="n"/>
      <c r="CF142" s="12" t="n"/>
      <c r="CG142" s="12" t="n"/>
      <c r="CH142" s="12" t="n"/>
      <c r="CI142" s="12" t="n"/>
      <c r="CJ142" s="12" t="n"/>
      <c r="CK142" s="12" t="n"/>
      <c r="CL142" s="12" t="n"/>
      <c r="CM142" s="12" t="n"/>
      <c r="CN142" s="12" t="n"/>
      <c r="CO142" s="12" t="n"/>
      <c r="CP142" s="12" t="n"/>
      <c r="CQ142" s="12" t="n"/>
      <c r="CR142" s="12" t="n"/>
      <c r="CS142" s="12" t="n"/>
      <c r="CT142" s="12" t="n"/>
      <c r="CU142" s="12" t="n"/>
      <c r="CV142" s="12" t="n"/>
      <c r="CW142" s="12" t="n"/>
      <c r="CX142" s="12" t="n"/>
      <c r="CY142" s="12" t="n"/>
    </row>
    <row r="143" hidden="1" outlineLevel="1">
      <c r="C143" s="60" t="inlineStr">
        <is>
          <t xml:space="preserve">Impostos e Contribuições a Recuperar </t>
        </is>
      </c>
      <c r="D143" s="11" t="n"/>
      <c r="E143" s="11" t="n"/>
      <c r="F143" s="11" t="n"/>
      <c r="G143" s="11" t="n"/>
      <c r="H143" s="12" t="n"/>
      <c r="I143" s="11" t="n"/>
      <c r="J143" s="11" t="n"/>
      <c r="K143" s="11" t="n"/>
      <c r="L143" s="11" t="n"/>
      <c r="M143" s="12" t="n"/>
      <c r="N143" s="11" t="n"/>
      <c r="O143" s="11" t="n"/>
      <c r="P143" s="11" t="n"/>
      <c r="Q143" s="11" t="n"/>
      <c r="R143" s="12" t="n"/>
      <c r="S143" s="11" t="n"/>
      <c r="T143" s="11" t="n"/>
      <c r="U143" s="11" t="n"/>
      <c r="V143" s="11" t="n"/>
      <c r="W143" s="12" t="n"/>
      <c r="X143" s="11" t="n"/>
      <c r="Y143" s="11" t="n"/>
      <c r="Z143" s="11" t="n"/>
      <c r="AA143" s="11" t="n"/>
      <c r="AB143" s="12" t="n"/>
      <c r="AC143" s="11" t="n"/>
      <c r="AD143" s="11" t="n"/>
      <c r="AE143" s="11" t="n"/>
      <c r="AF143" s="11" t="n"/>
      <c r="AG143" s="12">
        <f>AF143</f>
        <v>0</v>
      </c>
      <c r="AH143" s="61">
        <f>IFERROR(AG143*AH15/AG15,"")</f>
        <v>0</v>
      </c>
      <c r="AI143" s="61">
        <f>IFERROR(AH143*AI15/AH15,"")</f>
        <v>0</v>
      </c>
      <c r="AJ143" s="61">
        <f>IFERROR(AI143*AJ15/AI15,"")</f>
        <v>0</v>
      </c>
      <c r="AK143" s="61">
        <f>IFERROR(AJ143*AK15/AJ15,"")</f>
        <v>0</v>
      </c>
      <c r="AL143" s="12">
        <f>IFERROR(AK143,"")</f>
        <v>0</v>
      </c>
      <c r="AM143" s="12" t="n"/>
      <c r="AN143" s="12" t="n"/>
      <c r="AO143" s="12" t="n"/>
      <c r="AP143" s="12" t="n"/>
      <c r="AQ143" s="12" t="n"/>
      <c r="AR143" s="12" t="n"/>
      <c r="AS143" s="12" t="n"/>
      <c r="AT143" s="12" t="n"/>
      <c r="AU143" s="12" t="n"/>
      <c r="AV143" s="12" t="n"/>
      <c r="AW143" s="12" t="n"/>
      <c r="AX143" s="12" t="n"/>
      <c r="AY143" s="12" t="n"/>
      <c r="AZ143" s="12" t="n"/>
      <c r="BA143" s="12" t="n"/>
      <c r="BB143" s="12" t="n"/>
      <c r="BC143" s="12" t="n"/>
      <c r="BD143" s="12" t="n"/>
      <c r="BE143" s="12" t="n"/>
      <c r="BF143" s="12" t="n"/>
      <c r="BG143" s="12" t="n"/>
      <c r="BH143" s="12" t="n"/>
      <c r="BI143" s="12" t="n"/>
      <c r="BJ143" s="12" t="n"/>
      <c r="BK143" s="12" t="n"/>
      <c r="BL143" s="12" t="n"/>
      <c r="BM143" s="12" t="n"/>
      <c r="BN143" s="12" t="n"/>
      <c r="BO143" s="12" t="n"/>
      <c r="BP143" s="12" t="n"/>
      <c r="BQ143" s="12" t="n"/>
      <c r="BR143" s="12" t="n"/>
      <c r="BS143" s="12" t="n"/>
      <c r="BT143" s="12" t="n"/>
      <c r="BU143" s="12" t="n"/>
      <c r="BV143" s="12" t="n"/>
      <c r="BW143" s="12" t="n"/>
      <c r="BX143" s="12" t="n"/>
      <c r="BY143" s="12" t="n"/>
      <c r="BZ143" s="12" t="n"/>
      <c r="CA143" s="12" t="n"/>
      <c r="CB143" s="12" t="n"/>
      <c r="CC143" s="12" t="n"/>
      <c r="CD143" s="12" t="n"/>
      <c r="CE143" s="12" t="n"/>
      <c r="CF143" s="12" t="n"/>
      <c r="CG143" s="12" t="n"/>
      <c r="CH143" s="12" t="n"/>
      <c r="CI143" s="12" t="n"/>
      <c r="CJ143" s="12" t="n"/>
      <c r="CK143" s="12" t="n"/>
      <c r="CL143" s="12" t="n"/>
      <c r="CM143" s="12" t="n"/>
      <c r="CN143" s="12" t="n"/>
      <c r="CO143" s="12" t="n"/>
      <c r="CP143" s="12" t="n"/>
      <c r="CQ143" s="12" t="n"/>
      <c r="CR143" s="12" t="n"/>
      <c r="CS143" s="12" t="n"/>
      <c r="CT143" s="12" t="n"/>
      <c r="CU143" s="12" t="n"/>
      <c r="CV143" s="12" t="n"/>
      <c r="CW143" s="12" t="n"/>
      <c r="CX143" s="12" t="n"/>
      <c r="CY143" s="12" t="n"/>
    </row>
    <row r="144" hidden="1" outlineLevel="1">
      <c r="C144" s="60" t="inlineStr">
        <is>
          <t>Outros Créditos</t>
        </is>
      </c>
      <c r="D144" s="11" t="n"/>
      <c r="E144" s="11" t="n"/>
      <c r="F144" s="11" t="n"/>
      <c r="G144" s="11" t="n"/>
      <c r="H144" s="12" t="n"/>
      <c r="I144" s="11" t="n"/>
      <c r="J144" s="11" t="n"/>
      <c r="K144" s="11" t="n"/>
      <c r="L144" s="11" t="n"/>
      <c r="M144" s="12" t="n"/>
      <c r="N144" s="11" t="n"/>
      <c r="O144" s="11" t="n"/>
      <c r="P144" s="11" t="n"/>
      <c r="Q144" s="11" t="n"/>
      <c r="R144" s="12" t="n"/>
      <c r="S144" s="11" t="n"/>
      <c r="T144" s="11" t="n"/>
      <c r="U144" s="11" t="n"/>
      <c r="V144" s="11" t="n"/>
      <c r="W144" s="12" t="n"/>
      <c r="X144" s="11" t="n"/>
      <c r="Y144" s="11" t="n"/>
      <c r="Z144" s="11" t="n"/>
      <c r="AA144" s="11" t="n"/>
      <c r="AB144" s="12" t="n"/>
      <c r="AC144" s="11" t="n"/>
      <c r="AD144" s="11" t="n"/>
      <c r="AE144" s="11" t="n"/>
      <c r="AF144" s="11" t="n"/>
      <c r="AG144" s="12">
        <f>AF144</f>
        <v>0</v>
      </c>
      <c r="AH144" s="12">
        <f>AG144</f>
        <v>0</v>
      </c>
      <c r="AI144" s="12">
        <f>AH144</f>
        <v>0</v>
      </c>
      <c r="AJ144" s="12">
        <f>AI144</f>
        <v>0</v>
      </c>
      <c r="AK144" s="12">
        <f>AJ144</f>
        <v>0</v>
      </c>
      <c r="AL144" s="12">
        <f>AK144</f>
        <v>0</v>
      </c>
      <c r="AM144" s="12" t="n"/>
      <c r="AN144" s="12" t="n"/>
      <c r="AO144" s="12" t="n"/>
      <c r="AP144" s="12" t="n"/>
      <c r="AQ144" s="12" t="n"/>
      <c r="AR144" s="12" t="n"/>
      <c r="AS144" s="12" t="n"/>
      <c r="AT144" s="12" t="n"/>
      <c r="AU144" s="12" t="n"/>
      <c r="AV144" s="12" t="n"/>
      <c r="AW144" s="12" t="n"/>
      <c r="AX144" s="12" t="n"/>
      <c r="AY144" s="12" t="n"/>
      <c r="AZ144" s="12" t="n"/>
      <c r="BA144" s="12" t="n"/>
      <c r="BB144" s="12" t="n"/>
      <c r="BC144" s="12" t="n"/>
      <c r="BD144" s="12" t="n"/>
      <c r="BE144" s="12" t="n"/>
      <c r="BF144" s="12" t="n"/>
      <c r="BG144" s="12" t="n"/>
      <c r="BH144" s="12" t="n"/>
      <c r="BI144" s="12" t="n"/>
      <c r="BJ144" s="12" t="n"/>
      <c r="BK144" s="12" t="n"/>
      <c r="BL144" s="12" t="n"/>
      <c r="BM144" s="12" t="n"/>
      <c r="BN144" s="12" t="n"/>
      <c r="BO144" s="12" t="n"/>
      <c r="BP144" s="12" t="n"/>
      <c r="BQ144" s="12" t="n"/>
      <c r="BR144" s="12" t="n"/>
      <c r="BS144" s="12" t="n"/>
      <c r="BT144" s="12" t="n"/>
      <c r="BU144" s="12" t="n"/>
      <c r="BV144" s="12" t="n"/>
      <c r="BW144" s="12" t="n"/>
      <c r="BX144" s="12" t="n"/>
      <c r="BY144" s="12" t="n"/>
      <c r="BZ144" s="12" t="n"/>
      <c r="CA144" s="12" t="n"/>
      <c r="CB144" s="12" t="n"/>
      <c r="CC144" s="12" t="n"/>
      <c r="CD144" s="12" t="n"/>
      <c r="CE144" s="12" t="n"/>
      <c r="CF144" s="12" t="n"/>
      <c r="CG144" s="12" t="n"/>
      <c r="CH144" s="12" t="n"/>
      <c r="CI144" s="12" t="n"/>
      <c r="CJ144" s="12" t="n"/>
      <c r="CK144" s="12" t="n"/>
      <c r="CL144" s="12" t="n"/>
      <c r="CM144" s="12" t="n"/>
      <c r="CN144" s="12" t="n"/>
      <c r="CO144" s="12" t="n"/>
      <c r="CP144" s="12" t="n"/>
      <c r="CQ144" s="12" t="n"/>
      <c r="CR144" s="12" t="n"/>
      <c r="CS144" s="12" t="n"/>
      <c r="CT144" s="12" t="n"/>
      <c r="CU144" s="12" t="n"/>
      <c r="CV144" s="12" t="n"/>
      <c r="CW144" s="12" t="n"/>
      <c r="CX144" s="12" t="n"/>
      <c r="CY144" s="12" t="n"/>
    </row>
    <row r="145" hidden="1" outlineLevel="1">
      <c r="C145" s="57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  <c r="AJ145" s="12" t="n"/>
      <c r="AK145" s="12" t="n"/>
      <c r="AL145" s="12" t="n"/>
      <c r="AM145" s="12" t="n"/>
      <c r="AN145" s="12" t="n"/>
      <c r="AO145" s="12" t="n"/>
      <c r="AP145" s="12" t="n"/>
      <c r="AQ145" s="12" t="n"/>
      <c r="AR145" s="12" t="n"/>
      <c r="AS145" s="12" t="n"/>
      <c r="AT145" s="12" t="n"/>
      <c r="AU145" s="12" t="n"/>
      <c r="AV145" s="12" t="n"/>
      <c r="AW145" s="12" t="n"/>
      <c r="AX145" s="12" t="n"/>
      <c r="AY145" s="12" t="n"/>
      <c r="AZ145" s="12" t="n"/>
      <c r="BA145" s="12" t="n"/>
      <c r="BB145" s="12" t="n"/>
      <c r="BC145" s="12" t="n"/>
      <c r="BD145" s="12" t="n"/>
      <c r="BE145" s="12" t="n"/>
      <c r="BF145" s="12" t="n"/>
      <c r="BG145" s="12" t="n"/>
      <c r="BH145" s="12" t="n"/>
      <c r="BI145" s="12" t="n"/>
      <c r="BJ145" s="12" t="n"/>
      <c r="BK145" s="12" t="n"/>
      <c r="BL145" s="12" t="n"/>
      <c r="BM145" s="12" t="n"/>
      <c r="BN145" s="12" t="n"/>
      <c r="BO145" s="12" t="n"/>
      <c r="BP145" s="12" t="n"/>
      <c r="BQ145" s="12" t="n"/>
      <c r="BR145" s="12" t="n"/>
      <c r="BS145" s="12" t="n"/>
      <c r="BT145" s="12" t="n"/>
      <c r="BU145" s="12" t="n"/>
      <c r="BV145" s="12" t="n"/>
      <c r="BW145" s="12" t="n"/>
      <c r="BX145" s="12" t="n"/>
      <c r="BY145" s="12" t="n"/>
      <c r="BZ145" s="12" t="n"/>
      <c r="CA145" s="12" t="n"/>
      <c r="CB145" s="12" t="n"/>
      <c r="CC145" s="12" t="n"/>
      <c r="CD145" s="12" t="n"/>
      <c r="CE145" s="12" t="n"/>
      <c r="CF145" s="12" t="n"/>
      <c r="CG145" s="12" t="n"/>
      <c r="CH145" s="12" t="n"/>
      <c r="CI145" s="12" t="n"/>
      <c r="CJ145" s="12" t="n"/>
      <c r="CK145" s="12" t="n"/>
      <c r="CL145" s="12" t="n"/>
      <c r="CM145" s="12" t="n"/>
      <c r="CN145" s="12" t="n"/>
      <c r="CO145" s="12" t="n"/>
      <c r="CP145" s="12" t="n"/>
      <c r="CQ145" s="12" t="n"/>
      <c r="CR145" s="12" t="n"/>
      <c r="CS145" s="12" t="n"/>
      <c r="CT145" s="12" t="n"/>
      <c r="CU145" s="12" t="n"/>
      <c r="CV145" s="12" t="n"/>
      <c r="CW145" s="12" t="n"/>
      <c r="CX145" s="12" t="n"/>
      <c r="CY145" s="12" t="n"/>
    </row>
    <row r="146" collapsed="1">
      <c r="C146" s="14" t="inlineStr">
        <is>
          <t>Equity in affiliates</t>
        </is>
      </c>
      <c r="D146" s="46" t="n"/>
      <c r="E146" s="46" t="n"/>
      <c r="F146" s="46" t="n"/>
      <c r="G146" s="46" t="n"/>
      <c r="H146" s="12" t="n"/>
      <c r="I146" s="46">
        <f>'Inputs (2)'!D21</f>
        <v>0</v>
      </c>
      <c r="J146" s="46">
        <f>'Inputs (2)'!E21</f>
        <v>0</v>
      </c>
      <c r="K146" s="46">
        <f>'Inputs (2)'!F21</f>
        <v>0</v>
      </c>
      <c r="L146" s="46">
        <f>'Inputs (2)'!G21</f>
        <v>0</v>
      </c>
      <c r="M146" s="12">
        <f>'Inputs (2)'!H21</f>
        <v>0</v>
      </c>
      <c r="N146" s="46">
        <f>'Inputs (2)'!I21</f>
        <v>0</v>
      </c>
      <c r="O146" s="46">
        <f>'Inputs (2)'!J21</f>
        <v>0</v>
      </c>
      <c r="P146" s="46">
        <f>'Inputs (2)'!K21</f>
        <v>0</v>
      </c>
      <c r="Q146" s="46">
        <f>'Inputs (2)'!L21</f>
        <v>0</v>
      </c>
      <c r="R146" s="12">
        <f>'Inputs (2)'!M21</f>
        <v>0</v>
      </c>
      <c r="S146" s="46">
        <f>'Inputs (2)'!N21</f>
        <v>0</v>
      </c>
      <c r="T146" s="46">
        <f>'Inputs (2)'!O21</f>
        <v>0</v>
      </c>
      <c r="U146" s="46">
        <f>'Inputs (2)'!P21</f>
        <v>0</v>
      </c>
      <c r="V146" s="46">
        <f>'Inputs (2)'!Q21</f>
        <v>0</v>
      </c>
      <c r="W146" s="12">
        <f>'Inputs (2)'!R21</f>
        <v>0</v>
      </c>
      <c r="X146" s="46">
        <f>'Inputs (2)'!S21</f>
        <v>0</v>
      </c>
      <c r="Y146" s="46">
        <f>'Inputs (2)'!T21</f>
        <v>0</v>
      </c>
      <c r="Z146" s="46">
        <f>'Inputs (2)'!U21</f>
        <v>0</v>
      </c>
      <c r="AA146" s="46">
        <f>'Inputs (2)'!V21</f>
        <v>0</v>
      </c>
      <c r="AB146" s="12">
        <f>'Inputs (2)'!W21</f>
        <v>0</v>
      </c>
      <c r="AC146" s="46">
        <f>'Inputs (2)'!X21</f>
        <v>0</v>
      </c>
      <c r="AD146" s="46">
        <f>'Inputs (2)'!Y21</f>
        <v>0</v>
      </c>
      <c r="AE146" s="46">
        <f>'Inputs (2)'!Z21</f>
        <v>0</v>
      </c>
      <c r="AF146" s="46">
        <f>'Inputs (2)'!AA21</f>
        <v>0</v>
      </c>
      <c r="AG146" s="12">
        <f>'Inputs (2)'!AB21</f>
        <v>0</v>
      </c>
      <c r="AH146" s="12">
        <f>'Inputs (2)'!AC21</f>
        <v>0</v>
      </c>
      <c r="AI146" s="12">
        <f>'Inputs (2)'!AD21</f>
        <v>0</v>
      </c>
      <c r="AJ146" s="12">
        <f>AI146+AJ120</f>
        <v>0</v>
      </c>
      <c r="AK146" s="12">
        <f>AJ146+AK120</f>
        <v>0</v>
      </c>
      <c r="AL146" s="12">
        <f>AK146</f>
        <v>0</v>
      </c>
      <c r="AM146" s="12">
        <f>AL146+AM120</f>
        <v>0</v>
      </c>
      <c r="AN146" s="12">
        <f>AM146+AN120</f>
        <v>0</v>
      </c>
      <c r="AO146" s="12">
        <f>AN146+AO120</f>
        <v>0</v>
      </c>
      <c r="AP146" s="12">
        <f>AO146+AP120</f>
        <v>0</v>
      </c>
      <c r="AQ146" s="12">
        <f>AP146</f>
        <v>0</v>
      </c>
      <c r="AR146" s="12">
        <f>AQ146+AR120</f>
        <v>0</v>
      </c>
      <c r="AS146" s="12">
        <f>AR146+AS120</f>
        <v>0</v>
      </c>
      <c r="AT146" s="12">
        <f>AS146+AT120</f>
        <v>0</v>
      </c>
      <c r="AU146" s="12">
        <f>AT146+AU120</f>
        <v>0</v>
      </c>
      <c r="AV146" s="12">
        <f>AU146</f>
        <v>0</v>
      </c>
      <c r="AW146" s="12">
        <f>AV146+AW120</f>
        <v>0</v>
      </c>
      <c r="AX146" s="12">
        <f>AW146+AX120</f>
        <v>0</v>
      </c>
      <c r="AY146" s="12">
        <f>AX146+AY120</f>
        <v>0</v>
      </c>
      <c r="AZ146" s="12">
        <f>AY146+AZ120</f>
        <v>0</v>
      </c>
      <c r="BA146" s="12">
        <f>AZ146</f>
        <v>0</v>
      </c>
      <c r="BB146" s="12">
        <f>BA146+BB120</f>
        <v>0</v>
      </c>
      <c r="BC146" s="12">
        <f>BB146+BC120</f>
        <v>0</v>
      </c>
      <c r="BD146" s="12">
        <f>BC146+BD120</f>
        <v>0</v>
      </c>
      <c r="BE146" s="12">
        <f>BD146+BE120</f>
        <v>0</v>
      </c>
      <c r="BF146" s="12">
        <f>BE146</f>
        <v>0</v>
      </c>
      <c r="BG146" s="12" t="n"/>
      <c r="BH146" s="12" t="n"/>
      <c r="BI146" s="12" t="n"/>
      <c r="BJ146" s="12" t="n"/>
      <c r="BK146" s="12" t="n"/>
      <c r="BL146" s="12" t="n"/>
      <c r="BM146" s="12" t="n"/>
      <c r="BN146" s="12" t="n"/>
      <c r="BO146" s="12" t="n"/>
      <c r="BP146" s="12" t="n"/>
      <c r="BQ146" s="12" t="n"/>
      <c r="BR146" s="12" t="n"/>
      <c r="BS146" s="12" t="n"/>
      <c r="BT146" s="12" t="n"/>
      <c r="BU146" s="12" t="n"/>
      <c r="BV146" s="12" t="n"/>
      <c r="BW146" s="12" t="n"/>
      <c r="BX146" s="12" t="n"/>
      <c r="BY146" s="12" t="n"/>
      <c r="BZ146" s="12" t="n"/>
      <c r="CA146" s="12" t="n"/>
      <c r="CB146" s="12" t="n"/>
      <c r="CC146" s="12" t="n"/>
      <c r="CD146" s="12" t="n"/>
      <c r="CE146" s="12" t="n"/>
      <c r="CF146" s="12" t="n"/>
      <c r="CG146" s="12" t="n"/>
      <c r="CH146" s="12" t="n"/>
      <c r="CI146" s="12" t="n"/>
      <c r="CJ146" s="12" t="n"/>
      <c r="CK146" s="12" t="n"/>
      <c r="CL146" s="12" t="n"/>
      <c r="CM146" s="12" t="n"/>
      <c r="CN146" s="12" t="n"/>
      <c r="CO146" s="12" t="n"/>
      <c r="CP146" s="12" t="n"/>
      <c r="CQ146" s="12" t="n"/>
      <c r="CR146" s="12" t="n"/>
      <c r="CS146" s="12" t="n"/>
      <c r="CT146" s="12" t="n"/>
      <c r="CU146" s="12" t="n"/>
      <c r="CV146" s="12" t="n"/>
      <c r="CW146" s="12" t="n"/>
      <c r="CX146" s="12" t="n"/>
      <c r="CY146" s="12" t="n"/>
    </row>
    <row r="147" hidden="1" outlineLevel="1">
      <c r="C147" s="57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2" t="n"/>
      <c r="AK147" s="12" t="n"/>
      <c r="AL147" s="12" t="n"/>
      <c r="AM147" s="12" t="n"/>
      <c r="AN147" s="12" t="n"/>
      <c r="AO147" s="12" t="n"/>
      <c r="AP147" s="12" t="n"/>
      <c r="AQ147" s="12" t="n"/>
      <c r="AR147" s="12" t="n"/>
      <c r="AS147" s="12" t="n"/>
      <c r="AT147" s="12" t="n"/>
      <c r="AU147" s="12" t="n"/>
      <c r="AV147" s="12" t="n"/>
      <c r="AW147" s="12" t="n"/>
      <c r="AX147" s="12" t="n"/>
      <c r="AY147" s="12" t="n"/>
      <c r="AZ147" s="12" t="n"/>
      <c r="BA147" s="12" t="n"/>
      <c r="BB147" s="12" t="n"/>
      <c r="BC147" s="12" t="n"/>
      <c r="BD147" s="12" t="n"/>
      <c r="BE147" s="12" t="n"/>
      <c r="BF147" s="12" t="n"/>
      <c r="BG147" s="12" t="n"/>
      <c r="BH147" s="12" t="n"/>
      <c r="BI147" s="12" t="n"/>
      <c r="BJ147" s="12" t="n"/>
      <c r="BK147" s="12" t="n"/>
      <c r="BL147" s="12" t="n"/>
      <c r="BM147" s="12" t="n"/>
      <c r="BN147" s="12" t="n"/>
      <c r="BO147" s="12" t="n"/>
      <c r="BP147" s="12" t="n"/>
      <c r="BQ147" s="12" t="n"/>
      <c r="BR147" s="12" t="n"/>
      <c r="BS147" s="12" t="n"/>
      <c r="BT147" s="12" t="n"/>
      <c r="BU147" s="12" t="n"/>
      <c r="BV147" s="12" t="n"/>
      <c r="BW147" s="12" t="n"/>
      <c r="BX147" s="12" t="n"/>
      <c r="BY147" s="12" t="n"/>
      <c r="BZ147" s="12" t="n"/>
      <c r="CA147" s="12" t="n"/>
      <c r="CB147" s="12" t="n"/>
      <c r="CC147" s="12" t="n"/>
      <c r="CD147" s="12" t="n"/>
      <c r="CE147" s="12" t="n"/>
      <c r="CF147" s="12" t="n"/>
      <c r="CG147" s="12" t="n"/>
      <c r="CH147" s="12" t="n"/>
      <c r="CI147" s="12" t="n"/>
      <c r="CJ147" s="12" t="n"/>
      <c r="CK147" s="12" t="n"/>
      <c r="CL147" s="12" t="n"/>
      <c r="CM147" s="12" t="n"/>
      <c r="CN147" s="12" t="n"/>
      <c r="CO147" s="12" t="n"/>
      <c r="CP147" s="12" t="n"/>
      <c r="CQ147" s="12" t="n"/>
      <c r="CR147" s="12" t="n"/>
      <c r="CS147" s="12" t="n"/>
      <c r="CT147" s="12" t="n"/>
      <c r="CU147" s="12" t="n"/>
      <c r="CV147" s="12" t="n"/>
      <c r="CW147" s="12" t="n"/>
      <c r="CX147" s="12" t="n"/>
      <c r="CY147" s="12" t="n"/>
    </row>
    <row r="148" hidden="1" outlineLevel="1">
      <c r="C148" s="57" t="inlineStr">
        <is>
          <t>Equity in Income - % YoY</t>
        </is>
      </c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>
        <f>IF(I120=0,0,N120/I120-1)</f>
        <v>-1.03491185620463</v>
      </c>
      <c r="O148" s="12">
        <f>IF(J120=0,0,O120/J120-1)</f>
        <v>-1.46891651865009</v>
      </c>
      <c r="P148" s="12">
        <f>IF(K120=0,0,P120/K120-1)</f>
        <v>-0.318936877076412</v>
      </c>
      <c r="Q148" s="12">
        <f>IF(L120=0,0,Q120/L120-1)</f>
        <v>-0.736686390532544</v>
      </c>
      <c r="R148" s="12" t="n"/>
      <c r="S148" s="12">
        <f>IF(N120=0,0,S120/N120-1)</f>
        <v>11.4752475247525</v>
      </c>
      <c r="T148" s="12">
        <f>IF(O120=0,0,T120/O120-1)</f>
        <v>-5.61742424242424</v>
      </c>
      <c r="U148" s="12">
        <f>IF(P120=0,0,U120/P120-1)</f>
        <v>-0.924390243902439</v>
      </c>
      <c r="V148" s="12">
        <f>IF(Q120=0,0,V120/Q120-1)</f>
        <v>-1.01123595505618</v>
      </c>
      <c r="W148" s="12" t="n"/>
      <c r="X148" s="12">
        <f>IF(S120=0,0,X120/S120-1)</f>
        <v>-1.14047619047619</v>
      </c>
      <c r="Y148" s="12">
        <f>IF(T120=0,0,Y120/T120-1)</f>
        <v>-0.955701394585726</v>
      </c>
      <c r="Z148" s="12">
        <f>IF(U120=0,0,Z120/U120-1)</f>
        <v>3.74193548387097</v>
      </c>
      <c r="AA148" s="12">
        <f>IF(V120=0,0,AA120/V120-1)</f>
        <v>-8</v>
      </c>
      <c r="AB148" s="12" t="n"/>
      <c r="AC148" s="12">
        <f>IF(X120=0,0,AC120/X120-1)</f>
        <v>-1.06214689265537</v>
      </c>
      <c r="AD148" s="12">
        <f>IF(Y120=0,0,AD120/Y120-1)</f>
        <v>-1.37037037037037</v>
      </c>
      <c r="AE148" s="12">
        <f>IF(Z120=0,0,AE120/Z120-1)</f>
        <v>-1.1156462585034</v>
      </c>
      <c r="AF148" s="12">
        <f>IF(AA120=0,0,AF120/AA120-1)</f>
        <v>-13.8571428571429</v>
      </c>
      <c r="AG148" s="12" t="n"/>
      <c r="AH148" s="11">
        <f>IF(AC120=0,0,AH120/AC120-1)</f>
        <v>-3.36363636363636</v>
      </c>
      <c r="AI148" s="11">
        <f>IF(AD120=0,0,AI120/AD120-1)</f>
        <v>-2.85</v>
      </c>
      <c r="AJ148" s="11" t="n"/>
      <c r="AK148" s="11" t="n"/>
      <c r="AL148" s="12" t="n"/>
      <c r="AM148" s="11" t="n"/>
      <c r="AN148" s="11" t="n"/>
      <c r="AO148" s="11" t="n"/>
      <c r="AP148" s="11" t="n"/>
      <c r="AQ148" s="12" t="n"/>
      <c r="AR148" s="11" t="n"/>
      <c r="AS148" s="11" t="n"/>
      <c r="AT148" s="11" t="n"/>
      <c r="AU148" s="11" t="n"/>
      <c r="AV148" s="12" t="n"/>
      <c r="AW148" s="11" t="n"/>
      <c r="AX148" s="11" t="n"/>
      <c r="AY148" s="11" t="n"/>
      <c r="AZ148" s="11" t="n"/>
      <c r="BA148" s="12" t="n"/>
      <c r="BB148" s="11" t="n"/>
      <c r="BC148" s="11" t="n"/>
      <c r="BD148" s="11" t="n"/>
      <c r="BE148" s="11" t="n"/>
      <c r="BF148" s="12" t="n"/>
      <c r="BG148" s="11" t="n"/>
      <c r="BH148" s="11" t="n"/>
      <c r="BI148" s="11" t="n"/>
      <c r="BJ148" s="11" t="n"/>
      <c r="BK148" s="12" t="n"/>
      <c r="BL148" s="11" t="n"/>
      <c r="BM148" s="11" t="n"/>
      <c r="BN148" s="11" t="n"/>
      <c r="BO148" s="11" t="n"/>
      <c r="BP148" s="12" t="n"/>
      <c r="BQ148" s="11" t="n"/>
      <c r="BR148" s="11" t="n"/>
      <c r="BS148" s="11" t="n"/>
      <c r="BT148" s="11" t="n"/>
      <c r="BU148" s="12" t="n"/>
      <c r="BV148" s="11" t="n"/>
      <c r="BW148" s="11" t="n"/>
      <c r="BX148" s="11" t="n"/>
      <c r="BY148" s="11" t="n"/>
      <c r="BZ148" s="12" t="n"/>
      <c r="CA148" s="11" t="n"/>
      <c r="CB148" s="11" t="n"/>
      <c r="CC148" s="11" t="n"/>
      <c r="CD148" s="11" t="n"/>
      <c r="CE148" s="12" t="n"/>
      <c r="CF148" s="11" t="n"/>
      <c r="CG148" s="11" t="n"/>
      <c r="CH148" s="11" t="n"/>
      <c r="CI148" s="11" t="n"/>
      <c r="CJ148" s="12" t="n"/>
      <c r="CK148" s="11" t="n"/>
      <c r="CL148" s="11" t="n"/>
      <c r="CM148" s="11" t="n"/>
      <c r="CN148" s="11" t="n"/>
      <c r="CO148" s="12" t="n"/>
      <c r="CP148" s="11" t="n"/>
      <c r="CQ148" s="11" t="n"/>
      <c r="CR148" s="11" t="n"/>
      <c r="CS148" s="11" t="n"/>
      <c r="CT148" s="12" t="n"/>
      <c r="CU148" s="11" t="n"/>
      <c r="CV148" s="11" t="n"/>
      <c r="CW148" s="11" t="n"/>
      <c r="CX148" s="11" t="n"/>
      <c r="CY148" s="12" t="n"/>
    </row>
    <row r="149" hidden="1" outlineLevel="1">
      <c r="C149" s="57" t="inlineStr">
        <is>
          <t>Dividends (enter as -)</t>
        </is>
      </c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1" t="n"/>
      <c r="AI149" s="11" t="n"/>
      <c r="AJ149" s="11" t="n"/>
      <c r="AK149" s="11" t="n"/>
      <c r="AL149" s="12" t="n"/>
      <c r="AM149" s="11" t="n"/>
      <c r="AN149" s="11" t="n"/>
      <c r="AO149" s="11" t="n"/>
      <c r="AP149" s="11" t="n"/>
      <c r="AQ149" s="12" t="n"/>
      <c r="AR149" s="11" t="n"/>
      <c r="AS149" s="11" t="n"/>
      <c r="AT149" s="11" t="n"/>
      <c r="AU149" s="11" t="n"/>
      <c r="AV149" s="12" t="n"/>
      <c r="AW149" s="11" t="n"/>
      <c r="AX149" s="11" t="n"/>
      <c r="AY149" s="11" t="n"/>
      <c r="AZ149" s="11" t="n"/>
      <c r="BA149" s="12" t="n"/>
      <c r="BB149" s="11" t="n"/>
      <c r="BC149" s="11" t="n"/>
      <c r="BD149" s="11" t="n"/>
      <c r="BE149" s="11" t="n"/>
      <c r="BF149" s="12" t="n"/>
      <c r="BG149" s="11" t="n"/>
      <c r="BH149" s="11" t="n"/>
      <c r="BI149" s="11" t="n"/>
      <c r="BJ149" s="11" t="n"/>
      <c r="BK149" s="12" t="n"/>
      <c r="BL149" s="11" t="n"/>
      <c r="BM149" s="11" t="n"/>
      <c r="BN149" s="11" t="n"/>
      <c r="BO149" s="11" t="n"/>
      <c r="BP149" s="12" t="n"/>
      <c r="BQ149" s="11" t="n"/>
      <c r="BR149" s="11" t="n"/>
      <c r="BS149" s="11" t="n"/>
      <c r="BT149" s="11" t="n"/>
      <c r="BU149" s="12" t="n"/>
      <c r="BV149" s="11" t="n"/>
      <c r="BW149" s="11" t="n"/>
      <c r="BX149" s="11" t="n"/>
      <c r="BY149" s="11" t="n"/>
      <c r="BZ149" s="12" t="n"/>
      <c r="CA149" s="11" t="n"/>
      <c r="CB149" s="11" t="n"/>
      <c r="CC149" s="11" t="n"/>
      <c r="CD149" s="11" t="n"/>
      <c r="CE149" s="12" t="n"/>
      <c r="CF149" s="11" t="n"/>
      <c r="CG149" s="11" t="n"/>
      <c r="CH149" s="11" t="n"/>
      <c r="CI149" s="11" t="n"/>
      <c r="CJ149" s="12" t="n"/>
      <c r="CK149" s="11" t="n"/>
      <c r="CL149" s="11" t="n"/>
      <c r="CM149" s="11" t="n"/>
      <c r="CN149" s="11" t="n"/>
      <c r="CO149" s="12" t="n"/>
      <c r="CP149" s="11" t="n"/>
      <c r="CQ149" s="11" t="n"/>
      <c r="CR149" s="11" t="n"/>
      <c r="CS149" s="11" t="n"/>
      <c r="CT149" s="12" t="n"/>
      <c r="CU149" s="11" t="n"/>
      <c r="CV149" s="11" t="n"/>
      <c r="CW149" s="11" t="n"/>
      <c r="CX149" s="11" t="n"/>
      <c r="CY149" s="12" t="n"/>
    </row>
    <row r="150" hidden="1" outlineLevel="1">
      <c r="C150" s="57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  <c r="AJ150" s="12" t="n"/>
      <c r="AK150" s="12" t="n"/>
      <c r="AL150" s="12" t="n"/>
      <c r="AM150" s="12" t="n"/>
      <c r="AN150" s="12" t="n"/>
      <c r="AO150" s="12" t="n"/>
      <c r="AP150" s="12" t="n"/>
      <c r="AQ150" s="12" t="n"/>
      <c r="AR150" s="12" t="n"/>
      <c r="AS150" s="12" t="n"/>
      <c r="AT150" s="12" t="n"/>
      <c r="AU150" s="12" t="n"/>
      <c r="AV150" s="12" t="n"/>
      <c r="AW150" s="12" t="n"/>
      <c r="AX150" s="12" t="n"/>
      <c r="AY150" s="12" t="n"/>
      <c r="AZ150" s="12" t="n"/>
      <c r="BA150" s="12" t="n"/>
      <c r="BB150" s="12" t="n"/>
      <c r="BC150" s="12" t="n"/>
      <c r="BD150" s="12" t="n"/>
      <c r="BE150" s="12" t="n"/>
      <c r="BF150" s="12" t="n"/>
      <c r="BG150" s="12" t="n"/>
      <c r="BH150" s="12" t="n"/>
      <c r="BI150" s="12" t="n"/>
      <c r="BJ150" s="12" t="n"/>
      <c r="BK150" s="12" t="n"/>
      <c r="BL150" s="12" t="n"/>
      <c r="BM150" s="12" t="n"/>
      <c r="BN150" s="12" t="n"/>
      <c r="BO150" s="12" t="n"/>
      <c r="BP150" s="12" t="n"/>
      <c r="BQ150" s="12" t="n"/>
      <c r="BR150" s="12" t="n"/>
      <c r="BS150" s="12" t="n"/>
      <c r="BT150" s="12" t="n"/>
      <c r="BU150" s="12" t="n"/>
      <c r="BV150" s="12" t="n"/>
      <c r="BW150" s="12" t="n"/>
      <c r="BX150" s="12" t="n"/>
      <c r="BY150" s="12" t="n"/>
      <c r="BZ150" s="12" t="n"/>
      <c r="CA150" s="12" t="n"/>
      <c r="CB150" s="12" t="n"/>
      <c r="CC150" s="12" t="n"/>
      <c r="CD150" s="12" t="n"/>
      <c r="CE150" s="12" t="n"/>
      <c r="CF150" s="12" t="n"/>
      <c r="CG150" s="12" t="n"/>
      <c r="CH150" s="12" t="n"/>
      <c r="CI150" s="12" t="n"/>
      <c r="CJ150" s="12" t="n"/>
      <c r="CK150" s="12" t="n"/>
      <c r="CL150" s="12" t="n"/>
      <c r="CM150" s="12" t="n"/>
      <c r="CN150" s="12" t="n"/>
      <c r="CO150" s="12" t="n"/>
      <c r="CP150" s="12" t="n"/>
      <c r="CQ150" s="12" t="n"/>
      <c r="CR150" s="12" t="n"/>
      <c r="CS150" s="12" t="n"/>
      <c r="CT150" s="12" t="n"/>
      <c r="CU150" s="12" t="n"/>
      <c r="CV150" s="12" t="n"/>
      <c r="CW150" s="12" t="n"/>
      <c r="CX150" s="12" t="n"/>
      <c r="CY150" s="12" t="n"/>
    </row>
    <row r="151" collapsed="1">
      <c r="C151" s="14" t="inlineStr">
        <is>
          <t>PP&amp;E</t>
        </is>
      </c>
      <c r="D151" s="46" t="n"/>
      <c r="E151" s="46" t="n"/>
      <c r="F151" s="46" t="n"/>
      <c r="G151" s="46" t="n"/>
      <c r="H151" s="12" t="n"/>
      <c r="I151" s="46">
        <f>'Inputs (2)'!D22</f>
        <v>0</v>
      </c>
      <c r="J151" s="46">
        <f>'Inputs (2)'!E22</f>
        <v>0</v>
      </c>
      <c r="K151" s="46">
        <f>'Inputs (2)'!F22</f>
        <v>0</v>
      </c>
      <c r="L151" s="46">
        <f>'Inputs (2)'!G22</f>
        <v>0</v>
      </c>
      <c r="M151" s="12">
        <f>'Inputs (2)'!H22</f>
        <v>0</v>
      </c>
      <c r="N151" s="46">
        <f>'Inputs (2)'!I22</f>
        <v>0</v>
      </c>
      <c r="O151" s="46">
        <f>'Inputs (2)'!J22</f>
        <v>0</v>
      </c>
      <c r="P151" s="46">
        <f>'Inputs (2)'!K22</f>
        <v>0</v>
      </c>
      <c r="Q151" s="46">
        <f>'Inputs (2)'!L22</f>
        <v>0</v>
      </c>
      <c r="R151" s="12">
        <f>'Inputs (2)'!M22</f>
        <v>0</v>
      </c>
      <c r="S151" s="46">
        <f>'Inputs (2)'!N22</f>
        <v>0</v>
      </c>
      <c r="T151" s="46">
        <f>'Inputs (2)'!O22</f>
        <v>0</v>
      </c>
      <c r="U151" s="46">
        <f>'Inputs (2)'!P22</f>
        <v>0</v>
      </c>
      <c r="V151" s="46">
        <f>'Inputs (2)'!Q22</f>
        <v>0</v>
      </c>
      <c r="W151" s="12">
        <f>'Inputs (2)'!R22</f>
        <v>0</v>
      </c>
      <c r="X151" s="46">
        <f>'Inputs (2)'!S22</f>
        <v>0</v>
      </c>
      <c r="Y151" s="46">
        <f>'Inputs (2)'!T22</f>
        <v>0</v>
      </c>
      <c r="Z151" s="46">
        <f>'Inputs (2)'!U22</f>
        <v>0</v>
      </c>
      <c r="AA151" s="46">
        <f>'Inputs (2)'!V22</f>
        <v>0</v>
      </c>
      <c r="AB151" s="12">
        <f>'Inputs (2)'!W22</f>
        <v>0</v>
      </c>
      <c r="AC151" s="46">
        <f>'Inputs (2)'!X22</f>
        <v>0</v>
      </c>
      <c r="AD151" s="46">
        <f>'Inputs (2)'!Y22</f>
        <v>0</v>
      </c>
      <c r="AE151" s="46">
        <f>'Inputs (2)'!Z22</f>
        <v>0</v>
      </c>
      <c r="AF151" s="46">
        <f>'Inputs (2)'!AA22</f>
        <v>0</v>
      </c>
      <c r="AG151" s="12">
        <f>'Inputs (2)'!AB22</f>
        <v>0</v>
      </c>
      <c r="AH151" s="12">
        <f>'Inputs (2)'!AC22</f>
        <v>0</v>
      </c>
      <c r="AI151" s="12">
        <f>'Inputs (2)'!AD22</f>
        <v>0</v>
      </c>
      <c r="AJ151" s="12">
        <f>AJ156</f>
        <v>-2.08155326368865</v>
      </c>
      <c r="AK151" s="12">
        <f>AK156</f>
        <v>-4.25470102284862</v>
      </c>
      <c r="AL151" s="12">
        <f>AK151</f>
        <v>-4.25470102284862</v>
      </c>
      <c r="AM151" s="12">
        <f>AM156</f>
        <v>-6.37231107486645</v>
      </c>
      <c r="AN151" s="12">
        <f>AN156</f>
        <v>-8.65345831376141</v>
      </c>
      <c r="AO151" s="12">
        <f>AO156</f>
        <v>-11.1491445267137</v>
      </c>
      <c r="AP151" s="12">
        <f>AP156</f>
        <v>-13.7546483088428</v>
      </c>
      <c r="AQ151" s="12">
        <f>AP151</f>
        <v>-13.7546483088428</v>
      </c>
      <c r="AR151" s="12">
        <f>AR156</f>
        <v>-16.2829768952221</v>
      </c>
      <c r="AS151" s="12">
        <f>AS156</f>
        <v>-19.0065613286935</v>
      </c>
      <c r="AT151" s="12">
        <f>AT156</f>
        <v>-21.9862953872976</v>
      </c>
      <c r="AU151" s="12">
        <f>AU156</f>
        <v>-25.097146550853</v>
      </c>
      <c r="AV151" s="12">
        <f>AU151</f>
        <v>-25.097146550853</v>
      </c>
      <c r="AW151" s="12">
        <f>AW156</f>
        <v>-28.1032124525947</v>
      </c>
      <c r="AX151" s="12">
        <f>AX156</f>
        <v>-31.341428537355</v>
      </c>
      <c r="AY151" s="12">
        <f>AY156</f>
        <v>-34.8841946944451</v>
      </c>
      <c r="AZ151" s="12">
        <f>AZ156</f>
        <v>-38.5828530328176</v>
      </c>
      <c r="BA151" s="12">
        <f>AZ151</f>
        <v>-38.5828530328176</v>
      </c>
      <c r="BB151" s="12">
        <f>BB156</f>
        <v>-42.1418962055805</v>
      </c>
      <c r="BC151" s="12">
        <f>BC156</f>
        <v>-45.9757944716562</v>
      </c>
      <c r="BD151" s="12">
        <f>BD156</f>
        <v>-50.170265955725</v>
      </c>
      <c r="BE151" s="12">
        <f>BE156</f>
        <v>-54.5493065815278</v>
      </c>
      <c r="BF151" s="12">
        <f>BE151</f>
        <v>-54.5493065815278</v>
      </c>
      <c r="BG151" s="12" t="n"/>
      <c r="BH151" s="12" t="n"/>
      <c r="BI151" s="12" t="n"/>
      <c r="BJ151" s="12" t="n"/>
      <c r="BK151" s="12" t="n"/>
      <c r="BL151" s="12" t="n"/>
      <c r="BM151" s="12" t="n"/>
      <c r="BN151" s="12" t="n"/>
      <c r="BO151" s="12" t="n"/>
      <c r="BP151" s="12" t="n"/>
      <c r="BQ151" s="12" t="n"/>
      <c r="BR151" s="12" t="n"/>
      <c r="BS151" s="12" t="n"/>
      <c r="BT151" s="12" t="n"/>
      <c r="BU151" s="12" t="n"/>
      <c r="BV151" s="12" t="n"/>
      <c r="BW151" s="12" t="n"/>
      <c r="BX151" s="12" t="n"/>
      <c r="BY151" s="12" t="n"/>
      <c r="BZ151" s="12" t="n"/>
      <c r="CA151" s="12" t="n"/>
      <c r="CB151" s="12" t="n"/>
      <c r="CC151" s="12" t="n"/>
      <c r="CD151" s="12" t="n"/>
      <c r="CE151" s="12" t="n"/>
      <c r="CF151" s="12" t="n"/>
      <c r="CG151" s="12" t="n"/>
      <c r="CH151" s="12" t="n"/>
      <c r="CI151" s="12" t="n"/>
      <c r="CJ151" s="12" t="n"/>
      <c r="CK151" s="12" t="n"/>
      <c r="CL151" s="12" t="n"/>
      <c r="CM151" s="12" t="n"/>
      <c r="CN151" s="12" t="n"/>
      <c r="CO151" s="12" t="n"/>
      <c r="CP151" s="12" t="n"/>
      <c r="CQ151" s="12" t="n"/>
      <c r="CR151" s="12" t="n"/>
      <c r="CS151" s="12" t="n"/>
      <c r="CT151" s="12" t="n"/>
      <c r="CU151" s="12" t="n"/>
      <c r="CV151" s="12" t="n"/>
      <c r="CW151" s="12" t="n"/>
      <c r="CX151" s="12" t="n"/>
      <c r="CY151" s="12" t="n"/>
    </row>
    <row r="152" hidden="1" outlineLevel="1">
      <c r="C152" s="57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  <c r="AP152" s="12" t="n"/>
      <c r="AQ152" s="12" t="n"/>
      <c r="AR152" s="12" t="n"/>
      <c r="AS152" s="12" t="n"/>
      <c r="AT152" s="12" t="n"/>
      <c r="AU152" s="12" t="n"/>
      <c r="AV152" s="12" t="n"/>
      <c r="AW152" s="12" t="n"/>
      <c r="AX152" s="12" t="n"/>
      <c r="AY152" s="12" t="n"/>
      <c r="AZ152" s="12" t="n"/>
      <c r="BA152" s="12" t="n"/>
      <c r="BB152" s="12" t="n"/>
      <c r="BC152" s="12" t="n"/>
      <c r="BD152" s="12" t="n"/>
      <c r="BE152" s="12" t="n"/>
      <c r="BF152" s="12" t="n"/>
      <c r="BG152" s="12" t="n"/>
      <c r="BH152" s="12" t="n"/>
      <c r="BI152" s="12" t="n"/>
      <c r="BJ152" s="12" t="n"/>
      <c r="BK152" s="12" t="n"/>
      <c r="BL152" s="12" t="n"/>
      <c r="BM152" s="12" t="n"/>
      <c r="BN152" s="12" t="n"/>
      <c r="BO152" s="12" t="n"/>
      <c r="BP152" s="12" t="n"/>
      <c r="BQ152" s="12" t="n"/>
      <c r="BR152" s="12" t="n"/>
      <c r="BS152" s="12" t="n"/>
      <c r="BT152" s="12" t="n"/>
      <c r="BU152" s="12" t="n"/>
      <c r="BV152" s="12" t="n"/>
      <c r="BW152" s="12" t="n"/>
      <c r="BX152" s="12" t="n"/>
      <c r="BY152" s="12" t="n"/>
      <c r="BZ152" s="12" t="n"/>
      <c r="CA152" s="12" t="n"/>
      <c r="CB152" s="12" t="n"/>
      <c r="CC152" s="12" t="n"/>
      <c r="CD152" s="12" t="n"/>
      <c r="CE152" s="12" t="n"/>
      <c r="CF152" s="12" t="n"/>
      <c r="CG152" s="12" t="n"/>
      <c r="CH152" s="12" t="n"/>
      <c r="CI152" s="12" t="n"/>
      <c r="CJ152" s="12" t="n"/>
      <c r="CK152" s="12" t="n"/>
      <c r="CL152" s="12" t="n"/>
      <c r="CM152" s="12" t="n"/>
      <c r="CN152" s="12" t="n"/>
      <c r="CO152" s="12" t="n"/>
      <c r="CP152" s="12" t="n"/>
      <c r="CQ152" s="12" t="n"/>
      <c r="CR152" s="12" t="n"/>
      <c r="CS152" s="12" t="n"/>
      <c r="CT152" s="12" t="n"/>
      <c r="CU152" s="12" t="n"/>
      <c r="CV152" s="12" t="n"/>
      <c r="CW152" s="12" t="n"/>
      <c r="CX152" s="12" t="n"/>
      <c r="CY152" s="12" t="n"/>
    </row>
    <row r="153" hidden="1" outlineLevel="1">
      <c r="C153" s="57" t="inlineStr">
        <is>
          <t>Capital expenditures</t>
        </is>
      </c>
      <c r="D153" s="12" t="n"/>
      <c r="E153" s="12" t="n"/>
      <c r="F153" s="12" t="n"/>
      <c r="G153" s="12" t="n"/>
      <c r="H153" s="12" t="n"/>
      <c r="I153" s="12" t="n"/>
      <c r="J153" s="12">
        <f>J151-I151-J55</f>
        <v>483</v>
      </c>
      <c r="K153" s="12">
        <f>K151-J151-K55</f>
        <v>455</v>
      </c>
      <c r="L153" s="12">
        <f>L151-K151-L55</f>
        <v>481</v>
      </c>
      <c r="M153" s="12" t="n"/>
      <c r="N153" s="12">
        <f>N151-M151-N55</f>
        <v>460</v>
      </c>
      <c r="O153" s="12">
        <f>O151-N151-O55</f>
        <v>443</v>
      </c>
      <c r="P153" s="12">
        <f>P151-O151-P55</f>
        <v>407</v>
      </c>
      <c r="Q153" s="12">
        <f>Q151-P151-Q55</f>
        <v>492</v>
      </c>
      <c r="R153" s="12" t="n"/>
      <c r="S153" s="12">
        <f>S151-R151-S55</f>
        <v>367</v>
      </c>
      <c r="T153" s="12">
        <f>T151-S151-T55</f>
        <v>352</v>
      </c>
      <c r="U153" s="12">
        <f>U151-T151-U55</f>
        <v>378</v>
      </c>
      <c r="V153" s="12">
        <f>V151-U151-V55</f>
        <v>376</v>
      </c>
      <c r="W153" s="12" t="n"/>
      <c r="X153" s="12">
        <f>X151-W151-X55</f>
        <v>378</v>
      </c>
      <c r="Y153" s="12">
        <f>Y151-X151-Y55</f>
        <v>199</v>
      </c>
      <c r="Z153" s="12">
        <f>Z151-Y151-Z55</f>
        <v>224</v>
      </c>
      <c r="AA153" s="12">
        <f>AA151-Z151-AA55</f>
        <v>209</v>
      </c>
      <c r="AB153" s="12" t="n"/>
      <c r="AC153" s="12">
        <f>AC151-AB151-AC55</f>
        <v>210</v>
      </c>
      <c r="AD153" s="12">
        <f>AD151-AC151-AD55</f>
        <v>219</v>
      </c>
      <c r="AE153" s="12">
        <f>AE151-AD151-AE55</f>
        <v>214</v>
      </c>
      <c r="AF153" s="11">
        <f>AF151-AE151-AF55</f>
        <v>220</v>
      </c>
      <c r="AG153" s="12">
        <f>SUM(AC153:AF153)</f>
        <v>863</v>
      </c>
      <c r="AH153" s="11">
        <f>AH151-AG151-AH55</f>
        <v>227</v>
      </c>
      <c r="AI153" s="11">
        <f>AI151-AH151-AI55</f>
        <v>224</v>
      </c>
      <c r="AJ153" s="11">
        <f>AJ15*Control!$B$24</f>
        <v>268.031560420421</v>
      </c>
      <c r="AK153" s="11">
        <f>AK15*Control!$B$24</f>
        <v>279.825741225391</v>
      </c>
      <c r="AL153" s="12" t="n"/>
      <c r="AM153" s="11">
        <f>AM15*Control!$C$24</f>
        <v>272.674418908945</v>
      </c>
      <c r="AN153" s="11">
        <f>AN15*Control!$C$24</f>
        <v>293.732312622297</v>
      </c>
      <c r="AO153" s="11">
        <f>AO15*Control!$C$24</f>
        <v>321.357460145876</v>
      </c>
      <c r="AP153" s="11">
        <f>AP15*Control!$C$24</f>
        <v>335.498138139324</v>
      </c>
      <c r="AQ153" s="12" t="n"/>
      <c r="AR153" s="11">
        <f>AR15*Control!$D$24</f>
        <v>325.560660918155</v>
      </c>
      <c r="AS153" s="11">
        <f>AS15*Control!$D$24</f>
        <v>350.702813314755</v>
      </c>
      <c r="AT153" s="11">
        <f>AT15*Control!$D$24</f>
        <v>383.685963409012</v>
      </c>
      <c r="AU153" s="11">
        <f>AU15*Control!$D$24</f>
        <v>400.569279753091</v>
      </c>
      <c r="AV153" s="12" t="n"/>
      <c r="AW153" s="11">
        <f>AW15*Control!$E$24</f>
        <v>387.076587674086</v>
      </c>
      <c r="AX153" s="11">
        <f>AX15*Control!$E$24</f>
        <v>416.969445518187</v>
      </c>
      <c r="AY153" s="11">
        <f>AY15*Control!$E$24</f>
        <v>456.184887436818</v>
      </c>
      <c r="AZ153" s="11">
        <f>AZ15*Control!$E$24</f>
        <v>476.258370703063</v>
      </c>
      <c r="BA153" s="12" t="n"/>
      <c r="BB153" s="11">
        <f>BB15*Control!$F$24</f>
        <v>458.280800131366</v>
      </c>
      <c r="BC153" s="11">
        <f>BC15*Control!$F$24</f>
        <v>493.672563020788</v>
      </c>
      <c r="BD153" s="11">
        <f>BD15*Control!$F$24</f>
        <v>540.101834829672</v>
      </c>
      <c r="BE153" s="11">
        <f>BE15*Control!$F$24</f>
        <v>563.867911791227</v>
      </c>
      <c r="BF153" s="12" t="n"/>
      <c r="BG153" s="11" t="n"/>
      <c r="BH153" s="11" t="n"/>
      <c r="BI153" s="11" t="n"/>
      <c r="BJ153" s="11" t="n"/>
      <c r="BK153" s="12" t="n"/>
      <c r="BL153" s="11" t="n"/>
      <c r="BM153" s="11" t="n"/>
      <c r="BN153" s="11" t="n"/>
      <c r="BO153" s="11" t="n"/>
      <c r="BP153" s="12" t="n"/>
      <c r="BQ153" s="11" t="n"/>
      <c r="BR153" s="11" t="n"/>
      <c r="BS153" s="11" t="n"/>
      <c r="BT153" s="11" t="n"/>
      <c r="BU153" s="12" t="n"/>
      <c r="BV153" s="11" t="n"/>
      <c r="BW153" s="11" t="n"/>
      <c r="BX153" s="11" t="n"/>
      <c r="BY153" s="11" t="n"/>
      <c r="BZ153" s="12" t="n"/>
      <c r="CA153" s="11" t="n"/>
      <c r="CB153" s="11" t="n"/>
      <c r="CC153" s="11" t="n"/>
      <c r="CD153" s="11" t="n"/>
      <c r="CE153" s="12" t="n"/>
      <c r="CF153" s="11" t="n"/>
      <c r="CG153" s="11" t="n"/>
      <c r="CH153" s="11" t="n"/>
      <c r="CI153" s="11" t="n"/>
      <c r="CJ153" s="12" t="n"/>
      <c r="CK153" s="11" t="n"/>
      <c r="CL153" s="11" t="n"/>
      <c r="CM153" s="11" t="n"/>
      <c r="CN153" s="11" t="n"/>
      <c r="CO153" s="12" t="n"/>
      <c r="CP153" s="11" t="n"/>
      <c r="CQ153" s="11" t="n"/>
      <c r="CR153" s="11" t="n"/>
      <c r="CS153" s="11" t="n"/>
      <c r="CT153" s="12" t="n"/>
      <c r="CU153" s="11" t="n"/>
      <c r="CV153" s="11" t="n"/>
      <c r="CW153" s="11" t="n"/>
      <c r="CX153" s="11" t="n"/>
      <c r="CY153" s="12" t="n"/>
    </row>
    <row r="154" hidden="1" outlineLevel="1">
      <c r="C154" s="57" t="inlineStr">
        <is>
          <t>Recurring asset sales (enter as -)</t>
        </is>
      </c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>
        <f>SUM(I154:L154)</f>
        <v>0</v>
      </c>
      <c r="N154" s="12" t="n"/>
      <c r="O154" s="12" t="n"/>
      <c r="P154" s="12" t="n"/>
      <c r="Q154" s="12" t="n"/>
      <c r="R154" s="12">
        <f>SUM(N154:Q154)</f>
        <v>0</v>
      </c>
      <c r="S154" s="12" t="n"/>
      <c r="T154" s="12" t="n"/>
      <c r="U154" s="12" t="n"/>
      <c r="V154" s="12" t="n"/>
      <c r="W154" s="12">
        <f>SUM(S154:V154)</f>
        <v>0</v>
      </c>
      <c r="X154" s="12" t="n"/>
      <c r="Y154" s="12" t="n"/>
      <c r="Z154" s="12" t="n"/>
      <c r="AA154" s="12" t="n"/>
      <c r="AB154" s="12">
        <f>SUM(X154:AA154)</f>
        <v>0</v>
      </c>
      <c r="AC154" s="12" t="n"/>
      <c r="AD154" s="12" t="n"/>
      <c r="AE154" s="12" t="n"/>
      <c r="AF154" s="11" t="n"/>
      <c r="AG154" s="12">
        <f>SUM(AC154:AF154)</f>
        <v>0</v>
      </c>
      <c r="AH154" s="11" t="n"/>
      <c r="AI154" s="11" t="n"/>
      <c r="AJ154" s="11">
        <f>0</f>
        <v>0</v>
      </c>
      <c r="AK154" s="11">
        <f>0</f>
        <v>0</v>
      </c>
      <c r="AL154" s="12" t="n"/>
      <c r="AM154" s="11">
        <f>0</f>
        <v>0</v>
      </c>
      <c r="AN154" s="11">
        <f>0</f>
        <v>0</v>
      </c>
      <c r="AO154" s="11">
        <f>0</f>
        <v>0</v>
      </c>
      <c r="AP154" s="11">
        <f>0</f>
        <v>0</v>
      </c>
      <c r="AQ154" s="12" t="n"/>
      <c r="AR154" s="11">
        <f>0</f>
        <v>0</v>
      </c>
      <c r="AS154" s="11">
        <f>0</f>
        <v>0</v>
      </c>
      <c r="AT154" s="11">
        <f>0</f>
        <v>0</v>
      </c>
      <c r="AU154" s="11">
        <f>0</f>
        <v>0</v>
      </c>
      <c r="AV154" s="12" t="n"/>
      <c r="AW154" s="11">
        <f>0</f>
        <v>0</v>
      </c>
      <c r="AX154" s="11">
        <f>0</f>
        <v>0</v>
      </c>
      <c r="AY154" s="11">
        <f>0</f>
        <v>0</v>
      </c>
      <c r="AZ154" s="11">
        <f>0</f>
        <v>0</v>
      </c>
      <c r="BA154" s="12" t="n"/>
      <c r="BB154" s="11">
        <f>0</f>
        <v>0</v>
      </c>
      <c r="BC154" s="11">
        <f>0</f>
        <v>0</v>
      </c>
      <c r="BD154" s="11">
        <f>0</f>
        <v>0</v>
      </c>
      <c r="BE154" s="11">
        <f>0</f>
        <v>0</v>
      </c>
      <c r="BF154" s="12" t="n"/>
      <c r="BG154" s="11" t="n"/>
      <c r="BH154" s="11" t="n"/>
      <c r="BI154" s="11" t="n"/>
      <c r="BJ154" s="11" t="n"/>
      <c r="BK154" s="12" t="n"/>
      <c r="BL154" s="11" t="n"/>
      <c r="BM154" s="11" t="n"/>
      <c r="BN154" s="11" t="n"/>
      <c r="BO154" s="11" t="n"/>
      <c r="BP154" s="12" t="n"/>
      <c r="BQ154" s="11" t="n"/>
      <c r="BR154" s="11" t="n"/>
      <c r="BS154" s="11" t="n"/>
      <c r="BT154" s="11" t="n"/>
      <c r="BU154" s="12" t="n"/>
      <c r="BV154" s="11" t="n"/>
      <c r="BW154" s="11" t="n"/>
      <c r="BX154" s="11" t="n"/>
      <c r="BY154" s="11" t="n"/>
      <c r="BZ154" s="12" t="n"/>
      <c r="CA154" s="11" t="n"/>
      <c r="CB154" s="11" t="n"/>
      <c r="CC154" s="11" t="n"/>
      <c r="CD154" s="11" t="n"/>
      <c r="CE154" s="12" t="n"/>
      <c r="CF154" s="11" t="n"/>
      <c r="CG154" s="11" t="n"/>
      <c r="CH154" s="11" t="n"/>
      <c r="CI154" s="11" t="n"/>
      <c r="CJ154" s="12" t="n"/>
      <c r="CK154" s="11" t="n"/>
      <c r="CL154" s="11" t="n"/>
      <c r="CM154" s="11" t="n"/>
      <c r="CN154" s="11" t="n"/>
      <c r="CO154" s="12" t="n"/>
      <c r="CP154" s="11" t="n"/>
      <c r="CQ154" s="11" t="n"/>
      <c r="CR154" s="11" t="n"/>
      <c r="CS154" s="11" t="n"/>
      <c r="CT154" s="12" t="n"/>
      <c r="CU154" s="11" t="n"/>
      <c r="CV154" s="11" t="n"/>
      <c r="CW154" s="11" t="n"/>
      <c r="CX154" s="11" t="n"/>
      <c r="CY154" s="12" t="n"/>
    </row>
    <row r="155" hidden="1" outlineLevel="1">
      <c r="C155" s="57" t="inlineStr">
        <is>
          <t>Depreciation</t>
        </is>
      </c>
      <c r="D155" s="12" t="n"/>
      <c r="E155" s="12" t="n"/>
      <c r="F155" s="12" t="n"/>
      <c r="G155" s="12" t="n"/>
      <c r="H155" s="12" t="n"/>
      <c r="I155" s="12">
        <f>I55</f>
        <v>-452</v>
      </c>
      <c r="J155" s="12">
        <f>J55</f>
        <v>-483</v>
      </c>
      <c r="K155" s="12">
        <f>K55</f>
        <v>-455</v>
      </c>
      <c r="L155" s="12">
        <f>L55</f>
        <v>-481</v>
      </c>
      <c r="M155" s="12" t="n"/>
      <c r="N155" s="12">
        <f>N55</f>
        <v>-460</v>
      </c>
      <c r="O155" s="12">
        <f>O55</f>
        <v>-443</v>
      </c>
      <c r="P155" s="12">
        <f>P55</f>
        <v>-407</v>
      </c>
      <c r="Q155" s="12">
        <f>Q55</f>
        <v>-492</v>
      </c>
      <c r="R155" s="12" t="n"/>
      <c r="S155" s="12">
        <f>S55</f>
        <v>-367</v>
      </c>
      <c r="T155" s="12">
        <f>T55</f>
        <v>-352</v>
      </c>
      <c r="U155" s="12">
        <f>U55</f>
        <v>-378</v>
      </c>
      <c r="V155" s="12">
        <f>V55</f>
        <v>-376</v>
      </c>
      <c r="W155" s="12" t="n"/>
      <c r="X155" s="12">
        <f>X55</f>
        <v>-378</v>
      </c>
      <c r="Y155" s="12">
        <f>Y55</f>
        <v>-199</v>
      </c>
      <c r="Z155" s="12">
        <f>Z55</f>
        <v>-224</v>
      </c>
      <c r="AA155" s="12">
        <f>AA55</f>
        <v>-209</v>
      </c>
      <c r="AB155" s="12" t="n"/>
      <c r="AC155" s="12">
        <f>AC55</f>
        <v>-210</v>
      </c>
      <c r="AD155" s="12">
        <f>AD55</f>
        <v>-219</v>
      </c>
      <c r="AE155" s="12">
        <f>AE55</f>
        <v>-214</v>
      </c>
      <c r="AF155" s="12">
        <f>AF55</f>
        <v>-220</v>
      </c>
      <c r="AG155" s="12" t="n"/>
      <c r="AH155" s="12">
        <f>AH55</f>
        <v>-227</v>
      </c>
      <c r="AI155" s="12">
        <f>AI55</f>
        <v>-224</v>
      </c>
      <c r="AJ155" s="12">
        <f>AJ55</f>
        <v>-270.113113684109</v>
      </c>
      <c r="AK155" s="12">
        <f>AK55</f>
        <v>-281.998888984551</v>
      </c>
      <c r="AL155" s="12" t="n"/>
      <c r="AM155" s="12">
        <f>AM55</f>
        <v>-274.792028960963</v>
      </c>
      <c r="AN155" s="12">
        <f>AN55</f>
        <v>-296.013459861192</v>
      </c>
      <c r="AO155" s="12">
        <f>AO55</f>
        <v>-323.853146358828</v>
      </c>
      <c r="AP155" s="12">
        <f>AP55</f>
        <v>-338.103641921453</v>
      </c>
      <c r="AQ155" s="12" t="n"/>
      <c r="AR155" s="12">
        <f>AR55</f>
        <v>-328.088989504534</v>
      </c>
      <c r="AS155" s="12">
        <f>AS55</f>
        <v>-353.426397748227</v>
      </c>
      <c r="AT155" s="12">
        <f>AT55</f>
        <v>-386.665697467616</v>
      </c>
      <c r="AU155" s="12">
        <f>AU55</f>
        <v>-403.680130916647</v>
      </c>
      <c r="AV155" s="12" t="n"/>
      <c r="AW155" s="12">
        <f>AW55</f>
        <v>-390.082653575827</v>
      </c>
      <c r="AX155" s="12">
        <f>AX55</f>
        <v>-420.207661602947</v>
      </c>
      <c r="AY155" s="12">
        <f>AY55</f>
        <v>-459.727653593908</v>
      </c>
      <c r="AZ155" s="12">
        <f>AZ55</f>
        <v>-479.957029041435</v>
      </c>
      <c r="BA155" s="12" t="n"/>
      <c r="BB155" s="12">
        <f>BB55</f>
        <v>-461.839843304129</v>
      </c>
      <c r="BC155" s="12">
        <f>BC55</f>
        <v>-497.506461286864</v>
      </c>
      <c r="BD155" s="12">
        <f>BD55</f>
        <v>-544.296306313741</v>
      </c>
      <c r="BE155" s="12">
        <f>BE55</f>
        <v>-568.24695241703</v>
      </c>
      <c r="BF155" s="12" t="n"/>
      <c r="BG155" s="12" t="n"/>
      <c r="BH155" s="12" t="n"/>
      <c r="BI155" s="12" t="n"/>
      <c r="BJ155" s="12" t="n"/>
      <c r="BK155" s="12" t="n"/>
      <c r="BL155" s="12" t="n"/>
      <c r="BM155" s="12" t="n"/>
      <c r="BN155" s="12" t="n"/>
      <c r="BO155" s="12" t="n"/>
      <c r="BP155" s="12" t="n"/>
      <c r="BQ155" s="12" t="n"/>
      <c r="BR155" s="12" t="n"/>
      <c r="BS155" s="12" t="n"/>
      <c r="BT155" s="12" t="n"/>
      <c r="BU155" s="12" t="n"/>
      <c r="BV155" s="12" t="n"/>
      <c r="BW155" s="12" t="n"/>
      <c r="BX155" s="12" t="n"/>
      <c r="BY155" s="12" t="n"/>
      <c r="BZ155" s="12" t="n"/>
      <c r="CA155" s="12" t="n"/>
      <c r="CB155" s="12" t="n"/>
      <c r="CC155" s="12" t="n"/>
      <c r="CD155" s="12" t="n"/>
      <c r="CE155" s="12" t="n"/>
      <c r="CF155" s="12" t="n"/>
      <c r="CG155" s="12" t="n"/>
      <c r="CH155" s="12" t="n"/>
      <c r="CI155" s="12" t="n"/>
      <c r="CJ155" s="12" t="n"/>
      <c r="CK155" s="12" t="n"/>
      <c r="CL155" s="12" t="n"/>
      <c r="CM155" s="12" t="n"/>
      <c r="CN155" s="12" t="n"/>
      <c r="CO155" s="12" t="n"/>
      <c r="CP155" s="12" t="n"/>
      <c r="CQ155" s="12" t="n"/>
      <c r="CR155" s="12" t="n"/>
      <c r="CS155" s="12" t="n"/>
      <c r="CT155" s="12" t="n"/>
      <c r="CU155" s="12" t="n"/>
      <c r="CV155" s="12" t="n"/>
      <c r="CW155" s="12" t="n"/>
      <c r="CX155" s="12" t="n"/>
      <c r="CY155" s="12" t="n"/>
    </row>
    <row r="156" hidden="1" outlineLevel="1">
      <c r="C156" s="57" t="inlineStr">
        <is>
          <t>PP&amp;E</t>
        </is>
      </c>
      <c r="D156" s="12" t="n"/>
      <c r="E156" s="12" t="n"/>
      <c r="F156" s="12" t="n"/>
      <c r="G156" s="12" t="n"/>
      <c r="H156" s="12" t="n"/>
      <c r="I156" s="12">
        <f>I151</f>
        <v>0</v>
      </c>
      <c r="J156" s="12">
        <f>J151</f>
        <v>0</v>
      </c>
      <c r="K156" s="12">
        <f>K151</f>
        <v>0</v>
      </c>
      <c r="L156" s="12">
        <f>L151</f>
        <v>0</v>
      </c>
      <c r="M156" s="12" t="n"/>
      <c r="N156" s="12">
        <f>N151</f>
        <v>0</v>
      </c>
      <c r="O156" s="12">
        <f>O151</f>
        <v>0</v>
      </c>
      <c r="P156" s="12">
        <f>P151</f>
        <v>0</v>
      </c>
      <c r="Q156" s="12">
        <f>Q151</f>
        <v>0</v>
      </c>
      <c r="R156" s="12" t="n"/>
      <c r="S156" s="12">
        <f>S151</f>
        <v>0</v>
      </c>
      <c r="T156" s="12">
        <f>T151</f>
        <v>0</v>
      </c>
      <c r="U156" s="12">
        <f>U151</f>
        <v>0</v>
      </c>
      <c r="V156" s="12">
        <f>V151</f>
        <v>0</v>
      </c>
      <c r="W156" s="12" t="n"/>
      <c r="X156" s="12">
        <f>X151</f>
        <v>0</v>
      </c>
      <c r="Y156" s="12">
        <f>Y151</f>
        <v>0</v>
      </c>
      <c r="Z156" s="12">
        <f>Z151</f>
        <v>0</v>
      </c>
      <c r="AA156" s="12">
        <f>Y156+SUM(AA153:AA155)</f>
        <v>0</v>
      </c>
      <c r="AB156" s="12" t="n"/>
      <c r="AC156" s="12">
        <f>AC151</f>
        <v>0</v>
      </c>
      <c r="AD156" s="12">
        <f>AD151</f>
        <v>0</v>
      </c>
      <c r="AE156" s="12">
        <f>AE151</f>
        <v>0</v>
      </c>
      <c r="AF156" s="12">
        <f>AF151</f>
        <v>0</v>
      </c>
      <c r="AG156" s="12" t="n"/>
      <c r="AH156" s="12">
        <f>AH151</f>
        <v>0</v>
      </c>
      <c r="AI156" s="12">
        <f>AI151</f>
        <v>0</v>
      </c>
      <c r="AJ156" s="12">
        <f>AI156+SUM(AJ153:AJ155)</f>
        <v>-2.08155326368865</v>
      </c>
      <c r="AK156" s="12">
        <f>AJ156+SUM(AK153:AK155)</f>
        <v>-4.25470102284862</v>
      </c>
      <c r="AL156" s="12" t="n"/>
      <c r="AM156" s="12">
        <f>AK156+SUM(AM153:AM155)</f>
        <v>-6.37231107486645</v>
      </c>
      <c r="AN156" s="12">
        <f>AM156+SUM(AN153:AN155)</f>
        <v>-8.65345831376141</v>
      </c>
      <c r="AO156" s="12">
        <f>AN156+SUM(AO153:AO155)</f>
        <v>-11.1491445267137</v>
      </c>
      <c r="AP156" s="12">
        <f>AO156+SUM(AP153:AP155)</f>
        <v>-13.7546483088428</v>
      </c>
      <c r="AQ156" s="12" t="n"/>
      <c r="AR156" s="12">
        <f>AP156+SUM(AR153:AR155)</f>
        <v>-16.2829768952221</v>
      </c>
      <c r="AS156" s="12">
        <f>AR156+SUM(AS153:AS155)</f>
        <v>-19.0065613286935</v>
      </c>
      <c r="AT156" s="12">
        <f>AS156+SUM(AT153:AT155)</f>
        <v>-21.9862953872976</v>
      </c>
      <c r="AU156" s="12">
        <f>AT156+SUM(AU153:AU155)</f>
        <v>-25.097146550853</v>
      </c>
      <c r="AV156" s="12" t="n"/>
      <c r="AW156" s="12">
        <f>AU156+SUM(AW153:AW155)</f>
        <v>-28.1032124525947</v>
      </c>
      <c r="AX156" s="12">
        <f>AW156+SUM(AX153:AX155)</f>
        <v>-31.341428537355</v>
      </c>
      <c r="AY156" s="12">
        <f>AX156+SUM(AY153:AY155)</f>
        <v>-34.8841946944451</v>
      </c>
      <c r="AZ156" s="12">
        <f>AY156+SUM(AZ153:AZ155)</f>
        <v>-38.5828530328176</v>
      </c>
      <c r="BA156" s="12" t="n"/>
      <c r="BB156" s="12">
        <f>AZ156+SUM(BB153:BB155)</f>
        <v>-42.1418962055805</v>
      </c>
      <c r="BC156" s="12">
        <f>BB156+SUM(BC153:BC155)</f>
        <v>-45.9757944716562</v>
      </c>
      <c r="BD156" s="12">
        <f>BC156+SUM(BD153:BD155)</f>
        <v>-50.170265955725</v>
      </c>
      <c r="BE156" s="12">
        <f>BD156+SUM(BE153:BE155)</f>
        <v>-54.5493065815278</v>
      </c>
      <c r="BF156" s="12" t="n"/>
      <c r="BG156" s="12" t="n"/>
      <c r="BH156" s="12" t="n"/>
      <c r="BI156" s="12" t="n"/>
      <c r="BJ156" s="12" t="n"/>
      <c r="BK156" s="12" t="n"/>
      <c r="BL156" s="12" t="n"/>
      <c r="BM156" s="12" t="n"/>
      <c r="BN156" s="12" t="n"/>
      <c r="BO156" s="12" t="n"/>
      <c r="BP156" s="12" t="n"/>
      <c r="BQ156" s="12" t="n"/>
      <c r="BR156" s="12" t="n"/>
      <c r="BS156" s="12" t="n"/>
      <c r="BT156" s="12" t="n"/>
      <c r="BU156" s="12" t="n"/>
      <c r="BV156" s="12" t="n"/>
      <c r="BW156" s="12" t="n"/>
      <c r="BX156" s="12" t="n"/>
      <c r="BY156" s="12" t="n"/>
      <c r="BZ156" s="12" t="n"/>
      <c r="CA156" s="12" t="n"/>
      <c r="CB156" s="12" t="n"/>
      <c r="CC156" s="12" t="n"/>
      <c r="CD156" s="12" t="n"/>
      <c r="CE156" s="12" t="n"/>
      <c r="CF156" s="12" t="n"/>
      <c r="CG156" s="12" t="n"/>
      <c r="CH156" s="12" t="n"/>
      <c r="CI156" s="12" t="n"/>
      <c r="CJ156" s="12" t="n"/>
      <c r="CK156" s="12" t="n"/>
      <c r="CL156" s="12" t="n"/>
      <c r="CM156" s="12" t="n"/>
      <c r="CN156" s="12" t="n"/>
      <c r="CO156" s="12" t="n"/>
      <c r="CP156" s="12" t="n"/>
      <c r="CQ156" s="12" t="n"/>
      <c r="CR156" s="12" t="n"/>
      <c r="CS156" s="12" t="n"/>
      <c r="CT156" s="12" t="n"/>
      <c r="CU156" s="12" t="n"/>
      <c r="CV156" s="12" t="n"/>
      <c r="CW156" s="12" t="n"/>
      <c r="CX156" s="12" t="n"/>
      <c r="CY156" s="12" t="n"/>
    </row>
    <row r="157" hidden="1" outlineLevel="1">
      <c r="C157" s="57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>
        <f>IF(AJ15=0,"",AJ153/AJ15)</f>
        <v>0.0183527242761568</v>
      </c>
      <c r="AK157" s="12">
        <f>IF(AK15=0,"",AK153/AK15)</f>
        <v>0.0183527242761568</v>
      </c>
      <c r="AL157" s="12" t="n"/>
      <c r="AM157" s="12">
        <f>IF(AM15=0,"",AM153/AM15)</f>
        <v>0.0183527242761568</v>
      </c>
      <c r="AN157" s="12">
        <f>IF(AN15=0,"",AN153/AN15)</f>
        <v>0.0183527242761568</v>
      </c>
      <c r="AO157" s="12">
        <f>IF(AO15=0,"",AO153/AO15)</f>
        <v>0.0183527242761568</v>
      </c>
      <c r="AP157" s="12">
        <f>IF(AP15=0,"",AP153/AP15)</f>
        <v>0.0183527242761568</v>
      </c>
      <c r="AQ157" s="12" t="n"/>
      <c r="AR157" s="12">
        <f>IF(AR15=0,"",AR153/AR15)</f>
        <v>0.0183527242761568</v>
      </c>
      <c r="AS157" s="12">
        <f>IF(AS15=0,"",AS153/AS15)</f>
        <v>0.0183527242761568</v>
      </c>
      <c r="AT157" s="12">
        <f>IF(AT15=0,"",AT153/AT15)</f>
        <v>0.0183527242761568</v>
      </c>
      <c r="AU157" s="12">
        <f>IF(AU15=0,"",AU153/AU15)</f>
        <v>0.0183527242761568</v>
      </c>
      <c r="AV157" s="12" t="n"/>
      <c r="AW157" s="12">
        <f>IF(AW15=0,"",AW153/AW15)</f>
        <v>0.0183527242761568</v>
      </c>
      <c r="AX157" s="12">
        <f>IF(AX15=0,"",AX153/AX15)</f>
        <v>0.0183527242761568</v>
      </c>
      <c r="AY157" s="12">
        <f>IF(AY15=0,"",AY153/AY15)</f>
        <v>0.0183527242761568</v>
      </c>
      <c r="AZ157" s="12">
        <f>IF(AZ15=0,"",AZ153/AZ15)</f>
        <v>0.0183527242761568</v>
      </c>
      <c r="BA157" s="12" t="n"/>
      <c r="BB157" s="12">
        <f>IF(BB15=0,"",BB153/BB15)</f>
        <v>0.0183527242761568</v>
      </c>
      <c r="BC157" s="12">
        <f>IF(BC15=0,"",BC153/BC15)</f>
        <v>0.0183527242761568</v>
      </c>
      <c r="BD157" s="12">
        <f>IF(BD15=0,"",BD153/BD15)</f>
        <v>0.0183527242761568</v>
      </c>
      <c r="BE157" s="12">
        <f>IF(BE15=0,"",BE153/BE15)</f>
        <v>0.0183527242761568</v>
      </c>
      <c r="BF157" s="12" t="n"/>
      <c r="BG157" s="12" t="n"/>
      <c r="BH157" s="12" t="n"/>
      <c r="BI157" s="12" t="n"/>
      <c r="BJ157" s="12" t="n"/>
      <c r="BK157" s="12" t="n"/>
      <c r="BL157" s="12" t="n"/>
      <c r="BM157" s="12" t="n"/>
      <c r="BN157" s="12" t="n"/>
      <c r="BO157" s="12" t="n"/>
      <c r="BP157" s="12" t="n"/>
      <c r="BQ157" s="12" t="n"/>
      <c r="BR157" s="12" t="n"/>
      <c r="BS157" s="12" t="n"/>
      <c r="BT157" s="12" t="n"/>
      <c r="BU157" s="12" t="n"/>
      <c r="BV157" s="12" t="n"/>
      <c r="BW157" s="12" t="n"/>
      <c r="BX157" s="12" t="n"/>
      <c r="BY157" s="12" t="n"/>
      <c r="BZ157" s="12" t="n"/>
      <c r="CA157" s="12" t="n"/>
      <c r="CB157" s="12" t="n"/>
      <c r="CC157" s="12" t="n"/>
      <c r="CD157" s="12" t="n"/>
      <c r="CE157" s="12" t="n"/>
      <c r="CF157" s="12" t="n"/>
      <c r="CG157" s="12" t="n"/>
      <c r="CH157" s="12" t="n"/>
      <c r="CI157" s="12" t="n"/>
      <c r="CJ157" s="12" t="n"/>
      <c r="CK157" s="12" t="n"/>
      <c r="CL157" s="12" t="n"/>
      <c r="CM157" s="12" t="n"/>
      <c r="CN157" s="12" t="n"/>
      <c r="CO157" s="12" t="n"/>
      <c r="CP157" s="12" t="n"/>
      <c r="CQ157" s="12" t="n"/>
      <c r="CR157" s="12" t="n"/>
      <c r="CS157" s="12" t="n"/>
      <c r="CT157" s="12" t="n"/>
      <c r="CU157" s="12" t="n"/>
      <c r="CV157" s="12" t="n"/>
      <c r="CW157" s="12" t="n"/>
      <c r="CX157" s="12" t="n"/>
      <c r="CY157" s="12" t="n"/>
    </row>
    <row r="158" hidden="1" outlineLevel="1">
      <c r="C158" s="57" t="inlineStr">
        <is>
          <t>Capital expenditures (% Net Revenues)</t>
        </is>
      </c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58">
        <f>IFERROR(AF153/AF15,"")</f>
        <v>0.0172996775969175</v>
      </c>
      <c r="AG158" s="58">
        <f>IFERROR(AG153/AG15,"")</f>
        <v>0.0188197836706211</v>
      </c>
      <c r="AH158" s="58">
        <f>IFERROR(AH153/AH15,"")</f>
        <v>0.0183182698515171</v>
      </c>
      <c r="AI158" s="58">
        <f>IFERROR(AI153/AI15,"")</f>
        <v>0.0167802831672784</v>
      </c>
      <c r="AJ158" s="58">
        <f>IFERROR(AJ153/AJ15,"")</f>
        <v>0.0183527242761568</v>
      </c>
      <c r="AK158" s="58">
        <f>IFERROR(AK153/AK15,"")</f>
        <v>0.0183527242761568</v>
      </c>
      <c r="AL158" s="58">
        <f>IFERROR(AL153/AL15,"")</f>
        <v>0</v>
      </c>
      <c r="AM158" s="58">
        <f>IFERROR(AM153/AM15,"")</f>
        <v>0.0183527242761568</v>
      </c>
      <c r="AN158" s="58">
        <f>IFERROR(AN153/AN15,"")</f>
        <v>0.0183527242761568</v>
      </c>
      <c r="AO158" s="58">
        <f>IFERROR(AO153/AO15,"")</f>
        <v>0.0183527242761568</v>
      </c>
      <c r="AP158" s="58">
        <f>IFERROR(AP153/AP15,"")</f>
        <v>0.0183527242761568</v>
      </c>
      <c r="AQ158" s="58">
        <f>IFERROR(AQ153/AQ15,"")</f>
        <v>0</v>
      </c>
      <c r="AR158" s="58">
        <f>IFERROR(AR153/AR15,"")</f>
        <v>0.0183527242761568</v>
      </c>
      <c r="AS158" s="58">
        <f>IFERROR(AS153/AS15,"")</f>
        <v>0.0183527242761568</v>
      </c>
      <c r="AT158" s="58">
        <f>IFERROR(AT153/AT15,"")</f>
        <v>0.0183527242761568</v>
      </c>
      <c r="AU158" s="58">
        <f>IFERROR(AU153/AU15,"")</f>
        <v>0.0183527242761568</v>
      </c>
      <c r="AV158" s="58">
        <f>IFERROR(AV153/AV15,"")</f>
        <v>0</v>
      </c>
      <c r="AW158" s="58">
        <f>IFERROR(AW153/AW15,"")</f>
        <v>0.0183527242761568</v>
      </c>
      <c r="AX158" s="58">
        <f>IFERROR(AX153/AX15,"")</f>
        <v>0.0183527242761568</v>
      </c>
      <c r="AY158" s="58">
        <f>IFERROR(AY153/AY15,"")</f>
        <v>0.0183527242761568</v>
      </c>
      <c r="AZ158" s="58">
        <f>IFERROR(AZ153/AZ15,"")</f>
        <v>0.0183527242761568</v>
      </c>
      <c r="BA158" s="58">
        <f>IFERROR(BA153/BA15,"")</f>
        <v>0</v>
      </c>
      <c r="BB158" s="58">
        <f>IFERROR(BB153/BB15,"")</f>
        <v>0.0183527242761568</v>
      </c>
      <c r="BC158" s="58">
        <f>IFERROR(BC153/BC15,"")</f>
        <v>0.0183527242761568</v>
      </c>
      <c r="BD158" s="58">
        <f>IFERROR(BD153/BD15,"")</f>
        <v>0.0183527242761568</v>
      </c>
      <c r="BE158" s="58">
        <f>IFERROR(BE153/BE15,"")</f>
        <v>0.0183527242761568</v>
      </c>
      <c r="BF158" s="58">
        <f>IFERROR(BF153/BF15,"")</f>
        <v>0</v>
      </c>
      <c r="BG158" s="58" t="n"/>
      <c r="BH158" s="58" t="n"/>
      <c r="BI158" s="58" t="n"/>
      <c r="BJ158" s="58" t="n"/>
      <c r="BK158" s="58" t="n"/>
      <c r="BL158" s="58" t="n"/>
      <c r="BM158" s="58" t="n"/>
      <c r="BN158" s="58" t="n"/>
      <c r="BO158" s="58" t="n"/>
      <c r="BP158" s="58" t="n"/>
      <c r="BQ158" s="58" t="n"/>
      <c r="BR158" s="58" t="n"/>
      <c r="BS158" s="58" t="n"/>
      <c r="BT158" s="58" t="n"/>
      <c r="BU158" s="58" t="n"/>
      <c r="BV158" s="58" t="n"/>
      <c r="BW158" s="58" t="n"/>
      <c r="BX158" s="58" t="n"/>
      <c r="BY158" s="58" t="n"/>
      <c r="BZ158" s="58" t="n"/>
      <c r="CA158" s="58" t="n"/>
      <c r="CB158" s="58" t="n"/>
      <c r="CC158" s="58" t="n"/>
      <c r="CD158" s="58" t="n"/>
      <c r="CE158" s="58" t="n"/>
      <c r="CF158" s="58" t="n"/>
      <c r="CG158" s="58" t="n"/>
      <c r="CH158" s="58" t="n"/>
      <c r="CI158" s="58" t="n"/>
      <c r="CJ158" s="58" t="n"/>
      <c r="CK158" s="58" t="n"/>
      <c r="CL158" s="58" t="n"/>
      <c r="CM158" s="58" t="n"/>
      <c r="CN158" s="58" t="n"/>
      <c r="CO158" s="58" t="n"/>
      <c r="CP158" s="58" t="n"/>
      <c r="CQ158" s="58" t="n"/>
      <c r="CR158" s="58" t="n"/>
      <c r="CS158" s="58" t="n"/>
      <c r="CT158" s="58" t="n"/>
      <c r="CU158" s="58" t="n"/>
      <c r="CV158" s="58" t="n"/>
      <c r="CW158" s="58" t="n"/>
      <c r="CX158" s="58" t="n"/>
      <c r="CY158" s="58" t="n"/>
    </row>
    <row r="159" hidden="1" outlineLevel="1">
      <c r="C159" s="57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  <c r="AK159" s="12" t="n"/>
      <c r="AL159" s="12" t="n"/>
      <c r="AM159" s="12" t="n"/>
      <c r="AN159" s="12" t="n"/>
      <c r="AO159" s="12" t="n"/>
      <c r="AP159" s="12" t="n"/>
      <c r="AQ159" s="12" t="n"/>
      <c r="AR159" s="12" t="n"/>
      <c r="AS159" s="12" t="n"/>
      <c r="AT159" s="12" t="n"/>
      <c r="AU159" s="12" t="n"/>
      <c r="AV159" s="12" t="n"/>
      <c r="AW159" s="12" t="n"/>
      <c r="AX159" s="12" t="n"/>
      <c r="AY159" s="12" t="n"/>
      <c r="AZ159" s="12" t="n"/>
      <c r="BA159" s="12" t="n"/>
      <c r="BB159" s="12" t="n"/>
      <c r="BC159" s="12" t="n"/>
      <c r="BD159" s="12" t="n"/>
      <c r="BE159" s="12" t="n"/>
      <c r="BF159" s="12" t="n"/>
      <c r="BG159" s="12" t="n"/>
      <c r="BH159" s="12" t="n"/>
      <c r="BI159" s="12" t="n"/>
      <c r="BJ159" s="12" t="n"/>
      <c r="BK159" s="12" t="n"/>
      <c r="BL159" s="12" t="n"/>
      <c r="BM159" s="12" t="n"/>
      <c r="BN159" s="12" t="n"/>
      <c r="BO159" s="12" t="n"/>
      <c r="BP159" s="12" t="n"/>
      <c r="BQ159" s="12" t="n"/>
      <c r="BR159" s="12" t="n"/>
      <c r="BS159" s="12" t="n"/>
      <c r="BT159" s="12" t="n"/>
      <c r="BU159" s="12" t="n"/>
      <c r="BV159" s="12" t="n"/>
      <c r="BW159" s="12" t="n"/>
      <c r="BX159" s="12" t="n"/>
      <c r="BY159" s="12" t="n"/>
      <c r="BZ159" s="12" t="n"/>
      <c r="CA159" s="12" t="n"/>
      <c r="CB159" s="12" t="n"/>
      <c r="CC159" s="12" t="n"/>
      <c r="CD159" s="12" t="n"/>
      <c r="CE159" s="12" t="n"/>
      <c r="CF159" s="12" t="n"/>
      <c r="CG159" s="12" t="n"/>
      <c r="CH159" s="12" t="n"/>
      <c r="CI159" s="12" t="n"/>
      <c r="CJ159" s="12" t="n"/>
      <c r="CK159" s="12" t="n"/>
      <c r="CL159" s="12" t="n"/>
      <c r="CM159" s="12" t="n"/>
      <c r="CN159" s="12" t="n"/>
      <c r="CO159" s="12" t="n"/>
      <c r="CP159" s="12" t="n"/>
      <c r="CQ159" s="12" t="n"/>
      <c r="CR159" s="12" t="n"/>
      <c r="CS159" s="12" t="n"/>
      <c r="CT159" s="12" t="n"/>
      <c r="CU159" s="12" t="n"/>
      <c r="CV159" s="12" t="n"/>
      <c r="CW159" s="12" t="n"/>
      <c r="CX159" s="12" t="n"/>
      <c r="CY159" s="12" t="n"/>
    </row>
    <row r="160" hidden="1" outlineLevel="1">
      <c r="C160" s="57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  <c r="AP160" s="12" t="n"/>
      <c r="AQ160" s="12" t="n"/>
      <c r="AR160" s="12" t="n"/>
      <c r="AS160" s="12" t="n"/>
      <c r="AT160" s="12" t="n"/>
      <c r="AU160" s="12" t="n"/>
      <c r="AV160" s="12" t="n"/>
      <c r="AW160" s="12" t="n"/>
      <c r="AX160" s="12" t="n"/>
      <c r="AY160" s="12" t="n"/>
      <c r="AZ160" s="12" t="n"/>
      <c r="BA160" s="12" t="n"/>
      <c r="BB160" s="12" t="n"/>
      <c r="BC160" s="12" t="n"/>
      <c r="BD160" s="12" t="n"/>
      <c r="BE160" s="12" t="n"/>
      <c r="BF160" s="12" t="n"/>
      <c r="BG160" s="12" t="n"/>
      <c r="BH160" s="12" t="n"/>
      <c r="BI160" s="12" t="n"/>
      <c r="BJ160" s="12" t="n"/>
      <c r="BK160" s="12" t="n"/>
      <c r="BL160" s="12" t="n"/>
      <c r="BM160" s="12" t="n"/>
      <c r="BN160" s="12" t="n"/>
      <c r="BO160" s="12" t="n"/>
      <c r="BP160" s="12" t="n"/>
      <c r="BQ160" s="12" t="n"/>
      <c r="BR160" s="12" t="n"/>
      <c r="BS160" s="12" t="n"/>
      <c r="BT160" s="12" t="n"/>
      <c r="BU160" s="12" t="n"/>
      <c r="BV160" s="12" t="n"/>
      <c r="BW160" s="12" t="n"/>
      <c r="BX160" s="12" t="n"/>
      <c r="BY160" s="12" t="n"/>
      <c r="BZ160" s="12" t="n"/>
      <c r="CA160" s="12" t="n"/>
      <c r="CB160" s="12" t="n"/>
      <c r="CC160" s="12" t="n"/>
      <c r="CD160" s="12" t="n"/>
      <c r="CE160" s="12" t="n"/>
      <c r="CF160" s="12" t="n"/>
      <c r="CG160" s="12" t="n"/>
      <c r="CH160" s="12" t="n"/>
      <c r="CI160" s="12" t="n"/>
      <c r="CJ160" s="12" t="n"/>
      <c r="CK160" s="12" t="n"/>
      <c r="CL160" s="12" t="n"/>
      <c r="CM160" s="12" t="n"/>
      <c r="CN160" s="12" t="n"/>
      <c r="CO160" s="12" t="n"/>
      <c r="CP160" s="12" t="n"/>
      <c r="CQ160" s="12" t="n"/>
      <c r="CR160" s="12" t="n"/>
      <c r="CS160" s="12" t="n"/>
      <c r="CT160" s="12" t="n"/>
      <c r="CU160" s="12" t="n"/>
      <c r="CV160" s="12" t="n"/>
      <c r="CW160" s="12" t="n"/>
      <c r="CX160" s="12" t="n"/>
      <c r="CY160" s="12" t="n"/>
    </row>
    <row r="161" collapsed="1">
      <c r="C161" s="14" t="inlineStr">
        <is>
          <t>Right-of-use-assets</t>
        </is>
      </c>
      <c r="D161" s="46" t="n"/>
      <c r="E161" s="46" t="n"/>
      <c r="F161" s="46" t="n"/>
      <c r="G161" s="46" t="n"/>
      <c r="H161" s="12" t="n"/>
      <c r="I161" s="46">
        <f>'Inputs (2)'!D23</f>
        <v>0</v>
      </c>
      <c r="J161" s="46">
        <f>'Inputs (2)'!E23</f>
        <v>0</v>
      </c>
      <c r="K161" s="46">
        <f>'Inputs (2)'!F23</f>
        <v>0</v>
      </c>
      <c r="L161" s="46">
        <f>'Inputs (2)'!G23</f>
        <v>0</v>
      </c>
      <c r="M161" s="12">
        <f>'Inputs (2)'!H23</f>
        <v>0</v>
      </c>
      <c r="N161" s="46">
        <f>'Inputs (2)'!I23</f>
        <v>0</v>
      </c>
      <c r="O161" s="46">
        <f>'Inputs (2)'!J23</f>
        <v>0</v>
      </c>
      <c r="P161" s="46">
        <f>'Inputs (2)'!K23</f>
        <v>0</v>
      </c>
      <c r="Q161" s="46">
        <f>'Inputs (2)'!L23</f>
        <v>0</v>
      </c>
      <c r="R161" s="12">
        <f>'Inputs (2)'!M23</f>
        <v>0</v>
      </c>
      <c r="S161" s="46">
        <f>'Inputs (2)'!N23</f>
        <v>0</v>
      </c>
      <c r="T161" s="46">
        <f>'Inputs (2)'!O23</f>
        <v>0</v>
      </c>
      <c r="U161" s="46">
        <f>'Inputs (2)'!P23</f>
        <v>0</v>
      </c>
      <c r="V161" s="46">
        <f>'Inputs (2)'!Q23</f>
        <v>0</v>
      </c>
      <c r="W161" s="12">
        <f>'Inputs (2)'!R23</f>
        <v>0</v>
      </c>
      <c r="X161" s="46">
        <f>'Inputs (2)'!S23</f>
        <v>0</v>
      </c>
      <c r="Y161" s="46">
        <f>'Inputs (2)'!T23</f>
        <v>0</v>
      </c>
      <c r="Z161" s="46">
        <f>'Inputs (2)'!U23</f>
        <v>0</v>
      </c>
      <c r="AA161" s="46">
        <f>'Inputs (2)'!V23</f>
        <v>0</v>
      </c>
      <c r="AB161" s="12">
        <f>'Inputs (2)'!W23</f>
        <v>0</v>
      </c>
      <c r="AC161" s="46">
        <f>'Inputs (2)'!X23</f>
        <v>0</v>
      </c>
      <c r="AD161" s="46">
        <f>'Inputs (2)'!Y23</f>
        <v>0</v>
      </c>
      <c r="AE161" s="46">
        <f>'Inputs (2)'!Z23</f>
        <v>0</v>
      </c>
      <c r="AF161" s="46">
        <f>'Inputs (2)'!AA23</f>
        <v>0</v>
      </c>
      <c r="AG161" s="12">
        <f>'Inputs (2)'!AB23</f>
        <v>0</v>
      </c>
      <c r="AH161" s="12">
        <f>'Inputs (2)'!AC23</f>
        <v>0</v>
      </c>
      <c r="AI161" s="12">
        <f>'Inputs (2)'!AD23</f>
        <v>0</v>
      </c>
      <c r="AJ161" s="12">
        <f>AI161</f>
        <v>0</v>
      </c>
      <c r="AK161" s="12">
        <f>AJ161</f>
        <v>0</v>
      </c>
      <c r="AL161" s="12">
        <f>AK161</f>
        <v>0</v>
      </c>
      <c r="AM161" s="12">
        <f>AL161</f>
        <v>0</v>
      </c>
      <c r="AN161" s="12">
        <f>AM161</f>
        <v>0</v>
      </c>
      <c r="AO161" s="12">
        <f>AN161</f>
        <v>0</v>
      </c>
      <c r="AP161" s="12">
        <f>AO161</f>
        <v>0</v>
      </c>
      <c r="AQ161" s="12">
        <f>AP161</f>
        <v>0</v>
      </c>
      <c r="AR161" s="12">
        <f>AQ161</f>
        <v>0</v>
      </c>
      <c r="AS161" s="12">
        <f>AR161</f>
        <v>0</v>
      </c>
      <c r="AT161" s="12">
        <f>AS161</f>
        <v>0</v>
      </c>
      <c r="AU161" s="12">
        <f>AT161</f>
        <v>0</v>
      </c>
      <c r="AV161" s="12">
        <f>AU161</f>
        <v>0</v>
      </c>
      <c r="AW161" s="12">
        <f>AV161</f>
        <v>0</v>
      </c>
      <c r="AX161" s="12">
        <f>AW161</f>
        <v>0</v>
      </c>
      <c r="AY161" s="12">
        <f>AX161</f>
        <v>0</v>
      </c>
      <c r="AZ161" s="12">
        <f>AY161</f>
        <v>0</v>
      </c>
      <c r="BA161" s="12">
        <f>AZ161</f>
        <v>0</v>
      </c>
      <c r="BB161" s="12">
        <f>BA161</f>
        <v>0</v>
      </c>
      <c r="BC161" s="12">
        <f>BB161</f>
        <v>0</v>
      </c>
      <c r="BD161" s="12">
        <f>BC161</f>
        <v>0</v>
      </c>
      <c r="BE161" s="12">
        <f>BD161</f>
        <v>0</v>
      </c>
      <c r="BF161" s="12">
        <f>BE161</f>
        <v>0</v>
      </c>
      <c r="BG161" s="12" t="n"/>
      <c r="BH161" s="12" t="n"/>
      <c r="BI161" s="12" t="n"/>
      <c r="BJ161" s="12" t="n"/>
      <c r="BK161" s="12" t="n"/>
      <c r="BL161" s="12" t="n"/>
      <c r="BM161" s="12" t="n"/>
      <c r="BN161" s="12" t="n"/>
      <c r="BO161" s="12" t="n"/>
      <c r="BP161" s="12" t="n"/>
      <c r="BQ161" s="12" t="n"/>
      <c r="BR161" s="12" t="n"/>
      <c r="BS161" s="12" t="n"/>
      <c r="BT161" s="12" t="n"/>
      <c r="BU161" s="12" t="n"/>
      <c r="BV161" s="12" t="n"/>
      <c r="BW161" s="12" t="n"/>
      <c r="BX161" s="12" t="n"/>
      <c r="BY161" s="12" t="n"/>
      <c r="BZ161" s="12" t="n"/>
      <c r="CA161" s="12" t="n"/>
      <c r="CB161" s="12" t="n"/>
      <c r="CC161" s="12" t="n"/>
      <c r="CD161" s="12" t="n"/>
      <c r="CE161" s="12" t="n"/>
      <c r="CF161" s="12" t="n"/>
      <c r="CG161" s="12" t="n"/>
      <c r="CH161" s="12" t="n"/>
      <c r="CI161" s="12" t="n"/>
      <c r="CJ161" s="12" t="n"/>
      <c r="CK161" s="12" t="n"/>
      <c r="CL161" s="12" t="n"/>
      <c r="CM161" s="12" t="n"/>
      <c r="CN161" s="12" t="n"/>
      <c r="CO161" s="12" t="n"/>
      <c r="CP161" s="12" t="n"/>
      <c r="CQ161" s="12" t="n"/>
      <c r="CR161" s="12" t="n"/>
      <c r="CS161" s="12" t="n"/>
      <c r="CT161" s="12" t="n"/>
      <c r="CU161" s="12" t="n"/>
      <c r="CV161" s="12" t="n"/>
      <c r="CW161" s="12" t="n"/>
      <c r="CX161" s="12" t="n"/>
      <c r="CY161" s="12" t="n"/>
    </row>
    <row r="162" hidden="1" outlineLevel="1">
      <c r="C162" s="59" t="inlineStr">
        <is>
          <t>%(Var.)</t>
        </is>
      </c>
      <c r="D162" s="12" t="n"/>
      <c r="E162" s="40" t="n"/>
      <c r="F162" s="40" t="n"/>
      <c r="G162" s="40" t="n"/>
      <c r="H162" s="12" t="n"/>
      <c r="I162" s="40" t="str">
        <f>""</f>
        <v/>
      </c>
      <c r="J162" s="40" t="str">
        <f>IFERROR(IF(I161=0,"",J161/I161-1),"")</f>
        <v/>
      </c>
      <c r="K162" s="40" t="str">
        <f>IFERROR(IF(J161=0,"",K161/J161-1),"")</f>
        <v/>
      </c>
      <c r="L162" s="40" t="str">
        <f>IFERROR(IF(K161=0,"",L161/K161-1),"")</f>
        <v/>
      </c>
      <c r="M162" s="12" t="str">
        <f>IFERROR(IF(L161=0,"",M161/L161-1),"")</f>
        <v/>
      </c>
      <c r="N162" s="40" t="str">
        <f>IFERROR(IF(M161=0,"",N161/M161-1),"")</f>
        <v/>
      </c>
      <c r="O162" s="40" t="str">
        <f>IFERROR(IF(N161=0,"",O161/N161-1),"")</f>
        <v/>
      </c>
      <c r="P162" s="40" t="str">
        <f>IFERROR(IF(O161=0,"",P161/O161-1),"")</f>
        <v/>
      </c>
      <c r="Q162" s="40" t="str">
        <f>IFERROR(IF(P161=0,"",Q161/P161-1),"")</f>
        <v/>
      </c>
      <c r="R162" s="12" t="str">
        <f>IFERROR(IF(Q161=0,"",R161/Q161-1),"")</f>
        <v/>
      </c>
      <c r="S162" s="40" t="str">
        <f>IFERROR(IF(R161=0,"",S161/R161-1),"")</f>
        <v/>
      </c>
      <c r="T162" s="40" t="str">
        <f>IFERROR(IF(S161=0,"",T161/S161-1),"")</f>
        <v/>
      </c>
      <c r="U162" s="40" t="str">
        <f>IFERROR(IF(T161=0,"",U161/T161-1),"")</f>
        <v/>
      </c>
      <c r="V162" s="40" t="str">
        <f>IFERROR(IF(U161=0,"",V161/U161-1),"")</f>
        <v/>
      </c>
      <c r="W162" s="12" t="str">
        <f>IFERROR(IF(V161=0,"",W161/V161-1),"")</f>
        <v/>
      </c>
      <c r="X162" s="40" t="str">
        <f>IFERROR(IF(W161=0,"",X161/W161-1),"")</f>
        <v/>
      </c>
      <c r="Y162" s="40" t="str">
        <f>IFERROR(IF(X161=0,"",Y161/X161-1),"")</f>
        <v/>
      </c>
      <c r="Z162" s="40" t="str">
        <f>IFERROR(IF(Y161=0,"",Z161/Y161-1),"")</f>
        <v/>
      </c>
      <c r="AA162" s="40" t="str">
        <f>IFERROR(IF(Z161=0,"",AA161/Z161-1),"")</f>
        <v/>
      </c>
      <c r="AB162" s="12" t="str">
        <f>IFERROR(IF(AA161=0,"",AB161/AA161-1),"")</f>
        <v/>
      </c>
      <c r="AC162" s="40" t="str">
        <f>IFERROR(IF(AB161=0,"",AC161/AB161-1),"")</f>
        <v/>
      </c>
      <c r="AD162" s="40" t="str">
        <f>IFERROR(IF(AC161=0,"",AD161/AC161-1),"")</f>
        <v/>
      </c>
      <c r="AE162" s="40" t="str">
        <f>IFERROR(IF(AD161=0,"",AE161/AD161-1),"")</f>
        <v/>
      </c>
      <c r="AF162" s="55" t="str">
        <f>IFERROR(IF(AE161=0,"",AF161/AE161-1),"")</f>
        <v/>
      </c>
      <c r="AG162" s="12" t="str">
        <f>IFERROR(IF(AF161=0,"",AG161/AF161-1),"")</f>
        <v/>
      </c>
      <c r="AH162" s="55" t="str">
        <f>IFERROR(IF(AG161=0,"",AH161/AG161-1),"")</f>
        <v/>
      </c>
      <c r="AI162" s="55" t="str">
        <f>IFERROR(IF(AH161=0,"",AI161/AH161-1),"")</f>
        <v/>
      </c>
      <c r="AJ162" s="55" t="str">
        <f>IFERROR(IF(AI161=0,"",AJ161/AI161-1),"")</f>
        <v/>
      </c>
      <c r="AK162" s="55" t="str">
        <f>IFERROR(IF(AJ161=0,"",AK161/AJ161-1),"")</f>
        <v/>
      </c>
      <c r="AL162" s="12" t="str">
        <f>IFERROR(IF(AK161=0,"",AL161/AK161-1),"")</f>
        <v/>
      </c>
      <c r="AM162" s="55" t="str">
        <f>IFERROR(IF(AL161=0,"",AM161/AL161-1),"")</f>
        <v/>
      </c>
      <c r="AN162" s="55" t="str">
        <f>IFERROR(IF(AM161=0,"",AN161/AM161-1),"")</f>
        <v/>
      </c>
      <c r="AO162" s="55" t="str">
        <f>IFERROR(IF(AN161=0,"",AO161/AN161-1),"")</f>
        <v/>
      </c>
      <c r="AP162" s="55" t="str">
        <f>IFERROR(IF(AO161=0,"",AP161/AO161-1),"")</f>
        <v/>
      </c>
      <c r="AQ162" s="12" t="str">
        <f>IFERROR(IF(AP161=0,"",AQ161/AP161-1),"")</f>
        <v/>
      </c>
      <c r="AR162" s="55" t="str">
        <f>IFERROR(IF(AQ161=0,"",AR161/AQ161-1),"")</f>
        <v/>
      </c>
      <c r="AS162" s="55" t="str">
        <f>IFERROR(IF(AR161=0,"",AS161/AR161-1),"")</f>
        <v/>
      </c>
      <c r="AT162" s="55" t="str">
        <f>IFERROR(IF(AS161=0,"",AT161/AS161-1),"")</f>
        <v/>
      </c>
      <c r="AU162" s="55" t="str">
        <f>IFERROR(IF(AT161=0,"",AU161/AT161-1),"")</f>
        <v/>
      </c>
      <c r="AV162" s="12" t="str">
        <f>IFERROR(IF(AU161=0,"",AV161/AU161-1),"")</f>
        <v/>
      </c>
      <c r="AW162" s="55" t="str">
        <f>IFERROR(IF(AV161=0,"",AW161/AV161-1),"")</f>
        <v/>
      </c>
      <c r="AX162" s="55" t="str">
        <f>IFERROR(IF(AW161=0,"",AX161/AW161-1),"")</f>
        <v/>
      </c>
      <c r="AY162" s="55" t="str">
        <f>IFERROR(IF(AX161=0,"",AY161/AX161-1),"")</f>
        <v/>
      </c>
      <c r="AZ162" s="55" t="str">
        <f>IFERROR(IF(AY161=0,"",AZ161/AY161-1),"")</f>
        <v/>
      </c>
      <c r="BA162" s="12" t="str">
        <f>IFERROR(IF(AZ161=0,"",BA161/AZ161-1),"")</f>
        <v/>
      </c>
      <c r="BB162" s="55" t="str">
        <f>IFERROR(IF(BA161=0,"",BB161/BA161-1),"")</f>
        <v/>
      </c>
      <c r="BC162" s="55" t="str">
        <f>IFERROR(IF(BB161=0,"",BC161/BB161-1),"")</f>
        <v/>
      </c>
      <c r="BD162" s="55" t="str">
        <f>IFERROR(IF(BC161=0,"",BD161/BC161-1),"")</f>
        <v/>
      </c>
      <c r="BE162" s="55" t="str">
        <f>IFERROR(IF(BD161=0,"",BE161/BD161-1),"")</f>
        <v/>
      </c>
      <c r="BF162" s="12" t="str">
        <f>IFERROR(IF(BE161=0,"",BF161/BE161-1),"")</f>
        <v/>
      </c>
      <c r="BG162" s="55" t="n"/>
      <c r="BH162" s="55" t="n"/>
      <c r="BI162" s="55" t="n"/>
      <c r="BJ162" s="55" t="n"/>
      <c r="BK162" s="12" t="n"/>
      <c r="BL162" s="55" t="n"/>
      <c r="BM162" s="55" t="n"/>
      <c r="BN162" s="55" t="n"/>
      <c r="BO162" s="55" t="n"/>
      <c r="BP162" s="12" t="n"/>
      <c r="BQ162" s="55" t="n"/>
      <c r="BR162" s="55" t="n"/>
      <c r="BS162" s="55" t="n"/>
      <c r="BT162" s="55" t="n"/>
      <c r="BU162" s="12" t="n"/>
      <c r="BV162" s="55" t="n"/>
      <c r="BW162" s="55" t="n"/>
      <c r="BX162" s="55" t="n"/>
      <c r="BY162" s="55" t="n"/>
      <c r="BZ162" s="12" t="n"/>
      <c r="CA162" s="55" t="n"/>
      <c r="CB162" s="55" t="n"/>
      <c r="CC162" s="55" t="n"/>
      <c r="CD162" s="55" t="n"/>
      <c r="CE162" s="12" t="n"/>
      <c r="CF162" s="55" t="n"/>
      <c r="CG162" s="55" t="n"/>
      <c r="CH162" s="55" t="n"/>
      <c r="CI162" s="55" t="n"/>
      <c r="CJ162" s="12" t="n"/>
      <c r="CK162" s="55" t="n"/>
      <c r="CL162" s="55" t="n"/>
      <c r="CM162" s="55" t="n"/>
      <c r="CN162" s="55" t="n"/>
      <c r="CO162" s="12" t="n"/>
      <c r="CP162" s="55" t="n"/>
      <c r="CQ162" s="55" t="n"/>
      <c r="CR162" s="55" t="n"/>
      <c r="CS162" s="55" t="n"/>
      <c r="CT162" s="12" t="n"/>
      <c r="CU162" s="55" t="n"/>
      <c r="CV162" s="55" t="n"/>
      <c r="CW162" s="55" t="n"/>
      <c r="CX162" s="55" t="n"/>
      <c r="CY162" s="12" t="n"/>
    </row>
    <row r="163" hidden="1" outlineLevel="1">
      <c r="C163" s="57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  <c r="AK163" s="12" t="n"/>
      <c r="AL163" s="12" t="n"/>
      <c r="AM163" s="12" t="n"/>
      <c r="AN163" s="12" t="n"/>
      <c r="AO163" s="12" t="n"/>
      <c r="AP163" s="12" t="n"/>
      <c r="AQ163" s="12" t="n"/>
      <c r="AR163" s="12" t="n"/>
      <c r="AS163" s="12" t="n"/>
      <c r="AT163" s="12" t="n"/>
      <c r="AU163" s="12" t="n"/>
      <c r="AV163" s="12" t="n"/>
      <c r="AW163" s="12" t="n"/>
      <c r="AX163" s="12" t="n"/>
      <c r="AY163" s="12" t="n"/>
      <c r="AZ163" s="12" t="n"/>
      <c r="BA163" s="12" t="n"/>
      <c r="BB163" s="12" t="n"/>
      <c r="BC163" s="12" t="n"/>
      <c r="BD163" s="12" t="n"/>
      <c r="BE163" s="12" t="n"/>
      <c r="BF163" s="12" t="n"/>
      <c r="BG163" s="12" t="n"/>
      <c r="BH163" s="12" t="n"/>
      <c r="BI163" s="12" t="n"/>
      <c r="BJ163" s="12" t="n"/>
      <c r="BK163" s="12" t="n"/>
      <c r="BL163" s="12" t="n"/>
      <c r="BM163" s="12" t="n"/>
      <c r="BN163" s="12" t="n"/>
      <c r="BO163" s="12" t="n"/>
      <c r="BP163" s="12" t="n"/>
      <c r="BQ163" s="12" t="n"/>
      <c r="BR163" s="12" t="n"/>
      <c r="BS163" s="12" t="n"/>
      <c r="BT163" s="12" t="n"/>
      <c r="BU163" s="12" t="n"/>
      <c r="BV163" s="12" t="n"/>
      <c r="BW163" s="12" t="n"/>
      <c r="BX163" s="12" t="n"/>
      <c r="BY163" s="12" t="n"/>
      <c r="BZ163" s="12" t="n"/>
      <c r="CA163" s="12" t="n"/>
      <c r="CB163" s="12" t="n"/>
      <c r="CC163" s="12" t="n"/>
      <c r="CD163" s="12" t="n"/>
      <c r="CE163" s="12" t="n"/>
      <c r="CF163" s="12" t="n"/>
      <c r="CG163" s="12" t="n"/>
      <c r="CH163" s="12" t="n"/>
      <c r="CI163" s="12" t="n"/>
      <c r="CJ163" s="12" t="n"/>
      <c r="CK163" s="12" t="n"/>
      <c r="CL163" s="12" t="n"/>
      <c r="CM163" s="12" t="n"/>
      <c r="CN163" s="12" t="n"/>
      <c r="CO163" s="12" t="n"/>
      <c r="CP163" s="12" t="n"/>
      <c r="CQ163" s="12" t="n"/>
      <c r="CR163" s="12" t="n"/>
      <c r="CS163" s="12" t="n"/>
      <c r="CT163" s="12" t="n"/>
      <c r="CU163" s="12" t="n"/>
      <c r="CV163" s="12" t="n"/>
      <c r="CW163" s="12" t="n"/>
      <c r="CX163" s="12" t="n"/>
      <c r="CY163" s="12" t="n"/>
    </row>
    <row r="164" collapsed="1">
      <c r="C164" s="14" t="inlineStr">
        <is>
          <t>Goodwill</t>
        </is>
      </c>
      <c r="D164" s="46" t="n"/>
      <c r="E164" s="46" t="n"/>
      <c r="F164" s="46" t="n"/>
      <c r="G164" s="46" t="n"/>
      <c r="H164" s="12" t="n"/>
      <c r="I164" s="46">
        <f>'Inputs (2)'!D24</f>
        <v>25320</v>
      </c>
      <c r="J164" s="46">
        <f>'Inputs (2)'!E24</f>
        <v>25491</v>
      </c>
      <c r="K164" s="46">
        <f>'Inputs (2)'!F24</f>
        <v>25333</v>
      </c>
      <c r="L164" s="46">
        <f>'Inputs (2)'!G24</f>
        <v>26182</v>
      </c>
      <c r="M164" s="12">
        <f>'Inputs (2)'!H24</f>
        <v>26182</v>
      </c>
      <c r="N164" s="46">
        <f>'Inputs (2)'!I24</f>
        <v>26047</v>
      </c>
      <c r="O164" s="46">
        <f>'Inputs (2)'!J24</f>
        <v>25790</v>
      </c>
      <c r="P164" s="46">
        <f>'Inputs (2)'!K24</f>
        <v>25275</v>
      </c>
      <c r="Q164" s="46">
        <f>'Inputs (2)'!L24</f>
        <v>25798</v>
      </c>
      <c r="R164" s="12">
        <f>'Inputs (2)'!M24</f>
        <v>25798</v>
      </c>
      <c r="S164" s="46">
        <f>'Inputs (2)'!N24</f>
        <v>13107</v>
      </c>
      <c r="T164" s="46">
        <f>'Inputs (2)'!O24</f>
        <v>13345</v>
      </c>
      <c r="U164" s="46">
        <f>'Inputs (2)'!P24</f>
        <v>13177</v>
      </c>
      <c r="V164" s="46">
        <f>'Inputs (2)'!Q24</f>
        <v>13385</v>
      </c>
      <c r="W164" s="12">
        <f>'Inputs (2)'!R24</f>
        <v>13385</v>
      </c>
      <c r="X164" s="46">
        <f>'Inputs (2)'!S24</f>
        <v>13304</v>
      </c>
      <c r="Y164" s="46">
        <f>'Inputs (2)'!T24</f>
        <v>8859</v>
      </c>
      <c r="Z164" s="46">
        <f>'Inputs (2)'!U24</f>
        <v>8754</v>
      </c>
      <c r="AA164" s="46">
        <f>'Inputs (2)'!V24</f>
        <v>8538</v>
      </c>
      <c r="AB164" s="12">
        <f>'Inputs (2)'!W24</f>
        <v>8538</v>
      </c>
      <c r="AC164" s="46">
        <f>'Inputs (2)'!X24</f>
        <v>8696</v>
      </c>
      <c r="AD164" s="46">
        <f>'Inputs (2)'!Y24</f>
        <v>9006</v>
      </c>
      <c r="AE164" s="46">
        <f>'Inputs (2)'!Z24</f>
        <v>9041</v>
      </c>
      <c r="AF164" s="46">
        <f>'Inputs (2)'!AA24</f>
        <v>9060</v>
      </c>
      <c r="AG164" s="12">
        <f>'Inputs (2)'!AB24</f>
        <v>9060</v>
      </c>
      <c r="AH164" s="12">
        <f>'Inputs (2)'!AC24</f>
        <v>9003</v>
      </c>
      <c r="AI164" s="12">
        <f>'Inputs (2)'!AD24</f>
        <v>8954</v>
      </c>
      <c r="AJ164" s="12">
        <f>AI164</f>
        <v>8954</v>
      </c>
      <c r="AK164" s="12">
        <f>AJ164</f>
        <v>8954</v>
      </c>
      <c r="AL164" s="12">
        <f>AK164</f>
        <v>8954</v>
      </c>
      <c r="AM164" s="12">
        <f>AL164</f>
        <v>8954</v>
      </c>
      <c r="AN164" s="12">
        <f>AM164</f>
        <v>8954</v>
      </c>
      <c r="AO164" s="12">
        <f>AN164</f>
        <v>8954</v>
      </c>
      <c r="AP164" s="12">
        <f>AO164</f>
        <v>8954</v>
      </c>
      <c r="AQ164" s="12">
        <f>AP164</f>
        <v>8954</v>
      </c>
      <c r="AR164" s="12">
        <f>AQ164</f>
        <v>8954</v>
      </c>
      <c r="AS164" s="12">
        <f>AR164</f>
        <v>8954</v>
      </c>
      <c r="AT164" s="12">
        <f>AS164</f>
        <v>8954</v>
      </c>
      <c r="AU164" s="12">
        <f>AT164</f>
        <v>8954</v>
      </c>
      <c r="AV164" s="12">
        <f>AU164</f>
        <v>8954</v>
      </c>
      <c r="AW164" s="12">
        <f>AV164</f>
        <v>8954</v>
      </c>
      <c r="AX164" s="12">
        <f>AW164</f>
        <v>8954</v>
      </c>
      <c r="AY164" s="12">
        <f>AX164</f>
        <v>8954</v>
      </c>
      <c r="AZ164" s="12">
        <f>AY164</f>
        <v>8954</v>
      </c>
      <c r="BA164" s="12">
        <f>AZ164</f>
        <v>8954</v>
      </c>
      <c r="BB164" s="12">
        <f>BA164</f>
        <v>8954</v>
      </c>
      <c r="BC164" s="12">
        <f>BB164</f>
        <v>8954</v>
      </c>
      <c r="BD164" s="12">
        <f>BC164</f>
        <v>8954</v>
      </c>
      <c r="BE164" s="12">
        <f>BD164</f>
        <v>8954</v>
      </c>
      <c r="BF164" s="12">
        <f>BE164</f>
        <v>8954</v>
      </c>
      <c r="BG164" s="12" t="n"/>
      <c r="BH164" s="12" t="n"/>
      <c r="BI164" s="12" t="n"/>
      <c r="BJ164" s="12" t="n"/>
      <c r="BK164" s="12" t="n"/>
      <c r="BL164" s="12" t="n"/>
      <c r="BM164" s="12" t="n"/>
      <c r="BN164" s="12" t="n"/>
      <c r="BO164" s="12" t="n"/>
      <c r="BP164" s="12" t="n"/>
      <c r="BQ164" s="12" t="n"/>
      <c r="BR164" s="12" t="n"/>
      <c r="BS164" s="12" t="n"/>
      <c r="BT164" s="12" t="n"/>
      <c r="BU164" s="12" t="n"/>
      <c r="BV164" s="12" t="n"/>
      <c r="BW164" s="12" t="n"/>
      <c r="BX164" s="12" t="n"/>
      <c r="BY164" s="12" t="n"/>
      <c r="BZ164" s="12" t="n"/>
      <c r="CA164" s="12" t="n"/>
      <c r="CB164" s="12" t="n"/>
      <c r="CC164" s="12" t="n"/>
      <c r="CD164" s="12" t="n"/>
      <c r="CE164" s="12" t="n"/>
      <c r="CF164" s="12" t="n"/>
      <c r="CG164" s="12" t="n"/>
      <c r="CH164" s="12" t="n"/>
      <c r="CI164" s="12" t="n"/>
      <c r="CJ164" s="12" t="n"/>
      <c r="CK164" s="12" t="n"/>
      <c r="CL164" s="12" t="n"/>
      <c r="CM164" s="12" t="n"/>
      <c r="CN164" s="12" t="n"/>
      <c r="CO164" s="12" t="n"/>
      <c r="CP164" s="12" t="n"/>
      <c r="CQ164" s="12" t="n"/>
      <c r="CR164" s="12" t="n"/>
      <c r="CS164" s="12" t="n"/>
      <c r="CT164" s="12" t="n"/>
      <c r="CU164" s="12" t="n"/>
      <c r="CV164" s="12" t="n"/>
      <c r="CW164" s="12" t="n"/>
      <c r="CX164" s="12" t="n"/>
      <c r="CY164" s="12" t="n"/>
    </row>
    <row r="165">
      <c r="C165" s="14" t="inlineStr">
        <is>
          <t>Intangibles</t>
        </is>
      </c>
      <c r="D165" s="46" t="n"/>
      <c r="E165" s="46" t="n"/>
      <c r="F165" s="46" t="n"/>
      <c r="G165" s="46" t="n"/>
      <c r="H165" s="12" t="n"/>
      <c r="I165" s="46">
        <f>'Inputs (2)'!D25</f>
        <v>9395</v>
      </c>
      <c r="J165" s="46">
        <f>'Inputs (2)'!E25</f>
        <v>9460</v>
      </c>
      <c r="K165" s="46">
        <f>'Inputs (2)'!F25</f>
        <v>9187</v>
      </c>
      <c r="L165" s="46">
        <f>'Inputs (2)'!G25</f>
        <v>9330</v>
      </c>
      <c r="M165" s="12">
        <f>'Inputs (2)'!H25</f>
        <v>9330</v>
      </c>
      <c r="N165" s="46">
        <f>'Inputs (2)'!I25</f>
        <v>8290</v>
      </c>
      <c r="O165" s="46">
        <f>'Inputs (2)'!J25</f>
        <v>8026</v>
      </c>
      <c r="P165" s="46">
        <f>'Inputs (2)'!K25</f>
        <v>7725</v>
      </c>
      <c r="Q165" s="46">
        <f>'Inputs (2)'!L25</f>
        <v>7625</v>
      </c>
      <c r="R165" s="12">
        <f>'Inputs (2)'!M25</f>
        <v>7625</v>
      </c>
      <c r="S165" s="46">
        <f>'Inputs (2)'!N25</f>
        <v>5990</v>
      </c>
      <c r="T165" s="46">
        <f>'Inputs (2)'!O25</f>
        <v>5954</v>
      </c>
      <c r="U165" s="46">
        <f>'Inputs (2)'!P25</f>
        <v>5790</v>
      </c>
      <c r="V165" s="46">
        <f>'Inputs (2)'!Q25</f>
        <v>5695</v>
      </c>
      <c r="W165" s="12">
        <f>'Inputs (2)'!R25</f>
        <v>5695</v>
      </c>
      <c r="X165" s="46">
        <f>'Inputs (2)'!S25</f>
        <v>5547</v>
      </c>
      <c r="Y165" s="46">
        <f>'Inputs (2)'!T25</f>
        <v>4394</v>
      </c>
      <c r="Z165" s="46">
        <f>'Inputs (2)'!U25</f>
        <v>4371</v>
      </c>
      <c r="AA165" s="46">
        <f>'Inputs (2)'!V25</f>
        <v>4257</v>
      </c>
      <c r="AB165" s="12">
        <f>'Inputs (2)'!W25</f>
        <v>4257</v>
      </c>
      <c r="AC165" s="46">
        <f>'Inputs (2)'!X25</f>
        <v>4277</v>
      </c>
      <c r="AD165" s="46">
        <f>'Inputs (2)'!Y25</f>
        <v>4336</v>
      </c>
      <c r="AE165" s="46">
        <f>'Inputs (2)'!Z25</f>
        <v>4283</v>
      </c>
      <c r="AF165" s="46">
        <f>'Inputs (2)'!AA25</f>
        <v>4225</v>
      </c>
      <c r="AG165" s="12">
        <f>'Inputs (2)'!AB25</f>
        <v>4225</v>
      </c>
      <c r="AH165" s="12">
        <f>'Inputs (2)'!AC25</f>
        <v>4151</v>
      </c>
      <c r="AI165" s="12">
        <f>'Inputs (2)'!AD25</f>
        <v>4085</v>
      </c>
      <c r="AJ165" s="12">
        <f>AI165</f>
        <v>4085</v>
      </c>
      <c r="AK165" s="12">
        <f>AJ165</f>
        <v>4085</v>
      </c>
      <c r="AL165" s="12">
        <f>AK165</f>
        <v>4085</v>
      </c>
      <c r="AM165" s="16">
        <f>AL165</f>
        <v>4085</v>
      </c>
      <c r="AN165" s="12">
        <f>AM165</f>
        <v>4085</v>
      </c>
      <c r="AO165" s="12">
        <f>AN165</f>
        <v>4085</v>
      </c>
      <c r="AP165" s="12">
        <f>AO165</f>
        <v>4085</v>
      </c>
      <c r="AQ165" s="12">
        <f>AP165</f>
        <v>4085</v>
      </c>
      <c r="AR165" s="16">
        <f>AQ165</f>
        <v>4085</v>
      </c>
      <c r="AS165" s="12">
        <f>AR165</f>
        <v>4085</v>
      </c>
      <c r="AT165" s="12">
        <f>AS165</f>
        <v>4085</v>
      </c>
      <c r="AU165" s="12">
        <f>AT165</f>
        <v>4085</v>
      </c>
      <c r="AV165" s="12">
        <f>AU165</f>
        <v>4085</v>
      </c>
      <c r="AW165" s="16">
        <f>AV165</f>
        <v>4085</v>
      </c>
      <c r="AX165" s="12">
        <f>AW165</f>
        <v>4085</v>
      </c>
      <c r="AY165" s="12">
        <f>AX165</f>
        <v>4085</v>
      </c>
      <c r="AZ165" s="12">
        <f>AY165</f>
        <v>4085</v>
      </c>
      <c r="BA165" s="12">
        <f>AZ165</f>
        <v>4085</v>
      </c>
      <c r="BB165" s="16">
        <f>BA165</f>
        <v>4085</v>
      </c>
      <c r="BC165" s="12">
        <f>BB165</f>
        <v>4085</v>
      </c>
      <c r="BD165" s="12">
        <f>BC165</f>
        <v>4085</v>
      </c>
      <c r="BE165" s="12">
        <f>BD165</f>
        <v>4085</v>
      </c>
      <c r="BF165" s="12">
        <f>BE165</f>
        <v>4085</v>
      </c>
      <c r="BH165" s="12" t="n"/>
      <c r="BI165" s="12" t="n"/>
      <c r="BJ165" s="12" t="n"/>
      <c r="BK165" s="12" t="n"/>
      <c r="BM165" s="12" t="n"/>
      <c r="BN165" s="12" t="n"/>
      <c r="BO165" s="12" t="n"/>
      <c r="BP165" s="12" t="n"/>
      <c r="BR165" s="12" t="n"/>
      <c r="BS165" s="12" t="n"/>
      <c r="BT165" s="12" t="n"/>
      <c r="BU165" s="12" t="n"/>
      <c r="BW165" s="12" t="n"/>
      <c r="BX165" s="12" t="n"/>
      <c r="BY165" s="12" t="n"/>
      <c r="BZ165" s="12" t="n"/>
      <c r="CB165" s="12" t="n"/>
      <c r="CC165" s="12" t="n"/>
      <c r="CD165" s="12" t="n"/>
      <c r="CE165" s="12" t="n"/>
      <c r="CG165" s="12" t="n"/>
      <c r="CH165" s="12" t="n"/>
      <c r="CI165" s="12" t="n"/>
      <c r="CJ165" s="12" t="n"/>
      <c r="CL165" s="12" t="n"/>
      <c r="CM165" s="12" t="n"/>
      <c r="CN165" s="12" t="n"/>
      <c r="CO165" s="12" t="n"/>
      <c r="CQ165" s="12" t="n"/>
      <c r="CR165" s="12" t="n"/>
      <c r="CS165" s="12" t="n"/>
      <c r="CT165" s="12" t="n"/>
      <c r="CV165" s="12" t="n"/>
      <c r="CW165" s="12" t="n"/>
      <c r="CX165" s="12" t="n"/>
      <c r="CY165" s="12" t="n"/>
    </row>
    <row r="166" hidden="1" outlineLevel="1">
      <c r="C166" s="57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 t="n"/>
      <c r="AK166" s="12" t="n"/>
      <c r="AL166" s="12" t="n"/>
      <c r="AM166" s="12" t="n"/>
      <c r="AN166" s="12" t="n"/>
      <c r="AO166" s="12" t="n"/>
      <c r="AP166" s="12" t="n"/>
      <c r="AQ166" s="12" t="n"/>
      <c r="AR166" s="12" t="n"/>
      <c r="AS166" s="12" t="n"/>
      <c r="AT166" s="12" t="n"/>
      <c r="AU166" s="12" t="n"/>
      <c r="AV166" s="12" t="n"/>
      <c r="AW166" s="12" t="n"/>
      <c r="AX166" s="12" t="n"/>
      <c r="AY166" s="12" t="n"/>
      <c r="AZ166" s="12" t="n"/>
      <c r="BA166" s="12" t="n"/>
      <c r="BB166" s="12" t="n"/>
      <c r="BC166" s="12" t="n"/>
      <c r="BD166" s="12" t="n"/>
      <c r="BE166" s="12" t="n"/>
      <c r="BF166" s="12" t="n"/>
      <c r="BG166" s="12" t="n"/>
      <c r="BH166" s="12" t="n"/>
      <c r="BI166" s="12" t="n"/>
      <c r="BJ166" s="12" t="n"/>
      <c r="BK166" s="12" t="n"/>
      <c r="BL166" s="12" t="n"/>
      <c r="BM166" s="12" t="n"/>
      <c r="BN166" s="12" t="n"/>
      <c r="BO166" s="12" t="n"/>
      <c r="BP166" s="12" t="n"/>
      <c r="BQ166" s="12" t="n"/>
      <c r="BR166" s="12" t="n"/>
      <c r="BS166" s="12" t="n"/>
      <c r="BT166" s="12" t="n"/>
      <c r="BU166" s="12" t="n"/>
      <c r="BV166" s="12" t="n"/>
      <c r="BW166" s="12" t="n"/>
      <c r="BX166" s="12" t="n"/>
      <c r="BY166" s="12" t="n"/>
      <c r="BZ166" s="12" t="n"/>
      <c r="CA166" s="12" t="n"/>
      <c r="CB166" s="12" t="n"/>
      <c r="CC166" s="12" t="n"/>
      <c r="CD166" s="12" t="n"/>
      <c r="CE166" s="12" t="n"/>
      <c r="CF166" s="12" t="n"/>
      <c r="CG166" s="12" t="n"/>
      <c r="CH166" s="12" t="n"/>
      <c r="CI166" s="12" t="n"/>
      <c r="CJ166" s="12" t="n"/>
      <c r="CK166" s="12" t="n"/>
      <c r="CL166" s="12" t="n"/>
      <c r="CM166" s="12" t="n"/>
      <c r="CN166" s="12" t="n"/>
      <c r="CO166" s="12" t="n"/>
      <c r="CP166" s="12" t="n"/>
      <c r="CQ166" s="12" t="n"/>
      <c r="CR166" s="12" t="n"/>
      <c r="CS166" s="12" t="n"/>
      <c r="CT166" s="12" t="n"/>
      <c r="CU166" s="12" t="n"/>
      <c r="CV166" s="12" t="n"/>
      <c r="CW166" s="12" t="n"/>
      <c r="CX166" s="12" t="n"/>
      <c r="CY166" s="12" t="n"/>
    </row>
    <row r="167" hidden="1" outlineLevel="1">
      <c r="C167" s="57" t="inlineStr">
        <is>
          <t>Purchase of intangible assets</t>
        </is>
      </c>
      <c r="D167" s="12" t="n"/>
      <c r="E167" s="12" t="n"/>
      <c r="F167" s="12" t="n"/>
      <c r="G167" s="12" t="n"/>
      <c r="H167" s="12" t="n"/>
      <c r="I167" s="12" t="str">
        <f>IF(COUNT(H165)=0,"",I165-H165-I69)</f>
        <v/>
      </c>
      <c r="J167" s="12">
        <f>J165-I165-J69</f>
        <v>65</v>
      </c>
      <c r="K167" s="12">
        <f>K165-J165-K69</f>
        <v>-273</v>
      </c>
      <c r="L167" s="12">
        <f>L165-K165-L69</f>
        <v>143</v>
      </c>
      <c r="M167" s="12" t="n"/>
      <c r="N167" s="12">
        <f>N165-M165-N69</f>
        <v>-1040</v>
      </c>
      <c r="O167" s="12">
        <f>O165-N165-O69</f>
        <v>-264</v>
      </c>
      <c r="P167" s="12">
        <f>P165-O165-P69</f>
        <v>-301</v>
      </c>
      <c r="Q167" s="12">
        <f>Q165-P165-Q69</f>
        <v>-100</v>
      </c>
      <c r="R167" s="12" t="n"/>
      <c r="S167" s="12">
        <f>S165-R165-S69</f>
        <v>-1635</v>
      </c>
      <c r="T167" s="12">
        <f>T165-S165-T69</f>
        <v>-36</v>
      </c>
      <c r="U167" s="12">
        <f>U165-T165-U69</f>
        <v>-164</v>
      </c>
      <c r="V167" s="12">
        <f>V165-U165-V69</f>
        <v>-95</v>
      </c>
      <c r="W167" s="12" t="n"/>
      <c r="X167" s="12">
        <f>X165-W165-X69</f>
        <v>-148</v>
      </c>
      <c r="Y167" s="12">
        <f>Y165-X165-Y69</f>
        <v>-1153</v>
      </c>
      <c r="Z167" s="12">
        <f>Z165-Y165-Z69</f>
        <v>-23</v>
      </c>
      <c r="AA167" s="12">
        <f>AA165-Z165-AA69</f>
        <v>-114</v>
      </c>
      <c r="AB167" s="12" t="n"/>
      <c r="AC167" s="12">
        <f>AC165-AB165-AC69</f>
        <v>20</v>
      </c>
      <c r="AD167" s="12">
        <f>AD165-AC165-AD69</f>
        <v>59</v>
      </c>
      <c r="AE167" s="12">
        <f>AE165-AD165-AE69</f>
        <v>-53</v>
      </c>
      <c r="AF167" s="12">
        <f>AF165-AE165-AF69</f>
        <v>-58</v>
      </c>
      <c r="AG167" s="12" t="n"/>
      <c r="AH167" s="11">
        <f>AH165-AG165-AH69</f>
        <v>-74</v>
      </c>
      <c r="AI167" s="11">
        <f>AI165-AH165-AI69</f>
        <v>-66</v>
      </c>
      <c r="AJ167" s="11" t="n"/>
      <c r="AK167" s="11" t="n"/>
      <c r="AL167" s="12" t="n"/>
      <c r="AM167" s="11" t="n"/>
      <c r="AN167" s="11" t="n"/>
      <c r="AO167" s="11" t="n"/>
      <c r="AP167" s="11" t="n"/>
      <c r="AQ167" s="12" t="n"/>
      <c r="AR167" s="11" t="n"/>
      <c r="AS167" s="11" t="n"/>
      <c r="AT167" s="11" t="n"/>
      <c r="AU167" s="11" t="n"/>
      <c r="AV167" s="12" t="n"/>
      <c r="AW167" s="11" t="n"/>
      <c r="AX167" s="11" t="n"/>
      <c r="AY167" s="11" t="n"/>
      <c r="AZ167" s="11" t="n"/>
      <c r="BA167" s="12" t="n"/>
      <c r="BB167" s="11" t="n"/>
      <c r="BC167" s="11" t="n"/>
      <c r="BD167" s="11" t="n"/>
      <c r="BE167" s="11" t="n"/>
      <c r="BF167" s="12" t="n"/>
      <c r="BG167" s="11" t="n"/>
      <c r="BH167" s="11" t="n"/>
      <c r="BI167" s="11" t="n"/>
      <c r="BJ167" s="11" t="n"/>
      <c r="BK167" s="12" t="n"/>
      <c r="BL167" s="11" t="n"/>
      <c r="BM167" s="11" t="n"/>
      <c r="BN167" s="11" t="n"/>
      <c r="BO167" s="11" t="n"/>
      <c r="BP167" s="12" t="n"/>
      <c r="BQ167" s="11" t="n"/>
      <c r="BR167" s="11" t="n"/>
      <c r="BS167" s="11" t="n"/>
      <c r="BT167" s="11" t="n"/>
      <c r="BU167" s="12" t="n"/>
      <c r="BV167" s="11" t="n"/>
      <c r="BW167" s="11" t="n"/>
      <c r="BX167" s="11" t="n"/>
      <c r="BY167" s="11" t="n"/>
      <c r="BZ167" s="12" t="n"/>
      <c r="CA167" s="11" t="n"/>
      <c r="CB167" s="11" t="n"/>
      <c r="CC167" s="11" t="n"/>
      <c r="CD167" s="11" t="n"/>
      <c r="CE167" s="12" t="n"/>
      <c r="CF167" s="11" t="n"/>
      <c r="CG167" s="11" t="n"/>
      <c r="CH167" s="11" t="n"/>
      <c r="CI167" s="11" t="n"/>
      <c r="CJ167" s="12" t="n"/>
      <c r="CK167" s="11" t="n"/>
      <c r="CL167" s="11" t="n"/>
      <c r="CM167" s="11" t="n"/>
      <c r="CN167" s="11" t="n"/>
      <c r="CO167" s="12" t="n"/>
      <c r="CP167" s="11" t="n"/>
      <c r="CQ167" s="11" t="n"/>
      <c r="CR167" s="11" t="n"/>
      <c r="CS167" s="11" t="n"/>
      <c r="CT167" s="12" t="n"/>
      <c r="CU167" s="11" t="n"/>
      <c r="CV167" s="11" t="n"/>
      <c r="CW167" s="11" t="n"/>
      <c r="CX167" s="11" t="n"/>
      <c r="CY167" s="12" t="n"/>
    </row>
    <row r="168" hidden="1" outlineLevel="1">
      <c r="C168" s="57" t="inlineStr">
        <is>
          <t>Amortization (enter as -)</t>
        </is>
      </c>
      <c r="D168" s="12" t="n"/>
      <c r="E168" s="12" t="n"/>
      <c r="F168" s="12" t="n"/>
      <c r="G168" s="12" t="n"/>
      <c r="H168" s="12" t="n"/>
      <c r="I168" s="12">
        <f>I68</f>
        <v>0</v>
      </c>
      <c r="J168" s="12">
        <f>J68</f>
        <v>0</v>
      </c>
      <c r="K168" s="12">
        <f>K68</f>
        <v>0</v>
      </c>
      <c r="L168" s="12">
        <f>L68</f>
        <v>0</v>
      </c>
      <c r="M168" s="12" t="n"/>
      <c r="N168" s="12">
        <f>N68</f>
        <v>0</v>
      </c>
      <c r="O168" s="12">
        <f>O68</f>
        <v>0</v>
      </c>
      <c r="P168" s="12">
        <f>P68</f>
        <v>0</v>
      </c>
      <c r="Q168" s="12">
        <f>Q68</f>
        <v>0</v>
      </c>
      <c r="R168" s="12" t="n"/>
      <c r="S168" s="12">
        <f>S68</f>
        <v>0</v>
      </c>
      <c r="T168" s="12">
        <f>T68</f>
        <v>0</v>
      </c>
      <c r="U168" s="12">
        <f>U68</f>
        <v>0</v>
      </c>
      <c r="V168" s="12">
        <f>V68</f>
        <v>0</v>
      </c>
      <c r="W168" s="12" t="n"/>
      <c r="X168" s="12">
        <f>X68</f>
        <v>0</v>
      </c>
      <c r="Y168" s="12">
        <f>Y68</f>
        <v>0</v>
      </c>
      <c r="Z168" s="12">
        <f>Z68</f>
        <v>0</v>
      </c>
      <c r="AA168" s="12">
        <f>AA68</f>
        <v>0</v>
      </c>
      <c r="AB168" s="12" t="n"/>
      <c r="AC168" s="12">
        <f>AC68</f>
        <v>0</v>
      </c>
      <c r="AD168" s="12">
        <f>AD68</f>
        <v>0</v>
      </c>
      <c r="AE168" s="12">
        <f>AE68</f>
        <v>0</v>
      </c>
      <c r="AF168" s="12">
        <f>AF68</f>
        <v>0</v>
      </c>
      <c r="AG168" s="12" t="n"/>
      <c r="AH168" s="12">
        <f>AH68</f>
        <v>0</v>
      </c>
      <c r="AI168" s="11">
        <f>AI68</f>
        <v>0</v>
      </c>
      <c r="AJ168" s="11" t="n"/>
      <c r="AK168" s="11" t="n"/>
      <c r="AL168" s="12" t="n"/>
      <c r="AM168" s="11" t="n"/>
      <c r="AN168" s="11" t="n"/>
      <c r="AO168" s="11" t="n"/>
      <c r="AP168" s="11" t="n"/>
      <c r="AQ168" s="12" t="n"/>
      <c r="AR168" s="11" t="n"/>
      <c r="AS168" s="11" t="n"/>
      <c r="AT168" s="11" t="n"/>
      <c r="AU168" s="11" t="n"/>
      <c r="AV168" s="12" t="n"/>
      <c r="AW168" s="11" t="n"/>
      <c r="AX168" s="11" t="n"/>
      <c r="AY168" s="11" t="n"/>
      <c r="AZ168" s="11" t="n"/>
      <c r="BA168" s="12" t="n"/>
      <c r="BB168" s="11" t="n"/>
      <c r="BC168" s="11" t="n"/>
      <c r="BD168" s="11" t="n"/>
      <c r="BE168" s="11" t="n"/>
      <c r="BF168" s="12" t="n"/>
      <c r="BG168" s="11" t="n"/>
      <c r="BH168" s="11" t="n"/>
      <c r="BI168" s="11" t="n"/>
      <c r="BJ168" s="11" t="n"/>
      <c r="BK168" s="12" t="n"/>
      <c r="BL168" s="11" t="n"/>
      <c r="BM168" s="11" t="n"/>
      <c r="BN168" s="11" t="n"/>
      <c r="BO168" s="11" t="n"/>
      <c r="BP168" s="12" t="n"/>
      <c r="BQ168" s="11" t="n"/>
      <c r="BR168" s="11" t="n"/>
      <c r="BS168" s="11" t="n"/>
      <c r="BT168" s="11" t="n"/>
      <c r="BU168" s="12" t="n"/>
      <c r="BV168" s="11" t="n"/>
      <c r="BW168" s="11" t="n"/>
      <c r="BX168" s="11" t="n"/>
      <c r="BY168" s="11" t="n"/>
      <c r="BZ168" s="12" t="n"/>
      <c r="CA168" s="11" t="n"/>
      <c r="CB168" s="11" t="n"/>
      <c r="CC168" s="11" t="n"/>
      <c r="CD168" s="11" t="n"/>
      <c r="CE168" s="12" t="n"/>
      <c r="CF168" s="11" t="n"/>
      <c r="CG168" s="11" t="n"/>
      <c r="CH168" s="11" t="n"/>
      <c r="CI168" s="11" t="n"/>
      <c r="CJ168" s="12" t="n"/>
      <c r="CK168" s="11" t="n"/>
      <c r="CL168" s="11" t="n"/>
      <c r="CM168" s="11" t="n"/>
      <c r="CN168" s="11" t="n"/>
      <c r="CO168" s="12" t="n"/>
      <c r="CP168" s="11" t="n"/>
      <c r="CQ168" s="11" t="n"/>
      <c r="CR168" s="11" t="n"/>
      <c r="CS168" s="11" t="n"/>
      <c r="CT168" s="12" t="n"/>
      <c r="CU168" s="11" t="n"/>
      <c r="CV168" s="11" t="n"/>
      <c r="CW168" s="11" t="n"/>
      <c r="CX168" s="11" t="n"/>
      <c r="CY168" s="12" t="n"/>
    </row>
    <row r="169" hidden="1" outlineLevel="1">
      <c r="C169" s="57" t="inlineStr">
        <is>
          <t>Intangibles</t>
        </is>
      </c>
      <c r="D169" s="12" t="n"/>
      <c r="E169" s="12" t="n"/>
      <c r="F169" s="12" t="n"/>
      <c r="G169" s="12" t="n"/>
      <c r="H169" s="12" t="n"/>
      <c r="I169" s="12">
        <f>I165</f>
        <v>9395</v>
      </c>
      <c r="J169" s="12">
        <f>J165</f>
        <v>9460</v>
      </c>
      <c r="K169" s="12">
        <f>K165</f>
        <v>9187</v>
      </c>
      <c r="L169" s="12">
        <f>L165</f>
        <v>9330</v>
      </c>
      <c r="M169" s="12">
        <f>M165</f>
        <v>9330</v>
      </c>
      <c r="N169" s="12">
        <f>N165</f>
        <v>8290</v>
      </c>
      <c r="O169" s="12">
        <f>O165</f>
        <v>8026</v>
      </c>
      <c r="P169" s="12">
        <f>P165</f>
        <v>7725</v>
      </c>
      <c r="Q169" s="12">
        <f>Q165</f>
        <v>7625</v>
      </c>
      <c r="R169" s="12">
        <f>R165</f>
        <v>7625</v>
      </c>
      <c r="S169" s="12">
        <f>S165</f>
        <v>5990</v>
      </c>
      <c r="T169" s="12">
        <f>T165</f>
        <v>5954</v>
      </c>
      <c r="U169" s="12">
        <f>U165</f>
        <v>5790</v>
      </c>
      <c r="V169" s="12">
        <f>V165</f>
        <v>5695</v>
      </c>
      <c r="W169" s="12">
        <f>W165</f>
        <v>5695</v>
      </c>
      <c r="X169" s="12">
        <f>X165</f>
        <v>5547</v>
      </c>
      <c r="Y169" s="12">
        <f>Y165</f>
        <v>4394</v>
      </c>
      <c r="Z169" s="12">
        <f>Z165</f>
        <v>4371</v>
      </c>
      <c r="AA169" s="12">
        <f>AA165</f>
        <v>4257</v>
      </c>
      <c r="AB169" s="12">
        <f>AB165</f>
        <v>4257</v>
      </c>
      <c r="AC169" s="12">
        <f>AC165</f>
        <v>4277</v>
      </c>
      <c r="AD169" s="12">
        <f>AD165</f>
        <v>4336</v>
      </c>
      <c r="AE169" s="12">
        <f>AE165</f>
        <v>4283</v>
      </c>
      <c r="AF169" s="12">
        <f>AF165</f>
        <v>4225</v>
      </c>
      <c r="AG169" s="12">
        <f>AG165</f>
        <v>4225</v>
      </c>
      <c r="AH169" s="12">
        <f>AH165</f>
        <v>4151</v>
      </c>
      <c r="AI169" s="12">
        <f>AI165</f>
        <v>4085</v>
      </c>
      <c r="AJ169" s="12">
        <f>AJ165</f>
        <v>4085</v>
      </c>
      <c r="AK169" s="12">
        <f>AK165</f>
        <v>4085</v>
      </c>
      <c r="AL169" s="12" t="n"/>
      <c r="AM169" s="12">
        <f>AM165</f>
        <v>4085</v>
      </c>
      <c r="AN169" s="12">
        <f>AN165</f>
        <v>4085</v>
      </c>
      <c r="AO169" s="12">
        <f>AO165</f>
        <v>4085</v>
      </c>
      <c r="AP169" s="12">
        <f>AP165</f>
        <v>4085</v>
      </c>
      <c r="AQ169" s="12" t="n"/>
      <c r="AR169" s="12">
        <f>AR165</f>
        <v>4085</v>
      </c>
      <c r="AS169" s="12">
        <f>AS165</f>
        <v>4085</v>
      </c>
      <c r="AT169" s="12">
        <f>AT165</f>
        <v>4085</v>
      </c>
      <c r="AU169" s="12">
        <f>AU165</f>
        <v>4085</v>
      </c>
      <c r="AV169" s="12" t="n"/>
      <c r="AW169" s="12">
        <f>AW165</f>
        <v>4085</v>
      </c>
      <c r="AX169" s="12">
        <f>AX165</f>
        <v>4085</v>
      </c>
      <c r="AY169" s="12">
        <f>AY165</f>
        <v>4085</v>
      </c>
      <c r="AZ169" s="12">
        <f>AZ165</f>
        <v>4085</v>
      </c>
      <c r="BA169" s="12" t="n"/>
      <c r="BB169" s="12">
        <f>BB165</f>
        <v>4085</v>
      </c>
      <c r="BC169" s="12">
        <f>BC165</f>
        <v>4085</v>
      </c>
      <c r="BD169" s="12">
        <f>BD165</f>
        <v>4085</v>
      </c>
      <c r="BE169" s="12">
        <f>BE165</f>
        <v>4085</v>
      </c>
      <c r="BF169" s="12" t="n"/>
      <c r="BG169" s="12" t="n"/>
      <c r="BH169" s="12" t="n"/>
      <c r="BI169" s="12" t="n"/>
      <c r="BJ169" s="12" t="n"/>
      <c r="BK169" s="12" t="n"/>
      <c r="BL169" s="12" t="n"/>
      <c r="BM169" s="12" t="n"/>
      <c r="BN169" s="12" t="n"/>
      <c r="BO169" s="12" t="n"/>
      <c r="BP169" s="12" t="n"/>
      <c r="BQ169" s="12" t="n"/>
      <c r="BR169" s="12" t="n"/>
      <c r="BS169" s="12" t="n"/>
      <c r="BT169" s="12" t="n"/>
      <c r="BU169" s="12" t="n"/>
      <c r="BV169" s="12" t="n"/>
      <c r="BW169" s="12" t="n"/>
      <c r="BX169" s="12" t="n"/>
      <c r="BY169" s="12" t="n"/>
      <c r="BZ169" s="12" t="n"/>
      <c r="CA169" s="12" t="n"/>
      <c r="CB169" s="12" t="n"/>
      <c r="CC169" s="12" t="n"/>
      <c r="CD169" s="12" t="n"/>
      <c r="CE169" s="12" t="n"/>
      <c r="CF169" s="12" t="n"/>
      <c r="CG169" s="12" t="n"/>
      <c r="CH169" s="12" t="n"/>
      <c r="CI169" s="12" t="n"/>
      <c r="CJ169" s="12" t="n"/>
      <c r="CK169" s="12" t="n"/>
      <c r="CL169" s="12" t="n"/>
      <c r="CM169" s="12" t="n"/>
      <c r="CN169" s="12" t="n"/>
      <c r="CO169" s="12" t="n"/>
      <c r="CP169" s="12" t="n"/>
      <c r="CQ169" s="12" t="n"/>
      <c r="CR169" s="12" t="n"/>
      <c r="CS169" s="12" t="n"/>
      <c r="CT169" s="12" t="n"/>
      <c r="CU169" s="12" t="n"/>
      <c r="CV169" s="12" t="n"/>
      <c r="CW169" s="12" t="n"/>
      <c r="CX169" s="12" t="n"/>
      <c r="CY169" s="12" t="n"/>
    </row>
    <row r="170" hidden="1" outlineLevel="1">
      <c r="C170" s="57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  <c r="AJ170" s="12" t="n"/>
      <c r="AK170" s="12" t="n"/>
      <c r="AL170" s="12" t="n"/>
      <c r="AM170" s="12" t="n"/>
      <c r="AN170" s="12" t="n"/>
      <c r="AO170" s="12" t="n"/>
      <c r="AP170" s="12" t="n"/>
      <c r="AQ170" s="12" t="n"/>
      <c r="AR170" s="12" t="n"/>
      <c r="AS170" s="12" t="n"/>
      <c r="AT170" s="12" t="n"/>
      <c r="AU170" s="12" t="n"/>
      <c r="AV170" s="12" t="n"/>
      <c r="AW170" s="12" t="n"/>
      <c r="AX170" s="12" t="n"/>
      <c r="AY170" s="12" t="n"/>
      <c r="AZ170" s="12" t="n"/>
      <c r="BA170" s="12" t="n"/>
      <c r="BB170" s="12" t="n"/>
      <c r="BC170" s="12" t="n"/>
      <c r="BD170" s="12" t="n"/>
      <c r="BE170" s="12" t="n"/>
      <c r="BF170" s="12" t="n"/>
      <c r="BG170" s="12" t="n"/>
      <c r="BH170" s="12" t="n"/>
      <c r="BI170" s="12" t="n"/>
      <c r="BJ170" s="12" t="n"/>
      <c r="BK170" s="12" t="n"/>
      <c r="BL170" s="12" t="n"/>
      <c r="BM170" s="12" t="n"/>
      <c r="BN170" s="12" t="n"/>
      <c r="BO170" s="12" t="n"/>
      <c r="BP170" s="12" t="n"/>
      <c r="BQ170" s="12" t="n"/>
      <c r="BR170" s="12" t="n"/>
      <c r="BS170" s="12" t="n"/>
      <c r="BT170" s="12" t="n"/>
      <c r="BU170" s="12" t="n"/>
      <c r="BV170" s="12" t="n"/>
      <c r="BW170" s="12" t="n"/>
      <c r="BX170" s="12" t="n"/>
      <c r="BY170" s="12" t="n"/>
      <c r="BZ170" s="12" t="n"/>
      <c r="CA170" s="12" t="n"/>
      <c r="CB170" s="12" t="n"/>
      <c r="CC170" s="12" t="n"/>
      <c r="CD170" s="12" t="n"/>
      <c r="CE170" s="12" t="n"/>
      <c r="CF170" s="12" t="n"/>
      <c r="CG170" s="12" t="n"/>
      <c r="CH170" s="12" t="n"/>
      <c r="CI170" s="12" t="n"/>
      <c r="CJ170" s="12" t="n"/>
      <c r="CK170" s="12" t="n"/>
      <c r="CL170" s="12" t="n"/>
      <c r="CM170" s="12" t="n"/>
      <c r="CN170" s="12" t="n"/>
      <c r="CO170" s="12" t="n"/>
      <c r="CP170" s="12" t="n"/>
      <c r="CQ170" s="12" t="n"/>
      <c r="CR170" s="12" t="n"/>
      <c r="CS170" s="12" t="n"/>
      <c r="CT170" s="12" t="n"/>
      <c r="CU170" s="12" t="n"/>
      <c r="CV170" s="12" t="n"/>
      <c r="CW170" s="12" t="n"/>
      <c r="CX170" s="12" t="n"/>
      <c r="CY170" s="12" t="n"/>
    </row>
    <row r="171" hidden="1" outlineLevel="1">
      <c r="C171" s="57" t="inlineStr">
        <is>
          <t>Definir % do D&amp;A No PPE and Intagibles</t>
        </is>
      </c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 t="n"/>
      <c r="AK171" s="12" t="n"/>
      <c r="AL171" s="12" t="n"/>
      <c r="AM171" s="12" t="n"/>
      <c r="AN171" s="12" t="n"/>
      <c r="AO171" s="12" t="n"/>
      <c r="AP171" s="12" t="n"/>
      <c r="AQ171" s="12" t="n"/>
      <c r="AR171" s="12" t="n"/>
      <c r="AS171" s="12" t="n"/>
      <c r="AT171" s="12" t="n"/>
      <c r="AU171" s="12" t="n"/>
      <c r="AV171" s="12" t="n"/>
      <c r="AW171" s="12" t="n"/>
      <c r="AX171" s="12" t="n"/>
      <c r="AY171" s="12" t="n"/>
      <c r="AZ171" s="12" t="n"/>
      <c r="BA171" s="12" t="n"/>
      <c r="BB171" s="12" t="n"/>
      <c r="BC171" s="12" t="n"/>
      <c r="BD171" s="12" t="n"/>
      <c r="BE171" s="12" t="n"/>
      <c r="BF171" s="12" t="n"/>
      <c r="BG171" s="12" t="n"/>
      <c r="BH171" s="12" t="n"/>
      <c r="BI171" s="12" t="n"/>
      <c r="BJ171" s="12" t="n"/>
      <c r="BK171" s="12" t="n"/>
      <c r="BL171" s="12" t="n"/>
      <c r="BM171" s="12" t="n"/>
      <c r="BN171" s="12" t="n"/>
      <c r="BO171" s="12" t="n"/>
      <c r="BP171" s="12" t="n"/>
      <c r="BQ171" s="12" t="n"/>
      <c r="BR171" s="12" t="n"/>
      <c r="BS171" s="12" t="n"/>
      <c r="BT171" s="12" t="n"/>
      <c r="BU171" s="12" t="n"/>
      <c r="BV171" s="12" t="n"/>
      <c r="BW171" s="12" t="n"/>
      <c r="BX171" s="12" t="n"/>
      <c r="BY171" s="12" t="n"/>
      <c r="BZ171" s="12" t="n"/>
      <c r="CA171" s="12" t="n"/>
      <c r="CB171" s="12" t="n"/>
      <c r="CC171" s="12" t="n"/>
      <c r="CD171" s="12" t="n"/>
      <c r="CE171" s="12" t="n"/>
      <c r="CF171" s="12" t="n"/>
      <c r="CG171" s="12" t="n"/>
      <c r="CH171" s="12" t="n"/>
      <c r="CI171" s="12" t="n"/>
      <c r="CJ171" s="12" t="n"/>
      <c r="CK171" s="12" t="n"/>
      <c r="CL171" s="12" t="n"/>
      <c r="CM171" s="12" t="n"/>
      <c r="CN171" s="12" t="n"/>
      <c r="CO171" s="12" t="n"/>
      <c r="CP171" s="12" t="n"/>
      <c r="CQ171" s="12" t="n"/>
      <c r="CR171" s="12" t="n"/>
      <c r="CS171" s="12" t="n"/>
      <c r="CT171" s="12" t="n"/>
      <c r="CU171" s="12" t="n"/>
      <c r="CV171" s="12" t="n"/>
      <c r="CW171" s="12" t="n"/>
      <c r="CX171" s="12" t="n"/>
      <c r="CY171" s="12" t="n"/>
    </row>
    <row r="172" hidden="1" outlineLevel="1">
      <c r="C172" s="57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 t="n"/>
      <c r="AK172" s="12" t="n"/>
      <c r="AL172" s="12" t="n"/>
      <c r="AM172" s="12" t="n"/>
      <c r="AN172" s="12" t="n"/>
      <c r="AO172" s="12" t="n"/>
      <c r="AP172" s="12" t="n"/>
      <c r="AQ172" s="12" t="n"/>
      <c r="AR172" s="12" t="n"/>
      <c r="AS172" s="12" t="n"/>
      <c r="AT172" s="12" t="n"/>
      <c r="AU172" s="12" t="n"/>
      <c r="AV172" s="12" t="n"/>
      <c r="AW172" s="12" t="n"/>
      <c r="AX172" s="12" t="n"/>
      <c r="AY172" s="12" t="n"/>
      <c r="AZ172" s="12" t="n"/>
      <c r="BA172" s="12" t="n"/>
      <c r="BB172" s="12" t="n"/>
      <c r="BC172" s="12" t="n"/>
      <c r="BD172" s="12" t="n"/>
      <c r="BE172" s="12" t="n"/>
      <c r="BF172" s="12" t="n"/>
      <c r="BG172" s="12" t="n"/>
      <c r="BH172" s="12" t="n"/>
      <c r="BI172" s="12" t="n"/>
      <c r="BJ172" s="12" t="n"/>
      <c r="BK172" s="12" t="n"/>
      <c r="BL172" s="12" t="n"/>
      <c r="BM172" s="12" t="n"/>
      <c r="BN172" s="12" t="n"/>
      <c r="BO172" s="12" t="n"/>
      <c r="BP172" s="12" t="n"/>
      <c r="BQ172" s="12" t="n"/>
      <c r="BR172" s="12" t="n"/>
      <c r="BS172" s="12" t="n"/>
      <c r="BT172" s="12" t="n"/>
      <c r="BU172" s="12" t="n"/>
      <c r="BV172" s="12" t="n"/>
      <c r="BW172" s="12" t="n"/>
      <c r="BX172" s="12" t="n"/>
      <c r="BY172" s="12" t="n"/>
      <c r="BZ172" s="12" t="n"/>
      <c r="CA172" s="12" t="n"/>
      <c r="CB172" s="12" t="n"/>
      <c r="CC172" s="12" t="n"/>
      <c r="CD172" s="12" t="n"/>
      <c r="CE172" s="12" t="n"/>
      <c r="CF172" s="12" t="n"/>
      <c r="CG172" s="12" t="n"/>
      <c r="CH172" s="12" t="n"/>
      <c r="CI172" s="12" t="n"/>
      <c r="CJ172" s="12" t="n"/>
      <c r="CK172" s="12" t="n"/>
      <c r="CL172" s="12" t="n"/>
      <c r="CM172" s="12" t="n"/>
      <c r="CN172" s="12" t="n"/>
      <c r="CO172" s="12" t="n"/>
      <c r="CP172" s="12" t="n"/>
      <c r="CQ172" s="12" t="n"/>
      <c r="CR172" s="12" t="n"/>
      <c r="CS172" s="12" t="n"/>
      <c r="CT172" s="12" t="n"/>
      <c r="CU172" s="12" t="n"/>
      <c r="CV172" s="12" t="n"/>
      <c r="CW172" s="12" t="n"/>
      <c r="CX172" s="12" t="n"/>
      <c r="CY172" s="12" t="n"/>
    </row>
    <row r="173" hidden="1" outlineLevel="1">
      <c r="C173" s="57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  <c r="AK173" s="12" t="n"/>
      <c r="AL173" s="12" t="n"/>
      <c r="AM173" s="12" t="n"/>
      <c r="AN173" s="12" t="n"/>
      <c r="AO173" s="12" t="n"/>
      <c r="AP173" s="12" t="n"/>
      <c r="AQ173" s="12" t="n"/>
      <c r="AR173" s="12" t="n"/>
      <c r="AS173" s="12" t="n"/>
      <c r="AT173" s="12" t="n"/>
      <c r="AU173" s="12" t="n"/>
      <c r="AV173" s="12" t="n"/>
      <c r="AW173" s="12" t="n"/>
      <c r="AX173" s="12" t="n"/>
      <c r="AY173" s="12" t="n"/>
      <c r="AZ173" s="12" t="n"/>
      <c r="BA173" s="12" t="n"/>
      <c r="BB173" s="12" t="n"/>
      <c r="BC173" s="12" t="n"/>
      <c r="BD173" s="12" t="n"/>
      <c r="BE173" s="12" t="n"/>
      <c r="BF173" s="12" t="n"/>
      <c r="BG173" s="12" t="n"/>
      <c r="BH173" s="12" t="n"/>
      <c r="BI173" s="12" t="n"/>
      <c r="BJ173" s="12" t="n"/>
      <c r="BK173" s="12" t="n"/>
      <c r="BL173" s="12" t="n"/>
      <c r="BM173" s="12" t="n"/>
      <c r="BN173" s="12" t="n"/>
      <c r="BO173" s="12" t="n"/>
      <c r="BP173" s="12" t="n"/>
      <c r="BQ173" s="12" t="n"/>
      <c r="BR173" s="12" t="n"/>
      <c r="BS173" s="12" t="n"/>
      <c r="BT173" s="12" t="n"/>
      <c r="BU173" s="12" t="n"/>
      <c r="BV173" s="12" t="n"/>
      <c r="BW173" s="12" t="n"/>
      <c r="BX173" s="12" t="n"/>
      <c r="BY173" s="12" t="n"/>
      <c r="BZ173" s="12" t="n"/>
      <c r="CA173" s="12" t="n"/>
      <c r="CB173" s="12" t="n"/>
      <c r="CC173" s="12" t="n"/>
      <c r="CD173" s="12" t="n"/>
      <c r="CE173" s="12" t="n"/>
      <c r="CF173" s="12" t="n"/>
      <c r="CG173" s="12" t="n"/>
      <c r="CH173" s="12" t="n"/>
      <c r="CI173" s="12" t="n"/>
      <c r="CJ173" s="12" t="n"/>
      <c r="CK173" s="12" t="n"/>
      <c r="CL173" s="12" t="n"/>
      <c r="CM173" s="12" t="n"/>
      <c r="CN173" s="12" t="n"/>
      <c r="CO173" s="12" t="n"/>
      <c r="CP173" s="12" t="n"/>
      <c r="CQ173" s="12" t="n"/>
      <c r="CR173" s="12" t="n"/>
      <c r="CS173" s="12" t="n"/>
      <c r="CT173" s="12" t="n"/>
      <c r="CU173" s="12" t="n"/>
      <c r="CV173" s="12" t="n"/>
      <c r="CW173" s="12" t="n"/>
      <c r="CX173" s="12" t="n"/>
      <c r="CY173" s="12" t="n"/>
    </row>
    <row r="174" collapsed="1">
      <c r="C174" s="14" t="inlineStr">
        <is>
          <t>Other non-current assets</t>
        </is>
      </c>
      <c r="D174" s="46" t="n"/>
      <c r="E174" s="46" t="n"/>
      <c r="F174" s="46" t="n"/>
      <c r="G174" s="46" t="n"/>
      <c r="H174" s="12" t="n"/>
      <c r="I174" s="46">
        <f>'Inputs (2)'!D26</f>
        <v>83018</v>
      </c>
      <c r="J174" s="46">
        <f>'Inputs (2)'!E26</f>
        <v>85334</v>
      </c>
      <c r="K174" s="46">
        <f>'Inputs (2)'!F26</f>
        <v>84560</v>
      </c>
      <c r="L174" s="46">
        <f>'Inputs (2)'!G26</f>
        <v>86159</v>
      </c>
      <c r="M174" s="12">
        <f>'Inputs (2)'!H26</f>
        <v>86159</v>
      </c>
      <c r="N174" s="46">
        <f>'Inputs (2)'!I26</f>
        <v>83742</v>
      </c>
      <c r="O174" s="46">
        <f>'Inputs (2)'!J26</f>
        <v>80110</v>
      </c>
      <c r="P174" s="46">
        <f>'Inputs (2)'!K26</f>
        <v>76291</v>
      </c>
      <c r="Q174" s="46">
        <f>'Inputs (2)'!L26</f>
        <v>76426</v>
      </c>
      <c r="R174" s="12">
        <f>'Inputs (2)'!M26</f>
        <v>76426</v>
      </c>
      <c r="S174" s="46">
        <f>'Inputs (2)'!N26</f>
        <v>74744</v>
      </c>
      <c r="T174" s="46">
        <f>'Inputs (2)'!O26</f>
        <v>73139</v>
      </c>
      <c r="U174" s="46">
        <f>'Inputs (2)'!P26</f>
        <v>71025</v>
      </c>
      <c r="V174" s="46">
        <f>'Inputs (2)'!Q26</f>
        <v>73592</v>
      </c>
      <c r="W174" s="12">
        <f>'Inputs (2)'!R26</f>
        <v>73592</v>
      </c>
      <c r="X174" s="46">
        <f>'Inputs (2)'!S26</f>
        <v>75185</v>
      </c>
      <c r="Y174" s="46">
        <f>'Inputs (2)'!T26</f>
        <v>65247</v>
      </c>
      <c r="Z174" s="46">
        <f>'Inputs (2)'!U26</f>
        <v>67433</v>
      </c>
      <c r="AA174" s="46">
        <f>'Inputs (2)'!V26</f>
        <v>65600</v>
      </c>
      <c r="AB174" s="12">
        <f>'Inputs (2)'!W26</f>
        <v>65600</v>
      </c>
      <c r="AC174" s="46">
        <f>'Inputs (2)'!X26</f>
        <v>66619</v>
      </c>
      <c r="AD174" s="46">
        <f>'Inputs (2)'!Y26</f>
        <v>67222</v>
      </c>
      <c r="AE174" s="46">
        <f>'Inputs (2)'!Z26</f>
        <v>68001</v>
      </c>
      <c r="AF174" s="46">
        <f>'Inputs (2)'!AA26</f>
        <v>68827</v>
      </c>
      <c r="AG174" s="12">
        <f>'Inputs (2)'!AB26</f>
        <v>68827</v>
      </c>
      <c r="AH174" s="12">
        <f>'Inputs (2)'!AC26</f>
        <v>67957</v>
      </c>
      <c r="AI174" s="12">
        <f>'Inputs (2)'!AD26</f>
        <v>68007</v>
      </c>
      <c r="AJ174" s="12">
        <f>AI174</f>
        <v>68007</v>
      </c>
      <c r="AK174" s="12">
        <f>AJ174</f>
        <v>68007</v>
      </c>
      <c r="AL174" s="12">
        <f>AK174</f>
        <v>68007</v>
      </c>
      <c r="AM174" s="12">
        <f>AL174</f>
        <v>68007</v>
      </c>
      <c r="AN174" s="12">
        <f>AM174</f>
        <v>68007</v>
      </c>
      <c r="AO174" s="12">
        <f>AN174</f>
        <v>68007</v>
      </c>
      <c r="AP174" s="12">
        <f>AO174</f>
        <v>68007</v>
      </c>
      <c r="AQ174" s="12">
        <f>AP174</f>
        <v>68007</v>
      </c>
      <c r="AR174" s="12">
        <f>AQ174</f>
        <v>68007</v>
      </c>
      <c r="AS174" s="12">
        <f>AR174</f>
        <v>68007</v>
      </c>
      <c r="AT174" s="12">
        <f>AS174</f>
        <v>68007</v>
      </c>
      <c r="AU174" s="12">
        <f>AT174</f>
        <v>68007</v>
      </c>
      <c r="AV174" s="12">
        <f>AU174</f>
        <v>68007</v>
      </c>
      <c r="AW174" s="12">
        <f>AV174</f>
        <v>68007</v>
      </c>
      <c r="AX174" s="12">
        <f>AW174</f>
        <v>68007</v>
      </c>
      <c r="AY174" s="12">
        <f>AX174</f>
        <v>68007</v>
      </c>
      <c r="AZ174" s="12">
        <f>AY174</f>
        <v>68007</v>
      </c>
      <c r="BA174" s="12">
        <f>AZ174</f>
        <v>68007</v>
      </c>
      <c r="BB174" s="12">
        <f>BA174</f>
        <v>68007</v>
      </c>
      <c r="BC174" s="12">
        <f>BB174</f>
        <v>68007</v>
      </c>
      <c r="BD174" s="12">
        <f>BC174</f>
        <v>68007</v>
      </c>
      <c r="BE174" s="12">
        <f>BD174</f>
        <v>68007</v>
      </c>
      <c r="BF174" s="12">
        <f>BE174</f>
        <v>68007</v>
      </c>
      <c r="BG174" s="12" t="n"/>
      <c r="BH174" s="12" t="n"/>
      <c r="BI174" s="12" t="n"/>
      <c r="BJ174" s="12" t="n"/>
      <c r="BK174" s="12" t="n"/>
      <c r="BL174" s="12" t="n"/>
      <c r="BM174" s="12" t="n"/>
      <c r="BN174" s="12" t="n"/>
      <c r="BO174" s="12" t="n"/>
      <c r="BP174" s="12" t="n"/>
      <c r="BQ174" s="12" t="n"/>
      <c r="BR174" s="12" t="n"/>
      <c r="BS174" s="12" t="n"/>
      <c r="BT174" s="12" t="n"/>
      <c r="BU174" s="12" t="n"/>
      <c r="BV174" s="12" t="n"/>
      <c r="BW174" s="12" t="n"/>
      <c r="BX174" s="12" t="n"/>
      <c r="BY174" s="12" t="n"/>
      <c r="BZ174" s="12" t="n"/>
      <c r="CA174" s="12" t="n"/>
      <c r="CB174" s="12" t="n"/>
      <c r="CC174" s="12" t="n"/>
      <c r="CD174" s="12" t="n"/>
      <c r="CE174" s="12" t="n"/>
      <c r="CF174" s="12" t="n"/>
      <c r="CG174" s="12" t="n"/>
      <c r="CH174" s="12" t="n"/>
      <c r="CI174" s="12" t="n"/>
      <c r="CJ174" s="12" t="n"/>
      <c r="CK174" s="12" t="n"/>
      <c r="CL174" s="12" t="n"/>
      <c r="CM174" s="12" t="n"/>
      <c r="CN174" s="12" t="n"/>
      <c r="CO174" s="12" t="n"/>
      <c r="CP174" s="12" t="n"/>
      <c r="CQ174" s="12" t="n"/>
      <c r="CR174" s="12" t="n"/>
      <c r="CS174" s="12" t="n"/>
      <c r="CT174" s="12" t="n"/>
      <c r="CU174" s="12" t="n"/>
      <c r="CV174" s="12" t="n"/>
      <c r="CW174" s="12" t="n"/>
      <c r="CX174" s="12" t="n"/>
      <c r="CY174" s="12" t="n"/>
    </row>
    <row r="175" hidden="1" outlineLevel="1">
      <c r="C175" s="59" t="inlineStr">
        <is>
          <t>%(Var.)</t>
        </is>
      </c>
      <c r="D175" s="12" t="n"/>
      <c r="E175" s="40" t="n"/>
      <c r="F175" s="40" t="n"/>
      <c r="G175" s="40" t="n"/>
      <c r="H175" s="12" t="n"/>
      <c r="I175" s="40" t="str">
        <f>""</f>
        <v/>
      </c>
      <c r="J175" s="40">
        <f>IF(I174=0,"",J174/I174-1)</f>
        <v>0.0278975643836277</v>
      </c>
      <c r="K175" s="40">
        <f>IF(J174=0,"",K174/J174-1)</f>
        <v>-0.00907024163873715</v>
      </c>
      <c r="L175" s="40">
        <f>IF(K174=0,"",L174/K174-1)</f>
        <v>0.0189096499526964</v>
      </c>
      <c r="M175" s="12">
        <f>IF(L174=0,"",M174/L174-1)</f>
        <v>0</v>
      </c>
      <c r="N175" s="40">
        <f>IF(M174=0,"",N174/M174-1)</f>
        <v>-0.0280527861279727</v>
      </c>
      <c r="O175" s="40">
        <f>IF(N174=0,"",O174/N174-1)</f>
        <v>-0.0433713071099329</v>
      </c>
      <c r="P175" s="40">
        <f>IF(O174=0,"",P174/O174-1)</f>
        <v>-0.0476719510672825</v>
      </c>
      <c r="Q175" s="40">
        <f>IF(P174=0,"",Q174/P174-1)</f>
        <v>0.00176954031274978</v>
      </c>
      <c r="R175" s="12">
        <f>IF(Q174=0,"",R174/Q174-1)</f>
        <v>0</v>
      </c>
      <c r="S175" s="40">
        <f>IF(R174=0,"",S174/R174-1)</f>
        <v>-0.022008217098893</v>
      </c>
      <c r="T175" s="40">
        <f>IF(S174=0,"",T174/S174-1)</f>
        <v>-0.0214732955153591</v>
      </c>
      <c r="U175" s="40">
        <f>IF(T174=0,"",U174/T174-1)</f>
        <v>-0.0289038679774128</v>
      </c>
      <c r="V175" s="40">
        <f>IF(U174=0,"",V174/U174-1)</f>
        <v>0.0361422034494896</v>
      </c>
      <c r="W175" s="12">
        <f>IF(V174=0,"",W174/V174-1)</f>
        <v>0</v>
      </c>
      <c r="X175" s="40">
        <f>IF(W174=0,"",X174/W174-1)</f>
        <v>0.0216463746059354</v>
      </c>
      <c r="Y175" s="40">
        <f>IF(X174=0,"",Y174/X174-1)</f>
        <v>-0.132180621134535</v>
      </c>
      <c r="Z175" s="40">
        <f>IF(Y174=0,"",Z174/Y174-1)</f>
        <v>0.0335034560975984</v>
      </c>
      <c r="AA175" s="40">
        <f>IF(Z174=0,"",AA174/Z174-1)</f>
        <v>-0.0271825367401717</v>
      </c>
      <c r="AB175" s="12">
        <f>IF(AA174=0,"",AB174/AA174-1)</f>
        <v>0</v>
      </c>
      <c r="AC175" s="40">
        <f>IF(AB174=0,"",AC174/AB174-1)</f>
        <v>0.0155335365853659</v>
      </c>
      <c r="AD175" s="40">
        <f>IF(AC174=0,"",AD174/AC174-1)</f>
        <v>0.00905147180233867</v>
      </c>
      <c r="AE175" s="40">
        <f>IF(AD174=0,"",AE174/AD174-1)</f>
        <v>0.0115884680610514</v>
      </c>
      <c r="AF175" s="55">
        <f>IF(AE174=0,"",AF174/AE174-1)</f>
        <v>0.0121468801929383</v>
      </c>
      <c r="AG175" s="12">
        <f>IF(AF174=0,"",AG174/AF174-1)</f>
        <v>0</v>
      </c>
      <c r="AH175" s="55">
        <f>IF(AG174=0,"",AH174/AG174-1)</f>
        <v>-0.0126403882197393</v>
      </c>
      <c r="AI175" s="55">
        <f>IF(AH174=0,"",AI174/AH174-1)</f>
        <v>0.000735759377253231</v>
      </c>
      <c r="AJ175" s="55">
        <f>IF(AI174=0,"",AJ174/AI174-1)</f>
        <v>0</v>
      </c>
      <c r="AK175" s="55">
        <f>IF(AJ174=0,"",AK174/AJ174-1)</f>
        <v>0</v>
      </c>
      <c r="AL175" s="12">
        <f>IF(AK174=0,"",AL174/AK174-1)</f>
        <v>0</v>
      </c>
      <c r="AM175" s="55">
        <f>IF(AL174=0,"",AM174/AL174-1)</f>
        <v>0</v>
      </c>
      <c r="AN175" s="55">
        <f>IF(AM174=0,"",AN174/AM174-1)</f>
        <v>0</v>
      </c>
      <c r="AO175" s="55">
        <f>IF(AN174=0,"",AO174/AN174-1)</f>
        <v>0</v>
      </c>
      <c r="AP175" s="55">
        <f>IF(AO174=0,"",AP174/AO174-1)</f>
        <v>0</v>
      </c>
      <c r="AQ175" s="12">
        <f>IF(AP174=0,"",AQ174/AP174-1)</f>
        <v>0</v>
      </c>
      <c r="AR175" s="55">
        <f>IF(AQ174=0,"",AR174/AQ174-1)</f>
        <v>0</v>
      </c>
      <c r="AS175" s="55">
        <f>IF(AR174=0,"",AS174/AR174-1)</f>
        <v>0</v>
      </c>
      <c r="AT175" s="55">
        <f>IF(AS174=0,"",AT174/AS174-1)</f>
        <v>0</v>
      </c>
      <c r="AU175" s="55">
        <f>IF(AT174=0,"",AU174/AT174-1)</f>
        <v>0</v>
      </c>
      <c r="AV175" s="12">
        <f>IF(AU174=0,"",AV174/AU174-1)</f>
        <v>0</v>
      </c>
      <c r="AW175" s="55">
        <f>IF(AV174=0,"",AW174/AV174-1)</f>
        <v>0</v>
      </c>
      <c r="AX175" s="55">
        <f>IF(AW174=0,"",AX174/AW174-1)</f>
        <v>0</v>
      </c>
      <c r="AY175" s="55">
        <f>IF(AX174=0,"",AY174/AX174-1)</f>
        <v>0</v>
      </c>
      <c r="AZ175" s="55">
        <f>IF(AY174=0,"",AZ174/AY174-1)</f>
        <v>0</v>
      </c>
      <c r="BA175" s="12">
        <f>IF(AZ174=0,"",BA174/AZ174-1)</f>
        <v>0</v>
      </c>
      <c r="BB175" s="55">
        <f>IF(BA174=0,"",BB174/BA174-1)</f>
        <v>0</v>
      </c>
      <c r="BC175" s="55">
        <f>IF(BB174=0,"",BC174/BB174-1)</f>
        <v>0</v>
      </c>
      <c r="BD175" s="55">
        <f>IF(BC174=0,"",BD174/BC174-1)</f>
        <v>0</v>
      </c>
      <c r="BE175" s="55">
        <f>IF(BD174=0,"",BE174/BD174-1)</f>
        <v>0</v>
      </c>
      <c r="BF175" s="12">
        <f>IF(BE174=0,"",BF174/BE174-1)</f>
        <v>0</v>
      </c>
      <c r="BG175" s="55" t="n"/>
      <c r="BH175" s="55" t="n"/>
      <c r="BI175" s="55" t="n"/>
      <c r="BJ175" s="55" t="n"/>
      <c r="BK175" s="12" t="n"/>
      <c r="BL175" s="55" t="n"/>
      <c r="BM175" s="55" t="n"/>
      <c r="BN175" s="55" t="n"/>
      <c r="BO175" s="55" t="n"/>
      <c r="BP175" s="12" t="n"/>
      <c r="BQ175" s="55" t="n"/>
      <c r="BR175" s="55" t="n"/>
      <c r="BS175" s="55" t="n"/>
      <c r="BT175" s="55" t="n"/>
      <c r="BU175" s="12" t="n"/>
      <c r="BV175" s="55" t="n"/>
      <c r="BW175" s="55" t="n"/>
      <c r="BX175" s="55" t="n"/>
      <c r="BY175" s="55" t="n"/>
      <c r="BZ175" s="12" t="n"/>
      <c r="CA175" s="55" t="n"/>
      <c r="CB175" s="55" t="n"/>
      <c r="CC175" s="55" t="n"/>
      <c r="CD175" s="55" t="n"/>
      <c r="CE175" s="12" t="n"/>
      <c r="CF175" s="55" t="n"/>
      <c r="CG175" s="55" t="n"/>
      <c r="CH175" s="55" t="n"/>
      <c r="CI175" s="55" t="n"/>
      <c r="CJ175" s="12" t="n"/>
      <c r="CK175" s="55" t="n"/>
      <c r="CL175" s="55" t="n"/>
      <c r="CM175" s="55" t="n"/>
      <c r="CN175" s="55" t="n"/>
      <c r="CO175" s="12" t="n"/>
      <c r="CP175" s="55" t="n"/>
      <c r="CQ175" s="55" t="n"/>
      <c r="CR175" s="55" t="n"/>
      <c r="CS175" s="55" t="n"/>
      <c r="CT175" s="12" t="n"/>
      <c r="CU175" s="55" t="n"/>
      <c r="CV175" s="55" t="n"/>
      <c r="CW175" s="55" t="n"/>
      <c r="CX175" s="55" t="n"/>
      <c r="CY175" s="12" t="n"/>
    </row>
    <row r="176" hidden="1" outlineLevel="1">
      <c r="C176" s="57" t="n"/>
      <c r="D176" s="12" t="n"/>
      <c r="E176" s="40" t="n"/>
      <c r="F176" s="40" t="n"/>
      <c r="G176" s="40" t="n"/>
      <c r="H176" s="12" t="n"/>
      <c r="I176" s="40" t="n"/>
      <c r="J176" s="40" t="n"/>
      <c r="K176" s="40" t="n"/>
      <c r="L176" s="40" t="n"/>
      <c r="M176" s="12" t="n"/>
      <c r="N176" s="40" t="n"/>
      <c r="O176" s="40" t="n"/>
      <c r="P176" s="40" t="n"/>
      <c r="Q176" s="40" t="n"/>
      <c r="R176" s="12" t="n"/>
      <c r="S176" s="40" t="n"/>
      <c r="T176" s="40" t="n"/>
      <c r="U176" s="40" t="n"/>
      <c r="V176" s="40" t="n"/>
      <c r="W176" s="12" t="n"/>
      <c r="X176" s="40" t="n"/>
      <c r="Y176" s="40" t="n"/>
      <c r="Z176" s="40" t="n"/>
      <c r="AA176" s="40" t="n"/>
      <c r="AB176" s="12" t="n"/>
      <c r="AC176" s="40" t="n"/>
      <c r="AD176" s="40" t="n"/>
      <c r="AE176" s="40" t="n"/>
      <c r="AF176" s="55" t="n"/>
      <c r="AG176" s="12" t="n"/>
      <c r="AH176" s="55" t="n"/>
      <c r="AI176" s="55" t="n"/>
      <c r="AJ176" s="55" t="n"/>
      <c r="AK176" s="55" t="n"/>
      <c r="AL176" s="12" t="n"/>
      <c r="AM176" s="55" t="n"/>
      <c r="AN176" s="55" t="n"/>
      <c r="AO176" s="55" t="n"/>
      <c r="AP176" s="55" t="n"/>
      <c r="AQ176" s="12" t="n"/>
      <c r="AR176" s="55" t="n"/>
      <c r="AS176" s="55" t="n"/>
      <c r="AT176" s="55" t="n"/>
      <c r="AU176" s="55" t="n"/>
      <c r="AV176" s="12" t="n"/>
      <c r="AW176" s="55" t="n"/>
      <c r="AX176" s="55" t="n"/>
      <c r="AY176" s="55" t="n"/>
      <c r="AZ176" s="55" t="n"/>
      <c r="BA176" s="12" t="n"/>
      <c r="BB176" s="55" t="n"/>
      <c r="BC176" s="55" t="n"/>
      <c r="BD176" s="55" t="n"/>
      <c r="BE176" s="55" t="n"/>
      <c r="BF176" s="12" t="n"/>
      <c r="BG176" s="55" t="n"/>
      <c r="BH176" s="55" t="n"/>
      <c r="BI176" s="55" t="n"/>
      <c r="BJ176" s="55" t="n"/>
      <c r="BK176" s="12" t="n"/>
      <c r="BL176" s="55" t="n"/>
      <c r="BM176" s="55" t="n"/>
      <c r="BN176" s="55" t="n"/>
      <c r="BO176" s="55" t="n"/>
      <c r="BP176" s="12" t="n"/>
      <c r="BQ176" s="55" t="n"/>
      <c r="BR176" s="55" t="n"/>
      <c r="BS176" s="55" t="n"/>
      <c r="BT176" s="55" t="n"/>
      <c r="BU176" s="12" t="n"/>
      <c r="BV176" s="55" t="n"/>
      <c r="BW176" s="55" t="n"/>
      <c r="BX176" s="55" t="n"/>
      <c r="BY176" s="55" t="n"/>
      <c r="BZ176" s="12" t="n"/>
      <c r="CA176" s="55" t="n"/>
      <c r="CB176" s="55" t="n"/>
      <c r="CC176" s="55" t="n"/>
      <c r="CD176" s="55" t="n"/>
      <c r="CE176" s="12" t="n"/>
      <c r="CF176" s="55" t="n"/>
      <c r="CG176" s="55" t="n"/>
      <c r="CH176" s="55" t="n"/>
      <c r="CI176" s="55" t="n"/>
      <c r="CJ176" s="12" t="n"/>
      <c r="CK176" s="55" t="n"/>
      <c r="CL176" s="55" t="n"/>
      <c r="CM176" s="55" t="n"/>
      <c r="CN176" s="55" t="n"/>
      <c r="CO176" s="12" t="n"/>
      <c r="CP176" s="55" t="n"/>
      <c r="CQ176" s="55" t="n"/>
      <c r="CR176" s="55" t="n"/>
      <c r="CS176" s="55" t="n"/>
      <c r="CT176" s="12" t="n"/>
      <c r="CU176" s="55" t="n"/>
      <c r="CV176" s="55" t="n"/>
      <c r="CW176" s="55" t="n"/>
      <c r="CX176" s="55" t="n"/>
      <c r="CY176" s="12" t="n"/>
    </row>
    <row r="177" hidden="1" outlineLevel="1">
      <c r="C177" s="60" t="inlineStr">
        <is>
          <t>Outros Créditos - LP</t>
        </is>
      </c>
      <c r="D177" s="11" t="n"/>
      <c r="E177" s="11" t="n"/>
      <c r="F177" s="11" t="n"/>
      <c r="G177" s="11" t="n"/>
      <c r="H177" s="12" t="n"/>
      <c r="I177" s="11" t="n"/>
      <c r="J177" s="11" t="n"/>
      <c r="K177" s="11" t="n"/>
      <c r="L177" s="11" t="n"/>
      <c r="M177" s="12" t="n"/>
      <c r="N177" s="11" t="n"/>
      <c r="O177" s="11" t="n"/>
      <c r="P177" s="11" t="n"/>
      <c r="Q177" s="11" t="n"/>
      <c r="R177" s="12" t="n"/>
      <c r="S177" s="11" t="n"/>
      <c r="T177" s="11" t="n"/>
      <c r="U177" s="11" t="n"/>
      <c r="V177" s="11" t="n"/>
      <c r="W177" s="12" t="n"/>
      <c r="X177" s="11" t="n"/>
      <c r="Y177" s="11" t="n"/>
      <c r="Z177" s="11" t="n"/>
      <c r="AA177" s="11" t="n"/>
      <c r="AB177" s="12" t="n"/>
      <c r="AC177" s="11" t="n"/>
      <c r="AD177" s="11" t="n"/>
      <c r="AE177" s="11" t="n"/>
      <c r="AF177" s="11" t="n"/>
      <c r="AG177" s="12" t="n"/>
      <c r="AH177" s="12" t="n"/>
      <c r="AI177" s="12" t="n"/>
      <c r="AJ177" s="12" t="n"/>
      <c r="AK177" s="12" t="n"/>
      <c r="AL177" s="12" t="n"/>
      <c r="AM177" s="12" t="n"/>
      <c r="AN177" s="12" t="n"/>
      <c r="AO177" s="12" t="n"/>
      <c r="AP177" s="12" t="n"/>
      <c r="AQ177" s="12" t="n"/>
      <c r="AR177" s="12" t="n"/>
      <c r="AS177" s="12" t="n"/>
      <c r="AT177" s="12" t="n"/>
      <c r="AU177" s="12" t="n"/>
      <c r="AV177" s="12" t="n"/>
      <c r="AW177" s="12" t="n"/>
      <c r="AX177" s="12" t="n"/>
      <c r="AY177" s="12" t="n"/>
      <c r="AZ177" s="12" t="n"/>
      <c r="BA177" s="12" t="n"/>
      <c r="BB177" s="12" t="n"/>
      <c r="BC177" s="12" t="n"/>
      <c r="BD177" s="12" t="n"/>
      <c r="BE177" s="12" t="n"/>
      <c r="BF177" s="12" t="n"/>
      <c r="BG177" s="12" t="n"/>
      <c r="BH177" s="12" t="n"/>
      <c r="BI177" s="12" t="n"/>
      <c r="BJ177" s="12" t="n"/>
      <c r="BK177" s="12" t="n"/>
      <c r="BL177" s="12" t="n"/>
      <c r="BM177" s="12" t="n"/>
      <c r="BN177" s="12" t="n"/>
      <c r="BO177" s="12" t="n"/>
      <c r="BP177" s="12" t="n"/>
      <c r="BQ177" s="12" t="n"/>
      <c r="BR177" s="12" t="n"/>
      <c r="BS177" s="12" t="n"/>
      <c r="BT177" s="12" t="n"/>
      <c r="BU177" s="12" t="n"/>
      <c r="BV177" s="12" t="n"/>
      <c r="BW177" s="12" t="n"/>
      <c r="BX177" s="12" t="n"/>
      <c r="BY177" s="12" t="n"/>
      <c r="BZ177" s="12" t="n"/>
      <c r="CA177" s="12" t="n"/>
      <c r="CB177" s="12" t="n"/>
      <c r="CC177" s="12" t="n"/>
      <c r="CD177" s="12" t="n"/>
      <c r="CE177" s="12" t="n"/>
      <c r="CF177" s="12" t="n"/>
      <c r="CG177" s="12" t="n"/>
      <c r="CH177" s="12" t="n"/>
      <c r="CI177" s="12" t="n"/>
      <c r="CJ177" s="12" t="n"/>
      <c r="CK177" s="12" t="n"/>
      <c r="CL177" s="12" t="n"/>
      <c r="CM177" s="12" t="n"/>
      <c r="CN177" s="12" t="n"/>
      <c r="CO177" s="12" t="n"/>
      <c r="CP177" s="12" t="n"/>
      <c r="CQ177" s="12" t="n"/>
      <c r="CR177" s="12" t="n"/>
      <c r="CS177" s="12" t="n"/>
      <c r="CT177" s="12" t="n"/>
      <c r="CU177" s="12" t="n"/>
      <c r="CV177" s="12" t="n"/>
      <c r="CW177" s="12" t="n"/>
      <c r="CX177" s="12" t="n"/>
      <c r="CY177" s="12" t="n"/>
    </row>
    <row r="178" hidden="1" outlineLevel="1">
      <c r="C178" s="60" t="inlineStr">
        <is>
          <t xml:space="preserve">Impostos e Contribuições a Recuperar </t>
        </is>
      </c>
      <c r="D178" s="11" t="n"/>
      <c r="E178" s="11" t="n"/>
      <c r="F178" s="11" t="n"/>
      <c r="G178" s="11" t="n"/>
      <c r="H178" s="12" t="n"/>
      <c r="I178" s="11" t="n"/>
      <c r="J178" s="11" t="n"/>
      <c r="K178" s="11" t="n"/>
      <c r="L178" s="11" t="n"/>
      <c r="M178" s="12" t="n"/>
      <c r="N178" s="11" t="n"/>
      <c r="O178" s="11" t="n"/>
      <c r="P178" s="11" t="n"/>
      <c r="Q178" s="11" t="n"/>
      <c r="R178" s="12" t="n"/>
      <c r="S178" s="11" t="n"/>
      <c r="T178" s="11" t="n"/>
      <c r="U178" s="11" t="n"/>
      <c r="V178" s="11" t="n"/>
      <c r="W178" s="12" t="n"/>
      <c r="X178" s="11" t="n"/>
      <c r="Y178" s="11" t="n"/>
      <c r="Z178" s="11" t="n"/>
      <c r="AA178" s="11" t="n"/>
      <c r="AB178" s="12" t="n"/>
      <c r="AC178" s="11" t="n"/>
      <c r="AD178" s="11" t="n"/>
      <c r="AE178" s="11" t="n"/>
      <c r="AF178" s="11" t="n"/>
      <c r="AG178" s="12" t="n"/>
      <c r="AH178" s="12" t="n"/>
      <c r="AI178" s="12" t="n"/>
      <c r="AJ178" s="12" t="n"/>
      <c r="AK178" s="12" t="n"/>
      <c r="AL178" s="12" t="n"/>
      <c r="AM178" s="12" t="n"/>
      <c r="AN178" s="12" t="n"/>
      <c r="AO178" s="12" t="n"/>
      <c r="AP178" s="12" t="n"/>
      <c r="AQ178" s="12" t="n"/>
      <c r="AR178" s="12" t="n"/>
      <c r="AS178" s="12" t="n"/>
      <c r="AT178" s="12" t="n"/>
      <c r="AU178" s="12" t="n"/>
      <c r="AV178" s="12" t="n"/>
      <c r="AW178" s="12" t="n"/>
      <c r="AX178" s="12" t="n"/>
      <c r="AY178" s="12" t="n"/>
      <c r="AZ178" s="12" t="n"/>
      <c r="BA178" s="12" t="n"/>
      <c r="BB178" s="12" t="n"/>
      <c r="BC178" s="12" t="n"/>
      <c r="BD178" s="12" t="n"/>
      <c r="BE178" s="12" t="n"/>
      <c r="BF178" s="12" t="n"/>
      <c r="BG178" s="12" t="n"/>
      <c r="BH178" s="12" t="n"/>
      <c r="BI178" s="12" t="n"/>
      <c r="BJ178" s="12" t="n"/>
      <c r="BK178" s="12" t="n"/>
      <c r="BL178" s="12" t="n"/>
      <c r="BM178" s="12" t="n"/>
      <c r="BN178" s="12" t="n"/>
      <c r="BO178" s="12" t="n"/>
      <c r="BP178" s="12" t="n"/>
      <c r="BQ178" s="12" t="n"/>
      <c r="BR178" s="12" t="n"/>
      <c r="BS178" s="12" t="n"/>
      <c r="BT178" s="12" t="n"/>
      <c r="BU178" s="12" t="n"/>
      <c r="BV178" s="12" t="n"/>
      <c r="BW178" s="12" t="n"/>
      <c r="BX178" s="12" t="n"/>
      <c r="BY178" s="12" t="n"/>
      <c r="BZ178" s="12" t="n"/>
      <c r="CA178" s="12" t="n"/>
      <c r="CB178" s="12" t="n"/>
      <c r="CC178" s="12" t="n"/>
      <c r="CD178" s="12" t="n"/>
      <c r="CE178" s="12" t="n"/>
      <c r="CF178" s="12" t="n"/>
      <c r="CG178" s="12" t="n"/>
      <c r="CH178" s="12" t="n"/>
      <c r="CI178" s="12" t="n"/>
      <c r="CJ178" s="12" t="n"/>
      <c r="CK178" s="12" t="n"/>
      <c r="CL178" s="12" t="n"/>
      <c r="CM178" s="12" t="n"/>
      <c r="CN178" s="12" t="n"/>
      <c r="CO178" s="12" t="n"/>
      <c r="CP178" s="12" t="n"/>
      <c r="CQ178" s="12" t="n"/>
      <c r="CR178" s="12" t="n"/>
      <c r="CS178" s="12" t="n"/>
      <c r="CT178" s="12" t="n"/>
      <c r="CU178" s="12" t="n"/>
      <c r="CV178" s="12" t="n"/>
      <c r="CW178" s="12" t="n"/>
      <c r="CX178" s="12" t="n"/>
      <c r="CY178" s="12" t="n"/>
    </row>
    <row r="179" hidden="1" outlineLevel="1">
      <c r="C179" s="60" t="inlineStr">
        <is>
          <t xml:space="preserve">Imposto de Renda e Contribuição Social Diferidos </t>
        </is>
      </c>
      <c r="D179" s="11" t="n"/>
      <c r="E179" s="11" t="n"/>
      <c r="F179" s="11" t="n"/>
      <c r="G179" s="11" t="n"/>
      <c r="H179" s="12" t="n"/>
      <c r="I179" s="11" t="n"/>
      <c r="J179" s="11" t="n"/>
      <c r="K179" s="11" t="n"/>
      <c r="L179" s="11" t="n"/>
      <c r="M179" s="12" t="n"/>
      <c r="N179" s="11" t="n"/>
      <c r="O179" s="11" t="n"/>
      <c r="P179" s="11" t="n"/>
      <c r="Q179" s="11" t="n"/>
      <c r="R179" s="12" t="n"/>
      <c r="S179" s="11" t="n"/>
      <c r="T179" s="11" t="n"/>
      <c r="U179" s="11" t="n"/>
      <c r="V179" s="11" t="n"/>
      <c r="W179" s="12" t="n"/>
      <c r="X179" s="11" t="n"/>
      <c r="Y179" s="11" t="n"/>
      <c r="Z179" s="11" t="n"/>
      <c r="AA179" s="11" t="n"/>
      <c r="AB179" s="12" t="n"/>
      <c r="AC179" s="11" t="n"/>
      <c r="AD179" s="11" t="n"/>
      <c r="AE179" s="11" t="n"/>
      <c r="AF179" s="11" t="n"/>
      <c r="AG179" s="12" t="n"/>
      <c r="AH179" s="12" t="n"/>
      <c r="AI179" s="12" t="n"/>
      <c r="AJ179" s="12" t="n"/>
      <c r="AK179" s="12" t="n"/>
      <c r="AL179" s="12" t="n"/>
      <c r="AM179" s="12" t="n"/>
      <c r="AN179" s="12" t="n"/>
      <c r="AO179" s="12" t="n"/>
      <c r="AP179" s="12" t="n"/>
      <c r="AQ179" s="12" t="n"/>
      <c r="AR179" s="12" t="n"/>
      <c r="AS179" s="12" t="n"/>
      <c r="AT179" s="12" t="n"/>
      <c r="AU179" s="12" t="n"/>
      <c r="AV179" s="12" t="n"/>
      <c r="AW179" s="12" t="n"/>
      <c r="AX179" s="12" t="n"/>
      <c r="AY179" s="12" t="n"/>
      <c r="AZ179" s="12" t="n"/>
      <c r="BA179" s="12" t="n"/>
      <c r="BB179" s="12" t="n"/>
      <c r="BC179" s="12" t="n"/>
      <c r="BD179" s="12" t="n"/>
      <c r="BE179" s="12" t="n"/>
      <c r="BF179" s="12" t="n"/>
      <c r="BG179" s="12" t="n"/>
      <c r="BH179" s="12" t="n"/>
      <c r="BI179" s="12" t="n"/>
      <c r="BJ179" s="12" t="n"/>
      <c r="BK179" s="12" t="n"/>
      <c r="BL179" s="12" t="n"/>
      <c r="BM179" s="12" t="n"/>
      <c r="BN179" s="12" t="n"/>
      <c r="BO179" s="12" t="n"/>
      <c r="BP179" s="12" t="n"/>
      <c r="BQ179" s="12" t="n"/>
      <c r="BR179" s="12" t="n"/>
      <c r="BS179" s="12" t="n"/>
      <c r="BT179" s="12" t="n"/>
      <c r="BU179" s="12" t="n"/>
      <c r="BV179" s="12" t="n"/>
      <c r="BW179" s="12" t="n"/>
      <c r="BX179" s="12" t="n"/>
      <c r="BY179" s="12" t="n"/>
      <c r="BZ179" s="12" t="n"/>
      <c r="CA179" s="12" t="n"/>
      <c r="CB179" s="12" t="n"/>
      <c r="CC179" s="12" t="n"/>
      <c r="CD179" s="12" t="n"/>
      <c r="CE179" s="12" t="n"/>
      <c r="CF179" s="12" t="n"/>
      <c r="CG179" s="12" t="n"/>
      <c r="CH179" s="12" t="n"/>
      <c r="CI179" s="12" t="n"/>
      <c r="CJ179" s="12" t="n"/>
      <c r="CK179" s="12" t="n"/>
      <c r="CL179" s="12" t="n"/>
      <c r="CM179" s="12" t="n"/>
      <c r="CN179" s="12" t="n"/>
      <c r="CO179" s="12" t="n"/>
      <c r="CP179" s="12" t="n"/>
      <c r="CQ179" s="12" t="n"/>
      <c r="CR179" s="12" t="n"/>
      <c r="CS179" s="12" t="n"/>
      <c r="CT179" s="12" t="n"/>
      <c r="CU179" s="12" t="n"/>
      <c r="CV179" s="12" t="n"/>
      <c r="CW179" s="12" t="n"/>
      <c r="CX179" s="12" t="n"/>
      <c r="CY179" s="12" t="n"/>
    </row>
    <row r="180" hidden="1" outlineLevel="1">
      <c r="C180" s="60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  <c r="AJ180" s="12" t="n"/>
      <c r="AK180" s="12" t="n"/>
      <c r="AL180" s="12" t="n"/>
      <c r="AM180" s="12" t="n"/>
      <c r="AN180" s="12" t="n"/>
      <c r="AO180" s="12" t="n"/>
      <c r="AP180" s="12" t="n"/>
      <c r="AQ180" s="12" t="n"/>
      <c r="AR180" s="12" t="n"/>
      <c r="AS180" s="12" t="n"/>
      <c r="AT180" s="12" t="n"/>
      <c r="AU180" s="12" t="n"/>
      <c r="AV180" s="12" t="n"/>
      <c r="AW180" s="12" t="n"/>
      <c r="AX180" s="12" t="n"/>
      <c r="AY180" s="12" t="n"/>
      <c r="AZ180" s="12" t="n"/>
      <c r="BA180" s="12" t="n"/>
      <c r="BB180" s="12" t="n"/>
      <c r="BC180" s="12" t="n"/>
      <c r="BD180" s="12" t="n"/>
      <c r="BE180" s="12" t="n"/>
      <c r="BF180" s="12" t="n"/>
      <c r="BG180" s="12" t="n"/>
      <c r="BH180" s="12" t="n"/>
      <c r="BI180" s="12" t="n"/>
      <c r="BJ180" s="12" t="n"/>
      <c r="BK180" s="12" t="n"/>
      <c r="BL180" s="12" t="n"/>
      <c r="BM180" s="12" t="n"/>
      <c r="BN180" s="12" t="n"/>
      <c r="BO180" s="12" t="n"/>
      <c r="BP180" s="12" t="n"/>
      <c r="BQ180" s="12" t="n"/>
      <c r="BR180" s="12" t="n"/>
      <c r="BS180" s="12" t="n"/>
      <c r="BT180" s="12" t="n"/>
      <c r="BU180" s="12" t="n"/>
      <c r="BV180" s="12" t="n"/>
      <c r="BW180" s="12" t="n"/>
      <c r="BX180" s="12" t="n"/>
      <c r="BY180" s="12" t="n"/>
      <c r="BZ180" s="12" t="n"/>
      <c r="CA180" s="12" t="n"/>
      <c r="CB180" s="12" t="n"/>
      <c r="CC180" s="12" t="n"/>
      <c r="CD180" s="12" t="n"/>
      <c r="CE180" s="12" t="n"/>
      <c r="CF180" s="12" t="n"/>
      <c r="CG180" s="12" t="n"/>
      <c r="CH180" s="12" t="n"/>
      <c r="CI180" s="12" t="n"/>
      <c r="CJ180" s="12" t="n"/>
      <c r="CK180" s="12" t="n"/>
      <c r="CL180" s="12" t="n"/>
      <c r="CM180" s="12" t="n"/>
      <c r="CN180" s="12" t="n"/>
      <c r="CO180" s="12" t="n"/>
      <c r="CP180" s="12" t="n"/>
      <c r="CQ180" s="12" t="n"/>
      <c r="CR180" s="12" t="n"/>
      <c r="CS180" s="12" t="n"/>
      <c r="CT180" s="12" t="n"/>
      <c r="CU180" s="12" t="n"/>
      <c r="CV180" s="12" t="n"/>
      <c r="CW180" s="12" t="n"/>
      <c r="CX180" s="12" t="n"/>
      <c r="CY180" s="12" t="n"/>
    </row>
    <row r="181" hidden="1" outlineLevel="1">
      <c r="C181" s="57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12" t="n"/>
      <c r="AY181" s="12" t="n"/>
      <c r="AZ181" s="12" t="n"/>
      <c r="BA181" s="12" t="n"/>
      <c r="BB181" s="12" t="n"/>
      <c r="BC181" s="12" t="n"/>
      <c r="BD181" s="12" t="n"/>
      <c r="BE181" s="12" t="n"/>
      <c r="BF181" s="12" t="n"/>
      <c r="BG181" s="12" t="n"/>
      <c r="BH181" s="12" t="n"/>
      <c r="BI181" s="12" t="n"/>
      <c r="BJ181" s="12" t="n"/>
      <c r="BK181" s="12" t="n"/>
      <c r="BL181" s="12" t="n"/>
      <c r="BM181" s="12" t="n"/>
      <c r="BN181" s="12" t="n"/>
      <c r="BO181" s="12" t="n"/>
      <c r="BP181" s="12" t="n"/>
      <c r="BQ181" s="12" t="n"/>
      <c r="BR181" s="12" t="n"/>
      <c r="BS181" s="12" t="n"/>
      <c r="BT181" s="12" t="n"/>
      <c r="BU181" s="12" t="n"/>
      <c r="BV181" s="12" t="n"/>
      <c r="BW181" s="12" t="n"/>
      <c r="BX181" s="12" t="n"/>
      <c r="BY181" s="12" t="n"/>
      <c r="BZ181" s="12" t="n"/>
      <c r="CA181" s="12" t="n"/>
      <c r="CB181" s="12" t="n"/>
      <c r="CC181" s="12" t="n"/>
      <c r="CD181" s="12" t="n"/>
      <c r="CE181" s="12" t="n"/>
      <c r="CF181" s="12" t="n"/>
      <c r="CG181" s="12" t="n"/>
      <c r="CH181" s="12" t="n"/>
      <c r="CI181" s="12" t="n"/>
      <c r="CJ181" s="12" t="n"/>
      <c r="CK181" s="12" t="n"/>
      <c r="CL181" s="12" t="n"/>
      <c r="CM181" s="12" t="n"/>
      <c r="CN181" s="12" t="n"/>
      <c r="CO181" s="12" t="n"/>
      <c r="CP181" s="12" t="n"/>
      <c r="CQ181" s="12" t="n"/>
      <c r="CR181" s="12" t="n"/>
      <c r="CS181" s="12" t="n"/>
      <c r="CT181" s="12" t="n"/>
      <c r="CU181" s="12" t="n"/>
      <c r="CV181" s="12" t="n"/>
      <c r="CW181" s="12" t="n"/>
      <c r="CX181" s="12" t="n"/>
      <c r="CY181" s="12" t="n"/>
    </row>
    <row r="182" collapsed="1" customFormat="1" s="32">
      <c r="A182" s="30" t="n"/>
      <c r="B182" s="3" t="n"/>
      <c r="C182" s="33" t="inlineStr">
        <is>
          <t>Total Assets</t>
        </is>
      </c>
      <c r="D182" s="35" t="n"/>
      <c r="E182" s="35" t="n"/>
      <c r="F182" s="35" t="n"/>
      <c r="G182" s="35" t="n"/>
      <c r="H182" s="35" t="n"/>
      <c r="I182" s="35">
        <f>SUM(I129,I130,I134,I138,I139,I140,I146,I151,I161,I164,I165,I174)</f>
        <v>245164</v>
      </c>
      <c r="J182" s="35">
        <f>SUM(J129,J130,J134,J138,J139,J140,J146,J151,J161,J164,J165,J174)</f>
        <v>237559</v>
      </c>
      <c r="K182" s="35">
        <f>SUM(K129,K130,K134,K138,K139,K140,K146,K151,K161,K164,K165,K174)</f>
        <v>237133</v>
      </c>
      <c r="L182" s="35">
        <f>SUM(L129,L130,L134,L138,L139,L140,L146,L151,L161,L164,L165,L174)</f>
        <v>198874</v>
      </c>
      <c r="M182" s="35">
        <f>SUM(M129,M130,M134,M138,M139,M140,M146,M151,M161,M164,M165,M174)</f>
        <v>198874</v>
      </c>
      <c r="N182" s="35">
        <f>SUM(N129,N130,N134,N138,N139,N140,N146,N151,N161,N164,N165,N174)</f>
        <v>191961</v>
      </c>
      <c r="O182" s="35">
        <f>SUM(O129,O130,O134,O138,O139,O140,O146,O151,O161,O164,O165,O174)</f>
        <v>185540</v>
      </c>
      <c r="P182" s="35">
        <f>SUM(P129,P130,P134,P138,P139,P140,P146,P151,P161,P164,P165,P174)</f>
        <v>180877</v>
      </c>
      <c r="Q182" s="35">
        <f>SUM(Q129,Q130,Q134,Q138,Q139,Q140,Q146,Q151,Q161,Q164,Q165,Q174)</f>
        <v>187788</v>
      </c>
      <c r="R182" s="35">
        <f>SUM(R129,R130,R134,R138,R139,R140,R146,R151,R161,R164,R165,R174)</f>
        <v>187788</v>
      </c>
      <c r="S182" s="35">
        <f>SUM(S129,S130,S134,S138,S139,S140,S146,S151,S161,S164,S165,S174)</f>
        <v>164472</v>
      </c>
      <c r="T182" s="35">
        <f>SUM(T129,T130,T134,T138,T139,T140,T146,T151,T161,T164,T165,T174)</f>
        <v>163006</v>
      </c>
      <c r="U182" s="35">
        <f>SUM(U129,U130,U134,U138,U139,U140,U146,U151,U161,U164,U165,U174)</f>
        <v>156662</v>
      </c>
      <c r="V182" s="35">
        <f>SUM(V129,V130,V134,V138,V139,V140,V146,V151,V161,V164,V165,V174)</f>
        <v>163045</v>
      </c>
      <c r="W182" s="35">
        <f>SUM(W129,W130,W134,W138,W139,W140,W146,W151,W161,W164,W165,W174)</f>
        <v>163045</v>
      </c>
      <c r="X182" s="35">
        <f>SUM(X129,X130,X134,X138,X139,X140,X146,X151,X161,X164,X165,X174)</f>
        <v>163942</v>
      </c>
      <c r="Y182" s="35">
        <f>SUM(Y129,Y130,Y134,Y138,Y139,Y140,Y146,Y151,Y161,Y164,Y165,Y174)</f>
        <v>123190</v>
      </c>
      <c r="Z182" s="35">
        <f>SUM(Z129,Z130,Z134,Z138,Z139,Z140,Z146,Z151,Z161,Z164,Z165,Z174)</f>
        <v>126698</v>
      </c>
      <c r="AA182" s="35">
        <f>SUM(AA129,AA130,AA134,AA138,AA139,AA140,AA146,AA151,AA161,AA164,AA165,AA174)</f>
        <v>123140</v>
      </c>
      <c r="AB182" s="35">
        <f>SUM(AB129,AB130,AB134,AB138,AB139,AB140,AB146,AB151,AB161,AB164,AB165,AB174)</f>
        <v>123140</v>
      </c>
      <c r="AC182" s="35">
        <f>SUM(AC129,AC130,AC134,AC138,AC139,AC140,AC146,AC151,AC161,AC164,AC165,AC174)</f>
        <v>124123</v>
      </c>
      <c r="AD182" s="35">
        <f>SUM(AD129,AD130,AD134,AD138,AD139,AD140,AD146,AD151,AD161,AD164,AD165,AD174)</f>
        <v>125256</v>
      </c>
      <c r="AE182" s="35">
        <f>SUM(AE129,AE130,AE134,AE138,AE139,AE140,AE146,AE151,AE161,AE164,AE165,AE174)</f>
        <v>128243</v>
      </c>
      <c r="AF182" s="35">
        <f>SUM(AF129,AF130,AF134,AF138,AF139,AF140,AF146,AF151,AF161,AF164,AF165,AF174)</f>
        <v>130169</v>
      </c>
      <c r="AG182" s="35">
        <f>SUM(AG129,AG130,AG134,AG138,AG139,AG140,AG146,AG151,AG161,AG164,AG165,AG174)</f>
        <v>130169</v>
      </c>
      <c r="AH182" s="35">
        <f>SUM(AH129,AH130,AH134,AH138,AH139,AH140,AH146,AH151,AH161,AH164,AH165,AH174)</f>
        <v>128445</v>
      </c>
      <c r="AI182" s="35">
        <f>SUM(AI129,AI130,AI134,AI138,AI139,AI140,AI146,AI151,AI161,AI164,AI165,AI174)</f>
        <v>127672</v>
      </c>
      <c r="AJ182" s="35">
        <f>SUM(AJ129,AJ130,AJ134,AJ138,AJ139,AJ140,AJ146,AJ151,AJ161,AJ164,AJ165,AJ174)</f>
        <v>131712.142810906</v>
      </c>
      <c r="AK182" s="35">
        <f>SUM(AK129,AK130,AK134,AK138,AK139,AK140,AK146,AK151,AK161,AK164,AK165,AK174)</f>
        <v>135239.741610304</v>
      </c>
      <c r="AL182" s="35">
        <f>SUM(AL129,AL130,AL134,AL138,AL139,AL140,AL146,AL151,AL161,AL164,AL165,AL174)</f>
        <v>135239.741610304</v>
      </c>
      <c r="AM182" s="35">
        <f>SUM(AM129,AM130,AM134,AM138,AM139,AM140,AM146,AM151,AM161,AM164,AM165,AM174)</f>
        <v>138114.301109525</v>
      </c>
      <c r="AN182" s="35">
        <f>SUM(AN129,AN130,AN134,AN138,AN139,AN140,AN146,AN151,AN161,AN164,AN165,AN174)</f>
        <v>142078.690603519</v>
      </c>
      <c r="AO182" s="35">
        <f>SUM(AO129,AO130,AO134,AO138,AO139,AO140,AO146,AO151,AO161,AO164,AO165,AO174)</f>
        <v>146615.272880452</v>
      </c>
      <c r="AP182" s="35">
        <f>SUM(AP129,AP130,AP134,AP138,AP139,AP140,AP146,AP151,AP161,AP164,AP165,AP174)</f>
        <v>150844.700895608</v>
      </c>
      <c r="AQ182" s="35">
        <f>SUM(AQ129,AQ130,AQ134,AQ138,AQ139,AQ140,AQ146,AQ151,AQ161,AQ164,AQ165,AQ174)</f>
        <v>150844.700895608</v>
      </c>
      <c r="AR182" s="35">
        <f>SUM(AR129,AR130,AR134,AR138,AR139,AR140,AR146,AR151,AR161,AR164,AR165,AR174)</f>
        <v>154050.637407921</v>
      </c>
      <c r="AS182" s="35">
        <f>SUM(AS129,AS130,AS134,AS138,AS139,AS140,AS146,AS151,AS161,AS164,AS165,AS174)</f>
        <v>158947.509828586</v>
      </c>
      <c r="AT182" s="35">
        <f>SUM(AT129,AT130,AT134,AT138,AT139,AT140,AT146,AT151,AT161,AT164,AT165,AT174)</f>
        <v>164363.979515393</v>
      </c>
      <c r="AU182" s="35">
        <f>SUM(AU129,AU130,AU134,AU138,AU139,AU140,AU146,AU151,AU161,AU164,AU165,AU174)</f>
        <v>169413.721201576</v>
      </c>
      <c r="AV182" s="35">
        <f>SUM(AV129,AV130,AV134,AV138,AV139,AV140,AV146,AV151,AV161,AV164,AV165,AV174)</f>
        <v>169413.721201576</v>
      </c>
      <c r="AW182" s="35">
        <f>SUM(AW129,AW130,AW134,AW138,AW139,AW140,AW146,AW151,AW161,AW164,AW165,AW174)</f>
        <v>173344.883290993</v>
      </c>
      <c r="AX182" s="35">
        <f>SUM(AX129,AX130,AX134,AX138,AX139,AX140,AX146,AX151,AX161,AX164,AX165,AX174)</f>
        <v>178972.555896608</v>
      </c>
      <c r="AY182" s="35">
        <f>SUM(AY129,AY130,AY134,AY138,AY139,AY140,AY146,AY151,AY161,AY164,AY165,AY174)</f>
        <v>185412.488158991</v>
      </c>
      <c r="AZ182" s="35">
        <f>SUM(AZ129,AZ130,AZ134,AZ138,AZ139,AZ140,AZ146,AZ151,AZ161,AZ164,AZ165,AZ174)</f>
        <v>191416.397768372</v>
      </c>
      <c r="BA182" s="35">
        <f>SUM(BA129,BA130,BA134,BA138,BA139,BA140,BA146,BA151,BA161,BA164,BA165,BA174)</f>
        <v>191416.397768372</v>
      </c>
      <c r="BB182" s="35">
        <f>SUM(BB129,BB130,BB134,BB138,BB139,BB140,BB146,BB151,BB161,BB164,BB165,BB174)</f>
        <v>195981.128732772</v>
      </c>
      <c r="BC182" s="35">
        <f>SUM(BC129,BC130,BC134,BC138,BC139,BC140,BC146,BC151,BC161,BC164,BC165,BC174)</f>
        <v>202644.033146795</v>
      </c>
      <c r="BD182" s="35">
        <f>SUM(BD129,BD130,BD134,BD138,BD139,BD140,BD146,BD151,BD161,BD164,BD165,BD174)</f>
        <v>210268.615474883</v>
      </c>
      <c r="BE182" s="35">
        <f>SUM(BE129,BE130,BE134,BE138,BE139,BE140,BE146,BE151,BE161,BE164,BE165,BE174)</f>
        <v>217376.967122388</v>
      </c>
      <c r="BF182" s="35">
        <f>SUM(BF129,BF130,BF134,BF138,BF139,BF140,BF146,BF151,BF161,BF164,BF165,BF174)</f>
        <v>217376.967122388</v>
      </c>
      <c r="BG182" s="35" t="n"/>
      <c r="BH182" s="35" t="n"/>
      <c r="BI182" s="35" t="n"/>
      <c r="BJ182" s="35" t="n"/>
      <c r="BK182" s="35" t="n"/>
      <c r="BL182" s="35" t="n"/>
      <c r="BM182" s="35" t="n"/>
      <c r="BN182" s="35" t="n"/>
      <c r="BO182" s="35" t="n"/>
      <c r="BP182" s="35" t="n"/>
      <c r="BQ182" s="35" t="n"/>
      <c r="BR182" s="35" t="n"/>
      <c r="BS182" s="35" t="n"/>
      <c r="BT182" s="35" t="n"/>
      <c r="BU182" s="35" t="n"/>
      <c r="BV182" s="35" t="n"/>
      <c r="BW182" s="35" t="n"/>
      <c r="BX182" s="35" t="n"/>
      <c r="BY182" s="35" t="n"/>
      <c r="BZ182" s="35" t="n"/>
      <c r="CA182" s="35" t="n"/>
      <c r="CB182" s="35" t="n"/>
      <c r="CC182" s="35" t="n"/>
      <c r="CD182" s="35" t="n"/>
      <c r="CE182" s="35" t="n"/>
      <c r="CF182" s="35" t="n"/>
      <c r="CG182" s="35" t="n"/>
      <c r="CH182" s="35" t="n"/>
      <c r="CI182" s="35" t="n"/>
      <c r="CJ182" s="35" t="n"/>
      <c r="CK182" s="35" t="n"/>
      <c r="CL182" s="35" t="n"/>
      <c r="CM182" s="35" t="n"/>
      <c r="CN182" s="35" t="n"/>
      <c r="CO182" s="35" t="n"/>
      <c r="CP182" s="35" t="n"/>
      <c r="CQ182" s="35" t="n"/>
      <c r="CR182" s="35" t="n"/>
      <c r="CS182" s="35" t="n"/>
      <c r="CT182" s="35" t="n"/>
      <c r="CU182" s="35" t="n"/>
      <c r="CV182" s="35" t="n"/>
      <c r="CW182" s="35" t="n"/>
      <c r="CX182" s="35" t="n"/>
      <c r="CY182" s="35" t="n"/>
    </row>
    <row r="183">
      <c r="C183" s="14" t="inlineStr">
        <is>
          <t>Accounts payable</t>
        </is>
      </c>
      <c r="D183" s="46" t="n"/>
      <c r="E183" s="46" t="n"/>
      <c r="F183" s="46" t="n"/>
      <c r="G183" s="46" t="n"/>
      <c r="H183" s="12" t="n"/>
      <c r="I183" s="46">
        <f>'Inputs (2)'!D28</f>
        <v>0</v>
      </c>
      <c r="J183" s="46">
        <f>'Inputs (2)'!E28</f>
        <v>0</v>
      </c>
      <c r="K183" s="46">
        <f>'Inputs (2)'!F28</f>
        <v>0</v>
      </c>
      <c r="L183" s="46">
        <f>'Inputs (2)'!G28</f>
        <v>0</v>
      </c>
      <c r="M183" s="12">
        <f>'Inputs (2)'!H28</f>
        <v>0</v>
      </c>
      <c r="N183" s="46">
        <f>'Inputs (2)'!I28</f>
        <v>0</v>
      </c>
      <c r="O183" s="46">
        <f>'Inputs (2)'!J28</f>
        <v>0</v>
      </c>
      <c r="P183" s="46">
        <f>'Inputs (2)'!K28</f>
        <v>0</v>
      </c>
      <c r="Q183" s="46">
        <f>'Inputs (2)'!L28</f>
        <v>0</v>
      </c>
      <c r="R183" s="12">
        <f>'Inputs (2)'!M28</f>
        <v>0</v>
      </c>
      <c r="S183" s="46">
        <f>'Inputs (2)'!N28</f>
        <v>0</v>
      </c>
      <c r="T183" s="46">
        <f>'Inputs (2)'!O28</f>
        <v>0</v>
      </c>
      <c r="U183" s="46">
        <f>'Inputs (2)'!P28</f>
        <v>0</v>
      </c>
      <c r="V183" s="46">
        <f>'Inputs (2)'!Q28</f>
        <v>0</v>
      </c>
      <c r="W183" s="12">
        <f>'Inputs (2)'!R28</f>
        <v>0</v>
      </c>
      <c r="X183" s="46">
        <f>'Inputs (2)'!S28</f>
        <v>0</v>
      </c>
      <c r="Y183" s="46">
        <f>'Inputs (2)'!T28</f>
        <v>7707</v>
      </c>
      <c r="Z183" s="46">
        <f>'Inputs (2)'!U28</f>
        <v>7829</v>
      </c>
      <c r="AA183" s="46">
        <f>'Inputs (2)'!V28</f>
        <v>7909</v>
      </c>
      <c r="AB183" s="12">
        <f>'Inputs (2)'!W28</f>
        <v>7909</v>
      </c>
      <c r="AC183" s="46">
        <f>'Inputs (2)'!X28</f>
        <v>8625</v>
      </c>
      <c r="AD183" s="46">
        <f>'Inputs (2)'!Y28</f>
        <v>9495</v>
      </c>
      <c r="AE183" s="46">
        <f>'Inputs (2)'!Z28</f>
        <v>9485</v>
      </c>
      <c r="AF183" s="46">
        <f>'Inputs (2)'!AA28</f>
        <v>10078</v>
      </c>
      <c r="AG183" s="12">
        <f>'Inputs (2)'!AB28</f>
        <v>10078</v>
      </c>
      <c r="AH183" s="12">
        <f>'Inputs (2)'!AC28</f>
        <v>10683</v>
      </c>
      <c r="AI183" s="12">
        <f>'Inputs (2)'!AD28</f>
        <v>10822</v>
      </c>
      <c r="AJ183" s="12">
        <f>(AJ184/(AJ$5-AI$5))*-AJ$39</f>
        <v>11988.5222190969</v>
      </c>
      <c r="AK183" s="12">
        <f>(AK184/(AK$5-AJ$5))*-AK$39</f>
        <v>12516.052627884</v>
      </c>
      <c r="AL183" s="12">
        <f>AK183</f>
        <v>12516.052627884</v>
      </c>
      <c r="AM183" s="12">
        <f>(AM184/(AM$5-AL$5))*-AM$39</f>
        <v>12467.2145100224</v>
      </c>
      <c r="AN183" s="12">
        <f>(AN184/(AN$5-AM$5))*-AN$39</f>
        <v>13282.4404476533</v>
      </c>
      <c r="AO183" s="12">
        <f>(AO184/(AO$5-AN$5))*-AO$39</f>
        <v>14373.6843720508</v>
      </c>
      <c r="AP183" s="12">
        <f>(AP184/(AP$5-AO$5))*-AP$39</f>
        <v>15006.1689647295</v>
      </c>
      <c r="AQ183" s="12">
        <f>AP183</f>
        <v>15006.1689647295</v>
      </c>
      <c r="AR183" s="12">
        <f>(AR184/(AR$5-AQ$5))*-AR$39</f>
        <v>14721.7037585663</v>
      </c>
      <c r="AS183" s="12">
        <f>(AS184/(AS$5-AR$5))*-AS$39</f>
        <v>15858.6203577389</v>
      </c>
      <c r="AT183" s="12">
        <f>(AT184/(AT$5-AS$5))*-AT$39</f>
        <v>17161.515197201</v>
      </c>
      <c r="AU183" s="12">
        <f>(AU184/(AU$5-AT$5))*-AU$39</f>
        <v>17916.6725854039</v>
      </c>
      <c r="AV183" s="12">
        <f>AU183</f>
        <v>17916.6725854039</v>
      </c>
      <c r="AW183" s="12">
        <f>(AW184/(AW$5-AV$5))*-AW$39</f>
        <v>17697.9082586835</v>
      </c>
      <c r="AX183" s="12">
        <f>(AX184/(AX$5-AW$5))*-AX$39</f>
        <v>18855.1670708015</v>
      </c>
      <c r="AY183" s="12">
        <f>(AY184/(AY$5-AX$5))*-AY$39</f>
        <v>20404.2488521655</v>
      </c>
      <c r="AZ183" s="12">
        <f>(AZ184/(AZ$5-AY$5))*-AZ$39</f>
        <v>21302.0961048345</v>
      </c>
      <c r="BA183" s="12">
        <f>AZ183</f>
        <v>21302.0961048345</v>
      </c>
      <c r="BB183" s="12">
        <f>(BB184/(BB$5-BA$5))*-BB$39</f>
        <v>20953.5058841379</v>
      </c>
      <c r="BC183" s="12">
        <f>(BC184/(BC$5-BB$5))*-BC$39</f>
        <v>22323.6468620859</v>
      </c>
      <c r="BD183" s="12">
        <f>(BD184/(BD$5-BC$5))*-BD$39</f>
        <v>24157.6881367035</v>
      </c>
      <c r="BE183" s="12">
        <f>(BE184/(BE$5-BD$5))*-BE$39</f>
        <v>25220.6978108906</v>
      </c>
      <c r="BF183" s="12">
        <f>BE183</f>
        <v>25220.6978108906</v>
      </c>
      <c r="BG183" s="12" t="n"/>
      <c r="BH183" s="12" t="n"/>
      <c r="BI183" s="12" t="n"/>
      <c r="BJ183" s="12" t="n"/>
      <c r="BK183" s="12" t="n"/>
      <c r="BL183" s="12" t="n"/>
      <c r="BM183" s="12" t="n"/>
      <c r="BN183" s="12" t="n"/>
      <c r="BO183" s="12" t="n"/>
      <c r="BP183" s="12" t="n"/>
      <c r="BQ183" s="12" t="n"/>
      <c r="BR183" s="12" t="n"/>
      <c r="BS183" s="12" t="n"/>
      <c r="BT183" s="12" t="n"/>
      <c r="BU183" s="12" t="n"/>
      <c r="BV183" s="12" t="n"/>
      <c r="BW183" s="12" t="n"/>
      <c r="BX183" s="12" t="n"/>
      <c r="BY183" s="12" t="n"/>
      <c r="BZ183" s="12" t="n"/>
      <c r="CA183" s="12" t="n"/>
      <c r="CB183" s="12" t="n"/>
      <c r="CC183" s="12" t="n"/>
      <c r="CD183" s="12" t="n"/>
      <c r="CE183" s="12" t="n"/>
      <c r="CF183" s="12" t="n"/>
      <c r="CG183" s="12" t="n"/>
      <c r="CH183" s="12" t="n"/>
      <c r="CI183" s="12" t="n"/>
      <c r="CJ183" s="12" t="n"/>
      <c r="CK183" s="12" t="n"/>
      <c r="CL183" s="12" t="n"/>
      <c r="CM183" s="12" t="n"/>
      <c r="CN183" s="12" t="n"/>
      <c r="CO183" s="12" t="n"/>
      <c r="CP183" s="12" t="n"/>
      <c r="CQ183" s="12" t="n"/>
      <c r="CR183" s="12" t="n"/>
      <c r="CS183" s="12" t="n"/>
      <c r="CT183" s="12" t="n"/>
      <c r="CU183" s="12" t="n"/>
      <c r="CV183" s="12" t="n"/>
      <c r="CW183" s="12" t="n"/>
      <c r="CX183" s="12" t="n"/>
      <c r="CY183" s="12" t="n"/>
    </row>
    <row r="184" hidden="1" outlineLevel="1">
      <c r="C184" s="57" t="inlineStr">
        <is>
          <t>DPO</t>
        </is>
      </c>
      <c r="D184" s="12" t="n"/>
      <c r="E184" s="12" t="n"/>
      <c r="F184" s="12" t="n"/>
      <c r="G184" s="12" t="n"/>
      <c r="H184" s="12" t="n"/>
      <c r="I184" s="12">
        <f>IFERROR(-(I183/I$39)*(I$5-H$5),"")</f>
        <v>0</v>
      </c>
      <c r="J184" s="12">
        <f>IFERROR(-(J183/J$39)*(J$5-I$5),"")</f>
        <v>0</v>
      </c>
      <c r="K184" s="12">
        <f>IFERROR(-(K183/K$39)*(K$5-J$5),"")</f>
        <v>0</v>
      </c>
      <c r="L184" s="12">
        <f>IFERROR(-(L183/L$39)*(L$5-K$5),"")</f>
        <v>0</v>
      </c>
      <c r="M184" s="12" t="n"/>
      <c r="N184" s="12">
        <f>IFERROR(-(N183/N$39)*(N$5-M$5),"")</f>
        <v>0</v>
      </c>
      <c r="O184" s="12">
        <f>IFERROR(-(O183/O$39)*(O$5-N$5),"")</f>
        <v>0</v>
      </c>
      <c r="P184" s="12">
        <f>IFERROR(-(P183/P$39)*(P$5-O$5),"")</f>
        <v>0</v>
      </c>
      <c r="Q184" s="12">
        <f>IFERROR(-(Q183/Q$39)*(Q$5-P$5),"")</f>
        <v>0</v>
      </c>
      <c r="R184" s="12" t="n"/>
      <c r="S184" s="12">
        <f>IFERROR(-(S183/S$39)*(S$5-R$5),"")</f>
        <v>0</v>
      </c>
      <c r="T184" s="12">
        <f>IFERROR(-(T183/T$39)*(T$5-S$5),"")</f>
        <v>0</v>
      </c>
      <c r="U184" s="12">
        <f>IFERROR(-(U183/U$39)*(U$5-T$5),"")</f>
        <v>0</v>
      </c>
      <c r="V184" s="12">
        <f>IFERROR(-(V183/V$39)*(V$5-U$5),"")</f>
        <v>0</v>
      </c>
      <c r="W184" s="12" t="n"/>
      <c r="X184" s="12">
        <f>IFERROR(-(X183/X$39)*(X$5-W$5),"")</f>
        <v>0</v>
      </c>
      <c r="Y184" s="12">
        <f>IFERROR(-(Y183/Y$39)*(Y$5-X$5),"")</f>
        <v>125.82292787944</v>
      </c>
      <c r="Z184" s="12">
        <f>IFERROR(-(Z183/Z$39)*(Z$5-Y$5),"")</f>
        <v>115.687118535175</v>
      </c>
      <c r="AA184" s="12">
        <f>IFERROR(-(AA183/AA$39)*(AA$5-Z$5),"")</f>
        <v>107.62135778731</v>
      </c>
      <c r="AB184" s="12" t="n"/>
      <c r="AC184" s="12">
        <f>IFERROR(-(AC183/AC$39)*(AC$5-AB$5),"")</f>
        <v>129.482902418682</v>
      </c>
      <c r="AD184" s="12">
        <f>IFERROR(-(AD183/AD$39)*(AD$5-AC$5),"")</f>
        <v>126.211656441718</v>
      </c>
      <c r="AE184" s="12">
        <f>IFERROR(-(AE183/AE$39)*(AE$5-AD$5),"")</f>
        <v>112.42205617109</v>
      </c>
      <c r="AF184" s="11">
        <f>IFERROR(-(AF183/AF$39)*(AF$5-AE$5),"")</f>
        <v>110.866435489657</v>
      </c>
      <c r="AG184" s="12" t="n"/>
      <c r="AH184" s="11">
        <f>IFERROR(-(AH183/AH$39)*(AH$5-AG$5),"")</f>
        <v>121.367079020449</v>
      </c>
      <c r="AI184" s="11">
        <f>IFERROR(-(AI183/AI$39)*(AI$5-AH$5),"")</f>
        <v>113.54802259887</v>
      </c>
      <c r="AJ184" s="11">
        <f>Control!$B$27</f>
        <v>118.983025356744</v>
      </c>
      <c r="AK184" s="11">
        <f>Control!$B$27</f>
        <v>118.983025356744</v>
      </c>
      <c r="AL184" s="12" t="n"/>
      <c r="AM184" s="11">
        <f>Control!$C$27</f>
        <v>118.983025356744</v>
      </c>
      <c r="AN184" s="11">
        <f>Control!$C$27</f>
        <v>118.983025356744</v>
      </c>
      <c r="AO184" s="11">
        <f>Control!$C$27</f>
        <v>118.983025356744</v>
      </c>
      <c r="AP184" s="11">
        <f>Control!$C$27</f>
        <v>118.983025356744</v>
      </c>
      <c r="AQ184" s="12" t="n"/>
      <c r="AR184" s="11">
        <f>Control!$D$27</f>
        <v>118.983025356744</v>
      </c>
      <c r="AS184" s="11">
        <f>Control!$D$27</f>
        <v>118.983025356744</v>
      </c>
      <c r="AT184" s="11">
        <f>Control!$D$27</f>
        <v>118.983025356744</v>
      </c>
      <c r="AU184" s="11">
        <f>Control!$D$27</f>
        <v>118.983025356744</v>
      </c>
      <c r="AV184" s="12" t="n"/>
      <c r="AW184" s="11">
        <f>Control!$E$27</f>
        <v>118.983025356744</v>
      </c>
      <c r="AX184" s="11">
        <f>Control!$E$27</f>
        <v>118.983025356744</v>
      </c>
      <c r="AY184" s="11">
        <f>Control!$E$27</f>
        <v>118.983025356744</v>
      </c>
      <c r="AZ184" s="11">
        <f>Control!$E$27</f>
        <v>118.983025356744</v>
      </c>
      <c r="BA184" s="12" t="n"/>
      <c r="BB184" s="11">
        <f>Control!$F$27</f>
        <v>118.983025356744</v>
      </c>
      <c r="BC184" s="11">
        <f>Control!$F$27</f>
        <v>118.983025356744</v>
      </c>
      <c r="BD184" s="11">
        <f>Control!$F$27</f>
        <v>118.983025356744</v>
      </c>
      <c r="BE184" s="11">
        <f>Control!$F$27</f>
        <v>118.983025356744</v>
      </c>
      <c r="BF184" s="12" t="n"/>
      <c r="BG184" s="11" t="n"/>
      <c r="BH184" s="11" t="n"/>
      <c r="BI184" s="11" t="n"/>
      <c r="BJ184" s="11" t="n"/>
      <c r="BK184" s="12" t="n"/>
      <c r="BL184" s="11" t="n"/>
      <c r="BM184" s="11" t="n"/>
      <c r="BN184" s="11" t="n"/>
      <c r="BO184" s="11" t="n"/>
      <c r="BP184" s="12" t="n"/>
      <c r="BQ184" s="11" t="n"/>
      <c r="BR184" s="11" t="n"/>
      <c r="BS184" s="11" t="n"/>
      <c r="BT184" s="11" t="n"/>
      <c r="BU184" s="12" t="n"/>
      <c r="BV184" s="11" t="n"/>
      <c r="BW184" s="11" t="n"/>
      <c r="BX184" s="11" t="n"/>
      <c r="BY184" s="11" t="n"/>
      <c r="BZ184" s="12" t="n"/>
      <c r="CA184" s="11" t="n"/>
      <c r="CB184" s="11" t="n"/>
      <c r="CC184" s="11" t="n"/>
      <c r="CD184" s="11" t="n"/>
      <c r="CE184" s="12" t="n"/>
      <c r="CF184" s="11" t="n"/>
      <c r="CG184" s="11" t="n"/>
      <c r="CH184" s="11" t="n"/>
      <c r="CI184" s="11" t="n"/>
      <c r="CJ184" s="12" t="n"/>
      <c r="CK184" s="11" t="n"/>
      <c r="CL184" s="11" t="n"/>
      <c r="CM184" s="11" t="n"/>
      <c r="CN184" s="11" t="n"/>
      <c r="CO184" s="12" t="n"/>
      <c r="CP184" s="11" t="n"/>
      <c r="CQ184" s="11" t="n"/>
      <c r="CR184" s="11" t="n"/>
      <c r="CS184" s="11" t="n"/>
      <c r="CT184" s="12" t="n"/>
      <c r="CU184" s="11" t="n"/>
      <c r="CV184" s="11" t="n"/>
      <c r="CW184" s="11" t="n"/>
      <c r="CX184" s="11" t="n"/>
      <c r="CY184" s="12" t="n"/>
    </row>
    <row r="185" hidden="1" outlineLevel="1">
      <c r="C185" s="57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  <c r="AL185" s="12" t="n"/>
      <c r="AM185" s="12" t="n"/>
      <c r="AN185" s="12" t="n"/>
      <c r="AO185" s="12" t="n"/>
      <c r="AP185" s="12" t="n"/>
      <c r="AQ185" s="12" t="n"/>
      <c r="AR185" s="12" t="n"/>
      <c r="AS185" s="12" t="n"/>
      <c r="AT185" s="12" t="n"/>
      <c r="AU185" s="12" t="n"/>
      <c r="AV185" s="12" t="n"/>
      <c r="AW185" s="12" t="n"/>
      <c r="AX185" s="12" t="n"/>
      <c r="AY185" s="12" t="n"/>
      <c r="AZ185" s="12" t="n"/>
      <c r="BA185" s="12" t="n"/>
      <c r="BB185" s="12" t="n"/>
      <c r="BC185" s="12" t="n"/>
      <c r="BD185" s="12" t="n"/>
      <c r="BE185" s="12" t="n"/>
      <c r="BF185" s="12" t="n"/>
      <c r="BG185" s="12" t="n"/>
      <c r="BH185" s="12" t="n"/>
      <c r="BI185" s="12" t="n"/>
      <c r="BJ185" s="12" t="n"/>
      <c r="BK185" s="12" t="n"/>
      <c r="BL185" s="12" t="n"/>
      <c r="BM185" s="12" t="n"/>
      <c r="BN185" s="12" t="n"/>
      <c r="BO185" s="12" t="n"/>
      <c r="BP185" s="12" t="n"/>
      <c r="BQ185" s="12" t="n"/>
      <c r="BR185" s="12" t="n"/>
      <c r="BS185" s="12" t="n"/>
      <c r="BT185" s="12" t="n"/>
      <c r="BU185" s="12" t="n"/>
      <c r="BV185" s="12" t="n"/>
      <c r="BW185" s="12" t="n"/>
      <c r="BX185" s="12" t="n"/>
      <c r="BY185" s="12" t="n"/>
      <c r="BZ185" s="12" t="n"/>
      <c r="CA185" s="12" t="n"/>
      <c r="CB185" s="12" t="n"/>
      <c r="CC185" s="12" t="n"/>
      <c r="CD185" s="12" t="n"/>
      <c r="CE185" s="12" t="n"/>
      <c r="CF185" s="12" t="n"/>
      <c r="CG185" s="12" t="n"/>
      <c r="CH185" s="12" t="n"/>
      <c r="CI185" s="12" t="n"/>
      <c r="CJ185" s="12" t="n"/>
      <c r="CK185" s="12" t="n"/>
      <c r="CL185" s="12" t="n"/>
      <c r="CM185" s="12" t="n"/>
      <c r="CN185" s="12" t="n"/>
      <c r="CO185" s="12" t="n"/>
      <c r="CP185" s="12" t="n"/>
      <c r="CQ185" s="12" t="n"/>
      <c r="CR185" s="12" t="n"/>
      <c r="CS185" s="12" t="n"/>
      <c r="CT185" s="12" t="n"/>
      <c r="CU185" s="12" t="n"/>
      <c r="CV185" s="12" t="n"/>
      <c r="CW185" s="12" t="n"/>
      <c r="CX185" s="12" t="n"/>
      <c r="CY185" s="12" t="n"/>
    </row>
    <row r="186" hidden="1" outlineLevel="1">
      <c r="C186" s="57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  <c r="AL186" s="12" t="n"/>
      <c r="AM186" s="12" t="n"/>
      <c r="AN186" s="12" t="n"/>
      <c r="AO186" s="12" t="n"/>
      <c r="AP186" s="12" t="n"/>
      <c r="AQ186" s="12" t="n"/>
      <c r="AR186" s="12" t="n"/>
      <c r="AS186" s="12" t="n"/>
      <c r="AT186" s="12" t="n"/>
      <c r="AU186" s="12" t="n"/>
      <c r="AV186" s="12" t="n"/>
      <c r="AW186" s="12" t="n"/>
      <c r="AX186" s="12" t="n"/>
      <c r="AY186" s="12" t="n"/>
      <c r="AZ186" s="12" t="n"/>
      <c r="BA186" s="12" t="n"/>
      <c r="BB186" s="12" t="n"/>
      <c r="BC186" s="12" t="n"/>
      <c r="BD186" s="12" t="n"/>
      <c r="BE186" s="12" t="n"/>
      <c r="BF186" s="12" t="n"/>
      <c r="BG186" s="12" t="n"/>
      <c r="BH186" s="12" t="n"/>
      <c r="BI186" s="12" t="n"/>
      <c r="BJ186" s="12" t="n"/>
      <c r="BK186" s="12" t="n"/>
      <c r="BL186" s="12" t="n"/>
      <c r="BM186" s="12" t="n"/>
      <c r="BN186" s="12" t="n"/>
      <c r="BO186" s="12" t="n"/>
      <c r="BP186" s="12" t="n"/>
      <c r="BQ186" s="12" t="n"/>
      <c r="BR186" s="12" t="n"/>
      <c r="BS186" s="12" t="n"/>
      <c r="BT186" s="12" t="n"/>
      <c r="BU186" s="12" t="n"/>
      <c r="BV186" s="12" t="n"/>
      <c r="BW186" s="12" t="n"/>
      <c r="BX186" s="12" t="n"/>
      <c r="BY186" s="12" t="n"/>
      <c r="BZ186" s="12" t="n"/>
      <c r="CA186" s="12" t="n"/>
      <c r="CB186" s="12" t="n"/>
      <c r="CC186" s="12" t="n"/>
      <c r="CD186" s="12" t="n"/>
      <c r="CE186" s="12" t="n"/>
      <c r="CF186" s="12" t="n"/>
      <c r="CG186" s="12" t="n"/>
      <c r="CH186" s="12" t="n"/>
      <c r="CI186" s="12" t="n"/>
      <c r="CJ186" s="12" t="n"/>
      <c r="CK186" s="12" t="n"/>
      <c r="CL186" s="12" t="n"/>
      <c r="CM186" s="12" t="n"/>
      <c r="CN186" s="12" t="n"/>
      <c r="CO186" s="12" t="n"/>
      <c r="CP186" s="12" t="n"/>
      <c r="CQ186" s="12" t="n"/>
      <c r="CR186" s="12" t="n"/>
      <c r="CS186" s="12" t="n"/>
      <c r="CT186" s="12" t="n"/>
      <c r="CU186" s="12" t="n"/>
      <c r="CV186" s="12" t="n"/>
      <c r="CW186" s="12" t="n"/>
      <c r="CX186" s="12" t="n"/>
      <c r="CY186" s="12" t="n"/>
    </row>
    <row r="187" collapsed="1">
      <c r="C187" s="14" t="inlineStr">
        <is>
          <t>Accrued expenses</t>
        </is>
      </c>
      <c r="D187" s="46" t="n"/>
      <c r="E187" s="46" t="n"/>
      <c r="F187" s="46" t="n"/>
      <c r="G187" s="46" t="n"/>
      <c r="H187" s="12" t="n"/>
      <c r="I187" s="46">
        <f>'Inputs (2)'!D29</f>
        <v>0</v>
      </c>
      <c r="J187" s="46">
        <f>'Inputs (2)'!E29</f>
        <v>0</v>
      </c>
      <c r="K187" s="46">
        <f>'Inputs (2)'!F29</f>
        <v>0</v>
      </c>
      <c r="L187" s="46">
        <f>'Inputs (2)'!G29</f>
        <v>0</v>
      </c>
      <c r="M187" s="12">
        <f>'Inputs (2)'!H29</f>
        <v>0</v>
      </c>
      <c r="N187" s="46">
        <f>'Inputs (2)'!I29</f>
        <v>0</v>
      </c>
      <c r="O187" s="46">
        <f>'Inputs (2)'!J29</f>
        <v>0</v>
      </c>
      <c r="P187" s="46">
        <f>'Inputs (2)'!K29</f>
        <v>0</v>
      </c>
      <c r="Q187" s="46">
        <f>'Inputs (2)'!L29</f>
        <v>0</v>
      </c>
      <c r="R187" s="12">
        <f>'Inputs (2)'!M29</f>
        <v>0</v>
      </c>
      <c r="S187" s="46">
        <f>'Inputs (2)'!N29</f>
        <v>0</v>
      </c>
      <c r="T187" s="46">
        <f>'Inputs (2)'!O29</f>
        <v>0</v>
      </c>
      <c r="U187" s="46">
        <f>'Inputs (2)'!P29</f>
        <v>0</v>
      </c>
      <c r="V187" s="46">
        <f>'Inputs (2)'!Q29</f>
        <v>0</v>
      </c>
      <c r="W187" s="12">
        <f>'Inputs (2)'!R29</f>
        <v>0</v>
      </c>
      <c r="X187" s="46">
        <f>'Inputs (2)'!S29</f>
        <v>0</v>
      </c>
      <c r="Y187" s="46">
        <f>'Inputs (2)'!T29</f>
        <v>0</v>
      </c>
      <c r="Z187" s="46">
        <f>'Inputs (2)'!U29</f>
        <v>0</v>
      </c>
      <c r="AA187" s="46">
        <f>'Inputs (2)'!V29</f>
        <v>0</v>
      </c>
      <c r="AB187" s="12">
        <f>'Inputs (2)'!W29</f>
        <v>0</v>
      </c>
      <c r="AC187" s="46">
        <f>'Inputs (2)'!X29</f>
        <v>0</v>
      </c>
      <c r="AD187" s="46">
        <f>'Inputs (2)'!Y29</f>
        <v>0</v>
      </c>
      <c r="AE187" s="46">
        <f>'Inputs (2)'!Z29</f>
        <v>0</v>
      </c>
      <c r="AF187" s="46">
        <f>'Inputs (2)'!AA29</f>
        <v>0</v>
      </c>
      <c r="AG187" s="12">
        <f>'Inputs (2)'!AB29</f>
        <v>0</v>
      </c>
      <c r="AH187" s="12">
        <f>'Inputs (2)'!AC29</f>
        <v>0</v>
      </c>
      <c r="AI187" s="12">
        <f>'Inputs (2)'!AD29</f>
        <v>0</v>
      </c>
      <c r="AJ187" s="12">
        <f>AI187*(1+AJ16)</f>
        <v>0</v>
      </c>
      <c r="AK187" s="12">
        <f>AJ187*(1+AK16)</f>
        <v>0</v>
      </c>
      <c r="AL187" s="12">
        <f>AK187</f>
        <v>0</v>
      </c>
      <c r="AM187" s="12">
        <f>AL187*(1+AM16)</f>
        <v>0</v>
      </c>
      <c r="AN187" s="12">
        <f>AM187*(1+AN16)</f>
        <v>0</v>
      </c>
      <c r="AO187" s="12">
        <f>AN187*(1+AO16)</f>
        <v>0</v>
      </c>
      <c r="AP187" s="12">
        <f>AO187*(1+AP16)</f>
        <v>0</v>
      </c>
      <c r="AQ187" s="12">
        <f>AP187</f>
        <v>0</v>
      </c>
      <c r="AR187" s="12">
        <f>AQ187*(1+AR16)</f>
        <v>0</v>
      </c>
      <c r="AS187" s="12">
        <f>AR187*(1+AS16)</f>
        <v>0</v>
      </c>
      <c r="AT187" s="12">
        <f>AS187*(1+AT16)</f>
        <v>0</v>
      </c>
      <c r="AU187" s="12">
        <f>AT187*(1+AU16)</f>
        <v>0</v>
      </c>
      <c r="AV187" s="12">
        <f>AU187</f>
        <v>0</v>
      </c>
      <c r="AW187" s="12">
        <f>AV187*(1+AW16)</f>
        <v>0</v>
      </c>
      <c r="AX187" s="12">
        <f>AW187*(1+AX16)</f>
        <v>0</v>
      </c>
      <c r="AY187" s="12">
        <f>AX187*(1+AY16)</f>
        <v>0</v>
      </c>
      <c r="AZ187" s="12">
        <f>AY187*(1+AZ16)</f>
        <v>0</v>
      </c>
      <c r="BA187" s="12">
        <f>AZ187</f>
        <v>0</v>
      </c>
      <c r="BB187" s="12">
        <f>BA187*(1+BB16)</f>
        <v>0</v>
      </c>
      <c r="BC187" s="12">
        <f>BB187*(1+BC16)</f>
        <v>0</v>
      </c>
      <c r="BD187" s="12">
        <f>BC187*(1+BD16)</f>
        <v>0</v>
      </c>
      <c r="BE187" s="12">
        <f>BD187*(1+BE16)</f>
        <v>0</v>
      </c>
      <c r="BF187" s="12">
        <f>BE187</f>
        <v>0</v>
      </c>
      <c r="BG187" s="12" t="n"/>
      <c r="BH187" s="12" t="n"/>
      <c r="BI187" s="12" t="n"/>
      <c r="BJ187" s="12" t="n"/>
      <c r="BK187" s="12" t="n"/>
      <c r="BL187" s="12" t="n"/>
      <c r="BM187" s="12" t="n"/>
      <c r="BN187" s="12" t="n"/>
      <c r="BO187" s="12" t="n"/>
      <c r="BP187" s="12" t="n"/>
      <c r="BQ187" s="12" t="n"/>
      <c r="BR187" s="12" t="n"/>
      <c r="BS187" s="12" t="n"/>
      <c r="BT187" s="12" t="n"/>
      <c r="BU187" s="12" t="n"/>
      <c r="BV187" s="12" t="n"/>
      <c r="BW187" s="12" t="n"/>
      <c r="BX187" s="12" t="n"/>
      <c r="BY187" s="12" t="n"/>
      <c r="BZ187" s="12" t="n"/>
      <c r="CA187" s="12" t="n"/>
      <c r="CB187" s="12" t="n"/>
      <c r="CC187" s="12" t="n"/>
      <c r="CD187" s="12" t="n"/>
      <c r="CE187" s="12" t="n"/>
      <c r="CF187" s="12" t="n"/>
      <c r="CG187" s="12" t="n"/>
      <c r="CH187" s="12" t="n"/>
      <c r="CI187" s="12" t="n"/>
      <c r="CJ187" s="12" t="n"/>
      <c r="CK187" s="12" t="n"/>
      <c r="CL187" s="12" t="n"/>
      <c r="CM187" s="12" t="n"/>
      <c r="CN187" s="12" t="n"/>
      <c r="CO187" s="12" t="n"/>
      <c r="CP187" s="12" t="n"/>
      <c r="CQ187" s="12" t="n"/>
      <c r="CR187" s="12" t="n"/>
      <c r="CS187" s="12" t="n"/>
      <c r="CT187" s="12" t="n"/>
      <c r="CU187" s="12" t="n"/>
      <c r="CV187" s="12" t="n"/>
      <c r="CW187" s="12" t="n"/>
      <c r="CX187" s="12" t="n"/>
      <c r="CY187" s="12" t="n"/>
    </row>
    <row r="188" hidden="1" outlineLevel="1">
      <c r="C188" s="59" t="inlineStr">
        <is>
          <t>%(Var.)</t>
        </is>
      </c>
      <c r="D188" s="12" t="n"/>
      <c r="E188" s="40" t="n"/>
      <c r="F188" s="40" t="n"/>
      <c r="G188" s="40" t="n"/>
      <c r="H188" s="12" t="n"/>
      <c r="I188" s="40" t="str">
        <f>""</f>
        <v/>
      </c>
      <c r="J188" s="40" t="str">
        <f>IFERROR(IF(I187=0,"",J187/I187-1),"")</f>
        <v/>
      </c>
      <c r="K188" s="40" t="str">
        <f>IFERROR(IF(J187=0,"",K187/J187-1),"")</f>
        <v/>
      </c>
      <c r="L188" s="40" t="str">
        <f>IFERROR(IF(K187=0,"",L187/K187-1),"")</f>
        <v/>
      </c>
      <c r="M188" s="12" t="str">
        <f>IF(L187=0,"",M187/L187-1)</f>
        <v/>
      </c>
      <c r="N188" s="40" t="str">
        <f>IFERROR(IF(M187=0,"",N187/M187-1),"")</f>
        <v/>
      </c>
      <c r="O188" s="40" t="str">
        <f>IFERROR(IF(N187=0,"",O187/N187-1),"")</f>
        <v/>
      </c>
      <c r="P188" s="40" t="str">
        <f>IFERROR(IF(O187=0,"",P187/O187-1),"")</f>
        <v/>
      </c>
      <c r="Q188" s="40" t="str">
        <f>IFERROR(IF(P187=0,"",Q187/P187-1),"")</f>
        <v/>
      </c>
      <c r="R188" s="12" t="str">
        <f>IF(Q187=0,"",R187/Q187-1)</f>
        <v/>
      </c>
      <c r="S188" s="40" t="str">
        <f>IFERROR(IF(R187=0,"",S187/R187-1),"")</f>
        <v/>
      </c>
      <c r="T188" s="40" t="str">
        <f>IFERROR(IF(S187=0,"",T187/S187-1),"")</f>
        <v/>
      </c>
      <c r="U188" s="40" t="str">
        <f>IFERROR(IF(T187=0,"",U187/T187-1),"")</f>
        <v/>
      </c>
      <c r="V188" s="40" t="str">
        <f>IFERROR(IF(U187=0,"",V187/U187-1),"")</f>
        <v/>
      </c>
      <c r="W188" s="12" t="str">
        <f>IF(V187=0,"",W187/V187-1)</f>
        <v/>
      </c>
      <c r="X188" s="40" t="str">
        <f>IFERROR(IF(W187=0,"",X187/W187-1),"")</f>
        <v/>
      </c>
      <c r="Y188" s="40" t="str">
        <f>IFERROR(IF(X187=0,"",Y187/X187-1),"")</f>
        <v/>
      </c>
      <c r="Z188" s="40" t="str">
        <f>IFERROR(IF(Y187=0,"",Z187/Y187-1),"")</f>
        <v/>
      </c>
      <c r="AA188" s="40" t="str">
        <f>IFERROR(IF(Z187=0,"",AA187/Z187-1),"")</f>
        <v/>
      </c>
      <c r="AB188" s="12" t="str">
        <f>IF(AA187=0,"",AB187/AA187-1)</f>
        <v/>
      </c>
      <c r="AC188" s="40" t="str">
        <f>IFERROR(IF(AB187=0,"",AC187/AB187-1),"")</f>
        <v/>
      </c>
      <c r="AD188" s="40" t="str">
        <f>IFERROR(IF(AC187=0,"",AD187/AC187-1),"")</f>
        <v/>
      </c>
      <c r="AE188" s="40" t="str">
        <f>IFERROR(IF(AD187=0,"",AE187/AD187-1),"")</f>
        <v/>
      </c>
      <c r="AF188" s="55" t="str">
        <f>IFERROR(IF(AE187=0,"",AF187/AE187-1),"")</f>
        <v/>
      </c>
      <c r="AG188" s="12" t="str">
        <f>IF(AF187=0,"",AG187/AF187-1)</f>
        <v/>
      </c>
      <c r="AH188" s="55" t="str">
        <f>IFERROR(IF(AG187=0,"",AH187/AG187-1),"")</f>
        <v/>
      </c>
      <c r="AI188" s="55" t="str">
        <f>IFERROR(IF(AH187=0,"",AI187/AH187-1),"")</f>
        <v/>
      </c>
      <c r="AJ188" s="55" t="str">
        <f>IFERROR(IF(AI187=0,"",AJ187/AI187-1),"")</f>
        <v/>
      </c>
      <c r="AK188" s="55" t="str">
        <f>IF(AJ187=0,"",AK187/AJ187-1)</f>
        <v/>
      </c>
      <c r="AL188" s="12" t="str">
        <f>IF(AK187=0,"",AL187/AK187-1)</f>
        <v/>
      </c>
      <c r="AM188" s="55" t="str">
        <f>IF(AL187=0,"",AM187/AL187-1)</f>
        <v/>
      </c>
      <c r="AN188" s="55" t="str">
        <f>IF(AM187=0,"",AN187/AM187-1)</f>
        <v/>
      </c>
      <c r="AO188" s="55" t="str">
        <f>IF(AN187=0,"",AO187/AN187-1)</f>
        <v/>
      </c>
      <c r="AP188" s="55" t="str">
        <f>IF(AO187=0,"",AP187/AO187-1)</f>
        <v/>
      </c>
      <c r="AQ188" s="12" t="str">
        <f>IF(AP187=0,"",AQ187/AP187-1)</f>
        <v/>
      </c>
      <c r="AR188" s="55" t="str">
        <f>IF(AQ187=0,"",AR187/AQ187-1)</f>
        <v/>
      </c>
      <c r="AS188" s="55" t="str">
        <f>IF(AR187=0,"",AS187/AR187-1)</f>
        <v/>
      </c>
      <c r="AT188" s="55" t="str">
        <f>IF(AS187=0,"",AT187/AS187-1)</f>
        <v/>
      </c>
      <c r="AU188" s="55" t="str">
        <f>IF(AT187=0,"",AU187/AT187-1)</f>
        <v/>
      </c>
      <c r="AV188" s="12" t="str">
        <f>IF(AU187=0,"",AV187/AU187-1)</f>
        <v/>
      </c>
      <c r="AW188" s="55" t="str">
        <f>IF(AV187=0,"",AW187/AV187-1)</f>
        <v/>
      </c>
      <c r="AX188" s="55" t="str">
        <f>IF(AW187=0,"",AX187/AW187-1)</f>
        <v/>
      </c>
      <c r="AY188" s="55" t="str">
        <f>IF(AX187=0,"",AY187/AX187-1)</f>
        <v/>
      </c>
      <c r="AZ188" s="55" t="str">
        <f>IF(AY187=0,"",AZ187/AY187-1)</f>
        <v/>
      </c>
      <c r="BA188" s="12" t="str">
        <f>IF(AZ187=0,"",BA187/AZ187-1)</f>
        <v/>
      </c>
      <c r="BB188" s="55" t="str">
        <f>IF(BA187=0,"",BB187/BA187-1)</f>
        <v/>
      </c>
      <c r="BC188" s="55" t="str">
        <f>IF(BB187=0,"",BC187/BB187-1)</f>
        <v/>
      </c>
      <c r="BD188" s="55" t="str">
        <f>IF(BC187=0,"",BD187/BC187-1)</f>
        <v/>
      </c>
      <c r="BE188" s="55" t="str">
        <f>IF(BD187=0,"",BE187/BD187-1)</f>
        <v/>
      </c>
      <c r="BF188" s="12" t="str">
        <f>IF(BE187=0,"",BF187/BE187-1)</f>
        <v/>
      </c>
      <c r="BG188" s="55" t="n"/>
      <c r="BH188" s="55" t="n"/>
      <c r="BI188" s="55" t="n"/>
      <c r="BJ188" s="55" t="n"/>
      <c r="BK188" s="12" t="n"/>
      <c r="BL188" s="55" t="n"/>
      <c r="BM188" s="55" t="n"/>
      <c r="BN188" s="55" t="n"/>
      <c r="BO188" s="55" t="n"/>
      <c r="BP188" s="12" t="n"/>
      <c r="BQ188" s="55" t="n"/>
      <c r="BR188" s="55" t="n"/>
      <c r="BS188" s="55" t="n"/>
      <c r="BT188" s="55" t="n"/>
      <c r="BU188" s="12" t="n"/>
      <c r="BV188" s="55" t="n"/>
      <c r="BW188" s="55" t="n"/>
      <c r="BX188" s="55" t="n"/>
      <c r="BY188" s="55" t="n"/>
      <c r="BZ188" s="12" t="n"/>
      <c r="CA188" s="55" t="n"/>
      <c r="CB188" s="55" t="n"/>
      <c r="CC188" s="55" t="n"/>
      <c r="CD188" s="55" t="n"/>
      <c r="CE188" s="12" t="n"/>
      <c r="CF188" s="55" t="n"/>
      <c r="CG188" s="55" t="n"/>
      <c r="CH188" s="55" t="n"/>
      <c r="CI188" s="55" t="n"/>
      <c r="CJ188" s="12" t="n"/>
      <c r="CK188" s="55" t="n"/>
      <c r="CL188" s="55" t="n"/>
      <c r="CM188" s="55" t="n"/>
      <c r="CN188" s="55" t="n"/>
      <c r="CO188" s="12" t="n"/>
      <c r="CP188" s="55" t="n"/>
      <c r="CQ188" s="55" t="n"/>
      <c r="CR188" s="55" t="n"/>
      <c r="CS188" s="55" t="n"/>
      <c r="CT188" s="12" t="n"/>
      <c r="CU188" s="55" t="n"/>
      <c r="CV188" s="55" t="n"/>
      <c r="CW188" s="55" t="n"/>
      <c r="CX188" s="55" t="n"/>
      <c r="CY188" s="12" t="n"/>
    </row>
    <row r="189" collapsed="1">
      <c r="C189" s="14" t="inlineStr">
        <is>
          <t>Taxes payable</t>
        </is>
      </c>
      <c r="D189" s="46" t="n"/>
      <c r="E189" s="46" t="n"/>
      <c r="F189" s="46" t="n"/>
      <c r="G189" s="46" t="n"/>
      <c r="H189" s="12" t="n"/>
      <c r="I189" s="46">
        <f>'Inputs (2)'!D30</f>
        <v>0</v>
      </c>
      <c r="J189" s="46">
        <f>'Inputs (2)'!E30</f>
        <v>0</v>
      </c>
      <c r="K189" s="46">
        <f>'Inputs (2)'!F30</f>
        <v>0</v>
      </c>
      <c r="L189" s="46">
        <f>'Inputs (2)'!G30</f>
        <v>0</v>
      </c>
      <c r="M189" s="12">
        <f>'Inputs (2)'!H30</f>
        <v>0</v>
      </c>
      <c r="N189" s="46">
        <f>'Inputs (2)'!I30</f>
        <v>0</v>
      </c>
      <c r="O189" s="46">
        <f>'Inputs (2)'!J30</f>
        <v>0</v>
      </c>
      <c r="P189" s="46">
        <f>'Inputs (2)'!K30</f>
        <v>0</v>
      </c>
      <c r="Q189" s="46">
        <f>'Inputs (2)'!L30</f>
        <v>0</v>
      </c>
      <c r="R189" s="12">
        <f>'Inputs (2)'!M30</f>
        <v>0</v>
      </c>
      <c r="S189" s="46">
        <f>'Inputs (2)'!N30</f>
        <v>0</v>
      </c>
      <c r="T189" s="46">
        <f>'Inputs (2)'!O30</f>
        <v>0</v>
      </c>
      <c r="U189" s="46">
        <f>'Inputs (2)'!P30</f>
        <v>0</v>
      </c>
      <c r="V189" s="46">
        <f>'Inputs (2)'!Q30</f>
        <v>0</v>
      </c>
      <c r="W189" s="12">
        <f>'Inputs (2)'!R30</f>
        <v>0</v>
      </c>
      <c r="X189" s="46">
        <f>'Inputs (2)'!S30</f>
        <v>0</v>
      </c>
      <c r="Y189" s="46">
        <f>'Inputs (2)'!T30</f>
        <v>0</v>
      </c>
      <c r="Z189" s="46">
        <f>'Inputs (2)'!U30</f>
        <v>0</v>
      </c>
      <c r="AA189" s="46">
        <f>'Inputs (2)'!V30</f>
        <v>0</v>
      </c>
      <c r="AB189" s="12">
        <f>'Inputs (2)'!W30</f>
        <v>0</v>
      </c>
      <c r="AC189" s="46">
        <f>'Inputs (2)'!X30</f>
        <v>0</v>
      </c>
      <c r="AD189" s="46">
        <f>'Inputs (2)'!Y30</f>
        <v>0</v>
      </c>
      <c r="AE189" s="46">
        <f>'Inputs (2)'!Z30</f>
        <v>0</v>
      </c>
      <c r="AF189" s="46">
        <f>'Inputs (2)'!AA30</f>
        <v>0</v>
      </c>
      <c r="AG189" s="12">
        <f>'Inputs (2)'!AB30</f>
        <v>0</v>
      </c>
      <c r="AH189" s="12">
        <f>'Inputs (2)'!AC30</f>
        <v>0</v>
      </c>
      <c r="AI189" s="12">
        <f>'Inputs (2)'!AD30</f>
        <v>0</v>
      </c>
      <c r="AJ189" s="12">
        <f>AI189*(1+AJ16)</f>
        <v>0</v>
      </c>
      <c r="AK189" s="12">
        <f>AJ189*(1+AK16)</f>
        <v>0</v>
      </c>
      <c r="AL189" s="12">
        <f>AK189</f>
        <v>0</v>
      </c>
      <c r="AM189" s="12">
        <f>AL189*(1+AM16)</f>
        <v>0</v>
      </c>
      <c r="AN189" s="12">
        <f>AM189*(1+AN16)</f>
        <v>0</v>
      </c>
      <c r="AO189" s="12">
        <f>AN189*(1+AO16)</f>
        <v>0</v>
      </c>
      <c r="AP189" s="12">
        <f>AO189*(1+AP16)</f>
        <v>0</v>
      </c>
      <c r="AQ189" s="12">
        <f>AP189</f>
        <v>0</v>
      </c>
      <c r="AR189" s="12">
        <f>AQ189*(1+AR16)</f>
        <v>0</v>
      </c>
      <c r="AS189" s="12">
        <f>AR189*(1+AS16)</f>
        <v>0</v>
      </c>
      <c r="AT189" s="12">
        <f>AS189*(1+AT16)</f>
        <v>0</v>
      </c>
      <c r="AU189" s="12">
        <f>AT189*(1+AU16)</f>
        <v>0</v>
      </c>
      <c r="AV189" s="12">
        <f>AU189</f>
        <v>0</v>
      </c>
      <c r="AW189" s="12">
        <f>AV189*(1+AW16)</f>
        <v>0</v>
      </c>
      <c r="AX189" s="12">
        <f>AW189*(1+AX16)</f>
        <v>0</v>
      </c>
      <c r="AY189" s="12">
        <f>AX189*(1+AY16)</f>
        <v>0</v>
      </c>
      <c r="AZ189" s="12">
        <f>AY189*(1+AZ16)</f>
        <v>0</v>
      </c>
      <c r="BA189" s="12">
        <f>AZ189</f>
        <v>0</v>
      </c>
      <c r="BB189" s="12">
        <f>BA189*(1+BB16)</f>
        <v>0</v>
      </c>
      <c r="BC189" s="12">
        <f>BB189*(1+BC16)</f>
        <v>0</v>
      </c>
      <c r="BD189" s="12">
        <f>BC189*(1+BD16)</f>
        <v>0</v>
      </c>
      <c r="BE189" s="12">
        <f>BD189*(1+BE16)</f>
        <v>0</v>
      </c>
      <c r="BF189" s="12">
        <f>BE189</f>
        <v>0</v>
      </c>
      <c r="BG189" s="12" t="n"/>
      <c r="BH189" s="12" t="n"/>
      <c r="BI189" s="12" t="n"/>
      <c r="BJ189" s="12" t="n"/>
      <c r="BK189" s="12" t="n"/>
      <c r="BL189" s="12" t="n"/>
      <c r="BM189" s="12" t="n"/>
      <c r="BN189" s="12" t="n"/>
      <c r="BO189" s="12" t="n"/>
      <c r="BP189" s="12" t="n"/>
      <c r="BQ189" s="12" t="n"/>
      <c r="BR189" s="12" t="n"/>
      <c r="BS189" s="12" t="n"/>
      <c r="BT189" s="12" t="n"/>
      <c r="BU189" s="12" t="n"/>
      <c r="BV189" s="12" t="n"/>
      <c r="BW189" s="12" t="n"/>
      <c r="BX189" s="12" t="n"/>
      <c r="BY189" s="12" t="n"/>
      <c r="BZ189" s="12" t="n"/>
      <c r="CA189" s="12" t="n"/>
      <c r="CB189" s="12" t="n"/>
      <c r="CC189" s="12" t="n"/>
      <c r="CD189" s="12" t="n"/>
      <c r="CE189" s="12" t="n"/>
      <c r="CF189" s="12" t="n"/>
      <c r="CG189" s="12" t="n"/>
      <c r="CH189" s="12" t="n"/>
      <c r="CI189" s="12" t="n"/>
      <c r="CJ189" s="12" t="n"/>
      <c r="CK189" s="12" t="n"/>
      <c r="CL189" s="12" t="n"/>
      <c r="CM189" s="12" t="n"/>
      <c r="CN189" s="12" t="n"/>
      <c r="CO189" s="12" t="n"/>
      <c r="CP189" s="12" t="n"/>
      <c r="CQ189" s="12" t="n"/>
      <c r="CR189" s="12" t="n"/>
      <c r="CS189" s="12" t="n"/>
      <c r="CT189" s="12" t="n"/>
      <c r="CU189" s="12" t="n"/>
      <c r="CV189" s="12" t="n"/>
      <c r="CW189" s="12" t="n"/>
      <c r="CX189" s="12" t="n"/>
      <c r="CY189" s="12" t="n"/>
    </row>
    <row r="190">
      <c r="C190" s="14" t="inlineStr">
        <is>
          <t>Other current liabilities (non-debt)</t>
        </is>
      </c>
      <c r="D190" s="46" t="n"/>
      <c r="E190" s="46" t="n"/>
      <c r="F190" s="46" t="n"/>
      <c r="G190" s="46" t="n"/>
      <c r="H190" s="12" t="n"/>
      <c r="I190" s="46">
        <f>'Inputs (2)'!D31</f>
        <v>53220</v>
      </c>
      <c r="J190" s="46">
        <f>'Inputs (2)'!E31</f>
        <v>52352</v>
      </c>
      <c r="K190" s="46">
        <f>'Inputs (2)'!F31</f>
        <v>52222</v>
      </c>
      <c r="L190" s="46">
        <f>'Inputs (2)'!G31</f>
        <v>47598</v>
      </c>
      <c r="M190" s="12">
        <f>'Inputs (2)'!H31</f>
        <v>47598</v>
      </c>
      <c r="N190" s="46">
        <f>'Inputs (2)'!I31</f>
        <v>48363</v>
      </c>
      <c r="O190" s="46">
        <f>'Inputs (2)'!J31</f>
        <v>48944</v>
      </c>
      <c r="P190" s="46">
        <f>'Inputs (2)'!K31</f>
        <v>50375</v>
      </c>
      <c r="Q190" s="46">
        <f>'Inputs (2)'!L31</f>
        <v>53196</v>
      </c>
      <c r="R190" s="12">
        <f>'Inputs (2)'!M31</f>
        <v>53196</v>
      </c>
      <c r="S190" s="46">
        <f>'Inputs (2)'!N31</f>
        <v>45918</v>
      </c>
      <c r="T190" s="46">
        <f>'Inputs (2)'!O31</f>
        <v>46228</v>
      </c>
      <c r="U190" s="46">
        <f>'Inputs (2)'!P31</f>
        <v>46831</v>
      </c>
      <c r="V190" s="46">
        <f>'Inputs (2)'!Q31</f>
        <v>49623</v>
      </c>
      <c r="W190" s="12">
        <f>'Inputs (2)'!R31</f>
        <v>49623</v>
      </c>
      <c r="X190" s="46">
        <f>'Inputs (2)'!S31</f>
        <v>50056</v>
      </c>
      <c r="Y190" s="46">
        <f>'Inputs (2)'!T31</f>
        <v>23343</v>
      </c>
      <c r="Z190" s="46">
        <f>'Inputs (2)'!U31</f>
        <v>24582</v>
      </c>
      <c r="AA190" s="46">
        <f>'Inputs (2)'!V31</f>
        <v>24443</v>
      </c>
      <c r="AB190" s="12">
        <f>'Inputs (2)'!W31</f>
        <v>24443</v>
      </c>
      <c r="AC190" s="46">
        <f>'Inputs (2)'!X31</f>
        <v>24232</v>
      </c>
      <c r="AD190" s="46">
        <f>'Inputs (2)'!Y31</f>
        <v>25082</v>
      </c>
      <c r="AE190" s="46">
        <f>'Inputs (2)'!Z31</f>
        <v>25650</v>
      </c>
      <c r="AF190" s="46">
        <f>'Inputs (2)'!AA31</f>
        <v>27217</v>
      </c>
      <c r="AG190" s="12">
        <f>'Inputs (2)'!AB31</f>
        <v>27217</v>
      </c>
      <c r="AH190" s="12">
        <f>'Inputs (2)'!AC31</f>
        <v>27238</v>
      </c>
      <c r="AI190" s="12">
        <f>'Inputs (2)'!AD31</f>
        <v>27607</v>
      </c>
      <c r="AJ190" s="12">
        <f>AI190</f>
        <v>27607</v>
      </c>
      <c r="AK190" s="12">
        <f>AJ190</f>
        <v>27607</v>
      </c>
      <c r="AL190" s="12">
        <f>AK190</f>
        <v>27607</v>
      </c>
      <c r="AM190" s="12">
        <f>AL190</f>
        <v>27607</v>
      </c>
      <c r="AN190" s="12">
        <f>AM190</f>
        <v>27607</v>
      </c>
      <c r="AO190" s="12">
        <f>AN190</f>
        <v>27607</v>
      </c>
      <c r="AP190" s="12">
        <f>AO190</f>
        <v>27607</v>
      </c>
      <c r="AQ190" s="12">
        <f>AP190</f>
        <v>27607</v>
      </c>
      <c r="AR190" s="12">
        <f>AQ190</f>
        <v>27607</v>
      </c>
      <c r="AS190" s="12">
        <f>AR190</f>
        <v>27607</v>
      </c>
      <c r="AT190" s="12">
        <f>AS190</f>
        <v>27607</v>
      </c>
      <c r="AU190" s="12">
        <f>AT190</f>
        <v>27607</v>
      </c>
      <c r="AV190" s="12">
        <f>AU190</f>
        <v>27607</v>
      </c>
      <c r="AW190" s="12">
        <f>AV190</f>
        <v>27607</v>
      </c>
      <c r="AX190" s="12">
        <f>AW190</f>
        <v>27607</v>
      </c>
      <c r="AY190" s="12">
        <f>AX190</f>
        <v>27607</v>
      </c>
      <c r="AZ190" s="12">
        <f>AY190</f>
        <v>27607</v>
      </c>
      <c r="BA190" s="12">
        <f>AZ190</f>
        <v>27607</v>
      </c>
      <c r="BB190" s="12">
        <f>BA190</f>
        <v>27607</v>
      </c>
      <c r="BC190" s="12">
        <f>BB190</f>
        <v>27607</v>
      </c>
      <c r="BD190" s="12">
        <f>BC190</f>
        <v>27607</v>
      </c>
      <c r="BE190" s="12">
        <f>BD190</f>
        <v>27607</v>
      </c>
      <c r="BF190" s="12">
        <f>BE190</f>
        <v>27607</v>
      </c>
      <c r="BG190" s="12" t="n"/>
      <c r="BH190" s="12" t="n"/>
      <c r="BI190" s="12" t="n"/>
      <c r="BJ190" s="12" t="n"/>
      <c r="BK190" s="12" t="n"/>
      <c r="BL190" s="12" t="n"/>
      <c r="BM190" s="12" t="n"/>
      <c r="BN190" s="12" t="n"/>
      <c r="BO190" s="12" t="n"/>
      <c r="BP190" s="12" t="n"/>
      <c r="BQ190" s="12" t="n"/>
      <c r="BR190" s="12" t="n"/>
      <c r="BS190" s="12" t="n"/>
      <c r="BT190" s="12" t="n"/>
      <c r="BU190" s="12" t="n"/>
      <c r="BV190" s="12" t="n"/>
      <c r="BW190" s="12" t="n"/>
      <c r="BX190" s="12" t="n"/>
      <c r="BY190" s="12" t="n"/>
      <c r="BZ190" s="12" t="n"/>
      <c r="CA190" s="12" t="n"/>
      <c r="CB190" s="12" t="n"/>
      <c r="CC190" s="12" t="n"/>
      <c r="CD190" s="12" t="n"/>
      <c r="CE190" s="12" t="n"/>
      <c r="CF190" s="12" t="n"/>
      <c r="CG190" s="12" t="n"/>
      <c r="CH190" s="12" t="n"/>
      <c r="CI190" s="12" t="n"/>
      <c r="CJ190" s="12" t="n"/>
      <c r="CK190" s="12" t="n"/>
      <c r="CL190" s="12" t="n"/>
      <c r="CM190" s="12" t="n"/>
      <c r="CN190" s="12" t="n"/>
      <c r="CO190" s="12" t="n"/>
      <c r="CP190" s="12" t="n"/>
      <c r="CQ190" s="12" t="n"/>
      <c r="CR190" s="12" t="n"/>
      <c r="CS190" s="12" t="n"/>
      <c r="CT190" s="12" t="n"/>
      <c r="CU190" s="12" t="n"/>
      <c r="CV190" s="12" t="n"/>
      <c r="CW190" s="12" t="n"/>
      <c r="CX190" s="12" t="n"/>
      <c r="CY190" s="12" t="n"/>
    </row>
    <row r="191" hidden="1" outlineLevel="1">
      <c r="C191" s="59" t="inlineStr">
        <is>
          <t>%(Var.)</t>
        </is>
      </c>
      <c r="D191" s="12" t="n"/>
      <c r="E191" s="40" t="n"/>
      <c r="F191" s="40" t="n"/>
      <c r="G191" s="40" t="n"/>
      <c r="H191" s="12" t="n"/>
      <c r="I191" s="40" t="str">
        <f>""</f>
        <v/>
      </c>
      <c r="J191" s="40">
        <f>IFERROR(IF(I190=0,"",J190/I190-1),"")</f>
        <v>-0.0163096580232995</v>
      </c>
      <c r="K191" s="40">
        <f>IFERROR(IF(J190=0,"",K190/J190-1),"")</f>
        <v>-0.00248319070904646</v>
      </c>
      <c r="L191" s="40">
        <f>IFERROR(IF(K190=0,"",L190/K190-1),"")</f>
        <v>-0.0885450576385432</v>
      </c>
      <c r="M191" s="12">
        <f>IF(L190=0,"",M190/L190-1)</f>
        <v>0</v>
      </c>
      <c r="N191" s="40">
        <f>IFERROR(IF(M190=0,"",N190/M190-1),"")</f>
        <v>0.0160721038699105</v>
      </c>
      <c r="O191" s="40">
        <f>IFERROR(IF(N190=0,"",O190/N190-1),"")</f>
        <v>0.0120133159646838</v>
      </c>
      <c r="P191" s="40">
        <f>IFERROR(IF(O190=0,"",P190/O190-1),"")</f>
        <v>0.0292374959136972</v>
      </c>
      <c r="Q191" s="40">
        <f>IFERROR(IF(P190=0,"",Q190/P190-1),"")</f>
        <v>0.0560000000000001</v>
      </c>
      <c r="R191" s="12">
        <f>IF(Q190=0,"",R190/Q190-1)</f>
        <v>0</v>
      </c>
      <c r="S191" s="40">
        <f>IFERROR(IF(R190=0,"",S190/R190-1),"")</f>
        <v>-0.136814798105121</v>
      </c>
      <c r="T191" s="40">
        <f>IFERROR(IF(S190=0,"",T190/S190-1),"")</f>
        <v>0.00675116512043217</v>
      </c>
      <c r="U191" s="40">
        <f>IFERROR(IF(T190=0,"",U190/T190-1),"")</f>
        <v>0.0130440425716016</v>
      </c>
      <c r="V191" s="40">
        <f>IFERROR(IF(U190=0,"",V190/U190-1),"")</f>
        <v>0.0596186286861267</v>
      </c>
      <c r="W191" s="12">
        <f>IF(V190=0,"",W190/V190-1)</f>
        <v>0</v>
      </c>
      <c r="X191" s="40">
        <f>IFERROR(IF(W190=0,"",X190/W190-1),"")</f>
        <v>0.00872579247526351</v>
      </c>
      <c r="Y191" s="40">
        <f>IFERROR(IF(X190=0,"",Y190/X190-1),"")</f>
        <v>-0.533662298225987</v>
      </c>
      <c r="Z191" s="40">
        <f>IFERROR(IF(Y190=0,"",Z190/Y190-1),"")</f>
        <v>0.0530780105384912</v>
      </c>
      <c r="AA191" s="40">
        <f>IFERROR(IF(Z190=0,"",AA190/Z190-1),"")</f>
        <v>-0.00565454397526644</v>
      </c>
      <c r="AB191" s="12">
        <f>IF(AA190=0,"",AB190/AA190-1)</f>
        <v>0</v>
      </c>
      <c r="AC191" s="40">
        <f>IFERROR(IF(AB190=0,"",AC190/AB190-1),"")</f>
        <v>-0.00863232827394345</v>
      </c>
      <c r="AD191" s="40">
        <f>IFERROR(IF(AC190=0,"",AD190/AC190-1),"")</f>
        <v>0.0350775833608452</v>
      </c>
      <c r="AE191" s="40">
        <f>IFERROR(IF(AD190=0,"",AE190/AD190-1),"")</f>
        <v>0.022645722031736</v>
      </c>
      <c r="AF191" s="55">
        <f>IFERROR(IF(AE190=0,"",AF190/AE190-1),"")</f>
        <v>0.0610916179337233</v>
      </c>
      <c r="AG191" s="12">
        <f>IF(AF190=0,"",AG190/AF190-1)</f>
        <v>0</v>
      </c>
      <c r="AH191" s="55">
        <f>IFERROR(IF(AG190=0,"",AH190/AG190-1),"")</f>
        <v>0.000771576588161738</v>
      </c>
      <c r="AI191" s="55">
        <f>IFERROR(IF(AH190=0,"",AI190/AH190-1),"")</f>
        <v>0.0135472501652103</v>
      </c>
      <c r="AJ191" s="55">
        <f>IFERROR(IF(AI190=0,"",AJ190/AI190-1),"")</f>
        <v>0</v>
      </c>
      <c r="AK191" s="55">
        <f>IFERROR(IF(AJ190=0,"",AK190/AJ190-1),"")</f>
        <v>0</v>
      </c>
      <c r="AL191" s="12">
        <f>IFERROR(IF(AK190=0,"",AL190/AK190-1),"")</f>
        <v>0</v>
      </c>
      <c r="AM191" s="55">
        <f>IFERROR(IF(AL190=0,"",AM190/AL190-1),"")</f>
        <v>0</v>
      </c>
      <c r="AN191" s="55">
        <f>IFERROR(IF(AM190=0,"",AN190/AM190-1),"")</f>
        <v>0</v>
      </c>
      <c r="AO191" s="55">
        <f>IFERROR(IF(AN190=0,"",AO190/AN190-1),"")</f>
        <v>0</v>
      </c>
      <c r="AP191" s="55">
        <f>IFERROR(IF(AO190=0,"",AP190/AO190-1),"")</f>
        <v>0</v>
      </c>
      <c r="AQ191" s="12">
        <f>IFERROR(IF(AP190=0,"",AQ190/AP190-1),"")</f>
        <v>0</v>
      </c>
      <c r="AR191" s="55">
        <f>IFERROR(IF(AQ190=0,"",AR190/AQ190-1),"")</f>
        <v>0</v>
      </c>
      <c r="AS191" s="55">
        <f>IFERROR(IF(AR190=0,"",AS190/AR190-1),"")</f>
        <v>0</v>
      </c>
      <c r="AT191" s="55">
        <f>IFERROR(IF(AS190=0,"",AT190/AS190-1),"")</f>
        <v>0</v>
      </c>
      <c r="AU191" s="55">
        <f>IFERROR(IF(AT190=0,"",AU190/AT190-1),"")</f>
        <v>0</v>
      </c>
      <c r="AV191" s="12">
        <f>IFERROR(IF(AU190=0,"",AV190/AU190-1),"")</f>
        <v>0</v>
      </c>
      <c r="AW191" s="55">
        <f>IFERROR(IF(AV190=0,"",AW190/AV190-1),"")</f>
        <v>0</v>
      </c>
      <c r="AX191" s="55">
        <f>IFERROR(IF(AW190=0,"",AX190/AW190-1),"")</f>
        <v>0</v>
      </c>
      <c r="AY191" s="55">
        <f>IFERROR(IF(AX190=0,"",AY190/AX190-1),"")</f>
        <v>0</v>
      </c>
      <c r="AZ191" s="55">
        <f>IFERROR(IF(AY190=0,"",AZ190/AY190-1),"")</f>
        <v>0</v>
      </c>
      <c r="BA191" s="12">
        <f>IFERROR(IF(AZ190=0,"",BA190/AZ190-1),"")</f>
        <v>0</v>
      </c>
      <c r="BB191" s="55">
        <f>IFERROR(IF(BA190=0,"",BB190/BA190-1),"")</f>
        <v>0</v>
      </c>
      <c r="BC191" s="55">
        <f>IFERROR(IF(BB190=0,"",BC190/BB190-1),"")</f>
        <v>0</v>
      </c>
      <c r="BD191" s="55">
        <f>IFERROR(IF(BC190=0,"",BD190/BC190-1),"")</f>
        <v>0</v>
      </c>
      <c r="BE191" s="55">
        <f>IFERROR(IF(BD190=0,"",BE190/BD190-1),"")</f>
        <v>0</v>
      </c>
      <c r="BF191" s="12">
        <f>IFERROR(IF(BE190=0,"",BF190/BE190-1),"")</f>
        <v>0</v>
      </c>
      <c r="BG191" s="55" t="n"/>
      <c r="BH191" s="55" t="n"/>
      <c r="BI191" s="55" t="n"/>
      <c r="BJ191" s="55" t="n"/>
      <c r="BK191" s="12" t="n"/>
      <c r="BL191" s="55" t="n"/>
      <c r="BM191" s="55" t="n"/>
      <c r="BN191" s="55" t="n"/>
      <c r="BO191" s="55" t="n"/>
      <c r="BP191" s="12" t="n"/>
      <c r="BQ191" s="55" t="n"/>
      <c r="BR191" s="55" t="n"/>
      <c r="BS191" s="55" t="n"/>
      <c r="BT191" s="55" t="n"/>
      <c r="BU191" s="12" t="n"/>
      <c r="BV191" s="55" t="n"/>
      <c r="BW191" s="55" t="n"/>
      <c r="BX191" s="55" t="n"/>
      <c r="BY191" s="55" t="n"/>
      <c r="BZ191" s="12" t="n"/>
      <c r="CA191" s="55" t="n"/>
      <c r="CB191" s="55" t="n"/>
      <c r="CC191" s="55" t="n"/>
      <c r="CD191" s="55" t="n"/>
      <c r="CE191" s="12" t="n"/>
      <c r="CF191" s="55" t="n"/>
      <c r="CG191" s="55" t="n"/>
      <c r="CH191" s="55" t="n"/>
      <c r="CI191" s="55" t="n"/>
      <c r="CJ191" s="12" t="n"/>
      <c r="CK191" s="55" t="n"/>
      <c r="CL191" s="55" t="n"/>
      <c r="CM191" s="55" t="n"/>
      <c r="CN191" s="55" t="n"/>
      <c r="CO191" s="12" t="n"/>
      <c r="CP191" s="55" t="n"/>
      <c r="CQ191" s="55" t="n"/>
      <c r="CR191" s="55" t="n"/>
      <c r="CS191" s="55" t="n"/>
      <c r="CT191" s="12" t="n"/>
      <c r="CU191" s="55" t="n"/>
      <c r="CV191" s="55" t="n"/>
      <c r="CW191" s="55" t="n"/>
      <c r="CX191" s="55" t="n"/>
      <c r="CY191" s="12" t="n"/>
    </row>
    <row r="192" hidden="1" outlineLevel="1">
      <c r="C192" s="57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  <c r="AJ192" s="12" t="n"/>
      <c r="AK192" s="12" t="n"/>
      <c r="AL192" s="12" t="n"/>
      <c r="AM192" s="12" t="n"/>
      <c r="AN192" s="12" t="n"/>
      <c r="AO192" s="12" t="n"/>
      <c r="AP192" s="12" t="n"/>
      <c r="AQ192" s="12" t="n"/>
      <c r="AR192" s="12" t="n"/>
      <c r="AS192" s="12" t="n"/>
      <c r="AT192" s="12" t="n"/>
      <c r="AU192" s="12" t="n"/>
      <c r="AV192" s="12" t="n"/>
      <c r="AW192" s="12" t="n"/>
      <c r="AX192" s="12" t="n"/>
      <c r="AY192" s="12" t="n"/>
      <c r="AZ192" s="12" t="n"/>
      <c r="BA192" s="12" t="n"/>
      <c r="BB192" s="12" t="n"/>
      <c r="BC192" s="12" t="n"/>
      <c r="BD192" s="12" t="n"/>
      <c r="BE192" s="12" t="n"/>
      <c r="BF192" s="12" t="n"/>
      <c r="BG192" s="12" t="n"/>
      <c r="BH192" s="12" t="n"/>
      <c r="BI192" s="12" t="n"/>
      <c r="BJ192" s="12" t="n"/>
      <c r="BK192" s="12" t="n"/>
      <c r="BL192" s="12" t="n"/>
      <c r="BM192" s="12" t="n"/>
      <c r="BN192" s="12" t="n"/>
      <c r="BO192" s="12" t="n"/>
      <c r="BP192" s="12" t="n"/>
      <c r="BQ192" s="12" t="n"/>
      <c r="BR192" s="12" t="n"/>
      <c r="BS192" s="12" t="n"/>
      <c r="BT192" s="12" t="n"/>
      <c r="BU192" s="12" t="n"/>
      <c r="BV192" s="12" t="n"/>
      <c r="BW192" s="12" t="n"/>
      <c r="BX192" s="12" t="n"/>
      <c r="BY192" s="12" t="n"/>
      <c r="BZ192" s="12" t="n"/>
      <c r="CA192" s="12" t="n"/>
      <c r="CB192" s="12" t="n"/>
      <c r="CC192" s="12" t="n"/>
      <c r="CD192" s="12" t="n"/>
      <c r="CE192" s="12" t="n"/>
      <c r="CF192" s="12" t="n"/>
      <c r="CG192" s="12" t="n"/>
      <c r="CH192" s="12" t="n"/>
      <c r="CI192" s="12" t="n"/>
      <c r="CJ192" s="12" t="n"/>
      <c r="CK192" s="12" t="n"/>
      <c r="CL192" s="12" t="n"/>
      <c r="CM192" s="12" t="n"/>
      <c r="CN192" s="12" t="n"/>
      <c r="CO192" s="12" t="n"/>
      <c r="CP192" s="12" t="n"/>
      <c r="CQ192" s="12" t="n"/>
      <c r="CR192" s="12" t="n"/>
      <c r="CS192" s="12" t="n"/>
      <c r="CT192" s="12" t="n"/>
      <c r="CU192" s="12" t="n"/>
      <c r="CV192" s="12" t="n"/>
      <c r="CW192" s="12" t="n"/>
      <c r="CX192" s="12" t="n"/>
      <c r="CY192" s="12" t="n"/>
    </row>
    <row r="193" hidden="1" outlineLevel="1">
      <c r="C193" s="57" t="inlineStr">
        <is>
          <t xml:space="preserve">Dividendos a Pagar </t>
        </is>
      </c>
      <c r="D193" s="11" t="n"/>
      <c r="E193" s="11" t="n"/>
      <c r="F193" s="11" t="n"/>
      <c r="G193" s="11" t="n"/>
      <c r="H193" s="12" t="n"/>
      <c r="I193" s="11" t="n"/>
      <c r="J193" s="11" t="n"/>
      <c r="K193" s="11" t="n"/>
      <c r="L193" s="11" t="n"/>
      <c r="M193" s="12" t="n"/>
      <c r="N193" s="11" t="n"/>
      <c r="O193" s="11" t="n"/>
      <c r="P193" s="11" t="n"/>
      <c r="Q193" s="11" t="n"/>
      <c r="R193" s="12" t="n"/>
      <c r="S193" s="11" t="n"/>
      <c r="T193" s="11" t="n"/>
      <c r="U193" s="11" t="n"/>
      <c r="V193" s="11" t="n"/>
      <c r="W193" s="12" t="n"/>
      <c r="X193" s="11" t="n"/>
      <c r="Y193" s="11" t="n"/>
      <c r="Z193" s="11" t="n"/>
      <c r="AA193" s="11" t="n"/>
      <c r="AB193" s="12" t="n"/>
      <c r="AC193" s="11" t="n"/>
      <c r="AD193" s="11" t="n"/>
      <c r="AE193" s="11" t="n"/>
      <c r="AF193" s="11" t="n"/>
      <c r="AG193" s="12" t="n"/>
      <c r="AH193" s="11" t="n"/>
      <c r="AI193" s="11" t="n"/>
      <c r="AJ193" s="11" t="n"/>
      <c r="AK193" s="11" t="n"/>
      <c r="AL193" s="12" t="n"/>
      <c r="AM193" s="11" t="n"/>
      <c r="AN193" s="11" t="n"/>
      <c r="AO193" s="11" t="n"/>
      <c r="AP193" s="11" t="n"/>
      <c r="AQ193" s="12" t="n"/>
      <c r="AR193" s="11" t="n"/>
      <c r="AS193" s="11" t="n"/>
      <c r="AT193" s="11" t="n"/>
      <c r="AU193" s="11" t="n"/>
      <c r="AV193" s="12" t="n"/>
      <c r="AW193" s="11" t="n"/>
      <c r="AX193" s="11" t="n"/>
      <c r="AY193" s="11" t="n"/>
      <c r="AZ193" s="11" t="n"/>
      <c r="BA193" s="12" t="n"/>
      <c r="BB193" s="11" t="n"/>
      <c r="BC193" s="11" t="n"/>
      <c r="BD193" s="11" t="n"/>
      <c r="BE193" s="11" t="n"/>
      <c r="BF193" s="12" t="n"/>
      <c r="BG193" s="11" t="n"/>
      <c r="BH193" s="11" t="n"/>
      <c r="BI193" s="11" t="n"/>
      <c r="BJ193" s="11" t="n"/>
      <c r="BK193" s="12" t="n"/>
      <c r="BL193" s="11" t="n"/>
      <c r="BM193" s="11" t="n"/>
      <c r="BN193" s="11" t="n"/>
      <c r="BO193" s="11" t="n"/>
      <c r="BP193" s="12" t="n"/>
      <c r="BQ193" s="11" t="n"/>
      <c r="BR193" s="11" t="n"/>
      <c r="BS193" s="11" t="n"/>
      <c r="BT193" s="11" t="n"/>
      <c r="BU193" s="12" t="n"/>
      <c r="BV193" s="11" t="n"/>
      <c r="BW193" s="11" t="n"/>
      <c r="BX193" s="11" t="n"/>
      <c r="BY193" s="11" t="n"/>
      <c r="BZ193" s="12" t="n"/>
      <c r="CA193" s="11" t="n"/>
      <c r="CB193" s="11" t="n"/>
      <c r="CC193" s="11" t="n"/>
      <c r="CD193" s="11" t="n"/>
      <c r="CE193" s="12" t="n"/>
      <c r="CF193" s="11" t="n"/>
      <c r="CG193" s="11" t="n"/>
      <c r="CH193" s="11" t="n"/>
      <c r="CI193" s="11" t="n"/>
      <c r="CJ193" s="12" t="n"/>
      <c r="CK193" s="11" t="n"/>
      <c r="CL193" s="11" t="n"/>
      <c r="CM193" s="11" t="n"/>
      <c r="CN193" s="11" t="n"/>
      <c r="CO193" s="12" t="n"/>
      <c r="CP193" s="11" t="n"/>
      <c r="CQ193" s="11" t="n"/>
      <c r="CR193" s="11" t="n"/>
      <c r="CS193" s="11" t="n"/>
      <c r="CT193" s="12" t="n"/>
      <c r="CU193" s="11" t="n"/>
      <c r="CV193" s="11" t="n"/>
      <c r="CW193" s="11" t="n"/>
      <c r="CX193" s="11" t="n"/>
      <c r="CY193" s="12" t="n"/>
    </row>
    <row r="194" hidden="1" outlineLevel="1">
      <c r="C194" s="57" t="inlineStr">
        <is>
          <t>Contas a pagar pela aquisição de controladas</t>
        </is>
      </c>
      <c r="D194" s="11" t="n"/>
      <c r="E194" s="11" t="n"/>
      <c r="F194" s="11" t="n"/>
      <c r="G194" s="11" t="n"/>
      <c r="H194" s="12" t="n"/>
      <c r="I194" s="11" t="n"/>
      <c r="J194" s="11" t="n"/>
      <c r="K194" s="11" t="n"/>
      <c r="L194" s="11" t="n"/>
      <c r="M194" s="12" t="n"/>
      <c r="N194" s="11" t="n"/>
      <c r="O194" s="11" t="n"/>
      <c r="P194" s="11" t="n"/>
      <c r="Q194" s="11" t="n"/>
      <c r="R194" s="12" t="n"/>
      <c r="S194" s="11" t="n"/>
      <c r="T194" s="11" t="n"/>
      <c r="U194" s="11" t="n"/>
      <c r="V194" s="11" t="n"/>
      <c r="W194" s="12" t="n"/>
      <c r="X194" s="11" t="n"/>
      <c r="Y194" s="11" t="n"/>
      <c r="Z194" s="11" t="n"/>
      <c r="AA194" s="11" t="n"/>
      <c r="AB194" s="12" t="n"/>
      <c r="AC194" s="11" t="n"/>
      <c r="AD194" s="11" t="n"/>
      <c r="AE194" s="11" t="n"/>
      <c r="AF194" s="11" t="n"/>
      <c r="AG194" s="12" t="n"/>
      <c r="AH194" s="11" t="n"/>
      <c r="AI194" s="11" t="n"/>
      <c r="AJ194" s="11" t="n"/>
      <c r="AK194" s="11" t="n"/>
      <c r="AL194" s="12" t="n"/>
      <c r="AM194" s="11" t="n"/>
      <c r="AN194" s="11" t="n"/>
      <c r="AO194" s="11" t="n"/>
      <c r="AP194" s="11" t="n"/>
      <c r="AQ194" s="12" t="n"/>
      <c r="AR194" s="11" t="n"/>
      <c r="AS194" s="11" t="n"/>
      <c r="AT194" s="11" t="n"/>
      <c r="AU194" s="11" t="n"/>
      <c r="AV194" s="12" t="n"/>
      <c r="AW194" s="11" t="n"/>
      <c r="AX194" s="11" t="n"/>
      <c r="AY194" s="11" t="n"/>
      <c r="AZ194" s="11" t="n"/>
      <c r="BA194" s="12" t="n"/>
      <c r="BB194" s="11" t="n"/>
      <c r="BC194" s="11" t="n"/>
      <c r="BD194" s="11" t="n"/>
      <c r="BE194" s="11" t="n"/>
      <c r="BF194" s="12" t="n"/>
      <c r="BG194" s="11" t="n"/>
      <c r="BH194" s="11" t="n"/>
      <c r="BI194" s="11" t="n"/>
      <c r="BJ194" s="11" t="n"/>
      <c r="BK194" s="12" t="n"/>
      <c r="BL194" s="11" t="n"/>
      <c r="BM194" s="11" t="n"/>
      <c r="BN194" s="11" t="n"/>
      <c r="BO194" s="11" t="n"/>
      <c r="BP194" s="12" t="n"/>
      <c r="BQ194" s="11" t="n"/>
      <c r="BR194" s="11" t="n"/>
      <c r="BS194" s="11" t="n"/>
      <c r="BT194" s="11" t="n"/>
      <c r="BU194" s="12" t="n"/>
      <c r="BV194" s="11" t="n"/>
      <c r="BW194" s="11" t="n"/>
      <c r="BX194" s="11" t="n"/>
      <c r="BY194" s="11" t="n"/>
      <c r="BZ194" s="12" t="n"/>
      <c r="CA194" s="11" t="n"/>
      <c r="CB194" s="11" t="n"/>
      <c r="CC194" s="11" t="n"/>
      <c r="CD194" s="11" t="n"/>
      <c r="CE194" s="12" t="n"/>
      <c r="CF194" s="11" t="n"/>
      <c r="CG194" s="11" t="n"/>
      <c r="CH194" s="11" t="n"/>
      <c r="CI194" s="11" t="n"/>
      <c r="CJ194" s="12" t="n"/>
      <c r="CK194" s="11" t="n"/>
      <c r="CL194" s="11" t="n"/>
      <c r="CM194" s="11" t="n"/>
      <c r="CN194" s="11" t="n"/>
      <c r="CO194" s="12" t="n"/>
      <c r="CP194" s="11" t="n"/>
      <c r="CQ194" s="11" t="n"/>
      <c r="CR194" s="11" t="n"/>
      <c r="CS194" s="11" t="n"/>
      <c r="CT194" s="12" t="n"/>
      <c r="CU194" s="11" t="n"/>
      <c r="CV194" s="11" t="n"/>
      <c r="CW194" s="11" t="n"/>
      <c r="CX194" s="11" t="n"/>
      <c r="CY194" s="12" t="n"/>
    </row>
    <row r="195" hidden="1" outlineLevel="1">
      <c r="C195" s="57" t="inlineStr">
        <is>
          <t>Outros</t>
        </is>
      </c>
      <c r="D195" s="11" t="n"/>
      <c r="E195" s="11" t="n"/>
      <c r="F195" s="11" t="n"/>
      <c r="G195" s="11" t="n"/>
      <c r="H195" s="12" t="n"/>
      <c r="I195" s="11" t="n"/>
      <c r="J195" s="11" t="n"/>
      <c r="K195" s="11" t="n"/>
      <c r="L195" s="11" t="n"/>
      <c r="M195" s="12" t="n"/>
      <c r="N195" s="11" t="n"/>
      <c r="O195" s="11" t="n"/>
      <c r="P195" s="11" t="n"/>
      <c r="Q195" s="11" t="n"/>
      <c r="R195" s="12" t="n"/>
      <c r="S195" s="11" t="n"/>
      <c r="T195" s="11" t="n"/>
      <c r="U195" s="11" t="n"/>
      <c r="V195" s="11" t="n"/>
      <c r="W195" s="12" t="n"/>
      <c r="X195" s="11" t="n"/>
      <c r="Y195" s="11" t="n"/>
      <c r="Z195" s="11" t="n"/>
      <c r="AA195" s="11" t="n"/>
      <c r="AB195" s="12" t="n"/>
      <c r="AC195" s="11" t="n"/>
      <c r="AD195" s="11" t="n"/>
      <c r="AE195" s="11" t="n"/>
      <c r="AF195" s="11" t="n"/>
      <c r="AG195" s="12" t="n"/>
      <c r="AH195" s="11" t="n"/>
      <c r="AI195" s="11" t="n"/>
      <c r="AJ195" s="11" t="n"/>
      <c r="AK195" s="11" t="n"/>
      <c r="AL195" s="12" t="n"/>
      <c r="AM195" s="11" t="n"/>
      <c r="AN195" s="11" t="n"/>
      <c r="AO195" s="11" t="n"/>
      <c r="AP195" s="11" t="n"/>
      <c r="AQ195" s="12" t="n"/>
      <c r="AR195" s="11" t="n"/>
      <c r="AS195" s="11" t="n"/>
      <c r="AT195" s="11" t="n"/>
      <c r="AU195" s="11" t="n"/>
      <c r="AV195" s="12" t="n"/>
      <c r="AW195" s="11" t="n"/>
      <c r="AX195" s="11" t="n"/>
      <c r="AY195" s="11" t="n"/>
      <c r="AZ195" s="11" t="n"/>
      <c r="BA195" s="12" t="n"/>
      <c r="BB195" s="11" t="n"/>
      <c r="BC195" s="11" t="n"/>
      <c r="BD195" s="11" t="n"/>
      <c r="BE195" s="11" t="n"/>
      <c r="BF195" s="12" t="n"/>
      <c r="BG195" s="11" t="n"/>
      <c r="BH195" s="11" t="n"/>
      <c r="BI195" s="11" t="n"/>
      <c r="BJ195" s="11" t="n"/>
      <c r="BK195" s="12" t="n"/>
      <c r="BL195" s="11" t="n"/>
      <c r="BM195" s="11" t="n"/>
      <c r="BN195" s="11" t="n"/>
      <c r="BO195" s="11" t="n"/>
      <c r="BP195" s="12" t="n"/>
      <c r="BQ195" s="11" t="n"/>
      <c r="BR195" s="11" t="n"/>
      <c r="BS195" s="11" t="n"/>
      <c r="BT195" s="11" t="n"/>
      <c r="BU195" s="12" t="n"/>
      <c r="BV195" s="11" t="n"/>
      <c r="BW195" s="11" t="n"/>
      <c r="BX195" s="11" t="n"/>
      <c r="BY195" s="11" t="n"/>
      <c r="BZ195" s="12" t="n"/>
      <c r="CA195" s="11" t="n"/>
      <c r="CB195" s="11" t="n"/>
      <c r="CC195" s="11" t="n"/>
      <c r="CD195" s="11" t="n"/>
      <c r="CE195" s="12" t="n"/>
      <c r="CF195" s="11" t="n"/>
      <c r="CG195" s="11" t="n"/>
      <c r="CH195" s="11" t="n"/>
      <c r="CI195" s="11" t="n"/>
      <c r="CJ195" s="12" t="n"/>
      <c r="CK195" s="11" t="n"/>
      <c r="CL195" s="11" t="n"/>
      <c r="CM195" s="11" t="n"/>
      <c r="CN195" s="11" t="n"/>
      <c r="CO195" s="12" t="n"/>
      <c r="CP195" s="11" t="n"/>
      <c r="CQ195" s="11" t="n"/>
      <c r="CR195" s="11" t="n"/>
      <c r="CS195" s="11" t="n"/>
      <c r="CT195" s="12" t="n"/>
      <c r="CU195" s="11" t="n"/>
      <c r="CV195" s="11" t="n"/>
      <c r="CW195" s="11" t="n"/>
      <c r="CX195" s="11" t="n"/>
      <c r="CY195" s="12" t="n"/>
    </row>
    <row r="196" hidden="1" outlineLevel="1">
      <c r="C196" s="57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2" t="n"/>
      <c r="AK196" s="12" t="n"/>
      <c r="AL196" s="12" t="n"/>
      <c r="AM196" s="12" t="n"/>
      <c r="AN196" s="12" t="n"/>
      <c r="AO196" s="12" t="n"/>
      <c r="AP196" s="12" t="n"/>
      <c r="AQ196" s="12" t="n"/>
      <c r="AR196" s="12" t="n"/>
      <c r="AS196" s="12" t="n"/>
      <c r="AT196" s="12" t="n"/>
      <c r="AU196" s="12" t="n"/>
      <c r="AV196" s="12" t="n"/>
      <c r="AW196" s="12" t="n"/>
      <c r="AX196" s="12" t="n"/>
      <c r="AY196" s="12" t="n"/>
      <c r="AZ196" s="12" t="n"/>
      <c r="BA196" s="12" t="n"/>
      <c r="BB196" s="12" t="n"/>
      <c r="BC196" s="12" t="n"/>
      <c r="BD196" s="12" t="n"/>
      <c r="BE196" s="12" t="n"/>
      <c r="BF196" s="12" t="n"/>
      <c r="BG196" s="12" t="n"/>
      <c r="BH196" s="12" t="n"/>
      <c r="BI196" s="12" t="n"/>
      <c r="BJ196" s="12" t="n"/>
      <c r="BK196" s="12" t="n"/>
      <c r="BL196" s="12" t="n"/>
      <c r="BM196" s="12" t="n"/>
      <c r="BN196" s="12" t="n"/>
      <c r="BO196" s="12" t="n"/>
      <c r="BP196" s="12" t="n"/>
      <c r="BQ196" s="12" t="n"/>
      <c r="BR196" s="12" t="n"/>
      <c r="BS196" s="12" t="n"/>
      <c r="BT196" s="12" t="n"/>
      <c r="BU196" s="12" t="n"/>
      <c r="BV196" s="12" t="n"/>
      <c r="BW196" s="12" t="n"/>
      <c r="BX196" s="12" t="n"/>
      <c r="BY196" s="12" t="n"/>
      <c r="BZ196" s="12" t="n"/>
      <c r="CA196" s="12" t="n"/>
      <c r="CB196" s="12" t="n"/>
      <c r="CC196" s="12" t="n"/>
      <c r="CD196" s="12" t="n"/>
      <c r="CE196" s="12" t="n"/>
      <c r="CF196" s="12" t="n"/>
      <c r="CG196" s="12" t="n"/>
      <c r="CH196" s="12" t="n"/>
      <c r="CI196" s="12" t="n"/>
      <c r="CJ196" s="12" t="n"/>
      <c r="CK196" s="12" t="n"/>
      <c r="CL196" s="12" t="n"/>
      <c r="CM196" s="12" t="n"/>
      <c r="CN196" s="12" t="n"/>
      <c r="CO196" s="12" t="n"/>
      <c r="CP196" s="12" t="n"/>
      <c r="CQ196" s="12" t="n"/>
      <c r="CR196" s="12" t="n"/>
      <c r="CS196" s="12" t="n"/>
      <c r="CT196" s="12" t="n"/>
      <c r="CU196" s="12" t="n"/>
      <c r="CV196" s="12" t="n"/>
      <c r="CW196" s="12" t="n"/>
      <c r="CX196" s="12" t="n"/>
      <c r="CY196" s="12" t="n"/>
    </row>
    <row r="197" collapsed="1">
      <c r="C197" s="14" t="inlineStr">
        <is>
          <t>Current portion of long-term debt</t>
        </is>
      </c>
      <c r="D197" s="46" t="n"/>
      <c r="E197" s="46" t="n"/>
      <c r="F197" s="46" t="n"/>
      <c r="G197" s="46" t="n"/>
      <c r="H197" s="12" t="n"/>
      <c r="I197" s="46">
        <f>'Inputs (2)'!D32</f>
        <v>4468</v>
      </c>
      <c r="J197" s="46">
        <f>'Inputs (2)'!E32</f>
        <v>4293</v>
      </c>
      <c r="K197" s="46">
        <f>'Inputs (2)'!F32</f>
        <v>5459</v>
      </c>
      <c r="L197" s="46">
        <f>'Inputs (2)'!G32</f>
        <v>4361</v>
      </c>
      <c r="M197" s="12">
        <f>'Inputs (2)'!H32</f>
        <v>4361</v>
      </c>
      <c r="N197" s="46">
        <f>'Inputs (2)'!I32</f>
        <v>4985</v>
      </c>
      <c r="O197" s="46">
        <f>'Inputs (2)'!J32</f>
        <v>4947</v>
      </c>
      <c r="P197" s="46">
        <f>'Inputs (2)'!K32</f>
        <v>4285</v>
      </c>
      <c r="Q197" s="46">
        <f>'Inputs (2)'!L32</f>
        <v>3757</v>
      </c>
      <c r="R197" s="12">
        <f>'Inputs (2)'!M32</f>
        <v>3757</v>
      </c>
      <c r="S197" s="46">
        <f>'Inputs (2)'!N32</f>
        <v>2262</v>
      </c>
      <c r="T197" s="46">
        <f>'Inputs (2)'!O32</f>
        <v>1882</v>
      </c>
      <c r="U197" s="46">
        <f>'Inputs (2)'!P32</f>
        <v>1334</v>
      </c>
      <c r="V197" s="46">
        <f>'Inputs (2)'!Q32</f>
        <v>1253</v>
      </c>
      <c r="W197" s="12">
        <f>'Inputs (2)'!R32</f>
        <v>1253</v>
      </c>
      <c r="X197" s="46">
        <f>'Inputs (2)'!S32</f>
        <v>1032</v>
      </c>
      <c r="Y197" s="46">
        <f>'Inputs (2)'!T32</f>
        <v>1700</v>
      </c>
      <c r="Z197" s="46">
        <f>'Inputs (2)'!U32</f>
        <v>1681</v>
      </c>
      <c r="AA197" s="46">
        <f>'Inputs (2)'!V32</f>
        <v>2039</v>
      </c>
      <c r="AB197" s="12">
        <f>'Inputs (2)'!W32</f>
        <v>2039</v>
      </c>
      <c r="AC197" s="46">
        <f>'Inputs (2)'!X32</f>
        <v>2084</v>
      </c>
      <c r="AD197" s="46">
        <f>'Inputs (2)'!Y32</f>
        <v>1889</v>
      </c>
      <c r="AE197" s="46">
        <f>'Inputs (2)'!Z32</f>
        <v>2067</v>
      </c>
      <c r="AF197" s="46">
        <f>'Inputs (2)'!AA32</f>
        <v>1686</v>
      </c>
      <c r="AG197" s="12">
        <f>'Inputs (2)'!AB32</f>
        <v>1686</v>
      </c>
      <c r="AH197" s="12">
        <f>'Inputs (2)'!AC32</f>
        <v>2103</v>
      </c>
      <c r="AI197" s="12">
        <f>'Inputs (2)'!AD32</f>
        <v>2000</v>
      </c>
      <c r="AJ197" s="12">
        <f>AI197</f>
        <v>2000</v>
      </c>
      <c r="AK197" s="12">
        <f>AJ197</f>
        <v>2000</v>
      </c>
      <c r="AL197" s="12">
        <f>AK197</f>
        <v>2000</v>
      </c>
      <c r="AM197" s="12">
        <f>AL197</f>
        <v>2000</v>
      </c>
      <c r="AN197" s="12">
        <f>AM197</f>
        <v>2000</v>
      </c>
      <c r="AO197" s="12">
        <f>AN197</f>
        <v>2000</v>
      </c>
      <c r="AP197" s="12">
        <f>AO197</f>
        <v>2000</v>
      </c>
      <c r="AQ197" s="12">
        <f>AP197</f>
        <v>2000</v>
      </c>
      <c r="AR197" s="12">
        <f>AQ197</f>
        <v>2000</v>
      </c>
      <c r="AS197" s="12">
        <f>AR197</f>
        <v>2000</v>
      </c>
      <c r="AT197" s="12">
        <f>AS197</f>
        <v>2000</v>
      </c>
      <c r="AU197" s="12">
        <f>AT197</f>
        <v>2000</v>
      </c>
      <c r="AV197" s="12">
        <f>AU197</f>
        <v>2000</v>
      </c>
      <c r="AW197" s="12">
        <f>AV197</f>
        <v>2000</v>
      </c>
      <c r="AX197" s="12">
        <f>AW197</f>
        <v>2000</v>
      </c>
      <c r="AY197" s="12">
        <f>AX197</f>
        <v>2000</v>
      </c>
      <c r="AZ197" s="12">
        <f>AY197</f>
        <v>2000</v>
      </c>
      <c r="BA197" s="12">
        <f>AZ197</f>
        <v>2000</v>
      </c>
      <c r="BB197" s="12">
        <f>BA197</f>
        <v>2000</v>
      </c>
      <c r="BC197" s="12">
        <f>BB197</f>
        <v>2000</v>
      </c>
      <c r="BD197" s="12">
        <f>BC197</f>
        <v>2000</v>
      </c>
      <c r="BE197" s="12">
        <f>BD197</f>
        <v>2000</v>
      </c>
      <c r="BF197" s="12">
        <f>BE197</f>
        <v>2000</v>
      </c>
      <c r="BG197" s="12" t="n"/>
      <c r="BH197" s="12" t="n"/>
      <c r="BI197" s="12" t="n"/>
      <c r="BJ197" s="12" t="n"/>
      <c r="BK197" s="12" t="n"/>
      <c r="BL197" s="12" t="n"/>
      <c r="BM197" s="12" t="n"/>
      <c r="BN197" s="12" t="n"/>
      <c r="BO197" s="12" t="n"/>
      <c r="BP197" s="12" t="n"/>
      <c r="BQ197" s="12" t="n"/>
      <c r="BR197" s="12" t="n"/>
      <c r="BS197" s="12" t="n"/>
      <c r="BT197" s="12" t="n"/>
      <c r="BU197" s="12" t="n"/>
      <c r="BV197" s="12" t="n"/>
      <c r="BW197" s="12" t="n"/>
      <c r="BX197" s="12" t="n"/>
      <c r="BY197" s="12" t="n"/>
      <c r="BZ197" s="12" t="n"/>
      <c r="CA197" s="12" t="n"/>
      <c r="CB197" s="12" t="n"/>
      <c r="CC197" s="12" t="n"/>
      <c r="CD197" s="12" t="n"/>
      <c r="CE197" s="12" t="n"/>
      <c r="CF197" s="12" t="n"/>
      <c r="CG197" s="12" t="n"/>
      <c r="CH197" s="12" t="n"/>
      <c r="CI197" s="12" t="n"/>
      <c r="CJ197" s="12" t="n"/>
      <c r="CK197" s="12" t="n"/>
      <c r="CL197" s="12" t="n"/>
      <c r="CM197" s="12" t="n"/>
      <c r="CN197" s="12" t="n"/>
      <c r="CO197" s="12" t="n"/>
      <c r="CP197" s="12" t="n"/>
      <c r="CQ197" s="12" t="n"/>
      <c r="CR197" s="12" t="n"/>
      <c r="CS197" s="12" t="n"/>
      <c r="CT197" s="12" t="n"/>
      <c r="CU197" s="12" t="n"/>
      <c r="CV197" s="12" t="n"/>
      <c r="CW197" s="12" t="n"/>
      <c r="CX197" s="12" t="n"/>
      <c r="CY197" s="12" t="n"/>
    </row>
    <row r="198">
      <c r="C198" s="14" t="inlineStr">
        <is>
          <t>Short term debt (Revolving credit facility)</t>
        </is>
      </c>
      <c r="D198" s="46" t="n"/>
      <c r="E198" s="46" t="n"/>
      <c r="F198" s="46" t="n"/>
      <c r="G198" s="46" t="n"/>
      <c r="H198" s="12" t="n"/>
      <c r="I198" s="46">
        <f>'Inputs (2)'!D33</f>
        <v>0</v>
      </c>
      <c r="J198" s="46">
        <f>'Inputs (2)'!E33</f>
        <v>0</v>
      </c>
      <c r="K198" s="46">
        <f>'Inputs (2)'!F33</f>
        <v>0</v>
      </c>
      <c r="L198" s="46">
        <f>'Inputs (2)'!G33</f>
        <v>0</v>
      </c>
      <c r="M198" s="12">
        <f>'Inputs (2)'!H33</f>
        <v>0</v>
      </c>
      <c r="N198" s="46">
        <f>'Inputs (2)'!I33</f>
        <v>0</v>
      </c>
      <c r="O198" s="46">
        <f>'Inputs (2)'!J33</f>
        <v>0</v>
      </c>
      <c r="P198" s="46">
        <f>'Inputs (2)'!K33</f>
        <v>0</v>
      </c>
      <c r="Q198" s="46">
        <f>'Inputs (2)'!L33</f>
        <v>0</v>
      </c>
      <c r="R198" s="12">
        <f>'Inputs (2)'!M33</f>
        <v>0</v>
      </c>
      <c r="S198" s="46">
        <f>'Inputs (2)'!N33</f>
        <v>0</v>
      </c>
      <c r="T198" s="46">
        <f>'Inputs (2)'!O33</f>
        <v>0</v>
      </c>
      <c r="U198" s="46">
        <f>'Inputs (2)'!P33</f>
        <v>0</v>
      </c>
      <c r="V198" s="46">
        <f>'Inputs (2)'!Q33</f>
        <v>0</v>
      </c>
      <c r="W198" s="12">
        <f>'Inputs (2)'!R33</f>
        <v>0</v>
      </c>
      <c r="X198" s="46">
        <f>'Inputs (2)'!S33</f>
        <v>0</v>
      </c>
      <c r="Y198" s="46">
        <f>'Inputs (2)'!T33</f>
        <v>0</v>
      </c>
      <c r="Z198" s="46">
        <f>'Inputs (2)'!U33</f>
        <v>0</v>
      </c>
      <c r="AA198" s="46">
        <f>'Inputs (2)'!V33</f>
        <v>0</v>
      </c>
      <c r="AB198" s="12">
        <f>'Inputs (2)'!W33</f>
        <v>0</v>
      </c>
      <c r="AC198" s="46">
        <f>'Inputs (2)'!X33</f>
        <v>0</v>
      </c>
      <c r="AD198" s="46">
        <f>'Inputs (2)'!Y33</f>
        <v>0</v>
      </c>
      <c r="AE198" s="46">
        <f>'Inputs (2)'!Z33</f>
        <v>0</v>
      </c>
      <c r="AF198" s="46">
        <f>'Inputs (2)'!AA33</f>
        <v>0</v>
      </c>
      <c r="AG198" s="12">
        <f>'Inputs (2)'!AB33</f>
        <v>0</v>
      </c>
      <c r="AH198" s="12">
        <f>'Inputs (2)'!AC33</f>
        <v>0</v>
      </c>
      <c r="AI198" s="12">
        <f>'Inputs (2)'!AD33</f>
        <v>0</v>
      </c>
      <c r="AJ198" s="12">
        <f>AI198</f>
        <v>0</v>
      </c>
      <c r="AK198" s="12">
        <f>AJ198</f>
        <v>0</v>
      </c>
      <c r="AL198" s="12">
        <f>AK198</f>
        <v>0</v>
      </c>
      <c r="AM198" s="12">
        <f>AL198</f>
        <v>0</v>
      </c>
      <c r="AN198" s="12">
        <f>AM198</f>
        <v>0</v>
      </c>
      <c r="AO198" s="12">
        <f>AN198</f>
        <v>0</v>
      </c>
      <c r="AP198" s="12">
        <f>AO198</f>
        <v>0</v>
      </c>
      <c r="AQ198" s="12">
        <f>AP198</f>
        <v>0</v>
      </c>
      <c r="AR198" s="12">
        <f>AQ198</f>
        <v>0</v>
      </c>
      <c r="AS198" s="12">
        <f>AR198</f>
        <v>0</v>
      </c>
      <c r="AT198" s="12">
        <f>AS198</f>
        <v>0</v>
      </c>
      <c r="AU198" s="12">
        <f>AT198</f>
        <v>0</v>
      </c>
      <c r="AV198" s="12">
        <f>AU198</f>
        <v>0</v>
      </c>
      <c r="AW198" s="12">
        <f>AV198</f>
        <v>0</v>
      </c>
      <c r="AX198" s="12">
        <f>AW198</f>
        <v>0</v>
      </c>
      <c r="AY198" s="12">
        <f>AX198</f>
        <v>0</v>
      </c>
      <c r="AZ198" s="12">
        <f>AY198</f>
        <v>0</v>
      </c>
      <c r="BA198" s="12">
        <f>AZ198</f>
        <v>0</v>
      </c>
      <c r="BB198" s="12">
        <f>BA198</f>
        <v>0</v>
      </c>
      <c r="BC198" s="12">
        <f>BB198</f>
        <v>0</v>
      </c>
      <c r="BD198" s="12">
        <f>BC198</f>
        <v>0</v>
      </c>
      <c r="BE198" s="12">
        <f>BD198</f>
        <v>0</v>
      </c>
      <c r="BF198" s="12">
        <f>BE198</f>
        <v>0</v>
      </c>
      <c r="BG198" s="12" t="n"/>
      <c r="BH198" s="12" t="n"/>
      <c r="BI198" s="12" t="n"/>
      <c r="BJ198" s="12" t="n"/>
      <c r="BK198" s="12" t="n"/>
      <c r="BL198" s="12" t="n"/>
      <c r="BM198" s="12" t="n"/>
      <c r="BN198" s="12" t="n"/>
      <c r="BO198" s="12" t="n"/>
      <c r="BP198" s="12" t="n"/>
      <c r="BQ198" s="12" t="n"/>
      <c r="BR198" s="12" t="n"/>
      <c r="BS198" s="12" t="n"/>
      <c r="BT198" s="12" t="n"/>
      <c r="BU198" s="12" t="n"/>
      <c r="BV198" s="12" t="n"/>
      <c r="BW198" s="12" t="n"/>
      <c r="BX198" s="12" t="n"/>
      <c r="BY198" s="12" t="n"/>
      <c r="BZ198" s="12" t="n"/>
      <c r="CA198" s="12" t="n"/>
      <c r="CB198" s="12" t="n"/>
      <c r="CC198" s="12" t="n"/>
      <c r="CD198" s="12" t="n"/>
      <c r="CE198" s="12" t="n"/>
      <c r="CF198" s="12" t="n"/>
      <c r="CG198" s="12" t="n"/>
      <c r="CH198" s="12" t="n"/>
      <c r="CI198" s="12" t="n"/>
      <c r="CJ198" s="12" t="n"/>
      <c r="CK198" s="12" t="n"/>
      <c r="CL198" s="12" t="n"/>
      <c r="CM198" s="12" t="n"/>
      <c r="CN198" s="12" t="n"/>
      <c r="CO198" s="12" t="n"/>
      <c r="CP198" s="12" t="n"/>
      <c r="CQ198" s="12" t="n"/>
      <c r="CR198" s="12" t="n"/>
      <c r="CS198" s="12" t="n"/>
      <c r="CT198" s="12" t="n"/>
      <c r="CU198" s="12" t="n"/>
      <c r="CV198" s="12" t="n"/>
      <c r="CW198" s="12" t="n"/>
      <c r="CX198" s="12" t="n"/>
      <c r="CY198" s="12" t="n"/>
    </row>
    <row r="199">
      <c r="C199" s="14" t="inlineStr">
        <is>
          <t>Short term operating leases</t>
        </is>
      </c>
      <c r="D199" s="46" t="n"/>
      <c r="E199" s="46" t="n"/>
      <c r="F199" s="46" t="n"/>
      <c r="G199" s="46" t="n"/>
      <c r="H199" s="12" t="n"/>
      <c r="I199" s="46">
        <f>'Inputs (2)'!D34</f>
        <v>0</v>
      </c>
      <c r="J199" s="46">
        <f>'Inputs (2)'!E34</f>
        <v>0</v>
      </c>
      <c r="K199" s="46">
        <f>'Inputs (2)'!F34</f>
        <v>0</v>
      </c>
      <c r="L199" s="46">
        <f>'Inputs (2)'!G34</f>
        <v>0</v>
      </c>
      <c r="M199" s="12">
        <f>'Inputs (2)'!H34</f>
        <v>0</v>
      </c>
      <c r="N199" s="46">
        <f>'Inputs (2)'!I34</f>
        <v>0</v>
      </c>
      <c r="O199" s="46">
        <f>'Inputs (2)'!J34</f>
        <v>0</v>
      </c>
      <c r="P199" s="46">
        <f>'Inputs (2)'!K34</f>
        <v>0</v>
      </c>
      <c r="Q199" s="46">
        <f>'Inputs (2)'!L34</f>
        <v>0</v>
      </c>
      <c r="R199" s="12">
        <f>'Inputs (2)'!M34</f>
        <v>0</v>
      </c>
      <c r="S199" s="46">
        <f>'Inputs (2)'!N34</f>
        <v>0</v>
      </c>
      <c r="T199" s="46">
        <f>'Inputs (2)'!O34</f>
        <v>0</v>
      </c>
      <c r="U199" s="46">
        <f>'Inputs (2)'!P34</f>
        <v>0</v>
      </c>
      <c r="V199" s="46">
        <f>'Inputs (2)'!Q34</f>
        <v>0</v>
      </c>
      <c r="W199" s="12">
        <f>'Inputs (2)'!R34</f>
        <v>0</v>
      </c>
      <c r="X199" s="46">
        <f>'Inputs (2)'!S34</f>
        <v>0</v>
      </c>
      <c r="Y199" s="46">
        <f>'Inputs (2)'!T34</f>
        <v>0</v>
      </c>
      <c r="Z199" s="46">
        <f>'Inputs (2)'!U34</f>
        <v>0</v>
      </c>
      <c r="AA199" s="46">
        <f>'Inputs (2)'!V34</f>
        <v>0</v>
      </c>
      <c r="AB199" s="12">
        <f>'Inputs (2)'!W34</f>
        <v>0</v>
      </c>
      <c r="AC199" s="46">
        <f>'Inputs (2)'!X34</f>
        <v>0</v>
      </c>
      <c r="AD199" s="46">
        <f>'Inputs (2)'!Y34</f>
        <v>0</v>
      </c>
      <c r="AE199" s="46">
        <f>'Inputs (2)'!Z34</f>
        <v>0</v>
      </c>
      <c r="AF199" s="46">
        <f>'Inputs (2)'!AA34</f>
        <v>0</v>
      </c>
      <c r="AG199" s="12">
        <f>'Inputs (2)'!AB34</f>
        <v>0</v>
      </c>
      <c r="AH199" s="12">
        <f>'Inputs (2)'!AC34</f>
        <v>0</v>
      </c>
      <c r="AI199" s="12">
        <f>'Inputs (2)'!AD34</f>
        <v>0</v>
      </c>
      <c r="AJ199" s="12">
        <f>AI199</f>
        <v>0</v>
      </c>
      <c r="AK199" s="12">
        <f>AJ199</f>
        <v>0</v>
      </c>
      <c r="AL199" s="12">
        <f>AK199</f>
        <v>0</v>
      </c>
      <c r="AM199" s="12">
        <f>AL199</f>
        <v>0</v>
      </c>
      <c r="AN199" s="12">
        <f>AM199</f>
        <v>0</v>
      </c>
      <c r="AO199" s="12">
        <f>AN199</f>
        <v>0</v>
      </c>
      <c r="AP199" s="12">
        <f>AO199</f>
        <v>0</v>
      </c>
      <c r="AQ199" s="12">
        <f>AP199</f>
        <v>0</v>
      </c>
      <c r="AR199" s="12">
        <f>AQ199</f>
        <v>0</v>
      </c>
      <c r="AS199" s="12">
        <f>AR199</f>
        <v>0</v>
      </c>
      <c r="AT199" s="12">
        <f>AS199</f>
        <v>0</v>
      </c>
      <c r="AU199" s="12">
        <f>AT199</f>
        <v>0</v>
      </c>
      <c r="AV199" s="12">
        <f>AU199</f>
        <v>0</v>
      </c>
      <c r="AW199" s="12">
        <f>AV199</f>
        <v>0</v>
      </c>
      <c r="AX199" s="12">
        <f>AW199</f>
        <v>0</v>
      </c>
      <c r="AY199" s="12">
        <f>AX199</f>
        <v>0</v>
      </c>
      <c r="AZ199" s="12">
        <f>AY199</f>
        <v>0</v>
      </c>
      <c r="BA199" s="12">
        <f>AZ199</f>
        <v>0</v>
      </c>
      <c r="BB199" s="12">
        <f>BA199</f>
        <v>0</v>
      </c>
      <c r="BC199" s="12">
        <f>BB199</f>
        <v>0</v>
      </c>
      <c r="BD199" s="12">
        <f>BC199</f>
        <v>0</v>
      </c>
      <c r="BE199" s="12">
        <f>BD199</f>
        <v>0</v>
      </c>
      <c r="BF199" s="12">
        <f>BE199</f>
        <v>0</v>
      </c>
      <c r="BG199" s="12" t="n"/>
      <c r="BH199" s="12" t="n"/>
      <c r="BI199" s="12" t="n"/>
      <c r="BJ199" s="12" t="n"/>
      <c r="BK199" s="12" t="n"/>
      <c r="BL199" s="12" t="n"/>
      <c r="BM199" s="12" t="n"/>
      <c r="BN199" s="12" t="n"/>
      <c r="BO199" s="12" t="n"/>
      <c r="BP199" s="12" t="n"/>
      <c r="BQ199" s="12" t="n"/>
      <c r="BR199" s="12" t="n"/>
      <c r="BS199" s="12" t="n"/>
      <c r="BT199" s="12" t="n"/>
      <c r="BU199" s="12" t="n"/>
      <c r="BV199" s="12" t="n"/>
      <c r="BW199" s="12" t="n"/>
      <c r="BX199" s="12" t="n"/>
      <c r="BY199" s="12" t="n"/>
      <c r="BZ199" s="12" t="n"/>
      <c r="CA199" s="12" t="n"/>
      <c r="CB199" s="12" t="n"/>
      <c r="CC199" s="12" t="n"/>
      <c r="CD199" s="12" t="n"/>
      <c r="CE199" s="12" t="n"/>
      <c r="CF199" s="12" t="n"/>
      <c r="CG199" s="12" t="n"/>
      <c r="CH199" s="12" t="n"/>
      <c r="CI199" s="12" t="n"/>
      <c r="CJ199" s="12" t="n"/>
      <c r="CK199" s="12" t="n"/>
      <c r="CL199" s="12" t="n"/>
      <c r="CM199" s="12" t="n"/>
      <c r="CN199" s="12" t="n"/>
      <c r="CO199" s="12" t="n"/>
      <c r="CP199" s="12" t="n"/>
      <c r="CQ199" s="12" t="n"/>
      <c r="CR199" s="12" t="n"/>
      <c r="CS199" s="12" t="n"/>
      <c r="CT199" s="12" t="n"/>
      <c r="CU199" s="12" t="n"/>
      <c r="CV199" s="12" t="n"/>
      <c r="CW199" s="12" t="n"/>
      <c r="CX199" s="12" t="n"/>
      <c r="CY199" s="12" t="n"/>
    </row>
    <row r="200" hidden="1" outlineLevel="1">
      <c r="C200" s="59" t="inlineStr">
        <is>
          <t>%(Var.)</t>
        </is>
      </c>
      <c r="D200" s="12" t="n"/>
      <c r="E200" s="40" t="n"/>
      <c r="F200" s="40" t="n"/>
      <c r="G200" s="40" t="n"/>
      <c r="H200" s="12" t="n"/>
      <c r="I200" s="40" t="str">
        <f>""</f>
        <v/>
      </c>
      <c r="J200" s="40" t="str">
        <f>IFERROR(IF(I199=0,"",J199/I199-1),"")</f>
        <v/>
      </c>
      <c r="K200" s="40" t="str">
        <f>IFERROR(IF(J199=0,"",K199/J199-1),"")</f>
        <v/>
      </c>
      <c r="L200" s="40" t="str">
        <f>IFERROR(IF(K199=0,"",L199/K199-1),"")</f>
        <v/>
      </c>
      <c r="M200" s="12" t="str">
        <f>IF(L199=0,"",M199/L199-1)</f>
        <v/>
      </c>
      <c r="N200" s="40" t="str">
        <f>IFERROR(IF(M199=0,"",N199/M199-1),"")</f>
        <v/>
      </c>
      <c r="O200" s="40" t="str">
        <f>IFERROR(IF(N199=0,"",O199/N199-1),"")</f>
        <v/>
      </c>
      <c r="P200" s="40" t="str">
        <f>IFERROR(IF(O199=0,"",P199/O199-1),"")</f>
        <v/>
      </c>
      <c r="Q200" s="40" t="str">
        <f>IFERROR(IF(P199=0,"",Q199/P199-1),"")</f>
        <v/>
      </c>
      <c r="R200" s="12" t="str">
        <f>IF(Q199=0,"",R199/Q199-1)</f>
        <v/>
      </c>
      <c r="S200" s="40" t="str">
        <f>IFERROR(IF(R199=0,"",S199/R199-1),"")</f>
        <v/>
      </c>
      <c r="T200" s="40" t="str">
        <f>IFERROR(IF(S199=0,"",T199/S199-1),"")</f>
        <v/>
      </c>
      <c r="U200" s="40" t="str">
        <f>IFERROR(IF(T199=0,"",U199/T199-1),"")</f>
        <v/>
      </c>
      <c r="V200" s="40" t="str">
        <f>IFERROR(IF(U199=0,"",V199/U199-1),"")</f>
        <v/>
      </c>
      <c r="W200" s="12" t="str">
        <f>IF(V199=0,"",W199/V199-1)</f>
        <v/>
      </c>
      <c r="X200" s="40" t="str">
        <f>IFERROR(IF(W199=0,"",X199/W199-1),"")</f>
        <v/>
      </c>
      <c r="Y200" s="40" t="str">
        <f>IFERROR(IF(X199=0,"",Y199/X199-1),"")</f>
        <v/>
      </c>
      <c r="Z200" s="40" t="str">
        <f>IFERROR(IF(Y199=0,"",Z199/Y199-1),"")</f>
        <v/>
      </c>
      <c r="AA200" s="40" t="str">
        <f>IFERROR(IF(Z199=0,"",AA199/Z199-1),"")</f>
        <v/>
      </c>
      <c r="AB200" s="12" t="str">
        <f>IF(AA199=0,"",AB199/AA199-1)</f>
        <v/>
      </c>
      <c r="AC200" s="40" t="str">
        <f>IFERROR(IF(AB199=0,"",AC199/AB199-1),"")</f>
        <v/>
      </c>
      <c r="AD200" s="40" t="str">
        <f>IFERROR(IF(AC199=0,"",AD199/AC199-1),"")</f>
        <v/>
      </c>
      <c r="AE200" s="40" t="str">
        <f>IFERROR(IF(AD199=0,"",AE199/AD199-1),"")</f>
        <v/>
      </c>
      <c r="AF200" s="11" t="str">
        <f>IFERROR(IF(AE199=0,"",AF199/AE199-1),"")</f>
        <v/>
      </c>
      <c r="AG200" s="12" t="str">
        <f>IF(AF199=0,"",AG199/AF199-1)</f>
        <v/>
      </c>
      <c r="AH200" s="11" t="str">
        <f>IFERROR(IF(AG199=0,"",AH199/AG199-1),"")</f>
        <v/>
      </c>
      <c r="AI200" s="11" t="str">
        <f>IFERROR(IF(AH199=0,"",AI199/AH199-1),"")</f>
        <v/>
      </c>
      <c r="AJ200" s="11" t="str">
        <f>IFERROR(IF(AI199=0,"",AJ199/AI199-1),"")</f>
        <v/>
      </c>
      <c r="AK200" s="11" t="str">
        <f>IFERROR(IF(AJ199=0,"",AK199/AJ199-1),"")</f>
        <v/>
      </c>
      <c r="AL200" s="12" t="str">
        <f>IFERROR(IF(AK199=0,"",AL199/AK199-1),"")</f>
        <v/>
      </c>
      <c r="AM200" s="11" t="str">
        <f>IFERROR(IF(AL199=0,"",AM199/AL199-1),"")</f>
        <v/>
      </c>
      <c r="AN200" s="11" t="str">
        <f>IFERROR(IF(AM199=0,"",AN199/AM199-1),"")</f>
        <v/>
      </c>
      <c r="AO200" s="11" t="str">
        <f>IFERROR(IF(AN199=0,"",AO199/AN199-1),"")</f>
        <v/>
      </c>
      <c r="AP200" s="11" t="str">
        <f>IFERROR(IF(AO199=0,"",AP199/AO199-1),"")</f>
        <v/>
      </c>
      <c r="AQ200" s="12" t="str">
        <f>IFERROR(IF(AP199=0,"",AQ199/AP199-1),"")</f>
        <v/>
      </c>
      <c r="AR200" s="11" t="str">
        <f>IFERROR(IF(AQ199=0,"",AR199/AQ199-1),"")</f>
        <v/>
      </c>
      <c r="AS200" s="11" t="str">
        <f>IFERROR(IF(AR199=0,"",AS199/AR199-1),"")</f>
        <v/>
      </c>
      <c r="AT200" s="11" t="str">
        <f>IFERROR(IF(AS199=0,"",AT199/AS199-1),"")</f>
        <v/>
      </c>
      <c r="AU200" s="11" t="str">
        <f>IFERROR(IF(AT199=0,"",AU199/AT199-1),"")</f>
        <v/>
      </c>
      <c r="AV200" s="12" t="str">
        <f>IFERROR(IF(AU199=0,"",AV199/AU199-1),"")</f>
        <v/>
      </c>
      <c r="AW200" s="11" t="str">
        <f>IFERROR(IF(AV199=0,"",AW199/AV199-1),"")</f>
        <v/>
      </c>
      <c r="AX200" s="11" t="str">
        <f>IFERROR(IF(AW199=0,"",AX199/AW199-1),"")</f>
        <v/>
      </c>
      <c r="AY200" s="11" t="str">
        <f>IFERROR(IF(AX199=0,"",AY199/AX199-1),"")</f>
        <v/>
      </c>
      <c r="AZ200" s="11" t="str">
        <f>IFERROR(IF(AY199=0,"",AZ199/AY199-1),"")</f>
        <v/>
      </c>
      <c r="BA200" s="12" t="str">
        <f>IFERROR(IF(AZ199=0,"",BA199/AZ199-1),"")</f>
        <v/>
      </c>
      <c r="BB200" s="11" t="str">
        <f>IFERROR(IF(BA199=0,"",BB199/BA199-1),"")</f>
        <v/>
      </c>
      <c r="BC200" s="11" t="str">
        <f>IFERROR(IF(BB199=0,"",BC199/BB199-1),"")</f>
        <v/>
      </c>
      <c r="BD200" s="11" t="str">
        <f>IFERROR(IF(BC199=0,"",BD199/BC199-1),"")</f>
        <v/>
      </c>
      <c r="BE200" s="11" t="str">
        <f>IFERROR(IF(BD199=0,"",BE199/BD199-1),"")</f>
        <v/>
      </c>
      <c r="BF200" s="12" t="str">
        <f>IFERROR(IF(BE199=0,"",BF199/BE199-1),"")</f>
        <v/>
      </c>
      <c r="BG200" s="11" t="n"/>
      <c r="BH200" s="11" t="n"/>
      <c r="BI200" s="11" t="n"/>
      <c r="BJ200" s="11" t="n"/>
      <c r="BK200" s="12" t="n"/>
      <c r="BL200" s="11" t="n"/>
      <c r="BM200" s="11" t="n"/>
      <c r="BN200" s="11" t="n"/>
      <c r="BO200" s="11" t="n"/>
      <c r="BP200" s="12" t="n"/>
      <c r="BQ200" s="11" t="n"/>
      <c r="BR200" s="11" t="n"/>
      <c r="BS200" s="11" t="n"/>
      <c r="BT200" s="11" t="n"/>
      <c r="BU200" s="12" t="n"/>
      <c r="BV200" s="11" t="n"/>
      <c r="BW200" s="11" t="n"/>
      <c r="BX200" s="11" t="n"/>
      <c r="BY200" s="11" t="n"/>
      <c r="BZ200" s="12" t="n"/>
      <c r="CA200" s="11" t="n"/>
      <c r="CB200" s="11" t="n"/>
      <c r="CC200" s="11" t="n"/>
      <c r="CD200" s="11" t="n"/>
      <c r="CE200" s="12" t="n"/>
      <c r="CF200" s="11" t="n"/>
      <c r="CG200" s="11" t="n"/>
      <c r="CH200" s="11" t="n"/>
      <c r="CI200" s="11" t="n"/>
      <c r="CJ200" s="12" t="n"/>
      <c r="CK200" s="11" t="n"/>
      <c r="CL200" s="11" t="n"/>
      <c r="CM200" s="11" t="n"/>
      <c r="CN200" s="11" t="n"/>
      <c r="CO200" s="12" t="n"/>
      <c r="CP200" s="11" t="n"/>
      <c r="CQ200" s="11" t="n"/>
      <c r="CR200" s="11" t="n"/>
      <c r="CS200" s="11" t="n"/>
      <c r="CT200" s="12" t="n"/>
      <c r="CU200" s="11" t="n"/>
      <c r="CV200" s="11" t="n"/>
      <c r="CW200" s="11" t="n"/>
      <c r="CX200" s="11" t="n"/>
      <c r="CY200" s="12" t="n"/>
    </row>
    <row r="201" hidden="1" outlineLevel="1">
      <c r="C201" s="57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2" t="n"/>
      <c r="AK201" s="12" t="n"/>
      <c r="AL201" s="12" t="n"/>
      <c r="AM201" s="12" t="n"/>
      <c r="AN201" s="12" t="n"/>
      <c r="AO201" s="12" t="n"/>
      <c r="AP201" s="12" t="n"/>
      <c r="AQ201" s="12" t="n"/>
      <c r="AR201" s="12" t="n"/>
      <c r="AS201" s="12" t="n"/>
      <c r="AT201" s="12" t="n"/>
      <c r="AU201" s="12" t="n"/>
      <c r="AV201" s="12" t="n"/>
      <c r="AW201" s="12" t="n"/>
      <c r="AX201" s="12" t="n"/>
      <c r="AY201" s="12" t="n"/>
      <c r="AZ201" s="12" t="n"/>
      <c r="BA201" s="12" t="n"/>
      <c r="BB201" s="12" t="n"/>
      <c r="BC201" s="12" t="n"/>
      <c r="BD201" s="12" t="n"/>
      <c r="BE201" s="12" t="n"/>
      <c r="BF201" s="12" t="n"/>
      <c r="BG201" s="12" t="n"/>
      <c r="BH201" s="12" t="n"/>
      <c r="BI201" s="12" t="n"/>
      <c r="BJ201" s="12" t="n"/>
      <c r="BK201" s="12" t="n"/>
      <c r="BL201" s="12" t="n"/>
      <c r="BM201" s="12" t="n"/>
      <c r="BN201" s="12" t="n"/>
      <c r="BO201" s="12" t="n"/>
      <c r="BP201" s="12" t="n"/>
      <c r="BQ201" s="12" t="n"/>
      <c r="BR201" s="12" t="n"/>
      <c r="BS201" s="12" t="n"/>
      <c r="BT201" s="12" t="n"/>
      <c r="BU201" s="12" t="n"/>
      <c r="BV201" s="12" t="n"/>
      <c r="BW201" s="12" t="n"/>
      <c r="BX201" s="12" t="n"/>
      <c r="BY201" s="12" t="n"/>
      <c r="BZ201" s="12" t="n"/>
      <c r="CA201" s="12" t="n"/>
      <c r="CB201" s="12" t="n"/>
      <c r="CC201" s="12" t="n"/>
      <c r="CD201" s="12" t="n"/>
      <c r="CE201" s="12" t="n"/>
      <c r="CF201" s="12" t="n"/>
      <c r="CG201" s="12" t="n"/>
      <c r="CH201" s="12" t="n"/>
      <c r="CI201" s="12" t="n"/>
      <c r="CJ201" s="12" t="n"/>
      <c r="CK201" s="12" t="n"/>
      <c r="CL201" s="12" t="n"/>
      <c r="CM201" s="12" t="n"/>
      <c r="CN201" s="12" t="n"/>
      <c r="CO201" s="12" t="n"/>
      <c r="CP201" s="12" t="n"/>
      <c r="CQ201" s="12" t="n"/>
      <c r="CR201" s="12" t="n"/>
      <c r="CS201" s="12" t="n"/>
      <c r="CT201" s="12" t="n"/>
      <c r="CU201" s="12" t="n"/>
      <c r="CV201" s="12" t="n"/>
      <c r="CW201" s="12" t="n"/>
      <c r="CX201" s="12" t="n"/>
      <c r="CY201" s="12" t="n"/>
    </row>
    <row r="202" collapsed="1">
      <c r="C202" s="14" t="inlineStr">
        <is>
          <t>Long term debt</t>
        </is>
      </c>
      <c r="D202" s="46" t="n"/>
      <c r="E202" s="46" t="n"/>
      <c r="F202" s="46" t="n"/>
      <c r="G202" s="46" t="n"/>
      <c r="H202" s="12" t="n"/>
      <c r="I202" s="46">
        <f>'Inputs (2)'!D35</f>
        <v>66890</v>
      </c>
      <c r="J202" s="46">
        <f>'Inputs (2)'!E35</f>
        <v>59231</v>
      </c>
      <c r="K202" s="46">
        <f>'Inputs (2)'!F35</f>
        <v>57429</v>
      </c>
      <c r="L202" s="46">
        <f>'Inputs (2)'!G35</f>
        <v>30824</v>
      </c>
      <c r="M202" s="12">
        <f>'Inputs (2)'!H35</f>
        <v>30824</v>
      </c>
      <c r="N202" s="46">
        <f>'Inputs (2)'!I35</f>
        <v>28649</v>
      </c>
      <c r="O202" s="46">
        <f>'Inputs (2)'!J35</f>
        <v>27571</v>
      </c>
      <c r="P202" s="46">
        <f>'Inputs (2)'!K35</f>
        <v>26121</v>
      </c>
      <c r="Q202" s="46">
        <f>'Inputs (2)'!L35</f>
        <v>28593</v>
      </c>
      <c r="R202" s="12">
        <f>'Inputs (2)'!M35</f>
        <v>28593</v>
      </c>
      <c r="S202" s="46">
        <f>'Inputs (2)'!N35</f>
        <v>20159</v>
      </c>
      <c r="T202" s="46">
        <f>'Inputs (2)'!O35</f>
        <v>19900</v>
      </c>
      <c r="U202" s="46">
        <f>'Inputs (2)'!P35</f>
        <v>19488</v>
      </c>
      <c r="V202" s="46">
        <f>'Inputs (2)'!Q35</f>
        <v>19711</v>
      </c>
      <c r="W202" s="12">
        <f>'Inputs (2)'!R35</f>
        <v>19711</v>
      </c>
      <c r="X202" s="46">
        <f>'Inputs (2)'!S35</f>
        <v>19493</v>
      </c>
      <c r="Y202" s="46">
        <f>'Inputs (2)'!T35</f>
        <v>17973</v>
      </c>
      <c r="Z202" s="46">
        <f>'Inputs (2)'!U35</f>
        <v>18240</v>
      </c>
      <c r="AA202" s="46">
        <f>'Inputs (2)'!V35</f>
        <v>17234</v>
      </c>
      <c r="AB202" s="12">
        <f>'Inputs (2)'!W35</f>
        <v>17234</v>
      </c>
      <c r="AC202" s="46">
        <f>'Inputs (2)'!X35</f>
        <v>17487</v>
      </c>
      <c r="AD202" s="46">
        <f>'Inputs (2)'!Y35</f>
        <v>16998</v>
      </c>
      <c r="AE202" s="46">
        <f>'Inputs (2)'!Z35</f>
        <v>18771</v>
      </c>
      <c r="AF202" s="46">
        <f>'Inputs (2)'!AA35</f>
        <v>18808</v>
      </c>
      <c r="AG202" s="12">
        <f>'Inputs (2)'!AB35</f>
        <v>18808</v>
      </c>
      <c r="AH202" s="12">
        <f>'Inputs (2)'!AC35</f>
        <v>18174</v>
      </c>
      <c r="AI202" s="12">
        <f>'Inputs (2)'!AD35</f>
        <v>17157</v>
      </c>
      <c r="AJ202" s="12">
        <f>AJ208</f>
        <v>17157</v>
      </c>
      <c r="AK202" s="12">
        <f>AK208</f>
        <v>17157</v>
      </c>
      <c r="AL202" s="12">
        <f>AK202</f>
        <v>17157</v>
      </c>
      <c r="AM202" s="12">
        <f>AM208</f>
        <v>17157</v>
      </c>
      <c r="AN202" s="12">
        <f>AN208</f>
        <v>17157</v>
      </c>
      <c r="AO202" s="12">
        <f>AO208</f>
        <v>17157</v>
      </c>
      <c r="AP202" s="12">
        <f>AP208</f>
        <v>17157</v>
      </c>
      <c r="AQ202" s="12">
        <f>AP202</f>
        <v>17157</v>
      </c>
      <c r="AR202" s="12">
        <f>AR208</f>
        <v>17157</v>
      </c>
      <c r="AS202" s="12">
        <f>AS208</f>
        <v>17157</v>
      </c>
      <c r="AT202" s="12">
        <f>AT208</f>
        <v>17157</v>
      </c>
      <c r="AU202" s="12">
        <f>AU208</f>
        <v>17157</v>
      </c>
      <c r="AV202" s="12">
        <f>AU202</f>
        <v>17157</v>
      </c>
      <c r="AW202" s="12">
        <f>AW208</f>
        <v>17157</v>
      </c>
      <c r="AX202" s="12">
        <f>AX208</f>
        <v>17157</v>
      </c>
      <c r="AY202" s="12">
        <f>AY208</f>
        <v>17157</v>
      </c>
      <c r="AZ202" s="12">
        <f>AZ208</f>
        <v>17157</v>
      </c>
      <c r="BA202" s="12">
        <f>AZ202</f>
        <v>17157</v>
      </c>
      <c r="BB202" s="12">
        <f>BB208</f>
        <v>17157</v>
      </c>
      <c r="BC202" s="12">
        <f>BC208</f>
        <v>17157</v>
      </c>
      <c r="BD202" s="12">
        <f>BD208</f>
        <v>17157</v>
      </c>
      <c r="BE202" s="12">
        <f>BE208</f>
        <v>17157</v>
      </c>
      <c r="BF202" s="12">
        <f>BE202</f>
        <v>17157</v>
      </c>
      <c r="BG202" s="12" t="n"/>
      <c r="BH202" s="12" t="n"/>
      <c r="BI202" s="12" t="n"/>
      <c r="BJ202" s="12" t="n"/>
      <c r="BK202" s="12" t="n"/>
      <c r="BL202" s="12" t="n"/>
      <c r="BM202" s="12" t="n"/>
      <c r="BN202" s="12" t="n"/>
      <c r="BO202" s="12" t="n"/>
      <c r="BP202" s="12" t="n"/>
      <c r="BQ202" s="12" t="n"/>
      <c r="BR202" s="12" t="n"/>
      <c r="BS202" s="12" t="n"/>
      <c r="BT202" s="12" t="n"/>
      <c r="BU202" s="12" t="n"/>
      <c r="BV202" s="12" t="n"/>
      <c r="BW202" s="12" t="n"/>
      <c r="BX202" s="12" t="n"/>
      <c r="BY202" s="12" t="n"/>
      <c r="BZ202" s="12" t="n"/>
      <c r="CA202" s="12" t="n"/>
      <c r="CB202" s="12" t="n"/>
      <c r="CC202" s="12" t="n"/>
      <c r="CD202" s="12" t="n"/>
      <c r="CE202" s="12" t="n"/>
      <c r="CF202" s="12" t="n"/>
      <c r="CG202" s="12" t="n"/>
      <c r="CH202" s="12" t="n"/>
      <c r="CI202" s="12" t="n"/>
      <c r="CJ202" s="12" t="n"/>
      <c r="CK202" s="12" t="n"/>
      <c r="CL202" s="12" t="n"/>
      <c r="CM202" s="12" t="n"/>
      <c r="CN202" s="12" t="n"/>
      <c r="CO202" s="12" t="n"/>
      <c r="CP202" s="12" t="n"/>
      <c r="CQ202" s="12" t="n"/>
      <c r="CR202" s="12" t="n"/>
      <c r="CS202" s="12" t="n"/>
      <c r="CT202" s="12" t="n"/>
      <c r="CU202" s="12" t="n"/>
      <c r="CV202" s="12" t="n"/>
      <c r="CW202" s="12" t="n"/>
      <c r="CX202" s="12" t="n"/>
      <c r="CY202" s="12" t="n"/>
    </row>
    <row r="203" hidden="1" outlineLevel="1">
      <c r="C203" s="57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  <c r="AH203" s="12" t="n"/>
      <c r="AI203" s="12" t="n"/>
      <c r="AJ203" s="12" t="n"/>
      <c r="AK203" s="12" t="n"/>
      <c r="AL203" s="12" t="n"/>
      <c r="AM203" s="12" t="n"/>
      <c r="AN203" s="12" t="n"/>
      <c r="AO203" s="12" t="n"/>
      <c r="AP203" s="12" t="n"/>
      <c r="AQ203" s="12" t="n"/>
      <c r="AR203" s="12" t="n"/>
      <c r="AS203" s="12" t="n"/>
      <c r="AT203" s="12" t="n"/>
      <c r="AU203" s="12" t="n"/>
      <c r="AV203" s="12" t="n"/>
      <c r="AW203" s="12" t="n"/>
      <c r="AX203" s="12" t="n"/>
      <c r="AY203" s="12" t="n"/>
      <c r="AZ203" s="12" t="n"/>
      <c r="BA203" s="12" t="n"/>
      <c r="BB203" s="12" t="n"/>
      <c r="BC203" s="12" t="n"/>
      <c r="BD203" s="12" t="n"/>
      <c r="BE203" s="12" t="n"/>
      <c r="BF203" s="12" t="n"/>
      <c r="BG203" s="12" t="n"/>
      <c r="BH203" s="12" t="n"/>
      <c r="BI203" s="12" t="n"/>
      <c r="BJ203" s="12" t="n"/>
      <c r="BK203" s="12" t="n"/>
      <c r="BL203" s="12" t="n"/>
      <c r="BM203" s="12" t="n"/>
      <c r="BN203" s="12" t="n"/>
      <c r="BO203" s="12" t="n"/>
      <c r="BP203" s="12" t="n"/>
      <c r="BQ203" s="12" t="n"/>
      <c r="BR203" s="12" t="n"/>
      <c r="BS203" s="12" t="n"/>
      <c r="BT203" s="12" t="n"/>
      <c r="BU203" s="12" t="n"/>
      <c r="BV203" s="12" t="n"/>
      <c r="BW203" s="12" t="n"/>
      <c r="BX203" s="12" t="n"/>
      <c r="BY203" s="12" t="n"/>
      <c r="BZ203" s="12" t="n"/>
      <c r="CA203" s="12" t="n"/>
      <c r="CB203" s="12" t="n"/>
      <c r="CC203" s="12" t="n"/>
      <c r="CD203" s="12" t="n"/>
      <c r="CE203" s="12" t="n"/>
      <c r="CF203" s="12" t="n"/>
      <c r="CG203" s="12" t="n"/>
      <c r="CH203" s="12" t="n"/>
      <c r="CI203" s="12" t="n"/>
      <c r="CJ203" s="12" t="n"/>
      <c r="CK203" s="12" t="n"/>
      <c r="CL203" s="12" t="n"/>
      <c r="CM203" s="12" t="n"/>
      <c r="CN203" s="12" t="n"/>
      <c r="CO203" s="12" t="n"/>
      <c r="CP203" s="12" t="n"/>
      <c r="CQ203" s="12" t="n"/>
      <c r="CR203" s="12" t="n"/>
      <c r="CS203" s="12" t="n"/>
      <c r="CT203" s="12" t="n"/>
      <c r="CU203" s="12" t="n"/>
      <c r="CV203" s="12" t="n"/>
      <c r="CW203" s="12" t="n"/>
      <c r="CX203" s="12" t="n"/>
      <c r="CY203" s="12" t="n"/>
    </row>
    <row r="204" hidden="1" outlineLevel="1">
      <c r="C204" s="57" t="inlineStr">
        <is>
          <t>Current portion of LTD</t>
        </is>
      </c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>
        <f>AF197</f>
        <v>1686</v>
      </c>
      <c r="AI204" s="62" t="n"/>
      <c r="AJ204" s="62" t="n"/>
      <c r="AK204" s="62" t="n"/>
      <c r="AL204" s="12" t="n"/>
      <c r="AM204" s="12">
        <f>AK197</f>
        <v>2000</v>
      </c>
      <c r="AN204" s="62" t="n"/>
      <c r="AO204" s="62" t="n"/>
      <c r="AP204" s="62" t="n"/>
      <c r="AQ204" s="12" t="n"/>
      <c r="AR204" s="12">
        <f>AP197</f>
        <v>2000</v>
      </c>
      <c r="AS204" s="62" t="n"/>
      <c r="AT204" s="62" t="n"/>
      <c r="AU204" s="62" t="n"/>
      <c r="AV204" s="12" t="n"/>
      <c r="AW204" s="12">
        <f>AU197</f>
        <v>2000</v>
      </c>
      <c r="AX204" s="62" t="n"/>
      <c r="AY204" s="62" t="n"/>
      <c r="AZ204" s="62" t="n"/>
      <c r="BA204" s="12" t="n"/>
      <c r="BB204" s="12">
        <f>AZ197</f>
        <v>2000</v>
      </c>
      <c r="BC204" s="62" t="n"/>
      <c r="BD204" s="62" t="n"/>
      <c r="BE204" s="62" t="n"/>
      <c r="BF204" s="12" t="n"/>
      <c r="BG204" s="12" t="n"/>
      <c r="BH204" s="62" t="n"/>
      <c r="BI204" s="62" t="n"/>
      <c r="BJ204" s="62" t="n"/>
      <c r="BK204" s="12" t="n"/>
      <c r="BL204" s="12" t="n"/>
      <c r="BM204" s="62" t="n"/>
      <c r="BN204" s="62" t="n"/>
      <c r="BO204" s="62" t="n"/>
      <c r="BP204" s="12" t="n"/>
      <c r="BQ204" s="12" t="n"/>
      <c r="BR204" s="62" t="n"/>
      <c r="BS204" s="62" t="n"/>
      <c r="BT204" s="62" t="n"/>
      <c r="BU204" s="12" t="n"/>
      <c r="BV204" s="12" t="n"/>
      <c r="BW204" s="62" t="n"/>
      <c r="BX204" s="62" t="n"/>
      <c r="BY204" s="62" t="n"/>
      <c r="BZ204" s="12" t="n"/>
      <c r="CA204" s="12" t="n"/>
      <c r="CB204" s="62" t="n"/>
      <c r="CC204" s="62" t="n"/>
      <c r="CD204" s="62" t="n"/>
      <c r="CE204" s="12" t="n"/>
      <c r="CF204" s="12" t="n"/>
      <c r="CG204" s="62" t="n"/>
      <c r="CH204" s="62" t="n"/>
      <c r="CI204" s="62" t="n"/>
      <c r="CJ204" s="12" t="n"/>
      <c r="CK204" s="12" t="n"/>
      <c r="CL204" s="62" t="n"/>
      <c r="CM204" s="62" t="n"/>
      <c r="CN204" s="62" t="n"/>
      <c r="CO204" s="12" t="n"/>
      <c r="CP204" s="12" t="n"/>
      <c r="CQ204" s="62" t="n"/>
      <c r="CR204" s="62" t="n"/>
      <c r="CS204" s="62" t="n"/>
      <c r="CT204" s="12" t="n"/>
      <c r="CU204" s="12" t="n"/>
      <c r="CV204" s="62" t="n"/>
      <c r="CW204" s="62" t="n"/>
      <c r="CX204" s="62" t="n"/>
      <c r="CY204" s="12" t="n"/>
    </row>
    <row r="205" hidden="1" outlineLevel="1">
      <c r="C205" s="57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12" t="n"/>
      <c r="AH205" s="12" t="n"/>
      <c r="AI205" s="12" t="n"/>
      <c r="AJ205" s="12" t="n"/>
      <c r="AK205" s="12" t="n"/>
      <c r="AL205" s="12" t="n"/>
      <c r="AM205" s="12" t="n"/>
      <c r="AN205" s="12" t="n"/>
      <c r="AO205" s="12" t="n"/>
      <c r="AP205" s="12" t="n"/>
      <c r="AQ205" s="12" t="n"/>
      <c r="AR205" s="12" t="n"/>
      <c r="AS205" s="12" t="n"/>
      <c r="AT205" s="12" t="n"/>
      <c r="AU205" s="12" t="n"/>
      <c r="AV205" s="12" t="n"/>
      <c r="AW205" s="12" t="n"/>
      <c r="AX205" s="12" t="n"/>
      <c r="AY205" s="12" t="n"/>
      <c r="AZ205" s="12" t="n"/>
      <c r="BA205" s="12" t="n"/>
      <c r="BB205" s="12" t="n"/>
      <c r="BC205" s="12" t="n"/>
      <c r="BD205" s="12" t="n"/>
      <c r="BE205" s="12" t="n"/>
      <c r="BF205" s="12" t="n"/>
      <c r="BG205" s="12" t="n"/>
      <c r="BH205" s="12" t="n"/>
      <c r="BI205" s="12" t="n"/>
      <c r="BJ205" s="12" t="n"/>
      <c r="BK205" s="12" t="n"/>
      <c r="BL205" s="12" t="n"/>
      <c r="BM205" s="12" t="n"/>
      <c r="BN205" s="12" t="n"/>
      <c r="BO205" s="12" t="n"/>
      <c r="BP205" s="12" t="n"/>
      <c r="BQ205" s="12" t="n"/>
      <c r="BR205" s="12" t="n"/>
      <c r="BS205" s="12" t="n"/>
      <c r="BT205" s="12" t="n"/>
      <c r="BU205" s="12" t="n"/>
      <c r="BV205" s="12" t="n"/>
      <c r="BW205" s="12" t="n"/>
      <c r="BX205" s="12" t="n"/>
      <c r="BY205" s="12" t="n"/>
      <c r="BZ205" s="12" t="n"/>
      <c r="CA205" s="12" t="n"/>
      <c r="CB205" s="12" t="n"/>
      <c r="CC205" s="12" t="n"/>
      <c r="CD205" s="12" t="n"/>
      <c r="CE205" s="12" t="n"/>
      <c r="CF205" s="12" t="n"/>
      <c r="CG205" s="12" t="n"/>
      <c r="CH205" s="12" t="n"/>
      <c r="CI205" s="12" t="n"/>
      <c r="CJ205" s="12" t="n"/>
      <c r="CK205" s="12" t="n"/>
      <c r="CL205" s="12" t="n"/>
      <c r="CM205" s="12" t="n"/>
      <c r="CN205" s="12" t="n"/>
      <c r="CO205" s="12" t="n"/>
      <c r="CP205" s="12" t="n"/>
      <c r="CQ205" s="12" t="n"/>
      <c r="CR205" s="12" t="n"/>
      <c r="CS205" s="12" t="n"/>
      <c r="CT205" s="12" t="n"/>
      <c r="CU205" s="12" t="n"/>
      <c r="CV205" s="12" t="n"/>
      <c r="CW205" s="12" t="n"/>
      <c r="CX205" s="12" t="n"/>
      <c r="CY205" s="12" t="n"/>
    </row>
    <row r="206" hidden="1" outlineLevel="1">
      <c r="C206" s="57" t="inlineStr">
        <is>
          <t>Reclassification of LTD to CP of LTD</t>
        </is>
      </c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>
        <f>-AI204</f>
        <v>0</v>
      </c>
      <c r="AJ206" s="12">
        <f>-AJ204</f>
        <v>0</v>
      </c>
      <c r="AK206" s="12">
        <f>-AK204</f>
        <v>0</v>
      </c>
      <c r="AL206" s="12" t="n"/>
      <c r="AM206" s="12" t="n"/>
      <c r="AN206" s="12">
        <f>-AN204</f>
        <v>0</v>
      </c>
      <c r="AO206" s="12">
        <f>-AO204</f>
        <v>0</v>
      </c>
      <c r="AP206" s="12">
        <f>-AP204</f>
        <v>0</v>
      </c>
      <c r="AQ206" s="12" t="n"/>
      <c r="AR206" s="12" t="n"/>
      <c r="AS206" s="12">
        <f>-AS204</f>
        <v>0</v>
      </c>
      <c r="AT206" s="12">
        <f>-AT204</f>
        <v>0</v>
      </c>
      <c r="AU206" s="12">
        <f>-AU204</f>
        <v>0</v>
      </c>
      <c r="AV206" s="12" t="n"/>
      <c r="AW206" s="12" t="n"/>
      <c r="AX206" s="12">
        <f>-AX204</f>
        <v>0</v>
      </c>
      <c r="AY206" s="12">
        <f>-AY204</f>
        <v>0</v>
      </c>
      <c r="AZ206" s="12">
        <f>-AZ204</f>
        <v>0</v>
      </c>
      <c r="BA206" s="12" t="n"/>
      <c r="BB206" s="12" t="n"/>
      <c r="BC206" s="12">
        <f>-BC204</f>
        <v>0</v>
      </c>
      <c r="BD206" s="12">
        <f>-BD204</f>
        <v>0</v>
      </c>
      <c r="BE206" s="12">
        <f>-BE204</f>
        <v>0</v>
      </c>
      <c r="BF206" s="12" t="n"/>
      <c r="BG206" s="12" t="n"/>
      <c r="BH206" s="12" t="n"/>
      <c r="BI206" s="12" t="n"/>
      <c r="BJ206" s="12" t="n"/>
      <c r="BK206" s="12" t="n"/>
      <c r="BL206" s="12" t="n"/>
      <c r="BM206" s="12" t="n"/>
      <c r="BN206" s="12" t="n"/>
      <c r="BO206" s="12" t="n"/>
      <c r="BP206" s="12" t="n"/>
      <c r="BQ206" s="12" t="n"/>
      <c r="BR206" s="12" t="n"/>
      <c r="BS206" s="12" t="n"/>
      <c r="BT206" s="12" t="n"/>
      <c r="BU206" s="12" t="n"/>
      <c r="BV206" s="12" t="n"/>
      <c r="BW206" s="12" t="n"/>
      <c r="BX206" s="12" t="n"/>
      <c r="BY206" s="12" t="n"/>
      <c r="BZ206" s="12" t="n"/>
      <c r="CA206" s="12" t="n"/>
      <c r="CB206" s="12" t="n"/>
      <c r="CC206" s="12" t="n"/>
      <c r="CD206" s="12" t="n"/>
      <c r="CE206" s="12" t="n"/>
      <c r="CF206" s="12" t="n"/>
      <c r="CG206" s="12" t="n"/>
      <c r="CH206" s="12" t="n"/>
      <c r="CI206" s="12" t="n"/>
      <c r="CJ206" s="12" t="n"/>
      <c r="CK206" s="12" t="n"/>
      <c r="CL206" s="12" t="n"/>
      <c r="CM206" s="12" t="n"/>
      <c r="CN206" s="12" t="n"/>
      <c r="CO206" s="12" t="n"/>
      <c r="CP206" s="12" t="n"/>
      <c r="CQ206" s="12" t="n"/>
      <c r="CR206" s="12" t="n"/>
      <c r="CS206" s="12" t="n"/>
      <c r="CT206" s="12" t="n"/>
      <c r="CU206" s="12" t="n"/>
      <c r="CV206" s="12" t="n"/>
      <c r="CW206" s="12" t="n"/>
      <c r="CX206" s="12" t="n"/>
      <c r="CY206" s="12" t="n"/>
    </row>
    <row r="207" hidden="1" outlineLevel="1">
      <c r="C207" s="57" t="inlineStr">
        <is>
          <t>Discretionary (paydown)/borrowing of long term debt</t>
        </is>
      </c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62" t="n"/>
      <c r="AI207" s="62" t="n"/>
      <c r="AJ207" s="62" t="n"/>
      <c r="AK207" s="62" t="n"/>
      <c r="AL207" s="12" t="n"/>
      <c r="AM207" s="62" t="n"/>
      <c r="AN207" s="62" t="n"/>
      <c r="AO207" s="62" t="n"/>
      <c r="AP207" s="62" t="n"/>
      <c r="AQ207" s="12" t="n"/>
      <c r="AR207" s="62" t="n"/>
      <c r="AS207" s="62" t="n"/>
      <c r="AT207" s="62" t="n"/>
      <c r="AU207" s="62" t="n"/>
      <c r="AV207" s="12" t="n"/>
      <c r="AW207" s="62" t="n"/>
      <c r="AX207" s="62" t="n"/>
      <c r="AY207" s="62" t="n"/>
      <c r="AZ207" s="62" t="n"/>
      <c r="BA207" s="12" t="n"/>
      <c r="BB207" s="62" t="n"/>
      <c r="BC207" s="62" t="n"/>
      <c r="BD207" s="62" t="n"/>
      <c r="BE207" s="62" t="n"/>
      <c r="BF207" s="12" t="n"/>
      <c r="BG207" s="62" t="n"/>
      <c r="BH207" s="62" t="n"/>
      <c r="BI207" s="62" t="n"/>
      <c r="BJ207" s="62" t="n"/>
      <c r="BK207" s="12" t="n"/>
      <c r="BL207" s="62" t="n"/>
      <c r="BM207" s="62" t="n"/>
      <c r="BN207" s="62" t="n"/>
      <c r="BO207" s="62" t="n"/>
      <c r="BP207" s="12" t="n"/>
      <c r="BQ207" s="62" t="n"/>
      <c r="BR207" s="62" t="n"/>
      <c r="BS207" s="62" t="n"/>
      <c r="BT207" s="62" t="n"/>
      <c r="BU207" s="12" t="n"/>
      <c r="BV207" s="62" t="n"/>
      <c r="BW207" s="62" t="n"/>
      <c r="BX207" s="62" t="n"/>
      <c r="BY207" s="62" t="n"/>
      <c r="BZ207" s="12" t="n"/>
      <c r="CA207" s="62" t="n"/>
      <c r="CB207" s="62" t="n"/>
      <c r="CC207" s="62" t="n"/>
      <c r="CD207" s="62" t="n"/>
      <c r="CE207" s="12" t="n"/>
      <c r="CF207" s="62" t="n"/>
      <c r="CG207" s="62" t="n"/>
      <c r="CH207" s="62" t="n"/>
      <c r="CI207" s="62" t="n"/>
      <c r="CJ207" s="12" t="n"/>
      <c r="CK207" s="62" t="n"/>
      <c r="CL207" s="62" t="n"/>
      <c r="CM207" s="62" t="n"/>
      <c r="CN207" s="62" t="n"/>
      <c r="CO207" s="12" t="n"/>
      <c r="CP207" s="62" t="n"/>
      <c r="CQ207" s="62" t="n"/>
      <c r="CR207" s="62" t="n"/>
      <c r="CS207" s="62" t="n"/>
      <c r="CT207" s="12" t="n"/>
      <c r="CU207" s="62" t="n"/>
      <c r="CV207" s="62" t="n"/>
      <c r="CW207" s="62" t="n"/>
      <c r="CX207" s="62" t="n"/>
      <c r="CY207" s="12" t="n"/>
    </row>
    <row r="208" hidden="1" outlineLevel="1">
      <c r="C208" s="57" t="inlineStr">
        <is>
          <t>Long term debt</t>
        </is>
      </c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>
        <f>AH202</f>
        <v>18174</v>
      </c>
      <c r="AI208" s="12">
        <f>AI202</f>
        <v>17157</v>
      </c>
      <c r="AJ208" s="12">
        <f>AI208+SUM(AJ206:AJ207)</f>
        <v>17157</v>
      </c>
      <c r="AK208" s="12">
        <f>AJ208+SUM(AK206:AK207)</f>
        <v>17157</v>
      </c>
      <c r="AL208" s="12" t="n"/>
      <c r="AM208" s="12">
        <f>AK208+SUM(AM206:AM207)</f>
        <v>17157</v>
      </c>
      <c r="AN208" s="12">
        <f>AM208+SUM(AN206:AN207)</f>
        <v>17157</v>
      </c>
      <c r="AO208" s="12">
        <f>AN208+SUM(AO206:AO207)</f>
        <v>17157</v>
      </c>
      <c r="AP208" s="12">
        <f>AO208+SUM(AP206:AP207)</f>
        <v>17157</v>
      </c>
      <c r="AQ208" s="12" t="n"/>
      <c r="AR208" s="12">
        <f>AP208+SUM(AR206:AR207)</f>
        <v>17157</v>
      </c>
      <c r="AS208" s="12">
        <f>AR208+SUM(AS206:AS207)</f>
        <v>17157</v>
      </c>
      <c r="AT208" s="12">
        <f>AS208+SUM(AT206:AT207)</f>
        <v>17157</v>
      </c>
      <c r="AU208" s="12">
        <f>AT208+SUM(AU206:AU207)</f>
        <v>17157</v>
      </c>
      <c r="AV208" s="12" t="n"/>
      <c r="AW208" s="12">
        <f>AU208+SUM(AW206:AW207)</f>
        <v>17157</v>
      </c>
      <c r="AX208" s="12">
        <f>AW208+SUM(AX206:AX207)</f>
        <v>17157</v>
      </c>
      <c r="AY208" s="12">
        <f>AX208+SUM(AY206:AY207)</f>
        <v>17157</v>
      </c>
      <c r="AZ208" s="12">
        <f>AY208+SUM(AZ206:AZ207)</f>
        <v>17157</v>
      </c>
      <c r="BA208" s="12" t="n"/>
      <c r="BB208" s="12">
        <f>AZ208+SUM(BB206:BB207)</f>
        <v>17157</v>
      </c>
      <c r="BC208" s="12">
        <f>BB208+SUM(BC206:BC207)</f>
        <v>17157</v>
      </c>
      <c r="BD208" s="12">
        <f>BC208+SUM(BD206:BD207)</f>
        <v>17157</v>
      </c>
      <c r="BE208" s="12">
        <f>BD208+SUM(BE206:BE207)</f>
        <v>17157</v>
      </c>
      <c r="BF208" s="12" t="n"/>
      <c r="BG208" s="12" t="n"/>
      <c r="BH208" s="12" t="n"/>
      <c r="BI208" s="12" t="n"/>
      <c r="BJ208" s="12" t="n"/>
      <c r="BK208" s="12" t="n"/>
      <c r="BL208" s="12" t="n"/>
      <c r="BM208" s="12" t="n"/>
      <c r="BN208" s="12" t="n"/>
      <c r="BO208" s="12" t="n"/>
      <c r="BP208" s="12" t="n"/>
      <c r="BQ208" s="12" t="n"/>
      <c r="BR208" s="12" t="n"/>
      <c r="BS208" s="12" t="n"/>
      <c r="BT208" s="12" t="n"/>
      <c r="BU208" s="12" t="n"/>
      <c r="BV208" s="12" t="n"/>
      <c r="BW208" s="12" t="n"/>
      <c r="BX208" s="12" t="n"/>
      <c r="BY208" s="12" t="n"/>
      <c r="BZ208" s="12" t="n"/>
      <c r="CA208" s="12" t="n"/>
      <c r="CB208" s="12" t="n"/>
      <c r="CC208" s="12" t="n"/>
      <c r="CD208" s="12" t="n"/>
      <c r="CE208" s="12" t="n"/>
      <c r="CF208" s="12" t="n"/>
      <c r="CG208" s="12" t="n"/>
      <c r="CH208" s="12" t="n"/>
      <c r="CI208" s="12" t="n"/>
      <c r="CJ208" s="12" t="n"/>
      <c r="CK208" s="12" t="n"/>
      <c r="CL208" s="12" t="n"/>
      <c r="CM208" s="12" t="n"/>
      <c r="CN208" s="12" t="n"/>
      <c r="CO208" s="12" t="n"/>
      <c r="CP208" s="12" t="n"/>
      <c r="CQ208" s="12" t="n"/>
      <c r="CR208" s="12" t="n"/>
      <c r="CS208" s="12" t="n"/>
      <c r="CT208" s="12" t="n"/>
      <c r="CU208" s="12" t="n"/>
      <c r="CV208" s="12" t="n"/>
      <c r="CW208" s="12" t="n"/>
      <c r="CX208" s="12" t="n"/>
      <c r="CY208" s="12" t="n"/>
    </row>
    <row r="209" hidden="1" outlineLevel="1">
      <c r="C209" s="57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2" t="n"/>
      <c r="AH209" s="12" t="n"/>
      <c r="AI209" s="12" t="n"/>
      <c r="AJ209" s="12" t="n"/>
      <c r="AK209" s="12" t="n"/>
      <c r="AL209" s="12" t="n"/>
      <c r="AM209" s="12" t="n"/>
      <c r="AN209" s="12" t="n"/>
      <c r="AO209" s="12" t="n"/>
      <c r="AP209" s="12" t="n"/>
      <c r="AQ209" s="12" t="n"/>
      <c r="AR209" s="12" t="n"/>
      <c r="AS209" s="12" t="n"/>
      <c r="AT209" s="12" t="n"/>
      <c r="AU209" s="12" t="n"/>
      <c r="AV209" s="12" t="n"/>
      <c r="AW209" s="12" t="n"/>
      <c r="AX209" s="12" t="n"/>
      <c r="AY209" s="12" t="n"/>
      <c r="AZ209" s="12" t="n"/>
      <c r="BA209" s="12" t="n"/>
      <c r="BB209" s="12" t="n"/>
      <c r="BC209" s="12" t="n"/>
      <c r="BD209" s="12" t="n"/>
      <c r="BE209" s="12" t="n"/>
      <c r="BF209" s="12" t="n"/>
      <c r="BG209" s="12" t="n"/>
      <c r="BH209" s="12" t="n"/>
      <c r="BI209" s="12" t="n"/>
      <c r="BJ209" s="12" t="n"/>
      <c r="BK209" s="12" t="n"/>
      <c r="BL209" s="12" t="n"/>
      <c r="BM209" s="12" t="n"/>
      <c r="BN209" s="12" t="n"/>
      <c r="BO209" s="12" t="n"/>
      <c r="BP209" s="12" t="n"/>
      <c r="BQ209" s="12" t="n"/>
      <c r="BR209" s="12" t="n"/>
      <c r="BS209" s="12" t="n"/>
      <c r="BT209" s="12" t="n"/>
      <c r="BU209" s="12" t="n"/>
      <c r="BV209" s="12" t="n"/>
      <c r="BW209" s="12" t="n"/>
      <c r="BX209" s="12" t="n"/>
      <c r="BY209" s="12" t="n"/>
      <c r="BZ209" s="12" t="n"/>
      <c r="CA209" s="12" t="n"/>
      <c r="CB209" s="12" t="n"/>
      <c r="CC209" s="12" t="n"/>
      <c r="CD209" s="12" t="n"/>
      <c r="CE209" s="12" t="n"/>
      <c r="CF209" s="12" t="n"/>
      <c r="CG209" s="12" t="n"/>
      <c r="CH209" s="12" t="n"/>
      <c r="CI209" s="12" t="n"/>
      <c r="CJ209" s="12" t="n"/>
      <c r="CK209" s="12" t="n"/>
      <c r="CL209" s="12" t="n"/>
      <c r="CM209" s="12" t="n"/>
      <c r="CN209" s="12" t="n"/>
      <c r="CO209" s="12" t="n"/>
      <c r="CP209" s="12" t="n"/>
      <c r="CQ209" s="12" t="n"/>
      <c r="CR209" s="12" t="n"/>
      <c r="CS209" s="12" t="n"/>
      <c r="CT209" s="12" t="n"/>
      <c r="CU209" s="12" t="n"/>
      <c r="CV209" s="12" t="n"/>
      <c r="CW209" s="12" t="n"/>
      <c r="CX209" s="12" t="n"/>
      <c r="CY209" s="12" t="n"/>
    </row>
    <row r="210" hidden="1" outlineLevel="1">
      <c r="C210" s="57" t="inlineStr">
        <is>
          <t>Discretionary (paydown)/borrowing of convertible debt</t>
        </is>
      </c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62" t="n"/>
      <c r="AI210" s="62" t="n"/>
      <c r="AJ210" s="62" t="n"/>
      <c r="AK210" s="62" t="n"/>
      <c r="AL210" s="12" t="n"/>
      <c r="AM210" s="62" t="n"/>
      <c r="AN210" s="62" t="n"/>
      <c r="AO210" s="62" t="n"/>
      <c r="AP210" s="62" t="n"/>
      <c r="AQ210" s="12" t="n"/>
      <c r="AR210" s="62" t="n"/>
      <c r="AS210" s="62" t="n"/>
      <c r="AT210" s="62" t="n"/>
      <c r="AU210" s="62" t="n"/>
      <c r="AV210" s="12" t="n"/>
      <c r="AW210" s="62" t="n"/>
      <c r="AX210" s="62" t="n"/>
      <c r="AY210" s="62" t="n"/>
      <c r="AZ210" s="62" t="n"/>
      <c r="BA210" s="12" t="n"/>
      <c r="BB210" s="62" t="n"/>
      <c r="BC210" s="62" t="n"/>
      <c r="BD210" s="62" t="n"/>
      <c r="BE210" s="62" t="n"/>
      <c r="BF210" s="12" t="n"/>
      <c r="BG210" s="62" t="n"/>
      <c r="BH210" s="62" t="n"/>
      <c r="BI210" s="62" t="n"/>
      <c r="BJ210" s="62" t="n"/>
      <c r="BK210" s="12" t="n"/>
      <c r="BL210" s="62" t="n"/>
      <c r="BM210" s="62" t="n"/>
      <c r="BN210" s="62" t="n"/>
      <c r="BO210" s="62" t="n"/>
      <c r="BP210" s="12" t="n"/>
      <c r="BQ210" s="62" t="n"/>
      <c r="BR210" s="62" t="n"/>
      <c r="BS210" s="62" t="n"/>
      <c r="BT210" s="62" t="n"/>
      <c r="BU210" s="12" t="n"/>
      <c r="BV210" s="62" t="n"/>
      <c r="BW210" s="62" t="n"/>
      <c r="BX210" s="62" t="n"/>
      <c r="BY210" s="62" t="n"/>
      <c r="BZ210" s="12" t="n"/>
      <c r="CA210" s="62" t="n"/>
      <c r="CB210" s="62" t="n"/>
      <c r="CC210" s="62" t="n"/>
      <c r="CD210" s="62" t="n"/>
      <c r="CE210" s="12" t="n"/>
      <c r="CF210" s="62" t="n"/>
      <c r="CG210" s="62" t="n"/>
      <c r="CH210" s="62" t="n"/>
      <c r="CI210" s="62" t="n"/>
      <c r="CJ210" s="12" t="n"/>
      <c r="CK210" s="62" t="n"/>
      <c r="CL210" s="62" t="n"/>
      <c r="CM210" s="62" t="n"/>
      <c r="CN210" s="62" t="n"/>
      <c r="CO210" s="12" t="n"/>
      <c r="CP210" s="62" t="n"/>
      <c r="CQ210" s="62" t="n"/>
      <c r="CR210" s="62" t="n"/>
      <c r="CS210" s="62" t="n"/>
      <c r="CT210" s="12" t="n"/>
      <c r="CU210" s="62" t="n"/>
      <c r="CV210" s="62" t="n"/>
      <c r="CW210" s="62" t="n"/>
      <c r="CX210" s="62" t="n"/>
      <c r="CY210" s="12" t="n"/>
    </row>
    <row r="211" hidden="1" outlineLevel="1">
      <c r="C211" s="57" t="inlineStr">
        <is>
          <t>Convertible debt</t>
        </is>
      </c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>
        <f>AH223</f>
        <v>0</v>
      </c>
      <c r="AI211" s="12">
        <f>AH211+SUM(AI210)</f>
        <v>0</v>
      </c>
      <c r="AJ211" s="12">
        <f>AI211+SUM(AJ210)</f>
        <v>0</v>
      </c>
      <c r="AK211" s="12">
        <f>AJ211+SUM(AK210)</f>
        <v>0</v>
      </c>
      <c r="AL211" s="12" t="n"/>
      <c r="AM211" s="12">
        <f>AM223</f>
        <v>0</v>
      </c>
      <c r="AN211" s="12">
        <f>AM211+SUM(AN210)</f>
        <v>0</v>
      </c>
      <c r="AO211" s="12">
        <f>AN211+SUM(AO210)</f>
        <v>0</v>
      </c>
      <c r="AP211" s="12">
        <f>AO211+SUM(AP210)</f>
        <v>0</v>
      </c>
      <c r="AQ211" s="12" t="n"/>
      <c r="AR211" s="12">
        <f>AR223</f>
        <v>0</v>
      </c>
      <c r="AS211" s="12">
        <f>AR211+SUM(AS210)</f>
        <v>0</v>
      </c>
      <c r="AT211" s="12">
        <f>AS211+SUM(AT210)</f>
        <v>0</v>
      </c>
      <c r="AU211" s="12">
        <f>AT211+SUM(AU210)</f>
        <v>0</v>
      </c>
      <c r="AV211" s="12" t="n"/>
      <c r="AW211" s="12">
        <f>AW223</f>
        <v>0</v>
      </c>
      <c r="AX211" s="12">
        <f>AW211+SUM(AX210)</f>
        <v>0</v>
      </c>
      <c r="AY211" s="12">
        <f>AX211+SUM(AY210)</f>
        <v>0</v>
      </c>
      <c r="AZ211" s="12">
        <f>AY211+SUM(AZ210)</f>
        <v>0</v>
      </c>
      <c r="BA211" s="12" t="n"/>
      <c r="BB211" s="12">
        <f>BB223</f>
        <v>0</v>
      </c>
      <c r="BC211" s="12">
        <f>BB211+SUM(BC210)</f>
        <v>0</v>
      </c>
      <c r="BD211" s="12">
        <f>BC211+SUM(BD210)</f>
        <v>0</v>
      </c>
      <c r="BE211" s="12">
        <f>BD211+SUM(BE210)</f>
        <v>0</v>
      </c>
      <c r="BF211" s="12" t="n"/>
      <c r="BG211" s="12" t="n"/>
      <c r="BH211" s="12" t="n"/>
      <c r="BI211" s="12" t="n"/>
      <c r="BJ211" s="12" t="n"/>
      <c r="BK211" s="12" t="n"/>
      <c r="BL211" s="12" t="n"/>
      <c r="BM211" s="12" t="n"/>
      <c r="BN211" s="12" t="n"/>
      <c r="BO211" s="12" t="n"/>
      <c r="BP211" s="12" t="n"/>
      <c r="BQ211" s="12" t="n"/>
      <c r="BR211" s="12" t="n"/>
      <c r="BS211" s="12" t="n"/>
      <c r="BT211" s="12" t="n"/>
      <c r="BU211" s="12" t="n"/>
      <c r="BV211" s="12" t="n"/>
      <c r="BW211" s="12" t="n"/>
      <c r="BX211" s="12" t="n"/>
      <c r="BY211" s="12" t="n"/>
      <c r="BZ211" s="12" t="n"/>
      <c r="CA211" s="12" t="n"/>
      <c r="CB211" s="12" t="n"/>
      <c r="CC211" s="12" t="n"/>
      <c r="CD211" s="12" t="n"/>
      <c r="CE211" s="12" t="n"/>
      <c r="CF211" s="12" t="n"/>
      <c r="CG211" s="12" t="n"/>
      <c r="CH211" s="12" t="n"/>
      <c r="CI211" s="12" t="n"/>
      <c r="CJ211" s="12" t="n"/>
      <c r="CK211" s="12" t="n"/>
      <c r="CL211" s="12" t="n"/>
      <c r="CM211" s="12" t="n"/>
      <c r="CN211" s="12" t="n"/>
      <c r="CO211" s="12" t="n"/>
      <c r="CP211" s="12" t="n"/>
      <c r="CQ211" s="12" t="n"/>
      <c r="CR211" s="12" t="n"/>
      <c r="CS211" s="12" t="n"/>
      <c r="CT211" s="12" t="n"/>
      <c r="CU211" s="12" t="n"/>
      <c r="CV211" s="12" t="n"/>
      <c r="CW211" s="12" t="n"/>
      <c r="CX211" s="12" t="n"/>
      <c r="CY211" s="12" t="n"/>
    </row>
    <row r="212" hidden="1" outlineLevel="1">
      <c r="C212" s="57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I212" s="12" t="n"/>
      <c r="AJ212" s="12" t="n"/>
      <c r="AK212" s="12" t="n"/>
      <c r="AL212" s="12" t="n"/>
      <c r="AN212" s="12" t="n"/>
      <c r="AO212" s="12" t="n"/>
      <c r="AP212" s="12" t="n"/>
      <c r="AQ212" s="12" t="n"/>
      <c r="AS212" s="12" t="n"/>
      <c r="AT212" s="12" t="n"/>
      <c r="AU212" s="12" t="n"/>
      <c r="AV212" s="12" t="n"/>
      <c r="AX212" s="12" t="n"/>
      <c r="AY212" s="12" t="n"/>
      <c r="AZ212" s="12" t="n"/>
      <c r="BA212" s="12" t="n"/>
      <c r="BC212" s="12" t="n"/>
      <c r="BD212" s="12" t="n"/>
      <c r="BE212" s="12" t="n"/>
      <c r="BF212" s="12" t="n"/>
      <c r="BH212" s="12" t="n"/>
      <c r="BI212" s="12" t="n"/>
      <c r="BJ212" s="12" t="n"/>
      <c r="BK212" s="12" t="n"/>
      <c r="BM212" s="12" t="n"/>
      <c r="BN212" s="12" t="n"/>
      <c r="BO212" s="12" t="n"/>
      <c r="BP212" s="12" t="n"/>
      <c r="BR212" s="12" t="n"/>
      <c r="BS212" s="12" t="n"/>
      <c r="BT212" s="12" t="n"/>
      <c r="BU212" s="12" t="n"/>
      <c r="BW212" s="12" t="n"/>
      <c r="BX212" s="12" t="n"/>
      <c r="BY212" s="12" t="n"/>
      <c r="BZ212" s="12" t="n"/>
      <c r="CB212" s="12" t="n"/>
      <c r="CC212" s="12" t="n"/>
      <c r="CD212" s="12" t="n"/>
      <c r="CE212" s="12" t="n"/>
      <c r="CG212" s="12" t="n"/>
      <c r="CH212" s="12" t="n"/>
      <c r="CI212" s="12" t="n"/>
      <c r="CJ212" s="12" t="n"/>
      <c r="CL212" s="12" t="n"/>
      <c r="CM212" s="12" t="n"/>
      <c r="CN212" s="12" t="n"/>
      <c r="CO212" s="12" t="n"/>
      <c r="CQ212" s="12" t="n"/>
      <c r="CR212" s="12" t="n"/>
      <c r="CS212" s="12" t="n"/>
      <c r="CT212" s="12" t="n"/>
      <c r="CV212" s="12" t="n"/>
      <c r="CW212" s="12" t="n"/>
      <c r="CX212" s="12" t="n"/>
      <c r="CY212" s="12" t="n"/>
    </row>
    <row r="213" hidden="1" outlineLevel="1">
      <c r="C213" s="57" t="inlineStr">
        <is>
          <t>Calculation of short term debt</t>
        </is>
      </c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12" t="n"/>
      <c r="AJ213" s="12" t="n"/>
      <c r="AK213" s="12" t="n"/>
      <c r="AL213" s="12" t="n"/>
      <c r="AM213" s="12" t="n"/>
      <c r="AN213" s="12" t="n"/>
      <c r="AO213" s="12" t="n"/>
      <c r="AP213" s="12" t="n"/>
      <c r="AQ213" s="12" t="n"/>
      <c r="AR213" s="12" t="n"/>
      <c r="AS213" s="12" t="n"/>
      <c r="AT213" s="12" t="n"/>
      <c r="AU213" s="12" t="n"/>
      <c r="AV213" s="12" t="n"/>
      <c r="AW213" s="12" t="n"/>
      <c r="AX213" s="12" t="n"/>
      <c r="AY213" s="12" t="n"/>
      <c r="AZ213" s="12" t="n"/>
      <c r="BA213" s="12" t="n"/>
      <c r="BB213" s="12" t="n"/>
      <c r="BC213" s="12" t="n"/>
      <c r="BD213" s="12" t="n"/>
      <c r="BE213" s="12" t="n"/>
      <c r="BF213" s="12" t="n"/>
      <c r="BG213" s="12" t="n"/>
      <c r="BH213" s="12" t="n"/>
      <c r="BI213" s="12" t="n"/>
      <c r="BJ213" s="12" t="n"/>
      <c r="BK213" s="12" t="n"/>
      <c r="BL213" s="12" t="n"/>
      <c r="BM213" s="12" t="n"/>
      <c r="BN213" s="12" t="n"/>
      <c r="BO213" s="12" t="n"/>
      <c r="BP213" s="12" t="n"/>
      <c r="BQ213" s="12" t="n"/>
      <c r="BR213" s="12" t="n"/>
      <c r="BS213" s="12" t="n"/>
      <c r="BT213" s="12" t="n"/>
      <c r="BU213" s="12" t="n"/>
      <c r="BV213" s="12" t="n"/>
      <c r="BW213" s="12" t="n"/>
      <c r="BX213" s="12" t="n"/>
      <c r="BY213" s="12" t="n"/>
      <c r="BZ213" s="12" t="n"/>
      <c r="CA213" s="12" t="n"/>
      <c r="CB213" s="12" t="n"/>
      <c r="CC213" s="12" t="n"/>
      <c r="CD213" s="12" t="n"/>
      <c r="CE213" s="12" t="n"/>
      <c r="CF213" s="12" t="n"/>
      <c r="CG213" s="12" t="n"/>
      <c r="CH213" s="12" t="n"/>
      <c r="CI213" s="12" t="n"/>
      <c r="CJ213" s="12" t="n"/>
      <c r="CK213" s="12" t="n"/>
      <c r="CL213" s="12" t="n"/>
      <c r="CM213" s="12" t="n"/>
      <c r="CN213" s="12" t="n"/>
      <c r="CO213" s="12" t="n"/>
      <c r="CP213" s="12" t="n"/>
      <c r="CQ213" s="12" t="n"/>
      <c r="CR213" s="12" t="n"/>
      <c r="CS213" s="12" t="n"/>
      <c r="CT213" s="12" t="n"/>
      <c r="CU213" s="12" t="n"/>
      <c r="CV213" s="12" t="n"/>
      <c r="CW213" s="12" t="n"/>
      <c r="CX213" s="12" t="n"/>
      <c r="CY213" s="12" t="n"/>
    </row>
    <row r="214" hidden="1" outlineLevel="1">
      <c r="C214" s="57" t="inlineStr">
        <is>
          <t>Cash @ beginning of the period (end of last period)</t>
        </is>
      </c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/>
      <c r="AH214" s="63">
        <f>AG129</f>
        <v>12392</v>
      </c>
      <c r="AI214" s="12" t="n"/>
      <c r="AJ214" s="12" t="n"/>
      <c r="AK214" s="12" t="n"/>
      <c r="AL214" s="12" t="n"/>
      <c r="AM214" s="63">
        <f>AL129</f>
        <v>12635.4993816491</v>
      </c>
      <c r="AN214" s="12" t="n"/>
      <c r="AO214" s="12" t="n"/>
      <c r="AP214" s="12" t="n"/>
      <c r="AQ214" s="12" t="n"/>
      <c r="AR214" s="63">
        <f>AQ129</f>
        <v>22464.0840451945</v>
      </c>
      <c r="AS214" s="12" t="n"/>
      <c r="AT214" s="12" t="n"/>
      <c r="AU214" s="12" t="n"/>
      <c r="AV214" s="12" t="n"/>
      <c r="AW214" s="63">
        <f>AV129</f>
        <v>34281.787357234</v>
      </c>
      <c r="AX214" s="12" t="n"/>
      <c r="AY214" s="12" t="n"/>
      <c r="AZ214" s="12" t="n"/>
      <c r="BA214" s="12" t="n"/>
      <c r="BB214" s="63">
        <f>BA129</f>
        <v>48431.7967296657</v>
      </c>
      <c r="BC214" s="12" t="n"/>
      <c r="BD214" s="12" t="n"/>
      <c r="BE214" s="12" t="n"/>
      <c r="BF214" s="12" t="n"/>
      <c r="BG214" s="63" t="n"/>
      <c r="BH214" s="12" t="n"/>
      <c r="BI214" s="12" t="n"/>
      <c r="BJ214" s="12" t="n"/>
      <c r="BK214" s="12" t="n"/>
      <c r="BL214" s="63" t="n"/>
      <c r="BM214" s="12" t="n"/>
      <c r="BN214" s="12" t="n"/>
      <c r="BO214" s="12" t="n"/>
      <c r="BP214" s="12" t="n"/>
      <c r="BQ214" s="63" t="n"/>
      <c r="BR214" s="12" t="n"/>
      <c r="BS214" s="12" t="n"/>
      <c r="BT214" s="12" t="n"/>
      <c r="BU214" s="12" t="n"/>
      <c r="BV214" s="63" t="n"/>
      <c r="BW214" s="12" t="n"/>
      <c r="BX214" s="12" t="n"/>
      <c r="BY214" s="12" t="n"/>
      <c r="BZ214" s="12" t="n"/>
      <c r="CA214" s="63" t="n"/>
      <c r="CB214" s="12" t="n"/>
      <c r="CC214" s="12" t="n"/>
      <c r="CD214" s="12" t="n"/>
      <c r="CE214" s="12" t="n"/>
      <c r="CF214" s="63" t="n"/>
      <c r="CG214" s="12" t="n"/>
      <c r="CH214" s="12" t="n"/>
      <c r="CI214" s="12" t="n"/>
      <c r="CJ214" s="12" t="n"/>
      <c r="CK214" s="63" t="n"/>
      <c r="CL214" s="12" t="n"/>
      <c r="CM214" s="12" t="n"/>
      <c r="CN214" s="12" t="n"/>
      <c r="CO214" s="12" t="n"/>
      <c r="CP214" s="63" t="n"/>
      <c r="CQ214" s="12" t="n"/>
      <c r="CR214" s="12" t="n"/>
      <c r="CS214" s="12" t="n"/>
      <c r="CT214" s="12" t="n"/>
      <c r="CU214" s="63" t="n"/>
      <c r="CV214" s="12" t="n"/>
      <c r="CW214" s="12" t="n"/>
      <c r="CX214" s="12" t="n"/>
      <c r="CY214" s="12" t="n"/>
    </row>
    <row r="215" hidden="1" outlineLevel="1">
      <c r="C215" s="57" t="inlineStr">
        <is>
          <t>Plus: Free cash flows prior to debt during period</t>
        </is>
      </c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inlineStr">
        <is>
          <t>% of sales</t>
        </is>
      </c>
      <c r="AH215" s="64">
        <f>(AH277+AH284)+SUM(AH287:AH293)</f>
        <v>-3167</v>
      </c>
      <c r="AI215" s="64">
        <f>(AI277+AI284)+SUM(AI287:AI293)</f>
        <v>-2581</v>
      </c>
      <c r="AJ215" s="64">
        <f>(AJ277+AJ284)+SUM(AJ287:AJ293)</f>
        <v>0</v>
      </c>
      <c r="AK215" s="64">
        <f>(AK277+AK284)+SUM(AK287:AK293)</f>
        <v>0</v>
      </c>
      <c r="AL215" s="12" t="n"/>
      <c r="AM215" s="64">
        <f>(AM277+AM284)+SUM(AM287:AM293)</f>
        <v>0</v>
      </c>
      <c r="AN215" s="64">
        <f>(AN277+AN284)+SUM(AN287:AN293)</f>
        <v>0</v>
      </c>
      <c r="AO215" s="64">
        <f>(AO277+AO284)+SUM(AO287:AO293)</f>
        <v>0</v>
      </c>
      <c r="AP215" s="64">
        <f>(AP277+AP284)+SUM(AP287:AP293)</f>
        <v>0</v>
      </c>
      <c r="AQ215" s="12" t="n"/>
      <c r="AR215" s="64">
        <f>(AR277+AR284)+SUM(AR287:AR293)</f>
        <v>0</v>
      </c>
      <c r="AS215" s="64">
        <f>(AS277+AS284)+SUM(AS287:AS293)</f>
        <v>0</v>
      </c>
      <c r="AT215" s="64">
        <f>(AT277+AT284)+SUM(AT287:AT293)</f>
        <v>0</v>
      </c>
      <c r="AU215" s="64">
        <f>(AU277+AU284)+SUM(AU287:AU293)</f>
        <v>0</v>
      </c>
      <c r="AV215" s="12" t="n"/>
      <c r="AW215" s="64">
        <f>(AW277+AW284)+SUM(AW287:AW293)</f>
        <v>0</v>
      </c>
      <c r="AX215" s="64">
        <f>(AX277+AX284)+SUM(AX287:AX293)</f>
        <v>0</v>
      </c>
      <c r="AY215" s="64">
        <f>(AY277+AY284)+SUM(AY287:AY293)</f>
        <v>0</v>
      </c>
      <c r="AZ215" s="64">
        <f>(AZ277+AZ284)+SUM(AZ287:AZ293)</f>
        <v>0</v>
      </c>
      <c r="BA215" s="12" t="n"/>
      <c r="BB215" s="64">
        <f>(BB277+BB284)+SUM(BB287:BB293)</f>
        <v>0</v>
      </c>
      <c r="BC215" s="64">
        <f>(BC277+BC284)+SUM(BC287:BC293)</f>
        <v>0</v>
      </c>
      <c r="BD215" s="64">
        <f>(BD277+BD284)+SUM(BD287:BD293)</f>
        <v>0</v>
      </c>
      <c r="BE215" s="64">
        <f>(BE277+BE284)+SUM(BE287:BE293)</f>
        <v>0</v>
      </c>
      <c r="BF215" s="12" t="n"/>
      <c r="BG215" s="64" t="n"/>
      <c r="BH215" s="64" t="n"/>
      <c r="BI215" s="64" t="n"/>
      <c r="BJ215" s="64" t="n"/>
      <c r="BK215" s="12" t="n"/>
      <c r="BL215" s="64" t="n"/>
      <c r="BM215" s="64" t="n"/>
      <c r="BN215" s="64" t="n"/>
      <c r="BO215" s="64" t="n"/>
      <c r="BP215" s="12" t="n"/>
      <c r="BQ215" s="64" t="n"/>
      <c r="BR215" s="64" t="n"/>
      <c r="BS215" s="64" t="n"/>
      <c r="BT215" s="64" t="n"/>
      <c r="BU215" s="12" t="n"/>
      <c r="BV215" s="64" t="n"/>
      <c r="BW215" s="64" t="n"/>
      <c r="BX215" s="64" t="n"/>
      <c r="BY215" s="64" t="n"/>
      <c r="BZ215" s="12" t="n"/>
      <c r="CA215" s="64" t="n"/>
      <c r="CB215" s="64" t="n"/>
      <c r="CC215" s="64" t="n"/>
      <c r="CD215" s="64" t="n"/>
      <c r="CE215" s="12" t="n"/>
      <c r="CF215" s="64" t="n"/>
      <c r="CG215" s="64" t="n"/>
      <c r="CH215" s="64" t="n"/>
      <c r="CI215" s="64" t="n"/>
      <c r="CJ215" s="12" t="n"/>
      <c r="CK215" s="64" t="n"/>
      <c r="CL215" s="64" t="n"/>
      <c r="CM215" s="64" t="n"/>
      <c r="CN215" s="64" t="n"/>
      <c r="CO215" s="12" t="n"/>
      <c r="CP215" s="64" t="n"/>
      <c r="CQ215" s="64" t="n"/>
      <c r="CR215" s="64" t="n"/>
      <c r="CS215" s="64" t="n"/>
      <c r="CT215" s="12" t="n"/>
      <c r="CU215" s="64" t="n"/>
      <c r="CV215" s="64" t="n"/>
      <c r="CW215" s="64" t="n"/>
      <c r="CX215" s="64" t="n"/>
      <c r="CY215" s="12" t="n"/>
    </row>
    <row r="216" hidden="1" outlineLevel="1">
      <c r="C216" s="57" t="inlineStr">
        <is>
          <t>Less: Minimum cash balance</t>
        </is>
      </c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52" t="n"/>
      <c r="AH216" s="12">
        <f>($AG$216*AH15)</f>
        <v>0</v>
      </c>
      <c r="AI216" s="12">
        <f>($AG$216*AI15)</f>
        <v>0</v>
      </c>
      <c r="AJ216" s="12">
        <f>($AG$216*AJ15)</f>
        <v>0</v>
      </c>
      <c r="AK216" s="12">
        <f>($AG$216*AK15)</f>
        <v>0</v>
      </c>
      <c r="AL216" s="12" t="n"/>
      <c r="AM216" s="12">
        <f>($AG$216*AM15)</f>
        <v>0</v>
      </c>
      <c r="AN216" s="12">
        <f>($AG$216*AN15)</f>
        <v>0</v>
      </c>
      <c r="AO216" s="12">
        <f>($AG$216*AO15)</f>
        <v>0</v>
      </c>
      <c r="AP216" s="12">
        <f>($AG$216*AP15)</f>
        <v>0</v>
      </c>
      <c r="AQ216" s="12" t="n"/>
      <c r="AR216" s="12">
        <f>($AG$216*AR15)</f>
        <v>0</v>
      </c>
      <c r="AS216" s="12">
        <f>($AG$216*AS15)</f>
        <v>0</v>
      </c>
      <c r="AT216" s="12">
        <f>($AG$216*AT15)</f>
        <v>0</v>
      </c>
      <c r="AU216" s="12">
        <f>($AG$216*AU15)</f>
        <v>0</v>
      </c>
      <c r="AV216" s="12" t="n"/>
      <c r="AW216" s="12">
        <f>($AG$216*AW15)</f>
        <v>0</v>
      </c>
      <c r="AX216" s="12">
        <f>($AG$216*AX15)</f>
        <v>0</v>
      </c>
      <c r="AY216" s="12">
        <f>($AG$216*AY15)</f>
        <v>0</v>
      </c>
      <c r="AZ216" s="12">
        <f>($AG$216*AZ15)</f>
        <v>0</v>
      </c>
      <c r="BA216" s="12" t="n"/>
      <c r="BB216" s="12">
        <f>($AG$216*BB15)</f>
        <v>0</v>
      </c>
      <c r="BC216" s="12">
        <f>($AG$216*BC15)</f>
        <v>0</v>
      </c>
      <c r="BD216" s="12">
        <f>($AG$216*BD15)</f>
        <v>0</v>
      </c>
      <c r="BE216" s="12">
        <f>($AG$216*BE15)</f>
        <v>0</v>
      </c>
      <c r="BF216" s="12" t="n"/>
      <c r="BG216" s="12" t="n"/>
      <c r="BH216" s="12" t="n"/>
      <c r="BI216" s="12" t="n"/>
      <c r="BJ216" s="12" t="n"/>
      <c r="BK216" s="12" t="n"/>
      <c r="BL216" s="12" t="n"/>
      <c r="BM216" s="12" t="n"/>
      <c r="BN216" s="12" t="n"/>
      <c r="BO216" s="12" t="n"/>
      <c r="BP216" s="12" t="n"/>
      <c r="BQ216" s="12" t="n"/>
      <c r="BR216" s="12" t="n"/>
      <c r="BS216" s="12" t="n"/>
      <c r="BT216" s="12" t="n"/>
      <c r="BU216" s="12" t="n"/>
      <c r="BV216" s="12" t="n"/>
      <c r="BW216" s="12" t="n"/>
      <c r="BX216" s="12" t="n"/>
      <c r="BY216" s="12" t="n"/>
      <c r="BZ216" s="12" t="n"/>
      <c r="CA216" s="12" t="n"/>
      <c r="CB216" s="12" t="n"/>
      <c r="CC216" s="12" t="n"/>
      <c r="CD216" s="12" t="n"/>
      <c r="CE216" s="12" t="n"/>
      <c r="CF216" s="12" t="n"/>
      <c r="CG216" s="12" t="n"/>
      <c r="CH216" s="12" t="n"/>
      <c r="CI216" s="12" t="n"/>
      <c r="CJ216" s="12" t="n"/>
      <c r="CK216" s="12" t="n"/>
      <c r="CL216" s="12" t="n"/>
      <c r="CM216" s="12" t="n"/>
      <c r="CN216" s="12" t="n"/>
      <c r="CO216" s="12" t="n"/>
      <c r="CP216" s="12" t="n"/>
      <c r="CQ216" s="12" t="n"/>
      <c r="CR216" s="12" t="n"/>
      <c r="CS216" s="12" t="n"/>
      <c r="CT216" s="12" t="n"/>
      <c r="CU216" s="12" t="n"/>
      <c r="CV216" s="12" t="n"/>
      <c r="CW216" s="12" t="n"/>
      <c r="CX216" s="12" t="n"/>
      <c r="CY216" s="12" t="n"/>
    </row>
    <row r="217" hidden="1" outlineLevel="1">
      <c r="C217" s="57" t="inlineStr">
        <is>
          <t>Total cash available / (debt required) for short term debt paydown</t>
        </is>
      </c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3">
        <f>AH214+AH215-AH216-AF204+AH206+AH210</f>
        <v>9225</v>
      </c>
      <c r="AI217" s="3">
        <f>AI214+AI215-AI216-AG204+AI206+AI210</f>
        <v>-2581</v>
      </c>
      <c r="AJ217" s="3">
        <f>AJ214+AJ215-AJ216-AH204+AJ206+AJ210</f>
        <v>-1686</v>
      </c>
      <c r="AK217" s="3">
        <f>AK214+AK215-AK216-AI204+AK206+AK210</f>
        <v>0</v>
      </c>
      <c r="AL217" s="12" t="n"/>
      <c r="AM217" s="3">
        <f>AM214+AM215-AM216-AK204+AM206+AM210</f>
        <v>12635.4993816491</v>
      </c>
      <c r="AN217" s="3">
        <f>AN214+AN215-AN216-AL204+AN206+AN210</f>
        <v>0</v>
      </c>
      <c r="AO217" s="3">
        <f>AO214+AO215-AO216-AM204+AO206+AO210</f>
        <v>-2000</v>
      </c>
      <c r="AP217" s="3">
        <f>AP214+AP215-AP216-AN204+AP206+AP210</f>
        <v>0</v>
      </c>
      <c r="AQ217" s="12" t="n"/>
      <c r="AR217" s="3">
        <f>AR214+AR215-AR216-AP204+AR206+AR210</f>
        <v>22464.0840451945</v>
      </c>
      <c r="AS217" s="3">
        <f>AS214+AS215-AS216-AQ204+AS206+AS210</f>
        <v>0</v>
      </c>
      <c r="AT217" s="3">
        <f>AT214+AT215-AT216-AR204+AT206+AT210</f>
        <v>-2000</v>
      </c>
      <c r="AU217" s="3">
        <f>AU214+AU215-AU216-AS204+AU206+AU210</f>
        <v>0</v>
      </c>
      <c r="AV217" s="12" t="n"/>
      <c r="AW217" s="3">
        <f>AW214+AW215-AW216-AU204+AW206+AW210</f>
        <v>34281.787357234</v>
      </c>
      <c r="AX217" s="3">
        <f>AX214+AX215-AX216-AV204+AX206+AX210</f>
        <v>0</v>
      </c>
      <c r="AY217" s="3">
        <f>AY214+AY215-AY216-AW204+AY206+AY210</f>
        <v>-2000</v>
      </c>
      <c r="AZ217" s="3">
        <f>AZ214+AZ215-AZ216-AX204+AZ206+AZ210</f>
        <v>0</v>
      </c>
      <c r="BA217" s="12" t="n"/>
      <c r="BB217" s="3">
        <f>BB214+BB215-BB216-AZ204+BB206+BB210</f>
        <v>48431.7967296657</v>
      </c>
      <c r="BC217" s="3">
        <f>BC214+BC215-BC216-BA204+BC206+BC210</f>
        <v>0</v>
      </c>
      <c r="BD217" s="3">
        <f>BD214+BD215-BD216-BB204+BD206+BD210</f>
        <v>-2000</v>
      </c>
      <c r="BE217" s="3">
        <f>BE214+BE215-BE216-BC204+BE206+BE210</f>
        <v>0</v>
      </c>
      <c r="BF217" s="12" t="n"/>
      <c r="BG217" s="3" t="n"/>
      <c r="BH217" s="3" t="n"/>
      <c r="BI217" s="3" t="n"/>
      <c r="BJ217" s="3" t="n"/>
      <c r="BK217" s="12" t="n"/>
      <c r="BL217" s="3" t="n"/>
      <c r="BM217" s="3" t="n"/>
      <c r="BN217" s="3" t="n"/>
      <c r="BO217" s="3" t="n"/>
      <c r="BP217" s="12" t="n"/>
      <c r="BQ217" s="3" t="n"/>
      <c r="BR217" s="3" t="n"/>
      <c r="BS217" s="3" t="n"/>
      <c r="BT217" s="3" t="n"/>
      <c r="BU217" s="12" t="n"/>
      <c r="BV217" s="3" t="n"/>
      <c r="BW217" s="3" t="n"/>
      <c r="BX217" s="3" t="n"/>
      <c r="BY217" s="3" t="n"/>
      <c r="BZ217" s="12" t="n"/>
      <c r="CA217" s="3" t="n"/>
      <c r="CB217" s="3" t="n"/>
      <c r="CC217" s="3" t="n"/>
      <c r="CD217" s="3" t="n"/>
      <c r="CE217" s="12" t="n"/>
      <c r="CF217" s="3" t="n"/>
      <c r="CG217" s="3" t="n"/>
      <c r="CH217" s="3" t="n"/>
      <c r="CI217" s="3" t="n"/>
      <c r="CJ217" s="12" t="n"/>
      <c r="CK217" s="3" t="n"/>
      <c r="CL217" s="3" t="n"/>
      <c r="CM217" s="3" t="n"/>
      <c r="CN217" s="3" t="n"/>
      <c r="CO217" s="12" t="n"/>
      <c r="CP217" s="3" t="n"/>
      <c r="CQ217" s="3" t="n"/>
      <c r="CR217" s="3" t="n"/>
      <c r="CS217" s="3" t="n"/>
      <c r="CT217" s="12" t="n"/>
      <c r="CU217" s="3" t="n"/>
      <c r="CV217" s="3" t="n"/>
      <c r="CW217" s="3" t="n"/>
      <c r="CX217" s="3" t="n"/>
      <c r="CY217" s="12" t="n"/>
    </row>
    <row r="218" hidden="1" outlineLevel="1">
      <c r="C218" s="57" t="inlineStr">
        <is>
          <t>Short term debt</t>
        </is>
      </c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>
        <f>AH198</f>
        <v>0</v>
      </c>
      <c r="AI218" s="12">
        <f>MAX(0,AH218-AI217)</f>
        <v>2581</v>
      </c>
      <c r="AJ218" s="12">
        <f>MAX(0,AI218-AJ217)</f>
        <v>4267</v>
      </c>
      <c r="AK218" s="12">
        <f>MAX(0,AJ218-AK217)</f>
        <v>4267</v>
      </c>
      <c r="AL218" s="12" t="n"/>
      <c r="AM218" s="12">
        <f>AM198</f>
        <v>0</v>
      </c>
      <c r="AN218" s="12">
        <f>MAX(0,AM218-AN217)</f>
        <v>0</v>
      </c>
      <c r="AO218" s="12">
        <f>MAX(0,AN218-AO217)</f>
        <v>2000</v>
      </c>
      <c r="AP218" s="12">
        <f>MAX(0,AO218-AP217)</f>
        <v>2000</v>
      </c>
      <c r="AQ218" s="12" t="n"/>
      <c r="AR218" s="12">
        <f>AR198</f>
        <v>0</v>
      </c>
      <c r="AS218" s="12">
        <f>MAX(0,AR218-AS217)</f>
        <v>0</v>
      </c>
      <c r="AT218" s="12">
        <f>MAX(0,AS218-AT217)</f>
        <v>2000</v>
      </c>
      <c r="AU218" s="12">
        <f>MAX(0,AT218-AU217)</f>
        <v>2000</v>
      </c>
      <c r="AV218" s="12" t="n"/>
      <c r="AW218" s="12">
        <f>AW198</f>
        <v>0</v>
      </c>
      <c r="AX218" s="12">
        <f>MAX(0,AW218-AX217)</f>
        <v>0</v>
      </c>
      <c r="AY218" s="12">
        <f>MAX(0,AX218-AY217)</f>
        <v>2000</v>
      </c>
      <c r="AZ218" s="12">
        <f>MAX(0,AY218-AZ217)</f>
        <v>2000</v>
      </c>
      <c r="BA218" s="12" t="n"/>
      <c r="BB218" s="12">
        <f>BB198</f>
        <v>0</v>
      </c>
      <c r="BC218" s="12">
        <f>MAX(0,BB218-BC217)</f>
        <v>0</v>
      </c>
      <c r="BD218" s="12">
        <f>MAX(0,BC218-BD217)</f>
        <v>2000</v>
      </c>
      <c r="BE218" s="12">
        <f>MAX(0,BD218-BE217)</f>
        <v>2000</v>
      </c>
      <c r="BF218" s="12" t="n"/>
      <c r="BG218" s="12" t="n"/>
      <c r="BH218" s="12" t="n"/>
      <c r="BI218" s="12" t="n"/>
      <c r="BJ218" s="12" t="n"/>
      <c r="BK218" s="12" t="n"/>
      <c r="BL218" s="12" t="n"/>
      <c r="BM218" s="12" t="n"/>
      <c r="BN218" s="12" t="n"/>
      <c r="BO218" s="12" t="n"/>
      <c r="BP218" s="12" t="n"/>
      <c r="BQ218" s="12" t="n"/>
      <c r="BR218" s="12" t="n"/>
      <c r="BS218" s="12" t="n"/>
      <c r="BT218" s="12" t="n"/>
      <c r="BU218" s="12" t="n"/>
      <c r="BV218" s="12" t="n"/>
      <c r="BW218" s="12" t="n"/>
      <c r="BX218" s="12" t="n"/>
      <c r="BY218" s="12" t="n"/>
      <c r="BZ218" s="12" t="n"/>
      <c r="CA218" s="12" t="n"/>
      <c r="CB218" s="12" t="n"/>
      <c r="CC218" s="12" t="n"/>
      <c r="CD218" s="12" t="n"/>
      <c r="CE218" s="12" t="n"/>
      <c r="CF218" s="12" t="n"/>
      <c r="CG218" s="12" t="n"/>
      <c r="CH218" s="12" t="n"/>
      <c r="CI218" s="12" t="n"/>
      <c r="CJ218" s="12" t="n"/>
      <c r="CK218" s="12" t="n"/>
      <c r="CL218" s="12" t="n"/>
      <c r="CM218" s="12" t="n"/>
      <c r="CN218" s="12" t="n"/>
      <c r="CO218" s="12" t="n"/>
      <c r="CP218" s="12" t="n"/>
      <c r="CQ218" s="12" t="n"/>
      <c r="CR218" s="12" t="n"/>
      <c r="CS218" s="12" t="n"/>
      <c r="CT218" s="12" t="n"/>
      <c r="CU218" s="12" t="n"/>
      <c r="CV218" s="12" t="n"/>
      <c r="CW218" s="12" t="n"/>
      <c r="CX218" s="12" t="n"/>
      <c r="CY218" s="12" t="n"/>
    </row>
    <row r="219" hidden="1" outlineLevel="1">
      <c r="C219" s="57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 t="n"/>
      <c r="AI219" s="12" t="n"/>
      <c r="AJ219" s="12" t="n"/>
      <c r="AK219" s="12" t="n"/>
      <c r="AL219" s="12" t="n"/>
      <c r="AM219" s="12" t="n"/>
      <c r="AN219" s="12" t="n"/>
      <c r="AO219" s="12" t="n"/>
      <c r="AP219" s="12" t="n"/>
      <c r="AQ219" s="12" t="n"/>
      <c r="AR219" s="12" t="n"/>
      <c r="AS219" s="12" t="n"/>
      <c r="AT219" s="12" t="n"/>
      <c r="AU219" s="12" t="n"/>
      <c r="AV219" s="12" t="n"/>
      <c r="AW219" s="12" t="n"/>
      <c r="AX219" s="12" t="n"/>
      <c r="AY219" s="12" t="n"/>
      <c r="AZ219" s="12" t="n"/>
      <c r="BA219" s="12" t="n"/>
      <c r="BB219" s="12" t="n"/>
      <c r="BC219" s="12" t="n"/>
      <c r="BD219" s="12" t="n"/>
      <c r="BE219" s="12" t="n"/>
      <c r="BF219" s="12" t="n"/>
      <c r="BG219" s="12" t="n"/>
      <c r="BH219" s="12" t="n"/>
      <c r="BI219" s="12" t="n"/>
      <c r="BJ219" s="12" t="n"/>
      <c r="BK219" s="12" t="n"/>
      <c r="BL219" s="12" t="n"/>
      <c r="BM219" s="12" t="n"/>
      <c r="BN219" s="12" t="n"/>
      <c r="BO219" s="12" t="n"/>
      <c r="BP219" s="12" t="n"/>
      <c r="BQ219" s="12" t="n"/>
      <c r="BR219" s="12" t="n"/>
      <c r="BS219" s="12" t="n"/>
      <c r="BT219" s="12" t="n"/>
      <c r="BU219" s="12" t="n"/>
      <c r="BV219" s="12" t="n"/>
      <c r="BW219" s="12" t="n"/>
      <c r="BX219" s="12" t="n"/>
      <c r="BY219" s="12" t="n"/>
      <c r="BZ219" s="12" t="n"/>
      <c r="CA219" s="12" t="n"/>
      <c r="CB219" s="12" t="n"/>
      <c r="CC219" s="12" t="n"/>
      <c r="CD219" s="12" t="n"/>
      <c r="CE219" s="12" t="n"/>
      <c r="CF219" s="12" t="n"/>
      <c r="CG219" s="12" t="n"/>
      <c r="CH219" s="12" t="n"/>
      <c r="CI219" s="12" t="n"/>
      <c r="CJ219" s="12" t="n"/>
      <c r="CK219" s="12" t="n"/>
      <c r="CL219" s="12" t="n"/>
      <c r="CM219" s="12" t="n"/>
      <c r="CN219" s="12" t="n"/>
      <c r="CO219" s="12" t="n"/>
      <c r="CP219" s="12" t="n"/>
      <c r="CQ219" s="12" t="n"/>
      <c r="CR219" s="12" t="n"/>
      <c r="CS219" s="12" t="n"/>
      <c r="CT219" s="12" t="n"/>
      <c r="CU219" s="12" t="n"/>
      <c r="CV219" s="12" t="n"/>
      <c r="CW219" s="12" t="n"/>
      <c r="CX219" s="12" t="n"/>
      <c r="CY219" s="12" t="n"/>
    </row>
    <row r="220" collapsed="1">
      <c r="C220" s="14" t="inlineStr">
        <is>
          <t>Long term operating leases</t>
        </is>
      </c>
      <c r="D220" s="46" t="n"/>
      <c r="E220" s="46" t="n"/>
      <c r="F220" s="46" t="n"/>
      <c r="G220" s="46" t="n"/>
      <c r="H220" s="12" t="n"/>
      <c r="I220" s="46">
        <f>'Inputs (2)'!D36</f>
        <v>0</v>
      </c>
      <c r="J220" s="46">
        <f>'Inputs (2)'!E36</f>
        <v>0</v>
      </c>
      <c r="K220" s="46">
        <f>'Inputs (2)'!F36</f>
        <v>0</v>
      </c>
      <c r="L220" s="46">
        <f>'Inputs (2)'!G36</f>
        <v>0</v>
      </c>
      <c r="M220" s="12">
        <f>'Inputs (2)'!H36</f>
        <v>0</v>
      </c>
      <c r="N220" s="46">
        <f>'Inputs (2)'!I36</f>
        <v>0</v>
      </c>
      <c r="O220" s="46">
        <f>'Inputs (2)'!J36</f>
        <v>0</v>
      </c>
      <c r="P220" s="46">
        <f>'Inputs (2)'!K36</f>
        <v>0</v>
      </c>
      <c r="Q220" s="46">
        <f>'Inputs (2)'!L36</f>
        <v>0</v>
      </c>
      <c r="R220" s="12">
        <f>'Inputs (2)'!M36</f>
        <v>0</v>
      </c>
      <c r="S220" s="46">
        <f>'Inputs (2)'!N36</f>
        <v>0</v>
      </c>
      <c r="T220" s="46">
        <f>'Inputs (2)'!O36</f>
        <v>0</v>
      </c>
      <c r="U220" s="46">
        <f>'Inputs (2)'!P36</f>
        <v>0</v>
      </c>
      <c r="V220" s="46">
        <f>'Inputs (2)'!Q36</f>
        <v>0</v>
      </c>
      <c r="W220" s="12">
        <f>'Inputs (2)'!R36</f>
        <v>0</v>
      </c>
      <c r="X220" s="46">
        <f>'Inputs (2)'!S36</f>
        <v>0</v>
      </c>
      <c r="Y220" s="46">
        <f>'Inputs (2)'!T36</f>
        <v>0</v>
      </c>
      <c r="Z220" s="46">
        <f>'Inputs (2)'!U36</f>
        <v>0</v>
      </c>
      <c r="AA220" s="46">
        <f>'Inputs (2)'!V36</f>
        <v>0</v>
      </c>
      <c r="AB220" s="12">
        <f>'Inputs (2)'!W36</f>
        <v>0</v>
      </c>
      <c r="AC220" s="46">
        <f>'Inputs (2)'!X36</f>
        <v>0</v>
      </c>
      <c r="AD220" s="46">
        <f>'Inputs (2)'!Y36</f>
        <v>0</v>
      </c>
      <c r="AE220" s="46">
        <f>'Inputs (2)'!Z36</f>
        <v>0</v>
      </c>
      <c r="AF220" s="46">
        <f>'Inputs (2)'!AA36</f>
        <v>0</v>
      </c>
      <c r="AG220" s="12">
        <f>'Inputs (2)'!AB36</f>
        <v>0</v>
      </c>
      <c r="AH220" s="12">
        <f>'Inputs (2)'!AC36</f>
        <v>0</v>
      </c>
      <c r="AI220" s="12">
        <f>'Inputs (2)'!AD36</f>
        <v>0</v>
      </c>
      <c r="AJ220" s="12">
        <f>AI220</f>
        <v>0</v>
      </c>
      <c r="AK220" s="12">
        <f>AJ220</f>
        <v>0</v>
      </c>
      <c r="AL220" s="12">
        <f>AK220</f>
        <v>0</v>
      </c>
      <c r="AM220" s="12">
        <f>AL220</f>
        <v>0</v>
      </c>
      <c r="AN220" s="12">
        <f>AM220</f>
        <v>0</v>
      </c>
      <c r="AO220" s="12">
        <f>AN220</f>
        <v>0</v>
      </c>
      <c r="AP220" s="12">
        <f>AO220</f>
        <v>0</v>
      </c>
      <c r="AQ220" s="12">
        <f>AP220</f>
        <v>0</v>
      </c>
      <c r="AR220" s="12">
        <f>AQ220</f>
        <v>0</v>
      </c>
      <c r="AS220" s="12">
        <f>AR220</f>
        <v>0</v>
      </c>
      <c r="AT220" s="12">
        <f>AS220</f>
        <v>0</v>
      </c>
      <c r="AU220" s="12">
        <f>AT220</f>
        <v>0</v>
      </c>
      <c r="AV220" s="12">
        <f>AU220</f>
        <v>0</v>
      </c>
      <c r="AW220" s="12">
        <f>AV220</f>
        <v>0</v>
      </c>
      <c r="AX220" s="12">
        <f>AW220</f>
        <v>0</v>
      </c>
      <c r="AY220" s="12">
        <f>AX220</f>
        <v>0</v>
      </c>
      <c r="AZ220" s="12">
        <f>AY220</f>
        <v>0</v>
      </c>
      <c r="BA220" s="12">
        <f>AZ220</f>
        <v>0</v>
      </c>
      <c r="BB220" s="12">
        <f>BA220</f>
        <v>0</v>
      </c>
      <c r="BC220" s="12">
        <f>BB220</f>
        <v>0</v>
      </c>
      <c r="BD220" s="12">
        <f>BC220</f>
        <v>0</v>
      </c>
      <c r="BE220" s="12">
        <f>BD220</f>
        <v>0</v>
      </c>
      <c r="BF220" s="12">
        <f>BE220</f>
        <v>0</v>
      </c>
      <c r="BG220" s="12" t="n"/>
      <c r="BH220" s="12" t="n"/>
      <c r="BI220" s="12" t="n"/>
      <c r="BJ220" s="12" t="n"/>
      <c r="BK220" s="12" t="n"/>
      <c r="BL220" s="12" t="n"/>
      <c r="BM220" s="12" t="n"/>
      <c r="BN220" s="12" t="n"/>
      <c r="BO220" s="12" t="n"/>
      <c r="BP220" s="12" t="n"/>
      <c r="BQ220" s="12" t="n"/>
      <c r="BR220" s="12" t="n"/>
      <c r="BS220" s="12" t="n"/>
      <c r="BT220" s="12" t="n"/>
      <c r="BU220" s="12" t="n"/>
      <c r="BV220" s="12" t="n"/>
      <c r="BW220" s="12" t="n"/>
      <c r="BX220" s="12" t="n"/>
      <c r="BY220" s="12" t="n"/>
      <c r="BZ220" s="12" t="n"/>
      <c r="CA220" s="12" t="n"/>
      <c r="CB220" s="12" t="n"/>
      <c r="CC220" s="12" t="n"/>
      <c r="CD220" s="12" t="n"/>
      <c r="CE220" s="12" t="n"/>
      <c r="CF220" s="12" t="n"/>
      <c r="CG220" s="12" t="n"/>
      <c r="CH220" s="12" t="n"/>
      <c r="CI220" s="12" t="n"/>
      <c r="CJ220" s="12" t="n"/>
      <c r="CK220" s="12" t="n"/>
      <c r="CL220" s="12" t="n"/>
      <c r="CM220" s="12" t="n"/>
      <c r="CN220" s="12" t="n"/>
      <c r="CO220" s="12" t="n"/>
      <c r="CP220" s="12" t="n"/>
      <c r="CQ220" s="12" t="n"/>
      <c r="CR220" s="12" t="n"/>
      <c r="CS220" s="12" t="n"/>
      <c r="CT220" s="12" t="n"/>
      <c r="CU220" s="12" t="n"/>
      <c r="CV220" s="12" t="n"/>
      <c r="CW220" s="12" t="n"/>
      <c r="CX220" s="12" t="n"/>
      <c r="CY220" s="12" t="n"/>
    </row>
    <row r="221" hidden="1" outlineLevel="1">
      <c r="C221" s="59" t="inlineStr">
        <is>
          <t>%(Var.)</t>
        </is>
      </c>
      <c r="D221" s="12" t="n"/>
      <c r="E221" s="40" t="n"/>
      <c r="F221" s="40" t="n"/>
      <c r="G221" s="40" t="n"/>
      <c r="H221" s="12" t="n"/>
      <c r="I221" s="40" t="str">
        <f>""</f>
        <v/>
      </c>
      <c r="J221" s="40" t="str">
        <f>IFERROR(IF(I220=0,"",J220/I220-1),"")</f>
        <v/>
      </c>
      <c r="K221" s="40" t="str">
        <f>IFERROR(IF(J220=0,"",K220/J220-1),"")</f>
        <v/>
      </c>
      <c r="L221" s="40" t="str">
        <f>IFERROR(IF(K220=0,"",L220/K220-1),"")</f>
        <v/>
      </c>
      <c r="M221" s="12" t="str">
        <f>IF(L220=0,"",M220/L220-1)</f>
        <v/>
      </c>
      <c r="N221" s="40" t="str">
        <f>IFERROR(IF(M220=0,"",N220/M220-1),"")</f>
        <v/>
      </c>
      <c r="O221" s="40" t="str">
        <f>IFERROR(IF(N220=0,"",O220/N220-1),"")</f>
        <v/>
      </c>
      <c r="P221" s="40" t="str">
        <f>IFERROR(IF(O220=0,"",P220/O220-1),"")</f>
        <v/>
      </c>
      <c r="Q221" s="40" t="str">
        <f>IFERROR(IF(P220=0,"",Q220/P220-1),"")</f>
        <v/>
      </c>
      <c r="R221" s="12" t="str">
        <f>IF(Q220=0,"",R220/Q220-1)</f>
        <v/>
      </c>
      <c r="S221" s="40" t="str">
        <f>IFERROR(IF(R220=0,"",S220/R220-1),"")</f>
        <v/>
      </c>
      <c r="T221" s="40" t="str">
        <f>IFERROR(IF(S220=0,"",T220/S220-1),"")</f>
        <v/>
      </c>
      <c r="U221" s="40" t="str">
        <f>IFERROR(IF(T220=0,"",U220/T220-1),"")</f>
        <v/>
      </c>
      <c r="V221" s="40" t="str">
        <f>IFERROR(IF(U220=0,"",V220/U220-1),"")</f>
        <v/>
      </c>
      <c r="W221" s="12" t="str">
        <f>IF(V220=0,"",W220/V220-1)</f>
        <v/>
      </c>
      <c r="X221" s="40" t="str">
        <f>IFERROR(IF(W220=0,"",X220/W220-1),"")</f>
        <v/>
      </c>
      <c r="Y221" s="40" t="str">
        <f>IFERROR(IF(X220=0,"",Y220/X220-1),"")</f>
        <v/>
      </c>
      <c r="Z221" s="40" t="str">
        <f>IFERROR(IF(Y220=0,"",Z220/Y220-1),"")</f>
        <v/>
      </c>
      <c r="AA221" s="40" t="str">
        <f>IFERROR(IF(Z220=0,"",AA220/Z220-1),"")</f>
        <v/>
      </c>
      <c r="AB221" s="12" t="str">
        <f>IF(AA220=0,"",AB220/AA220-1)</f>
        <v/>
      </c>
      <c r="AC221" s="40" t="str">
        <f>IFERROR(IF(AB220=0,"",AC220/AB220-1),"")</f>
        <v/>
      </c>
      <c r="AD221" s="40" t="str">
        <f>IFERROR(IF(AC220=0,"",AD220/AC220-1),"")</f>
        <v/>
      </c>
      <c r="AE221" s="40" t="str">
        <f>IFERROR(IF(AD220=0,"",AE220/AD220-1),"")</f>
        <v/>
      </c>
      <c r="AF221" s="41" t="str">
        <f>IFERROR(IF(AE220=0,"",AF220/AE220-1),"")</f>
        <v/>
      </c>
      <c r="AG221" s="12" t="str">
        <f>IF(AF220=0,"",AG220/AF220-1)</f>
        <v/>
      </c>
      <c r="AH221" s="11" t="str">
        <f>IFERROR(IF(AG220=0,"",AH220/AG220-1),"")</f>
        <v/>
      </c>
      <c r="AI221" s="11" t="str">
        <f>IFERROR(IF(AH220=0,"",AI220/AH220-1),"")</f>
        <v/>
      </c>
      <c r="AJ221" s="11" t="str">
        <f>IFERROR(IF(AI220=0,"",AJ220/AI220-1),"")</f>
        <v/>
      </c>
      <c r="AK221" s="11" t="str">
        <f>IFERROR(IF(AJ220=0,"",AK220/AJ220-1),"")</f>
        <v/>
      </c>
      <c r="AL221" s="12" t="str">
        <f>IFERROR(IF(AK220=0,"",AL220/AK220-1),"")</f>
        <v/>
      </c>
      <c r="AM221" s="11" t="str">
        <f>IFERROR(IF(AL220=0,"",AM220/AL220-1),"")</f>
        <v/>
      </c>
      <c r="AN221" s="11" t="str">
        <f>IFERROR(IF(AM220=0,"",AN220/AM220-1),"")</f>
        <v/>
      </c>
      <c r="AO221" s="11" t="str">
        <f>IFERROR(IF(AN220=0,"",AO220/AN220-1),"")</f>
        <v/>
      </c>
      <c r="AP221" s="11" t="str">
        <f>IFERROR(IF(AO220=0,"",AP220/AO220-1),"")</f>
        <v/>
      </c>
      <c r="AQ221" s="12" t="str">
        <f>IFERROR(IF(AP220=0,"",AQ220/AP220-1),"")</f>
        <v/>
      </c>
      <c r="AR221" s="11" t="str">
        <f>IFERROR(IF(AQ220=0,"",AR220/AQ220-1),"")</f>
        <v/>
      </c>
      <c r="AS221" s="11" t="str">
        <f>IFERROR(IF(AR220=0,"",AS220/AR220-1),"")</f>
        <v/>
      </c>
      <c r="AT221" s="11" t="str">
        <f>IFERROR(IF(AS220=0,"",AT220/AS220-1),"")</f>
        <v/>
      </c>
      <c r="AU221" s="11" t="str">
        <f>IFERROR(IF(AT220=0,"",AU220/AT220-1),"")</f>
        <v/>
      </c>
      <c r="AV221" s="12" t="str">
        <f>IFERROR(IF(AU220=0,"",AV220/AU220-1),"")</f>
        <v/>
      </c>
      <c r="AW221" s="11" t="str">
        <f>IFERROR(IF(AV220=0,"",AW220/AV220-1),"")</f>
        <v/>
      </c>
      <c r="AX221" s="11" t="str">
        <f>IFERROR(IF(AW220=0,"",AX220/AW220-1),"")</f>
        <v/>
      </c>
      <c r="AY221" s="11" t="str">
        <f>IFERROR(IF(AX220=0,"",AY220/AX220-1),"")</f>
        <v/>
      </c>
      <c r="AZ221" s="11" t="str">
        <f>IFERROR(IF(AY220=0,"",AZ220/AY220-1),"")</f>
        <v/>
      </c>
      <c r="BA221" s="12" t="str">
        <f>IFERROR(IF(AZ220=0,"",BA220/AZ220-1),"")</f>
        <v/>
      </c>
      <c r="BB221" s="11" t="str">
        <f>IFERROR(IF(BA220=0,"",BB220/BA220-1),"")</f>
        <v/>
      </c>
      <c r="BC221" s="11" t="str">
        <f>IFERROR(IF(BB220=0,"",BC220/BB220-1),"")</f>
        <v/>
      </c>
      <c r="BD221" s="11" t="str">
        <f>IFERROR(IF(BC220=0,"",BD220/BC220-1),"")</f>
        <v/>
      </c>
      <c r="BE221" s="11" t="str">
        <f>IFERROR(IF(BD220=0,"",BE220/BD220-1),"")</f>
        <v/>
      </c>
      <c r="BF221" s="12" t="str">
        <f>IFERROR(IF(BE220=0,"",BF220/BE220-1),"")</f>
        <v/>
      </c>
      <c r="BG221" s="11" t="n"/>
      <c r="BH221" s="11" t="n"/>
      <c r="BI221" s="11" t="n"/>
      <c r="BJ221" s="11" t="n"/>
      <c r="BK221" s="12" t="n"/>
      <c r="BL221" s="11" t="n"/>
      <c r="BM221" s="11" t="n"/>
      <c r="BN221" s="11" t="n"/>
      <c r="BO221" s="11" t="n"/>
      <c r="BP221" s="12" t="n"/>
      <c r="BQ221" s="11" t="n"/>
      <c r="BR221" s="11" t="n"/>
      <c r="BS221" s="11" t="n"/>
      <c r="BT221" s="11" t="n"/>
      <c r="BU221" s="12" t="n"/>
      <c r="BV221" s="11" t="n"/>
      <c r="BW221" s="11" t="n"/>
      <c r="BX221" s="11" t="n"/>
      <c r="BY221" s="11" t="n"/>
      <c r="BZ221" s="12" t="n"/>
      <c r="CA221" s="11" t="n"/>
      <c r="CB221" s="11" t="n"/>
      <c r="CC221" s="11" t="n"/>
      <c r="CD221" s="11" t="n"/>
      <c r="CE221" s="12" t="n"/>
      <c r="CF221" s="11" t="n"/>
      <c r="CG221" s="11" t="n"/>
      <c r="CH221" s="11" t="n"/>
      <c r="CI221" s="11" t="n"/>
      <c r="CJ221" s="12" t="n"/>
      <c r="CK221" s="11" t="n"/>
      <c r="CL221" s="11" t="n"/>
      <c r="CM221" s="11" t="n"/>
      <c r="CN221" s="11" t="n"/>
      <c r="CO221" s="12" t="n"/>
      <c r="CP221" s="11" t="n"/>
      <c r="CQ221" s="11" t="n"/>
      <c r="CR221" s="11" t="n"/>
      <c r="CS221" s="11" t="n"/>
      <c r="CT221" s="12" t="n"/>
      <c r="CU221" s="11" t="n"/>
      <c r="CV221" s="11" t="n"/>
      <c r="CW221" s="11" t="n"/>
      <c r="CX221" s="11" t="n"/>
      <c r="CY221" s="12" t="n"/>
    </row>
    <row r="222" hidden="1" outlineLevel="1">
      <c r="C222" s="57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  <c r="AJ222" s="12" t="n"/>
      <c r="AK222" s="12" t="n"/>
      <c r="AL222" s="12" t="n"/>
      <c r="AM222" s="12" t="n"/>
      <c r="AN222" s="12" t="n"/>
      <c r="AO222" s="12" t="n"/>
      <c r="AP222" s="12" t="n"/>
      <c r="AQ222" s="12" t="n"/>
      <c r="AR222" s="12" t="n"/>
      <c r="AS222" s="12" t="n"/>
      <c r="AT222" s="12" t="n"/>
      <c r="AU222" s="12" t="n"/>
      <c r="AV222" s="12" t="n"/>
      <c r="AW222" s="12" t="n"/>
      <c r="AX222" s="12" t="n"/>
      <c r="AY222" s="12" t="n"/>
      <c r="AZ222" s="12" t="n"/>
      <c r="BA222" s="12" t="n"/>
      <c r="BB222" s="12" t="n"/>
      <c r="BC222" s="12" t="n"/>
      <c r="BD222" s="12" t="n"/>
      <c r="BE222" s="12" t="n"/>
      <c r="BF222" s="12" t="n"/>
      <c r="BG222" s="12" t="n"/>
      <c r="BH222" s="12" t="n"/>
      <c r="BI222" s="12" t="n"/>
      <c r="BJ222" s="12" t="n"/>
      <c r="BK222" s="12" t="n"/>
      <c r="BL222" s="12" t="n"/>
      <c r="BM222" s="12" t="n"/>
      <c r="BN222" s="12" t="n"/>
      <c r="BO222" s="12" t="n"/>
      <c r="BP222" s="12" t="n"/>
      <c r="BQ222" s="12" t="n"/>
      <c r="BR222" s="12" t="n"/>
      <c r="BS222" s="12" t="n"/>
      <c r="BT222" s="12" t="n"/>
      <c r="BU222" s="12" t="n"/>
      <c r="BV222" s="12" t="n"/>
      <c r="BW222" s="12" t="n"/>
      <c r="BX222" s="12" t="n"/>
      <c r="BY222" s="12" t="n"/>
      <c r="BZ222" s="12" t="n"/>
      <c r="CA222" s="12" t="n"/>
      <c r="CB222" s="12" t="n"/>
      <c r="CC222" s="12" t="n"/>
      <c r="CD222" s="12" t="n"/>
      <c r="CE222" s="12" t="n"/>
      <c r="CF222" s="12" t="n"/>
      <c r="CG222" s="12" t="n"/>
      <c r="CH222" s="12" t="n"/>
      <c r="CI222" s="12" t="n"/>
      <c r="CJ222" s="12" t="n"/>
      <c r="CK222" s="12" t="n"/>
      <c r="CL222" s="12" t="n"/>
      <c r="CM222" s="12" t="n"/>
      <c r="CN222" s="12" t="n"/>
      <c r="CO222" s="12" t="n"/>
      <c r="CP222" s="12" t="n"/>
      <c r="CQ222" s="12" t="n"/>
      <c r="CR222" s="12" t="n"/>
      <c r="CS222" s="12" t="n"/>
      <c r="CT222" s="12" t="n"/>
      <c r="CU222" s="12" t="n"/>
      <c r="CV222" s="12" t="n"/>
      <c r="CW222" s="12" t="n"/>
      <c r="CX222" s="12" t="n"/>
      <c r="CY222" s="12" t="n"/>
    </row>
    <row r="223" collapsed="1">
      <c r="C223" s="14" t="inlineStr">
        <is>
          <t>Convertible debt</t>
        </is>
      </c>
      <c r="D223" s="46" t="n"/>
      <c r="E223" s="46" t="n"/>
      <c r="F223" s="46" t="n"/>
      <c r="G223" s="46" t="n"/>
      <c r="H223" s="12" t="n"/>
      <c r="I223" s="46">
        <f>'Inputs (2)'!D37</f>
        <v>0</v>
      </c>
      <c r="J223" s="46">
        <f>'Inputs (2)'!E37</f>
        <v>0</v>
      </c>
      <c r="K223" s="46">
        <f>'Inputs (2)'!F37</f>
        <v>0</v>
      </c>
      <c r="L223" s="46">
        <f>'Inputs (2)'!G37</f>
        <v>0</v>
      </c>
      <c r="M223" s="12">
        <f>'Inputs (2)'!H37</f>
        <v>0</v>
      </c>
      <c r="N223" s="46">
        <f>'Inputs (2)'!I37</f>
        <v>0</v>
      </c>
      <c r="O223" s="46">
        <f>'Inputs (2)'!J37</f>
        <v>0</v>
      </c>
      <c r="P223" s="46">
        <f>'Inputs (2)'!K37</f>
        <v>0</v>
      </c>
      <c r="Q223" s="46">
        <f>'Inputs (2)'!L37</f>
        <v>0</v>
      </c>
      <c r="R223" s="12">
        <f>'Inputs (2)'!M37</f>
        <v>0</v>
      </c>
      <c r="S223" s="46">
        <f>'Inputs (2)'!N37</f>
        <v>0</v>
      </c>
      <c r="T223" s="46">
        <f>'Inputs (2)'!O37</f>
        <v>0</v>
      </c>
      <c r="U223" s="46">
        <f>'Inputs (2)'!P37</f>
        <v>0</v>
      </c>
      <c r="V223" s="46">
        <f>'Inputs (2)'!Q37</f>
        <v>0</v>
      </c>
      <c r="W223" s="12">
        <f>'Inputs (2)'!R37</f>
        <v>0</v>
      </c>
      <c r="X223" s="46">
        <f>'Inputs (2)'!S37</f>
        <v>0</v>
      </c>
      <c r="Y223" s="46">
        <f>'Inputs (2)'!T37</f>
        <v>0</v>
      </c>
      <c r="Z223" s="46">
        <f>'Inputs (2)'!U37</f>
        <v>0</v>
      </c>
      <c r="AA223" s="46">
        <f>'Inputs (2)'!V37</f>
        <v>0</v>
      </c>
      <c r="AB223" s="12">
        <f>'Inputs (2)'!W37</f>
        <v>0</v>
      </c>
      <c r="AC223" s="46">
        <f>'Inputs (2)'!X37</f>
        <v>0</v>
      </c>
      <c r="AD223" s="46">
        <f>'Inputs (2)'!Y37</f>
        <v>0</v>
      </c>
      <c r="AE223" s="46">
        <f>'Inputs (2)'!Z37</f>
        <v>0</v>
      </c>
      <c r="AF223" s="46">
        <f>'Inputs (2)'!AA37</f>
        <v>0</v>
      </c>
      <c r="AG223" s="12">
        <f>'Inputs (2)'!AB37</f>
        <v>0</v>
      </c>
      <c r="AH223" s="12">
        <f>'Inputs (2)'!AC37</f>
        <v>0</v>
      </c>
      <c r="AI223" s="12">
        <f>'Inputs (2)'!AD37</f>
        <v>0</v>
      </c>
      <c r="AJ223" s="12">
        <f>AI223</f>
        <v>0</v>
      </c>
      <c r="AK223" s="12">
        <f>AJ223</f>
        <v>0</v>
      </c>
      <c r="AL223" s="12">
        <f>AK223</f>
        <v>0</v>
      </c>
      <c r="AM223" s="12">
        <f>AL223</f>
        <v>0</v>
      </c>
      <c r="AN223" s="12">
        <f>AM223</f>
        <v>0</v>
      </c>
      <c r="AO223" s="12">
        <f>AN223</f>
        <v>0</v>
      </c>
      <c r="AP223" s="12">
        <f>AO223</f>
        <v>0</v>
      </c>
      <c r="AQ223" s="12">
        <f>AP223</f>
        <v>0</v>
      </c>
      <c r="AR223" s="12">
        <f>AQ223</f>
        <v>0</v>
      </c>
      <c r="AS223" s="12">
        <f>AR223</f>
        <v>0</v>
      </c>
      <c r="AT223" s="12">
        <f>AS223</f>
        <v>0</v>
      </c>
      <c r="AU223" s="12">
        <f>AT223</f>
        <v>0</v>
      </c>
      <c r="AV223" s="12">
        <f>AU223</f>
        <v>0</v>
      </c>
      <c r="AW223" s="12">
        <f>AV223</f>
        <v>0</v>
      </c>
      <c r="AX223" s="12">
        <f>AW223</f>
        <v>0</v>
      </c>
      <c r="AY223" s="12">
        <f>AX223</f>
        <v>0</v>
      </c>
      <c r="AZ223" s="12">
        <f>AY223</f>
        <v>0</v>
      </c>
      <c r="BA223" s="12">
        <f>AZ223</f>
        <v>0</v>
      </c>
      <c r="BB223" s="12">
        <f>BA223</f>
        <v>0</v>
      </c>
      <c r="BC223" s="12">
        <f>BB223</f>
        <v>0</v>
      </c>
      <c r="BD223" s="12">
        <f>BC223</f>
        <v>0</v>
      </c>
      <c r="BE223" s="12">
        <f>BD223</f>
        <v>0</v>
      </c>
      <c r="BF223" s="12">
        <f>BE223</f>
        <v>0</v>
      </c>
      <c r="BG223" s="12" t="n"/>
      <c r="BH223" s="12" t="n"/>
      <c r="BI223" s="12" t="n"/>
      <c r="BJ223" s="12" t="n"/>
      <c r="BK223" s="12" t="n"/>
      <c r="BL223" s="12" t="n"/>
      <c r="BM223" s="12" t="n"/>
      <c r="BN223" s="12" t="n"/>
      <c r="BO223" s="12" t="n"/>
      <c r="BP223" s="12" t="n"/>
      <c r="BQ223" s="12" t="n"/>
      <c r="BR223" s="12" t="n"/>
      <c r="BS223" s="12" t="n"/>
      <c r="BT223" s="12" t="n"/>
      <c r="BU223" s="12" t="n"/>
      <c r="BV223" s="12" t="n"/>
      <c r="BW223" s="12" t="n"/>
      <c r="BX223" s="12" t="n"/>
      <c r="BY223" s="12" t="n"/>
      <c r="BZ223" s="12" t="n"/>
      <c r="CA223" s="12" t="n"/>
      <c r="CB223" s="12" t="n"/>
      <c r="CC223" s="12" t="n"/>
      <c r="CD223" s="12" t="n"/>
      <c r="CE223" s="12" t="n"/>
      <c r="CF223" s="12" t="n"/>
      <c r="CG223" s="12" t="n"/>
      <c r="CH223" s="12" t="n"/>
      <c r="CI223" s="12" t="n"/>
      <c r="CJ223" s="12" t="n"/>
      <c r="CK223" s="12" t="n"/>
      <c r="CL223" s="12" t="n"/>
      <c r="CM223" s="12" t="n"/>
      <c r="CN223" s="12" t="n"/>
      <c r="CO223" s="12" t="n"/>
      <c r="CP223" s="12" t="n"/>
      <c r="CQ223" s="12" t="n"/>
      <c r="CR223" s="12" t="n"/>
      <c r="CS223" s="12" t="n"/>
      <c r="CT223" s="12" t="n"/>
      <c r="CU223" s="12" t="n"/>
      <c r="CV223" s="12" t="n"/>
      <c r="CW223" s="12" t="n"/>
      <c r="CX223" s="12" t="n"/>
      <c r="CY223" s="12" t="n"/>
    </row>
    <row r="224">
      <c r="C224" s="14" t="inlineStr">
        <is>
          <t>Deferred income taxes</t>
        </is>
      </c>
      <c r="D224" s="46" t="n"/>
      <c r="E224" s="46" t="n"/>
      <c r="F224" s="46" t="n"/>
      <c r="G224" s="46" t="n"/>
      <c r="H224" s="12" t="n"/>
      <c r="I224" s="46">
        <f>'Inputs (2)'!D38</f>
        <v>0</v>
      </c>
      <c r="J224" s="46">
        <f>'Inputs (2)'!E38</f>
        <v>0</v>
      </c>
      <c r="K224" s="46">
        <f>'Inputs (2)'!F38</f>
        <v>0</v>
      </c>
      <c r="L224" s="46">
        <f>'Inputs (2)'!G38</f>
        <v>0</v>
      </c>
      <c r="M224" s="12">
        <f>'Inputs (2)'!H38</f>
        <v>0</v>
      </c>
      <c r="N224" s="46">
        <f>'Inputs (2)'!I38</f>
        <v>0</v>
      </c>
      <c r="O224" s="46">
        <f>'Inputs (2)'!J38</f>
        <v>0</v>
      </c>
      <c r="P224" s="46">
        <f>'Inputs (2)'!K38</f>
        <v>0</v>
      </c>
      <c r="Q224" s="46">
        <f>'Inputs (2)'!L38</f>
        <v>0</v>
      </c>
      <c r="R224" s="12">
        <f>'Inputs (2)'!M38</f>
        <v>0</v>
      </c>
      <c r="S224" s="46">
        <f>'Inputs (2)'!N38</f>
        <v>0</v>
      </c>
      <c r="T224" s="46">
        <f>'Inputs (2)'!O38</f>
        <v>0</v>
      </c>
      <c r="U224" s="46">
        <f>'Inputs (2)'!P38</f>
        <v>0</v>
      </c>
      <c r="V224" s="46">
        <f>'Inputs (2)'!Q38</f>
        <v>0</v>
      </c>
      <c r="W224" s="12">
        <f>'Inputs (2)'!R38</f>
        <v>0</v>
      </c>
      <c r="X224" s="46">
        <f>'Inputs (2)'!S38</f>
        <v>0</v>
      </c>
      <c r="Y224" s="46">
        <f>'Inputs (2)'!T38</f>
        <v>0</v>
      </c>
      <c r="Z224" s="46">
        <f>'Inputs (2)'!U38</f>
        <v>0</v>
      </c>
      <c r="AA224" s="46">
        <f>'Inputs (2)'!V38</f>
        <v>0</v>
      </c>
      <c r="AB224" s="12">
        <f>'Inputs (2)'!W38</f>
        <v>0</v>
      </c>
      <c r="AC224" s="46">
        <f>'Inputs (2)'!X38</f>
        <v>0</v>
      </c>
      <c r="AD224" s="46">
        <f>'Inputs (2)'!Y38</f>
        <v>0</v>
      </c>
      <c r="AE224" s="46">
        <f>'Inputs (2)'!Z38</f>
        <v>0</v>
      </c>
      <c r="AF224" s="46">
        <f>'Inputs (2)'!AA38</f>
        <v>0</v>
      </c>
      <c r="AG224" s="12">
        <f>'Inputs (2)'!AB38</f>
        <v>0</v>
      </c>
      <c r="AH224" s="12">
        <f>'Inputs (2)'!AC38</f>
        <v>0</v>
      </c>
      <c r="AI224" s="12">
        <f>'Inputs (2)'!AD38</f>
        <v>0</v>
      </c>
      <c r="AJ224" s="12">
        <f>AI224</f>
        <v>0</v>
      </c>
      <c r="AK224" s="12">
        <f>AJ224</f>
        <v>0</v>
      </c>
      <c r="AL224" s="12">
        <f>AK224</f>
        <v>0</v>
      </c>
      <c r="AM224" s="12">
        <f>AL224</f>
        <v>0</v>
      </c>
      <c r="AN224" s="12">
        <f>AM224</f>
        <v>0</v>
      </c>
      <c r="AO224" s="12">
        <f>AN224</f>
        <v>0</v>
      </c>
      <c r="AP224" s="12">
        <f>AO224</f>
        <v>0</v>
      </c>
      <c r="AQ224" s="12">
        <f>AP224</f>
        <v>0</v>
      </c>
      <c r="AR224" s="12">
        <f>AQ224</f>
        <v>0</v>
      </c>
      <c r="AS224" s="12">
        <f>AR224</f>
        <v>0</v>
      </c>
      <c r="AT224" s="12">
        <f>AS224</f>
        <v>0</v>
      </c>
      <c r="AU224" s="12">
        <f>AT224</f>
        <v>0</v>
      </c>
      <c r="AV224" s="12">
        <f>AU224</f>
        <v>0</v>
      </c>
      <c r="AW224" s="12">
        <f>AV224</f>
        <v>0</v>
      </c>
      <c r="AX224" s="12">
        <f>AW224</f>
        <v>0</v>
      </c>
      <c r="AY224" s="12">
        <f>AX224</f>
        <v>0</v>
      </c>
      <c r="AZ224" s="12">
        <f>AY224</f>
        <v>0</v>
      </c>
      <c r="BA224" s="12">
        <f>AZ224</f>
        <v>0</v>
      </c>
      <c r="BB224" s="12">
        <f>BA224</f>
        <v>0</v>
      </c>
      <c r="BC224" s="12">
        <f>BB224</f>
        <v>0</v>
      </c>
      <c r="BD224" s="12">
        <f>BC224</f>
        <v>0</v>
      </c>
      <c r="BE224" s="12">
        <f>BD224</f>
        <v>0</v>
      </c>
      <c r="BF224" s="12">
        <f>BE224</f>
        <v>0</v>
      </c>
      <c r="BG224" s="12" t="n"/>
      <c r="BH224" s="12" t="n"/>
      <c r="BI224" s="12" t="n"/>
      <c r="BJ224" s="12" t="n"/>
      <c r="BK224" s="12" t="n"/>
      <c r="BL224" s="12" t="n"/>
      <c r="BM224" s="12" t="n"/>
      <c r="BN224" s="12" t="n"/>
      <c r="BO224" s="12" t="n"/>
      <c r="BP224" s="12" t="n"/>
      <c r="BQ224" s="12" t="n"/>
      <c r="BR224" s="12" t="n"/>
      <c r="BS224" s="12" t="n"/>
      <c r="BT224" s="12" t="n"/>
      <c r="BU224" s="12" t="n"/>
      <c r="BV224" s="12" t="n"/>
      <c r="BW224" s="12" t="n"/>
      <c r="BX224" s="12" t="n"/>
      <c r="BY224" s="12" t="n"/>
      <c r="BZ224" s="12" t="n"/>
      <c r="CA224" s="12" t="n"/>
      <c r="CB224" s="12" t="n"/>
      <c r="CC224" s="12" t="n"/>
      <c r="CD224" s="12" t="n"/>
      <c r="CE224" s="12" t="n"/>
      <c r="CF224" s="12" t="n"/>
      <c r="CG224" s="12" t="n"/>
      <c r="CH224" s="12" t="n"/>
      <c r="CI224" s="12" t="n"/>
      <c r="CJ224" s="12" t="n"/>
      <c r="CK224" s="12" t="n"/>
      <c r="CL224" s="12" t="n"/>
      <c r="CM224" s="12" t="n"/>
      <c r="CN224" s="12" t="n"/>
      <c r="CO224" s="12" t="n"/>
      <c r="CP224" s="12" t="n"/>
      <c r="CQ224" s="12" t="n"/>
      <c r="CR224" s="12" t="n"/>
      <c r="CS224" s="12" t="n"/>
      <c r="CT224" s="12" t="n"/>
      <c r="CU224" s="12" t="n"/>
      <c r="CV224" s="12" t="n"/>
      <c r="CW224" s="12" t="n"/>
      <c r="CX224" s="12" t="n"/>
      <c r="CY224" s="12" t="n"/>
    </row>
    <row r="225">
      <c r="C225" s="14" t="inlineStr">
        <is>
          <t>Other non-current liabilities</t>
        </is>
      </c>
      <c r="D225" s="46" t="n"/>
      <c r="E225" s="46" t="n"/>
      <c r="F225" s="46" t="n"/>
      <c r="G225" s="46" t="n"/>
      <c r="H225" s="12" t="n"/>
      <c r="I225" s="46">
        <f>'Inputs (2)'!D39</f>
        <v>85439</v>
      </c>
      <c r="J225" s="46">
        <f>'Inputs (2)'!E39</f>
        <v>86641</v>
      </c>
      <c r="K225" s="46">
        <f>'Inputs (2)'!F39</f>
        <v>83067</v>
      </c>
      <c r="L225" s="46">
        <f>'Inputs (2)'!G39</f>
        <v>74484</v>
      </c>
      <c r="M225" s="12">
        <f>'Inputs (2)'!H39</f>
        <v>74484</v>
      </c>
      <c r="N225" s="46">
        <f>'Inputs (2)'!I39</f>
        <v>69685</v>
      </c>
      <c r="O225" s="46">
        <f>'Inputs (2)'!J39</f>
        <v>68142</v>
      </c>
      <c r="P225" s="46">
        <f>'Inputs (2)'!K39</f>
        <v>67348</v>
      </c>
      <c r="Q225" s="46">
        <f>'Inputs (2)'!L39</f>
        <v>64665</v>
      </c>
      <c r="R225" s="12">
        <f>'Inputs (2)'!M39</f>
        <v>64665</v>
      </c>
      <c r="S225" s="46">
        <f>'Inputs (2)'!N39</f>
        <v>63314</v>
      </c>
      <c r="T225" s="46">
        <f>'Inputs (2)'!O39</f>
        <v>62630</v>
      </c>
      <c r="U225" s="46">
        <f>'Inputs (2)'!P39</f>
        <v>59176</v>
      </c>
      <c r="V225" s="46">
        <f>'Inputs (2)'!Q39</f>
        <v>63878</v>
      </c>
      <c r="W225" s="12">
        <f>'Inputs (2)'!R39</f>
        <v>63878</v>
      </c>
      <c r="X225" s="46">
        <f>'Inputs (2)'!S39</f>
        <v>62257</v>
      </c>
      <c r="Y225" s="46">
        <f>'Inputs (2)'!T39</f>
        <v>53624</v>
      </c>
      <c r="Z225" s="46">
        <f>'Inputs (2)'!U39</f>
        <v>55263</v>
      </c>
      <c r="AA225" s="46">
        <f>'Inputs (2)'!V39</f>
        <v>51950</v>
      </c>
      <c r="AB225" s="12">
        <f>'Inputs (2)'!W39</f>
        <v>51950</v>
      </c>
      <c r="AC225" s="46">
        <f>'Inputs (2)'!X39</f>
        <v>52227</v>
      </c>
      <c r="AD225" s="46">
        <f>'Inputs (2)'!Y39</f>
        <v>52447</v>
      </c>
      <c r="AE225" s="46">
        <f>'Inputs (2)'!Z39</f>
        <v>53248</v>
      </c>
      <c r="AF225" s="46">
        <f>'Inputs (2)'!AA39</f>
        <v>53481</v>
      </c>
      <c r="AG225" s="12">
        <f>'Inputs (2)'!AB39</f>
        <v>53481</v>
      </c>
      <c r="AH225" s="12">
        <f>'Inputs (2)'!AC39</f>
        <v>51949</v>
      </c>
      <c r="AI225" s="12">
        <f>'Inputs (2)'!AD39</f>
        <v>52219</v>
      </c>
      <c r="AJ225" s="12">
        <f>AI225</f>
        <v>52219</v>
      </c>
      <c r="AK225" s="12">
        <f>AJ225</f>
        <v>52219</v>
      </c>
      <c r="AL225" s="12">
        <f>AK225</f>
        <v>52219</v>
      </c>
      <c r="AM225" s="12">
        <f>AL225</f>
        <v>52219</v>
      </c>
      <c r="AN225" s="12">
        <f>AM225</f>
        <v>52219</v>
      </c>
      <c r="AO225" s="12">
        <f>AN225</f>
        <v>52219</v>
      </c>
      <c r="AP225" s="12">
        <f>AO225</f>
        <v>52219</v>
      </c>
      <c r="AQ225" s="12">
        <f>AP225</f>
        <v>52219</v>
      </c>
      <c r="AR225" s="12">
        <f>AQ225</f>
        <v>52219</v>
      </c>
      <c r="AS225" s="12">
        <f>AR225</f>
        <v>52219</v>
      </c>
      <c r="AT225" s="12">
        <f>AS225</f>
        <v>52219</v>
      </c>
      <c r="AU225" s="12">
        <f>AT225</f>
        <v>52219</v>
      </c>
      <c r="AV225" s="12">
        <f>AU225</f>
        <v>52219</v>
      </c>
      <c r="AW225" s="12">
        <f>AV225</f>
        <v>52219</v>
      </c>
      <c r="AX225" s="12">
        <f>AW225</f>
        <v>52219</v>
      </c>
      <c r="AY225" s="12">
        <f>AX225</f>
        <v>52219</v>
      </c>
      <c r="AZ225" s="12">
        <f>AY225</f>
        <v>52219</v>
      </c>
      <c r="BA225" s="12">
        <f>AZ225</f>
        <v>52219</v>
      </c>
      <c r="BB225" s="12">
        <f>BA225</f>
        <v>52219</v>
      </c>
      <c r="BC225" s="12">
        <f>BB225</f>
        <v>52219</v>
      </c>
      <c r="BD225" s="12">
        <f>BC225</f>
        <v>52219</v>
      </c>
      <c r="BE225" s="12">
        <f>BD225</f>
        <v>52219</v>
      </c>
      <c r="BF225" s="12">
        <f>BE225</f>
        <v>52219</v>
      </c>
      <c r="BG225" s="12" t="n"/>
      <c r="BH225" s="12" t="n"/>
      <c r="BI225" s="12" t="n"/>
      <c r="BJ225" s="12" t="n"/>
      <c r="BK225" s="12" t="n"/>
      <c r="BL225" s="12" t="n"/>
      <c r="BM225" s="12" t="n"/>
      <c r="BN225" s="12" t="n"/>
      <c r="BO225" s="12" t="n"/>
      <c r="BP225" s="12" t="n"/>
      <c r="BQ225" s="12" t="n"/>
      <c r="BR225" s="12" t="n"/>
      <c r="BS225" s="12" t="n"/>
      <c r="BT225" s="12" t="n"/>
      <c r="BU225" s="12" t="n"/>
      <c r="BV225" s="12" t="n"/>
      <c r="BW225" s="12" t="n"/>
      <c r="BX225" s="12" t="n"/>
      <c r="BY225" s="12" t="n"/>
      <c r="BZ225" s="12" t="n"/>
      <c r="CA225" s="12" t="n"/>
      <c r="CB225" s="12" t="n"/>
      <c r="CC225" s="12" t="n"/>
      <c r="CD225" s="12" t="n"/>
      <c r="CE225" s="12" t="n"/>
      <c r="CF225" s="12" t="n"/>
      <c r="CG225" s="12" t="n"/>
      <c r="CH225" s="12" t="n"/>
      <c r="CI225" s="12" t="n"/>
      <c r="CJ225" s="12" t="n"/>
      <c r="CK225" s="12" t="n"/>
      <c r="CL225" s="12" t="n"/>
      <c r="CM225" s="12" t="n"/>
      <c r="CN225" s="12" t="n"/>
      <c r="CO225" s="12" t="n"/>
      <c r="CP225" s="12" t="n"/>
      <c r="CQ225" s="12" t="n"/>
      <c r="CR225" s="12" t="n"/>
      <c r="CS225" s="12" t="n"/>
      <c r="CT225" s="12" t="n"/>
      <c r="CU225" s="12" t="n"/>
      <c r="CV225" s="12" t="n"/>
      <c r="CW225" s="12" t="n"/>
      <c r="CX225" s="12" t="n"/>
      <c r="CY225" s="12" t="n"/>
    </row>
    <row r="226" hidden="1" outlineLevel="1" ht="12" customHeight="1">
      <c r="C226" s="59" t="inlineStr">
        <is>
          <t>%(Var.)</t>
        </is>
      </c>
      <c r="D226" s="12" t="n"/>
      <c r="E226" s="40" t="n"/>
      <c r="F226" s="40" t="n"/>
      <c r="G226" s="40" t="n"/>
      <c r="H226" s="12" t="n"/>
      <c r="I226" s="40" t="str">
        <f>""</f>
        <v/>
      </c>
      <c r="J226" s="40">
        <f>IF(I225=0,"",J225/I225-1)</f>
        <v>0.0140685167195309</v>
      </c>
      <c r="K226" s="40">
        <f>IF(J225=0,"",K225/J225-1)</f>
        <v>-0.041250678085433</v>
      </c>
      <c r="L226" s="40">
        <f>IF(K225=0,"",L225/K225-1)</f>
        <v>-0.103326230633103</v>
      </c>
      <c r="M226" s="12">
        <f>IF(L225=0,"",M225/L225-1)</f>
        <v>0</v>
      </c>
      <c r="N226" s="40">
        <f>IF(M225=0,"",N225/M225-1)</f>
        <v>-0.0644299446861071</v>
      </c>
      <c r="O226" s="40">
        <f>IF(N225=0,"",O225/N225-1)</f>
        <v>-0.0221424983855923</v>
      </c>
      <c r="P226" s="40">
        <f>IF(O225=0,"",P225/O225-1)</f>
        <v>-0.0116521381820316</v>
      </c>
      <c r="Q226" s="40">
        <f>IF(P225=0,"",Q225/P225-1)</f>
        <v>-0.0398378571004335</v>
      </c>
      <c r="R226" s="12">
        <f>IF(Q225=0,"",R225/Q225-1)</f>
        <v>0</v>
      </c>
      <c r="S226" s="40">
        <f>IF(R225=0,"",S225/R225-1)</f>
        <v>-0.0208922910384288</v>
      </c>
      <c r="T226" s="40">
        <f>IF(S225=0,"",T225/S225-1)</f>
        <v>-0.0108032978488171</v>
      </c>
      <c r="U226" s="40">
        <f>IF(T225=0,"",U225/T225-1)</f>
        <v>-0.055149289477886</v>
      </c>
      <c r="V226" s="40">
        <f>IF(U225=0,"",V225/U225-1)</f>
        <v>0.0794578883331081</v>
      </c>
      <c r="W226" s="12">
        <f>IF(V225=0,"",W225/V225-1)</f>
        <v>0</v>
      </c>
      <c r="X226" s="40">
        <f>IF(W225=0,"",X225/W225-1)</f>
        <v>-0.0253764989511256</v>
      </c>
      <c r="Y226" s="40">
        <f>IF(X225=0,"",Y225/X225-1)</f>
        <v>-0.13866713783189</v>
      </c>
      <c r="Z226" s="40">
        <f>IF(Y225=0,"",Z225/Y225-1)</f>
        <v>0.030564672534686</v>
      </c>
      <c r="AA226" s="40">
        <f>IF(Z225=0,"",AA225/Z225-1)</f>
        <v>-0.059949695094367</v>
      </c>
      <c r="AB226" s="12">
        <f>IF(AA225=0,"",AB225/AA225-1)</f>
        <v>0</v>
      </c>
      <c r="AC226" s="40">
        <f>IF(AB225=0,"",AC225/AB225-1)</f>
        <v>0.00533205004812309</v>
      </c>
      <c r="AD226" s="40">
        <f>IF(AC225=0,"",AD225/AC225-1)</f>
        <v>0.00421238056943718</v>
      </c>
      <c r="AE226" s="40">
        <f>IF(AD225=0,"",AE225/AD225-1)</f>
        <v>0.0152725608709745</v>
      </c>
      <c r="AF226" s="41">
        <f>IF(AE225=0,"",AF225/AE225-1)</f>
        <v>0.00437575120192313</v>
      </c>
      <c r="AG226" s="12">
        <f>IF(AF225=0,"",AG225/AF225-1)</f>
        <v>0</v>
      </c>
      <c r="AH226" s="41">
        <f>IF(AG225=0,"",AH225/AG225-1)</f>
        <v>-0.0286456872534171</v>
      </c>
      <c r="AI226" s="41">
        <f>IF(AH225=0,"",AI225/AH225-1)</f>
        <v>0.005197405147356</v>
      </c>
      <c r="AJ226" s="41">
        <f>IF(AI225=0,"",AJ225/AI225-1)</f>
        <v>0</v>
      </c>
      <c r="AK226" s="41">
        <f>IF(AJ225=0,"",AK225/AJ225-1)</f>
        <v>0</v>
      </c>
      <c r="AL226" s="12">
        <f>IF(AK225=0,"",AL225/AK225-1)</f>
        <v>0</v>
      </c>
      <c r="AM226" s="41">
        <f>IF(AL225=0,"",AM225/AL225-1)</f>
        <v>0</v>
      </c>
      <c r="AN226" s="41">
        <f>IF(AM225=0,"",AN225/AM225-1)</f>
        <v>0</v>
      </c>
      <c r="AO226" s="41">
        <f>IF(AN225=0,"",AO225/AN225-1)</f>
        <v>0</v>
      </c>
      <c r="AP226" s="41">
        <f>IF(AO225=0,"",AP225/AO225-1)</f>
        <v>0</v>
      </c>
      <c r="AQ226" s="12">
        <f>IF(AP225=0,"",AQ225/AP225-1)</f>
        <v>0</v>
      </c>
      <c r="AR226" s="41">
        <f>IF(AQ225=0,"",AR225/AQ225-1)</f>
        <v>0</v>
      </c>
      <c r="AS226" s="41">
        <f>IF(AR225=0,"",AS225/AR225-1)</f>
        <v>0</v>
      </c>
      <c r="AT226" s="41">
        <f>IF(AS225=0,"",AT225/AS225-1)</f>
        <v>0</v>
      </c>
      <c r="AU226" s="41">
        <f>IF(AT225=0,"",AU225/AT225-1)</f>
        <v>0</v>
      </c>
      <c r="AV226" s="12">
        <f>IF(AU225=0,"",AV225/AU225-1)</f>
        <v>0</v>
      </c>
      <c r="AW226" s="41">
        <f>IF(AV225=0,"",AW225/AV225-1)</f>
        <v>0</v>
      </c>
      <c r="AX226" s="41">
        <f>IF(AW225=0,"",AX225/AW225-1)</f>
        <v>0</v>
      </c>
      <c r="AY226" s="41">
        <f>IF(AX225=0,"",AY225/AX225-1)</f>
        <v>0</v>
      </c>
      <c r="AZ226" s="41">
        <f>IF(AY225=0,"",AZ225/AY225-1)</f>
        <v>0</v>
      </c>
      <c r="BA226" s="12">
        <f>IF(AZ225=0,"",BA225/AZ225-1)</f>
        <v>0</v>
      </c>
      <c r="BB226" s="41">
        <f>IF(BA225=0,"",BB225/BA225-1)</f>
        <v>0</v>
      </c>
      <c r="BC226" s="41">
        <f>IF(BB225=0,"",BC225/BB225-1)</f>
        <v>0</v>
      </c>
      <c r="BD226" s="41">
        <f>IF(BC225=0,"",BD225/BC225-1)</f>
        <v>0</v>
      </c>
      <c r="BE226" s="41">
        <f>IF(BD225=0,"",BE225/BD225-1)</f>
        <v>0</v>
      </c>
      <c r="BF226" s="12">
        <f>IF(BE225=0,"",BF225/BE225-1)</f>
        <v>0</v>
      </c>
      <c r="BG226" s="41" t="n"/>
      <c r="BH226" s="41" t="n"/>
      <c r="BI226" s="41" t="n"/>
      <c r="BJ226" s="41" t="n"/>
      <c r="BK226" s="12" t="n"/>
      <c r="BL226" s="41" t="n"/>
      <c r="BM226" s="41" t="n"/>
      <c r="BN226" s="41" t="n"/>
      <c r="BO226" s="41" t="n"/>
      <c r="BP226" s="12" t="n"/>
      <c r="BQ226" s="41" t="n"/>
      <c r="BR226" s="41" t="n"/>
      <c r="BS226" s="41" t="n"/>
      <c r="BT226" s="41" t="n"/>
      <c r="BU226" s="12" t="n"/>
      <c r="BV226" s="41" t="n"/>
      <c r="BW226" s="41" t="n"/>
      <c r="BX226" s="41" t="n"/>
      <c r="BY226" s="41" t="n"/>
      <c r="BZ226" s="12" t="n"/>
      <c r="CA226" s="41" t="n"/>
      <c r="CB226" s="41" t="n"/>
      <c r="CC226" s="41" t="n"/>
      <c r="CD226" s="41" t="n"/>
      <c r="CE226" s="12" t="n"/>
      <c r="CF226" s="41" t="n"/>
      <c r="CG226" s="41" t="n"/>
      <c r="CH226" s="41" t="n"/>
      <c r="CI226" s="41" t="n"/>
      <c r="CJ226" s="12" t="n"/>
      <c r="CK226" s="41" t="n"/>
      <c r="CL226" s="41" t="n"/>
      <c r="CM226" s="41" t="n"/>
      <c r="CN226" s="41" t="n"/>
      <c r="CO226" s="12" t="n"/>
      <c r="CP226" s="41" t="n"/>
      <c r="CQ226" s="41" t="n"/>
      <c r="CR226" s="41" t="n"/>
      <c r="CS226" s="41" t="n"/>
      <c r="CT226" s="12" t="n"/>
      <c r="CU226" s="41" t="n"/>
      <c r="CV226" s="41" t="n"/>
      <c r="CW226" s="41" t="n"/>
      <c r="CX226" s="41" t="n"/>
      <c r="CY226" s="12" t="n"/>
    </row>
    <row r="227" hidden="1" outlineLevel="1" ht="12" customHeight="1">
      <c r="C227" s="59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H227" s="12" t="n"/>
      <c r="AI227" s="12" t="n"/>
      <c r="AJ227" s="12" t="n"/>
      <c r="AK227" s="12" t="n"/>
      <c r="AL227" s="12" t="n"/>
      <c r="AM227" s="12" t="n"/>
      <c r="AN227" s="12" t="n"/>
      <c r="AO227" s="12" t="n"/>
      <c r="AP227" s="12" t="n"/>
      <c r="AQ227" s="12" t="n"/>
      <c r="AR227" s="12" t="n"/>
      <c r="AS227" s="12" t="n"/>
      <c r="AT227" s="12" t="n"/>
      <c r="AU227" s="12" t="n"/>
      <c r="AV227" s="12" t="n"/>
      <c r="AW227" s="12" t="n"/>
      <c r="AX227" s="12" t="n"/>
      <c r="AY227" s="12" t="n"/>
      <c r="AZ227" s="12" t="n"/>
      <c r="BA227" s="12" t="n"/>
      <c r="BB227" s="12" t="n"/>
      <c r="BC227" s="12" t="n"/>
      <c r="BD227" s="12" t="n"/>
      <c r="BE227" s="12" t="n"/>
      <c r="BF227" s="12" t="n"/>
      <c r="BG227" s="12" t="n"/>
      <c r="BH227" s="12" t="n"/>
      <c r="BI227" s="12" t="n"/>
      <c r="BJ227" s="12" t="n"/>
      <c r="BK227" s="12" t="n"/>
      <c r="BL227" s="12" t="n"/>
      <c r="BM227" s="12" t="n"/>
      <c r="BN227" s="12" t="n"/>
      <c r="BO227" s="12" t="n"/>
      <c r="BP227" s="12" t="n"/>
      <c r="BQ227" s="12" t="n"/>
      <c r="BR227" s="12" t="n"/>
      <c r="BS227" s="12" t="n"/>
      <c r="BT227" s="12" t="n"/>
      <c r="BU227" s="12" t="n"/>
      <c r="BV227" s="12" t="n"/>
      <c r="BW227" s="12" t="n"/>
      <c r="BX227" s="12" t="n"/>
      <c r="BY227" s="12" t="n"/>
      <c r="BZ227" s="12" t="n"/>
      <c r="CA227" s="12" t="n"/>
      <c r="CB227" s="12" t="n"/>
      <c r="CC227" s="12" t="n"/>
      <c r="CD227" s="12" t="n"/>
      <c r="CE227" s="12" t="n"/>
      <c r="CF227" s="12" t="n"/>
      <c r="CG227" s="12" t="n"/>
      <c r="CH227" s="12" t="n"/>
      <c r="CI227" s="12" t="n"/>
      <c r="CJ227" s="12" t="n"/>
      <c r="CK227" s="12" t="n"/>
      <c r="CL227" s="12" t="n"/>
      <c r="CM227" s="12" t="n"/>
      <c r="CN227" s="12" t="n"/>
      <c r="CO227" s="12" t="n"/>
      <c r="CP227" s="12" t="n"/>
      <c r="CQ227" s="12" t="n"/>
      <c r="CR227" s="12" t="n"/>
      <c r="CS227" s="12" t="n"/>
      <c r="CT227" s="12" t="n"/>
      <c r="CU227" s="12" t="n"/>
      <c r="CV227" s="12" t="n"/>
      <c r="CW227" s="12" t="n"/>
      <c r="CX227" s="12" t="n"/>
      <c r="CY227" s="12" t="n"/>
    </row>
    <row r="228" hidden="1" outlineLevel="1">
      <c r="C228" s="57" t="inlineStr">
        <is>
          <t>Contas a pagar pela aquisição de controladas</t>
        </is>
      </c>
      <c r="D228" s="11" t="n"/>
      <c r="E228" s="11" t="n"/>
      <c r="F228" s="11" t="n"/>
      <c r="G228" s="11" t="n"/>
      <c r="H228" s="12" t="n"/>
      <c r="I228" s="11" t="n"/>
      <c r="J228" s="11" t="n"/>
      <c r="K228" s="11" t="n"/>
      <c r="L228" s="11" t="n"/>
      <c r="M228" s="12" t="n"/>
      <c r="N228" s="11" t="n"/>
      <c r="O228" s="11" t="n"/>
      <c r="P228" s="11" t="n"/>
      <c r="Q228" s="11" t="n"/>
      <c r="R228" s="12" t="n"/>
      <c r="S228" s="11" t="n"/>
      <c r="T228" s="11" t="n"/>
      <c r="U228" s="11" t="n"/>
      <c r="V228" s="11" t="n"/>
      <c r="W228" s="12" t="n"/>
      <c r="X228" s="11" t="n"/>
      <c r="Y228" s="11" t="n"/>
      <c r="Z228" s="11" t="n"/>
      <c r="AA228" s="11" t="n"/>
      <c r="AB228" s="12" t="n"/>
      <c r="AC228" s="11" t="n"/>
      <c r="AD228" s="11" t="n"/>
      <c r="AE228" s="11" t="n"/>
      <c r="AF228" s="11" t="n"/>
      <c r="AG228" s="12" t="n"/>
      <c r="AH228" s="12" t="n"/>
      <c r="AI228" s="12" t="n"/>
      <c r="AJ228" s="12" t="n"/>
      <c r="AK228" s="12" t="n"/>
      <c r="AL228" s="12" t="n"/>
      <c r="AM228" s="12" t="n"/>
      <c r="AN228" s="12" t="n"/>
      <c r="AO228" s="12" t="n"/>
      <c r="AP228" s="12" t="n"/>
      <c r="AQ228" s="12" t="n"/>
      <c r="AR228" s="12" t="n"/>
      <c r="AS228" s="12" t="n"/>
      <c r="AT228" s="12" t="n"/>
      <c r="AU228" s="12" t="n"/>
      <c r="AV228" s="12" t="n"/>
      <c r="AW228" s="12" t="n"/>
      <c r="AX228" s="12" t="n"/>
      <c r="AY228" s="12" t="n"/>
      <c r="AZ228" s="12" t="n"/>
      <c r="BA228" s="12" t="n"/>
      <c r="BB228" s="12" t="n"/>
      <c r="BC228" s="12" t="n"/>
      <c r="BD228" s="12" t="n"/>
      <c r="BE228" s="12" t="n"/>
      <c r="BF228" s="12" t="n"/>
      <c r="BG228" s="12" t="n"/>
      <c r="BH228" s="12" t="n"/>
      <c r="BI228" s="12" t="n"/>
      <c r="BJ228" s="12" t="n"/>
      <c r="BK228" s="12" t="n"/>
      <c r="BL228" s="12" t="n"/>
      <c r="BM228" s="12" t="n"/>
      <c r="BN228" s="12" t="n"/>
      <c r="BO228" s="12" t="n"/>
      <c r="BP228" s="12" t="n"/>
      <c r="BQ228" s="12" t="n"/>
      <c r="BR228" s="12" t="n"/>
      <c r="BS228" s="12" t="n"/>
      <c r="BT228" s="12" t="n"/>
      <c r="BU228" s="12" t="n"/>
      <c r="BV228" s="12" t="n"/>
      <c r="BW228" s="12" t="n"/>
      <c r="BX228" s="12" t="n"/>
      <c r="BY228" s="12" t="n"/>
      <c r="BZ228" s="12" t="n"/>
      <c r="CA228" s="12" t="n"/>
      <c r="CB228" s="12" t="n"/>
      <c r="CC228" s="12" t="n"/>
      <c r="CD228" s="12" t="n"/>
      <c r="CE228" s="12" t="n"/>
      <c r="CF228" s="12" t="n"/>
      <c r="CG228" s="12" t="n"/>
      <c r="CH228" s="12" t="n"/>
      <c r="CI228" s="12" t="n"/>
      <c r="CJ228" s="12" t="n"/>
      <c r="CK228" s="12" t="n"/>
      <c r="CL228" s="12" t="n"/>
      <c r="CM228" s="12" t="n"/>
      <c r="CN228" s="12" t="n"/>
      <c r="CO228" s="12" t="n"/>
      <c r="CP228" s="12" t="n"/>
      <c r="CQ228" s="12" t="n"/>
      <c r="CR228" s="12" t="n"/>
      <c r="CS228" s="12" t="n"/>
      <c r="CT228" s="12" t="n"/>
      <c r="CU228" s="12" t="n"/>
      <c r="CV228" s="12" t="n"/>
      <c r="CW228" s="12" t="n"/>
      <c r="CX228" s="12" t="n"/>
      <c r="CY228" s="12" t="n"/>
    </row>
    <row r="229" hidden="1" outlineLevel="1">
      <c r="C229" s="57" t="inlineStr">
        <is>
          <t xml:space="preserve">Outras Obrigações </t>
        </is>
      </c>
      <c r="D229" s="11" t="n"/>
      <c r="E229" s="11" t="n"/>
      <c r="F229" s="11" t="n"/>
      <c r="G229" s="11" t="n"/>
      <c r="H229" s="12" t="n"/>
      <c r="I229" s="11" t="n"/>
      <c r="J229" s="11" t="n"/>
      <c r="K229" s="11" t="n"/>
      <c r="L229" s="11" t="n"/>
      <c r="M229" s="12" t="n"/>
      <c r="N229" s="11" t="n"/>
      <c r="O229" s="11" t="n"/>
      <c r="P229" s="11" t="n"/>
      <c r="Q229" s="11" t="n"/>
      <c r="R229" s="12" t="n"/>
      <c r="S229" s="11" t="n"/>
      <c r="T229" s="11" t="n"/>
      <c r="U229" s="11" t="n"/>
      <c r="V229" s="11" t="n"/>
      <c r="W229" s="12" t="n"/>
      <c r="X229" s="11" t="n"/>
      <c r="Y229" s="11" t="n"/>
      <c r="Z229" s="11" t="n"/>
      <c r="AA229" s="11" t="n"/>
      <c r="AB229" s="12" t="n"/>
      <c r="AC229" s="11" t="n"/>
      <c r="AD229" s="11" t="n"/>
      <c r="AE229" s="11" t="n"/>
      <c r="AF229" s="11" t="n"/>
      <c r="AG229" s="12" t="n"/>
      <c r="AH229" s="12" t="n"/>
      <c r="AI229" s="12" t="n"/>
      <c r="AJ229" s="12" t="n"/>
      <c r="AK229" s="12" t="n"/>
      <c r="AL229" s="12" t="n"/>
      <c r="AM229" s="12" t="n"/>
      <c r="AN229" s="12" t="n"/>
      <c r="AO229" s="12" t="n"/>
      <c r="AP229" s="12" t="n"/>
      <c r="AQ229" s="12" t="n"/>
      <c r="AR229" s="12" t="n"/>
      <c r="AS229" s="12" t="n"/>
      <c r="AT229" s="12" t="n"/>
      <c r="AU229" s="12" t="n"/>
      <c r="AV229" s="12" t="n"/>
      <c r="AW229" s="12" t="n"/>
      <c r="AX229" s="12" t="n"/>
      <c r="AY229" s="12" t="n"/>
      <c r="AZ229" s="12" t="n"/>
      <c r="BA229" s="12" t="n"/>
      <c r="BB229" s="12" t="n"/>
      <c r="BC229" s="12" t="n"/>
      <c r="BD229" s="12" t="n"/>
      <c r="BE229" s="12" t="n"/>
      <c r="BF229" s="12" t="n"/>
      <c r="BG229" s="12" t="n"/>
      <c r="BH229" s="12" t="n"/>
      <c r="BI229" s="12" t="n"/>
      <c r="BJ229" s="12" t="n"/>
      <c r="BK229" s="12" t="n"/>
      <c r="BL229" s="12" t="n"/>
      <c r="BM229" s="12" t="n"/>
      <c r="BN229" s="12" t="n"/>
      <c r="BO229" s="12" t="n"/>
      <c r="BP229" s="12" t="n"/>
      <c r="BQ229" s="12" t="n"/>
      <c r="BR229" s="12" t="n"/>
      <c r="BS229" s="12" t="n"/>
      <c r="BT229" s="12" t="n"/>
      <c r="BU229" s="12" t="n"/>
      <c r="BV229" s="12" t="n"/>
      <c r="BW229" s="12" t="n"/>
      <c r="BX229" s="12" t="n"/>
      <c r="BY229" s="12" t="n"/>
      <c r="BZ229" s="12" t="n"/>
      <c r="CA229" s="12" t="n"/>
      <c r="CB229" s="12" t="n"/>
      <c r="CC229" s="12" t="n"/>
      <c r="CD229" s="12" t="n"/>
      <c r="CE229" s="12" t="n"/>
      <c r="CF229" s="12" t="n"/>
      <c r="CG229" s="12" t="n"/>
      <c r="CH229" s="12" t="n"/>
      <c r="CI229" s="12" t="n"/>
      <c r="CJ229" s="12" t="n"/>
      <c r="CK229" s="12" t="n"/>
      <c r="CL229" s="12" t="n"/>
      <c r="CM229" s="12" t="n"/>
      <c r="CN229" s="12" t="n"/>
      <c r="CO229" s="12" t="n"/>
      <c r="CP229" s="12" t="n"/>
      <c r="CQ229" s="12" t="n"/>
      <c r="CR229" s="12" t="n"/>
      <c r="CS229" s="12" t="n"/>
      <c r="CT229" s="12" t="n"/>
      <c r="CU229" s="12" t="n"/>
      <c r="CV229" s="12" t="n"/>
      <c r="CW229" s="12" t="n"/>
      <c r="CX229" s="12" t="n"/>
      <c r="CY229" s="12" t="n"/>
    </row>
    <row r="230" hidden="1" outlineLevel="1">
      <c r="C230" s="57" t="inlineStr">
        <is>
          <t xml:space="preserve">Provisão de Risco Cíveis, Trabalhistas e Tributários </t>
        </is>
      </c>
      <c r="D230" s="11" t="n"/>
      <c r="E230" s="11" t="n"/>
      <c r="F230" s="11" t="n"/>
      <c r="G230" s="11" t="n"/>
      <c r="H230" s="12" t="n"/>
      <c r="I230" s="11" t="n"/>
      <c r="J230" s="11" t="n"/>
      <c r="K230" s="11" t="n"/>
      <c r="L230" s="11" t="n"/>
      <c r="M230" s="12" t="n"/>
      <c r="N230" s="11" t="n"/>
      <c r="O230" s="11" t="n"/>
      <c r="P230" s="11" t="n"/>
      <c r="Q230" s="11" t="n"/>
      <c r="R230" s="12" t="n"/>
      <c r="S230" s="11" t="n"/>
      <c r="T230" s="11" t="n"/>
      <c r="U230" s="11" t="n"/>
      <c r="V230" s="11" t="n"/>
      <c r="W230" s="12" t="n"/>
      <c r="X230" s="11" t="n"/>
      <c r="Y230" s="11" t="n"/>
      <c r="Z230" s="11" t="n"/>
      <c r="AA230" s="11" t="n"/>
      <c r="AB230" s="12" t="n"/>
      <c r="AC230" s="11" t="n"/>
      <c r="AD230" s="11" t="n"/>
      <c r="AE230" s="11" t="n"/>
      <c r="AF230" s="11" t="n"/>
      <c r="AG230" s="12" t="n"/>
      <c r="AH230" s="12" t="n"/>
      <c r="AI230" s="12" t="n"/>
      <c r="AJ230" s="12" t="n"/>
      <c r="AK230" s="12" t="n"/>
      <c r="AL230" s="12" t="n"/>
      <c r="AM230" s="12" t="n"/>
      <c r="AN230" s="12" t="n"/>
      <c r="AO230" s="12" t="n"/>
      <c r="AP230" s="12" t="n"/>
      <c r="AQ230" s="12" t="n"/>
      <c r="AR230" s="12" t="n"/>
      <c r="AS230" s="12" t="n"/>
      <c r="AT230" s="12" t="n"/>
      <c r="AU230" s="12" t="n"/>
      <c r="AV230" s="12" t="n"/>
      <c r="AW230" s="12" t="n"/>
      <c r="AX230" s="12" t="n"/>
      <c r="AY230" s="12" t="n"/>
      <c r="AZ230" s="12" t="n"/>
      <c r="BA230" s="12" t="n"/>
      <c r="BB230" s="12" t="n"/>
      <c r="BC230" s="12" t="n"/>
      <c r="BD230" s="12" t="n"/>
      <c r="BE230" s="12" t="n"/>
      <c r="BF230" s="12" t="n"/>
      <c r="BG230" s="12" t="n"/>
      <c r="BH230" s="12" t="n"/>
      <c r="BI230" s="12" t="n"/>
      <c r="BJ230" s="12" t="n"/>
      <c r="BK230" s="12" t="n"/>
      <c r="BL230" s="12" t="n"/>
      <c r="BM230" s="12" t="n"/>
      <c r="BN230" s="12" t="n"/>
      <c r="BO230" s="12" t="n"/>
      <c r="BP230" s="12" t="n"/>
      <c r="BQ230" s="12" t="n"/>
      <c r="BR230" s="12" t="n"/>
      <c r="BS230" s="12" t="n"/>
      <c r="BT230" s="12" t="n"/>
      <c r="BU230" s="12" t="n"/>
      <c r="BV230" s="12" t="n"/>
      <c r="BW230" s="12" t="n"/>
      <c r="BX230" s="12" t="n"/>
      <c r="BY230" s="12" t="n"/>
      <c r="BZ230" s="12" t="n"/>
      <c r="CA230" s="12" t="n"/>
      <c r="CB230" s="12" t="n"/>
      <c r="CC230" s="12" t="n"/>
      <c r="CD230" s="12" t="n"/>
      <c r="CE230" s="12" t="n"/>
      <c r="CF230" s="12" t="n"/>
      <c r="CG230" s="12" t="n"/>
      <c r="CH230" s="12" t="n"/>
      <c r="CI230" s="12" t="n"/>
      <c r="CJ230" s="12" t="n"/>
      <c r="CK230" s="12" t="n"/>
      <c r="CL230" s="12" t="n"/>
      <c r="CM230" s="12" t="n"/>
      <c r="CN230" s="12" t="n"/>
      <c r="CO230" s="12" t="n"/>
      <c r="CP230" s="12" t="n"/>
      <c r="CQ230" s="12" t="n"/>
      <c r="CR230" s="12" t="n"/>
      <c r="CS230" s="12" t="n"/>
      <c r="CT230" s="12" t="n"/>
      <c r="CU230" s="12" t="n"/>
      <c r="CV230" s="12" t="n"/>
      <c r="CW230" s="12" t="n"/>
      <c r="CX230" s="12" t="n"/>
      <c r="CY230" s="12" t="n"/>
    </row>
    <row r="231" hidden="1" outlineLevel="1">
      <c r="C231" s="57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12" t="n"/>
      <c r="AH231" s="12" t="n"/>
      <c r="AI231" s="12" t="n"/>
      <c r="AJ231" s="12" t="n"/>
      <c r="AK231" s="12" t="n"/>
      <c r="AL231" s="12" t="n"/>
      <c r="AM231" s="12" t="n"/>
      <c r="AN231" s="12" t="n"/>
      <c r="AO231" s="12" t="n"/>
      <c r="AP231" s="12" t="n"/>
      <c r="AQ231" s="12" t="n"/>
      <c r="AR231" s="12" t="n"/>
      <c r="AS231" s="12" t="n"/>
      <c r="AT231" s="12" t="n"/>
      <c r="AU231" s="12" t="n"/>
      <c r="AV231" s="12" t="n"/>
      <c r="AW231" s="12" t="n"/>
      <c r="AX231" s="12" t="n"/>
      <c r="AY231" s="12" t="n"/>
      <c r="AZ231" s="12" t="n"/>
      <c r="BA231" s="12" t="n"/>
      <c r="BB231" s="12" t="n"/>
      <c r="BC231" s="12" t="n"/>
      <c r="BD231" s="12" t="n"/>
      <c r="BE231" s="12" t="n"/>
      <c r="BF231" s="12" t="n"/>
      <c r="BG231" s="12" t="n"/>
      <c r="BH231" s="12" t="n"/>
      <c r="BI231" s="12" t="n"/>
      <c r="BJ231" s="12" t="n"/>
      <c r="BK231" s="12" t="n"/>
      <c r="BL231" s="12" t="n"/>
      <c r="BM231" s="12" t="n"/>
      <c r="BN231" s="12" t="n"/>
      <c r="BO231" s="12" t="n"/>
      <c r="BP231" s="12" t="n"/>
      <c r="BQ231" s="12" t="n"/>
      <c r="BR231" s="12" t="n"/>
      <c r="BS231" s="12" t="n"/>
      <c r="BT231" s="12" t="n"/>
      <c r="BU231" s="12" t="n"/>
      <c r="BV231" s="12" t="n"/>
      <c r="BW231" s="12" t="n"/>
      <c r="BX231" s="12" t="n"/>
      <c r="BY231" s="12" t="n"/>
      <c r="BZ231" s="12" t="n"/>
      <c r="CA231" s="12" t="n"/>
      <c r="CB231" s="12" t="n"/>
      <c r="CC231" s="12" t="n"/>
      <c r="CD231" s="12" t="n"/>
      <c r="CE231" s="12" t="n"/>
      <c r="CF231" s="12" t="n"/>
      <c r="CG231" s="12" t="n"/>
      <c r="CH231" s="12" t="n"/>
      <c r="CI231" s="12" t="n"/>
      <c r="CJ231" s="12" t="n"/>
      <c r="CK231" s="12" t="n"/>
      <c r="CL231" s="12" t="n"/>
      <c r="CM231" s="12" t="n"/>
      <c r="CN231" s="12" t="n"/>
      <c r="CO231" s="12" t="n"/>
      <c r="CP231" s="12" t="n"/>
      <c r="CQ231" s="12" t="n"/>
      <c r="CR231" s="12" t="n"/>
      <c r="CS231" s="12" t="n"/>
      <c r="CT231" s="12" t="n"/>
      <c r="CU231" s="12" t="n"/>
      <c r="CV231" s="12" t="n"/>
      <c r="CW231" s="12" t="n"/>
      <c r="CX231" s="12" t="n"/>
      <c r="CY231" s="12" t="n"/>
    </row>
    <row r="232" collapsed="1" customFormat="1" s="32">
      <c r="A232" s="30" t="n"/>
      <c r="B232" s="30" t="n"/>
      <c r="C232" s="65" t="inlineStr">
        <is>
          <t>Total Liabilities</t>
        </is>
      </c>
      <c r="D232" s="35" t="n"/>
      <c r="E232" s="35" t="n"/>
      <c r="F232" s="35" t="n"/>
      <c r="G232" s="35" t="n"/>
      <c r="H232" s="35" t="n"/>
      <c r="I232" s="35">
        <f>SUM(I183+I187+I189+I190+I197+I198+I199+I202+I220+I223+I224+I225)</f>
        <v>210017</v>
      </c>
      <c r="J232" s="35">
        <f>SUM(J183+J187+J189+J190+J197+J198+J199+J202+J220+J223+J224+J225)</f>
        <v>202517</v>
      </c>
      <c r="K232" s="35">
        <f>SUM(K183+K187+K189+K190+K197+K198+K199+K202+K220+K223+K224+K225)</f>
        <v>198177</v>
      </c>
      <c r="L232" s="35">
        <f>SUM(L183+L187+L189+L190+L197+L198+L199+L202+L220+L223+L224+L225)</f>
        <v>157267</v>
      </c>
      <c r="M232" s="35">
        <f>SUM(M183,M187,M189,M190,M197,M198,M202,M199,M220,M223,M224,M225)</f>
        <v>157267</v>
      </c>
      <c r="N232" s="35">
        <f>SUM(N183+N187+N189+N190+N197+N198+N199+N202+N220+N223+N224+N225)</f>
        <v>151682</v>
      </c>
      <c r="O232" s="35">
        <f>SUM(O183+O187+O189+O190+O197+O198+O199+O202+O220+O223+O224+O225)</f>
        <v>149604</v>
      </c>
      <c r="P232" s="35">
        <f>SUM(P183+P187+P189+P190+P197+P198+P199+P202+P220+P223+P224+P225)</f>
        <v>148129</v>
      </c>
      <c r="Q232" s="35">
        <f>SUM(Q183+Q187+Q189+Q190+Q197+Q198+Q199+Q202+Q220+Q223+Q224+Q225)</f>
        <v>150211</v>
      </c>
      <c r="R232" s="35">
        <f>SUM(R183,R187,R189,R190,R197,R198,R202,R199,R220,R223,R224,R225)</f>
        <v>150211</v>
      </c>
      <c r="S232" s="35">
        <f>SUM(S183+S187+S189+S190+S197+S198+S199+S202+S220+S223+S224+S225)</f>
        <v>131653</v>
      </c>
      <c r="T232" s="35">
        <f>SUM(T183+T187+T189+T190+T197+T198+T199+T202+T220+T223+T224+T225)</f>
        <v>130640</v>
      </c>
      <c r="U232" s="35">
        <f>SUM(U183+U187+U189+U190+U197+U198+U199+U202+U220+U223+U224+U225)</f>
        <v>126829</v>
      </c>
      <c r="V232" s="35">
        <f>SUM(V183+V187+V189+V190+V197+V198+V199+V202+V220+V223+V224+V225)</f>
        <v>134465</v>
      </c>
      <c r="W232" s="35">
        <f>SUM(W183,W187,W189,W190,W197,W198,W202,W199,W220,W223,W224,W225)</f>
        <v>134465</v>
      </c>
      <c r="X232" s="35">
        <f>SUM(X183+X187+X189+X190+X197+X198+X199+X202+X220+X223+X224+X225)</f>
        <v>132838</v>
      </c>
      <c r="Y232" s="35">
        <f>SUM(Y183+Y187+Y189+Y190+Y197+Y198+Y199+Y202+Y220+Y223+Y224+Y225)</f>
        <v>104347</v>
      </c>
      <c r="Z232" s="35">
        <f>SUM(Z183+Z187+Z189+Z190+Z197+Z198+Z199+Z202+Z220+Z223+Z224+Z225)</f>
        <v>107595</v>
      </c>
      <c r="AA232" s="35">
        <f>SUM(AA183+AA187+AA189+AA190+AA197+AA198+AA199+AA202+AA220+AA223+AA224+AA225)</f>
        <v>103575</v>
      </c>
      <c r="AB232" s="35">
        <f>SUM(AB183,AB187,AB189,AB190,AB197,AB198,AB202,AB199,AB220,AB223,AB224,AB225)</f>
        <v>103575</v>
      </c>
      <c r="AC232" s="35">
        <f>SUM(AC183+AC187+AC189+AC190+AC197+AC198+AC199+AC202+AC220+AC223+AC224+AC225)</f>
        <v>104655</v>
      </c>
      <c r="AD232" s="35">
        <f>SUM(AD183+AD187+AD189+AD190+AD197+AD198+AD199+AD202+AD220+AD223+AD224+AD225)</f>
        <v>105911</v>
      </c>
      <c r="AE232" s="35">
        <f>SUM(AE183+AE187+AE189+AE190+AE197+AE198+AE199+AE202+AE220+AE223+AE224+AE225)</f>
        <v>109221</v>
      </c>
      <c r="AF232" s="35">
        <f>SUM(AF183+AF187+AF189+AF190+AF197+AF198+AF199+AF202+AF220+AF223+AF224+AF225)</f>
        <v>111270</v>
      </c>
      <c r="AG232" s="35">
        <f>SUM(AG183,AG187,AG189,AG190,AG197,AG198,AG202,AG199,AG220,AG223,AG224,AG225)</f>
        <v>111270</v>
      </c>
      <c r="AH232" s="35">
        <f>SUM(AH183+AH187+AH189+AH190+AH197+AH198+AH199+AH202+AH220+AH223+AH224+AH225)</f>
        <v>110147</v>
      </c>
      <c r="AI232" s="35">
        <f>SUM(AI183+AI187+AI189+AI190+AI197+AI198+AI199+AI202+AI220+AI223+AI224+AI225)</f>
        <v>109805</v>
      </c>
      <c r="AJ232" s="35">
        <f>SUM(AJ183+AJ187+AJ189+AJ190+AJ197+AJ198+AJ199+AJ202+AJ220+AJ223+AJ224+AJ225)</f>
        <v>110971.522219097</v>
      </c>
      <c r="AK232" s="35">
        <f>SUM(AK183+AK187+AK189+AK190+AK197+AK198+AK199+AK202+AK220+AK223+AK224+AK225)</f>
        <v>111499.052627884</v>
      </c>
      <c r="AL232" s="35">
        <f>SUM(AL183,AL187,AL189,AL190,AL197,AL198,AL202,AL199,AL220,AL223,AL224,AL225)</f>
        <v>111499.052627884</v>
      </c>
      <c r="AM232" s="35">
        <f>SUM(AM183+AM187+AM189+AM190+AM197+AM198+AM199+AM202+AM220+AM223+AM224+AM225)</f>
        <v>111450.214510022</v>
      </c>
      <c r="AN232" s="35">
        <f>SUM(AN183+AN187+AN189+AN190+AN197+AN198+AN199+AN202+AN220+AN223+AN224+AN225)</f>
        <v>112265.440447653</v>
      </c>
      <c r="AO232" s="35">
        <f>SUM(AO183+AO187+AO189+AO190+AO197+AO198+AO199+AO202+AO220+AO223+AO224+AO225)</f>
        <v>113356.684372051</v>
      </c>
      <c r="AP232" s="35">
        <f>SUM(AP183+AP187+AP189+AP190+AP197+AP198+AP199+AP202+AP220+AP223+AP224+AP225)</f>
        <v>113989.168964729</v>
      </c>
      <c r="AQ232" s="35">
        <f>SUM(AQ183,AQ187,AQ189,AQ190,AQ197,AQ198,AQ202,AQ199,AQ220,AQ223,AQ224,AQ225)</f>
        <v>113989.168964729</v>
      </c>
      <c r="AR232" s="35">
        <f>SUM(AR183+AR187+AR189+AR190+AR197+AR198+AR199+AR202+AR220+AR223+AR224+AR225)</f>
        <v>113704.703758566</v>
      </c>
      <c r="AS232" s="35">
        <f>SUM(AS183+AS187+AS189+AS190+AS197+AS198+AS199+AS202+AS220+AS223+AS224+AS225)</f>
        <v>114841.620357739</v>
      </c>
      <c r="AT232" s="35">
        <f>SUM(AT183+AT187+AT189+AT190+AT197+AT198+AT199+AT202+AT220+AT223+AT224+AT225)</f>
        <v>116144.515197201</v>
      </c>
      <c r="AU232" s="35">
        <f>SUM(AU183+AU187+AU189+AU190+AU197+AU198+AU199+AU202+AU220+AU223+AU224+AU225)</f>
        <v>116899.672585404</v>
      </c>
      <c r="AV232" s="35">
        <f>SUM(AV183,AV187,AV189,AV190,AV197,AV198,AV202,AV199,AV220,AV223,AV224,AV225)</f>
        <v>116899.672585404</v>
      </c>
      <c r="AW232" s="35">
        <f>SUM(AW183+AW187+AW189+AW190+AW197+AW198+AW199+AW202+AW220+AW223+AW224+AW225)</f>
        <v>116680.908258683</v>
      </c>
      <c r="AX232" s="35">
        <f>SUM(AX183+AX187+AX189+AX190+AX197+AX198+AX199+AX202+AX220+AX223+AX224+AX225)</f>
        <v>117838.167070802</v>
      </c>
      <c r="AY232" s="35">
        <f>SUM(AY183+AY187+AY189+AY190+AY197+AY198+AY199+AY202+AY220+AY223+AY224+AY225)</f>
        <v>119387.248852166</v>
      </c>
      <c r="AZ232" s="35">
        <f>SUM(AZ183+AZ187+AZ189+AZ190+AZ197+AZ198+AZ199+AZ202+AZ220+AZ223+AZ224+AZ225)</f>
        <v>120285.096104834</v>
      </c>
      <c r="BA232" s="35">
        <f>SUM(BA183,BA187,BA189,BA190,BA197,BA198,BA202,BA199,BA220,BA223,BA224,BA225)</f>
        <v>120285.096104834</v>
      </c>
      <c r="BB232" s="35">
        <f>SUM(BB183+BB187+BB189+BB190+BB197+BB198+BB199+BB202+BB220+BB223+BB224+BB225)</f>
        <v>119936.505884138</v>
      </c>
      <c r="BC232" s="35">
        <f>SUM(BC183+BC187+BC189+BC190+BC197+BC198+BC199+BC202+BC220+BC223+BC224+BC225)</f>
        <v>121306.646862086</v>
      </c>
      <c r="BD232" s="35">
        <f>SUM(BD183+BD187+BD189+BD190+BD197+BD198+BD199+BD202+BD220+BD223+BD224+BD225)</f>
        <v>123140.688136704</v>
      </c>
      <c r="BE232" s="35">
        <f>SUM(BE183+BE187+BE189+BE190+BE197+BE198+BE199+BE202+BE220+BE223+BE224+BE225)</f>
        <v>124203.697810891</v>
      </c>
      <c r="BF232" s="35">
        <f>SUM(BF183,BF187,BF189,BF190,BF197,BF198,BF202,BF199,BF220,BF223,BF224,BF225)</f>
        <v>124203.697810891</v>
      </c>
      <c r="BG232" s="35" t="n"/>
      <c r="BH232" s="35" t="n"/>
      <c r="BI232" s="35" t="n"/>
      <c r="BJ232" s="35" t="n"/>
      <c r="BK232" s="35" t="n"/>
      <c r="BL232" s="35" t="n"/>
      <c r="BM232" s="35" t="n"/>
      <c r="BN232" s="35" t="n"/>
      <c r="BO232" s="35" t="n"/>
      <c r="BP232" s="35" t="n"/>
      <c r="BQ232" s="35" t="n"/>
      <c r="BR232" s="35" t="n"/>
      <c r="BS232" s="35" t="n"/>
      <c r="BT232" s="35" t="n"/>
      <c r="BU232" s="35" t="n"/>
      <c r="BV232" s="35" t="n"/>
      <c r="BW232" s="35" t="n"/>
      <c r="BX232" s="35" t="n"/>
      <c r="BY232" s="35" t="n"/>
      <c r="BZ232" s="35" t="n"/>
      <c r="CA232" s="35" t="n"/>
      <c r="CB232" s="35" t="n"/>
      <c r="CC232" s="35" t="n"/>
      <c r="CD232" s="35" t="n"/>
      <c r="CE232" s="35" t="n"/>
      <c r="CF232" s="35" t="n"/>
      <c r="CG232" s="35" t="n"/>
      <c r="CH232" s="35" t="n"/>
      <c r="CI232" s="35" t="n"/>
      <c r="CJ232" s="35" t="n"/>
      <c r="CK232" s="35" t="n"/>
      <c r="CL232" s="35" t="n"/>
      <c r="CM232" s="35" t="n"/>
      <c r="CN232" s="35" t="n"/>
      <c r="CO232" s="35" t="n"/>
      <c r="CP232" s="35" t="n"/>
      <c r="CQ232" s="35" t="n"/>
      <c r="CR232" s="35" t="n"/>
      <c r="CS232" s="35" t="n"/>
      <c r="CT232" s="35" t="n"/>
      <c r="CU232" s="35" t="n"/>
      <c r="CV232" s="35" t="n"/>
      <c r="CW232" s="35" t="n"/>
      <c r="CX232" s="35" t="n"/>
      <c r="CY232" s="35" t="n"/>
    </row>
    <row r="233">
      <c r="C233" s="14" t="inlineStr">
        <is>
          <t>Minority interest</t>
        </is>
      </c>
      <c r="D233" s="46" t="n"/>
      <c r="E233" s="46" t="n"/>
      <c r="F233" s="46" t="n"/>
      <c r="G233" s="46" t="n"/>
      <c r="H233" s="12" t="n"/>
      <c r="I233" s="46">
        <f>'Inputs (2)'!D41</f>
        <v>1568</v>
      </c>
      <c r="J233" s="46">
        <f>'Inputs (2)'!E41</f>
        <v>1560</v>
      </c>
      <c r="K233" s="46">
        <f>'Inputs (2)'!F41</f>
        <v>1484</v>
      </c>
      <c r="L233" s="46">
        <f>'Inputs (2)'!G41</f>
        <v>1302</v>
      </c>
      <c r="M233" s="12">
        <f>'Inputs (2)'!H41</f>
        <v>1302</v>
      </c>
      <c r="N233" s="46">
        <f>'Inputs (2)'!I41</f>
        <v>1278</v>
      </c>
      <c r="O233" s="46">
        <f>'Inputs (2)'!J41</f>
        <v>1293</v>
      </c>
      <c r="P233" s="46">
        <f>'Inputs (2)'!K41</f>
        <v>1278</v>
      </c>
      <c r="Q233" s="46">
        <f>'Inputs (2)'!L41</f>
        <v>1216</v>
      </c>
      <c r="R233" s="12">
        <f>'Inputs (2)'!M41</f>
        <v>1216</v>
      </c>
      <c r="S233" s="46">
        <f>'Inputs (2)'!N41</f>
        <v>1171</v>
      </c>
      <c r="T233" s="46">
        <f>'Inputs (2)'!O41</f>
        <v>1174</v>
      </c>
      <c r="U233" s="46">
        <f>'Inputs (2)'!P41</f>
        <v>1167</v>
      </c>
      <c r="V233" s="46">
        <f>'Inputs (2)'!Q41</f>
        <v>1202</v>
      </c>
      <c r="W233" s="12">
        <f>'Inputs (2)'!R41</f>
        <v>1202</v>
      </c>
      <c r="X233" s="46">
        <f>'Inputs (2)'!S41</f>
        <v>1248</v>
      </c>
      <c r="Y233" s="46">
        <f>'Inputs (2)'!T41</f>
        <v>245</v>
      </c>
      <c r="Z233" s="46">
        <f>'Inputs (2)'!U41</f>
        <v>229</v>
      </c>
      <c r="AA233" s="46">
        <f>'Inputs (2)'!V41</f>
        <v>223</v>
      </c>
      <c r="AB233" s="12">
        <f>'Inputs (2)'!W41</f>
        <v>223</v>
      </c>
      <c r="AC233" s="46">
        <f>'Inputs (2)'!X41</f>
        <v>217</v>
      </c>
      <c r="AD233" s="46">
        <f>'Inputs (2)'!Y41</f>
        <v>210</v>
      </c>
      <c r="AE233" s="46">
        <f>'Inputs (2)'!Z41</f>
        <v>209</v>
      </c>
      <c r="AF233" s="46">
        <f>'Inputs (2)'!AA41</f>
        <v>221</v>
      </c>
      <c r="AG233" s="12">
        <f>'Inputs (2)'!AB41</f>
        <v>221</v>
      </c>
      <c r="AH233" s="12">
        <f>'Inputs (2)'!AC41</f>
        <v>240</v>
      </c>
      <c r="AI233" s="12">
        <f>'Inputs (2)'!AD41</f>
        <v>227</v>
      </c>
      <c r="AJ233" s="12">
        <f>AI233</f>
        <v>227</v>
      </c>
      <c r="AK233" s="12">
        <f>AJ233</f>
        <v>227</v>
      </c>
      <c r="AL233" s="12">
        <f>AK233</f>
        <v>227</v>
      </c>
      <c r="AM233" s="12">
        <f>AL233</f>
        <v>227</v>
      </c>
      <c r="AN233" s="12">
        <f>AM233</f>
        <v>227</v>
      </c>
      <c r="AO233" s="12">
        <f>AN233</f>
        <v>227</v>
      </c>
      <c r="AP233" s="12">
        <f>AO233</f>
        <v>227</v>
      </c>
      <c r="AQ233" s="12">
        <f>AP233</f>
        <v>227</v>
      </c>
      <c r="AR233" s="12">
        <f>AQ233</f>
        <v>227</v>
      </c>
      <c r="AS233" s="12">
        <f>AR233</f>
        <v>227</v>
      </c>
      <c r="AT233" s="12">
        <f>AS233</f>
        <v>227</v>
      </c>
      <c r="AU233" s="12">
        <f>AT233</f>
        <v>227</v>
      </c>
      <c r="AV233" s="12">
        <f>AU233</f>
        <v>227</v>
      </c>
      <c r="AW233" s="12">
        <f>AV233</f>
        <v>227</v>
      </c>
      <c r="AX233" s="12">
        <f>AW233</f>
        <v>227</v>
      </c>
      <c r="AY233" s="12">
        <f>AX233</f>
        <v>227</v>
      </c>
      <c r="AZ233" s="12">
        <f>AY233</f>
        <v>227</v>
      </c>
      <c r="BA233" s="12">
        <f>AZ233</f>
        <v>227</v>
      </c>
      <c r="BB233" s="12">
        <f>BA233</f>
        <v>227</v>
      </c>
      <c r="BC233" s="12">
        <f>BB233</f>
        <v>227</v>
      </c>
      <c r="BD233" s="12">
        <f>BC233</f>
        <v>227</v>
      </c>
      <c r="BE233" s="12">
        <f>BD233</f>
        <v>227</v>
      </c>
      <c r="BF233" s="12">
        <f>BE233</f>
        <v>227</v>
      </c>
      <c r="BG233" s="12" t="n"/>
      <c r="BH233" s="12" t="n"/>
      <c r="BI233" s="12" t="n"/>
      <c r="BJ233" s="12" t="n"/>
      <c r="BK233" s="12" t="n"/>
      <c r="BL233" s="12" t="n"/>
      <c r="BM233" s="12" t="n"/>
      <c r="BN233" s="12" t="n"/>
      <c r="BO233" s="12" t="n"/>
      <c r="BP233" s="12" t="n"/>
      <c r="BQ233" s="12" t="n"/>
      <c r="BR233" s="12" t="n"/>
      <c r="BS233" s="12" t="n"/>
      <c r="BT233" s="12" t="n"/>
      <c r="BU233" s="12" t="n"/>
      <c r="BV233" s="12" t="n"/>
      <c r="BW233" s="12" t="n"/>
      <c r="BX233" s="12" t="n"/>
      <c r="BY233" s="12" t="n"/>
      <c r="BZ233" s="12" t="n"/>
      <c r="CA233" s="12" t="n"/>
      <c r="CB233" s="12" t="n"/>
      <c r="CC233" s="12" t="n"/>
      <c r="CD233" s="12" t="n"/>
      <c r="CE233" s="12" t="n"/>
      <c r="CF233" s="12" t="n"/>
      <c r="CG233" s="12" t="n"/>
      <c r="CH233" s="12" t="n"/>
      <c r="CI233" s="12" t="n"/>
      <c r="CJ233" s="12" t="n"/>
      <c r="CK233" s="12" t="n"/>
      <c r="CL233" s="12" t="n"/>
      <c r="CM233" s="12" t="n"/>
      <c r="CN233" s="12" t="n"/>
      <c r="CO233" s="12" t="n"/>
      <c r="CP233" s="12" t="n"/>
      <c r="CQ233" s="12" t="n"/>
      <c r="CR233" s="12" t="n"/>
      <c r="CS233" s="12" t="n"/>
      <c r="CT233" s="12" t="n"/>
      <c r="CU233" s="12" t="n"/>
      <c r="CV233" s="12" t="n"/>
      <c r="CW233" s="12" t="n"/>
      <c r="CX233" s="12" t="n"/>
      <c r="CY233" s="12" t="n"/>
    </row>
    <row r="234" hidden="1" outlineLevel="1" customFormat="1" s="66">
      <c r="A234" s="37" t="n"/>
      <c r="B234" s="37" t="n"/>
      <c r="C234" s="59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  <c r="AD234" s="42" t="n"/>
      <c r="AE234" s="42" t="n"/>
      <c r="AF234" s="42" t="n"/>
      <c r="AG234" s="42" t="n"/>
      <c r="AH234" s="42" t="n"/>
      <c r="AI234" s="42" t="n"/>
      <c r="AJ234" s="42" t="n"/>
      <c r="AK234" s="42" t="n"/>
      <c r="AL234" s="42" t="n"/>
      <c r="AM234" s="42" t="n"/>
      <c r="AN234" s="42" t="n"/>
      <c r="AO234" s="42" t="n"/>
      <c r="AP234" s="42" t="n"/>
      <c r="AQ234" s="42" t="n"/>
      <c r="AR234" s="42" t="n"/>
      <c r="AS234" s="42" t="n"/>
      <c r="AT234" s="42" t="n"/>
      <c r="AU234" s="42" t="n"/>
      <c r="AV234" s="42" t="n"/>
      <c r="AW234" s="42" t="n"/>
      <c r="AX234" s="42" t="n"/>
      <c r="AY234" s="42" t="n"/>
      <c r="AZ234" s="42" t="n"/>
      <c r="BA234" s="42" t="n"/>
      <c r="BB234" s="42" t="n"/>
      <c r="BC234" s="42" t="n"/>
      <c r="BD234" s="42" t="n"/>
      <c r="BE234" s="42" t="n"/>
      <c r="BF234" s="42" t="n"/>
      <c r="BG234" s="42" t="n"/>
      <c r="BH234" s="42" t="n"/>
      <c r="BI234" s="42" t="n"/>
      <c r="BJ234" s="42" t="n"/>
      <c r="BK234" s="42" t="n"/>
      <c r="BL234" s="42" t="n"/>
      <c r="BM234" s="42" t="n"/>
      <c r="BN234" s="42" t="n"/>
      <c r="BO234" s="42" t="n"/>
      <c r="BP234" s="42" t="n"/>
      <c r="BQ234" s="42" t="n"/>
      <c r="BR234" s="42" t="n"/>
      <c r="BS234" s="42" t="n"/>
      <c r="BT234" s="42" t="n"/>
      <c r="BU234" s="42" t="n"/>
      <c r="BV234" s="42" t="n"/>
      <c r="BW234" s="42" t="n"/>
      <c r="BX234" s="42" t="n"/>
      <c r="BY234" s="42" t="n"/>
      <c r="BZ234" s="42" t="n"/>
      <c r="CA234" s="42" t="n"/>
      <c r="CB234" s="42" t="n"/>
      <c r="CC234" s="42" t="n"/>
      <c r="CD234" s="42" t="n"/>
      <c r="CE234" s="42" t="n"/>
      <c r="CF234" s="42" t="n"/>
      <c r="CG234" s="42" t="n"/>
      <c r="CH234" s="42" t="n"/>
      <c r="CI234" s="42" t="n"/>
      <c r="CJ234" s="42" t="n"/>
      <c r="CK234" s="42" t="n"/>
      <c r="CL234" s="42" t="n"/>
      <c r="CM234" s="42" t="n"/>
      <c r="CN234" s="42" t="n"/>
      <c r="CO234" s="42" t="n"/>
      <c r="CP234" s="42" t="n"/>
      <c r="CQ234" s="42" t="n"/>
      <c r="CR234" s="42" t="n"/>
      <c r="CS234" s="42" t="n"/>
      <c r="CT234" s="42" t="n"/>
      <c r="CU234" s="42" t="n"/>
      <c r="CV234" s="42" t="n"/>
      <c r="CW234" s="42" t="n"/>
      <c r="CX234" s="42" t="n"/>
      <c r="CY234" s="42" t="n"/>
    </row>
    <row r="235" hidden="1" outlineLevel="1" customFormat="1" s="66">
      <c r="A235" s="37" t="n"/>
      <c r="B235" s="37" t="n"/>
      <c r="C235" s="57" t="inlineStr">
        <is>
          <t>Minority Interest Expense - % YoY</t>
        </is>
      </c>
      <c r="D235" s="42" t="n"/>
      <c r="E235" s="58" t="n"/>
      <c r="F235" s="42" t="n"/>
      <c r="G235" s="42" t="n"/>
      <c r="H235" s="58" t="n"/>
      <c r="I235" s="42" t="n"/>
      <c r="J235" s="58">
        <f>IF(I120=0,0,J120/I120-1)</f>
        <v>-0.805392326304874</v>
      </c>
      <c r="K235" s="42" t="n"/>
      <c r="L235" s="42" t="n"/>
      <c r="M235" s="58" t="n"/>
      <c r="N235" s="58">
        <f>IF(I120=0,0,N120/I120-1)</f>
        <v>-1.03491185620463</v>
      </c>
      <c r="O235" s="58">
        <f>IF(J120=0,0,O120/J120-1)</f>
        <v>-1.46891651865009</v>
      </c>
      <c r="P235" s="58">
        <f>IF(K120=0,0,P120/K120-1)</f>
        <v>-0.318936877076412</v>
      </c>
      <c r="Q235" s="58">
        <f>IF(L120=0,0,Q120/L120-1)</f>
        <v>-0.736686390532544</v>
      </c>
      <c r="R235" s="58" t="n"/>
      <c r="S235" s="58">
        <f>IF(N120=0,0,S120/N120-1)</f>
        <v>11.4752475247525</v>
      </c>
      <c r="T235" s="58">
        <f>IF(O120=0,0,T120/O120-1)</f>
        <v>-5.61742424242424</v>
      </c>
      <c r="U235" s="58">
        <f>IF(P120=0,0,U120/P120-1)</f>
        <v>-0.924390243902439</v>
      </c>
      <c r="V235" s="58">
        <f>IF(Q120=0,0,V120/Q120-1)</f>
        <v>-1.01123595505618</v>
      </c>
      <c r="W235" s="58">
        <f>IF(R121=0,0,W121/R121-1)</f>
        <v>-1.55223880597015</v>
      </c>
      <c r="X235" s="58">
        <f>IF(S120=0,0,X120/S120-1)</f>
        <v>-1.14047619047619</v>
      </c>
      <c r="Y235" s="58">
        <f>IF(T120=0,0,Y120/T120-1)</f>
        <v>-0.955701394585726</v>
      </c>
      <c r="Z235" s="58">
        <f>IF(U120=0,0,Z120/U120-1)</f>
        <v>3.74193548387097</v>
      </c>
      <c r="AA235" s="58">
        <f>IF(V120=0,0,AA120/V120-1)</f>
        <v>-8</v>
      </c>
      <c r="AB235" s="58">
        <f>IF(W121=0,0,AB121/W121-1)</f>
        <v>-1.2972972972973</v>
      </c>
      <c r="AC235" s="58">
        <f>IF(X120=0,0,AC120/X120-1)</f>
        <v>-1.06214689265537</v>
      </c>
      <c r="AD235" s="58">
        <f>IF(Y120=0,0,AD120/Y120-1)</f>
        <v>-1.37037037037037</v>
      </c>
      <c r="AE235" s="58">
        <f>IF(Z120=0,0,AE120/Z120-1)</f>
        <v>-1.1156462585034</v>
      </c>
      <c r="AF235" s="58">
        <f>IF(AA120=0,0,AF120/AA120-1)</f>
        <v>-13.8571428571429</v>
      </c>
      <c r="AG235" s="58">
        <f>IF(AB121=0,0,AG121/AB121-1)</f>
        <v>-1.45454545454545</v>
      </c>
      <c r="AH235" s="62">
        <f>IF(AC120=0,0,AH120/AC120-1)</f>
        <v>-3.36363636363636</v>
      </c>
      <c r="AI235" s="62">
        <f>IF(AD120=0,0,AI120/AD120-1)</f>
        <v>-2.85</v>
      </c>
      <c r="AJ235" s="62" t="n"/>
      <c r="AK235" s="62" t="n"/>
      <c r="AL235" s="58">
        <f>IF(AG121=0,0,AL121/AG121-1)</f>
        <v>-1.6</v>
      </c>
      <c r="AM235" s="62" t="n"/>
      <c r="AN235" s="62" t="n"/>
      <c r="AO235" s="62" t="n"/>
      <c r="AP235" s="62" t="n"/>
      <c r="AQ235" s="58">
        <f>IF(AL121=0,0,AQ121/AL121-1)</f>
        <v>-1</v>
      </c>
      <c r="AR235" s="62" t="n"/>
      <c r="AS235" s="62" t="n"/>
      <c r="AT235" s="62" t="n"/>
      <c r="AU235" s="62" t="n"/>
      <c r="AV235" s="58">
        <f>IF(AQ121=0,0,AV121/AQ121-1)</f>
        <v>0</v>
      </c>
      <c r="AW235" s="62" t="n"/>
      <c r="AX235" s="62" t="n"/>
      <c r="AY235" s="62" t="n"/>
      <c r="AZ235" s="62" t="n"/>
      <c r="BA235" s="58">
        <f>IF(AV121=0,0,BA121/AV121-1)</f>
        <v>0</v>
      </c>
      <c r="BB235" s="62" t="n"/>
      <c r="BC235" s="62" t="n"/>
      <c r="BD235" s="62" t="n"/>
      <c r="BE235" s="62" t="n"/>
      <c r="BF235" s="58">
        <f>IF(BA121=0,0,BF121/BA121-1)</f>
        <v>0</v>
      </c>
      <c r="BG235" s="62" t="n"/>
      <c r="BH235" s="62" t="n"/>
      <c r="BI235" s="62" t="n"/>
      <c r="BJ235" s="62" t="n"/>
      <c r="BK235" s="58" t="n"/>
      <c r="BL235" s="62" t="n"/>
      <c r="BM235" s="62" t="n"/>
      <c r="BN235" s="62" t="n"/>
      <c r="BO235" s="62" t="n"/>
      <c r="BP235" s="58" t="n"/>
      <c r="BQ235" s="62" t="n"/>
      <c r="BR235" s="62" t="n"/>
      <c r="BS235" s="62" t="n"/>
      <c r="BT235" s="62" t="n"/>
      <c r="BU235" s="58" t="n"/>
      <c r="BV235" s="62" t="n"/>
      <c r="BW235" s="62" t="n"/>
      <c r="BX235" s="62" t="n"/>
      <c r="BY235" s="62" t="n"/>
      <c r="BZ235" s="58" t="n"/>
      <c r="CA235" s="62" t="n"/>
      <c r="CB235" s="62" t="n"/>
      <c r="CC235" s="62" t="n"/>
      <c r="CD235" s="62" t="n"/>
      <c r="CE235" s="58" t="n"/>
      <c r="CF235" s="62" t="n"/>
      <c r="CG235" s="62" t="n"/>
      <c r="CH235" s="62" t="n"/>
      <c r="CI235" s="62" t="n"/>
      <c r="CJ235" s="58" t="n"/>
      <c r="CK235" s="62" t="n"/>
      <c r="CL235" s="62" t="n"/>
      <c r="CM235" s="62" t="n"/>
      <c r="CN235" s="62" t="n"/>
      <c r="CO235" s="58" t="n"/>
      <c r="CP235" s="62" t="n"/>
      <c r="CQ235" s="62" t="n"/>
      <c r="CR235" s="62" t="n"/>
      <c r="CS235" s="62" t="n"/>
      <c r="CT235" s="58" t="n"/>
      <c r="CU235" s="62" t="n"/>
      <c r="CV235" s="62" t="n"/>
      <c r="CW235" s="62" t="n"/>
      <c r="CX235" s="62" t="n"/>
      <c r="CY235" s="58" t="n"/>
    </row>
    <row r="236" hidden="1" outlineLevel="1" customFormat="1" s="66">
      <c r="A236" s="37" t="n"/>
      <c r="B236" s="37" t="n"/>
      <c r="C236" s="57" t="inlineStr">
        <is>
          <t>Dividends (enter as -)</t>
        </is>
      </c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  <c r="AD236" s="42" t="n"/>
      <c r="AE236" s="42" t="n"/>
      <c r="AF236" s="42" t="n"/>
      <c r="AG236" s="42" t="n"/>
      <c r="AH236" s="62" t="n"/>
      <c r="AI236" s="62" t="n"/>
      <c r="AJ236" s="62" t="n"/>
      <c r="AK236" s="62" t="n"/>
      <c r="AL236" s="42" t="n"/>
      <c r="AM236" s="62" t="n"/>
      <c r="AN236" s="62" t="n"/>
      <c r="AO236" s="62" t="n"/>
      <c r="AP236" s="62" t="n"/>
      <c r="AQ236" s="42" t="n"/>
      <c r="AR236" s="62" t="n"/>
      <c r="AS236" s="62" t="n"/>
      <c r="AT236" s="62" t="n"/>
      <c r="AU236" s="62" t="n"/>
      <c r="AV236" s="42" t="n"/>
      <c r="AW236" s="62" t="n"/>
      <c r="AX236" s="62" t="n"/>
      <c r="AY236" s="62" t="n"/>
      <c r="AZ236" s="62" t="n"/>
      <c r="BA236" s="42" t="n"/>
      <c r="BB236" s="62" t="n"/>
      <c r="BC236" s="62" t="n"/>
      <c r="BD236" s="62" t="n"/>
      <c r="BE236" s="62" t="n"/>
      <c r="BF236" s="42" t="n"/>
      <c r="BG236" s="62" t="n"/>
      <c r="BH236" s="62" t="n"/>
      <c r="BI236" s="62" t="n"/>
      <c r="BJ236" s="62" t="n"/>
      <c r="BK236" s="42" t="n"/>
      <c r="BL236" s="62" t="n"/>
      <c r="BM236" s="62" t="n"/>
      <c r="BN236" s="62" t="n"/>
      <c r="BO236" s="62" t="n"/>
      <c r="BP236" s="42" t="n"/>
      <c r="BQ236" s="62" t="n"/>
      <c r="BR236" s="62" t="n"/>
      <c r="BS236" s="62" t="n"/>
      <c r="BT236" s="62" t="n"/>
      <c r="BU236" s="42" t="n"/>
      <c r="BV236" s="62" t="n"/>
      <c r="BW236" s="62" t="n"/>
      <c r="BX236" s="62" t="n"/>
      <c r="BY236" s="62" t="n"/>
      <c r="BZ236" s="42" t="n"/>
      <c r="CA236" s="62" t="n"/>
      <c r="CB236" s="62" t="n"/>
      <c r="CC236" s="62" t="n"/>
      <c r="CD236" s="62" t="n"/>
      <c r="CE236" s="42" t="n"/>
      <c r="CF236" s="62" t="n"/>
      <c r="CG236" s="62" t="n"/>
      <c r="CH236" s="62" t="n"/>
      <c r="CI236" s="62" t="n"/>
      <c r="CJ236" s="42" t="n"/>
      <c r="CK236" s="62" t="n"/>
      <c r="CL236" s="62" t="n"/>
      <c r="CM236" s="62" t="n"/>
      <c r="CN236" s="62" t="n"/>
      <c r="CO236" s="42" t="n"/>
      <c r="CP236" s="62" t="n"/>
      <c r="CQ236" s="62" t="n"/>
      <c r="CR236" s="62" t="n"/>
      <c r="CS236" s="62" t="n"/>
      <c r="CT236" s="42" t="n"/>
      <c r="CU236" s="62" t="n"/>
      <c r="CV236" s="62" t="n"/>
      <c r="CW236" s="62" t="n"/>
      <c r="CX236" s="62" t="n"/>
      <c r="CY236" s="42" t="n"/>
    </row>
    <row r="237" hidden="1" outlineLevel="1" customFormat="1" s="66">
      <c r="A237" s="37" t="n"/>
      <c r="B237" s="37" t="n"/>
      <c r="C237" s="59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  <c r="AE237" s="42" t="n"/>
      <c r="AF237" s="42" t="n"/>
      <c r="AG237" s="42" t="n"/>
      <c r="AH237" s="42" t="n"/>
      <c r="AI237" s="42" t="n"/>
      <c r="AJ237" s="42" t="n"/>
      <c r="AK237" s="42" t="n"/>
      <c r="AL237" s="42" t="n"/>
      <c r="AM237" s="42" t="n"/>
      <c r="AN237" s="42" t="n"/>
      <c r="AO237" s="42" t="n"/>
      <c r="AP237" s="42" t="n"/>
      <c r="AQ237" s="42" t="n"/>
      <c r="AR237" s="42" t="n"/>
      <c r="AS237" s="42" t="n"/>
      <c r="AT237" s="42" t="n"/>
      <c r="AU237" s="42" t="n"/>
      <c r="AV237" s="42" t="n"/>
      <c r="AW237" s="42" t="n"/>
      <c r="AX237" s="42" t="n"/>
      <c r="AY237" s="42" t="n"/>
      <c r="AZ237" s="42" t="n"/>
      <c r="BA237" s="42" t="n"/>
      <c r="BB237" s="42" t="n"/>
      <c r="BC237" s="42" t="n"/>
      <c r="BD237" s="42" t="n"/>
      <c r="BE237" s="42" t="n"/>
      <c r="BF237" s="42" t="n"/>
      <c r="BG237" s="42" t="n"/>
      <c r="BH237" s="42" t="n"/>
      <c r="BI237" s="42" t="n"/>
      <c r="BJ237" s="42" t="n"/>
      <c r="BK237" s="42" t="n"/>
      <c r="BL237" s="42" t="n"/>
      <c r="BM237" s="42" t="n"/>
      <c r="BN237" s="42" t="n"/>
      <c r="BO237" s="42" t="n"/>
      <c r="BP237" s="42" t="n"/>
      <c r="BQ237" s="42" t="n"/>
      <c r="BR237" s="42" t="n"/>
      <c r="BS237" s="42" t="n"/>
      <c r="BT237" s="42" t="n"/>
      <c r="BU237" s="42" t="n"/>
      <c r="BV237" s="42" t="n"/>
      <c r="BW237" s="42" t="n"/>
      <c r="BX237" s="42" t="n"/>
      <c r="BY237" s="42" t="n"/>
      <c r="BZ237" s="42" t="n"/>
      <c r="CA237" s="42" t="n"/>
      <c r="CB237" s="42" t="n"/>
      <c r="CC237" s="42" t="n"/>
      <c r="CD237" s="42" t="n"/>
      <c r="CE237" s="42" t="n"/>
      <c r="CF237" s="42" t="n"/>
      <c r="CG237" s="42" t="n"/>
      <c r="CH237" s="42" t="n"/>
      <c r="CI237" s="42" t="n"/>
      <c r="CJ237" s="42" t="n"/>
      <c r="CK237" s="42" t="n"/>
      <c r="CL237" s="42" t="n"/>
      <c r="CM237" s="42" t="n"/>
      <c r="CN237" s="42" t="n"/>
      <c r="CO237" s="42" t="n"/>
      <c r="CP237" s="42" t="n"/>
      <c r="CQ237" s="42" t="n"/>
      <c r="CR237" s="42" t="n"/>
      <c r="CS237" s="42" t="n"/>
      <c r="CT237" s="42" t="n"/>
      <c r="CU237" s="42" t="n"/>
      <c r="CV237" s="42" t="n"/>
      <c r="CW237" s="42" t="n"/>
      <c r="CX237" s="42" t="n"/>
      <c r="CY237" s="42" t="n"/>
    </row>
    <row r="238" collapsed="1">
      <c r="C238" s="14" t="inlineStr">
        <is>
          <t>Convertible Preferred Stock</t>
        </is>
      </c>
      <c r="D238" s="46" t="n"/>
      <c r="E238" s="46" t="n"/>
      <c r="F238" s="46" t="n"/>
      <c r="G238" s="46" t="n"/>
      <c r="H238" s="12" t="n"/>
      <c r="I238" s="46">
        <f>'Inputs (2)'!D42</f>
        <v>0</v>
      </c>
      <c r="J238" s="46">
        <f>'Inputs (2)'!E42</f>
        <v>0</v>
      </c>
      <c r="K238" s="46">
        <f>'Inputs (2)'!F42</f>
        <v>0</v>
      </c>
      <c r="L238" s="46">
        <f>'Inputs (2)'!G42</f>
        <v>0</v>
      </c>
      <c r="M238" s="12">
        <f>'Inputs (2)'!H42</f>
        <v>0</v>
      </c>
      <c r="N238" s="46">
        <f>'Inputs (2)'!I42</f>
        <v>0</v>
      </c>
      <c r="O238" s="46">
        <f>'Inputs (2)'!J42</f>
        <v>0</v>
      </c>
      <c r="P238" s="46">
        <f>'Inputs (2)'!K42</f>
        <v>0</v>
      </c>
      <c r="Q238" s="46">
        <f>'Inputs (2)'!L42</f>
        <v>0</v>
      </c>
      <c r="R238" s="12">
        <f>'Inputs (2)'!M42</f>
        <v>0</v>
      </c>
      <c r="S238" s="46">
        <f>'Inputs (2)'!N42</f>
        <v>0</v>
      </c>
      <c r="T238" s="46">
        <f>'Inputs (2)'!O42</f>
        <v>0</v>
      </c>
      <c r="U238" s="46">
        <f>'Inputs (2)'!P42</f>
        <v>0</v>
      </c>
      <c r="V238" s="46">
        <f>'Inputs (2)'!Q42</f>
        <v>0</v>
      </c>
      <c r="W238" s="12">
        <f>'Inputs (2)'!R42</f>
        <v>0</v>
      </c>
      <c r="X238" s="46">
        <f>'Inputs (2)'!S42</f>
        <v>0</v>
      </c>
      <c r="Y238" s="46">
        <f>'Inputs (2)'!T42</f>
        <v>0</v>
      </c>
      <c r="Z238" s="46">
        <f>'Inputs (2)'!U42</f>
        <v>0</v>
      </c>
      <c r="AA238" s="46">
        <f>'Inputs (2)'!V42</f>
        <v>0</v>
      </c>
      <c r="AB238" s="12">
        <f>'Inputs (2)'!W42</f>
        <v>0</v>
      </c>
      <c r="AC238" s="46">
        <f>'Inputs (2)'!X42</f>
        <v>0</v>
      </c>
      <c r="AD238" s="46">
        <f>'Inputs (2)'!Y42</f>
        <v>0</v>
      </c>
      <c r="AE238" s="46">
        <f>'Inputs (2)'!Z42</f>
        <v>0</v>
      </c>
      <c r="AF238" s="46">
        <f>'Inputs (2)'!AA42</f>
        <v>0</v>
      </c>
      <c r="AG238" s="12">
        <f>'Inputs (2)'!AB42</f>
        <v>0</v>
      </c>
      <c r="AH238" s="12">
        <f>'Inputs (2)'!AC42</f>
        <v>0</v>
      </c>
      <c r="AI238" s="12">
        <f>'Inputs (2)'!AD42</f>
        <v>0</v>
      </c>
      <c r="AJ238" s="12">
        <f>AI238</f>
        <v>0</v>
      </c>
      <c r="AK238" s="12">
        <f>AJ238</f>
        <v>0</v>
      </c>
      <c r="AL238" s="12">
        <f>AK238</f>
        <v>0</v>
      </c>
      <c r="AM238" s="12">
        <f>AL238</f>
        <v>0</v>
      </c>
      <c r="AN238" s="12">
        <f>AM238</f>
        <v>0</v>
      </c>
      <c r="AO238" s="12">
        <f>AN238</f>
        <v>0</v>
      </c>
      <c r="AP238" s="12">
        <f>AO238</f>
        <v>0</v>
      </c>
      <c r="AQ238" s="12">
        <f>AP238</f>
        <v>0</v>
      </c>
      <c r="AR238" s="12">
        <f>AQ238</f>
        <v>0</v>
      </c>
      <c r="AS238" s="12">
        <f>AR238</f>
        <v>0</v>
      </c>
      <c r="AT238" s="12">
        <f>AS238</f>
        <v>0</v>
      </c>
      <c r="AU238" s="12">
        <f>AT238</f>
        <v>0</v>
      </c>
      <c r="AV238" s="12">
        <f>AU238</f>
        <v>0</v>
      </c>
      <c r="AW238" s="12">
        <f>AV238</f>
        <v>0</v>
      </c>
      <c r="AX238" s="12">
        <f>AW238</f>
        <v>0</v>
      </c>
      <c r="AY238" s="12">
        <f>AX238</f>
        <v>0</v>
      </c>
      <c r="AZ238" s="12">
        <f>AY238</f>
        <v>0</v>
      </c>
      <c r="BA238" s="12">
        <f>AZ238</f>
        <v>0</v>
      </c>
      <c r="BB238" s="12">
        <f>BA238</f>
        <v>0</v>
      </c>
      <c r="BC238" s="12">
        <f>BB238</f>
        <v>0</v>
      </c>
      <c r="BD238" s="12">
        <f>BC238</f>
        <v>0</v>
      </c>
      <c r="BE238" s="12">
        <f>BD238</f>
        <v>0</v>
      </c>
      <c r="BF238" s="12">
        <f>BE238</f>
        <v>0</v>
      </c>
      <c r="BG238" s="12" t="n"/>
      <c r="BH238" s="12" t="n"/>
      <c r="BI238" s="12" t="n"/>
      <c r="BJ238" s="12" t="n"/>
      <c r="BK238" s="12" t="n"/>
      <c r="BL238" s="12" t="n"/>
      <c r="BM238" s="12" t="n"/>
      <c r="BN238" s="12" t="n"/>
      <c r="BO238" s="12" t="n"/>
      <c r="BP238" s="12" t="n"/>
      <c r="BQ238" s="12" t="n"/>
      <c r="BR238" s="12" t="n"/>
      <c r="BS238" s="12" t="n"/>
      <c r="BT238" s="12" t="n"/>
      <c r="BU238" s="12" t="n"/>
      <c r="BV238" s="12" t="n"/>
      <c r="BW238" s="12" t="n"/>
      <c r="BX238" s="12" t="n"/>
      <c r="BY238" s="12" t="n"/>
      <c r="BZ238" s="12" t="n"/>
      <c r="CA238" s="12" t="n"/>
      <c r="CB238" s="12" t="n"/>
      <c r="CC238" s="12" t="n"/>
      <c r="CD238" s="12" t="n"/>
      <c r="CE238" s="12" t="n"/>
      <c r="CF238" s="12" t="n"/>
      <c r="CG238" s="12" t="n"/>
      <c r="CH238" s="12" t="n"/>
      <c r="CI238" s="12" t="n"/>
      <c r="CJ238" s="12" t="n"/>
      <c r="CK238" s="12" t="n"/>
      <c r="CL238" s="12" t="n"/>
      <c r="CM238" s="12" t="n"/>
      <c r="CN238" s="12" t="n"/>
      <c r="CO238" s="12" t="n"/>
      <c r="CP238" s="12" t="n"/>
      <c r="CQ238" s="12" t="n"/>
      <c r="CR238" s="12" t="n"/>
      <c r="CS238" s="12" t="n"/>
      <c r="CT238" s="12" t="n"/>
      <c r="CU238" s="12" t="n"/>
      <c r="CV238" s="12" t="n"/>
      <c r="CW238" s="12" t="n"/>
      <c r="CX238" s="12" t="n"/>
      <c r="CY238" s="12" t="n"/>
    </row>
    <row r="239">
      <c r="C239" s="13" t="inlineStr">
        <is>
          <t>Common Stock and APIC</t>
        </is>
      </c>
      <c r="D239" s="46" t="n"/>
      <c r="E239" s="46" t="n"/>
      <c r="F239" s="46" t="n"/>
      <c r="G239" s="46" t="n"/>
      <c r="H239" s="12" t="n"/>
      <c r="I239" s="46">
        <f>'Inputs (2)'!D43</f>
        <v>34744</v>
      </c>
      <c r="J239" s="46">
        <f>'Inputs (2)'!E43</f>
        <v>34734</v>
      </c>
      <c r="K239" s="46">
        <f>'Inputs (2)'!F43</f>
        <v>34766</v>
      </c>
      <c r="L239" s="46">
        <f>'Inputs (2)'!G43</f>
        <v>34706</v>
      </c>
      <c r="M239" s="12">
        <f>'Inputs (2)'!H43</f>
        <v>34706</v>
      </c>
      <c r="N239" s="46">
        <f>'Inputs (2)'!I43</f>
        <v>34406</v>
      </c>
      <c r="O239" s="46">
        <f>'Inputs (2)'!J43</f>
        <v>34397</v>
      </c>
      <c r="P239" s="46">
        <f>'Inputs (2)'!K43</f>
        <v>34269</v>
      </c>
      <c r="Q239" s="46">
        <f>'Inputs (2)'!L43</f>
        <v>34188</v>
      </c>
      <c r="R239" s="12">
        <f>'Inputs (2)'!M43</f>
        <v>34188</v>
      </c>
      <c r="S239" s="46">
        <f>'Inputs (2)'!N43</f>
        <v>30744</v>
      </c>
      <c r="T239" s="46">
        <f>'Inputs (2)'!O43</f>
        <v>30441</v>
      </c>
      <c r="U239" s="46">
        <f>'Inputs (2)'!P43</f>
        <v>27244</v>
      </c>
      <c r="V239" s="46">
        <f>'Inputs (2)'!Q43</f>
        <v>26977</v>
      </c>
      <c r="W239" s="12">
        <f>'Inputs (2)'!R43</f>
        <v>26977</v>
      </c>
      <c r="X239" s="46">
        <f>'Inputs (2)'!S43</f>
        <v>25902</v>
      </c>
      <c r="Y239" s="46">
        <f>'Inputs (2)'!T43</f>
        <v>25297</v>
      </c>
      <c r="Z239" s="46">
        <f>'Inputs (2)'!U43</f>
        <v>24421</v>
      </c>
      <c r="AA239" s="46">
        <f>'Inputs (2)'!V43</f>
        <v>24281</v>
      </c>
      <c r="AB239" s="12">
        <f>'Inputs (2)'!W43</f>
        <v>24281</v>
      </c>
      <c r="AC239" s="46">
        <f>'Inputs (2)'!X43</f>
        <v>23927</v>
      </c>
      <c r="AD239" s="46">
        <f>'Inputs (2)'!Y43</f>
        <v>23854</v>
      </c>
      <c r="AE239" s="46">
        <f>'Inputs (2)'!Z43</f>
        <v>23660</v>
      </c>
      <c r="AF239" s="46">
        <f>'Inputs (2)'!AA43</f>
        <v>23614</v>
      </c>
      <c r="AG239" s="12">
        <f>'Inputs (2)'!AB43</f>
        <v>23614</v>
      </c>
      <c r="AH239" s="12">
        <f>'Inputs (2)'!AC43</f>
        <v>23161</v>
      </c>
      <c r="AI239" s="12">
        <f>'Inputs (2)'!AD43</f>
        <v>23089</v>
      </c>
      <c r="AJ239" s="12">
        <f>AI239+AJ243</f>
        <v>23089</v>
      </c>
      <c r="AK239" s="12">
        <f>AJ239+AK243</f>
        <v>23089</v>
      </c>
      <c r="AL239" s="12">
        <f>AK239</f>
        <v>23089</v>
      </c>
      <c r="AM239" s="12">
        <f>AL239+AM243</f>
        <v>23089</v>
      </c>
      <c r="AN239" s="12">
        <f>AM239+AN243</f>
        <v>23089</v>
      </c>
      <c r="AO239" s="12">
        <f>AN239+AO243</f>
        <v>23089</v>
      </c>
      <c r="AP239" s="12">
        <f>AO239+AP243</f>
        <v>23089</v>
      </c>
      <c r="AQ239" s="12">
        <f>AP239</f>
        <v>23089</v>
      </c>
      <c r="AR239" s="12">
        <f>AQ239+AR243</f>
        <v>23089</v>
      </c>
      <c r="AS239" s="12">
        <f>AR239+AS243</f>
        <v>23089</v>
      </c>
      <c r="AT239" s="12">
        <f>AS239+AT243</f>
        <v>23089</v>
      </c>
      <c r="AU239" s="12">
        <f>AT239+AU243</f>
        <v>23089</v>
      </c>
      <c r="AV239" s="12">
        <f>AU239</f>
        <v>23089</v>
      </c>
      <c r="AW239" s="12">
        <f>AV239+AW243</f>
        <v>23089</v>
      </c>
      <c r="AX239" s="12">
        <f>AW239+AX243</f>
        <v>23089</v>
      </c>
      <c r="AY239" s="12">
        <f>AX239+AY243</f>
        <v>23089</v>
      </c>
      <c r="AZ239" s="12">
        <f>AY239+AZ243</f>
        <v>23089</v>
      </c>
      <c r="BA239" s="12">
        <f>AZ239</f>
        <v>23089</v>
      </c>
      <c r="BB239" s="12">
        <f>BA239+BB243</f>
        <v>23089</v>
      </c>
      <c r="BC239" s="12">
        <f>BB239+BC243</f>
        <v>23089</v>
      </c>
      <c r="BD239" s="12">
        <f>BC239+BD243</f>
        <v>23089</v>
      </c>
      <c r="BE239" s="12">
        <f>BD239+BE243</f>
        <v>23089</v>
      </c>
      <c r="BF239" s="12">
        <f>BE239</f>
        <v>23089</v>
      </c>
      <c r="BG239" s="12" t="n"/>
      <c r="BH239" s="12" t="n"/>
      <c r="BI239" s="12" t="n"/>
      <c r="BJ239" s="12" t="n"/>
      <c r="BK239" s="12" t="n"/>
      <c r="BL239" s="12" t="n"/>
      <c r="BM239" s="12" t="n"/>
      <c r="BN239" s="12" t="n"/>
      <c r="BO239" s="12" t="n"/>
      <c r="BP239" s="12" t="n"/>
      <c r="BQ239" s="12" t="n"/>
      <c r="BR239" s="12" t="n"/>
      <c r="BS239" s="12" t="n"/>
      <c r="BT239" s="12" t="n"/>
      <c r="BU239" s="12" t="n"/>
      <c r="BV239" s="12" t="n"/>
      <c r="BW239" s="12" t="n"/>
      <c r="BX239" s="12" t="n"/>
      <c r="BY239" s="12" t="n"/>
      <c r="BZ239" s="12" t="n"/>
      <c r="CA239" s="12" t="n"/>
      <c r="CB239" s="12" t="n"/>
      <c r="CC239" s="12" t="n"/>
      <c r="CD239" s="12" t="n"/>
      <c r="CE239" s="12" t="n"/>
      <c r="CF239" s="12" t="n"/>
      <c r="CG239" s="12" t="n"/>
      <c r="CH239" s="12" t="n"/>
      <c r="CI239" s="12" t="n"/>
      <c r="CJ239" s="12" t="n"/>
      <c r="CK239" s="12" t="n"/>
      <c r="CL239" s="12" t="n"/>
      <c r="CM239" s="12" t="n"/>
      <c r="CN239" s="12" t="n"/>
      <c r="CO239" s="12" t="n"/>
      <c r="CP239" s="12" t="n"/>
      <c r="CQ239" s="12" t="n"/>
      <c r="CR239" s="12" t="n"/>
      <c r="CS239" s="12" t="n"/>
      <c r="CT239" s="12" t="n"/>
      <c r="CU239" s="12" t="n"/>
      <c r="CV239" s="12" t="n"/>
      <c r="CW239" s="12" t="n"/>
      <c r="CX239" s="12" t="n"/>
      <c r="CY239" s="12" t="n"/>
    </row>
    <row r="240" hidden="1" outlineLevel="1" customFormat="1" s="66">
      <c r="A240" s="37" t="n"/>
      <c r="B240" s="37" t="n"/>
      <c r="C240" s="67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  <c r="AD240" s="42" t="n"/>
      <c r="AE240" s="42" t="n"/>
      <c r="AF240" s="42" t="n"/>
      <c r="AG240" s="42" t="n"/>
      <c r="AH240" s="42" t="n"/>
      <c r="AI240" s="42" t="n"/>
      <c r="AJ240" s="42" t="n"/>
      <c r="AK240" s="42" t="n"/>
      <c r="AL240" s="42" t="n"/>
      <c r="AM240" s="42" t="n"/>
      <c r="AN240" s="42" t="n"/>
      <c r="AO240" s="42" t="n"/>
      <c r="AP240" s="42" t="n"/>
      <c r="AQ240" s="42" t="n"/>
      <c r="AR240" s="42" t="n"/>
      <c r="AS240" s="42" t="n"/>
      <c r="AT240" s="42" t="n"/>
      <c r="AU240" s="42" t="n"/>
      <c r="AV240" s="42" t="n"/>
      <c r="AW240" s="42" t="n"/>
      <c r="AX240" s="42" t="n"/>
      <c r="AY240" s="42" t="n"/>
      <c r="AZ240" s="42" t="n"/>
      <c r="BA240" s="42" t="n"/>
      <c r="BB240" s="42" t="n"/>
      <c r="BC240" s="42" t="n"/>
      <c r="BD240" s="42" t="n"/>
      <c r="BE240" s="42" t="n"/>
      <c r="BF240" s="42" t="n"/>
      <c r="BG240" s="42" t="n"/>
      <c r="BH240" s="42" t="n"/>
      <c r="BI240" s="42" t="n"/>
      <c r="BJ240" s="42" t="n"/>
      <c r="BK240" s="42" t="n"/>
      <c r="BL240" s="42" t="n"/>
      <c r="BM240" s="42" t="n"/>
      <c r="BN240" s="42" t="n"/>
      <c r="BO240" s="42" t="n"/>
      <c r="BP240" s="42" t="n"/>
      <c r="BQ240" s="42" t="n"/>
      <c r="BR240" s="42" t="n"/>
      <c r="BS240" s="42" t="n"/>
      <c r="BT240" s="42" t="n"/>
      <c r="BU240" s="42" t="n"/>
      <c r="BV240" s="42" t="n"/>
      <c r="BW240" s="42" t="n"/>
      <c r="BX240" s="42" t="n"/>
      <c r="BY240" s="42" t="n"/>
      <c r="BZ240" s="42" t="n"/>
      <c r="CA240" s="42" t="n"/>
      <c r="CB240" s="42" t="n"/>
      <c r="CC240" s="42" t="n"/>
      <c r="CD240" s="42" t="n"/>
      <c r="CE240" s="42" t="n"/>
      <c r="CF240" s="42" t="n"/>
      <c r="CG240" s="42" t="n"/>
      <c r="CH240" s="42" t="n"/>
      <c r="CI240" s="42" t="n"/>
      <c r="CJ240" s="42" t="n"/>
      <c r="CK240" s="42" t="n"/>
      <c r="CL240" s="42" t="n"/>
      <c r="CM240" s="42" t="n"/>
      <c r="CN240" s="42" t="n"/>
      <c r="CO240" s="42" t="n"/>
      <c r="CP240" s="42" t="n"/>
      <c r="CQ240" s="42" t="n"/>
      <c r="CR240" s="42" t="n"/>
      <c r="CS240" s="42" t="n"/>
      <c r="CT240" s="42" t="n"/>
      <c r="CU240" s="42" t="n"/>
      <c r="CV240" s="42" t="n"/>
      <c r="CW240" s="42" t="n"/>
      <c r="CX240" s="42" t="n"/>
      <c r="CY240" s="42" t="n"/>
    </row>
    <row r="241" hidden="1" outlineLevel="1" customFormat="1" s="66">
      <c r="A241" s="37" t="n"/>
      <c r="B241" s="37" t="n"/>
      <c r="C241" s="67" t="inlineStr">
        <is>
          <t>Diluted Shares outstanding</t>
        </is>
      </c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  <c r="AD241" s="42" t="n"/>
      <c r="AE241" s="42" t="n"/>
      <c r="AF241" s="42" t="n"/>
      <c r="AG241" s="42" t="n"/>
      <c r="AH241" s="42" t="n"/>
      <c r="AI241" s="42" t="n"/>
      <c r="AJ241" s="42" t="n"/>
      <c r="AK241" s="42" t="n"/>
      <c r="AL241" s="42" t="n"/>
      <c r="AM241" s="42" t="n"/>
      <c r="AN241" s="42" t="n"/>
      <c r="AO241" s="42" t="n"/>
      <c r="AP241" s="42" t="n"/>
      <c r="AQ241" s="42" t="n"/>
      <c r="AR241" s="42" t="n"/>
      <c r="AS241" s="42" t="n"/>
      <c r="AT241" s="42" t="n"/>
      <c r="AU241" s="42" t="n"/>
      <c r="AV241" s="42" t="n"/>
      <c r="AW241" s="42" t="n"/>
      <c r="AX241" s="42" t="n"/>
      <c r="AY241" s="42" t="n"/>
      <c r="AZ241" s="42" t="n"/>
      <c r="BA241" s="42" t="n"/>
      <c r="BB241" s="42" t="n"/>
      <c r="BC241" s="42" t="n"/>
      <c r="BD241" s="42" t="n"/>
      <c r="BE241" s="42" t="n"/>
      <c r="BF241" s="42" t="n"/>
      <c r="BG241" s="42" t="n"/>
      <c r="BH241" s="42" t="n"/>
      <c r="BI241" s="42" t="n"/>
      <c r="BJ241" s="42" t="n"/>
      <c r="BK241" s="42" t="n"/>
      <c r="BL241" s="42" t="n"/>
      <c r="BM241" s="42" t="n"/>
      <c r="BN241" s="42" t="n"/>
      <c r="BO241" s="42" t="n"/>
      <c r="BP241" s="42" t="n"/>
      <c r="BQ241" s="42" t="n"/>
      <c r="BR241" s="42" t="n"/>
      <c r="BS241" s="42" t="n"/>
      <c r="BT241" s="42" t="n"/>
      <c r="BU241" s="42" t="n"/>
      <c r="BV241" s="42" t="n"/>
      <c r="BW241" s="42" t="n"/>
      <c r="BX241" s="42" t="n"/>
      <c r="BY241" s="42" t="n"/>
      <c r="BZ241" s="42" t="n"/>
      <c r="CA241" s="42" t="n"/>
      <c r="CB241" s="42" t="n"/>
      <c r="CC241" s="42" t="n"/>
      <c r="CD241" s="42" t="n"/>
      <c r="CE241" s="42" t="n"/>
      <c r="CF241" s="42" t="n"/>
      <c r="CG241" s="42" t="n"/>
      <c r="CH241" s="42" t="n"/>
      <c r="CI241" s="42" t="n"/>
      <c r="CJ241" s="42" t="n"/>
      <c r="CK241" s="42" t="n"/>
      <c r="CL241" s="42" t="n"/>
      <c r="CM241" s="42" t="n"/>
      <c r="CN241" s="42" t="n"/>
      <c r="CO241" s="42" t="n"/>
      <c r="CP241" s="42" t="n"/>
      <c r="CQ241" s="42" t="n"/>
      <c r="CR241" s="42" t="n"/>
      <c r="CS241" s="42" t="n"/>
      <c r="CT241" s="42" t="n"/>
      <c r="CU241" s="42" t="n"/>
      <c r="CV241" s="42" t="n"/>
      <c r="CW241" s="42" t="n"/>
      <c r="CX241" s="42" t="n"/>
      <c r="CY241" s="42" t="n"/>
    </row>
    <row r="242" hidden="1" outlineLevel="1" customFormat="1" s="66">
      <c r="A242" s="37" t="n"/>
      <c r="B242" s="37" t="n"/>
      <c r="C242" s="67" t="inlineStr">
        <is>
          <t>Treasury share $ repurchases</t>
        </is>
      </c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  <c r="AD242" s="42" t="n"/>
      <c r="AE242" s="42" t="n"/>
      <c r="AF242" s="42" t="n"/>
      <c r="AG242" s="42" t="n"/>
      <c r="AH242" s="11" t="n"/>
      <c r="AI242" s="11" t="n"/>
      <c r="AJ242" s="11" t="n"/>
      <c r="AK242" s="11" t="n"/>
      <c r="AL242" s="42" t="n"/>
      <c r="AM242" s="11" t="n"/>
      <c r="AN242" s="11" t="n"/>
      <c r="AO242" s="11" t="n"/>
      <c r="AP242" s="11" t="n"/>
      <c r="AQ242" s="42" t="n"/>
      <c r="AR242" s="11" t="n"/>
      <c r="AS242" s="11" t="n"/>
      <c r="AT242" s="11" t="n"/>
      <c r="AU242" s="11" t="n"/>
      <c r="AV242" s="42" t="n"/>
      <c r="AW242" s="11" t="n"/>
      <c r="AX242" s="11" t="n"/>
      <c r="AY242" s="11" t="n"/>
      <c r="AZ242" s="11" t="n"/>
      <c r="BA242" s="42" t="n"/>
      <c r="BB242" s="11" t="n"/>
      <c r="BC242" s="11" t="n"/>
      <c r="BD242" s="11" t="n"/>
      <c r="BE242" s="11" t="n"/>
      <c r="BF242" s="42" t="n"/>
      <c r="BG242" s="11" t="n"/>
      <c r="BH242" s="11" t="n"/>
      <c r="BI242" s="11" t="n"/>
      <c r="BJ242" s="11" t="n"/>
      <c r="BK242" s="42" t="n"/>
      <c r="BL242" s="11" t="n"/>
      <c r="BM242" s="11" t="n"/>
      <c r="BN242" s="11" t="n"/>
      <c r="BO242" s="11" t="n"/>
      <c r="BP242" s="42" t="n"/>
      <c r="BQ242" s="11" t="n"/>
      <c r="BR242" s="11" t="n"/>
      <c r="BS242" s="11" t="n"/>
      <c r="BT242" s="11" t="n"/>
      <c r="BU242" s="42" t="n"/>
      <c r="BV242" s="11" t="n"/>
      <c r="BW242" s="11" t="n"/>
      <c r="BX242" s="11" t="n"/>
      <c r="BY242" s="11" t="n"/>
      <c r="BZ242" s="42" t="n"/>
      <c r="CA242" s="11" t="n"/>
      <c r="CB242" s="11" t="n"/>
      <c r="CC242" s="11" t="n"/>
      <c r="CD242" s="11" t="n"/>
      <c r="CE242" s="42" t="n"/>
      <c r="CF242" s="11" t="n"/>
      <c r="CG242" s="11" t="n"/>
      <c r="CH242" s="11" t="n"/>
      <c r="CI242" s="11" t="n"/>
      <c r="CJ242" s="42" t="n"/>
      <c r="CK242" s="11" t="n"/>
      <c r="CL242" s="11" t="n"/>
      <c r="CM242" s="11" t="n"/>
      <c r="CN242" s="11" t="n"/>
      <c r="CO242" s="42" t="n"/>
      <c r="CP242" s="11" t="n"/>
      <c r="CQ242" s="11" t="n"/>
      <c r="CR242" s="11" t="n"/>
      <c r="CS242" s="11" t="n"/>
      <c r="CT242" s="42" t="n"/>
      <c r="CU242" s="11" t="n"/>
      <c r="CV242" s="11" t="n"/>
      <c r="CW242" s="11" t="n"/>
      <c r="CX242" s="11" t="n"/>
      <c r="CY242" s="42" t="n"/>
    </row>
    <row r="243" hidden="1" outlineLevel="1" customFormat="1" s="66">
      <c r="A243" s="37" t="n"/>
      <c r="B243" s="37" t="n"/>
      <c r="C243" s="67" t="inlineStr">
        <is>
          <t>Value of shares issued</t>
        </is>
      </c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  <c r="AE243" s="42" t="n"/>
      <c r="AF243" s="42" t="n"/>
      <c r="AG243" s="42" t="n"/>
      <c r="AH243" s="11" t="n"/>
      <c r="AI243" s="11" t="n"/>
      <c r="AJ243" s="11" t="n"/>
      <c r="AK243" s="11" t="n"/>
      <c r="AL243" s="42" t="n"/>
      <c r="AM243" s="11" t="n"/>
      <c r="AN243" s="11" t="n"/>
      <c r="AO243" s="11" t="n"/>
      <c r="AP243" s="11" t="n"/>
      <c r="AQ243" s="42" t="n"/>
      <c r="AR243" s="11" t="n"/>
      <c r="AS243" s="11" t="n"/>
      <c r="AT243" s="11" t="n"/>
      <c r="AU243" s="11" t="n"/>
      <c r="AV243" s="42" t="n"/>
      <c r="AW243" s="11" t="n"/>
      <c r="AX243" s="11" t="n"/>
      <c r="AY243" s="11" t="n"/>
      <c r="AZ243" s="11" t="n"/>
      <c r="BA243" s="42" t="n"/>
      <c r="BB243" s="11" t="n"/>
      <c r="BC243" s="11" t="n"/>
      <c r="BD243" s="11" t="n"/>
      <c r="BE243" s="11" t="n"/>
      <c r="BF243" s="42" t="n"/>
      <c r="BG243" s="11" t="n"/>
      <c r="BH243" s="11" t="n"/>
      <c r="BI243" s="11" t="n"/>
      <c r="BJ243" s="11" t="n"/>
      <c r="BK243" s="42" t="n"/>
      <c r="BL243" s="11" t="n"/>
      <c r="BM243" s="11" t="n"/>
      <c r="BN243" s="11" t="n"/>
      <c r="BO243" s="11" t="n"/>
      <c r="BP243" s="42" t="n"/>
      <c r="BQ243" s="11" t="n"/>
      <c r="BR243" s="11" t="n"/>
      <c r="BS243" s="11" t="n"/>
      <c r="BT243" s="11" t="n"/>
      <c r="BU243" s="42" t="n"/>
      <c r="BV243" s="11" t="n"/>
      <c r="BW243" s="11" t="n"/>
      <c r="BX243" s="11" t="n"/>
      <c r="BY243" s="11" t="n"/>
      <c r="BZ243" s="42" t="n"/>
      <c r="CA243" s="11" t="n"/>
      <c r="CB243" s="11" t="n"/>
      <c r="CC243" s="11" t="n"/>
      <c r="CD243" s="11" t="n"/>
      <c r="CE243" s="42" t="n"/>
      <c r="CF243" s="11" t="n"/>
      <c r="CG243" s="11" t="n"/>
      <c r="CH243" s="11" t="n"/>
      <c r="CI243" s="11" t="n"/>
      <c r="CJ243" s="42" t="n"/>
      <c r="CK243" s="11" t="n"/>
      <c r="CL243" s="11" t="n"/>
      <c r="CM243" s="11" t="n"/>
      <c r="CN243" s="11" t="n"/>
      <c r="CO243" s="42" t="n"/>
      <c r="CP243" s="11" t="n"/>
      <c r="CQ243" s="11" t="n"/>
      <c r="CR243" s="11" t="n"/>
      <c r="CS243" s="11" t="n"/>
      <c r="CT243" s="42" t="n"/>
      <c r="CU243" s="11" t="n"/>
      <c r="CV243" s="11" t="n"/>
      <c r="CW243" s="11" t="n"/>
      <c r="CX243" s="11" t="n"/>
      <c r="CY243" s="42" t="n"/>
    </row>
    <row r="244" hidden="1" outlineLevel="1" customFormat="1" s="66">
      <c r="A244" s="37" t="n"/>
      <c r="B244" s="37" t="n"/>
      <c r="C244" s="67" t="inlineStr">
        <is>
          <t>Expected average share price</t>
        </is>
      </c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  <c r="AE244" s="42" t="n"/>
      <c r="AF244" s="42" t="n"/>
      <c r="AG244" s="42" t="n"/>
      <c r="AH244" s="68">
        <f>AF244*(1+AH245)</f>
        <v>0</v>
      </c>
      <c r="AI244" s="68">
        <f>AH244*(1+AI245)</f>
        <v>0</v>
      </c>
      <c r="AJ244" s="68">
        <f>AH244*(1+AJ245)</f>
        <v>0</v>
      </c>
      <c r="AK244" s="68">
        <f>AJ244*(1+AK245)</f>
        <v>0</v>
      </c>
      <c r="AL244" s="42" t="n"/>
      <c r="AM244" s="68">
        <f>AK244*(1+AM245)</f>
        <v>0</v>
      </c>
      <c r="AN244" s="68">
        <f>AM244*(1+AN245)</f>
        <v>0</v>
      </c>
      <c r="AO244" s="68">
        <f>AM244*(1+AO245)</f>
        <v>0</v>
      </c>
      <c r="AP244" s="68">
        <f>AO244*(1+AP245)</f>
        <v>0</v>
      </c>
      <c r="AQ244" s="42" t="n"/>
      <c r="AR244" s="68">
        <f>AP244*(1+AR245)</f>
        <v>0</v>
      </c>
      <c r="AS244" s="68">
        <f>AR244*(1+AS245)</f>
        <v>0</v>
      </c>
      <c r="AT244" s="68">
        <f>AR244*(1+AT245)</f>
        <v>0</v>
      </c>
      <c r="AU244" s="68">
        <f>AT244*(1+AU245)</f>
        <v>0</v>
      </c>
      <c r="AV244" s="42" t="n"/>
      <c r="AW244" s="68">
        <f>AU244*(1+AW245)</f>
        <v>0</v>
      </c>
      <c r="AX244" s="68">
        <f>AW244*(1+AX245)</f>
        <v>0</v>
      </c>
      <c r="AY244" s="68">
        <f>AW244*(1+AY245)</f>
        <v>0</v>
      </c>
      <c r="AZ244" s="68">
        <f>AY244*(1+AZ245)</f>
        <v>0</v>
      </c>
      <c r="BA244" s="42" t="n"/>
      <c r="BB244" s="68">
        <f>AZ244*(1+BB245)</f>
        <v>0</v>
      </c>
      <c r="BC244" s="68">
        <f>BB244*(1+BC245)</f>
        <v>0</v>
      </c>
      <c r="BD244" s="68">
        <f>BB244*(1+BD245)</f>
        <v>0</v>
      </c>
      <c r="BE244" s="68">
        <f>BD244*(1+BE245)</f>
        <v>0</v>
      </c>
      <c r="BF244" s="42" t="n"/>
      <c r="BG244" s="68" t="n"/>
      <c r="BH244" s="68" t="n"/>
      <c r="BI244" s="68" t="n"/>
      <c r="BJ244" s="68" t="n"/>
      <c r="BK244" s="42" t="n"/>
      <c r="BL244" s="68" t="n"/>
      <c r="BM244" s="68" t="n"/>
      <c r="BN244" s="68" t="n"/>
      <c r="BO244" s="68" t="n"/>
      <c r="BP244" s="42" t="n"/>
      <c r="BQ244" s="68" t="n"/>
      <c r="BR244" s="68" t="n"/>
      <c r="BS244" s="68" t="n"/>
      <c r="BT244" s="68" t="n"/>
      <c r="BU244" s="42" t="n"/>
      <c r="BV244" s="68" t="n"/>
      <c r="BW244" s="68" t="n"/>
      <c r="BX244" s="68" t="n"/>
      <c r="BY244" s="68" t="n"/>
      <c r="BZ244" s="42" t="n"/>
      <c r="CA244" s="68" t="n"/>
      <c r="CB244" s="68" t="n"/>
      <c r="CC244" s="68" t="n"/>
      <c r="CD244" s="68" t="n"/>
      <c r="CE244" s="42" t="n"/>
      <c r="CF244" s="68" t="n"/>
      <c r="CG244" s="68" t="n"/>
      <c r="CH244" s="68" t="n"/>
      <c r="CI244" s="68" t="n"/>
      <c r="CJ244" s="42" t="n"/>
      <c r="CK244" s="68" t="n"/>
      <c r="CL244" s="68" t="n"/>
      <c r="CM244" s="68" t="n"/>
      <c r="CN244" s="68" t="n"/>
      <c r="CO244" s="42" t="n"/>
      <c r="CP244" s="68" t="n"/>
      <c r="CQ244" s="68" t="n"/>
      <c r="CR244" s="68" t="n"/>
      <c r="CS244" s="68" t="n"/>
      <c r="CT244" s="42" t="n"/>
      <c r="CU244" s="68" t="n"/>
      <c r="CV244" s="68" t="n"/>
      <c r="CW244" s="68" t="n"/>
      <c r="CX244" s="68" t="n"/>
      <c r="CY244" s="42" t="n"/>
    </row>
    <row r="245" hidden="1" outlineLevel="1" customFormat="1" s="66">
      <c r="A245" s="37" t="n"/>
      <c r="B245" s="37" t="n"/>
      <c r="C245" s="67" t="inlineStr">
        <is>
          <t>Consensus EPS growth</t>
        </is>
      </c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  <c r="AE245" s="42" t="n"/>
      <c r="AF245" s="42" t="n"/>
      <c r="AG245" s="42" t="n"/>
      <c r="AH245" s="58">
        <f>$AL$250</f>
        <v>0</v>
      </c>
      <c r="AI245" s="58">
        <f>$AL$250</f>
        <v>0</v>
      </c>
      <c r="AJ245" s="58">
        <f>$AL$250</f>
        <v>0</v>
      </c>
      <c r="AK245" s="58">
        <f>$AL$250</f>
        <v>0</v>
      </c>
      <c r="AL245" s="42" t="n"/>
      <c r="AM245" s="58">
        <f>$AL$250</f>
        <v>0</v>
      </c>
      <c r="AN245" s="58">
        <f>$AL$250</f>
        <v>0</v>
      </c>
      <c r="AO245" s="58">
        <f>$AL$250</f>
        <v>0</v>
      </c>
      <c r="AP245" s="58">
        <f>$AL$250</f>
        <v>0</v>
      </c>
      <c r="AQ245" s="42" t="n"/>
      <c r="AR245" s="58">
        <f>$AL$250</f>
        <v>0</v>
      </c>
      <c r="AS245" s="58">
        <f>$AL$250</f>
        <v>0</v>
      </c>
      <c r="AT245" s="58">
        <f>$AL$250</f>
        <v>0</v>
      </c>
      <c r="AU245" s="58">
        <f>$AL$250</f>
        <v>0</v>
      </c>
      <c r="AV245" s="42" t="n"/>
      <c r="AW245" s="58">
        <f>$AL$250</f>
        <v>0</v>
      </c>
      <c r="AX245" s="58">
        <f>$AL$250</f>
        <v>0</v>
      </c>
      <c r="AY245" s="58">
        <f>$AL$250</f>
        <v>0</v>
      </c>
      <c r="AZ245" s="58">
        <f>$AL$250</f>
        <v>0</v>
      </c>
      <c r="BA245" s="42" t="n"/>
      <c r="BB245" s="58">
        <f>$AL$250</f>
        <v>0</v>
      </c>
      <c r="BC245" s="58">
        <f>$AL$250</f>
        <v>0</v>
      </c>
      <c r="BD245" s="58">
        <f>$AL$250</f>
        <v>0</v>
      </c>
      <c r="BE245" s="58">
        <f>$AL$250</f>
        <v>0</v>
      </c>
      <c r="BF245" s="42" t="n"/>
      <c r="BG245" s="58" t="n"/>
      <c r="BH245" s="58" t="n"/>
      <c r="BI245" s="58" t="n"/>
      <c r="BJ245" s="58" t="n"/>
      <c r="BK245" s="42" t="n"/>
      <c r="BL245" s="58" t="n"/>
      <c r="BM245" s="58" t="n"/>
      <c r="BN245" s="58" t="n"/>
      <c r="BO245" s="58" t="n"/>
      <c r="BP245" s="42" t="n"/>
      <c r="BQ245" s="58" t="n"/>
      <c r="BR245" s="58" t="n"/>
      <c r="BS245" s="58" t="n"/>
      <c r="BT245" s="58" t="n"/>
      <c r="BU245" s="42" t="n"/>
      <c r="BV245" s="58" t="n"/>
      <c r="BW245" s="58" t="n"/>
      <c r="BX245" s="58" t="n"/>
      <c r="BY245" s="58" t="n"/>
      <c r="BZ245" s="42" t="n"/>
      <c r="CA245" s="58" t="n"/>
      <c r="CB245" s="58" t="n"/>
      <c r="CC245" s="58" t="n"/>
      <c r="CD245" s="58" t="n"/>
      <c r="CE245" s="42" t="n"/>
      <c r="CF245" s="58" t="n"/>
      <c r="CG245" s="58" t="n"/>
      <c r="CH245" s="58" t="n"/>
      <c r="CI245" s="58" t="n"/>
      <c r="CJ245" s="42" t="n"/>
      <c r="CK245" s="58" t="n"/>
      <c r="CL245" s="58" t="n"/>
      <c r="CM245" s="58" t="n"/>
      <c r="CN245" s="58" t="n"/>
      <c r="CO245" s="42" t="n"/>
      <c r="CP245" s="58" t="n"/>
      <c r="CQ245" s="58" t="n"/>
      <c r="CR245" s="58" t="n"/>
      <c r="CS245" s="58" t="n"/>
      <c r="CT245" s="42" t="n"/>
      <c r="CU245" s="58" t="n"/>
      <c r="CV245" s="58" t="n"/>
      <c r="CW245" s="58" t="n"/>
      <c r="CX245" s="58" t="n"/>
      <c r="CY245" s="42" t="n"/>
    </row>
    <row r="246" hidden="1" outlineLevel="1" customFormat="1" s="66">
      <c r="A246" s="37" t="n"/>
      <c r="B246" s="37" t="n"/>
      <c r="C246" s="67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  <c r="AE246" s="42" t="n"/>
      <c r="AF246" s="42" t="n"/>
      <c r="AG246" s="42" t="n"/>
      <c r="AH246" s="12" t="n"/>
      <c r="AI246" s="12" t="n"/>
      <c r="AJ246" s="12" t="n"/>
      <c r="AK246" s="12" t="n"/>
      <c r="AL246" s="42" t="n"/>
      <c r="AM246" s="12" t="n"/>
      <c r="AN246" s="12" t="n"/>
      <c r="AO246" s="12" t="n"/>
      <c r="AP246" s="12" t="n"/>
      <c r="AQ246" s="42" t="n"/>
      <c r="AR246" s="12" t="n"/>
      <c r="AS246" s="12" t="n"/>
      <c r="AT246" s="12" t="n"/>
      <c r="AU246" s="12" t="n"/>
      <c r="AV246" s="42" t="n"/>
      <c r="AW246" s="12" t="n"/>
      <c r="AX246" s="12" t="n"/>
      <c r="AY246" s="12" t="n"/>
      <c r="AZ246" s="12" t="n"/>
      <c r="BA246" s="42" t="n"/>
      <c r="BB246" s="12" t="n"/>
      <c r="BC246" s="12" t="n"/>
      <c r="BD246" s="12" t="n"/>
      <c r="BE246" s="12" t="n"/>
      <c r="BF246" s="42" t="n"/>
      <c r="BG246" s="12" t="n"/>
      <c r="BH246" s="12" t="n"/>
      <c r="BI246" s="12" t="n"/>
      <c r="BJ246" s="12" t="n"/>
      <c r="BK246" s="42" t="n"/>
      <c r="BL246" s="12" t="n"/>
      <c r="BM246" s="12" t="n"/>
      <c r="BN246" s="12" t="n"/>
      <c r="BO246" s="12" t="n"/>
      <c r="BP246" s="42" t="n"/>
      <c r="BQ246" s="12" t="n"/>
      <c r="BR246" s="12" t="n"/>
      <c r="BS246" s="12" t="n"/>
      <c r="BT246" s="12" t="n"/>
      <c r="BU246" s="42" t="n"/>
      <c r="BV246" s="12" t="n"/>
      <c r="BW246" s="12" t="n"/>
      <c r="BX246" s="12" t="n"/>
      <c r="BY246" s="12" t="n"/>
      <c r="BZ246" s="42" t="n"/>
      <c r="CA246" s="12" t="n"/>
      <c r="CB246" s="12" t="n"/>
      <c r="CC246" s="12" t="n"/>
      <c r="CD246" s="12" t="n"/>
      <c r="CE246" s="42" t="n"/>
      <c r="CF246" s="12" t="n"/>
      <c r="CG246" s="12" t="n"/>
      <c r="CH246" s="12" t="n"/>
      <c r="CI246" s="12" t="n"/>
      <c r="CJ246" s="42" t="n"/>
      <c r="CK246" s="12" t="n"/>
      <c r="CL246" s="12" t="n"/>
      <c r="CM246" s="12" t="n"/>
      <c r="CN246" s="12" t="n"/>
      <c r="CO246" s="42" t="n"/>
      <c r="CP246" s="12" t="n"/>
      <c r="CQ246" s="12" t="n"/>
      <c r="CR246" s="12" t="n"/>
      <c r="CS246" s="12" t="n"/>
      <c r="CT246" s="42" t="n"/>
      <c r="CU246" s="12" t="n"/>
      <c r="CV246" s="12" t="n"/>
      <c r="CW246" s="12" t="n"/>
      <c r="CX246" s="12" t="n"/>
      <c r="CY246" s="42" t="n"/>
    </row>
    <row r="247" hidden="1" outlineLevel="1" customFormat="1" s="66">
      <c r="A247" s="37" t="n"/>
      <c r="B247" s="37" t="n"/>
      <c r="C247" s="67" t="inlineStr">
        <is>
          <t>Shares repurchased</t>
        </is>
      </c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  <c r="AE247" s="42" t="n"/>
      <c r="AF247" s="42" t="n"/>
      <c r="AG247" s="42" t="n"/>
      <c r="AH247" s="69" t="str">
        <f>IFERROR(-AH242/AH244,"")</f>
        <v/>
      </c>
      <c r="AI247" s="69" t="str">
        <f>IFERROR(-AI242/AI244,"")</f>
        <v/>
      </c>
      <c r="AJ247" s="69" t="str">
        <f>IFERROR(-AJ242/AJ244,"")</f>
        <v/>
      </c>
      <c r="AK247" s="69" t="str">
        <f>IFERROR(-AK242/AK244,"")</f>
        <v/>
      </c>
      <c r="AL247" s="42" t="n"/>
      <c r="AM247" s="69" t="str">
        <f>IFERROR(-AM242/AM244,"")</f>
        <v/>
      </c>
      <c r="AN247" s="69" t="str">
        <f>IFERROR(-AN242/AN244,"")</f>
        <v/>
      </c>
      <c r="AO247" s="69" t="str">
        <f>IFERROR(-AO242/AO244,"")</f>
        <v/>
      </c>
      <c r="AP247" s="69" t="str">
        <f>IFERROR(-AP242/AP244,"")</f>
        <v/>
      </c>
      <c r="AQ247" s="42" t="n"/>
      <c r="AR247" s="69" t="str">
        <f>IFERROR(-AR242/AR244,"")</f>
        <v/>
      </c>
      <c r="AS247" s="69" t="str">
        <f>IFERROR(-AS242/AS244,"")</f>
        <v/>
      </c>
      <c r="AT247" s="69" t="str">
        <f>IFERROR(-AT242/AT244,"")</f>
        <v/>
      </c>
      <c r="AU247" s="69" t="str">
        <f>IFERROR(-AU242/AU244,"")</f>
        <v/>
      </c>
      <c r="AV247" s="42" t="n"/>
      <c r="AW247" s="69" t="str">
        <f>IFERROR(-AW242/AW244,"")</f>
        <v/>
      </c>
      <c r="AX247" s="69" t="str">
        <f>IFERROR(-AX242/AX244,"")</f>
        <v/>
      </c>
      <c r="AY247" s="69" t="str">
        <f>IFERROR(-AY242/AY244,"")</f>
        <v/>
      </c>
      <c r="AZ247" s="69" t="str">
        <f>IFERROR(-AZ242/AZ244,"")</f>
        <v/>
      </c>
      <c r="BA247" s="42" t="n"/>
      <c r="BB247" s="69" t="str">
        <f>IFERROR(-BB242/BB244,"")</f>
        <v/>
      </c>
      <c r="BC247" s="69" t="str">
        <f>IFERROR(-BC242/BC244,"")</f>
        <v/>
      </c>
      <c r="BD247" s="69" t="str">
        <f>IFERROR(-BD242/BD244,"")</f>
        <v/>
      </c>
      <c r="BE247" s="69" t="str">
        <f>IFERROR(-BE242/BE244,"")</f>
        <v/>
      </c>
      <c r="BF247" s="42" t="n"/>
      <c r="BG247" s="69" t="n"/>
      <c r="BH247" s="69" t="n"/>
      <c r="BI247" s="69" t="n"/>
      <c r="BJ247" s="69" t="n"/>
      <c r="BK247" s="42" t="n"/>
      <c r="BL247" s="69" t="n"/>
      <c r="BM247" s="69" t="n"/>
      <c r="BN247" s="69" t="n"/>
      <c r="BO247" s="69" t="n"/>
      <c r="BP247" s="42" t="n"/>
      <c r="BQ247" s="69" t="n"/>
      <c r="BR247" s="69" t="n"/>
      <c r="BS247" s="69" t="n"/>
      <c r="BT247" s="69" t="n"/>
      <c r="BU247" s="42" t="n"/>
      <c r="BV247" s="69" t="n"/>
      <c r="BW247" s="69" t="n"/>
      <c r="BX247" s="69" t="n"/>
      <c r="BY247" s="69" t="n"/>
      <c r="BZ247" s="42" t="n"/>
      <c r="CA247" s="69" t="n"/>
      <c r="CB247" s="69" t="n"/>
      <c r="CC247" s="69" t="n"/>
      <c r="CD247" s="69" t="n"/>
      <c r="CE247" s="42" t="n"/>
      <c r="CF247" s="69" t="n"/>
      <c r="CG247" s="69" t="n"/>
      <c r="CH247" s="69" t="n"/>
      <c r="CI247" s="69" t="n"/>
      <c r="CJ247" s="42" t="n"/>
      <c r="CK247" s="69" t="n"/>
      <c r="CL247" s="69" t="n"/>
      <c r="CM247" s="69" t="n"/>
      <c r="CN247" s="69" t="n"/>
      <c r="CO247" s="42" t="n"/>
      <c r="CP247" s="69" t="n"/>
      <c r="CQ247" s="69" t="n"/>
      <c r="CR247" s="69" t="n"/>
      <c r="CS247" s="69" t="n"/>
      <c r="CT247" s="42" t="n"/>
      <c r="CU247" s="69" t="n"/>
      <c r="CV247" s="69" t="n"/>
      <c r="CW247" s="69" t="n"/>
      <c r="CX247" s="69" t="n"/>
      <c r="CY247" s="42" t="n"/>
    </row>
    <row r="248" hidden="1" outlineLevel="1" customFormat="1" s="66">
      <c r="A248" s="37" t="n"/>
      <c r="B248" s="37" t="n"/>
      <c r="C248" s="67" t="inlineStr">
        <is>
          <t>Shares issued</t>
        </is>
      </c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9" t="n"/>
      <c r="AG248" s="42" t="n"/>
      <c r="AH248" s="69" t="str">
        <f>IFERROR(AH243/AH244,"")</f>
        <v/>
      </c>
      <c r="AI248" s="69" t="str">
        <f>IFERROR(AI243/AI244,"")</f>
        <v/>
      </c>
      <c r="AJ248" s="69" t="str">
        <f>IFERROR(AJ243/AJ244,"")</f>
        <v/>
      </c>
      <c r="AK248" s="69" t="str">
        <f>IFERROR(AK243/AK244,"")</f>
        <v/>
      </c>
      <c r="AL248" s="42" t="n"/>
      <c r="AM248" s="69" t="str">
        <f>IFERROR(AM243/AM244,"")</f>
        <v/>
      </c>
      <c r="AN248" s="69" t="str">
        <f>IFERROR(AN243/AN244,"")</f>
        <v/>
      </c>
      <c r="AO248" s="69" t="str">
        <f>IFERROR(AO243/AO244,"")</f>
        <v/>
      </c>
      <c r="AP248" s="69" t="str">
        <f>IFERROR(AP243/AP244,"")</f>
        <v/>
      </c>
      <c r="AQ248" s="42" t="n"/>
      <c r="AR248" s="69" t="str">
        <f>IFERROR(AR243/AR244,"")</f>
        <v/>
      </c>
      <c r="AS248" s="69" t="str">
        <f>IFERROR(AS243/AS244,"")</f>
        <v/>
      </c>
      <c r="AT248" s="69" t="str">
        <f>IFERROR(AT243/AT244,"")</f>
        <v/>
      </c>
      <c r="AU248" s="69" t="str">
        <f>IFERROR(AU243/AU244,"")</f>
        <v/>
      </c>
      <c r="AV248" s="42" t="n"/>
      <c r="AW248" s="69" t="str">
        <f>IFERROR(AW243/AW244,"")</f>
        <v/>
      </c>
      <c r="AX248" s="69" t="str">
        <f>IFERROR(AX243/AX244,"")</f>
        <v/>
      </c>
      <c r="AY248" s="69" t="str">
        <f>IFERROR(AY243/AY244,"")</f>
        <v/>
      </c>
      <c r="AZ248" s="69" t="str">
        <f>IFERROR(AZ243/AZ244,"")</f>
        <v/>
      </c>
      <c r="BA248" s="42" t="n"/>
      <c r="BB248" s="69" t="str">
        <f>IFERROR(BB243/BB244,"")</f>
        <v/>
      </c>
      <c r="BC248" s="69" t="str">
        <f>IFERROR(BC243/BC244,"")</f>
        <v/>
      </c>
      <c r="BD248" s="69" t="str">
        <f>IFERROR(BD243/BD244,"")</f>
        <v/>
      </c>
      <c r="BE248" s="69" t="str">
        <f>IFERROR(BE243/BE244,"")</f>
        <v/>
      </c>
      <c r="BF248" s="42" t="n"/>
      <c r="BG248" s="69" t="n"/>
      <c r="BH248" s="69" t="n"/>
      <c r="BI248" s="69" t="n"/>
      <c r="BJ248" s="69" t="n"/>
      <c r="BK248" s="42" t="n"/>
      <c r="BL248" s="69" t="n"/>
      <c r="BM248" s="69" t="n"/>
      <c r="BN248" s="69" t="n"/>
      <c r="BO248" s="69" t="n"/>
      <c r="BP248" s="42" t="n"/>
      <c r="BQ248" s="69" t="n"/>
      <c r="BR248" s="69" t="n"/>
      <c r="BS248" s="69" t="n"/>
      <c r="BT248" s="69" t="n"/>
      <c r="BU248" s="42" t="n"/>
      <c r="BV248" s="69" t="n"/>
      <c r="BW248" s="69" t="n"/>
      <c r="BX248" s="69" t="n"/>
      <c r="BY248" s="69" t="n"/>
      <c r="BZ248" s="42" t="n"/>
      <c r="CA248" s="69" t="n"/>
      <c r="CB248" s="69" t="n"/>
      <c r="CC248" s="69" t="n"/>
      <c r="CD248" s="69" t="n"/>
      <c r="CE248" s="42" t="n"/>
      <c r="CF248" s="69" t="n"/>
      <c r="CG248" s="69" t="n"/>
      <c r="CH248" s="69" t="n"/>
      <c r="CI248" s="69" t="n"/>
      <c r="CJ248" s="42" t="n"/>
      <c r="CK248" s="69" t="n"/>
      <c r="CL248" s="69" t="n"/>
      <c r="CM248" s="69" t="n"/>
      <c r="CN248" s="69" t="n"/>
      <c r="CO248" s="42" t="n"/>
      <c r="CP248" s="69" t="n"/>
      <c r="CQ248" s="69" t="n"/>
      <c r="CR248" s="69" t="n"/>
      <c r="CS248" s="69" t="n"/>
      <c r="CT248" s="42" t="n"/>
      <c r="CU248" s="69" t="n"/>
      <c r="CV248" s="69" t="n"/>
      <c r="CW248" s="69" t="n"/>
      <c r="CX248" s="69" t="n"/>
      <c r="CY248" s="42" t="n"/>
    </row>
    <row r="249" hidden="1" outlineLevel="1" customFormat="1" s="66">
      <c r="A249" s="37" t="n"/>
      <c r="B249" s="37" t="n"/>
      <c r="C249" s="67" t="inlineStr">
        <is>
          <t>End of period basic shares outstanding</t>
        </is>
      </c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3" t="str">
        <f>IFERROR(AG249+AH248-AH247,"")</f>
        <v/>
      </c>
      <c r="AI249" s="3" t="str">
        <f>IFERROR(AH249+AI248-AI247,"")</f>
        <v/>
      </c>
      <c r="AJ249" s="69" t="str">
        <f>IFERROR(AH249+AJ248-AJ247,"")</f>
        <v/>
      </c>
      <c r="AK249" s="69" t="str">
        <f>IFERROR(AJ249+AK248-AK247,"")</f>
        <v/>
      </c>
      <c r="AL249" s="42" t="n"/>
      <c r="AM249" s="3" t="str">
        <f>IFERROR(AK249+AM248-AM247,"")</f>
        <v/>
      </c>
      <c r="AN249" s="3" t="str">
        <f>IFERROR(AM249+AN248-AN247,"")</f>
        <v/>
      </c>
      <c r="AO249" s="69" t="str">
        <f>IFERROR(AM249+AO248-AO247,"")</f>
        <v/>
      </c>
      <c r="AP249" s="69" t="str">
        <f>IFERROR(AO249+AP248-AP247,"")</f>
        <v/>
      </c>
      <c r="AQ249" s="42" t="n"/>
      <c r="AR249" s="3" t="str">
        <f>IFERROR(AP249+AR248-AR247,"")</f>
        <v/>
      </c>
      <c r="AS249" s="3" t="str">
        <f>IFERROR(AR249+AS248-AS247,"")</f>
        <v/>
      </c>
      <c r="AT249" s="69" t="str">
        <f>IFERROR(AR249+AT248-AT247,"")</f>
        <v/>
      </c>
      <c r="AU249" s="69" t="str">
        <f>IFERROR(AT249+AU248-AU247,"")</f>
        <v/>
      </c>
      <c r="AV249" s="42" t="n"/>
      <c r="AW249" s="3" t="str">
        <f>IFERROR(AU249+AW248-AW247,"")</f>
        <v/>
      </c>
      <c r="AX249" s="3" t="str">
        <f>IFERROR(AW249+AX248-AX247,"")</f>
        <v/>
      </c>
      <c r="AY249" s="69" t="str">
        <f>IFERROR(AW249+AY248-AY247,"")</f>
        <v/>
      </c>
      <c r="AZ249" s="69" t="str">
        <f>IFERROR(AY249+AZ248-AZ247,"")</f>
        <v/>
      </c>
      <c r="BA249" s="42" t="n"/>
      <c r="BB249" s="3" t="str">
        <f>IFERROR(AZ249+BB248-BB247,"")</f>
        <v/>
      </c>
      <c r="BC249" s="3" t="str">
        <f>IFERROR(BB249+BC248-BC247,"")</f>
        <v/>
      </c>
      <c r="BD249" s="69" t="str">
        <f>IFERROR(BB249+BD248-BD247,"")</f>
        <v/>
      </c>
      <c r="BE249" s="69" t="str">
        <f>IFERROR(BD249+BE248-BE247,"")</f>
        <v/>
      </c>
      <c r="BF249" s="42" t="n"/>
      <c r="BG249" s="3" t="n"/>
      <c r="BH249" s="3" t="n"/>
      <c r="BI249" s="69" t="n"/>
      <c r="BJ249" s="69" t="n"/>
      <c r="BK249" s="42" t="n"/>
      <c r="BL249" s="3" t="n"/>
      <c r="BM249" s="3" t="n"/>
      <c r="BN249" s="69" t="n"/>
      <c r="BO249" s="69" t="n"/>
      <c r="BP249" s="42" t="n"/>
      <c r="BQ249" s="3" t="n"/>
      <c r="BR249" s="3" t="n"/>
      <c r="BS249" s="69" t="n"/>
      <c r="BT249" s="69" t="n"/>
      <c r="BU249" s="42" t="n"/>
      <c r="BV249" s="3" t="n"/>
      <c r="BW249" s="3" t="n"/>
      <c r="BX249" s="69" t="n"/>
      <c r="BY249" s="69" t="n"/>
      <c r="BZ249" s="42" t="n"/>
      <c r="CA249" s="3" t="n"/>
      <c r="CB249" s="3" t="n"/>
      <c r="CC249" s="69" t="n"/>
      <c r="CD249" s="69" t="n"/>
      <c r="CE249" s="42" t="n"/>
      <c r="CF249" s="3" t="n"/>
      <c r="CG249" s="3" t="n"/>
      <c r="CH249" s="69" t="n"/>
      <c r="CI249" s="69" t="n"/>
      <c r="CJ249" s="42" t="n"/>
      <c r="CK249" s="3" t="n"/>
      <c r="CL249" s="3" t="n"/>
      <c r="CM249" s="69" t="n"/>
      <c r="CN249" s="69" t="n"/>
      <c r="CO249" s="42" t="n"/>
      <c r="CP249" s="3" t="n"/>
      <c r="CQ249" s="3" t="n"/>
      <c r="CR249" s="69" t="n"/>
      <c r="CS249" s="69" t="n"/>
      <c r="CT249" s="42" t="n"/>
      <c r="CU249" s="3" t="n"/>
      <c r="CV249" s="3" t="n"/>
      <c r="CW249" s="69" t="n"/>
      <c r="CX249" s="69" t="n"/>
      <c r="CY249" s="42" t="n"/>
    </row>
    <row r="250" hidden="1" outlineLevel="1" customFormat="1" s="66">
      <c r="A250" s="37" t="n"/>
      <c r="B250" s="37" t="n"/>
      <c r="C250" s="67" t="inlineStr">
        <is>
          <t>Weighted average basic shares outstanding</t>
        </is>
      </c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2" t="n"/>
      <c r="AG250" s="42" t="n"/>
      <c r="AH250" s="69" t="str">
        <f>IFERROR(AVERAGE(AG249,AH249),"")</f>
        <v/>
      </c>
      <c r="AI250" s="69" t="str">
        <f>IFERROR(AVERAGE(AH249,AI249),"")</f>
        <v/>
      </c>
      <c r="AJ250" s="69" t="str">
        <f>IFERROR(AVERAGE(AH249,AJ249),"")</f>
        <v/>
      </c>
      <c r="AK250" s="69" t="str">
        <f>IFERROR(AVERAGE(AJ249,AK249),"")</f>
        <v/>
      </c>
      <c r="AL250" s="42" t="n"/>
      <c r="AM250" s="69" t="str">
        <f>IFERROR(AVERAGE(AL249,AM249),"")</f>
        <v/>
      </c>
      <c r="AN250" s="69" t="str">
        <f>IFERROR(AVERAGE(AM249,AN249),"")</f>
        <v/>
      </c>
      <c r="AO250" s="69" t="str">
        <f>IFERROR(AVERAGE(AM249,AO249),"")</f>
        <v/>
      </c>
      <c r="AP250" s="69" t="str">
        <f>IFERROR(AVERAGE(AO249,AP249),"")</f>
        <v/>
      </c>
      <c r="AQ250" s="42" t="n"/>
      <c r="AR250" s="69" t="str">
        <f>IFERROR(AVERAGE(AQ249,AR249),"")</f>
        <v/>
      </c>
      <c r="AS250" s="69" t="str">
        <f>IFERROR(AVERAGE(AR249,AS249),"")</f>
        <v/>
      </c>
      <c r="AT250" s="69" t="str">
        <f>IFERROR(AVERAGE(AR249,AT249),"")</f>
        <v/>
      </c>
      <c r="AU250" s="69" t="str">
        <f>IFERROR(AVERAGE(AT249,AU249),"")</f>
        <v/>
      </c>
      <c r="AV250" s="42" t="n"/>
      <c r="AW250" s="69" t="str">
        <f>IFERROR(AVERAGE(AV249,AW249),"")</f>
        <v/>
      </c>
      <c r="AX250" s="69" t="str">
        <f>IFERROR(AVERAGE(AW249,AX249),"")</f>
        <v/>
      </c>
      <c r="AY250" s="69" t="str">
        <f>IFERROR(AVERAGE(AW249,AY249),"")</f>
        <v/>
      </c>
      <c r="AZ250" s="69" t="str">
        <f>IFERROR(AVERAGE(AY249,AZ249),"")</f>
        <v/>
      </c>
      <c r="BA250" s="42" t="n"/>
      <c r="BB250" s="69" t="str">
        <f>IFERROR(AVERAGE(BA249,BB249),"")</f>
        <v/>
      </c>
      <c r="BC250" s="69" t="str">
        <f>IFERROR(AVERAGE(BB249,BC249),"")</f>
        <v/>
      </c>
      <c r="BD250" s="69" t="str">
        <f>IFERROR(AVERAGE(BB249,BD249),"")</f>
        <v/>
      </c>
      <c r="BE250" s="69" t="str">
        <f>IFERROR(AVERAGE(BD249,BE249),"")</f>
        <v/>
      </c>
      <c r="BF250" s="42" t="n"/>
      <c r="BG250" s="69" t="n"/>
      <c r="BH250" s="69" t="n"/>
      <c r="BI250" s="69" t="n"/>
      <c r="BJ250" s="69" t="n"/>
      <c r="BK250" s="42" t="n"/>
      <c r="BL250" s="69" t="n"/>
      <c r="BM250" s="69" t="n"/>
      <c r="BN250" s="69" t="n"/>
      <c r="BO250" s="69" t="n"/>
      <c r="BP250" s="42" t="n"/>
      <c r="BQ250" s="69" t="n"/>
      <c r="BR250" s="69" t="n"/>
      <c r="BS250" s="69" t="n"/>
      <c r="BT250" s="69" t="n"/>
      <c r="BU250" s="42" t="n"/>
      <c r="BV250" s="69" t="n"/>
      <c r="BW250" s="69" t="n"/>
      <c r="BX250" s="69" t="n"/>
      <c r="BY250" s="69" t="n"/>
      <c r="BZ250" s="42" t="n"/>
      <c r="CA250" s="69" t="n"/>
      <c r="CB250" s="69" t="n"/>
      <c r="CC250" s="69" t="n"/>
      <c r="CD250" s="69" t="n"/>
      <c r="CE250" s="42" t="n"/>
      <c r="CF250" s="69" t="n"/>
      <c r="CG250" s="69" t="n"/>
      <c r="CH250" s="69" t="n"/>
      <c r="CI250" s="69" t="n"/>
      <c r="CJ250" s="42" t="n"/>
      <c r="CK250" s="69" t="n"/>
      <c r="CL250" s="69" t="n"/>
      <c r="CM250" s="69" t="n"/>
      <c r="CN250" s="69" t="n"/>
      <c r="CO250" s="42" t="n"/>
      <c r="CP250" s="69" t="n"/>
      <c r="CQ250" s="69" t="n"/>
      <c r="CR250" s="69" t="n"/>
      <c r="CS250" s="69" t="n"/>
      <c r="CT250" s="42" t="n"/>
      <c r="CU250" s="69" t="n"/>
      <c r="CV250" s="69" t="n"/>
      <c r="CW250" s="69" t="n"/>
      <c r="CX250" s="69" t="n"/>
      <c r="CY250" s="42" t="n"/>
    </row>
    <row r="251" hidden="1" outlineLevel="1" customFormat="1" s="66">
      <c r="A251" s="37" t="n"/>
      <c r="B251" s="37" t="n"/>
      <c r="C251" s="67" t="n"/>
      <c r="D251" s="42" t="n"/>
      <c r="E251" s="42" t="n"/>
      <c r="F251" s="42" t="n"/>
      <c r="G251" s="42" t="n"/>
      <c r="H251" s="12" t="n"/>
      <c r="I251" s="42" t="n"/>
      <c r="J251" s="42" t="n"/>
      <c r="K251" s="42" t="n"/>
      <c r="L251" s="42" t="n"/>
      <c r="M251" s="12" t="n"/>
      <c r="N251" s="42" t="n"/>
      <c r="O251" s="42" t="n"/>
      <c r="P251" s="42" t="n"/>
      <c r="Q251" s="42" t="n"/>
      <c r="R251" s="12" t="n"/>
      <c r="S251" s="42" t="n"/>
      <c r="T251" s="42" t="n"/>
      <c r="U251" s="42" t="n"/>
      <c r="V251" s="42" t="n"/>
      <c r="W251" s="12" t="n"/>
      <c r="X251" s="42" t="n"/>
      <c r="Y251" s="42" t="n"/>
      <c r="Z251" s="42" t="n"/>
      <c r="AA251" s="42" t="n"/>
      <c r="AB251" s="12" t="n"/>
      <c r="AC251" s="42" t="n"/>
      <c r="AD251" s="42" t="n"/>
      <c r="AE251" s="42" t="n"/>
      <c r="AF251" s="42" t="n"/>
      <c r="AG251" s="12" t="n"/>
      <c r="AH251" s="42" t="n"/>
      <c r="AI251" s="42" t="n"/>
      <c r="AJ251" s="42" t="n"/>
      <c r="AK251" s="42" t="n"/>
      <c r="AL251" s="12" t="n"/>
      <c r="AM251" s="42" t="n"/>
      <c r="AN251" s="42" t="n"/>
      <c r="AO251" s="42" t="n"/>
      <c r="AP251" s="42" t="n"/>
      <c r="AQ251" s="12" t="n"/>
      <c r="AR251" s="42" t="n"/>
      <c r="AS251" s="42" t="n"/>
      <c r="AT251" s="42" t="n"/>
      <c r="AU251" s="42" t="n"/>
      <c r="AV251" s="12" t="n"/>
      <c r="AW251" s="42" t="n"/>
      <c r="AX251" s="42" t="n"/>
      <c r="AY251" s="42" t="n"/>
      <c r="AZ251" s="42" t="n"/>
      <c r="BA251" s="12" t="n"/>
      <c r="BB251" s="42" t="n"/>
      <c r="BC251" s="42" t="n"/>
      <c r="BD251" s="42" t="n"/>
      <c r="BE251" s="42" t="n"/>
      <c r="BF251" s="12" t="n"/>
      <c r="BG251" s="42" t="n"/>
      <c r="BH251" s="42" t="n"/>
      <c r="BI251" s="42" t="n"/>
      <c r="BJ251" s="42" t="n"/>
      <c r="BK251" s="12" t="n"/>
      <c r="BL251" s="42" t="n"/>
      <c r="BM251" s="42" t="n"/>
      <c r="BN251" s="42" t="n"/>
      <c r="BO251" s="42" t="n"/>
      <c r="BP251" s="12" t="n"/>
      <c r="BQ251" s="42" t="n"/>
      <c r="BR251" s="42" t="n"/>
      <c r="BS251" s="42" t="n"/>
      <c r="BT251" s="42" t="n"/>
      <c r="BU251" s="12" t="n"/>
      <c r="BV251" s="42" t="n"/>
      <c r="BW251" s="42" t="n"/>
      <c r="BX251" s="42" t="n"/>
      <c r="BY251" s="42" t="n"/>
      <c r="BZ251" s="12" t="n"/>
      <c r="CA251" s="42" t="n"/>
      <c r="CB251" s="42" t="n"/>
      <c r="CC251" s="42" t="n"/>
      <c r="CD251" s="42" t="n"/>
      <c r="CE251" s="12" t="n"/>
      <c r="CF251" s="42" t="n"/>
      <c r="CG251" s="42" t="n"/>
      <c r="CH251" s="42" t="n"/>
      <c r="CI251" s="42" t="n"/>
      <c r="CJ251" s="12" t="n"/>
      <c r="CK251" s="42" t="n"/>
      <c r="CL251" s="42" t="n"/>
      <c r="CM251" s="42" t="n"/>
      <c r="CN251" s="42" t="n"/>
      <c r="CO251" s="12" t="n"/>
      <c r="CP251" s="42" t="n"/>
      <c r="CQ251" s="42" t="n"/>
      <c r="CR251" s="42" t="n"/>
      <c r="CS251" s="42" t="n"/>
      <c r="CT251" s="12" t="n"/>
      <c r="CU251" s="42" t="n"/>
      <c r="CV251" s="42" t="n"/>
      <c r="CW251" s="42" t="n"/>
      <c r="CX251" s="42" t="n"/>
      <c r="CY251" s="12" t="n"/>
    </row>
    <row r="252" collapsed="1">
      <c r="C252" s="14" t="inlineStr">
        <is>
          <t>Treasury stock (contra account)</t>
        </is>
      </c>
      <c r="D252" s="46" t="n"/>
      <c r="E252" s="46" t="n"/>
      <c r="F252" s="46" t="n"/>
      <c r="G252" s="46" t="n"/>
      <c r="H252" s="12" t="n"/>
      <c r="I252" s="46">
        <f>'Inputs (2)'!D44</f>
        <v>-81548</v>
      </c>
      <c r="J252" s="46">
        <f>'Inputs (2)'!E44</f>
        <v>-81425</v>
      </c>
      <c r="K252" s="46">
        <f>'Inputs (2)'!F44</f>
        <v>-81314</v>
      </c>
      <c r="L252" s="46">
        <f>'Inputs (2)'!G44</f>
        <v>-81093</v>
      </c>
      <c r="M252" s="12">
        <f>'Inputs (2)'!H44</f>
        <v>-81093</v>
      </c>
      <c r="N252" s="46">
        <f>'Inputs (2)'!I44</f>
        <v>-80673</v>
      </c>
      <c r="O252" s="46">
        <f>'Inputs (2)'!J44</f>
        <v>-80883</v>
      </c>
      <c r="P252" s="46">
        <f>'Inputs (2)'!K44</f>
        <v>-81049</v>
      </c>
      <c r="Q252" s="46">
        <f>'Inputs (2)'!L44</f>
        <v>-81209</v>
      </c>
      <c r="R252" s="12">
        <f>'Inputs (2)'!M44</f>
        <v>-81209</v>
      </c>
      <c r="S252" s="46">
        <f>'Inputs (2)'!N44</f>
        <v>-80762</v>
      </c>
      <c r="T252" s="46">
        <f>'Inputs (2)'!O44</f>
        <v>-80524</v>
      </c>
      <c r="U252" s="46">
        <f>'Inputs (2)'!P44</f>
        <v>-80244</v>
      </c>
      <c r="V252" s="46">
        <f>'Inputs (2)'!Q44</f>
        <v>-79976</v>
      </c>
      <c r="W252" s="12">
        <f>'Inputs (2)'!R44</f>
        <v>-79976</v>
      </c>
      <c r="X252" s="46">
        <f>'Inputs (2)'!S44</f>
        <v>-78508</v>
      </c>
      <c r="Y252" s="46">
        <f>'Inputs (2)'!T44</f>
        <v>-80013</v>
      </c>
      <c r="Z252" s="46">
        <f>'Inputs (2)'!U44</f>
        <v>-80061</v>
      </c>
      <c r="AA252" s="46">
        <f>'Inputs (2)'!V44</f>
        <v>-81566</v>
      </c>
      <c r="AB252" s="12">
        <f>'Inputs (2)'!W44</f>
        <v>-81566</v>
      </c>
      <c r="AC252" s="46">
        <f>'Inputs (2)'!X44</f>
        <v>-83024</v>
      </c>
      <c r="AD252" s="46">
        <f>'Inputs (2)'!Y44</f>
        <v>-84421</v>
      </c>
      <c r="AE252" s="46">
        <f>'Inputs (2)'!Z44</f>
        <v>-86002</v>
      </c>
      <c r="AF252" s="46">
        <f>'Inputs (2)'!AA44</f>
        <v>-87801</v>
      </c>
      <c r="AG252" s="12">
        <f>'Inputs (2)'!AB44</f>
        <v>-87801</v>
      </c>
      <c r="AH252" s="12">
        <f>'Inputs (2)'!AC44</f>
        <v>-89690</v>
      </c>
      <c r="AI252" s="12">
        <f>'Inputs (2)'!AD44</f>
        <v>-91454</v>
      </c>
      <c r="AJ252" s="12">
        <f>AI252</f>
        <v>-91454</v>
      </c>
      <c r="AK252" s="12">
        <f>AJ252</f>
        <v>-91454</v>
      </c>
      <c r="AL252" s="12">
        <f>AK252</f>
        <v>-91454</v>
      </c>
      <c r="AM252" s="12">
        <f>AL252</f>
        <v>-91454</v>
      </c>
      <c r="AN252" s="12">
        <f>AM252</f>
        <v>-91454</v>
      </c>
      <c r="AO252" s="12">
        <f>AN252</f>
        <v>-91454</v>
      </c>
      <c r="AP252" s="12">
        <f>AO252</f>
        <v>-91454</v>
      </c>
      <c r="AQ252" s="12">
        <f>AP252</f>
        <v>-91454</v>
      </c>
      <c r="AR252" s="12">
        <f>AQ252</f>
        <v>-91454</v>
      </c>
      <c r="AS252" s="12">
        <f>AR252</f>
        <v>-91454</v>
      </c>
      <c r="AT252" s="12">
        <f>AS252</f>
        <v>-91454</v>
      </c>
      <c r="AU252" s="12">
        <f>AT252</f>
        <v>-91454</v>
      </c>
      <c r="AV252" s="12">
        <f>AU252</f>
        <v>-91454</v>
      </c>
      <c r="AW252" s="12">
        <f>AV252</f>
        <v>-91454</v>
      </c>
      <c r="AX252" s="12">
        <f>AW252</f>
        <v>-91454</v>
      </c>
      <c r="AY252" s="12">
        <f>AX252</f>
        <v>-91454</v>
      </c>
      <c r="AZ252" s="12">
        <f>AY252</f>
        <v>-91454</v>
      </c>
      <c r="BA252" s="12">
        <f>AZ252</f>
        <v>-91454</v>
      </c>
      <c r="BB252" s="12">
        <f>BA252</f>
        <v>-91454</v>
      </c>
      <c r="BC252" s="12">
        <f>BB252</f>
        <v>-91454</v>
      </c>
      <c r="BD252" s="12">
        <f>BC252</f>
        <v>-91454</v>
      </c>
      <c r="BE252" s="12">
        <f>BD252</f>
        <v>-91454</v>
      </c>
      <c r="BF252" s="12">
        <f>BE252</f>
        <v>-91454</v>
      </c>
      <c r="BG252" s="12" t="n"/>
      <c r="BH252" s="12" t="n"/>
      <c r="BI252" s="12" t="n"/>
      <c r="BJ252" s="12" t="n"/>
      <c r="BK252" s="12" t="n"/>
      <c r="BL252" s="12" t="n"/>
      <c r="BM252" s="12" t="n"/>
      <c r="BN252" s="12" t="n"/>
      <c r="BO252" s="12" t="n"/>
      <c r="BP252" s="12" t="n"/>
      <c r="BQ252" s="12" t="n"/>
      <c r="BR252" s="12" t="n"/>
      <c r="BS252" s="12" t="n"/>
      <c r="BT252" s="12" t="n"/>
      <c r="BU252" s="12" t="n"/>
      <c r="BV252" s="12" t="n"/>
      <c r="BW252" s="12" t="n"/>
      <c r="BX252" s="12" t="n"/>
      <c r="BY252" s="12" t="n"/>
      <c r="BZ252" s="12" t="n"/>
      <c r="CA252" s="12" t="n"/>
      <c r="CB252" s="12" t="n"/>
      <c r="CC252" s="12" t="n"/>
      <c r="CD252" s="12" t="n"/>
      <c r="CE252" s="12" t="n"/>
      <c r="CF252" s="12" t="n"/>
      <c r="CG252" s="12" t="n"/>
      <c r="CH252" s="12" t="n"/>
      <c r="CI252" s="12" t="n"/>
      <c r="CJ252" s="12" t="n"/>
      <c r="CK252" s="12" t="n"/>
      <c r="CL252" s="12" t="n"/>
      <c r="CM252" s="12" t="n"/>
      <c r="CN252" s="12" t="n"/>
      <c r="CO252" s="12" t="n"/>
      <c r="CP252" s="12" t="n"/>
      <c r="CQ252" s="12" t="n"/>
      <c r="CR252" s="12" t="n"/>
      <c r="CS252" s="12" t="n"/>
      <c r="CT252" s="12" t="n"/>
      <c r="CU252" s="12" t="n"/>
      <c r="CV252" s="12" t="n"/>
      <c r="CW252" s="12" t="n"/>
      <c r="CX252" s="12" t="n"/>
      <c r="CY252" s="12" t="n"/>
    </row>
    <row r="253">
      <c r="C253" s="14" t="inlineStr">
        <is>
          <t>Comprehensive (accumulated) loss</t>
        </is>
      </c>
      <c r="D253" s="46" t="n"/>
      <c r="E253" s="46" t="n"/>
      <c r="F253" s="46" t="n"/>
      <c r="G253" s="46" t="n"/>
      <c r="H253" s="12" t="n"/>
      <c r="I253" s="46">
        <f>'Inputs (2)'!D45</f>
        <v>-8893</v>
      </c>
      <c r="J253" s="46">
        <f>'Inputs (2)'!E45</f>
        <v>-7820</v>
      </c>
      <c r="K253" s="46">
        <f>'Inputs (2)'!F45</f>
        <v>-5078</v>
      </c>
      <c r="L253" s="46">
        <f>'Inputs (2)'!G45</f>
        <v>1582</v>
      </c>
      <c r="M253" s="12">
        <f>'Inputs (2)'!H45</f>
        <v>1582</v>
      </c>
      <c r="N253" s="46">
        <f>'Inputs (2)'!I45</f>
        <v>1341</v>
      </c>
      <c r="O253" s="46">
        <f>'Inputs (2)'!J45</f>
        <v>-1852</v>
      </c>
      <c r="P253" s="46">
        <f>'Inputs (2)'!K45</f>
        <v>-4405</v>
      </c>
      <c r="Q253" s="46">
        <f>'Inputs (2)'!L45</f>
        <v>-1311</v>
      </c>
      <c r="R253" s="12">
        <f>'Inputs (2)'!M45</f>
        <v>-1311</v>
      </c>
      <c r="S253" s="46">
        <f>'Inputs (2)'!N45</f>
        <v>-3289</v>
      </c>
      <c r="T253" s="46">
        <f>'Inputs (2)'!O45</f>
        <v>-3573</v>
      </c>
      <c r="U253" s="46">
        <f>'Inputs (2)'!P45</f>
        <v>-3351</v>
      </c>
      <c r="V253" s="46">
        <f>'Inputs (2)'!Q45</f>
        <v>-6150</v>
      </c>
      <c r="W253" s="12">
        <f>'Inputs (2)'!R45</f>
        <v>-6150</v>
      </c>
      <c r="X253" s="46">
        <f>'Inputs (2)'!S45</f>
        <v>-5603</v>
      </c>
      <c r="Y253" s="46">
        <f>'Inputs (2)'!T45</f>
        <v>-4035</v>
      </c>
      <c r="Z253" s="46">
        <f>'Inputs (2)'!U45</f>
        <v>-4375</v>
      </c>
      <c r="AA253" s="46">
        <f>'Inputs (2)'!V45</f>
        <v>-3861</v>
      </c>
      <c r="AB253" s="12">
        <f>'Inputs (2)'!W45</f>
        <v>-3861</v>
      </c>
      <c r="AC253" s="46">
        <f>'Inputs (2)'!X45</f>
        <v>-3733</v>
      </c>
      <c r="AD253" s="46">
        <f>'Inputs (2)'!Y45</f>
        <v>-4024</v>
      </c>
      <c r="AE253" s="46">
        <f>'Inputs (2)'!Z45</f>
        <v>-4347</v>
      </c>
      <c r="AF253" s="46">
        <f>'Inputs (2)'!AA45</f>
        <v>-4798</v>
      </c>
      <c r="AG253" s="12">
        <f>'Inputs (2)'!AB45</f>
        <v>-4798</v>
      </c>
      <c r="AH253" s="12">
        <f>'Inputs (2)'!AC45</f>
        <v>-4486</v>
      </c>
      <c r="AI253" s="12">
        <f>'Inputs (2)'!AD45</f>
        <v>-4948</v>
      </c>
      <c r="AJ253" s="12">
        <f>AI253</f>
        <v>-4948</v>
      </c>
      <c r="AK253" s="12">
        <f>AJ253</f>
        <v>-4948</v>
      </c>
      <c r="AL253" s="12">
        <f>AK253</f>
        <v>-4948</v>
      </c>
      <c r="AM253" s="12">
        <f>AL253</f>
        <v>-4948</v>
      </c>
      <c r="AN253" s="12">
        <f>AM253</f>
        <v>-4948</v>
      </c>
      <c r="AO253" s="12">
        <f>AN253</f>
        <v>-4948</v>
      </c>
      <c r="AP253" s="12">
        <f>AO253</f>
        <v>-4948</v>
      </c>
      <c r="AQ253" s="12">
        <f>AP253</f>
        <v>-4948</v>
      </c>
      <c r="AR253" s="12">
        <f>AQ253</f>
        <v>-4948</v>
      </c>
      <c r="AS253" s="12">
        <f>AR253</f>
        <v>-4948</v>
      </c>
      <c r="AT253" s="12">
        <f>AS253</f>
        <v>-4948</v>
      </c>
      <c r="AU253" s="12">
        <f>AT253</f>
        <v>-4948</v>
      </c>
      <c r="AV253" s="12">
        <f>AU253</f>
        <v>-4948</v>
      </c>
      <c r="AW253" s="12">
        <f>AV253</f>
        <v>-4948</v>
      </c>
      <c r="AX253" s="12">
        <f>AW253</f>
        <v>-4948</v>
      </c>
      <c r="AY253" s="12">
        <f>AX253</f>
        <v>-4948</v>
      </c>
      <c r="AZ253" s="12">
        <f>AY253</f>
        <v>-4948</v>
      </c>
      <c r="BA253" s="12">
        <f>AZ253</f>
        <v>-4948</v>
      </c>
      <c r="BB253" s="12">
        <f>BA253</f>
        <v>-4948</v>
      </c>
      <c r="BC253" s="12">
        <f>BB253</f>
        <v>-4948</v>
      </c>
      <c r="BD253" s="12">
        <f>BC253</f>
        <v>-4948</v>
      </c>
      <c r="BE253" s="12">
        <f>BD253</f>
        <v>-4948</v>
      </c>
      <c r="BF253" s="12">
        <f>BE253</f>
        <v>-4948</v>
      </c>
      <c r="BG253" s="12" t="n"/>
      <c r="BH253" s="12" t="n"/>
      <c r="BI253" s="12" t="n"/>
      <c r="BJ253" s="12" t="n"/>
      <c r="BK253" s="12" t="n"/>
      <c r="BL253" s="12" t="n"/>
      <c r="BM253" s="12" t="n"/>
      <c r="BN253" s="12" t="n"/>
      <c r="BO253" s="12" t="n"/>
      <c r="BP253" s="12" t="n"/>
      <c r="BQ253" s="12" t="n"/>
      <c r="BR253" s="12" t="n"/>
      <c r="BS253" s="12" t="n"/>
      <c r="BT253" s="12" t="n"/>
      <c r="BU253" s="12" t="n"/>
      <c r="BV253" s="12" t="n"/>
      <c r="BW253" s="12" t="n"/>
      <c r="BX253" s="12" t="n"/>
      <c r="BY253" s="12" t="n"/>
      <c r="BZ253" s="12" t="n"/>
      <c r="CA253" s="12" t="n"/>
      <c r="CB253" s="12" t="n"/>
      <c r="CC253" s="12" t="n"/>
      <c r="CD253" s="12" t="n"/>
      <c r="CE253" s="12" t="n"/>
      <c r="CF253" s="12" t="n"/>
      <c r="CG253" s="12" t="n"/>
      <c r="CH253" s="12" t="n"/>
      <c r="CI253" s="12" t="n"/>
      <c r="CJ253" s="12" t="n"/>
      <c r="CK253" s="12" t="n"/>
      <c r="CL253" s="12" t="n"/>
      <c r="CM253" s="12" t="n"/>
      <c r="CN253" s="12" t="n"/>
      <c r="CO253" s="12" t="n"/>
      <c r="CP253" s="12" t="n"/>
      <c r="CQ253" s="12" t="n"/>
      <c r="CR253" s="12" t="n"/>
      <c r="CS253" s="12" t="n"/>
      <c r="CT253" s="12" t="n"/>
      <c r="CU253" s="12" t="n"/>
      <c r="CV253" s="12" t="n"/>
      <c r="CW253" s="12" t="n"/>
      <c r="CX253" s="12" t="n"/>
      <c r="CY253" s="12" t="n"/>
    </row>
    <row r="254">
      <c r="C254" s="14" t="inlineStr">
        <is>
          <t>Other equity account</t>
        </is>
      </c>
      <c r="D254" s="46" t="n"/>
      <c r="E254" s="46" t="n"/>
      <c r="F254" s="46" t="n"/>
      <c r="G254" s="46" t="n"/>
      <c r="H254" s="12" t="n"/>
      <c r="I254" s="46">
        <f>'Inputs (2)'!D46</f>
        <v>0</v>
      </c>
      <c r="J254" s="46">
        <f>'Inputs (2)'!E46</f>
        <v>0</v>
      </c>
      <c r="K254" s="46">
        <f>'Inputs (2)'!F46</f>
        <v>0</v>
      </c>
      <c r="L254" s="46">
        <f>'Inputs (2)'!G46</f>
        <v>0</v>
      </c>
      <c r="M254" s="12">
        <f>'Inputs (2)'!H46</f>
        <v>0</v>
      </c>
      <c r="N254" s="46">
        <f>'Inputs (2)'!I46</f>
        <v>0</v>
      </c>
      <c r="O254" s="46">
        <f>'Inputs (2)'!J46</f>
        <v>0</v>
      </c>
      <c r="P254" s="46">
        <f>'Inputs (2)'!K46</f>
        <v>0</v>
      </c>
      <c r="Q254" s="46">
        <f>'Inputs (2)'!L46</f>
        <v>0</v>
      </c>
      <c r="R254" s="12">
        <f>'Inputs (2)'!M46</f>
        <v>0</v>
      </c>
      <c r="S254" s="46">
        <f>'Inputs (2)'!N46</f>
        <v>0</v>
      </c>
      <c r="T254" s="46">
        <f>'Inputs (2)'!O46</f>
        <v>0</v>
      </c>
      <c r="U254" s="46">
        <f>'Inputs (2)'!P46</f>
        <v>0</v>
      </c>
      <c r="V254" s="46">
        <f>'Inputs (2)'!Q46</f>
        <v>0</v>
      </c>
      <c r="W254" s="12">
        <f>'Inputs (2)'!R46</f>
        <v>0</v>
      </c>
      <c r="X254" s="46">
        <f>'Inputs (2)'!S46</f>
        <v>0</v>
      </c>
      <c r="Y254" s="46">
        <f>'Inputs (2)'!T46</f>
        <v>0</v>
      </c>
      <c r="Z254" s="46">
        <f>'Inputs (2)'!U46</f>
        <v>0</v>
      </c>
      <c r="AA254" s="46">
        <f>'Inputs (2)'!V46</f>
        <v>0</v>
      </c>
      <c r="AB254" s="12">
        <f>'Inputs (2)'!W46</f>
        <v>0</v>
      </c>
      <c r="AC254" s="46">
        <f>'Inputs (2)'!X46</f>
        <v>0</v>
      </c>
      <c r="AD254" s="46">
        <f>'Inputs (2)'!Y46</f>
        <v>0</v>
      </c>
      <c r="AE254" s="46">
        <f>'Inputs (2)'!Z46</f>
        <v>0</v>
      </c>
      <c r="AF254" s="46">
        <f>'Inputs (2)'!AA46</f>
        <v>0</v>
      </c>
      <c r="AG254" s="12">
        <f>'Inputs (2)'!AB46</f>
        <v>0</v>
      </c>
      <c r="AH254" s="12">
        <f>'Inputs (2)'!AC46</f>
        <v>0</v>
      </c>
      <c r="AI254" s="12">
        <f>'Inputs (2)'!AD46</f>
        <v>0</v>
      </c>
      <c r="AJ254" s="12">
        <f>AI254</f>
        <v>0</v>
      </c>
      <c r="AK254" s="12">
        <f>AJ254</f>
        <v>0</v>
      </c>
      <c r="AL254" s="12">
        <f>AK254</f>
        <v>0</v>
      </c>
      <c r="AM254" s="12">
        <f>AL254</f>
        <v>0</v>
      </c>
      <c r="AN254" s="12">
        <f>AM254</f>
        <v>0</v>
      </c>
      <c r="AO254" s="12">
        <f>AN254</f>
        <v>0</v>
      </c>
      <c r="AP254" s="12">
        <f>AO254</f>
        <v>0</v>
      </c>
      <c r="AQ254" s="12">
        <f>AP254</f>
        <v>0</v>
      </c>
      <c r="AR254" s="12">
        <f>AQ254</f>
        <v>0</v>
      </c>
      <c r="AS254" s="12">
        <f>AR254</f>
        <v>0</v>
      </c>
      <c r="AT254" s="12">
        <f>AS254</f>
        <v>0</v>
      </c>
      <c r="AU254" s="12">
        <f>AT254</f>
        <v>0</v>
      </c>
      <c r="AV254" s="12">
        <f>AU254</f>
        <v>0</v>
      </c>
      <c r="AW254" s="12">
        <f>AV254</f>
        <v>0</v>
      </c>
      <c r="AX254" s="12">
        <f>AW254</f>
        <v>0</v>
      </c>
      <c r="AY254" s="12">
        <f>AX254</f>
        <v>0</v>
      </c>
      <c r="AZ254" s="12">
        <f>AY254</f>
        <v>0</v>
      </c>
      <c r="BA254" s="12">
        <f>AZ254</f>
        <v>0</v>
      </c>
      <c r="BB254" s="12">
        <f>BA254</f>
        <v>0</v>
      </c>
      <c r="BC254" s="12">
        <f>BB254</f>
        <v>0</v>
      </c>
      <c r="BD254" s="12">
        <f>BC254</f>
        <v>0</v>
      </c>
      <c r="BE254" s="12">
        <f>BD254</f>
        <v>0</v>
      </c>
      <c r="BF254" s="12">
        <f>BE254</f>
        <v>0</v>
      </c>
      <c r="BG254" s="12" t="n"/>
      <c r="BH254" s="12" t="n"/>
      <c r="BI254" s="12" t="n"/>
      <c r="BJ254" s="12" t="n"/>
      <c r="BK254" s="12" t="n"/>
      <c r="BL254" s="12" t="n"/>
      <c r="BM254" s="12" t="n"/>
      <c r="BN254" s="12" t="n"/>
      <c r="BO254" s="12" t="n"/>
      <c r="BP254" s="12" t="n"/>
      <c r="BQ254" s="12" t="n"/>
      <c r="BR254" s="12" t="n"/>
      <c r="BS254" s="12" t="n"/>
      <c r="BT254" s="12" t="n"/>
      <c r="BU254" s="12" t="n"/>
      <c r="BV254" s="12" t="n"/>
      <c r="BW254" s="12" t="n"/>
      <c r="BX254" s="12" t="n"/>
      <c r="BY254" s="12" t="n"/>
      <c r="BZ254" s="12" t="n"/>
      <c r="CA254" s="12" t="n"/>
      <c r="CB254" s="12" t="n"/>
      <c r="CC254" s="12" t="n"/>
      <c r="CD254" s="12" t="n"/>
      <c r="CE254" s="12" t="n"/>
      <c r="CF254" s="12" t="n"/>
      <c r="CG254" s="12" t="n"/>
      <c r="CH254" s="12" t="n"/>
      <c r="CI254" s="12" t="n"/>
      <c r="CJ254" s="12" t="n"/>
      <c r="CK254" s="12" t="n"/>
      <c r="CL254" s="12" t="n"/>
      <c r="CM254" s="12" t="n"/>
      <c r="CN254" s="12" t="n"/>
      <c r="CO254" s="12" t="n"/>
      <c r="CP254" s="12" t="n"/>
      <c r="CQ254" s="12" t="n"/>
      <c r="CR254" s="12" t="n"/>
      <c r="CS254" s="12" t="n"/>
      <c r="CT254" s="12" t="n"/>
      <c r="CU254" s="12" t="n"/>
      <c r="CV254" s="12" t="n"/>
      <c r="CW254" s="12" t="n"/>
      <c r="CX254" s="12" t="n"/>
      <c r="CY254" s="12" t="n"/>
    </row>
    <row r="255">
      <c r="C255" s="15" t="inlineStr">
        <is>
          <t>Retained earnings</t>
        </is>
      </c>
      <c r="D255" s="46" t="n"/>
      <c r="E255" s="46" t="n"/>
      <c r="F255" s="46" t="n"/>
      <c r="G255" s="46" t="n"/>
      <c r="H255" s="12" t="n"/>
      <c r="I255" s="46">
        <f>'Inputs (2)'!D47</f>
        <v>89276</v>
      </c>
      <c r="J255" s="46">
        <f>'Inputs (2)'!E47</f>
        <v>87993</v>
      </c>
      <c r="K255" s="46">
        <f>'Inputs (2)'!F47</f>
        <v>89098</v>
      </c>
      <c r="L255" s="46">
        <f>'Inputs (2)'!G47</f>
        <v>85110</v>
      </c>
      <c r="M255" s="12">
        <f>'Inputs (2)'!H47</f>
        <v>85110</v>
      </c>
      <c r="N255" s="46">
        <f>'Inputs (2)'!I47</f>
        <v>83927</v>
      </c>
      <c r="O255" s="46">
        <f>'Inputs (2)'!J47</f>
        <v>82981</v>
      </c>
      <c r="P255" s="46">
        <f>'Inputs (2)'!K47</f>
        <v>82655</v>
      </c>
      <c r="Q255" s="46">
        <f>'Inputs (2)'!L47</f>
        <v>84693</v>
      </c>
      <c r="R255" s="12">
        <f>'Inputs (2)'!M47</f>
        <v>84693</v>
      </c>
      <c r="S255" s="46">
        <f>'Inputs (2)'!N47</f>
        <v>84955</v>
      </c>
      <c r="T255" s="46">
        <f>'Inputs (2)'!O47</f>
        <v>84848</v>
      </c>
      <c r="U255" s="46">
        <f>'Inputs (2)'!P47</f>
        <v>85017</v>
      </c>
      <c r="V255" s="46">
        <f>'Inputs (2)'!Q47</f>
        <v>86527</v>
      </c>
      <c r="W255" s="12">
        <f>'Inputs (2)'!R47</f>
        <v>86527</v>
      </c>
      <c r="X255" s="46">
        <f>'Inputs (2)'!S47</f>
        <v>88065</v>
      </c>
      <c r="Y255" s="46">
        <f>'Inputs (2)'!T47</f>
        <v>77349</v>
      </c>
      <c r="Z255" s="46">
        <f>'Inputs (2)'!U47</f>
        <v>78889</v>
      </c>
      <c r="AA255" s="46">
        <f>'Inputs (2)'!V47</f>
        <v>80488</v>
      </c>
      <c r="AB255" s="12">
        <f>'Inputs (2)'!W47</f>
        <v>80488</v>
      </c>
      <c r="AC255" s="46">
        <f>'Inputs (2)'!X47</f>
        <v>82081</v>
      </c>
      <c r="AD255" s="46">
        <f>'Inputs (2)'!Y47</f>
        <v>83726</v>
      </c>
      <c r="AE255" s="46">
        <f>'Inputs (2)'!Z47</f>
        <v>85502</v>
      </c>
      <c r="AF255" s="46">
        <f>'Inputs (2)'!AA47</f>
        <v>87663</v>
      </c>
      <c r="AG255" s="12">
        <f>'Inputs (2)'!AB47</f>
        <v>87663</v>
      </c>
      <c r="AH255" s="12">
        <f>'Inputs (2)'!AC47</f>
        <v>89073</v>
      </c>
      <c r="AI255" s="12">
        <f>'Inputs (2)'!AD47</f>
        <v>90953</v>
      </c>
      <c r="AJ255" s="12">
        <f>AI255+AJ122+AJ123</f>
        <v>93826.6205918086</v>
      </c>
      <c r="AK255" s="12">
        <f>AJ255+AK122+AK123</f>
        <v>96826.6889824195</v>
      </c>
      <c r="AL255" s="12">
        <f>AK255</f>
        <v>96826.6889824195</v>
      </c>
      <c r="AM255" s="12">
        <f>AL255+AM122+AM123</f>
        <v>99750.0865995028</v>
      </c>
      <c r="AN255" s="12">
        <f>AM255+AN122+AN123</f>
        <v>102899.250155866</v>
      </c>
      <c r="AO255" s="12">
        <f>AN255+AO122+AO123</f>
        <v>106344.588508401</v>
      </c>
      <c r="AP255" s="12">
        <f>AO255+AP122+AP123</f>
        <v>109941.531930879</v>
      </c>
      <c r="AQ255" s="12">
        <f>AP255</f>
        <v>109941.531930879</v>
      </c>
      <c r="AR255" s="12">
        <f>AQ255+AR122+AR123</f>
        <v>113431.933649355</v>
      </c>
      <c r="AS255" s="12">
        <f>AR255+AS122+AS123</f>
        <v>117191.889470847</v>
      </c>
      <c r="AT255" s="12">
        <f>AS255+AT122+AT123</f>
        <v>121305.464318192</v>
      </c>
      <c r="AU255" s="12">
        <f>AT255+AU122+AU123</f>
        <v>125600.048616172</v>
      </c>
      <c r="AV255" s="12">
        <f>AU255</f>
        <v>125600.048616172</v>
      </c>
      <c r="AW255" s="12">
        <f>AV255+AW122+AW123</f>
        <v>129749.975032309</v>
      </c>
      <c r="AX255" s="12">
        <f>AW255+AX122+AX123</f>
        <v>134220.388825807</v>
      </c>
      <c r="AY255" s="12">
        <f>AX255+AY122+AY123</f>
        <v>139111.239306825</v>
      </c>
      <c r="AZ255" s="12">
        <f>AY255+AZ122+AZ123</f>
        <v>144217.301663538</v>
      </c>
      <c r="BA255" s="12">
        <f>AZ255</f>
        <v>144217.301663538</v>
      </c>
      <c r="BB255" s="12">
        <f>BA255+BB122+BB123</f>
        <v>149130.622848634</v>
      </c>
      <c r="BC255" s="12">
        <f>BB255+BC122+BC123</f>
        <v>154423.386284709</v>
      </c>
      <c r="BD255" s="12">
        <f>BC255+BD122+BD123</f>
        <v>160213.92733818</v>
      </c>
      <c r="BE255" s="12">
        <f>BD255+BE122+BE123</f>
        <v>166259.269311497</v>
      </c>
      <c r="BF255" s="12">
        <f>BE255</f>
        <v>166259.269311497</v>
      </c>
      <c r="BG255" s="12" t="n"/>
      <c r="BH255" s="12" t="n"/>
      <c r="BI255" s="12" t="n"/>
      <c r="BJ255" s="12" t="n"/>
      <c r="BK255" s="12" t="n"/>
      <c r="BL255" s="12" t="n"/>
      <c r="BM255" s="12" t="n"/>
      <c r="BN255" s="12" t="n"/>
      <c r="BO255" s="12" t="n"/>
      <c r="BP255" s="12" t="n"/>
      <c r="BQ255" s="12" t="n"/>
      <c r="BR255" s="12" t="n"/>
      <c r="BS255" s="12" t="n"/>
      <c r="BT255" s="12" t="n"/>
      <c r="BU255" s="12" t="n"/>
      <c r="BV255" s="12" t="n"/>
      <c r="BW255" s="12" t="n"/>
      <c r="BX255" s="12" t="n"/>
      <c r="BY255" s="12" t="n"/>
      <c r="BZ255" s="12" t="n"/>
      <c r="CA255" s="12" t="n"/>
      <c r="CB255" s="12" t="n"/>
      <c r="CC255" s="12" t="n"/>
      <c r="CD255" s="12" t="n"/>
      <c r="CE255" s="12" t="n"/>
      <c r="CF255" s="12" t="n"/>
      <c r="CG255" s="12" t="n"/>
      <c r="CH255" s="12" t="n"/>
      <c r="CI255" s="12" t="n"/>
      <c r="CJ255" s="12" t="n"/>
      <c r="CK255" s="12" t="n"/>
      <c r="CL255" s="12" t="n"/>
      <c r="CM255" s="12" t="n"/>
      <c r="CN255" s="12" t="n"/>
      <c r="CO255" s="12" t="n"/>
      <c r="CP255" s="12" t="n"/>
      <c r="CQ255" s="12" t="n"/>
      <c r="CR255" s="12" t="n"/>
      <c r="CS255" s="12" t="n"/>
      <c r="CT255" s="12" t="n"/>
      <c r="CU255" s="12" t="n"/>
      <c r="CV255" s="12" t="n"/>
      <c r="CW255" s="12" t="n"/>
      <c r="CX255" s="12" t="n"/>
      <c r="CY255" s="12" t="n"/>
    </row>
    <row r="256" customFormat="1" s="32">
      <c r="A256" s="30" t="inlineStr">
        <is>
          <t xml:space="preserve"> </t>
        </is>
      </c>
      <c r="B256" s="30" t="n"/>
      <c r="C256" s="65" t="inlineStr">
        <is>
          <t>Total Shareholders' Equity</t>
        </is>
      </c>
      <c r="D256" s="35" t="n"/>
      <c r="E256" s="35" t="n"/>
      <c r="F256" s="35" t="n"/>
      <c r="G256" s="35" t="n"/>
      <c r="H256" s="35" t="n"/>
      <c r="I256" s="35">
        <f>SUM(I233+I238+I239+I252+I253+I254+I255)</f>
        <v>35147</v>
      </c>
      <c r="J256" s="35">
        <f>SUM(J233+J238+J239+J252+J253+J254+J255)</f>
        <v>35042</v>
      </c>
      <c r="K256" s="35">
        <f>SUM(K233+K238+K239+K252+K253+K254+K255)</f>
        <v>38956</v>
      </c>
      <c r="L256" s="35">
        <f>SUM(L233+L238+L239+L252+L253+L254+L255)</f>
        <v>41607</v>
      </c>
      <c r="M256" s="35">
        <f>SUM(M233,M238,M239,M252,M253,M254,M255)</f>
        <v>41607</v>
      </c>
      <c r="N256" s="35">
        <f>SUM(N233+N238+N239+N252+N253+N254+N255)</f>
        <v>40279</v>
      </c>
      <c r="O256" s="35">
        <f>SUM(O233+O238+O239+O252+O253+O254+O255)</f>
        <v>35936</v>
      </c>
      <c r="P256" s="35">
        <f>SUM(P233+P238+P239+P252+P253+P254+P255)</f>
        <v>32748</v>
      </c>
      <c r="Q256" s="35">
        <f>SUM(Q233+Q238+Q239+Q252+Q253+Q254+Q255)</f>
        <v>37577</v>
      </c>
      <c r="R256" s="35">
        <f>SUM(R233,R238,R239,R252,R253,R254,R255)</f>
        <v>37577</v>
      </c>
      <c r="S256" s="35">
        <f>SUM(S233+S238+S239+S252+S253+S254+S255)</f>
        <v>32819</v>
      </c>
      <c r="T256" s="35">
        <f>SUM(T233+T238+T239+T252+T253+T254+T255)</f>
        <v>32366</v>
      </c>
      <c r="U256" s="35">
        <f>SUM(U233+U238+U239+U252+U253+U254+U255)</f>
        <v>29833</v>
      </c>
      <c r="V256" s="35">
        <f>SUM(V233+V238+V239+V252+V253+V254+V255)</f>
        <v>28580</v>
      </c>
      <c r="W256" s="35">
        <f>SUM(W233,W238,W239,W252,W253,W254,W255)</f>
        <v>28580</v>
      </c>
      <c r="X256" s="35">
        <f>SUM(X233+X238+X239+X252+X253+X254+X255)</f>
        <v>31104</v>
      </c>
      <c r="Y256" s="35">
        <f>SUM(Y233+Y238+Y239+Y252+Y253+Y254+Y255)</f>
        <v>18843</v>
      </c>
      <c r="Z256" s="35">
        <f>SUM(Z233+Z238+Z239+Z252+Z253+Z254+Z255)</f>
        <v>19103</v>
      </c>
      <c r="AA256" s="35">
        <f>SUM(AA233+AA238+AA239+AA252+AA253+AA254+AA255)</f>
        <v>19565</v>
      </c>
      <c r="AB256" s="35">
        <f>SUM(AB233,AB238,AB239,AB252,AB253,AB254,AB255)</f>
        <v>19565</v>
      </c>
      <c r="AC256" s="35">
        <f>SUM(AC233+AC238+AC239+AC252+AC253+AC254+AC255)</f>
        <v>19468</v>
      </c>
      <c r="AD256" s="35">
        <f>SUM(AD233+AD238+AD239+AD252+AD253+AD254+AD255)</f>
        <v>19345</v>
      </c>
      <c r="AE256" s="35">
        <f>SUM(AE233+AE238+AE239+AE252+AE253+AE254+AE255)</f>
        <v>19022</v>
      </c>
      <c r="AF256" s="35">
        <f>SUM(AF233+AF238+AF239+AF252+AF253+AF254+AF255)</f>
        <v>18899</v>
      </c>
      <c r="AG256" s="35">
        <f>SUM(AG233,AG238,AG239,AG252,AG253,AG254,AG255)</f>
        <v>18899</v>
      </c>
      <c r="AH256" s="35">
        <f>SUM(AH233+AH238+AH239+AH252+AH253+AH254+AH255)</f>
        <v>18298</v>
      </c>
      <c r="AI256" s="35">
        <f>SUM(AI233+AI238+AI239+AI252+AI253+AI254+AI255)</f>
        <v>17867</v>
      </c>
      <c r="AJ256" s="35">
        <f>SUM(AJ233+AJ238+AJ239+AJ252+AJ253+AJ254+AJ255)</f>
        <v>20740.6205918086</v>
      </c>
      <c r="AK256" s="35">
        <f>SUM(AK233+AK238+AK239+AK252+AK253+AK254+AK255)</f>
        <v>23740.6889824195</v>
      </c>
      <c r="AL256" s="35">
        <f>SUM(AL233,AL238,AL239,AL252,AL253,AL254,AL255)</f>
        <v>23740.6889824195</v>
      </c>
      <c r="AM256" s="35">
        <f>SUM(AM233+AM238+AM239+AM252+AM253+AM254+AM255)</f>
        <v>26664.0865995028</v>
      </c>
      <c r="AN256" s="35">
        <f>SUM(AN233+AN238+AN239+AN252+AN253+AN254+AN255)</f>
        <v>29813.2501558655</v>
      </c>
      <c r="AO256" s="35">
        <f>SUM(AO233+AO238+AO239+AO252+AO253+AO254+AO255)</f>
        <v>33258.5885084014</v>
      </c>
      <c r="AP256" s="35">
        <f>SUM(AP233+AP238+AP239+AP252+AP253+AP254+AP255)</f>
        <v>36855.5319308789</v>
      </c>
      <c r="AQ256" s="35">
        <f>SUM(AQ233,AQ238,AQ239,AQ252,AQ253,AQ254,AQ255)</f>
        <v>36855.5319308789</v>
      </c>
      <c r="AR256" s="35">
        <f>SUM(AR233+AR238+AR239+AR252+AR253+AR254+AR255)</f>
        <v>40345.9336493549</v>
      </c>
      <c r="AS256" s="35">
        <f>SUM(AS233+AS238+AS239+AS252+AS253+AS254+AS255)</f>
        <v>44105.8894708475</v>
      </c>
      <c r="AT256" s="35">
        <f>SUM(AT233+AT238+AT239+AT252+AT253+AT254+AT255)</f>
        <v>48219.4643181925</v>
      </c>
      <c r="AU256" s="35">
        <f>SUM(AU233+AU238+AU239+AU252+AU253+AU254+AU255)</f>
        <v>52514.0486161718</v>
      </c>
      <c r="AV256" s="35">
        <f>SUM(AV233,AV238,AV239,AV252,AV253,AV254,AV255)</f>
        <v>52514.0486161718</v>
      </c>
      <c r="AW256" s="35">
        <f>SUM(AW233+AW238+AW239+AW252+AW253+AW254+AW255)</f>
        <v>56663.9750323094</v>
      </c>
      <c r="AX256" s="35">
        <f>SUM(AX233+AX238+AX239+AX252+AX253+AX254+AX255)</f>
        <v>61134.3888258068</v>
      </c>
      <c r="AY256" s="35">
        <f>SUM(AY233+AY238+AY239+AY252+AY253+AY254+AY255)</f>
        <v>66025.2393068253</v>
      </c>
      <c r="AZ256" s="35">
        <f>SUM(AZ233+AZ238+AZ239+AZ252+AZ253+AZ254+AZ255)</f>
        <v>71131.3016635375</v>
      </c>
      <c r="BA256" s="35">
        <f>SUM(BA233,BA238,BA239,BA252,BA253,BA254,BA255)</f>
        <v>71131.3016635375</v>
      </c>
      <c r="BB256" s="35">
        <f>SUM(BB233+BB238+BB239+BB252+BB253+BB254+BB255)</f>
        <v>76044.6228486337</v>
      </c>
      <c r="BC256" s="35">
        <f>SUM(BC233+BC238+BC239+BC252+BC253+BC254+BC255)</f>
        <v>81337.3862847092</v>
      </c>
      <c r="BD256" s="35">
        <f>SUM(BD233+BD238+BD239+BD252+BD253+BD254+BD255)</f>
        <v>87127.9273381796</v>
      </c>
      <c r="BE256" s="35">
        <f>SUM(BE233+BE238+BE239+BE252+BE253+BE254+BE255)</f>
        <v>93173.2693114973</v>
      </c>
      <c r="BF256" s="35">
        <f>SUM(BF233,BF238,BF239,BF252,BF253,BF254,BF255)</f>
        <v>93173.2693114973</v>
      </c>
      <c r="BG256" s="35" t="n"/>
      <c r="BH256" s="35" t="n"/>
      <c r="BI256" s="35" t="n"/>
      <c r="BJ256" s="35" t="n"/>
      <c r="BK256" s="35" t="n"/>
      <c r="BL256" s="35" t="n"/>
      <c r="BM256" s="35" t="n"/>
      <c r="BN256" s="35" t="n"/>
      <c r="BO256" s="35" t="n"/>
      <c r="BP256" s="35" t="n"/>
      <c r="BQ256" s="35" t="n"/>
      <c r="BR256" s="35" t="n"/>
      <c r="BS256" s="35" t="n"/>
      <c r="BT256" s="35" t="n"/>
      <c r="BU256" s="35" t="n"/>
      <c r="BV256" s="35" t="n"/>
      <c r="BW256" s="35" t="n"/>
      <c r="BX256" s="35" t="n"/>
      <c r="BY256" s="35" t="n"/>
      <c r="BZ256" s="35" t="n"/>
      <c r="CA256" s="35" t="n"/>
      <c r="CB256" s="35" t="n"/>
      <c r="CC256" s="35" t="n"/>
      <c r="CD256" s="35" t="n"/>
      <c r="CE256" s="35" t="n"/>
      <c r="CF256" s="35" t="n"/>
      <c r="CG256" s="35" t="n"/>
      <c r="CH256" s="35" t="n"/>
      <c r="CI256" s="35" t="n"/>
      <c r="CJ256" s="35" t="n"/>
      <c r="CK256" s="35" t="n"/>
      <c r="CL256" s="35" t="n"/>
      <c r="CM256" s="35" t="n"/>
      <c r="CN256" s="35" t="n"/>
      <c r="CO256" s="35" t="n"/>
      <c r="CP256" s="35" t="n"/>
      <c r="CQ256" s="35" t="n"/>
      <c r="CR256" s="35" t="n"/>
      <c r="CS256" s="35" t="n"/>
      <c r="CT256" s="35" t="n"/>
      <c r="CU256" s="35" t="n"/>
      <c r="CV256" s="35" t="n"/>
      <c r="CW256" s="35" t="n"/>
      <c r="CX256" s="35" t="n"/>
      <c r="CY256" s="35" t="n"/>
    </row>
    <row r="257">
      <c r="C257" s="10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2" t="n"/>
      <c r="AC257" s="12" t="n"/>
      <c r="AD257" s="12" t="n"/>
      <c r="AE257" s="12" t="n"/>
      <c r="AF257" s="12" t="n"/>
      <c r="AG257" s="12" t="n"/>
      <c r="AH257" s="12" t="n"/>
      <c r="AI257" s="12" t="n"/>
      <c r="AJ257" s="12" t="n"/>
      <c r="AK257" s="12" t="n"/>
      <c r="AL257" s="12" t="n"/>
      <c r="AM257" s="12" t="n"/>
      <c r="AN257" s="12" t="n"/>
      <c r="AO257" s="12" t="n"/>
      <c r="AP257" s="12" t="n"/>
      <c r="AQ257" s="12" t="n"/>
      <c r="AR257" s="12" t="n"/>
      <c r="AS257" s="12" t="n"/>
      <c r="AT257" s="12" t="n"/>
      <c r="AU257" s="12" t="n"/>
      <c r="AV257" s="12" t="n"/>
      <c r="AW257" s="12" t="n"/>
      <c r="AX257" s="12" t="n"/>
      <c r="AY257" s="12" t="n"/>
      <c r="AZ257" s="12" t="n"/>
      <c r="BA257" s="12" t="n"/>
      <c r="BB257" s="12" t="n"/>
      <c r="BC257" s="12" t="n"/>
      <c r="BD257" s="12" t="n"/>
      <c r="BE257" s="12" t="n"/>
      <c r="BF257" s="12" t="n"/>
      <c r="BG257" s="12" t="n"/>
      <c r="BH257" s="12" t="n"/>
      <c r="BI257" s="12" t="n"/>
      <c r="BJ257" s="12" t="n"/>
      <c r="BK257" s="12" t="n"/>
      <c r="BL257" s="12" t="n"/>
      <c r="BM257" s="12" t="n"/>
      <c r="BN257" s="12" t="n"/>
      <c r="BO257" s="12" t="n"/>
      <c r="BP257" s="12" t="n"/>
      <c r="BQ257" s="12" t="n"/>
      <c r="BR257" s="12" t="n"/>
      <c r="BS257" s="12" t="n"/>
      <c r="BT257" s="12" t="n"/>
      <c r="BU257" s="12" t="n"/>
      <c r="BV257" s="12" t="n"/>
      <c r="BW257" s="12" t="n"/>
      <c r="BX257" s="12" t="n"/>
      <c r="BY257" s="12" t="n"/>
      <c r="BZ257" s="12" t="n"/>
      <c r="CA257" s="12" t="n"/>
      <c r="CB257" s="12" t="n"/>
      <c r="CC257" s="12" t="n"/>
      <c r="CD257" s="12" t="n"/>
      <c r="CE257" s="12" t="n"/>
      <c r="CF257" s="12" t="n"/>
      <c r="CG257" s="12" t="n"/>
      <c r="CH257" s="12" t="n"/>
      <c r="CI257" s="12" t="n"/>
      <c r="CJ257" s="12" t="n"/>
      <c r="CK257" s="12" t="n"/>
      <c r="CL257" s="12" t="n"/>
      <c r="CM257" s="12" t="n"/>
      <c r="CN257" s="12" t="n"/>
      <c r="CO257" s="12" t="n"/>
      <c r="CP257" s="12" t="n"/>
      <c r="CQ257" s="12" t="n"/>
      <c r="CR257" s="12" t="n"/>
      <c r="CS257" s="12" t="n"/>
      <c r="CT257" s="12" t="n"/>
      <c r="CU257" s="12" t="n"/>
      <c r="CV257" s="12" t="n"/>
      <c r="CW257" s="12" t="n"/>
      <c r="CX257" s="12" t="n"/>
      <c r="CY257" s="12" t="n"/>
    </row>
    <row r="258" customFormat="1" s="32">
      <c r="A258" s="30" t="n"/>
      <c r="B258" s="3" t="n"/>
      <c r="C258" s="33" t="inlineStr">
        <is>
          <t>Total Liabilities + Shareholders' Equity</t>
        </is>
      </c>
      <c r="D258" s="35" t="n"/>
      <c r="E258" s="35" t="n"/>
      <c r="F258" s="35" t="n"/>
      <c r="G258" s="35" t="n"/>
      <c r="H258" s="35" t="n"/>
      <c r="I258" s="35">
        <f>I256+I232</f>
        <v>245164</v>
      </c>
      <c r="J258" s="35">
        <f>J256+J232</f>
        <v>237559</v>
      </c>
      <c r="K258" s="35">
        <f>K256+K232</f>
        <v>237133</v>
      </c>
      <c r="L258" s="35">
        <f>L256+L232</f>
        <v>198874</v>
      </c>
      <c r="M258" s="35">
        <f>M256+M232</f>
        <v>198874</v>
      </c>
      <c r="N258" s="35">
        <f>N256+N232</f>
        <v>191961</v>
      </c>
      <c r="O258" s="35">
        <f>O256+O232</f>
        <v>185540</v>
      </c>
      <c r="P258" s="35">
        <f>P256+P232</f>
        <v>180877</v>
      </c>
      <c r="Q258" s="35">
        <f>Q256+Q232</f>
        <v>187788</v>
      </c>
      <c r="R258" s="35">
        <f>R256+R232</f>
        <v>187788</v>
      </c>
      <c r="S258" s="35">
        <f>S256+S232</f>
        <v>164472</v>
      </c>
      <c r="T258" s="35">
        <f>T256+T232</f>
        <v>163006</v>
      </c>
      <c r="U258" s="35">
        <f>U256+U232</f>
        <v>156662</v>
      </c>
      <c r="V258" s="35">
        <f>V256+V232</f>
        <v>163045</v>
      </c>
      <c r="W258" s="35">
        <f>W256+W232</f>
        <v>163045</v>
      </c>
      <c r="X258" s="35">
        <f>X256+X232</f>
        <v>163942</v>
      </c>
      <c r="Y258" s="35">
        <f>Y256+Y232</f>
        <v>123190</v>
      </c>
      <c r="Z258" s="35">
        <f>Z256+Z232</f>
        <v>126698</v>
      </c>
      <c r="AA258" s="35">
        <f>AA256+AA232</f>
        <v>123140</v>
      </c>
      <c r="AB258" s="35">
        <f>AB256+AB232</f>
        <v>123140</v>
      </c>
      <c r="AC258" s="35">
        <f>AC256+AC232</f>
        <v>124123</v>
      </c>
      <c r="AD258" s="35">
        <f>AD256+AD232</f>
        <v>125256</v>
      </c>
      <c r="AE258" s="35">
        <f>AE256+AE232</f>
        <v>128243</v>
      </c>
      <c r="AF258" s="35">
        <f>AF256+AF232</f>
        <v>130169</v>
      </c>
      <c r="AG258" s="35">
        <f>AG256+AG232</f>
        <v>130169</v>
      </c>
      <c r="AH258" s="35">
        <f>AH256+AH232</f>
        <v>128445</v>
      </c>
      <c r="AI258" s="35">
        <f>AI256+AI232</f>
        <v>127672</v>
      </c>
      <c r="AJ258" s="35">
        <f>AJ256+AJ232</f>
        <v>131712.142810906</v>
      </c>
      <c r="AK258" s="35">
        <f>AK256+AK232</f>
        <v>135239.741610304</v>
      </c>
      <c r="AL258" s="35">
        <f>AL256+AL232</f>
        <v>135239.741610304</v>
      </c>
      <c r="AM258" s="35">
        <f>AM256+AM232</f>
        <v>138114.301109525</v>
      </c>
      <c r="AN258" s="35">
        <f>AN256+AN232</f>
        <v>142078.690603519</v>
      </c>
      <c r="AO258" s="35">
        <f>AO256+AO232</f>
        <v>146615.272880452</v>
      </c>
      <c r="AP258" s="35">
        <f>AP256+AP232</f>
        <v>150844.700895608</v>
      </c>
      <c r="AQ258" s="35">
        <f>AQ256+AQ232</f>
        <v>150844.700895608</v>
      </c>
      <c r="AR258" s="35">
        <f>AR256+AR232</f>
        <v>154050.637407921</v>
      </c>
      <c r="AS258" s="35">
        <f>AS256+AS232</f>
        <v>158947.509828586</v>
      </c>
      <c r="AT258" s="35">
        <f>AT256+AT232</f>
        <v>164363.979515393</v>
      </c>
      <c r="AU258" s="35">
        <f>AU256+AU232</f>
        <v>169413.721201576</v>
      </c>
      <c r="AV258" s="35">
        <f>AV256+AV232</f>
        <v>169413.721201576</v>
      </c>
      <c r="AW258" s="35">
        <f>AW256+AW232</f>
        <v>173344.883290993</v>
      </c>
      <c r="AX258" s="35">
        <f>AX256+AX232</f>
        <v>178972.555896608</v>
      </c>
      <c r="AY258" s="35">
        <f>AY256+AY232</f>
        <v>185412.488158991</v>
      </c>
      <c r="AZ258" s="35">
        <f>AZ256+AZ232</f>
        <v>191416.397768372</v>
      </c>
      <c r="BA258" s="35">
        <f>BA256+BA232</f>
        <v>191416.397768372</v>
      </c>
      <c r="BB258" s="35">
        <f>BB256+BB232</f>
        <v>195981.128732772</v>
      </c>
      <c r="BC258" s="35">
        <f>BC256+BC232</f>
        <v>202644.033146795</v>
      </c>
      <c r="BD258" s="35">
        <f>BD256+BD232</f>
        <v>210268.615474883</v>
      </c>
      <c r="BE258" s="35">
        <f>BE256+BE232</f>
        <v>217376.967122388</v>
      </c>
      <c r="BF258" s="35">
        <f>BF256+BF232</f>
        <v>217376.967122388</v>
      </c>
      <c r="BG258" s="35" t="n"/>
      <c r="BH258" s="35" t="n"/>
      <c r="BI258" s="35" t="n"/>
      <c r="BJ258" s="35" t="n"/>
      <c r="BK258" s="35" t="n"/>
      <c r="BL258" s="35" t="n"/>
      <c r="BM258" s="35" t="n"/>
      <c r="BN258" s="35" t="n"/>
      <c r="BO258" s="35" t="n"/>
      <c r="BP258" s="35" t="n"/>
      <c r="BQ258" s="35" t="n"/>
      <c r="BR258" s="35" t="n"/>
      <c r="BS258" s="35" t="n"/>
      <c r="BT258" s="35" t="n"/>
      <c r="BU258" s="35" t="n"/>
      <c r="BV258" s="35" t="n"/>
      <c r="BW258" s="35" t="n"/>
      <c r="BX258" s="35" t="n"/>
      <c r="BY258" s="35" t="n"/>
      <c r="BZ258" s="35" t="n"/>
      <c r="CA258" s="35" t="n"/>
      <c r="CB258" s="35" t="n"/>
      <c r="CC258" s="35" t="n"/>
      <c r="CD258" s="35" t="n"/>
      <c r="CE258" s="35" t="n"/>
      <c r="CF258" s="35" t="n"/>
      <c r="CG258" s="35" t="n"/>
      <c r="CH258" s="35" t="n"/>
      <c r="CI258" s="35" t="n"/>
      <c r="CJ258" s="35" t="n"/>
      <c r="CK258" s="35" t="n"/>
      <c r="CL258" s="35" t="n"/>
      <c r="CM258" s="35" t="n"/>
      <c r="CN258" s="35" t="n"/>
      <c r="CO258" s="35" t="n"/>
      <c r="CP258" s="35" t="n"/>
      <c r="CQ258" s="35" t="n"/>
      <c r="CR258" s="35" t="n"/>
      <c r="CS258" s="35" t="n"/>
      <c r="CT258" s="35" t="n"/>
      <c r="CU258" s="35" t="n"/>
      <c r="CV258" s="35" t="n"/>
      <c r="CW258" s="35" t="n"/>
      <c r="CX258" s="35" t="n"/>
      <c r="CY258" s="35" t="n"/>
    </row>
    <row r="259">
      <c r="C259" s="18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/>
      <c r="BI259" s="3" t="n"/>
      <c r="BJ259" s="3" t="n"/>
      <c r="BK259" s="3" t="n"/>
      <c r="BL259" s="3" t="n"/>
      <c r="BM259" s="3" t="n"/>
      <c r="BN259" s="3" t="n"/>
      <c r="BO259" s="3" t="n"/>
      <c r="BP259" s="3" t="n"/>
      <c r="BQ259" s="3" t="n"/>
      <c r="BR259" s="3" t="n"/>
      <c r="BS259" s="3" t="n"/>
      <c r="BT259" s="3" t="n"/>
      <c r="BU259" s="3" t="n"/>
      <c r="BV259" s="3" t="n"/>
      <c r="BW259" s="3" t="n"/>
      <c r="BX259" s="3" t="n"/>
      <c r="BY259" s="3" t="n"/>
      <c r="BZ259" s="3" t="n"/>
      <c r="CA259" s="3" t="n"/>
      <c r="CB259" s="3" t="n"/>
      <c r="CC259" s="3" t="n"/>
      <c r="CD259" s="3" t="n"/>
      <c r="CE259" s="3" t="n"/>
      <c r="CF259" s="3" t="n"/>
      <c r="CG259" s="3" t="n"/>
      <c r="CH259" s="3" t="n"/>
      <c r="CI259" s="3" t="n"/>
      <c r="CJ259" s="3" t="n"/>
      <c r="CK259" s="3" t="n"/>
      <c r="CL259" s="3" t="n"/>
      <c r="CM259" s="3" t="n"/>
      <c r="CN259" s="3" t="n"/>
      <c r="CO259" s="3" t="n"/>
      <c r="CP259" s="3" t="n"/>
      <c r="CQ259" s="3" t="n"/>
      <c r="CR259" s="3" t="n"/>
      <c r="CS259" s="3" t="n"/>
      <c r="CT259" s="3" t="n"/>
      <c r="CU259" s="3" t="n"/>
      <c r="CV259" s="3" t="n"/>
      <c r="CW259" s="3" t="n"/>
      <c r="CX259" s="3" t="n"/>
      <c r="CY259" s="3" t="n"/>
    </row>
    <row r="260" customFormat="1" s="32">
      <c r="A260" s="30" t="n"/>
      <c r="B260" s="30" t="n"/>
      <c r="C260" s="31" t="inlineStr">
        <is>
          <t>Cash Flow Statement</t>
        </is>
      </c>
      <c r="D260" s="70" t="n"/>
      <c r="E260" s="70" t="n"/>
      <c r="F260" s="70" t="n"/>
      <c r="G260" s="70" t="n"/>
      <c r="H260" s="70" t="n"/>
      <c r="I260" s="70" t="str">
        <f>I127</f>
        <v>1Q21</v>
      </c>
      <c r="J260" s="70" t="str">
        <f>J127</f>
        <v>2Q21</v>
      </c>
      <c r="K260" s="70" t="str">
        <f>K127</f>
        <v>3Q21</v>
      </c>
      <c r="L260" s="70" t="str">
        <f>L127</f>
        <v>4Q21</v>
      </c>
      <c r="M260" s="70">
        <f>M127</f>
        <v>2021</v>
      </c>
      <c r="N260" s="70" t="str">
        <f>N127</f>
        <v>1Q22</v>
      </c>
      <c r="O260" s="70" t="str">
        <f>O127</f>
        <v>2Q22</v>
      </c>
      <c r="P260" s="70" t="str">
        <f>P127</f>
        <v>3Q22</v>
      </c>
      <c r="Q260" s="70" t="str">
        <f>Q127</f>
        <v>4Q22</v>
      </c>
      <c r="R260" s="70">
        <f>R127</f>
        <v>2022</v>
      </c>
      <c r="S260" s="70" t="str">
        <f>S127</f>
        <v>1Q23</v>
      </c>
      <c r="T260" s="70" t="str">
        <f>T127</f>
        <v>2Q23</v>
      </c>
      <c r="U260" s="70" t="str">
        <f>U127</f>
        <v>3Q23</v>
      </c>
      <c r="V260" s="70" t="str">
        <f>V127</f>
        <v>4Q23</v>
      </c>
      <c r="W260" s="70">
        <f>W127</f>
        <v>2023</v>
      </c>
      <c r="X260" s="70" t="str">
        <f>X127</f>
        <v>1Q24</v>
      </c>
      <c r="Y260" s="70" t="str">
        <f>Y127</f>
        <v>2Q24</v>
      </c>
      <c r="Z260" s="70" t="str">
        <f>Z127</f>
        <v>3Q24</v>
      </c>
      <c r="AA260" s="70" t="str">
        <f>AA127</f>
        <v>4Q24</v>
      </c>
      <c r="AB260" s="70">
        <f>AB127</f>
        <v>2024</v>
      </c>
      <c r="AC260" s="70" t="str">
        <f>AC127</f>
        <v>1Q25</v>
      </c>
      <c r="AD260" s="70" t="str">
        <f>AD127</f>
        <v>2Q25</v>
      </c>
      <c r="AE260" s="70" t="str">
        <f>AE127</f>
        <v>3Q25</v>
      </c>
      <c r="AF260" s="70" t="str">
        <f>AF127</f>
        <v>4Q25</v>
      </c>
      <c r="AG260" s="70">
        <f>AG127</f>
        <v>2025</v>
      </c>
      <c r="AH260" s="70" t="str">
        <f>AH127</f>
        <v>1Q26</v>
      </c>
      <c r="AI260" s="70" t="str">
        <f>AI127</f>
        <v>2Q26</v>
      </c>
      <c r="AJ260" s="70" t="str">
        <f>AJ127</f>
        <v>3Q26</v>
      </c>
      <c r="AK260" s="70" t="str">
        <f>AK127</f>
        <v>4Q26</v>
      </c>
      <c r="AL260" s="70">
        <f>AL127</f>
        <v>2026</v>
      </c>
      <c r="AM260" s="70" t="str">
        <f>AM127</f>
        <v>1Q27</v>
      </c>
      <c r="AN260" s="70" t="str">
        <f>AN127</f>
        <v>2Q27</v>
      </c>
      <c r="AO260" s="70" t="str">
        <f>AO127</f>
        <v>3Q27</v>
      </c>
      <c r="AP260" s="70" t="str">
        <f>AP127</f>
        <v>4Q27</v>
      </c>
      <c r="AQ260" s="70">
        <f>AQ127</f>
        <v>2027</v>
      </c>
      <c r="AR260" s="70" t="str">
        <f>AR127</f>
        <v>1Q28</v>
      </c>
      <c r="AS260" s="70" t="str">
        <f>AS127</f>
        <v>2Q28</v>
      </c>
      <c r="AT260" s="70" t="str">
        <f>AT127</f>
        <v>3Q28</v>
      </c>
      <c r="AU260" s="70" t="str">
        <f>AU127</f>
        <v>4Q28</v>
      </c>
      <c r="AV260" s="70">
        <f>AV127</f>
        <v>2028</v>
      </c>
      <c r="AW260" s="70" t="str">
        <f>AW127</f>
        <v>1Q29</v>
      </c>
      <c r="AX260" s="70" t="str">
        <f>AX127</f>
        <v>2Q29</v>
      </c>
      <c r="AY260" s="70" t="str">
        <f>AY127</f>
        <v>3Q29</v>
      </c>
      <c r="AZ260" s="70" t="str">
        <f>AZ127</f>
        <v>4Q29</v>
      </c>
      <c r="BA260" s="70">
        <f>BA127</f>
        <v>2029</v>
      </c>
      <c r="BB260" s="70" t="str">
        <f>BB127</f>
        <v>1Q30</v>
      </c>
      <c r="BC260" s="70" t="str">
        <f>BC127</f>
        <v>2Q30</v>
      </c>
      <c r="BD260" s="70" t="str">
        <f>BD127</f>
        <v>3Q30</v>
      </c>
      <c r="BE260" s="70" t="str">
        <f>BE127</f>
        <v>4Q30</v>
      </c>
      <c r="BF260" s="70">
        <f>BF127</f>
        <v>2030</v>
      </c>
      <c r="BG260" s="70" t="n"/>
      <c r="BH260" s="70" t="n"/>
      <c r="BI260" s="70" t="n"/>
      <c r="BJ260" s="70" t="n"/>
      <c r="BK260" s="70" t="n"/>
      <c r="BL260" s="70" t="n"/>
      <c r="BM260" s="70" t="n"/>
      <c r="BN260" s="70" t="n"/>
      <c r="BO260" s="70" t="n"/>
      <c r="BP260" s="70" t="n"/>
      <c r="BQ260" s="70" t="n"/>
      <c r="BR260" s="70" t="n"/>
      <c r="BS260" s="70" t="n"/>
      <c r="BT260" s="70" t="n"/>
      <c r="BU260" s="70" t="n"/>
      <c r="BV260" s="70" t="n"/>
      <c r="BW260" s="70" t="n"/>
      <c r="BX260" s="70" t="n"/>
      <c r="BY260" s="70" t="n"/>
      <c r="BZ260" s="70" t="n"/>
      <c r="CA260" s="70" t="n"/>
      <c r="CB260" s="70" t="n"/>
      <c r="CC260" s="70" t="n"/>
      <c r="CD260" s="70" t="n"/>
      <c r="CE260" s="70" t="n"/>
      <c r="CF260" s="70" t="n"/>
      <c r="CG260" s="70" t="n"/>
      <c r="CH260" s="70" t="n"/>
      <c r="CI260" s="70" t="n"/>
      <c r="CJ260" s="70" t="n"/>
      <c r="CK260" s="70" t="n"/>
      <c r="CL260" s="70" t="n"/>
      <c r="CM260" s="70" t="n"/>
      <c r="CN260" s="70" t="n"/>
      <c r="CO260" s="70" t="n"/>
      <c r="CP260" s="70" t="n"/>
      <c r="CQ260" s="70" t="n"/>
      <c r="CR260" s="70" t="n"/>
      <c r="CS260" s="70" t="n"/>
      <c r="CT260" s="70" t="n"/>
      <c r="CU260" s="70" t="n"/>
      <c r="CV260" s="70" t="n"/>
      <c r="CW260" s="70" t="n"/>
      <c r="CX260" s="70" t="n"/>
      <c r="CY260" s="70" t="n"/>
    </row>
    <row r="261">
      <c r="C261" s="18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3" t="n"/>
      <c r="AX261" s="3" t="n"/>
      <c r="AY261" s="3" t="n"/>
      <c r="AZ261" s="3" t="n"/>
      <c r="BA261" s="3" t="n"/>
      <c r="BB261" s="3" t="n"/>
      <c r="BC261" s="3" t="n"/>
      <c r="BD261" s="3" t="n"/>
      <c r="BE261" s="3" t="n"/>
      <c r="BF261" s="3" t="n"/>
      <c r="BG261" s="3" t="n"/>
      <c r="BH261" s="3" t="n"/>
      <c r="BI261" s="3" t="n"/>
      <c r="BJ261" s="3" t="n"/>
      <c r="BK261" s="3" t="n"/>
      <c r="BL261" s="3" t="n"/>
      <c r="BM261" s="3" t="n"/>
      <c r="BN261" s="3" t="n"/>
      <c r="BO261" s="3" t="n"/>
      <c r="BP261" s="3" t="n"/>
      <c r="BQ261" s="3" t="n"/>
      <c r="BR261" s="3" t="n"/>
      <c r="BS261" s="3" t="n"/>
      <c r="BT261" s="3" t="n"/>
      <c r="BU261" s="3" t="n"/>
      <c r="BV261" s="3" t="n"/>
      <c r="BW261" s="3" t="n"/>
      <c r="BX261" s="3" t="n"/>
      <c r="BY261" s="3" t="n"/>
      <c r="BZ261" s="3" t="n"/>
      <c r="CA261" s="3" t="n"/>
      <c r="CB261" s="3" t="n"/>
      <c r="CC261" s="3" t="n"/>
      <c r="CD261" s="3" t="n"/>
      <c r="CE261" s="3" t="n"/>
      <c r="CF261" s="3" t="n"/>
      <c r="CG261" s="3" t="n"/>
      <c r="CH261" s="3" t="n"/>
      <c r="CI261" s="3" t="n"/>
      <c r="CJ261" s="3" t="n"/>
      <c r="CK261" s="3" t="n"/>
      <c r="CL261" s="3" t="n"/>
      <c r="CM261" s="3" t="n"/>
      <c r="CN261" s="3" t="n"/>
      <c r="CO261" s="3" t="n"/>
      <c r="CP261" s="3" t="n"/>
      <c r="CQ261" s="3" t="n"/>
      <c r="CR261" s="3" t="n"/>
      <c r="CS261" s="3" t="n"/>
      <c r="CT261" s="3" t="n"/>
      <c r="CU261" s="3" t="n"/>
      <c r="CV261" s="3" t="n"/>
      <c r="CW261" s="3" t="n"/>
      <c r="CX261" s="3" t="n"/>
      <c r="CY261" s="3" t="n"/>
    </row>
    <row r="262">
      <c r="C262" s="10" t="inlineStr">
        <is>
          <t>Net Income</t>
        </is>
      </c>
      <c r="D262" s="12" t="n"/>
      <c r="E262" s="12" t="n"/>
      <c r="F262" s="12" t="n"/>
      <c r="G262" s="12" t="n"/>
      <c r="H262" s="12" t="n"/>
      <c r="I262" s="12" t="n"/>
      <c r="J262" s="12">
        <f>J122</f>
        <v>-1131</v>
      </c>
      <c r="K262" s="12">
        <f>K122</f>
        <v>1257</v>
      </c>
      <c r="L262" s="12">
        <f>L122</f>
        <v>-3843</v>
      </c>
      <c r="M262" s="12" t="n"/>
      <c r="N262" s="12">
        <f>N122</f>
        <v>-1136</v>
      </c>
      <c r="O262" s="12">
        <f>O122</f>
        <v>-882</v>
      </c>
      <c r="P262" s="12">
        <f>P122</f>
        <v>161</v>
      </c>
      <c r="Q262" s="12">
        <f>Q122</f>
        <v>2197</v>
      </c>
      <c r="R262" s="12">
        <f>SUM(N262:Q262)</f>
        <v>340</v>
      </c>
      <c r="S262" s="12">
        <f>S122</f>
        <v>7508</v>
      </c>
      <c r="T262" s="12">
        <f>T122</f>
        <v>33</v>
      </c>
      <c r="U262" s="12">
        <f>U122</f>
        <v>352</v>
      </c>
      <c r="V262" s="12">
        <f>V122</f>
        <v>1589</v>
      </c>
      <c r="W262" s="12">
        <f>SUM(S262:V262)</f>
        <v>9482</v>
      </c>
      <c r="X262" s="12">
        <f>X122</f>
        <v>1539</v>
      </c>
      <c r="Y262" s="12">
        <f>Y122</f>
        <v>1266</v>
      </c>
      <c r="Z262" s="12">
        <f>Z122</f>
        <v>1852</v>
      </c>
      <c r="AA262" s="12">
        <f>AA122</f>
        <v>1899</v>
      </c>
      <c r="AB262" s="12">
        <f>SUM(X262:AA262)</f>
        <v>6556</v>
      </c>
      <c r="AC262" s="12">
        <f>AC122</f>
        <v>1978</v>
      </c>
      <c r="AD262" s="12">
        <f>AD122</f>
        <v>2028</v>
      </c>
      <c r="AE262" s="12">
        <f>AE122</f>
        <v>2157</v>
      </c>
      <c r="AF262" s="12">
        <f>AF122</f>
        <v>2541</v>
      </c>
      <c r="AG262" s="12">
        <f>SUM(AC262:AF262)</f>
        <v>8704</v>
      </c>
      <c r="AH262" s="12">
        <f>AH122</f>
        <v>1904</v>
      </c>
      <c r="AI262" s="12">
        <f>AI122</f>
        <v>2370</v>
      </c>
      <c r="AJ262" s="12">
        <f>AJ122</f>
        <v>2873.62059180864</v>
      </c>
      <c r="AK262" s="12">
        <f>AK122</f>
        <v>3000.06839061082</v>
      </c>
      <c r="AL262" s="12">
        <f>SUM(AH262:AK262)</f>
        <v>10147.6889824195</v>
      </c>
      <c r="AM262" s="12">
        <f>AM122</f>
        <v>2923.39761708338</v>
      </c>
      <c r="AN262" s="12">
        <f>AN122</f>
        <v>3149.16355636266</v>
      </c>
      <c r="AO262" s="12">
        <f>AO122</f>
        <v>3445.33835253588</v>
      </c>
      <c r="AP262" s="12">
        <f>AP122</f>
        <v>3596.94342247752</v>
      </c>
      <c r="AQ262" s="12">
        <f>SUM(AM262:AP262)</f>
        <v>13114.8429484594</v>
      </c>
      <c r="AR262" s="12">
        <f>AR122</f>
        <v>3490.401718476</v>
      </c>
      <c r="AS262" s="12">
        <f>AS122</f>
        <v>3759.95582149258</v>
      </c>
      <c r="AT262" s="12">
        <f>AT122</f>
        <v>4113.57484734499</v>
      </c>
      <c r="AU262" s="12">
        <f>AU122</f>
        <v>4294.58429797933</v>
      </c>
      <c r="AV262" s="12">
        <f>SUM(AR262:AU262)</f>
        <v>15658.5166852929</v>
      </c>
      <c r="AW262" s="12">
        <f>AW122</f>
        <v>4149.92641613756</v>
      </c>
      <c r="AX262" s="12">
        <f>AX122</f>
        <v>4470.41379349744</v>
      </c>
      <c r="AY262" s="12">
        <f>AY122</f>
        <v>4890.85048101846</v>
      </c>
      <c r="AZ262" s="12">
        <f>AZ122</f>
        <v>5106.06235671224</v>
      </c>
      <c r="BA262" s="12">
        <f>SUM(AW262:AZ262)</f>
        <v>18617.2530473657</v>
      </c>
      <c r="BB262" s="12">
        <f>BB122</f>
        <v>4913.32118509615</v>
      </c>
      <c r="BC262" s="12">
        <f>BC122</f>
        <v>5292.76343607558</v>
      </c>
      <c r="BD262" s="12">
        <f>BD122</f>
        <v>5790.54105347038</v>
      </c>
      <c r="BE262" s="12">
        <f>BE122</f>
        <v>6045.34197331769</v>
      </c>
      <c r="BF262" s="12">
        <f>SUM(BB262:BE262)</f>
        <v>22041.9676479598</v>
      </c>
      <c r="BG262" s="12" t="n"/>
      <c r="BH262" s="12" t="n"/>
      <c r="BI262" s="12" t="n"/>
      <c r="BJ262" s="12" t="n"/>
      <c r="BK262" s="12" t="n"/>
      <c r="BL262" s="12" t="n"/>
      <c r="BM262" s="12" t="n"/>
      <c r="BN262" s="12" t="n"/>
      <c r="BO262" s="12" t="n"/>
      <c r="BP262" s="12" t="n"/>
      <c r="BQ262" s="12" t="n"/>
      <c r="BR262" s="12" t="n"/>
      <c r="BS262" s="12" t="n"/>
      <c r="BT262" s="12" t="n"/>
      <c r="BU262" s="12" t="n"/>
      <c r="BV262" s="12" t="n"/>
      <c r="BW262" s="12" t="n"/>
      <c r="BX262" s="12" t="n"/>
      <c r="BY262" s="12" t="n"/>
      <c r="BZ262" s="12" t="n"/>
      <c r="CA262" s="12" t="n"/>
      <c r="CB262" s="12" t="n"/>
      <c r="CC262" s="12" t="n"/>
      <c r="CD262" s="12" t="n"/>
      <c r="CE262" s="12" t="n"/>
      <c r="CF262" s="12" t="n"/>
      <c r="CG262" s="12" t="n"/>
      <c r="CH262" s="12" t="n"/>
      <c r="CI262" s="12" t="n"/>
      <c r="CJ262" s="12" t="n"/>
      <c r="CK262" s="12" t="n"/>
      <c r="CL262" s="12" t="n"/>
      <c r="CM262" s="12" t="n"/>
      <c r="CN262" s="12" t="n"/>
      <c r="CO262" s="12" t="n"/>
      <c r="CP262" s="12" t="n"/>
      <c r="CQ262" s="12" t="n"/>
      <c r="CR262" s="12" t="n"/>
      <c r="CS262" s="12" t="n"/>
      <c r="CT262" s="12" t="n"/>
      <c r="CU262" s="12" t="n"/>
      <c r="CV262" s="12" t="n"/>
      <c r="CW262" s="12" t="n"/>
      <c r="CX262" s="12" t="n"/>
      <c r="CY262" s="12" t="n"/>
    </row>
    <row r="263">
      <c r="C263" s="10" t="inlineStr">
        <is>
          <t>Depreciation &amp; amortization</t>
        </is>
      </c>
      <c r="D263" s="12" t="n"/>
      <c r="E263" s="12" t="n"/>
      <c r="F263" s="12" t="n"/>
      <c r="G263" s="12" t="n"/>
      <c r="H263" s="12" t="n"/>
      <c r="I263" s="12" t="n"/>
      <c r="J263" s="12">
        <f>-J55</f>
        <v>483</v>
      </c>
      <c r="K263" s="12">
        <f>-K55</f>
        <v>455</v>
      </c>
      <c r="L263" s="12">
        <f>-L55</f>
        <v>481</v>
      </c>
      <c r="M263" s="12" t="n"/>
      <c r="N263" s="12">
        <f>-N55</f>
        <v>460</v>
      </c>
      <c r="O263" s="12">
        <f>-O55</f>
        <v>443</v>
      </c>
      <c r="P263" s="12">
        <f>-P55</f>
        <v>407</v>
      </c>
      <c r="Q263" s="12">
        <f>-Q55</f>
        <v>492</v>
      </c>
      <c r="R263" s="12">
        <f>SUM(N263:Q263)</f>
        <v>1802</v>
      </c>
      <c r="S263" s="12">
        <f>-S55</f>
        <v>367</v>
      </c>
      <c r="T263" s="12">
        <f>-T55</f>
        <v>352</v>
      </c>
      <c r="U263" s="12">
        <f>-U55</f>
        <v>378</v>
      </c>
      <c r="V263" s="12">
        <f>-V55</f>
        <v>376</v>
      </c>
      <c r="W263" s="12">
        <f>SUM(S263:V263)</f>
        <v>1473</v>
      </c>
      <c r="X263" s="12">
        <f>-X55</f>
        <v>378</v>
      </c>
      <c r="Y263" s="12">
        <f>-Y55</f>
        <v>199</v>
      </c>
      <c r="Z263" s="12">
        <f>-Z55</f>
        <v>224</v>
      </c>
      <c r="AA263" s="12">
        <f>-AA55</f>
        <v>209</v>
      </c>
      <c r="AB263" s="12">
        <f>SUM(X263:AA263)</f>
        <v>1010</v>
      </c>
      <c r="AC263" s="12">
        <f>-AC55</f>
        <v>210</v>
      </c>
      <c r="AD263" s="12">
        <f>-AD55</f>
        <v>219</v>
      </c>
      <c r="AE263" s="12">
        <f>-AE55</f>
        <v>214</v>
      </c>
      <c r="AF263" s="12">
        <f>-AF55</f>
        <v>220</v>
      </c>
      <c r="AG263" s="12">
        <f>SUM(AC263:AF263)</f>
        <v>863</v>
      </c>
      <c r="AH263" s="12">
        <f>-AH55</f>
        <v>227</v>
      </c>
      <c r="AI263" s="12">
        <f>-AI55</f>
        <v>224</v>
      </c>
      <c r="AJ263" s="12">
        <f>-AJ55</f>
        <v>270.113113684109</v>
      </c>
      <c r="AK263" s="12">
        <f>-AK55</f>
        <v>281.998888984551</v>
      </c>
      <c r="AL263" s="12">
        <f>SUM(AH263:AK263)</f>
        <v>1003.11200266866</v>
      </c>
      <c r="AM263" s="12">
        <f>-AM55</f>
        <v>274.792028960963</v>
      </c>
      <c r="AN263" s="12">
        <f>-AN55</f>
        <v>296.013459861192</v>
      </c>
      <c r="AO263" s="12">
        <f>-AO55</f>
        <v>323.853146358828</v>
      </c>
      <c r="AP263" s="12">
        <f>-AP55</f>
        <v>338.103641921453</v>
      </c>
      <c r="AQ263" s="12">
        <f>SUM(AM263:AP263)</f>
        <v>1232.76227710244</v>
      </c>
      <c r="AR263" s="12">
        <f>-AR55</f>
        <v>328.088989504534</v>
      </c>
      <c r="AS263" s="12">
        <f>-AS55</f>
        <v>353.426397748227</v>
      </c>
      <c r="AT263" s="12">
        <f>-AT55</f>
        <v>386.665697467616</v>
      </c>
      <c r="AU263" s="12">
        <f>-AU55</f>
        <v>403.680130916647</v>
      </c>
      <c r="AV263" s="12">
        <f>SUM(AR263:AU263)</f>
        <v>1471.86121563702</v>
      </c>
      <c r="AW263" s="12">
        <f>-AW55</f>
        <v>390.082653575827</v>
      </c>
      <c r="AX263" s="12">
        <f>-AX55</f>
        <v>420.207661602947</v>
      </c>
      <c r="AY263" s="12">
        <f>-AY55</f>
        <v>459.727653593908</v>
      </c>
      <c r="AZ263" s="12">
        <f>-AZ55</f>
        <v>479.957029041435</v>
      </c>
      <c r="BA263" s="12">
        <f>SUM(AW263:AZ263)</f>
        <v>1749.97499781412</v>
      </c>
      <c r="BB263" s="12">
        <f>-BB55</f>
        <v>461.839843304129</v>
      </c>
      <c r="BC263" s="12">
        <f>-BC55</f>
        <v>497.506461286864</v>
      </c>
      <c r="BD263" s="12">
        <f>-BD55</f>
        <v>544.296306313741</v>
      </c>
      <c r="BE263" s="12">
        <f>-BE55</f>
        <v>568.24695241703</v>
      </c>
      <c r="BF263" s="12">
        <f>SUM(BB263:BE263)</f>
        <v>2071.88956332176</v>
      </c>
      <c r="BG263" s="12" t="n"/>
      <c r="BH263" s="12" t="n"/>
      <c r="BI263" s="12" t="n"/>
      <c r="BJ263" s="12" t="n"/>
      <c r="BK263" s="12" t="n"/>
      <c r="BL263" s="12" t="n"/>
      <c r="BM263" s="12" t="n"/>
      <c r="BN263" s="12" t="n"/>
      <c r="BO263" s="12" t="n"/>
      <c r="BP263" s="12" t="n"/>
      <c r="BQ263" s="12" t="n"/>
      <c r="BR263" s="12" t="n"/>
      <c r="BS263" s="12" t="n"/>
      <c r="BT263" s="12" t="n"/>
      <c r="BU263" s="12" t="n"/>
      <c r="BV263" s="12" t="n"/>
      <c r="BW263" s="12" t="n"/>
      <c r="BX263" s="12" t="n"/>
      <c r="BY263" s="12" t="n"/>
      <c r="BZ263" s="12" t="n"/>
      <c r="CA263" s="12" t="n"/>
      <c r="CB263" s="12" t="n"/>
      <c r="CC263" s="12" t="n"/>
      <c r="CD263" s="12" t="n"/>
      <c r="CE263" s="12" t="n"/>
      <c r="CF263" s="12" t="n"/>
      <c r="CG263" s="12" t="n"/>
      <c r="CH263" s="12" t="n"/>
      <c r="CI263" s="12" t="n"/>
      <c r="CJ263" s="12" t="n"/>
      <c r="CK263" s="12" t="n"/>
      <c r="CL263" s="12" t="n"/>
      <c r="CM263" s="12" t="n"/>
      <c r="CN263" s="12" t="n"/>
      <c r="CO263" s="12" t="n"/>
      <c r="CP263" s="12" t="n"/>
      <c r="CQ263" s="12" t="n"/>
      <c r="CR263" s="12" t="n"/>
      <c r="CS263" s="12" t="n"/>
      <c r="CT263" s="12" t="n"/>
      <c r="CU263" s="12" t="n"/>
      <c r="CV263" s="12" t="n"/>
      <c r="CW263" s="12" t="n"/>
      <c r="CX263" s="12" t="n"/>
      <c r="CY263" s="12" t="n"/>
    </row>
    <row r="264">
      <c r="C264" s="10" t="inlineStr">
        <is>
          <t xml:space="preserve">Changes in working capital </t>
        </is>
      </c>
      <c r="D264" s="12" t="n"/>
      <c r="E264" s="12" t="n"/>
      <c r="F264" s="12" t="n"/>
      <c r="G264" s="12" t="n"/>
      <c r="H264" s="12" t="n"/>
      <c r="I264" s="12" t="n"/>
      <c r="J264" s="12">
        <f>SUM(J265:J274)</f>
        <v>-34</v>
      </c>
      <c r="K264" s="12">
        <f>SUM(K265:K274)</f>
        <v>1586</v>
      </c>
      <c r="L264" s="12">
        <f>SUM(L265:L274)</f>
        <v>27041</v>
      </c>
      <c r="M264" s="12" t="n"/>
      <c r="N264" s="12">
        <f>SUM(N265:N274)</f>
        <v>1158</v>
      </c>
      <c r="O264" s="12">
        <f>SUM(O265:O274)</f>
        <v>3197</v>
      </c>
      <c r="P264" s="12">
        <f>SUM(P265:P274)</f>
        <v>865</v>
      </c>
      <c r="Q264" s="12">
        <f>SUM(Q265:Q274)</f>
        <v>1134</v>
      </c>
      <c r="R264" s="12">
        <f>SUM(N264:Q264)</f>
        <v>6354</v>
      </c>
      <c r="S264" s="12">
        <f>SUM(S265:S274)</f>
        <v>-5231</v>
      </c>
      <c r="T264" s="12">
        <f>SUM(T265:T274)</f>
        <v>1138</v>
      </c>
      <c r="U264" s="12">
        <f>SUM(U265:U274)</f>
        <v>4862</v>
      </c>
      <c r="V264" s="12">
        <f>SUM(V265:V274)</f>
        <v>2929</v>
      </c>
      <c r="W264" s="12">
        <f>SUM(S264:V264)</f>
        <v>3698</v>
      </c>
      <c r="X264" s="12">
        <f>SUM(X265:X274)</f>
        <v>2380</v>
      </c>
      <c r="Y264" s="12">
        <f>SUM(Y265:Y274)</f>
        <v>-130</v>
      </c>
      <c r="Z264" s="12">
        <f>SUM(Z265:Z274)</f>
        <v>1528</v>
      </c>
      <c r="AA264" s="12">
        <f>SUM(AA265:AA274)</f>
        <v>1231</v>
      </c>
      <c r="AB264" s="12">
        <f>SUM(X264:AA264)</f>
        <v>5009</v>
      </c>
      <c r="AC264" s="12">
        <f>SUM(AC265:AC274)</f>
        <v>-495</v>
      </c>
      <c r="AD264" s="12">
        <f>SUM(AD265:AD274)</f>
        <v>15</v>
      </c>
      <c r="AE264" s="12">
        <f>SUM(AE265:AE274)</f>
        <v>-28</v>
      </c>
      <c r="AF264" s="12">
        <f>SUM(AF265:AF274)</f>
        <v>912</v>
      </c>
      <c r="AG264" s="12">
        <f>SUM(AC264:AF264)</f>
        <v>404</v>
      </c>
      <c r="AH264" s="12">
        <f>SUM(AH265:AH274)</f>
        <v>-62</v>
      </c>
      <c r="AI264" s="12">
        <f>SUM(AI265:AI274)</f>
        <v>-420</v>
      </c>
      <c r="AJ264" s="12">
        <f>SUM(AJ265:AJ274)</f>
        <v>-1889.23889597724</v>
      </c>
      <c r="AK264" s="12">
        <f>SUM(AK265:AK274)</f>
        <v>-698.20540581593</v>
      </c>
      <c r="AL264" s="12">
        <f>SUM(AH264:AK264)</f>
        <v>-3069.44430179317</v>
      </c>
      <c r="AM264" s="12">
        <f>SUM(AM265:AM274)</f>
        <v>64.638999634617</v>
      </c>
      <c r="AN264" s="12">
        <f>SUM(AN265:AN274)</f>
        <v>-1078.98075093695</v>
      </c>
      <c r="AO264" s="12">
        <f>SUM(AO265:AO274)</f>
        <v>-1444.30045052734</v>
      </c>
      <c r="AP264" s="12">
        <f>SUM(AP265:AP274)</f>
        <v>-837.116030370404</v>
      </c>
      <c r="AQ264" s="12">
        <f>SUM(AM264:AP264)</f>
        <v>-3295.75823220007</v>
      </c>
      <c r="AR264" s="12">
        <f>SUM(AR265:AR274)</f>
        <v>376.499897259619</v>
      </c>
      <c r="AS264" s="12">
        <f>SUM(AS265:AS274)</f>
        <v>-1504.74987276905</v>
      </c>
      <c r="AT264" s="12">
        <f>SUM(AT265:AT274)</f>
        <v>-1724.42802342632</v>
      </c>
      <c r="AU264" s="12">
        <f>SUM(AU265:AU274)</f>
        <v>-999.477872559724</v>
      </c>
      <c r="AV264" s="12">
        <f>SUM(AR264:AU264)</f>
        <v>-3852.15587149547</v>
      </c>
      <c r="AW264" s="12">
        <f>SUM(AW265:AW274)</f>
        <v>289.542428211968</v>
      </c>
      <c r="AX264" s="12">
        <f>SUM(AX265:AX274)</f>
        <v>-1531.67352078658</v>
      </c>
      <c r="AY264" s="12">
        <f>SUM(AY265:AY274)</f>
        <v>-2050.26526581855</v>
      </c>
      <c r="AZ264" s="12">
        <f>SUM(AZ265:AZ274)</f>
        <v>-1188.3330230228</v>
      </c>
      <c r="BA264" s="12">
        <f>SUM(AW264:AZ264)</f>
        <v>-4480.72938141596</v>
      </c>
      <c r="BB264" s="12">
        <f>SUM(BB265:BB274)</f>
        <v>461.371652611477</v>
      </c>
      <c r="BC264" s="12">
        <f>SUM(BC265:BC274)</f>
        <v>-1813.43069820881</v>
      </c>
      <c r="BD264" s="12">
        <f>SUM(BD265:BD274)</f>
        <v>-2427.4193697605</v>
      </c>
      <c r="BE264" s="12">
        <f>SUM(BE265:BE274)</f>
        <v>-1406.93140829265</v>
      </c>
      <c r="BF264" s="12">
        <f>SUM(BB264:BE264)</f>
        <v>-5186.40982365048</v>
      </c>
      <c r="BG264" s="12" t="n"/>
      <c r="BH264" s="12" t="n"/>
      <c r="BI264" s="12" t="n"/>
      <c r="BJ264" s="12" t="n"/>
      <c r="BK264" s="12" t="n"/>
      <c r="BL264" s="12" t="n"/>
      <c r="BM264" s="12" t="n"/>
      <c r="BN264" s="12" t="n"/>
      <c r="BO264" s="12" t="n"/>
      <c r="BP264" s="12" t="n"/>
      <c r="BQ264" s="12" t="n"/>
      <c r="BR264" s="12" t="n"/>
      <c r="BS264" s="12" t="n"/>
      <c r="BT264" s="12" t="n"/>
      <c r="BU264" s="12" t="n"/>
      <c r="BV264" s="12" t="n"/>
      <c r="BW264" s="12" t="n"/>
      <c r="BX264" s="12" t="n"/>
      <c r="BY264" s="12" t="n"/>
      <c r="BZ264" s="12" t="n"/>
      <c r="CA264" s="12" t="n"/>
      <c r="CB264" s="12" t="n"/>
      <c r="CC264" s="12" t="n"/>
      <c r="CD264" s="12" t="n"/>
      <c r="CE264" s="12" t="n"/>
      <c r="CF264" s="12" t="n"/>
      <c r="CG264" s="12" t="n"/>
      <c r="CH264" s="12" t="n"/>
      <c r="CI264" s="12" t="n"/>
      <c r="CJ264" s="12" t="n"/>
      <c r="CK264" s="12" t="n"/>
      <c r="CL264" s="12" t="n"/>
      <c r="CM264" s="12" t="n"/>
      <c r="CN264" s="12" t="n"/>
      <c r="CO264" s="12" t="n"/>
      <c r="CP264" s="12" t="n"/>
      <c r="CQ264" s="12" t="n"/>
      <c r="CR264" s="12" t="n"/>
      <c r="CS264" s="12" t="n"/>
      <c r="CT264" s="12" t="n"/>
      <c r="CU264" s="12" t="n"/>
      <c r="CV264" s="12" t="n"/>
      <c r="CW264" s="12" t="n"/>
      <c r="CX264" s="12" t="n"/>
      <c r="CY264" s="12" t="n"/>
    </row>
    <row r="265" hidden="1" outlineLevel="1">
      <c r="C265" s="10" t="inlineStr">
        <is>
          <t>Accounts receivable</t>
        </is>
      </c>
      <c r="D265" s="12" t="n"/>
      <c r="E265" s="12" t="n"/>
      <c r="F265" s="12" t="n"/>
      <c r="G265" s="12" t="n"/>
      <c r="H265" s="12" t="n"/>
      <c r="I265" s="12" t="n"/>
      <c r="J265" s="12">
        <f>(J130-I130)*-1</f>
        <v>191</v>
      </c>
      <c r="K265" s="12">
        <f>(K130-J130)*-1</f>
        <v>316</v>
      </c>
      <c r="L265" s="12">
        <f>(L130-K130)*-1</f>
        <v>-746</v>
      </c>
      <c r="M265" s="12" t="n"/>
      <c r="N265" s="12">
        <f>(N130-M130)*-1</f>
        <v>-430</v>
      </c>
      <c r="O265" s="12">
        <f>(O130-N130)*-1</f>
        <v>-233</v>
      </c>
      <c r="P265" s="12">
        <f>(P130-O130)*-1</f>
        <v>-914</v>
      </c>
      <c r="Q265" s="12">
        <f>(Q130-P130)*-1</f>
        <v>-779</v>
      </c>
      <c r="R265" s="12">
        <f>SUM(N265:Q265)</f>
        <v>-2356</v>
      </c>
      <c r="S265" s="12">
        <f>(S130-R130)*-1</f>
        <v>3764</v>
      </c>
      <c r="T265" s="12">
        <f>(T130-S130)*-1</f>
        <v>-555</v>
      </c>
      <c r="U265" s="12">
        <f>(U130-T130)*-1</f>
        <v>221</v>
      </c>
      <c r="V265" s="12">
        <f>(V130-U130)*-1</f>
        <v>-920</v>
      </c>
      <c r="W265" s="12">
        <f>SUM(S265:V265)</f>
        <v>2510</v>
      </c>
      <c r="X265" s="12">
        <f>(X130-W130)*-1</f>
        <v>366</v>
      </c>
      <c r="Y265" s="12">
        <f>(Y130-X130)*-1</f>
        <v>6730</v>
      </c>
      <c r="Z265" s="12">
        <f>(Z130-Y130)*-1</f>
        <v>-566</v>
      </c>
      <c r="AA265" s="12">
        <f>(AA130-Z130)*-1</f>
        <v>-391</v>
      </c>
      <c r="AB265" s="12">
        <f>SUM(X265:AA265)</f>
        <v>6139</v>
      </c>
      <c r="AC265" s="12">
        <f>(AC130-AB130)*-1</f>
        <v>-326</v>
      </c>
      <c r="AD265" s="12">
        <f>(AD130-AC130)*-1</f>
        <v>-859</v>
      </c>
      <c r="AE265" s="12">
        <f>(AE130-AD130)*-1</f>
        <v>-159</v>
      </c>
      <c r="AF265" s="12">
        <f>(AF130-AE130)*-1</f>
        <v>-1102</v>
      </c>
      <c r="AG265" s="12">
        <f>SUM(AC265:AF265)</f>
        <v>-2446</v>
      </c>
      <c r="AH265" s="12">
        <f>(AH130-AG130)*-1</f>
        <v>-693</v>
      </c>
      <c r="AI265" s="12">
        <f>(AI130-AH130)*-1</f>
        <v>106</v>
      </c>
      <c r="AJ265" s="12">
        <f>(AJ130-AI130)*-1</f>
        <v>-1259.93507231288</v>
      </c>
      <c r="AK265" s="12">
        <f>(AK130-AJ130)*-1</f>
        <v>-599.317395842683</v>
      </c>
      <c r="AL265" s="12">
        <f>SUM(AH265:AK265)</f>
        <v>-2446.25246815557</v>
      </c>
      <c r="AM265" s="12">
        <f>(AM130-AL130)*-1</f>
        <v>55.4840690263973</v>
      </c>
      <c r="AN265" s="12">
        <f>(AN130-AM130)*-1</f>
        <v>-926.162886207148</v>
      </c>
      <c r="AO265" s="12">
        <f>(AO130-AN130)*-1</f>
        <v>-1239.74174020168</v>
      </c>
      <c r="AP265" s="12">
        <f>(AP130-AO130)*-1</f>
        <v>-718.553874204776</v>
      </c>
      <c r="AQ265" s="12">
        <f>SUM(AM265:AP265)</f>
        <v>-2828.97443158721</v>
      </c>
      <c r="AR265" s="12">
        <f>(AR130-AQ130)*-1</f>
        <v>323.175581399264</v>
      </c>
      <c r="AS265" s="12">
        <f>(AS130-AR130)*-1</f>
        <v>-1291.62960875199</v>
      </c>
      <c r="AT265" s="12">
        <f>(AT130-AS130)*-1</f>
        <v>-1480.19437218518</v>
      </c>
      <c r="AU265" s="12">
        <f>(AU130-AT130)*-1</f>
        <v>-857.920134669934</v>
      </c>
      <c r="AV265" s="12">
        <f>SUM(AR265:AU265)</f>
        <v>-3306.56853420784</v>
      </c>
      <c r="AW265" s="12">
        <f>(AW130-AV130)*-1</f>
        <v>248.53404544924</v>
      </c>
      <c r="AX265" s="12">
        <f>(AX130-AW130)*-1</f>
        <v>-1314.74001506229</v>
      </c>
      <c r="AY265" s="12">
        <f>(AY130-AX130)*-1</f>
        <v>-1759.8827360283</v>
      </c>
      <c r="AZ265" s="12">
        <f>(AZ130-AY130)*-1</f>
        <v>-1020.0274114458</v>
      </c>
      <c r="BA265" s="12">
        <f>SUM(AW265:AZ265)</f>
        <v>-3846.11611708714</v>
      </c>
      <c r="BB265" s="12">
        <f>(BB130-BA130)*-1</f>
        <v>396.026806804242</v>
      </c>
      <c r="BC265" s="12">
        <f>(BC130-BB130)*-1</f>
        <v>-1556.59144793016</v>
      </c>
      <c r="BD265" s="12">
        <f>(BD130-BC130)*-1</f>
        <v>-2083.61986771338</v>
      </c>
      <c r="BE265" s="12">
        <f>(BE130-BD130)*-1</f>
        <v>-1207.66533848568</v>
      </c>
      <c r="BF265" s="12">
        <f>SUM(BB265:BE265)</f>
        <v>-4451.84984732498</v>
      </c>
      <c r="BG265" s="12" t="n"/>
      <c r="BH265" s="12" t="n"/>
      <c r="BI265" s="12" t="n"/>
      <c r="BJ265" s="12" t="n"/>
      <c r="BK265" s="12" t="n"/>
      <c r="BL265" s="12" t="n"/>
      <c r="BM265" s="12" t="n"/>
      <c r="BN265" s="12" t="n"/>
      <c r="BO265" s="12" t="n"/>
      <c r="BP265" s="12" t="n"/>
      <c r="BQ265" s="12" t="n"/>
      <c r="BR265" s="12" t="n"/>
      <c r="BS265" s="12" t="n"/>
      <c r="BT265" s="12" t="n"/>
      <c r="BU265" s="12" t="n"/>
      <c r="BV265" s="12" t="n"/>
      <c r="BW265" s="12" t="n"/>
      <c r="BX265" s="12" t="n"/>
      <c r="BY265" s="12" t="n"/>
      <c r="BZ265" s="12" t="n"/>
      <c r="CA265" s="12" t="n"/>
      <c r="CB265" s="12" t="n"/>
      <c r="CC265" s="12" t="n"/>
      <c r="CD265" s="12" t="n"/>
      <c r="CE265" s="12" t="n"/>
      <c r="CF265" s="12" t="n"/>
      <c r="CG265" s="12" t="n"/>
      <c r="CH265" s="12" t="n"/>
      <c r="CI265" s="12" t="n"/>
      <c r="CJ265" s="12" t="n"/>
      <c r="CK265" s="12" t="n"/>
      <c r="CL265" s="12" t="n"/>
      <c r="CM265" s="12" t="n"/>
      <c r="CN265" s="12" t="n"/>
      <c r="CO265" s="12" t="n"/>
      <c r="CP265" s="12" t="n"/>
      <c r="CQ265" s="12" t="n"/>
      <c r="CR265" s="12" t="n"/>
      <c r="CS265" s="12" t="n"/>
      <c r="CT265" s="12" t="n"/>
      <c r="CU265" s="12" t="n"/>
      <c r="CV265" s="12" t="n"/>
      <c r="CW265" s="12" t="n"/>
      <c r="CX265" s="12" t="n"/>
      <c r="CY265" s="12" t="n"/>
    </row>
    <row r="266" hidden="1" outlineLevel="1">
      <c r="C266" s="10" t="inlineStr">
        <is>
          <t>Inventories</t>
        </is>
      </c>
      <c r="D266" s="12" t="n"/>
      <c r="E266" s="12" t="n"/>
      <c r="F266" s="12" t="n"/>
      <c r="G266" s="12" t="n"/>
      <c r="H266" s="12" t="n"/>
      <c r="I266" s="12" t="n"/>
      <c r="J266" s="12">
        <f>(J134-I134)*-1</f>
        <v>-486</v>
      </c>
      <c r="K266" s="12">
        <f>(K134-J134)*-1</f>
        <v>226</v>
      </c>
      <c r="L266" s="12">
        <f>(L134-K134)*-1</f>
        <v>943</v>
      </c>
      <c r="M266" s="12" t="n"/>
      <c r="N266" s="12">
        <f>(N134-M134)*-1</f>
        <v>-723</v>
      </c>
      <c r="O266" s="12">
        <f>(O134-N134)*-1</f>
        <v>-983</v>
      </c>
      <c r="P266" s="12">
        <f>(P134-O134)*-1</f>
        <v>17</v>
      </c>
      <c r="Q266" s="12">
        <f>(Q134-P134)*-1</f>
        <v>133</v>
      </c>
      <c r="R266" s="12">
        <f>SUM(N266:Q266)</f>
        <v>-1556</v>
      </c>
      <c r="S266" s="12">
        <f>(S134-R134)*-1</f>
        <v>1205</v>
      </c>
      <c r="T266" s="12">
        <f>(T134-S134)*-1</f>
        <v>-591</v>
      </c>
      <c r="U266" s="12">
        <f>(U134-T134)*-1</f>
        <v>-231</v>
      </c>
      <c r="V266" s="12">
        <f>(V134-U134)*-1</f>
        <v>492</v>
      </c>
      <c r="W266" s="12">
        <f>SUM(S266:V266)</f>
        <v>875</v>
      </c>
      <c r="X266" s="12">
        <f>(X134-W134)*-1</f>
        <v>-1075</v>
      </c>
      <c r="Y266" s="12">
        <f>(Y134-X134)*-1</f>
        <v>8134</v>
      </c>
      <c r="Z266" s="12">
        <f>(Z134-Y134)*-1</f>
        <v>-249</v>
      </c>
      <c r="AA266" s="12">
        <f>(AA134-Z134)*-1</f>
        <v>-45</v>
      </c>
      <c r="AB266" s="12">
        <f>SUM(X266:AA266)</f>
        <v>6765</v>
      </c>
      <c r="AC266" s="12">
        <f>(AC134-AB134)*-1</f>
        <v>-741</v>
      </c>
      <c r="AD266" s="12">
        <f>(AD134-AC134)*-1</f>
        <v>-793</v>
      </c>
      <c r="AE266" s="12">
        <f>(AE134-AD134)*-1</f>
        <v>-370</v>
      </c>
      <c r="AF266" s="12">
        <f>(AF134-AE134)*-1</f>
        <v>-201</v>
      </c>
      <c r="AG266" s="12">
        <f>SUM(AC266:AF266)</f>
        <v>-2105</v>
      </c>
      <c r="AH266" s="12">
        <f>(AH134-AG134)*-1</f>
        <v>-499</v>
      </c>
      <c r="AI266" s="12">
        <f>(AI134-AH134)*-1</f>
        <v>-73</v>
      </c>
      <c r="AJ266" s="12">
        <f>(AJ134-AI134)*-1</f>
        <v>-1795.82604276126</v>
      </c>
      <c r="AK266" s="12">
        <f>(AK134-AJ134)*-1</f>
        <v>-626.41841876037</v>
      </c>
      <c r="AL266" s="12">
        <f>SUM(AH266:AK266)</f>
        <v>-2994.24446152163</v>
      </c>
      <c r="AM266" s="12">
        <f>(AM134-AL134)*-1</f>
        <v>57.9930484698107</v>
      </c>
      <c r="AN266" s="12">
        <f>(AN134-AM134)*-1</f>
        <v>-968.043802360626</v>
      </c>
      <c r="AO266" s="12">
        <f>(AO134-AN134)*-1</f>
        <v>-1295.80263472315</v>
      </c>
      <c r="AP266" s="12">
        <f>(AP134-AO134)*-1</f>
        <v>-751.046748844328</v>
      </c>
      <c r="AQ266" s="12">
        <f>SUM(AM266:AP266)</f>
        <v>-2956.90013745829</v>
      </c>
      <c r="AR266" s="12">
        <f>(AR134-AQ134)*-1</f>
        <v>337.789522023541</v>
      </c>
      <c r="AS266" s="12">
        <f>(AS134-AR134)*-1</f>
        <v>-1350.03686318974</v>
      </c>
      <c r="AT266" s="12">
        <f>(AT134-AS134)*-1</f>
        <v>-1547.12849070316</v>
      </c>
      <c r="AU266" s="12">
        <f>(AU134-AT134)*-1</f>
        <v>-896.715126092709</v>
      </c>
      <c r="AV266" s="12">
        <f>SUM(AR266:AU266)</f>
        <v>-3456.09095796206</v>
      </c>
      <c r="AW266" s="12">
        <f>(AW134-AV134)*-1</f>
        <v>259.772709483139</v>
      </c>
      <c r="AX266" s="12">
        <f>(AX134-AW134)*-1</f>
        <v>-1374.19231784235</v>
      </c>
      <c r="AY266" s="12">
        <f>(AY134-AX134)*-1</f>
        <v>-1839.46431115425</v>
      </c>
      <c r="AZ266" s="12">
        <f>(AZ134-AY134)*-1</f>
        <v>-1066.15286424597</v>
      </c>
      <c r="BA266" s="12">
        <f>SUM(AW266:AZ266)</f>
        <v>-4020.03678375943</v>
      </c>
      <c r="BB266" s="12">
        <f>(BB134-BA134)*-1</f>
        <v>413.935066503815</v>
      </c>
      <c r="BC266" s="12">
        <f>(BC134-BB134)*-1</f>
        <v>-1626.98022822664</v>
      </c>
      <c r="BD266" s="12">
        <f>(BD134-BC134)*-1</f>
        <v>-2177.84077666472</v>
      </c>
      <c r="BE266" s="12">
        <f>(BE134-BD134)*-1</f>
        <v>-1262.27574399407</v>
      </c>
      <c r="BF266" s="12">
        <f>SUM(BB266:BE266)</f>
        <v>-4653.16168238161</v>
      </c>
      <c r="BG266" s="12" t="n"/>
      <c r="BH266" s="12" t="n"/>
      <c r="BI266" s="12" t="n"/>
      <c r="BJ266" s="12" t="n"/>
      <c r="BK266" s="12" t="n"/>
      <c r="BL266" s="12" t="n"/>
      <c r="BM266" s="12" t="n"/>
      <c r="BN266" s="12" t="n"/>
      <c r="BO266" s="12" t="n"/>
      <c r="BP266" s="12" t="n"/>
      <c r="BQ266" s="12" t="n"/>
      <c r="BR266" s="12" t="n"/>
      <c r="BS266" s="12" t="n"/>
      <c r="BT266" s="12" t="n"/>
      <c r="BU266" s="12" t="n"/>
      <c r="BV266" s="12" t="n"/>
      <c r="BW266" s="12" t="n"/>
      <c r="BX266" s="12" t="n"/>
      <c r="BY266" s="12" t="n"/>
      <c r="BZ266" s="12" t="n"/>
      <c r="CA266" s="12" t="n"/>
      <c r="CB266" s="12" t="n"/>
      <c r="CC266" s="12" t="n"/>
      <c r="CD266" s="12" t="n"/>
      <c r="CE266" s="12" t="n"/>
      <c r="CF266" s="12" t="n"/>
      <c r="CG266" s="12" t="n"/>
      <c r="CH266" s="12" t="n"/>
      <c r="CI266" s="12" t="n"/>
      <c r="CJ266" s="12" t="n"/>
      <c r="CK266" s="12" t="n"/>
      <c r="CL266" s="12" t="n"/>
      <c r="CM266" s="12" t="n"/>
      <c r="CN266" s="12" t="n"/>
      <c r="CO266" s="12" t="n"/>
      <c r="CP266" s="12" t="n"/>
      <c r="CQ266" s="12" t="n"/>
      <c r="CR266" s="12" t="n"/>
      <c r="CS266" s="12" t="n"/>
      <c r="CT266" s="12" t="n"/>
      <c r="CU266" s="12" t="n"/>
      <c r="CV266" s="12" t="n"/>
      <c r="CW266" s="12" t="n"/>
      <c r="CX266" s="12" t="n"/>
      <c r="CY266" s="12" t="n"/>
    </row>
    <row r="267" hidden="1" outlineLevel="1">
      <c r="C267" s="10" t="inlineStr">
        <is>
          <t>Deferred income taxes</t>
        </is>
      </c>
      <c r="D267" s="12" t="n"/>
      <c r="E267" s="12" t="n"/>
      <c r="F267" s="12" t="n"/>
      <c r="G267" s="12" t="n"/>
      <c r="H267" s="12" t="n"/>
      <c r="I267" s="12" t="n"/>
      <c r="J267" s="12">
        <f>(J138-I138)*-1</f>
        <v>-632</v>
      </c>
      <c r="K267" s="12">
        <f>(K138-J138)*-1</f>
        <v>398</v>
      </c>
      <c r="L267" s="12">
        <f>(L138-K138)*-1</f>
        <v>3611</v>
      </c>
      <c r="M267" s="12" t="n"/>
      <c r="N267" s="12">
        <f>(N138-M138)*-1</f>
        <v>272</v>
      </c>
      <c r="O267" s="12">
        <f>(O138-N138)*-1</f>
        <v>-373</v>
      </c>
      <c r="P267" s="12">
        <f>(P138-O138)*-1</f>
        <v>-548</v>
      </c>
      <c r="Q267" s="12">
        <f>(Q138-P138)*-1</f>
        <v>-201</v>
      </c>
      <c r="R267" s="12">
        <f>SUM(N267:Q267)</f>
        <v>-850</v>
      </c>
      <c r="S267" s="12">
        <f>(S138-R138)*-1</f>
        <v>1361</v>
      </c>
      <c r="T267" s="12">
        <f>(T138-S138)*-1</f>
        <v>-10</v>
      </c>
      <c r="U267" s="12">
        <f>(U138-T138)*-1</f>
        <v>119</v>
      </c>
      <c r="V267" s="12">
        <f>(V138-U138)*-1</f>
        <v>-340</v>
      </c>
      <c r="W267" s="12">
        <f>SUM(S267:V267)</f>
        <v>1130</v>
      </c>
      <c r="X267" s="12">
        <f>(X138-W138)*-1</f>
        <v>259</v>
      </c>
      <c r="Y267" s="12">
        <f>(Y138-X138)*-1</f>
        <v>2978</v>
      </c>
      <c r="Z267" s="12">
        <f>(Z138-Y138)*-1</f>
        <v>-153</v>
      </c>
      <c r="AA267" s="12">
        <f>(AA138-Z138)*-1</f>
        <v>380</v>
      </c>
      <c r="AB267" s="12">
        <f>SUM(X267:AA267)</f>
        <v>3464</v>
      </c>
      <c r="AC267" s="12">
        <f>(AC138-AB138)*-1</f>
        <v>155</v>
      </c>
      <c r="AD267" s="12">
        <f>(AD138-AC138)*-1</f>
        <v>66</v>
      </c>
      <c r="AE267" s="12">
        <f>(AE138-AD138)*-1</f>
        <v>45</v>
      </c>
      <c r="AF267" s="12">
        <f>(AF138-AE138)*-1</f>
        <v>-614</v>
      </c>
      <c r="AG267" s="12">
        <f>SUM(AC267:AF267)</f>
        <v>-348</v>
      </c>
      <c r="AH267" s="12">
        <f>(AH138-AG138)*-1</f>
        <v>486</v>
      </c>
      <c r="AI267" s="12">
        <f>(AI138-AH138)*-1</f>
        <v>44</v>
      </c>
      <c r="AJ267" s="12">
        <f>(AJ138-AI138)*-1</f>
        <v>0</v>
      </c>
      <c r="AK267" s="12">
        <f>(AK138-AJ138)*-1</f>
        <v>0</v>
      </c>
      <c r="AL267" s="12">
        <f>SUM(AH267:AK267)</f>
        <v>530</v>
      </c>
      <c r="AM267" s="12">
        <f>(AM138-AL138)*-1</f>
        <v>0</v>
      </c>
      <c r="AN267" s="12">
        <f>(AN138-AM138)*-1</f>
        <v>0</v>
      </c>
      <c r="AO267" s="12">
        <f>(AO138-AN138)*-1</f>
        <v>0</v>
      </c>
      <c r="AP267" s="12">
        <f>(AP138-AO138)*-1</f>
        <v>0</v>
      </c>
      <c r="AQ267" s="12">
        <f>SUM(AM267:AP267)</f>
        <v>0</v>
      </c>
      <c r="AR267" s="12">
        <f>(AR138-AQ138)*-1</f>
        <v>0</v>
      </c>
      <c r="AS267" s="12">
        <f>(AS138-AR138)*-1</f>
        <v>0</v>
      </c>
      <c r="AT267" s="12">
        <f>(AT138-AS138)*-1</f>
        <v>0</v>
      </c>
      <c r="AU267" s="12">
        <f>(AU138-AT138)*-1</f>
        <v>0</v>
      </c>
      <c r="AV267" s="12">
        <f>SUM(AR267:AU267)</f>
        <v>0</v>
      </c>
      <c r="AW267" s="12">
        <f>(AW138-AV138)*-1</f>
        <v>0</v>
      </c>
      <c r="AX267" s="12">
        <f>(AX138-AW138)*-1</f>
        <v>0</v>
      </c>
      <c r="AY267" s="12">
        <f>(AY138-AX138)*-1</f>
        <v>0</v>
      </c>
      <c r="AZ267" s="12">
        <f>(AZ138-AY138)*-1</f>
        <v>0</v>
      </c>
      <c r="BA267" s="12">
        <f>SUM(AW267:AZ267)</f>
        <v>0</v>
      </c>
      <c r="BB267" s="12">
        <f>(BB138-BA138)*-1</f>
        <v>0</v>
      </c>
      <c r="BC267" s="12">
        <f>(BC138-BB138)*-1</f>
        <v>0</v>
      </c>
      <c r="BD267" s="12">
        <f>(BD138-BC138)*-1</f>
        <v>0</v>
      </c>
      <c r="BE267" s="12">
        <f>(BE138-BD138)*-1</f>
        <v>0</v>
      </c>
      <c r="BF267" s="12">
        <f>SUM(BB267:BE267)</f>
        <v>0</v>
      </c>
      <c r="BG267" s="12" t="n"/>
      <c r="BH267" s="12" t="n"/>
      <c r="BI267" s="12" t="n"/>
      <c r="BJ267" s="12" t="n"/>
      <c r="BK267" s="12" t="n"/>
      <c r="BL267" s="12" t="n"/>
      <c r="BM267" s="12" t="n"/>
      <c r="BN267" s="12" t="n"/>
      <c r="BO267" s="12" t="n"/>
      <c r="BP267" s="12" t="n"/>
      <c r="BQ267" s="12" t="n"/>
      <c r="BR267" s="12" t="n"/>
      <c r="BS267" s="12" t="n"/>
      <c r="BT267" s="12" t="n"/>
      <c r="BU267" s="12" t="n"/>
      <c r="BV267" s="12" t="n"/>
      <c r="BW267" s="12" t="n"/>
      <c r="BX267" s="12" t="n"/>
      <c r="BY267" s="12" t="n"/>
      <c r="BZ267" s="12" t="n"/>
      <c r="CA267" s="12" t="n"/>
      <c r="CB267" s="12" t="n"/>
      <c r="CC267" s="12" t="n"/>
      <c r="CD267" s="12" t="n"/>
      <c r="CE267" s="12" t="n"/>
      <c r="CF267" s="12" t="n"/>
      <c r="CG267" s="12" t="n"/>
      <c r="CH267" s="12" t="n"/>
      <c r="CI267" s="12" t="n"/>
      <c r="CJ267" s="12" t="n"/>
      <c r="CK267" s="12" t="n"/>
      <c r="CL267" s="12" t="n"/>
      <c r="CM267" s="12" t="n"/>
      <c r="CN267" s="12" t="n"/>
      <c r="CO267" s="12" t="n"/>
      <c r="CP267" s="12" t="n"/>
      <c r="CQ267" s="12" t="n"/>
      <c r="CR267" s="12" t="n"/>
      <c r="CS267" s="12" t="n"/>
      <c r="CT267" s="12" t="n"/>
      <c r="CU267" s="12" t="n"/>
      <c r="CV267" s="12" t="n"/>
      <c r="CW267" s="12" t="n"/>
      <c r="CX267" s="12" t="n"/>
      <c r="CY267" s="12" t="n"/>
    </row>
    <row r="268" hidden="1" outlineLevel="1">
      <c r="C268" s="10" t="inlineStr">
        <is>
          <t>Prepaid expenses</t>
        </is>
      </c>
      <c r="D268" s="12" t="n"/>
      <c r="E268" s="12" t="n"/>
      <c r="F268" s="12" t="n"/>
      <c r="G268" s="12" t="n"/>
      <c r="H268" s="12" t="n"/>
      <c r="I268" s="12" t="n"/>
      <c r="J268" s="12">
        <f>(J139-I139)*-1</f>
        <v>0</v>
      </c>
      <c r="K268" s="12">
        <f>(K139-J139)*-1</f>
        <v>0</v>
      </c>
      <c r="L268" s="12">
        <f>(L139-K139)*-1</f>
        <v>0</v>
      </c>
      <c r="M268" s="12" t="n"/>
      <c r="N268" s="12">
        <f>(N139-M139)*-1</f>
        <v>0</v>
      </c>
      <c r="O268" s="12">
        <f>(O139-N139)*-1</f>
        <v>0</v>
      </c>
      <c r="P268" s="12">
        <f>(P139-O139)*-1</f>
        <v>0</v>
      </c>
      <c r="Q268" s="12">
        <f>(Q139-P139)*-1</f>
        <v>0</v>
      </c>
      <c r="R268" s="12">
        <f>SUM(N268:Q268)</f>
        <v>0</v>
      </c>
      <c r="S268" s="12">
        <f>(S139-R139)*-1</f>
        <v>0</v>
      </c>
      <c r="T268" s="12">
        <f>(T139-S139)*-1</f>
        <v>0</v>
      </c>
      <c r="U268" s="12">
        <f>(U139-T139)*-1</f>
        <v>0</v>
      </c>
      <c r="V268" s="12">
        <f>(V139-U139)*-1</f>
        <v>0</v>
      </c>
      <c r="W268" s="12">
        <f>SUM(S268:V268)</f>
        <v>0</v>
      </c>
      <c r="X268" s="12">
        <f>(X139-W139)*-1</f>
        <v>0</v>
      </c>
      <c r="Y268" s="12">
        <f>(Y139-X139)*-1</f>
        <v>0</v>
      </c>
      <c r="Z268" s="12">
        <f>(Z139-Y139)*-1</f>
        <v>0</v>
      </c>
      <c r="AA268" s="12">
        <f>(AA139-Z139)*-1</f>
        <v>0</v>
      </c>
      <c r="AB268" s="12">
        <f>SUM(X268:AA268)</f>
        <v>0</v>
      </c>
      <c r="AC268" s="12">
        <f>(AC139-AB139)*-1</f>
        <v>0</v>
      </c>
      <c r="AD268" s="12">
        <f>(AD139-AC139)*-1</f>
        <v>0</v>
      </c>
      <c r="AE268" s="12">
        <f>(AE139-AD139)*-1</f>
        <v>0</v>
      </c>
      <c r="AF268" s="12">
        <f>(AF139-AE139)*-1</f>
        <v>0</v>
      </c>
      <c r="AG268" s="12">
        <f>SUM(AC268:AF268)</f>
        <v>0</v>
      </c>
      <c r="AH268" s="12">
        <f>(AH139-AG139)*-1</f>
        <v>0</v>
      </c>
      <c r="AI268" s="12">
        <f>(AI139-AH139)*-1</f>
        <v>0</v>
      </c>
      <c r="AJ268" s="12">
        <f>(AJ139-AI139)*-1</f>
        <v>0</v>
      </c>
      <c r="AK268" s="12">
        <f>(AK139-AJ139)*-1</f>
        <v>0</v>
      </c>
      <c r="AL268" s="12">
        <f>SUM(AH268:AK268)</f>
        <v>0</v>
      </c>
      <c r="AM268" s="12">
        <f>(AM139-AL139)*-1</f>
        <v>0</v>
      </c>
      <c r="AN268" s="12">
        <f>(AN139-AM139)*-1</f>
        <v>0</v>
      </c>
      <c r="AO268" s="12">
        <f>(AO139-AN139)*-1</f>
        <v>0</v>
      </c>
      <c r="AP268" s="12">
        <f>(AP139-AO139)*-1</f>
        <v>0</v>
      </c>
      <c r="AQ268" s="12">
        <f>SUM(AM268:AP268)</f>
        <v>0</v>
      </c>
      <c r="AR268" s="12">
        <f>(AR139-AQ139)*-1</f>
        <v>0</v>
      </c>
      <c r="AS268" s="12">
        <f>(AS139-AR139)*-1</f>
        <v>0</v>
      </c>
      <c r="AT268" s="12">
        <f>(AT139-AS139)*-1</f>
        <v>0</v>
      </c>
      <c r="AU268" s="12">
        <f>(AU139-AT139)*-1</f>
        <v>0</v>
      </c>
      <c r="AV268" s="12">
        <f>SUM(AR268:AU268)</f>
        <v>0</v>
      </c>
      <c r="AW268" s="12">
        <f>(AW139-AV139)*-1</f>
        <v>0</v>
      </c>
      <c r="AX268" s="12">
        <f>(AX139-AW139)*-1</f>
        <v>0</v>
      </c>
      <c r="AY268" s="12">
        <f>(AY139-AX139)*-1</f>
        <v>0</v>
      </c>
      <c r="AZ268" s="12">
        <f>(AZ139-AY139)*-1</f>
        <v>0</v>
      </c>
      <c r="BA268" s="12">
        <f>SUM(AW268:AZ268)</f>
        <v>0</v>
      </c>
      <c r="BB268" s="12">
        <f>(BB139-BA139)*-1</f>
        <v>0</v>
      </c>
      <c r="BC268" s="12">
        <f>(BC139-BB139)*-1</f>
        <v>0</v>
      </c>
      <c r="BD268" s="12">
        <f>(BD139-BC139)*-1</f>
        <v>0</v>
      </c>
      <c r="BE268" s="12">
        <f>(BE139-BD139)*-1</f>
        <v>0</v>
      </c>
      <c r="BF268" s="12">
        <f>SUM(BB268:BE268)</f>
        <v>0</v>
      </c>
      <c r="BG268" s="12" t="n"/>
      <c r="BH268" s="12" t="n"/>
      <c r="BI268" s="12" t="n"/>
      <c r="BJ268" s="12" t="n"/>
      <c r="BK268" s="12" t="n"/>
      <c r="BL268" s="12" t="n"/>
      <c r="BM268" s="12" t="n"/>
      <c r="BN268" s="12" t="n"/>
      <c r="BO268" s="12" t="n"/>
      <c r="BP268" s="12" t="n"/>
      <c r="BQ268" s="12" t="n"/>
      <c r="BR268" s="12" t="n"/>
      <c r="BS268" s="12" t="n"/>
      <c r="BT268" s="12" t="n"/>
      <c r="BU268" s="12" t="n"/>
      <c r="BV268" s="12" t="n"/>
      <c r="BW268" s="12" t="n"/>
      <c r="BX268" s="12" t="n"/>
      <c r="BY268" s="12" t="n"/>
      <c r="BZ268" s="12" t="n"/>
      <c r="CA268" s="12" t="n"/>
      <c r="CB268" s="12" t="n"/>
      <c r="CC268" s="12" t="n"/>
      <c r="CD268" s="12" t="n"/>
      <c r="CE268" s="12" t="n"/>
      <c r="CF268" s="12" t="n"/>
      <c r="CG268" s="12" t="n"/>
      <c r="CH268" s="12" t="n"/>
      <c r="CI268" s="12" t="n"/>
      <c r="CJ268" s="12" t="n"/>
      <c r="CK268" s="12" t="n"/>
      <c r="CL268" s="12" t="n"/>
      <c r="CM268" s="12" t="n"/>
      <c r="CN268" s="12" t="n"/>
      <c r="CO268" s="12" t="n"/>
      <c r="CP268" s="12" t="n"/>
      <c r="CQ268" s="12" t="n"/>
      <c r="CR268" s="12" t="n"/>
      <c r="CS268" s="12" t="n"/>
      <c r="CT268" s="12" t="n"/>
      <c r="CU268" s="12" t="n"/>
      <c r="CV268" s="12" t="n"/>
      <c r="CW268" s="12" t="n"/>
      <c r="CX268" s="12" t="n"/>
      <c r="CY268" s="12" t="n"/>
    </row>
    <row r="269" hidden="1" outlineLevel="1">
      <c r="C269" s="10" t="inlineStr">
        <is>
          <t>Other current assets</t>
        </is>
      </c>
      <c r="D269" s="12" t="n"/>
      <c r="E269" s="12" t="n"/>
      <c r="F269" s="12" t="n"/>
      <c r="G269" s="12" t="n"/>
      <c r="H269" s="12" t="n"/>
      <c r="I269" s="12" t="n"/>
      <c r="J269" s="12">
        <f>(J140-I140)*-1</f>
        <v>1761</v>
      </c>
      <c r="K269" s="12">
        <f>(K140-J140)*-1</f>
        <v>776</v>
      </c>
      <c r="L269" s="12">
        <f>(L140-K140)*-1</f>
        <v>27857</v>
      </c>
      <c r="M269" s="12" t="n"/>
      <c r="N269" s="12">
        <f>(N140-M140)*-1</f>
        <v>1274</v>
      </c>
      <c r="O269" s="12">
        <f>(O140-N140)*-1</f>
        <v>4205</v>
      </c>
      <c r="P269" s="12">
        <f>(P140-O140)*-1</f>
        <v>879</v>
      </c>
      <c r="Q269" s="12">
        <f>(Q140-P140)*-1</f>
        <v>-840</v>
      </c>
      <c r="R269" s="12">
        <f>SUM(N269:Q269)</f>
        <v>5518</v>
      </c>
      <c r="S269" s="12">
        <f>(S140-R140)*-1</f>
        <v>-4283</v>
      </c>
      <c r="T269" s="12">
        <f>(T140-S140)*-1</f>
        <v>1984</v>
      </c>
      <c r="U269" s="12">
        <f>(U140-T140)*-1</f>
        <v>4150</v>
      </c>
      <c r="V269" s="12">
        <f>(V140-U140)*-1</f>
        <v>905</v>
      </c>
      <c r="W269" s="12">
        <f>SUM(S269:V269)</f>
        <v>2756</v>
      </c>
      <c r="X269" s="12">
        <f>(X140-W140)*-1</f>
        <v>2397</v>
      </c>
      <c r="Y269" s="12">
        <f>(Y140-X140)*-1</f>
        <v>1034</v>
      </c>
      <c r="Z269" s="12">
        <f>(Z140-Y140)*-1</f>
        <v>1135</v>
      </c>
      <c r="AA269" s="12">
        <f>(AA140-Z140)*-1</f>
        <v>1346</v>
      </c>
      <c r="AB269" s="12">
        <f>SUM(X269:AA269)</f>
        <v>5912</v>
      </c>
      <c r="AC269" s="12">
        <f>(AC140-AB140)*-1</f>
        <v>-88</v>
      </c>
      <c r="AD269" s="12">
        <f>(AD140-AC140)*-1</f>
        <v>-119</v>
      </c>
      <c r="AE269" s="12">
        <f>(AE140-AD140)*-1</f>
        <v>-102</v>
      </c>
      <c r="AF269" s="12">
        <f>(AF140-AE140)*-1</f>
        <v>669</v>
      </c>
      <c r="AG269" s="12">
        <f>SUM(AC269:AF269)</f>
        <v>360</v>
      </c>
      <c r="AH269" s="12">
        <f>(AH140-AG140)*-1</f>
        <v>18</v>
      </c>
      <c r="AI269" s="12">
        <f>(AI140-AH140)*-1</f>
        <v>-1005</v>
      </c>
      <c r="AJ269" s="12">
        <f>(AJ140-AI140)*-1</f>
        <v>0</v>
      </c>
      <c r="AK269" s="12">
        <f>(AK140-AJ140)*-1</f>
        <v>0</v>
      </c>
      <c r="AL269" s="12">
        <f>SUM(AH269:AK269)</f>
        <v>-987</v>
      </c>
      <c r="AM269" s="12">
        <f>(AM140-AL140)*-1</f>
        <v>0</v>
      </c>
      <c r="AN269" s="12">
        <f>(AN140-AM140)*-1</f>
        <v>0</v>
      </c>
      <c r="AO269" s="12">
        <f>(AO140-AN140)*-1</f>
        <v>0</v>
      </c>
      <c r="AP269" s="12">
        <f>(AP140-AO140)*-1</f>
        <v>0</v>
      </c>
      <c r="AQ269" s="12">
        <f>SUM(AM269:AP269)</f>
        <v>0</v>
      </c>
      <c r="AR269" s="12">
        <f>(AR140-AQ140)*-1</f>
        <v>0</v>
      </c>
      <c r="AS269" s="12">
        <f>(AS140-AR140)*-1</f>
        <v>0</v>
      </c>
      <c r="AT269" s="12">
        <f>(AT140-AS140)*-1</f>
        <v>0</v>
      </c>
      <c r="AU269" s="12">
        <f>(AU140-AT140)*-1</f>
        <v>0</v>
      </c>
      <c r="AV269" s="12">
        <f>SUM(AR269:AU269)</f>
        <v>0</v>
      </c>
      <c r="AW269" s="12">
        <f>(AW140-AV140)*-1</f>
        <v>0</v>
      </c>
      <c r="AX269" s="12">
        <f>(AX140-AW140)*-1</f>
        <v>0</v>
      </c>
      <c r="AY269" s="12">
        <f>(AY140-AX140)*-1</f>
        <v>0</v>
      </c>
      <c r="AZ269" s="12">
        <f>(AZ140-AY140)*-1</f>
        <v>0</v>
      </c>
      <c r="BA269" s="12">
        <f>SUM(AW269:AZ269)</f>
        <v>0</v>
      </c>
      <c r="BB269" s="12">
        <f>(BB140-BA140)*-1</f>
        <v>0</v>
      </c>
      <c r="BC269" s="12">
        <f>(BC140-BB140)*-1</f>
        <v>0</v>
      </c>
      <c r="BD269" s="12">
        <f>(BD140-BC140)*-1</f>
        <v>0</v>
      </c>
      <c r="BE269" s="12">
        <f>(BE140-BD140)*-1</f>
        <v>0</v>
      </c>
      <c r="BF269" s="12">
        <f>SUM(BB269:BE269)</f>
        <v>0</v>
      </c>
      <c r="BG269" s="12" t="n"/>
      <c r="BH269" s="12" t="n"/>
      <c r="BI269" s="12" t="n"/>
      <c r="BJ269" s="12" t="n"/>
      <c r="BK269" s="12" t="n"/>
      <c r="BL269" s="12" t="n"/>
      <c r="BM269" s="12" t="n"/>
      <c r="BN269" s="12" t="n"/>
      <c r="BO269" s="12" t="n"/>
      <c r="BP269" s="12" t="n"/>
      <c r="BQ269" s="12" t="n"/>
      <c r="BR269" s="12" t="n"/>
      <c r="BS269" s="12" t="n"/>
      <c r="BT269" s="12" t="n"/>
      <c r="BU269" s="12" t="n"/>
      <c r="BV269" s="12" t="n"/>
      <c r="BW269" s="12" t="n"/>
      <c r="BX269" s="12" t="n"/>
      <c r="BY269" s="12" t="n"/>
      <c r="BZ269" s="12" t="n"/>
      <c r="CA269" s="12" t="n"/>
      <c r="CB269" s="12" t="n"/>
      <c r="CC269" s="12" t="n"/>
      <c r="CD269" s="12" t="n"/>
      <c r="CE269" s="12" t="n"/>
      <c r="CF269" s="12" t="n"/>
      <c r="CG269" s="12" t="n"/>
      <c r="CH269" s="12" t="n"/>
      <c r="CI269" s="12" t="n"/>
      <c r="CJ269" s="12" t="n"/>
      <c r="CK269" s="12" t="n"/>
      <c r="CL269" s="12" t="n"/>
      <c r="CM269" s="12" t="n"/>
      <c r="CN269" s="12" t="n"/>
      <c r="CO269" s="12" t="n"/>
      <c r="CP269" s="12" t="n"/>
      <c r="CQ269" s="12" t="n"/>
      <c r="CR269" s="12" t="n"/>
      <c r="CS269" s="12" t="n"/>
      <c r="CT269" s="12" t="n"/>
      <c r="CU269" s="12" t="n"/>
      <c r="CV269" s="12" t="n"/>
      <c r="CW269" s="12" t="n"/>
      <c r="CX269" s="12" t="n"/>
      <c r="CY269" s="12" t="n"/>
    </row>
    <row r="270" hidden="1" outlineLevel="1">
      <c r="C270" s="10" t="inlineStr">
        <is>
          <t>Accounts payable</t>
        </is>
      </c>
      <c r="D270" s="12" t="n"/>
      <c r="E270" s="12" t="n"/>
      <c r="F270" s="12" t="n"/>
      <c r="G270" s="12" t="n"/>
      <c r="H270" s="12" t="n"/>
      <c r="I270" s="12" t="n"/>
      <c r="J270" s="12">
        <f>J183-I183</f>
        <v>0</v>
      </c>
      <c r="K270" s="12">
        <f>K183-J183</f>
        <v>0</v>
      </c>
      <c r="L270" s="12">
        <f>L183-K183</f>
        <v>0</v>
      </c>
      <c r="M270" s="12" t="n"/>
      <c r="N270" s="12">
        <f>N183-M183</f>
        <v>0</v>
      </c>
      <c r="O270" s="12">
        <f>O183-N183</f>
        <v>0</v>
      </c>
      <c r="P270" s="12">
        <f>P183-O183</f>
        <v>0</v>
      </c>
      <c r="Q270" s="12">
        <f>Q183-P183</f>
        <v>0</v>
      </c>
      <c r="R270" s="12">
        <f>SUM(N270:Q270)</f>
        <v>0</v>
      </c>
      <c r="S270" s="12">
        <f>S183-R183</f>
        <v>0</v>
      </c>
      <c r="T270" s="12">
        <f>T183-S183</f>
        <v>0</v>
      </c>
      <c r="U270" s="12">
        <f>U183-T183</f>
        <v>0</v>
      </c>
      <c r="V270" s="12">
        <f>V183-U183</f>
        <v>0</v>
      </c>
      <c r="W270" s="12">
        <f>SUM(S270:V270)</f>
        <v>0</v>
      </c>
      <c r="X270" s="12">
        <f>X183-W183</f>
        <v>0</v>
      </c>
      <c r="Y270" s="12">
        <f>Y183-X183</f>
        <v>7707</v>
      </c>
      <c r="Z270" s="12">
        <f>Z183-Y183</f>
        <v>122</v>
      </c>
      <c r="AA270" s="12">
        <f>AA183-Z183</f>
        <v>80</v>
      </c>
      <c r="AB270" s="12">
        <f>SUM(X270:AA270)</f>
        <v>7909</v>
      </c>
      <c r="AC270" s="12">
        <f>AC183-AB183</f>
        <v>716</v>
      </c>
      <c r="AD270" s="12">
        <f>AD183-AC183</f>
        <v>870</v>
      </c>
      <c r="AE270" s="12">
        <f>AE183-AD183</f>
        <v>-10</v>
      </c>
      <c r="AF270" s="12">
        <f>AF183-AE183</f>
        <v>593</v>
      </c>
      <c r="AG270" s="12">
        <f>SUM(AC270:AF270)</f>
        <v>2169</v>
      </c>
      <c r="AH270" s="12">
        <f>AH183-AG183</f>
        <v>605</v>
      </c>
      <c r="AI270" s="12">
        <f>AI183-AH183</f>
        <v>139</v>
      </c>
      <c r="AJ270" s="12">
        <f>AJ183-AI183</f>
        <v>1166.5222190969</v>
      </c>
      <c r="AK270" s="12">
        <f>AK183-AJ183</f>
        <v>527.530408787123</v>
      </c>
      <c r="AL270" s="12">
        <f>SUM(AH270:AK270)</f>
        <v>2438.05262788402</v>
      </c>
      <c r="AM270" s="12">
        <f>AM183-AL183</f>
        <v>-48.8381178615909</v>
      </c>
      <c r="AN270" s="12">
        <f>AN183-AM183</f>
        <v>815.225937630827</v>
      </c>
      <c r="AO270" s="12">
        <f>AO183-AN183</f>
        <v>1091.24392439749</v>
      </c>
      <c r="AP270" s="12">
        <f>AP183-AO183</f>
        <v>632.4845926787</v>
      </c>
      <c r="AQ270" s="12">
        <f>SUM(AM270:AP270)</f>
        <v>2490.11633684543</v>
      </c>
      <c r="AR270" s="12">
        <f>AR183-AQ183</f>
        <v>-284.465206163186</v>
      </c>
      <c r="AS270" s="12">
        <f>AS183-AR183</f>
        <v>1136.91659917268</v>
      </c>
      <c r="AT270" s="12">
        <f>AT183-AS183</f>
        <v>1302.89483946202</v>
      </c>
      <c r="AU270" s="12">
        <f>AU183-AT183</f>
        <v>755.157388202919</v>
      </c>
      <c r="AV270" s="12">
        <f>SUM(AR270:AU270)</f>
        <v>2910.50362067443</v>
      </c>
      <c r="AW270" s="12">
        <f>AW183-AV183</f>
        <v>-218.764326720411</v>
      </c>
      <c r="AX270" s="12">
        <f>AX183-AW183</f>
        <v>1157.25881211806</v>
      </c>
      <c r="AY270" s="12">
        <f>AY183-AX183</f>
        <v>1549.08178136399</v>
      </c>
      <c r="AZ270" s="12">
        <f>AZ183-AY183</f>
        <v>897.847252668973</v>
      </c>
      <c r="BA270" s="12">
        <f>SUM(AW270:AZ270)</f>
        <v>3385.42351943061</v>
      </c>
      <c r="BB270" s="12">
        <f>BB183-BA183</f>
        <v>-348.59022069658</v>
      </c>
      <c r="BC270" s="12">
        <f>BC183-BB183</f>
        <v>1370.14097794798</v>
      </c>
      <c r="BD270" s="12">
        <f>BD183-BC183</f>
        <v>1834.0412746176</v>
      </c>
      <c r="BE270" s="12">
        <f>BE183-BD183</f>
        <v>1063.0096741871</v>
      </c>
      <c r="BF270" s="12">
        <f>SUM(BB270:BE270)</f>
        <v>3918.60170605611</v>
      </c>
      <c r="BG270" s="12" t="n"/>
      <c r="BH270" s="12" t="n"/>
      <c r="BI270" s="12" t="n"/>
      <c r="BJ270" s="12" t="n"/>
      <c r="BK270" s="12" t="n"/>
      <c r="BL270" s="12" t="n"/>
      <c r="BM270" s="12" t="n"/>
      <c r="BN270" s="12" t="n"/>
      <c r="BO270" s="12" t="n"/>
      <c r="BP270" s="12" t="n"/>
      <c r="BQ270" s="12" t="n"/>
      <c r="BR270" s="12" t="n"/>
      <c r="BS270" s="12" t="n"/>
      <c r="BT270" s="12" t="n"/>
      <c r="BU270" s="12" t="n"/>
      <c r="BV270" s="12" t="n"/>
      <c r="BW270" s="12" t="n"/>
      <c r="BX270" s="12" t="n"/>
      <c r="BY270" s="12" t="n"/>
      <c r="BZ270" s="12" t="n"/>
      <c r="CA270" s="12" t="n"/>
      <c r="CB270" s="12" t="n"/>
      <c r="CC270" s="12" t="n"/>
      <c r="CD270" s="12" t="n"/>
      <c r="CE270" s="12" t="n"/>
      <c r="CF270" s="12" t="n"/>
      <c r="CG270" s="12" t="n"/>
      <c r="CH270" s="12" t="n"/>
      <c r="CI270" s="12" t="n"/>
      <c r="CJ270" s="12" t="n"/>
      <c r="CK270" s="12" t="n"/>
      <c r="CL270" s="12" t="n"/>
      <c r="CM270" s="12" t="n"/>
      <c r="CN270" s="12" t="n"/>
      <c r="CO270" s="12" t="n"/>
      <c r="CP270" s="12" t="n"/>
      <c r="CQ270" s="12" t="n"/>
      <c r="CR270" s="12" t="n"/>
      <c r="CS270" s="12" t="n"/>
      <c r="CT270" s="12" t="n"/>
      <c r="CU270" s="12" t="n"/>
      <c r="CV270" s="12" t="n"/>
      <c r="CW270" s="12" t="n"/>
      <c r="CX270" s="12" t="n"/>
      <c r="CY270" s="12" t="n"/>
    </row>
    <row r="271" hidden="1" outlineLevel="1">
      <c r="C271" s="10" t="inlineStr">
        <is>
          <t>Accrued expenses</t>
        </is>
      </c>
      <c r="D271" s="12" t="n"/>
      <c r="E271" s="12" t="n"/>
      <c r="F271" s="12" t="n"/>
      <c r="G271" s="12" t="n"/>
      <c r="H271" s="12" t="n"/>
      <c r="I271" s="12" t="n"/>
      <c r="J271" s="12">
        <f>J187-I187</f>
        <v>0</v>
      </c>
      <c r="K271" s="12">
        <f>K187-J187</f>
        <v>0</v>
      </c>
      <c r="L271" s="12">
        <f>L187-K187</f>
        <v>0</v>
      </c>
      <c r="M271" s="12" t="n"/>
      <c r="N271" s="12">
        <f>N187-M187</f>
        <v>0</v>
      </c>
      <c r="O271" s="12">
        <f>O187-N187</f>
        <v>0</v>
      </c>
      <c r="P271" s="12">
        <f>P187-O187</f>
        <v>0</v>
      </c>
      <c r="Q271" s="12">
        <f>Q187-P187</f>
        <v>0</v>
      </c>
      <c r="R271" s="12">
        <f>SUM(N271:Q271)</f>
        <v>0</v>
      </c>
      <c r="S271" s="12">
        <f>S187-R187</f>
        <v>0</v>
      </c>
      <c r="T271" s="12">
        <f>T187-S187</f>
        <v>0</v>
      </c>
      <c r="U271" s="12">
        <f>U187-T187</f>
        <v>0</v>
      </c>
      <c r="V271" s="12">
        <f>V187-U187</f>
        <v>0</v>
      </c>
      <c r="W271" s="12">
        <f>SUM(S271:V271)</f>
        <v>0</v>
      </c>
      <c r="X271" s="12">
        <f>X187-W187</f>
        <v>0</v>
      </c>
      <c r="Y271" s="12">
        <f>Y187-X187</f>
        <v>0</v>
      </c>
      <c r="Z271" s="12">
        <f>Z187-Y187</f>
        <v>0</v>
      </c>
      <c r="AA271" s="12">
        <f>AA187-Z187</f>
        <v>0</v>
      </c>
      <c r="AB271" s="12">
        <f>SUM(X271:AA271)</f>
        <v>0</v>
      </c>
      <c r="AC271" s="12">
        <f>AC187-AB187</f>
        <v>0</v>
      </c>
      <c r="AD271" s="12">
        <f>AD187-AC187</f>
        <v>0</v>
      </c>
      <c r="AE271" s="12">
        <f>AE187-AD187</f>
        <v>0</v>
      </c>
      <c r="AF271" s="12">
        <f>AF187-AE187</f>
        <v>0</v>
      </c>
      <c r="AG271" s="12">
        <f>SUM(AC271:AF271)</f>
        <v>0</v>
      </c>
      <c r="AH271" s="12">
        <f>AH187-AG187</f>
        <v>0</v>
      </c>
      <c r="AI271" s="12">
        <f>AI187-AH187</f>
        <v>0</v>
      </c>
      <c r="AJ271" s="12">
        <f>AJ187-AI187</f>
        <v>0</v>
      </c>
      <c r="AK271" s="12">
        <f>AK187-AJ187</f>
        <v>0</v>
      </c>
      <c r="AL271" s="12">
        <f>SUM(AH271:AK271)</f>
        <v>0</v>
      </c>
      <c r="AM271" s="12">
        <f>AM187-AL187</f>
        <v>0</v>
      </c>
      <c r="AN271" s="12">
        <f>AN187-AM187</f>
        <v>0</v>
      </c>
      <c r="AO271" s="12">
        <f>AO187-AN187</f>
        <v>0</v>
      </c>
      <c r="AP271" s="12">
        <f>AP187-AO187</f>
        <v>0</v>
      </c>
      <c r="AQ271" s="12">
        <f>SUM(AM271:AP271)</f>
        <v>0</v>
      </c>
      <c r="AR271" s="12">
        <f>AR187-AQ187</f>
        <v>0</v>
      </c>
      <c r="AS271" s="12">
        <f>AS187-AR187</f>
        <v>0</v>
      </c>
      <c r="AT271" s="12">
        <f>AT187-AS187</f>
        <v>0</v>
      </c>
      <c r="AU271" s="12">
        <f>AU187-AT187</f>
        <v>0</v>
      </c>
      <c r="AV271" s="12">
        <f>SUM(AR271:AU271)</f>
        <v>0</v>
      </c>
      <c r="AW271" s="12">
        <f>AW187-AV187</f>
        <v>0</v>
      </c>
      <c r="AX271" s="12">
        <f>AX187-AW187</f>
        <v>0</v>
      </c>
      <c r="AY271" s="12">
        <f>AY187-AX187</f>
        <v>0</v>
      </c>
      <c r="AZ271" s="12">
        <f>AZ187-AY187</f>
        <v>0</v>
      </c>
      <c r="BA271" s="12">
        <f>SUM(AW271:AZ271)</f>
        <v>0</v>
      </c>
      <c r="BB271" s="12">
        <f>BB187-BA187</f>
        <v>0</v>
      </c>
      <c r="BC271" s="12">
        <f>BC187-BB187</f>
        <v>0</v>
      </c>
      <c r="BD271" s="12">
        <f>BD187-BC187</f>
        <v>0</v>
      </c>
      <c r="BE271" s="12">
        <f>BE187-BD187</f>
        <v>0</v>
      </c>
      <c r="BF271" s="12">
        <f>SUM(BB271:BE271)</f>
        <v>0</v>
      </c>
      <c r="BG271" s="12" t="n"/>
      <c r="BH271" s="12" t="n"/>
      <c r="BI271" s="12" t="n"/>
      <c r="BJ271" s="12" t="n"/>
      <c r="BK271" s="12" t="n"/>
      <c r="BL271" s="12" t="n"/>
      <c r="BM271" s="12" t="n"/>
      <c r="BN271" s="12" t="n"/>
      <c r="BO271" s="12" t="n"/>
      <c r="BP271" s="12" t="n"/>
      <c r="BQ271" s="12" t="n"/>
      <c r="BR271" s="12" t="n"/>
      <c r="BS271" s="12" t="n"/>
      <c r="BT271" s="12" t="n"/>
      <c r="BU271" s="12" t="n"/>
      <c r="BV271" s="12" t="n"/>
      <c r="BW271" s="12" t="n"/>
      <c r="BX271" s="12" t="n"/>
      <c r="BY271" s="12" t="n"/>
      <c r="BZ271" s="12" t="n"/>
      <c r="CA271" s="12" t="n"/>
      <c r="CB271" s="12" t="n"/>
      <c r="CC271" s="12" t="n"/>
      <c r="CD271" s="12" t="n"/>
      <c r="CE271" s="12" t="n"/>
      <c r="CF271" s="12" t="n"/>
      <c r="CG271" s="12" t="n"/>
      <c r="CH271" s="12" t="n"/>
      <c r="CI271" s="12" t="n"/>
      <c r="CJ271" s="12" t="n"/>
      <c r="CK271" s="12" t="n"/>
      <c r="CL271" s="12" t="n"/>
      <c r="CM271" s="12" t="n"/>
      <c r="CN271" s="12" t="n"/>
      <c r="CO271" s="12" t="n"/>
      <c r="CP271" s="12" t="n"/>
      <c r="CQ271" s="12" t="n"/>
      <c r="CR271" s="12" t="n"/>
      <c r="CS271" s="12" t="n"/>
      <c r="CT271" s="12" t="n"/>
      <c r="CU271" s="12" t="n"/>
      <c r="CV271" s="12" t="n"/>
      <c r="CW271" s="12" t="n"/>
      <c r="CX271" s="12" t="n"/>
      <c r="CY271" s="12" t="n"/>
    </row>
    <row r="272" hidden="1" outlineLevel="1">
      <c r="C272" s="10" t="inlineStr">
        <is>
          <t>Taxes payable</t>
        </is>
      </c>
      <c r="D272" s="12" t="n"/>
      <c r="E272" s="12" t="n"/>
      <c r="F272" s="12" t="n"/>
      <c r="G272" s="12" t="n"/>
      <c r="H272" s="12" t="n"/>
      <c r="I272" s="12" t="n"/>
      <c r="J272" s="12">
        <f>J189-I189</f>
        <v>0</v>
      </c>
      <c r="K272" s="12">
        <f>K189-J189</f>
        <v>0</v>
      </c>
      <c r="L272" s="12">
        <f>L189-K189</f>
        <v>0</v>
      </c>
      <c r="M272" s="12" t="n"/>
      <c r="N272" s="12">
        <f>N189-M189</f>
        <v>0</v>
      </c>
      <c r="O272" s="12">
        <f>O189-N189</f>
        <v>0</v>
      </c>
      <c r="P272" s="12">
        <f>P189-O189</f>
        <v>0</v>
      </c>
      <c r="Q272" s="12">
        <f>Q189-P189</f>
        <v>0</v>
      </c>
      <c r="R272" s="12">
        <f>SUM(N272:Q272)</f>
        <v>0</v>
      </c>
      <c r="S272" s="12">
        <f>S189-R189</f>
        <v>0</v>
      </c>
      <c r="T272" s="12">
        <f>T189-S189</f>
        <v>0</v>
      </c>
      <c r="U272" s="12">
        <f>U189-T189</f>
        <v>0</v>
      </c>
      <c r="V272" s="12">
        <f>V189-U189</f>
        <v>0</v>
      </c>
      <c r="W272" s="12">
        <f>SUM(S272:V272)</f>
        <v>0</v>
      </c>
      <c r="X272" s="12">
        <f>X189-W189</f>
        <v>0</v>
      </c>
      <c r="Y272" s="12">
        <f>Y189-X189</f>
        <v>0</v>
      </c>
      <c r="Z272" s="12">
        <f>Z189-Y189</f>
        <v>0</v>
      </c>
      <c r="AA272" s="12">
        <f>AA189-Z189</f>
        <v>0</v>
      </c>
      <c r="AB272" s="12">
        <f>SUM(X272:AA272)</f>
        <v>0</v>
      </c>
      <c r="AC272" s="12">
        <f>AC189-AB189</f>
        <v>0</v>
      </c>
      <c r="AD272" s="12">
        <f>AD189-AC189</f>
        <v>0</v>
      </c>
      <c r="AE272" s="12">
        <f>AE189-AD189</f>
        <v>0</v>
      </c>
      <c r="AF272" s="12">
        <f>AF189-AE189</f>
        <v>0</v>
      </c>
      <c r="AG272" s="12">
        <f>SUM(AC272:AF272)</f>
        <v>0</v>
      </c>
      <c r="AH272" s="12">
        <f>AH189-AG189</f>
        <v>0</v>
      </c>
      <c r="AI272" s="12">
        <f>AI189-AH189</f>
        <v>0</v>
      </c>
      <c r="AJ272" s="12">
        <f>AJ189-AI189</f>
        <v>0</v>
      </c>
      <c r="AK272" s="12">
        <f>AK189-AJ189</f>
        <v>0</v>
      </c>
      <c r="AL272" s="12">
        <f>SUM(AH272:AK272)</f>
        <v>0</v>
      </c>
      <c r="AM272" s="12">
        <f>AM189-AL189</f>
        <v>0</v>
      </c>
      <c r="AN272" s="12">
        <f>AN189-AM189</f>
        <v>0</v>
      </c>
      <c r="AO272" s="12">
        <f>AO189-AN189</f>
        <v>0</v>
      </c>
      <c r="AP272" s="12">
        <f>AP189-AO189</f>
        <v>0</v>
      </c>
      <c r="AQ272" s="12">
        <f>SUM(AM272:AP272)</f>
        <v>0</v>
      </c>
      <c r="AR272" s="12">
        <f>AR189-AQ189</f>
        <v>0</v>
      </c>
      <c r="AS272" s="12">
        <f>AS189-AR189</f>
        <v>0</v>
      </c>
      <c r="AT272" s="12">
        <f>AT189-AS189</f>
        <v>0</v>
      </c>
      <c r="AU272" s="12">
        <f>AU189-AT189</f>
        <v>0</v>
      </c>
      <c r="AV272" s="12">
        <f>SUM(AR272:AU272)</f>
        <v>0</v>
      </c>
      <c r="AW272" s="12">
        <f>AW189-AV189</f>
        <v>0</v>
      </c>
      <c r="AX272" s="12">
        <f>AX189-AW189</f>
        <v>0</v>
      </c>
      <c r="AY272" s="12">
        <f>AY189-AX189</f>
        <v>0</v>
      </c>
      <c r="AZ272" s="12">
        <f>AZ189-AY189</f>
        <v>0</v>
      </c>
      <c r="BA272" s="12">
        <f>SUM(AW272:AZ272)</f>
        <v>0</v>
      </c>
      <c r="BB272" s="12">
        <f>BB189-BA189</f>
        <v>0</v>
      </c>
      <c r="BC272" s="12">
        <f>BC189-BB189</f>
        <v>0</v>
      </c>
      <c r="BD272" s="12">
        <f>BD189-BC189</f>
        <v>0</v>
      </c>
      <c r="BE272" s="12">
        <f>BE189-BD189</f>
        <v>0</v>
      </c>
      <c r="BF272" s="12">
        <f>SUM(BB272:BE272)</f>
        <v>0</v>
      </c>
      <c r="BG272" s="12" t="n"/>
      <c r="BH272" s="12" t="n"/>
      <c r="BI272" s="12" t="n"/>
      <c r="BJ272" s="12" t="n"/>
      <c r="BK272" s="12" t="n"/>
      <c r="BL272" s="12" t="n"/>
      <c r="BM272" s="12" t="n"/>
      <c r="BN272" s="12" t="n"/>
      <c r="BO272" s="12" t="n"/>
      <c r="BP272" s="12" t="n"/>
      <c r="BQ272" s="12" t="n"/>
      <c r="BR272" s="12" t="n"/>
      <c r="BS272" s="12" t="n"/>
      <c r="BT272" s="12" t="n"/>
      <c r="BU272" s="12" t="n"/>
      <c r="BV272" s="12" t="n"/>
      <c r="BW272" s="12" t="n"/>
      <c r="BX272" s="12" t="n"/>
      <c r="BY272" s="12" t="n"/>
      <c r="BZ272" s="12" t="n"/>
      <c r="CA272" s="12" t="n"/>
      <c r="CB272" s="12" t="n"/>
      <c r="CC272" s="12" t="n"/>
      <c r="CD272" s="12" t="n"/>
      <c r="CE272" s="12" t="n"/>
      <c r="CF272" s="12" t="n"/>
      <c r="CG272" s="12" t="n"/>
      <c r="CH272" s="12" t="n"/>
      <c r="CI272" s="12" t="n"/>
      <c r="CJ272" s="12" t="n"/>
      <c r="CK272" s="12" t="n"/>
      <c r="CL272" s="12" t="n"/>
      <c r="CM272" s="12" t="n"/>
      <c r="CN272" s="12" t="n"/>
      <c r="CO272" s="12" t="n"/>
      <c r="CP272" s="12" t="n"/>
      <c r="CQ272" s="12" t="n"/>
      <c r="CR272" s="12" t="n"/>
      <c r="CS272" s="12" t="n"/>
      <c r="CT272" s="12" t="n"/>
      <c r="CU272" s="12" t="n"/>
      <c r="CV272" s="12" t="n"/>
      <c r="CW272" s="12" t="n"/>
      <c r="CX272" s="12" t="n"/>
      <c r="CY272" s="12" t="n"/>
    </row>
    <row r="273" hidden="1" outlineLevel="1">
      <c r="C273" s="10" t="inlineStr">
        <is>
          <t>Other current liabilities (non-debt)</t>
        </is>
      </c>
      <c r="D273" s="12" t="n"/>
      <c r="E273" s="12" t="n"/>
      <c r="F273" s="12" t="n"/>
      <c r="G273" s="12" t="n"/>
      <c r="H273" s="12" t="n"/>
      <c r="I273" s="12" t="n"/>
      <c r="J273" s="12">
        <f>J190-I190</f>
        <v>-868</v>
      </c>
      <c r="K273" s="12">
        <f>K190-J190</f>
        <v>-130</v>
      </c>
      <c r="L273" s="12">
        <f>L190-K190</f>
        <v>-4624</v>
      </c>
      <c r="M273" s="12" t="n"/>
      <c r="N273" s="12">
        <f>N190-M190</f>
        <v>765</v>
      </c>
      <c r="O273" s="12">
        <f>O190-N190</f>
        <v>581</v>
      </c>
      <c r="P273" s="12">
        <f>P190-O190</f>
        <v>1431</v>
      </c>
      <c r="Q273" s="12">
        <f>Q190-P190</f>
        <v>2821</v>
      </c>
      <c r="R273" s="12">
        <f>SUM(N273:Q273)</f>
        <v>5598</v>
      </c>
      <c r="S273" s="12">
        <f>S190-R190</f>
        <v>-7278</v>
      </c>
      <c r="T273" s="12">
        <f>T190-S190</f>
        <v>310</v>
      </c>
      <c r="U273" s="12">
        <f>U190-T190</f>
        <v>603</v>
      </c>
      <c r="V273" s="12">
        <f>V190-U190</f>
        <v>2792</v>
      </c>
      <c r="W273" s="12">
        <f>SUM(S273:V273)</f>
        <v>-3573</v>
      </c>
      <c r="X273" s="12">
        <f>X190-W190</f>
        <v>433</v>
      </c>
      <c r="Y273" s="12">
        <f>Y190-X190</f>
        <v>-26713</v>
      </c>
      <c r="Z273" s="12">
        <f>Z190-Y190</f>
        <v>1239</v>
      </c>
      <c r="AA273" s="12">
        <f>AA190-Z190</f>
        <v>-139</v>
      </c>
      <c r="AB273" s="12">
        <f>SUM(X273:AA273)</f>
        <v>-25180</v>
      </c>
      <c r="AC273" s="12">
        <f>AC190-AB190</f>
        <v>-211</v>
      </c>
      <c r="AD273" s="12">
        <f>AD190-AC190</f>
        <v>850</v>
      </c>
      <c r="AE273" s="12">
        <f>AE190-AD190</f>
        <v>568</v>
      </c>
      <c r="AF273" s="12">
        <f>AF190-AE190</f>
        <v>1567</v>
      </c>
      <c r="AG273" s="12">
        <f>SUM(AC273:AF273)</f>
        <v>2774</v>
      </c>
      <c r="AH273" s="12">
        <f>AH190-AG190</f>
        <v>21</v>
      </c>
      <c r="AI273" s="12">
        <f>AI190-AH190</f>
        <v>369</v>
      </c>
      <c r="AJ273" s="12">
        <f>AJ190-AI190</f>
        <v>0</v>
      </c>
      <c r="AK273" s="12">
        <f>AK190-AJ190</f>
        <v>0</v>
      </c>
      <c r="AL273" s="12">
        <f>SUM(AH273:AK273)</f>
        <v>390</v>
      </c>
      <c r="AM273" s="12">
        <f>AM190-AL190</f>
        <v>0</v>
      </c>
      <c r="AN273" s="12">
        <f>AN190-AM190</f>
        <v>0</v>
      </c>
      <c r="AO273" s="12">
        <f>AO190-AN190</f>
        <v>0</v>
      </c>
      <c r="AP273" s="12">
        <f>AP190-AO190</f>
        <v>0</v>
      </c>
      <c r="AQ273" s="12">
        <f>SUM(AM273:AP273)</f>
        <v>0</v>
      </c>
      <c r="AR273" s="12">
        <f>AR190-AQ190</f>
        <v>0</v>
      </c>
      <c r="AS273" s="12">
        <f>AS190-AR190</f>
        <v>0</v>
      </c>
      <c r="AT273" s="12">
        <f>AT190-AS190</f>
        <v>0</v>
      </c>
      <c r="AU273" s="12">
        <f>AU190-AT190</f>
        <v>0</v>
      </c>
      <c r="AV273" s="12">
        <f>SUM(AR273:AU273)</f>
        <v>0</v>
      </c>
      <c r="AW273" s="12">
        <f>AW190-AV190</f>
        <v>0</v>
      </c>
      <c r="AX273" s="12">
        <f>AX190-AW190</f>
        <v>0</v>
      </c>
      <c r="AY273" s="12">
        <f>AY190-AX190</f>
        <v>0</v>
      </c>
      <c r="AZ273" s="12">
        <f>AZ190-AY190</f>
        <v>0</v>
      </c>
      <c r="BA273" s="12">
        <f>SUM(AW273:AZ273)</f>
        <v>0</v>
      </c>
      <c r="BB273" s="12">
        <f>BB190-BA190</f>
        <v>0</v>
      </c>
      <c r="BC273" s="12">
        <f>BC190-BB190</f>
        <v>0</v>
      </c>
      <c r="BD273" s="12">
        <f>BD190-BC190</f>
        <v>0</v>
      </c>
      <c r="BE273" s="12">
        <f>BE190-BD190</f>
        <v>0</v>
      </c>
      <c r="BF273" s="12">
        <f>SUM(BB273:BE273)</f>
        <v>0</v>
      </c>
      <c r="BG273" s="12" t="n"/>
      <c r="BH273" s="12" t="n"/>
      <c r="BI273" s="12" t="n"/>
      <c r="BJ273" s="12" t="n"/>
      <c r="BK273" s="12" t="n"/>
      <c r="BL273" s="12" t="n"/>
      <c r="BM273" s="12" t="n"/>
      <c r="BN273" s="12" t="n"/>
      <c r="BO273" s="12" t="n"/>
      <c r="BP273" s="12" t="n"/>
      <c r="BQ273" s="12" t="n"/>
      <c r="BR273" s="12" t="n"/>
      <c r="BS273" s="12" t="n"/>
      <c r="BT273" s="12" t="n"/>
      <c r="BU273" s="12" t="n"/>
      <c r="BV273" s="12" t="n"/>
      <c r="BW273" s="12" t="n"/>
      <c r="BX273" s="12" t="n"/>
      <c r="BY273" s="12" t="n"/>
      <c r="BZ273" s="12" t="n"/>
      <c r="CA273" s="12" t="n"/>
      <c r="CB273" s="12" t="n"/>
      <c r="CC273" s="12" t="n"/>
      <c r="CD273" s="12" t="n"/>
      <c r="CE273" s="12" t="n"/>
      <c r="CF273" s="12" t="n"/>
      <c r="CG273" s="12" t="n"/>
      <c r="CH273" s="12" t="n"/>
      <c r="CI273" s="12" t="n"/>
      <c r="CJ273" s="12" t="n"/>
      <c r="CK273" s="12" t="n"/>
      <c r="CL273" s="12" t="n"/>
      <c r="CM273" s="12" t="n"/>
      <c r="CN273" s="12" t="n"/>
      <c r="CO273" s="12" t="n"/>
      <c r="CP273" s="12" t="n"/>
      <c r="CQ273" s="12" t="n"/>
      <c r="CR273" s="12" t="n"/>
      <c r="CS273" s="12" t="n"/>
      <c r="CT273" s="12" t="n"/>
      <c r="CU273" s="12" t="n"/>
      <c r="CV273" s="12" t="n"/>
      <c r="CW273" s="12" t="n"/>
      <c r="CX273" s="12" t="n"/>
      <c r="CY273" s="12" t="n"/>
    </row>
    <row r="274" hidden="1" outlineLevel="1">
      <c r="C274" s="10" t="inlineStr">
        <is>
          <t>Deferred income taxes</t>
        </is>
      </c>
      <c r="D274" s="12" t="n"/>
      <c r="E274" s="12" t="n"/>
      <c r="F274" s="12" t="n"/>
      <c r="G274" s="12" t="n"/>
      <c r="H274" s="12" t="n"/>
      <c r="I274" s="12" t="n"/>
      <c r="J274" s="12">
        <f>J224-I224</f>
        <v>0</v>
      </c>
      <c r="K274" s="12">
        <f>K224-J224</f>
        <v>0</v>
      </c>
      <c r="L274" s="12">
        <f>L224-K224</f>
        <v>0</v>
      </c>
      <c r="M274" s="12" t="n"/>
      <c r="N274" s="12">
        <f>N224-M224</f>
        <v>0</v>
      </c>
      <c r="O274" s="12">
        <f>O224-N224</f>
        <v>0</v>
      </c>
      <c r="P274" s="12">
        <f>P224-O224</f>
        <v>0</v>
      </c>
      <c r="Q274" s="12">
        <f>Q224-P224</f>
        <v>0</v>
      </c>
      <c r="R274" s="12">
        <f>SUM(N274:Q274)</f>
        <v>0</v>
      </c>
      <c r="S274" s="12">
        <f>S224-R224</f>
        <v>0</v>
      </c>
      <c r="T274" s="12">
        <f>T224-S224</f>
        <v>0</v>
      </c>
      <c r="U274" s="12">
        <f>U224-T224</f>
        <v>0</v>
      </c>
      <c r="V274" s="12">
        <f>V224-U224</f>
        <v>0</v>
      </c>
      <c r="W274" s="12">
        <f>SUM(S274:V274)</f>
        <v>0</v>
      </c>
      <c r="X274" s="12">
        <f>X224-W224</f>
        <v>0</v>
      </c>
      <c r="Y274" s="12">
        <f>Y224-X224</f>
        <v>0</v>
      </c>
      <c r="Z274" s="12">
        <f>Z224-Y224</f>
        <v>0</v>
      </c>
      <c r="AA274" s="12">
        <f>AA224-Z224</f>
        <v>0</v>
      </c>
      <c r="AB274" s="12">
        <f>SUM(X274:AA274)</f>
        <v>0</v>
      </c>
      <c r="AC274" s="12">
        <f>AC224-AB224</f>
        <v>0</v>
      </c>
      <c r="AD274" s="12">
        <f>AD224-AC224</f>
        <v>0</v>
      </c>
      <c r="AE274" s="12">
        <f>AE224-AD224</f>
        <v>0</v>
      </c>
      <c r="AF274" s="12">
        <f>AF224-AE224</f>
        <v>0</v>
      </c>
      <c r="AG274" s="12">
        <f>SUM(AC274:AF274)</f>
        <v>0</v>
      </c>
      <c r="AH274" s="12">
        <f>AH224-AG224</f>
        <v>0</v>
      </c>
      <c r="AI274" s="12">
        <f>AI224-AH224</f>
        <v>0</v>
      </c>
      <c r="AJ274" s="12">
        <f>AJ224-AI224</f>
        <v>0</v>
      </c>
      <c r="AK274" s="12">
        <f>AK224-AJ224</f>
        <v>0</v>
      </c>
      <c r="AL274" s="12">
        <f>SUM(AH274:AK274)</f>
        <v>0</v>
      </c>
      <c r="AM274" s="12">
        <f>AM224-AL224</f>
        <v>0</v>
      </c>
      <c r="AN274" s="12">
        <f>AN224-AM224</f>
        <v>0</v>
      </c>
      <c r="AO274" s="12">
        <f>AO224-AN224</f>
        <v>0</v>
      </c>
      <c r="AP274" s="12">
        <f>AP224-AO224</f>
        <v>0</v>
      </c>
      <c r="AQ274" s="12">
        <f>SUM(AM274:AP274)</f>
        <v>0</v>
      </c>
      <c r="AR274" s="12">
        <f>AR224-AQ224</f>
        <v>0</v>
      </c>
      <c r="AS274" s="12">
        <f>AS224-AR224</f>
        <v>0</v>
      </c>
      <c r="AT274" s="12">
        <f>AT224-AS224</f>
        <v>0</v>
      </c>
      <c r="AU274" s="12">
        <f>AU224-AT224</f>
        <v>0</v>
      </c>
      <c r="AV274" s="12">
        <f>SUM(AR274:AU274)</f>
        <v>0</v>
      </c>
      <c r="AW274" s="12">
        <f>AW224-AV224</f>
        <v>0</v>
      </c>
      <c r="AX274" s="12">
        <f>AX224-AW224</f>
        <v>0</v>
      </c>
      <c r="AY274" s="12">
        <f>AY224-AX224</f>
        <v>0</v>
      </c>
      <c r="AZ274" s="12">
        <f>AZ224-AY224</f>
        <v>0</v>
      </c>
      <c r="BA274" s="12">
        <f>SUM(AW274:AZ274)</f>
        <v>0</v>
      </c>
      <c r="BB274" s="12">
        <f>BB224-BA224</f>
        <v>0</v>
      </c>
      <c r="BC274" s="12">
        <f>BC224-BB224</f>
        <v>0</v>
      </c>
      <c r="BD274" s="12">
        <f>BD224-BC224</f>
        <v>0</v>
      </c>
      <c r="BE274" s="12">
        <f>BE224-BD224</f>
        <v>0</v>
      </c>
      <c r="BF274" s="12">
        <f>SUM(BB274:BE274)</f>
        <v>0</v>
      </c>
      <c r="BG274" s="12" t="n"/>
      <c r="BH274" s="12" t="n"/>
      <c r="BI274" s="12" t="n"/>
      <c r="BJ274" s="12" t="n"/>
      <c r="BK274" s="12" t="n"/>
      <c r="BL274" s="12" t="n"/>
      <c r="BM274" s="12" t="n"/>
      <c r="BN274" s="12" t="n"/>
      <c r="BO274" s="12" t="n"/>
      <c r="BP274" s="12" t="n"/>
      <c r="BQ274" s="12" t="n"/>
      <c r="BR274" s="12" t="n"/>
      <c r="BS274" s="12" t="n"/>
      <c r="BT274" s="12" t="n"/>
      <c r="BU274" s="12" t="n"/>
      <c r="BV274" s="12" t="n"/>
      <c r="BW274" s="12" t="n"/>
      <c r="BX274" s="12" t="n"/>
      <c r="BY274" s="12" t="n"/>
      <c r="BZ274" s="12" t="n"/>
      <c r="CA274" s="12" t="n"/>
      <c r="CB274" s="12" t="n"/>
      <c r="CC274" s="12" t="n"/>
      <c r="CD274" s="12" t="n"/>
      <c r="CE274" s="12" t="n"/>
      <c r="CF274" s="12" t="n"/>
      <c r="CG274" s="12" t="n"/>
      <c r="CH274" s="12" t="n"/>
      <c r="CI274" s="12" t="n"/>
      <c r="CJ274" s="12" t="n"/>
      <c r="CK274" s="12" t="n"/>
      <c r="CL274" s="12" t="n"/>
      <c r="CM274" s="12" t="n"/>
      <c r="CN274" s="12" t="n"/>
      <c r="CO274" s="12" t="n"/>
      <c r="CP274" s="12" t="n"/>
      <c r="CQ274" s="12" t="n"/>
      <c r="CR274" s="12" t="n"/>
      <c r="CS274" s="12" t="n"/>
      <c r="CT274" s="12" t="n"/>
      <c r="CU274" s="12" t="n"/>
      <c r="CV274" s="12" t="n"/>
      <c r="CW274" s="12" t="n"/>
      <c r="CX274" s="12" t="n"/>
      <c r="CY274" s="12" t="n"/>
    </row>
    <row r="275" collapsed="1">
      <c r="C275" s="10" t="inlineStr">
        <is>
          <t>Equity income in affiliates</t>
        </is>
      </c>
      <c r="D275" s="12" t="n"/>
      <c r="E275" s="12" t="n"/>
      <c r="F275" s="12" t="n"/>
      <c r="G275" s="12" t="n"/>
      <c r="H275" s="12" t="n"/>
      <c r="I275" s="12" t="n"/>
      <c r="J275" s="12">
        <f>(J146-I146)*-1</f>
        <v>0</v>
      </c>
      <c r="K275" s="12">
        <f>(K146-J146)*-1</f>
        <v>0</v>
      </c>
      <c r="L275" s="12">
        <f>(L146-K146)*-1</f>
        <v>0</v>
      </c>
      <c r="M275" s="12" t="n"/>
      <c r="N275" s="12">
        <f>(N146-M146)*-1</f>
        <v>0</v>
      </c>
      <c r="O275" s="12">
        <f>(O146-N146)*-1</f>
        <v>0</v>
      </c>
      <c r="P275" s="12">
        <f>(P146-O146)*-1</f>
        <v>0</v>
      </c>
      <c r="Q275" s="12">
        <f>(Q146-P146)*-1</f>
        <v>0</v>
      </c>
      <c r="R275" s="12">
        <f>SUM(N275:Q275)</f>
        <v>0</v>
      </c>
      <c r="S275" s="12">
        <f>(S146-R146)*-1</f>
        <v>0</v>
      </c>
      <c r="T275" s="12">
        <f>(T146-S146)*-1</f>
        <v>0</v>
      </c>
      <c r="U275" s="12">
        <f>(U146-T146)*-1</f>
        <v>0</v>
      </c>
      <c r="V275" s="12">
        <f>(V146-U146)*-1</f>
        <v>0</v>
      </c>
      <c r="W275" s="12">
        <f>SUM(S275:V275)</f>
        <v>0</v>
      </c>
      <c r="X275" s="12">
        <f>(X146-W146)*-1</f>
        <v>0</v>
      </c>
      <c r="Y275" s="12">
        <f>(Y146-X146)*-1</f>
        <v>0</v>
      </c>
      <c r="Z275" s="12">
        <f>(Z146-Y146)*-1</f>
        <v>0</v>
      </c>
      <c r="AA275" s="12">
        <f>(AA146-Z146)*-1</f>
        <v>0</v>
      </c>
      <c r="AB275" s="12">
        <f>SUM(X275:AA275)</f>
        <v>0</v>
      </c>
      <c r="AC275" s="12">
        <f>(AC146-AB146)*-1</f>
        <v>0</v>
      </c>
      <c r="AD275" s="12">
        <f>(AD146-AC146)*-1</f>
        <v>0</v>
      </c>
      <c r="AE275" s="12">
        <f>(AE146-AD146)*-1</f>
        <v>0</v>
      </c>
      <c r="AF275" s="12">
        <f>(AF146-AE146)*-1</f>
        <v>0</v>
      </c>
      <c r="AG275" s="12">
        <f>SUM(AC275:AF275)</f>
        <v>0</v>
      </c>
      <c r="AH275" s="12">
        <f>(AH146-AG146)*-1</f>
        <v>0</v>
      </c>
      <c r="AI275" s="12">
        <f>(AI146-AH146)*-1</f>
        <v>0</v>
      </c>
      <c r="AJ275" s="12">
        <f>(AJ146-AI146)*-1</f>
        <v>0</v>
      </c>
      <c r="AK275" s="12">
        <f>(AK146-AJ146)*-1</f>
        <v>0</v>
      </c>
      <c r="AL275" s="12">
        <f>SUM(AH275:AK275)</f>
        <v>0</v>
      </c>
      <c r="AM275" s="12">
        <f>(AM146-AL146)*-1</f>
        <v>0</v>
      </c>
      <c r="AN275" s="12">
        <f>(AN146-AM146)*-1</f>
        <v>0</v>
      </c>
      <c r="AO275" s="12">
        <f>(AO146-AN146)*-1</f>
        <v>0</v>
      </c>
      <c r="AP275" s="12">
        <f>(AP146-AO146)*-1</f>
        <v>0</v>
      </c>
      <c r="AQ275" s="12">
        <f>SUM(AM275:AP275)</f>
        <v>0</v>
      </c>
      <c r="AR275" s="12">
        <f>(AR146-AQ146)*-1</f>
        <v>0</v>
      </c>
      <c r="AS275" s="12">
        <f>(AS146-AR146)*-1</f>
        <v>0</v>
      </c>
      <c r="AT275" s="12">
        <f>(AT146-AS146)*-1</f>
        <v>0</v>
      </c>
      <c r="AU275" s="12">
        <f>(AU146-AT146)*-1</f>
        <v>0</v>
      </c>
      <c r="AV275" s="12">
        <f>SUM(AR275:AU275)</f>
        <v>0</v>
      </c>
      <c r="AW275" s="12">
        <f>(AW146-AV146)*-1</f>
        <v>0</v>
      </c>
      <c r="AX275" s="12">
        <f>(AX146-AW146)*-1</f>
        <v>0</v>
      </c>
      <c r="AY275" s="12">
        <f>(AY146-AX146)*-1</f>
        <v>0</v>
      </c>
      <c r="AZ275" s="12">
        <f>(AZ146-AY146)*-1</f>
        <v>0</v>
      </c>
      <c r="BA275" s="12">
        <f>SUM(AW275:AZ275)</f>
        <v>0</v>
      </c>
      <c r="BB275" s="12">
        <f>(BB146-BA146)*-1</f>
        <v>0</v>
      </c>
      <c r="BC275" s="12">
        <f>(BC146-BB146)*-1</f>
        <v>0</v>
      </c>
      <c r="BD275" s="12">
        <f>(BD146-BC146)*-1</f>
        <v>0</v>
      </c>
      <c r="BE275" s="12">
        <f>(BE146-BD146)*-1</f>
        <v>0</v>
      </c>
      <c r="BF275" s="12">
        <f>SUM(BB275:BE275)</f>
        <v>0</v>
      </c>
      <c r="BG275" s="12" t="n"/>
      <c r="BH275" s="12" t="n"/>
      <c r="BI275" s="12" t="n"/>
      <c r="BJ275" s="12" t="n"/>
      <c r="BK275" s="12" t="n"/>
      <c r="BL275" s="12" t="n"/>
      <c r="BM275" s="12" t="n"/>
      <c r="BN275" s="12" t="n"/>
      <c r="BO275" s="12" t="n"/>
      <c r="BP275" s="12" t="n"/>
      <c r="BQ275" s="12" t="n"/>
      <c r="BR275" s="12" t="n"/>
      <c r="BS275" s="12" t="n"/>
      <c r="BT275" s="12" t="n"/>
      <c r="BU275" s="12" t="n"/>
      <c r="BV275" s="12" t="n"/>
      <c r="BW275" s="12" t="n"/>
      <c r="BX275" s="12" t="n"/>
      <c r="BY275" s="12" t="n"/>
      <c r="BZ275" s="12" t="n"/>
      <c r="CA275" s="12" t="n"/>
      <c r="CB275" s="12" t="n"/>
      <c r="CC275" s="12" t="n"/>
      <c r="CD275" s="12" t="n"/>
      <c r="CE275" s="12" t="n"/>
      <c r="CF275" s="12" t="n"/>
      <c r="CG275" s="12" t="n"/>
      <c r="CH275" s="12" t="n"/>
      <c r="CI275" s="12" t="n"/>
      <c r="CJ275" s="12" t="n"/>
      <c r="CK275" s="12" t="n"/>
      <c r="CL275" s="12" t="n"/>
      <c r="CM275" s="12" t="n"/>
      <c r="CN275" s="12" t="n"/>
      <c r="CO275" s="12" t="n"/>
      <c r="CP275" s="12" t="n"/>
      <c r="CQ275" s="12" t="n"/>
      <c r="CR275" s="12" t="n"/>
      <c r="CS275" s="12" t="n"/>
      <c r="CT275" s="12" t="n"/>
      <c r="CU275" s="12" t="n"/>
      <c r="CV275" s="12" t="n"/>
      <c r="CW275" s="12" t="n"/>
      <c r="CX275" s="12" t="n"/>
      <c r="CY275" s="12" t="n"/>
    </row>
    <row r="276">
      <c r="C276" s="10" t="inlineStr">
        <is>
          <t>Dividends received from affiliates</t>
        </is>
      </c>
      <c r="D276" s="12" t="n"/>
      <c r="E276" s="12" t="n"/>
      <c r="F276" s="12" t="n"/>
      <c r="G276" s="12" t="n"/>
      <c r="H276" s="12" t="n"/>
      <c r="I276" s="12" t="n"/>
      <c r="J276" s="12">
        <f>-J149</f>
        <v>0</v>
      </c>
      <c r="K276" s="12">
        <f>-K149</f>
        <v>0</v>
      </c>
      <c r="L276" s="12">
        <f>-L149</f>
        <v>0</v>
      </c>
      <c r="M276" s="12" t="n"/>
      <c r="N276" s="12">
        <f>-N149</f>
        <v>0</v>
      </c>
      <c r="O276" s="12">
        <f>-O149</f>
        <v>0</v>
      </c>
      <c r="P276" s="12">
        <f>-P149</f>
        <v>0</v>
      </c>
      <c r="Q276" s="12">
        <f>-Q149</f>
        <v>0</v>
      </c>
      <c r="R276" s="12">
        <f>SUM(N276:Q276)</f>
        <v>0</v>
      </c>
      <c r="S276" s="12">
        <f>-S149</f>
        <v>0</v>
      </c>
      <c r="T276" s="12">
        <f>-T149</f>
        <v>0</v>
      </c>
      <c r="U276" s="12">
        <f>-U149</f>
        <v>0</v>
      </c>
      <c r="V276" s="12">
        <f>-V149</f>
        <v>0</v>
      </c>
      <c r="W276" s="12">
        <f>SUM(S276:V276)</f>
        <v>0</v>
      </c>
      <c r="X276" s="12">
        <f>-X149</f>
        <v>0</v>
      </c>
      <c r="Y276" s="12">
        <f>-Y149</f>
        <v>0</v>
      </c>
      <c r="Z276" s="12">
        <f>-Z149</f>
        <v>0</v>
      </c>
      <c r="AA276" s="12">
        <f>-AA149</f>
        <v>0</v>
      </c>
      <c r="AB276" s="12">
        <f>SUM(X276:AA276)</f>
        <v>0</v>
      </c>
      <c r="AC276" s="12">
        <f>-AC149</f>
        <v>0</v>
      </c>
      <c r="AD276" s="12">
        <f>-AD149</f>
        <v>0</v>
      </c>
      <c r="AE276" s="12">
        <f>-AE149</f>
        <v>0</v>
      </c>
      <c r="AF276" s="12">
        <f>-AF149</f>
        <v>0</v>
      </c>
      <c r="AG276" s="12">
        <f>SUM(AC276:AF276)</f>
        <v>0</v>
      </c>
      <c r="AH276" s="12">
        <f>-AH149</f>
        <v>0</v>
      </c>
      <c r="AI276" s="12">
        <f>-AI149</f>
        <v>0</v>
      </c>
      <c r="AJ276" s="12">
        <f>-AJ149</f>
        <v>0</v>
      </c>
      <c r="AK276" s="12">
        <f>-AK149</f>
        <v>0</v>
      </c>
      <c r="AL276" s="12">
        <f>SUM(AH276:AK276)</f>
        <v>0</v>
      </c>
      <c r="AM276" s="12">
        <f>-AM149</f>
        <v>0</v>
      </c>
      <c r="AN276" s="12">
        <f>-AN149</f>
        <v>0</v>
      </c>
      <c r="AO276" s="12">
        <f>-AO149</f>
        <v>0</v>
      </c>
      <c r="AP276" s="12">
        <f>-AP149</f>
        <v>0</v>
      </c>
      <c r="AQ276" s="12">
        <f>SUM(AM276:AP276)</f>
        <v>0</v>
      </c>
      <c r="AR276" s="12">
        <f>-AR149</f>
        <v>0</v>
      </c>
      <c r="AS276" s="12">
        <f>-AS149</f>
        <v>0</v>
      </c>
      <c r="AT276" s="12">
        <f>-AT149</f>
        <v>0</v>
      </c>
      <c r="AU276" s="12">
        <f>-AU149</f>
        <v>0</v>
      </c>
      <c r="AV276" s="12">
        <f>SUM(AR276:AU276)</f>
        <v>0</v>
      </c>
      <c r="AW276" s="12">
        <f>-AW149</f>
        <v>0</v>
      </c>
      <c r="AX276" s="12">
        <f>-AX149</f>
        <v>0</v>
      </c>
      <c r="AY276" s="12">
        <f>-AY149</f>
        <v>0</v>
      </c>
      <c r="AZ276" s="12">
        <f>-AZ149</f>
        <v>0</v>
      </c>
      <c r="BA276" s="12">
        <f>SUM(AW276:AZ276)</f>
        <v>0</v>
      </c>
      <c r="BB276" s="12">
        <f>-BB149</f>
        <v>0</v>
      </c>
      <c r="BC276" s="12">
        <f>-BC149</f>
        <v>0</v>
      </c>
      <c r="BD276" s="12">
        <f>-BD149</f>
        <v>0</v>
      </c>
      <c r="BE276" s="12">
        <f>-BE149</f>
        <v>0</v>
      </c>
      <c r="BF276" s="12">
        <f>SUM(BB276:BE276)</f>
        <v>0</v>
      </c>
      <c r="BG276" s="12" t="n"/>
      <c r="BH276" s="12" t="n"/>
      <c r="BI276" s="12" t="n"/>
      <c r="BJ276" s="12" t="n"/>
      <c r="BK276" s="12" t="n"/>
      <c r="BL276" s="12" t="n"/>
      <c r="BM276" s="12" t="n"/>
      <c r="BN276" s="12" t="n"/>
      <c r="BO276" s="12" t="n"/>
      <c r="BP276" s="12" t="n"/>
      <c r="BQ276" s="12" t="n"/>
      <c r="BR276" s="12" t="n"/>
      <c r="BS276" s="12" t="n"/>
      <c r="BT276" s="12" t="n"/>
      <c r="BU276" s="12" t="n"/>
      <c r="BV276" s="12" t="n"/>
      <c r="BW276" s="12" t="n"/>
      <c r="BX276" s="12" t="n"/>
      <c r="BY276" s="12" t="n"/>
      <c r="BZ276" s="12" t="n"/>
      <c r="CA276" s="12" t="n"/>
      <c r="CB276" s="12" t="n"/>
      <c r="CC276" s="12" t="n"/>
      <c r="CD276" s="12" t="n"/>
      <c r="CE276" s="12" t="n"/>
      <c r="CF276" s="12" t="n"/>
      <c r="CG276" s="12" t="n"/>
      <c r="CH276" s="12" t="n"/>
      <c r="CI276" s="12" t="n"/>
      <c r="CJ276" s="12" t="n"/>
      <c r="CK276" s="12" t="n"/>
      <c r="CL276" s="12" t="n"/>
      <c r="CM276" s="12" t="n"/>
      <c r="CN276" s="12" t="n"/>
      <c r="CO276" s="12" t="n"/>
      <c r="CP276" s="12" t="n"/>
      <c r="CQ276" s="12" t="n"/>
      <c r="CR276" s="12" t="n"/>
      <c r="CS276" s="12" t="n"/>
      <c r="CT276" s="12" t="n"/>
      <c r="CU276" s="12" t="n"/>
      <c r="CV276" s="12" t="n"/>
      <c r="CW276" s="12" t="n"/>
      <c r="CX276" s="12" t="n"/>
      <c r="CY276" s="12" t="n"/>
    </row>
    <row r="277">
      <c r="C277" s="71" t="inlineStr">
        <is>
          <t>Minority interest expense</t>
        </is>
      </c>
      <c r="D277" s="12" t="n"/>
      <c r="E277" s="12" t="n"/>
      <c r="F277" s="12" t="n"/>
      <c r="G277" s="12" t="n"/>
      <c r="H277" s="12" t="n"/>
      <c r="I277" s="12" t="n"/>
      <c r="J277" s="12">
        <f>-J121</f>
        <v>-3</v>
      </c>
      <c r="K277" s="12">
        <f>-K121</f>
        <v>-73</v>
      </c>
      <c r="L277" s="12">
        <f>-L121</f>
        <v>1</v>
      </c>
      <c r="M277" s="12" t="n"/>
      <c r="N277" s="12">
        <f>-N121</f>
        <v>28</v>
      </c>
      <c r="O277" s="12">
        <f>-O121</f>
        <v>19</v>
      </c>
      <c r="P277" s="12">
        <f>-P121</f>
        <v>4</v>
      </c>
      <c r="Q277" s="12">
        <f>-Q121</f>
        <v>16</v>
      </c>
      <c r="R277" s="12">
        <f>SUM(N277:Q277)</f>
        <v>67</v>
      </c>
      <c r="S277" s="12">
        <f>-S121</f>
        <v>-27</v>
      </c>
      <c r="T277" s="12">
        <f>-T121</f>
        <v>4</v>
      </c>
      <c r="U277" s="12">
        <f>-U121</f>
        <v>-14</v>
      </c>
      <c r="V277" s="12">
        <f>-V121</f>
        <v>0</v>
      </c>
      <c r="W277" s="12">
        <f>SUM(S277:V277)</f>
        <v>-37</v>
      </c>
      <c r="X277" s="12">
        <f>-X121</f>
        <v>27</v>
      </c>
      <c r="Y277" s="12">
        <f>-Y121</f>
        <v>2</v>
      </c>
      <c r="Z277" s="12">
        <f>-Z121</f>
        <v>-10</v>
      </c>
      <c r="AA277" s="12">
        <f>-AA121</f>
        <v>-8</v>
      </c>
      <c r="AB277" s="12">
        <f>SUM(X277:AA277)</f>
        <v>11</v>
      </c>
      <c r="AC277" s="12">
        <f>-AC121</f>
        <v>-5</v>
      </c>
      <c r="AD277" s="12">
        <f>-AD121</f>
        <v>-7</v>
      </c>
      <c r="AE277" s="12">
        <f>-AE121</f>
        <v>-3</v>
      </c>
      <c r="AF277" s="12">
        <f>-AF121</f>
        <v>10</v>
      </c>
      <c r="AG277" s="12">
        <f>SUM(AC277:AF277)</f>
        <v>-5</v>
      </c>
      <c r="AH277" s="12">
        <f>-AH121</f>
        <v>16</v>
      </c>
      <c r="AI277" s="12">
        <f>-AI121</f>
        <v>-13</v>
      </c>
      <c r="AJ277" s="12">
        <f>-AJ121</f>
        <v>0</v>
      </c>
      <c r="AK277" s="12">
        <f>-AK121</f>
        <v>0</v>
      </c>
      <c r="AL277" s="12">
        <f>SUM(AH277:AK277)</f>
        <v>3</v>
      </c>
      <c r="AM277" s="12">
        <f>-AM121</f>
        <v>0</v>
      </c>
      <c r="AN277" s="12">
        <f>-AN121</f>
        <v>0</v>
      </c>
      <c r="AO277" s="12">
        <f>-AO121</f>
        <v>0</v>
      </c>
      <c r="AP277" s="12">
        <f>-AP121</f>
        <v>0</v>
      </c>
      <c r="AQ277" s="12">
        <f>SUM(AM277:AP277)</f>
        <v>0</v>
      </c>
      <c r="AR277" s="12">
        <f>-AR121</f>
        <v>0</v>
      </c>
      <c r="AS277" s="12">
        <f>-AS121</f>
        <v>0</v>
      </c>
      <c r="AT277" s="12">
        <f>-AT121</f>
        <v>0</v>
      </c>
      <c r="AU277" s="12">
        <f>-AU121</f>
        <v>0</v>
      </c>
      <c r="AV277" s="12">
        <f>SUM(AR277:AU277)</f>
        <v>0</v>
      </c>
      <c r="AW277" s="12">
        <f>-AW121</f>
        <v>0</v>
      </c>
      <c r="AX277" s="12">
        <f>-AX121</f>
        <v>0</v>
      </c>
      <c r="AY277" s="12">
        <f>-AY121</f>
        <v>0</v>
      </c>
      <c r="AZ277" s="12">
        <f>-AZ121</f>
        <v>0</v>
      </c>
      <c r="BA277" s="12">
        <f>SUM(AW277:AZ277)</f>
        <v>0</v>
      </c>
      <c r="BB277" s="12">
        <f>-BB121</f>
        <v>0</v>
      </c>
      <c r="BC277" s="12">
        <f>-BC121</f>
        <v>0</v>
      </c>
      <c r="BD277" s="12">
        <f>-BD121</f>
        <v>0</v>
      </c>
      <c r="BE277" s="12">
        <f>-BE121</f>
        <v>0</v>
      </c>
      <c r="BF277" s="12">
        <f>SUM(BB277:BE277)</f>
        <v>0</v>
      </c>
      <c r="BG277" s="12" t="n"/>
      <c r="BH277" s="12" t="n"/>
      <c r="BI277" s="12" t="n"/>
      <c r="BJ277" s="12" t="n"/>
      <c r="BK277" s="12" t="n"/>
      <c r="BL277" s="12" t="n"/>
      <c r="BM277" s="12" t="n"/>
      <c r="BN277" s="12" t="n"/>
      <c r="BO277" s="12" t="n"/>
      <c r="BP277" s="12" t="n"/>
      <c r="BQ277" s="12" t="n"/>
      <c r="BR277" s="12" t="n"/>
      <c r="BS277" s="12" t="n"/>
      <c r="BT277" s="12" t="n"/>
      <c r="BU277" s="12" t="n"/>
      <c r="BV277" s="12" t="n"/>
      <c r="BW277" s="12" t="n"/>
      <c r="BX277" s="12" t="n"/>
      <c r="BY277" s="12" t="n"/>
      <c r="BZ277" s="12" t="n"/>
      <c r="CA277" s="12" t="n"/>
      <c r="CB277" s="12" t="n"/>
      <c r="CC277" s="12" t="n"/>
      <c r="CD277" s="12" t="n"/>
      <c r="CE277" s="12" t="n"/>
      <c r="CF277" s="12" t="n"/>
      <c r="CG277" s="12" t="n"/>
      <c r="CH277" s="12" t="n"/>
      <c r="CI277" s="12" t="n"/>
      <c r="CJ277" s="12" t="n"/>
      <c r="CK277" s="12" t="n"/>
      <c r="CL277" s="12" t="n"/>
      <c r="CM277" s="12" t="n"/>
      <c r="CN277" s="12" t="n"/>
      <c r="CO277" s="12" t="n"/>
      <c r="CP277" s="12" t="n"/>
      <c r="CQ277" s="12" t="n"/>
      <c r="CR277" s="12" t="n"/>
      <c r="CS277" s="12" t="n"/>
      <c r="CT277" s="12" t="n"/>
      <c r="CU277" s="12" t="n"/>
      <c r="CV277" s="12" t="n"/>
      <c r="CW277" s="12" t="n"/>
      <c r="CX277" s="12" t="n"/>
      <c r="CY277" s="12" t="n"/>
    </row>
    <row r="278">
      <c r="C278" s="14" t="inlineStr">
        <is>
          <t>Cash from operations</t>
        </is>
      </c>
      <c r="D278" s="12" t="n"/>
      <c r="E278" s="12" t="n"/>
      <c r="F278" s="12" t="n"/>
      <c r="G278" s="12" t="n"/>
      <c r="H278" s="12" t="n"/>
      <c r="I278" s="12" t="n"/>
      <c r="J278" s="12">
        <f>SUM(J262,J263,J264,J275,J276,J277)</f>
        <v>-685</v>
      </c>
      <c r="K278" s="12">
        <f>SUM(K262,K263,K264,K275,K276,K277)</f>
        <v>3225</v>
      </c>
      <c r="L278" s="12">
        <f>SUM(L262,L263,L264,L275,L276,L277)</f>
        <v>23680</v>
      </c>
      <c r="M278" s="12" t="n"/>
      <c r="N278" s="12">
        <f>SUM(N262,N263,N264,N275,N276,N277)</f>
        <v>510</v>
      </c>
      <c r="O278" s="12">
        <f>SUM(O262,O263,O264,O275,O276,O277)</f>
        <v>2777</v>
      </c>
      <c r="P278" s="12">
        <f>SUM(P262,P263,P264,P275,P276,P277)</f>
        <v>1437</v>
      </c>
      <c r="Q278" s="12">
        <f>SUM(Q262,Q263,Q264,Q275,Q276,Q277)</f>
        <v>3839</v>
      </c>
      <c r="R278" s="12">
        <f>SUM(R262,R263,R264,R275,R276,R277)</f>
        <v>8563</v>
      </c>
      <c r="S278" s="12">
        <f>SUM(S262,S263,S264,S275,S276,S277)</f>
        <v>2617</v>
      </c>
      <c r="T278" s="12">
        <f>SUM(T262,T263,T264,T275,T276,T277)</f>
        <v>1527</v>
      </c>
      <c r="U278" s="12">
        <f>SUM(U262,U263,U264,U275,U276,U277)</f>
        <v>5578</v>
      </c>
      <c r="V278" s="12">
        <f>SUM(V262,V263,V264,V275,V276,V277)</f>
        <v>4894</v>
      </c>
      <c r="W278" s="12">
        <f>SUM(W262,W263,W264,W275,W276,W277)</f>
        <v>14616</v>
      </c>
      <c r="X278" s="12">
        <f>SUM(X262,X263,X264,X275,X276,X277)</f>
        <v>4324</v>
      </c>
      <c r="Y278" s="12">
        <f>SUM(Y262,Y263,Y264,Y275,Y276,Y277)</f>
        <v>1337</v>
      </c>
      <c r="Z278" s="12">
        <f>SUM(Z262,Z263,Z264,Z275,Z276,Z277)</f>
        <v>3594</v>
      </c>
      <c r="AA278" s="12">
        <f>SUM(AA262,AA263,AA264,AA275,AA276,AA277)</f>
        <v>3331</v>
      </c>
      <c r="AB278" s="12">
        <f>SUM(AB262,AB263,AB264,AB275,AB276,AB277)</f>
        <v>12586</v>
      </c>
      <c r="AC278" s="12">
        <f>SUM(AC262,AC263,AC264,AC275,AC276,AC277)</f>
        <v>1688</v>
      </c>
      <c r="AD278" s="12">
        <f>SUM(AD262,AD263,AD264,AD275,AD276,AD277)</f>
        <v>2255</v>
      </c>
      <c r="AE278" s="12">
        <f>SUM(AE262,AE263,AE264,AE275,AE276,AE277)</f>
        <v>2340</v>
      </c>
      <c r="AF278" s="12">
        <f>SUM(AF262,AF263,AF264,AF275,AF276,AF277)</f>
        <v>3683</v>
      </c>
      <c r="AG278" s="12">
        <f>SUM(AG262,AG263,AG264,AG275,AG276,AG277)</f>
        <v>9966</v>
      </c>
      <c r="AH278" s="12">
        <f>SUM(AH262,AH263,AH264,AH275,AH276,AH277)</f>
        <v>2085</v>
      </c>
      <c r="AI278" s="12">
        <f>SUM(AI262,AI263,AI264,AI275,AI276,AI277)</f>
        <v>2161</v>
      </c>
      <c r="AJ278" s="12">
        <f>SUM(AJ262,AJ263,AJ264,AJ275,AJ276,AJ277)</f>
        <v>1254.49480951551</v>
      </c>
      <c r="AK278" s="12">
        <f>SUM(AK262,AK263,AK264,AK275,AK276,AK277)</f>
        <v>2583.86187377945</v>
      </c>
      <c r="AL278" s="12">
        <f>SUM(AL262,AL263,AL264,AL275,AL276,AL277)</f>
        <v>8084.35668329495</v>
      </c>
      <c r="AM278" s="12">
        <f>SUM(AM262,AM263,AM264,AM275,AM276,AM277)</f>
        <v>3262.82864567896</v>
      </c>
      <c r="AN278" s="12">
        <f>SUM(AN262,AN263,AN264,AN275,AN276,AN277)</f>
        <v>2366.1962652869</v>
      </c>
      <c r="AO278" s="12">
        <f>SUM(AO262,AO263,AO264,AO275,AO276,AO277)</f>
        <v>2324.89104836736</v>
      </c>
      <c r="AP278" s="12">
        <f>SUM(AP262,AP263,AP264,AP275,AP276,AP277)</f>
        <v>3097.93103402857</v>
      </c>
      <c r="AQ278" s="12">
        <f>SUM(AQ262,AQ263,AQ264,AQ275,AQ276,AQ277)</f>
        <v>11051.8469933618</v>
      </c>
      <c r="AR278" s="12">
        <f>SUM(AR262,AR263,AR264,AR275,AR276,AR277)</f>
        <v>4194.99060524015</v>
      </c>
      <c r="AS278" s="12">
        <f>SUM(AS262,AS263,AS264,AS275,AS276,AS277)</f>
        <v>2608.63234647176</v>
      </c>
      <c r="AT278" s="12">
        <f>SUM(AT262,AT263,AT264,AT275,AT276,AT277)</f>
        <v>2775.81252138629</v>
      </c>
      <c r="AU278" s="12">
        <f>SUM(AU262,AU263,AU264,AU275,AU276,AU277)</f>
        <v>3698.78655633626</v>
      </c>
      <c r="AV278" s="12">
        <f>SUM(AV262,AV263,AV264,AV275,AV276,AV277)</f>
        <v>13278.2220294345</v>
      </c>
      <c r="AW278" s="12">
        <f>SUM(AW262,AW263,AW264,AW275,AW276,AW277)</f>
        <v>4829.55149792535</v>
      </c>
      <c r="AX278" s="12">
        <f>SUM(AX262,AX263,AX264,AX275,AX276,AX277)</f>
        <v>3358.94793431381</v>
      </c>
      <c r="AY278" s="12">
        <f>SUM(AY262,AY263,AY264,AY275,AY276,AY277)</f>
        <v>3300.31286879382</v>
      </c>
      <c r="AZ278" s="12">
        <f>SUM(AZ262,AZ263,AZ264,AZ275,AZ276,AZ277)</f>
        <v>4397.68636273088</v>
      </c>
      <c r="BA278" s="12">
        <f>SUM(BA262,BA263,BA264,BA275,BA276,BA277)</f>
        <v>15886.4986637639</v>
      </c>
      <c r="BB278" s="12">
        <f>SUM(BB262,BB263,BB264,BB275,BB276,BB277)</f>
        <v>5836.53268101176</v>
      </c>
      <c r="BC278" s="12">
        <f>SUM(BC262,BC263,BC264,BC275,BC276,BC277)</f>
        <v>3976.83919915363</v>
      </c>
      <c r="BD278" s="12">
        <f>SUM(BD262,BD263,BD264,BD275,BD276,BD277)</f>
        <v>3907.41799002362</v>
      </c>
      <c r="BE278" s="12">
        <f>SUM(BE262,BE263,BE264,BE275,BE276,BE277)</f>
        <v>5206.65751744208</v>
      </c>
      <c r="BF278" s="12">
        <f>SUM(BF262,BF263,BF264,BF275,BF276,BF277)</f>
        <v>18927.4473876311</v>
      </c>
      <c r="BG278" s="12" t="n"/>
      <c r="BH278" s="12" t="n"/>
      <c r="BI278" s="12" t="n"/>
      <c r="BJ278" s="12" t="n"/>
      <c r="BK278" s="12" t="n"/>
      <c r="BL278" s="12" t="n"/>
      <c r="BM278" s="12" t="n"/>
      <c r="BN278" s="12" t="n"/>
      <c r="BO278" s="12" t="n"/>
      <c r="BP278" s="12" t="n"/>
      <c r="BQ278" s="12" t="n"/>
      <c r="BR278" s="12" t="n"/>
      <c r="BS278" s="12" t="n"/>
      <c r="BT278" s="12" t="n"/>
      <c r="BU278" s="12" t="n"/>
      <c r="BV278" s="12" t="n"/>
      <c r="BW278" s="12" t="n"/>
      <c r="BX278" s="12" t="n"/>
      <c r="BY278" s="12" t="n"/>
      <c r="BZ278" s="12" t="n"/>
      <c r="CA278" s="12" t="n"/>
      <c r="CB278" s="12" t="n"/>
      <c r="CC278" s="12" t="n"/>
      <c r="CD278" s="12" t="n"/>
      <c r="CE278" s="12" t="n"/>
      <c r="CF278" s="12" t="n"/>
      <c r="CG278" s="12" t="n"/>
      <c r="CH278" s="12" t="n"/>
      <c r="CI278" s="12" t="n"/>
      <c r="CJ278" s="12" t="n"/>
      <c r="CK278" s="12" t="n"/>
      <c r="CL278" s="12" t="n"/>
      <c r="CM278" s="12" t="n"/>
      <c r="CN278" s="12" t="n"/>
      <c r="CO278" s="12" t="n"/>
      <c r="CP278" s="12" t="n"/>
      <c r="CQ278" s="12" t="n"/>
      <c r="CR278" s="12" t="n"/>
      <c r="CS278" s="12" t="n"/>
      <c r="CT278" s="12" t="n"/>
      <c r="CU278" s="12" t="n"/>
      <c r="CV278" s="12" t="n"/>
      <c r="CW278" s="12" t="n"/>
      <c r="CX278" s="12" t="n"/>
      <c r="CY278" s="12" t="n"/>
    </row>
    <row r="279">
      <c r="C279" s="14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2" t="n"/>
      <c r="AC279" s="12" t="n"/>
      <c r="AD279" s="12" t="n"/>
      <c r="AE279" s="12" t="n"/>
      <c r="AF279" s="12" t="n"/>
      <c r="AG279" s="12" t="n"/>
      <c r="AH279" s="12" t="n"/>
      <c r="AI279" s="12" t="n"/>
      <c r="AJ279" s="12" t="n"/>
      <c r="AK279" s="12" t="n"/>
      <c r="AL279" s="12" t="n"/>
      <c r="AM279" s="12" t="n"/>
      <c r="AN279" s="12" t="n"/>
      <c r="AO279" s="12" t="n"/>
      <c r="AP279" s="12" t="n"/>
      <c r="AQ279" s="12" t="n"/>
      <c r="AR279" s="12" t="n"/>
      <c r="AS279" s="12" t="n"/>
      <c r="AT279" s="12" t="n"/>
      <c r="AU279" s="12" t="n"/>
      <c r="AV279" s="12" t="n"/>
      <c r="AW279" s="12" t="n"/>
      <c r="AX279" s="12" t="n"/>
      <c r="AY279" s="12" t="n"/>
      <c r="AZ279" s="12" t="n"/>
      <c r="BA279" s="12" t="n"/>
      <c r="BB279" s="12" t="n"/>
      <c r="BC279" s="12" t="n"/>
      <c r="BD279" s="12" t="n"/>
      <c r="BE279" s="12" t="n"/>
      <c r="BF279" s="12" t="n"/>
      <c r="BG279" s="12" t="n"/>
      <c r="BH279" s="12" t="n"/>
      <c r="BI279" s="12" t="n"/>
      <c r="BJ279" s="12" t="n"/>
      <c r="BK279" s="12" t="n"/>
      <c r="BL279" s="12" t="n"/>
      <c r="BM279" s="12" t="n"/>
      <c r="BN279" s="12" t="n"/>
      <c r="BO279" s="12" t="n"/>
      <c r="BP279" s="12" t="n"/>
      <c r="BQ279" s="12" t="n"/>
      <c r="BR279" s="12" t="n"/>
      <c r="BS279" s="12" t="n"/>
      <c r="BT279" s="12" t="n"/>
      <c r="BU279" s="12" t="n"/>
      <c r="BV279" s="12" t="n"/>
      <c r="BW279" s="12" t="n"/>
      <c r="BX279" s="12" t="n"/>
      <c r="BY279" s="12" t="n"/>
      <c r="BZ279" s="12" t="n"/>
      <c r="CA279" s="12" t="n"/>
      <c r="CB279" s="12" t="n"/>
      <c r="CC279" s="12" t="n"/>
      <c r="CD279" s="12" t="n"/>
      <c r="CE279" s="12" t="n"/>
      <c r="CF279" s="12" t="n"/>
      <c r="CG279" s="12" t="n"/>
      <c r="CH279" s="12" t="n"/>
      <c r="CI279" s="12" t="n"/>
      <c r="CJ279" s="12" t="n"/>
      <c r="CK279" s="12" t="n"/>
      <c r="CL279" s="12" t="n"/>
      <c r="CM279" s="12" t="n"/>
      <c r="CN279" s="12" t="n"/>
      <c r="CO279" s="12" t="n"/>
      <c r="CP279" s="12" t="n"/>
      <c r="CQ279" s="12" t="n"/>
      <c r="CR279" s="12" t="n"/>
      <c r="CS279" s="12" t="n"/>
      <c r="CT279" s="12" t="n"/>
      <c r="CU279" s="12" t="n"/>
      <c r="CV279" s="12" t="n"/>
      <c r="CW279" s="12" t="n"/>
      <c r="CX279" s="12" t="n"/>
      <c r="CY279" s="12" t="n"/>
    </row>
    <row r="280">
      <c r="C280" s="10" t="inlineStr">
        <is>
          <t>Purchase of fixed assets (capital expenditures)</t>
        </is>
      </c>
      <c r="D280" s="12" t="n"/>
      <c r="E280" s="12" t="n"/>
      <c r="F280" s="12" t="n"/>
      <c r="G280" s="12" t="n"/>
      <c r="H280" s="12" t="n"/>
      <c r="I280" s="12" t="n"/>
      <c r="J280" s="12">
        <f>-J153</f>
        <v>-483</v>
      </c>
      <c r="K280" s="12">
        <f>-K153</f>
        <v>-455</v>
      </c>
      <c r="L280" s="12">
        <f>-L153</f>
        <v>-481</v>
      </c>
      <c r="M280" s="12" t="n"/>
      <c r="N280" s="12">
        <f>-N153</f>
        <v>-460</v>
      </c>
      <c r="O280" s="12">
        <f>-O153</f>
        <v>-443</v>
      </c>
      <c r="P280" s="12">
        <f>-P153</f>
        <v>-407</v>
      </c>
      <c r="Q280" s="12">
        <f>-Q153</f>
        <v>-492</v>
      </c>
      <c r="R280" s="12">
        <f>SUM(N280:Q280)</f>
        <v>-1802</v>
      </c>
      <c r="S280" s="12">
        <f>-S153</f>
        <v>-367</v>
      </c>
      <c r="T280" s="12">
        <f>-T153</f>
        <v>-352</v>
      </c>
      <c r="U280" s="12">
        <f>-U153</f>
        <v>-378</v>
      </c>
      <c r="V280" s="12">
        <f>-V153</f>
        <v>-376</v>
      </c>
      <c r="W280" s="12">
        <f>SUM(S280:V280)</f>
        <v>-1473</v>
      </c>
      <c r="X280" s="12">
        <f>-X153</f>
        <v>-378</v>
      </c>
      <c r="Y280" s="12">
        <f>-Y153</f>
        <v>-199</v>
      </c>
      <c r="Z280" s="12">
        <f>-Z153</f>
        <v>-224</v>
      </c>
      <c r="AA280" s="12">
        <f>-AA153</f>
        <v>-209</v>
      </c>
      <c r="AB280" s="12">
        <f>SUM(X280:AA280)</f>
        <v>-1010</v>
      </c>
      <c r="AC280" s="12">
        <f>-AC153</f>
        <v>-210</v>
      </c>
      <c r="AD280" s="12">
        <f>-AD153</f>
        <v>-219</v>
      </c>
      <c r="AE280" s="12">
        <f>-AE153</f>
        <v>-214</v>
      </c>
      <c r="AF280" s="12">
        <f>-AF153</f>
        <v>-220</v>
      </c>
      <c r="AG280" s="12">
        <f>SUM(AC280:AF280)</f>
        <v>-863</v>
      </c>
      <c r="AH280" s="12">
        <f>-AH153</f>
        <v>-227</v>
      </c>
      <c r="AI280" s="12">
        <f>-AI153</f>
        <v>-224</v>
      </c>
      <c r="AJ280" s="12">
        <f>-AJ153</f>
        <v>-268.031560420421</v>
      </c>
      <c r="AK280" s="12">
        <f>-AK153</f>
        <v>-279.825741225391</v>
      </c>
      <c r="AL280" s="12">
        <f>SUM(AH280:AK280)</f>
        <v>-998.857301645812</v>
      </c>
      <c r="AM280" s="12">
        <f>-AM153</f>
        <v>-272.674418908945</v>
      </c>
      <c r="AN280" s="12">
        <f>-AN153</f>
        <v>-293.732312622297</v>
      </c>
      <c r="AO280" s="12">
        <f>-AO153</f>
        <v>-321.357460145876</v>
      </c>
      <c r="AP280" s="12">
        <f>-AP153</f>
        <v>-335.498138139324</v>
      </c>
      <c r="AQ280" s="12">
        <f>SUM(AM280:AP280)</f>
        <v>-1223.26232981644</v>
      </c>
      <c r="AR280" s="12">
        <f>-AR153</f>
        <v>-325.560660918155</v>
      </c>
      <c r="AS280" s="12">
        <f>-AS153</f>
        <v>-350.702813314755</v>
      </c>
      <c r="AT280" s="12">
        <f>-AT153</f>
        <v>-383.685963409012</v>
      </c>
      <c r="AU280" s="12">
        <f>-AU153</f>
        <v>-400.569279753091</v>
      </c>
      <c r="AV280" s="12">
        <f>SUM(AR280:AU280)</f>
        <v>-1460.51871739501</v>
      </c>
      <c r="AW280" s="12">
        <f>-AW153</f>
        <v>-387.076587674086</v>
      </c>
      <c r="AX280" s="12">
        <f>-AX153</f>
        <v>-416.969445518187</v>
      </c>
      <c r="AY280" s="12">
        <f>-AY153</f>
        <v>-456.184887436818</v>
      </c>
      <c r="AZ280" s="12">
        <f>-AZ153</f>
        <v>-476.258370703063</v>
      </c>
      <c r="BA280" s="12">
        <f>SUM(AW280:AZ280)</f>
        <v>-1736.48929133215</v>
      </c>
      <c r="BB280" s="12">
        <f>-BB153</f>
        <v>-458.280800131366</v>
      </c>
      <c r="BC280" s="12">
        <f>-BC153</f>
        <v>-493.672563020788</v>
      </c>
      <c r="BD280" s="12">
        <f>-BD153</f>
        <v>-540.101834829672</v>
      </c>
      <c r="BE280" s="12">
        <f>-BE153</f>
        <v>-563.867911791227</v>
      </c>
      <c r="BF280" s="12">
        <f>SUM(BB280:BE280)</f>
        <v>-2055.92310977305</v>
      </c>
      <c r="BG280" s="12" t="n"/>
      <c r="BH280" s="12" t="n"/>
      <c r="BI280" s="12" t="n"/>
      <c r="BJ280" s="12" t="n"/>
      <c r="BK280" s="12" t="n"/>
      <c r="BL280" s="12" t="n"/>
      <c r="BM280" s="12" t="n"/>
      <c r="BN280" s="12" t="n"/>
      <c r="BO280" s="12" t="n"/>
      <c r="BP280" s="12" t="n"/>
      <c r="BQ280" s="12" t="n"/>
      <c r="BR280" s="12" t="n"/>
      <c r="BS280" s="12" t="n"/>
      <c r="BT280" s="12" t="n"/>
      <c r="BU280" s="12" t="n"/>
      <c r="BV280" s="12" t="n"/>
      <c r="BW280" s="12" t="n"/>
      <c r="BX280" s="12" t="n"/>
      <c r="BY280" s="12" t="n"/>
      <c r="BZ280" s="12" t="n"/>
      <c r="CA280" s="12" t="n"/>
      <c r="CB280" s="12" t="n"/>
      <c r="CC280" s="12" t="n"/>
      <c r="CD280" s="12" t="n"/>
      <c r="CE280" s="12" t="n"/>
      <c r="CF280" s="12" t="n"/>
      <c r="CG280" s="12" t="n"/>
      <c r="CH280" s="12" t="n"/>
      <c r="CI280" s="12" t="n"/>
      <c r="CJ280" s="12" t="n"/>
      <c r="CK280" s="12" t="n"/>
      <c r="CL280" s="12" t="n"/>
      <c r="CM280" s="12" t="n"/>
      <c r="CN280" s="12" t="n"/>
      <c r="CO280" s="12" t="n"/>
      <c r="CP280" s="12" t="n"/>
      <c r="CQ280" s="12" t="n"/>
      <c r="CR280" s="12" t="n"/>
      <c r="CS280" s="12" t="n"/>
      <c r="CT280" s="12" t="n"/>
      <c r="CU280" s="12" t="n"/>
      <c r="CV280" s="12" t="n"/>
      <c r="CW280" s="12" t="n"/>
      <c r="CX280" s="12" t="n"/>
      <c r="CY280" s="12" t="n"/>
    </row>
    <row r="281">
      <c r="C281" s="10" t="inlineStr">
        <is>
          <t>Proceeds from sale of fixed assets</t>
        </is>
      </c>
      <c r="D281" s="12" t="n"/>
      <c r="E281" s="12" t="n"/>
      <c r="F281" s="12" t="n"/>
      <c r="G281" s="12" t="n"/>
      <c r="H281" s="12" t="n"/>
      <c r="I281" s="12" t="n"/>
      <c r="J281" s="12">
        <f>-J154</f>
        <v>0</v>
      </c>
      <c r="K281" s="12">
        <f>-K154</f>
        <v>0</v>
      </c>
      <c r="L281" s="12">
        <f>-L154</f>
        <v>0</v>
      </c>
      <c r="M281" s="12" t="n"/>
      <c r="N281" s="12">
        <f>-N154</f>
        <v>0</v>
      </c>
      <c r="O281" s="12">
        <f>-O154</f>
        <v>0</v>
      </c>
      <c r="P281" s="12">
        <f>-P154</f>
        <v>0</v>
      </c>
      <c r="Q281" s="12">
        <f>-Q154</f>
        <v>0</v>
      </c>
      <c r="R281" s="12">
        <f>SUM(N281:Q281)</f>
        <v>0</v>
      </c>
      <c r="S281" s="12">
        <f>-S154</f>
        <v>0</v>
      </c>
      <c r="T281" s="12">
        <f>-T154</f>
        <v>0</v>
      </c>
      <c r="U281" s="12">
        <f>-U154</f>
        <v>0</v>
      </c>
      <c r="V281" s="12">
        <f>-V154</f>
        <v>0</v>
      </c>
      <c r="W281" s="12">
        <f>SUM(S281:V281)</f>
        <v>0</v>
      </c>
      <c r="X281" s="12">
        <f>-X154</f>
        <v>0</v>
      </c>
      <c r="Y281" s="12">
        <f>-Y154</f>
        <v>0</v>
      </c>
      <c r="Z281" s="12">
        <f>-Z154</f>
        <v>0</v>
      </c>
      <c r="AA281" s="12">
        <f>-AA154</f>
        <v>0</v>
      </c>
      <c r="AB281" s="12">
        <f>SUM(X281:AA281)</f>
        <v>0</v>
      </c>
      <c r="AC281" s="12">
        <f>-AC154</f>
        <v>0</v>
      </c>
      <c r="AD281" s="12">
        <f>-AD154</f>
        <v>0</v>
      </c>
      <c r="AE281" s="12">
        <f>-AE154</f>
        <v>0</v>
      </c>
      <c r="AF281" s="12">
        <f>-AF154</f>
        <v>0</v>
      </c>
      <c r="AG281" s="12">
        <f>SUM(AC281:AF281)</f>
        <v>0</v>
      </c>
      <c r="AH281" s="12">
        <f>-AH154</f>
        <v>0</v>
      </c>
      <c r="AI281" s="12">
        <f>-AI154</f>
        <v>0</v>
      </c>
      <c r="AJ281" s="12">
        <f>-AJ154</f>
        <v>0</v>
      </c>
      <c r="AK281" s="12">
        <f>-AK154</f>
        <v>0</v>
      </c>
      <c r="AL281" s="12">
        <f>SUM(AH281:AK281)</f>
        <v>0</v>
      </c>
      <c r="AM281" s="12">
        <f>-AM154</f>
        <v>0</v>
      </c>
      <c r="AN281" s="12">
        <f>-AN154</f>
        <v>0</v>
      </c>
      <c r="AO281" s="12">
        <f>-AO154</f>
        <v>0</v>
      </c>
      <c r="AP281" s="12">
        <f>-AP154</f>
        <v>0</v>
      </c>
      <c r="AQ281" s="12">
        <f>SUM(AM281:AP281)</f>
        <v>0</v>
      </c>
      <c r="AR281" s="12">
        <f>-AR154</f>
        <v>0</v>
      </c>
      <c r="AS281" s="12">
        <f>-AS154</f>
        <v>0</v>
      </c>
      <c r="AT281" s="12">
        <f>-AT154</f>
        <v>0</v>
      </c>
      <c r="AU281" s="12">
        <f>-AU154</f>
        <v>0</v>
      </c>
      <c r="AV281" s="12">
        <f>SUM(AR281:AU281)</f>
        <v>0</v>
      </c>
      <c r="AW281" s="12">
        <f>-AW154</f>
        <v>0</v>
      </c>
      <c r="AX281" s="12">
        <f>-AX154</f>
        <v>0</v>
      </c>
      <c r="AY281" s="12">
        <f>-AY154</f>
        <v>0</v>
      </c>
      <c r="AZ281" s="12">
        <f>-AZ154</f>
        <v>0</v>
      </c>
      <c r="BA281" s="12">
        <f>SUM(AW281:AZ281)</f>
        <v>0</v>
      </c>
      <c r="BB281" s="12">
        <f>-BB154</f>
        <v>0</v>
      </c>
      <c r="BC281" s="12">
        <f>-BC154</f>
        <v>0</v>
      </c>
      <c r="BD281" s="12">
        <f>-BD154</f>
        <v>0</v>
      </c>
      <c r="BE281" s="12">
        <f>-BE154</f>
        <v>0</v>
      </c>
      <c r="BF281" s="12">
        <f>SUM(BB281:BE281)</f>
        <v>0</v>
      </c>
      <c r="BG281" s="12" t="n"/>
      <c r="BH281" s="12" t="n"/>
      <c r="BI281" s="12" t="n"/>
      <c r="BJ281" s="12" t="n"/>
      <c r="BK281" s="12" t="n"/>
      <c r="BL281" s="12" t="n"/>
      <c r="BM281" s="12" t="n"/>
      <c r="BN281" s="12" t="n"/>
      <c r="BO281" s="12" t="n"/>
      <c r="BP281" s="12" t="n"/>
      <c r="BQ281" s="12" t="n"/>
      <c r="BR281" s="12" t="n"/>
      <c r="BS281" s="12" t="n"/>
      <c r="BT281" s="12" t="n"/>
      <c r="BU281" s="12" t="n"/>
      <c r="BV281" s="12" t="n"/>
      <c r="BW281" s="12" t="n"/>
      <c r="BX281" s="12" t="n"/>
      <c r="BY281" s="12" t="n"/>
      <c r="BZ281" s="12" t="n"/>
      <c r="CA281" s="12" t="n"/>
      <c r="CB281" s="12" t="n"/>
      <c r="CC281" s="12" t="n"/>
      <c r="CD281" s="12" t="n"/>
      <c r="CE281" s="12" t="n"/>
      <c r="CF281" s="12" t="n"/>
      <c r="CG281" s="12" t="n"/>
      <c r="CH281" s="12" t="n"/>
      <c r="CI281" s="12" t="n"/>
      <c r="CJ281" s="12" t="n"/>
      <c r="CK281" s="12" t="n"/>
      <c r="CL281" s="12" t="n"/>
      <c r="CM281" s="12" t="n"/>
      <c r="CN281" s="12" t="n"/>
      <c r="CO281" s="12" t="n"/>
      <c r="CP281" s="12" t="n"/>
      <c r="CQ281" s="12" t="n"/>
      <c r="CR281" s="12" t="n"/>
      <c r="CS281" s="12" t="n"/>
      <c r="CT281" s="12" t="n"/>
      <c r="CU281" s="12" t="n"/>
      <c r="CV281" s="12" t="n"/>
      <c r="CW281" s="12" t="n"/>
      <c r="CX281" s="12" t="n"/>
      <c r="CY281" s="12" t="n"/>
    </row>
    <row r="282">
      <c r="C282" s="10" t="inlineStr">
        <is>
          <t>Var.Right-of-use-assets</t>
        </is>
      </c>
      <c r="D282" s="12" t="n"/>
      <c r="E282" s="12" t="n"/>
      <c r="F282" s="12" t="n"/>
      <c r="G282" s="12" t="n"/>
      <c r="H282" s="12" t="n"/>
      <c r="I282" s="12" t="n"/>
      <c r="J282" s="12">
        <f>(J161-I161)*-1</f>
        <v>0</v>
      </c>
      <c r="K282" s="12">
        <f>(K161-J161)*-1</f>
        <v>0</v>
      </c>
      <c r="L282" s="12">
        <f>(L161-K161)*-1</f>
        <v>0</v>
      </c>
      <c r="M282" s="12" t="n"/>
      <c r="N282" s="12">
        <f>(N161-M161)*-1</f>
        <v>0</v>
      </c>
      <c r="O282" s="12">
        <f>(O161-N161)*-1</f>
        <v>0</v>
      </c>
      <c r="P282" s="12">
        <f>(P161-O161)*-1</f>
        <v>0</v>
      </c>
      <c r="Q282" s="12">
        <f>(Q161-P161)*-1</f>
        <v>0</v>
      </c>
      <c r="R282" s="12">
        <f>SUM(N282:Q282)</f>
        <v>0</v>
      </c>
      <c r="S282" s="12">
        <f>(S161-R161)*-1</f>
        <v>0</v>
      </c>
      <c r="T282" s="12">
        <f>(T161-S161)*-1</f>
        <v>0</v>
      </c>
      <c r="U282" s="12">
        <f>(U161-T161)*-1</f>
        <v>0</v>
      </c>
      <c r="V282" s="12">
        <f>(V161-U161)*-1</f>
        <v>0</v>
      </c>
      <c r="W282" s="12">
        <f>SUM(S282:V282)</f>
        <v>0</v>
      </c>
      <c r="X282" s="12">
        <f>(X161-W161)*-1</f>
        <v>0</v>
      </c>
      <c r="Y282" s="12">
        <f>(Y161-X161)*-1</f>
        <v>0</v>
      </c>
      <c r="Z282" s="12">
        <f>(Z161-Y161)*-1</f>
        <v>0</v>
      </c>
      <c r="AA282" s="12">
        <f>(AA161-Z161)*-1</f>
        <v>0</v>
      </c>
      <c r="AB282" s="12">
        <f>SUM(X282:AA282)</f>
        <v>0</v>
      </c>
      <c r="AC282" s="12">
        <f>(AC161-AB161)*-1</f>
        <v>0</v>
      </c>
      <c r="AD282" s="12">
        <f>(AD161-AC161)*-1</f>
        <v>0</v>
      </c>
      <c r="AE282" s="12">
        <f>(AE161-AD161)*-1</f>
        <v>0</v>
      </c>
      <c r="AF282" s="12">
        <f>(AF161-AE161)*-1</f>
        <v>0</v>
      </c>
      <c r="AG282" s="12">
        <f>SUM(AC282:AF282)</f>
        <v>0</v>
      </c>
      <c r="AH282" s="12">
        <f>(AH161-AG161)*-1</f>
        <v>0</v>
      </c>
      <c r="AI282" s="12">
        <f>(AI161-AH161)*-1</f>
        <v>0</v>
      </c>
      <c r="AJ282" s="12">
        <f>(AJ161-AI161)*-1</f>
        <v>0</v>
      </c>
      <c r="AK282" s="12">
        <f>(AK161-AJ161)*-1</f>
        <v>0</v>
      </c>
      <c r="AL282" s="12">
        <f>SUM(AH282:AK282)</f>
        <v>0</v>
      </c>
      <c r="AM282" s="12">
        <f>(AM161-AL161)*-1</f>
        <v>0</v>
      </c>
      <c r="AN282" s="12">
        <f>(AN161-AM161)*-1</f>
        <v>0</v>
      </c>
      <c r="AO282" s="12">
        <f>(AO161-AN161)*-1</f>
        <v>0</v>
      </c>
      <c r="AP282" s="12">
        <f>(AP161-AO161)*-1</f>
        <v>0</v>
      </c>
      <c r="AQ282" s="12">
        <f>SUM(AM282:AP282)</f>
        <v>0</v>
      </c>
      <c r="AR282" s="12">
        <f>(AR161-AQ161)*-1</f>
        <v>0</v>
      </c>
      <c r="AS282" s="12">
        <f>(AS161-AR161)*-1</f>
        <v>0</v>
      </c>
      <c r="AT282" s="12">
        <f>(AT161-AS161)*-1</f>
        <v>0</v>
      </c>
      <c r="AU282" s="12">
        <f>(AU161-AT161)*-1</f>
        <v>0</v>
      </c>
      <c r="AV282" s="12">
        <f>SUM(AR282:AU282)</f>
        <v>0</v>
      </c>
      <c r="AW282" s="12">
        <f>(AW161-AV161)*-1</f>
        <v>0</v>
      </c>
      <c r="AX282" s="12">
        <f>(AX161-AW161)*-1</f>
        <v>0</v>
      </c>
      <c r="AY282" s="12">
        <f>(AY161-AX161)*-1</f>
        <v>0</v>
      </c>
      <c r="AZ282" s="12">
        <f>(AZ161-AY161)*-1</f>
        <v>0</v>
      </c>
      <c r="BA282" s="12">
        <f>SUM(AW282:AZ282)</f>
        <v>0</v>
      </c>
      <c r="BB282" s="12">
        <f>(BB161-BA161)*-1</f>
        <v>0</v>
      </c>
      <c r="BC282" s="12">
        <f>(BC161-BB161)*-1</f>
        <v>0</v>
      </c>
      <c r="BD282" s="12">
        <f>(BD161-BC161)*-1</f>
        <v>0</v>
      </c>
      <c r="BE282" s="12">
        <f>(BE161-BD161)*-1</f>
        <v>0</v>
      </c>
      <c r="BF282" s="12">
        <f>SUM(BB282:BE282)</f>
        <v>0</v>
      </c>
      <c r="BG282" s="12" t="n"/>
      <c r="BH282" s="12" t="n"/>
      <c r="BI282" s="12" t="n"/>
      <c r="BJ282" s="12" t="n"/>
      <c r="BK282" s="12" t="n"/>
      <c r="BL282" s="12" t="n"/>
      <c r="BM282" s="12" t="n"/>
      <c r="BN282" s="12" t="n"/>
      <c r="BO282" s="12" t="n"/>
      <c r="BP282" s="12" t="n"/>
      <c r="BQ282" s="12" t="n"/>
      <c r="BR282" s="12" t="n"/>
      <c r="BS282" s="12" t="n"/>
      <c r="BT282" s="12" t="n"/>
      <c r="BU282" s="12" t="n"/>
      <c r="BV282" s="12" t="n"/>
      <c r="BW282" s="12" t="n"/>
      <c r="BX282" s="12" t="n"/>
      <c r="BY282" s="12" t="n"/>
      <c r="BZ282" s="12" t="n"/>
      <c r="CA282" s="12" t="n"/>
      <c r="CB282" s="12" t="n"/>
      <c r="CC282" s="12" t="n"/>
      <c r="CD282" s="12" t="n"/>
      <c r="CE282" s="12" t="n"/>
      <c r="CF282" s="12" t="n"/>
      <c r="CG282" s="12" t="n"/>
      <c r="CH282" s="12" t="n"/>
      <c r="CI282" s="12" t="n"/>
      <c r="CJ282" s="12" t="n"/>
      <c r="CK282" s="12" t="n"/>
      <c r="CL282" s="12" t="n"/>
      <c r="CM282" s="12" t="n"/>
      <c r="CN282" s="12" t="n"/>
      <c r="CO282" s="12" t="n"/>
      <c r="CP282" s="12" t="n"/>
      <c r="CQ282" s="12" t="n"/>
      <c r="CR282" s="12" t="n"/>
      <c r="CS282" s="12" t="n"/>
      <c r="CT282" s="12" t="n"/>
      <c r="CU282" s="12" t="n"/>
      <c r="CV282" s="12" t="n"/>
      <c r="CW282" s="12" t="n"/>
      <c r="CX282" s="12" t="n"/>
      <c r="CY282" s="12" t="n"/>
      <c r="CZ282" s="12" t="n"/>
      <c r="DA282" s="12" t="n"/>
      <c r="DB282" s="12" t="n"/>
      <c r="DC282" s="12" t="n"/>
    </row>
    <row r="283">
      <c r="C283" s="10" t="inlineStr">
        <is>
          <t>Purchases of intangible assets</t>
        </is>
      </c>
      <c r="D283" s="12" t="n"/>
      <c r="E283" s="12" t="n"/>
      <c r="F283" s="12" t="n"/>
      <c r="G283" s="12" t="n"/>
      <c r="H283" s="12" t="n"/>
      <c r="I283" s="12" t="n"/>
      <c r="J283" s="12">
        <f>((J165-I165)*-1)+((J164-I164)*-1)</f>
        <v>-236</v>
      </c>
      <c r="K283" s="12">
        <f>((K165-J165)*-1)+((K164-J164)*-1)</f>
        <v>431</v>
      </c>
      <c r="L283" s="12">
        <f>((L165-K165)*-1)+((L164-K164)*-1)</f>
        <v>-992</v>
      </c>
      <c r="M283" s="12" t="n"/>
      <c r="N283" s="12">
        <f>((N165-M165)*-1)+((N164-M164)*-1)</f>
        <v>1175</v>
      </c>
      <c r="O283" s="12">
        <f>((O165-N165)*-1)+((O164-N164)*-1)</f>
        <v>521</v>
      </c>
      <c r="P283" s="12">
        <f>((P165-O165)*-1)+((P164-O164)*-1)</f>
        <v>816</v>
      </c>
      <c r="Q283" s="12">
        <f>((Q165-P165)*-1)+((Q164-P164)*-1)</f>
        <v>-423</v>
      </c>
      <c r="R283" s="12">
        <f>SUM(N283:Q283)</f>
        <v>2089</v>
      </c>
      <c r="S283" s="12">
        <f>((S165-R165)*-1)+((S164-R164)*-1)</f>
        <v>14326</v>
      </c>
      <c r="T283" s="12">
        <f>((T165-S165)*-1)+((T164-S164)*-1)</f>
        <v>-202</v>
      </c>
      <c r="U283" s="12">
        <f>((U165-T165)*-1)+((U164-T164)*-1)</f>
        <v>332</v>
      </c>
      <c r="V283" s="12">
        <f>((V165-U165)*-1)+((V164-U164)*-1)</f>
        <v>-113</v>
      </c>
      <c r="W283" s="12">
        <f>SUM(S283:V283)</f>
        <v>14343</v>
      </c>
      <c r="X283" s="12">
        <f>((X165-W165)*-1)+((X164-W164)*-1)</f>
        <v>229</v>
      </c>
      <c r="Y283" s="12">
        <f>((Y165-X165)*-1)+((Y164-X164)*-1)</f>
        <v>5598</v>
      </c>
      <c r="Z283" s="12">
        <f>((Z165-Y165)*-1)+((Z164-Y164)*-1)</f>
        <v>128</v>
      </c>
      <c r="AA283" s="12">
        <f>((AA165-Z165)*-1)+((AA164-Z164)*-1)</f>
        <v>330</v>
      </c>
      <c r="AB283" s="12">
        <f>SUM(X283:AA283)</f>
        <v>6285</v>
      </c>
      <c r="AC283" s="12">
        <f>((AC165-AB165)*-1)+((AC164-AB164)*-1)</f>
        <v>-178</v>
      </c>
      <c r="AD283" s="12">
        <f>((AD165-AC165)*-1)+((AD164-AC164)*-1)</f>
        <v>-369</v>
      </c>
      <c r="AE283" s="12">
        <f>((AE165-AD165)*-1)+((AE164-AD164)*-1)</f>
        <v>18</v>
      </c>
      <c r="AF283" s="12">
        <f>((AF165-AE165)*-1)+((AF164-AE164)*-1)</f>
        <v>39</v>
      </c>
      <c r="AG283" s="12">
        <f>SUM(AC283:AF283)</f>
        <v>-490</v>
      </c>
      <c r="AH283" s="12">
        <f>((AH165-AG165)*-1)+((AH164-AG164)*-1)</f>
        <v>131</v>
      </c>
      <c r="AI283" s="12">
        <f>((AI165-AH165)*-1)+((AI164-AH164)*-1)</f>
        <v>115</v>
      </c>
      <c r="AJ283" s="12">
        <f>((AJ165-AI165)*-1)+((AJ164-AI164)*-1)</f>
        <v>0</v>
      </c>
      <c r="AK283" s="12">
        <f>((AK165-AJ165)*-1)+((AK164-AJ164)*-1)</f>
        <v>0</v>
      </c>
      <c r="AL283" s="12">
        <f>SUM(AH283:AK283)</f>
        <v>246</v>
      </c>
      <c r="AM283" s="12">
        <f>((AM165-AL165)*-1)+((AM164-AL164)*-1)</f>
        <v>0</v>
      </c>
      <c r="AN283" s="12">
        <f>((AN165-AM165)*-1)+((AN164-AM164)*-1)</f>
        <v>0</v>
      </c>
      <c r="AO283" s="12">
        <f>((AO165-AN165)*-1)+((AO164-AN164)*-1)</f>
        <v>0</v>
      </c>
      <c r="AP283" s="12">
        <f>((AP165-AO165)*-1)+((AP164-AO164)*-1)</f>
        <v>0</v>
      </c>
      <c r="AQ283" s="12">
        <f>SUM(AM283:AP283)</f>
        <v>0</v>
      </c>
      <c r="AR283" s="12">
        <f>((AR165-AQ165)*-1)+((AR164-AQ164)*-1)</f>
        <v>0</v>
      </c>
      <c r="AS283" s="12">
        <f>((AS165-AR165)*-1)+((AS164-AR164)*-1)</f>
        <v>0</v>
      </c>
      <c r="AT283" s="12">
        <f>((AT165-AS165)*-1)+((AT164-AS164)*-1)</f>
        <v>0</v>
      </c>
      <c r="AU283" s="12">
        <f>((AU165-AT165)*-1)+((AU164-AT164)*-1)</f>
        <v>0</v>
      </c>
      <c r="AV283" s="12">
        <f>SUM(AR283:AU283)</f>
        <v>0</v>
      </c>
      <c r="AW283" s="12">
        <f>((AW165-AV165)*-1)+((AW164-AV164)*-1)</f>
        <v>0</v>
      </c>
      <c r="AX283" s="12">
        <f>((AX165-AW165)*-1)+((AX164-AW164)*-1)</f>
        <v>0</v>
      </c>
      <c r="AY283" s="12">
        <f>((AY165-AX165)*-1)+((AY164-AX164)*-1)</f>
        <v>0</v>
      </c>
      <c r="AZ283" s="12">
        <f>((AZ165-AY165)*-1)+((AZ164-AY164)*-1)</f>
        <v>0</v>
      </c>
      <c r="BA283" s="12">
        <f>SUM(AW283:AZ283)</f>
        <v>0</v>
      </c>
      <c r="BB283" s="12">
        <f>((BB165-BA165)*-1)+((BB164-BA164)*-1)</f>
        <v>0</v>
      </c>
      <c r="BC283" s="12">
        <f>((BC165-BB165)*-1)+((BC164-BB164)*-1)</f>
        <v>0</v>
      </c>
      <c r="BD283" s="12">
        <f>((BD165-BC165)*-1)+((BD164-BC164)*-1)</f>
        <v>0</v>
      </c>
      <c r="BE283" s="12">
        <f>((BE165-BD165)*-1)+((BE164-BD164)*-1)</f>
        <v>0</v>
      </c>
      <c r="BF283" s="12">
        <f>SUM(BB283:BE283)</f>
        <v>0</v>
      </c>
      <c r="BG283" s="12" t="n"/>
      <c r="BH283" s="12" t="n"/>
      <c r="BI283" s="12" t="n"/>
      <c r="BJ283" s="12" t="n"/>
      <c r="BK283" s="12" t="n"/>
      <c r="BL283" s="12" t="n"/>
      <c r="BM283" s="12" t="n"/>
      <c r="BN283" s="12" t="n"/>
      <c r="BO283" s="12" t="n"/>
      <c r="BP283" s="12" t="n"/>
      <c r="BQ283" s="12" t="n"/>
      <c r="BR283" s="12" t="n"/>
      <c r="BS283" s="12" t="n"/>
      <c r="BT283" s="12" t="n"/>
      <c r="BU283" s="12" t="n"/>
      <c r="BV283" s="12" t="n"/>
      <c r="BW283" s="12" t="n"/>
      <c r="BX283" s="12" t="n"/>
      <c r="BY283" s="12" t="n"/>
      <c r="BZ283" s="12" t="n"/>
      <c r="CA283" s="12" t="n"/>
      <c r="CB283" s="12" t="n"/>
      <c r="CC283" s="12" t="n"/>
      <c r="CD283" s="12" t="n"/>
      <c r="CE283" s="12" t="n"/>
      <c r="CF283" s="12" t="n"/>
      <c r="CG283" s="12" t="n"/>
      <c r="CH283" s="12" t="n"/>
      <c r="CI283" s="12" t="n"/>
      <c r="CJ283" s="12" t="n"/>
      <c r="CK283" s="12" t="n"/>
      <c r="CL283" s="12" t="n"/>
      <c r="CM283" s="12" t="n"/>
      <c r="CN283" s="12" t="n"/>
      <c r="CO283" s="12" t="n"/>
      <c r="CP283" s="12" t="n"/>
      <c r="CQ283" s="12" t="n"/>
      <c r="CR283" s="12" t="n"/>
      <c r="CS283" s="12" t="n"/>
      <c r="CT283" s="12" t="n"/>
      <c r="CU283" s="12" t="n"/>
      <c r="CV283" s="12" t="n"/>
      <c r="CW283" s="12" t="n"/>
      <c r="CX283" s="12" t="n"/>
      <c r="CY283" s="12" t="n"/>
      <c r="CZ283" s="12" t="n"/>
      <c r="DA283" s="12" t="n"/>
      <c r="DB283" s="12" t="n"/>
      <c r="DC283" s="12" t="n"/>
    </row>
    <row r="284">
      <c r="C284" s="71" t="inlineStr">
        <is>
          <t>Purchases/Proceeds from other long-term assets</t>
        </is>
      </c>
      <c r="D284" s="12" t="n"/>
      <c r="E284" s="12" t="n"/>
      <c r="F284" s="12" t="n"/>
      <c r="G284" s="12" t="n"/>
      <c r="H284" s="12" t="n"/>
      <c r="I284" s="12" t="n"/>
      <c r="J284" s="12">
        <f>((J174-I174)*-1)+(J225-I225)</f>
        <v>-1114</v>
      </c>
      <c r="K284" s="12">
        <f>((K174-J174)*-1)+(K225-J225)</f>
        <v>-2800</v>
      </c>
      <c r="L284" s="12">
        <f>((L174-K174)*-1)+(L225-K225)</f>
        <v>-10182</v>
      </c>
      <c r="M284" s="12" t="n"/>
      <c r="N284" s="12">
        <f>((N174-M174)*-1)+(N225-M225)</f>
        <v>-2382</v>
      </c>
      <c r="O284" s="12">
        <f>((O174-N174)*-1)+(O225-N225)</f>
        <v>2089</v>
      </c>
      <c r="P284" s="12">
        <f>((P174-O174)*-1)+(P225-O225)</f>
        <v>3025</v>
      </c>
      <c r="Q284" s="12">
        <f>((Q174-P174)*-1)+(Q225-P225)</f>
        <v>-2818</v>
      </c>
      <c r="R284" s="12">
        <f>SUM(N284:Q284)</f>
        <v>-86</v>
      </c>
      <c r="S284" s="12">
        <f>((S174-R174)*-1)+(S225-R225)</f>
        <v>331</v>
      </c>
      <c r="T284" s="12">
        <f>((T174-S174)*-1)+(T225-S225)</f>
        <v>921</v>
      </c>
      <c r="U284" s="12">
        <f>((U174-T174)*-1)+(U225-T225)</f>
        <v>-1340</v>
      </c>
      <c r="V284" s="12">
        <f>((V174-U174)*-1)+(V225-U225)</f>
        <v>2135</v>
      </c>
      <c r="W284" s="12">
        <f>SUM(S284:V284)</f>
        <v>2047</v>
      </c>
      <c r="X284" s="12">
        <f>((X174-W174)*-1)+(X225-W225)</f>
        <v>-3214</v>
      </c>
      <c r="Y284" s="12">
        <f>((Y174-X174)*-1)+(Y225-X225)</f>
        <v>1305</v>
      </c>
      <c r="Z284" s="12">
        <f>((Z174-Y174)*-1)+(Z225-Y225)</f>
        <v>-547</v>
      </c>
      <c r="AA284" s="12">
        <f>((AA174-Z174)*-1)+(AA225-Z225)</f>
        <v>-1480</v>
      </c>
      <c r="AB284" s="12">
        <f>SUM(X284:AA284)</f>
        <v>-3936</v>
      </c>
      <c r="AC284" s="12">
        <f>((AC174-AB174)*-1)+(AC225-AB225)</f>
        <v>-742</v>
      </c>
      <c r="AD284" s="12">
        <f>((AD174-AC174)*-1)+(AD225-AC225)</f>
        <v>-383</v>
      </c>
      <c r="AE284" s="12">
        <f>((AE174-AD174)*-1)+(AE225-AD225)</f>
        <v>22</v>
      </c>
      <c r="AF284" s="12">
        <f>((AF174-AE174)*-1)+(AF225-AE225)</f>
        <v>-593</v>
      </c>
      <c r="AG284" s="12">
        <f>SUM(AC284:AF284)</f>
        <v>-1696</v>
      </c>
      <c r="AH284" s="12">
        <f>((AH174-AG174)*-1)+(AH225-AG225)</f>
        <v>-662</v>
      </c>
      <c r="AI284" s="12">
        <f>((AI174-AH174)*-1)+(AI225-AH225)</f>
        <v>220</v>
      </c>
      <c r="AJ284" s="12">
        <f>((AJ174-AI174)*-1)+(AJ225-AI225)</f>
        <v>0</v>
      </c>
      <c r="AK284" s="12">
        <f>((AK174-AJ174)*-1)+(AK225-AJ225)</f>
        <v>0</v>
      </c>
      <c r="AL284" s="12">
        <f>SUM(AH284:AK284)</f>
        <v>-442</v>
      </c>
      <c r="AM284" s="12">
        <f>((AM174-AL174)*-1)+(AM225-AL225)</f>
        <v>0</v>
      </c>
      <c r="AN284" s="12">
        <f>((AN174-AM174)*-1)+(AN225-AM225)</f>
        <v>0</v>
      </c>
      <c r="AO284" s="12">
        <f>((AO174-AN174)*-1)+(AO225-AN225)</f>
        <v>0</v>
      </c>
      <c r="AP284" s="12">
        <f>((AP174-AO174)*-1)+(AP225-AO225)</f>
        <v>0</v>
      </c>
      <c r="AQ284" s="12">
        <f>SUM(AM284:AP284)</f>
        <v>0</v>
      </c>
      <c r="AR284" s="12">
        <f>((AR174-AQ174)*-1)+(AR225-AQ225)</f>
        <v>0</v>
      </c>
      <c r="AS284" s="12">
        <f>((AS174-AR174)*-1)+(AS225-AR225)</f>
        <v>0</v>
      </c>
      <c r="AT284" s="12">
        <f>((AT174-AS174)*-1)+(AT225-AS225)</f>
        <v>0</v>
      </c>
      <c r="AU284" s="12">
        <f>((AU174-AT174)*-1)+(AU225-AT225)</f>
        <v>0</v>
      </c>
      <c r="AV284" s="12">
        <f>SUM(AR284:AU284)</f>
        <v>0</v>
      </c>
      <c r="AW284" s="12">
        <f>((AW174-AV174)*-1)+(AW225-AV225)</f>
        <v>0</v>
      </c>
      <c r="AX284" s="12">
        <f>((AX174-AW174)*-1)+(AX225-AW225)</f>
        <v>0</v>
      </c>
      <c r="AY284" s="12">
        <f>((AY174-AX174)*-1)+(AY225-AX225)</f>
        <v>0</v>
      </c>
      <c r="AZ284" s="12">
        <f>((AZ174-AY174)*-1)+(AZ225-AY225)</f>
        <v>0</v>
      </c>
      <c r="BA284" s="12">
        <f>SUM(AW284:AZ284)</f>
        <v>0</v>
      </c>
      <c r="BB284" s="12">
        <f>((BB174-BA174)*-1)+(BB225-BA225)</f>
        <v>0</v>
      </c>
      <c r="BC284" s="12">
        <f>((BC174-BB174)*-1)+(BC225-BB225)</f>
        <v>0</v>
      </c>
      <c r="BD284" s="12">
        <f>((BD174-BC174)*-1)+(BD225-BC225)</f>
        <v>0</v>
      </c>
      <c r="BE284" s="12">
        <f>((BE174-BD174)*-1)+(BE225-BD225)</f>
        <v>0</v>
      </c>
      <c r="BF284" s="12">
        <f>SUM(BB284:BE284)</f>
        <v>0</v>
      </c>
      <c r="BG284" s="12" t="n"/>
      <c r="BH284" s="12" t="n"/>
      <c r="BI284" s="12" t="n"/>
      <c r="BJ284" s="12" t="n"/>
      <c r="BK284" s="12" t="n"/>
      <c r="BL284" s="12" t="n"/>
      <c r="BM284" s="12" t="n"/>
      <c r="BN284" s="12" t="n"/>
      <c r="BO284" s="12" t="n"/>
      <c r="BP284" s="12" t="n"/>
      <c r="BQ284" s="12" t="n"/>
      <c r="BR284" s="12" t="n"/>
      <c r="BS284" s="12" t="n"/>
      <c r="BT284" s="12" t="n"/>
      <c r="BU284" s="12" t="n"/>
      <c r="BV284" s="12" t="n"/>
      <c r="BW284" s="12" t="n"/>
      <c r="BX284" s="12" t="n"/>
      <c r="BY284" s="12" t="n"/>
      <c r="BZ284" s="12" t="n"/>
      <c r="CA284" s="12" t="n"/>
      <c r="CB284" s="12" t="n"/>
      <c r="CC284" s="12" t="n"/>
      <c r="CD284" s="12" t="n"/>
      <c r="CE284" s="12" t="n"/>
      <c r="CF284" s="12" t="n"/>
      <c r="CG284" s="12" t="n"/>
      <c r="CH284" s="12" t="n"/>
      <c r="CI284" s="12" t="n"/>
      <c r="CJ284" s="12" t="n"/>
      <c r="CK284" s="12" t="n"/>
      <c r="CL284" s="12" t="n"/>
      <c r="CM284" s="12" t="n"/>
      <c r="CN284" s="12" t="n"/>
      <c r="CO284" s="12" t="n"/>
      <c r="CP284" s="12" t="n"/>
      <c r="CQ284" s="12" t="n"/>
      <c r="CR284" s="12" t="n"/>
      <c r="CS284" s="12" t="n"/>
      <c r="CT284" s="12" t="n"/>
      <c r="CU284" s="12" t="n"/>
      <c r="CV284" s="12" t="n"/>
      <c r="CW284" s="12" t="n"/>
      <c r="CX284" s="12" t="n"/>
      <c r="CY284" s="12" t="n"/>
    </row>
    <row r="285">
      <c r="C285" s="14" t="inlineStr">
        <is>
          <t>Cash from investing</t>
        </is>
      </c>
      <c r="D285" s="12" t="n"/>
      <c r="E285" s="12" t="n"/>
      <c r="F285" s="12" t="n"/>
      <c r="G285" s="12" t="n"/>
      <c r="H285" s="12" t="n"/>
      <c r="I285" s="12" t="n"/>
      <c r="J285" s="12">
        <f>SUM(J280,J281,J283,J284,J282)</f>
        <v>-1833</v>
      </c>
      <c r="K285" s="12">
        <f>SUM(K280,K281,K283,K284,K282)</f>
        <v>-2824</v>
      </c>
      <c r="L285" s="12">
        <f>SUM(L280,L281,L283,L284,L282)</f>
        <v>-11655</v>
      </c>
      <c r="M285" s="12" t="n"/>
      <c r="N285" s="12">
        <f>SUM(N280,N281,N283,N284,N282)</f>
        <v>-1667</v>
      </c>
      <c r="O285" s="12">
        <f>SUM(O280,O281,O283,O284,O282)</f>
        <v>2167</v>
      </c>
      <c r="P285" s="12">
        <f>SUM(P280,P281,P283,P284,P282)</f>
        <v>3434</v>
      </c>
      <c r="Q285" s="12">
        <f>SUM(Q280,Q281,Q283,Q284,Q282)</f>
        <v>-3733</v>
      </c>
      <c r="R285" s="12">
        <f>SUM(R280,R281,R283,R284)</f>
        <v>201</v>
      </c>
      <c r="S285" s="12">
        <f>SUM(S280,S281,S283,S284,S282)</f>
        <v>14290</v>
      </c>
      <c r="T285" s="12">
        <f>SUM(T280,T281,T283,T284,T282)</f>
        <v>367</v>
      </c>
      <c r="U285" s="12">
        <f>SUM(U280,U281,U283,U284,U282)</f>
        <v>-1386</v>
      </c>
      <c r="V285" s="12">
        <f>SUM(V280,V281,V283,V284,V282)</f>
        <v>1646</v>
      </c>
      <c r="W285" s="12">
        <f>SUM(W280,W281,W283,W284)</f>
        <v>14917</v>
      </c>
      <c r="X285" s="12">
        <f>SUM(X280,X281,X283,X284,X282)</f>
        <v>-3363</v>
      </c>
      <c r="Y285" s="12">
        <f>SUM(Y280,Y281,Y283,Y284,Y282)</f>
        <v>6704</v>
      </c>
      <c r="Z285" s="12">
        <f>SUM(Z280,Z281,Z283,Z284,Z282)</f>
        <v>-643</v>
      </c>
      <c r="AA285" s="12">
        <f>SUM(AA280,AA281,AA283,AA284,AA282)</f>
        <v>-1359</v>
      </c>
      <c r="AB285" s="12">
        <f>SUM(AB280,AB281,AB283,AB284)</f>
        <v>1339</v>
      </c>
      <c r="AC285" s="12">
        <f>SUM(AC280,AC281,AC283,AC284,AC282)</f>
        <v>-1130</v>
      </c>
      <c r="AD285" s="12">
        <f>SUM(AD280,AD281,AD283,AD284,AD282)</f>
        <v>-971</v>
      </c>
      <c r="AE285" s="12">
        <f>SUM(AE280,AE281,AE283,AE284,AE282)</f>
        <v>-174</v>
      </c>
      <c r="AF285" s="12">
        <f>SUM(AF280,AF281,AF283,AF284,AF282)</f>
        <v>-774</v>
      </c>
      <c r="AG285" s="12">
        <f>SUM(AG280,AG281,AG283,AG284)</f>
        <v>-3049</v>
      </c>
      <c r="AH285" s="12">
        <f>SUM(AH280,AH281,AH283,AH284,AH282)</f>
        <v>-758</v>
      </c>
      <c r="AI285" s="12">
        <f>SUM(AI280,AI281,AI283,AI284,AI282)</f>
        <v>111</v>
      </c>
      <c r="AJ285" s="12">
        <f>SUM(AJ280,AJ281,AJ283,AJ284,AJ282)</f>
        <v>-268.031560420421</v>
      </c>
      <c r="AK285" s="12">
        <f>SUM(AK280,AK281,AK283,AK284,AK282)</f>
        <v>-279.825741225391</v>
      </c>
      <c r="AL285" s="12">
        <f>SUM(AL280,AL281,AL283,AL284)</f>
        <v>-1194.85730164581</v>
      </c>
      <c r="AM285" s="12">
        <f>SUM(AM280,AM281,AM283,AM284,AM282)</f>
        <v>-272.674418908945</v>
      </c>
      <c r="AN285" s="12">
        <f>SUM(AN280,AN281,AN283,AN284,AN282)</f>
        <v>-293.732312622297</v>
      </c>
      <c r="AO285" s="12">
        <f>SUM(AO280,AO281,AO283,AO284,AO282)</f>
        <v>-321.357460145876</v>
      </c>
      <c r="AP285" s="12">
        <f>SUM(AP280,AP281,AP283,AP284,AP282)</f>
        <v>-335.498138139324</v>
      </c>
      <c r="AQ285" s="12">
        <f>SUM(AQ280,AQ281,AQ283,AQ284)</f>
        <v>-1223.26232981644</v>
      </c>
      <c r="AR285" s="12">
        <f>SUM(AR280,AR281,AR283,AR284,AR282)</f>
        <v>-325.560660918155</v>
      </c>
      <c r="AS285" s="12">
        <f>SUM(AS280,AS281,AS283,AS284,AS282)</f>
        <v>-350.702813314755</v>
      </c>
      <c r="AT285" s="12">
        <f>SUM(AT280,AT281,AT283,AT284,AT282)</f>
        <v>-383.685963409012</v>
      </c>
      <c r="AU285" s="12">
        <f>SUM(AU280,AU281,AU283,AU284,AU282)</f>
        <v>-400.569279753091</v>
      </c>
      <c r="AV285" s="12">
        <f>SUM(AV280,AV281,AV283,AV284)</f>
        <v>-1460.51871739501</v>
      </c>
      <c r="AW285" s="12">
        <f>SUM(AW280,AW281,AW283,AW284,AW282)</f>
        <v>-387.076587674086</v>
      </c>
      <c r="AX285" s="12">
        <f>SUM(AX280,AX281,AX283,AX284,AX282)</f>
        <v>-416.969445518187</v>
      </c>
      <c r="AY285" s="12">
        <f>SUM(AY280,AY281,AY283,AY284,AY282)</f>
        <v>-456.184887436818</v>
      </c>
      <c r="AZ285" s="12">
        <f>SUM(AZ280,AZ281,AZ283,AZ284,AZ282)</f>
        <v>-476.258370703063</v>
      </c>
      <c r="BA285" s="12">
        <f>SUM(BA280,BA281,BA283,BA284)</f>
        <v>-1736.48929133215</v>
      </c>
      <c r="BB285" s="12">
        <f>SUM(BB280,BB281,BB283,BB284,BB282)</f>
        <v>-458.280800131366</v>
      </c>
      <c r="BC285" s="12">
        <f>SUM(BC280,BC281,BC283,BC284,BC282)</f>
        <v>-493.672563020788</v>
      </c>
      <c r="BD285" s="12">
        <f>SUM(BD280,BD281,BD283,BD284,BD282)</f>
        <v>-540.101834829672</v>
      </c>
      <c r="BE285" s="12">
        <f>SUM(BE280,BE281,BE283,BE284,BE282)</f>
        <v>-563.867911791227</v>
      </c>
      <c r="BF285" s="12">
        <f>SUM(BF280,BF281,BF283,BF284)</f>
        <v>-2055.92310977305</v>
      </c>
      <c r="BG285" s="12" t="n"/>
      <c r="BH285" s="12" t="n"/>
      <c r="BI285" s="12" t="n"/>
      <c r="BJ285" s="12" t="n"/>
      <c r="BK285" s="12" t="n"/>
      <c r="BL285" s="12" t="n"/>
      <c r="BM285" s="12" t="n"/>
      <c r="BN285" s="12" t="n"/>
      <c r="BO285" s="12" t="n"/>
      <c r="BP285" s="12" t="n"/>
      <c r="BQ285" s="12" t="n"/>
      <c r="BR285" s="12" t="n"/>
      <c r="BS285" s="12" t="n"/>
      <c r="BT285" s="12" t="n"/>
      <c r="BU285" s="12" t="n"/>
      <c r="BV285" s="12" t="n"/>
      <c r="BW285" s="12" t="n"/>
      <c r="BX285" s="12" t="n"/>
      <c r="BY285" s="12" t="n"/>
      <c r="BZ285" s="12" t="n"/>
      <c r="CA285" s="12" t="n"/>
      <c r="CB285" s="12" t="n"/>
      <c r="CC285" s="12" t="n"/>
      <c r="CD285" s="12" t="n"/>
      <c r="CE285" s="12" t="n"/>
      <c r="CF285" s="12" t="n"/>
      <c r="CG285" s="12" t="n"/>
      <c r="CH285" s="12" t="n"/>
      <c r="CI285" s="12" t="n"/>
      <c r="CJ285" s="12" t="n"/>
      <c r="CK285" s="12" t="n"/>
      <c r="CL285" s="12" t="n"/>
      <c r="CM285" s="12" t="n"/>
      <c r="CN285" s="12" t="n"/>
      <c r="CO285" s="12" t="n"/>
      <c r="CP285" s="12" t="n"/>
      <c r="CQ285" s="12" t="n"/>
      <c r="CR285" s="12" t="n"/>
      <c r="CS285" s="12" t="n"/>
      <c r="CT285" s="12" t="n"/>
      <c r="CU285" s="12" t="n"/>
      <c r="CV285" s="12" t="n"/>
      <c r="CW285" s="12" t="n"/>
      <c r="CX285" s="12" t="n"/>
      <c r="CY285" s="12" t="n"/>
    </row>
    <row r="286">
      <c r="C286" s="14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  <c r="AA286" s="12" t="n"/>
      <c r="AB286" s="12" t="n"/>
      <c r="AC286" s="12" t="n"/>
      <c r="AD286" s="12" t="n"/>
      <c r="AE286" s="12" t="n"/>
      <c r="AF286" s="12" t="n"/>
      <c r="AG286" s="12" t="n"/>
      <c r="AH286" s="12" t="n"/>
      <c r="AI286" s="12" t="n"/>
      <c r="AJ286" s="12" t="n"/>
      <c r="AK286" s="12" t="n"/>
      <c r="AL286" s="12" t="n"/>
      <c r="AM286" s="12" t="n"/>
      <c r="AN286" s="12" t="n"/>
      <c r="AO286" s="12" t="n"/>
      <c r="AP286" s="12" t="n"/>
      <c r="AQ286" s="12" t="n"/>
      <c r="AR286" s="12" t="n"/>
      <c r="AS286" s="12" t="n"/>
      <c r="AT286" s="12" t="n"/>
      <c r="AU286" s="12" t="n"/>
      <c r="AV286" s="12" t="n"/>
      <c r="AW286" s="12" t="n"/>
      <c r="AX286" s="12" t="n"/>
      <c r="AY286" s="12" t="n"/>
      <c r="AZ286" s="12" t="n"/>
      <c r="BA286" s="12" t="n"/>
      <c r="BB286" s="12" t="n"/>
      <c r="BC286" s="12" t="n"/>
      <c r="BD286" s="12" t="n"/>
      <c r="BE286" s="12" t="n"/>
      <c r="BF286" s="12" t="n"/>
      <c r="BG286" s="12" t="n"/>
      <c r="BH286" s="12" t="n"/>
      <c r="BI286" s="12" t="n"/>
      <c r="BJ286" s="12" t="n"/>
      <c r="BK286" s="12" t="n"/>
      <c r="BL286" s="12" t="n"/>
      <c r="BM286" s="12" t="n"/>
      <c r="BN286" s="12" t="n"/>
      <c r="BO286" s="12" t="n"/>
      <c r="BP286" s="12" t="n"/>
      <c r="BQ286" s="12" t="n"/>
      <c r="BR286" s="12" t="n"/>
      <c r="BS286" s="12" t="n"/>
      <c r="BT286" s="12" t="n"/>
      <c r="BU286" s="12" t="n"/>
      <c r="BV286" s="12" t="n"/>
      <c r="BW286" s="12" t="n"/>
      <c r="BX286" s="12" t="n"/>
      <c r="BY286" s="12" t="n"/>
      <c r="BZ286" s="12" t="n"/>
      <c r="CA286" s="12" t="n"/>
      <c r="CB286" s="12" t="n"/>
      <c r="CC286" s="12" t="n"/>
      <c r="CD286" s="12" t="n"/>
      <c r="CE286" s="12" t="n"/>
      <c r="CF286" s="12" t="n"/>
      <c r="CG286" s="12" t="n"/>
      <c r="CH286" s="12" t="n"/>
      <c r="CI286" s="12" t="n"/>
      <c r="CJ286" s="12" t="n"/>
      <c r="CK286" s="12" t="n"/>
      <c r="CL286" s="12" t="n"/>
      <c r="CM286" s="12" t="n"/>
      <c r="CN286" s="12" t="n"/>
      <c r="CO286" s="12" t="n"/>
      <c r="CP286" s="12" t="n"/>
      <c r="CQ286" s="12" t="n"/>
      <c r="CR286" s="12" t="n"/>
      <c r="CS286" s="12" t="n"/>
      <c r="CT286" s="12" t="n"/>
      <c r="CU286" s="12" t="n"/>
      <c r="CV286" s="12" t="n"/>
      <c r="CW286" s="12" t="n"/>
      <c r="CX286" s="12" t="n"/>
      <c r="CY286" s="12" t="n"/>
    </row>
    <row r="287">
      <c r="C287" s="14" t="inlineStr">
        <is>
          <t>Convertible preferred stock</t>
        </is>
      </c>
      <c r="D287" s="12" t="n"/>
      <c r="E287" s="12" t="n"/>
      <c r="F287" s="12" t="n"/>
      <c r="G287" s="12" t="n"/>
      <c r="H287" s="12" t="n"/>
      <c r="I287" s="12" t="n"/>
      <c r="J287" s="12">
        <f>J238-I238</f>
        <v>0</v>
      </c>
      <c r="K287" s="12">
        <f>K238-J238</f>
        <v>0</v>
      </c>
      <c r="L287" s="12">
        <f>L238-K238</f>
        <v>0</v>
      </c>
      <c r="M287" s="12" t="n"/>
      <c r="N287" s="12">
        <f>N238-M238</f>
        <v>0</v>
      </c>
      <c r="O287" s="12">
        <f>O238-N238</f>
        <v>0</v>
      </c>
      <c r="P287" s="12">
        <f>P238-O238</f>
        <v>0</v>
      </c>
      <c r="Q287" s="12">
        <f>Q238-P238</f>
        <v>0</v>
      </c>
      <c r="R287" s="12">
        <f>SUM(N287:Q287)</f>
        <v>0</v>
      </c>
      <c r="S287" s="12">
        <f>S238-R238</f>
        <v>0</v>
      </c>
      <c r="T287" s="12">
        <f>T238-S238</f>
        <v>0</v>
      </c>
      <c r="U287" s="12">
        <f>U238-T238</f>
        <v>0</v>
      </c>
      <c r="V287" s="12">
        <f>V238-U238</f>
        <v>0</v>
      </c>
      <c r="W287" s="12">
        <f>SUM(S287:V287)</f>
        <v>0</v>
      </c>
      <c r="X287" s="12">
        <f>X238-W238</f>
        <v>0</v>
      </c>
      <c r="Y287" s="12">
        <f>Y238-X238</f>
        <v>0</v>
      </c>
      <c r="Z287" s="12">
        <f>Z238-Y238</f>
        <v>0</v>
      </c>
      <c r="AA287" s="12">
        <f>AA238-Z238</f>
        <v>0</v>
      </c>
      <c r="AB287" s="12">
        <f>SUM(X287:AA287)</f>
        <v>0</v>
      </c>
      <c r="AC287" s="12">
        <f>AC238-AB238</f>
        <v>0</v>
      </c>
      <c r="AD287" s="12">
        <f>AD238-AC238</f>
        <v>0</v>
      </c>
      <c r="AE287" s="12">
        <f>AE238-AD238</f>
        <v>0</v>
      </c>
      <c r="AF287" s="12">
        <f>AF238-AE238</f>
        <v>0</v>
      </c>
      <c r="AG287" s="12">
        <f>SUM(AC287:AF287)</f>
        <v>0</v>
      </c>
      <c r="AH287" s="12">
        <f>AH238-AG238</f>
        <v>0</v>
      </c>
      <c r="AI287" s="12">
        <f>AI238-AH238</f>
        <v>0</v>
      </c>
      <c r="AJ287" s="12">
        <f>AJ238-AI238</f>
        <v>0</v>
      </c>
      <c r="AK287" s="12">
        <f>AK238-AJ238</f>
        <v>0</v>
      </c>
      <c r="AL287" s="12">
        <f>SUM(AH287:AK287)</f>
        <v>0</v>
      </c>
      <c r="AM287" s="12">
        <f>AM238-AL238</f>
        <v>0</v>
      </c>
      <c r="AN287" s="12">
        <f>AN238-AM238</f>
        <v>0</v>
      </c>
      <c r="AO287" s="12">
        <f>AO238-AN238</f>
        <v>0</v>
      </c>
      <c r="AP287" s="12">
        <f>AP238-AO238</f>
        <v>0</v>
      </c>
      <c r="AQ287" s="12">
        <f>SUM(AM287:AP287)</f>
        <v>0</v>
      </c>
      <c r="AR287" s="12">
        <f>AR238-AQ238</f>
        <v>0</v>
      </c>
      <c r="AS287" s="12">
        <f>AS238-AR238</f>
        <v>0</v>
      </c>
      <c r="AT287" s="12">
        <f>AT238-AS238</f>
        <v>0</v>
      </c>
      <c r="AU287" s="12">
        <f>AU238-AT238</f>
        <v>0</v>
      </c>
      <c r="AV287" s="12">
        <f>SUM(AR287:AU287)</f>
        <v>0</v>
      </c>
      <c r="AW287" s="12">
        <f>AW238-AV238</f>
        <v>0</v>
      </c>
      <c r="AX287" s="12">
        <f>AX238-AW238</f>
        <v>0</v>
      </c>
      <c r="AY287" s="12">
        <f>AY238-AX238</f>
        <v>0</v>
      </c>
      <c r="AZ287" s="12">
        <f>AZ238-AY238</f>
        <v>0</v>
      </c>
      <c r="BA287" s="12">
        <f>SUM(AW287:AZ287)</f>
        <v>0</v>
      </c>
      <c r="BB287" s="12">
        <f>BB238-BA238</f>
        <v>0</v>
      </c>
      <c r="BC287" s="12">
        <f>BC238-BB238</f>
        <v>0</v>
      </c>
      <c r="BD287" s="12">
        <f>BD238-BC238</f>
        <v>0</v>
      </c>
      <c r="BE287" s="12">
        <f>BE238-BD238</f>
        <v>0</v>
      </c>
      <c r="BF287" s="12">
        <f>SUM(BB287:BE287)</f>
        <v>0</v>
      </c>
      <c r="BG287" s="12" t="n"/>
      <c r="BH287" s="12" t="n"/>
      <c r="BI287" s="12" t="n"/>
      <c r="BJ287" s="12" t="n"/>
      <c r="BK287" s="12" t="n"/>
      <c r="BL287" s="12" t="n"/>
      <c r="BM287" s="12" t="n"/>
      <c r="BN287" s="12" t="n"/>
      <c r="BO287" s="12" t="n"/>
      <c r="BP287" s="12" t="n"/>
      <c r="BQ287" s="12" t="n"/>
      <c r="BR287" s="12" t="n"/>
      <c r="BS287" s="12" t="n"/>
      <c r="BT287" s="12" t="n"/>
      <c r="BU287" s="12" t="n"/>
      <c r="BV287" s="12" t="n"/>
      <c r="BW287" s="12" t="n"/>
      <c r="BX287" s="12" t="n"/>
      <c r="BY287" s="12" t="n"/>
      <c r="BZ287" s="12" t="n"/>
      <c r="CA287" s="12" t="n"/>
      <c r="CB287" s="12" t="n"/>
      <c r="CC287" s="12" t="n"/>
      <c r="CD287" s="12" t="n"/>
      <c r="CE287" s="12" t="n"/>
      <c r="CF287" s="12" t="n"/>
      <c r="CG287" s="12" t="n"/>
      <c r="CH287" s="12" t="n"/>
      <c r="CI287" s="12" t="n"/>
      <c r="CJ287" s="12" t="n"/>
      <c r="CK287" s="12" t="n"/>
      <c r="CL287" s="12" t="n"/>
      <c r="CM287" s="12" t="n"/>
      <c r="CN287" s="12" t="n"/>
      <c r="CO287" s="12" t="n"/>
      <c r="CP287" s="12" t="n"/>
      <c r="CQ287" s="12" t="n"/>
      <c r="CR287" s="12" t="n"/>
      <c r="CS287" s="12" t="n"/>
      <c r="CT287" s="12" t="n"/>
      <c r="CU287" s="12" t="n"/>
      <c r="CV287" s="12" t="n"/>
      <c r="CW287" s="12" t="n"/>
      <c r="CX287" s="12" t="n"/>
      <c r="CY287" s="12" t="n"/>
    </row>
    <row r="288">
      <c r="C288" s="14" t="inlineStr">
        <is>
          <t>Common stock and APIC</t>
        </is>
      </c>
      <c r="D288" s="12" t="n"/>
      <c r="E288" s="12" t="n"/>
      <c r="F288" s="12" t="n"/>
      <c r="G288" s="12" t="n"/>
      <c r="H288" s="12" t="n"/>
      <c r="I288" s="12" t="n"/>
      <c r="J288" s="12">
        <f>J239-I239</f>
        <v>-10</v>
      </c>
      <c r="K288" s="12">
        <f>K239-J239</f>
        <v>32</v>
      </c>
      <c r="L288" s="12">
        <f>L239-K239</f>
        <v>-60</v>
      </c>
      <c r="M288" s="12" t="n"/>
      <c r="N288" s="12">
        <f>N239-M239</f>
        <v>-300</v>
      </c>
      <c r="O288" s="12">
        <f>O239-N239</f>
        <v>-9</v>
      </c>
      <c r="P288" s="12">
        <f>P239-O239</f>
        <v>-128</v>
      </c>
      <c r="Q288" s="12">
        <f>Q239-P239</f>
        <v>-81</v>
      </c>
      <c r="R288" s="12">
        <f>SUM(N288:Q288)</f>
        <v>-518</v>
      </c>
      <c r="S288" s="12">
        <f>S239-R239</f>
        <v>-3444</v>
      </c>
      <c r="T288" s="12">
        <f>T239-S239</f>
        <v>-303</v>
      </c>
      <c r="U288" s="12">
        <f>U239-T239</f>
        <v>-3197</v>
      </c>
      <c r="V288" s="12">
        <f>V239-U239</f>
        <v>-267</v>
      </c>
      <c r="W288" s="12">
        <f>SUM(S288:V288)</f>
        <v>-7211</v>
      </c>
      <c r="X288" s="12">
        <f>X239-W239</f>
        <v>-1075</v>
      </c>
      <c r="Y288" s="12">
        <f>Y239-X239</f>
        <v>-605</v>
      </c>
      <c r="Z288" s="12">
        <f>Z239-Y239</f>
        <v>-876</v>
      </c>
      <c r="AA288" s="12">
        <f>AA239-Z239</f>
        <v>-140</v>
      </c>
      <c r="AB288" s="12">
        <f>SUM(X288:AA288)</f>
        <v>-2696</v>
      </c>
      <c r="AC288" s="12">
        <f>AC239-AB239</f>
        <v>-354</v>
      </c>
      <c r="AD288" s="12">
        <f>AD239-AC239</f>
        <v>-73</v>
      </c>
      <c r="AE288" s="12">
        <f>AE239-AD239</f>
        <v>-194</v>
      </c>
      <c r="AF288" s="12">
        <f>AF239-AE239</f>
        <v>-46</v>
      </c>
      <c r="AG288" s="12">
        <f>SUM(AC288:AF288)</f>
        <v>-667</v>
      </c>
      <c r="AH288" s="12">
        <f>AH239-AG239</f>
        <v>-453</v>
      </c>
      <c r="AI288" s="12">
        <f>AI239-AH239</f>
        <v>-72</v>
      </c>
      <c r="AJ288" s="12">
        <f>AJ239-AI239</f>
        <v>0</v>
      </c>
      <c r="AK288" s="12">
        <f>AK239-AJ239</f>
        <v>0</v>
      </c>
      <c r="AL288" s="12">
        <f>SUM(AH288:AK288)</f>
        <v>-525</v>
      </c>
      <c r="AM288" s="12">
        <f>AM239-AL239</f>
        <v>0</v>
      </c>
      <c r="AN288" s="12">
        <f>AN239-AM239</f>
        <v>0</v>
      </c>
      <c r="AO288" s="12">
        <f>AO239-AN239</f>
        <v>0</v>
      </c>
      <c r="AP288" s="12">
        <f>AP239-AO239</f>
        <v>0</v>
      </c>
      <c r="AQ288" s="12">
        <f>SUM(AM288:AP288)</f>
        <v>0</v>
      </c>
      <c r="AR288" s="12">
        <f>AR239-AQ239</f>
        <v>0</v>
      </c>
      <c r="AS288" s="12">
        <f>AS239-AR239</f>
        <v>0</v>
      </c>
      <c r="AT288" s="12">
        <f>AT239-AS239</f>
        <v>0</v>
      </c>
      <c r="AU288" s="12">
        <f>AU239-AT239</f>
        <v>0</v>
      </c>
      <c r="AV288" s="12">
        <f>SUM(AR288:AU288)</f>
        <v>0</v>
      </c>
      <c r="AW288" s="12">
        <f>AW239-AV239</f>
        <v>0</v>
      </c>
      <c r="AX288" s="12">
        <f>AX239-AW239</f>
        <v>0</v>
      </c>
      <c r="AY288" s="12">
        <f>AY239-AX239</f>
        <v>0</v>
      </c>
      <c r="AZ288" s="12">
        <f>AZ239-AY239</f>
        <v>0</v>
      </c>
      <c r="BA288" s="12">
        <f>SUM(AW288:AZ288)</f>
        <v>0</v>
      </c>
      <c r="BB288" s="12">
        <f>BB239-BA239</f>
        <v>0</v>
      </c>
      <c r="BC288" s="12">
        <f>BC239-BB239</f>
        <v>0</v>
      </c>
      <c r="BD288" s="12">
        <f>BD239-BC239</f>
        <v>0</v>
      </c>
      <c r="BE288" s="12">
        <f>BE239-BD239</f>
        <v>0</v>
      </c>
      <c r="BF288" s="12">
        <f>SUM(BB288:BE288)</f>
        <v>0</v>
      </c>
      <c r="BG288" s="12" t="n"/>
      <c r="BH288" s="12" t="n"/>
      <c r="BI288" s="12" t="n"/>
      <c r="BJ288" s="12" t="n"/>
      <c r="BK288" s="12" t="n"/>
      <c r="BL288" s="12" t="n"/>
      <c r="BM288" s="12" t="n"/>
      <c r="BN288" s="12" t="n"/>
      <c r="BO288" s="12" t="n"/>
      <c r="BP288" s="12" t="n"/>
      <c r="BQ288" s="12" t="n"/>
      <c r="BR288" s="12" t="n"/>
      <c r="BS288" s="12" t="n"/>
      <c r="BT288" s="12" t="n"/>
      <c r="BU288" s="12" t="n"/>
      <c r="BV288" s="12" t="n"/>
      <c r="BW288" s="12" t="n"/>
      <c r="BX288" s="12" t="n"/>
      <c r="BY288" s="12" t="n"/>
      <c r="BZ288" s="12" t="n"/>
      <c r="CA288" s="12" t="n"/>
      <c r="CB288" s="12" t="n"/>
      <c r="CC288" s="12" t="n"/>
      <c r="CD288" s="12" t="n"/>
      <c r="CE288" s="12" t="n"/>
      <c r="CF288" s="12" t="n"/>
      <c r="CG288" s="12" t="n"/>
      <c r="CH288" s="12" t="n"/>
      <c r="CI288" s="12" t="n"/>
      <c r="CJ288" s="12" t="n"/>
      <c r="CK288" s="12" t="n"/>
      <c r="CL288" s="12" t="n"/>
      <c r="CM288" s="12" t="n"/>
      <c r="CN288" s="12" t="n"/>
      <c r="CO288" s="12" t="n"/>
      <c r="CP288" s="12" t="n"/>
      <c r="CQ288" s="12" t="n"/>
      <c r="CR288" s="12" t="n"/>
      <c r="CS288" s="12" t="n"/>
      <c r="CT288" s="12" t="n"/>
      <c r="CU288" s="12" t="n"/>
      <c r="CV288" s="12" t="n"/>
      <c r="CW288" s="12" t="n"/>
      <c r="CX288" s="12" t="n"/>
      <c r="CY288" s="12" t="n"/>
    </row>
    <row r="289">
      <c r="C289" s="14" t="inlineStr">
        <is>
          <t>Treasury stock repurchases</t>
        </is>
      </c>
      <c r="D289" s="12" t="n"/>
      <c r="E289" s="12" t="n"/>
      <c r="F289" s="12" t="n"/>
      <c r="G289" s="12" t="n"/>
      <c r="H289" s="12" t="n"/>
      <c r="I289" s="12" t="n"/>
      <c r="J289" s="12">
        <f>J252-I252</f>
        <v>123</v>
      </c>
      <c r="K289" s="12">
        <f>K252-J252</f>
        <v>111</v>
      </c>
      <c r="L289" s="12">
        <f>L252-K252</f>
        <v>221</v>
      </c>
      <c r="M289" s="12" t="n"/>
      <c r="N289" s="12">
        <f>N252-M252</f>
        <v>420</v>
      </c>
      <c r="O289" s="12">
        <f>O252-N252</f>
        <v>-210</v>
      </c>
      <c r="P289" s="12">
        <f>P252-O252</f>
        <v>-166</v>
      </c>
      <c r="Q289" s="12">
        <f>Q252-P252</f>
        <v>-160</v>
      </c>
      <c r="R289" s="12">
        <f>SUM(N289:Q289)</f>
        <v>-116</v>
      </c>
      <c r="S289" s="12">
        <f>S252-R252</f>
        <v>447</v>
      </c>
      <c r="T289" s="12">
        <f>T252-S252</f>
        <v>238</v>
      </c>
      <c r="U289" s="12">
        <f>U252-T252</f>
        <v>280</v>
      </c>
      <c r="V289" s="12">
        <f>V252-U252</f>
        <v>268</v>
      </c>
      <c r="W289" s="12">
        <f>SUM(S289:V289)</f>
        <v>1233</v>
      </c>
      <c r="X289" s="12">
        <f>X252-W252</f>
        <v>1468</v>
      </c>
      <c r="Y289" s="12">
        <f>Y252-X252</f>
        <v>-1505</v>
      </c>
      <c r="Z289" s="12">
        <f>Z252-Y252</f>
        <v>-48</v>
      </c>
      <c r="AA289" s="12">
        <f>AA252-Z252</f>
        <v>-1505</v>
      </c>
      <c r="AB289" s="12">
        <f>SUM(X289:AA289)</f>
        <v>-1590</v>
      </c>
      <c r="AC289" s="12">
        <f>AC252-AB252</f>
        <v>-1458</v>
      </c>
      <c r="AD289" s="12">
        <f>AD252-AC252</f>
        <v>-1397</v>
      </c>
      <c r="AE289" s="12">
        <f>AE252-AD252</f>
        <v>-1581</v>
      </c>
      <c r="AF289" s="12">
        <f>AF252-AE252</f>
        <v>-1799</v>
      </c>
      <c r="AG289" s="12">
        <f>SUM(AC289:AF289)</f>
        <v>-6235</v>
      </c>
      <c r="AH289" s="12">
        <f>AH252-AG252</f>
        <v>-1889</v>
      </c>
      <c r="AI289" s="12">
        <f>AI252-AH252</f>
        <v>-1764</v>
      </c>
      <c r="AJ289" s="12">
        <f>AJ252-AI252</f>
        <v>0</v>
      </c>
      <c r="AK289" s="12">
        <f>AK252-AJ252</f>
        <v>0</v>
      </c>
      <c r="AL289" s="12">
        <f>SUM(AH289:AK289)</f>
        <v>-3653</v>
      </c>
      <c r="AM289" s="12">
        <f>AM252-AL252</f>
        <v>0</v>
      </c>
      <c r="AN289" s="12">
        <f>AN252-AM252</f>
        <v>0</v>
      </c>
      <c r="AO289" s="12">
        <f>AO252-AN252</f>
        <v>0</v>
      </c>
      <c r="AP289" s="12">
        <f>AP252-AO252</f>
        <v>0</v>
      </c>
      <c r="AQ289" s="12">
        <f>SUM(AM289:AP289)</f>
        <v>0</v>
      </c>
      <c r="AR289" s="12">
        <f>AR252-AQ252</f>
        <v>0</v>
      </c>
      <c r="AS289" s="12">
        <f>AS252-AR252</f>
        <v>0</v>
      </c>
      <c r="AT289" s="12">
        <f>AT252-AS252</f>
        <v>0</v>
      </c>
      <c r="AU289" s="12">
        <f>AU252-AT252</f>
        <v>0</v>
      </c>
      <c r="AV289" s="12">
        <f>SUM(AR289:AU289)</f>
        <v>0</v>
      </c>
      <c r="AW289" s="12">
        <f>AW252-AV252</f>
        <v>0</v>
      </c>
      <c r="AX289" s="12">
        <f>AX252-AW252</f>
        <v>0</v>
      </c>
      <c r="AY289" s="12">
        <f>AY252-AX252</f>
        <v>0</v>
      </c>
      <c r="AZ289" s="12">
        <f>AZ252-AY252</f>
        <v>0</v>
      </c>
      <c r="BA289" s="12">
        <f>SUM(AW289:AZ289)</f>
        <v>0</v>
      </c>
      <c r="BB289" s="12">
        <f>BB252-BA252</f>
        <v>0</v>
      </c>
      <c r="BC289" s="12">
        <f>BC252-BB252</f>
        <v>0</v>
      </c>
      <c r="BD289" s="12">
        <f>BD252-BC252</f>
        <v>0</v>
      </c>
      <c r="BE289" s="12">
        <f>BE252-BD252</f>
        <v>0</v>
      </c>
      <c r="BF289" s="12">
        <f>SUM(BB289:BE289)</f>
        <v>0</v>
      </c>
      <c r="BG289" s="12" t="n"/>
      <c r="BH289" s="12" t="n"/>
      <c r="BI289" s="12" t="n"/>
      <c r="BJ289" s="12" t="n"/>
      <c r="BK289" s="12" t="n"/>
      <c r="BL289" s="12" t="n"/>
      <c r="BM289" s="12" t="n"/>
      <c r="BN289" s="12" t="n"/>
      <c r="BO289" s="12" t="n"/>
      <c r="BP289" s="12" t="n"/>
      <c r="BQ289" s="12" t="n"/>
      <c r="BR289" s="12" t="n"/>
      <c r="BS289" s="12" t="n"/>
      <c r="BT289" s="12" t="n"/>
      <c r="BU289" s="12" t="n"/>
      <c r="BV289" s="12" t="n"/>
      <c r="BW289" s="12" t="n"/>
      <c r="BX289" s="12" t="n"/>
      <c r="BY289" s="12" t="n"/>
      <c r="BZ289" s="12" t="n"/>
      <c r="CA289" s="12" t="n"/>
      <c r="CB289" s="12" t="n"/>
      <c r="CC289" s="12" t="n"/>
      <c r="CD289" s="12" t="n"/>
      <c r="CE289" s="12" t="n"/>
      <c r="CF289" s="12" t="n"/>
      <c r="CG289" s="12" t="n"/>
      <c r="CH289" s="12" t="n"/>
      <c r="CI289" s="12" t="n"/>
      <c r="CJ289" s="12" t="n"/>
      <c r="CK289" s="12" t="n"/>
      <c r="CL289" s="12" t="n"/>
      <c r="CM289" s="12" t="n"/>
      <c r="CN289" s="12" t="n"/>
      <c r="CO289" s="12" t="n"/>
      <c r="CP289" s="12" t="n"/>
      <c r="CQ289" s="12" t="n"/>
      <c r="CR289" s="12" t="n"/>
      <c r="CS289" s="12" t="n"/>
      <c r="CT289" s="12" t="n"/>
      <c r="CU289" s="12" t="n"/>
      <c r="CV289" s="12" t="n"/>
      <c r="CW289" s="12" t="n"/>
      <c r="CX289" s="12" t="n"/>
      <c r="CY289" s="12" t="n"/>
    </row>
    <row r="290">
      <c r="C290" s="14" t="inlineStr">
        <is>
          <t>Comprehensive accumulated loss</t>
        </is>
      </c>
      <c r="D290" s="12" t="n"/>
      <c r="E290" s="12" t="n"/>
      <c r="F290" s="12" t="n"/>
      <c r="G290" s="12" t="n"/>
      <c r="H290" s="12" t="n"/>
      <c r="I290" s="12" t="n"/>
      <c r="J290" s="12">
        <f>J253-I253</f>
        <v>1073</v>
      </c>
      <c r="K290" s="12">
        <f>K253-J253</f>
        <v>2742</v>
      </c>
      <c r="L290" s="12">
        <f>L253-K253</f>
        <v>6660</v>
      </c>
      <c r="M290" s="12" t="n"/>
      <c r="N290" s="12">
        <f>N253-M253</f>
        <v>-241</v>
      </c>
      <c r="O290" s="12">
        <f>O253-N253</f>
        <v>-3193</v>
      </c>
      <c r="P290" s="12">
        <f>P253-O253</f>
        <v>-2553</v>
      </c>
      <c r="Q290" s="12">
        <f>Q253-P253</f>
        <v>3094</v>
      </c>
      <c r="R290" s="12">
        <f>SUM(N290:Q290)</f>
        <v>-2893</v>
      </c>
      <c r="S290" s="12">
        <f>S253-R253</f>
        <v>-1978</v>
      </c>
      <c r="T290" s="12">
        <f>T253-S253</f>
        <v>-284</v>
      </c>
      <c r="U290" s="12">
        <f>U253-T253</f>
        <v>222</v>
      </c>
      <c r="V290" s="12">
        <f>V253-U253</f>
        <v>-2799</v>
      </c>
      <c r="W290" s="12">
        <f>SUM(S290:V290)</f>
        <v>-4839</v>
      </c>
      <c r="X290" s="12">
        <f>X253-W253</f>
        <v>547</v>
      </c>
      <c r="Y290" s="12">
        <f>Y253-X253</f>
        <v>1568</v>
      </c>
      <c r="Z290" s="12">
        <f>Z253-Y253</f>
        <v>-340</v>
      </c>
      <c r="AA290" s="12">
        <f>AA253-Z253</f>
        <v>514</v>
      </c>
      <c r="AB290" s="12">
        <f>SUM(X290:AA290)</f>
        <v>2289</v>
      </c>
      <c r="AC290" s="12">
        <f>AC253-AB253</f>
        <v>128</v>
      </c>
      <c r="AD290" s="12">
        <f>AD253-AC253</f>
        <v>-291</v>
      </c>
      <c r="AE290" s="12">
        <f>AE253-AD253</f>
        <v>-323</v>
      </c>
      <c r="AF290" s="12">
        <f>AF253-AE253</f>
        <v>-451</v>
      </c>
      <c r="AG290" s="12">
        <f>SUM(AC290:AF290)</f>
        <v>-937</v>
      </c>
      <c r="AH290" s="12">
        <f>AH253-AG253</f>
        <v>312</v>
      </c>
      <c r="AI290" s="12">
        <f>AI253-AH253</f>
        <v>-462</v>
      </c>
      <c r="AJ290" s="12">
        <f>AJ253-AI253</f>
        <v>0</v>
      </c>
      <c r="AK290" s="12">
        <f>AK253-AJ253</f>
        <v>0</v>
      </c>
      <c r="AL290" s="12">
        <f>SUM(AH290:AK290)</f>
        <v>-150</v>
      </c>
      <c r="AM290" s="12">
        <f>AM253-AL253</f>
        <v>0</v>
      </c>
      <c r="AN290" s="12">
        <f>AN253-AM253</f>
        <v>0</v>
      </c>
      <c r="AO290" s="12">
        <f>AO253-AN253</f>
        <v>0</v>
      </c>
      <c r="AP290" s="12">
        <f>AP253-AO253</f>
        <v>0</v>
      </c>
      <c r="AQ290" s="12">
        <f>SUM(AM290:AP290)</f>
        <v>0</v>
      </c>
      <c r="AR290" s="12">
        <f>AR253-AQ253</f>
        <v>0</v>
      </c>
      <c r="AS290" s="12">
        <f>AS253-AR253</f>
        <v>0</v>
      </c>
      <c r="AT290" s="12">
        <f>AT253-AS253</f>
        <v>0</v>
      </c>
      <c r="AU290" s="12">
        <f>AU253-AT253</f>
        <v>0</v>
      </c>
      <c r="AV290" s="12">
        <f>SUM(AR290:AU290)</f>
        <v>0</v>
      </c>
      <c r="AW290" s="12">
        <f>AW253-AV253</f>
        <v>0</v>
      </c>
      <c r="AX290" s="12">
        <f>AX253-AW253</f>
        <v>0</v>
      </c>
      <c r="AY290" s="12">
        <f>AY253-AX253</f>
        <v>0</v>
      </c>
      <c r="AZ290" s="12">
        <f>AZ253-AY253</f>
        <v>0</v>
      </c>
      <c r="BA290" s="12">
        <f>SUM(AW290:AZ290)</f>
        <v>0</v>
      </c>
      <c r="BB290" s="12">
        <f>BB253-BA253</f>
        <v>0</v>
      </c>
      <c r="BC290" s="12">
        <f>BC253-BB253</f>
        <v>0</v>
      </c>
      <c r="BD290" s="12">
        <f>BD253-BC253</f>
        <v>0</v>
      </c>
      <c r="BE290" s="12">
        <f>BE253-BD253</f>
        <v>0</v>
      </c>
      <c r="BF290" s="12">
        <f>SUM(BB290:BE290)</f>
        <v>0</v>
      </c>
      <c r="BG290" s="12" t="n"/>
      <c r="BH290" s="12" t="n"/>
      <c r="BI290" s="12" t="n"/>
      <c r="BJ290" s="12" t="n"/>
      <c r="BK290" s="12" t="n"/>
      <c r="BL290" s="12" t="n"/>
      <c r="BM290" s="12" t="n"/>
      <c r="BN290" s="12" t="n"/>
      <c r="BO290" s="12" t="n"/>
      <c r="BP290" s="12" t="n"/>
      <c r="BQ290" s="12" t="n"/>
      <c r="BR290" s="12" t="n"/>
      <c r="BS290" s="12" t="n"/>
      <c r="BT290" s="12" t="n"/>
      <c r="BU290" s="12" t="n"/>
      <c r="BV290" s="12" t="n"/>
      <c r="BW290" s="12" t="n"/>
      <c r="BX290" s="12" t="n"/>
      <c r="BY290" s="12" t="n"/>
      <c r="BZ290" s="12" t="n"/>
      <c r="CA290" s="12" t="n"/>
      <c r="CB290" s="12" t="n"/>
      <c r="CC290" s="12" t="n"/>
      <c r="CD290" s="12" t="n"/>
      <c r="CE290" s="12" t="n"/>
      <c r="CF290" s="12" t="n"/>
      <c r="CG290" s="12" t="n"/>
      <c r="CH290" s="12" t="n"/>
      <c r="CI290" s="12" t="n"/>
      <c r="CJ290" s="12" t="n"/>
      <c r="CK290" s="12" t="n"/>
      <c r="CL290" s="12" t="n"/>
      <c r="CM290" s="12" t="n"/>
      <c r="CN290" s="12" t="n"/>
      <c r="CO290" s="12" t="n"/>
      <c r="CP290" s="12" t="n"/>
      <c r="CQ290" s="12" t="n"/>
      <c r="CR290" s="12" t="n"/>
      <c r="CS290" s="12" t="n"/>
      <c r="CT290" s="12" t="n"/>
      <c r="CU290" s="12" t="n"/>
      <c r="CV290" s="12" t="n"/>
      <c r="CW290" s="12" t="n"/>
      <c r="CX290" s="12" t="n"/>
      <c r="CY290" s="12" t="n"/>
    </row>
    <row r="291">
      <c r="C291" s="14" t="inlineStr">
        <is>
          <t>Other equity account</t>
        </is>
      </c>
      <c r="D291" s="12" t="n"/>
      <c r="E291" s="12" t="n"/>
      <c r="F291" s="12" t="n"/>
      <c r="G291" s="12" t="n"/>
      <c r="H291" s="12" t="n"/>
      <c r="I291" s="12" t="n"/>
      <c r="J291" s="12">
        <f>J254-I254</f>
        <v>0</v>
      </c>
      <c r="K291" s="12">
        <f>K254-J254</f>
        <v>0</v>
      </c>
      <c r="L291" s="12">
        <f>L254-K254</f>
        <v>0</v>
      </c>
      <c r="M291" s="12" t="n"/>
      <c r="N291" s="12">
        <f>N254-M254</f>
        <v>0</v>
      </c>
      <c r="O291" s="12">
        <f>O254-N254</f>
        <v>0</v>
      </c>
      <c r="P291" s="12">
        <f>P254-O254</f>
        <v>0</v>
      </c>
      <c r="Q291" s="12">
        <f>Q254-P254</f>
        <v>0</v>
      </c>
      <c r="R291" s="12">
        <f>SUM(N291:Q291)</f>
        <v>0</v>
      </c>
      <c r="S291" s="12">
        <f>S254-R254</f>
        <v>0</v>
      </c>
      <c r="T291" s="12">
        <f>T254-S254</f>
        <v>0</v>
      </c>
      <c r="U291" s="12">
        <f>U254-T254</f>
        <v>0</v>
      </c>
      <c r="V291" s="12">
        <f>V254-U254</f>
        <v>0</v>
      </c>
      <c r="W291" s="12">
        <f>SUM(S291:V291)</f>
        <v>0</v>
      </c>
      <c r="X291" s="12">
        <f>X254-W254</f>
        <v>0</v>
      </c>
      <c r="Y291" s="12">
        <f>Y254-X254</f>
        <v>0</v>
      </c>
      <c r="Z291" s="12">
        <f>Z254-Y254</f>
        <v>0</v>
      </c>
      <c r="AA291" s="12">
        <f>AA254-Z254</f>
        <v>0</v>
      </c>
      <c r="AB291" s="12">
        <f>SUM(X291:AA291)</f>
        <v>0</v>
      </c>
      <c r="AC291" s="12">
        <f>AC254-AB254</f>
        <v>0</v>
      </c>
      <c r="AD291" s="12">
        <f>AD254-AC254</f>
        <v>0</v>
      </c>
      <c r="AE291" s="12">
        <f>AE254-AD254</f>
        <v>0</v>
      </c>
      <c r="AF291" s="12">
        <f>AF254-AE254</f>
        <v>0</v>
      </c>
      <c r="AG291" s="12">
        <f>SUM(AC291:AF291)</f>
        <v>0</v>
      </c>
      <c r="AH291" s="12">
        <f>AH254-AG254</f>
        <v>0</v>
      </c>
      <c r="AI291" s="12">
        <f>AI254-AH254</f>
        <v>0</v>
      </c>
      <c r="AJ291" s="12">
        <f>AJ254-AI254</f>
        <v>0</v>
      </c>
      <c r="AK291" s="12">
        <f>AK254-AJ254</f>
        <v>0</v>
      </c>
      <c r="AL291" s="12">
        <f>SUM(AH291:AK291)</f>
        <v>0</v>
      </c>
      <c r="AM291" s="12">
        <f>AM254-AL254</f>
        <v>0</v>
      </c>
      <c r="AN291" s="12">
        <f>AN254-AM254</f>
        <v>0</v>
      </c>
      <c r="AO291" s="12">
        <f>AO254-AN254</f>
        <v>0</v>
      </c>
      <c r="AP291" s="12">
        <f>AP254-AO254</f>
        <v>0</v>
      </c>
      <c r="AQ291" s="12">
        <f>SUM(AM291:AP291)</f>
        <v>0</v>
      </c>
      <c r="AR291" s="12">
        <f>AR254-AQ254</f>
        <v>0</v>
      </c>
      <c r="AS291" s="12">
        <f>AS254-AR254</f>
        <v>0</v>
      </c>
      <c r="AT291" s="12">
        <f>AT254-AS254</f>
        <v>0</v>
      </c>
      <c r="AU291" s="12">
        <f>AU254-AT254</f>
        <v>0</v>
      </c>
      <c r="AV291" s="12">
        <f>SUM(AR291:AU291)</f>
        <v>0</v>
      </c>
      <c r="AW291" s="12">
        <f>AW254-AV254</f>
        <v>0</v>
      </c>
      <c r="AX291" s="12">
        <f>AX254-AW254</f>
        <v>0</v>
      </c>
      <c r="AY291" s="12">
        <f>AY254-AX254</f>
        <v>0</v>
      </c>
      <c r="AZ291" s="12">
        <f>AZ254-AY254</f>
        <v>0</v>
      </c>
      <c r="BA291" s="12">
        <f>SUM(AW291:AZ291)</f>
        <v>0</v>
      </c>
      <c r="BB291" s="12">
        <f>BB254-BA254</f>
        <v>0</v>
      </c>
      <c r="BC291" s="12">
        <f>BC254-BB254</f>
        <v>0</v>
      </c>
      <c r="BD291" s="12">
        <f>BD254-BC254</f>
        <v>0</v>
      </c>
      <c r="BE291" s="12">
        <f>BE254-BD254</f>
        <v>0</v>
      </c>
      <c r="BF291" s="12">
        <f>SUM(BB291:BE291)</f>
        <v>0</v>
      </c>
      <c r="BG291" s="12" t="n"/>
      <c r="BH291" s="12" t="n"/>
      <c r="BI291" s="12" t="n"/>
      <c r="BJ291" s="12" t="n"/>
      <c r="BK291" s="12" t="n"/>
      <c r="BL291" s="12" t="n"/>
      <c r="BM291" s="12" t="n"/>
      <c r="BN291" s="12" t="n"/>
      <c r="BO291" s="12" t="n"/>
      <c r="BP291" s="12" t="n"/>
      <c r="BQ291" s="12" t="n"/>
      <c r="BR291" s="12" t="n"/>
      <c r="BS291" s="12" t="n"/>
      <c r="BT291" s="12" t="n"/>
      <c r="BU291" s="12" t="n"/>
      <c r="BV291" s="12" t="n"/>
      <c r="BW291" s="12" t="n"/>
      <c r="BX291" s="12" t="n"/>
      <c r="BY291" s="12" t="n"/>
      <c r="BZ291" s="12" t="n"/>
      <c r="CA291" s="12" t="n"/>
      <c r="CB291" s="12" t="n"/>
      <c r="CC291" s="12" t="n"/>
      <c r="CD291" s="12" t="n"/>
      <c r="CE291" s="12" t="n"/>
      <c r="CF291" s="12" t="n"/>
      <c r="CG291" s="12" t="n"/>
      <c r="CH291" s="12" t="n"/>
      <c r="CI291" s="12" t="n"/>
      <c r="CJ291" s="12" t="n"/>
      <c r="CK291" s="12" t="n"/>
      <c r="CL291" s="12" t="n"/>
      <c r="CM291" s="12" t="n"/>
      <c r="CN291" s="12" t="n"/>
      <c r="CO291" s="12" t="n"/>
      <c r="CP291" s="12" t="n"/>
      <c r="CQ291" s="12" t="n"/>
      <c r="CR291" s="12" t="n"/>
      <c r="CS291" s="12" t="n"/>
      <c r="CT291" s="12" t="n"/>
      <c r="CU291" s="12" t="n"/>
      <c r="CV291" s="12" t="n"/>
      <c r="CW291" s="12" t="n"/>
      <c r="CX291" s="12" t="n"/>
      <c r="CY291" s="12" t="n"/>
    </row>
    <row r="292">
      <c r="C292" s="10" t="inlineStr">
        <is>
          <t>Common and preferred dividends</t>
        </is>
      </c>
      <c r="D292" s="12" t="n"/>
      <c r="E292" s="12" t="n"/>
      <c r="F292" s="12" t="n"/>
      <c r="G292" s="12" t="n"/>
      <c r="H292" s="12" t="n"/>
      <c r="I292" s="12" t="n"/>
      <c r="J292" s="12">
        <f>(J255-I255)-J262</f>
        <v>-152</v>
      </c>
      <c r="K292" s="12">
        <f>(K255-J255)-K262</f>
        <v>-152</v>
      </c>
      <c r="L292" s="12">
        <f>(L255-K255)-L262</f>
        <v>-145</v>
      </c>
      <c r="M292" s="12" t="n"/>
      <c r="N292" s="12">
        <f>(N255-M255)-N262</f>
        <v>-47</v>
      </c>
      <c r="O292" s="12">
        <f>(O255-N255)-O262</f>
        <v>-64</v>
      </c>
      <c r="P292" s="12">
        <f>(P255-O255)-P262</f>
        <v>-487</v>
      </c>
      <c r="Q292" s="12">
        <f>(Q255-P255)-Q262</f>
        <v>-159</v>
      </c>
      <c r="R292" s="12">
        <f>SUM(N292:Q292)</f>
        <v>-757</v>
      </c>
      <c r="S292" s="12">
        <f>(S255-R255)-S262</f>
        <v>-7246</v>
      </c>
      <c r="T292" s="12">
        <f>(T255-S255)-T262</f>
        <v>-140</v>
      </c>
      <c r="U292" s="12">
        <f>(U255-T255)-U262</f>
        <v>-183</v>
      </c>
      <c r="V292" s="12">
        <f>(V255-U255)-V262</f>
        <v>-79</v>
      </c>
      <c r="W292" s="12">
        <f>SUM(S292:V292)</f>
        <v>-7648</v>
      </c>
      <c r="X292" s="12">
        <f>(X255-W255)-X262</f>
        <v>-1</v>
      </c>
      <c r="Y292" s="12">
        <f>(Y255-X255)-Y262</f>
        <v>-11982</v>
      </c>
      <c r="Z292" s="12">
        <f>(Z255-Y255)-Z262</f>
        <v>-312</v>
      </c>
      <c r="AA292" s="12">
        <f>(AA255-Z255)-AA262</f>
        <v>-300</v>
      </c>
      <c r="AB292" s="12">
        <f>SUM(X292:AA292)</f>
        <v>-12595</v>
      </c>
      <c r="AC292" s="12">
        <f>(AC255-AB255)-AC262</f>
        <v>-385</v>
      </c>
      <c r="AD292" s="12">
        <f>(AD255-AC255)-AD262</f>
        <v>-383</v>
      </c>
      <c r="AE292" s="12">
        <f>(AE255-AD255)-AE262</f>
        <v>-381</v>
      </c>
      <c r="AF292" s="12">
        <f>(AF255-AE255)-AF262</f>
        <v>-380</v>
      </c>
      <c r="AG292" s="12">
        <f>SUM(AC292:AF292)</f>
        <v>-1529</v>
      </c>
      <c r="AH292" s="12">
        <f>(AH255-AG255)-AH262</f>
        <v>-494</v>
      </c>
      <c r="AI292" s="12">
        <f>(AI255-AH255)-AI262</f>
        <v>-490</v>
      </c>
      <c r="AJ292" s="12">
        <f>(AJ255-AI255)-AJ262</f>
        <v>0</v>
      </c>
      <c r="AK292" s="12">
        <f>(AK255-AJ255)-AK262</f>
        <v>0</v>
      </c>
      <c r="AL292" s="12">
        <f>SUM(AH292:AK292)</f>
        <v>-984</v>
      </c>
      <c r="AM292" s="12">
        <f>(AM255-AL255)-AM262</f>
        <v>0</v>
      </c>
      <c r="AN292" s="12">
        <f>(AN255-AM255)-AN262</f>
        <v>0</v>
      </c>
      <c r="AO292" s="12">
        <f>(AO255-AN255)-AO262</f>
        <v>0</v>
      </c>
      <c r="AP292" s="12">
        <f>(AP255-AO255)-AP262</f>
        <v>0</v>
      </c>
      <c r="AQ292" s="12">
        <f>SUM(AM292:AP292)</f>
        <v>0</v>
      </c>
      <c r="AR292" s="12">
        <f>(AR255-AQ255)-AR262</f>
        <v>0</v>
      </c>
      <c r="AS292" s="12">
        <f>(AS255-AR255)-AS262</f>
        <v>0</v>
      </c>
      <c r="AT292" s="12">
        <f>(AT255-AS255)-AT262</f>
        <v>0</v>
      </c>
      <c r="AU292" s="12">
        <f>(AU255-AT255)-AU262</f>
        <v>0</v>
      </c>
      <c r="AV292" s="12">
        <f>SUM(AR292:AU292)</f>
        <v>0</v>
      </c>
      <c r="AW292" s="12">
        <f>(AW255-AV255)-AW262</f>
        <v>0</v>
      </c>
      <c r="AX292" s="12">
        <f>(AX255-AW255)-AX262</f>
        <v>0</v>
      </c>
      <c r="AY292" s="12">
        <f>(AY255-AX255)-AY262</f>
        <v>0</v>
      </c>
      <c r="AZ292" s="12">
        <f>(AZ255-AY255)-AZ262</f>
        <v>0</v>
      </c>
      <c r="BA292" s="12">
        <f>SUM(AW292:AZ292)</f>
        <v>0</v>
      </c>
      <c r="BB292" s="12">
        <f>(BB255-BA255)-BB262</f>
        <v>0</v>
      </c>
      <c r="BC292" s="12">
        <f>(BC255-BB255)-BC262</f>
        <v>0</v>
      </c>
      <c r="BD292" s="12">
        <f>(BD255-BC255)-BD262</f>
        <v>0</v>
      </c>
      <c r="BE292" s="12">
        <f>(BE255-BD255)-BE262</f>
        <v>0</v>
      </c>
      <c r="BF292" s="12">
        <f>SUM(BB292:BE292)</f>
        <v>0</v>
      </c>
      <c r="BG292" s="12" t="n"/>
      <c r="BH292" s="12" t="n"/>
      <c r="BI292" s="12" t="n"/>
      <c r="BJ292" s="12" t="n"/>
      <c r="BK292" s="12" t="n"/>
      <c r="BL292" s="12" t="n"/>
      <c r="BM292" s="12" t="n"/>
      <c r="BN292" s="12" t="n"/>
      <c r="BO292" s="12" t="n"/>
      <c r="BP292" s="12" t="n"/>
      <c r="BQ292" s="12" t="n"/>
      <c r="BR292" s="12" t="n"/>
      <c r="BS292" s="12" t="n"/>
      <c r="BT292" s="12" t="n"/>
      <c r="BU292" s="12" t="n"/>
      <c r="BV292" s="12" t="n"/>
      <c r="BW292" s="12" t="n"/>
      <c r="BX292" s="12" t="n"/>
      <c r="BY292" s="12" t="n"/>
      <c r="BZ292" s="12" t="n"/>
      <c r="CA292" s="12" t="n"/>
      <c r="CB292" s="12" t="n"/>
      <c r="CC292" s="12" t="n"/>
      <c r="CD292" s="12" t="n"/>
      <c r="CE292" s="12" t="n"/>
      <c r="CF292" s="12" t="n"/>
      <c r="CG292" s="12" t="n"/>
      <c r="CH292" s="12" t="n"/>
      <c r="CI292" s="12" t="n"/>
      <c r="CJ292" s="12" t="n"/>
      <c r="CK292" s="12" t="n"/>
      <c r="CL292" s="12" t="n"/>
      <c r="CM292" s="12" t="n"/>
      <c r="CN292" s="12" t="n"/>
      <c r="CO292" s="12" t="n"/>
      <c r="CP292" s="12" t="n"/>
      <c r="CQ292" s="12" t="n"/>
      <c r="CR292" s="12" t="n"/>
      <c r="CS292" s="12" t="n"/>
      <c r="CT292" s="12" t="n"/>
      <c r="CU292" s="12" t="n"/>
      <c r="CV292" s="12" t="n"/>
      <c r="CW292" s="12" t="n"/>
      <c r="CX292" s="12" t="n"/>
      <c r="CY292" s="12" t="n"/>
    </row>
    <row r="293">
      <c r="C293" s="14" t="inlineStr">
        <is>
          <t>Dividends to minority interests</t>
        </is>
      </c>
      <c r="D293" s="12" t="n"/>
      <c r="E293" s="12" t="n"/>
      <c r="F293" s="12" t="n"/>
      <c r="G293" s="12" t="n"/>
      <c r="H293" s="12" t="n"/>
      <c r="I293" s="12" t="n"/>
      <c r="J293" s="12">
        <f>(J233-I233)+J121</f>
        <v>-5</v>
      </c>
      <c r="K293" s="12">
        <f>(K233-J233)+K121</f>
        <v>-3</v>
      </c>
      <c r="L293" s="12">
        <f>(L233-K233)+L121</f>
        <v>-183</v>
      </c>
      <c r="M293" s="12" t="n"/>
      <c r="N293" s="12">
        <f>(N233-M233)+N121</f>
        <v>-52</v>
      </c>
      <c r="O293" s="12">
        <f>(O233-N233)+O121</f>
        <v>-4</v>
      </c>
      <c r="P293" s="12">
        <f>(P233-O233)+P121</f>
        <v>-19</v>
      </c>
      <c r="Q293" s="12">
        <f>(Q233-P233)+Q121</f>
        <v>-78</v>
      </c>
      <c r="R293" s="12">
        <f>SUM(N293:Q293)</f>
        <v>-153</v>
      </c>
      <c r="S293" s="12">
        <f>(S233-R233)+S121</f>
        <v>-18</v>
      </c>
      <c r="T293" s="12">
        <f>(T233-S233)+T121</f>
        <v>-1</v>
      </c>
      <c r="U293" s="12">
        <f>(U233-T233)+U121</f>
        <v>7</v>
      </c>
      <c r="V293" s="12">
        <f>(V233-U233)+V121</f>
        <v>35</v>
      </c>
      <c r="W293" s="12">
        <f>SUM(S293:V293)</f>
        <v>23</v>
      </c>
      <c r="X293" s="12">
        <f>(X233-W233)+X121</f>
        <v>19</v>
      </c>
      <c r="Y293" s="12">
        <f>(Y233-X233)+Y121</f>
        <v>-1005</v>
      </c>
      <c r="Z293" s="12">
        <f>(Z233-Y233)+Z121</f>
        <v>-6</v>
      </c>
      <c r="AA293" s="12">
        <f>(AA233-Z233)+AA121</f>
        <v>2</v>
      </c>
      <c r="AB293" s="12">
        <f>SUM(X293:AA293)</f>
        <v>-990</v>
      </c>
      <c r="AC293" s="12">
        <f>(AC233-AB233)+AC121</f>
        <v>-1</v>
      </c>
      <c r="AD293" s="12">
        <f>(AD233-AC233)+AD121</f>
        <v>0</v>
      </c>
      <c r="AE293" s="12">
        <f>(AE233-AD233)+AE121</f>
        <v>2</v>
      </c>
      <c r="AF293" s="12">
        <f>(AF233-AE233)+AF121</f>
        <v>2</v>
      </c>
      <c r="AG293" s="12">
        <f>SUM(AC293:AF293)</f>
        <v>3</v>
      </c>
      <c r="AH293" s="12">
        <f>(AH233-AG233)+AH121</f>
        <v>3</v>
      </c>
      <c r="AI293" s="12">
        <f>(AI233-AH233)+AI121</f>
        <v>0</v>
      </c>
      <c r="AJ293" s="12">
        <f>(AJ233-AI233)+AJ121</f>
        <v>0</v>
      </c>
      <c r="AK293" s="12">
        <f>(AK233-AJ233)+AK121</f>
        <v>0</v>
      </c>
      <c r="AL293" s="12">
        <f>SUM(AH293:AK293)</f>
        <v>3</v>
      </c>
      <c r="AM293" s="12">
        <f>(AM233-AL233)+AM121</f>
        <v>0</v>
      </c>
      <c r="AN293" s="12">
        <f>(AN233-AM233)+AN121</f>
        <v>0</v>
      </c>
      <c r="AO293" s="12">
        <f>(AO233-AN233)+AO121</f>
        <v>0</v>
      </c>
      <c r="AP293" s="12">
        <f>(AP233-AO233)+AP121</f>
        <v>0</v>
      </c>
      <c r="AQ293" s="12">
        <f>SUM(AM293:AP293)</f>
        <v>0</v>
      </c>
      <c r="AR293" s="12">
        <f>(AR233-AQ233)+AR121</f>
        <v>0</v>
      </c>
      <c r="AS293" s="12">
        <f>(AS233-AR233)+AS121</f>
        <v>0</v>
      </c>
      <c r="AT293" s="12">
        <f>(AT233-AS233)+AT121</f>
        <v>0</v>
      </c>
      <c r="AU293" s="12">
        <f>(AU233-AT233)+AU121</f>
        <v>0</v>
      </c>
      <c r="AV293" s="12">
        <f>SUM(AR293:AU293)</f>
        <v>0</v>
      </c>
      <c r="AW293" s="12">
        <f>(AW233-AV233)+AW121</f>
        <v>0</v>
      </c>
      <c r="AX293" s="12">
        <f>(AX233-AW233)+AX121</f>
        <v>0</v>
      </c>
      <c r="AY293" s="12">
        <f>(AY233-AX233)+AY121</f>
        <v>0</v>
      </c>
      <c r="AZ293" s="12">
        <f>(AZ233-AY233)+AZ121</f>
        <v>0</v>
      </c>
      <c r="BA293" s="12">
        <f>SUM(AW293:AZ293)</f>
        <v>0</v>
      </c>
      <c r="BB293" s="12">
        <f>(BB233-BA233)+BB121</f>
        <v>0</v>
      </c>
      <c r="BC293" s="12">
        <f>(BC233-BB233)+BC121</f>
        <v>0</v>
      </c>
      <c r="BD293" s="12">
        <f>(BD233-BC233)+BD121</f>
        <v>0</v>
      </c>
      <c r="BE293" s="12">
        <f>(BE233-BD233)+BE121</f>
        <v>0</v>
      </c>
      <c r="BF293" s="12">
        <f>SUM(BB293:BE293)</f>
        <v>0</v>
      </c>
      <c r="BG293" s="12" t="n"/>
      <c r="BH293" s="12" t="n"/>
      <c r="BI293" s="12" t="n"/>
      <c r="BJ293" s="12" t="n"/>
      <c r="BK293" s="12" t="n"/>
      <c r="BL293" s="12" t="n"/>
      <c r="BM293" s="12" t="n"/>
      <c r="BN293" s="12" t="n"/>
      <c r="BO293" s="12" t="n"/>
      <c r="BP293" s="12" t="n"/>
      <c r="BQ293" s="12" t="n"/>
      <c r="BR293" s="12" t="n"/>
      <c r="BS293" s="12" t="n"/>
      <c r="BT293" s="12" t="n"/>
      <c r="BU293" s="12" t="n"/>
      <c r="BV293" s="12" t="n"/>
      <c r="BW293" s="12" t="n"/>
      <c r="BX293" s="12" t="n"/>
      <c r="BY293" s="12" t="n"/>
      <c r="BZ293" s="12" t="n"/>
      <c r="CA293" s="12" t="n"/>
      <c r="CB293" s="12" t="n"/>
      <c r="CC293" s="12" t="n"/>
      <c r="CD293" s="12" t="n"/>
      <c r="CE293" s="12" t="n"/>
      <c r="CF293" s="12" t="n"/>
      <c r="CG293" s="12" t="n"/>
      <c r="CH293" s="12" t="n"/>
      <c r="CI293" s="12" t="n"/>
      <c r="CJ293" s="12" t="n"/>
      <c r="CK293" s="12" t="n"/>
      <c r="CL293" s="12" t="n"/>
      <c r="CM293" s="12" t="n"/>
      <c r="CN293" s="12" t="n"/>
      <c r="CO293" s="12" t="n"/>
      <c r="CP293" s="12" t="n"/>
      <c r="CQ293" s="12" t="n"/>
      <c r="CR293" s="12" t="n"/>
      <c r="CS293" s="12" t="n"/>
      <c r="CT293" s="12" t="n"/>
      <c r="CU293" s="12" t="n"/>
      <c r="CV293" s="12" t="n"/>
      <c r="CW293" s="12" t="n"/>
      <c r="CX293" s="12" t="n"/>
      <c r="CY293" s="12" t="n"/>
    </row>
    <row r="294">
      <c r="C294" s="15" t="inlineStr">
        <is>
          <t>Increases / (decreases) in debt</t>
        </is>
      </c>
      <c r="D294" s="12" t="n"/>
      <c r="E294" s="12" t="n"/>
      <c r="F294" s="12" t="n"/>
      <c r="G294" s="12" t="n"/>
      <c r="H294" s="12" t="n"/>
      <c r="I294" s="12" t="n"/>
      <c r="J294" s="12">
        <f>SUM(J197:J199,J202,J223,J220)-SUM(I197:I199,I202,I223,I220)</f>
        <v>-7834</v>
      </c>
      <c r="K294" s="12">
        <f>SUM(K197:K199,K202,K223,K220)-SUM(J197:J199,J202,J223,J220)</f>
        <v>-636</v>
      </c>
      <c r="L294" s="12">
        <f>SUM(L197:L199,L202,L223,L220)-SUM(K197:K199,K202,K223,K220)</f>
        <v>-27703</v>
      </c>
      <c r="M294" s="12" t="n"/>
      <c r="N294" s="12">
        <f>SUM(N197:N199,N202,N223,N220)-SUM(M197:M199,M202,M223,M220)</f>
        <v>-1551</v>
      </c>
      <c r="O294" s="12">
        <f>SUM(O197:O199,O202,O223,O220)-SUM(N197:N199,N202,N223,N220)</f>
        <v>-1116</v>
      </c>
      <c r="P294" s="12">
        <f>SUM(P197:P199,P202,P223,P220)-SUM(O197:O199,O202,O223,O220)</f>
        <v>-2112</v>
      </c>
      <c r="Q294" s="12">
        <f>SUM(Q197:Q199,Q202,Q223,Q220)-SUM(P197:P199,P202,P223,P220)</f>
        <v>1944</v>
      </c>
      <c r="R294" s="12">
        <f>SUM(N294:Q294)</f>
        <v>-2835</v>
      </c>
      <c r="S294" s="12">
        <f>SUM(S197:S199,S202,S223,S220)-SUM(R197:R199,R202,R223,R220)</f>
        <v>-9929</v>
      </c>
      <c r="T294" s="12">
        <f>SUM(T197:T199,T202,T223,T220)-SUM(S197:S199,S202,S223,S220)</f>
        <v>-639</v>
      </c>
      <c r="U294" s="12">
        <f>SUM(U197:U199,U202,U223,U220)-SUM(T197:T199,T202,T223,T220)</f>
        <v>-960</v>
      </c>
      <c r="V294" s="12">
        <f>SUM(V197:V199,V202,V223,V220)-SUM(U197:U199,U202,U223,U220)</f>
        <v>142</v>
      </c>
      <c r="W294" s="12">
        <f>SUM(S294:V294)</f>
        <v>-11386</v>
      </c>
      <c r="X294" s="12">
        <f>SUM(X197:X199,X202,X223,X220)-SUM(W197:W199,W202,W223,W220)</f>
        <v>-439</v>
      </c>
      <c r="Y294" s="12">
        <f>SUM(Y197:Y199,Y202,Y223,Y220)-SUM(X197:X199,X202,X223,X220)</f>
        <v>-852</v>
      </c>
      <c r="Z294" s="12">
        <f>SUM(Z197:Z199,Z202,Z223,Z220)-SUM(Y197:Y199,Y202,Y223,Y220)</f>
        <v>248</v>
      </c>
      <c r="AA294" s="12">
        <f>SUM(AA197:AA199,AA202,AA223,AA220)-SUM(Z197:Z199,Z202,Z223,Z220)</f>
        <v>-648</v>
      </c>
      <c r="AB294" s="12">
        <f>SUM(X294:AA294)</f>
        <v>-1691</v>
      </c>
      <c r="AC294" s="12">
        <f>SUM(AC197:AC199,AC202,AC223,AC220)-SUM(AB197:AB199,AB202,AB223,AB220)</f>
        <v>298</v>
      </c>
      <c r="AD294" s="12">
        <f>SUM(AD197:AD199,AD202,AD223,AD220)-SUM(AC197:AC199,AC202,AC223,AC220)</f>
        <v>-684</v>
      </c>
      <c r="AE294" s="12">
        <f>SUM(AE197:AE199,AE202,AE223,AE220)-SUM(AD197:AD199,AD202,AD223,AD220)</f>
        <v>1951</v>
      </c>
      <c r="AF294" s="12">
        <f>SUM(AF197:AF199,AF202,AF223,AF220)-SUM(AE197:AE199,AE202,AE223,AE220)</f>
        <v>-344</v>
      </c>
      <c r="AG294" s="12">
        <f>SUM(AC294:AF294)</f>
        <v>1221</v>
      </c>
      <c r="AH294" s="12">
        <f>SUM(AH197:AH199,AH202,AH223,AH220)-SUM(AG197:AG199,AG202,AG223,AG220)</f>
        <v>-217</v>
      </c>
      <c r="AI294" s="12">
        <f>SUM(AI197:AI199,AI202,AI223,AI220)-SUM(AH197:AH199,AH202,AH223,AH220)</f>
        <v>-1120</v>
      </c>
      <c r="AJ294" s="12">
        <f>SUM(AJ197:AJ199,AJ202,AJ223,AJ220)-SUM(AI197:AI199,AI202,AI223,AI220)</f>
        <v>0</v>
      </c>
      <c r="AK294" s="12">
        <f>SUM(AK197:AK199,AK202,AK223,AK220)-SUM(AJ197:AJ199,AJ202,AJ223,AJ220)</f>
        <v>0</v>
      </c>
      <c r="AL294" s="12">
        <f>SUM(AH294:AK294)</f>
        <v>-1337</v>
      </c>
      <c r="AM294" s="12">
        <f>SUM(AM197:AM199,AM202,AM223,AM220)-SUM(AL197:AL199,AL202,AL223,AL220)</f>
        <v>0</v>
      </c>
      <c r="AN294" s="12">
        <f>SUM(AN197:AN199,AN202,AN223,AN220)-SUM(AM197:AM199,AM202,AM223,AM220)</f>
        <v>0</v>
      </c>
      <c r="AO294" s="12">
        <f>SUM(AO197:AO199,AO202,AO223,AO220)-SUM(AN197:AN199,AN202,AN223,AN220)</f>
        <v>0</v>
      </c>
      <c r="AP294" s="12">
        <f>SUM(AP197:AP199,AP202,AP223,AP220)-SUM(AO197:AO199,AO202,AO223,AO220)</f>
        <v>0</v>
      </c>
      <c r="AQ294" s="12">
        <f>SUM(AM294:AP294)</f>
        <v>0</v>
      </c>
      <c r="AR294" s="12">
        <f>SUM(AR197:AR199,AR202,AR223,AR220)-SUM(AQ197:AQ199,AQ202,AQ223,AQ220)</f>
        <v>0</v>
      </c>
      <c r="AS294" s="12">
        <f>SUM(AS197:AS199,AS202,AS223,AS220)-SUM(AR197:AR199,AR202,AR223,AR220)</f>
        <v>0</v>
      </c>
      <c r="AT294" s="12">
        <f>SUM(AT197:AT199,AT202,AT223,AT220)-SUM(AS197:AS199,AS202,AS223,AS220)</f>
        <v>0</v>
      </c>
      <c r="AU294" s="12">
        <f>SUM(AU197:AU199,AU202,AU223,AU220)-SUM(AT197:AT199,AT202,AT223,AT220)</f>
        <v>0</v>
      </c>
      <c r="AV294" s="12">
        <f>SUM(AR294:AU294)</f>
        <v>0</v>
      </c>
      <c r="AW294" s="12">
        <f>SUM(AW197:AW199,AW202,AW223,AW220)-SUM(AV197:AV199,AV202,AV223,AV220)</f>
        <v>0</v>
      </c>
      <c r="AX294" s="12">
        <f>SUM(AX197:AX199,AX202,AX223,AX220)-SUM(AW197:AW199,AW202,AW223,AW220)</f>
        <v>0</v>
      </c>
      <c r="AY294" s="12">
        <f>SUM(AY197:AY199,AY202,AY223,AY220)-SUM(AX197:AX199,AX202,AX223,AX220)</f>
        <v>0</v>
      </c>
      <c r="AZ294" s="12">
        <f>SUM(AZ197:AZ199,AZ202,AZ223,AZ220)-SUM(AY197:AY199,AY202,AY223,AY220)</f>
        <v>0</v>
      </c>
      <c r="BA294" s="12">
        <f>SUM(AW294:AZ294)</f>
        <v>0</v>
      </c>
      <c r="BB294" s="12">
        <f>SUM(BB197:BB199,BB202,BB223,BB220)-SUM(BA197:BA199,BA202,BA223,BA220)</f>
        <v>0</v>
      </c>
      <c r="BC294" s="12">
        <f>SUM(BC197:BC199,BC202,BC223,BC220)-SUM(BB197:BB199,BB202,BB223,BB220)</f>
        <v>0</v>
      </c>
      <c r="BD294" s="12">
        <f>SUM(BD197:BD199,BD202,BD223,BD220)-SUM(BC197:BC199,BC202,BC223,BC220)</f>
        <v>0</v>
      </c>
      <c r="BE294" s="12">
        <f>SUM(BE197:BE199,BE202,BE223,BE220)-SUM(BD197:BD199,BD202,BD223,BD220)</f>
        <v>0</v>
      </c>
      <c r="BF294" s="12">
        <f>SUM(BB294:BE294)</f>
        <v>0</v>
      </c>
      <c r="BG294" s="12" t="n"/>
      <c r="BH294" s="12" t="n"/>
      <c r="BI294" s="12" t="n"/>
      <c r="BJ294" s="12" t="n"/>
      <c r="BK294" s="12" t="n"/>
      <c r="BL294" s="12" t="n"/>
      <c r="BM294" s="12" t="n"/>
      <c r="BN294" s="12" t="n"/>
      <c r="BO294" s="12" t="n"/>
      <c r="BP294" s="12" t="n"/>
      <c r="BQ294" s="12" t="n"/>
      <c r="BR294" s="12" t="n"/>
      <c r="BS294" s="12" t="n"/>
      <c r="BT294" s="12" t="n"/>
      <c r="BU294" s="12" t="n"/>
      <c r="BV294" s="12" t="n"/>
      <c r="BW294" s="12" t="n"/>
      <c r="BX294" s="12" t="n"/>
      <c r="BY294" s="12" t="n"/>
      <c r="BZ294" s="12" t="n"/>
      <c r="CA294" s="12" t="n"/>
      <c r="CB294" s="12" t="n"/>
      <c r="CC294" s="12" t="n"/>
      <c r="CD294" s="12" t="n"/>
      <c r="CE294" s="12" t="n"/>
      <c r="CF294" s="12" t="n"/>
      <c r="CG294" s="12" t="n"/>
      <c r="CH294" s="12" t="n"/>
      <c r="CI294" s="12" t="n"/>
      <c r="CJ294" s="12" t="n"/>
      <c r="CK294" s="12" t="n"/>
      <c r="CL294" s="12" t="n"/>
      <c r="CM294" s="12" t="n"/>
      <c r="CN294" s="12" t="n"/>
      <c r="CO294" s="12" t="n"/>
      <c r="CP294" s="12" t="n"/>
      <c r="CQ294" s="12" t="n"/>
      <c r="CR294" s="12" t="n"/>
      <c r="CS294" s="12" t="n"/>
      <c r="CT294" s="12" t="n"/>
      <c r="CU294" s="12" t="n"/>
      <c r="CV294" s="12" t="n"/>
      <c r="CW294" s="12" t="n"/>
      <c r="CX294" s="12" t="n"/>
      <c r="CY294" s="12" t="n"/>
      <c r="CZ294" s="12" t="n"/>
      <c r="DA294" s="12" t="n"/>
      <c r="DB294" s="12" t="n"/>
      <c r="DC294" s="12" t="n"/>
    </row>
    <row r="295">
      <c r="C295" s="14" t="inlineStr">
        <is>
          <t>Cash from financing</t>
        </is>
      </c>
      <c r="D295" s="12" t="n"/>
      <c r="E295" s="12" t="n"/>
      <c r="F295" s="12" t="n"/>
      <c r="G295" s="12" t="n"/>
      <c r="H295" s="12" t="n"/>
      <c r="I295" s="12" t="n"/>
      <c r="J295" s="12">
        <f>SUM(J287,J288,J289,J290,J291,J292,J293,J294)</f>
        <v>-6805</v>
      </c>
      <c r="K295" s="12">
        <f>SUM(K287,K288,K289,K290,K291,K292,K293,K294)</f>
        <v>2094</v>
      </c>
      <c r="L295" s="12">
        <f>SUM(L287,L288,L289,L290,L291,L292,L293,L294)</f>
        <v>-21210</v>
      </c>
      <c r="M295" s="12" t="n"/>
      <c r="N295" s="12">
        <f>SUM(N287,N288,N289,N290,N291,N292,N293,N294)</f>
        <v>-1771</v>
      </c>
      <c r="O295" s="12">
        <f>SUM(O287,O288,O289,O290,O291,O292,O293,O294)</f>
        <v>-4596</v>
      </c>
      <c r="P295" s="12">
        <f>SUM(P287,P288,P289,P290,P291,P292,P293,P294)</f>
        <v>-5465</v>
      </c>
      <c r="Q295" s="12">
        <f>SUM(Q287,Q288,Q289,Q290,Q291,Q292,Q293,Q294)</f>
        <v>4560</v>
      </c>
      <c r="R295" s="12">
        <f>SUM(R287,R288,R289,R290,R291,R292,R293,R294)</f>
        <v>-7272</v>
      </c>
      <c r="S295" s="12">
        <f>SUM(S287,S288,S289,S290,S291,S292,S293,S294)</f>
        <v>-22168</v>
      </c>
      <c r="T295" s="12">
        <f>SUM(T287,T288,T289,T290,T291,T292,T293,T294)</f>
        <v>-1129</v>
      </c>
      <c r="U295" s="12">
        <f>SUM(U287,U288,U289,U290,U291,U292,U293,U294)</f>
        <v>-3831</v>
      </c>
      <c r="V295" s="12">
        <f>SUM(V287,V288,V289,V290,V291,V292,V293,V294)</f>
        <v>-2700</v>
      </c>
      <c r="W295" s="12">
        <f>SUM(W287,W288,W289,W290,W291,W292,W293,W294)</f>
        <v>-29828</v>
      </c>
      <c r="X295" s="12">
        <f>SUM(X287,X288,X289,X290,X291,X292,X293,X294)</f>
        <v>519</v>
      </c>
      <c r="Y295" s="12">
        <f>SUM(Y287,Y288,Y289,Y290,Y291,Y292,Y293,Y294)</f>
        <v>-14381</v>
      </c>
      <c r="Z295" s="12">
        <f>SUM(Z287,Z288,Z289,Z290,Z291,Z292,Z293,Z294)</f>
        <v>-1334</v>
      </c>
      <c r="AA295" s="12">
        <f>SUM(AA287,AA288,AA289,AA290,AA291,AA292,AA293,AA294)</f>
        <v>-2077</v>
      </c>
      <c r="AB295" s="12">
        <f>SUM(AB287,AB288,AB289,AB290,AB291,AB292,AB293,AB294)</f>
        <v>-17273</v>
      </c>
      <c r="AC295" s="12">
        <f>SUM(AC287,AC288,AC289,AC290,AC291,AC292,AC293,AC294)</f>
        <v>-1772</v>
      </c>
      <c r="AD295" s="12">
        <f>SUM(AD287,AD288,AD289,AD290,AD291,AD292,AD293,AD294)</f>
        <v>-2828</v>
      </c>
      <c r="AE295" s="12">
        <f>SUM(AE287,AE288,AE289,AE290,AE291,AE292,AE293,AE294)</f>
        <v>-526</v>
      </c>
      <c r="AF295" s="12">
        <f>SUM(AF287,AF288,AF289,AF290,AF291,AF292,AF293,AF294)</f>
        <v>-3018</v>
      </c>
      <c r="AG295" s="12">
        <f>SUM(AG287,AG288,AG289,AG290,AG291,AG292,AG293,AG294)</f>
        <v>-8144</v>
      </c>
      <c r="AH295" s="12">
        <f>SUM(AH287,AH288,AH289,AH290,AH291,AH292,AH293,AH294)</f>
        <v>-2738</v>
      </c>
      <c r="AI295" s="12">
        <f>SUM(AI287,AI288,AI289,AI290,AI291,AI292,AI293,AI294)</f>
        <v>-3908</v>
      </c>
      <c r="AJ295" s="12">
        <f>SUM(AJ287,AJ288,AJ289,AJ290,AJ291,AJ292,AJ293,AJ294)</f>
        <v>0</v>
      </c>
      <c r="AK295" s="12">
        <f>SUM(AK287,AK288,AK289,AK290,AK291,AK292,AK293,AK294)</f>
        <v>0</v>
      </c>
      <c r="AL295" s="12">
        <f>SUM(AL287,AL288,AL289,AL290,AL291,AL292,AL293,AL294)</f>
        <v>-6646</v>
      </c>
      <c r="AM295" s="12">
        <f>SUM(AM287,AM288,AM289,AM290,AM291,AM292,AM293,AM294)</f>
        <v>0</v>
      </c>
      <c r="AN295" s="12">
        <f>SUM(AN287,AN288,AN289,AN290,AN291,AN292,AN293,AN294)</f>
        <v>0</v>
      </c>
      <c r="AO295" s="12">
        <f>SUM(AO287,AO288,AO289,AO290,AO291,AO292,AO293,AO294)</f>
        <v>0</v>
      </c>
      <c r="AP295" s="12">
        <f>SUM(AP287,AP288,AP289,AP290,AP291,AP292,AP293,AP294)</f>
        <v>0</v>
      </c>
      <c r="AQ295" s="12">
        <f>SUM(AQ287,AQ288,AQ289,AQ290,AQ291,AQ292,AQ293,AQ294)</f>
        <v>0</v>
      </c>
      <c r="AR295" s="12">
        <f>SUM(AR287,AR288,AR289,AR290,AR291,AR292,AR293,AR294)</f>
        <v>0</v>
      </c>
      <c r="AS295" s="12">
        <f>SUM(AS287,AS288,AS289,AS290,AS291,AS292,AS293,AS294)</f>
        <v>0</v>
      </c>
      <c r="AT295" s="12">
        <f>SUM(AT287,AT288,AT289,AT290,AT291,AT292,AT293,AT294)</f>
        <v>0</v>
      </c>
      <c r="AU295" s="12">
        <f>SUM(AU287,AU288,AU289,AU290,AU291,AU292,AU293,AU294)</f>
        <v>0</v>
      </c>
      <c r="AV295" s="12">
        <f>SUM(AV287,AV288,AV289,AV290,AV291,AV292,AV293,AV294)</f>
        <v>0</v>
      </c>
      <c r="AW295" s="12">
        <f>SUM(AW287,AW288,AW289,AW290,AW291,AW292,AW293,AW294)</f>
        <v>0</v>
      </c>
      <c r="AX295" s="12">
        <f>SUM(AX287,AX288,AX289,AX290,AX291,AX292,AX293,AX294)</f>
        <v>0</v>
      </c>
      <c r="AY295" s="12">
        <f>SUM(AY287,AY288,AY289,AY290,AY291,AY292,AY293,AY294)</f>
        <v>0</v>
      </c>
      <c r="AZ295" s="12">
        <f>SUM(AZ287,AZ288,AZ289,AZ290,AZ291,AZ292,AZ293,AZ294)</f>
        <v>0</v>
      </c>
      <c r="BA295" s="12">
        <f>SUM(BA287,BA288,BA289,BA290,BA291,BA292,BA293,BA294)</f>
        <v>0</v>
      </c>
      <c r="BB295" s="12">
        <f>SUM(BB287,BB288,BB289,BB290,BB291,BB292,BB293,BB294)</f>
        <v>0</v>
      </c>
      <c r="BC295" s="12">
        <f>SUM(BC287,BC288,BC289,BC290,BC291,BC292,BC293,BC294)</f>
        <v>0</v>
      </c>
      <c r="BD295" s="12">
        <f>SUM(BD287,BD288,BD289,BD290,BD291,BD292,BD293,BD294)</f>
        <v>0</v>
      </c>
      <c r="BE295" s="12">
        <f>SUM(BE287,BE288,BE289,BE290,BE291,BE292,BE293,BE294)</f>
        <v>0</v>
      </c>
      <c r="BF295" s="12">
        <f>SUM(BF287,BF288,BF289,BF290,BF291,BF292,BF293,BF294)</f>
        <v>0</v>
      </c>
      <c r="BG295" s="12" t="n"/>
      <c r="BH295" s="12" t="n"/>
      <c r="BI295" s="12" t="n"/>
      <c r="BJ295" s="12" t="n"/>
      <c r="BK295" s="12" t="n"/>
      <c r="BL295" s="12" t="n"/>
      <c r="BM295" s="12" t="n"/>
      <c r="BN295" s="12" t="n"/>
      <c r="BO295" s="12" t="n"/>
      <c r="BP295" s="12" t="n"/>
      <c r="BQ295" s="12" t="n"/>
      <c r="BR295" s="12" t="n"/>
      <c r="BS295" s="12" t="n"/>
      <c r="BT295" s="12" t="n"/>
      <c r="BU295" s="12" t="n"/>
      <c r="BV295" s="12" t="n"/>
      <c r="BW295" s="12" t="n"/>
      <c r="BX295" s="12" t="n"/>
      <c r="BY295" s="12" t="n"/>
      <c r="BZ295" s="12" t="n"/>
      <c r="CA295" s="12" t="n"/>
      <c r="CB295" s="12" t="n"/>
      <c r="CC295" s="12" t="n"/>
      <c r="CD295" s="12" t="n"/>
      <c r="CE295" s="12" t="n"/>
      <c r="CF295" s="12" t="n"/>
      <c r="CG295" s="12" t="n"/>
      <c r="CH295" s="12" t="n"/>
      <c r="CI295" s="12" t="n"/>
      <c r="CJ295" s="12" t="n"/>
      <c r="CK295" s="12" t="n"/>
      <c r="CL295" s="12" t="n"/>
      <c r="CM295" s="12" t="n"/>
      <c r="CN295" s="12" t="n"/>
      <c r="CO295" s="12" t="n"/>
      <c r="CP295" s="12" t="n"/>
      <c r="CQ295" s="12" t="n"/>
      <c r="CR295" s="12" t="n"/>
      <c r="CS295" s="12" t="n"/>
      <c r="CT295" s="12" t="n"/>
      <c r="CU295" s="12" t="n"/>
      <c r="CV295" s="12" t="n"/>
      <c r="CW295" s="12" t="n"/>
      <c r="CX295" s="12" t="n"/>
      <c r="CY295" s="12" t="n"/>
    </row>
    <row r="296">
      <c r="C296" s="14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  <c r="AA296" s="12" t="n"/>
      <c r="AB296" s="12" t="n"/>
      <c r="AC296" s="12" t="n"/>
      <c r="AD296" s="12" t="n"/>
      <c r="AE296" s="12" t="n"/>
      <c r="AF296" s="12" t="n"/>
      <c r="AG296" s="12" t="n"/>
      <c r="AH296" s="12" t="n"/>
      <c r="AI296" s="12" t="n"/>
      <c r="AJ296" s="12" t="n"/>
      <c r="AK296" s="12" t="n"/>
      <c r="AL296" s="12" t="n"/>
      <c r="AM296" s="12" t="n"/>
      <c r="AN296" s="12" t="n"/>
      <c r="AO296" s="12" t="n"/>
      <c r="AP296" s="12" t="n"/>
      <c r="AQ296" s="12" t="n"/>
      <c r="AR296" s="12" t="n"/>
      <c r="AS296" s="12" t="n"/>
      <c r="AT296" s="12" t="n"/>
      <c r="AU296" s="12" t="n"/>
      <c r="AV296" s="12" t="n"/>
      <c r="AW296" s="12" t="n"/>
      <c r="AX296" s="12" t="n"/>
      <c r="AY296" s="12" t="n"/>
      <c r="AZ296" s="12" t="n"/>
      <c r="BA296" s="12" t="n"/>
      <c r="BB296" s="12" t="n"/>
      <c r="BC296" s="12" t="n"/>
      <c r="BD296" s="12" t="n"/>
      <c r="BE296" s="12" t="n"/>
      <c r="BF296" s="12" t="n"/>
      <c r="BG296" s="12" t="n"/>
      <c r="BH296" s="12" t="n"/>
      <c r="BI296" s="12" t="n"/>
      <c r="BJ296" s="12" t="n"/>
      <c r="BK296" s="12" t="n"/>
      <c r="BL296" s="12" t="n"/>
      <c r="BM296" s="12" t="n"/>
      <c r="BN296" s="12" t="n"/>
      <c r="BO296" s="12" t="n"/>
      <c r="BP296" s="12" t="n"/>
      <c r="BQ296" s="12" t="n"/>
      <c r="BR296" s="12" t="n"/>
      <c r="BS296" s="12" t="n"/>
      <c r="BT296" s="12" t="n"/>
      <c r="BU296" s="12" t="n"/>
      <c r="BV296" s="12" t="n"/>
      <c r="BW296" s="12" t="n"/>
      <c r="BX296" s="12" t="n"/>
      <c r="BY296" s="12" t="n"/>
      <c r="BZ296" s="12" t="n"/>
      <c r="CA296" s="12" t="n"/>
      <c r="CB296" s="12" t="n"/>
      <c r="CC296" s="12" t="n"/>
      <c r="CD296" s="12" t="n"/>
      <c r="CE296" s="12" t="n"/>
      <c r="CF296" s="12" t="n"/>
      <c r="CG296" s="12" t="n"/>
      <c r="CH296" s="12" t="n"/>
      <c r="CI296" s="12" t="n"/>
      <c r="CJ296" s="12" t="n"/>
      <c r="CK296" s="12" t="n"/>
      <c r="CL296" s="12" t="n"/>
      <c r="CM296" s="12" t="n"/>
      <c r="CN296" s="12" t="n"/>
      <c r="CO296" s="12" t="n"/>
      <c r="CP296" s="12" t="n"/>
      <c r="CQ296" s="12" t="n"/>
      <c r="CR296" s="12" t="n"/>
      <c r="CS296" s="12" t="n"/>
      <c r="CT296" s="12" t="n"/>
      <c r="CU296" s="12" t="n"/>
      <c r="CV296" s="12" t="n"/>
      <c r="CW296" s="12" t="n"/>
      <c r="CX296" s="12" t="n"/>
      <c r="CY296" s="12" t="n"/>
    </row>
    <row r="297">
      <c r="C297" s="14" t="inlineStr">
        <is>
          <t>Others / cash reconciliation plug</t>
        </is>
      </c>
      <c r="D297" s="12" t="n"/>
      <c r="E297" s="12" t="n"/>
      <c r="F297" s="12" t="n"/>
      <c r="G297" s="12" t="n"/>
      <c r="H297" s="12" t="n"/>
      <c r="I297" s="12" t="n"/>
      <c r="J297" s="12">
        <f>J129-I129-SUM(J278,J285,J295)</f>
        <v>0</v>
      </c>
      <c r="K297" s="12">
        <f>K129-J129-SUM(K278,K285,K295)</f>
        <v>0</v>
      </c>
      <c r="L297" s="12">
        <f>L129-K129-SUM(L278,L285,L295)</f>
        <v>0</v>
      </c>
      <c r="M297" s="12" t="n"/>
      <c r="N297" s="12">
        <f>N129-M129-SUM(N278,N285,N295)</f>
        <v>0</v>
      </c>
      <c r="O297" s="12">
        <f>O129-N129-SUM(O278,O285,O295)</f>
        <v>0</v>
      </c>
      <c r="P297" s="12">
        <f>P129-O129-SUM(P278,P285,P295)</f>
        <v>0</v>
      </c>
      <c r="Q297" s="12">
        <f>Q129-P129-SUM(Q278,Q285,Q295)</f>
        <v>0</v>
      </c>
      <c r="R297" s="12">
        <f>SUM(N297:Q297)</f>
        <v>0</v>
      </c>
      <c r="S297" s="12">
        <f>S129-R129-SUM(S278,S285,S295)</f>
        <v>0</v>
      </c>
      <c r="T297" s="12">
        <f>T129-S129-SUM(T278,T285,T295)</f>
        <v>0</v>
      </c>
      <c r="U297" s="12">
        <f>U129-T129-SUM(U278,U285,U295)</f>
        <v>0</v>
      </c>
      <c r="V297" s="12">
        <f>V129-U129-SUM(V278,V285,V295)</f>
        <v>0</v>
      </c>
      <c r="W297" s="12">
        <f>SUM(S297:V297)</f>
        <v>0</v>
      </c>
      <c r="X297" s="12">
        <f>X129-W129-SUM(X278,X285,X295)</f>
        <v>0</v>
      </c>
      <c r="Y297" s="12">
        <f>Y129-X129-SUM(Y278,Y285,Y295)</f>
        <v>0</v>
      </c>
      <c r="Z297" s="12">
        <f>Z129-Y129-SUM(Z278,Z285,Z295)</f>
        <v>0</v>
      </c>
      <c r="AA297" s="12">
        <f>AA129-Z129-SUM(AA278,AA285,AA295)</f>
        <v>0</v>
      </c>
      <c r="AB297" s="12">
        <f>SUM(X297:AA297)</f>
        <v>0</v>
      </c>
      <c r="AC297" s="12">
        <f>AC129-AB129-SUM(AC278,AC285,AC295)</f>
        <v>0</v>
      </c>
      <c r="AD297" s="12">
        <f>AD129-AC129-SUM(AD278,AD285,AD295)</f>
        <v>0</v>
      </c>
      <c r="AE297" s="12">
        <f>AE129-AD129-SUM(AE278,AE285,AE295)</f>
        <v>0</v>
      </c>
      <c r="AF297" s="12">
        <f>AF129-AE129-SUM(AF278,AF285,AF295)</f>
        <v>0</v>
      </c>
      <c r="AG297" s="12">
        <f>SUM(AC297:AF297)</f>
        <v>0</v>
      </c>
      <c r="AH297" s="12">
        <f>AH129-AG129-SUM(AH278,AH285,AH295)</f>
        <v>0</v>
      </c>
      <c r="AI297" s="12">
        <f>AI129-AH129-SUM(AI278,AI285,AI295)</f>
        <v>0</v>
      </c>
      <c r="AJ297" s="12">
        <f>AJ129-AI129-SUM(AJ278,AJ285,AJ295)</f>
        <v>-8.86757334228605e-12</v>
      </c>
      <c r="AK297" s="12">
        <f>AK129-AJ129-SUM(AK278,AK285,AK295)</f>
        <v>1.81898940354586e-11</v>
      </c>
      <c r="AL297" s="12">
        <f>SUM(AH297:AK297)</f>
        <v>9.32232069317251e-12</v>
      </c>
      <c r="AM297" s="12">
        <f>AM129-AL129-SUM(AM278,AM285,AM295)</f>
        <v>-2.95585778076202e-11</v>
      </c>
      <c r="AN297" s="12">
        <f>AN129-AM129-SUM(AN278,AN285,AN295)</f>
        <v>3.1377567211166e-11</v>
      </c>
      <c r="AO297" s="12">
        <f>AO129-AN129-SUM(AO278,AO285,AO295)</f>
        <v>0</v>
      </c>
      <c r="AP297" s="12">
        <f>AP129-AO129-SUM(AP278,AP285,AP295)</f>
        <v>-2.04636307898909e-11</v>
      </c>
      <c r="AQ297" s="12">
        <f>SUM(AM297:AP297)</f>
        <v>-1.8644641386345e-11</v>
      </c>
      <c r="AR297" s="12">
        <f>AR129-AQ129-SUM(AR278,AR285,AR295)</f>
        <v>1.54614099301398e-11</v>
      </c>
      <c r="AS297" s="12">
        <f>AS129-AR129-SUM(AS278,AS285,AS295)</f>
        <v>0</v>
      </c>
      <c r="AT297" s="12">
        <f>AT129-AS129-SUM(AT278,AT285,AT295)</f>
        <v>0</v>
      </c>
      <c r="AU297" s="12">
        <f>AU129-AT129-SUM(AU278,AU285,AU295)</f>
        <v>2.86490831058472e-11</v>
      </c>
      <c r="AV297" s="12">
        <f>SUM(AR297:AU297)</f>
        <v>4.4110493035987e-11</v>
      </c>
      <c r="AW297" s="12">
        <f>AW129-AV129-SUM(AW278,AW285,AW295)</f>
        <v>0</v>
      </c>
      <c r="AX297" s="12">
        <f>AX129-AW129-SUM(AX278,AX285,AX295)</f>
        <v>1.2732925824821e-11</v>
      </c>
      <c r="AY297" s="12">
        <f>AY129-AX129-SUM(AY278,AY285,AY295)</f>
        <v>-1.2732925824821e-11</v>
      </c>
      <c r="AZ297" s="12">
        <f>AZ129-AY129-SUM(AZ278,AZ285,AZ295)</f>
        <v>0</v>
      </c>
      <c r="BA297" s="12">
        <f>SUM(AW297:AZ297)</f>
        <v>0</v>
      </c>
      <c r="BB297" s="12">
        <f>BB129-BA129-SUM(BB278,BB285,BB295)</f>
        <v>-3.27418092638254e-11</v>
      </c>
      <c r="BC297" s="12">
        <f>BC129-BB129-SUM(BC278,BC285,BC295)</f>
        <v>0</v>
      </c>
      <c r="BD297" s="12">
        <f>BD129-BC129-SUM(BD278,BD285,BD295)</f>
        <v>0</v>
      </c>
      <c r="BE297" s="12">
        <f>BE129-BD129-SUM(BE278,BE285,BE295)</f>
        <v>0</v>
      </c>
      <c r="BF297" s="12">
        <f>SUM(BB297:BE297)</f>
        <v>-3.27418092638254e-11</v>
      </c>
      <c r="BG297" s="12" t="n"/>
      <c r="BH297" s="12" t="n"/>
      <c r="BI297" s="12" t="n"/>
      <c r="BJ297" s="12" t="n"/>
      <c r="BK297" s="12" t="n"/>
      <c r="BL297" s="12" t="n"/>
      <c r="BM297" s="12" t="n"/>
      <c r="BN297" s="12" t="n"/>
      <c r="BO297" s="12" t="n"/>
      <c r="BP297" s="12" t="n"/>
      <c r="BQ297" s="12" t="n"/>
      <c r="BR297" s="12" t="n"/>
      <c r="BS297" s="12" t="n"/>
      <c r="BT297" s="12" t="n"/>
      <c r="BU297" s="12" t="n"/>
      <c r="BV297" s="12" t="n"/>
      <c r="BW297" s="12" t="n"/>
      <c r="BX297" s="12" t="n"/>
      <c r="BY297" s="12" t="n"/>
      <c r="BZ297" s="12" t="n"/>
      <c r="CA297" s="12" t="n"/>
      <c r="CB297" s="12" t="n"/>
      <c r="CC297" s="12" t="n"/>
      <c r="CD297" s="12" t="n"/>
      <c r="CE297" s="12" t="n"/>
      <c r="CF297" s="12" t="n"/>
      <c r="CG297" s="12" t="n"/>
      <c r="CH297" s="12" t="n"/>
      <c r="CI297" s="12" t="n"/>
      <c r="CJ297" s="12" t="n"/>
      <c r="CK297" s="12" t="n"/>
      <c r="CL297" s="12" t="n"/>
      <c r="CM297" s="12" t="n"/>
      <c r="CN297" s="12" t="n"/>
      <c r="CO297" s="12" t="n"/>
      <c r="CP297" s="12" t="n"/>
      <c r="CQ297" s="12" t="n"/>
      <c r="CR297" s="12" t="n"/>
      <c r="CS297" s="12" t="n"/>
      <c r="CT297" s="12" t="n"/>
      <c r="CU297" s="12" t="n"/>
      <c r="CV297" s="12" t="n"/>
      <c r="CW297" s="12" t="n"/>
      <c r="CX297" s="12" t="n"/>
      <c r="CY297" s="12" t="n"/>
    </row>
    <row r="298">
      <c r="C298" s="14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  <c r="AJ298" s="12" t="n"/>
      <c r="AK298" s="12" t="n"/>
      <c r="AL298" s="12" t="n"/>
      <c r="AM298" s="12" t="n"/>
      <c r="AN298" s="12" t="n"/>
      <c r="AO298" s="12" t="n"/>
      <c r="AP298" s="12" t="n"/>
      <c r="AQ298" s="12" t="n"/>
      <c r="AR298" s="12" t="n"/>
      <c r="AS298" s="12" t="n"/>
      <c r="AT298" s="12" t="n"/>
      <c r="AU298" s="12" t="n"/>
      <c r="AV298" s="12" t="n"/>
      <c r="AW298" s="12" t="n"/>
      <c r="AX298" s="12" t="n"/>
      <c r="AY298" s="12" t="n"/>
      <c r="AZ298" s="12" t="n"/>
      <c r="BA298" s="12" t="n"/>
      <c r="BB298" s="12" t="n"/>
      <c r="BC298" s="12" t="n"/>
      <c r="BD298" s="12" t="n"/>
      <c r="BE298" s="12" t="n"/>
      <c r="BF298" s="12" t="n"/>
      <c r="BG298" s="12" t="n"/>
      <c r="BH298" s="12" t="n"/>
      <c r="BI298" s="12" t="n"/>
      <c r="BJ298" s="12" t="n"/>
      <c r="BK298" s="12" t="n"/>
      <c r="BL298" s="12" t="n"/>
      <c r="BM298" s="12" t="n"/>
      <c r="BN298" s="12" t="n"/>
      <c r="BO298" s="12" t="n"/>
      <c r="BP298" s="12" t="n"/>
      <c r="BQ298" s="12" t="n"/>
      <c r="BR298" s="12" t="n"/>
      <c r="BS298" s="12" t="n"/>
      <c r="BT298" s="12" t="n"/>
      <c r="BU298" s="12" t="n"/>
      <c r="BV298" s="12" t="n"/>
      <c r="BW298" s="12" t="n"/>
      <c r="BX298" s="12" t="n"/>
      <c r="BY298" s="12" t="n"/>
      <c r="BZ298" s="12" t="n"/>
      <c r="CA298" s="12" t="n"/>
      <c r="CB298" s="12" t="n"/>
      <c r="CC298" s="12" t="n"/>
      <c r="CD298" s="12" t="n"/>
      <c r="CE298" s="12" t="n"/>
      <c r="CF298" s="12" t="n"/>
      <c r="CG298" s="12" t="n"/>
      <c r="CH298" s="12" t="n"/>
      <c r="CI298" s="12" t="n"/>
      <c r="CJ298" s="12" t="n"/>
      <c r="CK298" s="12" t="n"/>
      <c r="CL298" s="12" t="n"/>
      <c r="CM298" s="12" t="n"/>
      <c r="CN298" s="12" t="n"/>
      <c r="CO298" s="12" t="n"/>
      <c r="CP298" s="12" t="n"/>
      <c r="CQ298" s="12" t="n"/>
      <c r="CR298" s="12" t="n"/>
      <c r="CS298" s="12" t="n"/>
      <c r="CT298" s="12" t="n"/>
      <c r="CU298" s="12" t="n"/>
      <c r="CV298" s="12" t="n"/>
      <c r="CW298" s="12" t="n"/>
      <c r="CX298" s="12" t="n"/>
      <c r="CY298" s="12" t="n"/>
    </row>
    <row r="299">
      <c r="C299" s="14" t="inlineStr">
        <is>
          <t>Total increase/decrease of cash</t>
        </is>
      </c>
      <c r="D299" s="12" t="n"/>
      <c r="E299" s="12" t="n"/>
      <c r="F299" s="12" t="n"/>
      <c r="G299" s="12" t="n"/>
      <c r="H299" s="12" t="n"/>
      <c r="I299" s="12" t="n"/>
      <c r="J299" s="12">
        <f>SUM(J278,J285,J295,J297)</f>
        <v>-9323</v>
      </c>
      <c r="K299" s="12">
        <f>SUM(K278,K285,K295,K297)</f>
        <v>2495</v>
      </c>
      <c r="L299" s="12">
        <f>SUM(L278,L285,L295,L297)</f>
        <v>-9185</v>
      </c>
      <c r="M299" s="12" t="n"/>
      <c r="N299" s="12">
        <f>SUM(N278,N285,N295,N297)</f>
        <v>-2928</v>
      </c>
      <c r="O299" s="12">
        <f>SUM(O278,O285,O295,O297)</f>
        <v>348</v>
      </c>
      <c r="P299" s="12">
        <f>SUM(P278,P285,P295,P297)</f>
        <v>-594</v>
      </c>
      <c r="Q299" s="12">
        <f>SUM(Q278,Q285,Q295,Q297)</f>
        <v>4666</v>
      </c>
      <c r="R299" s="12">
        <f>SUM(N299:Q299)</f>
        <v>1492</v>
      </c>
      <c r="S299" s="12">
        <f>SUM(S278,S285,S295,S297)</f>
        <v>-5261</v>
      </c>
      <c r="T299" s="12">
        <f>SUM(T278,T285,T295,T297)</f>
        <v>765</v>
      </c>
      <c r="U299" s="12">
        <f>SUM(U278,U285,U295,U297)</f>
        <v>361</v>
      </c>
      <c r="V299" s="12">
        <f>SUM(V278,V285,V295,V297)</f>
        <v>3840</v>
      </c>
      <c r="W299" s="12">
        <f>SUM(S299:V299)</f>
        <v>-295</v>
      </c>
      <c r="X299" s="12">
        <f>SUM(X278,X285,X295,X297)</f>
        <v>1480</v>
      </c>
      <c r="Y299" s="12">
        <f>SUM(Y278,Y285,Y295,Y297)</f>
        <v>-6340</v>
      </c>
      <c r="Z299" s="12">
        <f>SUM(Z278,Z285,Z295,Z297)</f>
        <v>1617</v>
      </c>
      <c r="AA299" s="12">
        <f>SUM(AA278,AA285,AA295,AA297)</f>
        <v>-105</v>
      </c>
      <c r="AB299" s="12">
        <f>SUM(X299:AA299)</f>
        <v>-3348</v>
      </c>
      <c r="AC299" s="12">
        <f>SUM(AC278,AC285,AC295,AC297)</f>
        <v>-1214</v>
      </c>
      <c r="AD299" s="12">
        <f>SUM(AD278,AD285,AD295,AD297)</f>
        <v>-1544</v>
      </c>
      <c r="AE299" s="12">
        <f>SUM(AE278,AE285,AE295,AE297)</f>
        <v>1640</v>
      </c>
      <c r="AF299" s="12">
        <f>SUM(AF278,AF285,AF295,AF297)</f>
        <v>-109</v>
      </c>
      <c r="AG299" s="12">
        <f>SUM(AC299:AF299)</f>
        <v>-1227</v>
      </c>
      <c r="AH299" s="12">
        <f>SUM(AH278,AH285,AH295,AH297)</f>
        <v>-1411</v>
      </c>
      <c r="AI299" s="12">
        <f>SUM(AI278,AI285,AI295,AI297)</f>
        <v>-1636</v>
      </c>
      <c r="AJ299" s="12">
        <f>SUM(AJ278,AJ285,AJ295,AJ297)</f>
        <v>986.463249095075</v>
      </c>
      <c r="AK299" s="12">
        <f>SUM(AK278,AK285,AK295,AK297)</f>
        <v>2304.03613255407</v>
      </c>
      <c r="AL299" s="12">
        <f>SUM(AH299:AK299)</f>
        <v>243.499381649148</v>
      </c>
      <c r="AM299" s="12">
        <f>SUM(AM278,AM285,AM295,AM297)</f>
        <v>2990.15422676998</v>
      </c>
      <c r="AN299" s="12">
        <f>SUM(AN278,AN285,AN295,AN297)</f>
        <v>2072.46395266464</v>
      </c>
      <c r="AO299" s="12">
        <f>SUM(AO278,AO285,AO295,AO297)</f>
        <v>2003.53358822149</v>
      </c>
      <c r="AP299" s="12">
        <f>SUM(AP278,AP285,AP295,AP297)</f>
        <v>2762.43289588923</v>
      </c>
      <c r="AQ299" s="12">
        <f>SUM(AM299:AP299)</f>
        <v>9828.58466354534</v>
      </c>
      <c r="AR299" s="12">
        <f>SUM(AR278,AR285,AR295,AR297)</f>
        <v>3869.42994432201</v>
      </c>
      <c r="AS299" s="12">
        <f>SUM(AS278,AS285,AS295,AS297)</f>
        <v>2257.92953315701</v>
      </c>
      <c r="AT299" s="12">
        <f>SUM(AT278,AT285,AT295,AT297)</f>
        <v>2392.12655797728</v>
      </c>
      <c r="AU299" s="12">
        <f>SUM(AU278,AU285,AU295,AU297)</f>
        <v>3298.21727658319</v>
      </c>
      <c r="AV299" s="12">
        <f>SUM(AR299:AU299)</f>
        <v>11817.7033120395</v>
      </c>
      <c r="AW299" s="12">
        <f>SUM(AW278,AW285,AW295,AW297)</f>
        <v>4442.47491025127</v>
      </c>
      <c r="AX299" s="12">
        <f>SUM(AX278,AX285,AX295,AX297)</f>
        <v>2941.97848879563</v>
      </c>
      <c r="AY299" s="12">
        <f>SUM(AY278,AY285,AY295,AY297)</f>
        <v>2844.12798135699</v>
      </c>
      <c r="AZ299" s="12">
        <f>SUM(AZ278,AZ285,AZ295,AZ297)</f>
        <v>3921.42799202781</v>
      </c>
      <c r="BA299" s="12">
        <f>SUM(AW299:AZ299)</f>
        <v>14150.0093724317</v>
      </c>
      <c r="BB299" s="12">
        <f>SUM(BB278,BB285,BB295,BB297)</f>
        <v>5378.25188088036</v>
      </c>
      <c r="BC299" s="12">
        <f>SUM(BC278,BC285,BC295,BC297)</f>
        <v>3483.16663613284</v>
      </c>
      <c r="BD299" s="12">
        <f>SUM(BD278,BD285,BD295,BD297)</f>
        <v>3367.31615519395</v>
      </c>
      <c r="BE299" s="12">
        <f>SUM(BE278,BE285,BE295,BE297)</f>
        <v>4642.78960565085</v>
      </c>
      <c r="BF299" s="12">
        <f>SUM(BB299:BE299)</f>
        <v>16871.524277858</v>
      </c>
      <c r="BG299" s="12" t="n"/>
      <c r="BH299" s="12" t="n"/>
      <c r="BI299" s="12" t="n"/>
      <c r="BJ299" s="12" t="n"/>
      <c r="BK299" s="12" t="n"/>
      <c r="BL299" s="12" t="n"/>
      <c r="BM299" s="12" t="n"/>
      <c r="BN299" s="12" t="n"/>
      <c r="BO299" s="12" t="n"/>
      <c r="BP299" s="12" t="n"/>
      <c r="BQ299" s="12" t="n"/>
      <c r="BR299" s="12" t="n"/>
      <c r="BS299" s="12" t="n"/>
      <c r="BT299" s="12" t="n"/>
      <c r="BU299" s="12" t="n"/>
      <c r="BV299" s="12" t="n"/>
      <c r="BW299" s="12" t="n"/>
      <c r="BX299" s="12" t="n"/>
      <c r="BY299" s="12" t="n"/>
      <c r="BZ299" s="12" t="n"/>
      <c r="CA299" s="12" t="n"/>
      <c r="CB299" s="12" t="n"/>
      <c r="CC299" s="12" t="n"/>
      <c r="CD299" s="12" t="n"/>
      <c r="CE299" s="12" t="n"/>
      <c r="CF299" s="12" t="n"/>
      <c r="CG299" s="12" t="n"/>
      <c r="CH299" s="12" t="n"/>
      <c r="CI299" s="12" t="n"/>
      <c r="CJ299" s="12" t="n"/>
      <c r="CK299" s="12" t="n"/>
      <c r="CL299" s="12" t="n"/>
      <c r="CM299" s="12" t="n"/>
      <c r="CN299" s="12" t="n"/>
      <c r="CO299" s="12" t="n"/>
      <c r="CP299" s="12" t="n"/>
      <c r="CQ299" s="12" t="n"/>
      <c r="CR299" s="12" t="n"/>
      <c r="CS299" s="12" t="n"/>
      <c r="CT299" s="12" t="n"/>
      <c r="CU299" s="12" t="n"/>
      <c r="CV299" s="12" t="n"/>
      <c r="CW299" s="12" t="n"/>
      <c r="CX299" s="12" t="n"/>
      <c r="CY299" s="12" t="n"/>
    </row>
    <row r="300">
      <c r="C300" s="4" t="inlineStr">
        <is>
          <t>Check</t>
        </is>
      </c>
      <c r="E300" s="72" t="n"/>
      <c r="F300" s="72" t="n"/>
      <c r="G300" s="72" t="n"/>
      <c r="I300" s="72" t="str">
        <f>""</f>
        <v/>
      </c>
      <c r="J300" s="72">
        <f>J129-I129-J299</f>
        <v>0</v>
      </c>
      <c r="K300" s="72">
        <f>K129-J129-K299</f>
        <v>0</v>
      </c>
      <c r="L300" s="72">
        <f>L129-K129-L299</f>
        <v>0</v>
      </c>
      <c r="M300" s="4" t="str">
        <f>""</f>
        <v/>
      </c>
      <c r="N300" s="72">
        <f>N129-M129-N299</f>
        <v>0</v>
      </c>
      <c r="O300" s="72">
        <f>O129-N129-O299</f>
        <v>0</v>
      </c>
      <c r="P300" s="72">
        <f>P129-O129-P299</f>
        <v>0</v>
      </c>
      <c r="Q300" s="72">
        <f>Q129-P129-Q299</f>
        <v>0</v>
      </c>
      <c r="R300" s="4">
        <f>R129-M129-R299</f>
        <v>0</v>
      </c>
      <c r="S300" s="72">
        <f>S129-R129-S299</f>
        <v>0</v>
      </c>
      <c r="T300" s="72">
        <f>T129-S129-T299</f>
        <v>0</v>
      </c>
      <c r="U300" s="72">
        <f>U129-T129-U299</f>
        <v>0</v>
      </c>
      <c r="V300" s="72">
        <f>V129-U129-V299</f>
        <v>0</v>
      </c>
      <c r="W300" s="4">
        <f>W129-R129-W299</f>
        <v>0</v>
      </c>
      <c r="X300" s="72">
        <f>X129-W129-X299</f>
        <v>0</v>
      </c>
      <c r="Y300" s="72">
        <f>Y129-X129-Y299</f>
        <v>0</v>
      </c>
      <c r="Z300" s="72">
        <f>Z129-Y129-Z299</f>
        <v>0</v>
      </c>
      <c r="AA300" s="72">
        <f>AA129-Z129-AA299</f>
        <v>0</v>
      </c>
      <c r="AB300" s="4">
        <f>AB129-W129-AB299</f>
        <v>0</v>
      </c>
      <c r="AC300" s="72">
        <f>AC129-AB129-AC299</f>
        <v>0</v>
      </c>
      <c r="AD300" s="72">
        <f>AD129-AC129-AD299</f>
        <v>0</v>
      </c>
      <c r="AE300" s="72">
        <f>AE129-AD129-AE299</f>
        <v>0</v>
      </c>
      <c r="AF300" s="72">
        <f>AF129-AE129-AF299</f>
        <v>0</v>
      </c>
      <c r="AG300" s="4">
        <f>AG129-AB129-AG299</f>
        <v>0</v>
      </c>
      <c r="AH300" s="72">
        <f>AH129-AG129-AH299</f>
        <v>0</v>
      </c>
      <c r="AI300" s="72">
        <f>AI129-AH129-AI299</f>
        <v>0</v>
      </c>
      <c r="AJ300" s="72">
        <f>AJ129-AI129-AJ299</f>
        <v>0</v>
      </c>
      <c r="AK300" s="72">
        <f>AK129-AJ129-AK299</f>
        <v>0</v>
      </c>
      <c r="AL300" s="4">
        <f>AL129-AG129-AL299</f>
        <v>0</v>
      </c>
      <c r="AM300" s="72">
        <f>AM129-AL129-AM299</f>
        <v>0</v>
      </c>
      <c r="AN300" s="72">
        <f>AN129-AM129-AN299</f>
        <v>0</v>
      </c>
      <c r="AO300" s="72">
        <f>AO129-AN129-AO299</f>
        <v>0</v>
      </c>
      <c r="AP300" s="72">
        <f>AP129-AO129-AP299</f>
        <v>0</v>
      </c>
      <c r="AQ300" s="4">
        <f>AQ129-AL129-AQ299</f>
        <v>0</v>
      </c>
      <c r="AR300" s="72">
        <f>AR129-AQ129-AR299</f>
        <v>0</v>
      </c>
      <c r="AS300" s="72">
        <f>AS129-AR129-AS299</f>
        <v>0</v>
      </c>
      <c r="AT300" s="72">
        <f>AT129-AS129-AT299</f>
        <v>0</v>
      </c>
      <c r="AU300" s="72">
        <f>AU129-AT129-AU299</f>
        <v>0</v>
      </c>
      <c r="AV300" s="4">
        <f>AV129-AQ129-AV299</f>
        <v>0</v>
      </c>
      <c r="AW300" s="72">
        <f>AW129-AV129-AW299</f>
        <v>0</v>
      </c>
      <c r="AX300" s="72">
        <f>AX129-AW129-AX299</f>
        <v>0</v>
      </c>
      <c r="AY300" s="72">
        <f>AY129-AX129-AY299</f>
        <v>0</v>
      </c>
      <c r="AZ300" s="72">
        <f>AZ129-AY129-AZ299</f>
        <v>0</v>
      </c>
      <c r="BA300" s="4">
        <f>BA129-AV129-BA299</f>
        <v>0</v>
      </c>
      <c r="BB300" s="72">
        <f>BB129-BA129-BB299</f>
        <v>0</v>
      </c>
      <c r="BC300" s="72">
        <f>BC129-BB129-BC299</f>
        <v>0</v>
      </c>
      <c r="BD300" s="72">
        <f>BD129-BC129-BD299</f>
        <v>0</v>
      </c>
      <c r="BE300" s="72">
        <f>BE129-BD129-BE299</f>
        <v>0</v>
      </c>
      <c r="BF300" s="4">
        <f>BF129-BA129-BF299</f>
        <v>0</v>
      </c>
      <c r="BG300" s="72" t="n"/>
      <c r="BH300" s="72" t="n"/>
      <c r="BI300" s="72" t="n"/>
      <c r="BJ300" s="72" t="n"/>
      <c r="BL300" s="72" t="n"/>
      <c r="BM300" s="72" t="n"/>
      <c r="BN300" s="72" t="n"/>
      <c r="BO300" s="72" t="n"/>
      <c r="BQ300" s="72" t="n"/>
      <c r="BR300" s="72" t="n"/>
      <c r="BS300" s="72" t="n"/>
      <c r="BT300" s="72" t="n"/>
      <c r="BV300" s="72" t="n"/>
      <c r="BW300" s="72" t="n"/>
      <c r="BX300" s="72" t="n"/>
      <c r="BY300" s="72" t="n"/>
      <c r="CA300" s="72" t="n"/>
      <c r="CB300" s="72" t="n"/>
      <c r="CC300" s="72" t="n"/>
      <c r="CD300" s="72" t="n"/>
      <c r="CF300" s="72" t="n"/>
      <c r="CG300" s="72" t="n"/>
      <c r="CH300" s="72" t="n"/>
      <c r="CI300" s="72" t="n"/>
      <c r="CK300" s="72" t="n"/>
      <c r="CL300" s="72" t="n"/>
      <c r="CM300" s="72" t="n"/>
      <c r="CN300" s="72" t="n"/>
      <c r="CP300" s="72" t="n"/>
      <c r="CQ300" s="72" t="n"/>
      <c r="CR300" s="72" t="n"/>
      <c r="CS300" s="72" t="n"/>
      <c r="CU300" s="72" t="n"/>
      <c r="CV300" s="72" t="n"/>
      <c r="CW300" s="72" t="n"/>
      <c r="CX300" s="72" t="n"/>
    </row>
    <row r="301"/>
    <row r="302">
      <c r="C302" s="73" t="inlineStr">
        <is>
          <t>Ratio Analysis</t>
        </is>
      </c>
      <c r="D302" s="73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73" t="n"/>
      <c r="Q302" s="73" t="n"/>
      <c r="R302" s="73" t="n"/>
      <c r="S302" s="73" t="n"/>
      <c r="T302" s="73" t="n"/>
      <c r="U302" s="73" t="n"/>
      <c r="V302" s="73" t="n"/>
      <c r="W302" s="73" t="n"/>
      <c r="X302" s="73" t="n"/>
      <c r="Y302" s="73" t="n"/>
      <c r="Z302" s="73" t="n"/>
      <c r="AA302" s="73" t="n"/>
      <c r="AB302" s="73" t="n"/>
      <c r="AC302" s="73" t="n"/>
      <c r="AD302" s="73" t="n"/>
      <c r="AE302" s="73" t="n"/>
      <c r="AF302" s="73" t="n"/>
      <c r="AG302" s="73" t="n"/>
      <c r="AH302" s="73" t="n"/>
      <c r="AI302" s="73" t="n"/>
      <c r="AJ302" s="73" t="n"/>
      <c r="AK302" s="73" t="n"/>
      <c r="AL302" s="73" t="n"/>
      <c r="AM302" s="73" t="n"/>
      <c r="AN302" s="73" t="n"/>
      <c r="AO302" s="73" t="n"/>
      <c r="AP302" s="73" t="n"/>
      <c r="AQ302" s="73" t="n"/>
      <c r="AR302" s="73" t="n"/>
      <c r="AS302" s="73" t="n"/>
      <c r="AT302" s="73" t="n"/>
      <c r="AU302" s="73" t="n"/>
      <c r="AV302" s="73" t="n"/>
      <c r="AW302" s="73" t="n"/>
      <c r="AX302" s="73" t="n"/>
      <c r="AY302" s="73" t="n"/>
      <c r="AZ302" s="73" t="n"/>
      <c r="BA302" s="73" t="n"/>
      <c r="BB302" s="73" t="n"/>
      <c r="BC302" s="73" t="n"/>
      <c r="BD302" s="73" t="n"/>
      <c r="BE302" s="73" t="n"/>
      <c r="BF302" s="73" t="n"/>
      <c r="BG302" s="73" t="n"/>
      <c r="BH302" s="73" t="n"/>
      <c r="BI302" s="73" t="n"/>
      <c r="BJ302" s="73" t="n"/>
      <c r="BK302" s="73" t="n"/>
      <c r="BL302" s="73" t="n"/>
      <c r="BM302" s="73" t="n"/>
      <c r="BN302" s="73" t="n"/>
      <c r="BO302" s="73" t="n"/>
      <c r="BP302" s="73" t="n"/>
      <c r="BQ302" s="73" t="n"/>
      <c r="BR302" s="73" t="n"/>
      <c r="BS302" s="73" t="n"/>
      <c r="BT302" s="73" t="n"/>
      <c r="BU302" s="73" t="n"/>
      <c r="BV302" s="73" t="n"/>
      <c r="BW302" s="73" t="n"/>
      <c r="BX302" s="73" t="n"/>
      <c r="BY302" s="73" t="n"/>
      <c r="BZ302" s="73" t="n"/>
      <c r="CA302" s="73" t="n"/>
      <c r="CB302" s="73" t="n"/>
      <c r="CC302" s="73" t="n"/>
      <c r="CD302" s="73" t="n"/>
      <c r="CE302" s="73" t="n"/>
      <c r="CF302" s="73" t="n"/>
      <c r="CG302" s="73" t="n"/>
      <c r="CH302" s="73" t="n"/>
      <c r="CI302" s="73" t="n"/>
      <c r="CJ302" s="73" t="n"/>
      <c r="CK302" s="73" t="n"/>
      <c r="CL302" s="73" t="n"/>
      <c r="CM302" s="73" t="n"/>
      <c r="CN302" s="73" t="n"/>
      <c r="CO302" s="73" t="n"/>
      <c r="CP302" s="73" t="n"/>
      <c r="CQ302" s="73" t="n"/>
      <c r="CR302" s="73" t="n"/>
      <c r="CS302" s="73" t="n"/>
      <c r="CT302" s="73" t="n"/>
      <c r="CU302" s="73" t="n"/>
      <c r="CV302" s="73" t="n"/>
      <c r="CW302" s="73" t="n"/>
      <c r="CX302" s="73" t="n"/>
      <c r="CY302" s="73" t="n"/>
    </row>
    <row r="303"/>
    <row r="304" customFormat="1" s="74">
      <c r="C304" s="74" t="inlineStr">
        <is>
          <t>YEAR</t>
        </is>
      </c>
      <c r="D304">
        <f>IFERROR(D260,"")</f>
        <v>0</v>
      </c>
      <c r="E304" s="75">
        <f>IFERROR(E260,"")</f>
        <v>0</v>
      </c>
      <c r="F304" s="75">
        <f>IFERROR(F260,"")</f>
        <v>0</v>
      </c>
      <c r="G304" s="75">
        <f>IFERROR(G260,"")</f>
        <v>0</v>
      </c>
      <c r="H304" s="75">
        <f>IFERROR(H260,"")</f>
        <v>0</v>
      </c>
      <c r="I304" s="75" t="str">
        <f>IFERROR(I260,"")</f>
        <v>1Q21</v>
      </c>
      <c r="J304" s="75" t="str">
        <f>IFERROR(J260,"")</f>
        <v>2Q21</v>
      </c>
      <c r="K304" s="75" t="str">
        <f>IFERROR(K260,"")</f>
        <v>3Q21</v>
      </c>
      <c r="L304" s="75" t="str">
        <f>IFERROR(L260,"")</f>
        <v>4Q21</v>
      </c>
      <c r="M304" s="75">
        <f>IFERROR(M260,"")</f>
        <v>2021</v>
      </c>
      <c r="N304" s="75" t="str">
        <f>IFERROR(N260,"")</f>
        <v>1Q22</v>
      </c>
      <c r="O304" s="75" t="str">
        <f>IFERROR(O260,"")</f>
        <v>2Q22</v>
      </c>
      <c r="P304" s="75" t="str">
        <f>IFERROR(P260,"")</f>
        <v>3Q22</v>
      </c>
      <c r="Q304" s="75" t="str">
        <f>IFERROR(Q260,"")</f>
        <v>4Q22</v>
      </c>
      <c r="R304" s="75">
        <f>IFERROR(R260,"")</f>
        <v>2022</v>
      </c>
      <c r="S304" s="75" t="str">
        <f>IFERROR(S260,"")</f>
        <v>1Q23</v>
      </c>
      <c r="T304" s="75" t="str">
        <f>IFERROR(T260,"")</f>
        <v>2Q23</v>
      </c>
      <c r="U304" s="75" t="str">
        <f>IFERROR(U260,"")</f>
        <v>3Q23</v>
      </c>
      <c r="V304" s="75" t="str">
        <f>IFERROR(V260,"")</f>
        <v>4Q23</v>
      </c>
      <c r="W304" s="75">
        <f>IFERROR(W260,"")</f>
        <v>2023</v>
      </c>
      <c r="X304" s="75" t="str">
        <f>IFERROR(X260,"")</f>
        <v>1Q24</v>
      </c>
      <c r="Y304" s="75" t="str">
        <f>IFERROR(Y260,"")</f>
        <v>2Q24</v>
      </c>
      <c r="Z304" s="75" t="str">
        <f>IFERROR(Z260,"")</f>
        <v>3Q24</v>
      </c>
      <c r="AA304" s="75" t="str">
        <f>IFERROR(AA260,"")</f>
        <v>4Q24</v>
      </c>
      <c r="AB304" s="75">
        <f>IFERROR(AB260,"")</f>
        <v>2024</v>
      </c>
      <c r="AC304" s="75" t="str">
        <f>IFERROR(AC260,"")</f>
        <v>1Q25</v>
      </c>
      <c r="AD304" s="75" t="str">
        <f>IFERROR(AD260,"")</f>
        <v>2Q25</v>
      </c>
      <c r="AE304" s="75" t="str">
        <f>IFERROR(AE260,"")</f>
        <v>3Q25</v>
      </c>
      <c r="AF304" s="75" t="str">
        <f>IFERROR(AF260,"")</f>
        <v>4Q25</v>
      </c>
      <c r="AG304" s="75">
        <f>IFERROR(AG260,"")</f>
        <v>2025</v>
      </c>
      <c r="AH304" s="75" t="str">
        <f>IFERROR(AH260,"")</f>
        <v>1Q26</v>
      </c>
      <c r="AI304" s="75" t="str">
        <f>IFERROR(AI260,"")</f>
        <v>2Q26</v>
      </c>
      <c r="AJ304" s="75" t="str">
        <f>IFERROR(AJ260,"")</f>
        <v>3Q26</v>
      </c>
      <c r="AK304" s="75" t="str">
        <f>IFERROR(AK260,"")</f>
        <v>4Q26</v>
      </c>
      <c r="AL304" s="75">
        <f>IFERROR(AL260,"")</f>
        <v>2026</v>
      </c>
      <c r="AM304" s="75" t="str">
        <f>IFERROR(AM260,"")</f>
        <v>1Q27</v>
      </c>
      <c r="AN304" s="75" t="str">
        <f>IFERROR(AN260,"")</f>
        <v>2Q27</v>
      </c>
      <c r="AO304" s="75" t="str">
        <f>IFERROR(AO260,"")</f>
        <v>3Q27</v>
      </c>
      <c r="AP304" s="75" t="str">
        <f>IFERROR(AP260,"")</f>
        <v>4Q27</v>
      </c>
      <c r="AQ304" s="75">
        <f>IFERROR(AQ260,"")</f>
        <v>2027</v>
      </c>
      <c r="AR304" s="75" t="str">
        <f>IFERROR(AR260,"")</f>
        <v>1Q28</v>
      </c>
      <c r="AS304" s="75" t="str">
        <f>IFERROR(AS260,"")</f>
        <v>2Q28</v>
      </c>
      <c r="AT304" s="75" t="str">
        <f>IFERROR(AT260,"")</f>
        <v>3Q28</v>
      </c>
      <c r="AU304" s="75" t="str">
        <f>IFERROR(AU260,"")</f>
        <v>4Q28</v>
      </c>
      <c r="AV304" s="75">
        <f>IFERROR(AV260,"")</f>
        <v>2028</v>
      </c>
      <c r="AW304" s="75" t="str">
        <f>IFERROR(AW260,"")</f>
        <v>1Q29</v>
      </c>
      <c r="AX304" s="75" t="str">
        <f>IFERROR(AX260,"")</f>
        <v>2Q29</v>
      </c>
      <c r="AY304" s="75" t="str">
        <f>IFERROR(AY260,"")</f>
        <v>3Q29</v>
      </c>
      <c r="AZ304" s="75" t="str">
        <f>IFERROR(AZ260,"")</f>
        <v>4Q29</v>
      </c>
      <c r="BA304" s="75">
        <f>IFERROR(BA260,"")</f>
        <v>2029</v>
      </c>
      <c r="BB304" s="75" t="str">
        <f>IFERROR(BB260,"")</f>
        <v>1Q30</v>
      </c>
      <c r="BC304" s="75" t="str">
        <f>IFERROR(BC260,"")</f>
        <v>2Q30</v>
      </c>
      <c r="BD304" s="75" t="str">
        <f>IFERROR(BD260,"")</f>
        <v>3Q30</v>
      </c>
      <c r="BE304" s="75" t="str">
        <f>IFERROR(BE260,"")</f>
        <v>4Q30</v>
      </c>
      <c r="BF304" s="75">
        <f>IFERROR(BF260,"")</f>
        <v>2030</v>
      </c>
      <c r="BG304" s="75" t="n"/>
      <c r="BH304" s="75" t="n"/>
      <c r="BI304" s="75" t="n"/>
      <c r="BJ304" s="75" t="n"/>
      <c r="BK304" s="75" t="n"/>
      <c r="BL304" s="75" t="n"/>
      <c r="BM304" s="75" t="n"/>
      <c r="BN304" s="75" t="n"/>
      <c r="BO304" s="75" t="n"/>
      <c r="BP304" s="75" t="n"/>
      <c r="BQ304" s="75" t="n"/>
      <c r="BR304" s="75" t="n"/>
      <c r="BS304" s="75" t="n"/>
      <c r="BT304" s="75" t="n"/>
      <c r="BU304" s="75" t="n"/>
      <c r="BV304" s="75" t="n"/>
      <c r="BW304" s="75" t="n"/>
      <c r="BX304" s="75" t="n"/>
      <c r="BY304" s="75" t="n"/>
      <c r="BZ304" s="75" t="n"/>
      <c r="CA304" s="75" t="n"/>
      <c r="CB304" s="75" t="n"/>
      <c r="CC304" s="75" t="n"/>
      <c r="CD304" s="75" t="n"/>
      <c r="CE304" s="75" t="n"/>
      <c r="CF304" s="75" t="n"/>
      <c r="CG304" s="75" t="n"/>
      <c r="CH304" s="75" t="n"/>
      <c r="CI304" s="75" t="n"/>
      <c r="CJ304" s="75" t="n"/>
      <c r="CK304" s="75" t="n"/>
      <c r="CL304" s="75" t="n"/>
      <c r="CM304" s="75" t="n"/>
      <c r="CN304" s="75" t="n"/>
      <c r="CO304" s="75" t="n"/>
      <c r="CP304" s="75" t="n"/>
      <c r="CQ304" s="75" t="n"/>
      <c r="CR304" s="75" t="n"/>
      <c r="CS304" s="75" t="n"/>
      <c r="CT304" s="75" t="n"/>
      <c r="CU304" s="75" t="n"/>
      <c r="CV304" s="75" t="n"/>
      <c r="CW304" s="75" t="n"/>
      <c r="CX304" s="75" t="n"/>
      <c r="CY304" s="75" t="n"/>
    </row>
    <row r="305" customFormat="1" s="77">
      <c r="A305" s="76" t="n"/>
      <c r="B305" s="76" t="n"/>
      <c r="C305" s="74" t="inlineStr">
        <is>
          <t>GROWTH &amp; MARGINS</t>
        </is>
      </c>
    </row>
    <row r="306" customFormat="1" s="77">
      <c r="A306" s="76" t="n"/>
      <c r="B306" s="76" t="n"/>
      <c r="C306" s="77" t="inlineStr">
        <is>
          <t>NET REVENUE GROWTH (YoY)</t>
        </is>
      </c>
      <c r="E306" s="78" t="str">
        <f>IFERROR(E15/D15-1,"")</f>
        <v/>
      </c>
      <c r="F306" s="78" t="str">
        <f>IFERROR(F15/E15-1,"")</f>
        <v/>
      </c>
      <c r="G306" s="78" t="str">
        <f>IFERROR(G15/F15-1,"")</f>
        <v/>
      </c>
      <c r="H306" s="257" t="str">
        <f>""</f>
        <v/>
      </c>
      <c r="I306" s="257" t="str">
        <f>""</f>
        <v/>
      </c>
      <c r="J306" s="257" t="str">
        <f>""</f>
        <v/>
      </c>
      <c r="K306" s="257" t="str">
        <f>""</f>
        <v/>
      </c>
      <c r="L306" s="257" t="str">
        <f>""</f>
        <v/>
      </c>
      <c r="M306" s="257" t="str">
        <f>IFERROR(IF(AND(ISNUMBER(M15),ISNUMBER(H15),H15&lt;&gt;0),M15/H15-1,""),"")</f>
        <v/>
      </c>
      <c r="N306" s="257">
        <f>IFERROR(IF(AND(ISNUMBER(N15),ISNUMBER(I15),I15&lt;&gt;0),N15/I15-1,""),"")</f>
        <v>-0.25751274090563</v>
      </c>
      <c r="O306" s="257">
        <f>IFERROR(IF(AND(ISNUMBER(O15),ISNUMBER(J15),J15&lt;&gt;0),O15/J15-1,""),"")</f>
        <v>-0.226045033693092</v>
      </c>
      <c r="P306" s="257">
        <f>IFERROR(IF(AND(ISNUMBER(P15),ISNUMBER(K15),K15&lt;&gt;0),P15/K15-1,""),"")</f>
        <v>-0.220744251171307</v>
      </c>
      <c r="Q306" s="257">
        <f>IFERROR(IF(AND(ISNUMBER(Q15),ISNUMBER(L15),L15&lt;&gt;0),Q15/L15-1,""),"")</f>
        <v>-0.171156971876077</v>
      </c>
      <c r="R306" s="257">
        <f>IFERROR(IF(AND(ISNUMBER(R15),ISNUMBER(M15),M15&lt;&gt;0),R15/M15-1,""),"")</f>
        <v>-0.216938918540083</v>
      </c>
      <c r="S306" s="257">
        <f>IFERROR(IF(AND(ISNUMBER(S15),ISNUMBER(N15),N15&lt;&gt;0),S15/N15-1,""),"")</f>
        <v>-0.381775147928994</v>
      </c>
      <c r="T306" s="257">
        <f>IFERROR(IF(AND(ISNUMBER(T15),ISNUMBER(O15),O15&lt;&gt;0),T15/O15-1,""),"")</f>
        <v>-0.380264741275572</v>
      </c>
      <c r="U306" s="257">
        <f>IFERROR(IF(AND(ISNUMBER(U15),ISNUMBER(P15),P15&lt;&gt;0),U15/P15-1,""),"")</f>
        <v>-0.357152729785764</v>
      </c>
      <c r="V306" s="257">
        <f>IFERROR(IF(AND(ISNUMBER(V15),ISNUMBER(Q15),Q15&lt;&gt;0),V15/Q15-1,""),"")</f>
        <v>-0.438079391490373</v>
      </c>
      <c r="W306" s="257">
        <f>IFERROR(IF(AND(ISNUMBER(W15),ISNUMBER(R15),R15&lt;&gt;0),W15/R15-1,""),"")</f>
        <v>-0.3915834767642</v>
      </c>
      <c r="X306" s="257">
        <f>IFERROR(IF(AND(ISNUMBER(X15),ISNUMBER(S15),S15&lt;&gt;0),X15/S15-1,""),"")</f>
        <v>0.142802450229709</v>
      </c>
      <c r="Y306" s="257">
        <f>IFERROR(IF(AND(ISNUMBER(Y15),ISNUMBER(T15),T15&lt;&gt;0),Y15/T15-1,""),"")</f>
        <v>0.0387207310108511</v>
      </c>
      <c r="Z306" s="257">
        <f>IFERROR(IF(AND(ISNUMBER(Z15),ISNUMBER(U15),U15&lt;&gt;0),Z15/U15-1,""),"")</f>
        <v>0.0580520318211137</v>
      </c>
      <c r="AA306" s="257">
        <f>IFERROR(IF(AND(ISNUMBER(AA15),ISNUMBER(V15),V15&lt;&gt;0),AA15/V15-1,""),"")</f>
        <v>0.143401015228426</v>
      </c>
      <c r="AB306" s="257">
        <f>IFERROR(IF(AND(ISNUMBER(AB15),ISNUMBER(W15),W15&lt;&gt;0),AB15/W15-1,""),"")</f>
        <v>0.0948824577781551</v>
      </c>
      <c r="AC306" s="257">
        <f>IFERROR(IF(AND(ISNUMBER(AC15),ISNUMBER(X15),X15&lt;&gt;0),AC15/X15-1,""),"")</f>
        <v>0.109436069235064</v>
      </c>
      <c r="AD306" s="257">
        <f>IFERROR(IF(AND(ISNUMBER(AD15),ISNUMBER(Y15),Y15&lt;&gt;0),AD15/Y15-1,""),"")</f>
        <v>0.212117879920827</v>
      </c>
      <c r="AE306" s="257">
        <f>IFERROR(IF(AND(ISNUMBER(AE15),ISNUMBER(Z15),Z15&lt;&gt;0),AE15/Z15-1,""),"")</f>
        <v>0.237654948181264</v>
      </c>
      <c r="AF306" s="257">
        <f>IFERROR(IF(AND(ISNUMBER(AF15),ISNUMBER(AA15),AA15&lt;&gt;0),AF15/AA15-1,""),"")</f>
        <v>0.176193118756937</v>
      </c>
      <c r="AG306" s="257">
        <f>IFERROR(IF(AND(ISNUMBER(AG15),ISNUMBER(AB15),AB15&lt;&gt;0),AG15/AB15-1,""),"")</f>
        <v>0.184817714389065</v>
      </c>
      <c r="AH306" s="257">
        <f>IFERROR(IF(AND(ISNUMBER(AH15),ISNUMBER(AC15),AC15&lt;&gt;0),AH15/AC15-1,""),"")</f>
        <v>0.247307498741822</v>
      </c>
      <c r="AI306" s="257">
        <f>IFERROR(IF(AND(ISNUMBER(AI15),ISNUMBER(AD15),AD15&lt;&gt;0),AI15/AD15-1,""),"")</f>
        <v>0.211013335752517</v>
      </c>
      <c r="AJ306" s="257">
        <f>IFERROR(IF(AND(ISNUMBER(AJ15),ISNUMBER(AE15),AE15&lt;&gt;0),AJ15/AE15-1,""),"")</f>
        <v>0.198953808431405</v>
      </c>
      <c r="AK306" s="257">
        <f>IFERROR(IF(AND(ISNUMBER(AK15),ISNUMBER(AF15),AF15&lt;&gt;0),AK15/AF15-1,""),"")</f>
        <v>0.198953808431405</v>
      </c>
      <c r="AL306" s="257">
        <f>IFERROR(IF(AND(ISNUMBER(AL15),ISNUMBER(AG15),AG15&lt;&gt;0),AL15/AG15-1,""),"")</f>
        <v>0.212328853853915</v>
      </c>
      <c r="AM306" s="257">
        <f>IFERROR(IF(AND(ISNUMBER(AM15),ISNUMBER(AH15),AH15&lt;&gt;0),AM15/AH15-1,""),"")</f>
        <v>0.198953808431405</v>
      </c>
      <c r="AN306" s="257">
        <f>IFERROR(IF(AND(ISNUMBER(AN15),ISNUMBER(AI15),AI15&lt;&gt;0),AN15/AI15-1,""),"")</f>
        <v>0.198953808431405</v>
      </c>
      <c r="AO306" s="257">
        <f>IFERROR(IF(AND(ISNUMBER(AO15),ISNUMBER(AJ15),AJ15&lt;&gt;0),AO15/AJ15-1,""),"")</f>
        <v>0.198953808431405</v>
      </c>
      <c r="AP306" s="257">
        <f>IFERROR(IF(AND(ISNUMBER(AP15),ISNUMBER(AK15),AK15&lt;&gt;0),AP15/AK15-1,""),"")</f>
        <v>0.198953808431405</v>
      </c>
      <c r="AQ306" s="257">
        <f>IFERROR(IF(AND(ISNUMBER(AQ15),ISNUMBER(AL15),AL15&lt;&gt;0),AQ15/AL15-1,""),"")</f>
        <v>0.198953808431405</v>
      </c>
      <c r="AR306" s="257">
        <f>IFERROR(IF(AND(ISNUMBER(AR15),ISNUMBER(AM15),AM15&lt;&gt;0),AR15/AM15-1,""),"")</f>
        <v>0.193953808431405</v>
      </c>
      <c r="AS306" s="257">
        <f>IFERROR(IF(AND(ISNUMBER(AS15),ISNUMBER(AN15),AN15&lt;&gt;0),AS15/AN15-1,""),"")</f>
        <v>0.193953808431405</v>
      </c>
      <c r="AT306" s="257">
        <f>IFERROR(IF(AND(ISNUMBER(AT15),ISNUMBER(AO15),AO15&lt;&gt;0),AT15/AO15-1,""),"")</f>
        <v>0.193953808431405</v>
      </c>
      <c r="AU306" s="257">
        <f>IFERROR(IF(AND(ISNUMBER(AU15),ISNUMBER(AP15),AP15&lt;&gt;0),AU15/AP15-1,""),"")</f>
        <v>0.193953808431405</v>
      </c>
      <c r="AV306" s="257">
        <f>IFERROR(IF(AND(ISNUMBER(AV15),ISNUMBER(AQ15),AQ15&lt;&gt;0),AV15/AQ15-1,""),"")</f>
        <v>0.193953808431405</v>
      </c>
      <c r="AW306" s="257">
        <f>IFERROR(IF(AND(ISNUMBER(AW15),ISNUMBER(AR15),AR15&lt;&gt;0),AW15/AR15-1,""),"")</f>
        <v>0.188953808431405</v>
      </c>
      <c r="AX306" s="257">
        <f>IFERROR(IF(AND(ISNUMBER(AX15),ISNUMBER(AS15),AS15&lt;&gt;0),AX15/AS15-1,""),"")</f>
        <v>0.188953808431405</v>
      </c>
      <c r="AY306" s="257">
        <f>IFERROR(IF(AND(ISNUMBER(AY15),ISNUMBER(AT15),AT15&lt;&gt;0),AY15/AT15-1,""),"")</f>
        <v>0.188953808431405</v>
      </c>
      <c r="AZ306" s="257">
        <f>IFERROR(IF(AND(ISNUMBER(AZ15),ISNUMBER(AU15),AU15&lt;&gt;0),AZ15/AU15-1,""),"")</f>
        <v>0.188953808431405</v>
      </c>
      <c r="BA306" s="257">
        <f>IFERROR(IF(AND(ISNUMBER(BA15),ISNUMBER(AV15),AV15&lt;&gt;0),BA15/AV15-1,""),"")</f>
        <v>0.188953808431405</v>
      </c>
      <c r="BB306" s="257">
        <f>IFERROR(IF(AND(ISNUMBER(BB15),ISNUMBER(AW15),AW15&lt;&gt;0),BB15/AW15-1,""),"")</f>
        <v>0.183953808431405</v>
      </c>
      <c r="BC306" s="257">
        <f>IFERROR(IF(AND(ISNUMBER(BC15),ISNUMBER(AX15),AX15&lt;&gt;0),BC15/AX15-1,""),"")</f>
        <v>0.183953808431405</v>
      </c>
      <c r="BD306" s="257">
        <f>IFERROR(IF(AND(ISNUMBER(BD15),ISNUMBER(AY15),AY15&lt;&gt;0),BD15/AY15-1,""),"")</f>
        <v>0.183953808431405</v>
      </c>
      <c r="BE306" s="257">
        <f>IFERROR(IF(AND(ISNUMBER(BE15),ISNUMBER(AZ15),AZ15&lt;&gt;0),BE15/AZ15-1,""),"")</f>
        <v>0.183953808431405</v>
      </c>
      <c r="BF306" s="257">
        <f>IFERROR(IF(AND(ISNUMBER(BF15),ISNUMBER(BA15),BA15&lt;&gt;0),BF15/BA15-1,""),"")</f>
        <v>0.183953808431405</v>
      </c>
      <c r="BG306" s="79" t="n"/>
      <c r="BH306" s="79" t="n"/>
      <c r="BI306" s="79" t="n"/>
      <c r="BJ306" s="79" t="n"/>
      <c r="BK306" s="78" t="n"/>
      <c r="BL306" s="79" t="n"/>
      <c r="BM306" s="79" t="n"/>
      <c r="BN306" s="79" t="n"/>
      <c r="BO306" s="79" t="n"/>
      <c r="BP306" s="78" t="n"/>
      <c r="BQ306" s="79" t="n"/>
      <c r="BR306" s="79" t="n"/>
      <c r="BS306" s="79" t="n"/>
      <c r="BT306" s="79" t="n"/>
      <c r="BU306" s="78" t="n"/>
      <c r="BV306" s="79" t="n"/>
      <c r="BW306" s="79" t="n"/>
      <c r="BX306" s="79" t="n"/>
      <c r="BY306" s="79" t="n"/>
      <c r="BZ306" s="78" t="n"/>
      <c r="CA306" s="79" t="n"/>
      <c r="CB306" s="79" t="n"/>
      <c r="CC306" s="79" t="n"/>
      <c r="CD306" s="79" t="n"/>
      <c r="CE306" s="78" t="n"/>
      <c r="CF306" s="79" t="n"/>
      <c r="CG306" s="79" t="n"/>
      <c r="CH306" s="79" t="n"/>
      <c r="CI306" s="79" t="n"/>
      <c r="CJ306" s="78" t="n"/>
      <c r="CK306" s="79" t="n"/>
      <c r="CL306" s="79" t="n"/>
      <c r="CM306" s="79" t="n"/>
      <c r="CN306" s="79" t="n"/>
      <c r="CO306" s="78" t="n"/>
      <c r="CP306" s="79" t="n"/>
      <c r="CQ306" s="79" t="n"/>
      <c r="CR306" s="79" t="n"/>
      <c r="CS306" s="79" t="n"/>
      <c r="CT306" s="78" t="n"/>
      <c r="CU306" s="79" t="n"/>
      <c r="CV306" s="79" t="n"/>
      <c r="CW306" s="79" t="n"/>
      <c r="CX306" s="79" t="n"/>
      <c r="CY306" s="78" t="n"/>
    </row>
    <row r="307" customFormat="1" s="77">
      <c r="A307" s="76" t="n"/>
      <c r="B307" s="76" t="n"/>
      <c r="C307" s="77" t="inlineStr">
        <is>
          <t>GROSS MARGIN</t>
        </is>
      </c>
      <c r="D307" s="79" t="str">
        <f>IFERROR(SUM(D15,D39)/D15,"")</f>
        <v/>
      </c>
      <c r="E307" s="79" t="str">
        <f>IFERROR(SUM(E15,E39)/E15,"")</f>
        <v/>
      </c>
      <c r="F307" s="79" t="str">
        <f>IFERROR(SUM(F15,F39)/F15,"")</f>
        <v/>
      </c>
      <c r="G307" s="79" t="str">
        <f>IFERROR(SUM(G15,G39)/G15,"")</f>
        <v/>
      </c>
      <c r="H307" s="258" t="str">
        <f>IFERROR(IF(N(H15)&lt;&gt;0,(H15+H39)/H15,""),"")</f>
        <v/>
      </c>
      <c r="I307" s="258">
        <f>IFERROR(IF(N(I15)&lt;&gt;0,(I15+I39)/I15,""),"")</f>
        <v>0.265538046980259</v>
      </c>
      <c r="J307" s="258">
        <f>IFERROR(IF(N(J15)&lt;&gt;0,(J15+J39)/J15,""),"")</f>
        <v>0.253930860680436</v>
      </c>
      <c r="K307" s="258">
        <f>IFERROR(IF(N(K15)&lt;&gt;0,(K15+K39)/K15,""),"")</f>
        <v>0.278313317895417</v>
      </c>
      <c r="L307" s="258">
        <f>IFERROR(IF(N(L15)&lt;&gt;0,(L15+L39)/L15,""),"")</f>
        <v>0.293798945968576</v>
      </c>
      <c r="M307" s="258">
        <f>IFERROR(IF(N(M15)&lt;&gt;0,(M15+M39)/M15,""),"")</f>
        <v>0.273613132783438</v>
      </c>
      <c r="N307" s="258">
        <f>IFERROR(IF(N(N15)&lt;&gt;0,(N15+N39)/N15,""),"")</f>
        <v>0.22887573964497</v>
      </c>
      <c r="O307" s="258">
        <f>IFERROR(IF(N(O15)&lt;&gt;0,(O15+O39)/O15,""),"")</f>
        <v>0.254972747221632</v>
      </c>
      <c r="P307" s="258">
        <f>IFERROR(IF(N(P15)&lt;&gt;0,(P15+P39)/P15,""),"")</f>
        <v>0.202902557014513</v>
      </c>
      <c r="Q307" s="258">
        <f>IFERROR(IF(N(Q15)&lt;&gt;0,(Q15+Q39)/Q15,""),"")</f>
        <v>0.260755883052056</v>
      </c>
      <c r="R307" s="258">
        <f>IFERROR(IF(N(R15)&lt;&gt;0,(R15+R39)/R15,""),"")</f>
        <v>0.237986230636833</v>
      </c>
      <c r="S307" s="258">
        <f>IFERROR(IF(N(S15)&lt;&gt;0,(S15+S39)/S15,""),"")</f>
        <v>0.362174578866769</v>
      </c>
      <c r="T307" s="258">
        <f>IFERROR(IF(N(T15)&lt;&gt;0,(T15+T39)/T15,""),"")</f>
        <v>0.349743003997716</v>
      </c>
      <c r="U307" s="258">
        <f>IFERROR(IF(N(U15)&lt;&gt;0,(U15+U39)/U15,""),"")</f>
        <v>0.355837454310901</v>
      </c>
      <c r="V307" s="258">
        <f>IFERROR(IF(N(V15)&lt;&gt;0,(V15+V39)/V15,""),"")</f>
        <v>0.338409475465313</v>
      </c>
      <c r="W307" s="258">
        <f>IFERROR(IF(N(W15)&lt;&gt;0,(W15+W39)/W15,""),"")</f>
        <v>0.351070751647854</v>
      </c>
      <c r="X307" s="258">
        <f>IFERROR(IF(N(X15)&lt;&gt;0,(X15+X39)/X15,""),"")</f>
        <v>0.358235622557231</v>
      </c>
      <c r="Y307" s="258">
        <f>IFERROR(IF(N(Y15)&lt;&gt;0,(Y15+Y39)/Y15,""),"")</f>
        <v>0.387068396745107</v>
      </c>
      <c r="Z307" s="258">
        <f>IFERROR(IF(N(Z15)&lt;&gt;0,(Z15+Z39)/Z15,""),"")</f>
        <v>0.367404998983946</v>
      </c>
      <c r="AA307" s="258">
        <f>IFERROR(IF(N(AA15)&lt;&gt;0,(AA15+AA39)/AA15,""),"")</f>
        <v>0.374676285608583</v>
      </c>
      <c r="AB307" s="258">
        <f>IFERROR(IF(N(AB15)&lt;&gt;0,(AB15+AB39)/AB15,""),"")</f>
        <v>0.371934992119474</v>
      </c>
      <c r="AC307" s="258">
        <f>IFERROR(IF(N(AC15)&lt;&gt;0,(AC15+AC39)/AC15,""),"")</f>
        <v>0.396577755410166</v>
      </c>
      <c r="AD307" s="258">
        <f>IFERROR(IF(N(AD15)&lt;&gt;0,(AD15+AD39)/AD15,""),"")</f>
        <v>0.378934954186701</v>
      </c>
      <c r="AE307" s="258">
        <f>IFERROR(IF(N(AE15)&lt;&gt;0,(AE15+AE39)/AE15,""),"")</f>
        <v>0.362778097036368</v>
      </c>
      <c r="AF307" s="258">
        <f>IFERROR(IF(N(AF15)&lt;&gt;0,(AF15+AF39)/AF15,""),"")</f>
        <v>0.342376346622631</v>
      </c>
      <c r="AG307" s="258">
        <f>IFERROR(IF(N(AG15)&lt;&gt;0,(AG15+AG39)/AG15,""),"")</f>
        <v>0.36832693649686</v>
      </c>
      <c r="AH307" s="258">
        <f>IFERROR(IF(N(AH15)&lt;&gt;0,(AH15+AH39)/AH15,""),"")</f>
        <v>0.360716591349258</v>
      </c>
      <c r="AI307" s="258">
        <f>IFERROR(IF(N(AI15)&lt;&gt;0,(AI15+AI39)/AI15,""),"")</f>
        <v>0.350288411116938</v>
      </c>
      <c r="AJ307" s="258">
        <f>IFERROR(IF(N(AJ15)&lt;&gt;0,(AJ15+AJ39)/AJ15,""),"")</f>
        <v>0.365278692620344</v>
      </c>
      <c r="AK307" s="258">
        <f>IFERROR(IF(N(AK15)&lt;&gt;0,(AK15+AK39)/AK15,""),"")</f>
        <v>0.365278692620344</v>
      </c>
      <c r="AL307" s="258">
        <f>IFERROR(IF(N(AL15)&lt;&gt;0,(AL15+AL39)/AL15,""),"")</f>
        <v>0.360662267975926</v>
      </c>
      <c r="AM307" s="258">
        <f>IFERROR(IF(N(AM15)&lt;&gt;0,(AM15+AM39)/AM15,""),"")</f>
        <v>0.365278692620343</v>
      </c>
      <c r="AN307" s="258">
        <f>IFERROR(IF(N(AN15)&lt;&gt;0,(AN15+AN39)/AN15,""),"")</f>
        <v>0.365278692620344</v>
      </c>
      <c r="AO307" s="258">
        <f>IFERROR(IF(N(AO15)&lt;&gt;0,(AO15+AO39)/AO15,""),"")</f>
        <v>0.365278692620344</v>
      </c>
      <c r="AP307" s="258">
        <f>IFERROR(IF(N(AP15)&lt;&gt;0,(AP15+AP39)/AP15,""),"")</f>
        <v>0.365278692620343</v>
      </c>
      <c r="AQ307" s="258">
        <f>IFERROR(IF(N(AQ15)&lt;&gt;0,(AQ15+AQ39)/AQ15,""),"")</f>
        <v>0.365278692620344</v>
      </c>
      <c r="AR307" s="258">
        <f>IFERROR(IF(N(AR15)&lt;&gt;0,(AR15+AR39)/AR15,""),"")</f>
        <v>0.365278692620343</v>
      </c>
      <c r="AS307" s="258">
        <f>IFERROR(IF(N(AS15)&lt;&gt;0,(AS15+AS39)/AS15,""),"")</f>
        <v>0.365278692620344</v>
      </c>
      <c r="AT307" s="258">
        <f>IFERROR(IF(N(AT15)&lt;&gt;0,(AT15+AT39)/AT15,""),"")</f>
        <v>0.365278692620344</v>
      </c>
      <c r="AU307" s="258">
        <f>IFERROR(IF(N(AU15)&lt;&gt;0,(AU15+AU39)/AU15,""),"")</f>
        <v>0.365278692620343</v>
      </c>
      <c r="AV307" s="258">
        <f>IFERROR(IF(N(AV15)&lt;&gt;0,(AV15+AV39)/AV15,""),"")</f>
        <v>0.365278692620344</v>
      </c>
      <c r="AW307" s="258">
        <f>IFERROR(IF(N(AW15)&lt;&gt;0,(AW15+AW39)/AW15,""),"")</f>
        <v>0.365278692620344</v>
      </c>
      <c r="AX307" s="258">
        <f>IFERROR(IF(N(AX15)&lt;&gt;0,(AX15+AX39)/AX15,""),"")</f>
        <v>0.365278692620344</v>
      </c>
      <c r="AY307" s="258">
        <f>IFERROR(IF(N(AY15)&lt;&gt;0,(AY15+AY39)/AY15,""),"")</f>
        <v>0.365278692620344</v>
      </c>
      <c r="AZ307" s="258">
        <f>IFERROR(IF(N(AZ15)&lt;&gt;0,(AZ15+AZ39)/AZ15,""),"")</f>
        <v>0.365278692620344</v>
      </c>
      <c r="BA307" s="258">
        <f>IFERROR(IF(N(BA15)&lt;&gt;0,(BA15+BA39)/BA15,""),"")</f>
        <v>0.365278692620344</v>
      </c>
      <c r="BB307" s="258">
        <f>IFERROR(IF(N(BB15)&lt;&gt;0,(BB15+BB39)/BB15,""),"")</f>
        <v>0.365278692620344</v>
      </c>
      <c r="BC307" s="258">
        <f>IFERROR(IF(N(BC15)&lt;&gt;0,(BC15+BC39)/BC15,""),"")</f>
        <v>0.365278692620343</v>
      </c>
      <c r="BD307" s="258">
        <f>IFERROR(IF(N(BD15)&lt;&gt;0,(BD15+BD39)/BD15,""),"")</f>
        <v>0.365278692620344</v>
      </c>
      <c r="BE307" s="258">
        <f>IFERROR(IF(N(BE15)&lt;&gt;0,(BE15+BE39)/BE15,""),"")</f>
        <v>0.365278692620344</v>
      </c>
      <c r="BF307" s="258">
        <f>IFERROR(IF(N(BF15)&lt;&gt;0,(BF15+BF39)/BF15,""),"")</f>
        <v>0.365278692620343</v>
      </c>
      <c r="BG307" s="80" t="n"/>
      <c r="BH307" s="80" t="n"/>
      <c r="BI307" s="80" t="n"/>
      <c r="BJ307" s="80" t="n"/>
      <c r="BL307" s="80" t="n"/>
      <c r="BM307" s="80" t="n"/>
      <c r="BN307" s="80" t="n"/>
      <c r="BO307" s="80" t="n"/>
      <c r="BQ307" s="80" t="n"/>
      <c r="BR307" s="80" t="n"/>
      <c r="BS307" s="80" t="n"/>
      <c r="BT307" s="80" t="n"/>
      <c r="BV307" s="80" t="n"/>
      <c r="BW307" s="80" t="n"/>
      <c r="BX307" s="80" t="n"/>
      <c r="BY307" s="80" t="n"/>
      <c r="CA307" s="80" t="n"/>
      <c r="CB307" s="80" t="n"/>
      <c r="CC307" s="80" t="n"/>
      <c r="CD307" s="80" t="n"/>
      <c r="CF307" s="80" t="n"/>
      <c r="CG307" s="80" t="n"/>
      <c r="CH307" s="80" t="n"/>
      <c r="CI307" s="80" t="n"/>
      <c r="CK307" s="80" t="n"/>
      <c r="CL307" s="80" t="n"/>
      <c r="CM307" s="80" t="n"/>
      <c r="CN307" s="80" t="n"/>
      <c r="CP307" s="80" t="n"/>
      <c r="CQ307" s="80" t="n"/>
      <c r="CR307" s="80" t="n"/>
      <c r="CS307" s="80" t="n"/>
      <c r="CU307" s="80" t="n"/>
      <c r="CV307" s="80" t="n"/>
      <c r="CW307" s="80" t="n"/>
      <c r="CX307" s="80" t="n"/>
    </row>
    <row r="308" customFormat="1" s="77">
      <c r="A308" s="76" t="n"/>
      <c r="B308" s="76" t="n"/>
      <c r="C308" s="77" t="inlineStr">
        <is>
          <t>EBIT MARGIN</t>
        </is>
      </c>
      <c r="D308" s="78" t="str">
        <f>IFERROR((D58/D15),"")</f>
        <v/>
      </c>
      <c r="E308" s="78" t="str">
        <f>IFERROR((E58/E15),"")</f>
        <v/>
      </c>
      <c r="F308" s="78" t="str">
        <f>IFERROR((F58/F15),"")</f>
        <v/>
      </c>
      <c r="G308" s="78" t="str">
        <f>IFERROR((G58/G15),"")</f>
        <v/>
      </c>
      <c r="H308" s="258" t="str">
        <f>IFERROR(IF(N(H15)&lt;&gt;0,H58/H15,""),"")</f>
        <v/>
      </c>
      <c r="I308" s="257">
        <f>IFERROR(IF(N(I15)&lt;&gt;0,I58/I15,""),"")</f>
        <v>0.00380762696971472</v>
      </c>
      <c r="J308" s="257">
        <f>IFERROR(IF(N(J15)&lt;&gt;0,J58/J15,""),"")</f>
        <v>-0.0702350298581055</v>
      </c>
      <c r="K308" s="257">
        <f>IFERROR(IF(N(K15)&lt;&gt;0,K58/K15,""),"")</f>
        <v>0.0373741181539124</v>
      </c>
      <c r="L308" s="257">
        <f>IFERROR(IF(N(L15)&lt;&gt;0,L58/L15,""),"")</f>
        <v>-0.202285376545338</v>
      </c>
      <c r="M308" s="258">
        <f>IFERROR(IF(N(M15)&lt;&gt;0,M58/M15,""),"")</f>
        <v>-0.0624022858375115</v>
      </c>
      <c r="N308" s="257">
        <f>IFERROR(IF(N(N15)&lt;&gt;0,N58/N15,""),"")</f>
        <v>-0.0664299802761341</v>
      </c>
      <c r="O308" s="257">
        <f>IFERROR(IF(N(O15)&lt;&gt;0,O58/O15,""),"")</f>
        <v>0.0445246690734055</v>
      </c>
      <c r="P308" s="257">
        <f>IFERROR(IF(N(P15)&lt;&gt;0,P58/P15,""),"")</f>
        <v>-0.00248790601243953</v>
      </c>
      <c r="Q308" s="257">
        <f>IFERROR(IF(N(Q15)&lt;&gt;0,Q58/Q15,""),"")</f>
        <v>-0.266104112193962</v>
      </c>
      <c r="R308" s="258">
        <f>IFERROR(IF(N(R15)&lt;&gt;0,R58/R15,""),"")</f>
        <v>-0.0813597246127367</v>
      </c>
      <c r="S308" s="257">
        <f>IFERROR(IF(N(S15)&lt;&gt;0,S58/S15,""),"")</f>
        <v>-0.761868300153139</v>
      </c>
      <c r="T308" s="257">
        <f>IFERROR(IF(N(T15)&lt;&gt;0,T58/T15,""),"")</f>
        <v>0.144146202170188</v>
      </c>
      <c r="U308" s="257">
        <f>IFERROR(IF(N(U15)&lt;&gt;0,U58/U15,""),"")</f>
        <v>0.15566544829069</v>
      </c>
      <c r="V308" s="257">
        <f>IFERROR(IF(N(V15)&lt;&gt;0,V58/V15,""),"")</f>
        <v>-0.918993231810491</v>
      </c>
      <c r="W308" s="258">
        <f>IFERROR(IF(N(W15)&lt;&gt;0,W58/W15,""),"")</f>
        <v>-0.338057653681858</v>
      </c>
      <c r="X308" s="257">
        <f>IFERROR(IF(N(X15)&lt;&gt;0,X58/X15,""),"")</f>
        <v>0.13891680625349</v>
      </c>
      <c r="Y308" s="257">
        <f>IFERROR(IF(N(Y15)&lt;&gt;0,Y58/Y15,""),"")</f>
        <v>0.19331427314713</v>
      </c>
      <c r="Z308" s="257">
        <f>IFERROR(IF(N(Z15)&lt;&gt;0,Z58/Z15,""),"")</f>
        <v>0.11410282462914</v>
      </c>
      <c r="AA308" s="257">
        <f>IFERROR(IF(N(AA15)&lt;&gt;0,AA58/AA15,""),"")</f>
        <v>0.205234924158343</v>
      </c>
      <c r="AB308" s="258">
        <f>IFERROR(IF(N(AB15)&lt;&gt;0,AB58/AB15,""),"")</f>
        <v>0.163914941994161</v>
      </c>
      <c r="AC308" s="257">
        <f>IFERROR(IF(N(AC15)&lt;&gt;0,AC58/AC15,""),"")</f>
        <v>0.216708605938601</v>
      </c>
      <c r="AD308" s="257">
        <f>IFERROR(IF(N(AD15)&lt;&gt;0,AD58/AD15,""),"")</f>
        <v>0.204027941576703</v>
      </c>
      <c r="AE308" s="257">
        <f>IFERROR(IF(N(AE15)&lt;&gt;0,AE58/AE15,""),"")</f>
        <v>0.201543387242427</v>
      </c>
      <c r="AF308" s="257">
        <f>IFERROR(IF(N(AF15)&lt;&gt;0,AF58/AF15,""),"")</f>
        <v>0.196508610521349</v>
      </c>
      <c r="AG308" s="258">
        <f>IFERROR(IF(N(AG15)&lt;&gt;0,AG58/AG15,""),"")</f>
        <v>0.204030006978367</v>
      </c>
      <c r="AH308" s="257">
        <f>IFERROR(IF(N(AH15)&lt;&gt;0,AH58/AH15,""),"")</f>
        <v>0.197224015493867</v>
      </c>
      <c r="AI308" s="257">
        <f>IFERROR(IF(N(AI15)&lt;&gt;0,AI58/AI15,""),"")</f>
        <v>0.202561989662147</v>
      </c>
      <c r="AJ308" s="257">
        <f>IFERROR(IF(N(AJ15)&lt;&gt;0,AJ58/AJ15,""),"")</f>
        <v>0.203095758405849</v>
      </c>
      <c r="AK308" s="257">
        <f>IFERROR(IF(N(AK15)&lt;&gt;0,AK58/AK15,""),"")</f>
        <v>0.203095758405849</v>
      </c>
      <c r="AL308" s="258">
        <f>IFERROR(IF(N(AL15)&lt;&gt;0,AL58/AL15,""),"")</f>
        <v>0.201658732862633</v>
      </c>
      <c r="AM308" s="257">
        <f>IFERROR(IF(N(AM15)&lt;&gt;0,AM58/AM15,""),"")</f>
        <v>0.203095758405849</v>
      </c>
      <c r="AN308" s="257">
        <f>IFERROR(IF(N(AN15)&lt;&gt;0,AN58/AN15,""),"")</f>
        <v>0.203095758405849</v>
      </c>
      <c r="AO308" s="257">
        <f>IFERROR(IF(N(AO15)&lt;&gt;0,AO58/AO15,""),"")</f>
        <v>0.203095758405849</v>
      </c>
      <c r="AP308" s="257">
        <f>IFERROR(IF(N(AP15)&lt;&gt;0,AP58/AP15,""),"")</f>
        <v>0.203095758405849</v>
      </c>
      <c r="AQ308" s="258">
        <f>IFERROR(IF(N(AQ15)&lt;&gt;0,AQ58/AQ15,""),"")</f>
        <v>0.203095758405849</v>
      </c>
      <c r="AR308" s="257">
        <f>IFERROR(IF(N(AR15)&lt;&gt;0,AR58/AR15,""),"")</f>
        <v>0.203095758405849</v>
      </c>
      <c r="AS308" s="257">
        <f>IFERROR(IF(N(AS15)&lt;&gt;0,AS58/AS15,""),"")</f>
        <v>0.203095758405849</v>
      </c>
      <c r="AT308" s="257">
        <f>IFERROR(IF(N(AT15)&lt;&gt;0,AT58/AT15,""),"")</f>
        <v>0.203095758405849</v>
      </c>
      <c r="AU308" s="257">
        <f>IFERROR(IF(N(AU15)&lt;&gt;0,AU58/AU15,""),"")</f>
        <v>0.203095758405849</v>
      </c>
      <c r="AV308" s="258">
        <f>IFERROR(IF(N(AV15)&lt;&gt;0,AV58/AV15,""),"")</f>
        <v>0.203095758405849</v>
      </c>
      <c r="AW308" s="257">
        <f>IFERROR(IF(N(AW15)&lt;&gt;0,AW58/AW15,""),"")</f>
        <v>0.203095758405849</v>
      </c>
      <c r="AX308" s="257">
        <f>IFERROR(IF(N(AX15)&lt;&gt;0,AX58/AX15,""),"")</f>
        <v>0.203095758405849</v>
      </c>
      <c r="AY308" s="257">
        <f>IFERROR(IF(N(AY15)&lt;&gt;0,AY58/AY15,""),"")</f>
        <v>0.203095758405849</v>
      </c>
      <c r="AZ308" s="257">
        <f>IFERROR(IF(N(AZ15)&lt;&gt;0,AZ58/AZ15,""),"")</f>
        <v>0.203095758405849</v>
      </c>
      <c r="BA308" s="258">
        <f>IFERROR(IF(N(BA15)&lt;&gt;0,BA58/BA15,""),"")</f>
        <v>0.203095758405849</v>
      </c>
      <c r="BB308" s="257">
        <f>IFERROR(IF(N(BB15)&lt;&gt;0,BB58/BB15,""),"")</f>
        <v>0.203095758405849</v>
      </c>
      <c r="BC308" s="257">
        <f>IFERROR(IF(N(BC15)&lt;&gt;0,BC58/BC15,""),"")</f>
        <v>0.203095758405849</v>
      </c>
      <c r="BD308" s="257">
        <f>IFERROR(IF(N(BD15)&lt;&gt;0,BD58/BD15,""),"")</f>
        <v>0.203095758405849</v>
      </c>
      <c r="BE308" s="257">
        <f>IFERROR(IF(N(BE15)&lt;&gt;0,BE58/BE15,""),"")</f>
        <v>0.203095758405849</v>
      </c>
      <c r="BF308" s="258">
        <f>IFERROR(IF(N(BF15)&lt;&gt;0,BF58/BF15,""),"")</f>
        <v>0.203095758405849</v>
      </c>
      <c r="BG308" s="81" t="n"/>
      <c r="BH308" s="81" t="n"/>
      <c r="BI308" s="81" t="n"/>
      <c r="BJ308" s="81" t="n"/>
      <c r="BL308" s="81" t="n"/>
      <c r="BM308" s="81" t="n"/>
      <c r="BN308" s="81" t="n"/>
      <c r="BO308" s="81" t="n"/>
      <c r="BQ308" s="81" t="n"/>
      <c r="BR308" s="81" t="n"/>
      <c r="BS308" s="81" t="n"/>
      <c r="BT308" s="81" t="n"/>
      <c r="BV308" s="81" t="n"/>
      <c r="BW308" s="81" t="n"/>
      <c r="BX308" s="81" t="n"/>
      <c r="BY308" s="81" t="n"/>
      <c r="CA308" s="81" t="n"/>
      <c r="CB308" s="81" t="n"/>
      <c r="CC308" s="81" t="n"/>
      <c r="CD308" s="81" t="n"/>
      <c r="CF308" s="81" t="n"/>
      <c r="CG308" s="81" t="n"/>
      <c r="CH308" s="81" t="n"/>
      <c r="CI308" s="81" t="n"/>
      <c r="CK308" s="81" t="n"/>
      <c r="CL308" s="81" t="n"/>
      <c r="CM308" s="81" t="n"/>
      <c r="CN308" s="81" t="n"/>
      <c r="CP308" s="81" t="n"/>
      <c r="CQ308" s="81" t="n"/>
      <c r="CR308" s="81" t="n"/>
      <c r="CS308" s="81" t="n"/>
      <c r="CU308" s="81" t="n"/>
      <c r="CV308" s="81" t="n"/>
      <c r="CW308" s="81" t="n"/>
      <c r="CX308" s="81" t="n"/>
    </row>
    <row r="309" customFormat="1" s="77">
      <c r="A309" s="76" t="n"/>
      <c r="B309" s="76" t="n"/>
      <c r="C309" s="77" t="inlineStr">
        <is>
          <t>EBITDA MARGIN</t>
        </is>
      </c>
      <c r="D309" s="78" t="str">
        <f>IFERROR(D54/D15,"")</f>
        <v/>
      </c>
      <c r="E309" s="78" t="str">
        <f>IFERROR(E54/E15,"")</f>
        <v/>
      </c>
      <c r="F309" s="78" t="str">
        <f>IFERROR(F54/F15,"")</f>
        <v/>
      </c>
      <c r="G309" s="78" t="str">
        <f>IFERROR(G54/G15,"")</f>
        <v/>
      </c>
      <c r="H309" s="258" t="str">
        <f>IFERROR(IF(N(H15)&lt;&gt;0,H54/H15,""),"")</f>
        <v/>
      </c>
      <c r="I309" s="257">
        <f>IFERROR(IF(N(I15)&lt;&gt;0,I54/I15,""),"")</f>
        <v>0.0302852791283463</v>
      </c>
      <c r="J309" s="257">
        <f>IFERROR(IF(N(J15)&lt;&gt;0,J54/J15,""),"")</f>
        <v>-0.0437736262532187</v>
      </c>
      <c r="K309" s="257">
        <f>IFERROR(IF(N(K15)&lt;&gt;0,K54/K15,""),"")</f>
        <v>0.0618773224190856</v>
      </c>
      <c r="L309" s="257">
        <f>IFERROR(IF(N(L15)&lt;&gt;0,L54/L15,""),"")</f>
        <v>-0.178594296409398</v>
      </c>
      <c r="M309" s="258">
        <f>IFERROR(IF(N(M15)&lt;&gt;0,M54/M15,""),"")</f>
        <v>-0.0371852930077093</v>
      </c>
      <c r="N309" s="257">
        <f>IFERROR(IF(N(N15)&lt;&gt;0,N54/N15,""),"")</f>
        <v>-0.030138067061144</v>
      </c>
      <c r="O309" s="257">
        <f>IFERROR(IF(N(O15)&lt;&gt;0,O54/O15,""),"")</f>
        <v>0.0758830608055497</v>
      </c>
      <c r="P309" s="257">
        <f>IFERROR(IF(N(P15)&lt;&gt;0,P54/P15,""),"")</f>
        <v>0.0256392536281963</v>
      </c>
      <c r="Q309" s="257">
        <f>IFERROR(IF(N(Q15)&lt;&gt;0,Q54/Q15,""),"")</f>
        <v>-0.236867126218208</v>
      </c>
      <c r="R309" s="258">
        <f>IFERROR(IF(N(R15)&lt;&gt;0,R54/R15,""),"")</f>
        <v>-0.0503442340791738</v>
      </c>
      <c r="S309" s="257">
        <f>IFERROR(IF(N(S15)&lt;&gt;0,S54/S15,""),"")</f>
        <v>-0.715033180193977</v>
      </c>
      <c r="T309" s="257">
        <f>IFERROR(IF(N(T15)&lt;&gt;0,T54/T15,""),"")</f>
        <v>0.184351798972016</v>
      </c>
      <c r="U309" s="257">
        <f>IFERROR(IF(N(U15)&lt;&gt;0,U54/U15,""),"")</f>
        <v>0.19630187056547</v>
      </c>
      <c r="V309" s="257">
        <f>IFERROR(IF(N(V15)&lt;&gt;0,V54/V15,""),"")</f>
        <v>-0.879230118443316</v>
      </c>
      <c r="W309" s="258">
        <f>IFERROR(IF(N(W15)&lt;&gt;0,W54/W15,""),"")</f>
        <v>-0.296387450847266</v>
      </c>
      <c r="X309" s="257">
        <f>IFERROR(IF(N(X15)&lt;&gt;0,X54/X15,""),"")</f>
        <v>0.181127861529872</v>
      </c>
      <c r="Y309" s="257">
        <f>IFERROR(IF(N(Y15)&lt;&gt;0,Y54/Y15,""),"")</f>
        <v>0.215196833076754</v>
      </c>
      <c r="Z309" s="257">
        <f>IFERROR(IF(N(Z15)&lt;&gt;0,Z54/Z15,""),"")</f>
        <v>0.136862426336111</v>
      </c>
      <c r="AA309" s="257">
        <f>IFERROR(IF(N(AA15)&lt;&gt;0,AA54/AA15,""),"")</f>
        <v>0.22456529781724</v>
      </c>
      <c r="AB309" s="258">
        <f>IFERROR(IF(N(AB15)&lt;&gt;0,AB54/AB15,""),"")</f>
        <v>0.190011110249851</v>
      </c>
      <c r="AC309" s="257">
        <f>IFERROR(IF(N(AC15)&lt;&gt;0,AC54/AC15,""),"")</f>
        <v>0.237845998993457</v>
      </c>
      <c r="AD309" s="257">
        <f>IFERROR(IF(N(AD15)&lt;&gt;0,AD54/AD15,""),"")</f>
        <v>0.223895491245577</v>
      </c>
      <c r="AE309" s="257">
        <f>IFERROR(IF(N(AE15)&lt;&gt;0,AE54/AE15,""),"")</f>
        <v>0.219111731384944</v>
      </c>
      <c r="AF309" s="257">
        <f>IFERROR(IF(N(AF15)&lt;&gt;0,AF54/AF15,""),"")</f>
        <v>0.213808288118267</v>
      </c>
      <c r="AG309" s="258">
        <f>IFERROR(IF(N(AG15)&lt;&gt;0,AG54/AG15,""),"")</f>
        <v>0.222849790648988</v>
      </c>
      <c r="AH309" s="257">
        <f>IFERROR(IF(N(AH15)&lt;&gt;0,AH54/AH15,""),"")</f>
        <v>0.215542285345384</v>
      </c>
      <c r="AI309" s="257">
        <f>IFERROR(IF(N(AI15)&lt;&gt;0,AI54/AI15,""),"")</f>
        <v>0.219342272829425</v>
      </c>
      <c r="AJ309" s="257">
        <f>IFERROR(IF(N(AJ15)&lt;&gt;0,AJ54/AJ15,""),"")</f>
        <v>0.221591011319509</v>
      </c>
      <c r="AK309" s="257">
        <f>IFERROR(IF(N(AK15)&lt;&gt;0,AK54/AK15,""),"")</f>
        <v>0.221591011319509</v>
      </c>
      <c r="AL309" s="258">
        <f>IFERROR(IF(N(AL15)&lt;&gt;0,AL54/AL15,""),"")</f>
        <v>0.219702732786763</v>
      </c>
      <c r="AM309" s="257">
        <f>IFERROR(IF(N(AM15)&lt;&gt;0,AM54/AM15,""),"")</f>
        <v>0.221591011319509</v>
      </c>
      <c r="AN309" s="257">
        <f>IFERROR(IF(N(AN15)&lt;&gt;0,AN54/AN15,""),"")</f>
        <v>0.221591011319509</v>
      </c>
      <c r="AO309" s="257">
        <f>IFERROR(IF(N(AO15)&lt;&gt;0,AO54/AO15,""),"")</f>
        <v>0.221591011319509</v>
      </c>
      <c r="AP309" s="257">
        <f>IFERROR(IF(N(AP15)&lt;&gt;0,AP54/AP15,""),"")</f>
        <v>0.221591011319509</v>
      </c>
      <c r="AQ309" s="258">
        <f>IFERROR(IF(N(AQ15)&lt;&gt;0,AQ54/AQ15,""),"")</f>
        <v>0.221591011319509</v>
      </c>
      <c r="AR309" s="257">
        <f>IFERROR(IF(N(AR15)&lt;&gt;0,AR54/AR15,""),"")</f>
        <v>0.221591011319509</v>
      </c>
      <c r="AS309" s="257">
        <f>IFERROR(IF(N(AS15)&lt;&gt;0,AS54/AS15,""),"")</f>
        <v>0.221591011319509</v>
      </c>
      <c r="AT309" s="257">
        <f>IFERROR(IF(N(AT15)&lt;&gt;0,AT54/AT15,""),"")</f>
        <v>0.221591011319509</v>
      </c>
      <c r="AU309" s="257">
        <f>IFERROR(IF(N(AU15)&lt;&gt;0,AU54/AU15,""),"")</f>
        <v>0.221591011319509</v>
      </c>
      <c r="AV309" s="258">
        <f>IFERROR(IF(N(AV15)&lt;&gt;0,AV54/AV15,""),"")</f>
        <v>0.221591011319509</v>
      </c>
      <c r="AW309" s="257">
        <f>IFERROR(IF(N(AW15)&lt;&gt;0,AW54/AW15,""),"")</f>
        <v>0.221591011319509</v>
      </c>
      <c r="AX309" s="257">
        <f>IFERROR(IF(N(AX15)&lt;&gt;0,AX54/AX15,""),"")</f>
        <v>0.221591011319509</v>
      </c>
      <c r="AY309" s="257">
        <f>IFERROR(IF(N(AY15)&lt;&gt;0,AY54/AY15,""),"")</f>
        <v>0.221591011319509</v>
      </c>
      <c r="AZ309" s="257">
        <f>IFERROR(IF(N(AZ15)&lt;&gt;0,AZ54/AZ15,""),"")</f>
        <v>0.221591011319509</v>
      </c>
      <c r="BA309" s="258">
        <f>IFERROR(IF(N(BA15)&lt;&gt;0,BA54/BA15,""),"")</f>
        <v>0.221591011319509</v>
      </c>
      <c r="BB309" s="257">
        <f>IFERROR(IF(N(BB15)&lt;&gt;0,BB54/BB15,""),"")</f>
        <v>0.221591011319509</v>
      </c>
      <c r="BC309" s="257">
        <f>IFERROR(IF(N(BC15)&lt;&gt;0,BC54/BC15,""),"")</f>
        <v>0.221591011319509</v>
      </c>
      <c r="BD309" s="257">
        <f>IFERROR(IF(N(BD15)&lt;&gt;0,BD54/BD15,""),"")</f>
        <v>0.221591011319509</v>
      </c>
      <c r="BE309" s="257">
        <f>IFERROR(IF(N(BE15)&lt;&gt;0,BE54/BE15,""),"")</f>
        <v>0.221591011319509</v>
      </c>
      <c r="BF309" s="258">
        <f>IFERROR(IF(N(BF15)&lt;&gt;0,BF54/BF15,""),"")</f>
        <v>0.221591011319509</v>
      </c>
      <c r="BG309" s="81" t="n"/>
      <c r="BH309" s="81" t="n"/>
      <c r="BI309" s="81" t="n"/>
      <c r="BJ309" s="81" t="n"/>
      <c r="BL309" s="81" t="n"/>
      <c r="BM309" s="81" t="n"/>
      <c r="BN309" s="81" t="n"/>
      <c r="BO309" s="81" t="n"/>
      <c r="BQ309" s="81" t="n"/>
      <c r="BR309" s="81" t="n"/>
      <c r="BS309" s="81" t="n"/>
      <c r="BT309" s="81" t="n"/>
      <c r="BV309" s="81" t="n"/>
      <c r="BW309" s="81" t="n"/>
      <c r="BX309" s="81" t="n"/>
      <c r="BY309" s="81" t="n"/>
      <c r="CA309" s="81" t="n"/>
      <c r="CB309" s="81" t="n"/>
      <c r="CC309" s="81" t="n"/>
      <c r="CD309" s="81" t="n"/>
      <c r="CF309" s="81" t="n"/>
      <c r="CG309" s="81" t="n"/>
      <c r="CH309" s="81" t="n"/>
      <c r="CI309" s="81" t="n"/>
      <c r="CK309" s="81" t="n"/>
      <c r="CL309" s="81" t="n"/>
      <c r="CM309" s="81" t="n"/>
      <c r="CN309" s="81" t="n"/>
      <c r="CP309" s="81" t="n"/>
      <c r="CQ309" s="81" t="n"/>
      <c r="CR309" s="81" t="n"/>
      <c r="CS309" s="81" t="n"/>
      <c r="CU309" s="81" t="n"/>
      <c r="CV309" s="81" t="n"/>
      <c r="CW309" s="81" t="n"/>
      <c r="CX309" s="81" t="n"/>
    </row>
    <row r="310" customFormat="1" s="77">
      <c r="A310" s="76" t="n"/>
      <c r="B310" s="76" t="n"/>
      <c r="C310" s="77" t="inlineStr">
        <is>
          <t>ETR</t>
        </is>
      </c>
      <c r="D310" s="78" t="str">
        <f>IFERROR(-D116/D115,"")</f>
        <v/>
      </c>
      <c r="E310" s="78" t="str">
        <f>IFERROR(-E116/E115,"")</f>
        <v/>
      </c>
      <c r="F310" s="78" t="str">
        <f>IFERROR(-F116/F115,"")</f>
        <v/>
      </c>
      <c r="G310" s="78" t="str">
        <f>IFERROR(-G116/G115,"")</f>
        <v/>
      </c>
      <c r="H310" s="258" t="str">
        <f>IFERROR(IF(N(H115)&lt;&gt;0,-H116/H115,""),"")</f>
        <v/>
      </c>
      <c r="I310" s="257">
        <f>IFERROR(IF(N(I115)&lt;&gt;0,-I116/I115,""),"")</f>
        <v>0.596638655462185</v>
      </c>
      <c r="J310" s="257">
        <f>IFERROR(IF(N(J115)&lt;&gt;0,-J116/J115,""),"")</f>
        <v>0.449373191899711</v>
      </c>
      <c r="K310" s="257">
        <f>IFERROR(IF(N(K115)&lt;&gt;0,-K116/K115,""),"")</f>
        <v>0.00342465753424658</v>
      </c>
      <c r="L310" s="257">
        <f>IFERROR(IF(N(L115)&lt;&gt;0,-L116/L115,""),"")</f>
        <v>-0.0106720507643496</v>
      </c>
      <c r="M310" s="258">
        <f>IFERROR(IF(N(M115)&lt;&gt;0,-M116/M115,""),"")</f>
        <v>0.0774035850081477</v>
      </c>
      <c r="N310" s="257">
        <f>IFERROR(IF(N(N115)&lt;&gt;0,-N116/N115,""),"")</f>
        <v>-0.0245762711864407</v>
      </c>
      <c r="O310" s="257">
        <f>IFERROR(IF(N(O115)&lt;&gt;0,-O116/O115,""),"")</f>
        <v>-0.166666666666667</v>
      </c>
      <c r="P310" s="257">
        <f>IFERROR(IF(N(P115)&lt;&gt;0,-P116/P115,""),"")</f>
        <v>-0.0560344827586207</v>
      </c>
      <c r="Q310" s="257">
        <f>IFERROR(IF(N(Q115)&lt;&gt;0,-Q116/Q115,""),"")</f>
        <v>-0.0290567724631203</v>
      </c>
      <c r="R310" s="258">
        <f>IFERROR(IF(N(R115)&lt;&gt;0,-R116/R115,""),"")</f>
        <v>-0.978723404255319</v>
      </c>
      <c r="S310" s="257">
        <f>IFERROR(IF(N(S115)&lt;&gt;0,-S116/S115,""),"")</f>
        <v>0.0417436845348121</v>
      </c>
      <c r="T310" s="257">
        <f>IFERROR(IF(N(T115)&lt;&gt;0,-T116/T115,""),"")</f>
        <v>0.167660702451955</v>
      </c>
      <c r="U310" s="257">
        <f>IFERROR(IF(N(U115)&lt;&gt;0,-U116/U115,""),"")</f>
        <v>0.0780780780780781</v>
      </c>
      <c r="V310" s="257">
        <f>IFERROR(IF(N(V115)&lt;&gt;0,-V116/V115,""),"")</f>
        <v>0.209556993529119</v>
      </c>
      <c r="W310" s="258">
        <f>IFERROR(IF(N(W115)&lt;&gt;0,-W116/W115,""),"")</f>
        <v>0.0938799187856521</v>
      </c>
      <c r="X310" s="257">
        <f>IFERROR(IF(N(X115)&lt;&gt;0,-X116/X115,""),"")</f>
        <v>0.122798188223452</v>
      </c>
      <c r="Y310" s="257">
        <f>IFERROR(IF(N(Y115)&lt;&gt;0,-Y116/Y115,""),"")</f>
        <v>0.0863856254319281</v>
      </c>
      <c r="Z310" s="257">
        <f>IFERROR(IF(N(Z115)&lt;&gt;0,-Z116/Z115,""),"")</f>
        <v>0.10459587955626</v>
      </c>
      <c r="AA310" s="257">
        <f>IFERROR(IF(N(AA115)&lt;&gt;0,-AA116/AA115,""),"")</f>
        <v>0.172263410379416</v>
      </c>
      <c r="AB310" s="258">
        <f>IFERROR(IF(N(AB115)&lt;&gt;0,-AB116/AB115,""),"")</f>
        <v>0.126246719160105</v>
      </c>
      <c r="AC310" s="257">
        <f>IFERROR(IF(N(AC115)&lt;&gt;0,-AC116/AC115,""),"")</f>
        <v>0.126057906458797</v>
      </c>
      <c r="AD310" s="257">
        <f>IFERROR(IF(N(AD115)&lt;&gt;0,-AD116/AD115,""),"")</f>
        <v>0.162411050648807</v>
      </c>
      <c r="AE310" s="257">
        <f>IFERROR(IF(N(AE115)&lt;&gt;0,-AE116/AE115,""),"")</f>
        <v>0.136779324055666</v>
      </c>
      <c r="AF310" s="257">
        <f>IFERROR(IF(N(AF115)&lt;&gt;0,-AF116/AF115,""),"")</f>
        <v>0.136794107330761</v>
      </c>
      <c r="AG310" s="258">
        <f>IFERROR(IF(N(AG115)&lt;&gt;0,-AG116/AG115,""),"")</f>
        <v>0.1405</v>
      </c>
      <c r="AH310" s="257">
        <f>IFERROR(IF(N(AH115)&lt;&gt;0,-AH116/AH115,""),"")</f>
        <v>0.114649681528662</v>
      </c>
      <c r="AI310" s="257">
        <f>IFERROR(IF(N(AI115)&lt;&gt;0,-AI116/AI115,""),"")</f>
        <v>0.145305248125669</v>
      </c>
      <c r="AJ310" s="257">
        <f>IFERROR(IF(N(AJ115)&lt;&gt;0,-AJ116/AJ115,""),"")</f>
        <v>0.136999553024727</v>
      </c>
      <c r="AK310" s="257">
        <f>IFERROR(IF(N(AK115)&lt;&gt;0,-AK116/AK115,""),"")</f>
        <v>0.136999553024727</v>
      </c>
      <c r="AL310" s="258">
        <f>IFERROR(IF(N(AL115)&lt;&gt;0,-AL116/AL115,""),"")</f>
        <v>0.134808914178889</v>
      </c>
      <c r="AM310" s="257">
        <f>IFERROR(IF(N(AM115)&lt;&gt;0,-AM116/AM115,""),"")</f>
        <v>0.136999553024727</v>
      </c>
      <c r="AN310" s="257">
        <f>IFERROR(IF(N(AN115)&lt;&gt;0,-AN116/AN115,""),"")</f>
        <v>0.136999553024727</v>
      </c>
      <c r="AO310" s="257">
        <f>IFERROR(IF(N(AO115)&lt;&gt;0,-AO116/AO115,""),"")</f>
        <v>0.136999553024727</v>
      </c>
      <c r="AP310" s="257">
        <f>IFERROR(IF(N(AP115)&lt;&gt;0,-AP116/AP115,""),"")</f>
        <v>0.136999553024727</v>
      </c>
      <c r="AQ310" s="258">
        <f>IFERROR(IF(N(AQ115)&lt;&gt;0,-AQ116/AQ115,""),"")</f>
        <v>0.136999553024727</v>
      </c>
      <c r="AR310" s="257">
        <f>IFERROR(IF(N(AR115)&lt;&gt;0,-AR116/AR115,""),"")</f>
        <v>0.136999553024727</v>
      </c>
      <c r="AS310" s="257">
        <f>IFERROR(IF(N(AS115)&lt;&gt;0,-AS116/AS115,""),"")</f>
        <v>0.136999553024727</v>
      </c>
      <c r="AT310" s="257">
        <f>IFERROR(IF(N(AT115)&lt;&gt;0,-AT116/AT115,""),"")</f>
        <v>0.136999553024727</v>
      </c>
      <c r="AU310" s="257">
        <f>IFERROR(IF(N(AU115)&lt;&gt;0,-AU116/AU115,""),"")</f>
        <v>0.136999553024727</v>
      </c>
      <c r="AV310" s="258">
        <f>IFERROR(IF(N(AV115)&lt;&gt;0,-AV116/AV115,""),"")</f>
        <v>0.136999553024727</v>
      </c>
      <c r="AW310" s="257">
        <f>IFERROR(IF(N(AW115)&lt;&gt;0,-AW116/AW115,""),"")</f>
        <v>0.136999553024727</v>
      </c>
      <c r="AX310" s="257">
        <f>IFERROR(IF(N(AX115)&lt;&gt;0,-AX116/AX115,""),"")</f>
        <v>0.136999553024727</v>
      </c>
      <c r="AY310" s="257">
        <f>IFERROR(IF(N(AY115)&lt;&gt;0,-AY116/AY115,""),"")</f>
        <v>0.136999553024727</v>
      </c>
      <c r="AZ310" s="257">
        <f>IFERROR(IF(N(AZ115)&lt;&gt;0,-AZ116/AZ115,""),"")</f>
        <v>0.136999553024727</v>
      </c>
      <c r="BA310" s="258">
        <f>IFERROR(IF(N(BA115)&lt;&gt;0,-BA116/BA115,""),"")</f>
        <v>0.136999553024727</v>
      </c>
      <c r="BB310" s="257">
        <f>IFERROR(IF(N(BB115)&lt;&gt;0,-BB116/BB115,""),"")</f>
        <v>0.136999553024727</v>
      </c>
      <c r="BC310" s="257">
        <f>IFERROR(IF(N(BC115)&lt;&gt;0,-BC116/BC115,""),"")</f>
        <v>0.136999553024727</v>
      </c>
      <c r="BD310" s="257">
        <f>IFERROR(IF(N(BD115)&lt;&gt;0,-BD116/BD115,""),"")</f>
        <v>0.136999553024727</v>
      </c>
      <c r="BE310" s="257">
        <f>IFERROR(IF(N(BE115)&lt;&gt;0,-BE116/BE115,""),"")</f>
        <v>0.136999553024727</v>
      </c>
      <c r="BF310" s="258">
        <f>IFERROR(IF(N(BF115)&lt;&gt;0,-BF116/BF115,""),"")</f>
        <v>0.136999553024727</v>
      </c>
      <c r="BG310" s="81" t="n"/>
      <c r="BH310" s="81" t="n"/>
      <c r="BI310" s="81" t="n"/>
      <c r="BJ310" s="81" t="n"/>
      <c r="BL310" s="81" t="n"/>
      <c r="BM310" s="81" t="n"/>
      <c r="BN310" s="81" t="n"/>
      <c r="BO310" s="81" t="n"/>
      <c r="BQ310" s="81" t="n"/>
      <c r="BR310" s="81" t="n"/>
      <c r="BS310" s="81" t="n"/>
      <c r="BT310" s="81" t="n"/>
      <c r="BV310" s="81" t="n"/>
      <c r="BW310" s="81" t="n"/>
      <c r="BX310" s="81" t="n"/>
      <c r="BY310" s="81" t="n"/>
      <c r="CA310" s="81" t="n"/>
      <c r="CB310" s="81" t="n"/>
      <c r="CC310" s="81" t="n"/>
      <c r="CD310" s="81" t="n"/>
      <c r="CF310" s="81" t="n"/>
      <c r="CG310" s="81" t="n"/>
      <c r="CH310" s="81" t="n"/>
      <c r="CI310" s="81" t="n"/>
      <c r="CK310" s="81" t="n"/>
      <c r="CL310" s="81" t="n"/>
      <c r="CM310" s="81" t="n"/>
      <c r="CN310" s="81" t="n"/>
      <c r="CP310" s="81" t="n"/>
      <c r="CQ310" s="81" t="n"/>
      <c r="CR310" s="81" t="n"/>
      <c r="CS310" s="81" t="n"/>
      <c r="CU310" s="81" t="n"/>
      <c r="CV310" s="81" t="n"/>
      <c r="CW310" s="81" t="n"/>
      <c r="CX310" s="81" t="n"/>
    </row>
    <row r="311" customFormat="1" s="77">
      <c r="A311" s="76" t="n"/>
      <c r="B311" s="76" t="n"/>
    </row>
    <row r="312" customFormat="1" s="77">
      <c r="A312" s="76" t="n"/>
      <c r="B312" s="76" t="n"/>
      <c r="C312" s="74" t="inlineStr">
        <is>
          <t>CAPITAL STRUCTURE</t>
        </is>
      </c>
    </row>
    <row r="313" customFormat="1" s="77">
      <c r="A313" s="76" t="n"/>
      <c r="B313" s="76" t="n"/>
      <c r="C313" s="77" t="inlineStr">
        <is>
          <t>TOTAL DEBT / EQUITY (BOOK VALUE)</t>
        </is>
      </c>
      <c r="H313" s="262" t="str">
        <f>IFERROR(IF(N(H256)&lt;&gt;0,(N(H197)+N(H198)+N(H199)+N(H202)+N(H220)+N(H223))/H256,""),"")</f>
        <v/>
      </c>
      <c r="I313" s="262">
        <f>IFERROR(IF(N(I256)&lt;&gt;0,(N(I197)+N(I198)+N(I199)+N(I202)+N(I220)+N(I223))/I256,""),"")</f>
        <v>2.03027285401314</v>
      </c>
      <c r="J313" s="262">
        <f>IFERROR(IF(N(J256)&lt;&gt;0,(N(J197)+N(J198)+N(J199)+N(J202)+N(J220)+N(J223))/J256,""),"")</f>
        <v>1.81279607328349</v>
      </c>
      <c r="K313" s="262">
        <f>IFERROR(IF(N(K256)&lt;&gt;0,(N(K197)+N(K198)+N(K199)+N(K202)+N(K220)+N(K223))/K256,""),"")</f>
        <v>1.61433412054626</v>
      </c>
      <c r="L313" s="262">
        <f>IFERROR(IF(N(L256)&lt;&gt;0,(N(L197)+N(L198)+N(L199)+N(L202)+N(L220)+N(L223))/L256,""),"")</f>
        <v>0.845650972192179</v>
      </c>
      <c r="M313" s="262">
        <f>IFERROR(IF(N(M256)&lt;&gt;0,(N(M197)+N(M198)+N(M199)+N(M202)+N(M220)+N(M223))/M256,""),"")</f>
        <v>0.845650972192179</v>
      </c>
      <c r="N313" s="262">
        <f>IFERROR(IF(N(N256)&lt;&gt;0,(N(N197)+N(N198)+N(N199)+N(N202)+N(N220)+N(N223))/N256,""),"")</f>
        <v>0.83502569577199</v>
      </c>
      <c r="O313" s="262">
        <f>IFERROR(IF(N(O256)&lt;&gt;0,(N(O197)+N(O198)+N(O199)+N(O202)+N(O220)+N(O223))/O256,""),"")</f>
        <v>0.904886464826358</v>
      </c>
      <c r="P313" s="262">
        <f>IFERROR(IF(N(P256)&lt;&gt;0,(N(P197)+N(P198)+N(P199)+N(P202)+N(P220)+N(P223))/P256,""),"")</f>
        <v>0.928484182240137</v>
      </c>
      <c r="Q313" s="262">
        <f>IFERROR(IF(N(Q256)&lt;&gt;0,(N(Q197)+N(Q198)+N(Q199)+N(Q202)+N(Q220)+N(Q223))/Q256,""),"")</f>
        <v>0.860898954147484</v>
      </c>
      <c r="R313" s="262">
        <f>IFERROR(IF(N(R256)&lt;&gt;0,(N(R197)+N(R198)+N(R199)+N(R202)+N(R220)+N(R223))/R256,""),"")</f>
        <v>0.860898954147484</v>
      </c>
      <c r="S313" s="262">
        <f>IFERROR(IF(N(S256)&lt;&gt;0,(N(S197)+N(S198)+N(S199)+N(S202)+N(S220)+N(S223))/S256,""),"")</f>
        <v>0.683171333678662</v>
      </c>
      <c r="T313" s="262">
        <f>IFERROR(IF(N(T256)&lt;&gt;0,(N(T197)+N(T198)+N(T199)+N(T202)+N(T220)+N(T223))/T256,""),"")</f>
        <v>0.672990174874869</v>
      </c>
      <c r="U313" s="262">
        <f>IFERROR(IF(N(U256)&lt;&gt;0,(N(U197)+N(U198)+N(U199)+N(U202)+N(U220)+N(U223))/U256,""),"")</f>
        <v>0.697951932423826</v>
      </c>
      <c r="V313" s="262">
        <f>IFERROR(IF(N(V256)&lt;&gt;0,(N(V197)+N(V198)+N(V199)+N(V202)+N(V220)+N(V223))/V256,""),"")</f>
        <v>0.733519944016795</v>
      </c>
      <c r="W313" s="262">
        <f>IFERROR(IF(N(W256)&lt;&gt;0,(N(W197)+N(W198)+N(W199)+N(W202)+N(W220)+N(W223))/W256,""),"")</f>
        <v>0.733519944016795</v>
      </c>
      <c r="X313" s="262">
        <f>IFERROR(IF(N(X256)&lt;&gt;0,(N(X197)+N(X198)+N(X199)+N(X202)+N(X220)+N(X223))/X256,""),"")</f>
        <v>0.659882973251029</v>
      </c>
      <c r="Y313" s="262">
        <f>IFERROR(IF(N(Y256)&lt;&gt;0,(N(Y197)+N(Y198)+N(Y199)+N(Y202)+N(Y220)+N(Y223))/Y256,""),"")</f>
        <v>1.04404818765589</v>
      </c>
      <c r="Z313" s="262">
        <f>IFERROR(IF(N(Z256)&lt;&gt;0,(N(Z197)+N(Z198)+N(Z199)+N(Z202)+N(Z220)+N(Z223))/Z256,""),"")</f>
        <v>1.042820499398</v>
      </c>
      <c r="AA313" s="262">
        <f>IFERROR(IF(N(AA256)&lt;&gt;0,(N(AA197)+N(AA198)+N(AA199)+N(AA202)+N(AA220)+N(AA223))/AA256,""),"")</f>
        <v>0.985075389726553</v>
      </c>
      <c r="AB313" s="262">
        <f>IFERROR(IF(N(AB256)&lt;&gt;0,(N(AB197)+N(AB198)+N(AB199)+N(AB202)+N(AB220)+N(AB223))/AB256,""),"")</f>
        <v>0.985075389726553</v>
      </c>
      <c r="AC313" s="262">
        <f>IFERROR(IF(N(AC256)&lt;&gt;0,(N(AC197)+N(AC198)+N(AC199)+N(AC202)+N(AC220)+N(AC223))/AC256,""),"")</f>
        <v>1.0052907335114</v>
      </c>
      <c r="AD313" s="262">
        <f>IFERROR(IF(N(AD256)&lt;&gt;0,(N(AD197)+N(AD198)+N(AD199)+N(AD202)+N(AD220)+N(AD223))/AD256,""),"")</f>
        <v>0.976324631687775</v>
      </c>
      <c r="AE313" s="262">
        <f>IFERROR(IF(N(AE256)&lt;&gt;0,(N(AE197)+N(AE198)+N(AE199)+N(AE202)+N(AE220)+N(AE223))/AE256,""),"")</f>
        <v>1.09546840500473</v>
      </c>
      <c r="AF313" s="262">
        <f>IFERROR(IF(N(AF256)&lt;&gt;0,(N(AF197)+N(AF198)+N(AF199)+N(AF202)+N(AF220)+N(AF223))/AF256,""),"")</f>
        <v>1.08439599978835</v>
      </c>
      <c r="AG313" s="262">
        <f>IFERROR(IF(N(AG256)&lt;&gt;0,(N(AG197)+N(AG198)+N(AG199)+N(AG202)+N(AG220)+N(AG223))/AG256,""),"")</f>
        <v>1.08439599978835</v>
      </c>
      <c r="AH313" s="262">
        <f>IFERROR(IF(N(AH256)&lt;&gt;0,(N(AH197)+N(AH198)+N(AH199)+N(AH202)+N(AH220)+N(AH223))/AH256,""),"")</f>
        <v>1.10815389660072</v>
      </c>
      <c r="AI313" s="262">
        <f>IFERROR(IF(N(AI256)&lt;&gt;0,(N(AI197)+N(AI198)+N(AI199)+N(AI202)+N(AI220)+N(AI223))/AI256,""),"")</f>
        <v>1.07220014551967</v>
      </c>
      <c r="AJ313" s="262">
        <f>IFERROR(IF(N(AJ256)&lt;&gt;0,(N(AJ197)+N(AJ198)+N(AJ199)+N(AJ202)+N(AJ220)+N(AJ223))/AJ256,""),"")</f>
        <v>0.923646422015257</v>
      </c>
      <c r="AK313" s="262">
        <f>IFERROR(IF(N(AK256)&lt;&gt;0,(N(AK197)+N(AK198)+N(AK199)+N(AK202)+N(AK220)+N(AK223))/AK256,""),"")</f>
        <v>0.806926876224452</v>
      </c>
      <c r="AL313" s="262">
        <f>IFERROR(IF(N(AL256)&lt;&gt;0,(N(AL197)+N(AL198)+N(AL199)+N(AL202)+N(AL220)+N(AL223))/AL256,""),"")</f>
        <v>0.806926876224452</v>
      </c>
      <c r="AM313" s="262">
        <f>IFERROR(IF(N(AM256)&lt;&gt;0,(N(AM197)+N(AM198)+N(AM199)+N(AM202)+N(AM220)+N(AM223))/AM256,""),"")</f>
        <v>0.718457012525499</v>
      </c>
      <c r="AN313" s="262">
        <f>IFERROR(IF(N(AN256)&lt;&gt;0,(N(AN197)+N(AN198)+N(AN199)+N(AN202)+N(AN220)+N(AN223))/AN256,""),"")</f>
        <v>0.642566640666349</v>
      </c>
      <c r="AO313" s="262">
        <f>IFERROR(IF(N(AO256)&lt;&gt;0,(N(AO197)+N(AO198)+N(AO199)+N(AO202)+N(AO220)+N(AO223))/AO256,""),"")</f>
        <v>0.576001594149457</v>
      </c>
      <c r="AP313" s="262">
        <f>IFERROR(IF(N(AP256)&lt;&gt;0,(N(AP197)+N(AP198)+N(AP199)+N(AP202)+N(AP220)+N(AP223))/AP256,""),"")</f>
        <v>0.519786284347441</v>
      </c>
      <c r="AQ313" s="262">
        <f>IFERROR(IF(N(AQ256)&lt;&gt;0,(N(AQ197)+N(AQ198)+N(AQ199)+N(AQ202)+N(AQ220)+N(AQ223))/AQ256,""),"")</f>
        <v>0.519786284347441</v>
      </c>
      <c r="AR313" s="262">
        <f>IFERROR(IF(N(AR256)&lt;&gt;0,(N(AR197)+N(AR198)+N(AR199)+N(AR202)+N(AR220)+N(AR223))/AR256,""),"")</f>
        <v>0.474818606665366</v>
      </c>
      <c r="AS313" s="262">
        <f>IFERROR(IF(N(AS256)&lt;&gt;0,(N(AS197)+N(AS198)+N(AS199)+N(AS202)+N(AS220)+N(AS223))/AS256,""),"")</f>
        <v>0.434341087547098</v>
      </c>
      <c r="AT313" s="262">
        <f>IFERROR(IF(N(AT256)&lt;&gt;0,(N(AT197)+N(AT198)+N(AT199)+N(AT202)+N(AT220)+N(AT223))/AT256,""),"")</f>
        <v>0.397287698461062</v>
      </c>
      <c r="AU313" s="262">
        <f>IFERROR(IF(N(AU256)&lt;&gt;0,(N(AU197)+N(AU198)+N(AU199)+N(AU202)+N(AU220)+N(AU223))/AU256,""),"")</f>
        <v>0.36479762091892</v>
      </c>
      <c r="AV313" s="262">
        <f>IFERROR(IF(N(AV256)&lt;&gt;0,(N(AV197)+N(AV198)+N(AV199)+N(AV202)+N(AV220)+N(AV223))/AV256,""),"")</f>
        <v>0.36479762091892</v>
      </c>
      <c r="AW313" s="262">
        <f>IFERROR(IF(N(AW256)&lt;&gt;0,(N(AW197)+N(AW198)+N(AW199)+N(AW202)+N(AW220)+N(AW223))/AW256,""),"")</f>
        <v>0.338080764525906</v>
      </c>
      <c r="AX313" s="262">
        <f>IFERROR(IF(N(AX256)&lt;&gt;0,(N(AX197)+N(AX198)+N(AX199)+N(AX202)+N(AX220)+N(AX223))/AX256,""),"")</f>
        <v>0.313358820918043</v>
      </c>
      <c r="AY313" s="262">
        <f>IFERROR(IF(N(AY256)&lt;&gt;0,(N(AY197)+N(AY198)+N(AY199)+N(AY202)+N(AY220)+N(AY223))/AY256,""),"")</f>
        <v>0.290146619703651</v>
      </c>
      <c r="AZ313" s="262">
        <f>IFERROR(IF(N(AZ256)&lt;&gt;0,(N(AZ197)+N(AZ198)+N(AZ199)+N(AZ202)+N(AZ220)+N(AZ223))/AZ256,""),"")</f>
        <v>0.269318844896382</v>
      </c>
      <c r="BA313" s="262">
        <f>IFERROR(IF(N(BA256)&lt;&gt;0,(N(BA197)+N(BA198)+N(BA199)+N(BA202)+N(BA220)+N(BA223))/BA256,""),"")</f>
        <v>0.269318844896382</v>
      </c>
      <c r="BB313" s="262">
        <f>IFERROR(IF(N(BB256)&lt;&gt;0,(N(BB197)+N(BB198)+N(BB199)+N(BB202)+N(BB220)+N(BB223))/BB256,""),"")</f>
        <v>0.2519178777194</v>
      </c>
      <c r="BC313" s="262">
        <f>IFERROR(IF(N(BC256)&lt;&gt;0,(N(BC197)+N(BC198)+N(BC199)+N(BC202)+N(BC220)+N(BC223))/BC256,""),"")</f>
        <v>0.235525148705219</v>
      </c>
      <c r="BD313" s="262">
        <f>IFERROR(IF(N(BD256)&lt;&gt;0,(N(BD197)+N(BD198)+N(BD199)+N(BD202)+N(BD220)+N(BD223))/BD256,""),"")</f>
        <v>0.219872095954306</v>
      </c>
      <c r="BE313" s="262">
        <f>IFERROR(IF(N(BE256)&lt;&gt;0,(N(BE197)+N(BE198)+N(BE199)+N(BE202)+N(BE220)+N(BE223))/BE256,""),"")</f>
        <v>0.205606180201257</v>
      </c>
      <c r="BF313" s="262">
        <f>IFERROR(IF(N(BF256)&lt;&gt;0,(N(BF197)+N(BF198)+N(BF199)+N(BF202)+N(BF220)+N(BF223))/BF256,""),"")</f>
        <v>0.205606180201257</v>
      </c>
    </row>
    <row r="314" customFormat="1" s="77">
      <c r="A314" s="76" t="n"/>
      <c r="B314" s="76" t="n"/>
      <c r="C314" s="77" t="inlineStr">
        <is>
          <t>NET DEBT / (NET DEBT + EQUITY) (BOOK VALUE)</t>
        </is>
      </c>
      <c r="H314" s="258" t="str">
        <f>IFERROR(IF(((N(H197)+N(H198)+N(H199)+N(H202)+N(H220)+N(H223))-N(H129)+N(H256))&lt;&gt;0,((N(H197)+N(H198)+N(H199)+N(H202)+N(H220)+N(H223))-N(H129))/((N(H197)+N(H198)+N(H199)+N(H202)+N(H220)+N(H223))-N(H129)+H256),""),"")</f>
        <v/>
      </c>
      <c r="I314" s="258">
        <f>IFERROR(IF(((N(I197)+N(I198)+N(I199)+N(I202)+N(I220)+N(I223))-N(I129)+N(I256))&lt;&gt;0,((N(I197)+N(I198)+N(I199)+N(I202)+N(I220)+N(I223))-N(I129))/((N(I197)+N(I198)+N(I199)+N(I202)+N(I220)+N(I223))-N(I129)+I256),""),"")</f>
        <v>0.529629827895399</v>
      </c>
      <c r="J314" s="258">
        <f>IFERROR(IF(((N(J197)+N(J198)+N(J199)+N(J202)+N(J220)+N(J223))-N(J129)+N(J256))&lt;&gt;0,((N(J197)+N(J198)+N(J199)+N(J202)+N(J220)+N(J223))-N(J129))/((N(J197)+N(J198)+N(J199)+N(J202)+N(J220)+N(J223))-N(J129)+J256),""),"")</f>
        <v>0.539563240743174</v>
      </c>
      <c r="K314" s="258">
        <f>IFERROR(IF(((N(K197)+N(K198)+N(K199)+N(K202)+N(K220)+N(K223))-N(K129)+N(K256))&lt;&gt;0,((N(K197)+N(K198)+N(K199)+N(K202)+N(K220)+N(K223))-N(K129))/((N(K197)+N(K198)+N(K199)+N(K202)+N(K220)+N(K223))-N(K129)+K256),""),"")</f>
        <v>0.493347552965964</v>
      </c>
      <c r="L314" s="258">
        <f>IFERROR(IF(((N(L197)+N(L198)+N(L199)+N(L202)+N(L220)+N(L223))-N(L129)+N(L256))&lt;&gt;0,((N(L197)+N(L198)+N(L199)+N(L202)+N(L220)+N(L223))-N(L129))/((N(L197)+N(L198)+N(L199)+N(L202)+N(L220)+N(L223))-N(L129)+L256),""),"")</f>
        <v>0.318163940873783</v>
      </c>
      <c r="M314" s="258">
        <f>IFERROR(IF(((N(M197)+N(M198)+N(M199)+N(M202)+N(M220)+N(M223))-N(M129)+N(M256))&lt;&gt;0,((N(M197)+N(M198)+N(M199)+N(M202)+N(M220)+N(M223))-N(M129))/((N(M197)+N(M198)+N(M199)+N(M202)+N(M220)+N(M223))-N(M129)+M256),""),"")</f>
        <v>0.318163940873783</v>
      </c>
      <c r="N314" s="258">
        <f>IFERROR(IF(((N(N197)+N(N198)+N(N199)+N(N202)+N(N220)+N(N223))-N(N129)+N(N256))&lt;&gt;0,((N(N197)+N(N198)+N(N199)+N(N202)+N(N220)+N(N223))-N(N129))/((N(N197)+N(N198)+N(N199)+N(N202)+N(N220)+N(N223))-N(N129)+N256),""),"")</f>
        <v>0.340456190335839</v>
      </c>
      <c r="O314" s="258">
        <f>IFERROR(IF(((N(O197)+N(O198)+N(O199)+N(O202)+N(O220)+N(O223))-N(O129)+N(O256))&lt;&gt;0,((N(O197)+N(O198)+N(O199)+N(O202)+N(O220)+N(O223))-N(O129))/((N(O197)+N(O198)+N(O199)+N(O202)+N(O220)+N(O223))-N(O129)+O256),""),"")</f>
        <v>0.34973943254198</v>
      </c>
      <c r="P314" s="258">
        <f>IFERROR(IF(((N(P197)+N(P198)+N(P199)+N(P202)+N(P220)+N(P223))-N(P129)+N(P256))&lt;&gt;0,((N(P197)+N(P198)+N(P199)+N(P202)+N(P220)+N(P223))-N(P129))/((N(P197)+N(P198)+N(P199)+N(P202)+N(P220)+N(P223))-N(P129)+P256),""),"")</f>
        <v>0.3522686815143</v>
      </c>
      <c r="Q314" s="258">
        <f>IFERROR(IF(((N(Q197)+N(Q198)+N(Q199)+N(Q202)+N(Q220)+N(Q223))-N(Q129)+N(Q256))&lt;&gt;0,((N(Q197)+N(Q198)+N(Q199)+N(Q202)+N(Q220)+N(Q223))-N(Q129))/((N(Q197)+N(Q198)+N(Q199)+N(Q202)+N(Q220)+N(Q223))-N(Q129)+Q256),""),"")</f>
        <v>0.286490078799962</v>
      </c>
      <c r="R314" s="258">
        <f>IFERROR(IF(((N(R197)+N(R198)+N(R199)+N(R202)+N(R220)+N(R223))-N(R129)+N(R256))&lt;&gt;0,((N(R197)+N(R198)+N(R199)+N(R202)+N(R220)+N(R223))-N(R129))/((N(R197)+N(R198)+N(R199)+N(R202)+N(R220)+N(R223))-N(R129)+R256),""),"")</f>
        <v>0.286490078799962</v>
      </c>
      <c r="S314" s="258">
        <f>IFERROR(IF(((N(S197)+N(S198)+N(S199)+N(S202)+N(S220)+N(S223))-N(S129)+N(S256))&lt;&gt;0,((N(S197)+N(S198)+N(S199)+N(S202)+N(S220)+N(S223))-N(S129))/((N(S197)+N(S198)+N(S199)+N(S202)+N(S220)+N(S223))-N(S129)+S256),""),"")</f>
        <v>0.240986146765651</v>
      </c>
      <c r="T314" s="258">
        <f>IFERROR(IF(((N(T197)+N(T198)+N(T199)+N(T202)+N(T220)+N(T223))-N(T129)+N(T256))&lt;&gt;0,((N(T197)+N(T198)+N(T199)+N(T202)+N(T220)+N(T223))-N(T129))/((N(T197)+N(T198)+N(T199)+N(T202)+N(T220)+N(T223))-N(T129)+T256),""),"")</f>
        <v>0.217872504953845</v>
      </c>
      <c r="U314" s="258">
        <f>IFERROR(IF(((N(U197)+N(U198)+N(U199)+N(U202)+N(U220)+N(U223))-N(U129)+N(U256))&lt;&gt;0,((N(U197)+N(U198)+N(U199)+N(U202)+N(U220)+N(U223))-N(U129))/((N(U197)+N(U198)+N(U199)+N(U202)+N(U220)+N(U223))-N(U129)+U256),""),"")</f>
        <v>0.205046898315924</v>
      </c>
      <c r="V314" s="258">
        <f>IFERROR(IF(((N(V197)+N(V198)+N(V199)+N(V202)+N(V220)+N(V223))-N(V129)+N(V256))&lt;&gt;0,((N(V197)+N(V198)+N(V199)+N(V202)+N(V220)+N(V223))-N(V129))/((N(V197)+N(V198)+N(V199)+N(V202)+N(V220)+N(V223))-N(V129)+V256),""),"")</f>
        <v>0.122693925161924</v>
      </c>
      <c r="W314" s="258">
        <f>IFERROR(IF(((N(W197)+N(W198)+N(W199)+N(W202)+N(W220)+N(W223))-N(W129)+N(W256))&lt;&gt;0,((N(W197)+N(W198)+N(W199)+N(W202)+N(W220)+N(W223))-N(W129))/((N(W197)+N(W198)+N(W199)+N(W202)+N(W220)+N(W223))-N(W129)+W256),""),"")</f>
        <v>0.122693925161924</v>
      </c>
      <c r="X314" s="258">
        <f>IFERROR(IF(((N(X197)+N(X198)+N(X199)+N(X202)+N(X220)+N(X223))-N(X129)+N(X256))&lt;&gt;0,((N(X197)+N(X198)+N(X199)+N(X202)+N(X220)+N(X223))-N(X129))/((N(X197)+N(X198)+N(X199)+N(X202)+N(X220)+N(X223))-N(X129)+X256),""),"")</f>
        <v>0.0626243143873184</v>
      </c>
      <c r="Y314" s="258">
        <f>IFERROR(IF(((N(Y197)+N(Y198)+N(Y199)+N(Y202)+N(Y220)+N(Y223))-N(Y129)+N(Y256))&lt;&gt;0,((N(Y197)+N(Y198)+N(Y199)+N(Y202)+N(Y220)+N(Y223))-N(Y129))/((N(Y197)+N(Y198)+N(Y199)+N(Y202)+N(Y220)+N(Y223))-N(Y129)+Y256),""),"")</f>
        <v>0.286493240940588</v>
      </c>
      <c r="Z314" s="258">
        <f>IFERROR(IF(((N(Z197)+N(Z198)+N(Z199)+N(Z202)+N(Z220)+N(Z223))-N(Z129)+N(Z256))&lt;&gt;0,((N(Z197)+N(Z198)+N(Z199)+N(Z202)+N(Z220)+N(Z223))-N(Z129))/((N(Z197)+N(Z198)+N(Z199)+N(Z202)+N(Z220)+N(Z223))-N(Z129)+Z256),""),"")</f>
        <v>0.244940711462451</v>
      </c>
      <c r="AA314" s="258">
        <f>IFERROR(IF(((N(AA197)+N(AA198)+N(AA199)+N(AA202)+N(AA220)+N(AA223))-N(AA129)+N(AA256))&lt;&gt;0,((N(AA197)+N(AA198)+N(AA199)+N(AA202)+N(AA220)+N(AA223))-N(AA129))/((N(AA197)+N(AA198)+N(AA199)+N(AA202)+N(AA220)+N(AA223))-N(AA129)+AA256),""),"")</f>
        <v>0.224196042666244</v>
      </c>
      <c r="AB314" s="258">
        <f>IFERROR(IF(((N(AB197)+N(AB198)+N(AB199)+N(AB202)+N(AB220)+N(AB223))-N(AB129)+N(AB256))&lt;&gt;0,((N(AB197)+N(AB198)+N(AB199)+N(AB202)+N(AB220)+N(AB223))-N(AB129))/((N(AB197)+N(AB198)+N(AB199)+N(AB202)+N(AB220)+N(AB223))-N(AB129)+AB256),""),"")</f>
        <v>0.224196042666244</v>
      </c>
      <c r="AC314" s="258">
        <f>IFERROR(IF(((N(AC197)+N(AC198)+N(AC199)+N(AC202)+N(AC220)+N(AC223))-N(AC129)+N(AC256))&lt;&gt;0,((N(AC197)+N(AC198)+N(AC199)+N(AC202)+N(AC220)+N(AC223))-N(AC129))/((N(AC197)+N(AC198)+N(AC199)+N(AC202)+N(AC220)+N(AC223))-N(AC129)+AC256),""),"")</f>
        <v>0.269054591875047</v>
      </c>
      <c r="AD314" s="258">
        <f>IFERROR(IF(((N(AD197)+N(AD198)+N(AD199)+N(AD202)+N(AD220)+N(AD223))-N(AD129)+N(AD256))&lt;&gt;0,((N(AD197)+N(AD198)+N(AD199)+N(AD202)+N(AD220)+N(AD223))-N(AD129))/((N(AD197)+N(AD198)+N(AD199)+N(AD202)+N(AD220)+N(AD223))-N(AD129)+AD256),""),"")</f>
        <v>0.293230061013481</v>
      </c>
      <c r="AE314" s="258">
        <f>IFERROR(IF(((N(AE197)+N(AE198)+N(AE199)+N(AE202)+N(AE220)+N(AE223))-N(AE129)+N(AE256))&lt;&gt;0,((N(AE197)+N(AE198)+N(AE199)+N(AE202)+N(AE220)+N(AE223))-N(AE129))/((N(AE197)+N(AE198)+N(AE199)+N(AE202)+N(AE220)+N(AE223))-N(AE129)+AE256),""),"")</f>
        <v>0.304726049928726</v>
      </c>
      <c r="AF314" s="258">
        <f>IFERROR(IF(((N(AF197)+N(AF198)+N(AF199)+N(AF202)+N(AF220)+N(AF223))-N(AF129)+N(AF256))&lt;&gt;0,((N(AF197)+N(AF198)+N(AF199)+N(AF202)+N(AF220)+N(AF223))-N(AF129))/((N(AF197)+N(AF198)+N(AF199)+N(AF202)+N(AF220)+N(AF223))-N(AF129)+AF256),""),"")</f>
        <v>0.300062960631088</v>
      </c>
      <c r="AG314" s="258">
        <f>IFERROR(IF(((N(AG197)+N(AG198)+N(AG199)+N(AG202)+N(AG220)+N(AG223))-N(AG129)+N(AG256))&lt;&gt;0,((N(AG197)+N(AG198)+N(AG199)+N(AG202)+N(AG220)+N(AG223))-N(AG129))/((N(AG197)+N(AG198)+N(AG199)+N(AG202)+N(AG220)+N(AG223))-N(AG129)+AG256),""),"")</f>
        <v>0.300062960631088</v>
      </c>
      <c r="AH314" s="258">
        <f>IFERROR(IF(((N(AH197)+N(AH198)+N(AH199)+N(AH202)+N(AH220)+N(AH223))-N(AH129)+N(AH256))&lt;&gt;0,((N(AH197)+N(AH198)+N(AH199)+N(AH202)+N(AH220)+N(AH223))-N(AH129))/((N(AH197)+N(AH198)+N(AH199)+N(AH202)+N(AH220)+N(AH223))-N(AH129)+AH256),""),"")</f>
        <v>0.336884830035515</v>
      </c>
      <c r="AI314" s="258">
        <f>IFERROR(IF(((N(AI197)+N(AI198)+N(AI199)+N(AI202)+N(AI220)+N(AI223))-N(AI129)+N(AI256))&lt;&gt;0,((N(AI197)+N(AI198)+N(AI199)+N(AI202)+N(AI220)+N(AI223))-N(AI129))/((N(AI197)+N(AI198)+N(AI199)+N(AI202)+N(AI220)+N(AI223))-N(AI129)+AI256),""),"")</f>
        <v>0.354492575598829</v>
      </c>
      <c r="AJ314" s="258">
        <f>IFERROR(IF(((N(AJ197)+N(AJ198)+N(AJ199)+N(AJ202)+N(AJ220)+N(AJ223))-N(AJ129)+N(AJ256))&lt;&gt;0,((N(AJ197)+N(AJ198)+N(AJ199)+N(AJ202)+N(AJ220)+N(AJ223))-N(AJ129))/((N(AJ197)+N(AJ198)+N(AJ199)+N(AJ202)+N(AJ220)+N(AJ223))-N(AJ129)+AJ256),""),"")</f>
        <v>0.298501311773609</v>
      </c>
      <c r="AK314" s="258">
        <f>IFERROR(IF(((N(AK197)+N(AK198)+N(AK199)+N(AK202)+N(AK220)+N(AK223))-N(AK129)+N(AK256))&lt;&gt;0,((N(AK197)+N(AK198)+N(AK199)+N(AK202)+N(AK220)+N(AK223))-N(AK129))/((N(AK197)+N(AK198)+N(AK199)+N(AK202)+N(AK220)+N(AK223))-N(AK129)+AK256),""),"")</f>
        <v>0.215499959004449</v>
      </c>
      <c r="AL314" s="258">
        <f>IFERROR(IF(((N(AL197)+N(AL198)+N(AL199)+N(AL202)+N(AL220)+N(AL223))-N(AL129)+N(AL256))&lt;&gt;0,((N(AL197)+N(AL198)+N(AL199)+N(AL202)+N(AL220)+N(AL223))-N(AL129))/((N(AL197)+N(AL198)+N(AL199)+N(AL202)+N(AL220)+N(AL223))-N(AL129)+AL256),""),"")</f>
        <v>0.215499959004449</v>
      </c>
      <c r="AM314" s="258">
        <f>IFERROR(IF(((N(AM197)+N(AM198)+N(AM199)+N(AM202)+N(AM220)+N(AM223))-N(AM129)+N(AM256))&lt;&gt;0,((N(AM197)+N(AM198)+N(AM199)+N(AM202)+N(AM220)+N(AM223))-N(AM129))/((N(AM197)+N(AM198)+N(AM199)+N(AM202)+N(AM220)+N(AM223))-N(AM129)+AM256),""),"")</f>
        <v>0.1169496854913</v>
      </c>
      <c r="AN314" s="258">
        <f>IFERROR(IF(((N(AN197)+N(AN198)+N(AN199)+N(AN202)+N(AN220)+N(AN223))-N(AN129)+N(AN256))&lt;&gt;0,((N(AN197)+N(AN198)+N(AN199)+N(AN202)+N(AN220)+N(AN223))-N(AN129))/((N(AN197)+N(AN198)+N(AN199)+N(AN202)+N(AN220)+N(AN223))-N(AN129)+AN256),""),"")</f>
        <v>0.0466511976595952</v>
      </c>
      <c r="AO314" s="258">
        <f>IFERROR(IF(((N(AO197)+N(AO198)+N(AO199)+N(AO202)+N(AO220)+N(AO223))-N(AO129)+N(AO256))&lt;&gt;0,((N(AO197)+N(AO198)+N(AO199)+N(AO202)+N(AO220)+N(AO223))-N(AO129))/((N(AO197)+N(AO198)+N(AO199)+N(AO202)+N(AO220)+N(AO223))-N(AO129)+AO256),""),"")</f>
        <v>-0.0166489023723038</v>
      </c>
      <c r="AP314" s="258">
        <f>IFERROR(IF(((N(AP197)+N(AP198)+N(AP199)+N(AP202)+N(AP220)+N(AP223))-N(AP129)+N(AP256))&lt;&gt;0,((N(AP197)+N(AP198)+N(AP199)+N(AP202)+N(AP220)+N(AP223))-N(AP129))/((N(AP197)+N(AP198)+N(AP199)+N(AP202)+N(AP220)+N(AP223))-N(AP129)+AP256),""),"")</f>
        <v>-0.0985763650367164</v>
      </c>
      <c r="AQ314" s="258">
        <f>IFERROR(IF(((N(AQ197)+N(AQ198)+N(AQ199)+N(AQ202)+N(AQ220)+N(AQ223))-N(AQ129)+N(AQ256))&lt;&gt;0,((N(AQ197)+N(AQ198)+N(AQ199)+N(AQ202)+N(AQ220)+N(AQ223))-N(AQ129))/((N(AQ197)+N(AQ198)+N(AQ199)+N(AQ202)+N(AQ220)+N(AQ223))-N(AQ129)+AQ256),""),"")</f>
        <v>-0.0985763650367164</v>
      </c>
      <c r="AR314" s="258">
        <f>IFERROR(IF(((N(AR197)+N(AR198)+N(AR199)+N(AR202)+N(AR220)+N(AR223))-N(AR129)+N(AR256))&lt;&gt;0,((N(AR197)+N(AR198)+N(AR199)+N(AR202)+N(AR220)+N(AR223))-N(AR129))/((N(AR197)+N(AR198)+N(AR199)+N(AR202)+N(AR220)+N(AR223))-N(AR129)+AR256),""),"")</f>
        <v>-0.216359347348058</v>
      </c>
      <c r="AS314" s="258">
        <f>IFERROR(IF(((N(AS197)+N(AS198)+N(AS199)+N(AS202)+N(AS220)+N(AS223))-N(AS129)+N(AS256))&lt;&gt;0,((N(AS197)+N(AS198)+N(AS199)+N(AS202)+N(AS220)+N(AS223))-N(AS129))/((N(AS197)+N(AS198)+N(AS199)+N(AS202)+N(AS220)+N(AS223))-N(AS129)+AS256),""),"")</f>
        <v>-0.272109895179332</v>
      </c>
      <c r="AT314" s="258">
        <f>IFERROR(IF(((N(AT197)+N(AT198)+N(AT199)+N(AT202)+N(AT220)+N(AT223))-N(AT129)+N(AT256))&lt;&gt;0,((N(AT197)+N(AT198)+N(AT199)+N(AT202)+N(AT220)+N(AT223))-N(AT129))/((N(AT197)+N(AT198)+N(AT199)+N(AT202)+N(AT220)+N(AT223))-N(AT129)+AT256),""),"")</f>
        <v>-0.324969209743447</v>
      </c>
      <c r="AU314" s="258">
        <f>IFERROR(IF(((N(AU197)+N(AU198)+N(AU199)+N(AU202)+N(AU220)+N(AU223))-N(AU129)+N(AU256))&lt;&gt;0,((N(AU197)+N(AU198)+N(AU199)+N(AU202)+N(AU220)+N(AU223))-N(AU129))/((N(AU197)+N(AU198)+N(AU199)+N(AU202)+N(AU220)+N(AU223))-N(AU129)+AU256),""),"")</f>
        <v>-0.404522230393584</v>
      </c>
      <c r="AV314" s="258">
        <f>IFERROR(IF(((N(AV197)+N(AV198)+N(AV199)+N(AV202)+N(AV220)+N(AV223))-N(AV129)+N(AV256))&lt;&gt;0,((N(AV197)+N(AV198)+N(AV199)+N(AV202)+N(AV220)+N(AV223))-N(AV129))/((N(AV197)+N(AV198)+N(AV199)+N(AV202)+N(AV220)+N(AV223))-N(AV129)+AV256),""),"")</f>
        <v>-0.404522230393584</v>
      </c>
      <c r="AW314" s="258">
        <f>IFERROR(IF(((N(AW197)+N(AW198)+N(AW199)+N(AW202)+N(AW220)+N(AW223))-N(AW129)+N(AW256))&lt;&gt;0,((N(AW197)+N(AW198)+N(AW199)+N(AW202)+N(AW220)+N(AW223))-N(AW129))/((N(AW197)+N(AW198)+N(AW199)+N(AW202)+N(AW220)+N(AW223))-N(AW129)+AW256),""),"")</f>
        <v>-0.52746620412252</v>
      </c>
      <c r="AX314" s="258">
        <f>IFERROR(IF(((N(AX197)+N(AX198)+N(AX199)+N(AX202)+N(AX220)+N(AX223))-N(AX129)+N(AX256))&lt;&gt;0,((N(AX197)+N(AX198)+N(AX199)+N(AX202)+N(AX220)+N(AX223))-N(AX129))/((N(AX197)+N(AX198)+N(AX199)+N(AX202)+N(AX220)+N(AX223))-N(AX129)+AX256),""),"")</f>
        <v>-0.58276128070147</v>
      </c>
      <c r="AY314" s="258">
        <f>IFERROR(IF(((N(AY197)+N(AY198)+N(AY199)+N(AY202)+N(AY220)+N(AY223))-N(AY129)+N(AY256))&lt;&gt;0,((N(AY197)+N(AY198)+N(AY199)+N(AY202)+N(AY220)+N(AY223))-N(AY129))/((N(AY197)+N(AY198)+N(AY199)+N(AY202)+N(AY220)+N(AY223))-N(AY129)+AY256),""),"")</f>
        <v>-0.623363724924058</v>
      </c>
      <c r="AZ314" s="258">
        <f>IFERROR(IF(((N(AZ197)+N(AZ198)+N(AZ199)+N(AZ202)+N(AZ220)+N(AZ223))-N(AZ129)+N(AZ256))&lt;&gt;0,((N(AZ197)+N(AZ198)+N(AZ199)+N(AZ202)+N(AZ220)+N(AZ223))-N(AZ129))/((N(AZ197)+N(AZ198)+N(AZ199)+N(AZ202)+N(AZ220)+N(AZ223))-N(AZ129)+AZ256),""),"")</f>
        <v>-0.699408533414728</v>
      </c>
      <c r="BA314" s="258">
        <f>IFERROR(IF(((N(BA197)+N(BA198)+N(BA199)+N(BA202)+N(BA220)+N(BA223))-N(BA129)+N(BA256))&lt;&gt;0,((N(BA197)+N(BA198)+N(BA199)+N(BA202)+N(BA220)+N(BA223))-N(BA129))/((N(BA197)+N(BA198)+N(BA199)+N(BA202)+N(BA220)+N(BA223))-N(BA129)+BA256),""),"")</f>
        <v>-0.699408533414728</v>
      </c>
      <c r="BB314" s="258">
        <f>IFERROR(IF(((N(BB197)+N(BB198)+N(BB199)+N(BB202)+N(BB220)+N(BB223))-N(BB129)+N(BB256))&lt;&gt;0,((N(BB197)+N(BB198)+N(BB199)+N(BB202)+N(BB220)+N(BB223))-N(BB129))/((N(BB197)+N(BB198)+N(BB199)+N(BB202)+N(BB220)+N(BB223))-N(BB129)+BB256),""),"")</f>
        <v>-0.837200547416219</v>
      </c>
      <c r="BC314" s="258">
        <f>IFERROR(IF(((N(BC197)+N(BC198)+N(BC199)+N(BC202)+N(BC220)+N(BC223))-N(BC129)+N(BC256))&lt;&gt;0,((N(BC197)+N(BC198)+N(BC199)+N(BC202)+N(BC220)+N(BC223))-N(BC129))/((N(BC197)+N(BC198)+N(BC199)+N(BC202)+N(BC220)+N(BC223))-N(BC129)+BC256),""),"")</f>
        <v>-0.88275883107676</v>
      </c>
      <c r="BD314" s="258">
        <f>IFERROR(IF(((N(BD197)+N(BD198)+N(BD199)+N(BD202)+N(BD220)+N(BD223))-N(BD129)+N(BD256))&lt;&gt;0,((N(BD197)+N(BD198)+N(BD199)+N(BD202)+N(BD220)+N(BD223))-N(BD129))/((N(BD197)+N(BD198)+N(BD199)+N(BD202)+N(BD220)+N(BD223))-N(BD129)+BD256),""),"")</f>
        <v>-0.909678485602597</v>
      </c>
      <c r="BE314" s="258">
        <f>IFERROR(IF(((N(BE197)+N(BE198)+N(BE199)+N(BE202)+N(BE220)+N(BE223))-N(BE129)+N(BE256))&lt;&gt;0,((N(BE197)+N(BE198)+N(BE199)+N(BE202)+N(BE220)+N(BE223))-N(BE129))/((N(BE197)+N(BE198)+N(BE199)+N(BE202)+N(BE220)+N(BE223))-N(BE129)+BE256),""),"")</f>
        <v>-0.981273985912125</v>
      </c>
      <c r="BF314" s="258">
        <f>IFERROR(IF(((N(BF197)+N(BF198)+N(BF199)+N(BF202)+N(BF220)+N(BF223))-N(BF129)+N(BF256))&lt;&gt;0,((N(BF197)+N(BF198)+N(BF199)+N(BF202)+N(BF220)+N(BF223))-N(BF129))/((N(BF197)+N(BF198)+N(BF199)+N(BF202)+N(BF220)+N(BF223))-N(BF129)+BF256),""),"")</f>
        <v>-0.981273985912125</v>
      </c>
    </row>
    <row r="315" customFormat="1" s="77">
      <c r="A315" s="76" t="n"/>
      <c r="B315" s="76" t="n"/>
    </row>
    <row r="316" customFormat="1" s="77">
      <c r="A316" s="76" t="n"/>
      <c r="B316" s="76" t="n"/>
      <c r="C316" s="74" t="inlineStr">
        <is>
          <t>FINANCIAL RISK RATIOS</t>
        </is>
      </c>
    </row>
    <row r="317" customFormat="1" s="77">
      <c r="A317" s="76" t="n"/>
      <c r="B317" s="76" t="n"/>
      <c r="C317" s="77" t="inlineStr">
        <is>
          <t>EBITDA / TOTAL INTEREST (LTM)</t>
        </is>
      </c>
      <c r="D317" s="82" t="str">
        <f>IFERROR(D54/-D59,"")</f>
        <v/>
      </c>
      <c r="E317" s="82" t="str">
        <f>IFERROR(E54/-E59,"")</f>
        <v/>
      </c>
      <c r="F317" s="82" t="str">
        <f>IFERROR(F54/-F59,"")</f>
        <v/>
      </c>
      <c r="G317" s="82" t="str">
        <f>IFERROR(G54/-G59,"")</f>
        <v/>
      </c>
      <c r="H317" s="262" t="str">
        <f>IFERROR(IF(AND(COUNT(H54)=1,(H59)&lt;&gt;0),(H54)/-(H59),""),"")</f>
        <v/>
      </c>
      <c r="I317" s="262" t="str">
        <f>""</f>
        <v/>
      </c>
      <c r="J317" s="262" t="str">
        <f>""</f>
        <v/>
      </c>
      <c r="K317" s="262" t="str">
        <f>""</f>
        <v/>
      </c>
      <c r="L317" s="262">
        <f>IFERROR(IF(AND(COUNT(I54,J54,K54,L54)=4,(I59+J59+K59+L59)&lt;&gt;0),(I54+J54+K54+L54)/-(I59+J59+K59+L59),""),"")</f>
        <v>-1.47068230277186</v>
      </c>
      <c r="M317" s="262">
        <f>IFERROR(IF(AND(COUNT(I54,J54,K54,L54)=4,(I59+J59+K59+L59)&lt;&gt;0),(I54+J54+K54+L54)/-(I59+J59+K59+L59),""),"")</f>
        <v>-1.47068230277186</v>
      </c>
      <c r="N317" s="262">
        <f>IFERROR(IF(AND(COUNT(J54,K54,L54,N54)=4,(J59+K59+L59+N59)&lt;&gt;0),(J54+K54+L54+N54)/-(J59+K59+L59+N59),""),"")</f>
        <v>-2.07487237663074</v>
      </c>
      <c r="O317" s="262">
        <f>IFERROR(IF(AND(COUNT(K54,L54,N54,O54)=4,(K59+L59+N59+O59)&lt;&gt;0),(K54+L54+N54+O54)/-(K59+L59+N59+O59),""),"")</f>
        <v>-1.0876445526476</v>
      </c>
      <c r="P317" s="262">
        <f>IFERROR(IF(AND(COUNT(L54,N54,O54,P54)=4,(L59+N59+O59+P59)&lt;&gt;0),(L54+N54+O54+P54)/-(L59+N59+O59+P59),""),"")</f>
        <v>-1.64951768488746</v>
      </c>
      <c r="Q317" s="262">
        <f>IFERROR(IF(AND(COUNT(N54,O54,P54,Q54)=4,(N59+O59+P59+Q59)&lt;&gt;0),(N54+O54+P54+Q54)/-(N59+O59+P59+Q59),""),"")</f>
        <v>-1.89320388349515</v>
      </c>
      <c r="R317" s="262">
        <f>IFERROR(IF(AND(COUNT(N54,O54,P54,Q54)=4,(N59+O59+P59+Q59)&lt;&gt;0),(N54+O54+P54+Q54)/-(N59+O59+P59+Q59),""),"")</f>
        <v>-1.89320388349515</v>
      </c>
      <c r="S317" s="262">
        <f>IFERROR(IF(AND(COUNT(O54,P54,Q54,S54)=4,(O59+P59+Q59+S59)&lt;&gt;0),(O54+P54+Q54+S54)/-(O59+P59+Q59+S59),""),"")</f>
        <v>-5.70847932725999</v>
      </c>
      <c r="T317" s="262">
        <f>IFERROR(IF(AND(COUNT(P54,Q54,S54,T54)=4,(P59+Q59+S59+T59)&lt;&gt;0),(P54+Q54+S54+T54)/-(P59+Q59+S59+T59),""),"")</f>
        <v>-5.81345565749236</v>
      </c>
      <c r="U317" s="262">
        <f>IFERROR(IF(AND(COUNT(Q54,S54,T54,U54)=4,(Q59+S59+T59+U59)&lt;&gt;0),(Q54+S54+T54+U54)/-(Q59+S59+T59+U59),""),"")</f>
        <v>-5.10714285714286</v>
      </c>
      <c r="V317" s="262">
        <f>IFERROR(IF(AND(COUNT(S54,T54,U54,V54)=4,(S59+T59+U59+V59)&lt;&gt;0),(S54+T54+U54+V54)/-(S59+T59+U59+V59),""),"")</f>
        <v>-9.66512915129151</v>
      </c>
      <c r="W317" s="262">
        <f>IFERROR(IF(AND(COUNT(S54,T54,U54,V54)=4,(S59+T59+U59+V59)&lt;&gt;0),(S54+T54+U54+V54)/-(S59+T59+U59+V59),""),"")</f>
        <v>-9.66512915129151</v>
      </c>
      <c r="X317" s="262">
        <f>IFERROR(IF(AND(COUNT(T54,U54,V54,X54)=4,(T59+U59+V59+X59)&lt;&gt;0),(T54+U54+V54+X54)/-(T59+U59+V59+X59),""),"")</f>
        <v>-3.01669758812616</v>
      </c>
      <c r="Y317" s="262">
        <f>IFERROR(IF(AND(COUNT(U54,V54,X54,Y54)=4,(U59+V59+X59+Y59)&lt;&gt;0),(U54+V54+X54+Y54)/-(U59+V59+X59+Y59),""),"")</f>
        <v>-2.70102135561746</v>
      </c>
      <c r="Z317" s="262">
        <f>IFERROR(IF(AND(COUNT(V54,X54,Y54,Z54)=4,(V59+X59+Y59+Z59)&lt;&gt;0),(V54+X54+Y54+Z54)/-(V59+X59+Y59+Z59),""),"")</f>
        <v>-3.20226843100189</v>
      </c>
      <c r="AA317" s="262">
        <f>IFERROR(IF(AND(COUNT(X54,Y54,Z54,AA54)=4,(X59+Y59+Z59+AA59)&lt;&gt;0),(X54+Y54+Z54+AA54)/-(X59+Y59+Z59+AA59),""),"")</f>
        <v>7.45841784989858</v>
      </c>
      <c r="AB317" s="262">
        <f>IFERROR(IF(AND(COUNT(X54,Y54,Z54,AA54)=4,(X59+Y59+Z59+AA59)&lt;&gt;0),(X54+Y54+Z54+AA54)/-(X59+Y59+Z59+AA59),""),"")</f>
        <v>7.45841784989858</v>
      </c>
      <c r="AC317" s="262">
        <f>IFERROR(IF(AND(COUNT(Y54,Z54,AA54,AC54)=4,(Y59+Z59+AA59+AC59)&lt;&gt;0),(Y54+Z54+AA54+AC54)/-(Y59+Z59+AA59+AC59),""),"")</f>
        <v>8.67631296891747</v>
      </c>
      <c r="AD317" s="262">
        <f>IFERROR(IF(AND(COUNT(Z54,AA54,AC54,AD54)=4,(Z59+AA59+AC59+AD59)&lt;&gt;0),(Z54+AA54+AC54+AD54)/-(Z59+AA59+AC59+AD59),""),"")</f>
        <v>10.208778173191</v>
      </c>
      <c r="AE317" s="262">
        <f>IFERROR(IF(AND(COUNT(AA54,AC54,AD54,AE54)=4,(AA59+AC59+AD59+AE59)&lt;&gt;0),(AA54+AC54+AD54+AE54)/-(AA59+AC59+AD59+AE59),""),"")</f>
        <v>12.1517747858017</v>
      </c>
      <c r="AF317" s="262">
        <f>IFERROR(IF(AND(COUNT(AB54,AD54,AE54,AF54)=4,(AB59+AD59+AE59+AF59)&lt;&gt;0),(AB54+AD54+AE54+AF54)/-(AB59+AD59+AE59+AF59),""),"")</f>
        <v>9.39468807906115</v>
      </c>
      <c r="AG317" s="262">
        <f>IFERROR(IF(AND(COUNT(AC54,AD54,AE54,AF54)=4,(AC59+AD59+AE59+AF59)&lt;&gt;0),(AC54+AD54+AE54+AF54)/-(AC59+AD59+AE59+AF59),""),"")</f>
        <v>12.1221826809015</v>
      </c>
      <c r="AH317" s="262">
        <f>IFERROR(IF(AND(COUNT(AD54,AF54,AG54,AH54)=4,(AD59+AF59+AG59+AH59)&lt;&gt;0),(AD54+AF54+AG54+AH54)/-(AD59+AF59+AG59+AH59),""),"")</f>
        <v>12.2059419311276</v>
      </c>
      <c r="AI317" s="262">
        <f>IFERROR(IF(AND(COUNT(AE54,AG54,AH54,AI54)=4,(AE59+AG59+AH59+AI59)&lt;&gt;0),(AE54+AG54+AH54+AI54)/-(AE59+AG59+AH59+AI59),""),"")</f>
        <v>12.2187706543291</v>
      </c>
      <c r="AJ317" s="262" t="str">
        <f>IFERROR(IF(AND(COUNT(AF54,AH54,AI54,AJ54)=4,(AF59+AH59+AI59+AJ59)&lt;&gt;0),(AF54+AH54+AI54+AJ54)/-(AF59+AH59+AI59+AJ59),""),"")</f>
        <v/>
      </c>
      <c r="AK317" s="262" t="str">
        <f>IFERROR(IF(AND(COUNT(AH54,AI54,AJ54,AK54)=4,(AH59+AI59+AJ59+AK59)&lt;&gt;0),(AH54+AI54+AJ54+AK54)/-(AH59+AI59+AJ59+AK59),""),"")</f>
        <v/>
      </c>
      <c r="AL317" s="262" t="str">
        <f>IFERROR(IF(AND(COUNT(AH54,AI54,AJ54,AK54)=4,(AH59+AI59+AJ59+AK59)&lt;&gt;0),(AH54+AI54+AJ54+AK54)/-(AH59+AI59+AJ59+AK59),""),"")</f>
        <v/>
      </c>
      <c r="AM317" s="262" t="str">
        <f>IFERROR(IF(AND(COUNT(AI54,AJ54,AK54,AM54)=4,(AI59+AJ59+AK59+AM59)&lt;&gt;0),(AI54+AJ54+AK54+AM54)/-(AI59+AJ59+AK59+AM59),""),"")</f>
        <v/>
      </c>
      <c r="AN317" s="262" t="str">
        <f>IFERROR(IF(AND(COUNT(AJ54,AK54,AM54,AN54)=4,(AJ59+AK59+AM59+AN59)&lt;&gt;0),(AJ54+AK54+AM54+AN54)/-(AJ59+AK59+AM59+AN59),""),"")</f>
        <v/>
      </c>
      <c r="AO317" s="262" t="str">
        <f>IFERROR(IF(AND(COUNT(AK54,AM54,AN54,AO54)=4,(AK59+AM59+AN59+AO59)&lt;&gt;0),(AK54+AM54+AN54+AO54)/-(AK59+AM59+AN59+AO59),""),"")</f>
        <v/>
      </c>
      <c r="AP317" s="262" t="str">
        <f>IFERROR(IF(AND(COUNT(AM54,AN54,AO54,AP54)=4,(AM59+AN59+AO59+AP59)&lt;&gt;0),(AM54+AN54+AO54+AP54)/-(AM59+AN59+AO59+AP59),""),"")</f>
        <v/>
      </c>
      <c r="AQ317" s="262" t="str">
        <f>IFERROR(IF(AND(COUNT(AM54,AN54,AO54,AP54)=4,(AM59+AN59+AO59+AP59)&lt;&gt;0),(AM54+AN54+AO54+AP54)/-(AM59+AN59+AO59+AP59),""),"")</f>
        <v/>
      </c>
      <c r="AR317" s="262" t="str">
        <f>IFERROR(IF(AND(COUNT(AN54,AO54,AP54,AR54)=4,(AN59+AO59+AP59+AR59)&lt;&gt;0),(AN54+AO54+AP54+AR54)/-(AN59+AO59+AP59+AR59),""),"")</f>
        <v/>
      </c>
      <c r="AS317" s="262" t="str">
        <f>IFERROR(IF(AND(COUNT(AO54,AP54,AR54,AS54)=4,(AO59+AP59+AR59+AS59)&lt;&gt;0),(AO54+AP54+AR54+AS54)/-(AO59+AP59+AR59+AS59),""),"")</f>
        <v/>
      </c>
      <c r="AT317" s="262" t="str">
        <f>IFERROR(IF(AND(COUNT(AP54,AR54,AS54,AT54)=4,(AP59+AR59+AS59+AT59)&lt;&gt;0),(AP54+AR54+AS54+AT54)/-(AP59+AR59+AS59+AT59),""),"")</f>
        <v/>
      </c>
      <c r="AU317" s="262" t="str">
        <f>IFERROR(IF(AND(COUNT(AR54,AS54,AT54,AU54)=4,(AR59+AS59+AT59+AU59)&lt;&gt;0),(AR54+AS54+AT54+AU54)/-(AR59+AS59+AT59+AU59),""),"")</f>
        <v/>
      </c>
      <c r="AV317" s="262" t="str">
        <f>IFERROR(IF(AND(COUNT(AR54,AS54,AT54,AU54)=4,(AR59+AS59+AT59+AU59)&lt;&gt;0),(AR54+AS54+AT54+AU54)/-(AR59+AS59+AT59+AU59),""),"")</f>
        <v/>
      </c>
      <c r="AW317" s="262" t="str">
        <f>IFERROR(IF(AND(COUNT(AS54,AT54,AU54,AW54)=4,(AS59+AT59+AU59+AW59)&lt;&gt;0),(AS54+AT54+AU54+AW54)/-(AS59+AT59+AU59+AW59),""),"")</f>
        <v/>
      </c>
      <c r="AX317" s="262" t="str">
        <f>IFERROR(IF(AND(COUNT(AT54,AU54,AW54,AX54)=4,(AT59+AU59+AW59+AX59)&lt;&gt;0),(AT54+AU54+AW54+AX54)/-(AT59+AU59+AW59+AX59),""),"")</f>
        <v/>
      </c>
      <c r="AY317" s="262" t="str">
        <f>IFERROR(IF(AND(COUNT(AU54,AW54,AX54,AY54)=4,(AU59+AW59+AX59+AY59)&lt;&gt;0),(AU54+AW54+AX54+AY54)/-(AU59+AW59+AX59+AY59),""),"")</f>
        <v/>
      </c>
      <c r="AZ317" s="262" t="str">
        <f>IFERROR(IF(AND(COUNT(AW54,AX54,AY54,AZ54)=4,(AW59+AX59+AY59+AZ59)&lt;&gt;0),(AW54+AX54+AY54+AZ54)/-(AW59+AX59+AY59+AZ59),""),"")</f>
        <v/>
      </c>
      <c r="BA317" s="262" t="str">
        <f>IFERROR(IF(AND(COUNT(AW54,AX54,AY54,AZ54)=4,(AW59+AX59+AY59+AZ59)&lt;&gt;0),(AW54+AX54+AY54+AZ54)/-(AW59+AX59+AY59+AZ59),""),"")</f>
        <v/>
      </c>
      <c r="BB317" s="262" t="str">
        <f>IFERROR(IF(AND(COUNT(AX54,AY54,AZ54,BB54)=4,(AX59+AY59+AZ59+BB59)&lt;&gt;0),(AX54+AY54+AZ54+BB54)/-(AX59+AY59+AZ59+BB59),""),"")</f>
        <v/>
      </c>
      <c r="BC317" s="262" t="str">
        <f>IFERROR(IF(AND(COUNT(AY54,AZ54,BB54,BC54)=4,(AY59+AZ59+BB59+BC59)&lt;&gt;0),(AY54+AZ54+BB54+BC54)/-(AY59+AZ59+BB59+BC59),""),"")</f>
        <v/>
      </c>
      <c r="BD317" s="262" t="str">
        <f>IFERROR(IF(AND(COUNT(AZ54,BB54,BC54,BD54)=4,(AZ59+BB59+BC59+BD59)&lt;&gt;0),(AZ54+BB54+BC54+BD54)/-(AZ59+BB59+BC59+BD59),""),"")</f>
        <v/>
      </c>
      <c r="BE317" s="262" t="str">
        <f>IFERROR(IF(AND(COUNT(BB54,BC54,BD54,BE54)=4,(BB59+BC59+BD59+BE59)&lt;&gt;0),(BB54+BC54+BD54+BE54)/-(BB59+BC59+BD59+BE59),""),"")</f>
        <v/>
      </c>
      <c r="BF317" s="262" t="str">
        <f>IFERROR(IF(AND(COUNT(BB54,BC54,BD54,BE54)=4,(BB59+BC59+BD59+BE59)&lt;&gt;0),(BB54+BC54+BD54+BE54)/-(BB59+BC59+BD59+BE59),""),"")</f>
        <v/>
      </c>
      <c r="BG317" s="82" t="n"/>
      <c r="BH317" s="82" t="n"/>
      <c r="BI317" s="82" t="n"/>
      <c r="BJ317" s="82" t="n"/>
      <c r="BL317" s="82" t="n"/>
      <c r="BM317" s="82" t="n"/>
      <c r="BN317" s="82" t="n"/>
      <c r="BO317" s="82" t="n"/>
      <c r="BQ317" s="82" t="n"/>
      <c r="BR317" s="82" t="n"/>
      <c r="BS317" s="82" t="n"/>
      <c r="BT317" s="82" t="n"/>
      <c r="BV317" s="82" t="n"/>
      <c r="BW317" s="82" t="n"/>
      <c r="BX317" s="82" t="n"/>
      <c r="BY317" s="82" t="n"/>
      <c r="CA317" s="82" t="n"/>
      <c r="CB317" s="82" t="n"/>
      <c r="CC317" s="82" t="n"/>
      <c r="CD317" s="82" t="n"/>
      <c r="CF317" s="82" t="n"/>
      <c r="CG317" s="82" t="n"/>
      <c r="CH317" s="82" t="n"/>
      <c r="CI317" s="82" t="n"/>
      <c r="CK317" s="82" t="n"/>
      <c r="CL317" s="82" t="n"/>
      <c r="CM317" s="82" t="n"/>
      <c r="CN317" s="82" t="n"/>
      <c r="CP317" s="82" t="n"/>
      <c r="CQ317" s="82" t="n"/>
      <c r="CR317" s="82" t="n"/>
      <c r="CS317" s="82" t="n"/>
      <c r="CU317" s="82" t="n"/>
      <c r="CV317" s="82" t="n"/>
      <c r="CW317" s="82" t="n"/>
      <c r="CX317" s="82" t="n"/>
    </row>
    <row r="318" customFormat="1" s="77">
      <c r="A318" s="76" t="n"/>
      <c r="B318" s="76" t="n"/>
      <c r="C318" s="77" t="inlineStr">
        <is>
          <t>(EBITDA - CAPEX) / TOTAL INTEREST (LTM)</t>
        </is>
      </c>
      <c r="D318" s="82" t="str">
        <f>IFERROR((D54-D153)/-D59,"")</f>
        <v/>
      </c>
      <c r="E318" s="82" t="str">
        <f>IFERROR((E54-E153)/-E59,"")</f>
        <v/>
      </c>
      <c r="F318" s="82" t="str">
        <f>IFERROR((F54-F153)/-F59,"")</f>
        <v/>
      </c>
      <c r="G318" s="82" t="str">
        <f>IFERROR((G54-G153)/-G59,"")</f>
        <v/>
      </c>
      <c r="H318" s="262" t="str">
        <f>IFERROR(IF(AND(COUNT(H54)=1,(H59)&lt;&gt;0),((H54)-(H153))/-(H59),""),"")</f>
        <v/>
      </c>
      <c r="I318" s="262" t="str">
        <f>""</f>
        <v/>
      </c>
      <c r="J318" s="262" t="str">
        <f>""</f>
        <v/>
      </c>
      <c r="K318" s="262" t="str">
        <f>""</f>
        <v/>
      </c>
      <c r="L318" s="262">
        <f>IFERROR(IF(AND(COUNT(I54,J54,K54,L54)=4,(I59+J59+K59+L59)&lt;&gt;0),((I54+J54+K54+L54)-(I153+J153+K153+L153))/-(I59+J59+K59+L59),""),"")</f>
        <v>-2.227078891258</v>
      </c>
      <c r="M318" s="262">
        <f>IFERROR(IF(AND(COUNT(I54,J54,K54,L54)=4,(I59+J59+K59+L59)&lt;&gt;0),((I54+J54+K54+L54)-(I153+J153+K153+L153))/-(I59+J59+K59+L59),""),"")</f>
        <v>-2.227078891258</v>
      </c>
      <c r="N318" s="262">
        <f>IFERROR(IF(AND(COUNT(J54,K54,L54,N54)=4,(J59+K59+L59+N59)&lt;&gt;0),((J54+K54+L54+N54)-(J153+K153+L153+N153))/-(J59+K59+L59+N59),""),"")</f>
        <v>-3.14066931366988</v>
      </c>
      <c r="O318" s="262">
        <f>IFERROR(IF(AND(COUNT(K54,L54,N54,O54)=4,(K59+L59+N59+O59)&lt;&gt;0),((K54+L54+N54+O54)-(K153+L153+N153+O153))/-(K59+L59+N59+O59),""),"")</f>
        <v>-2.2069385270846</v>
      </c>
      <c r="P318" s="262">
        <f>IFERROR(IF(AND(COUNT(L54,N54,O54,P54)=4,(L59+N59+O59+P59)&lt;&gt;0),((L54+N54+O54+P54)-(L153+N153+O153+P153))/-(L59+N59+O59+P59),""),"")</f>
        <v>-2.80128617363344</v>
      </c>
      <c r="Q318" s="262">
        <f>IFERROR(IF(AND(COUNT(N54,O54,P54,Q54)=4,(N59+O59+P59+Q59)&lt;&gt;0),((N54+O54+P54+Q54)-(N153+O153+P153+Q153))/-(N59+O59+P59+Q59),""),"")</f>
        <v>-3.05954692556634</v>
      </c>
      <c r="R318" s="262">
        <f>IFERROR(IF(AND(COUNT(N54,O54,P54,Q54)=4,(N59+O59+P59+Q59)&lt;&gt;0),((N54+O54+P54+Q54)-(N153+O153+P153+Q153))/-(N59+O59+P59+Q59),""),"")</f>
        <v>-3.05954692556634</v>
      </c>
      <c r="S318" s="262">
        <f>IFERROR(IF(AND(COUNT(O54,P54,Q54,S54)=4,(O59+P59+Q59+S59)&lt;&gt;0),((O54+P54+Q54+S54)-(O153+P153+Q153+S153))/-(O59+P59+Q59+S59),""),"")</f>
        <v>-6.90609670637701</v>
      </c>
      <c r="T318" s="262">
        <f>IFERROR(IF(AND(COUNT(P54,Q54,S54,T54)=4,(P59+Q59+S59+T59)&lt;&gt;0),((P54+Q54+S54+T54)-(P153+Q153+S153+T153))/-(P59+Q59+S59+T59),""),"")</f>
        <v>-7.05045871559633</v>
      </c>
      <c r="U318" s="262">
        <f>IFERROR(IF(AND(COUNT(Q54,S54,T54,U54)=4,(Q59+S59+T59+U59)&lt;&gt;0),((Q54+S54+T54+U54)-(Q153+S153+T153+U153))/-(Q59+S59+T59+U59),""),"")</f>
        <v>-6.42691029900332</v>
      </c>
      <c r="V318" s="262">
        <f>IFERROR(IF(AND(COUNT(S54,T54,U54,V54)=4,(S59+T59+U59+V59)&lt;&gt;0),((S54+T54+U54+V54)-(S153+T153+U153+V153))/-(S59+T59+U59+V59),""),"")</f>
        <v>-11.0239852398524</v>
      </c>
      <c r="W318" s="262">
        <f>IFERROR(IF(AND(COUNT(S54,T54,U54,V54)=4,(S59+T59+U59+V59)&lt;&gt;0),((S54+T54+U54+V54)-(S153+T153+U153+V153))/-(S59+T59+U59+V59),""),"")</f>
        <v>-11.0239852398524</v>
      </c>
      <c r="X318" s="262">
        <f>IFERROR(IF(AND(COUNT(T54,U54,V54,X54)=4,(T59+U59+V59+X59)&lt;&gt;0),((T54+U54+V54+X54)-(T153+U153+V153+X153))/-(T59+U59+V59+X59),""),"")</f>
        <v>-4.39332096474954</v>
      </c>
      <c r="Y318" s="262">
        <f>IFERROR(IF(AND(COUNT(U54,V54,X54,Y54)=4,(U59+V59+X59+Y59)&lt;&gt;0),((U54+V54+X54+Y54)-(U153+V153+X153+Y153))/-(U59+V59+X59+Y59),""),"")</f>
        <v>-3.93686165273909</v>
      </c>
      <c r="Z318" s="262">
        <f>IFERROR(IF(AND(COUNT(V54,X54,Y54,Z54)=4,(V59+X59+Y59+Z59)&lt;&gt;0),((V54+X54+Y54+Z54)-(V153+X153+Y153+Z153))/-(V59+X59+Y59+Z59),""),"")</f>
        <v>-4.31474480151229</v>
      </c>
      <c r="AA318" s="262">
        <f>IFERROR(IF(AND(COUNT(X54,Y54,Z54,AA54)=4,(X59+Y59+Z59+AA59)&lt;&gt;0),((X54+Y54+Z54+AA54)-(X153+Y153+Z153+AA153))/-(X59+Y59+Z59+AA59),""),"")</f>
        <v>6.43407707910751</v>
      </c>
      <c r="AB318" s="262">
        <f>IFERROR(IF(AND(COUNT(X54,Y54,Z54,AA54)=4,(X59+Y59+Z59+AA59)&lt;&gt;0),((X54+Y54+Z54+AA54)-(X153+Y153+Z153+AA153))/-(X59+Y59+Z59+AA59),""),"")</f>
        <v>6.43407707910751</v>
      </c>
      <c r="AC318" s="262">
        <f>IFERROR(IF(AND(COUNT(Y54,Z54,AA54,AC54)=4,(Y59+Z59+AA59+AC59)&lt;&gt;0),((Y54+Z54+AA54+AC54)-(Y153+Z153+AA153+AC153))/-(Y59+Z59+AA59+AC59),""),"")</f>
        <v>7.77384780278671</v>
      </c>
      <c r="AD318" s="262">
        <f>IFERROR(IF(AND(COUNT(Z54,AA54,AC54,AD54)=4,(Z59+AA59+AC59+AD59)&lt;&gt;0),((Z54+AA54+AC54+AD54)-(Z153+AA153+AC153+AD153))/-(Z59+AA59+AC59+AD59),""),"")</f>
        <v>9.18623962040332</v>
      </c>
      <c r="AE318" s="262">
        <f>IFERROR(IF(AND(COUNT(AA54,AC54,AD54,AE54)=4,(AA59+AC59+AD59+AE59)&lt;&gt;0),((AA54+AC54+AD54+AE54)-(AA153+AC153+AD153+AE153))/-(AA59+AC59+AD59+AE59),""),"")</f>
        <v>11.108935128519</v>
      </c>
      <c r="AF318" s="262">
        <f>IFERROR(IF(AND(COUNT(AB54,AD54,AE54,AF54)=4,(AB59+AD59+AE59+AF59)&lt;&gt;0),((AB54+AD54+AE54+AF54)-(AB153+AD153+AE153+AF153))/-(AB59+AD59+AE59+AF59),""),"")</f>
        <v>8.99135268684373</v>
      </c>
      <c r="AG318" s="262">
        <f>IFERROR(IF(AND(COUNT(AC54,AD54,AE54,AF54)=4,(AC59+AD59+AE59+AF59)&lt;&gt;0),((AC54+AD54+AE54+AF54)-(AC153+AD153+AE153+AF153))/-(AC59+AD59+AE59+AF59),""),"")</f>
        <v>11.0984578884935</v>
      </c>
      <c r="AH318" s="262">
        <f>IFERROR(IF(AND(COUNT(AD54,AF54,AG54,AH54)=4,(AD59+AF59+AG59+AH59)&lt;&gt;0),((AD54+AF54+AG54+AH54)-(AD153+AF153+AG153+AH153))/-(AD59+AF59+AG59+AH59),""),"")</f>
        <v>11.1735313977043</v>
      </c>
      <c r="AI318" s="262">
        <f>IFERROR(IF(AND(COUNT(AE54,AG54,AH54,AI54)=4,(AE59+AG59+AH59+AI59)&lt;&gt;0),((AE54+AG54+AH54+AI54)-(AE153+AG153+AH153+AI153))/-(AE59+AG59+AH59+AI59),""),"")</f>
        <v>11.2088565763384</v>
      </c>
      <c r="AJ318" s="262" t="str">
        <f>IFERROR(IF(AND(COUNT(AF54,AH54,AI54,AJ54)=4,(AF59+AH59+AI59+AJ59)&lt;&gt;0),((AF54+AH54+AI54+AJ54)-(AF153+AH153+AI153+AJ153))/-(AF59+AH59+AI59+AJ59),""),"")</f>
        <v/>
      </c>
      <c r="AK318" s="262" t="str">
        <f>IFERROR(IF(AND(COUNT(AH54,AI54,AJ54,AK54)=4,(AH59+AI59+AJ59+AK59)&lt;&gt;0),((AH54+AI54+AJ54+AK54)-(AH153+AI153+AJ153+AK153))/-(AH59+AI59+AJ59+AK59),""),"")</f>
        <v/>
      </c>
      <c r="AL318" s="262" t="str">
        <f>IFERROR(IF(AND(COUNT(AH54,AI54,AJ54,AK54)=4,(AH59+AI59+AJ59+AK59)&lt;&gt;0),((AH54+AI54+AJ54+AK54)-(AH153+AI153+AJ153+AK153))/-(AH59+AI59+AJ59+AK59),""),"")</f>
        <v/>
      </c>
      <c r="AM318" s="262" t="str">
        <f>IFERROR(IF(AND(COUNT(AI54,AJ54,AK54,AM54)=4,(AI59+AJ59+AK59+AM59)&lt;&gt;0),((AI54+AJ54+AK54+AM54)-(AI153+AJ153+AK153+AM153))/-(AI59+AJ59+AK59+AM59),""),"")</f>
        <v/>
      </c>
      <c r="AN318" s="262" t="str">
        <f>IFERROR(IF(AND(COUNT(AJ54,AK54,AM54,AN54)=4,(AJ59+AK59+AM59+AN59)&lt;&gt;0),((AJ54+AK54+AM54+AN54)-(AJ153+AK153+AM153+AN153))/-(AJ59+AK59+AM59+AN59),""),"")</f>
        <v/>
      </c>
      <c r="AO318" s="262" t="str">
        <f>IFERROR(IF(AND(COUNT(AK54,AM54,AN54,AO54)=4,(AK59+AM59+AN59+AO59)&lt;&gt;0),((AK54+AM54+AN54+AO54)-(AK153+AM153+AN153+AO153))/-(AK59+AM59+AN59+AO59),""),"")</f>
        <v/>
      </c>
      <c r="AP318" s="262" t="str">
        <f>IFERROR(IF(AND(COUNT(AM54,AN54,AO54,AP54)=4,(AM59+AN59+AO59+AP59)&lt;&gt;0),((AM54+AN54+AO54+AP54)-(AM153+AN153+AO153+AP153))/-(AM59+AN59+AO59+AP59),""),"")</f>
        <v/>
      </c>
      <c r="AQ318" s="262" t="str">
        <f>IFERROR(IF(AND(COUNT(AM54,AN54,AO54,AP54)=4,(AM59+AN59+AO59+AP59)&lt;&gt;0),((AM54+AN54+AO54+AP54)-(AM153+AN153+AO153+AP153))/-(AM59+AN59+AO59+AP59),""),"")</f>
        <v/>
      </c>
      <c r="AR318" s="262" t="str">
        <f>IFERROR(IF(AND(COUNT(AN54,AO54,AP54,AR54)=4,(AN59+AO59+AP59+AR59)&lt;&gt;0),((AN54+AO54+AP54+AR54)-(AN153+AO153+AP153+AR153))/-(AN59+AO59+AP59+AR59),""),"")</f>
        <v/>
      </c>
      <c r="AS318" s="262" t="str">
        <f>IFERROR(IF(AND(COUNT(AO54,AP54,AR54,AS54)=4,(AO59+AP59+AR59+AS59)&lt;&gt;0),((AO54+AP54+AR54+AS54)-(AO153+AP153+AR153+AS153))/-(AO59+AP59+AR59+AS59),""),"")</f>
        <v/>
      </c>
      <c r="AT318" s="262" t="str">
        <f>IFERROR(IF(AND(COUNT(AP54,AR54,AS54,AT54)=4,(AP59+AR59+AS59+AT59)&lt;&gt;0),((AP54+AR54+AS54+AT54)-(AP153+AR153+AS153+AT153))/-(AP59+AR59+AS59+AT59),""),"")</f>
        <v/>
      </c>
      <c r="AU318" s="262" t="str">
        <f>IFERROR(IF(AND(COUNT(AR54,AS54,AT54,AU54)=4,(AR59+AS59+AT59+AU59)&lt;&gt;0),((AR54+AS54+AT54+AU54)-(AR153+AS153+AT153+AU153))/-(AR59+AS59+AT59+AU59),""),"")</f>
        <v/>
      </c>
      <c r="AV318" s="262" t="str">
        <f>IFERROR(IF(AND(COUNT(AR54,AS54,AT54,AU54)=4,(AR59+AS59+AT59+AU59)&lt;&gt;0),((AR54+AS54+AT54+AU54)-(AR153+AS153+AT153+AU153))/-(AR59+AS59+AT59+AU59),""),"")</f>
        <v/>
      </c>
      <c r="AW318" s="262" t="str">
        <f>IFERROR(IF(AND(COUNT(AS54,AT54,AU54,AW54)=4,(AS59+AT59+AU59+AW59)&lt;&gt;0),((AS54+AT54+AU54+AW54)-(AS153+AT153+AU153+AW153))/-(AS59+AT59+AU59+AW59),""),"")</f>
        <v/>
      </c>
      <c r="AX318" s="262" t="str">
        <f>IFERROR(IF(AND(COUNT(AT54,AU54,AW54,AX54)=4,(AT59+AU59+AW59+AX59)&lt;&gt;0),((AT54+AU54+AW54+AX54)-(AT153+AU153+AW153+AX153))/-(AT59+AU59+AW59+AX59),""),"")</f>
        <v/>
      </c>
      <c r="AY318" s="262" t="str">
        <f>IFERROR(IF(AND(COUNT(AU54,AW54,AX54,AY54)=4,(AU59+AW59+AX59+AY59)&lt;&gt;0),((AU54+AW54+AX54+AY54)-(AU153+AW153+AX153+AY153))/-(AU59+AW59+AX59+AY59),""),"")</f>
        <v/>
      </c>
      <c r="AZ318" s="262" t="str">
        <f>IFERROR(IF(AND(COUNT(AW54,AX54,AY54,AZ54)=4,(AW59+AX59+AY59+AZ59)&lt;&gt;0),((AW54+AX54+AY54+AZ54)-(AW153+AX153+AY153+AZ153))/-(AW59+AX59+AY59+AZ59),""),"")</f>
        <v/>
      </c>
      <c r="BA318" s="262" t="str">
        <f>IFERROR(IF(AND(COUNT(AW54,AX54,AY54,AZ54)=4,(AW59+AX59+AY59+AZ59)&lt;&gt;0),((AW54+AX54+AY54+AZ54)-(AW153+AX153+AY153+AZ153))/-(AW59+AX59+AY59+AZ59),""),"")</f>
        <v/>
      </c>
      <c r="BB318" s="262" t="str">
        <f>IFERROR(IF(AND(COUNT(AX54,AY54,AZ54,BB54)=4,(AX59+AY59+AZ59+BB59)&lt;&gt;0),((AX54+AY54+AZ54+BB54)-(AX153+AY153+AZ153+BB153))/-(AX59+AY59+AZ59+BB59),""),"")</f>
        <v/>
      </c>
      <c r="BC318" s="262" t="str">
        <f>IFERROR(IF(AND(COUNT(AY54,AZ54,BB54,BC54)=4,(AY59+AZ59+BB59+BC59)&lt;&gt;0),((AY54+AZ54+BB54+BC54)-(AY153+AZ153+BB153+BC153))/-(AY59+AZ59+BB59+BC59),""),"")</f>
        <v/>
      </c>
      <c r="BD318" s="262" t="str">
        <f>IFERROR(IF(AND(COUNT(AZ54,BB54,BC54,BD54)=4,(AZ59+BB59+BC59+BD59)&lt;&gt;0),((AZ54+BB54+BC54+BD54)-(AZ153+BB153+BC153+BD153))/-(AZ59+BB59+BC59+BD59),""),"")</f>
        <v/>
      </c>
      <c r="BE318" s="262" t="str">
        <f>IFERROR(IF(AND(COUNT(BB54,BC54,BD54,BE54)=4,(BB59+BC59+BD59+BE59)&lt;&gt;0),((BB54+BC54+BD54+BE54)-(BB153+BC153+BD153+BE153))/-(BB59+BC59+BD59+BE59),""),"")</f>
        <v/>
      </c>
      <c r="BF318" s="262" t="str">
        <f>IFERROR(IF(AND(COUNT(BB54,BC54,BD54,BE54)=4,(BB59+BC59+BD59+BE59)&lt;&gt;0),((BB54+BC54+BD54+BE54)-(BB153+BC153+BD153+BE153))/-(BB59+BC59+BD59+BE59),""),"")</f>
        <v/>
      </c>
      <c r="BG318" s="82" t="n"/>
      <c r="BH318" s="82" t="n"/>
      <c r="BI318" s="82" t="n"/>
      <c r="BJ318" s="82" t="n"/>
      <c r="BL318" s="82" t="n"/>
      <c r="BM318" s="82" t="n"/>
      <c r="BN318" s="82" t="n"/>
      <c r="BO318" s="82" t="n"/>
      <c r="BQ318" s="82" t="n"/>
      <c r="BR318" s="82" t="n"/>
      <c r="BS318" s="82" t="n"/>
      <c r="BT318" s="82" t="n"/>
      <c r="BV318" s="82" t="n"/>
      <c r="BW318" s="82" t="n"/>
      <c r="BX318" s="82" t="n"/>
      <c r="BY318" s="82" t="n"/>
      <c r="CA318" s="82" t="n"/>
      <c r="CB318" s="82" t="n"/>
      <c r="CC318" s="82" t="n"/>
      <c r="CD318" s="82" t="n"/>
      <c r="CF318" s="82" t="n"/>
      <c r="CG318" s="82" t="n"/>
      <c r="CH318" s="82" t="n"/>
      <c r="CI318" s="82" t="n"/>
      <c r="CK318" s="82" t="n"/>
      <c r="CL318" s="82" t="n"/>
      <c r="CM318" s="82" t="n"/>
      <c r="CN318" s="82" t="n"/>
      <c r="CP318" s="82" t="n"/>
      <c r="CQ318" s="82" t="n"/>
      <c r="CR318" s="82" t="n"/>
      <c r="CS318" s="82" t="n"/>
      <c r="CU318" s="82" t="n"/>
      <c r="CV318" s="82" t="n"/>
      <c r="CW318" s="82" t="n"/>
      <c r="CX318" s="82" t="n"/>
    </row>
    <row r="319" customFormat="1" s="77">
      <c r="A319" s="76" t="n"/>
      <c r="B319" s="76" t="n"/>
      <c r="C319" s="77" t="inlineStr">
        <is>
          <t>TOTAL DEBT / EBITDA (LTM)</t>
        </is>
      </c>
      <c r="D319" s="82" t="str">
        <f>IFERROR(SUM(D197,D198,D199,D202,D220,D223)/D54,"")</f>
        <v/>
      </c>
      <c r="E319" s="82" t="str">
        <f>IFERROR(SUM(E197,E198,E199,E202,E220,E223)/E54,"")</f>
        <v/>
      </c>
      <c r="F319" s="82" t="str">
        <f>IFERROR(SUM(F197,F198,F199,F202,F220,F223)/F54,"")</f>
        <v/>
      </c>
      <c r="G319" s="82" t="str">
        <f>IFERROR(SUM(G197,G198,G199,G202,G220,G223)/G54,"")</f>
        <v/>
      </c>
      <c r="H319" s="262" t="str">
        <f>IFERROR(IF(AND(COUNT(H54)=1,(H54)&lt;&gt;0),(N(H197)+N(H198)+N(H199)+N(H202)+N(H220)+N(H223))/(H54),""),"")</f>
        <v/>
      </c>
      <c r="I319" s="262" t="str">
        <f>""</f>
        <v/>
      </c>
      <c r="J319" s="262" t="str">
        <f>""</f>
        <v/>
      </c>
      <c r="K319" s="262" t="str">
        <f>""</f>
        <v/>
      </c>
      <c r="L319" s="262">
        <f>IFERROR(IF(AND(COUNT(I54,J54,K54,L54)=4,(I54+J54+K54+L54)&lt;&gt;0),(N(L197)+N(L198)+N(L199)+N(L202)+N(L220)+N(L223))/(I54+J54+K54+L54),""),"")</f>
        <v>-12.752808988764</v>
      </c>
      <c r="M319" s="262">
        <f>IFERROR(IF(AND(COUNT(I54,J54,K54,L54)=4,(I54+J54+K54+L54)&lt;&gt;0),(N(M197)+N(M198)+N(M199)+N(M202)+N(M220)+N(M223))/(I54+J54+K54+L54),""),"")</f>
        <v>-12.752808988764</v>
      </c>
      <c r="N319" s="262">
        <f>IFERROR(IF(AND(COUNT(J54,K54,L54,N54)=4,(J54+K54+L54+N54)&lt;&gt;0),(N(N197)+N(N198)+N(N199)+N(N202)+N(N220)+N(N223))/(J54+K54+L54+N54),""),"")</f>
        <v>-9.19464188080919</v>
      </c>
      <c r="O319" s="262">
        <f>IFERROR(IF(AND(COUNT(K54,L54,N54,O54)=4,(K54+L54+N54+O54)&lt;&gt;0),(N(O197)+N(O198)+N(O199)+N(O202)+N(O220)+N(O223))/(K54+L54+N54+O54),""),"")</f>
        <v>-18.1969781757135</v>
      </c>
      <c r="P319" s="262">
        <f>IFERROR(IF(AND(COUNT(L54,N54,O54,P54)=4,(L54+N54+O54+P54)&lt;&gt;0),(N(P197)+N(P198)+N(P199)+N(P202)+N(P220)+N(P223))/(L54+N54+O54+P54),""),"")</f>
        <v>-11.8541910331384</v>
      </c>
      <c r="Q319" s="262">
        <f>IFERROR(IF(AND(COUNT(N54,O54,P54,Q54)=4,(N54+O54+P54+Q54)&lt;&gt;0),(N(Q197)+N(Q198)+N(Q199)+N(Q202)+N(Q220)+N(Q223))/(N54+O54+P54+Q54),""),"")</f>
        <v>-11.0598290598291</v>
      </c>
      <c r="R319" s="262">
        <f>IFERROR(IF(AND(COUNT(N54,O54,P54,Q54)=4,(N54+O54+P54+Q54)&lt;&gt;0),(N(R197)+N(R198)+N(R199)+N(R202)+N(R220)+N(R223))/(N54+O54+P54+Q54),""),"")</f>
        <v>-11.0598290598291</v>
      </c>
      <c r="S319" s="262">
        <f>IFERROR(IF(AND(COUNT(O54,P54,Q54,S54)=4,(O54+P54+Q54+S54)&lt;&gt;0),(N(S197)+N(S198)+N(S199)+N(S202)+N(S220)+N(S223))/(O54+P54+Q54+S54),""),"")</f>
        <v>-2.75239381291431</v>
      </c>
      <c r="T319" s="262">
        <f>IFERROR(IF(AND(COUNT(P54,Q54,S54,T54)=4,(P54+Q54+S54+T54)&lt;&gt;0),(N(T197)+N(T198)+N(T199)+N(T202)+N(T220)+N(T223))/(P54+Q54+S54+T54),""),"")</f>
        <v>-2.86454497632825</v>
      </c>
      <c r="U319" s="262">
        <f>IFERROR(IF(AND(COUNT(Q54,S54,T54,U54)=4,(Q54+S54+T54+U54)&lt;&gt;0),(N(U197)+N(U198)+N(U199)+N(U202)+N(U220)+N(U223))/(Q54+S54+T54+U54),""),"")</f>
        <v>-3.38624166531143</v>
      </c>
      <c r="V319" s="262">
        <f>IFERROR(IF(AND(COUNT(S54,T54,U54,V54)=4,(S54+T54+U54+V54)&lt;&gt;0),(N(V197)+N(V198)+N(V199)+N(V202)+N(V220)+N(V223))/(S54+T54+U54+V54),""),"")</f>
        <v>-2.00095447169991</v>
      </c>
      <c r="W319" s="262">
        <f>IFERROR(IF(AND(COUNT(S54,T54,U54,V54)=4,(S54+T54+U54+V54)&lt;&gt;0),(N(W197)+N(W198)+N(W199)+N(W202)+N(W220)+N(W223))/(S54+T54+U54+V54),""),"")</f>
        <v>-2.00095447169991</v>
      </c>
      <c r="X319" s="262">
        <f>IFERROR(IF(AND(COUNT(T54,U54,V54,X54)=4,(T54+U54+V54+X54)&lt;&gt;0),(N(X197)+N(X198)+N(X199)+N(X202)+N(X220)+N(X223))/(T54+U54+V54+X54),""),"")</f>
        <v>-6.31150061500615</v>
      </c>
      <c r="Y319" s="262">
        <f>IFERROR(IF(AND(COUNT(U54,V54,X54,Y54)=4,(U54+V54+X54+Y54)&lt;&gt;0),(N(Y197)+N(Y198)+N(Y199)+N(Y202)+N(Y220)+N(Y223))/(U54+V54+X54+Y54),""),"")</f>
        <v>-6.76280508765899</v>
      </c>
      <c r="Z319" s="262">
        <f>IFERROR(IF(AND(COUNT(V54,X54,Y54,Z54)=4,(V54+X54+Y54+Z54)&lt;&gt;0),(N(Z197)+N(Z198)+N(Z199)+N(Z202)+N(Z220)+N(Z223))/(V54+X54+Y54+Z54),""),"")</f>
        <v>-5.87987012987013</v>
      </c>
      <c r="AA319" s="262">
        <f>IFERROR(IF(AND(COUNT(X54,Y54,Z54,AA54)=4,(X54+Y54+Z54+AA54)&lt;&gt;0),(N(AA197)+N(AA198)+N(AA199)+N(AA202)+N(AA220)+N(AA223))/(X54+Y54+Z54+AA54),""),"")</f>
        <v>2.62075061191189</v>
      </c>
      <c r="AB319" s="262">
        <f>IFERROR(IF(AND(COUNT(X54,Y54,Z54,AA54)=4,(X54+Y54+Z54+AA54)&lt;&gt;0),(N(AB197)+N(AB198)+N(AB199)+N(AB202)+N(AB220)+N(AB223))/(X54+Y54+Z54+AA54),""),"")</f>
        <v>2.62075061191189</v>
      </c>
      <c r="AC319" s="262">
        <f>IFERROR(IF(AND(COUNT(Y54,Z54,AA54,AC54)=4,(Y54+Z54+AA54+AC54)&lt;&gt;0),(N(AC197)+N(AC198)+N(AC199)+N(AC202)+N(AC220)+N(AC223))/(Y54+Z54+AA54+AC54),""),"")</f>
        <v>2.41766522544781</v>
      </c>
      <c r="AD319" s="262">
        <f>IFERROR(IF(AND(COUNT(Z54,AA54,AC54,AD54)=4,(Z54+AA54+AC54+AD54)&lt;&gt;0),(N(AD197)+N(AD198)+N(AD199)+N(AD202)+N(AD220)+N(AD223))/(Z54+AA54+AC54+AD54),""),"")</f>
        <v>2.19463165233558</v>
      </c>
      <c r="AE319" s="262">
        <f>IFERROR(IF(AND(COUNT(AA54,AC54,AD54,AE54)=4,(AA54+AC54+AD54+AE54)&lt;&gt;0),(N(AE197)+N(AE198)+N(AE199)+N(AE202)+N(AE220)+N(AE223))/(AA54+AC54+AD54+AE54),""),"")</f>
        <v>2.09891216760677</v>
      </c>
      <c r="AF319" s="262">
        <f>IFERROR(IF(AND(COUNT(AB54,AD54,AE54,AF54)=4,(AB54+AD54+AE54+AF54)&lt;&gt;0),(N(AF197)+N(AF198)+N(AF199)+N(AF202)+N(AF220)+N(AF223))/(AB54+AD54+AE54+AF54),""),"")</f>
        <v>1.3474030243261</v>
      </c>
      <c r="AG319" s="262">
        <f>IFERROR(IF(AND(COUNT(AC54,AD54,AE54,AF54)=4,(AC54+AD54+AE54+AF54)&lt;&gt;0),(N(AG197)+N(AG198)+N(AG199)+N(AG202)+N(AG220)+N(AG223))/(AC54+AD54+AE54+AF54),""),"")</f>
        <v>2.00547998825717</v>
      </c>
      <c r="AH319" s="262">
        <f>IFERROR(IF(AND(COUNT(AD54,AF54,AG54,AH54)=4,(AD54+AF54+AG54+AH54)&lt;&gt;0),(N(AH197)+N(AH198)+N(AH199)+N(AH202)+N(AH220)+N(AH223))/(AD54+AF54+AG54+AH54),""),"")</f>
        <v>1.12170160978038</v>
      </c>
      <c r="AI319" s="262">
        <f>IFERROR(IF(AND(COUNT(AE54,AG54,AH54,AI54)=4,(AE54+AG54+AH54+AI54)&lt;&gt;0),(N(AI197)+N(AI198)+N(AI199)+N(AI202)+N(AI220)+N(AI223))/(AE54+AG54+AH54+AI54),""),"")</f>
        <v>1.03624168334505</v>
      </c>
      <c r="AJ319" s="262">
        <f>IFERROR(IF(AND(COUNT(AF54,AH54,AI54,AJ54)=4,(AF54+AH54+AI54+AJ54)&lt;&gt;0),(N(AJ197)+N(AJ198)+N(AJ199)+N(AJ202)+N(AJ220)+N(AJ223))/(AF54+AH54+AI54+AJ54),""),"")</f>
        <v>1.6580094733438</v>
      </c>
      <c r="AK319" s="262">
        <f>IFERROR(IF(AND(COUNT(AH54,AI54,AJ54,AK54)=4,(AH54+AI54+AJ54+AK54)&lt;&gt;0),(N(AK197)+N(AK198)+N(AK199)+N(AK202)+N(AK220)+N(AK223))/(AH54+AI54+AJ54+AK54),""),"")</f>
        <v>1.56846715961096</v>
      </c>
      <c r="AL319" s="262">
        <f>IFERROR(IF(AND(COUNT(AH54,AI54,AJ54,AK54)=4,(AH54+AI54+AJ54+AK54)&lt;&gt;0),(N(AL197)+N(AL198)+N(AL199)+N(AL202)+N(AL220)+N(AL223))/(AH54+AI54+AJ54+AK54),""),"")</f>
        <v>1.56846715961096</v>
      </c>
      <c r="AM319" s="262">
        <f>IFERROR(IF(AND(COUNT(AI54,AJ54,AK54,AM54)=4,(AI54+AJ54+AK54+AM54)&lt;&gt;0),(N(AM197)+N(AM198)+N(AM199)+N(AM202)+N(AM220)+N(AM223))/(AI54+AJ54+AK54+AM54),""),"")</f>
        <v>1.49254664431817</v>
      </c>
      <c r="AN319" s="262">
        <f>IFERROR(IF(AND(COUNT(AJ54,AK54,AM54,AN54)=4,(AJ54+AK54+AM54+AN54)&lt;&gt;0),(N(AN197)+N(AN198)+N(AN199)+N(AN202)+N(AN220)+N(AN223))/(AJ54+AK54+AM54+AN54),""),"")</f>
        <v>1.4239272041779</v>
      </c>
      <c r="AO319" s="262">
        <f>IFERROR(IF(AND(COUNT(AK54,AM54,AN54,AO54)=4,(AK54+AM54+AN54+AO54)&lt;&gt;0),(N(AO197)+N(AO198)+N(AO199)+N(AO202)+N(AO220)+N(AO223))/(AK54+AM54+AN54+AO54),""),"")</f>
        <v>1.35889392736848</v>
      </c>
      <c r="AP319" s="262">
        <f>IFERROR(IF(AND(COUNT(AM54,AN54,AO54,AP54)=4,(AM54+AN54+AO54+AP54)&lt;&gt;0),(N(AP197)+N(AP198)+N(AP199)+N(AP202)+N(AP220)+N(AP223))/(AM54+AN54+AO54+AP54),""),"")</f>
        <v>1.2970487448231</v>
      </c>
      <c r="AQ319" s="262">
        <f>IFERROR(IF(AND(COUNT(AM54,AN54,AO54,AP54)=4,(AM54+AN54+AO54+AP54)&lt;&gt;0),(N(AQ197)+N(AQ198)+N(AQ199)+N(AQ202)+N(AQ220)+N(AQ223))/(AM54+AN54+AO54+AP54),""),"")</f>
        <v>1.2970487448231</v>
      </c>
      <c r="AR319" s="262">
        <f>IFERROR(IF(AND(COUNT(AN54,AO54,AP54,AR54)=4,(AN54+AO54+AP54+AR54)&lt;&gt;0),(N(AR197)+N(AR198)+N(AR199)+N(AR202)+N(AR220)+N(AR223))/(AN54+AO54+AP54+AR54),""),"")</f>
        <v>1.24329635632313</v>
      </c>
      <c r="AS319" s="262">
        <f>IFERROR(IF(AND(COUNT(AO54,AP54,AR54,AS54)=4,(AO54+AP54+AR54+AS54)&lt;&gt;0),(N(AS197)+N(AS198)+N(AS199)+N(AS202)+N(AS220)+N(AS223))/(AO54+AP54+AR54+AS54),""),"")</f>
        <v>1.1901644063053</v>
      </c>
      <c r="AT319" s="262">
        <f>IFERROR(IF(AND(COUNT(AP54,AR54,AS54,AT54)=4,(AP54+AR54+AS54+AT54)&lt;&gt;0),(N(AT197)+N(AT198)+N(AT199)+N(AT202)+N(AT220)+N(AT223))/(AP54+AR54+AS54+AT54),""),"")</f>
        <v>1.13700499898</v>
      </c>
      <c r="AU319" s="262">
        <f>IFERROR(IF(AND(COUNT(AR54,AS54,AT54,AU54)=4,(AR54+AS54+AT54+AU54)&lt;&gt;0),(N(AU197)+N(AU198)+N(AU199)+N(AU202)+N(AU220)+N(AU223))/(AR54+AS54+AT54+AU54),""),"")</f>
        <v>1.08634750830699</v>
      </c>
      <c r="AV319" s="262">
        <f>IFERROR(IF(AND(COUNT(AR54,AS54,AT54,AU54)=4,(AR54+AS54+AT54+AU54)&lt;&gt;0),(N(AV197)+N(AV198)+N(AV199)+N(AV202)+N(AV220)+N(AV223))/(AR54+AS54+AT54+AU54),""),"")</f>
        <v>1.08634750830699</v>
      </c>
      <c r="AW319" s="262">
        <f>IFERROR(IF(AND(COUNT(AS54,AT54,AU54,AW54)=4,(AS54+AT54+AU54+AW54)&lt;&gt;0),(N(AW197)+N(AW198)+N(AW199)+N(AW202)+N(AW220)+N(AW223))/(AS54+AT54+AU54+AW54),""),"")</f>
        <v>1.04244070631052</v>
      </c>
      <c r="AX319" s="262">
        <f>IFERROR(IF(AND(COUNT(AT54,AU54,AW54,AX54)=4,(AT54+AU54+AW54+AX54)&lt;&gt;0),(N(AX197)+N(AX198)+N(AX199)+N(AX202)+N(AX220)+N(AX223))/(AT54+AU54+AW54+AX54),""),"")</f>
        <v>0.998948306028931</v>
      </c>
      <c r="AY319" s="262">
        <f>IFERROR(IF(AND(COUNT(AU54,AW54,AX54,AY54)=4,(AU54+AW54+AX54+AY54)&lt;&gt;0),(N(AY197)+N(AY198)+N(AY199)+N(AY202)+N(AY220)+N(AY223))/(AU54+AW54+AX54+AY54),""),"")</f>
        <v>0.955341207878395</v>
      </c>
      <c r="AZ319" s="262">
        <f>IFERROR(IF(AND(COUNT(AW54,AX54,AY54,AZ54)=4,(AW54+AX54+AY54+AZ54)&lt;&gt;0),(N(AZ197)+N(AZ198)+N(AZ199)+N(AZ202)+N(AZ220)+N(AZ223))/(AW54+AX54+AY54+AZ54),""),"")</f>
        <v>0.913700347821094</v>
      </c>
      <c r="BA319" s="262">
        <f>IFERROR(IF(AND(COUNT(AW54,AX54,AY54,AZ54)=4,(AW54+AX54+AY54+AZ54)&lt;&gt;0),(N(BA197)+N(BA198)+N(BA199)+N(BA202)+N(BA220)+N(BA223))/(AW54+AX54+AY54+AZ54),""),"")</f>
        <v>0.913700347821094</v>
      </c>
      <c r="BB319" s="262">
        <f>IFERROR(IF(AND(COUNT(AX54,AY54,AZ54,BB54)=4,(AX54+AY54+AZ54+BB54)&lt;&gt;0),(N(BB197)+N(BB198)+N(BB199)+N(BB202)+N(BB220)+N(BB223))/(AX54+AY54+AZ54+BB54),""),"")</f>
        <v>0.877710112998563</v>
      </c>
      <c r="BC319" s="262">
        <f>IFERROR(IF(AND(COUNT(AY54,AZ54,BB54,BC54)=4,(AY54+AZ54+BB54+BC54)&lt;&gt;0),(N(BC197)+N(BC198)+N(BC199)+N(BC202)+N(BC220)+N(BC223))/(AY54+AZ54+BB54+BC54),""),"")</f>
        <v>0.841983503658545</v>
      </c>
      <c r="BD319" s="262">
        <f>IFERROR(IF(AND(COUNT(AZ54,BB54,BC54,BD54)=4,(AZ54+BB54+BC54+BD54)&lt;&gt;0),(N(BD197)+N(BD198)+N(BD199)+N(BD202)+N(BD220)+N(BD223))/(AZ54+BB54+BC54+BD54),""),"")</f>
        <v>0.806086435982802</v>
      </c>
      <c r="BE319" s="262">
        <f>IFERROR(IF(AND(COUNT(BB54,BC54,BD54,BE54)=4,(BB54+BC54+BD54+BE54)&lt;&gt;0),(N(BE197)+N(BE198)+N(BE199)+N(BE202)+N(BE220)+N(BE223))/(BB54+BC54+BD54+BE54),""),"")</f>
        <v>0.771736482719402</v>
      </c>
      <c r="BF319" s="262">
        <f>IFERROR(IF(AND(COUNT(BB54,BC54,BD54,BE54)=4,(BB54+BC54+BD54+BE54)&lt;&gt;0),(N(BF197)+N(BF198)+N(BF199)+N(BF202)+N(BF220)+N(BF223))/(BB54+BC54+BD54+BE54),""),"")</f>
        <v>0.771736482719402</v>
      </c>
      <c r="BG319" s="82" t="n"/>
      <c r="BH319" s="82" t="n"/>
      <c r="BI319" s="82" t="n"/>
      <c r="BJ319" s="82" t="n"/>
      <c r="BL319" s="82" t="n"/>
      <c r="BM319" s="82" t="n"/>
      <c r="BN319" s="82" t="n"/>
      <c r="BO319" s="82" t="n"/>
      <c r="BQ319" s="82" t="n"/>
      <c r="BR319" s="82" t="n"/>
      <c r="BS319" s="82" t="n"/>
      <c r="BT319" s="82" t="n"/>
      <c r="BV319" s="82" t="n"/>
      <c r="BW319" s="82" t="n"/>
      <c r="BX319" s="82" t="n"/>
      <c r="BY319" s="82" t="n"/>
      <c r="CA319" s="82" t="n"/>
      <c r="CB319" s="82" t="n"/>
      <c r="CC319" s="82" t="n"/>
      <c r="CD319" s="82" t="n"/>
      <c r="CF319" s="82" t="n"/>
      <c r="CG319" s="82" t="n"/>
      <c r="CH319" s="82" t="n"/>
      <c r="CI319" s="82" t="n"/>
      <c r="CK319" s="82" t="n"/>
      <c r="CL319" s="82" t="n"/>
      <c r="CM319" s="82" t="n"/>
      <c r="CN319" s="82" t="n"/>
      <c r="CP319" s="82" t="n"/>
      <c r="CQ319" s="82" t="n"/>
      <c r="CR319" s="82" t="n"/>
      <c r="CS319" s="82" t="n"/>
      <c r="CU319" s="82" t="n"/>
      <c r="CV319" s="82" t="n"/>
      <c r="CW319" s="82" t="n"/>
      <c r="CX319" s="82" t="n"/>
    </row>
    <row r="320" customFormat="1" s="77">
      <c r="A320" s="76" t="n"/>
      <c r="B320" s="76" t="n"/>
      <c r="C320" s="77" t="inlineStr">
        <is>
          <t>TOTAL DEBT / TOTAL CAPITALIZATION</t>
        </is>
      </c>
      <c r="D320" s="80" t="str">
        <f>IFERROR(SUM(D197+D198+D199+D202+D220+D223)/(SUM(D197+D198+D199+D202+D220+D223)+D256),"")</f>
        <v/>
      </c>
      <c r="E320" s="80" t="str">
        <f>IFERROR(SUM(E197+E198+E199+E202+E220+E223)/(SUM(E197+E198+E199+E202+E220+E223)+E256),"")</f>
        <v/>
      </c>
      <c r="F320" s="80" t="str">
        <f>IFERROR(SUM(F197+F198+F199+F202+F220+F223)/(SUM(F197+F198+F199+F202+F220+F223)+F256),"")</f>
        <v/>
      </c>
      <c r="G320" s="80" t="str">
        <f>IFERROR(SUM(G197+G198+G199+G202+G220+G223)/(SUM(G197+G198+G199+G202+G220+G223)+G256),"")</f>
        <v/>
      </c>
      <c r="H320" s="258" t="str">
        <f>IFERROR(IF(((N(H197)+N(H198)+N(H199)+N(H202)+N(H220)+N(H223))+N(H256))&lt;&gt;0,(N(H197)+N(H198)+N(H199)+N(H202)+N(H220)+N(H223))/((N(H197)+N(H198)+N(H199)+N(H202)+N(H220)+N(H223))+H256),""),"")</f>
        <v/>
      </c>
      <c r="I320" s="258">
        <f>IFERROR(IF(((N(I197)+N(I198)+N(I199)+N(I202)+N(I220)+N(I223))+N(I256))&lt;&gt;0,(N(I197)+N(I198)+N(I199)+N(I202)+N(I220)+N(I223))/((N(I197)+N(I198)+N(I199)+N(I202)+N(I220)+N(I223))+I256),""),"")</f>
        <v>0.669996713769307</v>
      </c>
      <c r="J320" s="258">
        <f>IFERROR(IF(((N(J197)+N(J198)+N(J199)+N(J202)+N(J220)+N(J223))+N(J256))&lt;&gt;0,(N(J197)+N(J198)+N(J199)+N(J202)+N(J220)+N(J223))/((N(J197)+N(J198)+N(J199)+N(J202)+N(J220)+N(J223))+J256),""),"")</f>
        <v>0.64448187001603</v>
      </c>
      <c r="K320" s="258">
        <f>IFERROR(IF(((N(K197)+N(K198)+N(K199)+N(K202)+N(K220)+N(K223))+N(K256))&lt;&gt;0,(N(K197)+N(K198)+N(K199)+N(K202)+N(K220)+N(K223))/((N(K197)+N(K198)+N(K199)+N(K202)+N(K220)+N(K223))+K256),""),"")</f>
        <v>0.617493421311025</v>
      </c>
      <c r="L320" s="258">
        <f>IFERROR(IF(((N(L197)+N(L198)+N(L199)+N(L202)+N(L220)+N(L223))+N(L256))&lt;&gt;0,(N(L197)+N(L198)+N(L199)+N(L202)+N(L220)+N(L223))/((N(L197)+N(L198)+N(L199)+N(L202)+N(L220)+N(L223))+L256),""),"")</f>
        <v>0.45818574851547</v>
      </c>
      <c r="M320" s="258">
        <f>IFERROR(IF(((N(M197)+N(M198)+N(M199)+N(M202)+N(M220)+N(M223))+N(M256))&lt;&gt;0,(N(M197)+N(M198)+N(M199)+N(M202)+N(M220)+N(M223))/((N(M197)+N(M198)+N(M199)+N(M202)+N(M220)+N(M223))+M256),""),"")</f>
        <v>0.45818574851547</v>
      </c>
      <c r="N320" s="258">
        <f>IFERROR(IF(((N(N197)+N(N198)+N(N199)+N(N202)+N(N220)+N(N223))+N(N256))&lt;&gt;0,(N(N197)+N(N198)+N(N199)+N(N202)+N(N220)+N(N223))/((N(N197)+N(N198)+N(N199)+N(N202)+N(N220)+N(N223))+N256),""),"")</f>
        <v>0.455048502969708</v>
      </c>
      <c r="O320" s="258">
        <f>IFERROR(IF(((N(O197)+N(O198)+N(O199)+N(O202)+N(O220)+N(O223))+N(O256))&lt;&gt;0,(N(O197)+N(O198)+N(O199)+N(O202)+N(O220)+N(O223))/((N(O197)+N(O198)+N(O199)+N(O202)+N(O220)+N(O223))+O256),""),"")</f>
        <v>0.475034329622812</v>
      </c>
      <c r="P320" s="258">
        <f>IFERROR(IF(((N(P197)+N(P198)+N(P199)+N(P202)+N(P220)+N(P223))+N(P256))&lt;&gt;0,(N(P197)+N(P198)+N(P199)+N(P202)+N(P220)+N(P223))/((N(P197)+N(P198)+N(P199)+N(P202)+N(P220)+N(P223))+P256),""),"")</f>
        <v>0.481458023244767</v>
      </c>
      <c r="Q320" s="258">
        <f>IFERROR(IF(((N(Q197)+N(Q198)+N(Q199)+N(Q202)+N(Q220)+N(Q223))+N(Q256))&lt;&gt;0,(N(Q197)+N(Q198)+N(Q199)+N(Q202)+N(Q220)+N(Q223))/((N(Q197)+N(Q198)+N(Q199)+N(Q202)+N(Q220)+N(Q223))+Q256),""),"")</f>
        <v>0.462625309251076</v>
      </c>
      <c r="R320" s="258">
        <f>IFERROR(IF(((N(R197)+N(R198)+N(R199)+N(R202)+N(R220)+N(R223))+N(R256))&lt;&gt;0,(N(R197)+N(R198)+N(R199)+N(R202)+N(R220)+N(R223))/((N(R197)+N(R198)+N(R199)+N(R202)+N(R220)+N(R223))+R256),""),"")</f>
        <v>0.462625309251076</v>
      </c>
      <c r="S320" s="258">
        <f>IFERROR(IF(((N(S197)+N(S198)+N(S199)+N(S202)+N(S220)+N(S223))+N(S256))&lt;&gt;0,(N(S197)+N(S198)+N(S199)+N(S202)+N(S220)+N(S223))/((N(S197)+N(S198)+N(S199)+N(S202)+N(S220)+N(S223))+S256),""),"")</f>
        <v>0.405883417813179</v>
      </c>
      <c r="T320" s="258">
        <f>IFERROR(IF(((N(T197)+N(T198)+N(T199)+N(T202)+N(T220)+N(T223))+N(T256))&lt;&gt;0,(N(T197)+N(T198)+N(T199)+N(T202)+N(T220)+N(T223))/((N(T197)+N(T198)+N(T199)+N(T202)+N(T220)+N(T223))+T256),""),"")</f>
        <v>0.402267858461993</v>
      </c>
      <c r="U320" s="258">
        <f>IFERROR(IF(((N(U197)+N(U198)+N(U199)+N(U202)+N(U220)+N(U223))+N(U256))&lt;&gt;0,(N(U197)+N(U198)+N(U199)+N(U202)+N(U220)+N(U223))/((N(U197)+N(U198)+N(U199)+N(U202)+N(U220)+N(U223))+U256),""),"")</f>
        <v>0.411055177178956</v>
      </c>
      <c r="V320" s="258">
        <f>IFERROR(IF(((N(V197)+N(V198)+N(V199)+N(V202)+N(V220)+N(V223))+N(V256))&lt;&gt;0,(N(V197)+N(V198)+N(V199)+N(V202)+N(V220)+N(V223))/((N(V197)+N(V198)+N(V199)+N(V202)+N(V220)+N(V223))+V256),""),"")</f>
        <v>0.423139027934765</v>
      </c>
      <c r="W320" s="258">
        <f>IFERROR(IF(((N(W197)+N(W198)+N(W199)+N(W202)+N(W220)+N(W223))+N(W256))&lt;&gt;0,(N(W197)+N(W198)+N(W199)+N(W202)+N(W220)+N(W223))/((N(W197)+N(W198)+N(W199)+N(W202)+N(W220)+N(W223))+W256),""),"")</f>
        <v>0.423139027934765</v>
      </c>
      <c r="X320" s="258">
        <f>IFERROR(IF(((N(X197)+N(X198)+N(X199)+N(X202)+N(X220)+N(X223))+N(X256))&lt;&gt;0,(N(X197)+N(X198)+N(X199)+N(X202)+N(X220)+N(X223))/((N(X197)+N(X198)+N(X199)+N(X202)+N(X220)+N(X223))+X256),""),"")</f>
        <v>0.397547889751884</v>
      </c>
      <c r="Y320" s="258">
        <f>IFERROR(IF(((N(Y197)+N(Y198)+N(Y199)+N(Y202)+N(Y220)+N(Y223))+N(Y256))&lt;&gt;0,(N(Y197)+N(Y198)+N(Y199)+N(Y202)+N(Y220)+N(Y223))/((N(Y197)+N(Y198)+N(Y199)+N(Y202)+N(Y220)+N(Y223))+Y256),""),"")</f>
        <v>0.510774742963963</v>
      </c>
      <c r="Z320" s="258">
        <f>IFERROR(IF(((N(Z197)+N(Z198)+N(Z199)+N(Z202)+N(Z220)+N(Z223))+N(Z256))&lt;&gt;0,(N(Z197)+N(Z198)+N(Z199)+N(Z202)+N(Z220)+N(Z223))/((N(Z197)+N(Z198)+N(Z199)+N(Z202)+N(Z220)+N(Z223))+Z256),""),"")</f>
        <v>0.510480729807298</v>
      </c>
      <c r="AA320" s="258">
        <f>IFERROR(IF(((N(AA197)+N(AA198)+N(AA199)+N(AA202)+N(AA220)+N(AA223))+N(AA256))&lt;&gt;0,(N(AA197)+N(AA198)+N(AA199)+N(AA202)+N(AA220)+N(AA223))/((N(AA197)+N(AA198)+N(AA199)+N(AA202)+N(AA220)+N(AA223))+AA256),""),"")</f>
        <v>0.496240795097585</v>
      </c>
      <c r="AB320" s="258">
        <f>IFERROR(IF(((N(AB197)+N(AB198)+N(AB199)+N(AB202)+N(AB220)+N(AB223))+N(AB256))&lt;&gt;0,(N(AB197)+N(AB198)+N(AB199)+N(AB202)+N(AB220)+N(AB223))/((N(AB197)+N(AB198)+N(AB199)+N(AB202)+N(AB220)+N(AB223))+AB256),""),"")</f>
        <v>0.496240795097585</v>
      </c>
      <c r="AC320" s="258">
        <f>IFERROR(IF(((N(AC197)+N(AC198)+N(AC199)+N(AC202)+N(AC220)+N(AC223))+N(AC256))&lt;&gt;0,(N(AC197)+N(AC198)+N(AC199)+N(AC202)+N(AC220)+N(AC223))/((N(AC197)+N(AC198)+N(AC199)+N(AC202)+N(AC220)+N(AC223))+AC256),""),"")</f>
        <v>0.501319193626886</v>
      </c>
      <c r="AD320" s="258">
        <f>IFERROR(IF(((N(AD197)+N(AD198)+N(AD199)+N(AD202)+N(AD220)+N(AD223))+N(AD256))&lt;&gt;0,(N(AD197)+N(AD198)+N(AD199)+N(AD202)+N(AD220)+N(AD223))/((N(AD197)+N(AD198)+N(AD199)+N(AD202)+N(AD220)+N(AD223))+AD256),""),"")</f>
        <v>0.494010253191044</v>
      </c>
      <c r="AE320" s="258">
        <f>IFERROR(IF(((N(AE197)+N(AE198)+N(AE199)+N(AE202)+N(AE220)+N(AE223))+N(AE256))&lt;&gt;0,(N(AE197)+N(AE198)+N(AE199)+N(AE202)+N(AE220)+N(AE223))/((N(AE197)+N(AE198)+N(AE199)+N(AE202)+N(AE220)+N(AE223))+AE256),""),"")</f>
        <v>0.522779729051681</v>
      </c>
      <c r="AF320" s="258">
        <f>IFERROR(IF(((N(AF197)+N(AF198)+N(AF199)+N(AF202)+N(AF220)+N(AF223))+N(AF256))&lt;&gt;0,(N(AF197)+N(AF198)+N(AF199)+N(AF202)+N(AF220)+N(AF223))/((N(AF197)+N(AF198)+N(AF199)+N(AF202)+N(AF220)+N(AF223))+AF256),""),"")</f>
        <v>0.520244713527784</v>
      </c>
      <c r="AG320" s="258">
        <f>IFERROR(IF(((N(AG197)+N(AG198)+N(AG199)+N(AG202)+N(AG220)+N(AG223))+N(AG256))&lt;&gt;0,(N(AG197)+N(AG198)+N(AG199)+N(AG202)+N(AG220)+N(AG223))/((N(AG197)+N(AG198)+N(AG199)+N(AG202)+N(AG220)+N(AG223))+AG256),""),"")</f>
        <v>0.520244713527784</v>
      </c>
      <c r="AH320" s="258">
        <f>IFERROR(IF(((N(AH197)+N(AH198)+N(AH199)+N(AH202)+N(AH220)+N(AH223))+N(AH256))&lt;&gt;0,(N(AH197)+N(AH198)+N(AH199)+N(AH202)+N(AH220)+N(AH223))/((N(AH197)+N(AH198)+N(AH199)+N(AH202)+N(AH220)+N(AH223))+AH256),""),"")</f>
        <v>0.525651328580687</v>
      </c>
      <c r="AI320" s="258">
        <f>IFERROR(IF(((N(AI197)+N(AI198)+N(AI199)+N(AI202)+N(AI220)+N(AI223))+N(AI256))&lt;&gt;0,(N(AI197)+N(AI198)+N(AI199)+N(AI202)+N(AI220)+N(AI223))/((N(AI197)+N(AI198)+N(AI199)+N(AI202)+N(AI220)+N(AI223))+AI256),""),"")</f>
        <v>0.517421132238548</v>
      </c>
      <c r="AJ320" s="258">
        <f>IFERROR(IF(((N(AJ197)+N(AJ198)+N(AJ199)+N(AJ202)+N(AJ220)+N(AJ223))+N(AJ256))&lt;&gt;0,(N(AJ197)+N(AJ198)+N(AJ199)+N(AJ202)+N(AJ220)+N(AJ223))/((N(AJ197)+N(AJ198)+N(AJ199)+N(AJ202)+N(AJ220)+N(AJ223))+AJ256),""),"")</f>
        <v>0.480153946923169</v>
      </c>
      <c r="AK320" s="258">
        <f>IFERROR(IF(((N(AK197)+N(AK198)+N(AK199)+N(AK202)+N(AK220)+N(AK223))+N(AK256))&lt;&gt;0,(N(AK197)+N(AK198)+N(AK199)+N(AK202)+N(AK220)+N(AK223))/((N(AK197)+N(AK198)+N(AK199)+N(AK202)+N(AK220)+N(AK223))+AK256),""),"")</f>
        <v>0.446574173444425</v>
      </c>
      <c r="AL320" s="258">
        <f>IFERROR(IF(((N(AL197)+N(AL198)+N(AL199)+N(AL202)+N(AL220)+N(AL223))+N(AL256))&lt;&gt;0,(N(AL197)+N(AL198)+N(AL199)+N(AL202)+N(AL220)+N(AL223))/((N(AL197)+N(AL198)+N(AL199)+N(AL202)+N(AL220)+N(AL223))+AL256),""),"")</f>
        <v>0.446574173444425</v>
      </c>
      <c r="AM320" s="258">
        <f>IFERROR(IF(((N(AM197)+N(AM198)+N(AM199)+N(AM202)+N(AM220)+N(AM223))+N(AM256))&lt;&gt;0,(N(AM197)+N(AM198)+N(AM199)+N(AM202)+N(AM220)+N(AM223))/((N(AM197)+N(AM198)+N(AM199)+N(AM202)+N(AM220)+N(AM223))+AM256),""),"")</f>
        <v>0.418082621379997</v>
      </c>
      <c r="AN320" s="258">
        <f>IFERROR(IF(((N(AN197)+N(AN198)+N(AN199)+N(AN202)+N(AN220)+N(AN223))+N(AN256))&lt;&gt;0,(N(AN197)+N(AN198)+N(AN199)+N(AN202)+N(AN220)+N(AN223))/((N(AN197)+N(AN198)+N(AN199)+N(AN202)+N(AN220)+N(AN223))+AN256),""),"")</f>
        <v>0.391196694708031</v>
      </c>
      <c r="AO320" s="258">
        <f>IFERROR(IF(((N(AO197)+N(AO198)+N(AO199)+N(AO202)+N(AO220)+N(AO223))+N(AO256))&lt;&gt;0,(N(AO197)+N(AO198)+N(AO199)+N(AO202)+N(AO220)+N(AO223))/((N(AO197)+N(AO198)+N(AO199)+N(AO202)+N(AO220)+N(AO223))+AO256),""),"")</f>
        <v>0.365482875326859</v>
      </c>
      <c r="AP320" s="258">
        <f>IFERROR(IF(((N(AP197)+N(AP198)+N(AP199)+N(AP202)+N(AP220)+N(AP223))+N(AP256))&lt;&gt;0,(N(AP197)+N(AP198)+N(AP199)+N(AP202)+N(AP220)+N(AP223))/((N(AP197)+N(AP198)+N(AP199)+N(AP202)+N(AP220)+N(AP223))+AP256),""),"")</f>
        <v>0.342012748569201</v>
      </c>
      <c r="AQ320" s="258">
        <f>IFERROR(IF(((N(AQ197)+N(AQ198)+N(AQ199)+N(AQ202)+N(AQ220)+N(AQ223))+N(AQ256))&lt;&gt;0,(N(AQ197)+N(AQ198)+N(AQ199)+N(AQ202)+N(AQ220)+N(AQ223))/((N(AQ197)+N(AQ198)+N(AQ199)+N(AQ202)+N(AQ220)+N(AQ223))+AQ256),""),"")</f>
        <v>0.342012748569201</v>
      </c>
      <c r="AR320" s="258">
        <f>IFERROR(IF(((N(AR197)+N(AR198)+N(AR199)+N(AR202)+N(AR220)+N(AR223))+N(AR256))&lt;&gt;0,(N(AR197)+N(AR198)+N(AR199)+N(AR202)+N(AR220)+N(AR223))/((N(AR197)+N(AR198)+N(AR199)+N(AR202)+N(AR220)+N(AR223))+AR256),""),"")</f>
        <v>0.321950512774553</v>
      </c>
      <c r="AS320" s="258">
        <f>IFERROR(IF(((N(AS197)+N(AS198)+N(AS199)+N(AS202)+N(AS220)+N(AS223))+N(AS256))&lt;&gt;0,(N(AS197)+N(AS198)+N(AS199)+N(AS202)+N(AS220)+N(AS223))/((N(AS197)+N(AS198)+N(AS199)+N(AS202)+N(AS220)+N(AS223))+AS256),""),"")</f>
        <v>0.302815760712729</v>
      </c>
      <c r="AT320" s="258">
        <f>IFERROR(IF(((N(AT197)+N(AT198)+N(AT199)+N(AT202)+N(AT220)+N(AT223))+N(AT256))&lt;&gt;0,(N(AT197)+N(AT198)+N(AT199)+N(AT202)+N(AT220)+N(AT223))/((N(AT197)+N(AT198)+N(AT199)+N(AT202)+N(AT220)+N(AT223))+AT256),""),"")</f>
        <v>0.284327772225165</v>
      </c>
      <c r="AU320" s="258">
        <f>IFERROR(IF(((N(AU197)+N(AU198)+N(AU199)+N(AU202)+N(AU220)+N(AU223))+N(AU256))&lt;&gt;0,(N(AU197)+N(AU198)+N(AU199)+N(AU202)+N(AU220)+N(AU223))/((N(AU197)+N(AU198)+N(AU199)+N(AU202)+N(AU220)+N(AU223))+AU256),""),"")</f>
        <v>0.26729063366428</v>
      </c>
      <c r="AV320" s="258">
        <f>IFERROR(IF(((N(AV197)+N(AV198)+N(AV199)+N(AV202)+N(AV220)+N(AV223))+N(AV256))&lt;&gt;0,(N(AV197)+N(AV198)+N(AV199)+N(AV202)+N(AV220)+N(AV223))/((N(AV197)+N(AV198)+N(AV199)+N(AV202)+N(AV220)+N(AV223))+AV256),""),"")</f>
        <v>0.26729063366428</v>
      </c>
      <c r="AW320" s="258">
        <f>IFERROR(IF(((N(AW197)+N(AW198)+N(AW199)+N(AW202)+N(AW220)+N(AW223))+N(AW256))&lt;&gt;0,(N(AW197)+N(AW198)+N(AW199)+N(AW202)+N(AW220)+N(AW223))/((N(AW197)+N(AW198)+N(AW199)+N(AW202)+N(AW220)+N(AW223))+AW256),""),"")</f>
        <v>0.2526609555184</v>
      </c>
      <c r="AX320" s="258">
        <f>IFERROR(IF(((N(AX197)+N(AX198)+N(AX199)+N(AX202)+N(AX220)+N(AX223))+N(AX256))&lt;&gt;0,(N(AX197)+N(AX198)+N(AX199)+N(AX202)+N(AX220)+N(AX223))/((N(AX197)+N(AX198)+N(AX199)+N(AX202)+N(AX220)+N(AX223))+AX256),""),"")</f>
        <v>0.238593456660232</v>
      </c>
      <c r="AY320" s="258">
        <f>IFERROR(IF(((N(AY197)+N(AY198)+N(AY199)+N(AY202)+N(AY220)+N(AY223))+N(AY256))&lt;&gt;0,(N(AY197)+N(AY198)+N(AY199)+N(AY202)+N(AY220)+N(AY223))/((N(AY197)+N(AY198)+N(AY199)+N(AY202)+N(AY220)+N(AY223))+AY256),""),"")</f>
        <v>0.224894299045095</v>
      </c>
      <c r="AZ320" s="258">
        <f>IFERROR(IF(((N(AZ197)+N(AZ198)+N(AZ199)+N(AZ202)+N(AZ220)+N(AZ223))+N(AZ256))&lt;&gt;0,(N(AZ197)+N(AZ198)+N(AZ199)+N(AZ202)+N(AZ220)+N(AZ223))/((N(AZ197)+N(AZ198)+N(AZ199)+N(AZ202)+N(AZ220)+N(AZ223))+AZ256),""),"")</f>
        <v>0.21217588155982</v>
      </c>
      <c r="BA320" s="258">
        <f>IFERROR(IF(((N(BA197)+N(BA198)+N(BA199)+N(BA202)+N(BA220)+N(BA223))+N(BA256))&lt;&gt;0,(N(BA197)+N(BA198)+N(BA199)+N(BA202)+N(BA220)+N(BA223))/((N(BA197)+N(BA198)+N(BA199)+N(BA202)+N(BA220)+N(BA223))+BA256),""),"")</f>
        <v>0.21217588155982</v>
      </c>
      <c r="BB320" s="258">
        <f>IFERROR(IF(((N(BB197)+N(BB198)+N(BB199)+N(BB202)+N(BB220)+N(BB223))+N(BB256))&lt;&gt;0,(N(BB197)+N(BB198)+N(BB199)+N(BB202)+N(BB220)+N(BB223))/((N(BB197)+N(BB198)+N(BB199)+N(BB202)+N(BB220)+N(BB223))+BB256),""),"")</f>
        <v>0.201225561358957</v>
      </c>
      <c r="BC320" s="258">
        <f>IFERROR(IF(((N(BC197)+N(BC198)+N(BC199)+N(BC202)+N(BC220)+N(BC223))+N(BC256))&lt;&gt;0,(N(BC197)+N(BC198)+N(BC199)+N(BC202)+N(BC220)+N(BC223))/((N(BC197)+N(BC198)+N(BC199)+N(BC202)+N(BC220)+N(BC223))+BC256),""),"")</f>
        <v>0.190627563471322</v>
      </c>
      <c r="BD320" s="258">
        <f>IFERROR(IF(((N(BD197)+N(BD198)+N(BD199)+N(BD202)+N(BD220)+N(BD223))+N(BD256))&lt;&gt;0,(N(BD197)+N(BD198)+N(BD199)+N(BD202)+N(BD220)+N(BD223))/((N(BD197)+N(BD198)+N(BD199)+N(BD202)+N(BD220)+N(BD223))+BD256),""),"")</f>
        <v>0.180241925922816</v>
      </c>
      <c r="BE320" s="258">
        <f>IFERROR(IF(((N(BE197)+N(BE198)+N(BE199)+N(BE202)+N(BE220)+N(BE223))+N(BE256))&lt;&gt;0,(N(BE197)+N(BE198)+N(BE199)+N(BE202)+N(BE220)+N(BE223))/((N(BE197)+N(BE198)+N(BE199)+N(BE202)+N(BE220)+N(BE223))+BE256),""),"")</f>
        <v>0.17054174371181</v>
      </c>
      <c r="BF320" s="258">
        <f>IFERROR(IF(((N(BF197)+N(BF198)+N(BF199)+N(BF202)+N(BF220)+N(BF223))+N(BF256))&lt;&gt;0,(N(BF197)+N(BF198)+N(BF199)+N(BF202)+N(BF220)+N(BF223))/((N(BF197)+N(BF198)+N(BF199)+N(BF202)+N(BF220)+N(BF223))+BF256),""),"")</f>
        <v>0.17054174371181</v>
      </c>
      <c r="BG320" s="80" t="n"/>
      <c r="BH320" s="80" t="n"/>
      <c r="BI320" s="80" t="n"/>
      <c r="BJ320" s="80" t="n"/>
      <c r="BL320" s="80" t="n"/>
      <c r="BM320" s="80" t="n"/>
      <c r="BN320" s="80" t="n"/>
      <c r="BO320" s="80" t="n"/>
      <c r="BQ320" s="80" t="n"/>
      <c r="BR320" s="80" t="n"/>
      <c r="BS320" s="80" t="n"/>
      <c r="BT320" s="80" t="n"/>
      <c r="BV320" s="80" t="n"/>
      <c r="BW320" s="80" t="n"/>
      <c r="BX320" s="80" t="n"/>
      <c r="BY320" s="80" t="n"/>
      <c r="CA320" s="80" t="n"/>
      <c r="CB320" s="80" t="n"/>
      <c r="CC320" s="80" t="n"/>
      <c r="CD320" s="80" t="n"/>
      <c r="CF320" s="80" t="n"/>
      <c r="CG320" s="80" t="n"/>
      <c r="CH320" s="80" t="n"/>
      <c r="CI320" s="80" t="n"/>
      <c r="CK320" s="80" t="n"/>
      <c r="CL320" s="80" t="n"/>
      <c r="CM320" s="80" t="n"/>
      <c r="CN320" s="80" t="n"/>
      <c r="CP320" s="80" t="n"/>
      <c r="CQ320" s="80" t="n"/>
      <c r="CR320" s="80" t="n"/>
      <c r="CS320" s="80" t="n"/>
      <c r="CU320" s="80" t="n"/>
      <c r="CV320" s="80" t="n"/>
      <c r="CW320" s="80" t="n"/>
      <c r="CX320" s="80" t="n"/>
    </row>
    <row r="321" customFormat="1" s="77">
      <c r="A321" s="76" t="n"/>
      <c r="B321" s="76" t="n"/>
      <c r="C321" s="77" t="inlineStr">
        <is>
          <t>NET DEBT / EBITDA (LTM)</t>
        </is>
      </c>
      <c r="D321" s="82" t="str">
        <f>IFERROR(SUM((D197+D198+D199+D202+D220)-D129)/(D54*4),"")</f>
        <v/>
      </c>
      <c r="E321" s="82" t="str">
        <f>IFERROR(SUM((E197+E198+E199+E202+E220)-E129)/(E54*4),"")</f>
        <v/>
      </c>
      <c r="F321" s="82" t="str">
        <f>IFERROR(SUM((F197+F198+F199+F202+F220)-F129)/(F54*4),"")</f>
        <v/>
      </c>
      <c r="G321" s="82" t="str">
        <f>IFERROR(SUM((G197+G198+G199+G202+G220)-G129)/(G54*4),"")</f>
        <v/>
      </c>
      <c r="H321" s="262" t="str">
        <f>IFERROR(IF(AND(COUNT(H54)=1,(H54)&lt;&gt;0),((N(H197)+N(H198)+N(H199)+N(H202)+N(H220)+N(H223))-N(H129))/(H54),""),"")</f>
        <v/>
      </c>
      <c r="I321" s="262" t="str">
        <f>""</f>
        <v/>
      </c>
      <c r="J321" s="262" t="str">
        <f>""</f>
        <v/>
      </c>
      <c r="K321" s="262" t="str">
        <f>""</f>
        <v/>
      </c>
      <c r="L321" s="262">
        <f>IFERROR(IF(AND(COUNT(I54,J54,K54,L54)=4,(I54+J54+K54+L54)&lt;&gt;0),((N(L197)+N(L198)+N(L199)+N(L202)+N(L220)+N(L223))-N(L129))/(I54+J54+K54+L54),""),"")</f>
        <v>-7.03696991663646</v>
      </c>
      <c r="M321" s="262">
        <f>IFERROR(IF(AND(COUNT(I54,J54,K54,L54)=4,(I54+J54+K54+L54)&lt;&gt;0),((N(M197)+N(M198)+N(M199)+N(M202)+N(M220)+N(M223))-N(M129))/(I54+J54+K54+L54),""),"")</f>
        <v>-7.03696991663646</v>
      </c>
      <c r="N321" s="262">
        <f>IFERROR(IF(AND(COUNT(J54,K54,L54,N54)=4,(J54+K54+L54+N54)&lt;&gt;0),((N(N197)+N(N198)+N(N199)+N(N202)+N(N220)+N(N223))-N(N129))/(J54+K54+L54+N54),""),"")</f>
        <v>-5.68398031711318</v>
      </c>
      <c r="O321" s="262">
        <f>IFERROR(IF(AND(COUNT(K54,L54,N54,O54)=4,(K54+L54+N54+O54)&lt;&gt;0),((N(O197)+N(O198)+N(O199)+N(O202)+N(O220)+N(O223))-N(O129))/(K54+L54+N54+O54),""),"")</f>
        <v>-10.8158925573587</v>
      </c>
      <c r="P321" s="262">
        <f>IFERROR(IF(AND(COUNT(L54,N54,O54,P54)=4,(L54+N54+O54+P54)&lt;&gt;0),((N(P197)+N(P198)+N(P199)+N(P202)+N(P220)+N(P223))-N(P129))/(L54+N54+O54+P54),""),"")</f>
        <v>-6.94346978557505</v>
      </c>
      <c r="Q321" s="262">
        <f>IFERROR(IF(AND(COUNT(N54,O54,P54,Q54)=4,(N54+O54+P54+Q54)&lt;&gt;0),((N(Q197)+N(Q198)+N(Q199)+N(Q202)+N(Q220)+N(Q223))-N(Q129))/(N54+O54+P54+Q54),""),"")</f>
        <v>-5.1582905982906</v>
      </c>
      <c r="R321" s="262">
        <f>IFERROR(IF(AND(COUNT(N54,O54,P54,Q54)=4,(N54+O54+P54+Q54)&lt;&gt;0),((N(R197)+N(R198)+N(R199)+N(R202)+N(R220)+N(R223))-N(R129))/(N54+O54+P54+Q54),""),"")</f>
        <v>-5.1582905982906</v>
      </c>
      <c r="S321" s="262">
        <f>IFERROR(IF(AND(COUNT(O54,P54,Q54,S54)=4,(O54+P54+Q54+S54)&lt;&gt;0),((N(S197)+N(S198)+N(S199)+N(S202)+N(S220)+N(S223))-N(S129))/(O54+P54+Q54+S54),""),"")</f>
        <v>-1.27915541369998</v>
      </c>
      <c r="T321" s="262">
        <f>IFERROR(IF(AND(COUNT(P54,Q54,S54,T54)=4,(P54+Q54+S54+T54)&lt;&gt;0),((N(T197)+N(T198)+N(T199)+N(T202)+N(T220)+N(T223))-N(T129))/(P54+Q54+S54+T54),""),"")</f>
        <v>-1.18569174118885</v>
      </c>
      <c r="U321" s="262">
        <f>IFERROR(IF(AND(COUNT(Q54,S54,T54,U54)=4,(Q54+S54+T54+U54)&lt;&gt;0),((N(U197)+N(U198)+N(U199)+N(U202)+N(U220)+N(U223))-N(U129))/(Q54+S54+T54+U54),""),"")</f>
        <v>-1.25142299560904</v>
      </c>
      <c r="V321" s="262">
        <f>IFERROR(IF(AND(COUNT(S54,T54,U54,V54)=4,(S54+T54+U54+V54)&lt;&gt;0),((N(V197)+N(V198)+N(V199)+N(V202)+N(V220)+N(V223))-N(V129))/(S54+T54+U54+V54),""),"")</f>
        <v>-0.381502338455665</v>
      </c>
      <c r="W321" s="262">
        <f>IFERROR(IF(AND(COUNT(S54,T54,U54,V54)=4,(S54+T54+U54+V54)&lt;&gt;0),((N(W197)+N(W198)+N(W199)+N(W202)+N(W220)+N(W223))-N(W129))/(S54+T54+U54+V54),""),"")</f>
        <v>-0.381502338455665</v>
      </c>
      <c r="X321" s="262">
        <f>IFERROR(IF(AND(COUNT(T54,U54,V54,X54)=4,(T54+U54+V54+X54)&lt;&gt;0),((N(X197)+N(X198)+N(X199)+N(X202)+N(X220)+N(X223))-N(X129))/(T54+U54+V54+X54),""),"")</f>
        <v>-0.638991389913899</v>
      </c>
      <c r="Y321" s="262">
        <f>IFERROR(IF(AND(COUNT(U54,V54,X54,Y54)=4,(U54+V54+X54+Y54)&lt;&gt;0),((N(Y197)+N(Y198)+N(Y199)+N(Y202)+N(Y220)+N(Y223))-N(Y129))/(U54+V54+X54+Y54),""),"")</f>
        <v>-2.60089377793056</v>
      </c>
      <c r="Z321" s="262">
        <f>IFERROR(IF(AND(COUNT(V54,X54,Y54,Z54)=4,(V54+X54+Y54+Z54)&lt;&gt;0),((N(Z197)+N(Z198)+N(Z199)+N(Z202)+N(Z220)+N(Z223))-N(Z129))/(V54+X54+Y54+Z54),""),"")</f>
        <v>-1.82910271546635</v>
      </c>
      <c r="AA321" s="262">
        <f>IFERROR(IF(AND(COUNT(X54,Y54,Z54,AA54)=4,(X54+Y54+Z54+AA54)&lt;&gt;0),((N(AA197)+N(AA198)+N(AA199)+N(AA202)+N(AA220)+N(AA223))-N(AA129))/(X54+Y54+Z54+AA54),""),"")</f>
        <v>0.768833288006527</v>
      </c>
      <c r="AB321" s="262">
        <f>IFERROR(IF(AND(COUNT(X54,Y54,Z54,AA54)=4,(X54+Y54+Z54+AA54)&lt;&gt;0),((N(AB197)+N(AB198)+N(AB199)+N(AB202)+N(AB220)+N(AB223))-N(AB129))/(X54+Y54+Z54+AA54),""),"")</f>
        <v>0.768833288006527</v>
      </c>
      <c r="AC321" s="262">
        <f>IFERROR(IF(AND(COUNT(Y54,Z54,AA54,AC54)=4,(Y54+Z54+AA54+AC54)&lt;&gt;0),((N(AC197)+N(AC198)+N(AC199)+N(AC202)+N(AC220)+N(AC223))-N(AC129))/(Y54+Z54+AA54+AC54),""),"")</f>
        <v>0.885237801111797</v>
      </c>
      <c r="AD321" s="262">
        <f>IFERROR(IF(AND(COUNT(Z54,AA54,AC54,AD54)=4,(Z54+AA54+AC54+AD54)&lt;&gt;0),((N(AD197)+N(AD198)+N(AD199)+N(AD202)+N(AD220)+N(AD223))-N(AD129))/(Z54+AA54+AC54+AD54),""),"")</f>
        <v>0.932605159191262</v>
      </c>
      <c r="AE321" s="262">
        <f>IFERROR(IF(AND(COUNT(AA54,AC54,AD54,AE54)=4,(AA54+AC54+AD54+AE54)&lt;&gt;0),((N(AE197)+N(AE198)+N(AE199)+N(AE202)+N(AE220)+N(AE223))-N(AE129))/(AA54+AC54+AD54+AE54),""),"")</f>
        <v>0.839746172441579</v>
      </c>
      <c r="AF321" s="262">
        <f>IFERROR(IF(AND(COUNT(AB54,AD54,AE54,AF54)=4,(AB54+AD54+AE54+AF54)&lt;&gt;0),((N(AF197)+N(AF198)+N(AF199)+N(AF202)+N(AF220)+N(AF223))-N(AF129))/(AB54+AD54+AE54+AF54),""),"")</f>
        <v>0.53267587113741</v>
      </c>
      <c r="AG321" s="262">
        <f>IFERROR(IF(AND(COUNT(AC54,AD54,AE54,AF54)=4,(AC54+AD54+AE54+AF54)&lt;&gt;0),((N(AG197)+N(AG198)+N(AG199)+N(AG202)+N(AG220)+N(AG223))-N(AG129))/(AC54+AD54+AE54+AF54),""),"")</f>
        <v>0.792836872492416</v>
      </c>
      <c r="AH321" s="262">
        <f>IFERROR(IF(AND(COUNT(AD54,AF54,AG54,AH54)=4,(AD54+AF54+AG54+AH54)&lt;&gt;0),((N(AH197)+N(AH198)+N(AH199)+N(AH202)+N(AH220)+N(AH223))-N(AH129))/(AD54+AF54+AG54+AH54),""),"")</f>
        <v>0.514244620235659</v>
      </c>
      <c r="AI321" s="262">
        <f>IFERROR(IF(AND(COUNT(AE54,AG54,AH54,AI54)=4,(AE54+AG54+AH54+AI54)&lt;&gt;0),((N(AI197)+N(AI198)+N(AI199)+N(AI202)+N(AI220)+N(AI223))-N(AI129))/(AE54+AG54+AH54+AI54),""),"")</f>
        <v>0.530751338778601</v>
      </c>
      <c r="AJ321" s="262">
        <f>IFERROR(IF(AND(COUNT(AF54,AH54,AI54,AJ54)=4,(AF54+AH54+AI54+AJ54)&lt;&gt;0),((N(AJ197)+N(AJ198)+N(AJ199)+N(AJ202)+N(AJ220)+N(AJ223))-N(AJ129))/(AF54+AH54+AI54+AJ54),""),"")</f>
        <v>0.763836902455718</v>
      </c>
      <c r="AK321" s="262">
        <f>IFERROR(IF(AND(COUNT(AH54,AI54,AJ54,AK54)=4,(AH54+AI54+AJ54+AK54)&lt;&gt;0),((N(AK197)+N(AK198)+N(AK199)+N(AK202)+N(AK220)+N(AK223))-N(AK129))/(AH54+AI54+AJ54+AK54),""),"")</f>
        <v>0.53394370471712</v>
      </c>
      <c r="AL321" s="262">
        <f>IFERROR(IF(AND(COUNT(AH54,AI54,AJ54,AK54)=4,(AH54+AI54+AJ54+AK54)&lt;&gt;0),((N(AL197)+N(AL198)+N(AL199)+N(AL202)+N(AL220)+N(AL223))-N(AL129))/(AH54+AI54+AJ54+AK54),""),"")</f>
        <v>0.53394370471712</v>
      </c>
      <c r="AM321" s="262">
        <f>IFERROR(IF(AND(COUNT(AI54,AJ54,AK54,AM54)=4,(AI54+AJ54+AK54+AM54)&lt;&gt;0),((N(AM197)+N(AM198)+N(AM199)+N(AM202)+N(AM220)+N(AM223))-N(AM129))/(AI54+AJ54+AK54+AM54),""),"")</f>
        <v>0.275131764194764</v>
      </c>
      <c r="AN321" s="262">
        <f>IFERROR(IF(AND(COUNT(AJ54,AK54,AM54,AN54)=4,(AJ54+AK54+AM54+AN54)&lt;&gt;0),((N(AN197)+N(AN198)+N(AN199)+N(AN202)+N(AN220)+N(AN223))-N(AN129))/(AJ54+AK54+AM54+AN54),""),"")</f>
        <v>0.108437771700696</v>
      </c>
      <c r="AO321" s="262">
        <f>IFERROR(IF(AND(COUNT(AK54,AM54,AN54,AO54)=4,(AK54+AM54+AN54+AO54)&lt;&gt;0),((N(AO197)+N(AO198)+N(AO199)+N(AO202)+N(AO220)+N(AO223))-N(AO129))/(AK54+AM54+AN54+AO54),""),"")</f>
        <v>-0.0386346055919597</v>
      </c>
      <c r="AP321" s="262">
        <f>IFERROR(IF(AND(COUNT(AM54,AN54,AO54,AP54)=4,(AM54+AN54+AO54+AP54)&lt;&gt;0),((N(AP197)+N(AP198)+N(AP199)+N(AP202)+N(AP220)+N(AP223))-N(AP129))/(AM54+AN54+AO54+AP54),""),"")</f>
        <v>-0.223910278741139</v>
      </c>
      <c r="AQ321" s="262">
        <f>IFERROR(IF(AND(COUNT(AM54,AN54,AO54,AP54)=4,(AM54+AN54+AO54+AP54)&lt;&gt;0),((N(AQ197)+N(AQ198)+N(AQ199)+N(AQ202)+N(AQ220)+N(AQ223))-N(AQ129))/(AM54+AN54+AO54+AP54),""),"")</f>
        <v>-0.223910278741139</v>
      </c>
      <c r="AR321" s="262">
        <f>IFERROR(IF(AND(COUNT(AN54,AO54,AP54,AR54)=4,(AN54+AO54+AP54+AR54)&lt;&gt;0),((N(AR197)+N(AR198)+N(AR199)+N(AR202)+N(AR220)+N(AR223))-N(AR129))/(AN54+AO54+AP54+AR54),""),"")</f>
        <v>-0.465758401329425</v>
      </c>
      <c r="AS321" s="262">
        <f>IFERROR(IF(AND(COUNT(AO54,AP54,AR54,AS54)=4,(AO54+AP54+AR54+AS54)&lt;&gt;0),((N(AS197)+N(AS198)+N(AS199)+N(AS202)+N(AS220)+N(AS223))-N(AS129))/(AO54+AP54+AR54+AS54),""),"")</f>
        <v>-0.586132425431101</v>
      </c>
      <c r="AT321" s="262">
        <f>IFERROR(IF(AND(COUNT(AP54,AR54,AS54,AT54)=4,(AP54+AR54+AS54+AT54)&lt;&gt;0),((N(AT197)+N(AT198)+N(AT199)+N(AT202)+N(AT220)+N(AT223))-N(AT129))/(AP54+AR54+AS54+AT54),""),"")</f>
        <v>-0.70192980646694</v>
      </c>
      <c r="AU321" s="262">
        <f>IFERROR(IF(AND(COUNT(AR54,AS54,AT54,AU54)=4,(AR54+AS54+AT54+AU54)&lt;&gt;0),((N(AU197)+N(AU198)+N(AU199)+N(AU202)+N(AU220)+N(AU223))-N(AU129))/(AR54+AS54+AT54+AU54),""),"")</f>
        <v>-0.857690403466313</v>
      </c>
      <c r="AV321" s="262">
        <f>IFERROR(IF(AND(COUNT(AR54,AS54,AT54,AU54)=4,(AR54+AS54+AT54+AU54)&lt;&gt;0),((N(AV197)+N(AV198)+N(AV199)+N(AV202)+N(AV220)+N(AV223))-N(AV129))/(AR54+AS54+AT54+AU54),""),"")</f>
        <v>-0.857690403466313</v>
      </c>
      <c r="AW321" s="262">
        <f>IFERROR(IF(AND(COUNT(AS54,AT54,AU54,AW54)=4,(AS54+AT54+AU54+AW54)&lt;&gt;0),((N(AW197)+N(AW198)+N(AW199)+N(AW202)+N(AW220)+N(AW223))-N(AW129))/(AS54+AT54+AU54+AW54),""),"")</f>
        <v>-1.06476539639195</v>
      </c>
      <c r="AX321" s="262">
        <f>IFERROR(IF(AND(COUNT(AT54,AU54,AW54,AX54)=4,(AT54+AU54+AW54+AX54)&lt;&gt;0),((N(AX197)+N(AX198)+N(AX199)+N(AX202)+N(AX220)+N(AX223))-N(AX129))/(AT54+AU54+AW54+AX54),""),"")</f>
        <v>-1.17375204486528</v>
      </c>
      <c r="AY321" s="262">
        <f>IFERROR(IF(AND(COUNT(AU54,AW54,AX54,AY54)=4,(AU54+AW54+AX54+AY54)&lt;&gt;0),((N(AY197)+N(AY198)+N(AY199)+N(AY202)+N(AY220)+N(AY223))-N(AY129))/(AU54+AW54+AX54+AY54),""),"")</f>
        <v>-1.26434817109157</v>
      </c>
      <c r="AZ321" s="262">
        <f>IFERROR(IF(AND(COUNT(AW54,AX54,AY54,AZ54)=4,(AW54+AX54+AY54+AZ54)&lt;&gt;0),((N(AZ197)+N(AZ198)+N(AZ199)+N(AZ202)+N(AZ220)+N(AZ223))-N(AZ129))/(AW54+AX54+AY54+AZ54),""),"")</f>
        <v>-1.39627248286722</v>
      </c>
      <c r="BA321" s="262">
        <f>IFERROR(IF(AND(COUNT(AW54,AX54,AY54,AZ54)=4,(AW54+AX54+AY54+AZ54)&lt;&gt;0),((N(BA197)+N(BA198)+N(BA199)+N(BA202)+N(BA220)+N(BA223))-N(BA129))/(AW54+AX54+AY54+AZ54),""),"")</f>
        <v>-1.39627248286722</v>
      </c>
      <c r="BB321" s="262">
        <f>IFERROR(IF(AND(COUNT(AX54,AY54,AZ54,BB54)=4,(AX54+AY54+AZ54+BB54)&lt;&gt;0),((N(BB197)+N(BB198)+N(BB199)+N(BB202)+N(BB220)+N(BB223))-N(BB129))/(AX54+AY54+AZ54+BB54),""),"")</f>
        <v>-1.58768759261403</v>
      </c>
      <c r="BC321" s="262">
        <f>IFERROR(IF(AND(COUNT(AY54,AZ54,BB54,BC54)=4,(AY54+AZ54+BB54+BC54)&lt;&gt;0),((N(BC197)+N(BC198)+N(BC199)+N(BC202)+N(BC220)+N(BC223))-N(BC129))/(AY54+AZ54+BB54+BC54),""),"")</f>
        <v>-1.67615305787311</v>
      </c>
      <c r="BD321" s="262">
        <f>IFERROR(IF(AND(COUNT(AZ54,BB54,BC54,BD54)=4,(AZ54+BB54+BC54+BD54)&lt;&gt;0),((N(BD197)+N(BD198)+N(BD199)+N(BD202)+N(BD220)+N(BD223))-N(BD129))/(AZ54+BB54+BC54+BD54),""),"")</f>
        <v>-1.74638167293605</v>
      </c>
      <c r="BE321" s="262">
        <f>IFERROR(IF(AND(COUNT(BB54,BC54,BD54,BE54)=4,(BB54+BC54+BD54+BE54)&lt;&gt;0),((N(BE197)+N(BE198)+N(BE199)+N(BE202)+N(BE220)+N(BE223))-N(BE129))/(BB54+BC54+BD54+BE54),""),"")</f>
        <v>-1.85899668344661</v>
      </c>
      <c r="BF321" s="262">
        <f>IFERROR(IF(AND(COUNT(BB54,BC54,BD54,BE54)=4,(BB54+BC54+BD54+BE54)&lt;&gt;0),((N(BF197)+N(BF198)+N(BF199)+N(BF202)+N(BF220)+N(BF223))-N(BF129))/(BB54+BC54+BD54+BE54),""),"")</f>
        <v>-1.85899668344661</v>
      </c>
      <c r="BG321" s="82" t="n"/>
      <c r="BH321" s="82" t="n"/>
      <c r="BI321" s="82" t="n"/>
      <c r="BJ321" s="82" t="n"/>
      <c r="BL321" s="82" t="n"/>
      <c r="BM321" s="82" t="n"/>
      <c r="BN321" s="82" t="n"/>
      <c r="BO321" s="82" t="n"/>
      <c r="BQ321" s="82" t="n"/>
      <c r="BR321" s="82" t="n"/>
      <c r="BS321" s="82" t="n"/>
      <c r="BT321" s="82" t="n"/>
      <c r="BV321" s="82" t="n"/>
      <c r="BW321" s="82" t="n"/>
      <c r="BX321" s="82" t="n"/>
      <c r="BY321" s="82" t="n"/>
      <c r="CA321" s="82" t="n"/>
      <c r="CB321" s="82" t="n"/>
      <c r="CC321" s="82" t="n"/>
      <c r="CD321" s="82" t="n"/>
      <c r="CF321" s="82" t="n"/>
      <c r="CG321" s="82" t="n"/>
      <c r="CH321" s="82" t="n"/>
      <c r="CI321" s="82" t="n"/>
      <c r="CK321" s="82" t="n"/>
      <c r="CL321" s="82" t="n"/>
      <c r="CM321" s="82" t="n"/>
      <c r="CN321" s="82" t="n"/>
      <c r="CP321" s="82" t="n"/>
      <c r="CQ321" s="82" t="n"/>
      <c r="CR321" s="82" t="n"/>
      <c r="CS321" s="82" t="n"/>
      <c r="CU321" s="82" t="n"/>
      <c r="CV321" s="82" t="n"/>
      <c r="CW321" s="82" t="n"/>
      <c r="CX321" s="82" t="n"/>
    </row>
    <row r="322" customFormat="1" s="77">
      <c r="A322" s="76" t="n"/>
      <c r="B322" s="76" t="n"/>
      <c r="C322" s="83" t="inlineStr">
        <is>
          <t>NET DEBT (EX IFRS 16.) / EBITDA (LTM)</t>
        </is>
      </c>
      <c r="D322" s="82" t="str">
        <f>IFERROR(SUM((D197+D198+D202)-D129)/(D54*4),"")</f>
        <v/>
      </c>
      <c r="E322" s="82" t="str">
        <f>IFERROR(SUM((E197+E198+E202)-E129)/(E54*4),"")</f>
        <v/>
      </c>
      <c r="F322" s="82" t="str">
        <f>IFERROR(SUM((F197+F198+F202)-F129)/(F54*4),"")</f>
        <v/>
      </c>
      <c r="G322" s="82" t="str">
        <f>IFERROR(SUM((G197+G198+G202)-G129)/(G54*4),"")</f>
        <v/>
      </c>
      <c r="H322" s="262" t="str">
        <f>IFERROR(IF(AND(COUNT(H54)=1,(H54)&lt;&gt;0),((N(H197)+N(H198)+N(H202)+N(H223))-N(H129))/(H54),""),"")</f>
        <v/>
      </c>
      <c r="I322" s="262" t="str">
        <f>""</f>
        <v/>
      </c>
      <c r="J322" s="262" t="str">
        <f>""</f>
        <v/>
      </c>
      <c r="K322" s="262" t="str">
        <f>""</f>
        <v/>
      </c>
      <c r="L322" s="262">
        <f>IFERROR(IF(AND(COUNT(I54,J54,K54,L54)=4,(I54+J54+K54+L54)&lt;&gt;0),((N(L197)+N(L198)+N(L202)+N(L223))-N(L129))/(I54+J54+K54+L54),""),"")</f>
        <v>-7.03696991663646</v>
      </c>
      <c r="M322" s="262">
        <f>IFERROR(IF(AND(COUNT(I54,J54,K54,L54)=4,(I54+J54+K54+L54)&lt;&gt;0),((N(M197)+N(M198)+N(M202)+N(M223))-N(M129))/(I54+J54+K54+L54),""),"")</f>
        <v>-7.03696991663646</v>
      </c>
      <c r="N322" s="262">
        <f>IFERROR(IF(AND(COUNT(J54,K54,L54,N54)=4,(J54+K54+L54+N54)&lt;&gt;0),((N(N197)+N(N198)+N(N202)+N(N223))-N(N129))/(J54+K54+L54+N54),""),"")</f>
        <v>-5.68398031711318</v>
      </c>
      <c r="O322" s="262">
        <f>IFERROR(IF(AND(COUNT(K54,L54,N54,O54)=4,(K54+L54+N54+O54)&lt;&gt;0),((N(O197)+N(O198)+N(O202)+N(O223))-N(O129))/(K54+L54+N54+O54),""),"")</f>
        <v>-10.8158925573587</v>
      </c>
      <c r="P322" s="262">
        <f>IFERROR(IF(AND(COUNT(L54,N54,O54,P54)=4,(L54+N54+O54+P54)&lt;&gt;0),((N(P197)+N(P198)+N(P202)+N(P223))-N(P129))/(L54+N54+O54+P54),""),"")</f>
        <v>-6.94346978557505</v>
      </c>
      <c r="Q322" s="262">
        <f>IFERROR(IF(AND(COUNT(N54,O54,P54,Q54)=4,(N54+O54+P54+Q54)&lt;&gt;0),((N(Q197)+N(Q198)+N(Q202)+N(Q223))-N(Q129))/(N54+O54+P54+Q54),""),"")</f>
        <v>-5.1582905982906</v>
      </c>
      <c r="R322" s="262">
        <f>IFERROR(IF(AND(COUNT(N54,O54,P54,Q54)=4,(N54+O54+P54+Q54)&lt;&gt;0),((N(R197)+N(R198)+N(R202)+N(R223))-N(R129))/(N54+O54+P54+Q54),""),"")</f>
        <v>-5.1582905982906</v>
      </c>
      <c r="S322" s="262">
        <f>IFERROR(IF(AND(COUNT(O54,P54,Q54,S54)=4,(O54+P54+Q54+S54)&lt;&gt;0),((N(S197)+N(S198)+N(S202)+N(S223))-N(S129))/(O54+P54+Q54+S54),""),"")</f>
        <v>-1.27915541369998</v>
      </c>
      <c r="T322" s="262">
        <f>IFERROR(IF(AND(COUNT(P54,Q54,S54,T54)=4,(P54+Q54+S54+T54)&lt;&gt;0),((N(T197)+N(T198)+N(T202)+N(T223))-N(T129))/(P54+Q54+S54+T54),""),"")</f>
        <v>-1.18569174118885</v>
      </c>
      <c r="U322" s="262">
        <f>IFERROR(IF(AND(COUNT(Q54,S54,T54,U54)=4,(Q54+S54+T54+U54)&lt;&gt;0),((N(U197)+N(U198)+N(U202)+N(U223))-N(U129))/(Q54+S54+T54+U54),""),"")</f>
        <v>-1.25142299560904</v>
      </c>
      <c r="V322" s="262">
        <f>IFERROR(IF(AND(COUNT(S54,T54,U54,V54)=4,(S54+T54+U54+V54)&lt;&gt;0),((N(V197)+N(V198)+N(V202)+N(V223))-N(V129))/(S54+T54+U54+V54),""),"")</f>
        <v>-0.381502338455665</v>
      </c>
      <c r="W322" s="262">
        <f>IFERROR(IF(AND(COUNT(S54,T54,U54,V54)=4,(S54+T54+U54+V54)&lt;&gt;0),((N(W197)+N(W198)+N(W202)+N(W223))-N(W129))/(S54+T54+U54+V54),""),"")</f>
        <v>-0.381502338455665</v>
      </c>
      <c r="X322" s="262">
        <f>IFERROR(IF(AND(COUNT(T54,U54,V54,X54)=4,(T54+U54+V54+X54)&lt;&gt;0),((N(X197)+N(X198)+N(X202)+N(X223))-N(X129))/(T54+U54+V54+X54),""),"")</f>
        <v>-0.638991389913899</v>
      </c>
      <c r="Y322" s="262">
        <f>IFERROR(IF(AND(COUNT(U54,V54,X54,Y54)=4,(U54+V54+X54+Y54)&lt;&gt;0),((N(Y197)+N(Y198)+N(Y202)+N(Y223))-N(Y129))/(U54+V54+X54+Y54),""),"")</f>
        <v>-2.60089377793056</v>
      </c>
      <c r="Z322" s="262">
        <f>IFERROR(IF(AND(COUNT(V54,X54,Y54,Z54)=4,(V54+X54+Y54+Z54)&lt;&gt;0),((N(Z197)+N(Z198)+N(Z202)+N(Z223))-N(Z129))/(V54+X54+Y54+Z54),""),"")</f>
        <v>-1.82910271546635</v>
      </c>
      <c r="AA322" s="262">
        <f>IFERROR(IF(AND(COUNT(X54,Y54,Z54,AA54)=4,(X54+Y54+Z54+AA54)&lt;&gt;0),((N(AA197)+N(AA198)+N(AA202)+N(AA223))-N(AA129))/(X54+Y54+Z54+AA54),""),"")</f>
        <v>0.768833288006527</v>
      </c>
      <c r="AB322" s="262">
        <f>IFERROR(IF(AND(COUNT(X54,Y54,Z54,AA54)=4,(X54+Y54+Z54+AA54)&lt;&gt;0),((N(AB197)+N(AB198)+N(AB202)+N(AB223))-N(AB129))/(X54+Y54+Z54+AA54),""),"")</f>
        <v>0.768833288006527</v>
      </c>
      <c r="AC322" s="262">
        <f>IFERROR(IF(AND(COUNT(Y54,Z54,AA54,AC54)=4,(Y54+Z54+AA54+AC54)&lt;&gt;0),((N(AC197)+N(AC198)+N(AC202)+N(AC223))-N(AC129))/(Y54+Z54+AA54+AC54),""),"")</f>
        <v>0.885237801111797</v>
      </c>
      <c r="AD322" s="262">
        <f>IFERROR(IF(AND(COUNT(Z54,AA54,AC54,AD54)=4,(Z54+AA54+AC54+AD54)&lt;&gt;0),((N(AD197)+N(AD198)+N(AD202)+N(AD223))-N(AD129))/(Z54+AA54+AC54+AD54),""),"")</f>
        <v>0.932605159191262</v>
      </c>
      <c r="AE322" s="262">
        <f>IFERROR(IF(AND(COUNT(AA54,AC54,AD54,AE54)=4,(AA54+AC54+AD54+AE54)&lt;&gt;0),((N(AE197)+N(AE198)+N(AE202)+N(AE223))-N(AE129))/(AA54+AC54+AD54+AE54),""),"")</f>
        <v>0.839746172441579</v>
      </c>
      <c r="AF322" s="262">
        <f>IFERROR(IF(AND(COUNT(AB54,AD54,AE54,AF54)=4,(AB54+AD54+AE54+AF54)&lt;&gt;0),((N(AF197)+N(AF198)+N(AF202)+N(AF223))-N(AF129))/(AB54+AD54+AE54+AF54),""),"")</f>
        <v>0.53267587113741</v>
      </c>
      <c r="AG322" s="262">
        <f>IFERROR(IF(AND(COUNT(AC54,AD54,AE54,AF54)=4,(AC54+AD54+AE54+AF54)&lt;&gt;0),((N(AG197)+N(AG198)+N(AG202)+N(AG223))-N(AG129))/(AC54+AD54+AE54+AF54),""),"")</f>
        <v>0.792836872492416</v>
      </c>
      <c r="AH322" s="262">
        <f>IFERROR(IF(AND(COUNT(AD54,AF54,AG54,AH54)=4,(AD54+AF54+AG54+AH54)&lt;&gt;0),((N(AH197)+N(AH198)+N(AH202)+N(AH223))-N(AH129))/(AD54+AF54+AG54+AH54),""),"")</f>
        <v>0.514244620235659</v>
      </c>
      <c r="AI322" s="262">
        <f>IFERROR(IF(AND(COUNT(AE54,AG54,AH54,AI54)=4,(AE54+AG54+AH54+AI54)&lt;&gt;0),((N(AI197)+N(AI198)+N(AI202)+N(AI223))-N(AI129))/(AE54+AG54+AH54+AI54),""),"")</f>
        <v>0.530751338778601</v>
      </c>
      <c r="AJ322" s="262">
        <f>IFERROR(IF(AND(COUNT(AF54,AH54,AI54,AJ54)=4,(AF54+AH54+AI54+AJ54)&lt;&gt;0),((N(AJ197)+N(AJ198)+N(AJ202)+N(AJ223))-N(AJ129))/(AF54+AH54+AI54+AJ54),""),"")</f>
        <v>0.763836902455718</v>
      </c>
      <c r="AK322" s="262">
        <f>IFERROR(IF(AND(COUNT(AH54,AI54,AJ54,AK54)=4,(AH54+AI54+AJ54+AK54)&lt;&gt;0),((N(AK197)+N(AK198)+N(AK202)+N(AK223))-N(AK129))/(AH54+AI54+AJ54+AK54),""),"")</f>
        <v>0.53394370471712</v>
      </c>
      <c r="AL322" s="262">
        <f>IFERROR(IF(AND(COUNT(AH54,AI54,AJ54,AK54)=4,(AH54+AI54+AJ54+AK54)&lt;&gt;0),((N(AL197)+N(AL198)+N(AL202)+N(AL223))-N(AL129))/(AH54+AI54+AJ54+AK54),""),"")</f>
        <v>0.53394370471712</v>
      </c>
      <c r="AM322" s="262">
        <f>IFERROR(IF(AND(COUNT(AI54,AJ54,AK54,AM54)=4,(AI54+AJ54+AK54+AM54)&lt;&gt;0),((N(AM197)+N(AM198)+N(AM202)+N(AM223))-N(AM129))/(AI54+AJ54+AK54+AM54),""),"")</f>
        <v>0.275131764194764</v>
      </c>
      <c r="AN322" s="262">
        <f>IFERROR(IF(AND(COUNT(AJ54,AK54,AM54,AN54)=4,(AJ54+AK54+AM54+AN54)&lt;&gt;0),((N(AN197)+N(AN198)+N(AN202)+N(AN223))-N(AN129))/(AJ54+AK54+AM54+AN54),""),"")</f>
        <v>0.108437771700696</v>
      </c>
      <c r="AO322" s="262">
        <f>IFERROR(IF(AND(COUNT(AK54,AM54,AN54,AO54)=4,(AK54+AM54+AN54+AO54)&lt;&gt;0),((N(AO197)+N(AO198)+N(AO202)+N(AO223))-N(AO129))/(AK54+AM54+AN54+AO54),""),"")</f>
        <v>-0.0386346055919597</v>
      </c>
      <c r="AP322" s="262">
        <f>IFERROR(IF(AND(COUNT(AM54,AN54,AO54,AP54)=4,(AM54+AN54+AO54+AP54)&lt;&gt;0),((N(AP197)+N(AP198)+N(AP202)+N(AP223))-N(AP129))/(AM54+AN54+AO54+AP54),""),"")</f>
        <v>-0.223910278741139</v>
      </c>
      <c r="AQ322" s="262">
        <f>IFERROR(IF(AND(COUNT(AM54,AN54,AO54,AP54)=4,(AM54+AN54+AO54+AP54)&lt;&gt;0),((N(AQ197)+N(AQ198)+N(AQ202)+N(AQ223))-N(AQ129))/(AM54+AN54+AO54+AP54),""),"")</f>
        <v>-0.223910278741139</v>
      </c>
      <c r="AR322" s="262">
        <f>IFERROR(IF(AND(COUNT(AN54,AO54,AP54,AR54)=4,(AN54+AO54+AP54+AR54)&lt;&gt;0),((N(AR197)+N(AR198)+N(AR202)+N(AR223))-N(AR129))/(AN54+AO54+AP54+AR54),""),"")</f>
        <v>-0.465758401329425</v>
      </c>
      <c r="AS322" s="262">
        <f>IFERROR(IF(AND(COUNT(AO54,AP54,AR54,AS54)=4,(AO54+AP54+AR54+AS54)&lt;&gt;0),((N(AS197)+N(AS198)+N(AS202)+N(AS223))-N(AS129))/(AO54+AP54+AR54+AS54),""),"")</f>
        <v>-0.586132425431101</v>
      </c>
      <c r="AT322" s="262">
        <f>IFERROR(IF(AND(COUNT(AP54,AR54,AS54,AT54)=4,(AP54+AR54+AS54+AT54)&lt;&gt;0),((N(AT197)+N(AT198)+N(AT202)+N(AT223))-N(AT129))/(AP54+AR54+AS54+AT54),""),"")</f>
        <v>-0.70192980646694</v>
      </c>
      <c r="AU322" s="262">
        <f>IFERROR(IF(AND(COUNT(AR54,AS54,AT54,AU54)=4,(AR54+AS54+AT54+AU54)&lt;&gt;0),((N(AU197)+N(AU198)+N(AU202)+N(AU223))-N(AU129))/(AR54+AS54+AT54+AU54),""),"")</f>
        <v>-0.857690403466313</v>
      </c>
      <c r="AV322" s="262">
        <f>IFERROR(IF(AND(COUNT(AR54,AS54,AT54,AU54)=4,(AR54+AS54+AT54+AU54)&lt;&gt;0),((N(AV197)+N(AV198)+N(AV202)+N(AV223))-N(AV129))/(AR54+AS54+AT54+AU54),""),"")</f>
        <v>-0.857690403466313</v>
      </c>
      <c r="AW322" s="262">
        <f>IFERROR(IF(AND(COUNT(AS54,AT54,AU54,AW54)=4,(AS54+AT54+AU54+AW54)&lt;&gt;0),((N(AW197)+N(AW198)+N(AW202)+N(AW223))-N(AW129))/(AS54+AT54+AU54+AW54),""),"")</f>
        <v>-1.06476539639195</v>
      </c>
      <c r="AX322" s="262">
        <f>IFERROR(IF(AND(COUNT(AT54,AU54,AW54,AX54)=4,(AT54+AU54+AW54+AX54)&lt;&gt;0),((N(AX197)+N(AX198)+N(AX202)+N(AX223))-N(AX129))/(AT54+AU54+AW54+AX54),""),"")</f>
        <v>-1.17375204486528</v>
      </c>
      <c r="AY322" s="262">
        <f>IFERROR(IF(AND(COUNT(AU54,AW54,AX54,AY54)=4,(AU54+AW54+AX54+AY54)&lt;&gt;0),((N(AY197)+N(AY198)+N(AY202)+N(AY223))-N(AY129))/(AU54+AW54+AX54+AY54),""),"")</f>
        <v>-1.26434817109157</v>
      </c>
      <c r="AZ322" s="262">
        <f>IFERROR(IF(AND(COUNT(AW54,AX54,AY54,AZ54)=4,(AW54+AX54+AY54+AZ54)&lt;&gt;0),((N(AZ197)+N(AZ198)+N(AZ202)+N(AZ223))-N(AZ129))/(AW54+AX54+AY54+AZ54),""),"")</f>
        <v>-1.39627248286722</v>
      </c>
      <c r="BA322" s="262">
        <f>IFERROR(IF(AND(COUNT(AW54,AX54,AY54,AZ54)=4,(AW54+AX54+AY54+AZ54)&lt;&gt;0),((N(BA197)+N(BA198)+N(BA202)+N(BA223))-N(BA129))/(AW54+AX54+AY54+AZ54),""),"")</f>
        <v>-1.39627248286722</v>
      </c>
      <c r="BB322" s="262">
        <f>IFERROR(IF(AND(COUNT(AX54,AY54,AZ54,BB54)=4,(AX54+AY54+AZ54+BB54)&lt;&gt;0),((N(BB197)+N(BB198)+N(BB202)+N(BB223))-N(BB129))/(AX54+AY54+AZ54+BB54),""),"")</f>
        <v>-1.58768759261403</v>
      </c>
      <c r="BC322" s="262">
        <f>IFERROR(IF(AND(COUNT(AY54,AZ54,BB54,BC54)=4,(AY54+AZ54+BB54+BC54)&lt;&gt;0),((N(BC197)+N(BC198)+N(BC202)+N(BC223))-N(BC129))/(AY54+AZ54+BB54+BC54),""),"")</f>
        <v>-1.67615305787311</v>
      </c>
      <c r="BD322" s="262">
        <f>IFERROR(IF(AND(COUNT(AZ54,BB54,BC54,BD54)=4,(AZ54+BB54+BC54+BD54)&lt;&gt;0),((N(BD197)+N(BD198)+N(BD202)+N(BD223))-N(BD129))/(AZ54+BB54+BC54+BD54),""),"")</f>
        <v>-1.74638167293605</v>
      </c>
      <c r="BE322" s="262">
        <f>IFERROR(IF(AND(COUNT(BB54,BC54,BD54,BE54)=4,(BB54+BC54+BD54+BE54)&lt;&gt;0),((N(BE197)+N(BE198)+N(BE202)+N(BE223))-N(BE129))/(BB54+BC54+BD54+BE54),""),"")</f>
        <v>-1.85899668344661</v>
      </c>
      <c r="BF322" s="262">
        <f>IFERROR(IF(AND(COUNT(BB54,BC54,BD54,BE54)=4,(BB54+BC54+BD54+BE54)&lt;&gt;0),((N(BF197)+N(BF198)+N(BF202)+N(BF223))-N(BF129))/(BB54+BC54+BD54+BE54),""),"")</f>
        <v>-1.85899668344661</v>
      </c>
      <c r="BG322" s="82" t="n"/>
      <c r="BH322" s="82" t="n"/>
      <c r="BI322" s="82" t="n"/>
      <c r="BJ322" s="82" t="n"/>
      <c r="BL322" s="82" t="n"/>
      <c r="BM322" s="82" t="n"/>
      <c r="BN322" s="82" t="n"/>
      <c r="BO322" s="82" t="n"/>
      <c r="BQ322" s="82" t="n"/>
      <c r="BR322" s="82" t="n"/>
      <c r="BS322" s="82" t="n"/>
      <c r="BT322" s="82" t="n"/>
      <c r="BV322" s="82" t="n"/>
      <c r="BW322" s="82" t="n"/>
      <c r="BX322" s="82" t="n"/>
      <c r="BY322" s="82" t="n"/>
      <c r="CA322" s="82" t="n"/>
      <c r="CB322" s="82" t="n"/>
      <c r="CC322" s="82" t="n"/>
      <c r="CD322" s="82" t="n"/>
      <c r="CF322" s="82" t="n"/>
      <c r="CG322" s="82" t="n"/>
      <c r="CH322" s="82" t="n"/>
      <c r="CI322" s="82" t="n"/>
      <c r="CK322" s="82" t="n"/>
      <c r="CL322" s="82" t="n"/>
      <c r="CM322" s="82" t="n"/>
      <c r="CN322" s="82" t="n"/>
      <c r="CP322" s="82" t="n"/>
      <c r="CQ322" s="82" t="n"/>
      <c r="CR322" s="82" t="n"/>
      <c r="CS322" s="82" t="n"/>
      <c r="CU322" s="82" t="n"/>
      <c r="CV322" s="82" t="n"/>
      <c r="CW322" s="82" t="n"/>
      <c r="CX322" s="82" t="n"/>
    </row>
    <row r="323" customFormat="1" s="77">
      <c r="A323" s="76" t="n"/>
      <c r="B323" s="76" t="n"/>
      <c r="C323" s="77" t="inlineStr">
        <is>
          <t>INTEREST COVERAGE (EBIT / INTEREST, LTM)</t>
        </is>
      </c>
      <c r="D323" s="82" t="str">
        <f>IFERROR(D58/-D59,"")</f>
        <v/>
      </c>
      <c r="E323" s="82" t="str">
        <f>IFERROR(E58/-E59,"")</f>
        <v/>
      </c>
      <c r="F323" s="82" t="str">
        <f>IFERROR(F58/-F59,"")</f>
        <v/>
      </c>
      <c r="G323" s="82" t="str">
        <f>IFERROR(G58/-G59,"")</f>
        <v/>
      </c>
      <c r="H323" s="262" t="str">
        <f>IFERROR(IF(AND(COUNT(H58)=1,(H59)&lt;&gt;0),(H58)/-(H59),""),"")</f>
        <v/>
      </c>
      <c r="I323" s="262" t="str">
        <f>""</f>
        <v/>
      </c>
      <c r="J323" s="262" t="str">
        <f>""</f>
        <v/>
      </c>
      <c r="K323" s="262" t="str">
        <f>""</f>
        <v/>
      </c>
      <c r="L323" s="262">
        <f>IFERROR(IF(AND(COUNT(I58,J58,K58,L58)=4,(I59+J59+K59+L59)&lt;&gt;0),(I58+J58+K58+L58)/-(I59+J59+K59+L59),""),"")</f>
        <v>-2.4680170575693</v>
      </c>
      <c r="M323" s="262">
        <f>IFERROR(IF(AND(COUNT(I58,J58,K58,L58)=4,(I59+J59+K59+L59)&lt;&gt;0),(I58+J58+K58+L58)/-(I59+J59+K59+L59),""),"")</f>
        <v>-2.4680170575693</v>
      </c>
      <c r="N323" s="262">
        <f>IFERROR(IF(AND(COUNT(J58,K58,L58,N58)=4,(J59+K59+L59+N59)&lt;&gt;0),(J58+K58+L58+N58)/-(J59+K59+L59+N59),""),"")</f>
        <v>-3.14066931366988</v>
      </c>
      <c r="O323" s="262">
        <f>IFERROR(IF(AND(COUNT(K58,L58,N58,O58)=4,(K59+L59+N59+O59)&lt;&gt;0),(K58+L58+N58+O58)/-(K59+L59+N59+O59),""),"")</f>
        <v>-2.2069385270846</v>
      </c>
      <c r="P323" s="262">
        <f>IFERROR(IF(AND(COUNT(L58,N58,O58,P58)=4,(L59+N59+O59+P59)&lt;&gt;0),(L58+N58+O58+P58)/-(L59+N59+O59+P59),""),"")</f>
        <v>-2.80128617363344</v>
      </c>
      <c r="Q323" s="262">
        <f>IFERROR(IF(AND(COUNT(N58,O58,P58,Q58)=4,(N59+O59+P59+Q59)&lt;&gt;0),(N58+O58+P58+Q58)/-(N59+O59+P59+Q59),""),"")</f>
        <v>-3.05954692556634</v>
      </c>
      <c r="R323" s="262">
        <f>IFERROR(IF(AND(COUNT(N58,O58,P58,Q58)=4,(N59+O59+P59+Q59)&lt;&gt;0),(N58+O58+P58+Q58)/-(N59+O59+P59+Q59),""),"")</f>
        <v>-3.05954692556634</v>
      </c>
      <c r="S323" s="262">
        <f>IFERROR(IF(AND(COUNT(O58,P58,Q58,S58)=4,(O59+P59+Q59+S59)&lt;&gt;0),(O58+P58+Q58+S58)/-(O59+P59+Q59+S59),""),"")</f>
        <v>-6.90609670637701</v>
      </c>
      <c r="T323" s="262">
        <f>IFERROR(IF(AND(COUNT(P58,Q58,S58,T58)=4,(P59+Q59+S59+T59)&lt;&gt;0),(P58+Q58+S58+T58)/-(P59+Q59+S59+T59),""),"")</f>
        <v>-7.05045871559633</v>
      </c>
      <c r="U323" s="262">
        <f>IFERROR(IF(AND(COUNT(Q58,S58,T58,U58)=4,(Q59+S59+T59+U59)&lt;&gt;0),(Q58+S58+T58+U58)/-(Q59+S59+T59+U59),""),"")</f>
        <v>-6.42691029900332</v>
      </c>
      <c r="V323" s="262">
        <f>IFERROR(IF(AND(COUNT(S58,T58,U58,V58)=4,(S59+T59+U59+V59)&lt;&gt;0),(S58+T58+U58+V58)/-(S59+T59+U59+V59),""),"")</f>
        <v>-11.0239852398524</v>
      </c>
      <c r="W323" s="262">
        <f>IFERROR(IF(AND(COUNT(S58,T58,U58,V58)=4,(S59+T59+U59+V59)&lt;&gt;0),(S58+T58+U58+V58)/-(S59+T59+U59+V59),""),"")</f>
        <v>-11.0239852398524</v>
      </c>
      <c r="X323" s="262">
        <f>IFERROR(IF(AND(COUNT(T58,U58,V58,X58)=4,(T59+U59+V59+X59)&lt;&gt;0),(T58+U58+V58+X58)/-(T59+U59+V59+X59),""),"")</f>
        <v>-4.39332096474954</v>
      </c>
      <c r="Y323" s="262">
        <f>IFERROR(IF(AND(COUNT(U58,V58,X58,Y58)=4,(U59+V59+X59+Y59)&lt;&gt;0),(U58+V58+X58+Y58)/-(U59+V59+X59+Y59),""),"")</f>
        <v>-3.93686165273909</v>
      </c>
      <c r="Z323" s="262">
        <f>IFERROR(IF(AND(COUNT(V58,X58,Y58,Z58)=4,(V59+X59+Y59+Z59)&lt;&gt;0),(V58+X58+Y58+Z58)/-(V59+X59+Y59+Z59),""),"")</f>
        <v>-4.31474480151229</v>
      </c>
      <c r="AA323" s="262">
        <f>IFERROR(IF(AND(COUNT(X58,Y58,Z58,AA58)=4,(X59+Y59+Z59+AA59)&lt;&gt;0),(X58+Y58+Z58+AA58)/-(X59+Y59+Z59+AA59),""),"")</f>
        <v>6.43407707910751</v>
      </c>
      <c r="AB323" s="262">
        <f>IFERROR(IF(AND(COUNT(X58,Y58,Z58,AA58)=4,(X59+Y59+Z59+AA59)&lt;&gt;0),(X58+Y58+Z58+AA58)/-(X59+Y59+Z59+AA59),""),"")</f>
        <v>6.43407707910751</v>
      </c>
      <c r="AC323" s="262">
        <f>IFERROR(IF(AND(COUNT(Y58,Z58,AA58,AC58)=4,(Y59+Z59+AA59+AC59)&lt;&gt;0),(Y58+Z58+AA58+AC58)/-(Y59+Z59+AA59+AC59),""),"")</f>
        <v>7.77384780278671</v>
      </c>
      <c r="AD323" s="262">
        <f>IFERROR(IF(AND(COUNT(Z58,AA58,AC58,AD58)=4,(Z59+AA59+AC59+AD59)&lt;&gt;0),(Z58+AA58+AC58+AD58)/-(Z59+AA59+AC59+AD59),""),"")</f>
        <v>9.18623962040332</v>
      </c>
      <c r="AE323" s="262">
        <f>IFERROR(IF(AND(COUNT(AA58,AC58,AD58,AE58)=4,(AA59+AC59+AD59+AE59)&lt;&gt;0),(AA58+AC58+AD58+AE58)/-(AA59+AC59+AD59+AE59),""),"")</f>
        <v>11.108935128519</v>
      </c>
      <c r="AF323" s="262">
        <f>IFERROR(IF(AND(COUNT(AB58,AD58,AE58,AF58)=4,(AB59+AD59+AE59+AF59)&lt;&gt;0),(AB58+AD58+AE58+AF58)/-(AB59+AD59+AE59+AF59),""),"")</f>
        <v>8.36751080914145</v>
      </c>
      <c r="AG323" s="262">
        <f>IFERROR(IF(AND(COUNT(AC58,AD58,AE58,AF58)=4,(AC59+AD59+AE59+AF59)&lt;&gt;0),(AC58+AD58+AE58+AF58)/-(AC59+AD59+AE59+AF59),""),"")</f>
        <v>11.0984578884935</v>
      </c>
      <c r="AH323" s="262">
        <f>IFERROR(IF(AND(COUNT(AD58,AF58,AG58,AH58)=4,(AD59+AF59+AG59+AH59)&lt;&gt;0),(AD58+AF58+AG58+AH58)/-(AD59+AF59+AG59+AH59),""),"")</f>
        <v>11.1735313977043</v>
      </c>
      <c r="AI323" s="262">
        <f>IFERROR(IF(AND(COUNT(AE58,AG58,AH58,AI58)=4,(AE59+AG59+AH59+AI59)&lt;&gt;0),(AE58+AG58+AH58+AI58)/-(AE59+AG59+AH59+AI59),""),"")</f>
        <v>11.2088565763384</v>
      </c>
      <c r="AJ323" s="262" t="str">
        <f>IFERROR(IF(AND(COUNT(AF58,AH58,AI58,AJ58)=4,(AF59+AH59+AI59+AJ59)&lt;&gt;0),(AF58+AH58+AI58+AJ58)/-(AF59+AH59+AI59+AJ59),""),"")</f>
        <v/>
      </c>
      <c r="AK323" s="262" t="str">
        <f>IFERROR(IF(AND(COUNT(AH58,AI58,AJ58,AK58)=4,(AH59+AI59+AJ59+AK59)&lt;&gt;0),(AH58+AI58+AJ58+AK58)/-(AH59+AI59+AJ59+AK59),""),"")</f>
        <v/>
      </c>
      <c r="AL323" s="262" t="str">
        <f>IFERROR(IF(AND(COUNT(AH58,AI58,AJ58,AK58)=4,(AH59+AI59+AJ59+AK59)&lt;&gt;0),(AH58+AI58+AJ58+AK58)/-(AH59+AI59+AJ59+AK59),""),"")</f>
        <v/>
      </c>
      <c r="AM323" s="262" t="str">
        <f>IFERROR(IF(AND(COUNT(AI58,AJ58,AK58,AM58)=4,(AI59+AJ59+AK59+AM59)&lt;&gt;0),(AI58+AJ58+AK58+AM58)/-(AI59+AJ59+AK59+AM59),""),"")</f>
        <v/>
      </c>
      <c r="AN323" s="262" t="str">
        <f>IFERROR(IF(AND(COUNT(AJ58,AK58,AM58,AN58)=4,(AJ59+AK59+AM59+AN59)&lt;&gt;0),(AJ58+AK58+AM58+AN58)/-(AJ59+AK59+AM59+AN59),""),"")</f>
        <v/>
      </c>
      <c r="AO323" s="262" t="str">
        <f>IFERROR(IF(AND(COUNT(AK58,AM58,AN58,AO58)=4,(AK59+AM59+AN59+AO59)&lt;&gt;0),(AK58+AM58+AN58+AO58)/-(AK59+AM59+AN59+AO59),""),"")</f>
        <v/>
      </c>
      <c r="AP323" s="262" t="str">
        <f>IFERROR(IF(AND(COUNT(AM58,AN58,AO58,AP58)=4,(AM59+AN59+AO59+AP59)&lt;&gt;0),(AM58+AN58+AO58+AP58)/-(AM59+AN59+AO59+AP59),""),"")</f>
        <v/>
      </c>
      <c r="AQ323" s="262" t="str">
        <f>IFERROR(IF(AND(COUNT(AM58,AN58,AO58,AP58)=4,(AM59+AN59+AO59+AP59)&lt;&gt;0),(AM58+AN58+AO58+AP58)/-(AM59+AN59+AO59+AP59),""),"")</f>
        <v/>
      </c>
      <c r="AR323" s="262" t="str">
        <f>IFERROR(IF(AND(COUNT(AN58,AO58,AP58,AR58)=4,(AN59+AO59+AP59+AR59)&lt;&gt;0),(AN58+AO58+AP58+AR58)/-(AN59+AO59+AP59+AR59),""),"")</f>
        <v/>
      </c>
      <c r="AS323" s="262" t="str">
        <f>IFERROR(IF(AND(COUNT(AO58,AP58,AR58,AS58)=4,(AO59+AP59+AR59+AS59)&lt;&gt;0),(AO58+AP58+AR58+AS58)/-(AO59+AP59+AR59+AS59),""),"")</f>
        <v/>
      </c>
      <c r="AT323" s="262" t="str">
        <f>IFERROR(IF(AND(COUNT(AP58,AR58,AS58,AT58)=4,(AP59+AR59+AS59+AT59)&lt;&gt;0),(AP58+AR58+AS58+AT58)/-(AP59+AR59+AS59+AT59),""),"")</f>
        <v/>
      </c>
      <c r="AU323" s="262" t="str">
        <f>IFERROR(IF(AND(COUNT(AR58,AS58,AT58,AU58)=4,(AR59+AS59+AT59+AU59)&lt;&gt;0),(AR58+AS58+AT58+AU58)/-(AR59+AS59+AT59+AU59),""),"")</f>
        <v/>
      </c>
      <c r="AV323" s="262" t="str">
        <f>IFERROR(IF(AND(COUNT(AR58,AS58,AT58,AU58)=4,(AR59+AS59+AT59+AU59)&lt;&gt;0),(AR58+AS58+AT58+AU58)/-(AR59+AS59+AT59+AU59),""),"")</f>
        <v/>
      </c>
      <c r="AW323" s="262" t="str">
        <f>IFERROR(IF(AND(COUNT(AS58,AT58,AU58,AW58)=4,(AS59+AT59+AU59+AW59)&lt;&gt;0),(AS58+AT58+AU58+AW58)/-(AS59+AT59+AU59+AW59),""),"")</f>
        <v/>
      </c>
      <c r="AX323" s="262" t="str">
        <f>IFERROR(IF(AND(COUNT(AT58,AU58,AW58,AX58)=4,(AT59+AU59+AW59+AX59)&lt;&gt;0),(AT58+AU58+AW58+AX58)/-(AT59+AU59+AW59+AX59),""),"")</f>
        <v/>
      </c>
      <c r="AY323" s="262" t="str">
        <f>IFERROR(IF(AND(COUNT(AU58,AW58,AX58,AY58)=4,(AU59+AW59+AX59+AY59)&lt;&gt;0),(AU58+AW58+AX58+AY58)/-(AU59+AW59+AX59+AY59),""),"")</f>
        <v/>
      </c>
      <c r="AZ323" s="262" t="str">
        <f>IFERROR(IF(AND(COUNT(AW58,AX58,AY58,AZ58)=4,(AW59+AX59+AY59+AZ59)&lt;&gt;0),(AW58+AX58+AY58+AZ58)/-(AW59+AX59+AY59+AZ59),""),"")</f>
        <v/>
      </c>
      <c r="BA323" s="262" t="str">
        <f>IFERROR(IF(AND(COUNT(AW58,AX58,AY58,AZ58)=4,(AW59+AX59+AY59+AZ59)&lt;&gt;0),(AW58+AX58+AY58+AZ58)/-(AW59+AX59+AY59+AZ59),""),"")</f>
        <v/>
      </c>
      <c r="BB323" s="262" t="str">
        <f>IFERROR(IF(AND(COUNT(AX58,AY58,AZ58,BB58)=4,(AX59+AY59+AZ59+BB59)&lt;&gt;0),(AX58+AY58+AZ58+BB58)/-(AX59+AY59+AZ59+BB59),""),"")</f>
        <v/>
      </c>
      <c r="BC323" s="262" t="str">
        <f>IFERROR(IF(AND(COUNT(AY58,AZ58,BB58,BC58)=4,(AY59+AZ59+BB59+BC59)&lt;&gt;0),(AY58+AZ58+BB58+BC58)/-(AY59+AZ59+BB59+BC59),""),"")</f>
        <v/>
      </c>
      <c r="BD323" s="262" t="str">
        <f>IFERROR(IF(AND(COUNT(AZ58,BB58,BC58,BD58)=4,(AZ59+BB59+BC59+BD59)&lt;&gt;0),(AZ58+BB58+BC58+BD58)/-(AZ59+BB59+BC59+BD59),""),"")</f>
        <v/>
      </c>
      <c r="BE323" s="262" t="str">
        <f>IFERROR(IF(AND(COUNT(BB58,BC58,BD58,BE58)=4,(BB59+BC59+BD59+BE59)&lt;&gt;0),(BB58+BC58+BD58+BE58)/-(BB59+BC59+BD59+BE59),""),"")</f>
        <v/>
      </c>
      <c r="BF323" s="262" t="str">
        <f>IFERROR(IF(AND(COUNT(BB58,BC58,BD58,BE58)=4,(BB59+BC59+BD59+BE59)&lt;&gt;0),(BB58+BC58+BD58+BE58)/-(BB59+BC59+BD59+BE59),""),"")</f>
        <v/>
      </c>
      <c r="BG323" s="82" t="n"/>
      <c r="BH323" s="82" t="n"/>
      <c r="BI323" s="82" t="n"/>
      <c r="BJ323" s="82" t="n"/>
      <c r="BL323" s="82" t="n"/>
      <c r="BM323" s="82" t="n"/>
      <c r="BN323" s="82" t="n"/>
      <c r="BO323" s="82" t="n"/>
      <c r="BQ323" s="82" t="n"/>
      <c r="BR323" s="82" t="n"/>
      <c r="BS323" s="82" t="n"/>
      <c r="BT323" s="82" t="n"/>
      <c r="BV323" s="82" t="n"/>
      <c r="BW323" s="82" t="n"/>
      <c r="BX323" s="82" t="n"/>
      <c r="BY323" s="82" t="n"/>
      <c r="CA323" s="82" t="n"/>
      <c r="CB323" s="82" t="n"/>
      <c r="CC323" s="82" t="n"/>
      <c r="CD323" s="82" t="n"/>
      <c r="CF323" s="82" t="n"/>
      <c r="CG323" s="82" t="n"/>
      <c r="CH323" s="82" t="n"/>
      <c r="CI323" s="82" t="n"/>
      <c r="CK323" s="82" t="n"/>
      <c r="CL323" s="82" t="n"/>
      <c r="CM323" s="82" t="n"/>
      <c r="CN323" s="82" t="n"/>
      <c r="CP323" s="82" t="n"/>
      <c r="CQ323" s="82" t="n"/>
      <c r="CR323" s="82" t="n"/>
      <c r="CS323" s="82" t="n"/>
      <c r="CU323" s="82" t="n"/>
      <c r="CV323" s="82" t="n"/>
      <c r="CW323" s="82" t="n"/>
      <c r="CX323" s="82" t="n"/>
    </row>
    <row r="324" customFormat="1" s="77">
      <c r="A324" s="76" t="n"/>
      <c r="B324" s="76" t="n"/>
    </row>
    <row r="325" customFormat="1" s="77">
      <c r="A325" s="76" t="n"/>
      <c r="B325" s="76" t="n"/>
      <c r="C325" s="74" t="inlineStr">
        <is>
          <t>INTERNAL LIQUIDITY</t>
        </is>
      </c>
    </row>
    <row r="326" customFormat="1" s="77">
      <c r="A326" s="76" t="n"/>
      <c r="B326" s="76" t="n"/>
      <c r="C326" s="77" t="inlineStr">
        <is>
          <t>CURRENT RATIO</t>
        </is>
      </c>
      <c r="D326" s="82" t="str">
        <f>IFERROR(SUM(D129,D130,D134,D138,D139,D140)/SUM(D183,D187,D189,D190),"")</f>
        <v/>
      </c>
      <c r="E326" s="82" t="str">
        <f>IFERROR(SUM(E129,E130,E134,E138,E139,E140)/SUM(E183,E187,E189,E190),"")</f>
        <v/>
      </c>
      <c r="F326" s="82" t="str">
        <f>IFERROR(SUM(F129,F130,F134,F138,F139,F140)/SUM(F183,F187,F189,F190),"")</f>
        <v/>
      </c>
      <c r="G326" s="82" t="str">
        <f>IFERROR(SUM(G129,G130,G134,G138,G139,G140)/SUM(G183,G187,G189,G190),"")</f>
        <v/>
      </c>
      <c r="H326" s="262" t="str">
        <f>IFERROR(IF((N(H183)+N(H187)+N(H189)+N(H190)+N(H197)+N(H198)+N(H199))&lt;&gt;0,(N(H129)+(N(H130)+N(H134)+N(H138)+N(H139)+N(H140)))/(N(H183)+N(H187)+N(H189)+N(H190)+N(H197)+N(H198)+N(H199)),""),"")</f>
        <v/>
      </c>
      <c r="I326" s="262">
        <f>IFERROR(IF((N(I183)+N(I187)+N(I189)+N(I190)+N(I197)+N(I198)+N(I199))&lt;&gt;0,(N(I129)+(N(I130)+N(I134)+N(I138)+N(I139)+N(I140)))/(N(I183)+N(I187)+N(I189)+N(I190)+N(I197)+N(I198)+N(I199)),""),"")</f>
        <v>2.20896893634725</v>
      </c>
      <c r="J326" s="262">
        <f>IFERROR(IF((N(J183)+N(J187)+N(J189)+N(J190)+N(J197)+N(J198)+N(J199))&lt;&gt;0,(N(J129)+(N(J130)+N(J134)+N(J138)+N(J139)+N(J140)))/(N(J183)+N(J187)+N(J189)+N(J190)+N(J197)+N(J198)+N(J199)),""),"")</f>
        <v>2.07033277429605</v>
      </c>
      <c r="K326" s="262">
        <f>IFERROR(IF((N(K183)+N(K187)+N(K189)+N(K190)+N(K197)+N(K198)+N(K199))&lt;&gt;0,(N(K129)+(N(K130)+N(K134)+N(K138)+N(K139)+N(K140)))/(N(K183)+N(K187)+N(K189)+N(K190)+N(K197)+N(K198)+N(K199)),""),"")</f>
        <v>2.04665314401623</v>
      </c>
      <c r="L326" s="262">
        <f>IFERROR(IF((N(L183)+N(L187)+N(L189)+N(L190)+N(L197)+N(L198)+N(L199))&lt;&gt;0,(N(L129)+(N(L130)+N(L134)+N(L138)+N(L139)+N(L140)))/(N(L183)+N(L187)+N(L189)+N(L190)+N(L197)+N(L198)+N(L199)),""),"")</f>
        <v>1.48584460824881</v>
      </c>
      <c r="M326" s="262">
        <f>IFERROR(IF((N(M183)+N(M187)+N(M189)+N(M190)+N(M197)+N(M198)+N(M199))&lt;&gt;0,(N(M129)+(N(M130)+N(M134)+N(M138)+N(M139)+N(M140)))/(N(M183)+N(M187)+N(M189)+N(M190)+N(M197)+N(M198)+N(M199)),""),"")</f>
        <v>1.48584460824881</v>
      </c>
      <c r="N326" s="262">
        <f>IFERROR(IF((N(N183)+N(N187)+N(N189)+N(N190)+N(N197)+N(N198)+N(N199))&lt;&gt;0,(N(N129)+(N(N130)+N(N134)+N(N138)+N(N139)+N(N140)))/(N(N183)+N(N187)+N(N189)+N(N190)+N(N197)+N(N198)+N(N199)),""),"")</f>
        <v>1.38490665067107</v>
      </c>
      <c r="O326" s="262">
        <f>IFERROR(IF((N(O183)+N(O187)+N(O189)+N(O190)+N(O197)+N(O198)+N(O199))&lt;&gt;0,(N(O129)+(N(O130)+N(O134)+N(O138)+N(O139)+N(O140)))/(N(O183)+N(O187)+N(O189)+N(O190)+N(O197)+N(O198)+N(O199)),""),"")</f>
        <v>1.32886752890093</v>
      </c>
      <c r="P326" s="262">
        <f>IFERROR(IF((N(P183)+N(P187)+N(P189)+N(P190)+N(P197)+N(P198)+N(P199))&lt;&gt;0,(N(P129)+(N(P130)+N(P134)+N(P138)+N(P139)+N(P140)))/(N(P183)+N(P187)+N(P189)+N(P190)+N(P197)+N(P198)+N(P199)),""),"")</f>
        <v>1.30965971459934</v>
      </c>
      <c r="Q326" s="262">
        <f>IFERROR(IF((N(Q183)+N(Q187)+N(Q189)+N(Q190)+N(Q197)+N(Q198)+N(Q199))&lt;&gt;0,(N(Q129)+(N(Q130)+N(Q134)+N(Q138)+N(Q139)+N(Q140)))/(N(Q183)+N(Q187)+N(Q189)+N(Q190)+N(Q197)+N(Q198)+N(Q199)),""),"")</f>
        <v>1.36847927238249</v>
      </c>
      <c r="R326" s="262">
        <f>IFERROR(IF((N(R183)+N(R187)+N(R189)+N(R190)+N(R197)+N(R198)+N(R199))&lt;&gt;0,(N(R129)+(N(R130)+N(R134)+N(R138)+N(R139)+N(R140)))/(N(R183)+N(R187)+N(R189)+N(R190)+N(R197)+N(R198)+N(R199)),""),"")</f>
        <v>1.36847927238249</v>
      </c>
      <c r="S326" s="262">
        <f>IFERROR(IF((N(S183)+N(S187)+N(S189)+N(S190)+N(S197)+N(S198)+N(S199))&lt;&gt;0,(N(S129)+(N(S130)+N(S134)+N(S138)+N(S139)+N(S140)))/(N(S183)+N(S187)+N(S189)+N(S190)+N(S197)+N(S198)+N(S199)),""),"")</f>
        <v>1.46598173515982</v>
      </c>
      <c r="T326" s="262">
        <f>IFERROR(IF((N(T183)+N(T187)+N(T189)+N(T190)+N(T197)+N(T198)+N(T199))&lt;&gt;0,(N(T129)+(N(T130)+N(T134)+N(T138)+N(T139)+N(T140)))/(N(T183)+N(T187)+N(T189)+N(T190)+N(T197)+N(T198)+N(T199)),""),"")</f>
        <v>1.46680523799626</v>
      </c>
      <c r="U326" s="262">
        <f>IFERROR(IF((N(U183)+N(U187)+N(U189)+N(U190)+N(U197)+N(U198)+N(U199))&lt;&gt;0,(N(U129)+(N(U130)+N(U134)+N(U138)+N(U139)+N(U140)))/(N(U183)+N(U187)+N(U189)+N(U190)+N(U197)+N(U198)+N(U199)),""),"")</f>
        <v>1.38420014533375</v>
      </c>
      <c r="V326" s="262">
        <f>IFERROR(IF((N(V183)+N(V187)+N(V189)+N(V190)+N(V197)+N(V198)+N(V199))&lt;&gt;0,(N(V129)+(N(V130)+N(V134)+N(V138)+N(V139)+N(V140)))/(N(V183)+N(V187)+N(V189)+N(V190)+N(V197)+N(V198)+N(V199)),""),"")</f>
        <v>1.38322588253794</v>
      </c>
      <c r="W326" s="262">
        <f>IFERROR(IF((N(W183)+N(W187)+N(W189)+N(W190)+N(W197)+N(W198)+N(W199))&lt;&gt;0,(N(W129)+(N(W130)+N(W134)+N(W138)+N(W139)+N(W140)))/(N(W183)+N(W187)+N(W189)+N(W190)+N(W197)+N(W198)+N(W199)),""),"")</f>
        <v>1.38322588253794</v>
      </c>
      <c r="X326" s="262">
        <f>IFERROR(IF((N(X183)+N(X187)+N(X189)+N(X190)+N(X197)+N(X198)+N(X199))&lt;&gt;0,(N(X129)+(N(X130)+N(X134)+N(X138)+N(X139)+N(X140)))/(N(X183)+N(X187)+N(X189)+N(X190)+N(X197)+N(X198)+N(X199)),""),"")</f>
        <v>1.36834481678672</v>
      </c>
      <c r="Y326" s="262">
        <f>IFERROR(IF((N(Y183)+N(Y187)+N(Y189)+N(Y190)+N(Y197)+N(Y198)+N(Y199))&lt;&gt;0,(N(Y129)+(N(Y130)+N(Y134)+N(Y138)+N(Y139)+N(Y140)))/(N(Y183)+N(Y187)+N(Y189)+N(Y190)+N(Y197)+N(Y198)+N(Y199)),""),"")</f>
        <v>1.36458015267176</v>
      </c>
      <c r="Z326" s="262">
        <f>IFERROR(IF((N(Z183)+N(Z187)+N(Z189)+N(Z190)+N(Z197)+N(Z198)+N(Z199))&lt;&gt;0,(N(Z129)+(N(Z130)+N(Z134)+N(Z138)+N(Z139)+N(Z140)))/(N(Z183)+N(Z187)+N(Z189)+N(Z190)+N(Z197)+N(Z198)+N(Z199)),""),"")</f>
        <v>1.35339669130588</v>
      </c>
      <c r="AA326" s="262">
        <f>IFERROR(IF((N(AA183)+N(AA187)+N(AA189)+N(AA190)+N(AA197)+N(AA198)+N(AA199))&lt;&gt;0,(N(AA129)+(N(AA130)+N(AA134)+N(AA138)+N(AA139)+N(AA140)))/(N(AA183)+N(AA187)+N(AA189)+N(AA190)+N(AA197)+N(AA198)+N(AA199)),""),"")</f>
        <v>1.30106713965863</v>
      </c>
      <c r="AB326" s="262">
        <f>IFERROR(IF((N(AB183)+N(AB187)+N(AB189)+N(AB190)+N(AB197)+N(AB198)+N(AB199))&lt;&gt;0,(N(AB129)+(N(AB130)+N(AB134)+N(AB138)+N(AB139)+N(AB140)))/(N(AB183)+N(AB187)+N(AB189)+N(AB190)+N(AB197)+N(AB198)+N(AB199)),""),"")</f>
        <v>1.30106713965863</v>
      </c>
      <c r="AC326" s="262">
        <f>IFERROR(IF((N(AC183)+N(AC187)+N(AC189)+N(AC190)+N(AC197)+N(AC198)+N(AC199))&lt;&gt;0,(N(AC129)+(N(AC130)+N(AC134)+N(AC138)+N(AC139)+N(AC140)))/(N(AC183)+N(AC187)+N(AC189)+N(AC190)+N(AC197)+N(AC198)+N(AC199)),""),"")</f>
        <v>1.27446266563636</v>
      </c>
      <c r="AD326" s="262">
        <f>IFERROR(IF((N(AD183)+N(AD187)+N(AD189)+N(AD190)+N(AD197)+N(AD198)+N(AD199))&lt;&gt;0,(N(AD129)+(N(AD130)+N(AD134)+N(AD138)+N(AD139)+N(AD140)))/(N(AD183)+N(AD187)+N(AD189)+N(AD190)+N(AD197)+N(AD198)+N(AD199)),""),"")</f>
        <v>1.22557999232161</v>
      </c>
      <c r="AE326" s="262">
        <f>IFERROR(IF((N(AE183)+N(AE187)+N(AE189)+N(AE190)+N(AE197)+N(AE198)+N(AE199))&lt;&gt;0,(N(AE129)+(N(AE130)+N(AE134)+N(AE138)+N(AE139)+N(AE140)))/(N(AE183)+N(AE187)+N(AE189)+N(AE190)+N(AE197)+N(AE198)+N(AE199)),""),"")</f>
        <v>1.26116875436804</v>
      </c>
      <c r="AF326" s="262">
        <f>IFERROR(IF((N(AF183)+N(AF187)+N(AF189)+N(AF190)+N(AF197)+N(AF198)+N(AF199))&lt;&gt;0,(N(AF129)+(N(AF130)+N(AF134)+N(AF138)+N(AF139)+N(AF140)))/(N(AF183)+N(AF187)+N(AF189)+N(AF190)+N(AF197)+N(AF198)+N(AF199)),""),"")</f>
        <v>1.23283137938996</v>
      </c>
      <c r="AG326" s="262">
        <f>IFERROR(IF((N(AG183)+N(AG187)+N(AG189)+N(AG190)+N(AG197)+N(AG198)+N(AG199))&lt;&gt;0,(N(AG129)+(N(AG130)+N(AG134)+N(AG138)+N(AG139)+N(AG140)))/(N(AG183)+N(AG187)+N(AG189)+N(AG190)+N(AG197)+N(AG198)+N(AG199)),""),"")</f>
        <v>1.23283137938996</v>
      </c>
      <c r="AH326" s="262">
        <f>IFERROR(IF((N(AH183)+N(AH187)+N(AH189)+N(AH190)+N(AH197)+N(AH198)+N(AH199))&lt;&gt;0,(N(AH129)+(N(AH130)+N(AH134)+N(AH138)+N(AH139)+N(AH140)))/(N(AH183)+N(AH187)+N(AH189)+N(AH190)+N(AH197)+N(AH198)+N(AH199)),""),"")</f>
        <v>1.18264041575055</v>
      </c>
      <c r="AI326" s="262">
        <f>IFERROR(IF((N(AI183)+N(AI187)+N(AI189)+N(AI190)+N(AI197)+N(AI198)+N(AI199))&lt;&gt;0,(N(AI129)+(N(AI130)+N(AI134)+N(AI138)+N(AI139)+N(AI140)))/(N(AI183)+N(AI187)+N(AI189)+N(AI190)+N(AI197)+N(AI198)+N(AI199)),""),"")</f>
        <v>1.1532810606248</v>
      </c>
      <c r="AJ326" s="262">
        <f>IFERROR(IF((N(AJ183)+N(AJ187)+N(AJ189)+N(AJ190)+N(AJ197)+N(AJ198)+N(AJ199))&lt;&gt;0,(N(AJ129)+(N(AJ130)+N(AJ134)+N(AJ138)+N(AJ139)+N(AJ140)))/(N(AJ183)+N(AJ187)+N(AJ189)+N(AJ190)+N(AJ197)+N(AJ198)+N(AJ199)),""),"")</f>
        <v>1.21811727948224</v>
      </c>
      <c r="AK326" s="262">
        <f>IFERROR(IF((N(AK183)+N(AK187)+N(AK189)+N(AK190)+N(AK197)+N(AK198)+N(AK199))&lt;&gt;0,(N(AK129)+(N(AK130)+N(AK134)+N(AK138)+N(AK139)+N(AK140)))/(N(AK183)+N(AK187)+N(AK189)+N(AK190)+N(AK197)+N(AK198)+N(AK199)),""),"")</f>
        <v>1.28665879916426</v>
      </c>
      <c r="AL326" s="262">
        <f>IFERROR(IF((N(AL183)+N(AL187)+N(AL189)+N(AL190)+N(AL197)+N(AL198)+N(AL199))&lt;&gt;0,(N(AL129)+(N(AL130)+N(AL134)+N(AL138)+N(AL139)+N(AL140)))/(N(AL183)+N(AL187)+N(AL189)+N(AL190)+N(AL197)+N(AL198)+N(AL199)),""),"")</f>
        <v>1.28665879916426</v>
      </c>
      <c r="AM326" s="262">
        <f>IFERROR(IF((N(AM183)+N(AM187)+N(AM189)+N(AM190)+N(AM197)+N(AM198)+N(AM199))&lt;&gt;0,(N(AM129)+(N(AM130)+N(AM134)+N(AM138)+N(AM139)+N(AM140)))/(N(AM183)+N(AM187)+N(AM189)+N(AM190)+N(AM197)+N(AM198)+N(AM199)),""),"")</f>
        <v>1.35652380169817</v>
      </c>
      <c r="AN326" s="262">
        <f>IFERROR(IF((N(AN183)+N(AN187)+N(AN189)+N(AN190)+N(AN197)+N(AN198)+N(AN199))&lt;&gt;0,(N(AN129)+(N(AN130)+N(AN134)+N(AN138)+N(AN139)+N(AN140)))/(N(AN183)+N(AN187)+N(AN189)+N(AN190)+N(AN197)+N(AN198)+N(AN199)),""),"")</f>
        <v>1.4232254705289</v>
      </c>
      <c r="AO326" s="262">
        <f>IFERROR(IF((N(AO183)+N(AO187)+N(AO189)+N(AO190)+N(AO197)+N(AO198)+N(AO199))&lt;&gt;0,(N(AO129)+(N(AO130)+N(AO134)+N(AO138)+N(AO139)+N(AO140)))/(N(AO183)+N(AO187)+N(AO189)+N(AO190)+N(AO197)+N(AO198)+N(AO199)),""),"")</f>
        <v>1.49111872544336</v>
      </c>
      <c r="AP326" s="262">
        <f>IFERROR(IF((N(AP183)+N(AP187)+N(AP189)+N(AP190)+N(AP197)+N(AP198)+N(AP199))&lt;&gt;0,(N(AP129)+(N(AP130)+N(AP134)+N(AP138)+N(AP139)+N(AP140)))/(N(AP183)+N(AP187)+N(AP189)+N(AP190)+N(AP197)+N(AP198)+N(AP199)),""),"")</f>
        <v>1.56483964631856</v>
      </c>
      <c r="AQ326" s="262">
        <f>IFERROR(IF((N(AQ183)+N(AQ187)+N(AQ189)+N(AQ190)+N(AQ197)+N(AQ198)+N(AQ199))&lt;&gt;0,(N(AQ129)+(N(AQ130)+N(AQ134)+N(AQ138)+N(AQ139)+N(AQ140)))/(N(AQ183)+N(AQ187)+N(AQ189)+N(AQ190)+N(AQ197)+N(AQ198)+N(AQ199)),""),"")</f>
        <v>1.56483964631856</v>
      </c>
      <c r="AR326" s="262">
        <f>IFERROR(IF((N(AR183)+N(AR187)+N(AR189)+N(AR190)+N(AR197)+N(AR198)+N(AR199))&lt;&gt;0,(N(AR129)+(N(AR130)+N(AR134)+N(AR138)+N(AR139)+N(AR140)))/(N(AR183)+N(AR187)+N(AR189)+N(AR190)+N(AR197)+N(AR198)+N(AR199)),""),"")</f>
        <v>1.64726044737335</v>
      </c>
      <c r="AS326" s="262">
        <f>IFERROR(IF((N(AS183)+N(AS187)+N(AS189)+N(AS190)+N(AS197)+N(AS198)+N(AS199))&lt;&gt;0,(N(AS129)+(N(AS130)+N(AS134)+N(AS138)+N(AS139)+N(AS140)))/(N(AS183)+N(AS187)+N(AS189)+N(AS190)+N(AS197)+N(AS198)+N(AS199)),""),"")</f>
        <v>1.71383378862556</v>
      </c>
      <c r="AT326" s="262">
        <f>IFERROR(IF((N(AT183)+N(AT187)+N(AT189)+N(AT190)+N(AT197)+N(AT198)+N(AT199))&lt;&gt;0,(N(AT129)+(N(AT130)+N(AT134)+N(AT138)+N(AT139)+N(AT140)))/(N(AT183)+N(AT187)+N(AT189)+N(AT190)+N(AT197)+N(AT198)+N(AT199)),""),"")</f>
        <v>1.78196732266088</v>
      </c>
      <c r="AU326" s="262">
        <f>IFERROR(IF((N(AU183)+N(AU187)+N(AU189)+N(AU190)+N(AU197)+N(AU198)+N(AU199))&lt;&gt;0,(N(AU129)+(N(AU130)+N(AU134)+N(AU138)+N(AU139)+N(AU140)))/(N(AU183)+N(AU187)+N(AU189)+N(AU190)+N(AU197)+N(AU198)+N(AU199)),""),"")</f>
        <v>1.85997448301744</v>
      </c>
      <c r="AV326" s="262">
        <f>IFERROR(IF((N(AV183)+N(AV187)+N(AV189)+N(AV190)+N(AV197)+N(AV198)+N(AV199))&lt;&gt;0,(N(AV129)+(N(AV130)+N(AV134)+N(AV138)+N(AV139)+N(AV140)))/(N(AV183)+N(AV187)+N(AV189)+N(AV190)+N(AV197)+N(AV198)+N(AV199)),""),"")</f>
        <v>1.85997448301744</v>
      </c>
      <c r="AW326" s="262">
        <f>IFERROR(IF((N(AW183)+N(AW187)+N(AW189)+N(AW190)+N(AW197)+N(AW198)+N(AW199))&lt;&gt;0,(N(AW129)+(N(AW130)+N(AW134)+N(AW138)+N(AW139)+N(AW140)))/(N(AW183)+N(AW187)+N(AW189)+N(AW190)+N(AW197)+N(AW198)+N(AW199)),""),"")</f>
        <v>1.9517422166546</v>
      </c>
      <c r="AX326" s="262">
        <f>IFERROR(IF((N(AX183)+N(AX187)+N(AX189)+N(AX190)+N(AX197)+N(AX198)+N(AX199))&lt;&gt;0,(N(AX129)+(N(AX130)+N(AX134)+N(AX138)+N(AX139)+N(AX140)))/(N(AX183)+N(AX187)+N(AX189)+N(AX190)+N(AX197)+N(AX198)+N(AX199)),""),"")</f>
        <v>2.02132721762179</v>
      </c>
      <c r="AY326" s="262">
        <f>IFERROR(IF((N(AY183)+N(AY187)+N(AY189)+N(AY190)+N(AY197)+N(AY198)+N(AY199))&lt;&gt;0,(N(AY129)+(N(AY130)+N(AY134)+N(AY138)+N(AY139)+N(AY140)))/(N(AY183)+N(AY187)+N(AY189)+N(AY190)+N(AY197)+N(AY198)+N(AY199)),""),"")</f>
        <v>2.08755779449336</v>
      </c>
      <c r="AZ326" s="262">
        <f>IFERROR(IF((N(AZ183)+N(AZ187)+N(AZ189)+N(AZ190)+N(AZ197)+N(AZ198)+N(AZ199))&lt;&gt;0,(N(AZ129)+(N(AZ130)+N(AZ134)+N(AZ138)+N(AZ139)+N(AZ140)))/(N(AZ183)+N(AZ187)+N(AZ189)+N(AZ190)+N(AZ197)+N(AZ198)+N(AZ199)),""),"")</f>
        <v>2.16874761229399</v>
      </c>
      <c r="BA326" s="262">
        <f>IFERROR(IF((N(BA183)+N(BA187)+N(BA189)+N(BA190)+N(BA197)+N(BA198)+N(BA199))&lt;&gt;0,(N(BA129)+(N(BA130)+N(BA134)+N(BA138)+N(BA139)+N(BA140)))/(N(BA183)+N(BA187)+N(BA189)+N(BA190)+N(BA197)+N(BA198)+N(BA199)),""),"")</f>
        <v>2.16874761229399</v>
      </c>
      <c r="BB326" s="262">
        <f>IFERROR(IF((N(BB183)+N(BB187)+N(BB189)+N(BB190)+N(BB197)+N(BB198)+N(BB199))&lt;&gt;0,(N(BB129)+(N(BB130)+N(BB134)+N(BB138)+N(BB139)+N(BB140)))/(N(BB183)+N(BB187)+N(BB189)+N(BB190)+N(BB197)+N(BB198)+N(BB199)),""),"")</f>
        <v>2.27405301071262</v>
      </c>
      <c r="BC326" s="262">
        <f>IFERROR(IF((N(BC183)+N(BC187)+N(BC189)+N(BC190)+N(BC197)+N(BC198)+N(BC199))&lt;&gt;0,(N(BC129)+(N(BC130)+N(BC134)+N(BC138)+N(BC139)+N(BC140)))/(N(BC183)+N(BC187)+N(BC189)+N(BC190)+N(BC197)+N(BC198)+N(BC199)),""),"")</f>
        <v>2.34243199905291</v>
      </c>
      <c r="BD326" s="262">
        <f>IFERROR(IF((N(BD183)+N(BD187)+N(BD189)+N(BD190)+N(BD197)+N(BD198)+N(BD199))&lt;&gt;0,(N(BD129)+(N(BD130)+N(BD134)+N(BD138)+N(BD139)+N(BD140)))/(N(BD183)+N(BD187)+N(BD189)+N(BD190)+N(BD197)+N(BD198)+N(BD199)),""),"")</f>
        <v>2.40441803386168</v>
      </c>
      <c r="BE326" s="262">
        <f>IFERROR(IF((N(BE183)+N(BE187)+N(BE189)+N(BE190)+N(BE197)+N(BE198)+N(BE199))&lt;&gt;0,(N(BE129)+(N(BE130)+N(BE134)+N(BE138)+N(BE139)+N(BE140)))/(N(BE183)+N(BE187)+N(BE189)+N(BE190)+N(BE197)+N(BE198)+N(BE199)),""),"")</f>
        <v>2.4875295129003</v>
      </c>
      <c r="BF326" s="262">
        <f>IFERROR(IF((N(BF183)+N(BF187)+N(BF189)+N(BF190)+N(BF197)+N(BF198)+N(BF199))&lt;&gt;0,(N(BF129)+(N(BF130)+N(BF134)+N(BF138)+N(BF139)+N(BF140)))/(N(BF183)+N(BF187)+N(BF189)+N(BF190)+N(BF197)+N(BF198)+N(BF199)),""),"")</f>
        <v>2.4875295129003</v>
      </c>
      <c r="BG326" s="82" t="n"/>
      <c r="BH326" s="82" t="n"/>
      <c r="BI326" s="82" t="n"/>
      <c r="BJ326" s="82" t="n"/>
      <c r="BL326" s="82" t="n"/>
      <c r="BM326" s="82" t="n"/>
      <c r="BN326" s="82" t="n"/>
      <c r="BO326" s="82" t="n"/>
      <c r="BQ326" s="82" t="n"/>
      <c r="BR326" s="82" t="n"/>
      <c r="BS326" s="82" t="n"/>
      <c r="BT326" s="82" t="n"/>
      <c r="BV326" s="82" t="n"/>
      <c r="BW326" s="82" t="n"/>
      <c r="BX326" s="82" t="n"/>
      <c r="BY326" s="82" t="n"/>
      <c r="CA326" s="82" t="n"/>
      <c r="CB326" s="82" t="n"/>
      <c r="CC326" s="82" t="n"/>
      <c r="CD326" s="82" t="n"/>
      <c r="CF326" s="82" t="n"/>
      <c r="CG326" s="82" t="n"/>
      <c r="CH326" s="82" t="n"/>
      <c r="CI326" s="82" t="n"/>
      <c r="CK326" s="82" t="n"/>
      <c r="CL326" s="82" t="n"/>
      <c r="CM326" s="82" t="n"/>
      <c r="CN326" s="82" t="n"/>
      <c r="CP326" s="82" t="n"/>
      <c r="CQ326" s="82" t="n"/>
      <c r="CR326" s="82" t="n"/>
      <c r="CS326" s="82" t="n"/>
      <c r="CU326" s="82" t="n"/>
      <c r="CV326" s="82" t="n"/>
      <c r="CW326" s="82" t="n"/>
      <c r="CX326" s="82" t="n"/>
    </row>
    <row r="327" customFormat="1" s="77">
      <c r="A327" s="76" t="n"/>
      <c r="B327" s="76" t="n"/>
      <c r="C327" s="77" t="inlineStr">
        <is>
          <t>CASH RATIO</t>
        </is>
      </c>
      <c r="D327" s="82" t="str">
        <f>IFERROR(SUM(D129)/SUM(D183,D187,D189,D190),"")</f>
        <v/>
      </c>
      <c r="E327" s="82" t="str">
        <f>IFERROR(SUM(E129)/SUM(E183,E187,E189,E190),"")</f>
        <v/>
      </c>
      <c r="F327" s="82" t="str">
        <f>IFERROR(SUM(F129)/SUM(F183,F187,F189,F190),"")</f>
        <v/>
      </c>
      <c r="G327" s="82" t="str">
        <f>IFERROR(SUM(G129)/SUM(G183,G187,G189,G190),"")</f>
        <v/>
      </c>
      <c r="H327" s="262" t="str">
        <f>IFERROR(IF((N(H183)+N(H187)+N(H189)+N(H190)+N(H197)+N(H198)+N(H199))&lt;&gt;0,N(H129)/(N(H183)+N(H187)+N(H189)+N(H190)+N(H197)+N(H198)+N(H199)),""),"")</f>
        <v/>
      </c>
      <c r="I327" s="262">
        <f>IFERROR(IF((N(I183)+N(I187)+N(I189)+N(I190)+N(I197)+N(I198)+N(I199))&lt;&gt;0,N(I129)/(N(I183)+N(I187)+N(I189)+N(I190)+N(I197)+N(I198)+N(I199)),""),"")</f>
        <v>0.55094647066981</v>
      </c>
      <c r="J327" s="262">
        <f>IFERROR(IF((N(J183)+N(J187)+N(J189)+N(J190)+N(J197)+N(J198)+N(J199))&lt;&gt;0,N(J129)/(N(J183)+N(J187)+N(J189)+N(J190)+N(J197)+N(J198)+N(J199)),""),"")</f>
        <v>0.396504545855768</v>
      </c>
      <c r="K327" s="262">
        <f>IFERROR(IF((N(K183)+N(K187)+N(K189)+N(K190)+N(K197)+N(K198)+N(K199))&lt;&gt;0,N(K129)/(N(K183)+N(K187)+N(K189)+N(K190)+N(K197)+N(K198)+N(K199)),""),"")</f>
        <v>0.432638130406893</v>
      </c>
      <c r="L327" s="262">
        <f>IFERROR(IF((N(L183)+N(L187)+N(L189)+N(L190)+N(L197)+N(L198)+N(L199))&lt;&gt;0,N(L129)/(N(L183)+N(L187)+N(L189)+N(L190)+N(L197)+N(L198)+N(L199)),""),"")</f>
        <v>0.303508535576127</v>
      </c>
      <c r="M327" s="262">
        <f>IFERROR(IF((N(M183)+N(M187)+N(M189)+N(M190)+N(M197)+N(M198)+N(M199))&lt;&gt;0,N(M129)/(N(M183)+N(M187)+N(M189)+N(M190)+N(M197)+N(M198)+N(M199)),""),"")</f>
        <v>0.303508535576127</v>
      </c>
      <c r="N327" s="262">
        <f>IFERROR(IF((N(N183)+N(N187)+N(N189)+N(N190)+N(N197)+N(N198)+N(N199))&lt;&gt;0,N(N129)/(N(N183)+N(N187)+N(N189)+N(N190)+N(N197)+N(N198)+N(N199)),""),"")</f>
        <v>0.240721301642048</v>
      </c>
      <c r="O327" s="262">
        <f>IFERROR(IF((N(O183)+N(O187)+N(O189)+N(O190)+N(O197)+N(O198)+N(O199))&lt;&gt;0,N(O129)/(N(O183)+N(O187)+N(O189)+N(O190)+N(O197)+N(O198)+N(O199)),""),"")</f>
        <v>0.244753298324396</v>
      </c>
      <c r="P327" s="262">
        <f>IFERROR(IF((N(P183)+N(P187)+N(P189)+N(P190)+N(P197)+N(P198)+N(P199))&lt;&gt;0,N(P129)/(N(P183)+N(P187)+N(P189)+N(P190)+N(P197)+N(P198)+N(P199)),""),"")</f>
        <v>0.230442736919136</v>
      </c>
      <c r="Q327" s="262">
        <f>IFERROR(IF((N(Q183)+N(Q187)+N(Q189)+N(Q190)+N(Q197)+N(Q198)+N(Q199))&lt;&gt;0,N(Q129)/(N(Q183)+N(Q187)+N(Q189)+N(Q190)+N(Q197)+N(Q198)+N(Q199)),""),"")</f>
        <v>0.303092023247239</v>
      </c>
      <c r="R327" s="262">
        <f>IFERROR(IF((N(R183)+N(R187)+N(R189)+N(R190)+N(R197)+N(R198)+N(R199))&lt;&gt;0,N(R129)/(N(R183)+N(R187)+N(R189)+N(R190)+N(R197)+N(R198)+N(R199)),""),"")</f>
        <v>0.303092023247239</v>
      </c>
      <c r="S327" s="262">
        <f>IFERROR(IF((N(S183)+N(S187)+N(S189)+N(S190)+N(S197)+N(S198)+N(S199))&lt;&gt;0,N(S129)/(N(S183)+N(S187)+N(S189)+N(S190)+N(S197)+N(S198)+N(S199)),""),"")</f>
        <v>0.249086757990868</v>
      </c>
      <c r="T327" s="262">
        <f>IFERROR(IF((N(T183)+N(T187)+N(T189)+N(T190)+N(T197)+N(T198)+N(T199))&lt;&gt;0,N(T129)/(N(T183)+N(T187)+N(T189)+N(T190)+N(T197)+N(T198)+N(T199)),""),"")</f>
        <v>0.265350239035544</v>
      </c>
      <c r="U327" s="262">
        <f>IFERROR(IF((N(U183)+N(U187)+N(U189)+N(U190)+N(U197)+N(U198)+N(U199))&lt;&gt;0,N(U129)/(N(U183)+N(U187)+N(U189)+N(U190)+N(U197)+N(U198)+N(U199)),""),"")</f>
        <v>0.272542302501817</v>
      </c>
      <c r="V327" s="262">
        <f>IFERROR(IF((N(V183)+N(V187)+N(V189)+N(V190)+N(V197)+N(V198)+N(V199))&lt;&gt;0,N(V129)/(N(V183)+N(V187)+N(V189)+N(V190)+N(V197)+N(V198)+N(V199)),""),"")</f>
        <v>0.333497130277538</v>
      </c>
      <c r="W327" s="262">
        <f>IFERROR(IF((N(W183)+N(W187)+N(W189)+N(W190)+N(W197)+N(W198)+N(W199))&lt;&gt;0,N(W129)/(N(W183)+N(W187)+N(W189)+N(W190)+N(W197)+N(W198)+N(W199)),""),"")</f>
        <v>0.333497130277538</v>
      </c>
      <c r="X327" s="262">
        <f>IFERROR(IF((N(X183)+N(X187)+N(X189)+N(X190)+N(X197)+N(X198)+N(X199))&lt;&gt;0,N(X129)/(N(X183)+N(X187)+N(X189)+N(X190)+N(X197)+N(X198)+N(X199)),""),"")</f>
        <v>0.361082837456937</v>
      </c>
      <c r="Y327" s="262">
        <f>IFERROR(IF((N(Y183)+N(Y187)+N(Y189)+N(Y190)+N(Y197)+N(Y198)+N(Y199))&lt;&gt;0,N(Y129)/(N(Y183)+N(Y187)+N(Y189)+N(Y190)+N(Y197)+N(Y198)+N(Y199)),""),"")</f>
        <v>0.369679389312977</v>
      </c>
      <c r="Z327" s="262">
        <f>IFERROR(IF((N(Z183)+N(Z187)+N(Z189)+N(Z190)+N(Z197)+N(Z198)+N(Z199))&lt;&gt;0,N(Z129)/(N(Z183)+N(Z187)+N(Z189)+N(Z190)+N(Z197)+N(Z198)+N(Z199)),""),"")</f>
        <v>0.402557784817553</v>
      </c>
      <c r="AA327" s="262">
        <f>IFERROR(IF((N(AA183)+N(AA187)+N(AA189)+N(AA190)+N(AA197)+N(AA198)+N(AA199))&lt;&gt;0,N(AA129)/(N(AA183)+N(AA187)+N(AA189)+N(AA190)+N(AA197)+N(AA198)+N(AA199)),""),"")</f>
        <v>0.396004768689483</v>
      </c>
      <c r="AB327" s="262">
        <f>IFERROR(IF((N(AB183)+N(AB187)+N(AB189)+N(AB190)+N(AB197)+N(AB198)+N(AB199))&lt;&gt;0,N(AB129)/(N(AB183)+N(AB187)+N(AB189)+N(AB190)+N(AB197)+N(AB198)+N(AB199)),""),"")</f>
        <v>0.396004768689483</v>
      </c>
      <c r="AC327" s="262">
        <f>IFERROR(IF((N(AC183)+N(AC187)+N(AC189)+N(AC190)+N(AC197)+N(AC198)+N(AC199))&lt;&gt;0,N(AC129)/(N(AC183)+N(AC187)+N(AC189)+N(AC190)+N(AC197)+N(AC198)+N(AC199)),""),"")</f>
        <v>0.355027045591139</v>
      </c>
      <c r="AD327" s="262">
        <f>IFERROR(IF((N(AD183)+N(AD187)+N(AD189)+N(AD190)+N(AD197)+N(AD198)+N(AD199))&lt;&gt;0,N(AD129)/(N(AD183)+N(AD187)+N(AD189)+N(AD190)+N(AD197)+N(AD198)+N(AD199)),""),"")</f>
        <v>0.297839082981407</v>
      </c>
      <c r="AE327" s="262">
        <f>IFERROR(IF((N(AE183)+N(AE187)+N(AE189)+N(AE190)+N(AE197)+N(AE198)+N(AE199))&lt;&gt;0,N(AE129)/(N(AE183)+N(AE187)+N(AE189)+N(AE190)+N(AE197)+N(AE198)+N(AE199)),""),"")</f>
        <v>0.336030320950487</v>
      </c>
      <c r="AF327" s="262">
        <f>IFERROR(IF((N(AF183)+N(AF187)+N(AF189)+N(AF190)+N(AF197)+N(AF198)+N(AF199))&lt;&gt;0,N(AF129)/(N(AF183)+N(AF187)+N(AF189)+N(AF190)+N(AF197)+N(AF198)+N(AF199)),""),"")</f>
        <v>0.317898463353942</v>
      </c>
      <c r="AG327" s="262">
        <f>IFERROR(IF((N(AG183)+N(AG187)+N(AG189)+N(AG190)+N(AG197)+N(AG198)+N(AG199))&lt;&gt;0,N(AG129)/(N(AG183)+N(AG187)+N(AG189)+N(AG190)+N(AG197)+N(AG198)+N(AG199)),""),"")</f>
        <v>0.317898463353942</v>
      </c>
      <c r="AH327" s="262">
        <f>IFERROR(IF((N(AH183)+N(AH187)+N(AH189)+N(AH190)+N(AH197)+N(AH198)+N(AH199))&lt;&gt;0,N(AH129)/(N(AH183)+N(AH187)+N(AH189)+N(AH190)+N(AH197)+N(AH198)+N(AH199)),""),"")</f>
        <v>0.274360383769738</v>
      </c>
      <c r="AI327" s="262">
        <f>IFERROR(IF((N(AI183)+N(AI187)+N(AI189)+N(AI190)+N(AI197)+N(AI198)+N(AI199))&lt;&gt;0,N(AI129)/(N(AI183)+N(AI187)+N(AI189)+N(AI190)+N(AI197)+N(AI198)+N(AI199)),""),"")</f>
        <v>0.231145959583467</v>
      </c>
      <c r="AJ327" s="262">
        <f>IFERROR(IF((N(AJ183)+N(AJ187)+N(AJ189)+N(AJ190)+N(AJ197)+N(AJ198)+N(AJ199))&lt;&gt;0,N(AJ129)/(N(AJ183)+N(AJ187)+N(AJ189)+N(AJ190)+N(AJ197)+N(AJ198)+N(AJ199)),""),"")</f>
        <v>0.248379217231027</v>
      </c>
      <c r="AK327" s="262">
        <f>IFERROR(IF((N(AK183)+N(AK187)+N(AK189)+N(AK190)+N(AK197)+N(AK198)+N(AK199))&lt;&gt;0,N(AK129)/(N(AK183)+N(AK187)+N(AK189)+N(AK190)+N(AK197)+N(AK198)+N(AK199)),""),"")</f>
        <v>0.299966374547244</v>
      </c>
      <c r="AL327" s="262">
        <f>IFERROR(IF((N(AL183)+N(AL187)+N(AL189)+N(AL190)+N(AL197)+N(AL198)+N(AL199))&lt;&gt;0,N(AL129)/(N(AL183)+N(AL187)+N(AL189)+N(AL190)+N(AL197)+N(AL198)+N(AL199)),""),"")</f>
        <v>0.299966374547244</v>
      </c>
      <c r="AM327" s="262">
        <f>IFERROR(IF((N(AM183)+N(AM187)+N(AM189)+N(AM190)+N(AM197)+N(AM198)+N(AM199))&lt;&gt;0,N(AM129)/(N(AM183)+N(AM187)+N(AM189)+N(AM190)+N(AM197)+N(AM198)+N(AM199)),""),"")</f>
        <v>0.371383133122948</v>
      </c>
      <c r="AN327" s="262">
        <f>IFERROR(IF((N(AN183)+N(AN187)+N(AN189)+N(AN190)+N(AN197)+N(AN198)+N(AN199))&lt;&gt;0,N(AN129)/(N(AN183)+N(AN187)+N(AN189)+N(AN190)+N(AN197)+N(AN198)+N(AN199)),""),"")</f>
        <v>0.412645102765665</v>
      </c>
      <c r="AO327" s="262">
        <f>IFERROR(IF((N(AO183)+N(AO187)+N(AO189)+N(AO190)+N(AO197)+N(AO198)+N(AO199))&lt;&gt;0,N(AO129)/(N(AO183)+N(AO187)+N(AO189)+N(AO190)+N(AO197)+N(AO198)+N(AO199)),""),"")</f>
        <v>0.447961450136629</v>
      </c>
      <c r="AP327" s="262">
        <f>IFERROR(IF((N(AP183)+N(AP187)+N(AP189)+N(AP190)+N(AP197)+N(AP198)+N(AP199))&lt;&gt;0,N(AP129)/(N(AP183)+N(AP187)+N(AP189)+N(AP190)+N(AP197)+N(AP198)+N(AP199)),""),"")</f>
        <v>0.50353033793574</v>
      </c>
      <c r="AQ327" s="262">
        <f>IFERROR(IF((N(AQ183)+N(AQ187)+N(AQ189)+N(AQ190)+N(AQ197)+N(AQ198)+N(AQ199))&lt;&gt;0,N(AQ129)/(N(AQ183)+N(AQ187)+N(AQ189)+N(AQ190)+N(AQ197)+N(AQ198)+N(AQ199)),""),"")</f>
        <v>0.50353033793574</v>
      </c>
      <c r="AR327" s="262">
        <f>IFERROR(IF((N(AR183)+N(AR187)+N(AR189)+N(AR190)+N(AR197)+N(AR198)+N(AR199))&lt;&gt;0,N(AR129)/(N(AR183)+N(AR187)+N(AR189)+N(AR190)+N(AR197)+N(AR198)+N(AR199)),""),"")</f>
        <v>0.5940510720309</v>
      </c>
      <c r="AS327" s="262">
        <f>IFERROR(IF((N(AS183)+N(AS187)+N(AS189)+N(AS190)+N(AS197)+N(AS198)+N(AS199))&lt;&gt;0,N(AS129)/(N(AS183)+N(AS187)+N(AS189)+N(AS190)+N(AS197)+N(AS198)+N(AS199)),""),"")</f>
        <v>0.628858537455473</v>
      </c>
      <c r="AT327" s="262">
        <f>IFERROR(IF((N(AT183)+N(AT187)+N(AT189)+N(AT190)+N(AT197)+N(AT198)+N(AT199))&lt;&gt;0,N(AT129)/(N(AT183)+N(AT187)+N(AT189)+N(AT190)+N(AT197)+N(AT198)+N(AT199)),""),"")</f>
        <v>0.662487785853529</v>
      </c>
      <c r="AU327" s="262">
        <f>IFERROR(IF((N(AU183)+N(AU187)+N(AU189)+N(AU190)+N(AU197)+N(AU198)+N(AU199))&lt;&gt;0,N(AU129)/(N(AU183)+N(AU187)+N(AU189)+N(AU190)+N(AU197)+N(AU198)+N(AU199)),""),"")</f>
        <v>0.721362333595469</v>
      </c>
      <c r="AV327" s="262">
        <f>IFERROR(IF((N(AV183)+N(AV187)+N(AV189)+N(AV190)+N(AV197)+N(AV198)+N(AV199))&lt;&gt;0,N(AV129)/(N(AV183)+N(AV187)+N(AV189)+N(AV190)+N(AV197)+N(AV198)+N(AV199)),""),"")</f>
        <v>0.721362333595469</v>
      </c>
      <c r="AW327" s="262">
        <f>IFERROR(IF((N(AW183)+N(AW187)+N(AW189)+N(AW190)+N(AW197)+N(AW198)+N(AW199))&lt;&gt;0,N(AW129)/(N(AW183)+N(AW187)+N(AW189)+N(AW190)+N(AW197)+N(AW198)+N(AW199)),""),"")</f>
        <v>0.818609816463958</v>
      </c>
      <c r="AX327" s="262">
        <f>IFERROR(IF((N(AX183)+N(AX187)+N(AX189)+N(AX190)+N(AX197)+N(AX198)+N(AX199))&lt;&gt;0,N(AX129)/(N(AX183)+N(AX187)+N(AX189)+N(AX190)+N(AX197)+N(AX198)+N(AX199)),""),"")</f>
        <v>0.859768418845322</v>
      </c>
      <c r="AY327" s="262">
        <f>IFERROR(IF((N(AY183)+N(AY187)+N(AY189)+N(AY190)+N(AY197)+N(AY198)+N(AY199))&lt;&gt;0,N(AY129)/(N(AY183)+N(AY187)+N(AY189)+N(AY190)+N(AY197)+N(AY198)+N(AY199)),""),"")</f>
        <v>0.89000714357707</v>
      </c>
      <c r="AZ327" s="262">
        <f>IFERROR(IF((N(AZ183)+N(AZ187)+N(AZ189)+N(AZ190)+N(AZ197)+N(AZ198)+N(AZ199))&lt;&gt;0,N(AZ129)/(N(AZ183)+N(AZ187)+N(AZ189)+N(AZ190)+N(AZ197)+N(AZ198)+N(AZ199)),""),"")</f>
        <v>0.951338767239798</v>
      </c>
      <c r="BA327" s="262">
        <f>IFERROR(IF((N(BA183)+N(BA187)+N(BA189)+N(BA190)+N(BA197)+N(BA198)+N(BA199))&lt;&gt;0,N(BA129)/(N(BA183)+N(BA187)+N(BA189)+N(BA190)+N(BA197)+N(BA198)+N(BA199)),""),"")</f>
        <v>0.951338767239798</v>
      </c>
      <c r="BB327" s="262">
        <f>IFERROR(IF((N(BB183)+N(BB187)+N(BB189)+N(BB190)+N(BB197)+N(BB198)+N(BB199))&lt;&gt;0,N(BB129)/(N(BB183)+N(BB187)+N(BB189)+N(BB190)+N(BB197)+N(BB198)+N(BB199)),""),"")</f>
        <v>1.06427037604914</v>
      </c>
      <c r="BC327" s="262">
        <f>IFERROR(IF((N(BC183)+N(BC187)+N(BC189)+N(BC190)+N(BC197)+N(BC198)+N(BC199))&lt;&gt;0,N(BC129)/(N(BC183)+N(BC187)+N(BC189)+N(BC190)+N(BC197)+N(BC198)+N(BC199)),""),"")</f>
        <v>1.1032640398036</v>
      </c>
      <c r="BD327" s="262">
        <f>IFERROR(IF((N(BD183)+N(BD187)+N(BD189)+N(BD190)+N(BD197)+N(BD198)+N(BD199))&lt;&gt;0,N(BD129)/(N(BD183)+N(BD187)+N(BD189)+N(BD190)+N(BD197)+N(BD198)+N(BD199)),""),"")</f>
        <v>1.1282597091912</v>
      </c>
      <c r="BE327" s="262">
        <f>IFERROR(IF((N(BE183)+N(BE187)+N(BE189)+N(BE190)+N(BE197)+N(BE198)+N(BE199))&lt;&gt;0,N(BE129)/(N(BE183)+N(BE187)+N(BE189)+N(BE190)+N(BE197)+N(BE198)+N(BE199)),""),"")</f>
        <v>1.1910644366788</v>
      </c>
      <c r="BF327" s="262">
        <f>IFERROR(IF((N(BF183)+N(BF187)+N(BF189)+N(BF190)+N(BF197)+N(BF198)+N(BF199))&lt;&gt;0,N(BF129)/(N(BF183)+N(BF187)+N(BF189)+N(BF190)+N(BF197)+N(BF198)+N(BF199)),""),"")</f>
        <v>1.1910644366788</v>
      </c>
      <c r="BG327" s="82" t="n"/>
      <c r="BH327" s="82" t="n"/>
      <c r="BI327" s="82" t="n"/>
      <c r="BJ327" s="82" t="n"/>
      <c r="BL327" s="82" t="n"/>
      <c r="BM327" s="82" t="n"/>
      <c r="BN327" s="82" t="n"/>
      <c r="BO327" s="82" t="n"/>
      <c r="BQ327" s="82" t="n"/>
      <c r="BR327" s="82" t="n"/>
      <c r="BS327" s="82" t="n"/>
      <c r="BT327" s="82" t="n"/>
      <c r="BV327" s="82" t="n"/>
      <c r="BW327" s="82" t="n"/>
      <c r="BX327" s="82" t="n"/>
      <c r="BY327" s="82" t="n"/>
      <c r="CA327" s="82" t="n"/>
      <c r="CB327" s="82" t="n"/>
      <c r="CC327" s="82" t="n"/>
      <c r="CD327" s="82" t="n"/>
      <c r="CF327" s="82" t="n"/>
      <c r="CG327" s="82" t="n"/>
      <c r="CH327" s="82" t="n"/>
      <c r="CI327" s="82" t="n"/>
      <c r="CK327" s="82" t="n"/>
      <c r="CL327" s="82" t="n"/>
      <c r="CM327" s="82" t="n"/>
      <c r="CN327" s="82" t="n"/>
      <c r="CP327" s="82" t="n"/>
      <c r="CQ327" s="82" t="n"/>
      <c r="CR327" s="82" t="n"/>
      <c r="CS327" s="82" t="n"/>
      <c r="CU327" s="82" t="n"/>
      <c r="CV327" s="82" t="n"/>
      <c r="CW327" s="82" t="n"/>
      <c r="CX327" s="82" t="n"/>
    </row>
    <row r="328" customFormat="1" s="77">
      <c r="A328" s="76" t="n"/>
      <c r="B328" s="76" t="n"/>
    </row>
    <row r="329" customFormat="1" s="77">
      <c r="A329" s="76" t="n"/>
      <c r="B329" s="76" t="n"/>
      <c r="C329" s="74" t="inlineStr">
        <is>
          <t>OPERATING EFFICIENCY</t>
        </is>
      </c>
    </row>
    <row r="330" customFormat="1" s="84">
      <c r="A330" s="81" t="n"/>
      <c r="B330" s="81" t="n"/>
      <c r="C330" s="84" t="inlineStr">
        <is>
          <t>RETURN ON CAPITAL (ROIC) - LTM</t>
        </is>
      </c>
      <c r="D330" t="str">
        <f>IFERROR(D332/D335,"")</f>
        <v/>
      </c>
      <c r="E330" t="str">
        <f>IFERROR(E332/E335,"")</f>
        <v/>
      </c>
      <c r="F330" t="str">
        <f>IFERROR(F332/F335,"")</f>
        <v/>
      </c>
      <c r="G330" t="str">
        <f>IFERROR(G332/G335,"")</f>
        <v/>
      </c>
      <c r="H330" s="257" t="str">
        <f>IFERROR(IF(AND(COUNT(H332)=1,N(H335)&lt;&gt;0),(H332)/H335,""),"")</f>
        <v/>
      </c>
      <c r="I330" s="257" t="str">
        <f>""</f>
        <v/>
      </c>
      <c r="J330" s="257" t="str">
        <f>""</f>
        <v/>
      </c>
      <c r="K330" s="257" t="str">
        <f>""</f>
        <v/>
      </c>
      <c r="L330" s="257">
        <f>IFERROR(IF(AND(COUNT(I332,J332,K332,L332)=4,N(L335)&lt;&gt;0),(I332+J332+K332+L332)/L335,""),"")</f>
        <v>-0.0671079576696664</v>
      </c>
      <c r="M330" s="257">
        <f>IFERROR(IF(AND(COUNT(I332,J332,K332,L332)=4,N(M335)&lt;&gt;0),(I332+J332+K332+L332)/M335,""),"")</f>
        <v>-0.0671079576696664</v>
      </c>
      <c r="N330" s="257">
        <f>IFERROR(IF(AND(COUNT(J332,K332,L332,N332)=4,N(N335)&lt;&gt;0),(J332+K332+L332+N332)/N335,""),"")</f>
        <v>-0.0812706567816695</v>
      </c>
      <c r="O330" s="257">
        <f>IFERROR(IF(AND(COUNT(K332,L332,N332,O332)=4,N(O335)&lt;&gt;0),(K332+L332+N332+O332)/O335,""),"")</f>
        <v>-0.0656553400464817</v>
      </c>
      <c r="P330" s="257">
        <f>IFERROR(IF(AND(COUNT(L332,N332,O332,P332)=4,N(P335)&lt;&gt;0),(L332+N332+O332+P332)/P335,""),"")</f>
        <v>-0.0861584714585229</v>
      </c>
      <c r="Q330" s="257">
        <f>IFERROR(IF(AND(COUNT(N332,O332,P332,Q332)=4,N(Q335)&lt;&gt;0),(N332+O332+P332+Q332)/Q335,""),"")</f>
        <v>-0.0897560049368651</v>
      </c>
      <c r="R330" s="257">
        <f>IFERROR(IF(AND(COUNT(N332,O332,P332,Q332)=4,N(R335)&lt;&gt;0),(N332+O332+P332+Q332)/R335,""),"")</f>
        <v>-0.0897560049368651</v>
      </c>
      <c r="S330" s="257">
        <f>IFERROR(IF(AND(COUNT(O332,P332,Q332,S332)=4,N(S335)&lt;&gt;0),(O332+P332+Q332+S332)/S335,""),"")</f>
        <v>-0.222155697479756</v>
      </c>
      <c r="T330" s="257">
        <f>IFERROR(IF(AND(COUNT(P332,Q332,S332,T332)=4,N(T335)&lt;&gt;0),(P332+Q332+S332+T332)/T335,""),"")</f>
        <v>-0.221941375714599</v>
      </c>
      <c r="U330" s="257">
        <f>IFERROR(IF(AND(COUNT(Q332,S332,T332,U332)=4,N(U335)&lt;&gt;0),(Q332+S332+T332+U332)/U335,""),"")</f>
        <v>-0.2082028103517</v>
      </c>
      <c r="V330" s="257">
        <f>IFERROR(IF(AND(COUNT(S332,T332,U332,V332)=4,N(V335)&lt;&gt;0),(S332+T332+U332+V332)/V335,""),"")</f>
        <v>-0.313238935233771</v>
      </c>
      <c r="W330" s="257">
        <f>IFERROR(IF(AND(COUNT(S332,T332,U332,V332)=4,N(W335)&lt;&gt;0),(S332+T332+U332+V332)/W335,""),"")</f>
        <v>-0.313238935233771</v>
      </c>
      <c r="X330" s="257">
        <f>IFERROR(IF(AND(COUNT(T332,U332,V332,X332)=4,N(X335)&lt;&gt;0),(T332+U332+V332+X332)/X335,""),"")</f>
        <v>-0.102234812125048</v>
      </c>
      <c r="Y330" s="257">
        <f>IFERROR(IF(AND(COUNT(U332,V332,X332,Y332)=4,N(Y335)&lt;&gt;0),(U332+V332+X332+Y332)/Y335,""),"")</f>
        <v>-0.107411627057</v>
      </c>
      <c r="Z330" s="257">
        <f>IFERROR(IF(AND(COUNT(V332,X332,Y332,Z332)=4,N(Z335)&lt;&gt;0),(V332+X332+Y332+Z332)/Z335,""),"")</f>
        <v>-0.125139832989444</v>
      </c>
      <c r="AA330" s="257">
        <f>IFERROR(IF(AND(COUNT(X332,Y332,Z332,AA332)=4,N(AA335)&lt;&gt;0),(X332+Y332+Z332+AA332)/AA335,""),"")</f>
        <v>0.219662137434755</v>
      </c>
      <c r="AB330" s="257">
        <f>IFERROR(IF(AND(COUNT(X332,Y332,Z332,AA332)=4,N(AB335)&lt;&gt;0),(X332+Y332+Z332+AA332)/AB335,""),"")</f>
        <v>0.219662137434755</v>
      </c>
      <c r="AC330" s="257">
        <f>IFERROR(IF(AND(COUNT(Y332,Z332,AA332,AC332)=4,N(AC335)&lt;&gt;0),(Y332+Z332+AA332+AC332)/AC335,""),"")</f>
        <v>0.237666806244322</v>
      </c>
      <c r="AD330" s="257">
        <f>IFERROR(IF(AND(COUNT(Z332,AA332,AC332,AD332)=4,N(AD335)&lt;&gt;0),(Z332+AA332+AC332+AD332)/AD335,""),"")</f>
        <v>0.241409564652787</v>
      </c>
      <c r="AE330" s="257">
        <f>IFERROR(IF(AND(COUNT(AA332,AC332,AD332,AE332)=4,N(AE335)&lt;&gt;0),(AA332+AC332+AD332+AE332)/AE335,""),"")</f>
        <v>0.282221174980681</v>
      </c>
      <c r="AF330" s="257">
        <f>IFERROR(IF(AND(COUNT(AB332,AD332,AE332,AF332)=4,N(AF335)&lt;&gt;0),(AB332+AD332+AE332+AF332)/AF335,""),"")</f>
        <v>0.433435304098474</v>
      </c>
      <c r="AG330" s="257">
        <f>IFERROR(IF(AND(COUNT(AC332,AD332,AE332,AF332)=4,N(AG335)&lt;&gt;0),(AC332+AD332+AE332+AF332)/AG335,""),"")</f>
        <v>0.297829456676005</v>
      </c>
      <c r="AH330" s="257">
        <f>IFERROR(IF(AND(COUNT(AD332,AF332,AG332,AH332)=4,N(AH335)&lt;&gt;0),(AD332+AF332+AG332+AH332)/AH335,""),"")</f>
        <v>0.516277714402233</v>
      </c>
      <c r="AI330" s="257">
        <f>IFERROR(IF(AND(COUNT(AE332,AG332,AH332,AI332)=4,N(AI335)&lt;&gt;0),(AE332+AG332+AH332+AI332)/AI335,""),"")</f>
        <v>0.528761138294573</v>
      </c>
      <c r="AJ330" s="257">
        <f>IFERROR(IF(AND(COUNT(AF332,AH332,AI332,AJ332)=4,N(AJ335)&lt;&gt;0),(AF332+AH332+AI332+AJ332)/AJ335,""),"")</f>
        <v>0.310888917328337</v>
      </c>
      <c r="AK330" s="257">
        <f>IFERROR(IF(AND(COUNT(AH332,AI332,AJ332,AK332)=4,N(AK335)&lt;&gt;0),(AH332+AI332+AJ332+AK332)/AK335,""),"")</f>
        <v>0.320764097791016</v>
      </c>
      <c r="AL330" s="257">
        <f>IFERROR(IF(AND(COUNT(AH332,AI332,AJ332,AK332)=4,N(AL335)&lt;&gt;0),(AH332+AI332+AJ332+AK332)/AL335,""),"")</f>
        <v>0.320764097791016</v>
      </c>
      <c r="AM330" s="257">
        <f>IFERROR(IF(AND(COUNT(AI332,AJ332,AK332,AM332)=4,N(AM335)&lt;&gt;0),(AI332+AJ332+AK332+AM332)/AM335,""),"")</f>
        <v>0.336054668044257</v>
      </c>
      <c r="AN330" s="257">
        <f>IFERROR(IF(AND(COUNT(AJ332,AK332,AM332,AN332)=4,N(AN335)&lt;&gt;0),(AJ332+AK332+AM332+AN332)/AN335,""),"")</f>
        <v>0.340284327752832</v>
      </c>
      <c r="AO330" s="257">
        <f>IFERROR(IF(AND(COUNT(AK332,AM332,AN332,AO332)=4,N(AO335)&lt;&gt;0),(AK332+AM332+AN332+AO332)/AO335,""),"")</f>
        <v>0.340854363521533</v>
      </c>
      <c r="AP330" s="257">
        <f>IFERROR(IF(AND(COUNT(AM332,AN332,AO332,AP332)=4,N(AP335)&lt;&gt;0),(AM332+AN332+AO332+AP332)/AP335,""),"")</f>
        <v>0.348223842576485</v>
      </c>
      <c r="AQ330" s="257">
        <f>IFERROR(IF(AND(COUNT(AM332,AN332,AO332,AP332)=4,N(AQ335)&lt;&gt;0),(AM332+AN332+AO332+AP332)/AQ335,""),"")</f>
        <v>0.348223842576485</v>
      </c>
      <c r="AR330" s="257">
        <f>IFERROR(IF(AND(COUNT(AN332,AO332,AP332,AR332)=4,N(AR335)&lt;&gt;0),(AN332+AO332+AP332+AR332)/AR335,""),"")</f>
        <v>0.367430073587341</v>
      </c>
      <c r="AS330" s="257">
        <f>IFERROR(IF(AND(COUNT(AO332,AP332,AR332,AS332)=4,N(AS335)&lt;&gt;0),(AO332+AP332+AR332+AS332)/AS335,""),"")</f>
        <v>0.367204776584203</v>
      </c>
      <c r="AT330" s="257">
        <f>IFERROR(IF(AND(COUNT(AP332,AR332,AS332,AT332)=4,N(AT335)&lt;&gt;0),(AP332+AR332+AS332+AT332)/AT335,""),"")</f>
        <v>0.366191504191826</v>
      </c>
      <c r="AU330" s="257">
        <f>IFERROR(IF(AND(COUNT(AR332,AS332,AT332,AU332)=4,N(AU335)&lt;&gt;0),(AR332+AS332+AT332+AU332)/AU335,""),"")</f>
        <v>0.37305389325822</v>
      </c>
      <c r="AV330" s="257">
        <f>IFERROR(IF(AND(COUNT(AR332,AS332,AT332,AU332)=4,N(AV335)&lt;&gt;0),(AR332+AS332+AT332+AU332)/AV335,""),"")</f>
        <v>0.37305389325822</v>
      </c>
      <c r="AW330" s="257">
        <f>IFERROR(IF(AND(COUNT(AS332,AT332,AU332,AW332)=4,N(AW335)&lt;&gt;0),(AS332+AT332+AU332+AW332)/AW335,""),"")</f>
        <v>0.39183249045308</v>
      </c>
      <c r="AX330" s="257">
        <f>IFERROR(IF(AND(COUNT(AT332,AU332,AW332,AX332)=4,N(AX335)&lt;&gt;0),(AT332+AU332+AW332+AX332)/AX335,""),"")</f>
        <v>0.392711900116736</v>
      </c>
      <c r="AY330" s="257">
        <f>IFERROR(IF(AND(COUNT(AU332,AW332,AX332,AY332)=4,N(AY335)&lt;&gt;0),(AU332+AW332+AX332+AY332)/AY335,""),"")</f>
        <v>0.389973032645753</v>
      </c>
      <c r="AZ330" s="257">
        <f>IFERROR(IF(AND(COUNT(AW332,AX332,AY332,AZ332)=4,N(AZ335)&lt;&gt;0),(AW332+AX332+AY332+AZ332)/AZ335,""),"")</f>
        <v>0.396205483632576</v>
      </c>
      <c r="BA330" s="257">
        <f>IFERROR(IF(AND(COUNT(AW332,AX332,AY332,AZ332)=4,N(BA335)&lt;&gt;0),(AW332+AX332+AY332+AZ332)/BA335,""),"")</f>
        <v>0.396205483632576</v>
      </c>
      <c r="BB330" s="257">
        <f>IFERROR(IF(AND(COUNT(AX332,AY332,AZ332,BB332)=4,N(BB335)&lt;&gt;0),(AX332+AY332+AZ332+BB332)/BB335,""),"")</f>
        <v>0.417084631223852</v>
      </c>
      <c r="BC330" s="257">
        <f>IFERROR(IF(AND(COUNT(AY332,AZ332,BB332,BC332)=4,N(BC335)&lt;&gt;0),(AY332+AZ332+BB332+BC332)/BC335,""),"")</f>
        <v>0.416570135642964</v>
      </c>
      <c r="BD330" s="257">
        <f>IFERROR(IF(AND(COUNT(AZ332,BB332,BC332,BD332)=4,N(BD335)&lt;&gt;0),(AZ332+BB332+BC332+BD332)/BD335,""),"")</f>
        <v>0.41201069810145</v>
      </c>
      <c r="BE330" s="257">
        <f>IFERROR(IF(AND(COUNT(BB332,BC332,BD332,BE332)=4,N(BE335)&lt;&gt;0),(BB332+BC332+BD332+BE332)/BE335,""),"")</f>
        <v>0.417514348380185</v>
      </c>
      <c r="BF330" s="257">
        <f>IFERROR(IF(AND(COUNT(BB332,BC332,BD332,BE332)=4,N(BF335)&lt;&gt;0),(BB332+BC332+BD332+BE332)/BF335,""),"")</f>
        <v>0.417514348380185</v>
      </c>
      <c r="BG330" s="81" t="n"/>
      <c r="BH330" s="81" t="n"/>
      <c r="BI330" s="81" t="n"/>
      <c r="BJ330" s="81" t="n"/>
      <c r="BL330" s="81" t="n"/>
      <c r="BM330" s="81" t="n"/>
      <c r="BN330" s="81" t="n"/>
      <c r="BO330" s="81" t="n"/>
      <c r="BQ330" s="81" t="n"/>
      <c r="BR330" s="81" t="n"/>
      <c r="BS330" s="81" t="n"/>
      <c r="BT330" s="81" t="n"/>
      <c r="BV330" s="81" t="n"/>
      <c r="BW330" s="81" t="n"/>
      <c r="BX330" s="81" t="n"/>
      <c r="BY330" s="81" t="n"/>
      <c r="CA330" s="81" t="n"/>
      <c r="CB330" s="81" t="n"/>
      <c r="CC330" s="81" t="n"/>
      <c r="CD330" s="81" t="n"/>
      <c r="CF330" s="81" t="n"/>
      <c r="CG330" s="81" t="n"/>
      <c r="CH330" s="81" t="n"/>
      <c r="CI330" s="81" t="n"/>
      <c r="CK330" s="81" t="n"/>
      <c r="CL330" s="81" t="n"/>
      <c r="CM330" s="81" t="n"/>
      <c r="CN330" s="81" t="n"/>
      <c r="CP330" s="81" t="n"/>
      <c r="CQ330" s="81" t="n"/>
      <c r="CR330" s="81" t="n"/>
      <c r="CS330" s="81" t="n"/>
      <c r="CU330" s="81" t="n"/>
      <c r="CV330" s="81" t="n"/>
      <c r="CW330" s="81" t="n"/>
      <c r="CX330" s="81" t="n"/>
    </row>
    <row r="331" customFormat="1" s="84">
      <c r="A331" s="81" t="n"/>
      <c r="B331" s="81" t="n"/>
      <c r="C331" s="84" t="inlineStr">
        <is>
          <t>RETURN ON CAPITAL (ROIC) - EX GOODWILL - LTM</t>
        </is>
      </c>
      <c r="D331" t="str">
        <f>IFERROR(D332/D336,"")</f>
        <v/>
      </c>
      <c r="E331" t="str">
        <f>IFERROR(E332/E336,"")</f>
        <v/>
      </c>
      <c r="F331" t="str">
        <f>IFERROR(F332/F336,"")</f>
        <v/>
      </c>
      <c r="G331" t="str">
        <f>IFERROR(G332/G336,"")</f>
        <v/>
      </c>
      <c r="H331" s="257" t="str">
        <f>IFERROR(IF(AND(COUNT(H332)=1,N(H336)&lt;&gt;0),(H332)/H336,""),"")</f>
        <v/>
      </c>
      <c r="I331" s="257" t="str">
        <f>""</f>
        <v/>
      </c>
      <c r="J331" s="257" t="str">
        <f>""</f>
        <v/>
      </c>
      <c r="K331" s="257" t="str">
        <f>""</f>
        <v/>
      </c>
      <c r="L331" s="257">
        <f>IFERROR(IF(AND(COUNT(I332,J332,K332,L332)=4,N(L336)&lt;&gt;0),(I332+J332+K332+L332)/L336,""),"")</f>
        <v>-0.117539087052766</v>
      </c>
      <c r="M331" s="257">
        <f>IFERROR(IF(AND(COUNT(I332,J332,K332,L332)=4,N(M336)&lt;&gt;0),(I332+J332+K332+L332)/M336,""),"")</f>
        <v>-0.117539087052766</v>
      </c>
      <c r="N331" s="257">
        <f>IFERROR(IF(AND(COUNT(J332,K332,L332,N332)=4,N(N336)&lt;&gt;0),(J332+K332+L332+N332)/N336,""),"")</f>
        <v>-0.141710834865045</v>
      </c>
      <c r="O331" s="257">
        <f>IFERROR(IF(AND(COUNT(K332,L332,N332,O332)=4,N(O336)&lt;&gt;0),(K332+L332+N332+O332)/O336,""),"")</f>
        <v>-0.12310431947916</v>
      </c>
      <c r="P331" s="257">
        <f>IFERROR(IF(AND(COUNT(L332,N332,O332,P332)=4,N(P336)&lt;&gt;0),(L332+N332+O332+P332)/P336,""),"")</f>
        <v>-0.172289680813195</v>
      </c>
      <c r="Q331" s="257">
        <f>IFERROR(IF(AND(COUNT(N332,O332,P332,Q332)=4,N(Q336)&lt;&gt;0),(N332+O332+P332+Q332)/Q336,""),"")</f>
        <v>-0.175940745152045</v>
      </c>
      <c r="R331" s="257">
        <f>IFERROR(IF(AND(COUNT(N332,O332,P332,Q332)=4,N(R336)&lt;&gt;0),(N332+O332+P332+Q332)/R336,""),"")</f>
        <v>-0.175940745152045</v>
      </c>
      <c r="S331" s="257">
        <f>IFERROR(IF(AND(COUNT(O332,P332,Q332,S332)=4,N(S336)&lt;&gt;0),(O332+P332+Q332+S332)/S336,""),"")</f>
        <v>-0.318790329328527</v>
      </c>
      <c r="T331" s="257">
        <f>IFERROR(IF(AND(COUNT(P332,Q332,S332,T332)=4,N(T336)&lt;&gt;0),(P332+Q332+S332+T332)/T336,""),"")</f>
        <v>-0.32758062595219</v>
      </c>
      <c r="U331" s="257">
        <f>IFERROR(IF(AND(COUNT(Q332,S332,T332,U332)=4,N(U336)&lt;&gt;0),(Q332+S332+T332+U332)/U336,""),"")</f>
        <v>-0.320867112926722</v>
      </c>
      <c r="V331" s="257">
        <f>IFERROR(IF(AND(COUNT(S332,T332,U332,V332)=4,N(V336)&lt;&gt;0),(S332+T332+U332+V332)/V336,""),"")</f>
        <v>-0.531699916272955</v>
      </c>
      <c r="W331" s="257">
        <f>IFERROR(IF(AND(COUNT(S332,T332,U332,V332)=4,N(W336)&lt;&gt;0),(S332+T332+U332+V332)/W336,""),"")</f>
        <v>-0.531699916272955</v>
      </c>
      <c r="X331" s="257">
        <f>IFERROR(IF(AND(COUNT(T332,U332,V332,X332)=4,N(X336)&lt;&gt;0),(T332+U332+V332+X332)/X336,""),"")</f>
        <v>-0.170658795448906</v>
      </c>
      <c r="Y331" s="257">
        <f>IFERROR(IF(AND(COUNT(U332,V332,X332,Y332)=4,N(Y336)&lt;&gt;0),(U332+V332+X332+Y332)/Y336,""),"")</f>
        <v>-0.161631547518423</v>
      </c>
      <c r="Z331" s="257">
        <f>IFERROR(IF(AND(COUNT(V332,X332,Y332,Z332)=4,N(Z336)&lt;&gt;0),(V332+X332+Y332+Z332)/Z336,""),"")</f>
        <v>-0.191347623270455</v>
      </c>
      <c r="AA331" s="257">
        <f>IFERROR(IF(AND(COUNT(X332,Y332,Z332,AA332)=4,N(AA336)&lt;&gt;0),(X332+Y332+Z332+AA332)/AA336,""),"")</f>
        <v>0.332093965827414</v>
      </c>
      <c r="AB331" s="257">
        <f>IFERROR(IF(AND(COUNT(X332,Y332,Z332,AA332)=4,N(AB336)&lt;&gt;0),(X332+Y332+Z332+AA332)/AB336,""),"")</f>
        <v>0.332093965827414</v>
      </c>
      <c r="AC331" s="257">
        <f>IFERROR(IF(AND(COUNT(Y332,Z332,AA332,AC332)=4,N(AC336)&lt;&gt;0),(Y332+Z332+AA332+AC332)/AC336,""),"")</f>
        <v>0.35288313733478</v>
      </c>
      <c r="AD331" s="257">
        <f>IFERROR(IF(AND(COUNT(Z332,AA332,AC332,AD332)=4,N(AD336)&lt;&gt;0),(Z332+AA332+AC332+AD332)/AD336,""),"")</f>
        <v>0.359794238721015</v>
      </c>
      <c r="AE331" s="257">
        <f>IFERROR(IF(AND(COUNT(AA332,AC332,AD332,AE332)=4,N(AE336)&lt;&gt;0),(AA332+AC332+AD332+AE332)/AE336,""),"")</f>
        <v>0.421513763855031</v>
      </c>
      <c r="AF331" s="257">
        <f>IFERROR(IF(AND(COUNT(AB332,AD332,AE332,AF332)=4,N(AF336)&lt;&gt;0),(AB332+AD332+AE332+AF332)/AF336,""),"")</f>
        <v>0.652315180088228</v>
      </c>
      <c r="AG331" s="257">
        <f>IFERROR(IF(AND(COUNT(AC332,AD332,AE332,AF332)=4,N(AG336)&lt;&gt;0),(AC332+AD332+AE332+AF332)/AG336,""),"")</f>
        <v>0.448229929196188</v>
      </c>
      <c r="AH331" s="257">
        <f>IFERROR(IF(AND(COUNT(AD332,AF332,AG332,AH332)=4,N(AH336)&lt;&gt;0),(AD332+AF332+AG332+AH332)/AH336,""),"")</f>
        <v>0.766293757797602</v>
      </c>
      <c r="AI331" s="257">
        <f>IFERROR(IF(AND(COUNT(AE332,AG332,AH332,AI332)=4,N(AI336)&lt;&gt;0),(AE332+AG332+AH332+AI332)/AI336,""),"")</f>
        <v>0.781606384344752</v>
      </c>
      <c r="AJ331" s="257">
        <f>IFERROR(IF(AND(COUNT(AF332,AH332,AI332,AJ332)=4,N(AJ336)&lt;&gt;0),(AF332+AH332+AI332+AJ332)/AJ336,""),"")</f>
        <v>0.445940252298957</v>
      </c>
      <c r="AK331" s="257">
        <f>IFERROR(IF(AND(COUNT(AH332,AI332,AJ332,AK332)=4,N(AK336)&lt;&gt;0),(AH332+AI332+AJ332+AK332)/AK336,""),"")</f>
        <v>0.455553668628932</v>
      </c>
      <c r="AL331" s="257">
        <f>IFERROR(IF(AND(COUNT(AH332,AI332,AJ332,AK332)=4,N(AL336)&lt;&gt;0),(AH332+AI332+AJ332+AK332)/AL336,""),"")</f>
        <v>0.455553668628932</v>
      </c>
      <c r="AM331" s="257">
        <f>IFERROR(IF(AND(COUNT(AI332,AJ332,AK332,AM332)=4,N(AM336)&lt;&gt;0),(AI332+AJ332+AK332+AM332)/AM336,""),"")</f>
        <v>0.477713354580676</v>
      </c>
      <c r="AN331" s="257">
        <f>IFERROR(IF(AND(COUNT(AJ332,AK332,AM332,AN332)=4,N(AN336)&lt;&gt;0),(AJ332+AK332+AM332+AN332)/AN336,""),"")</f>
        <v>0.476805869497381</v>
      </c>
      <c r="AO331" s="257">
        <f>IFERROR(IF(AND(COUNT(AK332,AM332,AN332,AO332)=4,N(AO336)&lt;&gt;0),(AK332+AM332+AN332+AO332)/AO336,""),"")</f>
        <v>0.469306300277308</v>
      </c>
      <c r="AP331" s="257">
        <f>IFERROR(IF(AND(COUNT(AM332,AN332,AO332,AP332)=4,N(AP336)&lt;&gt;0),(AM332+AN332+AO332+AP332)/AP336,""),"")</f>
        <v>0.475000271993497</v>
      </c>
      <c r="AQ331" s="257">
        <f>IFERROR(IF(AND(COUNT(AM332,AN332,AO332,AP332)=4,N(AQ336)&lt;&gt;0),(AM332+AN332+AO332+AP332)/AQ336,""),"")</f>
        <v>0.475000271993497</v>
      </c>
      <c r="AR331" s="257">
        <f>IFERROR(IF(AND(COUNT(AN332,AO332,AP332,AR332)=4,N(AR336)&lt;&gt;0),(AN332+AO332+AP332+AR332)/AR336,""),"")</f>
        <v>0.503292632449267</v>
      </c>
      <c r="AS331" s="257">
        <f>IFERROR(IF(AND(COUNT(AO332,AP332,AR332,AS332)=4,N(AS336)&lt;&gt;0),(AO332+AP332+AR332+AS332)/AS336,""),"")</f>
        <v>0.49505384745076</v>
      </c>
      <c r="AT331" s="257">
        <f>IFERROR(IF(AND(COUNT(AP332,AR332,AS332,AT332)=4,N(AT336)&lt;&gt;0),(AP332+AR332+AS332+AT332)/AT336,""),"")</f>
        <v>0.485688984671468</v>
      </c>
      <c r="AU331" s="257">
        <f>IFERROR(IF(AND(COUNT(AR332,AS332,AT332,AU332)=4,N(AU336)&lt;&gt;0),(AR332+AS332+AT332+AU332)/AU336,""),"")</f>
        <v>0.490525103732298</v>
      </c>
      <c r="AV331" s="257">
        <f>IFERROR(IF(AND(COUNT(AR332,AS332,AT332,AU332)=4,N(AV336)&lt;&gt;0),(AR332+AS332+AT332+AU332)/AV336,""),"")</f>
        <v>0.490525103732298</v>
      </c>
      <c r="AW331" s="257">
        <f>IFERROR(IF(AND(COUNT(AS332,AT332,AU332,AW332)=4,N(AW336)&lt;&gt;0),(AS332+AT332+AU332+AW332)/AW336,""),"")</f>
        <v>0.516499509899128</v>
      </c>
      <c r="AX331" s="257">
        <f>IFERROR(IF(AND(COUNT(AT332,AU332,AW332,AX332)=4,N(AX336)&lt;&gt;0),(AT332+AU332+AW332+AX332)/AX336,""),"")</f>
        <v>0.511222392039923</v>
      </c>
      <c r="AY331" s="257">
        <f>IFERROR(IF(AND(COUNT(AU332,AW332,AX332,AY332)=4,N(AY336)&lt;&gt;0),(AU332+AW332+AX332+AY332)/AY336,""),"")</f>
        <v>0.500062974739855</v>
      </c>
      <c r="AZ331" s="257">
        <f>IFERROR(IF(AND(COUNT(AW332,AX332,AY332,AZ332)=4,N(AZ336)&lt;&gt;0),(AW332+AX332+AY332+AZ332)/AZ336,""),"")</f>
        <v>0.504027787970078</v>
      </c>
      <c r="BA331" s="257">
        <f>IFERROR(IF(AND(COUNT(AW332,AX332,AY332,AZ332)=4,N(BA336)&lt;&gt;0),(AW332+AX332+AY332+AZ332)/BA336,""),"")</f>
        <v>0.504027787970078</v>
      </c>
      <c r="BB331" s="257">
        <f>IFERROR(IF(AND(COUNT(AX332,AY332,AZ332,BB332)=4,N(BB336)&lt;&gt;0),(AX332+AY332+AZ332+BB332)/BB336,""),"")</f>
        <v>0.532215798572159</v>
      </c>
      <c r="BC331" s="257">
        <f>IFERROR(IF(AND(COUNT(AY332,AZ332,BB332,BC332)=4,N(BC336)&lt;&gt;0),(AY332+AZ332+BB332+BC332)/BC336,""),"")</f>
        <v>0.525483335813719</v>
      </c>
      <c r="BD331" s="257">
        <f>IFERROR(IF(AND(COUNT(AZ332,BB332,BC332,BD332)=4,N(BD336)&lt;&gt;0),(AZ332+BB332+BC332+BD332)/BD336,""),"")</f>
        <v>0.512613478535239</v>
      </c>
      <c r="BE331" s="257">
        <f>IFERROR(IF(AND(COUNT(BB332,BC332,BD332,BE332)=4,N(BE336)&lt;&gt;0),(BB332+BC332+BD332+BE332)/BE336,""),"")</f>
        <v>0.515705416892891</v>
      </c>
      <c r="BF331" s="257">
        <f>IFERROR(IF(AND(COUNT(BB332,BC332,BD332,BE332)=4,N(BF336)&lt;&gt;0),(BB332+BC332+BD332+BE332)/BF336,""),"")</f>
        <v>0.515705416892891</v>
      </c>
      <c r="BG331" s="81" t="n"/>
      <c r="BH331" s="81" t="n"/>
      <c r="BI331" s="81" t="n"/>
      <c r="BJ331" s="81" t="n"/>
      <c r="BL331" s="81" t="n"/>
      <c r="BM331" s="81" t="n"/>
      <c r="BN331" s="81" t="n"/>
      <c r="BO331" s="81" t="n"/>
      <c r="BQ331" s="81" t="n"/>
      <c r="BR331" s="81" t="n"/>
      <c r="BS331" s="81" t="n"/>
      <c r="BT331" s="81" t="n"/>
      <c r="BV331" s="81" t="n"/>
      <c r="BW331" s="81" t="n"/>
      <c r="BX331" s="81" t="n"/>
      <c r="BY331" s="81" t="n"/>
      <c r="CA331" s="81" t="n"/>
      <c r="CB331" s="81" t="n"/>
      <c r="CC331" s="81" t="n"/>
      <c r="CD331" s="81" t="n"/>
      <c r="CF331" s="81" t="n"/>
      <c r="CG331" s="81" t="n"/>
      <c r="CH331" s="81" t="n"/>
      <c r="CI331" s="81" t="n"/>
      <c r="CK331" s="81" t="n"/>
      <c r="CL331" s="81" t="n"/>
      <c r="CM331" s="81" t="n"/>
      <c r="CN331" s="81" t="n"/>
      <c r="CP331" s="81" t="n"/>
      <c r="CQ331" s="81" t="n"/>
      <c r="CR331" s="81" t="n"/>
      <c r="CS331" s="81" t="n"/>
      <c r="CU331" s="81" t="n"/>
      <c r="CV331" s="81" t="n"/>
      <c r="CW331" s="81" t="n"/>
      <c r="CX331" s="81" t="n"/>
    </row>
    <row r="332" customFormat="1" s="77">
      <c r="A332" s="76" t="n"/>
      <c r="B332" s="76" t="n"/>
      <c r="C332" s="77" t="inlineStr">
        <is>
          <t>NOPLAT</t>
        </is>
      </c>
      <c r="D332">
        <f>IFERROR(D333*(1-D334),"")</f>
        <v>0</v>
      </c>
      <c r="E332">
        <f>IFERROR(E333*(1-E334),"")</f>
        <v>0</v>
      </c>
      <c r="F332">
        <f>IFERROR(F333*(1-F334),"")</f>
        <v>0</v>
      </c>
      <c r="G332">
        <f>IFERROR(G333*(1-G334),"")</f>
        <v>0</v>
      </c>
      <c r="H332" s="263">
        <f>IFERROR(H333*(1-N(H334)),0)</f>
        <v>0</v>
      </c>
      <c r="I332" s="263">
        <f>IFERROR(I333*(1-N(I334)),0)</f>
        <v>26.218487394958</v>
      </c>
      <c r="J332" s="263">
        <f>IFERROR(J333*(1-N(J334)),0)</f>
        <v>-705.903567984571</v>
      </c>
      <c r="K332" s="263">
        <f>IFERROR(K333*(1-N(K334)),0)</f>
        <v>691.623287671233</v>
      </c>
      <c r="L332" s="263">
        <f>IFERROR(L333*(1-N(L334)),0)</f>
        <v>-4107</v>
      </c>
      <c r="M332" s="263">
        <f>IFERROR(M333*(1-N(M334)),0)</f>
        <v>-4271.62140141228</v>
      </c>
      <c r="N332" s="263">
        <f>IFERROR(N333*(1-N(N334)),0)</f>
        <v>-842</v>
      </c>
      <c r="O332" s="263">
        <f>IFERROR(O333*(1-N(O334)),0)</f>
        <v>629</v>
      </c>
      <c r="P332" s="263">
        <f>IFERROR(P333*(1-N(P334)),0)</f>
        <v>-36</v>
      </c>
      <c r="Q332" s="263">
        <f>IFERROR(Q333*(1-N(Q334)),0)</f>
        <v>-4478</v>
      </c>
      <c r="R332" s="263">
        <f>IFERROR(R333*(1-N(R334)),0)</f>
        <v>-4727</v>
      </c>
      <c r="S332" s="263">
        <f>IFERROR(S333*(1-N(S334)),0)</f>
        <v>-5720.79020332717</v>
      </c>
      <c r="T332" s="263">
        <f>IFERROR(T333*(1-N(T334)),0)</f>
        <v>1050.41219350563</v>
      </c>
      <c r="U332" s="263">
        <f>IFERROR(U333*(1-N(U334)),0)</f>
        <v>1334.94294294294</v>
      </c>
      <c r="V332" s="263">
        <f>IFERROR(V333*(1-N(V334)),0)</f>
        <v>-6868.94972623196</v>
      </c>
      <c r="W332" s="263">
        <f>IFERROR(W333*(1-N(W334)),0)</f>
        <v>-10828.1349705115</v>
      </c>
      <c r="X332" s="263">
        <f>IFERROR(X333*(1-N(X334)),0)</f>
        <v>1091.23905385003</v>
      </c>
      <c r="Y332" s="263">
        <f>IFERROR(Y333*(1-N(Y334)),0)</f>
        <v>1606.13407049067</v>
      </c>
      <c r="Z332" s="263">
        <f>IFERROR(Z333*(1-N(Z334)),0)</f>
        <v>1005.53882725832</v>
      </c>
      <c r="AA332" s="263">
        <f>IFERROR(AA333*(1-N(AA334)),0)</f>
        <v>1836.74749236808</v>
      </c>
      <c r="AB332" s="263">
        <f>IFERROR(AB333*(1-N(AB334)),0)</f>
        <v>5543.09081364829</v>
      </c>
      <c r="AC332" s="263">
        <f>IFERROR(AC333*(1-N(AC334)),0)</f>
        <v>1881.59732739421</v>
      </c>
      <c r="AD332" s="263">
        <f>IFERROR(AD333*(1-N(AD334)),0)</f>
        <v>1883.73754709083</v>
      </c>
      <c r="AE332" s="263">
        <f>IFERROR(AE333*(1-N(AE334)),0)</f>
        <v>2119.20675944334</v>
      </c>
      <c r="AF332" s="263">
        <f>IFERROR(AF333*(1-N(AF334)),0)</f>
        <v>2157.15152578043</v>
      </c>
      <c r="AG332" s="263">
        <f>IFERROR(AG333*(1-N(AG334)),0)</f>
        <v>8041.482</v>
      </c>
      <c r="AH332" s="263">
        <f>IFERROR(AH333*(1-N(AH334)),0)</f>
        <v>2163.79617834395</v>
      </c>
      <c r="AI332" s="263">
        <f>IFERROR(AI333*(1-N(AI334)),0)</f>
        <v>2311.09460906819</v>
      </c>
      <c r="AJ332" s="263">
        <f>IFERROR(AJ333*(1-N(AJ334)),0)</f>
        <v>2559.74833264292</v>
      </c>
      <c r="AK332" s="263">
        <f>IFERROR(AK333*(1-N(AK334)),0)</f>
        <v>2672.38482441671</v>
      </c>
      <c r="AL332" s="263">
        <f>IFERROR(AL333*(1-N(AL334)),0)</f>
        <v>9699.41810464663</v>
      </c>
      <c r="AM332" s="263">
        <f>IFERROR(AM333*(1-N(AM334)),0)</f>
        <v>2604.08844414342</v>
      </c>
      <c r="AN332" s="263">
        <f>IFERROR(AN333*(1-N(AN334)),0)</f>
        <v>2805.1950162097</v>
      </c>
      <c r="AO332" s="263">
        <f>IFERROR(AO333*(1-N(AO334)),0)</f>
        <v>3069.02001204816</v>
      </c>
      <c r="AP332" s="263">
        <f>IFERROR(AP333*(1-N(AP334)),0)</f>
        <v>3204.06596282871</v>
      </c>
      <c r="AQ332" s="263">
        <f>IFERROR(AQ333*(1-N(AQ334)),0)</f>
        <v>11682.36943523</v>
      </c>
      <c r="AR332" s="263">
        <f>IFERROR(AR333*(1-N(AR334)),0)</f>
        <v>3109.16131537725</v>
      </c>
      <c r="AS332" s="263">
        <f>IFERROR(AS333*(1-N(AS334)),0)</f>
        <v>3349.27327299636</v>
      </c>
      <c r="AT332" s="263">
        <f>IFERROR(AT333*(1-N(AT334)),0)</f>
        <v>3664.2681315371</v>
      </c>
      <c r="AU332" s="263">
        <f>IFERROR(AU333*(1-N(AU334)),0)</f>
        <v>3825.50675878477</v>
      </c>
      <c r="AV332" s="263">
        <f>IFERROR(AV333*(1-N(AV334)),0)</f>
        <v>13948.2094786955</v>
      </c>
      <c r="AW332" s="263">
        <f>IFERROR(AW333*(1-N(AW334)),0)</f>
        <v>3696.64918694538</v>
      </c>
      <c r="AX332" s="263">
        <f>IFERROR(AX333*(1-N(AX334)),0)</f>
        <v>3982.13121340654</v>
      </c>
      <c r="AY332" s="263">
        <f>IFERROR(AY333*(1-N(AY334)),0)</f>
        <v>4356.64555010487</v>
      </c>
      <c r="AZ332" s="263">
        <f>IFERROR(AZ333*(1-N(AZ334)),0)</f>
        <v>4548.35083003724</v>
      </c>
      <c r="BA332" s="263">
        <f>IFERROR(BA333*(1-N(BA334)),0)</f>
        <v>16583.776780494</v>
      </c>
      <c r="BB332" s="263">
        <f>IFERROR(BB333*(1-N(BB334)),0)</f>
        <v>4376.66188331884</v>
      </c>
      <c r="BC332" s="263">
        <f>IFERROR(BC333*(1-N(BC334)),0)</f>
        <v>4714.65941578625</v>
      </c>
      <c r="BD332" s="263">
        <f>IFERROR(BD333*(1-N(BD334)),0)</f>
        <v>5158.06709103239</v>
      </c>
      <c r="BE332" s="263">
        <f>IFERROR(BE333*(1-N(BE334)),0)</f>
        <v>5385.03728730473</v>
      </c>
      <c r="BF332" s="263">
        <f>IFERROR(BF333*(1-N(BF334)),0)</f>
        <v>19634.4256774422</v>
      </c>
      <c r="BG332" s="85" t="n"/>
      <c r="BH332" s="76" t="n"/>
      <c r="BI332" s="76" t="n"/>
      <c r="BJ332" s="76" t="n"/>
      <c r="BL332" s="85" t="n"/>
      <c r="BM332" s="76" t="n"/>
      <c r="BN332" s="76" t="n"/>
      <c r="BO332" s="76" t="n"/>
      <c r="BQ332" s="85" t="n"/>
      <c r="BR332" s="76" t="n"/>
      <c r="BS332" s="76" t="n"/>
      <c r="BT332" s="76" t="n"/>
      <c r="BV332" s="85" t="n"/>
      <c r="BW332" s="76" t="n"/>
      <c r="BX332" s="76" t="n"/>
      <c r="BY332" s="76" t="n"/>
      <c r="CA332" s="85" t="n"/>
      <c r="CB332" s="76" t="n"/>
      <c r="CC332" s="76" t="n"/>
      <c r="CD332" s="76" t="n"/>
      <c r="CF332" s="85" t="n"/>
      <c r="CG332" s="76" t="n"/>
      <c r="CH332" s="76" t="n"/>
      <c r="CI332" s="76" t="n"/>
      <c r="CK332" s="85" t="n"/>
      <c r="CL332" s="76" t="n"/>
      <c r="CM332" s="76" t="n"/>
      <c r="CN332" s="76" t="n"/>
      <c r="CP332" s="85" t="n"/>
      <c r="CQ332" s="76" t="n"/>
      <c r="CR332" s="76" t="n"/>
      <c r="CS332" s="76" t="n"/>
      <c r="CU332" s="85" t="n"/>
      <c r="CV332" s="76" t="n"/>
      <c r="CW332" s="76" t="n"/>
      <c r="CX332" s="76" t="n"/>
    </row>
    <row r="333" customFormat="1" s="77">
      <c r="A333" s="76" t="n"/>
      <c r="B333" s="76" t="n"/>
      <c r="C333" s="77" t="inlineStr">
        <is>
          <t>EBIT</t>
        </is>
      </c>
      <c r="D333" s="86">
        <f>IFERROR(D115,"")</f>
        <v>0</v>
      </c>
      <c r="E333" s="86">
        <f>IFERROR(E115,"")</f>
        <v>0</v>
      </c>
      <c r="F333" s="86">
        <f>IFERROR(F115,"")</f>
        <v>0</v>
      </c>
      <c r="G333" s="86">
        <f>IFERROR(G115,"")</f>
        <v>0</v>
      </c>
      <c r="H333" s="263">
        <f>IFERROR(H58,0)</f>
        <v>0</v>
      </c>
      <c r="I333" s="263">
        <f>IFERROR(I58,0)</f>
        <v>65</v>
      </c>
      <c r="J333" s="263">
        <f>IFERROR(J58,0)</f>
        <v>-1282</v>
      </c>
      <c r="K333" s="263">
        <f>IFERROR(K58,0)</f>
        <v>694</v>
      </c>
      <c r="L333" s="263">
        <f>IFERROR(L58,0)</f>
        <v>-4107</v>
      </c>
      <c r="M333" s="263">
        <f>IFERROR(M58,0)</f>
        <v>-4630</v>
      </c>
      <c r="N333" s="263">
        <f>IFERROR(N58,0)</f>
        <v>-842</v>
      </c>
      <c r="O333" s="263">
        <f>IFERROR(O58,0)</f>
        <v>629</v>
      </c>
      <c r="P333" s="263">
        <f>IFERROR(P58,0)</f>
        <v>-36</v>
      </c>
      <c r="Q333" s="263">
        <f>IFERROR(Q58,0)</f>
        <v>-4478</v>
      </c>
      <c r="R333" s="263">
        <f>IFERROR(R58,0)</f>
        <v>-4727</v>
      </c>
      <c r="S333" s="263">
        <f>IFERROR(S58,0)</f>
        <v>-5970</v>
      </c>
      <c r="T333" s="263">
        <f>IFERROR(T58,0)</f>
        <v>1262</v>
      </c>
      <c r="U333" s="263">
        <f>IFERROR(U58,0)</f>
        <v>1448</v>
      </c>
      <c r="V333" s="263">
        <f>IFERROR(V58,0)</f>
        <v>-8690</v>
      </c>
      <c r="W333" s="263">
        <f>IFERROR(W58,0)</f>
        <v>-11950</v>
      </c>
      <c r="X333" s="263">
        <f>IFERROR(X58,0)</f>
        <v>1244</v>
      </c>
      <c r="Y333" s="263">
        <f>IFERROR(Y58,0)</f>
        <v>1758</v>
      </c>
      <c r="Z333" s="263">
        <f>IFERROR(Z58,0)</f>
        <v>1123</v>
      </c>
      <c r="AA333" s="263">
        <f>IFERROR(AA58,0)</f>
        <v>2219</v>
      </c>
      <c r="AB333" s="263">
        <f>IFERROR(AB58,0)</f>
        <v>6344</v>
      </c>
      <c r="AC333" s="263">
        <f>IFERROR(AC58,0)</f>
        <v>2153</v>
      </c>
      <c r="AD333" s="263">
        <f>IFERROR(AD58,0)</f>
        <v>2249</v>
      </c>
      <c r="AE333" s="263">
        <f>IFERROR(AE58,0)</f>
        <v>2455</v>
      </c>
      <c r="AF333" s="263">
        <f>IFERROR(AF58,0)</f>
        <v>2499</v>
      </c>
      <c r="AG333" s="263">
        <f>IFERROR(AG58,0)</f>
        <v>9356</v>
      </c>
      <c r="AH333" s="263">
        <f>IFERROR(AH58,0)</f>
        <v>2444</v>
      </c>
      <c r="AI333" s="263">
        <f>IFERROR(AI58,0)</f>
        <v>2704</v>
      </c>
      <c r="AJ333" s="263">
        <f>IFERROR(AJ58,0)</f>
        <v>2966.10313657956</v>
      </c>
      <c r="AK333" s="263">
        <f>IFERROR(AK58,0)</f>
        <v>3096.62044067665</v>
      </c>
      <c r="AL333" s="263">
        <f>IFERROR(AL58,0)</f>
        <v>11210.7235772562</v>
      </c>
      <c r="AM333" s="263">
        <f>IFERROR(AM58,0)</f>
        <v>3017.48214994613</v>
      </c>
      <c r="AN333" s="263">
        <f>IFERROR(AN58,0)</f>
        <v>3250.51397834336</v>
      </c>
      <c r="AO333" s="263">
        <f>IFERROR(AO58,0)</f>
        <v>3556.2206518024</v>
      </c>
      <c r="AP333" s="263">
        <f>IFERROR(AP58,0)</f>
        <v>3712.7048706158</v>
      </c>
      <c r="AQ333" s="263">
        <f>IFERROR(AQ58,0)</f>
        <v>13536.9216507077</v>
      </c>
      <c r="AR333" s="263">
        <f>IFERROR(AR58,0)</f>
        <v>3602.73430480197</v>
      </c>
      <c r="AS333" s="263">
        <f>IFERROR(AS58,0)</f>
        <v>3880.96354380258</v>
      </c>
      <c r="AT333" s="263">
        <f>IFERROR(AT58,0)</f>
        <v>4245.96319084189</v>
      </c>
      <c r="AU333" s="263">
        <f>IFERROR(AU58,0)</f>
        <v>4432.79811985356</v>
      </c>
      <c r="AV333" s="263">
        <f>IFERROR(AV58,0)</f>
        <v>16162.4591593</v>
      </c>
      <c r="AW333" s="263">
        <f>IFERROR(AW58,0)</f>
        <v>4283.48467246078</v>
      </c>
      <c r="AX333" s="263">
        <f>IFERROR(AX58,0)</f>
        <v>4614.28638578752</v>
      </c>
      <c r="AY333" s="263">
        <f>IFERROR(AY58,0)</f>
        <v>5048.25410621102</v>
      </c>
      <c r="AZ333" s="263">
        <f>IFERROR(AZ58,0)</f>
        <v>5270.39220660747</v>
      </c>
      <c r="BA333" s="263">
        <f>IFERROR(BA58,0)</f>
        <v>19216.4173710668</v>
      </c>
      <c r="BB333" s="263">
        <f>IFERROR(BB58,0)</f>
        <v>5071.44799131749</v>
      </c>
      <c r="BC333" s="263">
        <f>IFERROR(BC58,0)</f>
        <v>5463.10193964631</v>
      </c>
      <c r="BD333" s="263">
        <f>IFERROR(BD58,0)</f>
        <v>5976.89967497802</v>
      </c>
      <c r="BE333" s="263">
        <f>IFERROR(BE58,0)</f>
        <v>6239.90092494011</v>
      </c>
      <c r="BF333" s="263">
        <f>IFERROR(BF58,0)</f>
        <v>22751.3505308819</v>
      </c>
      <c r="BG333" s="63" t="n"/>
      <c r="BH333" s="63" t="n"/>
      <c r="BI333" s="63" t="n"/>
      <c r="BJ333" s="63" t="n"/>
      <c r="BL333" s="63" t="n"/>
      <c r="BM333" s="63" t="n"/>
      <c r="BN333" s="63" t="n"/>
      <c r="BO333" s="63" t="n"/>
      <c r="BQ333" s="63" t="n"/>
      <c r="BR333" s="63" t="n"/>
      <c r="BS333" s="63" t="n"/>
      <c r="BT333" s="63" t="n"/>
      <c r="BV333" s="63" t="n"/>
      <c r="BW333" s="63" t="n"/>
      <c r="BX333" s="63" t="n"/>
      <c r="BY333" s="63" t="n"/>
      <c r="CA333" s="63" t="n"/>
      <c r="CB333" s="63" t="n"/>
      <c r="CC333" s="63" t="n"/>
      <c r="CD333" s="63" t="n"/>
      <c r="CF333" s="63" t="n"/>
      <c r="CG333" s="63" t="n"/>
      <c r="CH333" s="63" t="n"/>
      <c r="CI333" s="63" t="n"/>
      <c r="CK333" s="63" t="n"/>
      <c r="CL333" s="63" t="n"/>
      <c r="CM333" s="63" t="n"/>
      <c r="CN333" s="63" t="n"/>
      <c r="CP333" s="63" t="n"/>
      <c r="CQ333" s="63" t="n"/>
      <c r="CR333" s="63" t="n"/>
      <c r="CS333" s="63" t="n"/>
      <c r="CU333" s="63" t="n"/>
      <c r="CV333" s="63" t="n"/>
      <c r="CW333" s="63" t="n"/>
      <c r="CX333" s="63" t="n"/>
    </row>
    <row r="334" customFormat="1" s="77">
      <c r="A334" s="76" t="n"/>
      <c r="B334" s="76" t="n"/>
      <c r="C334" s="77" t="inlineStr">
        <is>
          <t>ETR (LIMITED TO 0%-100%)</t>
        </is>
      </c>
      <c r="D334" s="87">
        <f>IFERROR(D117,"")</f>
        <v>0</v>
      </c>
      <c r="E334" s="87">
        <f>IFERROR(E117,"")</f>
        <v>0</v>
      </c>
      <c r="F334" s="87">
        <f>IFERROR(F117,"")</f>
        <v>0</v>
      </c>
      <c r="G334" s="87">
        <f>IFERROR(G117,"")</f>
        <v>0</v>
      </c>
      <c r="H334" s="258" t="str">
        <f>IFERROR(IF(N(H115)&lt;&gt;0,MAX(0,MIN(1,-H116/H115)),""),"")</f>
        <v/>
      </c>
      <c r="I334" s="258">
        <f>IFERROR(IF(N(I115)&lt;&gt;0,MAX(0,MIN(1,-I116/I115)),""),"")</f>
        <v>0.596638655462185</v>
      </c>
      <c r="J334" s="258">
        <f>IFERROR(IF(N(J115)&lt;&gt;0,MAX(0,MIN(1,-J116/J115)),""),"")</f>
        <v>0.449373191899711</v>
      </c>
      <c r="K334" s="258">
        <f>IFERROR(IF(N(K115)&lt;&gt;0,MAX(0,MIN(1,-K116/K115)),""),"")</f>
        <v>0.00342465753424658</v>
      </c>
      <c r="L334" s="258">
        <f>IFERROR(IF(N(L115)&lt;&gt;0,MAX(0,MIN(1,-L116/L115)),""),"")</f>
        <v>0</v>
      </c>
      <c r="M334" s="258">
        <f>IFERROR(IF(N(M115)&lt;&gt;0,MAX(0,MIN(1,-M116/M115)),""),"")</f>
        <v>0.0774035850081477</v>
      </c>
      <c r="N334" s="258">
        <f>IFERROR(IF(N(N115)&lt;&gt;0,MAX(0,MIN(1,-N116/N115)),""),"")</f>
        <v>0</v>
      </c>
      <c r="O334" s="258">
        <f>IFERROR(IF(N(O115)&lt;&gt;0,MAX(0,MIN(1,-O116/O115)),""),"")</f>
        <v>0</v>
      </c>
      <c r="P334" s="258">
        <f>IFERROR(IF(N(P115)&lt;&gt;0,MAX(0,MIN(1,-P116/P115)),""),"")</f>
        <v>0</v>
      </c>
      <c r="Q334" s="258">
        <f>IFERROR(IF(N(Q115)&lt;&gt;0,MAX(0,MIN(1,-Q116/Q115)),""),"")</f>
        <v>0</v>
      </c>
      <c r="R334" s="258">
        <f>IFERROR(IF(N(R115)&lt;&gt;0,MAX(0,MIN(1,-R116/R115)),""),"")</f>
        <v>0</v>
      </c>
      <c r="S334" s="258">
        <f>IFERROR(IF(N(S115)&lt;&gt;0,MAX(0,MIN(1,-S116/S115)),""),"")</f>
        <v>0.0417436845348121</v>
      </c>
      <c r="T334" s="258">
        <f>IFERROR(IF(N(T115)&lt;&gt;0,MAX(0,MIN(1,-T116/T115)),""),"")</f>
        <v>0.167660702451955</v>
      </c>
      <c r="U334" s="258">
        <f>IFERROR(IF(N(U115)&lt;&gt;0,MAX(0,MIN(1,-U116/U115)),""),"")</f>
        <v>0.0780780780780781</v>
      </c>
      <c r="V334" s="258">
        <f>IFERROR(IF(N(V115)&lt;&gt;0,MAX(0,MIN(1,-V116/V115)),""),"")</f>
        <v>0.209556993529119</v>
      </c>
      <c r="W334" s="258">
        <f>IFERROR(IF(N(W115)&lt;&gt;0,MAX(0,MIN(1,-W116/W115)),""),"")</f>
        <v>0.0938799187856521</v>
      </c>
      <c r="X334" s="258">
        <f>IFERROR(IF(N(X115)&lt;&gt;0,MAX(0,MIN(1,-X116/X115)),""),"")</f>
        <v>0.122798188223452</v>
      </c>
      <c r="Y334" s="258">
        <f>IFERROR(IF(N(Y115)&lt;&gt;0,MAX(0,MIN(1,-Y116/Y115)),""),"")</f>
        <v>0.0863856254319281</v>
      </c>
      <c r="Z334" s="258">
        <f>IFERROR(IF(N(Z115)&lt;&gt;0,MAX(0,MIN(1,-Z116/Z115)),""),"")</f>
        <v>0.10459587955626</v>
      </c>
      <c r="AA334" s="258">
        <f>IFERROR(IF(N(AA115)&lt;&gt;0,MAX(0,MIN(1,-AA116/AA115)),""),"")</f>
        <v>0.172263410379416</v>
      </c>
      <c r="AB334" s="258">
        <f>IFERROR(IF(N(AB115)&lt;&gt;0,MAX(0,MIN(1,-AB116/AB115)),""),"")</f>
        <v>0.126246719160105</v>
      </c>
      <c r="AC334" s="258">
        <f>IFERROR(IF(N(AC115)&lt;&gt;0,MAX(0,MIN(1,-AC116/AC115)),""),"")</f>
        <v>0.126057906458797</v>
      </c>
      <c r="AD334" s="258">
        <f>IFERROR(IF(N(AD115)&lt;&gt;0,MAX(0,MIN(1,-AD116/AD115)),""),"")</f>
        <v>0.162411050648807</v>
      </c>
      <c r="AE334" s="258">
        <f>IFERROR(IF(N(AE115)&lt;&gt;0,MAX(0,MIN(1,-AE116/AE115)),""),"")</f>
        <v>0.136779324055666</v>
      </c>
      <c r="AF334" s="258">
        <f>IFERROR(IF(N(AF115)&lt;&gt;0,MAX(0,MIN(1,-AF116/AF115)),""),"")</f>
        <v>0.136794107330761</v>
      </c>
      <c r="AG334" s="258">
        <f>IFERROR(IF(N(AG115)&lt;&gt;0,MAX(0,MIN(1,-AG116/AG115)),""),"")</f>
        <v>0.1405</v>
      </c>
      <c r="AH334" s="258">
        <f>IFERROR(IF(N(AH115)&lt;&gt;0,MAX(0,MIN(1,-AH116/AH115)),""),"")</f>
        <v>0.114649681528662</v>
      </c>
      <c r="AI334" s="258">
        <f>IFERROR(IF(N(AI115)&lt;&gt;0,MAX(0,MIN(1,-AI116/AI115)),""),"")</f>
        <v>0.145305248125669</v>
      </c>
      <c r="AJ334" s="258">
        <f>IFERROR(IF(N(AJ115)&lt;&gt;0,MAX(0,MIN(1,-AJ116/AJ115)),""),"")</f>
        <v>0.136999553024727</v>
      </c>
      <c r="AK334" s="258">
        <f>IFERROR(IF(N(AK115)&lt;&gt;0,MAX(0,MIN(1,-AK116/AK115)),""),"")</f>
        <v>0.136999553024727</v>
      </c>
      <c r="AL334" s="258">
        <f>IFERROR(IF(N(AL115)&lt;&gt;0,MAX(0,MIN(1,-AL116/AL115)),""),"")</f>
        <v>0.134808914178889</v>
      </c>
      <c r="AM334" s="258">
        <f>IFERROR(IF(N(AM115)&lt;&gt;0,MAX(0,MIN(1,-AM116/AM115)),""),"")</f>
        <v>0.136999553024727</v>
      </c>
      <c r="AN334" s="258">
        <f>IFERROR(IF(N(AN115)&lt;&gt;0,MAX(0,MIN(1,-AN116/AN115)),""),"")</f>
        <v>0.136999553024727</v>
      </c>
      <c r="AO334" s="258">
        <f>IFERROR(IF(N(AO115)&lt;&gt;0,MAX(0,MIN(1,-AO116/AO115)),""),"")</f>
        <v>0.136999553024727</v>
      </c>
      <c r="AP334" s="258">
        <f>IFERROR(IF(N(AP115)&lt;&gt;0,MAX(0,MIN(1,-AP116/AP115)),""),"")</f>
        <v>0.136999553024727</v>
      </c>
      <c r="AQ334" s="258">
        <f>IFERROR(IF(N(AQ115)&lt;&gt;0,MAX(0,MIN(1,-AQ116/AQ115)),""),"")</f>
        <v>0.136999553024727</v>
      </c>
      <c r="AR334" s="258">
        <f>IFERROR(IF(N(AR115)&lt;&gt;0,MAX(0,MIN(1,-AR116/AR115)),""),"")</f>
        <v>0.136999553024727</v>
      </c>
      <c r="AS334" s="258">
        <f>IFERROR(IF(N(AS115)&lt;&gt;0,MAX(0,MIN(1,-AS116/AS115)),""),"")</f>
        <v>0.136999553024727</v>
      </c>
      <c r="AT334" s="258">
        <f>IFERROR(IF(N(AT115)&lt;&gt;0,MAX(0,MIN(1,-AT116/AT115)),""),"")</f>
        <v>0.136999553024727</v>
      </c>
      <c r="AU334" s="258">
        <f>IFERROR(IF(N(AU115)&lt;&gt;0,MAX(0,MIN(1,-AU116/AU115)),""),"")</f>
        <v>0.136999553024727</v>
      </c>
      <c r="AV334" s="258">
        <f>IFERROR(IF(N(AV115)&lt;&gt;0,MAX(0,MIN(1,-AV116/AV115)),""),"")</f>
        <v>0.136999553024727</v>
      </c>
      <c r="AW334" s="258">
        <f>IFERROR(IF(N(AW115)&lt;&gt;0,MAX(0,MIN(1,-AW116/AW115)),""),"")</f>
        <v>0.136999553024727</v>
      </c>
      <c r="AX334" s="258">
        <f>IFERROR(IF(N(AX115)&lt;&gt;0,MAX(0,MIN(1,-AX116/AX115)),""),"")</f>
        <v>0.136999553024727</v>
      </c>
      <c r="AY334" s="258">
        <f>IFERROR(IF(N(AY115)&lt;&gt;0,MAX(0,MIN(1,-AY116/AY115)),""),"")</f>
        <v>0.136999553024727</v>
      </c>
      <c r="AZ334" s="258">
        <f>IFERROR(IF(N(AZ115)&lt;&gt;0,MAX(0,MIN(1,-AZ116/AZ115)),""),"")</f>
        <v>0.136999553024727</v>
      </c>
      <c r="BA334" s="258">
        <f>IFERROR(IF(N(BA115)&lt;&gt;0,MAX(0,MIN(1,-BA116/BA115)),""),"")</f>
        <v>0.136999553024727</v>
      </c>
      <c r="BB334" s="258">
        <f>IFERROR(IF(N(BB115)&lt;&gt;0,MAX(0,MIN(1,-BB116/BB115)),""),"")</f>
        <v>0.136999553024727</v>
      </c>
      <c r="BC334" s="258">
        <f>IFERROR(IF(N(BC115)&lt;&gt;0,MAX(0,MIN(1,-BC116/BC115)),""),"")</f>
        <v>0.136999553024727</v>
      </c>
      <c r="BD334" s="258">
        <f>IFERROR(IF(N(BD115)&lt;&gt;0,MAX(0,MIN(1,-BD116/BD115)),""),"")</f>
        <v>0.136999553024727</v>
      </c>
      <c r="BE334" s="258">
        <f>IFERROR(IF(N(BE115)&lt;&gt;0,MAX(0,MIN(1,-BE116/BE115)),""),"")</f>
        <v>0.136999553024727</v>
      </c>
      <c r="BF334" s="258">
        <f>IFERROR(IF(N(BF115)&lt;&gt;0,MAX(0,MIN(1,-BF116/BF115)),""),"")</f>
        <v>0.136999553024727</v>
      </c>
      <c r="BG334" s="88" t="n"/>
      <c r="BH334" s="88" t="n"/>
      <c r="BI334" s="88" t="n"/>
      <c r="BJ334" s="88" t="n"/>
      <c r="BL334" s="88" t="n"/>
      <c r="BM334" s="88" t="n"/>
      <c r="BN334" s="88" t="n"/>
      <c r="BO334" s="88" t="n"/>
      <c r="BQ334" s="88" t="n"/>
      <c r="BR334" s="88" t="n"/>
      <c r="BS334" s="88" t="n"/>
      <c r="BT334" s="88" t="n"/>
      <c r="BV334" s="88" t="n"/>
      <c r="BW334" s="88" t="n"/>
      <c r="BX334" s="88" t="n"/>
      <c r="BY334" s="88" t="n"/>
      <c r="CA334" s="88" t="n"/>
      <c r="CB334" s="88" t="n"/>
      <c r="CC334" s="88" t="n"/>
      <c r="CD334" s="88" t="n"/>
      <c r="CF334" s="88" t="n"/>
      <c r="CG334" s="88" t="n"/>
      <c r="CH334" s="88" t="n"/>
      <c r="CI334" s="88" t="n"/>
      <c r="CK334" s="88" t="n"/>
      <c r="CL334" s="88" t="n"/>
      <c r="CM334" s="88" t="n"/>
      <c r="CN334" s="88" t="n"/>
      <c r="CP334" s="88" t="n"/>
      <c r="CQ334" s="88" t="n"/>
      <c r="CR334" s="88" t="n"/>
      <c r="CS334" s="88" t="n"/>
      <c r="CU334" s="88" t="n"/>
      <c r="CV334" s="88" t="n"/>
      <c r="CW334" s="88" t="n"/>
      <c r="CX334" s="88" t="n"/>
    </row>
    <row r="335" customFormat="1" s="77">
      <c r="A335" s="76" t="n"/>
      <c r="B335" s="76" t="n"/>
      <c r="C335" s="77" t="inlineStr">
        <is>
          <t>INVESTED CAPITAL</t>
        </is>
      </c>
      <c r="D335" s="86">
        <f>IFERROR(D338-D339+D340,"")</f>
        <v>0</v>
      </c>
      <c r="E335" s="86">
        <f>IFERROR(E338-E339+E340,"")</f>
        <v>0</v>
      </c>
      <c r="F335" s="86">
        <f>IFERROR(F338-F339+F340,"")</f>
        <v>0</v>
      </c>
      <c r="G335" s="86">
        <f>IFERROR(G338-G339+G340,"")</f>
        <v>0</v>
      </c>
      <c r="H335" s="263">
        <f>IFERROR(H337+H340,0)</f>
        <v>0</v>
      </c>
      <c r="I335" s="263">
        <f>IFERROR(I337+I340,0)</f>
        <v>74722</v>
      </c>
      <c r="J335" s="263">
        <f>IFERROR(J337+J340,0)</f>
        <v>76106</v>
      </c>
      <c r="K335" s="263">
        <f>IFERROR(K337+K340,0)</f>
        <v>76889</v>
      </c>
      <c r="L335" s="263">
        <f>IFERROR(L337+L340,0)</f>
        <v>61022</v>
      </c>
      <c r="M335" s="263">
        <f>IFERROR(M337+M340,0)</f>
        <v>61022</v>
      </c>
      <c r="N335" s="263">
        <f>IFERROR(N337+N340,0)</f>
        <v>61071</v>
      </c>
      <c r="O335" s="263">
        <f>IFERROR(O337+O340,0)</f>
        <v>55264</v>
      </c>
      <c r="P335" s="263">
        <f>IFERROR(P337+P340,0)</f>
        <v>50558</v>
      </c>
      <c r="Q335" s="263">
        <f>IFERROR(Q337+Q340,0)</f>
        <v>52665</v>
      </c>
      <c r="R335" s="263">
        <f>IFERROR(R337+R340,0)</f>
        <v>52665</v>
      </c>
      <c r="S335" s="263">
        <f>IFERROR(S337+S340,0)</f>
        <v>43239</v>
      </c>
      <c r="T335" s="263">
        <f>IFERROR(T337+T340,0)</f>
        <v>41382</v>
      </c>
      <c r="U335" s="263">
        <f>IFERROR(U337+U340,0)</f>
        <v>37528</v>
      </c>
      <c r="V335" s="263">
        <f>IFERROR(V337+V340,0)</f>
        <v>32577</v>
      </c>
      <c r="W335" s="263">
        <f>IFERROR(W337+W340,0)</f>
        <v>32577</v>
      </c>
      <c r="X335" s="263">
        <f>IFERROR(X337+X340,0)</f>
        <v>33182</v>
      </c>
      <c r="Y335" s="263">
        <f>IFERROR(Y337+Y340,0)</f>
        <v>26409</v>
      </c>
      <c r="Z335" s="263">
        <f>IFERROR(Z337+Z340,0)</f>
        <v>25300</v>
      </c>
      <c r="AA335" s="263">
        <f>IFERROR(AA337+AA340,0)</f>
        <v>25219</v>
      </c>
      <c r="AB335" s="263">
        <f>IFERROR(AB337+AB340,0)</f>
        <v>25219</v>
      </c>
      <c r="AC335" s="263">
        <f>IFERROR(AC337+AC340,0)</f>
        <v>26634</v>
      </c>
      <c r="AD335" s="263">
        <f>IFERROR(AD337+AD340,0)</f>
        <v>27371</v>
      </c>
      <c r="AE335" s="263">
        <f>IFERROR(AE337+AE340,0)</f>
        <v>27359</v>
      </c>
      <c r="AF335" s="263">
        <f>IFERROR(AF337+AF340,0)</f>
        <v>27001</v>
      </c>
      <c r="AG335" s="263">
        <f>IFERROR(AG337+AG340,0)</f>
        <v>27001</v>
      </c>
      <c r="AH335" s="263">
        <f>IFERROR(AH337+AH340,0)</f>
        <v>27594</v>
      </c>
      <c r="AI335" s="263">
        <f>IFERROR(AI337+AI340,0)</f>
        <v>27679</v>
      </c>
      <c r="AJ335" s="263">
        <f>IFERROR(AJ337+AJ340,0)</f>
        <v>29566.1573427136</v>
      </c>
      <c r="AK335" s="263">
        <f>IFERROR(AK337+AK340,0)</f>
        <v>30262.1896007703</v>
      </c>
      <c r="AL335" s="263">
        <f>IFERROR(AL337+AL340,0)</f>
        <v>30262.1896007703</v>
      </c>
      <c r="AM335" s="263">
        <f>IFERROR(AM337+AM340,0)</f>
        <v>30195.4329910837</v>
      </c>
      <c r="AN335" s="263">
        <f>IFERROR(AN337+AN340,0)</f>
        <v>31272.1325947818</v>
      </c>
      <c r="AO335" s="263">
        <f>IFERROR(AO337+AO340,0)</f>
        <v>32713.9373590961</v>
      </c>
      <c r="AP335" s="263">
        <f>IFERROR(AP337+AP340,0)</f>
        <v>33548.4478856844</v>
      </c>
      <c r="AQ335" s="263">
        <f>IFERROR(AQ337+AQ340,0)</f>
        <v>33548.4478856844</v>
      </c>
      <c r="AR335" s="263">
        <f>IFERROR(AR337+AR340,0)</f>
        <v>33169.4196598384</v>
      </c>
      <c r="AS335" s="263">
        <f>IFERROR(AS337+AS340,0)</f>
        <v>34671.445948174</v>
      </c>
      <c r="AT335" s="263">
        <f>IFERROR(AT337+AT340,0)</f>
        <v>36392.8942375417</v>
      </c>
      <c r="AU335" s="263">
        <f>IFERROR(AU337+AU340,0)</f>
        <v>37389.2612589379</v>
      </c>
      <c r="AV335" s="263">
        <f>IFERROR(AV337+AV340,0)</f>
        <v>37389.2612589379</v>
      </c>
      <c r="AW335" s="263">
        <f>IFERROR(AW337+AW340,0)</f>
        <v>37096.7127648242</v>
      </c>
      <c r="AX335" s="263">
        <f>IFERROR(AX337+AX340,0)</f>
        <v>38625.148069526</v>
      </c>
      <c r="AY335" s="263">
        <f>IFERROR(AY337+AY340,0)</f>
        <v>40671.8705691874</v>
      </c>
      <c r="AZ335" s="263">
        <f>IFERROR(AZ337+AZ340,0)</f>
        <v>41856.5049338719</v>
      </c>
      <c r="BA335" s="263">
        <f>IFERROR(BA337+BA340,0)</f>
        <v>41856.5049338719</v>
      </c>
      <c r="BB335" s="263">
        <f>IFERROR(BB337+BB340,0)</f>
        <v>41391.5742380876</v>
      </c>
      <c r="BC335" s="263">
        <f>IFERROR(BC337+BC340,0)</f>
        <v>43201.1710380304</v>
      </c>
      <c r="BD335" s="263">
        <f>IFERROR(BD337+BD340,0)</f>
        <v>45624.3959363068</v>
      </c>
      <c r="BE335" s="263">
        <f>IFERROR(BE337+BE340,0)</f>
        <v>47026.9483039736</v>
      </c>
      <c r="BF335" s="263">
        <f>IFERROR(BF337+BF340,0)</f>
        <v>47026.9483039736</v>
      </c>
      <c r="BG335" s="63" t="n"/>
      <c r="BH335" s="63" t="n"/>
      <c r="BI335" s="63" t="n"/>
      <c r="BJ335" s="63" t="n"/>
      <c r="BL335" s="63" t="n"/>
      <c r="BM335" s="63" t="n"/>
      <c r="BN335" s="63" t="n"/>
      <c r="BO335" s="63" t="n"/>
      <c r="BQ335" s="63" t="n"/>
      <c r="BR335" s="63" t="n"/>
      <c r="BS335" s="63" t="n"/>
      <c r="BT335" s="63" t="n"/>
      <c r="BV335" s="63" t="n"/>
      <c r="BW335" s="63" t="n"/>
      <c r="BX335" s="63" t="n"/>
      <c r="BY335" s="63" t="n"/>
      <c r="CA335" s="63" t="n"/>
      <c r="CB335" s="63" t="n"/>
      <c r="CC335" s="63" t="n"/>
      <c r="CD335" s="63" t="n"/>
      <c r="CF335" s="63" t="n"/>
      <c r="CG335" s="63" t="n"/>
      <c r="CH335" s="63" t="n"/>
      <c r="CI335" s="63" t="n"/>
      <c r="CK335" s="63" t="n"/>
      <c r="CL335" s="63" t="n"/>
      <c r="CM335" s="63" t="n"/>
      <c r="CN335" s="63" t="n"/>
      <c r="CP335" s="63" t="n"/>
      <c r="CQ335" s="63" t="n"/>
      <c r="CR335" s="63" t="n"/>
      <c r="CS335" s="63" t="n"/>
      <c r="CU335" s="63" t="n"/>
      <c r="CV335" s="63" t="n"/>
      <c r="CW335" s="63" t="n"/>
      <c r="CX335" s="63" t="n"/>
    </row>
    <row r="336" customFormat="1" s="77">
      <c r="A336" s="76" t="n"/>
      <c r="B336" s="76" t="n"/>
      <c r="C336" s="77" t="inlineStr">
        <is>
          <t>INVESTED CAPITAL - EX GOODWILL</t>
        </is>
      </c>
      <c r="D336" s="89">
        <f>IFERROR(D335-D164,"")</f>
        <v>0</v>
      </c>
      <c r="E336" s="89">
        <f>IFERROR(E335-E164,"")</f>
        <v>0</v>
      </c>
      <c r="F336" s="89">
        <f>IFERROR(F335-F164,"")</f>
        <v>0</v>
      </c>
      <c r="G336" s="89">
        <f>IFERROR(G335-G164,"")</f>
        <v>0</v>
      </c>
      <c r="H336" s="263">
        <f>IFERROR(H335-N(H164),0)</f>
        <v>0</v>
      </c>
      <c r="I336" s="263">
        <f>IFERROR(I335-N(I164),0)</f>
        <v>49402</v>
      </c>
      <c r="J336" s="263">
        <f>IFERROR(J335-N(J164),0)</f>
        <v>50615</v>
      </c>
      <c r="K336" s="263">
        <f>IFERROR(K335-N(K164),0)</f>
        <v>51556</v>
      </c>
      <c r="L336" s="263">
        <f>IFERROR(L335-N(L164),0)</f>
        <v>34840</v>
      </c>
      <c r="M336" s="263">
        <f>IFERROR(M335-N(M164),0)</f>
        <v>34840</v>
      </c>
      <c r="N336" s="263">
        <f>IFERROR(N335-N(N164),0)</f>
        <v>35024</v>
      </c>
      <c r="O336" s="263">
        <f>IFERROR(O335-N(O164),0)</f>
        <v>29474</v>
      </c>
      <c r="P336" s="263">
        <f>IFERROR(P335-N(P164),0)</f>
        <v>25283</v>
      </c>
      <c r="Q336" s="263">
        <f>IFERROR(Q335-N(Q164),0)</f>
        <v>26867</v>
      </c>
      <c r="R336" s="263">
        <f>IFERROR(R335-N(R164),0)</f>
        <v>26867</v>
      </c>
      <c r="S336" s="263">
        <f>IFERROR(S335-N(S164),0)</f>
        <v>30132</v>
      </c>
      <c r="T336" s="263">
        <f>IFERROR(T335-N(T164),0)</f>
        <v>28037</v>
      </c>
      <c r="U336" s="263">
        <f>IFERROR(U335-N(U164),0)</f>
        <v>24351</v>
      </c>
      <c r="V336" s="263">
        <f>IFERROR(V335-N(V164),0)</f>
        <v>19192</v>
      </c>
      <c r="W336" s="263">
        <f>IFERROR(W335-N(W164),0)</f>
        <v>19192</v>
      </c>
      <c r="X336" s="263">
        <f>IFERROR(X335-N(X164),0)</f>
        <v>19878</v>
      </c>
      <c r="Y336" s="263">
        <f>IFERROR(Y335-N(Y164),0)</f>
        <v>17550</v>
      </c>
      <c r="Z336" s="263">
        <f>IFERROR(Z335-N(Z164),0)</f>
        <v>16546</v>
      </c>
      <c r="AA336" s="263">
        <f>IFERROR(AA335-N(AA164),0)</f>
        <v>16681</v>
      </c>
      <c r="AB336" s="263">
        <f>IFERROR(AB335-N(AB164),0)</f>
        <v>16681</v>
      </c>
      <c r="AC336" s="263">
        <f>IFERROR(AC335-N(AC164),0)</f>
        <v>17938</v>
      </c>
      <c r="AD336" s="263">
        <f>IFERROR(AD335-N(AD164),0)</f>
        <v>18365</v>
      </c>
      <c r="AE336" s="263">
        <f>IFERROR(AE335-N(AE164),0)</f>
        <v>18318</v>
      </c>
      <c r="AF336" s="263">
        <f>IFERROR(AF335-N(AF164),0)</f>
        <v>17941</v>
      </c>
      <c r="AG336" s="263">
        <f>IFERROR(AG335-N(AG164),0)</f>
        <v>17941</v>
      </c>
      <c r="AH336" s="263">
        <f>IFERROR(AH335-N(AH164),0)</f>
        <v>18591</v>
      </c>
      <c r="AI336" s="263">
        <f>IFERROR(AI335-N(AI164),0)</f>
        <v>18725</v>
      </c>
      <c r="AJ336" s="263">
        <f>IFERROR(AJ335-N(AJ164),0)</f>
        <v>20612.1573427136</v>
      </c>
      <c r="AK336" s="263">
        <f>IFERROR(AK335-N(AK164),0)</f>
        <v>21308.1896007703</v>
      </c>
      <c r="AL336" s="263">
        <f>IFERROR(AL335-N(AL164),0)</f>
        <v>21308.1896007703</v>
      </c>
      <c r="AM336" s="263">
        <f>IFERROR(AM335-N(AM164),0)</f>
        <v>21241.4329910837</v>
      </c>
      <c r="AN336" s="263">
        <f>IFERROR(AN335-N(AN164),0)</f>
        <v>22318.1325947818</v>
      </c>
      <c r="AO336" s="263">
        <f>IFERROR(AO335-N(AO164),0)</f>
        <v>23759.9373590961</v>
      </c>
      <c r="AP336" s="263">
        <f>IFERROR(AP335-N(AP164),0)</f>
        <v>24594.4478856844</v>
      </c>
      <c r="AQ336" s="263">
        <f>IFERROR(AQ335-N(AQ164),0)</f>
        <v>24594.4478856844</v>
      </c>
      <c r="AR336" s="263">
        <f>IFERROR(AR335-N(AR164),0)</f>
        <v>24215.4196598384</v>
      </c>
      <c r="AS336" s="263">
        <f>IFERROR(AS335-N(AS164),0)</f>
        <v>25717.445948174</v>
      </c>
      <c r="AT336" s="263">
        <f>IFERROR(AT335-N(AT164),0)</f>
        <v>27438.8942375417</v>
      </c>
      <c r="AU336" s="263">
        <f>IFERROR(AU335-N(AU164),0)</f>
        <v>28435.2612589379</v>
      </c>
      <c r="AV336" s="263">
        <f>IFERROR(AV335-N(AV164),0)</f>
        <v>28435.2612589379</v>
      </c>
      <c r="AW336" s="263">
        <f>IFERROR(AW335-N(AW164),0)</f>
        <v>28142.7127648242</v>
      </c>
      <c r="AX336" s="263">
        <f>IFERROR(AX335-N(AX164),0)</f>
        <v>29671.148069526</v>
      </c>
      <c r="AY336" s="263">
        <f>IFERROR(AY335-N(AY164),0)</f>
        <v>31717.8705691874</v>
      </c>
      <c r="AZ336" s="263">
        <f>IFERROR(AZ335-N(AZ164),0)</f>
        <v>32902.5049338719</v>
      </c>
      <c r="BA336" s="263">
        <f>IFERROR(BA335-N(BA164),0)</f>
        <v>32902.5049338719</v>
      </c>
      <c r="BB336" s="263">
        <f>IFERROR(BB335-N(BB164),0)</f>
        <v>32437.5742380876</v>
      </c>
      <c r="BC336" s="263">
        <f>IFERROR(BC335-N(BC164),0)</f>
        <v>34247.1710380304</v>
      </c>
      <c r="BD336" s="263">
        <f>IFERROR(BD335-N(BD164),0)</f>
        <v>36670.3959363068</v>
      </c>
      <c r="BE336" s="263">
        <f>IFERROR(BE335-N(BE164),0)</f>
        <v>38072.9483039736</v>
      </c>
      <c r="BF336" s="263">
        <f>IFERROR(BF335-N(BF164),0)</f>
        <v>38072.9483039736</v>
      </c>
      <c r="BG336" s="90" t="n"/>
      <c r="BH336" s="90" t="n"/>
      <c r="BI336" s="90" t="n"/>
      <c r="BJ336" s="90" t="n"/>
      <c r="BL336" s="90" t="n"/>
      <c r="BM336" s="90" t="n"/>
      <c r="BN336" s="90" t="n"/>
      <c r="BO336" s="90" t="n"/>
      <c r="BQ336" s="90" t="n"/>
      <c r="BR336" s="90" t="n"/>
      <c r="BS336" s="90" t="n"/>
      <c r="BT336" s="90" t="n"/>
      <c r="BV336" s="90" t="n"/>
      <c r="BW336" s="90" t="n"/>
      <c r="BX336" s="90" t="n"/>
      <c r="BY336" s="90" t="n"/>
      <c r="CA336" s="90" t="n"/>
      <c r="CB336" s="90" t="n"/>
      <c r="CC336" s="90" t="n"/>
      <c r="CD336" s="90" t="n"/>
      <c r="CF336" s="90" t="n"/>
      <c r="CG336" s="90" t="n"/>
      <c r="CH336" s="90" t="n"/>
      <c r="CI336" s="90" t="n"/>
      <c r="CK336" s="90" t="n"/>
      <c r="CL336" s="90" t="n"/>
      <c r="CM336" s="90" t="n"/>
      <c r="CN336" s="90" t="n"/>
      <c r="CP336" s="90" t="n"/>
      <c r="CQ336" s="90" t="n"/>
      <c r="CR336" s="90" t="n"/>
      <c r="CS336" s="90" t="n"/>
      <c r="CU336" s="90" t="n"/>
      <c r="CV336" s="90" t="n"/>
      <c r="CW336" s="90" t="n"/>
      <c r="CX336" s="90" t="n"/>
    </row>
    <row r="337" customFormat="1" s="77">
      <c r="A337" s="76" t="n"/>
      <c r="B337" s="76" t="n"/>
      <c r="C337" s="77" t="inlineStr">
        <is>
          <t>OPERATING WORKING CAPITAL</t>
        </is>
      </c>
      <c r="D337" s="91">
        <f>IFERROR(D338-D339,"")</f>
        <v>0</v>
      </c>
      <c r="E337" s="91">
        <f>IFERROR(E338-E339,"")</f>
        <v>0</v>
      </c>
      <c r="F337" s="91">
        <f>IFERROR(F338-F339,"")</f>
        <v>0</v>
      </c>
      <c r="G337" s="91">
        <f>IFERROR(G338-G339,"")</f>
        <v>0</v>
      </c>
      <c r="H337" s="263">
        <f>IFERROR(H338-H339,0)</f>
        <v>0</v>
      </c>
      <c r="I337" s="263">
        <f>IFERROR(I338-I339,0)</f>
        <v>42428</v>
      </c>
      <c r="J337" s="263">
        <f>IFERROR(J338-J339,0)</f>
        <v>42462</v>
      </c>
      <c r="K337" s="263">
        <f>IFERROR(K338-K339,0)</f>
        <v>40876</v>
      </c>
      <c r="L337" s="263">
        <f>IFERROR(L338-L339,0)</f>
        <v>13835</v>
      </c>
      <c r="M337" s="263">
        <f>IFERROR(M338-M339,0)</f>
        <v>13835</v>
      </c>
      <c r="N337" s="263">
        <f>IFERROR(N338-N339,0)</f>
        <v>12677</v>
      </c>
      <c r="O337" s="263">
        <f>IFERROR(O338-O339,0)</f>
        <v>9480</v>
      </c>
      <c r="P337" s="263">
        <f>IFERROR(P338-P339,0)</f>
        <v>8615</v>
      </c>
      <c r="Q337" s="263">
        <f>IFERROR(Q338-Q339,0)</f>
        <v>7481</v>
      </c>
      <c r="R337" s="263">
        <f>IFERROR(R338-R339,0)</f>
        <v>7481</v>
      </c>
      <c r="S337" s="263">
        <f>IFERROR(S338-S339,0)</f>
        <v>12712</v>
      </c>
      <c r="T337" s="263">
        <f>IFERROR(T338-T339,0)</f>
        <v>11574</v>
      </c>
      <c r="U337" s="263">
        <f>IFERROR(U338-U339,0)</f>
        <v>6712</v>
      </c>
      <c r="V337" s="263">
        <f>IFERROR(V338-V339,0)</f>
        <v>3783</v>
      </c>
      <c r="W337" s="263">
        <f>IFERROR(W338-W339,0)</f>
        <v>3783</v>
      </c>
      <c r="X337" s="263">
        <f>IFERROR(X338-X339,0)</f>
        <v>1403</v>
      </c>
      <c r="Y337" s="263">
        <f>IFERROR(Y338-Y339,0)</f>
        <v>1533</v>
      </c>
      <c r="Z337" s="263">
        <f>IFERROR(Z338-Z339,0)</f>
        <v>5</v>
      </c>
      <c r="AA337" s="263">
        <f>IFERROR(AA338-AA339,0)</f>
        <v>-1226</v>
      </c>
      <c r="AB337" s="263">
        <f>IFERROR(AB338-AB339,0)</f>
        <v>-1226</v>
      </c>
      <c r="AC337" s="263">
        <f>IFERROR(AC338-AC339,0)</f>
        <v>-731</v>
      </c>
      <c r="AD337" s="263">
        <f>IFERROR(AD338-AD339,0)</f>
        <v>-746</v>
      </c>
      <c r="AE337" s="263">
        <f>IFERROR(AE338-AE339,0)</f>
        <v>-718</v>
      </c>
      <c r="AF337" s="263">
        <f>IFERROR(AF338-AF339,0)</f>
        <v>-1630</v>
      </c>
      <c r="AG337" s="263">
        <f>IFERROR(AG338-AG339,0)</f>
        <v>-1630</v>
      </c>
      <c r="AH337" s="263">
        <f>IFERROR(AH338-AH339,0)</f>
        <v>-1568</v>
      </c>
      <c r="AI337" s="263">
        <f>IFERROR(AI338-AI339,0)</f>
        <v>-1148</v>
      </c>
      <c r="AJ337" s="263">
        <f>IFERROR(AJ338-AJ339,0)</f>
        <v>741.238895977243</v>
      </c>
      <c r="AK337" s="263">
        <f>IFERROR(AK338-AK339,0)</f>
        <v>1439.44430179317</v>
      </c>
      <c r="AL337" s="263">
        <f>IFERROR(AL338-AL339,0)</f>
        <v>1439.44430179317</v>
      </c>
      <c r="AM337" s="263">
        <f>IFERROR(AM338-AM339,0)</f>
        <v>1374.80530215856</v>
      </c>
      <c r="AN337" s="263">
        <f>IFERROR(AN338-AN339,0)</f>
        <v>2453.78605309551</v>
      </c>
      <c r="AO337" s="263">
        <f>IFERROR(AO338-AO339,0)</f>
        <v>3898.08650362284</v>
      </c>
      <c r="AP337" s="263">
        <f>IFERROR(AP338-AP339,0)</f>
        <v>4735.20253399324</v>
      </c>
      <c r="AQ337" s="263">
        <f>IFERROR(AQ338-AQ339,0)</f>
        <v>4735.20253399324</v>
      </c>
      <c r="AR337" s="263">
        <f>IFERROR(AR338-AR339,0)</f>
        <v>4358.70263673364</v>
      </c>
      <c r="AS337" s="263">
        <f>IFERROR(AS338-AS339,0)</f>
        <v>5863.45250950268</v>
      </c>
      <c r="AT337" s="263">
        <f>IFERROR(AT338-AT339,0)</f>
        <v>7587.88053292899</v>
      </c>
      <c r="AU337" s="263">
        <f>IFERROR(AU338-AU339,0)</f>
        <v>8587.35840548872</v>
      </c>
      <c r="AV337" s="263">
        <f>IFERROR(AV338-AV339,0)</f>
        <v>8587.35840548872</v>
      </c>
      <c r="AW337" s="263">
        <f>IFERROR(AW338-AW339,0)</f>
        <v>8297.81597727675</v>
      </c>
      <c r="AX337" s="263">
        <f>IFERROR(AX338-AX339,0)</f>
        <v>9829.48949806332</v>
      </c>
      <c r="AY337" s="263">
        <f>IFERROR(AY338-AY339,0)</f>
        <v>11879.7547638819</v>
      </c>
      <c r="AZ337" s="263">
        <f>IFERROR(AZ338-AZ339,0)</f>
        <v>13068.0877869047</v>
      </c>
      <c r="BA337" s="263">
        <f>IFERROR(BA338-BA339,0)</f>
        <v>13068.0877869047</v>
      </c>
      <c r="BB337" s="263">
        <f>IFERROR(BB338-BB339,0)</f>
        <v>12606.7161342932</v>
      </c>
      <c r="BC337" s="263">
        <f>IFERROR(BC338-BC339,0)</f>
        <v>14420.146832502</v>
      </c>
      <c r="BD337" s="263">
        <f>IFERROR(BD338-BD339,0)</f>
        <v>16847.5662022625</v>
      </c>
      <c r="BE337" s="263">
        <f>IFERROR(BE338-BE339,0)</f>
        <v>18254.4976105552</v>
      </c>
      <c r="BF337" s="263">
        <f>IFERROR(BF338-BF339,0)</f>
        <v>18254.4976105552</v>
      </c>
      <c r="BG337" s="63" t="n"/>
      <c r="BH337" s="63" t="n"/>
      <c r="BI337" s="63" t="n"/>
      <c r="BJ337" s="63" t="n"/>
      <c r="BL337" s="63" t="n"/>
      <c r="BM337" s="63" t="n"/>
      <c r="BN337" s="63" t="n"/>
      <c r="BO337" s="63" t="n"/>
      <c r="BQ337" s="63" t="n"/>
      <c r="BR337" s="63" t="n"/>
      <c r="BS337" s="63" t="n"/>
      <c r="BT337" s="63" t="n"/>
      <c r="BV337" s="63" t="n"/>
      <c r="BW337" s="63" t="n"/>
      <c r="BX337" s="63" t="n"/>
      <c r="BY337" s="63" t="n"/>
      <c r="CA337" s="63" t="n"/>
      <c r="CB337" s="63" t="n"/>
      <c r="CC337" s="63" t="n"/>
      <c r="CD337" s="63" t="n"/>
      <c r="CF337" s="63" t="n"/>
      <c r="CG337" s="63" t="n"/>
      <c r="CH337" s="63" t="n"/>
      <c r="CI337" s="63" t="n"/>
      <c r="CK337" s="63" t="n"/>
      <c r="CL337" s="63" t="n"/>
      <c r="CM337" s="63" t="n"/>
      <c r="CN337" s="63" t="n"/>
      <c r="CP337" s="63" t="n"/>
      <c r="CQ337" s="63" t="n"/>
      <c r="CR337" s="63" t="n"/>
      <c r="CS337" s="63" t="n"/>
      <c r="CU337" s="63" t="n"/>
      <c r="CV337" s="63" t="n"/>
      <c r="CW337" s="63" t="n"/>
      <c r="CX337" s="63" t="n"/>
    </row>
    <row r="338" customFormat="1" s="77">
      <c r="A338" s="76" t="n"/>
      <c r="B338" s="76" t="n"/>
      <c r="C338" s="77" t="inlineStr">
        <is>
          <t>CURRENT ASSETS (OPERATING, EX CASH)</t>
        </is>
      </c>
      <c r="D338" s="89">
        <f>IFERROR(D130+D134+D138+D139+D140,"")</f>
        <v>0</v>
      </c>
      <c r="E338" s="89">
        <f>IFERROR(E130+E134+E138+E139+E140,"")</f>
        <v>0</v>
      </c>
      <c r="F338" s="89">
        <f>IFERROR(F130+F134+F138+F139+F140,"")</f>
        <v>0</v>
      </c>
      <c r="G338" s="89">
        <f>IFERROR(G130+G134+G138+G139+G140,"")</f>
        <v>0</v>
      </c>
      <c r="H338" s="263">
        <f>IFERROR((N(H130)+N(H134)+N(H138)+N(H139)+N(H140)),0)</f>
        <v>0</v>
      </c>
      <c r="I338" s="263">
        <f>IFERROR((N(I130)+N(I134)+N(I138)+N(I139)+N(I140)),0)</f>
        <v>95648</v>
      </c>
      <c r="J338" s="263">
        <f>IFERROR((N(J130)+N(J134)+N(J138)+N(J139)+N(J140)),0)</f>
        <v>94814</v>
      </c>
      <c r="K338" s="263">
        <f>IFERROR((N(K130)+N(K134)+N(K138)+N(K139)+N(K140)),0)</f>
        <v>93098</v>
      </c>
      <c r="L338" s="263">
        <f>IFERROR((N(L130)+N(L134)+N(L138)+N(L139)+N(L140)),0)</f>
        <v>61433</v>
      </c>
      <c r="M338" s="263">
        <f>IFERROR((N(M130)+N(M134)+N(M138)+N(M139)+N(M140)),0)</f>
        <v>61433</v>
      </c>
      <c r="N338" s="263">
        <f>IFERROR((N(N130)+N(N134)+N(N138)+N(N139)+N(N140)),0)</f>
        <v>61040</v>
      </c>
      <c r="O338" s="263">
        <f>IFERROR((N(O130)+N(O134)+N(O138)+N(O139)+N(O140)),0)</f>
        <v>58424</v>
      </c>
      <c r="P338" s="263">
        <f>IFERROR((N(P130)+N(P134)+N(P138)+N(P139)+N(P140)),0)</f>
        <v>58990</v>
      </c>
      <c r="Q338" s="263">
        <f>IFERROR((N(Q130)+N(Q134)+N(Q138)+N(Q139)+N(Q140)),0)</f>
        <v>60677</v>
      </c>
      <c r="R338" s="263">
        <f>IFERROR((N(R130)+N(R134)+N(R138)+N(R139)+N(R140)),0)</f>
        <v>60677</v>
      </c>
      <c r="S338" s="263">
        <f>IFERROR((N(S130)+N(S134)+N(S138)+N(S139)+N(S140)),0)</f>
        <v>58630</v>
      </c>
      <c r="T338" s="263">
        <f>IFERROR((N(T130)+N(T134)+N(T138)+N(T139)+N(T140)),0)</f>
        <v>57802</v>
      </c>
      <c r="U338" s="263">
        <f>IFERROR((N(U130)+N(U134)+N(U138)+N(U139)+N(U140)),0)</f>
        <v>53543</v>
      </c>
      <c r="V338" s="263">
        <f>IFERROR((N(V130)+N(V134)+N(V138)+N(V139)+N(V140)),0)</f>
        <v>53406</v>
      </c>
      <c r="W338" s="263">
        <f>IFERROR((N(W130)+N(W134)+N(W138)+N(W139)+N(W140)),0)</f>
        <v>53406</v>
      </c>
      <c r="X338" s="263">
        <f>IFERROR((N(X130)+N(X134)+N(X138)+N(X139)+N(X140)),0)</f>
        <v>51459</v>
      </c>
      <c r="Y338" s="263">
        <f>IFERROR((N(Y130)+N(Y134)+N(Y138)+N(Y139)+N(Y140)),0)</f>
        <v>32583</v>
      </c>
      <c r="Z338" s="263">
        <f>IFERROR((N(Z130)+N(Z134)+N(Z138)+N(Z139)+N(Z140)),0)</f>
        <v>32416</v>
      </c>
      <c r="AA338" s="263">
        <f>IFERROR((N(AA130)+N(AA134)+N(AA138)+N(AA139)+N(AA140)),0)</f>
        <v>31126</v>
      </c>
      <c r="AB338" s="263">
        <f>IFERROR((N(AB130)+N(AB134)+N(AB138)+N(AB139)+N(AB140)),0)</f>
        <v>31126</v>
      </c>
      <c r="AC338" s="263">
        <f>IFERROR((N(AC130)+N(AC134)+N(AC138)+N(AC139)+N(AC140)),0)</f>
        <v>32126</v>
      </c>
      <c r="AD338" s="263">
        <f>IFERROR((N(AD130)+N(AD134)+N(AD138)+N(AD139)+N(AD140)),0)</f>
        <v>33831</v>
      </c>
      <c r="AE338" s="263">
        <f>IFERROR((N(AE130)+N(AE134)+N(AE138)+N(AE139)+N(AE140)),0)</f>
        <v>34417</v>
      </c>
      <c r="AF338" s="263">
        <f>IFERROR((N(AF130)+N(AF134)+N(AF138)+N(AF139)+N(AF140)),0)</f>
        <v>35665</v>
      </c>
      <c r="AG338" s="263">
        <f>IFERROR((N(AG130)+N(AG134)+N(AG138)+N(AG139)+N(AG140)),0)</f>
        <v>35665</v>
      </c>
      <c r="AH338" s="263">
        <f>IFERROR((N(AH130)+N(AH134)+N(AH138)+N(AH139)+N(AH140)),0)</f>
        <v>36353</v>
      </c>
      <c r="AI338" s="263">
        <f>IFERROR((N(AI130)+N(AI134)+N(AI138)+N(AI139)+N(AI140)),0)</f>
        <v>37281</v>
      </c>
      <c r="AJ338" s="263">
        <f>IFERROR((N(AJ130)+N(AJ134)+N(AJ138)+N(AJ139)+N(AJ140)),0)</f>
        <v>40336.7611150741</v>
      </c>
      <c r="AK338" s="263">
        <f>IFERROR((N(AK130)+N(AK134)+N(AK138)+N(AK139)+N(AK140)),0)</f>
        <v>41562.4969296772</v>
      </c>
      <c r="AL338" s="263">
        <f>IFERROR((N(AL130)+N(AL134)+N(AL138)+N(AL139)+N(AL140)),0)</f>
        <v>41562.4969296772</v>
      </c>
      <c r="AM338" s="263">
        <f>IFERROR((N(AM130)+N(AM134)+N(AM138)+N(AM139)+N(AM140)),0)</f>
        <v>41449.019812181</v>
      </c>
      <c r="AN338" s="263">
        <f>IFERROR((N(AN130)+N(AN134)+N(AN138)+N(AN139)+N(AN140)),0)</f>
        <v>43343.2265007488</v>
      </c>
      <c r="AO338" s="263">
        <f>IFERROR((N(AO130)+N(AO134)+N(AO138)+N(AO139)+N(AO140)),0)</f>
        <v>45878.7708756736</v>
      </c>
      <c r="AP338" s="263">
        <f>IFERROR((N(AP130)+N(AP134)+N(AP138)+N(AP139)+N(AP140)),0)</f>
        <v>47348.3714987227</v>
      </c>
      <c r="AQ338" s="263">
        <f>IFERROR((N(AQ130)+N(AQ134)+N(AQ138)+N(AQ139)+N(AQ140)),0)</f>
        <v>47348.3714987227</v>
      </c>
      <c r="AR338" s="263">
        <f>IFERROR((N(AR130)+N(AR134)+N(AR138)+N(AR139)+N(AR140)),0)</f>
        <v>46687.4063952999</v>
      </c>
      <c r="AS338" s="263">
        <f>IFERROR((N(AS130)+N(AS134)+N(AS138)+N(AS139)+N(AS140)),0)</f>
        <v>49329.0728672416</v>
      </c>
      <c r="AT338" s="263">
        <f>IFERROR((N(AT130)+N(AT134)+N(AT138)+N(AT139)+N(AT140)),0)</f>
        <v>52356.39573013</v>
      </c>
      <c r="AU338" s="263">
        <f>IFERROR((N(AU130)+N(AU134)+N(AU138)+N(AU139)+N(AU140)),0)</f>
        <v>54111.0309908926</v>
      </c>
      <c r="AV338" s="263">
        <f>IFERROR((N(AV130)+N(AV134)+N(AV138)+N(AV139)+N(AV140)),0)</f>
        <v>54111.0309908926</v>
      </c>
      <c r="AW338" s="263">
        <f>IFERROR((N(AW130)+N(AW134)+N(AW138)+N(AW139)+N(AW140)),0)</f>
        <v>53602.7242359602</v>
      </c>
      <c r="AX338" s="263">
        <f>IFERROR((N(AX130)+N(AX134)+N(AX138)+N(AX139)+N(AX140)),0)</f>
        <v>56291.6565688649</v>
      </c>
      <c r="AY338" s="263">
        <f>IFERROR((N(AY130)+N(AY134)+N(AY138)+N(AY139)+N(AY140)),0)</f>
        <v>59891.0036160474</v>
      </c>
      <c r="AZ338" s="263">
        <f>IFERROR((N(AZ130)+N(AZ134)+N(AZ138)+N(AZ139)+N(AZ140)),0)</f>
        <v>61977.1838917392</v>
      </c>
      <c r="BA338" s="263">
        <f>IFERROR((N(BA130)+N(BA134)+N(BA138)+N(BA139)+N(BA140)),0)</f>
        <v>61977.1838917392</v>
      </c>
      <c r="BB338" s="263">
        <f>IFERROR((N(BB130)+N(BB134)+N(BB138)+N(BB139)+N(BB140)),0)</f>
        <v>61167.2220184311</v>
      </c>
      <c r="BC338" s="263">
        <f>IFERROR((N(BC130)+N(BC134)+N(BC138)+N(BC139)+N(BC140)),0)</f>
        <v>64350.7936945879</v>
      </c>
      <c r="BD338" s="263">
        <f>IFERROR((N(BD130)+N(BD134)+N(BD138)+N(BD139)+N(BD140)),0)</f>
        <v>68612.254338966</v>
      </c>
      <c r="BE338" s="263">
        <f>IFERROR((N(BE130)+N(BE134)+N(BE138)+N(BE139)+N(BE140)),0)</f>
        <v>71082.1954214458</v>
      </c>
      <c r="BF338" s="263">
        <f>IFERROR((N(BF130)+N(BF134)+N(BF138)+N(BF139)+N(BF140)),0)</f>
        <v>71082.1954214458</v>
      </c>
      <c r="BG338" s="90" t="n"/>
      <c r="BH338" s="90" t="n"/>
      <c r="BI338" s="90" t="n"/>
      <c r="BJ338" s="90" t="n"/>
      <c r="BL338" s="90" t="n"/>
      <c r="BM338" s="90" t="n"/>
      <c r="BN338" s="90" t="n"/>
      <c r="BO338" s="90" t="n"/>
      <c r="BQ338" s="90" t="n"/>
      <c r="BR338" s="90" t="n"/>
      <c r="BS338" s="90" t="n"/>
      <c r="BT338" s="90" t="n"/>
      <c r="BV338" s="90" t="n"/>
      <c r="BW338" s="90" t="n"/>
      <c r="BX338" s="90" t="n"/>
      <c r="BY338" s="90" t="n"/>
      <c r="CA338" s="90" t="n"/>
      <c r="CB338" s="90" t="n"/>
      <c r="CC338" s="90" t="n"/>
      <c r="CD338" s="90" t="n"/>
      <c r="CF338" s="90" t="n"/>
      <c r="CG338" s="90" t="n"/>
      <c r="CH338" s="90" t="n"/>
      <c r="CI338" s="90" t="n"/>
      <c r="CK338" s="90" t="n"/>
      <c r="CL338" s="90" t="n"/>
      <c r="CM338" s="90" t="n"/>
      <c r="CN338" s="90" t="n"/>
      <c r="CP338" s="90" t="n"/>
      <c r="CQ338" s="90" t="n"/>
      <c r="CR338" s="90" t="n"/>
      <c r="CS338" s="90" t="n"/>
      <c r="CU338" s="90" t="n"/>
      <c r="CV338" s="90" t="n"/>
      <c r="CW338" s="90" t="n"/>
      <c r="CX338" s="90" t="n"/>
    </row>
    <row r="339" customFormat="1" s="77">
      <c r="A339" s="76" t="n"/>
      <c r="B339" s="76" t="n"/>
      <c r="C339" s="77" t="inlineStr">
        <is>
          <t>CURRENT LIABILITIES (OPERATING, EX DEBT)</t>
        </is>
      </c>
      <c r="D339" s="89">
        <f>IFERROR(D183+D187+D189+D190,"")</f>
        <v>0</v>
      </c>
      <c r="E339" s="89">
        <f>IFERROR(E183+E187+E189+E190,"")</f>
        <v>0</v>
      </c>
      <c r="F339" s="89">
        <f>IFERROR(F183+F187+F189+F190,"")</f>
        <v>0</v>
      </c>
      <c r="G339" s="89">
        <f>IFERROR(G183+G187+G189+G190,"")</f>
        <v>0</v>
      </c>
      <c r="H339" s="263">
        <f>IFERROR((N(H183)+N(H187)+N(H189)+N(H190)),0)</f>
        <v>0</v>
      </c>
      <c r="I339" s="263">
        <f>IFERROR((N(I183)+N(I187)+N(I189)+N(I190)),0)</f>
        <v>53220</v>
      </c>
      <c r="J339" s="263">
        <f>IFERROR((N(J183)+N(J187)+N(J189)+N(J190)),0)</f>
        <v>52352</v>
      </c>
      <c r="K339" s="263">
        <f>IFERROR((N(K183)+N(K187)+N(K189)+N(K190)),0)</f>
        <v>52222</v>
      </c>
      <c r="L339" s="263">
        <f>IFERROR((N(L183)+N(L187)+N(L189)+N(L190)),0)</f>
        <v>47598</v>
      </c>
      <c r="M339" s="263">
        <f>IFERROR((N(M183)+N(M187)+N(M189)+N(M190)),0)</f>
        <v>47598</v>
      </c>
      <c r="N339" s="263">
        <f>IFERROR((N(N183)+N(N187)+N(N189)+N(N190)),0)</f>
        <v>48363</v>
      </c>
      <c r="O339" s="263">
        <f>IFERROR((N(O183)+N(O187)+N(O189)+N(O190)),0)</f>
        <v>48944</v>
      </c>
      <c r="P339" s="263">
        <f>IFERROR((N(P183)+N(P187)+N(P189)+N(P190)),0)</f>
        <v>50375</v>
      </c>
      <c r="Q339" s="263">
        <f>IFERROR((N(Q183)+N(Q187)+N(Q189)+N(Q190)),0)</f>
        <v>53196</v>
      </c>
      <c r="R339" s="263">
        <f>IFERROR((N(R183)+N(R187)+N(R189)+N(R190)),0)</f>
        <v>53196</v>
      </c>
      <c r="S339" s="263">
        <f>IFERROR((N(S183)+N(S187)+N(S189)+N(S190)),0)</f>
        <v>45918</v>
      </c>
      <c r="T339" s="263">
        <f>IFERROR((N(T183)+N(T187)+N(T189)+N(T190)),0)</f>
        <v>46228</v>
      </c>
      <c r="U339" s="263">
        <f>IFERROR((N(U183)+N(U187)+N(U189)+N(U190)),0)</f>
        <v>46831</v>
      </c>
      <c r="V339" s="263">
        <f>IFERROR((N(V183)+N(V187)+N(V189)+N(V190)),0)</f>
        <v>49623</v>
      </c>
      <c r="W339" s="263">
        <f>IFERROR((N(W183)+N(W187)+N(W189)+N(W190)),0)</f>
        <v>49623</v>
      </c>
      <c r="X339" s="263">
        <f>IFERROR((N(X183)+N(X187)+N(X189)+N(X190)),0)</f>
        <v>50056</v>
      </c>
      <c r="Y339" s="263">
        <f>IFERROR((N(Y183)+N(Y187)+N(Y189)+N(Y190)),0)</f>
        <v>31050</v>
      </c>
      <c r="Z339" s="263">
        <f>IFERROR((N(Z183)+N(Z187)+N(Z189)+N(Z190)),0)</f>
        <v>32411</v>
      </c>
      <c r="AA339" s="263">
        <f>IFERROR((N(AA183)+N(AA187)+N(AA189)+N(AA190)),0)</f>
        <v>32352</v>
      </c>
      <c r="AB339" s="263">
        <f>IFERROR((N(AB183)+N(AB187)+N(AB189)+N(AB190)),0)</f>
        <v>32352</v>
      </c>
      <c r="AC339" s="263">
        <f>IFERROR((N(AC183)+N(AC187)+N(AC189)+N(AC190)),0)</f>
        <v>32857</v>
      </c>
      <c r="AD339" s="263">
        <f>IFERROR((N(AD183)+N(AD187)+N(AD189)+N(AD190)),0)</f>
        <v>34577</v>
      </c>
      <c r="AE339" s="263">
        <f>IFERROR((N(AE183)+N(AE187)+N(AE189)+N(AE190)),0)</f>
        <v>35135</v>
      </c>
      <c r="AF339" s="263">
        <f>IFERROR((N(AF183)+N(AF187)+N(AF189)+N(AF190)),0)</f>
        <v>37295</v>
      </c>
      <c r="AG339" s="263">
        <f>IFERROR((N(AG183)+N(AG187)+N(AG189)+N(AG190)),0)</f>
        <v>37295</v>
      </c>
      <c r="AH339" s="263">
        <f>IFERROR((N(AH183)+N(AH187)+N(AH189)+N(AH190)),0)</f>
        <v>37921</v>
      </c>
      <c r="AI339" s="263">
        <f>IFERROR((N(AI183)+N(AI187)+N(AI189)+N(AI190)),0)</f>
        <v>38429</v>
      </c>
      <c r="AJ339" s="263">
        <f>IFERROR((N(AJ183)+N(AJ187)+N(AJ189)+N(AJ190)),0)</f>
        <v>39595.5222190969</v>
      </c>
      <c r="AK339" s="263">
        <f>IFERROR((N(AK183)+N(AK187)+N(AK189)+N(AK190)),0)</f>
        <v>40123.052627884</v>
      </c>
      <c r="AL339" s="263">
        <f>IFERROR((N(AL183)+N(AL187)+N(AL189)+N(AL190)),0)</f>
        <v>40123.052627884</v>
      </c>
      <c r="AM339" s="263">
        <f>IFERROR((N(AM183)+N(AM187)+N(AM189)+N(AM190)),0)</f>
        <v>40074.2145100224</v>
      </c>
      <c r="AN339" s="263">
        <f>IFERROR((N(AN183)+N(AN187)+N(AN189)+N(AN190)),0)</f>
        <v>40889.4404476533</v>
      </c>
      <c r="AO339" s="263">
        <f>IFERROR((N(AO183)+N(AO187)+N(AO189)+N(AO190)),0)</f>
        <v>41980.6843720508</v>
      </c>
      <c r="AP339" s="263">
        <f>IFERROR((N(AP183)+N(AP187)+N(AP189)+N(AP190)),0)</f>
        <v>42613.1689647295</v>
      </c>
      <c r="AQ339" s="263">
        <f>IFERROR((N(AQ183)+N(AQ187)+N(AQ189)+N(AQ190)),0)</f>
        <v>42613.1689647295</v>
      </c>
      <c r="AR339" s="263">
        <f>IFERROR((N(AR183)+N(AR187)+N(AR189)+N(AR190)),0)</f>
        <v>42328.7037585663</v>
      </c>
      <c r="AS339" s="263">
        <f>IFERROR((N(AS183)+N(AS187)+N(AS189)+N(AS190)),0)</f>
        <v>43465.6203577389</v>
      </c>
      <c r="AT339" s="263">
        <f>IFERROR((N(AT183)+N(AT187)+N(AT189)+N(AT190)),0)</f>
        <v>44768.515197201</v>
      </c>
      <c r="AU339" s="263">
        <f>IFERROR((N(AU183)+N(AU187)+N(AU189)+N(AU190)),0)</f>
        <v>45523.6725854039</v>
      </c>
      <c r="AV339" s="263">
        <f>IFERROR((N(AV183)+N(AV187)+N(AV189)+N(AV190)),0)</f>
        <v>45523.6725854039</v>
      </c>
      <c r="AW339" s="263">
        <f>IFERROR((N(AW183)+N(AW187)+N(AW189)+N(AW190)),0)</f>
        <v>45304.9082586835</v>
      </c>
      <c r="AX339" s="263">
        <f>IFERROR((N(AX183)+N(AX187)+N(AX189)+N(AX190)),0)</f>
        <v>46462.1670708015</v>
      </c>
      <c r="AY339" s="263">
        <f>IFERROR((N(AY183)+N(AY187)+N(AY189)+N(AY190)),0)</f>
        <v>48011.2488521655</v>
      </c>
      <c r="AZ339" s="263">
        <f>IFERROR((N(AZ183)+N(AZ187)+N(AZ189)+N(AZ190)),0)</f>
        <v>48909.0961048345</v>
      </c>
      <c r="BA339" s="263">
        <f>IFERROR((N(BA183)+N(BA187)+N(BA189)+N(BA190)),0)</f>
        <v>48909.0961048345</v>
      </c>
      <c r="BB339" s="263">
        <f>IFERROR((N(BB183)+N(BB187)+N(BB189)+N(BB190)),0)</f>
        <v>48560.5058841379</v>
      </c>
      <c r="BC339" s="263">
        <f>IFERROR((N(BC183)+N(BC187)+N(BC189)+N(BC190)),0)</f>
        <v>49930.6468620859</v>
      </c>
      <c r="BD339" s="263">
        <f>IFERROR((N(BD183)+N(BD187)+N(BD189)+N(BD190)),0)</f>
        <v>51764.6881367035</v>
      </c>
      <c r="BE339" s="263">
        <f>IFERROR((N(BE183)+N(BE187)+N(BE189)+N(BE190)),0)</f>
        <v>52827.6978108906</v>
      </c>
      <c r="BF339" s="263">
        <f>IFERROR((N(BF183)+N(BF187)+N(BF189)+N(BF190)),0)</f>
        <v>52827.6978108906</v>
      </c>
      <c r="BG339" s="90" t="n"/>
      <c r="BH339" s="90" t="n"/>
      <c r="BI339" s="90" t="n"/>
      <c r="BJ339" s="90" t="n"/>
      <c r="BL339" s="90" t="n"/>
      <c r="BM339" s="90" t="n"/>
      <c r="BN339" s="90" t="n"/>
      <c r="BO339" s="90" t="n"/>
      <c r="BQ339" s="90" t="n"/>
      <c r="BR339" s="90" t="n"/>
      <c r="BS339" s="90" t="n"/>
      <c r="BT339" s="90" t="n"/>
      <c r="BV339" s="90" t="n"/>
      <c r="BW339" s="90" t="n"/>
      <c r="BX339" s="90" t="n"/>
      <c r="BY339" s="90" t="n"/>
      <c r="CA339" s="90" t="n"/>
      <c r="CB339" s="90" t="n"/>
      <c r="CC339" s="90" t="n"/>
      <c r="CD339" s="90" t="n"/>
      <c r="CF339" s="90" t="n"/>
      <c r="CG339" s="90" t="n"/>
      <c r="CH339" s="90" t="n"/>
      <c r="CI339" s="90" t="n"/>
      <c r="CK339" s="90" t="n"/>
      <c r="CL339" s="90" t="n"/>
      <c r="CM339" s="90" t="n"/>
      <c r="CN339" s="90" t="n"/>
      <c r="CP339" s="90" t="n"/>
      <c r="CQ339" s="90" t="n"/>
      <c r="CR339" s="90" t="n"/>
      <c r="CS339" s="90" t="n"/>
      <c r="CU339" s="90" t="n"/>
      <c r="CV339" s="90" t="n"/>
      <c r="CW339" s="90" t="n"/>
      <c r="CX339" s="90" t="n"/>
    </row>
    <row r="340" customFormat="1" s="77">
      <c r="A340" s="76" t="n"/>
      <c r="B340" s="76" t="n"/>
      <c r="C340" s="77" t="inlineStr">
        <is>
          <t>FIXED ASSETS</t>
        </is>
      </c>
      <c r="D340" s="89">
        <f>IFERROR(D151+D161+D164+D165+D174-D225,"")</f>
        <v>0</v>
      </c>
      <c r="E340" s="89">
        <f>IFERROR(E151+E161+E164+E165+E174-E225,"")</f>
        <v>0</v>
      </c>
      <c r="F340" s="89">
        <f>IFERROR(F151+F161+F164+F165+F174-F225,"")</f>
        <v>0</v>
      </c>
      <c r="G340" s="89">
        <f>IFERROR(G151+G161+G164+G165+G174-G225,"")</f>
        <v>0</v>
      </c>
      <c r="H340" s="263">
        <f>IFERROR((N(H151)+N(H161)+N(H164)+N(H165)+N(H174))-N(H225),0)</f>
        <v>0</v>
      </c>
      <c r="I340" s="263">
        <f>IFERROR((N(I151)+N(I161)+N(I164)+N(I165)+N(I174))-N(I225),0)</f>
        <v>32294</v>
      </c>
      <c r="J340" s="263">
        <f>IFERROR((N(J151)+N(J161)+N(J164)+N(J165)+N(J174))-N(J225),0)</f>
        <v>33644</v>
      </c>
      <c r="K340" s="263">
        <f>IFERROR((N(K151)+N(K161)+N(K164)+N(K165)+N(K174))-N(K225),0)</f>
        <v>36013</v>
      </c>
      <c r="L340" s="263">
        <f>IFERROR((N(L151)+N(L161)+N(L164)+N(L165)+N(L174))-N(L225),0)</f>
        <v>47187</v>
      </c>
      <c r="M340" s="263">
        <f>IFERROR((N(M151)+N(M161)+N(M164)+N(M165)+N(M174))-N(M225),0)</f>
        <v>47187</v>
      </c>
      <c r="N340" s="263">
        <f>IFERROR((N(N151)+N(N161)+N(N164)+N(N165)+N(N174))-N(N225),0)</f>
        <v>48394</v>
      </c>
      <c r="O340" s="263">
        <f>IFERROR((N(O151)+N(O161)+N(O164)+N(O165)+N(O174))-N(O225),0)</f>
        <v>45784</v>
      </c>
      <c r="P340" s="263">
        <f>IFERROR((N(P151)+N(P161)+N(P164)+N(P165)+N(P174))-N(P225),0)</f>
        <v>41943</v>
      </c>
      <c r="Q340" s="263">
        <f>IFERROR((N(Q151)+N(Q161)+N(Q164)+N(Q165)+N(Q174))-N(Q225),0)</f>
        <v>45184</v>
      </c>
      <c r="R340" s="263">
        <f>IFERROR((N(R151)+N(R161)+N(R164)+N(R165)+N(R174))-N(R225),0)</f>
        <v>45184</v>
      </c>
      <c r="S340" s="263">
        <f>IFERROR((N(S151)+N(S161)+N(S164)+N(S165)+N(S174))-N(S225),0)</f>
        <v>30527</v>
      </c>
      <c r="T340" s="263">
        <f>IFERROR((N(T151)+N(T161)+N(T164)+N(T165)+N(T174))-N(T225),0)</f>
        <v>29808</v>
      </c>
      <c r="U340" s="263">
        <f>IFERROR((N(U151)+N(U161)+N(U164)+N(U165)+N(U174))-N(U225),0)</f>
        <v>30816</v>
      </c>
      <c r="V340" s="263">
        <f>IFERROR((N(V151)+N(V161)+N(V164)+N(V165)+N(V174))-N(V225),0)</f>
        <v>28794</v>
      </c>
      <c r="W340" s="263">
        <f>IFERROR((N(W151)+N(W161)+N(W164)+N(W165)+N(W174))-N(W225),0)</f>
        <v>28794</v>
      </c>
      <c r="X340" s="263">
        <f>IFERROR((N(X151)+N(X161)+N(X164)+N(X165)+N(X174))-N(X225),0)</f>
        <v>31779</v>
      </c>
      <c r="Y340" s="263">
        <f>IFERROR((N(Y151)+N(Y161)+N(Y164)+N(Y165)+N(Y174))-N(Y225),0)</f>
        <v>24876</v>
      </c>
      <c r="Z340" s="263">
        <f>IFERROR((N(Z151)+N(Z161)+N(Z164)+N(Z165)+N(Z174))-N(Z225),0)</f>
        <v>25295</v>
      </c>
      <c r="AA340" s="263">
        <f>IFERROR((N(AA151)+N(AA161)+N(AA164)+N(AA165)+N(AA174))-N(AA225),0)</f>
        <v>26445</v>
      </c>
      <c r="AB340" s="263">
        <f>IFERROR((N(AB151)+N(AB161)+N(AB164)+N(AB165)+N(AB174))-N(AB225),0)</f>
        <v>26445</v>
      </c>
      <c r="AC340" s="263">
        <f>IFERROR((N(AC151)+N(AC161)+N(AC164)+N(AC165)+N(AC174))-N(AC225),0)</f>
        <v>27365</v>
      </c>
      <c r="AD340" s="263">
        <f>IFERROR((N(AD151)+N(AD161)+N(AD164)+N(AD165)+N(AD174))-N(AD225),0)</f>
        <v>28117</v>
      </c>
      <c r="AE340" s="263">
        <f>IFERROR((N(AE151)+N(AE161)+N(AE164)+N(AE165)+N(AE174))-N(AE225),0)</f>
        <v>28077</v>
      </c>
      <c r="AF340" s="263">
        <f>IFERROR((N(AF151)+N(AF161)+N(AF164)+N(AF165)+N(AF174))-N(AF225),0)</f>
        <v>28631</v>
      </c>
      <c r="AG340" s="263">
        <f>IFERROR((N(AG151)+N(AG161)+N(AG164)+N(AG165)+N(AG174))-N(AG225),0)</f>
        <v>28631</v>
      </c>
      <c r="AH340" s="263">
        <f>IFERROR((N(AH151)+N(AH161)+N(AH164)+N(AH165)+N(AH174))-N(AH225),0)</f>
        <v>29162</v>
      </c>
      <c r="AI340" s="263">
        <f>IFERROR((N(AI151)+N(AI161)+N(AI164)+N(AI165)+N(AI174))-N(AI225),0)</f>
        <v>28827</v>
      </c>
      <c r="AJ340" s="263">
        <f>IFERROR((N(AJ151)+N(AJ161)+N(AJ164)+N(AJ165)+N(AJ174))-N(AJ225),0)</f>
        <v>28824.9184467363</v>
      </c>
      <c r="AK340" s="263">
        <f>IFERROR((N(AK151)+N(AK161)+N(AK164)+N(AK165)+N(AK174))-N(AK225),0)</f>
        <v>28822.7452989772</v>
      </c>
      <c r="AL340" s="263">
        <f>IFERROR((N(AL151)+N(AL161)+N(AL164)+N(AL165)+N(AL174))-N(AL225),0)</f>
        <v>28822.7452989772</v>
      </c>
      <c r="AM340" s="263">
        <f>IFERROR((N(AM151)+N(AM161)+N(AM164)+N(AM165)+N(AM174))-N(AM225),0)</f>
        <v>28820.6276889251</v>
      </c>
      <c r="AN340" s="263">
        <f>IFERROR((N(AN151)+N(AN161)+N(AN164)+N(AN165)+N(AN174))-N(AN225),0)</f>
        <v>28818.3465416862</v>
      </c>
      <c r="AO340" s="263">
        <f>IFERROR((N(AO151)+N(AO161)+N(AO164)+N(AO165)+N(AO174))-N(AO225),0)</f>
        <v>28815.8508554733</v>
      </c>
      <c r="AP340" s="263">
        <f>IFERROR((N(AP151)+N(AP161)+N(AP164)+N(AP165)+N(AP174))-N(AP225),0)</f>
        <v>28813.2453516912</v>
      </c>
      <c r="AQ340" s="263">
        <f>IFERROR((N(AQ151)+N(AQ161)+N(AQ164)+N(AQ165)+N(AQ174))-N(AQ225),0)</f>
        <v>28813.2453516912</v>
      </c>
      <c r="AR340" s="263">
        <f>IFERROR((N(AR151)+N(AR161)+N(AR164)+N(AR165)+N(AR174))-N(AR225),0)</f>
        <v>28810.7170231048</v>
      </c>
      <c r="AS340" s="263">
        <f>IFERROR((N(AS151)+N(AS161)+N(AS164)+N(AS165)+N(AS174))-N(AS225),0)</f>
        <v>28807.9934386713</v>
      </c>
      <c r="AT340" s="263">
        <f>IFERROR((N(AT151)+N(AT161)+N(AT164)+N(AT165)+N(AT174))-N(AT225),0)</f>
        <v>28805.0137046127</v>
      </c>
      <c r="AU340" s="263">
        <f>IFERROR((N(AU151)+N(AU161)+N(AU164)+N(AU165)+N(AU174))-N(AU225),0)</f>
        <v>28801.9028534492</v>
      </c>
      <c r="AV340" s="263">
        <f>IFERROR((N(AV151)+N(AV161)+N(AV164)+N(AV165)+N(AV174))-N(AV225),0)</f>
        <v>28801.9028534492</v>
      </c>
      <c r="AW340" s="263">
        <f>IFERROR((N(AW151)+N(AW161)+N(AW164)+N(AW165)+N(AW174))-N(AW225),0)</f>
        <v>28798.8967875474</v>
      </c>
      <c r="AX340" s="263">
        <f>IFERROR((N(AX151)+N(AX161)+N(AX164)+N(AX165)+N(AX174))-N(AX225),0)</f>
        <v>28795.6585714626</v>
      </c>
      <c r="AY340" s="263">
        <f>IFERROR((N(AY151)+N(AY161)+N(AY164)+N(AY165)+N(AY174))-N(AY225),0)</f>
        <v>28792.1158053056</v>
      </c>
      <c r="AZ340" s="263">
        <f>IFERROR((N(AZ151)+N(AZ161)+N(AZ164)+N(AZ165)+N(AZ174))-N(AZ225),0)</f>
        <v>28788.4171469672</v>
      </c>
      <c r="BA340" s="263">
        <f>IFERROR((N(BA151)+N(BA161)+N(BA164)+N(BA165)+N(BA174))-N(BA225),0)</f>
        <v>28788.4171469672</v>
      </c>
      <c r="BB340" s="263">
        <f>IFERROR((N(BB151)+N(BB161)+N(BB164)+N(BB165)+N(BB174))-N(BB225),0)</f>
        <v>28784.8581037944</v>
      </c>
      <c r="BC340" s="263">
        <f>IFERROR((N(BC151)+N(BC161)+N(BC164)+N(BC165)+N(BC174))-N(BC225),0)</f>
        <v>28781.0242055283</v>
      </c>
      <c r="BD340" s="263">
        <f>IFERROR((N(BD151)+N(BD161)+N(BD164)+N(BD165)+N(BD174))-N(BD225),0)</f>
        <v>28776.8297340443</v>
      </c>
      <c r="BE340" s="263">
        <f>IFERROR((N(BE151)+N(BE161)+N(BE164)+N(BE165)+N(BE174))-N(BE225),0)</f>
        <v>28772.4506934185</v>
      </c>
      <c r="BF340" s="263">
        <f>IFERROR((N(BF151)+N(BF161)+N(BF164)+N(BF165)+N(BF174))-N(BF225),0)</f>
        <v>28772.4506934185</v>
      </c>
      <c r="BG340" s="90" t="n"/>
      <c r="BH340" s="90" t="n"/>
      <c r="BI340" s="90" t="n"/>
      <c r="BJ340" s="90" t="n"/>
      <c r="BL340" s="90" t="n"/>
      <c r="BM340" s="90" t="n"/>
      <c r="BN340" s="90" t="n"/>
      <c r="BO340" s="90" t="n"/>
      <c r="BQ340" s="90" t="n"/>
      <c r="BR340" s="90" t="n"/>
      <c r="BS340" s="90" t="n"/>
      <c r="BT340" s="90" t="n"/>
      <c r="BV340" s="90" t="n"/>
      <c r="BW340" s="90" t="n"/>
      <c r="BX340" s="90" t="n"/>
      <c r="BY340" s="90" t="n"/>
      <c r="CA340" s="90" t="n"/>
      <c r="CB340" s="90" t="n"/>
      <c r="CC340" s="90" t="n"/>
      <c r="CD340" s="90" t="n"/>
      <c r="CF340" s="90" t="n"/>
      <c r="CG340" s="90" t="n"/>
      <c r="CH340" s="90" t="n"/>
      <c r="CI340" s="90" t="n"/>
      <c r="CK340" s="90" t="n"/>
      <c r="CL340" s="90" t="n"/>
      <c r="CM340" s="90" t="n"/>
      <c r="CN340" s="90" t="n"/>
      <c r="CP340" s="90" t="n"/>
      <c r="CQ340" s="90" t="n"/>
      <c r="CR340" s="90" t="n"/>
      <c r="CS340" s="90" t="n"/>
      <c r="CU340" s="90" t="n"/>
      <c r="CV340" s="90" t="n"/>
      <c r="CW340" s="90" t="n"/>
      <c r="CX340" s="90" t="n"/>
    </row>
    <row r="341" customFormat="1" s="77">
      <c r="A341" s="76" t="n"/>
      <c r="B341" s="76" t="n"/>
    </row>
    <row r="342" customFormat="1" s="77">
      <c r="A342" s="76" t="n"/>
      <c r="B342" s="76" t="n"/>
    </row>
    <row r="343" customFormat="1" s="77">
      <c r="A343" s="76" t="n"/>
      <c r="B343" s="76" t="n"/>
    </row>
    <row r="344" customFormat="1" s="77">
      <c r="A344" s="76" t="n"/>
      <c r="B344" s="76" t="n"/>
    </row>
    <row r="345" customFormat="1" s="77">
      <c r="A345" s="76" t="n"/>
      <c r="B345" s="76" t="n"/>
    </row>
    <row r="346" customFormat="1" s="77">
      <c r="A346" s="76" t="n"/>
      <c r="B346" s="76" t="n"/>
    </row>
    <row r="347" customFormat="1" s="77">
      <c r="A347" s="76" t="n"/>
      <c r="B347" s="76" t="n"/>
    </row>
    <row r="348" customFormat="1" s="77">
      <c r="A348" s="76" t="n"/>
      <c r="B348" s="76" t="n"/>
      <c r="C348" s="74" t="inlineStr">
        <is>
          <t>DUPONT ANALYSIS</t>
        </is>
      </c>
    </row>
    <row r="349" customFormat="1" s="77">
      <c r="A349" s="76" t="n"/>
      <c r="B349" s="76" t="n"/>
      <c r="C349" s="77" t="inlineStr">
        <is>
          <t>NET PROFIT MARGIN (LTM)</t>
        </is>
      </c>
      <c r="D349" s="84" t="str">
        <f>IFERROR(D122/D15,"")</f>
        <v/>
      </c>
      <c r="E349" s="84" t="str">
        <f>IFERROR(E122/E15,"")</f>
        <v/>
      </c>
      <c r="F349" s="84" t="str">
        <f>IFERROR(F122/F15,"")</f>
        <v/>
      </c>
      <c r="G349" s="84" t="str">
        <f>IFERROR(G122/G15,"")</f>
        <v/>
      </c>
      <c r="H349" s="258" t="str">
        <f>IFERROR(IF(AND(COUNT(H122)=1,(H15)&lt;&gt;0),(H122)/(H15),""),"")</f>
        <v/>
      </c>
      <c r="I349" s="257" t="str">
        <f>""</f>
        <v/>
      </c>
      <c r="J349" s="257" t="str">
        <f>""</f>
        <v/>
      </c>
      <c r="K349" s="257" t="str">
        <f>""</f>
        <v/>
      </c>
      <c r="L349" s="257">
        <f>IFERROR(IF(AND(COUNT(I122,J122,K122,L122)=4,(I15+J15+K15+L15)&lt;&gt;0),(I122+J122+K122+L122)/(I15+J15+K15+L15),""),"")</f>
        <v>-0.0878618793465955</v>
      </c>
      <c r="M349" s="258">
        <f>IFERROR(IF(AND(COUNT(I122,J122,K122,L122)=4,(I15+J15+K15+L15)&lt;&gt;0),(I122+J122+K122+L122)/(I15+J15+K15+L15),""),"")</f>
        <v>-0.0878618793465955</v>
      </c>
      <c r="N349" s="257">
        <f>IFERROR(IF(AND(COUNT(J122,K122,L122,N122)=4,(J15+K15+L15+N15)&lt;&gt;0),(J122+K122+L122+N122)/(J15+K15+L15+N15),""),"")</f>
        <v>-0.0695272206303725</v>
      </c>
      <c r="O349" s="257">
        <f>IFERROR(IF(AND(COUNT(K122,L122,N122,O122)=4,(K15+L15+N15+O15)&lt;&gt;0),(K122+L122+N122+O122)/(K15+L15+N15+O15),""),"")</f>
        <v>-0.0701038462709748</v>
      </c>
      <c r="P349" s="257">
        <f>IFERROR(IF(AND(COUNT(L122,N122,O122,P122)=4,(L15+N15+O15+P15)&lt;&gt;0),(L122+N122+O122+P122)/(L15+N15+O15+P15),""),"")</f>
        <v>-0.0925700365408039</v>
      </c>
      <c r="Q349" s="257">
        <f>IFERROR(IF(AND(COUNT(N122,O122,P122,Q122)=4,(N15+O15+P15+Q15)&lt;&gt;0),(N122+O122+P122+Q122)/(N15+O15+P15+Q15),""),"")</f>
        <v>0.00585197934595525</v>
      </c>
      <c r="R349" s="258">
        <f>IFERROR(IF(AND(COUNT(N122,O122,P122,Q122)=4,(N15+O15+P15+Q15)&lt;&gt;0),(N122+O122+P122+Q122)/(N15+O15+P15+Q15),""),"")</f>
        <v>0.00585197934595525</v>
      </c>
      <c r="S349" s="257">
        <f>IFERROR(IF(AND(COUNT(O122,P122,Q122,S122)=4,(O15+P15+Q15+S15)&lt;&gt;0),(O122+P122+Q122+S122)/(O15+P15+Q15+S15),""),"")</f>
        <v>0.168678770582603</v>
      </c>
      <c r="T349" s="257">
        <f>IFERROR(IF(AND(COUNT(P122,Q122,S122,T122)=4,(P15+Q15+S15+T15)&lt;&gt;0),(P122+Q122+S122+T122)/(P15+Q15+S15+T15),""),"")</f>
        <v>0.20670717701351</v>
      </c>
      <c r="U349" s="257">
        <f>IFERROR(IF(AND(COUNT(Q122,S122,T122,U122)=4,(Q15+S15+T15+U15)&lt;&gt;0),(Q122+S122+T122+U122)/(Q15+S15+T15+U15),""),"")</f>
        <v>0.236183609934224</v>
      </c>
      <c r="V349" s="257">
        <f>IFERROR(IF(AND(COUNT(S122,T122,U122,V122)=4,(S15+T15+U15+V15)&lt;&gt;0),(S122+T122+U122+V122)/(S15+T15+U15+V15),""),"")</f>
        <v>0.268239554159948</v>
      </c>
      <c r="W349" s="258">
        <f>IFERROR(IF(AND(COUNT(S122,T122,U122,V122)=4,(S15+T15+U15+V15)&lt;&gt;0),(S122+T122+U122+V122)/(S15+T15+U15+V15),""),"")</f>
        <v>0.268239554159948</v>
      </c>
      <c r="X349" s="257">
        <f>IFERROR(IF(AND(COUNT(T122,U122,V122,X122)=4,(T15+U15+V15+X15)&lt;&gt;0),(T122+U122+V122+X122)/(T15+U15+V15+X15),""),"")</f>
        <v>0.0963310299440606</v>
      </c>
      <c r="Y349" s="257">
        <f>IFERROR(IF(AND(COUNT(U122,V122,X122,Y122)=4,(U15+V15+X15+Y15)&lt;&gt;0),(U122+V122+X122+Y122)/(U15+V15+X15+Y15),""),"")</f>
        <v>0.128942864129106</v>
      </c>
      <c r="Z349" s="257">
        <f>IFERROR(IF(AND(COUNT(V122,X122,Y122,Z122)=4,(V15+X15+Y15+Z15)&lt;&gt;0),(V122+X122+Y122+Z122)/(V15+X15+Y15+Z15),""),"")</f>
        <v>0.167242348783035</v>
      </c>
      <c r="AA349" s="257">
        <f>IFERROR(IF(AND(COUNT(X122,Y122,Z122,AA122)=4,(X15+Y15+Z15+AA15)&lt;&gt;0),(X122+Y122+Z122+AA122)/(X15+Y15+Z15+AA15),""),"")</f>
        <v>0.169392553548821</v>
      </c>
      <c r="AB349" s="258">
        <f>IFERROR(IF(AND(COUNT(X122,Y122,Z122,AA122)=4,(X15+Y15+Z15+AA15)&lt;&gt;0),(X122+Y122+Z122+AA122)/(X15+Y15+Z15+AA15),""),"")</f>
        <v>0.169392553548821</v>
      </c>
      <c r="AC349" s="257">
        <f>IFERROR(IF(AND(COUNT(Y122,Z122,AA122,AC122)=4,(Y15+Z15+AA15+AC15)&lt;&gt;0),(Y122+Z122+AA122+AC122)/(Y15+Z15+AA15+AC15),""),"")</f>
        <v>0.176271955245319</v>
      </c>
      <c r="AD349" s="257">
        <f>IFERROR(IF(AND(COUNT(Z122,AA122,AC122,AD122)=4,(Z15+AA15+AC15+AD15)&lt;&gt;0),(Z122+AA122+AC122+AD122)/(Z15+AA15+AC15+AD15),""),"")</f>
        <v>0.186412573296165</v>
      </c>
      <c r="AE349" s="257">
        <f>IFERROR(IF(AND(COUNT(AA122,AC122,AD122,AE122)=4,(AA15+AC15+AD15+AE15)&lt;&gt;0),(AA122+AC122+AD122+AE122)/(AA15+AC15+AD15+AE15),""),"")</f>
        <v>0.183431548770221</v>
      </c>
      <c r="AF349" s="257">
        <f>IFERROR(IF(AND(COUNT(AB122,AD122,AE122,AF122)=4,(AB15+AD15+AE15+AF15)&lt;&gt;0),(AB122+AD122+AE122+AF122)/(AB15+AD15+AE15+AF15),""),"")</f>
        <v>0.177985634648371</v>
      </c>
      <c r="AG349" s="258">
        <f>IFERROR(IF(AND(COUNT(AC122,AD122,AE122,AF122)=4,(AC15+AD15+AE15+AF15)&lt;&gt;0),(AC122+AD122+AE122+AF122)/(AC15+AD15+AE15+AF15),""),"")</f>
        <v>0.189811584089323</v>
      </c>
      <c r="AH349" s="257">
        <f>IFERROR(IF(AND(COUNT(AD122,AF122,AG122,AH122)=4,(AD15+AF15+AG15+AH15)&lt;&gt;0),(AD122+AF122+AG122+AH122)/(AD15+AF15+AG15+AH15),""),"")</f>
        <v>0.18511245548129</v>
      </c>
      <c r="AI349" s="257">
        <f>IFERROR(IF(AND(COUNT(AE122,AG122,AH122,AI122)=4,(AE15+AG15+AH15+AI15)&lt;&gt;0),(AE122+AG122+AH122+AI122)/(AE15+AG15+AH15+AI15),""),"")</f>
        <v>0.180656019480054</v>
      </c>
      <c r="AJ349" s="257">
        <f>IFERROR(IF(AND(COUNT(AF122,AH122,AI122,AJ122)=4,(AF15+AH15+AI15+AJ15)&lt;&gt;0),(AF122+AH122+AI122+AJ122)/(AF15+AH15+AI15+AJ15),""),"")</f>
        <v>0.182588995308407</v>
      </c>
      <c r="AK349" s="257">
        <f>IFERROR(IF(AND(COUNT(AH122,AI122,AJ122,AK122)=4,(AH15+AI15+AJ15+AK15)&lt;&gt;0),(AH122+AI122+AJ122+AK122)/(AH15+AI15+AJ15+AK15),""),"")</f>
        <v>0.182536844082963</v>
      </c>
      <c r="AL349" s="258">
        <f>IFERROR(IF(AND(COUNT(AH122,AI122,AJ122,AK122)=4,(AH15+AI15+AJ15+AK15)&lt;&gt;0),(AH122+AI122+AJ122+AK122)/(AH15+AI15+AJ15+AK15),""),"")</f>
        <v>0.182536844082963</v>
      </c>
      <c r="AM349" s="257">
        <f>IFERROR(IF(AND(COUNT(AI122,AJ122,AK122,AM122)=4,(AI15+AJ15+AK15+AM15)&lt;&gt;0),(AI122+AJ122+AK122+AM122)/(AI15+AJ15+AK15+AM15),""),"")</f>
        <v>0.192343673578886</v>
      </c>
      <c r="AN349" s="257">
        <f>IFERROR(IF(AND(COUNT(AJ122,AK122,AM122,AN122)=4,(AJ15+AK15+AM15+AN15)&lt;&gt;0),(AJ122+AK122+AM122+AN122)/(AJ15+AK15+AM15+AN15),""),"")</f>
        <v>0.196763270388857</v>
      </c>
      <c r="AO349" s="257">
        <f>IFERROR(IF(AND(COUNT(AK122,AM122,AN122,AO122)=4,(AK15+AM15+AN15+AO15)&lt;&gt;0),(AK122+AM122+AN122+AO122)/(AK15+AM15+AN15+AO15),""),"")</f>
        <v>0.196763270388857</v>
      </c>
      <c r="AP349" s="257">
        <f>IFERROR(IF(AND(COUNT(AM122,AN122,AO122,AP122)=4,(AM15+AN15+AO15+AP15)&lt;&gt;0),(AM122+AN122+AO122+AP122)/(AM15+AN15+AO15+AP15),""),"")</f>
        <v>0.196763270388857</v>
      </c>
      <c r="AQ349" s="258">
        <f>IFERROR(IF(AND(COUNT(AM122,AN122,AO122,AP122)=4,(AM15+AN15+AO15+AP15)&lt;&gt;0),(AM122+AN122+AO122+AP122)/(AM15+AN15+AO15+AP15),""),"")</f>
        <v>0.196763270388857</v>
      </c>
      <c r="AR349" s="257">
        <f>IFERROR(IF(AND(COUNT(AN122,AO122,AP122,AR122)=4,(AN15+AO15+AP15+AR15)&lt;&gt;0),(AN122+AO122+AP122+AR122)/(AN15+AO15+AP15+AR15),""),"")</f>
        <v>0.196763270388857</v>
      </c>
      <c r="AS349" s="257">
        <f>IFERROR(IF(AND(COUNT(AO122,AP122,AR122,AS122)=4,(AO15+AP15+AR15+AS15)&lt;&gt;0),(AO122+AP122+AR122+AS122)/(AO15+AP15+AR15+AS15),""),"")</f>
        <v>0.196763270388857</v>
      </c>
      <c r="AT349" s="257">
        <f>IFERROR(IF(AND(COUNT(AP122,AR122,AS122,AT122)=4,(AP15+AR15+AS15+AT15)&lt;&gt;0),(AP122+AR122+AS122+AT122)/(AP15+AR15+AS15+AT15),""),"")</f>
        <v>0.196763270388857</v>
      </c>
      <c r="AU349" s="257">
        <f>IFERROR(IF(AND(COUNT(AR122,AS122,AT122,AU122)=4,(AR15+AS15+AT15+AU15)&lt;&gt;0),(AR122+AS122+AT122+AU122)/(AR15+AS15+AT15+AU15),""),"")</f>
        <v>0.196763270388857</v>
      </c>
      <c r="AV349" s="258">
        <f>IFERROR(IF(AND(COUNT(AR122,AS122,AT122,AU122)=4,(AR15+AS15+AT15+AU15)&lt;&gt;0),(AR122+AS122+AT122+AU122)/(AR15+AS15+AT15+AU15),""),"")</f>
        <v>0.196763270388857</v>
      </c>
      <c r="AW349" s="257">
        <f>IFERROR(IF(AND(COUNT(AS122,AT122,AU122,AW122)=4,(AS15+AT15+AU15+AW15)&lt;&gt;0),(AS122+AT122+AU122+AW122)/(AS15+AT15+AU15+AW15),""),"")</f>
        <v>0.196763270388857</v>
      </c>
      <c r="AX349" s="257">
        <f>IFERROR(IF(AND(COUNT(AT122,AU122,AW122,AX122)=4,(AT15+AU15+AW15+AX15)&lt;&gt;0),(AT122+AU122+AW122+AX122)/(AT15+AU15+AW15+AX15),""),"")</f>
        <v>0.196763270388857</v>
      </c>
      <c r="AY349" s="257">
        <f>IFERROR(IF(AND(COUNT(AU122,AW122,AX122,AY122)=4,(AU15+AW15+AX15+AY15)&lt;&gt;0),(AU122+AW122+AX122+AY122)/(AU15+AW15+AX15+AY15),""),"")</f>
        <v>0.196763270388857</v>
      </c>
      <c r="AZ349" s="257">
        <f>IFERROR(IF(AND(COUNT(AW122,AX122,AY122,AZ122)=4,(AW15+AX15+AY15+AZ15)&lt;&gt;0),(AW122+AX122+AY122+AZ122)/(AW15+AX15+AY15+AZ15),""),"")</f>
        <v>0.196763270388857</v>
      </c>
      <c r="BA349" s="258">
        <f>IFERROR(IF(AND(COUNT(AW122,AX122,AY122,AZ122)=4,(AW15+AX15+AY15+AZ15)&lt;&gt;0),(AW122+AX122+AY122+AZ122)/(AW15+AX15+AY15+AZ15),""),"")</f>
        <v>0.196763270388857</v>
      </c>
      <c r="BB349" s="257">
        <f>IFERROR(IF(AND(COUNT(AX122,AY122,AZ122,BB122)=4,(AX15+AY15+AZ15+BB15)&lt;&gt;0),(AX122+AY122+AZ122+BB122)/(AX15+AY15+AZ15+BB15),""),"")</f>
        <v>0.196763270388857</v>
      </c>
      <c r="BC349" s="257">
        <f>IFERROR(IF(AND(COUNT(AY122,AZ122,BB122,BC122)=4,(AY15+AZ15+BB15+BC15)&lt;&gt;0),(AY122+AZ122+BB122+BC122)/(AY15+AZ15+BB15+BC15),""),"")</f>
        <v>0.196763270388857</v>
      </c>
      <c r="BD349" s="257">
        <f>IFERROR(IF(AND(COUNT(AZ122,BB122,BC122,BD122)=4,(AZ15+BB15+BC15+BD15)&lt;&gt;0),(AZ122+BB122+BC122+BD122)/(AZ15+BB15+BC15+BD15),""),"")</f>
        <v>0.196763270388857</v>
      </c>
      <c r="BE349" s="257">
        <f>IFERROR(IF(AND(COUNT(BB122,BC122,BD122,BE122)=4,(BB15+BC15+BD15+BE15)&lt;&gt;0),(BB122+BC122+BD122+BE122)/(BB15+BC15+BD15+BE15),""),"")</f>
        <v>0.196763270388857</v>
      </c>
      <c r="BF349" s="258">
        <f>IFERROR(IF(AND(COUNT(BB122,BC122,BD122,BE122)=4,(BB15+BC15+BD15+BE15)&lt;&gt;0),(BB122+BC122+BD122+BE122)/(BB15+BC15+BD15+BE15),""),"")</f>
        <v>0.196763270388857</v>
      </c>
      <c r="BG349" s="81" t="n"/>
      <c r="BH349" s="81" t="n"/>
      <c r="BI349" s="81" t="n"/>
      <c r="BJ349" s="81" t="n"/>
      <c r="BL349" s="81" t="n"/>
      <c r="BM349" s="81" t="n"/>
      <c r="BN349" s="81" t="n"/>
      <c r="BO349" s="81" t="n"/>
      <c r="BQ349" s="81" t="n"/>
      <c r="BR349" s="81" t="n"/>
      <c r="BS349" s="81" t="n"/>
      <c r="BT349" s="81" t="n"/>
      <c r="BV349" s="81" t="n"/>
      <c r="BW349" s="81" t="n"/>
      <c r="BX349" s="81" t="n"/>
      <c r="BY349" s="81" t="n"/>
      <c r="CA349" s="81" t="n"/>
      <c r="CB349" s="81" t="n"/>
      <c r="CC349" s="81" t="n"/>
      <c r="CD349" s="81" t="n"/>
      <c r="CF349" s="81" t="n"/>
      <c r="CG349" s="81" t="n"/>
      <c r="CH349" s="81" t="n"/>
      <c r="CI349" s="81" t="n"/>
      <c r="CK349" s="81" t="n"/>
      <c r="CL349" s="81" t="n"/>
      <c r="CM349" s="81" t="n"/>
      <c r="CN349" s="81" t="n"/>
      <c r="CP349" s="81" t="n"/>
      <c r="CQ349" s="81" t="n"/>
      <c r="CR349" s="81" t="n"/>
      <c r="CS349" s="81" t="n"/>
      <c r="CU349" s="81" t="n"/>
      <c r="CV349" s="81" t="n"/>
      <c r="CW349" s="81" t="n"/>
      <c r="CX349" s="81" t="n"/>
    </row>
    <row r="350" customFormat="1" s="77">
      <c r="A350" s="76" t="n"/>
      <c r="B350" s="76" t="n"/>
      <c r="C350" s="77" t="inlineStr">
        <is>
          <t>ASSET TURNOVER (LTM REVENUE / ASSETS)</t>
        </is>
      </c>
      <c r="D350" s="84" t="str">
        <f>IFERROR(D15/D182,"")</f>
        <v/>
      </c>
      <c r="E350" s="84" t="str">
        <f>IFERROR(E15/E182,"")</f>
        <v/>
      </c>
      <c r="F350" s="84" t="str">
        <f>IFERROR(F15/F182,"")</f>
        <v/>
      </c>
      <c r="G350" s="84" t="str">
        <f>IFERROR(G15/G182,"")</f>
        <v/>
      </c>
      <c r="H350" s="262" t="str">
        <f>IFERROR(IF(AND(COUNT(H15)=1,N(H182)&lt;&gt;0),(H15)/H182,""),"")</f>
        <v/>
      </c>
      <c r="I350" s="264" t="str">
        <f>""</f>
        <v/>
      </c>
      <c r="J350" s="264" t="str">
        <f>""</f>
        <v/>
      </c>
      <c r="K350" s="264" t="str">
        <f>""</f>
        <v/>
      </c>
      <c r="L350" s="264">
        <f>IFERROR(IF(AND(COUNT(I15,J15,K15,L15)=4,N(L182)&lt;&gt;0),(I15+J15+K15+L15)/L182,""),"")</f>
        <v>0.37308044289349</v>
      </c>
      <c r="M350" s="262">
        <f>IFERROR(IF(AND(COUNT(I15,J15,K15,L15)=4,N(M182)&lt;&gt;0),(I15+J15+K15+L15)/M182,""),"")</f>
        <v>0.37308044289349</v>
      </c>
      <c r="N350" s="264">
        <f>IFERROR(IF(AND(COUNT(J15,K15,L15,N15)=4,N(N182)&lt;&gt;0),(J15+K15+L15+N15)/N182,""),"")</f>
        <v>0.3636155260704</v>
      </c>
      <c r="O350" s="264">
        <f>IFERROR(IF(AND(COUNT(K15,L15,N15,O15)=4,N(O182)&lt;&gt;0),(K15+L15+N15+O15)/O182,""),"")</f>
        <v>0.353961409938558</v>
      </c>
      <c r="P350" s="264">
        <f>IFERROR(IF(AND(COUNT(L15,N15,O15,P15)=4,N(P182)&lt;&gt;0),(L15+N15+O15+P15)/P182,""),"")</f>
        <v>0.340424708503569</v>
      </c>
      <c r="Q350" s="264">
        <f>IFERROR(IF(AND(COUNT(N15,O15,P15,Q15)=4,N(Q182)&lt;&gt;0),(N15+O15+P15+Q15)/Q182,""),"")</f>
        <v>0.309391441412657</v>
      </c>
      <c r="R350" s="262">
        <f>IFERROR(IF(AND(COUNT(N15,O15,P15,Q15)=4,N(R182)&lt;&gt;0),(N15+O15+P15+Q15)/R182,""),"")</f>
        <v>0.309391441412657</v>
      </c>
      <c r="S350" s="264">
        <f>IFERROR(IF(AND(COUNT(O15,P15,Q15,S15)=4,N(S182)&lt;&gt;0),(O15+P15+Q15+S15)/S182,""),"")</f>
        <v>0.323830196021207</v>
      </c>
      <c r="T350" s="264">
        <f>IFERROR(IF(AND(COUNT(P15,Q15,S15,T15)=4,N(T182)&lt;&gt;0),(P15+Q15+S15+T15)/T182,""),"")</f>
        <v>0.293786731776744</v>
      </c>
      <c r="U350" s="264">
        <f>IFERROR(IF(AND(COUNT(Q15,S15,T15,U15)=4,N(U182)&lt;&gt;0),(Q15+S15+T15+U15)/U182,""),"")</f>
        <v>0.272695356882971</v>
      </c>
      <c r="V350" s="264">
        <f>IFERROR(IF(AND(COUNT(S15,T15,U15,V15)=4,N(V182)&lt;&gt;0),(S15+T15+U15+V15)/V182,""),"")</f>
        <v>0.216805176485019</v>
      </c>
      <c r="W350" s="262">
        <f>IFERROR(IF(AND(COUNT(S15,T15,U15,V15)=4,N(W182)&lt;&gt;0),(S15+T15+U15+V15)/W182,""),"")</f>
        <v>0.216805176485019</v>
      </c>
      <c r="X350" s="264">
        <f>IFERROR(IF(AND(COUNT(T15,U15,V15,X15)=4,N(X182)&lt;&gt;0),(T15+U15+V15+X15)/X182,""),"")</f>
        <v>0.222444523063035</v>
      </c>
      <c r="Y350" s="264">
        <f>IFERROR(IF(AND(COUNT(U15,V15,X15,Y15)=4,N(Y182)&lt;&gt;0),(U15+V15+X15+Y15)/Y182,""),"")</f>
        <v>0.298782368698758</v>
      </c>
      <c r="Z350" s="264">
        <f>IFERROR(IF(AND(COUNT(V15,X15,Y15,Z15)=4,N(Z182)&lt;&gt;0),(V15+X15+Y15+Z15)/Z182,""),"")</f>
        <v>0.294771819602519</v>
      </c>
      <c r="AA350" s="264">
        <f>IFERROR(IF(AND(COUNT(X15,Y15,Z15,AA15)=4,N(AA182)&lt;&gt;0),(X15+Y15+Z15+AA15)/AA182,""),"")</f>
        <v>0.314300795842131</v>
      </c>
      <c r="AB350" s="262">
        <f>IFERROR(IF(AND(COUNT(X15,Y15,Z15,AA15)=4,N(AB182)&lt;&gt;0),(X15+Y15+Z15+AA15)/AB182,""),"")</f>
        <v>0.314300795842131</v>
      </c>
      <c r="AC350" s="264">
        <f>IFERROR(IF(AND(COUNT(Y15,Z15,AA15,AC15)=4,N(AC182)&lt;&gt;0),(Y15+Z15+AA15+AC15)/AC182,""),"")</f>
        <v>0.319707064766401</v>
      </c>
      <c r="AD350" s="264">
        <f>IFERROR(IF(AND(COUNT(Z15,AA15,AC15,AD15)=4,N(AD182)&lt;&gt;0),(Z15+AA15+AC15+AD15)/AD182,""),"")</f>
        <v>0.332215622405314</v>
      </c>
      <c r="AE350" s="264">
        <f>IFERROR(IF(AND(COUNT(AA15,AC15,AD15,AE15)=4,N(AE182)&lt;&gt;0),(AA15+AC15+AD15+AE15)/AE182,""),"")</f>
        <v>0.342716561527725</v>
      </c>
      <c r="AF350" s="264">
        <f>IFERROR(IF(AND(COUNT(AB15,AD15,AE15,AF15)=4,N(AF182)&lt;&gt;0),(AB15+AD15+AE15+AF15)/AF182,""),"")</f>
        <v>0.573285498083261</v>
      </c>
      <c r="AG350" s="262">
        <f>IFERROR(IF(AND(COUNT(AC15,AD15,AE15,AF15)=4,N(AG182)&lt;&gt;0),(AC15+AD15+AE15+AF15)/AG182,""),"")</f>
        <v>0.352280496892501</v>
      </c>
      <c r="AH350" s="264">
        <f>IFERROR(IF(AND(COUNT(AD15,AF15,AG15,AH15)=4,N(AH182)&lt;&gt;0),(AD15+AF15+AG15+AH15)/AH182,""),"")</f>
        <v>0.638312118027171</v>
      </c>
      <c r="AI350" s="264">
        <f>IFERROR(IF(AND(COUNT(AE15,AG15,AH15,AI15)=4,N(AI182)&lt;&gt;0),(AE15+AG15+AH15+AI15)/AI182,""),"")</f>
        <v>0.656197130145999</v>
      </c>
      <c r="AJ350" s="264">
        <f>IFERROR(IF(AND(COUNT(AF15,AH15,AI15,AJ15)=4,N(AJ182)&lt;&gt;0),(AF15+AH15+AI15+AJ15)/AJ182,""),"")</f>
        <v>0.402866851970382</v>
      </c>
      <c r="AK350" s="264">
        <f>IFERROR(IF(AND(COUNT(AH15,AI15,AJ15,AK15)=4,N(AK182)&lt;&gt;0),(AH15+AI15+AJ15+AK15)/AK182,""),"")</f>
        <v>0.411066682473532</v>
      </c>
      <c r="AL350" s="262">
        <f>IFERROR(IF(AND(COUNT(AH15,AI15,AJ15,AK15)=4,N(AL182)&lt;&gt;0),(AH15+AI15+AJ15+AK15)/AL182,""),"")</f>
        <v>0.411066682473532</v>
      </c>
      <c r="AM350" s="264">
        <f>IFERROR(IF(AND(COUNT(AI15,AJ15,AK15,AM15)=4,N(AM182)&lt;&gt;0),(AI15+AJ15+AK15+AM15)/AM182,""),"")</f>
        <v>0.42036188178925</v>
      </c>
      <c r="AN350" s="264">
        <f>IFERROR(IF(AND(COUNT(AJ15,AK15,AM15,AN15)=4,N(AN182)&lt;&gt;0),(AJ15+AK15+AM15+AN15)/AN182,""),"")</f>
        <v>0.427325319843948</v>
      </c>
      <c r="AO350" s="264">
        <f>IFERROR(IF(AND(COUNT(AK15,AM15,AN15,AO15)=4,N(AO182)&lt;&gt;0),(AK15+AM15+AN15+AO15)/AO182,""),"")</f>
        <v>0.433920920135282</v>
      </c>
      <c r="AP350" s="264">
        <f>IFERROR(IF(AND(COUNT(AM15,AN15,AO15,AP15)=4,N(AP182)&lt;&gt;0),(AM15+AN15+AO15+AP15)/AP182,""),"")</f>
        <v>0.441864390674349</v>
      </c>
      <c r="AQ350" s="262">
        <f>IFERROR(IF(AND(COUNT(AM15,AN15,AO15,AP15)=4,N(AQ182)&lt;&gt;0),(AM15+AN15+AO15+AP15)/AQ182,""),"")</f>
        <v>0.441864390674349</v>
      </c>
      <c r="AR350" s="264">
        <f>IFERROR(IF(AND(COUNT(AN15,AO15,AP15,AR15)=4,N(AR182)&lt;&gt;0),(AN15+AO15+AP15+AR15)/AR182,""),"")</f>
        <v>0.451374685848028</v>
      </c>
      <c r="AS350" s="264">
        <f>IFERROR(IF(AND(COUNT(AO15,AP15,AR15,AS15)=4,N(AS182)&lt;&gt;0),(AO15+AP15+AR15+AS15)/AS182,""),"")</f>
        <v>0.456998393532788</v>
      </c>
      <c r="AT350" s="264">
        <f>IFERROR(IF(AND(COUNT(AP15,AR15,AS15,AT15)=4,N(AT182)&lt;&gt;0),(AP15+AR15+AS15+AT15)/AT182,""),"")</f>
        <v>0.462600755670154</v>
      </c>
      <c r="AU350" s="264">
        <f>IFERROR(IF(AND(COUNT(AR15,AS15,AT15,AU15)=4,N(AU182)&lt;&gt;0),(AR15+AS15+AT15+AU15)/AU182,""),"")</f>
        <v>0.469740499409541</v>
      </c>
      <c r="AV350" s="262">
        <f>IFERROR(IF(AND(COUNT(AR15,AS15,AT15,AU15)=4,N(AV182)&lt;&gt;0),(AR15+AS15+AT15+AU15)/AV182,""),"")</f>
        <v>0.469740499409541</v>
      </c>
      <c r="AW350" s="264">
        <f>IFERROR(IF(AND(COUNT(AS15,AT15,AU15,AW15)=4,N(AW182)&lt;&gt;0),(AS15+AT15+AU15+AW15)/AW182,""),"")</f>
        <v>0.478424014515944</v>
      </c>
      <c r="AX350" s="264">
        <f>IFERROR(IF(AND(COUNT(AT15,AU15,AW15,AX15)=4,N(AX182)&lt;&gt;0),(AT15+AU15+AW15+AX15)/AX182,""),"")</f>
        <v>0.4835550293271</v>
      </c>
      <c r="AY350" s="264">
        <f>IFERROR(IF(AND(COUNT(AU15,AW15,AX15,AY15)=4,N(AY182)&lt;&gt;0),(AU15+AW15+AX15+AY15)/AY182,""),"")</f>
        <v>0.488065226813314</v>
      </c>
      <c r="AZ350" s="264">
        <f>IFERROR(IF(AND(COUNT(AW15,AX15,AY15,AZ15)=4,N(AZ182)&lt;&gt;0),(AW15+AX15+AY15+AZ15)/AZ182,""),"")</f>
        <v>0.494302071371335</v>
      </c>
      <c r="BA350" s="262">
        <f>IFERROR(IF(AND(COUNT(AW15,AX15,AY15,AZ15)=4,N(BA182)&lt;&gt;0),(AW15+AX15+AY15+AZ15)/BA182,""),"")</f>
        <v>0.494302071371335</v>
      </c>
      <c r="BB350" s="264">
        <f>IFERROR(IF(AND(COUNT(AX15,AY15,AZ15,BB15)=4,N(BB182)&lt;&gt;0),(AX15+AY15+AZ15+BB15)/BB182,""),"")</f>
        <v>0.502585555582745</v>
      </c>
      <c r="BC350" s="264">
        <f>IFERROR(IF(AND(COUNT(AY15,AZ15,BB15,BC15)=4,N(BC182)&lt;&gt;0),(AY15+AZ15+BB15+BC15)/BC182,""),"")</f>
        <v>0.506684893688849</v>
      </c>
      <c r="BD350" s="264">
        <f>IFERROR(IF(AND(COUNT(AZ15,BB15,BC15,BD15)=4,N(BD182)&lt;&gt;0),(AZ15+BB15+BC15+BD15)/BD182,""),"")</f>
        <v>0.510057680089828</v>
      </c>
      <c r="BE350" s="264">
        <f>IFERROR(IF(AND(COUNT(BB15,BC15,BD15,BE15)=4,N(BE182)&lt;&gt;0),(BB15+BC15+BD15+BE15)/BE182,""),"")</f>
        <v>0.515338754120202</v>
      </c>
      <c r="BF350" s="262">
        <f>IFERROR(IF(AND(COUNT(BB15,BC15,BD15,BE15)=4,N(BF182)&lt;&gt;0),(BB15+BC15+BD15+BE15)/BF182,""),"")</f>
        <v>0.515338754120202</v>
      </c>
      <c r="BG350" s="81" t="n"/>
      <c r="BH350" s="81" t="n"/>
      <c r="BI350" s="81" t="n"/>
      <c r="BJ350" s="81" t="n"/>
      <c r="BL350" s="81" t="n"/>
      <c r="BM350" s="81" t="n"/>
      <c r="BN350" s="81" t="n"/>
      <c r="BO350" s="81" t="n"/>
      <c r="BQ350" s="81" t="n"/>
      <c r="BR350" s="81" t="n"/>
      <c r="BS350" s="81" t="n"/>
      <c r="BT350" s="81" t="n"/>
      <c r="BV350" s="81" t="n"/>
      <c r="BW350" s="81" t="n"/>
      <c r="BX350" s="81" t="n"/>
      <c r="BY350" s="81" t="n"/>
      <c r="CA350" s="81" t="n"/>
      <c r="CB350" s="81" t="n"/>
      <c r="CC350" s="81" t="n"/>
      <c r="CD350" s="81" t="n"/>
      <c r="CF350" s="81" t="n"/>
      <c r="CG350" s="81" t="n"/>
      <c r="CH350" s="81" t="n"/>
      <c r="CI350" s="81" t="n"/>
      <c r="CK350" s="81" t="n"/>
      <c r="CL350" s="81" t="n"/>
      <c r="CM350" s="81" t="n"/>
      <c r="CN350" s="81" t="n"/>
      <c r="CP350" s="81" t="n"/>
      <c r="CQ350" s="81" t="n"/>
      <c r="CR350" s="81" t="n"/>
      <c r="CS350" s="81" t="n"/>
      <c r="CU350" s="81" t="n"/>
      <c r="CV350" s="81" t="n"/>
      <c r="CW350" s="81" t="n"/>
      <c r="CX350" s="81" t="n"/>
    </row>
    <row r="351" customFormat="1" s="77">
      <c r="A351" s="76" t="n"/>
      <c r="B351" s="76" t="n"/>
      <c r="C351" s="77" t="inlineStr">
        <is>
          <t>EQUITY MULTIPLIER (ASSETS / EQUITY)</t>
        </is>
      </c>
      <c r="D351" s="84" t="str">
        <f>IFERROR(D182/D256,"")</f>
        <v/>
      </c>
      <c r="E351" s="84" t="str">
        <f>IFERROR(E182/E256,"")</f>
        <v/>
      </c>
      <c r="F351" s="84" t="str">
        <f>IFERROR(F182/F256,"")</f>
        <v/>
      </c>
      <c r="G351" s="84" t="str">
        <f>IFERROR(G182/G256,"")</f>
        <v/>
      </c>
      <c r="H351" s="262" t="str">
        <f>IFERROR(IF(N(H256)&lt;&gt;0,H182/H256,""),"")</f>
        <v/>
      </c>
      <c r="I351" s="264">
        <f>IFERROR(IF(N(I256)&lt;&gt;0,I182/I256,""),"")</f>
        <v>6.97538908014909</v>
      </c>
      <c r="J351" s="264">
        <f>IFERROR(IF(N(J256)&lt;&gt;0,J182/J256,""),"")</f>
        <v>6.77926488214143</v>
      </c>
      <c r="K351" s="264">
        <f>IFERROR(IF(N(K256)&lt;&gt;0,K182/K256,""),"")</f>
        <v>6.08720094465551</v>
      </c>
      <c r="L351" s="264">
        <f>IFERROR(IF(N(L256)&lt;&gt;0,L182/L256,""),"")</f>
        <v>4.77982070324705</v>
      </c>
      <c r="M351" s="262">
        <f>IFERROR(IF(N(M256)&lt;&gt;0,M182/M256,""),"")</f>
        <v>4.77982070324705</v>
      </c>
      <c r="N351" s="264">
        <f>IFERROR(IF(N(N256)&lt;&gt;0,N182/N256,""),"")</f>
        <v>4.76578365897862</v>
      </c>
      <c r="O351" s="264">
        <f>IFERROR(IF(N(O256)&lt;&gt;0,O182/O256,""),"")</f>
        <v>5.16306767586821</v>
      </c>
      <c r="P351" s="264">
        <f>IFERROR(IF(N(P256)&lt;&gt;0,P182/P256,""),"")</f>
        <v>5.52329913277147</v>
      </c>
      <c r="Q351" s="264">
        <f>IFERROR(IF(N(Q256)&lt;&gt;0,Q182/Q256,""),"")</f>
        <v>4.99741863373872</v>
      </c>
      <c r="R351" s="262">
        <f>IFERROR(IF(N(R256)&lt;&gt;0,R182/R256,""),"")</f>
        <v>4.99741863373872</v>
      </c>
      <c r="S351" s="264">
        <f>IFERROR(IF(N(S256)&lt;&gt;0,S182/S256,""),"")</f>
        <v>5.01148724824035</v>
      </c>
      <c r="T351" s="264">
        <f>IFERROR(IF(N(T256)&lt;&gt;0,T182/T256,""),"")</f>
        <v>5.0363344250139</v>
      </c>
      <c r="U351" s="264">
        <f>IFERROR(IF(N(U256)&lt;&gt;0,U182/U256,""),"")</f>
        <v>5.25129889719438</v>
      </c>
      <c r="V351" s="264">
        <f>IFERROR(IF(N(V256)&lt;&gt;0,V182/V256,""),"")</f>
        <v>5.70486354093772</v>
      </c>
      <c r="W351" s="262">
        <f>IFERROR(IF(N(W256)&lt;&gt;0,W182/W256,""),"")</f>
        <v>5.70486354093772</v>
      </c>
      <c r="X351" s="264">
        <f>IFERROR(IF(N(X256)&lt;&gt;0,X182/X256,""),"")</f>
        <v>5.27076903292181</v>
      </c>
      <c r="Y351" s="264">
        <f>IFERROR(IF(N(Y256)&lt;&gt;0,Y182/Y256,""),"")</f>
        <v>6.53770631003556</v>
      </c>
      <c r="Z351" s="264">
        <f>IFERROR(IF(N(Z256)&lt;&gt;0,Z182/Z256,""),"")</f>
        <v>6.63236140920274</v>
      </c>
      <c r="AA351" s="264">
        <f>IFERROR(IF(N(AA256)&lt;&gt;0,AA182/AA256,""),"")</f>
        <v>6.29389215435727</v>
      </c>
      <c r="AB351" s="262">
        <f>IFERROR(IF(N(AB256)&lt;&gt;0,AB182/AB256,""),"")</f>
        <v>6.29389215435727</v>
      </c>
      <c r="AC351" s="264">
        <f>IFERROR(IF(N(AC256)&lt;&gt;0,AC182/AC256,""),"")</f>
        <v>6.37574481199918</v>
      </c>
      <c r="AD351" s="264">
        <f>IFERROR(IF(N(AD256)&lt;&gt;0,AD182/AD256,""),"")</f>
        <v>6.47485138278625</v>
      </c>
      <c r="AE351" s="264">
        <f>IFERROR(IF(N(AE256)&lt;&gt;0,AE182/AE256,""),"")</f>
        <v>6.74182525496793</v>
      </c>
      <c r="AF351" s="264">
        <f>IFERROR(IF(N(AF256)&lt;&gt;0,AF182/AF256,""),"")</f>
        <v>6.88761310122229</v>
      </c>
      <c r="AG351" s="262">
        <f>IFERROR(IF(N(AG256)&lt;&gt;0,AG182/AG256,""),"")</f>
        <v>6.88761310122229</v>
      </c>
      <c r="AH351" s="264">
        <f>IFERROR(IF(N(AH256)&lt;&gt;0,AH182/AH256,""),"")</f>
        <v>7.01961963056072</v>
      </c>
      <c r="AI351" s="264">
        <f>IFERROR(IF(N(AI256)&lt;&gt;0,AI182/AI256,""),"")</f>
        <v>7.14568758045559</v>
      </c>
      <c r="AJ351" s="264">
        <f>IFERROR(IF(N(AJ256)&lt;&gt;0,AJ182/AJ256,""),"")</f>
        <v>6.35044367297883</v>
      </c>
      <c r="AK351" s="264">
        <f>IFERROR(IF(N(AK256)&lt;&gt;0,AK182/AK256,""),"")</f>
        <v>5.69653819695173</v>
      </c>
      <c r="AL351" s="262">
        <f>IFERROR(IF(N(AL256)&lt;&gt;0,AL182/AL256,""),"")</f>
        <v>5.69653819695173</v>
      </c>
      <c r="AM351" s="264">
        <f>IFERROR(IF(N(AM256)&lt;&gt;0,AM182/AM256,""),"")</f>
        <v>5.17978744908893</v>
      </c>
      <c r="AN351" s="264">
        <f>IFERROR(IF(N(AN256)&lt;&gt;0,AN182/AN256,""),"")</f>
        <v>4.76562232768057</v>
      </c>
      <c r="AO351" s="264">
        <f>IFERROR(IF(N(AO256)&lt;&gt;0,AO182/AO256,""),"")</f>
        <v>4.40834321166143</v>
      </c>
      <c r="AP351" s="264">
        <f>IFERROR(IF(N(AP256)&lt;&gt;0,AP182/AP256,""),"")</f>
        <v>4.09286457128096</v>
      </c>
      <c r="AQ351" s="262">
        <f>IFERROR(IF(N(AQ256)&lt;&gt;0,AQ182/AQ256,""),"")</f>
        <v>4.09286457128096</v>
      </c>
      <c r="AR351" s="264">
        <f>IFERROR(IF(N(AR256)&lt;&gt;0,AR182/AR256,""),"")</f>
        <v>3.81824445424339</v>
      </c>
      <c r="AS351" s="264">
        <f>IFERROR(IF(N(AS256)&lt;&gt;0,AS182/AS256,""),"")</f>
        <v>3.60377064685761</v>
      </c>
      <c r="AT351" s="264">
        <f>IFERROR(IF(N(AT256)&lt;&gt;0,AT182/AT256,""),"")</f>
        <v>3.40866456812506</v>
      </c>
      <c r="AU351" s="264">
        <f>IFERROR(IF(N(AU256)&lt;&gt;0,AU182/AU256,""),"")</f>
        <v>3.22606475154544</v>
      </c>
      <c r="AV351" s="262">
        <f>IFERROR(IF(N(AV256)&lt;&gt;0,AV182/AV256,""),"")</f>
        <v>3.22606475154544</v>
      </c>
      <c r="AW351" s="264">
        <f>IFERROR(IF(N(AW256)&lt;&gt;0,AW182/AW256,""),"")</f>
        <v>3.05917266115116</v>
      </c>
      <c r="AX351" s="264">
        <f>IFERROR(IF(N(AX256)&lt;&gt;0,AX182/AX256,""),"")</f>
        <v>2.92752670524872</v>
      </c>
      <c r="AY351" s="264">
        <f>IFERROR(IF(N(AY256)&lt;&gt;0,AY182/AY256,""),"")</f>
        <v>2.80820622697575</v>
      </c>
      <c r="AZ351" s="264">
        <f>IFERROR(IF(N(AZ256)&lt;&gt;0,AZ182/AZ256,""),"")</f>
        <v>2.69102903070441</v>
      </c>
      <c r="BA351" s="262">
        <f>IFERROR(IF(N(BA256)&lt;&gt;0,BA182/BA256,""),"")</f>
        <v>2.69102903070441</v>
      </c>
      <c r="BB351" s="264">
        <f>IFERROR(IF(N(BB256)&lt;&gt;0,BB182/BB256,""),"")</f>
        <v>2.5771858862772</v>
      </c>
      <c r="BC351" s="264">
        <f>IFERROR(IF(N(BC256)&lt;&gt;0,BC182/BC256,""),"")</f>
        <v>2.49140084779059</v>
      </c>
      <c r="BD351" s="264">
        <f>IFERROR(IF(N(BD256)&lt;&gt;0,BD182/BD256,""),"")</f>
        <v>2.41333200385616</v>
      </c>
      <c r="BE351" s="264">
        <f>IFERROR(IF(N(BE256)&lt;&gt;0,BE182/BE256,""),"")</f>
        <v>2.33304003099486</v>
      </c>
      <c r="BF351" s="262">
        <f>IFERROR(IF(N(BF256)&lt;&gt;0,BF182/BF256,""),"")</f>
        <v>2.33304003099486</v>
      </c>
      <c r="BG351" s="81" t="n"/>
      <c r="BH351" s="81" t="n"/>
      <c r="BI351" s="81" t="n"/>
      <c r="BJ351" s="81" t="n"/>
      <c r="BL351" s="81" t="n"/>
      <c r="BM351" s="81" t="n"/>
      <c r="BN351" s="81" t="n"/>
      <c r="BO351" s="81" t="n"/>
      <c r="BQ351" s="81" t="n"/>
      <c r="BR351" s="81" t="n"/>
      <c r="BS351" s="81" t="n"/>
      <c r="BT351" s="81" t="n"/>
      <c r="BV351" s="81" t="n"/>
      <c r="BW351" s="81" t="n"/>
      <c r="BX351" s="81" t="n"/>
      <c r="BY351" s="81" t="n"/>
      <c r="CA351" s="81" t="n"/>
      <c r="CB351" s="81" t="n"/>
      <c r="CC351" s="81" t="n"/>
      <c r="CD351" s="81" t="n"/>
      <c r="CF351" s="81" t="n"/>
      <c r="CG351" s="81" t="n"/>
      <c r="CH351" s="81" t="n"/>
      <c r="CI351" s="81" t="n"/>
      <c r="CK351" s="81" t="n"/>
      <c r="CL351" s="81" t="n"/>
      <c r="CM351" s="81" t="n"/>
      <c r="CN351" s="81" t="n"/>
      <c r="CP351" s="81" t="n"/>
      <c r="CQ351" s="81" t="n"/>
      <c r="CR351" s="81" t="n"/>
      <c r="CS351" s="81" t="n"/>
      <c r="CU351" s="81" t="n"/>
      <c r="CV351" s="81" t="n"/>
      <c r="CW351" s="81" t="n"/>
      <c r="CX351" s="81" t="n"/>
    </row>
    <row r="352" customFormat="1" s="77">
      <c r="A352" s="76" t="n"/>
      <c r="B352" s="76" t="n"/>
      <c r="C352" s="77" t="inlineStr">
        <is>
          <t>ROE - DUPONT</t>
        </is>
      </c>
      <c r="D352" s="84">
        <f>IFERROR(PRODUCT(D349:D351),"")</f>
        <v>0</v>
      </c>
      <c r="E352" s="84">
        <f>IFERROR(PRODUCT(E349:E351),"")</f>
        <v>0</v>
      </c>
      <c r="F352" s="84">
        <f>IFERROR(PRODUCT(F349:F351),"")</f>
        <v>0</v>
      </c>
      <c r="G352" s="84">
        <f>IFERROR(PRODUCT(G349:G351),"")</f>
        <v>0</v>
      </c>
      <c r="H352" s="258" t="str">
        <f>IFERROR(IF(COUNT(H349,H350,H351)=3,H349*H350*H351,""),"")</f>
        <v/>
      </c>
      <c r="I352" s="257" t="str">
        <f>IFERROR(IF(COUNT(I349,I350,I351)=3,I349*I350*I351,""),"")</f>
        <v/>
      </c>
      <c r="J352" s="257" t="str">
        <f>IFERROR(IF(COUNT(J349,J350,J351)=3,J349*J350*J351,""),"")</f>
        <v/>
      </c>
      <c r="K352" s="257" t="str">
        <f>IFERROR(IF(COUNT(K349,K350,K351)=3,K349*K350*K351,""),"")</f>
        <v/>
      </c>
      <c r="L352" s="257">
        <f>IFERROR(IF(COUNT(L349,L350,L351)=3,L349*L350*L351,""),"")</f>
        <v>-0.156680366284519</v>
      </c>
      <c r="M352" s="258">
        <f>IFERROR(IF(COUNT(M349,M350,M351)=3,M349*M350*M351,""),"")</f>
        <v>-0.156680366284519</v>
      </c>
      <c r="N352" s="257">
        <f>IFERROR(IF(COUNT(N349,N350,N351)=3,N349*N350*N351,""),"")</f>
        <v>-0.120484619777055</v>
      </c>
      <c r="O352" s="257">
        <f>IFERROR(IF(COUNT(O349,O350,O351)=3,O349*O350*O351,""),"")</f>
        <v>-0.128116651825468</v>
      </c>
      <c r="P352" s="257">
        <f>IFERROR(IF(COUNT(P349,P350,P351)=3,P349*P350*P351,""),"")</f>
        <v>-0.17405643092708</v>
      </c>
      <c r="Q352" s="257">
        <f>IFERROR(IF(COUNT(Q349,Q350,Q351)=3,Q349*Q350*Q351,""),"")</f>
        <v>0.00904808792612503</v>
      </c>
      <c r="R352" s="258">
        <f>IFERROR(IF(COUNT(R349,R350,R351)=3,R349*R350*R351,""),"")</f>
        <v>0.00904808792612503</v>
      </c>
      <c r="S352" s="257">
        <f>IFERROR(IF(COUNT(S349,S350,S351)=3,S349*S350*S351,""),"")</f>
        <v>0.27374386788141</v>
      </c>
      <c r="T352" s="257">
        <f>IFERROR(IF(COUNT(T349,T350,T351)=3,T349*T350*T351,""),"")</f>
        <v>0.305845640486931</v>
      </c>
      <c r="U352" s="257">
        <f>IFERROR(IF(COUNT(U349,U350,U351)=3,U349*U350*U351,""),"")</f>
        <v>0.33821606945329</v>
      </c>
      <c r="V352" s="257">
        <f>IFERROR(IF(COUNT(V349,V350,V351)=3,V349*V350*V351,""),"")</f>
        <v>0.331770468859342</v>
      </c>
      <c r="W352" s="258">
        <f>IFERROR(IF(COUNT(W349,W350,W351)=3,W349*W350*W351,""),"")</f>
        <v>0.331770468859342</v>
      </c>
      <c r="X352" s="257">
        <f>IFERROR(IF(COUNT(X349,X350,X351)=3,X349*X350*X351,""),"")</f>
        <v>0.112943672839506</v>
      </c>
      <c r="Y352" s="257">
        <f>IFERROR(IF(COUNT(Y349,Y350,Y351)=3,Y349*Y350*Y351,""),"")</f>
        <v>0.251870721222735</v>
      </c>
      <c r="Z352" s="257">
        <f>IFERROR(IF(COUNT(Z349,Z350,Z351)=3,Z349*Z350*Z351,""),"")</f>
        <v>0.326964351149034</v>
      </c>
      <c r="AA352" s="257">
        <f>IFERROR(IF(COUNT(AA349,AA350,AA351)=3,AA349*AA350*AA351,""),"")</f>
        <v>0.335088167646307</v>
      </c>
      <c r="AB352" s="258">
        <f>IFERROR(IF(COUNT(AB349,AB350,AB351)=3,AB349*AB350*AB351,""),"")</f>
        <v>0.335088167646307</v>
      </c>
      <c r="AC352" s="257">
        <f>IFERROR(IF(COUNT(AC349,AC350,AC351)=3,AC349*AC350*AC351,""),"")</f>
        <v>0.359307581672488</v>
      </c>
      <c r="AD352" s="257">
        <f>IFERROR(IF(COUNT(AD349,AD350,AD351)=3,AD349*AD350*AD351,""),"")</f>
        <v>0.40098216593435</v>
      </c>
      <c r="AE352" s="257">
        <f>IFERROR(IF(COUNT(AE349,AE350,AE351)=3,AE349*AE350*AE351,""),"")</f>
        <v>0.423825044685101</v>
      </c>
      <c r="AF352" s="257">
        <f>IFERROR(IF(COUNT(AF349,AF350,AF351)=3,AF349*AF350*AF351,""),"")</f>
        <v>0.70278850732843</v>
      </c>
      <c r="AG352" s="258">
        <f>IFERROR(IF(COUNT(AG349,AG350,AG351)=3,AG349*AG350*AG351,""),"")</f>
        <v>0.460553468437483</v>
      </c>
      <c r="AH352" s="257">
        <f>IFERROR(IF(COUNT(AH349,AH350,AH351)=3,AH349*AH350*AH351,""),"")</f>
        <v>0.829434910919226</v>
      </c>
      <c r="AI352" s="257">
        <f>IFERROR(IF(COUNT(AI349,AI350,AI351)=3,AI349*AI350*AI351,""),"")</f>
        <v>0.847092404992444</v>
      </c>
      <c r="AJ352" s="257">
        <f>IFERROR(IF(COUNT(AJ349,AJ350,AJ351)=3,AJ349*AJ350*AJ351,""),"")</f>
        <v>0.467132627441008</v>
      </c>
      <c r="AK352" s="257">
        <f>IFERROR(IF(COUNT(AK349,AK350,AK351)=3,AK349*AK350*AK351,""),"")</f>
        <v>0.42743868932928</v>
      </c>
      <c r="AL352" s="258">
        <f>IFERROR(IF(COUNT(AL349,AL350,AL351)=3,AL349*AL350*AL351,""),"")</f>
        <v>0.42743868932928</v>
      </c>
      <c r="AM352" s="257">
        <f>IFERROR(IF(COUNT(AM349,AM350,AM351)=3,AM349*AM350*AM351,""),"")</f>
        <v>0.418806268042613</v>
      </c>
      <c r="AN352" s="257">
        <f>IFERROR(IF(COUNT(AN349,AN350,AN351)=3,AN349*AN350*AN351,""),"")</f>
        <v>0.400702710821858</v>
      </c>
      <c r="AO352" s="257">
        <f>IFERROR(IF(COUNT(AO349,AO350,AO351)=3,AO349*AO350*AO351,""),"")</f>
        <v>0.376383017981373</v>
      </c>
      <c r="AP352" s="257">
        <f>IFERROR(IF(COUNT(AP349,AP350,AP351)=3,AP349*AP350*AP351,""),"")</f>
        <v>0.35584462525343</v>
      </c>
      <c r="AQ352" s="258">
        <f>IFERROR(IF(COUNT(AQ349,AQ350,AQ351)=3,AQ349*AQ350*AQ351,""),"")</f>
        <v>0.35584462525343</v>
      </c>
      <c r="AR352" s="257">
        <f>IFERROR(IF(COUNT(AR349,AR350,AR351)=3,AR349*AR350*AR351,""),"")</f>
        <v>0.339113407778848</v>
      </c>
      <c r="AS352" s="257">
        <f>IFERROR(IF(COUNT(AS349,AS350,AS351)=3,AS349*AS350*AS351,""),"")</f>
        <v>0.324052852951281</v>
      </c>
      <c r="AT352" s="257">
        <f>IFERROR(IF(COUNT(AT349,AT350,AT351)=3,AT349*AT350*AT351,""),"")</f>
        <v>0.310266321315116</v>
      </c>
      <c r="AU352" s="257">
        <f>IFERROR(IF(COUNT(AU349,AU350,AU351)=3,AU349*AU350*AU351,""),"")</f>
        <v>0.298177670507599</v>
      </c>
      <c r="AV352" s="258">
        <f>IFERROR(IF(COUNT(AV349,AV350,AV351)=3,AV349*AV350*AV351,""),"")</f>
        <v>0.298177670507599</v>
      </c>
      <c r="AW352" s="257">
        <f>IFERROR(IF(COUNT(AW349,AW350,AW351)=3,AW349*AW350*AW351,""),"")</f>
        <v>0.287979115013552</v>
      </c>
      <c r="AX352" s="257">
        <f>IFERROR(IF(COUNT(AX349,AX350,AX351)=3,AX349*AX350*AX351,""),"")</f>
        <v>0.27854207234294</v>
      </c>
      <c r="AY352" s="257">
        <f>IFERROR(IF(COUNT(AY349,AY350,AY351)=3,AY349*AY350*AY351,""),"")</f>
        <v>0.269681339675086</v>
      </c>
      <c r="AZ352" s="257">
        <f>IFERROR(IF(COUNT(AZ349,AZ350,AZ351)=3,AZ349*AZ350*AZ351,""),"")</f>
        <v>0.261730807843617</v>
      </c>
      <c r="BA352" s="258">
        <f>IFERROR(IF(COUNT(BA349,BA350,BA351)=3,BA349*BA350*BA351,""),"")</f>
        <v>0.261730807843617</v>
      </c>
      <c r="BB352" s="257">
        <f>IFERROR(IF(COUNT(BB349,BB350,BB351)=3,BB349*BB350*BB351,""),"")</f>
        <v>0.254858885353424</v>
      </c>
      <c r="BC352" s="257">
        <f>IFERROR(IF(COUNT(BC349,BC350,BC351)=3,BC349*BC350*BC351,""),"")</f>
        <v>0.248385132369325</v>
      </c>
      <c r="BD352" s="257">
        <f>IFERROR(IF(COUNT(BD349,BD350,BD351)=3,BD349*BD350*BD351,""),"")</f>
        <v>0.24220348946723</v>
      </c>
      <c r="BE352" s="257">
        <f>IFERROR(IF(COUNT(BE349,BE350,BE351)=3,BE349*BE350*BE351,""),"")</f>
        <v>0.236569649330099</v>
      </c>
      <c r="BF352" s="258">
        <f>IFERROR(IF(COUNT(BF349,BF350,BF351)=3,BF349*BF350*BF351,""),"")</f>
        <v>0.236569649330099</v>
      </c>
      <c r="BG352" s="81" t="n"/>
      <c r="BH352" s="81" t="n"/>
      <c r="BI352" s="81" t="n"/>
      <c r="BJ352" s="81" t="n"/>
      <c r="BL352" s="81" t="n"/>
      <c r="BM352" s="81" t="n"/>
      <c r="BN352" s="81" t="n"/>
      <c r="BO352" s="81" t="n"/>
      <c r="BQ352" s="81" t="n"/>
      <c r="BR352" s="81" t="n"/>
      <c r="BS352" s="81" t="n"/>
      <c r="BT352" s="81" t="n"/>
      <c r="BV352" s="81" t="n"/>
      <c r="BW352" s="81" t="n"/>
      <c r="BX352" s="81" t="n"/>
      <c r="BY352" s="81" t="n"/>
      <c r="CA352" s="81" t="n"/>
      <c r="CB352" s="81" t="n"/>
      <c r="CC352" s="81" t="n"/>
      <c r="CD352" s="81" t="n"/>
      <c r="CF352" s="81" t="n"/>
      <c r="CG352" s="81" t="n"/>
      <c r="CH352" s="81" t="n"/>
      <c r="CI352" s="81" t="n"/>
      <c r="CK352" s="81" t="n"/>
      <c r="CL352" s="81" t="n"/>
      <c r="CM352" s="81" t="n"/>
      <c r="CN352" s="81" t="n"/>
      <c r="CP352" s="81" t="n"/>
      <c r="CQ352" s="81" t="n"/>
      <c r="CR352" s="81" t="n"/>
      <c r="CS352" s="81" t="n"/>
      <c r="CU352" s="81" t="n"/>
      <c r="CV352" s="81" t="n"/>
      <c r="CW352" s="81" t="n"/>
      <c r="CX352" s="81" t="n"/>
    </row>
    <row r="353" customFormat="1" s="77">
      <c r="A353" s="76" t="n"/>
      <c r="B353" s="76" t="n"/>
      <c r="C353" s="77" t="inlineStr">
        <is>
          <t>ROE (LTM)</t>
        </is>
      </c>
      <c r="D353" s="84" t="str">
        <f>IFERROR(D122/D256,"")</f>
        <v/>
      </c>
      <c r="E353" s="84" t="str">
        <f>IFERROR(E122/E256,"")</f>
        <v/>
      </c>
      <c r="F353" s="84" t="str">
        <f>IFERROR(F122/F256,"")</f>
        <v/>
      </c>
      <c r="G353" s="84" t="str">
        <f>IFERROR(G122/G256,"")</f>
        <v/>
      </c>
      <c r="H353" s="258" t="str">
        <f>IFERROR(IF(AND(COUNT(H122)=1,N(H256)&lt;&gt;0),(H122)/H256,""),"")</f>
        <v/>
      </c>
      <c r="I353" s="257" t="str">
        <f>""</f>
        <v/>
      </c>
      <c r="J353" s="257" t="str">
        <f>""</f>
        <v/>
      </c>
      <c r="K353" s="257" t="str">
        <f>""</f>
        <v/>
      </c>
      <c r="L353" s="257">
        <f>IFERROR(IF(AND(COUNT(I122,J122,K122,L122)=4,N(L256)&lt;&gt;0),(I122+J122+K122+L122)/L256,""),"")</f>
        <v>-0.156680366284519</v>
      </c>
      <c r="M353" s="258">
        <f>IFERROR(IF(AND(COUNT(I122,J122,K122,L122)=4,N(M256)&lt;&gt;0),(I122+J122+K122+L122)/M256,""),"")</f>
        <v>-0.156680366284519</v>
      </c>
      <c r="N353" s="257">
        <f>IFERROR(IF(AND(COUNT(J122,K122,L122,N122)=4,N(N256)&lt;&gt;0),(J122+K122+L122+N122)/N256,""),"")</f>
        <v>-0.120484619777055</v>
      </c>
      <c r="O353" s="257">
        <f>IFERROR(IF(AND(COUNT(K122,L122,N122,O122)=4,N(O256)&lt;&gt;0),(K122+L122+N122+O122)/O256,""),"")</f>
        <v>-0.128116651825468</v>
      </c>
      <c r="P353" s="257">
        <f>IFERROR(IF(AND(COUNT(L122,N122,O122,P122)=4,N(P256)&lt;&gt;0),(L122+N122+O122+P122)/P256,""),"")</f>
        <v>-0.17405643092708</v>
      </c>
      <c r="Q353" s="257">
        <f>IFERROR(IF(AND(COUNT(N122,O122,P122,Q122)=4,N(Q256)&lt;&gt;0),(N122+O122+P122+Q122)/Q256,""),"")</f>
        <v>0.00904808792612502</v>
      </c>
      <c r="R353" s="258">
        <f>IFERROR(IF(AND(COUNT(N122,O122,P122,Q122)=4,N(R256)&lt;&gt;0),(N122+O122+P122+Q122)/R256,""),"")</f>
        <v>0.00904808792612502</v>
      </c>
      <c r="S353" s="257">
        <f>IFERROR(IF(AND(COUNT(O122,P122,Q122,S122)=4,N(S256)&lt;&gt;0),(O122+P122+Q122+S122)/S256,""),"")</f>
        <v>0.27374386788141</v>
      </c>
      <c r="T353" s="257">
        <f>IFERROR(IF(AND(COUNT(P122,Q122,S122,T122)=4,N(T256)&lt;&gt;0),(P122+Q122+S122+T122)/T256,""),"")</f>
        <v>0.305845640486931</v>
      </c>
      <c r="U353" s="257">
        <f>IFERROR(IF(AND(COUNT(Q122,S122,T122,U122)=4,N(U256)&lt;&gt;0),(Q122+S122+T122+U122)/U256,""),"")</f>
        <v>0.33821606945329</v>
      </c>
      <c r="V353" s="257">
        <f>IFERROR(IF(AND(COUNT(S122,T122,U122,V122)=4,N(V256)&lt;&gt;0),(S122+T122+U122+V122)/V256,""),"")</f>
        <v>0.331770468859342</v>
      </c>
      <c r="W353" s="258">
        <f>IFERROR(IF(AND(COUNT(S122,T122,U122,V122)=4,N(W256)&lt;&gt;0),(S122+T122+U122+V122)/W256,""),"")</f>
        <v>0.331770468859342</v>
      </c>
      <c r="X353" s="257">
        <f>IFERROR(IF(AND(COUNT(T122,U122,V122,X122)=4,N(X256)&lt;&gt;0),(T122+U122+V122+X122)/X256,""),"")</f>
        <v>0.112943672839506</v>
      </c>
      <c r="Y353" s="257">
        <f>IFERROR(IF(AND(COUNT(U122,V122,X122,Y122)=4,N(Y256)&lt;&gt;0),(U122+V122+X122+Y122)/Y256,""),"")</f>
        <v>0.251870721222735</v>
      </c>
      <c r="Z353" s="257">
        <f>IFERROR(IF(AND(COUNT(V122,X122,Y122,Z122)=4,N(Z256)&lt;&gt;0),(V122+X122+Y122+Z122)/Z256,""),"")</f>
        <v>0.326964351149034</v>
      </c>
      <c r="AA353" s="257">
        <f>IFERROR(IF(AND(COUNT(X122,Y122,Z122,AA122)=4,N(AA256)&lt;&gt;0),(X122+Y122+Z122+AA122)/AA256,""),"")</f>
        <v>0.335088167646307</v>
      </c>
      <c r="AB353" s="258">
        <f>IFERROR(IF(AND(COUNT(X122,Y122,Z122,AA122)=4,N(AB256)&lt;&gt;0),(X122+Y122+Z122+AA122)/AB256,""),"")</f>
        <v>0.335088167646307</v>
      </c>
      <c r="AC353" s="257">
        <f>IFERROR(IF(AND(COUNT(Y122,Z122,AA122,AC122)=4,N(AC256)&lt;&gt;0),(Y122+Z122+AA122+AC122)/AC256,""),"")</f>
        <v>0.359307581672488</v>
      </c>
      <c r="AD353" s="257">
        <f>IFERROR(IF(AND(COUNT(Z122,AA122,AC122,AD122)=4,N(AD256)&lt;&gt;0),(Z122+AA122+AC122+AD122)/AD256,""),"")</f>
        <v>0.40098216593435</v>
      </c>
      <c r="AE353" s="257">
        <f>IFERROR(IF(AND(COUNT(AA122,AC122,AD122,AE122)=4,N(AE256)&lt;&gt;0),(AA122+AC122+AD122+AE122)/AE256,""),"")</f>
        <v>0.423825044685101</v>
      </c>
      <c r="AF353" s="257">
        <f>IFERROR(IF(AND(COUNT(AB122,AD122,AE122,AF122)=4,N(AF256)&lt;&gt;0),(AB122+AD122+AE122+AF122)/AF256,""),"")</f>
        <v>0.70278850732843</v>
      </c>
      <c r="AG353" s="258">
        <f>IFERROR(IF(AND(COUNT(AC122,AD122,AE122,AF122)=4,N(AG256)&lt;&gt;0),(AC122+AD122+AE122+AF122)/AG256,""),"")</f>
        <v>0.460553468437483</v>
      </c>
      <c r="AH353" s="257">
        <f>IFERROR(IF(AND(COUNT(AD122,AF122,AG122,AH122)=4,N(AH256)&lt;&gt;0),(AD122+AF122+AG122+AH122)/AH256,""),"")</f>
        <v>0.829434910919226</v>
      </c>
      <c r="AI353" s="257">
        <f>IFERROR(IF(AND(COUNT(AE122,AG122,AH122,AI122)=4,N(AI256)&lt;&gt;0),(AE122+AG122+AH122+AI122)/AI256,""),"")</f>
        <v>0.847092404992444</v>
      </c>
      <c r="AJ353" s="257">
        <f>IFERROR(IF(AND(COUNT(AF122,AH122,AI122,AJ122)=4,N(AJ256)&lt;&gt;0),(AF122+AH122+AI122+AJ122)/AJ256,""),"")</f>
        <v>0.467132627441008</v>
      </c>
      <c r="AK353" s="257">
        <f>IFERROR(IF(AND(COUNT(AH122,AI122,AJ122,AK122)=4,N(AK256)&lt;&gt;0),(AH122+AI122+AJ122+AK122)/AK256,""),"")</f>
        <v>0.42743868932928</v>
      </c>
      <c r="AL353" s="258">
        <f>IFERROR(IF(AND(COUNT(AH122,AI122,AJ122,AK122)=4,N(AL256)&lt;&gt;0),(AH122+AI122+AJ122+AK122)/AL256,""),"")</f>
        <v>0.42743868932928</v>
      </c>
      <c r="AM353" s="257">
        <f>IFERROR(IF(AND(COUNT(AI122,AJ122,AK122,AM122)=4,N(AM256)&lt;&gt;0),(AI122+AJ122+AK122+AM122)/AM256,""),"")</f>
        <v>0.418806268042613</v>
      </c>
      <c r="AN353" s="257">
        <f>IFERROR(IF(AND(COUNT(AJ122,AK122,AM122,AN122)=4,N(AN256)&lt;&gt;0),(AJ122+AK122+AM122+AN122)/AN256,""),"")</f>
        <v>0.400702710821858</v>
      </c>
      <c r="AO353" s="257">
        <f>IFERROR(IF(AND(COUNT(AK122,AM122,AN122,AO122)=4,N(AO256)&lt;&gt;0),(AK122+AM122+AN122+AO122)/AO256,""),"")</f>
        <v>0.376383017981373</v>
      </c>
      <c r="AP353" s="257">
        <f>IFERROR(IF(AND(COUNT(AM122,AN122,AO122,AP122)=4,N(AP256)&lt;&gt;0),(AM122+AN122+AO122+AP122)/AP256,""),"")</f>
        <v>0.35584462525343</v>
      </c>
      <c r="AQ353" s="258">
        <f>IFERROR(IF(AND(COUNT(AM122,AN122,AO122,AP122)=4,N(AQ256)&lt;&gt;0),(AM122+AN122+AO122+AP122)/AQ256,""),"")</f>
        <v>0.35584462525343</v>
      </c>
      <c r="AR353" s="257">
        <f>IFERROR(IF(AND(COUNT(AN122,AO122,AP122,AR122)=4,N(AR256)&lt;&gt;0),(AN122+AO122+AP122+AR122)/AR256,""),"")</f>
        <v>0.339113407778848</v>
      </c>
      <c r="AS353" s="257">
        <f>IFERROR(IF(AND(COUNT(AO122,AP122,AR122,AS122)=4,N(AS256)&lt;&gt;0),(AO122+AP122+AR122+AS122)/AS256,""),"")</f>
        <v>0.324052852951281</v>
      </c>
      <c r="AT353" s="257">
        <f>IFERROR(IF(AND(COUNT(AP122,AR122,AS122,AT122)=4,N(AT256)&lt;&gt;0),(AP122+AR122+AS122+AT122)/AT256,""),"")</f>
        <v>0.310266321315116</v>
      </c>
      <c r="AU353" s="257">
        <f>IFERROR(IF(AND(COUNT(AR122,AS122,AT122,AU122)=4,N(AU256)&lt;&gt;0),(AR122+AS122+AT122+AU122)/AU256,""),"")</f>
        <v>0.298177670507599</v>
      </c>
      <c r="AV353" s="258">
        <f>IFERROR(IF(AND(COUNT(AR122,AS122,AT122,AU122)=4,N(AV256)&lt;&gt;0),(AR122+AS122+AT122+AU122)/AV256,""),"")</f>
        <v>0.298177670507599</v>
      </c>
      <c r="AW353" s="257">
        <f>IFERROR(IF(AND(COUNT(AS122,AT122,AU122,AW122)=4,N(AW256)&lt;&gt;0),(AS122+AT122+AU122+AW122)/AW256,""),"")</f>
        <v>0.287979115013552</v>
      </c>
      <c r="AX353" s="257">
        <f>IFERROR(IF(AND(COUNT(AT122,AU122,AW122,AX122)=4,N(AX256)&lt;&gt;0),(AT122+AU122+AW122+AX122)/AX256,""),"")</f>
        <v>0.27854207234294</v>
      </c>
      <c r="AY353" s="257">
        <f>IFERROR(IF(AND(COUNT(AU122,AW122,AX122,AY122)=4,N(AY256)&lt;&gt;0),(AU122+AW122+AX122+AY122)/AY256,""),"")</f>
        <v>0.269681339675086</v>
      </c>
      <c r="AZ353" s="257">
        <f>IFERROR(IF(AND(COUNT(AW122,AX122,AY122,AZ122)=4,N(AZ256)&lt;&gt;0),(AW122+AX122+AY122+AZ122)/AZ256,""),"")</f>
        <v>0.261730807843617</v>
      </c>
      <c r="BA353" s="258">
        <f>IFERROR(IF(AND(COUNT(AW122,AX122,AY122,AZ122)=4,N(BA256)&lt;&gt;0),(AW122+AX122+AY122+AZ122)/BA256,""),"")</f>
        <v>0.261730807843617</v>
      </c>
      <c r="BB353" s="257">
        <f>IFERROR(IF(AND(COUNT(AX122,AY122,AZ122,BB122)=4,N(BB256)&lt;&gt;0),(AX122+AY122+AZ122+BB122)/BB256,""),"")</f>
        <v>0.254858885353424</v>
      </c>
      <c r="BC353" s="257">
        <f>IFERROR(IF(AND(COUNT(AY122,AZ122,BB122,BC122)=4,N(BC256)&lt;&gt;0),(AY122+AZ122+BB122+BC122)/BC256,""),"")</f>
        <v>0.248385132369325</v>
      </c>
      <c r="BD353" s="257">
        <f>IFERROR(IF(AND(COUNT(AZ122,BB122,BC122,BD122)=4,N(BD256)&lt;&gt;0),(AZ122+BB122+BC122+BD122)/BD256,""),"")</f>
        <v>0.24220348946723</v>
      </c>
      <c r="BE353" s="257">
        <f>IFERROR(IF(AND(COUNT(BB122,BC122,BD122,BE122)=4,N(BE256)&lt;&gt;0),(BB122+BC122+BD122+BE122)/BE256,""),"")</f>
        <v>0.236569649330099</v>
      </c>
      <c r="BF353" s="258">
        <f>IFERROR(IF(AND(COUNT(BB122,BC122,BD122,BE122)=4,N(BF256)&lt;&gt;0),(BB122+BC122+BD122+BE122)/BF256,""),"")</f>
        <v>0.236569649330099</v>
      </c>
      <c r="BG353" s="81" t="n"/>
      <c r="BH353" s="81" t="n"/>
      <c r="BI353" s="81" t="n"/>
      <c r="BJ353" s="81" t="n"/>
      <c r="BL353" s="81" t="n"/>
      <c r="BM353" s="81" t="n"/>
      <c r="BN353" s="81" t="n"/>
      <c r="BO353" s="81" t="n"/>
      <c r="BQ353" s="81" t="n"/>
      <c r="BR353" s="81" t="n"/>
      <c r="BS353" s="81" t="n"/>
      <c r="BT353" s="81" t="n"/>
      <c r="BV353" s="81" t="n"/>
      <c r="BW353" s="81" t="n"/>
      <c r="BX353" s="81" t="n"/>
      <c r="BY353" s="81" t="n"/>
      <c r="CA353" s="81" t="n"/>
      <c r="CB353" s="81" t="n"/>
      <c r="CC353" s="81" t="n"/>
      <c r="CD353" s="81" t="n"/>
      <c r="CF353" s="81" t="n"/>
      <c r="CG353" s="81" t="n"/>
      <c r="CH353" s="81" t="n"/>
      <c r="CI353" s="81" t="n"/>
      <c r="CK353" s="81" t="n"/>
      <c r="CL353" s="81" t="n"/>
      <c r="CM353" s="81" t="n"/>
      <c r="CN353" s="81" t="n"/>
      <c r="CP353" s="81" t="n"/>
      <c r="CQ353" s="81" t="n"/>
      <c r="CR353" s="81" t="n"/>
      <c r="CS353" s="81" t="n"/>
      <c r="CU353" s="81" t="n"/>
      <c r="CV353" s="81" t="n"/>
      <c r="CW353" s="81" t="n"/>
      <c r="CX353" s="81" t="n"/>
    </row>
    <row r="354"/>
    <row r="355">
      <c r="C355" s="73" t="inlineStr">
        <is>
          <t>Scenario Analysis</t>
        </is>
      </c>
      <c r="D355" s="73" t="n"/>
      <c r="E355" s="73" t="n"/>
      <c r="F355" s="73" t="n"/>
      <c r="G355" s="73" t="n"/>
      <c r="H355" s="73" t="n"/>
      <c r="I355" s="73" t="n"/>
      <c r="J355" s="73" t="n"/>
      <c r="K355" s="73" t="n"/>
      <c r="L355" s="73" t="n"/>
      <c r="M355" s="73" t="n"/>
      <c r="N355" s="73" t="n"/>
      <c r="O355" s="73" t="n"/>
      <c r="P355" s="73" t="n"/>
      <c r="Q355" s="73" t="n"/>
      <c r="R355" s="73" t="n"/>
      <c r="S355" s="73" t="n"/>
      <c r="T355" s="73" t="n"/>
      <c r="U355" s="73" t="n"/>
      <c r="V355" s="73" t="n"/>
      <c r="W355" s="73" t="n"/>
      <c r="X355" s="73" t="n"/>
      <c r="Y355" s="73" t="n"/>
      <c r="Z355" s="73" t="n"/>
      <c r="AA355" s="73" t="n"/>
      <c r="AB355" s="73" t="n"/>
      <c r="AC355" s="73" t="n"/>
      <c r="AD355" s="73" t="n"/>
      <c r="AE355" s="73" t="n"/>
      <c r="AF355" s="73" t="n"/>
      <c r="AG355" s="73" t="n"/>
      <c r="AH355" s="73" t="n"/>
      <c r="AI355" s="73" t="n"/>
      <c r="AJ355" s="73" t="n"/>
      <c r="AK355" s="73" t="n"/>
      <c r="AL355" s="73" t="n"/>
      <c r="AM355" s="73" t="n"/>
      <c r="AN355" s="73" t="n"/>
      <c r="AO355" s="73" t="n"/>
      <c r="AP355" s="73" t="n"/>
      <c r="AQ355" s="73" t="n"/>
      <c r="AR355" s="73" t="n"/>
      <c r="AS355" s="73" t="n"/>
      <c r="AT355" s="73" t="n"/>
      <c r="AU355" s="73" t="n"/>
      <c r="AV355" s="73" t="n"/>
      <c r="AW355" s="73" t="n"/>
      <c r="AX355" s="73" t="n"/>
      <c r="AY355" s="73" t="n"/>
      <c r="AZ355" s="73" t="n"/>
      <c r="BA355" s="73" t="n"/>
      <c r="BB355" s="73" t="n"/>
      <c r="BC355" s="73" t="n"/>
      <c r="BD355" s="73" t="n"/>
      <c r="BE355" s="73" t="n"/>
      <c r="BF355" s="73" t="n"/>
      <c r="BG355" s="73" t="n"/>
      <c r="BH355" s="73" t="n"/>
      <c r="BI355" s="73" t="n"/>
      <c r="BJ355" s="73" t="n"/>
      <c r="BK355" s="73" t="n"/>
      <c r="BL355" s="73" t="n"/>
      <c r="BM355" s="73" t="n"/>
      <c r="BN355" s="73" t="n"/>
      <c r="BO355" s="73" t="n"/>
      <c r="BP355" s="73" t="n"/>
      <c r="BQ355" s="73" t="n"/>
      <c r="BR355" s="73" t="n"/>
      <c r="BS355" s="73" t="n"/>
      <c r="BT355" s="73" t="n"/>
      <c r="BU355" s="73" t="n"/>
      <c r="BV355" s="73" t="n"/>
      <c r="BW355" s="73" t="n"/>
      <c r="BX355" s="73" t="n"/>
      <c r="BY355" s="73" t="n"/>
      <c r="BZ355" s="73" t="n"/>
      <c r="CA355" s="73" t="n"/>
      <c r="CB355" s="73" t="n"/>
      <c r="CC355" s="73" t="n"/>
      <c r="CD355" s="73" t="n"/>
      <c r="CE355" s="73" t="n"/>
      <c r="CF355" s="73" t="n"/>
      <c r="CG355" s="73" t="n"/>
      <c r="CH355" s="73" t="n"/>
      <c r="CI355" s="73" t="n"/>
      <c r="CJ355" s="73" t="n"/>
      <c r="CK355" s="73" t="n"/>
      <c r="CL355" s="73" t="n"/>
      <c r="CM355" s="73" t="n"/>
      <c r="CN355" s="73" t="n"/>
      <c r="CO355" s="73" t="n"/>
      <c r="CP355" s="73" t="n"/>
      <c r="CQ355" s="73" t="n"/>
      <c r="CR355" s="73" t="n"/>
      <c r="CS355" s="73" t="n"/>
      <c r="CT355" s="73" t="n"/>
      <c r="CU355" s="73" t="n"/>
      <c r="CV355" s="73" t="n"/>
      <c r="CW355" s="73" t="n"/>
      <c r="CX355" s="73" t="n"/>
      <c r="CY355" s="73" t="n"/>
    </row>
    <row r="356"/>
    <row r="357"/>
    <row r="358">
      <c r="C358" s="4" t="inlineStr">
        <is>
          <t>Bull case</t>
        </is>
      </c>
    </row>
    <row r="359">
      <c r="C359" s="4" t="inlineStr">
        <is>
          <t>Base case</t>
        </is>
      </c>
    </row>
    <row r="360">
      <c r="C360" s="4" t="inlineStr">
        <is>
          <t>Bear case</t>
        </is>
      </c>
    </row>
    <row r="361"/>
    <row r="362"/>
    <row r="363">
      <c r="C363" s="4" t="inlineStr">
        <is>
          <t>Bull case</t>
        </is>
      </c>
    </row>
    <row r="364">
      <c r="C364" s="4" t="inlineStr">
        <is>
          <t>Base case</t>
        </is>
      </c>
    </row>
    <row r="365">
      <c r="C365" s="4" t="inlineStr">
        <is>
          <t>Bear case</t>
        </is>
      </c>
    </row>
    <row r="366"/>
    <row r="367"/>
    <row r="368">
      <c r="C368" s="4" t="inlineStr">
        <is>
          <t>% Gross Margin</t>
        </is>
      </c>
    </row>
    <row r="369">
      <c r="C369" s="4" t="inlineStr">
        <is>
          <t>Bull case</t>
        </is>
      </c>
    </row>
    <row r="370">
      <c r="C370" s="4" t="inlineStr">
        <is>
          <t>Base case</t>
        </is>
      </c>
    </row>
    <row r="371">
      <c r="C371" s="4" t="inlineStr">
        <is>
          <t>Bear case</t>
        </is>
      </c>
    </row>
    <row r="372"/>
    <row r="373"/>
    <row r="374">
      <c r="C374" s="4" t="inlineStr">
        <is>
          <t>Capital expenditures</t>
        </is>
      </c>
    </row>
    <row r="375">
      <c r="C375" s="4" t="inlineStr">
        <is>
          <t>Bull case</t>
        </is>
      </c>
    </row>
    <row r="376">
      <c r="C376" s="4" t="inlineStr">
        <is>
          <t>Base case</t>
        </is>
      </c>
    </row>
    <row r="377">
      <c r="C377" s="4" t="inlineStr">
        <is>
          <t>Bear case</t>
        </is>
      </c>
    </row>
  </sheetData>
  <conditionalFormatting sqref="B1:B4 B13:B1048576">
    <cfRule type="expression" priority="25" dxfId="23">
      <formula>B1&lt;&gt;""</formula>
    </cfRule>
  </conditionalFormatting>
  <conditionalFormatting sqref="D1:CY3">
    <cfRule type="cellIs" priority="18" operator="greaterThan" dxfId="22">
      <formula>1</formula>
    </cfRule>
  </conditionalFormatting>
  <conditionalFormatting sqref="E300:G300">
    <cfRule type="cellIs" priority="16" operator="notEqual" dxfId="0">
      <formula>0</formula>
    </cfRule>
  </conditionalFormatting>
  <conditionalFormatting sqref="E5:H5">
    <cfRule type="cellIs" priority="17" operator="greaterThan" dxfId="18">
      <formula>$B$5</formula>
    </cfRule>
  </conditionalFormatting>
  <conditionalFormatting sqref="I300:L300">
    <cfRule type="cellIs" priority="23" operator="notEqual" dxfId="0">
      <formula>0</formula>
    </cfRule>
  </conditionalFormatting>
  <conditionalFormatting sqref="J5:CY5">
    <cfRule type="cellIs" priority="24" operator="greaterThan" dxfId="18">
      <formula>$B$5</formula>
    </cfRule>
  </conditionalFormatting>
  <conditionalFormatting sqref="N300:Q300">
    <cfRule type="cellIs" priority="22" operator="notEqual" dxfId="0">
      <formula>0</formula>
    </cfRule>
  </conditionalFormatting>
  <conditionalFormatting sqref="S300:V300">
    <cfRule type="cellIs" priority="21" operator="notEqual" dxfId="0">
      <formula>0</formula>
    </cfRule>
  </conditionalFormatting>
  <conditionalFormatting sqref="X300:AA300">
    <cfRule type="cellIs" priority="20" operator="notEqual" dxfId="0">
      <formula>0</formula>
    </cfRule>
  </conditionalFormatting>
  <conditionalFormatting sqref="AC300:AF300">
    <cfRule type="cellIs" priority="19" operator="notEqual" dxfId="0">
      <formula>0</formula>
    </cfRule>
  </conditionalFormatting>
  <conditionalFormatting sqref="AH300:AK300">
    <cfRule type="cellIs" priority="15" operator="notEqual" dxfId="0">
      <formula>0</formula>
    </cfRule>
  </conditionalFormatting>
  <conditionalFormatting sqref="AM300:AP300">
    <cfRule type="cellIs" priority="14" operator="notEqual" dxfId="0">
      <formula>0</formula>
    </cfRule>
  </conditionalFormatting>
  <conditionalFormatting sqref="AR300:AU300">
    <cfRule type="cellIs" priority="13" operator="notEqual" dxfId="0">
      <formula>0</formula>
    </cfRule>
  </conditionalFormatting>
  <conditionalFormatting sqref="AW300:AZ300">
    <cfRule type="cellIs" priority="12" operator="notEqual" dxfId="0">
      <formula>0</formula>
    </cfRule>
  </conditionalFormatting>
  <conditionalFormatting sqref="BB300:BE300">
    <cfRule type="cellIs" priority="11" operator="notEqual" dxfId="0">
      <formula>0</formula>
    </cfRule>
  </conditionalFormatting>
  <conditionalFormatting sqref="BG300:BJ300">
    <cfRule type="cellIs" priority="10" operator="notEqual" dxfId="0">
      <formula>0</formula>
    </cfRule>
  </conditionalFormatting>
  <conditionalFormatting sqref="BL300:BO300">
    <cfRule type="cellIs" priority="9" operator="notEqual" dxfId="0">
      <formula>0</formula>
    </cfRule>
  </conditionalFormatting>
  <conditionalFormatting sqref="BQ300:BT300">
    <cfRule type="cellIs" priority="8" operator="notEqual" dxfId="0">
      <formula>0</formula>
    </cfRule>
  </conditionalFormatting>
  <conditionalFormatting sqref="BV300:BY300">
    <cfRule type="cellIs" priority="7" operator="notEqual" dxfId="0">
      <formula>0</formula>
    </cfRule>
  </conditionalFormatting>
  <conditionalFormatting sqref="CA300:CD300">
    <cfRule type="cellIs" priority="6" operator="notEqual" dxfId="0">
      <formula>0</formula>
    </cfRule>
  </conditionalFormatting>
  <conditionalFormatting sqref="CF300:CI300">
    <cfRule type="cellIs" priority="5" operator="notEqual" dxfId="0">
      <formula>0</formula>
    </cfRule>
  </conditionalFormatting>
  <conditionalFormatting sqref="CK300:CN300">
    <cfRule type="cellIs" priority="4" operator="notEqual" dxfId="0">
      <formula>0</formula>
    </cfRule>
  </conditionalFormatting>
  <conditionalFormatting sqref="CP300:CS300">
    <cfRule type="cellIs" priority="3" operator="notEqual" dxfId="0">
      <formula>0</formula>
    </cfRule>
  </conditionalFormatting>
  <conditionalFormatting sqref="CU300:CX300">
    <cfRule type="cellIs" priority="2" operator="notEqual" dxfId="0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2"/>
  <sheetViews>
    <sheetView zoomScaleNormal="100" workbookViewId="0">
      <selection activeCell="A1" sqref="A1"/>
    </sheetView>
  </sheetViews>
  <sheetFormatPr baseColWidth="8" defaultColWidth="10.42578125" defaultRowHeight="12.75"/>
  <cols>
    <col width="2.28515625" customWidth="1" style="251" min="1" max="1"/>
    <col width="4.85546875" customWidth="1" style="251" min="2" max="2"/>
    <col width="62" customWidth="1" style="251" min="3" max="3"/>
    <col width="14.5703125" customWidth="1" style="251" min="4" max="4"/>
    <col width="12.85546875" customWidth="1" style="251" min="5" max="6"/>
    <col width="13.42578125" customWidth="1" style="251" min="7" max="7"/>
    <col width="16" customWidth="1" style="251" min="8" max="8"/>
    <col width="15.5703125" customWidth="1" style="251" min="9" max="9"/>
    <col width="12.85546875" customWidth="1" style="251" min="10" max="12"/>
    <col width="13.28515625" customWidth="1" style="251" min="13" max="13"/>
    <col width="13.140625" customWidth="1" style="251" min="14" max="14"/>
    <col width="13.28515625" customWidth="1" style="251" min="15" max="15"/>
    <col width="12.28515625" customWidth="1" style="251" min="16" max="20"/>
    <col width="13.28515625" customWidth="1" style="251" min="21" max="22"/>
    <col width="10.5703125" customWidth="1" style="251" min="23" max="23"/>
    <col width="13" customWidth="1" style="251" min="24" max="25"/>
    <col width="11.28515625" customWidth="1" style="251" min="26" max="26"/>
    <col width="10.42578125" customWidth="1" style="251" min="27" max="27"/>
    <col width="21.5703125" customWidth="1" style="251" min="28" max="28"/>
    <col width="10.42578125" customWidth="1" style="251" min="29" max="31"/>
    <col width="9.140625" customWidth="1" style="251" min="32" max="32"/>
    <col width="10.42578125" customWidth="1" style="251" min="33" max="261"/>
    <col width="2.28515625" customWidth="1" style="251" min="262" max="263"/>
    <col width="35.42578125" customWidth="1" style="251" min="264" max="264"/>
    <col width="14.7109375" customWidth="1" style="251" min="265" max="265"/>
    <col width="12.85546875" customWidth="1" style="251" min="266" max="268"/>
    <col width="15.5703125" customWidth="1" style="251" min="269" max="269"/>
    <col width="12.85546875" customWidth="1" style="251" min="270" max="273"/>
    <col width="10.42578125" customWidth="1" style="251" min="274" max="275"/>
    <col width="12.28515625" customWidth="1" style="251" min="276" max="276"/>
    <col width="10.42578125" customWidth="1" style="251" min="277" max="517"/>
    <col width="2.28515625" customWidth="1" style="251" min="518" max="519"/>
    <col width="35.42578125" customWidth="1" style="251" min="520" max="520"/>
    <col width="14.7109375" customWidth="1" style="251" min="521" max="521"/>
    <col width="12.85546875" customWidth="1" style="251" min="522" max="524"/>
    <col width="15.5703125" customWidth="1" style="251" min="525" max="525"/>
    <col width="12.85546875" customWidth="1" style="251" min="526" max="529"/>
    <col width="10.42578125" customWidth="1" style="251" min="530" max="531"/>
    <col width="12.28515625" customWidth="1" style="251" min="532" max="532"/>
    <col width="10.42578125" customWidth="1" style="251" min="533" max="773"/>
    <col width="2.28515625" customWidth="1" style="251" min="774" max="775"/>
    <col width="35.42578125" customWidth="1" style="251" min="776" max="776"/>
    <col width="14.7109375" customWidth="1" style="251" min="777" max="777"/>
    <col width="12.85546875" customWidth="1" style="251" min="778" max="780"/>
    <col width="15.5703125" customWidth="1" style="251" min="781" max="781"/>
    <col width="12.85546875" customWidth="1" style="251" min="782" max="785"/>
    <col width="10.42578125" customWidth="1" style="251" min="786" max="787"/>
    <col width="12.28515625" customWidth="1" style="251" min="788" max="788"/>
    <col width="10.42578125" customWidth="1" style="251" min="789" max="1029"/>
    <col width="2.28515625" customWidth="1" style="251" min="1030" max="1031"/>
    <col width="35.42578125" customWidth="1" style="251" min="1032" max="1032"/>
    <col width="14.7109375" customWidth="1" style="251" min="1033" max="1033"/>
    <col width="12.85546875" customWidth="1" style="251" min="1034" max="1036"/>
    <col width="15.5703125" customWidth="1" style="251" min="1037" max="1037"/>
    <col width="12.85546875" customWidth="1" style="251" min="1038" max="1041"/>
    <col width="10.42578125" customWidth="1" style="251" min="1042" max="1043"/>
    <col width="12.28515625" customWidth="1" style="251" min="1044" max="1044"/>
    <col width="10.42578125" customWidth="1" style="251" min="1045" max="1285"/>
    <col width="2.28515625" customWidth="1" style="251" min="1286" max="1287"/>
    <col width="35.42578125" customWidth="1" style="251" min="1288" max="1288"/>
    <col width="14.7109375" customWidth="1" style="251" min="1289" max="1289"/>
    <col width="12.85546875" customWidth="1" style="251" min="1290" max="1292"/>
    <col width="15.5703125" customWidth="1" style="251" min="1293" max="1293"/>
    <col width="12.85546875" customWidth="1" style="251" min="1294" max="1297"/>
    <col width="10.42578125" customWidth="1" style="251" min="1298" max="1299"/>
    <col width="12.28515625" customWidth="1" style="251" min="1300" max="1300"/>
    <col width="10.42578125" customWidth="1" style="251" min="1301" max="1541"/>
    <col width="2.28515625" customWidth="1" style="251" min="1542" max="1543"/>
    <col width="35.42578125" customWidth="1" style="251" min="1544" max="1544"/>
    <col width="14.7109375" customWidth="1" style="251" min="1545" max="1545"/>
    <col width="12.85546875" customWidth="1" style="251" min="1546" max="1548"/>
    <col width="15.5703125" customWidth="1" style="251" min="1549" max="1549"/>
    <col width="12.85546875" customWidth="1" style="251" min="1550" max="1553"/>
    <col width="10.42578125" customWidth="1" style="251" min="1554" max="1555"/>
    <col width="12.28515625" customWidth="1" style="251" min="1556" max="1556"/>
    <col width="10.42578125" customWidth="1" style="251" min="1557" max="1797"/>
    <col width="2.28515625" customWidth="1" style="251" min="1798" max="1799"/>
    <col width="35.42578125" customWidth="1" style="251" min="1800" max="1800"/>
    <col width="14.7109375" customWidth="1" style="251" min="1801" max="1801"/>
    <col width="12.85546875" customWidth="1" style="251" min="1802" max="1804"/>
    <col width="15.5703125" customWidth="1" style="251" min="1805" max="1805"/>
    <col width="12.85546875" customWidth="1" style="251" min="1806" max="1809"/>
    <col width="10.42578125" customWidth="1" style="251" min="1810" max="1811"/>
    <col width="12.28515625" customWidth="1" style="251" min="1812" max="1812"/>
    <col width="10.42578125" customWidth="1" style="251" min="1813" max="2053"/>
    <col width="2.28515625" customWidth="1" style="251" min="2054" max="2055"/>
    <col width="35.42578125" customWidth="1" style="251" min="2056" max="2056"/>
    <col width="14.7109375" customWidth="1" style="251" min="2057" max="2057"/>
    <col width="12.85546875" customWidth="1" style="251" min="2058" max="2060"/>
    <col width="15.5703125" customWidth="1" style="251" min="2061" max="2061"/>
    <col width="12.85546875" customWidth="1" style="251" min="2062" max="2065"/>
    <col width="10.42578125" customWidth="1" style="251" min="2066" max="2067"/>
    <col width="12.28515625" customWidth="1" style="251" min="2068" max="2068"/>
    <col width="10.42578125" customWidth="1" style="251" min="2069" max="2309"/>
    <col width="2.28515625" customWidth="1" style="251" min="2310" max="2311"/>
    <col width="35.42578125" customWidth="1" style="251" min="2312" max="2312"/>
    <col width="14.7109375" customWidth="1" style="251" min="2313" max="2313"/>
    <col width="12.85546875" customWidth="1" style="251" min="2314" max="2316"/>
    <col width="15.5703125" customWidth="1" style="251" min="2317" max="2317"/>
    <col width="12.85546875" customWidth="1" style="251" min="2318" max="2321"/>
    <col width="10.42578125" customWidth="1" style="251" min="2322" max="2323"/>
    <col width="12.28515625" customWidth="1" style="251" min="2324" max="2324"/>
    <col width="10.42578125" customWidth="1" style="251" min="2325" max="2565"/>
    <col width="2.28515625" customWidth="1" style="251" min="2566" max="2567"/>
    <col width="35.42578125" customWidth="1" style="251" min="2568" max="2568"/>
    <col width="14.7109375" customWidth="1" style="251" min="2569" max="2569"/>
    <col width="12.85546875" customWidth="1" style="251" min="2570" max="2572"/>
    <col width="15.5703125" customWidth="1" style="251" min="2573" max="2573"/>
    <col width="12.85546875" customWidth="1" style="251" min="2574" max="2577"/>
    <col width="10.42578125" customWidth="1" style="251" min="2578" max="2579"/>
    <col width="12.28515625" customWidth="1" style="251" min="2580" max="2580"/>
    <col width="10.42578125" customWidth="1" style="251" min="2581" max="2821"/>
    <col width="2.28515625" customWidth="1" style="251" min="2822" max="2823"/>
    <col width="35.42578125" customWidth="1" style="251" min="2824" max="2824"/>
    <col width="14.7109375" customWidth="1" style="251" min="2825" max="2825"/>
    <col width="12.85546875" customWidth="1" style="251" min="2826" max="2828"/>
    <col width="15.5703125" customWidth="1" style="251" min="2829" max="2829"/>
    <col width="12.85546875" customWidth="1" style="251" min="2830" max="2833"/>
    <col width="10.42578125" customWidth="1" style="251" min="2834" max="2835"/>
    <col width="12.28515625" customWidth="1" style="251" min="2836" max="2836"/>
    <col width="10.42578125" customWidth="1" style="251" min="2837" max="3077"/>
    <col width="2.28515625" customWidth="1" style="251" min="3078" max="3079"/>
    <col width="35.42578125" customWidth="1" style="251" min="3080" max="3080"/>
    <col width="14.7109375" customWidth="1" style="251" min="3081" max="3081"/>
    <col width="12.85546875" customWidth="1" style="251" min="3082" max="3084"/>
    <col width="15.5703125" customWidth="1" style="251" min="3085" max="3085"/>
    <col width="12.85546875" customWidth="1" style="251" min="3086" max="3089"/>
    <col width="10.42578125" customWidth="1" style="251" min="3090" max="3091"/>
    <col width="12.28515625" customWidth="1" style="251" min="3092" max="3092"/>
    <col width="10.42578125" customWidth="1" style="251" min="3093" max="3333"/>
    <col width="2.28515625" customWidth="1" style="251" min="3334" max="3335"/>
    <col width="35.42578125" customWidth="1" style="251" min="3336" max="3336"/>
    <col width="14.7109375" customWidth="1" style="251" min="3337" max="3337"/>
    <col width="12.85546875" customWidth="1" style="251" min="3338" max="3340"/>
    <col width="15.5703125" customWidth="1" style="251" min="3341" max="3341"/>
    <col width="12.85546875" customWidth="1" style="251" min="3342" max="3345"/>
    <col width="10.42578125" customWidth="1" style="251" min="3346" max="3347"/>
    <col width="12.28515625" customWidth="1" style="251" min="3348" max="3348"/>
    <col width="10.42578125" customWidth="1" style="251" min="3349" max="3589"/>
    <col width="2.28515625" customWidth="1" style="251" min="3590" max="3591"/>
    <col width="35.42578125" customWidth="1" style="251" min="3592" max="3592"/>
    <col width="14.7109375" customWidth="1" style="251" min="3593" max="3593"/>
    <col width="12.85546875" customWidth="1" style="251" min="3594" max="3596"/>
    <col width="15.5703125" customWidth="1" style="251" min="3597" max="3597"/>
    <col width="12.85546875" customWidth="1" style="251" min="3598" max="3601"/>
    <col width="10.42578125" customWidth="1" style="251" min="3602" max="3603"/>
    <col width="12.28515625" customWidth="1" style="251" min="3604" max="3604"/>
    <col width="10.42578125" customWidth="1" style="251" min="3605" max="3845"/>
    <col width="2.28515625" customWidth="1" style="251" min="3846" max="3847"/>
    <col width="35.42578125" customWidth="1" style="251" min="3848" max="3848"/>
    <col width="14.7109375" customWidth="1" style="251" min="3849" max="3849"/>
    <col width="12.85546875" customWidth="1" style="251" min="3850" max="3852"/>
    <col width="15.5703125" customWidth="1" style="251" min="3853" max="3853"/>
    <col width="12.85546875" customWidth="1" style="251" min="3854" max="3857"/>
    <col width="10.42578125" customWidth="1" style="251" min="3858" max="3859"/>
    <col width="12.28515625" customWidth="1" style="251" min="3860" max="3860"/>
    <col width="10.42578125" customWidth="1" style="251" min="3861" max="4101"/>
    <col width="2.28515625" customWidth="1" style="251" min="4102" max="4103"/>
    <col width="35.42578125" customWidth="1" style="251" min="4104" max="4104"/>
    <col width="14.7109375" customWidth="1" style="251" min="4105" max="4105"/>
    <col width="12.85546875" customWidth="1" style="251" min="4106" max="4108"/>
    <col width="15.5703125" customWidth="1" style="251" min="4109" max="4109"/>
    <col width="12.85546875" customWidth="1" style="251" min="4110" max="4113"/>
    <col width="10.42578125" customWidth="1" style="251" min="4114" max="4115"/>
    <col width="12.28515625" customWidth="1" style="251" min="4116" max="4116"/>
    <col width="10.42578125" customWidth="1" style="251" min="4117" max="4357"/>
    <col width="2.28515625" customWidth="1" style="251" min="4358" max="4359"/>
    <col width="35.42578125" customWidth="1" style="251" min="4360" max="4360"/>
    <col width="14.7109375" customWidth="1" style="251" min="4361" max="4361"/>
    <col width="12.85546875" customWidth="1" style="251" min="4362" max="4364"/>
    <col width="15.5703125" customWidth="1" style="251" min="4365" max="4365"/>
    <col width="12.85546875" customWidth="1" style="251" min="4366" max="4369"/>
    <col width="10.42578125" customWidth="1" style="251" min="4370" max="4371"/>
    <col width="12.28515625" customWidth="1" style="251" min="4372" max="4372"/>
    <col width="10.42578125" customWidth="1" style="251" min="4373" max="4613"/>
    <col width="2.28515625" customWidth="1" style="251" min="4614" max="4615"/>
    <col width="35.42578125" customWidth="1" style="251" min="4616" max="4616"/>
    <col width="14.7109375" customWidth="1" style="251" min="4617" max="4617"/>
    <col width="12.85546875" customWidth="1" style="251" min="4618" max="4620"/>
    <col width="15.5703125" customWidth="1" style="251" min="4621" max="4621"/>
    <col width="12.85546875" customWidth="1" style="251" min="4622" max="4625"/>
    <col width="10.42578125" customWidth="1" style="251" min="4626" max="4627"/>
    <col width="12.28515625" customWidth="1" style="251" min="4628" max="4628"/>
    <col width="10.42578125" customWidth="1" style="251" min="4629" max="4869"/>
    <col width="2.28515625" customWidth="1" style="251" min="4870" max="4871"/>
    <col width="35.42578125" customWidth="1" style="251" min="4872" max="4872"/>
    <col width="14.7109375" customWidth="1" style="251" min="4873" max="4873"/>
    <col width="12.85546875" customWidth="1" style="251" min="4874" max="4876"/>
    <col width="15.5703125" customWidth="1" style="251" min="4877" max="4877"/>
    <col width="12.85546875" customWidth="1" style="251" min="4878" max="4881"/>
    <col width="10.42578125" customWidth="1" style="251" min="4882" max="4883"/>
    <col width="12.28515625" customWidth="1" style="251" min="4884" max="4884"/>
    <col width="10.42578125" customWidth="1" style="251" min="4885" max="5125"/>
    <col width="2.28515625" customWidth="1" style="251" min="5126" max="5127"/>
    <col width="35.42578125" customWidth="1" style="251" min="5128" max="5128"/>
    <col width="14.7109375" customWidth="1" style="251" min="5129" max="5129"/>
    <col width="12.85546875" customWidth="1" style="251" min="5130" max="5132"/>
    <col width="15.5703125" customWidth="1" style="251" min="5133" max="5133"/>
    <col width="12.85546875" customWidth="1" style="251" min="5134" max="5137"/>
    <col width="10.42578125" customWidth="1" style="251" min="5138" max="5139"/>
    <col width="12.28515625" customWidth="1" style="251" min="5140" max="5140"/>
    <col width="10.42578125" customWidth="1" style="251" min="5141" max="5381"/>
    <col width="2.28515625" customWidth="1" style="251" min="5382" max="5383"/>
    <col width="35.42578125" customWidth="1" style="251" min="5384" max="5384"/>
    <col width="14.7109375" customWidth="1" style="251" min="5385" max="5385"/>
    <col width="12.85546875" customWidth="1" style="251" min="5386" max="5388"/>
    <col width="15.5703125" customWidth="1" style="251" min="5389" max="5389"/>
    <col width="12.85546875" customWidth="1" style="251" min="5390" max="5393"/>
    <col width="10.42578125" customWidth="1" style="251" min="5394" max="5395"/>
    <col width="12.28515625" customWidth="1" style="251" min="5396" max="5396"/>
    <col width="10.42578125" customWidth="1" style="251" min="5397" max="5637"/>
    <col width="2.28515625" customWidth="1" style="251" min="5638" max="5639"/>
    <col width="35.42578125" customWidth="1" style="251" min="5640" max="5640"/>
    <col width="14.7109375" customWidth="1" style="251" min="5641" max="5641"/>
    <col width="12.85546875" customWidth="1" style="251" min="5642" max="5644"/>
    <col width="15.5703125" customWidth="1" style="251" min="5645" max="5645"/>
    <col width="12.85546875" customWidth="1" style="251" min="5646" max="5649"/>
    <col width="10.42578125" customWidth="1" style="251" min="5650" max="5651"/>
    <col width="12.28515625" customWidth="1" style="251" min="5652" max="5652"/>
    <col width="10.42578125" customWidth="1" style="251" min="5653" max="5893"/>
    <col width="2.28515625" customWidth="1" style="251" min="5894" max="5895"/>
    <col width="35.42578125" customWidth="1" style="251" min="5896" max="5896"/>
    <col width="14.7109375" customWidth="1" style="251" min="5897" max="5897"/>
    <col width="12.85546875" customWidth="1" style="251" min="5898" max="5900"/>
    <col width="15.5703125" customWidth="1" style="251" min="5901" max="5901"/>
    <col width="12.85546875" customWidth="1" style="251" min="5902" max="5905"/>
    <col width="10.42578125" customWidth="1" style="251" min="5906" max="5907"/>
    <col width="12.28515625" customWidth="1" style="251" min="5908" max="5908"/>
    <col width="10.42578125" customWidth="1" style="251" min="5909" max="6149"/>
    <col width="2.28515625" customWidth="1" style="251" min="6150" max="6151"/>
    <col width="35.42578125" customWidth="1" style="251" min="6152" max="6152"/>
    <col width="14.7109375" customWidth="1" style="251" min="6153" max="6153"/>
    <col width="12.85546875" customWidth="1" style="251" min="6154" max="6156"/>
    <col width="15.5703125" customWidth="1" style="251" min="6157" max="6157"/>
    <col width="12.85546875" customWidth="1" style="251" min="6158" max="6161"/>
    <col width="10.42578125" customWidth="1" style="251" min="6162" max="6163"/>
    <col width="12.28515625" customWidth="1" style="251" min="6164" max="6164"/>
    <col width="10.42578125" customWidth="1" style="251" min="6165" max="6405"/>
    <col width="2.28515625" customWidth="1" style="251" min="6406" max="6407"/>
    <col width="35.42578125" customWidth="1" style="251" min="6408" max="6408"/>
    <col width="14.7109375" customWidth="1" style="251" min="6409" max="6409"/>
    <col width="12.85546875" customWidth="1" style="251" min="6410" max="6412"/>
    <col width="15.5703125" customWidth="1" style="251" min="6413" max="6413"/>
    <col width="12.85546875" customWidth="1" style="251" min="6414" max="6417"/>
    <col width="10.42578125" customWidth="1" style="251" min="6418" max="6419"/>
    <col width="12.28515625" customWidth="1" style="251" min="6420" max="6420"/>
    <col width="10.42578125" customWidth="1" style="251" min="6421" max="6661"/>
    <col width="2.28515625" customWidth="1" style="251" min="6662" max="6663"/>
    <col width="35.42578125" customWidth="1" style="251" min="6664" max="6664"/>
    <col width="14.7109375" customWidth="1" style="251" min="6665" max="6665"/>
    <col width="12.85546875" customWidth="1" style="251" min="6666" max="6668"/>
    <col width="15.5703125" customWidth="1" style="251" min="6669" max="6669"/>
    <col width="12.85546875" customWidth="1" style="251" min="6670" max="6673"/>
    <col width="10.42578125" customWidth="1" style="251" min="6674" max="6675"/>
    <col width="12.28515625" customWidth="1" style="251" min="6676" max="6676"/>
    <col width="10.42578125" customWidth="1" style="251" min="6677" max="6917"/>
    <col width="2.28515625" customWidth="1" style="251" min="6918" max="6919"/>
    <col width="35.42578125" customWidth="1" style="251" min="6920" max="6920"/>
    <col width="14.7109375" customWidth="1" style="251" min="6921" max="6921"/>
    <col width="12.85546875" customWidth="1" style="251" min="6922" max="6924"/>
    <col width="15.5703125" customWidth="1" style="251" min="6925" max="6925"/>
    <col width="12.85546875" customWidth="1" style="251" min="6926" max="6929"/>
    <col width="10.42578125" customWidth="1" style="251" min="6930" max="6931"/>
    <col width="12.28515625" customWidth="1" style="251" min="6932" max="6932"/>
    <col width="10.42578125" customWidth="1" style="251" min="6933" max="7173"/>
    <col width="2.28515625" customWidth="1" style="251" min="7174" max="7175"/>
    <col width="35.42578125" customWidth="1" style="251" min="7176" max="7176"/>
    <col width="14.7109375" customWidth="1" style="251" min="7177" max="7177"/>
    <col width="12.85546875" customWidth="1" style="251" min="7178" max="7180"/>
    <col width="15.5703125" customWidth="1" style="251" min="7181" max="7181"/>
    <col width="12.85546875" customWidth="1" style="251" min="7182" max="7185"/>
    <col width="10.42578125" customWidth="1" style="251" min="7186" max="7187"/>
    <col width="12.28515625" customWidth="1" style="251" min="7188" max="7188"/>
    <col width="10.42578125" customWidth="1" style="251" min="7189" max="7429"/>
    <col width="2.28515625" customWidth="1" style="251" min="7430" max="7431"/>
    <col width="35.42578125" customWidth="1" style="251" min="7432" max="7432"/>
    <col width="14.7109375" customWidth="1" style="251" min="7433" max="7433"/>
    <col width="12.85546875" customWidth="1" style="251" min="7434" max="7436"/>
    <col width="15.5703125" customWidth="1" style="251" min="7437" max="7437"/>
    <col width="12.85546875" customWidth="1" style="251" min="7438" max="7441"/>
    <col width="10.42578125" customWidth="1" style="251" min="7442" max="7443"/>
    <col width="12.28515625" customWidth="1" style="251" min="7444" max="7444"/>
    <col width="10.42578125" customWidth="1" style="251" min="7445" max="7685"/>
    <col width="2.28515625" customWidth="1" style="251" min="7686" max="7687"/>
    <col width="35.42578125" customWidth="1" style="251" min="7688" max="7688"/>
    <col width="14.7109375" customWidth="1" style="251" min="7689" max="7689"/>
    <col width="12.85546875" customWidth="1" style="251" min="7690" max="7692"/>
    <col width="15.5703125" customWidth="1" style="251" min="7693" max="7693"/>
    <col width="12.85546875" customWidth="1" style="251" min="7694" max="7697"/>
    <col width="10.42578125" customWidth="1" style="251" min="7698" max="7699"/>
    <col width="12.28515625" customWidth="1" style="251" min="7700" max="7700"/>
    <col width="10.42578125" customWidth="1" style="251" min="7701" max="7941"/>
    <col width="2.28515625" customWidth="1" style="251" min="7942" max="7943"/>
    <col width="35.42578125" customWidth="1" style="251" min="7944" max="7944"/>
    <col width="14.7109375" customWidth="1" style="251" min="7945" max="7945"/>
    <col width="12.85546875" customWidth="1" style="251" min="7946" max="7948"/>
    <col width="15.5703125" customWidth="1" style="251" min="7949" max="7949"/>
    <col width="12.85546875" customWidth="1" style="251" min="7950" max="7953"/>
    <col width="10.42578125" customWidth="1" style="251" min="7954" max="7955"/>
    <col width="12.28515625" customWidth="1" style="251" min="7956" max="7956"/>
    <col width="10.42578125" customWidth="1" style="251" min="7957" max="8197"/>
    <col width="2.28515625" customWidth="1" style="251" min="8198" max="8199"/>
    <col width="35.42578125" customWidth="1" style="251" min="8200" max="8200"/>
    <col width="14.7109375" customWidth="1" style="251" min="8201" max="8201"/>
    <col width="12.85546875" customWidth="1" style="251" min="8202" max="8204"/>
    <col width="15.5703125" customWidth="1" style="251" min="8205" max="8205"/>
    <col width="12.85546875" customWidth="1" style="251" min="8206" max="8209"/>
    <col width="10.42578125" customWidth="1" style="251" min="8210" max="8211"/>
    <col width="12.28515625" customWidth="1" style="251" min="8212" max="8212"/>
    <col width="10.42578125" customWidth="1" style="251" min="8213" max="8453"/>
    <col width="2.28515625" customWidth="1" style="251" min="8454" max="8455"/>
    <col width="35.42578125" customWidth="1" style="251" min="8456" max="8456"/>
    <col width="14.7109375" customWidth="1" style="251" min="8457" max="8457"/>
    <col width="12.85546875" customWidth="1" style="251" min="8458" max="8460"/>
    <col width="15.5703125" customWidth="1" style="251" min="8461" max="8461"/>
    <col width="12.85546875" customWidth="1" style="251" min="8462" max="8465"/>
    <col width="10.42578125" customWidth="1" style="251" min="8466" max="8467"/>
    <col width="12.28515625" customWidth="1" style="251" min="8468" max="8468"/>
    <col width="10.42578125" customWidth="1" style="251" min="8469" max="8709"/>
    <col width="2.28515625" customWidth="1" style="251" min="8710" max="8711"/>
    <col width="35.42578125" customWidth="1" style="251" min="8712" max="8712"/>
    <col width="14.7109375" customWidth="1" style="251" min="8713" max="8713"/>
    <col width="12.85546875" customWidth="1" style="251" min="8714" max="8716"/>
    <col width="15.5703125" customWidth="1" style="251" min="8717" max="8717"/>
    <col width="12.85546875" customWidth="1" style="251" min="8718" max="8721"/>
    <col width="10.42578125" customWidth="1" style="251" min="8722" max="8723"/>
    <col width="12.28515625" customWidth="1" style="251" min="8724" max="8724"/>
    <col width="10.42578125" customWidth="1" style="251" min="8725" max="8965"/>
    <col width="2.28515625" customWidth="1" style="251" min="8966" max="8967"/>
    <col width="35.42578125" customWidth="1" style="251" min="8968" max="8968"/>
    <col width="14.7109375" customWidth="1" style="251" min="8969" max="8969"/>
    <col width="12.85546875" customWidth="1" style="251" min="8970" max="8972"/>
    <col width="15.5703125" customWidth="1" style="251" min="8973" max="8973"/>
    <col width="12.85546875" customWidth="1" style="251" min="8974" max="8977"/>
    <col width="10.42578125" customWidth="1" style="251" min="8978" max="8979"/>
    <col width="12.28515625" customWidth="1" style="251" min="8980" max="8980"/>
    <col width="10.42578125" customWidth="1" style="251" min="8981" max="9221"/>
    <col width="2.28515625" customWidth="1" style="251" min="9222" max="9223"/>
    <col width="35.42578125" customWidth="1" style="251" min="9224" max="9224"/>
    <col width="14.7109375" customWidth="1" style="251" min="9225" max="9225"/>
    <col width="12.85546875" customWidth="1" style="251" min="9226" max="9228"/>
    <col width="15.5703125" customWidth="1" style="251" min="9229" max="9229"/>
    <col width="12.85546875" customWidth="1" style="251" min="9230" max="9233"/>
    <col width="10.42578125" customWidth="1" style="251" min="9234" max="9235"/>
    <col width="12.28515625" customWidth="1" style="251" min="9236" max="9236"/>
    <col width="10.42578125" customWidth="1" style="251" min="9237" max="9477"/>
    <col width="2.28515625" customWidth="1" style="251" min="9478" max="9479"/>
    <col width="35.42578125" customWidth="1" style="251" min="9480" max="9480"/>
    <col width="14.7109375" customWidth="1" style="251" min="9481" max="9481"/>
    <col width="12.85546875" customWidth="1" style="251" min="9482" max="9484"/>
    <col width="15.5703125" customWidth="1" style="251" min="9485" max="9485"/>
    <col width="12.85546875" customWidth="1" style="251" min="9486" max="9489"/>
    <col width="10.42578125" customWidth="1" style="251" min="9490" max="9491"/>
    <col width="12.28515625" customWidth="1" style="251" min="9492" max="9492"/>
    <col width="10.42578125" customWidth="1" style="251" min="9493" max="9733"/>
    <col width="2.28515625" customWidth="1" style="251" min="9734" max="9735"/>
    <col width="35.42578125" customWidth="1" style="251" min="9736" max="9736"/>
    <col width="14.7109375" customWidth="1" style="251" min="9737" max="9737"/>
    <col width="12.85546875" customWidth="1" style="251" min="9738" max="9740"/>
    <col width="15.5703125" customWidth="1" style="251" min="9741" max="9741"/>
    <col width="12.85546875" customWidth="1" style="251" min="9742" max="9745"/>
    <col width="10.42578125" customWidth="1" style="251" min="9746" max="9747"/>
    <col width="12.28515625" customWidth="1" style="251" min="9748" max="9748"/>
    <col width="10.42578125" customWidth="1" style="251" min="9749" max="9989"/>
    <col width="2.28515625" customWidth="1" style="251" min="9990" max="9991"/>
    <col width="35.42578125" customWidth="1" style="251" min="9992" max="9992"/>
    <col width="14.7109375" customWidth="1" style="251" min="9993" max="9993"/>
    <col width="12.85546875" customWidth="1" style="251" min="9994" max="9996"/>
    <col width="15.5703125" customWidth="1" style="251" min="9997" max="9997"/>
    <col width="12.85546875" customWidth="1" style="251" min="9998" max="10001"/>
    <col width="10.42578125" customWidth="1" style="251" min="10002" max="10003"/>
    <col width="12.28515625" customWidth="1" style="251" min="10004" max="10004"/>
    <col width="10.42578125" customWidth="1" style="251" min="10005" max="10245"/>
    <col width="2.28515625" customWidth="1" style="251" min="10246" max="10247"/>
    <col width="35.42578125" customWidth="1" style="251" min="10248" max="10248"/>
    <col width="14.7109375" customWidth="1" style="251" min="10249" max="10249"/>
    <col width="12.85546875" customWidth="1" style="251" min="10250" max="10252"/>
    <col width="15.5703125" customWidth="1" style="251" min="10253" max="10253"/>
    <col width="12.85546875" customWidth="1" style="251" min="10254" max="10257"/>
    <col width="10.42578125" customWidth="1" style="251" min="10258" max="10259"/>
    <col width="12.28515625" customWidth="1" style="251" min="10260" max="10260"/>
    <col width="10.42578125" customWidth="1" style="251" min="10261" max="10501"/>
    <col width="2.28515625" customWidth="1" style="251" min="10502" max="10503"/>
    <col width="35.42578125" customWidth="1" style="251" min="10504" max="10504"/>
    <col width="14.7109375" customWidth="1" style="251" min="10505" max="10505"/>
    <col width="12.85546875" customWidth="1" style="251" min="10506" max="10508"/>
    <col width="15.5703125" customWidth="1" style="251" min="10509" max="10509"/>
    <col width="12.85546875" customWidth="1" style="251" min="10510" max="10513"/>
    <col width="10.42578125" customWidth="1" style="251" min="10514" max="10515"/>
    <col width="12.28515625" customWidth="1" style="251" min="10516" max="10516"/>
    <col width="10.42578125" customWidth="1" style="251" min="10517" max="10757"/>
    <col width="2.28515625" customWidth="1" style="251" min="10758" max="10759"/>
    <col width="35.42578125" customWidth="1" style="251" min="10760" max="10760"/>
    <col width="14.7109375" customWidth="1" style="251" min="10761" max="10761"/>
    <col width="12.85546875" customWidth="1" style="251" min="10762" max="10764"/>
    <col width="15.5703125" customWidth="1" style="251" min="10765" max="10765"/>
    <col width="12.85546875" customWidth="1" style="251" min="10766" max="10769"/>
    <col width="10.42578125" customWidth="1" style="251" min="10770" max="10771"/>
    <col width="12.28515625" customWidth="1" style="251" min="10772" max="10772"/>
    <col width="10.42578125" customWidth="1" style="251" min="10773" max="11013"/>
    <col width="2.28515625" customWidth="1" style="251" min="11014" max="11015"/>
    <col width="35.42578125" customWidth="1" style="251" min="11016" max="11016"/>
    <col width="14.7109375" customWidth="1" style="251" min="11017" max="11017"/>
    <col width="12.85546875" customWidth="1" style="251" min="11018" max="11020"/>
    <col width="15.5703125" customWidth="1" style="251" min="11021" max="11021"/>
    <col width="12.85546875" customWidth="1" style="251" min="11022" max="11025"/>
    <col width="10.42578125" customWidth="1" style="251" min="11026" max="11027"/>
    <col width="12.28515625" customWidth="1" style="251" min="11028" max="11028"/>
    <col width="10.42578125" customWidth="1" style="251" min="11029" max="11269"/>
    <col width="2.28515625" customWidth="1" style="251" min="11270" max="11271"/>
    <col width="35.42578125" customWidth="1" style="251" min="11272" max="11272"/>
    <col width="14.7109375" customWidth="1" style="251" min="11273" max="11273"/>
    <col width="12.85546875" customWidth="1" style="251" min="11274" max="11276"/>
    <col width="15.5703125" customWidth="1" style="251" min="11277" max="11277"/>
    <col width="12.85546875" customWidth="1" style="251" min="11278" max="11281"/>
    <col width="10.42578125" customWidth="1" style="251" min="11282" max="11283"/>
    <col width="12.28515625" customWidth="1" style="251" min="11284" max="11284"/>
    <col width="10.42578125" customWidth="1" style="251" min="11285" max="11525"/>
    <col width="2.28515625" customWidth="1" style="251" min="11526" max="11527"/>
    <col width="35.42578125" customWidth="1" style="251" min="11528" max="11528"/>
    <col width="14.7109375" customWidth="1" style="251" min="11529" max="11529"/>
    <col width="12.85546875" customWidth="1" style="251" min="11530" max="11532"/>
    <col width="15.5703125" customWidth="1" style="251" min="11533" max="11533"/>
    <col width="12.85546875" customWidth="1" style="251" min="11534" max="11537"/>
    <col width="10.42578125" customWidth="1" style="251" min="11538" max="11539"/>
    <col width="12.28515625" customWidth="1" style="251" min="11540" max="11540"/>
    <col width="10.42578125" customWidth="1" style="251" min="11541" max="11781"/>
    <col width="2.28515625" customWidth="1" style="251" min="11782" max="11783"/>
    <col width="35.42578125" customWidth="1" style="251" min="11784" max="11784"/>
    <col width="14.7109375" customWidth="1" style="251" min="11785" max="11785"/>
    <col width="12.85546875" customWidth="1" style="251" min="11786" max="11788"/>
    <col width="15.5703125" customWidth="1" style="251" min="11789" max="11789"/>
    <col width="12.85546875" customWidth="1" style="251" min="11790" max="11793"/>
    <col width="10.42578125" customWidth="1" style="251" min="11794" max="11795"/>
    <col width="12.28515625" customWidth="1" style="251" min="11796" max="11796"/>
    <col width="10.42578125" customWidth="1" style="251" min="11797" max="12037"/>
    <col width="2.28515625" customWidth="1" style="251" min="12038" max="12039"/>
    <col width="35.42578125" customWidth="1" style="251" min="12040" max="12040"/>
    <col width="14.7109375" customWidth="1" style="251" min="12041" max="12041"/>
    <col width="12.85546875" customWidth="1" style="251" min="12042" max="12044"/>
    <col width="15.5703125" customWidth="1" style="251" min="12045" max="12045"/>
    <col width="12.85546875" customWidth="1" style="251" min="12046" max="12049"/>
    <col width="10.42578125" customWidth="1" style="251" min="12050" max="12051"/>
    <col width="12.28515625" customWidth="1" style="251" min="12052" max="12052"/>
    <col width="10.42578125" customWidth="1" style="251" min="12053" max="12293"/>
    <col width="2.28515625" customWidth="1" style="251" min="12294" max="12295"/>
    <col width="35.42578125" customWidth="1" style="251" min="12296" max="12296"/>
    <col width="14.7109375" customWidth="1" style="251" min="12297" max="12297"/>
    <col width="12.85546875" customWidth="1" style="251" min="12298" max="12300"/>
    <col width="15.5703125" customWidth="1" style="251" min="12301" max="12301"/>
    <col width="12.85546875" customWidth="1" style="251" min="12302" max="12305"/>
    <col width="10.42578125" customWidth="1" style="251" min="12306" max="12307"/>
    <col width="12.28515625" customWidth="1" style="251" min="12308" max="12308"/>
    <col width="10.42578125" customWidth="1" style="251" min="12309" max="12549"/>
    <col width="2.28515625" customWidth="1" style="251" min="12550" max="12551"/>
    <col width="35.42578125" customWidth="1" style="251" min="12552" max="12552"/>
    <col width="14.7109375" customWidth="1" style="251" min="12553" max="12553"/>
    <col width="12.85546875" customWidth="1" style="251" min="12554" max="12556"/>
    <col width="15.5703125" customWidth="1" style="251" min="12557" max="12557"/>
    <col width="12.85546875" customWidth="1" style="251" min="12558" max="12561"/>
    <col width="10.42578125" customWidth="1" style="251" min="12562" max="12563"/>
    <col width="12.28515625" customWidth="1" style="251" min="12564" max="12564"/>
    <col width="10.42578125" customWidth="1" style="251" min="12565" max="12805"/>
    <col width="2.28515625" customWidth="1" style="251" min="12806" max="12807"/>
    <col width="35.42578125" customWidth="1" style="251" min="12808" max="12808"/>
    <col width="14.7109375" customWidth="1" style="251" min="12809" max="12809"/>
    <col width="12.85546875" customWidth="1" style="251" min="12810" max="12812"/>
    <col width="15.5703125" customWidth="1" style="251" min="12813" max="12813"/>
    <col width="12.85546875" customWidth="1" style="251" min="12814" max="12817"/>
    <col width="10.42578125" customWidth="1" style="251" min="12818" max="12819"/>
    <col width="12.28515625" customWidth="1" style="251" min="12820" max="12820"/>
    <col width="10.42578125" customWidth="1" style="251" min="12821" max="13061"/>
    <col width="2.28515625" customWidth="1" style="251" min="13062" max="13063"/>
    <col width="35.42578125" customWidth="1" style="251" min="13064" max="13064"/>
    <col width="14.7109375" customWidth="1" style="251" min="13065" max="13065"/>
    <col width="12.85546875" customWidth="1" style="251" min="13066" max="13068"/>
    <col width="15.5703125" customWidth="1" style="251" min="13069" max="13069"/>
    <col width="12.85546875" customWidth="1" style="251" min="13070" max="13073"/>
    <col width="10.42578125" customWidth="1" style="251" min="13074" max="13075"/>
    <col width="12.28515625" customWidth="1" style="251" min="13076" max="13076"/>
    <col width="10.42578125" customWidth="1" style="251" min="13077" max="13317"/>
    <col width="2.28515625" customWidth="1" style="251" min="13318" max="13319"/>
    <col width="35.42578125" customWidth="1" style="251" min="13320" max="13320"/>
    <col width="14.7109375" customWidth="1" style="251" min="13321" max="13321"/>
    <col width="12.85546875" customWidth="1" style="251" min="13322" max="13324"/>
    <col width="15.5703125" customWidth="1" style="251" min="13325" max="13325"/>
    <col width="12.85546875" customWidth="1" style="251" min="13326" max="13329"/>
    <col width="10.42578125" customWidth="1" style="251" min="13330" max="13331"/>
    <col width="12.28515625" customWidth="1" style="251" min="13332" max="13332"/>
    <col width="10.42578125" customWidth="1" style="251" min="13333" max="13573"/>
    <col width="2.28515625" customWidth="1" style="251" min="13574" max="13575"/>
    <col width="35.42578125" customWidth="1" style="251" min="13576" max="13576"/>
    <col width="14.7109375" customWidth="1" style="251" min="13577" max="13577"/>
    <col width="12.85546875" customWidth="1" style="251" min="13578" max="13580"/>
    <col width="15.5703125" customWidth="1" style="251" min="13581" max="13581"/>
    <col width="12.85546875" customWidth="1" style="251" min="13582" max="13585"/>
    <col width="10.42578125" customWidth="1" style="251" min="13586" max="13587"/>
    <col width="12.28515625" customWidth="1" style="251" min="13588" max="13588"/>
    <col width="10.42578125" customWidth="1" style="251" min="13589" max="13829"/>
    <col width="2.28515625" customWidth="1" style="251" min="13830" max="13831"/>
    <col width="35.42578125" customWidth="1" style="251" min="13832" max="13832"/>
    <col width="14.7109375" customWidth="1" style="251" min="13833" max="13833"/>
    <col width="12.85546875" customWidth="1" style="251" min="13834" max="13836"/>
    <col width="15.5703125" customWidth="1" style="251" min="13837" max="13837"/>
    <col width="12.85546875" customWidth="1" style="251" min="13838" max="13841"/>
    <col width="10.42578125" customWidth="1" style="251" min="13842" max="13843"/>
    <col width="12.28515625" customWidth="1" style="251" min="13844" max="13844"/>
    <col width="10.42578125" customWidth="1" style="251" min="13845" max="14085"/>
    <col width="2.28515625" customWidth="1" style="251" min="14086" max="14087"/>
    <col width="35.42578125" customWidth="1" style="251" min="14088" max="14088"/>
    <col width="14.7109375" customWidth="1" style="251" min="14089" max="14089"/>
    <col width="12.85546875" customWidth="1" style="251" min="14090" max="14092"/>
    <col width="15.5703125" customWidth="1" style="251" min="14093" max="14093"/>
    <col width="12.85546875" customWidth="1" style="251" min="14094" max="14097"/>
    <col width="10.42578125" customWidth="1" style="251" min="14098" max="14099"/>
    <col width="12.28515625" customWidth="1" style="251" min="14100" max="14100"/>
    <col width="10.42578125" customWidth="1" style="251" min="14101" max="14341"/>
    <col width="2.28515625" customWidth="1" style="251" min="14342" max="14343"/>
    <col width="35.42578125" customWidth="1" style="251" min="14344" max="14344"/>
    <col width="14.7109375" customWidth="1" style="251" min="14345" max="14345"/>
    <col width="12.85546875" customWidth="1" style="251" min="14346" max="14348"/>
    <col width="15.5703125" customWidth="1" style="251" min="14349" max="14349"/>
    <col width="12.85546875" customWidth="1" style="251" min="14350" max="14353"/>
    <col width="10.42578125" customWidth="1" style="251" min="14354" max="14355"/>
    <col width="12.28515625" customWidth="1" style="251" min="14356" max="14356"/>
    <col width="10.42578125" customWidth="1" style="251" min="14357" max="14597"/>
    <col width="2.28515625" customWidth="1" style="251" min="14598" max="14599"/>
    <col width="35.42578125" customWidth="1" style="251" min="14600" max="14600"/>
    <col width="14.7109375" customWidth="1" style="251" min="14601" max="14601"/>
    <col width="12.85546875" customWidth="1" style="251" min="14602" max="14604"/>
    <col width="15.5703125" customWidth="1" style="251" min="14605" max="14605"/>
    <col width="12.85546875" customWidth="1" style="251" min="14606" max="14609"/>
    <col width="10.42578125" customWidth="1" style="251" min="14610" max="14611"/>
    <col width="12.28515625" customWidth="1" style="251" min="14612" max="14612"/>
    <col width="10.42578125" customWidth="1" style="251" min="14613" max="14853"/>
    <col width="2.28515625" customWidth="1" style="251" min="14854" max="14855"/>
    <col width="35.42578125" customWidth="1" style="251" min="14856" max="14856"/>
    <col width="14.7109375" customWidth="1" style="251" min="14857" max="14857"/>
    <col width="12.85546875" customWidth="1" style="251" min="14858" max="14860"/>
    <col width="15.5703125" customWidth="1" style="251" min="14861" max="14861"/>
    <col width="12.85546875" customWidth="1" style="251" min="14862" max="14865"/>
    <col width="10.42578125" customWidth="1" style="251" min="14866" max="14867"/>
    <col width="12.28515625" customWidth="1" style="251" min="14868" max="14868"/>
    <col width="10.42578125" customWidth="1" style="251" min="14869" max="15109"/>
    <col width="2.28515625" customWidth="1" style="251" min="15110" max="15111"/>
    <col width="35.42578125" customWidth="1" style="251" min="15112" max="15112"/>
    <col width="14.7109375" customWidth="1" style="251" min="15113" max="15113"/>
    <col width="12.85546875" customWidth="1" style="251" min="15114" max="15116"/>
    <col width="15.5703125" customWidth="1" style="251" min="15117" max="15117"/>
    <col width="12.85546875" customWidth="1" style="251" min="15118" max="15121"/>
    <col width="10.42578125" customWidth="1" style="251" min="15122" max="15123"/>
    <col width="12.28515625" customWidth="1" style="251" min="15124" max="15124"/>
    <col width="10.42578125" customWidth="1" style="251" min="15125" max="15365"/>
    <col width="2.28515625" customWidth="1" style="251" min="15366" max="15367"/>
    <col width="35.42578125" customWidth="1" style="251" min="15368" max="15368"/>
    <col width="14.7109375" customWidth="1" style="251" min="15369" max="15369"/>
    <col width="12.85546875" customWidth="1" style="251" min="15370" max="15372"/>
    <col width="15.5703125" customWidth="1" style="251" min="15373" max="15373"/>
    <col width="12.85546875" customWidth="1" style="251" min="15374" max="15377"/>
    <col width="10.42578125" customWidth="1" style="251" min="15378" max="15379"/>
    <col width="12.28515625" customWidth="1" style="251" min="15380" max="15380"/>
    <col width="10.42578125" customWidth="1" style="251" min="15381" max="15621"/>
    <col width="2.28515625" customWidth="1" style="251" min="15622" max="15623"/>
    <col width="35.42578125" customWidth="1" style="251" min="15624" max="15624"/>
    <col width="14.7109375" customWidth="1" style="251" min="15625" max="15625"/>
    <col width="12.85546875" customWidth="1" style="251" min="15626" max="15628"/>
    <col width="15.5703125" customWidth="1" style="251" min="15629" max="15629"/>
    <col width="12.85546875" customWidth="1" style="251" min="15630" max="15633"/>
    <col width="10.42578125" customWidth="1" style="251" min="15634" max="15635"/>
    <col width="12.28515625" customWidth="1" style="251" min="15636" max="15636"/>
    <col width="10.42578125" customWidth="1" style="251" min="15637" max="15877"/>
    <col width="2.28515625" customWidth="1" style="251" min="15878" max="15879"/>
    <col width="35.42578125" customWidth="1" style="251" min="15880" max="15880"/>
    <col width="14.7109375" customWidth="1" style="251" min="15881" max="15881"/>
    <col width="12.85546875" customWidth="1" style="251" min="15882" max="15884"/>
    <col width="15.5703125" customWidth="1" style="251" min="15885" max="15885"/>
    <col width="12.85546875" customWidth="1" style="251" min="15886" max="15889"/>
    <col width="10.42578125" customWidth="1" style="251" min="15890" max="15891"/>
    <col width="12.28515625" customWidth="1" style="251" min="15892" max="15892"/>
    <col width="10.42578125" customWidth="1" style="251" min="15893" max="16133"/>
    <col width="2.28515625" customWidth="1" style="251" min="16134" max="16135"/>
    <col width="35.42578125" customWidth="1" style="251" min="16136" max="16136"/>
    <col width="14.7109375" customWidth="1" style="251" min="16137" max="16137"/>
    <col width="12.85546875" customWidth="1" style="251" min="16138" max="16140"/>
    <col width="15.5703125" customWidth="1" style="251" min="16141" max="16141"/>
    <col width="12.85546875" customWidth="1" style="251" min="16142" max="16145"/>
    <col width="10.42578125" customWidth="1" style="251" min="16146" max="16147"/>
    <col width="12.28515625" customWidth="1" style="251" min="16148" max="16148"/>
    <col width="10.42578125" customWidth="1" style="251" min="16149" max="16384"/>
  </cols>
  <sheetData>
    <row r="1" ht="6.75" customFormat="1" customHeight="1" s="93"/>
    <row r="2" ht="6.75" customFormat="1" customHeight="1" s="93"/>
    <row r="3">
      <c r="C3" s="251" t="inlineStr">
        <is>
          <t>Discounted Cash Flow Model</t>
        </is>
      </c>
    </row>
    <row r="4" ht="13.5" customHeight="1">
      <c r="C4" s="94" t="inlineStr">
        <is>
          <t>All figures in millions, except per share data</t>
        </is>
      </c>
      <c r="D4" s="94" t="n"/>
      <c r="E4" s="94" t="n"/>
      <c r="F4" s="94" t="n"/>
      <c r="G4" s="94" t="n"/>
      <c r="H4" s="94" t="n"/>
      <c r="I4" s="94" t="n"/>
      <c r="J4" s="94" t="n"/>
      <c r="K4" s="94" t="n"/>
      <c r="L4" s="94" t="n"/>
      <c r="M4" s="94" t="n"/>
      <c r="N4" s="94" t="n"/>
      <c r="O4" s="94" t="n"/>
      <c r="P4" s="94" t="n"/>
      <c r="Q4" s="94" t="n"/>
      <c r="R4" s="94" t="n"/>
      <c r="S4" s="94" t="n"/>
      <c r="T4" s="94" t="n"/>
      <c r="U4" s="94" t="n"/>
      <c r="V4" s="94" t="n"/>
    </row>
    <row r="5"/>
    <row r="6"/>
    <row r="7">
      <c r="C7" s="251" t="inlineStr">
        <is>
          <t>Ticker</t>
        </is>
      </c>
      <c r="D7" s="95" t="str">
        <f>IFERROR(IF(Control!B4="","",Control!B4),"")</f>
        <v>General Electric Company) (GE</v>
      </c>
      <c r="F7" s="251" t="inlineStr">
        <is>
          <t>Last close</t>
        </is>
      </c>
      <c r="G7" s="96" t="str">
        <f>IFERROR(IF(Control!E4="","",Control!E4),"")</f>
        <v/>
      </c>
    </row>
    <row r="8">
      <c r="C8" s="251" t="inlineStr">
        <is>
          <t>Operating scenario:</t>
        </is>
      </c>
      <c r="D8" s="97" t="str">
        <f>IFERROR(IF(Control!B10=1,"Bull Case",IF(Control!B10=2,"Base Case","Bear Case")),"")</f>
        <v>Base Case</v>
      </c>
    </row>
    <row r="9">
      <c r="C9" s="251" t="inlineStr">
        <is>
          <t>Last fiscal year end date:</t>
        </is>
      </c>
      <c r="D9" s="98" t="str">
        <f>IFERROR(IF(Control!B12="","",DATE(YEAR(Control!B12)-1,12,31)),"")</f>
        <v/>
      </c>
    </row>
    <row r="10">
      <c r="C10" s="251" t="inlineStr">
        <is>
          <t>Valuation / deal date:</t>
        </is>
      </c>
      <c r="D10" s="98" t="str">
        <f>IFERROR(IF(Control!B12="","",Control!B12),"")</f>
        <v/>
      </c>
    </row>
    <row r="11">
      <c r="C11" s="251" t="inlineStr">
        <is>
          <t>Stub year fraction:</t>
        </is>
      </c>
      <c r="D11" s="99" t="str">
        <f>IFERROR(IF(Control!B12="","",Control!B13),"")</f>
        <v/>
      </c>
      <c r="E11" s="100" t="n"/>
      <c r="I11" s="101" t="n"/>
      <c r="O11" s="102" t="n"/>
      <c r="Z11" s="103" t="n"/>
    </row>
    <row r="12">
      <c r="C12" s="251" t="inlineStr">
        <is>
          <t>Weighted average cost of capital:</t>
        </is>
      </c>
      <c r="D12" s="99" t="str">
        <f>IFERROR(IF(Control!E12="","",Control!E12),"")</f>
        <v/>
      </c>
      <c r="I12" s="101" t="n"/>
    </row>
    <row r="13">
      <c r="D13" s="99" t="n"/>
      <c r="E13" s="99" t="n"/>
    </row>
    <row r="14" ht="14.85" customHeight="1">
      <c r="C14" s="104" t="inlineStr">
        <is>
          <t>Historicals</t>
        </is>
      </c>
      <c r="D14" s="104" t="n"/>
      <c r="E14" s="104" t="n"/>
      <c r="F14" s="104" t="n"/>
      <c r="G14" s="250" t="inlineStr">
        <is>
          <t>Projected Annual Forecast</t>
        </is>
      </c>
    </row>
    <row r="15">
      <c r="C15" s="105" t="n"/>
      <c r="D15" s="105" t="n"/>
      <c r="E15" s="105" t="n"/>
      <c r="F15" s="105" t="n"/>
      <c r="G15" s="256" t="inlineStr">
        <is>
          <t>Granular</t>
        </is>
      </c>
      <c r="H15" s="253" t="n"/>
      <c r="I15" s="253" t="n"/>
      <c r="J15" s="253" t="n"/>
      <c r="K15" s="253" t="n"/>
      <c r="L15" s="253" t="n"/>
      <c r="M15" s="253" t="n"/>
      <c r="N15" s="253" t="n"/>
      <c r="O15" s="253" t="n"/>
      <c r="P15" s="253" t="n"/>
      <c r="Q15" s="253" t="n"/>
      <c r="R15" s="253" t="n"/>
      <c r="S15" s="253" t="n"/>
      <c r="T15" s="253" t="n"/>
      <c r="U15" s="253" t="n"/>
      <c r="V15" s="253" t="n"/>
      <c r="X15" s="106" t="n"/>
      <c r="Y15" s="107" t="n"/>
      <c r="Z15" s="107" t="n"/>
    </row>
    <row r="16">
      <c r="D16" s="108" t="n">
        <v>2023</v>
      </c>
      <c r="E16" s="108" t="n">
        <v>2024</v>
      </c>
      <c r="F16" s="108" t="n">
        <v>2025</v>
      </c>
      <c r="G16" s="108" t="n">
        <v>2026</v>
      </c>
      <c r="H16" s="108" t="n">
        <v>2027</v>
      </c>
      <c r="I16" s="108" t="n">
        <v>2028</v>
      </c>
      <c r="J16" s="108" t="n">
        <v>2029</v>
      </c>
      <c r="K16" s="108" t="n">
        <v>2030</v>
      </c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X16" s="107" t="n"/>
      <c r="Y16" s="107" t="n"/>
      <c r="Z16" s="107" t="n"/>
    </row>
    <row r="17">
      <c r="C17" s="109" t="n"/>
      <c r="D17" s="110" t="n">
        <v>45291</v>
      </c>
      <c r="E17" s="110" t="n">
        <v>45657</v>
      </c>
      <c r="F17" s="110" t="n">
        <v>46022</v>
      </c>
      <c r="G17" s="110" t="n">
        <v>46387</v>
      </c>
      <c r="H17" s="110" t="n">
        <v>46752</v>
      </c>
      <c r="I17" s="110" t="n">
        <v>47118</v>
      </c>
      <c r="J17" s="110" t="n">
        <v>47483</v>
      </c>
      <c r="K17" s="110" t="n">
        <v>47848</v>
      </c>
      <c r="L17" s="110" t="n"/>
      <c r="M17" s="110" t="n"/>
      <c r="N17" s="110" t="n"/>
      <c r="O17" s="110" t="n"/>
      <c r="P17" s="110" t="n"/>
      <c r="Q17" s="110" t="n"/>
      <c r="R17" s="110" t="n"/>
      <c r="S17" s="110" t="n"/>
      <c r="T17" s="110" t="n"/>
      <c r="U17" s="110" t="n"/>
      <c r="V17" s="110" t="n"/>
      <c r="W17" s="111" t="n"/>
      <c r="X17" s="107" t="n"/>
      <c r="Y17" s="107" t="n"/>
      <c r="Z17" s="107" t="n"/>
    </row>
    <row r="18">
      <c r="C18" s="112" t="inlineStr">
        <is>
          <t>Net Revenues</t>
        </is>
      </c>
      <c r="D18" s="113">
        <f>IFERROR(Model!W15,"")</f>
        <v>35349</v>
      </c>
      <c r="E18" s="113">
        <f>IFERROR(Model!AB15,"")</f>
        <v>38703</v>
      </c>
      <c r="F18" s="113">
        <f>IFERROR(Model!AG15,"")</f>
        <v>45856</v>
      </c>
      <c r="G18" s="113">
        <f>IFERROR(Model!AL15,"")</f>
        <v>55592.5519223251</v>
      </c>
      <c r="H18" s="113">
        <f>IFERROR(Model!AQ15,"")</f>
        <v>66652.9018476924</v>
      </c>
      <c r="I18" s="113">
        <f>IFERROR(Model!AV15,"")</f>
        <v>79580.4860040569</v>
      </c>
      <c r="J18" s="113">
        <f>IFERROR(Model!BA15,"")</f>
        <v>94617.5219113456</v>
      </c>
      <c r="K18" s="113">
        <f>IFERROR(Model!BF15,"")</f>
        <v>112022.77541128</v>
      </c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113" t="n"/>
      <c r="U18" s="113" t="n"/>
      <c r="V18" s="114" t="n"/>
      <c r="X18" s="115" t="n"/>
      <c r="Y18" s="115" t="n"/>
      <c r="Z18" s="107" t="n"/>
    </row>
    <row r="19">
      <c r="C19" s="116" t="n"/>
      <c r="D19" s="109" t="str">
        <f>IFERROR("","")</f>
        <v/>
      </c>
      <c r="E19" s="117">
        <f>IFERROR(IF(D18=0,"",E18/D18-1),"")</f>
        <v>0.0948824577781551</v>
      </c>
      <c r="F19" s="117">
        <f>IFERROR(IF(E18=0,"",F18/E18-1),"")</f>
        <v>0.184817714389065</v>
      </c>
      <c r="G19" s="117">
        <f>IFERROR(IF(F18=0,"",G18/F18-1),"")</f>
        <v>0.212328853853915</v>
      </c>
      <c r="H19" s="117">
        <f>IFERROR(IF(G18=0,"",H18/G18-1),"")</f>
        <v>0.198953808431405</v>
      </c>
      <c r="I19" s="117">
        <f>IFERROR(IF(H18=0,"",I18/H18-1),"")</f>
        <v>0.193953808431405</v>
      </c>
      <c r="J19" s="117">
        <f>IFERROR(IF(I18=0,"",J18/I18-1),"")</f>
        <v>0.188953808431405</v>
      </c>
      <c r="K19" s="117">
        <f>IFERROR(IF(J18=0,"",K18/J18-1),"")</f>
        <v>0.183953808431405</v>
      </c>
      <c r="L19" s="117" t="n"/>
      <c r="M19" s="117" t="n"/>
      <c r="N19" s="117" t="n"/>
      <c r="O19" s="117" t="n"/>
      <c r="P19" s="117" t="n"/>
      <c r="Q19" s="117" t="n"/>
      <c r="R19" s="117" t="n"/>
      <c r="S19" s="117" t="n"/>
      <c r="T19" s="117" t="n"/>
      <c r="U19" s="117" t="n"/>
      <c r="V19" s="118" t="n"/>
      <c r="X19" s="107" t="n"/>
      <c r="Y19" s="107" t="n"/>
      <c r="Z19" s="107" t="n"/>
    </row>
    <row r="20">
      <c r="C20" s="119" t="inlineStr">
        <is>
          <t>EBITDA</t>
        </is>
      </c>
      <c r="D20" s="113">
        <f>IFERROR(Model!W54,"")</f>
        <v>-10477</v>
      </c>
      <c r="E20" s="113">
        <f>IFERROR(Model!AB54,"")</f>
        <v>7354</v>
      </c>
      <c r="F20" s="113">
        <f>IFERROR(Model!AG54,"")</f>
        <v>10219</v>
      </c>
      <c r="G20" s="113">
        <f>IFERROR(Model!AL54,"")</f>
        <v>12213.8355799249</v>
      </c>
      <c r="H20" s="113">
        <f>IFERROR(Model!AQ54,"")</f>
        <v>14769.6839278101</v>
      </c>
      <c r="I20" s="113">
        <f>IFERROR(Model!AV54,"")</f>
        <v>17634.320374937</v>
      </c>
      <c r="J20" s="113">
        <f>IFERROR(Model!BA54,"")</f>
        <v>20966.3923688809</v>
      </c>
      <c r="K20" s="113">
        <f>IFERROR(Model!BF54,"")</f>
        <v>24823.2400942037</v>
      </c>
      <c r="L20" s="113" t="n"/>
      <c r="M20" s="120" t="n"/>
      <c r="N20" s="120" t="n"/>
      <c r="O20" s="120" t="n"/>
      <c r="P20" s="120" t="n"/>
      <c r="Q20" s="120" t="n"/>
      <c r="R20" s="120" t="n"/>
      <c r="S20" s="120" t="n"/>
      <c r="T20" s="120" t="n"/>
      <c r="U20" s="120" t="n"/>
      <c r="V20" s="121" t="n"/>
      <c r="X20" s="107" t="n"/>
      <c r="Y20" s="107" t="n"/>
      <c r="Z20" s="107" t="n"/>
    </row>
    <row r="21">
      <c r="C21" s="116" t="n"/>
      <c r="D21" s="122">
        <f>IFERROR(IF(D18=0,"",D20/D18),"")</f>
        <v>-0.296387450847266</v>
      </c>
      <c r="E21" s="122">
        <f>IFERROR(IF(E18=0,"",E20/E18),"")</f>
        <v>0.190011110249851</v>
      </c>
      <c r="F21" s="122">
        <f>IFERROR(IF(F18=0,"",F20/F18),"")</f>
        <v>0.222849790648988</v>
      </c>
      <c r="G21" s="122">
        <f>IFERROR(IF(G18=0,"",G20/G18),"")</f>
        <v>0.219702732786763</v>
      </c>
      <c r="H21" s="122">
        <f>IFERROR(IF(H18=0,"",H20/H18),"")</f>
        <v>0.221591011319509</v>
      </c>
      <c r="I21" s="122">
        <f>IFERROR(IF(I18=0,"",I20/I18),"")</f>
        <v>0.221591011319509</v>
      </c>
      <c r="J21" s="122">
        <f>IFERROR(IF(J18=0,"",J20/J18),"")</f>
        <v>0.221591011319509</v>
      </c>
      <c r="K21" s="122">
        <f>IFERROR(IF(K18=0,"",K20/K18),"")</f>
        <v>0.221591011319509</v>
      </c>
      <c r="L21" s="122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23" t="n"/>
      <c r="X21" s="115" t="n"/>
      <c r="Y21" s="115" t="n"/>
      <c r="Z21" s="107" t="n"/>
    </row>
    <row r="22">
      <c r="C22" s="112" t="inlineStr">
        <is>
          <t>EBIT</t>
        </is>
      </c>
      <c r="D22" s="113">
        <f>IFERROR(Model!W58,"")</f>
        <v>-11950</v>
      </c>
      <c r="E22" s="113">
        <f>IFERROR(Model!AB58,"")</f>
        <v>6344</v>
      </c>
      <c r="F22" s="113">
        <f>IFERROR(Model!AG58,"")</f>
        <v>9356</v>
      </c>
      <c r="G22" s="113">
        <f>IFERROR(Model!AL58,"")</f>
        <v>11210.7235772562</v>
      </c>
      <c r="H22" s="113">
        <f>IFERROR(Model!AQ58,"")</f>
        <v>13536.9216507077</v>
      </c>
      <c r="I22" s="113">
        <f>IFERROR(Model!AV58,"")</f>
        <v>16162.4591593</v>
      </c>
      <c r="J22" s="113">
        <f>IFERROR(Model!BA58,"")</f>
        <v>19216.4173710668</v>
      </c>
      <c r="K22" s="113">
        <f>IFERROR(Model!BF58,"")</f>
        <v>22751.3505308819</v>
      </c>
      <c r="L22" s="113" t="n"/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4" t="n"/>
      <c r="X22" s="115" t="n"/>
      <c r="Y22" s="115" t="n"/>
      <c r="Z22" s="107" t="n"/>
    </row>
    <row r="23">
      <c r="C23" s="116" t="n"/>
      <c r="D23" s="122">
        <f>IFERROR(IF(D18=0,"",D22/D18),"")</f>
        <v>-0.338057653681858</v>
      </c>
      <c r="E23" s="122">
        <f>IFERROR(IF(E18=0,"",E22/E18),"")</f>
        <v>0.163914941994161</v>
      </c>
      <c r="F23" s="122">
        <f>IFERROR(IF(F18=0,"",F22/F18),"")</f>
        <v>0.204030006978367</v>
      </c>
      <c r="G23" s="122">
        <f>IFERROR(IF(G18=0,"",G22/G18),"")</f>
        <v>0.201658732862633</v>
      </c>
      <c r="H23" s="122">
        <f>IFERROR(IF(H18=0,"",H22/H18),"")</f>
        <v>0.203095758405849</v>
      </c>
      <c r="I23" s="122">
        <f>IFERROR(IF(I18=0,"",I22/I18),"")</f>
        <v>0.203095758405849</v>
      </c>
      <c r="J23" s="122">
        <f>IFERROR(IF(J18=0,"",J22/J18),"")</f>
        <v>0.203095758405849</v>
      </c>
      <c r="K23" s="122">
        <f>IFERROR(IF(K18=0,"",K22/K18),"")</f>
        <v>0.203095758405849</v>
      </c>
      <c r="L23" s="122" t="n"/>
      <c r="M23" s="122" t="n"/>
      <c r="N23" s="122" t="n"/>
      <c r="O23" s="122" t="n"/>
      <c r="P23" s="122" t="n"/>
      <c r="Q23" s="122" t="n"/>
      <c r="R23" s="122" t="n"/>
      <c r="S23" s="122" t="n"/>
      <c r="T23" s="122" t="n"/>
      <c r="U23" s="122" t="n"/>
      <c r="V23" s="124" t="n"/>
      <c r="X23" s="107" t="n"/>
      <c r="Y23" s="107" t="n"/>
      <c r="Z23" s="107" t="n"/>
    </row>
    <row r="24">
      <c r="C24" s="112" t="inlineStr">
        <is>
          <t>Tax rate</t>
        </is>
      </c>
      <c r="D24" s="125">
        <f>IFERROR(Model!W117,"")</f>
        <v>0.0938799187856521</v>
      </c>
      <c r="E24" s="125">
        <f>IFERROR(Model!AB117,"")</f>
        <v>0.126246719160105</v>
      </c>
      <c r="F24" s="125">
        <f>IFERROR(Model!AG117,"")</f>
        <v>0.1405</v>
      </c>
      <c r="G24" s="125">
        <f>IFERROR(Model!AL117,"")</f>
        <v>0.134808914178889</v>
      </c>
      <c r="H24" s="125">
        <f>IFERROR(Model!AQ117,"")</f>
        <v>0.136999553024727</v>
      </c>
      <c r="I24" s="125">
        <f>IFERROR(Model!AV117,"")</f>
        <v>0.136999553024727</v>
      </c>
      <c r="J24" s="125">
        <f>IFERROR(Model!BA117,"")</f>
        <v>0.136999553024727</v>
      </c>
      <c r="K24" s="125">
        <f>IFERROR(Model!BF117,"")</f>
        <v>0.136999553024727</v>
      </c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6" t="n"/>
      <c r="X24" s="107" t="n"/>
      <c r="Y24" s="107" t="n"/>
      <c r="Z24" s="107" t="n"/>
    </row>
    <row r="25">
      <c r="C25" s="116" t="inlineStr">
        <is>
          <t>NOPLAT</t>
        </is>
      </c>
      <c r="D25" s="127">
        <f>IFERROR(D22*(1-D24),"")</f>
        <v>-10828.1349705115</v>
      </c>
      <c r="E25" s="127">
        <f>IFERROR(E22*(1-E24),"")</f>
        <v>5543.09081364829</v>
      </c>
      <c r="F25" s="127">
        <f>IFERROR(F22*(1-F24),"")</f>
        <v>8041.482</v>
      </c>
      <c r="G25" s="127">
        <f>IFERROR(G22*(1-G24),"")</f>
        <v>9699.41810464663</v>
      </c>
      <c r="H25" s="127">
        <f>IFERROR(H22*(1-H24),"")</f>
        <v>11682.36943523</v>
      </c>
      <c r="I25" s="127">
        <f>IFERROR(I22*(1-I24),"")</f>
        <v>13948.2094786955</v>
      </c>
      <c r="J25" s="127">
        <f>IFERROR(J22*(1-J24),"")</f>
        <v>16583.776780494</v>
      </c>
      <c r="K25" s="127">
        <f>IFERROR(K22*(1-K24),"")</f>
        <v>19634.4256774422</v>
      </c>
      <c r="L25" s="127" t="n"/>
      <c r="M25" s="127" t="n"/>
      <c r="N25" s="127" t="n"/>
      <c r="O25" s="127" t="n"/>
      <c r="P25" s="127" t="n"/>
      <c r="Q25" s="127" t="n"/>
      <c r="R25" s="127" t="n"/>
      <c r="S25" s="127" t="n"/>
      <c r="T25" s="127" t="n"/>
      <c r="U25" s="127" t="n"/>
      <c r="V25" s="128" t="n"/>
      <c r="X25" s="115" t="n"/>
      <c r="Y25" s="115" t="n"/>
      <c r="Z25" s="107" t="n"/>
    </row>
    <row r="26">
      <c r="C26" s="129" t="inlineStr">
        <is>
          <t>Depreciation &amp; Amortization</t>
        </is>
      </c>
      <c r="D26" s="130">
        <f>IFERROR(-Model!W55,"")</f>
        <v>1473</v>
      </c>
      <c r="E26" s="130">
        <f>IFERROR(-Model!AB55,"")</f>
        <v>1010</v>
      </c>
      <c r="F26" s="130">
        <f>IFERROR(-Model!AG55,"")</f>
        <v>863</v>
      </c>
      <c r="G26" s="130">
        <f>IFERROR(-Model!AL55,"")</f>
        <v>1003.11200266866</v>
      </c>
      <c r="H26" s="130">
        <f>IFERROR(-Model!AQ55,"")</f>
        <v>1232.76227710244</v>
      </c>
      <c r="I26" s="130">
        <f>IFERROR(-Model!AV55,"")</f>
        <v>1471.86121563702</v>
      </c>
      <c r="J26" s="130">
        <f>IFERROR(-Model!BA55,"")</f>
        <v>1749.97499781412</v>
      </c>
      <c r="K26" s="130">
        <f>IFERROR(-Model!BF55,"")</f>
        <v>2071.88956332176</v>
      </c>
      <c r="L26" s="131" t="n"/>
      <c r="X26" s="107" t="n"/>
      <c r="Y26" s="107" t="n"/>
      <c r="Z26" s="107" t="n"/>
    </row>
    <row r="27">
      <c r="C27" s="132" t="inlineStr">
        <is>
          <t>Cash from working capital</t>
        </is>
      </c>
      <c r="D27" s="133">
        <f>IFERROR(Model!W264,"")</f>
        <v>3698</v>
      </c>
      <c r="E27" s="133">
        <f>IFERROR(Model!AB264,"")</f>
        <v>5009</v>
      </c>
      <c r="F27" s="133">
        <f>IFERROR(Model!AG264,"")</f>
        <v>404</v>
      </c>
      <c r="G27" s="133">
        <f>IFERROR(Model!AL264,"")</f>
        <v>-3069.44430179317</v>
      </c>
      <c r="H27" s="133">
        <f>IFERROR(Model!AQ264,"")</f>
        <v>-3295.75823220007</v>
      </c>
      <c r="I27" s="133">
        <f>IFERROR(Model!AV264,"")</f>
        <v>-3852.15587149547</v>
      </c>
      <c r="J27" s="133">
        <f>IFERROR(Model!BA264,"")</f>
        <v>-4480.72938141596</v>
      </c>
      <c r="K27" s="133">
        <f>IFERROR(Model!BF264,"")</f>
        <v>-5186.40982365048</v>
      </c>
      <c r="L27" s="134" t="n"/>
      <c r="X27" s="107" t="n"/>
      <c r="Y27" s="107" t="n"/>
      <c r="Z27" s="107" t="n"/>
    </row>
    <row r="28">
      <c r="C28" s="135" t="inlineStr">
        <is>
          <t>Accounts receivable</t>
        </is>
      </c>
      <c r="D28" s="136">
        <f>IFERROR(Model!W265,"")</f>
        <v>2510</v>
      </c>
      <c r="E28" s="136">
        <f>IFERROR(Model!AB265,"")</f>
        <v>6139</v>
      </c>
      <c r="F28" s="136">
        <f>IFERROR(Model!AG265,"")</f>
        <v>-2446</v>
      </c>
      <c r="G28" s="136">
        <f>IFERROR(Model!AL265,"")</f>
        <v>-2446.25246815557</v>
      </c>
      <c r="H28" s="136">
        <f>IFERROR(Model!AQ265,"")</f>
        <v>-2828.97443158721</v>
      </c>
      <c r="I28" s="136">
        <f>IFERROR(Model!AV265,"")</f>
        <v>-3306.56853420784</v>
      </c>
      <c r="J28" s="136">
        <f>IFERROR(Model!BA265,"")</f>
        <v>-3846.11611708714</v>
      </c>
      <c r="K28" s="136">
        <f>IFERROR(Model!BF265,"")</f>
        <v>-4451.84984732498</v>
      </c>
      <c r="L28" s="137" t="n"/>
      <c r="X28" s="107" t="n"/>
      <c r="Y28" s="107" t="n"/>
      <c r="Z28" s="107" t="n"/>
    </row>
    <row r="29">
      <c r="C29" s="135" t="inlineStr">
        <is>
          <t>Inventories</t>
        </is>
      </c>
      <c r="D29" s="136">
        <f>IFERROR(Model!W266,"")</f>
        <v>875</v>
      </c>
      <c r="E29" s="136">
        <f>IFERROR(Model!AB266,"")</f>
        <v>6765</v>
      </c>
      <c r="F29" s="136">
        <f>IFERROR(Model!AG266,"")</f>
        <v>-2105</v>
      </c>
      <c r="G29" s="136">
        <f>IFERROR(Model!AL266,"")</f>
        <v>-2994.24446152163</v>
      </c>
      <c r="H29" s="136">
        <f>IFERROR(Model!AQ266,"")</f>
        <v>-2956.90013745829</v>
      </c>
      <c r="I29" s="136">
        <f>IFERROR(Model!AV266,"")</f>
        <v>-3456.09095796206</v>
      </c>
      <c r="J29" s="136">
        <f>IFERROR(Model!BA266,"")</f>
        <v>-4020.03678375943</v>
      </c>
      <c r="K29" s="136">
        <f>IFERROR(Model!BF266,"")</f>
        <v>-4653.16168238161</v>
      </c>
      <c r="L29" s="137" t="n"/>
      <c r="X29" s="107" t="n"/>
      <c r="Y29" s="107" t="n"/>
      <c r="Z29" s="107" t="n"/>
    </row>
    <row r="30">
      <c r="C30" s="135" t="inlineStr">
        <is>
          <t>Deferred income taxes (assets)</t>
        </is>
      </c>
      <c r="D30" s="136">
        <f>IFERROR(Model!W267,"")</f>
        <v>1130</v>
      </c>
      <c r="E30" s="136">
        <f>IFERROR(Model!AB267,"")</f>
        <v>3464</v>
      </c>
      <c r="F30" s="136">
        <f>IFERROR(Model!AG267,"")</f>
        <v>-348</v>
      </c>
      <c r="G30" s="136">
        <f>IFERROR(Model!AL267,"")</f>
        <v>530</v>
      </c>
      <c r="H30" s="136">
        <f>IFERROR(Model!AQ267,"")</f>
        <v>0</v>
      </c>
      <c r="I30" s="136">
        <f>IFERROR(Model!AV267,"")</f>
        <v>0</v>
      </c>
      <c r="J30" s="136">
        <f>IFERROR(Model!BA267,"")</f>
        <v>0</v>
      </c>
      <c r="K30" s="136">
        <f>IFERROR(Model!BF267,"")</f>
        <v>0</v>
      </c>
      <c r="L30" s="137" t="n"/>
      <c r="X30" s="107" t="n"/>
      <c r="Y30" s="107" t="n"/>
      <c r="Z30" s="107" t="n"/>
    </row>
    <row r="31">
      <c r="C31" s="135" t="inlineStr">
        <is>
          <t>Prepaid expenses</t>
        </is>
      </c>
      <c r="D31" s="136">
        <f>IFERROR(Model!W268,"")</f>
        <v>0</v>
      </c>
      <c r="E31" s="136">
        <f>IFERROR(Model!AB268,"")</f>
        <v>0</v>
      </c>
      <c r="F31" s="136">
        <f>IFERROR(Model!AG268,"")</f>
        <v>0</v>
      </c>
      <c r="G31" s="136">
        <f>IFERROR(Model!AL268,"")</f>
        <v>0</v>
      </c>
      <c r="H31" s="136">
        <f>IFERROR(Model!AQ268,"")</f>
        <v>0</v>
      </c>
      <c r="I31" s="136">
        <f>IFERROR(Model!AV268,"")</f>
        <v>0</v>
      </c>
      <c r="J31" s="136">
        <f>IFERROR(Model!BA268,"")</f>
        <v>0</v>
      </c>
      <c r="K31" s="136">
        <f>IFERROR(Model!BF268,"")</f>
        <v>0</v>
      </c>
      <c r="L31" s="137" t="n"/>
      <c r="X31" s="107" t="n"/>
      <c r="Y31" s="107" t="n"/>
      <c r="Z31" s="107" t="n"/>
    </row>
    <row r="32">
      <c r="C32" s="135" t="inlineStr">
        <is>
          <t>Other current assets</t>
        </is>
      </c>
      <c r="D32" s="136">
        <f>IFERROR(Model!W269,"")</f>
        <v>2756</v>
      </c>
      <c r="E32" s="136">
        <f>IFERROR(Model!AB269,"")</f>
        <v>5912</v>
      </c>
      <c r="F32" s="136">
        <f>IFERROR(Model!AG269,"")</f>
        <v>360</v>
      </c>
      <c r="G32" s="136">
        <f>IFERROR(Model!AL269,"")</f>
        <v>-987</v>
      </c>
      <c r="H32" s="136">
        <f>IFERROR(Model!AQ269,"")</f>
        <v>0</v>
      </c>
      <c r="I32" s="136">
        <f>IFERROR(Model!AV269,"")</f>
        <v>0</v>
      </c>
      <c r="J32" s="136">
        <f>IFERROR(Model!BA269,"")</f>
        <v>0</v>
      </c>
      <c r="K32" s="136">
        <f>IFERROR(Model!BF269,"")</f>
        <v>0</v>
      </c>
      <c r="L32" s="137" t="n"/>
      <c r="X32" s="107" t="n"/>
      <c r="Y32" s="107" t="n"/>
      <c r="Z32" s="107" t="n"/>
    </row>
    <row r="33">
      <c r="C33" s="135" t="inlineStr">
        <is>
          <t>Accounts payable</t>
        </is>
      </c>
      <c r="D33" s="136">
        <f>IFERROR(Model!W270,"")</f>
        <v>0</v>
      </c>
      <c r="E33" s="136">
        <f>IFERROR(Model!AB270,"")</f>
        <v>7909</v>
      </c>
      <c r="F33" s="136">
        <f>IFERROR(Model!AG270,"")</f>
        <v>2169</v>
      </c>
      <c r="G33" s="136">
        <f>IFERROR(Model!AL270,"")</f>
        <v>2438.05262788402</v>
      </c>
      <c r="H33" s="136">
        <f>IFERROR(Model!AQ270,"")</f>
        <v>2490.11633684543</v>
      </c>
      <c r="I33" s="136">
        <f>IFERROR(Model!AV270,"")</f>
        <v>2910.50362067443</v>
      </c>
      <c r="J33" s="136">
        <f>IFERROR(Model!BA270,"")</f>
        <v>3385.42351943061</v>
      </c>
      <c r="K33" s="136">
        <f>IFERROR(Model!BF270,"")</f>
        <v>3918.60170605611</v>
      </c>
      <c r="L33" s="137" t="n"/>
      <c r="X33" s="107" t="n"/>
      <c r="Y33" s="107" t="n"/>
      <c r="Z33" s="107" t="n"/>
    </row>
    <row r="34">
      <c r="C34" s="135" t="inlineStr">
        <is>
          <t>Accrued expenses</t>
        </is>
      </c>
      <c r="D34" s="136">
        <f>IFERROR(Model!W271,"")</f>
        <v>0</v>
      </c>
      <c r="E34" s="136">
        <f>IFERROR(Model!AB271,"")</f>
        <v>0</v>
      </c>
      <c r="F34" s="136">
        <f>IFERROR(Model!AG271,"")</f>
        <v>0</v>
      </c>
      <c r="G34" s="136">
        <f>IFERROR(Model!AL271,"")</f>
        <v>0</v>
      </c>
      <c r="H34" s="136">
        <f>IFERROR(Model!AQ271,"")</f>
        <v>0</v>
      </c>
      <c r="I34" s="136">
        <f>IFERROR(Model!AV271,"")</f>
        <v>0</v>
      </c>
      <c r="J34" s="136">
        <f>IFERROR(Model!BA271,"")</f>
        <v>0</v>
      </c>
      <c r="K34" s="136">
        <f>IFERROR(Model!BF271,"")</f>
        <v>0</v>
      </c>
      <c r="L34" s="137" t="n"/>
      <c r="X34" s="107" t="n"/>
      <c r="Y34" s="107" t="n"/>
      <c r="Z34" s="107" t="n"/>
    </row>
    <row r="35">
      <c r="C35" s="135" t="inlineStr">
        <is>
          <t>Taxes payable</t>
        </is>
      </c>
      <c r="D35" s="136">
        <f>IFERROR(Model!W272,"")</f>
        <v>0</v>
      </c>
      <c r="E35" s="136">
        <f>IFERROR(Model!AB272,"")</f>
        <v>0</v>
      </c>
      <c r="F35" s="136">
        <f>IFERROR(Model!AG272,"")</f>
        <v>0</v>
      </c>
      <c r="G35" s="136">
        <f>IFERROR(Model!AL272,"")</f>
        <v>0</v>
      </c>
      <c r="H35" s="136">
        <f>IFERROR(Model!AQ272,"")</f>
        <v>0</v>
      </c>
      <c r="I35" s="136">
        <f>IFERROR(Model!AV272,"")</f>
        <v>0</v>
      </c>
      <c r="J35" s="136">
        <f>IFERROR(Model!BA272,"")</f>
        <v>0</v>
      </c>
      <c r="K35" s="136">
        <f>IFERROR(Model!BF272,"")</f>
        <v>0</v>
      </c>
      <c r="L35" s="137" t="n"/>
      <c r="X35" s="107" t="n"/>
      <c r="Y35" s="107" t="n"/>
      <c r="Z35" s="107" t="n"/>
    </row>
    <row r="36">
      <c r="C36" s="135" t="inlineStr">
        <is>
          <t>Other current liabilities</t>
        </is>
      </c>
      <c r="D36" s="136">
        <f>IFERROR(Model!W273,"")</f>
        <v>-3573</v>
      </c>
      <c r="E36" s="136">
        <f>IFERROR(Model!AB273,"")</f>
        <v>-25180</v>
      </c>
      <c r="F36" s="136">
        <f>IFERROR(Model!AG273,"")</f>
        <v>2774</v>
      </c>
      <c r="G36" s="136">
        <f>IFERROR(Model!AL273,"")</f>
        <v>390</v>
      </c>
      <c r="H36" s="136">
        <f>IFERROR(Model!AQ273,"")</f>
        <v>0</v>
      </c>
      <c r="I36" s="136">
        <f>IFERROR(Model!AV273,"")</f>
        <v>0</v>
      </c>
      <c r="J36" s="136">
        <f>IFERROR(Model!BA273,"")</f>
        <v>0</v>
      </c>
      <c r="K36" s="136">
        <f>IFERROR(Model!BF273,"")</f>
        <v>0</v>
      </c>
      <c r="L36" s="137" t="n"/>
      <c r="X36" s="107" t="n"/>
      <c r="Y36" s="107" t="n"/>
      <c r="Z36" s="107" t="n"/>
    </row>
    <row r="37">
      <c r="C37" s="135" t="inlineStr">
        <is>
          <t>Deferred tax (liabilities)</t>
        </is>
      </c>
      <c r="D37" s="136">
        <f>IFERROR(Model!W274,"")</f>
        <v>0</v>
      </c>
      <c r="E37" s="136">
        <f>IFERROR(Model!AB274,"")</f>
        <v>0</v>
      </c>
      <c r="F37" s="136">
        <f>IFERROR(Model!AG274,"")</f>
        <v>0</v>
      </c>
      <c r="G37" s="136">
        <f>IFERROR(Model!AL274,"")</f>
        <v>0</v>
      </c>
      <c r="H37" s="136">
        <f>IFERROR(Model!AQ274,"")</f>
        <v>0</v>
      </c>
      <c r="I37" s="136">
        <f>IFERROR(Model!AV274,"")</f>
        <v>0</v>
      </c>
      <c r="J37" s="136">
        <f>IFERROR(Model!BA274,"")</f>
        <v>0</v>
      </c>
      <c r="K37" s="136">
        <f>IFERROR(Model!BF274,"")</f>
        <v>0</v>
      </c>
      <c r="L37" s="137" t="n"/>
      <c r="X37" s="107" t="n"/>
      <c r="Y37" s="107" t="n"/>
      <c r="Z37" s="107" t="n"/>
    </row>
    <row r="38">
      <c r="C38" s="135" t="inlineStr">
        <is>
          <t>Other non-current assets</t>
        </is>
      </c>
      <c r="D38" s="136">
        <f>IFERROR((Model!W174-Model!R174)*-1,"")</f>
        <v>2834</v>
      </c>
      <c r="E38" s="136">
        <f>IFERROR((Model!AB174-Model!W174)*-1,"")</f>
        <v>7992</v>
      </c>
      <c r="F38" s="136">
        <f>IFERROR((Model!AG174-Model!AB174)*-1,"")</f>
        <v>-3227</v>
      </c>
      <c r="G38" s="136">
        <f>IFERROR((Model!AL174-Model!AG174)*-1,"")</f>
        <v>820</v>
      </c>
      <c r="H38" s="136">
        <f>IFERROR((Model!AQ174-Model!AL174)*-1,"")</f>
        <v>0</v>
      </c>
      <c r="I38" s="136">
        <f>IFERROR((Model!AV174-Model!AQ174)*-1,"")</f>
        <v>0</v>
      </c>
      <c r="J38" s="136">
        <f>IFERROR((Model!BA174-Model!AV174)*-1,"")</f>
        <v>0</v>
      </c>
      <c r="K38" s="136">
        <f>IFERROR((Model!BF174-Model!BA174)*-1,"")</f>
        <v>0</v>
      </c>
      <c r="L38" s="137" t="n"/>
      <c r="X38" s="107" t="n"/>
      <c r="Y38" s="107" t="n"/>
      <c r="Z38" s="107" t="n"/>
    </row>
    <row r="39">
      <c r="C39" s="135" t="inlineStr">
        <is>
          <t>Other non-current liabilities</t>
        </is>
      </c>
      <c r="D39" s="136">
        <f>IFERROR(Model!W225-Model!R225,"")</f>
        <v>-787</v>
      </c>
      <c r="E39" s="136">
        <f>IFERROR(Model!AB225-Model!W225,"")</f>
        <v>-11928</v>
      </c>
      <c r="F39" s="136">
        <f>IFERROR(Model!AG225-Model!AB225,"")</f>
        <v>1531</v>
      </c>
      <c r="G39" s="136">
        <f>IFERROR(Model!AL225-Model!AG225,"")</f>
        <v>-1262</v>
      </c>
      <c r="H39" s="136">
        <f>IFERROR(Model!AQ225-Model!AL225,"")</f>
        <v>0</v>
      </c>
      <c r="I39" s="136">
        <f>IFERROR(Model!AV225-Model!AQ225,"")</f>
        <v>0</v>
      </c>
      <c r="J39" s="136">
        <f>IFERROR(Model!BA225-Model!AV225,"")</f>
        <v>0</v>
      </c>
      <c r="K39" s="136">
        <f>IFERROR(Model!BF225-Model!BA225,"")</f>
        <v>0</v>
      </c>
      <c r="L39" s="137" t="n"/>
      <c r="X39" s="107" t="n"/>
      <c r="Y39" s="107" t="n"/>
      <c r="Z39" s="107" t="n"/>
    </row>
    <row r="40">
      <c r="C40" s="135" t="inlineStr">
        <is>
          <t>Capital expenditures</t>
        </is>
      </c>
      <c r="D40" s="136">
        <f>IFERROR(Model!W280,"")</f>
        <v>-1473</v>
      </c>
      <c r="E40" s="136">
        <f>IFERROR(Model!AB280,"")</f>
        <v>-1010</v>
      </c>
      <c r="F40" s="136">
        <f>IFERROR(Model!AG280,"")</f>
        <v>-863</v>
      </c>
      <c r="G40" s="136">
        <f>IFERROR(Model!AL280,"")</f>
        <v>-998.857301645812</v>
      </c>
      <c r="H40" s="136">
        <f>IFERROR(Model!AQ280,"")</f>
        <v>-1223.26232981644</v>
      </c>
      <c r="I40" s="136">
        <f>IFERROR(Model!AV280,"")</f>
        <v>-1460.51871739501</v>
      </c>
      <c r="J40" s="136">
        <f>IFERROR(Model!BA280,"")</f>
        <v>-1736.48929133215</v>
      </c>
      <c r="K40" s="136">
        <f>IFERROR(Model!BF280,"")</f>
        <v>-2055.92310977305</v>
      </c>
      <c r="L40" s="137" t="n"/>
      <c r="X40" s="107" t="n"/>
      <c r="Y40" s="107" t="n"/>
      <c r="Z40" s="107" t="n"/>
    </row>
    <row r="41">
      <c r="C41" s="135" t="inlineStr">
        <is>
          <t>Capital expenditures [IFRS16 - implied lease payments]</t>
        </is>
      </c>
      <c r="D41" s="251">
        <f>IFERROR(0,"")</f>
        <v>0</v>
      </c>
      <c r="E41" s="251">
        <f>IFERROR(0,"")</f>
        <v>0</v>
      </c>
      <c r="F41" s="136">
        <f>IFERROR(0,"")</f>
        <v>0</v>
      </c>
      <c r="G41" s="136">
        <f>IFERROR(0,"")</f>
        <v>0</v>
      </c>
      <c r="H41" s="136">
        <f>IFERROR(0,"")</f>
        <v>0</v>
      </c>
      <c r="I41" s="136">
        <f>IFERROR(0,"")</f>
        <v>0</v>
      </c>
      <c r="J41" s="136">
        <f>IFERROR(0,"")</f>
        <v>0</v>
      </c>
      <c r="K41" s="136">
        <f>IFERROR(0,"")</f>
        <v>0</v>
      </c>
      <c r="L41" s="137" t="n"/>
      <c r="X41" s="107" t="n"/>
      <c r="Y41" s="107" t="n"/>
      <c r="Z41" s="107" t="n"/>
    </row>
    <row r="42">
      <c r="C42" s="138" t="inlineStr">
        <is>
          <t>Purchase of intangible assets</t>
        </is>
      </c>
      <c r="D42" s="139">
        <f>IFERROR(0,"")</f>
        <v>0</v>
      </c>
      <c r="E42" s="139">
        <f>IFERROR(0,"")</f>
        <v>0</v>
      </c>
      <c r="F42" s="139">
        <f>IFERROR(0,"")</f>
        <v>0</v>
      </c>
      <c r="G42" s="139">
        <f>IFERROR(0,"")</f>
        <v>0</v>
      </c>
      <c r="H42" s="139">
        <f>IFERROR(0,"")</f>
        <v>0</v>
      </c>
      <c r="I42" s="139">
        <f>IFERROR(0,"")</f>
        <v>0</v>
      </c>
      <c r="J42" s="139">
        <f>IFERROR(0,"")</f>
        <v>0</v>
      </c>
      <c r="K42" s="139">
        <f>IFERROR(0,"")</f>
        <v>0</v>
      </c>
      <c r="L42" s="140" t="n"/>
      <c r="M42" s="141" t="n"/>
      <c r="X42" s="107" t="n"/>
      <c r="Y42" s="107" t="n"/>
      <c r="Z42" s="107" t="n"/>
      <c r="AB42" s="102" t="n"/>
    </row>
    <row r="43">
      <c r="X43" s="107" t="n"/>
      <c r="Y43" s="107" t="n"/>
      <c r="Z43" s="107" t="n"/>
    </row>
    <row r="44">
      <c r="C44" s="112" t="inlineStr">
        <is>
          <t>Net Investments</t>
        </is>
      </c>
      <c r="D44" s="133">
        <f>IFERROR(SUM(D27,D40:D42,D26),"")</f>
        <v>3698</v>
      </c>
      <c r="E44" s="133">
        <f>IFERROR(SUM(E27,E40:E42,E26),"")</f>
        <v>5009</v>
      </c>
      <c r="F44" s="133">
        <f>IFERROR(SUM(F27,F40:F42,F26),"")</f>
        <v>404</v>
      </c>
      <c r="G44" s="133">
        <f>IFERROR(SUM(G27,G40:G42,G26),"")</f>
        <v>-3065.18960077033</v>
      </c>
      <c r="H44" s="133">
        <f>IFERROR(SUM(H27,H40:H42,H26),"")</f>
        <v>-3286.25828491408</v>
      </c>
      <c r="I44" s="133">
        <f>IFERROR(SUM(I27,I40:I42,I26),"")</f>
        <v>-3840.81337325346</v>
      </c>
      <c r="J44" s="133">
        <f>IFERROR(SUM(J27,J40:J42,J26),"")</f>
        <v>-4467.243674934</v>
      </c>
      <c r="K44" s="133">
        <f>IFERROR(SUM(K27,K40:K42,K26),"")</f>
        <v>-5170.44337010177</v>
      </c>
      <c r="L44" s="133" t="n"/>
      <c r="M44" s="142" t="n"/>
      <c r="N44" s="133" t="n"/>
      <c r="O44" s="133" t="n"/>
      <c r="P44" s="133" t="n"/>
      <c r="Q44" s="133" t="n"/>
      <c r="R44" s="133" t="n"/>
      <c r="S44" s="133" t="n"/>
      <c r="T44" s="133" t="n"/>
      <c r="U44" s="133" t="n"/>
      <c r="V44" s="134" t="n"/>
      <c r="X44" s="107" t="n"/>
      <c r="Y44" s="141" t="n"/>
      <c r="Z44" s="107" t="n"/>
    </row>
    <row r="45">
      <c r="C45" s="143" t="n"/>
      <c r="D45" s="141" t="n"/>
      <c r="E45" s="141" t="n"/>
      <c r="F45" s="141" t="n"/>
      <c r="G45" s="141" t="n"/>
      <c r="H45" s="141" t="n"/>
      <c r="I45" s="141" t="n"/>
      <c r="J45" s="141" t="n"/>
      <c r="K45" s="141" t="n"/>
      <c r="L45" s="141" t="n"/>
      <c r="V45" s="144" t="n"/>
      <c r="X45" s="107" t="n"/>
      <c r="Y45" s="107" t="n"/>
      <c r="Z45" s="107" t="n"/>
    </row>
    <row r="46">
      <c r="C46" s="143" t="inlineStr">
        <is>
          <t>Invested Capital</t>
        </is>
      </c>
      <c r="D46" s="136">
        <f>IFERROR(Model!W335,"")</f>
        <v>32577</v>
      </c>
      <c r="E46" s="136">
        <f>IFERROR(Model!AB335,"")</f>
        <v>25219</v>
      </c>
      <c r="F46" s="136">
        <f>IFERROR(Model!AG335,"")</f>
        <v>27001</v>
      </c>
      <c r="G46" s="136">
        <f>IFERROR(Model!AL335,"")</f>
        <v>30262.1896007703</v>
      </c>
      <c r="H46" s="136">
        <f>IFERROR(Model!AQ335,"")</f>
        <v>33548.4478856844</v>
      </c>
      <c r="I46" s="136">
        <f>IFERROR(Model!AV335,"")</f>
        <v>37389.2612589379</v>
      </c>
      <c r="J46" s="136">
        <f>IFERROR(Model!BA335,"")</f>
        <v>41856.5049338719</v>
      </c>
      <c r="K46" s="136">
        <f>IFERROR(Model!BF335,"")</f>
        <v>47026.9483039736</v>
      </c>
      <c r="L46" s="136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6" t="n"/>
      <c r="X46" s="141" t="n"/>
      <c r="Y46" s="141" t="n"/>
      <c r="Z46" s="107" t="n"/>
    </row>
    <row r="47">
      <c r="C47" s="143" t="inlineStr">
        <is>
          <t>Invested Capital (ex Goodwill)</t>
        </is>
      </c>
      <c r="D47" s="136">
        <f>IFERROR(Model!W336,"")</f>
        <v>19192</v>
      </c>
      <c r="E47" s="136">
        <f>IFERROR(Model!AB336,"")</f>
        <v>16681</v>
      </c>
      <c r="F47" s="136">
        <f>IFERROR(Model!AG336,"")</f>
        <v>17941</v>
      </c>
      <c r="G47" s="136">
        <f>IFERROR(Model!AL336,"")</f>
        <v>21308.1896007703</v>
      </c>
      <c r="H47" s="136">
        <f>IFERROR(Model!AQ336,"")</f>
        <v>24594.4478856844</v>
      </c>
      <c r="I47" s="136">
        <f>IFERROR(Model!AV336,"")</f>
        <v>28435.2612589379</v>
      </c>
      <c r="J47" s="136">
        <f>IFERROR(Model!BA336,"")</f>
        <v>32902.5049338719</v>
      </c>
      <c r="K47" s="136">
        <f>IFERROR(Model!BF336,"")</f>
        <v>38072.9483039736</v>
      </c>
      <c r="L47" s="136" t="n"/>
      <c r="V47" s="144" t="n"/>
      <c r="X47" s="107" t="n"/>
      <c r="Y47" s="107" t="n"/>
      <c r="Z47" s="107" t="n"/>
    </row>
    <row r="48">
      <c r="C48" s="116" t="inlineStr">
        <is>
          <t>Invested Capital / Net Revenues</t>
        </is>
      </c>
      <c r="D48" s="122">
        <f>IFERROR(IF(D18=0,"",D46/D18),"")</f>
        <v>0.921581940083171</v>
      </c>
      <c r="E48" s="122">
        <f>IFERROR(IF(E18=0,"",E46/E18),"")</f>
        <v>0.651603234891352</v>
      </c>
      <c r="F48" s="122">
        <f>IFERROR(IF(F18=0,"",F46/F18),"")</f>
        <v>0.588821528262387</v>
      </c>
      <c r="G48" s="122">
        <f>IFERROR(IF(G18=0,"",G46/G18),"")</f>
        <v>0.544356906713928</v>
      </c>
      <c r="H48" s="122">
        <f>IFERROR(IF(H18=0,"",H46/H18),"")</f>
        <v>0.50333064211286</v>
      </c>
      <c r="I48" s="122">
        <f>IFERROR(IF(I18=0,"",I46/I18),"")</f>
        <v>0.46982951646</v>
      </c>
      <c r="J48" s="122">
        <f>IFERROR(IF(J18=0,"",J46/J18),"")</f>
        <v>0.442375831540911</v>
      </c>
      <c r="K48" s="122">
        <f>IFERROR(IF(K18=0,"",K46/K18),"")</f>
        <v>0.419798100264158</v>
      </c>
      <c r="L48" s="122" t="n"/>
      <c r="M48" s="147" t="n"/>
      <c r="N48" s="147" t="n"/>
      <c r="O48" s="147" t="n"/>
      <c r="P48" s="147" t="n"/>
      <c r="Q48" s="147" t="n"/>
      <c r="R48" s="147" t="n"/>
      <c r="S48" s="147" t="n"/>
      <c r="T48" s="147" t="n"/>
      <c r="U48" s="147" t="n"/>
      <c r="V48" s="148" t="n"/>
      <c r="X48" s="106" t="n"/>
      <c r="Y48" s="107" t="n"/>
      <c r="Z48" s="107" t="n"/>
    </row>
    <row r="49">
      <c r="X49" s="107" t="n"/>
      <c r="Y49" s="107" t="n"/>
      <c r="Z49" s="107" t="n"/>
    </row>
    <row r="50">
      <c r="C50" s="149" t="inlineStr">
        <is>
          <t>ROIC</t>
        </is>
      </c>
      <c r="D50" s="150">
        <f>IFERROR(IF(D46=0,"",D25/D46),"")</f>
        <v>-0.332385884842418</v>
      </c>
      <c r="E50" s="150">
        <f>IFERROR(IF(E46=0,"",E25/E46),"")</f>
        <v>0.219798200311206</v>
      </c>
      <c r="F50" s="150">
        <f>IFERROR(IF(F46=0,"",F25/F46),"")</f>
        <v>0.297821636235695</v>
      </c>
      <c r="G50" s="150">
        <f>IFERROR(IF(G46=0,"",G25/G46),"")</f>
        <v>0.320512766346548</v>
      </c>
      <c r="H50" s="150">
        <f>IFERROR(IF(H46=0,"",H25/H46),"")</f>
        <v>0.348223842576485</v>
      </c>
      <c r="I50" s="150">
        <f>IFERROR(IF(I46=0,"",I25/I46),"")</f>
        <v>0.37305389325822</v>
      </c>
      <c r="J50" s="150">
        <f>IFERROR(IF(J46=0,"",J25/J46),"")</f>
        <v>0.396205483632576</v>
      </c>
      <c r="K50" s="150">
        <f>IFERROR(IF(K46=0,"",K25/K46),"")</f>
        <v>0.417514348380185</v>
      </c>
      <c r="L50" s="150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2" t="n"/>
      <c r="X50" s="115" t="n"/>
      <c r="Y50" s="115" t="n"/>
      <c r="Z50" s="153" t="n"/>
    </row>
    <row r="51">
      <c r="C51" s="102" t="inlineStr">
        <is>
          <t>Capital Turnover</t>
        </is>
      </c>
      <c r="D51" s="154">
        <f>IFERROR(IF(D46=0,"",D18/D46),"")</f>
        <v>1.08509070816834</v>
      </c>
      <c r="E51" s="154">
        <f>IFERROR(IF(E46=0,"",E18/E46),"")</f>
        <v>1.53467623617114</v>
      </c>
      <c r="F51" s="154">
        <f>IFERROR(IF(F46=0,"",F18/F46),"")</f>
        <v>1.6983074700937</v>
      </c>
      <c r="G51" s="154">
        <f>IFERROR(IF(G46=0,"",G18/G46),"")</f>
        <v>1.83703005815911</v>
      </c>
      <c r="H51" s="154">
        <f>IFERROR(IF(H46=0,"",H18/H46),"")</f>
        <v>1.98676558971702</v>
      </c>
      <c r="I51" s="154">
        <f>IFERROR(IF(I46=0,"",I18/I46),"")</f>
        <v>2.12843162246308</v>
      </c>
      <c r="J51" s="154">
        <f>IFERROR(IF(J46=0,"",J18/J46),"")</f>
        <v>2.26052132304954</v>
      </c>
      <c r="K51" s="154">
        <f>IFERROR(IF(K46=0,"",K18/K46),"")</f>
        <v>2.38209748774649</v>
      </c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</row>
    <row r="52"/>
    <row r="53" customFormat="1" s="102">
      <c r="A53" s="251" t="n"/>
      <c r="B53" s="251" t="n"/>
      <c r="C53" s="102" t="inlineStr">
        <is>
          <t>Unlevered free cash flows = FCFF</t>
        </is>
      </c>
      <c r="D53" s="155">
        <f>IFERROR(D25+D44,"")</f>
        <v>-7130.13497051146</v>
      </c>
      <c r="E53" s="155">
        <f>IFERROR(E25+E44,"")</f>
        <v>10552.0908136483</v>
      </c>
      <c r="F53" s="155">
        <f>IFERROR(F25+F44,"")</f>
        <v>8445.482</v>
      </c>
      <c r="G53" s="156">
        <f>IFERROR(G25+G44,"")</f>
        <v>6634.22850387631</v>
      </c>
      <c r="H53" s="155">
        <f>IFERROR(H25+H44,"")</f>
        <v>8396.11115031591</v>
      </c>
      <c r="I53" s="155">
        <f>IFERROR(I25+I44,"")</f>
        <v>10107.396105442</v>
      </c>
      <c r="J53" s="155">
        <f>IFERROR(J25+J44,"")</f>
        <v>12116.53310556</v>
      </c>
      <c r="K53" s="155">
        <f>IFERROR(K25+K44,"")</f>
        <v>14463.9823073404</v>
      </c>
      <c r="L53" s="155" t="n"/>
      <c r="M53" s="155" t="n"/>
      <c r="N53" s="155" t="n"/>
      <c r="O53" s="155" t="n"/>
      <c r="P53" s="155" t="n"/>
      <c r="Q53" s="155" t="n"/>
      <c r="R53" s="155" t="n"/>
      <c r="S53" s="155" t="n"/>
      <c r="T53" s="155" t="n"/>
      <c r="U53" s="155" t="n"/>
      <c r="V53" s="155" t="n"/>
    </row>
    <row r="54">
      <c r="C54" s="157" t="inlineStr">
        <is>
          <t>Discount factor</t>
        </is>
      </c>
      <c r="G54" s="158" t="str">
        <f>IFERROR(IF(Control!E12="","",1/(1+Control!E12)^Control!B13),"")</f>
        <v/>
      </c>
      <c r="H54" s="158" t="str">
        <f>IFERROR(IF(G54="","",G54/(1+Control!E12)),"")</f>
        <v/>
      </c>
      <c r="I54" s="158" t="str">
        <f>IFERROR(IF(H54="","",H54/(1+Control!E12)),"")</f>
        <v/>
      </c>
      <c r="J54" s="158" t="str">
        <f>IFERROR(IF(I54="","",I54/(1+Control!E12)),"")</f>
        <v/>
      </c>
      <c r="K54" s="158" t="str">
        <f>IFERROR(IF(J54="","",J54/(1+Control!E12)),"")</f>
        <v/>
      </c>
      <c r="L54" s="158" t="n"/>
      <c r="M54" s="158" t="n"/>
      <c r="N54" s="158" t="n"/>
      <c r="O54" s="158" t="n"/>
      <c r="P54" s="158" t="n"/>
      <c r="Q54" s="158" t="n"/>
      <c r="R54" s="158" t="n"/>
      <c r="S54" s="158" t="n"/>
      <c r="T54" s="158" t="n"/>
      <c r="U54" s="158" t="n"/>
      <c r="V54" s="158" t="n"/>
    </row>
    <row r="55">
      <c r="C55" s="157" t="inlineStr">
        <is>
          <t>Midyear adjustment factor</t>
        </is>
      </c>
      <c r="G55" s="159" t="str">
        <f>IFERROR(IF(Control!E12="","",(1+Control!E12)^0.5),"")</f>
        <v/>
      </c>
      <c r="H55" s="158" t="str">
        <f>IFERROR(G55,"")</f>
        <v/>
      </c>
      <c r="I55" s="158" t="str">
        <f>IFERROR(H55,"")</f>
        <v/>
      </c>
      <c r="J55" s="158" t="str">
        <f>IFERROR(I55,"")</f>
        <v/>
      </c>
      <c r="K55" s="158" t="str">
        <f>IFERROR(J55,"")</f>
        <v/>
      </c>
      <c r="L55" s="158" t="n"/>
      <c r="M55" s="158" t="n"/>
      <c r="N55" s="158" t="n"/>
      <c r="O55" s="158" t="n"/>
      <c r="P55" s="158" t="n"/>
      <c r="Q55" s="158" t="n"/>
      <c r="R55" s="158" t="n"/>
      <c r="S55" s="158" t="n"/>
      <c r="T55" s="158" t="n"/>
      <c r="U55" s="158" t="n"/>
      <c r="V55" s="158" t="n"/>
    </row>
    <row r="56">
      <c r="C56" s="157" t="inlineStr">
        <is>
          <t>Present value of free cash flows</t>
        </is>
      </c>
      <c r="G56" s="141" t="str">
        <f>IFERROR(IF(G54="","",G53*G54*G55),"")</f>
        <v/>
      </c>
      <c r="H56" s="141" t="str">
        <f>IFERROR(IF(H54="","",H53*H54*H55),"")</f>
        <v/>
      </c>
      <c r="I56" s="141" t="str">
        <f>IFERROR(IF(I54="","",I53*I54*I55),"")</f>
        <v/>
      </c>
      <c r="J56" s="141" t="str">
        <f>IFERROR(IF(J54="","",J53*J54*J55),"")</f>
        <v/>
      </c>
      <c r="K56" s="141" t="str">
        <f>IFERROR(IF(K54="","",K53*K54*K55),"")</f>
        <v/>
      </c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</row>
    <row r="57">
      <c r="C57" s="102" t="inlineStr">
        <is>
          <t>Sum of present values of FCFs</t>
        </is>
      </c>
      <c r="G57" s="155" t="str">
        <f>IFERROR(IF(COUNT(G56:K56)=0,"",SUM(G56:K56)),"")</f>
        <v/>
      </c>
      <c r="H57" s="141" t="n"/>
      <c r="N57" s="160" t="n"/>
    </row>
    <row r="58"/>
    <row r="59">
      <c r="C59" s="102" t="n"/>
      <c r="D59" s="95">
        <f>IFERROR(IF(Control!B9="","",Control!B9),"")</f>
        <v>47848.0</v>
      </c>
      <c r="E59" s="161" t="n"/>
      <c r="F59" s="162" t="n"/>
      <c r="G59" s="162" t="n"/>
      <c r="H59" s="95">
        <f>IFERROR(IF(Control!B7="","",Control!B7),"")</f>
        <v>46203.0</v>
      </c>
      <c r="I59" s="162" t="n"/>
      <c r="J59" s="162" t="n"/>
      <c r="K59" s="162" t="n"/>
      <c r="L59" s="162" t="n"/>
    </row>
    <row r="60" ht="13.5" customHeight="1">
      <c r="C60" s="163" t="inlineStr">
        <is>
          <t>Terminal value</t>
        </is>
      </c>
      <c r="D60" s="164" t="n"/>
      <c r="E60" s="165" t="inlineStr">
        <is>
          <t>Equity value calculations</t>
        </is>
      </c>
      <c r="F60" s="166" t="n"/>
      <c r="G60" s="166" t="n"/>
      <c r="H60" s="166" t="n"/>
      <c r="I60" s="167" t="inlineStr">
        <is>
          <t xml:space="preserve"> Shares Outstanding Worksheet</t>
        </is>
      </c>
      <c r="J60" s="168" t="n"/>
      <c r="K60" s="169" t="n"/>
      <c r="L60" s="170" t="n"/>
    </row>
    <row r="61">
      <c r="C61" s="143" t="n"/>
      <c r="D61" s="144" t="n"/>
      <c r="I61" s="143" t="n"/>
      <c r="L61" s="144" t="n"/>
    </row>
    <row r="62">
      <c r="C62" s="171" t="inlineStr">
        <is>
          <t>Key value driver method</t>
        </is>
      </c>
      <c r="D62" s="172" t="n"/>
      <c r="E62" s="173" t="inlineStr">
        <is>
          <t>Enterprise value</t>
        </is>
      </c>
      <c r="H62" s="155" t="str">
        <f>IFERROR(D80,"")</f>
        <v/>
      </c>
      <c r="I62" s="174" t="inlineStr">
        <is>
          <t>Basic Shares Outanding :</t>
        </is>
      </c>
      <c r="J62" s="97" t="n"/>
      <c r="L62" s="175" t="n"/>
    </row>
    <row r="63" ht="13.5" customHeight="1">
      <c r="C63" s="171" t="inlineStr">
        <is>
          <t>g</t>
        </is>
      </c>
      <c r="D63" s="176" t="str">
        <f>IFERROR(IF(Control!E13="","",Control!E13),"")</f>
        <v/>
      </c>
      <c r="E63" s="157" t="inlineStr">
        <is>
          <t>Calculation of net debt:</t>
        </is>
      </c>
      <c r="H63" s="141" t="n"/>
      <c r="I63" s="174" t="inlineStr">
        <is>
          <t>Current Share Price:</t>
        </is>
      </c>
      <c r="L63" s="177" t="n"/>
    </row>
    <row r="64" ht="13.5" customHeight="1">
      <c r="C64" s="171" t="inlineStr">
        <is>
          <t>RONIC</t>
        </is>
      </c>
      <c r="D64" s="178">
        <f>IFERROR(K50,"")</f>
        <v>0.417514348380185</v>
      </c>
      <c r="E64" s="157" t="inlineStr">
        <is>
          <t>Current portion of long-term debt</t>
        </is>
      </c>
      <c r="H64" s="137">
        <f>IFERROR(INDEX(Model!$I$197:$BF$197,1,MATCH(Control!$B$7,Model!$I$5:$BF$5,0)),"")</f>
        <v>2000</v>
      </c>
      <c r="I64" s="179" t="inlineStr">
        <is>
          <t>Options / Warrants Data</t>
        </is>
      </c>
      <c r="J64" s="109" t="n"/>
      <c r="K64" s="109" t="n"/>
      <c r="L64" s="180" t="n"/>
    </row>
    <row r="65">
      <c r="C65" s="171" t="inlineStr">
        <is>
          <t>NOPLAT (t+1)</t>
        </is>
      </c>
      <c r="D65" s="181" t="str">
        <f>IFERROR(K25*(1+D63),"")</f>
        <v/>
      </c>
      <c r="E65" s="157" t="inlineStr">
        <is>
          <t>Short term debt</t>
        </is>
      </c>
      <c r="H65" s="137">
        <f>IFERROR(INDEX(Model!$I$198:$BF$198,1,MATCH(Control!$B$7,Model!$I$5:$BF$5,0)),"")</f>
        <v>0</v>
      </c>
      <c r="I65" s="179" t="n"/>
      <c r="J65" s="182" t="inlineStr">
        <is>
          <t># of options</t>
        </is>
      </c>
      <c r="K65" s="182" t="inlineStr">
        <is>
          <t xml:space="preserve">$ strike </t>
        </is>
      </c>
      <c r="L65" s="180" t="n"/>
    </row>
    <row r="66">
      <c r="C66" s="171" t="inlineStr">
        <is>
          <t>Terminal value</t>
        </is>
      </c>
      <c r="D66" s="181" t="str">
        <f>IFERROR(IF(OR(Control!E12="",D64="",D64&lt;=D63,Control!E12&lt;=D63),"",(D65*(1-D63/D64))/(Control!E12-D63)),"")</f>
        <v/>
      </c>
      <c r="E66" s="157" t="inlineStr">
        <is>
          <t>Long term debt</t>
        </is>
      </c>
      <c r="H66" s="137">
        <f>IFERROR(INDEX(Model!$I$202:$BF$202,1,MATCH(Control!$B$7,Model!$I$5:$BF$5,0)),"")</f>
        <v>17157</v>
      </c>
      <c r="I66" s="157" t="inlineStr">
        <is>
          <t>Batch 1</t>
        </is>
      </c>
      <c r="J66" s="183" t="n"/>
      <c r="K66" s="184" t="n"/>
      <c r="L66" s="185" t="n"/>
    </row>
    <row r="67">
      <c r="C67" s="171" t="inlineStr">
        <is>
          <t>Midyear adjusted terminal value</t>
        </is>
      </c>
      <c r="D67" s="181" t="str">
        <f>IFERROR(IF(D66="","",D66*K55),"")</f>
        <v/>
      </c>
      <c r="E67" s="157" t="inlineStr">
        <is>
          <t>Convertible debt</t>
        </is>
      </c>
      <c r="H67" s="137">
        <f>IFERROR(INDEX(Model!$I$223:$BF$223,1,MATCH(Control!$B$7,Model!$I$5:$BF$5,0)),"")</f>
        <v>0</v>
      </c>
      <c r="I67" s="157" t="inlineStr">
        <is>
          <t>Batch 2</t>
        </is>
      </c>
      <c r="J67" s="186" t="n"/>
      <c r="K67" s="187" t="n"/>
      <c r="L67" s="185" t="n"/>
    </row>
    <row r="68">
      <c r="C68" s="171" t="inlineStr">
        <is>
          <t>Present value of terminal value</t>
        </is>
      </c>
      <c r="D68" s="181" t="str">
        <f>IFERROR(IF(D67="","",D67*K54),"")</f>
        <v/>
      </c>
      <c r="E68" s="157" t="inlineStr">
        <is>
          <t>Minority interest</t>
        </is>
      </c>
      <c r="H68" s="137">
        <f>IFERROR(INDEX(Model!$I$233:$BF$233,1,MATCH(Control!$B$7,Model!$I$5:$BF$5,0)),"")</f>
        <v>227</v>
      </c>
      <c r="I68" s="157" t="inlineStr">
        <is>
          <t>Batch 3</t>
        </is>
      </c>
      <c r="J68" s="186" t="n"/>
      <c r="K68" s="187" t="n"/>
      <c r="L68" s="185" t="n"/>
    </row>
    <row r="69">
      <c r="C69" s="174" t="inlineStr">
        <is>
          <t>Enterprise value</t>
        </is>
      </c>
      <c r="D69" s="188" t="str">
        <f>IFERROR(IF(OR(D68="",G57=""),"",D68+G57),"")</f>
        <v/>
      </c>
      <c r="E69" s="157" t="inlineStr">
        <is>
          <t>Convertible preferred stock</t>
        </is>
      </c>
      <c r="H69" s="137">
        <f>IFERROR(INDEX(Model!$I$238:$BF$238,1,MATCH(Control!$B$7,Model!$I$5:$BF$5,0)),"")</f>
        <v>0</v>
      </c>
      <c r="I69" s="157" t="inlineStr">
        <is>
          <t>Batch 4</t>
        </is>
      </c>
      <c r="J69" s="186" t="n"/>
      <c r="K69" s="187" t="n"/>
      <c r="L69" s="185" t="n"/>
    </row>
    <row r="70">
      <c r="C70" s="143" t="n"/>
      <c r="D70" s="144" t="n"/>
      <c r="E70" s="157" t="inlineStr">
        <is>
          <t>Short term operating leases</t>
        </is>
      </c>
      <c r="H70" s="137">
        <f>IFERROR(INDEX(Model!$I$199:$BF$199,1,MATCH(Control!$B$7,Model!$I$5:$BF$5,0)),"")</f>
        <v>0</v>
      </c>
      <c r="I70" s="157" t="inlineStr">
        <is>
          <t>Batch 5</t>
        </is>
      </c>
      <c r="J70" s="186" t="n"/>
      <c r="K70" s="187" t="n"/>
      <c r="L70" s="185" t="n"/>
    </row>
    <row r="71">
      <c r="C71" s="171" t="inlineStr">
        <is>
          <t>Exit multiple method</t>
        </is>
      </c>
      <c r="D71" s="172" t="n"/>
      <c r="E71" s="157" t="inlineStr">
        <is>
          <t>Long term operating leases</t>
        </is>
      </c>
      <c r="H71" s="137">
        <f>IFERROR(INDEX(Model!$I$220:$BF$220,1,MATCH(Control!$B$7,Model!$I$5:$BF$5,0)),"")</f>
        <v>0</v>
      </c>
      <c r="I71" s="179" t="inlineStr">
        <is>
          <t>Batch 6</t>
        </is>
      </c>
      <c r="J71" s="189" t="n"/>
      <c r="K71" s="190" t="n"/>
      <c r="L71" s="191" t="n"/>
    </row>
    <row r="72">
      <c r="C72" s="174" t="inlineStr">
        <is>
          <t>Exit EV / EBITDA multiple</t>
        </is>
      </c>
      <c r="D72" s="192" t="str">
        <f>IFERROR(IF(Control!E14="","",Control!E14),"")</f>
        <v/>
      </c>
      <c r="E72" s="157" t="inlineStr">
        <is>
          <t>Less: Excess cash</t>
        </is>
      </c>
      <c r="H72" s="137">
        <f>IFERROR(-INDEX(Model!$I$129:$BF$129,1,MATCH(Control!$B$7,Model!$I$5:$BF$5,0)),"")</f>
        <v>-9345</v>
      </c>
      <c r="J72" s="162" t="n"/>
      <c r="K72" s="193" t="inlineStr">
        <is>
          <t>Total in-the-$ options:</t>
        </is>
      </c>
      <c r="L72" s="185" t="n"/>
    </row>
    <row r="73">
      <c r="C73" s="174" t="inlineStr">
        <is>
          <t>LTM EBITDA at end of projection</t>
        </is>
      </c>
      <c r="D73" s="188">
        <f>IFERROR(K20,"")</f>
        <v>24823.2400942037</v>
      </c>
      <c r="E73" s="157" t="inlineStr">
        <is>
          <t>Less: Equity investments</t>
        </is>
      </c>
      <c r="H73" s="137">
        <f>IFERROR(-INDEX(Model!$I$146:$BF$146,1,MATCH(Control!$B$7,Model!$I$5:$BF$5,0)),"")</f>
        <v>0</v>
      </c>
      <c r="J73" s="162" t="n"/>
      <c r="K73" s="193" t="inlineStr">
        <is>
          <t>Total $ proceeds:</t>
        </is>
      </c>
      <c r="L73" s="194" t="n"/>
    </row>
    <row r="74">
      <c r="C74" s="174" t="inlineStr">
        <is>
          <t>Terminal value</t>
        </is>
      </c>
      <c r="D74" s="188" t="str">
        <f>IFERROR(IF(OR(D72="",D73=""),"",D73*D72),"")</f>
        <v/>
      </c>
      <c r="E74" s="157" t="inlineStr">
        <is>
          <t>Net debt</t>
        </is>
      </c>
      <c r="H74" s="188">
        <f>IFERROR(SUM(H64:H73),"")</f>
        <v>10039</v>
      </c>
      <c r="J74" s="162" t="n"/>
      <c r="K74" s="193" t="inlineStr">
        <is>
          <t>Total shares repurchased:</t>
        </is>
      </c>
      <c r="L74" s="185" t="n"/>
    </row>
    <row r="75">
      <c r="C75" s="174" t="inlineStr">
        <is>
          <t>Present value of terminal value</t>
        </is>
      </c>
      <c r="D75" s="188" t="str">
        <f>IFERROR(IF(OR(D74="",K54="",K55=""),"",D74*K54*K55),"")</f>
        <v/>
      </c>
      <c r="E75" s="173" t="inlineStr">
        <is>
          <t>Equity value</t>
        </is>
      </c>
      <c r="H75" s="181" t="str">
        <f>IFERROR(IF(H62="","",H62-H74),"")</f>
        <v/>
      </c>
      <c r="J75" s="162" t="n"/>
      <c r="K75" s="195" t="inlineStr">
        <is>
          <t>Basic shares outstanding</t>
        </is>
      </c>
      <c r="L75" s="172" t="n"/>
    </row>
    <row r="76" ht="13.5" customHeight="1">
      <c r="C76" s="174" t="inlineStr">
        <is>
          <t>Enterprise value</t>
        </is>
      </c>
      <c r="D76" s="188" t="str">
        <f>IFERROR(IF(OR(D75="",G57=""),"",G57+D75),"")</f>
        <v/>
      </c>
      <c r="E76" s="157" t="inlineStr">
        <is>
          <t>Shares outstanding</t>
        </is>
      </c>
      <c r="H76" s="188" t="str">
        <f>IFERROR(IF(Control!E5="","",Control!E5),"")</f>
        <v/>
      </c>
      <c r="J76" s="196" t="n"/>
      <c r="K76" s="195" t="inlineStr">
        <is>
          <t>New shares from options:</t>
        </is>
      </c>
      <c r="L76" s="172" t="n"/>
    </row>
    <row r="77" ht="13.5" customHeight="1">
      <c r="C77" s="143" t="n"/>
      <c r="D77" s="197" t="n"/>
      <c r="E77" s="173" t="inlineStr">
        <is>
          <t>Equity value / share</t>
        </is>
      </c>
      <c r="H77" s="198" t="str">
        <f>IFERROR(IF(OR(H75="",H76="",H76=0),"",H75/H76),"")</f>
        <v/>
      </c>
      <c r="K77" s="195" t="inlineStr">
        <is>
          <t>New shares from convert. pref. stock:</t>
        </is>
      </c>
      <c r="L77" s="199" t="n"/>
    </row>
    <row r="78">
      <c r="C78" s="171" t="inlineStr">
        <is>
          <t>Select a terminal value method</t>
        </is>
      </c>
      <c r="D78" s="200" t="n"/>
      <c r="F78" s="160" t="n"/>
      <c r="H78" s="201" t="n"/>
      <c r="K78" s="195" t="inlineStr">
        <is>
          <t>New shares from convertible debt:</t>
        </is>
      </c>
      <c r="L78" s="202" t="n"/>
    </row>
    <row r="79">
      <c r="C79" s="174" t="inlineStr">
        <is>
          <t>Perpetual growth = 1 / Exit multiple = 2</t>
        </is>
      </c>
      <c r="D79" s="203">
        <f>IFERROR(Control!B11,"")</f>
        <v>1</v>
      </c>
      <c r="H79" s="201" t="n"/>
      <c r="K79" s="204" t="inlineStr">
        <is>
          <t>Total Shares Outstanding:</t>
        </is>
      </c>
      <c r="L79" s="205" t="n"/>
    </row>
    <row r="80">
      <c r="C80" s="174" t="inlineStr">
        <is>
          <t>Enterprise value</t>
        </is>
      </c>
      <c r="D80" s="172" t="str">
        <f>IFERROR(IF(D79=1,D69,D76),"")</f>
        <v/>
      </c>
      <c r="H80" s="144" t="n"/>
      <c r="K80" s="204" t="n"/>
      <c r="L80" s="205" t="n"/>
    </row>
    <row r="81">
      <c r="C81" s="206" t="inlineStr">
        <is>
          <t>Terminal value as percent of total value</t>
        </is>
      </c>
      <c r="D81" s="207" t="str">
        <f>IFERROR(IF(D79=1,D68/D69,D75/D76),"")</f>
        <v/>
      </c>
      <c r="E81" s="109" t="n"/>
      <c r="F81" s="109" t="n"/>
      <c r="G81" s="109" t="n"/>
      <c r="H81" s="123" t="n"/>
      <c r="I81" s="109" t="n"/>
      <c r="J81" s="109" t="n"/>
      <c r="K81" s="109" t="n"/>
      <c r="L81" s="123" t="n"/>
    </row>
    <row r="82"/>
    <row r="83" ht="13.5" customHeight="1">
      <c r="C83" s="208" t="inlineStr">
        <is>
          <t>Analysis of WACC</t>
        </is>
      </c>
      <c r="D83" s="209" t="n"/>
      <c r="E83" s="210" t="n"/>
      <c r="F83" s="210" t="n"/>
      <c r="G83" s="208" t="n"/>
      <c r="H83" s="209" t="n"/>
      <c r="I83" s="210" t="n"/>
      <c r="J83" s="210" t="n"/>
      <c r="K83" s="210" t="n"/>
      <c r="L83" s="210" t="n"/>
    </row>
    <row r="84"/>
    <row r="85">
      <c r="C85" s="211" t="inlineStr">
        <is>
          <t>Cost of debt</t>
        </is>
      </c>
      <c r="D85" s="109" t="n"/>
      <c r="F85" s="211" t="inlineStr">
        <is>
          <t>Capital structure</t>
        </is>
      </c>
      <c r="G85" s="211" t="n"/>
      <c r="H85" s="211" t="n"/>
      <c r="I85" s="211" t="n"/>
      <c r="J85" s="211" t="n"/>
    </row>
    <row r="86">
      <c r="C86" s="157" t="inlineStr">
        <is>
          <t>Cost of debt</t>
        </is>
      </c>
      <c r="D86" s="212" t="str">
        <f>IFERROR(IF(Control!E9="","",Control!E9),"")</f>
        <v/>
      </c>
      <c r="G86" s="252" t="inlineStr">
        <is>
          <t>Current capital structure</t>
        </is>
      </c>
      <c r="H86" s="253" t="n"/>
      <c r="I86" s="254" t="inlineStr">
        <is>
          <t>Target capital structure</t>
        </is>
      </c>
      <c r="J86" s="255" t="n"/>
    </row>
    <row r="87">
      <c r="C87" s="157" t="inlineStr">
        <is>
          <t>Marginal tax rate</t>
        </is>
      </c>
      <c r="D87" s="212" t="str">
        <f>IFERROR(IF(Control!E10="","",Control!E10),"")</f>
        <v/>
      </c>
      <c r="F87" s="109" t="n"/>
      <c r="G87" s="182" t="inlineStr">
        <is>
          <t>Market value</t>
        </is>
      </c>
      <c r="H87" s="182" t="inlineStr">
        <is>
          <t>% Weight</t>
        </is>
      </c>
      <c r="I87" s="182" t="inlineStr">
        <is>
          <t>override</t>
        </is>
      </c>
      <c r="J87" s="213" t="inlineStr">
        <is>
          <t>% Weight</t>
        </is>
      </c>
      <c r="K87" s="214" t="n"/>
      <c r="L87" s="215" t="n"/>
    </row>
    <row r="88">
      <c r="C88" s="251" t="inlineStr">
        <is>
          <t>Cost of debt after tax shield</t>
        </is>
      </c>
      <c r="D88" s="216" t="str">
        <f>IFERROR(IF(D86="","",D86*(1-D87)),"")</f>
        <v/>
      </c>
      <c r="F88" s="251" t="inlineStr">
        <is>
          <t>Net debt</t>
        </is>
      </c>
      <c r="G88" s="217">
        <f>IFERROR(H74,"")</f>
        <v>10039</v>
      </c>
      <c r="H88" s="97">
        <f>IFERROR(debt/totalcap,"")</f>
        <v>1</v>
      </c>
      <c r="I88" s="212" t="n"/>
      <c r="J88" s="97">
        <f>IFERROR(IF(I88,I88,H88),"")</f>
        <v>1</v>
      </c>
      <c r="L88" s="218" t="n"/>
    </row>
    <row r="89">
      <c r="F89" s="251" t="inlineStr">
        <is>
          <t>Equity</t>
        </is>
      </c>
      <c r="G89" s="217">
        <f>IFERROR(L63*L79,"")</f>
        <v>0</v>
      </c>
      <c r="H89" s="97">
        <f>IFERROR(1-H88,"")</f>
        <v>0</v>
      </c>
      <c r="J89" s="97">
        <f>IFERROR(1-debt_weight,"")</f>
        <v>0</v>
      </c>
    </row>
    <row r="90">
      <c r="C90" s="211" t="inlineStr">
        <is>
          <t>Cost of equity</t>
        </is>
      </c>
      <c r="D90" s="109" t="n"/>
      <c r="F90" s="251" t="inlineStr">
        <is>
          <t>Total</t>
        </is>
      </c>
      <c r="G90" s="214">
        <f>IFERROR(SUM(G88:G89),"")</f>
        <v>10039</v>
      </c>
    </row>
    <row r="91">
      <c r="C91" s="157" t="inlineStr">
        <is>
          <t>Risk-Free Rate (rf)</t>
        </is>
      </c>
      <c r="D91" s="212" t="str">
        <f>IFERROR(IF(Control!E6="","",Control!E6),"")</f>
        <v/>
      </c>
      <c r="E91" s="195" t="n"/>
    </row>
    <row r="92">
      <c r="C92" s="157" t="inlineStr">
        <is>
          <t>Market Risk Premium (rm-rf)</t>
        </is>
      </c>
      <c r="D92" s="212" t="str">
        <f>IFERROR(IF(Control!E7="","",Control!E7),"")</f>
        <v/>
      </c>
      <c r="F92" s="211" t="inlineStr">
        <is>
          <t>Weighted average cost of capital</t>
        </is>
      </c>
      <c r="G92" s="109" t="n"/>
      <c r="H92" s="109" t="n"/>
      <c r="I92" s="109" t="n"/>
      <c r="J92" s="109" t="n"/>
    </row>
    <row r="93">
      <c r="C93" s="157" t="inlineStr">
        <is>
          <t>Raw (observed) beta</t>
        </is>
      </c>
      <c r="D93" s="219" t="str">
        <f>IFERROR(IF(Control!E8="","",Control!E8),"")</f>
        <v/>
      </c>
      <c r="F93" s="251" t="inlineStr">
        <is>
          <t>Weighted average cost of capital:</t>
        </is>
      </c>
      <c r="J93" s="97" t="str">
        <f>IFERROR(IF(Control!E12="","",Control!E12),"")</f>
        <v/>
      </c>
    </row>
    <row r="94">
      <c r="C94" s="157" t="inlineStr">
        <is>
          <t>Cost of equity using relevered industry beta</t>
        </is>
      </c>
      <c r="D94" s="216" t="str">
        <f>IFERROR(IF(COUNT(D91:D93)&lt;3,"",D91+D93*D92),"")</f>
        <v/>
      </c>
      <c r="E94" s="102" t="n"/>
    </row>
    <row r="95">
      <c r="C95" s="157" t="n"/>
      <c r="D95" s="216" t="n"/>
      <c r="E95" s="102" t="n"/>
      <c r="G95" s="214" t="n"/>
    </row>
    <row r="96">
      <c r="C96" s="211" t="inlineStr">
        <is>
          <t>Industry beta calculation</t>
        </is>
      </c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109" t="n"/>
    </row>
    <row r="97" ht="25.5" customHeight="1">
      <c r="C97" s="220" t="inlineStr">
        <is>
          <t xml:space="preserve">Comps </t>
        </is>
      </c>
      <c r="D97" s="221" t="inlineStr">
        <is>
          <t>Raw beta</t>
        </is>
      </c>
      <c r="E97" s="221" t="inlineStr">
        <is>
          <t>Share price</t>
        </is>
      </c>
      <c r="F97" s="221" t="inlineStr">
        <is>
          <t>Shares</t>
        </is>
      </c>
      <c r="G97" s="221" t="inlineStr">
        <is>
          <t>Market cap.</t>
        </is>
      </c>
      <c r="H97" s="221" t="inlineStr">
        <is>
          <t>Debt</t>
        </is>
      </c>
      <c r="I97" s="221" t="inlineStr">
        <is>
          <t>D / E</t>
        </is>
      </c>
      <c r="J97" s="221" t="inlineStr">
        <is>
          <t>Tax rate</t>
        </is>
      </c>
      <c r="K97" s="221" t="inlineStr">
        <is>
          <t>Unl. Beta</t>
        </is>
      </c>
      <c r="L97" s="221" t="n"/>
      <c r="M97" s="221" t="n"/>
    </row>
    <row r="98">
      <c r="C98" s="251" t="str">
        <f>IFERROR(ticker,"")</f>
        <v>General Electric Company) (GE</v>
      </c>
      <c r="D98" s="222" t="n"/>
      <c r="E98" s="223" t="n"/>
      <c r="F98" s="141" t="n"/>
      <c r="G98" s="141" t="n"/>
      <c r="H98" s="141" t="n"/>
      <c r="I98" s="224" t="n"/>
      <c r="J98" s="224" t="n"/>
      <c r="K98" s="222" t="n"/>
      <c r="L98" s="225" t="n"/>
    </row>
    <row r="99">
      <c r="C99" s="226" t="inlineStr">
        <is>
          <t>TICKER 2</t>
        </is>
      </c>
      <c r="D99" s="219" t="n"/>
      <c r="E99" s="227" t="n"/>
      <c r="F99" s="228" t="n"/>
      <c r="G99" s="141" t="n"/>
      <c r="H99" s="228" t="n"/>
      <c r="I99" s="224" t="n"/>
      <c r="J99" s="229" t="n"/>
      <c r="K99" s="222" t="n"/>
      <c r="L99" s="225" t="n"/>
    </row>
    <row r="100">
      <c r="C100" s="226" t="inlineStr">
        <is>
          <t>TICKER 3</t>
        </is>
      </c>
      <c r="D100" s="219" t="n"/>
      <c r="E100" s="227" t="n"/>
      <c r="F100" s="228" t="n"/>
      <c r="G100" s="141" t="n"/>
      <c r="H100" s="228" t="n"/>
      <c r="I100" s="224" t="n"/>
      <c r="J100" s="229" t="n"/>
      <c r="K100" s="222" t="n"/>
      <c r="L100" s="225" t="n"/>
    </row>
    <row r="101">
      <c r="C101" s="230" t="inlineStr">
        <is>
          <t>TICKER 4</t>
        </is>
      </c>
      <c r="D101" s="231" t="n"/>
      <c r="E101" s="232" t="n"/>
      <c r="F101" s="233" t="n"/>
      <c r="G101" s="127" t="n"/>
      <c r="H101" s="233" t="n"/>
      <c r="I101" s="234" t="n"/>
      <c r="J101" s="235" t="n"/>
      <c r="K101" s="236" t="n"/>
      <c r="L101" s="225" t="n"/>
      <c r="M101" s="237" t="n"/>
    </row>
    <row r="102">
      <c r="D102" s="222" t="n"/>
      <c r="E102" s="204" t="n"/>
      <c r="F102" s="161" t="n"/>
      <c r="G102" s="141" t="n"/>
      <c r="I102" s="222" t="n"/>
      <c r="J102" s="237" t="n"/>
      <c r="K102" s="238" t="n"/>
      <c r="L102" s="238" t="n"/>
      <c r="M102" s="238" t="n"/>
    </row>
  </sheetData>
  <mergeCells count="4">
    <mergeCell ref="G14:V14"/>
    <mergeCell ref="G86:H86"/>
    <mergeCell ref="I86:J86"/>
    <mergeCell ref="G15:V15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F33"/>
  <sheetViews>
    <sheetView showGridLines="0" zoomScaleNormal="100" workbookViewId="0">
      <pane ySplit="1" topLeftCell="A2" activePane="bottomLeft" state="frozen"/>
      <selection pane="bottomLeft" activeCell="B3" sqref="B3:B12"/>
    </sheetView>
  </sheetViews>
  <sheetFormatPr baseColWidth="8" defaultColWidth="9.7109375" defaultRowHeight="12.75"/>
  <cols>
    <col width="43.140625" customWidth="1" min="1" max="1"/>
    <col width="27.28515625" customWidth="1" min="2" max="2"/>
    <col width="18.140625" customWidth="1" min="3" max="3"/>
    <col width="34" customWidth="1" min="4" max="4"/>
    <col width="18.140625" customWidth="1" min="5" max="6"/>
  </cols>
  <sheetData>
    <row r="1" ht="18" customHeight="1">
      <c r="A1" s="239" t="inlineStr">
        <is>
          <t>CONTROL &amp; ASSUMPTIONS – BASE MODEL</t>
        </is>
      </c>
      <c r="B1" s="239" t="n"/>
      <c r="C1" s="239" t="n"/>
      <c r="D1" s="239" t="n"/>
      <c r="E1" s="239" t="n"/>
      <c r="F1" s="239" t="n"/>
    </row>
    <row r="3" ht="14.25" customHeight="1">
      <c r="A3" t="inlineStr">
        <is>
          <t>Company</t>
        </is>
      </c>
      <c r="B3" s="240" t="inlineStr">
        <is>
          <t>GE Aerospace</t>
        </is>
      </c>
      <c r="D3" s="241" t="inlineStr">
        <is>
          <t>Valuation assumptions</t>
        </is>
      </c>
      <c r="E3" s="241" t="n"/>
      <c r="F3" s="241" t="n"/>
    </row>
    <row r="4" ht="14.25" customHeight="1">
      <c r="A4" t="inlineStr">
        <is>
          <t>Ticker</t>
        </is>
      </c>
      <c r="B4" s="240" t="inlineStr">
        <is>
          <t>General Electric Company) (GE</t>
        </is>
      </c>
      <c r="D4" t="inlineStr">
        <is>
          <t>Last close (US$/share)</t>
        </is>
      </c>
      <c r="E4" s="242" t="n"/>
    </row>
    <row r="5" ht="14.25" customHeight="1">
      <c r="A5" t="inlineStr">
        <is>
          <t>Currency</t>
        </is>
      </c>
      <c r="B5" s="240" t="inlineStr">
        <is>
          <t>USD</t>
        </is>
      </c>
      <c r="D5" t="inlineStr">
        <is>
          <t>Shares outstanding (mm)</t>
        </is>
      </c>
      <c r="E5" s="243" t="n"/>
    </row>
    <row r="6" ht="14.25" customHeight="1">
      <c r="A6" t="inlineStr">
        <is>
          <t>Model unit</t>
        </is>
      </c>
      <c r="B6" s="240" t="inlineStr">
        <is>
          <t>US$ milhões</t>
        </is>
      </c>
      <c r="D6" t="inlineStr">
        <is>
          <t>Risk-free rate</t>
        </is>
      </c>
      <c r="E6" s="244" t="n"/>
    </row>
    <row r="7" ht="14.25" customHeight="1">
      <c r="A7" t="inlineStr">
        <is>
          <t>Last actual period</t>
        </is>
      </c>
      <c r="B7" s="274" t="n">
        <v>46203</v>
      </c>
      <c r="D7" t="inlineStr">
        <is>
          <t>Market risk premium</t>
        </is>
      </c>
      <c r="E7" s="244" t="n"/>
    </row>
    <row r="8" ht="14.25" customHeight="1">
      <c r="A8" t="inlineStr">
        <is>
          <t>Quarterly forecast through</t>
        </is>
      </c>
      <c r="B8" s="245" t="n">
        <v>47118</v>
      </c>
      <c r="D8" t="inlineStr">
        <is>
          <t>Beta</t>
        </is>
      </c>
      <c r="E8" s="246" t="n"/>
    </row>
    <row r="9" ht="15" customHeight="1">
      <c r="A9" t="inlineStr">
        <is>
          <t>Forecast end</t>
        </is>
      </c>
      <c r="B9" s="245" t="n">
        <v>47848</v>
      </c>
      <c r="D9" t="inlineStr">
        <is>
          <t>Pre-tax cost of debt</t>
        </is>
      </c>
      <c r="E9" s="247" t="str">
        <f>IFERROR(-Model!AG59/AVERAGE(Model!AB77,Model!AG77),"")</f>
        <v/>
      </c>
    </row>
    <row r="10" ht="14.25" customHeight="1">
      <c r="A10" t="inlineStr">
        <is>
          <t>Scenario (1 Bull / 2 Base / 3 Bear)</t>
        </is>
      </c>
      <c r="B10" s="240" t="n">
        <v>2</v>
      </c>
      <c r="D10" t="inlineStr">
        <is>
          <t>Marginal tax rate</t>
        </is>
      </c>
      <c r="E10" s="244" t="n"/>
    </row>
    <row r="11" ht="14.25" customHeight="1">
      <c r="A11" t="inlineStr">
        <is>
          <t>Terminal method (1 Perpetuity / 2 Exit)</t>
        </is>
      </c>
      <c r="B11" s="240" t="n">
        <v>1</v>
      </c>
      <c r="D11" t="inlineStr">
        <is>
          <t>Target debt weight</t>
        </is>
      </c>
      <c r="E11" s="244" t="n"/>
    </row>
    <row r="12" ht="15" customHeight="1">
      <c r="A12" t="inlineStr">
        <is>
          <t>Valuation date</t>
        </is>
      </c>
      <c r="B12" s="245" t="n"/>
      <c r="D12" t="inlineStr">
        <is>
          <t>WACC</t>
        </is>
      </c>
      <c r="E12" s="247" t="str">
        <f>IF(COUNT(E6:E11)&lt;6,"",E11*E9*(1-E10)+(1-E11)*(E6+E8*E7))</f>
        <v/>
      </c>
    </row>
    <row r="13" ht="15" customHeight="1">
      <c r="A13" t="inlineStr">
        <is>
          <t>Stub year fraction</t>
        </is>
      </c>
      <c r="B13" s="247">
        <f>IFERROR((DATE(YEAR(B12),12,31)-B12)/365,"")</f>
        <v>0.00273972602739726</v>
      </c>
      <c r="D13" t="inlineStr">
        <is>
          <t>Terminal growth</t>
        </is>
      </c>
      <c r="E13" s="244" t="n"/>
    </row>
    <row r="14" ht="14.25" customHeight="1">
      <c r="D14" t="inlineStr">
        <is>
          <t>Exit EV/EBITDA</t>
        </is>
      </c>
      <c r="E14" s="248" t="n"/>
    </row>
    <row r="15" ht="14.25" customHeight="1">
      <c r="D15" t="inlineStr">
        <is>
          <t>Dividend payout</t>
        </is>
      </c>
      <c r="E15" s="244" t="n"/>
    </row>
    <row r="17" ht="14.25" customHeight="1">
      <c r="A17" s="241" t="inlineStr">
        <is>
          <t>Forecast drivers</t>
        </is>
      </c>
      <c r="B17" s="241" t="inlineStr">
        <is>
          <t>2026E</t>
        </is>
      </c>
      <c r="C17" s="241" t="inlineStr">
        <is>
          <t>2027E</t>
        </is>
      </c>
      <c r="D17" s="241" t="inlineStr">
        <is>
          <t>2028E</t>
        </is>
      </c>
      <c r="E17" s="241" t="inlineStr">
        <is>
          <t>2029E</t>
        </is>
      </c>
      <c r="F17" s="241" t="inlineStr">
        <is>
          <t>2030E</t>
        </is>
      </c>
    </row>
    <row r="18" ht="15" customHeight="1">
      <c r="A18" t="inlineStr">
        <is>
          <t>Revenue growth</t>
        </is>
      </c>
      <c r="B18" s="247">
        <f>IFERROR(AVERAGE(Model!AC16:AF16,Model!AH16:AI16),"")</f>
        <v>0.198953808431405</v>
      </c>
      <c r="C18" s="247">
        <f>IF(B18="","",B18)</f>
        <v>0.198953808431405</v>
      </c>
      <c r="D18" s="247">
        <f>IF(C18="","",MAX(0,C18-0.5%))</f>
        <v>0.193953808431405</v>
      </c>
      <c r="E18" s="247">
        <f>IF(D18="","",MAX(0,D18-0.5%))</f>
        <v>0.188953808431405</v>
      </c>
      <c r="F18" s="247">
        <f>IF(E18="","",MAX(0,E18-0.5%))</f>
        <v>0.183953808431405</v>
      </c>
    </row>
    <row r="19" ht="15" customHeight="1">
      <c r="A19" t="inlineStr">
        <is>
          <t>Gross margin</t>
        </is>
      </c>
      <c r="B19" s="247">
        <f>IFERROR(AVERAGE(Model!AC40:AF40,Model!AH40:AI40),"")</f>
        <v>0.365278692620344</v>
      </c>
      <c r="C19" s="247">
        <f>IF(B19="","",B19)</f>
        <v>0.365278692620344</v>
      </c>
      <c r="D19" s="247">
        <f>IF(C19="","",C19)</f>
        <v>0.365278692620344</v>
      </c>
      <c r="E19" s="247">
        <f>IF(D19="","",D19)</f>
        <v>0.365278692620344</v>
      </c>
      <c r="F19" s="247">
        <f>IF(E19="","",E19)</f>
        <v>0.365278692620344</v>
      </c>
    </row>
    <row r="20" ht="15" customHeight="1">
      <c r="A20" t="inlineStr">
        <is>
          <t>SG&amp;A / Revenue</t>
        </is>
      </c>
      <c r="B20" s="247">
        <f>IFERROR(AVERAGE(Model!AC44:AF44,Model!AH44:AI44),"")</f>
        <v>0.143687681300834</v>
      </c>
      <c r="C20" s="247">
        <f>IF(B20="","",B20)</f>
        <v>0.143687681300834</v>
      </c>
      <c r="D20" s="247">
        <f>IF(C20="","",C20)</f>
        <v>0.143687681300834</v>
      </c>
      <c r="E20" s="247">
        <f>IF(D20="","",D20)</f>
        <v>0.143687681300834</v>
      </c>
      <c r="F20" s="247">
        <f>IF(E20="","",E20)</f>
        <v>0.143687681300834</v>
      </c>
    </row>
    <row r="21" ht="15" customHeight="1">
      <c r="A21" t="inlineStr">
        <is>
          <t>D&amp;A / Revenue</t>
        </is>
      </c>
      <c r="B21" s="247">
        <f>IFERROR(AVERAGE(Model!AC56:AF56,Model!AH56:AI56),"")</f>
        <v>0.0184952529136601</v>
      </c>
      <c r="C21" s="247">
        <f>IF(B21="","",B21)</f>
        <v>0.0184952529136601</v>
      </c>
      <c r="D21" s="247">
        <f>IF(C21="","",C21)</f>
        <v>0.0184952529136601</v>
      </c>
      <c r="E21" s="247">
        <f>IF(D21="","",D21)</f>
        <v>0.0184952529136601</v>
      </c>
      <c r="F21" s="247">
        <f>IF(E21="","",E21)</f>
        <v>0.0184952529136601</v>
      </c>
    </row>
    <row r="22" ht="15" customHeight="1">
      <c r="A22" t="inlineStr">
        <is>
          <t>Effective tax rate</t>
        </is>
      </c>
      <c r="B22" s="247">
        <f>IFERROR(AVERAGE(Model!AC117:AF117,Model!AH117:AI117),"")</f>
        <v>0.136999553024727</v>
      </c>
      <c r="C22" s="247">
        <f>IF(B22="","",B22)</f>
        <v>0.136999553024727</v>
      </c>
      <c r="D22" s="247">
        <f>IF(C22="","",C22)</f>
        <v>0.136999553024727</v>
      </c>
      <c r="E22" s="247">
        <f>IF(D22="","",D22)</f>
        <v>0.136999553024727</v>
      </c>
      <c r="F22" s="247">
        <f>IF(E22="","",E22)</f>
        <v>0.136999553024727</v>
      </c>
    </row>
    <row r="23" ht="15" customHeight="1">
      <c r="A23" t="inlineStr">
        <is>
          <t>Financial income / Revenue</t>
        </is>
      </c>
      <c r="B23" s="247">
        <f>IFERROR(AVERAGE(Model!AC108:AF108,Model!AH108:AI108)/AVERAGE(Model!AC15:AF15,Model!AH15:AI15),"")</f>
        <v>0.0249032780703102</v>
      </c>
      <c r="C23" s="247">
        <f>IF(B23="","",B23)</f>
        <v>0.0249032780703102</v>
      </c>
      <c r="D23" s="247">
        <f>IF(C23="","",C23)</f>
        <v>0.0249032780703102</v>
      </c>
      <c r="E23" s="247">
        <f>IF(D23="","",D23)</f>
        <v>0.0249032780703102</v>
      </c>
      <c r="F23" s="247">
        <f>IF(E23="","",E23)</f>
        <v>0.0249032780703102</v>
      </c>
    </row>
    <row r="24" ht="15" customHeight="1">
      <c r="A24" t="inlineStr">
        <is>
          <t>Capex / Revenue</t>
        </is>
      </c>
      <c r="B24" s="247">
        <f>IFERROR(-AVERAGE(Model!AC280:AF280,Model!AH280:AI280)/AVERAGE(Model!AC15:AF15,Model!AH15:AI15),"")</f>
        <v>0.0183527242761568</v>
      </c>
      <c r="C24" s="247">
        <f>IF(B24="","",B24)</f>
        <v>0.0183527242761568</v>
      </c>
      <c r="D24" s="247">
        <f>IF(C24="","",C24)</f>
        <v>0.0183527242761568</v>
      </c>
      <c r="E24" s="247">
        <f>IF(D24="","",D24)</f>
        <v>0.0183527242761568</v>
      </c>
      <c r="F24" s="247">
        <f>IF(E24="","",E24)</f>
        <v>0.0183527242761568</v>
      </c>
    </row>
    <row r="25" ht="15" customHeight="1">
      <c r="A25" t="inlineStr">
        <is>
          <t>DSO</t>
        </is>
      </c>
      <c r="B25" s="249">
        <f>IFERROR(AVERAGE(Model!AC131:AF131,Model!AH131:AI131),0)</f>
        <v>85.7980603617343</v>
      </c>
      <c r="C25" s="249">
        <f>IF(B25="","",B25)</f>
        <v>85.7980603617343</v>
      </c>
      <c r="D25" s="249">
        <f>IF(C25="","",C25)</f>
        <v>85.7980603617343</v>
      </c>
      <c r="E25" s="249">
        <f>IF(D25="","",D25)</f>
        <v>85.7980603617343</v>
      </c>
      <c r="F25" s="249">
        <f>IF(E25="","",E25)</f>
        <v>85.7980603617343</v>
      </c>
    </row>
    <row r="26" ht="15" customHeight="1">
      <c r="A26" t="inlineStr">
        <is>
          <t>DIO</t>
        </is>
      </c>
      <c r="B26" s="249">
        <f>IFERROR(AVERAGE(Model!AC135:AF135,Model!AH135:AI135),0)</f>
        <v>141.286942632673</v>
      </c>
      <c r="C26" s="249">
        <f>IF(B26="","",B26)</f>
        <v>141.286942632673</v>
      </c>
      <c r="D26" s="249">
        <f>IF(C26="","",C26)</f>
        <v>141.286942632673</v>
      </c>
      <c r="E26" s="249">
        <f>IF(D26="","",D26)</f>
        <v>141.286942632673</v>
      </c>
      <c r="F26" s="249">
        <f>IF(E26="","",E26)</f>
        <v>141.286942632673</v>
      </c>
    </row>
    <row r="27" ht="15" customHeight="1">
      <c r="A27" t="inlineStr">
        <is>
          <t>DPO</t>
        </is>
      </c>
      <c r="B27" s="249">
        <f>IFERROR(AVERAGE(Model!AC184:AF184,Model!AH184:AI184),0)</f>
        <v>118.983025356744</v>
      </c>
      <c r="C27" s="249">
        <f>IF(B27="","",B27)</f>
        <v>118.983025356744</v>
      </c>
      <c r="D27" s="249">
        <f>IF(C27="","",C27)</f>
        <v>118.983025356744</v>
      </c>
      <c r="E27" s="249">
        <f>IF(D27="","",D27)</f>
        <v>118.983025356744</v>
      </c>
      <c r="F27" s="249">
        <f>IF(E27="","",E27)</f>
        <v>118.983025356744</v>
      </c>
    </row>
    <row r="29">
      <c r="A29" t="inlineStr">
        <is>
          <t>Model status</t>
        </is>
      </c>
    </row>
    <row r="30">
      <c r="A30" t="inlineStr">
        <is>
          <t>Source</t>
        </is>
      </c>
      <c r="B30" t="inlineStr">
        <is>
          <t>GE Aerospace (General Electric Company) (GE, CIK 40545) - fonte: SEC EDGAR XBRL (instâncias dos 10-Q/10-K). Moeda: USD. Brutos em USD unidades (fator 0,000001 -&gt; milhões). Colunas = trimestres-CALENDÁRIO (cada fechamento vai para o fim de trimestre m</t>
        </is>
      </c>
    </row>
    <row r="31">
      <c r="A31" t="inlineStr">
        <is>
          <t>Unit flow</t>
        </is>
      </c>
      <c r="B31" t="inlineStr">
        <is>
          <t>US$ mil na Inputs → US$ milhões via Inputs (2)</t>
        </is>
      </c>
    </row>
    <row r="32">
      <c r="A32" t="inlineStr">
        <is>
          <t>Historical coverage</t>
        </is>
      </c>
      <c r="B32" t="str">
        <f>IF(B7="","","1Q21–"&amp;ROUNDUP(MONTH(B7)/3,0)&amp;"Q"&amp;RIGHT(YEAR(B7),2))</f>
        <v>1Q21–2Q26</v>
      </c>
    </row>
    <row r="33">
      <c r="A33" t="inlineStr">
        <is>
          <t>Valuation readiness</t>
        </is>
      </c>
      <c r="B33" t="str">
        <f>IF(OR(B3="",B4=""),"PENDING COMPANY SETUP",IF(OR(E4="",E5="",E12=""),"PENDING MARKET INPUTS","READY"))</f>
        <v>PENDING MARKET INPUTS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2026-09-23T00:39:42Z</dcterms:created>
  <dcterms:modified xmlns:dcterms="http://purl.org/dc/terms/" xmlns:xsi="http://www.w3.org/2001/XMLSchema-instance" xsi:type="dcterms:W3CDTF">2026-10-16T15:38:31Z</dcterms:modified>
  <cp:lastModifiedBy>Lucas Nascimento</cp:lastModifiedBy>
  <cp:revision>0</cp:revision>
</cp:coreProperties>
</file>