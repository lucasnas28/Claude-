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.0;(#,##0.0)"/>
    <numFmt numFmtId="201" formatCode="dd/mm/yyyy"/>
  </numFmts>
  <fonts count="26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Verdana"/>
      <family val="2"/>
      <b val="1"/>
      <color rgb="FFFFFFFF"/>
      <sz val="10"/>
    </font>
    <font>
      <name val="Verdana"/>
      <family val="2"/>
      <b val="1"/>
      <color theme="1"/>
      <sz val="10"/>
    </font>
    <font>
      <name val="Verdana"/>
      <b val="1"/>
      <sz val="10"/>
    </font>
  </fonts>
  <fills count="18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00B050"/>
        <bgColor rgb="FF00B050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275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200" fontId="0" fillId="0" borderId="0" pivotButton="0" quotePrefix="0" xfId="0"/>
    <xf numFmtId="169" fontId="11" fillId="7" borderId="0" applyAlignment="1" pivotButton="0" quotePrefix="0" xfId="21">
      <alignment horizontal="center"/>
    </xf>
    <xf numFmtId="0" fontId="23" fillId="15" borderId="0" applyAlignment="1" pivotButton="0" quotePrefix="0" xfId="0">
      <alignment horizontal="left"/>
    </xf>
    <xf numFmtId="0" fontId="24" fillId="16" borderId="0" pivotButton="0" quotePrefix="0" xfId="0"/>
    <xf numFmtId="3" fontId="24" fillId="17" borderId="0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0" fontId="25" fillId="16" borderId="0" pivotButton="0" quotePrefix="0" xfId="0"/>
    <xf numFmtId="171" fontId="24" fillId="17" borderId="0" applyAlignment="1" pivotButton="0" quotePrefix="0" xfId="0">
      <alignment horizontal="center"/>
    </xf>
    <xf numFmtId="171" fontId="24" fillId="0" borderId="0" applyAlignment="1" pivotButton="0" quotePrefix="0" xfId="0">
      <alignment horizontal="center"/>
    </xf>
    <xf numFmtId="201" fontId="22" fillId="13" borderId="0" pivotButton="0" quotePrefix="0" xfId="24"/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4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9.7109375" defaultRowHeight="12.75"/>
  <cols>
    <col width="90" customWidth="1" min="1" max="1"/>
    <col width="10.140625" customWidth="1" min="2" max="2"/>
    <col width="45" customWidth="1" min="3" max="3"/>
    <col width="12.42578125" customWidth="1" min="4" max="33"/>
  </cols>
  <sheetData>
    <row r="1" ht="14.25" customHeight="1">
      <c r="A1" s="1" t="inlineStr">
        <is>
          <t>Base histórica normalizada (US$ mil) — convertida da máscara anterior; linhas de origem auditáveis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ver coluna A de cada linha</t>
        </is>
      </c>
      <c r="C3" t="inlineStr">
        <is>
          <t>Unidade: US$ mil (monetário); demais unidades × 1.000</t>
        </is>
      </c>
    </row>
    <row r="4">
      <c r="A4" t="inlineStr">
        <is>
          <t>DRE - BRUTO COMO DIVULGADO (USD). 3M = trimestre do 10-Q (FQ1-FQ3 = 4T, 1T, 2T calendário); 12M = ano fiscal do 10-K (na coluna do 3T calendário); 9M = acumulado do 10-Q de jun (coluna do 2T)</t>
        </is>
      </c>
      <c r="C4" t="inlineStr">
        <is>
          <t>[linha bruta, sem código; lançada nas linhas abaixo]</t>
        </is>
      </c>
      <c r="D4" s="265" t="n"/>
      <c r="E4" s="265" t="n"/>
      <c r="F4" s="265" t="n"/>
      <c r="G4" s="265" t="n"/>
      <c r="I4" s="265" t="n"/>
      <c r="J4" s="265" t="n"/>
      <c r="K4" s="265" t="n"/>
      <c r="L4" s="265" t="n"/>
      <c r="N4" s="265" t="n"/>
      <c r="O4" s="265" t="n"/>
      <c r="P4" s="265" t="n"/>
      <c r="Q4" s="265" t="n"/>
      <c r="S4" s="265" t="n"/>
      <c r="T4" s="265" t="n"/>
      <c r="U4" s="265" t="n"/>
      <c r="V4" s="265" t="n"/>
      <c r="X4" s="265" t="n"/>
      <c r="Y4" s="265" t="n"/>
      <c r="Z4" s="265" t="n"/>
      <c r="AA4" s="265" t="n"/>
      <c r="AC4" s="265" t="n"/>
      <c r="AD4" s="265" t="n"/>
    </row>
    <row r="5">
      <c r="A5" t="inlineStr">
        <is>
          <t>Receita líquida (net sales) - 3M (10-Q) [us-gaap:RevenueFromContractWithCustomerExcludingAssessedTax] · memoria · unid. moeda</t>
        </is>
      </c>
      <c r="C5" t="inlineStr">
        <is>
          <t>[linha bruta, sem código; lançada nas linhas abaixo]</t>
        </is>
      </c>
      <c r="D5" s="265" t="n">
        <v>89584000</v>
      </c>
      <c r="E5" s="265" t="n">
        <v>81434000</v>
      </c>
      <c r="F5" s="265" t="n"/>
      <c r="G5" s="265" t="n">
        <v>123945000</v>
      </c>
      <c r="I5" s="265" t="n">
        <v>97278000</v>
      </c>
      <c r="J5" s="265" t="n">
        <v>82959000</v>
      </c>
      <c r="K5" s="265" t="n"/>
      <c r="L5" s="265" t="n">
        <v>117154000</v>
      </c>
      <c r="N5" s="265" t="n">
        <v>94836000</v>
      </c>
      <c r="O5" s="265" t="n">
        <v>81797000</v>
      </c>
      <c r="P5" s="265" t="n"/>
      <c r="Q5" s="265" t="n">
        <v>119575000</v>
      </c>
      <c r="S5" s="265" t="n">
        <v>90753000</v>
      </c>
      <c r="T5" s="265" t="n">
        <v>85777000</v>
      </c>
      <c r="U5" s="265" t="n"/>
      <c r="V5" s="265" t="n">
        <v>124300000</v>
      </c>
      <c r="X5" s="265" t="n">
        <v>95359000</v>
      </c>
      <c r="Y5" s="265" t="n">
        <v>94036000</v>
      </c>
      <c r="Z5" s="265" t="n"/>
      <c r="AA5" s="265" t="n">
        <v>143756000</v>
      </c>
      <c r="AC5" s="265" t="n">
        <v>111184000</v>
      </c>
      <c r="AD5" s="265" t="n">
        <v>109417000</v>
      </c>
    </row>
    <row r="6">
      <c r="A6" t="inlineStr">
        <is>
          <t>Receita líquida (net sales) - ano fiscal 12M (10-K; na coluna do 3T) · memoria · unid. moeda</t>
        </is>
      </c>
      <c r="C6" t="inlineStr">
        <is>
          <t>[linha bruta, sem código; lançada nas linhas abaixo]</t>
        </is>
      </c>
      <c r="D6" s="265" t="n"/>
      <c r="E6" s="265" t="n"/>
      <c r="F6" s="265" t="n">
        <v>365817000</v>
      </c>
      <c r="G6" s="265" t="n"/>
      <c r="I6" s="265" t="n"/>
      <c r="J6" s="265" t="n"/>
      <c r="K6" s="265" t="n">
        <v>394328000</v>
      </c>
      <c r="L6" s="265" t="n"/>
      <c r="N6" s="265" t="n"/>
      <c r="O6" s="265" t="n"/>
      <c r="P6" s="265" t="n">
        <v>383285000</v>
      </c>
      <c r="Q6" s="265" t="n"/>
      <c r="S6" s="265" t="n"/>
      <c r="T6" s="265" t="n"/>
      <c r="U6" s="265" t="n">
        <v>391035000</v>
      </c>
      <c r="V6" s="265" t="n"/>
      <c r="X6" s="265" t="n"/>
      <c r="Y6" s="265" t="n"/>
      <c r="Z6" s="265" t="n">
        <v>416161000</v>
      </c>
      <c r="AA6" s="265" t="n"/>
      <c r="AC6" s="265" t="n"/>
      <c r="AD6" s="265" t="n"/>
    </row>
    <row r="7">
      <c r="A7" t="inlineStr">
        <is>
          <t>Receita líquida (net sales) - 9M acumulado (10-Q de jun; na coluna do 2T) · memoria · unid. moeda</t>
        </is>
      </c>
      <c r="C7" t="inlineStr">
        <is>
          <t>[linha bruta, sem código; lançada nas linhas abaixo]</t>
        </is>
      </c>
      <c r="D7" s="265" t="n"/>
      <c r="E7" s="265" t="n">
        <v>282457000</v>
      </c>
      <c r="F7" s="265" t="n"/>
      <c r="G7" s="265" t="n"/>
      <c r="I7" s="265" t="n"/>
      <c r="J7" s="265" t="n">
        <v>304182000</v>
      </c>
      <c r="K7" s="265" t="n"/>
      <c r="L7" s="265" t="n"/>
      <c r="N7" s="265" t="n"/>
      <c r="O7" s="265" t="n">
        <v>293787000</v>
      </c>
      <c r="P7" s="265" t="n"/>
      <c r="Q7" s="265" t="n"/>
      <c r="S7" s="265" t="n"/>
      <c r="T7" s="265" t="n">
        <v>296105000</v>
      </c>
      <c r="U7" s="265" t="n"/>
      <c r="V7" s="265" t="n"/>
      <c r="X7" s="265" t="n"/>
      <c r="Y7" s="265" t="n">
        <v>313695000</v>
      </c>
      <c r="Z7" s="265" t="n"/>
      <c r="AA7" s="265" t="n"/>
      <c r="AC7" s="265" t="n"/>
      <c r="AD7" s="265" t="n">
        <v>364357000</v>
      </c>
    </row>
    <row r="8">
      <c r="A8" t="inlineStr">
        <is>
          <t>Custo das vendas (divulgado positivo) - 3M (10-Q) [us-gaap:CostOfGoodsAndServicesSold] · memoria · unid. moeda</t>
        </is>
      </c>
      <c r="C8" t="inlineStr">
        <is>
          <t>[linha bruta, sem código; lançada nas linhas abaixo]</t>
        </is>
      </c>
      <c r="D8" s="265" t="n">
        <v>51505000</v>
      </c>
      <c r="E8" s="265" t="n">
        <v>46179000</v>
      </c>
      <c r="F8" s="265" t="n"/>
      <c r="G8" s="265" t="n">
        <v>69702000</v>
      </c>
      <c r="I8" s="265" t="n">
        <v>54719000</v>
      </c>
      <c r="J8" s="265" t="n">
        <v>47074000</v>
      </c>
      <c r="K8" s="265" t="n"/>
      <c r="L8" s="265" t="n">
        <v>66822000</v>
      </c>
      <c r="N8" s="265" t="n">
        <v>52860000</v>
      </c>
      <c r="O8" s="265" t="n">
        <v>45384000</v>
      </c>
      <c r="P8" s="265" t="n"/>
      <c r="Q8" s="265" t="n">
        <v>64720000</v>
      </c>
      <c r="S8" s="265" t="n">
        <v>48482000</v>
      </c>
      <c r="T8" s="265" t="n">
        <v>46099000</v>
      </c>
      <c r="U8" s="265" t="n"/>
      <c r="V8" s="265" t="n">
        <v>66025000</v>
      </c>
      <c r="X8" s="265" t="n">
        <v>50492000</v>
      </c>
      <c r="Y8" s="265" t="n">
        <v>50318000</v>
      </c>
      <c r="Z8" s="265" t="n"/>
      <c r="AA8" s="265" t="n">
        <v>74525000</v>
      </c>
      <c r="AC8" s="265" t="n">
        <v>56403000</v>
      </c>
      <c r="AD8" s="265" t="n">
        <v>54647000</v>
      </c>
    </row>
    <row r="9">
      <c r="A9" t="inlineStr">
        <is>
          <t>Custo das vendas (divulgado positivo) - ano fiscal 12M (10-K; na coluna do 3T) · memoria · unid. moeda</t>
        </is>
      </c>
      <c r="C9" t="inlineStr">
        <is>
          <t>[linha bruta, sem código; lançada nas linhas abaixo]</t>
        </is>
      </c>
      <c r="D9" s="265" t="n"/>
      <c r="E9" s="265" t="n"/>
      <c r="F9" s="265" t="n">
        <v>212981000</v>
      </c>
      <c r="G9" s="265" t="n"/>
      <c r="I9" s="265" t="n"/>
      <c r="J9" s="265" t="n"/>
      <c r="K9" s="265" t="n">
        <v>223546000</v>
      </c>
      <c r="L9" s="265" t="n"/>
      <c r="N9" s="265" t="n"/>
      <c r="O9" s="265" t="n"/>
      <c r="P9" s="265" t="n">
        <v>214137000</v>
      </c>
      <c r="Q9" s="265" t="n"/>
      <c r="S9" s="265" t="n"/>
      <c r="T9" s="265" t="n"/>
      <c r="U9" s="265" t="n">
        <v>210352000</v>
      </c>
      <c r="V9" s="265" t="n"/>
      <c r="X9" s="265" t="n"/>
      <c r="Y9" s="265" t="n"/>
      <c r="Z9" s="265" t="n">
        <v>220960000</v>
      </c>
      <c r="AA9" s="265" t="n"/>
      <c r="AC9" s="265" t="n"/>
      <c r="AD9" s="265" t="n"/>
    </row>
    <row r="10">
      <c r="A10" t="inlineStr">
        <is>
          <t>Custo das vendas (divulgado positivo) - 9M acumulado (10-Q de jun; na coluna do 2T) · memoria · unid. moeda</t>
        </is>
      </c>
      <c r="C10" t="inlineStr">
        <is>
          <t>[linha bruta, sem código; lançada nas linhas abaixo]</t>
        </is>
      </c>
      <c r="D10" s="265" t="n"/>
      <c r="E10" s="265" t="n">
        <v>164795000</v>
      </c>
      <c r="F10" s="265" t="n"/>
      <c r="G10" s="265" t="n"/>
      <c r="I10" s="265" t="n"/>
      <c r="J10" s="265" t="n">
        <v>171495000</v>
      </c>
      <c r="K10" s="265" t="n"/>
      <c r="L10" s="265" t="n"/>
      <c r="N10" s="265" t="n"/>
      <c r="O10" s="265" t="n">
        <v>165066000</v>
      </c>
      <c r="P10" s="265" t="n"/>
      <c r="Q10" s="265" t="n"/>
      <c r="S10" s="265" t="n"/>
      <c r="T10" s="265" t="n">
        <v>159301000</v>
      </c>
      <c r="U10" s="265" t="n"/>
      <c r="V10" s="265" t="n"/>
      <c r="X10" s="265" t="n"/>
      <c r="Y10" s="265" t="n">
        <v>166835000</v>
      </c>
      <c r="Z10" s="265" t="n"/>
      <c r="AA10" s="265" t="n"/>
      <c r="AC10" s="265" t="n"/>
      <c r="AD10" s="265" t="n">
        <v>185575000</v>
      </c>
    </row>
    <row r="11">
      <c r="A11" t="inlineStr">
        <is>
          <t>Despesas operacionais totais = P&amp;D + SG&amp;A (divulgado positivo) - 3M (10-Q) [us-gaap:OperatingExpenses] · memoria · unid. moeda</t>
        </is>
      </c>
      <c r="C11" t="inlineStr">
        <is>
          <t>[linha bruta, sem código; lançada nas linhas abaixo]</t>
        </is>
      </c>
      <c r="D11" s="265" t="n">
        <v>10576000</v>
      </c>
      <c r="E11" s="265" t="n">
        <v>11129000</v>
      </c>
      <c r="F11" s="265" t="n"/>
      <c r="G11" s="265" t="n">
        <v>12755000</v>
      </c>
      <c r="I11" s="265" t="n">
        <v>12580000</v>
      </c>
      <c r="J11" s="265" t="n">
        <v>12809000</v>
      </c>
      <c r="K11" s="265" t="n"/>
      <c r="L11" s="265" t="n">
        <v>14316000</v>
      </c>
      <c r="N11" s="265" t="n">
        <v>13658000</v>
      </c>
      <c r="O11" s="265" t="n">
        <v>13415000</v>
      </c>
      <c r="P11" s="265" t="n"/>
      <c r="Q11" s="265" t="n">
        <v>14482000</v>
      </c>
      <c r="S11" s="265" t="n">
        <v>14371000</v>
      </c>
      <c r="T11" s="265" t="n">
        <v>14326000</v>
      </c>
      <c r="U11" s="265" t="n"/>
      <c r="V11" s="265" t="n">
        <v>15443000</v>
      </c>
      <c r="X11" s="265" t="n">
        <v>15278000</v>
      </c>
      <c r="Y11" s="265" t="n">
        <v>15516000</v>
      </c>
      <c r="Z11" s="265" t="n"/>
      <c r="AA11" s="265" t="n">
        <v>18379000</v>
      </c>
      <c r="AC11" s="265" t="n">
        <v>18896000</v>
      </c>
      <c r="AD11" s="265" t="n">
        <v>19075000</v>
      </c>
    </row>
    <row r="12">
      <c r="A12" t="inlineStr">
        <is>
          <t>Despesas operacionais totais = P&amp;D + SG&amp;A (divulgado positivo) - ano fiscal 12M (10-K; na coluna do 3T) · memoria · unid. moeda</t>
        </is>
      </c>
      <c r="C12" t="inlineStr">
        <is>
          <t>[linha bruta, sem código; lançada nas linhas abaixo]</t>
        </is>
      </c>
      <c r="D12" s="265" t="n"/>
      <c r="E12" s="265" t="n"/>
      <c r="F12" s="265" t="n">
        <v>43887000</v>
      </c>
      <c r="G12" s="265" t="n"/>
      <c r="I12" s="265" t="n"/>
      <c r="J12" s="265" t="n"/>
      <c r="K12" s="265" t="n">
        <v>51345000</v>
      </c>
      <c r="L12" s="265" t="n"/>
      <c r="N12" s="265" t="n"/>
      <c r="O12" s="265" t="n"/>
      <c r="P12" s="265" t="n">
        <v>54847000</v>
      </c>
      <c r="Q12" s="265" t="n"/>
      <c r="S12" s="265" t="n"/>
      <c r="T12" s="265" t="n"/>
      <c r="U12" s="265" t="n">
        <v>57467000</v>
      </c>
      <c r="V12" s="265" t="n"/>
      <c r="X12" s="265" t="n"/>
      <c r="Y12" s="265" t="n"/>
      <c r="Z12" s="265" t="n">
        <v>62151000</v>
      </c>
      <c r="AA12" s="265" t="n"/>
      <c r="AC12" s="265" t="n"/>
      <c r="AD12" s="265" t="n"/>
    </row>
    <row r="13">
      <c r="A13" t="inlineStr">
        <is>
          <t>Despesas operacionais totais = P&amp;D + SG&amp;A (divulgado positivo) - 9M acumulado (10-Q de jun; na coluna do 2T) · memoria · unid. moeda</t>
        </is>
      </c>
      <c r="C13" t="inlineStr">
        <is>
          <t>[linha bruta, sem código; lançada nas linhas abaixo]</t>
        </is>
      </c>
      <c r="D13" s="265" t="n"/>
      <c r="E13" s="265" t="n">
        <v>32499000</v>
      </c>
      <c r="F13" s="265" t="n"/>
      <c r="G13" s="265" t="n"/>
      <c r="I13" s="265" t="n"/>
      <c r="J13" s="265" t="n">
        <v>38144000</v>
      </c>
      <c r="K13" s="265" t="n"/>
      <c r="L13" s="265" t="n"/>
      <c r="N13" s="265" t="n"/>
      <c r="O13" s="265" t="n">
        <v>41389000</v>
      </c>
      <c r="P13" s="265" t="n"/>
      <c r="Q13" s="265" t="n"/>
      <c r="S13" s="265" t="n"/>
      <c r="T13" s="265" t="n">
        <v>43179000</v>
      </c>
      <c r="U13" s="265" t="n"/>
      <c r="V13" s="265" t="n"/>
      <c r="X13" s="265" t="n"/>
      <c r="Y13" s="265" t="n">
        <v>46237000</v>
      </c>
      <c r="Z13" s="265" t="n"/>
      <c r="AA13" s="265" t="n"/>
      <c r="AC13" s="265" t="n"/>
      <c r="AD13" s="265" t="n">
        <v>56350000</v>
      </c>
    </row>
    <row r="14">
      <c r="A14" t="inlineStr">
        <is>
          <t>Outras receitas/(despesas), líquido (inclui juros) - 3M (10-Q) [us-gaap:NonoperatingIncomeExpense] · memoria · unid. moeda</t>
        </is>
      </c>
      <c r="C14" t="inlineStr">
        <is>
          <t>[linha bruta, sem código; lançada nas linhas abaixo]</t>
        </is>
      </c>
      <c r="D14" s="265" t="n">
        <v>508000</v>
      </c>
      <c r="E14" s="265" t="n">
        <v>243000</v>
      </c>
      <c r="F14" s="265" t="n"/>
      <c r="G14" s="265" t="n">
        <v>-247000</v>
      </c>
      <c r="I14" s="265" t="n">
        <v>160000</v>
      </c>
      <c r="J14" s="265" t="n">
        <v>-10000</v>
      </c>
      <c r="K14" s="265" t="n"/>
      <c r="L14" s="265" t="n">
        <v>-393000</v>
      </c>
      <c r="N14" s="265" t="n">
        <v>64000</v>
      </c>
      <c r="O14" s="265" t="n">
        <v>-265000</v>
      </c>
      <c r="P14" s="265" t="n"/>
      <c r="Q14" s="265" t="n">
        <v>-50000</v>
      </c>
      <c r="S14" s="265" t="n">
        <v>158000</v>
      </c>
      <c r="T14" s="265" t="n">
        <v>142000</v>
      </c>
      <c r="U14" s="265" t="n"/>
      <c r="V14" s="265" t="n">
        <v>-248000</v>
      </c>
      <c r="X14" s="265" t="n">
        <v>-279000</v>
      </c>
      <c r="Y14" s="265" t="n">
        <v>-171000</v>
      </c>
      <c r="Z14" s="265" t="n"/>
      <c r="AA14" s="265" t="n">
        <v>150000</v>
      </c>
      <c r="AC14" s="265" t="n">
        <v>-52000</v>
      </c>
      <c r="AD14" s="265" t="n">
        <v>572000</v>
      </c>
    </row>
    <row r="15">
      <c r="A15" t="inlineStr">
        <is>
          <t>Outras receitas/(despesas), líquido (inclui juros) - ano fiscal 12M (10-K; na coluna do 3T) · memoria · unid. moeda</t>
        </is>
      </c>
      <c r="C15" t="inlineStr">
        <is>
          <t>[linha bruta, sem código; lançada nas linhas abaixo]</t>
        </is>
      </c>
      <c r="D15" s="265" t="n"/>
      <c r="E15" s="265" t="n"/>
      <c r="F15" s="265" t="n">
        <v>258000</v>
      </c>
      <c r="G15" s="265" t="n"/>
      <c r="I15" s="265" t="n"/>
      <c r="J15" s="265" t="n"/>
      <c r="K15" s="265" t="n">
        <v>-334000</v>
      </c>
      <c r="L15" s="265" t="n"/>
      <c r="N15" s="265" t="n"/>
      <c r="O15" s="265" t="n"/>
      <c r="P15" s="265" t="n">
        <v>-565000</v>
      </c>
      <c r="Q15" s="265" t="n"/>
      <c r="S15" s="265" t="n"/>
      <c r="T15" s="265" t="n"/>
      <c r="U15" s="265" t="n">
        <v>269000</v>
      </c>
      <c r="V15" s="265" t="n"/>
      <c r="X15" s="265" t="n"/>
      <c r="Y15" s="265" t="n"/>
      <c r="Z15" s="265" t="n">
        <v>-321000</v>
      </c>
      <c r="AA15" s="265" t="n"/>
      <c r="AC15" s="265" t="n"/>
      <c r="AD15" s="265" t="n"/>
    </row>
    <row r="16">
      <c r="A16" t="inlineStr">
        <is>
          <t>Outras receitas/(despesas), líquido (inclui juros) - 9M acumulado (10-Q de jun; na coluna do 2T) · memoria · unid. moeda</t>
        </is>
      </c>
      <c r="C16" t="inlineStr">
        <is>
          <t>[linha bruta, sem código; lançada nas linhas abaixo]</t>
        </is>
      </c>
      <c r="D16" s="265" t="n"/>
      <c r="E16" s="265" t="n">
        <v>796000</v>
      </c>
      <c r="F16" s="265" t="n"/>
      <c r="G16" s="265" t="n"/>
      <c r="I16" s="265" t="n"/>
      <c r="J16" s="265" t="n">
        <v>-97000</v>
      </c>
      <c r="K16" s="265" t="n"/>
      <c r="L16" s="265" t="n"/>
      <c r="N16" s="265" t="n"/>
      <c r="O16" s="265" t="n">
        <v>-594000</v>
      </c>
      <c r="P16" s="265" t="n"/>
      <c r="Q16" s="265" t="n"/>
      <c r="S16" s="265" t="n"/>
      <c r="T16" s="265" t="n">
        <v>250000</v>
      </c>
      <c r="U16" s="265" t="n"/>
      <c r="V16" s="265" t="n"/>
      <c r="X16" s="265" t="n"/>
      <c r="Y16" s="265" t="n">
        <v>-698000</v>
      </c>
      <c r="Z16" s="265" t="n"/>
      <c r="AA16" s="265" t="n"/>
      <c r="AC16" s="265" t="n"/>
      <c r="AD16" s="265" t="n">
        <v>670000</v>
      </c>
    </row>
    <row r="17">
      <c r="A17" t="inlineStr">
        <is>
          <t>Imposto de renda (divulgado positivo) - 3M (10-Q) [us-gaap:IncomeTaxExpenseBenefit] · memoria · unid. moeda</t>
        </is>
      </c>
      <c r="C17" t="inlineStr">
        <is>
          <t>[linha bruta, sem código; lançada nas linhas abaixo]</t>
        </is>
      </c>
      <c r="D17" s="265" t="n">
        <v>4381000</v>
      </c>
      <c r="E17" s="265" t="n">
        <v>2625000</v>
      </c>
      <c r="F17" s="265" t="n"/>
      <c r="G17" s="265" t="n">
        <v>6611000</v>
      </c>
      <c r="I17" s="265" t="n">
        <v>5129000</v>
      </c>
      <c r="J17" s="265" t="n">
        <v>3624000</v>
      </c>
      <c r="K17" s="265" t="n"/>
      <c r="L17" s="265" t="n">
        <v>5625000</v>
      </c>
      <c r="N17" s="265" t="n">
        <v>4222000</v>
      </c>
      <c r="O17" s="265" t="n">
        <v>2852000</v>
      </c>
      <c r="P17" s="265" t="n"/>
      <c r="Q17" s="265" t="n">
        <v>6407000</v>
      </c>
      <c r="S17" s="265" t="n">
        <v>4422000</v>
      </c>
      <c r="T17" s="265" t="n">
        <v>4046000</v>
      </c>
      <c r="U17" s="265" t="n"/>
      <c r="V17" s="265" t="n">
        <v>6254000</v>
      </c>
      <c r="X17" s="265" t="n">
        <v>4530000</v>
      </c>
      <c r="Y17" s="265" t="n">
        <v>4597000</v>
      </c>
      <c r="Z17" s="265" t="n"/>
      <c r="AA17" s="265" t="n">
        <v>8905000</v>
      </c>
      <c r="AC17" s="265" t="n">
        <v>6255000</v>
      </c>
      <c r="AD17" s="265" t="n">
        <v>6478000</v>
      </c>
    </row>
    <row r="18">
      <c r="A18" t="inlineStr">
        <is>
          <t>Imposto de renda (divulgado positivo) - ano fiscal 12M (10-K; na coluna do 3T) · memoria · unid. moeda</t>
        </is>
      </c>
      <c r="C18" t="inlineStr">
        <is>
          <t>[linha bruta, sem código; lançada nas linhas abaixo]</t>
        </is>
      </c>
      <c r="D18" s="265" t="n"/>
      <c r="E18" s="265" t="n"/>
      <c r="F18" s="265" t="n">
        <v>14527000</v>
      </c>
      <c r="G18" s="265" t="n"/>
      <c r="I18" s="265" t="n"/>
      <c r="J18" s="265" t="n"/>
      <c r="K18" s="265" t="n">
        <v>19300000</v>
      </c>
      <c r="L18" s="265" t="n"/>
      <c r="N18" s="265" t="n"/>
      <c r="O18" s="265" t="n"/>
      <c r="P18" s="265" t="n">
        <v>16741000</v>
      </c>
      <c r="Q18" s="265" t="n"/>
      <c r="S18" s="265" t="n"/>
      <c r="T18" s="265" t="n"/>
      <c r="U18" s="265" t="n">
        <v>29749000</v>
      </c>
      <c r="V18" s="265" t="n"/>
      <c r="X18" s="265" t="n"/>
      <c r="Y18" s="265" t="n"/>
      <c r="Z18" s="265" t="n">
        <v>20719000</v>
      </c>
      <c r="AA18" s="265" t="n"/>
      <c r="AC18" s="265" t="n"/>
      <c r="AD18" s="265" t="n"/>
    </row>
    <row r="19">
      <c r="A19" t="inlineStr">
        <is>
          <t>Imposto de renda (divulgado positivo) - 9M acumulado (10-Q de jun; na coluna do 2T) · memoria · unid. moeda</t>
        </is>
      </c>
      <c r="C19" t="inlineStr">
        <is>
          <t>[linha bruta, sem código; lançada nas linhas abaixo]</t>
        </is>
      </c>
      <c r="D19" s="265" t="n"/>
      <c r="E19" s="265" t="n">
        <v>11830000</v>
      </c>
      <c r="F19" s="265" t="n"/>
      <c r="G19" s="265" t="n"/>
      <c r="I19" s="265" t="n"/>
      <c r="J19" s="265" t="n">
        <v>15364000</v>
      </c>
      <c r="K19" s="265" t="n"/>
      <c r="L19" s="265" t="n"/>
      <c r="N19" s="265" t="n"/>
      <c r="O19" s="265" t="n">
        <v>12699000</v>
      </c>
      <c r="P19" s="265" t="n"/>
      <c r="Q19" s="265" t="n"/>
      <c r="S19" s="265" t="n"/>
      <c r="T19" s="265" t="n">
        <v>14875000</v>
      </c>
      <c r="U19" s="265" t="n"/>
      <c r="V19" s="265" t="n"/>
      <c r="X19" s="265" t="n"/>
      <c r="Y19" s="265" t="n">
        <v>15381000</v>
      </c>
      <c r="Z19" s="265" t="n"/>
      <c r="AA19" s="265" t="n"/>
      <c r="AC19" s="265" t="n"/>
      <c r="AD19" s="265" t="n">
        <v>21638000</v>
      </c>
    </row>
    <row r="20">
      <c r="A20" t="inlineStr">
        <is>
          <t>Lucro líquido - 3M (10-Q) [us-gaap:NetIncomeLoss] · memoria · unid. moeda</t>
        </is>
      </c>
      <c r="C20" t="inlineStr">
        <is>
          <t>[linha bruta, sem código; lançada nas linhas abaixo]</t>
        </is>
      </c>
      <c r="D20" s="265" t="n">
        <v>23630000</v>
      </c>
      <c r="E20" s="265" t="n">
        <v>21744000</v>
      </c>
      <c r="F20" s="265" t="n"/>
      <c r="G20" s="265" t="n">
        <v>34630000</v>
      </c>
      <c r="I20" s="265" t="n">
        <v>25010000</v>
      </c>
      <c r="J20" s="265" t="n">
        <v>19442000</v>
      </c>
      <c r="K20" s="265" t="n"/>
      <c r="L20" s="265" t="n">
        <v>29998000</v>
      </c>
      <c r="N20" s="265" t="n">
        <v>24160000</v>
      </c>
      <c r="O20" s="265" t="n">
        <v>19881000</v>
      </c>
      <c r="P20" s="265" t="n"/>
      <c r="Q20" s="265" t="n">
        <v>33916000</v>
      </c>
      <c r="S20" s="265" t="n">
        <v>23636000</v>
      </c>
      <c r="T20" s="265" t="n">
        <v>21448000</v>
      </c>
      <c r="U20" s="265" t="n"/>
      <c r="V20" s="265" t="n">
        <v>36330000</v>
      </c>
      <c r="X20" s="265" t="n">
        <v>24780000</v>
      </c>
      <c r="Y20" s="265" t="n">
        <v>23434000</v>
      </c>
      <c r="Z20" s="265" t="n"/>
      <c r="AA20" s="265" t="n">
        <v>42097000</v>
      </c>
      <c r="AC20" s="265" t="n">
        <v>29578000</v>
      </c>
      <c r="AD20" s="265" t="n">
        <v>29789000</v>
      </c>
    </row>
    <row r="21">
      <c r="A21" t="inlineStr">
        <is>
          <t>Lucro líquido - ano fiscal 12M (10-K; na coluna do 3T) · memoria · unid. moeda</t>
        </is>
      </c>
      <c r="C21" t="inlineStr">
        <is>
          <t>[linha bruta, sem código; lançada nas linhas abaixo]</t>
        </is>
      </c>
      <c r="D21" s="265" t="n"/>
      <c r="E21" s="265" t="n"/>
      <c r="F21" s="265" t="n">
        <v>94680000</v>
      </c>
      <c r="G21" s="265" t="n"/>
      <c r="I21" s="265" t="n"/>
      <c r="J21" s="265" t="n"/>
      <c r="K21" s="265" t="n">
        <v>99803000</v>
      </c>
      <c r="L21" s="265" t="n"/>
      <c r="N21" s="265" t="n"/>
      <c r="O21" s="265" t="n"/>
      <c r="P21" s="265" t="n">
        <v>96995000</v>
      </c>
      <c r="Q21" s="265" t="n"/>
      <c r="S21" s="265" t="n"/>
      <c r="T21" s="265" t="n"/>
      <c r="U21" s="265" t="n">
        <v>93736000</v>
      </c>
      <c r="V21" s="265" t="n"/>
      <c r="X21" s="265" t="n"/>
      <c r="Y21" s="265" t="n"/>
      <c r="Z21" s="265" t="n">
        <v>112010000</v>
      </c>
      <c r="AA21" s="265" t="n"/>
      <c r="AC21" s="265" t="n"/>
      <c r="AD21" s="265" t="n"/>
    </row>
    <row r="22">
      <c r="A22" t="inlineStr">
        <is>
          <t>Lucro líquido - 9M acumulado (10-Q de jun; na coluna do 2T) · memoria · unid. moeda</t>
        </is>
      </c>
      <c r="C22" t="inlineStr">
        <is>
          <t>[linha bruta, sem código; lançada nas linhas abaixo]</t>
        </is>
      </c>
      <c r="D22" s="265" t="n"/>
      <c r="E22" s="265" t="n">
        <v>74129000</v>
      </c>
      <c r="F22" s="265" t="n"/>
      <c r="G22" s="265" t="n"/>
      <c r="I22" s="265" t="n"/>
      <c r="J22" s="265" t="n">
        <v>79082000</v>
      </c>
      <c r="K22" s="265" t="n"/>
      <c r="L22" s="265" t="n"/>
      <c r="N22" s="265" t="n"/>
      <c r="O22" s="265" t="n">
        <v>74039000</v>
      </c>
      <c r="P22" s="265" t="n"/>
      <c r="Q22" s="265" t="n"/>
      <c r="S22" s="265" t="n"/>
      <c r="T22" s="265" t="n">
        <v>79000000</v>
      </c>
      <c r="U22" s="265" t="n"/>
      <c r="V22" s="265" t="n"/>
      <c r="X22" s="265" t="n"/>
      <c r="Y22" s="265" t="n">
        <v>84544000</v>
      </c>
      <c r="Z22" s="265" t="n"/>
      <c r="AA22" s="265" t="n"/>
      <c r="AC22" s="265" t="n"/>
      <c r="AD22" s="265" t="n">
        <v>101464000</v>
      </c>
    </row>
    <row r="23">
      <c r="A23" t="inlineStr">
        <is>
          <t>DRE TRIMESTRALIZADA (derivada por fórmula): 3T calendário = ano fiscal - 9M</t>
        </is>
      </c>
      <c r="C23" t="inlineStr">
        <is>
          <t>[linha bruta, sem código; lançada nas linhas abaixo]</t>
        </is>
      </c>
      <c r="D23" s="265" t="n"/>
      <c r="E23" s="265" t="n"/>
      <c r="F23" s="265" t="n"/>
      <c r="G23" s="265" t="n"/>
      <c r="I23" s="265" t="n"/>
      <c r="J23" s="265" t="n"/>
      <c r="K23" s="265" t="n"/>
      <c r="L23" s="265" t="n"/>
      <c r="N23" s="265" t="n"/>
      <c r="O23" s="265" t="n"/>
      <c r="P23" s="265" t="n"/>
      <c r="Q23" s="265" t="n"/>
      <c r="S23" s="265" t="n"/>
      <c r="T23" s="265" t="n"/>
      <c r="U23" s="265" t="n"/>
      <c r="V23" s="265" t="n"/>
      <c r="X23" s="265" t="n"/>
      <c r="Y23" s="265" t="n"/>
      <c r="Z23" s="265" t="n"/>
      <c r="AA23" s="265" t="n"/>
      <c r="AC23" s="265" t="n"/>
      <c r="AD23" s="265" t="n"/>
    </row>
    <row r="24">
      <c r="A24" t="inlineStr">
        <is>
          <t>Receita líquida (net sales) - trimestre · derivada · unid. moeda</t>
        </is>
      </c>
      <c r="B24" t="n">
        <v>1</v>
      </c>
      <c r="C24" t="inlineStr">
        <is>
          <t>Net Revenues</t>
        </is>
      </c>
      <c r="D24" s="265">
        <f>D5</f>
        <v>89584000</v>
      </c>
      <c r="E24" s="265">
        <f>E5</f>
        <v>81434000</v>
      </c>
      <c r="F24" s="265">
        <f>N(F6)-N(E7)</f>
        <v>83360000</v>
      </c>
      <c r="G24" s="265">
        <f>G5</f>
        <v>123945000</v>
      </c>
      <c r="I24" s="265">
        <f>I5</f>
        <v>97278000</v>
      </c>
      <c r="J24" s="265">
        <f>J5</f>
        <v>82959000</v>
      </c>
      <c r="K24" s="265">
        <f>N(K6)-N(J7)</f>
        <v>90146000</v>
      </c>
      <c r="L24" s="265">
        <f>L5</f>
        <v>117154000</v>
      </c>
      <c r="N24" s="265">
        <f>N5</f>
        <v>94836000</v>
      </c>
      <c r="O24" s="265">
        <f>O5</f>
        <v>81797000</v>
      </c>
      <c r="P24" s="265">
        <f>N(P6)-N(O7)</f>
        <v>89498000</v>
      </c>
      <c r="Q24" s="265">
        <f>Q5</f>
        <v>119575000</v>
      </c>
      <c r="S24" s="265">
        <f>S5</f>
        <v>90753000</v>
      </c>
      <c r="T24" s="265">
        <f>T5</f>
        <v>85777000</v>
      </c>
      <c r="U24" s="265">
        <f>N(U6)-N(T7)</f>
        <v>94930000</v>
      </c>
      <c r="V24" s="265">
        <f>V5</f>
        <v>124300000</v>
      </c>
      <c r="X24" s="265">
        <f>X5</f>
        <v>95359000</v>
      </c>
      <c r="Y24" s="265">
        <f>Y5</f>
        <v>94036000</v>
      </c>
      <c r="Z24" s="265">
        <f>N(Z6)-N(Y7)</f>
        <v>102466000</v>
      </c>
      <c r="AA24" s="265">
        <f>AA5</f>
        <v>143756000</v>
      </c>
      <c r="AC24" s="265">
        <f>AC5</f>
        <v>111184000</v>
      </c>
      <c r="AD24" s="265">
        <f>AD5</f>
        <v>109417000</v>
      </c>
    </row>
    <row r="25">
      <c r="A25" t="inlineStr">
        <is>
          <t>Custo das vendas (divulgado positivo) - trimestre · derivada · unid. moeda</t>
        </is>
      </c>
      <c r="C25" t="inlineStr">
        <is>
          <t>[linha bruta, sem código; lançada nas linhas abaixo]</t>
        </is>
      </c>
      <c r="D25" s="265">
        <f>D8</f>
        <v>51505000</v>
      </c>
      <c r="E25" s="265">
        <f>E8</f>
        <v>46179000</v>
      </c>
      <c r="F25" s="265">
        <f>N(F9)-N(E10)</f>
        <v>48186000</v>
      </c>
      <c r="G25" s="265">
        <f>G8</f>
        <v>69702000</v>
      </c>
      <c r="I25" s="265">
        <f>I8</f>
        <v>54719000</v>
      </c>
      <c r="J25" s="265">
        <f>J8</f>
        <v>47074000</v>
      </c>
      <c r="K25" s="265">
        <f>N(K9)-N(J10)</f>
        <v>52051000</v>
      </c>
      <c r="L25" s="265">
        <f>L8</f>
        <v>66822000</v>
      </c>
      <c r="N25" s="265">
        <f>N8</f>
        <v>52860000</v>
      </c>
      <c r="O25" s="265">
        <f>O8</f>
        <v>45384000</v>
      </c>
      <c r="P25" s="265">
        <f>N(P9)-N(O10)</f>
        <v>49071000</v>
      </c>
      <c r="Q25" s="265">
        <f>Q8</f>
        <v>64720000</v>
      </c>
      <c r="S25" s="265">
        <f>S8</f>
        <v>48482000</v>
      </c>
      <c r="T25" s="265">
        <f>T8</f>
        <v>46099000</v>
      </c>
      <c r="U25" s="265">
        <f>N(U9)-N(T10)</f>
        <v>51051000</v>
      </c>
      <c r="V25" s="265">
        <f>V8</f>
        <v>66025000</v>
      </c>
      <c r="X25" s="265">
        <f>X8</f>
        <v>50492000</v>
      </c>
      <c r="Y25" s="265">
        <f>Y8</f>
        <v>50318000</v>
      </c>
      <c r="Z25" s="265">
        <f>N(Z9)-N(Y10)</f>
        <v>54125000</v>
      </c>
      <c r="AA25" s="265">
        <f>AA8</f>
        <v>74525000</v>
      </c>
      <c r="AC25" s="265">
        <f>AC8</f>
        <v>56403000</v>
      </c>
      <c r="AD25" s="265">
        <f>AD8</f>
        <v>54647000</v>
      </c>
    </row>
    <row r="26">
      <c r="A26" t="inlineStr">
        <is>
          <t>(lançamento) código 2, sinal -1 sobre a linha bruta 25: Custo das vendas (divulgado positivo) - trimestre</t>
        </is>
      </c>
      <c r="B26" t="n">
        <v>2</v>
      </c>
      <c r="C26" t="inlineStr">
        <is>
          <t>COGS (cash)</t>
        </is>
      </c>
      <c r="D26" s="265">
        <f>IF(D25="","",-1*D25)</f>
        <v>-51505000</v>
      </c>
      <c r="E26" s="265">
        <f>IF(E25="","",-1*E25)</f>
        <v>-46179000</v>
      </c>
      <c r="F26" s="265">
        <f>IF(F25="","",-1*F25)</f>
        <v>-48186000</v>
      </c>
      <c r="G26" s="265">
        <f>IF(G25="","",-1*G25)</f>
        <v>-69702000</v>
      </c>
      <c r="I26" s="265">
        <f>IF(I25="","",-1*I25)</f>
        <v>-54719000</v>
      </c>
      <c r="J26" s="265">
        <f>IF(J25="","",-1*J25)</f>
        <v>-47074000</v>
      </c>
      <c r="K26" s="265">
        <f>IF(K25="","",-1*K25)</f>
        <v>-52051000</v>
      </c>
      <c r="L26" s="265">
        <f>IF(L25="","",-1*L25)</f>
        <v>-66822000</v>
      </c>
      <c r="N26" s="265">
        <f>IF(N25="","",-1*N25)</f>
        <v>-52860000</v>
      </c>
      <c r="O26" s="265">
        <f>IF(O25="","",-1*O25)</f>
        <v>-45384000</v>
      </c>
      <c r="P26" s="265">
        <f>IF(P25="","",-1*P25)</f>
        <v>-49071000</v>
      </c>
      <c r="Q26" s="265">
        <f>IF(Q25="","",-1*Q25)</f>
        <v>-64720000</v>
      </c>
      <c r="S26" s="265">
        <f>IF(S25="","",-1*S25)</f>
        <v>-48482000</v>
      </c>
      <c r="T26" s="265">
        <f>IF(T25="","",-1*T25)</f>
        <v>-46099000</v>
      </c>
      <c r="U26" s="265">
        <f>IF(U25="","",-1*U25)</f>
        <v>-51051000</v>
      </c>
      <c r="V26" s="265">
        <f>IF(V25="","",-1*V25)</f>
        <v>-66025000</v>
      </c>
      <c r="X26" s="265">
        <f>IF(X25="","",-1*X25)</f>
        <v>-50492000</v>
      </c>
      <c r="Y26" s="265">
        <f>IF(Y25="","",-1*Y25)</f>
        <v>-50318000</v>
      </c>
      <c r="Z26" s="265">
        <f>IF(Z25="","",-1*Z25)</f>
        <v>-54125000</v>
      </c>
      <c r="AA26" s="265">
        <f>IF(AA25="","",-1*AA25)</f>
        <v>-74525000</v>
      </c>
      <c r="AC26" s="265">
        <f>IF(AC25="","",-1*AC25)</f>
        <v>-56403000</v>
      </c>
      <c r="AD26" s="265">
        <f>IF(AD25="","",-1*AD25)</f>
        <v>-54647000</v>
      </c>
    </row>
    <row r="27">
      <c r="A27" t="inlineStr">
        <is>
          <t>Despesas operacionais totais = P&amp;D + SG&amp;A (divulgado positivo) - trimestre · derivada · unid. moeda</t>
        </is>
      </c>
      <c r="C27" t="inlineStr">
        <is>
          <t>[linha bruta, sem código; lançada nas linhas abaixo]</t>
        </is>
      </c>
      <c r="D27" s="265">
        <f>D11</f>
        <v>10576000</v>
      </c>
      <c r="E27" s="265">
        <f>E11</f>
        <v>11129000</v>
      </c>
      <c r="F27" s="265">
        <f>N(F12)-N(E13)</f>
        <v>11388000</v>
      </c>
      <c r="G27" s="265">
        <f>G11</f>
        <v>12755000</v>
      </c>
      <c r="I27" s="265">
        <f>I11</f>
        <v>12580000</v>
      </c>
      <c r="J27" s="265">
        <f>J11</f>
        <v>12809000</v>
      </c>
      <c r="K27" s="265">
        <f>N(K12)-N(J13)</f>
        <v>13201000</v>
      </c>
      <c r="L27" s="265">
        <f>L11</f>
        <v>14316000</v>
      </c>
      <c r="N27" s="265">
        <f>N11</f>
        <v>13658000</v>
      </c>
      <c r="O27" s="265">
        <f>O11</f>
        <v>13415000</v>
      </c>
      <c r="P27" s="265">
        <f>N(P12)-N(O13)</f>
        <v>13458000</v>
      </c>
      <c r="Q27" s="265">
        <f>Q11</f>
        <v>14482000</v>
      </c>
      <c r="S27" s="265">
        <f>S11</f>
        <v>14371000</v>
      </c>
      <c r="T27" s="265">
        <f>T11</f>
        <v>14326000</v>
      </c>
      <c r="U27" s="265">
        <f>N(U12)-N(T13)</f>
        <v>14288000</v>
      </c>
      <c r="V27" s="265">
        <f>V11</f>
        <v>15443000</v>
      </c>
      <c r="X27" s="265">
        <f>X11</f>
        <v>15278000</v>
      </c>
      <c r="Y27" s="265">
        <f>Y11</f>
        <v>15516000</v>
      </c>
      <c r="Z27" s="265">
        <f>N(Z12)-N(Y13)</f>
        <v>15914000</v>
      </c>
      <c r="AA27" s="265">
        <f>AA11</f>
        <v>18379000</v>
      </c>
      <c r="AC27" s="265">
        <f>AC11</f>
        <v>18896000</v>
      </c>
      <c r="AD27" s="265">
        <f>AD11</f>
        <v>19075000</v>
      </c>
    </row>
    <row r="28">
      <c r="A28" t="inlineStr">
        <is>
          <t>(lançamento) código 3, sinal -1 sobre a linha bruta 27: Despesas operacionais totais = P&amp;D + SG&amp;A (divulgado positivo) - trimestre</t>
        </is>
      </c>
      <c r="B28" t="n">
        <v>3</v>
      </c>
      <c r="C28" t="inlineStr">
        <is>
          <t>SG&amp;A and Other (cash)</t>
        </is>
      </c>
      <c r="D28" s="265">
        <f>IF(D27="","",-1*D27)</f>
        <v>-10576000</v>
      </c>
      <c r="E28" s="265">
        <f>IF(E27="","",-1*E27)</f>
        <v>-11129000</v>
      </c>
      <c r="F28" s="265">
        <f>IF(F27="","",-1*F27)</f>
        <v>-11388000</v>
      </c>
      <c r="G28" s="265">
        <f>IF(G27="","",-1*G27)</f>
        <v>-12755000</v>
      </c>
      <c r="I28" s="265">
        <f>IF(I27="","",-1*I27)</f>
        <v>-12580000</v>
      </c>
      <c r="J28" s="265">
        <f>IF(J27="","",-1*J27)</f>
        <v>-12809000</v>
      </c>
      <c r="K28" s="265">
        <f>IF(K27="","",-1*K27)</f>
        <v>-13201000</v>
      </c>
      <c r="L28" s="265">
        <f>IF(L27="","",-1*L27)</f>
        <v>-14316000</v>
      </c>
      <c r="N28" s="265">
        <f>IF(N27="","",-1*N27)</f>
        <v>-13658000</v>
      </c>
      <c r="O28" s="265">
        <f>IF(O27="","",-1*O27)</f>
        <v>-13415000</v>
      </c>
      <c r="P28" s="265">
        <f>IF(P27="","",-1*P27)</f>
        <v>-13458000</v>
      </c>
      <c r="Q28" s="265">
        <f>IF(Q27="","",-1*Q27)</f>
        <v>-14482000</v>
      </c>
      <c r="S28" s="265">
        <f>IF(S27="","",-1*S27)</f>
        <v>-14371000</v>
      </c>
      <c r="T28" s="265">
        <f>IF(T27="","",-1*T27)</f>
        <v>-14326000</v>
      </c>
      <c r="U28" s="265">
        <f>IF(U27="","",-1*U27)</f>
        <v>-14288000</v>
      </c>
      <c r="V28" s="265">
        <f>IF(V27="","",-1*V27)</f>
        <v>-15443000</v>
      </c>
      <c r="X28" s="265">
        <f>IF(X27="","",-1*X27)</f>
        <v>-15278000</v>
      </c>
      <c r="Y28" s="265">
        <f>IF(Y27="","",-1*Y27)</f>
        <v>-15516000</v>
      </c>
      <c r="Z28" s="265">
        <f>IF(Z27="","",-1*Z27)</f>
        <v>-15914000</v>
      </c>
      <c r="AA28" s="265">
        <f>IF(AA27="","",-1*AA27)</f>
        <v>-18379000</v>
      </c>
      <c r="AC28" s="265">
        <f>IF(AC27="","",-1*AC27)</f>
        <v>-18896000</v>
      </c>
      <c r="AD28" s="265">
        <f>IF(AD27="","",-1*AD27)</f>
        <v>-19075000</v>
      </c>
    </row>
    <row r="29">
      <c r="A29" t="inlineStr">
        <is>
          <t>Outras receitas/(despesas), líquido (inclui juros) - trimestre · derivada · unid. moeda</t>
        </is>
      </c>
      <c r="B29" t="n">
        <v>6</v>
      </c>
      <c r="C29" t="inlineStr">
        <is>
          <t>Nonoperating Income / (Loss)</t>
        </is>
      </c>
      <c r="D29" s="265">
        <f>D14</f>
        <v>508000</v>
      </c>
      <c r="E29" s="265">
        <f>E14</f>
        <v>243000</v>
      </c>
      <c r="F29" s="265">
        <f>N(F15)-N(E16)</f>
        <v>-538000</v>
      </c>
      <c r="G29" s="265">
        <f>G14</f>
        <v>-247000</v>
      </c>
      <c r="I29" s="265">
        <f>I14</f>
        <v>160000</v>
      </c>
      <c r="J29" s="265">
        <f>J14</f>
        <v>-10000</v>
      </c>
      <c r="K29" s="265">
        <f>N(K15)-N(J16)</f>
        <v>-237000</v>
      </c>
      <c r="L29" s="265">
        <f>L14</f>
        <v>-393000</v>
      </c>
      <c r="N29" s="265">
        <f>N14</f>
        <v>64000</v>
      </c>
      <c r="O29" s="265">
        <f>O14</f>
        <v>-265000</v>
      </c>
      <c r="P29" s="265">
        <f>N(P15)-N(O16)</f>
        <v>29000</v>
      </c>
      <c r="Q29" s="265">
        <f>Q14</f>
        <v>-50000</v>
      </c>
      <c r="S29" s="265">
        <f>S14</f>
        <v>158000</v>
      </c>
      <c r="T29" s="265">
        <f>T14</f>
        <v>142000</v>
      </c>
      <c r="U29" s="265">
        <f>N(U15)-N(T16)</f>
        <v>19000</v>
      </c>
      <c r="V29" s="265">
        <f>V14</f>
        <v>-248000</v>
      </c>
      <c r="X29" s="265">
        <f>X14</f>
        <v>-279000</v>
      </c>
      <c r="Y29" s="265">
        <f>Y14</f>
        <v>-171000</v>
      </c>
      <c r="Z29" s="265">
        <f>N(Z15)-N(Y16)</f>
        <v>377000</v>
      </c>
      <c r="AA29" s="265">
        <f>AA14</f>
        <v>150000</v>
      </c>
      <c r="AC29" s="265">
        <f>AC14</f>
        <v>-52000</v>
      </c>
      <c r="AD29" s="265">
        <f>AD14</f>
        <v>572000</v>
      </c>
    </row>
    <row r="30">
      <c r="A30" t="inlineStr">
        <is>
          <t>Imposto de renda (divulgado positivo) - trimestre · derivada · unid. moeda</t>
        </is>
      </c>
      <c r="C30" t="inlineStr">
        <is>
          <t>[linha bruta, sem código; lançada nas linhas abaixo]</t>
        </is>
      </c>
      <c r="D30" s="265">
        <f>D17</f>
        <v>4381000</v>
      </c>
      <c r="E30" s="265">
        <f>E17</f>
        <v>2625000</v>
      </c>
      <c r="F30" s="265">
        <f>N(F18)-N(E19)</f>
        <v>2697000</v>
      </c>
      <c r="G30" s="265">
        <f>G17</f>
        <v>6611000</v>
      </c>
      <c r="I30" s="265">
        <f>I17</f>
        <v>5129000</v>
      </c>
      <c r="J30" s="265">
        <f>J17</f>
        <v>3624000</v>
      </c>
      <c r="K30" s="265">
        <f>N(K18)-N(J19)</f>
        <v>3936000</v>
      </c>
      <c r="L30" s="265">
        <f>L17</f>
        <v>5625000</v>
      </c>
      <c r="N30" s="265">
        <f>N17</f>
        <v>4222000</v>
      </c>
      <c r="O30" s="265">
        <f>O17</f>
        <v>2852000</v>
      </c>
      <c r="P30" s="265">
        <f>N(P18)-N(O19)</f>
        <v>4042000</v>
      </c>
      <c r="Q30" s="265">
        <f>Q17</f>
        <v>6407000</v>
      </c>
      <c r="S30" s="265">
        <f>S17</f>
        <v>4422000</v>
      </c>
      <c r="T30" s="265">
        <f>T17</f>
        <v>4046000</v>
      </c>
      <c r="U30" s="265">
        <f>N(U18)-N(T19)</f>
        <v>14874000</v>
      </c>
      <c r="V30" s="265">
        <f>V17</f>
        <v>6254000</v>
      </c>
      <c r="X30" s="265">
        <f>X17</f>
        <v>4530000</v>
      </c>
      <c r="Y30" s="265">
        <f>Y17</f>
        <v>4597000</v>
      </c>
      <c r="Z30" s="265">
        <f>N(Z18)-N(Y19)</f>
        <v>5338000</v>
      </c>
      <c r="AA30" s="265">
        <f>AA17</f>
        <v>8905000</v>
      </c>
      <c r="AC30" s="265">
        <f>AC17</f>
        <v>6255000</v>
      </c>
      <c r="AD30" s="265">
        <f>AD17</f>
        <v>6478000</v>
      </c>
    </row>
    <row r="31">
      <c r="A31" t="inlineStr">
        <is>
          <t>(lançamento) código 7, sinal -1 sobre a linha bruta 30: Imposto de renda (divulgado positivo) - trimestre</t>
        </is>
      </c>
      <c r="B31" t="n">
        <v>7</v>
      </c>
      <c r="C31" t="inlineStr">
        <is>
          <t>Taxes</t>
        </is>
      </c>
      <c r="D31" s="265">
        <f>IF(D30="","",-1*D30)</f>
        <v>-4381000</v>
      </c>
      <c r="E31" s="265">
        <f>IF(E30="","",-1*E30)</f>
        <v>-2625000</v>
      </c>
      <c r="F31" s="265">
        <f>IF(F30="","",-1*F30)</f>
        <v>-2697000</v>
      </c>
      <c r="G31" s="265">
        <f>IF(G30="","",-1*G30)</f>
        <v>-6611000</v>
      </c>
      <c r="I31" s="265">
        <f>IF(I30="","",-1*I30)</f>
        <v>-5129000</v>
      </c>
      <c r="J31" s="265">
        <f>IF(J30="","",-1*J30)</f>
        <v>-3624000</v>
      </c>
      <c r="K31" s="265">
        <f>IF(K30="","",-1*K30)</f>
        <v>-3936000</v>
      </c>
      <c r="L31" s="265">
        <f>IF(L30="","",-1*L30)</f>
        <v>-5625000</v>
      </c>
      <c r="N31" s="265">
        <f>IF(N30="","",-1*N30)</f>
        <v>-4222000</v>
      </c>
      <c r="O31" s="265">
        <f>IF(O30="","",-1*O30)</f>
        <v>-2852000</v>
      </c>
      <c r="P31" s="265">
        <f>IF(P30="","",-1*P30)</f>
        <v>-4042000</v>
      </c>
      <c r="Q31" s="265">
        <f>IF(Q30="","",-1*Q30)</f>
        <v>-6407000</v>
      </c>
      <c r="S31" s="265">
        <f>IF(S30="","",-1*S30)</f>
        <v>-4422000</v>
      </c>
      <c r="T31" s="265">
        <f>IF(T30="","",-1*T30)</f>
        <v>-4046000</v>
      </c>
      <c r="U31" s="265">
        <f>IF(U30="","",-1*U30)</f>
        <v>-14874000</v>
      </c>
      <c r="V31" s="265">
        <f>IF(V30="","",-1*V30)</f>
        <v>-6254000</v>
      </c>
      <c r="X31" s="265">
        <f>IF(X30="","",-1*X30)</f>
        <v>-4530000</v>
      </c>
      <c r="Y31" s="265">
        <f>IF(Y30="","",-1*Y30)</f>
        <v>-4597000</v>
      </c>
      <c r="Z31" s="265">
        <f>IF(Z30="","",-1*Z30)</f>
        <v>-5338000</v>
      </c>
      <c r="AA31" s="265">
        <f>IF(AA30="","",-1*AA30)</f>
        <v>-8905000</v>
      </c>
      <c r="AC31" s="265">
        <f>IF(AC30="","",-1*AC30)</f>
        <v>-6255000</v>
      </c>
      <c r="AD31" s="265">
        <f>IF(AD30="","",-1*AD30)</f>
        <v>-6478000</v>
      </c>
    </row>
    <row r="32">
      <c r="A32" t="inlineStr">
        <is>
          <t>Lucro líquido - trimestre · derivada · unid. moeda</t>
        </is>
      </c>
      <c r="B32" t="n">
        <v>44</v>
      </c>
      <c r="C32" t="inlineStr">
        <is>
          <t>Lucro líquido - trimestre</t>
        </is>
      </c>
      <c r="D32" s="265">
        <f>D20</f>
        <v>23630000</v>
      </c>
      <c r="E32" s="265">
        <f>E20</f>
        <v>21744000</v>
      </c>
      <c r="F32" s="265">
        <f>N(F21)-N(E22)</f>
        <v>20551000</v>
      </c>
      <c r="G32" s="265">
        <f>G20</f>
        <v>34630000</v>
      </c>
      <c r="I32" s="265">
        <f>I20</f>
        <v>25010000</v>
      </c>
      <c r="J32" s="265">
        <f>J20</f>
        <v>19442000</v>
      </c>
      <c r="K32" s="265">
        <f>N(K21)-N(J22)</f>
        <v>20721000</v>
      </c>
      <c r="L32" s="265">
        <f>L20</f>
        <v>29998000</v>
      </c>
      <c r="N32" s="265">
        <f>N20</f>
        <v>24160000</v>
      </c>
      <c r="O32" s="265">
        <f>O20</f>
        <v>19881000</v>
      </c>
      <c r="P32" s="265">
        <f>N(P21)-N(O22)</f>
        <v>22956000</v>
      </c>
      <c r="Q32" s="265">
        <f>Q20</f>
        <v>33916000</v>
      </c>
      <c r="S32" s="265">
        <f>S20</f>
        <v>23636000</v>
      </c>
      <c r="T32" s="265">
        <f>T20</f>
        <v>21448000</v>
      </c>
      <c r="U32" s="265">
        <f>N(U21)-N(T22)</f>
        <v>14736000</v>
      </c>
      <c r="V32" s="265">
        <f>V20</f>
        <v>36330000</v>
      </c>
      <c r="X32" s="265">
        <f>X20</f>
        <v>24780000</v>
      </c>
      <c r="Y32" s="265">
        <f>Y20</f>
        <v>23434000</v>
      </c>
      <c r="Z32" s="265">
        <f>N(Z21)-N(Y22)</f>
        <v>27466000</v>
      </c>
      <c r="AA32" s="265">
        <f>AA20</f>
        <v>42097000</v>
      </c>
      <c r="AC32" s="265">
        <f>AC20</f>
        <v>29578000</v>
      </c>
      <c r="AD32" s="265">
        <f>AD20</f>
        <v>29789000</v>
      </c>
    </row>
    <row r="33">
      <c r="A33" t="inlineStr">
        <is>
          <t>DFC - ACUMULADO NO ANO FISCAL (USD): 3M (dez), 6M (mar), 9M (jun), 12M (set)</t>
        </is>
      </c>
      <c r="C33" t="inlineStr">
        <is>
          <t>[linha bruta, sem código; lançada nas linhas abaixo]</t>
        </is>
      </c>
      <c r="D33" s="265" t="n"/>
      <c r="E33" s="265" t="n"/>
      <c r="F33" s="265" t="n"/>
      <c r="G33" s="265" t="n"/>
      <c r="I33" s="265" t="n"/>
      <c r="J33" s="265" t="n"/>
      <c r="K33" s="265" t="n"/>
      <c r="L33" s="265" t="n"/>
      <c r="N33" s="265" t="n"/>
      <c r="O33" s="265" t="n"/>
      <c r="P33" s="265" t="n"/>
      <c r="Q33" s="265" t="n"/>
      <c r="S33" s="265" t="n"/>
      <c r="T33" s="265" t="n"/>
      <c r="U33" s="265" t="n"/>
      <c r="V33" s="265" t="n"/>
      <c r="X33" s="265" t="n"/>
      <c r="Y33" s="265" t="n"/>
      <c r="Z33" s="265" t="n"/>
      <c r="AA33" s="265" t="n"/>
      <c r="AC33" s="265" t="n"/>
      <c r="AD33" s="265" t="n"/>
    </row>
    <row r="34">
      <c r="A34" t="inlineStr">
        <is>
          <t>Depreciação e amortização - acumulado no ano fiscal [us-gaap:DepreciationDepletionAndAmortization] · memoria · unid. moeda</t>
        </is>
      </c>
      <c r="C34" t="inlineStr">
        <is>
          <t>[linha bruta, sem código; lançada nas linhas abaixo]</t>
        </is>
      </c>
      <c r="D34" s="265" t="n">
        <v>5463000</v>
      </c>
      <c r="E34" s="265" t="n">
        <v>8295000</v>
      </c>
      <c r="F34" s="265" t="n">
        <v>11284000</v>
      </c>
      <c r="G34" s="265" t="n">
        <v>2697000</v>
      </c>
      <c r="I34" s="265" t="n">
        <v>5434000</v>
      </c>
      <c r="J34" s="265" t="n">
        <v>8239000</v>
      </c>
      <c r="K34" s="265" t="n">
        <v>11104000</v>
      </c>
      <c r="L34" s="265" t="n">
        <v>2916000</v>
      </c>
      <c r="N34" s="265" t="n">
        <v>5814000</v>
      </c>
      <c r="O34" s="265" t="n">
        <v>8866000</v>
      </c>
      <c r="P34" s="265" t="n">
        <v>11519000</v>
      </c>
      <c r="Q34" s="265" t="n">
        <v>2848000</v>
      </c>
      <c r="S34" s="265" t="n">
        <v>5684000</v>
      </c>
      <c r="T34" s="265" t="n">
        <v>8534000</v>
      </c>
      <c r="U34" s="265" t="n">
        <v>11445000</v>
      </c>
      <c r="V34" s="265" t="n">
        <v>3080000</v>
      </c>
      <c r="X34" s="265" t="n">
        <v>5741000</v>
      </c>
      <c r="Y34" s="265" t="n">
        <v>8571000</v>
      </c>
      <c r="Z34" s="265" t="n">
        <v>11698000</v>
      </c>
      <c r="AA34" s="265" t="n">
        <v>3214000</v>
      </c>
      <c r="AC34" s="265" t="n">
        <v>6653000</v>
      </c>
      <c r="AD34" s="265" t="n">
        <v>9973000</v>
      </c>
    </row>
    <row r="35">
      <c r="A35" t="inlineStr">
        <is>
          <t>Depreciação e amortização - out-dez/2019 (3M do 10-Q de dez/19), para desacumular o 1T20 · memoria · unid. moeda</t>
        </is>
      </c>
      <c r="C35" t="inlineStr">
        <is>
          <t>[linha bruta, sem código; lançada nas linhas abaixo]</t>
        </is>
      </c>
      <c r="D35" s="265" t="n"/>
      <c r="E35" s="265" t="n"/>
      <c r="F35" s="265" t="n"/>
      <c r="G35" s="265" t="n"/>
      <c r="I35" s="265" t="n"/>
      <c r="J35" s="265" t="n"/>
      <c r="K35" s="265" t="n"/>
      <c r="L35" s="265" t="n"/>
      <c r="N35" s="265" t="n"/>
      <c r="O35" s="265" t="n"/>
      <c r="P35" s="265" t="n"/>
      <c r="Q35" s="265" t="n"/>
      <c r="S35" s="265" t="n"/>
      <c r="T35" s="265" t="n"/>
      <c r="U35" s="265" t="n"/>
      <c r="V35" s="265" t="n"/>
      <c r="X35" s="265" t="n"/>
      <c r="Y35" s="265" t="n"/>
      <c r="Z35" s="265" t="n"/>
      <c r="AA35" s="265" t="n"/>
      <c r="AC35" s="265" t="n"/>
      <c r="AD35" s="265" t="n"/>
    </row>
    <row r="36">
      <c r="A36" t="inlineStr">
        <is>
          <t>Dividendos pagos - acumulado no ano fiscal [us-gaap:PaymentsOfDividends] · memoria · unid. moeda</t>
        </is>
      </c>
      <c r="C36" t="inlineStr">
        <is>
          <t>[linha bruta, sem código; lançada nas linhas abaixo]</t>
        </is>
      </c>
      <c r="D36" s="265" t="n">
        <v>7060000</v>
      </c>
      <c r="E36" s="265" t="n">
        <v>10827000</v>
      </c>
      <c r="F36" s="265" t="n">
        <v>14467000</v>
      </c>
      <c r="G36" s="265" t="n">
        <v>3732000</v>
      </c>
      <c r="I36" s="265" t="n">
        <v>7327000</v>
      </c>
      <c r="J36" s="265" t="n">
        <v>11138000</v>
      </c>
      <c r="K36" s="265" t="n">
        <v>14841000</v>
      </c>
      <c r="L36" s="265" t="n">
        <v>3768000</v>
      </c>
      <c r="N36" s="265" t="n">
        <v>7418000</v>
      </c>
      <c r="O36" s="265" t="n">
        <v>11267000</v>
      </c>
      <c r="P36" s="265" t="n">
        <v>15025000</v>
      </c>
      <c r="Q36" s="265" t="n">
        <v>3825000</v>
      </c>
      <c r="S36" s="265" t="n">
        <v>7535000</v>
      </c>
      <c r="T36" s="265" t="n">
        <v>11430000</v>
      </c>
      <c r="U36" s="265" t="n">
        <v>15234000</v>
      </c>
      <c r="V36" s="265" t="n">
        <v>3856000</v>
      </c>
      <c r="X36" s="265" t="n">
        <v>7614000</v>
      </c>
      <c r="Y36" s="265" t="n">
        <v>11559000</v>
      </c>
      <c r="Z36" s="265" t="n">
        <v>15421000</v>
      </c>
      <c r="AA36" s="265" t="n">
        <v>3921000</v>
      </c>
      <c r="AC36" s="265" t="n">
        <v>7743000</v>
      </c>
      <c r="AD36" s="265" t="n">
        <v>11778000</v>
      </c>
    </row>
    <row r="37">
      <c r="A37" t="inlineStr">
        <is>
          <t>Dividendos pagos - out-dez/2019 (3M do 10-Q de dez/19), para desacumular o 1T20 · memoria · unid. moeda</t>
        </is>
      </c>
      <c r="C37" t="inlineStr">
        <is>
          <t>[linha bruta, sem código; lançada nas linhas abaixo]</t>
        </is>
      </c>
      <c r="D37" s="265" t="n"/>
      <c r="E37" s="265" t="n"/>
      <c r="F37" s="265" t="n"/>
      <c r="G37" s="265" t="n"/>
      <c r="I37" s="265" t="n"/>
      <c r="J37" s="265" t="n"/>
      <c r="K37" s="265" t="n"/>
      <c r="L37" s="265" t="n"/>
      <c r="N37" s="265" t="n"/>
      <c r="O37" s="265" t="n"/>
      <c r="P37" s="265" t="n"/>
      <c r="Q37" s="265" t="n"/>
      <c r="S37" s="265" t="n"/>
      <c r="T37" s="265" t="n"/>
      <c r="U37" s="265" t="n"/>
      <c r="V37" s="265" t="n"/>
      <c r="X37" s="265" t="n"/>
      <c r="Y37" s="265" t="n"/>
      <c r="Z37" s="265" t="n"/>
      <c r="AA37" s="265" t="n"/>
      <c r="AC37" s="265" t="n"/>
      <c r="AD37" s="265" t="n"/>
    </row>
    <row r="38">
      <c r="A38" t="inlineStr">
        <is>
          <t>D&amp;A trimestral (desacumulada). COD1=4 lança (positivo -&gt; -1); COD2=3 devolve às despesas operacionais (a Apple não abre D&amp;A entre custo e despesa) · derivada · unid. moeda</t>
        </is>
      </c>
      <c r="C38" t="inlineStr">
        <is>
          <t>[linha bruta, sem código; lançada nas linhas abaixo]</t>
        </is>
      </c>
      <c r="D38" s="265">
        <f>N(D34)-N(N34)</f>
        <v>-351000</v>
      </c>
      <c r="E38" s="265">
        <f>N(E34)-N(D34)</f>
        <v>2832000</v>
      </c>
      <c r="F38" s="265">
        <f>N(F34)-N(E34)</f>
        <v>2989000</v>
      </c>
      <c r="G38" s="265">
        <f>N(G34)</f>
        <v>2697000</v>
      </c>
      <c r="I38" s="265">
        <f>N(I34)-N(G34)</f>
        <v>2737000</v>
      </c>
      <c r="J38" s="265">
        <f>N(J34)-N(I34)</f>
        <v>2805000</v>
      </c>
      <c r="K38" s="265">
        <f>N(K34)-N(J34)</f>
        <v>2865000</v>
      </c>
      <c r="L38" s="265">
        <f>N(L34)</f>
        <v>2916000</v>
      </c>
      <c r="N38" s="265">
        <f>N(N34)-N(L34)</f>
        <v>2898000</v>
      </c>
      <c r="O38" s="265">
        <f>N(O34)-N(N34)</f>
        <v>3052000</v>
      </c>
      <c r="P38" s="265">
        <f>N(P34)-N(O34)</f>
        <v>2653000</v>
      </c>
      <c r="Q38" s="265">
        <f>N(Q34)</f>
        <v>2848000</v>
      </c>
      <c r="S38" s="265">
        <f>N(S34)-N(Q34)</f>
        <v>2836000</v>
      </c>
      <c r="T38" s="265">
        <f>N(T34)-N(S34)</f>
        <v>2850000</v>
      </c>
      <c r="U38" s="265">
        <f>N(U34)-N(T34)</f>
        <v>2911000</v>
      </c>
      <c r="V38" s="265">
        <f>N(V34)</f>
        <v>3080000</v>
      </c>
      <c r="X38" s="265">
        <f>N(X34)-N(V34)</f>
        <v>2661000</v>
      </c>
      <c r="Y38" s="265">
        <f>N(Y34)-N(X34)</f>
        <v>2830000</v>
      </c>
      <c r="Z38" s="265">
        <f>N(Z34)-N(Y34)</f>
        <v>3127000</v>
      </c>
      <c r="AA38" s="265">
        <f>N(AA34)</f>
        <v>3214000</v>
      </c>
      <c r="AC38" s="265">
        <f>N(AC34)-N(AA34)</f>
        <v>3439000</v>
      </c>
      <c r="AD38" s="265">
        <f>N(AD34)-N(AC34)</f>
        <v>3320000</v>
      </c>
    </row>
    <row r="39">
      <c r="A39" t="inlineStr">
        <is>
          <t>(lançamento) código 4, sinal -1 sobre a linha bruta 38: D&amp;A trimestral (desacumulada). COD1=4 lança (positivo -&gt; -1); COD2=3 devolve às despesas o</t>
        </is>
      </c>
      <c r="B39" t="n">
        <v>4</v>
      </c>
      <c r="C39" t="inlineStr">
        <is>
          <t>D&amp;A</t>
        </is>
      </c>
      <c r="D39" s="265">
        <f>IF(D38="","",-1*D38)</f>
        <v>351000</v>
      </c>
      <c r="E39" s="265">
        <f>IF(E38="","",-1*E38)</f>
        <v>-2832000</v>
      </c>
      <c r="F39" s="265">
        <f>IF(F38="","",-1*F38)</f>
        <v>-2989000</v>
      </c>
      <c r="G39" s="265">
        <f>IF(G38="","",-1*G38)</f>
        <v>-2697000</v>
      </c>
      <c r="I39" s="265">
        <f>IF(I38="","",-1*I38)</f>
        <v>-2737000</v>
      </c>
      <c r="J39" s="265">
        <f>IF(J38="","",-1*J38)</f>
        <v>-2805000</v>
      </c>
      <c r="K39" s="265">
        <f>IF(K38="","",-1*K38)</f>
        <v>-2865000</v>
      </c>
      <c r="L39" s="265">
        <f>IF(L38="","",-1*L38)</f>
        <v>-2916000</v>
      </c>
      <c r="N39" s="265">
        <f>IF(N38="","",-1*N38)</f>
        <v>-2898000</v>
      </c>
      <c r="O39" s="265">
        <f>IF(O38="","",-1*O38)</f>
        <v>-3052000</v>
      </c>
      <c r="P39" s="265">
        <f>IF(P38="","",-1*P38)</f>
        <v>-2653000</v>
      </c>
      <c r="Q39" s="265">
        <f>IF(Q38="","",-1*Q38)</f>
        <v>-2848000</v>
      </c>
      <c r="S39" s="265">
        <f>IF(S38="","",-1*S38)</f>
        <v>-2836000</v>
      </c>
      <c r="T39" s="265">
        <f>IF(T38="","",-1*T38)</f>
        <v>-2850000</v>
      </c>
      <c r="U39" s="265">
        <f>IF(U38="","",-1*U38)</f>
        <v>-2911000</v>
      </c>
      <c r="V39" s="265">
        <f>IF(V38="","",-1*V38)</f>
        <v>-3080000</v>
      </c>
      <c r="X39" s="265">
        <f>IF(X38="","",-1*X38)</f>
        <v>-2661000</v>
      </c>
      <c r="Y39" s="265">
        <f>IF(Y38="","",-1*Y38)</f>
        <v>-2830000</v>
      </c>
      <c r="Z39" s="265">
        <f>IF(Z38="","",-1*Z38)</f>
        <v>-3127000</v>
      </c>
      <c r="AA39" s="265">
        <f>IF(AA38="","",-1*AA38)</f>
        <v>-3214000</v>
      </c>
      <c r="AC39" s="265">
        <f>IF(AC38="","",-1*AC38)</f>
        <v>-3439000</v>
      </c>
      <c r="AD39" s="265">
        <f>IF(AD38="","",-1*AD38)</f>
        <v>-3320000</v>
      </c>
    </row>
    <row r="40">
      <c r="A40" t="inlineStr">
        <is>
          <t>(lançamento) código 3, sinal +1 sobre a linha bruta 38: D&amp;A trimestral (desacumulada). COD1=4 lança (positivo -&gt; -1); COD2=3 devolve às despesas o</t>
        </is>
      </c>
      <c r="B40" t="n">
        <v>3</v>
      </c>
      <c r="C40" t="inlineStr">
        <is>
          <t>SG&amp;A and Other (cash)</t>
        </is>
      </c>
      <c r="D40" s="265">
        <f>IF(D38="","",D38)</f>
        <v>-351000</v>
      </c>
      <c r="E40" s="265">
        <f>IF(E38="","",E38)</f>
        <v>2832000</v>
      </c>
      <c r="F40" s="265">
        <f>IF(F38="","",F38)</f>
        <v>2989000</v>
      </c>
      <c r="G40" s="265">
        <f>IF(G38="","",G38)</f>
        <v>2697000</v>
      </c>
      <c r="I40" s="265">
        <f>IF(I38="","",I38)</f>
        <v>2737000</v>
      </c>
      <c r="J40" s="265">
        <f>IF(J38="","",J38)</f>
        <v>2805000</v>
      </c>
      <c r="K40" s="265">
        <f>IF(K38="","",K38)</f>
        <v>2865000</v>
      </c>
      <c r="L40" s="265">
        <f>IF(L38="","",L38)</f>
        <v>2916000</v>
      </c>
      <c r="N40" s="265">
        <f>IF(N38="","",N38)</f>
        <v>2898000</v>
      </c>
      <c r="O40" s="265">
        <f>IF(O38="","",O38)</f>
        <v>3052000</v>
      </c>
      <c r="P40" s="265">
        <f>IF(P38="","",P38)</f>
        <v>2653000</v>
      </c>
      <c r="Q40" s="265">
        <f>IF(Q38="","",Q38)</f>
        <v>2848000</v>
      </c>
      <c r="S40" s="265">
        <f>IF(S38="","",S38)</f>
        <v>2836000</v>
      </c>
      <c r="T40" s="265">
        <f>IF(T38="","",T38)</f>
        <v>2850000</v>
      </c>
      <c r="U40" s="265">
        <f>IF(U38="","",U38)</f>
        <v>2911000</v>
      </c>
      <c r="V40" s="265">
        <f>IF(V38="","",V38)</f>
        <v>3080000</v>
      </c>
      <c r="X40" s="265">
        <f>IF(X38="","",X38)</f>
        <v>2661000</v>
      </c>
      <c r="Y40" s="265">
        <f>IF(Y38="","",Y38)</f>
        <v>2830000</v>
      </c>
      <c r="Z40" s="265">
        <f>IF(Z38="","",Z38)</f>
        <v>3127000</v>
      </c>
      <c r="AA40" s="265">
        <f>IF(AA38="","",AA38)</f>
        <v>3214000</v>
      </c>
      <c r="AC40" s="265">
        <f>IF(AC38="","",AC38)</f>
        <v>3439000</v>
      </c>
      <c r="AD40" s="265">
        <f>IF(AD38="","",AD38)</f>
        <v>3320000</v>
      </c>
    </row>
    <row r="41">
      <c r="A41" t="inlineStr">
        <is>
          <t>Dividendos pagos - trimestre (desacumulado) · derivada · unid. moeda</t>
        </is>
      </c>
      <c r="C41" t="inlineStr">
        <is>
          <t>[linha bruta, sem código; lançada nas linhas abaixo]</t>
        </is>
      </c>
      <c r="D41" s="265">
        <f>N(D36)-N(N36)</f>
        <v>-358000</v>
      </c>
      <c r="E41" s="265">
        <f>N(E36)-N(D36)</f>
        <v>3767000</v>
      </c>
      <c r="F41" s="265">
        <f>N(F36)-N(E36)</f>
        <v>3640000</v>
      </c>
      <c r="G41" s="265">
        <f>N(G36)</f>
        <v>3732000</v>
      </c>
      <c r="I41" s="265">
        <f>N(I36)-N(G36)</f>
        <v>3595000</v>
      </c>
      <c r="J41" s="265">
        <f>N(J36)-N(I36)</f>
        <v>3811000</v>
      </c>
      <c r="K41" s="265">
        <f>N(K36)-N(J36)</f>
        <v>3703000</v>
      </c>
      <c r="L41" s="265">
        <f>N(L36)</f>
        <v>3768000</v>
      </c>
      <c r="N41" s="265">
        <f>N(N36)-N(L36)</f>
        <v>3650000</v>
      </c>
      <c r="O41" s="265">
        <f>N(O36)-N(N36)</f>
        <v>3849000</v>
      </c>
      <c r="P41" s="265">
        <f>N(P36)-N(O36)</f>
        <v>3758000</v>
      </c>
      <c r="Q41" s="265">
        <f>N(Q36)</f>
        <v>3825000</v>
      </c>
      <c r="S41" s="265">
        <f>N(S36)-N(Q36)</f>
        <v>3710000</v>
      </c>
      <c r="T41" s="265">
        <f>N(T36)-N(S36)</f>
        <v>3895000</v>
      </c>
      <c r="U41" s="265">
        <f>N(U36)-N(T36)</f>
        <v>3804000</v>
      </c>
      <c r="V41" s="265">
        <f>N(V36)</f>
        <v>3856000</v>
      </c>
      <c r="X41" s="265">
        <f>N(X36)-N(V36)</f>
        <v>3758000</v>
      </c>
      <c r="Y41" s="265">
        <f>N(Y36)-N(X36)</f>
        <v>3945000</v>
      </c>
      <c r="Z41" s="265">
        <f>N(Z36)-N(Y36)</f>
        <v>3862000</v>
      </c>
      <c r="AA41" s="265">
        <f>N(AA36)</f>
        <v>3921000</v>
      </c>
      <c r="AC41" s="265">
        <f>N(AC36)-N(AA36)</f>
        <v>3822000</v>
      </c>
      <c r="AD41" s="265">
        <f>N(AD36)-N(AC36)</f>
        <v>4035000</v>
      </c>
    </row>
    <row r="42">
      <c r="A42" t="inlineStr">
        <is>
          <t>(lançamento) código 10, sinal -1 sobre a linha bruta 41: Dividendos pagos - trimestre (desacumulado)</t>
        </is>
      </c>
      <c r="B42" t="n">
        <v>10</v>
      </c>
      <c r="C42" t="inlineStr">
        <is>
          <t>Common Dividends</t>
        </is>
      </c>
      <c r="D42" s="265">
        <f>IF(D41="","",-1*D41)</f>
        <v>358000</v>
      </c>
      <c r="E42" s="265">
        <f>IF(E41="","",-1*E41)</f>
        <v>-3767000</v>
      </c>
      <c r="F42" s="265">
        <f>IF(F41="","",-1*F41)</f>
        <v>-3640000</v>
      </c>
      <c r="G42" s="265">
        <f>IF(G41="","",-1*G41)</f>
        <v>-3732000</v>
      </c>
      <c r="I42" s="265">
        <f>IF(I41="","",-1*I41)</f>
        <v>-3595000</v>
      </c>
      <c r="J42" s="265">
        <f>IF(J41="","",-1*J41)</f>
        <v>-3811000</v>
      </c>
      <c r="K42" s="265">
        <f>IF(K41="","",-1*K41)</f>
        <v>-3703000</v>
      </c>
      <c r="L42" s="265">
        <f>IF(L41="","",-1*L41)</f>
        <v>-3768000</v>
      </c>
      <c r="N42" s="265">
        <f>IF(N41="","",-1*N41)</f>
        <v>-3650000</v>
      </c>
      <c r="O42" s="265">
        <f>IF(O41="","",-1*O41)</f>
        <v>-3849000</v>
      </c>
      <c r="P42" s="265">
        <f>IF(P41="","",-1*P41)</f>
        <v>-3758000</v>
      </c>
      <c r="Q42" s="265">
        <f>IF(Q41="","",-1*Q41)</f>
        <v>-3825000</v>
      </c>
      <c r="S42" s="265">
        <f>IF(S41="","",-1*S41)</f>
        <v>-3710000</v>
      </c>
      <c r="T42" s="265">
        <f>IF(T41="","",-1*T41)</f>
        <v>-3895000</v>
      </c>
      <c r="U42" s="265">
        <f>IF(U41="","",-1*U41)</f>
        <v>-3804000</v>
      </c>
      <c r="V42" s="265">
        <f>IF(V41="","",-1*V41)</f>
        <v>-3856000</v>
      </c>
      <c r="X42" s="265">
        <f>IF(X41="","",-1*X41)</f>
        <v>-3758000</v>
      </c>
      <c r="Y42" s="265">
        <f>IF(Y41="","",-1*Y41)</f>
        <v>-3945000</v>
      </c>
      <c r="Z42" s="265">
        <f>IF(Z41="","",-1*Z41)</f>
        <v>-3862000</v>
      </c>
      <c r="AA42" s="265">
        <f>IF(AA41="","",-1*AA41)</f>
        <v>-3921000</v>
      </c>
      <c r="AC42" s="265">
        <f>IF(AC41="","",-1*AC41)</f>
        <v>-3822000</v>
      </c>
      <c r="AD42" s="265">
        <f>IF(AD41="","",-1*AD41)</f>
        <v>-4035000</v>
      </c>
    </row>
    <row r="43">
      <c r="A43" t="inlineStr">
        <is>
          <t>BALANÇO (USD, saldo no fim do trimestre)</t>
        </is>
      </c>
      <c r="C43" t="inlineStr">
        <is>
          <t>[linha bruta, sem código; lançada nas linhas abaixo]</t>
        </is>
      </c>
      <c r="D43" s="265" t="n"/>
      <c r="E43" s="265" t="n"/>
      <c r="F43" s="265" t="n"/>
      <c r="G43" s="265" t="n"/>
      <c r="I43" s="265" t="n"/>
      <c r="J43" s="265" t="n"/>
      <c r="K43" s="265" t="n"/>
      <c r="L43" s="265" t="n"/>
      <c r="N43" s="265" t="n"/>
      <c r="O43" s="265" t="n"/>
      <c r="P43" s="265" t="n"/>
      <c r="Q43" s="265" t="n"/>
      <c r="S43" s="265" t="n"/>
      <c r="T43" s="265" t="n"/>
      <c r="U43" s="265" t="n"/>
      <c r="V43" s="265" t="n"/>
      <c r="X43" s="265" t="n"/>
      <c r="Y43" s="265" t="n"/>
      <c r="Z43" s="265" t="n"/>
      <c r="AA43" s="265" t="n"/>
      <c r="AC43" s="265" t="n"/>
      <c r="AD43" s="265" t="n"/>
    </row>
    <row r="44">
      <c r="A44" t="inlineStr">
        <is>
          <t>Caixa + títulos negociáveis CP e LP (a Apple considera o LP na sua caixa líquida) [us-gaap:CashAndCashEquivalentsAtCarryingValue] · fonte · unid. moeda</t>
        </is>
      </c>
      <c r="B44" t="n">
        <v>11</v>
      </c>
      <c r="C44" t="inlineStr">
        <is>
          <t>Cash and equivalents (inc. investment securities)</t>
        </is>
      </c>
      <c r="D44" s="265" t="n">
        <v>38466000</v>
      </c>
      <c r="E44" s="265" t="n">
        <v>34050000</v>
      </c>
      <c r="F44" s="265" t="n">
        <v>34940000</v>
      </c>
      <c r="G44" s="265" t="n">
        <v>37119000</v>
      </c>
      <c r="I44" s="265" t="n">
        <v>28098000</v>
      </c>
      <c r="J44" s="265" t="n">
        <v>27502000</v>
      </c>
      <c r="K44" s="265" t="n">
        <v>23646000</v>
      </c>
      <c r="L44" s="265" t="n">
        <v>20535000</v>
      </c>
      <c r="N44" s="265" t="n">
        <v>24687000</v>
      </c>
      <c r="O44" s="265" t="n">
        <v>28408000</v>
      </c>
      <c r="P44" s="265" t="n">
        <v>29965000</v>
      </c>
      <c r="Q44" s="265" t="n">
        <v>40760000</v>
      </c>
      <c r="S44" s="265" t="n">
        <v>32695000</v>
      </c>
      <c r="T44" s="265" t="n">
        <v>25565000</v>
      </c>
      <c r="U44" s="265" t="n">
        <v>29943000</v>
      </c>
      <c r="V44" s="265" t="n">
        <v>30299000</v>
      </c>
      <c r="X44" s="265" t="n">
        <v>28162000</v>
      </c>
      <c r="Y44" s="265" t="n">
        <v>36269000</v>
      </c>
      <c r="Z44" s="265" t="n">
        <v>35934000</v>
      </c>
      <c r="AA44" s="265" t="n">
        <v>45317000</v>
      </c>
      <c r="AC44" s="265" t="n">
        <v>45572000</v>
      </c>
      <c r="AD44" s="265" t="n">
        <v>39544000</v>
      </c>
    </row>
    <row r="45">
      <c r="A45" t="inlineStr">
        <is>
          <t>Caixa + títulos negociáveis CP e LP (a Apple considera o LP na sua caixa líquida) [us-gaap:MarketableSecuritiesCurrent] · fonte · unid. moeda</t>
        </is>
      </c>
      <c r="B45" t="n">
        <v>11</v>
      </c>
      <c r="C45" t="inlineStr">
        <is>
          <t>Cash and equivalents (inc. investment securities)</t>
        </is>
      </c>
      <c r="D45" s="265" t="n">
        <v>31368000</v>
      </c>
      <c r="E45" s="265" t="n">
        <v>27646000</v>
      </c>
      <c r="F45" s="265" t="n">
        <v>27699000</v>
      </c>
      <c r="G45" s="265" t="n">
        <v>26794000</v>
      </c>
      <c r="I45" s="265" t="n">
        <v>23413000</v>
      </c>
      <c r="J45" s="265" t="n">
        <v>20729000</v>
      </c>
      <c r="K45" s="265" t="n">
        <v>24658000</v>
      </c>
      <c r="L45" s="265" t="n">
        <v>30820000</v>
      </c>
      <c r="N45" s="265" t="n">
        <v>31185000</v>
      </c>
      <c r="O45" s="265" t="n">
        <v>34074000</v>
      </c>
      <c r="P45" s="265" t="n">
        <v>31590000</v>
      </c>
      <c r="Q45" s="265" t="n">
        <v>32340000</v>
      </c>
      <c r="S45" s="265" t="n">
        <v>34455000</v>
      </c>
      <c r="T45" s="265" t="n">
        <v>36236000</v>
      </c>
      <c r="U45" s="265" t="n">
        <v>35228000</v>
      </c>
      <c r="V45" s="265" t="n">
        <v>23476000</v>
      </c>
      <c r="X45" s="265" t="n">
        <v>20336000</v>
      </c>
      <c r="Y45" s="265" t="n">
        <v>19103000</v>
      </c>
      <c r="Z45" s="265" t="n">
        <v>18763000</v>
      </c>
      <c r="AA45" s="265" t="n">
        <v>21590000</v>
      </c>
      <c r="AC45" s="265" t="n">
        <v>22935000</v>
      </c>
      <c r="AD45" s="265" t="n">
        <v>22855000</v>
      </c>
    </row>
    <row r="46">
      <c r="A46" t="inlineStr">
        <is>
          <t>Caixa + títulos negociáveis CP e LP (a Apple considera o LP na sua caixa líquida) [us-gaap:MarketableSecuritiesNoncurrent] · fonte · unid. moeda</t>
        </is>
      </c>
      <c r="B46" t="n">
        <v>11</v>
      </c>
      <c r="C46" t="inlineStr">
        <is>
          <t>Cash and equivalents (inc. investment securities)</t>
        </is>
      </c>
      <c r="D46" s="265" t="n">
        <v>134539000</v>
      </c>
      <c r="E46" s="265" t="n">
        <v>131948000</v>
      </c>
      <c r="F46" s="265" t="n">
        <v>127877000</v>
      </c>
      <c r="G46" s="265" t="n">
        <v>138683000</v>
      </c>
      <c r="I46" s="265" t="n">
        <v>141219000</v>
      </c>
      <c r="J46" s="265" t="n">
        <v>131077000</v>
      </c>
      <c r="K46" s="265" t="n">
        <v>120805000</v>
      </c>
      <c r="L46" s="265" t="n">
        <v>114095000</v>
      </c>
      <c r="N46" s="265" t="n">
        <v>110461000</v>
      </c>
      <c r="O46" s="265" t="n">
        <v>104061000</v>
      </c>
      <c r="P46" s="265" t="n">
        <v>100544000</v>
      </c>
      <c r="Q46" s="265" t="n">
        <v>99475000</v>
      </c>
      <c r="S46" s="265" t="n">
        <v>95187000</v>
      </c>
      <c r="T46" s="265" t="n">
        <v>91240000</v>
      </c>
      <c r="U46" s="265" t="n">
        <v>91479000</v>
      </c>
      <c r="V46" s="265" t="n">
        <v>87593000</v>
      </c>
      <c r="X46" s="265" t="n">
        <v>84424000</v>
      </c>
      <c r="Y46" s="265" t="n">
        <v>77614000</v>
      </c>
      <c r="Z46" s="265" t="n">
        <v>77723000</v>
      </c>
      <c r="AA46" s="265" t="n">
        <v>77888000</v>
      </c>
      <c r="AC46" s="265" t="n">
        <v>78088000</v>
      </c>
      <c r="AD46" s="265" t="n">
        <v>84118000</v>
      </c>
    </row>
    <row r="47">
      <c r="A47" t="inlineStr">
        <is>
          <t>Contas a receber de clientes [us-gaap:AccountsReceivableNetCurrent] · fonte · unid. moeda</t>
        </is>
      </c>
      <c r="B47" t="n">
        <v>12</v>
      </c>
      <c r="C47" t="inlineStr">
        <is>
          <t>Accounts receivable</t>
        </is>
      </c>
      <c r="D47" s="265" t="n">
        <v>18503000</v>
      </c>
      <c r="E47" s="265" t="n">
        <v>17475000</v>
      </c>
      <c r="F47" s="265" t="n">
        <v>26278000</v>
      </c>
      <c r="G47" s="265" t="n">
        <v>30213000</v>
      </c>
      <c r="I47" s="265" t="n">
        <v>20815000</v>
      </c>
      <c r="J47" s="265" t="n">
        <v>21803000</v>
      </c>
      <c r="K47" s="265" t="n">
        <v>28184000</v>
      </c>
      <c r="L47" s="265" t="n">
        <v>23752000</v>
      </c>
      <c r="N47" s="265" t="n">
        <v>17936000</v>
      </c>
      <c r="O47" s="265" t="n">
        <v>19549000</v>
      </c>
      <c r="P47" s="265" t="n">
        <v>29508000</v>
      </c>
      <c r="Q47" s="265" t="n">
        <v>23194000</v>
      </c>
      <c r="S47" s="265" t="n">
        <v>21837000</v>
      </c>
      <c r="T47" s="265" t="n">
        <v>22795000</v>
      </c>
      <c r="U47" s="265" t="n">
        <v>33410000</v>
      </c>
      <c r="V47" s="265" t="n">
        <v>29639000</v>
      </c>
      <c r="X47" s="265" t="n">
        <v>26136000</v>
      </c>
      <c r="Y47" s="265" t="n">
        <v>27557000</v>
      </c>
      <c r="Z47" s="265" t="n">
        <v>39777000</v>
      </c>
      <c r="AA47" s="265" t="n">
        <v>39921000</v>
      </c>
      <c r="AC47" s="265" t="n">
        <v>30339000</v>
      </c>
      <c r="AD47" s="265" t="n">
        <v>31398000</v>
      </c>
    </row>
    <row r="48">
      <c r="A48" t="inlineStr">
        <is>
          <t>Estoques [us-gaap:InventoryNet] · fonte · unid. moeda</t>
        </is>
      </c>
      <c r="B48" t="n">
        <v>13</v>
      </c>
      <c r="C48" t="inlineStr">
        <is>
          <t>Inventories</t>
        </is>
      </c>
      <c r="D48" s="265" t="n">
        <v>5219000</v>
      </c>
      <c r="E48" s="265" t="n">
        <v>5178000</v>
      </c>
      <c r="F48" s="265" t="n">
        <v>6580000</v>
      </c>
      <c r="G48" s="265" t="n">
        <v>5876000</v>
      </c>
      <c r="I48" s="265" t="n">
        <v>5460000</v>
      </c>
      <c r="J48" s="265" t="n">
        <v>5433000</v>
      </c>
      <c r="K48" s="265" t="n">
        <v>4946000</v>
      </c>
      <c r="L48" s="265" t="n">
        <v>6820000</v>
      </c>
      <c r="N48" s="265" t="n">
        <v>7482000</v>
      </c>
      <c r="O48" s="265" t="n">
        <v>7351000</v>
      </c>
      <c r="P48" s="265" t="n">
        <v>6331000</v>
      </c>
      <c r="Q48" s="265" t="n">
        <v>6511000</v>
      </c>
      <c r="S48" s="265" t="n">
        <v>6232000</v>
      </c>
      <c r="T48" s="265" t="n">
        <v>6165000</v>
      </c>
      <c r="U48" s="265" t="n">
        <v>7286000</v>
      </c>
      <c r="V48" s="265" t="n">
        <v>6911000</v>
      </c>
      <c r="X48" s="265" t="n">
        <v>6269000</v>
      </c>
      <c r="Y48" s="265" t="n">
        <v>5925000</v>
      </c>
      <c r="Z48" s="265" t="n">
        <v>5718000</v>
      </c>
      <c r="AA48" s="265" t="n">
        <v>5875000</v>
      </c>
      <c r="AC48" s="265" t="n">
        <v>6747000</v>
      </c>
      <c r="AD48" s="265" t="n">
        <v>11092000</v>
      </c>
    </row>
    <row r="49">
      <c r="A49" t="inlineStr">
        <is>
          <t>Recebíveis de fornecedores (non-trade) + outros ativos circulantes [us-gaap:NontradeReceivablesCurrent] · fonte · unid. moeda</t>
        </is>
      </c>
      <c r="B49" t="n">
        <v>16</v>
      </c>
      <c r="C49" t="inlineStr">
        <is>
          <t>Other current assets</t>
        </is>
      </c>
      <c r="D49" s="265" t="n">
        <v>14533000</v>
      </c>
      <c r="E49" s="265" t="n">
        <v>16433000</v>
      </c>
      <c r="F49" s="265" t="n">
        <v>25228000</v>
      </c>
      <c r="G49" s="265" t="n">
        <v>35040000</v>
      </c>
      <c r="I49" s="265" t="n">
        <v>24585000</v>
      </c>
      <c r="J49" s="265" t="n">
        <v>20439000</v>
      </c>
      <c r="K49" s="265" t="n">
        <v>32748000</v>
      </c>
      <c r="L49" s="265" t="n">
        <v>30428000</v>
      </c>
      <c r="N49" s="265" t="n">
        <v>17963000</v>
      </c>
      <c r="O49" s="265" t="n">
        <v>19637000</v>
      </c>
      <c r="P49" s="265" t="n">
        <v>31477000</v>
      </c>
      <c r="Q49" s="265" t="n">
        <v>26908000</v>
      </c>
      <c r="S49" s="265" t="n">
        <v>19313000</v>
      </c>
      <c r="T49" s="265" t="n">
        <v>20377000</v>
      </c>
      <c r="U49" s="265" t="n">
        <v>32833000</v>
      </c>
      <c r="V49" s="265" t="n">
        <v>29667000</v>
      </c>
      <c r="X49" s="265" t="n">
        <v>23662000</v>
      </c>
      <c r="Y49" s="265" t="n">
        <v>19278000</v>
      </c>
      <c r="Z49" s="265" t="n">
        <v>33180000</v>
      </c>
      <c r="AA49" s="265" t="n">
        <v>30399000</v>
      </c>
      <c r="AC49" s="265" t="n">
        <v>23172000</v>
      </c>
      <c r="AD49" s="265" t="n">
        <v>27509000</v>
      </c>
    </row>
    <row r="50">
      <c r="A50" t="inlineStr">
        <is>
          <t>Recebíveis de fornecedores (non-trade) + outros ativos circulantes [us-gaap:OtherAssetsCurrent] · fonte · unid. moeda</t>
        </is>
      </c>
      <c r="B50" t="n">
        <v>16</v>
      </c>
      <c r="C50" t="inlineStr">
        <is>
          <t>Other current assets</t>
        </is>
      </c>
      <c r="D50" s="265" t="n">
        <v>13376000</v>
      </c>
      <c r="E50" s="265" t="n">
        <v>13641000</v>
      </c>
      <c r="F50" s="265" t="n">
        <v>14111000</v>
      </c>
      <c r="G50" s="265" t="n">
        <v>18112000</v>
      </c>
      <c r="I50" s="265" t="n">
        <v>15809000</v>
      </c>
      <c r="J50" s="265" t="n">
        <v>16386000</v>
      </c>
      <c r="K50" s="265" t="n">
        <v>21223000</v>
      </c>
      <c r="L50" s="265" t="n">
        <v>16422000</v>
      </c>
      <c r="N50" s="265" t="n">
        <v>13660000</v>
      </c>
      <c r="O50" s="265" t="n">
        <v>13640000</v>
      </c>
      <c r="P50" s="265" t="n">
        <v>14695000</v>
      </c>
      <c r="Q50" s="265" t="n">
        <v>13979000</v>
      </c>
      <c r="S50" s="265" t="n">
        <v>13884000</v>
      </c>
      <c r="T50" s="265" t="n">
        <v>14297000</v>
      </c>
      <c r="U50" s="265" t="n">
        <v>14287000</v>
      </c>
      <c r="V50" s="265" t="n">
        <v>13248000</v>
      </c>
      <c r="X50" s="265" t="n">
        <v>14109000</v>
      </c>
      <c r="Y50" s="265" t="n">
        <v>14359000</v>
      </c>
      <c r="Z50" s="265" t="n">
        <v>14585000</v>
      </c>
      <c r="AA50" s="265" t="n">
        <v>15002000</v>
      </c>
      <c r="AC50" s="265" t="n">
        <v>15349000</v>
      </c>
      <c r="AD50" s="265" t="n">
        <v>17420000</v>
      </c>
    </row>
    <row r="51">
      <c r="A51" t="inlineStr">
        <is>
          <t>Imobilizado líquido [us-gaap:PropertyPlantAndEquipmentNet] · fonte · unid. moeda</t>
        </is>
      </c>
      <c r="B51" t="n">
        <v>18</v>
      </c>
      <c r="C51" t="inlineStr">
        <is>
          <t>PP&amp;E</t>
        </is>
      </c>
      <c r="D51" s="265" t="n">
        <v>37815000</v>
      </c>
      <c r="E51" s="265" t="n">
        <v>38615000</v>
      </c>
      <c r="F51" s="265" t="n">
        <v>39440000</v>
      </c>
      <c r="G51" s="265" t="n">
        <v>39245000</v>
      </c>
      <c r="I51" s="265" t="n">
        <v>39304000</v>
      </c>
      <c r="J51" s="265" t="n">
        <v>40335000</v>
      </c>
      <c r="K51" s="265" t="n">
        <v>42117000</v>
      </c>
      <c r="L51" s="265" t="n">
        <v>42951000</v>
      </c>
      <c r="N51" s="265" t="n">
        <v>43398000</v>
      </c>
      <c r="O51" s="265" t="n">
        <v>43550000</v>
      </c>
      <c r="P51" s="265" t="n">
        <v>43715000</v>
      </c>
      <c r="Q51" s="265" t="n">
        <v>43666000</v>
      </c>
      <c r="S51" s="265" t="n">
        <v>43546000</v>
      </c>
      <c r="T51" s="265" t="n">
        <v>44502000</v>
      </c>
      <c r="U51" s="265" t="n">
        <v>45680000</v>
      </c>
      <c r="V51" s="265" t="n">
        <v>46069000</v>
      </c>
      <c r="X51" s="265" t="n">
        <v>46876000</v>
      </c>
      <c r="Y51" s="265" t="n">
        <v>48508000</v>
      </c>
      <c r="Z51" s="265" t="n">
        <v>49834000</v>
      </c>
      <c r="AA51" s="265" t="n">
        <v>50159000</v>
      </c>
      <c r="AC51" s="265" t="n">
        <v>50116000</v>
      </c>
      <c r="AD51" s="265" t="n">
        <v>51431000</v>
      </c>
    </row>
    <row r="52">
      <c r="A52" t="inlineStr">
        <is>
          <t>Intangíveis não circulantes (linha própria no balanço a partir de dez/25) [us-gaap:IntangibleAssetsNetExcludingGoodwillNoncurrent] · fonte · unid. moeda</t>
        </is>
      </c>
      <c r="B52" t="n">
        <v>21</v>
      </c>
      <c r="C52" t="inlineStr">
        <is>
          <t>Intangibles</t>
        </is>
      </c>
      <c r="D52" s="265" t="n">
        <v>0</v>
      </c>
      <c r="E52" s="265" t="n">
        <v>0</v>
      </c>
      <c r="F52" s="265" t="n">
        <v>0</v>
      </c>
      <c r="G52" s="265" t="n">
        <v>0</v>
      </c>
      <c r="I52" s="265" t="n">
        <v>0</v>
      </c>
      <c r="J52" s="265" t="n">
        <v>0</v>
      </c>
      <c r="K52" s="265" t="n">
        <v>0</v>
      </c>
      <c r="L52" s="265" t="n">
        <v>0</v>
      </c>
      <c r="N52" s="265" t="n">
        <v>0</v>
      </c>
      <c r="O52" s="265" t="n">
        <v>0</v>
      </c>
      <c r="P52" s="265" t="n">
        <v>0</v>
      </c>
      <c r="Q52" s="265" t="n">
        <v>0</v>
      </c>
      <c r="S52" s="265" t="n">
        <v>0</v>
      </c>
      <c r="T52" s="265" t="n">
        <v>0</v>
      </c>
      <c r="U52" s="265" t="n">
        <v>0</v>
      </c>
      <c r="V52" s="265" t="n">
        <v>0</v>
      </c>
      <c r="X52" s="265" t="n">
        <v>0</v>
      </c>
      <c r="Y52" s="265" t="n">
        <v>0</v>
      </c>
      <c r="Z52" s="265" t="n">
        <v>11093000</v>
      </c>
      <c r="AA52" s="265" t="n">
        <v>0</v>
      </c>
      <c r="AC52" s="265" t="n">
        <v>21334000</v>
      </c>
      <c r="AD52" s="265" t="n">
        <v>20342000</v>
      </c>
    </row>
    <row r="53">
      <c r="A53" t="inlineStr">
        <is>
          <t>Outros ativos não circulantes (inclui IR diferido e direito de uso) [us-gaap:OtherAssetsNoncurrent] · fonte · unid. moeda</t>
        </is>
      </c>
      <c r="B53" t="n">
        <v>22</v>
      </c>
      <c r="C53" t="inlineStr">
        <is>
          <t>Other non-current assets</t>
        </is>
      </c>
      <c r="D53" s="265" t="n">
        <v>43339000</v>
      </c>
      <c r="E53" s="265" t="n">
        <v>44854000</v>
      </c>
      <c r="F53" s="265" t="n">
        <v>48849000</v>
      </c>
      <c r="G53" s="265" t="n">
        <v>50109000</v>
      </c>
      <c r="I53" s="265" t="n">
        <v>51959000</v>
      </c>
      <c r="J53" s="265" t="n">
        <v>52605000</v>
      </c>
      <c r="K53" s="265" t="n">
        <v>54428000</v>
      </c>
      <c r="L53" s="265" t="n">
        <v>60924000</v>
      </c>
      <c r="N53" s="265" t="n">
        <v>65388000</v>
      </c>
      <c r="O53" s="265" t="n">
        <v>64768000</v>
      </c>
      <c r="P53" s="265" t="n">
        <v>64758000</v>
      </c>
      <c r="Q53" s="265" t="n">
        <v>66681000</v>
      </c>
      <c r="S53" s="265" t="n">
        <v>70262000</v>
      </c>
      <c r="T53" s="265" t="n">
        <v>70435000</v>
      </c>
      <c r="U53" s="265" t="n">
        <v>74834000</v>
      </c>
      <c r="V53" s="265" t="n">
        <v>77183000</v>
      </c>
      <c r="X53" s="265" t="n">
        <v>81259000</v>
      </c>
      <c r="Y53" s="265" t="n">
        <v>82882000</v>
      </c>
      <c r="Z53" s="265" t="n">
        <v>72634000</v>
      </c>
      <c r="AA53" s="265" t="n">
        <v>93146000</v>
      </c>
      <c r="AC53" s="265" t="n">
        <v>77430000</v>
      </c>
      <c r="AD53" s="265" t="n">
        <v>77557000</v>
      </c>
    </row>
    <row r="54">
      <c r="A54" t="inlineStr">
        <is>
          <t>Fornecedores [us-gaap:AccountsPayableCurrent] · fonte · unid. moeda</t>
        </is>
      </c>
      <c r="B54" t="n">
        <v>23</v>
      </c>
      <c r="C54" t="inlineStr">
        <is>
          <t>Accounts payable</t>
        </is>
      </c>
      <c r="D54" s="265" t="n">
        <v>40127000</v>
      </c>
      <c r="E54" s="265" t="n">
        <v>40409000</v>
      </c>
      <c r="F54" s="265" t="n">
        <v>54763000</v>
      </c>
      <c r="G54" s="265" t="n">
        <v>74362000</v>
      </c>
      <c r="I54" s="265" t="n">
        <v>52682000</v>
      </c>
      <c r="J54" s="265" t="n">
        <v>48343000</v>
      </c>
      <c r="K54" s="265" t="n">
        <v>64115000</v>
      </c>
      <c r="L54" s="265" t="n">
        <v>57918000</v>
      </c>
      <c r="N54" s="265" t="n">
        <v>42945000</v>
      </c>
      <c r="O54" s="265" t="n">
        <v>46699000</v>
      </c>
      <c r="P54" s="265" t="n">
        <v>62611000</v>
      </c>
      <c r="Q54" s="265" t="n">
        <v>58146000</v>
      </c>
      <c r="S54" s="265" t="n">
        <v>45753000</v>
      </c>
      <c r="T54" s="265" t="n">
        <v>47574000</v>
      </c>
      <c r="U54" s="265" t="n">
        <v>68960000</v>
      </c>
      <c r="V54" s="265" t="n">
        <v>61910000</v>
      </c>
      <c r="X54" s="265" t="n">
        <v>54126000</v>
      </c>
      <c r="Y54" s="265" t="n">
        <v>50374000</v>
      </c>
      <c r="Z54" s="265" t="n">
        <v>69860000</v>
      </c>
      <c r="AA54" s="265" t="n">
        <v>70587000</v>
      </c>
      <c r="AC54" s="265" t="n">
        <v>57349000</v>
      </c>
      <c r="AD54" s="265" t="n">
        <v>64525000</v>
      </c>
    </row>
    <row r="55">
      <c r="A55" t="inlineStr">
        <is>
          <t>Outros passivos circulantes + receita diferida [us-gaap:OtherLiabilitiesCurrent] · fonte · unid. moeda</t>
        </is>
      </c>
      <c r="B55" t="n">
        <v>26</v>
      </c>
      <c r="C55" t="inlineStr">
        <is>
          <t>Other current liabilities (non-debt)</t>
        </is>
      </c>
      <c r="D55" s="265" t="n">
        <v>45660000</v>
      </c>
      <c r="E55" s="265" t="n">
        <v>43625000</v>
      </c>
      <c r="F55" s="265" t="n">
        <v>47493000</v>
      </c>
      <c r="G55" s="265" t="n">
        <v>49167000</v>
      </c>
      <c r="I55" s="265" t="n">
        <v>50248000</v>
      </c>
      <c r="J55" s="265" t="n">
        <v>48811000</v>
      </c>
      <c r="K55" s="265" t="n">
        <v>60845000</v>
      </c>
      <c r="L55" s="265" t="n">
        <v>59893000</v>
      </c>
      <c r="N55" s="265" t="n">
        <v>56425000</v>
      </c>
      <c r="O55" s="265" t="n">
        <v>58897000</v>
      </c>
      <c r="P55" s="265" t="n">
        <v>58829000</v>
      </c>
      <c r="Q55" s="265" t="n">
        <v>54611000</v>
      </c>
      <c r="S55" s="265" t="n">
        <v>57298000</v>
      </c>
      <c r="T55" s="265" t="n">
        <v>60889000</v>
      </c>
      <c r="U55" s="265" t="n">
        <v>78304000</v>
      </c>
      <c r="V55" s="265" t="n">
        <v>61151000</v>
      </c>
      <c r="X55" s="265" t="n">
        <v>61849000</v>
      </c>
      <c r="Y55" s="265" t="n">
        <v>62499000</v>
      </c>
      <c r="Z55" s="265" t="n">
        <v>66387000</v>
      </c>
      <c r="AA55" s="265" t="n">
        <v>68543000</v>
      </c>
      <c r="AC55" s="265" t="n">
        <v>57654000</v>
      </c>
      <c r="AD55" s="265" t="n">
        <v>62259000</v>
      </c>
    </row>
    <row r="56">
      <c r="A56" t="inlineStr">
        <is>
          <t>Outros passivos circulantes + receita diferida [us-gaap:ContractWithCustomerLiabilityCurrent] · fonte · unid. moeda</t>
        </is>
      </c>
      <c r="B56" t="n">
        <v>26</v>
      </c>
      <c r="C56" t="inlineStr">
        <is>
          <t>Other current liabilities (non-debt)</t>
        </is>
      </c>
      <c r="D56" s="265" t="n">
        <v>7595000</v>
      </c>
      <c r="E56" s="265" t="n">
        <v>7681000</v>
      </c>
      <c r="F56" s="265" t="n">
        <v>7612000</v>
      </c>
      <c r="G56" s="265" t="n">
        <v>7876000</v>
      </c>
      <c r="I56" s="265" t="n">
        <v>7920000</v>
      </c>
      <c r="J56" s="265" t="n">
        <v>7728000</v>
      </c>
      <c r="K56" s="265" t="n">
        <v>7912000</v>
      </c>
      <c r="L56" s="265" t="n">
        <v>7992000</v>
      </c>
      <c r="N56" s="265" t="n">
        <v>8131000</v>
      </c>
      <c r="O56" s="265" t="n">
        <v>8158000</v>
      </c>
      <c r="P56" s="265" t="n">
        <v>8061000</v>
      </c>
      <c r="Q56" s="265" t="n">
        <v>8264000</v>
      </c>
      <c r="S56" s="265" t="n">
        <v>8012000</v>
      </c>
      <c r="T56" s="265" t="n">
        <v>8053000</v>
      </c>
      <c r="U56" s="265" t="n">
        <v>8249000</v>
      </c>
      <c r="V56" s="265" t="n">
        <v>8461000</v>
      </c>
      <c r="X56" s="265" t="n">
        <v>8976000</v>
      </c>
      <c r="Y56" s="265" t="n">
        <v>8979000</v>
      </c>
      <c r="Z56" s="265" t="n">
        <v>9055000</v>
      </c>
      <c r="AA56" s="265" t="n">
        <v>9413000</v>
      </c>
      <c r="AC56" s="265" t="n">
        <v>9331000</v>
      </c>
      <c r="AD56" s="265" t="n">
        <v>9538000</v>
      </c>
    </row>
    <row r="57">
      <c r="A57" t="inlineStr">
        <is>
          <t>Commercial paper + parcela CP da dívida [us-gaap:CommercialPaper] · fonte · unid. moeda</t>
        </is>
      </c>
      <c r="B57" t="n">
        <v>27</v>
      </c>
      <c r="C57" t="inlineStr">
        <is>
          <t>Current portion of long-term debt</t>
        </is>
      </c>
      <c r="D57" s="265" t="n">
        <v>5000000</v>
      </c>
      <c r="E57" s="265" t="n">
        <v>8000000</v>
      </c>
      <c r="F57" s="265" t="n">
        <v>6000000</v>
      </c>
      <c r="G57" s="265" t="n">
        <v>5000000</v>
      </c>
      <c r="I57" s="265" t="n">
        <v>6999000</v>
      </c>
      <c r="J57" s="265" t="n">
        <v>10982000</v>
      </c>
      <c r="K57" s="265" t="n">
        <v>9982000</v>
      </c>
      <c r="L57" s="265" t="n">
        <v>1743000</v>
      </c>
      <c r="N57" s="265" t="n">
        <v>1996000</v>
      </c>
      <c r="O57" s="265" t="n">
        <v>3993000</v>
      </c>
      <c r="P57" s="265" t="n">
        <v>5985000</v>
      </c>
      <c r="Q57" s="265" t="n">
        <v>1998000</v>
      </c>
      <c r="S57" s="265" t="n">
        <v>1997000</v>
      </c>
      <c r="T57" s="265" t="n">
        <v>2994000</v>
      </c>
      <c r="U57" s="265" t="n">
        <v>9967000</v>
      </c>
      <c r="V57" s="265" t="n">
        <v>1995000</v>
      </c>
      <c r="X57" s="265" t="n">
        <v>5982000</v>
      </c>
      <c r="Y57" s="265" t="n">
        <v>9923000</v>
      </c>
      <c r="Z57" s="265" t="n">
        <v>7979000</v>
      </c>
      <c r="AA57" s="265" t="n">
        <v>1997000</v>
      </c>
      <c r="AC57" s="265" t="n">
        <v>1997000</v>
      </c>
      <c r="AD57" s="265" t="n">
        <v>1997000</v>
      </c>
    </row>
    <row r="58">
      <c r="A58" t="inlineStr">
        <is>
          <t>Commercial paper + parcela CP da dívida [us-gaap:LongTermDebtCurrent] · fonte · unid. moeda</t>
        </is>
      </c>
      <c r="B58" t="n">
        <v>27</v>
      </c>
      <c r="C58" t="inlineStr">
        <is>
          <t>Current portion of long-term debt</t>
        </is>
      </c>
      <c r="D58" s="265" t="n">
        <v>8003000</v>
      </c>
      <c r="E58" s="265" t="n">
        <v>8039000</v>
      </c>
      <c r="F58" s="265" t="n">
        <v>9613000</v>
      </c>
      <c r="G58" s="265" t="n">
        <v>11169000</v>
      </c>
      <c r="I58" s="265" t="n">
        <v>9659000</v>
      </c>
      <c r="J58" s="265" t="n">
        <v>14009000</v>
      </c>
      <c r="K58" s="265" t="n">
        <v>11128000</v>
      </c>
      <c r="L58" s="265" t="n">
        <v>9740000</v>
      </c>
      <c r="N58" s="265" t="n">
        <v>10578000</v>
      </c>
      <c r="O58" s="265" t="n">
        <v>7216000</v>
      </c>
      <c r="P58" s="265" t="n">
        <v>9822000</v>
      </c>
      <c r="Q58" s="265" t="n">
        <v>10954000</v>
      </c>
      <c r="S58" s="265" t="n">
        <v>10762000</v>
      </c>
      <c r="T58" s="265" t="n">
        <v>12114000</v>
      </c>
      <c r="U58" s="265" t="n">
        <v>10912000</v>
      </c>
      <c r="V58" s="265" t="n">
        <v>10848000</v>
      </c>
      <c r="X58" s="265" t="n">
        <v>13638000</v>
      </c>
      <c r="Y58" s="265" t="n">
        <v>9345000</v>
      </c>
      <c r="Z58" s="265" t="n">
        <v>12350000</v>
      </c>
      <c r="AA58" s="265" t="n">
        <v>11827000</v>
      </c>
      <c r="AC58" s="265" t="n">
        <v>8310000</v>
      </c>
      <c r="AD58" s="265" t="n">
        <v>11007000</v>
      </c>
    </row>
    <row r="59">
      <c r="A59" t="inlineStr">
        <is>
          <t>Dívida de longo prazo (term debt) [us-gaap:LongTermDebtNoncurrent] · fonte · unid. moeda</t>
        </is>
      </c>
      <c r="B59" t="n">
        <v>30</v>
      </c>
      <c r="C59" t="inlineStr">
        <is>
          <t>Long term debt</t>
        </is>
      </c>
      <c r="D59" s="265" t="n">
        <v>108642000</v>
      </c>
      <c r="E59" s="265" t="n">
        <v>105752000</v>
      </c>
      <c r="F59" s="265" t="n">
        <v>109106000</v>
      </c>
      <c r="G59" s="265" t="n">
        <v>106629000</v>
      </c>
      <c r="I59" s="265" t="n">
        <v>103323000</v>
      </c>
      <c r="J59" s="265" t="n">
        <v>94700000</v>
      </c>
      <c r="K59" s="265" t="n">
        <v>98959000</v>
      </c>
      <c r="L59" s="265" t="n">
        <v>99627000</v>
      </c>
      <c r="N59" s="265" t="n">
        <v>97041000</v>
      </c>
      <c r="O59" s="265" t="n">
        <v>98071000</v>
      </c>
      <c r="P59" s="265" t="n">
        <v>95281000</v>
      </c>
      <c r="Q59" s="265" t="n">
        <v>95088000</v>
      </c>
      <c r="S59" s="265" t="n">
        <v>91831000</v>
      </c>
      <c r="T59" s="265" t="n">
        <v>86196000</v>
      </c>
      <c r="U59" s="265" t="n">
        <v>85750000</v>
      </c>
      <c r="V59" s="265" t="n">
        <v>83956000</v>
      </c>
      <c r="X59" s="265" t="n">
        <v>78566000</v>
      </c>
      <c r="Y59" s="265" t="n">
        <v>82430000</v>
      </c>
      <c r="Z59" s="265" t="n">
        <v>78328000</v>
      </c>
      <c r="AA59" s="265" t="n">
        <v>76685000</v>
      </c>
      <c r="AC59" s="265" t="n">
        <v>74404000</v>
      </c>
      <c r="AD59" s="265" t="n">
        <v>71340000</v>
      </c>
    </row>
    <row r="60">
      <c r="A60" t="inlineStr">
        <is>
          <t>Outros passivos não circulantes (inclui IR a pagar LP) [us-gaap:OtherLiabilitiesNoncurrent] · fonte · unid. moeda</t>
        </is>
      </c>
      <c r="B60" t="n">
        <v>34</v>
      </c>
      <c r="C60" t="inlineStr">
        <is>
          <t>Other non-current liabilities</t>
        </is>
      </c>
      <c r="D60" s="265" t="n">
        <v>52953000</v>
      </c>
      <c r="E60" s="265" t="n">
        <v>52054000</v>
      </c>
      <c r="F60" s="265" t="n">
        <v>53325000</v>
      </c>
      <c r="G60" s="265" t="n">
        <v>55056000</v>
      </c>
      <c r="I60" s="265" t="n">
        <v>52432000</v>
      </c>
      <c r="J60" s="265" t="n">
        <v>53629000</v>
      </c>
      <c r="K60" s="265" t="n">
        <v>49142000</v>
      </c>
      <c r="L60" s="265" t="n">
        <v>53107000</v>
      </c>
      <c r="N60" s="265" t="n">
        <v>52886000</v>
      </c>
      <c r="O60" s="265" t="n">
        <v>51730000</v>
      </c>
      <c r="P60" s="265" t="n">
        <v>49848000</v>
      </c>
      <c r="Q60" s="265" t="n">
        <v>50353000</v>
      </c>
      <c r="S60" s="265" t="n">
        <v>47564000</v>
      </c>
      <c r="T60" s="265" t="n">
        <v>47084000</v>
      </c>
      <c r="U60" s="265" t="n">
        <v>45888000</v>
      </c>
      <c r="V60" s="265" t="n">
        <v>49006000</v>
      </c>
      <c r="X60" s="265" t="n">
        <v>41300000</v>
      </c>
      <c r="Y60" s="265" t="n">
        <v>42115000</v>
      </c>
      <c r="Z60" s="265" t="n">
        <v>41549000</v>
      </c>
      <c r="AA60" s="265" t="n">
        <v>52055000</v>
      </c>
      <c r="AC60" s="265" t="n">
        <v>55546000</v>
      </c>
      <c r="AD60" s="265" t="n">
        <v>55080000</v>
      </c>
    </row>
    <row r="61">
      <c r="A61" t="inlineStr">
        <is>
          <t>Ações ordinárias + capital adicional [us-gaap:CommonStocksIncludingAdditionalPaidInCapital] · fonte · unid. moeda</t>
        </is>
      </c>
      <c r="B61" t="n">
        <v>37</v>
      </c>
      <c r="C61" t="inlineStr">
        <is>
          <t>Common Stock and APIC</t>
        </is>
      </c>
      <c r="D61" s="265" t="n">
        <v>54203000</v>
      </c>
      <c r="E61" s="265" t="n">
        <v>54989000</v>
      </c>
      <c r="F61" s="265" t="n">
        <v>57365000</v>
      </c>
      <c r="G61" s="265" t="n">
        <v>58424000</v>
      </c>
      <c r="I61" s="265" t="n">
        <v>61181000</v>
      </c>
      <c r="J61" s="265" t="n">
        <v>62115000</v>
      </c>
      <c r="K61" s="265" t="n">
        <v>64849000</v>
      </c>
      <c r="L61" s="265" t="n">
        <v>66399000</v>
      </c>
      <c r="N61" s="265" t="n">
        <v>69568000</v>
      </c>
      <c r="O61" s="265" t="n">
        <v>70667000</v>
      </c>
      <c r="P61" s="265" t="n">
        <v>73812000</v>
      </c>
      <c r="Q61" s="265" t="n">
        <v>75236000</v>
      </c>
      <c r="S61" s="265" t="n">
        <v>78815000</v>
      </c>
      <c r="T61" s="265" t="n">
        <v>79850000</v>
      </c>
      <c r="U61" s="265" t="n">
        <v>83276000</v>
      </c>
      <c r="V61" s="265" t="n">
        <v>84768000</v>
      </c>
      <c r="X61" s="265" t="n">
        <v>88711000</v>
      </c>
      <c r="Y61" s="265" t="n">
        <v>89806000</v>
      </c>
      <c r="Z61" s="265" t="n">
        <v>93568000</v>
      </c>
      <c r="AA61" s="265" t="n">
        <v>95221000</v>
      </c>
      <c r="AC61" s="265" t="n">
        <v>99507000</v>
      </c>
      <c r="AD61" s="265" t="n">
        <v>100702000</v>
      </c>
    </row>
    <row r="62">
      <c r="A62" t="inlineStr">
        <is>
          <t>Outros resultados abrangentes acumulados [us-gaap:AccumulatedOtherComprehensiveIncomeLossNetOfTax] · fonte · unid. moeda</t>
        </is>
      </c>
      <c r="B62" t="n">
        <v>39</v>
      </c>
      <c r="C62" t="inlineStr">
        <is>
          <t>Comprehensive (accumulated) loss</t>
        </is>
      </c>
      <c r="D62" s="265" t="n">
        <v>-286000</v>
      </c>
      <c r="E62" s="265" t="n">
        <v>58000</v>
      </c>
      <c r="F62" s="265" t="n">
        <v>163000</v>
      </c>
      <c r="G62" s="265" t="n">
        <v>-927000</v>
      </c>
      <c r="I62" s="265" t="n">
        <v>-6494000</v>
      </c>
      <c r="J62" s="265" t="n">
        <v>-9297000</v>
      </c>
      <c r="K62" s="265" t="n">
        <v>-11109000</v>
      </c>
      <c r="L62" s="265" t="n">
        <v>-12912000</v>
      </c>
      <c r="N62" s="265" t="n">
        <v>-11746000</v>
      </c>
      <c r="O62" s="265" t="n">
        <v>-11801000</v>
      </c>
      <c r="P62" s="265" t="n">
        <v>-11452000</v>
      </c>
      <c r="Q62" s="265" t="n">
        <v>-9378000</v>
      </c>
      <c r="S62" s="265" t="n">
        <v>-8960000</v>
      </c>
      <c r="T62" s="265" t="n">
        <v>-8416000</v>
      </c>
      <c r="U62" s="265" t="n">
        <v>-7172000</v>
      </c>
      <c r="V62" s="265" t="n">
        <v>-6789000</v>
      </c>
      <c r="X62" s="265" t="n">
        <v>-6363000</v>
      </c>
      <c r="Y62" s="265" t="n">
        <v>-6369000</v>
      </c>
      <c r="Z62" s="265" t="n">
        <v>-5571000</v>
      </c>
      <c r="AA62" s="265" t="n">
        <v>-4854000</v>
      </c>
      <c r="AC62" s="265" t="n">
        <v>-5375000</v>
      </c>
      <c r="AD62" s="265" t="n">
        <v>-4508000</v>
      </c>
    </row>
    <row r="63">
      <c r="A63" t="inlineStr">
        <is>
          <t>Lucros retidos / (prejuízos acumulados) [us-gaap:RetainedEarningsAccumulatedDeficit] · fonte · unid. moeda</t>
        </is>
      </c>
      <c r="B63" t="n">
        <v>41</v>
      </c>
      <c r="C63" t="inlineStr">
        <is>
          <t>Retained earnings</t>
        </is>
      </c>
      <c r="D63" s="265" t="n">
        <v>15261000</v>
      </c>
      <c r="E63" s="265" t="n">
        <v>9233000</v>
      </c>
      <c r="F63" s="265" t="n">
        <v>5562000</v>
      </c>
      <c r="G63" s="265" t="n">
        <v>14435000</v>
      </c>
      <c r="I63" s="265" t="n">
        <v>12712000</v>
      </c>
      <c r="J63" s="265" t="n">
        <v>5289000</v>
      </c>
      <c r="K63" s="265" t="n">
        <v>-3068000</v>
      </c>
      <c r="L63" s="265" t="n">
        <v>3240000</v>
      </c>
      <c r="N63" s="265" t="n">
        <v>4336000</v>
      </c>
      <c r="O63" s="265" t="n">
        <v>1408000</v>
      </c>
      <c r="P63" s="265" t="n">
        <v>-214000</v>
      </c>
      <c r="Q63" s="265" t="n">
        <v>8242000</v>
      </c>
      <c r="S63" s="265" t="n">
        <v>4339000</v>
      </c>
      <c r="T63" s="265" t="n">
        <v>-4726000</v>
      </c>
      <c r="U63" s="265" t="n">
        <v>-19154000</v>
      </c>
      <c r="V63" s="265" t="n">
        <v>-11221000</v>
      </c>
      <c r="X63" s="265" t="n">
        <v>-15552000</v>
      </c>
      <c r="Y63" s="265" t="n">
        <v>-17607000</v>
      </c>
      <c r="Z63" s="265" t="n">
        <v>-14264000</v>
      </c>
      <c r="AA63" s="265" t="n">
        <v>-2177000</v>
      </c>
      <c r="AC63" s="265" t="n">
        <v>12359000</v>
      </c>
      <c r="AD63" s="265" t="n">
        <v>11326000</v>
      </c>
    </row>
    <row r="64">
      <c r="A64" t="inlineStr">
        <is>
          <t>Dívida CP marcada como OtherShortTermBorrowings nos 10-Q de mar/20 e jun/20 (linha de outros empréstimos de CP no balanço desses trimestres) [us-gaap:OtherShortTermBorrowings] · fonte · unid. moeda</t>
        </is>
      </c>
      <c r="B64" t="n">
        <v>27</v>
      </c>
      <c r="C64" t="inlineStr">
        <is>
          <t>Current portion of long-term debt</t>
        </is>
      </c>
      <c r="D64" s="265" t="n"/>
      <c r="E64" s="265" t="n"/>
      <c r="F64" s="265" t="n"/>
      <c r="G64" s="265" t="n"/>
      <c r="I64" s="265" t="n"/>
      <c r="J64" s="265" t="n"/>
      <c r="K64" s="265" t="n"/>
      <c r="L64" s="265" t="n"/>
      <c r="N64" s="265" t="n"/>
      <c r="O64" s="265" t="n"/>
      <c r="P64" s="265" t="n"/>
      <c r="Q64" s="265" t="n"/>
      <c r="S64" s="265" t="n"/>
      <c r="T64" s="265" t="n"/>
      <c r="U64" s="265" t="n"/>
      <c r="V64" s="265" t="n"/>
      <c r="X64" s="265" t="n"/>
      <c r="Y64" s="265" t="n"/>
      <c r="Z64" s="265" t="n"/>
      <c r="AA64" s="265" t="n"/>
      <c r="AC64" s="265" t="n"/>
      <c r="AD64" s="265" t="n"/>
    </row>
    <row r="65">
      <c r="A65" t="inlineStr">
        <is>
          <t>BALANÇO - totais divulgados (memória)</t>
        </is>
      </c>
      <c r="C65" t="inlineStr">
        <is>
          <t>[linha bruta, sem código; lançada nas linhas abaixo]</t>
        </is>
      </c>
      <c r="D65" s="265" t="n"/>
      <c r="E65" s="265" t="n"/>
      <c r="F65" s="265" t="n"/>
      <c r="G65" s="265" t="n"/>
      <c r="I65" s="265" t="n"/>
      <c r="J65" s="265" t="n"/>
      <c r="K65" s="265" t="n"/>
      <c r="L65" s="265" t="n"/>
      <c r="N65" s="265" t="n"/>
      <c r="O65" s="265" t="n"/>
      <c r="P65" s="265" t="n"/>
      <c r="Q65" s="265" t="n"/>
      <c r="S65" s="265" t="n"/>
      <c r="T65" s="265" t="n"/>
      <c r="U65" s="265" t="n"/>
      <c r="V65" s="265" t="n"/>
      <c r="X65" s="265" t="n"/>
      <c r="Y65" s="265" t="n"/>
      <c r="Z65" s="265" t="n"/>
      <c r="AA65" s="265" t="n"/>
      <c r="AC65" s="265" t="n"/>
      <c r="AD65" s="265" t="n"/>
    </row>
    <row r="66">
      <c r="A66" t="inlineStr">
        <is>
          <t>Total do ativo [us-gaap:Assets] · memoria · unid. moeda</t>
        </is>
      </c>
      <c r="C66" t="inlineStr">
        <is>
          <t>[linha bruta, sem código; lançada nas linhas abaixo]</t>
        </is>
      </c>
      <c r="D66" s="265" t="n">
        <v>337158000</v>
      </c>
      <c r="E66" s="265" t="n">
        <v>329840000</v>
      </c>
      <c r="F66" s="265" t="n">
        <v>351002000</v>
      </c>
      <c r="G66" s="265" t="n">
        <v>381191000</v>
      </c>
      <c r="I66" s="265" t="n">
        <v>350662000</v>
      </c>
      <c r="J66" s="265" t="n">
        <v>336309000</v>
      </c>
      <c r="K66" s="265" t="n">
        <v>352755000</v>
      </c>
      <c r="L66" s="265" t="n">
        <v>346747000</v>
      </c>
      <c r="N66" s="265" t="n">
        <v>332160000</v>
      </c>
      <c r="O66" s="265" t="n">
        <v>335038000</v>
      </c>
      <c r="P66" s="265" t="n">
        <v>352583000</v>
      </c>
      <c r="Q66" s="265" t="n">
        <v>353514000</v>
      </c>
      <c r="S66" s="265" t="n">
        <v>337411000</v>
      </c>
      <c r="T66" s="265" t="n">
        <v>331612000</v>
      </c>
      <c r="U66" s="265" t="n">
        <v>364980000</v>
      </c>
      <c r="V66" s="265" t="n">
        <v>344085000</v>
      </c>
      <c r="X66" s="265" t="n">
        <v>331233000</v>
      </c>
      <c r="Y66" s="265" t="n">
        <v>331495000</v>
      </c>
      <c r="Z66" s="265" t="n">
        <v>359241000</v>
      </c>
      <c r="AA66" s="265" t="n">
        <v>379297000</v>
      </c>
      <c r="AC66" s="265" t="n">
        <v>371082000</v>
      </c>
      <c r="AD66" s="265" t="n">
        <v>383266000</v>
      </c>
    </row>
    <row r="67">
      <c r="A67" t="inlineStr">
        <is>
          <t>Total do passivo [us-gaap:Liabilities] · memoria · unid. moeda</t>
        </is>
      </c>
      <c r="C67" t="inlineStr">
        <is>
          <t>[linha bruta, sem código; lançada nas linhas abaixo]</t>
        </is>
      </c>
      <c r="D67" s="265" t="n">
        <v>267980000</v>
      </c>
      <c r="E67" s="265" t="n">
        <v>265560000</v>
      </c>
      <c r="F67" s="265" t="n">
        <v>287912000</v>
      </c>
      <c r="G67" s="265" t="n">
        <v>309259000</v>
      </c>
      <c r="I67" s="265" t="n">
        <v>283263000</v>
      </c>
      <c r="J67" s="265" t="n">
        <v>278202000</v>
      </c>
      <c r="K67" s="265" t="n">
        <v>302083000</v>
      </c>
      <c r="L67" s="265" t="n">
        <v>290020000</v>
      </c>
      <c r="N67" s="265" t="n">
        <v>270002000</v>
      </c>
      <c r="O67" s="265" t="n">
        <v>274764000</v>
      </c>
      <c r="P67" s="265" t="n">
        <v>290437000</v>
      </c>
      <c r="Q67" s="265" t="n">
        <v>279414000</v>
      </c>
      <c r="S67" s="265" t="n">
        <v>263217000</v>
      </c>
      <c r="T67" s="265" t="n">
        <v>264904000</v>
      </c>
      <c r="U67" s="265" t="n">
        <v>308030000</v>
      </c>
      <c r="V67" s="265" t="n">
        <v>277327000</v>
      </c>
      <c r="X67" s="265" t="n">
        <v>264437000</v>
      </c>
      <c r="Y67" s="265" t="n">
        <v>265665000</v>
      </c>
      <c r="Z67" s="265" t="n">
        <v>285508000</v>
      </c>
      <c r="AA67" s="265" t="n">
        <v>291107000</v>
      </c>
      <c r="AC67" s="265" t="n">
        <v>264591000</v>
      </c>
      <c r="AD67" s="265" t="n">
        <v>275746000</v>
      </c>
    </row>
    <row r="68">
      <c r="A68" t="inlineStr">
        <is>
          <t>Total do PL [us-gaap:StockholdersEquity] · memoria · unid. moeda</t>
        </is>
      </c>
      <c r="C68" t="inlineStr">
        <is>
          <t>[linha bruta, sem código; lançada nas linhas abaixo]</t>
        </is>
      </c>
      <c r="D68" s="265" t="n">
        <v>69178000</v>
      </c>
      <c r="E68" s="265" t="n">
        <v>64280000</v>
      </c>
      <c r="F68" s="265" t="n">
        <v>63090000</v>
      </c>
      <c r="G68" s="265" t="n">
        <v>71932000</v>
      </c>
      <c r="I68" s="265" t="n">
        <v>67399000</v>
      </c>
      <c r="J68" s="265" t="n">
        <v>58107000</v>
      </c>
      <c r="K68" s="265" t="n">
        <v>50672000</v>
      </c>
      <c r="L68" s="265" t="n">
        <v>56727000</v>
      </c>
      <c r="N68" s="265" t="n">
        <v>62158000</v>
      </c>
      <c r="O68" s="265" t="n">
        <v>60274000</v>
      </c>
      <c r="P68" s="265" t="n">
        <v>62146000</v>
      </c>
      <c r="Q68" s="265" t="n">
        <v>74100000</v>
      </c>
      <c r="S68" s="265" t="n">
        <v>74194000</v>
      </c>
      <c r="T68" s="265" t="n">
        <v>66708000</v>
      </c>
      <c r="U68" s="265" t="n">
        <v>56950000</v>
      </c>
      <c r="V68" s="265" t="n">
        <v>66758000</v>
      </c>
      <c r="X68" s="265" t="n">
        <v>66796000</v>
      </c>
      <c r="Y68" s="265" t="n">
        <v>65830000</v>
      </c>
      <c r="Z68" s="265" t="n">
        <v>73733000</v>
      </c>
      <c r="AA68" s="265" t="n">
        <v>88190000</v>
      </c>
      <c r="AC68" s="265" t="n">
        <v>106491000</v>
      </c>
      <c r="AD68" s="265" t="n">
        <v>107520000</v>
      </c>
    </row>
    <row r="69">
      <c r="A69" t="inlineStr">
        <is>
          <t>CHECKS (devem ser 0)</t>
        </is>
      </c>
      <c r="C69" t="inlineStr">
        <is>
          <t>[linha bruta, sem código; lançada nas linhas abaixo]</t>
        </is>
      </c>
      <c r="D69" s="265" t="n"/>
      <c r="E69" s="265" t="n"/>
      <c r="F69" s="265" t="n"/>
      <c r="G69" s="265" t="n"/>
      <c r="I69" s="265" t="n"/>
      <c r="J69" s="265" t="n"/>
      <c r="K69" s="265" t="n"/>
      <c r="L69" s="265" t="n"/>
      <c r="N69" s="265" t="n"/>
      <c r="O69" s="265" t="n"/>
      <c r="P69" s="265" t="n"/>
      <c r="Q69" s="265" t="n"/>
      <c r="S69" s="265" t="n"/>
      <c r="T69" s="265" t="n"/>
      <c r="U69" s="265" t="n"/>
      <c r="V69" s="265" t="n"/>
      <c r="X69" s="265" t="n"/>
      <c r="Y69" s="265" t="n"/>
      <c r="Z69" s="265" t="n"/>
      <c r="AA69" s="265" t="n"/>
      <c r="AC69" s="265" t="n"/>
      <c r="AD69" s="265" t="n"/>
    </row>
    <row r="70">
      <c r="A70" t="inlineStr">
        <is>
          <t>CHECK: contas de ativo - ativo total (USD, arredondado a 100 mil) · derivada · unid. moeda</t>
        </is>
      </c>
      <c r="C70" t="inlineStr">
        <is>
          <t>[linha bruta, sem código; lançada nas linhas abaixo]</t>
        </is>
      </c>
      <c r="D70" s="265">
        <f>ROUND(N(D44)+N(D45)+N(D46)+N(D47)+N(D48)+N(D49)+N(D50)+N(D51)+N(D52)+N(D53)-N(D66),-2)</f>
        <v>0</v>
      </c>
      <c r="E70" s="265">
        <f>ROUND(N(E44)+N(E45)+N(E46)+N(E47)+N(E48)+N(E49)+N(E50)+N(E51)+N(E52)+N(E53)-N(E66),-2)</f>
        <v>0</v>
      </c>
      <c r="F70" s="265">
        <f>ROUND(N(F44)+N(F45)+N(F46)+N(F47)+N(F48)+N(F49)+N(F50)+N(F51)+N(F52)+N(F53)-N(F66),-2)</f>
        <v>0</v>
      </c>
      <c r="G70" s="265">
        <f>ROUND(N(G44)+N(G45)+N(G46)+N(G47)+N(G48)+N(G49)+N(G50)+N(G51)+N(G52)+N(G53)-N(G66),-2)</f>
        <v>0</v>
      </c>
      <c r="I70" s="265">
        <f>ROUND(N(I44)+N(I45)+N(I46)+N(I47)+N(I48)+N(I49)+N(I50)+N(I51)+N(I52)+N(I53)-N(I66),-2)</f>
        <v>0</v>
      </c>
      <c r="J70" s="265">
        <f>ROUND(N(J44)+N(J45)+N(J46)+N(J47)+N(J48)+N(J49)+N(J50)+N(J51)+N(J52)+N(J53)-N(J66),-2)</f>
        <v>0</v>
      </c>
      <c r="K70" s="265">
        <f>ROUND(N(K44)+N(K45)+N(K46)+N(K47)+N(K48)+N(K49)+N(K50)+N(K51)+N(K52)+N(K53)-N(K66),-2)</f>
        <v>0</v>
      </c>
      <c r="L70" s="265">
        <f>ROUND(N(L44)+N(L45)+N(L46)+N(L47)+N(L48)+N(L49)+N(L50)+N(L51)+N(L52)+N(L53)-N(L66),-2)</f>
        <v>0</v>
      </c>
      <c r="N70" s="265">
        <f>ROUND(N(N44)+N(N45)+N(N46)+N(N47)+N(N48)+N(N49)+N(N50)+N(N51)+N(N52)+N(N53)-N(N66),-2)</f>
        <v>0</v>
      </c>
      <c r="O70" s="265">
        <f>ROUND(N(O44)+N(O45)+N(O46)+N(O47)+N(O48)+N(O49)+N(O50)+N(O51)+N(O52)+N(O53)-N(O66),-2)</f>
        <v>0</v>
      </c>
      <c r="P70" s="265">
        <f>ROUND(N(P44)+N(P45)+N(P46)+N(P47)+N(P48)+N(P49)+N(P50)+N(P51)+N(P52)+N(P53)-N(P66),-2)</f>
        <v>0</v>
      </c>
      <c r="Q70" s="265">
        <f>ROUND(N(Q44)+N(Q45)+N(Q46)+N(Q47)+N(Q48)+N(Q49)+N(Q50)+N(Q51)+N(Q52)+N(Q53)-N(Q66),-2)</f>
        <v>0</v>
      </c>
      <c r="S70" s="265">
        <f>ROUND(N(S44)+N(S45)+N(S46)+N(S47)+N(S48)+N(S49)+N(S50)+N(S51)+N(S52)+N(S53)-N(S66),-2)</f>
        <v>0</v>
      </c>
      <c r="T70" s="265">
        <f>ROUND(N(T44)+N(T45)+N(T46)+N(T47)+N(T48)+N(T49)+N(T50)+N(T51)+N(T52)+N(T53)-N(T66),-2)</f>
        <v>0</v>
      </c>
      <c r="U70" s="265">
        <f>ROUND(N(U44)+N(U45)+N(U46)+N(U47)+N(U48)+N(U49)+N(U50)+N(U51)+N(U52)+N(U53)-N(U66),-2)</f>
        <v>0</v>
      </c>
      <c r="V70" s="265">
        <f>ROUND(N(V44)+N(V45)+N(V46)+N(V47)+N(V48)+N(V49)+N(V50)+N(V51)+N(V52)+N(V53)-N(V66),-2)</f>
        <v>0</v>
      </c>
      <c r="X70" s="265">
        <f>ROUND(N(X44)+N(X45)+N(X46)+N(X47)+N(X48)+N(X49)+N(X50)+N(X51)+N(X52)+N(X53)-N(X66),-2)</f>
        <v>0</v>
      </c>
      <c r="Y70" s="265">
        <f>ROUND(N(Y44)+N(Y45)+N(Y46)+N(Y47)+N(Y48)+N(Y49)+N(Y50)+N(Y51)+N(Y52)+N(Y53)-N(Y66),-2)</f>
        <v>0</v>
      </c>
      <c r="Z70" s="265">
        <f>ROUND(N(Z44)+N(Z45)+N(Z46)+N(Z47)+N(Z48)+N(Z49)+N(Z50)+N(Z51)+N(Z52)+N(Z53)-N(Z66),-2)</f>
        <v>0</v>
      </c>
      <c r="AA70" s="265">
        <f>ROUND(N(AA44)+N(AA45)+N(AA46)+N(AA47)+N(AA48)+N(AA49)+N(AA50)+N(AA51)+N(AA52)+N(AA53)-N(AA66),-2)</f>
        <v>0</v>
      </c>
      <c r="AC70" s="265">
        <f>ROUND(N(AC44)+N(AC45)+N(AC46)+N(AC47)+N(AC48)+N(AC49)+N(AC50)+N(AC51)+N(AC52)+N(AC53)-N(AC66),-2)</f>
        <v>0</v>
      </c>
      <c r="AD70" s="265">
        <f>ROUND(N(AD44)+N(AD45)+N(AD46)+N(AD47)+N(AD48)+N(AD49)+N(AD50)+N(AD51)+N(AD52)+N(AD53)-N(AD66),-2)</f>
        <v>0</v>
      </c>
    </row>
    <row r="71">
      <c r="A71" t="inlineStr">
        <is>
          <t>CHECK: contas de passivo - passivo total · derivada · unid. moeda</t>
        </is>
      </c>
      <c r="C71" t="inlineStr">
        <is>
          <t>[linha bruta, sem código; lançada nas linhas abaixo]</t>
        </is>
      </c>
      <c r="D71" s="265">
        <f>ROUND(N(D54)+N(D55)+N(D56)+N(D57)+N(D58)+N(D59)+N(D60)+N(D64)-N(D67),-2)</f>
        <v>0</v>
      </c>
      <c r="E71" s="265">
        <f>ROUND(N(E54)+N(E55)+N(E56)+N(E57)+N(E58)+N(E59)+N(E60)+N(E64)-N(E67),-2)</f>
        <v>0</v>
      </c>
      <c r="F71" s="265">
        <f>ROUND(N(F54)+N(F55)+N(F56)+N(F57)+N(F58)+N(F59)+N(F60)+N(F64)-N(F67),-2)</f>
        <v>0</v>
      </c>
      <c r="G71" s="265">
        <f>ROUND(N(G54)+N(G55)+N(G56)+N(G57)+N(G58)+N(G59)+N(G60)+N(G64)-N(G67),-2)</f>
        <v>0</v>
      </c>
      <c r="I71" s="265">
        <f>ROUND(N(I54)+N(I55)+N(I56)+N(I57)+N(I58)+N(I59)+N(I60)+N(I64)-N(I67),-2)</f>
        <v>0</v>
      </c>
      <c r="J71" s="265">
        <f>ROUND(N(J54)+N(J55)+N(J56)+N(J57)+N(J58)+N(J59)+N(J60)+N(J64)-N(J67),-2)</f>
        <v>0</v>
      </c>
      <c r="K71" s="265">
        <f>ROUND(N(K54)+N(K55)+N(K56)+N(K57)+N(K58)+N(K59)+N(K60)+N(K64)-N(K67),-2)</f>
        <v>0</v>
      </c>
      <c r="L71" s="265">
        <f>ROUND(N(L54)+N(L55)+N(L56)+N(L57)+N(L58)+N(L59)+N(L60)+N(L64)-N(L67),-2)</f>
        <v>0</v>
      </c>
      <c r="N71" s="265">
        <f>ROUND(N(N54)+N(N55)+N(N56)+N(N57)+N(N58)+N(N59)+N(N60)+N(N64)-N(N67),-2)</f>
        <v>0</v>
      </c>
      <c r="O71" s="265">
        <f>ROUND(N(O54)+N(O55)+N(O56)+N(O57)+N(O58)+N(O59)+N(O60)+N(O64)-N(O67),-2)</f>
        <v>0</v>
      </c>
      <c r="P71" s="265">
        <f>ROUND(N(P54)+N(P55)+N(P56)+N(P57)+N(P58)+N(P59)+N(P60)+N(P64)-N(P67),-2)</f>
        <v>0</v>
      </c>
      <c r="Q71" s="265">
        <f>ROUND(N(Q54)+N(Q55)+N(Q56)+N(Q57)+N(Q58)+N(Q59)+N(Q60)+N(Q64)-N(Q67),-2)</f>
        <v>0</v>
      </c>
      <c r="S71" s="265">
        <f>ROUND(N(S54)+N(S55)+N(S56)+N(S57)+N(S58)+N(S59)+N(S60)+N(S64)-N(S67),-2)</f>
        <v>0</v>
      </c>
      <c r="T71" s="265">
        <f>ROUND(N(T54)+N(T55)+N(T56)+N(T57)+N(T58)+N(T59)+N(T60)+N(T64)-N(T67),-2)</f>
        <v>0</v>
      </c>
      <c r="U71" s="265">
        <f>ROUND(N(U54)+N(U55)+N(U56)+N(U57)+N(U58)+N(U59)+N(U60)+N(U64)-N(U67),-2)</f>
        <v>0</v>
      </c>
      <c r="V71" s="265">
        <f>ROUND(N(V54)+N(V55)+N(V56)+N(V57)+N(V58)+N(V59)+N(V60)+N(V64)-N(V67),-2)</f>
        <v>0</v>
      </c>
      <c r="X71" s="265">
        <f>ROUND(N(X54)+N(X55)+N(X56)+N(X57)+N(X58)+N(X59)+N(X60)+N(X64)-N(X67),-2)</f>
        <v>0</v>
      </c>
      <c r="Y71" s="265">
        <f>ROUND(N(Y54)+N(Y55)+N(Y56)+N(Y57)+N(Y58)+N(Y59)+N(Y60)+N(Y64)-N(Y67),-2)</f>
        <v>0</v>
      </c>
      <c r="Z71" s="265">
        <f>ROUND(N(Z54)+N(Z55)+N(Z56)+N(Z57)+N(Z58)+N(Z59)+N(Z60)+N(Z64)-N(Z67),-2)</f>
        <v>0</v>
      </c>
      <c r="AA71" s="265">
        <f>ROUND(N(AA54)+N(AA55)+N(AA56)+N(AA57)+N(AA58)+N(AA59)+N(AA60)+N(AA64)-N(AA67),-2)</f>
        <v>0</v>
      </c>
      <c r="AC71" s="265">
        <f>ROUND(N(AC54)+N(AC55)+N(AC56)+N(AC57)+N(AC58)+N(AC59)+N(AC60)+N(AC64)-N(AC67),-2)</f>
        <v>0</v>
      </c>
      <c r="AD71" s="265">
        <f>ROUND(N(AD54)+N(AD55)+N(AD56)+N(AD57)+N(AD58)+N(AD59)+N(AD60)+N(AD64)-N(AD67),-2)</f>
        <v>0</v>
      </c>
    </row>
    <row r="72">
      <c r="A72" t="inlineStr">
        <is>
          <t>CHECK: contas de PL - PL total · derivada · unid. moeda</t>
        </is>
      </c>
      <c r="C72" t="inlineStr">
        <is>
          <t>[linha bruta, sem código; lançada nas linhas abaixo]</t>
        </is>
      </c>
      <c r="D72" s="265">
        <f>ROUND(N(D61)+N(D62)+N(D63)-N(D68),-2)</f>
        <v>0</v>
      </c>
      <c r="E72" s="265">
        <f>ROUND(N(E61)+N(E62)+N(E63)-N(E68),-2)</f>
        <v>0</v>
      </c>
      <c r="F72" s="265">
        <f>ROUND(N(F61)+N(F62)+N(F63)-N(F68),-2)</f>
        <v>0</v>
      </c>
      <c r="G72" s="265">
        <f>ROUND(N(G61)+N(G62)+N(G63)-N(G68),-2)</f>
        <v>0</v>
      </c>
      <c r="I72" s="265">
        <f>ROUND(N(I61)+N(I62)+N(I63)-N(I68),-2)</f>
        <v>0</v>
      </c>
      <c r="J72" s="265">
        <f>ROUND(N(J61)+N(J62)+N(J63)-N(J68),-2)</f>
        <v>0</v>
      </c>
      <c r="K72" s="265">
        <f>ROUND(N(K61)+N(K62)+N(K63)-N(K68),-2)</f>
        <v>0</v>
      </c>
      <c r="L72" s="265">
        <f>ROUND(N(L61)+N(L62)+N(L63)-N(L68),-2)</f>
        <v>0</v>
      </c>
      <c r="N72" s="265">
        <f>ROUND(N(N61)+N(N62)+N(N63)-N(N68),-2)</f>
        <v>0</v>
      </c>
      <c r="O72" s="265">
        <f>ROUND(N(O61)+N(O62)+N(O63)-N(O68),-2)</f>
        <v>0</v>
      </c>
      <c r="P72" s="265">
        <f>ROUND(N(P61)+N(P62)+N(P63)-N(P68),-2)</f>
        <v>0</v>
      </c>
      <c r="Q72" s="265">
        <f>ROUND(N(Q61)+N(Q62)+N(Q63)-N(Q68),-2)</f>
        <v>0</v>
      </c>
      <c r="S72" s="265">
        <f>ROUND(N(S61)+N(S62)+N(S63)-N(S68),-2)</f>
        <v>0</v>
      </c>
      <c r="T72" s="265">
        <f>ROUND(N(T61)+N(T62)+N(T63)-N(T68),-2)</f>
        <v>0</v>
      </c>
      <c r="U72" s="265">
        <f>ROUND(N(U61)+N(U62)+N(U63)-N(U68),-2)</f>
        <v>0</v>
      </c>
      <c r="V72" s="265">
        <f>ROUND(N(V61)+N(V62)+N(V63)-N(V68),-2)</f>
        <v>0</v>
      </c>
      <c r="X72" s="265">
        <f>ROUND(N(X61)+N(X62)+N(X63)-N(X68),-2)</f>
        <v>0</v>
      </c>
      <c r="Y72" s="265">
        <f>ROUND(N(Y61)+N(Y62)+N(Y63)-N(Y68),-2)</f>
        <v>0</v>
      </c>
      <c r="Z72" s="265">
        <f>ROUND(N(Z61)+N(Z62)+N(Z63)-N(Z68),-2)</f>
        <v>0</v>
      </c>
      <c r="AA72" s="265">
        <f>ROUND(N(AA61)+N(AA62)+N(AA63)-N(AA68),-2)</f>
        <v>0</v>
      </c>
      <c r="AC72" s="265">
        <f>ROUND(N(AC61)+N(AC62)+N(AC63)-N(AC68),-2)</f>
        <v>0</v>
      </c>
      <c r="AD72" s="265">
        <f>ROUND(N(AD61)+N(AD62)+N(AD63)-N(AD68),-2)</f>
        <v>0</v>
      </c>
    </row>
    <row r="73">
      <c r="A73" t="inlineStr">
        <is>
          <t>CHECK: receita - custo - despesas + outras - IR - lucro (deve ser 0) · derivada</t>
        </is>
      </c>
      <c r="C73" t="inlineStr">
        <is>
          <t>[linha bruta, sem código; lançada nas linhas abaixo]</t>
        </is>
      </c>
      <c r="D73" s="265">
        <f>ROUND(N(D24)-N(D25)-N(D27)+N(D29)-N(D30)-N(D32),-2)</f>
        <v>0</v>
      </c>
      <c r="E73" s="265">
        <f>ROUND(N(E24)-N(E25)-N(E27)+N(E29)-N(E30)-N(E32),-2)</f>
        <v>0</v>
      </c>
      <c r="F73" s="265">
        <f>ROUND(N(F24)-N(F25)-N(F27)+N(F29)-N(F30)-N(F32),-2)</f>
        <v>0</v>
      </c>
      <c r="G73" s="265">
        <f>ROUND(N(G24)-N(G25)-N(G27)+N(G29)-N(G30)-N(G32),-2)</f>
        <v>0</v>
      </c>
      <c r="I73" s="265">
        <f>ROUND(N(I24)-N(I25)-N(I27)+N(I29)-N(I30)-N(I32),-2)</f>
        <v>0</v>
      </c>
      <c r="J73" s="265">
        <f>ROUND(N(J24)-N(J25)-N(J27)+N(J29)-N(J30)-N(J32),-2)</f>
        <v>0</v>
      </c>
      <c r="K73" s="265">
        <f>ROUND(N(K24)-N(K25)-N(K27)+N(K29)-N(K30)-N(K32),-2)</f>
        <v>0</v>
      </c>
      <c r="L73" s="265">
        <f>ROUND(N(L24)-N(L25)-N(L27)+N(L29)-N(L30)-N(L32),-2)</f>
        <v>0</v>
      </c>
      <c r="N73" s="265">
        <f>ROUND(N(N24)-N(N25)-N(N27)+N(N29)-N(N30)-N(N32),-2)</f>
        <v>0</v>
      </c>
      <c r="O73" s="265">
        <f>ROUND(N(O24)-N(O25)-N(O27)+N(O29)-N(O30)-N(O32),-2)</f>
        <v>0</v>
      </c>
      <c r="P73" s="265">
        <f>ROUND(N(P24)-N(P25)-N(P27)+N(P29)-N(P30)-N(P32),-2)</f>
        <v>0</v>
      </c>
      <c r="Q73" s="265">
        <f>ROUND(N(Q24)-N(Q25)-N(Q27)+N(Q29)-N(Q30)-N(Q32),-2)</f>
        <v>0</v>
      </c>
      <c r="S73" s="265">
        <f>ROUND(N(S24)-N(S25)-N(S27)+N(S29)-N(S30)-N(S32),-2)</f>
        <v>0</v>
      </c>
      <c r="T73" s="265">
        <f>ROUND(N(T24)-N(T25)-N(T27)+N(T29)-N(T30)-N(T32),-2)</f>
        <v>0</v>
      </c>
      <c r="U73" s="265">
        <f>ROUND(N(U24)-N(U25)-N(U27)+N(U29)-N(U30)-N(U32),-2)</f>
        <v>0</v>
      </c>
      <c r="V73" s="265">
        <f>ROUND(N(V24)-N(V25)-N(V27)+N(V29)-N(V30)-N(V32),-2)</f>
        <v>0</v>
      </c>
      <c r="X73" s="265">
        <f>ROUND(N(X24)-N(X25)-N(X27)+N(X29)-N(X30)-N(X32),-2)</f>
        <v>0</v>
      </c>
      <c r="Y73" s="265">
        <f>ROUND(N(Y24)-N(Y25)-N(Y27)+N(Y29)-N(Y30)-N(Y32),-2)</f>
        <v>0</v>
      </c>
      <c r="Z73" s="265">
        <f>ROUND(N(Z24)-N(Z25)-N(Z27)+N(Z29)-N(Z30)-N(Z32),-2)</f>
        <v>0</v>
      </c>
      <c r="AA73" s="265">
        <f>ROUND(N(AA24)-N(AA25)-N(AA27)+N(AA29)-N(AA30)-N(AA32),-2)</f>
        <v>0</v>
      </c>
      <c r="AC73" s="265">
        <f>ROUND(N(AC24)-N(AC25)-N(AC27)+N(AC29)-N(AC30)-N(AC32),-2)</f>
        <v>0</v>
      </c>
      <c r="AD73" s="265">
        <f>ROUND(N(AD24)-N(AD25)-N(AD27)+N(AD29)-N(AD30)-N(AD32),-2)</f>
        <v>0</v>
      </c>
    </row>
    <row r="74">
      <c r="A74" t="inlineStr">
        <is>
          <t>[vazio] cod 5 Interest expense: a Apple não abre juros trimestrais na DRE (dentro de outras receitas, cod 6)</t>
        </is>
      </c>
      <c r="C74" t="inlineStr">
        <is>
          <t>[linha bruta, sem código; lançada nas linhas abaixo]</t>
        </is>
      </c>
      <c r="D74" s="265" t="n"/>
      <c r="E74" s="265" t="n"/>
      <c r="F74" s="265" t="n"/>
      <c r="G74" s="265" t="n"/>
      <c r="I74" s="265" t="n"/>
      <c r="J74" s="265" t="n"/>
      <c r="K74" s="265" t="n"/>
      <c r="L74" s="265" t="n"/>
      <c r="N74" s="265" t="n"/>
      <c r="O74" s="265" t="n"/>
      <c r="P74" s="265" t="n"/>
      <c r="Q74" s="265" t="n"/>
      <c r="S74" s="265" t="n"/>
      <c r="T74" s="265" t="n"/>
      <c r="U74" s="265" t="n"/>
      <c r="V74" s="265" t="n"/>
      <c r="X74" s="265" t="n"/>
      <c r="Y74" s="265" t="n"/>
      <c r="Z74" s="265" t="n"/>
      <c r="AA74" s="265" t="n"/>
      <c r="AC74" s="265" t="n"/>
      <c r="AD74" s="265" t="n"/>
    </row>
    <row r="75">
      <c r="A75" t="inlineStr">
        <is>
          <t>[vazio] cod 8 Equity in affiliates: inexistente</t>
        </is>
      </c>
      <c r="C75" t="inlineStr">
        <is>
          <t>[linha bruta, sem código; lançada nas linhas abaixo]</t>
        </is>
      </c>
      <c r="D75" s="265" t="n"/>
      <c r="E75" s="265" t="n"/>
      <c r="F75" s="265" t="n"/>
      <c r="G75" s="265" t="n"/>
      <c r="I75" s="265" t="n"/>
      <c r="J75" s="265" t="n"/>
      <c r="K75" s="265" t="n"/>
      <c r="L75" s="265" t="n"/>
      <c r="N75" s="265" t="n"/>
      <c r="O75" s="265" t="n"/>
      <c r="P75" s="265" t="n"/>
      <c r="Q75" s="265" t="n"/>
      <c r="S75" s="265" t="n"/>
      <c r="T75" s="265" t="n"/>
      <c r="U75" s="265" t="n"/>
      <c r="V75" s="265" t="n"/>
      <c r="X75" s="265" t="n"/>
      <c r="Y75" s="265" t="n"/>
      <c r="Z75" s="265" t="n"/>
      <c r="AA75" s="265" t="n"/>
      <c r="AC75" s="265" t="n"/>
      <c r="AD75" s="265" t="n"/>
    </row>
    <row r="76">
      <c r="A76" t="inlineStr">
        <is>
          <t>[vazio] cod 9 Minority interest: inexistente</t>
        </is>
      </c>
      <c r="C76" t="inlineStr">
        <is>
          <t>[linha bruta, sem código; lançada nas linhas abaixo]</t>
        </is>
      </c>
      <c r="D76" s="265" t="n"/>
      <c r="E76" s="265" t="n"/>
      <c r="F76" s="265" t="n"/>
      <c r="G76" s="265" t="n"/>
      <c r="I76" s="265" t="n"/>
      <c r="J76" s="265" t="n"/>
      <c r="K76" s="265" t="n"/>
      <c r="L76" s="265" t="n"/>
      <c r="N76" s="265" t="n"/>
      <c r="O76" s="265" t="n"/>
      <c r="P76" s="265" t="n"/>
      <c r="Q76" s="265" t="n"/>
      <c r="S76" s="265" t="n"/>
      <c r="T76" s="265" t="n"/>
      <c r="U76" s="265" t="n"/>
      <c r="V76" s="265" t="n"/>
      <c r="X76" s="265" t="n"/>
      <c r="Y76" s="265" t="n"/>
      <c r="Z76" s="265" t="n"/>
      <c r="AA76" s="265" t="n"/>
      <c r="AC76" s="265" t="n"/>
      <c r="AD76" s="265" t="n"/>
    </row>
    <row r="77">
      <c r="A77" t="inlineStr">
        <is>
          <t>[vazio] cod 14 IR diferido ativo: dentro de outros ativos não circulantes</t>
        </is>
      </c>
      <c r="C77" t="inlineStr">
        <is>
          <t>[linha bruta, sem código; lançada nas linhas abaixo]</t>
        </is>
      </c>
      <c r="D77" s="265" t="n"/>
      <c r="E77" s="265" t="n"/>
      <c r="F77" s="265" t="n"/>
      <c r="G77" s="265" t="n"/>
      <c r="I77" s="265" t="n"/>
      <c r="J77" s="265" t="n"/>
      <c r="K77" s="265" t="n"/>
      <c r="L77" s="265" t="n"/>
      <c r="N77" s="265" t="n"/>
      <c r="O77" s="265" t="n"/>
      <c r="P77" s="265" t="n"/>
      <c r="Q77" s="265" t="n"/>
      <c r="S77" s="265" t="n"/>
      <c r="T77" s="265" t="n"/>
      <c r="U77" s="265" t="n"/>
      <c r="V77" s="265" t="n"/>
      <c r="X77" s="265" t="n"/>
      <c r="Y77" s="265" t="n"/>
      <c r="Z77" s="265" t="n"/>
      <c r="AA77" s="265" t="n"/>
      <c r="AC77" s="265" t="n"/>
      <c r="AD77" s="265" t="n"/>
    </row>
    <row r="78">
      <c r="A78" t="inlineStr">
        <is>
          <t>[vazio] cod 15 Prepaid: dentro de outros ativos circulantes</t>
        </is>
      </c>
      <c r="C78" t="inlineStr">
        <is>
          <t>[linha bruta, sem código; lançada nas linhas abaixo]</t>
        </is>
      </c>
      <c r="D78" s="265" t="n"/>
      <c r="E78" s="265" t="n"/>
      <c r="F78" s="265" t="n"/>
      <c r="G78" s="265" t="n"/>
      <c r="I78" s="265" t="n"/>
      <c r="J78" s="265" t="n"/>
      <c r="K78" s="265" t="n"/>
      <c r="L78" s="265" t="n"/>
      <c r="N78" s="265" t="n"/>
      <c r="O78" s="265" t="n"/>
      <c r="P78" s="265" t="n"/>
      <c r="Q78" s="265" t="n"/>
      <c r="S78" s="265" t="n"/>
      <c r="T78" s="265" t="n"/>
      <c r="U78" s="265" t="n"/>
      <c r="V78" s="265" t="n"/>
      <c r="X78" s="265" t="n"/>
      <c r="Y78" s="265" t="n"/>
      <c r="Z78" s="265" t="n"/>
      <c r="AA78" s="265" t="n"/>
      <c r="AC78" s="265" t="n"/>
      <c r="AD78" s="265" t="n"/>
    </row>
    <row r="79">
      <c r="A79" t="inlineStr">
        <is>
          <t>[vazio] cod 17 Equity in affiliates: inexistente</t>
        </is>
      </c>
      <c r="C79" t="inlineStr">
        <is>
          <t>[linha bruta, sem código; lançada nas linhas abaixo]</t>
        </is>
      </c>
      <c r="D79" s="265" t="n"/>
      <c r="E79" s="265" t="n"/>
      <c r="F79" s="265" t="n"/>
      <c r="G79" s="265" t="n"/>
      <c r="I79" s="265" t="n"/>
      <c r="J79" s="265" t="n"/>
      <c r="K79" s="265" t="n"/>
      <c r="L79" s="265" t="n"/>
      <c r="N79" s="265" t="n"/>
      <c r="O79" s="265" t="n"/>
      <c r="P79" s="265" t="n"/>
      <c r="Q79" s="265" t="n"/>
      <c r="S79" s="265" t="n"/>
      <c r="T79" s="265" t="n"/>
      <c r="U79" s="265" t="n"/>
      <c r="V79" s="265" t="n"/>
      <c r="X79" s="265" t="n"/>
      <c r="Y79" s="265" t="n"/>
      <c r="Z79" s="265" t="n"/>
      <c r="AA79" s="265" t="n"/>
      <c r="AC79" s="265" t="n"/>
      <c r="AD79" s="265" t="n"/>
    </row>
    <row r="80">
      <c r="A80" t="inlineStr">
        <is>
          <t>[vazio] cod 19 Direito de uso: dentro de outros ativos não circulantes</t>
        </is>
      </c>
      <c r="C80" t="inlineStr">
        <is>
          <t>[linha bruta, sem código; lançada nas linhas abaixo]</t>
        </is>
      </c>
      <c r="D80" s="265" t="n"/>
      <c r="E80" s="265" t="n"/>
      <c r="F80" s="265" t="n"/>
      <c r="G80" s="265" t="n"/>
      <c r="I80" s="265" t="n"/>
      <c r="J80" s="265" t="n"/>
      <c r="K80" s="265" t="n"/>
      <c r="L80" s="265" t="n"/>
      <c r="N80" s="265" t="n"/>
      <c r="O80" s="265" t="n"/>
      <c r="P80" s="265" t="n"/>
      <c r="Q80" s="265" t="n"/>
      <c r="S80" s="265" t="n"/>
      <c r="T80" s="265" t="n"/>
      <c r="U80" s="265" t="n"/>
      <c r="V80" s="265" t="n"/>
      <c r="X80" s="265" t="n"/>
      <c r="Y80" s="265" t="n"/>
      <c r="Z80" s="265" t="n"/>
      <c r="AA80" s="265" t="n"/>
      <c r="AC80" s="265" t="n"/>
      <c r="AD80" s="265" t="n"/>
    </row>
    <row r="81">
      <c r="A81" t="inlineStr">
        <is>
          <t>[vazio] cod 20 Goodwill: não aberto</t>
        </is>
      </c>
      <c r="C81" t="inlineStr">
        <is>
          <t>[linha bruta, sem código; lançada nas linhas abaixo]</t>
        </is>
      </c>
      <c r="D81" s="265" t="n"/>
      <c r="E81" s="265" t="n"/>
      <c r="F81" s="265" t="n"/>
      <c r="G81" s="265" t="n"/>
      <c r="I81" s="265" t="n"/>
      <c r="J81" s="265" t="n"/>
      <c r="K81" s="265" t="n"/>
      <c r="L81" s="265" t="n"/>
      <c r="N81" s="265" t="n"/>
      <c r="O81" s="265" t="n"/>
      <c r="P81" s="265" t="n"/>
      <c r="Q81" s="265" t="n"/>
      <c r="S81" s="265" t="n"/>
      <c r="T81" s="265" t="n"/>
      <c r="U81" s="265" t="n"/>
      <c r="V81" s="265" t="n"/>
      <c r="X81" s="265" t="n"/>
      <c r="Y81" s="265" t="n"/>
      <c r="Z81" s="265" t="n"/>
      <c r="AA81" s="265" t="n"/>
      <c r="AC81" s="265" t="n"/>
      <c r="AD81" s="265" t="n"/>
    </row>
    <row r="82">
      <c r="A82" t="inlineStr">
        <is>
          <t>[vazio] cod 24 Accrued: dentro de outros passivos circulantes</t>
        </is>
      </c>
      <c r="C82" t="inlineStr">
        <is>
          <t>[linha bruta, sem código; lançada nas linhas abaixo]</t>
        </is>
      </c>
      <c r="D82" s="265" t="n"/>
      <c r="E82" s="265" t="n"/>
      <c r="F82" s="265" t="n"/>
      <c r="G82" s="265" t="n"/>
      <c r="I82" s="265" t="n"/>
      <c r="J82" s="265" t="n"/>
      <c r="K82" s="265" t="n"/>
      <c r="L82" s="265" t="n"/>
      <c r="N82" s="265" t="n"/>
      <c r="O82" s="265" t="n"/>
      <c r="P82" s="265" t="n"/>
      <c r="Q82" s="265" t="n"/>
      <c r="S82" s="265" t="n"/>
      <c r="T82" s="265" t="n"/>
      <c r="U82" s="265" t="n"/>
      <c r="V82" s="265" t="n"/>
      <c r="X82" s="265" t="n"/>
      <c r="Y82" s="265" t="n"/>
      <c r="Z82" s="265" t="n"/>
      <c r="AA82" s="265" t="n"/>
      <c r="AC82" s="265" t="n"/>
      <c r="AD82" s="265" t="n"/>
    </row>
    <row r="83">
      <c r="A83" t="inlineStr">
        <is>
          <t>[vazio] cod 25 IR a pagar CP: dentro de outros passivos circulantes</t>
        </is>
      </c>
      <c r="C83" t="inlineStr">
        <is>
          <t>[linha bruta, sem código; lançada nas linhas abaixo]</t>
        </is>
      </c>
      <c r="D83" s="265" t="n"/>
      <c r="E83" s="265" t="n"/>
      <c r="F83" s="265" t="n"/>
      <c r="G83" s="265" t="n"/>
      <c r="I83" s="265" t="n"/>
      <c r="J83" s="265" t="n"/>
      <c r="K83" s="265" t="n"/>
      <c r="L83" s="265" t="n"/>
      <c r="N83" s="265" t="n"/>
      <c r="O83" s="265" t="n"/>
      <c r="P83" s="265" t="n"/>
      <c r="Q83" s="265" t="n"/>
      <c r="S83" s="265" t="n"/>
      <c r="T83" s="265" t="n"/>
      <c r="U83" s="265" t="n"/>
      <c r="V83" s="265" t="n"/>
      <c r="X83" s="265" t="n"/>
      <c r="Y83" s="265" t="n"/>
      <c r="Z83" s="265" t="n"/>
      <c r="AA83" s="265" t="n"/>
      <c r="AC83" s="265" t="n"/>
      <c r="AD83" s="265" t="n"/>
    </row>
    <row r="84">
      <c r="A84" t="inlineStr">
        <is>
          <t>[vazio] cod 29 Arrendamento CP: dentro de outros passivos circulantes</t>
        </is>
      </c>
      <c r="C84" t="inlineStr">
        <is>
          <t>[linha bruta, sem código; lançada nas linhas abaixo]</t>
        </is>
      </c>
      <c r="D84" s="265" t="n"/>
      <c r="E84" s="265" t="n"/>
      <c r="F84" s="265" t="n"/>
      <c r="G84" s="265" t="n"/>
      <c r="I84" s="265" t="n"/>
      <c r="J84" s="265" t="n"/>
      <c r="K84" s="265" t="n"/>
      <c r="L84" s="265" t="n"/>
      <c r="N84" s="265" t="n"/>
      <c r="O84" s="265" t="n"/>
      <c r="P84" s="265" t="n"/>
      <c r="Q84" s="265" t="n"/>
      <c r="S84" s="265" t="n"/>
      <c r="T84" s="265" t="n"/>
      <c r="U84" s="265" t="n"/>
      <c r="V84" s="265" t="n"/>
      <c r="X84" s="265" t="n"/>
      <c r="Y84" s="265" t="n"/>
      <c r="Z84" s="265" t="n"/>
      <c r="AA84" s="265" t="n"/>
      <c r="AC84" s="265" t="n"/>
      <c r="AD84" s="265" t="n"/>
    </row>
    <row r="85">
      <c r="A85" t="inlineStr">
        <is>
          <t>[vazio] cod 31 Arrendamento LP: dentro de outros passivos não circulantes</t>
        </is>
      </c>
      <c r="C85" t="inlineStr">
        <is>
          <t>[linha bruta, sem código; lançada nas linhas abaixo]</t>
        </is>
      </c>
      <c r="D85" s="265" t="n"/>
      <c r="E85" s="265" t="n"/>
      <c r="F85" s="265" t="n"/>
      <c r="G85" s="265" t="n"/>
      <c r="I85" s="265" t="n"/>
      <c r="J85" s="265" t="n"/>
      <c r="K85" s="265" t="n"/>
      <c r="L85" s="265" t="n"/>
      <c r="N85" s="265" t="n"/>
      <c r="O85" s="265" t="n"/>
      <c r="P85" s="265" t="n"/>
      <c r="Q85" s="265" t="n"/>
      <c r="S85" s="265" t="n"/>
      <c r="T85" s="265" t="n"/>
      <c r="U85" s="265" t="n"/>
      <c r="V85" s="265" t="n"/>
      <c r="X85" s="265" t="n"/>
      <c r="Y85" s="265" t="n"/>
      <c r="Z85" s="265" t="n"/>
      <c r="AA85" s="265" t="n"/>
      <c r="AC85" s="265" t="n"/>
      <c r="AD85" s="265" t="n"/>
    </row>
    <row r="86">
      <c r="A86" t="inlineStr">
        <is>
          <t>[vazio] cod 33 IR diferido passivo: dentro de outros passivos não circulantes</t>
        </is>
      </c>
      <c r="C86" t="inlineStr">
        <is>
          <t>[linha bruta, sem código; lançada nas linhas abaixo]</t>
        </is>
      </c>
      <c r="D86" s="265" t="n"/>
      <c r="E86" s="265" t="n"/>
      <c r="F86" s="265" t="n"/>
      <c r="G86" s="265" t="n"/>
      <c r="I86" s="265" t="n"/>
      <c r="J86" s="265" t="n"/>
      <c r="K86" s="265" t="n"/>
      <c r="L86" s="265" t="n"/>
      <c r="N86" s="265" t="n"/>
      <c r="O86" s="265" t="n"/>
      <c r="P86" s="265" t="n"/>
      <c r="Q86" s="265" t="n"/>
      <c r="S86" s="265" t="n"/>
      <c r="T86" s="265" t="n"/>
      <c r="U86" s="265" t="n"/>
      <c r="V86" s="265" t="n"/>
      <c r="X86" s="265" t="n"/>
      <c r="Y86" s="265" t="n"/>
      <c r="Z86" s="265" t="n"/>
      <c r="AA86" s="265" t="n"/>
      <c r="AC86" s="265" t="n"/>
      <c r="AD86" s="265" t="n"/>
    </row>
    <row r="87">
      <c r="A87" t="inlineStr">
        <is>
          <t>[vazio] cod 38 Tesouraria: a Apple cancela as ações recompradas</t>
        </is>
      </c>
      <c r="C87" t="inlineStr">
        <is>
          <t>[linha bruta, sem código; lançada nas linhas abaixo]</t>
        </is>
      </c>
      <c r="D87" s="265" t="n"/>
      <c r="E87" s="265" t="n"/>
      <c r="F87" s="265" t="n"/>
      <c r="G87" s="265" t="n"/>
      <c r="I87" s="265" t="n"/>
      <c r="J87" s="265" t="n"/>
      <c r="K87" s="265" t="n"/>
      <c r="L87" s="265" t="n"/>
      <c r="N87" s="265" t="n"/>
      <c r="O87" s="265" t="n"/>
      <c r="P87" s="265" t="n"/>
      <c r="Q87" s="265" t="n"/>
      <c r="S87" s="265" t="n"/>
      <c r="T87" s="265" t="n"/>
      <c r="U87" s="265" t="n"/>
      <c r="V87" s="265" t="n"/>
      <c r="X87" s="265" t="n"/>
      <c r="Y87" s="265" t="n"/>
      <c r="Z87" s="265" t="n"/>
      <c r="AA87" s="265" t="n"/>
      <c r="AC87" s="265" t="n"/>
      <c r="AD87" s="265" t="n"/>
    </row>
    <row r="88">
      <c r="D88" s="265" t="n"/>
      <c r="E88" s="265" t="n"/>
      <c r="F88" s="265" t="n"/>
      <c r="G88" s="265" t="n"/>
      <c r="I88" s="265" t="n"/>
      <c r="J88" s="265" t="n"/>
      <c r="K88" s="265" t="n"/>
      <c r="L88" s="265" t="n"/>
      <c r="N88" s="265" t="n"/>
      <c r="O88" s="265" t="n"/>
      <c r="P88" s="265" t="n"/>
      <c r="Q88" s="265" t="n"/>
      <c r="S88" s="265" t="n"/>
      <c r="T88" s="265" t="n"/>
      <c r="U88" s="265" t="n"/>
      <c r="V88" s="265" t="n"/>
      <c r="X88" s="265" t="n"/>
      <c r="Y88" s="265" t="n"/>
      <c r="Z88" s="265" t="n"/>
      <c r="AA88" s="265" t="n"/>
      <c r="AC88" s="265" t="n"/>
      <c r="AD88" s="265" t="n"/>
    </row>
    <row r="89">
      <c r="A89" t="inlineStr">
        <is>
          <t>DRIVERS DE RECEITA (codigos 45+): receita por categoria (iPhone, Mac, iPad, Wearables, Services), custo por Produtos/Serviços e receita por segmento geográfico - SEC XBRL (instâncias dos 10-Q/10-K; USD, fator 0,000001).</t>
        </is>
      </c>
      <c r="C89" t="inlineStr">
        <is>
          <t>[linha bruta, sem código; lançada nas linhas abaixo]</t>
        </is>
      </c>
      <c r="D89" s="265" t="n"/>
      <c r="E89" s="265" t="n"/>
      <c r="F89" s="265" t="n"/>
      <c r="G89" s="265" t="n"/>
      <c r="I89" s="265" t="n"/>
      <c r="J89" s="265" t="n"/>
      <c r="K89" s="265" t="n"/>
      <c r="L89" s="265" t="n"/>
      <c r="N89" s="265" t="n"/>
      <c r="O89" s="265" t="n"/>
      <c r="P89" s="265" t="n"/>
      <c r="Q89" s="265" t="n"/>
      <c r="S89" s="265" t="n"/>
      <c r="T89" s="265" t="n"/>
      <c r="U89" s="265" t="n"/>
      <c r="V89" s="265" t="n"/>
      <c r="X89" s="265" t="n"/>
      <c r="Y89" s="265" t="n"/>
      <c r="Z89" s="265" t="n"/>
      <c r="AA89" s="265" t="n"/>
      <c r="AC89" s="265" t="n"/>
      <c r="AD89" s="265" t="n"/>
    </row>
    <row r="90">
      <c r="A90" t="inlineStr">
        <is>
          <t>Receita iPhone (USD; trimestre-calendário; o 3T (jul-set, FQ4) = ano fiscal do 10-K menos 9M do 10-Q de jun) · fonte · unid. moeda</t>
        </is>
      </c>
      <c r="B90" t="n">
        <v>45</v>
      </c>
      <c r="C90" t="inlineStr">
        <is>
          <t>Receita iPhone (USD; trimestre-calendário; o 3T (jul-set, FQ</t>
        </is>
      </c>
      <c r="D90" s="265" t="n">
        <v>47938000</v>
      </c>
      <c r="E90" s="265" t="n">
        <v>39570000</v>
      </c>
      <c r="F90" s="265" t="n">
        <v>38868000</v>
      </c>
      <c r="G90" s="265" t="n">
        <v>71628000</v>
      </c>
      <c r="I90" s="265" t="n">
        <v>50570000</v>
      </c>
      <c r="J90" s="265" t="n">
        <v>40665000</v>
      </c>
      <c r="K90" s="265" t="n">
        <v>42626000</v>
      </c>
      <c r="L90" s="265" t="n">
        <v>65775000</v>
      </c>
      <c r="N90" s="265" t="n">
        <v>51334000</v>
      </c>
      <c r="O90" s="265" t="n">
        <v>39669000</v>
      </c>
      <c r="P90" s="265" t="n">
        <v>43805000</v>
      </c>
      <c r="Q90" s="265" t="n">
        <v>69702000</v>
      </c>
      <c r="S90" s="265" t="n">
        <v>45963000</v>
      </c>
      <c r="T90" s="265" t="n">
        <v>39296000</v>
      </c>
      <c r="U90" s="265" t="n">
        <v>46222000</v>
      </c>
      <c r="V90" s="265" t="n">
        <v>69138000</v>
      </c>
      <c r="X90" s="265" t="n">
        <v>46841000</v>
      </c>
      <c r="Y90" s="265" t="n">
        <v>44582000</v>
      </c>
      <c r="Z90" s="265" t="n">
        <v>49025000</v>
      </c>
      <c r="AA90" s="265" t="n">
        <v>85269000</v>
      </c>
      <c r="AC90" s="265" t="n">
        <v>56994000</v>
      </c>
      <c r="AD90" s="265" t="n">
        <v>54252000</v>
      </c>
    </row>
    <row r="91">
      <c r="A91" t="inlineStr">
        <is>
          <t>Receita Mac (USD) · fonte · unid. moeda</t>
        </is>
      </c>
      <c r="B91" t="n">
        <v>46</v>
      </c>
      <c r="C91" t="inlineStr">
        <is>
          <t>Receita Mac (USD)</t>
        </is>
      </c>
      <c r="D91" s="265" t="n">
        <v>9102000</v>
      </c>
      <c r="E91" s="265" t="n">
        <v>8235000</v>
      </c>
      <c r="F91" s="265" t="n">
        <v>9178000</v>
      </c>
      <c r="G91" s="265" t="n">
        <v>10852000</v>
      </c>
      <c r="I91" s="265" t="n">
        <v>10435000</v>
      </c>
      <c r="J91" s="265" t="n">
        <v>7382000</v>
      </c>
      <c r="K91" s="265" t="n">
        <v>11508000</v>
      </c>
      <c r="L91" s="265" t="n">
        <v>7735000</v>
      </c>
      <c r="N91" s="265" t="n">
        <v>7168000</v>
      </c>
      <c r="O91" s="265" t="n">
        <v>6840000</v>
      </c>
      <c r="P91" s="265" t="n">
        <v>7614000</v>
      </c>
      <c r="Q91" s="265" t="n">
        <v>7780000</v>
      </c>
      <c r="S91" s="265" t="n">
        <v>7451000</v>
      </c>
      <c r="T91" s="265" t="n">
        <v>7009000</v>
      </c>
      <c r="U91" s="265" t="n">
        <v>7744000</v>
      </c>
      <c r="V91" s="265" t="n">
        <v>8987000</v>
      </c>
      <c r="X91" s="265" t="n">
        <v>7949000</v>
      </c>
      <c r="Y91" s="265" t="n">
        <v>8046000</v>
      </c>
      <c r="Z91" s="265" t="n">
        <v>8726000</v>
      </c>
      <c r="AA91" s="265" t="n">
        <v>8386000</v>
      </c>
      <c r="AC91" s="265" t="n">
        <v>8399000</v>
      </c>
      <c r="AD91" s="265" t="n">
        <v>10352000</v>
      </c>
    </row>
    <row r="92">
      <c r="A92" t="inlineStr">
        <is>
          <t>Receita iPad (USD) · fonte · unid. moeda</t>
        </is>
      </c>
      <c r="B92" t="n">
        <v>47</v>
      </c>
      <c r="C92" t="inlineStr">
        <is>
          <t>Receita iPad (USD)</t>
        </is>
      </c>
      <c r="D92" s="265" t="n">
        <v>7807000</v>
      </c>
      <c r="E92" s="265" t="n">
        <v>7368000</v>
      </c>
      <c r="F92" s="265" t="n">
        <v>8252000</v>
      </c>
      <c r="G92" s="265" t="n">
        <v>7248000</v>
      </c>
      <c r="I92" s="265" t="n">
        <v>7646000</v>
      </c>
      <c r="J92" s="265" t="n">
        <v>7224000</v>
      </c>
      <c r="K92" s="265" t="n">
        <v>7174000</v>
      </c>
      <c r="L92" s="265" t="n">
        <v>9396000</v>
      </c>
      <c r="N92" s="265" t="n">
        <v>6670000</v>
      </c>
      <c r="O92" s="265" t="n">
        <v>5791000</v>
      </c>
      <c r="P92" s="265" t="n">
        <v>6443000</v>
      </c>
      <c r="Q92" s="265" t="n">
        <v>7023000</v>
      </c>
      <c r="S92" s="265" t="n">
        <v>5559000</v>
      </c>
      <c r="T92" s="265" t="n">
        <v>7162000</v>
      </c>
      <c r="U92" s="265" t="n">
        <v>6950000</v>
      </c>
      <c r="V92" s="265" t="n">
        <v>8088000</v>
      </c>
      <c r="X92" s="265" t="n">
        <v>6402000</v>
      </c>
      <c r="Y92" s="265" t="n">
        <v>6581000</v>
      </c>
      <c r="Z92" s="265" t="n">
        <v>6952000</v>
      </c>
      <c r="AA92" s="265" t="n">
        <v>8595000</v>
      </c>
      <c r="AC92" s="265" t="n">
        <v>6914000</v>
      </c>
      <c r="AD92" s="265" t="n">
        <v>6191000</v>
      </c>
    </row>
    <row r="93">
      <c r="A93" t="inlineStr">
        <is>
          <t>Receita Wearables, Home and Accessories (USD) · fonte · unid. moeda</t>
        </is>
      </c>
      <c r="B93" t="n">
        <v>48</v>
      </c>
      <c r="C93" t="inlineStr">
        <is>
          <t>Receita Wearables, Home and Accessories (USD)</t>
        </is>
      </c>
      <c r="D93" s="265" t="n">
        <v>7836000</v>
      </c>
      <c r="E93" s="265" t="n">
        <v>8775000</v>
      </c>
      <c r="F93" s="265" t="n">
        <v>8785000</v>
      </c>
      <c r="G93" s="265" t="n">
        <v>14701000</v>
      </c>
      <c r="I93" s="265" t="n">
        <v>8806000</v>
      </c>
      <c r="J93" s="265" t="n">
        <v>8084000</v>
      </c>
      <c r="K93" s="265" t="n">
        <v>9650000</v>
      </c>
      <c r="L93" s="265" t="n">
        <v>13482000</v>
      </c>
      <c r="N93" s="265" t="n">
        <v>8757000</v>
      </c>
      <c r="O93" s="265" t="n">
        <v>8284000</v>
      </c>
      <c r="P93" s="265" t="n">
        <v>9322000</v>
      </c>
      <c r="Q93" s="265" t="n">
        <v>11953000</v>
      </c>
      <c r="S93" s="265" t="n">
        <v>7913000</v>
      </c>
      <c r="T93" s="265" t="n">
        <v>8097000</v>
      </c>
      <c r="U93" s="265" t="n">
        <v>9042000</v>
      </c>
      <c r="V93" s="265" t="n">
        <v>11747000</v>
      </c>
      <c r="X93" s="265" t="n">
        <v>7522000</v>
      </c>
      <c r="Y93" s="265" t="n">
        <v>7404000</v>
      </c>
      <c r="Z93" s="265" t="n">
        <v>9013000</v>
      </c>
      <c r="AA93" s="265" t="n">
        <v>11493000</v>
      </c>
      <c r="AC93" s="265" t="n">
        <v>7901000</v>
      </c>
      <c r="AD93" s="265" t="n">
        <v>7883000</v>
      </c>
    </row>
    <row r="94">
      <c r="A94" t="inlineStr">
        <is>
          <t>Receita Services (USD) · fonte · unid. moeda</t>
        </is>
      </c>
      <c r="B94" t="n">
        <v>49</v>
      </c>
      <c r="C94" t="inlineStr">
        <is>
          <t>Receita Services (USD)</t>
        </is>
      </c>
      <c r="D94" s="265" t="n">
        <v>16901000</v>
      </c>
      <c r="E94" s="265" t="n">
        <v>17486000</v>
      </c>
      <c r="F94" s="265" t="n">
        <v>18277000</v>
      </c>
      <c r="G94" s="265" t="n">
        <v>19516000</v>
      </c>
      <c r="I94" s="265" t="n">
        <v>19821000</v>
      </c>
      <c r="J94" s="265" t="n">
        <v>19604000</v>
      </c>
      <c r="K94" s="265" t="n">
        <v>19188000</v>
      </c>
      <c r="L94" s="265" t="n">
        <v>20766000</v>
      </c>
      <c r="N94" s="265" t="n">
        <v>20907000</v>
      </c>
      <c r="O94" s="265" t="n">
        <v>21213000</v>
      </c>
      <c r="P94" s="265" t="n">
        <v>22314000</v>
      </c>
      <c r="Q94" s="265" t="n">
        <v>23117000</v>
      </c>
      <c r="S94" s="265" t="n">
        <v>23867000</v>
      </c>
      <c r="T94" s="265" t="n">
        <v>24213000</v>
      </c>
      <c r="U94" s="265" t="n">
        <v>24972000</v>
      </c>
      <c r="V94" s="265" t="n">
        <v>26340000</v>
      </c>
      <c r="X94" s="265" t="n">
        <v>26645000</v>
      </c>
      <c r="Y94" s="265" t="n">
        <v>27423000</v>
      </c>
      <c r="Z94" s="265" t="n">
        <v>28750000</v>
      </c>
      <c r="AA94" s="265" t="n">
        <v>30013000</v>
      </c>
      <c r="AC94" s="265" t="n">
        <v>30976000</v>
      </c>
      <c r="AD94" s="265" t="n">
        <v>30739000</v>
      </c>
    </row>
    <row r="95">
      <c r="A95" t="inlineStr">
        <is>
          <t>Custo das vendas - Produtos (USD) · fonte · unid. moeda</t>
        </is>
      </c>
      <c r="B95" t="n">
        <v>50</v>
      </c>
      <c r="C95" t="inlineStr">
        <is>
          <t>Custo das vendas - Produtos (USD)</t>
        </is>
      </c>
      <c r="D95" s="265" t="n">
        <v>46447000</v>
      </c>
      <c r="E95" s="265" t="n">
        <v>40899000</v>
      </c>
      <c r="F95" s="265" t="n">
        <v>42790000</v>
      </c>
      <c r="G95" s="265" t="n">
        <v>64309000</v>
      </c>
      <c r="I95" s="265" t="n">
        <v>49290000</v>
      </c>
      <c r="J95" s="265" t="n">
        <v>41485000</v>
      </c>
      <c r="K95" s="265" t="n">
        <v>46387000</v>
      </c>
      <c r="L95" s="265" t="n">
        <v>60765000</v>
      </c>
      <c r="N95" s="265" t="n">
        <v>46795000</v>
      </c>
      <c r="O95" s="265" t="n">
        <v>39136000</v>
      </c>
      <c r="P95" s="265" t="n">
        <v>42586000</v>
      </c>
      <c r="Q95" s="265" t="n">
        <v>58440000</v>
      </c>
      <c r="S95" s="265" t="n">
        <v>42424000</v>
      </c>
      <c r="T95" s="265" t="n">
        <v>39803000</v>
      </c>
      <c r="U95" s="265" t="n">
        <v>44566000</v>
      </c>
      <c r="V95" s="265" t="n">
        <v>59447000</v>
      </c>
      <c r="X95" s="265" t="n">
        <v>44030000</v>
      </c>
      <c r="Y95" s="265" t="n">
        <v>43620000</v>
      </c>
      <c r="Z95" s="265" t="n">
        <v>47019000</v>
      </c>
      <c r="AA95" s="265" t="n">
        <v>67478000</v>
      </c>
      <c r="AC95" s="265" t="n">
        <v>49179000</v>
      </c>
      <c r="AD95" s="265" t="n">
        <v>47153000</v>
      </c>
    </row>
    <row r="96">
      <c r="A96" t="inlineStr">
        <is>
          <t>Custo das vendas - Serviços (USD) · fonte · unid. moeda</t>
        </is>
      </c>
      <c r="B96" t="n">
        <v>51</v>
      </c>
      <c r="C96" t="inlineStr">
        <is>
          <t>Custo das vendas - Serviços (USD)</t>
        </is>
      </c>
      <c r="D96" s="265" t="n">
        <v>5058000</v>
      </c>
      <c r="E96" s="265" t="n">
        <v>5280000</v>
      </c>
      <c r="F96" s="265" t="n">
        <v>5396000</v>
      </c>
      <c r="G96" s="265" t="n">
        <v>5393000</v>
      </c>
      <c r="I96" s="265" t="n">
        <v>5429000</v>
      </c>
      <c r="J96" s="265" t="n">
        <v>5589000</v>
      </c>
      <c r="K96" s="265" t="n">
        <v>5664000</v>
      </c>
      <c r="L96" s="265" t="n">
        <v>6057000</v>
      </c>
      <c r="N96" s="265" t="n">
        <v>6065000</v>
      </c>
      <c r="O96" s="265" t="n">
        <v>6248000</v>
      </c>
      <c r="P96" s="265" t="n">
        <v>6485000</v>
      </c>
      <c r="Q96" s="265" t="n">
        <v>6280000</v>
      </c>
      <c r="S96" s="265" t="n">
        <v>6058000</v>
      </c>
      <c r="T96" s="265" t="n">
        <v>6296000</v>
      </c>
      <c r="U96" s="265" t="n">
        <v>6485000</v>
      </c>
      <c r="V96" s="265" t="n">
        <v>6578000</v>
      </c>
      <c r="X96" s="265" t="n">
        <v>6462000</v>
      </c>
      <c r="Y96" s="265" t="n">
        <v>6698000</v>
      </c>
      <c r="Z96" s="265" t="n">
        <v>7106000</v>
      </c>
      <c r="AA96" s="265" t="n">
        <v>7047000</v>
      </c>
      <c r="AC96" s="265" t="n">
        <v>7224000</v>
      </c>
      <c r="AD96" s="265" t="n">
        <v>7494000</v>
      </c>
    </row>
    <row r="97">
      <c r="A97" t="inlineStr">
        <is>
          <t>Receita segmento Américas (USD) · fonte · unid. moeda</t>
        </is>
      </c>
      <c r="B97" t="n">
        <v>52</v>
      </c>
      <c r="C97" t="inlineStr">
        <is>
          <t>Receita segmento Américas (USD)</t>
        </is>
      </c>
      <c r="D97" s="265" t="n">
        <v>34306000</v>
      </c>
      <c r="E97" s="265" t="n">
        <v>35870000</v>
      </c>
      <c r="F97" s="265" t="n">
        <v>36820000</v>
      </c>
      <c r="G97" s="265" t="n">
        <v>51496000</v>
      </c>
      <c r="I97" s="265" t="n">
        <v>40882000</v>
      </c>
      <c r="J97" s="265" t="n">
        <v>37472000</v>
      </c>
      <c r="K97" s="265" t="n">
        <v>39808000</v>
      </c>
      <c r="L97" s="265" t="n">
        <v>49278000</v>
      </c>
      <c r="N97" s="265" t="n">
        <v>37784000</v>
      </c>
      <c r="O97" s="265" t="n">
        <v>35383000</v>
      </c>
      <c r="P97" s="265" t="n">
        <v>40115000</v>
      </c>
      <c r="Q97" s="265" t="n">
        <v>50430000</v>
      </c>
      <c r="S97" s="265" t="n">
        <v>37273000</v>
      </c>
      <c r="T97" s="265" t="n">
        <v>37678000</v>
      </c>
      <c r="U97" s="265" t="n">
        <v>41664000</v>
      </c>
      <c r="V97" s="265" t="n">
        <v>52648000</v>
      </c>
      <c r="X97" s="265" t="n">
        <v>40315000</v>
      </c>
      <c r="Y97" s="265" t="n">
        <v>41198000</v>
      </c>
      <c r="Z97" s="265" t="n">
        <v>44192000</v>
      </c>
      <c r="AA97" s="265" t="n">
        <v>58529000</v>
      </c>
      <c r="AC97" s="265" t="n">
        <v>45093000</v>
      </c>
      <c r="AD97" s="265" t="n">
        <v>45781000</v>
      </c>
    </row>
    <row r="98">
      <c r="A98" t="inlineStr">
        <is>
          <t>Receita segmento Europa (USD; inclui Índia, Oriente Médio e África) · fonte · unid. moeda</t>
        </is>
      </c>
      <c r="B98" t="n">
        <v>53</v>
      </c>
      <c r="C98" t="inlineStr">
        <is>
          <t xml:space="preserve">Receita segmento Europa (USD; inclui Índia, Oriente Médio e </t>
        </is>
      </c>
      <c r="D98" s="265" t="n">
        <v>22264000</v>
      </c>
      <c r="E98" s="265" t="n">
        <v>18943000</v>
      </c>
      <c r="F98" s="265" t="n">
        <v>20794000</v>
      </c>
      <c r="G98" s="265" t="n">
        <v>29749000</v>
      </c>
      <c r="I98" s="265" t="n">
        <v>23287000</v>
      </c>
      <c r="J98" s="265" t="n">
        <v>19287000</v>
      </c>
      <c r="K98" s="265" t="n">
        <v>22795000</v>
      </c>
      <c r="L98" s="265" t="n">
        <v>27681000</v>
      </c>
      <c r="N98" s="265" t="n">
        <v>23945000</v>
      </c>
      <c r="O98" s="265" t="n">
        <v>20205000</v>
      </c>
      <c r="P98" s="265" t="n">
        <v>22463000</v>
      </c>
      <c r="Q98" s="265" t="n">
        <v>30397000</v>
      </c>
      <c r="S98" s="265" t="n">
        <v>24123000</v>
      </c>
      <c r="T98" s="265" t="n">
        <v>21884000</v>
      </c>
      <c r="U98" s="265" t="n">
        <v>24924000</v>
      </c>
      <c r="V98" s="265" t="n">
        <v>33861000</v>
      </c>
      <c r="X98" s="265" t="n">
        <v>24454000</v>
      </c>
      <c r="Y98" s="265" t="n">
        <v>24014000</v>
      </c>
      <c r="Z98" s="265" t="n">
        <v>28703000</v>
      </c>
      <c r="AA98" s="265" t="n">
        <v>38146000</v>
      </c>
      <c r="AC98" s="265" t="n">
        <v>28055000</v>
      </c>
      <c r="AD98" s="265" t="n">
        <v>29395000</v>
      </c>
    </row>
    <row r="99">
      <c r="A99" t="inlineStr">
        <is>
          <t>Receita segmento Grande China (USD) · fonte · unid. moeda</t>
        </is>
      </c>
      <c r="B99" t="n">
        <v>54</v>
      </c>
      <c r="C99" t="inlineStr">
        <is>
          <t>Receita segmento Grande China (USD)</t>
        </is>
      </c>
      <c r="D99" s="265" t="n">
        <v>17728000</v>
      </c>
      <c r="E99" s="265" t="n">
        <v>14762000</v>
      </c>
      <c r="F99" s="265" t="n">
        <v>14563000</v>
      </c>
      <c r="G99" s="265" t="n">
        <v>25783000</v>
      </c>
      <c r="I99" s="265" t="n">
        <v>18343000</v>
      </c>
      <c r="J99" s="265" t="n">
        <v>14604000</v>
      </c>
      <c r="K99" s="265" t="n">
        <v>15470000</v>
      </c>
      <c r="L99" s="265" t="n">
        <v>23905000</v>
      </c>
      <c r="N99" s="265" t="n">
        <v>17812000</v>
      </c>
      <c r="O99" s="265" t="n">
        <v>15758000</v>
      </c>
      <c r="P99" s="265" t="n">
        <v>15084000</v>
      </c>
      <c r="Q99" s="265" t="n">
        <v>20819000</v>
      </c>
      <c r="S99" s="265" t="n">
        <v>16372000</v>
      </c>
      <c r="T99" s="265" t="n">
        <v>14728000</v>
      </c>
      <c r="U99" s="265" t="n">
        <v>15033000</v>
      </c>
      <c r="V99" s="265" t="n">
        <v>18513000</v>
      </c>
      <c r="X99" s="265" t="n">
        <v>16002000</v>
      </c>
      <c r="Y99" s="265" t="n">
        <v>15369000</v>
      </c>
      <c r="Z99" s="265" t="n">
        <v>14493000</v>
      </c>
      <c r="AA99" s="265" t="n">
        <v>25526000</v>
      </c>
      <c r="AC99" s="265" t="n">
        <v>20497000</v>
      </c>
      <c r="AD99" s="265" t="n">
        <v>18816000</v>
      </c>
    </row>
    <row r="100">
      <c r="A100" t="inlineStr">
        <is>
          <t>Receita segmento Japão (USD) · fonte · unid. moeda</t>
        </is>
      </c>
      <c r="B100" t="n">
        <v>55</v>
      </c>
      <c r="C100" t="inlineStr">
        <is>
          <t>Receita segmento Japão (USD)</t>
        </is>
      </c>
      <c r="D100" s="265" t="n">
        <v>7742000</v>
      </c>
      <c r="E100" s="265" t="n">
        <v>6464000</v>
      </c>
      <c r="F100" s="265" t="n">
        <v>5991000</v>
      </c>
      <c r="G100" s="265" t="n">
        <v>7107000</v>
      </c>
      <c r="I100" s="265" t="n">
        <v>7724000</v>
      </c>
      <c r="J100" s="265" t="n">
        <v>5446000</v>
      </c>
      <c r="K100" s="265" t="n">
        <v>5700000</v>
      </c>
      <c r="L100" s="265" t="n">
        <v>6755000</v>
      </c>
      <c r="N100" s="265" t="n">
        <v>7176000</v>
      </c>
      <c r="O100" s="265" t="n">
        <v>4821000</v>
      </c>
      <c r="P100" s="265" t="n">
        <v>5505000</v>
      </c>
      <c r="Q100" s="265" t="n">
        <v>7767000</v>
      </c>
      <c r="S100" s="265" t="n">
        <v>6262000</v>
      </c>
      <c r="T100" s="265" t="n">
        <v>5097000</v>
      </c>
      <c r="U100" s="265" t="n">
        <v>5926000</v>
      </c>
      <c r="V100" s="265" t="n">
        <v>8987000</v>
      </c>
      <c r="X100" s="265" t="n">
        <v>7298000</v>
      </c>
      <c r="Y100" s="265" t="n">
        <v>5782000</v>
      </c>
      <c r="Z100" s="265" t="n">
        <v>6636000</v>
      </c>
      <c r="AA100" s="265" t="n">
        <v>9413000</v>
      </c>
      <c r="AC100" s="265" t="n">
        <v>8401000</v>
      </c>
      <c r="AD100" s="265" t="n">
        <v>6554000</v>
      </c>
    </row>
    <row r="101">
      <c r="A101" t="inlineStr">
        <is>
          <t>Receita segmento Resto da Ásia-Pacífico (USD) · fonte · unid. moeda</t>
        </is>
      </c>
      <c r="B101" t="n">
        <v>56</v>
      </c>
      <c r="C101" t="inlineStr">
        <is>
          <t>Receita segmento Resto da Ásia-Pacífico (USD)</t>
        </is>
      </c>
      <c r="D101" s="265" t="n">
        <v>7544000</v>
      </c>
      <c r="E101" s="265" t="n">
        <v>5395000</v>
      </c>
      <c r="F101" s="265" t="n">
        <v>5192000</v>
      </c>
      <c r="G101" s="265" t="n">
        <v>9810000</v>
      </c>
      <c r="I101" s="265" t="n">
        <v>7042000</v>
      </c>
      <c r="J101" s="265" t="n">
        <v>6150000</v>
      </c>
      <c r="K101" s="265" t="n">
        <v>6373000</v>
      </c>
      <c r="L101" s="265" t="n">
        <v>9535000</v>
      </c>
      <c r="N101" s="265" t="n">
        <v>8119000</v>
      </c>
      <c r="O101" s="265" t="n">
        <v>5630000</v>
      </c>
      <c r="P101" s="265" t="n">
        <v>6331000</v>
      </c>
      <c r="Q101" s="265" t="n">
        <v>10162000</v>
      </c>
      <c r="S101" s="265" t="n">
        <v>6723000</v>
      </c>
      <c r="T101" s="265" t="n">
        <v>6390000</v>
      </c>
      <c r="U101" s="265" t="n">
        <v>7383000</v>
      </c>
      <c r="V101" s="265" t="n">
        <v>10291000</v>
      </c>
      <c r="X101" s="265" t="n">
        <v>7290000</v>
      </c>
      <c r="Y101" s="265" t="n">
        <v>7673000</v>
      </c>
      <c r="Z101" s="265" t="n">
        <v>8442000</v>
      </c>
      <c r="AA101" s="265" t="n">
        <v>12142000</v>
      </c>
      <c r="AC101" s="265" t="n">
        <v>9138000</v>
      </c>
      <c r="AD101" s="265" t="n">
        <v>8871000</v>
      </c>
    </row>
    <row r="102">
      <c r="A102" t="inlineStr">
        <is>
          <t>Notas: valores dimensionais lidos das instâncias XBRL; o trimestre de set (FQ4) é o ano fiscal menos 9M, calculado na extração.</t>
        </is>
      </c>
      <c r="C102" t="inlineStr">
        <is>
          <t>[linha bruta, sem código; lançada nas linhas abaixo]</t>
        </is>
      </c>
      <c r="D102" s="265" t="n"/>
      <c r="E102" s="265" t="n"/>
      <c r="F102" s="265" t="n"/>
      <c r="G102" s="265" t="n"/>
      <c r="I102" s="265" t="n"/>
      <c r="J102" s="265" t="n"/>
      <c r="K102" s="265" t="n"/>
      <c r="L102" s="265" t="n"/>
      <c r="N102" s="265" t="n"/>
      <c r="O102" s="265" t="n"/>
      <c r="P102" s="265" t="n"/>
      <c r="Q102" s="265" t="n"/>
      <c r="S102" s="265" t="n"/>
      <c r="T102" s="265" t="n"/>
      <c r="U102" s="265" t="n"/>
      <c r="V102" s="265" t="n"/>
      <c r="X102" s="265" t="n"/>
      <c r="Y102" s="265" t="n"/>
      <c r="Z102" s="265" t="n"/>
      <c r="AA102" s="265" t="n"/>
      <c r="AC102" s="265" t="n"/>
      <c r="AD102" s="265" t="n"/>
    </row>
    <row r="104">
      <c r="A104" t="inlineStr">
        <is>
          <t>Linhas de origem: 4 a 102. A Inputs (2) varre as linhas 4 a 150; as linhas 103 a 150 estão livres. Linhas "(lançamento)" aplicam código e sinal sobre a linha bruta indicada (a máscara tem uma só coluna de código).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4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8"/>
    <col width="10.42578125" customWidth="1" style="4" min="59" max="16384"/>
  </cols>
  <sheetData>
    <row r="1" ht="14.25" customFormat="1" customHeight="1" s="3">
      <c r="A1" s="5" t="str">
        <f>IF(Control!B3="","EMPRESA",Control!B3)</f>
        <v>Apple Inc.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US$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IF(D$3=0,"",SUMIFS(INDEX(Inputs!$D$4:$AG$150,0,MATCH(D$2,Inputs!$D$2:$AG$2,0)),Inputs!$B$4:$B$150,$B4)/1000)</f>
        <v>89584</v>
      </c>
      <c r="E4" s="11">
        <f>IF(E$3=0,"",SUMIFS(INDEX(Inputs!$D$4:$AG$150,0,MATCH(E$2,Inputs!$D$2:$AG$2,0)),Inputs!$B$4:$B$150,$B4)/1000)</f>
        <v>81434</v>
      </c>
      <c r="F4" s="11">
        <f>IF(F$3=0,"",SUMIFS(INDEX(Inputs!$D$4:$AG$150,0,MATCH(F$2,Inputs!$D$2:$AG$2,0)),Inputs!$B$4:$B$150,$B4)/1000)</f>
        <v>83360</v>
      </c>
      <c r="G4" s="11">
        <f>IF(G$3=0,"",SUMIFS(INDEX(Inputs!$D$4:$AG$150,0,MATCH(G$2,Inputs!$D$2:$AG$2,0)),Inputs!$B$4:$B$150,$B4)/1000)</f>
        <v>123945</v>
      </c>
      <c r="H4" s="12">
        <f>IF(COUNT(D4:G4)=4,SUM(D4:G4),"")</f>
        <v>378323</v>
      </c>
      <c r="I4" s="11">
        <f>IF(I$3=0,"",SUMIFS(INDEX(Inputs!$D$4:$AG$150,0,MATCH(I$2,Inputs!$D$2:$AG$2,0)),Inputs!$B$4:$B$150,$B4)/1000)</f>
        <v>97278</v>
      </c>
      <c r="J4" s="11">
        <f>IF(J$3=0,"",SUMIFS(INDEX(Inputs!$D$4:$AG$150,0,MATCH(J$2,Inputs!$D$2:$AG$2,0)),Inputs!$B$4:$B$150,$B4)/1000)</f>
        <v>82959</v>
      </c>
      <c r="K4" s="11">
        <f>IF(K$3=0,"",SUMIFS(INDEX(Inputs!$D$4:$AG$150,0,MATCH(K$2,Inputs!$D$2:$AG$2,0)),Inputs!$B$4:$B$150,$B4)/1000)</f>
        <v>90146</v>
      </c>
      <c r="L4" s="11">
        <f>IF(L$3=0,"",SUMIFS(INDEX(Inputs!$D$4:$AG$150,0,MATCH(L$2,Inputs!$D$2:$AG$2,0)),Inputs!$B$4:$B$150,$B4)/1000)</f>
        <v>117154</v>
      </c>
      <c r="M4" s="12">
        <f>IF(COUNT(I4:L4)=4,SUM(I4:L4),"")</f>
        <v>387537</v>
      </c>
      <c r="N4" s="11">
        <f>IF(N$3=0,"",SUMIFS(INDEX(Inputs!$D$4:$AG$150,0,MATCH(N$2,Inputs!$D$2:$AG$2,0)),Inputs!$B$4:$B$150,$B4)/1000)</f>
        <v>94836</v>
      </c>
      <c r="O4" s="11">
        <f>IF(O$3=0,"",SUMIFS(INDEX(Inputs!$D$4:$AG$150,0,MATCH(O$2,Inputs!$D$2:$AG$2,0)),Inputs!$B$4:$B$150,$B4)/1000)</f>
        <v>81797</v>
      </c>
      <c r="P4" s="11">
        <f>IF(P$3=0,"",SUMIFS(INDEX(Inputs!$D$4:$AG$150,0,MATCH(P$2,Inputs!$D$2:$AG$2,0)),Inputs!$B$4:$B$150,$B4)/1000)</f>
        <v>89498</v>
      </c>
      <c r="Q4" s="11">
        <f>IF(Q$3=0,"",SUMIFS(INDEX(Inputs!$D$4:$AG$150,0,MATCH(Q$2,Inputs!$D$2:$AG$2,0)),Inputs!$B$4:$B$150,$B4)/1000)</f>
        <v>119575</v>
      </c>
      <c r="R4" s="12">
        <f>IF(COUNT(N4:Q4)=4,SUM(N4:Q4),"")</f>
        <v>385706</v>
      </c>
      <c r="S4" s="11">
        <f>IF(S$3=0,"",SUMIFS(INDEX(Inputs!$D$4:$AG$150,0,MATCH(S$2,Inputs!$D$2:$AG$2,0)),Inputs!$B$4:$B$150,$B4)/1000)</f>
        <v>90753</v>
      </c>
      <c r="T4" s="11">
        <f>IF(T$3=0,"",SUMIFS(INDEX(Inputs!$D$4:$AG$150,0,MATCH(T$2,Inputs!$D$2:$AG$2,0)),Inputs!$B$4:$B$150,$B4)/1000)</f>
        <v>85777</v>
      </c>
      <c r="U4" s="11">
        <f>IF(U$3=0,"",SUMIFS(INDEX(Inputs!$D$4:$AG$150,0,MATCH(U$2,Inputs!$D$2:$AG$2,0)),Inputs!$B$4:$B$150,$B4)/1000)</f>
        <v>94930</v>
      </c>
      <c r="V4" s="11">
        <f>IF(V$3=0,"",SUMIFS(INDEX(Inputs!$D$4:$AG$150,0,MATCH(V$2,Inputs!$D$2:$AG$2,0)),Inputs!$B$4:$B$150,$B4)/1000)</f>
        <v>124300</v>
      </c>
      <c r="W4" s="12">
        <f>IF(COUNT(S4:V4)=4,SUM(S4:V4),"")</f>
        <v>395760</v>
      </c>
      <c r="X4" s="11">
        <f>IF(X$3=0,"",SUMIFS(INDEX(Inputs!$D$4:$AG$150,0,MATCH(X$2,Inputs!$D$2:$AG$2,0)),Inputs!$B$4:$B$150,$B4)/1000)</f>
        <v>95359</v>
      </c>
      <c r="Y4" s="11">
        <f>IF(Y$3=0,"",SUMIFS(INDEX(Inputs!$D$4:$AG$150,0,MATCH(Y$2,Inputs!$D$2:$AG$2,0)),Inputs!$B$4:$B$150,$B4)/1000)</f>
        <v>94036</v>
      </c>
      <c r="Z4" s="11">
        <f>IF(Z$3=0,"",SUMIFS(INDEX(Inputs!$D$4:$AG$150,0,MATCH(Z$2,Inputs!$D$2:$AG$2,0)),Inputs!$B$4:$B$150,$B4)/1000)</f>
        <v>102466</v>
      </c>
      <c r="AA4" s="11">
        <f>IF(AA$3=0,"",SUMIFS(INDEX(Inputs!$D$4:$AG$150,0,MATCH(AA$2,Inputs!$D$2:$AG$2,0)),Inputs!$B$4:$B$150,$B4)/1000)</f>
        <v>143756</v>
      </c>
      <c r="AB4" s="12">
        <f>IF(COUNT(X4:AA4)=4,SUM(X4:AA4),"")</f>
        <v>435617</v>
      </c>
      <c r="AC4" s="11">
        <f>IF(AC$3=0,"",SUMIFS(INDEX(Inputs!$D$4:$AG$150,0,MATCH(AC$2,Inputs!$D$2:$AG$2,0)),Inputs!$B$4:$B$150,$B4)/1000)</f>
        <v>111184</v>
      </c>
      <c r="AD4" s="11">
        <f>IF(AD$3=0,"",SUMIFS(INDEX(Inputs!$D$4:$AG$150,0,MATCH(AD$2,Inputs!$D$2:$AG$2,0)),Inputs!$B$4:$B$150,$B4)/1000)</f>
        <v>109417</v>
      </c>
      <c r="AE4" s="11" t="str">
        <f>IF(AE$3=0,"",SUMIFS(INDEX(Inputs!$D$4:$AG$150,0,MATCH(AE$2,Inputs!$D$2:$AG$2,0)),Inputs!$B$4:$B$150,$B4)/1000)</f>
        <v/>
      </c>
      <c r="AF4" s="11" t="str">
        <f>IF(AF$3=0,"",SUMIFS(INDEX(Inputs!$D$4:$AG$150,0,MATCH(AF$2,Inputs!$D$2:$AG$2,0)),Inputs!$B$4:$B$150,$B4)/1000)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IF(D$3=0,"",SUMIFS(INDEX(Inputs!$D$4:$AG$150,0,MATCH(D$2,Inputs!$D$2:$AG$2,0)),Inputs!$B$4:$B$150,$B5)/1000)</f>
        <v>-51505</v>
      </c>
      <c r="E5" s="11">
        <f>IF(E$3=0,"",SUMIFS(INDEX(Inputs!$D$4:$AG$150,0,MATCH(E$2,Inputs!$D$2:$AG$2,0)),Inputs!$B$4:$B$150,$B5)/1000)</f>
        <v>-46179</v>
      </c>
      <c r="F5" s="11">
        <f>IF(F$3=0,"",SUMIFS(INDEX(Inputs!$D$4:$AG$150,0,MATCH(F$2,Inputs!$D$2:$AG$2,0)),Inputs!$B$4:$B$150,$B5)/1000)</f>
        <v>-48186</v>
      </c>
      <c r="G5" s="11">
        <f>IF(G$3=0,"",SUMIFS(INDEX(Inputs!$D$4:$AG$150,0,MATCH(G$2,Inputs!$D$2:$AG$2,0)),Inputs!$B$4:$B$150,$B5)/1000)</f>
        <v>-69702</v>
      </c>
      <c r="H5" s="12">
        <f>IF(COUNT(D5:G5)=4,SUM(D5:G5),"")</f>
        <v>-215572</v>
      </c>
      <c r="I5" s="11">
        <f>IF(I$3=0,"",SUMIFS(INDEX(Inputs!$D$4:$AG$150,0,MATCH(I$2,Inputs!$D$2:$AG$2,0)),Inputs!$B$4:$B$150,$B5)/1000)</f>
        <v>-54719</v>
      </c>
      <c r="J5" s="11">
        <f>IF(J$3=0,"",SUMIFS(INDEX(Inputs!$D$4:$AG$150,0,MATCH(J$2,Inputs!$D$2:$AG$2,0)),Inputs!$B$4:$B$150,$B5)/1000)</f>
        <v>-47074</v>
      </c>
      <c r="K5" s="11">
        <f>IF(K$3=0,"",SUMIFS(INDEX(Inputs!$D$4:$AG$150,0,MATCH(K$2,Inputs!$D$2:$AG$2,0)),Inputs!$B$4:$B$150,$B5)/1000)</f>
        <v>-52051</v>
      </c>
      <c r="L5" s="11">
        <f>IF(L$3=0,"",SUMIFS(INDEX(Inputs!$D$4:$AG$150,0,MATCH(L$2,Inputs!$D$2:$AG$2,0)),Inputs!$B$4:$B$150,$B5)/1000)</f>
        <v>-66822</v>
      </c>
      <c r="M5" s="12">
        <f>IF(COUNT(I5:L5)=4,SUM(I5:L5),"")</f>
        <v>-220666</v>
      </c>
      <c r="N5" s="11">
        <f>IF(N$3=0,"",SUMIFS(INDEX(Inputs!$D$4:$AG$150,0,MATCH(N$2,Inputs!$D$2:$AG$2,0)),Inputs!$B$4:$B$150,$B5)/1000)</f>
        <v>-52860</v>
      </c>
      <c r="O5" s="11">
        <f>IF(O$3=0,"",SUMIFS(INDEX(Inputs!$D$4:$AG$150,0,MATCH(O$2,Inputs!$D$2:$AG$2,0)),Inputs!$B$4:$B$150,$B5)/1000)</f>
        <v>-45384</v>
      </c>
      <c r="P5" s="11">
        <f>IF(P$3=0,"",SUMIFS(INDEX(Inputs!$D$4:$AG$150,0,MATCH(P$2,Inputs!$D$2:$AG$2,0)),Inputs!$B$4:$B$150,$B5)/1000)</f>
        <v>-49071</v>
      </c>
      <c r="Q5" s="11">
        <f>IF(Q$3=0,"",SUMIFS(INDEX(Inputs!$D$4:$AG$150,0,MATCH(Q$2,Inputs!$D$2:$AG$2,0)),Inputs!$B$4:$B$150,$B5)/1000)</f>
        <v>-64720</v>
      </c>
      <c r="R5" s="12">
        <f>IF(COUNT(N5:Q5)=4,SUM(N5:Q5),"")</f>
        <v>-212035</v>
      </c>
      <c r="S5" s="11">
        <f>IF(S$3=0,"",SUMIFS(INDEX(Inputs!$D$4:$AG$150,0,MATCH(S$2,Inputs!$D$2:$AG$2,0)),Inputs!$B$4:$B$150,$B5)/1000)</f>
        <v>-48482</v>
      </c>
      <c r="T5" s="11">
        <f>IF(T$3=0,"",SUMIFS(INDEX(Inputs!$D$4:$AG$150,0,MATCH(T$2,Inputs!$D$2:$AG$2,0)),Inputs!$B$4:$B$150,$B5)/1000)</f>
        <v>-46099</v>
      </c>
      <c r="U5" s="11">
        <f>IF(U$3=0,"",SUMIFS(INDEX(Inputs!$D$4:$AG$150,0,MATCH(U$2,Inputs!$D$2:$AG$2,0)),Inputs!$B$4:$B$150,$B5)/1000)</f>
        <v>-51051</v>
      </c>
      <c r="V5" s="11">
        <f>IF(V$3=0,"",SUMIFS(INDEX(Inputs!$D$4:$AG$150,0,MATCH(V$2,Inputs!$D$2:$AG$2,0)),Inputs!$B$4:$B$150,$B5)/1000)</f>
        <v>-66025</v>
      </c>
      <c r="W5" s="12">
        <f>IF(COUNT(S5:V5)=4,SUM(S5:V5),"")</f>
        <v>-211657</v>
      </c>
      <c r="X5" s="11">
        <f>IF(X$3=0,"",SUMIFS(INDEX(Inputs!$D$4:$AG$150,0,MATCH(X$2,Inputs!$D$2:$AG$2,0)),Inputs!$B$4:$B$150,$B5)/1000)</f>
        <v>-50492</v>
      </c>
      <c r="Y5" s="11">
        <f>IF(Y$3=0,"",SUMIFS(INDEX(Inputs!$D$4:$AG$150,0,MATCH(Y$2,Inputs!$D$2:$AG$2,0)),Inputs!$B$4:$B$150,$B5)/1000)</f>
        <v>-50318</v>
      </c>
      <c r="Z5" s="11">
        <f>IF(Z$3=0,"",SUMIFS(INDEX(Inputs!$D$4:$AG$150,0,MATCH(Z$2,Inputs!$D$2:$AG$2,0)),Inputs!$B$4:$B$150,$B5)/1000)</f>
        <v>-54125</v>
      </c>
      <c r="AA5" s="11">
        <f>IF(AA$3=0,"",SUMIFS(INDEX(Inputs!$D$4:$AG$150,0,MATCH(AA$2,Inputs!$D$2:$AG$2,0)),Inputs!$B$4:$B$150,$B5)/1000)</f>
        <v>-74525</v>
      </c>
      <c r="AB5" s="12">
        <f>IF(COUNT(X5:AA5)=4,SUM(X5:AA5),"")</f>
        <v>-229460</v>
      </c>
      <c r="AC5" s="11">
        <f>IF(AC$3=0,"",SUMIFS(INDEX(Inputs!$D$4:$AG$150,0,MATCH(AC$2,Inputs!$D$2:$AG$2,0)),Inputs!$B$4:$B$150,$B5)/1000)</f>
        <v>-56403</v>
      </c>
      <c r="AD5" s="11">
        <f>IF(AD$3=0,"",SUMIFS(INDEX(Inputs!$D$4:$AG$150,0,MATCH(AD$2,Inputs!$D$2:$AG$2,0)),Inputs!$B$4:$B$150,$B5)/1000)</f>
        <v>-54647</v>
      </c>
      <c r="AE5" s="11" t="str">
        <f>IF(AE$3=0,"",SUMIFS(INDEX(Inputs!$D$4:$AG$150,0,MATCH(AE$2,Inputs!$D$2:$AG$2,0)),Inputs!$B$4:$B$150,$B5)/1000)</f>
        <v/>
      </c>
      <c r="AF5" s="11" t="str">
        <f>IF(AF$3=0,"",SUMIFS(INDEX(Inputs!$D$4:$AG$150,0,MATCH(AF$2,Inputs!$D$2:$AG$2,0)),Inputs!$B$4:$B$150,$B5)/1000)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IF(D$3=0,"",SUMIFS(INDEX(Inputs!$D$4:$AG$150,0,MATCH(D$2,Inputs!$D$2:$AG$2,0)),Inputs!$B$4:$B$150,$B6)/1000)</f>
        <v>-10927</v>
      </c>
      <c r="E6" s="11">
        <f>IF(E$3=0,"",SUMIFS(INDEX(Inputs!$D$4:$AG$150,0,MATCH(E$2,Inputs!$D$2:$AG$2,0)),Inputs!$B$4:$B$150,$B6)/1000)</f>
        <v>-8297</v>
      </c>
      <c r="F6" s="11">
        <f>IF(F$3=0,"",SUMIFS(INDEX(Inputs!$D$4:$AG$150,0,MATCH(F$2,Inputs!$D$2:$AG$2,0)),Inputs!$B$4:$B$150,$B6)/1000)</f>
        <v>-8399</v>
      </c>
      <c r="G6" s="11">
        <f>IF(G$3=0,"",SUMIFS(INDEX(Inputs!$D$4:$AG$150,0,MATCH(G$2,Inputs!$D$2:$AG$2,0)),Inputs!$B$4:$B$150,$B6)/1000)</f>
        <v>-10058</v>
      </c>
      <c r="H6" s="12">
        <f>IF(COUNT(D6:G6)=4,SUM(D6:G6),"")</f>
        <v>-37681</v>
      </c>
      <c r="I6" s="11">
        <f>IF(I$3=0,"",SUMIFS(INDEX(Inputs!$D$4:$AG$150,0,MATCH(I$2,Inputs!$D$2:$AG$2,0)),Inputs!$B$4:$B$150,$B6)/1000)</f>
        <v>-9843</v>
      </c>
      <c r="J6" s="11">
        <f>IF(J$3=0,"",SUMIFS(INDEX(Inputs!$D$4:$AG$150,0,MATCH(J$2,Inputs!$D$2:$AG$2,0)),Inputs!$B$4:$B$150,$B6)/1000)</f>
        <v>-10004</v>
      </c>
      <c r="K6" s="11">
        <f>IF(K$3=0,"",SUMIFS(INDEX(Inputs!$D$4:$AG$150,0,MATCH(K$2,Inputs!$D$2:$AG$2,0)),Inputs!$B$4:$B$150,$B6)/1000)</f>
        <v>-10336</v>
      </c>
      <c r="L6" s="11">
        <f>IF(L$3=0,"",SUMIFS(INDEX(Inputs!$D$4:$AG$150,0,MATCH(L$2,Inputs!$D$2:$AG$2,0)),Inputs!$B$4:$B$150,$B6)/1000)</f>
        <v>-11400</v>
      </c>
      <c r="M6" s="12">
        <f>IF(COUNT(I6:L6)=4,SUM(I6:L6),"")</f>
        <v>-41583</v>
      </c>
      <c r="N6" s="11">
        <f>IF(N$3=0,"",SUMIFS(INDEX(Inputs!$D$4:$AG$150,0,MATCH(N$2,Inputs!$D$2:$AG$2,0)),Inputs!$B$4:$B$150,$B6)/1000)</f>
        <v>-10760</v>
      </c>
      <c r="O6" s="11">
        <f>IF(O$3=0,"",SUMIFS(INDEX(Inputs!$D$4:$AG$150,0,MATCH(O$2,Inputs!$D$2:$AG$2,0)),Inputs!$B$4:$B$150,$B6)/1000)</f>
        <v>-10363</v>
      </c>
      <c r="P6" s="11">
        <f>IF(P$3=0,"",SUMIFS(INDEX(Inputs!$D$4:$AG$150,0,MATCH(P$2,Inputs!$D$2:$AG$2,0)),Inputs!$B$4:$B$150,$B6)/1000)</f>
        <v>-10805</v>
      </c>
      <c r="Q6" s="11">
        <f>IF(Q$3=0,"",SUMIFS(INDEX(Inputs!$D$4:$AG$150,0,MATCH(Q$2,Inputs!$D$2:$AG$2,0)),Inputs!$B$4:$B$150,$B6)/1000)</f>
        <v>-11634</v>
      </c>
      <c r="R6" s="12">
        <f>IF(COUNT(N6:Q6)=4,SUM(N6:Q6),"")</f>
        <v>-43562</v>
      </c>
      <c r="S6" s="11">
        <f>IF(S$3=0,"",SUMIFS(INDEX(Inputs!$D$4:$AG$150,0,MATCH(S$2,Inputs!$D$2:$AG$2,0)),Inputs!$B$4:$B$150,$B6)/1000)</f>
        <v>-11535</v>
      </c>
      <c r="T6" s="11">
        <f>IF(T$3=0,"",SUMIFS(INDEX(Inputs!$D$4:$AG$150,0,MATCH(T$2,Inputs!$D$2:$AG$2,0)),Inputs!$B$4:$B$150,$B6)/1000)</f>
        <v>-11476</v>
      </c>
      <c r="U6" s="11">
        <f>IF(U$3=0,"",SUMIFS(INDEX(Inputs!$D$4:$AG$150,0,MATCH(U$2,Inputs!$D$2:$AG$2,0)),Inputs!$B$4:$B$150,$B6)/1000)</f>
        <v>-11377</v>
      </c>
      <c r="V6" s="11">
        <f>IF(V$3=0,"",SUMIFS(INDEX(Inputs!$D$4:$AG$150,0,MATCH(V$2,Inputs!$D$2:$AG$2,0)),Inputs!$B$4:$B$150,$B6)/1000)</f>
        <v>-12363</v>
      </c>
      <c r="W6" s="12">
        <f>IF(COUNT(S6:V6)=4,SUM(S6:V6),"")</f>
        <v>-46751</v>
      </c>
      <c r="X6" s="11">
        <f>IF(X$3=0,"",SUMIFS(INDEX(Inputs!$D$4:$AG$150,0,MATCH(X$2,Inputs!$D$2:$AG$2,0)),Inputs!$B$4:$B$150,$B6)/1000)</f>
        <v>-12617</v>
      </c>
      <c r="Y6" s="11">
        <f>IF(Y$3=0,"",SUMIFS(INDEX(Inputs!$D$4:$AG$150,0,MATCH(Y$2,Inputs!$D$2:$AG$2,0)),Inputs!$B$4:$B$150,$B6)/1000)</f>
        <v>-12686</v>
      </c>
      <c r="Z6" s="11">
        <f>IF(Z$3=0,"",SUMIFS(INDEX(Inputs!$D$4:$AG$150,0,MATCH(Z$2,Inputs!$D$2:$AG$2,0)),Inputs!$B$4:$B$150,$B6)/1000)</f>
        <v>-12787</v>
      </c>
      <c r="AA6" s="11">
        <f>IF(AA$3=0,"",SUMIFS(INDEX(Inputs!$D$4:$AG$150,0,MATCH(AA$2,Inputs!$D$2:$AG$2,0)),Inputs!$B$4:$B$150,$B6)/1000)</f>
        <v>-15165</v>
      </c>
      <c r="AB6" s="12">
        <f>IF(COUNT(X6:AA6)=4,SUM(X6:AA6),"")</f>
        <v>-53255</v>
      </c>
      <c r="AC6" s="11">
        <f>IF(AC$3=0,"",SUMIFS(INDEX(Inputs!$D$4:$AG$150,0,MATCH(AC$2,Inputs!$D$2:$AG$2,0)),Inputs!$B$4:$B$150,$B6)/1000)</f>
        <v>-15457</v>
      </c>
      <c r="AD6" s="11">
        <f>IF(AD$3=0,"",SUMIFS(INDEX(Inputs!$D$4:$AG$150,0,MATCH(AD$2,Inputs!$D$2:$AG$2,0)),Inputs!$B$4:$B$150,$B6)/1000)</f>
        <v>-15755</v>
      </c>
      <c r="AE6" s="11" t="str">
        <f>IF(AE$3=0,"",SUMIFS(INDEX(Inputs!$D$4:$AG$150,0,MATCH(AE$2,Inputs!$D$2:$AG$2,0)),Inputs!$B$4:$B$150,$B6)/1000)</f>
        <v/>
      </c>
      <c r="AF6" s="11" t="str">
        <f>IF(AF$3=0,"",SUMIFS(INDEX(Inputs!$D$4:$AG$150,0,MATCH(AF$2,Inputs!$D$2:$AG$2,0)),Inputs!$B$4:$B$150,$B6)/1000)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IF(D$3=0,"",SUMIFS(INDEX(Inputs!$D$4:$AG$150,0,MATCH(D$2,Inputs!$D$2:$AG$2,0)),Inputs!$B$4:$B$150,$B7)/1000)</f>
        <v>351</v>
      </c>
      <c r="E7" s="11">
        <f>IF(E$3=0,"",SUMIFS(INDEX(Inputs!$D$4:$AG$150,0,MATCH(E$2,Inputs!$D$2:$AG$2,0)),Inputs!$B$4:$B$150,$B7)/1000)</f>
        <v>-2832</v>
      </c>
      <c r="F7" s="11">
        <f>IF(F$3=0,"",SUMIFS(INDEX(Inputs!$D$4:$AG$150,0,MATCH(F$2,Inputs!$D$2:$AG$2,0)),Inputs!$B$4:$B$150,$B7)/1000)</f>
        <v>-2989</v>
      </c>
      <c r="G7" s="11">
        <f>IF(G$3=0,"",SUMIFS(INDEX(Inputs!$D$4:$AG$150,0,MATCH(G$2,Inputs!$D$2:$AG$2,0)),Inputs!$B$4:$B$150,$B7)/1000)</f>
        <v>-2697</v>
      </c>
      <c r="H7" s="12">
        <f>IF(COUNT(D7:G7)=4,SUM(D7:G7),"")</f>
        <v>-8167</v>
      </c>
      <c r="I7" s="11">
        <f>IF(I$3=0,"",SUMIFS(INDEX(Inputs!$D$4:$AG$150,0,MATCH(I$2,Inputs!$D$2:$AG$2,0)),Inputs!$B$4:$B$150,$B7)/1000)</f>
        <v>-2737</v>
      </c>
      <c r="J7" s="11">
        <f>IF(J$3=0,"",SUMIFS(INDEX(Inputs!$D$4:$AG$150,0,MATCH(J$2,Inputs!$D$2:$AG$2,0)),Inputs!$B$4:$B$150,$B7)/1000)</f>
        <v>-2805</v>
      </c>
      <c r="K7" s="11">
        <f>IF(K$3=0,"",SUMIFS(INDEX(Inputs!$D$4:$AG$150,0,MATCH(K$2,Inputs!$D$2:$AG$2,0)),Inputs!$B$4:$B$150,$B7)/1000)</f>
        <v>-2865</v>
      </c>
      <c r="L7" s="11">
        <f>IF(L$3=0,"",SUMIFS(INDEX(Inputs!$D$4:$AG$150,0,MATCH(L$2,Inputs!$D$2:$AG$2,0)),Inputs!$B$4:$B$150,$B7)/1000)</f>
        <v>-2916</v>
      </c>
      <c r="M7" s="12">
        <f>IF(COUNT(I7:L7)=4,SUM(I7:L7),"")</f>
        <v>-11323</v>
      </c>
      <c r="N7" s="11">
        <f>IF(N$3=0,"",SUMIFS(INDEX(Inputs!$D$4:$AG$150,0,MATCH(N$2,Inputs!$D$2:$AG$2,0)),Inputs!$B$4:$B$150,$B7)/1000)</f>
        <v>-2898</v>
      </c>
      <c r="O7" s="11">
        <f>IF(O$3=0,"",SUMIFS(INDEX(Inputs!$D$4:$AG$150,0,MATCH(O$2,Inputs!$D$2:$AG$2,0)),Inputs!$B$4:$B$150,$B7)/1000)</f>
        <v>-3052</v>
      </c>
      <c r="P7" s="11">
        <f>IF(P$3=0,"",SUMIFS(INDEX(Inputs!$D$4:$AG$150,0,MATCH(P$2,Inputs!$D$2:$AG$2,0)),Inputs!$B$4:$B$150,$B7)/1000)</f>
        <v>-2653</v>
      </c>
      <c r="Q7" s="11">
        <f>IF(Q$3=0,"",SUMIFS(INDEX(Inputs!$D$4:$AG$150,0,MATCH(Q$2,Inputs!$D$2:$AG$2,0)),Inputs!$B$4:$B$150,$B7)/1000)</f>
        <v>-2848</v>
      </c>
      <c r="R7" s="12">
        <f>IF(COUNT(N7:Q7)=4,SUM(N7:Q7),"")</f>
        <v>-11451</v>
      </c>
      <c r="S7" s="11">
        <f>IF(S$3=0,"",SUMIFS(INDEX(Inputs!$D$4:$AG$150,0,MATCH(S$2,Inputs!$D$2:$AG$2,0)),Inputs!$B$4:$B$150,$B7)/1000)</f>
        <v>-2836</v>
      </c>
      <c r="T7" s="11">
        <f>IF(T$3=0,"",SUMIFS(INDEX(Inputs!$D$4:$AG$150,0,MATCH(T$2,Inputs!$D$2:$AG$2,0)),Inputs!$B$4:$B$150,$B7)/1000)</f>
        <v>-2850</v>
      </c>
      <c r="U7" s="11">
        <f>IF(U$3=0,"",SUMIFS(INDEX(Inputs!$D$4:$AG$150,0,MATCH(U$2,Inputs!$D$2:$AG$2,0)),Inputs!$B$4:$B$150,$B7)/1000)</f>
        <v>-2911</v>
      </c>
      <c r="V7" s="11">
        <f>IF(V$3=0,"",SUMIFS(INDEX(Inputs!$D$4:$AG$150,0,MATCH(V$2,Inputs!$D$2:$AG$2,0)),Inputs!$B$4:$B$150,$B7)/1000)</f>
        <v>-3080</v>
      </c>
      <c r="W7" s="12">
        <f>IF(COUNT(S7:V7)=4,SUM(S7:V7),"")</f>
        <v>-11677</v>
      </c>
      <c r="X7" s="11">
        <f>IF(X$3=0,"",SUMIFS(INDEX(Inputs!$D$4:$AG$150,0,MATCH(X$2,Inputs!$D$2:$AG$2,0)),Inputs!$B$4:$B$150,$B7)/1000)</f>
        <v>-2661</v>
      </c>
      <c r="Y7" s="11">
        <f>IF(Y$3=0,"",SUMIFS(INDEX(Inputs!$D$4:$AG$150,0,MATCH(Y$2,Inputs!$D$2:$AG$2,0)),Inputs!$B$4:$B$150,$B7)/1000)</f>
        <v>-2830</v>
      </c>
      <c r="Z7" s="11">
        <f>IF(Z$3=0,"",SUMIFS(INDEX(Inputs!$D$4:$AG$150,0,MATCH(Z$2,Inputs!$D$2:$AG$2,0)),Inputs!$B$4:$B$150,$B7)/1000)</f>
        <v>-3127</v>
      </c>
      <c r="AA7" s="11">
        <f>IF(AA$3=0,"",SUMIFS(INDEX(Inputs!$D$4:$AG$150,0,MATCH(AA$2,Inputs!$D$2:$AG$2,0)),Inputs!$B$4:$B$150,$B7)/1000)</f>
        <v>-3214</v>
      </c>
      <c r="AB7" s="12">
        <f>IF(COUNT(X7:AA7)=4,SUM(X7:AA7),"")</f>
        <v>-11832</v>
      </c>
      <c r="AC7" s="11">
        <f>IF(AC$3=0,"",SUMIFS(INDEX(Inputs!$D$4:$AG$150,0,MATCH(AC$2,Inputs!$D$2:$AG$2,0)),Inputs!$B$4:$B$150,$B7)/1000)</f>
        <v>-3439</v>
      </c>
      <c r="AD7" s="11">
        <f>IF(AD$3=0,"",SUMIFS(INDEX(Inputs!$D$4:$AG$150,0,MATCH(AD$2,Inputs!$D$2:$AG$2,0)),Inputs!$B$4:$B$150,$B7)/1000)</f>
        <v>-3320</v>
      </c>
      <c r="AE7" s="11" t="str">
        <f>IF(AE$3=0,"",SUMIFS(INDEX(Inputs!$D$4:$AG$150,0,MATCH(AE$2,Inputs!$D$2:$AG$2,0)),Inputs!$B$4:$B$150,$B7)/1000)</f>
        <v/>
      </c>
      <c r="AF7" s="11" t="str">
        <f>IF(AF$3=0,"",SUMIFS(INDEX(Inputs!$D$4:$AG$150,0,MATCH(AF$2,Inputs!$D$2:$AG$2,0)),Inputs!$B$4:$B$150,$B7)/1000)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IF(D$3=0,"",SUMIFS(INDEX(Inputs!$D$4:$AG$150,0,MATCH(D$2,Inputs!$D$2:$AG$2,0)),Inputs!$B$4:$B$150,$B8)/1000)</f>
        <v>0</v>
      </c>
      <c r="E8" s="11">
        <f>IF(E$3=0,"",SUMIFS(INDEX(Inputs!$D$4:$AG$150,0,MATCH(E$2,Inputs!$D$2:$AG$2,0)),Inputs!$B$4:$B$150,$B8)/1000)</f>
        <v>0</v>
      </c>
      <c r="F8" s="11">
        <f>IF(F$3=0,"",SUMIFS(INDEX(Inputs!$D$4:$AG$150,0,MATCH(F$2,Inputs!$D$2:$AG$2,0)),Inputs!$B$4:$B$150,$B8)/1000)</f>
        <v>0</v>
      </c>
      <c r="G8" s="11">
        <f>IF(G$3=0,"",SUMIFS(INDEX(Inputs!$D$4:$AG$150,0,MATCH(G$2,Inputs!$D$2:$AG$2,0)),Inputs!$B$4:$B$150,$B8)/1000)</f>
        <v>0</v>
      </c>
      <c r="H8" s="12">
        <f>IF(COUNT(D8:G8)=4,SUM(D8:G8),"")</f>
        <v>0</v>
      </c>
      <c r="I8" s="11">
        <f>IF(I$3=0,"",SUMIFS(INDEX(Inputs!$D$4:$AG$150,0,MATCH(I$2,Inputs!$D$2:$AG$2,0)),Inputs!$B$4:$B$150,$B8)/1000)</f>
        <v>0</v>
      </c>
      <c r="J8" s="11">
        <f>IF(J$3=0,"",SUMIFS(INDEX(Inputs!$D$4:$AG$150,0,MATCH(J$2,Inputs!$D$2:$AG$2,0)),Inputs!$B$4:$B$150,$B8)/1000)</f>
        <v>0</v>
      </c>
      <c r="K8" s="11">
        <f>IF(K$3=0,"",SUMIFS(INDEX(Inputs!$D$4:$AG$150,0,MATCH(K$2,Inputs!$D$2:$AG$2,0)),Inputs!$B$4:$B$150,$B8)/1000)</f>
        <v>0</v>
      </c>
      <c r="L8" s="11">
        <f>IF(L$3=0,"",SUMIFS(INDEX(Inputs!$D$4:$AG$150,0,MATCH(L$2,Inputs!$D$2:$AG$2,0)),Inputs!$B$4:$B$150,$B8)/1000)</f>
        <v>0</v>
      </c>
      <c r="M8" s="12">
        <f>IF(COUNT(I8:L8)=4,SUM(I8:L8),"")</f>
        <v>0</v>
      </c>
      <c r="N8" s="11">
        <f>IF(N$3=0,"",SUMIFS(INDEX(Inputs!$D$4:$AG$150,0,MATCH(N$2,Inputs!$D$2:$AG$2,0)),Inputs!$B$4:$B$150,$B8)/1000)</f>
        <v>0</v>
      </c>
      <c r="O8" s="11">
        <f>IF(O$3=0,"",SUMIFS(INDEX(Inputs!$D$4:$AG$150,0,MATCH(O$2,Inputs!$D$2:$AG$2,0)),Inputs!$B$4:$B$150,$B8)/1000)</f>
        <v>0</v>
      </c>
      <c r="P8" s="11">
        <f>IF(P$3=0,"",SUMIFS(INDEX(Inputs!$D$4:$AG$150,0,MATCH(P$2,Inputs!$D$2:$AG$2,0)),Inputs!$B$4:$B$150,$B8)/1000)</f>
        <v>0</v>
      </c>
      <c r="Q8" s="11">
        <f>IF(Q$3=0,"",SUMIFS(INDEX(Inputs!$D$4:$AG$150,0,MATCH(Q$2,Inputs!$D$2:$AG$2,0)),Inputs!$B$4:$B$150,$B8)/1000)</f>
        <v>0</v>
      </c>
      <c r="R8" s="12">
        <f>IF(COUNT(N8:Q8)=4,SUM(N8:Q8),"")</f>
        <v>0</v>
      </c>
      <c r="S8" s="11">
        <f>IF(S$3=0,"",SUMIFS(INDEX(Inputs!$D$4:$AG$150,0,MATCH(S$2,Inputs!$D$2:$AG$2,0)),Inputs!$B$4:$B$150,$B8)/1000)</f>
        <v>0</v>
      </c>
      <c r="T8" s="11">
        <f>IF(T$3=0,"",SUMIFS(INDEX(Inputs!$D$4:$AG$150,0,MATCH(T$2,Inputs!$D$2:$AG$2,0)),Inputs!$B$4:$B$150,$B8)/1000)</f>
        <v>0</v>
      </c>
      <c r="U8" s="11">
        <f>IF(U$3=0,"",SUMIFS(INDEX(Inputs!$D$4:$AG$150,0,MATCH(U$2,Inputs!$D$2:$AG$2,0)),Inputs!$B$4:$B$150,$B8)/1000)</f>
        <v>0</v>
      </c>
      <c r="V8" s="11">
        <f>IF(V$3=0,"",SUMIFS(INDEX(Inputs!$D$4:$AG$150,0,MATCH(V$2,Inputs!$D$2:$AG$2,0)),Inputs!$B$4:$B$150,$B8)/1000)</f>
        <v>0</v>
      </c>
      <c r="W8" s="12">
        <f>IF(COUNT(S8:V8)=4,SUM(S8:V8),"")</f>
        <v>0</v>
      </c>
      <c r="X8" s="11">
        <f>IF(X$3=0,"",SUMIFS(INDEX(Inputs!$D$4:$AG$150,0,MATCH(X$2,Inputs!$D$2:$AG$2,0)),Inputs!$B$4:$B$150,$B8)/1000)</f>
        <v>0</v>
      </c>
      <c r="Y8" s="11">
        <f>IF(Y$3=0,"",SUMIFS(INDEX(Inputs!$D$4:$AG$150,0,MATCH(Y$2,Inputs!$D$2:$AG$2,0)),Inputs!$B$4:$B$150,$B8)/1000)</f>
        <v>0</v>
      </c>
      <c r="Z8" s="11">
        <f>IF(Z$3=0,"",SUMIFS(INDEX(Inputs!$D$4:$AG$150,0,MATCH(Z$2,Inputs!$D$2:$AG$2,0)),Inputs!$B$4:$B$150,$B8)/1000)</f>
        <v>0</v>
      </c>
      <c r="AA8" s="11">
        <f>IF(AA$3=0,"",SUMIFS(INDEX(Inputs!$D$4:$AG$150,0,MATCH(AA$2,Inputs!$D$2:$AG$2,0)),Inputs!$B$4:$B$150,$B8)/1000)</f>
        <v>0</v>
      </c>
      <c r="AB8" s="12">
        <f>IF(COUNT(X8:AA8)=4,SUM(X8:AA8),"")</f>
        <v>0</v>
      </c>
      <c r="AC8" s="11">
        <f>IF(AC$3=0,"",SUMIFS(INDEX(Inputs!$D$4:$AG$150,0,MATCH(AC$2,Inputs!$D$2:$AG$2,0)),Inputs!$B$4:$B$150,$B8)/1000)</f>
        <v>0</v>
      </c>
      <c r="AD8" s="11">
        <f>IF(AD$3=0,"",SUMIFS(INDEX(Inputs!$D$4:$AG$150,0,MATCH(AD$2,Inputs!$D$2:$AG$2,0)),Inputs!$B$4:$B$150,$B8)/1000)</f>
        <v>0</v>
      </c>
      <c r="AE8" s="11" t="str">
        <f>IF(AE$3=0,"",SUMIFS(INDEX(Inputs!$D$4:$AG$150,0,MATCH(AE$2,Inputs!$D$2:$AG$2,0)),Inputs!$B$4:$B$150,$B8)/1000)</f>
        <v/>
      </c>
      <c r="AF8" s="11" t="str">
        <f>IF(AF$3=0,"",SUMIFS(INDEX(Inputs!$D$4:$AG$150,0,MATCH(AF$2,Inputs!$D$2:$AG$2,0)),Inputs!$B$4:$B$150,$B8)/1000)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IF(D$3=0,"",SUMIFS(INDEX(Inputs!$D$4:$AG$150,0,MATCH(D$2,Inputs!$D$2:$AG$2,0)),Inputs!$B$4:$B$150,$B9)/1000)</f>
        <v>508</v>
      </c>
      <c r="E9" s="11">
        <f>IF(E$3=0,"",SUMIFS(INDEX(Inputs!$D$4:$AG$150,0,MATCH(E$2,Inputs!$D$2:$AG$2,0)),Inputs!$B$4:$B$150,$B9)/1000)</f>
        <v>243</v>
      </c>
      <c r="F9" s="11">
        <f>IF(F$3=0,"",SUMIFS(INDEX(Inputs!$D$4:$AG$150,0,MATCH(F$2,Inputs!$D$2:$AG$2,0)),Inputs!$B$4:$B$150,$B9)/1000)</f>
        <v>-538</v>
      </c>
      <c r="G9" s="11">
        <f>IF(G$3=0,"",SUMIFS(INDEX(Inputs!$D$4:$AG$150,0,MATCH(G$2,Inputs!$D$2:$AG$2,0)),Inputs!$B$4:$B$150,$B9)/1000)</f>
        <v>-247</v>
      </c>
      <c r="H9" s="12">
        <f>IF(COUNT(D9:G9)=4,SUM(D9:G9),"")</f>
        <v>-34</v>
      </c>
      <c r="I9" s="11">
        <f>IF(I$3=0,"",SUMIFS(INDEX(Inputs!$D$4:$AG$150,0,MATCH(I$2,Inputs!$D$2:$AG$2,0)),Inputs!$B$4:$B$150,$B9)/1000)</f>
        <v>160</v>
      </c>
      <c r="J9" s="11">
        <f>IF(J$3=0,"",SUMIFS(INDEX(Inputs!$D$4:$AG$150,0,MATCH(J$2,Inputs!$D$2:$AG$2,0)),Inputs!$B$4:$B$150,$B9)/1000)</f>
        <v>-10</v>
      </c>
      <c r="K9" s="11">
        <f>IF(K$3=0,"",SUMIFS(INDEX(Inputs!$D$4:$AG$150,0,MATCH(K$2,Inputs!$D$2:$AG$2,0)),Inputs!$B$4:$B$150,$B9)/1000)</f>
        <v>-237</v>
      </c>
      <c r="L9" s="11">
        <f>IF(L$3=0,"",SUMIFS(INDEX(Inputs!$D$4:$AG$150,0,MATCH(L$2,Inputs!$D$2:$AG$2,0)),Inputs!$B$4:$B$150,$B9)/1000)</f>
        <v>-393</v>
      </c>
      <c r="M9" s="12">
        <f>IF(COUNT(I9:L9)=4,SUM(I9:L9),"")</f>
        <v>-480</v>
      </c>
      <c r="N9" s="11">
        <f>IF(N$3=0,"",SUMIFS(INDEX(Inputs!$D$4:$AG$150,0,MATCH(N$2,Inputs!$D$2:$AG$2,0)),Inputs!$B$4:$B$150,$B9)/1000)</f>
        <v>64</v>
      </c>
      <c r="O9" s="11">
        <f>IF(O$3=0,"",SUMIFS(INDEX(Inputs!$D$4:$AG$150,0,MATCH(O$2,Inputs!$D$2:$AG$2,0)),Inputs!$B$4:$B$150,$B9)/1000)</f>
        <v>-265</v>
      </c>
      <c r="P9" s="11">
        <f>IF(P$3=0,"",SUMIFS(INDEX(Inputs!$D$4:$AG$150,0,MATCH(P$2,Inputs!$D$2:$AG$2,0)),Inputs!$B$4:$B$150,$B9)/1000)</f>
        <v>29</v>
      </c>
      <c r="Q9" s="11">
        <f>IF(Q$3=0,"",SUMIFS(INDEX(Inputs!$D$4:$AG$150,0,MATCH(Q$2,Inputs!$D$2:$AG$2,0)),Inputs!$B$4:$B$150,$B9)/1000)</f>
        <v>-50</v>
      </c>
      <c r="R9" s="12">
        <f>IF(COUNT(N9:Q9)=4,SUM(N9:Q9),"")</f>
        <v>-222</v>
      </c>
      <c r="S9" s="11">
        <f>IF(S$3=0,"",SUMIFS(INDEX(Inputs!$D$4:$AG$150,0,MATCH(S$2,Inputs!$D$2:$AG$2,0)),Inputs!$B$4:$B$150,$B9)/1000)</f>
        <v>158</v>
      </c>
      <c r="T9" s="11">
        <f>IF(T$3=0,"",SUMIFS(INDEX(Inputs!$D$4:$AG$150,0,MATCH(T$2,Inputs!$D$2:$AG$2,0)),Inputs!$B$4:$B$150,$B9)/1000)</f>
        <v>142</v>
      </c>
      <c r="U9" s="11">
        <f>IF(U$3=0,"",SUMIFS(INDEX(Inputs!$D$4:$AG$150,0,MATCH(U$2,Inputs!$D$2:$AG$2,0)),Inputs!$B$4:$B$150,$B9)/1000)</f>
        <v>19</v>
      </c>
      <c r="V9" s="11">
        <f>IF(V$3=0,"",SUMIFS(INDEX(Inputs!$D$4:$AG$150,0,MATCH(V$2,Inputs!$D$2:$AG$2,0)),Inputs!$B$4:$B$150,$B9)/1000)</f>
        <v>-248</v>
      </c>
      <c r="W9" s="12">
        <f>IF(COUNT(S9:V9)=4,SUM(S9:V9),"")</f>
        <v>71</v>
      </c>
      <c r="X9" s="11">
        <f>IF(X$3=0,"",SUMIFS(INDEX(Inputs!$D$4:$AG$150,0,MATCH(X$2,Inputs!$D$2:$AG$2,0)),Inputs!$B$4:$B$150,$B9)/1000)</f>
        <v>-279</v>
      </c>
      <c r="Y9" s="11">
        <f>IF(Y$3=0,"",SUMIFS(INDEX(Inputs!$D$4:$AG$150,0,MATCH(Y$2,Inputs!$D$2:$AG$2,0)),Inputs!$B$4:$B$150,$B9)/1000)</f>
        <v>-171</v>
      </c>
      <c r="Z9" s="11">
        <f>IF(Z$3=0,"",SUMIFS(INDEX(Inputs!$D$4:$AG$150,0,MATCH(Z$2,Inputs!$D$2:$AG$2,0)),Inputs!$B$4:$B$150,$B9)/1000)</f>
        <v>377</v>
      </c>
      <c r="AA9" s="11">
        <f>IF(AA$3=0,"",SUMIFS(INDEX(Inputs!$D$4:$AG$150,0,MATCH(AA$2,Inputs!$D$2:$AG$2,0)),Inputs!$B$4:$B$150,$B9)/1000)</f>
        <v>150</v>
      </c>
      <c r="AB9" s="12">
        <f>IF(COUNT(X9:AA9)=4,SUM(X9:AA9),"")</f>
        <v>77</v>
      </c>
      <c r="AC9" s="11">
        <f>IF(AC$3=0,"",SUMIFS(INDEX(Inputs!$D$4:$AG$150,0,MATCH(AC$2,Inputs!$D$2:$AG$2,0)),Inputs!$B$4:$B$150,$B9)/1000)</f>
        <v>-52</v>
      </c>
      <c r="AD9" s="11">
        <f>IF(AD$3=0,"",SUMIFS(INDEX(Inputs!$D$4:$AG$150,0,MATCH(AD$2,Inputs!$D$2:$AG$2,0)),Inputs!$B$4:$B$150,$B9)/1000)</f>
        <v>572</v>
      </c>
      <c r="AE9" s="11" t="str">
        <f>IF(AE$3=0,"",SUMIFS(INDEX(Inputs!$D$4:$AG$150,0,MATCH(AE$2,Inputs!$D$2:$AG$2,0)),Inputs!$B$4:$B$150,$B9)/1000)</f>
        <v/>
      </c>
      <c r="AF9" s="11" t="str">
        <f>IF(AF$3=0,"",SUMIFS(INDEX(Inputs!$D$4:$AG$150,0,MATCH(AF$2,Inputs!$D$2:$AG$2,0)),Inputs!$B$4:$B$150,$B9)/1000)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IF(D$3=0,"",SUMIFS(INDEX(Inputs!$D$4:$AG$150,0,MATCH(D$2,Inputs!$D$2:$AG$2,0)),Inputs!$B$4:$B$150,$B10)/1000)</f>
        <v>-4381</v>
      </c>
      <c r="E10" s="11">
        <f>IF(E$3=0,"",SUMIFS(INDEX(Inputs!$D$4:$AG$150,0,MATCH(E$2,Inputs!$D$2:$AG$2,0)),Inputs!$B$4:$B$150,$B10)/1000)</f>
        <v>-2625</v>
      </c>
      <c r="F10" s="11">
        <f>IF(F$3=0,"",SUMIFS(INDEX(Inputs!$D$4:$AG$150,0,MATCH(F$2,Inputs!$D$2:$AG$2,0)),Inputs!$B$4:$B$150,$B10)/1000)</f>
        <v>-2697</v>
      </c>
      <c r="G10" s="11">
        <f>IF(G$3=0,"",SUMIFS(INDEX(Inputs!$D$4:$AG$150,0,MATCH(G$2,Inputs!$D$2:$AG$2,0)),Inputs!$B$4:$B$150,$B10)/1000)</f>
        <v>-6611</v>
      </c>
      <c r="H10" s="12">
        <f>IF(COUNT(D10:G10)=4,SUM(D10:G10),"")</f>
        <v>-16314</v>
      </c>
      <c r="I10" s="11">
        <f>IF(I$3=0,"",SUMIFS(INDEX(Inputs!$D$4:$AG$150,0,MATCH(I$2,Inputs!$D$2:$AG$2,0)),Inputs!$B$4:$B$150,$B10)/1000)</f>
        <v>-5129</v>
      </c>
      <c r="J10" s="11">
        <f>IF(J$3=0,"",SUMIFS(INDEX(Inputs!$D$4:$AG$150,0,MATCH(J$2,Inputs!$D$2:$AG$2,0)),Inputs!$B$4:$B$150,$B10)/1000)</f>
        <v>-3624</v>
      </c>
      <c r="K10" s="11">
        <f>IF(K$3=0,"",SUMIFS(INDEX(Inputs!$D$4:$AG$150,0,MATCH(K$2,Inputs!$D$2:$AG$2,0)),Inputs!$B$4:$B$150,$B10)/1000)</f>
        <v>-3936</v>
      </c>
      <c r="L10" s="11">
        <f>IF(L$3=0,"",SUMIFS(INDEX(Inputs!$D$4:$AG$150,0,MATCH(L$2,Inputs!$D$2:$AG$2,0)),Inputs!$B$4:$B$150,$B10)/1000)</f>
        <v>-5625</v>
      </c>
      <c r="M10" s="12">
        <f>IF(COUNT(I10:L10)=4,SUM(I10:L10),"")</f>
        <v>-18314</v>
      </c>
      <c r="N10" s="11">
        <f>IF(N$3=0,"",SUMIFS(INDEX(Inputs!$D$4:$AG$150,0,MATCH(N$2,Inputs!$D$2:$AG$2,0)),Inputs!$B$4:$B$150,$B10)/1000)</f>
        <v>-4222</v>
      </c>
      <c r="O10" s="11">
        <f>IF(O$3=0,"",SUMIFS(INDEX(Inputs!$D$4:$AG$150,0,MATCH(O$2,Inputs!$D$2:$AG$2,0)),Inputs!$B$4:$B$150,$B10)/1000)</f>
        <v>-2852</v>
      </c>
      <c r="P10" s="11">
        <f>IF(P$3=0,"",SUMIFS(INDEX(Inputs!$D$4:$AG$150,0,MATCH(P$2,Inputs!$D$2:$AG$2,0)),Inputs!$B$4:$B$150,$B10)/1000)</f>
        <v>-4042</v>
      </c>
      <c r="Q10" s="11">
        <f>IF(Q$3=0,"",SUMIFS(INDEX(Inputs!$D$4:$AG$150,0,MATCH(Q$2,Inputs!$D$2:$AG$2,0)),Inputs!$B$4:$B$150,$B10)/1000)</f>
        <v>-6407</v>
      </c>
      <c r="R10" s="12">
        <f>IF(COUNT(N10:Q10)=4,SUM(N10:Q10),"")</f>
        <v>-17523</v>
      </c>
      <c r="S10" s="11">
        <f>IF(S$3=0,"",SUMIFS(INDEX(Inputs!$D$4:$AG$150,0,MATCH(S$2,Inputs!$D$2:$AG$2,0)),Inputs!$B$4:$B$150,$B10)/1000)</f>
        <v>-4422</v>
      </c>
      <c r="T10" s="11">
        <f>IF(T$3=0,"",SUMIFS(INDEX(Inputs!$D$4:$AG$150,0,MATCH(T$2,Inputs!$D$2:$AG$2,0)),Inputs!$B$4:$B$150,$B10)/1000)</f>
        <v>-4046</v>
      </c>
      <c r="U10" s="11">
        <f>IF(U$3=0,"",SUMIFS(INDEX(Inputs!$D$4:$AG$150,0,MATCH(U$2,Inputs!$D$2:$AG$2,0)),Inputs!$B$4:$B$150,$B10)/1000)</f>
        <v>-14874</v>
      </c>
      <c r="V10" s="11">
        <f>IF(V$3=0,"",SUMIFS(INDEX(Inputs!$D$4:$AG$150,0,MATCH(V$2,Inputs!$D$2:$AG$2,0)),Inputs!$B$4:$B$150,$B10)/1000)</f>
        <v>-6254</v>
      </c>
      <c r="W10" s="12">
        <f>IF(COUNT(S10:V10)=4,SUM(S10:V10),"")</f>
        <v>-29596</v>
      </c>
      <c r="X10" s="11">
        <f>IF(X$3=0,"",SUMIFS(INDEX(Inputs!$D$4:$AG$150,0,MATCH(X$2,Inputs!$D$2:$AG$2,0)),Inputs!$B$4:$B$150,$B10)/1000)</f>
        <v>-4530</v>
      </c>
      <c r="Y10" s="11">
        <f>IF(Y$3=0,"",SUMIFS(INDEX(Inputs!$D$4:$AG$150,0,MATCH(Y$2,Inputs!$D$2:$AG$2,0)),Inputs!$B$4:$B$150,$B10)/1000)</f>
        <v>-4597</v>
      </c>
      <c r="Z10" s="11">
        <f>IF(Z$3=0,"",SUMIFS(INDEX(Inputs!$D$4:$AG$150,0,MATCH(Z$2,Inputs!$D$2:$AG$2,0)),Inputs!$B$4:$B$150,$B10)/1000)</f>
        <v>-5338</v>
      </c>
      <c r="AA10" s="11">
        <f>IF(AA$3=0,"",SUMIFS(INDEX(Inputs!$D$4:$AG$150,0,MATCH(AA$2,Inputs!$D$2:$AG$2,0)),Inputs!$B$4:$B$150,$B10)/1000)</f>
        <v>-8905</v>
      </c>
      <c r="AB10" s="12">
        <f>IF(COUNT(X10:AA10)=4,SUM(X10:AA10),"")</f>
        <v>-23370</v>
      </c>
      <c r="AC10" s="11">
        <f>IF(AC$3=0,"",SUMIFS(INDEX(Inputs!$D$4:$AG$150,0,MATCH(AC$2,Inputs!$D$2:$AG$2,0)),Inputs!$B$4:$B$150,$B10)/1000)</f>
        <v>-6255</v>
      </c>
      <c r="AD10" s="11">
        <f>IF(AD$3=0,"",SUMIFS(INDEX(Inputs!$D$4:$AG$150,0,MATCH(AD$2,Inputs!$D$2:$AG$2,0)),Inputs!$B$4:$B$150,$B10)/1000)</f>
        <v>-6478</v>
      </c>
      <c r="AE10" s="11" t="str">
        <f>IF(AE$3=0,"",SUMIFS(INDEX(Inputs!$D$4:$AG$150,0,MATCH(AE$2,Inputs!$D$2:$AG$2,0)),Inputs!$B$4:$B$150,$B10)/1000)</f>
        <v/>
      </c>
      <c r="AF10" s="11" t="str">
        <f>IF(AF$3=0,"",SUMIFS(INDEX(Inputs!$D$4:$AG$150,0,MATCH(AF$2,Inputs!$D$2:$AG$2,0)),Inputs!$B$4:$B$150,$B10)/1000)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IF(D$3=0,"",SUMIFS(INDEX(Inputs!$D$4:$AG$150,0,MATCH(D$2,Inputs!$D$2:$AG$2,0)),Inputs!$B$4:$B$150,$B11)/1000)</f>
        <v>0</v>
      </c>
      <c r="E11" s="11">
        <f>IF(E$3=0,"",SUMIFS(INDEX(Inputs!$D$4:$AG$150,0,MATCH(E$2,Inputs!$D$2:$AG$2,0)),Inputs!$B$4:$B$150,$B11)/1000)</f>
        <v>0</v>
      </c>
      <c r="F11" s="11">
        <f>IF(F$3=0,"",SUMIFS(INDEX(Inputs!$D$4:$AG$150,0,MATCH(F$2,Inputs!$D$2:$AG$2,0)),Inputs!$B$4:$B$150,$B11)/1000)</f>
        <v>0</v>
      </c>
      <c r="G11" s="11">
        <f>IF(G$3=0,"",SUMIFS(INDEX(Inputs!$D$4:$AG$150,0,MATCH(G$2,Inputs!$D$2:$AG$2,0)),Inputs!$B$4:$B$150,$B11)/1000)</f>
        <v>0</v>
      </c>
      <c r="H11" s="12">
        <f>IF(COUNT(D11:G11)=4,SUM(D11:G11),"")</f>
        <v>0</v>
      </c>
      <c r="I11" s="11">
        <f>IF(I$3=0,"",SUMIFS(INDEX(Inputs!$D$4:$AG$150,0,MATCH(I$2,Inputs!$D$2:$AG$2,0)),Inputs!$B$4:$B$150,$B11)/1000)</f>
        <v>0</v>
      </c>
      <c r="J11" s="11">
        <f>IF(J$3=0,"",SUMIFS(INDEX(Inputs!$D$4:$AG$150,0,MATCH(J$2,Inputs!$D$2:$AG$2,0)),Inputs!$B$4:$B$150,$B11)/1000)</f>
        <v>0</v>
      </c>
      <c r="K11" s="11">
        <f>IF(K$3=0,"",SUMIFS(INDEX(Inputs!$D$4:$AG$150,0,MATCH(K$2,Inputs!$D$2:$AG$2,0)),Inputs!$B$4:$B$150,$B11)/1000)</f>
        <v>0</v>
      </c>
      <c r="L11" s="11">
        <f>IF(L$3=0,"",SUMIFS(INDEX(Inputs!$D$4:$AG$150,0,MATCH(L$2,Inputs!$D$2:$AG$2,0)),Inputs!$B$4:$B$150,$B11)/1000)</f>
        <v>0</v>
      </c>
      <c r="M11" s="12">
        <f>IF(COUNT(I11:L11)=4,SUM(I11:L11),"")</f>
        <v>0</v>
      </c>
      <c r="N11" s="11">
        <f>IF(N$3=0,"",SUMIFS(INDEX(Inputs!$D$4:$AG$150,0,MATCH(N$2,Inputs!$D$2:$AG$2,0)),Inputs!$B$4:$B$150,$B11)/1000)</f>
        <v>0</v>
      </c>
      <c r="O11" s="11">
        <f>IF(O$3=0,"",SUMIFS(INDEX(Inputs!$D$4:$AG$150,0,MATCH(O$2,Inputs!$D$2:$AG$2,0)),Inputs!$B$4:$B$150,$B11)/1000)</f>
        <v>0</v>
      </c>
      <c r="P11" s="11">
        <f>IF(P$3=0,"",SUMIFS(INDEX(Inputs!$D$4:$AG$150,0,MATCH(P$2,Inputs!$D$2:$AG$2,0)),Inputs!$B$4:$B$150,$B11)/1000)</f>
        <v>0</v>
      </c>
      <c r="Q11" s="11">
        <f>IF(Q$3=0,"",SUMIFS(INDEX(Inputs!$D$4:$AG$150,0,MATCH(Q$2,Inputs!$D$2:$AG$2,0)),Inputs!$B$4:$B$150,$B11)/1000)</f>
        <v>0</v>
      </c>
      <c r="R11" s="12">
        <f>IF(COUNT(N11:Q11)=4,SUM(N11:Q11),"")</f>
        <v>0</v>
      </c>
      <c r="S11" s="11">
        <f>IF(S$3=0,"",SUMIFS(INDEX(Inputs!$D$4:$AG$150,0,MATCH(S$2,Inputs!$D$2:$AG$2,0)),Inputs!$B$4:$B$150,$B11)/1000)</f>
        <v>0</v>
      </c>
      <c r="T11" s="11">
        <f>IF(T$3=0,"",SUMIFS(INDEX(Inputs!$D$4:$AG$150,0,MATCH(T$2,Inputs!$D$2:$AG$2,0)),Inputs!$B$4:$B$150,$B11)/1000)</f>
        <v>0</v>
      </c>
      <c r="U11" s="11">
        <f>IF(U$3=0,"",SUMIFS(INDEX(Inputs!$D$4:$AG$150,0,MATCH(U$2,Inputs!$D$2:$AG$2,0)),Inputs!$B$4:$B$150,$B11)/1000)</f>
        <v>0</v>
      </c>
      <c r="V11" s="11">
        <f>IF(V$3=0,"",SUMIFS(INDEX(Inputs!$D$4:$AG$150,0,MATCH(V$2,Inputs!$D$2:$AG$2,0)),Inputs!$B$4:$B$150,$B11)/1000)</f>
        <v>0</v>
      </c>
      <c r="W11" s="12">
        <f>IF(COUNT(S11:V11)=4,SUM(S11:V11),"")</f>
        <v>0</v>
      </c>
      <c r="X11" s="11">
        <f>IF(X$3=0,"",SUMIFS(INDEX(Inputs!$D$4:$AG$150,0,MATCH(X$2,Inputs!$D$2:$AG$2,0)),Inputs!$B$4:$B$150,$B11)/1000)</f>
        <v>0</v>
      </c>
      <c r="Y11" s="11">
        <f>IF(Y$3=0,"",SUMIFS(INDEX(Inputs!$D$4:$AG$150,0,MATCH(Y$2,Inputs!$D$2:$AG$2,0)),Inputs!$B$4:$B$150,$B11)/1000)</f>
        <v>0</v>
      </c>
      <c r="Z11" s="11">
        <f>IF(Z$3=0,"",SUMIFS(INDEX(Inputs!$D$4:$AG$150,0,MATCH(Z$2,Inputs!$D$2:$AG$2,0)),Inputs!$B$4:$B$150,$B11)/1000)</f>
        <v>0</v>
      </c>
      <c r="AA11" s="11">
        <f>IF(AA$3=0,"",SUMIFS(INDEX(Inputs!$D$4:$AG$150,0,MATCH(AA$2,Inputs!$D$2:$AG$2,0)),Inputs!$B$4:$B$150,$B11)/1000)</f>
        <v>0</v>
      </c>
      <c r="AB11" s="12">
        <f>IF(COUNT(X11:AA11)=4,SUM(X11:AA11),"")</f>
        <v>0</v>
      </c>
      <c r="AC11" s="11">
        <f>IF(AC$3=0,"",SUMIFS(INDEX(Inputs!$D$4:$AG$150,0,MATCH(AC$2,Inputs!$D$2:$AG$2,0)),Inputs!$B$4:$B$150,$B11)/1000)</f>
        <v>0</v>
      </c>
      <c r="AD11" s="11">
        <f>IF(AD$3=0,"",SUMIFS(INDEX(Inputs!$D$4:$AG$150,0,MATCH(AD$2,Inputs!$D$2:$AG$2,0)),Inputs!$B$4:$B$150,$B11)/1000)</f>
        <v>0</v>
      </c>
      <c r="AE11" s="11" t="str">
        <f>IF(AE$3=0,"",SUMIFS(INDEX(Inputs!$D$4:$AG$150,0,MATCH(AE$2,Inputs!$D$2:$AG$2,0)),Inputs!$B$4:$B$150,$B11)/1000)</f>
        <v/>
      </c>
      <c r="AF11" s="11" t="str">
        <f>IF(AF$3=0,"",SUMIFS(INDEX(Inputs!$D$4:$AG$150,0,MATCH(AF$2,Inputs!$D$2:$AG$2,0)),Inputs!$B$4:$B$150,$B11)/1000)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IF(D$3=0,"",SUMIFS(INDEX(Inputs!$D$4:$AG$150,0,MATCH(D$2,Inputs!$D$2:$AG$2,0)),Inputs!$B$4:$B$150,$B12)/1000)</f>
        <v>0</v>
      </c>
      <c r="E12" s="11">
        <f>IF(E$3=0,"",SUMIFS(INDEX(Inputs!$D$4:$AG$150,0,MATCH(E$2,Inputs!$D$2:$AG$2,0)),Inputs!$B$4:$B$150,$B12)/1000)</f>
        <v>0</v>
      </c>
      <c r="F12" s="11">
        <f>IF(F$3=0,"",SUMIFS(INDEX(Inputs!$D$4:$AG$150,0,MATCH(F$2,Inputs!$D$2:$AG$2,0)),Inputs!$B$4:$B$150,$B12)/1000)</f>
        <v>0</v>
      </c>
      <c r="G12" s="11">
        <f>IF(G$3=0,"",SUMIFS(INDEX(Inputs!$D$4:$AG$150,0,MATCH(G$2,Inputs!$D$2:$AG$2,0)),Inputs!$B$4:$B$150,$B12)/1000)</f>
        <v>0</v>
      </c>
      <c r="H12" s="12">
        <f>IF(COUNT(D12:G12)=4,SUM(D12:G12),"")</f>
        <v>0</v>
      </c>
      <c r="I12" s="11">
        <f>IF(I$3=0,"",SUMIFS(INDEX(Inputs!$D$4:$AG$150,0,MATCH(I$2,Inputs!$D$2:$AG$2,0)),Inputs!$B$4:$B$150,$B12)/1000)</f>
        <v>0</v>
      </c>
      <c r="J12" s="11">
        <f>IF(J$3=0,"",SUMIFS(INDEX(Inputs!$D$4:$AG$150,0,MATCH(J$2,Inputs!$D$2:$AG$2,0)),Inputs!$B$4:$B$150,$B12)/1000)</f>
        <v>0</v>
      </c>
      <c r="K12" s="11">
        <f>IF(K$3=0,"",SUMIFS(INDEX(Inputs!$D$4:$AG$150,0,MATCH(K$2,Inputs!$D$2:$AG$2,0)),Inputs!$B$4:$B$150,$B12)/1000)</f>
        <v>0</v>
      </c>
      <c r="L12" s="11">
        <f>IF(L$3=0,"",SUMIFS(INDEX(Inputs!$D$4:$AG$150,0,MATCH(L$2,Inputs!$D$2:$AG$2,0)),Inputs!$B$4:$B$150,$B12)/1000)</f>
        <v>0</v>
      </c>
      <c r="M12" s="12">
        <f>IF(COUNT(I12:L12)=4,SUM(I12:L12),"")</f>
        <v>0</v>
      </c>
      <c r="N12" s="11">
        <f>IF(N$3=0,"",SUMIFS(INDEX(Inputs!$D$4:$AG$150,0,MATCH(N$2,Inputs!$D$2:$AG$2,0)),Inputs!$B$4:$B$150,$B12)/1000)</f>
        <v>0</v>
      </c>
      <c r="O12" s="11">
        <f>IF(O$3=0,"",SUMIFS(INDEX(Inputs!$D$4:$AG$150,0,MATCH(O$2,Inputs!$D$2:$AG$2,0)),Inputs!$B$4:$B$150,$B12)/1000)</f>
        <v>0</v>
      </c>
      <c r="P12" s="11">
        <f>IF(P$3=0,"",SUMIFS(INDEX(Inputs!$D$4:$AG$150,0,MATCH(P$2,Inputs!$D$2:$AG$2,0)),Inputs!$B$4:$B$150,$B12)/1000)</f>
        <v>0</v>
      </c>
      <c r="Q12" s="11">
        <f>IF(Q$3=0,"",SUMIFS(INDEX(Inputs!$D$4:$AG$150,0,MATCH(Q$2,Inputs!$D$2:$AG$2,0)),Inputs!$B$4:$B$150,$B12)/1000)</f>
        <v>0</v>
      </c>
      <c r="R12" s="12">
        <f>IF(COUNT(N12:Q12)=4,SUM(N12:Q12),"")</f>
        <v>0</v>
      </c>
      <c r="S12" s="11">
        <f>IF(S$3=0,"",SUMIFS(INDEX(Inputs!$D$4:$AG$150,0,MATCH(S$2,Inputs!$D$2:$AG$2,0)),Inputs!$B$4:$B$150,$B12)/1000)</f>
        <v>0</v>
      </c>
      <c r="T12" s="11">
        <f>IF(T$3=0,"",SUMIFS(INDEX(Inputs!$D$4:$AG$150,0,MATCH(T$2,Inputs!$D$2:$AG$2,0)),Inputs!$B$4:$B$150,$B12)/1000)</f>
        <v>0</v>
      </c>
      <c r="U12" s="11">
        <f>IF(U$3=0,"",SUMIFS(INDEX(Inputs!$D$4:$AG$150,0,MATCH(U$2,Inputs!$D$2:$AG$2,0)),Inputs!$B$4:$B$150,$B12)/1000)</f>
        <v>0</v>
      </c>
      <c r="V12" s="11">
        <f>IF(V$3=0,"",SUMIFS(INDEX(Inputs!$D$4:$AG$150,0,MATCH(V$2,Inputs!$D$2:$AG$2,0)),Inputs!$B$4:$B$150,$B12)/1000)</f>
        <v>0</v>
      </c>
      <c r="W12" s="12">
        <f>IF(COUNT(S12:V12)=4,SUM(S12:V12),"")</f>
        <v>0</v>
      </c>
      <c r="X12" s="11">
        <f>IF(X$3=0,"",SUMIFS(INDEX(Inputs!$D$4:$AG$150,0,MATCH(X$2,Inputs!$D$2:$AG$2,0)),Inputs!$B$4:$B$150,$B12)/1000)</f>
        <v>0</v>
      </c>
      <c r="Y12" s="11">
        <f>IF(Y$3=0,"",SUMIFS(INDEX(Inputs!$D$4:$AG$150,0,MATCH(Y$2,Inputs!$D$2:$AG$2,0)),Inputs!$B$4:$B$150,$B12)/1000)</f>
        <v>0</v>
      </c>
      <c r="Z12" s="11">
        <f>IF(Z$3=0,"",SUMIFS(INDEX(Inputs!$D$4:$AG$150,0,MATCH(Z$2,Inputs!$D$2:$AG$2,0)),Inputs!$B$4:$B$150,$B12)/1000)</f>
        <v>0</v>
      </c>
      <c r="AA12" s="11">
        <f>IF(AA$3=0,"",SUMIFS(INDEX(Inputs!$D$4:$AG$150,0,MATCH(AA$2,Inputs!$D$2:$AG$2,0)),Inputs!$B$4:$B$150,$B12)/1000)</f>
        <v>0</v>
      </c>
      <c r="AB12" s="12">
        <f>IF(COUNT(X12:AA12)=4,SUM(X12:AA12),"")</f>
        <v>0</v>
      </c>
      <c r="AC12" s="11">
        <f>IF(AC$3=0,"",SUMIFS(INDEX(Inputs!$D$4:$AG$150,0,MATCH(AC$2,Inputs!$D$2:$AG$2,0)),Inputs!$B$4:$B$150,$B12)/1000)</f>
        <v>0</v>
      </c>
      <c r="AD12" s="11">
        <f>IF(AD$3=0,"",SUMIFS(INDEX(Inputs!$D$4:$AG$150,0,MATCH(AD$2,Inputs!$D$2:$AG$2,0)),Inputs!$B$4:$B$150,$B12)/1000)</f>
        <v>0</v>
      </c>
      <c r="AE12" s="11" t="str">
        <f>IF(AE$3=0,"",SUMIFS(INDEX(Inputs!$D$4:$AG$150,0,MATCH(AE$2,Inputs!$D$2:$AG$2,0)),Inputs!$B$4:$B$150,$B12)/1000)</f>
        <v/>
      </c>
      <c r="AF12" s="11" t="str">
        <f>IF(AF$3=0,"",SUMIFS(INDEX(Inputs!$D$4:$AG$150,0,MATCH(AF$2,Inputs!$D$2:$AG$2,0)),Inputs!$B$4:$B$150,$B12)/1000)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IF(D$3=0,"",SUMIFS(INDEX(Inputs!$D$4:$AG$150,0,MATCH(D$2,Inputs!$D$2:$AG$2,0)),Inputs!$B$4:$B$150,$B13)/1000)</f>
        <v>358</v>
      </c>
      <c r="E13" s="11">
        <f>IF(E$3=0,"",SUMIFS(INDEX(Inputs!$D$4:$AG$150,0,MATCH(E$2,Inputs!$D$2:$AG$2,0)),Inputs!$B$4:$B$150,$B13)/1000)</f>
        <v>-3767</v>
      </c>
      <c r="F13" s="11">
        <f>IF(F$3=0,"",SUMIFS(INDEX(Inputs!$D$4:$AG$150,0,MATCH(F$2,Inputs!$D$2:$AG$2,0)),Inputs!$B$4:$B$150,$B13)/1000)</f>
        <v>-3640</v>
      </c>
      <c r="G13" s="11">
        <f>IF(G$3=0,"",SUMIFS(INDEX(Inputs!$D$4:$AG$150,0,MATCH(G$2,Inputs!$D$2:$AG$2,0)),Inputs!$B$4:$B$150,$B13)/1000)</f>
        <v>-3732</v>
      </c>
      <c r="H13" s="12">
        <f>IF(COUNT(D13:G13)=4,SUM(D13:G13),"")</f>
        <v>-10781</v>
      </c>
      <c r="I13" s="11">
        <f>IF(I$3=0,"",SUMIFS(INDEX(Inputs!$D$4:$AG$150,0,MATCH(I$2,Inputs!$D$2:$AG$2,0)),Inputs!$B$4:$B$150,$B13)/1000)</f>
        <v>-3595</v>
      </c>
      <c r="J13" s="11">
        <f>IF(J$3=0,"",SUMIFS(INDEX(Inputs!$D$4:$AG$150,0,MATCH(J$2,Inputs!$D$2:$AG$2,0)),Inputs!$B$4:$B$150,$B13)/1000)</f>
        <v>-3811</v>
      </c>
      <c r="K13" s="11">
        <f>IF(K$3=0,"",SUMIFS(INDEX(Inputs!$D$4:$AG$150,0,MATCH(K$2,Inputs!$D$2:$AG$2,0)),Inputs!$B$4:$B$150,$B13)/1000)</f>
        <v>-3703</v>
      </c>
      <c r="L13" s="11">
        <f>IF(L$3=0,"",SUMIFS(INDEX(Inputs!$D$4:$AG$150,0,MATCH(L$2,Inputs!$D$2:$AG$2,0)),Inputs!$B$4:$B$150,$B13)/1000)</f>
        <v>-3768</v>
      </c>
      <c r="M13" s="12">
        <f>IF(COUNT(I13:L13)=4,SUM(I13:L13),"")</f>
        <v>-14877</v>
      </c>
      <c r="N13" s="11">
        <f>IF(N$3=0,"",SUMIFS(INDEX(Inputs!$D$4:$AG$150,0,MATCH(N$2,Inputs!$D$2:$AG$2,0)),Inputs!$B$4:$B$150,$B13)/1000)</f>
        <v>-3650</v>
      </c>
      <c r="O13" s="11">
        <f>IF(O$3=0,"",SUMIFS(INDEX(Inputs!$D$4:$AG$150,0,MATCH(O$2,Inputs!$D$2:$AG$2,0)),Inputs!$B$4:$B$150,$B13)/1000)</f>
        <v>-3849</v>
      </c>
      <c r="P13" s="11">
        <f>IF(P$3=0,"",SUMIFS(INDEX(Inputs!$D$4:$AG$150,0,MATCH(P$2,Inputs!$D$2:$AG$2,0)),Inputs!$B$4:$B$150,$B13)/1000)</f>
        <v>-3758</v>
      </c>
      <c r="Q13" s="11">
        <f>IF(Q$3=0,"",SUMIFS(INDEX(Inputs!$D$4:$AG$150,0,MATCH(Q$2,Inputs!$D$2:$AG$2,0)),Inputs!$B$4:$B$150,$B13)/1000)</f>
        <v>-3825</v>
      </c>
      <c r="R13" s="12">
        <f>IF(COUNT(N13:Q13)=4,SUM(N13:Q13),"")</f>
        <v>-15082</v>
      </c>
      <c r="S13" s="11">
        <f>IF(S$3=0,"",SUMIFS(INDEX(Inputs!$D$4:$AG$150,0,MATCH(S$2,Inputs!$D$2:$AG$2,0)),Inputs!$B$4:$B$150,$B13)/1000)</f>
        <v>-3710</v>
      </c>
      <c r="T13" s="11">
        <f>IF(T$3=0,"",SUMIFS(INDEX(Inputs!$D$4:$AG$150,0,MATCH(T$2,Inputs!$D$2:$AG$2,0)),Inputs!$B$4:$B$150,$B13)/1000)</f>
        <v>-3895</v>
      </c>
      <c r="U13" s="11">
        <f>IF(U$3=0,"",SUMIFS(INDEX(Inputs!$D$4:$AG$150,0,MATCH(U$2,Inputs!$D$2:$AG$2,0)),Inputs!$B$4:$B$150,$B13)/1000)</f>
        <v>-3804</v>
      </c>
      <c r="V13" s="11">
        <f>IF(V$3=0,"",SUMIFS(INDEX(Inputs!$D$4:$AG$150,0,MATCH(V$2,Inputs!$D$2:$AG$2,0)),Inputs!$B$4:$B$150,$B13)/1000)</f>
        <v>-3856</v>
      </c>
      <c r="W13" s="12">
        <f>IF(COUNT(S13:V13)=4,SUM(S13:V13),"")</f>
        <v>-15265</v>
      </c>
      <c r="X13" s="11">
        <f>IF(X$3=0,"",SUMIFS(INDEX(Inputs!$D$4:$AG$150,0,MATCH(X$2,Inputs!$D$2:$AG$2,0)),Inputs!$B$4:$B$150,$B13)/1000)</f>
        <v>-3758</v>
      </c>
      <c r="Y13" s="11">
        <f>IF(Y$3=0,"",SUMIFS(INDEX(Inputs!$D$4:$AG$150,0,MATCH(Y$2,Inputs!$D$2:$AG$2,0)),Inputs!$B$4:$B$150,$B13)/1000)</f>
        <v>-3945</v>
      </c>
      <c r="Z13" s="11">
        <f>IF(Z$3=0,"",SUMIFS(INDEX(Inputs!$D$4:$AG$150,0,MATCH(Z$2,Inputs!$D$2:$AG$2,0)),Inputs!$B$4:$B$150,$B13)/1000)</f>
        <v>-3862</v>
      </c>
      <c r="AA13" s="11">
        <f>IF(AA$3=0,"",SUMIFS(INDEX(Inputs!$D$4:$AG$150,0,MATCH(AA$2,Inputs!$D$2:$AG$2,0)),Inputs!$B$4:$B$150,$B13)/1000)</f>
        <v>-3921</v>
      </c>
      <c r="AB13" s="12">
        <f>IF(COUNT(X13:AA13)=4,SUM(X13:AA13),"")</f>
        <v>-15486</v>
      </c>
      <c r="AC13" s="11">
        <f>IF(AC$3=0,"",SUMIFS(INDEX(Inputs!$D$4:$AG$150,0,MATCH(AC$2,Inputs!$D$2:$AG$2,0)),Inputs!$B$4:$B$150,$B13)/1000)</f>
        <v>-3822</v>
      </c>
      <c r="AD13" s="11">
        <f>IF(AD$3=0,"",SUMIFS(INDEX(Inputs!$D$4:$AG$150,0,MATCH(AD$2,Inputs!$D$2:$AG$2,0)),Inputs!$B$4:$B$150,$B13)/1000)</f>
        <v>-4035</v>
      </c>
      <c r="AE13" s="11" t="str">
        <f>IF(AE$3=0,"",SUMIFS(INDEX(Inputs!$D$4:$AG$150,0,MATCH(AE$2,Inputs!$D$2:$AG$2,0)),Inputs!$B$4:$B$150,$B13)/1000)</f>
        <v/>
      </c>
      <c r="AF13" s="11" t="str">
        <f>IF(AF$3=0,"",SUMIFS(INDEX(Inputs!$D$4:$AG$150,0,MATCH(AF$2,Inputs!$D$2:$AG$2,0)),Inputs!$B$4:$B$150,$B13)/1000)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IF(D$3=0,"",SUMIFS(INDEX(Inputs!$D$4:$AG$150,0,MATCH(D$2,Inputs!$D$2:$AG$2,0)),Inputs!$B$4:$B$150,$B15)/1000)</f>
        <v>204373</v>
      </c>
      <c r="E15" s="11">
        <f>IF(E$3=0,"",SUMIFS(INDEX(Inputs!$D$4:$AG$150,0,MATCH(E$2,Inputs!$D$2:$AG$2,0)),Inputs!$B$4:$B$150,$B15)/1000)</f>
        <v>193644</v>
      </c>
      <c r="F15" s="11">
        <f>IF(F$3=0,"",SUMIFS(INDEX(Inputs!$D$4:$AG$150,0,MATCH(F$2,Inputs!$D$2:$AG$2,0)),Inputs!$B$4:$B$150,$B15)/1000)</f>
        <v>190516</v>
      </c>
      <c r="G15" s="11">
        <f>IF(G$3=0,"",SUMIFS(INDEX(Inputs!$D$4:$AG$150,0,MATCH(G$2,Inputs!$D$2:$AG$2,0)),Inputs!$B$4:$B$150,$B15)/1000)</f>
        <v>202596</v>
      </c>
      <c r="H15" s="12">
        <f>IF(G15="","",G15)</f>
        <v>202596</v>
      </c>
      <c r="I15" s="11">
        <f>IF(I$3=0,"",SUMIFS(INDEX(Inputs!$D$4:$AG$150,0,MATCH(I$2,Inputs!$D$2:$AG$2,0)),Inputs!$B$4:$B$150,$B15)/1000)</f>
        <v>192730</v>
      </c>
      <c r="J15" s="11">
        <f>IF(J$3=0,"",SUMIFS(INDEX(Inputs!$D$4:$AG$150,0,MATCH(J$2,Inputs!$D$2:$AG$2,0)),Inputs!$B$4:$B$150,$B15)/1000)</f>
        <v>179308</v>
      </c>
      <c r="K15" s="11">
        <f>IF(K$3=0,"",SUMIFS(INDEX(Inputs!$D$4:$AG$150,0,MATCH(K$2,Inputs!$D$2:$AG$2,0)),Inputs!$B$4:$B$150,$B15)/1000)</f>
        <v>169109</v>
      </c>
      <c r="L15" s="11">
        <f>IF(L$3=0,"",SUMIFS(INDEX(Inputs!$D$4:$AG$150,0,MATCH(L$2,Inputs!$D$2:$AG$2,0)),Inputs!$B$4:$B$150,$B15)/1000)</f>
        <v>165450</v>
      </c>
      <c r="M15" s="12">
        <f>IF(L15="","",L15)</f>
        <v>165450</v>
      </c>
      <c r="N15" s="11">
        <f>IF(N$3=0,"",SUMIFS(INDEX(Inputs!$D$4:$AG$150,0,MATCH(N$2,Inputs!$D$2:$AG$2,0)),Inputs!$B$4:$B$150,$B15)/1000)</f>
        <v>166333</v>
      </c>
      <c r="O15" s="11">
        <f>IF(O$3=0,"",SUMIFS(INDEX(Inputs!$D$4:$AG$150,0,MATCH(O$2,Inputs!$D$2:$AG$2,0)),Inputs!$B$4:$B$150,$B15)/1000)</f>
        <v>166543</v>
      </c>
      <c r="P15" s="11">
        <f>IF(P$3=0,"",SUMIFS(INDEX(Inputs!$D$4:$AG$150,0,MATCH(P$2,Inputs!$D$2:$AG$2,0)),Inputs!$B$4:$B$150,$B15)/1000)</f>
        <v>162099</v>
      </c>
      <c r="Q15" s="11">
        <f>IF(Q$3=0,"",SUMIFS(INDEX(Inputs!$D$4:$AG$150,0,MATCH(Q$2,Inputs!$D$2:$AG$2,0)),Inputs!$B$4:$B$150,$B15)/1000)</f>
        <v>172575</v>
      </c>
      <c r="R15" s="12">
        <f>IF(Q15="","",Q15)</f>
        <v>172575</v>
      </c>
      <c r="S15" s="11">
        <f>IF(S$3=0,"",SUMIFS(INDEX(Inputs!$D$4:$AG$150,0,MATCH(S$2,Inputs!$D$2:$AG$2,0)),Inputs!$B$4:$B$150,$B15)/1000)</f>
        <v>162337</v>
      </c>
      <c r="T15" s="11">
        <f>IF(T$3=0,"",SUMIFS(INDEX(Inputs!$D$4:$AG$150,0,MATCH(T$2,Inputs!$D$2:$AG$2,0)),Inputs!$B$4:$B$150,$B15)/1000)</f>
        <v>153041</v>
      </c>
      <c r="U15" s="11">
        <f>IF(U$3=0,"",SUMIFS(INDEX(Inputs!$D$4:$AG$150,0,MATCH(U$2,Inputs!$D$2:$AG$2,0)),Inputs!$B$4:$B$150,$B15)/1000)</f>
        <v>156650</v>
      </c>
      <c r="V15" s="11">
        <f>IF(V$3=0,"",SUMIFS(INDEX(Inputs!$D$4:$AG$150,0,MATCH(V$2,Inputs!$D$2:$AG$2,0)),Inputs!$B$4:$B$150,$B15)/1000)</f>
        <v>141368</v>
      </c>
      <c r="W15" s="12">
        <f>IF(V15="","",V15)</f>
        <v>141368</v>
      </c>
      <c r="X15" s="11">
        <f>IF(X$3=0,"",SUMIFS(INDEX(Inputs!$D$4:$AG$150,0,MATCH(X$2,Inputs!$D$2:$AG$2,0)),Inputs!$B$4:$B$150,$B15)/1000)</f>
        <v>132922</v>
      </c>
      <c r="Y15" s="11">
        <f>IF(Y$3=0,"",SUMIFS(INDEX(Inputs!$D$4:$AG$150,0,MATCH(Y$2,Inputs!$D$2:$AG$2,0)),Inputs!$B$4:$B$150,$B15)/1000)</f>
        <v>132986</v>
      </c>
      <c r="Z15" s="11">
        <f>IF(Z$3=0,"",SUMIFS(INDEX(Inputs!$D$4:$AG$150,0,MATCH(Z$2,Inputs!$D$2:$AG$2,0)),Inputs!$B$4:$B$150,$B15)/1000)</f>
        <v>132420</v>
      </c>
      <c r="AA15" s="11">
        <f>IF(AA$3=0,"",SUMIFS(INDEX(Inputs!$D$4:$AG$150,0,MATCH(AA$2,Inputs!$D$2:$AG$2,0)),Inputs!$B$4:$B$150,$B15)/1000)</f>
        <v>144795</v>
      </c>
      <c r="AB15" s="12">
        <f>IF(AA15="","",AA15)</f>
        <v>144795</v>
      </c>
      <c r="AC15" s="11">
        <f>IF(AC$3=0,"",SUMIFS(INDEX(Inputs!$D$4:$AG$150,0,MATCH(AC$2,Inputs!$D$2:$AG$2,0)),Inputs!$B$4:$B$150,$B15)/1000)</f>
        <v>146595</v>
      </c>
      <c r="AD15" s="11">
        <f>IF(AD$3=0,"",SUMIFS(INDEX(Inputs!$D$4:$AG$150,0,MATCH(AD$2,Inputs!$D$2:$AG$2,0)),Inputs!$B$4:$B$150,$B15)/1000)</f>
        <v>146517</v>
      </c>
      <c r="AE15" s="11" t="str">
        <f>IF(AE$3=0,"",SUMIFS(INDEX(Inputs!$D$4:$AG$150,0,MATCH(AE$2,Inputs!$D$2:$AG$2,0)),Inputs!$B$4:$B$150,$B15)/1000)</f>
        <v/>
      </c>
      <c r="AF15" s="11" t="str">
        <f>IF(AF$3=0,"",SUMIFS(INDEX(Inputs!$D$4:$AG$150,0,MATCH(AF$2,Inputs!$D$2:$AG$2,0)),Inputs!$B$4:$B$150,$B15)/1000)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IF(D$3=0,"",SUMIFS(INDEX(Inputs!$D$4:$AG$150,0,MATCH(D$2,Inputs!$D$2:$AG$2,0)),Inputs!$B$4:$B$150,$B16)/1000)</f>
        <v>18503</v>
      </c>
      <c r="E16" s="11">
        <f>IF(E$3=0,"",SUMIFS(INDEX(Inputs!$D$4:$AG$150,0,MATCH(E$2,Inputs!$D$2:$AG$2,0)),Inputs!$B$4:$B$150,$B16)/1000)</f>
        <v>17475</v>
      </c>
      <c r="F16" s="11">
        <f>IF(F$3=0,"",SUMIFS(INDEX(Inputs!$D$4:$AG$150,0,MATCH(F$2,Inputs!$D$2:$AG$2,0)),Inputs!$B$4:$B$150,$B16)/1000)</f>
        <v>26278</v>
      </c>
      <c r="G16" s="11">
        <f>IF(G$3=0,"",SUMIFS(INDEX(Inputs!$D$4:$AG$150,0,MATCH(G$2,Inputs!$D$2:$AG$2,0)),Inputs!$B$4:$B$150,$B16)/1000)</f>
        <v>30213</v>
      </c>
      <c r="H16" s="12">
        <f>IF(G16="","",G16)</f>
        <v>30213</v>
      </c>
      <c r="I16" s="11">
        <f>IF(I$3=0,"",SUMIFS(INDEX(Inputs!$D$4:$AG$150,0,MATCH(I$2,Inputs!$D$2:$AG$2,0)),Inputs!$B$4:$B$150,$B16)/1000)</f>
        <v>20815</v>
      </c>
      <c r="J16" s="11">
        <f>IF(J$3=0,"",SUMIFS(INDEX(Inputs!$D$4:$AG$150,0,MATCH(J$2,Inputs!$D$2:$AG$2,0)),Inputs!$B$4:$B$150,$B16)/1000)</f>
        <v>21803</v>
      </c>
      <c r="K16" s="11">
        <f>IF(K$3=0,"",SUMIFS(INDEX(Inputs!$D$4:$AG$150,0,MATCH(K$2,Inputs!$D$2:$AG$2,0)),Inputs!$B$4:$B$150,$B16)/1000)</f>
        <v>28184</v>
      </c>
      <c r="L16" s="11">
        <f>IF(L$3=0,"",SUMIFS(INDEX(Inputs!$D$4:$AG$150,0,MATCH(L$2,Inputs!$D$2:$AG$2,0)),Inputs!$B$4:$B$150,$B16)/1000)</f>
        <v>23752</v>
      </c>
      <c r="M16" s="12">
        <f>IF(L16="","",L16)</f>
        <v>23752</v>
      </c>
      <c r="N16" s="11">
        <f>IF(N$3=0,"",SUMIFS(INDEX(Inputs!$D$4:$AG$150,0,MATCH(N$2,Inputs!$D$2:$AG$2,0)),Inputs!$B$4:$B$150,$B16)/1000)</f>
        <v>17936</v>
      </c>
      <c r="O16" s="11">
        <f>IF(O$3=0,"",SUMIFS(INDEX(Inputs!$D$4:$AG$150,0,MATCH(O$2,Inputs!$D$2:$AG$2,0)),Inputs!$B$4:$B$150,$B16)/1000)</f>
        <v>19549</v>
      </c>
      <c r="P16" s="11">
        <f>IF(P$3=0,"",SUMIFS(INDEX(Inputs!$D$4:$AG$150,0,MATCH(P$2,Inputs!$D$2:$AG$2,0)),Inputs!$B$4:$B$150,$B16)/1000)</f>
        <v>29508</v>
      </c>
      <c r="Q16" s="11">
        <f>IF(Q$3=0,"",SUMIFS(INDEX(Inputs!$D$4:$AG$150,0,MATCH(Q$2,Inputs!$D$2:$AG$2,0)),Inputs!$B$4:$B$150,$B16)/1000)</f>
        <v>23194</v>
      </c>
      <c r="R16" s="12">
        <f>IF(Q16="","",Q16)</f>
        <v>23194</v>
      </c>
      <c r="S16" s="11">
        <f>IF(S$3=0,"",SUMIFS(INDEX(Inputs!$D$4:$AG$150,0,MATCH(S$2,Inputs!$D$2:$AG$2,0)),Inputs!$B$4:$B$150,$B16)/1000)</f>
        <v>21837</v>
      </c>
      <c r="T16" s="11">
        <f>IF(T$3=0,"",SUMIFS(INDEX(Inputs!$D$4:$AG$150,0,MATCH(T$2,Inputs!$D$2:$AG$2,0)),Inputs!$B$4:$B$150,$B16)/1000)</f>
        <v>22795</v>
      </c>
      <c r="U16" s="11">
        <f>IF(U$3=0,"",SUMIFS(INDEX(Inputs!$D$4:$AG$150,0,MATCH(U$2,Inputs!$D$2:$AG$2,0)),Inputs!$B$4:$B$150,$B16)/1000)</f>
        <v>33410</v>
      </c>
      <c r="V16" s="11">
        <f>IF(V$3=0,"",SUMIFS(INDEX(Inputs!$D$4:$AG$150,0,MATCH(V$2,Inputs!$D$2:$AG$2,0)),Inputs!$B$4:$B$150,$B16)/1000)</f>
        <v>29639</v>
      </c>
      <c r="W16" s="12">
        <f>IF(V16="","",V16)</f>
        <v>29639</v>
      </c>
      <c r="X16" s="11">
        <f>IF(X$3=0,"",SUMIFS(INDEX(Inputs!$D$4:$AG$150,0,MATCH(X$2,Inputs!$D$2:$AG$2,0)),Inputs!$B$4:$B$150,$B16)/1000)</f>
        <v>26136</v>
      </c>
      <c r="Y16" s="11">
        <f>IF(Y$3=0,"",SUMIFS(INDEX(Inputs!$D$4:$AG$150,0,MATCH(Y$2,Inputs!$D$2:$AG$2,0)),Inputs!$B$4:$B$150,$B16)/1000)</f>
        <v>27557</v>
      </c>
      <c r="Z16" s="11">
        <f>IF(Z$3=0,"",SUMIFS(INDEX(Inputs!$D$4:$AG$150,0,MATCH(Z$2,Inputs!$D$2:$AG$2,0)),Inputs!$B$4:$B$150,$B16)/1000)</f>
        <v>39777</v>
      </c>
      <c r="AA16" s="11">
        <f>IF(AA$3=0,"",SUMIFS(INDEX(Inputs!$D$4:$AG$150,0,MATCH(AA$2,Inputs!$D$2:$AG$2,0)),Inputs!$B$4:$B$150,$B16)/1000)</f>
        <v>39921</v>
      </c>
      <c r="AB16" s="12">
        <f>IF(AA16="","",AA16)</f>
        <v>39921</v>
      </c>
      <c r="AC16" s="11">
        <f>IF(AC$3=0,"",SUMIFS(INDEX(Inputs!$D$4:$AG$150,0,MATCH(AC$2,Inputs!$D$2:$AG$2,0)),Inputs!$B$4:$B$150,$B16)/1000)</f>
        <v>30339</v>
      </c>
      <c r="AD16" s="11">
        <f>IF(AD$3=0,"",SUMIFS(INDEX(Inputs!$D$4:$AG$150,0,MATCH(AD$2,Inputs!$D$2:$AG$2,0)),Inputs!$B$4:$B$150,$B16)/1000)</f>
        <v>31398</v>
      </c>
      <c r="AE16" s="11" t="str">
        <f>IF(AE$3=0,"",SUMIFS(INDEX(Inputs!$D$4:$AG$150,0,MATCH(AE$2,Inputs!$D$2:$AG$2,0)),Inputs!$B$4:$B$150,$B16)/1000)</f>
        <v/>
      </c>
      <c r="AF16" s="11" t="str">
        <f>IF(AF$3=0,"",SUMIFS(INDEX(Inputs!$D$4:$AG$150,0,MATCH(AF$2,Inputs!$D$2:$AG$2,0)),Inputs!$B$4:$B$150,$B16)/1000)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IF(D$3=0,"",SUMIFS(INDEX(Inputs!$D$4:$AG$150,0,MATCH(D$2,Inputs!$D$2:$AG$2,0)),Inputs!$B$4:$B$150,$B17)/1000)</f>
        <v>5219</v>
      </c>
      <c r="E17" s="11">
        <f>IF(E$3=0,"",SUMIFS(INDEX(Inputs!$D$4:$AG$150,0,MATCH(E$2,Inputs!$D$2:$AG$2,0)),Inputs!$B$4:$B$150,$B17)/1000)</f>
        <v>5178</v>
      </c>
      <c r="F17" s="11">
        <f>IF(F$3=0,"",SUMIFS(INDEX(Inputs!$D$4:$AG$150,0,MATCH(F$2,Inputs!$D$2:$AG$2,0)),Inputs!$B$4:$B$150,$B17)/1000)</f>
        <v>6580</v>
      </c>
      <c r="G17" s="11">
        <f>IF(G$3=0,"",SUMIFS(INDEX(Inputs!$D$4:$AG$150,0,MATCH(G$2,Inputs!$D$2:$AG$2,0)),Inputs!$B$4:$B$150,$B17)/1000)</f>
        <v>5876</v>
      </c>
      <c r="H17" s="12">
        <f>IF(G17="","",G17)</f>
        <v>5876</v>
      </c>
      <c r="I17" s="11">
        <f>IF(I$3=0,"",SUMIFS(INDEX(Inputs!$D$4:$AG$150,0,MATCH(I$2,Inputs!$D$2:$AG$2,0)),Inputs!$B$4:$B$150,$B17)/1000)</f>
        <v>5460</v>
      </c>
      <c r="J17" s="11">
        <f>IF(J$3=0,"",SUMIFS(INDEX(Inputs!$D$4:$AG$150,0,MATCH(J$2,Inputs!$D$2:$AG$2,0)),Inputs!$B$4:$B$150,$B17)/1000)</f>
        <v>5433</v>
      </c>
      <c r="K17" s="11">
        <f>IF(K$3=0,"",SUMIFS(INDEX(Inputs!$D$4:$AG$150,0,MATCH(K$2,Inputs!$D$2:$AG$2,0)),Inputs!$B$4:$B$150,$B17)/1000)</f>
        <v>4946</v>
      </c>
      <c r="L17" s="11">
        <f>IF(L$3=0,"",SUMIFS(INDEX(Inputs!$D$4:$AG$150,0,MATCH(L$2,Inputs!$D$2:$AG$2,0)),Inputs!$B$4:$B$150,$B17)/1000)</f>
        <v>6820</v>
      </c>
      <c r="M17" s="12">
        <f>IF(L17="","",L17)</f>
        <v>6820</v>
      </c>
      <c r="N17" s="11">
        <f>IF(N$3=0,"",SUMIFS(INDEX(Inputs!$D$4:$AG$150,0,MATCH(N$2,Inputs!$D$2:$AG$2,0)),Inputs!$B$4:$B$150,$B17)/1000)</f>
        <v>7482</v>
      </c>
      <c r="O17" s="11">
        <f>IF(O$3=0,"",SUMIFS(INDEX(Inputs!$D$4:$AG$150,0,MATCH(O$2,Inputs!$D$2:$AG$2,0)),Inputs!$B$4:$B$150,$B17)/1000)</f>
        <v>7351</v>
      </c>
      <c r="P17" s="11">
        <f>IF(P$3=0,"",SUMIFS(INDEX(Inputs!$D$4:$AG$150,0,MATCH(P$2,Inputs!$D$2:$AG$2,0)),Inputs!$B$4:$B$150,$B17)/1000)</f>
        <v>6331</v>
      </c>
      <c r="Q17" s="11">
        <f>IF(Q$3=0,"",SUMIFS(INDEX(Inputs!$D$4:$AG$150,0,MATCH(Q$2,Inputs!$D$2:$AG$2,0)),Inputs!$B$4:$B$150,$B17)/1000)</f>
        <v>6511</v>
      </c>
      <c r="R17" s="12">
        <f>IF(Q17="","",Q17)</f>
        <v>6511</v>
      </c>
      <c r="S17" s="11">
        <f>IF(S$3=0,"",SUMIFS(INDEX(Inputs!$D$4:$AG$150,0,MATCH(S$2,Inputs!$D$2:$AG$2,0)),Inputs!$B$4:$B$150,$B17)/1000)</f>
        <v>6232</v>
      </c>
      <c r="T17" s="11">
        <f>IF(T$3=0,"",SUMIFS(INDEX(Inputs!$D$4:$AG$150,0,MATCH(T$2,Inputs!$D$2:$AG$2,0)),Inputs!$B$4:$B$150,$B17)/1000)</f>
        <v>6165</v>
      </c>
      <c r="U17" s="11">
        <f>IF(U$3=0,"",SUMIFS(INDEX(Inputs!$D$4:$AG$150,0,MATCH(U$2,Inputs!$D$2:$AG$2,0)),Inputs!$B$4:$B$150,$B17)/1000)</f>
        <v>7286</v>
      </c>
      <c r="V17" s="11">
        <f>IF(V$3=0,"",SUMIFS(INDEX(Inputs!$D$4:$AG$150,0,MATCH(V$2,Inputs!$D$2:$AG$2,0)),Inputs!$B$4:$B$150,$B17)/1000)</f>
        <v>6911</v>
      </c>
      <c r="W17" s="12">
        <f>IF(V17="","",V17)</f>
        <v>6911</v>
      </c>
      <c r="X17" s="11">
        <f>IF(X$3=0,"",SUMIFS(INDEX(Inputs!$D$4:$AG$150,0,MATCH(X$2,Inputs!$D$2:$AG$2,0)),Inputs!$B$4:$B$150,$B17)/1000)</f>
        <v>6269</v>
      </c>
      <c r="Y17" s="11">
        <f>IF(Y$3=0,"",SUMIFS(INDEX(Inputs!$D$4:$AG$150,0,MATCH(Y$2,Inputs!$D$2:$AG$2,0)),Inputs!$B$4:$B$150,$B17)/1000)</f>
        <v>5925</v>
      </c>
      <c r="Z17" s="11">
        <f>IF(Z$3=0,"",SUMIFS(INDEX(Inputs!$D$4:$AG$150,0,MATCH(Z$2,Inputs!$D$2:$AG$2,0)),Inputs!$B$4:$B$150,$B17)/1000)</f>
        <v>5718</v>
      </c>
      <c r="AA17" s="11">
        <f>IF(AA$3=0,"",SUMIFS(INDEX(Inputs!$D$4:$AG$150,0,MATCH(AA$2,Inputs!$D$2:$AG$2,0)),Inputs!$B$4:$B$150,$B17)/1000)</f>
        <v>5875</v>
      </c>
      <c r="AB17" s="12">
        <f>IF(AA17="","",AA17)</f>
        <v>5875</v>
      </c>
      <c r="AC17" s="11">
        <f>IF(AC$3=0,"",SUMIFS(INDEX(Inputs!$D$4:$AG$150,0,MATCH(AC$2,Inputs!$D$2:$AG$2,0)),Inputs!$B$4:$B$150,$B17)/1000)</f>
        <v>6747</v>
      </c>
      <c r="AD17" s="11">
        <f>IF(AD$3=0,"",SUMIFS(INDEX(Inputs!$D$4:$AG$150,0,MATCH(AD$2,Inputs!$D$2:$AG$2,0)),Inputs!$B$4:$B$150,$B17)/1000)</f>
        <v>11092</v>
      </c>
      <c r="AE17" s="11" t="str">
        <f>IF(AE$3=0,"",SUMIFS(INDEX(Inputs!$D$4:$AG$150,0,MATCH(AE$2,Inputs!$D$2:$AG$2,0)),Inputs!$B$4:$B$150,$B17)/1000)</f>
        <v/>
      </c>
      <c r="AF17" s="11" t="str">
        <f>IF(AF$3=0,"",SUMIFS(INDEX(Inputs!$D$4:$AG$150,0,MATCH(AF$2,Inputs!$D$2:$AG$2,0)),Inputs!$B$4:$B$150,$B17)/1000)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IF(D$3=0,"",SUMIFS(INDEX(Inputs!$D$4:$AG$150,0,MATCH(D$2,Inputs!$D$2:$AG$2,0)),Inputs!$B$4:$B$150,$B18)/1000)</f>
        <v>0</v>
      </c>
      <c r="E18" s="11">
        <f>IF(E$3=0,"",SUMIFS(INDEX(Inputs!$D$4:$AG$150,0,MATCH(E$2,Inputs!$D$2:$AG$2,0)),Inputs!$B$4:$B$150,$B18)/1000)</f>
        <v>0</v>
      </c>
      <c r="F18" s="11">
        <f>IF(F$3=0,"",SUMIFS(INDEX(Inputs!$D$4:$AG$150,0,MATCH(F$2,Inputs!$D$2:$AG$2,0)),Inputs!$B$4:$B$150,$B18)/1000)</f>
        <v>0</v>
      </c>
      <c r="G18" s="11">
        <f>IF(G$3=0,"",SUMIFS(INDEX(Inputs!$D$4:$AG$150,0,MATCH(G$2,Inputs!$D$2:$AG$2,0)),Inputs!$B$4:$B$150,$B18)/1000)</f>
        <v>0</v>
      </c>
      <c r="H18" s="12">
        <f>IF(G18="","",G18)</f>
        <v>0</v>
      </c>
      <c r="I18" s="11">
        <f>IF(I$3=0,"",SUMIFS(INDEX(Inputs!$D$4:$AG$150,0,MATCH(I$2,Inputs!$D$2:$AG$2,0)),Inputs!$B$4:$B$150,$B18)/1000)</f>
        <v>0</v>
      </c>
      <c r="J18" s="11">
        <f>IF(J$3=0,"",SUMIFS(INDEX(Inputs!$D$4:$AG$150,0,MATCH(J$2,Inputs!$D$2:$AG$2,0)),Inputs!$B$4:$B$150,$B18)/1000)</f>
        <v>0</v>
      </c>
      <c r="K18" s="11">
        <f>IF(K$3=0,"",SUMIFS(INDEX(Inputs!$D$4:$AG$150,0,MATCH(K$2,Inputs!$D$2:$AG$2,0)),Inputs!$B$4:$B$150,$B18)/1000)</f>
        <v>0</v>
      </c>
      <c r="L18" s="11">
        <f>IF(L$3=0,"",SUMIFS(INDEX(Inputs!$D$4:$AG$150,0,MATCH(L$2,Inputs!$D$2:$AG$2,0)),Inputs!$B$4:$B$150,$B18)/1000)</f>
        <v>0</v>
      </c>
      <c r="M18" s="12">
        <f>IF(L18="","",L18)</f>
        <v>0</v>
      </c>
      <c r="N18" s="11">
        <f>IF(N$3=0,"",SUMIFS(INDEX(Inputs!$D$4:$AG$150,0,MATCH(N$2,Inputs!$D$2:$AG$2,0)),Inputs!$B$4:$B$150,$B18)/1000)</f>
        <v>0</v>
      </c>
      <c r="O18" s="11">
        <f>IF(O$3=0,"",SUMIFS(INDEX(Inputs!$D$4:$AG$150,0,MATCH(O$2,Inputs!$D$2:$AG$2,0)),Inputs!$B$4:$B$150,$B18)/1000)</f>
        <v>0</v>
      </c>
      <c r="P18" s="11">
        <f>IF(P$3=0,"",SUMIFS(INDEX(Inputs!$D$4:$AG$150,0,MATCH(P$2,Inputs!$D$2:$AG$2,0)),Inputs!$B$4:$B$150,$B18)/1000)</f>
        <v>0</v>
      </c>
      <c r="Q18" s="11">
        <f>IF(Q$3=0,"",SUMIFS(INDEX(Inputs!$D$4:$AG$150,0,MATCH(Q$2,Inputs!$D$2:$AG$2,0)),Inputs!$B$4:$B$150,$B18)/1000)</f>
        <v>0</v>
      </c>
      <c r="R18" s="12">
        <f>IF(Q18="","",Q18)</f>
        <v>0</v>
      </c>
      <c r="S18" s="11">
        <f>IF(S$3=0,"",SUMIFS(INDEX(Inputs!$D$4:$AG$150,0,MATCH(S$2,Inputs!$D$2:$AG$2,0)),Inputs!$B$4:$B$150,$B18)/1000)</f>
        <v>0</v>
      </c>
      <c r="T18" s="11">
        <f>IF(T$3=0,"",SUMIFS(INDEX(Inputs!$D$4:$AG$150,0,MATCH(T$2,Inputs!$D$2:$AG$2,0)),Inputs!$B$4:$B$150,$B18)/1000)</f>
        <v>0</v>
      </c>
      <c r="U18" s="11">
        <f>IF(U$3=0,"",SUMIFS(INDEX(Inputs!$D$4:$AG$150,0,MATCH(U$2,Inputs!$D$2:$AG$2,0)),Inputs!$B$4:$B$150,$B18)/1000)</f>
        <v>0</v>
      </c>
      <c r="V18" s="11">
        <f>IF(V$3=0,"",SUMIFS(INDEX(Inputs!$D$4:$AG$150,0,MATCH(V$2,Inputs!$D$2:$AG$2,0)),Inputs!$B$4:$B$150,$B18)/1000)</f>
        <v>0</v>
      </c>
      <c r="W18" s="12">
        <f>IF(V18="","",V18)</f>
        <v>0</v>
      </c>
      <c r="X18" s="11">
        <f>IF(X$3=0,"",SUMIFS(INDEX(Inputs!$D$4:$AG$150,0,MATCH(X$2,Inputs!$D$2:$AG$2,0)),Inputs!$B$4:$B$150,$B18)/1000)</f>
        <v>0</v>
      </c>
      <c r="Y18" s="11">
        <f>IF(Y$3=0,"",SUMIFS(INDEX(Inputs!$D$4:$AG$150,0,MATCH(Y$2,Inputs!$D$2:$AG$2,0)),Inputs!$B$4:$B$150,$B18)/1000)</f>
        <v>0</v>
      </c>
      <c r="Z18" s="11">
        <f>IF(Z$3=0,"",SUMIFS(INDEX(Inputs!$D$4:$AG$150,0,MATCH(Z$2,Inputs!$D$2:$AG$2,0)),Inputs!$B$4:$B$150,$B18)/1000)</f>
        <v>0</v>
      </c>
      <c r="AA18" s="11">
        <f>IF(AA$3=0,"",SUMIFS(INDEX(Inputs!$D$4:$AG$150,0,MATCH(AA$2,Inputs!$D$2:$AG$2,0)),Inputs!$B$4:$B$150,$B18)/1000)</f>
        <v>0</v>
      </c>
      <c r="AB18" s="12">
        <f>IF(AA18="","",AA18)</f>
        <v>0</v>
      </c>
      <c r="AC18" s="11">
        <f>IF(AC$3=0,"",SUMIFS(INDEX(Inputs!$D$4:$AG$150,0,MATCH(AC$2,Inputs!$D$2:$AG$2,0)),Inputs!$B$4:$B$150,$B18)/1000)</f>
        <v>0</v>
      </c>
      <c r="AD18" s="11">
        <f>IF(AD$3=0,"",SUMIFS(INDEX(Inputs!$D$4:$AG$150,0,MATCH(AD$2,Inputs!$D$2:$AG$2,0)),Inputs!$B$4:$B$150,$B18)/1000)</f>
        <v>0</v>
      </c>
      <c r="AE18" s="11" t="str">
        <f>IF(AE$3=0,"",SUMIFS(INDEX(Inputs!$D$4:$AG$150,0,MATCH(AE$2,Inputs!$D$2:$AG$2,0)),Inputs!$B$4:$B$150,$B18)/1000)</f>
        <v/>
      </c>
      <c r="AF18" s="11" t="str">
        <f>IF(AF$3=0,"",SUMIFS(INDEX(Inputs!$D$4:$AG$150,0,MATCH(AF$2,Inputs!$D$2:$AG$2,0)),Inputs!$B$4:$B$150,$B18)/1000)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IF(D$3=0,"",SUMIFS(INDEX(Inputs!$D$4:$AG$150,0,MATCH(D$2,Inputs!$D$2:$AG$2,0)),Inputs!$B$4:$B$150,$B19)/1000)</f>
        <v>0</v>
      </c>
      <c r="E19" s="11">
        <f>IF(E$3=0,"",SUMIFS(INDEX(Inputs!$D$4:$AG$150,0,MATCH(E$2,Inputs!$D$2:$AG$2,0)),Inputs!$B$4:$B$150,$B19)/1000)</f>
        <v>0</v>
      </c>
      <c r="F19" s="11">
        <f>IF(F$3=0,"",SUMIFS(INDEX(Inputs!$D$4:$AG$150,0,MATCH(F$2,Inputs!$D$2:$AG$2,0)),Inputs!$B$4:$B$150,$B19)/1000)</f>
        <v>0</v>
      </c>
      <c r="G19" s="11">
        <f>IF(G$3=0,"",SUMIFS(INDEX(Inputs!$D$4:$AG$150,0,MATCH(G$2,Inputs!$D$2:$AG$2,0)),Inputs!$B$4:$B$150,$B19)/1000)</f>
        <v>0</v>
      </c>
      <c r="H19" s="12">
        <f>IF(G19="","",G19)</f>
        <v>0</v>
      </c>
      <c r="I19" s="11">
        <f>IF(I$3=0,"",SUMIFS(INDEX(Inputs!$D$4:$AG$150,0,MATCH(I$2,Inputs!$D$2:$AG$2,0)),Inputs!$B$4:$B$150,$B19)/1000)</f>
        <v>0</v>
      </c>
      <c r="J19" s="11">
        <f>IF(J$3=0,"",SUMIFS(INDEX(Inputs!$D$4:$AG$150,0,MATCH(J$2,Inputs!$D$2:$AG$2,0)),Inputs!$B$4:$B$150,$B19)/1000)</f>
        <v>0</v>
      </c>
      <c r="K19" s="11">
        <f>IF(K$3=0,"",SUMIFS(INDEX(Inputs!$D$4:$AG$150,0,MATCH(K$2,Inputs!$D$2:$AG$2,0)),Inputs!$B$4:$B$150,$B19)/1000)</f>
        <v>0</v>
      </c>
      <c r="L19" s="11">
        <f>IF(L$3=0,"",SUMIFS(INDEX(Inputs!$D$4:$AG$150,0,MATCH(L$2,Inputs!$D$2:$AG$2,0)),Inputs!$B$4:$B$150,$B19)/1000)</f>
        <v>0</v>
      </c>
      <c r="M19" s="12">
        <f>IF(L19="","",L19)</f>
        <v>0</v>
      </c>
      <c r="N19" s="11">
        <f>IF(N$3=0,"",SUMIFS(INDEX(Inputs!$D$4:$AG$150,0,MATCH(N$2,Inputs!$D$2:$AG$2,0)),Inputs!$B$4:$B$150,$B19)/1000)</f>
        <v>0</v>
      </c>
      <c r="O19" s="11">
        <f>IF(O$3=0,"",SUMIFS(INDEX(Inputs!$D$4:$AG$150,0,MATCH(O$2,Inputs!$D$2:$AG$2,0)),Inputs!$B$4:$B$150,$B19)/1000)</f>
        <v>0</v>
      </c>
      <c r="P19" s="11">
        <f>IF(P$3=0,"",SUMIFS(INDEX(Inputs!$D$4:$AG$150,0,MATCH(P$2,Inputs!$D$2:$AG$2,0)),Inputs!$B$4:$B$150,$B19)/1000)</f>
        <v>0</v>
      </c>
      <c r="Q19" s="11">
        <f>IF(Q$3=0,"",SUMIFS(INDEX(Inputs!$D$4:$AG$150,0,MATCH(Q$2,Inputs!$D$2:$AG$2,0)),Inputs!$B$4:$B$150,$B19)/1000)</f>
        <v>0</v>
      </c>
      <c r="R19" s="12">
        <f>IF(Q19="","",Q19)</f>
        <v>0</v>
      </c>
      <c r="S19" s="11">
        <f>IF(S$3=0,"",SUMIFS(INDEX(Inputs!$D$4:$AG$150,0,MATCH(S$2,Inputs!$D$2:$AG$2,0)),Inputs!$B$4:$B$150,$B19)/1000)</f>
        <v>0</v>
      </c>
      <c r="T19" s="11">
        <f>IF(T$3=0,"",SUMIFS(INDEX(Inputs!$D$4:$AG$150,0,MATCH(T$2,Inputs!$D$2:$AG$2,0)),Inputs!$B$4:$B$150,$B19)/1000)</f>
        <v>0</v>
      </c>
      <c r="U19" s="11">
        <f>IF(U$3=0,"",SUMIFS(INDEX(Inputs!$D$4:$AG$150,0,MATCH(U$2,Inputs!$D$2:$AG$2,0)),Inputs!$B$4:$B$150,$B19)/1000)</f>
        <v>0</v>
      </c>
      <c r="V19" s="11">
        <f>IF(V$3=0,"",SUMIFS(INDEX(Inputs!$D$4:$AG$150,0,MATCH(V$2,Inputs!$D$2:$AG$2,0)),Inputs!$B$4:$B$150,$B19)/1000)</f>
        <v>0</v>
      </c>
      <c r="W19" s="12">
        <f>IF(V19="","",V19)</f>
        <v>0</v>
      </c>
      <c r="X19" s="11">
        <f>IF(X$3=0,"",SUMIFS(INDEX(Inputs!$D$4:$AG$150,0,MATCH(X$2,Inputs!$D$2:$AG$2,0)),Inputs!$B$4:$B$150,$B19)/1000)</f>
        <v>0</v>
      </c>
      <c r="Y19" s="11">
        <f>IF(Y$3=0,"",SUMIFS(INDEX(Inputs!$D$4:$AG$150,0,MATCH(Y$2,Inputs!$D$2:$AG$2,0)),Inputs!$B$4:$B$150,$B19)/1000)</f>
        <v>0</v>
      </c>
      <c r="Z19" s="11">
        <f>IF(Z$3=0,"",SUMIFS(INDEX(Inputs!$D$4:$AG$150,0,MATCH(Z$2,Inputs!$D$2:$AG$2,0)),Inputs!$B$4:$B$150,$B19)/1000)</f>
        <v>0</v>
      </c>
      <c r="AA19" s="11">
        <f>IF(AA$3=0,"",SUMIFS(INDEX(Inputs!$D$4:$AG$150,0,MATCH(AA$2,Inputs!$D$2:$AG$2,0)),Inputs!$B$4:$B$150,$B19)/1000)</f>
        <v>0</v>
      </c>
      <c r="AB19" s="12">
        <f>IF(AA19="","",AA19)</f>
        <v>0</v>
      </c>
      <c r="AC19" s="11">
        <f>IF(AC$3=0,"",SUMIFS(INDEX(Inputs!$D$4:$AG$150,0,MATCH(AC$2,Inputs!$D$2:$AG$2,0)),Inputs!$B$4:$B$150,$B19)/1000)</f>
        <v>0</v>
      </c>
      <c r="AD19" s="11">
        <f>IF(AD$3=0,"",SUMIFS(INDEX(Inputs!$D$4:$AG$150,0,MATCH(AD$2,Inputs!$D$2:$AG$2,0)),Inputs!$B$4:$B$150,$B19)/1000)</f>
        <v>0</v>
      </c>
      <c r="AE19" s="11" t="str">
        <f>IF(AE$3=0,"",SUMIFS(INDEX(Inputs!$D$4:$AG$150,0,MATCH(AE$2,Inputs!$D$2:$AG$2,0)),Inputs!$B$4:$B$150,$B19)/1000)</f>
        <v/>
      </c>
      <c r="AF19" s="11" t="str">
        <f>IF(AF$3=0,"",SUMIFS(INDEX(Inputs!$D$4:$AG$150,0,MATCH(AF$2,Inputs!$D$2:$AG$2,0)),Inputs!$B$4:$B$150,$B19)/1000)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IF(D$3=0,"",SUMIFS(INDEX(Inputs!$D$4:$AG$150,0,MATCH(D$2,Inputs!$D$2:$AG$2,0)),Inputs!$B$4:$B$150,$B20)/1000)</f>
        <v>27909</v>
      </c>
      <c r="E20" s="11">
        <f>IF(E$3=0,"",SUMIFS(INDEX(Inputs!$D$4:$AG$150,0,MATCH(E$2,Inputs!$D$2:$AG$2,0)),Inputs!$B$4:$B$150,$B20)/1000)</f>
        <v>30074</v>
      </c>
      <c r="F20" s="11">
        <f>IF(F$3=0,"",SUMIFS(INDEX(Inputs!$D$4:$AG$150,0,MATCH(F$2,Inputs!$D$2:$AG$2,0)),Inputs!$B$4:$B$150,$B20)/1000)</f>
        <v>39339</v>
      </c>
      <c r="G20" s="11">
        <f>IF(G$3=0,"",SUMIFS(INDEX(Inputs!$D$4:$AG$150,0,MATCH(G$2,Inputs!$D$2:$AG$2,0)),Inputs!$B$4:$B$150,$B20)/1000)</f>
        <v>53152</v>
      </c>
      <c r="H20" s="12">
        <f>IF(G20="","",G20)</f>
        <v>53152</v>
      </c>
      <c r="I20" s="11">
        <f>IF(I$3=0,"",SUMIFS(INDEX(Inputs!$D$4:$AG$150,0,MATCH(I$2,Inputs!$D$2:$AG$2,0)),Inputs!$B$4:$B$150,$B20)/1000)</f>
        <v>40394</v>
      </c>
      <c r="J20" s="11">
        <f>IF(J$3=0,"",SUMIFS(INDEX(Inputs!$D$4:$AG$150,0,MATCH(J$2,Inputs!$D$2:$AG$2,0)),Inputs!$B$4:$B$150,$B20)/1000)</f>
        <v>36825</v>
      </c>
      <c r="K20" s="11">
        <f>IF(K$3=0,"",SUMIFS(INDEX(Inputs!$D$4:$AG$150,0,MATCH(K$2,Inputs!$D$2:$AG$2,0)),Inputs!$B$4:$B$150,$B20)/1000)</f>
        <v>53971</v>
      </c>
      <c r="L20" s="11">
        <f>IF(L$3=0,"",SUMIFS(INDEX(Inputs!$D$4:$AG$150,0,MATCH(L$2,Inputs!$D$2:$AG$2,0)),Inputs!$B$4:$B$150,$B20)/1000)</f>
        <v>46850</v>
      </c>
      <c r="M20" s="12">
        <f>IF(L20="","",L20)</f>
        <v>46850</v>
      </c>
      <c r="N20" s="11">
        <f>IF(N$3=0,"",SUMIFS(INDEX(Inputs!$D$4:$AG$150,0,MATCH(N$2,Inputs!$D$2:$AG$2,0)),Inputs!$B$4:$B$150,$B20)/1000)</f>
        <v>31623</v>
      </c>
      <c r="O20" s="11">
        <f>IF(O$3=0,"",SUMIFS(INDEX(Inputs!$D$4:$AG$150,0,MATCH(O$2,Inputs!$D$2:$AG$2,0)),Inputs!$B$4:$B$150,$B20)/1000)</f>
        <v>33277</v>
      </c>
      <c r="P20" s="11">
        <f>IF(P$3=0,"",SUMIFS(INDEX(Inputs!$D$4:$AG$150,0,MATCH(P$2,Inputs!$D$2:$AG$2,0)),Inputs!$B$4:$B$150,$B20)/1000)</f>
        <v>46172</v>
      </c>
      <c r="Q20" s="11">
        <f>IF(Q$3=0,"",SUMIFS(INDEX(Inputs!$D$4:$AG$150,0,MATCH(Q$2,Inputs!$D$2:$AG$2,0)),Inputs!$B$4:$B$150,$B20)/1000)</f>
        <v>40887</v>
      </c>
      <c r="R20" s="12">
        <f>IF(Q20="","",Q20)</f>
        <v>40887</v>
      </c>
      <c r="S20" s="11">
        <f>IF(S$3=0,"",SUMIFS(INDEX(Inputs!$D$4:$AG$150,0,MATCH(S$2,Inputs!$D$2:$AG$2,0)),Inputs!$B$4:$B$150,$B20)/1000)</f>
        <v>33197</v>
      </c>
      <c r="T20" s="11">
        <f>IF(T$3=0,"",SUMIFS(INDEX(Inputs!$D$4:$AG$150,0,MATCH(T$2,Inputs!$D$2:$AG$2,0)),Inputs!$B$4:$B$150,$B20)/1000)</f>
        <v>34674</v>
      </c>
      <c r="U20" s="11">
        <f>IF(U$3=0,"",SUMIFS(INDEX(Inputs!$D$4:$AG$150,0,MATCH(U$2,Inputs!$D$2:$AG$2,0)),Inputs!$B$4:$B$150,$B20)/1000)</f>
        <v>47120</v>
      </c>
      <c r="V20" s="11">
        <f>IF(V$3=0,"",SUMIFS(INDEX(Inputs!$D$4:$AG$150,0,MATCH(V$2,Inputs!$D$2:$AG$2,0)),Inputs!$B$4:$B$150,$B20)/1000)</f>
        <v>42915</v>
      </c>
      <c r="W20" s="12">
        <f>IF(V20="","",V20)</f>
        <v>42915</v>
      </c>
      <c r="X20" s="11">
        <f>IF(X$3=0,"",SUMIFS(INDEX(Inputs!$D$4:$AG$150,0,MATCH(X$2,Inputs!$D$2:$AG$2,0)),Inputs!$B$4:$B$150,$B20)/1000)</f>
        <v>37771</v>
      </c>
      <c r="Y20" s="11">
        <f>IF(Y$3=0,"",SUMIFS(INDEX(Inputs!$D$4:$AG$150,0,MATCH(Y$2,Inputs!$D$2:$AG$2,0)),Inputs!$B$4:$B$150,$B20)/1000)</f>
        <v>33637</v>
      </c>
      <c r="Z20" s="11">
        <f>IF(Z$3=0,"",SUMIFS(INDEX(Inputs!$D$4:$AG$150,0,MATCH(Z$2,Inputs!$D$2:$AG$2,0)),Inputs!$B$4:$B$150,$B20)/1000)</f>
        <v>47765</v>
      </c>
      <c r="AA20" s="11">
        <f>IF(AA$3=0,"",SUMIFS(INDEX(Inputs!$D$4:$AG$150,0,MATCH(AA$2,Inputs!$D$2:$AG$2,0)),Inputs!$B$4:$B$150,$B20)/1000)</f>
        <v>45401</v>
      </c>
      <c r="AB20" s="12">
        <f>IF(AA20="","",AA20)</f>
        <v>45401</v>
      </c>
      <c r="AC20" s="11">
        <f>IF(AC$3=0,"",SUMIFS(INDEX(Inputs!$D$4:$AG$150,0,MATCH(AC$2,Inputs!$D$2:$AG$2,0)),Inputs!$B$4:$B$150,$B20)/1000)</f>
        <v>38521</v>
      </c>
      <c r="AD20" s="11">
        <f>IF(AD$3=0,"",SUMIFS(INDEX(Inputs!$D$4:$AG$150,0,MATCH(AD$2,Inputs!$D$2:$AG$2,0)),Inputs!$B$4:$B$150,$B20)/1000)</f>
        <v>44929</v>
      </c>
      <c r="AE20" s="11" t="str">
        <f>IF(AE$3=0,"",SUMIFS(INDEX(Inputs!$D$4:$AG$150,0,MATCH(AE$2,Inputs!$D$2:$AG$2,0)),Inputs!$B$4:$B$150,$B20)/1000)</f>
        <v/>
      </c>
      <c r="AF20" s="11" t="str">
        <f>IF(AF$3=0,"",SUMIFS(INDEX(Inputs!$D$4:$AG$150,0,MATCH(AF$2,Inputs!$D$2:$AG$2,0)),Inputs!$B$4:$B$150,$B20)/1000)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IF(D$3=0,"",SUMIFS(INDEX(Inputs!$D$4:$AG$150,0,MATCH(D$2,Inputs!$D$2:$AG$2,0)),Inputs!$B$4:$B$150,$B21)/1000)</f>
        <v>0</v>
      </c>
      <c r="E21" s="11">
        <f>IF(E$3=0,"",SUMIFS(INDEX(Inputs!$D$4:$AG$150,0,MATCH(E$2,Inputs!$D$2:$AG$2,0)),Inputs!$B$4:$B$150,$B21)/1000)</f>
        <v>0</v>
      </c>
      <c r="F21" s="11">
        <f>IF(F$3=0,"",SUMIFS(INDEX(Inputs!$D$4:$AG$150,0,MATCH(F$2,Inputs!$D$2:$AG$2,0)),Inputs!$B$4:$B$150,$B21)/1000)</f>
        <v>0</v>
      </c>
      <c r="G21" s="11">
        <f>IF(G$3=0,"",SUMIFS(INDEX(Inputs!$D$4:$AG$150,0,MATCH(G$2,Inputs!$D$2:$AG$2,0)),Inputs!$B$4:$B$150,$B21)/1000)</f>
        <v>0</v>
      </c>
      <c r="H21" s="12">
        <f>IF(G21="","",G21)</f>
        <v>0</v>
      </c>
      <c r="I21" s="11">
        <f>IF(I$3=0,"",SUMIFS(INDEX(Inputs!$D$4:$AG$150,0,MATCH(I$2,Inputs!$D$2:$AG$2,0)),Inputs!$B$4:$B$150,$B21)/1000)</f>
        <v>0</v>
      </c>
      <c r="J21" s="11">
        <f>IF(J$3=0,"",SUMIFS(INDEX(Inputs!$D$4:$AG$150,0,MATCH(J$2,Inputs!$D$2:$AG$2,0)),Inputs!$B$4:$B$150,$B21)/1000)</f>
        <v>0</v>
      </c>
      <c r="K21" s="11">
        <f>IF(K$3=0,"",SUMIFS(INDEX(Inputs!$D$4:$AG$150,0,MATCH(K$2,Inputs!$D$2:$AG$2,0)),Inputs!$B$4:$B$150,$B21)/1000)</f>
        <v>0</v>
      </c>
      <c r="L21" s="11">
        <f>IF(L$3=0,"",SUMIFS(INDEX(Inputs!$D$4:$AG$150,0,MATCH(L$2,Inputs!$D$2:$AG$2,0)),Inputs!$B$4:$B$150,$B21)/1000)</f>
        <v>0</v>
      </c>
      <c r="M21" s="12">
        <f>IF(L21="","",L21)</f>
        <v>0</v>
      </c>
      <c r="N21" s="11">
        <f>IF(N$3=0,"",SUMIFS(INDEX(Inputs!$D$4:$AG$150,0,MATCH(N$2,Inputs!$D$2:$AG$2,0)),Inputs!$B$4:$B$150,$B21)/1000)</f>
        <v>0</v>
      </c>
      <c r="O21" s="11">
        <f>IF(O$3=0,"",SUMIFS(INDEX(Inputs!$D$4:$AG$150,0,MATCH(O$2,Inputs!$D$2:$AG$2,0)),Inputs!$B$4:$B$150,$B21)/1000)</f>
        <v>0</v>
      </c>
      <c r="P21" s="11">
        <f>IF(P$3=0,"",SUMIFS(INDEX(Inputs!$D$4:$AG$150,0,MATCH(P$2,Inputs!$D$2:$AG$2,0)),Inputs!$B$4:$B$150,$B21)/1000)</f>
        <v>0</v>
      </c>
      <c r="Q21" s="11">
        <f>IF(Q$3=0,"",SUMIFS(INDEX(Inputs!$D$4:$AG$150,0,MATCH(Q$2,Inputs!$D$2:$AG$2,0)),Inputs!$B$4:$B$150,$B21)/1000)</f>
        <v>0</v>
      </c>
      <c r="R21" s="12">
        <f>IF(Q21="","",Q21)</f>
        <v>0</v>
      </c>
      <c r="S21" s="11">
        <f>IF(S$3=0,"",SUMIFS(INDEX(Inputs!$D$4:$AG$150,0,MATCH(S$2,Inputs!$D$2:$AG$2,0)),Inputs!$B$4:$B$150,$B21)/1000)</f>
        <v>0</v>
      </c>
      <c r="T21" s="11">
        <f>IF(T$3=0,"",SUMIFS(INDEX(Inputs!$D$4:$AG$150,0,MATCH(T$2,Inputs!$D$2:$AG$2,0)),Inputs!$B$4:$B$150,$B21)/1000)</f>
        <v>0</v>
      </c>
      <c r="U21" s="11">
        <f>IF(U$3=0,"",SUMIFS(INDEX(Inputs!$D$4:$AG$150,0,MATCH(U$2,Inputs!$D$2:$AG$2,0)),Inputs!$B$4:$B$150,$B21)/1000)</f>
        <v>0</v>
      </c>
      <c r="V21" s="11">
        <f>IF(V$3=0,"",SUMIFS(INDEX(Inputs!$D$4:$AG$150,0,MATCH(V$2,Inputs!$D$2:$AG$2,0)),Inputs!$B$4:$B$150,$B21)/1000)</f>
        <v>0</v>
      </c>
      <c r="W21" s="12">
        <f>IF(V21="","",V21)</f>
        <v>0</v>
      </c>
      <c r="X21" s="11">
        <f>IF(X$3=0,"",SUMIFS(INDEX(Inputs!$D$4:$AG$150,0,MATCH(X$2,Inputs!$D$2:$AG$2,0)),Inputs!$B$4:$B$150,$B21)/1000)</f>
        <v>0</v>
      </c>
      <c r="Y21" s="11">
        <f>IF(Y$3=0,"",SUMIFS(INDEX(Inputs!$D$4:$AG$150,0,MATCH(Y$2,Inputs!$D$2:$AG$2,0)),Inputs!$B$4:$B$150,$B21)/1000)</f>
        <v>0</v>
      </c>
      <c r="Z21" s="11">
        <f>IF(Z$3=0,"",SUMIFS(INDEX(Inputs!$D$4:$AG$150,0,MATCH(Z$2,Inputs!$D$2:$AG$2,0)),Inputs!$B$4:$B$150,$B21)/1000)</f>
        <v>0</v>
      </c>
      <c r="AA21" s="11">
        <f>IF(AA$3=0,"",SUMIFS(INDEX(Inputs!$D$4:$AG$150,0,MATCH(AA$2,Inputs!$D$2:$AG$2,0)),Inputs!$B$4:$B$150,$B21)/1000)</f>
        <v>0</v>
      </c>
      <c r="AB21" s="12">
        <f>IF(AA21="","",AA21)</f>
        <v>0</v>
      </c>
      <c r="AC21" s="11">
        <f>IF(AC$3=0,"",SUMIFS(INDEX(Inputs!$D$4:$AG$150,0,MATCH(AC$2,Inputs!$D$2:$AG$2,0)),Inputs!$B$4:$B$150,$B21)/1000)</f>
        <v>0</v>
      </c>
      <c r="AD21" s="11">
        <f>IF(AD$3=0,"",SUMIFS(INDEX(Inputs!$D$4:$AG$150,0,MATCH(AD$2,Inputs!$D$2:$AG$2,0)),Inputs!$B$4:$B$150,$B21)/1000)</f>
        <v>0</v>
      </c>
      <c r="AE21" s="11" t="str">
        <f>IF(AE$3=0,"",SUMIFS(INDEX(Inputs!$D$4:$AG$150,0,MATCH(AE$2,Inputs!$D$2:$AG$2,0)),Inputs!$B$4:$B$150,$B21)/1000)</f>
        <v/>
      </c>
      <c r="AF21" s="11" t="str">
        <f>IF(AF$3=0,"",SUMIFS(INDEX(Inputs!$D$4:$AG$150,0,MATCH(AF$2,Inputs!$D$2:$AG$2,0)),Inputs!$B$4:$B$150,$B21)/1000)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IF(D$3=0,"",SUMIFS(INDEX(Inputs!$D$4:$AG$150,0,MATCH(D$2,Inputs!$D$2:$AG$2,0)),Inputs!$B$4:$B$150,$B22)/1000)</f>
        <v>37815</v>
      </c>
      <c r="E22" s="11">
        <f>IF(E$3=0,"",SUMIFS(INDEX(Inputs!$D$4:$AG$150,0,MATCH(E$2,Inputs!$D$2:$AG$2,0)),Inputs!$B$4:$B$150,$B22)/1000)</f>
        <v>38615</v>
      </c>
      <c r="F22" s="11">
        <f>IF(F$3=0,"",SUMIFS(INDEX(Inputs!$D$4:$AG$150,0,MATCH(F$2,Inputs!$D$2:$AG$2,0)),Inputs!$B$4:$B$150,$B22)/1000)</f>
        <v>39440</v>
      </c>
      <c r="G22" s="11">
        <f>IF(G$3=0,"",SUMIFS(INDEX(Inputs!$D$4:$AG$150,0,MATCH(G$2,Inputs!$D$2:$AG$2,0)),Inputs!$B$4:$B$150,$B22)/1000)</f>
        <v>39245</v>
      </c>
      <c r="H22" s="12">
        <f>IF(G22="","",G22)</f>
        <v>39245</v>
      </c>
      <c r="I22" s="11">
        <f>IF(I$3=0,"",SUMIFS(INDEX(Inputs!$D$4:$AG$150,0,MATCH(I$2,Inputs!$D$2:$AG$2,0)),Inputs!$B$4:$B$150,$B22)/1000)</f>
        <v>39304</v>
      </c>
      <c r="J22" s="11">
        <f>IF(J$3=0,"",SUMIFS(INDEX(Inputs!$D$4:$AG$150,0,MATCH(J$2,Inputs!$D$2:$AG$2,0)),Inputs!$B$4:$B$150,$B22)/1000)</f>
        <v>40335</v>
      </c>
      <c r="K22" s="11">
        <f>IF(K$3=0,"",SUMIFS(INDEX(Inputs!$D$4:$AG$150,0,MATCH(K$2,Inputs!$D$2:$AG$2,0)),Inputs!$B$4:$B$150,$B22)/1000)</f>
        <v>42117</v>
      </c>
      <c r="L22" s="11">
        <f>IF(L$3=0,"",SUMIFS(INDEX(Inputs!$D$4:$AG$150,0,MATCH(L$2,Inputs!$D$2:$AG$2,0)),Inputs!$B$4:$B$150,$B22)/1000)</f>
        <v>42951</v>
      </c>
      <c r="M22" s="12">
        <f>IF(L22="","",L22)</f>
        <v>42951</v>
      </c>
      <c r="N22" s="11">
        <f>IF(N$3=0,"",SUMIFS(INDEX(Inputs!$D$4:$AG$150,0,MATCH(N$2,Inputs!$D$2:$AG$2,0)),Inputs!$B$4:$B$150,$B22)/1000)</f>
        <v>43398</v>
      </c>
      <c r="O22" s="11">
        <f>IF(O$3=0,"",SUMIFS(INDEX(Inputs!$D$4:$AG$150,0,MATCH(O$2,Inputs!$D$2:$AG$2,0)),Inputs!$B$4:$B$150,$B22)/1000)</f>
        <v>43550</v>
      </c>
      <c r="P22" s="11">
        <f>IF(P$3=0,"",SUMIFS(INDEX(Inputs!$D$4:$AG$150,0,MATCH(P$2,Inputs!$D$2:$AG$2,0)),Inputs!$B$4:$B$150,$B22)/1000)</f>
        <v>43715</v>
      </c>
      <c r="Q22" s="11">
        <f>IF(Q$3=0,"",SUMIFS(INDEX(Inputs!$D$4:$AG$150,0,MATCH(Q$2,Inputs!$D$2:$AG$2,0)),Inputs!$B$4:$B$150,$B22)/1000)</f>
        <v>43666</v>
      </c>
      <c r="R22" s="12">
        <f>IF(Q22="","",Q22)</f>
        <v>43666</v>
      </c>
      <c r="S22" s="11">
        <f>IF(S$3=0,"",SUMIFS(INDEX(Inputs!$D$4:$AG$150,0,MATCH(S$2,Inputs!$D$2:$AG$2,0)),Inputs!$B$4:$B$150,$B22)/1000)</f>
        <v>43546</v>
      </c>
      <c r="T22" s="11">
        <f>IF(T$3=0,"",SUMIFS(INDEX(Inputs!$D$4:$AG$150,0,MATCH(T$2,Inputs!$D$2:$AG$2,0)),Inputs!$B$4:$B$150,$B22)/1000)</f>
        <v>44502</v>
      </c>
      <c r="U22" s="11">
        <f>IF(U$3=0,"",SUMIFS(INDEX(Inputs!$D$4:$AG$150,0,MATCH(U$2,Inputs!$D$2:$AG$2,0)),Inputs!$B$4:$B$150,$B22)/1000)</f>
        <v>45680</v>
      </c>
      <c r="V22" s="11">
        <f>IF(V$3=0,"",SUMIFS(INDEX(Inputs!$D$4:$AG$150,0,MATCH(V$2,Inputs!$D$2:$AG$2,0)),Inputs!$B$4:$B$150,$B22)/1000)</f>
        <v>46069</v>
      </c>
      <c r="W22" s="12">
        <f>IF(V22="","",V22)</f>
        <v>46069</v>
      </c>
      <c r="X22" s="11">
        <f>IF(X$3=0,"",SUMIFS(INDEX(Inputs!$D$4:$AG$150,0,MATCH(X$2,Inputs!$D$2:$AG$2,0)),Inputs!$B$4:$B$150,$B22)/1000)</f>
        <v>46876</v>
      </c>
      <c r="Y22" s="11">
        <f>IF(Y$3=0,"",SUMIFS(INDEX(Inputs!$D$4:$AG$150,0,MATCH(Y$2,Inputs!$D$2:$AG$2,0)),Inputs!$B$4:$B$150,$B22)/1000)</f>
        <v>48508</v>
      </c>
      <c r="Z22" s="11">
        <f>IF(Z$3=0,"",SUMIFS(INDEX(Inputs!$D$4:$AG$150,0,MATCH(Z$2,Inputs!$D$2:$AG$2,0)),Inputs!$B$4:$B$150,$B22)/1000)</f>
        <v>49834</v>
      </c>
      <c r="AA22" s="11">
        <f>IF(AA$3=0,"",SUMIFS(INDEX(Inputs!$D$4:$AG$150,0,MATCH(AA$2,Inputs!$D$2:$AG$2,0)),Inputs!$B$4:$B$150,$B22)/1000)</f>
        <v>50159</v>
      </c>
      <c r="AB22" s="12">
        <f>IF(AA22="","",AA22)</f>
        <v>50159</v>
      </c>
      <c r="AC22" s="11">
        <f>IF(AC$3=0,"",SUMIFS(INDEX(Inputs!$D$4:$AG$150,0,MATCH(AC$2,Inputs!$D$2:$AG$2,0)),Inputs!$B$4:$B$150,$B22)/1000)</f>
        <v>50116</v>
      </c>
      <c r="AD22" s="11">
        <f>IF(AD$3=0,"",SUMIFS(INDEX(Inputs!$D$4:$AG$150,0,MATCH(AD$2,Inputs!$D$2:$AG$2,0)),Inputs!$B$4:$B$150,$B22)/1000)</f>
        <v>51431</v>
      </c>
      <c r="AE22" s="11" t="str">
        <f>IF(AE$3=0,"",SUMIFS(INDEX(Inputs!$D$4:$AG$150,0,MATCH(AE$2,Inputs!$D$2:$AG$2,0)),Inputs!$B$4:$B$150,$B22)/1000)</f>
        <v/>
      </c>
      <c r="AF22" s="11" t="str">
        <f>IF(AF$3=0,"",SUMIFS(INDEX(Inputs!$D$4:$AG$150,0,MATCH(AF$2,Inputs!$D$2:$AG$2,0)),Inputs!$B$4:$B$150,$B22)/1000)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IF(D$3=0,"",SUMIFS(INDEX(Inputs!$D$4:$AG$150,0,MATCH(D$2,Inputs!$D$2:$AG$2,0)),Inputs!$B$4:$B$150,$B23)/1000)</f>
        <v>0</v>
      </c>
      <c r="E23" s="11">
        <f>IF(E$3=0,"",SUMIFS(INDEX(Inputs!$D$4:$AG$150,0,MATCH(E$2,Inputs!$D$2:$AG$2,0)),Inputs!$B$4:$B$150,$B23)/1000)</f>
        <v>0</v>
      </c>
      <c r="F23" s="11">
        <f>IF(F$3=0,"",SUMIFS(INDEX(Inputs!$D$4:$AG$150,0,MATCH(F$2,Inputs!$D$2:$AG$2,0)),Inputs!$B$4:$B$150,$B23)/1000)</f>
        <v>0</v>
      </c>
      <c r="G23" s="11">
        <f>IF(G$3=0,"",SUMIFS(INDEX(Inputs!$D$4:$AG$150,0,MATCH(G$2,Inputs!$D$2:$AG$2,0)),Inputs!$B$4:$B$150,$B23)/1000)</f>
        <v>0</v>
      </c>
      <c r="H23" s="12">
        <f>IF(G23="","",G23)</f>
        <v>0</v>
      </c>
      <c r="I23" s="11">
        <f>IF(I$3=0,"",SUMIFS(INDEX(Inputs!$D$4:$AG$150,0,MATCH(I$2,Inputs!$D$2:$AG$2,0)),Inputs!$B$4:$B$150,$B23)/1000)</f>
        <v>0</v>
      </c>
      <c r="J23" s="11">
        <f>IF(J$3=0,"",SUMIFS(INDEX(Inputs!$D$4:$AG$150,0,MATCH(J$2,Inputs!$D$2:$AG$2,0)),Inputs!$B$4:$B$150,$B23)/1000)</f>
        <v>0</v>
      </c>
      <c r="K23" s="11">
        <f>IF(K$3=0,"",SUMIFS(INDEX(Inputs!$D$4:$AG$150,0,MATCH(K$2,Inputs!$D$2:$AG$2,0)),Inputs!$B$4:$B$150,$B23)/1000)</f>
        <v>0</v>
      </c>
      <c r="L23" s="11">
        <f>IF(L$3=0,"",SUMIFS(INDEX(Inputs!$D$4:$AG$150,0,MATCH(L$2,Inputs!$D$2:$AG$2,0)),Inputs!$B$4:$B$150,$B23)/1000)</f>
        <v>0</v>
      </c>
      <c r="M23" s="12">
        <f>IF(L23="","",L23)</f>
        <v>0</v>
      </c>
      <c r="N23" s="11">
        <f>IF(N$3=0,"",SUMIFS(INDEX(Inputs!$D$4:$AG$150,0,MATCH(N$2,Inputs!$D$2:$AG$2,0)),Inputs!$B$4:$B$150,$B23)/1000)</f>
        <v>0</v>
      </c>
      <c r="O23" s="11">
        <f>IF(O$3=0,"",SUMIFS(INDEX(Inputs!$D$4:$AG$150,0,MATCH(O$2,Inputs!$D$2:$AG$2,0)),Inputs!$B$4:$B$150,$B23)/1000)</f>
        <v>0</v>
      </c>
      <c r="P23" s="11">
        <f>IF(P$3=0,"",SUMIFS(INDEX(Inputs!$D$4:$AG$150,0,MATCH(P$2,Inputs!$D$2:$AG$2,0)),Inputs!$B$4:$B$150,$B23)/1000)</f>
        <v>0</v>
      </c>
      <c r="Q23" s="11">
        <f>IF(Q$3=0,"",SUMIFS(INDEX(Inputs!$D$4:$AG$150,0,MATCH(Q$2,Inputs!$D$2:$AG$2,0)),Inputs!$B$4:$B$150,$B23)/1000)</f>
        <v>0</v>
      </c>
      <c r="R23" s="12">
        <f>IF(Q23="","",Q23)</f>
        <v>0</v>
      </c>
      <c r="S23" s="11">
        <f>IF(S$3=0,"",SUMIFS(INDEX(Inputs!$D$4:$AG$150,0,MATCH(S$2,Inputs!$D$2:$AG$2,0)),Inputs!$B$4:$B$150,$B23)/1000)</f>
        <v>0</v>
      </c>
      <c r="T23" s="11">
        <f>IF(T$3=0,"",SUMIFS(INDEX(Inputs!$D$4:$AG$150,0,MATCH(T$2,Inputs!$D$2:$AG$2,0)),Inputs!$B$4:$B$150,$B23)/1000)</f>
        <v>0</v>
      </c>
      <c r="U23" s="11">
        <f>IF(U$3=0,"",SUMIFS(INDEX(Inputs!$D$4:$AG$150,0,MATCH(U$2,Inputs!$D$2:$AG$2,0)),Inputs!$B$4:$B$150,$B23)/1000)</f>
        <v>0</v>
      </c>
      <c r="V23" s="11">
        <f>IF(V$3=0,"",SUMIFS(INDEX(Inputs!$D$4:$AG$150,0,MATCH(V$2,Inputs!$D$2:$AG$2,0)),Inputs!$B$4:$B$150,$B23)/1000)</f>
        <v>0</v>
      </c>
      <c r="W23" s="12">
        <f>IF(V23="","",V23)</f>
        <v>0</v>
      </c>
      <c r="X23" s="11">
        <f>IF(X$3=0,"",SUMIFS(INDEX(Inputs!$D$4:$AG$150,0,MATCH(X$2,Inputs!$D$2:$AG$2,0)),Inputs!$B$4:$B$150,$B23)/1000)</f>
        <v>0</v>
      </c>
      <c r="Y23" s="11">
        <f>IF(Y$3=0,"",SUMIFS(INDEX(Inputs!$D$4:$AG$150,0,MATCH(Y$2,Inputs!$D$2:$AG$2,0)),Inputs!$B$4:$B$150,$B23)/1000)</f>
        <v>0</v>
      </c>
      <c r="Z23" s="11">
        <f>IF(Z$3=0,"",SUMIFS(INDEX(Inputs!$D$4:$AG$150,0,MATCH(Z$2,Inputs!$D$2:$AG$2,0)),Inputs!$B$4:$B$150,$B23)/1000)</f>
        <v>0</v>
      </c>
      <c r="AA23" s="11">
        <f>IF(AA$3=0,"",SUMIFS(INDEX(Inputs!$D$4:$AG$150,0,MATCH(AA$2,Inputs!$D$2:$AG$2,0)),Inputs!$B$4:$B$150,$B23)/1000)</f>
        <v>0</v>
      </c>
      <c r="AB23" s="12">
        <f>IF(AA23="","",AA23)</f>
        <v>0</v>
      </c>
      <c r="AC23" s="11">
        <f>IF(AC$3=0,"",SUMIFS(INDEX(Inputs!$D$4:$AG$150,0,MATCH(AC$2,Inputs!$D$2:$AG$2,0)),Inputs!$B$4:$B$150,$B23)/1000)</f>
        <v>0</v>
      </c>
      <c r="AD23" s="11">
        <f>IF(AD$3=0,"",SUMIFS(INDEX(Inputs!$D$4:$AG$150,0,MATCH(AD$2,Inputs!$D$2:$AG$2,0)),Inputs!$B$4:$B$150,$B23)/1000)</f>
        <v>0</v>
      </c>
      <c r="AE23" s="11" t="str">
        <f>IF(AE$3=0,"",SUMIFS(INDEX(Inputs!$D$4:$AG$150,0,MATCH(AE$2,Inputs!$D$2:$AG$2,0)),Inputs!$B$4:$B$150,$B23)/1000)</f>
        <v/>
      </c>
      <c r="AF23" s="11" t="str">
        <f>IF(AF$3=0,"",SUMIFS(INDEX(Inputs!$D$4:$AG$150,0,MATCH(AF$2,Inputs!$D$2:$AG$2,0)),Inputs!$B$4:$B$150,$B23)/1000)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IF(D$3=0,"",SUMIFS(INDEX(Inputs!$D$4:$AG$150,0,MATCH(D$2,Inputs!$D$2:$AG$2,0)),Inputs!$B$4:$B$150,$B24)/1000)</f>
        <v>0</v>
      </c>
      <c r="E24" s="11">
        <f>IF(E$3=0,"",SUMIFS(INDEX(Inputs!$D$4:$AG$150,0,MATCH(E$2,Inputs!$D$2:$AG$2,0)),Inputs!$B$4:$B$150,$B24)/1000)</f>
        <v>0</v>
      </c>
      <c r="F24" s="11">
        <f>IF(F$3=0,"",SUMIFS(INDEX(Inputs!$D$4:$AG$150,0,MATCH(F$2,Inputs!$D$2:$AG$2,0)),Inputs!$B$4:$B$150,$B24)/1000)</f>
        <v>0</v>
      </c>
      <c r="G24" s="11">
        <f>IF(G$3=0,"",SUMIFS(INDEX(Inputs!$D$4:$AG$150,0,MATCH(G$2,Inputs!$D$2:$AG$2,0)),Inputs!$B$4:$B$150,$B24)/1000)</f>
        <v>0</v>
      </c>
      <c r="H24" s="12">
        <f>IF(G24="","",G24)</f>
        <v>0</v>
      </c>
      <c r="I24" s="11">
        <f>IF(I$3=0,"",SUMIFS(INDEX(Inputs!$D$4:$AG$150,0,MATCH(I$2,Inputs!$D$2:$AG$2,0)),Inputs!$B$4:$B$150,$B24)/1000)</f>
        <v>0</v>
      </c>
      <c r="J24" s="11">
        <f>IF(J$3=0,"",SUMIFS(INDEX(Inputs!$D$4:$AG$150,0,MATCH(J$2,Inputs!$D$2:$AG$2,0)),Inputs!$B$4:$B$150,$B24)/1000)</f>
        <v>0</v>
      </c>
      <c r="K24" s="11">
        <f>IF(K$3=0,"",SUMIFS(INDEX(Inputs!$D$4:$AG$150,0,MATCH(K$2,Inputs!$D$2:$AG$2,0)),Inputs!$B$4:$B$150,$B24)/1000)</f>
        <v>0</v>
      </c>
      <c r="L24" s="11">
        <f>IF(L$3=0,"",SUMIFS(INDEX(Inputs!$D$4:$AG$150,0,MATCH(L$2,Inputs!$D$2:$AG$2,0)),Inputs!$B$4:$B$150,$B24)/1000)</f>
        <v>0</v>
      </c>
      <c r="M24" s="12">
        <f>IF(L24="","",L24)</f>
        <v>0</v>
      </c>
      <c r="N24" s="11">
        <f>IF(N$3=0,"",SUMIFS(INDEX(Inputs!$D$4:$AG$150,0,MATCH(N$2,Inputs!$D$2:$AG$2,0)),Inputs!$B$4:$B$150,$B24)/1000)</f>
        <v>0</v>
      </c>
      <c r="O24" s="11">
        <f>IF(O$3=0,"",SUMIFS(INDEX(Inputs!$D$4:$AG$150,0,MATCH(O$2,Inputs!$D$2:$AG$2,0)),Inputs!$B$4:$B$150,$B24)/1000)</f>
        <v>0</v>
      </c>
      <c r="P24" s="11">
        <f>IF(P$3=0,"",SUMIFS(INDEX(Inputs!$D$4:$AG$150,0,MATCH(P$2,Inputs!$D$2:$AG$2,0)),Inputs!$B$4:$B$150,$B24)/1000)</f>
        <v>0</v>
      </c>
      <c r="Q24" s="11">
        <f>IF(Q$3=0,"",SUMIFS(INDEX(Inputs!$D$4:$AG$150,0,MATCH(Q$2,Inputs!$D$2:$AG$2,0)),Inputs!$B$4:$B$150,$B24)/1000)</f>
        <v>0</v>
      </c>
      <c r="R24" s="12">
        <f>IF(Q24="","",Q24)</f>
        <v>0</v>
      </c>
      <c r="S24" s="11">
        <f>IF(S$3=0,"",SUMIFS(INDEX(Inputs!$D$4:$AG$150,0,MATCH(S$2,Inputs!$D$2:$AG$2,0)),Inputs!$B$4:$B$150,$B24)/1000)</f>
        <v>0</v>
      </c>
      <c r="T24" s="11">
        <f>IF(T$3=0,"",SUMIFS(INDEX(Inputs!$D$4:$AG$150,0,MATCH(T$2,Inputs!$D$2:$AG$2,0)),Inputs!$B$4:$B$150,$B24)/1000)</f>
        <v>0</v>
      </c>
      <c r="U24" s="11">
        <f>IF(U$3=0,"",SUMIFS(INDEX(Inputs!$D$4:$AG$150,0,MATCH(U$2,Inputs!$D$2:$AG$2,0)),Inputs!$B$4:$B$150,$B24)/1000)</f>
        <v>0</v>
      </c>
      <c r="V24" s="11">
        <f>IF(V$3=0,"",SUMIFS(INDEX(Inputs!$D$4:$AG$150,0,MATCH(V$2,Inputs!$D$2:$AG$2,0)),Inputs!$B$4:$B$150,$B24)/1000)</f>
        <v>0</v>
      </c>
      <c r="W24" s="12">
        <f>IF(V24="","",V24)</f>
        <v>0</v>
      </c>
      <c r="X24" s="11">
        <f>IF(X$3=0,"",SUMIFS(INDEX(Inputs!$D$4:$AG$150,0,MATCH(X$2,Inputs!$D$2:$AG$2,0)),Inputs!$B$4:$B$150,$B24)/1000)</f>
        <v>0</v>
      </c>
      <c r="Y24" s="11">
        <f>IF(Y$3=0,"",SUMIFS(INDEX(Inputs!$D$4:$AG$150,0,MATCH(Y$2,Inputs!$D$2:$AG$2,0)),Inputs!$B$4:$B$150,$B24)/1000)</f>
        <v>0</v>
      </c>
      <c r="Z24" s="11">
        <f>IF(Z$3=0,"",SUMIFS(INDEX(Inputs!$D$4:$AG$150,0,MATCH(Z$2,Inputs!$D$2:$AG$2,0)),Inputs!$B$4:$B$150,$B24)/1000)</f>
        <v>0</v>
      </c>
      <c r="AA24" s="11">
        <f>IF(AA$3=0,"",SUMIFS(INDEX(Inputs!$D$4:$AG$150,0,MATCH(AA$2,Inputs!$D$2:$AG$2,0)),Inputs!$B$4:$B$150,$B24)/1000)</f>
        <v>0</v>
      </c>
      <c r="AB24" s="12">
        <f>IF(AA24="","",AA24)</f>
        <v>0</v>
      </c>
      <c r="AC24" s="11">
        <f>IF(AC$3=0,"",SUMIFS(INDEX(Inputs!$D$4:$AG$150,0,MATCH(AC$2,Inputs!$D$2:$AG$2,0)),Inputs!$B$4:$B$150,$B24)/1000)</f>
        <v>0</v>
      </c>
      <c r="AD24" s="11">
        <f>IF(AD$3=0,"",SUMIFS(INDEX(Inputs!$D$4:$AG$150,0,MATCH(AD$2,Inputs!$D$2:$AG$2,0)),Inputs!$B$4:$B$150,$B24)/1000)</f>
        <v>0</v>
      </c>
      <c r="AE24" s="11" t="str">
        <f>IF(AE$3=0,"",SUMIFS(INDEX(Inputs!$D$4:$AG$150,0,MATCH(AE$2,Inputs!$D$2:$AG$2,0)),Inputs!$B$4:$B$150,$B24)/1000)</f>
        <v/>
      </c>
      <c r="AF24" s="11" t="str">
        <f>IF(AF$3=0,"",SUMIFS(INDEX(Inputs!$D$4:$AG$150,0,MATCH(AF$2,Inputs!$D$2:$AG$2,0)),Inputs!$B$4:$B$150,$B24)/1000)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IF(D$3=0,"",SUMIFS(INDEX(Inputs!$D$4:$AG$150,0,MATCH(D$2,Inputs!$D$2:$AG$2,0)),Inputs!$B$4:$B$150,$B25)/1000)</f>
        <v>0</v>
      </c>
      <c r="E25" s="11">
        <f>IF(E$3=0,"",SUMIFS(INDEX(Inputs!$D$4:$AG$150,0,MATCH(E$2,Inputs!$D$2:$AG$2,0)),Inputs!$B$4:$B$150,$B25)/1000)</f>
        <v>0</v>
      </c>
      <c r="F25" s="11">
        <f>IF(F$3=0,"",SUMIFS(INDEX(Inputs!$D$4:$AG$150,0,MATCH(F$2,Inputs!$D$2:$AG$2,0)),Inputs!$B$4:$B$150,$B25)/1000)</f>
        <v>0</v>
      </c>
      <c r="G25" s="11">
        <f>IF(G$3=0,"",SUMIFS(INDEX(Inputs!$D$4:$AG$150,0,MATCH(G$2,Inputs!$D$2:$AG$2,0)),Inputs!$B$4:$B$150,$B25)/1000)</f>
        <v>0</v>
      </c>
      <c r="H25" s="12">
        <f>IF(G25="","",G25)</f>
        <v>0</v>
      </c>
      <c r="I25" s="11">
        <f>IF(I$3=0,"",SUMIFS(INDEX(Inputs!$D$4:$AG$150,0,MATCH(I$2,Inputs!$D$2:$AG$2,0)),Inputs!$B$4:$B$150,$B25)/1000)</f>
        <v>0</v>
      </c>
      <c r="J25" s="11">
        <f>IF(J$3=0,"",SUMIFS(INDEX(Inputs!$D$4:$AG$150,0,MATCH(J$2,Inputs!$D$2:$AG$2,0)),Inputs!$B$4:$B$150,$B25)/1000)</f>
        <v>0</v>
      </c>
      <c r="K25" s="11">
        <f>IF(K$3=0,"",SUMIFS(INDEX(Inputs!$D$4:$AG$150,0,MATCH(K$2,Inputs!$D$2:$AG$2,0)),Inputs!$B$4:$B$150,$B25)/1000)</f>
        <v>0</v>
      </c>
      <c r="L25" s="11">
        <f>IF(L$3=0,"",SUMIFS(INDEX(Inputs!$D$4:$AG$150,0,MATCH(L$2,Inputs!$D$2:$AG$2,0)),Inputs!$B$4:$B$150,$B25)/1000)</f>
        <v>0</v>
      </c>
      <c r="M25" s="12">
        <f>IF(L25="","",L25)</f>
        <v>0</v>
      </c>
      <c r="N25" s="11">
        <f>IF(N$3=0,"",SUMIFS(INDEX(Inputs!$D$4:$AG$150,0,MATCH(N$2,Inputs!$D$2:$AG$2,0)),Inputs!$B$4:$B$150,$B25)/1000)</f>
        <v>0</v>
      </c>
      <c r="O25" s="11">
        <f>IF(O$3=0,"",SUMIFS(INDEX(Inputs!$D$4:$AG$150,0,MATCH(O$2,Inputs!$D$2:$AG$2,0)),Inputs!$B$4:$B$150,$B25)/1000)</f>
        <v>0</v>
      </c>
      <c r="P25" s="11">
        <f>IF(P$3=0,"",SUMIFS(INDEX(Inputs!$D$4:$AG$150,0,MATCH(P$2,Inputs!$D$2:$AG$2,0)),Inputs!$B$4:$B$150,$B25)/1000)</f>
        <v>0</v>
      </c>
      <c r="Q25" s="11">
        <f>IF(Q$3=0,"",SUMIFS(INDEX(Inputs!$D$4:$AG$150,0,MATCH(Q$2,Inputs!$D$2:$AG$2,0)),Inputs!$B$4:$B$150,$B25)/1000)</f>
        <v>0</v>
      </c>
      <c r="R25" s="12">
        <f>IF(Q25="","",Q25)</f>
        <v>0</v>
      </c>
      <c r="S25" s="11">
        <f>IF(S$3=0,"",SUMIFS(INDEX(Inputs!$D$4:$AG$150,0,MATCH(S$2,Inputs!$D$2:$AG$2,0)),Inputs!$B$4:$B$150,$B25)/1000)</f>
        <v>0</v>
      </c>
      <c r="T25" s="11">
        <f>IF(T$3=0,"",SUMIFS(INDEX(Inputs!$D$4:$AG$150,0,MATCH(T$2,Inputs!$D$2:$AG$2,0)),Inputs!$B$4:$B$150,$B25)/1000)</f>
        <v>0</v>
      </c>
      <c r="U25" s="11">
        <f>IF(U$3=0,"",SUMIFS(INDEX(Inputs!$D$4:$AG$150,0,MATCH(U$2,Inputs!$D$2:$AG$2,0)),Inputs!$B$4:$B$150,$B25)/1000)</f>
        <v>0</v>
      </c>
      <c r="V25" s="11">
        <f>IF(V$3=0,"",SUMIFS(INDEX(Inputs!$D$4:$AG$150,0,MATCH(V$2,Inputs!$D$2:$AG$2,0)),Inputs!$B$4:$B$150,$B25)/1000)</f>
        <v>0</v>
      </c>
      <c r="W25" s="12">
        <f>IF(V25="","",V25)</f>
        <v>0</v>
      </c>
      <c r="X25" s="11">
        <f>IF(X$3=0,"",SUMIFS(INDEX(Inputs!$D$4:$AG$150,0,MATCH(X$2,Inputs!$D$2:$AG$2,0)),Inputs!$B$4:$B$150,$B25)/1000)</f>
        <v>0</v>
      </c>
      <c r="Y25" s="11">
        <f>IF(Y$3=0,"",SUMIFS(INDEX(Inputs!$D$4:$AG$150,0,MATCH(Y$2,Inputs!$D$2:$AG$2,0)),Inputs!$B$4:$B$150,$B25)/1000)</f>
        <v>0</v>
      </c>
      <c r="Z25" s="11">
        <f>IF(Z$3=0,"",SUMIFS(INDEX(Inputs!$D$4:$AG$150,0,MATCH(Z$2,Inputs!$D$2:$AG$2,0)),Inputs!$B$4:$B$150,$B25)/1000)</f>
        <v>11093</v>
      </c>
      <c r="AA25" s="11">
        <f>IF(AA$3=0,"",SUMIFS(INDEX(Inputs!$D$4:$AG$150,0,MATCH(AA$2,Inputs!$D$2:$AG$2,0)),Inputs!$B$4:$B$150,$B25)/1000)</f>
        <v>0</v>
      </c>
      <c r="AB25" s="12">
        <f>IF(AA25="","",AA25)</f>
        <v>0</v>
      </c>
      <c r="AC25" s="11">
        <f>IF(AC$3=0,"",SUMIFS(INDEX(Inputs!$D$4:$AG$150,0,MATCH(AC$2,Inputs!$D$2:$AG$2,0)),Inputs!$B$4:$B$150,$B25)/1000)</f>
        <v>21334</v>
      </c>
      <c r="AD25" s="11">
        <f>IF(AD$3=0,"",SUMIFS(INDEX(Inputs!$D$4:$AG$150,0,MATCH(AD$2,Inputs!$D$2:$AG$2,0)),Inputs!$B$4:$B$150,$B25)/1000)</f>
        <v>20342</v>
      </c>
      <c r="AE25" s="11" t="str">
        <f>IF(AE$3=0,"",SUMIFS(INDEX(Inputs!$D$4:$AG$150,0,MATCH(AE$2,Inputs!$D$2:$AG$2,0)),Inputs!$B$4:$B$150,$B25)/1000)</f>
        <v/>
      </c>
      <c r="AF25" s="11" t="str">
        <f>IF(AF$3=0,"",SUMIFS(INDEX(Inputs!$D$4:$AG$150,0,MATCH(AF$2,Inputs!$D$2:$AG$2,0)),Inputs!$B$4:$B$150,$B25)/1000)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IF(D$3=0,"",SUMIFS(INDEX(Inputs!$D$4:$AG$150,0,MATCH(D$2,Inputs!$D$2:$AG$2,0)),Inputs!$B$4:$B$150,$B26)/1000)</f>
        <v>43339</v>
      </c>
      <c r="E26" s="11">
        <f>IF(E$3=0,"",SUMIFS(INDEX(Inputs!$D$4:$AG$150,0,MATCH(E$2,Inputs!$D$2:$AG$2,0)),Inputs!$B$4:$B$150,$B26)/1000)</f>
        <v>44854</v>
      </c>
      <c r="F26" s="11">
        <f>IF(F$3=0,"",SUMIFS(INDEX(Inputs!$D$4:$AG$150,0,MATCH(F$2,Inputs!$D$2:$AG$2,0)),Inputs!$B$4:$B$150,$B26)/1000)</f>
        <v>48849</v>
      </c>
      <c r="G26" s="11">
        <f>IF(G$3=0,"",SUMIFS(INDEX(Inputs!$D$4:$AG$150,0,MATCH(G$2,Inputs!$D$2:$AG$2,0)),Inputs!$B$4:$B$150,$B26)/1000)</f>
        <v>50109</v>
      </c>
      <c r="H26" s="12">
        <f>IF(G26="","",G26)</f>
        <v>50109</v>
      </c>
      <c r="I26" s="11">
        <f>IF(I$3=0,"",SUMIFS(INDEX(Inputs!$D$4:$AG$150,0,MATCH(I$2,Inputs!$D$2:$AG$2,0)),Inputs!$B$4:$B$150,$B26)/1000)</f>
        <v>51959</v>
      </c>
      <c r="J26" s="11">
        <f>IF(J$3=0,"",SUMIFS(INDEX(Inputs!$D$4:$AG$150,0,MATCH(J$2,Inputs!$D$2:$AG$2,0)),Inputs!$B$4:$B$150,$B26)/1000)</f>
        <v>52605</v>
      </c>
      <c r="K26" s="11">
        <f>IF(K$3=0,"",SUMIFS(INDEX(Inputs!$D$4:$AG$150,0,MATCH(K$2,Inputs!$D$2:$AG$2,0)),Inputs!$B$4:$B$150,$B26)/1000)</f>
        <v>54428</v>
      </c>
      <c r="L26" s="11">
        <f>IF(L$3=0,"",SUMIFS(INDEX(Inputs!$D$4:$AG$150,0,MATCH(L$2,Inputs!$D$2:$AG$2,0)),Inputs!$B$4:$B$150,$B26)/1000)</f>
        <v>60924</v>
      </c>
      <c r="M26" s="12">
        <f>IF(L26="","",L26)</f>
        <v>60924</v>
      </c>
      <c r="N26" s="11">
        <f>IF(N$3=0,"",SUMIFS(INDEX(Inputs!$D$4:$AG$150,0,MATCH(N$2,Inputs!$D$2:$AG$2,0)),Inputs!$B$4:$B$150,$B26)/1000)</f>
        <v>65388</v>
      </c>
      <c r="O26" s="11">
        <f>IF(O$3=0,"",SUMIFS(INDEX(Inputs!$D$4:$AG$150,0,MATCH(O$2,Inputs!$D$2:$AG$2,0)),Inputs!$B$4:$B$150,$B26)/1000)</f>
        <v>64768</v>
      </c>
      <c r="P26" s="11">
        <f>IF(P$3=0,"",SUMIFS(INDEX(Inputs!$D$4:$AG$150,0,MATCH(P$2,Inputs!$D$2:$AG$2,0)),Inputs!$B$4:$B$150,$B26)/1000)</f>
        <v>64758</v>
      </c>
      <c r="Q26" s="11">
        <f>IF(Q$3=0,"",SUMIFS(INDEX(Inputs!$D$4:$AG$150,0,MATCH(Q$2,Inputs!$D$2:$AG$2,0)),Inputs!$B$4:$B$150,$B26)/1000)</f>
        <v>66681</v>
      </c>
      <c r="R26" s="12">
        <f>IF(Q26="","",Q26)</f>
        <v>66681</v>
      </c>
      <c r="S26" s="11">
        <f>IF(S$3=0,"",SUMIFS(INDEX(Inputs!$D$4:$AG$150,0,MATCH(S$2,Inputs!$D$2:$AG$2,0)),Inputs!$B$4:$B$150,$B26)/1000)</f>
        <v>70262</v>
      </c>
      <c r="T26" s="11">
        <f>IF(T$3=0,"",SUMIFS(INDEX(Inputs!$D$4:$AG$150,0,MATCH(T$2,Inputs!$D$2:$AG$2,0)),Inputs!$B$4:$B$150,$B26)/1000)</f>
        <v>70435</v>
      </c>
      <c r="U26" s="11">
        <f>IF(U$3=0,"",SUMIFS(INDEX(Inputs!$D$4:$AG$150,0,MATCH(U$2,Inputs!$D$2:$AG$2,0)),Inputs!$B$4:$B$150,$B26)/1000)</f>
        <v>74834</v>
      </c>
      <c r="V26" s="11">
        <f>IF(V$3=0,"",SUMIFS(INDEX(Inputs!$D$4:$AG$150,0,MATCH(V$2,Inputs!$D$2:$AG$2,0)),Inputs!$B$4:$B$150,$B26)/1000)</f>
        <v>77183</v>
      </c>
      <c r="W26" s="12">
        <f>IF(V26="","",V26)</f>
        <v>77183</v>
      </c>
      <c r="X26" s="11">
        <f>IF(X$3=0,"",SUMIFS(INDEX(Inputs!$D$4:$AG$150,0,MATCH(X$2,Inputs!$D$2:$AG$2,0)),Inputs!$B$4:$B$150,$B26)/1000)</f>
        <v>81259</v>
      </c>
      <c r="Y26" s="11">
        <f>IF(Y$3=0,"",SUMIFS(INDEX(Inputs!$D$4:$AG$150,0,MATCH(Y$2,Inputs!$D$2:$AG$2,0)),Inputs!$B$4:$B$150,$B26)/1000)</f>
        <v>82882</v>
      </c>
      <c r="Z26" s="11">
        <f>IF(Z$3=0,"",SUMIFS(INDEX(Inputs!$D$4:$AG$150,0,MATCH(Z$2,Inputs!$D$2:$AG$2,0)),Inputs!$B$4:$B$150,$B26)/1000)</f>
        <v>72634</v>
      </c>
      <c r="AA26" s="11">
        <f>IF(AA$3=0,"",SUMIFS(INDEX(Inputs!$D$4:$AG$150,0,MATCH(AA$2,Inputs!$D$2:$AG$2,0)),Inputs!$B$4:$B$150,$B26)/1000)</f>
        <v>93146</v>
      </c>
      <c r="AB26" s="12">
        <f>IF(AA26="","",AA26)</f>
        <v>93146</v>
      </c>
      <c r="AC26" s="11">
        <f>IF(AC$3=0,"",SUMIFS(INDEX(Inputs!$D$4:$AG$150,0,MATCH(AC$2,Inputs!$D$2:$AG$2,0)),Inputs!$B$4:$B$150,$B26)/1000)</f>
        <v>77430</v>
      </c>
      <c r="AD26" s="11">
        <f>IF(AD$3=0,"",SUMIFS(INDEX(Inputs!$D$4:$AG$150,0,MATCH(AD$2,Inputs!$D$2:$AG$2,0)),Inputs!$B$4:$B$150,$B26)/1000)</f>
        <v>77557</v>
      </c>
      <c r="AE26" s="11" t="str">
        <f>IF(AE$3=0,"",SUMIFS(INDEX(Inputs!$D$4:$AG$150,0,MATCH(AE$2,Inputs!$D$2:$AG$2,0)),Inputs!$B$4:$B$150,$B26)/1000)</f>
        <v/>
      </c>
      <c r="AF26" s="11" t="str">
        <f>IF(AF$3=0,"",SUMIFS(INDEX(Inputs!$D$4:$AG$150,0,MATCH(AF$2,Inputs!$D$2:$AG$2,0)),Inputs!$B$4:$B$150,$B26)/1000)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IF(D$3=0,"",SUMIFS(INDEX(Inputs!$D$4:$AG$150,0,MATCH(D$2,Inputs!$D$2:$AG$2,0)),Inputs!$B$4:$B$150,$B28)/1000)</f>
        <v>40127</v>
      </c>
      <c r="E28" s="11">
        <f>IF(E$3=0,"",SUMIFS(INDEX(Inputs!$D$4:$AG$150,0,MATCH(E$2,Inputs!$D$2:$AG$2,0)),Inputs!$B$4:$B$150,$B28)/1000)</f>
        <v>40409</v>
      </c>
      <c r="F28" s="11">
        <f>IF(F$3=0,"",SUMIFS(INDEX(Inputs!$D$4:$AG$150,0,MATCH(F$2,Inputs!$D$2:$AG$2,0)),Inputs!$B$4:$B$150,$B28)/1000)</f>
        <v>54763</v>
      </c>
      <c r="G28" s="11">
        <f>IF(G$3=0,"",SUMIFS(INDEX(Inputs!$D$4:$AG$150,0,MATCH(G$2,Inputs!$D$2:$AG$2,0)),Inputs!$B$4:$B$150,$B28)/1000)</f>
        <v>74362</v>
      </c>
      <c r="H28" s="12">
        <f>IF(G28="","",G28)</f>
        <v>74362</v>
      </c>
      <c r="I28" s="11">
        <f>IF(I$3=0,"",SUMIFS(INDEX(Inputs!$D$4:$AG$150,0,MATCH(I$2,Inputs!$D$2:$AG$2,0)),Inputs!$B$4:$B$150,$B28)/1000)</f>
        <v>52682</v>
      </c>
      <c r="J28" s="11">
        <f>IF(J$3=0,"",SUMIFS(INDEX(Inputs!$D$4:$AG$150,0,MATCH(J$2,Inputs!$D$2:$AG$2,0)),Inputs!$B$4:$B$150,$B28)/1000)</f>
        <v>48343</v>
      </c>
      <c r="K28" s="11">
        <f>IF(K$3=0,"",SUMIFS(INDEX(Inputs!$D$4:$AG$150,0,MATCH(K$2,Inputs!$D$2:$AG$2,0)),Inputs!$B$4:$B$150,$B28)/1000)</f>
        <v>64115</v>
      </c>
      <c r="L28" s="11">
        <f>IF(L$3=0,"",SUMIFS(INDEX(Inputs!$D$4:$AG$150,0,MATCH(L$2,Inputs!$D$2:$AG$2,0)),Inputs!$B$4:$B$150,$B28)/1000)</f>
        <v>57918</v>
      </c>
      <c r="M28" s="12">
        <f>IF(L28="","",L28)</f>
        <v>57918</v>
      </c>
      <c r="N28" s="11">
        <f>IF(N$3=0,"",SUMIFS(INDEX(Inputs!$D$4:$AG$150,0,MATCH(N$2,Inputs!$D$2:$AG$2,0)),Inputs!$B$4:$B$150,$B28)/1000)</f>
        <v>42945</v>
      </c>
      <c r="O28" s="11">
        <f>IF(O$3=0,"",SUMIFS(INDEX(Inputs!$D$4:$AG$150,0,MATCH(O$2,Inputs!$D$2:$AG$2,0)),Inputs!$B$4:$B$150,$B28)/1000)</f>
        <v>46699</v>
      </c>
      <c r="P28" s="11">
        <f>IF(P$3=0,"",SUMIFS(INDEX(Inputs!$D$4:$AG$150,0,MATCH(P$2,Inputs!$D$2:$AG$2,0)),Inputs!$B$4:$B$150,$B28)/1000)</f>
        <v>62611</v>
      </c>
      <c r="Q28" s="11">
        <f>IF(Q$3=0,"",SUMIFS(INDEX(Inputs!$D$4:$AG$150,0,MATCH(Q$2,Inputs!$D$2:$AG$2,0)),Inputs!$B$4:$B$150,$B28)/1000)</f>
        <v>58146</v>
      </c>
      <c r="R28" s="12">
        <f>IF(Q28="","",Q28)</f>
        <v>58146</v>
      </c>
      <c r="S28" s="11">
        <f>IF(S$3=0,"",SUMIFS(INDEX(Inputs!$D$4:$AG$150,0,MATCH(S$2,Inputs!$D$2:$AG$2,0)),Inputs!$B$4:$B$150,$B28)/1000)</f>
        <v>45753</v>
      </c>
      <c r="T28" s="11">
        <f>IF(T$3=0,"",SUMIFS(INDEX(Inputs!$D$4:$AG$150,0,MATCH(T$2,Inputs!$D$2:$AG$2,0)),Inputs!$B$4:$B$150,$B28)/1000)</f>
        <v>47574</v>
      </c>
      <c r="U28" s="11">
        <f>IF(U$3=0,"",SUMIFS(INDEX(Inputs!$D$4:$AG$150,0,MATCH(U$2,Inputs!$D$2:$AG$2,0)),Inputs!$B$4:$B$150,$B28)/1000)</f>
        <v>68960</v>
      </c>
      <c r="V28" s="11">
        <f>IF(V$3=0,"",SUMIFS(INDEX(Inputs!$D$4:$AG$150,0,MATCH(V$2,Inputs!$D$2:$AG$2,0)),Inputs!$B$4:$B$150,$B28)/1000)</f>
        <v>61910</v>
      </c>
      <c r="W28" s="12">
        <f>IF(V28="","",V28)</f>
        <v>61910</v>
      </c>
      <c r="X28" s="11">
        <f>IF(X$3=0,"",SUMIFS(INDEX(Inputs!$D$4:$AG$150,0,MATCH(X$2,Inputs!$D$2:$AG$2,0)),Inputs!$B$4:$B$150,$B28)/1000)</f>
        <v>54126</v>
      </c>
      <c r="Y28" s="11">
        <f>IF(Y$3=0,"",SUMIFS(INDEX(Inputs!$D$4:$AG$150,0,MATCH(Y$2,Inputs!$D$2:$AG$2,0)),Inputs!$B$4:$B$150,$B28)/1000)</f>
        <v>50374</v>
      </c>
      <c r="Z28" s="11">
        <f>IF(Z$3=0,"",SUMIFS(INDEX(Inputs!$D$4:$AG$150,0,MATCH(Z$2,Inputs!$D$2:$AG$2,0)),Inputs!$B$4:$B$150,$B28)/1000)</f>
        <v>69860</v>
      </c>
      <c r="AA28" s="11">
        <f>IF(AA$3=0,"",SUMIFS(INDEX(Inputs!$D$4:$AG$150,0,MATCH(AA$2,Inputs!$D$2:$AG$2,0)),Inputs!$B$4:$B$150,$B28)/1000)</f>
        <v>70587</v>
      </c>
      <c r="AB28" s="12">
        <f>IF(AA28="","",AA28)</f>
        <v>70587</v>
      </c>
      <c r="AC28" s="11">
        <f>IF(AC$3=0,"",SUMIFS(INDEX(Inputs!$D$4:$AG$150,0,MATCH(AC$2,Inputs!$D$2:$AG$2,0)),Inputs!$B$4:$B$150,$B28)/1000)</f>
        <v>57349</v>
      </c>
      <c r="AD28" s="11">
        <f>IF(AD$3=0,"",SUMIFS(INDEX(Inputs!$D$4:$AG$150,0,MATCH(AD$2,Inputs!$D$2:$AG$2,0)),Inputs!$B$4:$B$150,$B28)/1000)</f>
        <v>64525</v>
      </c>
      <c r="AE28" s="11" t="str">
        <f>IF(AE$3=0,"",SUMIFS(INDEX(Inputs!$D$4:$AG$150,0,MATCH(AE$2,Inputs!$D$2:$AG$2,0)),Inputs!$B$4:$B$150,$B28)/1000)</f>
        <v/>
      </c>
      <c r="AF28" s="11" t="str">
        <f>IF(AF$3=0,"",SUMIFS(INDEX(Inputs!$D$4:$AG$150,0,MATCH(AF$2,Inputs!$D$2:$AG$2,0)),Inputs!$B$4:$B$150,$B28)/1000)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IF(D$3=0,"",SUMIFS(INDEX(Inputs!$D$4:$AG$150,0,MATCH(D$2,Inputs!$D$2:$AG$2,0)),Inputs!$B$4:$B$150,$B29)/1000)</f>
        <v>0</v>
      </c>
      <c r="E29" s="11">
        <f>IF(E$3=0,"",SUMIFS(INDEX(Inputs!$D$4:$AG$150,0,MATCH(E$2,Inputs!$D$2:$AG$2,0)),Inputs!$B$4:$B$150,$B29)/1000)</f>
        <v>0</v>
      </c>
      <c r="F29" s="11">
        <f>IF(F$3=0,"",SUMIFS(INDEX(Inputs!$D$4:$AG$150,0,MATCH(F$2,Inputs!$D$2:$AG$2,0)),Inputs!$B$4:$B$150,$B29)/1000)</f>
        <v>0</v>
      </c>
      <c r="G29" s="11">
        <f>IF(G$3=0,"",SUMIFS(INDEX(Inputs!$D$4:$AG$150,0,MATCH(G$2,Inputs!$D$2:$AG$2,0)),Inputs!$B$4:$B$150,$B29)/1000)</f>
        <v>0</v>
      </c>
      <c r="H29" s="12">
        <f>IF(G29="","",G29)</f>
        <v>0</v>
      </c>
      <c r="I29" s="11">
        <f>IF(I$3=0,"",SUMIFS(INDEX(Inputs!$D$4:$AG$150,0,MATCH(I$2,Inputs!$D$2:$AG$2,0)),Inputs!$B$4:$B$150,$B29)/1000)</f>
        <v>0</v>
      </c>
      <c r="J29" s="11">
        <f>IF(J$3=0,"",SUMIFS(INDEX(Inputs!$D$4:$AG$150,0,MATCH(J$2,Inputs!$D$2:$AG$2,0)),Inputs!$B$4:$B$150,$B29)/1000)</f>
        <v>0</v>
      </c>
      <c r="K29" s="11">
        <f>IF(K$3=0,"",SUMIFS(INDEX(Inputs!$D$4:$AG$150,0,MATCH(K$2,Inputs!$D$2:$AG$2,0)),Inputs!$B$4:$B$150,$B29)/1000)</f>
        <v>0</v>
      </c>
      <c r="L29" s="11">
        <f>IF(L$3=0,"",SUMIFS(INDEX(Inputs!$D$4:$AG$150,0,MATCH(L$2,Inputs!$D$2:$AG$2,0)),Inputs!$B$4:$B$150,$B29)/1000)</f>
        <v>0</v>
      </c>
      <c r="M29" s="12">
        <f>IF(L29="","",L29)</f>
        <v>0</v>
      </c>
      <c r="N29" s="11">
        <f>IF(N$3=0,"",SUMIFS(INDEX(Inputs!$D$4:$AG$150,0,MATCH(N$2,Inputs!$D$2:$AG$2,0)),Inputs!$B$4:$B$150,$B29)/1000)</f>
        <v>0</v>
      </c>
      <c r="O29" s="11">
        <f>IF(O$3=0,"",SUMIFS(INDEX(Inputs!$D$4:$AG$150,0,MATCH(O$2,Inputs!$D$2:$AG$2,0)),Inputs!$B$4:$B$150,$B29)/1000)</f>
        <v>0</v>
      </c>
      <c r="P29" s="11">
        <f>IF(P$3=0,"",SUMIFS(INDEX(Inputs!$D$4:$AG$150,0,MATCH(P$2,Inputs!$D$2:$AG$2,0)),Inputs!$B$4:$B$150,$B29)/1000)</f>
        <v>0</v>
      </c>
      <c r="Q29" s="11">
        <f>IF(Q$3=0,"",SUMIFS(INDEX(Inputs!$D$4:$AG$150,0,MATCH(Q$2,Inputs!$D$2:$AG$2,0)),Inputs!$B$4:$B$150,$B29)/1000)</f>
        <v>0</v>
      </c>
      <c r="R29" s="12">
        <f>IF(Q29="","",Q29)</f>
        <v>0</v>
      </c>
      <c r="S29" s="11">
        <f>IF(S$3=0,"",SUMIFS(INDEX(Inputs!$D$4:$AG$150,0,MATCH(S$2,Inputs!$D$2:$AG$2,0)),Inputs!$B$4:$B$150,$B29)/1000)</f>
        <v>0</v>
      </c>
      <c r="T29" s="11">
        <f>IF(T$3=0,"",SUMIFS(INDEX(Inputs!$D$4:$AG$150,0,MATCH(T$2,Inputs!$D$2:$AG$2,0)),Inputs!$B$4:$B$150,$B29)/1000)</f>
        <v>0</v>
      </c>
      <c r="U29" s="11">
        <f>IF(U$3=0,"",SUMIFS(INDEX(Inputs!$D$4:$AG$150,0,MATCH(U$2,Inputs!$D$2:$AG$2,0)),Inputs!$B$4:$B$150,$B29)/1000)</f>
        <v>0</v>
      </c>
      <c r="V29" s="11">
        <f>IF(V$3=0,"",SUMIFS(INDEX(Inputs!$D$4:$AG$150,0,MATCH(V$2,Inputs!$D$2:$AG$2,0)),Inputs!$B$4:$B$150,$B29)/1000)</f>
        <v>0</v>
      </c>
      <c r="W29" s="12">
        <f>IF(V29="","",V29)</f>
        <v>0</v>
      </c>
      <c r="X29" s="11">
        <f>IF(X$3=0,"",SUMIFS(INDEX(Inputs!$D$4:$AG$150,0,MATCH(X$2,Inputs!$D$2:$AG$2,0)),Inputs!$B$4:$B$150,$B29)/1000)</f>
        <v>0</v>
      </c>
      <c r="Y29" s="11">
        <f>IF(Y$3=0,"",SUMIFS(INDEX(Inputs!$D$4:$AG$150,0,MATCH(Y$2,Inputs!$D$2:$AG$2,0)),Inputs!$B$4:$B$150,$B29)/1000)</f>
        <v>0</v>
      </c>
      <c r="Z29" s="11">
        <f>IF(Z$3=0,"",SUMIFS(INDEX(Inputs!$D$4:$AG$150,0,MATCH(Z$2,Inputs!$D$2:$AG$2,0)),Inputs!$B$4:$B$150,$B29)/1000)</f>
        <v>0</v>
      </c>
      <c r="AA29" s="11">
        <f>IF(AA$3=0,"",SUMIFS(INDEX(Inputs!$D$4:$AG$150,0,MATCH(AA$2,Inputs!$D$2:$AG$2,0)),Inputs!$B$4:$B$150,$B29)/1000)</f>
        <v>0</v>
      </c>
      <c r="AB29" s="12">
        <f>IF(AA29="","",AA29)</f>
        <v>0</v>
      </c>
      <c r="AC29" s="11">
        <f>IF(AC$3=0,"",SUMIFS(INDEX(Inputs!$D$4:$AG$150,0,MATCH(AC$2,Inputs!$D$2:$AG$2,0)),Inputs!$B$4:$B$150,$B29)/1000)</f>
        <v>0</v>
      </c>
      <c r="AD29" s="11">
        <f>IF(AD$3=0,"",SUMIFS(INDEX(Inputs!$D$4:$AG$150,0,MATCH(AD$2,Inputs!$D$2:$AG$2,0)),Inputs!$B$4:$B$150,$B29)/1000)</f>
        <v>0</v>
      </c>
      <c r="AE29" s="11" t="str">
        <f>IF(AE$3=0,"",SUMIFS(INDEX(Inputs!$D$4:$AG$150,0,MATCH(AE$2,Inputs!$D$2:$AG$2,0)),Inputs!$B$4:$B$150,$B29)/1000)</f>
        <v/>
      </c>
      <c r="AF29" s="11" t="str">
        <f>IF(AF$3=0,"",SUMIFS(INDEX(Inputs!$D$4:$AG$150,0,MATCH(AF$2,Inputs!$D$2:$AG$2,0)),Inputs!$B$4:$B$150,$B29)/1000)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IF(D$3=0,"",SUMIFS(INDEX(Inputs!$D$4:$AG$150,0,MATCH(D$2,Inputs!$D$2:$AG$2,0)),Inputs!$B$4:$B$150,$B30)/1000)</f>
        <v>0</v>
      </c>
      <c r="E30" s="11">
        <f>IF(E$3=0,"",SUMIFS(INDEX(Inputs!$D$4:$AG$150,0,MATCH(E$2,Inputs!$D$2:$AG$2,0)),Inputs!$B$4:$B$150,$B30)/1000)</f>
        <v>0</v>
      </c>
      <c r="F30" s="11">
        <f>IF(F$3=0,"",SUMIFS(INDEX(Inputs!$D$4:$AG$150,0,MATCH(F$2,Inputs!$D$2:$AG$2,0)),Inputs!$B$4:$B$150,$B30)/1000)</f>
        <v>0</v>
      </c>
      <c r="G30" s="11">
        <f>IF(G$3=0,"",SUMIFS(INDEX(Inputs!$D$4:$AG$150,0,MATCH(G$2,Inputs!$D$2:$AG$2,0)),Inputs!$B$4:$B$150,$B30)/1000)</f>
        <v>0</v>
      </c>
      <c r="H30" s="12">
        <f>IF(G30="","",G30)</f>
        <v>0</v>
      </c>
      <c r="I30" s="11">
        <f>IF(I$3=0,"",SUMIFS(INDEX(Inputs!$D$4:$AG$150,0,MATCH(I$2,Inputs!$D$2:$AG$2,0)),Inputs!$B$4:$B$150,$B30)/1000)</f>
        <v>0</v>
      </c>
      <c r="J30" s="11">
        <f>IF(J$3=0,"",SUMIFS(INDEX(Inputs!$D$4:$AG$150,0,MATCH(J$2,Inputs!$D$2:$AG$2,0)),Inputs!$B$4:$B$150,$B30)/1000)</f>
        <v>0</v>
      </c>
      <c r="K30" s="11">
        <f>IF(K$3=0,"",SUMIFS(INDEX(Inputs!$D$4:$AG$150,0,MATCH(K$2,Inputs!$D$2:$AG$2,0)),Inputs!$B$4:$B$150,$B30)/1000)</f>
        <v>0</v>
      </c>
      <c r="L30" s="11">
        <f>IF(L$3=0,"",SUMIFS(INDEX(Inputs!$D$4:$AG$150,0,MATCH(L$2,Inputs!$D$2:$AG$2,0)),Inputs!$B$4:$B$150,$B30)/1000)</f>
        <v>0</v>
      </c>
      <c r="M30" s="12">
        <f>IF(L30="","",L30)</f>
        <v>0</v>
      </c>
      <c r="N30" s="11">
        <f>IF(N$3=0,"",SUMIFS(INDEX(Inputs!$D$4:$AG$150,0,MATCH(N$2,Inputs!$D$2:$AG$2,0)),Inputs!$B$4:$B$150,$B30)/1000)</f>
        <v>0</v>
      </c>
      <c r="O30" s="11">
        <f>IF(O$3=0,"",SUMIFS(INDEX(Inputs!$D$4:$AG$150,0,MATCH(O$2,Inputs!$D$2:$AG$2,0)),Inputs!$B$4:$B$150,$B30)/1000)</f>
        <v>0</v>
      </c>
      <c r="P30" s="11">
        <f>IF(P$3=0,"",SUMIFS(INDEX(Inputs!$D$4:$AG$150,0,MATCH(P$2,Inputs!$D$2:$AG$2,0)),Inputs!$B$4:$B$150,$B30)/1000)</f>
        <v>0</v>
      </c>
      <c r="Q30" s="11">
        <f>IF(Q$3=0,"",SUMIFS(INDEX(Inputs!$D$4:$AG$150,0,MATCH(Q$2,Inputs!$D$2:$AG$2,0)),Inputs!$B$4:$B$150,$B30)/1000)</f>
        <v>0</v>
      </c>
      <c r="R30" s="12">
        <f>IF(Q30="","",Q30)</f>
        <v>0</v>
      </c>
      <c r="S30" s="11">
        <f>IF(S$3=0,"",SUMIFS(INDEX(Inputs!$D$4:$AG$150,0,MATCH(S$2,Inputs!$D$2:$AG$2,0)),Inputs!$B$4:$B$150,$B30)/1000)</f>
        <v>0</v>
      </c>
      <c r="T30" s="11">
        <f>IF(T$3=0,"",SUMIFS(INDEX(Inputs!$D$4:$AG$150,0,MATCH(T$2,Inputs!$D$2:$AG$2,0)),Inputs!$B$4:$B$150,$B30)/1000)</f>
        <v>0</v>
      </c>
      <c r="U30" s="11">
        <f>IF(U$3=0,"",SUMIFS(INDEX(Inputs!$D$4:$AG$150,0,MATCH(U$2,Inputs!$D$2:$AG$2,0)),Inputs!$B$4:$B$150,$B30)/1000)</f>
        <v>0</v>
      </c>
      <c r="V30" s="11">
        <f>IF(V$3=0,"",SUMIFS(INDEX(Inputs!$D$4:$AG$150,0,MATCH(V$2,Inputs!$D$2:$AG$2,0)),Inputs!$B$4:$B$150,$B30)/1000)</f>
        <v>0</v>
      </c>
      <c r="W30" s="12">
        <f>IF(V30="","",V30)</f>
        <v>0</v>
      </c>
      <c r="X30" s="11">
        <f>IF(X$3=0,"",SUMIFS(INDEX(Inputs!$D$4:$AG$150,0,MATCH(X$2,Inputs!$D$2:$AG$2,0)),Inputs!$B$4:$B$150,$B30)/1000)</f>
        <v>0</v>
      </c>
      <c r="Y30" s="11">
        <f>IF(Y$3=0,"",SUMIFS(INDEX(Inputs!$D$4:$AG$150,0,MATCH(Y$2,Inputs!$D$2:$AG$2,0)),Inputs!$B$4:$B$150,$B30)/1000)</f>
        <v>0</v>
      </c>
      <c r="Z30" s="11">
        <f>IF(Z$3=0,"",SUMIFS(INDEX(Inputs!$D$4:$AG$150,0,MATCH(Z$2,Inputs!$D$2:$AG$2,0)),Inputs!$B$4:$B$150,$B30)/1000)</f>
        <v>0</v>
      </c>
      <c r="AA30" s="11">
        <f>IF(AA$3=0,"",SUMIFS(INDEX(Inputs!$D$4:$AG$150,0,MATCH(AA$2,Inputs!$D$2:$AG$2,0)),Inputs!$B$4:$B$150,$B30)/1000)</f>
        <v>0</v>
      </c>
      <c r="AB30" s="12">
        <f>IF(AA30="","",AA30)</f>
        <v>0</v>
      </c>
      <c r="AC30" s="11">
        <f>IF(AC$3=0,"",SUMIFS(INDEX(Inputs!$D$4:$AG$150,0,MATCH(AC$2,Inputs!$D$2:$AG$2,0)),Inputs!$B$4:$B$150,$B30)/1000)</f>
        <v>0</v>
      </c>
      <c r="AD30" s="11">
        <f>IF(AD$3=0,"",SUMIFS(INDEX(Inputs!$D$4:$AG$150,0,MATCH(AD$2,Inputs!$D$2:$AG$2,0)),Inputs!$B$4:$B$150,$B30)/1000)</f>
        <v>0</v>
      </c>
      <c r="AE30" s="11" t="str">
        <f>IF(AE$3=0,"",SUMIFS(INDEX(Inputs!$D$4:$AG$150,0,MATCH(AE$2,Inputs!$D$2:$AG$2,0)),Inputs!$B$4:$B$150,$B30)/1000)</f>
        <v/>
      </c>
      <c r="AF30" s="11" t="str">
        <f>IF(AF$3=0,"",SUMIFS(INDEX(Inputs!$D$4:$AG$150,0,MATCH(AF$2,Inputs!$D$2:$AG$2,0)),Inputs!$B$4:$B$150,$B30)/1000)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IF(D$3=0,"",SUMIFS(INDEX(Inputs!$D$4:$AG$150,0,MATCH(D$2,Inputs!$D$2:$AG$2,0)),Inputs!$B$4:$B$150,$B31)/1000)</f>
        <v>53255</v>
      </c>
      <c r="E31" s="11">
        <f>IF(E$3=0,"",SUMIFS(INDEX(Inputs!$D$4:$AG$150,0,MATCH(E$2,Inputs!$D$2:$AG$2,0)),Inputs!$B$4:$B$150,$B31)/1000)</f>
        <v>51306</v>
      </c>
      <c r="F31" s="11">
        <f>IF(F$3=0,"",SUMIFS(INDEX(Inputs!$D$4:$AG$150,0,MATCH(F$2,Inputs!$D$2:$AG$2,0)),Inputs!$B$4:$B$150,$B31)/1000)</f>
        <v>55105</v>
      </c>
      <c r="G31" s="11">
        <f>IF(G$3=0,"",SUMIFS(INDEX(Inputs!$D$4:$AG$150,0,MATCH(G$2,Inputs!$D$2:$AG$2,0)),Inputs!$B$4:$B$150,$B31)/1000)</f>
        <v>57043</v>
      </c>
      <c r="H31" s="12">
        <f>IF(G31="","",G31)</f>
        <v>57043</v>
      </c>
      <c r="I31" s="11">
        <f>IF(I$3=0,"",SUMIFS(INDEX(Inputs!$D$4:$AG$150,0,MATCH(I$2,Inputs!$D$2:$AG$2,0)),Inputs!$B$4:$B$150,$B31)/1000)</f>
        <v>58168</v>
      </c>
      <c r="J31" s="11">
        <f>IF(J$3=0,"",SUMIFS(INDEX(Inputs!$D$4:$AG$150,0,MATCH(J$2,Inputs!$D$2:$AG$2,0)),Inputs!$B$4:$B$150,$B31)/1000)</f>
        <v>56539</v>
      </c>
      <c r="K31" s="11">
        <f>IF(K$3=0,"",SUMIFS(INDEX(Inputs!$D$4:$AG$150,0,MATCH(K$2,Inputs!$D$2:$AG$2,0)),Inputs!$B$4:$B$150,$B31)/1000)</f>
        <v>68757</v>
      </c>
      <c r="L31" s="11">
        <f>IF(L$3=0,"",SUMIFS(INDEX(Inputs!$D$4:$AG$150,0,MATCH(L$2,Inputs!$D$2:$AG$2,0)),Inputs!$B$4:$B$150,$B31)/1000)</f>
        <v>67885</v>
      </c>
      <c r="M31" s="12">
        <f>IF(L31="","",L31)</f>
        <v>67885</v>
      </c>
      <c r="N31" s="11">
        <f>IF(N$3=0,"",SUMIFS(INDEX(Inputs!$D$4:$AG$150,0,MATCH(N$2,Inputs!$D$2:$AG$2,0)),Inputs!$B$4:$B$150,$B31)/1000)</f>
        <v>64556</v>
      </c>
      <c r="O31" s="11">
        <f>IF(O$3=0,"",SUMIFS(INDEX(Inputs!$D$4:$AG$150,0,MATCH(O$2,Inputs!$D$2:$AG$2,0)),Inputs!$B$4:$B$150,$B31)/1000)</f>
        <v>67055</v>
      </c>
      <c r="P31" s="11">
        <f>IF(P$3=0,"",SUMIFS(INDEX(Inputs!$D$4:$AG$150,0,MATCH(P$2,Inputs!$D$2:$AG$2,0)),Inputs!$B$4:$B$150,$B31)/1000)</f>
        <v>66890</v>
      </c>
      <c r="Q31" s="11">
        <f>IF(Q$3=0,"",SUMIFS(INDEX(Inputs!$D$4:$AG$150,0,MATCH(Q$2,Inputs!$D$2:$AG$2,0)),Inputs!$B$4:$B$150,$B31)/1000)</f>
        <v>62875</v>
      </c>
      <c r="R31" s="12">
        <f>IF(Q31="","",Q31)</f>
        <v>62875</v>
      </c>
      <c r="S31" s="11">
        <f>IF(S$3=0,"",SUMIFS(INDEX(Inputs!$D$4:$AG$150,0,MATCH(S$2,Inputs!$D$2:$AG$2,0)),Inputs!$B$4:$B$150,$B31)/1000)</f>
        <v>65310</v>
      </c>
      <c r="T31" s="11">
        <f>IF(T$3=0,"",SUMIFS(INDEX(Inputs!$D$4:$AG$150,0,MATCH(T$2,Inputs!$D$2:$AG$2,0)),Inputs!$B$4:$B$150,$B31)/1000)</f>
        <v>68942</v>
      </c>
      <c r="U31" s="11">
        <f>IF(U$3=0,"",SUMIFS(INDEX(Inputs!$D$4:$AG$150,0,MATCH(U$2,Inputs!$D$2:$AG$2,0)),Inputs!$B$4:$B$150,$B31)/1000)</f>
        <v>86553</v>
      </c>
      <c r="V31" s="11">
        <f>IF(V$3=0,"",SUMIFS(INDEX(Inputs!$D$4:$AG$150,0,MATCH(V$2,Inputs!$D$2:$AG$2,0)),Inputs!$B$4:$B$150,$B31)/1000)</f>
        <v>69612</v>
      </c>
      <c r="W31" s="12">
        <f>IF(V31="","",V31)</f>
        <v>69612</v>
      </c>
      <c r="X31" s="11">
        <f>IF(X$3=0,"",SUMIFS(INDEX(Inputs!$D$4:$AG$150,0,MATCH(X$2,Inputs!$D$2:$AG$2,0)),Inputs!$B$4:$B$150,$B31)/1000)</f>
        <v>70825</v>
      </c>
      <c r="Y31" s="11">
        <f>IF(Y$3=0,"",SUMIFS(INDEX(Inputs!$D$4:$AG$150,0,MATCH(Y$2,Inputs!$D$2:$AG$2,0)),Inputs!$B$4:$B$150,$B31)/1000)</f>
        <v>71478</v>
      </c>
      <c r="Z31" s="11">
        <f>IF(Z$3=0,"",SUMIFS(INDEX(Inputs!$D$4:$AG$150,0,MATCH(Z$2,Inputs!$D$2:$AG$2,0)),Inputs!$B$4:$B$150,$B31)/1000)</f>
        <v>75442</v>
      </c>
      <c r="AA31" s="11">
        <f>IF(AA$3=0,"",SUMIFS(INDEX(Inputs!$D$4:$AG$150,0,MATCH(AA$2,Inputs!$D$2:$AG$2,0)),Inputs!$B$4:$B$150,$B31)/1000)</f>
        <v>77956</v>
      </c>
      <c r="AB31" s="12">
        <f>IF(AA31="","",AA31)</f>
        <v>77956</v>
      </c>
      <c r="AC31" s="11">
        <f>IF(AC$3=0,"",SUMIFS(INDEX(Inputs!$D$4:$AG$150,0,MATCH(AC$2,Inputs!$D$2:$AG$2,0)),Inputs!$B$4:$B$150,$B31)/1000)</f>
        <v>66985</v>
      </c>
      <c r="AD31" s="11">
        <f>IF(AD$3=0,"",SUMIFS(INDEX(Inputs!$D$4:$AG$150,0,MATCH(AD$2,Inputs!$D$2:$AG$2,0)),Inputs!$B$4:$B$150,$B31)/1000)</f>
        <v>71797</v>
      </c>
      <c r="AE31" s="11" t="str">
        <f>IF(AE$3=0,"",SUMIFS(INDEX(Inputs!$D$4:$AG$150,0,MATCH(AE$2,Inputs!$D$2:$AG$2,0)),Inputs!$B$4:$B$150,$B31)/1000)</f>
        <v/>
      </c>
      <c r="AF31" s="11" t="str">
        <f>IF(AF$3=0,"",SUMIFS(INDEX(Inputs!$D$4:$AG$150,0,MATCH(AF$2,Inputs!$D$2:$AG$2,0)),Inputs!$B$4:$B$150,$B31)/1000)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IF(D$3=0,"",SUMIFS(INDEX(Inputs!$D$4:$AG$150,0,MATCH(D$2,Inputs!$D$2:$AG$2,0)),Inputs!$B$4:$B$150,$B32)/1000)</f>
        <v>13003</v>
      </c>
      <c r="E32" s="11">
        <f>IF(E$3=0,"",SUMIFS(INDEX(Inputs!$D$4:$AG$150,0,MATCH(E$2,Inputs!$D$2:$AG$2,0)),Inputs!$B$4:$B$150,$B32)/1000)</f>
        <v>16039</v>
      </c>
      <c r="F32" s="11">
        <f>IF(F$3=0,"",SUMIFS(INDEX(Inputs!$D$4:$AG$150,0,MATCH(F$2,Inputs!$D$2:$AG$2,0)),Inputs!$B$4:$B$150,$B32)/1000)</f>
        <v>15613</v>
      </c>
      <c r="G32" s="11">
        <f>IF(G$3=0,"",SUMIFS(INDEX(Inputs!$D$4:$AG$150,0,MATCH(G$2,Inputs!$D$2:$AG$2,0)),Inputs!$B$4:$B$150,$B32)/1000)</f>
        <v>16169</v>
      </c>
      <c r="H32" s="12">
        <f>IF(G32="","",G32)</f>
        <v>16169</v>
      </c>
      <c r="I32" s="11">
        <f>IF(I$3=0,"",SUMIFS(INDEX(Inputs!$D$4:$AG$150,0,MATCH(I$2,Inputs!$D$2:$AG$2,0)),Inputs!$B$4:$B$150,$B32)/1000)</f>
        <v>16658</v>
      </c>
      <c r="J32" s="11">
        <f>IF(J$3=0,"",SUMIFS(INDEX(Inputs!$D$4:$AG$150,0,MATCH(J$2,Inputs!$D$2:$AG$2,0)),Inputs!$B$4:$B$150,$B32)/1000)</f>
        <v>24991</v>
      </c>
      <c r="K32" s="11">
        <f>IF(K$3=0,"",SUMIFS(INDEX(Inputs!$D$4:$AG$150,0,MATCH(K$2,Inputs!$D$2:$AG$2,0)),Inputs!$B$4:$B$150,$B32)/1000)</f>
        <v>21110</v>
      </c>
      <c r="L32" s="11">
        <f>IF(L$3=0,"",SUMIFS(INDEX(Inputs!$D$4:$AG$150,0,MATCH(L$2,Inputs!$D$2:$AG$2,0)),Inputs!$B$4:$B$150,$B32)/1000)</f>
        <v>11483</v>
      </c>
      <c r="M32" s="12">
        <f>IF(L32="","",L32)</f>
        <v>11483</v>
      </c>
      <c r="N32" s="11">
        <f>IF(N$3=0,"",SUMIFS(INDEX(Inputs!$D$4:$AG$150,0,MATCH(N$2,Inputs!$D$2:$AG$2,0)),Inputs!$B$4:$B$150,$B32)/1000)</f>
        <v>12574</v>
      </c>
      <c r="O32" s="11">
        <f>IF(O$3=0,"",SUMIFS(INDEX(Inputs!$D$4:$AG$150,0,MATCH(O$2,Inputs!$D$2:$AG$2,0)),Inputs!$B$4:$B$150,$B32)/1000)</f>
        <v>11209</v>
      </c>
      <c r="P32" s="11">
        <f>IF(P$3=0,"",SUMIFS(INDEX(Inputs!$D$4:$AG$150,0,MATCH(P$2,Inputs!$D$2:$AG$2,0)),Inputs!$B$4:$B$150,$B32)/1000)</f>
        <v>15807</v>
      </c>
      <c r="Q32" s="11">
        <f>IF(Q$3=0,"",SUMIFS(INDEX(Inputs!$D$4:$AG$150,0,MATCH(Q$2,Inputs!$D$2:$AG$2,0)),Inputs!$B$4:$B$150,$B32)/1000)</f>
        <v>12952</v>
      </c>
      <c r="R32" s="12">
        <f>IF(Q32="","",Q32)</f>
        <v>12952</v>
      </c>
      <c r="S32" s="11">
        <f>IF(S$3=0,"",SUMIFS(INDEX(Inputs!$D$4:$AG$150,0,MATCH(S$2,Inputs!$D$2:$AG$2,0)),Inputs!$B$4:$B$150,$B32)/1000)</f>
        <v>12759</v>
      </c>
      <c r="T32" s="11">
        <f>IF(T$3=0,"",SUMIFS(INDEX(Inputs!$D$4:$AG$150,0,MATCH(T$2,Inputs!$D$2:$AG$2,0)),Inputs!$B$4:$B$150,$B32)/1000)</f>
        <v>15108</v>
      </c>
      <c r="U32" s="11">
        <f>IF(U$3=0,"",SUMIFS(INDEX(Inputs!$D$4:$AG$150,0,MATCH(U$2,Inputs!$D$2:$AG$2,0)),Inputs!$B$4:$B$150,$B32)/1000)</f>
        <v>20879</v>
      </c>
      <c r="V32" s="11">
        <f>IF(V$3=0,"",SUMIFS(INDEX(Inputs!$D$4:$AG$150,0,MATCH(V$2,Inputs!$D$2:$AG$2,0)),Inputs!$B$4:$B$150,$B32)/1000)</f>
        <v>12843</v>
      </c>
      <c r="W32" s="12">
        <f>IF(V32="","",V32)</f>
        <v>12843</v>
      </c>
      <c r="X32" s="11">
        <f>IF(X$3=0,"",SUMIFS(INDEX(Inputs!$D$4:$AG$150,0,MATCH(X$2,Inputs!$D$2:$AG$2,0)),Inputs!$B$4:$B$150,$B32)/1000)</f>
        <v>19620</v>
      </c>
      <c r="Y32" s="11">
        <f>IF(Y$3=0,"",SUMIFS(INDEX(Inputs!$D$4:$AG$150,0,MATCH(Y$2,Inputs!$D$2:$AG$2,0)),Inputs!$B$4:$B$150,$B32)/1000)</f>
        <v>19268</v>
      </c>
      <c r="Z32" s="11">
        <f>IF(Z$3=0,"",SUMIFS(INDEX(Inputs!$D$4:$AG$150,0,MATCH(Z$2,Inputs!$D$2:$AG$2,0)),Inputs!$B$4:$B$150,$B32)/1000)</f>
        <v>20329</v>
      </c>
      <c r="AA32" s="11">
        <f>IF(AA$3=0,"",SUMIFS(INDEX(Inputs!$D$4:$AG$150,0,MATCH(AA$2,Inputs!$D$2:$AG$2,0)),Inputs!$B$4:$B$150,$B32)/1000)</f>
        <v>13824</v>
      </c>
      <c r="AB32" s="12">
        <f>IF(AA32="","",AA32)</f>
        <v>13824</v>
      </c>
      <c r="AC32" s="11">
        <f>IF(AC$3=0,"",SUMIFS(INDEX(Inputs!$D$4:$AG$150,0,MATCH(AC$2,Inputs!$D$2:$AG$2,0)),Inputs!$B$4:$B$150,$B32)/1000)</f>
        <v>10307</v>
      </c>
      <c r="AD32" s="11">
        <f>IF(AD$3=0,"",SUMIFS(INDEX(Inputs!$D$4:$AG$150,0,MATCH(AD$2,Inputs!$D$2:$AG$2,0)),Inputs!$B$4:$B$150,$B32)/1000)</f>
        <v>13004</v>
      </c>
      <c r="AE32" s="11" t="str">
        <f>IF(AE$3=0,"",SUMIFS(INDEX(Inputs!$D$4:$AG$150,0,MATCH(AE$2,Inputs!$D$2:$AG$2,0)),Inputs!$B$4:$B$150,$B32)/1000)</f>
        <v/>
      </c>
      <c r="AF32" s="11" t="str">
        <f>IF(AF$3=0,"",SUMIFS(INDEX(Inputs!$D$4:$AG$150,0,MATCH(AF$2,Inputs!$D$2:$AG$2,0)),Inputs!$B$4:$B$150,$B32)/1000)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IF(D$3=0,"",SUMIFS(INDEX(Inputs!$D$4:$AG$150,0,MATCH(D$2,Inputs!$D$2:$AG$2,0)),Inputs!$B$4:$B$150,$B33)/1000)</f>
        <v>0</v>
      </c>
      <c r="E33" s="11">
        <f>IF(E$3=0,"",SUMIFS(INDEX(Inputs!$D$4:$AG$150,0,MATCH(E$2,Inputs!$D$2:$AG$2,0)),Inputs!$B$4:$B$150,$B33)/1000)</f>
        <v>0</v>
      </c>
      <c r="F33" s="11">
        <f>IF(F$3=0,"",SUMIFS(INDEX(Inputs!$D$4:$AG$150,0,MATCH(F$2,Inputs!$D$2:$AG$2,0)),Inputs!$B$4:$B$150,$B33)/1000)</f>
        <v>0</v>
      </c>
      <c r="G33" s="11">
        <f>IF(G$3=0,"",SUMIFS(INDEX(Inputs!$D$4:$AG$150,0,MATCH(G$2,Inputs!$D$2:$AG$2,0)),Inputs!$B$4:$B$150,$B33)/1000)</f>
        <v>0</v>
      </c>
      <c r="H33" s="12">
        <f>IF(G33="","",G33)</f>
        <v>0</v>
      </c>
      <c r="I33" s="11">
        <f>IF(I$3=0,"",SUMIFS(INDEX(Inputs!$D$4:$AG$150,0,MATCH(I$2,Inputs!$D$2:$AG$2,0)),Inputs!$B$4:$B$150,$B33)/1000)</f>
        <v>0</v>
      </c>
      <c r="J33" s="11">
        <f>IF(J$3=0,"",SUMIFS(INDEX(Inputs!$D$4:$AG$150,0,MATCH(J$2,Inputs!$D$2:$AG$2,0)),Inputs!$B$4:$B$150,$B33)/1000)</f>
        <v>0</v>
      </c>
      <c r="K33" s="11">
        <f>IF(K$3=0,"",SUMIFS(INDEX(Inputs!$D$4:$AG$150,0,MATCH(K$2,Inputs!$D$2:$AG$2,0)),Inputs!$B$4:$B$150,$B33)/1000)</f>
        <v>0</v>
      </c>
      <c r="L33" s="11">
        <f>IF(L$3=0,"",SUMIFS(INDEX(Inputs!$D$4:$AG$150,0,MATCH(L$2,Inputs!$D$2:$AG$2,0)),Inputs!$B$4:$B$150,$B33)/1000)</f>
        <v>0</v>
      </c>
      <c r="M33" s="12">
        <f>IF(L33="","",L33)</f>
        <v>0</v>
      </c>
      <c r="N33" s="11">
        <f>IF(N$3=0,"",SUMIFS(INDEX(Inputs!$D$4:$AG$150,0,MATCH(N$2,Inputs!$D$2:$AG$2,0)),Inputs!$B$4:$B$150,$B33)/1000)</f>
        <v>0</v>
      </c>
      <c r="O33" s="11">
        <f>IF(O$3=0,"",SUMIFS(INDEX(Inputs!$D$4:$AG$150,0,MATCH(O$2,Inputs!$D$2:$AG$2,0)),Inputs!$B$4:$B$150,$B33)/1000)</f>
        <v>0</v>
      </c>
      <c r="P33" s="11">
        <f>IF(P$3=0,"",SUMIFS(INDEX(Inputs!$D$4:$AG$150,0,MATCH(P$2,Inputs!$D$2:$AG$2,0)),Inputs!$B$4:$B$150,$B33)/1000)</f>
        <v>0</v>
      </c>
      <c r="Q33" s="11">
        <f>IF(Q$3=0,"",SUMIFS(INDEX(Inputs!$D$4:$AG$150,0,MATCH(Q$2,Inputs!$D$2:$AG$2,0)),Inputs!$B$4:$B$150,$B33)/1000)</f>
        <v>0</v>
      </c>
      <c r="R33" s="12">
        <f>IF(Q33="","",Q33)</f>
        <v>0</v>
      </c>
      <c r="S33" s="11">
        <f>IF(S$3=0,"",SUMIFS(INDEX(Inputs!$D$4:$AG$150,0,MATCH(S$2,Inputs!$D$2:$AG$2,0)),Inputs!$B$4:$B$150,$B33)/1000)</f>
        <v>0</v>
      </c>
      <c r="T33" s="11">
        <f>IF(T$3=0,"",SUMIFS(INDEX(Inputs!$D$4:$AG$150,0,MATCH(T$2,Inputs!$D$2:$AG$2,0)),Inputs!$B$4:$B$150,$B33)/1000)</f>
        <v>0</v>
      </c>
      <c r="U33" s="11">
        <f>IF(U$3=0,"",SUMIFS(INDEX(Inputs!$D$4:$AG$150,0,MATCH(U$2,Inputs!$D$2:$AG$2,0)),Inputs!$B$4:$B$150,$B33)/1000)</f>
        <v>0</v>
      </c>
      <c r="V33" s="11">
        <f>IF(V$3=0,"",SUMIFS(INDEX(Inputs!$D$4:$AG$150,0,MATCH(V$2,Inputs!$D$2:$AG$2,0)),Inputs!$B$4:$B$150,$B33)/1000)</f>
        <v>0</v>
      </c>
      <c r="W33" s="12">
        <f>IF(V33="","",V33)</f>
        <v>0</v>
      </c>
      <c r="X33" s="11">
        <f>IF(X$3=0,"",SUMIFS(INDEX(Inputs!$D$4:$AG$150,0,MATCH(X$2,Inputs!$D$2:$AG$2,0)),Inputs!$B$4:$B$150,$B33)/1000)</f>
        <v>0</v>
      </c>
      <c r="Y33" s="11">
        <f>IF(Y$3=0,"",SUMIFS(INDEX(Inputs!$D$4:$AG$150,0,MATCH(Y$2,Inputs!$D$2:$AG$2,0)),Inputs!$B$4:$B$150,$B33)/1000)</f>
        <v>0</v>
      </c>
      <c r="Z33" s="11">
        <f>IF(Z$3=0,"",SUMIFS(INDEX(Inputs!$D$4:$AG$150,0,MATCH(Z$2,Inputs!$D$2:$AG$2,0)),Inputs!$B$4:$B$150,$B33)/1000)</f>
        <v>0</v>
      </c>
      <c r="AA33" s="11">
        <f>IF(AA$3=0,"",SUMIFS(INDEX(Inputs!$D$4:$AG$150,0,MATCH(AA$2,Inputs!$D$2:$AG$2,0)),Inputs!$B$4:$B$150,$B33)/1000)</f>
        <v>0</v>
      </c>
      <c r="AB33" s="12">
        <f>IF(AA33="","",AA33)</f>
        <v>0</v>
      </c>
      <c r="AC33" s="11">
        <f>IF(AC$3=0,"",SUMIFS(INDEX(Inputs!$D$4:$AG$150,0,MATCH(AC$2,Inputs!$D$2:$AG$2,0)),Inputs!$B$4:$B$150,$B33)/1000)</f>
        <v>0</v>
      </c>
      <c r="AD33" s="11">
        <f>IF(AD$3=0,"",SUMIFS(INDEX(Inputs!$D$4:$AG$150,0,MATCH(AD$2,Inputs!$D$2:$AG$2,0)),Inputs!$B$4:$B$150,$B33)/1000)</f>
        <v>0</v>
      </c>
      <c r="AE33" s="11" t="str">
        <f>IF(AE$3=0,"",SUMIFS(INDEX(Inputs!$D$4:$AG$150,0,MATCH(AE$2,Inputs!$D$2:$AG$2,0)),Inputs!$B$4:$B$150,$B33)/1000)</f>
        <v/>
      </c>
      <c r="AF33" s="11" t="str">
        <f>IF(AF$3=0,"",SUMIFS(INDEX(Inputs!$D$4:$AG$150,0,MATCH(AF$2,Inputs!$D$2:$AG$2,0)),Inputs!$B$4:$B$150,$B33)/1000)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IF(D$3=0,"",SUMIFS(INDEX(Inputs!$D$4:$AG$150,0,MATCH(D$2,Inputs!$D$2:$AG$2,0)),Inputs!$B$4:$B$150,$B34)/1000)</f>
        <v>0</v>
      </c>
      <c r="E34" s="11">
        <f>IF(E$3=0,"",SUMIFS(INDEX(Inputs!$D$4:$AG$150,0,MATCH(E$2,Inputs!$D$2:$AG$2,0)),Inputs!$B$4:$B$150,$B34)/1000)</f>
        <v>0</v>
      </c>
      <c r="F34" s="11">
        <f>IF(F$3=0,"",SUMIFS(INDEX(Inputs!$D$4:$AG$150,0,MATCH(F$2,Inputs!$D$2:$AG$2,0)),Inputs!$B$4:$B$150,$B34)/1000)</f>
        <v>0</v>
      </c>
      <c r="G34" s="11">
        <f>IF(G$3=0,"",SUMIFS(INDEX(Inputs!$D$4:$AG$150,0,MATCH(G$2,Inputs!$D$2:$AG$2,0)),Inputs!$B$4:$B$150,$B34)/1000)</f>
        <v>0</v>
      </c>
      <c r="H34" s="12">
        <f>IF(G34="","",G34)</f>
        <v>0</v>
      </c>
      <c r="I34" s="11">
        <f>IF(I$3=0,"",SUMIFS(INDEX(Inputs!$D$4:$AG$150,0,MATCH(I$2,Inputs!$D$2:$AG$2,0)),Inputs!$B$4:$B$150,$B34)/1000)</f>
        <v>0</v>
      </c>
      <c r="J34" s="11">
        <f>IF(J$3=0,"",SUMIFS(INDEX(Inputs!$D$4:$AG$150,0,MATCH(J$2,Inputs!$D$2:$AG$2,0)),Inputs!$B$4:$B$150,$B34)/1000)</f>
        <v>0</v>
      </c>
      <c r="K34" s="11">
        <f>IF(K$3=0,"",SUMIFS(INDEX(Inputs!$D$4:$AG$150,0,MATCH(K$2,Inputs!$D$2:$AG$2,0)),Inputs!$B$4:$B$150,$B34)/1000)</f>
        <v>0</v>
      </c>
      <c r="L34" s="11">
        <f>IF(L$3=0,"",SUMIFS(INDEX(Inputs!$D$4:$AG$150,0,MATCH(L$2,Inputs!$D$2:$AG$2,0)),Inputs!$B$4:$B$150,$B34)/1000)</f>
        <v>0</v>
      </c>
      <c r="M34" s="12">
        <f>IF(L34="","",L34)</f>
        <v>0</v>
      </c>
      <c r="N34" s="11">
        <f>IF(N$3=0,"",SUMIFS(INDEX(Inputs!$D$4:$AG$150,0,MATCH(N$2,Inputs!$D$2:$AG$2,0)),Inputs!$B$4:$B$150,$B34)/1000)</f>
        <v>0</v>
      </c>
      <c r="O34" s="11">
        <f>IF(O$3=0,"",SUMIFS(INDEX(Inputs!$D$4:$AG$150,0,MATCH(O$2,Inputs!$D$2:$AG$2,0)),Inputs!$B$4:$B$150,$B34)/1000)</f>
        <v>0</v>
      </c>
      <c r="P34" s="11">
        <f>IF(P$3=0,"",SUMIFS(INDEX(Inputs!$D$4:$AG$150,0,MATCH(P$2,Inputs!$D$2:$AG$2,0)),Inputs!$B$4:$B$150,$B34)/1000)</f>
        <v>0</v>
      </c>
      <c r="Q34" s="11">
        <f>IF(Q$3=0,"",SUMIFS(INDEX(Inputs!$D$4:$AG$150,0,MATCH(Q$2,Inputs!$D$2:$AG$2,0)),Inputs!$B$4:$B$150,$B34)/1000)</f>
        <v>0</v>
      </c>
      <c r="R34" s="12">
        <f>IF(Q34="","",Q34)</f>
        <v>0</v>
      </c>
      <c r="S34" s="11">
        <f>IF(S$3=0,"",SUMIFS(INDEX(Inputs!$D$4:$AG$150,0,MATCH(S$2,Inputs!$D$2:$AG$2,0)),Inputs!$B$4:$B$150,$B34)/1000)</f>
        <v>0</v>
      </c>
      <c r="T34" s="11">
        <f>IF(T$3=0,"",SUMIFS(INDEX(Inputs!$D$4:$AG$150,0,MATCH(T$2,Inputs!$D$2:$AG$2,0)),Inputs!$B$4:$B$150,$B34)/1000)</f>
        <v>0</v>
      </c>
      <c r="U34" s="11">
        <f>IF(U$3=0,"",SUMIFS(INDEX(Inputs!$D$4:$AG$150,0,MATCH(U$2,Inputs!$D$2:$AG$2,0)),Inputs!$B$4:$B$150,$B34)/1000)</f>
        <v>0</v>
      </c>
      <c r="V34" s="11">
        <f>IF(V$3=0,"",SUMIFS(INDEX(Inputs!$D$4:$AG$150,0,MATCH(V$2,Inputs!$D$2:$AG$2,0)),Inputs!$B$4:$B$150,$B34)/1000)</f>
        <v>0</v>
      </c>
      <c r="W34" s="12">
        <f>IF(V34="","",V34)</f>
        <v>0</v>
      </c>
      <c r="X34" s="11">
        <f>IF(X$3=0,"",SUMIFS(INDEX(Inputs!$D$4:$AG$150,0,MATCH(X$2,Inputs!$D$2:$AG$2,0)),Inputs!$B$4:$B$150,$B34)/1000)</f>
        <v>0</v>
      </c>
      <c r="Y34" s="11">
        <f>IF(Y$3=0,"",SUMIFS(INDEX(Inputs!$D$4:$AG$150,0,MATCH(Y$2,Inputs!$D$2:$AG$2,0)),Inputs!$B$4:$B$150,$B34)/1000)</f>
        <v>0</v>
      </c>
      <c r="Z34" s="11">
        <f>IF(Z$3=0,"",SUMIFS(INDEX(Inputs!$D$4:$AG$150,0,MATCH(Z$2,Inputs!$D$2:$AG$2,0)),Inputs!$B$4:$B$150,$B34)/1000)</f>
        <v>0</v>
      </c>
      <c r="AA34" s="11">
        <f>IF(AA$3=0,"",SUMIFS(INDEX(Inputs!$D$4:$AG$150,0,MATCH(AA$2,Inputs!$D$2:$AG$2,0)),Inputs!$B$4:$B$150,$B34)/1000)</f>
        <v>0</v>
      </c>
      <c r="AB34" s="12">
        <f>IF(AA34="","",AA34)</f>
        <v>0</v>
      </c>
      <c r="AC34" s="11">
        <f>IF(AC$3=0,"",SUMIFS(INDEX(Inputs!$D$4:$AG$150,0,MATCH(AC$2,Inputs!$D$2:$AG$2,0)),Inputs!$B$4:$B$150,$B34)/1000)</f>
        <v>0</v>
      </c>
      <c r="AD34" s="11">
        <f>IF(AD$3=0,"",SUMIFS(INDEX(Inputs!$D$4:$AG$150,0,MATCH(AD$2,Inputs!$D$2:$AG$2,0)),Inputs!$B$4:$B$150,$B34)/1000)</f>
        <v>0</v>
      </c>
      <c r="AE34" s="11" t="str">
        <f>IF(AE$3=0,"",SUMIFS(INDEX(Inputs!$D$4:$AG$150,0,MATCH(AE$2,Inputs!$D$2:$AG$2,0)),Inputs!$B$4:$B$150,$B34)/1000)</f>
        <v/>
      </c>
      <c r="AF34" s="11" t="str">
        <f>IF(AF$3=0,"",SUMIFS(INDEX(Inputs!$D$4:$AG$150,0,MATCH(AF$2,Inputs!$D$2:$AG$2,0)),Inputs!$B$4:$B$150,$B34)/1000)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IF(D$3=0,"",SUMIFS(INDEX(Inputs!$D$4:$AG$150,0,MATCH(D$2,Inputs!$D$2:$AG$2,0)),Inputs!$B$4:$B$150,$B35)/1000)</f>
        <v>108642</v>
      </c>
      <c r="E35" s="11">
        <f>IF(E$3=0,"",SUMIFS(INDEX(Inputs!$D$4:$AG$150,0,MATCH(E$2,Inputs!$D$2:$AG$2,0)),Inputs!$B$4:$B$150,$B35)/1000)</f>
        <v>105752</v>
      </c>
      <c r="F35" s="11">
        <f>IF(F$3=0,"",SUMIFS(INDEX(Inputs!$D$4:$AG$150,0,MATCH(F$2,Inputs!$D$2:$AG$2,0)),Inputs!$B$4:$B$150,$B35)/1000)</f>
        <v>109106</v>
      </c>
      <c r="G35" s="11">
        <f>IF(G$3=0,"",SUMIFS(INDEX(Inputs!$D$4:$AG$150,0,MATCH(G$2,Inputs!$D$2:$AG$2,0)),Inputs!$B$4:$B$150,$B35)/1000)</f>
        <v>106629</v>
      </c>
      <c r="H35" s="12">
        <f>IF(G35="","",G35)</f>
        <v>106629</v>
      </c>
      <c r="I35" s="11">
        <f>IF(I$3=0,"",SUMIFS(INDEX(Inputs!$D$4:$AG$150,0,MATCH(I$2,Inputs!$D$2:$AG$2,0)),Inputs!$B$4:$B$150,$B35)/1000)</f>
        <v>103323</v>
      </c>
      <c r="J35" s="11">
        <f>IF(J$3=0,"",SUMIFS(INDEX(Inputs!$D$4:$AG$150,0,MATCH(J$2,Inputs!$D$2:$AG$2,0)),Inputs!$B$4:$B$150,$B35)/1000)</f>
        <v>94700</v>
      </c>
      <c r="K35" s="11">
        <f>IF(K$3=0,"",SUMIFS(INDEX(Inputs!$D$4:$AG$150,0,MATCH(K$2,Inputs!$D$2:$AG$2,0)),Inputs!$B$4:$B$150,$B35)/1000)</f>
        <v>98959</v>
      </c>
      <c r="L35" s="11">
        <f>IF(L$3=0,"",SUMIFS(INDEX(Inputs!$D$4:$AG$150,0,MATCH(L$2,Inputs!$D$2:$AG$2,0)),Inputs!$B$4:$B$150,$B35)/1000)</f>
        <v>99627</v>
      </c>
      <c r="M35" s="12">
        <f>IF(L35="","",L35)</f>
        <v>99627</v>
      </c>
      <c r="N35" s="11">
        <f>IF(N$3=0,"",SUMIFS(INDEX(Inputs!$D$4:$AG$150,0,MATCH(N$2,Inputs!$D$2:$AG$2,0)),Inputs!$B$4:$B$150,$B35)/1000)</f>
        <v>97041</v>
      </c>
      <c r="O35" s="11">
        <f>IF(O$3=0,"",SUMIFS(INDEX(Inputs!$D$4:$AG$150,0,MATCH(O$2,Inputs!$D$2:$AG$2,0)),Inputs!$B$4:$B$150,$B35)/1000)</f>
        <v>98071</v>
      </c>
      <c r="P35" s="11">
        <f>IF(P$3=0,"",SUMIFS(INDEX(Inputs!$D$4:$AG$150,0,MATCH(P$2,Inputs!$D$2:$AG$2,0)),Inputs!$B$4:$B$150,$B35)/1000)</f>
        <v>95281</v>
      </c>
      <c r="Q35" s="11">
        <f>IF(Q$3=0,"",SUMIFS(INDEX(Inputs!$D$4:$AG$150,0,MATCH(Q$2,Inputs!$D$2:$AG$2,0)),Inputs!$B$4:$B$150,$B35)/1000)</f>
        <v>95088</v>
      </c>
      <c r="R35" s="12">
        <f>IF(Q35="","",Q35)</f>
        <v>95088</v>
      </c>
      <c r="S35" s="11">
        <f>IF(S$3=0,"",SUMIFS(INDEX(Inputs!$D$4:$AG$150,0,MATCH(S$2,Inputs!$D$2:$AG$2,0)),Inputs!$B$4:$B$150,$B35)/1000)</f>
        <v>91831</v>
      </c>
      <c r="T35" s="11">
        <f>IF(T$3=0,"",SUMIFS(INDEX(Inputs!$D$4:$AG$150,0,MATCH(T$2,Inputs!$D$2:$AG$2,0)),Inputs!$B$4:$B$150,$B35)/1000)</f>
        <v>86196</v>
      </c>
      <c r="U35" s="11">
        <f>IF(U$3=0,"",SUMIFS(INDEX(Inputs!$D$4:$AG$150,0,MATCH(U$2,Inputs!$D$2:$AG$2,0)),Inputs!$B$4:$B$150,$B35)/1000)</f>
        <v>85750</v>
      </c>
      <c r="V35" s="11">
        <f>IF(V$3=0,"",SUMIFS(INDEX(Inputs!$D$4:$AG$150,0,MATCH(V$2,Inputs!$D$2:$AG$2,0)),Inputs!$B$4:$B$150,$B35)/1000)</f>
        <v>83956</v>
      </c>
      <c r="W35" s="12">
        <f>IF(V35="","",V35)</f>
        <v>83956</v>
      </c>
      <c r="X35" s="11">
        <f>IF(X$3=0,"",SUMIFS(INDEX(Inputs!$D$4:$AG$150,0,MATCH(X$2,Inputs!$D$2:$AG$2,0)),Inputs!$B$4:$B$150,$B35)/1000)</f>
        <v>78566</v>
      </c>
      <c r="Y35" s="11">
        <f>IF(Y$3=0,"",SUMIFS(INDEX(Inputs!$D$4:$AG$150,0,MATCH(Y$2,Inputs!$D$2:$AG$2,0)),Inputs!$B$4:$B$150,$B35)/1000)</f>
        <v>82430</v>
      </c>
      <c r="Z35" s="11">
        <f>IF(Z$3=0,"",SUMIFS(INDEX(Inputs!$D$4:$AG$150,0,MATCH(Z$2,Inputs!$D$2:$AG$2,0)),Inputs!$B$4:$B$150,$B35)/1000)</f>
        <v>78328</v>
      </c>
      <c r="AA35" s="11">
        <f>IF(AA$3=0,"",SUMIFS(INDEX(Inputs!$D$4:$AG$150,0,MATCH(AA$2,Inputs!$D$2:$AG$2,0)),Inputs!$B$4:$B$150,$B35)/1000)</f>
        <v>76685</v>
      </c>
      <c r="AB35" s="12">
        <f>IF(AA35="","",AA35)</f>
        <v>76685</v>
      </c>
      <c r="AC35" s="11">
        <f>IF(AC$3=0,"",SUMIFS(INDEX(Inputs!$D$4:$AG$150,0,MATCH(AC$2,Inputs!$D$2:$AG$2,0)),Inputs!$B$4:$B$150,$B35)/1000)</f>
        <v>74404</v>
      </c>
      <c r="AD35" s="11">
        <f>IF(AD$3=0,"",SUMIFS(INDEX(Inputs!$D$4:$AG$150,0,MATCH(AD$2,Inputs!$D$2:$AG$2,0)),Inputs!$B$4:$B$150,$B35)/1000)</f>
        <v>71340</v>
      </c>
      <c r="AE35" s="11" t="str">
        <f>IF(AE$3=0,"",SUMIFS(INDEX(Inputs!$D$4:$AG$150,0,MATCH(AE$2,Inputs!$D$2:$AG$2,0)),Inputs!$B$4:$B$150,$B35)/1000)</f>
        <v/>
      </c>
      <c r="AF35" s="11" t="str">
        <f>IF(AF$3=0,"",SUMIFS(INDEX(Inputs!$D$4:$AG$150,0,MATCH(AF$2,Inputs!$D$2:$AG$2,0)),Inputs!$B$4:$B$150,$B35)/1000)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IF(D$3=0,"",SUMIFS(INDEX(Inputs!$D$4:$AG$150,0,MATCH(D$2,Inputs!$D$2:$AG$2,0)),Inputs!$B$4:$B$150,$B36)/1000)</f>
        <v>0</v>
      </c>
      <c r="E36" s="11">
        <f>IF(E$3=0,"",SUMIFS(INDEX(Inputs!$D$4:$AG$150,0,MATCH(E$2,Inputs!$D$2:$AG$2,0)),Inputs!$B$4:$B$150,$B36)/1000)</f>
        <v>0</v>
      </c>
      <c r="F36" s="11">
        <f>IF(F$3=0,"",SUMIFS(INDEX(Inputs!$D$4:$AG$150,0,MATCH(F$2,Inputs!$D$2:$AG$2,0)),Inputs!$B$4:$B$150,$B36)/1000)</f>
        <v>0</v>
      </c>
      <c r="G36" s="11">
        <f>IF(G$3=0,"",SUMIFS(INDEX(Inputs!$D$4:$AG$150,0,MATCH(G$2,Inputs!$D$2:$AG$2,0)),Inputs!$B$4:$B$150,$B36)/1000)</f>
        <v>0</v>
      </c>
      <c r="H36" s="12">
        <f>IF(G36="","",G36)</f>
        <v>0</v>
      </c>
      <c r="I36" s="11">
        <f>IF(I$3=0,"",SUMIFS(INDEX(Inputs!$D$4:$AG$150,0,MATCH(I$2,Inputs!$D$2:$AG$2,0)),Inputs!$B$4:$B$150,$B36)/1000)</f>
        <v>0</v>
      </c>
      <c r="J36" s="11">
        <f>IF(J$3=0,"",SUMIFS(INDEX(Inputs!$D$4:$AG$150,0,MATCH(J$2,Inputs!$D$2:$AG$2,0)),Inputs!$B$4:$B$150,$B36)/1000)</f>
        <v>0</v>
      </c>
      <c r="K36" s="11">
        <f>IF(K$3=0,"",SUMIFS(INDEX(Inputs!$D$4:$AG$150,0,MATCH(K$2,Inputs!$D$2:$AG$2,0)),Inputs!$B$4:$B$150,$B36)/1000)</f>
        <v>0</v>
      </c>
      <c r="L36" s="11">
        <f>IF(L$3=0,"",SUMIFS(INDEX(Inputs!$D$4:$AG$150,0,MATCH(L$2,Inputs!$D$2:$AG$2,0)),Inputs!$B$4:$B$150,$B36)/1000)</f>
        <v>0</v>
      </c>
      <c r="M36" s="12">
        <f>IF(L36="","",L36)</f>
        <v>0</v>
      </c>
      <c r="N36" s="11">
        <f>IF(N$3=0,"",SUMIFS(INDEX(Inputs!$D$4:$AG$150,0,MATCH(N$2,Inputs!$D$2:$AG$2,0)),Inputs!$B$4:$B$150,$B36)/1000)</f>
        <v>0</v>
      </c>
      <c r="O36" s="11">
        <f>IF(O$3=0,"",SUMIFS(INDEX(Inputs!$D$4:$AG$150,0,MATCH(O$2,Inputs!$D$2:$AG$2,0)),Inputs!$B$4:$B$150,$B36)/1000)</f>
        <v>0</v>
      </c>
      <c r="P36" s="11">
        <f>IF(P$3=0,"",SUMIFS(INDEX(Inputs!$D$4:$AG$150,0,MATCH(P$2,Inputs!$D$2:$AG$2,0)),Inputs!$B$4:$B$150,$B36)/1000)</f>
        <v>0</v>
      </c>
      <c r="Q36" s="11">
        <f>IF(Q$3=0,"",SUMIFS(INDEX(Inputs!$D$4:$AG$150,0,MATCH(Q$2,Inputs!$D$2:$AG$2,0)),Inputs!$B$4:$B$150,$B36)/1000)</f>
        <v>0</v>
      </c>
      <c r="R36" s="12">
        <f>IF(Q36="","",Q36)</f>
        <v>0</v>
      </c>
      <c r="S36" s="11">
        <f>IF(S$3=0,"",SUMIFS(INDEX(Inputs!$D$4:$AG$150,0,MATCH(S$2,Inputs!$D$2:$AG$2,0)),Inputs!$B$4:$B$150,$B36)/1000)</f>
        <v>0</v>
      </c>
      <c r="T36" s="11">
        <f>IF(T$3=0,"",SUMIFS(INDEX(Inputs!$D$4:$AG$150,0,MATCH(T$2,Inputs!$D$2:$AG$2,0)),Inputs!$B$4:$B$150,$B36)/1000)</f>
        <v>0</v>
      </c>
      <c r="U36" s="11">
        <f>IF(U$3=0,"",SUMIFS(INDEX(Inputs!$D$4:$AG$150,0,MATCH(U$2,Inputs!$D$2:$AG$2,0)),Inputs!$B$4:$B$150,$B36)/1000)</f>
        <v>0</v>
      </c>
      <c r="V36" s="11">
        <f>IF(V$3=0,"",SUMIFS(INDEX(Inputs!$D$4:$AG$150,0,MATCH(V$2,Inputs!$D$2:$AG$2,0)),Inputs!$B$4:$B$150,$B36)/1000)</f>
        <v>0</v>
      </c>
      <c r="W36" s="12">
        <f>IF(V36="","",V36)</f>
        <v>0</v>
      </c>
      <c r="X36" s="11">
        <f>IF(X$3=0,"",SUMIFS(INDEX(Inputs!$D$4:$AG$150,0,MATCH(X$2,Inputs!$D$2:$AG$2,0)),Inputs!$B$4:$B$150,$B36)/1000)</f>
        <v>0</v>
      </c>
      <c r="Y36" s="11">
        <f>IF(Y$3=0,"",SUMIFS(INDEX(Inputs!$D$4:$AG$150,0,MATCH(Y$2,Inputs!$D$2:$AG$2,0)),Inputs!$B$4:$B$150,$B36)/1000)</f>
        <v>0</v>
      </c>
      <c r="Z36" s="11">
        <f>IF(Z$3=0,"",SUMIFS(INDEX(Inputs!$D$4:$AG$150,0,MATCH(Z$2,Inputs!$D$2:$AG$2,0)),Inputs!$B$4:$B$150,$B36)/1000)</f>
        <v>0</v>
      </c>
      <c r="AA36" s="11">
        <f>IF(AA$3=0,"",SUMIFS(INDEX(Inputs!$D$4:$AG$150,0,MATCH(AA$2,Inputs!$D$2:$AG$2,0)),Inputs!$B$4:$B$150,$B36)/1000)</f>
        <v>0</v>
      </c>
      <c r="AB36" s="12">
        <f>IF(AA36="","",AA36)</f>
        <v>0</v>
      </c>
      <c r="AC36" s="11">
        <f>IF(AC$3=0,"",SUMIFS(INDEX(Inputs!$D$4:$AG$150,0,MATCH(AC$2,Inputs!$D$2:$AG$2,0)),Inputs!$B$4:$B$150,$B36)/1000)</f>
        <v>0</v>
      </c>
      <c r="AD36" s="11">
        <f>IF(AD$3=0,"",SUMIFS(INDEX(Inputs!$D$4:$AG$150,0,MATCH(AD$2,Inputs!$D$2:$AG$2,0)),Inputs!$B$4:$B$150,$B36)/1000)</f>
        <v>0</v>
      </c>
      <c r="AE36" s="11" t="str">
        <f>IF(AE$3=0,"",SUMIFS(INDEX(Inputs!$D$4:$AG$150,0,MATCH(AE$2,Inputs!$D$2:$AG$2,0)),Inputs!$B$4:$B$150,$B36)/1000)</f>
        <v/>
      </c>
      <c r="AF36" s="11" t="str">
        <f>IF(AF$3=0,"",SUMIFS(INDEX(Inputs!$D$4:$AG$150,0,MATCH(AF$2,Inputs!$D$2:$AG$2,0)),Inputs!$B$4:$B$150,$B36)/1000)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IF(D$3=0,"",SUMIFS(INDEX(Inputs!$D$4:$AG$150,0,MATCH(D$2,Inputs!$D$2:$AG$2,0)),Inputs!$B$4:$B$150,$B37)/1000)</f>
        <v>0</v>
      </c>
      <c r="E37" s="11">
        <f>IF(E$3=0,"",SUMIFS(INDEX(Inputs!$D$4:$AG$150,0,MATCH(E$2,Inputs!$D$2:$AG$2,0)),Inputs!$B$4:$B$150,$B37)/1000)</f>
        <v>0</v>
      </c>
      <c r="F37" s="11">
        <f>IF(F$3=0,"",SUMIFS(INDEX(Inputs!$D$4:$AG$150,0,MATCH(F$2,Inputs!$D$2:$AG$2,0)),Inputs!$B$4:$B$150,$B37)/1000)</f>
        <v>0</v>
      </c>
      <c r="G37" s="11">
        <f>IF(G$3=0,"",SUMIFS(INDEX(Inputs!$D$4:$AG$150,0,MATCH(G$2,Inputs!$D$2:$AG$2,0)),Inputs!$B$4:$B$150,$B37)/1000)</f>
        <v>0</v>
      </c>
      <c r="H37" s="12">
        <f>IF(G37="","",G37)</f>
        <v>0</v>
      </c>
      <c r="I37" s="11">
        <f>IF(I$3=0,"",SUMIFS(INDEX(Inputs!$D$4:$AG$150,0,MATCH(I$2,Inputs!$D$2:$AG$2,0)),Inputs!$B$4:$B$150,$B37)/1000)</f>
        <v>0</v>
      </c>
      <c r="J37" s="11">
        <f>IF(J$3=0,"",SUMIFS(INDEX(Inputs!$D$4:$AG$150,0,MATCH(J$2,Inputs!$D$2:$AG$2,0)),Inputs!$B$4:$B$150,$B37)/1000)</f>
        <v>0</v>
      </c>
      <c r="K37" s="11">
        <f>IF(K$3=0,"",SUMIFS(INDEX(Inputs!$D$4:$AG$150,0,MATCH(K$2,Inputs!$D$2:$AG$2,0)),Inputs!$B$4:$B$150,$B37)/1000)</f>
        <v>0</v>
      </c>
      <c r="L37" s="11">
        <f>IF(L$3=0,"",SUMIFS(INDEX(Inputs!$D$4:$AG$150,0,MATCH(L$2,Inputs!$D$2:$AG$2,0)),Inputs!$B$4:$B$150,$B37)/1000)</f>
        <v>0</v>
      </c>
      <c r="M37" s="12">
        <f>IF(L37="","",L37)</f>
        <v>0</v>
      </c>
      <c r="N37" s="11">
        <f>IF(N$3=0,"",SUMIFS(INDEX(Inputs!$D$4:$AG$150,0,MATCH(N$2,Inputs!$D$2:$AG$2,0)),Inputs!$B$4:$B$150,$B37)/1000)</f>
        <v>0</v>
      </c>
      <c r="O37" s="11">
        <f>IF(O$3=0,"",SUMIFS(INDEX(Inputs!$D$4:$AG$150,0,MATCH(O$2,Inputs!$D$2:$AG$2,0)),Inputs!$B$4:$B$150,$B37)/1000)</f>
        <v>0</v>
      </c>
      <c r="P37" s="11">
        <f>IF(P$3=0,"",SUMIFS(INDEX(Inputs!$D$4:$AG$150,0,MATCH(P$2,Inputs!$D$2:$AG$2,0)),Inputs!$B$4:$B$150,$B37)/1000)</f>
        <v>0</v>
      </c>
      <c r="Q37" s="11">
        <f>IF(Q$3=0,"",SUMIFS(INDEX(Inputs!$D$4:$AG$150,0,MATCH(Q$2,Inputs!$D$2:$AG$2,0)),Inputs!$B$4:$B$150,$B37)/1000)</f>
        <v>0</v>
      </c>
      <c r="R37" s="12">
        <f>IF(Q37="","",Q37)</f>
        <v>0</v>
      </c>
      <c r="S37" s="11">
        <f>IF(S$3=0,"",SUMIFS(INDEX(Inputs!$D$4:$AG$150,0,MATCH(S$2,Inputs!$D$2:$AG$2,0)),Inputs!$B$4:$B$150,$B37)/1000)</f>
        <v>0</v>
      </c>
      <c r="T37" s="11">
        <f>IF(T$3=0,"",SUMIFS(INDEX(Inputs!$D$4:$AG$150,0,MATCH(T$2,Inputs!$D$2:$AG$2,0)),Inputs!$B$4:$B$150,$B37)/1000)</f>
        <v>0</v>
      </c>
      <c r="U37" s="11">
        <f>IF(U$3=0,"",SUMIFS(INDEX(Inputs!$D$4:$AG$150,0,MATCH(U$2,Inputs!$D$2:$AG$2,0)),Inputs!$B$4:$B$150,$B37)/1000)</f>
        <v>0</v>
      </c>
      <c r="V37" s="11">
        <f>IF(V$3=0,"",SUMIFS(INDEX(Inputs!$D$4:$AG$150,0,MATCH(V$2,Inputs!$D$2:$AG$2,0)),Inputs!$B$4:$B$150,$B37)/1000)</f>
        <v>0</v>
      </c>
      <c r="W37" s="12">
        <f>IF(V37="","",V37)</f>
        <v>0</v>
      </c>
      <c r="X37" s="11">
        <f>IF(X$3=0,"",SUMIFS(INDEX(Inputs!$D$4:$AG$150,0,MATCH(X$2,Inputs!$D$2:$AG$2,0)),Inputs!$B$4:$B$150,$B37)/1000)</f>
        <v>0</v>
      </c>
      <c r="Y37" s="11">
        <f>IF(Y$3=0,"",SUMIFS(INDEX(Inputs!$D$4:$AG$150,0,MATCH(Y$2,Inputs!$D$2:$AG$2,0)),Inputs!$B$4:$B$150,$B37)/1000)</f>
        <v>0</v>
      </c>
      <c r="Z37" s="11">
        <f>IF(Z$3=0,"",SUMIFS(INDEX(Inputs!$D$4:$AG$150,0,MATCH(Z$2,Inputs!$D$2:$AG$2,0)),Inputs!$B$4:$B$150,$B37)/1000)</f>
        <v>0</v>
      </c>
      <c r="AA37" s="11">
        <f>IF(AA$3=0,"",SUMIFS(INDEX(Inputs!$D$4:$AG$150,0,MATCH(AA$2,Inputs!$D$2:$AG$2,0)),Inputs!$B$4:$B$150,$B37)/1000)</f>
        <v>0</v>
      </c>
      <c r="AB37" s="12">
        <f>IF(AA37="","",AA37)</f>
        <v>0</v>
      </c>
      <c r="AC37" s="11">
        <f>IF(AC$3=0,"",SUMIFS(INDEX(Inputs!$D$4:$AG$150,0,MATCH(AC$2,Inputs!$D$2:$AG$2,0)),Inputs!$B$4:$B$150,$B37)/1000)</f>
        <v>0</v>
      </c>
      <c r="AD37" s="11">
        <f>IF(AD$3=0,"",SUMIFS(INDEX(Inputs!$D$4:$AG$150,0,MATCH(AD$2,Inputs!$D$2:$AG$2,0)),Inputs!$B$4:$B$150,$B37)/1000)</f>
        <v>0</v>
      </c>
      <c r="AE37" s="11" t="str">
        <f>IF(AE$3=0,"",SUMIFS(INDEX(Inputs!$D$4:$AG$150,0,MATCH(AE$2,Inputs!$D$2:$AG$2,0)),Inputs!$B$4:$B$150,$B37)/1000)</f>
        <v/>
      </c>
      <c r="AF37" s="11" t="str">
        <f>IF(AF$3=0,"",SUMIFS(INDEX(Inputs!$D$4:$AG$150,0,MATCH(AF$2,Inputs!$D$2:$AG$2,0)),Inputs!$B$4:$B$150,$B37)/1000)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IF(D$3=0,"",SUMIFS(INDEX(Inputs!$D$4:$AG$150,0,MATCH(D$2,Inputs!$D$2:$AG$2,0)),Inputs!$B$4:$B$150,$B38)/1000)</f>
        <v>0</v>
      </c>
      <c r="E38" s="11">
        <f>IF(E$3=0,"",SUMIFS(INDEX(Inputs!$D$4:$AG$150,0,MATCH(E$2,Inputs!$D$2:$AG$2,0)),Inputs!$B$4:$B$150,$B38)/1000)</f>
        <v>0</v>
      </c>
      <c r="F38" s="11">
        <f>IF(F$3=0,"",SUMIFS(INDEX(Inputs!$D$4:$AG$150,0,MATCH(F$2,Inputs!$D$2:$AG$2,0)),Inputs!$B$4:$B$150,$B38)/1000)</f>
        <v>0</v>
      </c>
      <c r="G38" s="11">
        <f>IF(G$3=0,"",SUMIFS(INDEX(Inputs!$D$4:$AG$150,0,MATCH(G$2,Inputs!$D$2:$AG$2,0)),Inputs!$B$4:$B$150,$B38)/1000)</f>
        <v>0</v>
      </c>
      <c r="H38" s="12">
        <f>IF(G38="","",G38)</f>
        <v>0</v>
      </c>
      <c r="I38" s="11">
        <f>IF(I$3=0,"",SUMIFS(INDEX(Inputs!$D$4:$AG$150,0,MATCH(I$2,Inputs!$D$2:$AG$2,0)),Inputs!$B$4:$B$150,$B38)/1000)</f>
        <v>0</v>
      </c>
      <c r="J38" s="11">
        <f>IF(J$3=0,"",SUMIFS(INDEX(Inputs!$D$4:$AG$150,0,MATCH(J$2,Inputs!$D$2:$AG$2,0)),Inputs!$B$4:$B$150,$B38)/1000)</f>
        <v>0</v>
      </c>
      <c r="K38" s="11">
        <f>IF(K$3=0,"",SUMIFS(INDEX(Inputs!$D$4:$AG$150,0,MATCH(K$2,Inputs!$D$2:$AG$2,0)),Inputs!$B$4:$B$150,$B38)/1000)</f>
        <v>0</v>
      </c>
      <c r="L38" s="11">
        <f>IF(L$3=0,"",SUMIFS(INDEX(Inputs!$D$4:$AG$150,0,MATCH(L$2,Inputs!$D$2:$AG$2,0)),Inputs!$B$4:$B$150,$B38)/1000)</f>
        <v>0</v>
      </c>
      <c r="M38" s="12">
        <f>IF(L38="","",L38)</f>
        <v>0</v>
      </c>
      <c r="N38" s="11">
        <f>IF(N$3=0,"",SUMIFS(INDEX(Inputs!$D$4:$AG$150,0,MATCH(N$2,Inputs!$D$2:$AG$2,0)),Inputs!$B$4:$B$150,$B38)/1000)</f>
        <v>0</v>
      </c>
      <c r="O38" s="11">
        <f>IF(O$3=0,"",SUMIFS(INDEX(Inputs!$D$4:$AG$150,0,MATCH(O$2,Inputs!$D$2:$AG$2,0)),Inputs!$B$4:$B$150,$B38)/1000)</f>
        <v>0</v>
      </c>
      <c r="P38" s="11">
        <f>IF(P$3=0,"",SUMIFS(INDEX(Inputs!$D$4:$AG$150,0,MATCH(P$2,Inputs!$D$2:$AG$2,0)),Inputs!$B$4:$B$150,$B38)/1000)</f>
        <v>0</v>
      </c>
      <c r="Q38" s="11">
        <f>IF(Q$3=0,"",SUMIFS(INDEX(Inputs!$D$4:$AG$150,0,MATCH(Q$2,Inputs!$D$2:$AG$2,0)),Inputs!$B$4:$B$150,$B38)/1000)</f>
        <v>0</v>
      </c>
      <c r="R38" s="12">
        <f>IF(Q38="","",Q38)</f>
        <v>0</v>
      </c>
      <c r="S38" s="11">
        <f>IF(S$3=0,"",SUMIFS(INDEX(Inputs!$D$4:$AG$150,0,MATCH(S$2,Inputs!$D$2:$AG$2,0)),Inputs!$B$4:$B$150,$B38)/1000)</f>
        <v>0</v>
      </c>
      <c r="T38" s="11">
        <f>IF(T$3=0,"",SUMIFS(INDEX(Inputs!$D$4:$AG$150,0,MATCH(T$2,Inputs!$D$2:$AG$2,0)),Inputs!$B$4:$B$150,$B38)/1000)</f>
        <v>0</v>
      </c>
      <c r="U38" s="11">
        <f>IF(U$3=0,"",SUMIFS(INDEX(Inputs!$D$4:$AG$150,0,MATCH(U$2,Inputs!$D$2:$AG$2,0)),Inputs!$B$4:$B$150,$B38)/1000)</f>
        <v>0</v>
      </c>
      <c r="V38" s="11">
        <f>IF(V$3=0,"",SUMIFS(INDEX(Inputs!$D$4:$AG$150,0,MATCH(V$2,Inputs!$D$2:$AG$2,0)),Inputs!$B$4:$B$150,$B38)/1000)</f>
        <v>0</v>
      </c>
      <c r="W38" s="12">
        <f>IF(V38="","",V38)</f>
        <v>0</v>
      </c>
      <c r="X38" s="11">
        <f>IF(X$3=0,"",SUMIFS(INDEX(Inputs!$D$4:$AG$150,0,MATCH(X$2,Inputs!$D$2:$AG$2,0)),Inputs!$B$4:$B$150,$B38)/1000)</f>
        <v>0</v>
      </c>
      <c r="Y38" s="11">
        <f>IF(Y$3=0,"",SUMIFS(INDEX(Inputs!$D$4:$AG$150,0,MATCH(Y$2,Inputs!$D$2:$AG$2,0)),Inputs!$B$4:$B$150,$B38)/1000)</f>
        <v>0</v>
      </c>
      <c r="Z38" s="11">
        <f>IF(Z$3=0,"",SUMIFS(INDEX(Inputs!$D$4:$AG$150,0,MATCH(Z$2,Inputs!$D$2:$AG$2,0)),Inputs!$B$4:$B$150,$B38)/1000)</f>
        <v>0</v>
      </c>
      <c r="AA38" s="11">
        <f>IF(AA$3=0,"",SUMIFS(INDEX(Inputs!$D$4:$AG$150,0,MATCH(AA$2,Inputs!$D$2:$AG$2,0)),Inputs!$B$4:$B$150,$B38)/1000)</f>
        <v>0</v>
      </c>
      <c r="AB38" s="12">
        <f>IF(AA38="","",AA38)</f>
        <v>0</v>
      </c>
      <c r="AC38" s="11">
        <f>IF(AC$3=0,"",SUMIFS(INDEX(Inputs!$D$4:$AG$150,0,MATCH(AC$2,Inputs!$D$2:$AG$2,0)),Inputs!$B$4:$B$150,$B38)/1000)</f>
        <v>0</v>
      </c>
      <c r="AD38" s="11">
        <f>IF(AD$3=0,"",SUMIFS(INDEX(Inputs!$D$4:$AG$150,0,MATCH(AD$2,Inputs!$D$2:$AG$2,0)),Inputs!$B$4:$B$150,$B38)/1000)</f>
        <v>0</v>
      </c>
      <c r="AE38" s="11" t="str">
        <f>IF(AE$3=0,"",SUMIFS(INDEX(Inputs!$D$4:$AG$150,0,MATCH(AE$2,Inputs!$D$2:$AG$2,0)),Inputs!$B$4:$B$150,$B38)/1000)</f>
        <v/>
      </c>
      <c r="AF38" s="11" t="str">
        <f>IF(AF$3=0,"",SUMIFS(INDEX(Inputs!$D$4:$AG$150,0,MATCH(AF$2,Inputs!$D$2:$AG$2,0)),Inputs!$B$4:$B$150,$B38)/1000)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IF(D$3=0,"",SUMIFS(INDEX(Inputs!$D$4:$AG$150,0,MATCH(D$2,Inputs!$D$2:$AG$2,0)),Inputs!$B$4:$B$150,$B39)/1000)</f>
        <v>52953</v>
      </c>
      <c r="E39" s="11">
        <f>IF(E$3=0,"",SUMIFS(INDEX(Inputs!$D$4:$AG$150,0,MATCH(E$2,Inputs!$D$2:$AG$2,0)),Inputs!$B$4:$B$150,$B39)/1000)</f>
        <v>52054</v>
      </c>
      <c r="F39" s="11">
        <f>IF(F$3=0,"",SUMIFS(INDEX(Inputs!$D$4:$AG$150,0,MATCH(F$2,Inputs!$D$2:$AG$2,0)),Inputs!$B$4:$B$150,$B39)/1000)</f>
        <v>53325</v>
      </c>
      <c r="G39" s="11">
        <f>IF(G$3=0,"",SUMIFS(INDEX(Inputs!$D$4:$AG$150,0,MATCH(G$2,Inputs!$D$2:$AG$2,0)),Inputs!$B$4:$B$150,$B39)/1000)</f>
        <v>55056</v>
      </c>
      <c r="H39" s="12">
        <f>IF(G39="","",G39)</f>
        <v>55056</v>
      </c>
      <c r="I39" s="11">
        <f>IF(I$3=0,"",SUMIFS(INDEX(Inputs!$D$4:$AG$150,0,MATCH(I$2,Inputs!$D$2:$AG$2,0)),Inputs!$B$4:$B$150,$B39)/1000)</f>
        <v>52432</v>
      </c>
      <c r="J39" s="11">
        <f>IF(J$3=0,"",SUMIFS(INDEX(Inputs!$D$4:$AG$150,0,MATCH(J$2,Inputs!$D$2:$AG$2,0)),Inputs!$B$4:$B$150,$B39)/1000)</f>
        <v>53629</v>
      </c>
      <c r="K39" s="11">
        <f>IF(K$3=0,"",SUMIFS(INDEX(Inputs!$D$4:$AG$150,0,MATCH(K$2,Inputs!$D$2:$AG$2,0)),Inputs!$B$4:$B$150,$B39)/1000)</f>
        <v>49142</v>
      </c>
      <c r="L39" s="11">
        <f>IF(L$3=0,"",SUMIFS(INDEX(Inputs!$D$4:$AG$150,0,MATCH(L$2,Inputs!$D$2:$AG$2,0)),Inputs!$B$4:$B$150,$B39)/1000)</f>
        <v>53107</v>
      </c>
      <c r="M39" s="12">
        <f>IF(L39="","",L39)</f>
        <v>53107</v>
      </c>
      <c r="N39" s="11">
        <f>IF(N$3=0,"",SUMIFS(INDEX(Inputs!$D$4:$AG$150,0,MATCH(N$2,Inputs!$D$2:$AG$2,0)),Inputs!$B$4:$B$150,$B39)/1000)</f>
        <v>52886</v>
      </c>
      <c r="O39" s="11">
        <f>IF(O$3=0,"",SUMIFS(INDEX(Inputs!$D$4:$AG$150,0,MATCH(O$2,Inputs!$D$2:$AG$2,0)),Inputs!$B$4:$B$150,$B39)/1000)</f>
        <v>51730</v>
      </c>
      <c r="P39" s="11">
        <f>IF(P$3=0,"",SUMIFS(INDEX(Inputs!$D$4:$AG$150,0,MATCH(P$2,Inputs!$D$2:$AG$2,0)),Inputs!$B$4:$B$150,$B39)/1000)</f>
        <v>49848</v>
      </c>
      <c r="Q39" s="11">
        <f>IF(Q$3=0,"",SUMIFS(INDEX(Inputs!$D$4:$AG$150,0,MATCH(Q$2,Inputs!$D$2:$AG$2,0)),Inputs!$B$4:$B$150,$B39)/1000)</f>
        <v>50353</v>
      </c>
      <c r="R39" s="12">
        <f>IF(Q39="","",Q39)</f>
        <v>50353</v>
      </c>
      <c r="S39" s="11">
        <f>IF(S$3=0,"",SUMIFS(INDEX(Inputs!$D$4:$AG$150,0,MATCH(S$2,Inputs!$D$2:$AG$2,0)),Inputs!$B$4:$B$150,$B39)/1000)</f>
        <v>47564</v>
      </c>
      <c r="T39" s="11">
        <f>IF(T$3=0,"",SUMIFS(INDEX(Inputs!$D$4:$AG$150,0,MATCH(T$2,Inputs!$D$2:$AG$2,0)),Inputs!$B$4:$B$150,$B39)/1000)</f>
        <v>47084</v>
      </c>
      <c r="U39" s="11">
        <f>IF(U$3=0,"",SUMIFS(INDEX(Inputs!$D$4:$AG$150,0,MATCH(U$2,Inputs!$D$2:$AG$2,0)),Inputs!$B$4:$B$150,$B39)/1000)</f>
        <v>45888</v>
      </c>
      <c r="V39" s="11">
        <f>IF(V$3=0,"",SUMIFS(INDEX(Inputs!$D$4:$AG$150,0,MATCH(V$2,Inputs!$D$2:$AG$2,0)),Inputs!$B$4:$B$150,$B39)/1000)</f>
        <v>49006</v>
      </c>
      <c r="W39" s="12">
        <f>IF(V39="","",V39)</f>
        <v>49006</v>
      </c>
      <c r="X39" s="11">
        <f>IF(X$3=0,"",SUMIFS(INDEX(Inputs!$D$4:$AG$150,0,MATCH(X$2,Inputs!$D$2:$AG$2,0)),Inputs!$B$4:$B$150,$B39)/1000)</f>
        <v>41300</v>
      </c>
      <c r="Y39" s="11">
        <f>IF(Y$3=0,"",SUMIFS(INDEX(Inputs!$D$4:$AG$150,0,MATCH(Y$2,Inputs!$D$2:$AG$2,0)),Inputs!$B$4:$B$150,$B39)/1000)</f>
        <v>42115</v>
      </c>
      <c r="Z39" s="11">
        <f>IF(Z$3=0,"",SUMIFS(INDEX(Inputs!$D$4:$AG$150,0,MATCH(Z$2,Inputs!$D$2:$AG$2,0)),Inputs!$B$4:$B$150,$B39)/1000)</f>
        <v>41549</v>
      </c>
      <c r="AA39" s="11">
        <f>IF(AA$3=0,"",SUMIFS(INDEX(Inputs!$D$4:$AG$150,0,MATCH(AA$2,Inputs!$D$2:$AG$2,0)),Inputs!$B$4:$B$150,$B39)/1000)</f>
        <v>52055</v>
      </c>
      <c r="AB39" s="12">
        <f>IF(AA39="","",AA39)</f>
        <v>52055</v>
      </c>
      <c r="AC39" s="11">
        <f>IF(AC$3=0,"",SUMIFS(INDEX(Inputs!$D$4:$AG$150,0,MATCH(AC$2,Inputs!$D$2:$AG$2,0)),Inputs!$B$4:$B$150,$B39)/1000)</f>
        <v>55546</v>
      </c>
      <c r="AD39" s="11">
        <f>IF(AD$3=0,"",SUMIFS(INDEX(Inputs!$D$4:$AG$150,0,MATCH(AD$2,Inputs!$D$2:$AG$2,0)),Inputs!$B$4:$B$150,$B39)/1000)</f>
        <v>55080</v>
      </c>
      <c r="AE39" s="11" t="str">
        <f>IF(AE$3=0,"",SUMIFS(INDEX(Inputs!$D$4:$AG$150,0,MATCH(AE$2,Inputs!$D$2:$AG$2,0)),Inputs!$B$4:$B$150,$B39)/1000)</f>
        <v/>
      </c>
      <c r="AF39" s="11" t="str">
        <f>IF(AF$3=0,"",SUMIFS(INDEX(Inputs!$D$4:$AG$150,0,MATCH(AF$2,Inputs!$D$2:$AG$2,0)),Inputs!$B$4:$B$150,$B39)/1000)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IF(D$3=0,"",SUMIFS(INDEX(Inputs!$D$4:$AG$150,0,MATCH(D$2,Inputs!$D$2:$AG$2,0)),Inputs!$B$4:$B$150,$B41)/1000)</f>
        <v>0</v>
      </c>
      <c r="E41" s="11">
        <f>IF(E$3=0,"",SUMIFS(INDEX(Inputs!$D$4:$AG$150,0,MATCH(E$2,Inputs!$D$2:$AG$2,0)),Inputs!$B$4:$B$150,$B41)/1000)</f>
        <v>0</v>
      </c>
      <c r="F41" s="11">
        <f>IF(F$3=0,"",SUMIFS(INDEX(Inputs!$D$4:$AG$150,0,MATCH(F$2,Inputs!$D$2:$AG$2,0)),Inputs!$B$4:$B$150,$B41)/1000)</f>
        <v>0</v>
      </c>
      <c r="G41" s="11">
        <f>IF(G$3=0,"",SUMIFS(INDEX(Inputs!$D$4:$AG$150,0,MATCH(G$2,Inputs!$D$2:$AG$2,0)),Inputs!$B$4:$B$150,$B41)/1000)</f>
        <v>0</v>
      </c>
      <c r="H41" s="12">
        <f>IF(G41="","",G41)</f>
        <v>0</v>
      </c>
      <c r="I41" s="11">
        <f>IF(I$3=0,"",SUMIFS(INDEX(Inputs!$D$4:$AG$150,0,MATCH(I$2,Inputs!$D$2:$AG$2,0)),Inputs!$B$4:$B$150,$B41)/1000)</f>
        <v>0</v>
      </c>
      <c r="J41" s="11">
        <f>IF(J$3=0,"",SUMIFS(INDEX(Inputs!$D$4:$AG$150,0,MATCH(J$2,Inputs!$D$2:$AG$2,0)),Inputs!$B$4:$B$150,$B41)/1000)</f>
        <v>0</v>
      </c>
      <c r="K41" s="11">
        <f>IF(K$3=0,"",SUMIFS(INDEX(Inputs!$D$4:$AG$150,0,MATCH(K$2,Inputs!$D$2:$AG$2,0)),Inputs!$B$4:$B$150,$B41)/1000)</f>
        <v>0</v>
      </c>
      <c r="L41" s="11">
        <f>IF(L$3=0,"",SUMIFS(INDEX(Inputs!$D$4:$AG$150,0,MATCH(L$2,Inputs!$D$2:$AG$2,0)),Inputs!$B$4:$B$150,$B41)/1000)</f>
        <v>0</v>
      </c>
      <c r="M41" s="12">
        <f>IF(L41="","",L41)</f>
        <v>0</v>
      </c>
      <c r="N41" s="11">
        <f>IF(N$3=0,"",SUMIFS(INDEX(Inputs!$D$4:$AG$150,0,MATCH(N$2,Inputs!$D$2:$AG$2,0)),Inputs!$B$4:$B$150,$B41)/1000)</f>
        <v>0</v>
      </c>
      <c r="O41" s="11">
        <f>IF(O$3=0,"",SUMIFS(INDEX(Inputs!$D$4:$AG$150,0,MATCH(O$2,Inputs!$D$2:$AG$2,0)),Inputs!$B$4:$B$150,$B41)/1000)</f>
        <v>0</v>
      </c>
      <c r="P41" s="11">
        <f>IF(P$3=0,"",SUMIFS(INDEX(Inputs!$D$4:$AG$150,0,MATCH(P$2,Inputs!$D$2:$AG$2,0)),Inputs!$B$4:$B$150,$B41)/1000)</f>
        <v>0</v>
      </c>
      <c r="Q41" s="11">
        <f>IF(Q$3=0,"",SUMIFS(INDEX(Inputs!$D$4:$AG$150,0,MATCH(Q$2,Inputs!$D$2:$AG$2,0)),Inputs!$B$4:$B$150,$B41)/1000)</f>
        <v>0</v>
      </c>
      <c r="R41" s="12">
        <f>IF(Q41="","",Q41)</f>
        <v>0</v>
      </c>
      <c r="S41" s="11">
        <f>IF(S$3=0,"",SUMIFS(INDEX(Inputs!$D$4:$AG$150,0,MATCH(S$2,Inputs!$D$2:$AG$2,0)),Inputs!$B$4:$B$150,$B41)/1000)</f>
        <v>0</v>
      </c>
      <c r="T41" s="11">
        <f>IF(T$3=0,"",SUMIFS(INDEX(Inputs!$D$4:$AG$150,0,MATCH(T$2,Inputs!$D$2:$AG$2,0)),Inputs!$B$4:$B$150,$B41)/1000)</f>
        <v>0</v>
      </c>
      <c r="U41" s="11">
        <f>IF(U$3=0,"",SUMIFS(INDEX(Inputs!$D$4:$AG$150,0,MATCH(U$2,Inputs!$D$2:$AG$2,0)),Inputs!$B$4:$B$150,$B41)/1000)</f>
        <v>0</v>
      </c>
      <c r="V41" s="11">
        <f>IF(V$3=0,"",SUMIFS(INDEX(Inputs!$D$4:$AG$150,0,MATCH(V$2,Inputs!$D$2:$AG$2,0)),Inputs!$B$4:$B$150,$B41)/1000)</f>
        <v>0</v>
      </c>
      <c r="W41" s="12">
        <f>IF(V41="","",V41)</f>
        <v>0</v>
      </c>
      <c r="X41" s="11">
        <f>IF(X$3=0,"",SUMIFS(INDEX(Inputs!$D$4:$AG$150,0,MATCH(X$2,Inputs!$D$2:$AG$2,0)),Inputs!$B$4:$B$150,$B41)/1000)</f>
        <v>0</v>
      </c>
      <c r="Y41" s="11">
        <f>IF(Y$3=0,"",SUMIFS(INDEX(Inputs!$D$4:$AG$150,0,MATCH(Y$2,Inputs!$D$2:$AG$2,0)),Inputs!$B$4:$B$150,$B41)/1000)</f>
        <v>0</v>
      </c>
      <c r="Z41" s="11">
        <f>IF(Z$3=0,"",SUMIFS(INDEX(Inputs!$D$4:$AG$150,0,MATCH(Z$2,Inputs!$D$2:$AG$2,0)),Inputs!$B$4:$B$150,$B41)/1000)</f>
        <v>0</v>
      </c>
      <c r="AA41" s="11">
        <f>IF(AA$3=0,"",SUMIFS(INDEX(Inputs!$D$4:$AG$150,0,MATCH(AA$2,Inputs!$D$2:$AG$2,0)),Inputs!$B$4:$B$150,$B41)/1000)</f>
        <v>0</v>
      </c>
      <c r="AB41" s="12">
        <f>IF(AA41="","",AA41)</f>
        <v>0</v>
      </c>
      <c r="AC41" s="11">
        <f>IF(AC$3=0,"",SUMIFS(INDEX(Inputs!$D$4:$AG$150,0,MATCH(AC$2,Inputs!$D$2:$AG$2,0)),Inputs!$B$4:$B$150,$B41)/1000)</f>
        <v>0</v>
      </c>
      <c r="AD41" s="11">
        <f>IF(AD$3=0,"",SUMIFS(INDEX(Inputs!$D$4:$AG$150,0,MATCH(AD$2,Inputs!$D$2:$AG$2,0)),Inputs!$B$4:$B$150,$B41)/1000)</f>
        <v>0</v>
      </c>
      <c r="AE41" s="11" t="str">
        <f>IF(AE$3=0,"",SUMIFS(INDEX(Inputs!$D$4:$AG$150,0,MATCH(AE$2,Inputs!$D$2:$AG$2,0)),Inputs!$B$4:$B$150,$B41)/1000)</f>
        <v/>
      </c>
      <c r="AF41" s="11" t="str">
        <f>IF(AF$3=0,"",SUMIFS(INDEX(Inputs!$D$4:$AG$150,0,MATCH(AF$2,Inputs!$D$2:$AG$2,0)),Inputs!$B$4:$B$150,$B41)/1000)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IF(D$3=0,"",SUMIFS(INDEX(Inputs!$D$4:$AG$150,0,MATCH(D$2,Inputs!$D$2:$AG$2,0)),Inputs!$B$4:$B$150,$B42)/1000)</f>
        <v>0</v>
      </c>
      <c r="E42" s="11">
        <f>IF(E$3=0,"",SUMIFS(INDEX(Inputs!$D$4:$AG$150,0,MATCH(E$2,Inputs!$D$2:$AG$2,0)),Inputs!$B$4:$B$150,$B42)/1000)</f>
        <v>0</v>
      </c>
      <c r="F42" s="11">
        <f>IF(F$3=0,"",SUMIFS(INDEX(Inputs!$D$4:$AG$150,0,MATCH(F$2,Inputs!$D$2:$AG$2,0)),Inputs!$B$4:$B$150,$B42)/1000)</f>
        <v>0</v>
      </c>
      <c r="G42" s="11">
        <f>IF(G$3=0,"",SUMIFS(INDEX(Inputs!$D$4:$AG$150,0,MATCH(G$2,Inputs!$D$2:$AG$2,0)),Inputs!$B$4:$B$150,$B42)/1000)</f>
        <v>0</v>
      </c>
      <c r="H42" s="12">
        <f>IF(G42="","",G42)</f>
        <v>0</v>
      </c>
      <c r="I42" s="11">
        <f>IF(I$3=0,"",SUMIFS(INDEX(Inputs!$D$4:$AG$150,0,MATCH(I$2,Inputs!$D$2:$AG$2,0)),Inputs!$B$4:$B$150,$B42)/1000)</f>
        <v>0</v>
      </c>
      <c r="J42" s="11">
        <f>IF(J$3=0,"",SUMIFS(INDEX(Inputs!$D$4:$AG$150,0,MATCH(J$2,Inputs!$D$2:$AG$2,0)),Inputs!$B$4:$B$150,$B42)/1000)</f>
        <v>0</v>
      </c>
      <c r="K42" s="11">
        <f>IF(K$3=0,"",SUMIFS(INDEX(Inputs!$D$4:$AG$150,0,MATCH(K$2,Inputs!$D$2:$AG$2,0)),Inputs!$B$4:$B$150,$B42)/1000)</f>
        <v>0</v>
      </c>
      <c r="L42" s="11">
        <f>IF(L$3=0,"",SUMIFS(INDEX(Inputs!$D$4:$AG$150,0,MATCH(L$2,Inputs!$D$2:$AG$2,0)),Inputs!$B$4:$B$150,$B42)/1000)</f>
        <v>0</v>
      </c>
      <c r="M42" s="12">
        <f>IF(L42="","",L42)</f>
        <v>0</v>
      </c>
      <c r="N42" s="11">
        <f>IF(N$3=0,"",SUMIFS(INDEX(Inputs!$D$4:$AG$150,0,MATCH(N$2,Inputs!$D$2:$AG$2,0)),Inputs!$B$4:$B$150,$B42)/1000)</f>
        <v>0</v>
      </c>
      <c r="O42" s="11">
        <f>IF(O$3=0,"",SUMIFS(INDEX(Inputs!$D$4:$AG$150,0,MATCH(O$2,Inputs!$D$2:$AG$2,0)),Inputs!$B$4:$B$150,$B42)/1000)</f>
        <v>0</v>
      </c>
      <c r="P42" s="11">
        <f>IF(P$3=0,"",SUMIFS(INDEX(Inputs!$D$4:$AG$150,0,MATCH(P$2,Inputs!$D$2:$AG$2,0)),Inputs!$B$4:$B$150,$B42)/1000)</f>
        <v>0</v>
      </c>
      <c r="Q42" s="11">
        <f>IF(Q$3=0,"",SUMIFS(INDEX(Inputs!$D$4:$AG$150,0,MATCH(Q$2,Inputs!$D$2:$AG$2,0)),Inputs!$B$4:$B$150,$B42)/1000)</f>
        <v>0</v>
      </c>
      <c r="R42" s="12">
        <f>IF(Q42="","",Q42)</f>
        <v>0</v>
      </c>
      <c r="S42" s="11">
        <f>IF(S$3=0,"",SUMIFS(INDEX(Inputs!$D$4:$AG$150,0,MATCH(S$2,Inputs!$D$2:$AG$2,0)),Inputs!$B$4:$B$150,$B42)/1000)</f>
        <v>0</v>
      </c>
      <c r="T42" s="11">
        <f>IF(T$3=0,"",SUMIFS(INDEX(Inputs!$D$4:$AG$150,0,MATCH(T$2,Inputs!$D$2:$AG$2,0)),Inputs!$B$4:$B$150,$B42)/1000)</f>
        <v>0</v>
      </c>
      <c r="U42" s="11">
        <f>IF(U$3=0,"",SUMIFS(INDEX(Inputs!$D$4:$AG$150,0,MATCH(U$2,Inputs!$D$2:$AG$2,0)),Inputs!$B$4:$B$150,$B42)/1000)</f>
        <v>0</v>
      </c>
      <c r="V42" s="11">
        <f>IF(V$3=0,"",SUMIFS(INDEX(Inputs!$D$4:$AG$150,0,MATCH(V$2,Inputs!$D$2:$AG$2,0)),Inputs!$B$4:$B$150,$B42)/1000)</f>
        <v>0</v>
      </c>
      <c r="W42" s="12">
        <f>IF(V42="","",V42)</f>
        <v>0</v>
      </c>
      <c r="X42" s="11">
        <f>IF(X$3=0,"",SUMIFS(INDEX(Inputs!$D$4:$AG$150,0,MATCH(X$2,Inputs!$D$2:$AG$2,0)),Inputs!$B$4:$B$150,$B42)/1000)</f>
        <v>0</v>
      </c>
      <c r="Y42" s="11">
        <f>IF(Y$3=0,"",SUMIFS(INDEX(Inputs!$D$4:$AG$150,0,MATCH(Y$2,Inputs!$D$2:$AG$2,0)),Inputs!$B$4:$B$150,$B42)/1000)</f>
        <v>0</v>
      </c>
      <c r="Z42" s="11">
        <f>IF(Z$3=0,"",SUMIFS(INDEX(Inputs!$D$4:$AG$150,0,MATCH(Z$2,Inputs!$D$2:$AG$2,0)),Inputs!$B$4:$B$150,$B42)/1000)</f>
        <v>0</v>
      </c>
      <c r="AA42" s="11">
        <f>IF(AA$3=0,"",SUMIFS(INDEX(Inputs!$D$4:$AG$150,0,MATCH(AA$2,Inputs!$D$2:$AG$2,0)),Inputs!$B$4:$B$150,$B42)/1000)</f>
        <v>0</v>
      </c>
      <c r="AB42" s="12">
        <f>IF(AA42="","",AA42)</f>
        <v>0</v>
      </c>
      <c r="AC42" s="11">
        <f>IF(AC$3=0,"",SUMIFS(INDEX(Inputs!$D$4:$AG$150,0,MATCH(AC$2,Inputs!$D$2:$AG$2,0)),Inputs!$B$4:$B$150,$B42)/1000)</f>
        <v>0</v>
      </c>
      <c r="AD42" s="11">
        <f>IF(AD$3=0,"",SUMIFS(INDEX(Inputs!$D$4:$AG$150,0,MATCH(AD$2,Inputs!$D$2:$AG$2,0)),Inputs!$B$4:$B$150,$B42)/1000)</f>
        <v>0</v>
      </c>
      <c r="AE42" s="11" t="str">
        <f>IF(AE$3=0,"",SUMIFS(INDEX(Inputs!$D$4:$AG$150,0,MATCH(AE$2,Inputs!$D$2:$AG$2,0)),Inputs!$B$4:$B$150,$B42)/1000)</f>
        <v/>
      </c>
      <c r="AF42" s="11" t="str">
        <f>IF(AF$3=0,"",SUMIFS(INDEX(Inputs!$D$4:$AG$150,0,MATCH(AF$2,Inputs!$D$2:$AG$2,0)),Inputs!$B$4:$B$150,$B42)/1000)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IF(D$3=0,"",SUMIFS(INDEX(Inputs!$D$4:$AG$150,0,MATCH(D$2,Inputs!$D$2:$AG$2,0)),Inputs!$B$4:$B$150,$B43)/1000)</f>
        <v>54203</v>
      </c>
      <c r="E43" s="11">
        <f>IF(E$3=0,"",SUMIFS(INDEX(Inputs!$D$4:$AG$150,0,MATCH(E$2,Inputs!$D$2:$AG$2,0)),Inputs!$B$4:$B$150,$B43)/1000)</f>
        <v>54989</v>
      </c>
      <c r="F43" s="11">
        <f>IF(F$3=0,"",SUMIFS(INDEX(Inputs!$D$4:$AG$150,0,MATCH(F$2,Inputs!$D$2:$AG$2,0)),Inputs!$B$4:$B$150,$B43)/1000)</f>
        <v>57365</v>
      </c>
      <c r="G43" s="11">
        <f>IF(G$3=0,"",SUMIFS(INDEX(Inputs!$D$4:$AG$150,0,MATCH(G$2,Inputs!$D$2:$AG$2,0)),Inputs!$B$4:$B$150,$B43)/1000)</f>
        <v>58424</v>
      </c>
      <c r="H43" s="12">
        <f>IF(G43="","",G43)</f>
        <v>58424</v>
      </c>
      <c r="I43" s="11">
        <f>IF(I$3=0,"",SUMIFS(INDEX(Inputs!$D$4:$AG$150,0,MATCH(I$2,Inputs!$D$2:$AG$2,0)),Inputs!$B$4:$B$150,$B43)/1000)</f>
        <v>61181</v>
      </c>
      <c r="J43" s="11">
        <f>IF(J$3=0,"",SUMIFS(INDEX(Inputs!$D$4:$AG$150,0,MATCH(J$2,Inputs!$D$2:$AG$2,0)),Inputs!$B$4:$B$150,$B43)/1000)</f>
        <v>62115</v>
      </c>
      <c r="K43" s="11">
        <f>IF(K$3=0,"",SUMIFS(INDEX(Inputs!$D$4:$AG$150,0,MATCH(K$2,Inputs!$D$2:$AG$2,0)),Inputs!$B$4:$B$150,$B43)/1000)</f>
        <v>64849</v>
      </c>
      <c r="L43" s="11">
        <f>IF(L$3=0,"",SUMIFS(INDEX(Inputs!$D$4:$AG$150,0,MATCH(L$2,Inputs!$D$2:$AG$2,0)),Inputs!$B$4:$B$150,$B43)/1000)</f>
        <v>66399</v>
      </c>
      <c r="M43" s="12">
        <f>IF(L43="","",L43)</f>
        <v>66399</v>
      </c>
      <c r="N43" s="11">
        <f>IF(N$3=0,"",SUMIFS(INDEX(Inputs!$D$4:$AG$150,0,MATCH(N$2,Inputs!$D$2:$AG$2,0)),Inputs!$B$4:$B$150,$B43)/1000)</f>
        <v>69568</v>
      </c>
      <c r="O43" s="11">
        <f>IF(O$3=0,"",SUMIFS(INDEX(Inputs!$D$4:$AG$150,0,MATCH(O$2,Inputs!$D$2:$AG$2,0)),Inputs!$B$4:$B$150,$B43)/1000)</f>
        <v>70667</v>
      </c>
      <c r="P43" s="11">
        <f>IF(P$3=0,"",SUMIFS(INDEX(Inputs!$D$4:$AG$150,0,MATCH(P$2,Inputs!$D$2:$AG$2,0)),Inputs!$B$4:$B$150,$B43)/1000)</f>
        <v>73812</v>
      </c>
      <c r="Q43" s="11">
        <f>IF(Q$3=0,"",SUMIFS(INDEX(Inputs!$D$4:$AG$150,0,MATCH(Q$2,Inputs!$D$2:$AG$2,0)),Inputs!$B$4:$B$150,$B43)/1000)</f>
        <v>75236</v>
      </c>
      <c r="R43" s="12">
        <f>IF(Q43="","",Q43)</f>
        <v>75236</v>
      </c>
      <c r="S43" s="11">
        <f>IF(S$3=0,"",SUMIFS(INDEX(Inputs!$D$4:$AG$150,0,MATCH(S$2,Inputs!$D$2:$AG$2,0)),Inputs!$B$4:$B$150,$B43)/1000)</f>
        <v>78815</v>
      </c>
      <c r="T43" s="11">
        <f>IF(T$3=0,"",SUMIFS(INDEX(Inputs!$D$4:$AG$150,0,MATCH(T$2,Inputs!$D$2:$AG$2,0)),Inputs!$B$4:$B$150,$B43)/1000)</f>
        <v>79850</v>
      </c>
      <c r="U43" s="11">
        <f>IF(U$3=0,"",SUMIFS(INDEX(Inputs!$D$4:$AG$150,0,MATCH(U$2,Inputs!$D$2:$AG$2,0)),Inputs!$B$4:$B$150,$B43)/1000)</f>
        <v>83276</v>
      </c>
      <c r="V43" s="11">
        <f>IF(V$3=0,"",SUMIFS(INDEX(Inputs!$D$4:$AG$150,0,MATCH(V$2,Inputs!$D$2:$AG$2,0)),Inputs!$B$4:$B$150,$B43)/1000)</f>
        <v>84768</v>
      </c>
      <c r="W43" s="12">
        <f>IF(V43="","",V43)</f>
        <v>84768</v>
      </c>
      <c r="X43" s="11">
        <f>IF(X$3=0,"",SUMIFS(INDEX(Inputs!$D$4:$AG$150,0,MATCH(X$2,Inputs!$D$2:$AG$2,0)),Inputs!$B$4:$B$150,$B43)/1000)</f>
        <v>88711</v>
      </c>
      <c r="Y43" s="11">
        <f>IF(Y$3=0,"",SUMIFS(INDEX(Inputs!$D$4:$AG$150,0,MATCH(Y$2,Inputs!$D$2:$AG$2,0)),Inputs!$B$4:$B$150,$B43)/1000)</f>
        <v>89806</v>
      </c>
      <c r="Z43" s="11">
        <f>IF(Z$3=0,"",SUMIFS(INDEX(Inputs!$D$4:$AG$150,0,MATCH(Z$2,Inputs!$D$2:$AG$2,0)),Inputs!$B$4:$B$150,$B43)/1000)</f>
        <v>93568</v>
      </c>
      <c r="AA43" s="11">
        <f>IF(AA$3=0,"",SUMIFS(INDEX(Inputs!$D$4:$AG$150,0,MATCH(AA$2,Inputs!$D$2:$AG$2,0)),Inputs!$B$4:$B$150,$B43)/1000)</f>
        <v>95221</v>
      </c>
      <c r="AB43" s="12">
        <f>IF(AA43="","",AA43)</f>
        <v>95221</v>
      </c>
      <c r="AC43" s="11">
        <f>IF(AC$3=0,"",SUMIFS(INDEX(Inputs!$D$4:$AG$150,0,MATCH(AC$2,Inputs!$D$2:$AG$2,0)),Inputs!$B$4:$B$150,$B43)/1000)</f>
        <v>99507</v>
      </c>
      <c r="AD43" s="11">
        <f>IF(AD$3=0,"",SUMIFS(INDEX(Inputs!$D$4:$AG$150,0,MATCH(AD$2,Inputs!$D$2:$AG$2,0)),Inputs!$B$4:$B$150,$B43)/1000)</f>
        <v>100702</v>
      </c>
      <c r="AE43" s="11" t="str">
        <f>IF(AE$3=0,"",SUMIFS(INDEX(Inputs!$D$4:$AG$150,0,MATCH(AE$2,Inputs!$D$2:$AG$2,0)),Inputs!$B$4:$B$150,$B43)/1000)</f>
        <v/>
      </c>
      <c r="AF43" s="11" t="str">
        <f>IF(AF$3=0,"",SUMIFS(INDEX(Inputs!$D$4:$AG$150,0,MATCH(AF$2,Inputs!$D$2:$AG$2,0)),Inputs!$B$4:$B$150,$B43)/1000)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IF(D$3=0,"",SUMIFS(INDEX(Inputs!$D$4:$AG$150,0,MATCH(D$2,Inputs!$D$2:$AG$2,0)),Inputs!$B$4:$B$150,$B44)/1000)</f>
        <v>0</v>
      </c>
      <c r="E44" s="11">
        <f>IF(E$3=0,"",SUMIFS(INDEX(Inputs!$D$4:$AG$150,0,MATCH(E$2,Inputs!$D$2:$AG$2,0)),Inputs!$B$4:$B$150,$B44)/1000)</f>
        <v>0</v>
      </c>
      <c r="F44" s="11">
        <f>IF(F$3=0,"",SUMIFS(INDEX(Inputs!$D$4:$AG$150,0,MATCH(F$2,Inputs!$D$2:$AG$2,0)),Inputs!$B$4:$B$150,$B44)/1000)</f>
        <v>0</v>
      </c>
      <c r="G44" s="11">
        <f>IF(G$3=0,"",SUMIFS(INDEX(Inputs!$D$4:$AG$150,0,MATCH(G$2,Inputs!$D$2:$AG$2,0)),Inputs!$B$4:$B$150,$B44)/1000)</f>
        <v>0</v>
      </c>
      <c r="H44" s="12">
        <f>IF(G44="","",G44)</f>
        <v>0</v>
      </c>
      <c r="I44" s="11">
        <f>IF(I$3=0,"",SUMIFS(INDEX(Inputs!$D$4:$AG$150,0,MATCH(I$2,Inputs!$D$2:$AG$2,0)),Inputs!$B$4:$B$150,$B44)/1000)</f>
        <v>0</v>
      </c>
      <c r="J44" s="11">
        <f>IF(J$3=0,"",SUMIFS(INDEX(Inputs!$D$4:$AG$150,0,MATCH(J$2,Inputs!$D$2:$AG$2,0)),Inputs!$B$4:$B$150,$B44)/1000)</f>
        <v>0</v>
      </c>
      <c r="K44" s="11">
        <f>IF(K$3=0,"",SUMIFS(INDEX(Inputs!$D$4:$AG$150,0,MATCH(K$2,Inputs!$D$2:$AG$2,0)),Inputs!$B$4:$B$150,$B44)/1000)</f>
        <v>0</v>
      </c>
      <c r="L44" s="11">
        <f>IF(L$3=0,"",SUMIFS(INDEX(Inputs!$D$4:$AG$150,0,MATCH(L$2,Inputs!$D$2:$AG$2,0)),Inputs!$B$4:$B$150,$B44)/1000)</f>
        <v>0</v>
      </c>
      <c r="M44" s="12">
        <f>IF(L44="","",L44)</f>
        <v>0</v>
      </c>
      <c r="N44" s="11">
        <f>IF(N$3=0,"",SUMIFS(INDEX(Inputs!$D$4:$AG$150,0,MATCH(N$2,Inputs!$D$2:$AG$2,0)),Inputs!$B$4:$B$150,$B44)/1000)</f>
        <v>0</v>
      </c>
      <c r="O44" s="11">
        <f>IF(O$3=0,"",SUMIFS(INDEX(Inputs!$D$4:$AG$150,0,MATCH(O$2,Inputs!$D$2:$AG$2,0)),Inputs!$B$4:$B$150,$B44)/1000)</f>
        <v>0</v>
      </c>
      <c r="P44" s="11">
        <f>IF(P$3=0,"",SUMIFS(INDEX(Inputs!$D$4:$AG$150,0,MATCH(P$2,Inputs!$D$2:$AG$2,0)),Inputs!$B$4:$B$150,$B44)/1000)</f>
        <v>0</v>
      </c>
      <c r="Q44" s="11">
        <f>IF(Q$3=0,"",SUMIFS(INDEX(Inputs!$D$4:$AG$150,0,MATCH(Q$2,Inputs!$D$2:$AG$2,0)),Inputs!$B$4:$B$150,$B44)/1000)</f>
        <v>0</v>
      </c>
      <c r="R44" s="12">
        <f>IF(Q44="","",Q44)</f>
        <v>0</v>
      </c>
      <c r="S44" s="11">
        <f>IF(S$3=0,"",SUMIFS(INDEX(Inputs!$D$4:$AG$150,0,MATCH(S$2,Inputs!$D$2:$AG$2,0)),Inputs!$B$4:$B$150,$B44)/1000)</f>
        <v>0</v>
      </c>
      <c r="T44" s="11">
        <f>IF(T$3=0,"",SUMIFS(INDEX(Inputs!$D$4:$AG$150,0,MATCH(T$2,Inputs!$D$2:$AG$2,0)),Inputs!$B$4:$B$150,$B44)/1000)</f>
        <v>0</v>
      </c>
      <c r="U44" s="11">
        <f>IF(U$3=0,"",SUMIFS(INDEX(Inputs!$D$4:$AG$150,0,MATCH(U$2,Inputs!$D$2:$AG$2,0)),Inputs!$B$4:$B$150,$B44)/1000)</f>
        <v>0</v>
      </c>
      <c r="V44" s="11">
        <f>IF(V$3=0,"",SUMIFS(INDEX(Inputs!$D$4:$AG$150,0,MATCH(V$2,Inputs!$D$2:$AG$2,0)),Inputs!$B$4:$B$150,$B44)/1000)</f>
        <v>0</v>
      </c>
      <c r="W44" s="12">
        <f>IF(V44="","",V44)</f>
        <v>0</v>
      </c>
      <c r="X44" s="11">
        <f>IF(X$3=0,"",SUMIFS(INDEX(Inputs!$D$4:$AG$150,0,MATCH(X$2,Inputs!$D$2:$AG$2,0)),Inputs!$B$4:$B$150,$B44)/1000)</f>
        <v>0</v>
      </c>
      <c r="Y44" s="11">
        <f>IF(Y$3=0,"",SUMIFS(INDEX(Inputs!$D$4:$AG$150,0,MATCH(Y$2,Inputs!$D$2:$AG$2,0)),Inputs!$B$4:$B$150,$B44)/1000)</f>
        <v>0</v>
      </c>
      <c r="Z44" s="11">
        <f>IF(Z$3=0,"",SUMIFS(INDEX(Inputs!$D$4:$AG$150,0,MATCH(Z$2,Inputs!$D$2:$AG$2,0)),Inputs!$B$4:$B$150,$B44)/1000)</f>
        <v>0</v>
      </c>
      <c r="AA44" s="11">
        <f>IF(AA$3=0,"",SUMIFS(INDEX(Inputs!$D$4:$AG$150,0,MATCH(AA$2,Inputs!$D$2:$AG$2,0)),Inputs!$B$4:$B$150,$B44)/1000)</f>
        <v>0</v>
      </c>
      <c r="AB44" s="12">
        <f>IF(AA44="","",AA44)</f>
        <v>0</v>
      </c>
      <c r="AC44" s="11">
        <f>IF(AC$3=0,"",SUMIFS(INDEX(Inputs!$D$4:$AG$150,0,MATCH(AC$2,Inputs!$D$2:$AG$2,0)),Inputs!$B$4:$B$150,$B44)/1000)</f>
        <v>0</v>
      </c>
      <c r="AD44" s="11">
        <f>IF(AD$3=0,"",SUMIFS(INDEX(Inputs!$D$4:$AG$150,0,MATCH(AD$2,Inputs!$D$2:$AG$2,0)),Inputs!$B$4:$B$150,$B44)/1000)</f>
        <v>0</v>
      </c>
      <c r="AE44" s="11" t="str">
        <f>IF(AE$3=0,"",SUMIFS(INDEX(Inputs!$D$4:$AG$150,0,MATCH(AE$2,Inputs!$D$2:$AG$2,0)),Inputs!$B$4:$B$150,$B44)/1000)</f>
        <v/>
      </c>
      <c r="AF44" s="11" t="str">
        <f>IF(AF$3=0,"",SUMIFS(INDEX(Inputs!$D$4:$AG$150,0,MATCH(AF$2,Inputs!$D$2:$AG$2,0)),Inputs!$B$4:$B$150,$B44)/1000)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IF(D$3=0,"",SUMIFS(INDEX(Inputs!$D$4:$AG$150,0,MATCH(D$2,Inputs!$D$2:$AG$2,0)),Inputs!$B$4:$B$150,$B45)/1000)</f>
        <v>-286</v>
      </c>
      <c r="E45" s="11">
        <f>IF(E$3=0,"",SUMIFS(INDEX(Inputs!$D$4:$AG$150,0,MATCH(E$2,Inputs!$D$2:$AG$2,0)),Inputs!$B$4:$B$150,$B45)/1000)</f>
        <v>58</v>
      </c>
      <c r="F45" s="11">
        <f>IF(F$3=0,"",SUMIFS(INDEX(Inputs!$D$4:$AG$150,0,MATCH(F$2,Inputs!$D$2:$AG$2,0)),Inputs!$B$4:$B$150,$B45)/1000)</f>
        <v>163</v>
      </c>
      <c r="G45" s="11">
        <f>IF(G$3=0,"",SUMIFS(INDEX(Inputs!$D$4:$AG$150,0,MATCH(G$2,Inputs!$D$2:$AG$2,0)),Inputs!$B$4:$B$150,$B45)/1000)</f>
        <v>-927</v>
      </c>
      <c r="H45" s="12">
        <f>IF(G45="","",G45)</f>
        <v>-927</v>
      </c>
      <c r="I45" s="11">
        <f>IF(I$3=0,"",SUMIFS(INDEX(Inputs!$D$4:$AG$150,0,MATCH(I$2,Inputs!$D$2:$AG$2,0)),Inputs!$B$4:$B$150,$B45)/1000)</f>
        <v>-6494</v>
      </c>
      <c r="J45" s="11">
        <f>IF(J$3=0,"",SUMIFS(INDEX(Inputs!$D$4:$AG$150,0,MATCH(J$2,Inputs!$D$2:$AG$2,0)),Inputs!$B$4:$B$150,$B45)/1000)</f>
        <v>-9297</v>
      </c>
      <c r="K45" s="11">
        <f>IF(K$3=0,"",SUMIFS(INDEX(Inputs!$D$4:$AG$150,0,MATCH(K$2,Inputs!$D$2:$AG$2,0)),Inputs!$B$4:$B$150,$B45)/1000)</f>
        <v>-11109</v>
      </c>
      <c r="L45" s="11">
        <f>IF(L$3=0,"",SUMIFS(INDEX(Inputs!$D$4:$AG$150,0,MATCH(L$2,Inputs!$D$2:$AG$2,0)),Inputs!$B$4:$B$150,$B45)/1000)</f>
        <v>-12912</v>
      </c>
      <c r="M45" s="12">
        <f>IF(L45="","",L45)</f>
        <v>-12912</v>
      </c>
      <c r="N45" s="11">
        <f>IF(N$3=0,"",SUMIFS(INDEX(Inputs!$D$4:$AG$150,0,MATCH(N$2,Inputs!$D$2:$AG$2,0)),Inputs!$B$4:$B$150,$B45)/1000)</f>
        <v>-11746</v>
      </c>
      <c r="O45" s="11">
        <f>IF(O$3=0,"",SUMIFS(INDEX(Inputs!$D$4:$AG$150,0,MATCH(O$2,Inputs!$D$2:$AG$2,0)),Inputs!$B$4:$B$150,$B45)/1000)</f>
        <v>-11801</v>
      </c>
      <c r="P45" s="11">
        <f>IF(P$3=0,"",SUMIFS(INDEX(Inputs!$D$4:$AG$150,0,MATCH(P$2,Inputs!$D$2:$AG$2,0)),Inputs!$B$4:$B$150,$B45)/1000)</f>
        <v>-11452</v>
      </c>
      <c r="Q45" s="11">
        <f>IF(Q$3=0,"",SUMIFS(INDEX(Inputs!$D$4:$AG$150,0,MATCH(Q$2,Inputs!$D$2:$AG$2,0)),Inputs!$B$4:$B$150,$B45)/1000)</f>
        <v>-9378</v>
      </c>
      <c r="R45" s="12">
        <f>IF(Q45="","",Q45)</f>
        <v>-9378</v>
      </c>
      <c r="S45" s="11">
        <f>IF(S$3=0,"",SUMIFS(INDEX(Inputs!$D$4:$AG$150,0,MATCH(S$2,Inputs!$D$2:$AG$2,0)),Inputs!$B$4:$B$150,$B45)/1000)</f>
        <v>-8960</v>
      </c>
      <c r="T45" s="11">
        <f>IF(T$3=0,"",SUMIFS(INDEX(Inputs!$D$4:$AG$150,0,MATCH(T$2,Inputs!$D$2:$AG$2,0)),Inputs!$B$4:$B$150,$B45)/1000)</f>
        <v>-8416</v>
      </c>
      <c r="U45" s="11">
        <f>IF(U$3=0,"",SUMIFS(INDEX(Inputs!$D$4:$AG$150,0,MATCH(U$2,Inputs!$D$2:$AG$2,0)),Inputs!$B$4:$B$150,$B45)/1000)</f>
        <v>-7172</v>
      </c>
      <c r="V45" s="11">
        <f>IF(V$3=0,"",SUMIFS(INDEX(Inputs!$D$4:$AG$150,0,MATCH(V$2,Inputs!$D$2:$AG$2,0)),Inputs!$B$4:$B$150,$B45)/1000)</f>
        <v>-6789</v>
      </c>
      <c r="W45" s="12">
        <f>IF(V45="","",V45)</f>
        <v>-6789</v>
      </c>
      <c r="X45" s="11">
        <f>IF(X$3=0,"",SUMIFS(INDEX(Inputs!$D$4:$AG$150,0,MATCH(X$2,Inputs!$D$2:$AG$2,0)),Inputs!$B$4:$B$150,$B45)/1000)</f>
        <v>-6363</v>
      </c>
      <c r="Y45" s="11">
        <f>IF(Y$3=0,"",SUMIFS(INDEX(Inputs!$D$4:$AG$150,0,MATCH(Y$2,Inputs!$D$2:$AG$2,0)),Inputs!$B$4:$B$150,$B45)/1000)</f>
        <v>-6369</v>
      </c>
      <c r="Z45" s="11">
        <f>IF(Z$3=0,"",SUMIFS(INDEX(Inputs!$D$4:$AG$150,0,MATCH(Z$2,Inputs!$D$2:$AG$2,0)),Inputs!$B$4:$B$150,$B45)/1000)</f>
        <v>-5571</v>
      </c>
      <c r="AA45" s="11">
        <f>IF(AA$3=0,"",SUMIFS(INDEX(Inputs!$D$4:$AG$150,0,MATCH(AA$2,Inputs!$D$2:$AG$2,0)),Inputs!$B$4:$B$150,$B45)/1000)</f>
        <v>-4854</v>
      </c>
      <c r="AB45" s="12">
        <f>IF(AA45="","",AA45)</f>
        <v>-4854</v>
      </c>
      <c r="AC45" s="11">
        <f>IF(AC$3=0,"",SUMIFS(INDEX(Inputs!$D$4:$AG$150,0,MATCH(AC$2,Inputs!$D$2:$AG$2,0)),Inputs!$B$4:$B$150,$B45)/1000)</f>
        <v>-5375</v>
      </c>
      <c r="AD45" s="11">
        <f>IF(AD$3=0,"",SUMIFS(INDEX(Inputs!$D$4:$AG$150,0,MATCH(AD$2,Inputs!$D$2:$AG$2,0)),Inputs!$B$4:$B$150,$B45)/1000)</f>
        <v>-4508</v>
      </c>
      <c r="AE45" s="11" t="str">
        <f>IF(AE$3=0,"",SUMIFS(INDEX(Inputs!$D$4:$AG$150,0,MATCH(AE$2,Inputs!$D$2:$AG$2,0)),Inputs!$B$4:$B$150,$B45)/1000)</f>
        <v/>
      </c>
      <c r="AF45" s="11" t="str">
        <f>IF(AF$3=0,"",SUMIFS(INDEX(Inputs!$D$4:$AG$150,0,MATCH(AF$2,Inputs!$D$2:$AG$2,0)),Inputs!$B$4:$B$150,$B45)/1000)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IF(D$3=0,"",SUMIFS(INDEX(Inputs!$D$4:$AG$150,0,MATCH(D$2,Inputs!$D$2:$AG$2,0)),Inputs!$B$4:$B$150,$B46)/1000)</f>
        <v>0</v>
      </c>
      <c r="E46" s="11">
        <f>IF(E$3=0,"",SUMIFS(INDEX(Inputs!$D$4:$AG$150,0,MATCH(E$2,Inputs!$D$2:$AG$2,0)),Inputs!$B$4:$B$150,$B46)/1000)</f>
        <v>0</v>
      </c>
      <c r="F46" s="11">
        <f>IF(F$3=0,"",SUMIFS(INDEX(Inputs!$D$4:$AG$150,0,MATCH(F$2,Inputs!$D$2:$AG$2,0)),Inputs!$B$4:$B$150,$B46)/1000)</f>
        <v>0</v>
      </c>
      <c r="G46" s="11">
        <f>IF(G$3=0,"",SUMIFS(INDEX(Inputs!$D$4:$AG$150,0,MATCH(G$2,Inputs!$D$2:$AG$2,0)),Inputs!$B$4:$B$150,$B46)/1000)</f>
        <v>0</v>
      </c>
      <c r="H46" s="12">
        <f>IF(G46="","",G46)</f>
        <v>0</v>
      </c>
      <c r="I46" s="11">
        <f>IF(I$3=0,"",SUMIFS(INDEX(Inputs!$D$4:$AG$150,0,MATCH(I$2,Inputs!$D$2:$AG$2,0)),Inputs!$B$4:$B$150,$B46)/1000)</f>
        <v>0</v>
      </c>
      <c r="J46" s="11">
        <f>IF(J$3=0,"",SUMIFS(INDEX(Inputs!$D$4:$AG$150,0,MATCH(J$2,Inputs!$D$2:$AG$2,0)),Inputs!$B$4:$B$150,$B46)/1000)</f>
        <v>0</v>
      </c>
      <c r="K46" s="11">
        <f>IF(K$3=0,"",SUMIFS(INDEX(Inputs!$D$4:$AG$150,0,MATCH(K$2,Inputs!$D$2:$AG$2,0)),Inputs!$B$4:$B$150,$B46)/1000)</f>
        <v>0</v>
      </c>
      <c r="L46" s="11">
        <f>IF(L$3=0,"",SUMIFS(INDEX(Inputs!$D$4:$AG$150,0,MATCH(L$2,Inputs!$D$2:$AG$2,0)),Inputs!$B$4:$B$150,$B46)/1000)</f>
        <v>0</v>
      </c>
      <c r="M46" s="12">
        <f>IF(L46="","",L46)</f>
        <v>0</v>
      </c>
      <c r="N46" s="11">
        <f>IF(N$3=0,"",SUMIFS(INDEX(Inputs!$D$4:$AG$150,0,MATCH(N$2,Inputs!$D$2:$AG$2,0)),Inputs!$B$4:$B$150,$B46)/1000)</f>
        <v>0</v>
      </c>
      <c r="O46" s="11">
        <f>IF(O$3=0,"",SUMIFS(INDEX(Inputs!$D$4:$AG$150,0,MATCH(O$2,Inputs!$D$2:$AG$2,0)),Inputs!$B$4:$B$150,$B46)/1000)</f>
        <v>0</v>
      </c>
      <c r="P46" s="11">
        <f>IF(P$3=0,"",SUMIFS(INDEX(Inputs!$D$4:$AG$150,0,MATCH(P$2,Inputs!$D$2:$AG$2,0)),Inputs!$B$4:$B$150,$B46)/1000)</f>
        <v>0</v>
      </c>
      <c r="Q46" s="11">
        <f>IF(Q$3=0,"",SUMIFS(INDEX(Inputs!$D$4:$AG$150,0,MATCH(Q$2,Inputs!$D$2:$AG$2,0)),Inputs!$B$4:$B$150,$B46)/1000)</f>
        <v>0</v>
      </c>
      <c r="R46" s="12">
        <f>IF(Q46="","",Q46)</f>
        <v>0</v>
      </c>
      <c r="S46" s="11">
        <f>IF(S$3=0,"",SUMIFS(INDEX(Inputs!$D$4:$AG$150,0,MATCH(S$2,Inputs!$D$2:$AG$2,0)),Inputs!$B$4:$B$150,$B46)/1000)</f>
        <v>0</v>
      </c>
      <c r="T46" s="11">
        <f>IF(T$3=0,"",SUMIFS(INDEX(Inputs!$D$4:$AG$150,0,MATCH(T$2,Inputs!$D$2:$AG$2,0)),Inputs!$B$4:$B$150,$B46)/1000)</f>
        <v>0</v>
      </c>
      <c r="U46" s="11">
        <f>IF(U$3=0,"",SUMIFS(INDEX(Inputs!$D$4:$AG$150,0,MATCH(U$2,Inputs!$D$2:$AG$2,0)),Inputs!$B$4:$B$150,$B46)/1000)</f>
        <v>0</v>
      </c>
      <c r="V46" s="11">
        <f>IF(V$3=0,"",SUMIFS(INDEX(Inputs!$D$4:$AG$150,0,MATCH(V$2,Inputs!$D$2:$AG$2,0)),Inputs!$B$4:$B$150,$B46)/1000)</f>
        <v>0</v>
      </c>
      <c r="W46" s="12">
        <f>IF(V46="","",V46)</f>
        <v>0</v>
      </c>
      <c r="X46" s="11">
        <f>IF(X$3=0,"",SUMIFS(INDEX(Inputs!$D$4:$AG$150,0,MATCH(X$2,Inputs!$D$2:$AG$2,0)),Inputs!$B$4:$B$150,$B46)/1000)</f>
        <v>0</v>
      </c>
      <c r="Y46" s="11">
        <f>IF(Y$3=0,"",SUMIFS(INDEX(Inputs!$D$4:$AG$150,0,MATCH(Y$2,Inputs!$D$2:$AG$2,0)),Inputs!$B$4:$B$150,$B46)/1000)</f>
        <v>0</v>
      </c>
      <c r="Z46" s="11">
        <f>IF(Z$3=0,"",SUMIFS(INDEX(Inputs!$D$4:$AG$150,0,MATCH(Z$2,Inputs!$D$2:$AG$2,0)),Inputs!$B$4:$B$150,$B46)/1000)</f>
        <v>0</v>
      </c>
      <c r="AA46" s="11">
        <f>IF(AA$3=0,"",SUMIFS(INDEX(Inputs!$D$4:$AG$150,0,MATCH(AA$2,Inputs!$D$2:$AG$2,0)),Inputs!$B$4:$B$150,$B46)/1000)</f>
        <v>0</v>
      </c>
      <c r="AB46" s="12">
        <f>IF(AA46="","",AA46)</f>
        <v>0</v>
      </c>
      <c r="AC46" s="11">
        <f>IF(AC$3=0,"",SUMIFS(INDEX(Inputs!$D$4:$AG$150,0,MATCH(AC$2,Inputs!$D$2:$AG$2,0)),Inputs!$B$4:$B$150,$B46)/1000)</f>
        <v>0</v>
      </c>
      <c r="AD46" s="11">
        <f>IF(AD$3=0,"",SUMIFS(INDEX(Inputs!$D$4:$AG$150,0,MATCH(AD$2,Inputs!$D$2:$AG$2,0)),Inputs!$B$4:$B$150,$B46)/1000)</f>
        <v>0</v>
      </c>
      <c r="AE46" s="11" t="str">
        <f>IF(AE$3=0,"",SUMIFS(INDEX(Inputs!$D$4:$AG$150,0,MATCH(AE$2,Inputs!$D$2:$AG$2,0)),Inputs!$B$4:$B$150,$B46)/1000)</f>
        <v/>
      </c>
      <c r="AF46" s="11" t="str">
        <f>IF(AF$3=0,"",SUMIFS(INDEX(Inputs!$D$4:$AG$150,0,MATCH(AF$2,Inputs!$D$2:$AG$2,0)),Inputs!$B$4:$B$150,$B46)/1000)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IF(D$3=0,"",SUMIFS(INDEX(Inputs!$D$4:$AG$150,0,MATCH(D$2,Inputs!$D$2:$AG$2,0)),Inputs!$B$4:$B$150,$B47)/1000)</f>
        <v>15261</v>
      </c>
      <c r="E47" s="11">
        <f>IF(E$3=0,"",SUMIFS(INDEX(Inputs!$D$4:$AG$150,0,MATCH(E$2,Inputs!$D$2:$AG$2,0)),Inputs!$B$4:$B$150,$B47)/1000)</f>
        <v>9233</v>
      </c>
      <c r="F47" s="11">
        <f>IF(F$3=0,"",SUMIFS(INDEX(Inputs!$D$4:$AG$150,0,MATCH(F$2,Inputs!$D$2:$AG$2,0)),Inputs!$B$4:$B$150,$B47)/1000)</f>
        <v>5562</v>
      </c>
      <c r="G47" s="11">
        <f>IF(G$3=0,"",SUMIFS(INDEX(Inputs!$D$4:$AG$150,0,MATCH(G$2,Inputs!$D$2:$AG$2,0)),Inputs!$B$4:$B$150,$B47)/1000)</f>
        <v>14435</v>
      </c>
      <c r="H47" s="12">
        <f>IF(G47="","",G47)</f>
        <v>14435</v>
      </c>
      <c r="I47" s="11">
        <f>IF(I$3=0,"",SUMIFS(INDEX(Inputs!$D$4:$AG$150,0,MATCH(I$2,Inputs!$D$2:$AG$2,0)),Inputs!$B$4:$B$150,$B47)/1000)</f>
        <v>12712</v>
      </c>
      <c r="J47" s="11">
        <f>IF(J$3=0,"",SUMIFS(INDEX(Inputs!$D$4:$AG$150,0,MATCH(J$2,Inputs!$D$2:$AG$2,0)),Inputs!$B$4:$B$150,$B47)/1000)</f>
        <v>5289</v>
      </c>
      <c r="K47" s="11">
        <f>IF(K$3=0,"",SUMIFS(INDEX(Inputs!$D$4:$AG$150,0,MATCH(K$2,Inputs!$D$2:$AG$2,0)),Inputs!$B$4:$B$150,$B47)/1000)</f>
        <v>-3068</v>
      </c>
      <c r="L47" s="11">
        <f>IF(L$3=0,"",SUMIFS(INDEX(Inputs!$D$4:$AG$150,0,MATCH(L$2,Inputs!$D$2:$AG$2,0)),Inputs!$B$4:$B$150,$B47)/1000)</f>
        <v>3240</v>
      </c>
      <c r="M47" s="12">
        <f>IF(L47="","",L47)</f>
        <v>3240</v>
      </c>
      <c r="N47" s="11">
        <f>IF(N$3=0,"",SUMIFS(INDEX(Inputs!$D$4:$AG$150,0,MATCH(N$2,Inputs!$D$2:$AG$2,0)),Inputs!$B$4:$B$150,$B47)/1000)</f>
        <v>4336</v>
      </c>
      <c r="O47" s="11">
        <f>IF(O$3=0,"",SUMIFS(INDEX(Inputs!$D$4:$AG$150,0,MATCH(O$2,Inputs!$D$2:$AG$2,0)),Inputs!$B$4:$B$150,$B47)/1000)</f>
        <v>1408</v>
      </c>
      <c r="P47" s="11">
        <f>IF(P$3=0,"",SUMIFS(INDEX(Inputs!$D$4:$AG$150,0,MATCH(P$2,Inputs!$D$2:$AG$2,0)),Inputs!$B$4:$B$150,$B47)/1000)</f>
        <v>-214</v>
      </c>
      <c r="Q47" s="11">
        <f>IF(Q$3=0,"",SUMIFS(INDEX(Inputs!$D$4:$AG$150,0,MATCH(Q$2,Inputs!$D$2:$AG$2,0)),Inputs!$B$4:$B$150,$B47)/1000)</f>
        <v>8242</v>
      </c>
      <c r="R47" s="12">
        <f>IF(Q47="","",Q47)</f>
        <v>8242</v>
      </c>
      <c r="S47" s="11">
        <f>IF(S$3=0,"",SUMIFS(INDEX(Inputs!$D$4:$AG$150,0,MATCH(S$2,Inputs!$D$2:$AG$2,0)),Inputs!$B$4:$B$150,$B47)/1000)</f>
        <v>4339</v>
      </c>
      <c r="T47" s="11">
        <f>IF(T$3=0,"",SUMIFS(INDEX(Inputs!$D$4:$AG$150,0,MATCH(T$2,Inputs!$D$2:$AG$2,0)),Inputs!$B$4:$B$150,$B47)/1000)</f>
        <v>-4726</v>
      </c>
      <c r="U47" s="11">
        <f>IF(U$3=0,"",SUMIFS(INDEX(Inputs!$D$4:$AG$150,0,MATCH(U$2,Inputs!$D$2:$AG$2,0)),Inputs!$B$4:$B$150,$B47)/1000)</f>
        <v>-19154</v>
      </c>
      <c r="V47" s="11">
        <f>IF(V$3=0,"",SUMIFS(INDEX(Inputs!$D$4:$AG$150,0,MATCH(V$2,Inputs!$D$2:$AG$2,0)),Inputs!$B$4:$B$150,$B47)/1000)</f>
        <v>-11221</v>
      </c>
      <c r="W47" s="12">
        <f>IF(V47="","",V47)</f>
        <v>-11221</v>
      </c>
      <c r="X47" s="11">
        <f>IF(X$3=0,"",SUMIFS(INDEX(Inputs!$D$4:$AG$150,0,MATCH(X$2,Inputs!$D$2:$AG$2,0)),Inputs!$B$4:$B$150,$B47)/1000)</f>
        <v>-15552</v>
      </c>
      <c r="Y47" s="11">
        <f>IF(Y$3=0,"",SUMIFS(INDEX(Inputs!$D$4:$AG$150,0,MATCH(Y$2,Inputs!$D$2:$AG$2,0)),Inputs!$B$4:$B$150,$B47)/1000)</f>
        <v>-17607</v>
      </c>
      <c r="Z47" s="11">
        <f>IF(Z$3=0,"",SUMIFS(INDEX(Inputs!$D$4:$AG$150,0,MATCH(Z$2,Inputs!$D$2:$AG$2,0)),Inputs!$B$4:$B$150,$B47)/1000)</f>
        <v>-14264</v>
      </c>
      <c r="AA47" s="11">
        <f>IF(AA$3=0,"",SUMIFS(INDEX(Inputs!$D$4:$AG$150,0,MATCH(AA$2,Inputs!$D$2:$AG$2,0)),Inputs!$B$4:$B$150,$B47)/1000)</f>
        <v>-2177</v>
      </c>
      <c r="AB47" s="12">
        <f>IF(AA47="","",AA47)</f>
        <v>-2177</v>
      </c>
      <c r="AC47" s="11">
        <f>IF(AC$3=0,"",SUMIFS(INDEX(Inputs!$D$4:$AG$150,0,MATCH(AC$2,Inputs!$D$2:$AG$2,0)),Inputs!$B$4:$B$150,$B47)/1000)</f>
        <v>12359</v>
      </c>
      <c r="AD47" s="11">
        <f>IF(AD$3=0,"",SUMIFS(INDEX(Inputs!$D$4:$AG$150,0,MATCH(AD$2,Inputs!$D$2:$AG$2,0)),Inputs!$B$4:$B$150,$B47)/1000)</f>
        <v>11326</v>
      </c>
      <c r="AE47" s="11" t="str">
        <f>IF(AE$3=0,"",SUMIFS(INDEX(Inputs!$D$4:$AG$150,0,MATCH(AE$2,Inputs!$D$2:$AG$2,0)),Inputs!$B$4:$B$150,$B47)/1000)</f>
        <v/>
      </c>
      <c r="AF47" s="11" t="str">
        <f>IF(AF$3=0,"",SUMIFS(INDEX(Inputs!$D$4:$AG$150,0,MATCH(AF$2,Inputs!$D$2:$AG$2,0)),Inputs!$B$4:$B$150,$B47)/1000)</f>
        <v/>
      </c>
      <c r="AG47" s="12" t="str">
        <f>IF(AF47="","",AF47)</f>
        <v/>
      </c>
    </row>
    <row r="48"/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  <row r="50">
      <c r="B50" s="9" t="n">
        <v>44</v>
      </c>
      <c r="C50" s="10" t="inlineStr">
        <is>
          <t>Net income reported (lucro líquido reportado) — base do check de DRE [Model linha 4]</t>
        </is>
      </c>
      <c r="D50" s="11">
        <f>IF(SUMPRODUCT((Inputs!$B$4:$B$150=$B50)*ISNUMBER(INDEX(Inputs!$D$4:$AG$150,0,MATCH(D$2,Inputs!$D$2:$AG$2,0))))=0,"",SUMIFS(INDEX(Inputs!$D$4:$AG$150,0,MATCH(D$2,Inputs!$D$2:$AG$2,0)),Inputs!$B$4:$B$150,$B50)/1000)</f>
        <v>23630</v>
      </c>
      <c r="E50" s="11">
        <f>IF(SUMPRODUCT((Inputs!$B$4:$B$150=$B50)*ISNUMBER(INDEX(Inputs!$D$4:$AG$150,0,MATCH(E$2,Inputs!$D$2:$AG$2,0))))=0,"",SUMIFS(INDEX(Inputs!$D$4:$AG$150,0,MATCH(E$2,Inputs!$D$2:$AG$2,0)),Inputs!$B$4:$B$150,$B50)/1000)</f>
        <v>21744</v>
      </c>
      <c r="F50" s="11">
        <f>IF(SUMPRODUCT((Inputs!$B$4:$B$150=$B50)*ISNUMBER(INDEX(Inputs!$D$4:$AG$150,0,MATCH(F$2,Inputs!$D$2:$AG$2,0))))=0,"",SUMIFS(INDEX(Inputs!$D$4:$AG$150,0,MATCH(F$2,Inputs!$D$2:$AG$2,0)),Inputs!$B$4:$B$150,$B50)/1000)</f>
        <v>20551</v>
      </c>
      <c r="G50" s="11">
        <f>IF(SUMPRODUCT((Inputs!$B$4:$B$150=$B50)*ISNUMBER(INDEX(Inputs!$D$4:$AG$150,0,MATCH(G$2,Inputs!$D$2:$AG$2,0))))=0,"",SUMIFS(INDEX(Inputs!$D$4:$AG$150,0,MATCH(G$2,Inputs!$D$2:$AG$2,0)),Inputs!$B$4:$B$150,$B50)/1000)</f>
        <v>34630</v>
      </c>
      <c r="H50" s="12">
        <f>IF(COUNT(D50:G50)=4,SUM(D50:G50),"")</f>
        <v>100555</v>
      </c>
      <c r="I50" s="11">
        <f>IF(SUMPRODUCT((Inputs!$B$4:$B$150=$B50)*ISNUMBER(INDEX(Inputs!$D$4:$AG$150,0,MATCH(I$2,Inputs!$D$2:$AG$2,0))))=0,"",SUMIFS(INDEX(Inputs!$D$4:$AG$150,0,MATCH(I$2,Inputs!$D$2:$AG$2,0)),Inputs!$B$4:$B$150,$B50)/1000)</f>
        <v>25010</v>
      </c>
      <c r="J50" s="11">
        <f>IF(SUMPRODUCT((Inputs!$B$4:$B$150=$B50)*ISNUMBER(INDEX(Inputs!$D$4:$AG$150,0,MATCH(J$2,Inputs!$D$2:$AG$2,0))))=0,"",SUMIFS(INDEX(Inputs!$D$4:$AG$150,0,MATCH(J$2,Inputs!$D$2:$AG$2,0)),Inputs!$B$4:$B$150,$B50)/1000)</f>
        <v>19442</v>
      </c>
      <c r="K50" s="11">
        <f>IF(SUMPRODUCT((Inputs!$B$4:$B$150=$B50)*ISNUMBER(INDEX(Inputs!$D$4:$AG$150,0,MATCH(K$2,Inputs!$D$2:$AG$2,0))))=0,"",SUMIFS(INDEX(Inputs!$D$4:$AG$150,0,MATCH(K$2,Inputs!$D$2:$AG$2,0)),Inputs!$B$4:$B$150,$B50)/1000)</f>
        <v>20721</v>
      </c>
      <c r="L50" s="11">
        <f>IF(SUMPRODUCT((Inputs!$B$4:$B$150=$B50)*ISNUMBER(INDEX(Inputs!$D$4:$AG$150,0,MATCH(L$2,Inputs!$D$2:$AG$2,0))))=0,"",SUMIFS(INDEX(Inputs!$D$4:$AG$150,0,MATCH(L$2,Inputs!$D$2:$AG$2,0)),Inputs!$B$4:$B$150,$B50)/1000)</f>
        <v>29998</v>
      </c>
      <c r="M50" s="12">
        <f>IF(COUNT(I50:L50)=4,SUM(I50:L50),"")</f>
        <v>95171</v>
      </c>
      <c r="N50" s="11">
        <f>IF(SUMPRODUCT((Inputs!$B$4:$B$150=$B50)*ISNUMBER(INDEX(Inputs!$D$4:$AG$150,0,MATCH(N$2,Inputs!$D$2:$AG$2,0))))=0,"",SUMIFS(INDEX(Inputs!$D$4:$AG$150,0,MATCH(N$2,Inputs!$D$2:$AG$2,0)),Inputs!$B$4:$B$150,$B50)/1000)</f>
        <v>24160</v>
      </c>
      <c r="O50" s="11">
        <f>IF(SUMPRODUCT((Inputs!$B$4:$B$150=$B50)*ISNUMBER(INDEX(Inputs!$D$4:$AG$150,0,MATCH(O$2,Inputs!$D$2:$AG$2,0))))=0,"",SUMIFS(INDEX(Inputs!$D$4:$AG$150,0,MATCH(O$2,Inputs!$D$2:$AG$2,0)),Inputs!$B$4:$B$150,$B50)/1000)</f>
        <v>19881</v>
      </c>
      <c r="P50" s="11">
        <f>IF(SUMPRODUCT((Inputs!$B$4:$B$150=$B50)*ISNUMBER(INDEX(Inputs!$D$4:$AG$150,0,MATCH(P$2,Inputs!$D$2:$AG$2,0))))=0,"",SUMIFS(INDEX(Inputs!$D$4:$AG$150,0,MATCH(P$2,Inputs!$D$2:$AG$2,0)),Inputs!$B$4:$B$150,$B50)/1000)</f>
        <v>22956</v>
      </c>
      <c r="Q50" s="11">
        <f>IF(SUMPRODUCT((Inputs!$B$4:$B$150=$B50)*ISNUMBER(INDEX(Inputs!$D$4:$AG$150,0,MATCH(Q$2,Inputs!$D$2:$AG$2,0))))=0,"",SUMIFS(INDEX(Inputs!$D$4:$AG$150,0,MATCH(Q$2,Inputs!$D$2:$AG$2,0)),Inputs!$B$4:$B$150,$B50)/1000)</f>
        <v>33916</v>
      </c>
      <c r="R50" s="12">
        <f>IF(COUNT(N50:Q50)=4,SUM(N50:Q50),"")</f>
        <v>100913</v>
      </c>
      <c r="S50" s="11">
        <f>IF(SUMPRODUCT((Inputs!$B$4:$B$150=$B50)*ISNUMBER(INDEX(Inputs!$D$4:$AG$150,0,MATCH(S$2,Inputs!$D$2:$AG$2,0))))=0,"",SUMIFS(INDEX(Inputs!$D$4:$AG$150,0,MATCH(S$2,Inputs!$D$2:$AG$2,0)),Inputs!$B$4:$B$150,$B50)/1000)</f>
        <v>23636</v>
      </c>
      <c r="T50" s="11">
        <f>IF(SUMPRODUCT((Inputs!$B$4:$B$150=$B50)*ISNUMBER(INDEX(Inputs!$D$4:$AG$150,0,MATCH(T$2,Inputs!$D$2:$AG$2,0))))=0,"",SUMIFS(INDEX(Inputs!$D$4:$AG$150,0,MATCH(T$2,Inputs!$D$2:$AG$2,0)),Inputs!$B$4:$B$150,$B50)/1000)</f>
        <v>21448</v>
      </c>
      <c r="U50" s="11">
        <f>IF(SUMPRODUCT((Inputs!$B$4:$B$150=$B50)*ISNUMBER(INDEX(Inputs!$D$4:$AG$150,0,MATCH(U$2,Inputs!$D$2:$AG$2,0))))=0,"",SUMIFS(INDEX(Inputs!$D$4:$AG$150,0,MATCH(U$2,Inputs!$D$2:$AG$2,0)),Inputs!$B$4:$B$150,$B50)/1000)</f>
        <v>14736</v>
      </c>
      <c r="V50" s="11">
        <f>IF(SUMPRODUCT((Inputs!$B$4:$B$150=$B50)*ISNUMBER(INDEX(Inputs!$D$4:$AG$150,0,MATCH(V$2,Inputs!$D$2:$AG$2,0))))=0,"",SUMIFS(INDEX(Inputs!$D$4:$AG$150,0,MATCH(V$2,Inputs!$D$2:$AG$2,0)),Inputs!$B$4:$B$150,$B50)/1000)</f>
        <v>36330</v>
      </c>
      <c r="W50" s="12">
        <f>IF(COUNT(S50:V50)=4,SUM(S50:V50),"")</f>
        <v>96150</v>
      </c>
      <c r="X50" s="11">
        <f>IF(SUMPRODUCT((Inputs!$B$4:$B$150=$B50)*ISNUMBER(INDEX(Inputs!$D$4:$AG$150,0,MATCH(X$2,Inputs!$D$2:$AG$2,0))))=0,"",SUMIFS(INDEX(Inputs!$D$4:$AG$150,0,MATCH(X$2,Inputs!$D$2:$AG$2,0)),Inputs!$B$4:$B$150,$B50)/1000)</f>
        <v>24780</v>
      </c>
      <c r="Y50" s="11">
        <f>IF(SUMPRODUCT((Inputs!$B$4:$B$150=$B50)*ISNUMBER(INDEX(Inputs!$D$4:$AG$150,0,MATCH(Y$2,Inputs!$D$2:$AG$2,0))))=0,"",SUMIFS(INDEX(Inputs!$D$4:$AG$150,0,MATCH(Y$2,Inputs!$D$2:$AG$2,0)),Inputs!$B$4:$B$150,$B50)/1000)</f>
        <v>23434</v>
      </c>
      <c r="Z50" s="11">
        <f>IF(SUMPRODUCT((Inputs!$B$4:$B$150=$B50)*ISNUMBER(INDEX(Inputs!$D$4:$AG$150,0,MATCH(Z$2,Inputs!$D$2:$AG$2,0))))=0,"",SUMIFS(INDEX(Inputs!$D$4:$AG$150,0,MATCH(Z$2,Inputs!$D$2:$AG$2,0)),Inputs!$B$4:$B$150,$B50)/1000)</f>
        <v>27466</v>
      </c>
      <c r="AA50" s="11">
        <f>IF(SUMPRODUCT((Inputs!$B$4:$B$150=$B50)*ISNUMBER(INDEX(Inputs!$D$4:$AG$150,0,MATCH(AA$2,Inputs!$D$2:$AG$2,0))))=0,"",SUMIFS(INDEX(Inputs!$D$4:$AG$150,0,MATCH(AA$2,Inputs!$D$2:$AG$2,0)),Inputs!$B$4:$B$150,$B50)/1000)</f>
        <v>42097</v>
      </c>
      <c r="AB50" s="12">
        <f>IF(COUNT(X50:AA50)=4,SUM(X50:AA50),"")</f>
        <v>117777</v>
      </c>
      <c r="AC50" s="11">
        <f>IF(SUMPRODUCT((Inputs!$B$4:$B$150=$B50)*ISNUMBER(INDEX(Inputs!$D$4:$AG$150,0,MATCH(AC$2,Inputs!$D$2:$AG$2,0))))=0,"",SUMIFS(INDEX(Inputs!$D$4:$AG$150,0,MATCH(AC$2,Inputs!$D$2:$AG$2,0)),Inputs!$B$4:$B$150,$B50)/1000)</f>
        <v>29578</v>
      </c>
      <c r="AD50" s="11">
        <f>IF(SUMPRODUCT((Inputs!$B$4:$B$150=$B50)*ISNUMBER(INDEX(Inputs!$D$4:$AG$150,0,MATCH(AD$2,Inputs!$D$2:$AG$2,0))))=0,"",SUMIFS(INDEX(Inputs!$D$4:$AG$150,0,MATCH(AD$2,Inputs!$D$2:$AG$2,0)),Inputs!$B$4:$B$150,$B50)/1000)</f>
        <v>29789</v>
      </c>
      <c r="AE50" s="11" t="str">
        <f>IF(SUMPRODUCT((Inputs!$B$4:$B$150=$B50)*ISNUMBER(INDEX(Inputs!$D$4:$AG$150,0,MATCH(AE$2,Inputs!$D$2:$AG$2,0))))=0,"",SUMIFS(INDEX(Inputs!$D$4:$AG$150,0,MATCH(AE$2,Inputs!$D$2:$AG$2,0)),Inputs!$B$4:$B$150,$B50)/1000)</f>
        <v/>
      </c>
      <c r="AF50" s="11" t="str">
        <f>IF(SUMPRODUCT((Inputs!$B$4:$B$150=$B50)*ISNUMBER(INDEX(Inputs!$D$4:$AG$150,0,MATCH(AF$2,Inputs!$D$2:$AG$2,0))))=0,"",SUMIFS(INDEX(Inputs!$D$4:$AG$150,0,MATCH(AF$2,Inputs!$D$2:$AG$2,0)),Inputs!$B$4:$B$150,$B50)/1000)</f>
        <v/>
      </c>
      <c r="AG50" s="12" t="str">
        <f>IF(COUNT(AC50:AF50)=4,SUM(AC50:AF50),"")</f>
        <v/>
      </c>
    </row>
    <row r="52">
      <c r="C52" t="inlineStr">
        <is>
          <t>Drivers de receita (memo) - codigos 45+ [Model, bloco abaixo da receita liquida]</t>
        </is>
      </c>
    </row>
    <row r="53">
      <c r="B53" s="9" t="n">
        <v>45</v>
      </c>
      <c r="C53" s="10" t="inlineStr">
        <is>
          <t>Receita iPhone (USD; trimestre-calendário; o 3T (jul-set, FQ4) = ano fiscal do 10-K menos 9M do 10-Q de jun)</t>
        </is>
      </c>
      <c r="D53" s="11">
        <f>IF(SUMPRODUCT((Inputs!$B$4:$B$150=$B53)*ISNUMBER(INDEX(Inputs!$D$4:$AG$150,0,MATCH(D$2,Inputs!$D$2:$AG$2,0))))=0,"",SUMIFS(INDEX(Inputs!$D$4:$AG$150,0,MATCH(D$2,Inputs!$D$2:$AG$2,0)),Inputs!$B$4:$B$150,$B53)/1000)</f>
        <v>47938</v>
      </c>
      <c r="E53" s="11">
        <f>IF(SUMPRODUCT((Inputs!$B$4:$B$150=$B53)*ISNUMBER(INDEX(Inputs!$D$4:$AG$150,0,MATCH(E$2,Inputs!$D$2:$AG$2,0))))=0,"",SUMIFS(INDEX(Inputs!$D$4:$AG$150,0,MATCH(E$2,Inputs!$D$2:$AG$2,0)),Inputs!$B$4:$B$150,$B53)/1000)</f>
        <v>39570</v>
      </c>
      <c r="F53" s="11">
        <f>IF(SUMPRODUCT((Inputs!$B$4:$B$150=$B53)*ISNUMBER(INDEX(Inputs!$D$4:$AG$150,0,MATCH(F$2,Inputs!$D$2:$AG$2,0))))=0,"",SUMIFS(INDEX(Inputs!$D$4:$AG$150,0,MATCH(F$2,Inputs!$D$2:$AG$2,0)),Inputs!$B$4:$B$150,$B53)/1000)</f>
        <v>38868</v>
      </c>
      <c r="G53" s="11">
        <f>IF(SUMPRODUCT((Inputs!$B$4:$B$150=$B53)*ISNUMBER(INDEX(Inputs!$D$4:$AG$150,0,MATCH(G$2,Inputs!$D$2:$AG$2,0))))=0,"",SUMIFS(INDEX(Inputs!$D$4:$AG$150,0,MATCH(G$2,Inputs!$D$2:$AG$2,0)),Inputs!$B$4:$B$150,$B53)/1000)</f>
        <v>71628</v>
      </c>
      <c r="H53" s="12">
        <f>IF(COUNT(D53:G53)=4,SUM(D53:G53),"")</f>
        <v>198004</v>
      </c>
      <c r="I53" s="11">
        <f>IF(SUMPRODUCT((Inputs!$B$4:$B$150=$B53)*ISNUMBER(INDEX(Inputs!$D$4:$AG$150,0,MATCH(I$2,Inputs!$D$2:$AG$2,0))))=0,"",SUMIFS(INDEX(Inputs!$D$4:$AG$150,0,MATCH(I$2,Inputs!$D$2:$AG$2,0)),Inputs!$B$4:$B$150,$B53)/1000)</f>
        <v>50570</v>
      </c>
      <c r="J53" s="11">
        <f>IF(SUMPRODUCT((Inputs!$B$4:$B$150=$B53)*ISNUMBER(INDEX(Inputs!$D$4:$AG$150,0,MATCH(J$2,Inputs!$D$2:$AG$2,0))))=0,"",SUMIFS(INDEX(Inputs!$D$4:$AG$150,0,MATCH(J$2,Inputs!$D$2:$AG$2,0)),Inputs!$B$4:$B$150,$B53)/1000)</f>
        <v>40665</v>
      </c>
      <c r="K53" s="11">
        <f>IF(SUMPRODUCT((Inputs!$B$4:$B$150=$B53)*ISNUMBER(INDEX(Inputs!$D$4:$AG$150,0,MATCH(K$2,Inputs!$D$2:$AG$2,0))))=0,"",SUMIFS(INDEX(Inputs!$D$4:$AG$150,0,MATCH(K$2,Inputs!$D$2:$AG$2,0)),Inputs!$B$4:$B$150,$B53)/1000)</f>
        <v>42626</v>
      </c>
      <c r="L53" s="11">
        <f>IF(SUMPRODUCT((Inputs!$B$4:$B$150=$B53)*ISNUMBER(INDEX(Inputs!$D$4:$AG$150,0,MATCH(L$2,Inputs!$D$2:$AG$2,0))))=0,"",SUMIFS(INDEX(Inputs!$D$4:$AG$150,0,MATCH(L$2,Inputs!$D$2:$AG$2,0)),Inputs!$B$4:$B$150,$B53)/1000)</f>
        <v>65775</v>
      </c>
      <c r="M53" s="12">
        <f>IF(COUNT(I53:L53)=4,SUM(I53:L53),"")</f>
        <v>199636</v>
      </c>
      <c r="N53" s="11">
        <f>IF(SUMPRODUCT((Inputs!$B$4:$B$150=$B53)*ISNUMBER(INDEX(Inputs!$D$4:$AG$150,0,MATCH(N$2,Inputs!$D$2:$AG$2,0))))=0,"",SUMIFS(INDEX(Inputs!$D$4:$AG$150,0,MATCH(N$2,Inputs!$D$2:$AG$2,0)),Inputs!$B$4:$B$150,$B53)/1000)</f>
        <v>51334</v>
      </c>
      <c r="O53" s="11">
        <f>IF(SUMPRODUCT((Inputs!$B$4:$B$150=$B53)*ISNUMBER(INDEX(Inputs!$D$4:$AG$150,0,MATCH(O$2,Inputs!$D$2:$AG$2,0))))=0,"",SUMIFS(INDEX(Inputs!$D$4:$AG$150,0,MATCH(O$2,Inputs!$D$2:$AG$2,0)),Inputs!$B$4:$B$150,$B53)/1000)</f>
        <v>39669</v>
      </c>
      <c r="P53" s="11">
        <f>IF(SUMPRODUCT((Inputs!$B$4:$B$150=$B53)*ISNUMBER(INDEX(Inputs!$D$4:$AG$150,0,MATCH(P$2,Inputs!$D$2:$AG$2,0))))=0,"",SUMIFS(INDEX(Inputs!$D$4:$AG$150,0,MATCH(P$2,Inputs!$D$2:$AG$2,0)),Inputs!$B$4:$B$150,$B53)/1000)</f>
        <v>43805</v>
      </c>
      <c r="Q53" s="11">
        <f>IF(SUMPRODUCT((Inputs!$B$4:$B$150=$B53)*ISNUMBER(INDEX(Inputs!$D$4:$AG$150,0,MATCH(Q$2,Inputs!$D$2:$AG$2,0))))=0,"",SUMIFS(INDEX(Inputs!$D$4:$AG$150,0,MATCH(Q$2,Inputs!$D$2:$AG$2,0)),Inputs!$B$4:$B$150,$B53)/1000)</f>
        <v>69702</v>
      </c>
      <c r="R53" s="12">
        <f>IF(COUNT(N53:Q53)=4,SUM(N53:Q53),"")</f>
        <v>204510</v>
      </c>
      <c r="S53" s="11">
        <f>IF(SUMPRODUCT((Inputs!$B$4:$B$150=$B53)*ISNUMBER(INDEX(Inputs!$D$4:$AG$150,0,MATCH(S$2,Inputs!$D$2:$AG$2,0))))=0,"",SUMIFS(INDEX(Inputs!$D$4:$AG$150,0,MATCH(S$2,Inputs!$D$2:$AG$2,0)),Inputs!$B$4:$B$150,$B53)/1000)</f>
        <v>45963</v>
      </c>
      <c r="T53" s="11">
        <f>IF(SUMPRODUCT((Inputs!$B$4:$B$150=$B53)*ISNUMBER(INDEX(Inputs!$D$4:$AG$150,0,MATCH(T$2,Inputs!$D$2:$AG$2,0))))=0,"",SUMIFS(INDEX(Inputs!$D$4:$AG$150,0,MATCH(T$2,Inputs!$D$2:$AG$2,0)),Inputs!$B$4:$B$150,$B53)/1000)</f>
        <v>39296</v>
      </c>
      <c r="U53" s="11">
        <f>IF(SUMPRODUCT((Inputs!$B$4:$B$150=$B53)*ISNUMBER(INDEX(Inputs!$D$4:$AG$150,0,MATCH(U$2,Inputs!$D$2:$AG$2,0))))=0,"",SUMIFS(INDEX(Inputs!$D$4:$AG$150,0,MATCH(U$2,Inputs!$D$2:$AG$2,0)),Inputs!$B$4:$B$150,$B53)/1000)</f>
        <v>46222</v>
      </c>
      <c r="V53" s="11">
        <f>IF(SUMPRODUCT((Inputs!$B$4:$B$150=$B53)*ISNUMBER(INDEX(Inputs!$D$4:$AG$150,0,MATCH(V$2,Inputs!$D$2:$AG$2,0))))=0,"",SUMIFS(INDEX(Inputs!$D$4:$AG$150,0,MATCH(V$2,Inputs!$D$2:$AG$2,0)),Inputs!$B$4:$B$150,$B53)/1000)</f>
        <v>69138</v>
      </c>
      <c r="W53" s="12">
        <f>IF(COUNT(S53:V53)=4,SUM(S53:V53),"")</f>
        <v>200619</v>
      </c>
      <c r="X53" s="11">
        <f>IF(SUMPRODUCT((Inputs!$B$4:$B$150=$B53)*ISNUMBER(INDEX(Inputs!$D$4:$AG$150,0,MATCH(X$2,Inputs!$D$2:$AG$2,0))))=0,"",SUMIFS(INDEX(Inputs!$D$4:$AG$150,0,MATCH(X$2,Inputs!$D$2:$AG$2,0)),Inputs!$B$4:$B$150,$B53)/1000)</f>
        <v>46841</v>
      </c>
      <c r="Y53" s="11">
        <f>IF(SUMPRODUCT((Inputs!$B$4:$B$150=$B53)*ISNUMBER(INDEX(Inputs!$D$4:$AG$150,0,MATCH(Y$2,Inputs!$D$2:$AG$2,0))))=0,"",SUMIFS(INDEX(Inputs!$D$4:$AG$150,0,MATCH(Y$2,Inputs!$D$2:$AG$2,0)),Inputs!$B$4:$B$150,$B53)/1000)</f>
        <v>44582</v>
      </c>
      <c r="Z53" s="11">
        <f>IF(SUMPRODUCT((Inputs!$B$4:$B$150=$B53)*ISNUMBER(INDEX(Inputs!$D$4:$AG$150,0,MATCH(Z$2,Inputs!$D$2:$AG$2,0))))=0,"",SUMIFS(INDEX(Inputs!$D$4:$AG$150,0,MATCH(Z$2,Inputs!$D$2:$AG$2,0)),Inputs!$B$4:$B$150,$B53)/1000)</f>
        <v>49025</v>
      </c>
      <c r="AA53" s="11">
        <f>IF(SUMPRODUCT((Inputs!$B$4:$B$150=$B53)*ISNUMBER(INDEX(Inputs!$D$4:$AG$150,0,MATCH(AA$2,Inputs!$D$2:$AG$2,0))))=0,"",SUMIFS(INDEX(Inputs!$D$4:$AG$150,0,MATCH(AA$2,Inputs!$D$2:$AG$2,0)),Inputs!$B$4:$B$150,$B53)/1000)</f>
        <v>85269</v>
      </c>
      <c r="AB53" s="12">
        <f>IF(COUNT(X53:AA53)=4,SUM(X53:AA53),"")</f>
        <v>225717</v>
      </c>
      <c r="AC53" s="11">
        <f>IF(SUMPRODUCT((Inputs!$B$4:$B$150=$B53)*ISNUMBER(INDEX(Inputs!$D$4:$AG$150,0,MATCH(AC$2,Inputs!$D$2:$AG$2,0))))=0,"",SUMIFS(INDEX(Inputs!$D$4:$AG$150,0,MATCH(AC$2,Inputs!$D$2:$AG$2,0)),Inputs!$B$4:$B$150,$B53)/1000)</f>
        <v>56994</v>
      </c>
      <c r="AD53" s="11">
        <f>IF(SUMPRODUCT((Inputs!$B$4:$B$150=$B53)*ISNUMBER(INDEX(Inputs!$D$4:$AG$150,0,MATCH(AD$2,Inputs!$D$2:$AG$2,0))))=0,"",SUMIFS(INDEX(Inputs!$D$4:$AG$150,0,MATCH(AD$2,Inputs!$D$2:$AG$2,0)),Inputs!$B$4:$B$150,$B53)/1000)</f>
        <v>54252</v>
      </c>
      <c r="AE53" s="11" t="str">
        <f>IF(SUMPRODUCT((Inputs!$B$4:$B$150=$B53)*ISNUMBER(INDEX(Inputs!$D$4:$AG$150,0,MATCH(AE$2,Inputs!$D$2:$AG$2,0))))=0,"",SUMIFS(INDEX(Inputs!$D$4:$AG$150,0,MATCH(AE$2,Inputs!$D$2:$AG$2,0)),Inputs!$B$4:$B$150,$B53)/1000)</f>
        <v/>
      </c>
      <c r="AF53" s="11" t="str">
        <f>IF(SUMPRODUCT((Inputs!$B$4:$B$150=$B53)*ISNUMBER(INDEX(Inputs!$D$4:$AG$150,0,MATCH(AF$2,Inputs!$D$2:$AG$2,0))))=0,"",SUMIFS(INDEX(Inputs!$D$4:$AG$150,0,MATCH(AF$2,Inputs!$D$2:$AG$2,0)),Inputs!$B$4:$B$150,$B53)/1000)</f>
        <v/>
      </c>
      <c r="AG53" s="12" t="str">
        <f>IF(COUNT(AC53:AF53)=4,SUM(AC53:AF53),"")</f>
        <v/>
      </c>
    </row>
    <row r="54">
      <c r="B54" s="9" t="n">
        <v>46</v>
      </c>
      <c r="C54" s="10" t="inlineStr">
        <is>
          <t>Receita Mac (USD)</t>
        </is>
      </c>
      <c r="D54" s="11">
        <f>IF(SUMPRODUCT((Inputs!$B$4:$B$150=$B54)*ISNUMBER(INDEX(Inputs!$D$4:$AG$150,0,MATCH(D$2,Inputs!$D$2:$AG$2,0))))=0,"",SUMIFS(INDEX(Inputs!$D$4:$AG$150,0,MATCH(D$2,Inputs!$D$2:$AG$2,0)),Inputs!$B$4:$B$150,$B54)/1000)</f>
        <v>9102</v>
      </c>
      <c r="E54" s="11">
        <f>IF(SUMPRODUCT((Inputs!$B$4:$B$150=$B54)*ISNUMBER(INDEX(Inputs!$D$4:$AG$150,0,MATCH(E$2,Inputs!$D$2:$AG$2,0))))=0,"",SUMIFS(INDEX(Inputs!$D$4:$AG$150,0,MATCH(E$2,Inputs!$D$2:$AG$2,0)),Inputs!$B$4:$B$150,$B54)/1000)</f>
        <v>8235</v>
      </c>
      <c r="F54" s="11">
        <f>IF(SUMPRODUCT((Inputs!$B$4:$B$150=$B54)*ISNUMBER(INDEX(Inputs!$D$4:$AG$150,0,MATCH(F$2,Inputs!$D$2:$AG$2,0))))=0,"",SUMIFS(INDEX(Inputs!$D$4:$AG$150,0,MATCH(F$2,Inputs!$D$2:$AG$2,0)),Inputs!$B$4:$B$150,$B54)/1000)</f>
        <v>9178</v>
      </c>
      <c r="G54" s="11">
        <f>IF(SUMPRODUCT((Inputs!$B$4:$B$150=$B54)*ISNUMBER(INDEX(Inputs!$D$4:$AG$150,0,MATCH(G$2,Inputs!$D$2:$AG$2,0))))=0,"",SUMIFS(INDEX(Inputs!$D$4:$AG$150,0,MATCH(G$2,Inputs!$D$2:$AG$2,0)),Inputs!$B$4:$B$150,$B54)/1000)</f>
        <v>10852</v>
      </c>
      <c r="H54" s="12">
        <f>IF(COUNT(D54:G54)=4,SUM(D54:G54),"")</f>
        <v>37367</v>
      </c>
      <c r="I54" s="11">
        <f>IF(SUMPRODUCT((Inputs!$B$4:$B$150=$B54)*ISNUMBER(INDEX(Inputs!$D$4:$AG$150,0,MATCH(I$2,Inputs!$D$2:$AG$2,0))))=0,"",SUMIFS(INDEX(Inputs!$D$4:$AG$150,0,MATCH(I$2,Inputs!$D$2:$AG$2,0)),Inputs!$B$4:$B$150,$B54)/1000)</f>
        <v>10435</v>
      </c>
      <c r="J54" s="11">
        <f>IF(SUMPRODUCT((Inputs!$B$4:$B$150=$B54)*ISNUMBER(INDEX(Inputs!$D$4:$AG$150,0,MATCH(J$2,Inputs!$D$2:$AG$2,0))))=0,"",SUMIFS(INDEX(Inputs!$D$4:$AG$150,0,MATCH(J$2,Inputs!$D$2:$AG$2,0)),Inputs!$B$4:$B$150,$B54)/1000)</f>
        <v>7382</v>
      </c>
      <c r="K54" s="11">
        <f>IF(SUMPRODUCT((Inputs!$B$4:$B$150=$B54)*ISNUMBER(INDEX(Inputs!$D$4:$AG$150,0,MATCH(K$2,Inputs!$D$2:$AG$2,0))))=0,"",SUMIFS(INDEX(Inputs!$D$4:$AG$150,0,MATCH(K$2,Inputs!$D$2:$AG$2,0)),Inputs!$B$4:$B$150,$B54)/1000)</f>
        <v>11508</v>
      </c>
      <c r="L54" s="11">
        <f>IF(SUMPRODUCT((Inputs!$B$4:$B$150=$B54)*ISNUMBER(INDEX(Inputs!$D$4:$AG$150,0,MATCH(L$2,Inputs!$D$2:$AG$2,0))))=0,"",SUMIFS(INDEX(Inputs!$D$4:$AG$150,0,MATCH(L$2,Inputs!$D$2:$AG$2,0)),Inputs!$B$4:$B$150,$B54)/1000)</f>
        <v>7735</v>
      </c>
      <c r="M54" s="12">
        <f>IF(COUNT(I54:L54)=4,SUM(I54:L54),"")</f>
        <v>37060</v>
      </c>
      <c r="N54" s="11">
        <f>IF(SUMPRODUCT((Inputs!$B$4:$B$150=$B54)*ISNUMBER(INDEX(Inputs!$D$4:$AG$150,0,MATCH(N$2,Inputs!$D$2:$AG$2,0))))=0,"",SUMIFS(INDEX(Inputs!$D$4:$AG$150,0,MATCH(N$2,Inputs!$D$2:$AG$2,0)),Inputs!$B$4:$B$150,$B54)/1000)</f>
        <v>7168</v>
      </c>
      <c r="O54" s="11">
        <f>IF(SUMPRODUCT((Inputs!$B$4:$B$150=$B54)*ISNUMBER(INDEX(Inputs!$D$4:$AG$150,0,MATCH(O$2,Inputs!$D$2:$AG$2,0))))=0,"",SUMIFS(INDEX(Inputs!$D$4:$AG$150,0,MATCH(O$2,Inputs!$D$2:$AG$2,0)),Inputs!$B$4:$B$150,$B54)/1000)</f>
        <v>6840</v>
      </c>
      <c r="P54" s="11">
        <f>IF(SUMPRODUCT((Inputs!$B$4:$B$150=$B54)*ISNUMBER(INDEX(Inputs!$D$4:$AG$150,0,MATCH(P$2,Inputs!$D$2:$AG$2,0))))=0,"",SUMIFS(INDEX(Inputs!$D$4:$AG$150,0,MATCH(P$2,Inputs!$D$2:$AG$2,0)),Inputs!$B$4:$B$150,$B54)/1000)</f>
        <v>7614</v>
      </c>
      <c r="Q54" s="11">
        <f>IF(SUMPRODUCT((Inputs!$B$4:$B$150=$B54)*ISNUMBER(INDEX(Inputs!$D$4:$AG$150,0,MATCH(Q$2,Inputs!$D$2:$AG$2,0))))=0,"",SUMIFS(INDEX(Inputs!$D$4:$AG$150,0,MATCH(Q$2,Inputs!$D$2:$AG$2,0)),Inputs!$B$4:$B$150,$B54)/1000)</f>
        <v>7780</v>
      </c>
      <c r="R54" s="12">
        <f>IF(COUNT(N54:Q54)=4,SUM(N54:Q54),"")</f>
        <v>29402</v>
      </c>
      <c r="S54" s="11">
        <f>IF(SUMPRODUCT((Inputs!$B$4:$B$150=$B54)*ISNUMBER(INDEX(Inputs!$D$4:$AG$150,0,MATCH(S$2,Inputs!$D$2:$AG$2,0))))=0,"",SUMIFS(INDEX(Inputs!$D$4:$AG$150,0,MATCH(S$2,Inputs!$D$2:$AG$2,0)),Inputs!$B$4:$B$150,$B54)/1000)</f>
        <v>7451</v>
      </c>
      <c r="T54" s="11">
        <f>IF(SUMPRODUCT((Inputs!$B$4:$B$150=$B54)*ISNUMBER(INDEX(Inputs!$D$4:$AG$150,0,MATCH(T$2,Inputs!$D$2:$AG$2,0))))=0,"",SUMIFS(INDEX(Inputs!$D$4:$AG$150,0,MATCH(T$2,Inputs!$D$2:$AG$2,0)),Inputs!$B$4:$B$150,$B54)/1000)</f>
        <v>7009</v>
      </c>
      <c r="U54" s="11">
        <f>IF(SUMPRODUCT((Inputs!$B$4:$B$150=$B54)*ISNUMBER(INDEX(Inputs!$D$4:$AG$150,0,MATCH(U$2,Inputs!$D$2:$AG$2,0))))=0,"",SUMIFS(INDEX(Inputs!$D$4:$AG$150,0,MATCH(U$2,Inputs!$D$2:$AG$2,0)),Inputs!$B$4:$B$150,$B54)/1000)</f>
        <v>7744</v>
      </c>
      <c r="V54" s="11">
        <f>IF(SUMPRODUCT((Inputs!$B$4:$B$150=$B54)*ISNUMBER(INDEX(Inputs!$D$4:$AG$150,0,MATCH(V$2,Inputs!$D$2:$AG$2,0))))=0,"",SUMIFS(INDEX(Inputs!$D$4:$AG$150,0,MATCH(V$2,Inputs!$D$2:$AG$2,0)),Inputs!$B$4:$B$150,$B54)/1000)</f>
        <v>8987</v>
      </c>
      <c r="W54" s="12">
        <f>IF(COUNT(S54:V54)=4,SUM(S54:V54),"")</f>
        <v>31191</v>
      </c>
      <c r="X54" s="11">
        <f>IF(SUMPRODUCT((Inputs!$B$4:$B$150=$B54)*ISNUMBER(INDEX(Inputs!$D$4:$AG$150,0,MATCH(X$2,Inputs!$D$2:$AG$2,0))))=0,"",SUMIFS(INDEX(Inputs!$D$4:$AG$150,0,MATCH(X$2,Inputs!$D$2:$AG$2,0)),Inputs!$B$4:$B$150,$B54)/1000)</f>
        <v>7949</v>
      </c>
      <c r="Y54" s="11">
        <f>IF(SUMPRODUCT((Inputs!$B$4:$B$150=$B54)*ISNUMBER(INDEX(Inputs!$D$4:$AG$150,0,MATCH(Y$2,Inputs!$D$2:$AG$2,0))))=0,"",SUMIFS(INDEX(Inputs!$D$4:$AG$150,0,MATCH(Y$2,Inputs!$D$2:$AG$2,0)),Inputs!$B$4:$B$150,$B54)/1000)</f>
        <v>8046</v>
      </c>
      <c r="Z54" s="11">
        <f>IF(SUMPRODUCT((Inputs!$B$4:$B$150=$B54)*ISNUMBER(INDEX(Inputs!$D$4:$AG$150,0,MATCH(Z$2,Inputs!$D$2:$AG$2,0))))=0,"",SUMIFS(INDEX(Inputs!$D$4:$AG$150,0,MATCH(Z$2,Inputs!$D$2:$AG$2,0)),Inputs!$B$4:$B$150,$B54)/1000)</f>
        <v>8726</v>
      </c>
      <c r="AA54" s="11">
        <f>IF(SUMPRODUCT((Inputs!$B$4:$B$150=$B54)*ISNUMBER(INDEX(Inputs!$D$4:$AG$150,0,MATCH(AA$2,Inputs!$D$2:$AG$2,0))))=0,"",SUMIFS(INDEX(Inputs!$D$4:$AG$150,0,MATCH(AA$2,Inputs!$D$2:$AG$2,0)),Inputs!$B$4:$B$150,$B54)/1000)</f>
        <v>8386</v>
      </c>
      <c r="AB54" s="12">
        <f>IF(COUNT(X54:AA54)=4,SUM(X54:AA54),"")</f>
        <v>33107</v>
      </c>
      <c r="AC54" s="11">
        <f>IF(SUMPRODUCT((Inputs!$B$4:$B$150=$B54)*ISNUMBER(INDEX(Inputs!$D$4:$AG$150,0,MATCH(AC$2,Inputs!$D$2:$AG$2,0))))=0,"",SUMIFS(INDEX(Inputs!$D$4:$AG$150,0,MATCH(AC$2,Inputs!$D$2:$AG$2,0)),Inputs!$B$4:$B$150,$B54)/1000)</f>
        <v>8399</v>
      </c>
      <c r="AD54" s="11">
        <f>IF(SUMPRODUCT((Inputs!$B$4:$B$150=$B54)*ISNUMBER(INDEX(Inputs!$D$4:$AG$150,0,MATCH(AD$2,Inputs!$D$2:$AG$2,0))))=0,"",SUMIFS(INDEX(Inputs!$D$4:$AG$150,0,MATCH(AD$2,Inputs!$D$2:$AG$2,0)),Inputs!$B$4:$B$150,$B54)/1000)</f>
        <v>10352</v>
      </c>
      <c r="AE54" s="11" t="str">
        <f>IF(SUMPRODUCT((Inputs!$B$4:$B$150=$B54)*ISNUMBER(INDEX(Inputs!$D$4:$AG$150,0,MATCH(AE$2,Inputs!$D$2:$AG$2,0))))=0,"",SUMIFS(INDEX(Inputs!$D$4:$AG$150,0,MATCH(AE$2,Inputs!$D$2:$AG$2,0)),Inputs!$B$4:$B$150,$B54)/1000)</f>
        <v/>
      </c>
      <c r="AF54" s="11" t="str">
        <f>IF(SUMPRODUCT((Inputs!$B$4:$B$150=$B54)*ISNUMBER(INDEX(Inputs!$D$4:$AG$150,0,MATCH(AF$2,Inputs!$D$2:$AG$2,0))))=0,"",SUMIFS(INDEX(Inputs!$D$4:$AG$150,0,MATCH(AF$2,Inputs!$D$2:$AG$2,0)),Inputs!$B$4:$B$150,$B54)/1000)</f>
        <v/>
      </c>
      <c r="AG54" s="12" t="str">
        <f>IF(COUNT(AC54:AF54)=4,SUM(AC54:AF54),"")</f>
        <v/>
      </c>
    </row>
    <row r="55">
      <c r="B55" s="9" t="n">
        <v>47</v>
      </c>
      <c r="C55" s="10" t="inlineStr">
        <is>
          <t>Receita iPad (USD)</t>
        </is>
      </c>
      <c r="D55" s="11">
        <f>IF(SUMPRODUCT((Inputs!$B$4:$B$150=$B55)*ISNUMBER(INDEX(Inputs!$D$4:$AG$150,0,MATCH(D$2,Inputs!$D$2:$AG$2,0))))=0,"",SUMIFS(INDEX(Inputs!$D$4:$AG$150,0,MATCH(D$2,Inputs!$D$2:$AG$2,0)),Inputs!$B$4:$B$150,$B55)/1000)</f>
        <v>7807</v>
      </c>
      <c r="E55" s="11">
        <f>IF(SUMPRODUCT((Inputs!$B$4:$B$150=$B55)*ISNUMBER(INDEX(Inputs!$D$4:$AG$150,0,MATCH(E$2,Inputs!$D$2:$AG$2,0))))=0,"",SUMIFS(INDEX(Inputs!$D$4:$AG$150,0,MATCH(E$2,Inputs!$D$2:$AG$2,0)),Inputs!$B$4:$B$150,$B55)/1000)</f>
        <v>7368</v>
      </c>
      <c r="F55" s="11">
        <f>IF(SUMPRODUCT((Inputs!$B$4:$B$150=$B55)*ISNUMBER(INDEX(Inputs!$D$4:$AG$150,0,MATCH(F$2,Inputs!$D$2:$AG$2,0))))=0,"",SUMIFS(INDEX(Inputs!$D$4:$AG$150,0,MATCH(F$2,Inputs!$D$2:$AG$2,0)),Inputs!$B$4:$B$150,$B55)/1000)</f>
        <v>8252</v>
      </c>
      <c r="G55" s="11">
        <f>IF(SUMPRODUCT((Inputs!$B$4:$B$150=$B55)*ISNUMBER(INDEX(Inputs!$D$4:$AG$150,0,MATCH(G$2,Inputs!$D$2:$AG$2,0))))=0,"",SUMIFS(INDEX(Inputs!$D$4:$AG$150,0,MATCH(G$2,Inputs!$D$2:$AG$2,0)),Inputs!$B$4:$B$150,$B55)/1000)</f>
        <v>7248</v>
      </c>
      <c r="H55" s="12">
        <f>IF(COUNT(D55:G55)=4,SUM(D55:G55),"")</f>
        <v>30675</v>
      </c>
      <c r="I55" s="11">
        <f>IF(SUMPRODUCT((Inputs!$B$4:$B$150=$B55)*ISNUMBER(INDEX(Inputs!$D$4:$AG$150,0,MATCH(I$2,Inputs!$D$2:$AG$2,0))))=0,"",SUMIFS(INDEX(Inputs!$D$4:$AG$150,0,MATCH(I$2,Inputs!$D$2:$AG$2,0)),Inputs!$B$4:$B$150,$B55)/1000)</f>
        <v>7646</v>
      </c>
      <c r="J55" s="11">
        <f>IF(SUMPRODUCT((Inputs!$B$4:$B$150=$B55)*ISNUMBER(INDEX(Inputs!$D$4:$AG$150,0,MATCH(J$2,Inputs!$D$2:$AG$2,0))))=0,"",SUMIFS(INDEX(Inputs!$D$4:$AG$150,0,MATCH(J$2,Inputs!$D$2:$AG$2,0)),Inputs!$B$4:$B$150,$B55)/1000)</f>
        <v>7224</v>
      </c>
      <c r="K55" s="11">
        <f>IF(SUMPRODUCT((Inputs!$B$4:$B$150=$B55)*ISNUMBER(INDEX(Inputs!$D$4:$AG$150,0,MATCH(K$2,Inputs!$D$2:$AG$2,0))))=0,"",SUMIFS(INDEX(Inputs!$D$4:$AG$150,0,MATCH(K$2,Inputs!$D$2:$AG$2,0)),Inputs!$B$4:$B$150,$B55)/1000)</f>
        <v>7174</v>
      </c>
      <c r="L55" s="11">
        <f>IF(SUMPRODUCT((Inputs!$B$4:$B$150=$B55)*ISNUMBER(INDEX(Inputs!$D$4:$AG$150,0,MATCH(L$2,Inputs!$D$2:$AG$2,0))))=0,"",SUMIFS(INDEX(Inputs!$D$4:$AG$150,0,MATCH(L$2,Inputs!$D$2:$AG$2,0)),Inputs!$B$4:$B$150,$B55)/1000)</f>
        <v>9396</v>
      </c>
      <c r="M55" s="12">
        <f>IF(COUNT(I55:L55)=4,SUM(I55:L55),"")</f>
        <v>31440</v>
      </c>
      <c r="N55" s="11">
        <f>IF(SUMPRODUCT((Inputs!$B$4:$B$150=$B55)*ISNUMBER(INDEX(Inputs!$D$4:$AG$150,0,MATCH(N$2,Inputs!$D$2:$AG$2,0))))=0,"",SUMIFS(INDEX(Inputs!$D$4:$AG$150,0,MATCH(N$2,Inputs!$D$2:$AG$2,0)),Inputs!$B$4:$B$150,$B55)/1000)</f>
        <v>6670</v>
      </c>
      <c r="O55" s="11">
        <f>IF(SUMPRODUCT((Inputs!$B$4:$B$150=$B55)*ISNUMBER(INDEX(Inputs!$D$4:$AG$150,0,MATCH(O$2,Inputs!$D$2:$AG$2,0))))=0,"",SUMIFS(INDEX(Inputs!$D$4:$AG$150,0,MATCH(O$2,Inputs!$D$2:$AG$2,0)),Inputs!$B$4:$B$150,$B55)/1000)</f>
        <v>5791</v>
      </c>
      <c r="P55" s="11">
        <f>IF(SUMPRODUCT((Inputs!$B$4:$B$150=$B55)*ISNUMBER(INDEX(Inputs!$D$4:$AG$150,0,MATCH(P$2,Inputs!$D$2:$AG$2,0))))=0,"",SUMIFS(INDEX(Inputs!$D$4:$AG$150,0,MATCH(P$2,Inputs!$D$2:$AG$2,0)),Inputs!$B$4:$B$150,$B55)/1000)</f>
        <v>6443</v>
      </c>
      <c r="Q55" s="11">
        <f>IF(SUMPRODUCT((Inputs!$B$4:$B$150=$B55)*ISNUMBER(INDEX(Inputs!$D$4:$AG$150,0,MATCH(Q$2,Inputs!$D$2:$AG$2,0))))=0,"",SUMIFS(INDEX(Inputs!$D$4:$AG$150,0,MATCH(Q$2,Inputs!$D$2:$AG$2,0)),Inputs!$B$4:$B$150,$B55)/1000)</f>
        <v>7023</v>
      </c>
      <c r="R55" s="12">
        <f>IF(COUNT(N55:Q55)=4,SUM(N55:Q55),"")</f>
        <v>25927</v>
      </c>
      <c r="S55" s="11">
        <f>IF(SUMPRODUCT((Inputs!$B$4:$B$150=$B55)*ISNUMBER(INDEX(Inputs!$D$4:$AG$150,0,MATCH(S$2,Inputs!$D$2:$AG$2,0))))=0,"",SUMIFS(INDEX(Inputs!$D$4:$AG$150,0,MATCH(S$2,Inputs!$D$2:$AG$2,0)),Inputs!$B$4:$B$150,$B55)/1000)</f>
        <v>5559</v>
      </c>
      <c r="T55" s="11">
        <f>IF(SUMPRODUCT((Inputs!$B$4:$B$150=$B55)*ISNUMBER(INDEX(Inputs!$D$4:$AG$150,0,MATCH(T$2,Inputs!$D$2:$AG$2,0))))=0,"",SUMIFS(INDEX(Inputs!$D$4:$AG$150,0,MATCH(T$2,Inputs!$D$2:$AG$2,0)),Inputs!$B$4:$B$150,$B55)/1000)</f>
        <v>7162</v>
      </c>
      <c r="U55" s="11">
        <f>IF(SUMPRODUCT((Inputs!$B$4:$B$150=$B55)*ISNUMBER(INDEX(Inputs!$D$4:$AG$150,0,MATCH(U$2,Inputs!$D$2:$AG$2,0))))=0,"",SUMIFS(INDEX(Inputs!$D$4:$AG$150,0,MATCH(U$2,Inputs!$D$2:$AG$2,0)),Inputs!$B$4:$B$150,$B55)/1000)</f>
        <v>6950</v>
      </c>
      <c r="V55" s="11">
        <f>IF(SUMPRODUCT((Inputs!$B$4:$B$150=$B55)*ISNUMBER(INDEX(Inputs!$D$4:$AG$150,0,MATCH(V$2,Inputs!$D$2:$AG$2,0))))=0,"",SUMIFS(INDEX(Inputs!$D$4:$AG$150,0,MATCH(V$2,Inputs!$D$2:$AG$2,0)),Inputs!$B$4:$B$150,$B55)/1000)</f>
        <v>8088</v>
      </c>
      <c r="W55" s="12">
        <f>IF(COUNT(S55:V55)=4,SUM(S55:V55),"")</f>
        <v>27759</v>
      </c>
      <c r="X55" s="11">
        <f>IF(SUMPRODUCT((Inputs!$B$4:$B$150=$B55)*ISNUMBER(INDEX(Inputs!$D$4:$AG$150,0,MATCH(X$2,Inputs!$D$2:$AG$2,0))))=0,"",SUMIFS(INDEX(Inputs!$D$4:$AG$150,0,MATCH(X$2,Inputs!$D$2:$AG$2,0)),Inputs!$B$4:$B$150,$B55)/1000)</f>
        <v>6402</v>
      </c>
      <c r="Y55" s="11">
        <f>IF(SUMPRODUCT((Inputs!$B$4:$B$150=$B55)*ISNUMBER(INDEX(Inputs!$D$4:$AG$150,0,MATCH(Y$2,Inputs!$D$2:$AG$2,0))))=0,"",SUMIFS(INDEX(Inputs!$D$4:$AG$150,0,MATCH(Y$2,Inputs!$D$2:$AG$2,0)),Inputs!$B$4:$B$150,$B55)/1000)</f>
        <v>6581</v>
      </c>
      <c r="Z55" s="11">
        <f>IF(SUMPRODUCT((Inputs!$B$4:$B$150=$B55)*ISNUMBER(INDEX(Inputs!$D$4:$AG$150,0,MATCH(Z$2,Inputs!$D$2:$AG$2,0))))=0,"",SUMIFS(INDEX(Inputs!$D$4:$AG$150,0,MATCH(Z$2,Inputs!$D$2:$AG$2,0)),Inputs!$B$4:$B$150,$B55)/1000)</f>
        <v>6952</v>
      </c>
      <c r="AA55" s="11">
        <f>IF(SUMPRODUCT((Inputs!$B$4:$B$150=$B55)*ISNUMBER(INDEX(Inputs!$D$4:$AG$150,0,MATCH(AA$2,Inputs!$D$2:$AG$2,0))))=0,"",SUMIFS(INDEX(Inputs!$D$4:$AG$150,0,MATCH(AA$2,Inputs!$D$2:$AG$2,0)),Inputs!$B$4:$B$150,$B55)/1000)</f>
        <v>8595</v>
      </c>
      <c r="AB55" s="12">
        <f>IF(COUNT(X55:AA55)=4,SUM(X55:AA55),"")</f>
        <v>28530</v>
      </c>
      <c r="AC55" s="11">
        <f>IF(SUMPRODUCT((Inputs!$B$4:$B$150=$B55)*ISNUMBER(INDEX(Inputs!$D$4:$AG$150,0,MATCH(AC$2,Inputs!$D$2:$AG$2,0))))=0,"",SUMIFS(INDEX(Inputs!$D$4:$AG$150,0,MATCH(AC$2,Inputs!$D$2:$AG$2,0)),Inputs!$B$4:$B$150,$B55)/1000)</f>
        <v>6914</v>
      </c>
      <c r="AD55" s="11">
        <f>IF(SUMPRODUCT((Inputs!$B$4:$B$150=$B55)*ISNUMBER(INDEX(Inputs!$D$4:$AG$150,0,MATCH(AD$2,Inputs!$D$2:$AG$2,0))))=0,"",SUMIFS(INDEX(Inputs!$D$4:$AG$150,0,MATCH(AD$2,Inputs!$D$2:$AG$2,0)),Inputs!$B$4:$B$150,$B55)/1000)</f>
        <v>6191</v>
      </c>
      <c r="AE55" s="11" t="str">
        <f>IF(SUMPRODUCT((Inputs!$B$4:$B$150=$B55)*ISNUMBER(INDEX(Inputs!$D$4:$AG$150,0,MATCH(AE$2,Inputs!$D$2:$AG$2,0))))=0,"",SUMIFS(INDEX(Inputs!$D$4:$AG$150,0,MATCH(AE$2,Inputs!$D$2:$AG$2,0)),Inputs!$B$4:$B$150,$B55)/1000)</f>
        <v/>
      </c>
      <c r="AF55" s="11" t="str">
        <f>IF(SUMPRODUCT((Inputs!$B$4:$B$150=$B55)*ISNUMBER(INDEX(Inputs!$D$4:$AG$150,0,MATCH(AF$2,Inputs!$D$2:$AG$2,0))))=0,"",SUMIFS(INDEX(Inputs!$D$4:$AG$150,0,MATCH(AF$2,Inputs!$D$2:$AG$2,0)),Inputs!$B$4:$B$150,$B55)/1000)</f>
        <v/>
      </c>
      <c r="AG55" s="12" t="str">
        <f>IF(COUNT(AC55:AF55)=4,SUM(AC55:AF55),"")</f>
        <v/>
      </c>
    </row>
    <row r="56">
      <c r="B56" s="9" t="n">
        <v>48</v>
      </c>
      <c r="C56" s="10" t="inlineStr">
        <is>
          <t>Receita Wearables, Home and Accessories (USD)</t>
        </is>
      </c>
      <c r="D56" s="11">
        <f>IF(SUMPRODUCT((Inputs!$B$4:$B$150=$B56)*ISNUMBER(INDEX(Inputs!$D$4:$AG$150,0,MATCH(D$2,Inputs!$D$2:$AG$2,0))))=0,"",SUMIFS(INDEX(Inputs!$D$4:$AG$150,0,MATCH(D$2,Inputs!$D$2:$AG$2,0)),Inputs!$B$4:$B$150,$B56)/1000)</f>
        <v>7836</v>
      </c>
      <c r="E56" s="11">
        <f>IF(SUMPRODUCT((Inputs!$B$4:$B$150=$B56)*ISNUMBER(INDEX(Inputs!$D$4:$AG$150,0,MATCH(E$2,Inputs!$D$2:$AG$2,0))))=0,"",SUMIFS(INDEX(Inputs!$D$4:$AG$150,0,MATCH(E$2,Inputs!$D$2:$AG$2,0)),Inputs!$B$4:$B$150,$B56)/1000)</f>
        <v>8775</v>
      </c>
      <c r="F56" s="11">
        <f>IF(SUMPRODUCT((Inputs!$B$4:$B$150=$B56)*ISNUMBER(INDEX(Inputs!$D$4:$AG$150,0,MATCH(F$2,Inputs!$D$2:$AG$2,0))))=0,"",SUMIFS(INDEX(Inputs!$D$4:$AG$150,0,MATCH(F$2,Inputs!$D$2:$AG$2,0)),Inputs!$B$4:$B$150,$B56)/1000)</f>
        <v>8785</v>
      </c>
      <c r="G56" s="11">
        <f>IF(SUMPRODUCT((Inputs!$B$4:$B$150=$B56)*ISNUMBER(INDEX(Inputs!$D$4:$AG$150,0,MATCH(G$2,Inputs!$D$2:$AG$2,0))))=0,"",SUMIFS(INDEX(Inputs!$D$4:$AG$150,0,MATCH(G$2,Inputs!$D$2:$AG$2,0)),Inputs!$B$4:$B$150,$B56)/1000)</f>
        <v>14701</v>
      </c>
      <c r="H56" s="12">
        <f>IF(COUNT(D56:G56)=4,SUM(D56:G56),"")</f>
        <v>40097</v>
      </c>
      <c r="I56" s="11">
        <f>IF(SUMPRODUCT((Inputs!$B$4:$B$150=$B56)*ISNUMBER(INDEX(Inputs!$D$4:$AG$150,0,MATCH(I$2,Inputs!$D$2:$AG$2,0))))=0,"",SUMIFS(INDEX(Inputs!$D$4:$AG$150,0,MATCH(I$2,Inputs!$D$2:$AG$2,0)),Inputs!$B$4:$B$150,$B56)/1000)</f>
        <v>8806</v>
      </c>
      <c r="J56" s="11">
        <f>IF(SUMPRODUCT((Inputs!$B$4:$B$150=$B56)*ISNUMBER(INDEX(Inputs!$D$4:$AG$150,0,MATCH(J$2,Inputs!$D$2:$AG$2,0))))=0,"",SUMIFS(INDEX(Inputs!$D$4:$AG$150,0,MATCH(J$2,Inputs!$D$2:$AG$2,0)),Inputs!$B$4:$B$150,$B56)/1000)</f>
        <v>8084</v>
      </c>
      <c r="K56" s="11">
        <f>IF(SUMPRODUCT((Inputs!$B$4:$B$150=$B56)*ISNUMBER(INDEX(Inputs!$D$4:$AG$150,0,MATCH(K$2,Inputs!$D$2:$AG$2,0))))=0,"",SUMIFS(INDEX(Inputs!$D$4:$AG$150,0,MATCH(K$2,Inputs!$D$2:$AG$2,0)),Inputs!$B$4:$B$150,$B56)/1000)</f>
        <v>9650</v>
      </c>
      <c r="L56" s="11">
        <f>IF(SUMPRODUCT((Inputs!$B$4:$B$150=$B56)*ISNUMBER(INDEX(Inputs!$D$4:$AG$150,0,MATCH(L$2,Inputs!$D$2:$AG$2,0))))=0,"",SUMIFS(INDEX(Inputs!$D$4:$AG$150,0,MATCH(L$2,Inputs!$D$2:$AG$2,0)),Inputs!$B$4:$B$150,$B56)/1000)</f>
        <v>13482</v>
      </c>
      <c r="M56" s="12">
        <f>IF(COUNT(I56:L56)=4,SUM(I56:L56),"")</f>
        <v>40022</v>
      </c>
      <c r="N56" s="11">
        <f>IF(SUMPRODUCT((Inputs!$B$4:$B$150=$B56)*ISNUMBER(INDEX(Inputs!$D$4:$AG$150,0,MATCH(N$2,Inputs!$D$2:$AG$2,0))))=0,"",SUMIFS(INDEX(Inputs!$D$4:$AG$150,0,MATCH(N$2,Inputs!$D$2:$AG$2,0)),Inputs!$B$4:$B$150,$B56)/1000)</f>
        <v>8757</v>
      </c>
      <c r="O56" s="11">
        <f>IF(SUMPRODUCT((Inputs!$B$4:$B$150=$B56)*ISNUMBER(INDEX(Inputs!$D$4:$AG$150,0,MATCH(O$2,Inputs!$D$2:$AG$2,0))))=0,"",SUMIFS(INDEX(Inputs!$D$4:$AG$150,0,MATCH(O$2,Inputs!$D$2:$AG$2,0)),Inputs!$B$4:$B$150,$B56)/1000)</f>
        <v>8284</v>
      </c>
      <c r="P56" s="11">
        <f>IF(SUMPRODUCT((Inputs!$B$4:$B$150=$B56)*ISNUMBER(INDEX(Inputs!$D$4:$AG$150,0,MATCH(P$2,Inputs!$D$2:$AG$2,0))))=0,"",SUMIFS(INDEX(Inputs!$D$4:$AG$150,0,MATCH(P$2,Inputs!$D$2:$AG$2,0)),Inputs!$B$4:$B$150,$B56)/1000)</f>
        <v>9322</v>
      </c>
      <c r="Q56" s="11">
        <f>IF(SUMPRODUCT((Inputs!$B$4:$B$150=$B56)*ISNUMBER(INDEX(Inputs!$D$4:$AG$150,0,MATCH(Q$2,Inputs!$D$2:$AG$2,0))))=0,"",SUMIFS(INDEX(Inputs!$D$4:$AG$150,0,MATCH(Q$2,Inputs!$D$2:$AG$2,0)),Inputs!$B$4:$B$150,$B56)/1000)</f>
        <v>11953</v>
      </c>
      <c r="R56" s="12">
        <f>IF(COUNT(N56:Q56)=4,SUM(N56:Q56),"")</f>
        <v>38316</v>
      </c>
      <c r="S56" s="11">
        <f>IF(SUMPRODUCT((Inputs!$B$4:$B$150=$B56)*ISNUMBER(INDEX(Inputs!$D$4:$AG$150,0,MATCH(S$2,Inputs!$D$2:$AG$2,0))))=0,"",SUMIFS(INDEX(Inputs!$D$4:$AG$150,0,MATCH(S$2,Inputs!$D$2:$AG$2,0)),Inputs!$B$4:$B$150,$B56)/1000)</f>
        <v>7913</v>
      </c>
      <c r="T56" s="11">
        <f>IF(SUMPRODUCT((Inputs!$B$4:$B$150=$B56)*ISNUMBER(INDEX(Inputs!$D$4:$AG$150,0,MATCH(T$2,Inputs!$D$2:$AG$2,0))))=0,"",SUMIFS(INDEX(Inputs!$D$4:$AG$150,0,MATCH(T$2,Inputs!$D$2:$AG$2,0)),Inputs!$B$4:$B$150,$B56)/1000)</f>
        <v>8097</v>
      </c>
      <c r="U56" s="11">
        <f>IF(SUMPRODUCT((Inputs!$B$4:$B$150=$B56)*ISNUMBER(INDEX(Inputs!$D$4:$AG$150,0,MATCH(U$2,Inputs!$D$2:$AG$2,0))))=0,"",SUMIFS(INDEX(Inputs!$D$4:$AG$150,0,MATCH(U$2,Inputs!$D$2:$AG$2,0)),Inputs!$B$4:$B$150,$B56)/1000)</f>
        <v>9042</v>
      </c>
      <c r="V56" s="11">
        <f>IF(SUMPRODUCT((Inputs!$B$4:$B$150=$B56)*ISNUMBER(INDEX(Inputs!$D$4:$AG$150,0,MATCH(V$2,Inputs!$D$2:$AG$2,0))))=0,"",SUMIFS(INDEX(Inputs!$D$4:$AG$150,0,MATCH(V$2,Inputs!$D$2:$AG$2,0)),Inputs!$B$4:$B$150,$B56)/1000)</f>
        <v>11747</v>
      </c>
      <c r="W56" s="12">
        <f>IF(COUNT(S56:V56)=4,SUM(S56:V56),"")</f>
        <v>36799</v>
      </c>
      <c r="X56" s="11">
        <f>IF(SUMPRODUCT((Inputs!$B$4:$B$150=$B56)*ISNUMBER(INDEX(Inputs!$D$4:$AG$150,0,MATCH(X$2,Inputs!$D$2:$AG$2,0))))=0,"",SUMIFS(INDEX(Inputs!$D$4:$AG$150,0,MATCH(X$2,Inputs!$D$2:$AG$2,0)),Inputs!$B$4:$B$150,$B56)/1000)</f>
        <v>7522</v>
      </c>
      <c r="Y56" s="11">
        <f>IF(SUMPRODUCT((Inputs!$B$4:$B$150=$B56)*ISNUMBER(INDEX(Inputs!$D$4:$AG$150,0,MATCH(Y$2,Inputs!$D$2:$AG$2,0))))=0,"",SUMIFS(INDEX(Inputs!$D$4:$AG$150,0,MATCH(Y$2,Inputs!$D$2:$AG$2,0)),Inputs!$B$4:$B$150,$B56)/1000)</f>
        <v>7404</v>
      </c>
      <c r="Z56" s="11">
        <f>IF(SUMPRODUCT((Inputs!$B$4:$B$150=$B56)*ISNUMBER(INDEX(Inputs!$D$4:$AG$150,0,MATCH(Z$2,Inputs!$D$2:$AG$2,0))))=0,"",SUMIFS(INDEX(Inputs!$D$4:$AG$150,0,MATCH(Z$2,Inputs!$D$2:$AG$2,0)),Inputs!$B$4:$B$150,$B56)/1000)</f>
        <v>9013</v>
      </c>
      <c r="AA56" s="11">
        <f>IF(SUMPRODUCT((Inputs!$B$4:$B$150=$B56)*ISNUMBER(INDEX(Inputs!$D$4:$AG$150,0,MATCH(AA$2,Inputs!$D$2:$AG$2,0))))=0,"",SUMIFS(INDEX(Inputs!$D$4:$AG$150,0,MATCH(AA$2,Inputs!$D$2:$AG$2,0)),Inputs!$B$4:$B$150,$B56)/1000)</f>
        <v>11493</v>
      </c>
      <c r="AB56" s="12">
        <f>IF(COUNT(X56:AA56)=4,SUM(X56:AA56),"")</f>
        <v>35432</v>
      </c>
      <c r="AC56" s="11">
        <f>IF(SUMPRODUCT((Inputs!$B$4:$B$150=$B56)*ISNUMBER(INDEX(Inputs!$D$4:$AG$150,0,MATCH(AC$2,Inputs!$D$2:$AG$2,0))))=0,"",SUMIFS(INDEX(Inputs!$D$4:$AG$150,0,MATCH(AC$2,Inputs!$D$2:$AG$2,0)),Inputs!$B$4:$B$150,$B56)/1000)</f>
        <v>7901</v>
      </c>
      <c r="AD56" s="11">
        <f>IF(SUMPRODUCT((Inputs!$B$4:$B$150=$B56)*ISNUMBER(INDEX(Inputs!$D$4:$AG$150,0,MATCH(AD$2,Inputs!$D$2:$AG$2,0))))=0,"",SUMIFS(INDEX(Inputs!$D$4:$AG$150,0,MATCH(AD$2,Inputs!$D$2:$AG$2,0)),Inputs!$B$4:$B$150,$B56)/1000)</f>
        <v>7883</v>
      </c>
      <c r="AE56" s="11" t="str">
        <f>IF(SUMPRODUCT((Inputs!$B$4:$B$150=$B56)*ISNUMBER(INDEX(Inputs!$D$4:$AG$150,0,MATCH(AE$2,Inputs!$D$2:$AG$2,0))))=0,"",SUMIFS(INDEX(Inputs!$D$4:$AG$150,0,MATCH(AE$2,Inputs!$D$2:$AG$2,0)),Inputs!$B$4:$B$150,$B56)/1000)</f>
        <v/>
      </c>
      <c r="AF56" s="11" t="str">
        <f>IF(SUMPRODUCT((Inputs!$B$4:$B$150=$B56)*ISNUMBER(INDEX(Inputs!$D$4:$AG$150,0,MATCH(AF$2,Inputs!$D$2:$AG$2,0))))=0,"",SUMIFS(INDEX(Inputs!$D$4:$AG$150,0,MATCH(AF$2,Inputs!$D$2:$AG$2,0)),Inputs!$B$4:$B$150,$B56)/1000)</f>
        <v/>
      </c>
      <c r="AG56" s="12" t="str">
        <f>IF(COUNT(AC56:AF56)=4,SUM(AC56:AF56),"")</f>
        <v/>
      </c>
    </row>
    <row r="57">
      <c r="B57" s="9" t="n">
        <v>49</v>
      </c>
      <c r="C57" s="10" t="inlineStr">
        <is>
          <t>Receita Services (USD)</t>
        </is>
      </c>
      <c r="D57" s="11">
        <f>IF(SUMPRODUCT((Inputs!$B$4:$B$150=$B57)*ISNUMBER(INDEX(Inputs!$D$4:$AG$150,0,MATCH(D$2,Inputs!$D$2:$AG$2,0))))=0,"",SUMIFS(INDEX(Inputs!$D$4:$AG$150,0,MATCH(D$2,Inputs!$D$2:$AG$2,0)),Inputs!$B$4:$B$150,$B57)/1000)</f>
        <v>16901</v>
      </c>
      <c r="E57" s="11">
        <f>IF(SUMPRODUCT((Inputs!$B$4:$B$150=$B57)*ISNUMBER(INDEX(Inputs!$D$4:$AG$150,0,MATCH(E$2,Inputs!$D$2:$AG$2,0))))=0,"",SUMIFS(INDEX(Inputs!$D$4:$AG$150,0,MATCH(E$2,Inputs!$D$2:$AG$2,0)),Inputs!$B$4:$B$150,$B57)/1000)</f>
        <v>17486</v>
      </c>
      <c r="F57" s="11">
        <f>IF(SUMPRODUCT((Inputs!$B$4:$B$150=$B57)*ISNUMBER(INDEX(Inputs!$D$4:$AG$150,0,MATCH(F$2,Inputs!$D$2:$AG$2,0))))=0,"",SUMIFS(INDEX(Inputs!$D$4:$AG$150,0,MATCH(F$2,Inputs!$D$2:$AG$2,0)),Inputs!$B$4:$B$150,$B57)/1000)</f>
        <v>18277</v>
      </c>
      <c r="G57" s="11">
        <f>IF(SUMPRODUCT((Inputs!$B$4:$B$150=$B57)*ISNUMBER(INDEX(Inputs!$D$4:$AG$150,0,MATCH(G$2,Inputs!$D$2:$AG$2,0))))=0,"",SUMIFS(INDEX(Inputs!$D$4:$AG$150,0,MATCH(G$2,Inputs!$D$2:$AG$2,0)),Inputs!$B$4:$B$150,$B57)/1000)</f>
        <v>19516</v>
      </c>
      <c r="H57" s="12">
        <f>IF(COUNT(D57:G57)=4,SUM(D57:G57),"")</f>
        <v>72180</v>
      </c>
      <c r="I57" s="11">
        <f>IF(SUMPRODUCT((Inputs!$B$4:$B$150=$B57)*ISNUMBER(INDEX(Inputs!$D$4:$AG$150,0,MATCH(I$2,Inputs!$D$2:$AG$2,0))))=0,"",SUMIFS(INDEX(Inputs!$D$4:$AG$150,0,MATCH(I$2,Inputs!$D$2:$AG$2,0)),Inputs!$B$4:$B$150,$B57)/1000)</f>
        <v>19821</v>
      </c>
      <c r="J57" s="11">
        <f>IF(SUMPRODUCT((Inputs!$B$4:$B$150=$B57)*ISNUMBER(INDEX(Inputs!$D$4:$AG$150,0,MATCH(J$2,Inputs!$D$2:$AG$2,0))))=0,"",SUMIFS(INDEX(Inputs!$D$4:$AG$150,0,MATCH(J$2,Inputs!$D$2:$AG$2,0)),Inputs!$B$4:$B$150,$B57)/1000)</f>
        <v>19604</v>
      </c>
      <c r="K57" s="11">
        <f>IF(SUMPRODUCT((Inputs!$B$4:$B$150=$B57)*ISNUMBER(INDEX(Inputs!$D$4:$AG$150,0,MATCH(K$2,Inputs!$D$2:$AG$2,0))))=0,"",SUMIFS(INDEX(Inputs!$D$4:$AG$150,0,MATCH(K$2,Inputs!$D$2:$AG$2,0)),Inputs!$B$4:$B$150,$B57)/1000)</f>
        <v>19188</v>
      </c>
      <c r="L57" s="11">
        <f>IF(SUMPRODUCT((Inputs!$B$4:$B$150=$B57)*ISNUMBER(INDEX(Inputs!$D$4:$AG$150,0,MATCH(L$2,Inputs!$D$2:$AG$2,0))))=0,"",SUMIFS(INDEX(Inputs!$D$4:$AG$150,0,MATCH(L$2,Inputs!$D$2:$AG$2,0)),Inputs!$B$4:$B$150,$B57)/1000)</f>
        <v>20766</v>
      </c>
      <c r="M57" s="12">
        <f>IF(COUNT(I57:L57)=4,SUM(I57:L57),"")</f>
        <v>79379</v>
      </c>
      <c r="N57" s="11">
        <f>IF(SUMPRODUCT((Inputs!$B$4:$B$150=$B57)*ISNUMBER(INDEX(Inputs!$D$4:$AG$150,0,MATCH(N$2,Inputs!$D$2:$AG$2,0))))=0,"",SUMIFS(INDEX(Inputs!$D$4:$AG$150,0,MATCH(N$2,Inputs!$D$2:$AG$2,0)),Inputs!$B$4:$B$150,$B57)/1000)</f>
        <v>20907</v>
      </c>
      <c r="O57" s="11">
        <f>IF(SUMPRODUCT((Inputs!$B$4:$B$150=$B57)*ISNUMBER(INDEX(Inputs!$D$4:$AG$150,0,MATCH(O$2,Inputs!$D$2:$AG$2,0))))=0,"",SUMIFS(INDEX(Inputs!$D$4:$AG$150,0,MATCH(O$2,Inputs!$D$2:$AG$2,0)),Inputs!$B$4:$B$150,$B57)/1000)</f>
        <v>21213</v>
      </c>
      <c r="P57" s="11">
        <f>IF(SUMPRODUCT((Inputs!$B$4:$B$150=$B57)*ISNUMBER(INDEX(Inputs!$D$4:$AG$150,0,MATCH(P$2,Inputs!$D$2:$AG$2,0))))=0,"",SUMIFS(INDEX(Inputs!$D$4:$AG$150,0,MATCH(P$2,Inputs!$D$2:$AG$2,0)),Inputs!$B$4:$B$150,$B57)/1000)</f>
        <v>22314</v>
      </c>
      <c r="Q57" s="11">
        <f>IF(SUMPRODUCT((Inputs!$B$4:$B$150=$B57)*ISNUMBER(INDEX(Inputs!$D$4:$AG$150,0,MATCH(Q$2,Inputs!$D$2:$AG$2,0))))=0,"",SUMIFS(INDEX(Inputs!$D$4:$AG$150,0,MATCH(Q$2,Inputs!$D$2:$AG$2,0)),Inputs!$B$4:$B$150,$B57)/1000)</f>
        <v>23117</v>
      </c>
      <c r="R57" s="12">
        <f>IF(COUNT(N57:Q57)=4,SUM(N57:Q57),"")</f>
        <v>87551</v>
      </c>
      <c r="S57" s="11">
        <f>IF(SUMPRODUCT((Inputs!$B$4:$B$150=$B57)*ISNUMBER(INDEX(Inputs!$D$4:$AG$150,0,MATCH(S$2,Inputs!$D$2:$AG$2,0))))=0,"",SUMIFS(INDEX(Inputs!$D$4:$AG$150,0,MATCH(S$2,Inputs!$D$2:$AG$2,0)),Inputs!$B$4:$B$150,$B57)/1000)</f>
        <v>23867</v>
      </c>
      <c r="T57" s="11">
        <f>IF(SUMPRODUCT((Inputs!$B$4:$B$150=$B57)*ISNUMBER(INDEX(Inputs!$D$4:$AG$150,0,MATCH(T$2,Inputs!$D$2:$AG$2,0))))=0,"",SUMIFS(INDEX(Inputs!$D$4:$AG$150,0,MATCH(T$2,Inputs!$D$2:$AG$2,0)),Inputs!$B$4:$B$150,$B57)/1000)</f>
        <v>24213</v>
      </c>
      <c r="U57" s="11">
        <f>IF(SUMPRODUCT((Inputs!$B$4:$B$150=$B57)*ISNUMBER(INDEX(Inputs!$D$4:$AG$150,0,MATCH(U$2,Inputs!$D$2:$AG$2,0))))=0,"",SUMIFS(INDEX(Inputs!$D$4:$AG$150,0,MATCH(U$2,Inputs!$D$2:$AG$2,0)),Inputs!$B$4:$B$150,$B57)/1000)</f>
        <v>24972</v>
      </c>
      <c r="V57" s="11">
        <f>IF(SUMPRODUCT((Inputs!$B$4:$B$150=$B57)*ISNUMBER(INDEX(Inputs!$D$4:$AG$150,0,MATCH(V$2,Inputs!$D$2:$AG$2,0))))=0,"",SUMIFS(INDEX(Inputs!$D$4:$AG$150,0,MATCH(V$2,Inputs!$D$2:$AG$2,0)),Inputs!$B$4:$B$150,$B57)/1000)</f>
        <v>26340</v>
      </c>
      <c r="W57" s="12">
        <f>IF(COUNT(S57:V57)=4,SUM(S57:V57),"")</f>
        <v>99392</v>
      </c>
      <c r="X57" s="11">
        <f>IF(SUMPRODUCT((Inputs!$B$4:$B$150=$B57)*ISNUMBER(INDEX(Inputs!$D$4:$AG$150,0,MATCH(X$2,Inputs!$D$2:$AG$2,0))))=0,"",SUMIFS(INDEX(Inputs!$D$4:$AG$150,0,MATCH(X$2,Inputs!$D$2:$AG$2,0)),Inputs!$B$4:$B$150,$B57)/1000)</f>
        <v>26645</v>
      </c>
      <c r="Y57" s="11">
        <f>IF(SUMPRODUCT((Inputs!$B$4:$B$150=$B57)*ISNUMBER(INDEX(Inputs!$D$4:$AG$150,0,MATCH(Y$2,Inputs!$D$2:$AG$2,0))))=0,"",SUMIFS(INDEX(Inputs!$D$4:$AG$150,0,MATCH(Y$2,Inputs!$D$2:$AG$2,0)),Inputs!$B$4:$B$150,$B57)/1000)</f>
        <v>27423</v>
      </c>
      <c r="Z57" s="11">
        <f>IF(SUMPRODUCT((Inputs!$B$4:$B$150=$B57)*ISNUMBER(INDEX(Inputs!$D$4:$AG$150,0,MATCH(Z$2,Inputs!$D$2:$AG$2,0))))=0,"",SUMIFS(INDEX(Inputs!$D$4:$AG$150,0,MATCH(Z$2,Inputs!$D$2:$AG$2,0)),Inputs!$B$4:$B$150,$B57)/1000)</f>
        <v>28750</v>
      </c>
      <c r="AA57" s="11">
        <f>IF(SUMPRODUCT((Inputs!$B$4:$B$150=$B57)*ISNUMBER(INDEX(Inputs!$D$4:$AG$150,0,MATCH(AA$2,Inputs!$D$2:$AG$2,0))))=0,"",SUMIFS(INDEX(Inputs!$D$4:$AG$150,0,MATCH(AA$2,Inputs!$D$2:$AG$2,0)),Inputs!$B$4:$B$150,$B57)/1000)</f>
        <v>30013</v>
      </c>
      <c r="AB57" s="12">
        <f>IF(COUNT(X57:AA57)=4,SUM(X57:AA57),"")</f>
        <v>112831</v>
      </c>
      <c r="AC57" s="11">
        <f>IF(SUMPRODUCT((Inputs!$B$4:$B$150=$B57)*ISNUMBER(INDEX(Inputs!$D$4:$AG$150,0,MATCH(AC$2,Inputs!$D$2:$AG$2,0))))=0,"",SUMIFS(INDEX(Inputs!$D$4:$AG$150,0,MATCH(AC$2,Inputs!$D$2:$AG$2,0)),Inputs!$B$4:$B$150,$B57)/1000)</f>
        <v>30976</v>
      </c>
      <c r="AD57" s="11">
        <f>IF(SUMPRODUCT((Inputs!$B$4:$B$150=$B57)*ISNUMBER(INDEX(Inputs!$D$4:$AG$150,0,MATCH(AD$2,Inputs!$D$2:$AG$2,0))))=0,"",SUMIFS(INDEX(Inputs!$D$4:$AG$150,0,MATCH(AD$2,Inputs!$D$2:$AG$2,0)),Inputs!$B$4:$B$150,$B57)/1000)</f>
        <v>30739</v>
      </c>
      <c r="AE57" s="11" t="str">
        <f>IF(SUMPRODUCT((Inputs!$B$4:$B$150=$B57)*ISNUMBER(INDEX(Inputs!$D$4:$AG$150,0,MATCH(AE$2,Inputs!$D$2:$AG$2,0))))=0,"",SUMIFS(INDEX(Inputs!$D$4:$AG$150,0,MATCH(AE$2,Inputs!$D$2:$AG$2,0)),Inputs!$B$4:$B$150,$B57)/1000)</f>
        <v/>
      </c>
      <c r="AF57" s="11" t="str">
        <f>IF(SUMPRODUCT((Inputs!$B$4:$B$150=$B57)*ISNUMBER(INDEX(Inputs!$D$4:$AG$150,0,MATCH(AF$2,Inputs!$D$2:$AG$2,0))))=0,"",SUMIFS(INDEX(Inputs!$D$4:$AG$150,0,MATCH(AF$2,Inputs!$D$2:$AG$2,0)),Inputs!$B$4:$B$150,$B57)/1000)</f>
        <v/>
      </c>
      <c r="AG57" s="12" t="str">
        <f>IF(COUNT(AC57:AF57)=4,SUM(AC57:AF57),"")</f>
        <v/>
      </c>
    </row>
    <row r="58">
      <c r="B58" s="9" t="n">
        <v>50</v>
      </c>
      <c r="C58" s="10" t="inlineStr">
        <is>
          <t>Custo das vendas - Produtos (USD)</t>
        </is>
      </c>
      <c r="D58" s="11">
        <f>IF(SUMPRODUCT((Inputs!$B$4:$B$150=$B58)*ISNUMBER(INDEX(Inputs!$D$4:$AG$150,0,MATCH(D$2,Inputs!$D$2:$AG$2,0))))=0,"",SUMIFS(INDEX(Inputs!$D$4:$AG$150,0,MATCH(D$2,Inputs!$D$2:$AG$2,0)),Inputs!$B$4:$B$150,$B58)/1000)</f>
        <v>46447</v>
      </c>
      <c r="E58" s="11">
        <f>IF(SUMPRODUCT((Inputs!$B$4:$B$150=$B58)*ISNUMBER(INDEX(Inputs!$D$4:$AG$150,0,MATCH(E$2,Inputs!$D$2:$AG$2,0))))=0,"",SUMIFS(INDEX(Inputs!$D$4:$AG$150,0,MATCH(E$2,Inputs!$D$2:$AG$2,0)),Inputs!$B$4:$B$150,$B58)/1000)</f>
        <v>40899</v>
      </c>
      <c r="F58" s="11">
        <f>IF(SUMPRODUCT((Inputs!$B$4:$B$150=$B58)*ISNUMBER(INDEX(Inputs!$D$4:$AG$150,0,MATCH(F$2,Inputs!$D$2:$AG$2,0))))=0,"",SUMIFS(INDEX(Inputs!$D$4:$AG$150,0,MATCH(F$2,Inputs!$D$2:$AG$2,0)),Inputs!$B$4:$B$150,$B58)/1000)</f>
        <v>42790</v>
      </c>
      <c r="G58" s="11">
        <f>IF(SUMPRODUCT((Inputs!$B$4:$B$150=$B58)*ISNUMBER(INDEX(Inputs!$D$4:$AG$150,0,MATCH(G$2,Inputs!$D$2:$AG$2,0))))=0,"",SUMIFS(INDEX(Inputs!$D$4:$AG$150,0,MATCH(G$2,Inputs!$D$2:$AG$2,0)),Inputs!$B$4:$B$150,$B58)/1000)</f>
        <v>64309</v>
      </c>
      <c r="H58" s="12">
        <f>IF(COUNT(D58:G58)=4,SUM(D58:G58),"")</f>
        <v>194445</v>
      </c>
      <c r="I58" s="11">
        <f>IF(SUMPRODUCT((Inputs!$B$4:$B$150=$B58)*ISNUMBER(INDEX(Inputs!$D$4:$AG$150,0,MATCH(I$2,Inputs!$D$2:$AG$2,0))))=0,"",SUMIFS(INDEX(Inputs!$D$4:$AG$150,0,MATCH(I$2,Inputs!$D$2:$AG$2,0)),Inputs!$B$4:$B$150,$B58)/1000)</f>
        <v>49290</v>
      </c>
      <c r="J58" s="11">
        <f>IF(SUMPRODUCT((Inputs!$B$4:$B$150=$B58)*ISNUMBER(INDEX(Inputs!$D$4:$AG$150,0,MATCH(J$2,Inputs!$D$2:$AG$2,0))))=0,"",SUMIFS(INDEX(Inputs!$D$4:$AG$150,0,MATCH(J$2,Inputs!$D$2:$AG$2,0)),Inputs!$B$4:$B$150,$B58)/1000)</f>
        <v>41485</v>
      </c>
      <c r="K58" s="11">
        <f>IF(SUMPRODUCT((Inputs!$B$4:$B$150=$B58)*ISNUMBER(INDEX(Inputs!$D$4:$AG$150,0,MATCH(K$2,Inputs!$D$2:$AG$2,0))))=0,"",SUMIFS(INDEX(Inputs!$D$4:$AG$150,0,MATCH(K$2,Inputs!$D$2:$AG$2,0)),Inputs!$B$4:$B$150,$B58)/1000)</f>
        <v>46387</v>
      </c>
      <c r="L58" s="11">
        <f>IF(SUMPRODUCT((Inputs!$B$4:$B$150=$B58)*ISNUMBER(INDEX(Inputs!$D$4:$AG$150,0,MATCH(L$2,Inputs!$D$2:$AG$2,0))))=0,"",SUMIFS(INDEX(Inputs!$D$4:$AG$150,0,MATCH(L$2,Inputs!$D$2:$AG$2,0)),Inputs!$B$4:$B$150,$B58)/1000)</f>
        <v>60765</v>
      </c>
      <c r="M58" s="12">
        <f>IF(COUNT(I58:L58)=4,SUM(I58:L58),"")</f>
        <v>197927</v>
      </c>
      <c r="N58" s="11">
        <f>IF(SUMPRODUCT((Inputs!$B$4:$B$150=$B58)*ISNUMBER(INDEX(Inputs!$D$4:$AG$150,0,MATCH(N$2,Inputs!$D$2:$AG$2,0))))=0,"",SUMIFS(INDEX(Inputs!$D$4:$AG$150,0,MATCH(N$2,Inputs!$D$2:$AG$2,0)),Inputs!$B$4:$B$150,$B58)/1000)</f>
        <v>46795</v>
      </c>
      <c r="O58" s="11">
        <f>IF(SUMPRODUCT((Inputs!$B$4:$B$150=$B58)*ISNUMBER(INDEX(Inputs!$D$4:$AG$150,0,MATCH(O$2,Inputs!$D$2:$AG$2,0))))=0,"",SUMIFS(INDEX(Inputs!$D$4:$AG$150,0,MATCH(O$2,Inputs!$D$2:$AG$2,0)),Inputs!$B$4:$B$150,$B58)/1000)</f>
        <v>39136</v>
      </c>
      <c r="P58" s="11">
        <f>IF(SUMPRODUCT((Inputs!$B$4:$B$150=$B58)*ISNUMBER(INDEX(Inputs!$D$4:$AG$150,0,MATCH(P$2,Inputs!$D$2:$AG$2,0))))=0,"",SUMIFS(INDEX(Inputs!$D$4:$AG$150,0,MATCH(P$2,Inputs!$D$2:$AG$2,0)),Inputs!$B$4:$B$150,$B58)/1000)</f>
        <v>42586</v>
      </c>
      <c r="Q58" s="11">
        <f>IF(SUMPRODUCT((Inputs!$B$4:$B$150=$B58)*ISNUMBER(INDEX(Inputs!$D$4:$AG$150,0,MATCH(Q$2,Inputs!$D$2:$AG$2,0))))=0,"",SUMIFS(INDEX(Inputs!$D$4:$AG$150,0,MATCH(Q$2,Inputs!$D$2:$AG$2,0)),Inputs!$B$4:$B$150,$B58)/1000)</f>
        <v>58440</v>
      </c>
      <c r="R58" s="12">
        <f>IF(COUNT(N58:Q58)=4,SUM(N58:Q58),"")</f>
        <v>186957</v>
      </c>
      <c r="S58" s="11">
        <f>IF(SUMPRODUCT((Inputs!$B$4:$B$150=$B58)*ISNUMBER(INDEX(Inputs!$D$4:$AG$150,0,MATCH(S$2,Inputs!$D$2:$AG$2,0))))=0,"",SUMIFS(INDEX(Inputs!$D$4:$AG$150,0,MATCH(S$2,Inputs!$D$2:$AG$2,0)),Inputs!$B$4:$B$150,$B58)/1000)</f>
        <v>42424</v>
      </c>
      <c r="T58" s="11">
        <f>IF(SUMPRODUCT((Inputs!$B$4:$B$150=$B58)*ISNUMBER(INDEX(Inputs!$D$4:$AG$150,0,MATCH(T$2,Inputs!$D$2:$AG$2,0))))=0,"",SUMIFS(INDEX(Inputs!$D$4:$AG$150,0,MATCH(T$2,Inputs!$D$2:$AG$2,0)),Inputs!$B$4:$B$150,$B58)/1000)</f>
        <v>39803</v>
      </c>
      <c r="U58" s="11">
        <f>IF(SUMPRODUCT((Inputs!$B$4:$B$150=$B58)*ISNUMBER(INDEX(Inputs!$D$4:$AG$150,0,MATCH(U$2,Inputs!$D$2:$AG$2,0))))=0,"",SUMIFS(INDEX(Inputs!$D$4:$AG$150,0,MATCH(U$2,Inputs!$D$2:$AG$2,0)),Inputs!$B$4:$B$150,$B58)/1000)</f>
        <v>44566</v>
      </c>
      <c r="V58" s="11">
        <f>IF(SUMPRODUCT((Inputs!$B$4:$B$150=$B58)*ISNUMBER(INDEX(Inputs!$D$4:$AG$150,0,MATCH(V$2,Inputs!$D$2:$AG$2,0))))=0,"",SUMIFS(INDEX(Inputs!$D$4:$AG$150,0,MATCH(V$2,Inputs!$D$2:$AG$2,0)),Inputs!$B$4:$B$150,$B58)/1000)</f>
        <v>59447</v>
      </c>
      <c r="W58" s="12">
        <f>IF(COUNT(S58:V58)=4,SUM(S58:V58),"")</f>
        <v>186240</v>
      </c>
      <c r="X58" s="11">
        <f>IF(SUMPRODUCT((Inputs!$B$4:$B$150=$B58)*ISNUMBER(INDEX(Inputs!$D$4:$AG$150,0,MATCH(X$2,Inputs!$D$2:$AG$2,0))))=0,"",SUMIFS(INDEX(Inputs!$D$4:$AG$150,0,MATCH(X$2,Inputs!$D$2:$AG$2,0)),Inputs!$B$4:$B$150,$B58)/1000)</f>
        <v>44030</v>
      </c>
      <c r="Y58" s="11">
        <f>IF(SUMPRODUCT((Inputs!$B$4:$B$150=$B58)*ISNUMBER(INDEX(Inputs!$D$4:$AG$150,0,MATCH(Y$2,Inputs!$D$2:$AG$2,0))))=0,"",SUMIFS(INDEX(Inputs!$D$4:$AG$150,0,MATCH(Y$2,Inputs!$D$2:$AG$2,0)),Inputs!$B$4:$B$150,$B58)/1000)</f>
        <v>43620</v>
      </c>
      <c r="Z58" s="11">
        <f>IF(SUMPRODUCT((Inputs!$B$4:$B$150=$B58)*ISNUMBER(INDEX(Inputs!$D$4:$AG$150,0,MATCH(Z$2,Inputs!$D$2:$AG$2,0))))=0,"",SUMIFS(INDEX(Inputs!$D$4:$AG$150,0,MATCH(Z$2,Inputs!$D$2:$AG$2,0)),Inputs!$B$4:$B$150,$B58)/1000)</f>
        <v>47019</v>
      </c>
      <c r="AA58" s="11">
        <f>IF(SUMPRODUCT((Inputs!$B$4:$B$150=$B58)*ISNUMBER(INDEX(Inputs!$D$4:$AG$150,0,MATCH(AA$2,Inputs!$D$2:$AG$2,0))))=0,"",SUMIFS(INDEX(Inputs!$D$4:$AG$150,0,MATCH(AA$2,Inputs!$D$2:$AG$2,0)),Inputs!$B$4:$B$150,$B58)/1000)</f>
        <v>67478</v>
      </c>
      <c r="AB58" s="12">
        <f>IF(COUNT(X58:AA58)=4,SUM(X58:AA58),"")</f>
        <v>202147</v>
      </c>
      <c r="AC58" s="11">
        <f>IF(SUMPRODUCT((Inputs!$B$4:$B$150=$B58)*ISNUMBER(INDEX(Inputs!$D$4:$AG$150,0,MATCH(AC$2,Inputs!$D$2:$AG$2,0))))=0,"",SUMIFS(INDEX(Inputs!$D$4:$AG$150,0,MATCH(AC$2,Inputs!$D$2:$AG$2,0)),Inputs!$B$4:$B$150,$B58)/1000)</f>
        <v>49179</v>
      </c>
      <c r="AD58" s="11">
        <f>IF(SUMPRODUCT((Inputs!$B$4:$B$150=$B58)*ISNUMBER(INDEX(Inputs!$D$4:$AG$150,0,MATCH(AD$2,Inputs!$D$2:$AG$2,0))))=0,"",SUMIFS(INDEX(Inputs!$D$4:$AG$150,0,MATCH(AD$2,Inputs!$D$2:$AG$2,0)),Inputs!$B$4:$B$150,$B58)/1000)</f>
        <v>47153</v>
      </c>
      <c r="AE58" s="11" t="str">
        <f>IF(SUMPRODUCT((Inputs!$B$4:$B$150=$B58)*ISNUMBER(INDEX(Inputs!$D$4:$AG$150,0,MATCH(AE$2,Inputs!$D$2:$AG$2,0))))=0,"",SUMIFS(INDEX(Inputs!$D$4:$AG$150,0,MATCH(AE$2,Inputs!$D$2:$AG$2,0)),Inputs!$B$4:$B$150,$B58)/1000)</f>
        <v/>
      </c>
      <c r="AF58" s="11" t="str">
        <f>IF(SUMPRODUCT((Inputs!$B$4:$B$150=$B58)*ISNUMBER(INDEX(Inputs!$D$4:$AG$150,0,MATCH(AF$2,Inputs!$D$2:$AG$2,0))))=0,"",SUMIFS(INDEX(Inputs!$D$4:$AG$150,0,MATCH(AF$2,Inputs!$D$2:$AG$2,0)),Inputs!$B$4:$B$150,$B58)/1000)</f>
        <v/>
      </c>
      <c r="AG58" s="12" t="str">
        <f>IF(COUNT(AC58:AF58)=4,SUM(AC58:AF58),"")</f>
        <v/>
      </c>
    </row>
    <row r="59">
      <c r="B59" s="9" t="n">
        <v>51</v>
      </c>
      <c r="C59" s="10" t="inlineStr">
        <is>
          <t>Custo das vendas - Serviços (USD)</t>
        </is>
      </c>
      <c r="D59" s="11">
        <f>IF(SUMPRODUCT((Inputs!$B$4:$B$150=$B59)*ISNUMBER(INDEX(Inputs!$D$4:$AG$150,0,MATCH(D$2,Inputs!$D$2:$AG$2,0))))=0,"",SUMIFS(INDEX(Inputs!$D$4:$AG$150,0,MATCH(D$2,Inputs!$D$2:$AG$2,0)),Inputs!$B$4:$B$150,$B59)/1000)</f>
        <v>5058</v>
      </c>
      <c r="E59" s="11">
        <f>IF(SUMPRODUCT((Inputs!$B$4:$B$150=$B59)*ISNUMBER(INDEX(Inputs!$D$4:$AG$150,0,MATCH(E$2,Inputs!$D$2:$AG$2,0))))=0,"",SUMIFS(INDEX(Inputs!$D$4:$AG$150,0,MATCH(E$2,Inputs!$D$2:$AG$2,0)),Inputs!$B$4:$B$150,$B59)/1000)</f>
        <v>5280</v>
      </c>
      <c r="F59" s="11">
        <f>IF(SUMPRODUCT((Inputs!$B$4:$B$150=$B59)*ISNUMBER(INDEX(Inputs!$D$4:$AG$150,0,MATCH(F$2,Inputs!$D$2:$AG$2,0))))=0,"",SUMIFS(INDEX(Inputs!$D$4:$AG$150,0,MATCH(F$2,Inputs!$D$2:$AG$2,0)),Inputs!$B$4:$B$150,$B59)/1000)</f>
        <v>5396</v>
      </c>
      <c r="G59" s="11">
        <f>IF(SUMPRODUCT((Inputs!$B$4:$B$150=$B59)*ISNUMBER(INDEX(Inputs!$D$4:$AG$150,0,MATCH(G$2,Inputs!$D$2:$AG$2,0))))=0,"",SUMIFS(INDEX(Inputs!$D$4:$AG$150,0,MATCH(G$2,Inputs!$D$2:$AG$2,0)),Inputs!$B$4:$B$150,$B59)/1000)</f>
        <v>5393</v>
      </c>
      <c r="H59" s="12">
        <f>IF(COUNT(D59:G59)=4,SUM(D59:G59),"")</f>
        <v>21127</v>
      </c>
      <c r="I59" s="11">
        <f>IF(SUMPRODUCT((Inputs!$B$4:$B$150=$B59)*ISNUMBER(INDEX(Inputs!$D$4:$AG$150,0,MATCH(I$2,Inputs!$D$2:$AG$2,0))))=0,"",SUMIFS(INDEX(Inputs!$D$4:$AG$150,0,MATCH(I$2,Inputs!$D$2:$AG$2,0)),Inputs!$B$4:$B$150,$B59)/1000)</f>
        <v>5429</v>
      </c>
      <c r="J59" s="11">
        <f>IF(SUMPRODUCT((Inputs!$B$4:$B$150=$B59)*ISNUMBER(INDEX(Inputs!$D$4:$AG$150,0,MATCH(J$2,Inputs!$D$2:$AG$2,0))))=0,"",SUMIFS(INDEX(Inputs!$D$4:$AG$150,0,MATCH(J$2,Inputs!$D$2:$AG$2,0)),Inputs!$B$4:$B$150,$B59)/1000)</f>
        <v>5589</v>
      </c>
      <c r="K59" s="11">
        <f>IF(SUMPRODUCT((Inputs!$B$4:$B$150=$B59)*ISNUMBER(INDEX(Inputs!$D$4:$AG$150,0,MATCH(K$2,Inputs!$D$2:$AG$2,0))))=0,"",SUMIFS(INDEX(Inputs!$D$4:$AG$150,0,MATCH(K$2,Inputs!$D$2:$AG$2,0)),Inputs!$B$4:$B$150,$B59)/1000)</f>
        <v>5664</v>
      </c>
      <c r="L59" s="11">
        <f>IF(SUMPRODUCT((Inputs!$B$4:$B$150=$B59)*ISNUMBER(INDEX(Inputs!$D$4:$AG$150,0,MATCH(L$2,Inputs!$D$2:$AG$2,0))))=0,"",SUMIFS(INDEX(Inputs!$D$4:$AG$150,0,MATCH(L$2,Inputs!$D$2:$AG$2,0)),Inputs!$B$4:$B$150,$B59)/1000)</f>
        <v>6057</v>
      </c>
      <c r="M59" s="12">
        <f>IF(COUNT(I59:L59)=4,SUM(I59:L59),"")</f>
        <v>22739</v>
      </c>
      <c r="N59" s="11">
        <f>IF(SUMPRODUCT((Inputs!$B$4:$B$150=$B59)*ISNUMBER(INDEX(Inputs!$D$4:$AG$150,0,MATCH(N$2,Inputs!$D$2:$AG$2,0))))=0,"",SUMIFS(INDEX(Inputs!$D$4:$AG$150,0,MATCH(N$2,Inputs!$D$2:$AG$2,0)),Inputs!$B$4:$B$150,$B59)/1000)</f>
        <v>6065</v>
      </c>
      <c r="O59" s="11">
        <f>IF(SUMPRODUCT((Inputs!$B$4:$B$150=$B59)*ISNUMBER(INDEX(Inputs!$D$4:$AG$150,0,MATCH(O$2,Inputs!$D$2:$AG$2,0))))=0,"",SUMIFS(INDEX(Inputs!$D$4:$AG$150,0,MATCH(O$2,Inputs!$D$2:$AG$2,0)),Inputs!$B$4:$B$150,$B59)/1000)</f>
        <v>6248</v>
      </c>
      <c r="P59" s="11">
        <f>IF(SUMPRODUCT((Inputs!$B$4:$B$150=$B59)*ISNUMBER(INDEX(Inputs!$D$4:$AG$150,0,MATCH(P$2,Inputs!$D$2:$AG$2,0))))=0,"",SUMIFS(INDEX(Inputs!$D$4:$AG$150,0,MATCH(P$2,Inputs!$D$2:$AG$2,0)),Inputs!$B$4:$B$150,$B59)/1000)</f>
        <v>6485</v>
      </c>
      <c r="Q59" s="11">
        <f>IF(SUMPRODUCT((Inputs!$B$4:$B$150=$B59)*ISNUMBER(INDEX(Inputs!$D$4:$AG$150,0,MATCH(Q$2,Inputs!$D$2:$AG$2,0))))=0,"",SUMIFS(INDEX(Inputs!$D$4:$AG$150,0,MATCH(Q$2,Inputs!$D$2:$AG$2,0)),Inputs!$B$4:$B$150,$B59)/1000)</f>
        <v>6280</v>
      </c>
      <c r="R59" s="12">
        <f>IF(COUNT(N59:Q59)=4,SUM(N59:Q59),"")</f>
        <v>25078</v>
      </c>
      <c r="S59" s="11">
        <f>IF(SUMPRODUCT((Inputs!$B$4:$B$150=$B59)*ISNUMBER(INDEX(Inputs!$D$4:$AG$150,0,MATCH(S$2,Inputs!$D$2:$AG$2,0))))=0,"",SUMIFS(INDEX(Inputs!$D$4:$AG$150,0,MATCH(S$2,Inputs!$D$2:$AG$2,0)),Inputs!$B$4:$B$150,$B59)/1000)</f>
        <v>6058</v>
      </c>
      <c r="T59" s="11">
        <f>IF(SUMPRODUCT((Inputs!$B$4:$B$150=$B59)*ISNUMBER(INDEX(Inputs!$D$4:$AG$150,0,MATCH(T$2,Inputs!$D$2:$AG$2,0))))=0,"",SUMIFS(INDEX(Inputs!$D$4:$AG$150,0,MATCH(T$2,Inputs!$D$2:$AG$2,0)),Inputs!$B$4:$B$150,$B59)/1000)</f>
        <v>6296</v>
      </c>
      <c r="U59" s="11">
        <f>IF(SUMPRODUCT((Inputs!$B$4:$B$150=$B59)*ISNUMBER(INDEX(Inputs!$D$4:$AG$150,0,MATCH(U$2,Inputs!$D$2:$AG$2,0))))=0,"",SUMIFS(INDEX(Inputs!$D$4:$AG$150,0,MATCH(U$2,Inputs!$D$2:$AG$2,0)),Inputs!$B$4:$B$150,$B59)/1000)</f>
        <v>6485</v>
      </c>
      <c r="V59" s="11">
        <f>IF(SUMPRODUCT((Inputs!$B$4:$B$150=$B59)*ISNUMBER(INDEX(Inputs!$D$4:$AG$150,0,MATCH(V$2,Inputs!$D$2:$AG$2,0))))=0,"",SUMIFS(INDEX(Inputs!$D$4:$AG$150,0,MATCH(V$2,Inputs!$D$2:$AG$2,0)),Inputs!$B$4:$B$150,$B59)/1000)</f>
        <v>6578</v>
      </c>
      <c r="W59" s="12">
        <f>IF(COUNT(S59:V59)=4,SUM(S59:V59),"")</f>
        <v>25417</v>
      </c>
      <c r="X59" s="11">
        <f>IF(SUMPRODUCT((Inputs!$B$4:$B$150=$B59)*ISNUMBER(INDEX(Inputs!$D$4:$AG$150,0,MATCH(X$2,Inputs!$D$2:$AG$2,0))))=0,"",SUMIFS(INDEX(Inputs!$D$4:$AG$150,0,MATCH(X$2,Inputs!$D$2:$AG$2,0)),Inputs!$B$4:$B$150,$B59)/1000)</f>
        <v>6462</v>
      </c>
      <c r="Y59" s="11">
        <f>IF(SUMPRODUCT((Inputs!$B$4:$B$150=$B59)*ISNUMBER(INDEX(Inputs!$D$4:$AG$150,0,MATCH(Y$2,Inputs!$D$2:$AG$2,0))))=0,"",SUMIFS(INDEX(Inputs!$D$4:$AG$150,0,MATCH(Y$2,Inputs!$D$2:$AG$2,0)),Inputs!$B$4:$B$150,$B59)/1000)</f>
        <v>6698</v>
      </c>
      <c r="Z59" s="11">
        <f>IF(SUMPRODUCT((Inputs!$B$4:$B$150=$B59)*ISNUMBER(INDEX(Inputs!$D$4:$AG$150,0,MATCH(Z$2,Inputs!$D$2:$AG$2,0))))=0,"",SUMIFS(INDEX(Inputs!$D$4:$AG$150,0,MATCH(Z$2,Inputs!$D$2:$AG$2,0)),Inputs!$B$4:$B$150,$B59)/1000)</f>
        <v>7106</v>
      </c>
      <c r="AA59" s="11">
        <f>IF(SUMPRODUCT((Inputs!$B$4:$B$150=$B59)*ISNUMBER(INDEX(Inputs!$D$4:$AG$150,0,MATCH(AA$2,Inputs!$D$2:$AG$2,0))))=0,"",SUMIFS(INDEX(Inputs!$D$4:$AG$150,0,MATCH(AA$2,Inputs!$D$2:$AG$2,0)),Inputs!$B$4:$B$150,$B59)/1000)</f>
        <v>7047</v>
      </c>
      <c r="AB59" s="12">
        <f>IF(COUNT(X59:AA59)=4,SUM(X59:AA59),"")</f>
        <v>27313</v>
      </c>
      <c r="AC59" s="11">
        <f>IF(SUMPRODUCT((Inputs!$B$4:$B$150=$B59)*ISNUMBER(INDEX(Inputs!$D$4:$AG$150,0,MATCH(AC$2,Inputs!$D$2:$AG$2,0))))=0,"",SUMIFS(INDEX(Inputs!$D$4:$AG$150,0,MATCH(AC$2,Inputs!$D$2:$AG$2,0)),Inputs!$B$4:$B$150,$B59)/1000)</f>
        <v>7224</v>
      </c>
      <c r="AD59" s="11">
        <f>IF(SUMPRODUCT((Inputs!$B$4:$B$150=$B59)*ISNUMBER(INDEX(Inputs!$D$4:$AG$150,0,MATCH(AD$2,Inputs!$D$2:$AG$2,0))))=0,"",SUMIFS(INDEX(Inputs!$D$4:$AG$150,0,MATCH(AD$2,Inputs!$D$2:$AG$2,0)),Inputs!$B$4:$B$150,$B59)/1000)</f>
        <v>7494</v>
      </c>
      <c r="AE59" s="11" t="str">
        <f>IF(SUMPRODUCT((Inputs!$B$4:$B$150=$B59)*ISNUMBER(INDEX(Inputs!$D$4:$AG$150,0,MATCH(AE$2,Inputs!$D$2:$AG$2,0))))=0,"",SUMIFS(INDEX(Inputs!$D$4:$AG$150,0,MATCH(AE$2,Inputs!$D$2:$AG$2,0)),Inputs!$B$4:$B$150,$B59)/1000)</f>
        <v/>
      </c>
      <c r="AF59" s="11" t="str">
        <f>IF(SUMPRODUCT((Inputs!$B$4:$B$150=$B59)*ISNUMBER(INDEX(Inputs!$D$4:$AG$150,0,MATCH(AF$2,Inputs!$D$2:$AG$2,0))))=0,"",SUMIFS(INDEX(Inputs!$D$4:$AG$150,0,MATCH(AF$2,Inputs!$D$2:$AG$2,0)),Inputs!$B$4:$B$150,$B59)/1000)</f>
        <v/>
      </c>
      <c r="AG59" s="12" t="str">
        <f>IF(COUNT(AC59:AF59)=4,SUM(AC59:AF59),"")</f>
        <v/>
      </c>
    </row>
    <row r="60">
      <c r="B60" s="9" t="n">
        <v>52</v>
      </c>
      <c r="C60" s="10" t="inlineStr">
        <is>
          <t>Receita segmento Américas (USD)</t>
        </is>
      </c>
      <c r="D60" s="11">
        <f>IF(SUMPRODUCT((Inputs!$B$4:$B$150=$B60)*ISNUMBER(INDEX(Inputs!$D$4:$AG$150,0,MATCH(D$2,Inputs!$D$2:$AG$2,0))))=0,"",SUMIFS(INDEX(Inputs!$D$4:$AG$150,0,MATCH(D$2,Inputs!$D$2:$AG$2,0)),Inputs!$B$4:$B$150,$B60)/1000)</f>
        <v>34306</v>
      </c>
      <c r="E60" s="11">
        <f>IF(SUMPRODUCT((Inputs!$B$4:$B$150=$B60)*ISNUMBER(INDEX(Inputs!$D$4:$AG$150,0,MATCH(E$2,Inputs!$D$2:$AG$2,0))))=0,"",SUMIFS(INDEX(Inputs!$D$4:$AG$150,0,MATCH(E$2,Inputs!$D$2:$AG$2,0)),Inputs!$B$4:$B$150,$B60)/1000)</f>
        <v>35870</v>
      </c>
      <c r="F60" s="11">
        <f>IF(SUMPRODUCT((Inputs!$B$4:$B$150=$B60)*ISNUMBER(INDEX(Inputs!$D$4:$AG$150,0,MATCH(F$2,Inputs!$D$2:$AG$2,0))))=0,"",SUMIFS(INDEX(Inputs!$D$4:$AG$150,0,MATCH(F$2,Inputs!$D$2:$AG$2,0)),Inputs!$B$4:$B$150,$B60)/1000)</f>
        <v>36820</v>
      </c>
      <c r="G60" s="11">
        <f>IF(SUMPRODUCT((Inputs!$B$4:$B$150=$B60)*ISNUMBER(INDEX(Inputs!$D$4:$AG$150,0,MATCH(G$2,Inputs!$D$2:$AG$2,0))))=0,"",SUMIFS(INDEX(Inputs!$D$4:$AG$150,0,MATCH(G$2,Inputs!$D$2:$AG$2,0)),Inputs!$B$4:$B$150,$B60)/1000)</f>
        <v>51496</v>
      </c>
      <c r="H60" s="12">
        <f>IF(COUNT(D60:G60)=4,SUM(D60:G60),"")</f>
        <v>158492</v>
      </c>
      <c r="I60" s="11">
        <f>IF(SUMPRODUCT((Inputs!$B$4:$B$150=$B60)*ISNUMBER(INDEX(Inputs!$D$4:$AG$150,0,MATCH(I$2,Inputs!$D$2:$AG$2,0))))=0,"",SUMIFS(INDEX(Inputs!$D$4:$AG$150,0,MATCH(I$2,Inputs!$D$2:$AG$2,0)),Inputs!$B$4:$B$150,$B60)/1000)</f>
        <v>40882</v>
      </c>
      <c r="J60" s="11">
        <f>IF(SUMPRODUCT((Inputs!$B$4:$B$150=$B60)*ISNUMBER(INDEX(Inputs!$D$4:$AG$150,0,MATCH(J$2,Inputs!$D$2:$AG$2,0))))=0,"",SUMIFS(INDEX(Inputs!$D$4:$AG$150,0,MATCH(J$2,Inputs!$D$2:$AG$2,0)),Inputs!$B$4:$B$150,$B60)/1000)</f>
        <v>37472</v>
      </c>
      <c r="K60" s="11">
        <f>IF(SUMPRODUCT((Inputs!$B$4:$B$150=$B60)*ISNUMBER(INDEX(Inputs!$D$4:$AG$150,0,MATCH(K$2,Inputs!$D$2:$AG$2,0))))=0,"",SUMIFS(INDEX(Inputs!$D$4:$AG$150,0,MATCH(K$2,Inputs!$D$2:$AG$2,0)),Inputs!$B$4:$B$150,$B60)/1000)</f>
        <v>39808</v>
      </c>
      <c r="L60" s="11">
        <f>IF(SUMPRODUCT((Inputs!$B$4:$B$150=$B60)*ISNUMBER(INDEX(Inputs!$D$4:$AG$150,0,MATCH(L$2,Inputs!$D$2:$AG$2,0))))=0,"",SUMIFS(INDEX(Inputs!$D$4:$AG$150,0,MATCH(L$2,Inputs!$D$2:$AG$2,0)),Inputs!$B$4:$B$150,$B60)/1000)</f>
        <v>49278</v>
      </c>
      <c r="M60" s="12">
        <f>IF(COUNT(I60:L60)=4,SUM(I60:L60),"")</f>
        <v>167440</v>
      </c>
      <c r="N60" s="11">
        <f>IF(SUMPRODUCT((Inputs!$B$4:$B$150=$B60)*ISNUMBER(INDEX(Inputs!$D$4:$AG$150,0,MATCH(N$2,Inputs!$D$2:$AG$2,0))))=0,"",SUMIFS(INDEX(Inputs!$D$4:$AG$150,0,MATCH(N$2,Inputs!$D$2:$AG$2,0)),Inputs!$B$4:$B$150,$B60)/1000)</f>
        <v>37784</v>
      </c>
      <c r="O60" s="11">
        <f>IF(SUMPRODUCT((Inputs!$B$4:$B$150=$B60)*ISNUMBER(INDEX(Inputs!$D$4:$AG$150,0,MATCH(O$2,Inputs!$D$2:$AG$2,0))))=0,"",SUMIFS(INDEX(Inputs!$D$4:$AG$150,0,MATCH(O$2,Inputs!$D$2:$AG$2,0)),Inputs!$B$4:$B$150,$B60)/1000)</f>
        <v>35383</v>
      </c>
      <c r="P60" s="11">
        <f>IF(SUMPRODUCT((Inputs!$B$4:$B$150=$B60)*ISNUMBER(INDEX(Inputs!$D$4:$AG$150,0,MATCH(P$2,Inputs!$D$2:$AG$2,0))))=0,"",SUMIFS(INDEX(Inputs!$D$4:$AG$150,0,MATCH(P$2,Inputs!$D$2:$AG$2,0)),Inputs!$B$4:$B$150,$B60)/1000)</f>
        <v>40115</v>
      </c>
      <c r="Q60" s="11">
        <f>IF(SUMPRODUCT((Inputs!$B$4:$B$150=$B60)*ISNUMBER(INDEX(Inputs!$D$4:$AG$150,0,MATCH(Q$2,Inputs!$D$2:$AG$2,0))))=0,"",SUMIFS(INDEX(Inputs!$D$4:$AG$150,0,MATCH(Q$2,Inputs!$D$2:$AG$2,0)),Inputs!$B$4:$B$150,$B60)/1000)</f>
        <v>50430</v>
      </c>
      <c r="R60" s="12">
        <f>IF(COUNT(N60:Q60)=4,SUM(N60:Q60),"")</f>
        <v>163712</v>
      </c>
      <c r="S60" s="11">
        <f>IF(SUMPRODUCT((Inputs!$B$4:$B$150=$B60)*ISNUMBER(INDEX(Inputs!$D$4:$AG$150,0,MATCH(S$2,Inputs!$D$2:$AG$2,0))))=0,"",SUMIFS(INDEX(Inputs!$D$4:$AG$150,0,MATCH(S$2,Inputs!$D$2:$AG$2,0)),Inputs!$B$4:$B$150,$B60)/1000)</f>
        <v>37273</v>
      </c>
      <c r="T60" s="11">
        <f>IF(SUMPRODUCT((Inputs!$B$4:$B$150=$B60)*ISNUMBER(INDEX(Inputs!$D$4:$AG$150,0,MATCH(T$2,Inputs!$D$2:$AG$2,0))))=0,"",SUMIFS(INDEX(Inputs!$D$4:$AG$150,0,MATCH(T$2,Inputs!$D$2:$AG$2,0)),Inputs!$B$4:$B$150,$B60)/1000)</f>
        <v>37678</v>
      </c>
      <c r="U60" s="11">
        <f>IF(SUMPRODUCT((Inputs!$B$4:$B$150=$B60)*ISNUMBER(INDEX(Inputs!$D$4:$AG$150,0,MATCH(U$2,Inputs!$D$2:$AG$2,0))))=0,"",SUMIFS(INDEX(Inputs!$D$4:$AG$150,0,MATCH(U$2,Inputs!$D$2:$AG$2,0)),Inputs!$B$4:$B$150,$B60)/1000)</f>
        <v>41664</v>
      </c>
      <c r="V60" s="11">
        <f>IF(SUMPRODUCT((Inputs!$B$4:$B$150=$B60)*ISNUMBER(INDEX(Inputs!$D$4:$AG$150,0,MATCH(V$2,Inputs!$D$2:$AG$2,0))))=0,"",SUMIFS(INDEX(Inputs!$D$4:$AG$150,0,MATCH(V$2,Inputs!$D$2:$AG$2,0)),Inputs!$B$4:$B$150,$B60)/1000)</f>
        <v>52648</v>
      </c>
      <c r="W60" s="12">
        <f>IF(COUNT(S60:V60)=4,SUM(S60:V60),"")</f>
        <v>169263</v>
      </c>
      <c r="X60" s="11">
        <f>IF(SUMPRODUCT((Inputs!$B$4:$B$150=$B60)*ISNUMBER(INDEX(Inputs!$D$4:$AG$150,0,MATCH(X$2,Inputs!$D$2:$AG$2,0))))=0,"",SUMIFS(INDEX(Inputs!$D$4:$AG$150,0,MATCH(X$2,Inputs!$D$2:$AG$2,0)),Inputs!$B$4:$B$150,$B60)/1000)</f>
        <v>40315</v>
      </c>
      <c r="Y60" s="11">
        <f>IF(SUMPRODUCT((Inputs!$B$4:$B$150=$B60)*ISNUMBER(INDEX(Inputs!$D$4:$AG$150,0,MATCH(Y$2,Inputs!$D$2:$AG$2,0))))=0,"",SUMIFS(INDEX(Inputs!$D$4:$AG$150,0,MATCH(Y$2,Inputs!$D$2:$AG$2,0)),Inputs!$B$4:$B$150,$B60)/1000)</f>
        <v>41198</v>
      </c>
      <c r="Z60" s="11">
        <f>IF(SUMPRODUCT((Inputs!$B$4:$B$150=$B60)*ISNUMBER(INDEX(Inputs!$D$4:$AG$150,0,MATCH(Z$2,Inputs!$D$2:$AG$2,0))))=0,"",SUMIFS(INDEX(Inputs!$D$4:$AG$150,0,MATCH(Z$2,Inputs!$D$2:$AG$2,0)),Inputs!$B$4:$B$150,$B60)/1000)</f>
        <v>44192</v>
      </c>
      <c r="AA60" s="11">
        <f>IF(SUMPRODUCT((Inputs!$B$4:$B$150=$B60)*ISNUMBER(INDEX(Inputs!$D$4:$AG$150,0,MATCH(AA$2,Inputs!$D$2:$AG$2,0))))=0,"",SUMIFS(INDEX(Inputs!$D$4:$AG$150,0,MATCH(AA$2,Inputs!$D$2:$AG$2,0)),Inputs!$B$4:$B$150,$B60)/1000)</f>
        <v>58529</v>
      </c>
      <c r="AB60" s="12">
        <f>IF(COUNT(X60:AA60)=4,SUM(X60:AA60),"")</f>
        <v>184234</v>
      </c>
      <c r="AC60" s="11">
        <f>IF(SUMPRODUCT((Inputs!$B$4:$B$150=$B60)*ISNUMBER(INDEX(Inputs!$D$4:$AG$150,0,MATCH(AC$2,Inputs!$D$2:$AG$2,0))))=0,"",SUMIFS(INDEX(Inputs!$D$4:$AG$150,0,MATCH(AC$2,Inputs!$D$2:$AG$2,0)),Inputs!$B$4:$B$150,$B60)/1000)</f>
        <v>45093</v>
      </c>
      <c r="AD60" s="11">
        <f>IF(SUMPRODUCT((Inputs!$B$4:$B$150=$B60)*ISNUMBER(INDEX(Inputs!$D$4:$AG$150,0,MATCH(AD$2,Inputs!$D$2:$AG$2,0))))=0,"",SUMIFS(INDEX(Inputs!$D$4:$AG$150,0,MATCH(AD$2,Inputs!$D$2:$AG$2,0)),Inputs!$B$4:$B$150,$B60)/1000)</f>
        <v>45781</v>
      </c>
      <c r="AE60" s="11" t="str">
        <f>IF(SUMPRODUCT((Inputs!$B$4:$B$150=$B60)*ISNUMBER(INDEX(Inputs!$D$4:$AG$150,0,MATCH(AE$2,Inputs!$D$2:$AG$2,0))))=0,"",SUMIFS(INDEX(Inputs!$D$4:$AG$150,0,MATCH(AE$2,Inputs!$D$2:$AG$2,0)),Inputs!$B$4:$B$150,$B60)/1000)</f>
        <v/>
      </c>
      <c r="AF60" s="11" t="str">
        <f>IF(SUMPRODUCT((Inputs!$B$4:$B$150=$B60)*ISNUMBER(INDEX(Inputs!$D$4:$AG$150,0,MATCH(AF$2,Inputs!$D$2:$AG$2,0))))=0,"",SUMIFS(INDEX(Inputs!$D$4:$AG$150,0,MATCH(AF$2,Inputs!$D$2:$AG$2,0)),Inputs!$B$4:$B$150,$B60)/1000)</f>
        <v/>
      </c>
      <c r="AG60" s="12" t="str">
        <f>IF(COUNT(AC60:AF60)=4,SUM(AC60:AF60),"")</f>
        <v/>
      </c>
    </row>
    <row r="61">
      <c r="B61" s="9" t="n">
        <v>53</v>
      </c>
      <c r="C61" s="10" t="inlineStr">
        <is>
          <t>Receita segmento Europa (USD; inclui Índia, Oriente Médio e África)</t>
        </is>
      </c>
      <c r="D61" s="11">
        <f>IF(SUMPRODUCT((Inputs!$B$4:$B$150=$B61)*ISNUMBER(INDEX(Inputs!$D$4:$AG$150,0,MATCH(D$2,Inputs!$D$2:$AG$2,0))))=0,"",SUMIFS(INDEX(Inputs!$D$4:$AG$150,0,MATCH(D$2,Inputs!$D$2:$AG$2,0)),Inputs!$B$4:$B$150,$B61)/1000)</f>
        <v>22264</v>
      </c>
      <c r="E61" s="11">
        <f>IF(SUMPRODUCT((Inputs!$B$4:$B$150=$B61)*ISNUMBER(INDEX(Inputs!$D$4:$AG$150,0,MATCH(E$2,Inputs!$D$2:$AG$2,0))))=0,"",SUMIFS(INDEX(Inputs!$D$4:$AG$150,0,MATCH(E$2,Inputs!$D$2:$AG$2,0)),Inputs!$B$4:$B$150,$B61)/1000)</f>
        <v>18943</v>
      </c>
      <c r="F61" s="11">
        <f>IF(SUMPRODUCT((Inputs!$B$4:$B$150=$B61)*ISNUMBER(INDEX(Inputs!$D$4:$AG$150,0,MATCH(F$2,Inputs!$D$2:$AG$2,0))))=0,"",SUMIFS(INDEX(Inputs!$D$4:$AG$150,0,MATCH(F$2,Inputs!$D$2:$AG$2,0)),Inputs!$B$4:$B$150,$B61)/1000)</f>
        <v>20794</v>
      </c>
      <c r="G61" s="11">
        <f>IF(SUMPRODUCT((Inputs!$B$4:$B$150=$B61)*ISNUMBER(INDEX(Inputs!$D$4:$AG$150,0,MATCH(G$2,Inputs!$D$2:$AG$2,0))))=0,"",SUMIFS(INDEX(Inputs!$D$4:$AG$150,0,MATCH(G$2,Inputs!$D$2:$AG$2,0)),Inputs!$B$4:$B$150,$B61)/1000)</f>
        <v>29749</v>
      </c>
      <c r="H61" s="12">
        <f>IF(COUNT(D61:G61)=4,SUM(D61:G61),"")</f>
        <v>91750</v>
      </c>
      <c r="I61" s="11">
        <f>IF(SUMPRODUCT((Inputs!$B$4:$B$150=$B61)*ISNUMBER(INDEX(Inputs!$D$4:$AG$150,0,MATCH(I$2,Inputs!$D$2:$AG$2,0))))=0,"",SUMIFS(INDEX(Inputs!$D$4:$AG$150,0,MATCH(I$2,Inputs!$D$2:$AG$2,0)),Inputs!$B$4:$B$150,$B61)/1000)</f>
        <v>23287</v>
      </c>
      <c r="J61" s="11">
        <f>IF(SUMPRODUCT((Inputs!$B$4:$B$150=$B61)*ISNUMBER(INDEX(Inputs!$D$4:$AG$150,0,MATCH(J$2,Inputs!$D$2:$AG$2,0))))=0,"",SUMIFS(INDEX(Inputs!$D$4:$AG$150,0,MATCH(J$2,Inputs!$D$2:$AG$2,0)),Inputs!$B$4:$B$150,$B61)/1000)</f>
        <v>19287</v>
      </c>
      <c r="K61" s="11">
        <f>IF(SUMPRODUCT((Inputs!$B$4:$B$150=$B61)*ISNUMBER(INDEX(Inputs!$D$4:$AG$150,0,MATCH(K$2,Inputs!$D$2:$AG$2,0))))=0,"",SUMIFS(INDEX(Inputs!$D$4:$AG$150,0,MATCH(K$2,Inputs!$D$2:$AG$2,0)),Inputs!$B$4:$B$150,$B61)/1000)</f>
        <v>22795</v>
      </c>
      <c r="L61" s="11">
        <f>IF(SUMPRODUCT((Inputs!$B$4:$B$150=$B61)*ISNUMBER(INDEX(Inputs!$D$4:$AG$150,0,MATCH(L$2,Inputs!$D$2:$AG$2,0))))=0,"",SUMIFS(INDEX(Inputs!$D$4:$AG$150,0,MATCH(L$2,Inputs!$D$2:$AG$2,0)),Inputs!$B$4:$B$150,$B61)/1000)</f>
        <v>27681</v>
      </c>
      <c r="M61" s="12">
        <f>IF(COUNT(I61:L61)=4,SUM(I61:L61),"")</f>
        <v>93050</v>
      </c>
      <c r="N61" s="11">
        <f>IF(SUMPRODUCT((Inputs!$B$4:$B$150=$B61)*ISNUMBER(INDEX(Inputs!$D$4:$AG$150,0,MATCH(N$2,Inputs!$D$2:$AG$2,0))))=0,"",SUMIFS(INDEX(Inputs!$D$4:$AG$150,0,MATCH(N$2,Inputs!$D$2:$AG$2,0)),Inputs!$B$4:$B$150,$B61)/1000)</f>
        <v>23945</v>
      </c>
      <c r="O61" s="11">
        <f>IF(SUMPRODUCT((Inputs!$B$4:$B$150=$B61)*ISNUMBER(INDEX(Inputs!$D$4:$AG$150,0,MATCH(O$2,Inputs!$D$2:$AG$2,0))))=0,"",SUMIFS(INDEX(Inputs!$D$4:$AG$150,0,MATCH(O$2,Inputs!$D$2:$AG$2,0)),Inputs!$B$4:$B$150,$B61)/1000)</f>
        <v>20205</v>
      </c>
      <c r="P61" s="11">
        <f>IF(SUMPRODUCT((Inputs!$B$4:$B$150=$B61)*ISNUMBER(INDEX(Inputs!$D$4:$AG$150,0,MATCH(P$2,Inputs!$D$2:$AG$2,0))))=0,"",SUMIFS(INDEX(Inputs!$D$4:$AG$150,0,MATCH(P$2,Inputs!$D$2:$AG$2,0)),Inputs!$B$4:$B$150,$B61)/1000)</f>
        <v>22463</v>
      </c>
      <c r="Q61" s="11">
        <f>IF(SUMPRODUCT((Inputs!$B$4:$B$150=$B61)*ISNUMBER(INDEX(Inputs!$D$4:$AG$150,0,MATCH(Q$2,Inputs!$D$2:$AG$2,0))))=0,"",SUMIFS(INDEX(Inputs!$D$4:$AG$150,0,MATCH(Q$2,Inputs!$D$2:$AG$2,0)),Inputs!$B$4:$B$150,$B61)/1000)</f>
        <v>30397</v>
      </c>
      <c r="R61" s="12">
        <f>IF(COUNT(N61:Q61)=4,SUM(N61:Q61),"")</f>
        <v>97010</v>
      </c>
      <c r="S61" s="11">
        <f>IF(SUMPRODUCT((Inputs!$B$4:$B$150=$B61)*ISNUMBER(INDEX(Inputs!$D$4:$AG$150,0,MATCH(S$2,Inputs!$D$2:$AG$2,0))))=0,"",SUMIFS(INDEX(Inputs!$D$4:$AG$150,0,MATCH(S$2,Inputs!$D$2:$AG$2,0)),Inputs!$B$4:$B$150,$B61)/1000)</f>
        <v>24123</v>
      </c>
      <c r="T61" s="11">
        <f>IF(SUMPRODUCT((Inputs!$B$4:$B$150=$B61)*ISNUMBER(INDEX(Inputs!$D$4:$AG$150,0,MATCH(T$2,Inputs!$D$2:$AG$2,0))))=0,"",SUMIFS(INDEX(Inputs!$D$4:$AG$150,0,MATCH(T$2,Inputs!$D$2:$AG$2,0)),Inputs!$B$4:$B$150,$B61)/1000)</f>
        <v>21884</v>
      </c>
      <c r="U61" s="11">
        <f>IF(SUMPRODUCT((Inputs!$B$4:$B$150=$B61)*ISNUMBER(INDEX(Inputs!$D$4:$AG$150,0,MATCH(U$2,Inputs!$D$2:$AG$2,0))))=0,"",SUMIFS(INDEX(Inputs!$D$4:$AG$150,0,MATCH(U$2,Inputs!$D$2:$AG$2,0)),Inputs!$B$4:$B$150,$B61)/1000)</f>
        <v>24924</v>
      </c>
      <c r="V61" s="11">
        <f>IF(SUMPRODUCT((Inputs!$B$4:$B$150=$B61)*ISNUMBER(INDEX(Inputs!$D$4:$AG$150,0,MATCH(V$2,Inputs!$D$2:$AG$2,0))))=0,"",SUMIFS(INDEX(Inputs!$D$4:$AG$150,0,MATCH(V$2,Inputs!$D$2:$AG$2,0)),Inputs!$B$4:$B$150,$B61)/1000)</f>
        <v>33861</v>
      </c>
      <c r="W61" s="12">
        <f>IF(COUNT(S61:V61)=4,SUM(S61:V61),"")</f>
        <v>104792</v>
      </c>
      <c r="X61" s="11">
        <f>IF(SUMPRODUCT((Inputs!$B$4:$B$150=$B61)*ISNUMBER(INDEX(Inputs!$D$4:$AG$150,0,MATCH(X$2,Inputs!$D$2:$AG$2,0))))=0,"",SUMIFS(INDEX(Inputs!$D$4:$AG$150,0,MATCH(X$2,Inputs!$D$2:$AG$2,0)),Inputs!$B$4:$B$150,$B61)/1000)</f>
        <v>24454</v>
      </c>
      <c r="Y61" s="11">
        <f>IF(SUMPRODUCT((Inputs!$B$4:$B$150=$B61)*ISNUMBER(INDEX(Inputs!$D$4:$AG$150,0,MATCH(Y$2,Inputs!$D$2:$AG$2,0))))=0,"",SUMIFS(INDEX(Inputs!$D$4:$AG$150,0,MATCH(Y$2,Inputs!$D$2:$AG$2,0)),Inputs!$B$4:$B$150,$B61)/1000)</f>
        <v>24014</v>
      </c>
      <c r="Z61" s="11">
        <f>IF(SUMPRODUCT((Inputs!$B$4:$B$150=$B61)*ISNUMBER(INDEX(Inputs!$D$4:$AG$150,0,MATCH(Z$2,Inputs!$D$2:$AG$2,0))))=0,"",SUMIFS(INDEX(Inputs!$D$4:$AG$150,0,MATCH(Z$2,Inputs!$D$2:$AG$2,0)),Inputs!$B$4:$B$150,$B61)/1000)</f>
        <v>28703</v>
      </c>
      <c r="AA61" s="11">
        <f>IF(SUMPRODUCT((Inputs!$B$4:$B$150=$B61)*ISNUMBER(INDEX(Inputs!$D$4:$AG$150,0,MATCH(AA$2,Inputs!$D$2:$AG$2,0))))=0,"",SUMIFS(INDEX(Inputs!$D$4:$AG$150,0,MATCH(AA$2,Inputs!$D$2:$AG$2,0)),Inputs!$B$4:$B$150,$B61)/1000)</f>
        <v>38146</v>
      </c>
      <c r="AB61" s="12">
        <f>IF(COUNT(X61:AA61)=4,SUM(X61:AA61),"")</f>
        <v>115317</v>
      </c>
      <c r="AC61" s="11">
        <f>IF(SUMPRODUCT((Inputs!$B$4:$B$150=$B61)*ISNUMBER(INDEX(Inputs!$D$4:$AG$150,0,MATCH(AC$2,Inputs!$D$2:$AG$2,0))))=0,"",SUMIFS(INDEX(Inputs!$D$4:$AG$150,0,MATCH(AC$2,Inputs!$D$2:$AG$2,0)),Inputs!$B$4:$B$150,$B61)/1000)</f>
        <v>28055</v>
      </c>
      <c r="AD61" s="11">
        <f>IF(SUMPRODUCT((Inputs!$B$4:$B$150=$B61)*ISNUMBER(INDEX(Inputs!$D$4:$AG$150,0,MATCH(AD$2,Inputs!$D$2:$AG$2,0))))=0,"",SUMIFS(INDEX(Inputs!$D$4:$AG$150,0,MATCH(AD$2,Inputs!$D$2:$AG$2,0)),Inputs!$B$4:$B$150,$B61)/1000)</f>
        <v>29395</v>
      </c>
      <c r="AE61" s="11" t="str">
        <f>IF(SUMPRODUCT((Inputs!$B$4:$B$150=$B61)*ISNUMBER(INDEX(Inputs!$D$4:$AG$150,0,MATCH(AE$2,Inputs!$D$2:$AG$2,0))))=0,"",SUMIFS(INDEX(Inputs!$D$4:$AG$150,0,MATCH(AE$2,Inputs!$D$2:$AG$2,0)),Inputs!$B$4:$B$150,$B61)/1000)</f>
        <v/>
      </c>
      <c r="AF61" s="11" t="str">
        <f>IF(SUMPRODUCT((Inputs!$B$4:$B$150=$B61)*ISNUMBER(INDEX(Inputs!$D$4:$AG$150,0,MATCH(AF$2,Inputs!$D$2:$AG$2,0))))=0,"",SUMIFS(INDEX(Inputs!$D$4:$AG$150,0,MATCH(AF$2,Inputs!$D$2:$AG$2,0)),Inputs!$B$4:$B$150,$B61)/1000)</f>
        <v/>
      </c>
      <c r="AG61" s="12" t="str">
        <f>IF(COUNT(AC61:AF61)=4,SUM(AC61:AF61),"")</f>
        <v/>
      </c>
    </row>
    <row r="62">
      <c r="B62" s="9" t="n">
        <v>54</v>
      </c>
      <c r="C62" s="10" t="inlineStr">
        <is>
          <t>Receita segmento Grande China (USD)</t>
        </is>
      </c>
      <c r="D62" s="11">
        <f>IF(SUMPRODUCT((Inputs!$B$4:$B$150=$B62)*ISNUMBER(INDEX(Inputs!$D$4:$AG$150,0,MATCH(D$2,Inputs!$D$2:$AG$2,0))))=0,"",SUMIFS(INDEX(Inputs!$D$4:$AG$150,0,MATCH(D$2,Inputs!$D$2:$AG$2,0)),Inputs!$B$4:$B$150,$B62)/1000)</f>
        <v>17728</v>
      </c>
      <c r="E62" s="11">
        <f>IF(SUMPRODUCT((Inputs!$B$4:$B$150=$B62)*ISNUMBER(INDEX(Inputs!$D$4:$AG$150,0,MATCH(E$2,Inputs!$D$2:$AG$2,0))))=0,"",SUMIFS(INDEX(Inputs!$D$4:$AG$150,0,MATCH(E$2,Inputs!$D$2:$AG$2,0)),Inputs!$B$4:$B$150,$B62)/1000)</f>
        <v>14762</v>
      </c>
      <c r="F62" s="11">
        <f>IF(SUMPRODUCT((Inputs!$B$4:$B$150=$B62)*ISNUMBER(INDEX(Inputs!$D$4:$AG$150,0,MATCH(F$2,Inputs!$D$2:$AG$2,0))))=0,"",SUMIFS(INDEX(Inputs!$D$4:$AG$150,0,MATCH(F$2,Inputs!$D$2:$AG$2,0)),Inputs!$B$4:$B$150,$B62)/1000)</f>
        <v>14563</v>
      </c>
      <c r="G62" s="11">
        <f>IF(SUMPRODUCT((Inputs!$B$4:$B$150=$B62)*ISNUMBER(INDEX(Inputs!$D$4:$AG$150,0,MATCH(G$2,Inputs!$D$2:$AG$2,0))))=0,"",SUMIFS(INDEX(Inputs!$D$4:$AG$150,0,MATCH(G$2,Inputs!$D$2:$AG$2,0)),Inputs!$B$4:$B$150,$B62)/1000)</f>
        <v>25783</v>
      </c>
      <c r="H62" s="12">
        <f>IF(COUNT(D62:G62)=4,SUM(D62:G62),"")</f>
        <v>72836</v>
      </c>
      <c r="I62" s="11">
        <f>IF(SUMPRODUCT((Inputs!$B$4:$B$150=$B62)*ISNUMBER(INDEX(Inputs!$D$4:$AG$150,0,MATCH(I$2,Inputs!$D$2:$AG$2,0))))=0,"",SUMIFS(INDEX(Inputs!$D$4:$AG$150,0,MATCH(I$2,Inputs!$D$2:$AG$2,0)),Inputs!$B$4:$B$150,$B62)/1000)</f>
        <v>18343</v>
      </c>
      <c r="J62" s="11">
        <f>IF(SUMPRODUCT((Inputs!$B$4:$B$150=$B62)*ISNUMBER(INDEX(Inputs!$D$4:$AG$150,0,MATCH(J$2,Inputs!$D$2:$AG$2,0))))=0,"",SUMIFS(INDEX(Inputs!$D$4:$AG$150,0,MATCH(J$2,Inputs!$D$2:$AG$2,0)),Inputs!$B$4:$B$150,$B62)/1000)</f>
        <v>14604</v>
      </c>
      <c r="K62" s="11">
        <f>IF(SUMPRODUCT((Inputs!$B$4:$B$150=$B62)*ISNUMBER(INDEX(Inputs!$D$4:$AG$150,0,MATCH(K$2,Inputs!$D$2:$AG$2,0))))=0,"",SUMIFS(INDEX(Inputs!$D$4:$AG$150,0,MATCH(K$2,Inputs!$D$2:$AG$2,0)),Inputs!$B$4:$B$150,$B62)/1000)</f>
        <v>15470</v>
      </c>
      <c r="L62" s="11">
        <f>IF(SUMPRODUCT((Inputs!$B$4:$B$150=$B62)*ISNUMBER(INDEX(Inputs!$D$4:$AG$150,0,MATCH(L$2,Inputs!$D$2:$AG$2,0))))=0,"",SUMIFS(INDEX(Inputs!$D$4:$AG$150,0,MATCH(L$2,Inputs!$D$2:$AG$2,0)),Inputs!$B$4:$B$150,$B62)/1000)</f>
        <v>23905</v>
      </c>
      <c r="M62" s="12">
        <f>IF(COUNT(I62:L62)=4,SUM(I62:L62),"")</f>
        <v>72322</v>
      </c>
      <c r="N62" s="11">
        <f>IF(SUMPRODUCT((Inputs!$B$4:$B$150=$B62)*ISNUMBER(INDEX(Inputs!$D$4:$AG$150,0,MATCH(N$2,Inputs!$D$2:$AG$2,0))))=0,"",SUMIFS(INDEX(Inputs!$D$4:$AG$150,0,MATCH(N$2,Inputs!$D$2:$AG$2,0)),Inputs!$B$4:$B$150,$B62)/1000)</f>
        <v>17812</v>
      </c>
      <c r="O62" s="11">
        <f>IF(SUMPRODUCT((Inputs!$B$4:$B$150=$B62)*ISNUMBER(INDEX(Inputs!$D$4:$AG$150,0,MATCH(O$2,Inputs!$D$2:$AG$2,0))))=0,"",SUMIFS(INDEX(Inputs!$D$4:$AG$150,0,MATCH(O$2,Inputs!$D$2:$AG$2,0)),Inputs!$B$4:$B$150,$B62)/1000)</f>
        <v>15758</v>
      </c>
      <c r="P62" s="11">
        <f>IF(SUMPRODUCT((Inputs!$B$4:$B$150=$B62)*ISNUMBER(INDEX(Inputs!$D$4:$AG$150,0,MATCH(P$2,Inputs!$D$2:$AG$2,0))))=0,"",SUMIFS(INDEX(Inputs!$D$4:$AG$150,0,MATCH(P$2,Inputs!$D$2:$AG$2,0)),Inputs!$B$4:$B$150,$B62)/1000)</f>
        <v>15084</v>
      </c>
      <c r="Q62" s="11">
        <f>IF(SUMPRODUCT((Inputs!$B$4:$B$150=$B62)*ISNUMBER(INDEX(Inputs!$D$4:$AG$150,0,MATCH(Q$2,Inputs!$D$2:$AG$2,0))))=0,"",SUMIFS(INDEX(Inputs!$D$4:$AG$150,0,MATCH(Q$2,Inputs!$D$2:$AG$2,0)),Inputs!$B$4:$B$150,$B62)/1000)</f>
        <v>20819</v>
      </c>
      <c r="R62" s="12">
        <f>IF(COUNT(N62:Q62)=4,SUM(N62:Q62),"")</f>
        <v>69473</v>
      </c>
      <c r="S62" s="11">
        <f>IF(SUMPRODUCT((Inputs!$B$4:$B$150=$B62)*ISNUMBER(INDEX(Inputs!$D$4:$AG$150,0,MATCH(S$2,Inputs!$D$2:$AG$2,0))))=0,"",SUMIFS(INDEX(Inputs!$D$4:$AG$150,0,MATCH(S$2,Inputs!$D$2:$AG$2,0)),Inputs!$B$4:$B$150,$B62)/1000)</f>
        <v>16372</v>
      </c>
      <c r="T62" s="11">
        <f>IF(SUMPRODUCT((Inputs!$B$4:$B$150=$B62)*ISNUMBER(INDEX(Inputs!$D$4:$AG$150,0,MATCH(T$2,Inputs!$D$2:$AG$2,0))))=0,"",SUMIFS(INDEX(Inputs!$D$4:$AG$150,0,MATCH(T$2,Inputs!$D$2:$AG$2,0)),Inputs!$B$4:$B$150,$B62)/1000)</f>
        <v>14728</v>
      </c>
      <c r="U62" s="11">
        <f>IF(SUMPRODUCT((Inputs!$B$4:$B$150=$B62)*ISNUMBER(INDEX(Inputs!$D$4:$AG$150,0,MATCH(U$2,Inputs!$D$2:$AG$2,0))))=0,"",SUMIFS(INDEX(Inputs!$D$4:$AG$150,0,MATCH(U$2,Inputs!$D$2:$AG$2,0)),Inputs!$B$4:$B$150,$B62)/1000)</f>
        <v>15033</v>
      </c>
      <c r="V62" s="11">
        <f>IF(SUMPRODUCT((Inputs!$B$4:$B$150=$B62)*ISNUMBER(INDEX(Inputs!$D$4:$AG$150,0,MATCH(V$2,Inputs!$D$2:$AG$2,0))))=0,"",SUMIFS(INDEX(Inputs!$D$4:$AG$150,0,MATCH(V$2,Inputs!$D$2:$AG$2,0)),Inputs!$B$4:$B$150,$B62)/1000)</f>
        <v>18513</v>
      </c>
      <c r="W62" s="12">
        <f>IF(COUNT(S62:V62)=4,SUM(S62:V62),"")</f>
        <v>64646</v>
      </c>
      <c r="X62" s="11">
        <f>IF(SUMPRODUCT((Inputs!$B$4:$B$150=$B62)*ISNUMBER(INDEX(Inputs!$D$4:$AG$150,0,MATCH(X$2,Inputs!$D$2:$AG$2,0))))=0,"",SUMIFS(INDEX(Inputs!$D$4:$AG$150,0,MATCH(X$2,Inputs!$D$2:$AG$2,0)),Inputs!$B$4:$B$150,$B62)/1000)</f>
        <v>16002</v>
      </c>
      <c r="Y62" s="11">
        <f>IF(SUMPRODUCT((Inputs!$B$4:$B$150=$B62)*ISNUMBER(INDEX(Inputs!$D$4:$AG$150,0,MATCH(Y$2,Inputs!$D$2:$AG$2,0))))=0,"",SUMIFS(INDEX(Inputs!$D$4:$AG$150,0,MATCH(Y$2,Inputs!$D$2:$AG$2,0)),Inputs!$B$4:$B$150,$B62)/1000)</f>
        <v>15369</v>
      </c>
      <c r="Z62" s="11">
        <f>IF(SUMPRODUCT((Inputs!$B$4:$B$150=$B62)*ISNUMBER(INDEX(Inputs!$D$4:$AG$150,0,MATCH(Z$2,Inputs!$D$2:$AG$2,0))))=0,"",SUMIFS(INDEX(Inputs!$D$4:$AG$150,0,MATCH(Z$2,Inputs!$D$2:$AG$2,0)),Inputs!$B$4:$B$150,$B62)/1000)</f>
        <v>14493</v>
      </c>
      <c r="AA62" s="11">
        <f>IF(SUMPRODUCT((Inputs!$B$4:$B$150=$B62)*ISNUMBER(INDEX(Inputs!$D$4:$AG$150,0,MATCH(AA$2,Inputs!$D$2:$AG$2,0))))=0,"",SUMIFS(INDEX(Inputs!$D$4:$AG$150,0,MATCH(AA$2,Inputs!$D$2:$AG$2,0)),Inputs!$B$4:$B$150,$B62)/1000)</f>
        <v>25526</v>
      </c>
      <c r="AB62" s="12">
        <f>IF(COUNT(X62:AA62)=4,SUM(X62:AA62),"")</f>
        <v>71390</v>
      </c>
      <c r="AC62" s="11">
        <f>IF(SUMPRODUCT((Inputs!$B$4:$B$150=$B62)*ISNUMBER(INDEX(Inputs!$D$4:$AG$150,0,MATCH(AC$2,Inputs!$D$2:$AG$2,0))))=0,"",SUMIFS(INDEX(Inputs!$D$4:$AG$150,0,MATCH(AC$2,Inputs!$D$2:$AG$2,0)),Inputs!$B$4:$B$150,$B62)/1000)</f>
        <v>20497</v>
      </c>
      <c r="AD62" s="11">
        <f>IF(SUMPRODUCT((Inputs!$B$4:$B$150=$B62)*ISNUMBER(INDEX(Inputs!$D$4:$AG$150,0,MATCH(AD$2,Inputs!$D$2:$AG$2,0))))=0,"",SUMIFS(INDEX(Inputs!$D$4:$AG$150,0,MATCH(AD$2,Inputs!$D$2:$AG$2,0)),Inputs!$B$4:$B$150,$B62)/1000)</f>
        <v>18816</v>
      </c>
      <c r="AE62" s="11" t="str">
        <f>IF(SUMPRODUCT((Inputs!$B$4:$B$150=$B62)*ISNUMBER(INDEX(Inputs!$D$4:$AG$150,0,MATCH(AE$2,Inputs!$D$2:$AG$2,0))))=0,"",SUMIFS(INDEX(Inputs!$D$4:$AG$150,0,MATCH(AE$2,Inputs!$D$2:$AG$2,0)),Inputs!$B$4:$B$150,$B62)/1000)</f>
        <v/>
      </c>
      <c r="AF62" s="11" t="str">
        <f>IF(SUMPRODUCT((Inputs!$B$4:$B$150=$B62)*ISNUMBER(INDEX(Inputs!$D$4:$AG$150,0,MATCH(AF$2,Inputs!$D$2:$AG$2,0))))=0,"",SUMIFS(INDEX(Inputs!$D$4:$AG$150,0,MATCH(AF$2,Inputs!$D$2:$AG$2,0)),Inputs!$B$4:$B$150,$B62)/1000)</f>
        <v/>
      </c>
      <c r="AG62" s="12" t="str">
        <f>IF(COUNT(AC62:AF62)=4,SUM(AC62:AF62),"")</f>
        <v/>
      </c>
    </row>
    <row r="63">
      <c r="B63" s="9" t="n">
        <v>55</v>
      </c>
      <c r="C63" s="10" t="inlineStr">
        <is>
          <t>Receita segmento Japão (USD)</t>
        </is>
      </c>
      <c r="D63" s="11">
        <f>IF(SUMPRODUCT((Inputs!$B$4:$B$150=$B63)*ISNUMBER(INDEX(Inputs!$D$4:$AG$150,0,MATCH(D$2,Inputs!$D$2:$AG$2,0))))=0,"",SUMIFS(INDEX(Inputs!$D$4:$AG$150,0,MATCH(D$2,Inputs!$D$2:$AG$2,0)),Inputs!$B$4:$B$150,$B63)/1000)</f>
        <v>7742</v>
      </c>
      <c r="E63" s="11">
        <f>IF(SUMPRODUCT((Inputs!$B$4:$B$150=$B63)*ISNUMBER(INDEX(Inputs!$D$4:$AG$150,0,MATCH(E$2,Inputs!$D$2:$AG$2,0))))=0,"",SUMIFS(INDEX(Inputs!$D$4:$AG$150,0,MATCH(E$2,Inputs!$D$2:$AG$2,0)),Inputs!$B$4:$B$150,$B63)/1000)</f>
        <v>6464</v>
      </c>
      <c r="F63" s="11">
        <f>IF(SUMPRODUCT((Inputs!$B$4:$B$150=$B63)*ISNUMBER(INDEX(Inputs!$D$4:$AG$150,0,MATCH(F$2,Inputs!$D$2:$AG$2,0))))=0,"",SUMIFS(INDEX(Inputs!$D$4:$AG$150,0,MATCH(F$2,Inputs!$D$2:$AG$2,0)),Inputs!$B$4:$B$150,$B63)/1000)</f>
        <v>5991</v>
      </c>
      <c r="G63" s="11">
        <f>IF(SUMPRODUCT((Inputs!$B$4:$B$150=$B63)*ISNUMBER(INDEX(Inputs!$D$4:$AG$150,0,MATCH(G$2,Inputs!$D$2:$AG$2,0))))=0,"",SUMIFS(INDEX(Inputs!$D$4:$AG$150,0,MATCH(G$2,Inputs!$D$2:$AG$2,0)),Inputs!$B$4:$B$150,$B63)/1000)</f>
        <v>7107</v>
      </c>
      <c r="H63" s="12">
        <f>IF(COUNT(D63:G63)=4,SUM(D63:G63),"")</f>
        <v>27304</v>
      </c>
      <c r="I63" s="11">
        <f>IF(SUMPRODUCT((Inputs!$B$4:$B$150=$B63)*ISNUMBER(INDEX(Inputs!$D$4:$AG$150,0,MATCH(I$2,Inputs!$D$2:$AG$2,0))))=0,"",SUMIFS(INDEX(Inputs!$D$4:$AG$150,0,MATCH(I$2,Inputs!$D$2:$AG$2,0)),Inputs!$B$4:$B$150,$B63)/1000)</f>
        <v>7724</v>
      </c>
      <c r="J63" s="11">
        <f>IF(SUMPRODUCT((Inputs!$B$4:$B$150=$B63)*ISNUMBER(INDEX(Inputs!$D$4:$AG$150,0,MATCH(J$2,Inputs!$D$2:$AG$2,0))))=0,"",SUMIFS(INDEX(Inputs!$D$4:$AG$150,0,MATCH(J$2,Inputs!$D$2:$AG$2,0)),Inputs!$B$4:$B$150,$B63)/1000)</f>
        <v>5446</v>
      </c>
      <c r="K63" s="11">
        <f>IF(SUMPRODUCT((Inputs!$B$4:$B$150=$B63)*ISNUMBER(INDEX(Inputs!$D$4:$AG$150,0,MATCH(K$2,Inputs!$D$2:$AG$2,0))))=0,"",SUMIFS(INDEX(Inputs!$D$4:$AG$150,0,MATCH(K$2,Inputs!$D$2:$AG$2,0)),Inputs!$B$4:$B$150,$B63)/1000)</f>
        <v>5700</v>
      </c>
      <c r="L63" s="11">
        <f>IF(SUMPRODUCT((Inputs!$B$4:$B$150=$B63)*ISNUMBER(INDEX(Inputs!$D$4:$AG$150,0,MATCH(L$2,Inputs!$D$2:$AG$2,0))))=0,"",SUMIFS(INDEX(Inputs!$D$4:$AG$150,0,MATCH(L$2,Inputs!$D$2:$AG$2,0)),Inputs!$B$4:$B$150,$B63)/1000)</f>
        <v>6755</v>
      </c>
      <c r="M63" s="12">
        <f>IF(COUNT(I63:L63)=4,SUM(I63:L63),"")</f>
        <v>25625</v>
      </c>
      <c r="N63" s="11">
        <f>IF(SUMPRODUCT((Inputs!$B$4:$B$150=$B63)*ISNUMBER(INDEX(Inputs!$D$4:$AG$150,0,MATCH(N$2,Inputs!$D$2:$AG$2,0))))=0,"",SUMIFS(INDEX(Inputs!$D$4:$AG$150,0,MATCH(N$2,Inputs!$D$2:$AG$2,0)),Inputs!$B$4:$B$150,$B63)/1000)</f>
        <v>7176</v>
      </c>
      <c r="O63" s="11">
        <f>IF(SUMPRODUCT((Inputs!$B$4:$B$150=$B63)*ISNUMBER(INDEX(Inputs!$D$4:$AG$150,0,MATCH(O$2,Inputs!$D$2:$AG$2,0))))=0,"",SUMIFS(INDEX(Inputs!$D$4:$AG$150,0,MATCH(O$2,Inputs!$D$2:$AG$2,0)),Inputs!$B$4:$B$150,$B63)/1000)</f>
        <v>4821</v>
      </c>
      <c r="P63" s="11">
        <f>IF(SUMPRODUCT((Inputs!$B$4:$B$150=$B63)*ISNUMBER(INDEX(Inputs!$D$4:$AG$150,0,MATCH(P$2,Inputs!$D$2:$AG$2,0))))=0,"",SUMIFS(INDEX(Inputs!$D$4:$AG$150,0,MATCH(P$2,Inputs!$D$2:$AG$2,0)),Inputs!$B$4:$B$150,$B63)/1000)</f>
        <v>5505</v>
      </c>
      <c r="Q63" s="11">
        <f>IF(SUMPRODUCT((Inputs!$B$4:$B$150=$B63)*ISNUMBER(INDEX(Inputs!$D$4:$AG$150,0,MATCH(Q$2,Inputs!$D$2:$AG$2,0))))=0,"",SUMIFS(INDEX(Inputs!$D$4:$AG$150,0,MATCH(Q$2,Inputs!$D$2:$AG$2,0)),Inputs!$B$4:$B$150,$B63)/1000)</f>
        <v>7767</v>
      </c>
      <c r="R63" s="12">
        <f>IF(COUNT(N63:Q63)=4,SUM(N63:Q63),"")</f>
        <v>25269</v>
      </c>
      <c r="S63" s="11">
        <f>IF(SUMPRODUCT((Inputs!$B$4:$B$150=$B63)*ISNUMBER(INDEX(Inputs!$D$4:$AG$150,0,MATCH(S$2,Inputs!$D$2:$AG$2,0))))=0,"",SUMIFS(INDEX(Inputs!$D$4:$AG$150,0,MATCH(S$2,Inputs!$D$2:$AG$2,0)),Inputs!$B$4:$B$150,$B63)/1000)</f>
        <v>6262</v>
      </c>
      <c r="T63" s="11">
        <f>IF(SUMPRODUCT((Inputs!$B$4:$B$150=$B63)*ISNUMBER(INDEX(Inputs!$D$4:$AG$150,0,MATCH(T$2,Inputs!$D$2:$AG$2,0))))=0,"",SUMIFS(INDEX(Inputs!$D$4:$AG$150,0,MATCH(T$2,Inputs!$D$2:$AG$2,0)),Inputs!$B$4:$B$150,$B63)/1000)</f>
        <v>5097</v>
      </c>
      <c r="U63" s="11">
        <f>IF(SUMPRODUCT((Inputs!$B$4:$B$150=$B63)*ISNUMBER(INDEX(Inputs!$D$4:$AG$150,0,MATCH(U$2,Inputs!$D$2:$AG$2,0))))=0,"",SUMIFS(INDEX(Inputs!$D$4:$AG$150,0,MATCH(U$2,Inputs!$D$2:$AG$2,0)),Inputs!$B$4:$B$150,$B63)/1000)</f>
        <v>5926</v>
      </c>
      <c r="V63" s="11">
        <f>IF(SUMPRODUCT((Inputs!$B$4:$B$150=$B63)*ISNUMBER(INDEX(Inputs!$D$4:$AG$150,0,MATCH(V$2,Inputs!$D$2:$AG$2,0))))=0,"",SUMIFS(INDEX(Inputs!$D$4:$AG$150,0,MATCH(V$2,Inputs!$D$2:$AG$2,0)),Inputs!$B$4:$B$150,$B63)/1000)</f>
        <v>8987</v>
      </c>
      <c r="W63" s="12">
        <f>IF(COUNT(S63:V63)=4,SUM(S63:V63),"")</f>
        <v>26272</v>
      </c>
      <c r="X63" s="11">
        <f>IF(SUMPRODUCT((Inputs!$B$4:$B$150=$B63)*ISNUMBER(INDEX(Inputs!$D$4:$AG$150,0,MATCH(X$2,Inputs!$D$2:$AG$2,0))))=0,"",SUMIFS(INDEX(Inputs!$D$4:$AG$150,0,MATCH(X$2,Inputs!$D$2:$AG$2,0)),Inputs!$B$4:$B$150,$B63)/1000)</f>
        <v>7298</v>
      </c>
      <c r="Y63" s="11">
        <f>IF(SUMPRODUCT((Inputs!$B$4:$B$150=$B63)*ISNUMBER(INDEX(Inputs!$D$4:$AG$150,0,MATCH(Y$2,Inputs!$D$2:$AG$2,0))))=0,"",SUMIFS(INDEX(Inputs!$D$4:$AG$150,0,MATCH(Y$2,Inputs!$D$2:$AG$2,0)),Inputs!$B$4:$B$150,$B63)/1000)</f>
        <v>5782</v>
      </c>
      <c r="Z63" s="11">
        <f>IF(SUMPRODUCT((Inputs!$B$4:$B$150=$B63)*ISNUMBER(INDEX(Inputs!$D$4:$AG$150,0,MATCH(Z$2,Inputs!$D$2:$AG$2,0))))=0,"",SUMIFS(INDEX(Inputs!$D$4:$AG$150,0,MATCH(Z$2,Inputs!$D$2:$AG$2,0)),Inputs!$B$4:$B$150,$B63)/1000)</f>
        <v>6636</v>
      </c>
      <c r="AA63" s="11">
        <f>IF(SUMPRODUCT((Inputs!$B$4:$B$150=$B63)*ISNUMBER(INDEX(Inputs!$D$4:$AG$150,0,MATCH(AA$2,Inputs!$D$2:$AG$2,0))))=0,"",SUMIFS(INDEX(Inputs!$D$4:$AG$150,0,MATCH(AA$2,Inputs!$D$2:$AG$2,0)),Inputs!$B$4:$B$150,$B63)/1000)</f>
        <v>9413</v>
      </c>
      <c r="AB63" s="12">
        <f>IF(COUNT(X63:AA63)=4,SUM(X63:AA63),"")</f>
        <v>29129</v>
      </c>
      <c r="AC63" s="11">
        <f>IF(SUMPRODUCT((Inputs!$B$4:$B$150=$B63)*ISNUMBER(INDEX(Inputs!$D$4:$AG$150,0,MATCH(AC$2,Inputs!$D$2:$AG$2,0))))=0,"",SUMIFS(INDEX(Inputs!$D$4:$AG$150,0,MATCH(AC$2,Inputs!$D$2:$AG$2,0)),Inputs!$B$4:$B$150,$B63)/1000)</f>
        <v>8401</v>
      </c>
      <c r="AD63" s="11">
        <f>IF(SUMPRODUCT((Inputs!$B$4:$B$150=$B63)*ISNUMBER(INDEX(Inputs!$D$4:$AG$150,0,MATCH(AD$2,Inputs!$D$2:$AG$2,0))))=0,"",SUMIFS(INDEX(Inputs!$D$4:$AG$150,0,MATCH(AD$2,Inputs!$D$2:$AG$2,0)),Inputs!$B$4:$B$150,$B63)/1000)</f>
        <v>6554</v>
      </c>
      <c r="AE63" s="11" t="str">
        <f>IF(SUMPRODUCT((Inputs!$B$4:$B$150=$B63)*ISNUMBER(INDEX(Inputs!$D$4:$AG$150,0,MATCH(AE$2,Inputs!$D$2:$AG$2,0))))=0,"",SUMIFS(INDEX(Inputs!$D$4:$AG$150,0,MATCH(AE$2,Inputs!$D$2:$AG$2,0)),Inputs!$B$4:$B$150,$B63)/1000)</f>
        <v/>
      </c>
      <c r="AF63" s="11" t="str">
        <f>IF(SUMPRODUCT((Inputs!$B$4:$B$150=$B63)*ISNUMBER(INDEX(Inputs!$D$4:$AG$150,0,MATCH(AF$2,Inputs!$D$2:$AG$2,0))))=0,"",SUMIFS(INDEX(Inputs!$D$4:$AG$150,0,MATCH(AF$2,Inputs!$D$2:$AG$2,0)),Inputs!$B$4:$B$150,$B63)/1000)</f>
        <v/>
      </c>
      <c r="AG63" s="12" t="str">
        <f>IF(COUNT(AC63:AF63)=4,SUM(AC63:AF63),"")</f>
        <v/>
      </c>
    </row>
    <row r="64">
      <c r="B64" s="9" t="n">
        <v>56</v>
      </c>
      <c r="C64" s="10" t="inlineStr">
        <is>
          <t>Receita segmento Resto da Ásia-Pacífico (USD)</t>
        </is>
      </c>
      <c r="D64" s="11">
        <f>IF(SUMPRODUCT((Inputs!$B$4:$B$150=$B64)*ISNUMBER(INDEX(Inputs!$D$4:$AG$150,0,MATCH(D$2,Inputs!$D$2:$AG$2,0))))=0,"",SUMIFS(INDEX(Inputs!$D$4:$AG$150,0,MATCH(D$2,Inputs!$D$2:$AG$2,0)),Inputs!$B$4:$B$150,$B64)/1000)</f>
        <v>7544</v>
      </c>
      <c r="E64" s="11">
        <f>IF(SUMPRODUCT((Inputs!$B$4:$B$150=$B64)*ISNUMBER(INDEX(Inputs!$D$4:$AG$150,0,MATCH(E$2,Inputs!$D$2:$AG$2,0))))=0,"",SUMIFS(INDEX(Inputs!$D$4:$AG$150,0,MATCH(E$2,Inputs!$D$2:$AG$2,0)),Inputs!$B$4:$B$150,$B64)/1000)</f>
        <v>5395</v>
      </c>
      <c r="F64" s="11">
        <f>IF(SUMPRODUCT((Inputs!$B$4:$B$150=$B64)*ISNUMBER(INDEX(Inputs!$D$4:$AG$150,0,MATCH(F$2,Inputs!$D$2:$AG$2,0))))=0,"",SUMIFS(INDEX(Inputs!$D$4:$AG$150,0,MATCH(F$2,Inputs!$D$2:$AG$2,0)),Inputs!$B$4:$B$150,$B64)/1000)</f>
        <v>5192</v>
      </c>
      <c r="G64" s="11">
        <f>IF(SUMPRODUCT((Inputs!$B$4:$B$150=$B64)*ISNUMBER(INDEX(Inputs!$D$4:$AG$150,0,MATCH(G$2,Inputs!$D$2:$AG$2,0))))=0,"",SUMIFS(INDEX(Inputs!$D$4:$AG$150,0,MATCH(G$2,Inputs!$D$2:$AG$2,0)),Inputs!$B$4:$B$150,$B64)/1000)</f>
        <v>9810</v>
      </c>
      <c r="H64" s="12">
        <f>IF(COUNT(D64:G64)=4,SUM(D64:G64),"")</f>
        <v>27941</v>
      </c>
      <c r="I64" s="11">
        <f>IF(SUMPRODUCT((Inputs!$B$4:$B$150=$B64)*ISNUMBER(INDEX(Inputs!$D$4:$AG$150,0,MATCH(I$2,Inputs!$D$2:$AG$2,0))))=0,"",SUMIFS(INDEX(Inputs!$D$4:$AG$150,0,MATCH(I$2,Inputs!$D$2:$AG$2,0)),Inputs!$B$4:$B$150,$B64)/1000)</f>
        <v>7042</v>
      </c>
      <c r="J64" s="11">
        <f>IF(SUMPRODUCT((Inputs!$B$4:$B$150=$B64)*ISNUMBER(INDEX(Inputs!$D$4:$AG$150,0,MATCH(J$2,Inputs!$D$2:$AG$2,0))))=0,"",SUMIFS(INDEX(Inputs!$D$4:$AG$150,0,MATCH(J$2,Inputs!$D$2:$AG$2,0)),Inputs!$B$4:$B$150,$B64)/1000)</f>
        <v>6150</v>
      </c>
      <c r="K64" s="11">
        <f>IF(SUMPRODUCT((Inputs!$B$4:$B$150=$B64)*ISNUMBER(INDEX(Inputs!$D$4:$AG$150,0,MATCH(K$2,Inputs!$D$2:$AG$2,0))))=0,"",SUMIFS(INDEX(Inputs!$D$4:$AG$150,0,MATCH(K$2,Inputs!$D$2:$AG$2,0)),Inputs!$B$4:$B$150,$B64)/1000)</f>
        <v>6373</v>
      </c>
      <c r="L64" s="11">
        <f>IF(SUMPRODUCT((Inputs!$B$4:$B$150=$B64)*ISNUMBER(INDEX(Inputs!$D$4:$AG$150,0,MATCH(L$2,Inputs!$D$2:$AG$2,0))))=0,"",SUMIFS(INDEX(Inputs!$D$4:$AG$150,0,MATCH(L$2,Inputs!$D$2:$AG$2,0)),Inputs!$B$4:$B$150,$B64)/1000)</f>
        <v>9535</v>
      </c>
      <c r="M64" s="12">
        <f>IF(COUNT(I64:L64)=4,SUM(I64:L64),"")</f>
        <v>29100</v>
      </c>
      <c r="N64" s="11">
        <f>IF(SUMPRODUCT((Inputs!$B$4:$B$150=$B64)*ISNUMBER(INDEX(Inputs!$D$4:$AG$150,0,MATCH(N$2,Inputs!$D$2:$AG$2,0))))=0,"",SUMIFS(INDEX(Inputs!$D$4:$AG$150,0,MATCH(N$2,Inputs!$D$2:$AG$2,0)),Inputs!$B$4:$B$150,$B64)/1000)</f>
        <v>8119</v>
      </c>
      <c r="O64" s="11">
        <f>IF(SUMPRODUCT((Inputs!$B$4:$B$150=$B64)*ISNUMBER(INDEX(Inputs!$D$4:$AG$150,0,MATCH(O$2,Inputs!$D$2:$AG$2,0))))=0,"",SUMIFS(INDEX(Inputs!$D$4:$AG$150,0,MATCH(O$2,Inputs!$D$2:$AG$2,0)),Inputs!$B$4:$B$150,$B64)/1000)</f>
        <v>5630</v>
      </c>
      <c r="P64" s="11">
        <f>IF(SUMPRODUCT((Inputs!$B$4:$B$150=$B64)*ISNUMBER(INDEX(Inputs!$D$4:$AG$150,0,MATCH(P$2,Inputs!$D$2:$AG$2,0))))=0,"",SUMIFS(INDEX(Inputs!$D$4:$AG$150,0,MATCH(P$2,Inputs!$D$2:$AG$2,0)),Inputs!$B$4:$B$150,$B64)/1000)</f>
        <v>6331</v>
      </c>
      <c r="Q64" s="11">
        <f>IF(SUMPRODUCT((Inputs!$B$4:$B$150=$B64)*ISNUMBER(INDEX(Inputs!$D$4:$AG$150,0,MATCH(Q$2,Inputs!$D$2:$AG$2,0))))=0,"",SUMIFS(INDEX(Inputs!$D$4:$AG$150,0,MATCH(Q$2,Inputs!$D$2:$AG$2,0)),Inputs!$B$4:$B$150,$B64)/1000)</f>
        <v>10162</v>
      </c>
      <c r="R64" s="12">
        <f>IF(COUNT(N64:Q64)=4,SUM(N64:Q64),"")</f>
        <v>30242</v>
      </c>
      <c r="S64" s="11">
        <f>IF(SUMPRODUCT((Inputs!$B$4:$B$150=$B64)*ISNUMBER(INDEX(Inputs!$D$4:$AG$150,0,MATCH(S$2,Inputs!$D$2:$AG$2,0))))=0,"",SUMIFS(INDEX(Inputs!$D$4:$AG$150,0,MATCH(S$2,Inputs!$D$2:$AG$2,0)),Inputs!$B$4:$B$150,$B64)/1000)</f>
        <v>6723</v>
      </c>
      <c r="T64" s="11">
        <f>IF(SUMPRODUCT((Inputs!$B$4:$B$150=$B64)*ISNUMBER(INDEX(Inputs!$D$4:$AG$150,0,MATCH(T$2,Inputs!$D$2:$AG$2,0))))=0,"",SUMIFS(INDEX(Inputs!$D$4:$AG$150,0,MATCH(T$2,Inputs!$D$2:$AG$2,0)),Inputs!$B$4:$B$150,$B64)/1000)</f>
        <v>6390</v>
      </c>
      <c r="U64" s="11">
        <f>IF(SUMPRODUCT((Inputs!$B$4:$B$150=$B64)*ISNUMBER(INDEX(Inputs!$D$4:$AG$150,0,MATCH(U$2,Inputs!$D$2:$AG$2,0))))=0,"",SUMIFS(INDEX(Inputs!$D$4:$AG$150,0,MATCH(U$2,Inputs!$D$2:$AG$2,0)),Inputs!$B$4:$B$150,$B64)/1000)</f>
        <v>7383</v>
      </c>
      <c r="V64" s="11">
        <f>IF(SUMPRODUCT((Inputs!$B$4:$B$150=$B64)*ISNUMBER(INDEX(Inputs!$D$4:$AG$150,0,MATCH(V$2,Inputs!$D$2:$AG$2,0))))=0,"",SUMIFS(INDEX(Inputs!$D$4:$AG$150,0,MATCH(V$2,Inputs!$D$2:$AG$2,0)),Inputs!$B$4:$B$150,$B64)/1000)</f>
        <v>10291</v>
      </c>
      <c r="W64" s="12">
        <f>IF(COUNT(S64:V64)=4,SUM(S64:V64),"")</f>
        <v>30787</v>
      </c>
      <c r="X64" s="11">
        <f>IF(SUMPRODUCT((Inputs!$B$4:$B$150=$B64)*ISNUMBER(INDEX(Inputs!$D$4:$AG$150,0,MATCH(X$2,Inputs!$D$2:$AG$2,0))))=0,"",SUMIFS(INDEX(Inputs!$D$4:$AG$150,0,MATCH(X$2,Inputs!$D$2:$AG$2,0)),Inputs!$B$4:$B$150,$B64)/1000)</f>
        <v>7290</v>
      </c>
      <c r="Y64" s="11">
        <f>IF(SUMPRODUCT((Inputs!$B$4:$B$150=$B64)*ISNUMBER(INDEX(Inputs!$D$4:$AG$150,0,MATCH(Y$2,Inputs!$D$2:$AG$2,0))))=0,"",SUMIFS(INDEX(Inputs!$D$4:$AG$150,0,MATCH(Y$2,Inputs!$D$2:$AG$2,0)),Inputs!$B$4:$B$150,$B64)/1000)</f>
        <v>7673</v>
      </c>
      <c r="Z64" s="11">
        <f>IF(SUMPRODUCT((Inputs!$B$4:$B$150=$B64)*ISNUMBER(INDEX(Inputs!$D$4:$AG$150,0,MATCH(Z$2,Inputs!$D$2:$AG$2,0))))=0,"",SUMIFS(INDEX(Inputs!$D$4:$AG$150,0,MATCH(Z$2,Inputs!$D$2:$AG$2,0)),Inputs!$B$4:$B$150,$B64)/1000)</f>
        <v>8442</v>
      </c>
      <c r="AA64" s="11">
        <f>IF(SUMPRODUCT((Inputs!$B$4:$B$150=$B64)*ISNUMBER(INDEX(Inputs!$D$4:$AG$150,0,MATCH(AA$2,Inputs!$D$2:$AG$2,0))))=0,"",SUMIFS(INDEX(Inputs!$D$4:$AG$150,0,MATCH(AA$2,Inputs!$D$2:$AG$2,0)),Inputs!$B$4:$B$150,$B64)/1000)</f>
        <v>12142</v>
      </c>
      <c r="AB64" s="12">
        <f>IF(COUNT(X64:AA64)=4,SUM(X64:AA64),"")</f>
        <v>35547</v>
      </c>
      <c r="AC64" s="11">
        <f>IF(SUMPRODUCT((Inputs!$B$4:$B$150=$B64)*ISNUMBER(INDEX(Inputs!$D$4:$AG$150,0,MATCH(AC$2,Inputs!$D$2:$AG$2,0))))=0,"",SUMIFS(INDEX(Inputs!$D$4:$AG$150,0,MATCH(AC$2,Inputs!$D$2:$AG$2,0)),Inputs!$B$4:$B$150,$B64)/1000)</f>
        <v>9138</v>
      </c>
      <c r="AD64" s="11">
        <f>IF(SUMPRODUCT((Inputs!$B$4:$B$150=$B64)*ISNUMBER(INDEX(Inputs!$D$4:$AG$150,0,MATCH(AD$2,Inputs!$D$2:$AG$2,0))))=0,"",SUMIFS(INDEX(Inputs!$D$4:$AG$150,0,MATCH(AD$2,Inputs!$D$2:$AG$2,0)),Inputs!$B$4:$B$150,$B64)/1000)</f>
        <v>8871</v>
      </c>
      <c r="AE64" s="11" t="str">
        <f>IF(SUMPRODUCT((Inputs!$B$4:$B$150=$B64)*ISNUMBER(INDEX(Inputs!$D$4:$AG$150,0,MATCH(AE$2,Inputs!$D$2:$AG$2,0))))=0,"",SUMIFS(INDEX(Inputs!$D$4:$AG$150,0,MATCH(AE$2,Inputs!$D$2:$AG$2,0)),Inputs!$B$4:$B$150,$B64)/1000)</f>
        <v/>
      </c>
      <c r="AF64" s="11" t="str">
        <f>IF(SUMPRODUCT((Inputs!$B$4:$B$150=$B64)*ISNUMBER(INDEX(Inputs!$D$4:$AG$150,0,MATCH(AF$2,Inputs!$D$2:$AG$2,0))))=0,"",SUMIFS(INDEX(Inputs!$D$4:$AG$150,0,MATCH(AF$2,Inputs!$D$2:$AG$2,0)),Inputs!$B$4:$B$150,$B64)/1000)</f>
        <v/>
      </c>
      <c r="AG64" s="12" t="str">
        <f>IF(COUNT(AC64:AF64)=4,SUM(AC64:AF64),"")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86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6"/>
    <col width="10.42578125" customWidth="1" style="4" min="107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0</v>
      </c>
      <c r="J1" s="12">
        <f>IF(J2="","",SUM(J2,J3))</f>
        <v>0</v>
      </c>
      <c r="K1" s="12">
        <f>IF(K2="","",SUM(K2,K3))</f>
        <v>0</v>
      </c>
      <c r="L1" s="12">
        <f>IF(L2="","",SUM(L2,L3))</f>
        <v>0</v>
      </c>
      <c r="M1" s="12">
        <f>IF(M2="","",SUM(M2,M3))</f>
        <v>0</v>
      </c>
      <c r="N1" s="12">
        <f>IF(N2="","",SUM(N2,N3))</f>
        <v>0</v>
      </c>
      <c r="O1" s="12">
        <f>IF(O2="","",SUM(O2,O3))</f>
        <v>0</v>
      </c>
      <c r="P1" s="12">
        <f>IF(P2="","",SUM(P2,P3))</f>
        <v>0</v>
      </c>
      <c r="Q1" s="12">
        <f>IF(Q2="","",SUM(Q2,Q3))</f>
        <v>0</v>
      </c>
      <c r="R1" s="12">
        <f>IF(R2="","",SUM(R2,R3))</f>
        <v>0</v>
      </c>
      <c r="S1" s="12">
        <f>IF(S2="","",SUM(S2,S3))</f>
        <v>0</v>
      </c>
      <c r="T1" s="12">
        <f>IF(T2="","",SUM(T2,T3))</f>
        <v>0</v>
      </c>
      <c r="U1" s="12">
        <f>IF(U2="","",SUM(U2,U3))</f>
        <v>0</v>
      </c>
      <c r="V1" s="12">
        <f>IF(V2="","",SUM(V2,V3))</f>
        <v>0</v>
      </c>
      <c r="W1" s="12">
        <f>IF(W2="","",SUM(W2,W3))</f>
        <v>0</v>
      </c>
      <c r="X1" s="12">
        <f>IF(X2="","",SUM(X2,X3))</f>
        <v>0</v>
      </c>
      <c r="Y1" s="12">
        <f>IF(Y2="","",SUM(Y2,Y3))</f>
        <v>0</v>
      </c>
      <c r="Z1" s="12">
        <f>IF(Z2="","",SUM(Z2,Z3))</f>
        <v>0</v>
      </c>
      <c r="AA1" s="12">
        <f>IF(AA2="","",SUM(AA2,AA3))</f>
        <v>0</v>
      </c>
      <c r="AB1" s="12">
        <f>IF(AB2="","",SUM(AB2,AB3))</f>
        <v>0</v>
      </c>
      <c r="AC1" s="12">
        <f>IF(AC2="","",SUM(AC2,AC3))</f>
        <v>0</v>
      </c>
      <c r="AD1" s="12">
        <f>IF(AD2="","",SUM(AD2,AD3))</f>
        <v>0</v>
      </c>
      <c r="AE1" s="12">
        <f>IF(AE2="","",SUM(AE2,AE3))</f>
        <v>0</v>
      </c>
      <c r="AF1" s="12">
        <f>IF(AF2="","",SUM(AF2,AF3))</f>
        <v>0</v>
      </c>
      <c r="AG1" s="12">
        <f>IF(AG2="","",SUM(AG2,AG3))</f>
        <v>0</v>
      </c>
      <c r="AH1" s="12">
        <f>IF(AH2="","",SUM(AH2,AH3))</f>
        <v>0</v>
      </c>
      <c r="AI1" s="12">
        <f>IF(AI2="","",SUM(AI2,AI3))</f>
        <v>0</v>
      </c>
      <c r="AJ1" s="12">
        <f>IF(AJ2="","",SUM(AJ2,AJ3))</f>
        <v>30749.3677403829</v>
      </c>
      <c r="AK1" s="12">
        <f>IF(AK2="","",SUM(AK2,AK3))</f>
        <v>43140.2231851198</v>
      </c>
      <c r="AL1" s="12">
        <f>IF(AL2="","",SUM(AL2,AL3))</f>
        <v>133256.590925503</v>
      </c>
      <c r="AM1" s="12">
        <f>IF(AM2="","",SUM(AM2,AM3))</f>
        <v>33365.5817817298</v>
      </c>
      <c r="AN1" s="12">
        <f>IF(AN2="","",SUM(AN2,AN3))</f>
        <v>32835.3167884906</v>
      </c>
      <c r="AO1" s="12">
        <f>IF(AO2="","",SUM(AO2,AO3))</f>
        <v>34400.6700690188</v>
      </c>
      <c r="AP1" s="12">
        <f>IF(AP2="","",SUM(AP2,AP3))</f>
        <v>48262.8650131933</v>
      </c>
      <c r="AQ1" s="12">
        <f>IF(AQ2="","",SUM(AQ2,AQ3))</f>
        <v>148864.433652432</v>
      </c>
      <c r="AR1" s="12">
        <f>IF(AR2="","",SUM(AR2,AR3))</f>
        <v>37160.7158710162</v>
      </c>
      <c r="AS1" s="12">
        <f>IF(AS2="","",SUM(AS2,AS3))</f>
        <v>36570.136426635</v>
      </c>
      <c r="AT1" s="12">
        <f>IF(AT2="","",SUM(AT2,AT3))</f>
        <v>38313.5392204482</v>
      </c>
      <c r="AU1" s="12">
        <f>IF(AU2="","",SUM(AU2,AU3))</f>
        <v>53752.4753984224</v>
      </c>
      <c r="AV1" s="12">
        <f>IF(AV2="","",SUM(AV2,AV3))</f>
        <v>165796.866916522</v>
      </c>
      <c r="AW1" s="12">
        <f>IF(AW2="","",SUM(AW2,AW3))</f>
        <v>41201.7200394464</v>
      </c>
      <c r="AX1" s="12">
        <f>IF(AX2="","",SUM(AX2,AX3))</f>
        <v>40546.9186353802</v>
      </c>
      <c r="AY1" s="12">
        <f>IF(AY2="","",SUM(AY2,AY3))</f>
        <v>42479.9059889071</v>
      </c>
      <c r="AZ1" s="12">
        <f>IF(AZ2="","",SUM(AZ2,AZ3))</f>
        <v>59597.7335442129</v>
      </c>
      <c r="BA1" s="12">
        <f>IF(BA2="","",SUM(BA2,BA3))</f>
        <v>183826.278207947</v>
      </c>
      <c r="BB1" s="12">
        <f>IF(BB2="","",SUM(BB2,BB3))</f>
        <v>45476.150486866</v>
      </c>
      <c r="BC1" s="12">
        <f>IF(BC2="","",SUM(BC2,BC3))</f>
        <v>44753.4173785924</v>
      </c>
      <c r="BD1" s="12">
        <f>IF(BD2="","",SUM(BD2,BD3))</f>
        <v>46886.9405347626</v>
      </c>
      <c r="BE1" s="12">
        <f>IF(BE2="","",SUM(BE2,BE3))</f>
        <v>65780.6396611103</v>
      </c>
      <c r="BF1" s="12">
        <f>IF(BF2="","",SUM(BF2,BF3))</f>
        <v>202897.148061331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IF(COUNT(I191,I267)&lt;2,"",ABS(I191-I267))</f>
        <v>0</v>
      </c>
      <c r="J2" s="12">
        <f>IF(COUNT(J191,J267)&lt;2,"",ABS(J191-J267))</f>
        <v>0</v>
      </c>
      <c r="K2" s="12">
        <f>IF(COUNT(K191,K267)&lt;2,"",ABS(K191-K267))</f>
        <v>0</v>
      </c>
      <c r="L2" s="12">
        <f>IF(COUNT(L191,L267)&lt;2,"",ABS(L191-L267))</f>
        <v>0</v>
      </c>
      <c r="M2" s="12">
        <f>IF(COUNT(M191,M267)&lt;2,"",ABS(M191-M267))</f>
        <v>0</v>
      </c>
      <c r="N2" s="12">
        <f>IF(COUNT(N191,N267)&lt;2,"",ABS(N191-N267))</f>
        <v>0</v>
      </c>
      <c r="O2" s="12">
        <f>IF(COUNT(O191,O267)&lt;2,"",ABS(O191-O267))</f>
        <v>0</v>
      </c>
      <c r="P2" s="12">
        <f>IF(COUNT(P191,P267)&lt;2,"",ABS(P191-P267))</f>
        <v>0</v>
      </c>
      <c r="Q2" s="12">
        <f>IF(COUNT(Q191,Q267)&lt;2,"",ABS(Q191-Q267))</f>
        <v>0</v>
      </c>
      <c r="R2" s="12">
        <f>IF(COUNT(R191,R267)&lt;2,"",ABS(R191-R267))</f>
        <v>0</v>
      </c>
      <c r="S2" s="12">
        <f>IF(COUNT(S191,S267)&lt;2,"",ABS(S191-S267))</f>
        <v>0</v>
      </c>
      <c r="T2" s="12">
        <f>IF(COUNT(T191,T267)&lt;2,"",ABS(T191-T267))</f>
        <v>0</v>
      </c>
      <c r="U2" s="12">
        <f>IF(COUNT(U191,U267)&lt;2,"",ABS(U191-U267))</f>
        <v>0</v>
      </c>
      <c r="V2" s="12">
        <f>IF(COUNT(V191,V267)&lt;2,"",ABS(V191-V267))</f>
        <v>0</v>
      </c>
      <c r="W2" s="12">
        <f>IF(COUNT(W191,W267)&lt;2,"",ABS(W191-W267))</f>
        <v>0</v>
      </c>
      <c r="X2" s="12">
        <f>IF(COUNT(X191,X267)&lt;2,"",ABS(X191-X267))</f>
        <v>0</v>
      </c>
      <c r="Y2" s="12">
        <f>IF(COUNT(Y191,Y267)&lt;2,"",ABS(Y191-Y267))</f>
        <v>0</v>
      </c>
      <c r="Z2" s="12">
        <f>IF(COUNT(Z191,Z267)&lt;2,"",ABS(Z191-Z267))</f>
        <v>0</v>
      </c>
      <c r="AA2" s="12">
        <f>IF(COUNT(AA191,AA267)&lt;2,"",ABS(AA191-AA267))</f>
        <v>0</v>
      </c>
      <c r="AB2" s="12">
        <f>IF(COUNT(AB191,AB267)&lt;2,"",ABS(AB191-AB267))</f>
        <v>0</v>
      </c>
      <c r="AC2" s="12">
        <f>IF(COUNT(AC191,AC267)&lt;2,"",ABS(AC191-AC267))</f>
        <v>0</v>
      </c>
      <c r="AD2" s="12">
        <f>IF(COUNT(AD191,AD267)&lt;2,"",ABS(AD191-AD267))</f>
        <v>0</v>
      </c>
      <c r="AE2" s="12">
        <f>IF(COUNT(AE191,AE267)&lt;2,"",ABS(AE191-AE267))</f>
        <v>0</v>
      </c>
      <c r="AF2" s="12">
        <f>IF(COUNT(AF191,AF267)&lt;2,"",ABS(AF191-AF267))</f>
        <v>0</v>
      </c>
      <c r="AG2" s="12">
        <f>IF(COUNT(AG191,AG267)&lt;2,"",ABS(AG191-AG267))</f>
        <v>0</v>
      </c>
      <c r="AH2" s="12">
        <f>IF(COUNT(AH191,AH267)&lt;2,"",ABS(AH191-AH267))</f>
        <v>0</v>
      </c>
      <c r="AI2" s="12">
        <f>IF(COUNT(AI191,AI267)&lt;2,"",ABS(AI191-AI267))</f>
        <v>0</v>
      </c>
      <c r="AJ2" s="12">
        <f>IF(COUNT(AJ191,AJ267)&lt;2,"",ABS(AJ191-AJ267))</f>
        <v>0</v>
      </c>
      <c r="AK2" s="12">
        <f>IF(COUNT(AK191,AK267)&lt;2,"",ABS(AK191-AK267))</f>
        <v>0</v>
      </c>
      <c r="AL2" s="12">
        <f>IF(COUNT(AL191,AL267)&lt;2,"",ABS(AL191-AL267))</f>
        <v>0</v>
      </c>
      <c r="AM2" s="12">
        <f>IF(COUNT(AM191,AM267)&lt;2,"",ABS(AM191-AM267))</f>
        <v>0</v>
      </c>
      <c r="AN2" s="12">
        <f>IF(COUNT(AN191,AN267)&lt;2,"",ABS(AN191-AN267))</f>
        <v>0</v>
      </c>
      <c r="AO2" s="12">
        <f>IF(COUNT(AO191,AO267)&lt;2,"",ABS(AO191-AO267))</f>
        <v>0</v>
      </c>
      <c r="AP2" s="12">
        <f>IF(COUNT(AP191,AP267)&lt;2,"",ABS(AP191-AP267))</f>
        <v>0</v>
      </c>
      <c r="AQ2" s="12">
        <f>IF(COUNT(AQ191,AQ267)&lt;2,"",ABS(AQ191-AQ267))</f>
        <v>0</v>
      </c>
      <c r="AR2" s="12">
        <f>IF(COUNT(AR191,AR267)&lt;2,"",ABS(AR191-AR267))</f>
        <v>0</v>
      </c>
      <c r="AS2" s="12">
        <f>IF(COUNT(AS191,AS267)&lt;2,"",ABS(AS191-AS267))</f>
        <v>0</v>
      </c>
      <c r="AT2" s="12">
        <f>IF(COUNT(AT191,AT267)&lt;2,"",ABS(AT191-AT267))</f>
        <v>0</v>
      </c>
      <c r="AU2" s="12">
        <f>IF(COUNT(AU191,AU267)&lt;2,"",ABS(AU191-AU267))</f>
        <v>0</v>
      </c>
      <c r="AV2" s="12">
        <f>IF(COUNT(AV191,AV267)&lt;2,"",ABS(AV191-AV267))</f>
        <v>0</v>
      </c>
      <c r="AW2" s="12">
        <f>IF(COUNT(AW191,AW267)&lt;2,"",ABS(AW191-AW267))</f>
        <v>0</v>
      </c>
      <c r="AX2" s="12">
        <f>IF(COUNT(AX191,AX267)&lt;2,"",ABS(AX191-AX267))</f>
        <v>0</v>
      </c>
      <c r="AY2" s="12">
        <f>IF(COUNT(AY191,AY267)&lt;2,"",ABS(AY191-AY267))</f>
        <v>0</v>
      </c>
      <c r="AZ2" s="12">
        <f>IF(COUNT(AZ191,AZ267)&lt;2,"",ABS(AZ191-AZ267))</f>
        <v>0</v>
      </c>
      <c r="BA2" s="12">
        <f>IF(COUNT(BA191,BA267)&lt;2,"",ABS(BA191-BA267))</f>
        <v>0</v>
      </c>
      <c r="BB2" s="12">
        <f>IF(COUNT(BB191,BB267)&lt;2,"",ABS(BB191-BB267))</f>
        <v>0</v>
      </c>
      <c r="BC2" s="12">
        <f>IF(COUNT(BC191,BC267)&lt;2,"",ABS(BC191-BC267))</f>
        <v>0</v>
      </c>
      <c r="BD2" s="12">
        <f>IF(COUNT(BD191,BD267)&lt;2,"",ABS(BD191-BD267))</f>
        <v>0</v>
      </c>
      <c r="BE2" s="12">
        <f>IF(COUNT(BE191,BE267)&lt;2,"",ABS(BE191-BE267))</f>
        <v>0</v>
      </c>
      <c r="BF2" s="12">
        <f>IF(COUNT(BF191,BF267)&lt;2,"",ABS(BF191-BF267))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IF(COUNT(I131,I4)&lt;2,"",ABS(I131-I4))</f>
        <v>0</v>
      </c>
      <c r="J3" s="12">
        <f>IF(COUNT(J131,J4)&lt;2,"",ABS(J131-J4))</f>
        <v>0</v>
      </c>
      <c r="K3" s="12">
        <f>IF(COUNT(K131,K4)&lt;2,"",ABS(K131-K4))</f>
        <v>0</v>
      </c>
      <c r="L3" s="12">
        <f>IF(COUNT(L131,L4)&lt;2,"",ABS(L131-L4))</f>
        <v>0</v>
      </c>
      <c r="M3" s="12">
        <f>IF(COUNT(M131,M4)&lt;2,"",ABS(M131-M4))</f>
        <v>0</v>
      </c>
      <c r="N3" s="12">
        <f>IF(COUNT(N131,N4)&lt;2,"",ABS(N131-N4))</f>
        <v>0</v>
      </c>
      <c r="O3" s="12">
        <f>IF(COUNT(O131,O4)&lt;2,"",ABS(O131-O4))</f>
        <v>0</v>
      </c>
      <c r="P3" s="12">
        <f>IF(COUNT(P131,P4)&lt;2,"",ABS(P131-P4))</f>
        <v>0</v>
      </c>
      <c r="Q3" s="12">
        <f>IF(COUNT(Q131,Q4)&lt;2,"",ABS(Q131-Q4))</f>
        <v>0</v>
      </c>
      <c r="R3" s="12">
        <f>IF(COUNT(R131,R4)&lt;2,"",ABS(R131-R4))</f>
        <v>0</v>
      </c>
      <c r="S3" s="12">
        <f>IF(COUNT(S131,S4)&lt;2,"",ABS(S131-S4))</f>
        <v>0</v>
      </c>
      <c r="T3" s="12">
        <f>IF(COUNT(T131,T4)&lt;2,"",ABS(T131-T4))</f>
        <v>0</v>
      </c>
      <c r="U3" s="12">
        <f>IF(COUNT(U131,U4)&lt;2,"",ABS(U131-U4))</f>
        <v>0</v>
      </c>
      <c r="V3" s="12">
        <f>IF(COUNT(V131,V4)&lt;2,"",ABS(V131-V4))</f>
        <v>0</v>
      </c>
      <c r="W3" s="12">
        <f>IF(COUNT(W131,W4)&lt;2,"",ABS(W131-W4))</f>
        <v>0</v>
      </c>
      <c r="X3" s="12">
        <f>IF(COUNT(X131,X4)&lt;2,"",ABS(X131-X4))</f>
        <v>0</v>
      </c>
      <c r="Y3" s="12">
        <f>IF(COUNT(Y131,Y4)&lt;2,"",ABS(Y131-Y4))</f>
        <v>0</v>
      </c>
      <c r="Z3" s="12">
        <f>IF(COUNT(Z131,Z4)&lt;2,"",ABS(Z131-Z4))</f>
        <v>0</v>
      </c>
      <c r="AA3" s="12">
        <f>IF(COUNT(AA131,AA4)&lt;2,"",ABS(AA131-AA4))</f>
        <v>0</v>
      </c>
      <c r="AB3" s="12">
        <f>IF(COUNT(AB131,AB4)&lt;2,"",ABS(AB131-AB4))</f>
        <v>0</v>
      </c>
      <c r="AC3" s="12">
        <f>IF(COUNT(AC131,AC4)&lt;2,"",ABS(AC131-AC4))</f>
        <v>0</v>
      </c>
      <c r="AD3" s="12">
        <f>IF(COUNT(AD131,AD4)&lt;2,"",ABS(AD131-AD4))</f>
        <v>0</v>
      </c>
      <c r="AE3" s="12">
        <f>IF(COUNT(AE131,AE4)&lt;2,"",ABS(AE131-AE4))</f>
        <v>0</v>
      </c>
      <c r="AF3" s="12">
        <f>IF(COUNT(AF131,AF4)&lt;2,"",ABS(AF131-AF4))</f>
        <v>0</v>
      </c>
      <c r="AG3" s="12">
        <f>IF(COUNT(AG131,AG4)&lt;2,"",ABS(AG131-AG4))</f>
        <v>0</v>
      </c>
      <c r="AH3" s="12">
        <f>IF(COUNT(AH131,AH4)&lt;2,"",ABS(AH131-AH4))</f>
        <v>0</v>
      </c>
      <c r="AI3" s="12">
        <f>IF(COUNT(AI131,AI4)&lt;2,"",ABS(AI131-AI4))</f>
        <v>0</v>
      </c>
      <c r="AJ3" s="12">
        <f>ABS(AJ131-AJ4)</f>
        <v>30749.3677403829</v>
      </c>
      <c r="AK3" s="12">
        <f>ABS(AK131-AK4)</f>
        <v>43140.2231851198</v>
      </c>
      <c r="AL3" s="12">
        <f>ABS(AL131-AL4)</f>
        <v>133256.590925503</v>
      </c>
      <c r="AM3" s="12">
        <f>ABS(AM131-AM4)</f>
        <v>33365.5817817298</v>
      </c>
      <c r="AN3" s="12">
        <f>ABS(AN131-AN4)</f>
        <v>32835.3167884906</v>
      </c>
      <c r="AO3" s="12">
        <f>ABS(AO131-AO4)</f>
        <v>34400.6700690188</v>
      </c>
      <c r="AP3" s="12">
        <f>ABS(AP131-AP4)</f>
        <v>48262.8650131933</v>
      </c>
      <c r="AQ3" s="12">
        <f>ABS(AQ131-AQ4)</f>
        <v>148864.433652432</v>
      </c>
      <c r="AR3" s="12">
        <f>ABS(AR131-AR4)</f>
        <v>37160.7158710162</v>
      </c>
      <c r="AS3" s="12">
        <f>ABS(AS131-AS4)</f>
        <v>36570.136426635</v>
      </c>
      <c r="AT3" s="12">
        <f>ABS(AT131-AT4)</f>
        <v>38313.5392204482</v>
      </c>
      <c r="AU3" s="12">
        <f>ABS(AU131-AU4)</f>
        <v>53752.4753984224</v>
      </c>
      <c r="AV3" s="12">
        <f>ABS(AV131-AV4)</f>
        <v>165796.866916522</v>
      </c>
      <c r="AW3" s="12">
        <f>ABS(AW131-AW4)</f>
        <v>41201.7200394464</v>
      </c>
      <c r="AX3" s="12">
        <f>ABS(AX131-AX4)</f>
        <v>40546.9186353802</v>
      </c>
      <c r="AY3" s="12">
        <f>ABS(AY131-AY4)</f>
        <v>42479.9059889071</v>
      </c>
      <c r="AZ3" s="12">
        <f>ABS(AZ131-AZ4)</f>
        <v>59597.7335442129</v>
      </c>
      <c r="BA3" s="12">
        <f>ABS(BA131-BA4)</f>
        <v>183826.278207947</v>
      </c>
      <c r="BB3" s="12">
        <f>ABS(BB131-BB4)</f>
        <v>45476.150486866</v>
      </c>
      <c r="BC3" s="12">
        <f>ABS(BC131-BC4)</f>
        <v>44753.4173785924</v>
      </c>
      <c r="BD3" s="12">
        <f>ABS(BD131-BD4)</f>
        <v>46886.9405347626</v>
      </c>
      <c r="BE3" s="12">
        <f>ABS(BE131-BE4)</f>
        <v>65780.6396611103</v>
      </c>
      <c r="BF3" s="12">
        <f>ABS(BF131-BF4)</f>
        <v>202897.148061331</v>
      </c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(lucro líquido) — base do check de DRE</t>
        </is>
      </c>
      <c r="H4" s="11" t="n"/>
      <c r="I4">
        <f>IF(ISNUMBER('Inputs (2)'!D50),'Inputs (2)'!D50,"")</f>
        <v>23630</v>
      </c>
      <c r="J4">
        <f>IF(ISNUMBER('Inputs (2)'!E50),'Inputs (2)'!E50,"")</f>
        <v>21744</v>
      </c>
      <c r="K4">
        <f>IF(ISNUMBER('Inputs (2)'!F50),'Inputs (2)'!F50,"")</f>
        <v>20551</v>
      </c>
      <c r="L4">
        <f>IF(ISNUMBER('Inputs (2)'!G50),'Inputs (2)'!G50,"")</f>
        <v>34630</v>
      </c>
      <c r="M4" s="11">
        <f>IF(COUNT(I4:L4)=4,SUM(I4:L4),"")</f>
        <v>100555</v>
      </c>
      <c r="N4">
        <f>IF(ISNUMBER('Inputs (2)'!I50),'Inputs (2)'!I50,"")</f>
        <v>25010</v>
      </c>
      <c r="O4">
        <f>IF(ISNUMBER('Inputs (2)'!J50),'Inputs (2)'!J50,"")</f>
        <v>19442</v>
      </c>
      <c r="P4">
        <f>IF(ISNUMBER('Inputs (2)'!K50),'Inputs (2)'!K50,"")</f>
        <v>20721</v>
      </c>
      <c r="Q4">
        <f>IF(ISNUMBER('Inputs (2)'!L50),'Inputs (2)'!L50,"")</f>
        <v>29998</v>
      </c>
      <c r="R4" s="11">
        <f>IF(COUNT(N4:Q4)=4,SUM(N4:Q4),"")</f>
        <v>95171</v>
      </c>
      <c r="S4">
        <f>IF(ISNUMBER('Inputs (2)'!N50),'Inputs (2)'!N50,"")</f>
        <v>24160</v>
      </c>
      <c r="T4">
        <f>IF(ISNUMBER('Inputs (2)'!O50),'Inputs (2)'!O50,"")</f>
        <v>19881</v>
      </c>
      <c r="U4">
        <f>IF(ISNUMBER('Inputs (2)'!P50),'Inputs (2)'!P50,"")</f>
        <v>22956</v>
      </c>
      <c r="V4">
        <f>IF(ISNUMBER('Inputs (2)'!Q50),'Inputs (2)'!Q50,"")</f>
        <v>33916</v>
      </c>
      <c r="W4" s="11">
        <f>IF(COUNT(S4:V4)=4,SUM(S4:V4),"")</f>
        <v>100913</v>
      </c>
      <c r="X4">
        <f>IF(ISNUMBER('Inputs (2)'!S50),'Inputs (2)'!S50,"")</f>
        <v>23636</v>
      </c>
      <c r="Y4">
        <f>IF(ISNUMBER('Inputs (2)'!T50),'Inputs (2)'!T50,"")</f>
        <v>21448</v>
      </c>
      <c r="Z4">
        <f>IF(ISNUMBER('Inputs (2)'!U50),'Inputs (2)'!U50,"")</f>
        <v>14736</v>
      </c>
      <c r="AA4">
        <f>IF(ISNUMBER('Inputs (2)'!V50),'Inputs (2)'!V50,"")</f>
        <v>36330</v>
      </c>
      <c r="AB4" s="11">
        <f>IF(COUNT(X4:AA4)=4,SUM(X4:AA4),"")</f>
        <v>96150</v>
      </c>
      <c r="AC4">
        <f>IF(ISNUMBER('Inputs (2)'!X50),'Inputs (2)'!X50,"")</f>
        <v>24780</v>
      </c>
      <c r="AD4">
        <f>IF(ISNUMBER('Inputs (2)'!Y50),'Inputs (2)'!Y50,"")</f>
        <v>23434</v>
      </c>
      <c r="AE4">
        <f>IF(ISNUMBER('Inputs (2)'!Z50),'Inputs (2)'!Z50,"")</f>
        <v>27466</v>
      </c>
      <c r="AF4">
        <f>IF(ISNUMBER('Inputs (2)'!AA50),'Inputs (2)'!AA50,"")</f>
        <v>42097</v>
      </c>
      <c r="AG4" s="11">
        <f>IF(COUNT(AC4:AF4)=4,SUM(AC4:AF4),"")</f>
        <v>117777</v>
      </c>
      <c r="AH4" s="11">
        <f>IF(ISNUMBER('Inputs (2)'!AC50),'Inputs (2)'!AC50,"")</f>
        <v>29578</v>
      </c>
      <c r="AI4" s="11">
        <f>IF(ISNUMBER('Inputs (2)'!AD50),'Inputs (2)'!AD50,"")</f>
        <v>29789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66" t="n">
        <v>44196</v>
      </c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1"/>
    <row r="12"/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89584</v>
      </c>
      <c r="J15" s="34">
        <f>'Inputs (2)'!E4</f>
        <v>81434</v>
      </c>
      <c r="K15" s="34">
        <f>'Inputs (2)'!F4</f>
        <v>83360</v>
      </c>
      <c r="L15" s="34">
        <f>'Inputs (2)'!G4</f>
        <v>123945</v>
      </c>
      <c r="M15" s="35">
        <f>'Inputs (2)'!H4</f>
        <v>378323</v>
      </c>
      <c r="N15" s="34">
        <f>'Inputs (2)'!I4</f>
        <v>97278</v>
      </c>
      <c r="O15" s="34">
        <f>'Inputs (2)'!J4</f>
        <v>82959</v>
      </c>
      <c r="P15" s="34">
        <f>'Inputs (2)'!K4</f>
        <v>90146</v>
      </c>
      <c r="Q15" s="34">
        <f>'Inputs (2)'!L4</f>
        <v>117154</v>
      </c>
      <c r="R15" s="35">
        <f>'Inputs (2)'!M4</f>
        <v>387537</v>
      </c>
      <c r="S15" s="34">
        <f>'Inputs (2)'!N4</f>
        <v>94836</v>
      </c>
      <c r="T15" s="34">
        <f>'Inputs (2)'!O4</f>
        <v>81797</v>
      </c>
      <c r="U15" s="34">
        <f>'Inputs (2)'!P4</f>
        <v>89498</v>
      </c>
      <c r="V15" s="34">
        <f>'Inputs (2)'!Q4</f>
        <v>119575</v>
      </c>
      <c r="W15" s="35">
        <f>'Inputs (2)'!R4</f>
        <v>385706</v>
      </c>
      <c r="X15" s="34">
        <f>'Inputs (2)'!S4</f>
        <v>90753</v>
      </c>
      <c r="Y15" s="34">
        <f>'Inputs (2)'!T4</f>
        <v>85777</v>
      </c>
      <c r="Z15" s="34">
        <f>'Inputs (2)'!U4</f>
        <v>94930</v>
      </c>
      <c r="AA15" s="34">
        <f>'Inputs (2)'!V4</f>
        <v>124300</v>
      </c>
      <c r="AB15" s="35">
        <f>'Inputs (2)'!W4</f>
        <v>395760</v>
      </c>
      <c r="AC15" s="34">
        <f>'Inputs (2)'!X4</f>
        <v>95359</v>
      </c>
      <c r="AD15" s="34">
        <f>'Inputs (2)'!Y4</f>
        <v>94036</v>
      </c>
      <c r="AE15" s="34">
        <f>'Inputs (2)'!Z4</f>
        <v>102466</v>
      </c>
      <c r="AF15" s="34">
        <f>'Inputs (2)'!AA4</f>
        <v>143756</v>
      </c>
      <c r="AG15" s="35">
        <f>'Inputs (2)'!AB4</f>
        <v>435617</v>
      </c>
      <c r="AH15" s="35">
        <f>'Inputs (2)'!AC4</f>
        <v>111184</v>
      </c>
      <c r="AI15" s="35">
        <f>'Inputs (2)'!AD4</f>
        <v>109417</v>
      </c>
      <c r="AJ15" s="35">
        <f>AE15*(1+AJ16)</f>
        <v>114633.220723523</v>
      </c>
      <c r="AK15" s="35">
        <f>AF15*(1+AK16)</f>
        <v>160826.159685464</v>
      </c>
      <c r="AL15" s="35">
        <f>SUM(AH15:AK15)</f>
        <v>496060.380408986</v>
      </c>
      <c r="AM15" s="35">
        <f>AH15*(1+AM16)</f>
        <v>124386.43074702</v>
      </c>
      <c r="AN15" s="35">
        <f>AI15*(1+AN16)</f>
        <v>122409.610133173</v>
      </c>
      <c r="AO15" s="35">
        <f>AJ15*(1+AO16)</f>
        <v>128245.225669469</v>
      </c>
      <c r="AP15" s="35">
        <f>AK15*(1+AP16)</f>
        <v>179923.298082683</v>
      </c>
      <c r="AQ15" s="35">
        <f>SUM(AM15:AP15)</f>
        <v>554964.564632345</v>
      </c>
      <c r="AR15" s="35">
        <f>AM15*(1+AR16)</f>
        <v>138534.63852175</v>
      </c>
      <c r="AS15" s="35">
        <f>AN15*(1+AS16)</f>
        <v>136332.96646221</v>
      </c>
      <c r="AT15" s="35">
        <f>AO15*(1+AT16)</f>
        <v>142832.348139276</v>
      </c>
      <c r="AU15" s="35">
        <f>AP15*(1+AU16)</f>
        <v>200388.490222217</v>
      </c>
      <c r="AV15" s="35">
        <f>SUM(AR15:AU15)</f>
        <v>618088.443345453</v>
      </c>
      <c r="AW15" s="35">
        <f>AR15*(1+AW16)</f>
        <v>153599.446575542</v>
      </c>
      <c r="AX15" s="35">
        <f>AS15*(1+AX16)</f>
        <v>151158.355932114</v>
      </c>
      <c r="AY15" s="35">
        <f>AT15*(1+AY16)</f>
        <v>158364.506244649</v>
      </c>
      <c r="AZ15" s="35">
        <f>AU15*(1+AZ16)</f>
        <v>222179.532329805</v>
      </c>
      <c r="BA15" s="35">
        <f>SUM(AW15:AZ15)</f>
        <v>685301.84108211</v>
      </c>
      <c r="BB15" s="35">
        <f>AW15*(1+BB16)</f>
        <v>169534.464592283</v>
      </c>
      <c r="BC15" s="35">
        <f>AX15*(1+BC16)</f>
        <v>166840.125488325</v>
      </c>
      <c r="BD15" s="35">
        <f>AY15*(1+BD16)</f>
        <v>174793.870519602</v>
      </c>
      <c r="BE15" s="35">
        <f>AZ15*(1+BE16)</f>
        <v>245229.32143751</v>
      </c>
      <c r="BF15" s="35">
        <f>SUM(BB15:BE15)</f>
        <v>756397.782037721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hidden="1" outlineLevel="1" customFormat="1" s="43">
      <c r="A16" s="36" t="n"/>
      <c r="B16" s="37" t="n"/>
      <c r="C16" s="38" t="inlineStr">
        <is>
          <t>% YoY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0.085885872477228</v>
      </c>
      <c r="O16" s="40">
        <f>IFERROR(O15/J15-1,"")</f>
        <v>0.0187268217206573</v>
      </c>
      <c r="P16" s="40">
        <f>IFERROR(P15/K15-1,"")</f>
        <v>0.0814059500959692</v>
      </c>
      <c r="Q16" s="40">
        <f>IFERROR(Q15/L15-1,"")</f>
        <v>-0.0547904312396628</v>
      </c>
      <c r="R16" s="40">
        <f>IFERROR(R15/M15-1,"")</f>
        <v>0.0243548502205788</v>
      </c>
      <c r="S16" s="40">
        <f>IFERROR(S15/N15-1,"")</f>
        <v>-0.0251033121569111</v>
      </c>
      <c r="T16" s="40">
        <f>IFERROR(T15/O15-1,"")</f>
        <v>-0.0140069190805097</v>
      </c>
      <c r="U16" s="40">
        <f>IFERROR(U15/P15-1,"")</f>
        <v>-0.00718833891686821</v>
      </c>
      <c r="V16" s="40">
        <f>IFERROR(V15/Q15-1,"")</f>
        <v>0.0206651074653874</v>
      </c>
      <c r="W16" s="40">
        <f>IFERROR(W15/R15-1,"")</f>
        <v>-0.00472471015670761</v>
      </c>
      <c r="X16" s="40">
        <f>IFERROR(X15/S15-1,"")</f>
        <v>-0.0430532709097811</v>
      </c>
      <c r="Y16" s="40">
        <f>IFERROR(Y15/T15-1,"")</f>
        <v>0.0486570412117804</v>
      </c>
      <c r="Z16" s="40">
        <f>IFERROR(Z15/U15-1,"")</f>
        <v>0.0606940937227647</v>
      </c>
      <c r="AA16" s="40">
        <f>IFERROR(AA15/V15-1,"")</f>
        <v>0.0395149487769182</v>
      </c>
      <c r="AB16" s="40">
        <f>IFERROR(AB15/W15-1,"")</f>
        <v>0.0260664858726596</v>
      </c>
      <c r="AC16" s="40">
        <f>IFERROR(AC15/X15-1,"")</f>
        <v>0.0507531431467829</v>
      </c>
      <c r="AD16" s="40">
        <f>IFERROR(AD15/Y15-1,"")</f>
        <v>0.0962845518029309</v>
      </c>
      <c r="AE16" s="40">
        <f>IFERROR(AE15/Z15-1,"")</f>
        <v>0.0793848098598968</v>
      </c>
      <c r="AF16" s="41">
        <f>IFERROR(AF15/AA15-1,"")</f>
        <v>0.156524537409493</v>
      </c>
      <c r="AG16" s="40">
        <f>IFERROR(AG15/AB15-1,"")</f>
        <v>0.100710026278553</v>
      </c>
      <c r="AH16" s="41">
        <f>IFERROR(AH15/AC15-1,"")</f>
        <v>0.16595182415923</v>
      </c>
      <c r="AI16" s="41">
        <f>IFERROR(AI15/AD15-1,"")</f>
        <v>0.163565017652814</v>
      </c>
      <c r="AJ16" s="41">
        <f>Control!$B$18</f>
        <v>0.118743980671858</v>
      </c>
      <c r="AK16" s="41">
        <f>Control!$B$18</f>
        <v>0.118743980671858</v>
      </c>
      <c r="AL16" s="42">
        <f>IFERROR(AL15/AG15-1,"")</f>
        <v>0.138753493112037</v>
      </c>
      <c r="AM16" s="41">
        <f>Control!$C$18</f>
        <v>0.118743980671858</v>
      </c>
      <c r="AN16" s="41">
        <f>Control!$C$18</f>
        <v>0.118743980671858</v>
      </c>
      <c r="AO16" s="41">
        <f>Control!$C$18</f>
        <v>0.118743980671858</v>
      </c>
      <c r="AP16" s="41">
        <f>Control!$C$18</f>
        <v>0.118743980671858</v>
      </c>
      <c r="AQ16" s="42">
        <f>IFERROR(AQ15/AL15-1,"")</f>
        <v>0.118743980671858</v>
      </c>
      <c r="AR16" s="41">
        <f>Control!$D$18</f>
        <v>0.113743980671858</v>
      </c>
      <c r="AS16" s="41">
        <f>Control!$D$18</f>
        <v>0.113743980671858</v>
      </c>
      <c r="AT16" s="41">
        <f>Control!$D$18</f>
        <v>0.113743980671858</v>
      </c>
      <c r="AU16" s="41">
        <f>Control!$D$18</f>
        <v>0.113743980671858</v>
      </c>
      <c r="AV16" s="42">
        <f>IFERROR(AV15/AQ15-1,"")</f>
        <v>0.113743980671858</v>
      </c>
      <c r="AW16" s="41">
        <f>Control!$E$18</f>
        <v>0.108743980671858</v>
      </c>
      <c r="AX16" s="41">
        <f>Control!$E$18</f>
        <v>0.108743980671858</v>
      </c>
      <c r="AY16" s="41">
        <f>Control!$E$18</f>
        <v>0.108743980671858</v>
      </c>
      <c r="AZ16" s="41">
        <f>Control!$E$18</f>
        <v>0.108743980671858</v>
      </c>
      <c r="BA16" s="42">
        <f>IFERROR(BA15/AV15-1,"")</f>
        <v>0.108743980671858</v>
      </c>
      <c r="BB16" s="41">
        <f>Control!$F$18</f>
        <v>0.103743980671858</v>
      </c>
      <c r="BC16" s="41">
        <f>Control!$F$18</f>
        <v>0.103743980671858</v>
      </c>
      <c r="BD16" s="41">
        <f>Control!$F$18</f>
        <v>0.103743980671858</v>
      </c>
      <c r="BE16" s="41">
        <f>Control!$F$18</f>
        <v>0.103743980671858</v>
      </c>
      <c r="BF16" s="42">
        <f>IFERROR(BF15/BA15-1,"")</f>
        <v>0.103743980671858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hidden="1" outlineLevel="1" customFormat="1" s="43">
      <c r="A17" s="36" t="n"/>
      <c r="B17" s="37" t="n"/>
      <c r="C17" s="44" t="inlineStr">
        <is>
          <t>Check Receita</t>
        </is>
      </c>
      <c r="D17" s="39" t="n"/>
      <c r="E17" s="40" t="n"/>
      <c r="F17" s="40" t="n"/>
      <c r="G17" s="40" t="n"/>
      <c r="H17" s="39" t="n"/>
      <c r="I17" s="39">
        <f>IF(ISNUMBER(I26),I26,"")</f>
        <v>0</v>
      </c>
      <c r="J17" s="40">
        <f>IF(ISNUMBER(J26),J26,"")</f>
        <v>0</v>
      </c>
      <c r="K17" s="40">
        <f>IF(ISNUMBER(K26),K26,"")</f>
        <v>0</v>
      </c>
      <c r="L17" s="40">
        <f>IF(ISNUMBER(L26),L26,"")</f>
        <v>0</v>
      </c>
      <c r="M17" s="39">
        <f>IF(ISNUMBER(M26),M26,"")</f>
        <v>0</v>
      </c>
      <c r="N17" s="40">
        <f>IF(ISNUMBER(N26),N26,"")</f>
        <v>0</v>
      </c>
      <c r="O17" s="40">
        <f>IF(ISNUMBER(O26),O26,"")</f>
        <v>0</v>
      </c>
      <c r="P17" s="40">
        <f>IF(ISNUMBER(P26),P26,"")</f>
        <v>0</v>
      </c>
      <c r="Q17" s="40">
        <f>IF(ISNUMBER(Q26),Q26,"")</f>
        <v>0</v>
      </c>
      <c r="R17" s="40">
        <f>IF(ISNUMBER(R26),R26,"")</f>
        <v>0</v>
      </c>
      <c r="S17" s="40">
        <f>IF(ISNUMBER(S26),S26,"")</f>
        <v>0</v>
      </c>
      <c r="T17" s="40">
        <f>IF(ISNUMBER(T26),T26,"")</f>
        <v>0</v>
      </c>
      <c r="U17" s="40">
        <f>IF(ISNUMBER(U26),U26,"")</f>
        <v>0</v>
      </c>
      <c r="V17" s="40">
        <f>IF(ISNUMBER(V26),V26,"")</f>
        <v>0</v>
      </c>
      <c r="W17" s="40">
        <f>IF(ISNUMBER(W26),W26,"")</f>
        <v>0</v>
      </c>
      <c r="X17" s="40">
        <f>IF(ISNUMBER(X26),X26,"")</f>
        <v>0</v>
      </c>
      <c r="Y17" s="40">
        <f>IF(ISNUMBER(Y26),Y26,"")</f>
        <v>0</v>
      </c>
      <c r="Z17" s="40">
        <f>IF(ISNUMBER(Z26),Z26,"")</f>
        <v>0</v>
      </c>
      <c r="AA17" s="40">
        <f>IF(ISNUMBER(AA26),AA26,"")</f>
        <v>0</v>
      </c>
      <c r="AB17" s="40">
        <f>IF(ISNUMBER(AB26),AB26,"")</f>
        <v>0</v>
      </c>
      <c r="AC17" s="40">
        <f>IF(ISNUMBER(AC26),AC26,"")</f>
        <v>0</v>
      </c>
      <c r="AD17" s="40">
        <f>IF(ISNUMBER(AD26),AD26,"")</f>
        <v>0</v>
      </c>
      <c r="AE17" s="40">
        <f>IF(ISNUMBER(AE26),AE26,"")</f>
        <v>0</v>
      </c>
      <c r="AF17" s="40">
        <f>IF(ISNUMBER(AF26),AF26,"")</f>
        <v>0</v>
      </c>
      <c r="AG17" s="40">
        <f>IF(ISNUMBER(AG26),AG26,"")</f>
        <v>0</v>
      </c>
      <c r="AH17" s="41">
        <f>IF(ISNUMBER(AH26),AH26,"")</f>
        <v>0</v>
      </c>
      <c r="AI17" s="41">
        <f>IF(ISNUMBER(AI26),AI26,"")</f>
        <v>0</v>
      </c>
      <c r="AJ17" s="41" t="n"/>
      <c r="AK17" s="41" t="n"/>
      <c r="AL17" s="42" t="n"/>
      <c r="AM17" s="41" t="n"/>
      <c r="AN17" s="41" t="n"/>
      <c r="AO17" s="41" t="n"/>
      <c r="AP17" s="41" t="n"/>
      <c r="AQ17" s="42" t="n"/>
      <c r="AR17" s="41" t="n"/>
      <c r="AS17" s="41" t="n"/>
      <c r="AT17" s="41" t="n"/>
      <c r="AU17" s="41" t="n"/>
      <c r="AV17" s="42" t="n"/>
      <c r="AW17" s="41" t="n"/>
      <c r="AX17" s="41" t="n"/>
      <c r="AY17" s="41" t="n"/>
      <c r="AZ17" s="41" t="n"/>
      <c r="BA17" s="42" t="n"/>
      <c r="BB17" s="41" t="n"/>
      <c r="BC17" s="41" t="n"/>
      <c r="BD17" s="41" t="n"/>
      <c r="BE17" s="41" t="n"/>
      <c r="BF17" s="42" t="n"/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>
      <c r="C18" s="267" t="inlineStr">
        <is>
          <t>Receita por categoria - como a Apple divulga (USD milhões)</t>
        </is>
      </c>
      <c r="D18" s="267">
        <f>D7</f>
        <v>0</v>
      </c>
      <c r="E18" s="267">
        <f>E7</f>
        <v>0</v>
      </c>
      <c r="F18" s="267">
        <f>F7</f>
        <v>0</v>
      </c>
      <c r="G18" s="267">
        <f>G7</f>
        <v>0</v>
      </c>
      <c r="H18" s="267">
        <f>H7</f>
        <v>2020</v>
      </c>
      <c r="I18" s="267" t="str">
        <f>I7</f>
        <v>1Q21</v>
      </c>
      <c r="J18" s="267" t="str">
        <f>J7</f>
        <v>2Q21</v>
      </c>
      <c r="K18" s="267" t="str">
        <f>K7</f>
        <v>3Q21</v>
      </c>
      <c r="L18" s="267" t="str">
        <f>L7</f>
        <v>4Q21</v>
      </c>
      <c r="M18" s="267">
        <f>M7</f>
        <v>2021</v>
      </c>
      <c r="N18" s="267" t="str">
        <f>N7</f>
        <v>1Q22</v>
      </c>
      <c r="O18" s="267" t="str">
        <f>O7</f>
        <v>2Q22</v>
      </c>
      <c r="P18" s="267" t="str">
        <f>P7</f>
        <v>3Q22</v>
      </c>
      <c r="Q18" s="267" t="str">
        <f>Q7</f>
        <v>4Q22</v>
      </c>
      <c r="R18" s="267">
        <f>R7</f>
        <v>2022</v>
      </c>
      <c r="S18" s="267" t="str">
        <f>S7</f>
        <v>1Q23</v>
      </c>
      <c r="T18" s="267" t="str">
        <f>T7</f>
        <v>2Q23</v>
      </c>
      <c r="U18" s="267" t="str">
        <f>U7</f>
        <v>3Q23</v>
      </c>
      <c r="V18" s="267" t="str">
        <f>V7</f>
        <v>4Q23</v>
      </c>
      <c r="W18" s="267">
        <f>W7</f>
        <v>2023</v>
      </c>
      <c r="X18" s="267" t="str">
        <f>X7</f>
        <v>1Q24</v>
      </c>
      <c r="Y18" s="267" t="str">
        <f>Y7</f>
        <v>2Q24</v>
      </c>
      <c r="Z18" s="267" t="str">
        <f>Z7</f>
        <v>3Q24</v>
      </c>
      <c r="AA18" s="267" t="str">
        <f>AA7</f>
        <v>4Q24</v>
      </c>
      <c r="AB18" s="267">
        <f>AB7</f>
        <v>2024</v>
      </c>
      <c r="AC18" s="267" t="str">
        <f>AC7</f>
        <v>1Q25</v>
      </c>
      <c r="AD18" s="267" t="str">
        <f>AD7</f>
        <v>2Q25</v>
      </c>
      <c r="AE18" s="267" t="str">
        <f>AE7</f>
        <v>3Q25</v>
      </c>
      <c r="AF18" s="267" t="str">
        <f>AF7</f>
        <v>4Q25</v>
      </c>
      <c r="AG18" s="267">
        <f>AG7</f>
        <v>2025</v>
      </c>
      <c r="AH18" s="267" t="str">
        <f>AH7</f>
        <v>1Q26</v>
      </c>
      <c r="AI18" s="267" t="str">
        <f>AI7</f>
        <v>2Q26</v>
      </c>
    </row>
    <row r="19">
      <c r="C19" s="268" t="inlineStr">
        <is>
          <t xml:space="preserve">   iPhone</t>
        </is>
      </c>
      <c r="D19" s="269" t="str">
        <f>IFERROR(INDEX('Inputs (2)'!$D$53:$AL$53,MATCH(D$7&amp;"",'Inputs (2)'!$D$2:$AL$2,0)),"")</f>
        <v/>
      </c>
      <c r="E19" s="269" t="str">
        <f>IFERROR(INDEX('Inputs (2)'!$D$53:$AL$53,MATCH(E$7&amp;"",'Inputs (2)'!$D$2:$AL$2,0)),"")</f>
        <v/>
      </c>
      <c r="F19" s="269" t="str">
        <f>IFERROR(INDEX('Inputs (2)'!$D$53:$AL$53,MATCH(F$7&amp;"",'Inputs (2)'!$D$2:$AL$2,0)),"")</f>
        <v/>
      </c>
      <c r="G19" s="269" t="str">
        <f>IFERROR(INDEX('Inputs (2)'!$D$53:$AL$53,MATCH(G$7&amp;"",'Inputs (2)'!$D$2:$AL$2,0)),"")</f>
        <v/>
      </c>
      <c r="H19" s="270" t="str">
        <f>IF(COUNT(D19:G19)=4,SUM(D19:G19),"")</f>
        <v/>
      </c>
      <c r="I19" s="269">
        <f>IFERROR(INDEX('Inputs (2)'!$D$53:$AL$53,MATCH(I$7&amp;"",'Inputs (2)'!$D$2:$AL$2,0)),"")</f>
        <v>47938</v>
      </c>
      <c r="J19" s="269">
        <f>IFERROR(INDEX('Inputs (2)'!$D$53:$AL$53,MATCH(J$7&amp;"",'Inputs (2)'!$D$2:$AL$2,0)),"")</f>
        <v>39570</v>
      </c>
      <c r="K19" s="269">
        <f>IFERROR(INDEX('Inputs (2)'!$D$53:$AL$53,MATCH(K$7&amp;"",'Inputs (2)'!$D$2:$AL$2,0)),"")</f>
        <v>38868</v>
      </c>
      <c r="L19" s="269">
        <f>IFERROR(INDEX('Inputs (2)'!$D$53:$AL$53,MATCH(L$7&amp;"",'Inputs (2)'!$D$2:$AL$2,0)),"")</f>
        <v>71628</v>
      </c>
      <c r="M19" s="270">
        <f>IF(COUNT(I19:L19)=4,SUM(I19:L19),"")</f>
        <v>198004</v>
      </c>
      <c r="N19" s="269">
        <f>IFERROR(INDEX('Inputs (2)'!$D$53:$AL$53,MATCH(N$7&amp;"",'Inputs (2)'!$D$2:$AL$2,0)),"")</f>
        <v>50570</v>
      </c>
      <c r="O19" s="269">
        <f>IFERROR(INDEX('Inputs (2)'!$D$53:$AL$53,MATCH(O$7&amp;"",'Inputs (2)'!$D$2:$AL$2,0)),"")</f>
        <v>40665</v>
      </c>
      <c r="P19" s="269">
        <f>IFERROR(INDEX('Inputs (2)'!$D$53:$AL$53,MATCH(P$7&amp;"",'Inputs (2)'!$D$2:$AL$2,0)),"")</f>
        <v>42626</v>
      </c>
      <c r="Q19" s="269">
        <f>IFERROR(INDEX('Inputs (2)'!$D$53:$AL$53,MATCH(Q$7&amp;"",'Inputs (2)'!$D$2:$AL$2,0)),"")</f>
        <v>65775</v>
      </c>
      <c r="R19" s="270">
        <f>IF(COUNT(N19:Q19)=4,SUM(N19:Q19),"")</f>
        <v>199636</v>
      </c>
      <c r="S19" s="269">
        <f>IFERROR(INDEX('Inputs (2)'!$D$53:$AL$53,MATCH(S$7&amp;"",'Inputs (2)'!$D$2:$AL$2,0)),"")</f>
        <v>51334</v>
      </c>
      <c r="T19" s="269">
        <f>IFERROR(INDEX('Inputs (2)'!$D$53:$AL$53,MATCH(T$7&amp;"",'Inputs (2)'!$D$2:$AL$2,0)),"")</f>
        <v>39669</v>
      </c>
      <c r="U19" s="269">
        <f>IFERROR(INDEX('Inputs (2)'!$D$53:$AL$53,MATCH(U$7&amp;"",'Inputs (2)'!$D$2:$AL$2,0)),"")</f>
        <v>43805</v>
      </c>
      <c r="V19" s="269">
        <f>IFERROR(INDEX('Inputs (2)'!$D$53:$AL$53,MATCH(V$7&amp;"",'Inputs (2)'!$D$2:$AL$2,0)),"")</f>
        <v>69702</v>
      </c>
      <c r="W19" s="270">
        <f>IF(COUNT(S19:V19)=4,SUM(S19:V19),"")</f>
        <v>204510</v>
      </c>
      <c r="X19" s="269">
        <f>IFERROR(INDEX('Inputs (2)'!$D$53:$AL$53,MATCH(X$7&amp;"",'Inputs (2)'!$D$2:$AL$2,0)),"")</f>
        <v>45963</v>
      </c>
      <c r="Y19" s="269">
        <f>IFERROR(INDEX('Inputs (2)'!$D$53:$AL$53,MATCH(Y$7&amp;"",'Inputs (2)'!$D$2:$AL$2,0)),"")</f>
        <v>39296</v>
      </c>
      <c r="Z19" s="269">
        <f>IFERROR(INDEX('Inputs (2)'!$D$53:$AL$53,MATCH(Z$7&amp;"",'Inputs (2)'!$D$2:$AL$2,0)),"")</f>
        <v>46222</v>
      </c>
      <c r="AA19" s="269">
        <f>IFERROR(INDEX('Inputs (2)'!$D$53:$AL$53,MATCH(AA$7&amp;"",'Inputs (2)'!$D$2:$AL$2,0)),"")</f>
        <v>69138</v>
      </c>
      <c r="AB19" s="270">
        <f>IF(COUNT(X19:AA19)=4,SUM(X19:AA19),"")</f>
        <v>200619</v>
      </c>
      <c r="AC19" s="269">
        <f>IFERROR(INDEX('Inputs (2)'!$D$53:$AL$53,MATCH(AC$7&amp;"",'Inputs (2)'!$D$2:$AL$2,0)),"")</f>
        <v>46841</v>
      </c>
      <c r="AD19" s="269">
        <f>IFERROR(INDEX('Inputs (2)'!$D$53:$AL$53,MATCH(AD$7&amp;"",'Inputs (2)'!$D$2:$AL$2,0)),"")</f>
        <v>44582</v>
      </c>
      <c r="AE19" s="269">
        <f>IFERROR(INDEX('Inputs (2)'!$D$53:$AL$53,MATCH(AE$7&amp;"",'Inputs (2)'!$D$2:$AL$2,0)),"")</f>
        <v>49025</v>
      </c>
      <c r="AF19" s="269">
        <f>IFERROR(INDEX('Inputs (2)'!$D$53:$AL$53,MATCH(AF$7&amp;"",'Inputs (2)'!$D$2:$AL$2,0)),"")</f>
        <v>85269</v>
      </c>
      <c r="AG19" s="270">
        <f>IF(COUNT(AC19:AF19)=4,SUM(AC19:AF19),"")</f>
        <v>225717</v>
      </c>
      <c r="AH19" s="270">
        <f>IFERROR(INDEX('Inputs (2)'!$D$53:$AL$53,MATCH(AH$7&amp;"",'Inputs (2)'!$D$2:$AL$2,0)),"")</f>
        <v>56994</v>
      </c>
      <c r="AI19" s="270">
        <f>IFERROR(INDEX('Inputs (2)'!$D$53:$AL$53,MATCH(AI$7&amp;"",'Inputs (2)'!$D$2:$AL$2,0)),"")</f>
        <v>54252</v>
      </c>
    </row>
    <row r="20">
      <c r="C20" s="268" t="inlineStr">
        <is>
          <t xml:space="preserve">   Mac</t>
        </is>
      </c>
      <c r="D20" s="269" t="str">
        <f>IFERROR(INDEX('Inputs (2)'!$D$54:$AL$54,MATCH(D$7&amp;"",'Inputs (2)'!$D$2:$AL$2,0)),"")</f>
        <v/>
      </c>
      <c r="E20" s="269" t="str">
        <f>IFERROR(INDEX('Inputs (2)'!$D$54:$AL$54,MATCH(E$7&amp;"",'Inputs (2)'!$D$2:$AL$2,0)),"")</f>
        <v/>
      </c>
      <c r="F20" s="269" t="str">
        <f>IFERROR(INDEX('Inputs (2)'!$D$54:$AL$54,MATCH(F$7&amp;"",'Inputs (2)'!$D$2:$AL$2,0)),"")</f>
        <v/>
      </c>
      <c r="G20" s="269" t="str">
        <f>IFERROR(INDEX('Inputs (2)'!$D$54:$AL$54,MATCH(G$7&amp;"",'Inputs (2)'!$D$2:$AL$2,0)),"")</f>
        <v/>
      </c>
      <c r="H20" s="270" t="str">
        <f>IF(COUNT(D20:G20)=4,SUM(D20:G20),"")</f>
        <v/>
      </c>
      <c r="I20" s="269">
        <f>IFERROR(INDEX('Inputs (2)'!$D$54:$AL$54,MATCH(I$7&amp;"",'Inputs (2)'!$D$2:$AL$2,0)),"")</f>
        <v>9102</v>
      </c>
      <c r="J20" s="269">
        <f>IFERROR(INDEX('Inputs (2)'!$D$54:$AL$54,MATCH(J$7&amp;"",'Inputs (2)'!$D$2:$AL$2,0)),"")</f>
        <v>8235</v>
      </c>
      <c r="K20" s="269">
        <f>IFERROR(INDEX('Inputs (2)'!$D$54:$AL$54,MATCH(K$7&amp;"",'Inputs (2)'!$D$2:$AL$2,0)),"")</f>
        <v>9178</v>
      </c>
      <c r="L20" s="269">
        <f>IFERROR(INDEX('Inputs (2)'!$D$54:$AL$54,MATCH(L$7&amp;"",'Inputs (2)'!$D$2:$AL$2,0)),"")</f>
        <v>10852</v>
      </c>
      <c r="M20" s="270">
        <f>IF(COUNT(I20:L20)=4,SUM(I20:L20),"")</f>
        <v>37367</v>
      </c>
      <c r="N20" s="269">
        <f>IFERROR(INDEX('Inputs (2)'!$D$54:$AL$54,MATCH(N$7&amp;"",'Inputs (2)'!$D$2:$AL$2,0)),"")</f>
        <v>10435</v>
      </c>
      <c r="O20" s="269">
        <f>IFERROR(INDEX('Inputs (2)'!$D$54:$AL$54,MATCH(O$7&amp;"",'Inputs (2)'!$D$2:$AL$2,0)),"")</f>
        <v>7382</v>
      </c>
      <c r="P20" s="269">
        <f>IFERROR(INDEX('Inputs (2)'!$D$54:$AL$54,MATCH(P$7&amp;"",'Inputs (2)'!$D$2:$AL$2,0)),"")</f>
        <v>11508</v>
      </c>
      <c r="Q20" s="269">
        <f>IFERROR(INDEX('Inputs (2)'!$D$54:$AL$54,MATCH(Q$7&amp;"",'Inputs (2)'!$D$2:$AL$2,0)),"")</f>
        <v>7735</v>
      </c>
      <c r="R20" s="270">
        <f>IF(COUNT(N20:Q20)=4,SUM(N20:Q20),"")</f>
        <v>37060</v>
      </c>
      <c r="S20" s="269">
        <f>IFERROR(INDEX('Inputs (2)'!$D$54:$AL$54,MATCH(S$7&amp;"",'Inputs (2)'!$D$2:$AL$2,0)),"")</f>
        <v>7168</v>
      </c>
      <c r="T20" s="269">
        <f>IFERROR(INDEX('Inputs (2)'!$D$54:$AL$54,MATCH(T$7&amp;"",'Inputs (2)'!$D$2:$AL$2,0)),"")</f>
        <v>6840</v>
      </c>
      <c r="U20" s="269">
        <f>IFERROR(INDEX('Inputs (2)'!$D$54:$AL$54,MATCH(U$7&amp;"",'Inputs (2)'!$D$2:$AL$2,0)),"")</f>
        <v>7614</v>
      </c>
      <c r="V20" s="269">
        <f>IFERROR(INDEX('Inputs (2)'!$D$54:$AL$54,MATCH(V$7&amp;"",'Inputs (2)'!$D$2:$AL$2,0)),"")</f>
        <v>7780</v>
      </c>
      <c r="W20" s="270">
        <f>IF(COUNT(S20:V20)=4,SUM(S20:V20),"")</f>
        <v>29402</v>
      </c>
      <c r="X20" s="269">
        <f>IFERROR(INDEX('Inputs (2)'!$D$54:$AL$54,MATCH(X$7&amp;"",'Inputs (2)'!$D$2:$AL$2,0)),"")</f>
        <v>7451</v>
      </c>
      <c r="Y20" s="269">
        <f>IFERROR(INDEX('Inputs (2)'!$D$54:$AL$54,MATCH(Y$7&amp;"",'Inputs (2)'!$D$2:$AL$2,0)),"")</f>
        <v>7009</v>
      </c>
      <c r="Z20" s="269">
        <f>IFERROR(INDEX('Inputs (2)'!$D$54:$AL$54,MATCH(Z$7&amp;"",'Inputs (2)'!$D$2:$AL$2,0)),"")</f>
        <v>7744</v>
      </c>
      <c r="AA20" s="269">
        <f>IFERROR(INDEX('Inputs (2)'!$D$54:$AL$54,MATCH(AA$7&amp;"",'Inputs (2)'!$D$2:$AL$2,0)),"")</f>
        <v>8987</v>
      </c>
      <c r="AB20" s="270">
        <f>IF(COUNT(X20:AA20)=4,SUM(X20:AA20),"")</f>
        <v>31191</v>
      </c>
      <c r="AC20" s="269">
        <f>IFERROR(INDEX('Inputs (2)'!$D$54:$AL$54,MATCH(AC$7&amp;"",'Inputs (2)'!$D$2:$AL$2,0)),"")</f>
        <v>7949</v>
      </c>
      <c r="AD20" s="269">
        <f>IFERROR(INDEX('Inputs (2)'!$D$54:$AL$54,MATCH(AD$7&amp;"",'Inputs (2)'!$D$2:$AL$2,0)),"")</f>
        <v>8046</v>
      </c>
      <c r="AE20" s="269">
        <f>IFERROR(INDEX('Inputs (2)'!$D$54:$AL$54,MATCH(AE$7&amp;"",'Inputs (2)'!$D$2:$AL$2,0)),"")</f>
        <v>8726</v>
      </c>
      <c r="AF20" s="269">
        <f>IFERROR(INDEX('Inputs (2)'!$D$54:$AL$54,MATCH(AF$7&amp;"",'Inputs (2)'!$D$2:$AL$2,0)),"")</f>
        <v>8386</v>
      </c>
      <c r="AG20" s="270">
        <f>IF(COUNT(AC20:AF20)=4,SUM(AC20:AF20),"")</f>
        <v>33107</v>
      </c>
      <c r="AH20" s="270">
        <f>IFERROR(INDEX('Inputs (2)'!$D$54:$AL$54,MATCH(AH$7&amp;"",'Inputs (2)'!$D$2:$AL$2,0)),"")</f>
        <v>8399</v>
      </c>
      <c r="AI20" s="270">
        <f>IFERROR(INDEX('Inputs (2)'!$D$54:$AL$54,MATCH(AI$7&amp;"",'Inputs (2)'!$D$2:$AL$2,0)),"")</f>
        <v>10352</v>
      </c>
    </row>
    <row r="21">
      <c r="C21" s="268" t="inlineStr">
        <is>
          <t xml:space="preserve">   iPad</t>
        </is>
      </c>
      <c r="D21" s="269" t="str">
        <f>IFERROR(INDEX('Inputs (2)'!$D$55:$AL$55,MATCH(D$7&amp;"",'Inputs (2)'!$D$2:$AL$2,0)),"")</f>
        <v/>
      </c>
      <c r="E21" s="269" t="str">
        <f>IFERROR(INDEX('Inputs (2)'!$D$55:$AL$55,MATCH(E$7&amp;"",'Inputs (2)'!$D$2:$AL$2,0)),"")</f>
        <v/>
      </c>
      <c r="F21" s="269" t="str">
        <f>IFERROR(INDEX('Inputs (2)'!$D$55:$AL$55,MATCH(F$7&amp;"",'Inputs (2)'!$D$2:$AL$2,0)),"")</f>
        <v/>
      </c>
      <c r="G21" s="269" t="str">
        <f>IFERROR(INDEX('Inputs (2)'!$D$55:$AL$55,MATCH(G$7&amp;"",'Inputs (2)'!$D$2:$AL$2,0)),"")</f>
        <v/>
      </c>
      <c r="H21" s="270" t="str">
        <f>IF(COUNT(D21:G21)=4,SUM(D21:G21),"")</f>
        <v/>
      </c>
      <c r="I21" s="269">
        <f>IFERROR(INDEX('Inputs (2)'!$D$55:$AL$55,MATCH(I$7&amp;"",'Inputs (2)'!$D$2:$AL$2,0)),"")</f>
        <v>7807</v>
      </c>
      <c r="J21" s="269">
        <f>IFERROR(INDEX('Inputs (2)'!$D$55:$AL$55,MATCH(J$7&amp;"",'Inputs (2)'!$D$2:$AL$2,0)),"")</f>
        <v>7368</v>
      </c>
      <c r="K21" s="269">
        <f>IFERROR(INDEX('Inputs (2)'!$D$55:$AL$55,MATCH(K$7&amp;"",'Inputs (2)'!$D$2:$AL$2,0)),"")</f>
        <v>8252</v>
      </c>
      <c r="L21" s="269">
        <f>IFERROR(INDEX('Inputs (2)'!$D$55:$AL$55,MATCH(L$7&amp;"",'Inputs (2)'!$D$2:$AL$2,0)),"")</f>
        <v>7248</v>
      </c>
      <c r="M21" s="270">
        <f>IF(COUNT(I21:L21)=4,SUM(I21:L21),"")</f>
        <v>30675</v>
      </c>
      <c r="N21" s="269">
        <f>IFERROR(INDEX('Inputs (2)'!$D$55:$AL$55,MATCH(N$7&amp;"",'Inputs (2)'!$D$2:$AL$2,0)),"")</f>
        <v>7646</v>
      </c>
      <c r="O21" s="269">
        <f>IFERROR(INDEX('Inputs (2)'!$D$55:$AL$55,MATCH(O$7&amp;"",'Inputs (2)'!$D$2:$AL$2,0)),"")</f>
        <v>7224</v>
      </c>
      <c r="P21" s="269">
        <f>IFERROR(INDEX('Inputs (2)'!$D$55:$AL$55,MATCH(P$7&amp;"",'Inputs (2)'!$D$2:$AL$2,0)),"")</f>
        <v>7174</v>
      </c>
      <c r="Q21" s="269">
        <f>IFERROR(INDEX('Inputs (2)'!$D$55:$AL$55,MATCH(Q$7&amp;"",'Inputs (2)'!$D$2:$AL$2,0)),"")</f>
        <v>9396</v>
      </c>
      <c r="R21" s="270">
        <f>IF(COUNT(N21:Q21)=4,SUM(N21:Q21),"")</f>
        <v>31440</v>
      </c>
      <c r="S21" s="269">
        <f>IFERROR(INDEX('Inputs (2)'!$D$55:$AL$55,MATCH(S$7&amp;"",'Inputs (2)'!$D$2:$AL$2,0)),"")</f>
        <v>6670</v>
      </c>
      <c r="T21" s="269">
        <f>IFERROR(INDEX('Inputs (2)'!$D$55:$AL$55,MATCH(T$7&amp;"",'Inputs (2)'!$D$2:$AL$2,0)),"")</f>
        <v>5791</v>
      </c>
      <c r="U21" s="269">
        <f>IFERROR(INDEX('Inputs (2)'!$D$55:$AL$55,MATCH(U$7&amp;"",'Inputs (2)'!$D$2:$AL$2,0)),"")</f>
        <v>6443</v>
      </c>
      <c r="V21" s="269">
        <f>IFERROR(INDEX('Inputs (2)'!$D$55:$AL$55,MATCH(V$7&amp;"",'Inputs (2)'!$D$2:$AL$2,0)),"")</f>
        <v>7023</v>
      </c>
      <c r="W21" s="270">
        <f>IF(COUNT(S21:V21)=4,SUM(S21:V21),"")</f>
        <v>25927</v>
      </c>
      <c r="X21" s="269">
        <f>IFERROR(INDEX('Inputs (2)'!$D$55:$AL$55,MATCH(X$7&amp;"",'Inputs (2)'!$D$2:$AL$2,0)),"")</f>
        <v>5559</v>
      </c>
      <c r="Y21" s="269">
        <f>IFERROR(INDEX('Inputs (2)'!$D$55:$AL$55,MATCH(Y$7&amp;"",'Inputs (2)'!$D$2:$AL$2,0)),"")</f>
        <v>7162</v>
      </c>
      <c r="Z21" s="269">
        <f>IFERROR(INDEX('Inputs (2)'!$D$55:$AL$55,MATCH(Z$7&amp;"",'Inputs (2)'!$D$2:$AL$2,0)),"")</f>
        <v>6950</v>
      </c>
      <c r="AA21" s="269">
        <f>IFERROR(INDEX('Inputs (2)'!$D$55:$AL$55,MATCH(AA$7&amp;"",'Inputs (2)'!$D$2:$AL$2,0)),"")</f>
        <v>8088</v>
      </c>
      <c r="AB21" s="270">
        <f>IF(COUNT(X21:AA21)=4,SUM(X21:AA21),"")</f>
        <v>27759</v>
      </c>
      <c r="AC21" s="269">
        <f>IFERROR(INDEX('Inputs (2)'!$D$55:$AL$55,MATCH(AC$7&amp;"",'Inputs (2)'!$D$2:$AL$2,0)),"")</f>
        <v>6402</v>
      </c>
      <c r="AD21" s="269">
        <f>IFERROR(INDEX('Inputs (2)'!$D$55:$AL$55,MATCH(AD$7&amp;"",'Inputs (2)'!$D$2:$AL$2,0)),"")</f>
        <v>6581</v>
      </c>
      <c r="AE21" s="269">
        <f>IFERROR(INDEX('Inputs (2)'!$D$55:$AL$55,MATCH(AE$7&amp;"",'Inputs (2)'!$D$2:$AL$2,0)),"")</f>
        <v>6952</v>
      </c>
      <c r="AF21" s="269">
        <f>IFERROR(INDEX('Inputs (2)'!$D$55:$AL$55,MATCH(AF$7&amp;"",'Inputs (2)'!$D$2:$AL$2,0)),"")</f>
        <v>8595</v>
      </c>
      <c r="AG21" s="270">
        <f>IF(COUNT(AC21:AF21)=4,SUM(AC21:AF21),"")</f>
        <v>28530</v>
      </c>
      <c r="AH21" s="270">
        <f>IFERROR(INDEX('Inputs (2)'!$D$55:$AL$55,MATCH(AH$7&amp;"",'Inputs (2)'!$D$2:$AL$2,0)),"")</f>
        <v>6914</v>
      </c>
      <c r="AI21" s="270">
        <f>IFERROR(INDEX('Inputs (2)'!$D$55:$AL$55,MATCH(AI$7&amp;"",'Inputs (2)'!$D$2:$AL$2,0)),"")</f>
        <v>6191</v>
      </c>
    </row>
    <row r="22">
      <c r="C22" s="268" t="inlineStr">
        <is>
          <t xml:space="preserve">   Wearables, Home and Accessories</t>
        </is>
      </c>
      <c r="D22" s="269" t="str">
        <f>IFERROR(INDEX('Inputs (2)'!$D$56:$AL$56,MATCH(D$7&amp;"",'Inputs (2)'!$D$2:$AL$2,0)),"")</f>
        <v/>
      </c>
      <c r="E22" s="269" t="str">
        <f>IFERROR(INDEX('Inputs (2)'!$D$56:$AL$56,MATCH(E$7&amp;"",'Inputs (2)'!$D$2:$AL$2,0)),"")</f>
        <v/>
      </c>
      <c r="F22" s="269" t="str">
        <f>IFERROR(INDEX('Inputs (2)'!$D$56:$AL$56,MATCH(F$7&amp;"",'Inputs (2)'!$D$2:$AL$2,0)),"")</f>
        <v/>
      </c>
      <c r="G22" s="269" t="str">
        <f>IFERROR(INDEX('Inputs (2)'!$D$56:$AL$56,MATCH(G$7&amp;"",'Inputs (2)'!$D$2:$AL$2,0)),"")</f>
        <v/>
      </c>
      <c r="H22" s="270" t="str">
        <f>IF(COUNT(D22:G22)=4,SUM(D22:G22),"")</f>
        <v/>
      </c>
      <c r="I22" s="269">
        <f>IFERROR(INDEX('Inputs (2)'!$D$56:$AL$56,MATCH(I$7&amp;"",'Inputs (2)'!$D$2:$AL$2,0)),"")</f>
        <v>7836</v>
      </c>
      <c r="J22" s="269">
        <f>IFERROR(INDEX('Inputs (2)'!$D$56:$AL$56,MATCH(J$7&amp;"",'Inputs (2)'!$D$2:$AL$2,0)),"")</f>
        <v>8775</v>
      </c>
      <c r="K22" s="269">
        <f>IFERROR(INDEX('Inputs (2)'!$D$56:$AL$56,MATCH(K$7&amp;"",'Inputs (2)'!$D$2:$AL$2,0)),"")</f>
        <v>8785</v>
      </c>
      <c r="L22" s="269">
        <f>IFERROR(INDEX('Inputs (2)'!$D$56:$AL$56,MATCH(L$7&amp;"",'Inputs (2)'!$D$2:$AL$2,0)),"")</f>
        <v>14701</v>
      </c>
      <c r="M22" s="270">
        <f>IF(COUNT(I22:L22)=4,SUM(I22:L22),"")</f>
        <v>40097</v>
      </c>
      <c r="N22" s="269">
        <f>IFERROR(INDEX('Inputs (2)'!$D$56:$AL$56,MATCH(N$7&amp;"",'Inputs (2)'!$D$2:$AL$2,0)),"")</f>
        <v>8806</v>
      </c>
      <c r="O22" s="269">
        <f>IFERROR(INDEX('Inputs (2)'!$D$56:$AL$56,MATCH(O$7&amp;"",'Inputs (2)'!$D$2:$AL$2,0)),"")</f>
        <v>8084</v>
      </c>
      <c r="P22" s="269">
        <f>IFERROR(INDEX('Inputs (2)'!$D$56:$AL$56,MATCH(P$7&amp;"",'Inputs (2)'!$D$2:$AL$2,0)),"")</f>
        <v>9650</v>
      </c>
      <c r="Q22" s="269">
        <f>IFERROR(INDEX('Inputs (2)'!$D$56:$AL$56,MATCH(Q$7&amp;"",'Inputs (2)'!$D$2:$AL$2,0)),"")</f>
        <v>13482</v>
      </c>
      <c r="R22" s="270">
        <f>IF(COUNT(N22:Q22)=4,SUM(N22:Q22),"")</f>
        <v>40022</v>
      </c>
      <c r="S22" s="269">
        <f>IFERROR(INDEX('Inputs (2)'!$D$56:$AL$56,MATCH(S$7&amp;"",'Inputs (2)'!$D$2:$AL$2,0)),"")</f>
        <v>8757</v>
      </c>
      <c r="T22" s="269">
        <f>IFERROR(INDEX('Inputs (2)'!$D$56:$AL$56,MATCH(T$7&amp;"",'Inputs (2)'!$D$2:$AL$2,0)),"")</f>
        <v>8284</v>
      </c>
      <c r="U22" s="269">
        <f>IFERROR(INDEX('Inputs (2)'!$D$56:$AL$56,MATCH(U$7&amp;"",'Inputs (2)'!$D$2:$AL$2,0)),"")</f>
        <v>9322</v>
      </c>
      <c r="V22" s="269">
        <f>IFERROR(INDEX('Inputs (2)'!$D$56:$AL$56,MATCH(V$7&amp;"",'Inputs (2)'!$D$2:$AL$2,0)),"")</f>
        <v>11953</v>
      </c>
      <c r="W22" s="270">
        <f>IF(COUNT(S22:V22)=4,SUM(S22:V22),"")</f>
        <v>38316</v>
      </c>
      <c r="X22" s="269">
        <f>IFERROR(INDEX('Inputs (2)'!$D$56:$AL$56,MATCH(X$7&amp;"",'Inputs (2)'!$D$2:$AL$2,0)),"")</f>
        <v>7913</v>
      </c>
      <c r="Y22" s="269">
        <f>IFERROR(INDEX('Inputs (2)'!$D$56:$AL$56,MATCH(Y$7&amp;"",'Inputs (2)'!$D$2:$AL$2,0)),"")</f>
        <v>8097</v>
      </c>
      <c r="Z22" s="269">
        <f>IFERROR(INDEX('Inputs (2)'!$D$56:$AL$56,MATCH(Z$7&amp;"",'Inputs (2)'!$D$2:$AL$2,0)),"")</f>
        <v>9042</v>
      </c>
      <c r="AA22" s="269">
        <f>IFERROR(INDEX('Inputs (2)'!$D$56:$AL$56,MATCH(AA$7&amp;"",'Inputs (2)'!$D$2:$AL$2,0)),"")</f>
        <v>11747</v>
      </c>
      <c r="AB22" s="270">
        <f>IF(COUNT(X22:AA22)=4,SUM(X22:AA22),"")</f>
        <v>36799</v>
      </c>
      <c r="AC22" s="269">
        <f>IFERROR(INDEX('Inputs (2)'!$D$56:$AL$56,MATCH(AC$7&amp;"",'Inputs (2)'!$D$2:$AL$2,0)),"")</f>
        <v>7522</v>
      </c>
      <c r="AD22" s="269">
        <f>IFERROR(INDEX('Inputs (2)'!$D$56:$AL$56,MATCH(AD$7&amp;"",'Inputs (2)'!$D$2:$AL$2,0)),"")</f>
        <v>7404</v>
      </c>
      <c r="AE22" s="269">
        <f>IFERROR(INDEX('Inputs (2)'!$D$56:$AL$56,MATCH(AE$7&amp;"",'Inputs (2)'!$D$2:$AL$2,0)),"")</f>
        <v>9013</v>
      </c>
      <c r="AF22" s="269">
        <f>IFERROR(INDEX('Inputs (2)'!$D$56:$AL$56,MATCH(AF$7&amp;"",'Inputs (2)'!$D$2:$AL$2,0)),"")</f>
        <v>11493</v>
      </c>
      <c r="AG22" s="270">
        <f>IF(COUNT(AC22:AF22)=4,SUM(AC22:AF22),"")</f>
        <v>35432</v>
      </c>
      <c r="AH22" s="270">
        <f>IFERROR(INDEX('Inputs (2)'!$D$56:$AL$56,MATCH(AH$7&amp;"",'Inputs (2)'!$D$2:$AL$2,0)),"")</f>
        <v>7901</v>
      </c>
      <c r="AI22" s="270">
        <f>IFERROR(INDEX('Inputs (2)'!$D$56:$AL$56,MATCH(AI$7&amp;"",'Inputs (2)'!$D$2:$AL$2,0)),"")</f>
        <v>7883</v>
      </c>
    </row>
    <row r="23">
      <c r="C23" s="271" t="inlineStr">
        <is>
          <t>Produtos</t>
        </is>
      </c>
      <c r="D23" s="269" t="str">
        <f>IF(COUNT(D19,D20,D21,D22)=0,"",N(D19)+N(D20)+N(D21)+N(D22))</f>
        <v/>
      </c>
      <c r="E23" s="269" t="str">
        <f>IF(COUNT(E19,E20,E21,E22)=0,"",N(E19)+N(E20)+N(E21)+N(E22))</f>
        <v/>
      </c>
      <c r="F23" s="269" t="str">
        <f>IF(COUNT(F19,F20,F21,F22)=0,"",N(F19)+N(F20)+N(F21)+N(F22))</f>
        <v/>
      </c>
      <c r="G23" s="269" t="str">
        <f>IF(COUNT(G19,G20,G21,G22)=0,"",N(G19)+N(G20)+N(G21)+N(G22))</f>
        <v/>
      </c>
      <c r="H23" s="270" t="str">
        <f>IF(COUNT(H19,H20,H21,H22)=0,"",N(H19)+N(H20)+N(H21)+N(H22))</f>
        <v/>
      </c>
      <c r="I23" s="269">
        <f>IF(COUNT(I19,I20,I21,I22)=0,"",N(I19)+N(I20)+N(I21)+N(I22))</f>
        <v>72683</v>
      </c>
      <c r="J23" s="269">
        <f>IF(COUNT(J19,J20,J21,J22)=0,"",N(J19)+N(J20)+N(J21)+N(J22))</f>
        <v>63948</v>
      </c>
      <c r="K23" s="269">
        <f>IF(COUNT(K19,K20,K21,K22)=0,"",N(K19)+N(K20)+N(K21)+N(K22))</f>
        <v>65083</v>
      </c>
      <c r="L23" s="269">
        <f>IF(COUNT(L19,L20,L21,L22)=0,"",N(L19)+N(L20)+N(L21)+N(L22))</f>
        <v>104429</v>
      </c>
      <c r="M23" s="270">
        <f>IF(COUNT(M19,M20,M21,M22)=0,"",N(M19)+N(M20)+N(M21)+N(M22))</f>
        <v>306143</v>
      </c>
      <c r="N23" s="269">
        <f>IF(COUNT(N19,N20,N21,N22)=0,"",N(N19)+N(N20)+N(N21)+N(N22))</f>
        <v>77457</v>
      </c>
      <c r="O23" s="269">
        <f>IF(COUNT(O19,O20,O21,O22)=0,"",N(O19)+N(O20)+N(O21)+N(O22))</f>
        <v>63355</v>
      </c>
      <c r="P23" s="269">
        <f>IF(COUNT(P19,P20,P21,P22)=0,"",N(P19)+N(P20)+N(P21)+N(P22))</f>
        <v>70958</v>
      </c>
      <c r="Q23" s="269">
        <f>IF(COUNT(Q19,Q20,Q21,Q22)=0,"",N(Q19)+N(Q20)+N(Q21)+N(Q22))</f>
        <v>96388</v>
      </c>
      <c r="R23" s="270">
        <f>IF(COUNT(R19,R20,R21,R22)=0,"",N(R19)+N(R20)+N(R21)+N(R22))</f>
        <v>308158</v>
      </c>
      <c r="S23" s="269">
        <f>IF(COUNT(S19,S20,S21,S22)=0,"",N(S19)+N(S20)+N(S21)+N(S22))</f>
        <v>73929</v>
      </c>
      <c r="T23" s="269">
        <f>IF(COUNT(T19,T20,T21,T22)=0,"",N(T19)+N(T20)+N(T21)+N(T22))</f>
        <v>60584</v>
      </c>
      <c r="U23" s="269">
        <f>IF(COUNT(U19,U20,U21,U22)=0,"",N(U19)+N(U20)+N(U21)+N(U22))</f>
        <v>67184</v>
      </c>
      <c r="V23" s="269">
        <f>IF(COUNT(V19,V20,V21,V22)=0,"",N(V19)+N(V20)+N(V21)+N(V22))</f>
        <v>96458</v>
      </c>
      <c r="W23" s="270">
        <f>IF(COUNT(W19,W20,W21,W22)=0,"",N(W19)+N(W20)+N(W21)+N(W22))</f>
        <v>298155</v>
      </c>
      <c r="X23" s="269">
        <f>IF(COUNT(X19,X20,X21,X22)=0,"",N(X19)+N(X20)+N(X21)+N(X22))</f>
        <v>66886</v>
      </c>
      <c r="Y23" s="269">
        <f>IF(COUNT(Y19,Y20,Y21,Y22)=0,"",N(Y19)+N(Y20)+N(Y21)+N(Y22))</f>
        <v>61564</v>
      </c>
      <c r="Z23" s="269">
        <f>IF(COUNT(Z19,Z20,Z21,Z22)=0,"",N(Z19)+N(Z20)+N(Z21)+N(Z22))</f>
        <v>69958</v>
      </c>
      <c r="AA23" s="269">
        <f>IF(COUNT(AA19,AA20,AA21,AA22)=0,"",N(AA19)+N(AA20)+N(AA21)+N(AA22))</f>
        <v>97960</v>
      </c>
      <c r="AB23" s="270">
        <f>IF(COUNT(AB19,AB20,AB21,AB22)=0,"",N(AB19)+N(AB20)+N(AB21)+N(AB22))</f>
        <v>296368</v>
      </c>
      <c r="AC23" s="269">
        <f>IF(COUNT(AC19,AC20,AC21,AC22)=0,"",N(AC19)+N(AC20)+N(AC21)+N(AC22))</f>
        <v>68714</v>
      </c>
      <c r="AD23" s="269">
        <f>IF(COUNT(AD19,AD20,AD21,AD22)=0,"",N(AD19)+N(AD20)+N(AD21)+N(AD22))</f>
        <v>66613</v>
      </c>
      <c r="AE23" s="269">
        <f>IF(COUNT(AE19,AE20,AE21,AE22)=0,"",N(AE19)+N(AE20)+N(AE21)+N(AE22))</f>
        <v>73716</v>
      </c>
      <c r="AF23" s="269">
        <f>IF(COUNT(AF19,AF20,AF21,AF22)=0,"",N(AF19)+N(AF20)+N(AF21)+N(AF22))</f>
        <v>113743</v>
      </c>
      <c r="AG23" s="270">
        <f>IF(COUNT(AG19,AG20,AG21,AG22)=0,"",N(AG19)+N(AG20)+N(AG21)+N(AG22))</f>
        <v>322786</v>
      </c>
      <c r="AH23" s="270">
        <f>IF(COUNT(AH19,AH20,AH21,AH22)=0,"",N(AH19)+N(AH20)+N(AH21)+N(AH22))</f>
        <v>80208</v>
      </c>
      <c r="AI23" s="270">
        <f>IF(COUNT(AI19,AI20,AI21,AI22)=0,"",N(AI19)+N(AI20)+N(AI21)+N(AI22))</f>
        <v>78678</v>
      </c>
    </row>
    <row r="24">
      <c r="C24" s="268" t="inlineStr">
        <is>
          <t>Services</t>
        </is>
      </c>
      <c r="D24" s="269" t="str">
        <f>IFERROR(INDEX('Inputs (2)'!$D$57:$AL$57,MATCH(D$7&amp;"",'Inputs (2)'!$D$2:$AL$2,0)),"")</f>
        <v/>
      </c>
      <c r="E24" s="269" t="str">
        <f>IFERROR(INDEX('Inputs (2)'!$D$57:$AL$57,MATCH(E$7&amp;"",'Inputs (2)'!$D$2:$AL$2,0)),"")</f>
        <v/>
      </c>
      <c r="F24" s="269" t="str">
        <f>IFERROR(INDEX('Inputs (2)'!$D$57:$AL$57,MATCH(F$7&amp;"",'Inputs (2)'!$D$2:$AL$2,0)),"")</f>
        <v/>
      </c>
      <c r="G24" s="269" t="str">
        <f>IFERROR(INDEX('Inputs (2)'!$D$57:$AL$57,MATCH(G$7&amp;"",'Inputs (2)'!$D$2:$AL$2,0)),"")</f>
        <v/>
      </c>
      <c r="H24" s="270" t="str">
        <f>IF(COUNT(D24:G24)=4,SUM(D24:G24),"")</f>
        <v/>
      </c>
      <c r="I24" s="269">
        <f>IFERROR(INDEX('Inputs (2)'!$D$57:$AL$57,MATCH(I$7&amp;"",'Inputs (2)'!$D$2:$AL$2,0)),"")</f>
        <v>16901</v>
      </c>
      <c r="J24" s="269">
        <f>IFERROR(INDEX('Inputs (2)'!$D$57:$AL$57,MATCH(J$7&amp;"",'Inputs (2)'!$D$2:$AL$2,0)),"")</f>
        <v>17486</v>
      </c>
      <c r="K24" s="269">
        <f>IFERROR(INDEX('Inputs (2)'!$D$57:$AL$57,MATCH(K$7&amp;"",'Inputs (2)'!$D$2:$AL$2,0)),"")</f>
        <v>18277</v>
      </c>
      <c r="L24" s="269">
        <f>IFERROR(INDEX('Inputs (2)'!$D$57:$AL$57,MATCH(L$7&amp;"",'Inputs (2)'!$D$2:$AL$2,0)),"")</f>
        <v>19516</v>
      </c>
      <c r="M24" s="270">
        <f>IF(COUNT(I24:L24)=4,SUM(I24:L24),"")</f>
        <v>72180</v>
      </c>
      <c r="N24" s="269">
        <f>IFERROR(INDEX('Inputs (2)'!$D$57:$AL$57,MATCH(N$7&amp;"",'Inputs (2)'!$D$2:$AL$2,0)),"")</f>
        <v>19821</v>
      </c>
      <c r="O24" s="269">
        <f>IFERROR(INDEX('Inputs (2)'!$D$57:$AL$57,MATCH(O$7&amp;"",'Inputs (2)'!$D$2:$AL$2,0)),"")</f>
        <v>19604</v>
      </c>
      <c r="P24" s="269">
        <f>IFERROR(INDEX('Inputs (2)'!$D$57:$AL$57,MATCH(P$7&amp;"",'Inputs (2)'!$D$2:$AL$2,0)),"")</f>
        <v>19188</v>
      </c>
      <c r="Q24" s="269">
        <f>IFERROR(INDEX('Inputs (2)'!$D$57:$AL$57,MATCH(Q$7&amp;"",'Inputs (2)'!$D$2:$AL$2,0)),"")</f>
        <v>20766</v>
      </c>
      <c r="R24" s="270">
        <f>IF(COUNT(N24:Q24)=4,SUM(N24:Q24),"")</f>
        <v>79379</v>
      </c>
      <c r="S24" s="269">
        <f>IFERROR(INDEX('Inputs (2)'!$D$57:$AL$57,MATCH(S$7&amp;"",'Inputs (2)'!$D$2:$AL$2,0)),"")</f>
        <v>20907</v>
      </c>
      <c r="T24" s="269">
        <f>IFERROR(INDEX('Inputs (2)'!$D$57:$AL$57,MATCH(T$7&amp;"",'Inputs (2)'!$D$2:$AL$2,0)),"")</f>
        <v>21213</v>
      </c>
      <c r="U24" s="269">
        <f>IFERROR(INDEX('Inputs (2)'!$D$57:$AL$57,MATCH(U$7&amp;"",'Inputs (2)'!$D$2:$AL$2,0)),"")</f>
        <v>22314</v>
      </c>
      <c r="V24" s="269">
        <f>IFERROR(INDEX('Inputs (2)'!$D$57:$AL$57,MATCH(V$7&amp;"",'Inputs (2)'!$D$2:$AL$2,0)),"")</f>
        <v>23117</v>
      </c>
      <c r="W24" s="270">
        <f>IF(COUNT(S24:V24)=4,SUM(S24:V24),"")</f>
        <v>87551</v>
      </c>
      <c r="X24" s="269">
        <f>IFERROR(INDEX('Inputs (2)'!$D$57:$AL$57,MATCH(X$7&amp;"",'Inputs (2)'!$D$2:$AL$2,0)),"")</f>
        <v>23867</v>
      </c>
      <c r="Y24" s="269">
        <f>IFERROR(INDEX('Inputs (2)'!$D$57:$AL$57,MATCH(Y$7&amp;"",'Inputs (2)'!$D$2:$AL$2,0)),"")</f>
        <v>24213</v>
      </c>
      <c r="Z24" s="269">
        <f>IFERROR(INDEX('Inputs (2)'!$D$57:$AL$57,MATCH(Z$7&amp;"",'Inputs (2)'!$D$2:$AL$2,0)),"")</f>
        <v>24972</v>
      </c>
      <c r="AA24" s="269">
        <f>IFERROR(INDEX('Inputs (2)'!$D$57:$AL$57,MATCH(AA$7&amp;"",'Inputs (2)'!$D$2:$AL$2,0)),"")</f>
        <v>26340</v>
      </c>
      <c r="AB24" s="270">
        <f>IF(COUNT(X24:AA24)=4,SUM(X24:AA24),"")</f>
        <v>99392</v>
      </c>
      <c r="AC24" s="269">
        <f>IFERROR(INDEX('Inputs (2)'!$D$57:$AL$57,MATCH(AC$7&amp;"",'Inputs (2)'!$D$2:$AL$2,0)),"")</f>
        <v>26645</v>
      </c>
      <c r="AD24" s="269">
        <f>IFERROR(INDEX('Inputs (2)'!$D$57:$AL$57,MATCH(AD$7&amp;"",'Inputs (2)'!$D$2:$AL$2,0)),"")</f>
        <v>27423</v>
      </c>
      <c r="AE24" s="269">
        <f>IFERROR(INDEX('Inputs (2)'!$D$57:$AL$57,MATCH(AE$7&amp;"",'Inputs (2)'!$D$2:$AL$2,0)),"")</f>
        <v>28750</v>
      </c>
      <c r="AF24" s="269">
        <f>IFERROR(INDEX('Inputs (2)'!$D$57:$AL$57,MATCH(AF$7&amp;"",'Inputs (2)'!$D$2:$AL$2,0)),"")</f>
        <v>30013</v>
      </c>
      <c r="AG24" s="270">
        <f>IF(COUNT(AC24:AF24)=4,SUM(AC24:AF24),"")</f>
        <v>112831</v>
      </c>
      <c r="AH24" s="270">
        <f>IFERROR(INDEX('Inputs (2)'!$D$57:$AL$57,MATCH(AH$7&amp;"",'Inputs (2)'!$D$2:$AL$2,0)),"")</f>
        <v>30976</v>
      </c>
      <c r="AI24" s="270">
        <f>IFERROR(INDEX('Inputs (2)'!$D$57:$AL$57,MATCH(AI$7&amp;"",'Inputs (2)'!$D$2:$AL$2,0)),"")</f>
        <v>30739</v>
      </c>
    </row>
    <row r="25">
      <c r="C25" s="271" t="inlineStr">
        <is>
          <t>Receita líquida (soma)</t>
        </is>
      </c>
      <c r="D25" s="269" t="str">
        <f>IF(COUNT(D23,D24)=0,"",N(D23)+N(D24))</f>
        <v/>
      </c>
      <c r="E25" s="269" t="str">
        <f>IF(COUNT(E23,E24)=0,"",N(E23)+N(E24))</f>
        <v/>
      </c>
      <c r="F25" s="269" t="str">
        <f>IF(COUNT(F23,F24)=0,"",N(F23)+N(F24))</f>
        <v/>
      </c>
      <c r="G25" s="269" t="str">
        <f>IF(COUNT(G23,G24)=0,"",N(G23)+N(G24))</f>
        <v/>
      </c>
      <c r="H25" s="270" t="str">
        <f>IF(COUNT(H23,H24)=0,"",N(H23)+N(H24))</f>
        <v/>
      </c>
      <c r="I25" s="269">
        <f>IF(COUNT(I23,I24)=0,"",N(I23)+N(I24))</f>
        <v>89584</v>
      </c>
      <c r="J25" s="269">
        <f>IF(COUNT(J23,J24)=0,"",N(J23)+N(J24))</f>
        <v>81434</v>
      </c>
      <c r="K25" s="269">
        <f>IF(COUNT(K23,K24)=0,"",N(K23)+N(K24))</f>
        <v>83360</v>
      </c>
      <c r="L25" s="269">
        <f>IF(COUNT(L23,L24)=0,"",N(L23)+N(L24))</f>
        <v>123945</v>
      </c>
      <c r="M25" s="270">
        <f>IF(COUNT(M23,M24)=0,"",N(M23)+N(M24))</f>
        <v>378323</v>
      </c>
      <c r="N25" s="269">
        <f>IF(COUNT(N23,N24)=0,"",N(N23)+N(N24))</f>
        <v>97278</v>
      </c>
      <c r="O25" s="269">
        <f>IF(COUNT(O23,O24)=0,"",N(O23)+N(O24))</f>
        <v>82959</v>
      </c>
      <c r="P25" s="269">
        <f>IF(COUNT(P23,P24)=0,"",N(P23)+N(P24))</f>
        <v>90146</v>
      </c>
      <c r="Q25" s="269">
        <f>IF(COUNT(Q23,Q24)=0,"",N(Q23)+N(Q24))</f>
        <v>117154</v>
      </c>
      <c r="R25" s="270">
        <f>IF(COUNT(R23,R24)=0,"",N(R23)+N(R24))</f>
        <v>387537</v>
      </c>
      <c r="S25" s="269">
        <f>IF(COUNT(S23,S24)=0,"",N(S23)+N(S24))</f>
        <v>94836</v>
      </c>
      <c r="T25" s="269">
        <f>IF(COUNT(T23,T24)=0,"",N(T23)+N(T24))</f>
        <v>81797</v>
      </c>
      <c r="U25" s="269">
        <f>IF(COUNT(U23,U24)=0,"",N(U23)+N(U24))</f>
        <v>89498</v>
      </c>
      <c r="V25" s="269">
        <f>IF(COUNT(V23,V24)=0,"",N(V23)+N(V24))</f>
        <v>119575</v>
      </c>
      <c r="W25" s="270">
        <f>IF(COUNT(W23,W24)=0,"",N(W23)+N(W24))</f>
        <v>385706</v>
      </c>
      <c r="X25" s="269">
        <f>IF(COUNT(X23,X24)=0,"",N(X23)+N(X24))</f>
        <v>90753</v>
      </c>
      <c r="Y25" s="269">
        <f>IF(COUNT(Y23,Y24)=0,"",N(Y23)+N(Y24))</f>
        <v>85777</v>
      </c>
      <c r="Z25" s="269">
        <f>IF(COUNT(Z23,Z24)=0,"",N(Z23)+N(Z24))</f>
        <v>94930</v>
      </c>
      <c r="AA25" s="269">
        <f>IF(COUNT(AA23,AA24)=0,"",N(AA23)+N(AA24))</f>
        <v>124300</v>
      </c>
      <c r="AB25" s="270">
        <f>IF(COUNT(AB23,AB24)=0,"",N(AB23)+N(AB24))</f>
        <v>395760</v>
      </c>
      <c r="AC25" s="269">
        <f>IF(COUNT(AC23,AC24)=0,"",N(AC23)+N(AC24))</f>
        <v>95359</v>
      </c>
      <c r="AD25" s="269">
        <f>IF(COUNT(AD23,AD24)=0,"",N(AD23)+N(AD24))</f>
        <v>94036</v>
      </c>
      <c r="AE25" s="269">
        <f>IF(COUNT(AE23,AE24)=0,"",N(AE23)+N(AE24))</f>
        <v>102466</v>
      </c>
      <c r="AF25" s="269">
        <f>IF(COUNT(AF23,AF24)=0,"",N(AF23)+N(AF24))</f>
        <v>143756</v>
      </c>
      <c r="AG25" s="270">
        <f>IF(COUNT(AG23,AG24)=0,"",N(AG23)+N(AG24))</f>
        <v>435617</v>
      </c>
      <c r="AH25" s="270">
        <f>IF(COUNT(AH23,AH24)=0,"",N(AH23)+N(AH24))</f>
        <v>111184</v>
      </c>
      <c r="AI25" s="270">
        <f>IF(COUNT(AI23,AI24)=0,"",N(AI23)+N(AI24))</f>
        <v>109417</v>
      </c>
    </row>
    <row r="26">
      <c r="C26" s="268" t="inlineStr">
        <is>
          <t>Check vs Net Revenues (linha 15)</t>
        </is>
      </c>
      <c r="D26" s="269" t="str">
        <f>IF(COUNT(D25)=0,"",ROUND(D15-D25,1))</f>
        <v/>
      </c>
      <c r="E26" s="269" t="str">
        <f>IF(COUNT(E25)=0,"",ROUND(E15-E25,1))</f>
        <v/>
      </c>
      <c r="F26" s="269" t="str">
        <f>IF(COUNT(F25)=0,"",ROUND(F15-F25,1))</f>
        <v/>
      </c>
      <c r="G26" s="269" t="str">
        <f>IF(COUNT(G25)=0,"",ROUND(G15-G25,1))</f>
        <v/>
      </c>
      <c r="H26" s="270" t="str">
        <f>IF(COUNT(H25)=0,"",ROUND(H15-H25,1))</f>
        <v/>
      </c>
      <c r="I26" s="269">
        <f>IF(COUNT(I25)=0,"",ROUND(I15-I25,1))</f>
        <v>0</v>
      </c>
      <c r="J26" s="269">
        <f>IF(COUNT(J25)=0,"",ROUND(J15-J25,1))</f>
        <v>0</v>
      </c>
      <c r="K26" s="269">
        <f>IF(COUNT(K25)=0,"",ROUND(K15-K25,1))</f>
        <v>0</v>
      </c>
      <c r="L26" s="269">
        <f>IF(COUNT(L25)=0,"",ROUND(L15-L25,1))</f>
        <v>0</v>
      </c>
      <c r="M26" s="270">
        <f>IF(COUNT(M25)=0,"",ROUND(M15-M25,1))</f>
        <v>0</v>
      </c>
      <c r="N26" s="269">
        <f>IF(COUNT(N25)=0,"",ROUND(N15-N25,1))</f>
        <v>0</v>
      </c>
      <c r="O26" s="269">
        <f>IF(COUNT(O25)=0,"",ROUND(O15-O25,1))</f>
        <v>0</v>
      </c>
      <c r="P26" s="269">
        <f>IF(COUNT(P25)=0,"",ROUND(P15-P25,1))</f>
        <v>0</v>
      </c>
      <c r="Q26" s="269">
        <f>IF(COUNT(Q25)=0,"",ROUND(Q15-Q25,1))</f>
        <v>0</v>
      </c>
      <c r="R26" s="270">
        <f>IF(COUNT(R25)=0,"",ROUND(R15-R25,1))</f>
        <v>0</v>
      </c>
      <c r="S26" s="269">
        <f>IF(COUNT(S25)=0,"",ROUND(S15-S25,1))</f>
        <v>0</v>
      </c>
      <c r="T26" s="269">
        <f>IF(COUNT(T25)=0,"",ROUND(T15-T25,1))</f>
        <v>0</v>
      </c>
      <c r="U26" s="269">
        <f>IF(COUNT(U25)=0,"",ROUND(U15-U25,1))</f>
        <v>0</v>
      </c>
      <c r="V26" s="269">
        <f>IF(COUNT(V25)=0,"",ROUND(V15-V25,1))</f>
        <v>0</v>
      </c>
      <c r="W26" s="270">
        <f>IF(COUNT(W25)=0,"",ROUND(W15-W25,1))</f>
        <v>0</v>
      </c>
      <c r="X26" s="269">
        <f>IF(COUNT(X25)=0,"",ROUND(X15-X25,1))</f>
        <v>0</v>
      </c>
      <c r="Y26" s="269">
        <f>IF(COUNT(Y25)=0,"",ROUND(Y15-Y25,1))</f>
        <v>0</v>
      </c>
      <c r="Z26" s="269">
        <f>IF(COUNT(Z25)=0,"",ROUND(Z15-Z25,1))</f>
        <v>0</v>
      </c>
      <c r="AA26" s="269">
        <f>IF(COUNT(AA25)=0,"",ROUND(AA15-AA25,1))</f>
        <v>0</v>
      </c>
      <c r="AB26" s="270">
        <f>IF(COUNT(AB25)=0,"",ROUND(AB15-AB25,1))</f>
        <v>0</v>
      </c>
      <c r="AC26" s="269">
        <f>IF(COUNT(AC25)=0,"",ROUND(AC15-AC25,1))</f>
        <v>0</v>
      </c>
      <c r="AD26" s="269">
        <f>IF(COUNT(AD25)=0,"",ROUND(AD15-AD25,1))</f>
        <v>0</v>
      </c>
      <c r="AE26" s="269">
        <f>IF(COUNT(AE25)=0,"",ROUND(AE15-AE25,1))</f>
        <v>0</v>
      </c>
      <c r="AF26" s="269">
        <f>IF(COUNT(AF25)=0,"",ROUND(AF15-AF25,1))</f>
        <v>0</v>
      </c>
      <c r="AG26" s="270">
        <f>IF(COUNT(AG25)=0,"",ROUND(AG15-AG25,1))</f>
        <v>0</v>
      </c>
      <c r="AH26" s="270">
        <f>IF(COUNT(AH25)=0,"",ROUND(AH15-AH25,1))</f>
        <v>0</v>
      </c>
      <c r="AI26" s="270">
        <f>IF(COUNT(AI25)=0,"",ROUND(AI15-AI25,1))</f>
        <v>0</v>
      </c>
    </row>
    <row r="27">
      <c r="C27" s="268" t="inlineStr">
        <is>
          <t xml:space="preserve">   % YoY iPhone</t>
        </is>
      </c>
      <c r="D27" s="272" t="str">
        <f>""</f>
        <v/>
      </c>
      <c r="E27" s="272" t="str">
        <f>""</f>
        <v/>
      </c>
      <c r="F27" s="272" t="str">
        <f>""</f>
        <v/>
      </c>
      <c r="G27" s="272" t="str">
        <f>""</f>
        <v/>
      </c>
      <c r="H27" s="273" t="str">
        <f>""</f>
        <v/>
      </c>
      <c r="I27" s="272" t="str">
        <f>IFERROR(I19/D19-1,"")</f>
        <v/>
      </c>
      <c r="J27" s="272" t="str">
        <f>IFERROR(J19/E19-1,"")</f>
        <v/>
      </c>
      <c r="K27" s="272" t="str">
        <f>IFERROR(K19/F19-1,"")</f>
        <v/>
      </c>
      <c r="L27" s="272" t="str">
        <f>IFERROR(L19/G19-1,"")</f>
        <v/>
      </c>
      <c r="M27" s="273" t="str">
        <f>IFERROR(M19/H19-1,"")</f>
        <v/>
      </c>
      <c r="N27" s="272">
        <f>IFERROR(N19/I19-1,"")</f>
        <v>0.0549042513246276</v>
      </c>
      <c r="O27" s="272">
        <f>IFERROR(O19/J19-1,"")</f>
        <v>0.0276724791508718</v>
      </c>
      <c r="P27" s="272">
        <f>IFERROR(P19/K19-1,"")</f>
        <v>0.0966862200267573</v>
      </c>
      <c r="Q27" s="272">
        <f>IFERROR(Q19/L19-1,"")</f>
        <v>-0.0817138549170715</v>
      </c>
      <c r="R27" s="273">
        <f>IFERROR(R19/M19-1,"")</f>
        <v>0.00824225773216702</v>
      </c>
      <c r="S27" s="272">
        <f>IFERROR(S19/N19-1,"")</f>
        <v>0.015107771405972</v>
      </c>
      <c r="T27" s="272">
        <f>IFERROR(T19/O19-1,"")</f>
        <v>-0.0244928070822574</v>
      </c>
      <c r="U27" s="272">
        <f>IFERROR(U19/P19-1,"")</f>
        <v>0.027659175151316</v>
      </c>
      <c r="V27" s="272">
        <f>IFERROR(V19/Q19-1,"")</f>
        <v>0.0597035347776511</v>
      </c>
      <c r="W27" s="273">
        <f>IFERROR(W19/R19-1,"")</f>
        <v>0.024414434270372</v>
      </c>
      <c r="X27" s="272">
        <f>IFERROR(X19/S19-1,"")</f>
        <v>-0.104628511318035</v>
      </c>
      <c r="Y27" s="272">
        <f>IFERROR(Y19/T19-1,"")</f>
        <v>-0.00940280823817086</v>
      </c>
      <c r="Z27" s="272">
        <f>IFERROR(Z19/U19-1,"")</f>
        <v>0.0551763497317659</v>
      </c>
      <c r="AA27" s="272">
        <f>IFERROR(AA19/V19-1,"")</f>
        <v>-0.00809158991133685</v>
      </c>
      <c r="AB27" s="273">
        <f>IFERROR(AB19/W19-1,"")</f>
        <v>-0.0190259645005134</v>
      </c>
      <c r="AC27" s="272">
        <f>IFERROR(AC19/X19-1,"")</f>
        <v>0.0191023214324566</v>
      </c>
      <c r="AD27" s="272">
        <f>IFERROR(AD19/Y19-1,"")</f>
        <v>0.134517508143323</v>
      </c>
      <c r="AE27" s="272">
        <f>IFERROR(AE19/Z19-1,"")</f>
        <v>0.0606421184717234</v>
      </c>
      <c r="AF27" s="272">
        <f>IFERROR(AF19/AA19-1,"")</f>
        <v>0.233315976742168</v>
      </c>
      <c r="AG27" s="273">
        <f>IFERROR(AG19/AB19-1,"")</f>
        <v>0.125102806812914</v>
      </c>
      <c r="AH27" s="273">
        <f>IFERROR(AH19/AC19-1,"")</f>
        <v>0.216754552635512</v>
      </c>
      <c r="AI27" s="273">
        <f>IFERROR(AI19/AD19-1,"")</f>
        <v>0.216903683100803</v>
      </c>
    </row>
    <row r="28">
      <c r="C28" s="268" t="inlineStr">
        <is>
          <t xml:space="preserve">   % YoY Services</t>
        </is>
      </c>
      <c r="D28" s="272" t="str">
        <f>""</f>
        <v/>
      </c>
      <c r="E28" s="272" t="str">
        <f>""</f>
        <v/>
      </c>
      <c r="F28" s="272" t="str">
        <f>""</f>
        <v/>
      </c>
      <c r="G28" s="272" t="str">
        <f>""</f>
        <v/>
      </c>
      <c r="H28" s="273" t="str">
        <f>""</f>
        <v/>
      </c>
      <c r="I28" s="272" t="str">
        <f>IFERROR(I24/D24-1,"")</f>
        <v/>
      </c>
      <c r="J28" s="272" t="str">
        <f>IFERROR(J24/E24-1,"")</f>
        <v/>
      </c>
      <c r="K28" s="272" t="str">
        <f>IFERROR(K24/F24-1,"")</f>
        <v/>
      </c>
      <c r="L28" s="272" t="str">
        <f>IFERROR(L24/G24-1,"")</f>
        <v/>
      </c>
      <c r="M28" s="273" t="str">
        <f>IFERROR(M24/H24-1,"")</f>
        <v/>
      </c>
      <c r="N28" s="272">
        <f>IFERROR(N24/I24-1,"")</f>
        <v>0.172770841962014</v>
      </c>
      <c r="O28" s="272">
        <f>IFERROR(O24/J24-1,"")</f>
        <v>0.121125471806016</v>
      </c>
      <c r="P28" s="272">
        <f>IFERROR(P24/K24-1,"")</f>
        <v>0.0498440663128523</v>
      </c>
      <c r="Q28" s="272">
        <f>IFERROR(Q24/L24-1,"")</f>
        <v>0.0640500102480017</v>
      </c>
      <c r="R28" s="273">
        <f>IFERROR(R24/M24-1,"")</f>
        <v>0.0997367691881408</v>
      </c>
      <c r="S28" s="272">
        <f>IFERROR(S24/N24-1,"")</f>
        <v>0.054790373845921</v>
      </c>
      <c r="T28" s="272">
        <f>IFERROR(T24/O24-1,"")</f>
        <v>0.0820750867169966</v>
      </c>
      <c r="U28" s="272">
        <f>IFERROR(U24/P24-1,"")</f>
        <v>0.162914321450907</v>
      </c>
      <c r="V28" s="272">
        <f>IFERROR(V24/Q24-1,"")</f>
        <v>0.113213907348551</v>
      </c>
      <c r="W28" s="273">
        <f>IFERROR(W24/R24-1,"")</f>
        <v>0.102949142720367</v>
      </c>
      <c r="X28" s="272">
        <f>IFERROR(X24/S24-1,"")</f>
        <v>0.141579375328837</v>
      </c>
      <c r="Y28" s="272">
        <f>IFERROR(Y24/T24-1,"")</f>
        <v>0.141422712487626</v>
      </c>
      <c r="Z28" s="272">
        <f>IFERROR(Z24/U24-1,"")</f>
        <v>0.119118042484539</v>
      </c>
      <c r="AA28" s="272">
        <f>IFERROR(AA24/V24-1,"")</f>
        <v>0.139421205173682</v>
      </c>
      <c r="AB28" s="273">
        <f>IFERROR(AB24/W24-1,"")</f>
        <v>0.135246884672934</v>
      </c>
      <c r="AC28" s="272">
        <f>IFERROR(AC24/X24-1,"")</f>
        <v>0.116395022415888</v>
      </c>
      <c r="AD28" s="272">
        <f>IFERROR(AD24/Y24-1,"")</f>
        <v>0.132573410977574</v>
      </c>
      <c r="AE28" s="272">
        <f>IFERROR(AE24/Z24-1,"")</f>
        <v>0.151289444177479</v>
      </c>
      <c r="AF28" s="272">
        <f>IFERROR(AF24/AA24-1,"")</f>
        <v>0.139445709946849</v>
      </c>
      <c r="AG28" s="273">
        <f>IFERROR(AG24/AB24-1,"")</f>
        <v>0.135212089504186</v>
      </c>
      <c r="AH28" s="273">
        <f>IFERROR(AH24/AC24-1,"")</f>
        <v>0.162544567461062</v>
      </c>
      <c r="AI28" s="273">
        <f>IFERROR(AI24/AD24-1,"")</f>
        <v>0.120920395288626</v>
      </c>
    </row>
    <row r="29">
      <c r="C29" s="268" t="inlineStr">
        <is>
          <t xml:space="preserve">   % Services na receita</t>
        </is>
      </c>
      <c r="D29" s="272" t="str">
        <f>IFERROR(D24/D25,"")</f>
        <v/>
      </c>
      <c r="E29" s="272" t="str">
        <f>IFERROR(E24/E25,"")</f>
        <v/>
      </c>
      <c r="F29" s="272" t="str">
        <f>IFERROR(F24/F25,"")</f>
        <v/>
      </c>
      <c r="G29" s="272" t="str">
        <f>IFERROR(G24/G25,"")</f>
        <v/>
      </c>
      <c r="H29" s="273" t="str">
        <f>IFERROR(H24/H25,"")</f>
        <v/>
      </c>
      <c r="I29" s="272">
        <f>IFERROR(I24/I25,"")</f>
        <v>0.188660921593142</v>
      </c>
      <c r="J29" s="272">
        <f>IFERROR(J24/J25,"")</f>
        <v>0.214726035808139</v>
      </c>
      <c r="K29" s="272">
        <f>IFERROR(K24/K25,"")</f>
        <v>0.219253838771593</v>
      </c>
      <c r="L29" s="272">
        <f>IFERROR(L24/L25,"")</f>
        <v>0.157456936544435</v>
      </c>
      <c r="M29" s="273">
        <f>IFERROR(M24/M25,"")</f>
        <v>0.190789351955868</v>
      </c>
      <c r="N29" s="272">
        <f>IFERROR(N24/N25,"")</f>
        <v>0.203756244988589</v>
      </c>
      <c r="O29" s="272">
        <f>IFERROR(O24/O25,"")</f>
        <v>0.236309502284261</v>
      </c>
      <c r="P29" s="272">
        <f>IFERROR(P24/P25,"")</f>
        <v>0.212854702371708</v>
      </c>
      <c r="Q29" s="272">
        <f>IFERROR(Q24/Q25,"")</f>
        <v>0.177253870973249</v>
      </c>
      <c r="R29" s="273">
        <f>IFERROR(R24/R25,"")</f>
        <v>0.204829474346966</v>
      </c>
      <c r="S29" s="272">
        <f>IFERROR(S24/S25,"")</f>
        <v>0.220454257876756</v>
      </c>
      <c r="T29" s="272">
        <f>IFERROR(T24/T25,"")</f>
        <v>0.259337139503894</v>
      </c>
      <c r="U29" s="272">
        <f>IFERROR(U24/U25,"")</f>
        <v>0.249324007240385</v>
      </c>
      <c r="V29" s="272">
        <f>IFERROR(V24/V25,"")</f>
        <v>0.193326364206565</v>
      </c>
      <c r="W29" s="273">
        <f>IFERROR(W24/W25,"")</f>
        <v>0.226988950133003</v>
      </c>
      <c r="X29" s="272">
        <f>IFERROR(X24/X25,"")</f>
        <v>0.262988551342655</v>
      </c>
      <c r="Y29" s="272">
        <f>IFERROR(Y24/Y25,"")</f>
        <v>0.282278466255523</v>
      </c>
      <c r="Z29" s="272">
        <f>IFERROR(Z24/Z25,"")</f>
        <v>0.263056989360582</v>
      </c>
      <c r="AA29" s="272">
        <f>IFERROR(AA24/AA25,"")</f>
        <v>0.211906677393403</v>
      </c>
      <c r="AB29" s="273">
        <f>IFERROR(AB24/AB25,"")</f>
        <v>0.251142106327067</v>
      </c>
      <c r="AC29" s="272">
        <f>IFERROR(AC24/AC25,"")</f>
        <v>0.279417779129395</v>
      </c>
      <c r="AD29" s="272">
        <f>IFERROR(AD24/AD25,"")</f>
        <v>0.29162235739504</v>
      </c>
      <c r="AE29" s="272">
        <f>IFERROR(AE24/AE25,"")</f>
        <v>0.280580875607519</v>
      </c>
      <c r="AF29" s="272">
        <f>IFERROR(AF24/AF25,"")</f>
        <v>0.208777372770528</v>
      </c>
      <c r="AG29" s="273">
        <f>IFERROR(AG24/AG25,"")</f>
        <v>0.259014225799269</v>
      </c>
      <c r="AH29" s="273">
        <f>IFERROR(AH24/AH25,"")</f>
        <v>0.278601237588142</v>
      </c>
      <c r="AI29" s="273">
        <f>IFERROR(AI24/AI25,"")</f>
        <v>0.280934406902035</v>
      </c>
    </row>
    <row r="30"/>
    <row r="31">
      <c r="C31" s="267" t="inlineStr">
        <is>
          <t>Margem bruta - Produtos x Serviços</t>
        </is>
      </c>
      <c r="D31" s="267">
        <f>D7</f>
        <v>0</v>
      </c>
      <c r="E31" s="267">
        <f>E7</f>
        <v>0</v>
      </c>
      <c r="F31" s="267">
        <f>F7</f>
        <v>0</v>
      </c>
      <c r="G31" s="267">
        <f>G7</f>
        <v>0</v>
      </c>
      <c r="H31" s="267">
        <f>H7</f>
        <v>2020</v>
      </c>
      <c r="I31" s="267" t="str">
        <f>I7</f>
        <v>1Q21</v>
      </c>
      <c r="J31" s="267" t="str">
        <f>J7</f>
        <v>2Q21</v>
      </c>
      <c r="K31" s="267" t="str">
        <f>K7</f>
        <v>3Q21</v>
      </c>
      <c r="L31" s="267" t="str">
        <f>L7</f>
        <v>4Q21</v>
      </c>
      <c r="M31" s="267">
        <f>M7</f>
        <v>2021</v>
      </c>
      <c r="N31" s="267" t="str">
        <f>N7</f>
        <v>1Q22</v>
      </c>
      <c r="O31" s="267" t="str">
        <f>O7</f>
        <v>2Q22</v>
      </c>
      <c r="P31" s="267" t="str">
        <f>P7</f>
        <v>3Q22</v>
      </c>
      <c r="Q31" s="267" t="str">
        <f>Q7</f>
        <v>4Q22</v>
      </c>
      <c r="R31" s="267">
        <f>R7</f>
        <v>2022</v>
      </c>
      <c r="S31" s="267" t="str">
        <f>S7</f>
        <v>1Q23</v>
      </c>
      <c r="T31" s="267" t="str">
        <f>T7</f>
        <v>2Q23</v>
      </c>
      <c r="U31" s="267" t="str">
        <f>U7</f>
        <v>3Q23</v>
      </c>
      <c r="V31" s="267" t="str">
        <f>V7</f>
        <v>4Q23</v>
      </c>
      <c r="W31" s="267">
        <f>W7</f>
        <v>2023</v>
      </c>
      <c r="X31" s="267" t="str">
        <f>X7</f>
        <v>1Q24</v>
      </c>
      <c r="Y31" s="267" t="str">
        <f>Y7</f>
        <v>2Q24</v>
      </c>
      <c r="Z31" s="267" t="str">
        <f>Z7</f>
        <v>3Q24</v>
      </c>
      <c r="AA31" s="267" t="str">
        <f>AA7</f>
        <v>4Q24</v>
      </c>
      <c r="AB31" s="267">
        <f>AB7</f>
        <v>2024</v>
      </c>
      <c r="AC31" s="267" t="str">
        <f>AC7</f>
        <v>1Q25</v>
      </c>
      <c r="AD31" s="267" t="str">
        <f>AD7</f>
        <v>2Q25</v>
      </c>
      <c r="AE31" s="267" t="str">
        <f>AE7</f>
        <v>3Q25</v>
      </c>
      <c r="AF31" s="267" t="str">
        <f>AF7</f>
        <v>4Q25</v>
      </c>
      <c r="AG31" s="267">
        <f>AG7</f>
        <v>2025</v>
      </c>
      <c r="AH31" s="267" t="str">
        <f>AH7</f>
        <v>1Q26</v>
      </c>
      <c r="AI31" s="267" t="str">
        <f>AI7</f>
        <v>2Q26</v>
      </c>
    </row>
    <row r="32">
      <c r="C32" s="268" t="inlineStr">
        <is>
          <t xml:space="preserve">   Margem bruta Produtos</t>
        </is>
      </c>
      <c r="D32" s="272" t="str">
        <f>IFERROR((D23-IFERROR(INDEX('Inputs (2)'!$D$58:$AL$58,MATCH(D$7&amp;"",'Inputs (2)'!$D$2:$AL$2,0)),""))/D23,"")</f>
        <v/>
      </c>
      <c r="E32" s="272" t="str">
        <f>IFERROR((E23-IFERROR(INDEX('Inputs (2)'!$D$58:$AL$58,MATCH(E$7&amp;"",'Inputs (2)'!$D$2:$AL$2,0)),""))/E23,"")</f>
        <v/>
      </c>
      <c r="F32" s="272" t="str">
        <f>IFERROR((F23-IFERROR(INDEX('Inputs (2)'!$D$58:$AL$58,MATCH(F$7&amp;"",'Inputs (2)'!$D$2:$AL$2,0)),""))/F23,"")</f>
        <v/>
      </c>
      <c r="G32" s="272" t="str">
        <f>IFERROR((G23-IFERROR(INDEX('Inputs (2)'!$D$58:$AL$58,MATCH(G$7&amp;"",'Inputs (2)'!$D$2:$AL$2,0)),""))/G23,"")</f>
        <v/>
      </c>
      <c r="H32" s="273" t="str">
        <f>IFERROR((H23-IFERROR(INDEX('Inputs (2)'!$D$58:$AL$58,MATCH(H$7&amp;"",'Inputs (2)'!$D$2:$AL$2,0)),""))/H23,"")</f>
        <v/>
      </c>
      <c r="I32" s="272">
        <f>IFERROR((I23-IFERROR(INDEX('Inputs (2)'!$D$58:$AL$58,MATCH(I$7&amp;"",'Inputs (2)'!$D$2:$AL$2,0)),""))/I23,"")</f>
        <v>0.360964737283822</v>
      </c>
      <c r="J32" s="272">
        <f>IFERROR((J23-IFERROR(INDEX('Inputs (2)'!$D$58:$AL$58,MATCH(J$7&amp;"",'Inputs (2)'!$D$2:$AL$2,0)),""))/J23,"")</f>
        <v>0.360433477200225</v>
      </c>
      <c r="K32" s="272">
        <f>IFERROR((K23-IFERROR(INDEX('Inputs (2)'!$D$58:$AL$58,MATCH(K$7&amp;"",'Inputs (2)'!$D$2:$AL$2,0)),""))/K23,"")</f>
        <v>0.342531843953106</v>
      </c>
      <c r="L32" s="272">
        <f>IFERROR((L23-IFERROR(INDEX('Inputs (2)'!$D$58:$AL$58,MATCH(L$7&amp;"",'Inputs (2)'!$D$2:$AL$2,0)),""))/L23,"")</f>
        <v>0.384184469831177</v>
      </c>
      <c r="M32" s="273">
        <f>IFERROR((M23-IFERROR(INDEX('Inputs (2)'!$D$58:$AL$58,MATCH(M$7&amp;"",'Inputs (2)'!$D$2:$AL$2,0)),""))/M23,"")</f>
        <v>0.364855639358078</v>
      </c>
      <c r="N32" s="272">
        <f>IFERROR((N23-IFERROR(INDEX('Inputs (2)'!$D$58:$AL$58,MATCH(N$7&amp;"",'Inputs (2)'!$D$2:$AL$2,0)),""))/N23,"")</f>
        <v>0.363646926681901</v>
      </c>
      <c r="O32" s="272">
        <f>IFERROR((O23-IFERROR(INDEX('Inputs (2)'!$D$58:$AL$58,MATCH(O$7&amp;"",'Inputs (2)'!$D$2:$AL$2,0)),""))/O23,"")</f>
        <v>0.345197695525215</v>
      </c>
      <c r="P32" s="272">
        <f>IFERROR((P23-IFERROR(INDEX('Inputs (2)'!$D$58:$AL$58,MATCH(P$7&amp;"",'Inputs (2)'!$D$2:$AL$2,0)),""))/P23,"")</f>
        <v>0.34627526142225</v>
      </c>
      <c r="Q32" s="272">
        <f>IFERROR((Q23-IFERROR(INDEX('Inputs (2)'!$D$58:$AL$58,MATCH(Q$7&amp;"",'Inputs (2)'!$D$2:$AL$2,0)),""))/Q23,"")</f>
        <v>0.369579200730381</v>
      </c>
      <c r="R32" s="273">
        <f>IFERROR((R23-IFERROR(INDEX('Inputs (2)'!$D$58:$AL$58,MATCH(R$7&amp;"",'Inputs (2)'!$D$2:$AL$2,0)),""))/R23,"")</f>
        <v>0.35770935688835</v>
      </c>
      <c r="S32" s="272">
        <f>IFERROR((S23-IFERROR(INDEX('Inputs (2)'!$D$58:$AL$58,MATCH(S$7&amp;"",'Inputs (2)'!$D$2:$AL$2,0)),""))/S23,"")</f>
        <v>0.367027823993291</v>
      </c>
      <c r="T32" s="272">
        <f>IFERROR((T23-IFERROR(INDEX('Inputs (2)'!$D$58:$AL$58,MATCH(T$7&amp;"",'Inputs (2)'!$D$2:$AL$2,0)),""))/T23,"")</f>
        <v>0.354020863594348</v>
      </c>
      <c r="U32" s="272">
        <f>IFERROR((U23-IFERROR(INDEX('Inputs (2)'!$D$58:$AL$58,MATCH(U$7&amp;"",'Inputs (2)'!$D$2:$AL$2,0)),""))/U23,"")</f>
        <v>0.366128840200048</v>
      </c>
      <c r="V32" s="272">
        <f>IFERROR((V23-IFERROR(INDEX('Inputs (2)'!$D$58:$AL$58,MATCH(V$7&amp;"",'Inputs (2)'!$D$2:$AL$2,0)),""))/V23,"")</f>
        <v>0.394140454913019</v>
      </c>
      <c r="W32" s="273">
        <f>IFERROR((W23-IFERROR(INDEX('Inputs (2)'!$D$58:$AL$58,MATCH(W$7&amp;"",'Inputs (2)'!$D$2:$AL$2,0)),""))/W23,"")</f>
        <v>0.372953665039996</v>
      </c>
      <c r="X32" s="272">
        <f>IFERROR((X23-IFERROR(INDEX('Inputs (2)'!$D$58:$AL$58,MATCH(X$7&amp;"",'Inputs (2)'!$D$2:$AL$2,0)),""))/X23,"")</f>
        <v>0.365726758963012</v>
      </c>
      <c r="Y32" s="272">
        <f>IFERROR((Y23-IFERROR(INDEX('Inputs (2)'!$D$58:$AL$58,MATCH(Y$7&amp;"",'Inputs (2)'!$D$2:$AL$2,0)),""))/Y23,"")</f>
        <v>0.353469560132545</v>
      </c>
      <c r="Z32" s="272">
        <f>IFERROR((Z23-IFERROR(INDEX('Inputs (2)'!$D$58:$AL$58,MATCH(Z$7&amp;"",'Inputs (2)'!$D$2:$AL$2,0)),""))/Z23,"")</f>
        <v>0.362960633522971</v>
      </c>
      <c r="AA32" s="272">
        <f>IFERROR((AA23-IFERROR(INDEX('Inputs (2)'!$D$58:$AL$58,MATCH(AA$7&amp;"",'Inputs (2)'!$D$2:$AL$2,0)),""))/AA23,"")</f>
        <v>0.393150265414455</v>
      </c>
      <c r="AB32" s="273">
        <f>IFERROR((AB23-IFERROR(INDEX('Inputs (2)'!$D$58:$AL$58,MATCH(AB$7&amp;"",'Inputs (2)'!$D$2:$AL$2,0)),""))/AB23,"")</f>
        <v>0.371592074717918</v>
      </c>
      <c r="AC32" s="272">
        <f>IFERROR((AC23-IFERROR(INDEX('Inputs (2)'!$D$58:$AL$58,MATCH(AC$7&amp;"",'Inputs (2)'!$D$2:$AL$2,0)),""))/AC23,"")</f>
        <v>0.359228104898565</v>
      </c>
      <c r="AD32" s="272">
        <f>IFERROR((AD23-IFERROR(INDEX('Inputs (2)'!$D$58:$AL$58,MATCH(AD$7&amp;"",'Inputs (2)'!$D$2:$AL$2,0)),""))/AD23,"")</f>
        <v>0.345172864155645</v>
      </c>
      <c r="AE32" s="272">
        <f>IFERROR((AE23-IFERROR(INDEX('Inputs (2)'!$D$58:$AL$58,MATCH(AE$7&amp;"",'Inputs (2)'!$D$2:$AL$2,0)),""))/AE23,"")</f>
        <v>0.362160182321341</v>
      </c>
      <c r="AF32" s="272">
        <f>IFERROR((AF23-IFERROR(INDEX('Inputs (2)'!$D$58:$AL$58,MATCH(AF$7&amp;"",'Inputs (2)'!$D$2:$AL$2,0)),""))/AF23,"")</f>
        <v>0.406750305513306</v>
      </c>
      <c r="AG32" s="273">
        <f>IFERROR((AG23-IFERROR(INDEX('Inputs (2)'!$D$58:$AL$58,MATCH(AG$7&amp;"",'Inputs (2)'!$D$2:$AL$2,0)),""))/AG23,"")</f>
        <v>0.373742975221974</v>
      </c>
      <c r="AH32" s="273">
        <f>IFERROR((AH23-IFERROR(INDEX('Inputs (2)'!$D$58:$AL$58,MATCH(AH$7&amp;"",'Inputs (2)'!$D$2:$AL$2,0)),""))/AH23,"")</f>
        <v>0.386856672651107</v>
      </c>
      <c r="AI32" s="273">
        <f>IFERROR((AI23-IFERROR(INDEX('Inputs (2)'!$D$58:$AL$58,MATCH(AI$7&amp;"",'Inputs (2)'!$D$2:$AL$2,0)),""))/AI23,"")</f>
        <v>0.400683799791555</v>
      </c>
    </row>
    <row r="33">
      <c r="C33" s="268" t="inlineStr">
        <is>
          <t xml:space="preserve">   Margem bruta Serviços</t>
        </is>
      </c>
      <c r="D33" s="272" t="str">
        <f>IFERROR((D24-IFERROR(INDEX('Inputs (2)'!$D$59:$AL$59,MATCH(D$7&amp;"",'Inputs (2)'!$D$2:$AL$2,0)),""))/D24,"")</f>
        <v/>
      </c>
      <c r="E33" s="272" t="str">
        <f>IFERROR((E24-IFERROR(INDEX('Inputs (2)'!$D$59:$AL$59,MATCH(E$7&amp;"",'Inputs (2)'!$D$2:$AL$2,0)),""))/E24,"")</f>
        <v/>
      </c>
      <c r="F33" s="272" t="str">
        <f>IFERROR((F24-IFERROR(INDEX('Inputs (2)'!$D$59:$AL$59,MATCH(F$7&amp;"",'Inputs (2)'!$D$2:$AL$2,0)),""))/F24,"")</f>
        <v/>
      </c>
      <c r="G33" s="272" t="str">
        <f>IFERROR((G24-IFERROR(INDEX('Inputs (2)'!$D$59:$AL$59,MATCH(G$7&amp;"",'Inputs (2)'!$D$2:$AL$2,0)),""))/G24,"")</f>
        <v/>
      </c>
      <c r="H33" s="273" t="str">
        <f>IFERROR((H24-IFERROR(INDEX('Inputs (2)'!$D$59:$AL$59,MATCH(H$7&amp;"",'Inputs (2)'!$D$2:$AL$2,0)),""))/H24,"")</f>
        <v/>
      </c>
      <c r="I33" s="272">
        <f>IFERROR((I24-IFERROR(INDEX('Inputs (2)'!$D$59:$AL$59,MATCH(I$7&amp;"",'Inputs (2)'!$D$2:$AL$2,0)),""))/I24,"")</f>
        <v>0.700727767587717</v>
      </c>
      <c r="J33" s="272">
        <f>IFERROR((J24-IFERROR(INDEX('Inputs (2)'!$D$59:$AL$59,MATCH(J$7&amp;"",'Inputs (2)'!$D$2:$AL$2,0)),""))/J24,"")</f>
        <v>0.698044149605399</v>
      </c>
      <c r="K33" s="272">
        <f>IFERROR((K24-IFERROR(INDEX('Inputs (2)'!$D$59:$AL$59,MATCH(K$7&amp;"",'Inputs (2)'!$D$2:$AL$2,0)),""))/K24,"")</f>
        <v>0.704765552333534</v>
      </c>
      <c r="L33" s="272">
        <f>IFERROR((L24-IFERROR(INDEX('Inputs (2)'!$D$59:$AL$59,MATCH(L$7&amp;"",'Inputs (2)'!$D$2:$AL$2,0)),""))/L24,"")</f>
        <v>0.723662635786022</v>
      </c>
      <c r="M33" s="273">
        <f>IFERROR((M24-IFERROR(INDEX('Inputs (2)'!$D$59:$AL$59,MATCH(M$7&amp;"",'Inputs (2)'!$D$2:$AL$2,0)),""))/M24,"")</f>
        <v>0.70730119146578</v>
      </c>
      <c r="N33" s="272">
        <f>IFERROR((N24-IFERROR(INDEX('Inputs (2)'!$D$59:$AL$59,MATCH(N$7&amp;"",'Inputs (2)'!$D$2:$AL$2,0)),""))/N24,"")</f>
        <v>0.72609858231169</v>
      </c>
      <c r="O33" s="272">
        <f>IFERROR((O24-IFERROR(INDEX('Inputs (2)'!$D$59:$AL$59,MATCH(O$7&amp;"",'Inputs (2)'!$D$2:$AL$2,0)),""))/O24,"")</f>
        <v>0.714905121403795</v>
      </c>
      <c r="P33" s="272">
        <f>IFERROR((P24-IFERROR(INDEX('Inputs (2)'!$D$59:$AL$59,MATCH(P$7&amp;"",'Inputs (2)'!$D$2:$AL$2,0)),""))/P24,"")</f>
        <v>0.704815509693558</v>
      </c>
      <c r="Q33" s="272">
        <f>IFERROR((Q24-IFERROR(INDEX('Inputs (2)'!$D$59:$AL$59,MATCH(Q$7&amp;"",'Inputs (2)'!$D$2:$AL$2,0)),""))/Q24,"")</f>
        <v>0.708321294423577</v>
      </c>
      <c r="R33" s="273">
        <f>IFERROR((R24-IFERROR(INDEX('Inputs (2)'!$D$59:$AL$59,MATCH(R$7&amp;"",'Inputs (2)'!$D$2:$AL$2,0)),""))/R24,"")</f>
        <v>0.713538845286537</v>
      </c>
      <c r="S33" s="272">
        <f>IFERROR((S24-IFERROR(INDEX('Inputs (2)'!$D$59:$AL$59,MATCH(S$7&amp;"",'Inputs (2)'!$D$2:$AL$2,0)),""))/S24,"")</f>
        <v>0.709905773186014</v>
      </c>
      <c r="T33" s="272">
        <f>IFERROR((T24-IFERROR(INDEX('Inputs (2)'!$D$59:$AL$59,MATCH(T$7&amp;"",'Inputs (2)'!$D$2:$AL$2,0)),""))/T24,"")</f>
        <v>0.705463630792439</v>
      </c>
      <c r="U33" s="272">
        <f>IFERROR((U24-IFERROR(INDEX('Inputs (2)'!$D$59:$AL$59,MATCH(U$7&amp;"",'Inputs (2)'!$D$2:$AL$2,0)),""))/U24,"")</f>
        <v>0.709375280093215</v>
      </c>
      <c r="V33" s="272">
        <f>IFERROR((V24-IFERROR(INDEX('Inputs (2)'!$D$59:$AL$59,MATCH(V$7&amp;"",'Inputs (2)'!$D$2:$AL$2,0)),""))/V24,"")</f>
        <v>0.728338452221309</v>
      </c>
      <c r="W33" s="273">
        <f>IFERROR((W24-IFERROR(INDEX('Inputs (2)'!$D$59:$AL$59,MATCH(W$7&amp;"",'Inputs (2)'!$D$2:$AL$2,0)),""))/W24,"")</f>
        <v>0.713561238592363</v>
      </c>
      <c r="X33" s="272">
        <f>IFERROR((X24-IFERROR(INDEX('Inputs (2)'!$D$59:$AL$59,MATCH(X$7&amp;"",'Inputs (2)'!$D$2:$AL$2,0)),""))/X24,"")</f>
        <v>0.746176729375288</v>
      </c>
      <c r="Y33" s="272">
        <f>IFERROR((Y24-IFERROR(INDEX('Inputs (2)'!$D$59:$AL$59,MATCH(Y$7&amp;"",'Inputs (2)'!$D$2:$AL$2,0)),""))/Y24,"")</f>
        <v>0.739974393920621</v>
      </c>
      <c r="Z33" s="272">
        <f>IFERROR((Z24-IFERROR(INDEX('Inputs (2)'!$D$59:$AL$59,MATCH(Z$7&amp;"",'Inputs (2)'!$D$2:$AL$2,0)),""))/Z24,"")</f>
        <v>0.740309146243793</v>
      </c>
      <c r="AA33" s="272">
        <f>IFERROR((AA24-IFERROR(INDEX('Inputs (2)'!$D$59:$AL$59,MATCH(AA$7&amp;"",'Inputs (2)'!$D$2:$AL$2,0)),""))/AA24,"")</f>
        <v>0.750265755504936</v>
      </c>
      <c r="AB33" s="273">
        <f>IFERROR((AB24-IFERROR(INDEX('Inputs (2)'!$D$59:$AL$59,MATCH(AB$7&amp;"",'Inputs (2)'!$D$2:$AL$2,0)),""))/AB24,"")</f>
        <v>0.744275193174501</v>
      </c>
      <c r="AC33" s="272">
        <f>IFERROR((AC24-IFERROR(INDEX('Inputs (2)'!$D$59:$AL$59,MATCH(AC$7&amp;"",'Inputs (2)'!$D$2:$AL$2,0)),""))/AC24,"")</f>
        <v>0.757477950835053</v>
      </c>
      <c r="AD33" s="272">
        <f>IFERROR((AD24-IFERROR(INDEX('Inputs (2)'!$D$59:$AL$59,MATCH(AD$7&amp;"",'Inputs (2)'!$D$2:$AL$2,0)),""))/AD24,"")</f>
        <v>0.755752470553915</v>
      </c>
      <c r="AE33" s="272">
        <f>IFERROR((AE24-IFERROR(INDEX('Inputs (2)'!$D$59:$AL$59,MATCH(AE$7&amp;"",'Inputs (2)'!$D$2:$AL$2,0)),""))/AE24,"")</f>
        <v>0.752834782608696</v>
      </c>
      <c r="AF33" s="272">
        <f>IFERROR((AF24-IFERROR(INDEX('Inputs (2)'!$D$59:$AL$59,MATCH(AF$7&amp;"",'Inputs (2)'!$D$2:$AL$2,0)),""))/AF24,"")</f>
        <v>0.765201745910106</v>
      </c>
      <c r="AG33" s="273">
        <f>IFERROR((AG24-IFERROR(INDEX('Inputs (2)'!$D$59:$AL$59,MATCH(AG$7&amp;"",'Inputs (2)'!$D$2:$AL$2,0)),""))/AG24,"")</f>
        <v>0.757930001506678</v>
      </c>
      <c r="AH33" s="273">
        <f>IFERROR((AH24-IFERROR(INDEX('Inputs (2)'!$D$59:$AL$59,MATCH(AH$7&amp;"",'Inputs (2)'!$D$2:$AL$2,0)),""))/AH24,"")</f>
        <v>0.766787190082645</v>
      </c>
      <c r="AI33" s="273">
        <f>IFERROR((AI24-IFERROR(INDEX('Inputs (2)'!$D$59:$AL$59,MATCH(AI$7&amp;"",'Inputs (2)'!$D$2:$AL$2,0)),""))/AI24,"")</f>
        <v>0.756205471876118</v>
      </c>
    </row>
    <row r="34">
      <c r="C34" s="268" t="inlineStr">
        <is>
          <t xml:space="preserve">   Margem bruta consolidada</t>
        </is>
      </c>
      <c r="D34" s="272" t="str">
        <f>IFERROR((D15+D48)/D15,"")</f>
        <v/>
      </c>
      <c r="E34" s="272" t="str">
        <f>IFERROR((E15+E48)/E15,"")</f>
        <v/>
      </c>
      <c r="F34" s="272" t="str">
        <f>IFERROR((F15+F48)/F15,"")</f>
        <v/>
      </c>
      <c r="G34" s="272" t="str">
        <f>IFERROR((G15+G48)/G15,"")</f>
        <v/>
      </c>
      <c r="H34" s="273" t="str">
        <f>IFERROR((H15+H48)/H15,"")</f>
        <v/>
      </c>
      <c r="I34" s="272">
        <f>IFERROR((I15+I48)/I15,"")</f>
        <v>0.425064743704233</v>
      </c>
      <c r="J34" s="272">
        <f>IFERROR((J15+J48)/J15,"")</f>
        <v>0.432927278532308</v>
      </c>
      <c r="K34" s="272">
        <f>IFERROR((K15+K48)/K15,"")</f>
        <v>0.421952975047985</v>
      </c>
      <c r="L34" s="272">
        <f>IFERROR((L15+L48)/L15,"")</f>
        <v>0.43763766186615</v>
      </c>
      <c r="M34" s="273">
        <f>IFERROR((M15+M48)/M15,"")</f>
        <v>0.430190604324876</v>
      </c>
      <c r="N34" s="272">
        <f>IFERROR((N15+N48)/N15,"")</f>
        <v>0.437498715022924</v>
      </c>
      <c r="O34" s="272">
        <f>IFERROR((O15+O48)/O15,"")</f>
        <v>0.432563073325378</v>
      </c>
      <c r="P34" s="272">
        <f>IFERROR((P15+P48)/P15,"")</f>
        <v>0.422592239256318</v>
      </c>
      <c r="Q34" s="272">
        <f>IFERROR((Q15+Q48)/Q15,"")</f>
        <v>0.429622548099083</v>
      </c>
      <c r="R34" s="273">
        <f>IFERROR((R15+R48)/R15,"")</f>
        <v>0.4305937239541</v>
      </c>
      <c r="S34" s="272">
        <f>IFERROR((S15+S48)/S15,"")</f>
        <v>0.442616727824877</v>
      </c>
      <c r="T34" s="272">
        <f>IFERROR((T15+T48)/T15,"")</f>
        <v>0.445163025538834</v>
      </c>
      <c r="U34" s="272">
        <f>IFERROR((U15+U48)/U15,"")</f>
        <v>0.451708418065208</v>
      </c>
      <c r="V34" s="272">
        <f>IFERROR((V15+V48)/V15,"")</f>
        <v>0.458749738657746</v>
      </c>
      <c r="W34" s="273">
        <f>IFERROR((W15+W48)/W15,"")</f>
        <v>0.450267820567997</v>
      </c>
      <c r="X34" s="272">
        <f>IFERROR((X15+X48)/X15,"")</f>
        <v>0.465780745540092</v>
      </c>
      <c r="Y34" s="272">
        <f>IFERROR((Y15+Y48)/Y15,"")</f>
        <v>0.462571551814589</v>
      </c>
      <c r="Z34" s="272">
        <f>IFERROR((Z15+Z48)/Z15,"")</f>
        <v>0.462224797219004</v>
      </c>
      <c r="AA34" s="272">
        <f>IFERROR((AA15+AA48)/AA15,"")</f>
        <v>0.468825422365245</v>
      </c>
      <c r="AB34" s="273">
        <f>IFERROR((AB15+AB48)/AB15,"")</f>
        <v>0.465188498079644</v>
      </c>
      <c r="AC34" s="272">
        <f>IFERROR((AC15+AC48)/AC15,"")</f>
        <v>0.470506192388762</v>
      </c>
      <c r="AD34" s="272">
        <f>IFERROR((AD15+AD48)/AD15,"")</f>
        <v>0.464907056871836</v>
      </c>
      <c r="AE34" s="272">
        <f>IFERROR((AE15+AE48)/AE15,"")</f>
        <v>0.471776003747585</v>
      </c>
      <c r="AF34" s="272">
        <f>IFERROR((AF15+AF48)/AF15,"")</f>
        <v>0.481586855505162</v>
      </c>
      <c r="AG34" s="273">
        <f>IFERROR((AG15+AG48)/AG15,"")</f>
        <v>0.47325288039723</v>
      </c>
      <c r="AH34" s="273">
        <f>IFERROR((AH15+AH48)/AH15,"")</f>
        <v>0.492705785005037</v>
      </c>
      <c r="AI34" s="273">
        <f>IFERROR((AI15+AI48)/AI15,"")</f>
        <v>0.500562069879452</v>
      </c>
    </row>
    <row r="35"/>
    <row r="36">
      <c r="C36" s="267" t="inlineStr">
        <is>
          <t>Receita por segmento geográfico (USD milhões)</t>
        </is>
      </c>
      <c r="D36" s="267">
        <f>D7</f>
        <v>0</v>
      </c>
      <c r="E36" s="267">
        <f>E7</f>
        <v>0</v>
      </c>
      <c r="F36" s="267">
        <f>F7</f>
        <v>0</v>
      </c>
      <c r="G36" s="267">
        <f>G7</f>
        <v>0</v>
      </c>
      <c r="H36" s="267">
        <f>H7</f>
        <v>2020</v>
      </c>
      <c r="I36" s="267" t="str">
        <f>I7</f>
        <v>1Q21</v>
      </c>
      <c r="J36" s="267" t="str">
        <f>J7</f>
        <v>2Q21</v>
      </c>
      <c r="K36" s="267" t="str">
        <f>K7</f>
        <v>3Q21</v>
      </c>
      <c r="L36" s="267" t="str">
        <f>L7</f>
        <v>4Q21</v>
      </c>
      <c r="M36" s="267">
        <f>M7</f>
        <v>2021</v>
      </c>
      <c r="N36" s="267" t="str">
        <f>N7</f>
        <v>1Q22</v>
      </c>
      <c r="O36" s="267" t="str">
        <f>O7</f>
        <v>2Q22</v>
      </c>
      <c r="P36" s="267" t="str">
        <f>P7</f>
        <v>3Q22</v>
      </c>
      <c r="Q36" s="267" t="str">
        <f>Q7</f>
        <v>4Q22</v>
      </c>
      <c r="R36" s="267">
        <f>R7</f>
        <v>2022</v>
      </c>
      <c r="S36" s="267" t="str">
        <f>S7</f>
        <v>1Q23</v>
      </c>
      <c r="T36" s="267" t="str">
        <f>T7</f>
        <v>2Q23</v>
      </c>
      <c r="U36" s="267" t="str">
        <f>U7</f>
        <v>3Q23</v>
      </c>
      <c r="V36" s="267" t="str">
        <f>V7</f>
        <v>4Q23</v>
      </c>
      <c r="W36" s="267">
        <f>W7</f>
        <v>2023</v>
      </c>
      <c r="X36" s="267" t="str">
        <f>X7</f>
        <v>1Q24</v>
      </c>
      <c r="Y36" s="267" t="str">
        <f>Y7</f>
        <v>2Q24</v>
      </c>
      <c r="Z36" s="267" t="str">
        <f>Z7</f>
        <v>3Q24</v>
      </c>
      <c r="AA36" s="267" t="str">
        <f>AA7</f>
        <v>4Q24</v>
      </c>
      <c r="AB36" s="267">
        <f>AB7</f>
        <v>2024</v>
      </c>
      <c r="AC36" s="267" t="str">
        <f>AC7</f>
        <v>1Q25</v>
      </c>
      <c r="AD36" s="267" t="str">
        <f>AD7</f>
        <v>2Q25</v>
      </c>
      <c r="AE36" s="267" t="str">
        <f>AE7</f>
        <v>3Q25</v>
      </c>
      <c r="AF36" s="267" t="str">
        <f>AF7</f>
        <v>4Q25</v>
      </c>
      <c r="AG36" s="267">
        <f>AG7</f>
        <v>2025</v>
      </c>
      <c r="AH36" s="267" t="str">
        <f>AH7</f>
        <v>1Q26</v>
      </c>
      <c r="AI36" s="267" t="str">
        <f>AI7</f>
        <v>2Q26</v>
      </c>
    </row>
    <row r="37">
      <c r="C37" s="268" t="inlineStr">
        <is>
          <t xml:space="preserve">   Américas</t>
        </is>
      </c>
      <c r="D37" s="269" t="str">
        <f>IFERROR(INDEX('Inputs (2)'!$D$60:$AL$60,MATCH(D$7&amp;"",'Inputs (2)'!$D$2:$AL$2,0)),"")</f>
        <v/>
      </c>
      <c r="E37" s="269" t="str">
        <f>IFERROR(INDEX('Inputs (2)'!$D$60:$AL$60,MATCH(E$7&amp;"",'Inputs (2)'!$D$2:$AL$2,0)),"")</f>
        <v/>
      </c>
      <c r="F37" s="269" t="str">
        <f>IFERROR(INDEX('Inputs (2)'!$D$60:$AL$60,MATCH(F$7&amp;"",'Inputs (2)'!$D$2:$AL$2,0)),"")</f>
        <v/>
      </c>
      <c r="G37" s="269" t="str">
        <f>IFERROR(INDEX('Inputs (2)'!$D$60:$AL$60,MATCH(G$7&amp;"",'Inputs (2)'!$D$2:$AL$2,0)),"")</f>
        <v/>
      </c>
      <c r="H37" s="270" t="str">
        <f>IF(COUNT(D37:G37)=4,SUM(D37:G37),"")</f>
        <v/>
      </c>
      <c r="I37" s="269">
        <f>IFERROR(INDEX('Inputs (2)'!$D$60:$AL$60,MATCH(I$7&amp;"",'Inputs (2)'!$D$2:$AL$2,0)),"")</f>
        <v>34306</v>
      </c>
      <c r="J37" s="269">
        <f>IFERROR(INDEX('Inputs (2)'!$D$60:$AL$60,MATCH(J$7&amp;"",'Inputs (2)'!$D$2:$AL$2,0)),"")</f>
        <v>35870</v>
      </c>
      <c r="K37" s="269">
        <f>IFERROR(INDEX('Inputs (2)'!$D$60:$AL$60,MATCH(K$7&amp;"",'Inputs (2)'!$D$2:$AL$2,0)),"")</f>
        <v>36820</v>
      </c>
      <c r="L37" s="269">
        <f>IFERROR(INDEX('Inputs (2)'!$D$60:$AL$60,MATCH(L$7&amp;"",'Inputs (2)'!$D$2:$AL$2,0)),"")</f>
        <v>51496</v>
      </c>
      <c r="M37" s="270">
        <f>IF(COUNT(I37:L37)=4,SUM(I37:L37),"")</f>
        <v>158492</v>
      </c>
      <c r="N37" s="269">
        <f>IFERROR(INDEX('Inputs (2)'!$D$60:$AL$60,MATCH(N$7&amp;"",'Inputs (2)'!$D$2:$AL$2,0)),"")</f>
        <v>40882</v>
      </c>
      <c r="O37" s="269">
        <f>IFERROR(INDEX('Inputs (2)'!$D$60:$AL$60,MATCH(O$7&amp;"",'Inputs (2)'!$D$2:$AL$2,0)),"")</f>
        <v>37472</v>
      </c>
      <c r="P37" s="269">
        <f>IFERROR(INDEX('Inputs (2)'!$D$60:$AL$60,MATCH(P$7&amp;"",'Inputs (2)'!$D$2:$AL$2,0)),"")</f>
        <v>39808</v>
      </c>
      <c r="Q37" s="269">
        <f>IFERROR(INDEX('Inputs (2)'!$D$60:$AL$60,MATCH(Q$7&amp;"",'Inputs (2)'!$D$2:$AL$2,0)),"")</f>
        <v>49278</v>
      </c>
      <c r="R37" s="270">
        <f>IF(COUNT(N37:Q37)=4,SUM(N37:Q37),"")</f>
        <v>167440</v>
      </c>
      <c r="S37" s="269">
        <f>IFERROR(INDEX('Inputs (2)'!$D$60:$AL$60,MATCH(S$7&amp;"",'Inputs (2)'!$D$2:$AL$2,0)),"")</f>
        <v>37784</v>
      </c>
      <c r="T37" s="269">
        <f>IFERROR(INDEX('Inputs (2)'!$D$60:$AL$60,MATCH(T$7&amp;"",'Inputs (2)'!$D$2:$AL$2,0)),"")</f>
        <v>35383</v>
      </c>
      <c r="U37" s="269">
        <f>IFERROR(INDEX('Inputs (2)'!$D$60:$AL$60,MATCH(U$7&amp;"",'Inputs (2)'!$D$2:$AL$2,0)),"")</f>
        <v>40115</v>
      </c>
      <c r="V37" s="269">
        <f>IFERROR(INDEX('Inputs (2)'!$D$60:$AL$60,MATCH(V$7&amp;"",'Inputs (2)'!$D$2:$AL$2,0)),"")</f>
        <v>50430</v>
      </c>
      <c r="W37" s="270">
        <f>IF(COUNT(S37:V37)=4,SUM(S37:V37),"")</f>
        <v>163712</v>
      </c>
      <c r="X37" s="269">
        <f>IFERROR(INDEX('Inputs (2)'!$D$60:$AL$60,MATCH(X$7&amp;"",'Inputs (2)'!$D$2:$AL$2,0)),"")</f>
        <v>37273</v>
      </c>
      <c r="Y37" s="269">
        <f>IFERROR(INDEX('Inputs (2)'!$D$60:$AL$60,MATCH(Y$7&amp;"",'Inputs (2)'!$D$2:$AL$2,0)),"")</f>
        <v>37678</v>
      </c>
      <c r="Z37" s="269">
        <f>IFERROR(INDEX('Inputs (2)'!$D$60:$AL$60,MATCH(Z$7&amp;"",'Inputs (2)'!$D$2:$AL$2,0)),"")</f>
        <v>41664</v>
      </c>
      <c r="AA37" s="269">
        <f>IFERROR(INDEX('Inputs (2)'!$D$60:$AL$60,MATCH(AA$7&amp;"",'Inputs (2)'!$D$2:$AL$2,0)),"")</f>
        <v>52648</v>
      </c>
      <c r="AB37" s="270">
        <f>IF(COUNT(X37:AA37)=4,SUM(X37:AA37),"")</f>
        <v>169263</v>
      </c>
      <c r="AC37" s="269">
        <f>IFERROR(INDEX('Inputs (2)'!$D$60:$AL$60,MATCH(AC$7&amp;"",'Inputs (2)'!$D$2:$AL$2,0)),"")</f>
        <v>40315</v>
      </c>
      <c r="AD37" s="269">
        <f>IFERROR(INDEX('Inputs (2)'!$D$60:$AL$60,MATCH(AD$7&amp;"",'Inputs (2)'!$D$2:$AL$2,0)),"")</f>
        <v>41198</v>
      </c>
      <c r="AE37" s="269">
        <f>IFERROR(INDEX('Inputs (2)'!$D$60:$AL$60,MATCH(AE$7&amp;"",'Inputs (2)'!$D$2:$AL$2,0)),"")</f>
        <v>44192</v>
      </c>
      <c r="AF37" s="269">
        <f>IFERROR(INDEX('Inputs (2)'!$D$60:$AL$60,MATCH(AF$7&amp;"",'Inputs (2)'!$D$2:$AL$2,0)),"")</f>
        <v>58529</v>
      </c>
      <c r="AG37" s="270">
        <f>IF(COUNT(AC37:AF37)=4,SUM(AC37:AF37),"")</f>
        <v>184234</v>
      </c>
      <c r="AH37" s="270">
        <f>IFERROR(INDEX('Inputs (2)'!$D$60:$AL$60,MATCH(AH$7&amp;"",'Inputs (2)'!$D$2:$AL$2,0)),"")</f>
        <v>45093</v>
      </c>
      <c r="AI37" s="270">
        <f>IFERROR(INDEX('Inputs (2)'!$D$60:$AL$60,MATCH(AI$7&amp;"",'Inputs (2)'!$D$2:$AL$2,0)),"")</f>
        <v>45781</v>
      </c>
    </row>
    <row r="38">
      <c r="C38" s="268" t="inlineStr">
        <is>
          <t xml:space="preserve">   Europa (inclui Índia, Oriente Médio e África)</t>
        </is>
      </c>
      <c r="D38" s="269" t="str">
        <f>IFERROR(INDEX('Inputs (2)'!$D$61:$AL$61,MATCH(D$7&amp;"",'Inputs (2)'!$D$2:$AL$2,0)),"")</f>
        <v/>
      </c>
      <c r="E38" s="269" t="str">
        <f>IFERROR(INDEX('Inputs (2)'!$D$61:$AL$61,MATCH(E$7&amp;"",'Inputs (2)'!$D$2:$AL$2,0)),"")</f>
        <v/>
      </c>
      <c r="F38" s="269" t="str">
        <f>IFERROR(INDEX('Inputs (2)'!$D$61:$AL$61,MATCH(F$7&amp;"",'Inputs (2)'!$D$2:$AL$2,0)),"")</f>
        <v/>
      </c>
      <c r="G38" s="269" t="str">
        <f>IFERROR(INDEX('Inputs (2)'!$D$61:$AL$61,MATCH(G$7&amp;"",'Inputs (2)'!$D$2:$AL$2,0)),"")</f>
        <v/>
      </c>
      <c r="H38" s="270" t="str">
        <f>IF(COUNT(D38:G38)=4,SUM(D38:G38),"")</f>
        <v/>
      </c>
      <c r="I38" s="269">
        <f>IFERROR(INDEX('Inputs (2)'!$D$61:$AL$61,MATCH(I$7&amp;"",'Inputs (2)'!$D$2:$AL$2,0)),"")</f>
        <v>22264</v>
      </c>
      <c r="J38" s="269">
        <f>IFERROR(INDEX('Inputs (2)'!$D$61:$AL$61,MATCH(J$7&amp;"",'Inputs (2)'!$D$2:$AL$2,0)),"")</f>
        <v>18943</v>
      </c>
      <c r="K38" s="269">
        <f>IFERROR(INDEX('Inputs (2)'!$D$61:$AL$61,MATCH(K$7&amp;"",'Inputs (2)'!$D$2:$AL$2,0)),"")</f>
        <v>20794</v>
      </c>
      <c r="L38" s="269">
        <f>IFERROR(INDEX('Inputs (2)'!$D$61:$AL$61,MATCH(L$7&amp;"",'Inputs (2)'!$D$2:$AL$2,0)),"")</f>
        <v>29749</v>
      </c>
      <c r="M38" s="270">
        <f>IF(COUNT(I38:L38)=4,SUM(I38:L38),"")</f>
        <v>91750</v>
      </c>
      <c r="N38" s="269">
        <f>IFERROR(INDEX('Inputs (2)'!$D$61:$AL$61,MATCH(N$7&amp;"",'Inputs (2)'!$D$2:$AL$2,0)),"")</f>
        <v>23287</v>
      </c>
      <c r="O38" s="269">
        <f>IFERROR(INDEX('Inputs (2)'!$D$61:$AL$61,MATCH(O$7&amp;"",'Inputs (2)'!$D$2:$AL$2,0)),"")</f>
        <v>19287</v>
      </c>
      <c r="P38" s="269">
        <f>IFERROR(INDEX('Inputs (2)'!$D$61:$AL$61,MATCH(P$7&amp;"",'Inputs (2)'!$D$2:$AL$2,0)),"")</f>
        <v>22795</v>
      </c>
      <c r="Q38" s="269">
        <f>IFERROR(INDEX('Inputs (2)'!$D$61:$AL$61,MATCH(Q$7&amp;"",'Inputs (2)'!$D$2:$AL$2,0)),"")</f>
        <v>27681</v>
      </c>
      <c r="R38" s="270">
        <f>IF(COUNT(N38:Q38)=4,SUM(N38:Q38),"")</f>
        <v>93050</v>
      </c>
      <c r="S38" s="269">
        <f>IFERROR(INDEX('Inputs (2)'!$D$61:$AL$61,MATCH(S$7&amp;"",'Inputs (2)'!$D$2:$AL$2,0)),"")</f>
        <v>23945</v>
      </c>
      <c r="T38" s="269">
        <f>IFERROR(INDEX('Inputs (2)'!$D$61:$AL$61,MATCH(T$7&amp;"",'Inputs (2)'!$D$2:$AL$2,0)),"")</f>
        <v>20205</v>
      </c>
      <c r="U38" s="269">
        <f>IFERROR(INDEX('Inputs (2)'!$D$61:$AL$61,MATCH(U$7&amp;"",'Inputs (2)'!$D$2:$AL$2,0)),"")</f>
        <v>22463</v>
      </c>
      <c r="V38" s="269">
        <f>IFERROR(INDEX('Inputs (2)'!$D$61:$AL$61,MATCH(V$7&amp;"",'Inputs (2)'!$D$2:$AL$2,0)),"")</f>
        <v>30397</v>
      </c>
      <c r="W38" s="270">
        <f>IF(COUNT(S38:V38)=4,SUM(S38:V38),"")</f>
        <v>97010</v>
      </c>
      <c r="X38" s="269">
        <f>IFERROR(INDEX('Inputs (2)'!$D$61:$AL$61,MATCH(X$7&amp;"",'Inputs (2)'!$D$2:$AL$2,0)),"")</f>
        <v>24123</v>
      </c>
      <c r="Y38" s="269">
        <f>IFERROR(INDEX('Inputs (2)'!$D$61:$AL$61,MATCH(Y$7&amp;"",'Inputs (2)'!$D$2:$AL$2,0)),"")</f>
        <v>21884</v>
      </c>
      <c r="Z38" s="269">
        <f>IFERROR(INDEX('Inputs (2)'!$D$61:$AL$61,MATCH(Z$7&amp;"",'Inputs (2)'!$D$2:$AL$2,0)),"")</f>
        <v>24924</v>
      </c>
      <c r="AA38" s="269">
        <f>IFERROR(INDEX('Inputs (2)'!$D$61:$AL$61,MATCH(AA$7&amp;"",'Inputs (2)'!$D$2:$AL$2,0)),"")</f>
        <v>33861</v>
      </c>
      <c r="AB38" s="270">
        <f>IF(COUNT(X38:AA38)=4,SUM(X38:AA38),"")</f>
        <v>104792</v>
      </c>
      <c r="AC38" s="269">
        <f>IFERROR(INDEX('Inputs (2)'!$D$61:$AL$61,MATCH(AC$7&amp;"",'Inputs (2)'!$D$2:$AL$2,0)),"")</f>
        <v>24454</v>
      </c>
      <c r="AD38" s="269">
        <f>IFERROR(INDEX('Inputs (2)'!$D$61:$AL$61,MATCH(AD$7&amp;"",'Inputs (2)'!$D$2:$AL$2,0)),"")</f>
        <v>24014</v>
      </c>
      <c r="AE38" s="269">
        <f>IFERROR(INDEX('Inputs (2)'!$D$61:$AL$61,MATCH(AE$7&amp;"",'Inputs (2)'!$D$2:$AL$2,0)),"")</f>
        <v>28703</v>
      </c>
      <c r="AF38" s="269">
        <f>IFERROR(INDEX('Inputs (2)'!$D$61:$AL$61,MATCH(AF$7&amp;"",'Inputs (2)'!$D$2:$AL$2,0)),"")</f>
        <v>38146</v>
      </c>
      <c r="AG38" s="270">
        <f>IF(COUNT(AC38:AF38)=4,SUM(AC38:AF38),"")</f>
        <v>115317</v>
      </c>
      <c r="AH38" s="270">
        <f>IFERROR(INDEX('Inputs (2)'!$D$61:$AL$61,MATCH(AH$7&amp;"",'Inputs (2)'!$D$2:$AL$2,0)),"")</f>
        <v>28055</v>
      </c>
      <c r="AI38" s="270">
        <f>IFERROR(INDEX('Inputs (2)'!$D$61:$AL$61,MATCH(AI$7&amp;"",'Inputs (2)'!$D$2:$AL$2,0)),"")</f>
        <v>29395</v>
      </c>
    </row>
    <row r="39">
      <c r="C39" s="268" t="inlineStr">
        <is>
          <t xml:space="preserve">   Grande China</t>
        </is>
      </c>
      <c r="D39" s="269" t="str">
        <f>IFERROR(INDEX('Inputs (2)'!$D$62:$AL$62,MATCH(D$7&amp;"",'Inputs (2)'!$D$2:$AL$2,0)),"")</f>
        <v/>
      </c>
      <c r="E39" s="269" t="str">
        <f>IFERROR(INDEX('Inputs (2)'!$D$62:$AL$62,MATCH(E$7&amp;"",'Inputs (2)'!$D$2:$AL$2,0)),"")</f>
        <v/>
      </c>
      <c r="F39" s="269" t="str">
        <f>IFERROR(INDEX('Inputs (2)'!$D$62:$AL$62,MATCH(F$7&amp;"",'Inputs (2)'!$D$2:$AL$2,0)),"")</f>
        <v/>
      </c>
      <c r="G39" s="269" t="str">
        <f>IFERROR(INDEX('Inputs (2)'!$D$62:$AL$62,MATCH(G$7&amp;"",'Inputs (2)'!$D$2:$AL$2,0)),"")</f>
        <v/>
      </c>
      <c r="H39" s="270" t="str">
        <f>IF(COUNT(D39:G39)=4,SUM(D39:G39),"")</f>
        <v/>
      </c>
      <c r="I39" s="269">
        <f>IFERROR(INDEX('Inputs (2)'!$D$62:$AL$62,MATCH(I$7&amp;"",'Inputs (2)'!$D$2:$AL$2,0)),"")</f>
        <v>17728</v>
      </c>
      <c r="J39" s="269">
        <f>IFERROR(INDEX('Inputs (2)'!$D$62:$AL$62,MATCH(J$7&amp;"",'Inputs (2)'!$D$2:$AL$2,0)),"")</f>
        <v>14762</v>
      </c>
      <c r="K39" s="269">
        <f>IFERROR(INDEX('Inputs (2)'!$D$62:$AL$62,MATCH(K$7&amp;"",'Inputs (2)'!$D$2:$AL$2,0)),"")</f>
        <v>14563</v>
      </c>
      <c r="L39" s="269">
        <f>IFERROR(INDEX('Inputs (2)'!$D$62:$AL$62,MATCH(L$7&amp;"",'Inputs (2)'!$D$2:$AL$2,0)),"")</f>
        <v>25783</v>
      </c>
      <c r="M39" s="270">
        <f>IF(COUNT(I39:L39)=4,SUM(I39:L39),"")</f>
        <v>72836</v>
      </c>
      <c r="N39" s="269">
        <f>IFERROR(INDEX('Inputs (2)'!$D$62:$AL$62,MATCH(N$7&amp;"",'Inputs (2)'!$D$2:$AL$2,0)),"")</f>
        <v>18343</v>
      </c>
      <c r="O39" s="269">
        <f>IFERROR(INDEX('Inputs (2)'!$D$62:$AL$62,MATCH(O$7&amp;"",'Inputs (2)'!$D$2:$AL$2,0)),"")</f>
        <v>14604</v>
      </c>
      <c r="P39" s="269">
        <f>IFERROR(INDEX('Inputs (2)'!$D$62:$AL$62,MATCH(P$7&amp;"",'Inputs (2)'!$D$2:$AL$2,0)),"")</f>
        <v>15470</v>
      </c>
      <c r="Q39" s="269">
        <f>IFERROR(INDEX('Inputs (2)'!$D$62:$AL$62,MATCH(Q$7&amp;"",'Inputs (2)'!$D$2:$AL$2,0)),"")</f>
        <v>23905</v>
      </c>
      <c r="R39" s="270">
        <f>IF(COUNT(N39:Q39)=4,SUM(N39:Q39),"")</f>
        <v>72322</v>
      </c>
      <c r="S39" s="269">
        <f>IFERROR(INDEX('Inputs (2)'!$D$62:$AL$62,MATCH(S$7&amp;"",'Inputs (2)'!$D$2:$AL$2,0)),"")</f>
        <v>17812</v>
      </c>
      <c r="T39" s="269">
        <f>IFERROR(INDEX('Inputs (2)'!$D$62:$AL$62,MATCH(T$7&amp;"",'Inputs (2)'!$D$2:$AL$2,0)),"")</f>
        <v>15758</v>
      </c>
      <c r="U39" s="269">
        <f>IFERROR(INDEX('Inputs (2)'!$D$62:$AL$62,MATCH(U$7&amp;"",'Inputs (2)'!$D$2:$AL$2,0)),"")</f>
        <v>15084</v>
      </c>
      <c r="V39" s="269">
        <f>IFERROR(INDEX('Inputs (2)'!$D$62:$AL$62,MATCH(V$7&amp;"",'Inputs (2)'!$D$2:$AL$2,0)),"")</f>
        <v>20819</v>
      </c>
      <c r="W39" s="270">
        <f>IF(COUNT(S39:V39)=4,SUM(S39:V39),"")</f>
        <v>69473</v>
      </c>
      <c r="X39" s="269">
        <f>IFERROR(INDEX('Inputs (2)'!$D$62:$AL$62,MATCH(X$7&amp;"",'Inputs (2)'!$D$2:$AL$2,0)),"")</f>
        <v>16372</v>
      </c>
      <c r="Y39" s="269">
        <f>IFERROR(INDEX('Inputs (2)'!$D$62:$AL$62,MATCH(Y$7&amp;"",'Inputs (2)'!$D$2:$AL$2,0)),"")</f>
        <v>14728</v>
      </c>
      <c r="Z39" s="269">
        <f>IFERROR(INDEX('Inputs (2)'!$D$62:$AL$62,MATCH(Z$7&amp;"",'Inputs (2)'!$D$2:$AL$2,0)),"")</f>
        <v>15033</v>
      </c>
      <c r="AA39" s="269">
        <f>IFERROR(INDEX('Inputs (2)'!$D$62:$AL$62,MATCH(AA$7&amp;"",'Inputs (2)'!$D$2:$AL$2,0)),"")</f>
        <v>18513</v>
      </c>
      <c r="AB39" s="270">
        <f>IF(COUNT(X39:AA39)=4,SUM(X39:AA39),"")</f>
        <v>64646</v>
      </c>
      <c r="AC39" s="269">
        <f>IFERROR(INDEX('Inputs (2)'!$D$62:$AL$62,MATCH(AC$7&amp;"",'Inputs (2)'!$D$2:$AL$2,0)),"")</f>
        <v>16002</v>
      </c>
      <c r="AD39" s="269">
        <f>IFERROR(INDEX('Inputs (2)'!$D$62:$AL$62,MATCH(AD$7&amp;"",'Inputs (2)'!$D$2:$AL$2,0)),"")</f>
        <v>15369</v>
      </c>
      <c r="AE39" s="269">
        <f>IFERROR(INDEX('Inputs (2)'!$D$62:$AL$62,MATCH(AE$7&amp;"",'Inputs (2)'!$D$2:$AL$2,0)),"")</f>
        <v>14493</v>
      </c>
      <c r="AF39" s="269">
        <f>IFERROR(INDEX('Inputs (2)'!$D$62:$AL$62,MATCH(AF$7&amp;"",'Inputs (2)'!$D$2:$AL$2,0)),"")</f>
        <v>25526</v>
      </c>
      <c r="AG39" s="270">
        <f>IF(COUNT(AC39:AF39)=4,SUM(AC39:AF39),"")</f>
        <v>71390</v>
      </c>
      <c r="AH39" s="270">
        <f>IFERROR(INDEX('Inputs (2)'!$D$62:$AL$62,MATCH(AH$7&amp;"",'Inputs (2)'!$D$2:$AL$2,0)),"")</f>
        <v>20497</v>
      </c>
      <c r="AI39" s="270">
        <f>IFERROR(INDEX('Inputs (2)'!$D$62:$AL$62,MATCH(AI$7&amp;"",'Inputs (2)'!$D$2:$AL$2,0)),"")</f>
        <v>18816</v>
      </c>
    </row>
    <row r="40">
      <c r="C40" s="268" t="inlineStr">
        <is>
          <t xml:space="preserve">   Japão</t>
        </is>
      </c>
      <c r="D40" s="269" t="str">
        <f>IFERROR(INDEX('Inputs (2)'!$D$63:$AL$63,MATCH(D$7&amp;"",'Inputs (2)'!$D$2:$AL$2,0)),"")</f>
        <v/>
      </c>
      <c r="E40" s="269" t="str">
        <f>IFERROR(INDEX('Inputs (2)'!$D$63:$AL$63,MATCH(E$7&amp;"",'Inputs (2)'!$D$2:$AL$2,0)),"")</f>
        <v/>
      </c>
      <c r="F40" s="269" t="str">
        <f>IFERROR(INDEX('Inputs (2)'!$D$63:$AL$63,MATCH(F$7&amp;"",'Inputs (2)'!$D$2:$AL$2,0)),"")</f>
        <v/>
      </c>
      <c r="G40" s="269" t="str">
        <f>IFERROR(INDEX('Inputs (2)'!$D$63:$AL$63,MATCH(G$7&amp;"",'Inputs (2)'!$D$2:$AL$2,0)),"")</f>
        <v/>
      </c>
      <c r="H40" s="270" t="str">
        <f>IF(COUNT(D40:G40)=4,SUM(D40:G40),"")</f>
        <v/>
      </c>
      <c r="I40" s="269">
        <f>IFERROR(INDEX('Inputs (2)'!$D$63:$AL$63,MATCH(I$7&amp;"",'Inputs (2)'!$D$2:$AL$2,0)),"")</f>
        <v>7742</v>
      </c>
      <c r="J40" s="269">
        <f>IFERROR(INDEX('Inputs (2)'!$D$63:$AL$63,MATCH(J$7&amp;"",'Inputs (2)'!$D$2:$AL$2,0)),"")</f>
        <v>6464</v>
      </c>
      <c r="K40" s="269">
        <f>IFERROR(INDEX('Inputs (2)'!$D$63:$AL$63,MATCH(K$7&amp;"",'Inputs (2)'!$D$2:$AL$2,0)),"")</f>
        <v>5991</v>
      </c>
      <c r="L40" s="269">
        <f>IFERROR(INDEX('Inputs (2)'!$D$63:$AL$63,MATCH(L$7&amp;"",'Inputs (2)'!$D$2:$AL$2,0)),"")</f>
        <v>7107</v>
      </c>
      <c r="M40" s="270">
        <f>IF(COUNT(I40:L40)=4,SUM(I40:L40),"")</f>
        <v>27304</v>
      </c>
      <c r="N40" s="269">
        <f>IFERROR(INDEX('Inputs (2)'!$D$63:$AL$63,MATCH(N$7&amp;"",'Inputs (2)'!$D$2:$AL$2,0)),"")</f>
        <v>7724</v>
      </c>
      <c r="O40" s="269">
        <f>IFERROR(INDEX('Inputs (2)'!$D$63:$AL$63,MATCH(O$7&amp;"",'Inputs (2)'!$D$2:$AL$2,0)),"")</f>
        <v>5446</v>
      </c>
      <c r="P40" s="269">
        <f>IFERROR(INDEX('Inputs (2)'!$D$63:$AL$63,MATCH(P$7&amp;"",'Inputs (2)'!$D$2:$AL$2,0)),"")</f>
        <v>5700</v>
      </c>
      <c r="Q40" s="269">
        <f>IFERROR(INDEX('Inputs (2)'!$D$63:$AL$63,MATCH(Q$7&amp;"",'Inputs (2)'!$D$2:$AL$2,0)),"")</f>
        <v>6755</v>
      </c>
      <c r="R40" s="270">
        <f>IF(COUNT(N40:Q40)=4,SUM(N40:Q40),"")</f>
        <v>25625</v>
      </c>
      <c r="S40" s="269">
        <f>IFERROR(INDEX('Inputs (2)'!$D$63:$AL$63,MATCH(S$7&amp;"",'Inputs (2)'!$D$2:$AL$2,0)),"")</f>
        <v>7176</v>
      </c>
      <c r="T40" s="269">
        <f>IFERROR(INDEX('Inputs (2)'!$D$63:$AL$63,MATCH(T$7&amp;"",'Inputs (2)'!$D$2:$AL$2,0)),"")</f>
        <v>4821</v>
      </c>
      <c r="U40" s="269">
        <f>IFERROR(INDEX('Inputs (2)'!$D$63:$AL$63,MATCH(U$7&amp;"",'Inputs (2)'!$D$2:$AL$2,0)),"")</f>
        <v>5505</v>
      </c>
      <c r="V40" s="269">
        <f>IFERROR(INDEX('Inputs (2)'!$D$63:$AL$63,MATCH(V$7&amp;"",'Inputs (2)'!$D$2:$AL$2,0)),"")</f>
        <v>7767</v>
      </c>
      <c r="W40" s="270">
        <f>IF(COUNT(S40:V40)=4,SUM(S40:V40),"")</f>
        <v>25269</v>
      </c>
      <c r="X40" s="269">
        <f>IFERROR(INDEX('Inputs (2)'!$D$63:$AL$63,MATCH(X$7&amp;"",'Inputs (2)'!$D$2:$AL$2,0)),"")</f>
        <v>6262</v>
      </c>
      <c r="Y40" s="269">
        <f>IFERROR(INDEX('Inputs (2)'!$D$63:$AL$63,MATCH(Y$7&amp;"",'Inputs (2)'!$D$2:$AL$2,0)),"")</f>
        <v>5097</v>
      </c>
      <c r="Z40" s="269">
        <f>IFERROR(INDEX('Inputs (2)'!$D$63:$AL$63,MATCH(Z$7&amp;"",'Inputs (2)'!$D$2:$AL$2,0)),"")</f>
        <v>5926</v>
      </c>
      <c r="AA40" s="269">
        <f>IFERROR(INDEX('Inputs (2)'!$D$63:$AL$63,MATCH(AA$7&amp;"",'Inputs (2)'!$D$2:$AL$2,0)),"")</f>
        <v>8987</v>
      </c>
      <c r="AB40" s="270">
        <f>IF(COUNT(X40:AA40)=4,SUM(X40:AA40),"")</f>
        <v>26272</v>
      </c>
      <c r="AC40" s="269">
        <f>IFERROR(INDEX('Inputs (2)'!$D$63:$AL$63,MATCH(AC$7&amp;"",'Inputs (2)'!$D$2:$AL$2,0)),"")</f>
        <v>7298</v>
      </c>
      <c r="AD40" s="269">
        <f>IFERROR(INDEX('Inputs (2)'!$D$63:$AL$63,MATCH(AD$7&amp;"",'Inputs (2)'!$D$2:$AL$2,0)),"")</f>
        <v>5782</v>
      </c>
      <c r="AE40" s="269">
        <f>IFERROR(INDEX('Inputs (2)'!$D$63:$AL$63,MATCH(AE$7&amp;"",'Inputs (2)'!$D$2:$AL$2,0)),"")</f>
        <v>6636</v>
      </c>
      <c r="AF40" s="269">
        <f>IFERROR(INDEX('Inputs (2)'!$D$63:$AL$63,MATCH(AF$7&amp;"",'Inputs (2)'!$D$2:$AL$2,0)),"")</f>
        <v>9413</v>
      </c>
      <c r="AG40" s="270">
        <f>IF(COUNT(AC40:AF40)=4,SUM(AC40:AF40),"")</f>
        <v>29129</v>
      </c>
      <c r="AH40" s="270">
        <f>IFERROR(INDEX('Inputs (2)'!$D$63:$AL$63,MATCH(AH$7&amp;"",'Inputs (2)'!$D$2:$AL$2,0)),"")</f>
        <v>8401</v>
      </c>
      <c r="AI40" s="270">
        <f>IFERROR(INDEX('Inputs (2)'!$D$63:$AL$63,MATCH(AI$7&amp;"",'Inputs (2)'!$D$2:$AL$2,0)),"")</f>
        <v>6554</v>
      </c>
    </row>
    <row r="41">
      <c r="C41" s="268" t="inlineStr">
        <is>
          <t xml:space="preserve">   Resto da Ásia-Pacífico</t>
        </is>
      </c>
      <c r="D41" s="269" t="str">
        <f>IFERROR(INDEX('Inputs (2)'!$D$64:$AL$64,MATCH(D$7&amp;"",'Inputs (2)'!$D$2:$AL$2,0)),"")</f>
        <v/>
      </c>
      <c r="E41" s="269" t="str">
        <f>IFERROR(INDEX('Inputs (2)'!$D$64:$AL$64,MATCH(E$7&amp;"",'Inputs (2)'!$D$2:$AL$2,0)),"")</f>
        <v/>
      </c>
      <c r="F41" s="269" t="str">
        <f>IFERROR(INDEX('Inputs (2)'!$D$64:$AL$64,MATCH(F$7&amp;"",'Inputs (2)'!$D$2:$AL$2,0)),"")</f>
        <v/>
      </c>
      <c r="G41" s="269" t="str">
        <f>IFERROR(INDEX('Inputs (2)'!$D$64:$AL$64,MATCH(G$7&amp;"",'Inputs (2)'!$D$2:$AL$2,0)),"")</f>
        <v/>
      </c>
      <c r="H41" s="270" t="str">
        <f>IF(COUNT(D41:G41)=4,SUM(D41:G41),"")</f>
        <v/>
      </c>
      <c r="I41" s="269">
        <f>IFERROR(INDEX('Inputs (2)'!$D$64:$AL$64,MATCH(I$7&amp;"",'Inputs (2)'!$D$2:$AL$2,0)),"")</f>
        <v>7544</v>
      </c>
      <c r="J41" s="269">
        <f>IFERROR(INDEX('Inputs (2)'!$D$64:$AL$64,MATCH(J$7&amp;"",'Inputs (2)'!$D$2:$AL$2,0)),"")</f>
        <v>5395</v>
      </c>
      <c r="K41" s="269">
        <f>IFERROR(INDEX('Inputs (2)'!$D$64:$AL$64,MATCH(K$7&amp;"",'Inputs (2)'!$D$2:$AL$2,0)),"")</f>
        <v>5192</v>
      </c>
      <c r="L41" s="269">
        <f>IFERROR(INDEX('Inputs (2)'!$D$64:$AL$64,MATCH(L$7&amp;"",'Inputs (2)'!$D$2:$AL$2,0)),"")</f>
        <v>9810</v>
      </c>
      <c r="M41" s="270">
        <f>IF(COUNT(I41:L41)=4,SUM(I41:L41),"")</f>
        <v>27941</v>
      </c>
      <c r="N41" s="269">
        <f>IFERROR(INDEX('Inputs (2)'!$D$64:$AL$64,MATCH(N$7&amp;"",'Inputs (2)'!$D$2:$AL$2,0)),"")</f>
        <v>7042</v>
      </c>
      <c r="O41" s="269">
        <f>IFERROR(INDEX('Inputs (2)'!$D$64:$AL$64,MATCH(O$7&amp;"",'Inputs (2)'!$D$2:$AL$2,0)),"")</f>
        <v>6150</v>
      </c>
      <c r="P41" s="269">
        <f>IFERROR(INDEX('Inputs (2)'!$D$64:$AL$64,MATCH(P$7&amp;"",'Inputs (2)'!$D$2:$AL$2,0)),"")</f>
        <v>6373</v>
      </c>
      <c r="Q41" s="269">
        <f>IFERROR(INDEX('Inputs (2)'!$D$64:$AL$64,MATCH(Q$7&amp;"",'Inputs (2)'!$D$2:$AL$2,0)),"")</f>
        <v>9535</v>
      </c>
      <c r="R41" s="270">
        <f>IF(COUNT(N41:Q41)=4,SUM(N41:Q41),"")</f>
        <v>29100</v>
      </c>
      <c r="S41" s="269">
        <f>IFERROR(INDEX('Inputs (2)'!$D$64:$AL$64,MATCH(S$7&amp;"",'Inputs (2)'!$D$2:$AL$2,0)),"")</f>
        <v>8119</v>
      </c>
      <c r="T41" s="269">
        <f>IFERROR(INDEX('Inputs (2)'!$D$64:$AL$64,MATCH(T$7&amp;"",'Inputs (2)'!$D$2:$AL$2,0)),"")</f>
        <v>5630</v>
      </c>
      <c r="U41" s="269">
        <f>IFERROR(INDEX('Inputs (2)'!$D$64:$AL$64,MATCH(U$7&amp;"",'Inputs (2)'!$D$2:$AL$2,0)),"")</f>
        <v>6331</v>
      </c>
      <c r="V41" s="269">
        <f>IFERROR(INDEX('Inputs (2)'!$D$64:$AL$64,MATCH(V$7&amp;"",'Inputs (2)'!$D$2:$AL$2,0)),"")</f>
        <v>10162</v>
      </c>
      <c r="W41" s="270">
        <f>IF(COUNT(S41:V41)=4,SUM(S41:V41),"")</f>
        <v>30242</v>
      </c>
      <c r="X41" s="269">
        <f>IFERROR(INDEX('Inputs (2)'!$D$64:$AL$64,MATCH(X$7&amp;"",'Inputs (2)'!$D$2:$AL$2,0)),"")</f>
        <v>6723</v>
      </c>
      <c r="Y41" s="269">
        <f>IFERROR(INDEX('Inputs (2)'!$D$64:$AL$64,MATCH(Y$7&amp;"",'Inputs (2)'!$D$2:$AL$2,0)),"")</f>
        <v>6390</v>
      </c>
      <c r="Z41" s="269">
        <f>IFERROR(INDEX('Inputs (2)'!$D$64:$AL$64,MATCH(Z$7&amp;"",'Inputs (2)'!$D$2:$AL$2,0)),"")</f>
        <v>7383</v>
      </c>
      <c r="AA41" s="269">
        <f>IFERROR(INDEX('Inputs (2)'!$D$64:$AL$64,MATCH(AA$7&amp;"",'Inputs (2)'!$D$2:$AL$2,0)),"")</f>
        <v>10291</v>
      </c>
      <c r="AB41" s="270">
        <f>IF(COUNT(X41:AA41)=4,SUM(X41:AA41),"")</f>
        <v>30787</v>
      </c>
      <c r="AC41" s="269">
        <f>IFERROR(INDEX('Inputs (2)'!$D$64:$AL$64,MATCH(AC$7&amp;"",'Inputs (2)'!$D$2:$AL$2,0)),"")</f>
        <v>7290</v>
      </c>
      <c r="AD41" s="269">
        <f>IFERROR(INDEX('Inputs (2)'!$D$64:$AL$64,MATCH(AD$7&amp;"",'Inputs (2)'!$D$2:$AL$2,0)),"")</f>
        <v>7673</v>
      </c>
      <c r="AE41" s="269">
        <f>IFERROR(INDEX('Inputs (2)'!$D$64:$AL$64,MATCH(AE$7&amp;"",'Inputs (2)'!$D$2:$AL$2,0)),"")</f>
        <v>8442</v>
      </c>
      <c r="AF41" s="269">
        <f>IFERROR(INDEX('Inputs (2)'!$D$64:$AL$64,MATCH(AF$7&amp;"",'Inputs (2)'!$D$2:$AL$2,0)),"")</f>
        <v>12142</v>
      </c>
      <c r="AG41" s="270">
        <f>IF(COUNT(AC41:AF41)=4,SUM(AC41:AF41),"")</f>
        <v>35547</v>
      </c>
      <c r="AH41" s="270">
        <f>IFERROR(INDEX('Inputs (2)'!$D$64:$AL$64,MATCH(AH$7&amp;"",'Inputs (2)'!$D$2:$AL$2,0)),"")</f>
        <v>9138</v>
      </c>
      <c r="AI41" s="270">
        <f>IFERROR(INDEX('Inputs (2)'!$D$64:$AL$64,MATCH(AI$7&amp;"",'Inputs (2)'!$D$2:$AL$2,0)),"")</f>
        <v>8871</v>
      </c>
    </row>
    <row r="42">
      <c r="C42" s="271" t="inlineStr">
        <is>
          <t>Total dos segmentos</t>
        </is>
      </c>
      <c r="D42" s="269" t="str">
        <f>IF(COUNT(D37,D38,D39,D40,D41)=0,"",N(D37)+N(D38)+N(D39)+N(D40)+N(D41))</f>
        <v/>
      </c>
      <c r="E42" s="269" t="str">
        <f>IF(COUNT(E37,E38,E39,E40,E41)=0,"",N(E37)+N(E38)+N(E39)+N(E40)+N(E41))</f>
        <v/>
      </c>
      <c r="F42" s="269" t="str">
        <f>IF(COUNT(F37,F38,F39,F40,F41)=0,"",N(F37)+N(F38)+N(F39)+N(F40)+N(F41))</f>
        <v/>
      </c>
      <c r="G42" s="269" t="str">
        <f>IF(COUNT(G37,G38,G39,G40,G41)=0,"",N(G37)+N(G38)+N(G39)+N(G40)+N(G41))</f>
        <v/>
      </c>
      <c r="H42" s="270" t="str">
        <f>IF(COUNT(H37,H38,H39,H40,H41)=0,"",N(H37)+N(H38)+N(H39)+N(H40)+N(H41))</f>
        <v/>
      </c>
      <c r="I42" s="269">
        <f>IF(COUNT(I37,I38,I39,I40,I41)=0,"",N(I37)+N(I38)+N(I39)+N(I40)+N(I41))</f>
        <v>89584</v>
      </c>
      <c r="J42" s="269">
        <f>IF(COUNT(J37,J38,J39,J40,J41)=0,"",N(J37)+N(J38)+N(J39)+N(J40)+N(J41))</f>
        <v>81434</v>
      </c>
      <c r="K42" s="269">
        <f>IF(COUNT(K37,K38,K39,K40,K41)=0,"",N(K37)+N(K38)+N(K39)+N(K40)+N(K41))</f>
        <v>83360</v>
      </c>
      <c r="L42" s="269">
        <f>IF(COUNT(L37,L38,L39,L40,L41)=0,"",N(L37)+N(L38)+N(L39)+N(L40)+N(L41))</f>
        <v>123945</v>
      </c>
      <c r="M42" s="270">
        <f>IF(COUNT(M37,M38,M39,M40,M41)=0,"",N(M37)+N(M38)+N(M39)+N(M40)+N(M41))</f>
        <v>378323</v>
      </c>
      <c r="N42" s="269">
        <f>IF(COUNT(N37,N38,N39,N40,N41)=0,"",N(N37)+N(N38)+N(N39)+N(N40)+N(N41))</f>
        <v>97278</v>
      </c>
      <c r="O42" s="269">
        <f>IF(COUNT(O37,O38,O39,O40,O41)=0,"",N(O37)+N(O38)+N(O39)+N(O40)+N(O41))</f>
        <v>82959</v>
      </c>
      <c r="P42" s="269">
        <f>IF(COUNT(P37,P38,P39,P40,P41)=0,"",N(P37)+N(P38)+N(P39)+N(P40)+N(P41))</f>
        <v>90146</v>
      </c>
      <c r="Q42" s="269">
        <f>IF(COUNT(Q37,Q38,Q39,Q40,Q41)=0,"",N(Q37)+N(Q38)+N(Q39)+N(Q40)+N(Q41))</f>
        <v>117154</v>
      </c>
      <c r="R42" s="270">
        <f>IF(COUNT(R37,R38,R39,R40,R41)=0,"",N(R37)+N(R38)+N(R39)+N(R40)+N(R41))</f>
        <v>387537</v>
      </c>
      <c r="S42" s="269">
        <f>IF(COUNT(S37,S38,S39,S40,S41)=0,"",N(S37)+N(S38)+N(S39)+N(S40)+N(S41))</f>
        <v>94836</v>
      </c>
      <c r="T42" s="269">
        <f>IF(COUNT(T37,T38,T39,T40,T41)=0,"",N(T37)+N(T38)+N(T39)+N(T40)+N(T41))</f>
        <v>81797</v>
      </c>
      <c r="U42" s="269">
        <f>IF(COUNT(U37,U38,U39,U40,U41)=0,"",N(U37)+N(U38)+N(U39)+N(U40)+N(U41))</f>
        <v>89498</v>
      </c>
      <c r="V42" s="269">
        <f>IF(COUNT(V37,V38,V39,V40,V41)=0,"",N(V37)+N(V38)+N(V39)+N(V40)+N(V41))</f>
        <v>119575</v>
      </c>
      <c r="W42" s="270">
        <f>IF(COUNT(W37,W38,W39,W40,W41)=0,"",N(W37)+N(W38)+N(W39)+N(W40)+N(W41))</f>
        <v>385706</v>
      </c>
      <c r="X42" s="269">
        <f>IF(COUNT(X37,X38,X39,X40,X41)=0,"",N(X37)+N(X38)+N(X39)+N(X40)+N(X41))</f>
        <v>90753</v>
      </c>
      <c r="Y42" s="269">
        <f>IF(COUNT(Y37,Y38,Y39,Y40,Y41)=0,"",N(Y37)+N(Y38)+N(Y39)+N(Y40)+N(Y41))</f>
        <v>85777</v>
      </c>
      <c r="Z42" s="269">
        <f>IF(COUNT(Z37,Z38,Z39,Z40,Z41)=0,"",N(Z37)+N(Z38)+N(Z39)+N(Z40)+N(Z41))</f>
        <v>94930</v>
      </c>
      <c r="AA42" s="269">
        <f>IF(COUNT(AA37,AA38,AA39,AA40,AA41)=0,"",N(AA37)+N(AA38)+N(AA39)+N(AA40)+N(AA41))</f>
        <v>124300</v>
      </c>
      <c r="AB42" s="270">
        <f>IF(COUNT(AB37,AB38,AB39,AB40,AB41)=0,"",N(AB37)+N(AB38)+N(AB39)+N(AB40)+N(AB41))</f>
        <v>395760</v>
      </c>
      <c r="AC42" s="269">
        <f>IF(COUNT(AC37,AC38,AC39,AC40,AC41)=0,"",N(AC37)+N(AC38)+N(AC39)+N(AC40)+N(AC41))</f>
        <v>95359</v>
      </c>
      <c r="AD42" s="269">
        <f>IF(COUNT(AD37,AD38,AD39,AD40,AD41)=0,"",N(AD37)+N(AD38)+N(AD39)+N(AD40)+N(AD41))</f>
        <v>94036</v>
      </c>
      <c r="AE42" s="269">
        <f>IF(COUNT(AE37,AE38,AE39,AE40,AE41)=0,"",N(AE37)+N(AE38)+N(AE39)+N(AE40)+N(AE41))</f>
        <v>102466</v>
      </c>
      <c r="AF42" s="269">
        <f>IF(COUNT(AF37,AF38,AF39,AF40,AF41)=0,"",N(AF37)+N(AF38)+N(AF39)+N(AF40)+N(AF41))</f>
        <v>143756</v>
      </c>
      <c r="AG42" s="270">
        <f>IF(COUNT(AG37,AG38,AG39,AG40,AG41)=0,"",N(AG37)+N(AG38)+N(AG39)+N(AG40)+N(AG41))</f>
        <v>435617</v>
      </c>
      <c r="AH42" s="270">
        <f>IF(COUNT(AH37,AH38,AH39,AH40,AH41)=0,"",N(AH37)+N(AH38)+N(AH39)+N(AH40)+N(AH41))</f>
        <v>111184</v>
      </c>
      <c r="AI42" s="270">
        <f>IF(COUNT(AI37,AI38,AI39,AI40,AI41)=0,"",N(AI37)+N(AI38)+N(AI39)+N(AI40)+N(AI41))</f>
        <v>109417</v>
      </c>
    </row>
    <row r="43">
      <c r="C43" s="268" t="inlineStr">
        <is>
          <t xml:space="preserve">   % YoY Grande China</t>
        </is>
      </c>
      <c r="D43" s="272" t="str">
        <f>""</f>
        <v/>
      </c>
      <c r="E43" s="272" t="str">
        <f>""</f>
        <v/>
      </c>
      <c r="F43" s="272" t="str">
        <f>""</f>
        <v/>
      </c>
      <c r="G43" s="272" t="str">
        <f>""</f>
        <v/>
      </c>
      <c r="H43" s="273" t="str">
        <f>""</f>
        <v/>
      </c>
      <c r="I43" s="272" t="str">
        <f>IFERROR(I39/D39-1,"")</f>
        <v/>
      </c>
      <c r="J43" s="272" t="str">
        <f>IFERROR(J39/E39-1,"")</f>
        <v/>
      </c>
      <c r="K43" s="272" t="str">
        <f>IFERROR(K39/F39-1,"")</f>
        <v/>
      </c>
      <c r="L43" s="272" t="str">
        <f>IFERROR(L39/G39-1,"")</f>
        <v/>
      </c>
      <c r="M43" s="273" t="str">
        <f>IFERROR(M39/H39-1,"")</f>
        <v/>
      </c>
      <c r="N43" s="272">
        <f>IFERROR(N39/I39-1,"")</f>
        <v>0.0346908844765343</v>
      </c>
      <c r="O43" s="272">
        <f>IFERROR(O39/J39-1,"")</f>
        <v>-0.0107031567538274</v>
      </c>
      <c r="P43" s="272">
        <f>IFERROR(P39/K39-1,"")</f>
        <v>0.062281123394905</v>
      </c>
      <c r="Q43" s="272">
        <f>IFERROR(Q39/L39-1,"")</f>
        <v>-0.0728386921615017</v>
      </c>
      <c r="R43" s="273">
        <f>IFERROR(R39/M39-1,"")</f>
        <v>-0.00705694985995942</v>
      </c>
      <c r="S43" s="272">
        <f>IFERROR(S39/N39-1,"")</f>
        <v>-0.0289483726762253</v>
      </c>
      <c r="T43" s="272">
        <f>IFERROR(T39/O39-1,"")</f>
        <v>0.0790194467269241</v>
      </c>
      <c r="U43" s="272">
        <f>IFERROR(U39/P39-1,"")</f>
        <v>-0.0249515190691662</v>
      </c>
      <c r="V43" s="272">
        <f>IFERROR(V39/Q39-1,"")</f>
        <v>-0.129094331729764</v>
      </c>
      <c r="W43" s="273">
        <f>IFERROR(W39/R39-1,"")</f>
        <v>-0.0393932689914549</v>
      </c>
      <c r="X43" s="272">
        <f>IFERROR(X39/S39-1,"")</f>
        <v>-0.0808443745789356</v>
      </c>
      <c r="Y43" s="272">
        <f>IFERROR(Y39/T39-1,"")</f>
        <v>-0.0653636248254855</v>
      </c>
      <c r="Z43" s="272">
        <f>IFERROR(Z39/U39-1,"")</f>
        <v>-0.0033810660302307</v>
      </c>
      <c r="AA43" s="272">
        <f>IFERROR(AA39/V39-1,"")</f>
        <v>-0.110764205773572</v>
      </c>
      <c r="AB43" s="273">
        <f>IFERROR(AB39/W39-1,"")</f>
        <v>-0.0694802297295353</v>
      </c>
      <c r="AC43" s="272">
        <f>IFERROR(AC39/X39-1,"")</f>
        <v>-0.0225995602247741</v>
      </c>
      <c r="AD43" s="272">
        <f>IFERROR(AD39/Y39-1,"")</f>
        <v>0.0435225420966865</v>
      </c>
      <c r="AE43" s="272">
        <f>IFERROR(AE39/Z39-1,"")</f>
        <v>-0.0359209738575135</v>
      </c>
      <c r="AF43" s="272">
        <f>IFERROR(AF39/AA39-1,"")</f>
        <v>0.378814886836277</v>
      </c>
      <c r="AG43" s="273">
        <f>IFERROR(AG39/AB39-1,"")</f>
        <v>0.104321999814374</v>
      </c>
      <c r="AH43" s="273">
        <f>IFERROR(AH39/AC39-1,"")</f>
        <v>0.2809023872016</v>
      </c>
      <c r="AI43" s="273">
        <f>IFERROR(AI39/AD39-1,"")</f>
        <v>0.22428264688659</v>
      </c>
    </row>
    <row r="44">
      <c r="C44" s="268" t="inlineStr">
        <is>
          <t xml:space="preserve">   % Grande China na receita</t>
        </is>
      </c>
      <c r="D44" s="272" t="str">
        <f>IFERROR(D39/D42,"")</f>
        <v/>
      </c>
      <c r="E44" s="272" t="str">
        <f>IFERROR(E39/E42,"")</f>
        <v/>
      </c>
      <c r="F44" s="272" t="str">
        <f>IFERROR(F39/F42,"")</f>
        <v/>
      </c>
      <c r="G44" s="272" t="str">
        <f>IFERROR(G39/G42,"")</f>
        <v/>
      </c>
      <c r="H44" s="273" t="str">
        <f>IFERROR(H39/H42,"")</f>
        <v/>
      </c>
      <c r="I44" s="272">
        <f>IFERROR(I39/I42,"")</f>
        <v>0.197892480800143</v>
      </c>
      <c r="J44" s="272">
        <f>IFERROR(J39/J42,"")</f>
        <v>0.181275634255962</v>
      </c>
      <c r="K44" s="272">
        <f>IFERROR(K39/K42,"")</f>
        <v>0.17470009596929</v>
      </c>
      <c r="L44" s="272">
        <f>IFERROR(L39/L42,"")</f>
        <v>0.208019686151115</v>
      </c>
      <c r="M44" s="273">
        <f>IFERROR(M39/M42,"")</f>
        <v>0.192523320020194</v>
      </c>
      <c r="N44" s="272">
        <f>IFERROR(N39/N42,"")</f>
        <v>0.188562676041859</v>
      </c>
      <c r="O44" s="272">
        <f>IFERROR(O39/O42,"")</f>
        <v>0.17603876613749</v>
      </c>
      <c r="P44" s="272">
        <f>IFERROR(P39/P42,"")</f>
        <v>0.171610498524616</v>
      </c>
      <c r="Q44" s="272">
        <f>IFERROR(Q39/Q42,"")</f>
        <v>0.204047663758813</v>
      </c>
      <c r="R44" s="273">
        <f>IFERROR(R39/R42,"")</f>
        <v>0.186619600193014</v>
      </c>
      <c r="S44" s="272">
        <f>IFERROR(S39/S42,"")</f>
        <v>0.187818971698511</v>
      </c>
      <c r="T44" s="272">
        <f>IFERROR(T39/T42,"")</f>
        <v>0.192647652114381</v>
      </c>
      <c r="U44" s="272">
        <f>IFERROR(U39/U42,"")</f>
        <v>0.168540079107913</v>
      </c>
      <c r="V44" s="272">
        <f>IFERROR(V39/V42,"")</f>
        <v>0.174108300229981</v>
      </c>
      <c r="W44" s="273">
        <f>IFERROR(W39/W42,"")</f>
        <v>0.180119054409317</v>
      </c>
      <c r="X44" s="272">
        <f>IFERROR(X39/X42,"")</f>
        <v>0.180401749804414</v>
      </c>
      <c r="Y44" s="272">
        <f>IFERROR(Y39/Y42,"")</f>
        <v>0.171701038739989</v>
      </c>
      <c r="Z44" s="272">
        <f>IFERROR(Z39/Z42,"")</f>
        <v>0.158358790687875</v>
      </c>
      <c r="AA44" s="272">
        <f>IFERROR(AA39/AA42,"")</f>
        <v>0.148938053097345</v>
      </c>
      <c r="AB44" s="273">
        <f>IFERROR(AB39/AB42,"")</f>
        <v>0.163346472609662</v>
      </c>
      <c r="AC44" s="272">
        <f>IFERROR(AC39/AC42,"")</f>
        <v>0.167807967784897</v>
      </c>
      <c r="AD44" s="272">
        <f>IFERROR(AD39/AD42,"")</f>
        <v>0.16343740695053</v>
      </c>
      <c r="AE44" s="272">
        <f>IFERROR(AE39/AE42,"")</f>
        <v>0.141442039310601</v>
      </c>
      <c r="AF44" s="272">
        <f>IFERROR(AF39/AF42,"")</f>
        <v>0.17756476251426</v>
      </c>
      <c r="AG44" s="273">
        <f>IFERROR(AG39/AG42,"")</f>
        <v>0.163882493107477</v>
      </c>
      <c r="AH44" s="273">
        <f>IFERROR(AH39/AH42,"")</f>
        <v>0.18435206504533</v>
      </c>
      <c r="AI44" s="273">
        <f>IFERROR(AI39/AI42,"")</f>
        <v>0.171965965069413</v>
      </c>
    </row>
    <row r="45"/>
    <row r="46" hidden="1" outlineLevel="1" customFormat="1" s="43">
      <c r="A46" s="36" t="n"/>
      <c r="B46" s="37" t="n"/>
      <c r="C46" s="45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  <c r="AD46" s="39" t="n"/>
      <c r="AE46" s="39" t="n"/>
      <c r="AF46" s="39" t="n"/>
      <c r="AG46" s="39" t="n"/>
      <c r="AH46" s="39" t="n"/>
      <c r="AI46" s="39" t="n"/>
      <c r="AJ46" s="39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  <c r="BA46" s="39" t="n"/>
      <c r="BB46" s="39" t="n"/>
      <c r="BC46" s="39" t="n"/>
      <c r="BD46" s="39" t="n"/>
      <c r="BE46" s="39" t="n"/>
      <c r="BF46" s="39" t="n"/>
      <c r="BG46" s="39" t="n"/>
      <c r="BH46" s="39" t="n"/>
      <c r="BI46" s="39" t="n"/>
      <c r="BJ46" s="39" t="n"/>
      <c r="BK46" s="39" t="n"/>
      <c r="BL46" s="39" t="n"/>
      <c r="BM46" s="39" t="n"/>
      <c r="BN46" s="39" t="n"/>
      <c r="BO46" s="39" t="n"/>
      <c r="BP46" s="39" t="n"/>
      <c r="BQ46" s="39" t="n"/>
      <c r="BR46" s="39" t="n"/>
      <c r="BS46" s="39" t="n"/>
      <c r="BT46" s="39" t="n"/>
      <c r="BU46" s="39" t="n"/>
      <c r="BV46" s="39" t="n"/>
      <c r="BW46" s="39" t="n"/>
      <c r="BX46" s="39" t="n"/>
      <c r="BY46" s="39" t="n"/>
      <c r="BZ46" s="39" t="n"/>
      <c r="CA46" s="39" t="n"/>
      <c r="CB46" s="39" t="n"/>
      <c r="CC46" s="39" t="n"/>
      <c r="CD46" s="39" t="n"/>
      <c r="CE46" s="39" t="n"/>
      <c r="CF46" s="39" t="n"/>
      <c r="CG46" s="39" t="n"/>
      <c r="CH46" s="39" t="n"/>
      <c r="CI46" s="39" t="n"/>
      <c r="CJ46" s="39" t="n"/>
      <c r="CK46" s="39" t="n"/>
      <c r="CL46" s="39" t="n"/>
      <c r="CM46" s="39" t="n"/>
      <c r="CN46" s="39" t="n"/>
      <c r="CO46" s="39" t="n"/>
      <c r="CP46" s="39" t="n"/>
      <c r="CQ46" s="39" t="n"/>
      <c r="CR46" s="39" t="n"/>
      <c r="CS46" s="39" t="n"/>
      <c r="CT46" s="39" t="n"/>
      <c r="CU46" s="39" t="n"/>
      <c r="CV46" s="39" t="n"/>
      <c r="CW46" s="39" t="n"/>
      <c r="CX46" s="39" t="n"/>
      <c r="CY46" s="39" t="n"/>
    </row>
    <row r="47" hidden="1" outlineLevel="1" customFormat="1" s="43">
      <c r="A47" s="36" t="n"/>
      <c r="B47" s="37" t="n"/>
      <c r="C47" s="45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39" t="n"/>
      <c r="AC47" s="39" t="n"/>
      <c r="AD47" s="39" t="n"/>
      <c r="AE47" s="39" t="n"/>
      <c r="AF47" s="39" t="n"/>
      <c r="AG47" s="39" t="n"/>
      <c r="AH47" s="39" t="n"/>
      <c r="AI47" s="39" t="n"/>
      <c r="AJ47" s="39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  <c r="BA47" s="39" t="n"/>
      <c r="BB47" s="39" t="n"/>
      <c r="BC47" s="39" t="n"/>
      <c r="BD47" s="39" t="n"/>
      <c r="BE47" s="39" t="n"/>
      <c r="BF47" s="39" t="n"/>
      <c r="BG47" s="39" t="n"/>
      <c r="BH47" s="39" t="n"/>
      <c r="BI47" s="39" t="n"/>
      <c r="BJ47" s="39" t="n"/>
      <c r="BK47" s="39" t="n"/>
      <c r="BL47" s="39" t="n"/>
      <c r="BM47" s="39" t="n"/>
      <c r="BN47" s="39" t="n"/>
      <c r="BO47" s="39" t="n"/>
      <c r="BP47" s="39" t="n"/>
      <c r="BQ47" s="39" t="n"/>
      <c r="BR47" s="39" t="n"/>
      <c r="BS47" s="39" t="n"/>
      <c r="BT47" s="39" t="n"/>
      <c r="BU47" s="39" t="n"/>
      <c r="BV47" s="39" t="n"/>
      <c r="BW47" s="39" t="n"/>
      <c r="BX47" s="39" t="n"/>
      <c r="BY47" s="39" t="n"/>
      <c r="BZ47" s="39" t="n"/>
      <c r="CA47" s="39" t="n"/>
      <c r="CB47" s="39" t="n"/>
      <c r="CC47" s="39" t="n"/>
      <c r="CD47" s="39" t="n"/>
      <c r="CE47" s="39" t="n"/>
      <c r="CF47" s="39" t="n"/>
      <c r="CG47" s="39" t="n"/>
      <c r="CH47" s="39" t="n"/>
      <c r="CI47" s="39" t="n"/>
      <c r="CJ47" s="39" t="n"/>
      <c r="CK47" s="39" t="n"/>
      <c r="CL47" s="39" t="n"/>
      <c r="CM47" s="39" t="n"/>
      <c r="CN47" s="39" t="n"/>
      <c r="CO47" s="39" t="n"/>
      <c r="CP47" s="39" t="n"/>
      <c r="CQ47" s="39" t="n"/>
      <c r="CR47" s="39" t="n"/>
      <c r="CS47" s="39" t="n"/>
      <c r="CT47" s="39" t="n"/>
      <c r="CU47" s="39" t="n"/>
      <c r="CV47" s="39" t="n"/>
      <c r="CW47" s="39" t="n"/>
      <c r="CX47" s="39" t="n"/>
      <c r="CY47" s="39" t="n"/>
    </row>
    <row r="48" collapsed="1">
      <c r="C48" s="13" t="inlineStr">
        <is>
          <t>COGS (cash)</t>
        </is>
      </c>
      <c r="D48" s="46" t="n"/>
      <c r="E48" s="46" t="n"/>
      <c r="F48" s="46" t="n"/>
      <c r="G48" s="46" t="n"/>
      <c r="H48" s="12" t="n"/>
      <c r="I48" s="46">
        <f>'Inputs (2)'!D5</f>
        <v>-51505</v>
      </c>
      <c r="J48" s="46">
        <f>'Inputs (2)'!E5</f>
        <v>-46179</v>
      </c>
      <c r="K48" s="46">
        <f>'Inputs (2)'!F5</f>
        <v>-48186</v>
      </c>
      <c r="L48" s="46">
        <f>'Inputs (2)'!G5</f>
        <v>-69702</v>
      </c>
      <c r="M48" s="12">
        <f>'Inputs (2)'!H5</f>
        <v>-215572</v>
      </c>
      <c r="N48" s="46">
        <f>'Inputs (2)'!I5</f>
        <v>-54719</v>
      </c>
      <c r="O48" s="46">
        <f>'Inputs (2)'!J5</f>
        <v>-47074</v>
      </c>
      <c r="P48" s="46">
        <f>'Inputs (2)'!K5</f>
        <v>-52051</v>
      </c>
      <c r="Q48" s="46">
        <f>'Inputs (2)'!L5</f>
        <v>-66822</v>
      </c>
      <c r="R48" s="12">
        <f>'Inputs (2)'!M5</f>
        <v>-220666</v>
      </c>
      <c r="S48" s="46">
        <f>'Inputs (2)'!N5</f>
        <v>-52860</v>
      </c>
      <c r="T48" s="46">
        <f>'Inputs (2)'!O5</f>
        <v>-45384</v>
      </c>
      <c r="U48" s="46">
        <f>'Inputs (2)'!P5</f>
        <v>-49071</v>
      </c>
      <c r="V48" s="46">
        <f>'Inputs (2)'!Q5</f>
        <v>-64720</v>
      </c>
      <c r="W48" s="12">
        <f>'Inputs (2)'!R5</f>
        <v>-212035</v>
      </c>
      <c r="X48" s="46">
        <f>'Inputs (2)'!S5</f>
        <v>-48482</v>
      </c>
      <c r="Y48" s="46">
        <f>'Inputs (2)'!T5</f>
        <v>-46099</v>
      </c>
      <c r="Z48" s="46">
        <f>'Inputs (2)'!U5</f>
        <v>-51051</v>
      </c>
      <c r="AA48" s="46">
        <f>'Inputs (2)'!V5</f>
        <v>-66025</v>
      </c>
      <c r="AB48" s="12">
        <f>'Inputs (2)'!W5</f>
        <v>-211657</v>
      </c>
      <c r="AC48" s="46">
        <f>'Inputs (2)'!X5</f>
        <v>-50492</v>
      </c>
      <c r="AD48" s="46">
        <f>'Inputs (2)'!Y5</f>
        <v>-50318</v>
      </c>
      <c r="AE48" s="46">
        <f>'Inputs (2)'!Z5</f>
        <v>-54125</v>
      </c>
      <c r="AF48" s="46">
        <f>'Inputs (2)'!AA5</f>
        <v>-74525</v>
      </c>
      <c r="AG48" s="12">
        <f>'Inputs (2)'!AB5</f>
        <v>-229460</v>
      </c>
      <c r="AH48" s="12">
        <f>'Inputs (2)'!AC5</f>
        <v>-56403</v>
      </c>
      <c r="AI48" s="12">
        <f>'Inputs (2)'!AD5</f>
        <v>-54647</v>
      </c>
      <c r="AJ48" s="12">
        <f>-(1-AJ49)*AJ15</f>
        <v>-59570.2237583426</v>
      </c>
      <c r="AK48" s="12">
        <f>-(1-AK49)*AK15</f>
        <v>-83574.8159058059</v>
      </c>
      <c r="AL48" s="12">
        <f>SUM(AH48:AK48)</f>
        <v>-254195.039664148</v>
      </c>
      <c r="AM48" s="12">
        <f>-(1-AM49)*AM15</f>
        <v>-64638.5704365113</v>
      </c>
      <c r="AN48" s="12">
        <f>-(1-AN49)*AN15</f>
        <v>-63611.2971421406</v>
      </c>
      <c r="AO48" s="12">
        <f>-(1-AO49)*AO15</f>
        <v>-66643.8292569215</v>
      </c>
      <c r="AP48" s="12">
        <f>-(1-AP49)*AP15</f>
        <v>-93498.822230379</v>
      </c>
      <c r="AQ48" s="12">
        <f>SUM(AM48:AP48)</f>
        <v>-288392.519065952</v>
      </c>
      <c r="AR48" s="12">
        <f>-(1-AR49)*AR15</f>
        <v>-71990.8187428984</v>
      </c>
      <c r="AS48" s="12">
        <f>-(1-AS49)*AS15</f>
        <v>-70846.699294788</v>
      </c>
      <c r="AT48" s="12">
        <f>-(1-AT49)*AT15</f>
        <v>-74224.1636838194</v>
      </c>
      <c r="AU48" s="12">
        <f>-(1-AU49)*AU15</f>
        <v>-104133.750458993</v>
      </c>
      <c r="AV48" s="12">
        <f>SUM(AR48:AU48)</f>
        <v>-321195.432180499</v>
      </c>
      <c r="AW48" s="12">
        <f>-(1-AW49)*AW15</f>
        <v>-79819.3869448273</v>
      </c>
      <c r="AX48" s="12">
        <f>-(1-AX49)*AX15</f>
        <v>-78550.8513935654</v>
      </c>
      <c r="AY48" s="12">
        <f>-(1-AY49)*AY15</f>
        <v>-82295.5947048375</v>
      </c>
      <c r="AZ48" s="12">
        <f>-(1-AZ49)*AZ15</f>
        <v>-115457.669006193</v>
      </c>
      <c r="BA48" s="12">
        <f>SUM(AW48:AZ48)</f>
        <v>-356123.502049424</v>
      </c>
      <c r="BB48" s="12">
        <f>-(1-BB49)*BB15</f>
        <v>-88100.1678812711</v>
      </c>
      <c r="BC48" s="12">
        <f>-(1-BC49)*BC15</f>
        <v>-86700.0294022974</v>
      </c>
      <c r="BD48" s="12">
        <f>-(1-BD49)*BD15</f>
        <v>-90833.2672912752</v>
      </c>
      <c r="BE48" s="12">
        <f>-(1-BE49)*BE15</f>
        <v>-127435.70718799</v>
      </c>
      <c r="BF48" s="12">
        <f>SUM(BB48:BE48)</f>
        <v>-393069.171762833</v>
      </c>
      <c r="BG48" s="12" t="n"/>
      <c r="BH48" s="12" t="n"/>
      <c r="BI48" s="12" t="n"/>
      <c r="BJ48" s="12" t="n"/>
      <c r="BK48" s="12" t="n"/>
      <c r="BL48" s="12" t="n"/>
      <c r="BM48" s="12" t="n"/>
      <c r="BN48" s="12" t="n"/>
      <c r="BO48" s="12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n"/>
      <c r="BZ48" s="12" t="n"/>
      <c r="CA48" s="12" t="n"/>
      <c r="CB48" s="12" t="n"/>
      <c r="CC48" s="12" t="n"/>
      <c r="CD48" s="12" t="n"/>
      <c r="CE48" s="12" t="n"/>
      <c r="CF48" s="12" t="n"/>
      <c r="CG48" s="12" t="n"/>
      <c r="CH48" s="12" t="n"/>
      <c r="CI48" s="12" t="n"/>
      <c r="CJ48" s="12" t="n"/>
      <c r="CK48" s="12" t="n"/>
      <c r="CL48" s="12" t="n"/>
      <c r="CM48" s="12" t="n"/>
      <c r="CN48" s="12" t="n"/>
      <c r="CO48" s="12" t="n"/>
      <c r="CP48" s="12" t="n"/>
      <c r="CQ48" s="12" t="n"/>
      <c r="CR48" s="12" t="n"/>
      <c r="CS48" s="12" t="n"/>
      <c r="CT48" s="12" t="n"/>
      <c r="CU48" s="12" t="n"/>
      <c r="CV48" s="12" t="n"/>
      <c r="CW48" s="12" t="n"/>
      <c r="CX48" s="12" t="n"/>
      <c r="CY48" s="12" t="n"/>
    </row>
    <row r="49" hidden="1" outlineLevel="1" customFormat="1" s="3">
      <c r="C49" s="47" t="inlineStr">
        <is>
          <t>% Gross Margin</t>
        </is>
      </c>
      <c r="D49" s="48" t="n"/>
      <c r="E49" s="48" t="n"/>
      <c r="F49" s="48" t="n"/>
      <c r="G49" s="48" t="n"/>
      <c r="H49" s="48" t="n"/>
      <c r="I49" s="48">
        <f>IFERROR((I15+I48)/I$15,"")</f>
        <v>0.425064743704233</v>
      </c>
      <c r="J49" s="48">
        <f>IFERROR((J15+J48)/J$15,"")</f>
        <v>0.432927278532308</v>
      </c>
      <c r="K49" s="48">
        <f>IFERROR((K15+K48)/K$15,"")</f>
        <v>0.421952975047985</v>
      </c>
      <c r="L49" s="48">
        <f>IFERROR((L15+L48)/L$15,"")</f>
        <v>0.43763766186615</v>
      </c>
      <c r="M49" s="48">
        <f>IFERROR((M15+M48)/M$15,"")</f>
        <v>0.430190604324876</v>
      </c>
      <c r="N49" s="48">
        <f>IFERROR((N15+N48)/N$15,"")</f>
        <v>0.437498715022924</v>
      </c>
      <c r="O49" s="48">
        <f>IFERROR((O15+O48)/O$15,"")</f>
        <v>0.432563073325378</v>
      </c>
      <c r="P49" s="48">
        <f>IFERROR((P15+P48)/P$15,"")</f>
        <v>0.422592239256318</v>
      </c>
      <c r="Q49" s="48">
        <f>IFERROR((Q15+Q48)/Q$15,"")</f>
        <v>0.429622548099083</v>
      </c>
      <c r="R49" s="48">
        <f>IFERROR((R15+R48)/R$15,"")</f>
        <v>0.4305937239541</v>
      </c>
      <c r="S49" s="48">
        <f>IFERROR((S15+S48)/S$15,"")</f>
        <v>0.442616727824877</v>
      </c>
      <c r="T49" s="48">
        <f>IFERROR((T15+T48)/T$15,"")</f>
        <v>0.445163025538834</v>
      </c>
      <c r="U49" s="48">
        <f>IFERROR((U15+U48)/U$15,"")</f>
        <v>0.451708418065208</v>
      </c>
      <c r="V49" s="48">
        <f>IFERROR((V15+V48)/V$15,"")</f>
        <v>0.458749738657746</v>
      </c>
      <c r="W49" s="48">
        <f>IFERROR((W15+W48)/W$15,"")</f>
        <v>0.450267820567997</v>
      </c>
      <c r="X49" s="48">
        <f>IFERROR((X15+X48)/X$15,"")</f>
        <v>0.465780745540092</v>
      </c>
      <c r="Y49" s="48">
        <f>IFERROR((Y15+Y48)/Y$15,"")</f>
        <v>0.462571551814589</v>
      </c>
      <c r="Z49" s="48">
        <f>IFERROR((Z15+Z48)/Z$15,"")</f>
        <v>0.462224797219004</v>
      </c>
      <c r="AA49" s="48">
        <f>IFERROR((AA15+AA48)/AA$15,"")</f>
        <v>0.468825422365245</v>
      </c>
      <c r="AB49" s="48">
        <f>IFERROR((AB15+AB48)/AB$15,"")</f>
        <v>0.465188498079644</v>
      </c>
      <c r="AC49" s="48">
        <f>IFERROR((AC15+AC48)/AC$15,"")</f>
        <v>0.470506192388762</v>
      </c>
      <c r="AD49" s="48">
        <f>IFERROR((AD15+AD48)/AD$15,"")</f>
        <v>0.464907056871836</v>
      </c>
      <c r="AE49" s="48">
        <f>IFERROR((AE15+AE48)/AE$15,"")</f>
        <v>0.471776003747585</v>
      </c>
      <c r="AF49" s="41">
        <f>IFERROR((AF15+AF48)/AF$15,"")</f>
        <v>0.481586855505162</v>
      </c>
      <c r="AG49" s="48">
        <f>IFERROR((AG15+AG48)/AG$15,"")</f>
        <v>0.47325288039723</v>
      </c>
      <c r="AH49" s="49">
        <f>IFERROR((AH15+AH48)/AH$15,"")</f>
        <v>0.492705785005037</v>
      </c>
      <c r="AI49" s="49">
        <f>IFERROR((AI15+AI48)/AI$15,"")</f>
        <v>0.500562069879452</v>
      </c>
      <c r="AJ49" s="49">
        <f>Control!$B$19</f>
        <v>0.480340660566306</v>
      </c>
      <c r="AK49" s="49">
        <f>Control!$B$19</f>
        <v>0.480340660566306</v>
      </c>
      <c r="AL49" s="48">
        <f>IFERROR((AL15+AL48)/AL$15,"")</f>
        <v>0.487572380897316</v>
      </c>
      <c r="AM49" s="49">
        <f>Control!$C$19</f>
        <v>0.480340660566306</v>
      </c>
      <c r="AN49" s="49">
        <f>Control!$C$19</f>
        <v>0.480340660566306</v>
      </c>
      <c r="AO49" s="49">
        <f>Control!$C$19</f>
        <v>0.480340660566306</v>
      </c>
      <c r="AP49" s="49">
        <f>Control!$C$19</f>
        <v>0.480340660566306</v>
      </c>
      <c r="AQ49" s="48">
        <f>IFERROR((AQ15+AQ48)/AQ$15,"")</f>
        <v>0.480340660566306</v>
      </c>
      <c r="AR49" s="49">
        <f>Control!$D$19</f>
        <v>0.480340660566306</v>
      </c>
      <c r="AS49" s="49">
        <f>Control!$D$19</f>
        <v>0.480340660566306</v>
      </c>
      <c r="AT49" s="49">
        <f>Control!$D$19</f>
        <v>0.480340660566306</v>
      </c>
      <c r="AU49" s="49">
        <f>Control!$D$19</f>
        <v>0.480340660566306</v>
      </c>
      <c r="AV49" s="48">
        <f>IFERROR((AV15+AV48)/AV$15,"")</f>
        <v>0.480340660566306</v>
      </c>
      <c r="AW49" s="49">
        <f>Control!$E$19</f>
        <v>0.480340660566306</v>
      </c>
      <c r="AX49" s="49">
        <f>Control!$E$19</f>
        <v>0.480340660566306</v>
      </c>
      <c r="AY49" s="49">
        <f>Control!$E$19</f>
        <v>0.480340660566306</v>
      </c>
      <c r="AZ49" s="49">
        <f>Control!$E$19</f>
        <v>0.480340660566306</v>
      </c>
      <c r="BA49" s="48">
        <f>IFERROR((BA15+BA48)/BA$15,"")</f>
        <v>0.480340660566306</v>
      </c>
      <c r="BB49" s="49">
        <f>Control!$F$19</f>
        <v>0.480340660566306</v>
      </c>
      <c r="BC49" s="49">
        <f>Control!$F$19</f>
        <v>0.480340660566306</v>
      </c>
      <c r="BD49" s="49">
        <f>Control!$F$19</f>
        <v>0.480340660566306</v>
      </c>
      <c r="BE49" s="49">
        <f>Control!$F$19</f>
        <v>0.480340660566306</v>
      </c>
      <c r="BF49" s="48">
        <f>IFERROR((BF15+BF48)/BF$15,"")</f>
        <v>0.480340660566306</v>
      </c>
      <c r="BG49" s="49" t="n"/>
      <c r="BH49" s="49" t="n"/>
      <c r="BI49" s="49" t="n"/>
      <c r="BJ49" s="49" t="n"/>
      <c r="BK49" s="48" t="n"/>
      <c r="BL49" s="49" t="n"/>
      <c r="BM49" s="49" t="n"/>
      <c r="BN49" s="49" t="n"/>
      <c r="BO49" s="49" t="n"/>
      <c r="BP49" s="48" t="n"/>
      <c r="BQ49" s="49" t="n"/>
      <c r="BR49" s="49" t="n"/>
      <c r="BS49" s="49" t="n"/>
      <c r="BT49" s="49" t="n"/>
      <c r="BU49" s="48" t="n"/>
      <c r="BV49" s="49" t="n"/>
      <c r="BW49" s="49" t="n"/>
      <c r="BX49" s="49" t="n"/>
      <c r="BY49" s="49" t="n"/>
      <c r="BZ49" s="48" t="n"/>
      <c r="CA49" s="49" t="n"/>
      <c r="CB49" s="49" t="n"/>
      <c r="CC49" s="49" t="n"/>
      <c r="CD49" s="49" t="n"/>
      <c r="CE49" s="48" t="n"/>
      <c r="CF49" s="49" t="n"/>
      <c r="CG49" s="49" t="n"/>
      <c r="CH49" s="49" t="n"/>
      <c r="CI49" s="49" t="n"/>
      <c r="CJ49" s="48" t="n"/>
      <c r="CK49" s="49" t="n"/>
      <c r="CL49" s="49" t="n"/>
      <c r="CM49" s="49" t="n"/>
      <c r="CN49" s="49" t="n"/>
      <c r="CO49" s="48" t="n"/>
      <c r="CP49" s="49" t="n"/>
      <c r="CQ49" s="49" t="n"/>
      <c r="CR49" s="49" t="n"/>
      <c r="CS49" s="49" t="n"/>
      <c r="CT49" s="48" t="n"/>
      <c r="CU49" s="49" t="n"/>
      <c r="CV49" s="49" t="n"/>
      <c r="CW49" s="49" t="n"/>
      <c r="CX49" s="49" t="n"/>
      <c r="CY49" s="48" t="n"/>
    </row>
    <row r="50" hidden="1" outlineLevel="1">
      <c r="C50" s="50" t="n"/>
      <c r="D50" s="50" t="n"/>
      <c r="E50" s="50" t="n"/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  <c r="AA50" s="50" t="n"/>
      <c r="AB50" s="50" t="n"/>
      <c r="AC50" s="50" t="n"/>
      <c r="AD50" s="50" t="n"/>
      <c r="AE50" s="50" t="n"/>
      <c r="AF50" s="50" t="n"/>
      <c r="AG50" s="50" t="n"/>
      <c r="AH50" s="50" t="n"/>
      <c r="AI50" s="50" t="n"/>
      <c r="AJ50" s="50" t="n"/>
      <c r="AK50" s="50" t="n"/>
      <c r="AL50" s="50" t="n"/>
      <c r="AM50" s="50" t="n"/>
      <c r="AN50" s="50" t="n"/>
      <c r="AO50" s="50" t="n"/>
      <c r="AP50" s="50" t="n"/>
      <c r="AQ50" s="50" t="n"/>
      <c r="AR50" s="50" t="n"/>
      <c r="AS50" s="50" t="n"/>
      <c r="AT50" s="50" t="n"/>
      <c r="AU50" s="50" t="n"/>
      <c r="AV50" s="50" t="n"/>
      <c r="AW50" s="50" t="n"/>
      <c r="AX50" s="50" t="n"/>
      <c r="AY50" s="50" t="n"/>
      <c r="AZ50" s="50" t="n"/>
      <c r="BA50" s="50" t="n"/>
      <c r="BB50" s="50" t="n"/>
      <c r="BC50" s="50" t="n"/>
      <c r="BD50" s="50" t="n"/>
      <c r="BE50" s="50" t="n"/>
      <c r="BF50" s="50" t="n"/>
      <c r="BG50" s="50" t="n"/>
      <c r="BH50" s="50" t="n"/>
      <c r="BI50" s="50" t="n"/>
      <c r="BJ50" s="50" t="n"/>
      <c r="BK50" s="50" t="n"/>
      <c r="BL50" s="50" t="n"/>
      <c r="BM50" s="50" t="n"/>
      <c r="BN50" s="50" t="n"/>
      <c r="BO50" s="50" t="n"/>
      <c r="BP50" s="50" t="n"/>
      <c r="BQ50" s="50" t="n"/>
      <c r="BR50" s="50" t="n"/>
      <c r="BS50" s="50" t="n"/>
      <c r="BT50" s="50" t="n"/>
      <c r="BU50" s="50" t="n"/>
      <c r="BV50" s="50" t="n"/>
      <c r="BW50" s="50" t="n"/>
      <c r="BX50" s="50" t="n"/>
      <c r="BY50" s="50" t="n"/>
      <c r="BZ50" s="50" t="n"/>
      <c r="CA50" s="50" t="n"/>
      <c r="CB50" s="50" t="n"/>
      <c r="CC50" s="50" t="n"/>
      <c r="CD50" s="50" t="n"/>
      <c r="CE50" s="50" t="n"/>
      <c r="CF50" s="50" t="n"/>
      <c r="CG50" s="50" t="n"/>
      <c r="CH50" s="50" t="n"/>
      <c r="CI50" s="50" t="n"/>
      <c r="CJ50" s="50" t="n"/>
      <c r="CK50" s="50" t="n"/>
      <c r="CL50" s="50" t="n"/>
      <c r="CM50" s="50" t="n"/>
      <c r="CN50" s="50" t="n"/>
      <c r="CO50" s="50" t="n"/>
      <c r="CP50" s="50" t="n"/>
      <c r="CQ50" s="50" t="n"/>
      <c r="CR50" s="50" t="n"/>
      <c r="CS50" s="50" t="n"/>
      <c r="CT50" s="50" t="n"/>
      <c r="CU50" s="50" t="n"/>
      <c r="CV50" s="50" t="n"/>
      <c r="CW50" s="50" t="n"/>
      <c r="CX50" s="50" t="n"/>
      <c r="CY50" s="50" t="n"/>
    </row>
    <row r="51" hidden="1" outlineLevel="1">
      <c r="C51" s="50" t="n"/>
      <c r="D51" s="50" t="n"/>
      <c r="E51" s="50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  <c r="AH51" s="50" t="n"/>
      <c r="AI51" s="50" t="n"/>
      <c r="AJ51" s="50" t="n"/>
      <c r="AK51" s="50" t="n"/>
      <c r="AL51" s="50" t="n"/>
      <c r="AM51" s="50" t="n"/>
      <c r="AN51" s="50" t="n"/>
      <c r="AO51" s="50" t="n"/>
      <c r="AP51" s="50" t="n"/>
      <c r="AQ51" s="50" t="n"/>
      <c r="AR51" s="50" t="n"/>
      <c r="AS51" s="50" t="n"/>
      <c r="AT51" s="50" t="n"/>
      <c r="AU51" s="50" t="n"/>
      <c r="AV51" s="50" t="n"/>
      <c r="AW51" s="50" t="n"/>
      <c r="AX51" s="50" t="n"/>
      <c r="AY51" s="50" t="n"/>
      <c r="AZ51" s="50" t="n"/>
      <c r="BA51" s="50" t="n"/>
      <c r="BB51" s="50" t="n"/>
      <c r="BC51" s="50" t="n"/>
      <c r="BD51" s="50" t="n"/>
      <c r="BE51" s="50" t="n"/>
      <c r="BF51" s="50" t="n"/>
      <c r="BG51" s="50" t="n"/>
      <c r="BH51" s="50" t="n"/>
      <c r="BI51" s="50" t="n"/>
      <c r="BJ51" s="50" t="n"/>
      <c r="BK51" s="50" t="n"/>
      <c r="BL51" s="50" t="n"/>
      <c r="BM51" s="50" t="n"/>
      <c r="BN51" s="50" t="n"/>
      <c r="BO51" s="50" t="n"/>
      <c r="BP51" s="50" t="n"/>
      <c r="BQ51" s="50" t="n"/>
      <c r="BR51" s="50" t="n"/>
      <c r="BS51" s="50" t="n"/>
      <c r="BT51" s="50" t="n"/>
      <c r="BU51" s="50" t="n"/>
      <c r="BV51" s="50" t="n"/>
      <c r="BW51" s="50" t="n"/>
      <c r="BX51" s="50" t="n"/>
      <c r="BY51" s="50" t="n"/>
      <c r="BZ51" s="50" t="n"/>
      <c r="CA51" s="50" t="n"/>
      <c r="CB51" s="50" t="n"/>
      <c r="CC51" s="50" t="n"/>
      <c r="CD51" s="50" t="n"/>
      <c r="CE51" s="50" t="n"/>
      <c r="CF51" s="50" t="n"/>
      <c r="CG51" s="50" t="n"/>
      <c r="CH51" s="50" t="n"/>
      <c r="CI51" s="50" t="n"/>
      <c r="CJ51" s="50" t="n"/>
      <c r="CK51" s="50" t="n"/>
      <c r="CL51" s="50" t="n"/>
      <c r="CM51" s="50" t="n"/>
      <c r="CN51" s="50" t="n"/>
      <c r="CO51" s="50" t="n"/>
      <c r="CP51" s="50" t="n"/>
      <c r="CQ51" s="50" t="n"/>
      <c r="CR51" s="50" t="n"/>
      <c r="CS51" s="50" t="n"/>
      <c r="CT51" s="50" t="n"/>
      <c r="CU51" s="50" t="n"/>
      <c r="CV51" s="50" t="n"/>
      <c r="CW51" s="50" t="n"/>
      <c r="CX51" s="50" t="n"/>
      <c r="CY51" s="50" t="n"/>
    </row>
    <row r="52" collapsed="1">
      <c r="C52" s="13" t="inlineStr">
        <is>
          <t>SG&amp;A and Other (cash)</t>
        </is>
      </c>
      <c r="D52" s="46" t="n"/>
      <c r="E52" s="46" t="n"/>
      <c r="F52" s="46" t="n"/>
      <c r="G52" s="46" t="n"/>
      <c r="H52" s="12" t="n"/>
      <c r="I52" s="46">
        <f>'Inputs (2)'!D6</f>
        <v>-10927</v>
      </c>
      <c r="J52" s="46">
        <f>'Inputs (2)'!E6</f>
        <v>-8297</v>
      </c>
      <c r="K52" s="46">
        <f>'Inputs (2)'!F6</f>
        <v>-8399</v>
      </c>
      <c r="L52" s="46">
        <f>'Inputs (2)'!G6</f>
        <v>-10058</v>
      </c>
      <c r="M52" s="12">
        <f>'Inputs (2)'!H6</f>
        <v>-37681</v>
      </c>
      <c r="N52" s="46">
        <f>'Inputs (2)'!I6</f>
        <v>-9843</v>
      </c>
      <c r="O52" s="46">
        <f>'Inputs (2)'!J6</f>
        <v>-10004</v>
      </c>
      <c r="P52" s="46">
        <f>'Inputs (2)'!K6</f>
        <v>-10336</v>
      </c>
      <c r="Q52" s="46">
        <f>'Inputs (2)'!L6</f>
        <v>-11400</v>
      </c>
      <c r="R52" s="12">
        <f>'Inputs (2)'!M6</f>
        <v>-41583</v>
      </c>
      <c r="S52" s="46">
        <f>'Inputs (2)'!N6</f>
        <v>-10760</v>
      </c>
      <c r="T52" s="46">
        <f>'Inputs (2)'!O6</f>
        <v>-10363</v>
      </c>
      <c r="U52" s="46">
        <f>'Inputs (2)'!P6</f>
        <v>-10805</v>
      </c>
      <c r="V52" s="46">
        <f>'Inputs (2)'!Q6</f>
        <v>-11634</v>
      </c>
      <c r="W52" s="12">
        <f>'Inputs (2)'!R6</f>
        <v>-43562</v>
      </c>
      <c r="X52" s="46">
        <f>'Inputs (2)'!S6</f>
        <v>-11535</v>
      </c>
      <c r="Y52" s="46">
        <f>'Inputs (2)'!T6</f>
        <v>-11476</v>
      </c>
      <c r="Z52" s="46">
        <f>'Inputs (2)'!U6</f>
        <v>-11377</v>
      </c>
      <c r="AA52" s="46">
        <f>'Inputs (2)'!V6</f>
        <v>-12363</v>
      </c>
      <c r="AB52" s="12">
        <f>'Inputs (2)'!W6</f>
        <v>-46751</v>
      </c>
      <c r="AC52" s="46">
        <f>'Inputs (2)'!X6</f>
        <v>-12617</v>
      </c>
      <c r="AD52" s="46">
        <f>'Inputs (2)'!Y6</f>
        <v>-12686</v>
      </c>
      <c r="AE52" s="46">
        <f>'Inputs (2)'!Z6</f>
        <v>-12787</v>
      </c>
      <c r="AF52" s="46">
        <f>'Inputs (2)'!AA6</f>
        <v>-15165</v>
      </c>
      <c r="AG52" s="12">
        <f>'Inputs (2)'!AB6</f>
        <v>-53255</v>
      </c>
      <c r="AH52" s="12">
        <f>'Inputs (2)'!AC6</f>
        <v>-15457</v>
      </c>
      <c r="AI52" s="12">
        <f>'Inputs (2)'!AD6</f>
        <v>-15755</v>
      </c>
      <c r="AJ52" s="12">
        <f>-AJ15*AJ53</f>
        <v>-14912.1083596982</v>
      </c>
      <c r="AK52" s="12">
        <f>-AK15*AK53</f>
        <v>-20921.1352971402</v>
      </c>
      <c r="AL52" s="12">
        <f>SUM(AH52:AK52)</f>
        <v>-67045.2436568384</v>
      </c>
      <c r="AM52" s="12">
        <f>-AM15*AM53</f>
        <v>-16180.8585859181</v>
      </c>
      <c r="AN52" s="12">
        <f>-AN15*AN53</f>
        <v>-15923.7030858343</v>
      </c>
      <c r="AO52" s="12">
        <f>-AO15*AO53</f>
        <v>-16682.8314665388</v>
      </c>
      <c r="AP52" s="12">
        <f>-AP15*AP53</f>
        <v>-23405.3941824972</v>
      </c>
      <c r="AQ52" s="12">
        <f>SUM(AM52:AP52)</f>
        <v>-72192.7873207884</v>
      </c>
      <c r="AR52" s="12">
        <f>-AR15*AR53</f>
        <v>-18021.3338521688</v>
      </c>
      <c r="AS52" s="12">
        <f>-AS15*AS53</f>
        <v>-17734.9284618538</v>
      </c>
      <c r="AT52" s="12">
        <f>-AT15*AT53</f>
        <v>-18580.4031264207</v>
      </c>
      <c r="AU52" s="12">
        <f>-AU15*AU53</f>
        <v>-26067.6168860084</v>
      </c>
      <c r="AV52" s="12">
        <f>SUM(AR52:AU52)</f>
        <v>-80404.2823264517</v>
      </c>
      <c r="AW52" s="12">
        <f>-AW15*AW53</f>
        <v>-19981.0454322702</v>
      </c>
      <c r="AX52" s="12">
        <f>-AX15*AX53</f>
        <v>-19663.4951797264</v>
      </c>
      <c r="AY52" s="12">
        <f>-AY15*AY53</f>
        <v>-20600.9101248755</v>
      </c>
      <c r="AZ52" s="12">
        <f>-AZ15*AZ53</f>
        <v>-28902.3133128218</v>
      </c>
      <c r="BA52" s="12">
        <f>SUM(AW52:AZ52)</f>
        <v>-89147.7640496939</v>
      </c>
      <c r="BB52" s="12">
        <f>-BB15*BB53</f>
        <v>-22053.9586233991</v>
      </c>
      <c r="BC52" s="12">
        <f>-BC15*BC53</f>
        <v>-21703.4644435931</v>
      </c>
      <c r="BD52" s="12">
        <f>-BD15*BD53</f>
        <v>-22738.1305466933</v>
      </c>
      <c r="BE52" s="12">
        <f>-BE15*BE53</f>
        <v>-31900.7543465192</v>
      </c>
      <c r="BF52" s="12">
        <f>SUM(BB52:BE52)</f>
        <v>-98396.3079602047</v>
      </c>
      <c r="BG52" s="12" t="n"/>
      <c r="BH52" s="12" t="n"/>
      <c r="BI52" s="12" t="n"/>
      <c r="BJ52" s="12" t="n"/>
      <c r="BK52" s="12" t="n"/>
      <c r="BL52" s="12" t="n"/>
      <c r="BM52" s="12" t="n"/>
      <c r="BN52" s="12" t="n"/>
      <c r="BO52" s="12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n"/>
      <c r="BZ52" s="12" t="n"/>
      <c r="CA52" s="12" t="n"/>
      <c r="CB52" s="12" t="n"/>
      <c r="CC52" s="12" t="n"/>
      <c r="CD52" s="12" t="n"/>
      <c r="CE52" s="12" t="n"/>
      <c r="CF52" s="12" t="n"/>
      <c r="CG52" s="12" t="n"/>
      <c r="CH52" s="12" t="n"/>
      <c r="CI52" s="12" t="n"/>
      <c r="CJ52" s="12" t="n"/>
      <c r="CK52" s="12" t="n"/>
      <c r="CL52" s="12" t="n"/>
      <c r="CM52" s="12" t="n"/>
      <c r="CN52" s="12" t="n"/>
      <c r="CO52" s="12" t="n"/>
      <c r="CP52" s="12" t="n"/>
      <c r="CQ52" s="12" t="n"/>
      <c r="CR52" s="12" t="n"/>
      <c r="CS52" s="12" t="n"/>
      <c r="CT52" s="12" t="n"/>
      <c r="CU52" s="12" t="n"/>
      <c r="CV52" s="12" t="n"/>
      <c r="CW52" s="12" t="n"/>
      <c r="CX52" s="12" t="n"/>
      <c r="CY52" s="12" t="n"/>
    </row>
    <row r="53" hidden="1" outlineLevel="1">
      <c r="C53" s="38" t="inlineStr">
        <is>
          <t>% SG&amp;A and Other Margin</t>
        </is>
      </c>
      <c r="D53" s="51" t="n"/>
      <c r="E53" s="51" t="n"/>
      <c r="F53" s="51" t="n"/>
      <c r="G53" s="51" t="n"/>
      <c r="H53" s="51" t="n"/>
      <c r="I53" s="51">
        <f>IFERROR(-(I52/I$15),"")</f>
        <v>0.121974906233256</v>
      </c>
      <c r="J53" s="51">
        <f>IFERROR(-(J52/J$15),"")</f>
        <v>0.101886190043471</v>
      </c>
      <c r="K53" s="51">
        <f>IFERROR(-(K52/K$15),"")</f>
        <v>0.10075575815739</v>
      </c>
      <c r="L53" s="51">
        <f>IFERROR(-(L52/L$15),"")</f>
        <v>0.0811488966880471</v>
      </c>
      <c r="M53" s="51">
        <f>IFERROR(-(M52/M$15),"")</f>
        <v>0.0996000771827248</v>
      </c>
      <c r="N53" s="51">
        <f>IFERROR(-(N52/N$15),"")</f>
        <v>0.10118423487325</v>
      </c>
      <c r="O53" s="51">
        <f>IFERROR(-(O52/O$15),"")</f>
        <v>0.12058968888246</v>
      </c>
      <c r="P53" s="51">
        <f>IFERROR(-(P52/P$15),"")</f>
        <v>0.114658442970293</v>
      </c>
      <c r="Q53" s="51">
        <f>IFERROR(-(Q52/Q$15),"")</f>
        <v>0.0973078170613039</v>
      </c>
      <c r="R53" s="51">
        <f>IFERROR(-(R52/R$15),"")</f>
        <v>0.107300722253617</v>
      </c>
      <c r="S53" s="51">
        <f>IFERROR(-(S52/S$15),"")</f>
        <v>0.113459023999325</v>
      </c>
      <c r="T53" s="51">
        <f>IFERROR(-(T52/T$15),"")</f>
        <v>0.126691687959216</v>
      </c>
      <c r="U53" s="51">
        <f>IFERROR(-(U52/U$15),"")</f>
        <v>0.12072895483698</v>
      </c>
      <c r="V53" s="51">
        <f>IFERROR(-(V52/V$15),"")</f>
        <v>0.0972945849885009</v>
      </c>
      <c r="W53" s="51">
        <f>IFERROR(-(W52/W$15),"")</f>
        <v>0.11294094465733</v>
      </c>
      <c r="X53" s="51">
        <f>IFERROR(-(X52/X$15),"")</f>
        <v>0.127103236256653</v>
      </c>
      <c r="Y53" s="51">
        <f>IFERROR(-(Y52/Y$15),"")</f>
        <v>0.13378877787752</v>
      </c>
      <c r="Z53" s="51">
        <f>IFERROR(-(Z52/Z$15),"")</f>
        <v>0.119846202464974</v>
      </c>
      <c r="AA53" s="51">
        <f>IFERROR(-(AA52/AA$15),"")</f>
        <v>0.0994609814963797</v>
      </c>
      <c r="AB53" s="51">
        <f>IFERROR(-(AB52/AB$15),"")</f>
        <v>0.118129674550232</v>
      </c>
      <c r="AC53" s="51">
        <f>IFERROR(-(AC52/AC$15),"")</f>
        <v>0.132310531779905</v>
      </c>
      <c r="AD53" s="51">
        <f>IFERROR(-(AD52/AD$15),"")</f>
        <v>0.134905780764813</v>
      </c>
      <c r="AE53" s="51">
        <f>IFERROR(-(AE52/AE$15),"")</f>
        <v>0.124792614135421</v>
      </c>
      <c r="AF53" s="41">
        <f>IFERROR(-(AF52/AF$15),"")</f>
        <v>0.105491249060909</v>
      </c>
      <c r="AG53" s="51">
        <f>IFERROR(-(AG52/AG$15),"")</f>
        <v>0.122251886404801</v>
      </c>
      <c r="AH53" s="52">
        <f>IFERROR(-(AH52/AH$15),"")</f>
        <v>0.139021801698086</v>
      </c>
      <c r="AI53" s="52">
        <f>IFERROR(-(AI52/AI$15),"")</f>
        <v>0.14399042196368</v>
      </c>
      <c r="AJ53" s="52">
        <f>Control!$B$20</f>
        <v>0.130085399900469</v>
      </c>
      <c r="AK53" s="52">
        <f>Control!$B$20</f>
        <v>0.130085399900469</v>
      </c>
      <c r="AL53" s="51">
        <f>IFERROR(-(AL52/AL$15),"")</f>
        <v>0.13515540910879</v>
      </c>
      <c r="AM53" s="52">
        <f>Control!$C$20</f>
        <v>0.130085399900469</v>
      </c>
      <c r="AN53" s="52">
        <f>Control!$C$20</f>
        <v>0.130085399900469</v>
      </c>
      <c r="AO53" s="52">
        <f>Control!$C$20</f>
        <v>0.130085399900469</v>
      </c>
      <c r="AP53" s="52">
        <f>Control!$C$20</f>
        <v>0.130085399900469</v>
      </c>
      <c r="AQ53" s="51">
        <f>IFERROR(-(AQ52/AQ$15),"")</f>
        <v>0.130085399900469</v>
      </c>
      <c r="AR53" s="52">
        <f>Control!$D$20</f>
        <v>0.130085399900469</v>
      </c>
      <c r="AS53" s="52">
        <f>Control!$D$20</f>
        <v>0.130085399900469</v>
      </c>
      <c r="AT53" s="52">
        <f>Control!$D$20</f>
        <v>0.130085399900469</v>
      </c>
      <c r="AU53" s="52">
        <f>Control!$D$20</f>
        <v>0.130085399900469</v>
      </c>
      <c r="AV53" s="51">
        <f>IFERROR(-(AV52/AV$15),"")</f>
        <v>0.130085399900469</v>
      </c>
      <c r="AW53" s="52">
        <f>Control!$E$20</f>
        <v>0.130085399900469</v>
      </c>
      <c r="AX53" s="52">
        <f>Control!$E$20</f>
        <v>0.130085399900469</v>
      </c>
      <c r="AY53" s="52">
        <f>Control!$E$20</f>
        <v>0.130085399900469</v>
      </c>
      <c r="AZ53" s="52">
        <f>Control!$E$20</f>
        <v>0.130085399900469</v>
      </c>
      <c r="BA53" s="51">
        <f>IFERROR(-(BA52/BA$15),"")</f>
        <v>0.130085399900469</v>
      </c>
      <c r="BB53" s="52">
        <f>Control!$F$20</f>
        <v>0.130085399900469</v>
      </c>
      <c r="BC53" s="52">
        <f>Control!$F$20</f>
        <v>0.130085399900469</v>
      </c>
      <c r="BD53" s="52">
        <f>Control!$F$20</f>
        <v>0.130085399900469</v>
      </c>
      <c r="BE53" s="52">
        <f>Control!$F$20</f>
        <v>0.130085399900469</v>
      </c>
      <c r="BF53" s="51">
        <f>IFERROR(-(BF52/BF$15),"")</f>
        <v>0.130085399900469</v>
      </c>
      <c r="BG53" s="52" t="n"/>
      <c r="BH53" s="52" t="n"/>
      <c r="BI53" s="52" t="n"/>
      <c r="BJ53" s="52" t="n"/>
      <c r="BK53" s="51" t="n"/>
      <c r="BL53" s="52" t="n"/>
      <c r="BM53" s="52" t="n"/>
      <c r="BN53" s="52" t="n"/>
      <c r="BO53" s="52" t="n"/>
      <c r="BP53" s="51" t="n"/>
      <c r="BQ53" s="52" t="n"/>
      <c r="BR53" s="52" t="n"/>
      <c r="BS53" s="52" t="n"/>
      <c r="BT53" s="52" t="n"/>
      <c r="BU53" s="51" t="n"/>
      <c r="BV53" s="52" t="n"/>
      <c r="BW53" s="52" t="n"/>
      <c r="BX53" s="52" t="n"/>
      <c r="BY53" s="52" t="n"/>
      <c r="BZ53" s="51" t="n"/>
      <c r="CA53" s="52" t="n"/>
      <c r="CB53" s="52" t="n"/>
      <c r="CC53" s="52" t="n"/>
      <c r="CD53" s="52" t="n"/>
      <c r="CE53" s="51" t="n"/>
      <c r="CF53" s="52" t="n"/>
      <c r="CG53" s="52" t="n"/>
      <c r="CH53" s="52" t="n"/>
      <c r="CI53" s="52" t="n"/>
      <c r="CJ53" s="51" t="n"/>
      <c r="CK53" s="52" t="n"/>
      <c r="CL53" s="52" t="n"/>
      <c r="CM53" s="52" t="n"/>
      <c r="CN53" s="52" t="n"/>
      <c r="CO53" s="51" t="n"/>
      <c r="CP53" s="52" t="n"/>
      <c r="CQ53" s="52" t="n"/>
      <c r="CR53" s="52" t="n"/>
      <c r="CS53" s="52" t="n"/>
      <c r="CT53" s="51" t="n"/>
      <c r="CU53" s="52" t="n"/>
      <c r="CV53" s="52" t="n"/>
      <c r="CW53" s="52" t="n"/>
      <c r="CX53" s="52" t="n"/>
      <c r="CY53" s="51" t="n"/>
    </row>
    <row r="54" hidden="1" outlineLevel="1">
      <c r="C54" s="50" t="n"/>
      <c r="D54" s="50" t="n"/>
      <c r="E54" s="50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  <c r="AH54" s="50" t="n"/>
      <c r="AI54" s="50" t="n"/>
      <c r="AJ54" s="50" t="n"/>
      <c r="AK54" s="50" t="n"/>
      <c r="AL54" s="50" t="n"/>
      <c r="AM54" s="50" t="n"/>
      <c r="AN54" s="50" t="n"/>
      <c r="AO54" s="50" t="n"/>
      <c r="AP54" s="50" t="n"/>
      <c r="AQ54" s="50" t="n"/>
      <c r="AR54" s="50" t="n"/>
      <c r="AS54" s="50" t="n"/>
      <c r="AT54" s="50" t="n"/>
      <c r="AU54" s="50" t="n"/>
      <c r="AV54" s="50" t="n"/>
      <c r="AW54" s="50" t="n"/>
      <c r="AX54" s="50" t="n"/>
      <c r="AY54" s="50" t="n"/>
      <c r="AZ54" s="50" t="n"/>
      <c r="BA54" s="50" t="n"/>
      <c r="BB54" s="50" t="n"/>
      <c r="BC54" s="50" t="n"/>
      <c r="BD54" s="50" t="n"/>
      <c r="BE54" s="50" t="n"/>
      <c r="BF54" s="50" t="n"/>
      <c r="BG54" s="50" t="n"/>
      <c r="BH54" s="50" t="n"/>
      <c r="BI54" s="50" t="n"/>
      <c r="BJ54" s="50" t="n"/>
      <c r="BK54" s="50" t="n"/>
      <c r="BL54" s="50" t="n"/>
      <c r="BM54" s="50" t="n"/>
      <c r="BN54" s="50" t="n"/>
      <c r="BO54" s="50" t="n"/>
      <c r="BP54" s="50" t="n"/>
      <c r="BQ54" s="50" t="n"/>
      <c r="BR54" s="50" t="n"/>
      <c r="BS54" s="50" t="n"/>
      <c r="BT54" s="50" t="n"/>
      <c r="BU54" s="50" t="n"/>
      <c r="BV54" s="50" t="n"/>
      <c r="BW54" s="50" t="n"/>
      <c r="BX54" s="50" t="n"/>
      <c r="BY54" s="50" t="n"/>
      <c r="BZ54" s="50" t="n"/>
      <c r="CA54" s="50" t="n"/>
      <c r="CB54" s="50" t="n"/>
      <c r="CC54" s="50" t="n"/>
      <c r="CD54" s="50" t="n"/>
      <c r="CE54" s="50" t="n"/>
      <c r="CF54" s="50" t="n"/>
      <c r="CG54" s="50" t="n"/>
      <c r="CH54" s="50" t="n"/>
      <c r="CI54" s="50" t="n"/>
      <c r="CJ54" s="50" t="n"/>
      <c r="CK54" s="50" t="n"/>
      <c r="CL54" s="50" t="n"/>
      <c r="CM54" s="50" t="n"/>
      <c r="CN54" s="50" t="n"/>
      <c r="CO54" s="50" t="n"/>
      <c r="CP54" s="50" t="n"/>
      <c r="CQ54" s="50" t="n"/>
      <c r="CR54" s="50" t="n"/>
      <c r="CS54" s="50" t="n"/>
      <c r="CT54" s="50" t="n"/>
      <c r="CU54" s="50" t="n"/>
      <c r="CV54" s="50" t="n"/>
      <c r="CW54" s="50" t="n"/>
      <c r="CX54" s="50" t="n"/>
      <c r="CY54" s="50" t="n"/>
    </row>
    <row r="55" hidden="1" outlineLevel="1">
      <c r="C55" s="50" t="inlineStr">
        <is>
          <t>Com Vendas</t>
        </is>
      </c>
      <c r="D55" s="11" t="n"/>
      <c r="E55" s="11" t="n"/>
      <c r="F55" s="11" t="n"/>
      <c r="G55" s="11" t="n"/>
      <c r="H55" s="50" t="n"/>
      <c r="I55" s="11" t="n"/>
      <c r="J55" s="11" t="n"/>
      <c r="K55" s="11" t="n"/>
      <c r="L55" s="11" t="n"/>
      <c r="M55" s="50" t="n"/>
      <c r="N55" s="11" t="n"/>
      <c r="O55" s="11" t="n"/>
      <c r="P55" s="11" t="n"/>
      <c r="Q55" s="11" t="n"/>
      <c r="R55" s="50" t="n"/>
      <c r="S55" s="11" t="n"/>
      <c r="T55" s="11" t="n"/>
      <c r="U55" s="11" t="n"/>
      <c r="V55" s="11" t="n"/>
      <c r="W55" s="50" t="n"/>
      <c r="X55" s="11" t="n"/>
      <c r="Y55" s="11" t="n"/>
      <c r="Z55" s="11" t="n"/>
      <c r="AA55" s="11" t="n"/>
      <c r="AB55" s="50" t="n"/>
      <c r="AC55" s="11" t="n"/>
      <c r="AD55" s="11" t="n"/>
      <c r="AE55" s="11" t="n"/>
      <c r="AF55" s="11" t="n"/>
      <c r="AG55" s="50" t="n"/>
      <c r="AH55" s="50" t="n"/>
      <c r="AI55" s="50" t="n"/>
      <c r="AJ55" s="50" t="n"/>
      <c r="AK55" s="50" t="n"/>
      <c r="AL55" s="50" t="n"/>
      <c r="AM55" s="50" t="n"/>
      <c r="AN55" s="50" t="n"/>
      <c r="AO55" s="50" t="n"/>
      <c r="AP55" s="50" t="n"/>
      <c r="AQ55" s="50" t="n"/>
      <c r="AR55" s="50" t="n"/>
      <c r="AS55" s="50" t="n"/>
      <c r="AT55" s="50" t="n"/>
      <c r="AU55" s="50" t="n"/>
      <c r="AV55" s="50" t="n"/>
      <c r="AW55" s="50" t="n"/>
      <c r="AX55" s="50" t="n"/>
      <c r="AY55" s="50" t="n"/>
      <c r="AZ55" s="50" t="n"/>
      <c r="BA55" s="50" t="n"/>
      <c r="BB55" s="50" t="n"/>
      <c r="BC55" s="50" t="n"/>
      <c r="BD55" s="50" t="n"/>
      <c r="BE55" s="50" t="n"/>
      <c r="BF55" s="50" t="n"/>
      <c r="BG55" s="50" t="n"/>
      <c r="BH55" s="50" t="n"/>
      <c r="BI55" s="50" t="n"/>
      <c r="BJ55" s="50" t="n"/>
      <c r="BK55" s="50" t="n"/>
      <c r="BL55" s="50" t="n"/>
      <c r="BM55" s="50" t="n"/>
      <c r="BN55" s="50" t="n"/>
      <c r="BO55" s="50" t="n"/>
      <c r="BP55" s="50" t="n"/>
      <c r="BQ55" s="50" t="n"/>
      <c r="BR55" s="50" t="n"/>
      <c r="BS55" s="50" t="n"/>
      <c r="BT55" s="50" t="n"/>
      <c r="BU55" s="50" t="n"/>
      <c r="BV55" s="50" t="n"/>
      <c r="BW55" s="50" t="n"/>
      <c r="BX55" s="50" t="n"/>
      <c r="BY55" s="50" t="n"/>
      <c r="BZ55" s="50" t="n"/>
      <c r="CA55" s="50" t="n"/>
      <c r="CB55" s="50" t="n"/>
      <c r="CC55" s="50" t="n"/>
      <c r="CD55" s="50" t="n"/>
      <c r="CE55" s="50" t="n"/>
      <c r="CF55" s="50" t="n"/>
      <c r="CG55" s="50" t="n"/>
      <c r="CH55" s="50" t="n"/>
      <c r="CI55" s="50" t="n"/>
      <c r="CJ55" s="50" t="n"/>
      <c r="CK55" s="50" t="n"/>
      <c r="CL55" s="50" t="n"/>
      <c r="CM55" s="50" t="n"/>
      <c r="CN55" s="50" t="n"/>
      <c r="CO55" s="50" t="n"/>
      <c r="CP55" s="50" t="n"/>
      <c r="CQ55" s="50" t="n"/>
      <c r="CR55" s="50" t="n"/>
      <c r="CS55" s="50" t="n"/>
      <c r="CT55" s="50" t="n"/>
      <c r="CU55" s="50" t="n"/>
      <c r="CV55" s="50" t="n"/>
      <c r="CW55" s="50" t="n"/>
      <c r="CX55" s="50" t="n"/>
      <c r="CY55" s="50" t="n"/>
    </row>
    <row r="56" hidden="1" outlineLevel="1">
      <c r="C56" s="50" t="inlineStr">
        <is>
          <t>Gerais &amp; Administrativas</t>
        </is>
      </c>
      <c r="D56" s="11" t="n"/>
      <c r="E56" s="11" t="n"/>
      <c r="F56" s="11" t="n"/>
      <c r="G56" s="11" t="n"/>
      <c r="H56" s="50" t="n"/>
      <c r="I56" s="11" t="n"/>
      <c r="J56" s="11" t="n"/>
      <c r="K56" s="11" t="n"/>
      <c r="L56" s="11" t="n"/>
      <c r="M56" s="50" t="n"/>
      <c r="N56" s="11" t="n"/>
      <c r="O56" s="11" t="n"/>
      <c r="P56" s="11" t="n"/>
      <c r="Q56" s="11" t="n"/>
      <c r="R56" s="50" t="n"/>
      <c r="S56" s="11" t="n"/>
      <c r="T56" s="11" t="n"/>
      <c r="U56" s="11" t="n"/>
      <c r="V56" s="11" t="n"/>
      <c r="W56" s="50" t="n"/>
      <c r="X56" s="11" t="n"/>
      <c r="Y56" s="11" t="n"/>
      <c r="Z56" s="11" t="n"/>
      <c r="AA56" s="11" t="n"/>
      <c r="AB56" s="50" t="n"/>
      <c r="AC56" s="11" t="n"/>
      <c r="AD56" s="11" t="n"/>
      <c r="AE56" s="11" t="n"/>
      <c r="AF56" s="11" t="n"/>
      <c r="AG56" s="50" t="n"/>
      <c r="AH56" s="50" t="n"/>
      <c r="AI56" s="50" t="n"/>
      <c r="AJ56" s="50" t="n"/>
      <c r="AK56" s="50" t="n"/>
      <c r="AL56" s="50" t="n"/>
      <c r="AM56" s="50" t="n"/>
      <c r="AN56" s="50" t="n"/>
      <c r="AO56" s="50" t="n"/>
      <c r="AP56" s="50" t="n"/>
      <c r="AQ56" s="50" t="n"/>
      <c r="AR56" s="50" t="n"/>
      <c r="AS56" s="50" t="n"/>
      <c r="AT56" s="50" t="n"/>
      <c r="AU56" s="50" t="n"/>
      <c r="AV56" s="50" t="n"/>
      <c r="AW56" s="50" t="n"/>
      <c r="AX56" s="50" t="n"/>
      <c r="AY56" s="50" t="n"/>
      <c r="AZ56" s="50" t="n"/>
      <c r="BA56" s="50" t="n"/>
      <c r="BB56" s="50" t="n"/>
      <c r="BC56" s="50" t="n"/>
      <c r="BD56" s="50" t="n"/>
      <c r="BE56" s="50" t="n"/>
      <c r="BF56" s="50" t="n"/>
      <c r="BG56" s="50" t="n"/>
      <c r="BH56" s="50" t="n"/>
      <c r="BI56" s="50" t="n"/>
      <c r="BJ56" s="50" t="n"/>
      <c r="BK56" s="50" t="n"/>
      <c r="BL56" s="50" t="n"/>
      <c r="BM56" s="50" t="n"/>
      <c r="BN56" s="50" t="n"/>
      <c r="BO56" s="50" t="n"/>
      <c r="BP56" s="50" t="n"/>
      <c r="BQ56" s="50" t="n"/>
      <c r="BR56" s="50" t="n"/>
      <c r="BS56" s="50" t="n"/>
      <c r="BT56" s="50" t="n"/>
      <c r="BU56" s="50" t="n"/>
      <c r="BV56" s="50" t="n"/>
      <c r="BW56" s="50" t="n"/>
      <c r="BX56" s="50" t="n"/>
      <c r="BY56" s="50" t="n"/>
      <c r="BZ56" s="50" t="n"/>
      <c r="CA56" s="50" t="n"/>
      <c r="CB56" s="50" t="n"/>
      <c r="CC56" s="50" t="n"/>
      <c r="CD56" s="50" t="n"/>
      <c r="CE56" s="50" t="n"/>
      <c r="CF56" s="50" t="n"/>
      <c r="CG56" s="50" t="n"/>
      <c r="CH56" s="50" t="n"/>
      <c r="CI56" s="50" t="n"/>
      <c r="CJ56" s="50" t="n"/>
      <c r="CK56" s="50" t="n"/>
      <c r="CL56" s="50" t="n"/>
      <c r="CM56" s="50" t="n"/>
      <c r="CN56" s="50" t="n"/>
      <c r="CO56" s="50" t="n"/>
      <c r="CP56" s="50" t="n"/>
      <c r="CQ56" s="50" t="n"/>
      <c r="CR56" s="50" t="n"/>
      <c r="CS56" s="50" t="n"/>
      <c r="CT56" s="50" t="n"/>
      <c r="CU56" s="50" t="n"/>
      <c r="CV56" s="50" t="n"/>
      <c r="CW56" s="50" t="n"/>
      <c r="CX56" s="50" t="n"/>
      <c r="CY56" s="50" t="n"/>
    </row>
    <row r="57" hidden="1" outlineLevel="1">
      <c r="C57" s="50" t="inlineStr">
        <is>
          <t>Outras Receitas (Despesas) Operacionais, Líquidas</t>
        </is>
      </c>
      <c r="D57" s="11" t="n"/>
      <c r="E57" s="11" t="n"/>
      <c r="F57" s="11" t="n"/>
      <c r="G57" s="11" t="n"/>
      <c r="H57" s="50" t="n"/>
      <c r="I57" s="11" t="n"/>
      <c r="J57" s="11" t="n"/>
      <c r="K57" s="11" t="n"/>
      <c r="L57" s="11" t="n"/>
      <c r="M57" s="50" t="n"/>
      <c r="N57" s="11" t="n"/>
      <c r="O57" s="11" t="n"/>
      <c r="P57" s="11" t="n"/>
      <c r="Q57" s="11" t="n"/>
      <c r="R57" s="50" t="n"/>
      <c r="S57" s="11" t="n"/>
      <c r="T57" s="11" t="n"/>
      <c r="U57" s="11" t="n"/>
      <c r="V57" s="11" t="n"/>
      <c r="W57" s="50" t="n"/>
      <c r="X57" s="11" t="n"/>
      <c r="Y57" s="11" t="n"/>
      <c r="Z57" s="11" t="n"/>
      <c r="AA57" s="11" t="n"/>
      <c r="AB57" s="50" t="n"/>
      <c r="AC57" s="11" t="n"/>
      <c r="AD57" s="11" t="n"/>
      <c r="AE57" s="11" t="n"/>
      <c r="AF57" s="11" t="n"/>
      <c r="AG57" s="50" t="n"/>
      <c r="AH57" s="50" t="n"/>
      <c r="AI57" s="50" t="n"/>
      <c r="AJ57" s="50" t="n"/>
      <c r="AK57" s="50" t="n"/>
      <c r="AL57" s="50" t="n"/>
      <c r="AM57" s="50" t="n"/>
      <c r="AN57" s="50" t="n"/>
      <c r="AO57" s="50" t="n"/>
      <c r="AP57" s="50" t="n"/>
      <c r="AQ57" s="50" t="n"/>
      <c r="AR57" s="50" t="n"/>
      <c r="AS57" s="50" t="n"/>
      <c r="AT57" s="50" t="n"/>
      <c r="AU57" s="50" t="n"/>
      <c r="AV57" s="50" t="n"/>
      <c r="AW57" s="50" t="n"/>
      <c r="AX57" s="50" t="n"/>
      <c r="AY57" s="50" t="n"/>
      <c r="AZ57" s="50" t="n"/>
      <c r="BA57" s="50" t="n"/>
      <c r="BB57" s="50" t="n"/>
      <c r="BC57" s="50" t="n"/>
      <c r="BD57" s="50" t="n"/>
      <c r="BE57" s="50" t="n"/>
      <c r="BF57" s="50" t="n"/>
      <c r="BG57" s="50" t="n"/>
      <c r="BH57" s="50" t="n"/>
      <c r="BI57" s="50" t="n"/>
      <c r="BJ57" s="50" t="n"/>
      <c r="BK57" s="50" t="n"/>
      <c r="BL57" s="50" t="n"/>
      <c r="BM57" s="50" t="n"/>
      <c r="BN57" s="50" t="n"/>
      <c r="BO57" s="50" t="n"/>
      <c r="BP57" s="50" t="n"/>
      <c r="BQ57" s="50" t="n"/>
      <c r="BR57" s="50" t="n"/>
      <c r="BS57" s="50" t="n"/>
      <c r="BT57" s="50" t="n"/>
      <c r="BU57" s="50" t="n"/>
      <c r="BV57" s="50" t="n"/>
      <c r="BW57" s="50" t="n"/>
      <c r="BX57" s="50" t="n"/>
      <c r="BY57" s="50" t="n"/>
      <c r="BZ57" s="50" t="n"/>
      <c r="CA57" s="50" t="n"/>
      <c r="CB57" s="50" t="n"/>
      <c r="CC57" s="50" t="n"/>
      <c r="CD57" s="50" t="n"/>
      <c r="CE57" s="50" t="n"/>
      <c r="CF57" s="50" t="n"/>
      <c r="CG57" s="50" t="n"/>
      <c r="CH57" s="50" t="n"/>
      <c r="CI57" s="50" t="n"/>
      <c r="CJ57" s="50" t="n"/>
      <c r="CK57" s="50" t="n"/>
      <c r="CL57" s="50" t="n"/>
      <c r="CM57" s="50" t="n"/>
      <c r="CN57" s="50" t="n"/>
      <c r="CO57" s="50" t="n"/>
      <c r="CP57" s="50" t="n"/>
      <c r="CQ57" s="50" t="n"/>
      <c r="CR57" s="50" t="n"/>
      <c r="CS57" s="50" t="n"/>
      <c r="CT57" s="50" t="n"/>
      <c r="CU57" s="50" t="n"/>
      <c r="CV57" s="50" t="n"/>
      <c r="CW57" s="50" t="n"/>
      <c r="CX57" s="50" t="n"/>
      <c r="CY57" s="50" t="n"/>
    </row>
    <row r="58" hidden="1" outlineLevel="1"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  <c r="AA58" s="50" t="n"/>
      <c r="AB58" s="50" t="n"/>
      <c r="AC58" s="50" t="n"/>
      <c r="AD58" s="50" t="n"/>
      <c r="AE58" s="50" t="n"/>
      <c r="AF58" s="50" t="n"/>
      <c r="AG58" s="50" t="n"/>
      <c r="AH58" s="50" t="n"/>
      <c r="AI58" s="50" t="n"/>
      <c r="AJ58" s="50" t="n"/>
      <c r="AK58" s="50" t="n"/>
      <c r="AL58" s="50" t="n"/>
      <c r="AM58" s="50" t="n"/>
      <c r="AN58" s="50" t="n"/>
      <c r="AO58" s="50" t="n"/>
      <c r="AP58" s="50" t="n"/>
      <c r="AQ58" s="50" t="n"/>
      <c r="AR58" s="50" t="n"/>
      <c r="AS58" s="50" t="n"/>
      <c r="AT58" s="50" t="n"/>
      <c r="AU58" s="50" t="n"/>
      <c r="AV58" s="50" t="n"/>
      <c r="AW58" s="50" t="n"/>
      <c r="AX58" s="50" t="n"/>
      <c r="AY58" s="50" t="n"/>
      <c r="AZ58" s="50" t="n"/>
      <c r="BA58" s="50" t="n"/>
      <c r="BB58" s="50" t="n"/>
      <c r="BC58" s="50" t="n"/>
      <c r="BD58" s="50" t="n"/>
      <c r="BE58" s="50" t="n"/>
      <c r="BF58" s="50" t="n"/>
      <c r="BG58" s="50" t="n"/>
      <c r="BH58" s="50" t="n"/>
      <c r="BI58" s="50" t="n"/>
      <c r="BJ58" s="50" t="n"/>
      <c r="BK58" s="50" t="n"/>
      <c r="BL58" s="50" t="n"/>
      <c r="BM58" s="50" t="n"/>
      <c r="BN58" s="50" t="n"/>
      <c r="BO58" s="50" t="n"/>
      <c r="BP58" s="50" t="n"/>
      <c r="BQ58" s="50" t="n"/>
      <c r="BR58" s="50" t="n"/>
      <c r="BS58" s="50" t="n"/>
      <c r="BT58" s="50" t="n"/>
      <c r="BU58" s="50" t="n"/>
      <c r="BV58" s="50" t="n"/>
      <c r="BW58" s="50" t="n"/>
      <c r="BX58" s="50" t="n"/>
      <c r="BY58" s="50" t="n"/>
      <c r="BZ58" s="50" t="n"/>
      <c r="CA58" s="50" t="n"/>
      <c r="CB58" s="50" t="n"/>
      <c r="CC58" s="50" t="n"/>
      <c r="CD58" s="50" t="n"/>
      <c r="CE58" s="50" t="n"/>
      <c r="CF58" s="50" t="n"/>
      <c r="CG58" s="50" t="n"/>
      <c r="CH58" s="50" t="n"/>
      <c r="CI58" s="50" t="n"/>
      <c r="CJ58" s="50" t="n"/>
      <c r="CK58" s="50" t="n"/>
      <c r="CL58" s="50" t="n"/>
      <c r="CM58" s="50" t="n"/>
      <c r="CN58" s="50" t="n"/>
      <c r="CO58" s="50" t="n"/>
      <c r="CP58" s="50" t="n"/>
      <c r="CQ58" s="50" t="n"/>
      <c r="CR58" s="50" t="n"/>
      <c r="CS58" s="50" t="n"/>
      <c r="CT58" s="50" t="n"/>
      <c r="CU58" s="50" t="n"/>
      <c r="CV58" s="50" t="n"/>
      <c r="CW58" s="50" t="n"/>
      <c r="CX58" s="50" t="n"/>
      <c r="CY58" s="50" t="n"/>
    </row>
    <row r="59" hidden="1" outlineLevel="1">
      <c r="C59" s="50" t="inlineStr">
        <is>
          <t>Com Vendas (%)</t>
        </is>
      </c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  <c r="AJ59" s="50" t="n"/>
      <c r="AK59" s="50" t="n"/>
      <c r="AL59" s="50" t="n"/>
      <c r="AM59" s="50" t="n"/>
      <c r="AN59" s="50" t="n"/>
      <c r="AO59" s="50" t="n"/>
      <c r="AP59" s="50" t="n"/>
      <c r="AQ59" s="50" t="n"/>
      <c r="AR59" s="50" t="n"/>
      <c r="AS59" s="50" t="n"/>
      <c r="AT59" s="50" t="n"/>
      <c r="AU59" s="50" t="n"/>
      <c r="AV59" s="50" t="n"/>
      <c r="AW59" s="50" t="n"/>
      <c r="AX59" s="50" t="n"/>
      <c r="AY59" s="50" t="n"/>
      <c r="AZ59" s="50" t="n"/>
      <c r="BA59" s="50" t="n"/>
      <c r="BB59" s="50" t="n"/>
      <c r="BC59" s="50" t="n"/>
      <c r="BD59" s="50" t="n"/>
      <c r="BE59" s="50" t="n"/>
      <c r="BF59" s="50" t="n"/>
      <c r="BG59" s="50" t="n"/>
      <c r="BH59" s="50" t="n"/>
      <c r="BI59" s="50" t="n"/>
      <c r="BJ59" s="50" t="n"/>
      <c r="BK59" s="50" t="n"/>
      <c r="BL59" s="50" t="n"/>
      <c r="BM59" s="50" t="n"/>
      <c r="BN59" s="50" t="n"/>
      <c r="BO59" s="50" t="n"/>
      <c r="BP59" s="50" t="n"/>
      <c r="BQ59" s="50" t="n"/>
      <c r="BR59" s="50" t="n"/>
      <c r="BS59" s="50" t="n"/>
      <c r="BT59" s="50" t="n"/>
      <c r="BU59" s="50" t="n"/>
      <c r="BV59" s="50" t="n"/>
      <c r="BW59" s="50" t="n"/>
      <c r="BX59" s="50" t="n"/>
      <c r="BY59" s="50" t="n"/>
      <c r="BZ59" s="50" t="n"/>
      <c r="CA59" s="50" t="n"/>
      <c r="CB59" s="50" t="n"/>
      <c r="CC59" s="50" t="n"/>
      <c r="CD59" s="50" t="n"/>
      <c r="CE59" s="50" t="n"/>
      <c r="CF59" s="50" t="n"/>
      <c r="CG59" s="50" t="n"/>
      <c r="CH59" s="50" t="n"/>
      <c r="CI59" s="50" t="n"/>
      <c r="CJ59" s="50" t="n"/>
      <c r="CK59" s="50" t="n"/>
      <c r="CL59" s="50" t="n"/>
      <c r="CM59" s="50" t="n"/>
      <c r="CN59" s="50" t="n"/>
      <c r="CO59" s="50" t="n"/>
      <c r="CP59" s="50" t="n"/>
      <c r="CQ59" s="50" t="n"/>
      <c r="CR59" s="50" t="n"/>
      <c r="CS59" s="50" t="n"/>
      <c r="CT59" s="50" t="n"/>
      <c r="CU59" s="50" t="n"/>
      <c r="CV59" s="50" t="n"/>
      <c r="CW59" s="50" t="n"/>
      <c r="CX59" s="50" t="n"/>
      <c r="CY59" s="50" t="n"/>
    </row>
    <row r="60" hidden="1" outlineLevel="1">
      <c r="C60" s="50" t="inlineStr">
        <is>
          <t>Gerais &amp; Administrativas (%)</t>
        </is>
      </c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  <c r="AA60" s="50" t="n"/>
      <c r="AB60" s="50" t="n"/>
      <c r="AC60" s="50" t="n"/>
      <c r="AD60" s="50" t="n"/>
      <c r="AE60" s="50" t="n"/>
      <c r="AF60" s="50" t="n"/>
      <c r="AG60" s="50" t="n"/>
      <c r="AH60" s="50" t="n"/>
      <c r="AI60" s="50" t="n"/>
      <c r="AJ60" s="50" t="n"/>
      <c r="AK60" s="50" t="n"/>
      <c r="AL60" s="50" t="n"/>
      <c r="AM60" s="50" t="n"/>
      <c r="AN60" s="50" t="n"/>
      <c r="AO60" s="50" t="n"/>
      <c r="AP60" s="50" t="n"/>
      <c r="AQ60" s="50" t="n"/>
      <c r="AR60" s="50" t="n"/>
      <c r="AS60" s="50" t="n"/>
      <c r="AT60" s="50" t="n"/>
      <c r="AU60" s="50" t="n"/>
      <c r="AV60" s="50" t="n"/>
      <c r="AW60" s="50" t="n"/>
      <c r="AX60" s="50" t="n"/>
      <c r="AY60" s="50" t="n"/>
      <c r="AZ60" s="50" t="n"/>
      <c r="BA60" s="50" t="n"/>
      <c r="BB60" s="50" t="n"/>
      <c r="BC60" s="50" t="n"/>
      <c r="BD60" s="50" t="n"/>
      <c r="BE60" s="50" t="n"/>
      <c r="BF60" s="50" t="n"/>
      <c r="BG60" s="50" t="n"/>
      <c r="BH60" s="50" t="n"/>
      <c r="BI60" s="50" t="n"/>
      <c r="BJ60" s="50" t="n"/>
      <c r="BK60" s="50" t="n"/>
      <c r="BL60" s="50" t="n"/>
      <c r="BM60" s="50" t="n"/>
      <c r="BN60" s="50" t="n"/>
      <c r="BO60" s="50" t="n"/>
      <c r="BP60" s="50" t="n"/>
      <c r="BQ60" s="50" t="n"/>
      <c r="BR60" s="50" t="n"/>
      <c r="BS60" s="50" t="n"/>
      <c r="BT60" s="50" t="n"/>
      <c r="BU60" s="50" t="n"/>
      <c r="BV60" s="50" t="n"/>
      <c r="BW60" s="50" t="n"/>
      <c r="BX60" s="50" t="n"/>
      <c r="BY60" s="50" t="n"/>
      <c r="BZ60" s="50" t="n"/>
      <c r="CA60" s="50" t="n"/>
      <c r="CB60" s="50" t="n"/>
      <c r="CC60" s="50" t="n"/>
      <c r="CD60" s="50" t="n"/>
      <c r="CE60" s="50" t="n"/>
      <c r="CF60" s="50" t="n"/>
      <c r="CG60" s="50" t="n"/>
      <c r="CH60" s="50" t="n"/>
      <c r="CI60" s="50" t="n"/>
      <c r="CJ60" s="50" t="n"/>
      <c r="CK60" s="50" t="n"/>
      <c r="CL60" s="50" t="n"/>
      <c r="CM60" s="50" t="n"/>
      <c r="CN60" s="50" t="n"/>
      <c r="CO60" s="50" t="n"/>
      <c r="CP60" s="50" t="n"/>
      <c r="CQ60" s="50" t="n"/>
      <c r="CR60" s="50" t="n"/>
      <c r="CS60" s="50" t="n"/>
      <c r="CT60" s="50" t="n"/>
      <c r="CU60" s="50" t="n"/>
      <c r="CV60" s="50" t="n"/>
      <c r="CW60" s="50" t="n"/>
      <c r="CX60" s="50" t="n"/>
      <c r="CY60" s="50" t="n"/>
    </row>
    <row r="61" hidden="1" outlineLevel="1">
      <c r="C61" s="50" t="inlineStr">
        <is>
          <t>Outras Receitas (Despesas) Operacionais, Líquidas (%)</t>
        </is>
      </c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  <c r="AA61" s="50" t="n"/>
      <c r="AB61" s="50" t="n"/>
      <c r="AC61" s="50" t="n"/>
      <c r="AD61" s="50" t="n"/>
      <c r="AE61" s="50" t="n"/>
      <c r="AF61" s="50" t="n"/>
      <c r="AG61" s="50" t="n"/>
      <c r="AH61" s="50" t="n"/>
      <c r="AI61" s="50" t="n"/>
      <c r="AJ61" s="50" t="n"/>
      <c r="AK61" s="50" t="n"/>
      <c r="AL61" s="50" t="n"/>
      <c r="AM61" s="50" t="n"/>
      <c r="AN61" s="50" t="n"/>
      <c r="AO61" s="50" t="n"/>
      <c r="AP61" s="50" t="n"/>
      <c r="AQ61" s="50" t="n"/>
      <c r="AR61" s="50" t="n"/>
      <c r="AS61" s="50" t="n"/>
      <c r="AT61" s="50" t="n"/>
      <c r="AU61" s="50" t="n"/>
      <c r="AV61" s="50" t="n"/>
      <c r="AW61" s="50" t="n"/>
      <c r="AX61" s="50" t="n"/>
      <c r="AY61" s="50" t="n"/>
      <c r="AZ61" s="50" t="n"/>
      <c r="BA61" s="50" t="n"/>
      <c r="BB61" s="50" t="n"/>
      <c r="BC61" s="50" t="n"/>
      <c r="BD61" s="50" t="n"/>
      <c r="BE61" s="50" t="n"/>
      <c r="BF61" s="50" t="n"/>
      <c r="BG61" s="50" t="n"/>
      <c r="BH61" s="50" t="n"/>
      <c r="BI61" s="50" t="n"/>
      <c r="BJ61" s="50" t="n"/>
      <c r="BK61" s="50" t="n"/>
      <c r="BL61" s="50" t="n"/>
      <c r="BM61" s="50" t="n"/>
      <c r="BN61" s="50" t="n"/>
      <c r="BO61" s="50" t="n"/>
      <c r="BP61" s="50" t="n"/>
      <c r="BQ61" s="50" t="n"/>
      <c r="BR61" s="50" t="n"/>
      <c r="BS61" s="50" t="n"/>
      <c r="BT61" s="50" t="n"/>
      <c r="BU61" s="50" t="n"/>
      <c r="BV61" s="50" t="n"/>
      <c r="BW61" s="50" t="n"/>
      <c r="BX61" s="50" t="n"/>
      <c r="BY61" s="50" t="n"/>
      <c r="BZ61" s="50" t="n"/>
      <c r="CA61" s="50" t="n"/>
      <c r="CB61" s="50" t="n"/>
      <c r="CC61" s="50" t="n"/>
      <c r="CD61" s="50" t="n"/>
      <c r="CE61" s="50" t="n"/>
      <c r="CF61" s="50" t="n"/>
      <c r="CG61" s="50" t="n"/>
      <c r="CH61" s="50" t="n"/>
      <c r="CI61" s="50" t="n"/>
      <c r="CJ61" s="50" t="n"/>
      <c r="CK61" s="50" t="n"/>
      <c r="CL61" s="50" t="n"/>
      <c r="CM61" s="50" t="n"/>
      <c r="CN61" s="50" t="n"/>
      <c r="CO61" s="50" t="n"/>
      <c r="CP61" s="50" t="n"/>
      <c r="CQ61" s="50" t="n"/>
      <c r="CR61" s="50" t="n"/>
      <c r="CS61" s="50" t="n"/>
      <c r="CT61" s="50" t="n"/>
      <c r="CU61" s="50" t="n"/>
      <c r="CV61" s="50" t="n"/>
      <c r="CW61" s="50" t="n"/>
      <c r="CX61" s="50" t="n"/>
      <c r="CY61" s="50" t="n"/>
    </row>
    <row r="62" hidden="1" outlineLevel="1"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  <c r="AA62" s="50" t="n"/>
      <c r="AB62" s="50" t="n"/>
      <c r="AC62" s="50" t="n"/>
      <c r="AD62" s="50" t="n"/>
      <c r="AE62" s="50" t="n"/>
      <c r="AF62" s="50" t="n"/>
      <c r="AG62" s="50" t="n"/>
      <c r="AH62" s="50" t="n"/>
      <c r="AI62" s="50" t="n"/>
      <c r="AJ62" s="50" t="n"/>
      <c r="AK62" s="50" t="n"/>
      <c r="AL62" s="50" t="n"/>
      <c r="AM62" s="50" t="n"/>
      <c r="AN62" s="50" t="n"/>
      <c r="AO62" s="50" t="n"/>
      <c r="AP62" s="50" t="n"/>
      <c r="AQ62" s="50" t="n"/>
      <c r="AR62" s="50" t="n"/>
      <c r="AS62" s="50" t="n"/>
      <c r="AT62" s="50" t="n"/>
      <c r="AU62" s="50" t="n"/>
      <c r="AV62" s="50" t="n"/>
      <c r="AW62" s="50" t="n"/>
      <c r="AX62" s="50" t="n"/>
      <c r="AY62" s="50" t="n"/>
      <c r="AZ62" s="50" t="n"/>
      <c r="BA62" s="50" t="n"/>
      <c r="BB62" s="50" t="n"/>
      <c r="BC62" s="50" t="n"/>
      <c r="BD62" s="50" t="n"/>
      <c r="BE62" s="50" t="n"/>
      <c r="BF62" s="50" t="n"/>
      <c r="BG62" s="50" t="n"/>
      <c r="BH62" s="50" t="n"/>
      <c r="BI62" s="50" t="n"/>
      <c r="BJ62" s="50" t="n"/>
      <c r="BK62" s="50" t="n"/>
      <c r="BL62" s="50" t="n"/>
      <c r="BM62" s="50" t="n"/>
      <c r="BN62" s="50" t="n"/>
      <c r="BO62" s="50" t="n"/>
      <c r="BP62" s="50" t="n"/>
      <c r="BQ62" s="50" t="n"/>
      <c r="BR62" s="50" t="n"/>
      <c r="BS62" s="50" t="n"/>
      <c r="BT62" s="50" t="n"/>
      <c r="BU62" s="50" t="n"/>
      <c r="BV62" s="50" t="n"/>
      <c r="BW62" s="50" t="n"/>
      <c r="BX62" s="50" t="n"/>
      <c r="BY62" s="50" t="n"/>
      <c r="BZ62" s="50" t="n"/>
      <c r="CA62" s="50" t="n"/>
      <c r="CB62" s="50" t="n"/>
      <c r="CC62" s="50" t="n"/>
      <c r="CD62" s="50" t="n"/>
      <c r="CE62" s="50" t="n"/>
      <c r="CF62" s="50" t="n"/>
      <c r="CG62" s="50" t="n"/>
      <c r="CH62" s="50" t="n"/>
      <c r="CI62" s="50" t="n"/>
      <c r="CJ62" s="50" t="n"/>
      <c r="CK62" s="50" t="n"/>
      <c r="CL62" s="50" t="n"/>
      <c r="CM62" s="50" t="n"/>
      <c r="CN62" s="50" t="n"/>
      <c r="CO62" s="50" t="n"/>
      <c r="CP62" s="50" t="n"/>
      <c r="CQ62" s="50" t="n"/>
      <c r="CR62" s="50" t="n"/>
      <c r="CS62" s="50" t="n"/>
      <c r="CT62" s="50" t="n"/>
      <c r="CU62" s="50" t="n"/>
      <c r="CV62" s="50" t="n"/>
      <c r="CW62" s="50" t="n"/>
      <c r="CX62" s="50" t="n"/>
      <c r="CY62" s="50" t="n"/>
    </row>
    <row r="63" collapsed="1" customFormat="1" s="32">
      <c r="A63" s="30" t="n"/>
      <c r="B63" s="3" t="n"/>
      <c r="C63" s="33" t="inlineStr">
        <is>
          <t>EBITDA</t>
        </is>
      </c>
      <c r="D63" s="35" t="n"/>
      <c r="E63" s="35" t="n"/>
      <c r="F63" s="35" t="n"/>
      <c r="G63" s="35" t="n"/>
      <c r="H63" s="35" t="n"/>
      <c r="I63" s="35">
        <f>SUM(I15,I48,I52)</f>
        <v>27152</v>
      </c>
      <c r="J63" s="35">
        <f>SUM(J15,J48,J52)</f>
        <v>26958</v>
      </c>
      <c r="K63" s="35">
        <f>SUM(K15,K48,K52)</f>
        <v>26775</v>
      </c>
      <c r="L63" s="35">
        <f>SUM(L15,L48,L52)</f>
        <v>44185</v>
      </c>
      <c r="M63" s="35">
        <f>SUM(I63:L63)</f>
        <v>125070</v>
      </c>
      <c r="N63" s="35">
        <f>SUM(N15,N48,N52)</f>
        <v>32716</v>
      </c>
      <c r="O63" s="35">
        <f>SUM(O15,O48,O52)</f>
        <v>25881</v>
      </c>
      <c r="P63" s="35">
        <f>SUM(P15,P48,P52)</f>
        <v>27759</v>
      </c>
      <c r="Q63" s="35">
        <f>SUM(Q15,Q48,Q52)</f>
        <v>38932</v>
      </c>
      <c r="R63" s="35">
        <f>SUM(N63:Q63)</f>
        <v>125288</v>
      </c>
      <c r="S63" s="35">
        <f>SUM(S15,S48,S52)</f>
        <v>31216</v>
      </c>
      <c r="T63" s="35">
        <f>SUM(T15,T48,T52)</f>
        <v>26050</v>
      </c>
      <c r="U63" s="35">
        <f>SUM(U15,U48,U52)</f>
        <v>29622</v>
      </c>
      <c r="V63" s="35">
        <f>SUM(V15,V48,V52)</f>
        <v>43221</v>
      </c>
      <c r="W63" s="35">
        <f>SUM(S63:V63)</f>
        <v>130109</v>
      </c>
      <c r="X63" s="35">
        <f>SUM(X15,X48,X52)</f>
        <v>30736</v>
      </c>
      <c r="Y63" s="35">
        <f>SUM(Y15,Y48,Y52)</f>
        <v>28202</v>
      </c>
      <c r="Z63" s="35">
        <f>SUM(Z15,Z48,Z52)</f>
        <v>32502</v>
      </c>
      <c r="AA63" s="35">
        <f>SUM(AA15,AA48,AA52)</f>
        <v>45912</v>
      </c>
      <c r="AB63" s="35">
        <f>SUM(X63:AA63)</f>
        <v>137352</v>
      </c>
      <c r="AC63" s="35">
        <f>SUM(AC15,AC48,AC52)</f>
        <v>32250</v>
      </c>
      <c r="AD63" s="35">
        <f>SUM(AD15,AD48,AD52)</f>
        <v>31032</v>
      </c>
      <c r="AE63" s="35">
        <f>SUM(AE15,AE48,AE52)</f>
        <v>35554</v>
      </c>
      <c r="AF63" s="35">
        <f>SUM(AF15,AF48,AF52)</f>
        <v>54066</v>
      </c>
      <c r="AG63" s="35">
        <f>SUM(AC63:AF63)</f>
        <v>152902</v>
      </c>
      <c r="AH63" s="35">
        <f>SUM(AH15,AH48,AH52)</f>
        <v>39324</v>
      </c>
      <c r="AI63" s="35">
        <f>SUM(AI15,AI48,AI52)</f>
        <v>39015</v>
      </c>
      <c r="AJ63" s="35">
        <f>SUM(AJ15,AJ48,AJ52)</f>
        <v>40150.8886054818</v>
      </c>
      <c r="AK63" s="35">
        <f>SUM(AK15,AK48,AK52)</f>
        <v>56330.2084825175</v>
      </c>
      <c r="AL63" s="35">
        <f>SUM(AH63:AK63)</f>
        <v>174820.097087999</v>
      </c>
      <c r="AM63" s="35">
        <f>SUM(AM15,AM48,AM52)</f>
        <v>43567.0017245905</v>
      </c>
      <c r="AN63" s="35">
        <f>SUM(AN15,AN48,AN52)</f>
        <v>42874.6099051978</v>
      </c>
      <c r="AO63" s="35">
        <f>SUM(AO15,AO48,AO52)</f>
        <v>44918.564946009</v>
      </c>
      <c r="AP63" s="35">
        <f>SUM(AP15,AP48,AP52)</f>
        <v>63019.0816698073</v>
      </c>
      <c r="AQ63" s="35">
        <f>SUM(AM63:AP63)</f>
        <v>194379.258245605</v>
      </c>
      <c r="AR63" s="35">
        <f>SUM(AR15,AR48,AR52)</f>
        <v>48522.4859266831</v>
      </c>
      <c r="AS63" s="35">
        <f>SUM(AS15,AS48,AS52)</f>
        <v>47751.3387055681</v>
      </c>
      <c r="AT63" s="35">
        <f>SUM(AT15,AT48,AT52)</f>
        <v>50027.7813290355</v>
      </c>
      <c r="AU63" s="35">
        <f>SUM(AU15,AU48,AU52)</f>
        <v>70187.1228772161</v>
      </c>
      <c r="AV63" s="35">
        <f>SUM(AR63:AU63)</f>
        <v>216488.728838503</v>
      </c>
      <c r="AW63" s="35">
        <f>SUM(AW15,AW48,AW52)</f>
        <v>53799.0141984448</v>
      </c>
      <c r="AX63" s="35">
        <f>SUM(AX15,AX48,AX52)</f>
        <v>52944.0093588217</v>
      </c>
      <c r="AY63" s="35">
        <f>SUM(AY15,AY48,AY52)</f>
        <v>55468.0014149361</v>
      </c>
      <c r="AZ63" s="35">
        <f>SUM(AZ15,AZ48,AZ52)</f>
        <v>77819.5500107894</v>
      </c>
      <c r="BA63" s="35">
        <f>SUM(AW63:AZ63)</f>
        <v>240030.574982992</v>
      </c>
      <c r="BB63" s="35">
        <f>SUM(BB15,BB48,BB52)</f>
        <v>59380.3380876133</v>
      </c>
      <c r="BC63" s="35">
        <f>SUM(BC15,BC48,BC52)</f>
        <v>58436.631642434</v>
      </c>
      <c r="BD63" s="35">
        <f>SUM(BD15,BD48,BD52)</f>
        <v>61222.4726816338</v>
      </c>
      <c r="BE63" s="35">
        <f>SUM(BE15,BE48,BE52)</f>
        <v>85892.8599030014</v>
      </c>
      <c r="BF63" s="35">
        <f>SUM(BB63:BE63)</f>
        <v>264932.302314682</v>
      </c>
      <c r="BG63" s="35" t="n"/>
      <c r="BH63" s="35" t="n"/>
      <c r="BI63" s="35" t="n"/>
      <c r="BJ63" s="35" t="n"/>
      <c r="BK63" s="35" t="n"/>
      <c r="BL63" s="35" t="n"/>
      <c r="BM63" s="35" t="n"/>
      <c r="BN63" s="35" t="n"/>
      <c r="BO63" s="35" t="n"/>
      <c r="BP63" s="35" t="n"/>
      <c r="BQ63" s="35" t="n"/>
      <c r="BR63" s="35" t="n"/>
      <c r="BS63" s="35" t="n"/>
      <c r="BT63" s="35" t="n"/>
      <c r="BU63" s="35" t="n"/>
      <c r="BV63" s="35" t="n"/>
      <c r="BW63" s="35" t="n"/>
      <c r="BX63" s="35" t="n"/>
      <c r="BY63" s="35" t="n"/>
      <c r="BZ63" s="35" t="n"/>
      <c r="CA63" s="35" t="n"/>
      <c r="CB63" s="35" t="n"/>
      <c r="CC63" s="35" t="n"/>
      <c r="CD63" s="35" t="n"/>
      <c r="CE63" s="35" t="n"/>
      <c r="CF63" s="35" t="n"/>
      <c r="CG63" s="35" t="n"/>
      <c r="CH63" s="35" t="n"/>
      <c r="CI63" s="35" t="n"/>
      <c r="CJ63" s="35" t="n"/>
      <c r="CK63" s="35" t="n"/>
      <c r="CL63" s="35" t="n"/>
      <c r="CM63" s="35" t="n"/>
      <c r="CN63" s="35" t="n"/>
      <c r="CO63" s="35" t="n"/>
      <c r="CP63" s="35" t="n"/>
      <c r="CQ63" s="35" t="n"/>
      <c r="CR63" s="35" t="n"/>
      <c r="CS63" s="35" t="n"/>
      <c r="CT63" s="35" t="n"/>
      <c r="CU63" s="35" t="n"/>
      <c r="CV63" s="35" t="n"/>
      <c r="CW63" s="35" t="n"/>
      <c r="CX63" s="35" t="n"/>
      <c r="CY63" s="35" t="n"/>
    </row>
    <row r="64" ht="13.5" customHeight="1">
      <c r="C64" s="13" t="inlineStr">
        <is>
          <t>D&amp;A</t>
        </is>
      </c>
      <c r="D64" s="46" t="n"/>
      <c r="E64" s="46" t="n"/>
      <c r="F64" s="46" t="n"/>
      <c r="G64" s="46" t="n"/>
      <c r="H64" s="12" t="n"/>
      <c r="I64" s="46">
        <f>'Inputs (2)'!D7</f>
        <v>351</v>
      </c>
      <c r="J64" s="46">
        <f>'Inputs (2)'!E7</f>
        <v>-2832</v>
      </c>
      <c r="K64" s="46">
        <f>'Inputs (2)'!F7</f>
        <v>-2989</v>
      </c>
      <c r="L64" s="46">
        <f>'Inputs (2)'!G7</f>
        <v>-2697</v>
      </c>
      <c r="M64" s="12">
        <f>'Inputs (2)'!H7</f>
        <v>-8167</v>
      </c>
      <c r="N64" s="46">
        <f>'Inputs (2)'!I7</f>
        <v>-2737</v>
      </c>
      <c r="O64" s="46">
        <f>'Inputs (2)'!J7</f>
        <v>-2805</v>
      </c>
      <c r="P64" s="46">
        <f>'Inputs (2)'!K7</f>
        <v>-2865</v>
      </c>
      <c r="Q64" s="46">
        <f>'Inputs (2)'!L7</f>
        <v>-2916</v>
      </c>
      <c r="R64" s="12">
        <f>'Inputs (2)'!M7</f>
        <v>-11323</v>
      </c>
      <c r="S64" s="46">
        <f>'Inputs (2)'!N7</f>
        <v>-2898</v>
      </c>
      <c r="T64" s="46">
        <f>'Inputs (2)'!O7</f>
        <v>-3052</v>
      </c>
      <c r="U64" s="46">
        <f>'Inputs (2)'!P7</f>
        <v>-2653</v>
      </c>
      <c r="V64" s="46">
        <f>'Inputs (2)'!Q7</f>
        <v>-2848</v>
      </c>
      <c r="W64" s="12">
        <f>'Inputs (2)'!R7</f>
        <v>-11451</v>
      </c>
      <c r="X64" s="46">
        <f>'Inputs (2)'!S7</f>
        <v>-2836</v>
      </c>
      <c r="Y64" s="46">
        <f>'Inputs (2)'!T7</f>
        <v>-2850</v>
      </c>
      <c r="Z64" s="46">
        <f>'Inputs (2)'!U7</f>
        <v>-2911</v>
      </c>
      <c r="AA64" s="46">
        <f>'Inputs (2)'!V7</f>
        <v>-3080</v>
      </c>
      <c r="AB64" s="12">
        <f>'Inputs (2)'!W7</f>
        <v>-11677</v>
      </c>
      <c r="AC64" s="46">
        <f>'Inputs (2)'!X7</f>
        <v>-2661</v>
      </c>
      <c r="AD64" s="46">
        <f>'Inputs (2)'!Y7</f>
        <v>-2830</v>
      </c>
      <c r="AE64" s="46">
        <f>'Inputs (2)'!Z7</f>
        <v>-3127</v>
      </c>
      <c r="AF64" s="46">
        <f>'Inputs (2)'!AA7</f>
        <v>-3214</v>
      </c>
      <c r="AG64" s="12">
        <f>'Inputs (2)'!AB7</f>
        <v>-11832</v>
      </c>
      <c r="AH64" s="12">
        <f>'Inputs (2)'!AC7</f>
        <v>-3439</v>
      </c>
      <c r="AI64" s="12">
        <f>'Inputs (2)'!AD7</f>
        <v>-3320</v>
      </c>
      <c r="AJ64" s="12">
        <f>-AJ65*AJ15</f>
        <v>-3288.98076876138</v>
      </c>
      <c r="AK64" s="12">
        <f>-AK65*AK15</f>
        <v>-4614.3181093637</v>
      </c>
      <c r="AL64" s="12">
        <f>SUM(AH64:AK64)</f>
        <v>-14662.2988781251</v>
      </c>
      <c r="AM64" s="12">
        <f>-AM65*AM15</f>
        <v>-3568.81343854513</v>
      </c>
      <c r="AN64" s="12">
        <f>-AN65*AN15</f>
        <v>-3512.09580519942</v>
      </c>
      <c r="AO64" s="12">
        <f>-AO65*AO15</f>
        <v>-3679.52743759729</v>
      </c>
      <c r="AP64" s="12">
        <f>-AP65*AP15</f>
        <v>-5162.24060975579</v>
      </c>
      <c r="AQ64" s="12">
        <f>SUM(AM64:AP64)</f>
        <v>-15922.6772910976</v>
      </c>
      <c r="AR64" s="12">
        <f>-AR65*AR15</f>
        <v>-3974.74448532047</v>
      </c>
      <c r="AS64" s="12">
        <f>-AS65*AS15</f>
        <v>-3911.57556258374</v>
      </c>
      <c r="AT64" s="12">
        <f>-AT65*AT15</f>
        <v>-4098.05153534093</v>
      </c>
      <c r="AU64" s="12">
        <f>-AU65*AU15</f>
        <v>-5749.41440589533</v>
      </c>
      <c r="AV64" s="12">
        <f>SUM(AR64:AU64)</f>
        <v>-17733.7859891405</v>
      </c>
      <c r="AW64" s="12">
        <f>-AW65*AW15</f>
        <v>-4406.97402280773</v>
      </c>
      <c r="AX64" s="12">
        <f>-AX65*AX15</f>
        <v>-4336.93585995785</v>
      </c>
      <c r="AY64" s="12">
        <f>-AY65*AY15</f>
        <v>-4543.68997229232</v>
      </c>
      <c r="AZ64" s="12">
        <f>-AZ65*AZ15</f>
        <v>-6374.62861492451</v>
      </c>
      <c r="BA64" s="12">
        <f>SUM(AW64:AZ64)</f>
        <v>-19662.2284699824</v>
      </c>
      <c r="BB64" s="12">
        <f>-BB65*BB15</f>
        <v>-4864.17105065128</v>
      </c>
      <c r="BC64" s="12">
        <f>-BC65*BC15</f>
        <v>-4786.86684998841</v>
      </c>
      <c r="BD64" s="12">
        <f>-BD65*BD15</f>
        <v>-5015.07045695673</v>
      </c>
      <c r="BE64" s="12">
        <f>-BE65*BE15</f>
        <v>-7035.95796274151</v>
      </c>
      <c r="BF64" s="12">
        <f>SUM(BB64:BE64)</f>
        <v>-21702.0663203379</v>
      </c>
      <c r="BG64" s="12" t="n"/>
      <c r="BH64" s="12" t="n"/>
      <c r="BI64" s="12" t="n"/>
      <c r="BJ64" s="12" t="n"/>
      <c r="BK64" s="12" t="n"/>
      <c r="BL64" s="12" t="n"/>
      <c r="BM64" s="12" t="n"/>
      <c r="BN64" s="12" t="n"/>
      <c r="BO64" s="12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  <c r="CN64" s="12" t="n"/>
      <c r="CO64" s="12" t="n"/>
      <c r="CP64" s="12" t="n"/>
      <c r="CQ64" s="12" t="n"/>
      <c r="CR64" s="12" t="n"/>
      <c r="CS64" s="12" t="n"/>
      <c r="CT64" s="12" t="n"/>
      <c r="CU64" s="12" t="n"/>
      <c r="CV64" s="12" t="n"/>
      <c r="CW64" s="12" t="n"/>
      <c r="CX64" s="12" t="n"/>
      <c r="CY64" s="12" t="n"/>
    </row>
    <row r="65" hidden="1" outlineLevel="1" customFormat="1" s="56">
      <c r="A65" s="53" t="n"/>
      <c r="B65" s="53" t="n"/>
      <c r="C65" s="54" t="inlineStr">
        <is>
          <t>% of Revenue</t>
        </is>
      </c>
      <c r="D65" s="53" t="n"/>
      <c r="E65" s="53" t="n"/>
      <c r="F65" s="53" t="n"/>
      <c r="G65" s="53" t="n"/>
      <c r="H65" s="53" t="n"/>
      <c r="I65" s="53">
        <f>IFERROR(-I64/I15,"")</f>
        <v>-0.00391811037685301</v>
      </c>
      <c r="J65" s="53">
        <f>IFERROR(-J64/J15,"")</f>
        <v>0.0347766289264926</v>
      </c>
      <c r="K65" s="53">
        <f>IFERROR(-K64/K15,"")</f>
        <v>0.0358565259117083</v>
      </c>
      <c r="L65" s="53">
        <f>IFERROR(-L64/L15,"")</f>
        <v>0.0217596514583081</v>
      </c>
      <c r="M65" s="53" t="n"/>
      <c r="N65" s="53">
        <f>IFERROR(-N64/N15,"")</f>
        <v>0.0281358580562923</v>
      </c>
      <c r="O65" s="53">
        <f>IFERROR(-O64/O15,"")</f>
        <v>0.0338118829783387</v>
      </c>
      <c r="P65" s="53">
        <f>IFERROR(-P64/P15,"")</f>
        <v>0.0317817762296719</v>
      </c>
      <c r="Q65" s="53">
        <f>IFERROR(-Q64/Q15,"")</f>
        <v>0.0248903153114704</v>
      </c>
      <c r="R65" s="53" t="n"/>
      <c r="S65" s="53">
        <f>IFERROR(-S64/S15,"")</f>
        <v>0.0305580159433127</v>
      </c>
      <c r="T65" s="53">
        <f>IFERROR(-T64/T15,"")</f>
        <v>0.0373118818538577</v>
      </c>
      <c r="U65" s="53">
        <f>IFERROR(-U64/U15,"")</f>
        <v>0.0296431205166596</v>
      </c>
      <c r="V65" s="53">
        <f>IFERROR(-V64/V15,"")</f>
        <v>0.0238176876437382</v>
      </c>
      <c r="W65" s="53" t="n"/>
      <c r="X65" s="53">
        <f>IFERROR(-X64/X15,"")</f>
        <v>0.0312496556587661</v>
      </c>
      <c r="Y65" s="53">
        <f>IFERROR(-Y64/Y15,"")</f>
        <v>0.0332256898702449</v>
      </c>
      <c r="Z65" s="53">
        <f>IFERROR(-Z64/Z15,"")</f>
        <v>0.0306647003054883</v>
      </c>
      <c r="AA65" s="53">
        <f>IFERROR(-AA64/AA15,"")</f>
        <v>0.0247787610619469</v>
      </c>
      <c r="AB65" s="53" t="n"/>
      <c r="AC65" s="53">
        <f>IFERROR(-AC64/AC15,"")</f>
        <v>0.0279050745079122</v>
      </c>
      <c r="AD65" s="53">
        <f>IFERROR(-AD64/AD15,"")</f>
        <v>0.0300948572886979</v>
      </c>
      <c r="AE65" s="53">
        <f>IFERROR(-AE64/AE15,"")</f>
        <v>0.0305174399312943</v>
      </c>
      <c r="AF65" s="55">
        <f>IFERROR(-AF64/AF15,"")</f>
        <v>0.0223573276941484</v>
      </c>
      <c r="AG65" s="53" t="n"/>
      <c r="AH65" s="55">
        <f>IFERROR(-AH64/AH15,"")</f>
        <v>0.0309307094545978</v>
      </c>
      <c r="AI65" s="55">
        <f>IFERROR(-AI64/AI15,"")</f>
        <v>0.0303426341427749</v>
      </c>
      <c r="AJ65" s="55">
        <f>Control!$B$21</f>
        <v>0.0286913405032376</v>
      </c>
      <c r="AK65" s="55">
        <f>Control!$B$21</f>
        <v>0.0286913405032376</v>
      </c>
      <c r="AL65" s="53" t="n"/>
      <c r="AM65" s="55">
        <f>Control!$C$21</f>
        <v>0.0286913405032376</v>
      </c>
      <c r="AN65" s="55">
        <f>Control!$C$21</f>
        <v>0.0286913405032376</v>
      </c>
      <c r="AO65" s="55">
        <f>Control!$C$21</f>
        <v>0.0286913405032376</v>
      </c>
      <c r="AP65" s="55">
        <f>Control!$C$21</f>
        <v>0.0286913405032376</v>
      </c>
      <c r="AQ65" s="53" t="n"/>
      <c r="AR65" s="55">
        <f>Control!$D$21</f>
        <v>0.0286913405032376</v>
      </c>
      <c r="AS65" s="55">
        <f>Control!$D$21</f>
        <v>0.0286913405032376</v>
      </c>
      <c r="AT65" s="55">
        <f>Control!$D$21</f>
        <v>0.0286913405032376</v>
      </c>
      <c r="AU65" s="55">
        <f>Control!$D$21</f>
        <v>0.0286913405032376</v>
      </c>
      <c r="AV65" s="53" t="n"/>
      <c r="AW65" s="55">
        <f>Control!$E$21</f>
        <v>0.0286913405032376</v>
      </c>
      <c r="AX65" s="55">
        <f>Control!$E$21</f>
        <v>0.0286913405032376</v>
      </c>
      <c r="AY65" s="55">
        <f>Control!$E$21</f>
        <v>0.0286913405032376</v>
      </c>
      <c r="AZ65" s="55">
        <f>Control!$E$21</f>
        <v>0.0286913405032376</v>
      </c>
      <c r="BA65" s="53" t="n"/>
      <c r="BB65" s="55">
        <f>Control!$F$21</f>
        <v>0.0286913405032376</v>
      </c>
      <c r="BC65" s="55">
        <f>Control!$F$21</f>
        <v>0.0286913405032376</v>
      </c>
      <c r="BD65" s="55">
        <f>Control!$F$21</f>
        <v>0.0286913405032376</v>
      </c>
      <c r="BE65" s="55">
        <f>Control!$F$21</f>
        <v>0.0286913405032376</v>
      </c>
      <c r="BF65" s="53" t="n"/>
      <c r="BG65" s="55" t="n"/>
      <c r="BH65" s="55" t="n"/>
      <c r="BI65" s="55" t="n"/>
      <c r="BJ65" s="55" t="n"/>
      <c r="BK65" s="53" t="n"/>
      <c r="BL65" s="55" t="n"/>
      <c r="BM65" s="55" t="n"/>
      <c r="BN65" s="55" t="n"/>
      <c r="BO65" s="55" t="n"/>
      <c r="BP65" s="53" t="n"/>
      <c r="BQ65" s="55" t="n"/>
      <c r="BR65" s="55" t="n"/>
      <c r="BS65" s="55" t="n"/>
      <c r="BT65" s="55" t="n"/>
      <c r="BU65" s="53" t="n"/>
      <c r="BV65" s="55" t="n"/>
      <c r="BW65" s="55" t="n"/>
      <c r="BX65" s="55" t="n"/>
      <c r="BY65" s="55" t="n"/>
      <c r="BZ65" s="53" t="n"/>
      <c r="CA65" s="55" t="n"/>
      <c r="CB65" s="55" t="n"/>
      <c r="CC65" s="55" t="n"/>
      <c r="CD65" s="55" t="n"/>
      <c r="CE65" s="53" t="n"/>
      <c r="CF65" s="55" t="n"/>
      <c r="CG65" s="55" t="n"/>
      <c r="CH65" s="55" t="n"/>
      <c r="CI65" s="55" t="n"/>
      <c r="CJ65" s="53" t="n"/>
      <c r="CK65" s="55" t="n"/>
      <c r="CL65" s="55" t="n"/>
      <c r="CM65" s="55" t="n"/>
      <c r="CN65" s="55" t="n"/>
      <c r="CO65" s="53" t="n"/>
      <c r="CP65" s="55" t="n"/>
      <c r="CQ65" s="55" t="n"/>
      <c r="CR65" s="55" t="n"/>
      <c r="CS65" s="55" t="n"/>
      <c r="CT65" s="53" t="n"/>
      <c r="CU65" s="55" t="n"/>
      <c r="CV65" s="55" t="n"/>
      <c r="CW65" s="55" t="n"/>
      <c r="CX65" s="55" t="n"/>
      <c r="CY65" s="53" t="n"/>
    </row>
    <row r="66" hidden="1" outlineLevel="1">
      <c r="C66" s="50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  <c r="BJ66" s="12" t="n"/>
      <c r="BK66" s="12" t="n"/>
      <c r="BL66" s="12" t="n"/>
      <c r="BM66" s="12" t="n"/>
      <c r="BN66" s="12" t="n"/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  <c r="CR66" s="12" t="n"/>
      <c r="CS66" s="12" t="n"/>
      <c r="CT66" s="12" t="n"/>
      <c r="CU66" s="12" t="n"/>
      <c r="CV66" s="12" t="n"/>
      <c r="CW66" s="12" t="n"/>
      <c r="CX66" s="12" t="n"/>
      <c r="CY66" s="12" t="n"/>
    </row>
    <row r="67" collapsed="1" customFormat="1" s="32">
      <c r="A67" s="30" t="n"/>
      <c r="B67" s="3" t="n"/>
      <c r="C67" s="33" t="inlineStr">
        <is>
          <t>Operating Profit - EBIT</t>
        </is>
      </c>
      <c r="D67" s="35" t="n"/>
      <c r="E67" s="35" t="n"/>
      <c r="F67" s="35" t="n"/>
      <c r="G67" s="35" t="n"/>
      <c r="H67" s="35" t="n"/>
      <c r="I67" s="35">
        <f>SUM(I63,I64)</f>
        <v>27503</v>
      </c>
      <c r="J67" s="35">
        <f>SUM(J63,J64)</f>
        <v>24126</v>
      </c>
      <c r="K67" s="35">
        <f>SUM(K63,K64)</f>
        <v>23786</v>
      </c>
      <c r="L67" s="35">
        <f>SUM(L63,L64)</f>
        <v>41488</v>
      </c>
      <c r="M67" s="35">
        <f>SUM(I67:L67)</f>
        <v>116903</v>
      </c>
      <c r="N67" s="35">
        <f>SUM(N63,N64)</f>
        <v>29979</v>
      </c>
      <c r="O67" s="35">
        <f>SUM(O63,O64)</f>
        <v>23076</v>
      </c>
      <c r="P67" s="35">
        <f>SUM(P63,P64)</f>
        <v>24894</v>
      </c>
      <c r="Q67" s="35">
        <f>SUM(Q63,Q64)</f>
        <v>36016</v>
      </c>
      <c r="R67" s="35">
        <f>SUM(N67:Q67)</f>
        <v>113965</v>
      </c>
      <c r="S67" s="35">
        <f>SUM(S63,S64)</f>
        <v>28318</v>
      </c>
      <c r="T67" s="35">
        <f>SUM(T63,T64)</f>
        <v>22998</v>
      </c>
      <c r="U67" s="35">
        <f>SUM(U63,U64)</f>
        <v>26969</v>
      </c>
      <c r="V67" s="35">
        <f>SUM(V63,V64)</f>
        <v>40373</v>
      </c>
      <c r="W67" s="35">
        <f>SUM(S67:V67)</f>
        <v>118658</v>
      </c>
      <c r="X67" s="35">
        <f>SUM(X63,X64)</f>
        <v>27900</v>
      </c>
      <c r="Y67" s="35">
        <f>SUM(Y63,Y64)</f>
        <v>25352</v>
      </c>
      <c r="Z67" s="35">
        <f>SUM(Z63,Z64)</f>
        <v>29591</v>
      </c>
      <c r="AA67" s="35">
        <f>SUM(AA63,AA64)</f>
        <v>42832</v>
      </c>
      <c r="AB67" s="35">
        <f>SUM(X67:AA67)</f>
        <v>125675</v>
      </c>
      <c r="AC67" s="35">
        <f>SUM(AC63,AC64)</f>
        <v>29589</v>
      </c>
      <c r="AD67" s="35">
        <f>SUM(AD63,AD64)</f>
        <v>28202</v>
      </c>
      <c r="AE67" s="35">
        <f>SUM(AE63,AE64)</f>
        <v>32427</v>
      </c>
      <c r="AF67" s="35">
        <f>SUM(AF63,AF64)</f>
        <v>50852</v>
      </c>
      <c r="AG67" s="35">
        <f>SUM(AC67:AF67)</f>
        <v>141070</v>
      </c>
      <c r="AH67" s="35">
        <f>SUM(AH63,AH64)</f>
        <v>35885</v>
      </c>
      <c r="AI67" s="35">
        <f>SUM(AI63,AI64)</f>
        <v>35695</v>
      </c>
      <c r="AJ67" s="35">
        <f>SUM(AJ63,AJ64)</f>
        <v>36861.9078367204</v>
      </c>
      <c r="AK67" s="35">
        <f>SUM(AK63,AK64)</f>
        <v>51715.8903731538</v>
      </c>
      <c r="AL67" s="35">
        <f>SUM(AL63,AL64)</f>
        <v>160157.798209874</v>
      </c>
      <c r="AM67" s="35">
        <f>SUM(AM63,AM64)</f>
        <v>39998.1882860453</v>
      </c>
      <c r="AN67" s="35">
        <f>SUM(AN63,AN64)</f>
        <v>39362.5140999984</v>
      </c>
      <c r="AO67" s="35">
        <f>SUM(AO63,AO64)</f>
        <v>41239.0375084117</v>
      </c>
      <c r="AP67" s="35">
        <f>SUM(AP63,AP64)</f>
        <v>57856.8410600515</v>
      </c>
      <c r="AQ67" s="35">
        <f>SUM(AQ63,AQ64)</f>
        <v>178456.580954507</v>
      </c>
      <c r="AR67" s="35">
        <f>SUM(AR63,AR64)</f>
        <v>44547.7414413626</v>
      </c>
      <c r="AS67" s="35">
        <f>SUM(AS63,AS64)</f>
        <v>43839.7631429844</v>
      </c>
      <c r="AT67" s="35">
        <f>SUM(AT63,AT64)</f>
        <v>45929.7297936945</v>
      </c>
      <c r="AU67" s="35">
        <f>SUM(AU63,AU64)</f>
        <v>64437.7084713208</v>
      </c>
      <c r="AV67" s="35">
        <f>SUM(AV63,AV64)</f>
        <v>198754.942849362</v>
      </c>
      <c r="AW67" s="35">
        <f>SUM(AW63,AW64)</f>
        <v>49392.0401756371</v>
      </c>
      <c r="AX67" s="35">
        <f>SUM(AX63,AX64)</f>
        <v>48607.0734988639</v>
      </c>
      <c r="AY67" s="35">
        <f>SUM(AY63,AY64)</f>
        <v>50924.3114426437</v>
      </c>
      <c r="AZ67" s="35">
        <f>SUM(AZ63,AZ64)</f>
        <v>71444.9213958649</v>
      </c>
      <c r="BA67" s="35">
        <f>SUM(BA63,BA64)</f>
        <v>220368.34651301</v>
      </c>
      <c r="BB67" s="35">
        <f>SUM(BB63,BB64)</f>
        <v>54516.167036962</v>
      </c>
      <c r="BC67" s="35">
        <f>SUM(BC63,BC64)</f>
        <v>53649.7647924456</v>
      </c>
      <c r="BD67" s="35">
        <f>SUM(BD63,BD64)</f>
        <v>56207.402224677</v>
      </c>
      <c r="BE67" s="35">
        <f>SUM(BE63,BE64)</f>
        <v>78856.9019402599</v>
      </c>
      <c r="BF67" s="35">
        <f>SUM(BF63,BF64)</f>
        <v>243230.235994344</v>
      </c>
      <c r="BG67" s="35" t="n"/>
      <c r="BH67" s="35" t="n"/>
      <c r="BI67" s="35" t="n"/>
      <c r="BJ67" s="35" t="n"/>
      <c r="BK67" s="35" t="n"/>
      <c r="BL67" s="35" t="n"/>
      <c r="BM67" s="35" t="n"/>
      <c r="BN67" s="35" t="n"/>
      <c r="BO67" s="35" t="n"/>
      <c r="BP67" s="35" t="n"/>
      <c r="BQ67" s="35" t="n"/>
      <c r="BR67" s="35" t="n"/>
      <c r="BS67" s="35" t="n"/>
      <c r="BT67" s="35" t="n"/>
      <c r="BU67" s="35" t="n"/>
      <c r="BV67" s="35" t="n"/>
      <c r="BW67" s="35" t="n"/>
      <c r="BX67" s="35" t="n"/>
      <c r="BY67" s="35" t="n"/>
      <c r="BZ67" s="35" t="n"/>
      <c r="CA67" s="35" t="n"/>
      <c r="CB67" s="35" t="n"/>
      <c r="CC67" s="35" t="n"/>
      <c r="CD67" s="35" t="n"/>
      <c r="CE67" s="35" t="n"/>
      <c r="CF67" s="35" t="n"/>
      <c r="CG67" s="35" t="n"/>
      <c r="CH67" s="35" t="n"/>
      <c r="CI67" s="35" t="n"/>
      <c r="CJ67" s="35" t="n"/>
      <c r="CK67" s="35" t="n"/>
      <c r="CL67" s="35" t="n"/>
      <c r="CM67" s="35" t="n"/>
      <c r="CN67" s="35" t="n"/>
      <c r="CO67" s="35" t="n"/>
      <c r="CP67" s="35" t="n"/>
      <c r="CQ67" s="35" t="n"/>
      <c r="CR67" s="35" t="n"/>
      <c r="CS67" s="35" t="n"/>
      <c r="CT67" s="35" t="n"/>
      <c r="CU67" s="35" t="n"/>
      <c r="CV67" s="35" t="n"/>
      <c r="CW67" s="35" t="n"/>
      <c r="CX67" s="35" t="n"/>
      <c r="CY67" s="35" t="n"/>
    </row>
    <row r="68">
      <c r="C68" s="14" t="inlineStr">
        <is>
          <t>Interest Expense</t>
        </is>
      </c>
      <c r="D68" s="46" t="n"/>
      <c r="E68" s="46" t="n"/>
      <c r="F68" s="46" t="n"/>
      <c r="G68" s="46" t="n"/>
      <c r="H68" s="12" t="n"/>
      <c r="I68" s="46">
        <f>'Inputs (2)'!D8</f>
        <v>0</v>
      </c>
      <c r="J68" s="46">
        <f>'Inputs (2)'!E8</f>
        <v>0</v>
      </c>
      <c r="K68" s="46">
        <f>'Inputs (2)'!F8</f>
        <v>0</v>
      </c>
      <c r="L68" s="46">
        <f>'Inputs (2)'!G8</f>
        <v>0</v>
      </c>
      <c r="M68" s="12">
        <f>'Inputs (2)'!H8</f>
        <v>0</v>
      </c>
      <c r="N68" s="46">
        <f>'Inputs (2)'!I8</f>
        <v>0</v>
      </c>
      <c r="O68" s="46">
        <f>'Inputs (2)'!J8</f>
        <v>0</v>
      </c>
      <c r="P68" s="46">
        <f>'Inputs (2)'!K8</f>
        <v>0</v>
      </c>
      <c r="Q68" s="46">
        <f>'Inputs (2)'!L8</f>
        <v>0</v>
      </c>
      <c r="R68" s="12">
        <f>'Inputs (2)'!M8</f>
        <v>0</v>
      </c>
      <c r="S68" s="46">
        <f>'Inputs (2)'!N8</f>
        <v>0</v>
      </c>
      <c r="T68" s="46">
        <f>'Inputs (2)'!O8</f>
        <v>0</v>
      </c>
      <c r="U68" s="46">
        <f>'Inputs (2)'!P8</f>
        <v>0</v>
      </c>
      <c r="V68" s="46">
        <f>'Inputs (2)'!Q8</f>
        <v>0</v>
      </c>
      <c r="W68" s="12">
        <f>'Inputs (2)'!R8</f>
        <v>0</v>
      </c>
      <c r="X68" s="46">
        <f>'Inputs (2)'!S8</f>
        <v>0</v>
      </c>
      <c r="Y68" s="46">
        <f>'Inputs (2)'!T8</f>
        <v>0</v>
      </c>
      <c r="Z68" s="46">
        <f>'Inputs (2)'!U8</f>
        <v>0</v>
      </c>
      <c r="AA68" s="46">
        <f>'Inputs (2)'!V8</f>
        <v>0</v>
      </c>
      <c r="AB68" s="12">
        <f>'Inputs (2)'!W8</f>
        <v>0</v>
      </c>
      <c r="AC68" s="46">
        <f>'Inputs (2)'!X8</f>
        <v>0</v>
      </c>
      <c r="AD68" s="46">
        <f>'Inputs (2)'!Y8</f>
        <v>0</v>
      </c>
      <c r="AE68" s="46">
        <f>'Inputs (2)'!Z8</f>
        <v>0</v>
      </c>
      <c r="AF68" s="46">
        <f>'Inputs (2)'!AA8</f>
        <v>0</v>
      </c>
      <c r="AG68" s="12">
        <f>'Inputs (2)'!AB8</f>
        <v>0</v>
      </c>
      <c r="AH68" s="12">
        <f>'Inputs (2)'!AC8</f>
        <v>0</v>
      </c>
      <c r="AI68" s="12">
        <f>'Inputs (2)'!AD8</f>
        <v>0</v>
      </c>
      <c r="AJ68" s="12" t="str">
        <f>IF(Control!$E$9="","",-AI86*Control!$E$9/4)</f>
        <v/>
      </c>
      <c r="AK68" s="12" t="str">
        <f>IF(Control!$E$9="","",-AJ86*Control!$E$9/4)</f>
        <v/>
      </c>
      <c r="AL68" s="12">
        <f>SUM(AH68:AK68)</f>
        <v>0</v>
      </c>
      <c r="AM68" s="12" t="str">
        <f>IF(Control!$E$9="","",-AL86*Control!$E$9/4)</f>
        <v/>
      </c>
      <c r="AN68" s="12" t="str">
        <f>IF(Control!$E$9="","",-AM86*Control!$E$9/4)</f>
        <v/>
      </c>
      <c r="AO68" s="12" t="str">
        <f>IF(Control!$E$9="","",-AN86*Control!$E$9/4)</f>
        <v/>
      </c>
      <c r="AP68" s="12" t="str">
        <f>IF(Control!$E$9="","",-AO86*Control!$E$9/4)</f>
        <v/>
      </c>
      <c r="AQ68" s="12">
        <f>SUM(AM68:AP68)</f>
        <v>0</v>
      </c>
      <c r="AR68" s="12" t="str">
        <f>IF(Control!$E$9="","",-AQ86*Control!$E$9/4)</f>
        <v/>
      </c>
      <c r="AS68" s="12" t="str">
        <f>IF(Control!$E$9="","",-AR86*Control!$E$9/4)</f>
        <v/>
      </c>
      <c r="AT68" s="12" t="str">
        <f>IF(Control!$E$9="","",-AS86*Control!$E$9/4)</f>
        <v/>
      </c>
      <c r="AU68" s="12" t="str">
        <f>IF(Control!$E$9="","",-AT86*Control!$E$9/4)</f>
        <v/>
      </c>
      <c r="AV68" s="12">
        <f>SUM(AR68:AU68)</f>
        <v>0</v>
      </c>
      <c r="AW68" s="12" t="str">
        <f>IF(Control!$E$9="","",-AV86*Control!$E$9/4)</f>
        <v/>
      </c>
      <c r="AX68" s="12" t="str">
        <f>IF(Control!$E$9="","",-AW86*Control!$E$9/4)</f>
        <v/>
      </c>
      <c r="AY68" s="12" t="str">
        <f>IF(Control!$E$9="","",-AX86*Control!$E$9/4)</f>
        <v/>
      </c>
      <c r="AZ68" s="12" t="str">
        <f>IF(Control!$E$9="","",-AY86*Control!$E$9/4)</f>
        <v/>
      </c>
      <c r="BA68" s="12">
        <f>SUM(AW68:AZ68)</f>
        <v>0</v>
      </c>
      <c r="BB68" s="12" t="str">
        <f>IF(Control!$E$9="","",-BA86*Control!$E$9/4)</f>
        <v/>
      </c>
      <c r="BC68" s="12" t="str">
        <f>IF(Control!$E$9="","",-BB86*Control!$E$9/4)</f>
        <v/>
      </c>
      <c r="BD68" s="12" t="str">
        <f>IF(Control!$E$9="","",-BC86*Control!$E$9/4)</f>
        <v/>
      </c>
      <c r="BE68" s="12" t="str">
        <f>IF(Control!$E$9="","",-BD86*Control!$E$9/4)</f>
        <v/>
      </c>
      <c r="BF68" s="12">
        <f>SUM(BB68:BE68)</f>
        <v>0</v>
      </c>
      <c r="BG68" s="12" t="n"/>
      <c r="BH68" s="12" t="n"/>
      <c r="BI68" s="12" t="n"/>
      <c r="BJ68" s="12" t="n"/>
      <c r="BK68" s="12" t="n"/>
      <c r="BL68" s="12" t="n"/>
      <c r="BM68" s="12" t="n"/>
      <c r="BN68" s="12" t="n"/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  <c r="CR68" s="12" t="n"/>
      <c r="CS68" s="12" t="n"/>
      <c r="CT68" s="12" t="n"/>
      <c r="CU68" s="12" t="n"/>
      <c r="CV68" s="12" t="n"/>
      <c r="CW68" s="12" t="n"/>
      <c r="CX68" s="12" t="n"/>
      <c r="CY68" s="12" t="n"/>
    </row>
    <row r="69" hidden="1" outlineLevel="1">
      <c r="C69" s="50" t="inlineStr">
        <is>
          <t>% of Debt</t>
        </is>
      </c>
      <c r="D69" s="53" t="n"/>
      <c r="E69" s="53" t="n"/>
      <c r="F69" s="53" t="n"/>
      <c r="G69" s="53" t="n"/>
      <c r="H69" s="12" t="n"/>
      <c r="I69" s="53">
        <f>IFERROR(-I68/SUM(I206+I211),"")</f>
        <v>0</v>
      </c>
      <c r="J69" s="53">
        <f>IFERROR(-J68/SUM(J206+J211),"")</f>
        <v>0</v>
      </c>
      <c r="K69" s="53">
        <f>IFERROR(-K68/SUM(K206+K211),"")</f>
        <v>0</v>
      </c>
      <c r="L69" s="53">
        <f>IFERROR(-L68/SUM(L206+L211),"")</f>
        <v>0</v>
      </c>
      <c r="M69" s="12" t="n"/>
      <c r="N69" s="53">
        <f>IFERROR(-N68/SUM(N206+N211),"")</f>
        <v>0</v>
      </c>
      <c r="O69" s="53">
        <f>IFERROR(-O68/SUM(O206+O211),"")</f>
        <v>0</v>
      </c>
      <c r="P69" s="53">
        <f>IFERROR(-P68/SUM(P206+P211),"")</f>
        <v>0</v>
      </c>
      <c r="Q69" s="53">
        <f>IFERROR(-Q68/SUM(Q206+Q211),"")</f>
        <v>0</v>
      </c>
      <c r="R69" s="12" t="n"/>
      <c r="S69" s="53">
        <f>IFERROR(-S68/SUM(S206+S211),"")</f>
        <v>0</v>
      </c>
      <c r="T69" s="53">
        <f>IFERROR(-T68/SUM(T206+T211),"")</f>
        <v>0</v>
      </c>
      <c r="U69" s="53">
        <f>IFERROR(-U68/SUM(U206+U211),"")</f>
        <v>0</v>
      </c>
      <c r="V69" s="53">
        <f>IFERROR(-V68/SUM(V206+V211),"")</f>
        <v>0</v>
      </c>
      <c r="W69" s="12" t="n"/>
      <c r="X69" s="53">
        <f>IFERROR(-X68/SUM(X206+X211),"")</f>
        <v>0</v>
      </c>
      <c r="Y69" s="53">
        <f>IFERROR(-Y68/SUM(Y206+Y211),"")</f>
        <v>0</v>
      </c>
      <c r="Z69" s="53">
        <f>IFERROR(-Z68/SUM(Z206+Z211),"")</f>
        <v>0</v>
      </c>
      <c r="AA69" s="53">
        <f>IFERROR(-AA68/SUM(AA206+AA211),"")</f>
        <v>0</v>
      </c>
      <c r="AB69" s="12" t="n"/>
      <c r="AC69" s="53">
        <f>IFERROR(-AC68/SUM(AC206+AC211),"")</f>
        <v>0</v>
      </c>
      <c r="AD69" s="53">
        <f>IFERROR(-AD68/SUM(AD206+AD211),"")</f>
        <v>0</v>
      </c>
      <c r="AE69" s="53">
        <f>IFERROR(-AE68/SUM(AE206+AE211),"")</f>
        <v>0</v>
      </c>
      <c r="AF69" s="55">
        <f>IFERROR(-AF68/SUM(AF206+AF211),"")</f>
        <v>0</v>
      </c>
      <c r="AG69" s="12" t="n"/>
      <c r="AH69" s="11">
        <f>IFERROR(-AH68/SUM(AH206+AH211),"")</f>
        <v>0</v>
      </c>
      <c r="AI69" s="11">
        <f>IFERROR(-AI68/SUM(AI206+AI211),"")</f>
        <v>0</v>
      </c>
      <c r="AJ69" s="11" t="str">
        <f>IFERROR(Control!$E$9,0)</f>
        <v/>
      </c>
      <c r="AK69" s="11" t="str">
        <f>IFERROR(Control!$E$9,0)</f>
        <v/>
      </c>
      <c r="AL69" s="12" t="n"/>
      <c r="AM69" s="11" t="str">
        <f>IFERROR(Control!$E$9,0)</f>
        <v/>
      </c>
      <c r="AN69" s="11" t="str">
        <f>IFERROR(Control!$E$9,0)</f>
        <v/>
      </c>
      <c r="AO69" s="11" t="str">
        <f>IFERROR(Control!$E$9,0)</f>
        <v/>
      </c>
      <c r="AP69" s="11" t="str">
        <f>IFERROR(Control!$E$9,0)</f>
        <v/>
      </c>
      <c r="AQ69" s="12" t="n"/>
      <c r="AR69" s="11" t="str">
        <f>IFERROR(Control!$E$9,0)</f>
        <v/>
      </c>
      <c r="AS69" s="11" t="str">
        <f>IFERROR(Control!$E$9,0)</f>
        <v/>
      </c>
      <c r="AT69" s="11" t="str">
        <f>IFERROR(Control!$E$9,0)</f>
        <v/>
      </c>
      <c r="AU69" s="11" t="str">
        <f>IFERROR(Control!$E$9,0)</f>
        <v/>
      </c>
      <c r="AV69" s="12" t="n"/>
      <c r="AW69" s="11" t="str">
        <f>IFERROR(Control!$E$9,0)</f>
        <v/>
      </c>
      <c r="AX69" s="11" t="str">
        <f>IFERROR(Control!$E$9,0)</f>
        <v/>
      </c>
      <c r="AY69" s="11" t="str">
        <f>IFERROR(Control!$E$9,0)</f>
        <v/>
      </c>
      <c r="AZ69" s="11" t="str">
        <f>IFERROR(Control!$E$9,0)</f>
        <v/>
      </c>
      <c r="BA69" s="12" t="n"/>
      <c r="BB69" s="11" t="str">
        <f>IFERROR(Control!$E$9,0)</f>
        <v/>
      </c>
      <c r="BC69" s="11" t="str">
        <f>IFERROR(Control!$E$9,0)</f>
        <v/>
      </c>
      <c r="BD69" s="11" t="str">
        <f>IFERROR(Control!$E$9,0)</f>
        <v/>
      </c>
      <c r="BE69" s="11" t="str">
        <f>IFERROR(Control!$E$9,0)</f>
        <v/>
      </c>
      <c r="BF69" s="12" t="n"/>
      <c r="BG69" s="11" t="n"/>
      <c r="BH69" s="11" t="n"/>
      <c r="BI69" s="11" t="n"/>
      <c r="BJ69" s="11" t="n"/>
      <c r="BK69" s="12" t="n"/>
      <c r="BL69" s="11" t="n"/>
      <c r="BM69" s="11" t="n"/>
      <c r="BN69" s="11" t="n"/>
      <c r="BO69" s="11" t="n"/>
      <c r="BP69" s="12" t="n"/>
      <c r="BQ69" s="11" t="n"/>
      <c r="BR69" s="11" t="n"/>
      <c r="BS69" s="11" t="n"/>
      <c r="BT69" s="11" t="n"/>
      <c r="BU69" s="12" t="n"/>
      <c r="BV69" s="11" t="n"/>
      <c r="BW69" s="11" t="n"/>
      <c r="BX69" s="11" t="n"/>
      <c r="BY69" s="11" t="n"/>
      <c r="BZ69" s="12" t="n"/>
      <c r="CA69" s="11" t="n"/>
      <c r="CB69" s="11" t="n"/>
      <c r="CC69" s="11" t="n"/>
      <c r="CD69" s="11" t="n"/>
      <c r="CE69" s="12" t="n"/>
      <c r="CF69" s="11" t="n"/>
      <c r="CG69" s="11" t="n"/>
      <c r="CH69" s="11" t="n"/>
      <c r="CI69" s="11" t="n"/>
      <c r="CJ69" s="12" t="n"/>
      <c r="CK69" s="11" t="n"/>
      <c r="CL69" s="11" t="n"/>
      <c r="CM69" s="11" t="n"/>
      <c r="CN69" s="11" t="n"/>
      <c r="CO69" s="12" t="n"/>
      <c r="CP69" s="11" t="n"/>
      <c r="CQ69" s="11" t="n"/>
      <c r="CR69" s="11" t="n"/>
      <c r="CS69" s="11" t="n"/>
      <c r="CT69" s="12" t="n"/>
      <c r="CU69" s="11" t="n"/>
      <c r="CV69" s="11" t="n"/>
      <c r="CW69" s="11" t="n"/>
      <c r="CX69" s="11" t="n"/>
      <c r="CY69" s="12" t="n"/>
    </row>
    <row r="70" hidden="1" outlineLevel="1">
      <c r="C70" s="50" t="inlineStr">
        <is>
          <t>%CDI</t>
        </is>
      </c>
      <c r="D70" s="11" t="n"/>
      <c r="E70" s="11" t="n"/>
      <c r="F70" s="11" t="n"/>
      <c r="G70" s="11" t="n"/>
      <c r="H70" s="12" t="n"/>
      <c r="I70" s="11" t="n"/>
      <c r="J70" s="11" t="n"/>
      <c r="K70" s="11" t="n"/>
      <c r="L70" s="11" t="n"/>
      <c r="M70" s="12" t="n"/>
      <c r="N70" s="11" t="n"/>
      <c r="O70" s="11" t="n"/>
      <c r="P70" s="11" t="n"/>
      <c r="Q70" s="11" t="n"/>
      <c r="R70" s="12" t="n"/>
      <c r="S70" s="11" t="n"/>
      <c r="T70" s="11" t="n"/>
      <c r="U70" s="11" t="n"/>
      <c r="V70" s="11" t="n"/>
      <c r="W70" s="12" t="n"/>
      <c r="X70" s="11" t="n"/>
      <c r="Y70" s="11" t="n"/>
      <c r="Z70" s="11" t="n"/>
      <c r="AA70" s="11" t="n"/>
      <c r="AB70" s="12" t="n"/>
      <c r="AC70" s="11" t="n"/>
      <c r="AD70" s="11" t="n"/>
      <c r="AE70" s="11" t="n"/>
      <c r="AF70" s="11" t="n"/>
      <c r="AG70" s="12" t="n"/>
      <c r="AH70" s="11" t="n"/>
      <c r="AI70" s="11" t="n"/>
      <c r="AJ70" s="11" t="n"/>
      <c r="AK70" s="11" t="n"/>
      <c r="AL70" s="12" t="n"/>
      <c r="AM70" s="11" t="n"/>
      <c r="AN70" s="11" t="n"/>
      <c r="AO70" s="11" t="n"/>
      <c r="AP70" s="11" t="n"/>
      <c r="AQ70" s="12" t="n"/>
      <c r="AR70" s="11" t="n"/>
      <c r="AS70" s="11" t="n"/>
      <c r="AT70" s="11" t="n"/>
      <c r="AU70" s="11" t="n"/>
      <c r="AV70" s="12" t="n"/>
      <c r="AW70" s="11" t="n"/>
      <c r="AX70" s="11" t="n"/>
      <c r="AY70" s="11" t="n"/>
      <c r="AZ70" s="11" t="n"/>
      <c r="BA70" s="12" t="n"/>
      <c r="BB70" s="11" t="n"/>
      <c r="BC70" s="11" t="n"/>
      <c r="BD70" s="11" t="n"/>
      <c r="BE70" s="11" t="n"/>
      <c r="BF70" s="12" t="n"/>
      <c r="BG70" s="11" t="n"/>
      <c r="BH70" s="11" t="n"/>
      <c r="BI70" s="11" t="n"/>
      <c r="BJ70" s="11" t="n"/>
      <c r="BK70" s="12" t="n"/>
      <c r="BL70" s="11" t="n"/>
      <c r="BM70" s="11" t="n"/>
      <c r="BN70" s="11" t="n"/>
      <c r="BO70" s="11" t="n"/>
      <c r="BP70" s="12" t="n"/>
      <c r="BQ70" s="11" t="n"/>
      <c r="BR70" s="11" t="n"/>
      <c r="BS70" s="11" t="n"/>
      <c r="BT70" s="11" t="n"/>
      <c r="BU70" s="12" t="n"/>
      <c r="BV70" s="11" t="n"/>
      <c r="BW70" s="11" t="n"/>
      <c r="BX70" s="11" t="n"/>
      <c r="BY70" s="11" t="n"/>
      <c r="BZ70" s="12" t="n"/>
      <c r="CA70" s="11" t="n"/>
      <c r="CB70" s="11" t="n"/>
      <c r="CC70" s="11" t="n"/>
      <c r="CD70" s="11" t="n"/>
      <c r="CE70" s="12" t="n"/>
      <c r="CF70" s="11" t="n"/>
      <c r="CG70" s="11" t="n"/>
      <c r="CH70" s="11" t="n"/>
      <c r="CI70" s="11" t="n"/>
      <c r="CJ70" s="12" t="n"/>
      <c r="CK70" s="11" t="n"/>
      <c r="CL70" s="11" t="n"/>
      <c r="CM70" s="11" t="n"/>
      <c r="CN70" s="11" t="n"/>
      <c r="CO70" s="12" t="n"/>
      <c r="CP70" s="11" t="n"/>
      <c r="CQ70" s="11" t="n"/>
      <c r="CR70" s="11" t="n"/>
      <c r="CS70" s="11" t="n"/>
      <c r="CT70" s="12" t="n"/>
      <c r="CU70" s="11" t="n"/>
      <c r="CV70" s="11" t="n"/>
      <c r="CW70" s="11" t="n"/>
      <c r="CX70" s="11" t="n"/>
      <c r="CY70" s="12" t="n"/>
    </row>
    <row r="71" hidden="1" outlineLevel="1">
      <c r="C71" s="57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  <c r="BM71" s="12" t="n"/>
      <c r="BN71" s="12" t="n"/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  <c r="CR71" s="12" t="n"/>
      <c r="CS71" s="12" t="n"/>
      <c r="CT71" s="12" t="n"/>
      <c r="CU71" s="12" t="n"/>
      <c r="CV71" s="12" t="n"/>
      <c r="CW71" s="12" t="n"/>
      <c r="CX71" s="12" t="n"/>
      <c r="CY71" s="12" t="n"/>
    </row>
    <row r="72" hidden="1" outlineLevel="1">
      <c r="C72" s="57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2" t="n"/>
      <c r="CY72" s="12" t="n"/>
    </row>
    <row r="73" hidden="1" outlineLevel="1">
      <c r="C73" s="57" t="inlineStr">
        <is>
          <t>RECEITA FINANCEIRA</t>
        </is>
      </c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2" t="n"/>
      <c r="BL73" s="12" t="n"/>
      <c r="BM73" s="12" t="n"/>
      <c r="BN73" s="12" t="n"/>
      <c r="BO73" s="12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  <c r="CR73" s="12" t="n"/>
      <c r="CS73" s="12" t="n"/>
      <c r="CT73" s="12" t="n"/>
      <c r="CU73" s="12" t="n"/>
      <c r="CV73" s="12" t="n"/>
      <c r="CW73" s="12" t="n"/>
      <c r="CX73" s="12" t="n"/>
      <c r="CY73" s="12" t="n"/>
    </row>
    <row r="74" hidden="1" outlineLevel="1">
      <c r="C74" s="57" t="inlineStr">
        <is>
          <t>DESPESA FINANCEIRA</t>
        </is>
      </c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2" t="n"/>
      <c r="CY74" s="12" t="n"/>
    </row>
    <row r="75" hidden="1" outlineLevel="1">
      <c r="C75" s="57" t="inlineStr">
        <is>
          <t>OUTROS</t>
        </is>
      </c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2" t="n"/>
      <c r="AZ75" s="12" t="n"/>
      <c r="BA75" s="12" t="n"/>
      <c r="BB75" s="12" t="n"/>
      <c r="BC75" s="12" t="n"/>
      <c r="BD75" s="12" t="n"/>
      <c r="BE75" s="12" t="n"/>
      <c r="BF75" s="12" t="n"/>
      <c r="BG75" s="12" t="n"/>
      <c r="BH75" s="12" t="n"/>
      <c r="BI75" s="12" t="n"/>
      <c r="BJ75" s="12" t="n"/>
      <c r="BK75" s="12" t="n"/>
      <c r="BL75" s="12" t="n"/>
      <c r="BM75" s="12" t="n"/>
      <c r="BN75" s="12" t="n"/>
      <c r="BO75" s="12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n"/>
      <c r="BZ75" s="12" t="n"/>
      <c r="CA75" s="12" t="n"/>
      <c r="CB75" s="12" t="n"/>
      <c r="CC75" s="12" t="n"/>
      <c r="CD75" s="12" t="n"/>
      <c r="CE75" s="12" t="n"/>
      <c r="CF75" s="12" t="n"/>
      <c r="CG75" s="12" t="n"/>
      <c r="CH75" s="12" t="n"/>
      <c r="CI75" s="12" t="n"/>
      <c r="CJ75" s="12" t="n"/>
      <c r="CK75" s="12" t="n"/>
      <c r="CL75" s="12" t="n"/>
      <c r="CM75" s="12" t="n"/>
      <c r="CN75" s="12" t="n"/>
      <c r="CO75" s="12" t="n"/>
      <c r="CP75" s="12" t="n"/>
      <c r="CQ75" s="12" t="n"/>
      <c r="CR75" s="12" t="n"/>
      <c r="CS75" s="12" t="n"/>
      <c r="CT75" s="12" t="n"/>
      <c r="CU75" s="12" t="n"/>
      <c r="CV75" s="12" t="n"/>
      <c r="CW75" s="12" t="n"/>
      <c r="CX75" s="12" t="n"/>
      <c r="CY75" s="12" t="n"/>
    </row>
    <row r="76" hidden="1" outlineLevel="1">
      <c r="C76" s="57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  <c r="BJ76" s="12" t="n"/>
      <c r="BK76" s="12" t="n"/>
      <c r="BL76" s="12" t="n"/>
      <c r="BM76" s="12" t="n"/>
      <c r="BN76" s="12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2" t="n"/>
      <c r="CX76" s="12" t="n"/>
      <c r="CY76" s="12" t="n"/>
    </row>
    <row r="77" hidden="1" outlineLevel="1">
      <c r="C77" s="57" t="inlineStr">
        <is>
          <t>Cash and equivalents (inc. investment securities)</t>
        </is>
      </c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2" t="n"/>
      <c r="CY77" s="12" t="n"/>
    </row>
    <row r="78" hidden="1" outlineLevel="1">
      <c r="C78" s="57" t="inlineStr">
        <is>
          <t>Interest on cash</t>
        </is>
      </c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</row>
    <row r="79" hidden="1" outlineLevel="1">
      <c r="C79" s="57" t="inlineStr">
        <is>
          <t>Average interest rate</t>
        </is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</row>
    <row r="80" hidden="1" outlineLevel="1">
      <c r="C80" s="57" t="inlineStr">
        <is>
          <t>% CDI</t>
        </is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</row>
    <row r="81" hidden="1" outlineLevel="1">
      <c r="C81" s="57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</row>
    <row r="82" hidden="1" outlineLevel="1">
      <c r="C82" s="57" t="inlineStr">
        <is>
          <t>Current portion of long-term debt</t>
        </is>
      </c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</row>
    <row r="83" hidden="1" outlineLevel="1">
      <c r="C83" s="57" t="inlineStr">
        <is>
          <t>Short term debt (Revolving credit facility)</t>
        </is>
      </c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</row>
    <row r="84" hidden="1" outlineLevel="1">
      <c r="C84" s="57" t="inlineStr">
        <is>
          <t>Long term debt</t>
        </is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hidden="1" outlineLevel="1">
      <c r="C85" s="57" t="inlineStr">
        <is>
          <t>Convertible debt</t>
        </is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</row>
    <row r="86" hidden="1" outlineLevel="1">
      <c r="C86" s="57" t="inlineStr">
        <is>
          <t>Total debt</t>
        </is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7" t="inlineStr">
        <is>
          <t>Interest expense</t>
        </is>
      </c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</row>
    <row r="88" hidden="1" outlineLevel="1">
      <c r="C88" s="57" t="inlineStr">
        <is>
          <t>Average interest rate</t>
        </is>
      </c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</row>
    <row r="89" hidden="1" outlineLevel="1">
      <c r="C89" s="57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inlineStr">
        <is>
          <t>Stake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inlineStr">
        <is>
          <t>PRE</t>
        </is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CDI+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inlineStr">
        <is>
          <t>Spread</t>
        </is>
      </c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inlineStr">
        <is>
          <t>PRE</t>
        </is>
      </c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inlineStr">
        <is>
          <t>CDI+</t>
        </is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hidden="1" outlineLevel="1">
      <c r="C97" s="57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inlineStr">
        <is>
          <t>RECEITAS FINANCEIRAS - Rendimentos de aplicações financeiras</t>
        </is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7" t="inlineStr">
        <is>
          <t>RECEITAS FINANCEIRAS - Variação cambial ativa</t>
        </is>
      </c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7" t="inlineStr">
        <is>
          <t>RECEITAS FINANCEIRAS - Atualização de contas a pagar por aquisição de empresas</t>
        </is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7" t="inlineStr">
        <is>
          <t>RECEITAS FINANCEIRAS - Resultado positivo com instrumentos derivativos</t>
        </is>
      </c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inlineStr">
        <is>
          <t>RECEITAS FINANCEIRAS - Descontos obtidos de fornecedores por antecipação</t>
        </is>
      </c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inlineStr">
        <is>
          <t>RECEITAS FINANCEIRAS - Atualização monetária sobre Exclusão ICMS da base de PIS/COFINS (nota explicativa nº 7)</t>
        </is>
      </c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hidden="1" outlineLevel="1">
      <c r="C104" s="57" t="inlineStr">
        <is>
          <t>RECEITAS FINANCEIRAS - Outras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</row>
    <row r="105" hidden="1" outlineLevel="1">
      <c r="C105" s="57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hidden="1" outlineLevel="1">
      <c r="C106" s="57" t="inlineStr">
        <is>
          <t>DESPESAS FINANCEIRAS - Encargos sobre empréstimos, financiamentos e debêntures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n"/>
      <c r="CY106" s="12" t="n"/>
    </row>
    <row r="107" hidden="1" outlineLevel="1">
      <c r="C107" s="57" t="inlineStr">
        <is>
          <t>DESPESAS FINANCEIRAS - Variação cambial passiva</t>
        </is>
      </c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hidden="1" outlineLevel="1">
      <c r="C108" s="57" t="inlineStr">
        <is>
          <t>DESPESAS FINANCEIRAS - Resultado negativo com instrumentos derivativos</t>
        </is>
      </c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hidden="1" outlineLevel="1">
      <c r="C109" s="57" t="inlineStr">
        <is>
          <t>DESPESAS FINANCEIRAS - Juros sobre arrendamento - IFRS16</t>
        </is>
      </c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 hidden="1" outlineLevel="1">
      <c r="C110" s="57" t="inlineStr">
        <is>
          <t>DESPESAS FINANCEIRAS - Despesas bancárias</t>
        </is>
      </c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hidden="1" outlineLevel="1">
      <c r="C111" s="57" t="inlineStr">
        <is>
          <t>DESPESAS FINANCEIRAS - Despesas com obtenção de empréstimos e financiamentos</t>
        </is>
      </c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2" t="n"/>
      <c r="CY111" s="12" t="n"/>
    </row>
    <row r="112" hidden="1" outlineLevel="1">
      <c r="C112" s="57" t="inlineStr">
        <is>
          <t>DESPESAS FINANCEIRAS - Atualização de contas a pagar por aquisição de empresas</t>
        </is>
      </c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hidden="1" outlineLevel="1">
      <c r="C113" s="57" t="inlineStr">
        <is>
          <t>DESPESAS FINANCEIRAS - Outras</t>
        </is>
      </c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2" t="n"/>
      <c r="CY113" s="12" t="n"/>
    </row>
    <row r="114" hidden="1" outlineLevel="1">
      <c r="C114" s="57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2" t="n"/>
      <c r="CY114" s="12" t="n"/>
    </row>
    <row r="115" hidden="1" outlineLevel="1">
      <c r="C115" s="57" t="inlineStr">
        <is>
          <t>CHECK [EX IFRS-16]</t>
        </is>
      </c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2" t="n"/>
      <c r="CY115" s="12" t="n"/>
    </row>
    <row r="116" hidden="1" outlineLevel="1">
      <c r="C116" s="57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2" t="n"/>
      <c r="CY116" s="12" t="n"/>
    </row>
    <row r="117" collapsed="1">
      <c r="C117" s="14" t="inlineStr">
        <is>
          <t>Nonoperating Income / (Loss)</t>
        </is>
      </c>
      <c r="D117" s="46" t="n"/>
      <c r="E117" s="46" t="n"/>
      <c r="F117" s="46" t="n"/>
      <c r="G117" s="46" t="n"/>
      <c r="H117" s="12" t="n"/>
      <c r="I117" s="46">
        <f>'Inputs (2)'!D9</f>
        <v>508</v>
      </c>
      <c r="J117" s="46">
        <f>'Inputs (2)'!E9</f>
        <v>243</v>
      </c>
      <c r="K117" s="46">
        <f>'Inputs (2)'!F9</f>
        <v>-538</v>
      </c>
      <c r="L117" s="46">
        <f>'Inputs (2)'!G9</f>
        <v>-247</v>
      </c>
      <c r="M117" s="12">
        <f>'Inputs (2)'!H9</f>
        <v>-34</v>
      </c>
      <c r="N117" s="46">
        <f>'Inputs (2)'!I9</f>
        <v>160</v>
      </c>
      <c r="O117" s="46">
        <f>'Inputs (2)'!J9</f>
        <v>-10</v>
      </c>
      <c r="P117" s="46">
        <f>'Inputs (2)'!K9</f>
        <v>-237</v>
      </c>
      <c r="Q117" s="46">
        <f>'Inputs (2)'!L9</f>
        <v>-393</v>
      </c>
      <c r="R117" s="12">
        <f>'Inputs (2)'!M9</f>
        <v>-480</v>
      </c>
      <c r="S117" s="46">
        <f>'Inputs (2)'!N9</f>
        <v>64</v>
      </c>
      <c r="T117" s="46">
        <f>'Inputs (2)'!O9</f>
        <v>-265</v>
      </c>
      <c r="U117" s="46">
        <f>'Inputs (2)'!P9</f>
        <v>29</v>
      </c>
      <c r="V117" s="46">
        <f>'Inputs (2)'!Q9</f>
        <v>-50</v>
      </c>
      <c r="W117" s="12">
        <f>'Inputs (2)'!R9</f>
        <v>-222</v>
      </c>
      <c r="X117" s="46">
        <f>'Inputs (2)'!S9</f>
        <v>158</v>
      </c>
      <c r="Y117" s="46">
        <f>'Inputs (2)'!T9</f>
        <v>142</v>
      </c>
      <c r="Z117" s="46">
        <f>'Inputs (2)'!U9</f>
        <v>19</v>
      </c>
      <c r="AA117" s="46">
        <f>'Inputs (2)'!V9</f>
        <v>-248</v>
      </c>
      <c r="AB117" s="12">
        <f>'Inputs (2)'!W9</f>
        <v>71</v>
      </c>
      <c r="AC117" s="46">
        <f>'Inputs (2)'!X9</f>
        <v>-279</v>
      </c>
      <c r="AD117" s="46">
        <f>'Inputs (2)'!Y9</f>
        <v>-171</v>
      </c>
      <c r="AE117" s="46">
        <f>'Inputs (2)'!Z9</f>
        <v>377</v>
      </c>
      <c r="AF117" s="46">
        <f>'Inputs (2)'!AA9</f>
        <v>150</v>
      </c>
      <c r="AG117" s="12">
        <f>'Inputs (2)'!AB9</f>
        <v>77</v>
      </c>
      <c r="AH117" s="12">
        <f>'Inputs (2)'!AC9</f>
        <v>-52</v>
      </c>
      <c r="AI117" s="12">
        <f>'Inputs (2)'!AD9</f>
        <v>572</v>
      </c>
      <c r="AJ117" s="12">
        <f>AJ15*Control!$B$23</f>
        <v>104.288563818644</v>
      </c>
      <c r="AK117" s="12">
        <f>AK15*Control!$B$23</f>
        <v>146.312989482492</v>
      </c>
      <c r="AL117" s="12">
        <f>SUM(AH117:AK117)</f>
        <v>770.601553301136</v>
      </c>
      <c r="AM117" s="12">
        <f>AM15*Control!$C$23</f>
        <v>113.161630976247</v>
      </c>
      <c r="AN117" s="12">
        <f>AN15*Control!$C$23</f>
        <v>111.363201328681</v>
      </c>
      <c r="AO117" s="12">
        <f>AO15*Control!$C$23</f>
        <v>116.672203025021</v>
      </c>
      <c r="AP117" s="12">
        <f>AP15*Control!$C$23</f>
        <v>163.686776277643</v>
      </c>
      <c r="AQ117" s="12">
        <f>SUM(AM117:AP117)</f>
        <v>504.883811607591</v>
      </c>
      <c r="AR117" s="12">
        <f>AR15*Control!$D$23</f>
        <v>126.033085342805</v>
      </c>
      <c r="AS117" s="12">
        <f>AS15*Control!$D$23</f>
        <v>124.030095148166</v>
      </c>
      <c r="AT117" s="12">
        <f>AT15*Control!$D$23</f>
        <v>129.942963830842</v>
      </c>
      <c r="AU117" s="12">
        <f>AU15*Control!$D$23</f>
        <v>182.305161794805</v>
      </c>
      <c r="AV117" s="12">
        <f>SUM(AR117:AU117)</f>
        <v>562.311306116619</v>
      </c>
      <c r="AW117" s="12">
        <f>AW15*Control!$E$23</f>
        <v>139.738424739338</v>
      </c>
      <c r="AX117" s="12">
        <f>AX15*Control!$E$23</f>
        <v>137.517621417687</v>
      </c>
      <c r="AY117" s="12">
        <f>AY15*Control!$E$23</f>
        <v>144.073478978107</v>
      </c>
      <c r="AZ117" s="12">
        <f>AZ15*Control!$E$23</f>
        <v>202.1297507854</v>
      </c>
      <c r="BA117" s="12">
        <f>SUM(AW117:AZ117)</f>
        <v>623.459275920532</v>
      </c>
      <c r="BB117" s="12">
        <f>BB15*Control!$F$23</f>
        <v>154.235445174612</v>
      </c>
      <c r="BC117" s="12">
        <f>BC15*Control!$F$23</f>
        <v>151.784246876084</v>
      </c>
      <c r="BD117" s="12">
        <f>BD15*Control!$F$23</f>
        <v>159.020235196539</v>
      </c>
      <c r="BE117" s="12">
        <f>BE15*Control!$F$23</f>
        <v>223.099495744088</v>
      </c>
      <c r="BF117" s="12">
        <f>SUM(BB117:BE117)</f>
        <v>688.139422991322</v>
      </c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2" t="n"/>
      <c r="CY117" s="12" t="n"/>
    </row>
    <row r="118" hidden="1" outlineLevel="1">
      <c r="C118" s="57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2" t="n"/>
      <c r="CY118" s="12" t="n"/>
    </row>
    <row r="119" hidden="1" outlineLevel="1">
      <c r="C119" s="50" t="inlineStr">
        <is>
          <t>Resultado Não Recorrente</t>
        </is>
      </c>
      <c r="D119" s="11" t="n"/>
      <c r="E119" s="11" t="n"/>
      <c r="F119" s="11" t="n"/>
      <c r="G119" s="11" t="n"/>
      <c r="H119" s="12" t="n"/>
      <c r="I119" s="11" t="n"/>
      <c r="J119" s="11" t="n"/>
      <c r="K119" s="11" t="n"/>
      <c r="L119" s="11" t="n"/>
      <c r="M119" s="12" t="n"/>
      <c r="N119" s="11" t="n"/>
      <c r="O119" s="11" t="n"/>
      <c r="P119" s="11" t="n"/>
      <c r="Q119" s="11" t="n"/>
      <c r="R119" s="12" t="n"/>
      <c r="S119" s="11" t="n"/>
      <c r="T119" s="11" t="n"/>
      <c r="U119" s="11" t="n"/>
      <c r="V119" s="11" t="n"/>
      <c r="W119" s="12" t="n"/>
      <c r="X119" s="11" t="n"/>
      <c r="Y119" s="11" t="n"/>
      <c r="Z119" s="11" t="n"/>
      <c r="AA119" s="11" t="n"/>
      <c r="AB119" s="12" t="n"/>
      <c r="AC119" s="11" t="n"/>
      <c r="AD119" s="11" t="n"/>
      <c r="AE119" s="11" t="n"/>
      <c r="AF119" s="11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hidden="1" outlineLevel="1">
      <c r="C120" s="50" t="inlineStr">
        <is>
          <t>Plano de Opção de Compra de Ações</t>
        </is>
      </c>
      <c r="D120" s="11" t="n"/>
      <c r="E120" s="11" t="n"/>
      <c r="F120" s="11" t="n"/>
      <c r="G120" s="11" t="n"/>
      <c r="H120" s="12" t="n"/>
      <c r="I120" s="11" t="n"/>
      <c r="J120" s="11" t="n"/>
      <c r="K120" s="11" t="n"/>
      <c r="L120" s="11" t="n"/>
      <c r="M120" s="12" t="n"/>
      <c r="N120" s="11" t="n"/>
      <c r="O120" s="11" t="n"/>
      <c r="P120" s="11" t="n"/>
      <c r="Q120" s="11" t="n"/>
      <c r="R120" s="12" t="n"/>
      <c r="S120" s="11" t="n"/>
      <c r="T120" s="11" t="n"/>
      <c r="U120" s="11" t="n"/>
      <c r="V120" s="11" t="n"/>
      <c r="W120" s="12" t="n"/>
      <c r="X120" s="11" t="n"/>
      <c r="Y120" s="11" t="n"/>
      <c r="Z120" s="11" t="n"/>
      <c r="AA120" s="11" t="n"/>
      <c r="AB120" s="12" t="n"/>
      <c r="AC120" s="11" t="n"/>
      <c r="AD120" s="11" t="n"/>
      <c r="AE120" s="11" t="n"/>
      <c r="AF120" s="11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2" t="n"/>
      <c r="CX120" s="12" t="n"/>
      <c r="CY120" s="12" t="n"/>
    </row>
    <row r="121" hidden="1" outlineLevel="1">
      <c r="C121" s="50" t="inlineStr">
        <is>
          <t>Baixa Imobilizado</t>
        </is>
      </c>
      <c r="D121" s="11" t="n"/>
      <c r="E121" s="11" t="n"/>
      <c r="F121" s="11" t="n"/>
      <c r="G121" s="11" t="n"/>
      <c r="H121" s="12" t="n"/>
      <c r="I121" s="11" t="n"/>
      <c r="J121" s="11" t="n"/>
      <c r="K121" s="11" t="n"/>
      <c r="L121" s="11" t="n"/>
      <c r="M121" s="12" t="n"/>
      <c r="N121" s="11" t="n"/>
      <c r="O121" s="11" t="n"/>
      <c r="P121" s="11" t="n"/>
      <c r="Q121" s="11" t="n"/>
      <c r="R121" s="12" t="n"/>
      <c r="S121" s="11" t="n"/>
      <c r="T121" s="11" t="n"/>
      <c r="U121" s="11" t="n"/>
      <c r="V121" s="11" t="n"/>
      <c r="W121" s="12" t="n"/>
      <c r="X121" s="11" t="n"/>
      <c r="Y121" s="11" t="n"/>
      <c r="Z121" s="11" t="n"/>
      <c r="AA121" s="11" t="n"/>
      <c r="AB121" s="12" t="n"/>
      <c r="AC121" s="11" t="n"/>
      <c r="AD121" s="11" t="n"/>
      <c r="AE121" s="11" t="n"/>
      <c r="AF121" s="11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 hidden="1" outlineLevel="1">
      <c r="C122" s="57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2" t="n"/>
      <c r="CY122" s="12" t="n"/>
    </row>
    <row r="123" hidden="1" outlineLevel="1">
      <c r="C123" s="57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  <c r="AL123" s="12" t="n"/>
      <c r="AM123" s="12" t="n"/>
      <c r="AN123" s="12" t="n"/>
      <c r="AO123" s="12" t="n"/>
      <c r="AP123" s="12" t="n"/>
      <c r="AQ123" s="12" t="n"/>
      <c r="AR123" s="12" t="n"/>
      <c r="AS123" s="12" t="n"/>
      <c r="AT123" s="12" t="n"/>
      <c r="AU123" s="12" t="n"/>
      <c r="AV123" s="12" t="n"/>
      <c r="AW123" s="12" t="n"/>
      <c r="AX123" s="12" t="n"/>
      <c r="AY123" s="12" t="n"/>
      <c r="AZ123" s="12" t="n"/>
      <c r="BA123" s="12" t="n"/>
      <c r="BB123" s="12" t="n"/>
      <c r="BC123" s="12" t="n"/>
      <c r="BD123" s="12" t="n"/>
      <c r="BE123" s="12" t="n"/>
      <c r="BF123" s="12" t="n"/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2" t="n"/>
      <c r="CY123" s="12" t="n"/>
    </row>
    <row r="124" collapsed="1" customFormat="1" s="32">
      <c r="A124" s="30" t="n"/>
      <c r="B124" s="3" t="n"/>
      <c r="C124" s="33" t="inlineStr">
        <is>
          <t>Pretax Income - EBT</t>
        </is>
      </c>
      <c r="D124" s="35" t="n"/>
      <c r="E124" s="35" t="n"/>
      <c r="F124" s="35" t="n"/>
      <c r="G124" s="35" t="n"/>
      <c r="H124" s="35" t="n"/>
      <c r="I124" s="35">
        <f>SUM(I67,I68,I117)</f>
        <v>28011</v>
      </c>
      <c r="J124" s="35">
        <f>SUM(J67,J68,J117)</f>
        <v>24369</v>
      </c>
      <c r="K124" s="35">
        <f>SUM(K67,K68,K117)</f>
        <v>23248</v>
      </c>
      <c r="L124" s="35">
        <f>SUM(L67,L68,L117)</f>
        <v>41241</v>
      </c>
      <c r="M124" s="35">
        <f>SUM(I124:L124)</f>
        <v>116869</v>
      </c>
      <c r="N124" s="35">
        <f>SUM(N67,N68,N117)</f>
        <v>30139</v>
      </c>
      <c r="O124" s="35">
        <f>SUM(O67,O68,O117)</f>
        <v>23066</v>
      </c>
      <c r="P124" s="35">
        <f>SUM(P67,P68,P117)</f>
        <v>24657</v>
      </c>
      <c r="Q124" s="35">
        <f>SUM(Q67,Q68,Q117)</f>
        <v>35623</v>
      </c>
      <c r="R124" s="35">
        <f>SUM(N124:Q124)</f>
        <v>113485</v>
      </c>
      <c r="S124" s="35">
        <f>SUM(S67,S68,S117)</f>
        <v>28382</v>
      </c>
      <c r="T124" s="35">
        <f>SUM(T67,T68,T117)</f>
        <v>22733</v>
      </c>
      <c r="U124" s="35">
        <f>SUM(U67,U68,U117)</f>
        <v>26998</v>
      </c>
      <c r="V124" s="35">
        <f>SUM(V67,V68,V117)</f>
        <v>40323</v>
      </c>
      <c r="W124" s="35">
        <f>SUM(S124:V124)</f>
        <v>118436</v>
      </c>
      <c r="X124" s="35">
        <f>SUM(X67,X68,X117)</f>
        <v>28058</v>
      </c>
      <c r="Y124" s="35">
        <f>SUM(Y67,Y68,Y117)</f>
        <v>25494</v>
      </c>
      <c r="Z124" s="35">
        <f>SUM(Z67,Z68,Z117)</f>
        <v>29610</v>
      </c>
      <c r="AA124" s="35">
        <f>SUM(AA67,AA68,AA117)</f>
        <v>42584</v>
      </c>
      <c r="AB124" s="35">
        <f>SUM(X124:AA124)</f>
        <v>125746</v>
      </c>
      <c r="AC124" s="35">
        <f>SUM(AC67,AC68,AC117)</f>
        <v>29310</v>
      </c>
      <c r="AD124" s="35">
        <f>SUM(AD67,AD68,AD117)</f>
        <v>28031</v>
      </c>
      <c r="AE124" s="35">
        <f>SUM(AE67,AE68,AE117)</f>
        <v>32804</v>
      </c>
      <c r="AF124" s="35">
        <f>SUM(AF67,AF68,AF117)</f>
        <v>51002</v>
      </c>
      <c r="AG124" s="35">
        <f>SUM(AC124:AF124)</f>
        <v>141147</v>
      </c>
      <c r="AH124" s="35">
        <f>SUM(AH67,AH68,AH117)</f>
        <v>35833</v>
      </c>
      <c r="AI124" s="35">
        <f>SUM(AI67,AI68,AI117)</f>
        <v>36267</v>
      </c>
      <c r="AJ124" s="35">
        <f>SUM(AJ67,AJ68,AJ117:AJ122)</f>
        <v>36966.1964005391</v>
      </c>
      <c r="AK124" s="35">
        <f>SUM(AK67,AK68,AK117:AK122)</f>
        <v>51862.2033626363</v>
      </c>
      <c r="AL124" s="35">
        <f>SUM(AH124:AK124)</f>
        <v>160928.399763175</v>
      </c>
      <c r="AM124" s="35">
        <f>SUM(AM67,AM68,AM117:AM122)</f>
        <v>40111.3499170216</v>
      </c>
      <c r="AN124" s="35">
        <f>SUM(AN67,AN68,AN117:AN122)</f>
        <v>39473.8773013271</v>
      </c>
      <c r="AO124" s="35">
        <f>SUM(AO67,AO68,AO117:AO122)</f>
        <v>41355.7097114368</v>
      </c>
      <c r="AP124" s="35">
        <f>SUM(AP67,AP68,AP117:AP122)</f>
        <v>58020.5278363292</v>
      </c>
      <c r="AQ124" s="35">
        <f>SUM(AM124:AP124)</f>
        <v>178961.464766115</v>
      </c>
      <c r="AR124" s="35">
        <f>SUM(AR67,AR68,AR117:AR122)</f>
        <v>44673.7745267054</v>
      </c>
      <c r="AS124" s="35">
        <f>SUM(AS67,AS68,AS117:AS122)</f>
        <v>43963.7932381325</v>
      </c>
      <c r="AT124" s="35">
        <f>SUM(AT67,AT68,AT117:AT122)</f>
        <v>46059.6727575254</v>
      </c>
      <c r="AU124" s="35">
        <f>SUM(AU67,AU68,AU117:AU122)</f>
        <v>64620.0136331156</v>
      </c>
      <c r="AV124" s="35">
        <f>SUM(AR124:AU124)</f>
        <v>199317.254155479</v>
      </c>
      <c r="AW124" s="35">
        <f>SUM(AW67,AW68,AW117:AW122)</f>
        <v>49531.7786003764</v>
      </c>
      <c r="AX124" s="35">
        <f>SUM(AX67,AX68,AX117:AX122)</f>
        <v>48744.5911202816</v>
      </c>
      <c r="AY124" s="35">
        <f>SUM(AY67,AY68,AY117:AY122)</f>
        <v>51068.3849216218</v>
      </c>
      <c r="AZ124" s="35">
        <f>SUM(AZ67,AZ68,AZ117:AZ122)</f>
        <v>71647.0511466503</v>
      </c>
      <c r="BA124" s="35">
        <f>SUM(AW124:AZ124)</f>
        <v>220991.80578893</v>
      </c>
      <c r="BB124" s="35">
        <f>SUM(BB67,BB68,BB117:BB122)</f>
        <v>54670.4024821366</v>
      </c>
      <c r="BC124" s="35">
        <f>SUM(BC67,BC68,BC117:BC122)</f>
        <v>53801.5490393217</v>
      </c>
      <c r="BD124" s="35">
        <f>SUM(BD67,BD68,BD117:BD122)</f>
        <v>56366.4224598736</v>
      </c>
      <c r="BE124" s="35">
        <f>SUM(BE67,BE68,BE117:BE122)</f>
        <v>79080.001436004</v>
      </c>
      <c r="BF124" s="35">
        <f>SUM(BB124:BE124)</f>
        <v>243918.375417336</v>
      </c>
      <c r="BG124" s="35" t="n"/>
      <c r="BH124" s="35" t="n"/>
      <c r="BI124" s="35" t="n"/>
      <c r="BJ124" s="35" t="n"/>
      <c r="BK124" s="35" t="n"/>
      <c r="BL124" s="35" t="n"/>
      <c r="BM124" s="35" t="n"/>
      <c r="BN124" s="35" t="n"/>
      <c r="BO124" s="35" t="n"/>
      <c r="BP124" s="35" t="n"/>
      <c r="BQ124" s="35" t="n"/>
      <c r="BR124" s="35" t="n"/>
      <c r="BS124" s="35" t="n"/>
      <c r="BT124" s="35" t="n"/>
      <c r="BU124" s="35" t="n"/>
      <c r="BV124" s="35" t="n"/>
      <c r="BW124" s="35" t="n"/>
      <c r="BX124" s="35" t="n"/>
      <c r="BY124" s="35" t="n"/>
      <c r="BZ124" s="35" t="n"/>
      <c r="CA124" s="35" t="n"/>
      <c r="CB124" s="35" t="n"/>
      <c r="CC124" s="35" t="n"/>
      <c r="CD124" s="35" t="n"/>
      <c r="CE124" s="35" t="n"/>
      <c r="CF124" s="35" t="n"/>
      <c r="CG124" s="35" t="n"/>
      <c r="CH124" s="35" t="n"/>
      <c r="CI124" s="35" t="n"/>
      <c r="CJ124" s="35" t="n"/>
      <c r="CK124" s="35" t="n"/>
      <c r="CL124" s="35" t="n"/>
      <c r="CM124" s="35" t="n"/>
      <c r="CN124" s="35" t="n"/>
      <c r="CO124" s="35" t="n"/>
      <c r="CP124" s="35" t="n"/>
      <c r="CQ124" s="35" t="n"/>
      <c r="CR124" s="35" t="n"/>
      <c r="CS124" s="35" t="n"/>
      <c r="CT124" s="35" t="n"/>
      <c r="CU124" s="35" t="n"/>
      <c r="CV124" s="35" t="n"/>
      <c r="CW124" s="35" t="n"/>
      <c r="CX124" s="35" t="n"/>
      <c r="CY124" s="35" t="n"/>
    </row>
    <row r="125">
      <c r="C125" s="14" t="inlineStr">
        <is>
          <t>Taxes</t>
        </is>
      </c>
      <c r="D125" s="46" t="n"/>
      <c r="E125" s="46" t="n"/>
      <c r="F125" s="46" t="n"/>
      <c r="G125" s="46" t="n"/>
      <c r="H125" s="12" t="n"/>
      <c r="I125" s="46">
        <f>'Inputs (2)'!D10</f>
        <v>-4381</v>
      </c>
      <c r="J125" s="46">
        <f>'Inputs (2)'!E10</f>
        <v>-2625</v>
      </c>
      <c r="K125" s="46">
        <f>'Inputs (2)'!F10</f>
        <v>-2697</v>
      </c>
      <c r="L125" s="46">
        <f>'Inputs (2)'!G10</f>
        <v>-6611</v>
      </c>
      <c r="M125" s="12">
        <f>'Inputs (2)'!H10</f>
        <v>-16314</v>
      </c>
      <c r="N125" s="46">
        <f>'Inputs (2)'!I10</f>
        <v>-5129</v>
      </c>
      <c r="O125" s="46">
        <f>'Inputs (2)'!J10</f>
        <v>-3624</v>
      </c>
      <c r="P125" s="46">
        <f>'Inputs (2)'!K10</f>
        <v>-3936</v>
      </c>
      <c r="Q125" s="46">
        <f>'Inputs (2)'!L10</f>
        <v>-5625</v>
      </c>
      <c r="R125" s="12">
        <f>'Inputs (2)'!M10</f>
        <v>-18314</v>
      </c>
      <c r="S125" s="46">
        <f>'Inputs (2)'!N10</f>
        <v>-4222</v>
      </c>
      <c r="T125" s="46">
        <f>'Inputs (2)'!O10</f>
        <v>-2852</v>
      </c>
      <c r="U125" s="46">
        <f>'Inputs (2)'!P10</f>
        <v>-4042</v>
      </c>
      <c r="V125" s="46">
        <f>'Inputs (2)'!Q10</f>
        <v>-6407</v>
      </c>
      <c r="W125" s="12">
        <f>'Inputs (2)'!R10</f>
        <v>-17523</v>
      </c>
      <c r="X125" s="46">
        <f>'Inputs (2)'!S10</f>
        <v>-4422</v>
      </c>
      <c r="Y125" s="46">
        <f>'Inputs (2)'!T10</f>
        <v>-4046</v>
      </c>
      <c r="Z125" s="46">
        <f>'Inputs (2)'!U10</f>
        <v>-14874</v>
      </c>
      <c r="AA125" s="46">
        <f>'Inputs (2)'!V10</f>
        <v>-6254</v>
      </c>
      <c r="AB125" s="12">
        <f>'Inputs (2)'!W10</f>
        <v>-29596</v>
      </c>
      <c r="AC125" s="46">
        <f>'Inputs (2)'!X10</f>
        <v>-4530</v>
      </c>
      <c r="AD125" s="46">
        <f>'Inputs (2)'!Y10</f>
        <v>-4597</v>
      </c>
      <c r="AE125" s="46">
        <f>'Inputs (2)'!Z10</f>
        <v>-5338</v>
      </c>
      <c r="AF125" s="46">
        <f>'Inputs (2)'!AA10</f>
        <v>-8905</v>
      </c>
      <c r="AG125" s="12">
        <f>'Inputs (2)'!AB10</f>
        <v>-23370</v>
      </c>
      <c r="AH125" s="12">
        <f>'Inputs (2)'!AC10</f>
        <v>-6255</v>
      </c>
      <c r="AI125" s="12">
        <f>'Inputs (2)'!AD10</f>
        <v>-6478</v>
      </c>
      <c r="AJ125" s="12">
        <f>-AJ124*AJ126</f>
        <v>-6216.82866015618</v>
      </c>
      <c r="AK125" s="12">
        <f>-AK124*AK126</f>
        <v>-8721.98017751656</v>
      </c>
      <c r="AL125" s="12">
        <f>SUM(AH125:AK125)</f>
        <v>-27671.8088376727</v>
      </c>
      <c r="AM125" s="12">
        <f>-AM124*AM126</f>
        <v>-6745.76813529175</v>
      </c>
      <c r="AN125" s="12">
        <f>-AN124*AN126</f>
        <v>-6638.56051283654</v>
      </c>
      <c r="AO125" s="12">
        <f>-AO124*AO126</f>
        <v>-6955.03964241801</v>
      </c>
      <c r="AP125" s="12">
        <f>-AP124*AP126</f>
        <v>-9757.66282313591</v>
      </c>
      <c r="AQ125" s="12">
        <f>SUM(AM125:AP125)</f>
        <v>-30097.0311136822</v>
      </c>
      <c r="AR125" s="12">
        <f>-AR124*AR126</f>
        <v>-7513.05865568921</v>
      </c>
      <c r="AS125" s="12">
        <f>-AS124*AS126</f>
        <v>-7393.65681149757</v>
      </c>
      <c r="AT125" s="12">
        <f>-AT124*AT126</f>
        <v>-7746.13353707721</v>
      </c>
      <c r="AU125" s="12">
        <f>-AU124*AU126</f>
        <v>-10867.5382346932</v>
      </c>
      <c r="AV125" s="12">
        <f>SUM(AR125:AU125)</f>
        <v>-33520.3872389572</v>
      </c>
      <c r="AW125" s="12">
        <f>-AW124*AW126</f>
        <v>-8330.05856093001</v>
      </c>
      <c r="AX125" s="12">
        <f>-AX124*AX126</f>
        <v>-8197.67248490142</v>
      </c>
      <c r="AY125" s="12">
        <f>-AY124*AY126</f>
        <v>-8588.47893271477</v>
      </c>
      <c r="AZ125" s="12">
        <f>-AZ124*AZ126</f>
        <v>-12049.3176024373</v>
      </c>
      <c r="BA125" s="12">
        <f>SUM(AW125:AZ125)</f>
        <v>-37165.5275809835</v>
      </c>
      <c r="BB125" s="12">
        <f>-BB124*BB126</f>
        <v>-9194.25199527058</v>
      </c>
      <c r="BC125" s="12">
        <f>-BC124*BC126</f>
        <v>-9048.13166072925</v>
      </c>
      <c r="BD125" s="12">
        <f>-BD124*BD126</f>
        <v>-9479.48192511099</v>
      </c>
      <c r="BE125" s="12">
        <f>-BE124*BE126</f>
        <v>-13299.3617748937</v>
      </c>
      <c r="BF125" s="12">
        <f>SUM(BB125:BE125)</f>
        <v>-41021.2273560045</v>
      </c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2" t="n"/>
      <c r="CX125" s="12" t="n"/>
      <c r="CY125" s="12" t="n"/>
    </row>
    <row r="126" hidden="1" outlineLevel="1">
      <c r="C126" s="57" t="inlineStr">
        <is>
          <t>% ETR</t>
        </is>
      </c>
      <c r="D126" s="53" t="n"/>
      <c r="E126" s="53" t="n"/>
      <c r="F126" s="53" t="n"/>
      <c r="G126" s="53" t="n"/>
      <c r="H126" s="53" t="n"/>
      <c r="I126" s="53">
        <f>IFERROR(-I125/I124,"")</f>
        <v>0.156402841740745</v>
      </c>
      <c r="J126" s="53">
        <f>IFERROR(-J125/J124,"")</f>
        <v>0.107718823094916</v>
      </c>
      <c r="K126" s="53">
        <f>IFERROR(-K125/K124,"")</f>
        <v>0.116009979353063</v>
      </c>
      <c r="L126" s="53">
        <f>IFERROR(-L125/L124,"")</f>
        <v>0.160301641570282</v>
      </c>
      <c r="M126" s="53">
        <f>IFERROR(-M125/M124,"")</f>
        <v>0.139592192968195</v>
      </c>
      <c r="N126" s="53">
        <f>IFERROR(-N125/N124,"")</f>
        <v>0.170178174458343</v>
      </c>
      <c r="O126" s="53">
        <f>IFERROR(-O125/O124,"")</f>
        <v>0.157114367467268</v>
      </c>
      <c r="P126" s="53">
        <f>IFERROR(-P125/P124,"")</f>
        <v>0.159630125319382</v>
      </c>
      <c r="Q126" s="53">
        <f>IFERROR(-Q125/Q124,"")</f>
        <v>0.157903601605704</v>
      </c>
      <c r="R126" s="53">
        <f>IFERROR(-R125/R124,"")</f>
        <v>0.161378155703397</v>
      </c>
      <c r="S126" s="53">
        <f>IFERROR(-S125/S124,"")</f>
        <v>0.14875625396378</v>
      </c>
      <c r="T126" s="53">
        <f>IFERROR(-T125/T124,"")</f>
        <v>0.125456384990982</v>
      </c>
      <c r="U126" s="53">
        <f>IFERROR(-U125/U124,"")</f>
        <v>0.149714793688421</v>
      </c>
      <c r="V126" s="53">
        <f>IFERROR(-V125/V124,"")</f>
        <v>0.158891947523746</v>
      </c>
      <c r="W126" s="53">
        <f>IFERROR(-W125/W124,"")</f>
        <v>0.147953325002533</v>
      </c>
      <c r="X126" s="53">
        <f>IFERROR(-X125/X124,"")</f>
        <v>0.157602109915176</v>
      </c>
      <c r="Y126" s="53">
        <f>IFERROR(-Y125/Y124,"")</f>
        <v>0.158704008786381</v>
      </c>
      <c r="Z126" s="53">
        <f>IFERROR(-Z125/Z124,"")</f>
        <v>0.502330293819656</v>
      </c>
      <c r="AA126" s="53">
        <f>IFERROR(-AA125/AA124,"")</f>
        <v>0.146862671425888</v>
      </c>
      <c r="AB126" s="53">
        <f>IFERROR(-AB125/AB124,"")</f>
        <v>0.23536335151814</v>
      </c>
      <c r="AC126" s="53">
        <f>IFERROR(-AC125/AC124,"")</f>
        <v>0.154554759467758</v>
      </c>
      <c r="AD126" s="53">
        <f>IFERROR(-AD125/AD124,"")</f>
        <v>0.163997003317755</v>
      </c>
      <c r="AE126" s="53">
        <f>IFERROR(-AE125/AE124,"")</f>
        <v>0.162724058041702</v>
      </c>
      <c r="AF126" s="41">
        <f>IFERROR(-AF125/AF124,"")</f>
        <v>0.174600996039371</v>
      </c>
      <c r="AG126" s="53">
        <f>IFERROR(-AG125/AG124,"")</f>
        <v>0.165572063168186</v>
      </c>
      <c r="AH126" s="41">
        <f>IFERROR(-AH125/AH124,"")</f>
        <v>0.174559763346636</v>
      </c>
      <c r="AI126" s="41">
        <f>IFERROR(-AI125/AI124,"")</f>
        <v>0.178619681804395</v>
      </c>
      <c r="AJ126" s="41">
        <f>Control!$B$22</f>
        <v>0.168176043669603</v>
      </c>
      <c r="AK126" s="41">
        <f>Control!$B$22</f>
        <v>0.168176043669603</v>
      </c>
      <c r="AL126" s="53">
        <f>IFERROR(-AL125/AL124,"")</f>
        <v>0.171951059467409</v>
      </c>
      <c r="AM126" s="41">
        <f>Control!$C$22</f>
        <v>0.168176043669603</v>
      </c>
      <c r="AN126" s="41">
        <f>Control!$C$22</f>
        <v>0.168176043669603</v>
      </c>
      <c r="AO126" s="41">
        <f>Control!$C$22</f>
        <v>0.168176043669603</v>
      </c>
      <c r="AP126" s="41">
        <f>Control!$C$22</f>
        <v>0.168176043669603</v>
      </c>
      <c r="AQ126" s="53">
        <f>IFERROR(-AQ125/AQ124,"")</f>
        <v>0.168176043669603</v>
      </c>
      <c r="AR126" s="41">
        <f>Control!$D$22</f>
        <v>0.168176043669603</v>
      </c>
      <c r="AS126" s="41">
        <f>Control!$D$22</f>
        <v>0.168176043669603</v>
      </c>
      <c r="AT126" s="41">
        <f>Control!$D$22</f>
        <v>0.168176043669603</v>
      </c>
      <c r="AU126" s="41">
        <f>Control!$D$22</f>
        <v>0.168176043669603</v>
      </c>
      <c r="AV126" s="53">
        <f>IFERROR(-AV125/AV124,"")</f>
        <v>0.168176043669603</v>
      </c>
      <c r="AW126" s="41">
        <f>Control!$E$22</f>
        <v>0.168176043669603</v>
      </c>
      <c r="AX126" s="41">
        <f>Control!$E$22</f>
        <v>0.168176043669603</v>
      </c>
      <c r="AY126" s="41">
        <f>Control!$E$22</f>
        <v>0.168176043669603</v>
      </c>
      <c r="AZ126" s="41">
        <f>Control!$E$22</f>
        <v>0.168176043669603</v>
      </c>
      <c r="BA126" s="53">
        <f>IFERROR(-BA125/BA124,"")</f>
        <v>0.168176043669603</v>
      </c>
      <c r="BB126" s="41">
        <f>Control!$F$22</f>
        <v>0.168176043669603</v>
      </c>
      <c r="BC126" s="41">
        <f>Control!$F$22</f>
        <v>0.168176043669603</v>
      </c>
      <c r="BD126" s="41">
        <f>Control!$F$22</f>
        <v>0.168176043669603</v>
      </c>
      <c r="BE126" s="41">
        <f>Control!$F$22</f>
        <v>0.168176043669603</v>
      </c>
      <c r="BF126" s="53">
        <f>IFERROR(-BF125/BF124,"")</f>
        <v>0.168176043669603</v>
      </c>
      <c r="BG126" s="41" t="n"/>
      <c r="BH126" s="41" t="n"/>
      <c r="BI126" s="41" t="n"/>
      <c r="BJ126" s="41" t="n"/>
      <c r="BK126" s="53" t="n"/>
      <c r="BL126" s="41" t="n"/>
      <c r="BM126" s="41" t="n"/>
      <c r="BN126" s="41" t="n"/>
      <c r="BO126" s="41" t="n"/>
      <c r="BP126" s="53" t="n"/>
      <c r="BQ126" s="41" t="n"/>
      <c r="BR126" s="41" t="n"/>
      <c r="BS126" s="41" t="n"/>
      <c r="BT126" s="41" t="n"/>
      <c r="BU126" s="53" t="n"/>
      <c r="BV126" s="41" t="n"/>
      <c r="BW126" s="41" t="n"/>
      <c r="BX126" s="41" t="n"/>
      <c r="BY126" s="41" t="n"/>
      <c r="BZ126" s="53" t="n"/>
      <c r="CA126" s="41" t="n"/>
      <c r="CB126" s="41" t="n"/>
      <c r="CC126" s="41" t="n"/>
      <c r="CD126" s="41" t="n"/>
      <c r="CE126" s="53" t="n"/>
      <c r="CF126" s="41" t="n"/>
      <c r="CG126" s="41" t="n"/>
      <c r="CH126" s="41" t="n"/>
      <c r="CI126" s="41" t="n"/>
      <c r="CJ126" s="53" t="n"/>
      <c r="CK126" s="41" t="n"/>
      <c r="CL126" s="41" t="n"/>
      <c r="CM126" s="41" t="n"/>
      <c r="CN126" s="41" t="n"/>
      <c r="CO126" s="53" t="n"/>
      <c r="CP126" s="41" t="n"/>
      <c r="CQ126" s="41" t="n"/>
      <c r="CR126" s="41" t="n"/>
      <c r="CS126" s="41" t="n"/>
      <c r="CT126" s="53" t="n"/>
      <c r="CU126" s="41" t="n"/>
      <c r="CV126" s="41" t="n"/>
      <c r="CW126" s="41" t="n"/>
      <c r="CX126" s="41" t="n"/>
      <c r="CY126" s="53" t="n"/>
    </row>
    <row r="127" hidden="1" outlineLevel="1">
      <c r="C127" s="57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2" t="n"/>
      <c r="CY127" s="12" t="n"/>
    </row>
    <row r="128" hidden="1" outlineLevel="1">
      <c r="C128" s="57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2" t="n"/>
      <c r="CX128" s="12" t="n"/>
      <c r="CY128" s="12" t="n"/>
    </row>
    <row r="129" collapsed="1">
      <c r="C129" s="14" t="inlineStr">
        <is>
          <t>Equity in Income of Affiliates, after tax (enter as +)</t>
        </is>
      </c>
      <c r="D129" s="46" t="n"/>
      <c r="E129" s="46" t="n"/>
      <c r="F129" s="46" t="n"/>
      <c r="G129" s="46" t="n"/>
      <c r="H129" s="12" t="n"/>
      <c r="I129" s="46">
        <f>'Inputs (2)'!D11</f>
        <v>0</v>
      </c>
      <c r="J129" s="46">
        <f>'Inputs (2)'!E11</f>
        <v>0</v>
      </c>
      <c r="K129" s="46">
        <f>'Inputs (2)'!F11</f>
        <v>0</v>
      </c>
      <c r="L129" s="46">
        <f>'Inputs (2)'!G11</f>
        <v>0</v>
      </c>
      <c r="M129" s="12">
        <f>'Inputs (2)'!H11</f>
        <v>0</v>
      </c>
      <c r="N129" s="46">
        <f>'Inputs (2)'!I11</f>
        <v>0</v>
      </c>
      <c r="O129" s="46">
        <f>'Inputs (2)'!J11</f>
        <v>0</v>
      </c>
      <c r="P129" s="46">
        <f>'Inputs (2)'!K11</f>
        <v>0</v>
      </c>
      <c r="Q129" s="46">
        <f>'Inputs (2)'!L11</f>
        <v>0</v>
      </c>
      <c r="R129" s="12">
        <f>'Inputs (2)'!M11</f>
        <v>0</v>
      </c>
      <c r="S129" s="46">
        <f>'Inputs (2)'!N11</f>
        <v>0</v>
      </c>
      <c r="T129" s="46">
        <f>'Inputs (2)'!O11</f>
        <v>0</v>
      </c>
      <c r="U129" s="46">
        <f>'Inputs (2)'!P11</f>
        <v>0</v>
      </c>
      <c r="V129" s="46">
        <f>'Inputs (2)'!Q11</f>
        <v>0</v>
      </c>
      <c r="W129" s="12">
        <f>'Inputs (2)'!R11</f>
        <v>0</v>
      </c>
      <c r="X129" s="46">
        <f>'Inputs (2)'!S11</f>
        <v>0</v>
      </c>
      <c r="Y129" s="46">
        <f>'Inputs (2)'!T11</f>
        <v>0</v>
      </c>
      <c r="Z129" s="46">
        <f>'Inputs (2)'!U11</f>
        <v>0</v>
      </c>
      <c r="AA129" s="46">
        <f>'Inputs (2)'!V11</f>
        <v>0</v>
      </c>
      <c r="AB129" s="12">
        <f>'Inputs (2)'!W11</f>
        <v>0</v>
      </c>
      <c r="AC129" s="46">
        <f>'Inputs (2)'!X11</f>
        <v>0</v>
      </c>
      <c r="AD129" s="46">
        <f>'Inputs (2)'!Y11</f>
        <v>0</v>
      </c>
      <c r="AE129" s="46">
        <f>'Inputs (2)'!Z11</f>
        <v>0</v>
      </c>
      <c r="AF129" s="46">
        <f>'Inputs (2)'!AA11</f>
        <v>0</v>
      </c>
      <c r="AG129" s="12">
        <f>'Inputs (2)'!AB11</f>
        <v>0</v>
      </c>
      <c r="AH129" s="12">
        <f>'Inputs (2)'!AC11</f>
        <v>0</v>
      </c>
      <c r="AI129" s="12">
        <f>'Inputs (2)'!AD11</f>
        <v>0</v>
      </c>
      <c r="AJ129" s="12">
        <f>0</f>
        <v>0</v>
      </c>
      <c r="AK129" s="12">
        <f>0</f>
        <v>0</v>
      </c>
      <c r="AL129" s="12">
        <f>SUM(AH129:AK129)</f>
        <v>0</v>
      </c>
      <c r="AM129" s="12">
        <f>0</f>
        <v>0</v>
      </c>
      <c r="AN129" s="12">
        <f>0</f>
        <v>0</v>
      </c>
      <c r="AO129" s="12">
        <f>0</f>
        <v>0</v>
      </c>
      <c r="AP129" s="12">
        <f>0</f>
        <v>0</v>
      </c>
      <c r="AQ129" s="12">
        <f>SUM(AM129:AP129)</f>
        <v>0</v>
      </c>
      <c r="AR129" s="12">
        <f>0</f>
        <v>0</v>
      </c>
      <c r="AS129" s="12">
        <f>0</f>
        <v>0</v>
      </c>
      <c r="AT129" s="12">
        <f>0</f>
        <v>0</v>
      </c>
      <c r="AU129" s="12">
        <f>0</f>
        <v>0</v>
      </c>
      <c r="AV129" s="12">
        <f>SUM(AR129:AU129)</f>
        <v>0</v>
      </c>
      <c r="AW129" s="12">
        <f>0</f>
        <v>0</v>
      </c>
      <c r="AX129" s="12">
        <f>0</f>
        <v>0</v>
      </c>
      <c r="AY129" s="12">
        <f>0</f>
        <v>0</v>
      </c>
      <c r="AZ129" s="12">
        <f>0</f>
        <v>0</v>
      </c>
      <c r="BA129" s="12">
        <f>SUM(AW129:AZ129)</f>
        <v>0</v>
      </c>
      <c r="BB129" s="12">
        <f>0</f>
        <v>0</v>
      </c>
      <c r="BC129" s="12">
        <f>0</f>
        <v>0</v>
      </c>
      <c r="BD129" s="12">
        <f>0</f>
        <v>0</v>
      </c>
      <c r="BE129" s="12">
        <f>0</f>
        <v>0</v>
      </c>
      <c r="BF129" s="12">
        <f>SUM(BB129:BE129)</f>
        <v>0</v>
      </c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2" t="n"/>
      <c r="CX129" s="12" t="n"/>
      <c r="CY129" s="12" t="n"/>
    </row>
    <row r="130">
      <c r="C130" s="14" t="inlineStr">
        <is>
          <t>Minority Interest Expense, after tax (enter as - )</t>
        </is>
      </c>
      <c r="D130" s="46" t="n"/>
      <c r="E130" s="46" t="n"/>
      <c r="F130" s="46" t="n"/>
      <c r="G130" s="46" t="n"/>
      <c r="H130" s="12" t="n"/>
      <c r="I130" s="46">
        <f>'Inputs (2)'!D12</f>
        <v>0</v>
      </c>
      <c r="J130" s="46">
        <f>'Inputs (2)'!E12</f>
        <v>0</v>
      </c>
      <c r="K130" s="46">
        <f>'Inputs (2)'!F12</f>
        <v>0</v>
      </c>
      <c r="L130" s="46">
        <f>'Inputs (2)'!G12</f>
        <v>0</v>
      </c>
      <c r="M130" s="12">
        <f>'Inputs (2)'!H12</f>
        <v>0</v>
      </c>
      <c r="N130" s="46">
        <f>'Inputs (2)'!I12</f>
        <v>0</v>
      </c>
      <c r="O130" s="46">
        <f>'Inputs (2)'!J12</f>
        <v>0</v>
      </c>
      <c r="P130" s="46">
        <f>'Inputs (2)'!K12</f>
        <v>0</v>
      </c>
      <c r="Q130" s="46">
        <f>'Inputs (2)'!L12</f>
        <v>0</v>
      </c>
      <c r="R130" s="12">
        <f>'Inputs (2)'!M12</f>
        <v>0</v>
      </c>
      <c r="S130" s="46">
        <f>'Inputs (2)'!N12</f>
        <v>0</v>
      </c>
      <c r="T130" s="46">
        <f>'Inputs (2)'!O12</f>
        <v>0</v>
      </c>
      <c r="U130" s="46">
        <f>'Inputs (2)'!P12</f>
        <v>0</v>
      </c>
      <c r="V130" s="46">
        <f>'Inputs (2)'!Q12</f>
        <v>0</v>
      </c>
      <c r="W130" s="12">
        <f>'Inputs (2)'!R12</f>
        <v>0</v>
      </c>
      <c r="X130" s="46">
        <f>'Inputs (2)'!S12</f>
        <v>0</v>
      </c>
      <c r="Y130" s="46">
        <f>'Inputs (2)'!T12</f>
        <v>0</v>
      </c>
      <c r="Z130" s="46">
        <f>'Inputs (2)'!U12</f>
        <v>0</v>
      </c>
      <c r="AA130" s="46">
        <f>'Inputs (2)'!V12</f>
        <v>0</v>
      </c>
      <c r="AB130" s="12">
        <f>'Inputs (2)'!W12</f>
        <v>0</v>
      </c>
      <c r="AC130" s="46">
        <f>'Inputs (2)'!X12</f>
        <v>0</v>
      </c>
      <c r="AD130" s="46">
        <f>'Inputs (2)'!Y12</f>
        <v>0</v>
      </c>
      <c r="AE130" s="46">
        <f>'Inputs (2)'!Z12</f>
        <v>0</v>
      </c>
      <c r="AF130" s="46">
        <f>'Inputs (2)'!AA12</f>
        <v>0</v>
      </c>
      <c r="AG130" s="12">
        <f>'Inputs (2)'!AB12</f>
        <v>0</v>
      </c>
      <c r="AH130" s="12">
        <f>'Inputs (2)'!AC12</f>
        <v>0</v>
      </c>
      <c r="AI130" s="12">
        <f>'Inputs (2)'!AD12</f>
        <v>0</v>
      </c>
      <c r="AJ130" s="12">
        <f>0</f>
        <v>0</v>
      </c>
      <c r="AK130" s="12">
        <f>0</f>
        <v>0</v>
      </c>
      <c r="AL130" s="12">
        <f>SUM(AH130:AK130)</f>
        <v>0</v>
      </c>
      <c r="AM130" s="12">
        <f>0</f>
        <v>0</v>
      </c>
      <c r="AN130" s="12">
        <f>0</f>
        <v>0</v>
      </c>
      <c r="AO130" s="12">
        <f>0</f>
        <v>0</v>
      </c>
      <c r="AP130" s="12">
        <f>0</f>
        <v>0</v>
      </c>
      <c r="AQ130" s="12">
        <f>SUM(AM130:AP130)</f>
        <v>0</v>
      </c>
      <c r="AR130" s="12">
        <f>0</f>
        <v>0</v>
      </c>
      <c r="AS130" s="12">
        <f>0</f>
        <v>0</v>
      </c>
      <c r="AT130" s="12">
        <f>0</f>
        <v>0</v>
      </c>
      <c r="AU130" s="12">
        <f>0</f>
        <v>0</v>
      </c>
      <c r="AV130" s="12">
        <f>SUM(AR130:AU130)</f>
        <v>0</v>
      </c>
      <c r="AW130" s="12">
        <f>0</f>
        <v>0</v>
      </c>
      <c r="AX130" s="12">
        <f>0</f>
        <v>0</v>
      </c>
      <c r="AY130" s="12">
        <f>0</f>
        <v>0</v>
      </c>
      <c r="AZ130" s="12">
        <f>0</f>
        <v>0</v>
      </c>
      <c r="BA130" s="12">
        <f>SUM(AW130:AZ130)</f>
        <v>0</v>
      </c>
      <c r="BB130" s="12">
        <f>0</f>
        <v>0</v>
      </c>
      <c r="BC130" s="12">
        <f>0</f>
        <v>0</v>
      </c>
      <c r="BD130" s="12">
        <f>0</f>
        <v>0</v>
      </c>
      <c r="BE130" s="12">
        <f>0</f>
        <v>0</v>
      </c>
      <c r="BF130" s="12">
        <f>SUM(BB130:BE130)</f>
        <v>0</v>
      </c>
      <c r="BG130" s="12" t="n"/>
      <c r="BH130" s="12" t="n"/>
      <c r="BI130" s="12" t="n"/>
      <c r="BJ130" s="12" t="n"/>
      <c r="BK130" s="12" t="n"/>
      <c r="BL130" s="12" t="n"/>
      <c r="BM130" s="12" t="n"/>
      <c r="BN130" s="12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  <c r="CN130" s="12" t="n"/>
      <c r="CO130" s="12" t="n"/>
      <c r="CP130" s="12" t="n"/>
      <c r="CQ130" s="12" t="n"/>
      <c r="CR130" s="12" t="n"/>
      <c r="CS130" s="12" t="n"/>
      <c r="CT130" s="12" t="n"/>
      <c r="CU130" s="12" t="n"/>
      <c r="CV130" s="12" t="n"/>
      <c r="CW130" s="12" t="n"/>
      <c r="CX130" s="12" t="n"/>
      <c r="CY130" s="12" t="n"/>
    </row>
    <row r="131" customFormat="1" s="32">
      <c r="A131" s="30" t="n"/>
      <c r="B131" s="3" t="n"/>
      <c r="C131" s="33" t="inlineStr">
        <is>
          <t>Net Income</t>
        </is>
      </c>
      <c r="D131" s="35" t="n"/>
      <c r="E131" s="35" t="n"/>
      <c r="F131" s="35" t="n"/>
      <c r="G131" s="35" t="n"/>
      <c r="H131" s="35" t="n"/>
      <c r="I131" s="35">
        <f>SUM(I124,I125,I129,I130)</f>
        <v>23630</v>
      </c>
      <c r="J131" s="35">
        <f>SUM(J124,J125,J129,J130)</f>
        <v>21744</v>
      </c>
      <c r="K131" s="35">
        <f>SUM(K124,K125,K129,K130)</f>
        <v>20551</v>
      </c>
      <c r="L131" s="35">
        <f>SUM(L124,L125,L129,L130)</f>
        <v>34630</v>
      </c>
      <c r="M131" s="35">
        <f>SUM(I131:L131)</f>
        <v>100555</v>
      </c>
      <c r="N131" s="35">
        <f>SUM(N124,N125,N129,N130)</f>
        <v>25010</v>
      </c>
      <c r="O131" s="35">
        <f>SUM(O124,O125,O129,O130)</f>
        <v>19442</v>
      </c>
      <c r="P131" s="35">
        <f>SUM(P124,P125,P129,P130)</f>
        <v>20721</v>
      </c>
      <c r="Q131" s="35">
        <f>SUM(Q124,Q125,Q129,Q130)</f>
        <v>29998</v>
      </c>
      <c r="R131" s="35">
        <f>SUM(N131:Q131)</f>
        <v>95171</v>
      </c>
      <c r="S131" s="35">
        <f>SUM(S124,S125,S129,S130)</f>
        <v>24160</v>
      </c>
      <c r="T131" s="35">
        <f>SUM(T124,T125,T129,T130)</f>
        <v>19881</v>
      </c>
      <c r="U131" s="35">
        <f>SUM(U124,U125,U129,U130)</f>
        <v>22956</v>
      </c>
      <c r="V131" s="35">
        <f>SUM(V124,V125,V129,V130)</f>
        <v>33916</v>
      </c>
      <c r="W131" s="35">
        <f>SUM(S131:V131)</f>
        <v>100913</v>
      </c>
      <c r="X131" s="35">
        <f>SUM(X124,X125,X129,X130)</f>
        <v>23636</v>
      </c>
      <c r="Y131" s="35">
        <f>SUM(Y124,Y125,Y129,Y130)</f>
        <v>21448</v>
      </c>
      <c r="Z131" s="35">
        <f>SUM(Z124,Z125,Z129,Z130)</f>
        <v>14736</v>
      </c>
      <c r="AA131" s="35">
        <f>SUM(AA124,AA125,AA129,AA130)</f>
        <v>36330</v>
      </c>
      <c r="AB131" s="35">
        <f>SUM(X131:AA131)</f>
        <v>96150</v>
      </c>
      <c r="AC131" s="35">
        <f>SUM(AC124,AC125,AC129,AC130)</f>
        <v>24780</v>
      </c>
      <c r="AD131" s="35">
        <f>SUM(AD124,AD125,AD129,AD130)</f>
        <v>23434</v>
      </c>
      <c r="AE131" s="35">
        <f>SUM(AE124,AE125,AE129,AE130)</f>
        <v>27466</v>
      </c>
      <c r="AF131" s="35">
        <f>SUM(AF124,AF125,AF129,AF130)</f>
        <v>42097</v>
      </c>
      <c r="AG131" s="35">
        <f>SUM(AC131:AF131)</f>
        <v>117777</v>
      </c>
      <c r="AH131" s="35">
        <f>SUM(AH124,AH125,AH129,AH130)</f>
        <v>29578</v>
      </c>
      <c r="AI131" s="35">
        <f>SUM(AI124,AI125,AI129,AI130)</f>
        <v>29789</v>
      </c>
      <c r="AJ131" s="35">
        <f>SUM(AJ124,AJ125,AJ129,AJ130)</f>
        <v>30749.3677403829</v>
      </c>
      <c r="AK131" s="35">
        <f>SUM(AK124,AK125,AK129,AK130)</f>
        <v>43140.2231851198</v>
      </c>
      <c r="AL131" s="35">
        <f>SUM(AH131:AK131)</f>
        <v>133256.590925503</v>
      </c>
      <c r="AM131" s="35">
        <f>SUM(AM124,AM125,AM129,AM130)</f>
        <v>33365.5817817298</v>
      </c>
      <c r="AN131" s="35">
        <f>SUM(AN124,AN125,AN129,AN130)</f>
        <v>32835.3167884906</v>
      </c>
      <c r="AO131" s="35">
        <f>SUM(AO124,AO125,AO129,AO130)</f>
        <v>34400.6700690188</v>
      </c>
      <c r="AP131" s="35">
        <f>SUM(AP124,AP125,AP129,AP130)</f>
        <v>48262.8650131933</v>
      </c>
      <c r="AQ131" s="35">
        <f>SUM(AM131:AP131)</f>
        <v>148864.433652432</v>
      </c>
      <c r="AR131" s="35">
        <f>SUM(AR124,AR125,AR129,AR130)</f>
        <v>37160.7158710162</v>
      </c>
      <c r="AS131" s="35">
        <f>SUM(AS124,AS125,AS129,AS130)</f>
        <v>36570.136426635</v>
      </c>
      <c r="AT131" s="35">
        <f>SUM(AT124,AT125,AT129,AT130)</f>
        <v>38313.5392204482</v>
      </c>
      <c r="AU131" s="35">
        <f>SUM(AU124,AU125,AU129,AU130)</f>
        <v>53752.4753984224</v>
      </c>
      <c r="AV131" s="35">
        <f>SUM(AR131:AU131)</f>
        <v>165796.866916522</v>
      </c>
      <c r="AW131" s="35">
        <f>SUM(AW124,AW125,AW129,AW130)</f>
        <v>41201.7200394464</v>
      </c>
      <c r="AX131" s="35">
        <f>SUM(AX124,AX125,AX129,AX130)</f>
        <v>40546.9186353802</v>
      </c>
      <c r="AY131" s="35">
        <f>SUM(AY124,AY125,AY129,AY130)</f>
        <v>42479.9059889071</v>
      </c>
      <c r="AZ131" s="35">
        <f>SUM(AZ124,AZ125,AZ129,AZ130)</f>
        <v>59597.7335442129</v>
      </c>
      <c r="BA131" s="35">
        <f>SUM(AW131:AZ131)</f>
        <v>183826.278207947</v>
      </c>
      <c r="BB131" s="35">
        <f>SUM(BB124,BB125,BB129,BB130)</f>
        <v>45476.150486866</v>
      </c>
      <c r="BC131" s="35">
        <f>SUM(BC124,BC125,BC129,BC130)</f>
        <v>44753.4173785924</v>
      </c>
      <c r="BD131" s="35">
        <f>SUM(BD124,BD125,BD129,BD130)</f>
        <v>46886.9405347626</v>
      </c>
      <c r="BE131" s="35">
        <f>SUM(BE124,BE125,BE129,BE130)</f>
        <v>65780.6396611103</v>
      </c>
      <c r="BF131" s="35">
        <f>SUM(BB131:BE131)</f>
        <v>202897.148061331</v>
      </c>
      <c r="BG131" s="35" t="n"/>
      <c r="BH131" s="35" t="n"/>
      <c r="BI131" s="35" t="n"/>
      <c r="BJ131" s="35" t="n"/>
      <c r="BK131" s="35" t="n"/>
      <c r="BL131" s="35" t="n"/>
      <c r="BM131" s="35" t="n"/>
      <c r="BN131" s="35" t="n"/>
      <c r="BO131" s="35" t="n"/>
      <c r="BP131" s="35" t="n"/>
      <c r="BQ131" s="35" t="n"/>
      <c r="BR131" s="35" t="n"/>
      <c r="BS131" s="35" t="n"/>
      <c r="BT131" s="35" t="n"/>
      <c r="BU131" s="35" t="n"/>
      <c r="BV131" s="35" t="n"/>
      <c r="BW131" s="35" t="n"/>
      <c r="BX131" s="35" t="n"/>
      <c r="BY131" s="35" t="n"/>
      <c r="BZ131" s="35" t="n"/>
      <c r="CA131" s="35" t="n"/>
      <c r="CB131" s="35" t="n"/>
      <c r="CC131" s="35" t="n"/>
      <c r="CD131" s="35" t="n"/>
      <c r="CE131" s="35" t="n"/>
      <c r="CF131" s="35" t="n"/>
      <c r="CG131" s="35" t="n"/>
      <c r="CH131" s="35" t="n"/>
      <c r="CI131" s="35" t="n"/>
      <c r="CJ131" s="35" t="n"/>
      <c r="CK131" s="35" t="n"/>
      <c r="CL131" s="35" t="n"/>
      <c r="CM131" s="35" t="n"/>
      <c r="CN131" s="35" t="n"/>
      <c r="CO131" s="35" t="n"/>
      <c r="CP131" s="35" t="n"/>
      <c r="CQ131" s="35" t="n"/>
      <c r="CR131" s="35" t="n"/>
      <c r="CS131" s="35" t="n"/>
      <c r="CT131" s="35" t="n"/>
      <c r="CU131" s="35" t="n"/>
      <c r="CV131" s="35" t="n"/>
      <c r="CW131" s="35" t="n"/>
      <c r="CX131" s="35" t="n"/>
      <c r="CY131" s="35" t="n"/>
    </row>
    <row r="132">
      <c r="C132" s="13" t="inlineStr">
        <is>
          <t>Common Dividends</t>
        </is>
      </c>
      <c r="D132" s="46" t="n"/>
      <c r="E132" s="46" t="n"/>
      <c r="F132" s="46" t="n"/>
      <c r="G132" s="46" t="n"/>
      <c r="H132" s="12" t="n"/>
      <c r="I132" s="46">
        <f>'Inputs (2)'!D13</f>
        <v>358</v>
      </c>
      <c r="J132" s="46">
        <f>'Inputs (2)'!E13</f>
        <v>-3767</v>
      </c>
      <c r="K132" s="46">
        <f>'Inputs (2)'!F13</f>
        <v>-3640</v>
      </c>
      <c r="L132" s="46">
        <f>'Inputs (2)'!G13</f>
        <v>-3732</v>
      </c>
      <c r="M132" s="12">
        <f>'Inputs (2)'!H13</f>
        <v>-10781</v>
      </c>
      <c r="N132" s="46">
        <f>'Inputs (2)'!I13</f>
        <v>-3595</v>
      </c>
      <c r="O132" s="46">
        <f>'Inputs (2)'!J13</f>
        <v>-3811</v>
      </c>
      <c r="P132" s="46">
        <f>'Inputs (2)'!K13</f>
        <v>-3703</v>
      </c>
      <c r="Q132" s="46">
        <f>'Inputs (2)'!L13</f>
        <v>-3768</v>
      </c>
      <c r="R132" s="12">
        <f>'Inputs (2)'!M13</f>
        <v>-14877</v>
      </c>
      <c r="S132" s="46">
        <f>'Inputs (2)'!N13</f>
        <v>-3650</v>
      </c>
      <c r="T132" s="46">
        <f>'Inputs (2)'!O13</f>
        <v>-3849</v>
      </c>
      <c r="U132" s="46">
        <f>'Inputs (2)'!P13</f>
        <v>-3758</v>
      </c>
      <c r="V132" s="46">
        <f>'Inputs (2)'!Q13</f>
        <v>-3825</v>
      </c>
      <c r="W132" s="12">
        <f>'Inputs (2)'!R13</f>
        <v>-15082</v>
      </c>
      <c r="X132" s="46">
        <f>'Inputs (2)'!S13</f>
        <v>-3710</v>
      </c>
      <c r="Y132" s="46">
        <f>'Inputs (2)'!T13</f>
        <v>-3895</v>
      </c>
      <c r="Z132" s="46">
        <f>'Inputs (2)'!U13</f>
        <v>-3804</v>
      </c>
      <c r="AA132" s="46">
        <f>'Inputs (2)'!V13</f>
        <v>-3856</v>
      </c>
      <c r="AB132" s="12">
        <f>'Inputs (2)'!W13</f>
        <v>-15265</v>
      </c>
      <c r="AC132" s="46">
        <f>'Inputs (2)'!X13</f>
        <v>-3758</v>
      </c>
      <c r="AD132" s="46">
        <f>'Inputs (2)'!Y13</f>
        <v>-3945</v>
      </c>
      <c r="AE132" s="46">
        <f>'Inputs (2)'!Z13</f>
        <v>-3862</v>
      </c>
      <c r="AF132" s="46">
        <f>'Inputs (2)'!AA13</f>
        <v>-3921</v>
      </c>
      <c r="AG132" s="12">
        <f>'Inputs (2)'!AB13</f>
        <v>-15486</v>
      </c>
      <c r="AH132" s="12">
        <f>'Inputs (2)'!AC13</f>
        <v>-3822</v>
      </c>
      <c r="AI132" s="12">
        <f>'Inputs (2)'!AD13</f>
        <v>-4035</v>
      </c>
      <c r="AJ132" s="12">
        <f>-MAX(0,AJ131)*Control!$E$15</f>
        <v>0</v>
      </c>
      <c r="AK132" s="12">
        <f>-MAX(0,AK131)*Control!$E$15</f>
        <v>0</v>
      </c>
      <c r="AL132" s="12">
        <f>SUM(AH132:AK132)</f>
        <v>-7857</v>
      </c>
      <c r="AM132" s="12">
        <f>-MAX(0,AM131)*Control!$E$15</f>
        <v>0</v>
      </c>
      <c r="AN132" s="12">
        <f>-MAX(0,AN131)*Control!$E$15</f>
        <v>0</v>
      </c>
      <c r="AO132" s="12">
        <f>-MAX(0,AO131)*Control!$E$15</f>
        <v>0</v>
      </c>
      <c r="AP132" s="12">
        <f>-MAX(0,AP131)*Control!$E$15</f>
        <v>0</v>
      </c>
      <c r="AQ132" s="12">
        <f>SUM(AM132:AP132)</f>
        <v>0</v>
      </c>
      <c r="AR132" s="12">
        <f>-MAX(0,AR131)*Control!$E$15</f>
        <v>0</v>
      </c>
      <c r="AS132" s="12">
        <f>-MAX(0,AS131)*Control!$E$15</f>
        <v>0</v>
      </c>
      <c r="AT132" s="12">
        <f>-MAX(0,AT131)*Control!$E$15</f>
        <v>0</v>
      </c>
      <c r="AU132" s="12">
        <f>-MAX(0,AU131)*Control!$E$15</f>
        <v>0</v>
      </c>
      <c r="AV132" s="12">
        <f>SUM(AR132:AU132)</f>
        <v>0</v>
      </c>
      <c r="AW132" s="12">
        <f>-MAX(0,AW131)*Control!$E$15</f>
        <v>0</v>
      </c>
      <c r="AX132" s="12">
        <f>-MAX(0,AX131)*Control!$E$15</f>
        <v>0</v>
      </c>
      <c r="AY132" s="12">
        <f>-MAX(0,AY131)*Control!$E$15</f>
        <v>0</v>
      </c>
      <c r="AZ132" s="12">
        <f>-MAX(0,AZ131)*Control!$E$15</f>
        <v>0</v>
      </c>
      <c r="BA132" s="12">
        <f>SUM(AW132:AZ132)</f>
        <v>0</v>
      </c>
      <c r="BB132" s="12">
        <f>-MAX(0,BB131)*Control!$E$15</f>
        <v>0</v>
      </c>
      <c r="BC132" s="12">
        <f>-MAX(0,BC131)*Control!$E$15</f>
        <v>0</v>
      </c>
      <c r="BD132" s="12">
        <f>-MAX(0,BD131)*Control!$E$15</f>
        <v>0</v>
      </c>
      <c r="BE132" s="12">
        <f>-MAX(0,BE131)*Control!$E$15</f>
        <v>0</v>
      </c>
      <c r="BF132" s="12">
        <f>SUM(BB132:BE132)</f>
        <v>0</v>
      </c>
      <c r="BG132" s="12" t="n"/>
      <c r="BH132" s="12" t="n"/>
      <c r="BI132" s="12" t="n"/>
      <c r="BJ132" s="12" t="n"/>
      <c r="BK132" s="12" t="n"/>
      <c r="BL132" s="12" t="n"/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2" t="n"/>
      <c r="CX132" s="12" t="n"/>
      <c r="CY132" s="12" t="n"/>
    </row>
    <row r="133" hidden="1" outlineLevel="1">
      <c r="C133" s="50" t="inlineStr">
        <is>
          <t>% DVD Payout</t>
        </is>
      </c>
      <c r="D133" s="58" t="n"/>
      <c r="E133" s="58" t="n"/>
      <c r="F133" s="58" t="n"/>
      <c r="G133" s="58" t="n"/>
      <c r="H133" s="58" t="n"/>
      <c r="I133" s="58">
        <f>IF(I131=0,"",-I132/I131)</f>
        <v>-0.0151502327549725</v>
      </c>
      <c r="J133" s="58">
        <f>IF(J131=0,"",-J132/J131)</f>
        <v>0.17324319352465</v>
      </c>
      <c r="K133" s="58">
        <f>IF(K131=0,"",-K132/K131)</f>
        <v>0.177120334776897</v>
      </c>
      <c r="L133" s="58">
        <f>IF(L131=0,"",-L132/L131)</f>
        <v>0.107767831360092</v>
      </c>
      <c r="M133" s="58">
        <f>IF(M131=0,"",-M132/M131)</f>
        <v>0.107214956988713</v>
      </c>
      <c r="N133" s="58">
        <f>IF(N131=0,"",-N132/N131)</f>
        <v>0.1437425029988</v>
      </c>
      <c r="O133" s="58">
        <f>IF(O131=0,"",-O132/O131)</f>
        <v>0.196018928093818</v>
      </c>
      <c r="P133" s="58">
        <f>IF(P131=0,"",-P132/P131)</f>
        <v>0.178707591332465</v>
      </c>
      <c r="Q133" s="58">
        <f>IF(Q131=0,"",-Q132/Q131)</f>
        <v>0.125608373891593</v>
      </c>
      <c r="R133" s="58">
        <f>IF(R131=0,"",-R132/R131)</f>
        <v>0.15631862647235</v>
      </c>
      <c r="S133" s="58">
        <f>IF(S131=0,"",-S132/S131)</f>
        <v>0.151076158940397</v>
      </c>
      <c r="T133" s="58">
        <f>IF(T131=0,"",-T132/T131)</f>
        <v>0.19360193149238</v>
      </c>
      <c r="U133" s="58">
        <f>IF(U131=0,"",-U132/U131)</f>
        <v>0.163704478132079</v>
      </c>
      <c r="V133" s="58">
        <f>IF(V131=0,"",-V132/V131)</f>
        <v>0.112778629555372</v>
      </c>
      <c r="W133" s="58">
        <f>IF(W131=0,"",-W132/W131)</f>
        <v>0.149455471544796</v>
      </c>
      <c r="X133" s="58">
        <f>IF(X131=0,"",-X132/X131)</f>
        <v>0.156963953291589</v>
      </c>
      <c r="Y133" s="58">
        <f>IF(Y131=0,"",-Y132/Y131)</f>
        <v>0.181602014173816</v>
      </c>
      <c r="Z133" s="58">
        <f>IF(Z131=0,"",-Z132/Z131)</f>
        <v>0.25814332247557</v>
      </c>
      <c r="AA133" s="58">
        <f>IF(AA131=0,"",-AA132/AA131)</f>
        <v>0.106138177814478</v>
      </c>
      <c r="AB133" s="58">
        <f>IF(AB131=0,"",-AB132/AB131)</f>
        <v>0.15876235049402</v>
      </c>
      <c r="AC133" s="58">
        <f>IF(AC131=0,"",-AC132/AC131)</f>
        <v>0.151654560129136</v>
      </c>
      <c r="AD133" s="58">
        <f>IF(AD131=0,"",-AD132/AD131)</f>
        <v>0.168345139540838</v>
      </c>
      <c r="AE133" s="58">
        <f>IF(AE131=0,"",-AE132/AE131)</f>
        <v>0.140610208985655</v>
      </c>
      <c r="AF133" s="41">
        <f>IF(AF131=0,"",-AF132/AF131)</f>
        <v>0.0931420291232154</v>
      </c>
      <c r="AG133" s="12">
        <f>IF(AG131=0,"",-AG132/AG131)</f>
        <v>0.131485773962658</v>
      </c>
      <c r="AH133" s="41">
        <f>IF(AH131=0,"",-AH132/AH131)</f>
        <v>0.129217661775644</v>
      </c>
      <c r="AI133" s="41">
        <f>IF(AI131=0,"",-AI132/AI131)</f>
        <v>0.135452683876599</v>
      </c>
      <c r="AJ133" s="41">
        <f>IF(AJ131=0,"",-AJ132/AJ131)</f>
        <v>0</v>
      </c>
      <c r="AK133" s="41">
        <f>IF(AK131=0,"",-AK132/AK131)</f>
        <v>0</v>
      </c>
      <c r="AL133" s="12">
        <f>IF(AL131=0,"",-AL132/AL131)</f>
        <v>0.0589614363194423</v>
      </c>
      <c r="AM133" s="41">
        <f>IF(AM131=0,"",-AM132/AM131)</f>
        <v>0</v>
      </c>
      <c r="AN133" s="41">
        <f>IF(AN131=0,"",-AN132/AN131)</f>
        <v>0</v>
      </c>
      <c r="AO133" s="41">
        <f>IF(AO131=0,"",-AO132/AO131)</f>
        <v>0</v>
      </c>
      <c r="AP133" s="41">
        <f>IF(AP131=0,"",-AP132/AP131)</f>
        <v>0</v>
      </c>
      <c r="AQ133" s="12">
        <f>IF(AQ131=0,"",-AQ132/AQ131)</f>
        <v>0</v>
      </c>
      <c r="AR133" s="41">
        <f>IF(AR131=0,"",-AR132/AR131)</f>
        <v>0</v>
      </c>
      <c r="AS133" s="41">
        <f>IF(AS131=0,"",-AS132/AS131)</f>
        <v>0</v>
      </c>
      <c r="AT133" s="41">
        <f>IF(AT131=0,"",-AT132/AT131)</f>
        <v>0</v>
      </c>
      <c r="AU133" s="41">
        <f>IF(AU131=0,"",-AU132/AU131)</f>
        <v>0</v>
      </c>
      <c r="AV133" s="12">
        <f>IF(AV131=0,"",-AV132/AV131)</f>
        <v>0</v>
      </c>
      <c r="AW133" s="41">
        <f>IF(AW131=0,"",-AW132/AW131)</f>
        <v>0</v>
      </c>
      <c r="AX133" s="41">
        <f>IF(AX131=0,"",-AX132/AX131)</f>
        <v>0</v>
      </c>
      <c r="AY133" s="41">
        <f>IF(AY131=0,"",-AY132/AY131)</f>
        <v>0</v>
      </c>
      <c r="AZ133" s="41">
        <f>IF(AZ131=0,"",-AZ132/AZ131)</f>
        <v>0</v>
      </c>
      <c r="BA133" s="12">
        <f>IF(BA131=0,"",-BA132/BA131)</f>
        <v>0</v>
      </c>
      <c r="BB133" s="41">
        <f>IF(BB131=0,"",-BB132/BB131)</f>
        <v>0</v>
      </c>
      <c r="BC133" s="41">
        <f>IF(BC131=0,"",-BC132/BC131)</f>
        <v>0</v>
      </c>
      <c r="BD133" s="41">
        <f>IF(BD131=0,"",-BD132/BD131)</f>
        <v>0</v>
      </c>
      <c r="BE133" s="41">
        <f>IF(BE131=0,"",-BE132/BE131)</f>
        <v>0</v>
      </c>
      <c r="BF133" s="12">
        <f>IF(BF131=0,"",-BF132/BF131)</f>
        <v>0</v>
      </c>
      <c r="BG133" s="41" t="n"/>
      <c r="BH133" s="41" t="n"/>
      <c r="BI133" s="41" t="n"/>
      <c r="BJ133" s="41" t="n"/>
      <c r="BK133" s="12" t="n"/>
      <c r="BL133" s="41" t="n"/>
      <c r="BM133" s="41" t="n"/>
      <c r="BN133" s="41" t="n"/>
      <c r="BO133" s="41" t="n"/>
      <c r="BP133" s="12" t="n"/>
      <c r="BQ133" s="41" t="n"/>
      <c r="BR133" s="41" t="n"/>
      <c r="BS133" s="41" t="n"/>
      <c r="BT133" s="41" t="n"/>
      <c r="BU133" s="12" t="n"/>
      <c r="BV133" s="41" t="n"/>
      <c r="BW133" s="41" t="n"/>
      <c r="BX133" s="41" t="n"/>
      <c r="BY133" s="41" t="n"/>
      <c r="BZ133" s="12" t="n"/>
      <c r="CA133" s="41" t="n"/>
      <c r="CB133" s="41" t="n"/>
      <c r="CC133" s="41" t="n"/>
      <c r="CD133" s="41" t="n"/>
      <c r="CE133" s="12" t="n"/>
      <c r="CF133" s="41" t="n"/>
      <c r="CG133" s="41" t="n"/>
      <c r="CH133" s="41" t="n"/>
      <c r="CI133" s="41" t="n"/>
      <c r="CJ133" s="12" t="n"/>
      <c r="CK133" s="41" t="n"/>
      <c r="CL133" s="41" t="n"/>
      <c r="CM133" s="41" t="n"/>
      <c r="CN133" s="41" t="n"/>
      <c r="CO133" s="12" t="n"/>
      <c r="CP133" s="41" t="n"/>
      <c r="CQ133" s="41" t="n"/>
      <c r="CR133" s="41" t="n"/>
      <c r="CS133" s="41" t="n"/>
      <c r="CT133" s="12" t="n"/>
      <c r="CU133" s="41" t="n"/>
      <c r="CV133" s="41" t="n"/>
      <c r="CW133" s="41" t="n"/>
      <c r="CX133" s="41" t="n"/>
      <c r="CY133" s="12" t="n"/>
    </row>
    <row r="134" hidden="1" outlineLevel="1">
      <c r="C134" s="18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  <c r="CU134" s="3" t="n"/>
      <c r="CV134" s="3" t="n"/>
      <c r="CW134" s="3" t="n"/>
      <c r="CX134" s="3" t="n"/>
      <c r="CY134" s="3" t="n"/>
    </row>
    <row r="135" hidden="1" outlineLevel="1">
      <c r="C135" s="18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  <c r="CU135" s="3" t="n"/>
      <c r="CV135" s="3" t="n"/>
      <c r="CW135" s="3" t="n"/>
      <c r="CX135" s="3" t="n"/>
      <c r="CY135" s="3" t="n"/>
    </row>
    <row r="136" collapsed="1" ht="11.25" customHeight="1">
      <c r="C136" s="31" t="inlineStr">
        <is>
          <t>Balance Sheet</t>
        </is>
      </c>
      <c r="D136" s="31" t="n"/>
      <c r="E136" s="31" t="n"/>
      <c r="F136" s="31" t="n"/>
      <c r="G136" s="31" t="n"/>
      <c r="H136" s="31" t="n"/>
      <c r="I136" s="31" t="str">
        <f>I13</f>
        <v>1Q21</v>
      </c>
      <c r="J136" s="31" t="str">
        <f>J13</f>
        <v>2Q21</v>
      </c>
      <c r="K136" s="31" t="str">
        <f>K13</f>
        <v>3Q21</v>
      </c>
      <c r="L136" s="31" t="str">
        <f>L13</f>
        <v>4Q21</v>
      </c>
      <c r="M136" s="31">
        <f>M13</f>
        <v>2021</v>
      </c>
      <c r="N136" s="31" t="str">
        <f>N13</f>
        <v>1Q22</v>
      </c>
      <c r="O136" s="31" t="str">
        <f>O13</f>
        <v>2Q22</v>
      </c>
      <c r="P136" s="31" t="str">
        <f>P13</f>
        <v>3Q22</v>
      </c>
      <c r="Q136" s="31" t="str">
        <f>Q13</f>
        <v>4Q22</v>
      </c>
      <c r="R136" s="31">
        <f>R13</f>
        <v>2022</v>
      </c>
      <c r="S136" s="31" t="str">
        <f>S13</f>
        <v>1Q23</v>
      </c>
      <c r="T136" s="31" t="str">
        <f>T13</f>
        <v>2Q23</v>
      </c>
      <c r="U136" s="31" t="str">
        <f>U13</f>
        <v>3Q23</v>
      </c>
      <c r="V136" s="31" t="str">
        <f>V13</f>
        <v>4Q23</v>
      </c>
      <c r="W136" s="31">
        <f>W13</f>
        <v>2023</v>
      </c>
      <c r="X136" s="31" t="str">
        <f>X13</f>
        <v>1Q24</v>
      </c>
      <c r="Y136" s="31" t="str">
        <f>Y13</f>
        <v>2Q24</v>
      </c>
      <c r="Z136" s="31" t="str">
        <f>Z13</f>
        <v>3Q24</v>
      </c>
      <c r="AA136" s="31" t="str">
        <f>AA13</f>
        <v>4Q24</v>
      </c>
      <c r="AB136" s="31">
        <f>AB13</f>
        <v>2024</v>
      </c>
      <c r="AC136" s="31" t="str">
        <f>AC13</f>
        <v>1Q25</v>
      </c>
      <c r="AD136" s="31" t="str">
        <f>AD13</f>
        <v>2Q25</v>
      </c>
      <c r="AE136" s="31" t="str">
        <f>AE13</f>
        <v>3Q25</v>
      </c>
      <c r="AF136" s="31" t="str">
        <f>AF13</f>
        <v>4Q25</v>
      </c>
      <c r="AG136" s="31">
        <f>AG13</f>
        <v>2025</v>
      </c>
      <c r="AH136" s="31" t="str">
        <f>AH13</f>
        <v>1Q26</v>
      </c>
      <c r="AI136" s="31" t="str">
        <f>AI13</f>
        <v>2Q26</v>
      </c>
      <c r="AJ136" s="31" t="str">
        <f>AJ13</f>
        <v>3Q26</v>
      </c>
      <c r="AK136" s="31" t="str">
        <f>AK13</f>
        <v>4Q26</v>
      </c>
      <c r="AL136" s="31">
        <f>AL13</f>
        <v>2026</v>
      </c>
      <c r="AM136" s="31" t="str">
        <f>AM13</f>
        <v>1Q27</v>
      </c>
      <c r="AN136" s="31" t="str">
        <f>AN13</f>
        <v>2Q27</v>
      </c>
      <c r="AO136" s="31" t="str">
        <f>AO13</f>
        <v>3Q27</v>
      </c>
      <c r="AP136" s="31" t="str">
        <f>AP13</f>
        <v>4Q27</v>
      </c>
      <c r="AQ136" s="31">
        <f>AQ13</f>
        <v>2027</v>
      </c>
      <c r="AR136" s="31" t="str">
        <f>AR13</f>
        <v>1Q28</v>
      </c>
      <c r="AS136" s="31" t="str">
        <f>AS13</f>
        <v>2Q28</v>
      </c>
      <c r="AT136" s="31" t="str">
        <f>AT13</f>
        <v>3Q28</v>
      </c>
      <c r="AU136" s="31" t="str">
        <f>AU13</f>
        <v>4Q28</v>
      </c>
      <c r="AV136" s="31">
        <f>AV13</f>
        <v>2028</v>
      </c>
      <c r="AW136" s="31" t="str">
        <f>AW13</f>
        <v>1Q29</v>
      </c>
      <c r="AX136" s="31" t="str">
        <f>AX13</f>
        <v>2Q29</v>
      </c>
      <c r="AY136" s="31" t="str">
        <f>AY13</f>
        <v>3Q29</v>
      </c>
      <c r="AZ136" s="31" t="str">
        <f>AZ13</f>
        <v>4Q29</v>
      </c>
      <c r="BA136" s="31">
        <f>BA13</f>
        <v>2029</v>
      </c>
      <c r="BB136" s="31" t="str">
        <f>BB13</f>
        <v>1Q30</v>
      </c>
      <c r="BC136" s="31" t="str">
        <f>BC13</f>
        <v>2Q30</v>
      </c>
      <c r="BD136" s="31" t="str">
        <f>BD13</f>
        <v>3Q30</v>
      </c>
      <c r="BE136" s="31" t="str">
        <f>BE13</f>
        <v>4Q30</v>
      </c>
      <c r="BF136" s="31">
        <f>BF13</f>
        <v>2030</v>
      </c>
      <c r="BG136" s="31" t="n"/>
      <c r="BH136" s="31" t="n"/>
      <c r="BI136" s="31" t="n"/>
      <c r="BJ136" s="31" t="n"/>
      <c r="BK136" s="31" t="n"/>
      <c r="BL136" s="31" t="n"/>
      <c r="BM136" s="31" t="n"/>
      <c r="BN136" s="31" t="n"/>
      <c r="BO136" s="31" t="n"/>
      <c r="BP136" s="31" t="n"/>
      <c r="BQ136" s="31" t="n"/>
      <c r="BR136" s="31" t="n"/>
      <c r="BS136" s="31" t="n"/>
      <c r="BT136" s="31" t="n"/>
      <c r="BU136" s="31" t="n"/>
      <c r="BV136" s="31" t="n"/>
      <c r="BW136" s="31" t="n"/>
      <c r="BX136" s="31" t="n"/>
      <c r="BY136" s="31" t="n"/>
      <c r="BZ136" s="31" t="n"/>
      <c r="CA136" s="31" t="n"/>
      <c r="CB136" s="31" t="n"/>
      <c r="CC136" s="31" t="n"/>
      <c r="CD136" s="31" t="n"/>
      <c r="CE136" s="31" t="n"/>
      <c r="CF136" s="31" t="n"/>
      <c r="CG136" s="31" t="n"/>
      <c r="CH136" s="31" t="n"/>
      <c r="CI136" s="31" t="n"/>
      <c r="CJ136" s="31" t="n"/>
      <c r="CK136" s="31" t="n"/>
      <c r="CL136" s="31" t="n"/>
      <c r="CM136" s="31" t="n"/>
      <c r="CN136" s="31" t="n"/>
      <c r="CO136" s="31" t="n"/>
      <c r="CP136" s="31" t="n"/>
      <c r="CQ136" s="31" t="n"/>
      <c r="CR136" s="31" t="n"/>
      <c r="CS136" s="31" t="n"/>
      <c r="CT136" s="31" t="n"/>
      <c r="CU136" s="31" t="n"/>
      <c r="CV136" s="31" t="n"/>
      <c r="CW136" s="31" t="n"/>
      <c r="CX136" s="31" t="n"/>
      <c r="CY136" s="31" t="n"/>
    </row>
    <row r="137">
      <c r="C137" s="18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  <c r="CI137" s="3" t="n"/>
      <c r="CJ137" s="3" t="n"/>
      <c r="CK137" s="3" t="n"/>
      <c r="CL137" s="3" t="n"/>
      <c r="CM137" s="3" t="n"/>
      <c r="CN137" s="3" t="n"/>
      <c r="CO137" s="3" t="n"/>
      <c r="CP137" s="3" t="n"/>
      <c r="CQ137" s="3" t="n"/>
      <c r="CR137" s="3" t="n"/>
      <c r="CS137" s="3" t="n"/>
      <c r="CT137" s="3" t="n"/>
      <c r="CU137" s="3" t="n"/>
      <c r="CV137" s="3" t="n"/>
      <c r="CW137" s="3" t="n"/>
      <c r="CX137" s="3" t="n"/>
      <c r="CY137" s="3" t="n"/>
    </row>
    <row r="138">
      <c r="C138" s="13" t="inlineStr">
        <is>
          <t>Cash and equivalents (inc. investment securities)</t>
        </is>
      </c>
      <c r="D138" s="46" t="n"/>
      <c r="E138" s="46" t="n"/>
      <c r="F138" s="46" t="n"/>
      <c r="G138" s="46" t="n"/>
      <c r="H138" s="12" t="n"/>
      <c r="I138" s="46">
        <f>'Inputs (2)'!D15</f>
        <v>204373</v>
      </c>
      <c r="J138" s="46">
        <f>'Inputs (2)'!E15</f>
        <v>193644</v>
      </c>
      <c r="K138" s="46">
        <f>'Inputs (2)'!F15</f>
        <v>190516</v>
      </c>
      <c r="L138" s="46">
        <f>'Inputs (2)'!G15</f>
        <v>202596</v>
      </c>
      <c r="M138" s="12">
        <f>'Inputs (2)'!H15</f>
        <v>202596</v>
      </c>
      <c r="N138" s="46">
        <f>'Inputs (2)'!I15</f>
        <v>192730</v>
      </c>
      <c r="O138" s="46">
        <f>'Inputs (2)'!J15</f>
        <v>179308</v>
      </c>
      <c r="P138" s="46">
        <f>'Inputs (2)'!K15</f>
        <v>169109</v>
      </c>
      <c r="Q138" s="46">
        <f>'Inputs (2)'!L15</f>
        <v>165450</v>
      </c>
      <c r="R138" s="12">
        <f>'Inputs (2)'!M15</f>
        <v>165450</v>
      </c>
      <c r="S138" s="46">
        <f>'Inputs (2)'!N15</f>
        <v>166333</v>
      </c>
      <c r="T138" s="46">
        <f>'Inputs (2)'!O15</f>
        <v>166543</v>
      </c>
      <c r="U138" s="46">
        <f>'Inputs (2)'!P15</f>
        <v>162099</v>
      </c>
      <c r="V138" s="46">
        <f>'Inputs (2)'!Q15</f>
        <v>172575</v>
      </c>
      <c r="W138" s="12">
        <f>'Inputs (2)'!R15</f>
        <v>172575</v>
      </c>
      <c r="X138" s="46">
        <f>'Inputs (2)'!S15</f>
        <v>162337</v>
      </c>
      <c r="Y138" s="46">
        <f>'Inputs (2)'!T15</f>
        <v>153041</v>
      </c>
      <c r="Z138" s="46">
        <f>'Inputs (2)'!U15</f>
        <v>156650</v>
      </c>
      <c r="AA138" s="46">
        <f>'Inputs (2)'!V15</f>
        <v>141368</v>
      </c>
      <c r="AB138" s="12">
        <f>'Inputs (2)'!W15</f>
        <v>141368</v>
      </c>
      <c r="AC138" s="46">
        <f>'Inputs (2)'!X15</f>
        <v>132922</v>
      </c>
      <c r="AD138" s="46">
        <f>'Inputs (2)'!Y15</f>
        <v>132986</v>
      </c>
      <c r="AE138" s="46">
        <f>'Inputs (2)'!Z15</f>
        <v>132420</v>
      </c>
      <c r="AF138" s="46">
        <f>'Inputs (2)'!AA15</f>
        <v>144795</v>
      </c>
      <c r="AG138" s="12">
        <f>'Inputs (2)'!AB15</f>
        <v>144795</v>
      </c>
      <c r="AH138" s="12">
        <f>'Inputs (2)'!AC15</f>
        <v>146595</v>
      </c>
      <c r="AI138" s="12">
        <f>'Inputs (2)'!AD15</f>
        <v>146517</v>
      </c>
      <c r="AJ138" s="12">
        <f>AJ267-SUM(AJ139,AJ143,AJ147,AJ148,AJ149,AJ155,AJ160,AJ170,AJ173,AJ174,AJ183)</f>
        <v>177013.72545572</v>
      </c>
      <c r="AK138" s="12">
        <f>AK267-SUM(AK139,AK143,AK147,AK148,AK149,AK155,AK160,AK170,AK173,AK174,AK183)</f>
        <v>228036.11742933</v>
      </c>
      <c r="AL138" s="12">
        <f>AK138</f>
        <v>228036.11742933</v>
      </c>
      <c r="AM138" s="12">
        <f>AM267-SUM(AM139,AM143,AM147,AM148,AM149,AM155,AM160,AM170,AM173,AM174,AM183)</f>
        <v>253768.233186587</v>
      </c>
      <c r="AN138" s="12">
        <f>AN267-SUM(AN139,AN143,AN147,AN148,AN149,AN155,AN160,AN170,AN173,AN174,AN183)</f>
        <v>284975.715218341</v>
      </c>
      <c r="AO138" s="12">
        <f>AO267-SUM(AO139,AO143,AO147,AO148,AO149,AO155,AO160,AO170,AO173,AO174,AO183)</f>
        <v>319263.096310005</v>
      </c>
      <c r="AP138" s="12">
        <f>AP267-SUM(AP139,AP143,AP147,AP148,AP149,AP155,AP160,AP170,AP173,AP174,AP183)</f>
        <v>376344.090209962</v>
      </c>
      <c r="AQ138" s="12">
        <f>AP138</f>
        <v>376344.090209962</v>
      </c>
      <c r="AR138" s="12">
        <f>AR267-SUM(AR139,AR143,AR147,AR148,AR149,AR155,AR160,AR170,AR173,AR174,AR183)</f>
        <v>404536.141702939</v>
      </c>
      <c r="AS138" s="12">
        <f>AS267-SUM(AS139,AS143,AS147,AS148,AS149,AS155,AS160,AS170,AS173,AS174,AS183)</f>
        <v>439601.144845205</v>
      </c>
      <c r="AT138" s="12">
        <f>AT267-SUM(AT139,AT143,AT147,AT148,AT149,AT155,AT160,AT170,AT173,AT174,AT183)</f>
        <v>477788.509149048</v>
      </c>
      <c r="AU138" s="12">
        <f>AU267-SUM(AU139,AU143,AU147,AU148,AU149,AU155,AU160,AU170,AU173,AU174,AU183)</f>
        <v>541362.122515892</v>
      </c>
      <c r="AV138" s="12">
        <f>AU138</f>
        <v>541362.122515892</v>
      </c>
      <c r="AW138" s="12">
        <f>AW267-SUM(AW139,AW143,AW147,AW148,AW149,AW155,AW160,AW170,AW173,AW174,AW183)</f>
        <v>572783.256063366</v>
      </c>
      <c r="AX138" s="12">
        <f>AX267-SUM(AX139,AX143,AX147,AX148,AX149,AX155,AX160,AX170,AX173,AX174,AX183)</f>
        <v>611320.031661041</v>
      </c>
      <c r="AY138" s="12">
        <f>AY267-SUM(AY139,AY143,AY147,AY148,AY149,AY155,AY160,AY170,AY173,AY174,AY183)</f>
        <v>653660.04197065</v>
      </c>
      <c r="AZ138" s="12">
        <f>AZ267-SUM(AZ139,AZ143,AZ147,AZ148,AZ149,AZ155,AZ160,AZ170,AZ173,AZ174,AZ183)</f>
        <v>724146.903120698</v>
      </c>
      <c r="BA138" s="12">
        <f>AZ138</f>
        <v>724146.903120698</v>
      </c>
      <c r="BB138" s="12">
        <f>BB267-SUM(BB139,BB143,BB147,BB148,BB149,BB155,BB160,BB170,BB173,BB174,BB183)</f>
        <v>758629.577773007</v>
      </c>
      <c r="BC138" s="12">
        <f>BC267-SUM(BC139,BC143,BC147,BC148,BC149,BC155,BC160,BC170,BC173,BC174,BC183)</f>
        <v>801164.311873443</v>
      </c>
      <c r="BD138" s="12">
        <f>BD267-SUM(BD139,BD143,BD147,BD148,BD149,BD155,BD160,BD170,BD173,BD174,BD183)</f>
        <v>847896.843394259</v>
      </c>
      <c r="BE138" s="12">
        <f>BE267-SUM(BE139,BE143,BE147,BE148,BE149,BE155,BE160,BE170,BE173,BE174,BE183)</f>
        <v>925696.292105077</v>
      </c>
      <c r="BF138" s="12">
        <f>BE138</f>
        <v>925696.292105077</v>
      </c>
      <c r="BG138" s="12" t="n"/>
      <c r="BH138" s="12" t="n"/>
      <c r="BI138" s="12" t="n"/>
      <c r="BJ138" s="12" t="n"/>
      <c r="BK138" s="12" t="n"/>
      <c r="BL138" s="12" t="n"/>
      <c r="BM138" s="12" t="n"/>
      <c r="BN138" s="12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  <c r="CR138" s="12" t="n"/>
      <c r="CS138" s="12" t="n"/>
      <c r="CT138" s="12" t="n"/>
      <c r="CU138" s="12" t="n"/>
      <c r="CV138" s="12" t="n"/>
      <c r="CW138" s="12" t="n"/>
      <c r="CX138" s="12" t="n"/>
      <c r="CY138" s="12" t="n"/>
    </row>
    <row r="139">
      <c r="C139" s="14" t="inlineStr">
        <is>
          <t>Accounts receivable</t>
        </is>
      </c>
      <c r="D139" s="46" t="n"/>
      <c r="E139" s="46" t="n"/>
      <c r="F139" s="46" t="n"/>
      <c r="G139" s="46" t="n"/>
      <c r="H139" s="12" t="n"/>
      <c r="I139" s="46">
        <f>'Inputs (2)'!D16</f>
        <v>18503</v>
      </c>
      <c r="J139" s="46">
        <f>'Inputs (2)'!E16</f>
        <v>17475</v>
      </c>
      <c r="K139" s="46">
        <f>'Inputs (2)'!F16</f>
        <v>26278</v>
      </c>
      <c r="L139" s="46">
        <f>'Inputs (2)'!G16</f>
        <v>30213</v>
      </c>
      <c r="M139" s="12">
        <f>'Inputs (2)'!H16</f>
        <v>30213</v>
      </c>
      <c r="N139" s="46">
        <f>'Inputs (2)'!I16</f>
        <v>20815</v>
      </c>
      <c r="O139" s="46">
        <f>'Inputs (2)'!J16</f>
        <v>21803</v>
      </c>
      <c r="P139" s="46">
        <f>'Inputs (2)'!K16</f>
        <v>28184</v>
      </c>
      <c r="Q139" s="46">
        <f>'Inputs (2)'!L16</f>
        <v>23752</v>
      </c>
      <c r="R139" s="12">
        <f>'Inputs (2)'!M16</f>
        <v>23752</v>
      </c>
      <c r="S139" s="46">
        <f>'Inputs (2)'!N16</f>
        <v>17936</v>
      </c>
      <c r="T139" s="46">
        <f>'Inputs (2)'!O16</f>
        <v>19549</v>
      </c>
      <c r="U139" s="46">
        <f>'Inputs (2)'!P16</f>
        <v>29508</v>
      </c>
      <c r="V139" s="46">
        <f>'Inputs (2)'!Q16</f>
        <v>23194</v>
      </c>
      <c r="W139" s="12">
        <f>'Inputs (2)'!R16</f>
        <v>23194</v>
      </c>
      <c r="X139" s="46">
        <f>'Inputs (2)'!S16</f>
        <v>21837</v>
      </c>
      <c r="Y139" s="46">
        <f>'Inputs (2)'!T16</f>
        <v>22795</v>
      </c>
      <c r="Z139" s="46">
        <f>'Inputs (2)'!U16</f>
        <v>33410</v>
      </c>
      <c r="AA139" s="46">
        <f>'Inputs (2)'!V16</f>
        <v>29639</v>
      </c>
      <c r="AB139" s="12">
        <f>'Inputs (2)'!W16</f>
        <v>29639</v>
      </c>
      <c r="AC139" s="46">
        <f>'Inputs (2)'!X16</f>
        <v>26136</v>
      </c>
      <c r="AD139" s="46">
        <f>'Inputs (2)'!Y16</f>
        <v>27557</v>
      </c>
      <c r="AE139" s="46">
        <f>'Inputs (2)'!Z16</f>
        <v>39777</v>
      </c>
      <c r="AF139" s="46">
        <f>'Inputs (2)'!AA16</f>
        <v>39921</v>
      </c>
      <c r="AG139" s="12">
        <f>'Inputs (2)'!AB16</f>
        <v>39921</v>
      </c>
      <c r="AH139" s="12">
        <f>'Inputs (2)'!AC16</f>
        <v>30339</v>
      </c>
      <c r="AI139" s="12">
        <f>'Inputs (2)'!AD16</f>
        <v>31398</v>
      </c>
      <c r="AJ139" s="12">
        <f>(AJ140/(AJ$5-AI$5))*AJ$15</f>
        <v>33905.8079602401</v>
      </c>
      <c r="AK139" s="12">
        <f>(AK140/(AK$5-AJ$5))*AK$15</f>
        <v>47568.5918171128</v>
      </c>
      <c r="AL139" s="12">
        <f>AK139</f>
        <v>47568.5918171128</v>
      </c>
      <c r="AM139" s="12">
        <f>(AM140/(AM$5-AL$5))*AM$15</f>
        <v>37608.146269345</v>
      </c>
      <c r="AN139" s="12">
        <f>(AN140/(AN$5-AM$5))*AN$15</f>
        <v>36603.7476963009</v>
      </c>
      <c r="AO139" s="12">
        <f>(AO140/(AO$5-AN$5))*AO$15</f>
        <v>37931.9185653346</v>
      </c>
      <c r="AP139" s="12">
        <f>(AP140/(AP$5-AO$5))*AP$15</f>
        <v>53217.0757644315</v>
      </c>
      <c r="AQ139" s="12">
        <f>AP139</f>
        <v>53217.0757644315</v>
      </c>
      <c r="AR139" s="12">
        <f>(AR140/(AR$5-AQ$5))*AR$15</f>
        <v>41425.5625038887</v>
      </c>
      <c r="AS139" s="12">
        <f>(AS140/(AS$5-AR$5))*AS$15</f>
        <v>40767.2036667865</v>
      </c>
      <c r="AT139" s="12">
        <f>(AT140/(AT$5-AS$5))*AT$15</f>
        <v>42246.4459774765</v>
      </c>
      <c r="AU139" s="12">
        <f>(AU140/(AU$5-AT$5))*AU$15</f>
        <v>59270.1978015938</v>
      </c>
      <c r="AV139" s="12">
        <f>AU139</f>
        <v>59270.1978015938</v>
      </c>
      <c r="AW139" s="12">
        <f>(AW140/(AW$5-AV$5))*AW$15</f>
        <v>46440.6802173784</v>
      </c>
      <c r="AX139" s="12">
        <f>(AX140/(AX$5-AW$5))*AX$15</f>
        <v>45200.3916743733</v>
      </c>
      <c r="AY139" s="12">
        <f>(AY140/(AY$5-AX$5))*AY$15</f>
        <v>46840.4926823059</v>
      </c>
      <c r="AZ139" s="12">
        <f>(AZ140/(AZ$5-AY$5))*AZ$15</f>
        <v>65715.4750457475</v>
      </c>
      <c r="BA139" s="12">
        <f>AZ139</f>
        <v>65715.4750457475</v>
      </c>
      <c r="BB139" s="12">
        <f>(BB140/(BB$5-BA$5))*BB$15</f>
        <v>51258.621248238</v>
      </c>
      <c r="BC139" s="12">
        <f>(BC140/(BC$5-BB$5))*BC$15</f>
        <v>49889.6602345999</v>
      </c>
      <c r="BD139" s="12">
        <f>(BD140/(BD$5-BC$5))*BD$15</f>
        <v>51699.9118497993</v>
      </c>
      <c r="BE139" s="12">
        <f>(BE140/(BE$5-BD$5))*BE$15</f>
        <v>72533.0600187355</v>
      </c>
      <c r="BF139" s="12">
        <f>BE139</f>
        <v>72533.0600187355</v>
      </c>
      <c r="BG139" s="12" t="n"/>
      <c r="BH139" s="12" t="n"/>
      <c r="BI139" s="12" t="n"/>
      <c r="BJ139" s="12" t="n"/>
      <c r="BK139" s="12" t="n"/>
      <c r="BL139" s="12" t="n"/>
      <c r="BM139" s="12" t="n"/>
      <c r="BN139" s="12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2" t="n"/>
      <c r="CX139" s="12" t="n"/>
      <c r="CY139" s="12" t="n"/>
    </row>
    <row r="140" hidden="1" outlineLevel="1">
      <c r="C140" s="57" t="inlineStr">
        <is>
          <t>DSO</t>
        </is>
      </c>
      <c r="D140" s="12" t="n"/>
      <c r="E140" s="12" t="n"/>
      <c r="F140" s="12" t="n"/>
      <c r="G140" s="12" t="n"/>
      <c r="H140" s="12" t="n"/>
      <c r="I140" s="12">
        <f>IFERROR((I139/I$15)*(I$5-H$5),"")</f>
        <v>18.5889221289516</v>
      </c>
      <c r="J140" s="12">
        <f>IFERROR((J139/J$15)*(J$5-I$5),"")</f>
        <v>19.5277770955621</v>
      </c>
      <c r="K140" s="12">
        <f>IFERROR((K139/K$15)*(K$5-J$5),"")</f>
        <v>29.0016314779271</v>
      </c>
      <c r="L140" s="12">
        <f>IFERROR((L139/L$15)*(L$5-K$5),"")</f>
        <v>22.4260438097543</v>
      </c>
      <c r="M140" s="12" t="n"/>
      <c r="N140" s="12">
        <f>IFERROR((N139/N$15)*(N$5-M$5),"")</f>
        <v>19.2576944427311</v>
      </c>
      <c r="O140" s="12">
        <f>IFERROR((O139/O$15)*(O$5-N$5),"")</f>
        <v>23.9163080557866</v>
      </c>
      <c r="P140" s="12">
        <f>IFERROR((P139/P$15)*(P$5-O$5),"")</f>
        <v>28.7636500787611</v>
      </c>
      <c r="Q140" s="12">
        <f>IFERROR((Q139/Q$15)*(Q$5-P$5),"")</f>
        <v>18.6522355190604</v>
      </c>
      <c r="R140" s="12" t="n"/>
      <c r="S140" s="12">
        <f>IFERROR((S139/S$15)*(S$5-R$5),"")</f>
        <v>17.0213842844489</v>
      </c>
      <c r="T140" s="12">
        <f>IFERROR((T139/T$15)*(T$5-S$5),"")</f>
        <v>21.7484626575547</v>
      </c>
      <c r="U140" s="12">
        <f>IFERROR((U139/U$15)*(U$5-T$5),"")</f>
        <v>30.3329236407518</v>
      </c>
      <c r="V140" s="12">
        <f>IFERROR((V139/V$15)*(V$5-U$5),"")</f>
        <v>17.8452686598369</v>
      </c>
      <c r="W140" s="12" t="n"/>
      <c r="X140" s="12">
        <f>IFERROR((X139/X$15)*(X$5-W$5),"")</f>
        <v>21.8964331757628</v>
      </c>
      <c r="Y140" s="12">
        <f>IFERROR((Y139/Y$15)*(Y$5-X$5),"")</f>
        <v>24.1829977732959</v>
      </c>
      <c r="Z140" s="12">
        <f>IFERROR((Z139/Z$15)*(Z$5-Y$5),"")</f>
        <v>32.3788054355841</v>
      </c>
      <c r="AA140" s="12">
        <f>IFERROR((AA139/AA$15)*(AA$5-Z$5),"")</f>
        <v>21.9371520514883</v>
      </c>
      <c r="AB140" s="12" t="n"/>
      <c r="AC140" s="12">
        <f>IFERROR((AC139/AC$15)*(AC$5-AB$5),"")</f>
        <v>24.6672049832737</v>
      </c>
      <c r="AD140" s="12">
        <f>IFERROR((AD139/AD$15)*(AD$5-AC$5),"")</f>
        <v>26.6673082649198</v>
      </c>
      <c r="AE140" s="12">
        <f>IFERROR((AE139/AE$15)*(AE$5-AD$5),"")</f>
        <v>35.7141295649289</v>
      </c>
      <c r="AF140" s="11">
        <f>IFERROR((AF139/AF$15)*(AF$5-AE$5),"")</f>
        <v>25.5483736331005</v>
      </c>
      <c r="AG140" s="12" t="n"/>
      <c r="AH140" s="11">
        <f>IFERROR((AH139/AH$15)*(AH$5-AG$5),"")</f>
        <v>24.5584796373579</v>
      </c>
      <c r="AI140" s="11">
        <f>IFERROR((AI139/AI$15)*(AI$5-AH$5),"")</f>
        <v>26.1131085663105</v>
      </c>
      <c r="AJ140" s="11">
        <f>Control!$B$25</f>
        <v>27.2114341083152</v>
      </c>
      <c r="AK140" s="11">
        <f>Control!$B$25</f>
        <v>27.2114341083152</v>
      </c>
      <c r="AL140" s="12" t="n"/>
      <c r="AM140" s="11">
        <f>Control!$C$25</f>
        <v>27.2114341083152</v>
      </c>
      <c r="AN140" s="11">
        <f>Control!$C$25</f>
        <v>27.2114341083152</v>
      </c>
      <c r="AO140" s="11">
        <f>Control!$C$25</f>
        <v>27.2114341083152</v>
      </c>
      <c r="AP140" s="11">
        <f>Control!$C$25</f>
        <v>27.2114341083152</v>
      </c>
      <c r="AQ140" s="12" t="n"/>
      <c r="AR140" s="11">
        <f>Control!$D$25</f>
        <v>27.2114341083152</v>
      </c>
      <c r="AS140" s="11">
        <f>Control!$D$25</f>
        <v>27.2114341083152</v>
      </c>
      <c r="AT140" s="11">
        <f>Control!$D$25</f>
        <v>27.2114341083152</v>
      </c>
      <c r="AU140" s="11">
        <f>Control!$D$25</f>
        <v>27.2114341083152</v>
      </c>
      <c r="AV140" s="12" t="n"/>
      <c r="AW140" s="11">
        <f>Control!$E$25</f>
        <v>27.2114341083152</v>
      </c>
      <c r="AX140" s="11">
        <f>Control!$E$25</f>
        <v>27.2114341083152</v>
      </c>
      <c r="AY140" s="11">
        <f>Control!$E$25</f>
        <v>27.2114341083152</v>
      </c>
      <c r="AZ140" s="11">
        <f>Control!$E$25</f>
        <v>27.2114341083152</v>
      </c>
      <c r="BA140" s="12" t="n"/>
      <c r="BB140" s="11">
        <f>Control!$F$25</f>
        <v>27.2114341083152</v>
      </c>
      <c r="BC140" s="11">
        <f>Control!$F$25</f>
        <v>27.2114341083152</v>
      </c>
      <c r="BD140" s="11">
        <f>Control!$F$25</f>
        <v>27.2114341083152</v>
      </c>
      <c r="BE140" s="11">
        <f>Control!$F$25</f>
        <v>27.2114341083152</v>
      </c>
      <c r="BF140" s="12" t="n"/>
      <c r="BG140" s="11" t="n"/>
      <c r="BH140" s="11" t="n"/>
      <c r="BI140" s="11" t="n"/>
      <c r="BJ140" s="11" t="n"/>
      <c r="BK140" s="12" t="n"/>
      <c r="BL140" s="11" t="n"/>
      <c r="BM140" s="11" t="n"/>
      <c r="BN140" s="11" t="n"/>
      <c r="BO140" s="11" t="n"/>
      <c r="BP140" s="12" t="n"/>
      <c r="BQ140" s="11" t="n"/>
      <c r="BR140" s="11" t="n"/>
      <c r="BS140" s="11" t="n"/>
      <c r="BT140" s="11" t="n"/>
      <c r="BU140" s="12" t="n"/>
      <c r="BV140" s="11" t="n"/>
      <c r="BW140" s="11" t="n"/>
      <c r="BX140" s="11" t="n"/>
      <c r="BY140" s="11" t="n"/>
      <c r="BZ140" s="12" t="n"/>
      <c r="CA140" s="11" t="n"/>
      <c r="CB140" s="11" t="n"/>
      <c r="CC140" s="11" t="n"/>
      <c r="CD140" s="11" t="n"/>
      <c r="CE140" s="12" t="n"/>
      <c r="CF140" s="11" t="n"/>
      <c r="CG140" s="11" t="n"/>
      <c r="CH140" s="11" t="n"/>
      <c r="CI140" s="11" t="n"/>
      <c r="CJ140" s="12" t="n"/>
      <c r="CK140" s="11" t="n"/>
      <c r="CL140" s="11" t="n"/>
      <c r="CM140" s="11" t="n"/>
      <c r="CN140" s="11" t="n"/>
      <c r="CO140" s="12" t="n"/>
      <c r="CP140" s="11" t="n"/>
      <c r="CQ140" s="11" t="n"/>
      <c r="CR140" s="11" t="n"/>
      <c r="CS140" s="11" t="n"/>
      <c r="CT140" s="12" t="n"/>
      <c r="CU140" s="11" t="n"/>
      <c r="CV140" s="11" t="n"/>
      <c r="CW140" s="11" t="n"/>
      <c r="CX140" s="11" t="n"/>
      <c r="CY140" s="12" t="n"/>
    </row>
    <row r="141" hidden="1" outlineLevel="1">
      <c r="C141" s="57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  <c r="AL141" s="12" t="n"/>
      <c r="AM141" s="12" t="n"/>
      <c r="AN141" s="12" t="n"/>
      <c r="AO141" s="12" t="n"/>
      <c r="AP141" s="12" t="n"/>
      <c r="AQ141" s="12" t="n"/>
      <c r="AR141" s="12" t="n"/>
      <c r="AS141" s="12" t="n"/>
      <c r="AT141" s="12" t="n"/>
      <c r="AU141" s="12" t="n"/>
      <c r="AV141" s="12" t="n"/>
      <c r="AW141" s="12" t="n"/>
      <c r="AX141" s="12" t="n"/>
      <c r="AY141" s="12" t="n"/>
      <c r="AZ141" s="12" t="n"/>
      <c r="BA141" s="12" t="n"/>
      <c r="BB141" s="12" t="n"/>
      <c r="BC141" s="12" t="n"/>
      <c r="BD141" s="12" t="n"/>
      <c r="BE141" s="12" t="n"/>
      <c r="BF141" s="12" t="n"/>
      <c r="BG141" s="12" t="n"/>
      <c r="BH141" s="12" t="n"/>
      <c r="BI141" s="12" t="n"/>
      <c r="BJ141" s="12" t="n"/>
      <c r="BK141" s="12" t="n"/>
      <c r="BL141" s="12" t="n"/>
      <c r="BM141" s="12" t="n"/>
      <c r="BN141" s="12" t="n"/>
      <c r="BO141" s="12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  <c r="CA141" s="12" t="n"/>
      <c r="CB141" s="12" t="n"/>
      <c r="CC141" s="12" t="n"/>
      <c r="CD141" s="12" t="n"/>
      <c r="CE141" s="12" t="n"/>
      <c r="CF141" s="12" t="n"/>
      <c r="CG141" s="12" t="n"/>
      <c r="CH141" s="12" t="n"/>
      <c r="CI141" s="12" t="n"/>
      <c r="CJ141" s="12" t="n"/>
      <c r="CK141" s="12" t="n"/>
      <c r="CL141" s="12" t="n"/>
      <c r="CM141" s="12" t="n"/>
      <c r="CN141" s="12" t="n"/>
      <c r="CO141" s="12" t="n"/>
      <c r="CP141" s="12" t="n"/>
      <c r="CQ141" s="12" t="n"/>
      <c r="CR141" s="12" t="n"/>
      <c r="CS141" s="12" t="n"/>
      <c r="CT141" s="12" t="n"/>
      <c r="CU141" s="12" t="n"/>
      <c r="CV141" s="12" t="n"/>
      <c r="CW141" s="12" t="n"/>
      <c r="CX141" s="12" t="n"/>
      <c r="CY141" s="12" t="n"/>
    </row>
    <row r="142" hidden="1" outlineLevel="1">
      <c r="C142" s="57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2" t="n"/>
      <c r="AL142" s="12" t="n"/>
      <c r="AM142" s="12" t="n"/>
      <c r="AN142" s="12" t="n"/>
      <c r="AO142" s="12" t="n"/>
      <c r="AP142" s="12" t="n"/>
      <c r="AQ142" s="12" t="n"/>
      <c r="AR142" s="12" t="n"/>
      <c r="AS142" s="12" t="n"/>
      <c r="AT142" s="12" t="n"/>
      <c r="AU142" s="12" t="n"/>
      <c r="AV142" s="12" t="n"/>
      <c r="AW142" s="12" t="n"/>
      <c r="AX142" s="12" t="n"/>
      <c r="AY142" s="12" t="n"/>
      <c r="AZ142" s="12" t="n"/>
      <c r="BA142" s="12" t="n"/>
      <c r="BB142" s="12" t="n"/>
      <c r="BC142" s="12" t="n"/>
      <c r="BD142" s="12" t="n"/>
      <c r="BE142" s="12" t="n"/>
      <c r="BF142" s="12" t="n"/>
      <c r="BG142" s="12" t="n"/>
      <c r="BH142" s="12" t="n"/>
      <c r="BI142" s="12" t="n"/>
      <c r="BJ142" s="12" t="n"/>
      <c r="BK142" s="12" t="n"/>
      <c r="BL142" s="12" t="n"/>
      <c r="BM142" s="12" t="n"/>
      <c r="BN142" s="12" t="n"/>
      <c r="BO142" s="12" t="n"/>
      <c r="BP142" s="12" t="n"/>
      <c r="BQ142" s="12" t="n"/>
      <c r="BR142" s="12" t="n"/>
      <c r="BS142" s="12" t="n"/>
      <c r="BT142" s="12" t="n"/>
      <c r="BU142" s="12" t="n"/>
      <c r="BV142" s="12" t="n"/>
      <c r="BW142" s="12" t="n"/>
      <c r="BX142" s="12" t="n"/>
      <c r="BY142" s="12" t="n"/>
      <c r="BZ142" s="12" t="n"/>
      <c r="CA142" s="12" t="n"/>
      <c r="CB142" s="12" t="n"/>
      <c r="CC142" s="12" t="n"/>
      <c r="CD142" s="12" t="n"/>
      <c r="CE142" s="12" t="n"/>
      <c r="CF142" s="12" t="n"/>
      <c r="CG142" s="12" t="n"/>
      <c r="CH142" s="12" t="n"/>
      <c r="CI142" s="12" t="n"/>
      <c r="CJ142" s="12" t="n"/>
      <c r="CK142" s="12" t="n"/>
      <c r="CL142" s="12" t="n"/>
      <c r="CM142" s="12" t="n"/>
      <c r="CN142" s="12" t="n"/>
      <c r="CO142" s="12" t="n"/>
      <c r="CP142" s="12" t="n"/>
      <c r="CQ142" s="12" t="n"/>
      <c r="CR142" s="12" t="n"/>
      <c r="CS142" s="12" t="n"/>
      <c r="CT142" s="12" t="n"/>
      <c r="CU142" s="12" t="n"/>
      <c r="CV142" s="12" t="n"/>
      <c r="CW142" s="12" t="n"/>
      <c r="CX142" s="12" t="n"/>
      <c r="CY142" s="12" t="n"/>
    </row>
    <row r="143" collapsed="1">
      <c r="C143" s="14" t="inlineStr">
        <is>
          <t>Inventories</t>
        </is>
      </c>
      <c r="D143" s="46" t="n"/>
      <c r="E143" s="46" t="n"/>
      <c r="F143" s="46" t="n"/>
      <c r="G143" s="46" t="n"/>
      <c r="H143" s="12" t="n"/>
      <c r="I143" s="46">
        <f>'Inputs (2)'!D17</f>
        <v>5219</v>
      </c>
      <c r="J143" s="46">
        <f>'Inputs (2)'!E17</f>
        <v>5178</v>
      </c>
      <c r="K143" s="46">
        <f>'Inputs (2)'!F17</f>
        <v>6580</v>
      </c>
      <c r="L143" s="46">
        <f>'Inputs (2)'!G17</f>
        <v>5876</v>
      </c>
      <c r="M143" s="12">
        <f>'Inputs (2)'!H17</f>
        <v>5876</v>
      </c>
      <c r="N143" s="46">
        <f>'Inputs (2)'!I17</f>
        <v>5460</v>
      </c>
      <c r="O143" s="46">
        <f>'Inputs (2)'!J17</f>
        <v>5433</v>
      </c>
      <c r="P143" s="46">
        <f>'Inputs (2)'!K17</f>
        <v>4946</v>
      </c>
      <c r="Q143" s="46">
        <f>'Inputs (2)'!L17</f>
        <v>6820</v>
      </c>
      <c r="R143" s="12">
        <f>'Inputs (2)'!M17</f>
        <v>6820</v>
      </c>
      <c r="S143" s="46">
        <f>'Inputs (2)'!N17</f>
        <v>7482</v>
      </c>
      <c r="T143" s="46">
        <f>'Inputs (2)'!O17</f>
        <v>7351</v>
      </c>
      <c r="U143" s="46">
        <f>'Inputs (2)'!P17</f>
        <v>6331</v>
      </c>
      <c r="V143" s="46">
        <f>'Inputs (2)'!Q17</f>
        <v>6511</v>
      </c>
      <c r="W143" s="12">
        <f>'Inputs (2)'!R17</f>
        <v>6511</v>
      </c>
      <c r="X143" s="46">
        <f>'Inputs (2)'!S17</f>
        <v>6232</v>
      </c>
      <c r="Y143" s="46">
        <f>'Inputs (2)'!T17</f>
        <v>6165</v>
      </c>
      <c r="Z143" s="46">
        <f>'Inputs (2)'!U17</f>
        <v>7286</v>
      </c>
      <c r="AA143" s="46">
        <f>'Inputs (2)'!V17</f>
        <v>6911</v>
      </c>
      <c r="AB143" s="12">
        <f>'Inputs (2)'!W17</f>
        <v>6911</v>
      </c>
      <c r="AC143" s="46">
        <f>'Inputs (2)'!X17</f>
        <v>6269</v>
      </c>
      <c r="AD143" s="46">
        <f>'Inputs (2)'!Y17</f>
        <v>5925</v>
      </c>
      <c r="AE143" s="46">
        <f>'Inputs (2)'!Z17</f>
        <v>5718</v>
      </c>
      <c r="AF143" s="46">
        <f>'Inputs (2)'!AA17</f>
        <v>5875</v>
      </c>
      <c r="AG143" s="12">
        <f>'Inputs (2)'!AB17</f>
        <v>5875</v>
      </c>
      <c r="AH143" s="12">
        <f>'Inputs (2)'!AC17</f>
        <v>6747</v>
      </c>
      <c r="AI143" s="12">
        <f>'Inputs (2)'!AD17</f>
        <v>11092</v>
      </c>
      <c r="AJ143" s="12">
        <f>(AJ144/(AJ$5-AI$5))*-AJ$48</f>
        <v>7348.95389401766</v>
      </c>
      <c r="AK143" s="12">
        <f>(AK144/(AK$5-AJ$5))*-AK$48</f>
        <v>10310.3099173229</v>
      </c>
      <c r="AL143" s="12">
        <f>AK143</f>
        <v>10310.3099173229</v>
      </c>
      <c r="AM143" s="12">
        <f>(AM144/(AM$5-AL$5))*-AM$48</f>
        <v>8151.42152922556</v>
      </c>
      <c r="AN143" s="12">
        <f>(AN144/(AN$5-AM$5))*-AN$48</f>
        <v>7933.72198898238</v>
      </c>
      <c r="AO143" s="12">
        <f>(AO144/(AO$5-AN$5))*-AO$48</f>
        <v>8221.59793316727</v>
      </c>
      <c r="AP143" s="12">
        <f>(AP144/(AP$5-AO$5))*-AP$48</f>
        <v>11534.5971588663</v>
      </c>
      <c r="AQ143" s="12">
        <f>AP143</f>
        <v>11534.5971588663</v>
      </c>
      <c r="AR143" s="12">
        <f>(AR144/(AR$5-AQ$5))*-AR$48</f>
        <v>8978.83186360941</v>
      </c>
      <c r="AS143" s="12">
        <f>(AS144/(AS$5-AR$5))*-AS$48</f>
        <v>8836.13510955309</v>
      </c>
      <c r="AT143" s="12">
        <f>(AT144/(AT$5-AS$5))*-AT$48</f>
        <v>9156.75520956924</v>
      </c>
      <c r="AU143" s="12">
        <f>(AU144/(AU$5-AT$5))*-AU$48</f>
        <v>12846.5881551621</v>
      </c>
      <c r="AV143" s="12">
        <f>AU143</f>
        <v>12846.5881551621</v>
      </c>
      <c r="AW143" s="12">
        <f>(AW144/(AW$5-AV$5))*-AW$48</f>
        <v>10065.8394020443</v>
      </c>
      <c r="AX143" s="12">
        <f>(AX144/(AX$5-AW$5))*-AX$48</f>
        <v>9797.01161512025</v>
      </c>
      <c r="AY143" s="12">
        <f>(AY144/(AY$5-AX$5))*-AY$48</f>
        <v>10152.4972210956</v>
      </c>
      <c r="AZ143" s="12">
        <f>(AZ144/(AZ$5-AY$5))*-AZ$48</f>
        <v>14243.5772892063</v>
      </c>
      <c r="BA143" s="12">
        <f>AZ143</f>
        <v>14243.5772892063</v>
      </c>
      <c r="BB143" s="12">
        <f>(BB144/(BB$5-BA$5))*-BB$48</f>
        <v>11110.109650416</v>
      </c>
      <c r="BC143" s="12">
        <f>(BC144/(BC$5-BB$5))*-BC$48</f>
        <v>10813.3925987613</v>
      </c>
      <c r="BD143" s="12">
        <f>(BD144/(BD$5-BC$5))*-BD$48</f>
        <v>11205.757696572</v>
      </c>
      <c r="BE143" s="12">
        <f>(BE144/(BE$5-BD$5))*-BE$48</f>
        <v>15721.2626961959</v>
      </c>
      <c r="BF143" s="12">
        <f>BE143</f>
        <v>15721.2626961959</v>
      </c>
      <c r="BG143" s="12" t="n"/>
      <c r="BH143" s="12" t="n"/>
      <c r="BI143" s="12" t="n"/>
      <c r="BJ143" s="12" t="n"/>
      <c r="BK143" s="12" t="n"/>
      <c r="BL143" s="12" t="n"/>
      <c r="BM143" s="12" t="n"/>
      <c r="BN143" s="12" t="n"/>
      <c r="BO143" s="12" t="n"/>
      <c r="BP143" s="12" t="n"/>
      <c r="BQ143" s="12" t="n"/>
      <c r="BR143" s="12" t="n"/>
      <c r="BS143" s="12" t="n"/>
      <c r="BT143" s="12" t="n"/>
      <c r="BU143" s="12" t="n"/>
      <c r="BV143" s="12" t="n"/>
      <c r="BW143" s="12" t="n"/>
      <c r="BX143" s="12" t="n"/>
      <c r="BY143" s="12" t="n"/>
      <c r="BZ143" s="12" t="n"/>
      <c r="CA143" s="12" t="n"/>
      <c r="CB143" s="12" t="n"/>
      <c r="CC143" s="12" t="n"/>
      <c r="CD143" s="12" t="n"/>
      <c r="CE143" s="12" t="n"/>
      <c r="CF143" s="12" t="n"/>
      <c r="CG143" s="12" t="n"/>
      <c r="CH143" s="12" t="n"/>
      <c r="CI143" s="12" t="n"/>
      <c r="CJ143" s="12" t="n"/>
      <c r="CK143" s="12" t="n"/>
      <c r="CL143" s="12" t="n"/>
      <c r="CM143" s="12" t="n"/>
      <c r="CN143" s="12" t="n"/>
      <c r="CO143" s="12" t="n"/>
      <c r="CP143" s="12" t="n"/>
      <c r="CQ143" s="12" t="n"/>
      <c r="CR143" s="12" t="n"/>
      <c r="CS143" s="12" t="n"/>
      <c r="CT143" s="12" t="n"/>
      <c r="CU143" s="12" t="n"/>
      <c r="CV143" s="12" t="n"/>
      <c r="CW143" s="12" t="n"/>
      <c r="CX143" s="12" t="n"/>
      <c r="CY143" s="12" t="n"/>
    </row>
    <row r="144" hidden="1" outlineLevel="1">
      <c r="C144" s="57" t="inlineStr">
        <is>
          <t>DIO</t>
        </is>
      </c>
      <c r="D144" s="12" t="n"/>
      <c r="E144" s="12" t="n"/>
      <c r="F144" s="12" t="n"/>
      <c r="G144" s="12" t="n"/>
      <c r="H144" s="12" t="n"/>
      <c r="I144" s="12">
        <f>IFERROR(((I143/I$48)*(I$5-H$5))*-1,"")</f>
        <v>9.11969711678478</v>
      </c>
      <c r="J144" s="12">
        <f>IFERROR(((J143/J$48)*(J$5-I$5))*-1,"")</f>
        <v>10.2037289677126</v>
      </c>
      <c r="K144" s="12">
        <f>IFERROR(((K143/K$48)*(K$5-J$5))*-1,"")</f>
        <v>12.5629850994065</v>
      </c>
      <c r="L144" s="12">
        <f>IFERROR(((L143/L$48)*(L$5-K$5))*-1,"")</f>
        <v>7.75576023643511</v>
      </c>
      <c r="M144" s="12" t="n"/>
      <c r="N144" s="12">
        <f>IFERROR(((N143/N$48)*(N$5-M$5))*-1,"")</f>
        <v>8.98042727389024</v>
      </c>
      <c r="O144" s="12">
        <f>IFERROR(((O143/O$48)*(O$5-N$5))*-1,"")</f>
        <v>10.5026766367846</v>
      </c>
      <c r="P144" s="12">
        <f>IFERROR(((P143/P$48)*(P$5-O$5))*-1,"")</f>
        <v>8.74204145933796</v>
      </c>
      <c r="Q144" s="12">
        <f>IFERROR(((Q143/Q$48)*(Q$5-P$5))*-1,"")</f>
        <v>9.38972194786148</v>
      </c>
      <c r="R144" s="12" t="n"/>
      <c r="S144" s="12">
        <f>IFERROR(((S143/S$48)*(S$5-R$5))*-1,"")</f>
        <v>12.738933030647</v>
      </c>
      <c r="T144" s="12">
        <f>IFERROR(((T143/T$48)*(T$5-S$5))*-1,"")</f>
        <v>14.7395778247841</v>
      </c>
      <c r="U144" s="12">
        <f>IFERROR(((U143/U$48)*(U$5-T$5))*-1,"")</f>
        <v>11.8695767357502</v>
      </c>
      <c r="V144" s="12">
        <f>IFERROR(((V143/V$48)*(V$5-U$5))*-1,"")</f>
        <v>9.25543881334981</v>
      </c>
      <c r="W144" s="12" t="n"/>
      <c r="X144" s="12">
        <f>IFERROR(((X143/X$48)*(X$5-W$5))*-1,"")</f>
        <v>11.697372220618</v>
      </c>
      <c r="Y144" s="12">
        <f>IFERROR(((Y143/Y$48)*(Y$5-X$5))*-1,"")</f>
        <v>12.1697867632704</v>
      </c>
      <c r="Z144" s="12">
        <f>IFERROR(((Z143/Z$48)*(Z$5-Y$5))*-1,"")</f>
        <v>13.1302423067129</v>
      </c>
      <c r="AA144" s="12">
        <f>IFERROR(((AA143/AA$48)*(AA$5-Z$5))*-1,"")</f>
        <v>9.6298674744415</v>
      </c>
      <c r="AB144" s="12" t="n"/>
      <c r="AC144" s="12">
        <f>IFERROR(((AC143/AC$48)*(AC$5-AB$5))*-1,"")</f>
        <v>11.1742454250178</v>
      </c>
      <c r="AD144" s="12">
        <f>IFERROR(((AD143/AD$48)*(AD$5-AC$5))*-1,"")</f>
        <v>10.7153503716364</v>
      </c>
      <c r="AE144" s="12">
        <f>IFERROR(((AE143/AE$48)*(AE$5-AD$5))*-1,"")</f>
        <v>9.71927944572748</v>
      </c>
      <c r="AF144" s="11">
        <f>IFERROR(((AF143/AF$48)*(AF$5-AE$5))*-1,"")</f>
        <v>7.25259979872526</v>
      </c>
      <c r="AG144" s="12" t="n"/>
      <c r="AH144" s="11">
        <f>IFERROR(((AH143/AH$48)*(AH$5-AG$5))*-1,"")</f>
        <v>10.7659167065582</v>
      </c>
      <c r="AI144" s="11">
        <f>IFERROR(((AI143/AI$48)*(AI$5-AH$5))*-1,"")</f>
        <v>18.4707669222464</v>
      </c>
      <c r="AJ144" s="11">
        <f>Control!$B$26</f>
        <v>11.3496931116519</v>
      </c>
      <c r="AK144" s="11">
        <f>Control!$B$26</f>
        <v>11.3496931116519</v>
      </c>
      <c r="AL144" s="12" t="n"/>
      <c r="AM144" s="11">
        <f>Control!$C$26</f>
        <v>11.3496931116519</v>
      </c>
      <c r="AN144" s="11">
        <f>Control!$C$26</f>
        <v>11.3496931116519</v>
      </c>
      <c r="AO144" s="11">
        <f>Control!$C$26</f>
        <v>11.3496931116519</v>
      </c>
      <c r="AP144" s="11">
        <f>Control!$C$26</f>
        <v>11.3496931116519</v>
      </c>
      <c r="AQ144" s="12" t="n"/>
      <c r="AR144" s="11">
        <f>Control!$D$26</f>
        <v>11.3496931116519</v>
      </c>
      <c r="AS144" s="11">
        <f>Control!$D$26</f>
        <v>11.3496931116519</v>
      </c>
      <c r="AT144" s="11">
        <f>Control!$D$26</f>
        <v>11.3496931116519</v>
      </c>
      <c r="AU144" s="11">
        <f>Control!$D$26</f>
        <v>11.3496931116519</v>
      </c>
      <c r="AV144" s="12" t="n"/>
      <c r="AW144" s="11">
        <f>Control!$E$26</f>
        <v>11.3496931116519</v>
      </c>
      <c r="AX144" s="11">
        <f>Control!$E$26</f>
        <v>11.3496931116519</v>
      </c>
      <c r="AY144" s="11">
        <f>Control!$E$26</f>
        <v>11.3496931116519</v>
      </c>
      <c r="AZ144" s="11">
        <f>Control!$E$26</f>
        <v>11.3496931116519</v>
      </c>
      <c r="BA144" s="12" t="n"/>
      <c r="BB144" s="11">
        <f>Control!$F$26</f>
        <v>11.3496931116519</v>
      </c>
      <c r="BC144" s="11">
        <f>Control!$F$26</f>
        <v>11.3496931116519</v>
      </c>
      <c r="BD144" s="11">
        <f>Control!$F$26</f>
        <v>11.3496931116519</v>
      </c>
      <c r="BE144" s="11">
        <f>Control!$F$26</f>
        <v>11.3496931116519</v>
      </c>
      <c r="BF144" s="12" t="n"/>
      <c r="BG144" s="11" t="n"/>
      <c r="BH144" s="11" t="n"/>
      <c r="BI144" s="11" t="n"/>
      <c r="BJ144" s="11" t="n"/>
      <c r="BK144" s="12" t="n"/>
      <c r="BL144" s="11" t="n"/>
      <c r="BM144" s="11" t="n"/>
      <c r="BN144" s="11" t="n"/>
      <c r="BO144" s="11" t="n"/>
      <c r="BP144" s="12" t="n"/>
      <c r="BQ144" s="11" t="n"/>
      <c r="BR144" s="11" t="n"/>
      <c r="BS144" s="11" t="n"/>
      <c r="BT144" s="11" t="n"/>
      <c r="BU144" s="12" t="n"/>
      <c r="BV144" s="11" t="n"/>
      <c r="BW144" s="11" t="n"/>
      <c r="BX144" s="11" t="n"/>
      <c r="BY144" s="11" t="n"/>
      <c r="BZ144" s="12" t="n"/>
      <c r="CA144" s="11" t="n"/>
      <c r="CB144" s="11" t="n"/>
      <c r="CC144" s="11" t="n"/>
      <c r="CD144" s="11" t="n"/>
      <c r="CE144" s="12" t="n"/>
      <c r="CF144" s="11" t="n"/>
      <c r="CG144" s="11" t="n"/>
      <c r="CH144" s="11" t="n"/>
      <c r="CI144" s="11" t="n"/>
      <c r="CJ144" s="12" t="n"/>
      <c r="CK144" s="11" t="n"/>
      <c r="CL144" s="11" t="n"/>
      <c r="CM144" s="11" t="n"/>
      <c r="CN144" s="11" t="n"/>
      <c r="CO144" s="12" t="n"/>
      <c r="CP144" s="11" t="n"/>
      <c r="CQ144" s="11" t="n"/>
      <c r="CR144" s="11" t="n"/>
      <c r="CS144" s="11" t="n"/>
      <c r="CT144" s="12" t="n"/>
      <c r="CU144" s="11" t="n"/>
      <c r="CV144" s="11" t="n"/>
      <c r="CW144" s="11" t="n"/>
      <c r="CX144" s="11" t="n"/>
      <c r="CY144" s="12" t="n"/>
    </row>
    <row r="145" hidden="1" outlineLevel="1">
      <c r="C145" s="57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2" t="n"/>
      <c r="AZ145" s="12" t="n"/>
      <c r="BA145" s="12" t="n"/>
      <c r="BB145" s="12" t="n"/>
      <c r="BC145" s="12" t="n"/>
      <c r="BD145" s="12" t="n"/>
      <c r="BE145" s="12" t="n"/>
      <c r="BF145" s="12" t="n"/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2" t="n"/>
      <c r="CY145" s="12" t="n"/>
    </row>
    <row r="146" hidden="1" outlineLevel="1">
      <c r="C146" s="57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  <c r="AL146" s="12" t="n"/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12" t="n"/>
      <c r="AY146" s="12" t="n"/>
      <c r="AZ146" s="12" t="n"/>
      <c r="BA146" s="12" t="n"/>
      <c r="BB146" s="12" t="n"/>
      <c r="BC146" s="12" t="n"/>
      <c r="BD146" s="12" t="n"/>
      <c r="BE146" s="12" t="n"/>
      <c r="BF146" s="12" t="n"/>
      <c r="BG146" s="12" t="n"/>
      <c r="BH146" s="12" t="n"/>
      <c r="BI146" s="12" t="n"/>
      <c r="BJ146" s="12" t="n"/>
      <c r="BK146" s="12" t="n"/>
      <c r="BL146" s="12" t="n"/>
      <c r="BM146" s="12" t="n"/>
      <c r="BN146" s="12" t="n"/>
      <c r="BO146" s="12" t="n"/>
      <c r="BP146" s="12" t="n"/>
      <c r="BQ146" s="12" t="n"/>
      <c r="BR146" s="12" t="n"/>
      <c r="BS146" s="12" t="n"/>
      <c r="BT146" s="12" t="n"/>
      <c r="BU146" s="12" t="n"/>
      <c r="BV146" s="12" t="n"/>
      <c r="BW146" s="12" t="n"/>
      <c r="BX146" s="12" t="n"/>
      <c r="BY146" s="12" t="n"/>
      <c r="BZ146" s="12" t="n"/>
      <c r="CA146" s="12" t="n"/>
      <c r="CB146" s="12" t="n"/>
      <c r="CC146" s="12" t="n"/>
      <c r="CD146" s="12" t="n"/>
      <c r="CE146" s="12" t="n"/>
      <c r="CF146" s="12" t="n"/>
      <c r="CG146" s="12" t="n"/>
      <c r="CH146" s="12" t="n"/>
      <c r="CI146" s="12" t="n"/>
      <c r="CJ146" s="12" t="n"/>
      <c r="CK146" s="12" t="n"/>
      <c r="CL146" s="12" t="n"/>
      <c r="CM146" s="12" t="n"/>
      <c r="CN146" s="12" t="n"/>
      <c r="CO146" s="12" t="n"/>
      <c r="CP146" s="12" t="n"/>
      <c r="CQ146" s="12" t="n"/>
      <c r="CR146" s="12" t="n"/>
      <c r="CS146" s="12" t="n"/>
      <c r="CT146" s="12" t="n"/>
      <c r="CU146" s="12" t="n"/>
      <c r="CV146" s="12" t="n"/>
      <c r="CW146" s="12" t="n"/>
      <c r="CX146" s="12" t="n"/>
      <c r="CY146" s="12" t="n"/>
    </row>
    <row r="147" collapsed="1">
      <c r="C147" s="14" t="inlineStr">
        <is>
          <t>Deferred income taxes</t>
        </is>
      </c>
      <c r="D147" s="46" t="n"/>
      <c r="E147" s="46" t="n"/>
      <c r="F147" s="46" t="n"/>
      <c r="G147" s="46" t="n"/>
      <c r="H147" s="12" t="n"/>
      <c r="I147" s="46">
        <f>'Inputs (2)'!D18</f>
        <v>0</v>
      </c>
      <c r="J147" s="46">
        <f>'Inputs (2)'!E18</f>
        <v>0</v>
      </c>
      <c r="K147" s="46">
        <f>'Inputs (2)'!F18</f>
        <v>0</v>
      </c>
      <c r="L147" s="46">
        <f>'Inputs (2)'!G18</f>
        <v>0</v>
      </c>
      <c r="M147" s="12">
        <f>'Inputs (2)'!H18</f>
        <v>0</v>
      </c>
      <c r="N147" s="46">
        <f>'Inputs (2)'!I18</f>
        <v>0</v>
      </c>
      <c r="O147" s="46">
        <f>'Inputs (2)'!J18</f>
        <v>0</v>
      </c>
      <c r="P147" s="46">
        <f>'Inputs (2)'!K18</f>
        <v>0</v>
      </c>
      <c r="Q147" s="46">
        <f>'Inputs (2)'!L18</f>
        <v>0</v>
      </c>
      <c r="R147" s="12">
        <f>'Inputs (2)'!M18</f>
        <v>0</v>
      </c>
      <c r="S147" s="46">
        <f>'Inputs (2)'!N18</f>
        <v>0</v>
      </c>
      <c r="T147" s="46">
        <f>'Inputs (2)'!O18</f>
        <v>0</v>
      </c>
      <c r="U147" s="46">
        <f>'Inputs (2)'!P18</f>
        <v>0</v>
      </c>
      <c r="V147" s="46">
        <f>'Inputs (2)'!Q18</f>
        <v>0</v>
      </c>
      <c r="W147" s="12">
        <f>'Inputs (2)'!R18</f>
        <v>0</v>
      </c>
      <c r="X147" s="46">
        <f>'Inputs (2)'!S18</f>
        <v>0</v>
      </c>
      <c r="Y147" s="46">
        <f>'Inputs (2)'!T18</f>
        <v>0</v>
      </c>
      <c r="Z147" s="46">
        <f>'Inputs (2)'!U18</f>
        <v>0</v>
      </c>
      <c r="AA147" s="46">
        <f>'Inputs (2)'!V18</f>
        <v>0</v>
      </c>
      <c r="AB147" s="12">
        <f>'Inputs (2)'!W18</f>
        <v>0</v>
      </c>
      <c r="AC147" s="46">
        <f>'Inputs (2)'!X18</f>
        <v>0</v>
      </c>
      <c r="AD147" s="46">
        <f>'Inputs (2)'!Y18</f>
        <v>0</v>
      </c>
      <c r="AE147" s="46">
        <f>'Inputs (2)'!Z18</f>
        <v>0</v>
      </c>
      <c r="AF147" s="46">
        <f>'Inputs (2)'!AA18</f>
        <v>0</v>
      </c>
      <c r="AG147" s="12">
        <f>'Inputs (2)'!AB18</f>
        <v>0</v>
      </c>
      <c r="AH147" s="12">
        <f>'Inputs (2)'!AC18</f>
        <v>0</v>
      </c>
      <c r="AI147" s="12">
        <f>'Inputs (2)'!AD18</f>
        <v>0</v>
      </c>
      <c r="AJ147" s="12">
        <f>AI147</f>
        <v>0</v>
      </c>
      <c r="AK147" s="12">
        <f>AJ147</f>
        <v>0</v>
      </c>
      <c r="AL147" s="12">
        <f>AK147</f>
        <v>0</v>
      </c>
      <c r="AM147" s="12">
        <f>AL147</f>
        <v>0</v>
      </c>
      <c r="AN147" s="12">
        <f>AM147</f>
        <v>0</v>
      </c>
      <c r="AO147" s="12">
        <f>AN147</f>
        <v>0</v>
      </c>
      <c r="AP147" s="12">
        <f>AO147</f>
        <v>0</v>
      </c>
      <c r="AQ147" s="12">
        <f>AP147</f>
        <v>0</v>
      </c>
      <c r="AR147" s="12">
        <f>AQ147</f>
        <v>0</v>
      </c>
      <c r="AS147" s="12">
        <f>AR147</f>
        <v>0</v>
      </c>
      <c r="AT147" s="12">
        <f>AS147</f>
        <v>0</v>
      </c>
      <c r="AU147" s="12">
        <f>AT147</f>
        <v>0</v>
      </c>
      <c r="AV147" s="12">
        <f>AU147</f>
        <v>0</v>
      </c>
      <c r="AW147" s="12">
        <f>AV147</f>
        <v>0</v>
      </c>
      <c r="AX147" s="12">
        <f>AW147</f>
        <v>0</v>
      </c>
      <c r="AY147" s="12">
        <f>AX147</f>
        <v>0</v>
      </c>
      <c r="AZ147" s="12">
        <f>AY147</f>
        <v>0</v>
      </c>
      <c r="BA147" s="12">
        <f>AZ147</f>
        <v>0</v>
      </c>
      <c r="BB147" s="12">
        <f>BA147</f>
        <v>0</v>
      </c>
      <c r="BC147" s="12">
        <f>BB147</f>
        <v>0</v>
      </c>
      <c r="BD147" s="12">
        <f>BC147</f>
        <v>0</v>
      </c>
      <c r="BE147" s="12">
        <f>BD147</f>
        <v>0</v>
      </c>
      <c r="BF147" s="12">
        <f>BE147</f>
        <v>0</v>
      </c>
      <c r="BG147" s="12" t="n"/>
      <c r="BH147" s="12" t="n"/>
      <c r="BI147" s="12" t="n"/>
      <c r="BJ147" s="12" t="n"/>
      <c r="BK147" s="12" t="n"/>
      <c r="BL147" s="12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2" t="n"/>
      <c r="CF147" s="12" t="n"/>
      <c r="CG147" s="12" t="n"/>
      <c r="CH147" s="12" t="n"/>
      <c r="CI147" s="12" t="n"/>
      <c r="CJ147" s="12" t="n"/>
      <c r="CK147" s="12" t="n"/>
      <c r="CL147" s="12" t="n"/>
      <c r="CM147" s="12" t="n"/>
      <c r="CN147" s="12" t="n"/>
      <c r="CO147" s="12" t="n"/>
      <c r="CP147" s="12" t="n"/>
      <c r="CQ147" s="12" t="n"/>
      <c r="CR147" s="12" t="n"/>
      <c r="CS147" s="12" t="n"/>
      <c r="CT147" s="12" t="n"/>
      <c r="CU147" s="12" t="n"/>
      <c r="CV147" s="12" t="n"/>
      <c r="CW147" s="12" t="n"/>
      <c r="CX147" s="12" t="n"/>
      <c r="CY147" s="12" t="n"/>
    </row>
    <row r="148">
      <c r="C148" s="14" t="inlineStr">
        <is>
          <t>Prepaid expenses</t>
        </is>
      </c>
      <c r="D148" s="46" t="n"/>
      <c r="E148" s="46" t="n"/>
      <c r="F148" s="46" t="n"/>
      <c r="G148" s="46" t="n"/>
      <c r="H148" s="12" t="n"/>
      <c r="I148" s="46">
        <f>'Inputs (2)'!D19</f>
        <v>0</v>
      </c>
      <c r="J148" s="46">
        <f>'Inputs (2)'!E19</f>
        <v>0</v>
      </c>
      <c r="K148" s="46">
        <f>'Inputs (2)'!F19</f>
        <v>0</v>
      </c>
      <c r="L148" s="46">
        <f>'Inputs (2)'!G19</f>
        <v>0</v>
      </c>
      <c r="M148" s="12">
        <f>'Inputs (2)'!H19</f>
        <v>0</v>
      </c>
      <c r="N148" s="46">
        <f>'Inputs (2)'!I19</f>
        <v>0</v>
      </c>
      <c r="O148" s="46">
        <f>'Inputs (2)'!J19</f>
        <v>0</v>
      </c>
      <c r="P148" s="46">
        <f>'Inputs (2)'!K19</f>
        <v>0</v>
      </c>
      <c r="Q148" s="46">
        <f>'Inputs (2)'!L19</f>
        <v>0</v>
      </c>
      <c r="R148" s="12">
        <f>'Inputs (2)'!M19</f>
        <v>0</v>
      </c>
      <c r="S148" s="46">
        <f>'Inputs (2)'!N19</f>
        <v>0</v>
      </c>
      <c r="T148" s="46">
        <f>'Inputs (2)'!O19</f>
        <v>0</v>
      </c>
      <c r="U148" s="46">
        <f>'Inputs (2)'!P19</f>
        <v>0</v>
      </c>
      <c r="V148" s="46">
        <f>'Inputs (2)'!Q19</f>
        <v>0</v>
      </c>
      <c r="W148" s="12">
        <f>'Inputs (2)'!R19</f>
        <v>0</v>
      </c>
      <c r="X148" s="46">
        <f>'Inputs (2)'!S19</f>
        <v>0</v>
      </c>
      <c r="Y148" s="46">
        <f>'Inputs (2)'!T19</f>
        <v>0</v>
      </c>
      <c r="Z148" s="46">
        <f>'Inputs (2)'!U19</f>
        <v>0</v>
      </c>
      <c r="AA148" s="46">
        <f>'Inputs (2)'!V19</f>
        <v>0</v>
      </c>
      <c r="AB148" s="12">
        <f>'Inputs (2)'!W19</f>
        <v>0</v>
      </c>
      <c r="AC148" s="46">
        <f>'Inputs (2)'!X19</f>
        <v>0</v>
      </c>
      <c r="AD148" s="46">
        <f>'Inputs (2)'!Y19</f>
        <v>0</v>
      </c>
      <c r="AE148" s="46">
        <f>'Inputs (2)'!Z19</f>
        <v>0</v>
      </c>
      <c r="AF148" s="46">
        <f>'Inputs (2)'!AA19</f>
        <v>0</v>
      </c>
      <c r="AG148" s="12">
        <f>'Inputs (2)'!AB19</f>
        <v>0</v>
      </c>
      <c r="AH148" s="12">
        <f>'Inputs (2)'!AC19</f>
        <v>0</v>
      </c>
      <c r="AI148" s="12">
        <f>'Inputs (2)'!AD19</f>
        <v>0</v>
      </c>
      <c r="AJ148" s="12">
        <f>AI148</f>
        <v>0</v>
      </c>
      <c r="AK148" s="12">
        <f>AJ148</f>
        <v>0</v>
      </c>
      <c r="AL148" s="12">
        <f>AK148</f>
        <v>0</v>
      </c>
      <c r="AM148" s="12">
        <f>AL148</f>
        <v>0</v>
      </c>
      <c r="AN148" s="12">
        <f>AM148</f>
        <v>0</v>
      </c>
      <c r="AO148" s="12">
        <f>AN148</f>
        <v>0</v>
      </c>
      <c r="AP148" s="12">
        <f>AO148</f>
        <v>0</v>
      </c>
      <c r="AQ148" s="12">
        <f>AP148</f>
        <v>0</v>
      </c>
      <c r="AR148" s="12">
        <f>AQ148</f>
        <v>0</v>
      </c>
      <c r="AS148" s="12">
        <f>AR148</f>
        <v>0</v>
      </c>
      <c r="AT148" s="12">
        <f>AS148</f>
        <v>0</v>
      </c>
      <c r="AU148" s="12">
        <f>AT148</f>
        <v>0</v>
      </c>
      <c r="AV148" s="12">
        <f>AU148</f>
        <v>0</v>
      </c>
      <c r="AW148" s="12">
        <f>AV148</f>
        <v>0</v>
      </c>
      <c r="AX148" s="12">
        <f>AW148</f>
        <v>0</v>
      </c>
      <c r="AY148" s="12">
        <f>AX148</f>
        <v>0</v>
      </c>
      <c r="AZ148" s="12">
        <f>AY148</f>
        <v>0</v>
      </c>
      <c r="BA148" s="12">
        <f>AZ148</f>
        <v>0</v>
      </c>
      <c r="BB148" s="12">
        <f>BA148</f>
        <v>0</v>
      </c>
      <c r="BC148" s="12">
        <f>BB148</f>
        <v>0</v>
      </c>
      <c r="BD148" s="12">
        <f>BC148</f>
        <v>0</v>
      </c>
      <c r="BE148" s="12">
        <f>BD148</f>
        <v>0</v>
      </c>
      <c r="BF148" s="12">
        <f>BE148</f>
        <v>0</v>
      </c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2" t="n"/>
      <c r="CY148" s="12" t="n"/>
    </row>
    <row r="149">
      <c r="C149" s="14" t="inlineStr">
        <is>
          <t>Other current assets</t>
        </is>
      </c>
      <c r="D149" s="46" t="n"/>
      <c r="E149" s="46" t="n"/>
      <c r="F149" s="46" t="n"/>
      <c r="G149" s="46" t="n"/>
      <c r="H149" s="12" t="n"/>
      <c r="I149" s="46">
        <f>'Inputs (2)'!D20</f>
        <v>27909</v>
      </c>
      <c r="J149" s="46">
        <f>'Inputs (2)'!E20</f>
        <v>30074</v>
      </c>
      <c r="K149" s="46">
        <f>'Inputs (2)'!F20</f>
        <v>39339</v>
      </c>
      <c r="L149" s="46">
        <f>'Inputs (2)'!G20</f>
        <v>53152</v>
      </c>
      <c r="M149" s="12">
        <f>'Inputs (2)'!H20</f>
        <v>53152</v>
      </c>
      <c r="N149" s="46">
        <f>'Inputs (2)'!I20</f>
        <v>40394</v>
      </c>
      <c r="O149" s="46">
        <f>'Inputs (2)'!J20</f>
        <v>36825</v>
      </c>
      <c r="P149" s="46">
        <f>'Inputs (2)'!K20</f>
        <v>53971</v>
      </c>
      <c r="Q149" s="46">
        <f>'Inputs (2)'!L20</f>
        <v>46850</v>
      </c>
      <c r="R149" s="12">
        <f>'Inputs (2)'!M20</f>
        <v>46850</v>
      </c>
      <c r="S149" s="46">
        <f>'Inputs (2)'!N20</f>
        <v>31623</v>
      </c>
      <c r="T149" s="46">
        <f>'Inputs (2)'!O20</f>
        <v>33277</v>
      </c>
      <c r="U149" s="46">
        <f>'Inputs (2)'!P20</f>
        <v>46172</v>
      </c>
      <c r="V149" s="46">
        <f>'Inputs (2)'!Q20</f>
        <v>40887</v>
      </c>
      <c r="W149" s="12">
        <f>'Inputs (2)'!R20</f>
        <v>40887</v>
      </c>
      <c r="X149" s="46">
        <f>'Inputs (2)'!S20</f>
        <v>33197</v>
      </c>
      <c r="Y149" s="46">
        <f>'Inputs (2)'!T20</f>
        <v>34674</v>
      </c>
      <c r="Z149" s="46">
        <f>'Inputs (2)'!U20</f>
        <v>47120</v>
      </c>
      <c r="AA149" s="46">
        <f>'Inputs (2)'!V20</f>
        <v>42915</v>
      </c>
      <c r="AB149" s="12">
        <f>'Inputs (2)'!W20</f>
        <v>42915</v>
      </c>
      <c r="AC149" s="46">
        <f>'Inputs (2)'!X20</f>
        <v>37771</v>
      </c>
      <c r="AD149" s="46">
        <f>'Inputs (2)'!Y20</f>
        <v>33637</v>
      </c>
      <c r="AE149" s="46">
        <f>'Inputs (2)'!Z20</f>
        <v>47765</v>
      </c>
      <c r="AF149" s="46">
        <f>'Inputs (2)'!AA20</f>
        <v>45401</v>
      </c>
      <c r="AG149" s="12">
        <f>'Inputs (2)'!AB20</f>
        <v>45401</v>
      </c>
      <c r="AH149" s="12">
        <f>'Inputs (2)'!AC20</f>
        <v>38521</v>
      </c>
      <c r="AI149" s="12">
        <f>'Inputs (2)'!AD20</f>
        <v>44929</v>
      </c>
      <c r="AJ149" s="12">
        <f>AI149</f>
        <v>44929</v>
      </c>
      <c r="AK149" s="12">
        <f>AJ149</f>
        <v>44929</v>
      </c>
      <c r="AL149" s="12">
        <f>AK149</f>
        <v>44929</v>
      </c>
      <c r="AM149" s="12">
        <f>AL149</f>
        <v>44929</v>
      </c>
      <c r="AN149" s="12">
        <f>AM149</f>
        <v>44929</v>
      </c>
      <c r="AO149" s="12">
        <f>AN149</f>
        <v>44929</v>
      </c>
      <c r="AP149" s="12">
        <f>AO149</f>
        <v>44929</v>
      </c>
      <c r="AQ149" s="12">
        <f>AP149</f>
        <v>44929</v>
      </c>
      <c r="AR149" s="12">
        <f>AQ149</f>
        <v>44929</v>
      </c>
      <c r="AS149" s="12">
        <f>AR149</f>
        <v>44929</v>
      </c>
      <c r="AT149" s="12">
        <f>AS149</f>
        <v>44929</v>
      </c>
      <c r="AU149" s="12">
        <f>AT149</f>
        <v>44929</v>
      </c>
      <c r="AV149" s="12">
        <f>AU149</f>
        <v>44929</v>
      </c>
      <c r="AW149" s="12">
        <f>AV149</f>
        <v>44929</v>
      </c>
      <c r="AX149" s="12">
        <f>AW149</f>
        <v>44929</v>
      </c>
      <c r="AY149" s="12">
        <f>AX149</f>
        <v>44929</v>
      </c>
      <c r="AZ149" s="12">
        <f>AY149</f>
        <v>44929</v>
      </c>
      <c r="BA149" s="12">
        <f>AZ149</f>
        <v>44929</v>
      </c>
      <c r="BB149" s="12">
        <f>BA149</f>
        <v>44929</v>
      </c>
      <c r="BC149" s="12">
        <f>BB149</f>
        <v>44929</v>
      </c>
      <c r="BD149" s="12">
        <f>BC149</f>
        <v>44929</v>
      </c>
      <c r="BE149" s="12">
        <f>BD149</f>
        <v>44929</v>
      </c>
      <c r="BF149" s="12">
        <f>BE149</f>
        <v>44929</v>
      </c>
      <c r="BG149" s="12" t="n"/>
      <c r="BH149" s="12" t="n"/>
      <c r="BI149" s="12" t="n"/>
      <c r="BJ149" s="12" t="n"/>
      <c r="BK149" s="12" t="n"/>
      <c r="BL149" s="12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  <c r="CA149" s="12" t="n"/>
      <c r="CB149" s="12" t="n"/>
      <c r="CC149" s="12" t="n"/>
      <c r="CD149" s="12" t="n"/>
      <c r="CE149" s="12" t="n"/>
      <c r="CF149" s="12" t="n"/>
      <c r="CG149" s="12" t="n"/>
      <c r="CH149" s="12" t="n"/>
      <c r="CI149" s="12" t="n"/>
      <c r="CJ149" s="12" t="n"/>
      <c r="CK149" s="12" t="n"/>
      <c r="CL149" s="12" t="n"/>
      <c r="CM149" s="12" t="n"/>
      <c r="CN149" s="12" t="n"/>
      <c r="CO149" s="12" t="n"/>
      <c r="CP149" s="12" t="n"/>
      <c r="CQ149" s="12" t="n"/>
      <c r="CR149" s="12" t="n"/>
      <c r="CS149" s="12" t="n"/>
      <c r="CT149" s="12" t="n"/>
      <c r="CU149" s="12" t="n"/>
      <c r="CV149" s="12" t="n"/>
      <c r="CW149" s="12" t="n"/>
      <c r="CX149" s="12" t="n"/>
      <c r="CY149" s="12" t="n"/>
    </row>
    <row r="150" hidden="1" outlineLevel="1">
      <c r="C150" s="59" t="inlineStr">
        <is>
          <t>%(Var.)</t>
        </is>
      </c>
      <c r="D150" s="12" t="n"/>
      <c r="E150" s="40" t="n"/>
      <c r="F150" s="40" t="n"/>
      <c r="G150" s="40" t="n"/>
      <c r="H150" s="12" t="n"/>
      <c r="I150" s="40" t="str">
        <f>""</f>
        <v/>
      </c>
      <c r="J150" s="40">
        <f>IFERROR(IF(I149=0,"",J149/I149-1),"")</f>
        <v>0.0775735425848292</v>
      </c>
      <c r="K150" s="40">
        <f>IFERROR(IF(J149=0,"",K149/J149-1),"")</f>
        <v>0.308073418900046</v>
      </c>
      <c r="L150" s="40">
        <f>IFERROR(IF(K149=0,"",L149/K149-1),"")</f>
        <v>0.351127379953736</v>
      </c>
      <c r="M150" s="12">
        <f>IFERROR(IF(L149=0,"",M149/L149-1),"")</f>
        <v>0</v>
      </c>
      <c r="N150" s="40">
        <f>IFERROR(IF(M149=0,"",N149/M149-1),"")</f>
        <v>-0.240028597230584</v>
      </c>
      <c r="O150" s="40">
        <f>IFERROR(IF(N149=0,"",O149/N149-1),"")</f>
        <v>-0.0883547061444769</v>
      </c>
      <c r="P150" s="40">
        <f>IFERROR(IF(O149=0,"",P149/O149-1),"")</f>
        <v>0.46560760353021</v>
      </c>
      <c r="Q150" s="40">
        <f>IFERROR(IF(P149=0,"",Q149/P149-1),"")</f>
        <v>-0.131941227696355</v>
      </c>
      <c r="R150" s="12">
        <f>IFERROR(IF(Q149=0,"",R149/Q149-1),"")</f>
        <v>0</v>
      </c>
      <c r="S150" s="40">
        <f>IFERROR(IF(R149=0,"",S149/R149-1),"")</f>
        <v>-0.325016008537887</v>
      </c>
      <c r="T150" s="40">
        <f>IFERROR(IF(S149=0,"",T149/S149-1),"")</f>
        <v>0.0523037030009803</v>
      </c>
      <c r="U150" s="40">
        <f>IFERROR(IF(T149=0,"",U149/T149-1),"")</f>
        <v>0.387504883252697</v>
      </c>
      <c r="V150" s="40">
        <f>IFERROR(IF(U149=0,"",V149/U149-1),"")</f>
        <v>-0.114463311097635</v>
      </c>
      <c r="W150" s="12">
        <f>IFERROR(IF(V149=0,"",W149/V149-1),"")</f>
        <v>0</v>
      </c>
      <c r="X150" s="40">
        <f>IFERROR(IF(W149=0,"",X149/W149-1),"")</f>
        <v>-0.188079340621714</v>
      </c>
      <c r="Y150" s="40">
        <f>IFERROR(IF(X149=0,"",Y149/X149-1),"")</f>
        <v>0.0444919721661596</v>
      </c>
      <c r="Z150" s="40">
        <f>IFERROR(IF(Y149=0,"",Z149/Y149-1),"")</f>
        <v>0.358943300455673</v>
      </c>
      <c r="AA150" s="40">
        <f>IFERROR(IF(Z149=0,"",AA149/Z149-1),"")</f>
        <v>-0.0892402376910016</v>
      </c>
      <c r="AB150" s="12">
        <f>IFERROR(IF(AA149=0,"",AB149/AA149-1),"")</f>
        <v>0</v>
      </c>
      <c r="AC150" s="40">
        <f>IFERROR(IF(AB149=0,"",AC149/AB149-1),"")</f>
        <v>-0.119864849120354</v>
      </c>
      <c r="AD150" s="40">
        <f>IFERROR(IF(AC149=0,"",AD149/AC149-1),"")</f>
        <v>-0.109449048211591</v>
      </c>
      <c r="AE150" s="40">
        <f>IFERROR(IF(AD149=0,"",AE149/AD149-1),"")</f>
        <v>0.420013675416952</v>
      </c>
      <c r="AF150" s="55">
        <f>IFERROR(IF(AE149=0,"",AF149/AE149-1),"")</f>
        <v>-0.0494923060818591</v>
      </c>
      <c r="AG150" s="12">
        <f>IFERROR(IF(AF149=0,"",AG149/AF149-1),"")</f>
        <v>0</v>
      </c>
      <c r="AH150" s="12">
        <f>IFERROR(IF(AG149=0,"",AH149/AG149-1),"")</f>
        <v>-0.151538512367569</v>
      </c>
      <c r="AI150" s="12">
        <f>IFERROR(IF(AH149=0,"",AI149/AH149-1),"")</f>
        <v>0.16635082162976</v>
      </c>
      <c r="AJ150" s="12">
        <f>IFERROR(IF(AI149=0,"",AJ149/AI149-1),"")</f>
        <v>0</v>
      </c>
      <c r="AK150" s="12">
        <f>IFERROR(IF(AJ149=0,"",AK149/AJ149-1),"")</f>
        <v>0</v>
      </c>
      <c r="AL150" s="12">
        <f>IFERROR(IF(AK149=0,"",AL149/AK149-1),"")</f>
        <v>0</v>
      </c>
      <c r="AM150" s="12">
        <f>IFERROR(IF(AL149=0,"",AM149/AL149-1),"")</f>
        <v>0</v>
      </c>
      <c r="AN150" s="12">
        <f>IFERROR(IF(AM149=0,"",AN149/AM149-1),"")</f>
        <v>0</v>
      </c>
      <c r="AO150" s="12">
        <f>IFERROR(IF(AN149=0,"",AO149/AN149-1),"")</f>
        <v>0</v>
      </c>
      <c r="AP150" s="12">
        <f>IFERROR(IF(AO149=0,"",AP149/AO149-1),"")</f>
        <v>0</v>
      </c>
      <c r="AQ150" s="12">
        <f>IFERROR(IF(AP149=0,"",AQ149/AP149-1),"")</f>
        <v>0</v>
      </c>
      <c r="AR150" s="12">
        <f>IFERROR(IF(AQ149=0,"",AR149/AQ149-1),"")</f>
        <v>0</v>
      </c>
      <c r="AS150" s="12">
        <f>IFERROR(IF(AR149=0,"",AS149/AR149-1),"")</f>
        <v>0</v>
      </c>
      <c r="AT150" s="12">
        <f>IFERROR(IF(AS149=0,"",AT149/AS149-1),"")</f>
        <v>0</v>
      </c>
      <c r="AU150" s="12">
        <f>IFERROR(IF(AT149=0,"",AU149/AT149-1),"")</f>
        <v>0</v>
      </c>
      <c r="AV150" s="12">
        <f>IFERROR(IF(AU149=0,"",AV149/AU149-1),"")</f>
        <v>0</v>
      </c>
      <c r="AW150" s="12">
        <f>IFERROR(IF(AV149=0,"",AW149/AV149-1),"")</f>
        <v>0</v>
      </c>
      <c r="AX150" s="12">
        <f>IFERROR(IF(AW149=0,"",AX149/AW149-1),"")</f>
        <v>0</v>
      </c>
      <c r="AY150" s="12">
        <f>IFERROR(IF(AX149=0,"",AY149/AX149-1),"")</f>
        <v>0</v>
      </c>
      <c r="AZ150" s="12">
        <f>IFERROR(IF(AY149=0,"",AZ149/AY149-1),"")</f>
        <v>0</v>
      </c>
      <c r="BA150" s="12">
        <f>IFERROR(IF(AZ149=0,"",BA149/AZ149-1),"")</f>
        <v>0</v>
      </c>
      <c r="BB150" s="12">
        <f>IFERROR(IF(BA149=0,"",BB149/BA149-1),"")</f>
        <v>0</v>
      </c>
      <c r="BC150" s="12">
        <f>IFERROR(IF(BB149=0,"",BC149/BB149-1),"")</f>
        <v>0</v>
      </c>
      <c r="BD150" s="12">
        <f>IFERROR(IF(BC149=0,"",BD149/BC149-1),"")</f>
        <v>0</v>
      </c>
      <c r="BE150" s="12">
        <f>IFERROR(IF(BD149=0,"",BE149/BD149-1),"")</f>
        <v>0</v>
      </c>
      <c r="BF150" s="12">
        <f>IFERROR(IF(BE149=0,"",BF149/BE149-1),"")</f>
        <v>0</v>
      </c>
      <c r="BG150" s="12" t="n"/>
      <c r="BH150" s="12" t="n"/>
      <c r="BI150" s="12" t="n"/>
      <c r="BJ150" s="12" t="n"/>
      <c r="BK150" s="12" t="n"/>
      <c r="BL150" s="12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2" t="n"/>
      <c r="CF150" s="12" t="n"/>
      <c r="CG150" s="12" t="n"/>
      <c r="CH150" s="12" t="n"/>
      <c r="CI150" s="12" t="n"/>
      <c r="CJ150" s="12" t="n"/>
      <c r="CK150" s="12" t="n"/>
      <c r="CL150" s="12" t="n"/>
      <c r="CM150" s="12" t="n"/>
      <c r="CN150" s="12" t="n"/>
      <c r="CO150" s="12" t="n"/>
      <c r="CP150" s="12" t="n"/>
      <c r="CQ150" s="12" t="n"/>
      <c r="CR150" s="12" t="n"/>
      <c r="CS150" s="12" t="n"/>
      <c r="CT150" s="12" t="n"/>
      <c r="CU150" s="12" t="n"/>
      <c r="CV150" s="12" t="n"/>
      <c r="CW150" s="12" t="n"/>
      <c r="CX150" s="12" t="n"/>
      <c r="CY150" s="12" t="n"/>
    </row>
    <row r="151" hidden="1" outlineLevel="1">
      <c r="C151" s="57" t="n"/>
      <c r="D151" s="12" t="n"/>
      <c r="E151" s="40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  <c r="BG151" s="12" t="n"/>
      <c r="BH151" s="12" t="n"/>
      <c r="BI151" s="12" t="n"/>
      <c r="BJ151" s="12" t="n"/>
      <c r="BK151" s="12" t="n"/>
      <c r="BL151" s="12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  <c r="CA151" s="12" t="n"/>
      <c r="CB151" s="12" t="n"/>
      <c r="CC151" s="12" t="n"/>
      <c r="CD151" s="12" t="n"/>
      <c r="CE151" s="12" t="n"/>
      <c r="CF151" s="12" t="n"/>
      <c r="CG151" s="12" t="n"/>
      <c r="CH151" s="12" t="n"/>
      <c r="CI151" s="12" t="n"/>
      <c r="CJ151" s="12" t="n"/>
      <c r="CK151" s="12" t="n"/>
      <c r="CL151" s="12" t="n"/>
      <c r="CM151" s="12" t="n"/>
      <c r="CN151" s="12" t="n"/>
      <c r="CO151" s="12" t="n"/>
      <c r="CP151" s="12" t="n"/>
      <c r="CQ151" s="12" t="n"/>
      <c r="CR151" s="12" t="n"/>
      <c r="CS151" s="12" t="n"/>
      <c r="CT151" s="12" t="n"/>
      <c r="CU151" s="12" t="n"/>
      <c r="CV151" s="12" t="n"/>
      <c r="CW151" s="12" t="n"/>
      <c r="CX151" s="12" t="n"/>
      <c r="CY151" s="12" t="n"/>
    </row>
    <row r="152" hidden="1" outlineLevel="1">
      <c r="C152" s="60" t="inlineStr">
        <is>
          <t xml:space="preserve">Impostos e Contribuições a Recuperar </t>
        </is>
      </c>
      <c r="D152" s="11" t="n"/>
      <c r="E152" s="11" t="n"/>
      <c r="F152" s="11" t="n"/>
      <c r="G152" s="11" t="n"/>
      <c r="H152" s="12" t="n"/>
      <c r="I152" s="11" t="n"/>
      <c r="J152" s="11" t="n"/>
      <c r="K152" s="11" t="n"/>
      <c r="L152" s="11" t="n"/>
      <c r="M152" s="12" t="n"/>
      <c r="N152" s="11" t="n"/>
      <c r="O152" s="11" t="n"/>
      <c r="P152" s="11" t="n"/>
      <c r="Q152" s="11" t="n"/>
      <c r="R152" s="12" t="n"/>
      <c r="S152" s="11" t="n"/>
      <c r="T152" s="11" t="n"/>
      <c r="U152" s="11" t="n"/>
      <c r="V152" s="11" t="n"/>
      <c r="W152" s="12" t="n"/>
      <c r="X152" s="11" t="n"/>
      <c r="Y152" s="11" t="n"/>
      <c r="Z152" s="11" t="n"/>
      <c r="AA152" s="11" t="n"/>
      <c r="AB152" s="12" t="n"/>
      <c r="AC152" s="11" t="n"/>
      <c r="AD152" s="11" t="n"/>
      <c r="AE152" s="11" t="n"/>
      <c r="AF152" s="11" t="n"/>
      <c r="AG152" s="12">
        <f>AF152</f>
        <v>0</v>
      </c>
      <c r="AH152" s="61">
        <f>IFERROR(AG152*AH15/AG15,"")</f>
        <v>0</v>
      </c>
      <c r="AI152" s="61">
        <f>IFERROR(AH152*AI15/AH15,"")</f>
        <v>0</v>
      </c>
      <c r="AJ152" s="61">
        <f>IFERROR(AI152*AJ15/AI15,"")</f>
        <v>0</v>
      </c>
      <c r="AK152" s="61">
        <f>IFERROR(AJ152*AK15/AJ15,"")</f>
        <v>0</v>
      </c>
      <c r="AL152" s="12">
        <f>IFERROR(AK152,"")</f>
        <v>0</v>
      </c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  <c r="BJ152" s="12" t="n"/>
      <c r="BK152" s="12" t="n"/>
      <c r="BL152" s="12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2" t="n"/>
      <c r="CF152" s="12" t="n"/>
      <c r="CG152" s="12" t="n"/>
      <c r="CH152" s="12" t="n"/>
      <c r="CI152" s="12" t="n"/>
      <c r="CJ152" s="12" t="n"/>
      <c r="CK152" s="12" t="n"/>
      <c r="CL152" s="12" t="n"/>
      <c r="CM152" s="12" t="n"/>
      <c r="CN152" s="12" t="n"/>
      <c r="CO152" s="12" t="n"/>
      <c r="CP152" s="12" t="n"/>
      <c r="CQ152" s="12" t="n"/>
      <c r="CR152" s="12" t="n"/>
      <c r="CS152" s="12" t="n"/>
      <c r="CT152" s="12" t="n"/>
      <c r="CU152" s="12" t="n"/>
      <c r="CV152" s="12" t="n"/>
      <c r="CW152" s="12" t="n"/>
      <c r="CX152" s="12" t="n"/>
      <c r="CY152" s="12" t="n"/>
    </row>
    <row r="153" hidden="1" outlineLevel="1">
      <c r="C153" s="60" t="inlineStr">
        <is>
          <t>Outros Créditos</t>
        </is>
      </c>
      <c r="D153" s="11" t="n"/>
      <c r="E153" s="11" t="n"/>
      <c r="F153" s="11" t="n"/>
      <c r="G153" s="11" t="n"/>
      <c r="H153" s="12" t="n"/>
      <c r="I153" s="11" t="n"/>
      <c r="J153" s="11" t="n"/>
      <c r="K153" s="11" t="n"/>
      <c r="L153" s="11" t="n"/>
      <c r="M153" s="12" t="n"/>
      <c r="N153" s="11" t="n"/>
      <c r="O153" s="11" t="n"/>
      <c r="P153" s="11" t="n"/>
      <c r="Q153" s="11" t="n"/>
      <c r="R153" s="12" t="n"/>
      <c r="S153" s="11" t="n"/>
      <c r="T153" s="11" t="n"/>
      <c r="U153" s="11" t="n"/>
      <c r="V153" s="11" t="n"/>
      <c r="W153" s="12" t="n"/>
      <c r="X153" s="11" t="n"/>
      <c r="Y153" s="11" t="n"/>
      <c r="Z153" s="11" t="n"/>
      <c r="AA153" s="11" t="n"/>
      <c r="AB153" s="12" t="n"/>
      <c r="AC153" s="11" t="n"/>
      <c r="AD153" s="11" t="n"/>
      <c r="AE153" s="11" t="n"/>
      <c r="AF153" s="11" t="n"/>
      <c r="AG153" s="12">
        <f>AF153</f>
        <v>0</v>
      </c>
      <c r="AH153" s="12">
        <f>AG153</f>
        <v>0</v>
      </c>
      <c r="AI153" s="12">
        <f>AH153</f>
        <v>0</v>
      </c>
      <c r="AJ153" s="12">
        <f>AI153</f>
        <v>0</v>
      </c>
      <c r="AK153" s="12">
        <f>AJ153</f>
        <v>0</v>
      </c>
      <c r="AL153" s="12">
        <f>AK153</f>
        <v>0</v>
      </c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  <c r="BE153" s="12" t="n"/>
      <c r="BF153" s="12" t="n"/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2" t="n"/>
      <c r="CY153" s="12" t="n"/>
    </row>
    <row r="154" hidden="1" outlineLevel="1">
      <c r="C154" s="57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  <c r="AP154" s="12" t="n"/>
      <c r="AQ154" s="12" t="n"/>
      <c r="AR154" s="12" t="n"/>
      <c r="AS154" s="12" t="n"/>
      <c r="AT154" s="12" t="n"/>
      <c r="AU154" s="12" t="n"/>
      <c r="AV154" s="12" t="n"/>
      <c r="AW154" s="12" t="n"/>
      <c r="AX154" s="12" t="n"/>
      <c r="AY154" s="12" t="n"/>
      <c r="AZ154" s="12" t="n"/>
      <c r="BA154" s="12" t="n"/>
      <c r="BB154" s="12" t="n"/>
      <c r="BC154" s="12" t="n"/>
      <c r="BD154" s="12" t="n"/>
      <c r="BE154" s="12" t="n"/>
      <c r="BF154" s="12" t="n"/>
      <c r="BG154" s="12" t="n"/>
      <c r="BH154" s="12" t="n"/>
      <c r="BI154" s="12" t="n"/>
      <c r="BJ154" s="12" t="n"/>
      <c r="BK154" s="12" t="n"/>
      <c r="BL154" s="12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  <c r="CN154" s="12" t="n"/>
      <c r="CO154" s="12" t="n"/>
      <c r="CP154" s="12" t="n"/>
      <c r="CQ154" s="12" t="n"/>
      <c r="CR154" s="12" t="n"/>
      <c r="CS154" s="12" t="n"/>
      <c r="CT154" s="12" t="n"/>
      <c r="CU154" s="12" t="n"/>
      <c r="CV154" s="12" t="n"/>
      <c r="CW154" s="12" t="n"/>
      <c r="CX154" s="12" t="n"/>
      <c r="CY154" s="12" t="n"/>
    </row>
    <row r="155" collapsed="1">
      <c r="C155" s="14" t="inlineStr">
        <is>
          <t>Equity in affiliates</t>
        </is>
      </c>
      <c r="D155" s="46" t="n"/>
      <c r="E155" s="46" t="n"/>
      <c r="F155" s="46" t="n"/>
      <c r="G155" s="46" t="n"/>
      <c r="H155" s="12" t="n"/>
      <c r="I155" s="46">
        <f>'Inputs (2)'!D21</f>
        <v>0</v>
      </c>
      <c r="J155" s="46">
        <f>'Inputs (2)'!E21</f>
        <v>0</v>
      </c>
      <c r="K155" s="46">
        <f>'Inputs (2)'!F21</f>
        <v>0</v>
      </c>
      <c r="L155" s="46">
        <f>'Inputs (2)'!G21</f>
        <v>0</v>
      </c>
      <c r="M155" s="12">
        <f>'Inputs (2)'!H21</f>
        <v>0</v>
      </c>
      <c r="N155" s="46">
        <f>'Inputs (2)'!I21</f>
        <v>0</v>
      </c>
      <c r="O155" s="46">
        <f>'Inputs (2)'!J21</f>
        <v>0</v>
      </c>
      <c r="P155" s="46">
        <f>'Inputs (2)'!K21</f>
        <v>0</v>
      </c>
      <c r="Q155" s="46">
        <f>'Inputs (2)'!L21</f>
        <v>0</v>
      </c>
      <c r="R155" s="12">
        <f>'Inputs (2)'!M21</f>
        <v>0</v>
      </c>
      <c r="S155" s="46">
        <f>'Inputs (2)'!N21</f>
        <v>0</v>
      </c>
      <c r="T155" s="46">
        <f>'Inputs (2)'!O21</f>
        <v>0</v>
      </c>
      <c r="U155" s="46">
        <f>'Inputs (2)'!P21</f>
        <v>0</v>
      </c>
      <c r="V155" s="46">
        <f>'Inputs (2)'!Q21</f>
        <v>0</v>
      </c>
      <c r="W155" s="12">
        <f>'Inputs (2)'!R21</f>
        <v>0</v>
      </c>
      <c r="X155" s="46">
        <f>'Inputs (2)'!S21</f>
        <v>0</v>
      </c>
      <c r="Y155" s="46">
        <f>'Inputs (2)'!T21</f>
        <v>0</v>
      </c>
      <c r="Z155" s="46">
        <f>'Inputs (2)'!U21</f>
        <v>0</v>
      </c>
      <c r="AA155" s="46">
        <f>'Inputs (2)'!V21</f>
        <v>0</v>
      </c>
      <c r="AB155" s="12">
        <f>'Inputs (2)'!W21</f>
        <v>0</v>
      </c>
      <c r="AC155" s="46">
        <f>'Inputs (2)'!X21</f>
        <v>0</v>
      </c>
      <c r="AD155" s="46">
        <f>'Inputs (2)'!Y21</f>
        <v>0</v>
      </c>
      <c r="AE155" s="46">
        <f>'Inputs (2)'!Z21</f>
        <v>0</v>
      </c>
      <c r="AF155" s="46">
        <f>'Inputs (2)'!AA21</f>
        <v>0</v>
      </c>
      <c r="AG155" s="12">
        <f>'Inputs (2)'!AB21</f>
        <v>0</v>
      </c>
      <c r="AH155" s="12">
        <f>'Inputs (2)'!AC21</f>
        <v>0</v>
      </c>
      <c r="AI155" s="12">
        <f>'Inputs (2)'!AD21</f>
        <v>0</v>
      </c>
      <c r="AJ155" s="12">
        <f>AI155+AJ129</f>
        <v>0</v>
      </c>
      <c r="AK155" s="12">
        <f>AJ155+AK129</f>
        <v>0</v>
      </c>
      <c r="AL155" s="12">
        <f>AK155</f>
        <v>0</v>
      </c>
      <c r="AM155" s="12">
        <f>AL155+AM129</f>
        <v>0</v>
      </c>
      <c r="AN155" s="12">
        <f>AM155+AN129</f>
        <v>0</v>
      </c>
      <c r="AO155" s="12">
        <f>AN155+AO129</f>
        <v>0</v>
      </c>
      <c r="AP155" s="12">
        <f>AO155+AP129</f>
        <v>0</v>
      </c>
      <c r="AQ155" s="12">
        <f>AP155</f>
        <v>0</v>
      </c>
      <c r="AR155" s="12">
        <f>AQ155+AR129</f>
        <v>0</v>
      </c>
      <c r="AS155" s="12">
        <f>AR155+AS129</f>
        <v>0</v>
      </c>
      <c r="AT155" s="12">
        <f>AS155+AT129</f>
        <v>0</v>
      </c>
      <c r="AU155" s="12">
        <f>AT155+AU129</f>
        <v>0</v>
      </c>
      <c r="AV155" s="12">
        <f>AU155</f>
        <v>0</v>
      </c>
      <c r="AW155" s="12">
        <f>AV155+AW129</f>
        <v>0</v>
      </c>
      <c r="AX155" s="12">
        <f>AW155+AX129</f>
        <v>0</v>
      </c>
      <c r="AY155" s="12">
        <f>AX155+AY129</f>
        <v>0</v>
      </c>
      <c r="AZ155" s="12">
        <f>AY155+AZ129</f>
        <v>0</v>
      </c>
      <c r="BA155" s="12">
        <f>AZ155</f>
        <v>0</v>
      </c>
      <c r="BB155" s="12">
        <f>BA155+BB129</f>
        <v>0</v>
      </c>
      <c r="BC155" s="12">
        <f>BB155+BC129</f>
        <v>0</v>
      </c>
      <c r="BD155" s="12">
        <f>BC155+BD129</f>
        <v>0</v>
      </c>
      <c r="BE155" s="12">
        <f>BD155+BE129</f>
        <v>0</v>
      </c>
      <c r="BF155" s="12">
        <f>BE155</f>
        <v>0</v>
      </c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2" t="n"/>
      <c r="CY155" s="12" t="n"/>
    </row>
    <row r="156" hidden="1" outlineLevel="1">
      <c r="C156" s="57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  <c r="AP156" s="12" t="n"/>
      <c r="AQ156" s="12" t="n"/>
      <c r="AR156" s="12" t="n"/>
      <c r="AS156" s="12" t="n"/>
      <c r="AT156" s="12" t="n"/>
      <c r="AU156" s="12" t="n"/>
      <c r="AV156" s="12" t="n"/>
      <c r="AW156" s="12" t="n"/>
      <c r="AX156" s="12" t="n"/>
      <c r="AY156" s="12" t="n"/>
      <c r="AZ156" s="12" t="n"/>
      <c r="BA156" s="12" t="n"/>
      <c r="BB156" s="12" t="n"/>
      <c r="BC156" s="12" t="n"/>
      <c r="BD156" s="12" t="n"/>
      <c r="BE156" s="12" t="n"/>
      <c r="BF156" s="12" t="n"/>
      <c r="BG156" s="12" t="n"/>
      <c r="BH156" s="12" t="n"/>
      <c r="BI156" s="12" t="n"/>
      <c r="BJ156" s="12" t="n"/>
      <c r="BK156" s="12" t="n"/>
      <c r="BL156" s="12" t="n"/>
      <c r="BM156" s="12" t="n"/>
      <c r="BN156" s="12" t="n"/>
      <c r="BO156" s="12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  <c r="CA156" s="12" t="n"/>
      <c r="CB156" s="12" t="n"/>
      <c r="CC156" s="12" t="n"/>
      <c r="CD156" s="12" t="n"/>
      <c r="CE156" s="12" t="n"/>
      <c r="CF156" s="12" t="n"/>
      <c r="CG156" s="12" t="n"/>
      <c r="CH156" s="12" t="n"/>
      <c r="CI156" s="12" t="n"/>
      <c r="CJ156" s="12" t="n"/>
      <c r="CK156" s="12" t="n"/>
      <c r="CL156" s="12" t="n"/>
      <c r="CM156" s="12" t="n"/>
      <c r="CN156" s="12" t="n"/>
      <c r="CO156" s="12" t="n"/>
      <c r="CP156" s="12" t="n"/>
      <c r="CQ156" s="12" t="n"/>
      <c r="CR156" s="12" t="n"/>
      <c r="CS156" s="12" t="n"/>
      <c r="CT156" s="12" t="n"/>
      <c r="CU156" s="12" t="n"/>
      <c r="CV156" s="12" t="n"/>
      <c r="CW156" s="12" t="n"/>
      <c r="CX156" s="12" t="n"/>
      <c r="CY156" s="12" t="n"/>
    </row>
    <row r="157" hidden="1" outlineLevel="1">
      <c r="C157" s="57" t="inlineStr">
        <is>
          <t>Equity in Income - % YoY</t>
        </is>
      </c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>
        <f>IF(I129=0,0,N129/I129-1)</f>
        <v>0</v>
      </c>
      <c r="O157" s="12">
        <f>IF(J129=0,0,O129/J129-1)</f>
        <v>0</v>
      </c>
      <c r="P157" s="12">
        <f>IF(K129=0,0,P129/K129-1)</f>
        <v>0</v>
      </c>
      <c r="Q157" s="12">
        <f>IF(L129=0,0,Q129/L129-1)</f>
        <v>0</v>
      </c>
      <c r="R157" s="12" t="n"/>
      <c r="S157" s="12">
        <f>IF(N129=0,0,S129/N129-1)</f>
        <v>0</v>
      </c>
      <c r="T157" s="12">
        <f>IF(O129=0,0,T129/O129-1)</f>
        <v>0</v>
      </c>
      <c r="U157" s="12">
        <f>IF(P129=0,0,U129/P129-1)</f>
        <v>0</v>
      </c>
      <c r="V157" s="12">
        <f>IF(Q129=0,0,V129/Q129-1)</f>
        <v>0</v>
      </c>
      <c r="W157" s="12" t="n"/>
      <c r="X157" s="12">
        <f>IF(S129=0,0,X129/S129-1)</f>
        <v>0</v>
      </c>
      <c r="Y157" s="12">
        <f>IF(T129=0,0,Y129/T129-1)</f>
        <v>0</v>
      </c>
      <c r="Z157" s="12">
        <f>IF(U129=0,0,Z129/U129-1)</f>
        <v>0</v>
      </c>
      <c r="AA157" s="12">
        <f>IF(V129=0,0,AA129/V129-1)</f>
        <v>0</v>
      </c>
      <c r="AB157" s="12" t="n"/>
      <c r="AC157" s="12">
        <f>IF(X129=0,0,AC129/X129-1)</f>
        <v>0</v>
      </c>
      <c r="AD157" s="12">
        <f>IF(Y129=0,0,AD129/Y129-1)</f>
        <v>0</v>
      </c>
      <c r="AE157" s="12">
        <f>IF(Z129=0,0,AE129/Z129-1)</f>
        <v>0</v>
      </c>
      <c r="AF157" s="12">
        <f>IF(AA129=0,0,AF129/AA129-1)</f>
        <v>0</v>
      </c>
      <c r="AG157" s="12" t="n"/>
      <c r="AH157" s="11">
        <f>IF(AC129=0,0,AH129/AC129-1)</f>
        <v>0</v>
      </c>
      <c r="AI157" s="11">
        <f>IF(AD129=0,0,AI129/AD129-1)</f>
        <v>0</v>
      </c>
      <c r="AJ157" s="11" t="n"/>
      <c r="AK157" s="11" t="n"/>
      <c r="AL157" s="12" t="n"/>
      <c r="AM157" s="11" t="n"/>
      <c r="AN157" s="11" t="n"/>
      <c r="AO157" s="11" t="n"/>
      <c r="AP157" s="11" t="n"/>
      <c r="AQ157" s="12" t="n"/>
      <c r="AR157" s="11" t="n"/>
      <c r="AS157" s="11" t="n"/>
      <c r="AT157" s="11" t="n"/>
      <c r="AU157" s="11" t="n"/>
      <c r="AV157" s="12" t="n"/>
      <c r="AW157" s="11" t="n"/>
      <c r="AX157" s="11" t="n"/>
      <c r="AY157" s="11" t="n"/>
      <c r="AZ157" s="11" t="n"/>
      <c r="BA157" s="12" t="n"/>
      <c r="BB157" s="11" t="n"/>
      <c r="BC157" s="11" t="n"/>
      <c r="BD157" s="11" t="n"/>
      <c r="BE157" s="11" t="n"/>
      <c r="BF157" s="12" t="n"/>
      <c r="BG157" s="11" t="n"/>
      <c r="BH157" s="11" t="n"/>
      <c r="BI157" s="11" t="n"/>
      <c r="BJ157" s="11" t="n"/>
      <c r="BK157" s="12" t="n"/>
      <c r="BL157" s="11" t="n"/>
      <c r="BM157" s="11" t="n"/>
      <c r="BN157" s="11" t="n"/>
      <c r="BO157" s="11" t="n"/>
      <c r="BP157" s="12" t="n"/>
      <c r="BQ157" s="11" t="n"/>
      <c r="BR157" s="11" t="n"/>
      <c r="BS157" s="11" t="n"/>
      <c r="BT157" s="11" t="n"/>
      <c r="BU157" s="12" t="n"/>
      <c r="BV157" s="11" t="n"/>
      <c r="BW157" s="11" t="n"/>
      <c r="BX157" s="11" t="n"/>
      <c r="BY157" s="11" t="n"/>
      <c r="BZ157" s="12" t="n"/>
      <c r="CA157" s="11" t="n"/>
      <c r="CB157" s="11" t="n"/>
      <c r="CC157" s="11" t="n"/>
      <c r="CD157" s="11" t="n"/>
      <c r="CE157" s="12" t="n"/>
      <c r="CF157" s="11" t="n"/>
      <c r="CG157" s="11" t="n"/>
      <c r="CH157" s="11" t="n"/>
      <c r="CI157" s="11" t="n"/>
      <c r="CJ157" s="12" t="n"/>
      <c r="CK157" s="11" t="n"/>
      <c r="CL157" s="11" t="n"/>
      <c r="CM157" s="11" t="n"/>
      <c r="CN157" s="11" t="n"/>
      <c r="CO157" s="12" t="n"/>
      <c r="CP157" s="11" t="n"/>
      <c r="CQ157" s="11" t="n"/>
      <c r="CR157" s="11" t="n"/>
      <c r="CS157" s="11" t="n"/>
      <c r="CT157" s="12" t="n"/>
      <c r="CU157" s="11" t="n"/>
      <c r="CV157" s="11" t="n"/>
      <c r="CW157" s="11" t="n"/>
      <c r="CX157" s="11" t="n"/>
      <c r="CY157" s="12" t="n"/>
    </row>
    <row r="158" hidden="1" outlineLevel="1">
      <c r="C158" s="57" t="inlineStr">
        <is>
          <t>Dividends (enter as -)</t>
        </is>
      </c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1" t="n"/>
      <c r="AI158" s="11" t="n"/>
      <c r="AJ158" s="11" t="n"/>
      <c r="AK158" s="11" t="n"/>
      <c r="AL158" s="12" t="n"/>
      <c r="AM158" s="11" t="n"/>
      <c r="AN158" s="11" t="n"/>
      <c r="AO158" s="11" t="n"/>
      <c r="AP158" s="11" t="n"/>
      <c r="AQ158" s="12" t="n"/>
      <c r="AR158" s="11" t="n"/>
      <c r="AS158" s="11" t="n"/>
      <c r="AT158" s="11" t="n"/>
      <c r="AU158" s="11" t="n"/>
      <c r="AV158" s="12" t="n"/>
      <c r="AW158" s="11" t="n"/>
      <c r="AX158" s="11" t="n"/>
      <c r="AY158" s="11" t="n"/>
      <c r="AZ158" s="11" t="n"/>
      <c r="BA158" s="12" t="n"/>
      <c r="BB158" s="11" t="n"/>
      <c r="BC158" s="11" t="n"/>
      <c r="BD158" s="11" t="n"/>
      <c r="BE158" s="11" t="n"/>
      <c r="BF158" s="12" t="n"/>
      <c r="BG158" s="11" t="n"/>
      <c r="BH158" s="11" t="n"/>
      <c r="BI158" s="11" t="n"/>
      <c r="BJ158" s="11" t="n"/>
      <c r="BK158" s="12" t="n"/>
      <c r="BL158" s="11" t="n"/>
      <c r="BM158" s="11" t="n"/>
      <c r="BN158" s="11" t="n"/>
      <c r="BO158" s="11" t="n"/>
      <c r="BP158" s="12" t="n"/>
      <c r="BQ158" s="11" t="n"/>
      <c r="BR158" s="11" t="n"/>
      <c r="BS158" s="11" t="n"/>
      <c r="BT158" s="11" t="n"/>
      <c r="BU158" s="12" t="n"/>
      <c r="BV158" s="11" t="n"/>
      <c r="BW158" s="11" t="n"/>
      <c r="BX158" s="11" t="n"/>
      <c r="BY158" s="11" t="n"/>
      <c r="BZ158" s="12" t="n"/>
      <c r="CA158" s="11" t="n"/>
      <c r="CB158" s="11" t="n"/>
      <c r="CC158" s="11" t="n"/>
      <c r="CD158" s="11" t="n"/>
      <c r="CE158" s="12" t="n"/>
      <c r="CF158" s="11" t="n"/>
      <c r="CG158" s="11" t="n"/>
      <c r="CH158" s="11" t="n"/>
      <c r="CI158" s="11" t="n"/>
      <c r="CJ158" s="12" t="n"/>
      <c r="CK158" s="11" t="n"/>
      <c r="CL158" s="11" t="n"/>
      <c r="CM158" s="11" t="n"/>
      <c r="CN158" s="11" t="n"/>
      <c r="CO158" s="12" t="n"/>
      <c r="CP158" s="11" t="n"/>
      <c r="CQ158" s="11" t="n"/>
      <c r="CR158" s="11" t="n"/>
      <c r="CS158" s="11" t="n"/>
      <c r="CT158" s="12" t="n"/>
      <c r="CU158" s="11" t="n"/>
      <c r="CV158" s="11" t="n"/>
      <c r="CW158" s="11" t="n"/>
      <c r="CX158" s="11" t="n"/>
      <c r="CY158" s="12" t="n"/>
    </row>
    <row r="159" hidden="1" outlineLevel="1">
      <c r="C159" s="57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</row>
    <row r="160" collapsed="1">
      <c r="C160" s="14" t="inlineStr">
        <is>
          <t>PP&amp;E</t>
        </is>
      </c>
      <c r="D160" s="46" t="n"/>
      <c r="E160" s="46" t="n"/>
      <c r="F160" s="46" t="n"/>
      <c r="G160" s="46" t="n"/>
      <c r="H160" s="12" t="n"/>
      <c r="I160" s="46">
        <f>'Inputs (2)'!D22</f>
        <v>37815</v>
      </c>
      <c r="J160" s="46">
        <f>'Inputs (2)'!E22</f>
        <v>38615</v>
      </c>
      <c r="K160" s="46">
        <f>'Inputs (2)'!F22</f>
        <v>39440</v>
      </c>
      <c r="L160" s="46">
        <f>'Inputs (2)'!G22</f>
        <v>39245</v>
      </c>
      <c r="M160" s="12">
        <f>'Inputs (2)'!H22</f>
        <v>39245</v>
      </c>
      <c r="N160" s="46">
        <f>'Inputs (2)'!I22</f>
        <v>39304</v>
      </c>
      <c r="O160" s="46">
        <f>'Inputs (2)'!J22</f>
        <v>40335</v>
      </c>
      <c r="P160" s="46">
        <f>'Inputs (2)'!K22</f>
        <v>42117</v>
      </c>
      <c r="Q160" s="46">
        <f>'Inputs (2)'!L22</f>
        <v>42951</v>
      </c>
      <c r="R160" s="12">
        <f>'Inputs (2)'!M22</f>
        <v>42951</v>
      </c>
      <c r="S160" s="46">
        <f>'Inputs (2)'!N22</f>
        <v>43398</v>
      </c>
      <c r="T160" s="46">
        <f>'Inputs (2)'!O22</f>
        <v>43550</v>
      </c>
      <c r="U160" s="46">
        <f>'Inputs (2)'!P22</f>
        <v>43715</v>
      </c>
      <c r="V160" s="46">
        <f>'Inputs (2)'!Q22</f>
        <v>43666</v>
      </c>
      <c r="W160" s="12">
        <f>'Inputs (2)'!R22</f>
        <v>43666</v>
      </c>
      <c r="X160" s="46">
        <f>'Inputs (2)'!S22</f>
        <v>43546</v>
      </c>
      <c r="Y160" s="46">
        <f>'Inputs (2)'!T22</f>
        <v>44502</v>
      </c>
      <c r="Z160" s="46">
        <f>'Inputs (2)'!U22</f>
        <v>45680</v>
      </c>
      <c r="AA160" s="46">
        <f>'Inputs (2)'!V22</f>
        <v>46069</v>
      </c>
      <c r="AB160" s="12">
        <f>'Inputs (2)'!W22</f>
        <v>46069</v>
      </c>
      <c r="AC160" s="46">
        <f>'Inputs (2)'!X22</f>
        <v>46876</v>
      </c>
      <c r="AD160" s="46">
        <f>'Inputs (2)'!Y22</f>
        <v>48508</v>
      </c>
      <c r="AE160" s="46">
        <f>'Inputs (2)'!Z22</f>
        <v>49834</v>
      </c>
      <c r="AF160" s="46">
        <f>'Inputs (2)'!AA22</f>
        <v>50159</v>
      </c>
      <c r="AG160" s="12">
        <f>'Inputs (2)'!AB22</f>
        <v>50159</v>
      </c>
      <c r="AH160" s="12">
        <f>'Inputs (2)'!AC22</f>
        <v>50116</v>
      </c>
      <c r="AI160" s="12">
        <f>'Inputs (2)'!AD22</f>
        <v>51431</v>
      </c>
      <c r="AJ160" s="12">
        <f>AJ165</f>
        <v>52326.3139869304</v>
      </c>
      <c r="AK160" s="12">
        <f>AK165</f>
        <v>53582.406324927</v>
      </c>
      <c r="AL160" s="12">
        <f>AK160</f>
        <v>53582.406324927</v>
      </c>
      <c r="AM160" s="12">
        <f>AM165</f>
        <v>54553.895309789</v>
      </c>
      <c r="AN160" s="12">
        <f>AN165</f>
        <v>55509.9448336112</v>
      </c>
      <c r="AO160" s="12">
        <f>AO165</f>
        <v>56511.5719673009</v>
      </c>
      <c r="AP160" s="12">
        <f>AP165</f>
        <v>57916.8177096027</v>
      </c>
      <c r="AQ160" s="12">
        <f>AP160</f>
        <v>57916.8177096027</v>
      </c>
      <c r="AR160" s="12">
        <f>AR165</f>
        <v>58998.8077187817</v>
      </c>
      <c r="AS160" s="12">
        <f>AS165</f>
        <v>60063.6021211628</v>
      </c>
      <c r="AT160" s="12">
        <f>AT165</f>
        <v>61179.1583121873</v>
      </c>
      <c r="AU160" s="12">
        <f>AU165</f>
        <v>62744.2422990407</v>
      </c>
      <c r="AV160" s="12">
        <f>AU160</f>
        <v>62744.2422990407</v>
      </c>
      <c r="AW160" s="12">
        <f>AW165</f>
        <v>63943.8922088651</v>
      </c>
      <c r="AX160" s="12">
        <f>AX165</f>
        <v>65124.4765931582</v>
      </c>
      <c r="AY160" s="12">
        <f>AY165</f>
        <v>66361.3428050579</v>
      </c>
      <c r="AZ160" s="12">
        <f>AZ165</f>
        <v>68096.6202547275</v>
      </c>
      <c r="BA160" s="12">
        <f>AZ160</f>
        <v>68096.6202547275</v>
      </c>
      <c r="BB160" s="12">
        <f>BB165</f>
        <v>69420.7266216096</v>
      </c>
      <c r="BC160" s="12">
        <f>BC165</f>
        <v>70723.7895294484</v>
      </c>
      <c r="BD160" s="12">
        <f>BD165</f>
        <v>72088.973165729</v>
      </c>
      <c r="BE160" s="12">
        <f>BE165</f>
        <v>74004.2752055975</v>
      </c>
      <c r="BF160" s="12">
        <f>BE160</f>
        <v>74004.2752055975</v>
      </c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</row>
    <row r="161" hidden="1" outlineLevel="1">
      <c r="C161" s="57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  <c r="AP161" s="12" t="n"/>
      <c r="AQ161" s="12" t="n"/>
      <c r="AR161" s="12" t="n"/>
      <c r="AS161" s="12" t="n"/>
      <c r="AT161" s="12" t="n"/>
      <c r="AU161" s="12" t="n"/>
      <c r="AV161" s="12" t="n"/>
      <c r="AW161" s="12" t="n"/>
      <c r="AX161" s="12" t="n"/>
      <c r="AY161" s="12" t="n"/>
      <c r="AZ161" s="12" t="n"/>
      <c r="BA161" s="12" t="n"/>
      <c r="BB161" s="12" t="n"/>
      <c r="BC161" s="12" t="n"/>
      <c r="BD161" s="12" t="n"/>
      <c r="BE161" s="12" t="n"/>
      <c r="BF161" s="12" t="n"/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2" t="n"/>
      <c r="CY161" s="12" t="n"/>
    </row>
    <row r="162" hidden="1" outlineLevel="1">
      <c r="C162" s="57" t="inlineStr">
        <is>
          <t>Capital expenditures</t>
        </is>
      </c>
      <c r="D162" s="12" t="n"/>
      <c r="E162" s="12" t="n"/>
      <c r="F162" s="12" t="n"/>
      <c r="G162" s="12" t="n"/>
      <c r="H162" s="12" t="n"/>
      <c r="I162" s="12" t="n"/>
      <c r="J162" s="12">
        <f>J160-I160-J64</f>
        <v>3632</v>
      </c>
      <c r="K162" s="12">
        <f>K160-J160-K64</f>
        <v>3814</v>
      </c>
      <c r="L162" s="12">
        <f>L160-K160-L64</f>
        <v>2502</v>
      </c>
      <c r="M162" s="12" t="n"/>
      <c r="N162" s="12">
        <f>N160-M160-N64</f>
        <v>2796</v>
      </c>
      <c r="O162" s="12">
        <f>O160-N160-O64</f>
        <v>3836</v>
      </c>
      <c r="P162" s="12">
        <f>P160-O160-P64</f>
        <v>4647</v>
      </c>
      <c r="Q162" s="12">
        <f>Q160-P160-Q64</f>
        <v>3750</v>
      </c>
      <c r="R162" s="12" t="n"/>
      <c r="S162" s="12">
        <f>S160-R160-S64</f>
        <v>3345</v>
      </c>
      <c r="T162" s="12">
        <f>T160-S160-T64</f>
        <v>3204</v>
      </c>
      <c r="U162" s="12">
        <f>U160-T160-U64</f>
        <v>2818</v>
      </c>
      <c r="V162" s="12">
        <f>V160-U160-V64</f>
        <v>2799</v>
      </c>
      <c r="W162" s="12" t="n"/>
      <c r="X162" s="12">
        <f>X160-W160-X64</f>
        <v>2716</v>
      </c>
      <c r="Y162" s="12">
        <f>Y160-X160-Y64</f>
        <v>3806</v>
      </c>
      <c r="Z162" s="12">
        <f>Z160-Y160-Z64</f>
        <v>4089</v>
      </c>
      <c r="AA162" s="12">
        <f>AA160-Z160-AA64</f>
        <v>3469</v>
      </c>
      <c r="AB162" s="12" t="n"/>
      <c r="AC162" s="12">
        <f>AC160-AB160-AC64</f>
        <v>3468</v>
      </c>
      <c r="AD162" s="12">
        <f>AD160-AC160-AD64</f>
        <v>4462</v>
      </c>
      <c r="AE162" s="12">
        <f>AE160-AD160-AE64</f>
        <v>4453</v>
      </c>
      <c r="AF162" s="11">
        <f>AF160-AE160-AF64</f>
        <v>3539</v>
      </c>
      <c r="AG162" s="12">
        <f>SUM(AC162:AF162)</f>
        <v>15922</v>
      </c>
      <c r="AH162" s="11">
        <f>AH160-AG160-AH64</f>
        <v>3396</v>
      </c>
      <c r="AI162" s="11">
        <f>AI160-AH160-AI64</f>
        <v>4635</v>
      </c>
      <c r="AJ162" s="11">
        <f>AJ15*Control!$B$24</f>
        <v>4184.29475569176</v>
      </c>
      <c r="AK162" s="11">
        <f>AK15*Control!$B$24</f>
        <v>5870.41044736034</v>
      </c>
      <c r="AL162" s="12" t="n"/>
      <c r="AM162" s="11">
        <f>AM15*Control!$C$24</f>
        <v>4540.30242340711</v>
      </c>
      <c r="AN162" s="11">
        <f>AN15*Control!$C$24</f>
        <v>4468.14532902158</v>
      </c>
      <c r="AO162" s="11">
        <f>AO15*Control!$C$24</f>
        <v>4681.15457128698</v>
      </c>
      <c r="AP162" s="11">
        <f>AP15*Control!$C$24</f>
        <v>6567.48635205757</v>
      </c>
      <c r="AQ162" s="12" t="n"/>
      <c r="AR162" s="11">
        <f>AR15*Control!$D$24</f>
        <v>5056.73449449952</v>
      </c>
      <c r="AS162" s="11">
        <f>AS15*Control!$D$24</f>
        <v>4976.36996496487</v>
      </c>
      <c r="AT162" s="11">
        <f>AT15*Control!$D$24</f>
        <v>5213.60772636543</v>
      </c>
      <c r="AU162" s="11">
        <f>AU15*Control!$D$24</f>
        <v>7314.4983927487</v>
      </c>
      <c r="AV162" s="12" t="n"/>
      <c r="AW162" s="11">
        <f>AW15*Control!$E$24</f>
        <v>5606.62393263209</v>
      </c>
      <c r="AX162" s="11">
        <f>AX15*Control!$E$24</f>
        <v>5517.52024425102</v>
      </c>
      <c r="AY162" s="11">
        <f>AY15*Control!$E$24</f>
        <v>5780.55618419196</v>
      </c>
      <c r="AZ162" s="11">
        <f>AZ15*Control!$E$24</f>
        <v>8109.9060645941</v>
      </c>
      <c r="BA162" s="12" t="n"/>
      <c r="BB162" s="11">
        <f>BB15*Control!$F$24</f>
        <v>6188.27741753345</v>
      </c>
      <c r="BC162" s="11">
        <f>BC15*Control!$F$24</f>
        <v>6089.92975782718</v>
      </c>
      <c r="BD162" s="11">
        <f>BD15*Control!$F$24</f>
        <v>6380.25409323736</v>
      </c>
      <c r="BE162" s="11">
        <f>BE15*Control!$F$24</f>
        <v>8951.26000260993</v>
      </c>
      <c r="BF162" s="12" t="n"/>
      <c r="BG162" s="11" t="n"/>
      <c r="BH162" s="11" t="n"/>
      <c r="BI162" s="11" t="n"/>
      <c r="BJ162" s="11" t="n"/>
      <c r="BK162" s="12" t="n"/>
      <c r="BL162" s="11" t="n"/>
      <c r="BM162" s="11" t="n"/>
      <c r="BN162" s="11" t="n"/>
      <c r="BO162" s="11" t="n"/>
      <c r="BP162" s="12" t="n"/>
      <c r="BQ162" s="11" t="n"/>
      <c r="BR162" s="11" t="n"/>
      <c r="BS162" s="11" t="n"/>
      <c r="BT162" s="11" t="n"/>
      <c r="BU162" s="12" t="n"/>
      <c r="BV162" s="11" t="n"/>
      <c r="BW162" s="11" t="n"/>
      <c r="BX162" s="11" t="n"/>
      <c r="BY162" s="11" t="n"/>
      <c r="BZ162" s="12" t="n"/>
      <c r="CA162" s="11" t="n"/>
      <c r="CB162" s="11" t="n"/>
      <c r="CC162" s="11" t="n"/>
      <c r="CD162" s="11" t="n"/>
      <c r="CE162" s="12" t="n"/>
      <c r="CF162" s="11" t="n"/>
      <c r="CG162" s="11" t="n"/>
      <c r="CH162" s="11" t="n"/>
      <c r="CI162" s="11" t="n"/>
      <c r="CJ162" s="12" t="n"/>
      <c r="CK162" s="11" t="n"/>
      <c r="CL162" s="11" t="n"/>
      <c r="CM162" s="11" t="n"/>
      <c r="CN162" s="11" t="n"/>
      <c r="CO162" s="12" t="n"/>
      <c r="CP162" s="11" t="n"/>
      <c r="CQ162" s="11" t="n"/>
      <c r="CR162" s="11" t="n"/>
      <c r="CS162" s="11" t="n"/>
      <c r="CT162" s="12" t="n"/>
      <c r="CU162" s="11" t="n"/>
      <c r="CV162" s="11" t="n"/>
      <c r="CW162" s="11" t="n"/>
      <c r="CX162" s="11" t="n"/>
      <c r="CY162" s="12" t="n"/>
    </row>
    <row r="163" hidden="1" outlineLevel="1">
      <c r="C163" s="57" t="inlineStr">
        <is>
          <t>Recurring asset sales (enter as -)</t>
        </is>
      </c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>
        <f>SUM(I163:L163)</f>
        <v>0</v>
      </c>
      <c r="N163" s="12" t="n"/>
      <c r="O163" s="12" t="n"/>
      <c r="P163" s="12" t="n"/>
      <c r="Q163" s="12" t="n"/>
      <c r="R163" s="12">
        <f>SUM(N163:Q163)</f>
        <v>0</v>
      </c>
      <c r="S163" s="12" t="n"/>
      <c r="T163" s="12" t="n"/>
      <c r="U163" s="12" t="n"/>
      <c r="V163" s="12" t="n"/>
      <c r="W163" s="12">
        <f>SUM(S163:V163)</f>
        <v>0</v>
      </c>
      <c r="X163" s="12" t="n"/>
      <c r="Y163" s="12" t="n"/>
      <c r="Z163" s="12" t="n"/>
      <c r="AA163" s="12" t="n"/>
      <c r="AB163" s="12">
        <f>SUM(X163:AA163)</f>
        <v>0</v>
      </c>
      <c r="AC163" s="12" t="n"/>
      <c r="AD163" s="12" t="n"/>
      <c r="AE163" s="12" t="n"/>
      <c r="AF163" s="11" t="n"/>
      <c r="AG163" s="12">
        <f>SUM(AC163:AF163)</f>
        <v>0</v>
      </c>
      <c r="AH163" s="11" t="n"/>
      <c r="AI163" s="11" t="n"/>
      <c r="AJ163" s="11">
        <f>0</f>
        <v>0</v>
      </c>
      <c r="AK163" s="11">
        <f>0</f>
        <v>0</v>
      </c>
      <c r="AL163" s="12" t="n"/>
      <c r="AM163" s="11">
        <f>0</f>
        <v>0</v>
      </c>
      <c r="AN163" s="11">
        <f>0</f>
        <v>0</v>
      </c>
      <c r="AO163" s="11">
        <f>0</f>
        <v>0</v>
      </c>
      <c r="AP163" s="11">
        <f>0</f>
        <v>0</v>
      </c>
      <c r="AQ163" s="12" t="n"/>
      <c r="AR163" s="11">
        <f>0</f>
        <v>0</v>
      </c>
      <c r="AS163" s="11">
        <f>0</f>
        <v>0</v>
      </c>
      <c r="AT163" s="11">
        <f>0</f>
        <v>0</v>
      </c>
      <c r="AU163" s="11">
        <f>0</f>
        <v>0</v>
      </c>
      <c r="AV163" s="12" t="n"/>
      <c r="AW163" s="11">
        <f>0</f>
        <v>0</v>
      </c>
      <c r="AX163" s="11">
        <f>0</f>
        <v>0</v>
      </c>
      <c r="AY163" s="11">
        <f>0</f>
        <v>0</v>
      </c>
      <c r="AZ163" s="11">
        <f>0</f>
        <v>0</v>
      </c>
      <c r="BA163" s="12" t="n"/>
      <c r="BB163" s="11">
        <f>0</f>
        <v>0</v>
      </c>
      <c r="BC163" s="11">
        <f>0</f>
        <v>0</v>
      </c>
      <c r="BD163" s="11">
        <f>0</f>
        <v>0</v>
      </c>
      <c r="BE163" s="11">
        <f>0</f>
        <v>0</v>
      </c>
      <c r="BF163" s="12" t="n"/>
      <c r="BG163" s="11" t="n"/>
      <c r="BH163" s="11" t="n"/>
      <c r="BI163" s="11" t="n"/>
      <c r="BJ163" s="11" t="n"/>
      <c r="BK163" s="12" t="n"/>
      <c r="BL163" s="11" t="n"/>
      <c r="BM163" s="11" t="n"/>
      <c r="BN163" s="11" t="n"/>
      <c r="BO163" s="11" t="n"/>
      <c r="BP163" s="12" t="n"/>
      <c r="BQ163" s="11" t="n"/>
      <c r="BR163" s="11" t="n"/>
      <c r="BS163" s="11" t="n"/>
      <c r="BT163" s="11" t="n"/>
      <c r="BU163" s="12" t="n"/>
      <c r="BV163" s="11" t="n"/>
      <c r="BW163" s="11" t="n"/>
      <c r="BX163" s="11" t="n"/>
      <c r="BY163" s="11" t="n"/>
      <c r="BZ163" s="12" t="n"/>
      <c r="CA163" s="11" t="n"/>
      <c r="CB163" s="11" t="n"/>
      <c r="CC163" s="11" t="n"/>
      <c r="CD163" s="11" t="n"/>
      <c r="CE163" s="12" t="n"/>
      <c r="CF163" s="11" t="n"/>
      <c r="CG163" s="11" t="n"/>
      <c r="CH163" s="11" t="n"/>
      <c r="CI163" s="11" t="n"/>
      <c r="CJ163" s="12" t="n"/>
      <c r="CK163" s="11" t="n"/>
      <c r="CL163" s="11" t="n"/>
      <c r="CM163" s="11" t="n"/>
      <c r="CN163" s="11" t="n"/>
      <c r="CO163" s="12" t="n"/>
      <c r="CP163" s="11" t="n"/>
      <c r="CQ163" s="11" t="n"/>
      <c r="CR163" s="11" t="n"/>
      <c r="CS163" s="11" t="n"/>
      <c r="CT163" s="12" t="n"/>
      <c r="CU163" s="11" t="n"/>
      <c r="CV163" s="11" t="n"/>
      <c r="CW163" s="11" t="n"/>
      <c r="CX163" s="11" t="n"/>
      <c r="CY163" s="12" t="n"/>
    </row>
    <row r="164" hidden="1" outlineLevel="1">
      <c r="C164" s="57" t="inlineStr">
        <is>
          <t>Depreciation</t>
        </is>
      </c>
      <c r="D164" s="12" t="n"/>
      <c r="E164" s="12" t="n"/>
      <c r="F164" s="12" t="n"/>
      <c r="G164" s="12" t="n"/>
      <c r="H164" s="12" t="n"/>
      <c r="I164" s="12">
        <f>I64</f>
        <v>351</v>
      </c>
      <c r="J164" s="12">
        <f>J64</f>
        <v>-2832</v>
      </c>
      <c r="K164" s="12">
        <f>K64</f>
        <v>-2989</v>
      </c>
      <c r="L164" s="12">
        <f>L64</f>
        <v>-2697</v>
      </c>
      <c r="M164" s="12" t="n"/>
      <c r="N164" s="12">
        <f>N64</f>
        <v>-2737</v>
      </c>
      <c r="O164" s="12">
        <f>O64</f>
        <v>-2805</v>
      </c>
      <c r="P164" s="12">
        <f>P64</f>
        <v>-2865</v>
      </c>
      <c r="Q164" s="12">
        <f>Q64</f>
        <v>-2916</v>
      </c>
      <c r="R164" s="12" t="n"/>
      <c r="S164" s="12">
        <f>S64</f>
        <v>-2898</v>
      </c>
      <c r="T164" s="12">
        <f>T64</f>
        <v>-3052</v>
      </c>
      <c r="U164" s="12">
        <f>U64</f>
        <v>-2653</v>
      </c>
      <c r="V164" s="12">
        <f>V64</f>
        <v>-2848</v>
      </c>
      <c r="W164" s="12" t="n"/>
      <c r="X164" s="12">
        <f>X64</f>
        <v>-2836</v>
      </c>
      <c r="Y164" s="12">
        <f>Y64</f>
        <v>-2850</v>
      </c>
      <c r="Z164" s="12">
        <f>Z64</f>
        <v>-2911</v>
      </c>
      <c r="AA164" s="12">
        <f>AA64</f>
        <v>-3080</v>
      </c>
      <c r="AB164" s="12" t="n"/>
      <c r="AC164" s="12">
        <f>AC64</f>
        <v>-2661</v>
      </c>
      <c r="AD164" s="12">
        <f>AD64</f>
        <v>-2830</v>
      </c>
      <c r="AE164" s="12">
        <f>AE64</f>
        <v>-3127</v>
      </c>
      <c r="AF164" s="12">
        <f>AF64</f>
        <v>-3214</v>
      </c>
      <c r="AG164" s="12" t="n"/>
      <c r="AH164" s="12">
        <f>AH64</f>
        <v>-3439</v>
      </c>
      <c r="AI164" s="12">
        <f>AI64</f>
        <v>-3320</v>
      </c>
      <c r="AJ164" s="12">
        <f>AJ64</f>
        <v>-3288.98076876138</v>
      </c>
      <c r="AK164" s="12">
        <f>AK64</f>
        <v>-4614.3181093637</v>
      </c>
      <c r="AL164" s="12" t="n"/>
      <c r="AM164" s="12">
        <f>AM64</f>
        <v>-3568.81343854513</v>
      </c>
      <c r="AN164" s="12">
        <f>AN64</f>
        <v>-3512.09580519942</v>
      </c>
      <c r="AO164" s="12">
        <f>AO64</f>
        <v>-3679.52743759729</v>
      </c>
      <c r="AP164" s="12">
        <f>AP64</f>
        <v>-5162.24060975579</v>
      </c>
      <c r="AQ164" s="12" t="n"/>
      <c r="AR164" s="12">
        <f>AR64</f>
        <v>-3974.74448532047</v>
      </c>
      <c r="AS164" s="12">
        <f>AS64</f>
        <v>-3911.57556258374</v>
      </c>
      <c r="AT164" s="12">
        <f>AT64</f>
        <v>-4098.05153534093</v>
      </c>
      <c r="AU164" s="12">
        <f>AU64</f>
        <v>-5749.41440589533</v>
      </c>
      <c r="AV164" s="12" t="n"/>
      <c r="AW164" s="12">
        <f>AW64</f>
        <v>-4406.97402280773</v>
      </c>
      <c r="AX164" s="12">
        <f>AX64</f>
        <v>-4336.93585995785</v>
      </c>
      <c r="AY164" s="12">
        <f>AY64</f>
        <v>-4543.68997229232</v>
      </c>
      <c r="AZ164" s="12">
        <f>AZ64</f>
        <v>-6374.62861492451</v>
      </c>
      <c r="BA164" s="12" t="n"/>
      <c r="BB164" s="12">
        <f>BB64</f>
        <v>-4864.17105065128</v>
      </c>
      <c r="BC164" s="12">
        <f>BC64</f>
        <v>-4786.86684998841</v>
      </c>
      <c r="BD164" s="12">
        <f>BD64</f>
        <v>-5015.07045695673</v>
      </c>
      <c r="BE164" s="12">
        <f>BE64</f>
        <v>-7035.95796274151</v>
      </c>
      <c r="BF164" s="12" t="n"/>
      <c r="BG164" s="12" t="n"/>
      <c r="BH164" s="12" t="n"/>
      <c r="BI164" s="12" t="n"/>
      <c r="BJ164" s="12" t="n"/>
      <c r="BK164" s="12" t="n"/>
      <c r="BL164" s="12" t="n"/>
      <c r="BM164" s="12" t="n"/>
      <c r="BN164" s="12" t="n"/>
      <c r="BO164" s="12" t="n"/>
      <c r="BP164" s="12" t="n"/>
      <c r="BQ164" s="12" t="n"/>
      <c r="BR164" s="12" t="n"/>
      <c r="BS164" s="12" t="n"/>
      <c r="BT164" s="12" t="n"/>
      <c r="BU164" s="12" t="n"/>
      <c r="BV164" s="12" t="n"/>
      <c r="BW164" s="12" t="n"/>
      <c r="BX164" s="12" t="n"/>
      <c r="BY164" s="12" t="n"/>
      <c r="BZ164" s="12" t="n"/>
      <c r="CA164" s="12" t="n"/>
      <c r="CB164" s="12" t="n"/>
      <c r="CC164" s="12" t="n"/>
      <c r="CD164" s="12" t="n"/>
      <c r="CE164" s="12" t="n"/>
      <c r="CF164" s="12" t="n"/>
      <c r="CG164" s="12" t="n"/>
      <c r="CH164" s="12" t="n"/>
      <c r="CI164" s="12" t="n"/>
      <c r="CJ164" s="12" t="n"/>
      <c r="CK164" s="12" t="n"/>
      <c r="CL164" s="12" t="n"/>
      <c r="CM164" s="12" t="n"/>
      <c r="CN164" s="12" t="n"/>
      <c r="CO164" s="12" t="n"/>
      <c r="CP164" s="12" t="n"/>
      <c r="CQ164" s="12" t="n"/>
      <c r="CR164" s="12" t="n"/>
      <c r="CS164" s="12" t="n"/>
      <c r="CT164" s="12" t="n"/>
      <c r="CU164" s="12" t="n"/>
      <c r="CV164" s="12" t="n"/>
      <c r="CW164" s="12" t="n"/>
      <c r="CX164" s="12" t="n"/>
      <c r="CY164" s="12" t="n"/>
    </row>
    <row r="165" hidden="1" outlineLevel="1">
      <c r="C165" s="57" t="inlineStr">
        <is>
          <t>PP&amp;E</t>
        </is>
      </c>
      <c r="D165" s="12" t="n"/>
      <c r="E165" s="12" t="n"/>
      <c r="F165" s="12" t="n"/>
      <c r="G165" s="12" t="n"/>
      <c r="H165" s="12" t="n"/>
      <c r="I165" s="12">
        <f>I160</f>
        <v>37815</v>
      </c>
      <c r="J165" s="12">
        <f>J160</f>
        <v>38615</v>
      </c>
      <c r="K165" s="12">
        <f>K160</f>
        <v>39440</v>
      </c>
      <c r="L165" s="12">
        <f>L160</f>
        <v>39245</v>
      </c>
      <c r="M165" s="12" t="n"/>
      <c r="N165" s="12">
        <f>N160</f>
        <v>39304</v>
      </c>
      <c r="O165" s="12">
        <f>O160</f>
        <v>40335</v>
      </c>
      <c r="P165" s="12">
        <f>P160</f>
        <v>42117</v>
      </c>
      <c r="Q165" s="12">
        <f>Q160</f>
        <v>42951</v>
      </c>
      <c r="R165" s="12" t="n"/>
      <c r="S165" s="12">
        <f>S160</f>
        <v>43398</v>
      </c>
      <c r="T165" s="12">
        <f>T160</f>
        <v>43550</v>
      </c>
      <c r="U165" s="12">
        <f>U160</f>
        <v>43715</v>
      </c>
      <c r="V165" s="12">
        <f>V160</f>
        <v>43666</v>
      </c>
      <c r="W165" s="12" t="n"/>
      <c r="X165" s="12">
        <f>X160</f>
        <v>43546</v>
      </c>
      <c r="Y165" s="12">
        <f>Y160</f>
        <v>44502</v>
      </c>
      <c r="Z165" s="12">
        <f>Z160</f>
        <v>45680</v>
      </c>
      <c r="AA165" s="12">
        <f>Y165+SUM(AA162:AA164)</f>
        <v>44891</v>
      </c>
      <c r="AB165" s="12" t="n"/>
      <c r="AC165" s="12">
        <f>AC160</f>
        <v>46876</v>
      </c>
      <c r="AD165" s="12">
        <f>AD160</f>
        <v>48508</v>
      </c>
      <c r="AE165" s="12">
        <f>AE160</f>
        <v>49834</v>
      </c>
      <c r="AF165" s="12">
        <f>AF160</f>
        <v>50159</v>
      </c>
      <c r="AG165" s="12" t="n"/>
      <c r="AH165" s="12">
        <f>AH160</f>
        <v>50116</v>
      </c>
      <c r="AI165" s="12">
        <f>AI160</f>
        <v>51431</v>
      </c>
      <c r="AJ165" s="12">
        <f>AI165+SUM(AJ162:AJ164)</f>
        <v>52326.3139869304</v>
      </c>
      <c r="AK165" s="12">
        <f>AJ165+SUM(AK162:AK164)</f>
        <v>53582.406324927</v>
      </c>
      <c r="AL165" s="12" t="n"/>
      <c r="AM165" s="12">
        <f>AK165+SUM(AM162:AM164)</f>
        <v>54553.895309789</v>
      </c>
      <c r="AN165" s="12">
        <f>AM165+SUM(AN162:AN164)</f>
        <v>55509.9448336112</v>
      </c>
      <c r="AO165" s="12">
        <f>AN165+SUM(AO162:AO164)</f>
        <v>56511.5719673009</v>
      </c>
      <c r="AP165" s="12">
        <f>AO165+SUM(AP162:AP164)</f>
        <v>57916.8177096027</v>
      </c>
      <c r="AQ165" s="12" t="n"/>
      <c r="AR165" s="12">
        <f>AP165+SUM(AR162:AR164)</f>
        <v>58998.8077187817</v>
      </c>
      <c r="AS165" s="12">
        <f>AR165+SUM(AS162:AS164)</f>
        <v>60063.6021211628</v>
      </c>
      <c r="AT165" s="12">
        <f>AS165+SUM(AT162:AT164)</f>
        <v>61179.1583121873</v>
      </c>
      <c r="AU165" s="12">
        <f>AT165+SUM(AU162:AU164)</f>
        <v>62744.2422990407</v>
      </c>
      <c r="AV165" s="12" t="n"/>
      <c r="AW165" s="12">
        <f>AU165+SUM(AW162:AW164)</f>
        <v>63943.8922088651</v>
      </c>
      <c r="AX165" s="12">
        <f>AW165+SUM(AX162:AX164)</f>
        <v>65124.4765931582</v>
      </c>
      <c r="AY165" s="12">
        <f>AX165+SUM(AY162:AY164)</f>
        <v>66361.3428050579</v>
      </c>
      <c r="AZ165" s="12">
        <f>AY165+SUM(AZ162:AZ164)</f>
        <v>68096.6202547275</v>
      </c>
      <c r="BA165" s="12" t="n"/>
      <c r="BB165" s="12">
        <f>AZ165+SUM(BB162:BB164)</f>
        <v>69420.7266216096</v>
      </c>
      <c r="BC165" s="12">
        <f>BB165+SUM(BC162:BC164)</f>
        <v>70723.7895294484</v>
      </c>
      <c r="BD165" s="12">
        <f>BC165+SUM(BD162:BD164)</f>
        <v>72088.973165729</v>
      </c>
      <c r="BE165" s="12">
        <f>BD165+SUM(BE162:BE164)</f>
        <v>74004.2752055975</v>
      </c>
      <c r="BF165" s="12" t="n"/>
      <c r="BG165" s="12" t="n"/>
      <c r="BH165" s="12" t="n"/>
      <c r="BI165" s="12" t="n"/>
      <c r="BJ165" s="12" t="n"/>
      <c r="BK165" s="12" t="n"/>
      <c r="BL165" s="12" t="n"/>
      <c r="BM165" s="12" t="n"/>
      <c r="BN165" s="12" t="n"/>
      <c r="BO165" s="12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  <c r="CA165" s="12" t="n"/>
      <c r="CB165" s="12" t="n"/>
      <c r="CC165" s="12" t="n"/>
      <c r="CD165" s="12" t="n"/>
      <c r="CE165" s="12" t="n"/>
      <c r="CF165" s="12" t="n"/>
      <c r="CG165" s="12" t="n"/>
      <c r="CH165" s="12" t="n"/>
      <c r="CI165" s="12" t="n"/>
      <c r="CJ165" s="12" t="n"/>
      <c r="CK165" s="12" t="n"/>
      <c r="CL165" s="12" t="n"/>
      <c r="CM165" s="12" t="n"/>
      <c r="CN165" s="12" t="n"/>
      <c r="CO165" s="12" t="n"/>
      <c r="CP165" s="12" t="n"/>
      <c r="CQ165" s="12" t="n"/>
      <c r="CR165" s="12" t="n"/>
      <c r="CS165" s="12" t="n"/>
      <c r="CT165" s="12" t="n"/>
      <c r="CU165" s="12" t="n"/>
      <c r="CV165" s="12" t="n"/>
      <c r="CW165" s="12" t="n"/>
      <c r="CX165" s="12" t="n"/>
      <c r="CY165" s="12" t="n"/>
    </row>
    <row r="166" hidden="1" outlineLevel="1">
      <c r="C166" s="57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>
        <f>IF(AJ15=0,"",AJ162/AJ15)</f>
        <v>0.036501589410836</v>
      </c>
      <c r="AK166" s="12">
        <f>IF(AK15=0,"",AK162/AK15)</f>
        <v>0.036501589410836</v>
      </c>
      <c r="AL166" s="12" t="n"/>
      <c r="AM166" s="12">
        <f>IF(AM15=0,"",AM162/AM15)</f>
        <v>0.036501589410836</v>
      </c>
      <c r="AN166" s="12">
        <f>IF(AN15=0,"",AN162/AN15)</f>
        <v>0.036501589410836</v>
      </c>
      <c r="AO166" s="12">
        <f>IF(AO15=0,"",AO162/AO15)</f>
        <v>0.036501589410836</v>
      </c>
      <c r="AP166" s="12">
        <f>IF(AP15=0,"",AP162/AP15)</f>
        <v>0.036501589410836</v>
      </c>
      <c r="AQ166" s="12" t="n"/>
      <c r="AR166" s="12">
        <f>IF(AR15=0,"",AR162/AR15)</f>
        <v>0.036501589410836</v>
      </c>
      <c r="AS166" s="12">
        <f>IF(AS15=0,"",AS162/AS15)</f>
        <v>0.036501589410836</v>
      </c>
      <c r="AT166" s="12">
        <f>IF(AT15=0,"",AT162/AT15)</f>
        <v>0.036501589410836</v>
      </c>
      <c r="AU166" s="12">
        <f>IF(AU15=0,"",AU162/AU15)</f>
        <v>0.036501589410836</v>
      </c>
      <c r="AV166" s="12" t="n"/>
      <c r="AW166" s="12">
        <f>IF(AW15=0,"",AW162/AW15)</f>
        <v>0.036501589410836</v>
      </c>
      <c r="AX166" s="12">
        <f>IF(AX15=0,"",AX162/AX15)</f>
        <v>0.036501589410836</v>
      </c>
      <c r="AY166" s="12">
        <f>IF(AY15=0,"",AY162/AY15)</f>
        <v>0.036501589410836</v>
      </c>
      <c r="AZ166" s="12">
        <f>IF(AZ15=0,"",AZ162/AZ15)</f>
        <v>0.036501589410836</v>
      </c>
      <c r="BA166" s="12" t="n"/>
      <c r="BB166" s="12">
        <f>IF(BB15=0,"",BB162/BB15)</f>
        <v>0.036501589410836</v>
      </c>
      <c r="BC166" s="12">
        <f>IF(BC15=0,"",BC162/BC15)</f>
        <v>0.036501589410836</v>
      </c>
      <c r="BD166" s="12">
        <f>IF(BD15=0,"",BD162/BD15)</f>
        <v>0.036501589410836</v>
      </c>
      <c r="BE166" s="12">
        <f>IF(BE15=0,"",BE162/BE15)</f>
        <v>0.036501589410836</v>
      </c>
      <c r="BF166" s="12" t="n"/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2" t="n"/>
      <c r="CY166" s="12" t="n"/>
    </row>
    <row r="167" hidden="1" outlineLevel="1">
      <c r="C167" s="57" t="inlineStr">
        <is>
          <t>Capital expenditures (% Net Revenues)</t>
        </is>
      </c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58">
        <f>IFERROR(AF162/AF15,"")</f>
        <v>0.0246181028965748</v>
      </c>
      <c r="AG167" s="58">
        <f>IFERROR(AG162/AG15,"")</f>
        <v>0.0365504560198523</v>
      </c>
      <c r="AH167" s="58">
        <f>IFERROR(AH162/AH15,"")</f>
        <v>0.0305439631601669</v>
      </c>
      <c r="AI167" s="58">
        <f>IFERROR(AI162/AI15,"")</f>
        <v>0.0423608762806511</v>
      </c>
      <c r="AJ167" s="58">
        <f>IFERROR(AJ162/AJ15,"")</f>
        <v>0.036501589410836</v>
      </c>
      <c r="AK167" s="58">
        <f>IFERROR(AK162/AK15,"")</f>
        <v>0.036501589410836</v>
      </c>
      <c r="AL167" s="58">
        <f>IFERROR(AL162/AL15,"")</f>
        <v>0</v>
      </c>
      <c r="AM167" s="58">
        <f>IFERROR(AM162/AM15,"")</f>
        <v>0.036501589410836</v>
      </c>
      <c r="AN167" s="58">
        <f>IFERROR(AN162/AN15,"")</f>
        <v>0.036501589410836</v>
      </c>
      <c r="AO167" s="58">
        <f>IFERROR(AO162/AO15,"")</f>
        <v>0.036501589410836</v>
      </c>
      <c r="AP167" s="58">
        <f>IFERROR(AP162/AP15,"")</f>
        <v>0.036501589410836</v>
      </c>
      <c r="AQ167" s="58">
        <f>IFERROR(AQ162/AQ15,"")</f>
        <v>0</v>
      </c>
      <c r="AR167" s="58">
        <f>IFERROR(AR162/AR15,"")</f>
        <v>0.036501589410836</v>
      </c>
      <c r="AS167" s="58">
        <f>IFERROR(AS162/AS15,"")</f>
        <v>0.036501589410836</v>
      </c>
      <c r="AT167" s="58">
        <f>IFERROR(AT162/AT15,"")</f>
        <v>0.036501589410836</v>
      </c>
      <c r="AU167" s="58">
        <f>IFERROR(AU162/AU15,"")</f>
        <v>0.036501589410836</v>
      </c>
      <c r="AV167" s="58">
        <f>IFERROR(AV162/AV15,"")</f>
        <v>0</v>
      </c>
      <c r="AW167" s="58">
        <f>IFERROR(AW162/AW15,"")</f>
        <v>0.036501589410836</v>
      </c>
      <c r="AX167" s="58">
        <f>IFERROR(AX162/AX15,"")</f>
        <v>0.036501589410836</v>
      </c>
      <c r="AY167" s="58">
        <f>IFERROR(AY162/AY15,"")</f>
        <v>0.036501589410836</v>
      </c>
      <c r="AZ167" s="58">
        <f>IFERROR(AZ162/AZ15,"")</f>
        <v>0.036501589410836</v>
      </c>
      <c r="BA167" s="58">
        <f>IFERROR(BA162/BA15,"")</f>
        <v>0</v>
      </c>
      <c r="BB167" s="58">
        <f>IFERROR(BB162/BB15,"")</f>
        <v>0.036501589410836</v>
      </c>
      <c r="BC167" s="58">
        <f>IFERROR(BC162/BC15,"")</f>
        <v>0.036501589410836</v>
      </c>
      <c r="BD167" s="58">
        <f>IFERROR(BD162/BD15,"")</f>
        <v>0.036501589410836</v>
      </c>
      <c r="BE167" s="58">
        <f>IFERROR(BE162/BE15,"")</f>
        <v>0.036501589410836</v>
      </c>
      <c r="BF167" s="58">
        <f>IFERROR(BF162/BF15,"")</f>
        <v>0</v>
      </c>
      <c r="BG167" s="58" t="n"/>
      <c r="BH167" s="58" t="n"/>
      <c r="BI167" s="58" t="n"/>
      <c r="BJ167" s="58" t="n"/>
      <c r="BK167" s="58" t="n"/>
      <c r="BL167" s="58" t="n"/>
      <c r="BM167" s="58" t="n"/>
      <c r="BN167" s="58" t="n"/>
      <c r="BO167" s="58" t="n"/>
      <c r="BP167" s="58" t="n"/>
      <c r="BQ167" s="58" t="n"/>
      <c r="BR167" s="58" t="n"/>
      <c r="BS167" s="58" t="n"/>
      <c r="BT167" s="58" t="n"/>
      <c r="BU167" s="58" t="n"/>
      <c r="BV167" s="58" t="n"/>
      <c r="BW167" s="58" t="n"/>
      <c r="BX167" s="58" t="n"/>
      <c r="BY167" s="58" t="n"/>
      <c r="BZ167" s="58" t="n"/>
      <c r="CA167" s="58" t="n"/>
      <c r="CB167" s="58" t="n"/>
      <c r="CC167" s="58" t="n"/>
      <c r="CD167" s="58" t="n"/>
      <c r="CE167" s="58" t="n"/>
      <c r="CF167" s="58" t="n"/>
      <c r="CG167" s="58" t="n"/>
      <c r="CH167" s="58" t="n"/>
      <c r="CI167" s="58" t="n"/>
      <c r="CJ167" s="58" t="n"/>
      <c r="CK167" s="58" t="n"/>
      <c r="CL167" s="58" t="n"/>
      <c r="CM167" s="58" t="n"/>
      <c r="CN167" s="58" t="n"/>
      <c r="CO167" s="58" t="n"/>
      <c r="CP167" s="58" t="n"/>
      <c r="CQ167" s="58" t="n"/>
      <c r="CR167" s="58" t="n"/>
      <c r="CS167" s="58" t="n"/>
      <c r="CT167" s="58" t="n"/>
      <c r="CU167" s="58" t="n"/>
      <c r="CV167" s="58" t="n"/>
      <c r="CW167" s="58" t="n"/>
      <c r="CX167" s="58" t="n"/>
      <c r="CY167" s="58" t="n"/>
    </row>
    <row r="168" hidden="1" outlineLevel="1">
      <c r="C168" s="57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  <c r="AW168" s="12" t="n"/>
      <c r="AX168" s="12" t="n"/>
      <c r="AY168" s="12" t="n"/>
      <c r="AZ168" s="12" t="n"/>
      <c r="BA168" s="12" t="n"/>
      <c r="BB168" s="12" t="n"/>
      <c r="BC168" s="12" t="n"/>
      <c r="BD168" s="12" t="n"/>
      <c r="BE168" s="12" t="n"/>
      <c r="BF168" s="12" t="n"/>
      <c r="BG168" s="12" t="n"/>
      <c r="BH168" s="12" t="n"/>
      <c r="BI168" s="12" t="n"/>
      <c r="BJ168" s="12" t="n"/>
      <c r="BK168" s="12" t="n"/>
      <c r="BL168" s="12" t="n"/>
      <c r="BM168" s="12" t="n"/>
      <c r="BN168" s="12" t="n"/>
      <c r="BO168" s="12" t="n"/>
      <c r="BP168" s="12" t="n"/>
      <c r="BQ168" s="12" t="n"/>
      <c r="BR168" s="12" t="n"/>
      <c r="BS168" s="12" t="n"/>
      <c r="BT168" s="12" t="n"/>
      <c r="BU168" s="12" t="n"/>
      <c r="BV168" s="12" t="n"/>
      <c r="BW168" s="12" t="n"/>
      <c r="BX168" s="12" t="n"/>
      <c r="BY168" s="12" t="n"/>
      <c r="BZ168" s="12" t="n"/>
      <c r="CA168" s="12" t="n"/>
      <c r="CB168" s="12" t="n"/>
      <c r="CC168" s="12" t="n"/>
      <c r="CD168" s="12" t="n"/>
      <c r="CE168" s="12" t="n"/>
      <c r="CF168" s="12" t="n"/>
      <c r="CG168" s="12" t="n"/>
      <c r="CH168" s="12" t="n"/>
      <c r="CI168" s="12" t="n"/>
      <c r="CJ168" s="12" t="n"/>
      <c r="CK168" s="12" t="n"/>
      <c r="CL168" s="12" t="n"/>
      <c r="CM168" s="12" t="n"/>
      <c r="CN168" s="12" t="n"/>
      <c r="CO168" s="12" t="n"/>
      <c r="CP168" s="12" t="n"/>
      <c r="CQ168" s="12" t="n"/>
      <c r="CR168" s="12" t="n"/>
      <c r="CS168" s="12" t="n"/>
      <c r="CT168" s="12" t="n"/>
      <c r="CU168" s="12" t="n"/>
      <c r="CV168" s="12" t="n"/>
      <c r="CW168" s="12" t="n"/>
      <c r="CX168" s="12" t="n"/>
      <c r="CY168" s="12" t="n"/>
    </row>
    <row r="169" hidden="1" outlineLevel="1">
      <c r="C169" s="57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2" t="n"/>
      <c r="AZ169" s="12" t="n"/>
      <c r="BA169" s="12" t="n"/>
      <c r="BB169" s="12" t="n"/>
      <c r="BC169" s="12" t="n"/>
      <c r="BD169" s="12" t="n"/>
      <c r="BE169" s="12" t="n"/>
      <c r="BF169" s="12" t="n"/>
      <c r="BG169" s="12" t="n"/>
      <c r="BH169" s="12" t="n"/>
      <c r="BI169" s="12" t="n"/>
      <c r="BJ169" s="12" t="n"/>
      <c r="BK169" s="12" t="n"/>
      <c r="BL169" s="12" t="n"/>
      <c r="BM169" s="12" t="n"/>
      <c r="BN169" s="12" t="n"/>
      <c r="BO169" s="12" t="n"/>
      <c r="BP169" s="12" t="n"/>
      <c r="BQ169" s="12" t="n"/>
      <c r="BR169" s="12" t="n"/>
      <c r="BS169" s="12" t="n"/>
      <c r="BT169" s="12" t="n"/>
      <c r="BU169" s="12" t="n"/>
      <c r="BV169" s="12" t="n"/>
      <c r="BW169" s="12" t="n"/>
      <c r="BX169" s="12" t="n"/>
      <c r="BY169" s="12" t="n"/>
      <c r="BZ169" s="12" t="n"/>
      <c r="CA169" s="12" t="n"/>
      <c r="CB169" s="12" t="n"/>
      <c r="CC169" s="12" t="n"/>
      <c r="CD169" s="12" t="n"/>
      <c r="CE169" s="12" t="n"/>
      <c r="CF169" s="12" t="n"/>
      <c r="CG169" s="12" t="n"/>
      <c r="CH169" s="12" t="n"/>
      <c r="CI169" s="12" t="n"/>
      <c r="CJ169" s="12" t="n"/>
      <c r="CK169" s="12" t="n"/>
      <c r="CL169" s="12" t="n"/>
      <c r="CM169" s="12" t="n"/>
      <c r="CN169" s="12" t="n"/>
      <c r="CO169" s="12" t="n"/>
      <c r="CP169" s="12" t="n"/>
      <c r="CQ169" s="12" t="n"/>
      <c r="CR169" s="12" t="n"/>
      <c r="CS169" s="12" t="n"/>
      <c r="CT169" s="12" t="n"/>
      <c r="CU169" s="12" t="n"/>
      <c r="CV169" s="12" t="n"/>
      <c r="CW169" s="12" t="n"/>
      <c r="CX169" s="12" t="n"/>
      <c r="CY169" s="12" t="n"/>
    </row>
    <row r="170" collapsed="1">
      <c r="C170" s="14" t="inlineStr">
        <is>
          <t>Right-of-use-assets</t>
        </is>
      </c>
      <c r="D170" s="46" t="n"/>
      <c r="E170" s="46" t="n"/>
      <c r="F170" s="46" t="n"/>
      <c r="G170" s="46" t="n"/>
      <c r="H170" s="12" t="n"/>
      <c r="I170" s="46">
        <f>'Inputs (2)'!D23</f>
        <v>0</v>
      </c>
      <c r="J170" s="46">
        <f>'Inputs (2)'!E23</f>
        <v>0</v>
      </c>
      <c r="K170" s="46">
        <f>'Inputs (2)'!F23</f>
        <v>0</v>
      </c>
      <c r="L170" s="46">
        <f>'Inputs (2)'!G23</f>
        <v>0</v>
      </c>
      <c r="M170" s="12">
        <f>'Inputs (2)'!H23</f>
        <v>0</v>
      </c>
      <c r="N170" s="46">
        <f>'Inputs (2)'!I23</f>
        <v>0</v>
      </c>
      <c r="O170" s="46">
        <f>'Inputs (2)'!J23</f>
        <v>0</v>
      </c>
      <c r="P170" s="46">
        <f>'Inputs (2)'!K23</f>
        <v>0</v>
      </c>
      <c r="Q170" s="46">
        <f>'Inputs (2)'!L23</f>
        <v>0</v>
      </c>
      <c r="R170" s="12">
        <f>'Inputs (2)'!M23</f>
        <v>0</v>
      </c>
      <c r="S170" s="46">
        <f>'Inputs (2)'!N23</f>
        <v>0</v>
      </c>
      <c r="T170" s="46">
        <f>'Inputs (2)'!O23</f>
        <v>0</v>
      </c>
      <c r="U170" s="46">
        <f>'Inputs (2)'!P23</f>
        <v>0</v>
      </c>
      <c r="V170" s="46">
        <f>'Inputs (2)'!Q23</f>
        <v>0</v>
      </c>
      <c r="W170" s="12">
        <f>'Inputs (2)'!R23</f>
        <v>0</v>
      </c>
      <c r="X170" s="46">
        <f>'Inputs (2)'!S23</f>
        <v>0</v>
      </c>
      <c r="Y170" s="46">
        <f>'Inputs (2)'!T23</f>
        <v>0</v>
      </c>
      <c r="Z170" s="46">
        <f>'Inputs (2)'!U23</f>
        <v>0</v>
      </c>
      <c r="AA170" s="46">
        <f>'Inputs (2)'!V23</f>
        <v>0</v>
      </c>
      <c r="AB170" s="12">
        <f>'Inputs (2)'!W23</f>
        <v>0</v>
      </c>
      <c r="AC170" s="46">
        <f>'Inputs (2)'!X23</f>
        <v>0</v>
      </c>
      <c r="AD170" s="46">
        <f>'Inputs (2)'!Y23</f>
        <v>0</v>
      </c>
      <c r="AE170" s="46">
        <f>'Inputs (2)'!Z23</f>
        <v>0</v>
      </c>
      <c r="AF170" s="46">
        <f>'Inputs (2)'!AA23</f>
        <v>0</v>
      </c>
      <c r="AG170" s="12">
        <f>'Inputs (2)'!AB23</f>
        <v>0</v>
      </c>
      <c r="AH170" s="12">
        <f>'Inputs (2)'!AC23</f>
        <v>0</v>
      </c>
      <c r="AI170" s="12">
        <f>'Inputs (2)'!AD23</f>
        <v>0</v>
      </c>
      <c r="AJ170" s="12">
        <f>AI170</f>
        <v>0</v>
      </c>
      <c r="AK170" s="12">
        <f>AJ170</f>
        <v>0</v>
      </c>
      <c r="AL170" s="12">
        <f>AK170</f>
        <v>0</v>
      </c>
      <c r="AM170" s="12">
        <f>AL170</f>
        <v>0</v>
      </c>
      <c r="AN170" s="12">
        <f>AM170</f>
        <v>0</v>
      </c>
      <c r="AO170" s="12">
        <f>AN170</f>
        <v>0</v>
      </c>
      <c r="AP170" s="12">
        <f>AO170</f>
        <v>0</v>
      </c>
      <c r="AQ170" s="12">
        <f>AP170</f>
        <v>0</v>
      </c>
      <c r="AR170" s="12">
        <f>AQ170</f>
        <v>0</v>
      </c>
      <c r="AS170" s="12">
        <f>AR170</f>
        <v>0</v>
      </c>
      <c r="AT170" s="12">
        <f>AS170</f>
        <v>0</v>
      </c>
      <c r="AU170" s="12">
        <f>AT170</f>
        <v>0</v>
      </c>
      <c r="AV170" s="12">
        <f>AU170</f>
        <v>0</v>
      </c>
      <c r="AW170" s="12">
        <f>AV170</f>
        <v>0</v>
      </c>
      <c r="AX170" s="12">
        <f>AW170</f>
        <v>0</v>
      </c>
      <c r="AY170" s="12">
        <f>AX170</f>
        <v>0</v>
      </c>
      <c r="AZ170" s="12">
        <f>AY170</f>
        <v>0</v>
      </c>
      <c r="BA170" s="12">
        <f>AZ170</f>
        <v>0</v>
      </c>
      <c r="BB170" s="12">
        <f>BA170</f>
        <v>0</v>
      </c>
      <c r="BC170" s="12">
        <f>BB170</f>
        <v>0</v>
      </c>
      <c r="BD170" s="12">
        <f>BC170</f>
        <v>0</v>
      </c>
      <c r="BE170" s="12">
        <f>BD170</f>
        <v>0</v>
      </c>
      <c r="BF170" s="12">
        <f>BE170</f>
        <v>0</v>
      </c>
      <c r="BG170" s="12" t="n"/>
      <c r="BH170" s="12" t="n"/>
      <c r="BI170" s="12" t="n"/>
      <c r="BJ170" s="12" t="n"/>
      <c r="BK170" s="12" t="n"/>
      <c r="BL170" s="12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  <c r="CR170" s="12" t="n"/>
      <c r="CS170" s="12" t="n"/>
      <c r="CT170" s="12" t="n"/>
      <c r="CU170" s="12" t="n"/>
      <c r="CV170" s="12" t="n"/>
      <c r="CW170" s="12" t="n"/>
      <c r="CX170" s="12" t="n"/>
      <c r="CY170" s="12" t="n"/>
    </row>
    <row r="171" hidden="1" outlineLevel="1">
      <c r="C171" s="59" t="inlineStr">
        <is>
          <t>%(Var.)</t>
        </is>
      </c>
      <c r="D171" s="12" t="n"/>
      <c r="E171" s="40" t="n"/>
      <c r="F171" s="40" t="n"/>
      <c r="G171" s="40" t="n"/>
      <c r="H171" s="12" t="n"/>
      <c r="I171" s="40" t="str">
        <f>""</f>
        <v/>
      </c>
      <c r="J171" s="40" t="str">
        <f>IFERROR(IF(I170=0,"",J170/I170-1),"")</f>
        <v/>
      </c>
      <c r="K171" s="40" t="str">
        <f>IFERROR(IF(J170=0,"",K170/J170-1),"")</f>
        <v/>
      </c>
      <c r="L171" s="40" t="str">
        <f>IFERROR(IF(K170=0,"",L170/K170-1),"")</f>
        <v/>
      </c>
      <c r="M171" s="12" t="str">
        <f>IFERROR(IF(L170=0,"",M170/L170-1),"")</f>
        <v/>
      </c>
      <c r="N171" s="40" t="str">
        <f>IFERROR(IF(M170=0,"",N170/M170-1),"")</f>
        <v/>
      </c>
      <c r="O171" s="40" t="str">
        <f>IFERROR(IF(N170=0,"",O170/N170-1),"")</f>
        <v/>
      </c>
      <c r="P171" s="40" t="str">
        <f>IFERROR(IF(O170=0,"",P170/O170-1),"")</f>
        <v/>
      </c>
      <c r="Q171" s="40" t="str">
        <f>IFERROR(IF(P170=0,"",Q170/P170-1),"")</f>
        <v/>
      </c>
      <c r="R171" s="12" t="str">
        <f>IFERROR(IF(Q170=0,"",R170/Q170-1),"")</f>
        <v/>
      </c>
      <c r="S171" s="40" t="str">
        <f>IFERROR(IF(R170=0,"",S170/R170-1),"")</f>
        <v/>
      </c>
      <c r="T171" s="40" t="str">
        <f>IFERROR(IF(S170=0,"",T170/S170-1),"")</f>
        <v/>
      </c>
      <c r="U171" s="40" t="str">
        <f>IFERROR(IF(T170=0,"",U170/T170-1),"")</f>
        <v/>
      </c>
      <c r="V171" s="40" t="str">
        <f>IFERROR(IF(U170=0,"",V170/U170-1),"")</f>
        <v/>
      </c>
      <c r="W171" s="12" t="str">
        <f>IFERROR(IF(V170=0,"",W170/V170-1),"")</f>
        <v/>
      </c>
      <c r="X171" s="40" t="str">
        <f>IFERROR(IF(W170=0,"",X170/W170-1),"")</f>
        <v/>
      </c>
      <c r="Y171" s="40" t="str">
        <f>IFERROR(IF(X170=0,"",Y170/X170-1),"")</f>
        <v/>
      </c>
      <c r="Z171" s="40" t="str">
        <f>IFERROR(IF(Y170=0,"",Z170/Y170-1),"")</f>
        <v/>
      </c>
      <c r="AA171" s="40" t="str">
        <f>IFERROR(IF(Z170=0,"",AA170/Z170-1),"")</f>
        <v/>
      </c>
      <c r="AB171" s="12" t="str">
        <f>IFERROR(IF(AA170=0,"",AB170/AA170-1),"")</f>
        <v/>
      </c>
      <c r="AC171" s="40" t="str">
        <f>IFERROR(IF(AB170=0,"",AC170/AB170-1),"")</f>
        <v/>
      </c>
      <c r="AD171" s="40" t="str">
        <f>IFERROR(IF(AC170=0,"",AD170/AC170-1),"")</f>
        <v/>
      </c>
      <c r="AE171" s="40" t="str">
        <f>IFERROR(IF(AD170=0,"",AE170/AD170-1),"")</f>
        <v/>
      </c>
      <c r="AF171" s="55" t="str">
        <f>IFERROR(IF(AE170=0,"",AF170/AE170-1),"")</f>
        <v/>
      </c>
      <c r="AG171" s="12" t="str">
        <f>IFERROR(IF(AF170=0,"",AG170/AF170-1),"")</f>
        <v/>
      </c>
      <c r="AH171" s="55" t="str">
        <f>IFERROR(IF(AG170=0,"",AH170/AG170-1),"")</f>
        <v/>
      </c>
      <c r="AI171" s="55" t="str">
        <f>IFERROR(IF(AH170=0,"",AI170/AH170-1),"")</f>
        <v/>
      </c>
      <c r="AJ171" s="55" t="str">
        <f>IFERROR(IF(AI170=0,"",AJ170/AI170-1),"")</f>
        <v/>
      </c>
      <c r="AK171" s="55" t="str">
        <f>IFERROR(IF(AJ170=0,"",AK170/AJ170-1),"")</f>
        <v/>
      </c>
      <c r="AL171" s="12" t="str">
        <f>IFERROR(IF(AK170=0,"",AL170/AK170-1),"")</f>
        <v/>
      </c>
      <c r="AM171" s="55" t="str">
        <f>IFERROR(IF(AL170=0,"",AM170/AL170-1),"")</f>
        <v/>
      </c>
      <c r="AN171" s="55" t="str">
        <f>IFERROR(IF(AM170=0,"",AN170/AM170-1),"")</f>
        <v/>
      </c>
      <c r="AO171" s="55" t="str">
        <f>IFERROR(IF(AN170=0,"",AO170/AN170-1),"")</f>
        <v/>
      </c>
      <c r="AP171" s="55" t="str">
        <f>IFERROR(IF(AO170=0,"",AP170/AO170-1),"")</f>
        <v/>
      </c>
      <c r="AQ171" s="12" t="str">
        <f>IFERROR(IF(AP170=0,"",AQ170/AP170-1),"")</f>
        <v/>
      </c>
      <c r="AR171" s="55" t="str">
        <f>IFERROR(IF(AQ170=0,"",AR170/AQ170-1),"")</f>
        <v/>
      </c>
      <c r="AS171" s="55" t="str">
        <f>IFERROR(IF(AR170=0,"",AS170/AR170-1),"")</f>
        <v/>
      </c>
      <c r="AT171" s="55" t="str">
        <f>IFERROR(IF(AS170=0,"",AT170/AS170-1),"")</f>
        <v/>
      </c>
      <c r="AU171" s="55" t="str">
        <f>IFERROR(IF(AT170=0,"",AU170/AT170-1),"")</f>
        <v/>
      </c>
      <c r="AV171" s="12" t="str">
        <f>IFERROR(IF(AU170=0,"",AV170/AU170-1),"")</f>
        <v/>
      </c>
      <c r="AW171" s="55" t="str">
        <f>IFERROR(IF(AV170=0,"",AW170/AV170-1),"")</f>
        <v/>
      </c>
      <c r="AX171" s="55" t="str">
        <f>IFERROR(IF(AW170=0,"",AX170/AW170-1),"")</f>
        <v/>
      </c>
      <c r="AY171" s="55" t="str">
        <f>IFERROR(IF(AX170=0,"",AY170/AX170-1),"")</f>
        <v/>
      </c>
      <c r="AZ171" s="55" t="str">
        <f>IFERROR(IF(AY170=0,"",AZ170/AY170-1),"")</f>
        <v/>
      </c>
      <c r="BA171" s="12" t="str">
        <f>IFERROR(IF(AZ170=0,"",BA170/AZ170-1),"")</f>
        <v/>
      </c>
      <c r="BB171" s="55" t="str">
        <f>IFERROR(IF(BA170=0,"",BB170/BA170-1),"")</f>
        <v/>
      </c>
      <c r="BC171" s="55" t="str">
        <f>IFERROR(IF(BB170=0,"",BC170/BB170-1),"")</f>
        <v/>
      </c>
      <c r="BD171" s="55" t="str">
        <f>IFERROR(IF(BC170=0,"",BD170/BC170-1),"")</f>
        <v/>
      </c>
      <c r="BE171" s="55" t="str">
        <f>IFERROR(IF(BD170=0,"",BE170/BD170-1),"")</f>
        <v/>
      </c>
      <c r="BF171" s="12" t="str">
        <f>IFERROR(IF(BE170=0,"",BF170/BE170-1),"")</f>
        <v/>
      </c>
      <c r="BG171" s="55" t="n"/>
      <c r="BH171" s="55" t="n"/>
      <c r="BI171" s="55" t="n"/>
      <c r="BJ171" s="55" t="n"/>
      <c r="BK171" s="12" t="n"/>
      <c r="BL171" s="55" t="n"/>
      <c r="BM171" s="55" t="n"/>
      <c r="BN171" s="55" t="n"/>
      <c r="BO171" s="55" t="n"/>
      <c r="BP171" s="12" t="n"/>
      <c r="BQ171" s="55" t="n"/>
      <c r="BR171" s="55" t="n"/>
      <c r="BS171" s="55" t="n"/>
      <c r="BT171" s="55" t="n"/>
      <c r="BU171" s="12" t="n"/>
      <c r="BV171" s="55" t="n"/>
      <c r="BW171" s="55" t="n"/>
      <c r="BX171" s="55" t="n"/>
      <c r="BY171" s="55" t="n"/>
      <c r="BZ171" s="12" t="n"/>
      <c r="CA171" s="55" t="n"/>
      <c r="CB171" s="55" t="n"/>
      <c r="CC171" s="55" t="n"/>
      <c r="CD171" s="55" t="n"/>
      <c r="CE171" s="12" t="n"/>
      <c r="CF171" s="55" t="n"/>
      <c r="CG171" s="55" t="n"/>
      <c r="CH171" s="55" t="n"/>
      <c r="CI171" s="55" t="n"/>
      <c r="CJ171" s="12" t="n"/>
      <c r="CK171" s="55" t="n"/>
      <c r="CL171" s="55" t="n"/>
      <c r="CM171" s="55" t="n"/>
      <c r="CN171" s="55" t="n"/>
      <c r="CO171" s="12" t="n"/>
      <c r="CP171" s="55" t="n"/>
      <c r="CQ171" s="55" t="n"/>
      <c r="CR171" s="55" t="n"/>
      <c r="CS171" s="55" t="n"/>
      <c r="CT171" s="12" t="n"/>
      <c r="CU171" s="55" t="n"/>
      <c r="CV171" s="55" t="n"/>
      <c r="CW171" s="55" t="n"/>
      <c r="CX171" s="55" t="n"/>
      <c r="CY171" s="12" t="n"/>
    </row>
    <row r="172" hidden="1" outlineLevel="1">
      <c r="C172" s="57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  <c r="AW172" s="12" t="n"/>
      <c r="AX172" s="12" t="n"/>
      <c r="AY172" s="12" t="n"/>
      <c r="AZ172" s="12" t="n"/>
      <c r="BA172" s="12" t="n"/>
      <c r="BB172" s="12" t="n"/>
      <c r="BC172" s="12" t="n"/>
      <c r="BD172" s="12" t="n"/>
      <c r="BE172" s="12" t="n"/>
      <c r="BF172" s="12" t="n"/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</row>
    <row r="173" collapsed="1">
      <c r="C173" s="14" t="inlineStr">
        <is>
          <t>Goodwill</t>
        </is>
      </c>
      <c r="D173" s="46" t="n"/>
      <c r="E173" s="46" t="n"/>
      <c r="F173" s="46" t="n"/>
      <c r="G173" s="46" t="n"/>
      <c r="H173" s="12" t="n"/>
      <c r="I173" s="46">
        <f>'Inputs (2)'!D24</f>
        <v>0</v>
      </c>
      <c r="J173" s="46">
        <f>'Inputs (2)'!E24</f>
        <v>0</v>
      </c>
      <c r="K173" s="46">
        <f>'Inputs (2)'!F24</f>
        <v>0</v>
      </c>
      <c r="L173" s="46">
        <f>'Inputs (2)'!G24</f>
        <v>0</v>
      </c>
      <c r="M173" s="12">
        <f>'Inputs (2)'!H24</f>
        <v>0</v>
      </c>
      <c r="N173" s="46">
        <f>'Inputs (2)'!I24</f>
        <v>0</v>
      </c>
      <c r="O173" s="46">
        <f>'Inputs (2)'!J24</f>
        <v>0</v>
      </c>
      <c r="P173" s="46">
        <f>'Inputs (2)'!K24</f>
        <v>0</v>
      </c>
      <c r="Q173" s="46">
        <f>'Inputs (2)'!L24</f>
        <v>0</v>
      </c>
      <c r="R173" s="12">
        <f>'Inputs (2)'!M24</f>
        <v>0</v>
      </c>
      <c r="S173" s="46">
        <f>'Inputs (2)'!N24</f>
        <v>0</v>
      </c>
      <c r="T173" s="46">
        <f>'Inputs (2)'!O24</f>
        <v>0</v>
      </c>
      <c r="U173" s="46">
        <f>'Inputs (2)'!P24</f>
        <v>0</v>
      </c>
      <c r="V173" s="46">
        <f>'Inputs (2)'!Q24</f>
        <v>0</v>
      </c>
      <c r="W173" s="12">
        <f>'Inputs (2)'!R24</f>
        <v>0</v>
      </c>
      <c r="X173" s="46">
        <f>'Inputs (2)'!S24</f>
        <v>0</v>
      </c>
      <c r="Y173" s="46">
        <f>'Inputs (2)'!T24</f>
        <v>0</v>
      </c>
      <c r="Z173" s="46">
        <f>'Inputs (2)'!U24</f>
        <v>0</v>
      </c>
      <c r="AA173" s="46">
        <f>'Inputs (2)'!V24</f>
        <v>0</v>
      </c>
      <c r="AB173" s="12">
        <f>'Inputs (2)'!W24</f>
        <v>0</v>
      </c>
      <c r="AC173" s="46">
        <f>'Inputs (2)'!X24</f>
        <v>0</v>
      </c>
      <c r="AD173" s="46">
        <f>'Inputs (2)'!Y24</f>
        <v>0</v>
      </c>
      <c r="AE173" s="46">
        <f>'Inputs (2)'!Z24</f>
        <v>0</v>
      </c>
      <c r="AF173" s="46">
        <f>'Inputs (2)'!AA24</f>
        <v>0</v>
      </c>
      <c r="AG173" s="12">
        <f>'Inputs (2)'!AB24</f>
        <v>0</v>
      </c>
      <c r="AH173" s="12">
        <f>'Inputs (2)'!AC24</f>
        <v>0</v>
      </c>
      <c r="AI173" s="12">
        <f>'Inputs (2)'!AD24</f>
        <v>0</v>
      </c>
      <c r="AJ173" s="12">
        <f>AI173</f>
        <v>0</v>
      </c>
      <c r="AK173" s="12">
        <f>AJ173</f>
        <v>0</v>
      </c>
      <c r="AL173" s="12">
        <f>AK173</f>
        <v>0</v>
      </c>
      <c r="AM173" s="12">
        <f>AL173</f>
        <v>0</v>
      </c>
      <c r="AN173" s="12">
        <f>AM173</f>
        <v>0</v>
      </c>
      <c r="AO173" s="12">
        <f>AN173</f>
        <v>0</v>
      </c>
      <c r="AP173" s="12">
        <f>AO173</f>
        <v>0</v>
      </c>
      <c r="AQ173" s="12">
        <f>AP173</f>
        <v>0</v>
      </c>
      <c r="AR173" s="12">
        <f>AQ173</f>
        <v>0</v>
      </c>
      <c r="AS173" s="12">
        <f>AR173</f>
        <v>0</v>
      </c>
      <c r="AT173" s="12">
        <f>AS173</f>
        <v>0</v>
      </c>
      <c r="AU173" s="12">
        <f>AT173</f>
        <v>0</v>
      </c>
      <c r="AV173" s="12">
        <f>AU173</f>
        <v>0</v>
      </c>
      <c r="AW173" s="12">
        <f>AV173</f>
        <v>0</v>
      </c>
      <c r="AX173" s="12">
        <f>AW173</f>
        <v>0</v>
      </c>
      <c r="AY173" s="12">
        <f>AX173</f>
        <v>0</v>
      </c>
      <c r="AZ173" s="12">
        <f>AY173</f>
        <v>0</v>
      </c>
      <c r="BA173" s="12">
        <f>AZ173</f>
        <v>0</v>
      </c>
      <c r="BB173" s="12">
        <f>BA173</f>
        <v>0</v>
      </c>
      <c r="BC173" s="12">
        <f>BB173</f>
        <v>0</v>
      </c>
      <c r="BD173" s="12">
        <f>BC173</f>
        <v>0</v>
      </c>
      <c r="BE173" s="12">
        <f>BD173</f>
        <v>0</v>
      </c>
      <c r="BF173" s="12">
        <f>BE173</f>
        <v>0</v>
      </c>
      <c r="BG173" s="12" t="n"/>
      <c r="BH173" s="12" t="n"/>
      <c r="BI173" s="12" t="n"/>
      <c r="BJ173" s="12" t="n"/>
      <c r="BK173" s="12" t="n"/>
      <c r="BL173" s="12" t="n"/>
      <c r="BM173" s="12" t="n"/>
      <c r="BN173" s="12" t="n"/>
      <c r="BO173" s="12" t="n"/>
      <c r="BP173" s="12" t="n"/>
      <c r="BQ173" s="12" t="n"/>
      <c r="BR173" s="12" t="n"/>
      <c r="BS173" s="12" t="n"/>
      <c r="BT173" s="12" t="n"/>
      <c r="BU173" s="12" t="n"/>
      <c r="BV173" s="12" t="n"/>
      <c r="BW173" s="12" t="n"/>
      <c r="BX173" s="12" t="n"/>
      <c r="BY173" s="12" t="n"/>
      <c r="BZ173" s="12" t="n"/>
      <c r="CA173" s="12" t="n"/>
      <c r="CB173" s="12" t="n"/>
      <c r="CC173" s="12" t="n"/>
      <c r="CD173" s="12" t="n"/>
      <c r="CE173" s="12" t="n"/>
      <c r="CF173" s="12" t="n"/>
      <c r="CG173" s="12" t="n"/>
      <c r="CH173" s="12" t="n"/>
      <c r="CI173" s="12" t="n"/>
      <c r="CJ173" s="12" t="n"/>
      <c r="CK173" s="12" t="n"/>
      <c r="CL173" s="12" t="n"/>
      <c r="CM173" s="12" t="n"/>
      <c r="CN173" s="12" t="n"/>
      <c r="CO173" s="12" t="n"/>
      <c r="CP173" s="12" t="n"/>
      <c r="CQ173" s="12" t="n"/>
      <c r="CR173" s="12" t="n"/>
      <c r="CS173" s="12" t="n"/>
      <c r="CT173" s="12" t="n"/>
      <c r="CU173" s="12" t="n"/>
      <c r="CV173" s="12" t="n"/>
      <c r="CW173" s="12" t="n"/>
      <c r="CX173" s="12" t="n"/>
      <c r="CY173" s="12" t="n"/>
    </row>
    <row r="174">
      <c r="C174" s="14" t="inlineStr">
        <is>
          <t>Intangibles</t>
        </is>
      </c>
      <c r="D174" s="46" t="n"/>
      <c r="E174" s="46" t="n"/>
      <c r="F174" s="46" t="n"/>
      <c r="G174" s="46" t="n"/>
      <c r="H174" s="12" t="n"/>
      <c r="I174" s="46">
        <f>'Inputs (2)'!D25</f>
        <v>0</v>
      </c>
      <c r="J174" s="46">
        <f>'Inputs (2)'!E25</f>
        <v>0</v>
      </c>
      <c r="K174" s="46">
        <f>'Inputs (2)'!F25</f>
        <v>0</v>
      </c>
      <c r="L174" s="46">
        <f>'Inputs (2)'!G25</f>
        <v>0</v>
      </c>
      <c r="M174" s="12">
        <f>'Inputs (2)'!H25</f>
        <v>0</v>
      </c>
      <c r="N174" s="46">
        <f>'Inputs (2)'!I25</f>
        <v>0</v>
      </c>
      <c r="O174" s="46">
        <f>'Inputs (2)'!J25</f>
        <v>0</v>
      </c>
      <c r="P174" s="46">
        <f>'Inputs (2)'!K25</f>
        <v>0</v>
      </c>
      <c r="Q174" s="46">
        <f>'Inputs (2)'!L25</f>
        <v>0</v>
      </c>
      <c r="R174" s="12">
        <f>'Inputs (2)'!M25</f>
        <v>0</v>
      </c>
      <c r="S174" s="46">
        <f>'Inputs (2)'!N25</f>
        <v>0</v>
      </c>
      <c r="T174" s="46">
        <f>'Inputs (2)'!O25</f>
        <v>0</v>
      </c>
      <c r="U174" s="46">
        <f>'Inputs (2)'!P25</f>
        <v>0</v>
      </c>
      <c r="V174" s="46">
        <f>'Inputs (2)'!Q25</f>
        <v>0</v>
      </c>
      <c r="W174" s="12">
        <f>'Inputs (2)'!R25</f>
        <v>0</v>
      </c>
      <c r="X174" s="46">
        <f>'Inputs (2)'!S25</f>
        <v>0</v>
      </c>
      <c r="Y174" s="46">
        <f>'Inputs (2)'!T25</f>
        <v>0</v>
      </c>
      <c r="Z174" s="46">
        <f>'Inputs (2)'!U25</f>
        <v>0</v>
      </c>
      <c r="AA174" s="46">
        <f>'Inputs (2)'!V25</f>
        <v>0</v>
      </c>
      <c r="AB174" s="12">
        <f>'Inputs (2)'!W25</f>
        <v>0</v>
      </c>
      <c r="AC174" s="46">
        <f>'Inputs (2)'!X25</f>
        <v>0</v>
      </c>
      <c r="AD174" s="46">
        <f>'Inputs (2)'!Y25</f>
        <v>0</v>
      </c>
      <c r="AE174" s="46">
        <f>'Inputs (2)'!Z25</f>
        <v>11093</v>
      </c>
      <c r="AF174" s="46">
        <f>'Inputs (2)'!AA25</f>
        <v>0</v>
      </c>
      <c r="AG174" s="12">
        <f>'Inputs (2)'!AB25</f>
        <v>0</v>
      </c>
      <c r="AH174" s="12">
        <f>'Inputs (2)'!AC25</f>
        <v>21334</v>
      </c>
      <c r="AI174" s="12">
        <f>'Inputs (2)'!AD25</f>
        <v>20342</v>
      </c>
      <c r="AJ174" s="12">
        <f>AI174</f>
        <v>20342</v>
      </c>
      <c r="AK174" s="12">
        <f>AJ174</f>
        <v>20342</v>
      </c>
      <c r="AL174" s="12">
        <f>AK174</f>
        <v>20342</v>
      </c>
      <c r="AM174" s="16">
        <f>AL174</f>
        <v>20342</v>
      </c>
      <c r="AN174" s="12">
        <f>AM174</f>
        <v>20342</v>
      </c>
      <c r="AO174" s="12">
        <f>AN174</f>
        <v>20342</v>
      </c>
      <c r="AP174" s="12">
        <f>AO174</f>
        <v>20342</v>
      </c>
      <c r="AQ174" s="12">
        <f>AP174</f>
        <v>20342</v>
      </c>
      <c r="AR174" s="16">
        <f>AQ174</f>
        <v>20342</v>
      </c>
      <c r="AS174" s="12">
        <f>AR174</f>
        <v>20342</v>
      </c>
      <c r="AT174" s="12">
        <f>AS174</f>
        <v>20342</v>
      </c>
      <c r="AU174" s="12">
        <f>AT174</f>
        <v>20342</v>
      </c>
      <c r="AV174" s="12">
        <f>AU174</f>
        <v>20342</v>
      </c>
      <c r="AW174" s="16">
        <f>AV174</f>
        <v>20342</v>
      </c>
      <c r="AX174" s="12">
        <f>AW174</f>
        <v>20342</v>
      </c>
      <c r="AY174" s="12">
        <f>AX174</f>
        <v>20342</v>
      </c>
      <c r="AZ174" s="12">
        <f>AY174</f>
        <v>20342</v>
      </c>
      <c r="BA174" s="12">
        <f>AZ174</f>
        <v>20342</v>
      </c>
      <c r="BB174" s="16">
        <f>BA174</f>
        <v>20342</v>
      </c>
      <c r="BC174" s="12">
        <f>BB174</f>
        <v>20342</v>
      </c>
      <c r="BD174" s="12">
        <f>BC174</f>
        <v>20342</v>
      </c>
      <c r="BE174" s="12">
        <f>BD174</f>
        <v>20342</v>
      </c>
      <c r="BF174" s="12">
        <f>BE174</f>
        <v>20342</v>
      </c>
      <c r="BH174" s="12" t="n"/>
      <c r="BI174" s="12" t="n"/>
      <c r="BJ174" s="12" t="n"/>
      <c r="BK174" s="12" t="n"/>
      <c r="BM174" s="12" t="n"/>
      <c r="BN174" s="12" t="n"/>
      <c r="BO174" s="12" t="n"/>
      <c r="BP174" s="12" t="n"/>
      <c r="BR174" s="12" t="n"/>
      <c r="BS174" s="12" t="n"/>
      <c r="BT174" s="12" t="n"/>
      <c r="BU174" s="12" t="n"/>
      <c r="BW174" s="12" t="n"/>
      <c r="BX174" s="12" t="n"/>
      <c r="BY174" s="12" t="n"/>
      <c r="BZ174" s="12" t="n"/>
      <c r="CB174" s="12" t="n"/>
      <c r="CC174" s="12" t="n"/>
      <c r="CD174" s="12" t="n"/>
      <c r="CE174" s="12" t="n"/>
      <c r="CG174" s="12" t="n"/>
      <c r="CH174" s="12" t="n"/>
      <c r="CI174" s="12" t="n"/>
      <c r="CJ174" s="12" t="n"/>
      <c r="CL174" s="12" t="n"/>
      <c r="CM174" s="12" t="n"/>
      <c r="CN174" s="12" t="n"/>
      <c r="CO174" s="12" t="n"/>
      <c r="CQ174" s="12" t="n"/>
      <c r="CR174" s="12" t="n"/>
      <c r="CS174" s="12" t="n"/>
      <c r="CT174" s="12" t="n"/>
      <c r="CV174" s="12" t="n"/>
      <c r="CW174" s="12" t="n"/>
      <c r="CX174" s="12" t="n"/>
      <c r="CY174" s="12" t="n"/>
    </row>
    <row r="175" hidden="1" outlineLevel="1">
      <c r="C175" s="57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  <c r="CR175" s="12" t="n"/>
      <c r="CS175" s="12" t="n"/>
      <c r="CT175" s="12" t="n"/>
      <c r="CU175" s="12" t="n"/>
      <c r="CV175" s="12" t="n"/>
      <c r="CW175" s="12" t="n"/>
      <c r="CX175" s="12" t="n"/>
      <c r="CY175" s="12" t="n"/>
    </row>
    <row r="176" hidden="1" outlineLevel="1">
      <c r="C176" s="57" t="inlineStr">
        <is>
          <t>Purchase of intangible assets</t>
        </is>
      </c>
      <c r="D176" s="12" t="n"/>
      <c r="E176" s="12" t="n"/>
      <c r="F176" s="12" t="n"/>
      <c r="G176" s="12" t="n"/>
      <c r="H176" s="12" t="n"/>
      <c r="I176" s="12" t="str">
        <f>IF(COUNT(H174)=0,"",I174-H174-I78)</f>
        <v/>
      </c>
      <c r="J176" s="12">
        <f>J174-I174-J78</f>
        <v>0</v>
      </c>
      <c r="K176" s="12">
        <f>K174-J174-K78</f>
        <v>0</v>
      </c>
      <c r="L176" s="12">
        <f>L174-K174-L78</f>
        <v>0</v>
      </c>
      <c r="M176" s="12" t="n"/>
      <c r="N176" s="12">
        <f>N174-M174-N78</f>
        <v>0</v>
      </c>
      <c r="O176" s="12">
        <f>O174-N174-O78</f>
        <v>0</v>
      </c>
      <c r="P176" s="12">
        <f>P174-O174-P78</f>
        <v>0</v>
      </c>
      <c r="Q176" s="12">
        <f>Q174-P174-Q78</f>
        <v>0</v>
      </c>
      <c r="R176" s="12" t="n"/>
      <c r="S176" s="12">
        <f>S174-R174-S78</f>
        <v>0</v>
      </c>
      <c r="T176" s="12">
        <f>T174-S174-T78</f>
        <v>0</v>
      </c>
      <c r="U176" s="12">
        <f>U174-T174-U78</f>
        <v>0</v>
      </c>
      <c r="V176" s="12">
        <f>V174-U174-V78</f>
        <v>0</v>
      </c>
      <c r="W176" s="12" t="n"/>
      <c r="X176" s="12">
        <f>X174-W174-X78</f>
        <v>0</v>
      </c>
      <c r="Y176" s="12">
        <f>Y174-X174-Y78</f>
        <v>0</v>
      </c>
      <c r="Z176" s="12">
        <f>Z174-Y174-Z78</f>
        <v>0</v>
      </c>
      <c r="AA176" s="12">
        <f>AA174-Z174-AA78</f>
        <v>0</v>
      </c>
      <c r="AB176" s="12" t="n"/>
      <c r="AC176" s="12">
        <f>AC174-AB174-AC78</f>
        <v>0</v>
      </c>
      <c r="AD176" s="12">
        <f>AD174-AC174-AD78</f>
        <v>0</v>
      </c>
      <c r="AE176" s="12">
        <f>AE174-AD174-AE78</f>
        <v>11093</v>
      </c>
      <c r="AF176" s="12">
        <f>AF174-AE174-AF78</f>
        <v>-11093</v>
      </c>
      <c r="AG176" s="12" t="n"/>
      <c r="AH176" s="11">
        <f>AH174-AG174-AH78</f>
        <v>21334</v>
      </c>
      <c r="AI176" s="11">
        <f>AI174-AH174-AI78</f>
        <v>-992</v>
      </c>
      <c r="AJ176" s="11" t="n"/>
      <c r="AK176" s="11" t="n"/>
      <c r="AL176" s="12" t="n"/>
      <c r="AM176" s="11" t="n"/>
      <c r="AN176" s="11" t="n"/>
      <c r="AO176" s="11" t="n"/>
      <c r="AP176" s="11" t="n"/>
      <c r="AQ176" s="12" t="n"/>
      <c r="AR176" s="11" t="n"/>
      <c r="AS176" s="11" t="n"/>
      <c r="AT176" s="11" t="n"/>
      <c r="AU176" s="11" t="n"/>
      <c r="AV176" s="12" t="n"/>
      <c r="AW176" s="11" t="n"/>
      <c r="AX176" s="11" t="n"/>
      <c r="AY176" s="11" t="n"/>
      <c r="AZ176" s="11" t="n"/>
      <c r="BA176" s="12" t="n"/>
      <c r="BB176" s="11" t="n"/>
      <c r="BC176" s="11" t="n"/>
      <c r="BD176" s="11" t="n"/>
      <c r="BE176" s="11" t="n"/>
      <c r="BF176" s="12" t="n"/>
      <c r="BG176" s="11" t="n"/>
      <c r="BH176" s="11" t="n"/>
      <c r="BI176" s="11" t="n"/>
      <c r="BJ176" s="11" t="n"/>
      <c r="BK176" s="12" t="n"/>
      <c r="BL176" s="11" t="n"/>
      <c r="BM176" s="11" t="n"/>
      <c r="BN176" s="11" t="n"/>
      <c r="BO176" s="11" t="n"/>
      <c r="BP176" s="12" t="n"/>
      <c r="BQ176" s="11" t="n"/>
      <c r="BR176" s="11" t="n"/>
      <c r="BS176" s="11" t="n"/>
      <c r="BT176" s="11" t="n"/>
      <c r="BU176" s="12" t="n"/>
      <c r="BV176" s="11" t="n"/>
      <c r="BW176" s="11" t="n"/>
      <c r="BX176" s="11" t="n"/>
      <c r="BY176" s="11" t="n"/>
      <c r="BZ176" s="12" t="n"/>
      <c r="CA176" s="11" t="n"/>
      <c r="CB176" s="11" t="n"/>
      <c r="CC176" s="11" t="n"/>
      <c r="CD176" s="11" t="n"/>
      <c r="CE176" s="12" t="n"/>
      <c r="CF176" s="11" t="n"/>
      <c r="CG176" s="11" t="n"/>
      <c r="CH176" s="11" t="n"/>
      <c r="CI176" s="11" t="n"/>
      <c r="CJ176" s="12" t="n"/>
      <c r="CK176" s="11" t="n"/>
      <c r="CL176" s="11" t="n"/>
      <c r="CM176" s="11" t="n"/>
      <c r="CN176" s="11" t="n"/>
      <c r="CO176" s="12" t="n"/>
      <c r="CP176" s="11" t="n"/>
      <c r="CQ176" s="11" t="n"/>
      <c r="CR176" s="11" t="n"/>
      <c r="CS176" s="11" t="n"/>
      <c r="CT176" s="12" t="n"/>
      <c r="CU176" s="11" t="n"/>
      <c r="CV176" s="11" t="n"/>
      <c r="CW176" s="11" t="n"/>
      <c r="CX176" s="11" t="n"/>
      <c r="CY176" s="12" t="n"/>
    </row>
    <row r="177" hidden="1" outlineLevel="1">
      <c r="C177" s="57" t="inlineStr">
        <is>
          <t>Amortization (enter as -)</t>
        </is>
      </c>
      <c r="D177" s="12" t="n"/>
      <c r="E177" s="12" t="n"/>
      <c r="F177" s="12" t="n"/>
      <c r="G177" s="12" t="n"/>
      <c r="H177" s="12" t="n"/>
      <c r="I177" s="12">
        <f>I77</f>
        <v>0</v>
      </c>
      <c r="J177" s="12">
        <f>J77</f>
        <v>0</v>
      </c>
      <c r="K177" s="12">
        <f>K77</f>
        <v>0</v>
      </c>
      <c r="L177" s="12">
        <f>L77</f>
        <v>0</v>
      </c>
      <c r="M177" s="12" t="n"/>
      <c r="N177" s="12">
        <f>N77</f>
        <v>0</v>
      </c>
      <c r="O177" s="12">
        <f>O77</f>
        <v>0</v>
      </c>
      <c r="P177" s="12">
        <f>P77</f>
        <v>0</v>
      </c>
      <c r="Q177" s="12">
        <f>Q77</f>
        <v>0</v>
      </c>
      <c r="R177" s="12" t="n"/>
      <c r="S177" s="12">
        <f>S77</f>
        <v>0</v>
      </c>
      <c r="T177" s="12">
        <f>T77</f>
        <v>0</v>
      </c>
      <c r="U177" s="12">
        <f>U77</f>
        <v>0</v>
      </c>
      <c r="V177" s="12">
        <f>V77</f>
        <v>0</v>
      </c>
      <c r="W177" s="12" t="n"/>
      <c r="X177" s="12">
        <f>X77</f>
        <v>0</v>
      </c>
      <c r="Y177" s="12">
        <f>Y77</f>
        <v>0</v>
      </c>
      <c r="Z177" s="12">
        <f>Z77</f>
        <v>0</v>
      </c>
      <c r="AA177" s="12">
        <f>AA77</f>
        <v>0</v>
      </c>
      <c r="AB177" s="12" t="n"/>
      <c r="AC177" s="12">
        <f>AC77</f>
        <v>0</v>
      </c>
      <c r="AD177" s="12">
        <f>AD77</f>
        <v>0</v>
      </c>
      <c r="AE177" s="12">
        <f>AE77</f>
        <v>0</v>
      </c>
      <c r="AF177" s="12">
        <f>AF77</f>
        <v>0</v>
      </c>
      <c r="AG177" s="12" t="n"/>
      <c r="AH177" s="12">
        <f>AH77</f>
        <v>0</v>
      </c>
      <c r="AI177" s="11">
        <f>AI77</f>
        <v>0</v>
      </c>
      <c r="AJ177" s="11" t="n"/>
      <c r="AK177" s="11" t="n"/>
      <c r="AL177" s="12" t="n"/>
      <c r="AM177" s="11" t="n"/>
      <c r="AN177" s="11" t="n"/>
      <c r="AO177" s="11" t="n"/>
      <c r="AP177" s="11" t="n"/>
      <c r="AQ177" s="12" t="n"/>
      <c r="AR177" s="11" t="n"/>
      <c r="AS177" s="11" t="n"/>
      <c r="AT177" s="11" t="n"/>
      <c r="AU177" s="11" t="n"/>
      <c r="AV177" s="12" t="n"/>
      <c r="AW177" s="11" t="n"/>
      <c r="AX177" s="11" t="n"/>
      <c r="AY177" s="11" t="n"/>
      <c r="AZ177" s="11" t="n"/>
      <c r="BA177" s="12" t="n"/>
      <c r="BB177" s="11" t="n"/>
      <c r="BC177" s="11" t="n"/>
      <c r="BD177" s="11" t="n"/>
      <c r="BE177" s="11" t="n"/>
      <c r="BF177" s="12" t="n"/>
      <c r="BG177" s="11" t="n"/>
      <c r="BH177" s="11" t="n"/>
      <c r="BI177" s="11" t="n"/>
      <c r="BJ177" s="11" t="n"/>
      <c r="BK177" s="12" t="n"/>
      <c r="BL177" s="11" t="n"/>
      <c r="BM177" s="11" t="n"/>
      <c r="BN177" s="11" t="n"/>
      <c r="BO177" s="11" t="n"/>
      <c r="BP177" s="12" t="n"/>
      <c r="BQ177" s="11" t="n"/>
      <c r="BR177" s="11" t="n"/>
      <c r="BS177" s="11" t="n"/>
      <c r="BT177" s="11" t="n"/>
      <c r="BU177" s="12" t="n"/>
      <c r="BV177" s="11" t="n"/>
      <c r="BW177" s="11" t="n"/>
      <c r="BX177" s="11" t="n"/>
      <c r="BY177" s="11" t="n"/>
      <c r="BZ177" s="12" t="n"/>
      <c r="CA177" s="11" t="n"/>
      <c r="CB177" s="11" t="n"/>
      <c r="CC177" s="11" t="n"/>
      <c r="CD177" s="11" t="n"/>
      <c r="CE177" s="12" t="n"/>
      <c r="CF177" s="11" t="n"/>
      <c r="CG177" s="11" t="n"/>
      <c r="CH177" s="11" t="n"/>
      <c r="CI177" s="11" t="n"/>
      <c r="CJ177" s="12" t="n"/>
      <c r="CK177" s="11" t="n"/>
      <c r="CL177" s="11" t="n"/>
      <c r="CM177" s="11" t="n"/>
      <c r="CN177" s="11" t="n"/>
      <c r="CO177" s="12" t="n"/>
      <c r="CP177" s="11" t="n"/>
      <c r="CQ177" s="11" t="n"/>
      <c r="CR177" s="11" t="n"/>
      <c r="CS177" s="11" t="n"/>
      <c r="CT177" s="12" t="n"/>
      <c r="CU177" s="11" t="n"/>
      <c r="CV177" s="11" t="n"/>
      <c r="CW177" s="11" t="n"/>
      <c r="CX177" s="11" t="n"/>
      <c r="CY177" s="12" t="n"/>
    </row>
    <row r="178" hidden="1" outlineLevel="1">
      <c r="C178" s="57" t="inlineStr">
        <is>
          <t>Intangibles</t>
        </is>
      </c>
      <c r="D178" s="12" t="n"/>
      <c r="E178" s="12" t="n"/>
      <c r="F178" s="12" t="n"/>
      <c r="G178" s="12" t="n"/>
      <c r="H178" s="12" t="n"/>
      <c r="I178" s="12">
        <f>I174</f>
        <v>0</v>
      </c>
      <c r="J178" s="12">
        <f>J174</f>
        <v>0</v>
      </c>
      <c r="K178" s="12">
        <f>K174</f>
        <v>0</v>
      </c>
      <c r="L178" s="12">
        <f>L174</f>
        <v>0</v>
      </c>
      <c r="M178" s="12">
        <f>M174</f>
        <v>0</v>
      </c>
      <c r="N178" s="12">
        <f>N174</f>
        <v>0</v>
      </c>
      <c r="O178" s="12">
        <f>O174</f>
        <v>0</v>
      </c>
      <c r="P178" s="12">
        <f>P174</f>
        <v>0</v>
      </c>
      <c r="Q178" s="12">
        <f>Q174</f>
        <v>0</v>
      </c>
      <c r="R178" s="12">
        <f>R174</f>
        <v>0</v>
      </c>
      <c r="S178" s="12">
        <f>S174</f>
        <v>0</v>
      </c>
      <c r="T178" s="12">
        <f>T174</f>
        <v>0</v>
      </c>
      <c r="U178" s="12">
        <f>U174</f>
        <v>0</v>
      </c>
      <c r="V178" s="12">
        <f>V174</f>
        <v>0</v>
      </c>
      <c r="W178" s="12">
        <f>W174</f>
        <v>0</v>
      </c>
      <c r="X178" s="12">
        <f>X174</f>
        <v>0</v>
      </c>
      <c r="Y178" s="12">
        <f>Y174</f>
        <v>0</v>
      </c>
      <c r="Z178" s="12">
        <f>Z174</f>
        <v>0</v>
      </c>
      <c r="AA178" s="12">
        <f>AA174</f>
        <v>0</v>
      </c>
      <c r="AB178" s="12">
        <f>AB174</f>
        <v>0</v>
      </c>
      <c r="AC178" s="12">
        <f>AC174</f>
        <v>0</v>
      </c>
      <c r="AD178" s="12">
        <f>AD174</f>
        <v>0</v>
      </c>
      <c r="AE178" s="12">
        <f>AE174</f>
        <v>11093</v>
      </c>
      <c r="AF178" s="12">
        <f>AF174</f>
        <v>0</v>
      </c>
      <c r="AG178" s="12">
        <f>AG174</f>
        <v>0</v>
      </c>
      <c r="AH178" s="12">
        <f>AH174</f>
        <v>21334</v>
      </c>
      <c r="AI178" s="12">
        <f>AI174</f>
        <v>20342</v>
      </c>
      <c r="AJ178" s="12">
        <f>AJ174</f>
        <v>20342</v>
      </c>
      <c r="AK178" s="12">
        <f>AK174</f>
        <v>20342</v>
      </c>
      <c r="AL178" s="12" t="n"/>
      <c r="AM178" s="12">
        <f>AM174</f>
        <v>20342</v>
      </c>
      <c r="AN178" s="12">
        <f>AN174</f>
        <v>20342</v>
      </c>
      <c r="AO178" s="12">
        <f>AO174</f>
        <v>20342</v>
      </c>
      <c r="AP178" s="12">
        <f>AP174</f>
        <v>20342</v>
      </c>
      <c r="AQ178" s="12" t="n"/>
      <c r="AR178" s="12">
        <f>AR174</f>
        <v>20342</v>
      </c>
      <c r="AS178" s="12">
        <f>AS174</f>
        <v>20342</v>
      </c>
      <c r="AT178" s="12">
        <f>AT174</f>
        <v>20342</v>
      </c>
      <c r="AU178" s="12">
        <f>AU174</f>
        <v>20342</v>
      </c>
      <c r="AV178" s="12" t="n"/>
      <c r="AW178" s="12">
        <f>AW174</f>
        <v>20342</v>
      </c>
      <c r="AX178" s="12">
        <f>AX174</f>
        <v>20342</v>
      </c>
      <c r="AY178" s="12">
        <f>AY174</f>
        <v>20342</v>
      </c>
      <c r="AZ178" s="12">
        <f>AZ174</f>
        <v>20342</v>
      </c>
      <c r="BA178" s="12" t="n"/>
      <c r="BB178" s="12">
        <f>BB174</f>
        <v>20342</v>
      </c>
      <c r="BC178" s="12">
        <f>BC174</f>
        <v>20342</v>
      </c>
      <c r="BD178" s="12">
        <f>BD174</f>
        <v>20342</v>
      </c>
      <c r="BE178" s="12">
        <f>BE174</f>
        <v>20342</v>
      </c>
      <c r="BF178" s="12" t="n"/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2" t="n"/>
      <c r="CY178" s="12" t="n"/>
    </row>
    <row r="179" hidden="1" outlineLevel="1">
      <c r="C179" s="57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  <c r="AP179" s="12" t="n"/>
      <c r="AQ179" s="12" t="n"/>
      <c r="AR179" s="12" t="n"/>
      <c r="AS179" s="12" t="n"/>
      <c r="AT179" s="12" t="n"/>
      <c r="AU179" s="12" t="n"/>
      <c r="AV179" s="12" t="n"/>
      <c r="AW179" s="12" t="n"/>
      <c r="AX179" s="12" t="n"/>
      <c r="AY179" s="12" t="n"/>
      <c r="AZ179" s="12" t="n"/>
      <c r="BA179" s="12" t="n"/>
      <c r="BB179" s="12" t="n"/>
      <c r="BC179" s="12" t="n"/>
      <c r="BD179" s="12" t="n"/>
      <c r="BE179" s="12" t="n"/>
      <c r="BF179" s="12" t="n"/>
      <c r="BG179" s="12" t="n"/>
      <c r="BH179" s="12" t="n"/>
      <c r="BI179" s="12" t="n"/>
      <c r="BJ179" s="12" t="n"/>
      <c r="BK179" s="12" t="n"/>
      <c r="BL179" s="12" t="n"/>
      <c r="BM179" s="12" t="n"/>
      <c r="BN179" s="12" t="n"/>
      <c r="BO179" s="12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  <c r="CA179" s="12" t="n"/>
      <c r="CB179" s="12" t="n"/>
      <c r="CC179" s="12" t="n"/>
      <c r="CD179" s="12" t="n"/>
      <c r="CE179" s="12" t="n"/>
      <c r="CF179" s="12" t="n"/>
      <c r="CG179" s="12" t="n"/>
      <c r="CH179" s="12" t="n"/>
      <c r="CI179" s="12" t="n"/>
      <c r="CJ179" s="12" t="n"/>
      <c r="CK179" s="12" t="n"/>
      <c r="CL179" s="12" t="n"/>
      <c r="CM179" s="12" t="n"/>
      <c r="CN179" s="12" t="n"/>
      <c r="CO179" s="12" t="n"/>
      <c r="CP179" s="12" t="n"/>
      <c r="CQ179" s="12" t="n"/>
      <c r="CR179" s="12" t="n"/>
      <c r="CS179" s="12" t="n"/>
      <c r="CT179" s="12" t="n"/>
      <c r="CU179" s="12" t="n"/>
      <c r="CV179" s="12" t="n"/>
      <c r="CW179" s="12" t="n"/>
      <c r="CX179" s="12" t="n"/>
      <c r="CY179" s="12" t="n"/>
    </row>
    <row r="180" hidden="1" outlineLevel="1">
      <c r="C180" s="57" t="inlineStr">
        <is>
          <t>Definir % do D&amp;A No PPE and Intagibles</t>
        </is>
      </c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2" t="n"/>
      <c r="AZ180" s="12" t="n"/>
      <c r="BA180" s="12" t="n"/>
      <c r="BB180" s="12" t="n"/>
      <c r="BC180" s="12" t="n"/>
      <c r="BD180" s="12" t="n"/>
      <c r="BE180" s="12" t="n"/>
      <c r="BF180" s="12" t="n"/>
      <c r="BG180" s="12" t="n"/>
      <c r="BH180" s="12" t="n"/>
      <c r="BI180" s="12" t="n"/>
      <c r="BJ180" s="12" t="n"/>
      <c r="BK180" s="12" t="n"/>
      <c r="BL180" s="12" t="n"/>
      <c r="BM180" s="12" t="n"/>
      <c r="BN180" s="12" t="n"/>
      <c r="BO180" s="12" t="n"/>
      <c r="BP180" s="12" t="n"/>
      <c r="BQ180" s="12" t="n"/>
      <c r="BR180" s="12" t="n"/>
      <c r="BS180" s="12" t="n"/>
      <c r="BT180" s="12" t="n"/>
      <c r="BU180" s="12" t="n"/>
      <c r="BV180" s="12" t="n"/>
      <c r="BW180" s="12" t="n"/>
      <c r="BX180" s="12" t="n"/>
      <c r="BY180" s="12" t="n"/>
      <c r="BZ180" s="12" t="n"/>
      <c r="CA180" s="12" t="n"/>
      <c r="CB180" s="12" t="n"/>
      <c r="CC180" s="12" t="n"/>
      <c r="CD180" s="12" t="n"/>
      <c r="CE180" s="12" t="n"/>
      <c r="CF180" s="12" t="n"/>
      <c r="CG180" s="12" t="n"/>
      <c r="CH180" s="12" t="n"/>
      <c r="CI180" s="12" t="n"/>
      <c r="CJ180" s="12" t="n"/>
      <c r="CK180" s="12" t="n"/>
      <c r="CL180" s="12" t="n"/>
      <c r="CM180" s="12" t="n"/>
      <c r="CN180" s="12" t="n"/>
      <c r="CO180" s="12" t="n"/>
      <c r="CP180" s="12" t="n"/>
      <c r="CQ180" s="12" t="n"/>
      <c r="CR180" s="12" t="n"/>
      <c r="CS180" s="12" t="n"/>
      <c r="CT180" s="12" t="n"/>
      <c r="CU180" s="12" t="n"/>
      <c r="CV180" s="12" t="n"/>
      <c r="CW180" s="12" t="n"/>
      <c r="CX180" s="12" t="n"/>
      <c r="CY180" s="12" t="n"/>
    </row>
    <row r="181" hidden="1" outlineLevel="1">
      <c r="C181" s="57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2" t="n"/>
      <c r="CY181" s="12" t="n"/>
    </row>
    <row r="182" hidden="1" outlineLevel="1">
      <c r="C182" s="57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12" t="n"/>
      <c r="AP182" s="12" t="n"/>
      <c r="AQ182" s="12" t="n"/>
      <c r="AR182" s="12" t="n"/>
      <c r="AS182" s="12" t="n"/>
      <c r="AT182" s="12" t="n"/>
      <c r="AU182" s="12" t="n"/>
      <c r="AV182" s="12" t="n"/>
      <c r="AW182" s="12" t="n"/>
      <c r="AX182" s="12" t="n"/>
      <c r="AY182" s="12" t="n"/>
      <c r="AZ182" s="12" t="n"/>
      <c r="BA182" s="12" t="n"/>
      <c r="BB182" s="12" t="n"/>
      <c r="BC182" s="12" t="n"/>
      <c r="BD182" s="12" t="n"/>
      <c r="BE182" s="12" t="n"/>
      <c r="BF182" s="12" t="n"/>
      <c r="BG182" s="12" t="n"/>
      <c r="BH182" s="12" t="n"/>
      <c r="BI182" s="12" t="n"/>
      <c r="BJ182" s="12" t="n"/>
      <c r="BK182" s="12" t="n"/>
      <c r="BL182" s="12" t="n"/>
      <c r="BM182" s="12" t="n"/>
      <c r="BN182" s="12" t="n"/>
      <c r="BO182" s="12" t="n"/>
      <c r="BP182" s="12" t="n"/>
      <c r="BQ182" s="12" t="n"/>
      <c r="BR182" s="12" t="n"/>
      <c r="BS182" s="12" t="n"/>
      <c r="BT182" s="12" t="n"/>
      <c r="BU182" s="12" t="n"/>
      <c r="BV182" s="12" t="n"/>
      <c r="BW182" s="12" t="n"/>
      <c r="BX182" s="12" t="n"/>
      <c r="BY182" s="12" t="n"/>
      <c r="BZ182" s="12" t="n"/>
      <c r="CA182" s="12" t="n"/>
      <c r="CB182" s="12" t="n"/>
      <c r="CC182" s="12" t="n"/>
      <c r="CD182" s="12" t="n"/>
      <c r="CE182" s="12" t="n"/>
      <c r="CF182" s="12" t="n"/>
      <c r="CG182" s="12" t="n"/>
      <c r="CH182" s="12" t="n"/>
      <c r="CI182" s="12" t="n"/>
      <c r="CJ182" s="12" t="n"/>
      <c r="CK182" s="12" t="n"/>
      <c r="CL182" s="12" t="n"/>
      <c r="CM182" s="12" t="n"/>
      <c r="CN182" s="12" t="n"/>
      <c r="CO182" s="12" t="n"/>
      <c r="CP182" s="12" t="n"/>
      <c r="CQ182" s="12" t="n"/>
      <c r="CR182" s="12" t="n"/>
      <c r="CS182" s="12" t="n"/>
      <c r="CT182" s="12" t="n"/>
      <c r="CU182" s="12" t="n"/>
      <c r="CV182" s="12" t="n"/>
      <c r="CW182" s="12" t="n"/>
      <c r="CX182" s="12" t="n"/>
      <c r="CY182" s="12" t="n"/>
    </row>
    <row r="183" collapsed="1">
      <c r="C183" s="14" t="inlineStr">
        <is>
          <t>Other non-current assets</t>
        </is>
      </c>
      <c r="D183" s="46" t="n"/>
      <c r="E183" s="46" t="n"/>
      <c r="F183" s="46" t="n"/>
      <c r="G183" s="46" t="n"/>
      <c r="H183" s="12" t="n"/>
      <c r="I183" s="46">
        <f>'Inputs (2)'!D26</f>
        <v>43339</v>
      </c>
      <c r="J183" s="46">
        <f>'Inputs (2)'!E26</f>
        <v>44854</v>
      </c>
      <c r="K183" s="46">
        <f>'Inputs (2)'!F26</f>
        <v>48849</v>
      </c>
      <c r="L183" s="46">
        <f>'Inputs (2)'!G26</f>
        <v>50109</v>
      </c>
      <c r="M183" s="12">
        <f>'Inputs (2)'!H26</f>
        <v>50109</v>
      </c>
      <c r="N183" s="46">
        <f>'Inputs (2)'!I26</f>
        <v>51959</v>
      </c>
      <c r="O183" s="46">
        <f>'Inputs (2)'!J26</f>
        <v>52605</v>
      </c>
      <c r="P183" s="46">
        <f>'Inputs (2)'!K26</f>
        <v>54428</v>
      </c>
      <c r="Q183" s="46">
        <f>'Inputs (2)'!L26</f>
        <v>60924</v>
      </c>
      <c r="R183" s="12">
        <f>'Inputs (2)'!M26</f>
        <v>60924</v>
      </c>
      <c r="S183" s="46">
        <f>'Inputs (2)'!N26</f>
        <v>65388</v>
      </c>
      <c r="T183" s="46">
        <f>'Inputs (2)'!O26</f>
        <v>64768</v>
      </c>
      <c r="U183" s="46">
        <f>'Inputs (2)'!P26</f>
        <v>64758</v>
      </c>
      <c r="V183" s="46">
        <f>'Inputs (2)'!Q26</f>
        <v>66681</v>
      </c>
      <c r="W183" s="12">
        <f>'Inputs (2)'!R26</f>
        <v>66681</v>
      </c>
      <c r="X183" s="46">
        <f>'Inputs (2)'!S26</f>
        <v>70262</v>
      </c>
      <c r="Y183" s="46">
        <f>'Inputs (2)'!T26</f>
        <v>70435</v>
      </c>
      <c r="Z183" s="46">
        <f>'Inputs (2)'!U26</f>
        <v>74834</v>
      </c>
      <c r="AA183" s="46">
        <f>'Inputs (2)'!V26</f>
        <v>77183</v>
      </c>
      <c r="AB183" s="12">
        <f>'Inputs (2)'!W26</f>
        <v>77183</v>
      </c>
      <c r="AC183" s="46">
        <f>'Inputs (2)'!X26</f>
        <v>81259</v>
      </c>
      <c r="AD183" s="46">
        <f>'Inputs (2)'!Y26</f>
        <v>82882</v>
      </c>
      <c r="AE183" s="46">
        <f>'Inputs (2)'!Z26</f>
        <v>72634</v>
      </c>
      <c r="AF183" s="46">
        <f>'Inputs (2)'!AA26</f>
        <v>93146</v>
      </c>
      <c r="AG183" s="12">
        <f>'Inputs (2)'!AB26</f>
        <v>93146</v>
      </c>
      <c r="AH183" s="12">
        <f>'Inputs (2)'!AC26</f>
        <v>77430</v>
      </c>
      <c r="AI183" s="12">
        <f>'Inputs (2)'!AD26</f>
        <v>77557</v>
      </c>
      <c r="AJ183" s="12">
        <f>AI183</f>
        <v>77557</v>
      </c>
      <c r="AK183" s="12">
        <f>AJ183</f>
        <v>77557</v>
      </c>
      <c r="AL183" s="12">
        <f>AK183</f>
        <v>77557</v>
      </c>
      <c r="AM183" s="12">
        <f>AL183</f>
        <v>77557</v>
      </c>
      <c r="AN183" s="12">
        <f>AM183</f>
        <v>77557</v>
      </c>
      <c r="AO183" s="12">
        <f>AN183</f>
        <v>77557</v>
      </c>
      <c r="AP183" s="12">
        <f>AO183</f>
        <v>77557</v>
      </c>
      <c r="AQ183" s="12">
        <f>AP183</f>
        <v>77557</v>
      </c>
      <c r="AR183" s="12">
        <f>AQ183</f>
        <v>77557</v>
      </c>
      <c r="AS183" s="12">
        <f>AR183</f>
        <v>77557</v>
      </c>
      <c r="AT183" s="12">
        <f>AS183</f>
        <v>77557</v>
      </c>
      <c r="AU183" s="12">
        <f>AT183</f>
        <v>77557</v>
      </c>
      <c r="AV183" s="12">
        <f>AU183</f>
        <v>77557</v>
      </c>
      <c r="AW183" s="12">
        <f>AV183</f>
        <v>77557</v>
      </c>
      <c r="AX183" s="12">
        <f>AW183</f>
        <v>77557</v>
      </c>
      <c r="AY183" s="12">
        <f>AX183</f>
        <v>77557</v>
      </c>
      <c r="AZ183" s="12">
        <f>AY183</f>
        <v>77557</v>
      </c>
      <c r="BA183" s="12">
        <f>AZ183</f>
        <v>77557</v>
      </c>
      <c r="BB183" s="12">
        <f>BA183</f>
        <v>77557</v>
      </c>
      <c r="BC183" s="12">
        <f>BB183</f>
        <v>77557</v>
      </c>
      <c r="BD183" s="12">
        <f>BC183</f>
        <v>77557</v>
      </c>
      <c r="BE183" s="12">
        <f>BD183</f>
        <v>77557</v>
      </c>
      <c r="BF183" s="12">
        <f>BE183</f>
        <v>77557</v>
      </c>
      <c r="BG183" s="12" t="n"/>
      <c r="BH183" s="12" t="n"/>
      <c r="BI183" s="12" t="n"/>
      <c r="BJ183" s="12" t="n"/>
      <c r="BK183" s="12" t="n"/>
      <c r="BL183" s="12" t="n"/>
      <c r="BM183" s="12" t="n"/>
      <c r="BN183" s="12" t="n"/>
      <c r="BO183" s="12" t="n"/>
      <c r="BP183" s="12" t="n"/>
      <c r="BQ183" s="12" t="n"/>
      <c r="BR183" s="12" t="n"/>
      <c r="BS183" s="12" t="n"/>
      <c r="BT183" s="12" t="n"/>
      <c r="BU183" s="12" t="n"/>
      <c r="BV183" s="12" t="n"/>
      <c r="BW183" s="12" t="n"/>
      <c r="BX183" s="12" t="n"/>
      <c r="BY183" s="12" t="n"/>
      <c r="BZ183" s="12" t="n"/>
      <c r="CA183" s="12" t="n"/>
      <c r="CB183" s="12" t="n"/>
      <c r="CC183" s="12" t="n"/>
      <c r="CD183" s="12" t="n"/>
      <c r="CE183" s="12" t="n"/>
      <c r="CF183" s="12" t="n"/>
      <c r="CG183" s="12" t="n"/>
      <c r="CH183" s="12" t="n"/>
      <c r="CI183" s="12" t="n"/>
      <c r="CJ183" s="12" t="n"/>
      <c r="CK183" s="12" t="n"/>
      <c r="CL183" s="12" t="n"/>
      <c r="CM183" s="12" t="n"/>
      <c r="CN183" s="12" t="n"/>
      <c r="CO183" s="12" t="n"/>
      <c r="CP183" s="12" t="n"/>
      <c r="CQ183" s="12" t="n"/>
      <c r="CR183" s="12" t="n"/>
      <c r="CS183" s="12" t="n"/>
      <c r="CT183" s="12" t="n"/>
      <c r="CU183" s="12" t="n"/>
      <c r="CV183" s="12" t="n"/>
      <c r="CW183" s="12" t="n"/>
      <c r="CX183" s="12" t="n"/>
      <c r="CY183" s="12" t="n"/>
    </row>
    <row r="184" hidden="1" outlineLevel="1">
      <c r="C184" s="59" t="inlineStr">
        <is>
          <t>%(Var.)</t>
        </is>
      </c>
      <c r="D184" s="12" t="n"/>
      <c r="E184" s="40" t="n"/>
      <c r="F184" s="40" t="n"/>
      <c r="G184" s="40" t="n"/>
      <c r="H184" s="12" t="n"/>
      <c r="I184" s="40" t="str">
        <f>""</f>
        <v/>
      </c>
      <c r="J184" s="40">
        <f>IF(I183=0,"",J183/I183-1)</f>
        <v>0.0349569671658321</v>
      </c>
      <c r="K184" s="40">
        <f>IF(J183=0,"",K183/J183-1)</f>
        <v>0.0890667498996745</v>
      </c>
      <c r="L184" s="40">
        <f>IF(K183=0,"",L183/K183-1)</f>
        <v>0.0257937726463182</v>
      </c>
      <c r="M184" s="12">
        <f>IF(L183=0,"",M183/L183-1)</f>
        <v>0</v>
      </c>
      <c r="N184" s="40">
        <f>IF(M183=0,"",N183/M183-1)</f>
        <v>0.0369195154563053</v>
      </c>
      <c r="O184" s="40">
        <f>IF(N183=0,"",O183/N183-1)</f>
        <v>0.0124328797705884</v>
      </c>
      <c r="P184" s="40">
        <f>IF(O183=0,"",P183/O183-1)</f>
        <v>0.0346545005227641</v>
      </c>
      <c r="Q184" s="40">
        <f>IF(P183=0,"",Q183/P183-1)</f>
        <v>0.119350334386713</v>
      </c>
      <c r="R184" s="12">
        <f>IF(Q183=0,"",R183/Q183-1)</f>
        <v>0</v>
      </c>
      <c r="S184" s="40">
        <f>IF(R183=0,"",S183/R183-1)</f>
        <v>0.0732716170967107</v>
      </c>
      <c r="T184" s="40">
        <f>IF(S183=0,"",T183/S183-1)</f>
        <v>-0.00948186211537283</v>
      </c>
      <c r="U184" s="40">
        <f>IF(T183=0,"",U183/T183-1)</f>
        <v>-0.000154397233201542</v>
      </c>
      <c r="V184" s="40">
        <f>IF(U183=0,"",V183/U183-1)</f>
        <v>0.0296951727971833</v>
      </c>
      <c r="W184" s="12">
        <f>IF(V183=0,"",W183/V183-1)</f>
        <v>0</v>
      </c>
      <c r="X184" s="40">
        <f>IF(W183=0,"",X183/W183-1)</f>
        <v>0.0537034537574421</v>
      </c>
      <c r="Y184" s="40">
        <f>IF(X183=0,"",Y183/X183-1)</f>
        <v>0.00246221286043657</v>
      </c>
      <c r="Z184" s="40">
        <f>IF(Y183=0,"",Z183/Y183-1)</f>
        <v>0.0624547455100448</v>
      </c>
      <c r="AA184" s="40">
        <f>IF(Z183=0,"",AA183/Z183-1)</f>
        <v>0.0313894753721571</v>
      </c>
      <c r="AB184" s="12">
        <f>IF(AA183=0,"",AB183/AA183-1)</f>
        <v>0</v>
      </c>
      <c r="AC184" s="40">
        <f>IF(AB183=0,"",AC183/AB183-1)</f>
        <v>0.0528095565085576</v>
      </c>
      <c r="AD184" s="40">
        <f>IF(AC183=0,"",AD183/AC183-1)</f>
        <v>0.0199731722024636</v>
      </c>
      <c r="AE184" s="40">
        <f>IF(AD183=0,"",AE183/AD183-1)</f>
        <v>-0.123645664921213</v>
      </c>
      <c r="AF184" s="55">
        <f>IF(AE183=0,"",AF183/AE183-1)</f>
        <v>0.282402180796872</v>
      </c>
      <c r="AG184" s="12">
        <f>IF(AF183=0,"",AG183/AF183-1)</f>
        <v>0</v>
      </c>
      <c r="AH184" s="55">
        <f>IF(AG183=0,"",AH183/AG183-1)</f>
        <v>-0.168724368196165</v>
      </c>
      <c r="AI184" s="55">
        <f>IF(AH183=0,"",AI183/AH183-1)</f>
        <v>0.00164019114038494</v>
      </c>
      <c r="AJ184" s="55">
        <f>IF(AI183=0,"",AJ183/AI183-1)</f>
        <v>0</v>
      </c>
      <c r="AK184" s="55">
        <f>IF(AJ183=0,"",AK183/AJ183-1)</f>
        <v>0</v>
      </c>
      <c r="AL184" s="12">
        <f>IF(AK183=0,"",AL183/AK183-1)</f>
        <v>0</v>
      </c>
      <c r="AM184" s="55">
        <f>IF(AL183=0,"",AM183/AL183-1)</f>
        <v>0</v>
      </c>
      <c r="AN184" s="55">
        <f>IF(AM183=0,"",AN183/AM183-1)</f>
        <v>0</v>
      </c>
      <c r="AO184" s="55">
        <f>IF(AN183=0,"",AO183/AN183-1)</f>
        <v>0</v>
      </c>
      <c r="AP184" s="55">
        <f>IF(AO183=0,"",AP183/AO183-1)</f>
        <v>0</v>
      </c>
      <c r="AQ184" s="12">
        <f>IF(AP183=0,"",AQ183/AP183-1)</f>
        <v>0</v>
      </c>
      <c r="AR184" s="55">
        <f>IF(AQ183=0,"",AR183/AQ183-1)</f>
        <v>0</v>
      </c>
      <c r="AS184" s="55">
        <f>IF(AR183=0,"",AS183/AR183-1)</f>
        <v>0</v>
      </c>
      <c r="AT184" s="55">
        <f>IF(AS183=0,"",AT183/AS183-1)</f>
        <v>0</v>
      </c>
      <c r="AU184" s="55">
        <f>IF(AT183=0,"",AU183/AT183-1)</f>
        <v>0</v>
      </c>
      <c r="AV184" s="12">
        <f>IF(AU183=0,"",AV183/AU183-1)</f>
        <v>0</v>
      </c>
      <c r="AW184" s="55">
        <f>IF(AV183=0,"",AW183/AV183-1)</f>
        <v>0</v>
      </c>
      <c r="AX184" s="55">
        <f>IF(AW183=0,"",AX183/AW183-1)</f>
        <v>0</v>
      </c>
      <c r="AY184" s="55">
        <f>IF(AX183=0,"",AY183/AX183-1)</f>
        <v>0</v>
      </c>
      <c r="AZ184" s="55">
        <f>IF(AY183=0,"",AZ183/AY183-1)</f>
        <v>0</v>
      </c>
      <c r="BA184" s="12">
        <f>IF(AZ183=0,"",BA183/AZ183-1)</f>
        <v>0</v>
      </c>
      <c r="BB184" s="55">
        <f>IF(BA183=0,"",BB183/BA183-1)</f>
        <v>0</v>
      </c>
      <c r="BC184" s="55">
        <f>IF(BB183=0,"",BC183/BB183-1)</f>
        <v>0</v>
      </c>
      <c r="BD184" s="55">
        <f>IF(BC183=0,"",BD183/BC183-1)</f>
        <v>0</v>
      </c>
      <c r="BE184" s="55">
        <f>IF(BD183=0,"",BE183/BD183-1)</f>
        <v>0</v>
      </c>
      <c r="BF184" s="12">
        <f>IF(BE183=0,"",BF183/BE183-1)</f>
        <v>0</v>
      </c>
      <c r="BG184" s="55" t="n"/>
      <c r="BH184" s="55" t="n"/>
      <c r="BI184" s="55" t="n"/>
      <c r="BJ184" s="55" t="n"/>
      <c r="BK184" s="12" t="n"/>
      <c r="BL184" s="55" t="n"/>
      <c r="BM184" s="55" t="n"/>
      <c r="BN184" s="55" t="n"/>
      <c r="BO184" s="55" t="n"/>
      <c r="BP184" s="12" t="n"/>
      <c r="BQ184" s="55" t="n"/>
      <c r="BR184" s="55" t="n"/>
      <c r="BS184" s="55" t="n"/>
      <c r="BT184" s="55" t="n"/>
      <c r="BU184" s="12" t="n"/>
      <c r="BV184" s="55" t="n"/>
      <c r="BW184" s="55" t="n"/>
      <c r="BX184" s="55" t="n"/>
      <c r="BY184" s="55" t="n"/>
      <c r="BZ184" s="12" t="n"/>
      <c r="CA184" s="55" t="n"/>
      <c r="CB184" s="55" t="n"/>
      <c r="CC184" s="55" t="n"/>
      <c r="CD184" s="55" t="n"/>
      <c r="CE184" s="12" t="n"/>
      <c r="CF184" s="55" t="n"/>
      <c r="CG184" s="55" t="n"/>
      <c r="CH184" s="55" t="n"/>
      <c r="CI184" s="55" t="n"/>
      <c r="CJ184" s="12" t="n"/>
      <c r="CK184" s="55" t="n"/>
      <c r="CL184" s="55" t="n"/>
      <c r="CM184" s="55" t="n"/>
      <c r="CN184" s="55" t="n"/>
      <c r="CO184" s="12" t="n"/>
      <c r="CP184" s="55" t="n"/>
      <c r="CQ184" s="55" t="n"/>
      <c r="CR184" s="55" t="n"/>
      <c r="CS184" s="55" t="n"/>
      <c r="CT184" s="12" t="n"/>
      <c r="CU184" s="55" t="n"/>
      <c r="CV184" s="55" t="n"/>
      <c r="CW184" s="55" t="n"/>
      <c r="CX184" s="55" t="n"/>
      <c r="CY184" s="12" t="n"/>
    </row>
    <row r="185" hidden="1" outlineLevel="1">
      <c r="C185" s="57" t="n"/>
      <c r="D185" s="12" t="n"/>
      <c r="E185" s="40" t="n"/>
      <c r="F185" s="40" t="n"/>
      <c r="G185" s="40" t="n"/>
      <c r="H185" s="12" t="n"/>
      <c r="I185" s="40" t="n"/>
      <c r="J185" s="40" t="n"/>
      <c r="K185" s="40" t="n"/>
      <c r="L185" s="40" t="n"/>
      <c r="M185" s="12" t="n"/>
      <c r="N185" s="40" t="n"/>
      <c r="O185" s="40" t="n"/>
      <c r="P185" s="40" t="n"/>
      <c r="Q185" s="40" t="n"/>
      <c r="R185" s="12" t="n"/>
      <c r="S185" s="40" t="n"/>
      <c r="T185" s="40" t="n"/>
      <c r="U185" s="40" t="n"/>
      <c r="V185" s="40" t="n"/>
      <c r="W185" s="12" t="n"/>
      <c r="X185" s="40" t="n"/>
      <c r="Y185" s="40" t="n"/>
      <c r="Z185" s="40" t="n"/>
      <c r="AA185" s="40" t="n"/>
      <c r="AB185" s="12" t="n"/>
      <c r="AC185" s="40" t="n"/>
      <c r="AD185" s="40" t="n"/>
      <c r="AE185" s="40" t="n"/>
      <c r="AF185" s="55" t="n"/>
      <c r="AG185" s="12" t="n"/>
      <c r="AH185" s="55" t="n"/>
      <c r="AI185" s="55" t="n"/>
      <c r="AJ185" s="55" t="n"/>
      <c r="AK185" s="55" t="n"/>
      <c r="AL185" s="12" t="n"/>
      <c r="AM185" s="55" t="n"/>
      <c r="AN185" s="55" t="n"/>
      <c r="AO185" s="55" t="n"/>
      <c r="AP185" s="55" t="n"/>
      <c r="AQ185" s="12" t="n"/>
      <c r="AR185" s="55" t="n"/>
      <c r="AS185" s="55" t="n"/>
      <c r="AT185" s="55" t="n"/>
      <c r="AU185" s="55" t="n"/>
      <c r="AV185" s="12" t="n"/>
      <c r="AW185" s="55" t="n"/>
      <c r="AX185" s="55" t="n"/>
      <c r="AY185" s="55" t="n"/>
      <c r="AZ185" s="55" t="n"/>
      <c r="BA185" s="12" t="n"/>
      <c r="BB185" s="55" t="n"/>
      <c r="BC185" s="55" t="n"/>
      <c r="BD185" s="55" t="n"/>
      <c r="BE185" s="55" t="n"/>
      <c r="BF185" s="12" t="n"/>
      <c r="BG185" s="55" t="n"/>
      <c r="BH185" s="55" t="n"/>
      <c r="BI185" s="55" t="n"/>
      <c r="BJ185" s="55" t="n"/>
      <c r="BK185" s="12" t="n"/>
      <c r="BL185" s="55" t="n"/>
      <c r="BM185" s="55" t="n"/>
      <c r="BN185" s="55" t="n"/>
      <c r="BO185" s="55" t="n"/>
      <c r="BP185" s="12" t="n"/>
      <c r="BQ185" s="55" t="n"/>
      <c r="BR185" s="55" t="n"/>
      <c r="BS185" s="55" t="n"/>
      <c r="BT185" s="55" t="n"/>
      <c r="BU185" s="12" t="n"/>
      <c r="BV185" s="55" t="n"/>
      <c r="BW185" s="55" t="n"/>
      <c r="BX185" s="55" t="n"/>
      <c r="BY185" s="55" t="n"/>
      <c r="BZ185" s="12" t="n"/>
      <c r="CA185" s="55" t="n"/>
      <c r="CB185" s="55" t="n"/>
      <c r="CC185" s="55" t="n"/>
      <c r="CD185" s="55" t="n"/>
      <c r="CE185" s="12" t="n"/>
      <c r="CF185" s="55" t="n"/>
      <c r="CG185" s="55" t="n"/>
      <c r="CH185" s="55" t="n"/>
      <c r="CI185" s="55" t="n"/>
      <c r="CJ185" s="12" t="n"/>
      <c r="CK185" s="55" t="n"/>
      <c r="CL185" s="55" t="n"/>
      <c r="CM185" s="55" t="n"/>
      <c r="CN185" s="55" t="n"/>
      <c r="CO185" s="12" t="n"/>
      <c r="CP185" s="55" t="n"/>
      <c r="CQ185" s="55" t="n"/>
      <c r="CR185" s="55" t="n"/>
      <c r="CS185" s="55" t="n"/>
      <c r="CT185" s="12" t="n"/>
      <c r="CU185" s="55" t="n"/>
      <c r="CV185" s="55" t="n"/>
      <c r="CW185" s="55" t="n"/>
      <c r="CX185" s="55" t="n"/>
      <c r="CY185" s="12" t="n"/>
    </row>
    <row r="186" hidden="1" outlineLevel="1">
      <c r="C186" s="60" t="inlineStr">
        <is>
          <t>Outros Créditos - LP</t>
        </is>
      </c>
      <c r="D186" s="11" t="n"/>
      <c r="E186" s="11" t="n"/>
      <c r="F186" s="11" t="n"/>
      <c r="G186" s="11" t="n"/>
      <c r="H186" s="12" t="n"/>
      <c r="I186" s="11" t="n"/>
      <c r="J186" s="11" t="n"/>
      <c r="K186" s="11" t="n"/>
      <c r="L186" s="11" t="n"/>
      <c r="M186" s="12" t="n"/>
      <c r="N186" s="11" t="n"/>
      <c r="O186" s="11" t="n"/>
      <c r="P186" s="11" t="n"/>
      <c r="Q186" s="11" t="n"/>
      <c r="R186" s="12" t="n"/>
      <c r="S186" s="11" t="n"/>
      <c r="T186" s="11" t="n"/>
      <c r="U186" s="11" t="n"/>
      <c r="V186" s="11" t="n"/>
      <c r="W186" s="12" t="n"/>
      <c r="X186" s="11" t="n"/>
      <c r="Y186" s="11" t="n"/>
      <c r="Z186" s="11" t="n"/>
      <c r="AA186" s="11" t="n"/>
      <c r="AB186" s="12" t="n"/>
      <c r="AC186" s="11" t="n"/>
      <c r="AD186" s="11" t="n"/>
      <c r="AE186" s="11" t="n"/>
      <c r="AF186" s="11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  <c r="CU186" s="12" t="n"/>
      <c r="CV186" s="12" t="n"/>
      <c r="CW186" s="12" t="n"/>
      <c r="CX186" s="12" t="n"/>
      <c r="CY186" s="12" t="n"/>
    </row>
    <row r="187" hidden="1" outlineLevel="1">
      <c r="C187" s="60" t="inlineStr">
        <is>
          <t xml:space="preserve">Impostos e Contribuições a Recuperar </t>
        </is>
      </c>
      <c r="D187" s="11" t="n"/>
      <c r="E187" s="11" t="n"/>
      <c r="F187" s="11" t="n"/>
      <c r="G187" s="11" t="n"/>
      <c r="H187" s="12" t="n"/>
      <c r="I187" s="11" t="n"/>
      <c r="J187" s="11" t="n"/>
      <c r="K187" s="11" t="n"/>
      <c r="L187" s="11" t="n"/>
      <c r="M187" s="12" t="n"/>
      <c r="N187" s="11" t="n"/>
      <c r="O187" s="11" t="n"/>
      <c r="P187" s="11" t="n"/>
      <c r="Q187" s="11" t="n"/>
      <c r="R187" s="12" t="n"/>
      <c r="S187" s="11" t="n"/>
      <c r="T187" s="11" t="n"/>
      <c r="U187" s="11" t="n"/>
      <c r="V187" s="11" t="n"/>
      <c r="W187" s="12" t="n"/>
      <c r="X187" s="11" t="n"/>
      <c r="Y187" s="11" t="n"/>
      <c r="Z187" s="11" t="n"/>
      <c r="AA187" s="11" t="n"/>
      <c r="AB187" s="12" t="n"/>
      <c r="AC187" s="11" t="n"/>
      <c r="AD187" s="11" t="n"/>
      <c r="AE187" s="11" t="n"/>
      <c r="AF187" s="11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  <c r="CR187" s="12" t="n"/>
      <c r="CS187" s="12" t="n"/>
      <c r="CT187" s="12" t="n"/>
      <c r="CU187" s="12" t="n"/>
      <c r="CV187" s="12" t="n"/>
      <c r="CW187" s="12" t="n"/>
      <c r="CX187" s="12" t="n"/>
      <c r="CY187" s="12" t="n"/>
    </row>
    <row r="188" hidden="1" outlineLevel="1">
      <c r="C188" s="60" t="inlineStr">
        <is>
          <t xml:space="preserve">Imposto de Renda e Contribuição Social Diferidos </t>
        </is>
      </c>
      <c r="D188" s="11" t="n"/>
      <c r="E188" s="11" t="n"/>
      <c r="F188" s="11" t="n"/>
      <c r="G188" s="11" t="n"/>
      <c r="H188" s="12" t="n"/>
      <c r="I188" s="11" t="n"/>
      <c r="J188" s="11" t="n"/>
      <c r="K188" s="11" t="n"/>
      <c r="L188" s="11" t="n"/>
      <c r="M188" s="12" t="n"/>
      <c r="N188" s="11" t="n"/>
      <c r="O188" s="11" t="n"/>
      <c r="P188" s="11" t="n"/>
      <c r="Q188" s="11" t="n"/>
      <c r="R188" s="12" t="n"/>
      <c r="S188" s="11" t="n"/>
      <c r="T188" s="11" t="n"/>
      <c r="U188" s="11" t="n"/>
      <c r="V188" s="11" t="n"/>
      <c r="W188" s="12" t="n"/>
      <c r="X188" s="11" t="n"/>
      <c r="Y188" s="11" t="n"/>
      <c r="Z188" s="11" t="n"/>
      <c r="AA188" s="11" t="n"/>
      <c r="AB188" s="12" t="n"/>
      <c r="AC188" s="11" t="n"/>
      <c r="AD188" s="11" t="n"/>
      <c r="AE188" s="11" t="n"/>
      <c r="AF188" s="11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  <c r="BE188" s="12" t="n"/>
      <c r="BF188" s="12" t="n"/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  <c r="CU188" s="12" t="n"/>
      <c r="CV188" s="12" t="n"/>
      <c r="CW188" s="12" t="n"/>
      <c r="CX188" s="12" t="n"/>
      <c r="CY188" s="12" t="n"/>
    </row>
    <row r="189" hidden="1" outlineLevel="1">
      <c r="C189" s="60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12" t="n"/>
      <c r="AP189" s="12" t="n"/>
      <c r="AQ189" s="12" t="n"/>
      <c r="AR189" s="12" t="n"/>
      <c r="AS189" s="12" t="n"/>
      <c r="AT189" s="12" t="n"/>
      <c r="AU189" s="12" t="n"/>
      <c r="AV189" s="12" t="n"/>
      <c r="AW189" s="12" t="n"/>
      <c r="AX189" s="12" t="n"/>
      <c r="AY189" s="12" t="n"/>
      <c r="AZ189" s="12" t="n"/>
      <c r="BA189" s="12" t="n"/>
      <c r="BB189" s="12" t="n"/>
      <c r="BC189" s="12" t="n"/>
      <c r="BD189" s="12" t="n"/>
      <c r="BE189" s="12" t="n"/>
      <c r="BF189" s="12" t="n"/>
      <c r="BG189" s="12" t="n"/>
      <c r="BH189" s="12" t="n"/>
      <c r="BI189" s="12" t="n"/>
      <c r="BJ189" s="12" t="n"/>
      <c r="BK189" s="12" t="n"/>
      <c r="BL189" s="12" t="n"/>
      <c r="BM189" s="12" t="n"/>
      <c r="BN189" s="12" t="n"/>
      <c r="BO189" s="12" t="n"/>
      <c r="BP189" s="12" t="n"/>
      <c r="BQ189" s="12" t="n"/>
      <c r="BR189" s="12" t="n"/>
      <c r="BS189" s="12" t="n"/>
      <c r="BT189" s="12" t="n"/>
      <c r="BU189" s="12" t="n"/>
      <c r="BV189" s="12" t="n"/>
      <c r="BW189" s="12" t="n"/>
      <c r="BX189" s="12" t="n"/>
      <c r="BY189" s="12" t="n"/>
      <c r="BZ189" s="12" t="n"/>
      <c r="CA189" s="12" t="n"/>
      <c r="CB189" s="12" t="n"/>
      <c r="CC189" s="12" t="n"/>
      <c r="CD189" s="12" t="n"/>
      <c r="CE189" s="12" t="n"/>
      <c r="CF189" s="12" t="n"/>
      <c r="CG189" s="12" t="n"/>
      <c r="CH189" s="12" t="n"/>
      <c r="CI189" s="12" t="n"/>
      <c r="CJ189" s="12" t="n"/>
      <c r="CK189" s="12" t="n"/>
      <c r="CL189" s="12" t="n"/>
      <c r="CM189" s="12" t="n"/>
      <c r="CN189" s="12" t="n"/>
      <c r="CO189" s="12" t="n"/>
      <c r="CP189" s="12" t="n"/>
      <c r="CQ189" s="12" t="n"/>
      <c r="CR189" s="12" t="n"/>
      <c r="CS189" s="12" t="n"/>
      <c r="CT189" s="12" t="n"/>
      <c r="CU189" s="12" t="n"/>
      <c r="CV189" s="12" t="n"/>
      <c r="CW189" s="12" t="n"/>
      <c r="CX189" s="12" t="n"/>
      <c r="CY189" s="12" t="n"/>
    </row>
    <row r="190" hidden="1" outlineLevel="1">
      <c r="C190" s="57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  <c r="AP190" s="12" t="n"/>
      <c r="AQ190" s="12" t="n"/>
      <c r="AR190" s="12" t="n"/>
      <c r="AS190" s="12" t="n"/>
      <c r="AT190" s="12" t="n"/>
      <c r="AU190" s="12" t="n"/>
      <c r="AV190" s="12" t="n"/>
      <c r="AW190" s="12" t="n"/>
      <c r="AX190" s="12" t="n"/>
      <c r="AY190" s="12" t="n"/>
      <c r="AZ190" s="12" t="n"/>
      <c r="BA190" s="12" t="n"/>
      <c r="BB190" s="12" t="n"/>
      <c r="BC190" s="12" t="n"/>
      <c r="BD190" s="12" t="n"/>
      <c r="BE190" s="12" t="n"/>
      <c r="BF190" s="12" t="n"/>
      <c r="BG190" s="12" t="n"/>
      <c r="BH190" s="12" t="n"/>
      <c r="BI190" s="12" t="n"/>
      <c r="BJ190" s="12" t="n"/>
      <c r="BK190" s="12" t="n"/>
      <c r="BL190" s="12" t="n"/>
      <c r="BM190" s="12" t="n"/>
      <c r="BN190" s="12" t="n"/>
      <c r="BO190" s="12" t="n"/>
      <c r="BP190" s="12" t="n"/>
      <c r="BQ190" s="12" t="n"/>
      <c r="BR190" s="12" t="n"/>
      <c r="BS190" s="12" t="n"/>
      <c r="BT190" s="12" t="n"/>
      <c r="BU190" s="12" t="n"/>
      <c r="BV190" s="12" t="n"/>
      <c r="BW190" s="12" t="n"/>
      <c r="BX190" s="12" t="n"/>
      <c r="BY190" s="12" t="n"/>
      <c r="BZ190" s="12" t="n"/>
      <c r="CA190" s="12" t="n"/>
      <c r="CB190" s="12" t="n"/>
      <c r="CC190" s="12" t="n"/>
      <c r="CD190" s="12" t="n"/>
      <c r="CE190" s="12" t="n"/>
      <c r="CF190" s="12" t="n"/>
      <c r="CG190" s="12" t="n"/>
      <c r="CH190" s="12" t="n"/>
      <c r="CI190" s="12" t="n"/>
      <c r="CJ190" s="12" t="n"/>
      <c r="CK190" s="12" t="n"/>
      <c r="CL190" s="12" t="n"/>
      <c r="CM190" s="12" t="n"/>
      <c r="CN190" s="12" t="n"/>
      <c r="CO190" s="12" t="n"/>
      <c r="CP190" s="12" t="n"/>
      <c r="CQ190" s="12" t="n"/>
      <c r="CR190" s="12" t="n"/>
      <c r="CS190" s="12" t="n"/>
      <c r="CT190" s="12" t="n"/>
      <c r="CU190" s="12" t="n"/>
      <c r="CV190" s="12" t="n"/>
      <c r="CW190" s="12" t="n"/>
      <c r="CX190" s="12" t="n"/>
      <c r="CY190" s="12" t="n"/>
    </row>
    <row r="191" collapsed="1" customFormat="1" s="32">
      <c r="A191" s="30" t="n"/>
      <c r="B191" s="3" t="n"/>
      <c r="C191" s="33" t="inlineStr">
        <is>
          <t>Total Assets</t>
        </is>
      </c>
      <c r="D191" s="35" t="n"/>
      <c r="E191" s="35" t="n"/>
      <c r="F191" s="35" t="n"/>
      <c r="G191" s="35" t="n"/>
      <c r="H191" s="35" t="n"/>
      <c r="I191" s="35">
        <f>SUM(I138,I139,I143,I147,I148,I149,I155,I160,I170,I173,I174,I183)</f>
        <v>337158</v>
      </c>
      <c r="J191" s="35">
        <f>SUM(J138,J139,J143,J147,J148,J149,J155,J160,J170,J173,J174,J183)</f>
        <v>329840</v>
      </c>
      <c r="K191" s="35">
        <f>SUM(K138,K139,K143,K147,K148,K149,K155,K160,K170,K173,K174,K183)</f>
        <v>351002</v>
      </c>
      <c r="L191" s="35">
        <f>SUM(L138,L139,L143,L147,L148,L149,L155,L160,L170,L173,L174,L183)</f>
        <v>381191</v>
      </c>
      <c r="M191" s="35">
        <f>SUM(M138,M139,M143,M147,M148,M149,M155,M160,M170,M173,M174,M183)</f>
        <v>381191</v>
      </c>
      <c r="N191" s="35">
        <f>SUM(N138,N139,N143,N147,N148,N149,N155,N160,N170,N173,N174,N183)</f>
        <v>350662</v>
      </c>
      <c r="O191" s="35">
        <f>SUM(O138,O139,O143,O147,O148,O149,O155,O160,O170,O173,O174,O183)</f>
        <v>336309</v>
      </c>
      <c r="P191" s="35">
        <f>SUM(P138,P139,P143,P147,P148,P149,P155,P160,P170,P173,P174,P183)</f>
        <v>352755</v>
      </c>
      <c r="Q191" s="35">
        <f>SUM(Q138,Q139,Q143,Q147,Q148,Q149,Q155,Q160,Q170,Q173,Q174,Q183)</f>
        <v>346747</v>
      </c>
      <c r="R191" s="35">
        <f>SUM(R138,R139,R143,R147,R148,R149,R155,R160,R170,R173,R174,R183)</f>
        <v>346747</v>
      </c>
      <c r="S191" s="35">
        <f>SUM(S138,S139,S143,S147,S148,S149,S155,S160,S170,S173,S174,S183)</f>
        <v>332160</v>
      </c>
      <c r="T191" s="35">
        <f>SUM(T138,T139,T143,T147,T148,T149,T155,T160,T170,T173,T174,T183)</f>
        <v>335038</v>
      </c>
      <c r="U191" s="35">
        <f>SUM(U138,U139,U143,U147,U148,U149,U155,U160,U170,U173,U174,U183)</f>
        <v>352583</v>
      </c>
      <c r="V191" s="35">
        <f>SUM(V138,V139,V143,V147,V148,V149,V155,V160,V170,V173,V174,V183)</f>
        <v>353514</v>
      </c>
      <c r="W191" s="35">
        <f>SUM(W138,W139,W143,W147,W148,W149,W155,W160,W170,W173,W174,W183)</f>
        <v>353514</v>
      </c>
      <c r="X191" s="35">
        <f>SUM(X138,X139,X143,X147,X148,X149,X155,X160,X170,X173,X174,X183)</f>
        <v>337411</v>
      </c>
      <c r="Y191" s="35">
        <f>SUM(Y138,Y139,Y143,Y147,Y148,Y149,Y155,Y160,Y170,Y173,Y174,Y183)</f>
        <v>331612</v>
      </c>
      <c r="Z191" s="35">
        <f>SUM(Z138,Z139,Z143,Z147,Z148,Z149,Z155,Z160,Z170,Z173,Z174,Z183)</f>
        <v>364980</v>
      </c>
      <c r="AA191" s="35">
        <f>SUM(AA138,AA139,AA143,AA147,AA148,AA149,AA155,AA160,AA170,AA173,AA174,AA183)</f>
        <v>344085</v>
      </c>
      <c r="AB191" s="35">
        <f>SUM(AB138,AB139,AB143,AB147,AB148,AB149,AB155,AB160,AB170,AB173,AB174,AB183)</f>
        <v>344085</v>
      </c>
      <c r="AC191" s="35">
        <f>SUM(AC138,AC139,AC143,AC147,AC148,AC149,AC155,AC160,AC170,AC173,AC174,AC183)</f>
        <v>331233</v>
      </c>
      <c r="AD191" s="35">
        <f>SUM(AD138,AD139,AD143,AD147,AD148,AD149,AD155,AD160,AD170,AD173,AD174,AD183)</f>
        <v>331495</v>
      </c>
      <c r="AE191" s="35">
        <f>SUM(AE138,AE139,AE143,AE147,AE148,AE149,AE155,AE160,AE170,AE173,AE174,AE183)</f>
        <v>359241</v>
      </c>
      <c r="AF191" s="35">
        <f>SUM(AF138,AF139,AF143,AF147,AF148,AF149,AF155,AF160,AF170,AF173,AF174,AF183)</f>
        <v>379297</v>
      </c>
      <c r="AG191" s="35">
        <f>SUM(AG138,AG139,AG143,AG147,AG148,AG149,AG155,AG160,AG170,AG173,AG174,AG183)</f>
        <v>379297</v>
      </c>
      <c r="AH191" s="35">
        <f>SUM(AH138,AH139,AH143,AH147,AH148,AH149,AH155,AH160,AH170,AH173,AH174,AH183)</f>
        <v>371082</v>
      </c>
      <c r="AI191" s="35">
        <f>SUM(AI138,AI139,AI143,AI147,AI148,AI149,AI155,AI160,AI170,AI173,AI174,AI183)</f>
        <v>383266</v>
      </c>
      <c r="AJ191" s="35">
        <f>SUM(AJ138,AJ139,AJ143,AJ147,AJ148,AJ149,AJ155,AJ160,AJ170,AJ173,AJ174,AJ183)</f>
        <v>413422.801296908</v>
      </c>
      <c r="AK191" s="35">
        <f>SUM(AK138,AK139,AK143,AK147,AK148,AK149,AK155,AK160,AK170,AK173,AK174,AK183)</f>
        <v>482325.425488693</v>
      </c>
      <c r="AL191" s="35">
        <f>SUM(AL138,AL139,AL143,AL147,AL148,AL149,AL155,AL160,AL170,AL173,AL174,AL183)</f>
        <v>482325.425488693</v>
      </c>
      <c r="AM191" s="35">
        <f>SUM(AM138,AM139,AM143,AM147,AM148,AM149,AM155,AM160,AM170,AM173,AM174,AM183)</f>
        <v>496909.696294946</v>
      </c>
      <c r="AN191" s="35">
        <f>SUM(AN138,AN139,AN143,AN147,AN148,AN149,AN155,AN160,AN170,AN173,AN174,AN183)</f>
        <v>527851.129737235</v>
      </c>
      <c r="AO191" s="35">
        <f>SUM(AO138,AO139,AO143,AO147,AO148,AO149,AO155,AO160,AO170,AO173,AO174,AO183)</f>
        <v>564756.184775808</v>
      </c>
      <c r="AP191" s="35">
        <f>SUM(AP138,AP139,AP143,AP147,AP148,AP149,AP155,AP160,AP170,AP173,AP174,AP183)</f>
        <v>641840.580842862</v>
      </c>
      <c r="AQ191" s="35">
        <f>SUM(AQ138,AQ139,AQ143,AQ147,AQ148,AQ149,AQ155,AQ160,AQ170,AQ173,AQ174,AQ183)</f>
        <v>641840.580842862</v>
      </c>
      <c r="AR191" s="35">
        <f>SUM(AR138,AR139,AR143,AR147,AR148,AR149,AR155,AR160,AR170,AR173,AR174,AR183)</f>
        <v>656767.343789219</v>
      </c>
      <c r="AS191" s="35">
        <f>SUM(AS138,AS139,AS143,AS147,AS148,AS149,AS155,AS160,AS170,AS173,AS174,AS183)</f>
        <v>692096.085742708</v>
      </c>
      <c r="AT191" s="35">
        <f>SUM(AT138,AT139,AT143,AT147,AT148,AT149,AT155,AT160,AT170,AT173,AT174,AT183)</f>
        <v>733198.868648281</v>
      </c>
      <c r="AU191" s="35">
        <f>SUM(AU138,AU139,AU143,AU147,AU148,AU149,AU155,AU160,AU170,AU173,AU174,AU183)</f>
        <v>819051.150771688</v>
      </c>
      <c r="AV191" s="35">
        <f>SUM(AV138,AV139,AV143,AV147,AV148,AV149,AV155,AV160,AV170,AV173,AV174,AV183)</f>
        <v>819051.150771688</v>
      </c>
      <c r="AW191" s="35">
        <f>SUM(AW138,AW139,AW143,AW147,AW148,AW149,AW155,AW160,AW170,AW173,AW174,AW183)</f>
        <v>836061.667891654</v>
      </c>
      <c r="AX191" s="35">
        <f>SUM(AX138,AX139,AX143,AX147,AX148,AX149,AX155,AX160,AX170,AX173,AX174,AX183)</f>
        <v>874269.911543693</v>
      </c>
      <c r="AY191" s="35">
        <f>SUM(AY138,AY139,AY143,AY147,AY148,AY149,AY155,AY160,AY170,AY173,AY174,AY183)</f>
        <v>919842.37467911</v>
      </c>
      <c r="AZ191" s="35">
        <f>SUM(AZ138,AZ139,AZ143,AZ147,AZ148,AZ149,AZ155,AZ160,AZ170,AZ173,AZ174,AZ183)</f>
        <v>1015030.57571038</v>
      </c>
      <c r="BA191" s="35">
        <f>SUM(BA138,BA139,BA143,BA147,BA148,BA149,BA155,BA160,BA170,BA173,BA174,BA183)</f>
        <v>1015030.57571038</v>
      </c>
      <c r="BB191" s="35">
        <f>SUM(BB138,BB139,BB143,BB147,BB148,BB149,BB155,BB160,BB170,BB173,BB174,BB183)</f>
        <v>1033247.03529327</v>
      </c>
      <c r="BC191" s="35">
        <f>SUM(BC138,BC139,BC143,BC147,BC148,BC149,BC155,BC160,BC170,BC173,BC174,BC183)</f>
        <v>1075419.15423625</v>
      </c>
      <c r="BD191" s="35">
        <f>SUM(BD138,BD139,BD143,BD147,BD148,BD149,BD155,BD160,BD170,BD173,BD174,BD183)</f>
        <v>1125719.48610636</v>
      </c>
      <c r="BE191" s="35">
        <f>SUM(BE138,BE139,BE143,BE147,BE148,BE149,BE155,BE160,BE170,BE173,BE174,BE183)</f>
        <v>1230782.89002561</v>
      </c>
      <c r="BF191" s="35">
        <f>SUM(BF138,BF139,BF143,BF147,BF148,BF149,BF155,BF160,BF170,BF173,BF174,BF183)</f>
        <v>1230782.89002561</v>
      </c>
      <c r="BG191" s="35" t="n"/>
      <c r="BH191" s="35" t="n"/>
      <c r="BI191" s="35" t="n"/>
      <c r="BJ191" s="35" t="n"/>
      <c r="BK191" s="35" t="n"/>
      <c r="BL191" s="35" t="n"/>
      <c r="BM191" s="35" t="n"/>
      <c r="BN191" s="35" t="n"/>
      <c r="BO191" s="35" t="n"/>
      <c r="BP191" s="35" t="n"/>
      <c r="BQ191" s="35" t="n"/>
      <c r="BR191" s="35" t="n"/>
      <c r="BS191" s="35" t="n"/>
      <c r="BT191" s="35" t="n"/>
      <c r="BU191" s="35" t="n"/>
      <c r="BV191" s="35" t="n"/>
      <c r="BW191" s="35" t="n"/>
      <c r="BX191" s="35" t="n"/>
      <c r="BY191" s="35" t="n"/>
      <c r="BZ191" s="35" t="n"/>
      <c r="CA191" s="35" t="n"/>
      <c r="CB191" s="35" t="n"/>
      <c r="CC191" s="35" t="n"/>
      <c r="CD191" s="35" t="n"/>
      <c r="CE191" s="35" t="n"/>
      <c r="CF191" s="35" t="n"/>
      <c r="CG191" s="35" t="n"/>
      <c r="CH191" s="35" t="n"/>
      <c r="CI191" s="35" t="n"/>
      <c r="CJ191" s="35" t="n"/>
      <c r="CK191" s="35" t="n"/>
      <c r="CL191" s="35" t="n"/>
      <c r="CM191" s="35" t="n"/>
      <c r="CN191" s="35" t="n"/>
      <c r="CO191" s="35" t="n"/>
      <c r="CP191" s="35" t="n"/>
      <c r="CQ191" s="35" t="n"/>
      <c r="CR191" s="35" t="n"/>
      <c r="CS191" s="35" t="n"/>
      <c r="CT191" s="35" t="n"/>
      <c r="CU191" s="35" t="n"/>
      <c r="CV191" s="35" t="n"/>
      <c r="CW191" s="35" t="n"/>
      <c r="CX191" s="35" t="n"/>
      <c r="CY191" s="35" t="n"/>
    </row>
    <row r="192">
      <c r="C192" s="14" t="inlineStr">
        <is>
          <t>Accounts payable</t>
        </is>
      </c>
      <c r="D192" s="46" t="n"/>
      <c r="E192" s="46" t="n"/>
      <c r="F192" s="46" t="n"/>
      <c r="G192" s="46" t="n"/>
      <c r="H192" s="12" t="n"/>
      <c r="I192" s="46">
        <f>'Inputs (2)'!D28</f>
        <v>40127</v>
      </c>
      <c r="J192" s="46">
        <f>'Inputs (2)'!E28</f>
        <v>40409</v>
      </c>
      <c r="K192" s="46">
        <f>'Inputs (2)'!F28</f>
        <v>54763</v>
      </c>
      <c r="L192" s="46">
        <f>'Inputs (2)'!G28</f>
        <v>74362</v>
      </c>
      <c r="M192" s="12">
        <f>'Inputs (2)'!H28</f>
        <v>74362</v>
      </c>
      <c r="N192" s="46">
        <f>'Inputs (2)'!I28</f>
        <v>52682</v>
      </c>
      <c r="O192" s="46">
        <f>'Inputs (2)'!J28</f>
        <v>48343</v>
      </c>
      <c r="P192" s="46">
        <f>'Inputs (2)'!K28</f>
        <v>64115</v>
      </c>
      <c r="Q192" s="46">
        <f>'Inputs (2)'!L28</f>
        <v>57918</v>
      </c>
      <c r="R192" s="12">
        <f>'Inputs (2)'!M28</f>
        <v>57918</v>
      </c>
      <c r="S192" s="46">
        <f>'Inputs (2)'!N28</f>
        <v>42945</v>
      </c>
      <c r="T192" s="46">
        <f>'Inputs (2)'!O28</f>
        <v>46699</v>
      </c>
      <c r="U192" s="46">
        <f>'Inputs (2)'!P28</f>
        <v>62611</v>
      </c>
      <c r="V192" s="46">
        <f>'Inputs (2)'!Q28</f>
        <v>58146</v>
      </c>
      <c r="W192" s="12">
        <f>'Inputs (2)'!R28</f>
        <v>58146</v>
      </c>
      <c r="X192" s="46">
        <f>'Inputs (2)'!S28</f>
        <v>45753</v>
      </c>
      <c r="Y192" s="46">
        <f>'Inputs (2)'!T28</f>
        <v>47574</v>
      </c>
      <c r="Z192" s="46">
        <f>'Inputs (2)'!U28</f>
        <v>68960</v>
      </c>
      <c r="AA192" s="46">
        <f>'Inputs (2)'!V28</f>
        <v>61910</v>
      </c>
      <c r="AB192" s="12">
        <f>'Inputs (2)'!W28</f>
        <v>61910</v>
      </c>
      <c r="AC192" s="46">
        <f>'Inputs (2)'!X28</f>
        <v>54126</v>
      </c>
      <c r="AD192" s="46">
        <f>'Inputs (2)'!Y28</f>
        <v>50374</v>
      </c>
      <c r="AE192" s="46">
        <f>'Inputs (2)'!Z28</f>
        <v>69860</v>
      </c>
      <c r="AF192" s="46">
        <f>'Inputs (2)'!AA28</f>
        <v>70587</v>
      </c>
      <c r="AG192" s="12">
        <f>'Inputs (2)'!AB28</f>
        <v>70587</v>
      </c>
      <c r="AH192" s="12">
        <f>'Inputs (2)'!AC28</f>
        <v>57349</v>
      </c>
      <c r="AI192" s="12">
        <f>'Inputs (2)'!AD28</f>
        <v>64525</v>
      </c>
      <c r="AJ192" s="12">
        <f>(AJ193/(AJ$5-AI$5))*-AJ$48</f>
        <v>63932.4335565253</v>
      </c>
      <c r="AK192" s="12">
        <f>(AK193/(AK$5-AJ$5))*-AK$48</f>
        <v>89694.8345631902</v>
      </c>
      <c r="AL192" s="12">
        <f>AK192</f>
        <v>89694.8345631902</v>
      </c>
      <c r="AM192" s="12">
        <f>(AM193/(AM$5-AL$5))*-AM$48</f>
        <v>70913.5235877137</v>
      </c>
      <c r="AN192" s="12">
        <f>(AN193/(AN$5-AM$5))*-AN$48</f>
        <v>69019.6402415122</v>
      </c>
      <c r="AO192" s="12">
        <f>(AO193/(AO$5-AN$5))*-AO$48</f>
        <v>71524.0252110661</v>
      </c>
      <c r="AP192" s="12">
        <f>(AP193/(AP$5-AO$5))*-AP$48</f>
        <v>100345.556264927</v>
      </c>
      <c r="AQ192" s="12">
        <f>AP192</f>
        <v>100345.556264927</v>
      </c>
      <c r="AR192" s="12">
        <f>(AR193/(AR$5-AQ$5))*-AR$48</f>
        <v>78111.6033402672</v>
      </c>
      <c r="AS192" s="12">
        <f>(AS193/(AS$5-AR$5))*-AS$48</f>
        <v>76870.2088671213</v>
      </c>
      <c r="AT192" s="12">
        <f>(AT193/(AT$5-AS$5))*-AT$48</f>
        <v>79659.4525522471</v>
      </c>
      <c r="AU192" s="12">
        <f>(AU193/(AU$5-AT$5))*-AU$48</f>
        <v>111759.259277232</v>
      </c>
      <c r="AV192" s="12">
        <f>AU192</f>
        <v>111759.259277232</v>
      </c>
      <c r="AW192" s="12">
        <f>(AW193/(AW$5-AV$5))*-AW$48</f>
        <v>87568.0563577507</v>
      </c>
      <c r="AX192" s="12">
        <f>(AX193/(AX$5-AW$5))*-AX$48</f>
        <v>85229.3813744093</v>
      </c>
      <c r="AY192" s="12">
        <f>(AY193/(AY$5-AX$5))*-AY$48</f>
        <v>88321.9385209195</v>
      </c>
      <c r="AZ192" s="12">
        <f>(AZ193/(AZ$5-AY$5))*-AZ$48</f>
        <v>123912.406007976</v>
      </c>
      <c r="BA192" s="12">
        <f>AZ192</f>
        <v>123912.406007976</v>
      </c>
      <c r="BB192" s="12">
        <f>(BB193/(BB$5-BA$5))*-BB$48</f>
        <v>96652.7151040014</v>
      </c>
      <c r="BC192" s="12">
        <f>(BC193/(BC$5-BB$5))*-BC$48</f>
        <v>94071.4166683904</v>
      </c>
      <c r="BD192" s="12">
        <f>(BD193/(BD$5-BC$5))*-BD$48</f>
        <v>97484.8080037347</v>
      </c>
      <c r="BE192" s="12">
        <f>(BE193/(BE$5-BD$5))*-BE$48</f>
        <v>136767.572261871</v>
      </c>
      <c r="BF192" s="12">
        <f>BE192</f>
        <v>136767.572261871</v>
      </c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  <c r="CU192" s="12" t="n"/>
      <c r="CV192" s="12" t="n"/>
      <c r="CW192" s="12" t="n"/>
      <c r="CX192" s="12" t="n"/>
      <c r="CY192" s="12" t="n"/>
    </row>
    <row r="193" hidden="1" outlineLevel="1">
      <c r="C193" s="57" t="inlineStr">
        <is>
          <t>DPO</t>
        </is>
      </c>
      <c r="D193" s="12" t="n"/>
      <c r="E193" s="12" t="n"/>
      <c r="F193" s="12" t="n"/>
      <c r="G193" s="12" t="n"/>
      <c r="H193" s="12" t="n"/>
      <c r="I193" s="12">
        <f>IFERROR(-(I192/I$48)*(I$5-H$5),"")</f>
        <v>70.1180467915736</v>
      </c>
      <c r="J193" s="12">
        <f>IFERROR(-(J192/J$48)*(J$5-I$5),"")</f>
        <v>79.6296801576474</v>
      </c>
      <c r="K193" s="12">
        <f>IFERROR(-(K192/K$48)*(K$5-J$5),"")</f>
        <v>104.55725729465</v>
      </c>
      <c r="L193" s="12">
        <f>IFERROR(-(L192/L$48)*(L$5-K$5),"")</f>
        <v>98.1507560758658</v>
      </c>
      <c r="M193" s="12" t="n"/>
      <c r="N193" s="12">
        <f>IFERROR(-(N192/N$48)*(N$5-M$5),"")</f>
        <v>86.649609824741</v>
      </c>
      <c r="O193" s="12">
        <f>IFERROR(-(O192/O$48)*(O$5-N$5),"")</f>
        <v>93.4531376131198</v>
      </c>
      <c r="P193" s="12">
        <f>IFERROR(-(P192/P$48)*(P$5-O$5),"")</f>
        <v>113.323086972392</v>
      </c>
      <c r="Q193" s="12">
        <f>IFERROR(-(Q192/Q$48)*(Q$5-P$5),"")</f>
        <v>79.7410433689503</v>
      </c>
      <c r="R193" s="12" t="n"/>
      <c r="S193" s="12">
        <f>IFERROR(-(S192/S$48)*(S$5-R$5),"")</f>
        <v>73.1186152099887</v>
      </c>
      <c r="T193" s="12">
        <f>IFERROR(-(T192/T$48)*(T$5-S$5),"")</f>
        <v>93.6367221928433</v>
      </c>
      <c r="U193" s="12">
        <f>IFERROR(-(U192/U$48)*(U$5-T$5),"")</f>
        <v>117.385258095413</v>
      </c>
      <c r="V193" s="12">
        <f>IFERROR(-(V192/V$48)*(V$5-U$5),"")</f>
        <v>82.6550061804697</v>
      </c>
      <c r="W193" s="12" t="n"/>
      <c r="X193" s="12">
        <f>IFERROR(-(X192/X$48)*(X$5-W$5),"")</f>
        <v>85.8777071902974</v>
      </c>
      <c r="Y193" s="12">
        <f>IFERROR(-(Y192/Y$48)*(Y$5-X$5),"")</f>
        <v>93.9116683659082</v>
      </c>
      <c r="Z193" s="12">
        <f>IFERROR(-(Z192/Z$48)*(Z$5-Y$5),"")</f>
        <v>124.274157215334</v>
      </c>
      <c r="AA193" s="12">
        <f>IFERROR(-(AA192/AA$48)*(AA$5-Z$5),"")</f>
        <v>86.2661113214691</v>
      </c>
      <c r="AB193" s="12" t="n"/>
      <c r="AC193" s="12">
        <f>IFERROR(-(AC192/AC$48)*(AC$5-AB$5),"")</f>
        <v>96.477461776123</v>
      </c>
      <c r="AD193" s="12">
        <f>IFERROR(-(AD192/AD$48)*(AD$5-AC$5),"")</f>
        <v>91.1012758853691</v>
      </c>
      <c r="AE193" s="12">
        <f>IFERROR(-(AE192/AE$48)*(AE$5-AD$5),"")</f>
        <v>118.745866050808</v>
      </c>
      <c r="AF193" s="11">
        <f>IFERROR(-(AF192/AF$48)*(AF$5-AE$5),"")</f>
        <v>87.1385977859779</v>
      </c>
      <c r="AG193" s="12" t="n"/>
      <c r="AH193" s="11">
        <f>IFERROR(-(AH192/AH$48)*(AH$5-AG$5),"")</f>
        <v>91.5094941758417</v>
      </c>
      <c r="AI193" s="11">
        <f>IFERROR(-(AI192/AI$48)*(AI$5-AH$5),"")</f>
        <v>107.449173788131</v>
      </c>
      <c r="AJ193" s="11">
        <f>Control!$B$27</f>
        <v>98.7369782437085</v>
      </c>
      <c r="AK193" s="11">
        <f>Control!$B$27</f>
        <v>98.7369782437085</v>
      </c>
      <c r="AL193" s="12" t="n"/>
      <c r="AM193" s="11">
        <f>Control!$C$27</f>
        <v>98.7369782437085</v>
      </c>
      <c r="AN193" s="11">
        <f>Control!$C$27</f>
        <v>98.7369782437085</v>
      </c>
      <c r="AO193" s="11">
        <f>Control!$C$27</f>
        <v>98.7369782437085</v>
      </c>
      <c r="AP193" s="11">
        <f>Control!$C$27</f>
        <v>98.7369782437085</v>
      </c>
      <c r="AQ193" s="12" t="n"/>
      <c r="AR193" s="11">
        <f>Control!$D$27</f>
        <v>98.7369782437085</v>
      </c>
      <c r="AS193" s="11">
        <f>Control!$D$27</f>
        <v>98.7369782437085</v>
      </c>
      <c r="AT193" s="11">
        <f>Control!$D$27</f>
        <v>98.7369782437085</v>
      </c>
      <c r="AU193" s="11">
        <f>Control!$D$27</f>
        <v>98.7369782437085</v>
      </c>
      <c r="AV193" s="12" t="n"/>
      <c r="AW193" s="11">
        <f>Control!$E$27</f>
        <v>98.7369782437085</v>
      </c>
      <c r="AX193" s="11">
        <f>Control!$E$27</f>
        <v>98.7369782437085</v>
      </c>
      <c r="AY193" s="11">
        <f>Control!$E$27</f>
        <v>98.7369782437085</v>
      </c>
      <c r="AZ193" s="11">
        <f>Control!$E$27</f>
        <v>98.7369782437085</v>
      </c>
      <c r="BA193" s="12" t="n"/>
      <c r="BB193" s="11">
        <f>Control!$F$27</f>
        <v>98.7369782437085</v>
      </c>
      <c r="BC193" s="11">
        <f>Control!$F$27</f>
        <v>98.7369782437085</v>
      </c>
      <c r="BD193" s="11">
        <f>Control!$F$27</f>
        <v>98.7369782437085</v>
      </c>
      <c r="BE193" s="11">
        <f>Control!$F$27</f>
        <v>98.7369782437085</v>
      </c>
      <c r="BF193" s="12" t="n"/>
      <c r="BG193" s="11" t="n"/>
      <c r="BH193" s="11" t="n"/>
      <c r="BI193" s="11" t="n"/>
      <c r="BJ193" s="11" t="n"/>
      <c r="BK193" s="12" t="n"/>
      <c r="BL193" s="11" t="n"/>
      <c r="BM193" s="11" t="n"/>
      <c r="BN193" s="11" t="n"/>
      <c r="BO193" s="11" t="n"/>
      <c r="BP193" s="12" t="n"/>
      <c r="BQ193" s="11" t="n"/>
      <c r="BR193" s="11" t="n"/>
      <c r="BS193" s="11" t="n"/>
      <c r="BT193" s="11" t="n"/>
      <c r="BU193" s="12" t="n"/>
      <c r="BV193" s="11" t="n"/>
      <c r="BW193" s="11" t="n"/>
      <c r="BX193" s="11" t="n"/>
      <c r="BY193" s="11" t="n"/>
      <c r="BZ193" s="12" t="n"/>
      <c r="CA193" s="11" t="n"/>
      <c r="CB193" s="11" t="n"/>
      <c r="CC193" s="11" t="n"/>
      <c r="CD193" s="11" t="n"/>
      <c r="CE193" s="12" t="n"/>
      <c r="CF193" s="11" t="n"/>
      <c r="CG193" s="11" t="n"/>
      <c r="CH193" s="11" t="n"/>
      <c r="CI193" s="11" t="n"/>
      <c r="CJ193" s="12" t="n"/>
      <c r="CK193" s="11" t="n"/>
      <c r="CL193" s="11" t="n"/>
      <c r="CM193" s="11" t="n"/>
      <c r="CN193" s="11" t="n"/>
      <c r="CO193" s="12" t="n"/>
      <c r="CP193" s="11" t="n"/>
      <c r="CQ193" s="11" t="n"/>
      <c r="CR193" s="11" t="n"/>
      <c r="CS193" s="11" t="n"/>
      <c r="CT193" s="12" t="n"/>
      <c r="CU193" s="11" t="n"/>
      <c r="CV193" s="11" t="n"/>
      <c r="CW193" s="11" t="n"/>
      <c r="CX193" s="11" t="n"/>
      <c r="CY193" s="12" t="n"/>
    </row>
    <row r="194" hidden="1" outlineLevel="1">
      <c r="C194" s="57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2" t="n"/>
      <c r="BW194" s="12" t="n"/>
      <c r="BX194" s="12" t="n"/>
      <c r="BY194" s="12" t="n"/>
      <c r="BZ194" s="12" t="n"/>
      <c r="CA194" s="12" t="n"/>
      <c r="CB194" s="12" t="n"/>
      <c r="CC194" s="12" t="n"/>
      <c r="CD194" s="12" t="n"/>
      <c r="CE194" s="12" t="n"/>
      <c r="CF194" s="12" t="n"/>
      <c r="CG194" s="12" t="n"/>
      <c r="CH194" s="12" t="n"/>
      <c r="CI194" s="12" t="n"/>
      <c r="CJ194" s="12" t="n"/>
      <c r="CK194" s="12" t="n"/>
      <c r="CL194" s="12" t="n"/>
      <c r="CM194" s="12" t="n"/>
      <c r="CN194" s="12" t="n"/>
      <c r="CO194" s="12" t="n"/>
      <c r="CP194" s="12" t="n"/>
      <c r="CQ194" s="12" t="n"/>
      <c r="CR194" s="12" t="n"/>
      <c r="CS194" s="12" t="n"/>
      <c r="CT194" s="12" t="n"/>
      <c r="CU194" s="12" t="n"/>
      <c r="CV194" s="12" t="n"/>
      <c r="CW194" s="12" t="n"/>
      <c r="CX194" s="12" t="n"/>
      <c r="CY194" s="12" t="n"/>
    </row>
    <row r="195" hidden="1" outlineLevel="1">
      <c r="C195" s="57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2" t="n"/>
      <c r="CF195" s="12" t="n"/>
      <c r="CG195" s="12" t="n"/>
      <c r="CH195" s="12" t="n"/>
      <c r="CI195" s="12" t="n"/>
      <c r="CJ195" s="12" t="n"/>
      <c r="CK195" s="12" t="n"/>
      <c r="CL195" s="12" t="n"/>
      <c r="CM195" s="12" t="n"/>
      <c r="CN195" s="12" t="n"/>
      <c r="CO195" s="12" t="n"/>
      <c r="CP195" s="12" t="n"/>
      <c r="CQ195" s="12" t="n"/>
      <c r="CR195" s="12" t="n"/>
      <c r="CS195" s="12" t="n"/>
      <c r="CT195" s="12" t="n"/>
      <c r="CU195" s="12" t="n"/>
      <c r="CV195" s="12" t="n"/>
      <c r="CW195" s="12" t="n"/>
      <c r="CX195" s="12" t="n"/>
      <c r="CY195" s="12" t="n"/>
    </row>
    <row r="196" collapsed="1">
      <c r="C196" s="14" t="inlineStr">
        <is>
          <t>Accrued expenses</t>
        </is>
      </c>
      <c r="D196" s="46" t="n"/>
      <c r="E196" s="46" t="n"/>
      <c r="F196" s="46" t="n"/>
      <c r="G196" s="46" t="n"/>
      <c r="H196" s="12" t="n"/>
      <c r="I196" s="46">
        <f>'Inputs (2)'!D29</f>
        <v>0</v>
      </c>
      <c r="J196" s="46">
        <f>'Inputs (2)'!E29</f>
        <v>0</v>
      </c>
      <c r="K196" s="46">
        <f>'Inputs (2)'!F29</f>
        <v>0</v>
      </c>
      <c r="L196" s="46">
        <f>'Inputs (2)'!G29</f>
        <v>0</v>
      </c>
      <c r="M196" s="12">
        <f>'Inputs (2)'!H29</f>
        <v>0</v>
      </c>
      <c r="N196" s="46">
        <f>'Inputs (2)'!I29</f>
        <v>0</v>
      </c>
      <c r="O196" s="46">
        <f>'Inputs (2)'!J29</f>
        <v>0</v>
      </c>
      <c r="P196" s="46">
        <f>'Inputs (2)'!K29</f>
        <v>0</v>
      </c>
      <c r="Q196" s="46">
        <f>'Inputs (2)'!L29</f>
        <v>0</v>
      </c>
      <c r="R196" s="12">
        <f>'Inputs (2)'!M29</f>
        <v>0</v>
      </c>
      <c r="S196" s="46">
        <f>'Inputs (2)'!N29</f>
        <v>0</v>
      </c>
      <c r="T196" s="46">
        <f>'Inputs (2)'!O29</f>
        <v>0</v>
      </c>
      <c r="U196" s="46">
        <f>'Inputs (2)'!P29</f>
        <v>0</v>
      </c>
      <c r="V196" s="46">
        <f>'Inputs (2)'!Q29</f>
        <v>0</v>
      </c>
      <c r="W196" s="12">
        <f>'Inputs (2)'!R29</f>
        <v>0</v>
      </c>
      <c r="X196" s="46">
        <f>'Inputs (2)'!S29</f>
        <v>0</v>
      </c>
      <c r="Y196" s="46">
        <f>'Inputs (2)'!T29</f>
        <v>0</v>
      </c>
      <c r="Z196" s="46">
        <f>'Inputs (2)'!U29</f>
        <v>0</v>
      </c>
      <c r="AA196" s="46">
        <f>'Inputs (2)'!V29</f>
        <v>0</v>
      </c>
      <c r="AB196" s="12">
        <f>'Inputs (2)'!W29</f>
        <v>0</v>
      </c>
      <c r="AC196" s="46">
        <f>'Inputs (2)'!X29</f>
        <v>0</v>
      </c>
      <c r="AD196" s="46">
        <f>'Inputs (2)'!Y29</f>
        <v>0</v>
      </c>
      <c r="AE196" s="46">
        <f>'Inputs (2)'!Z29</f>
        <v>0</v>
      </c>
      <c r="AF196" s="46">
        <f>'Inputs (2)'!AA29</f>
        <v>0</v>
      </c>
      <c r="AG196" s="12">
        <f>'Inputs (2)'!AB29</f>
        <v>0</v>
      </c>
      <c r="AH196" s="12">
        <f>'Inputs (2)'!AC29</f>
        <v>0</v>
      </c>
      <c r="AI196" s="12">
        <f>'Inputs (2)'!AD29</f>
        <v>0</v>
      </c>
      <c r="AJ196" s="12">
        <f>AI196*(1+AJ16)</f>
        <v>0</v>
      </c>
      <c r="AK196" s="12">
        <f>AJ196*(1+AK16)</f>
        <v>0</v>
      </c>
      <c r="AL196" s="12">
        <f>AK196</f>
        <v>0</v>
      </c>
      <c r="AM196" s="12">
        <f>AL196*(1+AM16)</f>
        <v>0</v>
      </c>
      <c r="AN196" s="12">
        <f>AM196*(1+AN16)</f>
        <v>0</v>
      </c>
      <c r="AO196" s="12">
        <f>AN196*(1+AO16)</f>
        <v>0</v>
      </c>
      <c r="AP196" s="12">
        <f>AO196*(1+AP16)</f>
        <v>0</v>
      </c>
      <c r="AQ196" s="12">
        <f>AP196</f>
        <v>0</v>
      </c>
      <c r="AR196" s="12">
        <f>AQ196*(1+AR16)</f>
        <v>0</v>
      </c>
      <c r="AS196" s="12">
        <f>AR196*(1+AS16)</f>
        <v>0</v>
      </c>
      <c r="AT196" s="12">
        <f>AS196*(1+AT16)</f>
        <v>0</v>
      </c>
      <c r="AU196" s="12">
        <f>AT196*(1+AU16)</f>
        <v>0</v>
      </c>
      <c r="AV196" s="12">
        <f>AU196</f>
        <v>0</v>
      </c>
      <c r="AW196" s="12">
        <f>AV196*(1+AW16)</f>
        <v>0</v>
      </c>
      <c r="AX196" s="12">
        <f>AW196*(1+AX16)</f>
        <v>0</v>
      </c>
      <c r="AY196" s="12">
        <f>AX196*(1+AY16)</f>
        <v>0</v>
      </c>
      <c r="AZ196" s="12">
        <f>AY196*(1+AZ16)</f>
        <v>0</v>
      </c>
      <c r="BA196" s="12">
        <f>AZ196</f>
        <v>0</v>
      </c>
      <c r="BB196" s="12">
        <f>BA196*(1+BB16)</f>
        <v>0</v>
      </c>
      <c r="BC196" s="12">
        <f>BB196*(1+BC16)</f>
        <v>0</v>
      </c>
      <c r="BD196" s="12">
        <f>BC196*(1+BD16)</f>
        <v>0</v>
      </c>
      <c r="BE196" s="12">
        <f>BD196*(1+BE16)</f>
        <v>0</v>
      </c>
      <c r="BF196" s="12">
        <f>BE196</f>
        <v>0</v>
      </c>
      <c r="BG196" s="12" t="n"/>
      <c r="BH196" s="12" t="n"/>
      <c r="BI196" s="12" t="n"/>
      <c r="BJ196" s="12" t="n"/>
      <c r="BK196" s="12" t="n"/>
      <c r="BL196" s="12" t="n"/>
      <c r="BM196" s="12" t="n"/>
      <c r="BN196" s="12" t="n"/>
      <c r="BO196" s="12" t="n"/>
      <c r="BP196" s="12" t="n"/>
      <c r="BQ196" s="12" t="n"/>
      <c r="BR196" s="12" t="n"/>
      <c r="BS196" s="12" t="n"/>
      <c r="BT196" s="12" t="n"/>
      <c r="BU196" s="12" t="n"/>
      <c r="BV196" s="12" t="n"/>
      <c r="BW196" s="12" t="n"/>
      <c r="BX196" s="12" t="n"/>
      <c r="BY196" s="12" t="n"/>
      <c r="BZ196" s="12" t="n"/>
      <c r="CA196" s="12" t="n"/>
      <c r="CB196" s="12" t="n"/>
      <c r="CC196" s="12" t="n"/>
      <c r="CD196" s="12" t="n"/>
      <c r="CE196" s="12" t="n"/>
      <c r="CF196" s="12" t="n"/>
      <c r="CG196" s="12" t="n"/>
      <c r="CH196" s="12" t="n"/>
      <c r="CI196" s="12" t="n"/>
      <c r="CJ196" s="12" t="n"/>
      <c r="CK196" s="12" t="n"/>
      <c r="CL196" s="12" t="n"/>
      <c r="CM196" s="12" t="n"/>
      <c r="CN196" s="12" t="n"/>
      <c r="CO196" s="12" t="n"/>
      <c r="CP196" s="12" t="n"/>
      <c r="CQ196" s="12" t="n"/>
      <c r="CR196" s="12" t="n"/>
      <c r="CS196" s="12" t="n"/>
      <c r="CT196" s="12" t="n"/>
      <c r="CU196" s="12" t="n"/>
      <c r="CV196" s="12" t="n"/>
      <c r="CW196" s="12" t="n"/>
      <c r="CX196" s="12" t="n"/>
      <c r="CY196" s="12" t="n"/>
    </row>
    <row r="197" hidden="1" outlineLevel="1">
      <c r="C197" s="59" t="inlineStr">
        <is>
          <t>%(Var.)</t>
        </is>
      </c>
      <c r="D197" s="12" t="n"/>
      <c r="E197" s="40" t="n"/>
      <c r="F197" s="40" t="n"/>
      <c r="G197" s="40" t="n"/>
      <c r="H197" s="12" t="n"/>
      <c r="I197" s="40" t="str">
        <f>""</f>
        <v/>
      </c>
      <c r="J197" s="40" t="str">
        <f>IFERROR(IF(I196=0,"",J196/I196-1),"")</f>
        <v/>
      </c>
      <c r="K197" s="40" t="str">
        <f>IFERROR(IF(J196=0,"",K196/J196-1),"")</f>
        <v/>
      </c>
      <c r="L197" s="40" t="str">
        <f>IFERROR(IF(K196=0,"",L196/K196-1),"")</f>
        <v/>
      </c>
      <c r="M197" s="12" t="str">
        <f>IF(L196=0,"",M196/L196-1)</f>
        <v/>
      </c>
      <c r="N197" s="40" t="str">
        <f>IFERROR(IF(M196=0,"",N196/M196-1),"")</f>
        <v/>
      </c>
      <c r="O197" s="40" t="str">
        <f>IFERROR(IF(N196=0,"",O196/N196-1),"")</f>
        <v/>
      </c>
      <c r="P197" s="40" t="str">
        <f>IFERROR(IF(O196=0,"",P196/O196-1),"")</f>
        <v/>
      </c>
      <c r="Q197" s="40" t="str">
        <f>IFERROR(IF(P196=0,"",Q196/P196-1),"")</f>
        <v/>
      </c>
      <c r="R197" s="12" t="str">
        <f>IF(Q196=0,"",R196/Q196-1)</f>
        <v/>
      </c>
      <c r="S197" s="40" t="str">
        <f>IFERROR(IF(R196=0,"",S196/R196-1),"")</f>
        <v/>
      </c>
      <c r="T197" s="40" t="str">
        <f>IFERROR(IF(S196=0,"",T196/S196-1),"")</f>
        <v/>
      </c>
      <c r="U197" s="40" t="str">
        <f>IFERROR(IF(T196=0,"",U196/T196-1),"")</f>
        <v/>
      </c>
      <c r="V197" s="40" t="str">
        <f>IFERROR(IF(U196=0,"",V196/U196-1),"")</f>
        <v/>
      </c>
      <c r="W197" s="12" t="str">
        <f>IF(V196=0,"",W196/V196-1)</f>
        <v/>
      </c>
      <c r="X197" s="40" t="str">
        <f>IFERROR(IF(W196=0,"",X196/W196-1),"")</f>
        <v/>
      </c>
      <c r="Y197" s="40" t="str">
        <f>IFERROR(IF(X196=0,"",Y196/X196-1),"")</f>
        <v/>
      </c>
      <c r="Z197" s="40" t="str">
        <f>IFERROR(IF(Y196=0,"",Z196/Y196-1),"")</f>
        <v/>
      </c>
      <c r="AA197" s="40" t="str">
        <f>IFERROR(IF(Z196=0,"",AA196/Z196-1),"")</f>
        <v/>
      </c>
      <c r="AB197" s="12" t="str">
        <f>IF(AA196=0,"",AB196/AA196-1)</f>
        <v/>
      </c>
      <c r="AC197" s="40" t="str">
        <f>IFERROR(IF(AB196=0,"",AC196/AB196-1),"")</f>
        <v/>
      </c>
      <c r="AD197" s="40" t="str">
        <f>IFERROR(IF(AC196=0,"",AD196/AC196-1),"")</f>
        <v/>
      </c>
      <c r="AE197" s="40" t="str">
        <f>IFERROR(IF(AD196=0,"",AE196/AD196-1),"")</f>
        <v/>
      </c>
      <c r="AF197" s="55" t="str">
        <f>IFERROR(IF(AE196=0,"",AF196/AE196-1),"")</f>
        <v/>
      </c>
      <c r="AG197" s="12" t="str">
        <f>IF(AF196=0,"",AG196/AF196-1)</f>
        <v/>
      </c>
      <c r="AH197" s="55" t="str">
        <f>IFERROR(IF(AG196=0,"",AH196/AG196-1),"")</f>
        <v/>
      </c>
      <c r="AI197" s="55" t="str">
        <f>IFERROR(IF(AH196=0,"",AI196/AH196-1),"")</f>
        <v/>
      </c>
      <c r="AJ197" s="55" t="str">
        <f>IFERROR(IF(AI196=0,"",AJ196/AI196-1),"")</f>
        <v/>
      </c>
      <c r="AK197" s="55" t="str">
        <f>IF(AJ196=0,"",AK196/AJ196-1)</f>
        <v/>
      </c>
      <c r="AL197" s="12" t="str">
        <f>IF(AK196=0,"",AL196/AK196-1)</f>
        <v/>
      </c>
      <c r="AM197" s="55" t="str">
        <f>IF(AL196=0,"",AM196/AL196-1)</f>
        <v/>
      </c>
      <c r="AN197" s="55" t="str">
        <f>IF(AM196=0,"",AN196/AM196-1)</f>
        <v/>
      </c>
      <c r="AO197" s="55" t="str">
        <f>IF(AN196=0,"",AO196/AN196-1)</f>
        <v/>
      </c>
      <c r="AP197" s="55" t="str">
        <f>IF(AO196=0,"",AP196/AO196-1)</f>
        <v/>
      </c>
      <c r="AQ197" s="12" t="str">
        <f>IF(AP196=0,"",AQ196/AP196-1)</f>
        <v/>
      </c>
      <c r="AR197" s="55" t="str">
        <f>IF(AQ196=0,"",AR196/AQ196-1)</f>
        <v/>
      </c>
      <c r="AS197" s="55" t="str">
        <f>IF(AR196=0,"",AS196/AR196-1)</f>
        <v/>
      </c>
      <c r="AT197" s="55" t="str">
        <f>IF(AS196=0,"",AT196/AS196-1)</f>
        <v/>
      </c>
      <c r="AU197" s="55" t="str">
        <f>IF(AT196=0,"",AU196/AT196-1)</f>
        <v/>
      </c>
      <c r="AV197" s="12" t="str">
        <f>IF(AU196=0,"",AV196/AU196-1)</f>
        <v/>
      </c>
      <c r="AW197" s="55" t="str">
        <f>IF(AV196=0,"",AW196/AV196-1)</f>
        <v/>
      </c>
      <c r="AX197" s="55" t="str">
        <f>IF(AW196=0,"",AX196/AW196-1)</f>
        <v/>
      </c>
      <c r="AY197" s="55" t="str">
        <f>IF(AX196=0,"",AY196/AX196-1)</f>
        <v/>
      </c>
      <c r="AZ197" s="55" t="str">
        <f>IF(AY196=0,"",AZ196/AY196-1)</f>
        <v/>
      </c>
      <c r="BA197" s="12" t="str">
        <f>IF(AZ196=0,"",BA196/AZ196-1)</f>
        <v/>
      </c>
      <c r="BB197" s="55" t="str">
        <f>IF(BA196=0,"",BB196/BA196-1)</f>
        <v/>
      </c>
      <c r="BC197" s="55" t="str">
        <f>IF(BB196=0,"",BC196/BB196-1)</f>
        <v/>
      </c>
      <c r="BD197" s="55" t="str">
        <f>IF(BC196=0,"",BD196/BC196-1)</f>
        <v/>
      </c>
      <c r="BE197" s="55" t="str">
        <f>IF(BD196=0,"",BE196/BD196-1)</f>
        <v/>
      </c>
      <c r="BF197" s="12" t="str">
        <f>IF(BE196=0,"",BF196/BE196-1)</f>
        <v/>
      </c>
      <c r="BG197" s="55" t="n"/>
      <c r="BH197" s="55" t="n"/>
      <c r="BI197" s="55" t="n"/>
      <c r="BJ197" s="55" t="n"/>
      <c r="BK197" s="12" t="n"/>
      <c r="BL197" s="55" t="n"/>
      <c r="BM197" s="55" t="n"/>
      <c r="BN197" s="55" t="n"/>
      <c r="BO197" s="55" t="n"/>
      <c r="BP197" s="12" t="n"/>
      <c r="BQ197" s="55" t="n"/>
      <c r="BR197" s="55" t="n"/>
      <c r="BS197" s="55" t="n"/>
      <c r="BT197" s="55" t="n"/>
      <c r="BU197" s="12" t="n"/>
      <c r="BV197" s="55" t="n"/>
      <c r="BW197" s="55" t="n"/>
      <c r="BX197" s="55" t="n"/>
      <c r="BY197" s="55" t="n"/>
      <c r="BZ197" s="12" t="n"/>
      <c r="CA197" s="55" t="n"/>
      <c r="CB197" s="55" t="n"/>
      <c r="CC197" s="55" t="n"/>
      <c r="CD197" s="55" t="n"/>
      <c r="CE197" s="12" t="n"/>
      <c r="CF197" s="55" t="n"/>
      <c r="CG197" s="55" t="n"/>
      <c r="CH197" s="55" t="n"/>
      <c r="CI197" s="55" t="n"/>
      <c r="CJ197" s="12" t="n"/>
      <c r="CK197" s="55" t="n"/>
      <c r="CL197" s="55" t="n"/>
      <c r="CM197" s="55" t="n"/>
      <c r="CN197" s="55" t="n"/>
      <c r="CO197" s="12" t="n"/>
      <c r="CP197" s="55" t="n"/>
      <c r="CQ197" s="55" t="n"/>
      <c r="CR197" s="55" t="n"/>
      <c r="CS197" s="55" t="n"/>
      <c r="CT197" s="12" t="n"/>
      <c r="CU197" s="55" t="n"/>
      <c r="CV197" s="55" t="n"/>
      <c r="CW197" s="55" t="n"/>
      <c r="CX197" s="55" t="n"/>
      <c r="CY197" s="12" t="n"/>
    </row>
    <row r="198" collapsed="1">
      <c r="C198" s="14" t="inlineStr">
        <is>
          <t>Taxes payable</t>
        </is>
      </c>
      <c r="D198" s="46" t="n"/>
      <c r="E198" s="46" t="n"/>
      <c r="F198" s="46" t="n"/>
      <c r="G198" s="46" t="n"/>
      <c r="H198" s="12" t="n"/>
      <c r="I198" s="46">
        <f>'Inputs (2)'!D30</f>
        <v>0</v>
      </c>
      <c r="J198" s="46">
        <f>'Inputs (2)'!E30</f>
        <v>0</v>
      </c>
      <c r="K198" s="46">
        <f>'Inputs (2)'!F30</f>
        <v>0</v>
      </c>
      <c r="L198" s="46">
        <f>'Inputs (2)'!G30</f>
        <v>0</v>
      </c>
      <c r="M198" s="12">
        <f>'Inputs (2)'!H30</f>
        <v>0</v>
      </c>
      <c r="N198" s="46">
        <f>'Inputs (2)'!I30</f>
        <v>0</v>
      </c>
      <c r="O198" s="46">
        <f>'Inputs (2)'!J30</f>
        <v>0</v>
      </c>
      <c r="P198" s="46">
        <f>'Inputs (2)'!K30</f>
        <v>0</v>
      </c>
      <c r="Q198" s="46">
        <f>'Inputs (2)'!L30</f>
        <v>0</v>
      </c>
      <c r="R198" s="12">
        <f>'Inputs (2)'!M30</f>
        <v>0</v>
      </c>
      <c r="S198" s="46">
        <f>'Inputs (2)'!N30</f>
        <v>0</v>
      </c>
      <c r="T198" s="46">
        <f>'Inputs (2)'!O30</f>
        <v>0</v>
      </c>
      <c r="U198" s="46">
        <f>'Inputs (2)'!P30</f>
        <v>0</v>
      </c>
      <c r="V198" s="46">
        <f>'Inputs (2)'!Q30</f>
        <v>0</v>
      </c>
      <c r="W198" s="12">
        <f>'Inputs (2)'!R30</f>
        <v>0</v>
      </c>
      <c r="X198" s="46">
        <f>'Inputs (2)'!S30</f>
        <v>0</v>
      </c>
      <c r="Y198" s="46">
        <f>'Inputs (2)'!T30</f>
        <v>0</v>
      </c>
      <c r="Z198" s="46">
        <f>'Inputs (2)'!U30</f>
        <v>0</v>
      </c>
      <c r="AA198" s="46">
        <f>'Inputs (2)'!V30</f>
        <v>0</v>
      </c>
      <c r="AB198" s="12">
        <f>'Inputs (2)'!W30</f>
        <v>0</v>
      </c>
      <c r="AC198" s="46">
        <f>'Inputs (2)'!X30</f>
        <v>0</v>
      </c>
      <c r="AD198" s="46">
        <f>'Inputs (2)'!Y30</f>
        <v>0</v>
      </c>
      <c r="AE198" s="46">
        <f>'Inputs (2)'!Z30</f>
        <v>0</v>
      </c>
      <c r="AF198" s="46">
        <f>'Inputs (2)'!AA30</f>
        <v>0</v>
      </c>
      <c r="AG198" s="12">
        <f>'Inputs (2)'!AB30</f>
        <v>0</v>
      </c>
      <c r="AH198" s="12">
        <f>'Inputs (2)'!AC30</f>
        <v>0</v>
      </c>
      <c r="AI198" s="12">
        <f>'Inputs (2)'!AD30</f>
        <v>0</v>
      </c>
      <c r="AJ198" s="12">
        <f>AI198*(1+AJ16)</f>
        <v>0</v>
      </c>
      <c r="AK198" s="12">
        <f>AJ198*(1+AK16)</f>
        <v>0</v>
      </c>
      <c r="AL198" s="12">
        <f>AK198</f>
        <v>0</v>
      </c>
      <c r="AM198" s="12">
        <f>AL198*(1+AM16)</f>
        <v>0</v>
      </c>
      <c r="AN198" s="12">
        <f>AM198*(1+AN16)</f>
        <v>0</v>
      </c>
      <c r="AO198" s="12">
        <f>AN198*(1+AO16)</f>
        <v>0</v>
      </c>
      <c r="AP198" s="12">
        <f>AO198*(1+AP16)</f>
        <v>0</v>
      </c>
      <c r="AQ198" s="12">
        <f>AP198</f>
        <v>0</v>
      </c>
      <c r="AR198" s="12">
        <f>AQ198*(1+AR16)</f>
        <v>0</v>
      </c>
      <c r="AS198" s="12">
        <f>AR198*(1+AS16)</f>
        <v>0</v>
      </c>
      <c r="AT198" s="12">
        <f>AS198*(1+AT16)</f>
        <v>0</v>
      </c>
      <c r="AU198" s="12">
        <f>AT198*(1+AU16)</f>
        <v>0</v>
      </c>
      <c r="AV198" s="12">
        <f>AU198</f>
        <v>0</v>
      </c>
      <c r="AW198" s="12">
        <f>AV198*(1+AW16)</f>
        <v>0</v>
      </c>
      <c r="AX198" s="12">
        <f>AW198*(1+AX16)</f>
        <v>0</v>
      </c>
      <c r="AY198" s="12">
        <f>AX198*(1+AY16)</f>
        <v>0</v>
      </c>
      <c r="AZ198" s="12">
        <f>AY198*(1+AZ16)</f>
        <v>0</v>
      </c>
      <c r="BA198" s="12">
        <f>AZ198</f>
        <v>0</v>
      </c>
      <c r="BB198" s="12">
        <f>BA198*(1+BB16)</f>
        <v>0</v>
      </c>
      <c r="BC198" s="12">
        <f>BB198*(1+BC16)</f>
        <v>0</v>
      </c>
      <c r="BD198" s="12">
        <f>BC198*(1+BD16)</f>
        <v>0</v>
      </c>
      <c r="BE198" s="12">
        <f>BD198*(1+BE16)</f>
        <v>0</v>
      </c>
      <c r="BF198" s="12">
        <f>BE198</f>
        <v>0</v>
      </c>
      <c r="BG198" s="12" t="n"/>
      <c r="BH198" s="12" t="n"/>
      <c r="BI198" s="12" t="n"/>
      <c r="BJ198" s="12" t="n"/>
      <c r="BK198" s="12" t="n"/>
      <c r="BL198" s="12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  <c r="CA198" s="12" t="n"/>
      <c r="CB198" s="12" t="n"/>
      <c r="CC198" s="12" t="n"/>
      <c r="CD198" s="12" t="n"/>
      <c r="CE198" s="12" t="n"/>
      <c r="CF198" s="12" t="n"/>
      <c r="CG198" s="12" t="n"/>
      <c r="CH198" s="12" t="n"/>
      <c r="CI198" s="12" t="n"/>
      <c r="CJ198" s="12" t="n"/>
      <c r="CK198" s="12" t="n"/>
      <c r="CL198" s="12" t="n"/>
      <c r="CM198" s="12" t="n"/>
      <c r="CN198" s="12" t="n"/>
      <c r="CO198" s="12" t="n"/>
      <c r="CP198" s="12" t="n"/>
      <c r="CQ198" s="12" t="n"/>
      <c r="CR198" s="12" t="n"/>
      <c r="CS198" s="12" t="n"/>
      <c r="CT198" s="12" t="n"/>
      <c r="CU198" s="12" t="n"/>
      <c r="CV198" s="12" t="n"/>
      <c r="CW198" s="12" t="n"/>
      <c r="CX198" s="12" t="n"/>
      <c r="CY198" s="12" t="n"/>
    </row>
    <row r="199">
      <c r="C199" s="14" t="inlineStr">
        <is>
          <t>Other current liabilities (non-debt)</t>
        </is>
      </c>
      <c r="D199" s="46" t="n"/>
      <c r="E199" s="46" t="n"/>
      <c r="F199" s="46" t="n"/>
      <c r="G199" s="46" t="n"/>
      <c r="H199" s="12" t="n"/>
      <c r="I199" s="46">
        <f>'Inputs (2)'!D31</f>
        <v>53255</v>
      </c>
      <c r="J199" s="46">
        <f>'Inputs (2)'!E31</f>
        <v>51306</v>
      </c>
      <c r="K199" s="46">
        <f>'Inputs (2)'!F31</f>
        <v>55105</v>
      </c>
      <c r="L199" s="46">
        <f>'Inputs (2)'!G31</f>
        <v>57043</v>
      </c>
      <c r="M199" s="12">
        <f>'Inputs (2)'!H31</f>
        <v>57043</v>
      </c>
      <c r="N199" s="46">
        <f>'Inputs (2)'!I31</f>
        <v>58168</v>
      </c>
      <c r="O199" s="46">
        <f>'Inputs (2)'!J31</f>
        <v>56539</v>
      </c>
      <c r="P199" s="46">
        <f>'Inputs (2)'!K31</f>
        <v>68757</v>
      </c>
      <c r="Q199" s="46">
        <f>'Inputs (2)'!L31</f>
        <v>67885</v>
      </c>
      <c r="R199" s="12">
        <f>'Inputs (2)'!M31</f>
        <v>67885</v>
      </c>
      <c r="S199" s="46">
        <f>'Inputs (2)'!N31</f>
        <v>64556</v>
      </c>
      <c r="T199" s="46">
        <f>'Inputs (2)'!O31</f>
        <v>67055</v>
      </c>
      <c r="U199" s="46">
        <f>'Inputs (2)'!P31</f>
        <v>66890</v>
      </c>
      <c r="V199" s="46">
        <f>'Inputs (2)'!Q31</f>
        <v>62875</v>
      </c>
      <c r="W199" s="12">
        <f>'Inputs (2)'!R31</f>
        <v>62875</v>
      </c>
      <c r="X199" s="46">
        <f>'Inputs (2)'!S31</f>
        <v>65310</v>
      </c>
      <c r="Y199" s="46">
        <f>'Inputs (2)'!T31</f>
        <v>68942</v>
      </c>
      <c r="Z199" s="46">
        <f>'Inputs (2)'!U31</f>
        <v>86553</v>
      </c>
      <c r="AA199" s="46">
        <f>'Inputs (2)'!V31</f>
        <v>69612</v>
      </c>
      <c r="AB199" s="12">
        <f>'Inputs (2)'!W31</f>
        <v>69612</v>
      </c>
      <c r="AC199" s="46">
        <f>'Inputs (2)'!X31</f>
        <v>70825</v>
      </c>
      <c r="AD199" s="46">
        <f>'Inputs (2)'!Y31</f>
        <v>71478</v>
      </c>
      <c r="AE199" s="46">
        <f>'Inputs (2)'!Z31</f>
        <v>75442</v>
      </c>
      <c r="AF199" s="46">
        <f>'Inputs (2)'!AA31</f>
        <v>77956</v>
      </c>
      <c r="AG199" s="12">
        <f>'Inputs (2)'!AB31</f>
        <v>77956</v>
      </c>
      <c r="AH199" s="12">
        <f>'Inputs (2)'!AC31</f>
        <v>66985</v>
      </c>
      <c r="AI199" s="12">
        <f>'Inputs (2)'!AD31</f>
        <v>71797</v>
      </c>
      <c r="AJ199" s="12">
        <f>AI199</f>
        <v>71797</v>
      </c>
      <c r="AK199" s="12">
        <f>AJ199</f>
        <v>71797</v>
      </c>
      <c r="AL199" s="12">
        <f>AK199</f>
        <v>71797</v>
      </c>
      <c r="AM199" s="12">
        <f>AL199</f>
        <v>71797</v>
      </c>
      <c r="AN199" s="12">
        <f>AM199</f>
        <v>71797</v>
      </c>
      <c r="AO199" s="12">
        <f>AN199</f>
        <v>71797</v>
      </c>
      <c r="AP199" s="12">
        <f>AO199</f>
        <v>71797</v>
      </c>
      <c r="AQ199" s="12">
        <f>AP199</f>
        <v>71797</v>
      </c>
      <c r="AR199" s="12">
        <f>AQ199</f>
        <v>71797</v>
      </c>
      <c r="AS199" s="12">
        <f>AR199</f>
        <v>71797</v>
      </c>
      <c r="AT199" s="12">
        <f>AS199</f>
        <v>71797</v>
      </c>
      <c r="AU199" s="12">
        <f>AT199</f>
        <v>71797</v>
      </c>
      <c r="AV199" s="12">
        <f>AU199</f>
        <v>71797</v>
      </c>
      <c r="AW199" s="12">
        <f>AV199</f>
        <v>71797</v>
      </c>
      <c r="AX199" s="12">
        <f>AW199</f>
        <v>71797</v>
      </c>
      <c r="AY199" s="12">
        <f>AX199</f>
        <v>71797</v>
      </c>
      <c r="AZ199" s="12">
        <f>AY199</f>
        <v>71797</v>
      </c>
      <c r="BA199" s="12">
        <f>AZ199</f>
        <v>71797</v>
      </c>
      <c r="BB199" s="12">
        <f>BA199</f>
        <v>71797</v>
      </c>
      <c r="BC199" s="12">
        <f>BB199</f>
        <v>71797</v>
      </c>
      <c r="BD199" s="12">
        <f>BC199</f>
        <v>71797</v>
      </c>
      <c r="BE199" s="12">
        <f>BD199</f>
        <v>71797</v>
      </c>
      <c r="BF199" s="12">
        <f>BE199</f>
        <v>71797</v>
      </c>
      <c r="BG199" s="12" t="n"/>
      <c r="BH199" s="12" t="n"/>
      <c r="BI199" s="12" t="n"/>
      <c r="BJ199" s="12" t="n"/>
      <c r="BK199" s="12" t="n"/>
      <c r="BL199" s="12" t="n"/>
      <c r="BM199" s="12" t="n"/>
      <c r="BN199" s="12" t="n"/>
      <c r="BO199" s="12" t="n"/>
      <c r="BP199" s="12" t="n"/>
      <c r="BQ199" s="12" t="n"/>
      <c r="BR199" s="12" t="n"/>
      <c r="BS199" s="12" t="n"/>
      <c r="BT199" s="12" t="n"/>
      <c r="BU199" s="12" t="n"/>
      <c r="BV199" s="12" t="n"/>
      <c r="BW199" s="12" t="n"/>
      <c r="BX199" s="12" t="n"/>
      <c r="BY199" s="12" t="n"/>
      <c r="BZ199" s="12" t="n"/>
      <c r="CA199" s="12" t="n"/>
      <c r="CB199" s="12" t="n"/>
      <c r="CC199" s="12" t="n"/>
      <c r="CD199" s="12" t="n"/>
      <c r="CE199" s="12" t="n"/>
      <c r="CF199" s="12" t="n"/>
      <c r="CG199" s="12" t="n"/>
      <c r="CH199" s="12" t="n"/>
      <c r="CI199" s="12" t="n"/>
      <c r="CJ199" s="12" t="n"/>
      <c r="CK199" s="12" t="n"/>
      <c r="CL199" s="12" t="n"/>
      <c r="CM199" s="12" t="n"/>
      <c r="CN199" s="12" t="n"/>
      <c r="CO199" s="12" t="n"/>
      <c r="CP199" s="12" t="n"/>
      <c r="CQ199" s="12" t="n"/>
      <c r="CR199" s="12" t="n"/>
      <c r="CS199" s="12" t="n"/>
      <c r="CT199" s="12" t="n"/>
      <c r="CU199" s="12" t="n"/>
      <c r="CV199" s="12" t="n"/>
      <c r="CW199" s="12" t="n"/>
      <c r="CX199" s="12" t="n"/>
      <c r="CY199" s="12" t="n"/>
    </row>
    <row r="200" hidden="1" outlineLevel="1">
      <c r="C200" s="59" t="inlineStr">
        <is>
          <t>%(Var.)</t>
        </is>
      </c>
      <c r="D200" s="12" t="n"/>
      <c r="E200" s="40" t="n"/>
      <c r="F200" s="40" t="n"/>
      <c r="G200" s="40" t="n"/>
      <c r="H200" s="12" t="n"/>
      <c r="I200" s="40" t="str">
        <f>""</f>
        <v/>
      </c>
      <c r="J200" s="40">
        <f>IFERROR(IF(I199=0,"",J199/I199-1),"")</f>
        <v>-0.0365975025819172</v>
      </c>
      <c r="K200" s="40">
        <f>IFERROR(IF(J199=0,"",K199/J199-1),"")</f>
        <v>0.0740459205551007</v>
      </c>
      <c r="L200" s="40">
        <f>IFERROR(IF(K199=0,"",L199/K199-1),"")</f>
        <v>0.0351692223936122</v>
      </c>
      <c r="M200" s="12">
        <f>IF(L199=0,"",M199/L199-1)</f>
        <v>0</v>
      </c>
      <c r="N200" s="40">
        <f>IFERROR(IF(M199=0,"",N199/M199-1),"")</f>
        <v>0.0197219641323212</v>
      </c>
      <c r="O200" s="40">
        <f>IFERROR(IF(N199=0,"",O199/N199-1),"")</f>
        <v>-0.0280050887085683</v>
      </c>
      <c r="P200" s="40">
        <f>IFERROR(IF(O199=0,"",P199/O199-1),"")</f>
        <v>0.216098622189993</v>
      </c>
      <c r="Q200" s="40">
        <f>IFERROR(IF(P199=0,"",Q199/P199-1),"")</f>
        <v>-0.0126823450703201</v>
      </c>
      <c r="R200" s="12">
        <f>IF(Q199=0,"",R199/Q199-1)</f>
        <v>0</v>
      </c>
      <c r="S200" s="40">
        <f>IFERROR(IF(R199=0,"",S199/R199-1),"")</f>
        <v>-0.049038815644104</v>
      </c>
      <c r="T200" s="40">
        <f>IFERROR(IF(S199=0,"",T199/S199-1),"")</f>
        <v>0.0387105768634983</v>
      </c>
      <c r="U200" s="40">
        <f>IFERROR(IF(T199=0,"",U199/T199-1),"")</f>
        <v>-0.00246066661695621</v>
      </c>
      <c r="V200" s="40">
        <f>IFERROR(IF(U199=0,"",V199/U199-1),"")</f>
        <v>-0.0600239198684407</v>
      </c>
      <c r="W200" s="12">
        <f>IF(V199=0,"",W199/V199-1)</f>
        <v>0</v>
      </c>
      <c r="X200" s="40">
        <f>IFERROR(IF(W199=0,"",X199/W199-1),"")</f>
        <v>0.0387276341948311</v>
      </c>
      <c r="Y200" s="40">
        <f>IFERROR(IF(X199=0,"",Y199/X199-1),"")</f>
        <v>0.055611698055428</v>
      </c>
      <c r="Z200" s="40">
        <f>IFERROR(IF(Y199=0,"",Z199/Y199-1),"")</f>
        <v>0.255446607293087</v>
      </c>
      <c r="AA200" s="40">
        <f>IFERROR(IF(Z199=0,"",AA199/Z199-1),"")</f>
        <v>-0.195729784062944</v>
      </c>
      <c r="AB200" s="12">
        <f>IF(AA199=0,"",AB199/AA199-1)</f>
        <v>0</v>
      </c>
      <c r="AC200" s="40">
        <f>IFERROR(IF(AB199=0,"",AC199/AB199-1),"")</f>
        <v>0.0174251565821986</v>
      </c>
      <c r="AD200" s="40">
        <f>IFERROR(IF(AC199=0,"",AD199/AC199-1),"")</f>
        <v>0.00921990822449703</v>
      </c>
      <c r="AE200" s="40">
        <f>IFERROR(IF(AD199=0,"",AE199/AD199-1),"")</f>
        <v>0.0554576233246593</v>
      </c>
      <c r="AF200" s="55">
        <f>IFERROR(IF(AE199=0,"",AF199/AE199-1),"")</f>
        <v>0.0333236128416532</v>
      </c>
      <c r="AG200" s="12">
        <f>IF(AF199=0,"",AG199/AF199-1)</f>
        <v>0</v>
      </c>
      <c r="AH200" s="55">
        <f>IFERROR(IF(AG199=0,"",AH199/AG199-1),"")</f>
        <v>-0.140733234132075</v>
      </c>
      <c r="AI200" s="55">
        <f>IFERROR(IF(AH199=0,"",AI199/AH199-1),"")</f>
        <v>0.0718369784280062</v>
      </c>
      <c r="AJ200" s="55">
        <f>IFERROR(IF(AI199=0,"",AJ199/AI199-1),"")</f>
        <v>0</v>
      </c>
      <c r="AK200" s="55">
        <f>IFERROR(IF(AJ199=0,"",AK199/AJ199-1),"")</f>
        <v>0</v>
      </c>
      <c r="AL200" s="12">
        <f>IFERROR(IF(AK199=0,"",AL199/AK199-1),"")</f>
        <v>0</v>
      </c>
      <c r="AM200" s="55">
        <f>IFERROR(IF(AL199=0,"",AM199/AL199-1),"")</f>
        <v>0</v>
      </c>
      <c r="AN200" s="55">
        <f>IFERROR(IF(AM199=0,"",AN199/AM199-1),"")</f>
        <v>0</v>
      </c>
      <c r="AO200" s="55">
        <f>IFERROR(IF(AN199=0,"",AO199/AN199-1),"")</f>
        <v>0</v>
      </c>
      <c r="AP200" s="55">
        <f>IFERROR(IF(AO199=0,"",AP199/AO199-1),"")</f>
        <v>0</v>
      </c>
      <c r="AQ200" s="12">
        <f>IFERROR(IF(AP199=0,"",AQ199/AP199-1),"")</f>
        <v>0</v>
      </c>
      <c r="AR200" s="55">
        <f>IFERROR(IF(AQ199=0,"",AR199/AQ199-1),"")</f>
        <v>0</v>
      </c>
      <c r="AS200" s="55">
        <f>IFERROR(IF(AR199=0,"",AS199/AR199-1),"")</f>
        <v>0</v>
      </c>
      <c r="AT200" s="55">
        <f>IFERROR(IF(AS199=0,"",AT199/AS199-1),"")</f>
        <v>0</v>
      </c>
      <c r="AU200" s="55">
        <f>IFERROR(IF(AT199=0,"",AU199/AT199-1),"")</f>
        <v>0</v>
      </c>
      <c r="AV200" s="12">
        <f>IFERROR(IF(AU199=0,"",AV199/AU199-1),"")</f>
        <v>0</v>
      </c>
      <c r="AW200" s="55">
        <f>IFERROR(IF(AV199=0,"",AW199/AV199-1),"")</f>
        <v>0</v>
      </c>
      <c r="AX200" s="55">
        <f>IFERROR(IF(AW199=0,"",AX199/AW199-1),"")</f>
        <v>0</v>
      </c>
      <c r="AY200" s="55">
        <f>IFERROR(IF(AX199=0,"",AY199/AX199-1),"")</f>
        <v>0</v>
      </c>
      <c r="AZ200" s="55">
        <f>IFERROR(IF(AY199=0,"",AZ199/AY199-1),"")</f>
        <v>0</v>
      </c>
      <c r="BA200" s="12">
        <f>IFERROR(IF(AZ199=0,"",BA199/AZ199-1),"")</f>
        <v>0</v>
      </c>
      <c r="BB200" s="55">
        <f>IFERROR(IF(BA199=0,"",BB199/BA199-1),"")</f>
        <v>0</v>
      </c>
      <c r="BC200" s="55">
        <f>IFERROR(IF(BB199=0,"",BC199/BB199-1),"")</f>
        <v>0</v>
      </c>
      <c r="BD200" s="55">
        <f>IFERROR(IF(BC199=0,"",BD199/BC199-1),"")</f>
        <v>0</v>
      </c>
      <c r="BE200" s="55">
        <f>IFERROR(IF(BD199=0,"",BE199/BD199-1),"")</f>
        <v>0</v>
      </c>
      <c r="BF200" s="12">
        <f>IFERROR(IF(BE199=0,"",BF199/BE199-1),"")</f>
        <v>0</v>
      </c>
      <c r="BG200" s="55" t="n"/>
      <c r="BH200" s="55" t="n"/>
      <c r="BI200" s="55" t="n"/>
      <c r="BJ200" s="55" t="n"/>
      <c r="BK200" s="12" t="n"/>
      <c r="BL200" s="55" t="n"/>
      <c r="BM200" s="55" t="n"/>
      <c r="BN200" s="55" t="n"/>
      <c r="BO200" s="55" t="n"/>
      <c r="BP200" s="12" t="n"/>
      <c r="BQ200" s="55" t="n"/>
      <c r="BR200" s="55" t="n"/>
      <c r="BS200" s="55" t="n"/>
      <c r="BT200" s="55" t="n"/>
      <c r="BU200" s="12" t="n"/>
      <c r="BV200" s="55" t="n"/>
      <c r="BW200" s="55" t="n"/>
      <c r="BX200" s="55" t="n"/>
      <c r="BY200" s="55" t="n"/>
      <c r="BZ200" s="12" t="n"/>
      <c r="CA200" s="55" t="n"/>
      <c r="CB200" s="55" t="n"/>
      <c r="CC200" s="55" t="n"/>
      <c r="CD200" s="55" t="n"/>
      <c r="CE200" s="12" t="n"/>
      <c r="CF200" s="55" t="n"/>
      <c r="CG200" s="55" t="n"/>
      <c r="CH200" s="55" t="n"/>
      <c r="CI200" s="55" t="n"/>
      <c r="CJ200" s="12" t="n"/>
      <c r="CK200" s="55" t="n"/>
      <c r="CL200" s="55" t="n"/>
      <c r="CM200" s="55" t="n"/>
      <c r="CN200" s="55" t="n"/>
      <c r="CO200" s="12" t="n"/>
      <c r="CP200" s="55" t="n"/>
      <c r="CQ200" s="55" t="n"/>
      <c r="CR200" s="55" t="n"/>
      <c r="CS200" s="55" t="n"/>
      <c r="CT200" s="12" t="n"/>
      <c r="CU200" s="55" t="n"/>
      <c r="CV200" s="55" t="n"/>
      <c r="CW200" s="55" t="n"/>
      <c r="CX200" s="55" t="n"/>
      <c r="CY200" s="12" t="n"/>
    </row>
    <row r="201" hidden="1" outlineLevel="1">
      <c r="C201" s="57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2" t="n"/>
      <c r="CF201" s="12" t="n"/>
      <c r="CG201" s="12" t="n"/>
      <c r="CH201" s="12" t="n"/>
      <c r="CI201" s="12" t="n"/>
      <c r="CJ201" s="12" t="n"/>
      <c r="CK201" s="12" t="n"/>
      <c r="CL201" s="12" t="n"/>
      <c r="CM201" s="12" t="n"/>
      <c r="CN201" s="12" t="n"/>
      <c r="CO201" s="12" t="n"/>
      <c r="CP201" s="12" t="n"/>
      <c r="CQ201" s="12" t="n"/>
      <c r="CR201" s="12" t="n"/>
      <c r="CS201" s="12" t="n"/>
      <c r="CT201" s="12" t="n"/>
      <c r="CU201" s="12" t="n"/>
      <c r="CV201" s="12" t="n"/>
      <c r="CW201" s="12" t="n"/>
      <c r="CX201" s="12" t="n"/>
      <c r="CY201" s="12" t="n"/>
    </row>
    <row r="202" hidden="1" outlineLevel="1">
      <c r="C202" s="57" t="inlineStr">
        <is>
          <t xml:space="preserve">Dividendos a Pagar </t>
        </is>
      </c>
      <c r="D202" s="11" t="n"/>
      <c r="E202" s="11" t="n"/>
      <c r="F202" s="11" t="n"/>
      <c r="G202" s="11" t="n"/>
      <c r="H202" s="12" t="n"/>
      <c r="I202" s="11" t="n"/>
      <c r="J202" s="11" t="n"/>
      <c r="K202" s="11" t="n"/>
      <c r="L202" s="11" t="n"/>
      <c r="M202" s="12" t="n"/>
      <c r="N202" s="11" t="n"/>
      <c r="O202" s="11" t="n"/>
      <c r="P202" s="11" t="n"/>
      <c r="Q202" s="11" t="n"/>
      <c r="R202" s="12" t="n"/>
      <c r="S202" s="11" t="n"/>
      <c r="T202" s="11" t="n"/>
      <c r="U202" s="11" t="n"/>
      <c r="V202" s="11" t="n"/>
      <c r="W202" s="12" t="n"/>
      <c r="X202" s="11" t="n"/>
      <c r="Y202" s="11" t="n"/>
      <c r="Z202" s="11" t="n"/>
      <c r="AA202" s="11" t="n"/>
      <c r="AB202" s="12" t="n"/>
      <c r="AC202" s="11" t="n"/>
      <c r="AD202" s="11" t="n"/>
      <c r="AE202" s="11" t="n"/>
      <c r="AF202" s="11" t="n"/>
      <c r="AG202" s="12" t="n"/>
      <c r="AH202" s="11" t="n"/>
      <c r="AI202" s="11" t="n"/>
      <c r="AJ202" s="11" t="n"/>
      <c r="AK202" s="11" t="n"/>
      <c r="AL202" s="12" t="n"/>
      <c r="AM202" s="11" t="n"/>
      <c r="AN202" s="11" t="n"/>
      <c r="AO202" s="11" t="n"/>
      <c r="AP202" s="11" t="n"/>
      <c r="AQ202" s="12" t="n"/>
      <c r="AR202" s="11" t="n"/>
      <c r="AS202" s="11" t="n"/>
      <c r="AT202" s="11" t="n"/>
      <c r="AU202" s="11" t="n"/>
      <c r="AV202" s="12" t="n"/>
      <c r="AW202" s="11" t="n"/>
      <c r="AX202" s="11" t="n"/>
      <c r="AY202" s="11" t="n"/>
      <c r="AZ202" s="11" t="n"/>
      <c r="BA202" s="12" t="n"/>
      <c r="BB202" s="11" t="n"/>
      <c r="BC202" s="11" t="n"/>
      <c r="BD202" s="11" t="n"/>
      <c r="BE202" s="11" t="n"/>
      <c r="BF202" s="12" t="n"/>
      <c r="BG202" s="11" t="n"/>
      <c r="BH202" s="11" t="n"/>
      <c r="BI202" s="11" t="n"/>
      <c r="BJ202" s="11" t="n"/>
      <c r="BK202" s="12" t="n"/>
      <c r="BL202" s="11" t="n"/>
      <c r="BM202" s="11" t="n"/>
      <c r="BN202" s="11" t="n"/>
      <c r="BO202" s="11" t="n"/>
      <c r="BP202" s="12" t="n"/>
      <c r="BQ202" s="11" t="n"/>
      <c r="BR202" s="11" t="n"/>
      <c r="BS202" s="11" t="n"/>
      <c r="BT202" s="11" t="n"/>
      <c r="BU202" s="12" t="n"/>
      <c r="BV202" s="11" t="n"/>
      <c r="BW202" s="11" t="n"/>
      <c r="BX202" s="11" t="n"/>
      <c r="BY202" s="11" t="n"/>
      <c r="BZ202" s="12" t="n"/>
      <c r="CA202" s="11" t="n"/>
      <c r="CB202" s="11" t="n"/>
      <c r="CC202" s="11" t="n"/>
      <c r="CD202" s="11" t="n"/>
      <c r="CE202" s="12" t="n"/>
      <c r="CF202" s="11" t="n"/>
      <c r="CG202" s="11" t="n"/>
      <c r="CH202" s="11" t="n"/>
      <c r="CI202" s="11" t="n"/>
      <c r="CJ202" s="12" t="n"/>
      <c r="CK202" s="11" t="n"/>
      <c r="CL202" s="11" t="n"/>
      <c r="CM202" s="11" t="n"/>
      <c r="CN202" s="11" t="n"/>
      <c r="CO202" s="12" t="n"/>
      <c r="CP202" s="11" t="n"/>
      <c r="CQ202" s="11" t="n"/>
      <c r="CR202" s="11" t="n"/>
      <c r="CS202" s="11" t="n"/>
      <c r="CT202" s="12" t="n"/>
      <c r="CU202" s="11" t="n"/>
      <c r="CV202" s="11" t="n"/>
      <c r="CW202" s="11" t="n"/>
      <c r="CX202" s="11" t="n"/>
      <c r="CY202" s="12" t="n"/>
    </row>
    <row r="203" hidden="1" outlineLevel="1">
      <c r="C203" s="57" t="inlineStr">
        <is>
          <t>Contas a pagar pela aquisição de controladas</t>
        </is>
      </c>
      <c r="D203" s="11" t="n"/>
      <c r="E203" s="11" t="n"/>
      <c r="F203" s="11" t="n"/>
      <c r="G203" s="11" t="n"/>
      <c r="H203" s="12" t="n"/>
      <c r="I203" s="11" t="n"/>
      <c r="J203" s="11" t="n"/>
      <c r="K203" s="11" t="n"/>
      <c r="L203" s="11" t="n"/>
      <c r="M203" s="12" t="n"/>
      <c r="N203" s="11" t="n"/>
      <c r="O203" s="11" t="n"/>
      <c r="P203" s="11" t="n"/>
      <c r="Q203" s="11" t="n"/>
      <c r="R203" s="12" t="n"/>
      <c r="S203" s="11" t="n"/>
      <c r="T203" s="11" t="n"/>
      <c r="U203" s="11" t="n"/>
      <c r="V203" s="11" t="n"/>
      <c r="W203" s="12" t="n"/>
      <c r="X203" s="11" t="n"/>
      <c r="Y203" s="11" t="n"/>
      <c r="Z203" s="11" t="n"/>
      <c r="AA203" s="11" t="n"/>
      <c r="AB203" s="12" t="n"/>
      <c r="AC203" s="11" t="n"/>
      <c r="AD203" s="11" t="n"/>
      <c r="AE203" s="11" t="n"/>
      <c r="AF203" s="11" t="n"/>
      <c r="AG203" s="12" t="n"/>
      <c r="AH203" s="11" t="n"/>
      <c r="AI203" s="11" t="n"/>
      <c r="AJ203" s="11" t="n"/>
      <c r="AK203" s="11" t="n"/>
      <c r="AL203" s="12" t="n"/>
      <c r="AM203" s="11" t="n"/>
      <c r="AN203" s="11" t="n"/>
      <c r="AO203" s="11" t="n"/>
      <c r="AP203" s="11" t="n"/>
      <c r="AQ203" s="12" t="n"/>
      <c r="AR203" s="11" t="n"/>
      <c r="AS203" s="11" t="n"/>
      <c r="AT203" s="11" t="n"/>
      <c r="AU203" s="11" t="n"/>
      <c r="AV203" s="12" t="n"/>
      <c r="AW203" s="11" t="n"/>
      <c r="AX203" s="11" t="n"/>
      <c r="AY203" s="11" t="n"/>
      <c r="AZ203" s="11" t="n"/>
      <c r="BA203" s="12" t="n"/>
      <c r="BB203" s="11" t="n"/>
      <c r="BC203" s="11" t="n"/>
      <c r="BD203" s="11" t="n"/>
      <c r="BE203" s="11" t="n"/>
      <c r="BF203" s="12" t="n"/>
      <c r="BG203" s="11" t="n"/>
      <c r="BH203" s="11" t="n"/>
      <c r="BI203" s="11" t="n"/>
      <c r="BJ203" s="11" t="n"/>
      <c r="BK203" s="12" t="n"/>
      <c r="BL203" s="11" t="n"/>
      <c r="BM203" s="11" t="n"/>
      <c r="BN203" s="11" t="n"/>
      <c r="BO203" s="11" t="n"/>
      <c r="BP203" s="12" t="n"/>
      <c r="BQ203" s="11" t="n"/>
      <c r="BR203" s="11" t="n"/>
      <c r="BS203" s="11" t="n"/>
      <c r="BT203" s="11" t="n"/>
      <c r="BU203" s="12" t="n"/>
      <c r="BV203" s="11" t="n"/>
      <c r="BW203" s="11" t="n"/>
      <c r="BX203" s="11" t="n"/>
      <c r="BY203" s="11" t="n"/>
      <c r="BZ203" s="12" t="n"/>
      <c r="CA203" s="11" t="n"/>
      <c r="CB203" s="11" t="n"/>
      <c r="CC203" s="11" t="n"/>
      <c r="CD203" s="11" t="n"/>
      <c r="CE203" s="12" t="n"/>
      <c r="CF203" s="11" t="n"/>
      <c r="CG203" s="11" t="n"/>
      <c r="CH203" s="11" t="n"/>
      <c r="CI203" s="11" t="n"/>
      <c r="CJ203" s="12" t="n"/>
      <c r="CK203" s="11" t="n"/>
      <c r="CL203" s="11" t="n"/>
      <c r="CM203" s="11" t="n"/>
      <c r="CN203" s="11" t="n"/>
      <c r="CO203" s="12" t="n"/>
      <c r="CP203" s="11" t="n"/>
      <c r="CQ203" s="11" t="n"/>
      <c r="CR203" s="11" t="n"/>
      <c r="CS203" s="11" t="n"/>
      <c r="CT203" s="12" t="n"/>
      <c r="CU203" s="11" t="n"/>
      <c r="CV203" s="11" t="n"/>
      <c r="CW203" s="11" t="n"/>
      <c r="CX203" s="11" t="n"/>
      <c r="CY203" s="12" t="n"/>
    </row>
    <row r="204" hidden="1" outlineLevel="1">
      <c r="C204" s="57" t="inlineStr">
        <is>
          <t>Outros</t>
        </is>
      </c>
      <c r="D204" s="11" t="n"/>
      <c r="E204" s="11" t="n"/>
      <c r="F204" s="11" t="n"/>
      <c r="G204" s="11" t="n"/>
      <c r="H204" s="12" t="n"/>
      <c r="I204" s="11" t="n"/>
      <c r="J204" s="11" t="n"/>
      <c r="K204" s="11" t="n"/>
      <c r="L204" s="11" t="n"/>
      <c r="M204" s="12" t="n"/>
      <c r="N204" s="11" t="n"/>
      <c r="O204" s="11" t="n"/>
      <c r="P204" s="11" t="n"/>
      <c r="Q204" s="11" t="n"/>
      <c r="R204" s="12" t="n"/>
      <c r="S204" s="11" t="n"/>
      <c r="T204" s="11" t="n"/>
      <c r="U204" s="11" t="n"/>
      <c r="V204" s="11" t="n"/>
      <c r="W204" s="12" t="n"/>
      <c r="X204" s="11" t="n"/>
      <c r="Y204" s="11" t="n"/>
      <c r="Z204" s="11" t="n"/>
      <c r="AA204" s="11" t="n"/>
      <c r="AB204" s="12" t="n"/>
      <c r="AC204" s="11" t="n"/>
      <c r="AD204" s="11" t="n"/>
      <c r="AE204" s="11" t="n"/>
      <c r="AF204" s="11" t="n"/>
      <c r="AG204" s="12" t="n"/>
      <c r="AH204" s="11" t="n"/>
      <c r="AI204" s="11" t="n"/>
      <c r="AJ204" s="11" t="n"/>
      <c r="AK204" s="11" t="n"/>
      <c r="AL204" s="12" t="n"/>
      <c r="AM204" s="11" t="n"/>
      <c r="AN204" s="11" t="n"/>
      <c r="AO204" s="11" t="n"/>
      <c r="AP204" s="11" t="n"/>
      <c r="AQ204" s="12" t="n"/>
      <c r="AR204" s="11" t="n"/>
      <c r="AS204" s="11" t="n"/>
      <c r="AT204" s="11" t="n"/>
      <c r="AU204" s="11" t="n"/>
      <c r="AV204" s="12" t="n"/>
      <c r="AW204" s="11" t="n"/>
      <c r="AX204" s="11" t="n"/>
      <c r="AY204" s="11" t="n"/>
      <c r="AZ204" s="11" t="n"/>
      <c r="BA204" s="12" t="n"/>
      <c r="BB204" s="11" t="n"/>
      <c r="BC204" s="11" t="n"/>
      <c r="BD204" s="11" t="n"/>
      <c r="BE204" s="11" t="n"/>
      <c r="BF204" s="12" t="n"/>
      <c r="BG204" s="11" t="n"/>
      <c r="BH204" s="11" t="n"/>
      <c r="BI204" s="11" t="n"/>
      <c r="BJ204" s="11" t="n"/>
      <c r="BK204" s="12" t="n"/>
      <c r="BL204" s="11" t="n"/>
      <c r="BM204" s="11" t="n"/>
      <c r="BN204" s="11" t="n"/>
      <c r="BO204" s="11" t="n"/>
      <c r="BP204" s="12" t="n"/>
      <c r="BQ204" s="11" t="n"/>
      <c r="BR204" s="11" t="n"/>
      <c r="BS204" s="11" t="n"/>
      <c r="BT204" s="11" t="n"/>
      <c r="BU204" s="12" t="n"/>
      <c r="BV204" s="11" t="n"/>
      <c r="BW204" s="11" t="n"/>
      <c r="BX204" s="11" t="n"/>
      <c r="BY204" s="11" t="n"/>
      <c r="BZ204" s="12" t="n"/>
      <c r="CA204" s="11" t="n"/>
      <c r="CB204" s="11" t="n"/>
      <c r="CC204" s="11" t="n"/>
      <c r="CD204" s="11" t="n"/>
      <c r="CE204" s="12" t="n"/>
      <c r="CF204" s="11" t="n"/>
      <c r="CG204" s="11" t="n"/>
      <c r="CH204" s="11" t="n"/>
      <c r="CI204" s="11" t="n"/>
      <c r="CJ204" s="12" t="n"/>
      <c r="CK204" s="11" t="n"/>
      <c r="CL204" s="11" t="n"/>
      <c r="CM204" s="11" t="n"/>
      <c r="CN204" s="11" t="n"/>
      <c r="CO204" s="12" t="n"/>
      <c r="CP204" s="11" t="n"/>
      <c r="CQ204" s="11" t="n"/>
      <c r="CR204" s="11" t="n"/>
      <c r="CS204" s="11" t="n"/>
      <c r="CT204" s="12" t="n"/>
      <c r="CU204" s="11" t="n"/>
      <c r="CV204" s="11" t="n"/>
      <c r="CW204" s="11" t="n"/>
      <c r="CX204" s="11" t="n"/>
      <c r="CY204" s="12" t="n"/>
    </row>
    <row r="205" hidden="1" outlineLevel="1">
      <c r="C205" s="57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2" t="n"/>
      <c r="AK205" s="12" t="n"/>
      <c r="AL205" s="12" t="n"/>
      <c r="AM205" s="12" t="n"/>
      <c r="AN205" s="12" t="n"/>
      <c r="AO205" s="12" t="n"/>
      <c r="AP205" s="12" t="n"/>
      <c r="AQ205" s="12" t="n"/>
      <c r="AR205" s="12" t="n"/>
      <c r="AS205" s="12" t="n"/>
      <c r="AT205" s="12" t="n"/>
      <c r="AU205" s="12" t="n"/>
      <c r="AV205" s="12" t="n"/>
      <c r="AW205" s="12" t="n"/>
      <c r="AX205" s="12" t="n"/>
      <c r="AY205" s="12" t="n"/>
      <c r="AZ205" s="12" t="n"/>
      <c r="BA205" s="12" t="n"/>
      <c r="BB205" s="12" t="n"/>
      <c r="BC205" s="12" t="n"/>
      <c r="BD205" s="12" t="n"/>
      <c r="BE205" s="12" t="n"/>
      <c r="BF205" s="12" t="n"/>
      <c r="BG205" s="12" t="n"/>
      <c r="BH205" s="12" t="n"/>
      <c r="BI205" s="12" t="n"/>
      <c r="BJ205" s="12" t="n"/>
      <c r="BK205" s="12" t="n"/>
      <c r="BL205" s="12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12" t="n"/>
      <c r="BV205" s="12" t="n"/>
      <c r="BW205" s="12" t="n"/>
      <c r="BX205" s="12" t="n"/>
      <c r="BY205" s="12" t="n"/>
      <c r="BZ205" s="12" t="n"/>
      <c r="CA205" s="12" t="n"/>
      <c r="CB205" s="12" t="n"/>
      <c r="CC205" s="12" t="n"/>
      <c r="CD205" s="12" t="n"/>
      <c r="CE205" s="12" t="n"/>
      <c r="CF205" s="12" t="n"/>
      <c r="CG205" s="12" t="n"/>
      <c r="CH205" s="12" t="n"/>
      <c r="CI205" s="12" t="n"/>
      <c r="CJ205" s="12" t="n"/>
      <c r="CK205" s="12" t="n"/>
      <c r="CL205" s="12" t="n"/>
      <c r="CM205" s="12" t="n"/>
      <c r="CN205" s="12" t="n"/>
      <c r="CO205" s="12" t="n"/>
      <c r="CP205" s="12" t="n"/>
      <c r="CQ205" s="12" t="n"/>
      <c r="CR205" s="12" t="n"/>
      <c r="CS205" s="12" t="n"/>
      <c r="CT205" s="12" t="n"/>
      <c r="CU205" s="12" t="n"/>
      <c r="CV205" s="12" t="n"/>
      <c r="CW205" s="12" t="n"/>
      <c r="CX205" s="12" t="n"/>
      <c r="CY205" s="12" t="n"/>
    </row>
    <row r="206" collapsed="1">
      <c r="C206" s="14" t="inlineStr">
        <is>
          <t>Current portion of long-term debt</t>
        </is>
      </c>
      <c r="D206" s="46" t="n"/>
      <c r="E206" s="46" t="n"/>
      <c r="F206" s="46" t="n"/>
      <c r="G206" s="46" t="n"/>
      <c r="H206" s="12" t="n"/>
      <c r="I206" s="46">
        <f>'Inputs (2)'!D32</f>
        <v>13003</v>
      </c>
      <c r="J206" s="46">
        <f>'Inputs (2)'!E32</f>
        <v>16039</v>
      </c>
      <c r="K206" s="46">
        <f>'Inputs (2)'!F32</f>
        <v>15613</v>
      </c>
      <c r="L206" s="46">
        <f>'Inputs (2)'!G32</f>
        <v>16169</v>
      </c>
      <c r="M206" s="12">
        <f>'Inputs (2)'!H32</f>
        <v>16169</v>
      </c>
      <c r="N206" s="46">
        <f>'Inputs (2)'!I32</f>
        <v>16658</v>
      </c>
      <c r="O206" s="46">
        <f>'Inputs (2)'!J32</f>
        <v>24991</v>
      </c>
      <c r="P206" s="46">
        <f>'Inputs (2)'!K32</f>
        <v>21110</v>
      </c>
      <c r="Q206" s="46">
        <f>'Inputs (2)'!L32</f>
        <v>11483</v>
      </c>
      <c r="R206" s="12">
        <f>'Inputs (2)'!M32</f>
        <v>11483</v>
      </c>
      <c r="S206" s="46">
        <f>'Inputs (2)'!N32</f>
        <v>12574</v>
      </c>
      <c r="T206" s="46">
        <f>'Inputs (2)'!O32</f>
        <v>11209</v>
      </c>
      <c r="U206" s="46">
        <f>'Inputs (2)'!P32</f>
        <v>15807</v>
      </c>
      <c r="V206" s="46">
        <f>'Inputs (2)'!Q32</f>
        <v>12952</v>
      </c>
      <c r="W206" s="12">
        <f>'Inputs (2)'!R32</f>
        <v>12952</v>
      </c>
      <c r="X206" s="46">
        <f>'Inputs (2)'!S32</f>
        <v>12759</v>
      </c>
      <c r="Y206" s="46">
        <f>'Inputs (2)'!T32</f>
        <v>15108</v>
      </c>
      <c r="Z206" s="46">
        <f>'Inputs (2)'!U32</f>
        <v>20879</v>
      </c>
      <c r="AA206" s="46">
        <f>'Inputs (2)'!V32</f>
        <v>12843</v>
      </c>
      <c r="AB206" s="12">
        <f>'Inputs (2)'!W32</f>
        <v>12843</v>
      </c>
      <c r="AC206" s="46">
        <f>'Inputs (2)'!X32</f>
        <v>19620</v>
      </c>
      <c r="AD206" s="46">
        <f>'Inputs (2)'!Y32</f>
        <v>19268</v>
      </c>
      <c r="AE206" s="46">
        <f>'Inputs (2)'!Z32</f>
        <v>20329</v>
      </c>
      <c r="AF206" s="46">
        <f>'Inputs (2)'!AA32</f>
        <v>13824</v>
      </c>
      <c r="AG206" s="12">
        <f>'Inputs (2)'!AB32</f>
        <v>13824</v>
      </c>
      <c r="AH206" s="12">
        <f>'Inputs (2)'!AC32</f>
        <v>10307</v>
      </c>
      <c r="AI206" s="12">
        <f>'Inputs (2)'!AD32</f>
        <v>13004</v>
      </c>
      <c r="AJ206" s="12">
        <f>AI206</f>
        <v>13004</v>
      </c>
      <c r="AK206" s="12">
        <f>AJ206</f>
        <v>13004</v>
      </c>
      <c r="AL206" s="12">
        <f>AK206</f>
        <v>13004</v>
      </c>
      <c r="AM206" s="12">
        <f>AL206</f>
        <v>13004</v>
      </c>
      <c r="AN206" s="12">
        <f>AM206</f>
        <v>13004</v>
      </c>
      <c r="AO206" s="12">
        <f>AN206</f>
        <v>13004</v>
      </c>
      <c r="AP206" s="12">
        <f>AO206</f>
        <v>13004</v>
      </c>
      <c r="AQ206" s="12">
        <f>AP206</f>
        <v>13004</v>
      </c>
      <c r="AR206" s="12">
        <f>AQ206</f>
        <v>13004</v>
      </c>
      <c r="AS206" s="12">
        <f>AR206</f>
        <v>13004</v>
      </c>
      <c r="AT206" s="12">
        <f>AS206</f>
        <v>13004</v>
      </c>
      <c r="AU206" s="12">
        <f>AT206</f>
        <v>13004</v>
      </c>
      <c r="AV206" s="12">
        <f>AU206</f>
        <v>13004</v>
      </c>
      <c r="AW206" s="12">
        <f>AV206</f>
        <v>13004</v>
      </c>
      <c r="AX206" s="12">
        <f>AW206</f>
        <v>13004</v>
      </c>
      <c r="AY206" s="12">
        <f>AX206</f>
        <v>13004</v>
      </c>
      <c r="AZ206" s="12">
        <f>AY206</f>
        <v>13004</v>
      </c>
      <c r="BA206" s="12">
        <f>AZ206</f>
        <v>13004</v>
      </c>
      <c r="BB206" s="12">
        <f>BA206</f>
        <v>13004</v>
      </c>
      <c r="BC206" s="12">
        <f>BB206</f>
        <v>13004</v>
      </c>
      <c r="BD206" s="12">
        <f>BC206</f>
        <v>13004</v>
      </c>
      <c r="BE206" s="12">
        <f>BD206</f>
        <v>13004</v>
      </c>
      <c r="BF206" s="12">
        <f>BE206</f>
        <v>13004</v>
      </c>
      <c r="BG206" s="12" t="n"/>
      <c r="BH206" s="12" t="n"/>
      <c r="BI206" s="12" t="n"/>
      <c r="BJ206" s="12" t="n"/>
      <c r="BK206" s="12" t="n"/>
      <c r="BL206" s="12" t="n"/>
      <c r="BM206" s="12" t="n"/>
      <c r="BN206" s="12" t="n"/>
      <c r="BO206" s="12" t="n"/>
      <c r="BP206" s="12" t="n"/>
      <c r="BQ206" s="12" t="n"/>
      <c r="BR206" s="12" t="n"/>
      <c r="BS206" s="12" t="n"/>
      <c r="BT206" s="12" t="n"/>
      <c r="BU206" s="12" t="n"/>
      <c r="BV206" s="12" t="n"/>
      <c r="BW206" s="12" t="n"/>
      <c r="BX206" s="12" t="n"/>
      <c r="BY206" s="12" t="n"/>
      <c r="BZ206" s="12" t="n"/>
      <c r="CA206" s="12" t="n"/>
      <c r="CB206" s="12" t="n"/>
      <c r="CC206" s="12" t="n"/>
      <c r="CD206" s="12" t="n"/>
      <c r="CE206" s="12" t="n"/>
      <c r="CF206" s="12" t="n"/>
      <c r="CG206" s="12" t="n"/>
      <c r="CH206" s="12" t="n"/>
      <c r="CI206" s="12" t="n"/>
      <c r="CJ206" s="12" t="n"/>
      <c r="CK206" s="12" t="n"/>
      <c r="CL206" s="12" t="n"/>
      <c r="CM206" s="12" t="n"/>
      <c r="CN206" s="12" t="n"/>
      <c r="CO206" s="12" t="n"/>
      <c r="CP206" s="12" t="n"/>
      <c r="CQ206" s="12" t="n"/>
      <c r="CR206" s="12" t="n"/>
      <c r="CS206" s="12" t="n"/>
      <c r="CT206" s="12" t="n"/>
      <c r="CU206" s="12" t="n"/>
      <c r="CV206" s="12" t="n"/>
      <c r="CW206" s="12" t="n"/>
      <c r="CX206" s="12" t="n"/>
      <c r="CY206" s="12" t="n"/>
    </row>
    <row r="207">
      <c r="C207" s="14" t="inlineStr">
        <is>
          <t>Short term debt (Revolving credit facility)</t>
        </is>
      </c>
      <c r="D207" s="46" t="n"/>
      <c r="E207" s="46" t="n"/>
      <c r="F207" s="46" t="n"/>
      <c r="G207" s="46" t="n"/>
      <c r="H207" s="12" t="n"/>
      <c r="I207" s="46">
        <f>'Inputs (2)'!D33</f>
        <v>0</v>
      </c>
      <c r="J207" s="46">
        <f>'Inputs (2)'!E33</f>
        <v>0</v>
      </c>
      <c r="K207" s="46">
        <f>'Inputs (2)'!F33</f>
        <v>0</v>
      </c>
      <c r="L207" s="46">
        <f>'Inputs (2)'!G33</f>
        <v>0</v>
      </c>
      <c r="M207" s="12">
        <f>'Inputs (2)'!H33</f>
        <v>0</v>
      </c>
      <c r="N207" s="46">
        <f>'Inputs (2)'!I33</f>
        <v>0</v>
      </c>
      <c r="O207" s="46">
        <f>'Inputs (2)'!J33</f>
        <v>0</v>
      </c>
      <c r="P207" s="46">
        <f>'Inputs (2)'!K33</f>
        <v>0</v>
      </c>
      <c r="Q207" s="46">
        <f>'Inputs (2)'!L33</f>
        <v>0</v>
      </c>
      <c r="R207" s="12">
        <f>'Inputs (2)'!M33</f>
        <v>0</v>
      </c>
      <c r="S207" s="46">
        <f>'Inputs (2)'!N33</f>
        <v>0</v>
      </c>
      <c r="T207" s="46">
        <f>'Inputs (2)'!O33</f>
        <v>0</v>
      </c>
      <c r="U207" s="46">
        <f>'Inputs (2)'!P33</f>
        <v>0</v>
      </c>
      <c r="V207" s="46">
        <f>'Inputs (2)'!Q33</f>
        <v>0</v>
      </c>
      <c r="W207" s="12">
        <f>'Inputs (2)'!R33</f>
        <v>0</v>
      </c>
      <c r="X207" s="46">
        <f>'Inputs (2)'!S33</f>
        <v>0</v>
      </c>
      <c r="Y207" s="46">
        <f>'Inputs (2)'!T33</f>
        <v>0</v>
      </c>
      <c r="Z207" s="46">
        <f>'Inputs (2)'!U33</f>
        <v>0</v>
      </c>
      <c r="AA207" s="46">
        <f>'Inputs (2)'!V33</f>
        <v>0</v>
      </c>
      <c r="AB207" s="12">
        <f>'Inputs (2)'!W33</f>
        <v>0</v>
      </c>
      <c r="AC207" s="46">
        <f>'Inputs (2)'!X33</f>
        <v>0</v>
      </c>
      <c r="AD207" s="46">
        <f>'Inputs (2)'!Y33</f>
        <v>0</v>
      </c>
      <c r="AE207" s="46">
        <f>'Inputs (2)'!Z33</f>
        <v>0</v>
      </c>
      <c r="AF207" s="46">
        <f>'Inputs (2)'!AA33</f>
        <v>0</v>
      </c>
      <c r="AG207" s="12">
        <f>'Inputs (2)'!AB33</f>
        <v>0</v>
      </c>
      <c r="AH207" s="12">
        <f>'Inputs (2)'!AC33</f>
        <v>0</v>
      </c>
      <c r="AI207" s="12">
        <f>'Inputs (2)'!AD33</f>
        <v>0</v>
      </c>
      <c r="AJ207" s="12">
        <f>AI207</f>
        <v>0</v>
      </c>
      <c r="AK207" s="12">
        <f>AJ207</f>
        <v>0</v>
      </c>
      <c r="AL207" s="12">
        <f>AK207</f>
        <v>0</v>
      </c>
      <c r="AM207" s="12">
        <f>AL207</f>
        <v>0</v>
      </c>
      <c r="AN207" s="12">
        <f>AM207</f>
        <v>0</v>
      </c>
      <c r="AO207" s="12">
        <f>AN207</f>
        <v>0</v>
      </c>
      <c r="AP207" s="12">
        <f>AO207</f>
        <v>0</v>
      </c>
      <c r="AQ207" s="12">
        <f>AP207</f>
        <v>0</v>
      </c>
      <c r="AR207" s="12">
        <f>AQ207</f>
        <v>0</v>
      </c>
      <c r="AS207" s="12">
        <f>AR207</f>
        <v>0</v>
      </c>
      <c r="AT207" s="12">
        <f>AS207</f>
        <v>0</v>
      </c>
      <c r="AU207" s="12">
        <f>AT207</f>
        <v>0</v>
      </c>
      <c r="AV207" s="12">
        <f>AU207</f>
        <v>0</v>
      </c>
      <c r="AW207" s="12">
        <f>AV207</f>
        <v>0</v>
      </c>
      <c r="AX207" s="12">
        <f>AW207</f>
        <v>0</v>
      </c>
      <c r="AY207" s="12">
        <f>AX207</f>
        <v>0</v>
      </c>
      <c r="AZ207" s="12">
        <f>AY207</f>
        <v>0</v>
      </c>
      <c r="BA207" s="12">
        <f>AZ207</f>
        <v>0</v>
      </c>
      <c r="BB207" s="12">
        <f>BA207</f>
        <v>0</v>
      </c>
      <c r="BC207" s="12">
        <f>BB207</f>
        <v>0</v>
      </c>
      <c r="BD207" s="12">
        <f>BC207</f>
        <v>0</v>
      </c>
      <c r="BE207" s="12">
        <f>BD207</f>
        <v>0</v>
      </c>
      <c r="BF207" s="12">
        <f>BE207</f>
        <v>0</v>
      </c>
      <c r="BG207" s="12" t="n"/>
      <c r="BH207" s="12" t="n"/>
      <c r="BI207" s="12" t="n"/>
      <c r="BJ207" s="12" t="n"/>
      <c r="BK207" s="12" t="n"/>
      <c r="BL207" s="12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  <c r="CA207" s="12" t="n"/>
      <c r="CB207" s="12" t="n"/>
      <c r="CC207" s="12" t="n"/>
      <c r="CD207" s="12" t="n"/>
      <c r="CE207" s="12" t="n"/>
      <c r="CF207" s="12" t="n"/>
      <c r="CG207" s="12" t="n"/>
      <c r="CH207" s="12" t="n"/>
      <c r="CI207" s="12" t="n"/>
      <c r="CJ207" s="12" t="n"/>
      <c r="CK207" s="12" t="n"/>
      <c r="CL207" s="12" t="n"/>
      <c r="CM207" s="12" t="n"/>
      <c r="CN207" s="12" t="n"/>
      <c r="CO207" s="12" t="n"/>
      <c r="CP207" s="12" t="n"/>
      <c r="CQ207" s="12" t="n"/>
      <c r="CR207" s="12" t="n"/>
      <c r="CS207" s="12" t="n"/>
      <c r="CT207" s="12" t="n"/>
      <c r="CU207" s="12" t="n"/>
      <c r="CV207" s="12" t="n"/>
      <c r="CW207" s="12" t="n"/>
      <c r="CX207" s="12" t="n"/>
      <c r="CY207" s="12" t="n"/>
    </row>
    <row r="208">
      <c r="C208" s="14" t="inlineStr">
        <is>
          <t>Short term operating leases</t>
        </is>
      </c>
      <c r="D208" s="46" t="n"/>
      <c r="E208" s="46" t="n"/>
      <c r="F208" s="46" t="n"/>
      <c r="G208" s="46" t="n"/>
      <c r="H208" s="12" t="n"/>
      <c r="I208" s="46">
        <f>'Inputs (2)'!D34</f>
        <v>0</v>
      </c>
      <c r="J208" s="46">
        <f>'Inputs (2)'!E34</f>
        <v>0</v>
      </c>
      <c r="K208" s="46">
        <f>'Inputs (2)'!F34</f>
        <v>0</v>
      </c>
      <c r="L208" s="46">
        <f>'Inputs (2)'!G34</f>
        <v>0</v>
      </c>
      <c r="M208" s="12">
        <f>'Inputs (2)'!H34</f>
        <v>0</v>
      </c>
      <c r="N208" s="46">
        <f>'Inputs (2)'!I34</f>
        <v>0</v>
      </c>
      <c r="O208" s="46">
        <f>'Inputs (2)'!J34</f>
        <v>0</v>
      </c>
      <c r="P208" s="46">
        <f>'Inputs (2)'!K34</f>
        <v>0</v>
      </c>
      <c r="Q208" s="46">
        <f>'Inputs (2)'!L34</f>
        <v>0</v>
      </c>
      <c r="R208" s="12">
        <f>'Inputs (2)'!M34</f>
        <v>0</v>
      </c>
      <c r="S208" s="46">
        <f>'Inputs (2)'!N34</f>
        <v>0</v>
      </c>
      <c r="T208" s="46">
        <f>'Inputs (2)'!O34</f>
        <v>0</v>
      </c>
      <c r="U208" s="46">
        <f>'Inputs (2)'!P34</f>
        <v>0</v>
      </c>
      <c r="V208" s="46">
        <f>'Inputs (2)'!Q34</f>
        <v>0</v>
      </c>
      <c r="W208" s="12">
        <f>'Inputs (2)'!R34</f>
        <v>0</v>
      </c>
      <c r="X208" s="46">
        <f>'Inputs (2)'!S34</f>
        <v>0</v>
      </c>
      <c r="Y208" s="46">
        <f>'Inputs (2)'!T34</f>
        <v>0</v>
      </c>
      <c r="Z208" s="46">
        <f>'Inputs (2)'!U34</f>
        <v>0</v>
      </c>
      <c r="AA208" s="46">
        <f>'Inputs (2)'!V34</f>
        <v>0</v>
      </c>
      <c r="AB208" s="12">
        <f>'Inputs (2)'!W34</f>
        <v>0</v>
      </c>
      <c r="AC208" s="46">
        <f>'Inputs (2)'!X34</f>
        <v>0</v>
      </c>
      <c r="AD208" s="46">
        <f>'Inputs (2)'!Y34</f>
        <v>0</v>
      </c>
      <c r="AE208" s="46">
        <f>'Inputs (2)'!Z34</f>
        <v>0</v>
      </c>
      <c r="AF208" s="46">
        <f>'Inputs (2)'!AA34</f>
        <v>0</v>
      </c>
      <c r="AG208" s="12">
        <f>'Inputs (2)'!AB34</f>
        <v>0</v>
      </c>
      <c r="AH208" s="12">
        <f>'Inputs (2)'!AC34</f>
        <v>0</v>
      </c>
      <c r="AI208" s="12">
        <f>'Inputs (2)'!AD34</f>
        <v>0</v>
      </c>
      <c r="AJ208" s="12">
        <f>AI208</f>
        <v>0</v>
      </c>
      <c r="AK208" s="12">
        <f>AJ208</f>
        <v>0</v>
      </c>
      <c r="AL208" s="12">
        <f>AK208</f>
        <v>0</v>
      </c>
      <c r="AM208" s="12">
        <f>AL208</f>
        <v>0</v>
      </c>
      <c r="AN208" s="12">
        <f>AM208</f>
        <v>0</v>
      </c>
      <c r="AO208" s="12">
        <f>AN208</f>
        <v>0</v>
      </c>
      <c r="AP208" s="12">
        <f>AO208</f>
        <v>0</v>
      </c>
      <c r="AQ208" s="12">
        <f>AP208</f>
        <v>0</v>
      </c>
      <c r="AR208" s="12">
        <f>AQ208</f>
        <v>0</v>
      </c>
      <c r="AS208" s="12">
        <f>AR208</f>
        <v>0</v>
      </c>
      <c r="AT208" s="12">
        <f>AS208</f>
        <v>0</v>
      </c>
      <c r="AU208" s="12">
        <f>AT208</f>
        <v>0</v>
      </c>
      <c r="AV208" s="12">
        <f>AU208</f>
        <v>0</v>
      </c>
      <c r="AW208" s="12">
        <f>AV208</f>
        <v>0</v>
      </c>
      <c r="AX208" s="12">
        <f>AW208</f>
        <v>0</v>
      </c>
      <c r="AY208" s="12">
        <f>AX208</f>
        <v>0</v>
      </c>
      <c r="AZ208" s="12">
        <f>AY208</f>
        <v>0</v>
      </c>
      <c r="BA208" s="12">
        <f>AZ208</f>
        <v>0</v>
      </c>
      <c r="BB208" s="12">
        <f>BA208</f>
        <v>0</v>
      </c>
      <c r="BC208" s="12">
        <f>BB208</f>
        <v>0</v>
      </c>
      <c r="BD208" s="12">
        <f>BC208</f>
        <v>0</v>
      </c>
      <c r="BE208" s="12">
        <f>BD208</f>
        <v>0</v>
      </c>
      <c r="BF208" s="12">
        <f>BE208</f>
        <v>0</v>
      </c>
      <c r="BG208" s="12" t="n"/>
      <c r="BH208" s="12" t="n"/>
      <c r="BI208" s="12" t="n"/>
      <c r="BJ208" s="12" t="n"/>
      <c r="BK208" s="12" t="n"/>
      <c r="BL208" s="12" t="n"/>
      <c r="BM208" s="12" t="n"/>
      <c r="BN208" s="12" t="n"/>
      <c r="BO208" s="12" t="n"/>
      <c r="BP208" s="12" t="n"/>
      <c r="BQ208" s="12" t="n"/>
      <c r="BR208" s="12" t="n"/>
      <c r="BS208" s="12" t="n"/>
      <c r="BT208" s="12" t="n"/>
      <c r="BU208" s="12" t="n"/>
      <c r="BV208" s="12" t="n"/>
      <c r="BW208" s="12" t="n"/>
      <c r="BX208" s="12" t="n"/>
      <c r="BY208" s="12" t="n"/>
      <c r="BZ208" s="12" t="n"/>
      <c r="CA208" s="12" t="n"/>
      <c r="CB208" s="12" t="n"/>
      <c r="CC208" s="12" t="n"/>
      <c r="CD208" s="12" t="n"/>
      <c r="CE208" s="12" t="n"/>
      <c r="CF208" s="12" t="n"/>
      <c r="CG208" s="12" t="n"/>
      <c r="CH208" s="12" t="n"/>
      <c r="CI208" s="12" t="n"/>
      <c r="CJ208" s="12" t="n"/>
      <c r="CK208" s="12" t="n"/>
      <c r="CL208" s="12" t="n"/>
      <c r="CM208" s="12" t="n"/>
      <c r="CN208" s="12" t="n"/>
      <c r="CO208" s="12" t="n"/>
      <c r="CP208" s="12" t="n"/>
      <c r="CQ208" s="12" t="n"/>
      <c r="CR208" s="12" t="n"/>
      <c r="CS208" s="12" t="n"/>
      <c r="CT208" s="12" t="n"/>
      <c r="CU208" s="12" t="n"/>
      <c r="CV208" s="12" t="n"/>
      <c r="CW208" s="12" t="n"/>
      <c r="CX208" s="12" t="n"/>
      <c r="CY208" s="12" t="n"/>
    </row>
    <row r="209" hidden="1" outlineLevel="1">
      <c r="C209" s="59" t="inlineStr">
        <is>
          <t>%(Var.)</t>
        </is>
      </c>
      <c r="D209" s="12" t="n"/>
      <c r="E209" s="40" t="n"/>
      <c r="F209" s="40" t="n"/>
      <c r="G209" s="40" t="n"/>
      <c r="H209" s="12" t="n"/>
      <c r="I209" s="40" t="str">
        <f>""</f>
        <v/>
      </c>
      <c r="J209" s="40" t="str">
        <f>IFERROR(IF(I208=0,"",J208/I208-1),"")</f>
        <v/>
      </c>
      <c r="K209" s="40" t="str">
        <f>IFERROR(IF(J208=0,"",K208/J208-1),"")</f>
        <v/>
      </c>
      <c r="L209" s="40" t="str">
        <f>IFERROR(IF(K208=0,"",L208/K208-1),"")</f>
        <v/>
      </c>
      <c r="M209" s="12" t="str">
        <f>IF(L208=0,"",M208/L208-1)</f>
        <v/>
      </c>
      <c r="N209" s="40" t="str">
        <f>IFERROR(IF(M208=0,"",N208/M208-1),"")</f>
        <v/>
      </c>
      <c r="O209" s="40" t="str">
        <f>IFERROR(IF(N208=0,"",O208/N208-1),"")</f>
        <v/>
      </c>
      <c r="P209" s="40" t="str">
        <f>IFERROR(IF(O208=0,"",P208/O208-1),"")</f>
        <v/>
      </c>
      <c r="Q209" s="40" t="str">
        <f>IFERROR(IF(P208=0,"",Q208/P208-1),"")</f>
        <v/>
      </c>
      <c r="R209" s="12" t="str">
        <f>IF(Q208=0,"",R208/Q208-1)</f>
        <v/>
      </c>
      <c r="S209" s="40" t="str">
        <f>IFERROR(IF(R208=0,"",S208/R208-1),"")</f>
        <v/>
      </c>
      <c r="T209" s="40" t="str">
        <f>IFERROR(IF(S208=0,"",T208/S208-1),"")</f>
        <v/>
      </c>
      <c r="U209" s="40" t="str">
        <f>IFERROR(IF(T208=0,"",U208/T208-1),"")</f>
        <v/>
      </c>
      <c r="V209" s="40" t="str">
        <f>IFERROR(IF(U208=0,"",V208/U208-1),"")</f>
        <v/>
      </c>
      <c r="W209" s="12" t="str">
        <f>IF(V208=0,"",W208/V208-1)</f>
        <v/>
      </c>
      <c r="X209" s="40" t="str">
        <f>IFERROR(IF(W208=0,"",X208/W208-1),"")</f>
        <v/>
      </c>
      <c r="Y209" s="40" t="str">
        <f>IFERROR(IF(X208=0,"",Y208/X208-1),"")</f>
        <v/>
      </c>
      <c r="Z209" s="40" t="str">
        <f>IFERROR(IF(Y208=0,"",Z208/Y208-1),"")</f>
        <v/>
      </c>
      <c r="AA209" s="40" t="str">
        <f>IFERROR(IF(Z208=0,"",AA208/Z208-1),"")</f>
        <v/>
      </c>
      <c r="AB209" s="12" t="str">
        <f>IF(AA208=0,"",AB208/AA208-1)</f>
        <v/>
      </c>
      <c r="AC209" s="40" t="str">
        <f>IFERROR(IF(AB208=0,"",AC208/AB208-1),"")</f>
        <v/>
      </c>
      <c r="AD209" s="40" t="str">
        <f>IFERROR(IF(AC208=0,"",AD208/AC208-1),"")</f>
        <v/>
      </c>
      <c r="AE209" s="40" t="str">
        <f>IFERROR(IF(AD208=0,"",AE208/AD208-1),"")</f>
        <v/>
      </c>
      <c r="AF209" s="11" t="str">
        <f>IFERROR(IF(AE208=0,"",AF208/AE208-1),"")</f>
        <v/>
      </c>
      <c r="AG209" s="12" t="str">
        <f>IF(AF208=0,"",AG208/AF208-1)</f>
        <v/>
      </c>
      <c r="AH209" s="11" t="str">
        <f>IFERROR(IF(AG208=0,"",AH208/AG208-1),"")</f>
        <v/>
      </c>
      <c r="AI209" s="11" t="str">
        <f>IFERROR(IF(AH208=0,"",AI208/AH208-1),"")</f>
        <v/>
      </c>
      <c r="AJ209" s="11" t="str">
        <f>IFERROR(IF(AI208=0,"",AJ208/AI208-1),"")</f>
        <v/>
      </c>
      <c r="AK209" s="11" t="str">
        <f>IFERROR(IF(AJ208=0,"",AK208/AJ208-1),"")</f>
        <v/>
      </c>
      <c r="AL209" s="12" t="str">
        <f>IFERROR(IF(AK208=0,"",AL208/AK208-1),"")</f>
        <v/>
      </c>
      <c r="AM209" s="11" t="str">
        <f>IFERROR(IF(AL208=0,"",AM208/AL208-1),"")</f>
        <v/>
      </c>
      <c r="AN209" s="11" t="str">
        <f>IFERROR(IF(AM208=0,"",AN208/AM208-1),"")</f>
        <v/>
      </c>
      <c r="AO209" s="11" t="str">
        <f>IFERROR(IF(AN208=0,"",AO208/AN208-1),"")</f>
        <v/>
      </c>
      <c r="AP209" s="11" t="str">
        <f>IFERROR(IF(AO208=0,"",AP208/AO208-1),"")</f>
        <v/>
      </c>
      <c r="AQ209" s="12" t="str">
        <f>IFERROR(IF(AP208=0,"",AQ208/AP208-1),"")</f>
        <v/>
      </c>
      <c r="AR209" s="11" t="str">
        <f>IFERROR(IF(AQ208=0,"",AR208/AQ208-1),"")</f>
        <v/>
      </c>
      <c r="AS209" s="11" t="str">
        <f>IFERROR(IF(AR208=0,"",AS208/AR208-1),"")</f>
        <v/>
      </c>
      <c r="AT209" s="11" t="str">
        <f>IFERROR(IF(AS208=0,"",AT208/AS208-1),"")</f>
        <v/>
      </c>
      <c r="AU209" s="11" t="str">
        <f>IFERROR(IF(AT208=0,"",AU208/AT208-1),"")</f>
        <v/>
      </c>
      <c r="AV209" s="12" t="str">
        <f>IFERROR(IF(AU208=0,"",AV208/AU208-1),"")</f>
        <v/>
      </c>
      <c r="AW209" s="11" t="str">
        <f>IFERROR(IF(AV208=0,"",AW208/AV208-1),"")</f>
        <v/>
      </c>
      <c r="AX209" s="11" t="str">
        <f>IFERROR(IF(AW208=0,"",AX208/AW208-1),"")</f>
        <v/>
      </c>
      <c r="AY209" s="11" t="str">
        <f>IFERROR(IF(AX208=0,"",AY208/AX208-1),"")</f>
        <v/>
      </c>
      <c r="AZ209" s="11" t="str">
        <f>IFERROR(IF(AY208=0,"",AZ208/AY208-1),"")</f>
        <v/>
      </c>
      <c r="BA209" s="12" t="str">
        <f>IFERROR(IF(AZ208=0,"",BA208/AZ208-1),"")</f>
        <v/>
      </c>
      <c r="BB209" s="11" t="str">
        <f>IFERROR(IF(BA208=0,"",BB208/BA208-1),"")</f>
        <v/>
      </c>
      <c r="BC209" s="11" t="str">
        <f>IFERROR(IF(BB208=0,"",BC208/BB208-1),"")</f>
        <v/>
      </c>
      <c r="BD209" s="11" t="str">
        <f>IFERROR(IF(BC208=0,"",BD208/BC208-1),"")</f>
        <v/>
      </c>
      <c r="BE209" s="11" t="str">
        <f>IFERROR(IF(BD208=0,"",BE208/BD208-1),"")</f>
        <v/>
      </c>
      <c r="BF209" s="12" t="str">
        <f>IFERROR(IF(BE208=0,"",BF208/BE208-1),"")</f>
        <v/>
      </c>
      <c r="BG209" s="11" t="n"/>
      <c r="BH209" s="11" t="n"/>
      <c r="BI209" s="11" t="n"/>
      <c r="BJ209" s="11" t="n"/>
      <c r="BK209" s="12" t="n"/>
      <c r="BL209" s="11" t="n"/>
      <c r="BM209" s="11" t="n"/>
      <c r="BN209" s="11" t="n"/>
      <c r="BO209" s="11" t="n"/>
      <c r="BP209" s="12" t="n"/>
      <c r="BQ209" s="11" t="n"/>
      <c r="BR209" s="11" t="n"/>
      <c r="BS209" s="11" t="n"/>
      <c r="BT209" s="11" t="n"/>
      <c r="BU209" s="12" t="n"/>
      <c r="BV209" s="11" t="n"/>
      <c r="BW209" s="11" t="n"/>
      <c r="BX209" s="11" t="n"/>
      <c r="BY209" s="11" t="n"/>
      <c r="BZ209" s="12" t="n"/>
      <c r="CA209" s="11" t="n"/>
      <c r="CB209" s="11" t="n"/>
      <c r="CC209" s="11" t="n"/>
      <c r="CD209" s="11" t="n"/>
      <c r="CE209" s="12" t="n"/>
      <c r="CF209" s="11" t="n"/>
      <c r="CG209" s="11" t="n"/>
      <c r="CH209" s="11" t="n"/>
      <c r="CI209" s="11" t="n"/>
      <c r="CJ209" s="12" t="n"/>
      <c r="CK209" s="11" t="n"/>
      <c r="CL209" s="11" t="n"/>
      <c r="CM209" s="11" t="n"/>
      <c r="CN209" s="11" t="n"/>
      <c r="CO209" s="12" t="n"/>
      <c r="CP209" s="11" t="n"/>
      <c r="CQ209" s="11" t="n"/>
      <c r="CR209" s="11" t="n"/>
      <c r="CS209" s="11" t="n"/>
      <c r="CT209" s="12" t="n"/>
      <c r="CU209" s="11" t="n"/>
      <c r="CV209" s="11" t="n"/>
      <c r="CW209" s="11" t="n"/>
      <c r="CX209" s="11" t="n"/>
      <c r="CY209" s="12" t="n"/>
    </row>
    <row r="210" hidden="1" outlineLevel="1">
      <c r="C210" s="57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  <c r="AL210" s="12" t="n"/>
      <c r="AM210" s="12" t="n"/>
      <c r="AN210" s="12" t="n"/>
      <c r="AO210" s="12" t="n"/>
      <c r="AP210" s="12" t="n"/>
      <c r="AQ210" s="12" t="n"/>
      <c r="AR210" s="12" t="n"/>
      <c r="AS210" s="12" t="n"/>
      <c r="AT210" s="12" t="n"/>
      <c r="AU210" s="12" t="n"/>
      <c r="AV210" s="12" t="n"/>
      <c r="AW210" s="12" t="n"/>
      <c r="AX210" s="12" t="n"/>
      <c r="AY210" s="12" t="n"/>
      <c r="AZ210" s="12" t="n"/>
      <c r="BA210" s="12" t="n"/>
      <c r="BB210" s="12" t="n"/>
      <c r="BC210" s="12" t="n"/>
      <c r="BD210" s="12" t="n"/>
      <c r="BE210" s="12" t="n"/>
      <c r="BF210" s="12" t="n"/>
      <c r="BG210" s="12" t="n"/>
      <c r="BH210" s="12" t="n"/>
      <c r="BI210" s="12" t="n"/>
      <c r="BJ210" s="12" t="n"/>
      <c r="BK210" s="12" t="n"/>
      <c r="BL210" s="12" t="n"/>
      <c r="BM210" s="12" t="n"/>
      <c r="BN210" s="12" t="n"/>
      <c r="BO210" s="12" t="n"/>
      <c r="BP210" s="12" t="n"/>
      <c r="BQ210" s="12" t="n"/>
      <c r="BR210" s="12" t="n"/>
      <c r="BS210" s="12" t="n"/>
      <c r="BT210" s="12" t="n"/>
      <c r="BU210" s="12" t="n"/>
      <c r="BV210" s="12" t="n"/>
      <c r="BW210" s="12" t="n"/>
      <c r="BX210" s="12" t="n"/>
      <c r="BY210" s="12" t="n"/>
      <c r="BZ210" s="12" t="n"/>
      <c r="CA210" s="12" t="n"/>
      <c r="CB210" s="12" t="n"/>
      <c r="CC210" s="12" t="n"/>
      <c r="CD210" s="12" t="n"/>
      <c r="CE210" s="12" t="n"/>
      <c r="CF210" s="12" t="n"/>
      <c r="CG210" s="12" t="n"/>
      <c r="CH210" s="12" t="n"/>
      <c r="CI210" s="12" t="n"/>
      <c r="CJ210" s="12" t="n"/>
      <c r="CK210" s="12" t="n"/>
      <c r="CL210" s="12" t="n"/>
      <c r="CM210" s="12" t="n"/>
      <c r="CN210" s="12" t="n"/>
      <c r="CO210" s="12" t="n"/>
      <c r="CP210" s="12" t="n"/>
      <c r="CQ210" s="12" t="n"/>
      <c r="CR210" s="12" t="n"/>
      <c r="CS210" s="12" t="n"/>
      <c r="CT210" s="12" t="n"/>
      <c r="CU210" s="12" t="n"/>
      <c r="CV210" s="12" t="n"/>
      <c r="CW210" s="12" t="n"/>
      <c r="CX210" s="12" t="n"/>
      <c r="CY210" s="12" t="n"/>
    </row>
    <row r="211" collapsed="1">
      <c r="C211" s="14" t="inlineStr">
        <is>
          <t>Long term debt</t>
        </is>
      </c>
      <c r="D211" s="46" t="n"/>
      <c r="E211" s="46" t="n"/>
      <c r="F211" s="46" t="n"/>
      <c r="G211" s="46" t="n"/>
      <c r="H211" s="12" t="n"/>
      <c r="I211" s="46">
        <f>'Inputs (2)'!D35</f>
        <v>108642</v>
      </c>
      <c r="J211" s="46">
        <f>'Inputs (2)'!E35</f>
        <v>105752</v>
      </c>
      <c r="K211" s="46">
        <f>'Inputs (2)'!F35</f>
        <v>109106</v>
      </c>
      <c r="L211" s="46">
        <f>'Inputs (2)'!G35</f>
        <v>106629</v>
      </c>
      <c r="M211" s="12">
        <f>'Inputs (2)'!H35</f>
        <v>106629</v>
      </c>
      <c r="N211" s="46">
        <f>'Inputs (2)'!I35</f>
        <v>103323</v>
      </c>
      <c r="O211" s="46">
        <f>'Inputs (2)'!J35</f>
        <v>94700</v>
      </c>
      <c r="P211" s="46">
        <f>'Inputs (2)'!K35</f>
        <v>98959</v>
      </c>
      <c r="Q211" s="46">
        <f>'Inputs (2)'!L35</f>
        <v>99627</v>
      </c>
      <c r="R211" s="12">
        <f>'Inputs (2)'!M35</f>
        <v>99627</v>
      </c>
      <c r="S211" s="46">
        <f>'Inputs (2)'!N35</f>
        <v>97041</v>
      </c>
      <c r="T211" s="46">
        <f>'Inputs (2)'!O35</f>
        <v>98071</v>
      </c>
      <c r="U211" s="46">
        <f>'Inputs (2)'!P35</f>
        <v>95281</v>
      </c>
      <c r="V211" s="46">
        <f>'Inputs (2)'!Q35</f>
        <v>95088</v>
      </c>
      <c r="W211" s="12">
        <f>'Inputs (2)'!R35</f>
        <v>95088</v>
      </c>
      <c r="X211" s="46">
        <f>'Inputs (2)'!S35</f>
        <v>91831</v>
      </c>
      <c r="Y211" s="46">
        <f>'Inputs (2)'!T35</f>
        <v>86196</v>
      </c>
      <c r="Z211" s="46">
        <f>'Inputs (2)'!U35</f>
        <v>85750</v>
      </c>
      <c r="AA211" s="46">
        <f>'Inputs (2)'!V35</f>
        <v>83956</v>
      </c>
      <c r="AB211" s="12">
        <f>'Inputs (2)'!W35</f>
        <v>83956</v>
      </c>
      <c r="AC211" s="46">
        <f>'Inputs (2)'!X35</f>
        <v>78566</v>
      </c>
      <c r="AD211" s="46">
        <f>'Inputs (2)'!Y35</f>
        <v>82430</v>
      </c>
      <c r="AE211" s="46">
        <f>'Inputs (2)'!Z35</f>
        <v>78328</v>
      </c>
      <c r="AF211" s="46">
        <f>'Inputs (2)'!AA35</f>
        <v>76685</v>
      </c>
      <c r="AG211" s="12">
        <f>'Inputs (2)'!AB35</f>
        <v>76685</v>
      </c>
      <c r="AH211" s="12">
        <f>'Inputs (2)'!AC35</f>
        <v>74404</v>
      </c>
      <c r="AI211" s="12">
        <f>'Inputs (2)'!AD35</f>
        <v>71340</v>
      </c>
      <c r="AJ211" s="12">
        <f>AJ217</f>
        <v>71340</v>
      </c>
      <c r="AK211" s="12">
        <f>AK217</f>
        <v>71340</v>
      </c>
      <c r="AL211" s="12">
        <f>AK211</f>
        <v>71340</v>
      </c>
      <c r="AM211" s="12">
        <f>AM217</f>
        <v>71340</v>
      </c>
      <c r="AN211" s="12">
        <f>AN217</f>
        <v>71340</v>
      </c>
      <c r="AO211" s="12">
        <f>AO217</f>
        <v>71340</v>
      </c>
      <c r="AP211" s="12">
        <f>AP217</f>
        <v>71340</v>
      </c>
      <c r="AQ211" s="12">
        <f>AP211</f>
        <v>71340</v>
      </c>
      <c r="AR211" s="12">
        <f>AR217</f>
        <v>71340</v>
      </c>
      <c r="AS211" s="12">
        <f>AS217</f>
        <v>71340</v>
      </c>
      <c r="AT211" s="12">
        <f>AT217</f>
        <v>71340</v>
      </c>
      <c r="AU211" s="12">
        <f>AU217</f>
        <v>71340</v>
      </c>
      <c r="AV211" s="12">
        <f>AU211</f>
        <v>71340</v>
      </c>
      <c r="AW211" s="12">
        <f>AW217</f>
        <v>71340</v>
      </c>
      <c r="AX211" s="12">
        <f>AX217</f>
        <v>71340</v>
      </c>
      <c r="AY211" s="12">
        <f>AY217</f>
        <v>71340</v>
      </c>
      <c r="AZ211" s="12">
        <f>AZ217</f>
        <v>71340</v>
      </c>
      <c r="BA211" s="12">
        <f>AZ211</f>
        <v>71340</v>
      </c>
      <c r="BB211" s="12">
        <f>BB217</f>
        <v>71340</v>
      </c>
      <c r="BC211" s="12">
        <f>BC217</f>
        <v>71340</v>
      </c>
      <c r="BD211" s="12">
        <f>BD217</f>
        <v>71340</v>
      </c>
      <c r="BE211" s="12">
        <f>BE217</f>
        <v>71340</v>
      </c>
      <c r="BF211" s="12">
        <f>BE211</f>
        <v>71340</v>
      </c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</row>
    <row r="212" hidden="1" outlineLevel="1">
      <c r="C212" s="57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  <c r="AL212" s="12" t="n"/>
      <c r="AM212" s="12" t="n"/>
      <c r="AN212" s="12" t="n"/>
      <c r="AO212" s="12" t="n"/>
      <c r="AP212" s="12" t="n"/>
      <c r="AQ212" s="12" t="n"/>
      <c r="AR212" s="12" t="n"/>
      <c r="AS212" s="12" t="n"/>
      <c r="AT212" s="12" t="n"/>
      <c r="AU212" s="12" t="n"/>
      <c r="AV212" s="12" t="n"/>
      <c r="AW212" s="12" t="n"/>
      <c r="AX212" s="12" t="n"/>
      <c r="AY212" s="12" t="n"/>
      <c r="AZ212" s="12" t="n"/>
      <c r="BA212" s="12" t="n"/>
      <c r="BB212" s="12" t="n"/>
      <c r="BC212" s="12" t="n"/>
      <c r="BD212" s="12" t="n"/>
      <c r="BE212" s="12" t="n"/>
      <c r="BF212" s="12" t="n"/>
      <c r="BG212" s="12" t="n"/>
      <c r="BH212" s="12" t="n"/>
      <c r="BI212" s="12" t="n"/>
      <c r="BJ212" s="12" t="n"/>
      <c r="BK212" s="12" t="n"/>
      <c r="BL212" s="12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  <c r="CN212" s="12" t="n"/>
      <c r="CO212" s="12" t="n"/>
      <c r="CP212" s="12" t="n"/>
      <c r="CQ212" s="12" t="n"/>
      <c r="CR212" s="12" t="n"/>
      <c r="CS212" s="12" t="n"/>
      <c r="CT212" s="12" t="n"/>
      <c r="CU212" s="12" t="n"/>
      <c r="CV212" s="12" t="n"/>
      <c r="CW212" s="12" t="n"/>
      <c r="CX212" s="12" t="n"/>
      <c r="CY212" s="12" t="n"/>
    </row>
    <row r="213" hidden="1" outlineLevel="1">
      <c r="C213" s="57" t="inlineStr">
        <is>
          <t>Current portion of LTD</t>
        </is>
      </c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>
        <f>AF206</f>
        <v>13824</v>
      </c>
      <c r="AI213" s="62" t="n"/>
      <c r="AJ213" s="62" t="n"/>
      <c r="AK213" s="62" t="n"/>
      <c r="AL213" s="12" t="n"/>
      <c r="AM213" s="12">
        <f>AK206</f>
        <v>13004</v>
      </c>
      <c r="AN213" s="62" t="n"/>
      <c r="AO213" s="62" t="n"/>
      <c r="AP213" s="62" t="n"/>
      <c r="AQ213" s="12" t="n"/>
      <c r="AR213" s="12">
        <f>AP206</f>
        <v>13004</v>
      </c>
      <c r="AS213" s="62" t="n"/>
      <c r="AT213" s="62" t="n"/>
      <c r="AU213" s="62" t="n"/>
      <c r="AV213" s="12" t="n"/>
      <c r="AW213" s="12">
        <f>AU206</f>
        <v>13004</v>
      </c>
      <c r="AX213" s="62" t="n"/>
      <c r="AY213" s="62" t="n"/>
      <c r="AZ213" s="62" t="n"/>
      <c r="BA213" s="12" t="n"/>
      <c r="BB213" s="12">
        <f>AZ206</f>
        <v>13004</v>
      </c>
      <c r="BC213" s="62" t="n"/>
      <c r="BD213" s="62" t="n"/>
      <c r="BE213" s="62" t="n"/>
      <c r="BF213" s="12" t="n"/>
      <c r="BG213" s="12" t="n"/>
      <c r="BH213" s="62" t="n"/>
      <c r="BI213" s="62" t="n"/>
      <c r="BJ213" s="62" t="n"/>
      <c r="BK213" s="12" t="n"/>
      <c r="BL213" s="12" t="n"/>
      <c r="BM213" s="62" t="n"/>
      <c r="BN213" s="62" t="n"/>
      <c r="BO213" s="62" t="n"/>
      <c r="BP213" s="12" t="n"/>
      <c r="BQ213" s="12" t="n"/>
      <c r="BR213" s="62" t="n"/>
      <c r="BS213" s="62" t="n"/>
      <c r="BT213" s="62" t="n"/>
      <c r="BU213" s="12" t="n"/>
      <c r="BV213" s="12" t="n"/>
      <c r="BW213" s="62" t="n"/>
      <c r="BX213" s="62" t="n"/>
      <c r="BY213" s="62" t="n"/>
      <c r="BZ213" s="12" t="n"/>
      <c r="CA213" s="12" t="n"/>
      <c r="CB213" s="62" t="n"/>
      <c r="CC213" s="62" t="n"/>
      <c r="CD213" s="62" t="n"/>
      <c r="CE213" s="12" t="n"/>
      <c r="CF213" s="12" t="n"/>
      <c r="CG213" s="62" t="n"/>
      <c r="CH213" s="62" t="n"/>
      <c r="CI213" s="62" t="n"/>
      <c r="CJ213" s="12" t="n"/>
      <c r="CK213" s="12" t="n"/>
      <c r="CL213" s="62" t="n"/>
      <c r="CM213" s="62" t="n"/>
      <c r="CN213" s="62" t="n"/>
      <c r="CO213" s="12" t="n"/>
      <c r="CP213" s="12" t="n"/>
      <c r="CQ213" s="62" t="n"/>
      <c r="CR213" s="62" t="n"/>
      <c r="CS213" s="62" t="n"/>
      <c r="CT213" s="12" t="n"/>
      <c r="CU213" s="12" t="n"/>
      <c r="CV213" s="62" t="n"/>
      <c r="CW213" s="62" t="n"/>
      <c r="CX213" s="62" t="n"/>
      <c r="CY213" s="12" t="n"/>
    </row>
    <row r="214" hidden="1" outlineLevel="1">
      <c r="C214" s="57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2" t="n"/>
      <c r="AK214" s="12" t="n"/>
      <c r="AL214" s="12" t="n"/>
      <c r="AM214" s="12" t="n"/>
      <c r="AN214" s="12" t="n"/>
      <c r="AO214" s="12" t="n"/>
      <c r="AP214" s="12" t="n"/>
      <c r="AQ214" s="12" t="n"/>
      <c r="AR214" s="12" t="n"/>
      <c r="AS214" s="12" t="n"/>
      <c r="AT214" s="12" t="n"/>
      <c r="AU214" s="12" t="n"/>
      <c r="AV214" s="12" t="n"/>
      <c r="AW214" s="12" t="n"/>
      <c r="AX214" s="12" t="n"/>
      <c r="AY214" s="12" t="n"/>
      <c r="AZ214" s="12" t="n"/>
      <c r="BA214" s="12" t="n"/>
      <c r="BB214" s="12" t="n"/>
      <c r="BC214" s="12" t="n"/>
      <c r="BD214" s="12" t="n"/>
      <c r="BE214" s="12" t="n"/>
      <c r="BF214" s="12" t="n"/>
      <c r="BG214" s="12" t="n"/>
      <c r="BH214" s="12" t="n"/>
      <c r="BI214" s="12" t="n"/>
      <c r="BJ214" s="12" t="n"/>
      <c r="BK214" s="12" t="n"/>
      <c r="BL214" s="12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  <c r="CA214" s="12" t="n"/>
      <c r="CB214" s="12" t="n"/>
      <c r="CC214" s="12" t="n"/>
      <c r="CD214" s="12" t="n"/>
      <c r="CE214" s="12" t="n"/>
      <c r="CF214" s="12" t="n"/>
      <c r="CG214" s="12" t="n"/>
      <c r="CH214" s="12" t="n"/>
      <c r="CI214" s="12" t="n"/>
      <c r="CJ214" s="12" t="n"/>
      <c r="CK214" s="12" t="n"/>
      <c r="CL214" s="12" t="n"/>
      <c r="CM214" s="12" t="n"/>
      <c r="CN214" s="12" t="n"/>
      <c r="CO214" s="12" t="n"/>
      <c r="CP214" s="12" t="n"/>
      <c r="CQ214" s="12" t="n"/>
      <c r="CR214" s="12" t="n"/>
      <c r="CS214" s="12" t="n"/>
      <c r="CT214" s="12" t="n"/>
      <c r="CU214" s="12" t="n"/>
      <c r="CV214" s="12" t="n"/>
      <c r="CW214" s="12" t="n"/>
      <c r="CX214" s="12" t="n"/>
      <c r="CY214" s="12" t="n"/>
    </row>
    <row r="215" hidden="1" outlineLevel="1">
      <c r="C215" s="57" t="inlineStr">
        <is>
          <t>Reclassification of LTD to CP of LTD</t>
        </is>
      </c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>
        <f>-AI213</f>
        <v>0</v>
      </c>
      <c r="AJ215" s="12">
        <f>-AJ213</f>
        <v>0</v>
      </c>
      <c r="AK215" s="12">
        <f>-AK213</f>
        <v>0</v>
      </c>
      <c r="AL215" s="12" t="n"/>
      <c r="AM215" s="12" t="n"/>
      <c r="AN215" s="12">
        <f>-AN213</f>
        <v>0</v>
      </c>
      <c r="AO215" s="12">
        <f>-AO213</f>
        <v>0</v>
      </c>
      <c r="AP215" s="12">
        <f>-AP213</f>
        <v>0</v>
      </c>
      <c r="AQ215" s="12" t="n"/>
      <c r="AR215" s="12" t="n"/>
      <c r="AS215" s="12">
        <f>-AS213</f>
        <v>0</v>
      </c>
      <c r="AT215" s="12">
        <f>-AT213</f>
        <v>0</v>
      </c>
      <c r="AU215" s="12">
        <f>-AU213</f>
        <v>0</v>
      </c>
      <c r="AV215" s="12" t="n"/>
      <c r="AW215" s="12" t="n"/>
      <c r="AX215" s="12">
        <f>-AX213</f>
        <v>0</v>
      </c>
      <c r="AY215" s="12">
        <f>-AY213</f>
        <v>0</v>
      </c>
      <c r="AZ215" s="12">
        <f>-AZ213</f>
        <v>0</v>
      </c>
      <c r="BA215" s="12" t="n"/>
      <c r="BB215" s="12" t="n"/>
      <c r="BC215" s="12">
        <f>-BC213</f>
        <v>0</v>
      </c>
      <c r="BD215" s="12">
        <f>-BD213</f>
        <v>0</v>
      </c>
      <c r="BE215" s="12">
        <f>-BE213</f>
        <v>0</v>
      </c>
      <c r="BF215" s="12" t="n"/>
      <c r="BG215" s="12" t="n"/>
      <c r="BH215" s="12" t="n"/>
      <c r="BI215" s="12" t="n"/>
      <c r="BJ215" s="12" t="n"/>
      <c r="BK215" s="12" t="n"/>
      <c r="BL215" s="12" t="n"/>
      <c r="BM215" s="12" t="n"/>
      <c r="BN215" s="12" t="n"/>
      <c r="BO215" s="12" t="n"/>
      <c r="BP215" s="12" t="n"/>
      <c r="BQ215" s="12" t="n"/>
      <c r="BR215" s="12" t="n"/>
      <c r="BS215" s="12" t="n"/>
      <c r="BT215" s="12" t="n"/>
      <c r="BU215" s="12" t="n"/>
      <c r="BV215" s="12" t="n"/>
      <c r="BW215" s="12" t="n"/>
      <c r="BX215" s="12" t="n"/>
      <c r="BY215" s="12" t="n"/>
      <c r="BZ215" s="12" t="n"/>
      <c r="CA215" s="12" t="n"/>
      <c r="CB215" s="12" t="n"/>
      <c r="CC215" s="12" t="n"/>
      <c r="CD215" s="12" t="n"/>
      <c r="CE215" s="12" t="n"/>
      <c r="CF215" s="12" t="n"/>
      <c r="CG215" s="12" t="n"/>
      <c r="CH215" s="12" t="n"/>
      <c r="CI215" s="12" t="n"/>
      <c r="CJ215" s="12" t="n"/>
      <c r="CK215" s="12" t="n"/>
      <c r="CL215" s="12" t="n"/>
      <c r="CM215" s="12" t="n"/>
      <c r="CN215" s="12" t="n"/>
      <c r="CO215" s="12" t="n"/>
      <c r="CP215" s="12" t="n"/>
      <c r="CQ215" s="12" t="n"/>
      <c r="CR215" s="12" t="n"/>
      <c r="CS215" s="12" t="n"/>
      <c r="CT215" s="12" t="n"/>
      <c r="CU215" s="12" t="n"/>
      <c r="CV215" s="12" t="n"/>
      <c r="CW215" s="12" t="n"/>
      <c r="CX215" s="12" t="n"/>
      <c r="CY215" s="12" t="n"/>
    </row>
    <row r="216" hidden="1" outlineLevel="1">
      <c r="C216" s="57" t="inlineStr">
        <is>
          <t>Discretionary (paydown)/borrowing of long term debt</t>
        </is>
      </c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62" t="n"/>
      <c r="AI216" s="62" t="n"/>
      <c r="AJ216" s="62" t="n"/>
      <c r="AK216" s="62" t="n"/>
      <c r="AL216" s="12" t="n"/>
      <c r="AM216" s="62" t="n"/>
      <c r="AN216" s="62" t="n"/>
      <c r="AO216" s="62" t="n"/>
      <c r="AP216" s="62" t="n"/>
      <c r="AQ216" s="12" t="n"/>
      <c r="AR216" s="62" t="n"/>
      <c r="AS216" s="62" t="n"/>
      <c r="AT216" s="62" t="n"/>
      <c r="AU216" s="62" t="n"/>
      <c r="AV216" s="12" t="n"/>
      <c r="AW216" s="62" t="n"/>
      <c r="AX216" s="62" t="n"/>
      <c r="AY216" s="62" t="n"/>
      <c r="AZ216" s="62" t="n"/>
      <c r="BA216" s="12" t="n"/>
      <c r="BB216" s="62" t="n"/>
      <c r="BC216" s="62" t="n"/>
      <c r="BD216" s="62" t="n"/>
      <c r="BE216" s="62" t="n"/>
      <c r="BF216" s="12" t="n"/>
      <c r="BG216" s="62" t="n"/>
      <c r="BH216" s="62" t="n"/>
      <c r="BI216" s="62" t="n"/>
      <c r="BJ216" s="62" t="n"/>
      <c r="BK216" s="12" t="n"/>
      <c r="BL216" s="62" t="n"/>
      <c r="BM216" s="62" t="n"/>
      <c r="BN216" s="62" t="n"/>
      <c r="BO216" s="62" t="n"/>
      <c r="BP216" s="12" t="n"/>
      <c r="BQ216" s="62" t="n"/>
      <c r="BR216" s="62" t="n"/>
      <c r="BS216" s="62" t="n"/>
      <c r="BT216" s="62" t="n"/>
      <c r="BU216" s="12" t="n"/>
      <c r="BV216" s="62" t="n"/>
      <c r="BW216" s="62" t="n"/>
      <c r="BX216" s="62" t="n"/>
      <c r="BY216" s="62" t="n"/>
      <c r="BZ216" s="12" t="n"/>
      <c r="CA216" s="62" t="n"/>
      <c r="CB216" s="62" t="n"/>
      <c r="CC216" s="62" t="n"/>
      <c r="CD216" s="62" t="n"/>
      <c r="CE216" s="12" t="n"/>
      <c r="CF216" s="62" t="n"/>
      <c r="CG216" s="62" t="n"/>
      <c r="CH216" s="62" t="n"/>
      <c r="CI216" s="62" t="n"/>
      <c r="CJ216" s="12" t="n"/>
      <c r="CK216" s="62" t="n"/>
      <c r="CL216" s="62" t="n"/>
      <c r="CM216" s="62" t="n"/>
      <c r="CN216" s="62" t="n"/>
      <c r="CO216" s="12" t="n"/>
      <c r="CP216" s="62" t="n"/>
      <c r="CQ216" s="62" t="n"/>
      <c r="CR216" s="62" t="n"/>
      <c r="CS216" s="62" t="n"/>
      <c r="CT216" s="12" t="n"/>
      <c r="CU216" s="62" t="n"/>
      <c r="CV216" s="62" t="n"/>
      <c r="CW216" s="62" t="n"/>
      <c r="CX216" s="62" t="n"/>
      <c r="CY216" s="12" t="n"/>
    </row>
    <row r="217" hidden="1" outlineLevel="1">
      <c r="C217" s="57" t="inlineStr">
        <is>
          <t>Long term debt</t>
        </is>
      </c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>
        <f>AH211</f>
        <v>74404</v>
      </c>
      <c r="AI217" s="12">
        <f>AI211</f>
        <v>71340</v>
      </c>
      <c r="AJ217" s="12">
        <f>AI217+SUM(AJ215:AJ216)</f>
        <v>71340</v>
      </c>
      <c r="AK217" s="12">
        <f>AJ217+SUM(AK215:AK216)</f>
        <v>71340</v>
      </c>
      <c r="AL217" s="12" t="n"/>
      <c r="AM217" s="12">
        <f>AK217+SUM(AM215:AM216)</f>
        <v>71340</v>
      </c>
      <c r="AN217" s="12">
        <f>AM217+SUM(AN215:AN216)</f>
        <v>71340</v>
      </c>
      <c r="AO217" s="12">
        <f>AN217+SUM(AO215:AO216)</f>
        <v>71340</v>
      </c>
      <c r="AP217" s="12">
        <f>AO217+SUM(AP215:AP216)</f>
        <v>71340</v>
      </c>
      <c r="AQ217" s="12" t="n"/>
      <c r="AR217" s="12">
        <f>AP217+SUM(AR215:AR216)</f>
        <v>71340</v>
      </c>
      <c r="AS217" s="12">
        <f>AR217+SUM(AS215:AS216)</f>
        <v>71340</v>
      </c>
      <c r="AT217" s="12">
        <f>AS217+SUM(AT215:AT216)</f>
        <v>71340</v>
      </c>
      <c r="AU217" s="12">
        <f>AT217+SUM(AU215:AU216)</f>
        <v>71340</v>
      </c>
      <c r="AV217" s="12" t="n"/>
      <c r="AW217" s="12">
        <f>AU217+SUM(AW215:AW216)</f>
        <v>71340</v>
      </c>
      <c r="AX217" s="12">
        <f>AW217+SUM(AX215:AX216)</f>
        <v>71340</v>
      </c>
      <c r="AY217" s="12">
        <f>AX217+SUM(AY215:AY216)</f>
        <v>71340</v>
      </c>
      <c r="AZ217" s="12">
        <f>AY217+SUM(AZ215:AZ216)</f>
        <v>71340</v>
      </c>
      <c r="BA217" s="12" t="n"/>
      <c r="BB217" s="12">
        <f>AZ217+SUM(BB215:BB216)</f>
        <v>71340</v>
      </c>
      <c r="BC217" s="12">
        <f>BB217+SUM(BC215:BC216)</f>
        <v>71340</v>
      </c>
      <c r="BD217" s="12">
        <f>BC217+SUM(BD215:BD216)</f>
        <v>71340</v>
      </c>
      <c r="BE217" s="12">
        <f>BD217+SUM(BE215:BE216)</f>
        <v>71340</v>
      </c>
      <c r="BF217" s="12" t="n"/>
      <c r="BG217" s="12" t="n"/>
      <c r="BH217" s="12" t="n"/>
      <c r="BI217" s="12" t="n"/>
      <c r="BJ217" s="12" t="n"/>
      <c r="BK217" s="12" t="n"/>
      <c r="BL217" s="12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  <c r="CA217" s="12" t="n"/>
      <c r="CB217" s="12" t="n"/>
      <c r="CC217" s="12" t="n"/>
      <c r="CD217" s="12" t="n"/>
      <c r="CE217" s="12" t="n"/>
      <c r="CF217" s="12" t="n"/>
      <c r="CG217" s="12" t="n"/>
      <c r="CH217" s="12" t="n"/>
      <c r="CI217" s="12" t="n"/>
      <c r="CJ217" s="12" t="n"/>
      <c r="CK217" s="12" t="n"/>
      <c r="CL217" s="12" t="n"/>
      <c r="CM217" s="12" t="n"/>
      <c r="CN217" s="12" t="n"/>
      <c r="CO217" s="12" t="n"/>
      <c r="CP217" s="12" t="n"/>
      <c r="CQ217" s="12" t="n"/>
      <c r="CR217" s="12" t="n"/>
      <c r="CS217" s="12" t="n"/>
      <c r="CT217" s="12" t="n"/>
      <c r="CU217" s="12" t="n"/>
      <c r="CV217" s="12" t="n"/>
      <c r="CW217" s="12" t="n"/>
      <c r="CX217" s="12" t="n"/>
      <c r="CY217" s="12" t="n"/>
    </row>
    <row r="218" hidden="1" outlineLevel="1">
      <c r="C218" s="57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12" t="n"/>
      <c r="AY218" s="12" t="n"/>
      <c r="AZ218" s="12" t="n"/>
      <c r="BA218" s="12" t="n"/>
      <c r="BB218" s="12" t="n"/>
      <c r="BC218" s="12" t="n"/>
      <c r="BD218" s="12" t="n"/>
      <c r="BE218" s="12" t="n"/>
      <c r="BF218" s="12" t="n"/>
      <c r="BG218" s="12" t="n"/>
      <c r="BH218" s="12" t="n"/>
      <c r="BI218" s="12" t="n"/>
      <c r="BJ218" s="12" t="n"/>
      <c r="BK218" s="12" t="n"/>
      <c r="BL218" s="12" t="n"/>
      <c r="BM218" s="12" t="n"/>
      <c r="BN218" s="12" t="n"/>
      <c r="BO218" s="12" t="n"/>
      <c r="BP218" s="12" t="n"/>
      <c r="BQ218" s="12" t="n"/>
      <c r="BR218" s="12" t="n"/>
      <c r="BS218" s="12" t="n"/>
      <c r="BT218" s="12" t="n"/>
      <c r="BU218" s="12" t="n"/>
      <c r="BV218" s="12" t="n"/>
      <c r="BW218" s="12" t="n"/>
      <c r="BX218" s="12" t="n"/>
      <c r="BY218" s="12" t="n"/>
      <c r="BZ218" s="12" t="n"/>
      <c r="CA218" s="12" t="n"/>
      <c r="CB218" s="12" t="n"/>
      <c r="CC218" s="12" t="n"/>
      <c r="CD218" s="12" t="n"/>
      <c r="CE218" s="12" t="n"/>
      <c r="CF218" s="12" t="n"/>
      <c r="CG218" s="12" t="n"/>
      <c r="CH218" s="12" t="n"/>
      <c r="CI218" s="12" t="n"/>
      <c r="CJ218" s="12" t="n"/>
      <c r="CK218" s="12" t="n"/>
      <c r="CL218" s="12" t="n"/>
      <c r="CM218" s="12" t="n"/>
      <c r="CN218" s="12" t="n"/>
      <c r="CO218" s="12" t="n"/>
      <c r="CP218" s="12" t="n"/>
      <c r="CQ218" s="12" t="n"/>
      <c r="CR218" s="12" t="n"/>
      <c r="CS218" s="12" t="n"/>
      <c r="CT218" s="12" t="n"/>
      <c r="CU218" s="12" t="n"/>
      <c r="CV218" s="12" t="n"/>
      <c r="CW218" s="12" t="n"/>
      <c r="CX218" s="12" t="n"/>
      <c r="CY218" s="12" t="n"/>
    </row>
    <row r="219" hidden="1" outlineLevel="1">
      <c r="C219" s="57" t="inlineStr">
        <is>
          <t>Discretionary (paydown)/borrowing of convertible debt</t>
        </is>
      </c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62" t="n"/>
      <c r="AI219" s="62" t="n"/>
      <c r="AJ219" s="62" t="n"/>
      <c r="AK219" s="62" t="n"/>
      <c r="AL219" s="12" t="n"/>
      <c r="AM219" s="62" t="n"/>
      <c r="AN219" s="62" t="n"/>
      <c r="AO219" s="62" t="n"/>
      <c r="AP219" s="62" t="n"/>
      <c r="AQ219" s="12" t="n"/>
      <c r="AR219" s="62" t="n"/>
      <c r="AS219" s="62" t="n"/>
      <c r="AT219" s="62" t="n"/>
      <c r="AU219" s="62" t="n"/>
      <c r="AV219" s="12" t="n"/>
      <c r="AW219" s="62" t="n"/>
      <c r="AX219" s="62" t="n"/>
      <c r="AY219" s="62" t="n"/>
      <c r="AZ219" s="62" t="n"/>
      <c r="BA219" s="12" t="n"/>
      <c r="BB219" s="62" t="n"/>
      <c r="BC219" s="62" t="n"/>
      <c r="BD219" s="62" t="n"/>
      <c r="BE219" s="62" t="n"/>
      <c r="BF219" s="12" t="n"/>
      <c r="BG219" s="62" t="n"/>
      <c r="BH219" s="62" t="n"/>
      <c r="BI219" s="62" t="n"/>
      <c r="BJ219" s="62" t="n"/>
      <c r="BK219" s="12" t="n"/>
      <c r="BL219" s="62" t="n"/>
      <c r="BM219" s="62" t="n"/>
      <c r="BN219" s="62" t="n"/>
      <c r="BO219" s="62" t="n"/>
      <c r="BP219" s="12" t="n"/>
      <c r="BQ219" s="62" t="n"/>
      <c r="BR219" s="62" t="n"/>
      <c r="BS219" s="62" t="n"/>
      <c r="BT219" s="62" t="n"/>
      <c r="BU219" s="12" t="n"/>
      <c r="BV219" s="62" t="n"/>
      <c r="BW219" s="62" t="n"/>
      <c r="BX219" s="62" t="n"/>
      <c r="BY219" s="62" t="n"/>
      <c r="BZ219" s="12" t="n"/>
      <c r="CA219" s="62" t="n"/>
      <c r="CB219" s="62" t="n"/>
      <c r="CC219" s="62" t="n"/>
      <c r="CD219" s="62" t="n"/>
      <c r="CE219" s="12" t="n"/>
      <c r="CF219" s="62" t="n"/>
      <c r="CG219" s="62" t="n"/>
      <c r="CH219" s="62" t="n"/>
      <c r="CI219" s="62" t="n"/>
      <c r="CJ219" s="12" t="n"/>
      <c r="CK219" s="62" t="n"/>
      <c r="CL219" s="62" t="n"/>
      <c r="CM219" s="62" t="n"/>
      <c r="CN219" s="62" t="n"/>
      <c r="CO219" s="12" t="n"/>
      <c r="CP219" s="62" t="n"/>
      <c r="CQ219" s="62" t="n"/>
      <c r="CR219" s="62" t="n"/>
      <c r="CS219" s="62" t="n"/>
      <c r="CT219" s="12" t="n"/>
      <c r="CU219" s="62" t="n"/>
      <c r="CV219" s="62" t="n"/>
      <c r="CW219" s="62" t="n"/>
      <c r="CX219" s="62" t="n"/>
      <c r="CY219" s="12" t="n"/>
    </row>
    <row r="220" hidden="1" outlineLevel="1">
      <c r="C220" s="57" t="inlineStr">
        <is>
          <t>Convertible debt</t>
        </is>
      </c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>
        <f>AH232</f>
        <v>0</v>
      </c>
      <c r="AI220" s="12">
        <f>AH220+SUM(AI219)</f>
        <v>0</v>
      </c>
      <c r="AJ220" s="12">
        <f>AI220+SUM(AJ219)</f>
        <v>0</v>
      </c>
      <c r="AK220" s="12">
        <f>AJ220+SUM(AK219)</f>
        <v>0</v>
      </c>
      <c r="AL220" s="12" t="n"/>
      <c r="AM220" s="12">
        <f>AM232</f>
        <v>0</v>
      </c>
      <c r="AN220" s="12">
        <f>AM220+SUM(AN219)</f>
        <v>0</v>
      </c>
      <c r="AO220" s="12">
        <f>AN220+SUM(AO219)</f>
        <v>0</v>
      </c>
      <c r="AP220" s="12">
        <f>AO220+SUM(AP219)</f>
        <v>0</v>
      </c>
      <c r="AQ220" s="12" t="n"/>
      <c r="AR220" s="12">
        <f>AR232</f>
        <v>0</v>
      </c>
      <c r="AS220" s="12">
        <f>AR220+SUM(AS219)</f>
        <v>0</v>
      </c>
      <c r="AT220" s="12">
        <f>AS220+SUM(AT219)</f>
        <v>0</v>
      </c>
      <c r="AU220" s="12">
        <f>AT220+SUM(AU219)</f>
        <v>0</v>
      </c>
      <c r="AV220" s="12" t="n"/>
      <c r="AW220" s="12">
        <f>AW232</f>
        <v>0</v>
      </c>
      <c r="AX220" s="12">
        <f>AW220+SUM(AX219)</f>
        <v>0</v>
      </c>
      <c r="AY220" s="12">
        <f>AX220+SUM(AY219)</f>
        <v>0</v>
      </c>
      <c r="AZ220" s="12">
        <f>AY220+SUM(AZ219)</f>
        <v>0</v>
      </c>
      <c r="BA220" s="12" t="n"/>
      <c r="BB220" s="12">
        <f>BB232</f>
        <v>0</v>
      </c>
      <c r="BC220" s="12">
        <f>BB220+SUM(BC219)</f>
        <v>0</v>
      </c>
      <c r="BD220" s="12">
        <f>BC220+SUM(BD219)</f>
        <v>0</v>
      </c>
      <c r="BE220" s="12">
        <f>BD220+SUM(BE219)</f>
        <v>0</v>
      </c>
      <c r="BF220" s="12" t="n"/>
      <c r="BG220" s="12" t="n"/>
      <c r="BH220" s="12" t="n"/>
      <c r="BI220" s="12" t="n"/>
      <c r="BJ220" s="12" t="n"/>
      <c r="BK220" s="12" t="n"/>
      <c r="BL220" s="12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  <c r="CA220" s="12" t="n"/>
      <c r="CB220" s="12" t="n"/>
      <c r="CC220" s="12" t="n"/>
      <c r="CD220" s="12" t="n"/>
      <c r="CE220" s="12" t="n"/>
      <c r="CF220" s="12" t="n"/>
      <c r="CG220" s="12" t="n"/>
      <c r="CH220" s="12" t="n"/>
      <c r="CI220" s="12" t="n"/>
      <c r="CJ220" s="12" t="n"/>
      <c r="CK220" s="12" t="n"/>
      <c r="CL220" s="12" t="n"/>
      <c r="CM220" s="12" t="n"/>
      <c r="CN220" s="12" t="n"/>
      <c r="CO220" s="12" t="n"/>
      <c r="CP220" s="12" t="n"/>
      <c r="CQ220" s="12" t="n"/>
      <c r="CR220" s="12" t="n"/>
      <c r="CS220" s="12" t="n"/>
      <c r="CT220" s="12" t="n"/>
      <c r="CU220" s="12" t="n"/>
      <c r="CV220" s="12" t="n"/>
      <c r="CW220" s="12" t="n"/>
      <c r="CX220" s="12" t="n"/>
      <c r="CY220" s="12" t="n"/>
    </row>
    <row r="221" hidden="1" outlineLevel="1">
      <c r="C221" s="57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I221" s="12" t="n"/>
      <c r="AJ221" s="12" t="n"/>
      <c r="AK221" s="12" t="n"/>
      <c r="AL221" s="12" t="n"/>
      <c r="AN221" s="12" t="n"/>
      <c r="AO221" s="12" t="n"/>
      <c r="AP221" s="12" t="n"/>
      <c r="AQ221" s="12" t="n"/>
      <c r="AS221" s="12" t="n"/>
      <c r="AT221" s="12" t="n"/>
      <c r="AU221" s="12" t="n"/>
      <c r="AV221" s="12" t="n"/>
      <c r="AX221" s="12" t="n"/>
      <c r="AY221" s="12" t="n"/>
      <c r="AZ221" s="12" t="n"/>
      <c r="BA221" s="12" t="n"/>
      <c r="BC221" s="12" t="n"/>
      <c r="BD221" s="12" t="n"/>
      <c r="BE221" s="12" t="n"/>
      <c r="BF221" s="12" t="n"/>
      <c r="BH221" s="12" t="n"/>
      <c r="BI221" s="12" t="n"/>
      <c r="BJ221" s="12" t="n"/>
      <c r="BK221" s="12" t="n"/>
      <c r="BM221" s="12" t="n"/>
      <c r="BN221" s="12" t="n"/>
      <c r="BO221" s="12" t="n"/>
      <c r="BP221" s="12" t="n"/>
      <c r="BR221" s="12" t="n"/>
      <c r="BS221" s="12" t="n"/>
      <c r="BT221" s="12" t="n"/>
      <c r="BU221" s="12" t="n"/>
      <c r="BW221" s="12" t="n"/>
      <c r="BX221" s="12" t="n"/>
      <c r="BY221" s="12" t="n"/>
      <c r="BZ221" s="12" t="n"/>
      <c r="CB221" s="12" t="n"/>
      <c r="CC221" s="12" t="n"/>
      <c r="CD221" s="12" t="n"/>
      <c r="CE221" s="12" t="n"/>
      <c r="CG221" s="12" t="n"/>
      <c r="CH221" s="12" t="n"/>
      <c r="CI221" s="12" t="n"/>
      <c r="CJ221" s="12" t="n"/>
      <c r="CL221" s="12" t="n"/>
      <c r="CM221" s="12" t="n"/>
      <c r="CN221" s="12" t="n"/>
      <c r="CO221" s="12" t="n"/>
      <c r="CQ221" s="12" t="n"/>
      <c r="CR221" s="12" t="n"/>
      <c r="CS221" s="12" t="n"/>
      <c r="CT221" s="12" t="n"/>
      <c r="CV221" s="12" t="n"/>
      <c r="CW221" s="12" t="n"/>
      <c r="CX221" s="12" t="n"/>
      <c r="CY221" s="12" t="n"/>
    </row>
    <row r="222" hidden="1" outlineLevel="1">
      <c r="C222" s="57" t="inlineStr">
        <is>
          <t>Calculation of short term debt</t>
        </is>
      </c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  <c r="AP222" s="12" t="n"/>
      <c r="AQ222" s="12" t="n"/>
      <c r="AR222" s="12" t="n"/>
      <c r="AS222" s="12" t="n"/>
      <c r="AT222" s="12" t="n"/>
      <c r="AU222" s="12" t="n"/>
      <c r="AV222" s="12" t="n"/>
      <c r="AW222" s="12" t="n"/>
      <c r="AX222" s="12" t="n"/>
      <c r="AY222" s="12" t="n"/>
      <c r="AZ222" s="12" t="n"/>
      <c r="BA222" s="12" t="n"/>
      <c r="BB222" s="12" t="n"/>
      <c r="BC222" s="12" t="n"/>
      <c r="BD222" s="12" t="n"/>
      <c r="BE222" s="12" t="n"/>
      <c r="BF222" s="12" t="n"/>
      <c r="BG222" s="12" t="n"/>
      <c r="BH222" s="12" t="n"/>
      <c r="BI222" s="12" t="n"/>
      <c r="BJ222" s="12" t="n"/>
      <c r="BK222" s="12" t="n"/>
      <c r="BL222" s="12" t="n"/>
      <c r="BM222" s="12" t="n"/>
      <c r="BN222" s="12" t="n"/>
      <c r="BO222" s="12" t="n"/>
      <c r="BP222" s="12" t="n"/>
      <c r="BQ222" s="12" t="n"/>
      <c r="BR222" s="12" t="n"/>
      <c r="BS222" s="12" t="n"/>
      <c r="BT222" s="12" t="n"/>
      <c r="BU222" s="12" t="n"/>
      <c r="BV222" s="12" t="n"/>
      <c r="BW222" s="12" t="n"/>
      <c r="BX222" s="12" t="n"/>
      <c r="BY222" s="12" t="n"/>
      <c r="BZ222" s="12" t="n"/>
      <c r="CA222" s="12" t="n"/>
      <c r="CB222" s="12" t="n"/>
      <c r="CC222" s="12" t="n"/>
      <c r="CD222" s="12" t="n"/>
      <c r="CE222" s="12" t="n"/>
      <c r="CF222" s="12" t="n"/>
      <c r="CG222" s="12" t="n"/>
      <c r="CH222" s="12" t="n"/>
      <c r="CI222" s="12" t="n"/>
      <c r="CJ222" s="12" t="n"/>
      <c r="CK222" s="12" t="n"/>
      <c r="CL222" s="12" t="n"/>
      <c r="CM222" s="12" t="n"/>
      <c r="CN222" s="12" t="n"/>
      <c r="CO222" s="12" t="n"/>
      <c r="CP222" s="12" t="n"/>
      <c r="CQ222" s="12" t="n"/>
      <c r="CR222" s="12" t="n"/>
      <c r="CS222" s="12" t="n"/>
      <c r="CT222" s="12" t="n"/>
      <c r="CU222" s="12" t="n"/>
      <c r="CV222" s="12" t="n"/>
      <c r="CW222" s="12" t="n"/>
      <c r="CX222" s="12" t="n"/>
      <c r="CY222" s="12" t="n"/>
    </row>
    <row r="223" hidden="1" outlineLevel="1">
      <c r="C223" s="57" t="inlineStr">
        <is>
          <t>Cash @ beginning of the period (end of last period)</t>
        </is>
      </c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63">
        <f>AG138</f>
        <v>144795</v>
      </c>
      <c r="AI223" s="12" t="n"/>
      <c r="AJ223" s="12" t="n"/>
      <c r="AK223" s="12" t="n"/>
      <c r="AL223" s="12" t="n"/>
      <c r="AM223" s="63">
        <f>AL138</f>
        <v>228036.11742933</v>
      </c>
      <c r="AN223" s="12" t="n"/>
      <c r="AO223" s="12" t="n"/>
      <c r="AP223" s="12" t="n"/>
      <c r="AQ223" s="12" t="n"/>
      <c r="AR223" s="63">
        <f>AQ138</f>
        <v>376344.090209962</v>
      </c>
      <c r="AS223" s="12" t="n"/>
      <c r="AT223" s="12" t="n"/>
      <c r="AU223" s="12" t="n"/>
      <c r="AV223" s="12" t="n"/>
      <c r="AW223" s="63">
        <f>AV138</f>
        <v>541362.122515892</v>
      </c>
      <c r="AX223" s="12" t="n"/>
      <c r="AY223" s="12" t="n"/>
      <c r="AZ223" s="12" t="n"/>
      <c r="BA223" s="12" t="n"/>
      <c r="BB223" s="63">
        <f>BA138</f>
        <v>724146.903120698</v>
      </c>
      <c r="BC223" s="12" t="n"/>
      <c r="BD223" s="12" t="n"/>
      <c r="BE223" s="12" t="n"/>
      <c r="BF223" s="12" t="n"/>
      <c r="BG223" s="63" t="n"/>
      <c r="BH223" s="12" t="n"/>
      <c r="BI223" s="12" t="n"/>
      <c r="BJ223" s="12" t="n"/>
      <c r="BK223" s="12" t="n"/>
      <c r="BL223" s="63" t="n"/>
      <c r="BM223" s="12" t="n"/>
      <c r="BN223" s="12" t="n"/>
      <c r="BO223" s="12" t="n"/>
      <c r="BP223" s="12" t="n"/>
      <c r="BQ223" s="63" t="n"/>
      <c r="BR223" s="12" t="n"/>
      <c r="BS223" s="12" t="n"/>
      <c r="BT223" s="12" t="n"/>
      <c r="BU223" s="12" t="n"/>
      <c r="BV223" s="63" t="n"/>
      <c r="BW223" s="12" t="n"/>
      <c r="BX223" s="12" t="n"/>
      <c r="BY223" s="12" t="n"/>
      <c r="BZ223" s="12" t="n"/>
      <c r="CA223" s="63" t="n"/>
      <c r="CB223" s="12" t="n"/>
      <c r="CC223" s="12" t="n"/>
      <c r="CD223" s="12" t="n"/>
      <c r="CE223" s="12" t="n"/>
      <c r="CF223" s="63" t="n"/>
      <c r="CG223" s="12" t="n"/>
      <c r="CH223" s="12" t="n"/>
      <c r="CI223" s="12" t="n"/>
      <c r="CJ223" s="12" t="n"/>
      <c r="CK223" s="63" t="n"/>
      <c r="CL223" s="12" t="n"/>
      <c r="CM223" s="12" t="n"/>
      <c r="CN223" s="12" t="n"/>
      <c r="CO223" s="12" t="n"/>
      <c r="CP223" s="63" t="n"/>
      <c r="CQ223" s="12" t="n"/>
      <c r="CR223" s="12" t="n"/>
      <c r="CS223" s="12" t="n"/>
      <c r="CT223" s="12" t="n"/>
      <c r="CU223" s="63" t="n"/>
      <c r="CV223" s="12" t="n"/>
      <c r="CW223" s="12" t="n"/>
      <c r="CX223" s="12" t="n"/>
      <c r="CY223" s="12" t="n"/>
    </row>
    <row r="224" hidden="1" outlineLevel="1">
      <c r="C224" s="57" t="inlineStr">
        <is>
          <t>Plus: Free cash flows prior to debt during period</t>
        </is>
      </c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inlineStr">
        <is>
          <t>% of sales</t>
        </is>
      </c>
      <c r="AH224" s="64">
        <f>(AH286+AH293)+SUM(AH296:AH302)</f>
        <v>7930</v>
      </c>
      <c r="AI224" s="64">
        <f>(AI286+AI293)+SUM(AI296:AI302)</f>
        <v>-29353</v>
      </c>
      <c r="AJ224" s="64">
        <f>(AJ286+AJ293)+SUM(AJ296:AJ302)</f>
        <v>0</v>
      </c>
      <c r="AK224" s="64">
        <f>(AK286+AK293)+SUM(AK296:AK302)</f>
        <v>0</v>
      </c>
      <c r="AL224" s="12" t="n"/>
      <c r="AM224" s="64">
        <f>(AM286+AM293)+SUM(AM296:AM302)</f>
        <v>0</v>
      </c>
      <c r="AN224" s="64">
        <f>(AN286+AN293)+SUM(AN296:AN302)</f>
        <v>0</v>
      </c>
      <c r="AO224" s="64">
        <f>(AO286+AO293)+SUM(AO296:AO302)</f>
        <v>0</v>
      </c>
      <c r="AP224" s="64">
        <f>(AP286+AP293)+SUM(AP296:AP302)</f>
        <v>0</v>
      </c>
      <c r="AQ224" s="12" t="n"/>
      <c r="AR224" s="64">
        <f>(AR286+AR293)+SUM(AR296:AR302)</f>
        <v>0</v>
      </c>
      <c r="AS224" s="64">
        <f>(AS286+AS293)+SUM(AS296:AS302)</f>
        <v>0</v>
      </c>
      <c r="AT224" s="64">
        <f>(AT286+AT293)+SUM(AT296:AT302)</f>
        <v>0</v>
      </c>
      <c r="AU224" s="64">
        <f>(AU286+AU293)+SUM(AU296:AU302)</f>
        <v>0</v>
      </c>
      <c r="AV224" s="12" t="n"/>
      <c r="AW224" s="64">
        <f>(AW286+AW293)+SUM(AW296:AW302)</f>
        <v>0</v>
      </c>
      <c r="AX224" s="64">
        <f>(AX286+AX293)+SUM(AX296:AX302)</f>
        <v>0</v>
      </c>
      <c r="AY224" s="64">
        <f>(AY286+AY293)+SUM(AY296:AY302)</f>
        <v>0</v>
      </c>
      <c r="AZ224" s="64">
        <f>(AZ286+AZ293)+SUM(AZ296:AZ302)</f>
        <v>0</v>
      </c>
      <c r="BA224" s="12" t="n"/>
      <c r="BB224" s="64">
        <f>(BB286+BB293)+SUM(BB296:BB302)</f>
        <v>0</v>
      </c>
      <c r="BC224" s="64">
        <f>(BC286+BC293)+SUM(BC296:BC302)</f>
        <v>0</v>
      </c>
      <c r="BD224" s="64">
        <f>(BD286+BD293)+SUM(BD296:BD302)</f>
        <v>0</v>
      </c>
      <c r="BE224" s="64">
        <f>(BE286+BE293)+SUM(BE296:BE302)</f>
        <v>0</v>
      </c>
      <c r="BF224" s="12" t="n"/>
      <c r="BG224" s="64" t="n"/>
      <c r="BH224" s="64" t="n"/>
      <c r="BI224" s="64" t="n"/>
      <c r="BJ224" s="64" t="n"/>
      <c r="BK224" s="12" t="n"/>
      <c r="BL224" s="64" t="n"/>
      <c r="BM224" s="64" t="n"/>
      <c r="BN224" s="64" t="n"/>
      <c r="BO224" s="64" t="n"/>
      <c r="BP224" s="12" t="n"/>
      <c r="BQ224" s="64" t="n"/>
      <c r="BR224" s="64" t="n"/>
      <c r="BS224" s="64" t="n"/>
      <c r="BT224" s="64" t="n"/>
      <c r="BU224" s="12" t="n"/>
      <c r="BV224" s="64" t="n"/>
      <c r="BW224" s="64" t="n"/>
      <c r="BX224" s="64" t="n"/>
      <c r="BY224" s="64" t="n"/>
      <c r="BZ224" s="12" t="n"/>
      <c r="CA224" s="64" t="n"/>
      <c r="CB224" s="64" t="n"/>
      <c r="CC224" s="64" t="n"/>
      <c r="CD224" s="64" t="n"/>
      <c r="CE224" s="12" t="n"/>
      <c r="CF224" s="64" t="n"/>
      <c r="CG224" s="64" t="n"/>
      <c r="CH224" s="64" t="n"/>
      <c r="CI224" s="64" t="n"/>
      <c r="CJ224" s="12" t="n"/>
      <c r="CK224" s="64" t="n"/>
      <c r="CL224" s="64" t="n"/>
      <c r="CM224" s="64" t="n"/>
      <c r="CN224" s="64" t="n"/>
      <c r="CO224" s="12" t="n"/>
      <c r="CP224" s="64" t="n"/>
      <c r="CQ224" s="64" t="n"/>
      <c r="CR224" s="64" t="n"/>
      <c r="CS224" s="64" t="n"/>
      <c r="CT224" s="12" t="n"/>
      <c r="CU224" s="64" t="n"/>
      <c r="CV224" s="64" t="n"/>
      <c r="CW224" s="64" t="n"/>
      <c r="CX224" s="64" t="n"/>
      <c r="CY224" s="12" t="n"/>
    </row>
    <row r="225" hidden="1" outlineLevel="1">
      <c r="C225" s="57" t="inlineStr">
        <is>
          <t>Less: Minimum cash balance</t>
        </is>
      </c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52" t="n"/>
      <c r="AH225" s="12">
        <f>($AG$225*AH15)</f>
        <v>0</v>
      </c>
      <c r="AI225" s="12">
        <f>($AG$225*AI15)</f>
        <v>0</v>
      </c>
      <c r="AJ225" s="12">
        <f>($AG$225*AJ15)</f>
        <v>0</v>
      </c>
      <c r="AK225" s="12">
        <f>($AG$225*AK15)</f>
        <v>0</v>
      </c>
      <c r="AL225" s="12" t="n"/>
      <c r="AM225" s="12">
        <f>($AG$225*AM15)</f>
        <v>0</v>
      </c>
      <c r="AN225" s="12">
        <f>($AG$225*AN15)</f>
        <v>0</v>
      </c>
      <c r="AO225" s="12">
        <f>($AG$225*AO15)</f>
        <v>0</v>
      </c>
      <c r="AP225" s="12">
        <f>($AG$225*AP15)</f>
        <v>0</v>
      </c>
      <c r="AQ225" s="12" t="n"/>
      <c r="AR225" s="12">
        <f>($AG$225*AR15)</f>
        <v>0</v>
      </c>
      <c r="AS225" s="12">
        <f>($AG$225*AS15)</f>
        <v>0</v>
      </c>
      <c r="AT225" s="12">
        <f>($AG$225*AT15)</f>
        <v>0</v>
      </c>
      <c r="AU225" s="12">
        <f>($AG$225*AU15)</f>
        <v>0</v>
      </c>
      <c r="AV225" s="12" t="n"/>
      <c r="AW225" s="12">
        <f>($AG$225*AW15)</f>
        <v>0</v>
      </c>
      <c r="AX225" s="12">
        <f>($AG$225*AX15)</f>
        <v>0</v>
      </c>
      <c r="AY225" s="12">
        <f>($AG$225*AY15)</f>
        <v>0</v>
      </c>
      <c r="AZ225" s="12">
        <f>($AG$225*AZ15)</f>
        <v>0</v>
      </c>
      <c r="BA225" s="12" t="n"/>
      <c r="BB225" s="12">
        <f>($AG$225*BB15)</f>
        <v>0</v>
      </c>
      <c r="BC225" s="12">
        <f>($AG$225*BC15)</f>
        <v>0</v>
      </c>
      <c r="BD225" s="12">
        <f>($AG$225*BD15)</f>
        <v>0</v>
      </c>
      <c r="BE225" s="12">
        <f>($AG$225*BE15)</f>
        <v>0</v>
      </c>
      <c r="BF225" s="12" t="n"/>
      <c r="BG225" s="12" t="n"/>
      <c r="BH225" s="12" t="n"/>
      <c r="BI225" s="12" t="n"/>
      <c r="BJ225" s="12" t="n"/>
      <c r="BK225" s="12" t="n"/>
      <c r="BL225" s="12" t="n"/>
      <c r="BM225" s="12" t="n"/>
      <c r="BN225" s="12" t="n"/>
      <c r="BO225" s="12" t="n"/>
      <c r="BP225" s="12" t="n"/>
      <c r="BQ225" s="12" t="n"/>
      <c r="BR225" s="12" t="n"/>
      <c r="BS225" s="12" t="n"/>
      <c r="BT225" s="12" t="n"/>
      <c r="BU225" s="12" t="n"/>
      <c r="BV225" s="12" t="n"/>
      <c r="BW225" s="12" t="n"/>
      <c r="BX225" s="12" t="n"/>
      <c r="BY225" s="12" t="n"/>
      <c r="BZ225" s="12" t="n"/>
      <c r="CA225" s="12" t="n"/>
      <c r="CB225" s="12" t="n"/>
      <c r="CC225" s="12" t="n"/>
      <c r="CD225" s="12" t="n"/>
      <c r="CE225" s="12" t="n"/>
      <c r="CF225" s="12" t="n"/>
      <c r="CG225" s="12" t="n"/>
      <c r="CH225" s="12" t="n"/>
      <c r="CI225" s="12" t="n"/>
      <c r="CJ225" s="12" t="n"/>
      <c r="CK225" s="12" t="n"/>
      <c r="CL225" s="12" t="n"/>
      <c r="CM225" s="12" t="n"/>
      <c r="CN225" s="12" t="n"/>
      <c r="CO225" s="12" t="n"/>
      <c r="CP225" s="12" t="n"/>
      <c r="CQ225" s="12" t="n"/>
      <c r="CR225" s="12" t="n"/>
      <c r="CS225" s="12" t="n"/>
      <c r="CT225" s="12" t="n"/>
      <c r="CU225" s="12" t="n"/>
      <c r="CV225" s="12" t="n"/>
      <c r="CW225" s="12" t="n"/>
      <c r="CX225" s="12" t="n"/>
      <c r="CY225" s="12" t="n"/>
    </row>
    <row r="226" hidden="1" outlineLevel="1">
      <c r="C226" s="57" t="inlineStr">
        <is>
          <t>Total cash available / (debt required) for short term debt paydown</t>
        </is>
      </c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3">
        <f>AH223+AH224-AH225-AF213+AH215+AH219</f>
        <v>152725</v>
      </c>
      <c r="AI226" s="3">
        <f>AI223+AI224-AI225-AG213+AI215+AI219</f>
        <v>-29353</v>
      </c>
      <c r="AJ226" s="3">
        <f>AJ223+AJ224-AJ225-AH213+AJ215+AJ219</f>
        <v>-13824</v>
      </c>
      <c r="AK226" s="3">
        <f>AK223+AK224-AK225-AI213+AK215+AK219</f>
        <v>0</v>
      </c>
      <c r="AL226" s="12" t="n"/>
      <c r="AM226" s="3">
        <f>AM223+AM224-AM225-AK213+AM215+AM219</f>
        <v>228036.11742933</v>
      </c>
      <c r="AN226" s="3">
        <f>AN223+AN224-AN225-AL213+AN215+AN219</f>
        <v>0</v>
      </c>
      <c r="AO226" s="3">
        <f>AO223+AO224-AO225-AM213+AO215+AO219</f>
        <v>-13004</v>
      </c>
      <c r="AP226" s="3">
        <f>AP223+AP224-AP225-AN213+AP215+AP219</f>
        <v>0</v>
      </c>
      <c r="AQ226" s="12" t="n"/>
      <c r="AR226" s="3">
        <f>AR223+AR224-AR225-AP213+AR215+AR219</f>
        <v>376344.090209962</v>
      </c>
      <c r="AS226" s="3">
        <f>AS223+AS224-AS225-AQ213+AS215+AS219</f>
        <v>0</v>
      </c>
      <c r="AT226" s="3">
        <f>AT223+AT224-AT225-AR213+AT215+AT219</f>
        <v>-13004</v>
      </c>
      <c r="AU226" s="3">
        <f>AU223+AU224-AU225-AS213+AU215+AU219</f>
        <v>0</v>
      </c>
      <c r="AV226" s="12" t="n"/>
      <c r="AW226" s="3">
        <f>AW223+AW224-AW225-AU213+AW215+AW219</f>
        <v>541362.122515892</v>
      </c>
      <c r="AX226" s="3">
        <f>AX223+AX224-AX225-AV213+AX215+AX219</f>
        <v>0</v>
      </c>
      <c r="AY226" s="3">
        <f>AY223+AY224-AY225-AW213+AY215+AY219</f>
        <v>-13004</v>
      </c>
      <c r="AZ226" s="3">
        <f>AZ223+AZ224-AZ225-AX213+AZ215+AZ219</f>
        <v>0</v>
      </c>
      <c r="BA226" s="12" t="n"/>
      <c r="BB226" s="3">
        <f>BB223+BB224-BB225-AZ213+BB215+BB219</f>
        <v>724146.903120698</v>
      </c>
      <c r="BC226" s="3">
        <f>BC223+BC224-BC225-BA213+BC215+BC219</f>
        <v>0</v>
      </c>
      <c r="BD226" s="3">
        <f>BD223+BD224-BD225-BB213+BD215+BD219</f>
        <v>-13004</v>
      </c>
      <c r="BE226" s="3">
        <f>BE223+BE224-BE225-BC213+BE215+BE219</f>
        <v>0</v>
      </c>
      <c r="BF226" s="12" t="n"/>
      <c r="BG226" s="3" t="n"/>
      <c r="BH226" s="3" t="n"/>
      <c r="BI226" s="3" t="n"/>
      <c r="BJ226" s="3" t="n"/>
      <c r="BK226" s="12" t="n"/>
      <c r="BL226" s="3" t="n"/>
      <c r="BM226" s="3" t="n"/>
      <c r="BN226" s="3" t="n"/>
      <c r="BO226" s="3" t="n"/>
      <c r="BP226" s="12" t="n"/>
      <c r="BQ226" s="3" t="n"/>
      <c r="BR226" s="3" t="n"/>
      <c r="BS226" s="3" t="n"/>
      <c r="BT226" s="3" t="n"/>
      <c r="BU226" s="12" t="n"/>
      <c r="BV226" s="3" t="n"/>
      <c r="BW226" s="3" t="n"/>
      <c r="BX226" s="3" t="n"/>
      <c r="BY226" s="3" t="n"/>
      <c r="BZ226" s="12" t="n"/>
      <c r="CA226" s="3" t="n"/>
      <c r="CB226" s="3" t="n"/>
      <c r="CC226" s="3" t="n"/>
      <c r="CD226" s="3" t="n"/>
      <c r="CE226" s="12" t="n"/>
      <c r="CF226" s="3" t="n"/>
      <c r="CG226" s="3" t="n"/>
      <c r="CH226" s="3" t="n"/>
      <c r="CI226" s="3" t="n"/>
      <c r="CJ226" s="12" t="n"/>
      <c r="CK226" s="3" t="n"/>
      <c r="CL226" s="3" t="n"/>
      <c r="CM226" s="3" t="n"/>
      <c r="CN226" s="3" t="n"/>
      <c r="CO226" s="12" t="n"/>
      <c r="CP226" s="3" t="n"/>
      <c r="CQ226" s="3" t="n"/>
      <c r="CR226" s="3" t="n"/>
      <c r="CS226" s="3" t="n"/>
      <c r="CT226" s="12" t="n"/>
      <c r="CU226" s="3" t="n"/>
      <c r="CV226" s="3" t="n"/>
      <c r="CW226" s="3" t="n"/>
      <c r="CX226" s="3" t="n"/>
      <c r="CY226" s="12" t="n"/>
    </row>
    <row r="227" hidden="1" outlineLevel="1">
      <c r="C227" s="57" t="inlineStr">
        <is>
          <t>Short term debt</t>
        </is>
      </c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>
        <f>AH207</f>
        <v>0</v>
      </c>
      <c r="AI227" s="12">
        <f>MAX(0,AH227-AI226)</f>
        <v>29353</v>
      </c>
      <c r="AJ227" s="12">
        <f>MAX(0,AI227-AJ226)</f>
        <v>43177</v>
      </c>
      <c r="AK227" s="12">
        <f>MAX(0,AJ227-AK226)</f>
        <v>43177</v>
      </c>
      <c r="AL227" s="12" t="n"/>
      <c r="AM227" s="12">
        <f>AM207</f>
        <v>0</v>
      </c>
      <c r="AN227" s="12">
        <f>MAX(0,AM227-AN226)</f>
        <v>0</v>
      </c>
      <c r="AO227" s="12">
        <f>MAX(0,AN227-AO226)</f>
        <v>13004</v>
      </c>
      <c r="AP227" s="12">
        <f>MAX(0,AO227-AP226)</f>
        <v>13004</v>
      </c>
      <c r="AQ227" s="12" t="n"/>
      <c r="AR227" s="12">
        <f>AR207</f>
        <v>0</v>
      </c>
      <c r="AS227" s="12">
        <f>MAX(0,AR227-AS226)</f>
        <v>0</v>
      </c>
      <c r="AT227" s="12">
        <f>MAX(0,AS227-AT226)</f>
        <v>13004</v>
      </c>
      <c r="AU227" s="12">
        <f>MAX(0,AT227-AU226)</f>
        <v>13004</v>
      </c>
      <c r="AV227" s="12" t="n"/>
      <c r="AW227" s="12">
        <f>AW207</f>
        <v>0</v>
      </c>
      <c r="AX227" s="12">
        <f>MAX(0,AW227-AX226)</f>
        <v>0</v>
      </c>
      <c r="AY227" s="12">
        <f>MAX(0,AX227-AY226)</f>
        <v>13004</v>
      </c>
      <c r="AZ227" s="12">
        <f>MAX(0,AY227-AZ226)</f>
        <v>13004</v>
      </c>
      <c r="BA227" s="12" t="n"/>
      <c r="BB227" s="12">
        <f>BB207</f>
        <v>0</v>
      </c>
      <c r="BC227" s="12">
        <f>MAX(0,BB227-BC226)</f>
        <v>0</v>
      </c>
      <c r="BD227" s="12">
        <f>MAX(0,BC227-BD226)</f>
        <v>13004</v>
      </c>
      <c r="BE227" s="12">
        <f>MAX(0,BD227-BE226)</f>
        <v>13004</v>
      </c>
      <c r="BF227" s="12" t="n"/>
      <c r="BG227" s="12" t="n"/>
      <c r="BH227" s="12" t="n"/>
      <c r="BI227" s="12" t="n"/>
      <c r="BJ227" s="12" t="n"/>
      <c r="BK227" s="12" t="n"/>
      <c r="BL227" s="12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  <c r="CA227" s="12" t="n"/>
      <c r="CB227" s="12" t="n"/>
      <c r="CC227" s="12" t="n"/>
      <c r="CD227" s="12" t="n"/>
      <c r="CE227" s="12" t="n"/>
      <c r="CF227" s="12" t="n"/>
      <c r="CG227" s="12" t="n"/>
      <c r="CH227" s="12" t="n"/>
      <c r="CI227" s="12" t="n"/>
      <c r="CJ227" s="12" t="n"/>
      <c r="CK227" s="12" t="n"/>
      <c r="CL227" s="12" t="n"/>
      <c r="CM227" s="12" t="n"/>
      <c r="CN227" s="12" t="n"/>
      <c r="CO227" s="12" t="n"/>
      <c r="CP227" s="12" t="n"/>
      <c r="CQ227" s="12" t="n"/>
      <c r="CR227" s="12" t="n"/>
      <c r="CS227" s="12" t="n"/>
      <c r="CT227" s="12" t="n"/>
      <c r="CU227" s="12" t="n"/>
      <c r="CV227" s="12" t="n"/>
      <c r="CW227" s="12" t="n"/>
      <c r="CX227" s="12" t="n"/>
      <c r="CY227" s="12" t="n"/>
    </row>
    <row r="228" hidden="1" outlineLevel="1">
      <c r="C228" s="57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  <c r="AL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2" t="n"/>
      <c r="AZ228" s="12" t="n"/>
      <c r="BA228" s="12" t="n"/>
      <c r="BB228" s="12" t="n"/>
      <c r="BC228" s="12" t="n"/>
      <c r="BD228" s="12" t="n"/>
      <c r="BE228" s="12" t="n"/>
      <c r="BF228" s="12" t="n"/>
      <c r="BG228" s="12" t="n"/>
      <c r="BH228" s="12" t="n"/>
      <c r="BI228" s="12" t="n"/>
      <c r="BJ228" s="12" t="n"/>
      <c r="BK228" s="12" t="n"/>
      <c r="BL228" s="12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  <c r="CA228" s="12" t="n"/>
      <c r="CB228" s="12" t="n"/>
      <c r="CC228" s="12" t="n"/>
      <c r="CD228" s="12" t="n"/>
      <c r="CE228" s="12" t="n"/>
      <c r="CF228" s="12" t="n"/>
      <c r="CG228" s="12" t="n"/>
      <c r="CH228" s="12" t="n"/>
      <c r="CI228" s="12" t="n"/>
      <c r="CJ228" s="12" t="n"/>
      <c r="CK228" s="12" t="n"/>
      <c r="CL228" s="12" t="n"/>
      <c r="CM228" s="12" t="n"/>
      <c r="CN228" s="12" t="n"/>
      <c r="CO228" s="12" t="n"/>
      <c r="CP228" s="12" t="n"/>
      <c r="CQ228" s="12" t="n"/>
      <c r="CR228" s="12" t="n"/>
      <c r="CS228" s="12" t="n"/>
      <c r="CT228" s="12" t="n"/>
      <c r="CU228" s="12" t="n"/>
      <c r="CV228" s="12" t="n"/>
      <c r="CW228" s="12" t="n"/>
      <c r="CX228" s="12" t="n"/>
      <c r="CY228" s="12" t="n"/>
    </row>
    <row r="229" collapsed="1">
      <c r="C229" s="14" t="inlineStr">
        <is>
          <t>Long term operating leases</t>
        </is>
      </c>
      <c r="D229" s="46" t="n"/>
      <c r="E229" s="46" t="n"/>
      <c r="F229" s="46" t="n"/>
      <c r="G229" s="46" t="n"/>
      <c r="H229" s="12" t="n"/>
      <c r="I229" s="46">
        <f>'Inputs (2)'!D36</f>
        <v>0</v>
      </c>
      <c r="J229" s="46">
        <f>'Inputs (2)'!E36</f>
        <v>0</v>
      </c>
      <c r="K229" s="46">
        <f>'Inputs (2)'!F36</f>
        <v>0</v>
      </c>
      <c r="L229" s="46">
        <f>'Inputs (2)'!G36</f>
        <v>0</v>
      </c>
      <c r="M229" s="12">
        <f>'Inputs (2)'!H36</f>
        <v>0</v>
      </c>
      <c r="N229" s="46">
        <f>'Inputs (2)'!I36</f>
        <v>0</v>
      </c>
      <c r="O229" s="46">
        <f>'Inputs (2)'!J36</f>
        <v>0</v>
      </c>
      <c r="P229" s="46">
        <f>'Inputs (2)'!K36</f>
        <v>0</v>
      </c>
      <c r="Q229" s="46">
        <f>'Inputs (2)'!L36</f>
        <v>0</v>
      </c>
      <c r="R229" s="12">
        <f>'Inputs (2)'!M36</f>
        <v>0</v>
      </c>
      <c r="S229" s="46">
        <f>'Inputs (2)'!N36</f>
        <v>0</v>
      </c>
      <c r="T229" s="46">
        <f>'Inputs (2)'!O36</f>
        <v>0</v>
      </c>
      <c r="U229" s="46">
        <f>'Inputs (2)'!P36</f>
        <v>0</v>
      </c>
      <c r="V229" s="46">
        <f>'Inputs (2)'!Q36</f>
        <v>0</v>
      </c>
      <c r="W229" s="12">
        <f>'Inputs (2)'!R36</f>
        <v>0</v>
      </c>
      <c r="X229" s="46">
        <f>'Inputs (2)'!S36</f>
        <v>0</v>
      </c>
      <c r="Y229" s="46">
        <f>'Inputs (2)'!T36</f>
        <v>0</v>
      </c>
      <c r="Z229" s="46">
        <f>'Inputs (2)'!U36</f>
        <v>0</v>
      </c>
      <c r="AA229" s="46">
        <f>'Inputs (2)'!V36</f>
        <v>0</v>
      </c>
      <c r="AB229" s="12">
        <f>'Inputs (2)'!W36</f>
        <v>0</v>
      </c>
      <c r="AC229" s="46">
        <f>'Inputs (2)'!X36</f>
        <v>0</v>
      </c>
      <c r="AD229" s="46">
        <f>'Inputs (2)'!Y36</f>
        <v>0</v>
      </c>
      <c r="AE229" s="46">
        <f>'Inputs (2)'!Z36</f>
        <v>0</v>
      </c>
      <c r="AF229" s="46">
        <f>'Inputs (2)'!AA36</f>
        <v>0</v>
      </c>
      <c r="AG229" s="12">
        <f>'Inputs (2)'!AB36</f>
        <v>0</v>
      </c>
      <c r="AH229" s="12">
        <f>'Inputs (2)'!AC36</f>
        <v>0</v>
      </c>
      <c r="AI229" s="12">
        <f>'Inputs (2)'!AD36</f>
        <v>0</v>
      </c>
      <c r="AJ229" s="12">
        <f>AI229</f>
        <v>0</v>
      </c>
      <c r="AK229" s="12">
        <f>AJ229</f>
        <v>0</v>
      </c>
      <c r="AL229" s="12">
        <f>AK229</f>
        <v>0</v>
      </c>
      <c r="AM229" s="12">
        <f>AL229</f>
        <v>0</v>
      </c>
      <c r="AN229" s="12">
        <f>AM229</f>
        <v>0</v>
      </c>
      <c r="AO229" s="12">
        <f>AN229</f>
        <v>0</v>
      </c>
      <c r="AP229" s="12">
        <f>AO229</f>
        <v>0</v>
      </c>
      <c r="AQ229" s="12">
        <f>AP229</f>
        <v>0</v>
      </c>
      <c r="AR229" s="12">
        <f>AQ229</f>
        <v>0</v>
      </c>
      <c r="AS229" s="12">
        <f>AR229</f>
        <v>0</v>
      </c>
      <c r="AT229" s="12">
        <f>AS229</f>
        <v>0</v>
      </c>
      <c r="AU229" s="12">
        <f>AT229</f>
        <v>0</v>
      </c>
      <c r="AV229" s="12">
        <f>AU229</f>
        <v>0</v>
      </c>
      <c r="AW229" s="12">
        <f>AV229</f>
        <v>0</v>
      </c>
      <c r="AX229" s="12">
        <f>AW229</f>
        <v>0</v>
      </c>
      <c r="AY229" s="12">
        <f>AX229</f>
        <v>0</v>
      </c>
      <c r="AZ229" s="12">
        <f>AY229</f>
        <v>0</v>
      </c>
      <c r="BA229" s="12">
        <f>AZ229</f>
        <v>0</v>
      </c>
      <c r="BB229" s="12">
        <f>BA229</f>
        <v>0</v>
      </c>
      <c r="BC229" s="12">
        <f>BB229</f>
        <v>0</v>
      </c>
      <c r="BD229" s="12">
        <f>BC229</f>
        <v>0</v>
      </c>
      <c r="BE229" s="12">
        <f>BD229</f>
        <v>0</v>
      </c>
      <c r="BF229" s="12">
        <f>BE229</f>
        <v>0</v>
      </c>
      <c r="BG229" s="12" t="n"/>
      <c r="BH229" s="12" t="n"/>
      <c r="BI229" s="12" t="n"/>
      <c r="BJ229" s="12" t="n"/>
      <c r="BK229" s="12" t="n"/>
      <c r="BL229" s="12" t="n"/>
      <c r="BM229" s="12" t="n"/>
      <c r="BN229" s="12" t="n"/>
      <c r="BO229" s="12" t="n"/>
      <c r="BP229" s="12" t="n"/>
      <c r="BQ229" s="12" t="n"/>
      <c r="BR229" s="12" t="n"/>
      <c r="BS229" s="12" t="n"/>
      <c r="BT229" s="12" t="n"/>
      <c r="BU229" s="12" t="n"/>
      <c r="BV229" s="12" t="n"/>
      <c r="BW229" s="12" t="n"/>
      <c r="BX229" s="12" t="n"/>
      <c r="BY229" s="12" t="n"/>
      <c r="BZ229" s="12" t="n"/>
      <c r="CA229" s="12" t="n"/>
      <c r="CB229" s="12" t="n"/>
      <c r="CC229" s="12" t="n"/>
      <c r="CD229" s="12" t="n"/>
      <c r="CE229" s="12" t="n"/>
      <c r="CF229" s="12" t="n"/>
      <c r="CG229" s="12" t="n"/>
      <c r="CH229" s="12" t="n"/>
      <c r="CI229" s="12" t="n"/>
      <c r="CJ229" s="12" t="n"/>
      <c r="CK229" s="12" t="n"/>
      <c r="CL229" s="12" t="n"/>
      <c r="CM229" s="12" t="n"/>
      <c r="CN229" s="12" t="n"/>
      <c r="CO229" s="12" t="n"/>
      <c r="CP229" s="12" t="n"/>
      <c r="CQ229" s="12" t="n"/>
      <c r="CR229" s="12" t="n"/>
      <c r="CS229" s="12" t="n"/>
      <c r="CT229" s="12" t="n"/>
      <c r="CU229" s="12" t="n"/>
      <c r="CV229" s="12" t="n"/>
      <c r="CW229" s="12" t="n"/>
      <c r="CX229" s="12" t="n"/>
      <c r="CY229" s="12" t="n"/>
    </row>
    <row r="230" hidden="1" outlineLevel="1">
      <c r="C230" s="59" t="inlineStr">
        <is>
          <t>%(Var.)</t>
        </is>
      </c>
      <c r="D230" s="12" t="n"/>
      <c r="E230" s="40" t="n"/>
      <c r="F230" s="40" t="n"/>
      <c r="G230" s="40" t="n"/>
      <c r="H230" s="12" t="n"/>
      <c r="I230" s="40" t="str">
        <f>""</f>
        <v/>
      </c>
      <c r="J230" s="40" t="str">
        <f>IFERROR(IF(I229=0,"",J229/I229-1),"")</f>
        <v/>
      </c>
      <c r="K230" s="40" t="str">
        <f>IFERROR(IF(J229=0,"",K229/J229-1),"")</f>
        <v/>
      </c>
      <c r="L230" s="40" t="str">
        <f>IFERROR(IF(K229=0,"",L229/K229-1),"")</f>
        <v/>
      </c>
      <c r="M230" s="12" t="str">
        <f>IF(L229=0,"",M229/L229-1)</f>
        <v/>
      </c>
      <c r="N230" s="40" t="str">
        <f>IFERROR(IF(M229=0,"",N229/M229-1),"")</f>
        <v/>
      </c>
      <c r="O230" s="40" t="str">
        <f>IFERROR(IF(N229=0,"",O229/N229-1),"")</f>
        <v/>
      </c>
      <c r="P230" s="40" t="str">
        <f>IFERROR(IF(O229=0,"",P229/O229-1),"")</f>
        <v/>
      </c>
      <c r="Q230" s="40" t="str">
        <f>IFERROR(IF(P229=0,"",Q229/P229-1),"")</f>
        <v/>
      </c>
      <c r="R230" s="12" t="str">
        <f>IF(Q229=0,"",R229/Q229-1)</f>
        <v/>
      </c>
      <c r="S230" s="40" t="str">
        <f>IFERROR(IF(R229=0,"",S229/R229-1),"")</f>
        <v/>
      </c>
      <c r="T230" s="40" t="str">
        <f>IFERROR(IF(S229=0,"",T229/S229-1),"")</f>
        <v/>
      </c>
      <c r="U230" s="40" t="str">
        <f>IFERROR(IF(T229=0,"",U229/T229-1),"")</f>
        <v/>
      </c>
      <c r="V230" s="40" t="str">
        <f>IFERROR(IF(U229=0,"",V229/U229-1),"")</f>
        <v/>
      </c>
      <c r="W230" s="12" t="str">
        <f>IF(V229=0,"",W229/V229-1)</f>
        <v/>
      </c>
      <c r="X230" s="40" t="str">
        <f>IFERROR(IF(W229=0,"",X229/W229-1),"")</f>
        <v/>
      </c>
      <c r="Y230" s="40" t="str">
        <f>IFERROR(IF(X229=0,"",Y229/X229-1),"")</f>
        <v/>
      </c>
      <c r="Z230" s="40" t="str">
        <f>IFERROR(IF(Y229=0,"",Z229/Y229-1),"")</f>
        <v/>
      </c>
      <c r="AA230" s="40" t="str">
        <f>IFERROR(IF(Z229=0,"",AA229/Z229-1),"")</f>
        <v/>
      </c>
      <c r="AB230" s="12" t="str">
        <f>IF(AA229=0,"",AB229/AA229-1)</f>
        <v/>
      </c>
      <c r="AC230" s="40" t="str">
        <f>IFERROR(IF(AB229=0,"",AC229/AB229-1),"")</f>
        <v/>
      </c>
      <c r="AD230" s="40" t="str">
        <f>IFERROR(IF(AC229=0,"",AD229/AC229-1),"")</f>
        <v/>
      </c>
      <c r="AE230" s="40" t="str">
        <f>IFERROR(IF(AD229=0,"",AE229/AD229-1),"")</f>
        <v/>
      </c>
      <c r="AF230" s="41" t="str">
        <f>IFERROR(IF(AE229=0,"",AF229/AE229-1),"")</f>
        <v/>
      </c>
      <c r="AG230" s="12" t="str">
        <f>IF(AF229=0,"",AG229/AF229-1)</f>
        <v/>
      </c>
      <c r="AH230" s="11" t="str">
        <f>IFERROR(IF(AG229=0,"",AH229/AG229-1),"")</f>
        <v/>
      </c>
      <c r="AI230" s="11" t="str">
        <f>IFERROR(IF(AH229=0,"",AI229/AH229-1),"")</f>
        <v/>
      </c>
      <c r="AJ230" s="11" t="str">
        <f>IFERROR(IF(AI229=0,"",AJ229/AI229-1),"")</f>
        <v/>
      </c>
      <c r="AK230" s="11" t="str">
        <f>IFERROR(IF(AJ229=0,"",AK229/AJ229-1),"")</f>
        <v/>
      </c>
      <c r="AL230" s="12" t="str">
        <f>IFERROR(IF(AK229=0,"",AL229/AK229-1),"")</f>
        <v/>
      </c>
      <c r="AM230" s="11" t="str">
        <f>IFERROR(IF(AL229=0,"",AM229/AL229-1),"")</f>
        <v/>
      </c>
      <c r="AN230" s="11" t="str">
        <f>IFERROR(IF(AM229=0,"",AN229/AM229-1),"")</f>
        <v/>
      </c>
      <c r="AO230" s="11" t="str">
        <f>IFERROR(IF(AN229=0,"",AO229/AN229-1),"")</f>
        <v/>
      </c>
      <c r="AP230" s="11" t="str">
        <f>IFERROR(IF(AO229=0,"",AP229/AO229-1),"")</f>
        <v/>
      </c>
      <c r="AQ230" s="12" t="str">
        <f>IFERROR(IF(AP229=0,"",AQ229/AP229-1),"")</f>
        <v/>
      </c>
      <c r="AR230" s="11" t="str">
        <f>IFERROR(IF(AQ229=0,"",AR229/AQ229-1),"")</f>
        <v/>
      </c>
      <c r="AS230" s="11" t="str">
        <f>IFERROR(IF(AR229=0,"",AS229/AR229-1),"")</f>
        <v/>
      </c>
      <c r="AT230" s="11" t="str">
        <f>IFERROR(IF(AS229=0,"",AT229/AS229-1),"")</f>
        <v/>
      </c>
      <c r="AU230" s="11" t="str">
        <f>IFERROR(IF(AT229=0,"",AU229/AT229-1),"")</f>
        <v/>
      </c>
      <c r="AV230" s="12" t="str">
        <f>IFERROR(IF(AU229=0,"",AV229/AU229-1),"")</f>
        <v/>
      </c>
      <c r="AW230" s="11" t="str">
        <f>IFERROR(IF(AV229=0,"",AW229/AV229-1),"")</f>
        <v/>
      </c>
      <c r="AX230" s="11" t="str">
        <f>IFERROR(IF(AW229=0,"",AX229/AW229-1),"")</f>
        <v/>
      </c>
      <c r="AY230" s="11" t="str">
        <f>IFERROR(IF(AX229=0,"",AY229/AX229-1),"")</f>
        <v/>
      </c>
      <c r="AZ230" s="11" t="str">
        <f>IFERROR(IF(AY229=0,"",AZ229/AY229-1),"")</f>
        <v/>
      </c>
      <c r="BA230" s="12" t="str">
        <f>IFERROR(IF(AZ229=0,"",BA229/AZ229-1),"")</f>
        <v/>
      </c>
      <c r="BB230" s="11" t="str">
        <f>IFERROR(IF(BA229=0,"",BB229/BA229-1),"")</f>
        <v/>
      </c>
      <c r="BC230" s="11" t="str">
        <f>IFERROR(IF(BB229=0,"",BC229/BB229-1),"")</f>
        <v/>
      </c>
      <c r="BD230" s="11" t="str">
        <f>IFERROR(IF(BC229=0,"",BD229/BC229-1),"")</f>
        <v/>
      </c>
      <c r="BE230" s="11" t="str">
        <f>IFERROR(IF(BD229=0,"",BE229/BD229-1),"")</f>
        <v/>
      </c>
      <c r="BF230" s="12" t="str">
        <f>IFERROR(IF(BE229=0,"",BF229/BE229-1),"")</f>
        <v/>
      </c>
      <c r="BG230" s="11" t="n"/>
      <c r="BH230" s="11" t="n"/>
      <c r="BI230" s="11" t="n"/>
      <c r="BJ230" s="11" t="n"/>
      <c r="BK230" s="12" t="n"/>
      <c r="BL230" s="11" t="n"/>
      <c r="BM230" s="11" t="n"/>
      <c r="BN230" s="11" t="n"/>
      <c r="BO230" s="11" t="n"/>
      <c r="BP230" s="12" t="n"/>
      <c r="BQ230" s="11" t="n"/>
      <c r="BR230" s="11" t="n"/>
      <c r="BS230" s="11" t="n"/>
      <c r="BT230" s="11" t="n"/>
      <c r="BU230" s="12" t="n"/>
      <c r="BV230" s="11" t="n"/>
      <c r="BW230" s="11" t="n"/>
      <c r="BX230" s="11" t="n"/>
      <c r="BY230" s="11" t="n"/>
      <c r="BZ230" s="12" t="n"/>
      <c r="CA230" s="11" t="n"/>
      <c r="CB230" s="11" t="n"/>
      <c r="CC230" s="11" t="n"/>
      <c r="CD230" s="11" t="n"/>
      <c r="CE230" s="12" t="n"/>
      <c r="CF230" s="11" t="n"/>
      <c r="CG230" s="11" t="n"/>
      <c r="CH230" s="11" t="n"/>
      <c r="CI230" s="11" t="n"/>
      <c r="CJ230" s="12" t="n"/>
      <c r="CK230" s="11" t="n"/>
      <c r="CL230" s="11" t="n"/>
      <c r="CM230" s="11" t="n"/>
      <c r="CN230" s="11" t="n"/>
      <c r="CO230" s="12" t="n"/>
      <c r="CP230" s="11" t="n"/>
      <c r="CQ230" s="11" t="n"/>
      <c r="CR230" s="11" t="n"/>
      <c r="CS230" s="11" t="n"/>
      <c r="CT230" s="12" t="n"/>
      <c r="CU230" s="11" t="n"/>
      <c r="CV230" s="11" t="n"/>
      <c r="CW230" s="11" t="n"/>
      <c r="CX230" s="11" t="n"/>
      <c r="CY230" s="12" t="n"/>
    </row>
    <row r="231" hidden="1" outlineLevel="1">
      <c r="C231" s="57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  <c r="AJ231" s="12" t="n"/>
      <c r="AK231" s="12" t="n"/>
      <c r="AL231" s="12" t="n"/>
      <c r="AM231" s="12" t="n"/>
      <c r="AN231" s="12" t="n"/>
      <c r="AO231" s="12" t="n"/>
      <c r="AP231" s="12" t="n"/>
      <c r="AQ231" s="12" t="n"/>
      <c r="AR231" s="12" t="n"/>
      <c r="AS231" s="12" t="n"/>
      <c r="AT231" s="12" t="n"/>
      <c r="AU231" s="12" t="n"/>
      <c r="AV231" s="12" t="n"/>
      <c r="AW231" s="12" t="n"/>
      <c r="AX231" s="12" t="n"/>
      <c r="AY231" s="12" t="n"/>
      <c r="AZ231" s="12" t="n"/>
      <c r="BA231" s="12" t="n"/>
      <c r="BB231" s="12" t="n"/>
      <c r="BC231" s="12" t="n"/>
      <c r="BD231" s="12" t="n"/>
      <c r="BE231" s="12" t="n"/>
      <c r="BF231" s="12" t="n"/>
      <c r="BG231" s="12" t="n"/>
      <c r="BH231" s="12" t="n"/>
      <c r="BI231" s="12" t="n"/>
      <c r="BJ231" s="12" t="n"/>
      <c r="BK231" s="12" t="n"/>
      <c r="BL231" s="12" t="n"/>
      <c r="BM231" s="12" t="n"/>
      <c r="BN231" s="12" t="n"/>
      <c r="BO231" s="12" t="n"/>
      <c r="BP231" s="12" t="n"/>
      <c r="BQ231" s="12" t="n"/>
      <c r="BR231" s="12" t="n"/>
      <c r="BS231" s="12" t="n"/>
      <c r="BT231" s="12" t="n"/>
      <c r="BU231" s="12" t="n"/>
      <c r="BV231" s="12" t="n"/>
      <c r="BW231" s="12" t="n"/>
      <c r="BX231" s="12" t="n"/>
      <c r="BY231" s="12" t="n"/>
      <c r="BZ231" s="12" t="n"/>
      <c r="CA231" s="12" t="n"/>
      <c r="CB231" s="12" t="n"/>
      <c r="CC231" s="12" t="n"/>
      <c r="CD231" s="12" t="n"/>
      <c r="CE231" s="12" t="n"/>
      <c r="CF231" s="12" t="n"/>
      <c r="CG231" s="12" t="n"/>
      <c r="CH231" s="12" t="n"/>
      <c r="CI231" s="12" t="n"/>
      <c r="CJ231" s="12" t="n"/>
      <c r="CK231" s="12" t="n"/>
      <c r="CL231" s="12" t="n"/>
      <c r="CM231" s="12" t="n"/>
      <c r="CN231" s="12" t="n"/>
      <c r="CO231" s="12" t="n"/>
      <c r="CP231" s="12" t="n"/>
      <c r="CQ231" s="12" t="n"/>
      <c r="CR231" s="12" t="n"/>
      <c r="CS231" s="12" t="n"/>
      <c r="CT231" s="12" t="n"/>
      <c r="CU231" s="12" t="n"/>
      <c r="CV231" s="12" t="n"/>
      <c r="CW231" s="12" t="n"/>
      <c r="CX231" s="12" t="n"/>
      <c r="CY231" s="12" t="n"/>
    </row>
    <row r="232" collapsed="1">
      <c r="C232" s="14" t="inlineStr">
        <is>
          <t>Convertible debt</t>
        </is>
      </c>
      <c r="D232" s="46" t="n"/>
      <c r="E232" s="46" t="n"/>
      <c r="F232" s="46" t="n"/>
      <c r="G232" s="46" t="n"/>
      <c r="H232" s="12" t="n"/>
      <c r="I232" s="46">
        <f>'Inputs (2)'!D37</f>
        <v>0</v>
      </c>
      <c r="J232" s="46">
        <f>'Inputs (2)'!E37</f>
        <v>0</v>
      </c>
      <c r="K232" s="46">
        <f>'Inputs (2)'!F37</f>
        <v>0</v>
      </c>
      <c r="L232" s="46">
        <f>'Inputs (2)'!G37</f>
        <v>0</v>
      </c>
      <c r="M232" s="12">
        <f>'Inputs (2)'!H37</f>
        <v>0</v>
      </c>
      <c r="N232" s="46">
        <f>'Inputs (2)'!I37</f>
        <v>0</v>
      </c>
      <c r="O232" s="46">
        <f>'Inputs (2)'!J37</f>
        <v>0</v>
      </c>
      <c r="P232" s="46">
        <f>'Inputs (2)'!K37</f>
        <v>0</v>
      </c>
      <c r="Q232" s="46">
        <f>'Inputs (2)'!L37</f>
        <v>0</v>
      </c>
      <c r="R232" s="12">
        <f>'Inputs (2)'!M37</f>
        <v>0</v>
      </c>
      <c r="S232" s="46">
        <f>'Inputs (2)'!N37</f>
        <v>0</v>
      </c>
      <c r="T232" s="46">
        <f>'Inputs (2)'!O37</f>
        <v>0</v>
      </c>
      <c r="U232" s="46">
        <f>'Inputs (2)'!P37</f>
        <v>0</v>
      </c>
      <c r="V232" s="46">
        <f>'Inputs (2)'!Q37</f>
        <v>0</v>
      </c>
      <c r="W232" s="12">
        <f>'Inputs (2)'!R37</f>
        <v>0</v>
      </c>
      <c r="X232" s="46">
        <f>'Inputs (2)'!S37</f>
        <v>0</v>
      </c>
      <c r="Y232" s="46">
        <f>'Inputs (2)'!T37</f>
        <v>0</v>
      </c>
      <c r="Z232" s="46">
        <f>'Inputs (2)'!U37</f>
        <v>0</v>
      </c>
      <c r="AA232" s="46">
        <f>'Inputs (2)'!V37</f>
        <v>0</v>
      </c>
      <c r="AB232" s="12">
        <f>'Inputs (2)'!W37</f>
        <v>0</v>
      </c>
      <c r="AC232" s="46">
        <f>'Inputs (2)'!X37</f>
        <v>0</v>
      </c>
      <c r="AD232" s="46">
        <f>'Inputs (2)'!Y37</f>
        <v>0</v>
      </c>
      <c r="AE232" s="46">
        <f>'Inputs (2)'!Z37</f>
        <v>0</v>
      </c>
      <c r="AF232" s="46">
        <f>'Inputs (2)'!AA37</f>
        <v>0</v>
      </c>
      <c r="AG232" s="12">
        <f>'Inputs (2)'!AB37</f>
        <v>0</v>
      </c>
      <c r="AH232" s="12">
        <f>'Inputs (2)'!AC37</f>
        <v>0</v>
      </c>
      <c r="AI232" s="12">
        <f>'Inputs (2)'!AD37</f>
        <v>0</v>
      </c>
      <c r="AJ232" s="12">
        <f>AI232</f>
        <v>0</v>
      </c>
      <c r="AK232" s="12">
        <f>AJ232</f>
        <v>0</v>
      </c>
      <c r="AL232" s="12">
        <f>AK232</f>
        <v>0</v>
      </c>
      <c r="AM232" s="12">
        <f>AL232</f>
        <v>0</v>
      </c>
      <c r="AN232" s="12">
        <f>AM232</f>
        <v>0</v>
      </c>
      <c r="AO232" s="12">
        <f>AN232</f>
        <v>0</v>
      </c>
      <c r="AP232" s="12">
        <f>AO232</f>
        <v>0</v>
      </c>
      <c r="AQ232" s="12">
        <f>AP232</f>
        <v>0</v>
      </c>
      <c r="AR232" s="12">
        <f>AQ232</f>
        <v>0</v>
      </c>
      <c r="AS232" s="12">
        <f>AR232</f>
        <v>0</v>
      </c>
      <c r="AT232" s="12">
        <f>AS232</f>
        <v>0</v>
      </c>
      <c r="AU232" s="12">
        <f>AT232</f>
        <v>0</v>
      </c>
      <c r="AV232" s="12">
        <f>AU232</f>
        <v>0</v>
      </c>
      <c r="AW232" s="12">
        <f>AV232</f>
        <v>0</v>
      </c>
      <c r="AX232" s="12">
        <f>AW232</f>
        <v>0</v>
      </c>
      <c r="AY232" s="12">
        <f>AX232</f>
        <v>0</v>
      </c>
      <c r="AZ232" s="12">
        <f>AY232</f>
        <v>0</v>
      </c>
      <c r="BA232" s="12">
        <f>AZ232</f>
        <v>0</v>
      </c>
      <c r="BB232" s="12">
        <f>BA232</f>
        <v>0</v>
      </c>
      <c r="BC232" s="12">
        <f>BB232</f>
        <v>0</v>
      </c>
      <c r="BD232" s="12">
        <f>BC232</f>
        <v>0</v>
      </c>
      <c r="BE232" s="12">
        <f>BD232</f>
        <v>0</v>
      </c>
      <c r="BF232" s="12">
        <f>BE232</f>
        <v>0</v>
      </c>
      <c r="BG232" s="12" t="n"/>
      <c r="BH232" s="12" t="n"/>
      <c r="BI232" s="12" t="n"/>
      <c r="BJ232" s="12" t="n"/>
      <c r="BK232" s="12" t="n"/>
      <c r="BL232" s="12" t="n"/>
      <c r="BM232" s="12" t="n"/>
      <c r="BN232" s="12" t="n"/>
      <c r="BO232" s="12" t="n"/>
      <c r="BP232" s="12" t="n"/>
      <c r="BQ232" s="12" t="n"/>
      <c r="BR232" s="12" t="n"/>
      <c r="BS232" s="12" t="n"/>
      <c r="BT232" s="12" t="n"/>
      <c r="BU232" s="12" t="n"/>
      <c r="BV232" s="12" t="n"/>
      <c r="BW232" s="12" t="n"/>
      <c r="BX232" s="12" t="n"/>
      <c r="BY232" s="12" t="n"/>
      <c r="BZ232" s="12" t="n"/>
      <c r="CA232" s="12" t="n"/>
      <c r="CB232" s="12" t="n"/>
      <c r="CC232" s="12" t="n"/>
      <c r="CD232" s="12" t="n"/>
      <c r="CE232" s="12" t="n"/>
      <c r="CF232" s="12" t="n"/>
      <c r="CG232" s="12" t="n"/>
      <c r="CH232" s="12" t="n"/>
      <c r="CI232" s="12" t="n"/>
      <c r="CJ232" s="12" t="n"/>
      <c r="CK232" s="12" t="n"/>
      <c r="CL232" s="12" t="n"/>
      <c r="CM232" s="12" t="n"/>
      <c r="CN232" s="12" t="n"/>
      <c r="CO232" s="12" t="n"/>
      <c r="CP232" s="12" t="n"/>
      <c r="CQ232" s="12" t="n"/>
      <c r="CR232" s="12" t="n"/>
      <c r="CS232" s="12" t="n"/>
      <c r="CT232" s="12" t="n"/>
      <c r="CU232" s="12" t="n"/>
      <c r="CV232" s="12" t="n"/>
      <c r="CW232" s="12" t="n"/>
      <c r="CX232" s="12" t="n"/>
      <c r="CY232" s="12" t="n"/>
    </row>
    <row r="233">
      <c r="C233" s="14" t="inlineStr">
        <is>
          <t>Deferred income taxes</t>
        </is>
      </c>
      <c r="D233" s="46" t="n"/>
      <c r="E233" s="46" t="n"/>
      <c r="F233" s="46" t="n"/>
      <c r="G233" s="46" t="n"/>
      <c r="H233" s="12" t="n"/>
      <c r="I233" s="46">
        <f>'Inputs (2)'!D38</f>
        <v>0</v>
      </c>
      <c r="J233" s="46">
        <f>'Inputs (2)'!E38</f>
        <v>0</v>
      </c>
      <c r="K233" s="46">
        <f>'Inputs (2)'!F38</f>
        <v>0</v>
      </c>
      <c r="L233" s="46">
        <f>'Inputs (2)'!G38</f>
        <v>0</v>
      </c>
      <c r="M233" s="12">
        <f>'Inputs (2)'!H38</f>
        <v>0</v>
      </c>
      <c r="N233" s="46">
        <f>'Inputs (2)'!I38</f>
        <v>0</v>
      </c>
      <c r="O233" s="46">
        <f>'Inputs (2)'!J38</f>
        <v>0</v>
      </c>
      <c r="P233" s="46">
        <f>'Inputs (2)'!K38</f>
        <v>0</v>
      </c>
      <c r="Q233" s="46">
        <f>'Inputs (2)'!L38</f>
        <v>0</v>
      </c>
      <c r="R233" s="12">
        <f>'Inputs (2)'!M38</f>
        <v>0</v>
      </c>
      <c r="S233" s="46">
        <f>'Inputs (2)'!N38</f>
        <v>0</v>
      </c>
      <c r="T233" s="46">
        <f>'Inputs (2)'!O38</f>
        <v>0</v>
      </c>
      <c r="U233" s="46">
        <f>'Inputs (2)'!P38</f>
        <v>0</v>
      </c>
      <c r="V233" s="46">
        <f>'Inputs (2)'!Q38</f>
        <v>0</v>
      </c>
      <c r="W233" s="12">
        <f>'Inputs (2)'!R38</f>
        <v>0</v>
      </c>
      <c r="X233" s="46">
        <f>'Inputs (2)'!S38</f>
        <v>0</v>
      </c>
      <c r="Y233" s="46">
        <f>'Inputs (2)'!T38</f>
        <v>0</v>
      </c>
      <c r="Z233" s="46">
        <f>'Inputs (2)'!U38</f>
        <v>0</v>
      </c>
      <c r="AA233" s="46">
        <f>'Inputs (2)'!V38</f>
        <v>0</v>
      </c>
      <c r="AB233" s="12">
        <f>'Inputs (2)'!W38</f>
        <v>0</v>
      </c>
      <c r="AC233" s="46">
        <f>'Inputs (2)'!X38</f>
        <v>0</v>
      </c>
      <c r="AD233" s="46">
        <f>'Inputs (2)'!Y38</f>
        <v>0</v>
      </c>
      <c r="AE233" s="46">
        <f>'Inputs (2)'!Z38</f>
        <v>0</v>
      </c>
      <c r="AF233" s="46">
        <f>'Inputs (2)'!AA38</f>
        <v>0</v>
      </c>
      <c r="AG233" s="12">
        <f>'Inputs (2)'!AB38</f>
        <v>0</v>
      </c>
      <c r="AH233" s="12">
        <f>'Inputs (2)'!AC38</f>
        <v>0</v>
      </c>
      <c r="AI233" s="12">
        <f>'Inputs (2)'!AD38</f>
        <v>0</v>
      </c>
      <c r="AJ233" s="12">
        <f>AI233</f>
        <v>0</v>
      </c>
      <c r="AK233" s="12">
        <f>AJ233</f>
        <v>0</v>
      </c>
      <c r="AL233" s="12">
        <f>AK233</f>
        <v>0</v>
      </c>
      <c r="AM233" s="12">
        <f>AL233</f>
        <v>0</v>
      </c>
      <c r="AN233" s="12">
        <f>AM233</f>
        <v>0</v>
      </c>
      <c r="AO233" s="12">
        <f>AN233</f>
        <v>0</v>
      </c>
      <c r="AP233" s="12">
        <f>AO233</f>
        <v>0</v>
      </c>
      <c r="AQ233" s="12">
        <f>AP233</f>
        <v>0</v>
      </c>
      <c r="AR233" s="12">
        <f>AQ233</f>
        <v>0</v>
      </c>
      <c r="AS233" s="12">
        <f>AR233</f>
        <v>0</v>
      </c>
      <c r="AT233" s="12">
        <f>AS233</f>
        <v>0</v>
      </c>
      <c r="AU233" s="12">
        <f>AT233</f>
        <v>0</v>
      </c>
      <c r="AV233" s="12">
        <f>AU233</f>
        <v>0</v>
      </c>
      <c r="AW233" s="12">
        <f>AV233</f>
        <v>0</v>
      </c>
      <c r="AX233" s="12">
        <f>AW233</f>
        <v>0</v>
      </c>
      <c r="AY233" s="12">
        <f>AX233</f>
        <v>0</v>
      </c>
      <c r="AZ233" s="12">
        <f>AY233</f>
        <v>0</v>
      </c>
      <c r="BA233" s="12">
        <f>AZ233</f>
        <v>0</v>
      </c>
      <c r="BB233" s="12">
        <f>BA233</f>
        <v>0</v>
      </c>
      <c r="BC233" s="12">
        <f>BB233</f>
        <v>0</v>
      </c>
      <c r="BD233" s="12">
        <f>BC233</f>
        <v>0</v>
      </c>
      <c r="BE233" s="12">
        <f>BD233</f>
        <v>0</v>
      </c>
      <c r="BF233" s="12">
        <f>BE233</f>
        <v>0</v>
      </c>
      <c r="BG233" s="12" t="n"/>
      <c r="BH233" s="12" t="n"/>
      <c r="BI233" s="12" t="n"/>
      <c r="BJ233" s="12" t="n"/>
      <c r="BK233" s="12" t="n"/>
      <c r="BL233" s="12" t="n"/>
      <c r="BM233" s="12" t="n"/>
      <c r="BN233" s="12" t="n"/>
      <c r="BO233" s="12" t="n"/>
      <c r="BP233" s="12" t="n"/>
      <c r="BQ233" s="12" t="n"/>
      <c r="BR233" s="12" t="n"/>
      <c r="BS233" s="12" t="n"/>
      <c r="BT233" s="12" t="n"/>
      <c r="BU233" s="12" t="n"/>
      <c r="BV233" s="12" t="n"/>
      <c r="BW233" s="12" t="n"/>
      <c r="BX233" s="12" t="n"/>
      <c r="BY233" s="12" t="n"/>
      <c r="BZ233" s="12" t="n"/>
      <c r="CA233" s="12" t="n"/>
      <c r="CB233" s="12" t="n"/>
      <c r="CC233" s="12" t="n"/>
      <c r="CD233" s="12" t="n"/>
      <c r="CE233" s="12" t="n"/>
      <c r="CF233" s="12" t="n"/>
      <c r="CG233" s="12" t="n"/>
      <c r="CH233" s="12" t="n"/>
      <c r="CI233" s="12" t="n"/>
      <c r="CJ233" s="12" t="n"/>
      <c r="CK233" s="12" t="n"/>
      <c r="CL233" s="12" t="n"/>
      <c r="CM233" s="12" t="n"/>
      <c r="CN233" s="12" t="n"/>
      <c r="CO233" s="12" t="n"/>
      <c r="CP233" s="12" t="n"/>
      <c r="CQ233" s="12" t="n"/>
      <c r="CR233" s="12" t="n"/>
      <c r="CS233" s="12" t="n"/>
      <c r="CT233" s="12" t="n"/>
      <c r="CU233" s="12" t="n"/>
      <c r="CV233" s="12" t="n"/>
      <c r="CW233" s="12" t="n"/>
      <c r="CX233" s="12" t="n"/>
      <c r="CY233" s="12" t="n"/>
    </row>
    <row r="234">
      <c r="C234" s="14" t="inlineStr">
        <is>
          <t>Other non-current liabilities</t>
        </is>
      </c>
      <c r="D234" s="46" t="n"/>
      <c r="E234" s="46" t="n"/>
      <c r="F234" s="46" t="n"/>
      <c r="G234" s="46" t="n"/>
      <c r="H234" s="12" t="n"/>
      <c r="I234" s="46">
        <f>'Inputs (2)'!D39</f>
        <v>52953</v>
      </c>
      <c r="J234" s="46">
        <f>'Inputs (2)'!E39</f>
        <v>52054</v>
      </c>
      <c r="K234" s="46">
        <f>'Inputs (2)'!F39</f>
        <v>53325</v>
      </c>
      <c r="L234" s="46">
        <f>'Inputs (2)'!G39</f>
        <v>55056</v>
      </c>
      <c r="M234" s="12">
        <f>'Inputs (2)'!H39</f>
        <v>55056</v>
      </c>
      <c r="N234" s="46">
        <f>'Inputs (2)'!I39</f>
        <v>52432</v>
      </c>
      <c r="O234" s="46">
        <f>'Inputs (2)'!J39</f>
        <v>53629</v>
      </c>
      <c r="P234" s="46">
        <f>'Inputs (2)'!K39</f>
        <v>49142</v>
      </c>
      <c r="Q234" s="46">
        <f>'Inputs (2)'!L39</f>
        <v>53107</v>
      </c>
      <c r="R234" s="12">
        <f>'Inputs (2)'!M39</f>
        <v>53107</v>
      </c>
      <c r="S234" s="46">
        <f>'Inputs (2)'!N39</f>
        <v>52886</v>
      </c>
      <c r="T234" s="46">
        <f>'Inputs (2)'!O39</f>
        <v>51730</v>
      </c>
      <c r="U234" s="46">
        <f>'Inputs (2)'!P39</f>
        <v>49848</v>
      </c>
      <c r="V234" s="46">
        <f>'Inputs (2)'!Q39</f>
        <v>50353</v>
      </c>
      <c r="W234" s="12">
        <f>'Inputs (2)'!R39</f>
        <v>50353</v>
      </c>
      <c r="X234" s="46">
        <f>'Inputs (2)'!S39</f>
        <v>47564</v>
      </c>
      <c r="Y234" s="46">
        <f>'Inputs (2)'!T39</f>
        <v>47084</v>
      </c>
      <c r="Z234" s="46">
        <f>'Inputs (2)'!U39</f>
        <v>45888</v>
      </c>
      <c r="AA234" s="46">
        <f>'Inputs (2)'!V39</f>
        <v>49006</v>
      </c>
      <c r="AB234" s="12">
        <f>'Inputs (2)'!W39</f>
        <v>49006</v>
      </c>
      <c r="AC234" s="46">
        <f>'Inputs (2)'!X39</f>
        <v>41300</v>
      </c>
      <c r="AD234" s="46">
        <f>'Inputs (2)'!Y39</f>
        <v>42115</v>
      </c>
      <c r="AE234" s="46">
        <f>'Inputs (2)'!Z39</f>
        <v>41549</v>
      </c>
      <c r="AF234" s="46">
        <f>'Inputs (2)'!AA39</f>
        <v>52055</v>
      </c>
      <c r="AG234" s="12">
        <f>'Inputs (2)'!AB39</f>
        <v>52055</v>
      </c>
      <c r="AH234" s="12">
        <f>'Inputs (2)'!AC39</f>
        <v>55546</v>
      </c>
      <c r="AI234" s="12">
        <f>'Inputs (2)'!AD39</f>
        <v>55080</v>
      </c>
      <c r="AJ234" s="12">
        <f>AI234</f>
        <v>55080</v>
      </c>
      <c r="AK234" s="12">
        <f>AJ234</f>
        <v>55080</v>
      </c>
      <c r="AL234" s="12">
        <f>AK234</f>
        <v>55080</v>
      </c>
      <c r="AM234" s="12">
        <f>AL234</f>
        <v>55080</v>
      </c>
      <c r="AN234" s="12">
        <f>AM234</f>
        <v>55080</v>
      </c>
      <c r="AO234" s="12">
        <f>AN234</f>
        <v>55080</v>
      </c>
      <c r="AP234" s="12">
        <f>AO234</f>
        <v>55080</v>
      </c>
      <c r="AQ234" s="12">
        <f>AP234</f>
        <v>55080</v>
      </c>
      <c r="AR234" s="12">
        <f>AQ234</f>
        <v>55080</v>
      </c>
      <c r="AS234" s="12">
        <f>AR234</f>
        <v>55080</v>
      </c>
      <c r="AT234" s="12">
        <f>AS234</f>
        <v>55080</v>
      </c>
      <c r="AU234" s="12">
        <f>AT234</f>
        <v>55080</v>
      </c>
      <c r="AV234" s="12">
        <f>AU234</f>
        <v>55080</v>
      </c>
      <c r="AW234" s="12">
        <f>AV234</f>
        <v>55080</v>
      </c>
      <c r="AX234" s="12">
        <f>AW234</f>
        <v>55080</v>
      </c>
      <c r="AY234" s="12">
        <f>AX234</f>
        <v>55080</v>
      </c>
      <c r="AZ234" s="12">
        <f>AY234</f>
        <v>55080</v>
      </c>
      <c r="BA234" s="12">
        <f>AZ234</f>
        <v>55080</v>
      </c>
      <c r="BB234" s="12">
        <f>BA234</f>
        <v>55080</v>
      </c>
      <c r="BC234" s="12">
        <f>BB234</f>
        <v>55080</v>
      </c>
      <c r="BD234" s="12">
        <f>BC234</f>
        <v>55080</v>
      </c>
      <c r="BE234" s="12">
        <f>BD234</f>
        <v>55080</v>
      </c>
      <c r="BF234" s="12">
        <f>BE234</f>
        <v>55080</v>
      </c>
      <c r="BG234" s="12" t="n"/>
      <c r="BH234" s="12" t="n"/>
      <c r="BI234" s="12" t="n"/>
      <c r="BJ234" s="12" t="n"/>
      <c r="BK234" s="12" t="n"/>
      <c r="BL234" s="12" t="n"/>
      <c r="BM234" s="12" t="n"/>
      <c r="BN234" s="12" t="n"/>
      <c r="BO234" s="12" t="n"/>
      <c r="BP234" s="12" t="n"/>
      <c r="BQ234" s="12" t="n"/>
      <c r="BR234" s="12" t="n"/>
      <c r="BS234" s="12" t="n"/>
      <c r="BT234" s="12" t="n"/>
      <c r="BU234" s="12" t="n"/>
      <c r="BV234" s="12" t="n"/>
      <c r="BW234" s="12" t="n"/>
      <c r="BX234" s="12" t="n"/>
      <c r="BY234" s="12" t="n"/>
      <c r="BZ234" s="12" t="n"/>
      <c r="CA234" s="12" t="n"/>
      <c r="CB234" s="12" t="n"/>
      <c r="CC234" s="12" t="n"/>
      <c r="CD234" s="12" t="n"/>
      <c r="CE234" s="12" t="n"/>
      <c r="CF234" s="12" t="n"/>
      <c r="CG234" s="12" t="n"/>
      <c r="CH234" s="12" t="n"/>
      <c r="CI234" s="12" t="n"/>
      <c r="CJ234" s="12" t="n"/>
      <c r="CK234" s="12" t="n"/>
      <c r="CL234" s="12" t="n"/>
      <c r="CM234" s="12" t="n"/>
      <c r="CN234" s="12" t="n"/>
      <c r="CO234" s="12" t="n"/>
      <c r="CP234" s="12" t="n"/>
      <c r="CQ234" s="12" t="n"/>
      <c r="CR234" s="12" t="n"/>
      <c r="CS234" s="12" t="n"/>
      <c r="CT234" s="12" t="n"/>
      <c r="CU234" s="12" t="n"/>
      <c r="CV234" s="12" t="n"/>
      <c r="CW234" s="12" t="n"/>
      <c r="CX234" s="12" t="n"/>
      <c r="CY234" s="12" t="n"/>
    </row>
    <row r="235" hidden="1" outlineLevel="1" ht="12" customHeight="1">
      <c r="C235" s="59" t="inlineStr">
        <is>
          <t>%(Var.)</t>
        </is>
      </c>
      <c r="D235" s="12" t="n"/>
      <c r="E235" s="40" t="n"/>
      <c r="F235" s="40" t="n"/>
      <c r="G235" s="40" t="n"/>
      <c r="H235" s="12" t="n"/>
      <c r="I235" s="40" t="str">
        <f>""</f>
        <v/>
      </c>
      <c r="J235" s="40">
        <f>IF(I234=0,"",J234/I234-1)</f>
        <v>-0.0169773195097539</v>
      </c>
      <c r="K235" s="40">
        <f>IF(J234=0,"",K234/J234-1)</f>
        <v>0.0244169516271564</v>
      </c>
      <c r="L235" s="40">
        <f>IF(K234=0,"",L234/K234-1)</f>
        <v>0.0324613220815753</v>
      </c>
      <c r="M235" s="12">
        <f>IF(L234=0,"",M234/L234-1)</f>
        <v>0</v>
      </c>
      <c r="N235" s="40">
        <f>IF(M234=0,"",N234/M234-1)</f>
        <v>-0.047660563789596</v>
      </c>
      <c r="O235" s="40">
        <f>IF(N234=0,"",O234/N234-1)</f>
        <v>0.0228295697284102</v>
      </c>
      <c r="P235" s="40">
        <f>IF(O234=0,"",P234/O234-1)</f>
        <v>-0.0836674187473195</v>
      </c>
      <c r="Q235" s="40">
        <f>IF(P234=0,"",Q234/P234-1)</f>
        <v>0.0806845468234911</v>
      </c>
      <c r="R235" s="12">
        <f>IF(Q234=0,"",R234/Q234-1)</f>
        <v>0</v>
      </c>
      <c r="S235" s="40">
        <f>IF(R234=0,"",S234/R234-1)</f>
        <v>-0.00416140998361803</v>
      </c>
      <c r="T235" s="40">
        <f>IF(S234=0,"",T234/S234-1)</f>
        <v>-0.0218583367999092</v>
      </c>
      <c r="U235" s="40">
        <f>IF(T234=0,"",U234/T234-1)</f>
        <v>-0.0363812101295187</v>
      </c>
      <c r="V235" s="40">
        <f>IF(U234=0,"",V234/U234-1)</f>
        <v>0.0101307976247793</v>
      </c>
      <c r="W235" s="12">
        <f>IF(V234=0,"",W234/V234-1)</f>
        <v>0</v>
      </c>
      <c r="X235" s="40">
        <f>IF(W234=0,"",X234/W234-1)</f>
        <v>-0.0553889539848669</v>
      </c>
      <c r="Y235" s="40">
        <f>IF(X234=0,"",Y234/X234-1)</f>
        <v>-0.0100916659658565</v>
      </c>
      <c r="Z235" s="40">
        <f>IF(Y234=0,"",Z234/Y234-1)</f>
        <v>-0.0254014102455187</v>
      </c>
      <c r="AA235" s="40">
        <f>IF(Z234=0,"",AA234/Z234-1)</f>
        <v>0.0679480474198047</v>
      </c>
      <c r="AB235" s="12">
        <f>IF(AA234=0,"",AB234/AA234-1)</f>
        <v>0</v>
      </c>
      <c r="AC235" s="40">
        <f>IF(AB234=0,"",AC234/AB234-1)</f>
        <v>-0.157246051503897</v>
      </c>
      <c r="AD235" s="40">
        <f>IF(AC234=0,"",AD234/AC234-1)</f>
        <v>0.0197336561743342</v>
      </c>
      <c r="AE235" s="40">
        <f>IF(AD234=0,"",AE234/AD234-1)</f>
        <v>-0.0134393921405674</v>
      </c>
      <c r="AF235" s="41">
        <f>IF(AE234=0,"",AF234/AE234-1)</f>
        <v>0.252858071193049</v>
      </c>
      <c r="AG235" s="12">
        <f>IF(AF234=0,"",AG234/AF234-1)</f>
        <v>0</v>
      </c>
      <c r="AH235" s="41">
        <f>IF(AG234=0,"",AH234/AG234-1)</f>
        <v>0.0670636826433579</v>
      </c>
      <c r="AI235" s="41">
        <f>IF(AH234=0,"",AI234/AH234-1)</f>
        <v>-0.00838944298419331</v>
      </c>
      <c r="AJ235" s="41">
        <f>IF(AI234=0,"",AJ234/AI234-1)</f>
        <v>0</v>
      </c>
      <c r="AK235" s="41">
        <f>IF(AJ234=0,"",AK234/AJ234-1)</f>
        <v>0</v>
      </c>
      <c r="AL235" s="12">
        <f>IF(AK234=0,"",AL234/AK234-1)</f>
        <v>0</v>
      </c>
      <c r="AM235" s="41">
        <f>IF(AL234=0,"",AM234/AL234-1)</f>
        <v>0</v>
      </c>
      <c r="AN235" s="41">
        <f>IF(AM234=0,"",AN234/AM234-1)</f>
        <v>0</v>
      </c>
      <c r="AO235" s="41">
        <f>IF(AN234=0,"",AO234/AN234-1)</f>
        <v>0</v>
      </c>
      <c r="AP235" s="41">
        <f>IF(AO234=0,"",AP234/AO234-1)</f>
        <v>0</v>
      </c>
      <c r="AQ235" s="12">
        <f>IF(AP234=0,"",AQ234/AP234-1)</f>
        <v>0</v>
      </c>
      <c r="AR235" s="41">
        <f>IF(AQ234=0,"",AR234/AQ234-1)</f>
        <v>0</v>
      </c>
      <c r="AS235" s="41">
        <f>IF(AR234=0,"",AS234/AR234-1)</f>
        <v>0</v>
      </c>
      <c r="AT235" s="41">
        <f>IF(AS234=0,"",AT234/AS234-1)</f>
        <v>0</v>
      </c>
      <c r="AU235" s="41">
        <f>IF(AT234=0,"",AU234/AT234-1)</f>
        <v>0</v>
      </c>
      <c r="AV235" s="12">
        <f>IF(AU234=0,"",AV234/AU234-1)</f>
        <v>0</v>
      </c>
      <c r="AW235" s="41">
        <f>IF(AV234=0,"",AW234/AV234-1)</f>
        <v>0</v>
      </c>
      <c r="AX235" s="41">
        <f>IF(AW234=0,"",AX234/AW234-1)</f>
        <v>0</v>
      </c>
      <c r="AY235" s="41">
        <f>IF(AX234=0,"",AY234/AX234-1)</f>
        <v>0</v>
      </c>
      <c r="AZ235" s="41">
        <f>IF(AY234=0,"",AZ234/AY234-1)</f>
        <v>0</v>
      </c>
      <c r="BA235" s="12">
        <f>IF(AZ234=0,"",BA234/AZ234-1)</f>
        <v>0</v>
      </c>
      <c r="BB235" s="41">
        <f>IF(BA234=0,"",BB234/BA234-1)</f>
        <v>0</v>
      </c>
      <c r="BC235" s="41">
        <f>IF(BB234=0,"",BC234/BB234-1)</f>
        <v>0</v>
      </c>
      <c r="BD235" s="41">
        <f>IF(BC234=0,"",BD234/BC234-1)</f>
        <v>0</v>
      </c>
      <c r="BE235" s="41">
        <f>IF(BD234=0,"",BE234/BD234-1)</f>
        <v>0</v>
      </c>
      <c r="BF235" s="12">
        <f>IF(BE234=0,"",BF234/BE234-1)</f>
        <v>0</v>
      </c>
      <c r="BG235" s="41" t="n"/>
      <c r="BH235" s="41" t="n"/>
      <c r="BI235" s="41" t="n"/>
      <c r="BJ235" s="41" t="n"/>
      <c r="BK235" s="12" t="n"/>
      <c r="BL235" s="41" t="n"/>
      <c r="BM235" s="41" t="n"/>
      <c r="BN235" s="41" t="n"/>
      <c r="BO235" s="41" t="n"/>
      <c r="BP235" s="12" t="n"/>
      <c r="BQ235" s="41" t="n"/>
      <c r="BR235" s="41" t="n"/>
      <c r="BS235" s="41" t="n"/>
      <c r="BT235" s="41" t="n"/>
      <c r="BU235" s="12" t="n"/>
      <c r="BV235" s="41" t="n"/>
      <c r="BW235" s="41" t="n"/>
      <c r="BX235" s="41" t="n"/>
      <c r="BY235" s="41" t="n"/>
      <c r="BZ235" s="12" t="n"/>
      <c r="CA235" s="41" t="n"/>
      <c r="CB235" s="41" t="n"/>
      <c r="CC235" s="41" t="n"/>
      <c r="CD235" s="41" t="n"/>
      <c r="CE235" s="12" t="n"/>
      <c r="CF235" s="41" t="n"/>
      <c r="CG235" s="41" t="n"/>
      <c r="CH235" s="41" t="n"/>
      <c r="CI235" s="41" t="n"/>
      <c r="CJ235" s="12" t="n"/>
      <c r="CK235" s="41" t="n"/>
      <c r="CL235" s="41" t="n"/>
      <c r="CM235" s="41" t="n"/>
      <c r="CN235" s="41" t="n"/>
      <c r="CO235" s="12" t="n"/>
      <c r="CP235" s="41" t="n"/>
      <c r="CQ235" s="41" t="n"/>
      <c r="CR235" s="41" t="n"/>
      <c r="CS235" s="41" t="n"/>
      <c r="CT235" s="12" t="n"/>
      <c r="CU235" s="41" t="n"/>
      <c r="CV235" s="41" t="n"/>
      <c r="CW235" s="41" t="n"/>
      <c r="CX235" s="41" t="n"/>
      <c r="CY235" s="12" t="n"/>
    </row>
    <row r="236" hidden="1" outlineLevel="1" ht="12" customHeight="1">
      <c r="C236" s="59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  <c r="AJ236" s="12" t="n"/>
      <c r="AK236" s="12" t="n"/>
      <c r="AL236" s="12" t="n"/>
      <c r="AM236" s="12" t="n"/>
      <c r="AN236" s="12" t="n"/>
      <c r="AO236" s="12" t="n"/>
      <c r="AP236" s="12" t="n"/>
      <c r="AQ236" s="12" t="n"/>
      <c r="AR236" s="12" t="n"/>
      <c r="AS236" s="12" t="n"/>
      <c r="AT236" s="12" t="n"/>
      <c r="AU236" s="12" t="n"/>
      <c r="AV236" s="12" t="n"/>
      <c r="AW236" s="12" t="n"/>
      <c r="AX236" s="12" t="n"/>
      <c r="AY236" s="12" t="n"/>
      <c r="AZ236" s="12" t="n"/>
      <c r="BA236" s="12" t="n"/>
      <c r="BB236" s="12" t="n"/>
      <c r="BC236" s="12" t="n"/>
      <c r="BD236" s="12" t="n"/>
      <c r="BE236" s="12" t="n"/>
      <c r="BF236" s="12" t="n"/>
      <c r="BG236" s="12" t="n"/>
      <c r="BH236" s="12" t="n"/>
      <c r="BI236" s="12" t="n"/>
      <c r="BJ236" s="12" t="n"/>
      <c r="BK236" s="12" t="n"/>
      <c r="BL236" s="12" t="n"/>
      <c r="BM236" s="12" t="n"/>
      <c r="BN236" s="12" t="n"/>
      <c r="BO236" s="12" t="n"/>
      <c r="BP236" s="12" t="n"/>
      <c r="BQ236" s="12" t="n"/>
      <c r="BR236" s="12" t="n"/>
      <c r="BS236" s="12" t="n"/>
      <c r="BT236" s="12" t="n"/>
      <c r="BU236" s="12" t="n"/>
      <c r="BV236" s="12" t="n"/>
      <c r="BW236" s="12" t="n"/>
      <c r="BX236" s="12" t="n"/>
      <c r="BY236" s="12" t="n"/>
      <c r="BZ236" s="12" t="n"/>
      <c r="CA236" s="12" t="n"/>
      <c r="CB236" s="12" t="n"/>
      <c r="CC236" s="12" t="n"/>
      <c r="CD236" s="12" t="n"/>
      <c r="CE236" s="12" t="n"/>
      <c r="CF236" s="12" t="n"/>
      <c r="CG236" s="12" t="n"/>
      <c r="CH236" s="12" t="n"/>
      <c r="CI236" s="12" t="n"/>
      <c r="CJ236" s="12" t="n"/>
      <c r="CK236" s="12" t="n"/>
      <c r="CL236" s="12" t="n"/>
      <c r="CM236" s="12" t="n"/>
      <c r="CN236" s="12" t="n"/>
      <c r="CO236" s="12" t="n"/>
      <c r="CP236" s="12" t="n"/>
      <c r="CQ236" s="12" t="n"/>
      <c r="CR236" s="12" t="n"/>
      <c r="CS236" s="12" t="n"/>
      <c r="CT236" s="12" t="n"/>
      <c r="CU236" s="12" t="n"/>
      <c r="CV236" s="12" t="n"/>
      <c r="CW236" s="12" t="n"/>
      <c r="CX236" s="12" t="n"/>
      <c r="CY236" s="12" t="n"/>
    </row>
    <row r="237" hidden="1" outlineLevel="1">
      <c r="C237" s="57" t="inlineStr">
        <is>
          <t>Contas a pagar pela aquisição de controladas</t>
        </is>
      </c>
      <c r="D237" s="11" t="n"/>
      <c r="E237" s="11" t="n"/>
      <c r="F237" s="11" t="n"/>
      <c r="G237" s="11" t="n"/>
      <c r="H237" s="12" t="n"/>
      <c r="I237" s="11" t="n"/>
      <c r="J237" s="11" t="n"/>
      <c r="K237" s="11" t="n"/>
      <c r="L237" s="11" t="n"/>
      <c r="M237" s="12" t="n"/>
      <c r="N237" s="11" t="n"/>
      <c r="O237" s="11" t="n"/>
      <c r="P237" s="11" t="n"/>
      <c r="Q237" s="11" t="n"/>
      <c r="R237" s="12" t="n"/>
      <c r="S237" s="11" t="n"/>
      <c r="T237" s="11" t="n"/>
      <c r="U237" s="11" t="n"/>
      <c r="V237" s="11" t="n"/>
      <c r="W237" s="12" t="n"/>
      <c r="X237" s="11" t="n"/>
      <c r="Y237" s="11" t="n"/>
      <c r="Z237" s="11" t="n"/>
      <c r="AA237" s="11" t="n"/>
      <c r="AB237" s="12" t="n"/>
      <c r="AC237" s="11" t="n"/>
      <c r="AD237" s="11" t="n"/>
      <c r="AE237" s="11" t="n"/>
      <c r="AF237" s="11" t="n"/>
      <c r="AG237" s="12" t="n"/>
      <c r="AH237" s="12" t="n"/>
      <c r="AI237" s="12" t="n"/>
      <c r="AJ237" s="12" t="n"/>
      <c r="AK237" s="12" t="n"/>
      <c r="AL237" s="12" t="n"/>
      <c r="AM237" s="12" t="n"/>
      <c r="AN237" s="12" t="n"/>
      <c r="AO237" s="12" t="n"/>
      <c r="AP237" s="12" t="n"/>
      <c r="AQ237" s="12" t="n"/>
      <c r="AR237" s="12" t="n"/>
      <c r="AS237" s="12" t="n"/>
      <c r="AT237" s="12" t="n"/>
      <c r="AU237" s="12" t="n"/>
      <c r="AV237" s="12" t="n"/>
      <c r="AW237" s="12" t="n"/>
      <c r="AX237" s="12" t="n"/>
      <c r="AY237" s="12" t="n"/>
      <c r="AZ237" s="12" t="n"/>
      <c r="BA237" s="12" t="n"/>
      <c r="BB237" s="12" t="n"/>
      <c r="BC237" s="12" t="n"/>
      <c r="BD237" s="12" t="n"/>
      <c r="BE237" s="12" t="n"/>
      <c r="BF237" s="12" t="n"/>
      <c r="BG237" s="12" t="n"/>
      <c r="BH237" s="12" t="n"/>
      <c r="BI237" s="12" t="n"/>
      <c r="BJ237" s="12" t="n"/>
      <c r="BK237" s="12" t="n"/>
      <c r="BL237" s="12" t="n"/>
      <c r="BM237" s="12" t="n"/>
      <c r="BN237" s="12" t="n"/>
      <c r="BO237" s="12" t="n"/>
      <c r="BP237" s="12" t="n"/>
      <c r="BQ237" s="12" t="n"/>
      <c r="BR237" s="12" t="n"/>
      <c r="BS237" s="12" t="n"/>
      <c r="BT237" s="12" t="n"/>
      <c r="BU237" s="12" t="n"/>
      <c r="BV237" s="12" t="n"/>
      <c r="BW237" s="12" t="n"/>
      <c r="BX237" s="12" t="n"/>
      <c r="BY237" s="12" t="n"/>
      <c r="BZ237" s="12" t="n"/>
      <c r="CA237" s="12" t="n"/>
      <c r="CB237" s="12" t="n"/>
      <c r="CC237" s="12" t="n"/>
      <c r="CD237" s="12" t="n"/>
      <c r="CE237" s="12" t="n"/>
      <c r="CF237" s="12" t="n"/>
      <c r="CG237" s="12" t="n"/>
      <c r="CH237" s="12" t="n"/>
      <c r="CI237" s="12" t="n"/>
      <c r="CJ237" s="12" t="n"/>
      <c r="CK237" s="12" t="n"/>
      <c r="CL237" s="12" t="n"/>
      <c r="CM237" s="12" t="n"/>
      <c r="CN237" s="12" t="n"/>
      <c r="CO237" s="12" t="n"/>
      <c r="CP237" s="12" t="n"/>
      <c r="CQ237" s="12" t="n"/>
      <c r="CR237" s="12" t="n"/>
      <c r="CS237" s="12" t="n"/>
      <c r="CT237" s="12" t="n"/>
      <c r="CU237" s="12" t="n"/>
      <c r="CV237" s="12" t="n"/>
      <c r="CW237" s="12" t="n"/>
      <c r="CX237" s="12" t="n"/>
      <c r="CY237" s="12" t="n"/>
    </row>
    <row r="238" hidden="1" outlineLevel="1">
      <c r="C238" s="57" t="inlineStr">
        <is>
          <t xml:space="preserve">Outras Obrigações </t>
        </is>
      </c>
      <c r="D238" s="11" t="n"/>
      <c r="E238" s="11" t="n"/>
      <c r="F238" s="11" t="n"/>
      <c r="G238" s="11" t="n"/>
      <c r="H238" s="12" t="n"/>
      <c r="I238" s="11" t="n"/>
      <c r="J238" s="11" t="n"/>
      <c r="K238" s="11" t="n"/>
      <c r="L238" s="11" t="n"/>
      <c r="M238" s="12" t="n"/>
      <c r="N238" s="11" t="n"/>
      <c r="O238" s="11" t="n"/>
      <c r="P238" s="11" t="n"/>
      <c r="Q238" s="11" t="n"/>
      <c r="R238" s="12" t="n"/>
      <c r="S238" s="11" t="n"/>
      <c r="T238" s="11" t="n"/>
      <c r="U238" s="11" t="n"/>
      <c r="V238" s="11" t="n"/>
      <c r="W238" s="12" t="n"/>
      <c r="X238" s="11" t="n"/>
      <c r="Y238" s="11" t="n"/>
      <c r="Z238" s="11" t="n"/>
      <c r="AA238" s="11" t="n"/>
      <c r="AB238" s="12" t="n"/>
      <c r="AC238" s="11" t="n"/>
      <c r="AD238" s="11" t="n"/>
      <c r="AE238" s="11" t="n"/>
      <c r="AF238" s="11" t="n"/>
      <c r="AG238" s="12" t="n"/>
      <c r="AH238" s="12" t="n"/>
      <c r="AI238" s="12" t="n"/>
      <c r="AJ238" s="12" t="n"/>
      <c r="AK238" s="12" t="n"/>
      <c r="AL238" s="12" t="n"/>
      <c r="AM238" s="12" t="n"/>
      <c r="AN238" s="12" t="n"/>
      <c r="AO238" s="12" t="n"/>
      <c r="AP238" s="12" t="n"/>
      <c r="AQ238" s="12" t="n"/>
      <c r="AR238" s="12" t="n"/>
      <c r="AS238" s="12" t="n"/>
      <c r="AT238" s="12" t="n"/>
      <c r="AU238" s="12" t="n"/>
      <c r="AV238" s="12" t="n"/>
      <c r="AW238" s="12" t="n"/>
      <c r="AX238" s="12" t="n"/>
      <c r="AY238" s="12" t="n"/>
      <c r="AZ238" s="12" t="n"/>
      <c r="BA238" s="12" t="n"/>
      <c r="BB238" s="12" t="n"/>
      <c r="BC238" s="12" t="n"/>
      <c r="BD238" s="12" t="n"/>
      <c r="BE238" s="12" t="n"/>
      <c r="BF238" s="12" t="n"/>
      <c r="BG238" s="12" t="n"/>
      <c r="BH238" s="12" t="n"/>
      <c r="BI238" s="12" t="n"/>
      <c r="BJ238" s="12" t="n"/>
      <c r="BK238" s="12" t="n"/>
      <c r="BL238" s="12" t="n"/>
      <c r="BM238" s="12" t="n"/>
      <c r="BN238" s="12" t="n"/>
      <c r="BO238" s="12" t="n"/>
      <c r="BP238" s="12" t="n"/>
      <c r="BQ238" s="12" t="n"/>
      <c r="BR238" s="12" t="n"/>
      <c r="BS238" s="12" t="n"/>
      <c r="BT238" s="12" t="n"/>
      <c r="BU238" s="12" t="n"/>
      <c r="BV238" s="12" t="n"/>
      <c r="BW238" s="12" t="n"/>
      <c r="BX238" s="12" t="n"/>
      <c r="BY238" s="12" t="n"/>
      <c r="BZ238" s="12" t="n"/>
      <c r="CA238" s="12" t="n"/>
      <c r="CB238" s="12" t="n"/>
      <c r="CC238" s="12" t="n"/>
      <c r="CD238" s="12" t="n"/>
      <c r="CE238" s="12" t="n"/>
      <c r="CF238" s="12" t="n"/>
      <c r="CG238" s="12" t="n"/>
      <c r="CH238" s="12" t="n"/>
      <c r="CI238" s="12" t="n"/>
      <c r="CJ238" s="12" t="n"/>
      <c r="CK238" s="12" t="n"/>
      <c r="CL238" s="12" t="n"/>
      <c r="CM238" s="12" t="n"/>
      <c r="CN238" s="12" t="n"/>
      <c r="CO238" s="12" t="n"/>
      <c r="CP238" s="12" t="n"/>
      <c r="CQ238" s="12" t="n"/>
      <c r="CR238" s="12" t="n"/>
      <c r="CS238" s="12" t="n"/>
      <c r="CT238" s="12" t="n"/>
      <c r="CU238" s="12" t="n"/>
      <c r="CV238" s="12" t="n"/>
      <c r="CW238" s="12" t="n"/>
      <c r="CX238" s="12" t="n"/>
      <c r="CY238" s="12" t="n"/>
    </row>
    <row r="239" hidden="1" outlineLevel="1">
      <c r="C239" s="57" t="inlineStr">
        <is>
          <t xml:space="preserve">Provisão de Risco Cíveis, Trabalhistas e Tributários </t>
        </is>
      </c>
      <c r="D239" s="11" t="n"/>
      <c r="E239" s="11" t="n"/>
      <c r="F239" s="11" t="n"/>
      <c r="G239" s="11" t="n"/>
      <c r="H239" s="12" t="n"/>
      <c r="I239" s="11" t="n"/>
      <c r="J239" s="11" t="n"/>
      <c r="K239" s="11" t="n"/>
      <c r="L239" s="11" t="n"/>
      <c r="M239" s="12" t="n"/>
      <c r="N239" s="11" t="n"/>
      <c r="O239" s="11" t="n"/>
      <c r="P239" s="11" t="n"/>
      <c r="Q239" s="11" t="n"/>
      <c r="R239" s="12" t="n"/>
      <c r="S239" s="11" t="n"/>
      <c r="T239" s="11" t="n"/>
      <c r="U239" s="11" t="n"/>
      <c r="V239" s="11" t="n"/>
      <c r="W239" s="12" t="n"/>
      <c r="X239" s="11" t="n"/>
      <c r="Y239" s="11" t="n"/>
      <c r="Z239" s="11" t="n"/>
      <c r="AA239" s="11" t="n"/>
      <c r="AB239" s="12" t="n"/>
      <c r="AC239" s="11" t="n"/>
      <c r="AD239" s="11" t="n"/>
      <c r="AE239" s="11" t="n"/>
      <c r="AF239" s="11" t="n"/>
      <c r="AG239" s="12" t="n"/>
      <c r="AH239" s="12" t="n"/>
      <c r="AI239" s="12" t="n"/>
      <c r="AJ239" s="12" t="n"/>
      <c r="AK239" s="12" t="n"/>
      <c r="AL239" s="12" t="n"/>
      <c r="AM239" s="12" t="n"/>
      <c r="AN239" s="12" t="n"/>
      <c r="AO239" s="12" t="n"/>
      <c r="AP239" s="12" t="n"/>
      <c r="AQ239" s="12" t="n"/>
      <c r="AR239" s="12" t="n"/>
      <c r="AS239" s="12" t="n"/>
      <c r="AT239" s="12" t="n"/>
      <c r="AU239" s="12" t="n"/>
      <c r="AV239" s="12" t="n"/>
      <c r="AW239" s="12" t="n"/>
      <c r="AX239" s="12" t="n"/>
      <c r="AY239" s="12" t="n"/>
      <c r="AZ239" s="12" t="n"/>
      <c r="BA239" s="12" t="n"/>
      <c r="BB239" s="12" t="n"/>
      <c r="BC239" s="12" t="n"/>
      <c r="BD239" s="12" t="n"/>
      <c r="BE239" s="12" t="n"/>
      <c r="BF239" s="12" t="n"/>
      <c r="BG239" s="12" t="n"/>
      <c r="BH239" s="12" t="n"/>
      <c r="BI239" s="12" t="n"/>
      <c r="BJ239" s="12" t="n"/>
      <c r="BK239" s="12" t="n"/>
      <c r="BL239" s="12" t="n"/>
      <c r="BM239" s="12" t="n"/>
      <c r="BN239" s="12" t="n"/>
      <c r="BO239" s="12" t="n"/>
      <c r="BP239" s="12" t="n"/>
      <c r="BQ239" s="12" t="n"/>
      <c r="BR239" s="12" t="n"/>
      <c r="BS239" s="12" t="n"/>
      <c r="BT239" s="12" t="n"/>
      <c r="BU239" s="12" t="n"/>
      <c r="BV239" s="12" t="n"/>
      <c r="BW239" s="12" t="n"/>
      <c r="BX239" s="12" t="n"/>
      <c r="BY239" s="12" t="n"/>
      <c r="BZ239" s="12" t="n"/>
      <c r="CA239" s="12" t="n"/>
      <c r="CB239" s="12" t="n"/>
      <c r="CC239" s="12" t="n"/>
      <c r="CD239" s="12" t="n"/>
      <c r="CE239" s="12" t="n"/>
      <c r="CF239" s="12" t="n"/>
      <c r="CG239" s="12" t="n"/>
      <c r="CH239" s="12" t="n"/>
      <c r="CI239" s="12" t="n"/>
      <c r="CJ239" s="12" t="n"/>
      <c r="CK239" s="12" t="n"/>
      <c r="CL239" s="12" t="n"/>
      <c r="CM239" s="12" t="n"/>
      <c r="CN239" s="12" t="n"/>
      <c r="CO239" s="12" t="n"/>
      <c r="CP239" s="12" t="n"/>
      <c r="CQ239" s="12" t="n"/>
      <c r="CR239" s="12" t="n"/>
      <c r="CS239" s="12" t="n"/>
      <c r="CT239" s="12" t="n"/>
      <c r="CU239" s="12" t="n"/>
      <c r="CV239" s="12" t="n"/>
      <c r="CW239" s="12" t="n"/>
      <c r="CX239" s="12" t="n"/>
      <c r="CY239" s="12" t="n"/>
    </row>
    <row r="240" hidden="1" outlineLevel="1">
      <c r="C240" s="57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  <c r="AJ240" s="12" t="n"/>
      <c r="AK240" s="12" t="n"/>
      <c r="AL240" s="12" t="n"/>
      <c r="AM240" s="12" t="n"/>
      <c r="AN240" s="12" t="n"/>
      <c r="AO240" s="12" t="n"/>
      <c r="AP240" s="12" t="n"/>
      <c r="AQ240" s="12" t="n"/>
      <c r="AR240" s="12" t="n"/>
      <c r="AS240" s="12" t="n"/>
      <c r="AT240" s="12" t="n"/>
      <c r="AU240" s="12" t="n"/>
      <c r="AV240" s="12" t="n"/>
      <c r="AW240" s="12" t="n"/>
      <c r="AX240" s="12" t="n"/>
      <c r="AY240" s="12" t="n"/>
      <c r="AZ240" s="12" t="n"/>
      <c r="BA240" s="12" t="n"/>
      <c r="BB240" s="12" t="n"/>
      <c r="BC240" s="12" t="n"/>
      <c r="BD240" s="12" t="n"/>
      <c r="BE240" s="12" t="n"/>
      <c r="BF240" s="12" t="n"/>
      <c r="BG240" s="12" t="n"/>
      <c r="BH240" s="12" t="n"/>
      <c r="BI240" s="12" t="n"/>
      <c r="BJ240" s="12" t="n"/>
      <c r="BK240" s="12" t="n"/>
      <c r="BL240" s="12" t="n"/>
      <c r="BM240" s="12" t="n"/>
      <c r="BN240" s="12" t="n"/>
      <c r="BO240" s="12" t="n"/>
      <c r="BP240" s="12" t="n"/>
      <c r="BQ240" s="12" t="n"/>
      <c r="BR240" s="12" t="n"/>
      <c r="BS240" s="12" t="n"/>
      <c r="BT240" s="12" t="n"/>
      <c r="BU240" s="12" t="n"/>
      <c r="BV240" s="12" t="n"/>
      <c r="BW240" s="12" t="n"/>
      <c r="BX240" s="12" t="n"/>
      <c r="BY240" s="12" t="n"/>
      <c r="BZ240" s="12" t="n"/>
      <c r="CA240" s="12" t="n"/>
      <c r="CB240" s="12" t="n"/>
      <c r="CC240" s="12" t="n"/>
      <c r="CD240" s="12" t="n"/>
      <c r="CE240" s="12" t="n"/>
      <c r="CF240" s="12" t="n"/>
      <c r="CG240" s="12" t="n"/>
      <c r="CH240" s="12" t="n"/>
      <c r="CI240" s="12" t="n"/>
      <c r="CJ240" s="12" t="n"/>
      <c r="CK240" s="12" t="n"/>
      <c r="CL240" s="12" t="n"/>
      <c r="CM240" s="12" t="n"/>
      <c r="CN240" s="12" t="n"/>
      <c r="CO240" s="12" t="n"/>
      <c r="CP240" s="12" t="n"/>
      <c r="CQ240" s="12" t="n"/>
      <c r="CR240" s="12" t="n"/>
      <c r="CS240" s="12" t="n"/>
      <c r="CT240" s="12" t="n"/>
      <c r="CU240" s="12" t="n"/>
      <c r="CV240" s="12" t="n"/>
      <c r="CW240" s="12" t="n"/>
      <c r="CX240" s="12" t="n"/>
      <c r="CY240" s="12" t="n"/>
    </row>
    <row r="241" collapsed="1" customFormat="1" s="32">
      <c r="A241" s="30" t="n"/>
      <c r="B241" s="30" t="n"/>
      <c r="C241" s="65" t="inlineStr">
        <is>
          <t>Total Liabilities</t>
        </is>
      </c>
      <c r="D241" s="35" t="n"/>
      <c r="E241" s="35" t="n"/>
      <c r="F241" s="35" t="n"/>
      <c r="G241" s="35" t="n"/>
      <c r="H241" s="35" t="n"/>
      <c r="I241" s="35">
        <f>SUM(I192+I196+I198+I199+I206+I207+I208+I211+I229+I232+I233+I234)</f>
        <v>267980</v>
      </c>
      <c r="J241" s="35">
        <f>SUM(J192+J196+J198+J199+J206+J207+J208+J211+J229+J232+J233+J234)</f>
        <v>265560</v>
      </c>
      <c r="K241" s="35">
        <f>SUM(K192+K196+K198+K199+K206+K207+K208+K211+K229+K232+K233+K234)</f>
        <v>287912</v>
      </c>
      <c r="L241" s="35">
        <f>SUM(L192+L196+L198+L199+L206+L207+L208+L211+L229+L232+L233+L234)</f>
        <v>309259</v>
      </c>
      <c r="M241" s="35">
        <f>SUM(M192,M196,M198,M199,M206,M207,M211,M208,M229,M232,M233,M234)</f>
        <v>309259</v>
      </c>
      <c r="N241" s="35">
        <f>SUM(N192+N196+N198+N199+N206+N207+N208+N211+N229+N232+N233+N234)</f>
        <v>283263</v>
      </c>
      <c r="O241" s="35">
        <f>SUM(O192+O196+O198+O199+O206+O207+O208+O211+O229+O232+O233+O234)</f>
        <v>278202</v>
      </c>
      <c r="P241" s="35">
        <f>SUM(P192+P196+P198+P199+P206+P207+P208+P211+P229+P232+P233+P234)</f>
        <v>302083</v>
      </c>
      <c r="Q241" s="35">
        <f>SUM(Q192+Q196+Q198+Q199+Q206+Q207+Q208+Q211+Q229+Q232+Q233+Q234)</f>
        <v>290020</v>
      </c>
      <c r="R241" s="35">
        <f>SUM(R192,R196,R198,R199,R206,R207,R211,R208,R229,R232,R233,R234)</f>
        <v>290020</v>
      </c>
      <c r="S241" s="35">
        <f>SUM(S192+S196+S198+S199+S206+S207+S208+S211+S229+S232+S233+S234)</f>
        <v>270002</v>
      </c>
      <c r="T241" s="35">
        <f>SUM(T192+T196+T198+T199+T206+T207+T208+T211+T229+T232+T233+T234)</f>
        <v>274764</v>
      </c>
      <c r="U241" s="35">
        <f>SUM(U192+U196+U198+U199+U206+U207+U208+U211+U229+U232+U233+U234)</f>
        <v>290437</v>
      </c>
      <c r="V241" s="35">
        <f>SUM(V192+V196+V198+V199+V206+V207+V208+V211+V229+V232+V233+V234)</f>
        <v>279414</v>
      </c>
      <c r="W241" s="35">
        <f>SUM(W192,W196,W198,W199,W206,W207,W211,W208,W229,W232,W233,W234)</f>
        <v>279414</v>
      </c>
      <c r="X241" s="35">
        <f>SUM(X192+X196+X198+X199+X206+X207+X208+X211+X229+X232+X233+X234)</f>
        <v>263217</v>
      </c>
      <c r="Y241" s="35">
        <f>SUM(Y192+Y196+Y198+Y199+Y206+Y207+Y208+Y211+Y229+Y232+Y233+Y234)</f>
        <v>264904</v>
      </c>
      <c r="Z241" s="35">
        <f>SUM(Z192+Z196+Z198+Z199+Z206+Z207+Z208+Z211+Z229+Z232+Z233+Z234)</f>
        <v>308030</v>
      </c>
      <c r="AA241" s="35">
        <f>SUM(AA192+AA196+AA198+AA199+AA206+AA207+AA208+AA211+AA229+AA232+AA233+AA234)</f>
        <v>277327</v>
      </c>
      <c r="AB241" s="35">
        <f>SUM(AB192,AB196,AB198,AB199,AB206,AB207,AB211,AB208,AB229,AB232,AB233,AB234)</f>
        <v>277327</v>
      </c>
      <c r="AC241" s="35">
        <f>SUM(AC192+AC196+AC198+AC199+AC206+AC207+AC208+AC211+AC229+AC232+AC233+AC234)</f>
        <v>264437</v>
      </c>
      <c r="AD241" s="35">
        <f>SUM(AD192+AD196+AD198+AD199+AD206+AD207+AD208+AD211+AD229+AD232+AD233+AD234)</f>
        <v>265665</v>
      </c>
      <c r="AE241" s="35">
        <f>SUM(AE192+AE196+AE198+AE199+AE206+AE207+AE208+AE211+AE229+AE232+AE233+AE234)</f>
        <v>285508</v>
      </c>
      <c r="AF241" s="35">
        <f>SUM(AF192+AF196+AF198+AF199+AF206+AF207+AF208+AF211+AF229+AF232+AF233+AF234)</f>
        <v>291107</v>
      </c>
      <c r="AG241" s="35">
        <f>SUM(AG192,AG196,AG198,AG199,AG206,AG207,AG211,AG208,AG229,AG232,AG233,AG234)</f>
        <v>291107</v>
      </c>
      <c r="AH241" s="35">
        <f>SUM(AH192+AH196+AH198+AH199+AH206+AH207+AH208+AH211+AH229+AH232+AH233+AH234)</f>
        <v>264591</v>
      </c>
      <c r="AI241" s="35">
        <f>SUM(AI192+AI196+AI198+AI199+AI206+AI207+AI208+AI211+AI229+AI232+AI233+AI234)</f>
        <v>275746</v>
      </c>
      <c r="AJ241" s="35">
        <f>SUM(AJ192+AJ196+AJ198+AJ199+AJ206+AJ207+AJ208+AJ211+AJ229+AJ232+AJ233+AJ234)</f>
        <v>275153.433556525</v>
      </c>
      <c r="AK241" s="35">
        <f>SUM(AK192+AK196+AK198+AK199+AK206+AK207+AK208+AK211+AK229+AK232+AK233+AK234)</f>
        <v>300915.83456319</v>
      </c>
      <c r="AL241" s="35">
        <f>SUM(AL192,AL196,AL198,AL199,AL206,AL207,AL211,AL208,AL229,AL232,AL233,AL234)</f>
        <v>300915.83456319</v>
      </c>
      <c r="AM241" s="35">
        <f>SUM(AM192+AM196+AM198+AM199+AM206+AM207+AM208+AM211+AM229+AM232+AM233+AM234)</f>
        <v>282134.523587714</v>
      </c>
      <c r="AN241" s="35">
        <f>SUM(AN192+AN196+AN198+AN199+AN206+AN207+AN208+AN211+AN229+AN232+AN233+AN234)</f>
        <v>280240.640241512</v>
      </c>
      <c r="AO241" s="35">
        <f>SUM(AO192+AO196+AO198+AO199+AO206+AO207+AO208+AO211+AO229+AO232+AO233+AO234)</f>
        <v>282745.025211066</v>
      </c>
      <c r="AP241" s="35">
        <f>SUM(AP192+AP196+AP198+AP199+AP206+AP207+AP208+AP211+AP229+AP232+AP233+AP234)</f>
        <v>311566.556264927</v>
      </c>
      <c r="AQ241" s="35">
        <f>SUM(AQ192,AQ196,AQ198,AQ199,AQ206,AQ207,AQ211,AQ208,AQ229,AQ232,AQ233,AQ234)</f>
        <v>311566.556264927</v>
      </c>
      <c r="AR241" s="35">
        <f>SUM(AR192+AR196+AR198+AR199+AR206+AR207+AR208+AR211+AR229+AR232+AR233+AR234)</f>
        <v>289332.603340267</v>
      </c>
      <c r="AS241" s="35">
        <f>SUM(AS192+AS196+AS198+AS199+AS206+AS207+AS208+AS211+AS229+AS232+AS233+AS234)</f>
        <v>288091.208867121</v>
      </c>
      <c r="AT241" s="35">
        <f>SUM(AT192+AT196+AT198+AT199+AT206+AT207+AT208+AT211+AT229+AT232+AT233+AT234)</f>
        <v>290880.452552247</v>
      </c>
      <c r="AU241" s="35">
        <f>SUM(AU192+AU196+AU198+AU199+AU206+AU207+AU208+AU211+AU229+AU232+AU233+AU234)</f>
        <v>322980.259277232</v>
      </c>
      <c r="AV241" s="35">
        <f>SUM(AV192,AV196,AV198,AV199,AV206,AV207,AV211,AV208,AV229,AV232,AV233,AV234)</f>
        <v>322980.259277232</v>
      </c>
      <c r="AW241" s="35">
        <f>SUM(AW192+AW196+AW198+AW199+AW206+AW207+AW208+AW211+AW229+AW232+AW233+AW234)</f>
        <v>298789.056357751</v>
      </c>
      <c r="AX241" s="35">
        <f>SUM(AX192+AX196+AX198+AX199+AX206+AX207+AX208+AX211+AX229+AX232+AX233+AX234)</f>
        <v>296450.381374409</v>
      </c>
      <c r="AY241" s="35">
        <f>SUM(AY192+AY196+AY198+AY199+AY206+AY207+AY208+AY211+AY229+AY232+AY233+AY234)</f>
        <v>299542.93852092</v>
      </c>
      <c r="AZ241" s="35">
        <f>SUM(AZ192+AZ196+AZ198+AZ199+AZ206+AZ207+AZ208+AZ211+AZ229+AZ232+AZ233+AZ234)</f>
        <v>335133.406007976</v>
      </c>
      <c r="BA241" s="35">
        <f>SUM(BA192,BA196,BA198,BA199,BA206,BA207,BA211,BA208,BA229,BA232,BA233,BA234)</f>
        <v>335133.406007976</v>
      </c>
      <c r="BB241" s="35">
        <f>SUM(BB192+BB196+BB198+BB199+BB206+BB207+BB208+BB211+BB229+BB232+BB233+BB234)</f>
        <v>307873.715104001</v>
      </c>
      <c r="BC241" s="35">
        <f>SUM(BC192+BC196+BC198+BC199+BC206+BC207+BC208+BC211+BC229+BC232+BC233+BC234)</f>
        <v>305292.41666839</v>
      </c>
      <c r="BD241" s="35">
        <f>SUM(BD192+BD196+BD198+BD199+BD206+BD207+BD208+BD211+BD229+BD232+BD233+BD234)</f>
        <v>308705.808003735</v>
      </c>
      <c r="BE241" s="35">
        <f>SUM(BE192+BE196+BE198+BE199+BE206+BE207+BE208+BE211+BE229+BE232+BE233+BE234)</f>
        <v>347988.572261871</v>
      </c>
      <c r="BF241" s="35">
        <f>SUM(BF192,BF196,BF198,BF199,BF206,BF207,BF211,BF208,BF229,BF232,BF233,BF234)</f>
        <v>347988.572261871</v>
      </c>
      <c r="BG241" s="35" t="n"/>
      <c r="BH241" s="35" t="n"/>
      <c r="BI241" s="35" t="n"/>
      <c r="BJ241" s="35" t="n"/>
      <c r="BK241" s="35" t="n"/>
      <c r="BL241" s="35" t="n"/>
      <c r="BM241" s="35" t="n"/>
      <c r="BN241" s="35" t="n"/>
      <c r="BO241" s="35" t="n"/>
      <c r="BP241" s="35" t="n"/>
      <c r="BQ241" s="35" t="n"/>
      <c r="BR241" s="35" t="n"/>
      <c r="BS241" s="35" t="n"/>
      <c r="BT241" s="35" t="n"/>
      <c r="BU241" s="35" t="n"/>
      <c r="BV241" s="35" t="n"/>
      <c r="BW241" s="35" t="n"/>
      <c r="BX241" s="35" t="n"/>
      <c r="BY241" s="35" t="n"/>
      <c r="BZ241" s="35" t="n"/>
      <c r="CA241" s="35" t="n"/>
      <c r="CB241" s="35" t="n"/>
      <c r="CC241" s="35" t="n"/>
      <c r="CD241" s="35" t="n"/>
      <c r="CE241" s="35" t="n"/>
      <c r="CF241" s="35" t="n"/>
      <c r="CG241" s="35" t="n"/>
      <c r="CH241" s="35" t="n"/>
      <c r="CI241" s="35" t="n"/>
      <c r="CJ241" s="35" t="n"/>
      <c r="CK241" s="35" t="n"/>
      <c r="CL241" s="35" t="n"/>
      <c r="CM241" s="35" t="n"/>
      <c r="CN241" s="35" t="n"/>
      <c r="CO241" s="35" t="n"/>
      <c r="CP241" s="35" t="n"/>
      <c r="CQ241" s="35" t="n"/>
      <c r="CR241" s="35" t="n"/>
      <c r="CS241" s="35" t="n"/>
      <c r="CT241" s="35" t="n"/>
      <c r="CU241" s="35" t="n"/>
      <c r="CV241" s="35" t="n"/>
      <c r="CW241" s="35" t="n"/>
      <c r="CX241" s="35" t="n"/>
      <c r="CY241" s="35" t="n"/>
    </row>
    <row r="242">
      <c r="C242" s="14" t="inlineStr">
        <is>
          <t>Minority interest</t>
        </is>
      </c>
      <c r="D242" s="46" t="n"/>
      <c r="E242" s="46" t="n"/>
      <c r="F242" s="46" t="n"/>
      <c r="G242" s="46" t="n"/>
      <c r="H242" s="12" t="n"/>
      <c r="I242" s="46">
        <f>'Inputs (2)'!D41</f>
        <v>0</v>
      </c>
      <c r="J242" s="46">
        <f>'Inputs (2)'!E41</f>
        <v>0</v>
      </c>
      <c r="K242" s="46">
        <f>'Inputs (2)'!F41</f>
        <v>0</v>
      </c>
      <c r="L242" s="46">
        <f>'Inputs (2)'!G41</f>
        <v>0</v>
      </c>
      <c r="M242" s="12">
        <f>'Inputs (2)'!H41</f>
        <v>0</v>
      </c>
      <c r="N242" s="46">
        <f>'Inputs (2)'!I41</f>
        <v>0</v>
      </c>
      <c r="O242" s="46">
        <f>'Inputs (2)'!J41</f>
        <v>0</v>
      </c>
      <c r="P242" s="46">
        <f>'Inputs (2)'!K41</f>
        <v>0</v>
      </c>
      <c r="Q242" s="46">
        <f>'Inputs (2)'!L41</f>
        <v>0</v>
      </c>
      <c r="R242" s="12">
        <f>'Inputs (2)'!M41</f>
        <v>0</v>
      </c>
      <c r="S242" s="46">
        <f>'Inputs (2)'!N41</f>
        <v>0</v>
      </c>
      <c r="T242" s="46">
        <f>'Inputs (2)'!O41</f>
        <v>0</v>
      </c>
      <c r="U242" s="46">
        <f>'Inputs (2)'!P41</f>
        <v>0</v>
      </c>
      <c r="V242" s="46">
        <f>'Inputs (2)'!Q41</f>
        <v>0</v>
      </c>
      <c r="W242" s="12">
        <f>'Inputs (2)'!R41</f>
        <v>0</v>
      </c>
      <c r="X242" s="46">
        <f>'Inputs (2)'!S41</f>
        <v>0</v>
      </c>
      <c r="Y242" s="46">
        <f>'Inputs (2)'!T41</f>
        <v>0</v>
      </c>
      <c r="Z242" s="46">
        <f>'Inputs (2)'!U41</f>
        <v>0</v>
      </c>
      <c r="AA242" s="46">
        <f>'Inputs (2)'!V41</f>
        <v>0</v>
      </c>
      <c r="AB242" s="12">
        <f>'Inputs (2)'!W41</f>
        <v>0</v>
      </c>
      <c r="AC242" s="46">
        <f>'Inputs (2)'!X41</f>
        <v>0</v>
      </c>
      <c r="AD242" s="46">
        <f>'Inputs (2)'!Y41</f>
        <v>0</v>
      </c>
      <c r="AE242" s="46">
        <f>'Inputs (2)'!Z41</f>
        <v>0</v>
      </c>
      <c r="AF242" s="46">
        <f>'Inputs (2)'!AA41</f>
        <v>0</v>
      </c>
      <c r="AG242" s="12">
        <f>'Inputs (2)'!AB41</f>
        <v>0</v>
      </c>
      <c r="AH242" s="12">
        <f>'Inputs (2)'!AC41</f>
        <v>0</v>
      </c>
      <c r="AI242" s="12">
        <f>'Inputs (2)'!AD41</f>
        <v>0</v>
      </c>
      <c r="AJ242" s="12">
        <f>AI242</f>
        <v>0</v>
      </c>
      <c r="AK242" s="12">
        <f>AJ242</f>
        <v>0</v>
      </c>
      <c r="AL242" s="12">
        <f>AK242</f>
        <v>0</v>
      </c>
      <c r="AM242" s="12">
        <f>AL242</f>
        <v>0</v>
      </c>
      <c r="AN242" s="12">
        <f>AM242</f>
        <v>0</v>
      </c>
      <c r="AO242" s="12">
        <f>AN242</f>
        <v>0</v>
      </c>
      <c r="AP242" s="12">
        <f>AO242</f>
        <v>0</v>
      </c>
      <c r="AQ242" s="12">
        <f>AP242</f>
        <v>0</v>
      </c>
      <c r="AR242" s="12">
        <f>AQ242</f>
        <v>0</v>
      </c>
      <c r="AS242" s="12">
        <f>AR242</f>
        <v>0</v>
      </c>
      <c r="AT242" s="12">
        <f>AS242</f>
        <v>0</v>
      </c>
      <c r="AU242" s="12">
        <f>AT242</f>
        <v>0</v>
      </c>
      <c r="AV242" s="12">
        <f>AU242</f>
        <v>0</v>
      </c>
      <c r="AW242" s="12">
        <f>AV242</f>
        <v>0</v>
      </c>
      <c r="AX242" s="12">
        <f>AW242</f>
        <v>0</v>
      </c>
      <c r="AY242" s="12">
        <f>AX242</f>
        <v>0</v>
      </c>
      <c r="AZ242" s="12">
        <f>AY242</f>
        <v>0</v>
      </c>
      <c r="BA242" s="12">
        <f>AZ242</f>
        <v>0</v>
      </c>
      <c r="BB242" s="12">
        <f>BA242</f>
        <v>0</v>
      </c>
      <c r="BC242" s="12">
        <f>BB242</f>
        <v>0</v>
      </c>
      <c r="BD242" s="12">
        <f>BC242</f>
        <v>0</v>
      </c>
      <c r="BE242" s="12">
        <f>BD242</f>
        <v>0</v>
      </c>
      <c r="BF242" s="12">
        <f>BE242</f>
        <v>0</v>
      </c>
      <c r="BG242" s="12" t="n"/>
      <c r="BH242" s="12" t="n"/>
      <c r="BI242" s="12" t="n"/>
      <c r="BJ242" s="12" t="n"/>
      <c r="BK242" s="12" t="n"/>
      <c r="BL242" s="12" t="n"/>
      <c r="BM242" s="12" t="n"/>
      <c r="BN242" s="12" t="n"/>
      <c r="BO242" s="12" t="n"/>
      <c r="BP242" s="12" t="n"/>
      <c r="BQ242" s="12" t="n"/>
      <c r="BR242" s="12" t="n"/>
      <c r="BS242" s="12" t="n"/>
      <c r="BT242" s="12" t="n"/>
      <c r="BU242" s="12" t="n"/>
      <c r="BV242" s="12" t="n"/>
      <c r="BW242" s="12" t="n"/>
      <c r="BX242" s="12" t="n"/>
      <c r="BY242" s="12" t="n"/>
      <c r="BZ242" s="12" t="n"/>
      <c r="CA242" s="12" t="n"/>
      <c r="CB242" s="12" t="n"/>
      <c r="CC242" s="12" t="n"/>
      <c r="CD242" s="12" t="n"/>
      <c r="CE242" s="12" t="n"/>
      <c r="CF242" s="12" t="n"/>
      <c r="CG242" s="12" t="n"/>
      <c r="CH242" s="12" t="n"/>
      <c r="CI242" s="12" t="n"/>
      <c r="CJ242" s="12" t="n"/>
      <c r="CK242" s="12" t="n"/>
      <c r="CL242" s="12" t="n"/>
      <c r="CM242" s="12" t="n"/>
      <c r="CN242" s="12" t="n"/>
      <c r="CO242" s="12" t="n"/>
      <c r="CP242" s="12" t="n"/>
      <c r="CQ242" s="12" t="n"/>
      <c r="CR242" s="12" t="n"/>
      <c r="CS242" s="12" t="n"/>
      <c r="CT242" s="12" t="n"/>
      <c r="CU242" s="12" t="n"/>
      <c r="CV242" s="12" t="n"/>
      <c r="CW242" s="12" t="n"/>
      <c r="CX242" s="12" t="n"/>
      <c r="CY242" s="12" t="n"/>
    </row>
    <row r="243" hidden="1" outlineLevel="1" customFormat="1" s="66">
      <c r="A243" s="37" t="n"/>
      <c r="B243" s="37" t="n"/>
      <c r="C243" s="59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  <c r="CX243" s="42" t="n"/>
      <c r="CY243" s="42" t="n"/>
    </row>
    <row r="244" hidden="1" outlineLevel="1" customFormat="1" s="66">
      <c r="A244" s="37" t="n"/>
      <c r="B244" s="37" t="n"/>
      <c r="C244" s="57" t="inlineStr">
        <is>
          <t>Minority Interest Expense - % YoY</t>
        </is>
      </c>
      <c r="D244" s="42" t="n"/>
      <c r="E244" s="58" t="n"/>
      <c r="F244" s="42" t="n"/>
      <c r="G244" s="42" t="n"/>
      <c r="H244" s="58" t="n"/>
      <c r="I244" s="42" t="n"/>
      <c r="J244" s="58">
        <f>IF(I129=0,0,J129/I129-1)</f>
        <v>0</v>
      </c>
      <c r="K244" s="42" t="n"/>
      <c r="L244" s="42" t="n"/>
      <c r="M244" s="58" t="n"/>
      <c r="N244" s="58">
        <f>IF(I129=0,0,N129/I129-1)</f>
        <v>0</v>
      </c>
      <c r="O244" s="58">
        <f>IF(J129=0,0,O129/J129-1)</f>
        <v>0</v>
      </c>
      <c r="P244" s="58">
        <f>IF(K129=0,0,P129/K129-1)</f>
        <v>0</v>
      </c>
      <c r="Q244" s="58">
        <f>IF(L129=0,0,Q129/L129-1)</f>
        <v>0</v>
      </c>
      <c r="R244" s="58" t="n"/>
      <c r="S244" s="58">
        <f>IF(N129=0,0,S129/N129-1)</f>
        <v>0</v>
      </c>
      <c r="T244" s="58">
        <f>IF(O129=0,0,T129/O129-1)</f>
        <v>0</v>
      </c>
      <c r="U244" s="58">
        <f>IF(P129=0,0,U129/P129-1)</f>
        <v>0</v>
      </c>
      <c r="V244" s="58">
        <f>IF(Q129=0,0,V129/Q129-1)</f>
        <v>0</v>
      </c>
      <c r="W244" s="58">
        <f>IF(R130=0,0,W130/R130-1)</f>
        <v>0</v>
      </c>
      <c r="X244" s="58">
        <f>IF(S129=0,0,X129/S129-1)</f>
        <v>0</v>
      </c>
      <c r="Y244" s="58">
        <f>IF(T129=0,0,Y129/T129-1)</f>
        <v>0</v>
      </c>
      <c r="Z244" s="58">
        <f>IF(U129=0,0,Z129/U129-1)</f>
        <v>0</v>
      </c>
      <c r="AA244" s="58">
        <f>IF(V129=0,0,AA129/V129-1)</f>
        <v>0</v>
      </c>
      <c r="AB244" s="58">
        <f>IF(W130=0,0,AB130/W130-1)</f>
        <v>0</v>
      </c>
      <c r="AC244" s="58">
        <f>IF(X129=0,0,AC129/X129-1)</f>
        <v>0</v>
      </c>
      <c r="AD244" s="58">
        <f>IF(Y129=0,0,AD129/Y129-1)</f>
        <v>0</v>
      </c>
      <c r="AE244" s="58">
        <f>IF(Z129=0,0,AE129/Z129-1)</f>
        <v>0</v>
      </c>
      <c r="AF244" s="58">
        <f>IF(AA129=0,0,AF129/AA129-1)</f>
        <v>0</v>
      </c>
      <c r="AG244" s="58">
        <f>IF(AB130=0,0,AG130/AB130-1)</f>
        <v>0</v>
      </c>
      <c r="AH244" s="62">
        <f>IF(AC129=0,0,AH129/AC129-1)</f>
        <v>0</v>
      </c>
      <c r="AI244" s="62">
        <f>IF(AD129=0,0,AI129/AD129-1)</f>
        <v>0</v>
      </c>
      <c r="AJ244" s="62" t="n"/>
      <c r="AK244" s="62" t="n"/>
      <c r="AL244" s="58">
        <f>IF(AG130=0,0,AL130/AG130-1)</f>
        <v>0</v>
      </c>
      <c r="AM244" s="62" t="n"/>
      <c r="AN244" s="62" t="n"/>
      <c r="AO244" s="62" t="n"/>
      <c r="AP244" s="62" t="n"/>
      <c r="AQ244" s="58">
        <f>IF(AL130=0,0,AQ130/AL130-1)</f>
        <v>0</v>
      </c>
      <c r="AR244" s="62" t="n"/>
      <c r="AS244" s="62" t="n"/>
      <c r="AT244" s="62" t="n"/>
      <c r="AU244" s="62" t="n"/>
      <c r="AV244" s="58">
        <f>IF(AQ130=0,0,AV130/AQ130-1)</f>
        <v>0</v>
      </c>
      <c r="AW244" s="62" t="n"/>
      <c r="AX244" s="62" t="n"/>
      <c r="AY244" s="62" t="n"/>
      <c r="AZ244" s="62" t="n"/>
      <c r="BA244" s="58">
        <f>IF(AV130=0,0,BA130/AV130-1)</f>
        <v>0</v>
      </c>
      <c r="BB244" s="62" t="n"/>
      <c r="BC244" s="62" t="n"/>
      <c r="BD244" s="62" t="n"/>
      <c r="BE244" s="62" t="n"/>
      <c r="BF244" s="58">
        <f>IF(BA130=0,0,BF130/BA130-1)</f>
        <v>0</v>
      </c>
      <c r="BG244" s="62" t="n"/>
      <c r="BH244" s="62" t="n"/>
      <c r="BI244" s="62" t="n"/>
      <c r="BJ244" s="62" t="n"/>
      <c r="BK244" s="58" t="n"/>
      <c r="BL244" s="62" t="n"/>
      <c r="BM244" s="62" t="n"/>
      <c r="BN244" s="62" t="n"/>
      <c r="BO244" s="62" t="n"/>
      <c r="BP244" s="58" t="n"/>
      <c r="BQ244" s="62" t="n"/>
      <c r="BR244" s="62" t="n"/>
      <c r="BS244" s="62" t="n"/>
      <c r="BT244" s="62" t="n"/>
      <c r="BU244" s="58" t="n"/>
      <c r="BV244" s="62" t="n"/>
      <c r="BW244" s="62" t="n"/>
      <c r="BX244" s="62" t="n"/>
      <c r="BY244" s="62" t="n"/>
      <c r="BZ244" s="58" t="n"/>
      <c r="CA244" s="62" t="n"/>
      <c r="CB244" s="62" t="n"/>
      <c r="CC244" s="62" t="n"/>
      <c r="CD244" s="62" t="n"/>
      <c r="CE244" s="58" t="n"/>
      <c r="CF244" s="62" t="n"/>
      <c r="CG244" s="62" t="n"/>
      <c r="CH244" s="62" t="n"/>
      <c r="CI244" s="62" t="n"/>
      <c r="CJ244" s="58" t="n"/>
      <c r="CK244" s="62" t="n"/>
      <c r="CL244" s="62" t="n"/>
      <c r="CM244" s="62" t="n"/>
      <c r="CN244" s="62" t="n"/>
      <c r="CO244" s="58" t="n"/>
      <c r="CP244" s="62" t="n"/>
      <c r="CQ244" s="62" t="n"/>
      <c r="CR244" s="62" t="n"/>
      <c r="CS244" s="62" t="n"/>
      <c r="CT244" s="58" t="n"/>
      <c r="CU244" s="62" t="n"/>
      <c r="CV244" s="62" t="n"/>
      <c r="CW244" s="62" t="n"/>
      <c r="CX244" s="62" t="n"/>
      <c r="CY244" s="58" t="n"/>
    </row>
    <row r="245" hidden="1" outlineLevel="1" customFormat="1" s="66">
      <c r="A245" s="37" t="n"/>
      <c r="B245" s="37" t="n"/>
      <c r="C245" s="57" t="inlineStr">
        <is>
          <t>Dividends (enter as -)</t>
        </is>
      </c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62" t="n"/>
      <c r="AI245" s="62" t="n"/>
      <c r="AJ245" s="62" t="n"/>
      <c r="AK245" s="62" t="n"/>
      <c r="AL245" s="42" t="n"/>
      <c r="AM245" s="62" t="n"/>
      <c r="AN245" s="62" t="n"/>
      <c r="AO245" s="62" t="n"/>
      <c r="AP245" s="62" t="n"/>
      <c r="AQ245" s="42" t="n"/>
      <c r="AR245" s="62" t="n"/>
      <c r="AS245" s="62" t="n"/>
      <c r="AT245" s="62" t="n"/>
      <c r="AU245" s="62" t="n"/>
      <c r="AV245" s="42" t="n"/>
      <c r="AW245" s="62" t="n"/>
      <c r="AX245" s="62" t="n"/>
      <c r="AY245" s="62" t="n"/>
      <c r="AZ245" s="62" t="n"/>
      <c r="BA245" s="42" t="n"/>
      <c r="BB245" s="62" t="n"/>
      <c r="BC245" s="62" t="n"/>
      <c r="BD245" s="62" t="n"/>
      <c r="BE245" s="62" t="n"/>
      <c r="BF245" s="42" t="n"/>
      <c r="BG245" s="62" t="n"/>
      <c r="BH245" s="62" t="n"/>
      <c r="BI245" s="62" t="n"/>
      <c r="BJ245" s="62" t="n"/>
      <c r="BK245" s="42" t="n"/>
      <c r="BL245" s="62" t="n"/>
      <c r="BM245" s="62" t="n"/>
      <c r="BN245" s="62" t="n"/>
      <c r="BO245" s="62" t="n"/>
      <c r="BP245" s="42" t="n"/>
      <c r="BQ245" s="62" t="n"/>
      <c r="BR245" s="62" t="n"/>
      <c r="BS245" s="62" t="n"/>
      <c r="BT245" s="62" t="n"/>
      <c r="BU245" s="42" t="n"/>
      <c r="BV245" s="62" t="n"/>
      <c r="BW245" s="62" t="n"/>
      <c r="BX245" s="62" t="n"/>
      <c r="BY245" s="62" t="n"/>
      <c r="BZ245" s="42" t="n"/>
      <c r="CA245" s="62" t="n"/>
      <c r="CB245" s="62" t="n"/>
      <c r="CC245" s="62" t="n"/>
      <c r="CD245" s="62" t="n"/>
      <c r="CE245" s="42" t="n"/>
      <c r="CF245" s="62" t="n"/>
      <c r="CG245" s="62" t="n"/>
      <c r="CH245" s="62" t="n"/>
      <c r="CI245" s="62" t="n"/>
      <c r="CJ245" s="42" t="n"/>
      <c r="CK245" s="62" t="n"/>
      <c r="CL245" s="62" t="n"/>
      <c r="CM245" s="62" t="n"/>
      <c r="CN245" s="62" t="n"/>
      <c r="CO245" s="42" t="n"/>
      <c r="CP245" s="62" t="n"/>
      <c r="CQ245" s="62" t="n"/>
      <c r="CR245" s="62" t="n"/>
      <c r="CS245" s="62" t="n"/>
      <c r="CT245" s="42" t="n"/>
      <c r="CU245" s="62" t="n"/>
      <c r="CV245" s="62" t="n"/>
      <c r="CW245" s="62" t="n"/>
      <c r="CX245" s="62" t="n"/>
      <c r="CY245" s="42" t="n"/>
    </row>
    <row r="246" hidden="1" outlineLevel="1" customFormat="1" s="66">
      <c r="A246" s="37" t="n"/>
      <c r="B246" s="37" t="n"/>
      <c r="C246" s="59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  <c r="CX246" s="42" t="n"/>
      <c r="CY246" s="42" t="n"/>
    </row>
    <row r="247" collapsed="1">
      <c r="C247" s="14" t="inlineStr">
        <is>
          <t>Convertible Preferred Stock</t>
        </is>
      </c>
      <c r="D247" s="46" t="n"/>
      <c r="E247" s="46" t="n"/>
      <c r="F247" s="46" t="n"/>
      <c r="G247" s="46" t="n"/>
      <c r="H247" s="12" t="n"/>
      <c r="I247" s="46">
        <f>'Inputs (2)'!D42</f>
        <v>0</v>
      </c>
      <c r="J247" s="46">
        <f>'Inputs (2)'!E42</f>
        <v>0</v>
      </c>
      <c r="K247" s="46">
        <f>'Inputs (2)'!F42</f>
        <v>0</v>
      </c>
      <c r="L247" s="46">
        <f>'Inputs (2)'!G42</f>
        <v>0</v>
      </c>
      <c r="M247" s="12">
        <f>'Inputs (2)'!H42</f>
        <v>0</v>
      </c>
      <c r="N247" s="46">
        <f>'Inputs (2)'!I42</f>
        <v>0</v>
      </c>
      <c r="O247" s="46">
        <f>'Inputs (2)'!J42</f>
        <v>0</v>
      </c>
      <c r="P247" s="46">
        <f>'Inputs (2)'!K42</f>
        <v>0</v>
      </c>
      <c r="Q247" s="46">
        <f>'Inputs (2)'!L42</f>
        <v>0</v>
      </c>
      <c r="R247" s="12">
        <f>'Inputs (2)'!M42</f>
        <v>0</v>
      </c>
      <c r="S247" s="46">
        <f>'Inputs (2)'!N42</f>
        <v>0</v>
      </c>
      <c r="T247" s="46">
        <f>'Inputs (2)'!O42</f>
        <v>0</v>
      </c>
      <c r="U247" s="46">
        <f>'Inputs (2)'!P42</f>
        <v>0</v>
      </c>
      <c r="V247" s="46">
        <f>'Inputs (2)'!Q42</f>
        <v>0</v>
      </c>
      <c r="W247" s="12">
        <f>'Inputs (2)'!R42</f>
        <v>0</v>
      </c>
      <c r="X247" s="46">
        <f>'Inputs (2)'!S42</f>
        <v>0</v>
      </c>
      <c r="Y247" s="46">
        <f>'Inputs (2)'!T42</f>
        <v>0</v>
      </c>
      <c r="Z247" s="46">
        <f>'Inputs (2)'!U42</f>
        <v>0</v>
      </c>
      <c r="AA247" s="46">
        <f>'Inputs (2)'!V42</f>
        <v>0</v>
      </c>
      <c r="AB247" s="12">
        <f>'Inputs (2)'!W42</f>
        <v>0</v>
      </c>
      <c r="AC247" s="46">
        <f>'Inputs (2)'!X42</f>
        <v>0</v>
      </c>
      <c r="AD247" s="46">
        <f>'Inputs (2)'!Y42</f>
        <v>0</v>
      </c>
      <c r="AE247" s="46">
        <f>'Inputs (2)'!Z42</f>
        <v>0</v>
      </c>
      <c r="AF247" s="46">
        <f>'Inputs (2)'!AA42</f>
        <v>0</v>
      </c>
      <c r="AG247" s="12">
        <f>'Inputs (2)'!AB42</f>
        <v>0</v>
      </c>
      <c r="AH247" s="12">
        <f>'Inputs (2)'!AC42</f>
        <v>0</v>
      </c>
      <c r="AI247" s="12">
        <f>'Inputs (2)'!AD42</f>
        <v>0</v>
      </c>
      <c r="AJ247" s="12">
        <f>AI247</f>
        <v>0</v>
      </c>
      <c r="AK247" s="12">
        <f>AJ247</f>
        <v>0</v>
      </c>
      <c r="AL247" s="12">
        <f>AK247</f>
        <v>0</v>
      </c>
      <c r="AM247" s="12">
        <f>AL247</f>
        <v>0</v>
      </c>
      <c r="AN247" s="12">
        <f>AM247</f>
        <v>0</v>
      </c>
      <c r="AO247" s="12">
        <f>AN247</f>
        <v>0</v>
      </c>
      <c r="AP247" s="12">
        <f>AO247</f>
        <v>0</v>
      </c>
      <c r="AQ247" s="12">
        <f>AP247</f>
        <v>0</v>
      </c>
      <c r="AR247" s="12">
        <f>AQ247</f>
        <v>0</v>
      </c>
      <c r="AS247" s="12">
        <f>AR247</f>
        <v>0</v>
      </c>
      <c r="AT247" s="12">
        <f>AS247</f>
        <v>0</v>
      </c>
      <c r="AU247" s="12">
        <f>AT247</f>
        <v>0</v>
      </c>
      <c r="AV247" s="12">
        <f>AU247</f>
        <v>0</v>
      </c>
      <c r="AW247" s="12">
        <f>AV247</f>
        <v>0</v>
      </c>
      <c r="AX247" s="12">
        <f>AW247</f>
        <v>0</v>
      </c>
      <c r="AY247" s="12">
        <f>AX247</f>
        <v>0</v>
      </c>
      <c r="AZ247" s="12">
        <f>AY247</f>
        <v>0</v>
      </c>
      <c r="BA247" s="12">
        <f>AZ247</f>
        <v>0</v>
      </c>
      <c r="BB247" s="12">
        <f>BA247</f>
        <v>0</v>
      </c>
      <c r="BC247" s="12">
        <f>BB247</f>
        <v>0</v>
      </c>
      <c r="BD247" s="12">
        <f>BC247</f>
        <v>0</v>
      </c>
      <c r="BE247" s="12">
        <f>BD247</f>
        <v>0</v>
      </c>
      <c r="BF247" s="12">
        <f>BE247</f>
        <v>0</v>
      </c>
      <c r="BG247" s="12" t="n"/>
      <c r="BH247" s="12" t="n"/>
      <c r="BI247" s="12" t="n"/>
      <c r="BJ247" s="12" t="n"/>
      <c r="BK247" s="12" t="n"/>
      <c r="BL247" s="12" t="n"/>
      <c r="BM247" s="12" t="n"/>
      <c r="BN247" s="12" t="n"/>
      <c r="BO247" s="12" t="n"/>
      <c r="BP247" s="12" t="n"/>
      <c r="BQ247" s="12" t="n"/>
      <c r="BR247" s="12" t="n"/>
      <c r="BS247" s="12" t="n"/>
      <c r="BT247" s="12" t="n"/>
      <c r="BU247" s="12" t="n"/>
      <c r="BV247" s="12" t="n"/>
      <c r="BW247" s="12" t="n"/>
      <c r="BX247" s="12" t="n"/>
      <c r="BY247" s="12" t="n"/>
      <c r="BZ247" s="12" t="n"/>
      <c r="CA247" s="12" t="n"/>
      <c r="CB247" s="12" t="n"/>
      <c r="CC247" s="12" t="n"/>
      <c r="CD247" s="12" t="n"/>
      <c r="CE247" s="12" t="n"/>
      <c r="CF247" s="12" t="n"/>
      <c r="CG247" s="12" t="n"/>
      <c r="CH247" s="12" t="n"/>
      <c r="CI247" s="12" t="n"/>
      <c r="CJ247" s="12" t="n"/>
      <c r="CK247" s="12" t="n"/>
      <c r="CL247" s="12" t="n"/>
      <c r="CM247" s="12" t="n"/>
      <c r="CN247" s="12" t="n"/>
      <c r="CO247" s="12" t="n"/>
      <c r="CP247" s="12" t="n"/>
      <c r="CQ247" s="12" t="n"/>
      <c r="CR247" s="12" t="n"/>
      <c r="CS247" s="12" t="n"/>
      <c r="CT247" s="12" t="n"/>
      <c r="CU247" s="12" t="n"/>
      <c r="CV247" s="12" t="n"/>
      <c r="CW247" s="12" t="n"/>
      <c r="CX247" s="12" t="n"/>
      <c r="CY247" s="12" t="n"/>
    </row>
    <row r="248">
      <c r="C248" s="13" t="inlineStr">
        <is>
          <t>Common Stock and APIC</t>
        </is>
      </c>
      <c r="D248" s="46" t="n"/>
      <c r="E248" s="46" t="n"/>
      <c r="F248" s="46" t="n"/>
      <c r="G248" s="46" t="n"/>
      <c r="H248" s="12" t="n"/>
      <c r="I248" s="46">
        <f>'Inputs (2)'!D43</f>
        <v>54203</v>
      </c>
      <c r="J248" s="46">
        <f>'Inputs (2)'!E43</f>
        <v>54989</v>
      </c>
      <c r="K248" s="46">
        <f>'Inputs (2)'!F43</f>
        <v>57365</v>
      </c>
      <c r="L248" s="46">
        <f>'Inputs (2)'!G43</f>
        <v>58424</v>
      </c>
      <c r="M248" s="12">
        <f>'Inputs (2)'!H43</f>
        <v>58424</v>
      </c>
      <c r="N248" s="46">
        <f>'Inputs (2)'!I43</f>
        <v>61181</v>
      </c>
      <c r="O248" s="46">
        <f>'Inputs (2)'!J43</f>
        <v>62115</v>
      </c>
      <c r="P248" s="46">
        <f>'Inputs (2)'!K43</f>
        <v>64849</v>
      </c>
      <c r="Q248" s="46">
        <f>'Inputs (2)'!L43</f>
        <v>66399</v>
      </c>
      <c r="R248" s="12">
        <f>'Inputs (2)'!M43</f>
        <v>66399</v>
      </c>
      <c r="S248" s="46">
        <f>'Inputs (2)'!N43</f>
        <v>69568</v>
      </c>
      <c r="T248" s="46">
        <f>'Inputs (2)'!O43</f>
        <v>70667</v>
      </c>
      <c r="U248" s="46">
        <f>'Inputs (2)'!P43</f>
        <v>73812</v>
      </c>
      <c r="V248" s="46">
        <f>'Inputs (2)'!Q43</f>
        <v>75236</v>
      </c>
      <c r="W248" s="12">
        <f>'Inputs (2)'!R43</f>
        <v>75236</v>
      </c>
      <c r="X248" s="46">
        <f>'Inputs (2)'!S43</f>
        <v>78815</v>
      </c>
      <c r="Y248" s="46">
        <f>'Inputs (2)'!T43</f>
        <v>79850</v>
      </c>
      <c r="Z248" s="46">
        <f>'Inputs (2)'!U43</f>
        <v>83276</v>
      </c>
      <c r="AA248" s="46">
        <f>'Inputs (2)'!V43</f>
        <v>84768</v>
      </c>
      <c r="AB248" s="12">
        <f>'Inputs (2)'!W43</f>
        <v>84768</v>
      </c>
      <c r="AC248" s="46">
        <f>'Inputs (2)'!X43</f>
        <v>88711</v>
      </c>
      <c r="AD248" s="46">
        <f>'Inputs (2)'!Y43</f>
        <v>89806</v>
      </c>
      <c r="AE248" s="46">
        <f>'Inputs (2)'!Z43</f>
        <v>93568</v>
      </c>
      <c r="AF248" s="46">
        <f>'Inputs (2)'!AA43</f>
        <v>95221</v>
      </c>
      <c r="AG248" s="12">
        <f>'Inputs (2)'!AB43</f>
        <v>95221</v>
      </c>
      <c r="AH248" s="12">
        <f>'Inputs (2)'!AC43</f>
        <v>99507</v>
      </c>
      <c r="AI248" s="12">
        <f>'Inputs (2)'!AD43</f>
        <v>100702</v>
      </c>
      <c r="AJ248" s="12">
        <f>AI248+AJ252</f>
        <v>100702</v>
      </c>
      <c r="AK248" s="12">
        <f>AJ248+AK252</f>
        <v>100702</v>
      </c>
      <c r="AL248" s="12">
        <f>AK248</f>
        <v>100702</v>
      </c>
      <c r="AM248" s="12">
        <f>AL248+AM252</f>
        <v>100702</v>
      </c>
      <c r="AN248" s="12">
        <f>AM248+AN252</f>
        <v>100702</v>
      </c>
      <c r="AO248" s="12">
        <f>AN248+AO252</f>
        <v>100702</v>
      </c>
      <c r="AP248" s="12">
        <f>AO248+AP252</f>
        <v>100702</v>
      </c>
      <c r="AQ248" s="12">
        <f>AP248</f>
        <v>100702</v>
      </c>
      <c r="AR248" s="12">
        <f>AQ248+AR252</f>
        <v>100702</v>
      </c>
      <c r="AS248" s="12">
        <f>AR248+AS252</f>
        <v>100702</v>
      </c>
      <c r="AT248" s="12">
        <f>AS248+AT252</f>
        <v>100702</v>
      </c>
      <c r="AU248" s="12">
        <f>AT248+AU252</f>
        <v>100702</v>
      </c>
      <c r="AV248" s="12">
        <f>AU248</f>
        <v>100702</v>
      </c>
      <c r="AW248" s="12">
        <f>AV248+AW252</f>
        <v>100702</v>
      </c>
      <c r="AX248" s="12">
        <f>AW248+AX252</f>
        <v>100702</v>
      </c>
      <c r="AY248" s="12">
        <f>AX248+AY252</f>
        <v>100702</v>
      </c>
      <c r="AZ248" s="12">
        <f>AY248+AZ252</f>
        <v>100702</v>
      </c>
      <c r="BA248" s="12">
        <f>AZ248</f>
        <v>100702</v>
      </c>
      <c r="BB248" s="12">
        <f>BA248+BB252</f>
        <v>100702</v>
      </c>
      <c r="BC248" s="12">
        <f>BB248+BC252</f>
        <v>100702</v>
      </c>
      <c r="BD248" s="12">
        <f>BC248+BD252</f>
        <v>100702</v>
      </c>
      <c r="BE248" s="12">
        <f>BD248+BE252</f>
        <v>100702</v>
      </c>
      <c r="BF248" s="12">
        <f>BE248</f>
        <v>100702</v>
      </c>
      <c r="BG248" s="12" t="n"/>
      <c r="BH248" s="12" t="n"/>
      <c r="BI248" s="12" t="n"/>
      <c r="BJ248" s="12" t="n"/>
      <c r="BK248" s="12" t="n"/>
      <c r="BL248" s="12" t="n"/>
      <c r="BM248" s="12" t="n"/>
      <c r="BN248" s="12" t="n"/>
      <c r="BO248" s="12" t="n"/>
      <c r="BP248" s="12" t="n"/>
      <c r="BQ248" s="12" t="n"/>
      <c r="BR248" s="12" t="n"/>
      <c r="BS248" s="12" t="n"/>
      <c r="BT248" s="12" t="n"/>
      <c r="BU248" s="12" t="n"/>
      <c r="BV248" s="12" t="n"/>
      <c r="BW248" s="12" t="n"/>
      <c r="BX248" s="12" t="n"/>
      <c r="BY248" s="12" t="n"/>
      <c r="BZ248" s="12" t="n"/>
      <c r="CA248" s="12" t="n"/>
      <c r="CB248" s="12" t="n"/>
      <c r="CC248" s="12" t="n"/>
      <c r="CD248" s="12" t="n"/>
      <c r="CE248" s="12" t="n"/>
      <c r="CF248" s="12" t="n"/>
      <c r="CG248" s="12" t="n"/>
      <c r="CH248" s="12" t="n"/>
      <c r="CI248" s="12" t="n"/>
      <c r="CJ248" s="12" t="n"/>
      <c r="CK248" s="12" t="n"/>
      <c r="CL248" s="12" t="n"/>
      <c r="CM248" s="12" t="n"/>
      <c r="CN248" s="12" t="n"/>
      <c r="CO248" s="12" t="n"/>
      <c r="CP248" s="12" t="n"/>
      <c r="CQ248" s="12" t="n"/>
      <c r="CR248" s="12" t="n"/>
      <c r="CS248" s="12" t="n"/>
      <c r="CT248" s="12" t="n"/>
      <c r="CU248" s="12" t="n"/>
      <c r="CV248" s="12" t="n"/>
      <c r="CW248" s="12" t="n"/>
      <c r="CX248" s="12" t="n"/>
      <c r="CY248" s="12" t="n"/>
    </row>
    <row r="249" hidden="1" outlineLevel="1" customFormat="1" s="66">
      <c r="A249" s="37" t="n"/>
      <c r="B249" s="37" t="n"/>
      <c r="C249" s="67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  <c r="CX249" s="42" t="n"/>
      <c r="CY249" s="42" t="n"/>
    </row>
    <row r="250" hidden="1" outlineLevel="1" customFormat="1" s="66">
      <c r="A250" s="37" t="n"/>
      <c r="B250" s="37" t="n"/>
      <c r="C250" s="67" t="inlineStr">
        <is>
          <t>Diluted Shares outstanding</t>
        </is>
      </c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  <c r="CX250" s="42" t="n"/>
      <c r="CY250" s="42" t="n"/>
    </row>
    <row r="251" hidden="1" outlineLevel="1" customFormat="1" s="66">
      <c r="A251" s="37" t="n"/>
      <c r="B251" s="37" t="n"/>
      <c r="C251" s="67" t="inlineStr">
        <is>
          <t>Treasury share $ repurchases</t>
        </is>
      </c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11" t="n"/>
      <c r="AI251" s="11" t="n"/>
      <c r="AJ251" s="11" t="n"/>
      <c r="AK251" s="11" t="n"/>
      <c r="AL251" s="42" t="n"/>
      <c r="AM251" s="11" t="n"/>
      <c r="AN251" s="11" t="n"/>
      <c r="AO251" s="11" t="n"/>
      <c r="AP251" s="11" t="n"/>
      <c r="AQ251" s="42" t="n"/>
      <c r="AR251" s="11" t="n"/>
      <c r="AS251" s="11" t="n"/>
      <c r="AT251" s="11" t="n"/>
      <c r="AU251" s="11" t="n"/>
      <c r="AV251" s="42" t="n"/>
      <c r="AW251" s="11" t="n"/>
      <c r="AX251" s="11" t="n"/>
      <c r="AY251" s="11" t="n"/>
      <c r="AZ251" s="11" t="n"/>
      <c r="BA251" s="42" t="n"/>
      <c r="BB251" s="11" t="n"/>
      <c r="BC251" s="11" t="n"/>
      <c r="BD251" s="11" t="n"/>
      <c r="BE251" s="11" t="n"/>
      <c r="BF251" s="42" t="n"/>
      <c r="BG251" s="11" t="n"/>
      <c r="BH251" s="11" t="n"/>
      <c r="BI251" s="11" t="n"/>
      <c r="BJ251" s="11" t="n"/>
      <c r="BK251" s="42" t="n"/>
      <c r="BL251" s="11" t="n"/>
      <c r="BM251" s="11" t="n"/>
      <c r="BN251" s="11" t="n"/>
      <c r="BO251" s="11" t="n"/>
      <c r="BP251" s="42" t="n"/>
      <c r="BQ251" s="11" t="n"/>
      <c r="BR251" s="11" t="n"/>
      <c r="BS251" s="11" t="n"/>
      <c r="BT251" s="11" t="n"/>
      <c r="BU251" s="42" t="n"/>
      <c r="BV251" s="11" t="n"/>
      <c r="BW251" s="11" t="n"/>
      <c r="BX251" s="11" t="n"/>
      <c r="BY251" s="11" t="n"/>
      <c r="BZ251" s="42" t="n"/>
      <c r="CA251" s="11" t="n"/>
      <c r="CB251" s="11" t="n"/>
      <c r="CC251" s="11" t="n"/>
      <c r="CD251" s="11" t="n"/>
      <c r="CE251" s="42" t="n"/>
      <c r="CF251" s="11" t="n"/>
      <c r="CG251" s="11" t="n"/>
      <c r="CH251" s="11" t="n"/>
      <c r="CI251" s="11" t="n"/>
      <c r="CJ251" s="42" t="n"/>
      <c r="CK251" s="11" t="n"/>
      <c r="CL251" s="11" t="n"/>
      <c r="CM251" s="11" t="n"/>
      <c r="CN251" s="11" t="n"/>
      <c r="CO251" s="42" t="n"/>
      <c r="CP251" s="11" t="n"/>
      <c r="CQ251" s="11" t="n"/>
      <c r="CR251" s="11" t="n"/>
      <c r="CS251" s="11" t="n"/>
      <c r="CT251" s="42" t="n"/>
      <c r="CU251" s="11" t="n"/>
      <c r="CV251" s="11" t="n"/>
      <c r="CW251" s="11" t="n"/>
      <c r="CX251" s="11" t="n"/>
      <c r="CY251" s="42" t="n"/>
    </row>
    <row r="252" hidden="1" outlineLevel="1" customFormat="1" s="66">
      <c r="A252" s="37" t="n"/>
      <c r="B252" s="37" t="n"/>
      <c r="C252" s="67" t="inlineStr">
        <is>
          <t>Value of shares issued</t>
        </is>
      </c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11" t="n"/>
      <c r="AI252" s="11" t="n"/>
      <c r="AJ252" s="11" t="n"/>
      <c r="AK252" s="11" t="n"/>
      <c r="AL252" s="42" t="n"/>
      <c r="AM252" s="11" t="n"/>
      <c r="AN252" s="11" t="n"/>
      <c r="AO252" s="11" t="n"/>
      <c r="AP252" s="11" t="n"/>
      <c r="AQ252" s="42" t="n"/>
      <c r="AR252" s="11" t="n"/>
      <c r="AS252" s="11" t="n"/>
      <c r="AT252" s="11" t="n"/>
      <c r="AU252" s="11" t="n"/>
      <c r="AV252" s="42" t="n"/>
      <c r="AW252" s="11" t="n"/>
      <c r="AX252" s="11" t="n"/>
      <c r="AY252" s="11" t="n"/>
      <c r="AZ252" s="11" t="n"/>
      <c r="BA252" s="42" t="n"/>
      <c r="BB252" s="11" t="n"/>
      <c r="BC252" s="11" t="n"/>
      <c r="BD252" s="11" t="n"/>
      <c r="BE252" s="11" t="n"/>
      <c r="BF252" s="42" t="n"/>
      <c r="BG252" s="11" t="n"/>
      <c r="BH252" s="11" t="n"/>
      <c r="BI252" s="11" t="n"/>
      <c r="BJ252" s="11" t="n"/>
      <c r="BK252" s="42" t="n"/>
      <c r="BL252" s="11" t="n"/>
      <c r="BM252" s="11" t="n"/>
      <c r="BN252" s="11" t="n"/>
      <c r="BO252" s="11" t="n"/>
      <c r="BP252" s="42" t="n"/>
      <c r="BQ252" s="11" t="n"/>
      <c r="BR252" s="11" t="n"/>
      <c r="BS252" s="11" t="n"/>
      <c r="BT252" s="11" t="n"/>
      <c r="BU252" s="42" t="n"/>
      <c r="BV252" s="11" t="n"/>
      <c r="BW252" s="11" t="n"/>
      <c r="BX252" s="11" t="n"/>
      <c r="BY252" s="11" t="n"/>
      <c r="BZ252" s="42" t="n"/>
      <c r="CA252" s="11" t="n"/>
      <c r="CB252" s="11" t="n"/>
      <c r="CC252" s="11" t="n"/>
      <c r="CD252" s="11" t="n"/>
      <c r="CE252" s="42" t="n"/>
      <c r="CF252" s="11" t="n"/>
      <c r="CG252" s="11" t="n"/>
      <c r="CH252" s="11" t="n"/>
      <c r="CI252" s="11" t="n"/>
      <c r="CJ252" s="42" t="n"/>
      <c r="CK252" s="11" t="n"/>
      <c r="CL252" s="11" t="n"/>
      <c r="CM252" s="11" t="n"/>
      <c r="CN252" s="11" t="n"/>
      <c r="CO252" s="42" t="n"/>
      <c r="CP252" s="11" t="n"/>
      <c r="CQ252" s="11" t="n"/>
      <c r="CR252" s="11" t="n"/>
      <c r="CS252" s="11" t="n"/>
      <c r="CT252" s="42" t="n"/>
      <c r="CU252" s="11" t="n"/>
      <c r="CV252" s="11" t="n"/>
      <c r="CW252" s="11" t="n"/>
      <c r="CX252" s="11" t="n"/>
      <c r="CY252" s="42" t="n"/>
    </row>
    <row r="253" hidden="1" outlineLevel="1" customFormat="1" s="66">
      <c r="A253" s="37" t="n"/>
      <c r="B253" s="37" t="n"/>
      <c r="C253" s="67" t="inlineStr">
        <is>
          <t>Expected average share price</t>
        </is>
      </c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68">
        <f>AF253*(1+AH254)</f>
        <v>0</v>
      </c>
      <c r="AI253" s="68">
        <f>AH253*(1+AI254)</f>
        <v>0</v>
      </c>
      <c r="AJ253" s="68">
        <f>AH253*(1+AJ254)</f>
        <v>0</v>
      </c>
      <c r="AK253" s="68">
        <f>AJ253*(1+AK254)</f>
        <v>0</v>
      </c>
      <c r="AL253" s="42" t="n"/>
      <c r="AM253" s="68">
        <f>AK253*(1+AM254)</f>
        <v>0</v>
      </c>
      <c r="AN253" s="68">
        <f>AM253*(1+AN254)</f>
        <v>0</v>
      </c>
      <c r="AO253" s="68">
        <f>AM253*(1+AO254)</f>
        <v>0</v>
      </c>
      <c r="AP253" s="68">
        <f>AO253*(1+AP254)</f>
        <v>0</v>
      </c>
      <c r="AQ253" s="42" t="n"/>
      <c r="AR253" s="68">
        <f>AP253*(1+AR254)</f>
        <v>0</v>
      </c>
      <c r="AS253" s="68">
        <f>AR253*(1+AS254)</f>
        <v>0</v>
      </c>
      <c r="AT253" s="68">
        <f>AR253*(1+AT254)</f>
        <v>0</v>
      </c>
      <c r="AU253" s="68">
        <f>AT253*(1+AU254)</f>
        <v>0</v>
      </c>
      <c r="AV253" s="42" t="n"/>
      <c r="AW253" s="68">
        <f>AU253*(1+AW254)</f>
        <v>0</v>
      </c>
      <c r="AX253" s="68">
        <f>AW253*(1+AX254)</f>
        <v>0</v>
      </c>
      <c r="AY253" s="68">
        <f>AW253*(1+AY254)</f>
        <v>0</v>
      </c>
      <c r="AZ253" s="68">
        <f>AY253*(1+AZ254)</f>
        <v>0</v>
      </c>
      <c r="BA253" s="42" t="n"/>
      <c r="BB253" s="68">
        <f>AZ253*(1+BB254)</f>
        <v>0</v>
      </c>
      <c r="BC253" s="68">
        <f>BB253*(1+BC254)</f>
        <v>0</v>
      </c>
      <c r="BD253" s="68">
        <f>BB253*(1+BD254)</f>
        <v>0</v>
      </c>
      <c r="BE253" s="68">
        <f>BD253*(1+BE254)</f>
        <v>0</v>
      </c>
      <c r="BF253" s="42" t="n"/>
      <c r="BG253" s="68" t="n"/>
      <c r="BH253" s="68" t="n"/>
      <c r="BI253" s="68" t="n"/>
      <c r="BJ253" s="68" t="n"/>
      <c r="BK253" s="42" t="n"/>
      <c r="BL253" s="68" t="n"/>
      <c r="BM253" s="68" t="n"/>
      <c r="BN253" s="68" t="n"/>
      <c r="BO253" s="68" t="n"/>
      <c r="BP253" s="42" t="n"/>
      <c r="BQ253" s="68" t="n"/>
      <c r="BR253" s="68" t="n"/>
      <c r="BS253" s="68" t="n"/>
      <c r="BT253" s="68" t="n"/>
      <c r="BU253" s="42" t="n"/>
      <c r="BV253" s="68" t="n"/>
      <c r="BW253" s="68" t="n"/>
      <c r="BX253" s="68" t="n"/>
      <c r="BY253" s="68" t="n"/>
      <c r="BZ253" s="42" t="n"/>
      <c r="CA253" s="68" t="n"/>
      <c r="CB253" s="68" t="n"/>
      <c r="CC253" s="68" t="n"/>
      <c r="CD253" s="68" t="n"/>
      <c r="CE253" s="42" t="n"/>
      <c r="CF253" s="68" t="n"/>
      <c r="CG253" s="68" t="n"/>
      <c r="CH253" s="68" t="n"/>
      <c r="CI253" s="68" t="n"/>
      <c r="CJ253" s="42" t="n"/>
      <c r="CK253" s="68" t="n"/>
      <c r="CL253" s="68" t="n"/>
      <c r="CM253" s="68" t="n"/>
      <c r="CN253" s="68" t="n"/>
      <c r="CO253" s="42" t="n"/>
      <c r="CP253" s="68" t="n"/>
      <c r="CQ253" s="68" t="n"/>
      <c r="CR253" s="68" t="n"/>
      <c r="CS253" s="68" t="n"/>
      <c r="CT253" s="42" t="n"/>
      <c r="CU253" s="68" t="n"/>
      <c r="CV253" s="68" t="n"/>
      <c r="CW253" s="68" t="n"/>
      <c r="CX253" s="68" t="n"/>
      <c r="CY253" s="42" t="n"/>
    </row>
    <row r="254" hidden="1" outlineLevel="1" customFormat="1" s="66">
      <c r="A254" s="37" t="n"/>
      <c r="B254" s="37" t="n"/>
      <c r="C254" s="67" t="inlineStr">
        <is>
          <t>Consensus EPS growth</t>
        </is>
      </c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58">
        <f>$AL$259</f>
        <v>0</v>
      </c>
      <c r="AI254" s="58">
        <f>$AL$259</f>
        <v>0</v>
      </c>
      <c r="AJ254" s="58">
        <f>$AL$259</f>
        <v>0</v>
      </c>
      <c r="AK254" s="58">
        <f>$AL$259</f>
        <v>0</v>
      </c>
      <c r="AL254" s="42" t="n"/>
      <c r="AM254" s="58">
        <f>$AL$259</f>
        <v>0</v>
      </c>
      <c r="AN254" s="58">
        <f>$AL$259</f>
        <v>0</v>
      </c>
      <c r="AO254" s="58">
        <f>$AL$259</f>
        <v>0</v>
      </c>
      <c r="AP254" s="58">
        <f>$AL$259</f>
        <v>0</v>
      </c>
      <c r="AQ254" s="42" t="n"/>
      <c r="AR254" s="58">
        <f>$AL$259</f>
        <v>0</v>
      </c>
      <c r="AS254" s="58">
        <f>$AL$259</f>
        <v>0</v>
      </c>
      <c r="AT254" s="58">
        <f>$AL$259</f>
        <v>0</v>
      </c>
      <c r="AU254" s="58">
        <f>$AL$259</f>
        <v>0</v>
      </c>
      <c r="AV254" s="42" t="n"/>
      <c r="AW254" s="58">
        <f>$AL$259</f>
        <v>0</v>
      </c>
      <c r="AX254" s="58">
        <f>$AL$259</f>
        <v>0</v>
      </c>
      <c r="AY254" s="58">
        <f>$AL$259</f>
        <v>0</v>
      </c>
      <c r="AZ254" s="58">
        <f>$AL$259</f>
        <v>0</v>
      </c>
      <c r="BA254" s="42" t="n"/>
      <c r="BB254" s="58">
        <f>$AL$259</f>
        <v>0</v>
      </c>
      <c r="BC254" s="58">
        <f>$AL$259</f>
        <v>0</v>
      </c>
      <c r="BD254" s="58">
        <f>$AL$259</f>
        <v>0</v>
      </c>
      <c r="BE254" s="58">
        <f>$AL$259</f>
        <v>0</v>
      </c>
      <c r="BF254" s="42" t="n"/>
      <c r="BG254" s="58" t="n"/>
      <c r="BH254" s="58" t="n"/>
      <c r="BI254" s="58" t="n"/>
      <c r="BJ254" s="58" t="n"/>
      <c r="BK254" s="42" t="n"/>
      <c r="BL254" s="58" t="n"/>
      <c r="BM254" s="58" t="n"/>
      <c r="BN254" s="58" t="n"/>
      <c r="BO254" s="58" t="n"/>
      <c r="BP254" s="42" t="n"/>
      <c r="BQ254" s="58" t="n"/>
      <c r="BR254" s="58" t="n"/>
      <c r="BS254" s="58" t="n"/>
      <c r="BT254" s="58" t="n"/>
      <c r="BU254" s="42" t="n"/>
      <c r="BV254" s="58" t="n"/>
      <c r="BW254" s="58" t="n"/>
      <c r="BX254" s="58" t="n"/>
      <c r="BY254" s="58" t="n"/>
      <c r="BZ254" s="42" t="n"/>
      <c r="CA254" s="58" t="n"/>
      <c r="CB254" s="58" t="n"/>
      <c r="CC254" s="58" t="n"/>
      <c r="CD254" s="58" t="n"/>
      <c r="CE254" s="42" t="n"/>
      <c r="CF254" s="58" t="n"/>
      <c r="CG254" s="58" t="n"/>
      <c r="CH254" s="58" t="n"/>
      <c r="CI254" s="58" t="n"/>
      <c r="CJ254" s="42" t="n"/>
      <c r="CK254" s="58" t="n"/>
      <c r="CL254" s="58" t="n"/>
      <c r="CM254" s="58" t="n"/>
      <c r="CN254" s="58" t="n"/>
      <c r="CO254" s="42" t="n"/>
      <c r="CP254" s="58" t="n"/>
      <c r="CQ254" s="58" t="n"/>
      <c r="CR254" s="58" t="n"/>
      <c r="CS254" s="58" t="n"/>
      <c r="CT254" s="42" t="n"/>
      <c r="CU254" s="58" t="n"/>
      <c r="CV254" s="58" t="n"/>
      <c r="CW254" s="58" t="n"/>
      <c r="CX254" s="58" t="n"/>
      <c r="CY254" s="42" t="n"/>
    </row>
    <row r="255" hidden="1" outlineLevel="1" customFormat="1" s="66">
      <c r="A255" s="37" t="n"/>
      <c r="B255" s="37" t="n"/>
      <c r="C255" s="67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12" t="n"/>
      <c r="AI255" s="12" t="n"/>
      <c r="AJ255" s="12" t="n"/>
      <c r="AK255" s="12" t="n"/>
      <c r="AL255" s="42" t="n"/>
      <c r="AM255" s="12" t="n"/>
      <c r="AN255" s="12" t="n"/>
      <c r="AO255" s="12" t="n"/>
      <c r="AP255" s="12" t="n"/>
      <c r="AQ255" s="42" t="n"/>
      <c r="AR255" s="12" t="n"/>
      <c r="AS255" s="12" t="n"/>
      <c r="AT255" s="12" t="n"/>
      <c r="AU255" s="12" t="n"/>
      <c r="AV255" s="42" t="n"/>
      <c r="AW255" s="12" t="n"/>
      <c r="AX255" s="12" t="n"/>
      <c r="AY255" s="12" t="n"/>
      <c r="AZ255" s="12" t="n"/>
      <c r="BA255" s="42" t="n"/>
      <c r="BB255" s="12" t="n"/>
      <c r="BC255" s="12" t="n"/>
      <c r="BD255" s="12" t="n"/>
      <c r="BE255" s="12" t="n"/>
      <c r="BF255" s="42" t="n"/>
      <c r="BG255" s="12" t="n"/>
      <c r="BH255" s="12" t="n"/>
      <c r="BI255" s="12" t="n"/>
      <c r="BJ255" s="12" t="n"/>
      <c r="BK255" s="42" t="n"/>
      <c r="BL255" s="12" t="n"/>
      <c r="BM255" s="12" t="n"/>
      <c r="BN255" s="12" t="n"/>
      <c r="BO255" s="12" t="n"/>
      <c r="BP255" s="42" t="n"/>
      <c r="BQ255" s="12" t="n"/>
      <c r="BR255" s="12" t="n"/>
      <c r="BS255" s="12" t="n"/>
      <c r="BT255" s="12" t="n"/>
      <c r="BU255" s="42" t="n"/>
      <c r="BV255" s="12" t="n"/>
      <c r="BW255" s="12" t="n"/>
      <c r="BX255" s="12" t="n"/>
      <c r="BY255" s="12" t="n"/>
      <c r="BZ255" s="42" t="n"/>
      <c r="CA255" s="12" t="n"/>
      <c r="CB255" s="12" t="n"/>
      <c r="CC255" s="12" t="n"/>
      <c r="CD255" s="12" t="n"/>
      <c r="CE255" s="42" t="n"/>
      <c r="CF255" s="12" t="n"/>
      <c r="CG255" s="12" t="n"/>
      <c r="CH255" s="12" t="n"/>
      <c r="CI255" s="12" t="n"/>
      <c r="CJ255" s="42" t="n"/>
      <c r="CK255" s="12" t="n"/>
      <c r="CL255" s="12" t="n"/>
      <c r="CM255" s="12" t="n"/>
      <c r="CN255" s="12" t="n"/>
      <c r="CO255" s="42" t="n"/>
      <c r="CP255" s="12" t="n"/>
      <c r="CQ255" s="12" t="n"/>
      <c r="CR255" s="12" t="n"/>
      <c r="CS255" s="12" t="n"/>
      <c r="CT255" s="42" t="n"/>
      <c r="CU255" s="12" t="n"/>
      <c r="CV255" s="12" t="n"/>
      <c r="CW255" s="12" t="n"/>
      <c r="CX255" s="12" t="n"/>
      <c r="CY255" s="42" t="n"/>
    </row>
    <row r="256" hidden="1" outlineLevel="1" customFormat="1" s="66">
      <c r="A256" s="37" t="n"/>
      <c r="B256" s="37" t="n"/>
      <c r="C256" s="67" t="inlineStr">
        <is>
          <t>Shares repurchased</t>
        </is>
      </c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69" t="str">
        <f>IFERROR(-AH251/AH253,"")</f>
        <v/>
      </c>
      <c r="AI256" s="69" t="str">
        <f>IFERROR(-AI251/AI253,"")</f>
        <v/>
      </c>
      <c r="AJ256" s="69" t="str">
        <f>IFERROR(-AJ251/AJ253,"")</f>
        <v/>
      </c>
      <c r="AK256" s="69" t="str">
        <f>IFERROR(-AK251/AK253,"")</f>
        <v/>
      </c>
      <c r="AL256" s="42" t="n"/>
      <c r="AM256" s="69" t="str">
        <f>IFERROR(-AM251/AM253,"")</f>
        <v/>
      </c>
      <c r="AN256" s="69" t="str">
        <f>IFERROR(-AN251/AN253,"")</f>
        <v/>
      </c>
      <c r="AO256" s="69" t="str">
        <f>IFERROR(-AO251/AO253,"")</f>
        <v/>
      </c>
      <c r="AP256" s="69" t="str">
        <f>IFERROR(-AP251/AP253,"")</f>
        <v/>
      </c>
      <c r="AQ256" s="42" t="n"/>
      <c r="AR256" s="69" t="str">
        <f>IFERROR(-AR251/AR253,"")</f>
        <v/>
      </c>
      <c r="AS256" s="69" t="str">
        <f>IFERROR(-AS251/AS253,"")</f>
        <v/>
      </c>
      <c r="AT256" s="69" t="str">
        <f>IFERROR(-AT251/AT253,"")</f>
        <v/>
      </c>
      <c r="AU256" s="69" t="str">
        <f>IFERROR(-AU251/AU253,"")</f>
        <v/>
      </c>
      <c r="AV256" s="42" t="n"/>
      <c r="AW256" s="69" t="str">
        <f>IFERROR(-AW251/AW253,"")</f>
        <v/>
      </c>
      <c r="AX256" s="69" t="str">
        <f>IFERROR(-AX251/AX253,"")</f>
        <v/>
      </c>
      <c r="AY256" s="69" t="str">
        <f>IFERROR(-AY251/AY253,"")</f>
        <v/>
      </c>
      <c r="AZ256" s="69" t="str">
        <f>IFERROR(-AZ251/AZ253,"")</f>
        <v/>
      </c>
      <c r="BA256" s="42" t="n"/>
      <c r="BB256" s="69" t="str">
        <f>IFERROR(-BB251/BB253,"")</f>
        <v/>
      </c>
      <c r="BC256" s="69" t="str">
        <f>IFERROR(-BC251/BC253,"")</f>
        <v/>
      </c>
      <c r="BD256" s="69" t="str">
        <f>IFERROR(-BD251/BD253,"")</f>
        <v/>
      </c>
      <c r="BE256" s="69" t="str">
        <f>IFERROR(-BE251/BE253,"")</f>
        <v/>
      </c>
      <c r="BF256" s="42" t="n"/>
      <c r="BG256" s="69" t="n"/>
      <c r="BH256" s="69" t="n"/>
      <c r="BI256" s="69" t="n"/>
      <c r="BJ256" s="69" t="n"/>
      <c r="BK256" s="42" t="n"/>
      <c r="BL256" s="69" t="n"/>
      <c r="BM256" s="69" t="n"/>
      <c r="BN256" s="69" t="n"/>
      <c r="BO256" s="69" t="n"/>
      <c r="BP256" s="42" t="n"/>
      <c r="BQ256" s="69" t="n"/>
      <c r="BR256" s="69" t="n"/>
      <c r="BS256" s="69" t="n"/>
      <c r="BT256" s="69" t="n"/>
      <c r="BU256" s="42" t="n"/>
      <c r="BV256" s="69" t="n"/>
      <c r="BW256" s="69" t="n"/>
      <c r="BX256" s="69" t="n"/>
      <c r="BY256" s="69" t="n"/>
      <c r="BZ256" s="42" t="n"/>
      <c r="CA256" s="69" t="n"/>
      <c r="CB256" s="69" t="n"/>
      <c r="CC256" s="69" t="n"/>
      <c r="CD256" s="69" t="n"/>
      <c r="CE256" s="42" t="n"/>
      <c r="CF256" s="69" t="n"/>
      <c r="CG256" s="69" t="n"/>
      <c r="CH256" s="69" t="n"/>
      <c r="CI256" s="69" t="n"/>
      <c r="CJ256" s="42" t="n"/>
      <c r="CK256" s="69" t="n"/>
      <c r="CL256" s="69" t="n"/>
      <c r="CM256" s="69" t="n"/>
      <c r="CN256" s="69" t="n"/>
      <c r="CO256" s="42" t="n"/>
      <c r="CP256" s="69" t="n"/>
      <c r="CQ256" s="69" t="n"/>
      <c r="CR256" s="69" t="n"/>
      <c r="CS256" s="69" t="n"/>
      <c r="CT256" s="42" t="n"/>
      <c r="CU256" s="69" t="n"/>
      <c r="CV256" s="69" t="n"/>
      <c r="CW256" s="69" t="n"/>
      <c r="CX256" s="69" t="n"/>
      <c r="CY256" s="42" t="n"/>
    </row>
    <row r="257" hidden="1" outlineLevel="1" customFormat="1" s="66">
      <c r="A257" s="37" t="n"/>
      <c r="B257" s="37" t="n"/>
      <c r="C257" s="67" t="inlineStr">
        <is>
          <t>Shares issued</t>
        </is>
      </c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9" t="n"/>
      <c r="AG257" s="42" t="n"/>
      <c r="AH257" s="69" t="str">
        <f>IFERROR(AH252/AH253,"")</f>
        <v/>
      </c>
      <c r="AI257" s="69" t="str">
        <f>IFERROR(AI252/AI253,"")</f>
        <v/>
      </c>
      <c r="AJ257" s="69" t="str">
        <f>IFERROR(AJ252/AJ253,"")</f>
        <v/>
      </c>
      <c r="AK257" s="69" t="str">
        <f>IFERROR(AK252/AK253,"")</f>
        <v/>
      </c>
      <c r="AL257" s="42" t="n"/>
      <c r="AM257" s="69" t="str">
        <f>IFERROR(AM252/AM253,"")</f>
        <v/>
      </c>
      <c r="AN257" s="69" t="str">
        <f>IFERROR(AN252/AN253,"")</f>
        <v/>
      </c>
      <c r="AO257" s="69" t="str">
        <f>IFERROR(AO252/AO253,"")</f>
        <v/>
      </c>
      <c r="AP257" s="69" t="str">
        <f>IFERROR(AP252/AP253,"")</f>
        <v/>
      </c>
      <c r="AQ257" s="42" t="n"/>
      <c r="AR257" s="69" t="str">
        <f>IFERROR(AR252/AR253,"")</f>
        <v/>
      </c>
      <c r="AS257" s="69" t="str">
        <f>IFERROR(AS252/AS253,"")</f>
        <v/>
      </c>
      <c r="AT257" s="69" t="str">
        <f>IFERROR(AT252/AT253,"")</f>
        <v/>
      </c>
      <c r="AU257" s="69" t="str">
        <f>IFERROR(AU252/AU253,"")</f>
        <v/>
      </c>
      <c r="AV257" s="42" t="n"/>
      <c r="AW257" s="69" t="str">
        <f>IFERROR(AW252/AW253,"")</f>
        <v/>
      </c>
      <c r="AX257" s="69" t="str">
        <f>IFERROR(AX252/AX253,"")</f>
        <v/>
      </c>
      <c r="AY257" s="69" t="str">
        <f>IFERROR(AY252/AY253,"")</f>
        <v/>
      </c>
      <c r="AZ257" s="69" t="str">
        <f>IFERROR(AZ252/AZ253,"")</f>
        <v/>
      </c>
      <c r="BA257" s="42" t="n"/>
      <c r="BB257" s="69" t="str">
        <f>IFERROR(BB252/BB253,"")</f>
        <v/>
      </c>
      <c r="BC257" s="69" t="str">
        <f>IFERROR(BC252/BC253,"")</f>
        <v/>
      </c>
      <c r="BD257" s="69" t="str">
        <f>IFERROR(BD252/BD253,"")</f>
        <v/>
      </c>
      <c r="BE257" s="69" t="str">
        <f>IFERROR(BE252/BE253,"")</f>
        <v/>
      </c>
      <c r="BF257" s="42" t="n"/>
      <c r="BG257" s="69" t="n"/>
      <c r="BH257" s="69" t="n"/>
      <c r="BI257" s="69" t="n"/>
      <c r="BJ257" s="69" t="n"/>
      <c r="BK257" s="42" t="n"/>
      <c r="BL257" s="69" t="n"/>
      <c r="BM257" s="69" t="n"/>
      <c r="BN257" s="69" t="n"/>
      <c r="BO257" s="69" t="n"/>
      <c r="BP257" s="42" t="n"/>
      <c r="BQ257" s="69" t="n"/>
      <c r="BR257" s="69" t="n"/>
      <c r="BS257" s="69" t="n"/>
      <c r="BT257" s="69" t="n"/>
      <c r="BU257" s="42" t="n"/>
      <c r="BV257" s="69" t="n"/>
      <c r="BW257" s="69" t="n"/>
      <c r="BX257" s="69" t="n"/>
      <c r="BY257" s="69" t="n"/>
      <c r="BZ257" s="42" t="n"/>
      <c r="CA257" s="69" t="n"/>
      <c r="CB257" s="69" t="n"/>
      <c r="CC257" s="69" t="n"/>
      <c r="CD257" s="69" t="n"/>
      <c r="CE257" s="42" t="n"/>
      <c r="CF257" s="69" t="n"/>
      <c r="CG257" s="69" t="n"/>
      <c r="CH257" s="69" t="n"/>
      <c r="CI257" s="69" t="n"/>
      <c r="CJ257" s="42" t="n"/>
      <c r="CK257" s="69" t="n"/>
      <c r="CL257" s="69" t="n"/>
      <c r="CM257" s="69" t="n"/>
      <c r="CN257" s="69" t="n"/>
      <c r="CO257" s="42" t="n"/>
      <c r="CP257" s="69" t="n"/>
      <c r="CQ257" s="69" t="n"/>
      <c r="CR257" s="69" t="n"/>
      <c r="CS257" s="69" t="n"/>
      <c r="CT257" s="42" t="n"/>
      <c r="CU257" s="69" t="n"/>
      <c r="CV257" s="69" t="n"/>
      <c r="CW257" s="69" t="n"/>
      <c r="CX257" s="69" t="n"/>
      <c r="CY257" s="42" t="n"/>
    </row>
    <row r="258" hidden="1" outlineLevel="1" customFormat="1" s="66">
      <c r="A258" s="37" t="n"/>
      <c r="B258" s="37" t="n"/>
      <c r="C258" s="67" t="inlineStr">
        <is>
          <t>End of period basic shares outstanding</t>
        </is>
      </c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3" t="str">
        <f>IFERROR(AG258+AH257-AH256,"")</f>
        <v/>
      </c>
      <c r="AI258" s="3" t="str">
        <f>IFERROR(AH258+AI257-AI256,"")</f>
        <v/>
      </c>
      <c r="AJ258" s="69" t="str">
        <f>IFERROR(AH258+AJ257-AJ256,"")</f>
        <v/>
      </c>
      <c r="AK258" s="69" t="str">
        <f>IFERROR(AJ258+AK257-AK256,"")</f>
        <v/>
      </c>
      <c r="AL258" s="42" t="n"/>
      <c r="AM258" s="3" t="str">
        <f>IFERROR(AK258+AM257-AM256,"")</f>
        <v/>
      </c>
      <c r="AN258" s="3" t="str">
        <f>IFERROR(AM258+AN257-AN256,"")</f>
        <v/>
      </c>
      <c r="AO258" s="69" t="str">
        <f>IFERROR(AM258+AO257-AO256,"")</f>
        <v/>
      </c>
      <c r="AP258" s="69" t="str">
        <f>IFERROR(AO258+AP257-AP256,"")</f>
        <v/>
      </c>
      <c r="AQ258" s="42" t="n"/>
      <c r="AR258" s="3" t="str">
        <f>IFERROR(AP258+AR257-AR256,"")</f>
        <v/>
      </c>
      <c r="AS258" s="3" t="str">
        <f>IFERROR(AR258+AS257-AS256,"")</f>
        <v/>
      </c>
      <c r="AT258" s="69" t="str">
        <f>IFERROR(AR258+AT257-AT256,"")</f>
        <v/>
      </c>
      <c r="AU258" s="69" t="str">
        <f>IFERROR(AT258+AU257-AU256,"")</f>
        <v/>
      </c>
      <c r="AV258" s="42" t="n"/>
      <c r="AW258" s="3" t="str">
        <f>IFERROR(AU258+AW257-AW256,"")</f>
        <v/>
      </c>
      <c r="AX258" s="3" t="str">
        <f>IFERROR(AW258+AX257-AX256,"")</f>
        <v/>
      </c>
      <c r="AY258" s="69" t="str">
        <f>IFERROR(AW258+AY257-AY256,"")</f>
        <v/>
      </c>
      <c r="AZ258" s="69" t="str">
        <f>IFERROR(AY258+AZ257-AZ256,"")</f>
        <v/>
      </c>
      <c r="BA258" s="42" t="n"/>
      <c r="BB258" s="3" t="str">
        <f>IFERROR(AZ258+BB257-BB256,"")</f>
        <v/>
      </c>
      <c r="BC258" s="3" t="str">
        <f>IFERROR(BB258+BC257-BC256,"")</f>
        <v/>
      </c>
      <c r="BD258" s="69" t="str">
        <f>IFERROR(BB258+BD257-BD256,"")</f>
        <v/>
      </c>
      <c r="BE258" s="69" t="str">
        <f>IFERROR(BD258+BE257-BE256,"")</f>
        <v/>
      </c>
      <c r="BF258" s="42" t="n"/>
      <c r="BG258" s="3" t="n"/>
      <c r="BH258" s="3" t="n"/>
      <c r="BI258" s="69" t="n"/>
      <c r="BJ258" s="69" t="n"/>
      <c r="BK258" s="42" t="n"/>
      <c r="BL258" s="3" t="n"/>
      <c r="BM258" s="3" t="n"/>
      <c r="BN258" s="69" t="n"/>
      <c r="BO258" s="69" t="n"/>
      <c r="BP258" s="42" t="n"/>
      <c r="BQ258" s="3" t="n"/>
      <c r="BR258" s="3" t="n"/>
      <c r="BS258" s="69" t="n"/>
      <c r="BT258" s="69" t="n"/>
      <c r="BU258" s="42" t="n"/>
      <c r="BV258" s="3" t="n"/>
      <c r="BW258" s="3" t="n"/>
      <c r="BX258" s="69" t="n"/>
      <c r="BY258" s="69" t="n"/>
      <c r="BZ258" s="42" t="n"/>
      <c r="CA258" s="3" t="n"/>
      <c r="CB258" s="3" t="n"/>
      <c r="CC258" s="69" t="n"/>
      <c r="CD258" s="69" t="n"/>
      <c r="CE258" s="42" t="n"/>
      <c r="CF258" s="3" t="n"/>
      <c r="CG258" s="3" t="n"/>
      <c r="CH258" s="69" t="n"/>
      <c r="CI258" s="69" t="n"/>
      <c r="CJ258" s="42" t="n"/>
      <c r="CK258" s="3" t="n"/>
      <c r="CL258" s="3" t="n"/>
      <c r="CM258" s="69" t="n"/>
      <c r="CN258" s="69" t="n"/>
      <c r="CO258" s="42" t="n"/>
      <c r="CP258" s="3" t="n"/>
      <c r="CQ258" s="3" t="n"/>
      <c r="CR258" s="69" t="n"/>
      <c r="CS258" s="69" t="n"/>
      <c r="CT258" s="42" t="n"/>
      <c r="CU258" s="3" t="n"/>
      <c r="CV258" s="3" t="n"/>
      <c r="CW258" s="69" t="n"/>
      <c r="CX258" s="69" t="n"/>
      <c r="CY258" s="42" t="n"/>
    </row>
    <row r="259" hidden="1" outlineLevel="1" customFormat="1" s="66">
      <c r="A259" s="37" t="n"/>
      <c r="B259" s="37" t="n"/>
      <c r="C259" s="67" t="inlineStr">
        <is>
          <t>Weighted average basic shares outstanding</t>
        </is>
      </c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69" t="str">
        <f>IFERROR(AVERAGE(AG258,AH258),"")</f>
        <v/>
      </c>
      <c r="AI259" s="69" t="str">
        <f>IFERROR(AVERAGE(AH258,AI258),"")</f>
        <v/>
      </c>
      <c r="AJ259" s="69" t="str">
        <f>IFERROR(AVERAGE(AH258,AJ258),"")</f>
        <v/>
      </c>
      <c r="AK259" s="69" t="str">
        <f>IFERROR(AVERAGE(AJ258,AK258),"")</f>
        <v/>
      </c>
      <c r="AL259" s="42" t="n"/>
      <c r="AM259" s="69" t="str">
        <f>IFERROR(AVERAGE(AL258,AM258),"")</f>
        <v/>
      </c>
      <c r="AN259" s="69" t="str">
        <f>IFERROR(AVERAGE(AM258,AN258),"")</f>
        <v/>
      </c>
      <c r="AO259" s="69" t="str">
        <f>IFERROR(AVERAGE(AM258,AO258),"")</f>
        <v/>
      </c>
      <c r="AP259" s="69" t="str">
        <f>IFERROR(AVERAGE(AO258,AP258),"")</f>
        <v/>
      </c>
      <c r="AQ259" s="42" t="n"/>
      <c r="AR259" s="69" t="str">
        <f>IFERROR(AVERAGE(AQ258,AR258),"")</f>
        <v/>
      </c>
      <c r="AS259" s="69" t="str">
        <f>IFERROR(AVERAGE(AR258,AS258),"")</f>
        <v/>
      </c>
      <c r="AT259" s="69" t="str">
        <f>IFERROR(AVERAGE(AR258,AT258),"")</f>
        <v/>
      </c>
      <c r="AU259" s="69" t="str">
        <f>IFERROR(AVERAGE(AT258,AU258),"")</f>
        <v/>
      </c>
      <c r="AV259" s="42" t="n"/>
      <c r="AW259" s="69" t="str">
        <f>IFERROR(AVERAGE(AV258,AW258),"")</f>
        <v/>
      </c>
      <c r="AX259" s="69" t="str">
        <f>IFERROR(AVERAGE(AW258,AX258),"")</f>
        <v/>
      </c>
      <c r="AY259" s="69" t="str">
        <f>IFERROR(AVERAGE(AW258,AY258),"")</f>
        <v/>
      </c>
      <c r="AZ259" s="69" t="str">
        <f>IFERROR(AVERAGE(AY258,AZ258),"")</f>
        <v/>
      </c>
      <c r="BA259" s="42" t="n"/>
      <c r="BB259" s="69" t="str">
        <f>IFERROR(AVERAGE(BA258,BB258),"")</f>
        <v/>
      </c>
      <c r="BC259" s="69" t="str">
        <f>IFERROR(AVERAGE(BB258,BC258),"")</f>
        <v/>
      </c>
      <c r="BD259" s="69" t="str">
        <f>IFERROR(AVERAGE(BB258,BD258),"")</f>
        <v/>
      </c>
      <c r="BE259" s="69" t="str">
        <f>IFERROR(AVERAGE(BD258,BE258),"")</f>
        <v/>
      </c>
      <c r="BF259" s="42" t="n"/>
      <c r="BG259" s="69" t="n"/>
      <c r="BH259" s="69" t="n"/>
      <c r="BI259" s="69" t="n"/>
      <c r="BJ259" s="69" t="n"/>
      <c r="BK259" s="42" t="n"/>
      <c r="BL259" s="69" t="n"/>
      <c r="BM259" s="69" t="n"/>
      <c r="BN259" s="69" t="n"/>
      <c r="BO259" s="69" t="n"/>
      <c r="BP259" s="42" t="n"/>
      <c r="BQ259" s="69" t="n"/>
      <c r="BR259" s="69" t="n"/>
      <c r="BS259" s="69" t="n"/>
      <c r="BT259" s="69" t="n"/>
      <c r="BU259" s="42" t="n"/>
      <c r="BV259" s="69" t="n"/>
      <c r="BW259" s="69" t="n"/>
      <c r="BX259" s="69" t="n"/>
      <c r="BY259" s="69" t="n"/>
      <c r="BZ259" s="42" t="n"/>
      <c r="CA259" s="69" t="n"/>
      <c r="CB259" s="69" t="n"/>
      <c r="CC259" s="69" t="n"/>
      <c r="CD259" s="69" t="n"/>
      <c r="CE259" s="42" t="n"/>
      <c r="CF259" s="69" t="n"/>
      <c r="CG259" s="69" t="n"/>
      <c r="CH259" s="69" t="n"/>
      <c r="CI259" s="69" t="n"/>
      <c r="CJ259" s="42" t="n"/>
      <c r="CK259" s="69" t="n"/>
      <c r="CL259" s="69" t="n"/>
      <c r="CM259" s="69" t="n"/>
      <c r="CN259" s="69" t="n"/>
      <c r="CO259" s="42" t="n"/>
      <c r="CP259" s="69" t="n"/>
      <c r="CQ259" s="69" t="n"/>
      <c r="CR259" s="69" t="n"/>
      <c r="CS259" s="69" t="n"/>
      <c r="CT259" s="42" t="n"/>
      <c r="CU259" s="69" t="n"/>
      <c r="CV259" s="69" t="n"/>
      <c r="CW259" s="69" t="n"/>
      <c r="CX259" s="69" t="n"/>
      <c r="CY259" s="42" t="n"/>
    </row>
    <row r="260" hidden="1" outlineLevel="1" customFormat="1" s="66">
      <c r="A260" s="37" t="n"/>
      <c r="B260" s="37" t="n"/>
      <c r="C260" s="67" t="n"/>
      <c r="D260" s="42" t="n"/>
      <c r="E260" s="42" t="n"/>
      <c r="F260" s="42" t="n"/>
      <c r="G260" s="42" t="n"/>
      <c r="H260" s="12" t="n"/>
      <c r="I260" s="42" t="n"/>
      <c r="J260" s="42" t="n"/>
      <c r="K260" s="42" t="n"/>
      <c r="L260" s="42" t="n"/>
      <c r="M260" s="12" t="n"/>
      <c r="N260" s="42" t="n"/>
      <c r="O260" s="42" t="n"/>
      <c r="P260" s="42" t="n"/>
      <c r="Q260" s="42" t="n"/>
      <c r="R260" s="12" t="n"/>
      <c r="S260" s="42" t="n"/>
      <c r="T260" s="42" t="n"/>
      <c r="U260" s="42" t="n"/>
      <c r="V260" s="42" t="n"/>
      <c r="W260" s="12" t="n"/>
      <c r="X260" s="42" t="n"/>
      <c r="Y260" s="42" t="n"/>
      <c r="Z260" s="42" t="n"/>
      <c r="AA260" s="42" t="n"/>
      <c r="AB260" s="12" t="n"/>
      <c r="AC260" s="42" t="n"/>
      <c r="AD260" s="42" t="n"/>
      <c r="AE260" s="42" t="n"/>
      <c r="AF260" s="42" t="n"/>
      <c r="AG260" s="12" t="n"/>
      <c r="AH260" s="42" t="n"/>
      <c r="AI260" s="42" t="n"/>
      <c r="AJ260" s="42" t="n"/>
      <c r="AK260" s="42" t="n"/>
      <c r="AL260" s="12" t="n"/>
      <c r="AM260" s="42" t="n"/>
      <c r="AN260" s="42" t="n"/>
      <c r="AO260" s="42" t="n"/>
      <c r="AP260" s="42" t="n"/>
      <c r="AQ260" s="12" t="n"/>
      <c r="AR260" s="42" t="n"/>
      <c r="AS260" s="42" t="n"/>
      <c r="AT260" s="42" t="n"/>
      <c r="AU260" s="42" t="n"/>
      <c r="AV260" s="12" t="n"/>
      <c r="AW260" s="42" t="n"/>
      <c r="AX260" s="42" t="n"/>
      <c r="AY260" s="42" t="n"/>
      <c r="AZ260" s="42" t="n"/>
      <c r="BA260" s="12" t="n"/>
      <c r="BB260" s="42" t="n"/>
      <c r="BC260" s="42" t="n"/>
      <c r="BD260" s="42" t="n"/>
      <c r="BE260" s="42" t="n"/>
      <c r="BF260" s="12" t="n"/>
      <c r="BG260" s="42" t="n"/>
      <c r="BH260" s="42" t="n"/>
      <c r="BI260" s="42" t="n"/>
      <c r="BJ260" s="42" t="n"/>
      <c r="BK260" s="12" t="n"/>
      <c r="BL260" s="42" t="n"/>
      <c r="BM260" s="42" t="n"/>
      <c r="BN260" s="42" t="n"/>
      <c r="BO260" s="42" t="n"/>
      <c r="BP260" s="12" t="n"/>
      <c r="BQ260" s="42" t="n"/>
      <c r="BR260" s="42" t="n"/>
      <c r="BS260" s="42" t="n"/>
      <c r="BT260" s="42" t="n"/>
      <c r="BU260" s="12" t="n"/>
      <c r="BV260" s="42" t="n"/>
      <c r="BW260" s="42" t="n"/>
      <c r="BX260" s="42" t="n"/>
      <c r="BY260" s="42" t="n"/>
      <c r="BZ260" s="12" t="n"/>
      <c r="CA260" s="42" t="n"/>
      <c r="CB260" s="42" t="n"/>
      <c r="CC260" s="42" t="n"/>
      <c r="CD260" s="42" t="n"/>
      <c r="CE260" s="12" t="n"/>
      <c r="CF260" s="42" t="n"/>
      <c r="CG260" s="42" t="n"/>
      <c r="CH260" s="42" t="n"/>
      <c r="CI260" s="42" t="n"/>
      <c r="CJ260" s="12" t="n"/>
      <c r="CK260" s="42" t="n"/>
      <c r="CL260" s="42" t="n"/>
      <c r="CM260" s="42" t="n"/>
      <c r="CN260" s="42" t="n"/>
      <c r="CO260" s="12" t="n"/>
      <c r="CP260" s="42" t="n"/>
      <c r="CQ260" s="42" t="n"/>
      <c r="CR260" s="42" t="n"/>
      <c r="CS260" s="42" t="n"/>
      <c r="CT260" s="12" t="n"/>
      <c r="CU260" s="42" t="n"/>
      <c r="CV260" s="42" t="n"/>
      <c r="CW260" s="42" t="n"/>
      <c r="CX260" s="42" t="n"/>
      <c r="CY260" s="12" t="n"/>
    </row>
    <row r="261" collapsed="1">
      <c r="C261" s="14" t="inlineStr">
        <is>
          <t>Treasury stock (contra account)</t>
        </is>
      </c>
      <c r="D261" s="46" t="n"/>
      <c r="E261" s="46" t="n"/>
      <c r="F261" s="46" t="n"/>
      <c r="G261" s="46" t="n"/>
      <c r="H261" s="12" t="n"/>
      <c r="I261" s="46">
        <f>'Inputs (2)'!D44</f>
        <v>0</v>
      </c>
      <c r="J261" s="46">
        <f>'Inputs (2)'!E44</f>
        <v>0</v>
      </c>
      <c r="K261" s="46">
        <f>'Inputs (2)'!F44</f>
        <v>0</v>
      </c>
      <c r="L261" s="46">
        <f>'Inputs (2)'!G44</f>
        <v>0</v>
      </c>
      <c r="M261" s="12">
        <f>'Inputs (2)'!H44</f>
        <v>0</v>
      </c>
      <c r="N261" s="46">
        <f>'Inputs (2)'!I44</f>
        <v>0</v>
      </c>
      <c r="O261" s="46">
        <f>'Inputs (2)'!J44</f>
        <v>0</v>
      </c>
      <c r="P261" s="46">
        <f>'Inputs (2)'!K44</f>
        <v>0</v>
      </c>
      <c r="Q261" s="46">
        <f>'Inputs (2)'!L44</f>
        <v>0</v>
      </c>
      <c r="R261" s="12">
        <f>'Inputs (2)'!M44</f>
        <v>0</v>
      </c>
      <c r="S261" s="46">
        <f>'Inputs (2)'!N44</f>
        <v>0</v>
      </c>
      <c r="T261" s="46">
        <f>'Inputs (2)'!O44</f>
        <v>0</v>
      </c>
      <c r="U261" s="46">
        <f>'Inputs (2)'!P44</f>
        <v>0</v>
      </c>
      <c r="V261" s="46">
        <f>'Inputs (2)'!Q44</f>
        <v>0</v>
      </c>
      <c r="W261" s="12">
        <f>'Inputs (2)'!R44</f>
        <v>0</v>
      </c>
      <c r="X261" s="46">
        <f>'Inputs (2)'!S44</f>
        <v>0</v>
      </c>
      <c r="Y261" s="46">
        <f>'Inputs (2)'!T44</f>
        <v>0</v>
      </c>
      <c r="Z261" s="46">
        <f>'Inputs (2)'!U44</f>
        <v>0</v>
      </c>
      <c r="AA261" s="46">
        <f>'Inputs (2)'!V44</f>
        <v>0</v>
      </c>
      <c r="AB261" s="12">
        <f>'Inputs (2)'!W44</f>
        <v>0</v>
      </c>
      <c r="AC261" s="46">
        <f>'Inputs (2)'!X44</f>
        <v>0</v>
      </c>
      <c r="AD261" s="46">
        <f>'Inputs (2)'!Y44</f>
        <v>0</v>
      </c>
      <c r="AE261" s="46">
        <f>'Inputs (2)'!Z44</f>
        <v>0</v>
      </c>
      <c r="AF261" s="46">
        <f>'Inputs (2)'!AA44</f>
        <v>0</v>
      </c>
      <c r="AG261" s="12">
        <f>'Inputs (2)'!AB44</f>
        <v>0</v>
      </c>
      <c r="AH261" s="12">
        <f>'Inputs (2)'!AC44</f>
        <v>0</v>
      </c>
      <c r="AI261" s="12">
        <f>'Inputs (2)'!AD44</f>
        <v>0</v>
      </c>
      <c r="AJ261" s="12">
        <f>AI261</f>
        <v>0</v>
      </c>
      <c r="AK261" s="12">
        <f>AJ261</f>
        <v>0</v>
      </c>
      <c r="AL261" s="12">
        <f>AK261</f>
        <v>0</v>
      </c>
      <c r="AM261" s="12">
        <f>AL261</f>
        <v>0</v>
      </c>
      <c r="AN261" s="12">
        <f>AM261</f>
        <v>0</v>
      </c>
      <c r="AO261" s="12">
        <f>AN261</f>
        <v>0</v>
      </c>
      <c r="AP261" s="12">
        <f>AO261</f>
        <v>0</v>
      </c>
      <c r="AQ261" s="12">
        <f>AP261</f>
        <v>0</v>
      </c>
      <c r="AR261" s="12">
        <f>AQ261</f>
        <v>0</v>
      </c>
      <c r="AS261" s="12">
        <f>AR261</f>
        <v>0</v>
      </c>
      <c r="AT261" s="12">
        <f>AS261</f>
        <v>0</v>
      </c>
      <c r="AU261" s="12">
        <f>AT261</f>
        <v>0</v>
      </c>
      <c r="AV261" s="12">
        <f>AU261</f>
        <v>0</v>
      </c>
      <c r="AW261" s="12">
        <f>AV261</f>
        <v>0</v>
      </c>
      <c r="AX261" s="12">
        <f>AW261</f>
        <v>0</v>
      </c>
      <c r="AY261" s="12">
        <f>AX261</f>
        <v>0</v>
      </c>
      <c r="AZ261" s="12">
        <f>AY261</f>
        <v>0</v>
      </c>
      <c r="BA261" s="12">
        <f>AZ261</f>
        <v>0</v>
      </c>
      <c r="BB261" s="12">
        <f>BA261</f>
        <v>0</v>
      </c>
      <c r="BC261" s="12">
        <f>BB261</f>
        <v>0</v>
      </c>
      <c r="BD261" s="12">
        <f>BC261</f>
        <v>0</v>
      </c>
      <c r="BE261" s="12">
        <f>BD261</f>
        <v>0</v>
      </c>
      <c r="BF261" s="12">
        <f>BE261</f>
        <v>0</v>
      </c>
      <c r="BG261" s="12" t="n"/>
      <c r="BH261" s="12" t="n"/>
      <c r="BI261" s="12" t="n"/>
      <c r="BJ261" s="12" t="n"/>
      <c r="BK261" s="12" t="n"/>
      <c r="BL261" s="12" t="n"/>
      <c r="BM261" s="12" t="n"/>
      <c r="BN261" s="12" t="n"/>
      <c r="BO261" s="12" t="n"/>
      <c r="BP261" s="12" t="n"/>
      <c r="BQ261" s="12" t="n"/>
      <c r="BR261" s="12" t="n"/>
      <c r="BS261" s="12" t="n"/>
      <c r="BT261" s="12" t="n"/>
      <c r="BU261" s="12" t="n"/>
      <c r="BV261" s="12" t="n"/>
      <c r="BW261" s="12" t="n"/>
      <c r="BX261" s="12" t="n"/>
      <c r="BY261" s="12" t="n"/>
      <c r="BZ261" s="12" t="n"/>
      <c r="CA261" s="12" t="n"/>
      <c r="CB261" s="12" t="n"/>
      <c r="CC261" s="12" t="n"/>
      <c r="CD261" s="12" t="n"/>
      <c r="CE261" s="12" t="n"/>
      <c r="CF261" s="12" t="n"/>
      <c r="CG261" s="12" t="n"/>
      <c r="CH261" s="12" t="n"/>
      <c r="CI261" s="12" t="n"/>
      <c r="CJ261" s="12" t="n"/>
      <c r="CK261" s="12" t="n"/>
      <c r="CL261" s="12" t="n"/>
      <c r="CM261" s="12" t="n"/>
      <c r="CN261" s="12" t="n"/>
      <c r="CO261" s="12" t="n"/>
      <c r="CP261" s="12" t="n"/>
      <c r="CQ261" s="12" t="n"/>
      <c r="CR261" s="12" t="n"/>
      <c r="CS261" s="12" t="n"/>
      <c r="CT261" s="12" t="n"/>
      <c r="CU261" s="12" t="n"/>
      <c r="CV261" s="12" t="n"/>
      <c r="CW261" s="12" t="n"/>
      <c r="CX261" s="12" t="n"/>
      <c r="CY261" s="12" t="n"/>
    </row>
    <row r="262">
      <c r="C262" s="14" t="inlineStr">
        <is>
          <t>Comprehensive (accumulated) loss</t>
        </is>
      </c>
      <c r="D262" s="46" t="n"/>
      <c r="E262" s="46" t="n"/>
      <c r="F262" s="46" t="n"/>
      <c r="G262" s="46" t="n"/>
      <c r="H262" s="12" t="n"/>
      <c r="I262" s="46">
        <f>'Inputs (2)'!D45</f>
        <v>-286</v>
      </c>
      <c r="J262" s="46">
        <f>'Inputs (2)'!E45</f>
        <v>58</v>
      </c>
      <c r="K262" s="46">
        <f>'Inputs (2)'!F45</f>
        <v>163</v>
      </c>
      <c r="L262" s="46">
        <f>'Inputs (2)'!G45</f>
        <v>-927</v>
      </c>
      <c r="M262" s="12">
        <f>'Inputs (2)'!H45</f>
        <v>-927</v>
      </c>
      <c r="N262" s="46">
        <f>'Inputs (2)'!I45</f>
        <v>-6494</v>
      </c>
      <c r="O262" s="46">
        <f>'Inputs (2)'!J45</f>
        <v>-9297</v>
      </c>
      <c r="P262" s="46">
        <f>'Inputs (2)'!K45</f>
        <v>-11109</v>
      </c>
      <c r="Q262" s="46">
        <f>'Inputs (2)'!L45</f>
        <v>-12912</v>
      </c>
      <c r="R262" s="12">
        <f>'Inputs (2)'!M45</f>
        <v>-12912</v>
      </c>
      <c r="S262" s="46">
        <f>'Inputs (2)'!N45</f>
        <v>-11746</v>
      </c>
      <c r="T262" s="46">
        <f>'Inputs (2)'!O45</f>
        <v>-11801</v>
      </c>
      <c r="U262" s="46">
        <f>'Inputs (2)'!P45</f>
        <v>-11452</v>
      </c>
      <c r="V262" s="46">
        <f>'Inputs (2)'!Q45</f>
        <v>-9378</v>
      </c>
      <c r="W262" s="12">
        <f>'Inputs (2)'!R45</f>
        <v>-9378</v>
      </c>
      <c r="X262" s="46">
        <f>'Inputs (2)'!S45</f>
        <v>-8960</v>
      </c>
      <c r="Y262" s="46">
        <f>'Inputs (2)'!T45</f>
        <v>-8416</v>
      </c>
      <c r="Z262" s="46">
        <f>'Inputs (2)'!U45</f>
        <v>-7172</v>
      </c>
      <c r="AA262" s="46">
        <f>'Inputs (2)'!V45</f>
        <v>-6789</v>
      </c>
      <c r="AB262" s="12">
        <f>'Inputs (2)'!W45</f>
        <v>-6789</v>
      </c>
      <c r="AC262" s="46">
        <f>'Inputs (2)'!X45</f>
        <v>-6363</v>
      </c>
      <c r="AD262" s="46">
        <f>'Inputs (2)'!Y45</f>
        <v>-6369</v>
      </c>
      <c r="AE262" s="46">
        <f>'Inputs (2)'!Z45</f>
        <v>-5571</v>
      </c>
      <c r="AF262" s="46">
        <f>'Inputs (2)'!AA45</f>
        <v>-4854</v>
      </c>
      <c r="AG262" s="12">
        <f>'Inputs (2)'!AB45</f>
        <v>-4854</v>
      </c>
      <c r="AH262" s="12">
        <f>'Inputs (2)'!AC45</f>
        <v>-5375</v>
      </c>
      <c r="AI262" s="12">
        <f>'Inputs (2)'!AD45</f>
        <v>-4508</v>
      </c>
      <c r="AJ262" s="12">
        <f>AI262</f>
        <v>-4508</v>
      </c>
      <c r="AK262" s="12">
        <f>AJ262</f>
        <v>-4508</v>
      </c>
      <c r="AL262" s="12">
        <f>AK262</f>
        <v>-4508</v>
      </c>
      <c r="AM262" s="12">
        <f>AL262</f>
        <v>-4508</v>
      </c>
      <c r="AN262" s="12">
        <f>AM262</f>
        <v>-4508</v>
      </c>
      <c r="AO262" s="12">
        <f>AN262</f>
        <v>-4508</v>
      </c>
      <c r="AP262" s="12">
        <f>AO262</f>
        <v>-4508</v>
      </c>
      <c r="AQ262" s="12">
        <f>AP262</f>
        <v>-4508</v>
      </c>
      <c r="AR262" s="12">
        <f>AQ262</f>
        <v>-4508</v>
      </c>
      <c r="AS262" s="12">
        <f>AR262</f>
        <v>-4508</v>
      </c>
      <c r="AT262" s="12">
        <f>AS262</f>
        <v>-4508</v>
      </c>
      <c r="AU262" s="12">
        <f>AT262</f>
        <v>-4508</v>
      </c>
      <c r="AV262" s="12">
        <f>AU262</f>
        <v>-4508</v>
      </c>
      <c r="AW262" s="12">
        <f>AV262</f>
        <v>-4508</v>
      </c>
      <c r="AX262" s="12">
        <f>AW262</f>
        <v>-4508</v>
      </c>
      <c r="AY262" s="12">
        <f>AX262</f>
        <v>-4508</v>
      </c>
      <c r="AZ262" s="12">
        <f>AY262</f>
        <v>-4508</v>
      </c>
      <c r="BA262" s="12">
        <f>AZ262</f>
        <v>-4508</v>
      </c>
      <c r="BB262" s="12">
        <f>BA262</f>
        <v>-4508</v>
      </c>
      <c r="BC262" s="12">
        <f>BB262</f>
        <v>-4508</v>
      </c>
      <c r="BD262" s="12">
        <f>BC262</f>
        <v>-4508</v>
      </c>
      <c r="BE262" s="12">
        <f>BD262</f>
        <v>-4508</v>
      </c>
      <c r="BF262" s="12">
        <f>BE262</f>
        <v>-4508</v>
      </c>
      <c r="BG262" s="12" t="n"/>
      <c r="BH262" s="12" t="n"/>
      <c r="BI262" s="12" t="n"/>
      <c r="BJ262" s="12" t="n"/>
      <c r="BK262" s="12" t="n"/>
      <c r="BL262" s="12" t="n"/>
      <c r="BM262" s="12" t="n"/>
      <c r="BN262" s="12" t="n"/>
      <c r="BO262" s="12" t="n"/>
      <c r="BP262" s="12" t="n"/>
      <c r="BQ262" s="12" t="n"/>
      <c r="BR262" s="12" t="n"/>
      <c r="BS262" s="12" t="n"/>
      <c r="BT262" s="12" t="n"/>
      <c r="BU262" s="12" t="n"/>
      <c r="BV262" s="12" t="n"/>
      <c r="BW262" s="12" t="n"/>
      <c r="BX262" s="12" t="n"/>
      <c r="BY262" s="12" t="n"/>
      <c r="BZ262" s="12" t="n"/>
      <c r="CA262" s="12" t="n"/>
      <c r="CB262" s="12" t="n"/>
      <c r="CC262" s="12" t="n"/>
      <c r="CD262" s="12" t="n"/>
      <c r="CE262" s="12" t="n"/>
      <c r="CF262" s="12" t="n"/>
      <c r="CG262" s="12" t="n"/>
      <c r="CH262" s="12" t="n"/>
      <c r="CI262" s="12" t="n"/>
      <c r="CJ262" s="12" t="n"/>
      <c r="CK262" s="12" t="n"/>
      <c r="CL262" s="12" t="n"/>
      <c r="CM262" s="12" t="n"/>
      <c r="CN262" s="12" t="n"/>
      <c r="CO262" s="12" t="n"/>
      <c r="CP262" s="12" t="n"/>
      <c r="CQ262" s="12" t="n"/>
      <c r="CR262" s="12" t="n"/>
      <c r="CS262" s="12" t="n"/>
      <c r="CT262" s="12" t="n"/>
      <c r="CU262" s="12" t="n"/>
      <c r="CV262" s="12" t="n"/>
      <c r="CW262" s="12" t="n"/>
      <c r="CX262" s="12" t="n"/>
      <c r="CY262" s="12" t="n"/>
    </row>
    <row r="263">
      <c r="C263" s="14" t="inlineStr">
        <is>
          <t>Other equity account</t>
        </is>
      </c>
      <c r="D263" s="46" t="n"/>
      <c r="E263" s="46" t="n"/>
      <c r="F263" s="46" t="n"/>
      <c r="G263" s="46" t="n"/>
      <c r="H263" s="12" t="n"/>
      <c r="I263" s="46">
        <f>'Inputs (2)'!D46</f>
        <v>0</v>
      </c>
      <c r="J263" s="46">
        <f>'Inputs (2)'!E46</f>
        <v>0</v>
      </c>
      <c r="K263" s="46">
        <f>'Inputs (2)'!F46</f>
        <v>0</v>
      </c>
      <c r="L263" s="46">
        <f>'Inputs (2)'!G46</f>
        <v>0</v>
      </c>
      <c r="M263" s="12">
        <f>'Inputs (2)'!H46</f>
        <v>0</v>
      </c>
      <c r="N263" s="46">
        <f>'Inputs (2)'!I46</f>
        <v>0</v>
      </c>
      <c r="O263" s="46">
        <f>'Inputs (2)'!J46</f>
        <v>0</v>
      </c>
      <c r="P263" s="46">
        <f>'Inputs (2)'!K46</f>
        <v>0</v>
      </c>
      <c r="Q263" s="46">
        <f>'Inputs (2)'!L46</f>
        <v>0</v>
      </c>
      <c r="R263" s="12">
        <f>'Inputs (2)'!M46</f>
        <v>0</v>
      </c>
      <c r="S263" s="46">
        <f>'Inputs (2)'!N46</f>
        <v>0</v>
      </c>
      <c r="T263" s="46">
        <f>'Inputs (2)'!O46</f>
        <v>0</v>
      </c>
      <c r="U263" s="46">
        <f>'Inputs (2)'!P46</f>
        <v>0</v>
      </c>
      <c r="V263" s="46">
        <f>'Inputs (2)'!Q46</f>
        <v>0</v>
      </c>
      <c r="W263" s="12">
        <f>'Inputs (2)'!R46</f>
        <v>0</v>
      </c>
      <c r="X263" s="46">
        <f>'Inputs (2)'!S46</f>
        <v>0</v>
      </c>
      <c r="Y263" s="46">
        <f>'Inputs (2)'!T46</f>
        <v>0</v>
      </c>
      <c r="Z263" s="46">
        <f>'Inputs (2)'!U46</f>
        <v>0</v>
      </c>
      <c r="AA263" s="46">
        <f>'Inputs (2)'!V46</f>
        <v>0</v>
      </c>
      <c r="AB263" s="12">
        <f>'Inputs (2)'!W46</f>
        <v>0</v>
      </c>
      <c r="AC263" s="46">
        <f>'Inputs (2)'!X46</f>
        <v>0</v>
      </c>
      <c r="AD263" s="46">
        <f>'Inputs (2)'!Y46</f>
        <v>0</v>
      </c>
      <c r="AE263" s="46">
        <f>'Inputs (2)'!Z46</f>
        <v>0</v>
      </c>
      <c r="AF263" s="46">
        <f>'Inputs (2)'!AA46</f>
        <v>0</v>
      </c>
      <c r="AG263" s="12">
        <f>'Inputs (2)'!AB46</f>
        <v>0</v>
      </c>
      <c r="AH263" s="12">
        <f>'Inputs (2)'!AC46</f>
        <v>0</v>
      </c>
      <c r="AI263" s="12">
        <f>'Inputs (2)'!AD46</f>
        <v>0</v>
      </c>
      <c r="AJ263" s="12">
        <f>AI263</f>
        <v>0</v>
      </c>
      <c r="AK263" s="12">
        <f>AJ263</f>
        <v>0</v>
      </c>
      <c r="AL263" s="12">
        <f>AK263</f>
        <v>0</v>
      </c>
      <c r="AM263" s="12">
        <f>AL263</f>
        <v>0</v>
      </c>
      <c r="AN263" s="12">
        <f>AM263</f>
        <v>0</v>
      </c>
      <c r="AO263" s="12">
        <f>AN263</f>
        <v>0</v>
      </c>
      <c r="AP263" s="12">
        <f>AO263</f>
        <v>0</v>
      </c>
      <c r="AQ263" s="12">
        <f>AP263</f>
        <v>0</v>
      </c>
      <c r="AR263" s="12">
        <f>AQ263</f>
        <v>0</v>
      </c>
      <c r="AS263" s="12">
        <f>AR263</f>
        <v>0</v>
      </c>
      <c r="AT263" s="12">
        <f>AS263</f>
        <v>0</v>
      </c>
      <c r="AU263" s="12">
        <f>AT263</f>
        <v>0</v>
      </c>
      <c r="AV263" s="12">
        <f>AU263</f>
        <v>0</v>
      </c>
      <c r="AW263" s="12">
        <f>AV263</f>
        <v>0</v>
      </c>
      <c r="AX263" s="12">
        <f>AW263</f>
        <v>0</v>
      </c>
      <c r="AY263" s="12">
        <f>AX263</f>
        <v>0</v>
      </c>
      <c r="AZ263" s="12">
        <f>AY263</f>
        <v>0</v>
      </c>
      <c r="BA263" s="12">
        <f>AZ263</f>
        <v>0</v>
      </c>
      <c r="BB263" s="12">
        <f>BA263</f>
        <v>0</v>
      </c>
      <c r="BC263" s="12">
        <f>BB263</f>
        <v>0</v>
      </c>
      <c r="BD263" s="12">
        <f>BC263</f>
        <v>0</v>
      </c>
      <c r="BE263" s="12">
        <f>BD263</f>
        <v>0</v>
      </c>
      <c r="BF263" s="12">
        <f>BE263</f>
        <v>0</v>
      </c>
      <c r="BG263" s="12" t="n"/>
      <c r="BH263" s="12" t="n"/>
      <c r="BI263" s="12" t="n"/>
      <c r="BJ263" s="12" t="n"/>
      <c r="BK263" s="12" t="n"/>
      <c r="BL263" s="12" t="n"/>
      <c r="BM263" s="12" t="n"/>
      <c r="BN263" s="12" t="n"/>
      <c r="BO263" s="12" t="n"/>
      <c r="BP263" s="12" t="n"/>
      <c r="BQ263" s="12" t="n"/>
      <c r="BR263" s="12" t="n"/>
      <c r="BS263" s="12" t="n"/>
      <c r="BT263" s="12" t="n"/>
      <c r="BU263" s="12" t="n"/>
      <c r="BV263" s="12" t="n"/>
      <c r="BW263" s="12" t="n"/>
      <c r="BX263" s="12" t="n"/>
      <c r="BY263" s="12" t="n"/>
      <c r="BZ263" s="12" t="n"/>
      <c r="CA263" s="12" t="n"/>
      <c r="CB263" s="12" t="n"/>
      <c r="CC263" s="12" t="n"/>
      <c r="CD263" s="12" t="n"/>
      <c r="CE263" s="12" t="n"/>
      <c r="CF263" s="12" t="n"/>
      <c r="CG263" s="12" t="n"/>
      <c r="CH263" s="12" t="n"/>
      <c r="CI263" s="12" t="n"/>
      <c r="CJ263" s="12" t="n"/>
      <c r="CK263" s="12" t="n"/>
      <c r="CL263" s="12" t="n"/>
      <c r="CM263" s="12" t="n"/>
      <c r="CN263" s="12" t="n"/>
      <c r="CO263" s="12" t="n"/>
      <c r="CP263" s="12" t="n"/>
      <c r="CQ263" s="12" t="n"/>
      <c r="CR263" s="12" t="n"/>
      <c r="CS263" s="12" t="n"/>
      <c r="CT263" s="12" t="n"/>
      <c r="CU263" s="12" t="n"/>
      <c r="CV263" s="12" t="n"/>
      <c r="CW263" s="12" t="n"/>
      <c r="CX263" s="12" t="n"/>
      <c r="CY263" s="12" t="n"/>
    </row>
    <row r="264">
      <c r="C264" s="15" t="inlineStr">
        <is>
          <t>Retained earnings</t>
        </is>
      </c>
      <c r="D264" s="46" t="n"/>
      <c r="E264" s="46" t="n"/>
      <c r="F264" s="46" t="n"/>
      <c r="G264" s="46" t="n"/>
      <c r="H264" s="12" t="n"/>
      <c r="I264" s="46">
        <f>'Inputs (2)'!D47</f>
        <v>15261</v>
      </c>
      <c r="J264" s="46">
        <f>'Inputs (2)'!E47</f>
        <v>9233</v>
      </c>
      <c r="K264" s="46">
        <f>'Inputs (2)'!F47</f>
        <v>5562</v>
      </c>
      <c r="L264" s="46">
        <f>'Inputs (2)'!G47</f>
        <v>14435</v>
      </c>
      <c r="M264" s="12">
        <f>'Inputs (2)'!H47</f>
        <v>14435</v>
      </c>
      <c r="N264" s="46">
        <f>'Inputs (2)'!I47</f>
        <v>12712</v>
      </c>
      <c r="O264" s="46">
        <f>'Inputs (2)'!J47</f>
        <v>5289</v>
      </c>
      <c r="P264" s="46">
        <f>'Inputs (2)'!K47</f>
        <v>-3068</v>
      </c>
      <c r="Q264" s="46">
        <f>'Inputs (2)'!L47</f>
        <v>3240</v>
      </c>
      <c r="R264" s="12">
        <f>'Inputs (2)'!M47</f>
        <v>3240</v>
      </c>
      <c r="S264" s="46">
        <f>'Inputs (2)'!N47</f>
        <v>4336</v>
      </c>
      <c r="T264" s="46">
        <f>'Inputs (2)'!O47</f>
        <v>1408</v>
      </c>
      <c r="U264" s="46">
        <f>'Inputs (2)'!P47</f>
        <v>-214</v>
      </c>
      <c r="V264" s="46">
        <f>'Inputs (2)'!Q47</f>
        <v>8242</v>
      </c>
      <c r="W264" s="12">
        <f>'Inputs (2)'!R47</f>
        <v>8242</v>
      </c>
      <c r="X264" s="46">
        <f>'Inputs (2)'!S47</f>
        <v>4339</v>
      </c>
      <c r="Y264" s="46">
        <f>'Inputs (2)'!T47</f>
        <v>-4726</v>
      </c>
      <c r="Z264" s="46">
        <f>'Inputs (2)'!U47</f>
        <v>-19154</v>
      </c>
      <c r="AA264" s="46">
        <f>'Inputs (2)'!V47</f>
        <v>-11221</v>
      </c>
      <c r="AB264" s="12">
        <f>'Inputs (2)'!W47</f>
        <v>-11221</v>
      </c>
      <c r="AC264" s="46">
        <f>'Inputs (2)'!X47</f>
        <v>-15552</v>
      </c>
      <c r="AD264" s="46">
        <f>'Inputs (2)'!Y47</f>
        <v>-17607</v>
      </c>
      <c r="AE264" s="46">
        <f>'Inputs (2)'!Z47</f>
        <v>-14264</v>
      </c>
      <c r="AF264" s="46">
        <f>'Inputs (2)'!AA47</f>
        <v>-2177</v>
      </c>
      <c r="AG264" s="12">
        <f>'Inputs (2)'!AB47</f>
        <v>-2177</v>
      </c>
      <c r="AH264" s="12">
        <f>'Inputs (2)'!AC47</f>
        <v>12359</v>
      </c>
      <c r="AI264" s="12">
        <f>'Inputs (2)'!AD47</f>
        <v>11326</v>
      </c>
      <c r="AJ264" s="12">
        <f>AI264+AJ131+AJ132</f>
        <v>42075.3677403829</v>
      </c>
      <c r="AK264" s="12">
        <f>AJ264+AK131+AK132</f>
        <v>85215.5909255026</v>
      </c>
      <c r="AL264" s="12">
        <f>AK264</f>
        <v>85215.5909255026</v>
      </c>
      <c r="AM264" s="12">
        <f>AL264+AM131+AM132</f>
        <v>118581.172707232</v>
      </c>
      <c r="AN264" s="12">
        <f>AM264+AN131+AN132</f>
        <v>151416.489495723</v>
      </c>
      <c r="AO264" s="12">
        <f>AN264+AO131+AO132</f>
        <v>185817.159564742</v>
      </c>
      <c r="AP264" s="12">
        <f>AO264+AP131+AP132</f>
        <v>234080.024577935</v>
      </c>
      <c r="AQ264" s="12">
        <f>AP264</f>
        <v>234080.024577935</v>
      </c>
      <c r="AR264" s="12">
        <f>AQ264+AR131+AR132</f>
        <v>271240.740448951</v>
      </c>
      <c r="AS264" s="12">
        <f>AR264+AS131+AS132</f>
        <v>307810.876875586</v>
      </c>
      <c r="AT264" s="12">
        <f>AS264+AT131+AT132</f>
        <v>346124.416096034</v>
      </c>
      <c r="AU264" s="12">
        <f>AT264+AU131+AU132</f>
        <v>399876.891494457</v>
      </c>
      <c r="AV264" s="12">
        <f>AU264</f>
        <v>399876.891494457</v>
      </c>
      <c r="AW264" s="12">
        <f>AV264+AW131+AW132</f>
        <v>441078.611533903</v>
      </c>
      <c r="AX264" s="12">
        <f>AW264+AX131+AX132</f>
        <v>481625.530169283</v>
      </c>
      <c r="AY264" s="12">
        <f>AX264+AY131+AY132</f>
        <v>524105.43615819</v>
      </c>
      <c r="AZ264" s="12">
        <f>AY264+AZ131+AZ132</f>
        <v>583703.169702403</v>
      </c>
      <c r="BA264" s="12">
        <f>AZ264</f>
        <v>583703.169702403</v>
      </c>
      <c r="BB264" s="12">
        <f>BA264+BB131+BB132</f>
        <v>629179.320189269</v>
      </c>
      <c r="BC264" s="12">
        <f>BB264+BC131+BC132</f>
        <v>673932.737567862</v>
      </c>
      <c r="BD264" s="12">
        <f>BC264+BD131+BD132</f>
        <v>720819.678102624</v>
      </c>
      <c r="BE264" s="12">
        <f>BD264+BE131+BE132</f>
        <v>786600.317763735</v>
      </c>
      <c r="BF264" s="12">
        <f>BE264</f>
        <v>786600.317763735</v>
      </c>
      <c r="BG264" s="12" t="n"/>
      <c r="BH264" s="12" t="n"/>
      <c r="BI264" s="12" t="n"/>
      <c r="BJ264" s="12" t="n"/>
      <c r="BK264" s="12" t="n"/>
      <c r="BL264" s="12" t="n"/>
      <c r="BM264" s="12" t="n"/>
      <c r="BN264" s="12" t="n"/>
      <c r="BO264" s="12" t="n"/>
      <c r="BP264" s="12" t="n"/>
      <c r="BQ264" s="12" t="n"/>
      <c r="BR264" s="12" t="n"/>
      <c r="BS264" s="12" t="n"/>
      <c r="BT264" s="12" t="n"/>
      <c r="BU264" s="12" t="n"/>
      <c r="BV264" s="12" t="n"/>
      <c r="BW264" s="12" t="n"/>
      <c r="BX264" s="12" t="n"/>
      <c r="BY264" s="12" t="n"/>
      <c r="BZ264" s="12" t="n"/>
      <c r="CA264" s="12" t="n"/>
      <c r="CB264" s="12" t="n"/>
      <c r="CC264" s="12" t="n"/>
      <c r="CD264" s="12" t="n"/>
      <c r="CE264" s="12" t="n"/>
      <c r="CF264" s="12" t="n"/>
      <c r="CG264" s="12" t="n"/>
      <c r="CH264" s="12" t="n"/>
      <c r="CI264" s="12" t="n"/>
      <c r="CJ264" s="12" t="n"/>
      <c r="CK264" s="12" t="n"/>
      <c r="CL264" s="12" t="n"/>
      <c r="CM264" s="12" t="n"/>
      <c r="CN264" s="12" t="n"/>
      <c r="CO264" s="12" t="n"/>
      <c r="CP264" s="12" t="n"/>
      <c r="CQ264" s="12" t="n"/>
      <c r="CR264" s="12" t="n"/>
      <c r="CS264" s="12" t="n"/>
      <c r="CT264" s="12" t="n"/>
      <c r="CU264" s="12" t="n"/>
      <c r="CV264" s="12" t="n"/>
      <c r="CW264" s="12" t="n"/>
      <c r="CX264" s="12" t="n"/>
      <c r="CY264" s="12" t="n"/>
    </row>
    <row r="265" customFormat="1" s="32">
      <c r="A265" s="30" t="inlineStr">
        <is>
          <t xml:space="preserve"> </t>
        </is>
      </c>
      <c r="B265" s="30" t="n"/>
      <c r="C265" s="65" t="inlineStr">
        <is>
          <t>Total Shareholders' Equity</t>
        </is>
      </c>
      <c r="D265" s="35" t="n"/>
      <c r="E265" s="35" t="n"/>
      <c r="F265" s="35" t="n"/>
      <c r="G265" s="35" t="n"/>
      <c r="H265" s="35" t="n"/>
      <c r="I265" s="35">
        <f>SUM(I242+I247+I248+I261+I262+I263+I264)</f>
        <v>69178</v>
      </c>
      <c r="J265" s="35">
        <f>SUM(J242+J247+J248+J261+J262+J263+J264)</f>
        <v>64280</v>
      </c>
      <c r="K265" s="35">
        <f>SUM(K242+K247+K248+K261+K262+K263+K264)</f>
        <v>63090</v>
      </c>
      <c r="L265" s="35">
        <f>SUM(L242+L247+L248+L261+L262+L263+L264)</f>
        <v>71932</v>
      </c>
      <c r="M265" s="35">
        <f>SUM(M242,M247,M248,M261,M262,M263,M264)</f>
        <v>71932</v>
      </c>
      <c r="N265" s="35">
        <f>SUM(N242+N247+N248+N261+N262+N263+N264)</f>
        <v>67399</v>
      </c>
      <c r="O265" s="35">
        <f>SUM(O242+O247+O248+O261+O262+O263+O264)</f>
        <v>58107</v>
      </c>
      <c r="P265" s="35">
        <f>SUM(P242+P247+P248+P261+P262+P263+P264)</f>
        <v>50672</v>
      </c>
      <c r="Q265" s="35">
        <f>SUM(Q242+Q247+Q248+Q261+Q262+Q263+Q264)</f>
        <v>56727</v>
      </c>
      <c r="R265" s="35">
        <f>SUM(R242,R247,R248,R261,R262,R263,R264)</f>
        <v>56727</v>
      </c>
      <c r="S265" s="35">
        <f>SUM(S242+S247+S248+S261+S262+S263+S264)</f>
        <v>62158</v>
      </c>
      <c r="T265" s="35">
        <f>SUM(T242+T247+T248+T261+T262+T263+T264)</f>
        <v>60274</v>
      </c>
      <c r="U265" s="35">
        <f>SUM(U242+U247+U248+U261+U262+U263+U264)</f>
        <v>62146</v>
      </c>
      <c r="V265" s="35">
        <f>SUM(V242+V247+V248+V261+V262+V263+V264)</f>
        <v>74100</v>
      </c>
      <c r="W265" s="35">
        <f>SUM(W242,W247,W248,W261,W262,W263,W264)</f>
        <v>74100</v>
      </c>
      <c r="X265" s="35">
        <f>SUM(X242+X247+X248+X261+X262+X263+X264)</f>
        <v>74194</v>
      </c>
      <c r="Y265" s="35">
        <f>SUM(Y242+Y247+Y248+Y261+Y262+Y263+Y264)</f>
        <v>66708</v>
      </c>
      <c r="Z265" s="35">
        <f>SUM(Z242+Z247+Z248+Z261+Z262+Z263+Z264)</f>
        <v>56950</v>
      </c>
      <c r="AA265" s="35">
        <f>SUM(AA242+AA247+AA248+AA261+AA262+AA263+AA264)</f>
        <v>66758</v>
      </c>
      <c r="AB265" s="35">
        <f>SUM(AB242,AB247,AB248,AB261,AB262,AB263,AB264)</f>
        <v>66758</v>
      </c>
      <c r="AC265" s="35">
        <f>SUM(AC242+AC247+AC248+AC261+AC262+AC263+AC264)</f>
        <v>66796</v>
      </c>
      <c r="AD265" s="35">
        <f>SUM(AD242+AD247+AD248+AD261+AD262+AD263+AD264)</f>
        <v>65830</v>
      </c>
      <c r="AE265" s="35">
        <f>SUM(AE242+AE247+AE248+AE261+AE262+AE263+AE264)</f>
        <v>73733</v>
      </c>
      <c r="AF265" s="35">
        <f>SUM(AF242+AF247+AF248+AF261+AF262+AF263+AF264)</f>
        <v>88190</v>
      </c>
      <c r="AG265" s="35">
        <f>SUM(AG242,AG247,AG248,AG261,AG262,AG263,AG264)</f>
        <v>88190</v>
      </c>
      <c r="AH265" s="35">
        <f>SUM(AH242+AH247+AH248+AH261+AH262+AH263+AH264)</f>
        <v>106491</v>
      </c>
      <c r="AI265" s="35">
        <f>SUM(AI242+AI247+AI248+AI261+AI262+AI263+AI264)</f>
        <v>107520</v>
      </c>
      <c r="AJ265" s="35">
        <f>SUM(AJ242+AJ247+AJ248+AJ261+AJ262+AJ263+AJ264)</f>
        <v>138269.367740383</v>
      </c>
      <c r="AK265" s="35">
        <f>SUM(AK242+AK247+AK248+AK261+AK262+AK263+AK264)</f>
        <v>181409.590925503</v>
      </c>
      <c r="AL265" s="35">
        <f>SUM(AL242,AL247,AL248,AL261,AL262,AL263,AL264)</f>
        <v>181409.590925503</v>
      </c>
      <c r="AM265" s="35">
        <f>SUM(AM242+AM247+AM248+AM261+AM262+AM263+AM264)</f>
        <v>214775.172707232</v>
      </c>
      <c r="AN265" s="35">
        <f>SUM(AN242+AN247+AN248+AN261+AN262+AN263+AN264)</f>
        <v>247610.489495723</v>
      </c>
      <c r="AO265" s="35">
        <f>SUM(AO242+AO247+AO248+AO261+AO262+AO263+AO264)</f>
        <v>282011.159564742</v>
      </c>
      <c r="AP265" s="35">
        <f>SUM(AP242+AP247+AP248+AP261+AP262+AP263+AP264)</f>
        <v>330274.024577935</v>
      </c>
      <c r="AQ265" s="35">
        <f>SUM(AQ242,AQ247,AQ248,AQ261,AQ262,AQ263,AQ264)</f>
        <v>330274.024577935</v>
      </c>
      <c r="AR265" s="35">
        <f>SUM(AR242+AR247+AR248+AR261+AR262+AR263+AR264)</f>
        <v>367434.740448951</v>
      </c>
      <c r="AS265" s="35">
        <f>SUM(AS242+AS247+AS248+AS261+AS262+AS263+AS264)</f>
        <v>404004.876875586</v>
      </c>
      <c r="AT265" s="35">
        <f>SUM(AT242+AT247+AT248+AT261+AT262+AT263+AT264)</f>
        <v>442318.416096034</v>
      </c>
      <c r="AU265" s="35">
        <f>SUM(AU242+AU247+AU248+AU261+AU262+AU263+AU264)</f>
        <v>496070.891494457</v>
      </c>
      <c r="AV265" s="35">
        <f>SUM(AV242,AV247,AV248,AV261,AV262,AV263,AV264)</f>
        <v>496070.891494457</v>
      </c>
      <c r="AW265" s="35">
        <f>SUM(AW242+AW247+AW248+AW261+AW262+AW263+AW264)</f>
        <v>537272.611533903</v>
      </c>
      <c r="AX265" s="35">
        <f>SUM(AX242+AX247+AX248+AX261+AX262+AX263+AX264)</f>
        <v>577819.530169283</v>
      </c>
      <c r="AY265" s="35">
        <f>SUM(AY242+AY247+AY248+AY261+AY262+AY263+AY264)</f>
        <v>620299.43615819</v>
      </c>
      <c r="AZ265" s="35">
        <f>SUM(AZ242+AZ247+AZ248+AZ261+AZ262+AZ263+AZ264)</f>
        <v>679897.169702403</v>
      </c>
      <c r="BA265" s="35">
        <f>SUM(BA242,BA247,BA248,BA261,BA262,BA263,BA264)</f>
        <v>679897.169702403</v>
      </c>
      <c r="BB265" s="35">
        <f>SUM(BB242+BB247+BB248+BB261+BB262+BB263+BB264)</f>
        <v>725373.320189269</v>
      </c>
      <c r="BC265" s="35">
        <f>SUM(BC242+BC247+BC248+BC261+BC262+BC263+BC264)</f>
        <v>770126.737567862</v>
      </c>
      <c r="BD265" s="35">
        <f>SUM(BD242+BD247+BD248+BD261+BD262+BD263+BD264)</f>
        <v>817013.678102624</v>
      </c>
      <c r="BE265" s="35">
        <f>SUM(BE242+BE247+BE248+BE261+BE262+BE263+BE264)</f>
        <v>882794.317763735</v>
      </c>
      <c r="BF265" s="35">
        <f>SUM(BF242,BF247,BF248,BF261,BF262,BF263,BF264)</f>
        <v>882794.317763735</v>
      </c>
      <c r="BG265" s="35" t="n"/>
      <c r="BH265" s="35" t="n"/>
      <c r="BI265" s="35" t="n"/>
      <c r="BJ265" s="35" t="n"/>
      <c r="BK265" s="35" t="n"/>
      <c r="BL265" s="35" t="n"/>
      <c r="BM265" s="35" t="n"/>
      <c r="BN265" s="35" t="n"/>
      <c r="BO265" s="35" t="n"/>
      <c r="BP265" s="35" t="n"/>
      <c r="BQ265" s="35" t="n"/>
      <c r="BR265" s="35" t="n"/>
      <c r="BS265" s="35" t="n"/>
      <c r="BT265" s="35" t="n"/>
      <c r="BU265" s="35" t="n"/>
      <c r="BV265" s="35" t="n"/>
      <c r="BW265" s="35" t="n"/>
      <c r="BX265" s="35" t="n"/>
      <c r="BY265" s="35" t="n"/>
      <c r="BZ265" s="35" t="n"/>
      <c r="CA265" s="35" t="n"/>
      <c r="CB265" s="35" t="n"/>
      <c r="CC265" s="35" t="n"/>
      <c r="CD265" s="35" t="n"/>
      <c r="CE265" s="35" t="n"/>
      <c r="CF265" s="35" t="n"/>
      <c r="CG265" s="35" t="n"/>
      <c r="CH265" s="35" t="n"/>
      <c r="CI265" s="35" t="n"/>
      <c r="CJ265" s="35" t="n"/>
      <c r="CK265" s="35" t="n"/>
      <c r="CL265" s="35" t="n"/>
      <c r="CM265" s="35" t="n"/>
      <c r="CN265" s="35" t="n"/>
      <c r="CO265" s="35" t="n"/>
      <c r="CP265" s="35" t="n"/>
      <c r="CQ265" s="35" t="n"/>
      <c r="CR265" s="35" t="n"/>
      <c r="CS265" s="35" t="n"/>
      <c r="CT265" s="35" t="n"/>
      <c r="CU265" s="35" t="n"/>
      <c r="CV265" s="35" t="n"/>
      <c r="CW265" s="35" t="n"/>
      <c r="CX265" s="35" t="n"/>
      <c r="CY265" s="35" t="n"/>
    </row>
    <row r="266">
      <c r="C266" s="10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  <c r="AG266" s="12" t="n"/>
      <c r="AH266" s="12" t="n"/>
      <c r="AI266" s="12" t="n"/>
      <c r="AJ266" s="12" t="n"/>
      <c r="AK266" s="12" t="n"/>
      <c r="AL266" s="12" t="n"/>
      <c r="AM266" s="12" t="n"/>
      <c r="AN266" s="12" t="n"/>
      <c r="AO266" s="12" t="n"/>
      <c r="AP266" s="12" t="n"/>
      <c r="AQ266" s="12" t="n"/>
      <c r="AR266" s="12" t="n"/>
      <c r="AS266" s="12" t="n"/>
      <c r="AT266" s="12" t="n"/>
      <c r="AU266" s="12" t="n"/>
      <c r="AV266" s="12" t="n"/>
      <c r="AW266" s="12" t="n"/>
      <c r="AX266" s="12" t="n"/>
      <c r="AY266" s="12" t="n"/>
      <c r="AZ266" s="12" t="n"/>
      <c r="BA266" s="12" t="n"/>
      <c r="BB266" s="12" t="n"/>
      <c r="BC266" s="12" t="n"/>
      <c r="BD266" s="12" t="n"/>
      <c r="BE266" s="12" t="n"/>
      <c r="BF266" s="12" t="n"/>
      <c r="BG266" s="12" t="n"/>
      <c r="BH266" s="12" t="n"/>
      <c r="BI266" s="12" t="n"/>
      <c r="BJ266" s="12" t="n"/>
      <c r="BK266" s="12" t="n"/>
      <c r="BL266" s="12" t="n"/>
      <c r="BM266" s="12" t="n"/>
      <c r="BN266" s="12" t="n"/>
      <c r="BO266" s="12" t="n"/>
      <c r="BP266" s="12" t="n"/>
      <c r="BQ266" s="12" t="n"/>
      <c r="BR266" s="12" t="n"/>
      <c r="BS266" s="12" t="n"/>
      <c r="BT266" s="12" t="n"/>
      <c r="BU266" s="12" t="n"/>
      <c r="BV266" s="12" t="n"/>
      <c r="BW266" s="12" t="n"/>
      <c r="BX266" s="12" t="n"/>
      <c r="BY266" s="12" t="n"/>
      <c r="BZ266" s="12" t="n"/>
      <c r="CA266" s="12" t="n"/>
      <c r="CB266" s="12" t="n"/>
      <c r="CC266" s="12" t="n"/>
      <c r="CD266" s="12" t="n"/>
      <c r="CE266" s="12" t="n"/>
      <c r="CF266" s="12" t="n"/>
      <c r="CG266" s="12" t="n"/>
      <c r="CH266" s="12" t="n"/>
      <c r="CI266" s="12" t="n"/>
      <c r="CJ266" s="12" t="n"/>
      <c r="CK266" s="12" t="n"/>
      <c r="CL266" s="12" t="n"/>
      <c r="CM266" s="12" t="n"/>
      <c r="CN266" s="12" t="n"/>
      <c r="CO266" s="12" t="n"/>
      <c r="CP266" s="12" t="n"/>
      <c r="CQ266" s="12" t="n"/>
      <c r="CR266" s="12" t="n"/>
      <c r="CS266" s="12" t="n"/>
      <c r="CT266" s="12" t="n"/>
      <c r="CU266" s="12" t="n"/>
      <c r="CV266" s="12" t="n"/>
      <c r="CW266" s="12" t="n"/>
      <c r="CX266" s="12" t="n"/>
      <c r="CY266" s="12" t="n"/>
    </row>
    <row r="267" customFormat="1" s="32">
      <c r="A267" s="30" t="n"/>
      <c r="B267" s="3" t="n"/>
      <c r="C267" s="33" t="inlineStr">
        <is>
          <t>Total Liabilities + Shareholders' Equity</t>
        </is>
      </c>
      <c r="D267" s="35" t="n"/>
      <c r="E267" s="35" t="n"/>
      <c r="F267" s="35" t="n"/>
      <c r="G267" s="35" t="n"/>
      <c r="H267" s="35" t="n"/>
      <c r="I267" s="35">
        <f>I265+I241</f>
        <v>337158</v>
      </c>
      <c r="J267" s="35">
        <f>J265+J241</f>
        <v>329840</v>
      </c>
      <c r="K267" s="35">
        <f>K265+K241</f>
        <v>351002</v>
      </c>
      <c r="L267" s="35">
        <f>L265+L241</f>
        <v>381191</v>
      </c>
      <c r="M267" s="35">
        <f>M265+M241</f>
        <v>381191</v>
      </c>
      <c r="N267" s="35">
        <f>N265+N241</f>
        <v>350662</v>
      </c>
      <c r="O267" s="35">
        <f>O265+O241</f>
        <v>336309</v>
      </c>
      <c r="P267" s="35">
        <f>P265+P241</f>
        <v>352755</v>
      </c>
      <c r="Q267" s="35">
        <f>Q265+Q241</f>
        <v>346747</v>
      </c>
      <c r="R267" s="35">
        <f>R265+R241</f>
        <v>346747</v>
      </c>
      <c r="S267" s="35">
        <f>S265+S241</f>
        <v>332160</v>
      </c>
      <c r="T267" s="35">
        <f>T265+T241</f>
        <v>335038</v>
      </c>
      <c r="U267" s="35">
        <f>U265+U241</f>
        <v>352583</v>
      </c>
      <c r="V267" s="35">
        <f>V265+V241</f>
        <v>353514</v>
      </c>
      <c r="W267" s="35">
        <f>W265+W241</f>
        <v>353514</v>
      </c>
      <c r="X267" s="35">
        <f>X265+X241</f>
        <v>337411</v>
      </c>
      <c r="Y267" s="35">
        <f>Y265+Y241</f>
        <v>331612</v>
      </c>
      <c r="Z267" s="35">
        <f>Z265+Z241</f>
        <v>364980</v>
      </c>
      <c r="AA267" s="35">
        <f>AA265+AA241</f>
        <v>344085</v>
      </c>
      <c r="AB267" s="35">
        <f>AB265+AB241</f>
        <v>344085</v>
      </c>
      <c r="AC267" s="35">
        <f>AC265+AC241</f>
        <v>331233</v>
      </c>
      <c r="AD267" s="35">
        <f>AD265+AD241</f>
        <v>331495</v>
      </c>
      <c r="AE267" s="35">
        <f>AE265+AE241</f>
        <v>359241</v>
      </c>
      <c r="AF267" s="35">
        <f>AF265+AF241</f>
        <v>379297</v>
      </c>
      <c r="AG267" s="35">
        <f>AG265+AG241</f>
        <v>379297</v>
      </c>
      <c r="AH267" s="35">
        <f>AH265+AH241</f>
        <v>371082</v>
      </c>
      <c r="AI267" s="35">
        <f>AI265+AI241</f>
        <v>383266</v>
      </c>
      <c r="AJ267" s="35">
        <f>AJ265+AJ241</f>
        <v>413422.801296908</v>
      </c>
      <c r="AK267" s="35">
        <f>AK265+AK241</f>
        <v>482325.425488693</v>
      </c>
      <c r="AL267" s="35">
        <f>AL265+AL241</f>
        <v>482325.425488693</v>
      </c>
      <c r="AM267" s="35">
        <f>AM265+AM241</f>
        <v>496909.696294946</v>
      </c>
      <c r="AN267" s="35">
        <f>AN265+AN241</f>
        <v>527851.129737235</v>
      </c>
      <c r="AO267" s="35">
        <f>AO265+AO241</f>
        <v>564756.184775808</v>
      </c>
      <c r="AP267" s="35">
        <f>AP265+AP241</f>
        <v>641840.580842862</v>
      </c>
      <c r="AQ267" s="35">
        <f>AQ265+AQ241</f>
        <v>641840.580842862</v>
      </c>
      <c r="AR267" s="35">
        <f>AR265+AR241</f>
        <v>656767.343789219</v>
      </c>
      <c r="AS267" s="35">
        <f>AS265+AS241</f>
        <v>692096.085742708</v>
      </c>
      <c r="AT267" s="35">
        <f>AT265+AT241</f>
        <v>733198.868648281</v>
      </c>
      <c r="AU267" s="35">
        <f>AU265+AU241</f>
        <v>819051.150771689</v>
      </c>
      <c r="AV267" s="35">
        <f>AV265+AV241</f>
        <v>819051.150771689</v>
      </c>
      <c r="AW267" s="35">
        <f>AW265+AW241</f>
        <v>836061.667891654</v>
      </c>
      <c r="AX267" s="35">
        <f>AX265+AX241</f>
        <v>874269.911543693</v>
      </c>
      <c r="AY267" s="35">
        <f>AY265+AY241</f>
        <v>919842.37467911</v>
      </c>
      <c r="AZ267" s="35">
        <f>AZ265+AZ241</f>
        <v>1015030.57571038</v>
      </c>
      <c r="BA267" s="35">
        <f>BA265+BA241</f>
        <v>1015030.57571038</v>
      </c>
      <c r="BB267" s="35">
        <f>BB265+BB241</f>
        <v>1033247.03529327</v>
      </c>
      <c r="BC267" s="35">
        <f>BC265+BC241</f>
        <v>1075419.15423625</v>
      </c>
      <c r="BD267" s="35">
        <f>BD265+BD241</f>
        <v>1125719.48610636</v>
      </c>
      <c r="BE267" s="35">
        <f>BE265+BE241</f>
        <v>1230782.89002561</v>
      </c>
      <c r="BF267" s="35">
        <f>BF265+BF241</f>
        <v>1230782.89002561</v>
      </c>
      <c r="BG267" s="35" t="n"/>
      <c r="BH267" s="35" t="n"/>
      <c r="BI267" s="35" t="n"/>
      <c r="BJ267" s="35" t="n"/>
      <c r="BK267" s="35" t="n"/>
      <c r="BL267" s="35" t="n"/>
      <c r="BM267" s="35" t="n"/>
      <c r="BN267" s="35" t="n"/>
      <c r="BO267" s="35" t="n"/>
      <c r="BP267" s="35" t="n"/>
      <c r="BQ267" s="35" t="n"/>
      <c r="BR267" s="35" t="n"/>
      <c r="BS267" s="35" t="n"/>
      <c r="BT267" s="35" t="n"/>
      <c r="BU267" s="35" t="n"/>
      <c r="BV267" s="35" t="n"/>
      <c r="BW267" s="35" t="n"/>
      <c r="BX267" s="35" t="n"/>
      <c r="BY267" s="35" t="n"/>
      <c r="BZ267" s="35" t="n"/>
      <c r="CA267" s="35" t="n"/>
      <c r="CB267" s="35" t="n"/>
      <c r="CC267" s="35" t="n"/>
      <c r="CD267" s="35" t="n"/>
      <c r="CE267" s="35" t="n"/>
      <c r="CF267" s="35" t="n"/>
      <c r="CG267" s="35" t="n"/>
      <c r="CH267" s="35" t="n"/>
      <c r="CI267" s="35" t="n"/>
      <c r="CJ267" s="35" t="n"/>
      <c r="CK267" s="35" t="n"/>
      <c r="CL267" s="35" t="n"/>
      <c r="CM267" s="35" t="n"/>
      <c r="CN267" s="35" t="n"/>
      <c r="CO267" s="35" t="n"/>
      <c r="CP267" s="35" t="n"/>
      <c r="CQ267" s="35" t="n"/>
      <c r="CR267" s="35" t="n"/>
      <c r="CS267" s="35" t="n"/>
      <c r="CT267" s="35" t="n"/>
      <c r="CU267" s="35" t="n"/>
      <c r="CV267" s="35" t="n"/>
      <c r="CW267" s="35" t="n"/>
      <c r="CX267" s="35" t="n"/>
      <c r="CY267" s="35" t="n"/>
    </row>
    <row r="268">
      <c r="C268" s="18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/>
      <c r="BM268" s="3" t="n"/>
      <c r="BN268" s="3" t="n"/>
      <c r="BO268" s="3" t="n"/>
      <c r="BP268" s="3" t="n"/>
      <c r="BQ268" s="3" t="n"/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n"/>
      <c r="CC268" s="3" t="n"/>
      <c r="CD268" s="3" t="n"/>
      <c r="CE268" s="3" t="n"/>
      <c r="CF268" s="3" t="n"/>
      <c r="CG268" s="3" t="n"/>
      <c r="CH268" s="3" t="n"/>
      <c r="CI268" s="3" t="n"/>
      <c r="CJ268" s="3" t="n"/>
      <c r="CK268" s="3" t="n"/>
      <c r="CL268" s="3" t="n"/>
      <c r="CM268" s="3" t="n"/>
      <c r="CN268" s="3" t="n"/>
      <c r="CO268" s="3" t="n"/>
      <c r="CP268" s="3" t="n"/>
      <c r="CQ268" s="3" t="n"/>
      <c r="CR268" s="3" t="n"/>
      <c r="CS268" s="3" t="n"/>
      <c r="CT268" s="3" t="n"/>
      <c r="CU268" s="3" t="n"/>
      <c r="CV268" s="3" t="n"/>
      <c r="CW268" s="3" t="n"/>
      <c r="CX268" s="3" t="n"/>
      <c r="CY268" s="3" t="n"/>
    </row>
    <row r="269" customFormat="1" s="32">
      <c r="A269" s="30" t="n"/>
      <c r="B269" s="30" t="n"/>
      <c r="C269" s="31" t="inlineStr">
        <is>
          <t>Cash Flow Statement</t>
        </is>
      </c>
      <c r="D269" s="70" t="n"/>
      <c r="E269" s="70" t="n"/>
      <c r="F269" s="70" t="n"/>
      <c r="G269" s="70" t="n"/>
      <c r="H269" s="70" t="n"/>
      <c r="I269" s="70" t="str">
        <f>I136</f>
        <v>1Q21</v>
      </c>
      <c r="J269" s="70" t="str">
        <f>J136</f>
        <v>2Q21</v>
      </c>
      <c r="K269" s="70" t="str">
        <f>K136</f>
        <v>3Q21</v>
      </c>
      <c r="L269" s="70" t="str">
        <f>L136</f>
        <v>4Q21</v>
      </c>
      <c r="M269" s="70">
        <f>M136</f>
        <v>2021</v>
      </c>
      <c r="N269" s="70" t="str">
        <f>N136</f>
        <v>1Q22</v>
      </c>
      <c r="O269" s="70" t="str">
        <f>O136</f>
        <v>2Q22</v>
      </c>
      <c r="P269" s="70" t="str">
        <f>P136</f>
        <v>3Q22</v>
      </c>
      <c r="Q269" s="70" t="str">
        <f>Q136</f>
        <v>4Q22</v>
      </c>
      <c r="R269" s="70">
        <f>R136</f>
        <v>2022</v>
      </c>
      <c r="S269" s="70" t="str">
        <f>S136</f>
        <v>1Q23</v>
      </c>
      <c r="T269" s="70" t="str">
        <f>T136</f>
        <v>2Q23</v>
      </c>
      <c r="U269" s="70" t="str">
        <f>U136</f>
        <v>3Q23</v>
      </c>
      <c r="V269" s="70" t="str">
        <f>V136</f>
        <v>4Q23</v>
      </c>
      <c r="W269" s="70">
        <f>W136</f>
        <v>2023</v>
      </c>
      <c r="X269" s="70" t="str">
        <f>X136</f>
        <v>1Q24</v>
      </c>
      <c r="Y269" s="70" t="str">
        <f>Y136</f>
        <v>2Q24</v>
      </c>
      <c r="Z269" s="70" t="str">
        <f>Z136</f>
        <v>3Q24</v>
      </c>
      <c r="AA269" s="70" t="str">
        <f>AA136</f>
        <v>4Q24</v>
      </c>
      <c r="AB269" s="70">
        <f>AB136</f>
        <v>2024</v>
      </c>
      <c r="AC269" s="70" t="str">
        <f>AC136</f>
        <v>1Q25</v>
      </c>
      <c r="AD269" s="70" t="str">
        <f>AD136</f>
        <v>2Q25</v>
      </c>
      <c r="AE269" s="70" t="str">
        <f>AE136</f>
        <v>3Q25</v>
      </c>
      <c r="AF269" s="70" t="str">
        <f>AF136</f>
        <v>4Q25</v>
      </c>
      <c r="AG269" s="70">
        <f>AG136</f>
        <v>2025</v>
      </c>
      <c r="AH269" s="70" t="str">
        <f>AH136</f>
        <v>1Q26</v>
      </c>
      <c r="AI269" s="70" t="str">
        <f>AI136</f>
        <v>2Q26</v>
      </c>
      <c r="AJ269" s="70" t="str">
        <f>AJ136</f>
        <v>3Q26</v>
      </c>
      <c r="AK269" s="70" t="str">
        <f>AK136</f>
        <v>4Q26</v>
      </c>
      <c r="AL269" s="70">
        <f>AL136</f>
        <v>2026</v>
      </c>
      <c r="AM269" s="70" t="str">
        <f>AM136</f>
        <v>1Q27</v>
      </c>
      <c r="AN269" s="70" t="str">
        <f>AN136</f>
        <v>2Q27</v>
      </c>
      <c r="AO269" s="70" t="str">
        <f>AO136</f>
        <v>3Q27</v>
      </c>
      <c r="AP269" s="70" t="str">
        <f>AP136</f>
        <v>4Q27</v>
      </c>
      <c r="AQ269" s="70">
        <f>AQ136</f>
        <v>2027</v>
      </c>
      <c r="AR269" s="70" t="str">
        <f>AR136</f>
        <v>1Q28</v>
      </c>
      <c r="AS269" s="70" t="str">
        <f>AS136</f>
        <v>2Q28</v>
      </c>
      <c r="AT269" s="70" t="str">
        <f>AT136</f>
        <v>3Q28</v>
      </c>
      <c r="AU269" s="70" t="str">
        <f>AU136</f>
        <v>4Q28</v>
      </c>
      <c r="AV269" s="70">
        <f>AV136</f>
        <v>2028</v>
      </c>
      <c r="AW269" s="70" t="str">
        <f>AW136</f>
        <v>1Q29</v>
      </c>
      <c r="AX269" s="70" t="str">
        <f>AX136</f>
        <v>2Q29</v>
      </c>
      <c r="AY269" s="70" t="str">
        <f>AY136</f>
        <v>3Q29</v>
      </c>
      <c r="AZ269" s="70" t="str">
        <f>AZ136</f>
        <v>4Q29</v>
      </c>
      <c r="BA269" s="70">
        <f>BA136</f>
        <v>2029</v>
      </c>
      <c r="BB269" s="70" t="str">
        <f>BB136</f>
        <v>1Q30</v>
      </c>
      <c r="BC269" s="70" t="str">
        <f>BC136</f>
        <v>2Q30</v>
      </c>
      <c r="BD269" s="70" t="str">
        <f>BD136</f>
        <v>3Q30</v>
      </c>
      <c r="BE269" s="70" t="str">
        <f>BE136</f>
        <v>4Q30</v>
      </c>
      <c r="BF269" s="70">
        <f>BF136</f>
        <v>2030</v>
      </c>
      <c r="BG269" s="70" t="n"/>
      <c r="BH269" s="70" t="n"/>
      <c r="BI269" s="70" t="n"/>
      <c r="BJ269" s="70" t="n"/>
      <c r="BK269" s="70" t="n"/>
      <c r="BL269" s="70" t="n"/>
      <c r="BM269" s="70" t="n"/>
      <c r="BN269" s="70" t="n"/>
      <c r="BO269" s="70" t="n"/>
      <c r="BP269" s="70" t="n"/>
      <c r="BQ269" s="70" t="n"/>
      <c r="BR269" s="70" t="n"/>
      <c r="BS269" s="70" t="n"/>
      <c r="BT269" s="70" t="n"/>
      <c r="BU269" s="70" t="n"/>
      <c r="BV269" s="70" t="n"/>
      <c r="BW269" s="70" t="n"/>
      <c r="BX269" s="70" t="n"/>
      <c r="BY269" s="70" t="n"/>
      <c r="BZ269" s="70" t="n"/>
      <c r="CA269" s="70" t="n"/>
      <c r="CB269" s="70" t="n"/>
      <c r="CC269" s="70" t="n"/>
      <c r="CD269" s="70" t="n"/>
      <c r="CE269" s="70" t="n"/>
      <c r="CF269" s="70" t="n"/>
      <c r="CG269" s="70" t="n"/>
      <c r="CH269" s="70" t="n"/>
      <c r="CI269" s="70" t="n"/>
      <c r="CJ269" s="70" t="n"/>
      <c r="CK269" s="70" t="n"/>
      <c r="CL269" s="70" t="n"/>
      <c r="CM269" s="70" t="n"/>
      <c r="CN269" s="70" t="n"/>
      <c r="CO269" s="70" t="n"/>
      <c r="CP269" s="70" t="n"/>
      <c r="CQ269" s="70" t="n"/>
      <c r="CR269" s="70" t="n"/>
      <c r="CS269" s="70" t="n"/>
      <c r="CT269" s="70" t="n"/>
      <c r="CU269" s="70" t="n"/>
      <c r="CV269" s="70" t="n"/>
      <c r="CW269" s="70" t="n"/>
      <c r="CX269" s="70" t="n"/>
      <c r="CY269" s="70" t="n"/>
    </row>
    <row r="270">
      <c r="C270" s="18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/>
      <c r="BQ270" s="3" t="n"/>
      <c r="BR270" s="3" t="n"/>
      <c r="BS270" s="3" t="n"/>
      <c r="BT270" s="3" t="n"/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n"/>
      <c r="CF270" s="3" t="n"/>
      <c r="CG270" s="3" t="n"/>
      <c r="CH270" s="3" t="n"/>
      <c r="CI270" s="3" t="n"/>
      <c r="CJ270" s="3" t="n"/>
      <c r="CK270" s="3" t="n"/>
      <c r="CL270" s="3" t="n"/>
      <c r="CM270" s="3" t="n"/>
      <c r="CN270" s="3" t="n"/>
      <c r="CO270" s="3" t="n"/>
      <c r="CP270" s="3" t="n"/>
      <c r="CQ270" s="3" t="n"/>
      <c r="CR270" s="3" t="n"/>
      <c r="CS270" s="3" t="n"/>
      <c r="CT270" s="3" t="n"/>
      <c r="CU270" s="3" t="n"/>
      <c r="CV270" s="3" t="n"/>
      <c r="CW270" s="3" t="n"/>
      <c r="CX270" s="3" t="n"/>
      <c r="CY270" s="3" t="n"/>
    </row>
    <row r="271">
      <c r="C271" s="10" t="inlineStr">
        <is>
          <t>Net Income</t>
        </is>
      </c>
      <c r="D271" s="12" t="n"/>
      <c r="E271" s="12" t="n"/>
      <c r="F271" s="12" t="n"/>
      <c r="G271" s="12" t="n"/>
      <c r="H271" s="12" t="n"/>
      <c r="I271" s="12" t="n"/>
      <c r="J271" s="12">
        <f>J131</f>
        <v>21744</v>
      </c>
      <c r="K271" s="12">
        <f>K131</f>
        <v>20551</v>
      </c>
      <c r="L271" s="12">
        <f>L131</f>
        <v>34630</v>
      </c>
      <c r="M271" s="12" t="n"/>
      <c r="N271" s="12">
        <f>N131</f>
        <v>25010</v>
      </c>
      <c r="O271" s="12">
        <f>O131</f>
        <v>19442</v>
      </c>
      <c r="P271" s="12">
        <f>P131</f>
        <v>20721</v>
      </c>
      <c r="Q271" s="12">
        <f>Q131</f>
        <v>29998</v>
      </c>
      <c r="R271" s="12">
        <f>SUM(N271:Q271)</f>
        <v>95171</v>
      </c>
      <c r="S271" s="12">
        <f>S131</f>
        <v>24160</v>
      </c>
      <c r="T271" s="12">
        <f>T131</f>
        <v>19881</v>
      </c>
      <c r="U271" s="12">
        <f>U131</f>
        <v>22956</v>
      </c>
      <c r="V271" s="12">
        <f>V131</f>
        <v>33916</v>
      </c>
      <c r="W271" s="12">
        <f>SUM(S271:V271)</f>
        <v>100913</v>
      </c>
      <c r="X271" s="12">
        <f>X131</f>
        <v>23636</v>
      </c>
      <c r="Y271" s="12">
        <f>Y131</f>
        <v>21448</v>
      </c>
      <c r="Z271" s="12">
        <f>Z131</f>
        <v>14736</v>
      </c>
      <c r="AA271" s="12">
        <f>AA131</f>
        <v>36330</v>
      </c>
      <c r="AB271" s="12">
        <f>SUM(X271:AA271)</f>
        <v>96150</v>
      </c>
      <c r="AC271" s="12">
        <f>AC131</f>
        <v>24780</v>
      </c>
      <c r="AD271" s="12">
        <f>AD131</f>
        <v>23434</v>
      </c>
      <c r="AE271" s="12">
        <f>AE131</f>
        <v>27466</v>
      </c>
      <c r="AF271" s="12">
        <f>AF131</f>
        <v>42097</v>
      </c>
      <c r="AG271" s="12">
        <f>SUM(AC271:AF271)</f>
        <v>117777</v>
      </c>
      <c r="AH271" s="12">
        <f>AH131</f>
        <v>29578</v>
      </c>
      <c r="AI271" s="12">
        <f>AI131</f>
        <v>29789</v>
      </c>
      <c r="AJ271" s="12">
        <f>AJ131</f>
        <v>30749.3677403829</v>
      </c>
      <c r="AK271" s="12">
        <f>AK131</f>
        <v>43140.2231851198</v>
      </c>
      <c r="AL271" s="12">
        <f>SUM(AH271:AK271)</f>
        <v>133256.590925503</v>
      </c>
      <c r="AM271" s="12">
        <f>AM131</f>
        <v>33365.5817817298</v>
      </c>
      <c r="AN271" s="12">
        <f>AN131</f>
        <v>32835.3167884906</v>
      </c>
      <c r="AO271" s="12">
        <f>AO131</f>
        <v>34400.6700690188</v>
      </c>
      <c r="AP271" s="12">
        <f>AP131</f>
        <v>48262.8650131933</v>
      </c>
      <c r="AQ271" s="12">
        <f>SUM(AM271:AP271)</f>
        <v>148864.433652432</v>
      </c>
      <c r="AR271" s="12">
        <f>AR131</f>
        <v>37160.7158710162</v>
      </c>
      <c r="AS271" s="12">
        <f>AS131</f>
        <v>36570.136426635</v>
      </c>
      <c r="AT271" s="12">
        <f>AT131</f>
        <v>38313.5392204482</v>
      </c>
      <c r="AU271" s="12">
        <f>AU131</f>
        <v>53752.4753984224</v>
      </c>
      <c r="AV271" s="12">
        <f>SUM(AR271:AU271)</f>
        <v>165796.866916522</v>
      </c>
      <c r="AW271" s="12">
        <f>AW131</f>
        <v>41201.7200394464</v>
      </c>
      <c r="AX271" s="12">
        <f>AX131</f>
        <v>40546.9186353802</v>
      </c>
      <c r="AY271" s="12">
        <f>AY131</f>
        <v>42479.9059889071</v>
      </c>
      <c r="AZ271" s="12">
        <f>AZ131</f>
        <v>59597.7335442129</v>
      </c>
      <c r="BA271" s="12">
        <f>SUM(AW271:AZ271)</f>
        <v>183826.278207947</v>
      </c>
      <c r="BB271" s="12">
        <f>BB131</f>
        <v>45476.150486866</v>
      </c>
      <c r="BC271" s="12">
        <f>BC131</f>
        <v>44753.4173785924</v>
      </c>
      <c r="BD271" s="12">
        <f>BD131</f>
        <v>46886.9405347626</v>
      </c>
      <c r="BE271" s="12">
        <f>BE131</f>
        <v>65780.6396611103</v>
      </c>
      <c r="BF271" s="12">
        <f>SUM(BB271:BE271)</f>
        <v>202897.148061331</v>
      </c>
      <c r="BG271" s="12" t="n"/>
      <c r="BH271" s="12" t="n"/>
      <c r="BI271" s="12" t="n"/>
      <c r="BJ271" s="12" t="n"/>
      <c r="BK271" s="12" t="n"/>
      <c r="BL271" s="12" t="n"/>
      <c r="BM271" s="12" t="n"/>
      <c r="BN271" s="12" t="n"/>
      <c r="BO271" s="12" t="n"/>
      <c r="BP271" s="12" t="n"/>
      <c r="BQ271" s="12" t="n"/>
      <c r="BR271" s="12" t="n"/>
      <c r="BS271" s="12" t="n"/>
      <c r="BT271" s="12" t="n"/>
      <c r="BU271" s="12" t="n"/>
      <c r="BV271" s="12" t="n"/>
      <c r="BW271" s="12" t="n"/>
      <c r="BX271" s="12" t="n"/>
      <c r="BY271" s="12" t="n"/>
      <c r="BZ271" s="12" t="n"/>
      <c r="CA271" s="12" t="n"/>
      <c r="CB271" s="12" t="n"/>
      <c r="CC271" s="12" t="n"/>
      <c r="CD271" s="12" t="n"/>
      <c r="CE271" s="12" t="n"/>
      <c r="CF271" s="12" t="n"/>
      <c r="CG271" s="12" t="n"/>
      <c r="CH271" s="12" t="n"/>
      <c r="CI271" s="12" t="n"/>
      <c r="CJ271" s="12" t="n"/>
      <c r="CK271" s="12" t="n"/>
      <c r="CL271" s="12" t="n"/>
      <c r="CM271" s="12" t="n"/>
      <c r="CN271" s="12" t="n"/>
      <c r="CO271" s="12" t="n"/>
      <c r="CP271" s="12" t="n"/>
      <c r="CQ271" s="12" t="n"/>
      <c r="CR271" s="12" t="n"/>
      <c r="CS271" s="12" t="n"/>
      <c r="CT271" s="12" t="n"/>
      <c r="CU271" s="12" t="n"/>
      <c r="CV271" s="12" t="n"/>
      <c r="CW271" s="12" t="n"/>
      <c r="CX271" s="12" t="n"/>
      <c r="CY271" s="12" t="n"/>
    </row>
    <row r="272">
      <c r="C272" s="10" t="inlineStr">
        <is>
          <t>Depreciation &amp; amortization</t>
        </is>
      </c>
      <c r="D272" s="12" t="n"/>
      <c r="E272" s="12" t="n"/>
      <c r="F272" s="12" t="n"/>
      <c r="G272" s="12" t="n"/>
      <c r="H272" s="12" t="n"/>
      <c r="I272" s="12" t="n"/>
      <c r="J272" s="12">
        <f>-J64</f>
        <v>2832</v>
      </c>
      <c r="K272" s="12">
        <f>-K64</f>
        <v>2989</v>
      </c>
      <c r="L272" s="12">
        <f>-L64</f>
        <v>2697</v>
      </c>
      <c r="M272" s="12" t="n"/>
      <c r="N272" s="12">
        <f>-N64</f>
        <v>2737</v>
      </c>
      <c r="O272" s="12">
        <f>-O64</f>
        <v>2805</v>
      </c>
      <c r="P272" s="12">
        <f>-P64</f>
        <v>2865</v>
      </c>
      <c r="Q272" s="12">
        <f>-Q64</f>
        <v>2916</v>
      </c>
      <c r="R272" s="12">
        <f>SUM(N272:Q272)</f>
        <v>11323</v>
      </c>
      <c r="S272" s="12">
        <f>-S64</f>
        <v>2898</v>
      </c>
      <c r="T272" s="12">
        <f>-T64</f>
        <v>3052</v>
      </c>
      <c r="U272" s="12">
        <f>-U64</f>
        <v>2653</v>
      </c>
      <c r="V272" s="12">
        <f>-V64</f>
        <v>2848</v>
      </c>
      <c r="W272" s="12">
        <f>SUM(S272:V272)</f>
        <v>11451</v>
      </c>
      <c r="X272" s="12">
        <f>-X64</f>
        <v>2836</v>
      </c>
      <c r="Y272" s="12">
        <f>-Y64</f>
        <v>2850</v>
      </c>
      <c r="Z272" s="12">
        <f>-Z64</f>
        <v>2911</v>
      </c>
      <c r="AA272" s="12">
        <f>-AA64</f>
        <v>3080</v>
      </c>
      <c r="AB272" s="12">
        <f>SUM(X272:AA272)</f>
        <v>11677</v>
      </c>
      <c r="AC272" s="12">
        <f>-AC64</f>
        <v>2661</v>
      </c>
      <c r="AD272" s="12">
        <f>-AD64</f>
        <v>2830</v>
      </c>
      <c r="AE272" s="12">
        <f>-AE64</f>
        <v>3127</v>
      </c>
      <c r="AF272" s="12">
        <f>-AF64</f>
        <v>3214</v>
      </c>
      <c r="AG272" s="12">
        <f>SUM(AC272:AF272)</f>
        <v>11832</v>
      </c>
      <c r="AH272" s="12">
        <f>-AH64</f>
        <v>3439</v>
      </c>
      <c r="AI272" s="12">
        <f>-AI64</f>
        <v>3320</v>
      </c>
      <c r="AJ272" s="12">
        <f>-AJ64</f>
        <v>3288.98076876138</v>
      </c>
      <c r="AK272" s="12">
        <f>-AK64</f>
        <v>4614.3181093637</v>
      </c>
      <c r="AL272" s="12">
        <f>SUM(AH272:AK272)</f>
        <v>14662.2988781251</v>
      </c>
      <c r="AM272" s="12">
        <f>-AM64</f>
        <v>3568.81343854513</v>
      </c>
      <c r="AN272" s="12">
        <f>-AN64</f>
        <v>3512.09580519942</v>
      </c>
      <c r="AO272" s="12">
        <f>-AO64</f>
        <v>3679.52743759729</v>
      </c>
      <c r="AP272" s="12">
        <f>-AP64</f>
        <v>5162.24060975579</v>
      </c>
      <c r="AQ272" s="12">
        <f>SUM(AM272:AP272)</f>
        <v>15922.6772910976</v>
      </c>
      <c r="AR272" s="12">
        <f>-AR64</f>
        <v>3974.74448532047</v>
      </c>
      <c r="AS272" s="12">
        <f>-AS64</f>
        <v>3911.57556258374</v>
      </c>
      <c r="AT272" s="12">
        <f>-AT64</f>
        <v>4098.05153534093</v>
      </c>
      <c r="AU272" s="12">
        <f>-AU64</f>
        <v>5749.41440589533</v>
      </c>
      <c r="AV272" s="12">
        <f>SUM(AR272:AU272)</f>
        <v>17733.7859891405</v>
      </c>
      <c r="AW272" s="12">
        <f>-AW64</f>
        <v>4406.97402280773</v>
      </c>
      <c r="AX272" s="12">
        <f>-AX64</f>
        <v>4336.93585995785</v>
      </c>
      <c r="AY272" s="12">
        <f>-AY64</f>
        <v>4543.68997229232</v>
      </c>
      <c r="AZ272" s="12">
        <f>-AZ64</f>
        <v>6374.62861492451</v>
      </c>
      <c r="BA272" s="12">
        <f>SUM(AW272:AZ272)</f>
        <v>19662.2284699824</v>
      </c>
      <c r="BB272" s="12">
        <f>-BB64</f>
        <v>4864.17105065128</v>
      </c>
      <c r="BC272" s="12">
        <f>-BC64</f>
        <v>4786.86684998841</v>
      </c>
      <c r="BD272" s="12">
        <f>-BD64</f>
        <v>5015.07045695673</v>
      </c>
      <c r="BE272" s="12">
        <f>-BE64</f>
        <v>7035.95796274151</v>
      </c>
      <c r="BF272" s="12">
        <f>SUM(BB272:BE272)</f>
        <v>21702.0663203379</v>
      </c>
      <c r="BG272" s="12" t="n"/>
      <c r="BH272" s="12" t="n"/>
      <c r="BI272" s="12" t="n"/>
      <c r="BJ272" s="12" t="n"/>
      <c r="BK272" s="12" t="n"/>
      <c r="BL272" s="12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  <c r="CA272" s="12" t="n"/>
      <c r="CB272" s="12" t="n"/>
      <c r="CC272" s="12" t="n"/>
      <c r="CD272" s="12" t="n"/>
      <c r="CE272" s="12" t="n"/>
      <c r="CF272" s="12" t="n"/>
      <c r="CG272" s="12" t="n"/>
      <c r="CH272" s="12" t="n"/>
      <c r="CI272" s="12" t="n"/>
      <c r="CJ272" s="12" t="n"/>
      <c r="CK272" s="12" t="n"/>
      <c r="CL272" s="12" t="n"/>
      <c r="CM272" s="12" t="n"/>
      <c r="CN272" s="12" t="n"/>
      <c r="CO272" s="12" t="n"/>
      <c r="CP272" s="12" t="n"/>
      <c r="CQ272" s="12" t="n"/>
      <c r="CR272" s="12" t="n"/>
      <c r="CS272" s="12" t="n"/>
      <c r="CT272" s="12" t="n"/>
      <c r="CU272" s="12" t="n"/>
      <c r="CV272" s="12" t="n"/>
      <c r="CW272" s="12" t="n"/>
      <c r="CX272" s="12" t="n"/>
      <c r="CY272" s="12" t="n"/>
    </row>
    <row r="273">
      <c r="C273" s="10" t="inlineStr">
        <is>
          <t xml:space="preserve">Changes in working capital </t>
        </is>
      </c>
      <c r="D273" s="12" t="n"/>
      <c r="E273" s="12" t="n"/>
      <c r="F273" s="12" t="n"/>
      <c r="G273" s="12" t="n"/>
      <c r="H273" s="12" t="n"/>
      <c r="I273" s="12" t="n"/>
      <c r="J273" s="12">
        <f>SUM(J274:J283)</f>
        <v>-2763</v>
      </c>
      <c r="K273" s="12">
        <f>SUM(K274:K283)</f>
        <v>-1317</v>
      </c>
      <c r="L273" s="12">
        <f>SUM(L274:L283)</f>
        <v>4493</v>
      </c>
      <c r="M273" s="12" t="n"/>
      <c r="N273" s="12">
        <f>SUM(N274:N283)</f>
        <v>2017</v>
      </c>
      <c r="O273" s="12">
        <f>SUM(O274:O283)</f>
        <v>-3360</v>
      </c>
      <c r="P273" s="12">
        <f>SUM(P274:P283)</f>
        <v>4950</v>
      </c>
      <c r="Q273" s="12">
        <f>SUM(Q274:Q283)</f>
        <v>2610</v>
      </c>
      <c r="R273" s="12">
        <f>SUM(N273:Q273)</f>
        <v>6217</v>
      </c>
      <c r="S273" s="12">
        <f>SUM(S274:S283)</f>
        <v>2079</v>
      </c>
      <c r="T273" s="12">
        <f>SUM(T274:T283)</f>
        <v>3117</v>
      </c>
      <c r="U273" s="12">
        <f>SUM(U274:U283)</f>
        <v>-6087</v>
      </c>
      <c r="V273" s="12">
        <f>SUM(V274:V283)</f>
        <v>2939</v>
      </c>
      <c r="W273" s="12">
        <f>SUM(S273:V273)</f>
        <v>2048</v>
      </c>
      <c r="X273" s="12">
        <f>SUM(X274:X283)</f>
        <v>-632</v>
      </c>
      <c r="Y273" s="12">
        <f>SUM(Y274:Y283)</f>
        <v>3085</v>
      </c>
      <c r="Z273" s="12">
        <f>SUM(Z274:Z283)</f>
        <v>14815</v>
      </c>
      <c r="AA273" s="12">
        <f>SUM(AA274:AA283)</f>
        <v>-15640</v>
      </c>
      <c r="AB273" s="12">
        <f>SUM(X273:AA273)</f>
        <v>1628</v>
      </c>
      <c r="AC273" s="12">
        <f>SUM(AC274:AC283)</f>
        <v>2718</v>
      </c>
      <c r="AD273" s="12">
        <f>SUM(AD274:AD283)</f>
        <v>-42</v>
      </c>
      <c r="AE273" s="12">
        <f>SUM(AE274:AE283)</f>
        <v>-2691</v>
      </c>
      <c r="AF273" s="12">
        <f>SUM(AF274:AF283)</f>
        <v>5304</v>
      </c>
      <c r="AG273" s="12">
        <f>SUM(AC273:AF273)</f>
        <v>5289</v>
      </c>
      <c r="AH273" s="12">
        <f>SUM(AH274:AH283)</f>
        <v>-8619</v>
      </c>
      <c r="AI273" s="12">
        <f>SUM(AI274:AI283)</f>
        <v>176</v>
      </c>
      <c r="AJ273" s="12">
        <f>SUM(AJ274:AJ283)</f>
        <v>642.671702267471</v>
      </c>
      <c r="AK273" s="12">
        <f>SUM(AK274:AK283)</f>
        <v>9138.26112648707</v>
      </c>
      <c r="AL273" s="12">
        <f>SUM(AH273:AK273)</f>
        <v>1337.93282875454</v>
      </c>
      <c r="AM273" s="12">
        <f>SUM(AM274:AM283)</f>
        <v>-6661.97703961132</v>
      </c>
      <c r="AN273" s="12">
        <f>SUM(AN274:AN283)</f>
        <v>-671.785232914323</v>
      </c>
      <c r="AO273" s="12">
        <f>SUM(AO274:AO283)</f>
        <v>888.338156335371</v>
      </c>
      <c r="AP273" s="12">
        <f>SUM(AP274:AP283)</f>
        <v>10223.374629065</v>
      </c>
      <c r="AQ273" s="12">
        <f>SUM(AM273:AP273)</f>
        <v>3777.95051287477</v>
      </c>
      <c r="AR273" s="12">
        <f>SUM(AR274:AR283)</f>
        <v>-7886.67436886023</v>
      </c>
      <c r="AS273" s="12">
        <f>SUM(AS274:AS283)</f>
        <v>-440.33888198736</v>
      </c>
      <c r="AT273" s="12">
        <f>SUM(AT274:AT283)</f>
        <v>989.381274419669</v>
      </c>
      <c r="AU273" s="12">
        <f>SUM(AU274:AU283)</f>
        <v>11386.2219552746</v>
      </c>
      <c r="AV273" s="12">
        <f>SUM(AR273:AU273)</f>
        <v>4048.58997884666</v>
      </c>
      <c r="AW273" s="12">
        <f>SUM(AW274:AW283)</f>
        <v>-8580.93658214789</v>
      </c>
      <c r="AX273" s="12">
        <f>SUM(AX274:AX283)</f>
        <v>-829.558653412323</v>
      </c>
      <c r="AY273" s="12">
        <f>SUM(AY274:AY283)</f>
        <v>1096.97053260224</v>
      </c>
      <c r="AZ273" s="12">
        <f>SUM(AZ274:AZ283)</f>
        <v>12624.4050555044</v>
      </c>
      <c r="BA273" s="12">
        <f>SUM(AW273:AZ273)</f>
        <v>4310.88035254648</v>
      </c>
      <c r="BB273" s="12">
        <f>SUM(BB274:BB283)</f>
        <v>-9669.36946767507</v>
      </c>
      <c r="BC273" s="12">
        <f>SUM(BC274:BC283)</f>
        <v>-915.620370318096</v>
      </c>
      <c r="BD273" s="12">
        <f>SUM(BD274:BD283)</f>
        <v>1210.77462233413</v>
      </c>
      <c r="BE273" s="12">
        <f>SUM(BE274:BE283)</f>
        <v>13934.1110895764</v>
      </c>
      <c r="BF273" s="12">
        <f>SUM(BB273:BE273)</f>
        <v>4559.89587391735</v>
      </c>
      <c r="BG273" s="12" t="n"/>
      <c r="BH273" s="12" t="n"/>
      <c r="BI273" s="12" t="n"/>
      <c r="BJ273" s="12" t="n"/>
      <c r="BK273" s="12" t="n"/>
      <c r="BL273" s="12" t="n"/>
      <c r="BM273" s="12" t="n"/>
      <c r="BN273" s="12" t="n"/>
      <c r="BO273" s="12" t="n"/>
      <c r="BP273" s="12" t="n"/>
      <c r="BQ273" s="12" t="n"/>
      <c r="BR273" s="12" t="n"/>
      <c r="BS273" s="12" t="n"/>
      <c r="BT273" s="12" t="n"/>
      <c r="BU273" s="12" t="n"/>
      <c r="BV273" s="12" t="n"/>
      <c r="BW273" s="12" t="n"/>
      <c r="BX273" s="12" t="n"/>
      <c r="BY273" s="12" t="n"/>
      <c r="BZ273" s="12" t="n"/>
      <c r="CA273" s="12" t="n"/>
      <c r="CB273" s="12" t="n"/>
      <c r="CC273" s="12" t="n"/>
      <c r="CD273" s="12" t="n"/>
      <c r="CE273" s="12" t="n"/>
      <c r="CF273" s="12" t="n"/>
      <c r="CG273" s="12" t="n"/>
      <c r="CH273" s="12" t="n"/>
      <c r="CI273" s="12" t="n"/>
      <c r="CJ273" s="12" t="n"/>
      <c r="CK273" s="12" t="n"/>
      <c r="CL273" s="12" t="n"/>
      <c r="CM273" s="12" t="n"/>
      <c r="CN273" s="12" t="n"/>
      <c r="CO273" s="12" t="n"/>
      <c r="CP273" s="12" t="n"/>
      <c r="CQ273" s="12" t="n"/>
      <c r="CR273" s="12" t="n"/>
      <c r="CS273" s="12" t="n"/>
      <c r="CT273" s="12" t="n"/>
      <c r="CU273" s="12" t="n"/>
      <c r="CV273" s="12" t="n"/>
      <c r="CW273" s="12" t="n"/>
      <c r="CX273" s="12" t="n"/>
      <c r="CY273" s="12" t="n"/>
    </row>
    <row r="274" hidden="1" outlineLevel="1">
      <c r="C274" s="10" t="inlineStr">
        <is>
          <t>Accounts receivable</t>
        </is>
      </c>
      <c r="D274" s="12" t="n"/>
      <c r="E274" s="12" t="n"/>
      <c r="F274" s="12" t="n"/>
      <c r="G274" s="12" t="n"/>
      <c r="H274" s="12" t="n"/>
      <c r="I274" s="12" t="n"/>
      <c r="J274" s="12">
        <f>(J139-I139)*-1</f>
        <v>1028</v>
      </c>
      <c r="K274" s="12">
        <f>(K139-J139)*-1</f>
        <v>-8803</v>
      </c>
      <c r="L274" s="12">
        <f>(L139-K139)*-1</f>
        <v>-3935</v>
      </c>
      <c r="M274" s="12" t="n"/>
      <c r="N274" s="12">
        <f>(N139-M139)*-1</f>
        <v>9398</v>
      </c>
      <c r="O274" s="12">
        <f>(O139-N139)*-1</f>
        <v>-988</v>
      </c>
      <c r="P274" s="12">
        <f>(P139-O139)*-1</f>
        <v>-6381</v>
      </c>
      <c r="Q274" s="12">
        <f>(Q139-P139)*-1</f>
        <v>4432</v>
      </c>
      <c r="R274" s="12">
        <f>SUM(N274:Q274)</f>
        <v>6461</v>
      </c>
      <c r="S274" s="12">
        <f>(S139-R139)*-1</f>
        <v>5816</v>
      </c>
      <c r="T274" s="12">
        <f>(T139-S139)*-1</f>
        <v>-1613</v>
      </c>
      <c r="U274" s="12">
        <f>(U139-T139)*-1</f>
        <v>-9959</v>
      </c>
      <c r="V274" s="12">
        <f>(V139-U139)*-1</f>
        <v>6314</v>
      </c>
      <c r="W274" s="12">
        <f>SUM(S274:V274)</f>
        <v>558</v>
      </c>
      <c r="X274" s="12">
        <f>(X139-W139)*-1</f>
        <v>1357</v>
      </c>
      <c r="Y274" s="12">
        <f>(Y139-X139)*-1</f>
        <v>-958</v>
      </c>
      <c r="Z274" s="12">
        <f>(Z139-Y139)*-1</f>
        <v>-10615</v>
      </c>
      <c r="AA274" s="12">
        <f>(AA139-Z139)*-1</f>
        <v>3771</v>
      </c>
      <c r="AB274" s="12">
        <f>SUM(X274:AA274)</f>
        <v>-6445</v>
      </c>
      <c r="AC274" s="12">
        <f>(AC139-AB139)*-1</f>
        <v>3503</v>
      </c>
      <c r="AD274" s="12">
        <f>(AD139-AC139)*-1</f>
        <v>-1421</v>
      </c>
      <c r="AE274" s="12">
        <f>(AE139-AD139)*-1</f>
        <v>-12220</v>
      </c>
      <c r="AF274" s="12">
        <f>(AF139-AE139)*-1</f>
        <v>-144</v>
      </c>
      <c r="AG274" s="12">
        <f>SUM(AC274:AF274)</f>
        <v>-10282</v>
      </c>
      <c r="AH274" s="12">
        <f>(AH139-AG139)*-1</f>
        <v>9582</v>
      </c>
      <c r="AI274" s="12">
        <f>(AI139-AH139)*-1</f>
        <v>-1059</v>
      </c>
      <c r="AJ274" s="12">
        <f>(AJ139-AI139)*-1</f>
        <v>-2507.80796024012</v>
      </c>
      <c r="AK274" s="12">
        <f>(AK139-AJ139)*-1</f>
        <v>-13662.7838568727</v>
      </c>
      <c r="AL274" s="12">
        <f>SUM(AH274:AK274)</f>
        <v>-7647.59181711279</v>
      </c>
      <c r="AM274" s="12">
        <f>(AM139-AL139)*-1</f>
        <v>9960.44554776783</v>
      </c>
      <c r="AN274" s="12">
        <f>(AN139-AM139)*-1</f>
        <v>1004.39857304403</v>
      </c>
      <c r="AO274" s="12">
        <f>(AO139-AN139)*-1</f>
        <v>-1328.17086903367</v>
      </c>
      <c r="AP274" s="12">
        <f>(AP139-AO139)*-1</f>
        <v>-15285.1571990969</v>
      </c>
      <c r="AQ274" s="12">
        <f>SUM(AM274:AP274)</f>
        <v>-5648.48394731874</v>
      </c>
      <c r="AR274" s="12">
        <f>(AR139-AQ139)*-1</f>
        <v>11791.5132605428</v>
      </c>
      <c r="AS274" s="12">
        <f>(AS139-AR139)*-1</f>
        <v>658.358837102198</v>
      </c>
      <c r="AT274" s="12">
        <f>(AT139-AS139)*-1</f>
        <v>-1479.24231068996</v>
      </c>
      <c r="AU274" s="12">
        <f>(AU139-AT139)*-1</f>
        <v>-17023.7518241173</v>
      </c>
      <c r="AV274" s="12">
        <f>SUM(AR274:AU274)</f>
        <v>-6053.12203716229</v>
      </c>
      <c r="AW274" s="12">
        <f>(AW139-AV139)*-1</f>
        <v>12829.5175842154</v>
      </c>
      <c r="AX274" s="12">
        <f>(AX139-AW139)*-1</f>
        <v>1240.2885430051</v>
      </c>
      <c r="AY274" s="12">
        <f>(AY139-AX139)*-1</f>
        <v>-1640.10100793262</v>
      </c>
      <c r="AZ274" s="12">
        <f>(AZ139-AY139)*-1</f>
        <v>-18874.9823634416</v>
      </c>
      <c r="BA274" s="12">
        <f>SUM(AW274:AZ274)</f>
        <v>-6445.27724415372</v>
      </c>
      <c r="BB274" s="12">
        <f>(BB139-BA139)*-1</f>
        <v>14456.8537975095</v>
      </c>
      <c r="BC274" s="12">
        <f>(BC139-BB139)*-1</f>
        <v>1368.96101363815</v>
      </c>
      <c r="BD274" s="12">
        <f>(BD139-BC139)*-1</f>
        <v>-1810.25161519948</v>
      </c>
      <c r="BE274" s="12">
        <f>(BE139-BD139)*-1</f>
        <v>-20833.1481689362</v>
      </c>
      <c r="BF274" s="12">
        <f>SUM(BB274:BE274)</f>
        <v>-6817.58497298799</v>
      </c>
      <c r="BG274" s="12" t="n"/>
      <c r="BH274" s="12" t="n"/>
      <c r="BI274" s="12" t="n"/>
      <c r="BJ274" s="12" t="n"/>
      <c r="BK274" s="12" t="n"/>
      <c r="BL274" s="12" t="n"/>
      <c r="BM274" s="12" t="n"/>
      <c r="BN274" s="12" t="n"/>
      <c r="BO274" s="12" t="n"/>
      <c r="BP274" s="12" t="n"/>
      <c r="BQ274" s="12" t="n"/>
      <c r="BR274" s="12" t="n"/>
      <c r="BS274" s="12" t="n"/>
      <c r="BT274" s="12" t="n"/>
      <c r="BU274" s="12" t="n"/>
      <c r="BV274" s="12" t="n"/>
      <c r="BW274" s="12" t="n"/>
      <c r="BX274" s="12" t="n"/>
      <c r="BY274" s="12" t="n"/>
      <c r="BZ274" s="12" t="n"/>
      <c r="CA274" s="12" t="n"/>
      <c r="CB274" s="12" t="n"/>
      <c r="CC274" s="12" t="n"/>
      <c r="CD274" s="12" t="n"/>
      <c r="CE274" s="12" t="n"/>
      <c r="CF274" s="12" t="n"/>
      <c r="CG274" s="12" t="n"/>
      <c r="CH274" s="12" t="n"/>
      <c r="CI274" s="12" t="n"/>
      <c r="CJ274" s="12" t="n"/>
      <c r="CK274" s="12" t="n"/>
      <c r="CL274" s="12" t="n"/>
      <c r="CM274" s="12" t="n"/>
      <c r="CN274" s="12" t="n"/>
      <c r="CO274" s="12" t="n"/>
      <c r="CP274" s="12" t="n"/>
      <c r="CQ274" s="12" t="n"/>
      <c r="CR274" s="12" t="n"/>
      <c r="CS274" s="12" t="n"/>
      <c r="CT274" s="12" t="n"/>
      <c r="CU274" s="12" t="n"/>
      <c r="CV274" s="12" t="n"/>
      <c r="CW274" s="12" t="n"/>
      <c r="CX274" s="12" t="n"/>
      <c r="CY274" s="12" t="n"/>
    </row>
    <row r="275" hidden="1" outlineLevel="1">
      <c r="C275" s="10" t="inlineStr">
        <is>
          <t>Inventories</t>
        </is>
      </c>
      <c r="D275" s="12" t="n"/>
      <c r="E275" s="12" t="n"/>
      <c r="F275" s="12" t="n"/>
      <c r="G275" s="12" t="n"/>
      <c r="H275" s="12" t="n"/>
      <c r="I275" s="12" t="n"/>
      <c r="J275" s="12">
        <f>(J143-I143)*-1</f>
        <v>41</v>
      </c>
      <c r="K275" s="12">
        <f>(K143-J143)*-1</f>
        <v>-1402</v>
      </c>
      <c r="L275" s="12">
        <f>(L143-K143)*-1</f>
        <v>704</v>
      </c>
      <c r="M275" s="12" t="n"/>
      <c r="N275" s="12">
        <f>(N143-M143)*-1</f>
        <v>416</v>
      </c>
      <c r="O275" s="12">
        <f>(O143-N143)*-1</f>
        <v>27</v>
      </c>
      <c r="P275" s="12">
        <f>(P143-O143)*-1</f>
        <v>487</v>
      </c>
      <c r="Q275" s="12">
        <f>(Q143-P143)*-1</f>
        <v>-1874</v>
      </c>
      <c r="R275" s="12">
        <f>SUM(N275:Q275)</f>
        <v>-944</v>
      </c>
      <c r="S275" s="12">
        <f>(S143-R143)*-1</f>
        <v>-662</v>
      </c>
      <c r="T275" s="12">
        <f>(T143-S143)*-1</f>
        <v>131</v>
      </c>
      <c r="U275" s="12">
        <f>(U143-T143)*-1</f>
        <v>1020</v>
      </c>
      <c r="V275" s="12">
        <f>(V143-U143)*-1</f>
        <v>-180</v>
      </c>
      <c r="W275" s="12">
        <f>SUM(S275:V275)</f>
        <v>309</v>
      </c>
      <c r="X275" s="12">
        <f>(X143-W143)*-1</f>
        <v>279</v>
      </c>
      <c r="Y275" s="12">
        <f>(Y143-X143)*-1</f>
        <v>67</v>
      </c>
      <c r="Z275" s="12">
        <f>(Z143-Y143)*-1</f>
        <v>-1121</v>
      </c>
      <c r="AA275" s="12">
        <f>(AA143-Z143)*-1</f>
        <v>375</v>
      </c>
      <c r="AB275" s="12">
        <f>SUM(X275:AA275)</f>
        <v>-400</v>
      </c>
      <c r="AC275" s="12">
        <f>(AC143-AB143)*-1</f>
        <v>642</v>
      </c>
      <c r="AD275" s="12">
        <f>(AD143-AC143)*-1</f>
        <v>344</v>
      </c>
      <c r="AE275" s="12">
        <f>(AE143-AD143)*-1</f>
        <v>207</v>
      </c>
      <c r="AF275" s="12">
        <f>(AF143-AE143)*-1</f>
        <v>-157</v>
      </c>
      <c r="AG275" s="12">
        <f>SUM(AC275:AF275)</f>
        <v>1036</v>
      </c>
      <c r="AH275" s="12">
        <f>(AH143-AG143)*-1</f>
        <v>-872</v>
      </c>
      <c r="AI275" s="12">
        <f>(AI143-AH143)*-1</f>
        <v>-4345</v>
      </c>
      <c r="AJ275" s="12">
        <f>(AJ143-AI143)*-1</f>
        <v>3743.04610598234</v>
      </c>
      <c r="AK275" s="12">
        <f>(AK143-AJ143)*-1</f>
        <v>-2961.35602330519</v>
      </c>
      <c r="AL275" s="12">
        <f>SUM(AH275:AK275)</f>
        <v>-4435.30991732285</v>
      </c>
      <c r="AM275" s="12">
        <f>(AM143-AL143)*-1</f>
        <v>2158.8883880973</v>
      </c>
      <c r="AN275" s="12">
        <f>(AN143-AM143)*-1</f>
        <v>217.699540243177</v>
      </c>
      <c r="AO275" s="12">
        <f>(AO143-AN143)*-1</f>
        <v>-287.875944184893</v>
      </c>
      <c r="AP275" s="12">
        <f>(AP143-AO143)*-1</f>
        <v>-3312.99922569903</v>
      </c>
      <c r="AQ275" s="12">
        <f>SUM(AM275:AP275)</f>
        <v>-1224.28724154345</v>
      </c>
      <c r="AR275" s="12">
        <f>(AR143-AQ143)*-1</f>
        <v>2555.7652952569</v>
      </c>
      <c r="AS275" s="12">
        <f>(AS143-AR143)*-1</f>
        <v>142.696754056318</v>
      </c>
      <c r="AT275" s="12">
        <f>(AT143-AS143)*-1</f>
        <v>-320.620100016153</v>
      </c>
      <c r="AU275" s="12">
        <f>(AU143-AT143)*-1</f>
        <v>-3689.83294559282</v>
      </c>
      <c r="AV275" s="12">
        <f>SUM(AR275:AU275)</f>
        <v>-1311.99099629576</v>
      </c>
      <c r="AW275" s="12">
        <f>(AW143-AV143)*-1</f>
        <v>2780.74875311777</v>
      </c>
      <c r="AX275" s="12">
        <f>(AX143-AW143)*-1</f>
        <v>268.827786924039</v>
      </c>
      <c r="AY275" s="12">
        <f>(AY143-AX143)*-1</f>
        <v>-355.485605975317</v>
      </c>
      <c r="AZ275" s="12">
        <f>(AZ143-AY143)*-1</f>
        <v>-4091.08006811075</v>
      </c>
      <c r="BA275" s="12">
        <f>SUM(AW275:AZ275)</f>
        <v>-1396.98913404426</v>
      </c>
      <c r="BB275" s="12">
        <f>(BB143-BA143)*-1</f>
        <v>3133.46763879032</v>
      </c>
      <c r="BC275" s="12">
        <f>(BC143-BB143)*-1</f>
        <v>296.717051654747</v>
      </c>
      <c r="BD275" s="12">
        <f>(BD143-BC143)*-1</f>
        <v>-392.365097810745</v>
      </c>
      <c r="BE275" s="12">
        <f>(BE143-BD143)*-1</f>
        <v>-4515.50499962385</v>
      </c>
      <c r="BF275" s="12">
        <f>SUM(BB275:BE275)</f>
        <v>-1477.68540698953</v>
      </c>
      <c r="BG275" s="12" t="n"/>
      <c r="BH275" s="12" t="n"/>
      <c r="BI275" s="12" t="n"/>
      <c r="BJ275" s="12" t="n"/>
      <c r="BK275" s="12" t="n"/>
      <c r="BL275" s="12" t="n"/>
      <c r="BM275" s="12" t="n"/>
      <c r="BN275" s="12" t="n"/>
      <c r="BO275" s="12" t="n"/>
      <c r="BP275" s="12" t="n"/>
      <c r="BQ275" s="12" t="n"/>
      <c r="BR275" s="12" t="n"/>
      <c r="BS275" s="12" t="n"/>
      <c r="BT275" s="12" t="n"/>
      <c r="BU275" s="12" t="n"/>
      <c r="BV275" s="12" t="n"/>
      <c r="BW275" s="12" t="n"/>
      <c r="BX275" s="12" t="n"/>
      <c r="BY275" s="12" t="n"/>
      <c r="BZ275" s="12" t="n"/>
      <c r="CA275" s="12" t="n"/>
      <c r="CB275" s="12" t="n"/>
      <c r="CC275" s="12" t="n"/>
      <c r="CD275" s="12" t="n"/>
      <c r="CE275" s="12" t="n"/>
      <c r="CF275" s="12" t="n"/>
      <c r="CG275" s="12" t="n"/>
      <c r="CH275" s="12" t="n"/>
      <c r="CI275" s="12" t="n"/>
      <c r="CJ275" s="12" t="n"/>
      <c r="CK275" s="12" t="n"/>
      <c r="CL275" s="12" t="n"/>
      <c r="CM275" s="12" t="n"/>
      <c r="CN275" s="12" t="n"/>
      <c r="CO275" s="12" t="n"/>
      <c r="CP275" s="12" t="n"/>
      <c r="CQ275" s="12" t="n"/>
      <c r="CR275" s="12" t="n"/>
      <c r="CS275" s="12" t="n"/>
      <c r="CT275" s="12" t="n"/>
      <c r="CU275" s="12" t="n"/>
      <c r="CV275" s="12" t="n"/>
      <c r="CW275" s="12" t="n"/>
      <c r="CX275" s="12" t="n"/>
      <c r="CY275" s="12" t="n"/>
    </row>
    <row r="276" hidden="1" outlineLevel="1">
      <c r="C276" s="10" t="inlineStr">
        <is>
          <t>Deferred income taxes</t>
        </is>
      </c>
      <c r="D276" s="12" t="n"/>
      <c r="E276" s="12" t="n"/>
      <c r="F276" s="12" t="n"/>
      <c r="G276" s="12" t="n"/>
      <c r="H276" s="12" t="n"/>
      <c r="I276" s="12" t="n"/>
      <c r="J276" s="12">
        <f>(J147-I147)*-1</f>
        <v>0</v>
      </c>
      <c r="K276" s="12">
        <f>(K147-J147)*-1</f>
        <v>0</v>
      </c>
      <c r="L276" s="12">
        <f>(L147-K147)*-1</f>
        <v>0</v>
      </c>
      <c r="M276" s="12" t="n"/>
      <c r="N276" s="12">
        <f>(N147-M147)*-1</f>
        <v>0</v>
      </c>
      <c r="O276" s="12">
        <f>(O147-N147)*-1</f>
        <v>0</v>
      </c>
      <c r="P276" s="12">
        <f>(P147-O147)*-1</f>
        <v>0</v>
      </c>
      <c r="Q276" s="12">
        <f>(Q147-P147)*-1</f>
        <v>0</v>
      </c>
      <c r="R276" s="12">
        <f>SUM(N276:Q276)</f>
        <v>0</v>
      </c>
      <c r="S276" s="12">
        <f>(S147-R147)*-1</f>
        <v>0</v>
      </c>
      <c r="T276" s="12">
        <f>(T147-S147)*-1</f>
        <v>0</v>
      </c>
      <c r="U276" s="12">
        <f>(U147-T147)*-1</f>
        <v>0</v>
      </c>
      <c r="V276" s="12">
        <f>(V147-U147)*-1</f>
        <v>0</v>
      </c>
      <c r="W276" s="12">
        <f>SUM(S276:V276)</f>
        <v>0</v>
      </c>
      <c r="X276" s="12">
        <f>(X147-W147)*-1</f>
        <v>0</v>
      </c>
      <c r="Y276" s="12">
        <f>(Y147-X147)*-1</f>
        <v>0</v>
      </c>
      <c r="Z276" s="12">
        <f>(Z147-Y147)*-1</f>
        <v>0</v>
      </c>
      <c r="AA276" s="12">
        <f>(AA147-Z147)*-1</f>
        <v>0</v>
      </c>
      <c r="AB276" s="12">
        <f>SUM(X276:AA276)</f>
        <v>0</v>
      </c>
      <c r="AC276" s="12">
        <f>(AC147-AB147)*-1</f>
        <v>0</v>
      </c>
      <c r="AD276" s="12">
        <f>(AD147-AC147)*-1</f>
        <v>0</v>
      </c>
      <c r="AE276" s="12">
        <f>(AE147-AD147)*-1</f>
        <v>0</v>
      </c>
      <c r="AF276" s="12">
        <f>(AF147-AE147)*-1</f>
        <v>0</v>
      </c>
      <c r="AG276" s="12">
        <f>SUM(AC276:AF276)</f>
        <v>0</v>
      </c>
      <c r="AH276" s="12">
        <f>(AH147-AG147)*-1</f>
        <v>0</v>
      </c>
      <c r="AI276" s="12">
        <f>(AI147-AH147)*-1</f>
        <v>0</v>
      </c>
      <c r="AJ276" s="12">
        <f>(AJ147-AI147)*-1</f>
        <v>0</v>
      </c>
      <c r="AK276" s="12">
        <f>(AK147-AJ147)*-1</f>
        <v>0</v>
      </c>
      <c r="AL276" s="12">
        <f>SUM(AH276:AK276)</f>
        <v>0</v>
      </c>
      <c r="AM276" s="12">
        <f>(AM147-AL147)*-1</f>
        <v>0</v>
      </c>
      <c r="AN276" s="12">
        <f>(AN147-AM147)*-1</f>
        <v>0</v>
      </c>
      <c r="AO276" s="12">
        <f>(AO147-AN147)*-1</f>
        <v>0</v>
      </c>
      <c r="AP276" s="12">
        <f>(AP147-AO147)*-1</f>
        <v>0</v>
      </c>
      <c r="AQ276" s="12">
        <f>SUM(AM276:AP276)</f>
        <v>0</v>
      </c>
      <c r="AR276" s="12">
        <f>(AR147-AQ147)*-1</f>
        <v>0</v>
      </c>
      <c r="AS276" s="12">
        <f>(AS147-AR147)*-1</f>
        <v>0</v>
      </c>
      <c r="AT276" s="12">
        <f>(AT147-AS147)*-1</f>
        <v>0</v>
      </c>
      <c r="AU276" s="12">
        <f>(AU147-AT147)*-1</f>
        <v>0</v>
      </c>
      <c r="AV276" s="12">
        <f>SUM(AR276:AU276)</f>
        <v>0</v>
      </c>
      <c r="AW276" s="12">
        <f>(AW147-AV147)*-1</f>
        <v>0</v>
      </c>
      <c r="AX276" s="12">
        <f>(AX147-AW147)*-1</f>
        <v>0</v>
      </c>
      <c r="AY276" s="12">
        <f>(AY147-AX147)*-1</f>
        <v>0</v>
      </c>
      <c r="AZ276" s="12">
        <f>(AZ147-AY147)*-1</f>
        <v>0</v>
      </c>
      <c r="BA276" s="12">
        <f>SUM(AW276:AZ276)</f>
        <v>0</v>
      </c>
      <c r="BB276" s="12">
        <f>(BB147-BA147)*-1</f>
        <v>0</v>
      </c>
      <c r="BC276" s="12">
        <f>(BC147-BB147)*-1</f>
        <v>0</v>
      </c>
      <c r="BD276" s="12">
        <f>(BD147-BC147)*-1</f>
        <v>0</v>
      </c>
      <c r="BE276" s="12">
        <f>(BE147-BD147)*-1</f>
        <v>0</v>
      </c>
      <c r="BF276" s="12">
        <f>SUM(BB276:BE276)</f>
        <v>0</v>
      </c>
      <c r="BG276" s="12" t="n"/>
      <c r="BH276" s="12" t="n"/>
      <c r="BI276" s="12" t="n"/>
      <c r="BJ276" s="12" t="n"/>
      <c r="BK276" s="12" t="n"/>
      <c r="BL276" s="12" t="n"/>
      <c r="BM276" s="12" t="n"/>
      <c r="BN276" s="12" t="n"/>
      <c r="BO276" s="12" t="n"/>
      <c r="BP276" s="12" t="n"/>
      <c r="BQ276" s="12" t="n"/>
      <c r="BR276" s="12" t="n"/>
      <c r="BS276" s="12" t="n"/>
      <c r="BT276" s="12" t="n"/>
      <c r="BU276" s="12" t="n"/>
      <c r="BV276" s="12" t="n"/>
      <c r="BW276" s="12" t="n"/>
      <c r="BX276" s="12" t="n"/>
      <c r="BY276" s="12" t="n"/>
      <c r="BZ276" s="12" t="n"/>
      <c r="CA276" s="12" t="n"/>
      <c r="CB276" s="12" t="n"/>
      <c r="CC276" s="12" t="n"/>
      <c r="CD276" s="12" t="n"/>
      <c r="CE276" s="12" t="n"/>
      <c r="CF276" s="12" t="n"/>
      <c r="CG276" s="12" t="n"/>
      <c r="CH276" s="12" t="n"/>
      <c r="CI276" s="12" t="n"/>
      <c r="CJ276" s="12" t="n"/>
      <c r="CK276" s="12" t="n"/>
      <c r="CL276" s="12" t="n"/>
      <c r="CM276" s="12" t="n"/>
      <c r="CN276" s="12" t="n"/>
      <c r="CO276" s="12" t="n"/>
      <c r="CP276" s="12" t="n"/>
      <c r="CQ276" s="12" t="n"/>
      <c r="CR276" s="12" t="n"/>
      <c r="CS276" s="12" t="n"/>
      <c r="CT276" s="12" t="n"/>
      <c r="CU276" s="12" t="n"/>
      <c r="CV276" s="12" t="n"/>
      <c r="CW276" s="12" t="n"/>
      <c r="CX276" s="12" t="n"/>
      <c r="CY276" s="12" t="n"/>
    </row>
    <row r="277" hidden="1" outlineLevel="1">
      <c r="C277" s="10" t="inlineStr">
        <is>
          <t>Prepaid expenses</t>
        </is>
      </c>
      <c r="D277" s="12" t="n"/>
      <c r="E277" s="12" t="n"/>
      <c r="F277" s="12" t="n"/>
      <c r="G277" s="12" t="n"/>
      <c r="H277" s="12" t="n"/>
      <c r="I277" s="12" t="n"/>
      <c r="J277" s="12">
        <f>(J148-I148)*-1</f>
        <v>0</v>
      </c>
      <c r="K277" s="12">
        <f>(K148-J148)*-1</f>
        <v>0</v>
      </c>
      <c r="L277" s="12">
        <f>(L148-K148)*-1</f>
        <v>0</v>
      </c>
      <c r="M277" s="12" t="n"/>
      <c r="N277" s="12">
        <f>(N148-M148)*-1</f>
        <v>0</v>
      </c>
      <c r="O277" s="12">
        <f>(O148-N148)*-1</f>
        <v>0</v>
      </c>
      <c r="P277" s="12">
        <f>(P148-O148)*-1</f>
        <v>0</v>
      </c>
      <c r="Q277" s="12">
        <f>(Q148-P148)*-1</f>
        <v>0</v>
      </c>
      <c r="R277" s="12">
        <f>SUM(N277:Q277)</f>
        <v>0</v>
      </c>
      <c r="S277" s="12">
        <f>(S148-R148)*-1</f>
        <v>0</v>
      </c>
      <c r="T277" s="12">
        <f>(T148-S148)*-1</f>
        <v>0</v>
      </c>
      <c r="U277" s="12">
        <f>(U148-T148)*-1</f>
        <v>0</v>
      </c>
      <c r="V277" s="12">
        <f>(V148-U148)*-1</f>
        <v>0</v>
      </c>
      <c r="W277" s="12">
        <f>SUM(S277:V277)</f>
        <v>0</v>
      </c>
      <c r="X277" s="12">
        <f>(X148-W148)*-1</f>
        <v>0</v>
      </c>
      <c r="Y277" s="12">
        <f>(Y148-X148)*-1</f>
        <v>0</v>
      </c>
      <c r="Z277" s="12">
        <f>(Z148-Y148)*-1</f>
        <v>0</v>
      </c>
      <c r="AA277" s="12">
        <f>(AA148-Z148)*-1</f>
        <v>0</v>
      </c>
      <c r="AB277" s="12">
        <f>SUM(X277:AA277)</f>
        <v>0</v>
      </c>
      <c r="AC277" s="12">
        <f>(AC148-AB148)*-1</f>
        <v>0</v>
      </c>
      <c r="AD277" s="12">
        <f>(AD148-AC148)*-1</f>
        <v>0</v>
      </c>
      <c r="AE277" s="12">
        <f>(AE148-AD148)*-1</f>
        <v>0</v>
      </c>
      <c r="AF277" s="12">
        <f>(AF148-AE148)*-1</f>
        <v>0</v>
      </c>
      <c r="AG277" s="12">
        <f>SUM(AC277:AF277)</f>
        <v>0</v>
      </c>
      <c r="AH277" s="12">
        <f>(AH148-AG148)*-1</f>
        <v>0</v>
      </c>
      <c r="AI277" s="12">
        <f>(AI148-AH148)*-1</f>
        <v>0</v>
      </c>
      <c r="AJ277" s="12">
        <f>(AJ148-AI148)*-1</f>
        <v>0</v>
      </c>
      <c r="AK277" s="12">
        <f>(AK148-AJ148)*-1</f>
        <v>0</v>
      </c>
      <c r="AL277" s="12">
        <f>SUM(AH277:AK277)</f>
        <v>0</v>
      </c>
      <c r="AM277" s="12">
        <f>(AM148-AL148)*-1</f>
        <v>0</v>
      </c>
      <c r="AN277" s="12">
        <f>(AN148-AM148)*-1</f>
        <v>0</v>
      </c>
      <c r="AO277" s="12">
        <f>(AO148-AN148)*-1</f>
        <v>0</v>
      </c>
      <c r="AP277" s="12">
        <f>(AP148-AO148)*-1</f>
        <v>0</v>
      </c>
      <c r="AQ277" s="12">
        <f>SUM(AM277:AP277)</f>
        <v>0</v>
      </c>
      <c r="AR277" s="12">
        <f>(AR148-AQ148)*-1</f>
        <v>0</v>
      </c>
      <c r="AS277" s="12">
        <f>(AS148-AR148)*-1</f>
        <v>0</v>
      </c>
      <c r="AT277" s="12">
        <f>(AT148-AS148)*-1</f>
        <v>0</v>
      </c>
      <c r="AU277" s="12">
        <f>(AU148-AT148)*-1</f>
        <v>0</v>
      </c>
      <c r="AV277" s="12">
        <f>SUM(AR277:AU277)</f>
        <v>0</v>
      </c>
      <c r="AW277" s="12">
        <f>(AW148-AV148)*-1</f>
        <v>0</v>
      </c>
      <c r="AX277" s="12">
        <f>(AX148-AW148)*-1</f>
        <v>0</v>
      </c>
      <c r="AY277" s="12">
        <f>(AY148-AX148)*-1</f>
        <v>0</v>
      </c>
      <c r="AZ277" s="12">
        <f>(AZ148-AY148)*-1</f>
        <v>0</v>
      </c>
      <c r="BA277" s="12">
        <f>SUM(AW277:AZ277)</f>
        <v>0</v>
      </c>
      <c r="BB277" s="12">
        <f>(BB148-BA148)*-1</f>
        <v>0</v>
      </c>
      <c r="BC277" s="12">
        <f>(BC148-BB148)*-1</f>
        <v>0</v>
      </c>
      <c r="BD277" s="12">
        <f>(BD148-BC148)*-1</f>
        <v>0</v>
      </c>
      <c r="BE277" s="12">
        <f>(BE148-BD148)*-1</f>
        <v>0</v>
      </c>
      <c r="BF277" s="12">
        <f>SUM(BB277:BE277)</f>
        <v>0</v>
      </c>
      <c r="BG277" s="12" t="n"/>
      <c r="BH277" s="12" t="n"/>
      <c r="BI277" s="12" t="n"/>
      <c r="BJ277" s="12" t="n"/>
      <c r="BK277" s="12" t="n"/>
      <c r="BL277" s="12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  <c r="CA277" s="12" t="n"/>
      <c r="CB277" s="12" t="n"/>
      <c r="CC277" s="12" t="n"/>
      <c r="CD277" s="12" t="n"/>
      <c r="CE277" s="12" t="n"/>
      <c r="CF277" s="12" t="n"/>
      <c r="CG277" s="12" t="n"/>
      <c r="CH277" s="12" t="n"/>
      <c r="CI277" s="12" t="n"/>
      <c r="CJ277" s="12" t="n"/>
      <c r="CK277" s="12" t="n"/>
      <c r="CL277" s="12" t="n"/>
      <c r="CM277" s="12" t="n"/>
      <c r="CN277" s="12" t="n"/>
      <c r="CO277" s="12" t="n"/>
      <c r="CP277" s="12" t="n"/>
      <c r="CQ277" s="12" t="n"/>
      <c r="CR277" s="12" t="n"/>
      <c r="CS277" s="12" t="n"/>
      <c r="CT277" s="12" t="n"/>
      <c r="CU277" s="12" t="n"/>
      <c r="CV277" s="12" t="n"/>
      <c r="CW277" s="12" t="n"/>
      <c r="CX277" s="12" t="n"/>
      <c r="CY277" s="12" t="n"/>
    </row>
    <row r="278" hidden="1" outlineLevel="1">
      <c r="C278" s="10" t="inlineStr">
        <is>
          <t>Other current assets</t>
        </is>
      </c>
      <c r="D278" s="12" t="n"/>
      <c r="E278" s="12" t="n"/>
      <c r="F278" s="12" t="n"/>
      <c r="G278" s="12" t="n"/>
      <c r="H278" s="12" t="n"/>
      <c r="I278" s="12" t="n"/>
      <c r="J278" s="12">
        <f>(J149-I149)*-1</f>
        <v>-2165</v>
      </c>
      <c r="K278" s="12">
        <f>(K149-J149)*-1</f>
        <v>-9265</v>
      </c>
      <c r="L278" s="12">
        <f>(L149-K149)*-1</f>
        <v>-13813</v>
      </c>
      <c r="M278" s="12" t="n"/>
      <c r="N278" s="12">
        <f>(N149-M149)*-1</f>
        <v>12758</v>
      </c>
      <c r="O278" s="12">
        <f>(O149-N149)*-1</f>
        <v>3569</v>
      </c>
      <c r="P278" s="12">
        <f>(P149-O149)*-1</f>
        <v>-17146</v>
      </c>
      <c r="Q278" s="12">
        <f>(Q149-P149)*-1</f>
        <v>7121</v>
      </c>
      <c r="R278" s="12">
        <f>SUM(N278:Q278)</f>
        <v>6302</v>
      </c>
      <c r="S278" s="12">
        <f>(S149-R149)*-1</f>
        <v>15227</v>
      </c>
      <c r="T278" s="12">
        <f>(T149-S149)*-1</f>
        <v>-1654</v>
      </c>
      <c r="U278" s="12">
        <f>(U149-T149)*-1</f>
        <v>-12895</v>
      </c>
      <c r="V278" s="12">
        <f>(V149-U149)*-1</f>
        <v>5285</v>
      </c>
      <c r="W278" s="12">
        <f>SUM(S278:V278)</f>
        <v>5963</v>
      </c>
      <c r="X278" s="12">
        <f>(X149-W149)*-1</f>
        <v>7690</v>
      </c>
      <c r="Y278" s="12">
        <f>(Y149-X149)*-1</f>
        <v>-1477</v>
      </c>
      <c r="Z278" s="12">
        <f>(Z149-Y149)*-1</f>
        <v>-12446</v>
      </c>
      <c r="AA278" s="12">
        <f>(AA149-Z149)*-1</f>
        <v>4205</v>
      </c>
      <c r="AB278" s="12">
        <f>SUM(X278:AA278)</f>
        <v>-2028</v>
      </c>
      <c r="AC278" s="12">
        <f>(AC149-AB149)*-1</f>
        <v>5144</v>
      </c>
      <c r="AD278" s="12">
        <f>(AD149-AC149)*-1</f>
        <v>4134</v>
      </c>
      <c r="AE278" s="12">
        <f>(AE149-AD149)*-1</f>
        <v>-14128</v>
      </c>
      <c r="AF278" s="12">
        <f>(AF149-AE149)*-1</f>
        <v>2364</v>
      </c>
      <c r="AG278" s="12">
        <f>SUM(AC278:AF278)</f>
        <v>-2486</v>
      </c>
      <c r="AH278" s="12">
        <f>(AH149-AG149)*-1</f>
        <v>6880</v>
      </c>
      <c r="AI278" s="12">
        <f>(AI149-AH149)*-1</f>
        <v>-6408</v>
      </c>
      <c r="AJ278" s="12">
        <f>(AJ149-AI149)*-1</f>
        <v>0</v>
      </c>
      <c r="AK278" s="12">
        <f>(AK149-AJ149)*-1</f>
        <v>0</v>
      </c>
      <c r="AL278" s="12">
        <f>SUM(AH278:AK278)</f>
        <v>472</v>
      </c>
      <c r="AM278" s="12">
        <f>(AM149-AL149)*-1</f>
        <v>0</v>
      </c>
      <c r="AN278" s="12">
        <f>(AN149-AM149)*-1</f>
        <v>0</v>
      </c>
      <c r="AO278" s="12">
        <f>(AO149-AN149)*-1</f>
        <v>0</v>
      </c>
      <c r="AP278" s="12">
        <f>(AP149-AO149)*-1</f>
        <v>0</v>
      </c>
      <c r="AQ278" s="12">
        <f>SUM(AM278:AP278)</f>
        <v>0</v>
      </c>
      <c r="AR278" s="12">
        <f>(AR149-AQ149)*-1</f>
        <v>0</v>
      </c>
      <c r="AS278" s="12">
        <f>(AS149-AR149)*-1</f>
        <v>0</v>
      </c>
      <c r="AT278" s="12">
        <f>(AT149-AS149)*-1</f>
        <v>0</v>
      </c>
      <c r="AU278" s="12">
        <f>(AU149-AT149)*-1</f>
        <v>0</v>
      </c>
      <c r="AV278" s="12">
        <f>SUM(AR278:AU278)</f>
        <v>0</v>
      </c>
      <c r="AW278" s="12">
        <f>(AW149-AV149)*-1</f>
        <v>0</v>
      </c>
      <c r="AX278" s="12">
        <f>(AX149-AW149)*-1</f>
        <v>0</v>
      </c>
      <c r="AY278" s="12">
        <f>(AY149-AX149)*-1</f>
        <v>0</v>
      </c>
      <c r="AZ278" s="12">
        <f>(AZ149-AY149)*-1</f>
        <v>0</v>
      </c>
      <c r="BA278" s="12">
        <f>SUM(AW278:AZ278)</f>
        <v>0</v>
      </c>
      <c r="BB278" s="12">
        <f>(BB149-BA149)*-1</f>
        <v>0</v>
      </c>
      <c r="BC278" s="12">
        <f>(BC149-BB149)*-1</f>
        <v>0</v>
      </c>
      <c r="BD278" s="12">
        <f>(BD149-BC149)*-1</f>
        <v>0</v>
      </c>
      <c r="BE278" s="12">
        <f>(BE149-BD149)*-1</f>
        <v>0</v>
      </c>
      <c r="BF278" s="12">
        <f>SUM(BB278:BE278)</f>
        <v>0</v>
      </c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  <c r="CU278" s="12" t="n"/>
      <c r="CV278" s="12" t="n"/>
      <c r="CW278" s="12" t="n"/>
      <c r="CX278" s="12" t="n"/>
      <c r="CY278" s="12" t="n"/>
    </row>
    <row r="279" hidden="1" outlineLevel="1">
      <c r="C279" s="10" t="inlineStr">
        <is>
          <t>Accounts payable</t>
        </is>
      </c>
      <c r="D279" s="12" t="n"/>
      <c r="E279" s="12" t="n"/>
      <c r="F279" s="12" t="n"/>
      <c r="G279" s="12" t="n"/>
      <c r="H279" s="12" t="n"/>
      <c r="I279" s="12" t="n"/>
      <c r="J279" s="12">
        <f>J192-I192</f>
        <v>282</v>
      </c>
      <c r="K279" s="12">
        <f>K192-J192</f>
        <v>14354</v>
      </c>
      <c r="L279" s="12">
        <f>L192-K192</f>
        <v>19599</v>
      </c>
      <c r="M279" s="12" t="n"/>
      <c r="N279" s="12">
        <f>N192-M192</f>
        <v>-21680</v>
      </c>
      <c r="O279" s="12">
        <f>O192-N192</f>
        <v>-4339</v>
      </c>
      <c r="P279" s="12">
        <f>P192-O192</f>
        <v>15772</v>
      </c>
      <c r="Q279" s="12">
        <f>Q192-P192</f>
        <v>-6197</v>
      </c>
      <c r="R279" s="12">
        <f>SUM(N279:Q279)</f>
        <v>-16444</v>
      </c>
      <c r="S279" s="12">
        <f>S192-R192</f>
        <v>-14973</v>
      </c>
      <c r="T279" s="12">
        <f>T192-S192</f>
        <v>3754</v>
      </c>
      <c r="U279" s="12">
        <f>U192-T192</f>
        <v>15912</v>
      </c>
      <c r="V279" s="12">
        <f>V192-U192</f>
        <v>-4465</v>
      </c>
      <c r="W279" s="12">
        <f>SUM(S279:V279)</f>
        <v>228</v>
      </c>
      <c r="X279" s="12">
        <f>X192-W192</f>
        <v>-12393</v>
      </c>
      <c r="Y279" s="12">
        <f>Y192-X192</f>
        <v>1821</v>
      </c>
      <c r="Z279" s="12">
        <f>Z192-Y192</f>
        <v>21386</v>
      </c>
      <c r="AA279" s="12">
        <f>AA192-Z192</f>
        <v>-7050</v>
      </c>
      <c r="AB279" s="12">
        <f>SUM(X279:AA279)</f>
        <v>3764</v>
      </c>
      <c r="AC279" s="12">
        <f>AC192-AB192</f>
        <v>-7784</v>
      </c>
      <c r="AD279" s="12">
        <f>AD192-AC192</f>
        <v>-3752</v>
      </c>
      <c r="AE279" s="12">
        <f>AE192-AD192</f>
        <v>19486</v>
      </c>
      <c r="AF279" s="12">
        <f>AF192-AE192</f>
        <v>727</v>
      </c>
      <c r="AG279" s="12">
        <f>SUM(AC279:AF279)</f>
        <v>8677</v>
      </c>
      <c r="AH279" s="12">
        <f>AH192-AG192</f>
        <v>-13238</v>
      </c>
      <c r="AI279" s="12">
        <f>AI192-AH192</f>
        <v>7176</v>
      </c>
      <c r="AJ279" s="12">
        <f>AJ192-AI192</f>
        <v>-592.566443474745</v>
      </c>
      <c r="AK279" s="12">
        <f>AK192-AJ192</f>
        <v>25762.4010066649</v>
      </c>
      <c r="AL279" s="12">
        <f>SUM(AH279:AK279)</f>
        <v>19107.8345631902</v>
      </c>
      <c r="AM279" s="12">
        <f>AM192-AL192</f>
        <v>-18781.3109754764</v>
      </c>
      <c r="AN279" s="12">
        <f>AN192-AM192</f>
        <v>-1893.88334620153</v>
      </c>
      <c r="AO279" s="12">
        <f>AO192-AN192</f>
        <v>2504.38496955394</v>
      </c>
      <c r="AP279" s="12">
        <f>AP192-AO192</f>
        <v>28821.531053861</v>
      </c>
      <c r="AQ279" s="12">
        <f>SUM(AM279:AP279)</f>
        <v>10650.721701737</v>
      </c>
      <c r="AR279" s="12">
        <f>AR192-AQ192</f>
        <v>-22233.9529246599</v>
      </c>
      <c r="AS279" s="12">
        <f>AS192-AR192</f>
        <v>-1241.39447314588</v>
      </c>
      <c r="AT279" s="12">
        <f>AT192-AS192</f>
        <v>2789.24368512578</v>
      </c>
      <c r="AU279" s="12">
        <f>AU192-AT192</f>
        <v>32099.8067249847</v>
      </c>
      <c r="AV279" s="12">
        <f>SUM(AR279:AU279)</f>
        <v>11413.7030123047</v>
      </c>
      <c r="AW279" s="12">
        <f>AW192-AV192</f>
        <v>-24191.2029194811</v>
      </c>
      <c r="AX279" s="12">
        <f>AX192-AW192</f>
        <v>-2338.67498334147</v>
      </c>
      <c r="AY279" s="12">
        <f>AY192-AX192</f>
        <v>3092.55714651018</v>
      </c>
      <c r="AZ279" s="12">
        <f>AZ192-AY192</f>
        <v>35590.4674870568</v>
      </c>
      <c r="BA279" s="12">
        <f>SUM(AW279:AZ279)</f>
        <v>12153.1467307445</v>
      </c>
      <c r="BB279" s="12">
        <f>BB192-BA192</f>
        <v>-27259.6909039749</v>
      </c>
      <c r="BC279" s="12">
        <f>BC192-BB192</f>
        <v>-2581.298435611</v>
      </c>
      <c r="BD279" s="12">
        <f>BD192-BC192</f>
        <v>3413.39133534435</v>
      </c>
      <c r="BE279" s="12">
        <f>BE192-BD192</f>
        <v>39282.7642581364</v>
      </c>
      <c r="BF279" s="12">
        <f>SUM(BB279:BE279)</f>
        <v>12855.1662538949</v>
      </c>
      <c r="BG279" s="12" t="n"/>
      <c r="BH279" s="12" t="n"/>
      <c r="BI279" s="12" t="n"/>
      <c r="BJ279" s="12" t="n"/>
      <c r="BK279" s="12" t="n"/>
      <c r="BL279" s="12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  <c r="CA279" s="12" t="n"/>
      <c r="CB279" s="12" t="n"/>
      <c r="CC279" s="12" t="n"/>
      <c r="CD279" s="12" t="n"/>
      <c r="CE279" s="12" t="n"/>
      <c r="CF279" s="12" t="n"/>
      <c r="CG279" s="12" t="n"/>
      <c r="CH279" s="12" t="n"/>
      <c r="CI279" s="12" t="n"/>
      <c r="CJ279" s="12" t="n"/>
      <c r="CK279" s="12" t="n"/>
      <c r="CL279" s="12" t="n"/>
      <c r="CM279" s="12" t="n"/>
      <c r="CN279" s="12" t="n"/>
      <c r="CO279" s="12" t="n"/>
      <c r="CP279" s="12" t="n"/>
      <c r="CQ279" s="12" t="n"/>
      <c r="CR279" s="12" t="n"/>
      <c r="CS279" s="12" t="n"/>
      <c r="CT279" s="12" t="n"/>
      <c r="CU279" s="12" t="n"/>
      <c r="CV279" s="12" t="n"/>
      <c r="CW279" s="12" t="n"/>
      <c r="CX279" s="12" t="n"/>
      <c r="CY279" s="12" t="n"/>
    </row>
    <row r="280" hidden="1" outlineLevel="1">
      <c r="C280" s="10" t="inlineStr">
        <is>
          <t>Accrued expenses</t>
        </is>
      </c>
      <c r="D280" s="12" t="n"/>
      <c r="E280" s="12" t="n"/>
      <c r="F280" s="12" t="n"/>
      <c r="G280" s="12" t="n"/>
      <c r="H280" s="12" t="n"/>
      <c r="I280" s="12" t="n"/>
      <c r="J280" s="12">
        <f>J196-I196</f>
        <v>0</v>
      </c>
      <c r="K280" s="12">
        <f>K196-J196</f>
        <v>0</v>
      </c>
      <c r="L280" s="12">
        <f>L196-K196</f>
        <v>0</v>
      </c>
      <c r="M280" s="12" t="n"/>
      <c r="N280" s="12">
        <f>N196-M196</f>
        <v>0</v>
      </c>
      <c r="O280" s="12">
        <f>O196-N196</f>
        <v>0</v>
      </c>
      <c r="P280" s="12">
        <f>P196-O196</f>
        <v>0</v>
      </c>
      <c r="Q280" s="12">
        <f>Q196-P196</f>
        <v>0</v>
      </c>
      <c r="R280" s="12">
        <f>SUM(N280:Q280)</f>
        <v>0</v>
      </c>
      <c r="S280" s="12">
        <f>S196-R196</f>
        <v>0</v>
      </c>
      <c r="T280" s="12">
        <f>T196-S196</f>
        <v>0</v>
      </c>
      <c r="U280" s="12">
        <f>U196-T196</f>
        <v>0</v>
      </c>
      <c r="V280" s="12">
        <f>V196-U196</f>
        <v>0</v>
      </c>
      <c r="W280" s="12">
        <f>SUM(S280:V280)</f>
        <v>0</v>
      </c>
      <c r="X280" s="12">
        <f>X196-W196</f>
        <v>0</v>
      </c>
      <c r="Y280" s="12">
        <f>Y196-X196</f>
        <v>0</v>
      </c>
      <c r="Z280" s="12">
        <f>Z196-Y196</f>
        <v>0</v>
      </c>
      <c r="AA280" s="12">
        <f>AA196-Z196</f>
        <v>0</v>
      </c>
      <c r="AB280" s="12">
        <f>SUM(X280:AA280)</f>
        <v>0</v>
      </c>
      <c r="AC280" s="12">
        <f>AC196-AB196</f>
        <v>0</v>
      </c>
      <c r="AD280" s="12">
        <f>AD196-AC196</f>
        <v>0</v>
      </c>
      <c r="AE280" s="12">
        <f>AE196-AD196</f>
        <v>0</v>
      </c>
      <c r="AF280" s="12">
        <f>AF196-AE196</f>
        <v>0</v>
      </c>
      <c r="AG280" s="12">
        <f>SUM(AC280:AF280)</f>
        <v>0</v>
      </c>
      <c r="AH280" s="12">
        <f>AH196-AG196</f>
        <v>0</v>
      </c>
      <c r="AI280" s="12">
        <f>AI196-AH196</f>
        <v>0</v>
      </c>
      <c r="AJ280" s="12">
        <f>AJ196-AI196</f>
        <v>0</v>
      </c>
      <c r="AK280" s="12">
        <f>AK196-AJ196</f>
        <v>0</v>
      </c>
      <c r="AL280" s="12">
        <f>SUM(AH280:AK280)</f>
        <v>0</v>
      </c>
      <c r="AM280" s="12">
        <f>AM196-AL196</f>
        <v>0</v>
      </c>
      <c r="AN280" s="12">
        <f>AN196-AM196</f>
        <v>0</v>
      </c>
      <c r="AO280" s="12">
        <f>AO196-AN196</f>
        <v>0</v>
      </c>
      <c r="AP280" s="12">
        <f>AP196-AO196</f>
        <v>0</v>
      </c>
      <c r="AQ280" s="12">
        <f>SUM(AM280:AP280)</f>
        <v>0</v>
      </c>
      <c r="AR280" s="12">
        <f>AR196-AQ196</f>
        <v>0</v>
      </c>
      <c r="AS280" s="12">
        <f>AS196-AR196</f>
        <v>0</v>
      </c>
      <c r="AT280" s="12">
        <f>AT196-AS196</f>
        <v>0</v>
      </c>
      <c r="AU280" s="12">
        <f>AU196-AT196</f>
        <v>0</v>
      </c>
      <c r="AV280" s="12">
        <f>SUM(AR280:AU280)</f>
        <v>0</v>
      </c>
      <c r="AW280" s="12">
        <f>AW196-AV196</f>
        <v>0</v>
      </c>
      <c r="AX280" s="12">
        <f>AX196-AW196</f>
        <v>0</v>
      </c>
      <c r="AY280" s="12">
        <f>AY196-AX196</f>
        <v>0</v>
      </c>
      <c r="AZ280" s="12">
        <f>AZ196-AY196</f>
        <v>0</v>
      </c>
      <c r="BA280" s="12">
        <f>SUM(AW280:AZ280)</f>
        <v>0</v>
      </c>
      <c r="BB280" s="12">
        <f>BB196-BA196</f>
        <v>0</v>
      </c>
      <c r="BC280" s="12">
        <f>BC196-BB196</f>
        <v>0</v>
      </c>
      <c r="BD280" s="12">
        <f>BD196-BC196</f>
        <v>0</v>
      </c>
      <c r="BE280" s="12">
        <f>BE196-BD196</f>
        <v>0</v>
      </c>
      <c r="BF280" s="12">
        <f>SUM(BB280:BE280)</f>
        <v>0</v>
      </c>
      <c r="BG280" s="12" t="n"/>
      <c r="BH280" s="12" t="n"/>
      <c r="BI280" s="12" t="n"/>
      <c r="BJ280" s="12" t="n"/>
      <c r="BK280" s="12" t="n"/>
      <c r="BL280" s="12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  <c r="CN280" s="12" t="n"/>
      <c r="CO280" s="12" t="n"/>
      <c r="CP280" s="12" t="n"/>
      <c r="CQ280" s="12" t="n"/>
      <c r="CR280" s="12" t="n"/>
      <c r="CS280" s="12" t="n"/>
      <c r="CT280" s="12" t="n"/>
      <c r="CU280" s="12" t="n"/>
      <c r="CV280" s="12" t="n"/>
      <c r="CW280" s="12" t="n"/>
      <c r="CX280" s="12" t="n"/>
      <c r="CY280" s="12" t="n"/>
    </row>
    <row r="281" hidden="1" outlineLevel="1">
      <c r="C281" s="10" t="inlineStr">
        <is>
          <t>Taxes payable</t>
        </is>
      </c>
      <c r="D281" s="12" t="n"/>
      <c r="E281" s="12" t="n"/>
      <c r="F281" s="12" t="n"/>
      <c r="G281" s="12" t="n"/>
      <c r="H281" s="12" t="n"/>
      <c r="I281" s="12" t="n"/>
      <c r="J281" s="12">
        <f>J198-I198</f>
        <v>0</v>
      </c>
      <c r="K281" s="12">
        <f>K198-J198</f>
        <v>0</v>
      </c>
      <c r="L281" s="12">
        <f>L198-K198</f>
        <v>0</v>
      </c>
      <c r="M281" s="12" t="n"/>
      <c r="N281" s="12">
        <f>N198-M198</f>
        <v>0</v>
      </c>
      <c r="O281" s="12">
        <f>O198-N198</f>
        <v>0</v>
      </c>
      <c r="P281" s="12">
        <f>P198-O198</f>
        <v>0</v>
      </c>
      <c r="Q281" s="12">
        <f>Q198-P198</f>
        <v>0</v>
      </c>
      <c r="R281" s="12">
        <f>SUM(N281:Q281)</f>
        <v>0</v>
      </c>
      <c r="S281" s="12">
        <f>S198-R198</f>
        <v>0</v>
      </c>
      <c r="T281" s="12">
        <f>T198-S198</f>
        <v>0</v>
      </c>
      <c r="U281" s="12">
        <f>U198-T198</f>
        <v>0</v>
      </c>
      <c r="V281" s="12">
        <f>V198-U198</f>
        <v>0</v>
      </c>
      <c r="W281" s="12">
        <f>SUM(S281:V281)</f>
        <v>0</v>
      </c>
      <c r="X281" s="12">
        <f>X198-W198</f>
        <v>0</v>
      </c>
      <c r="Y281" s="12">
        <f>Y198-X198</f>
        <v>0</v>
      </c>
      <c r="Z281" s="12">
        <f>Z198-Y198</f>
        <v>0</v>
      </c>
      <c r="AA281" s="12">
        <f>AA198-Z198</f>
        <v>0</v>
      </c>
      <c r="AB281" s="12">
        <f>SUM(X281:AA281)</f>
        <v>0</v>
      </c>
      <c r="AC281" s="12">
        <f>AC198-AB198</f>
        <v>0</v>
      </c>
      <c r="AD281" s="12">
        <f>AD198-AC198</f>
        <v>0</v>
      </c>
      <c r="AE281" s="12">
        <f>AE198-AD198</f>
        <v>0</v>
      </c>
      <c r="AF281" s="12">
        <f>AF198-AE198</f>
        <v>0</v>
      </c>
      <c r="AG281" s="12">
        <f>SUM(AC281:AF281)</f>
        <v>0</v>
      </c>
      <c r="AH281" s="12">
        <f>AH198-AG198</f>
        <v>0</v>
      </c>
      <c r="AI281" s="12">
        <f>AI198-AH198</f>
        <v>0</v>
      </c>
      <c r="AJ281" s="12">
        <f>AJ198-AI198</f>
        <v>0</v>
      </c>
      <c r="AK281" s="12">
        <f>AK198-AJ198</f>
        <v>0</v>
      </c>
      <c r="AL281" s="12">
        <f>SUM(AH281:AK281)</f>
        <v>0</v>
      </c>
      <c r="AM281" s="12">
        <f>AM198-AL198</f>
        <v>0</v>
      </c>
      <c r="AN281" s="12">
        <f>AN198-AM198</f>
        <v>0</v>
      </c>
      <c r="AO281" s="12">
        <f>AO198-AN198</f>
        <v>0</v>
      </c>
      <c r="AP281" s="12">
        <f>AP198-AO198</f>
        <v>0</v>
      </c>
      <c r="AQ281" s="12">
        <f>SUM(AM281:AP281)</f>
        <v>0</v>
      </c>
      <c r="AR281" s="12">
        <f>AR198-AQ198</f>
        <v>0</v>
      </c>
      <c r="AS281" s="12">
        <f>AS198-AR198</f>
        <v>0</v>
      </c>
      <c r="AT281" s="12">
        <f>AT198-AS198</f>
        <v>0</v>
      </c>
      <c r="AU281" s="12">
        <f>AU198-AT198</f>
        <v>0</v>
      </c>
      <c r="AV281" s="12">
        <f>SUM(AR281:AU281)</f>
        <v>0</v>
      </c>
      <c r="AW281" s="12">
        <f>AW198-AV198</f>
        <v>0</v>
      </c>
      <c r="AX281" s="12">
        <f>AX198-AW198</f>
        <v>0</v>
      </c>
      <c r="AY281" s="12">
        <f>AY198-AX198</f>
        <v>0</v>
      </c>
      <c r="AZ281" s="12">
        <f>AZ198-AY198</f>
        <v>0</v>
      </c>
      <c r="BA281" s="12">
        <f>SUM(AW281:AZ281)</f>
        <v>0</v>
      </c>
      <c r="BB281" s="12">
        <f>BB198-BA198</f>
        <v>0</v>
      </c>
      <c r="BC281" s="12">
        <f>BC198-BB198</f>
        <v>0</v>
      </c>
      <c r="BD281" s="12">
        <f>BD198-BC198</f>
        <v>0</v>
      </c>
      <c r="BE281" s="12">
        <f>BE198-BD198</f>
        <v>0</v>
      </c>
      <c r="BF281" s="12">
        <f>SUM(BB281:BE281)</f>
        <v>0</v>
      </c>
      <c r="BG281" s="12" t="n"/>
      <c r="BH281" s="12" t="n"/>
      <c r="BI281" s="12" t="n"/>
      <c r="BJ281" s="12" t="n"/>
      <c r="BK281" s="12" t="n"/>
      <c r="BL281" s="12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  <c r="CA281" s="12" t="n"/>
      <c r="CB281" s="12" t="n"/>
      <c r="CC281" s="12" t="n"/>
      <c r="CD281" s="12" t="n"/>
      <c r="CE281" s="12" t="n"/>
      <c r="CF281" s="12" t="n"/>
      <c r="CG281" s="12" t="n"/>
      <c r="CH281" s="12" t="n"/>
      <c r="CI281" s="12" t="n"/>
      <c r="CJ281" s="12" t="n"/>
      <c r="CK281" s="12" t="n"/>
      <c r="CL281" s="12" t="n"/>
      <c r="CM281" s="12" t="n"/>
      <c r="CN281" s="12" t="n"/>
      <c r="CO281" s="12" t="n"/>
      <c r="CP281" s="12" t="n"/>
      <c r="CQ281" s="12" t="n"/>
      <c r="CR281" s="12" t="n"/>
      <c r="CS281" s="12" t="n"/>
      <c r="CT281" s="12" t="n"/>
      <c r="CU281" s="12" t="n"/>
      <c r="CV281" s="12" t="n"/>
      <c r="CW281" s="12" t="n"/>
      <c r="CX281" s="12" t="n"/>
      <c r="CY281" s="12" t="n"/>
    </row>
    <row r="282" hidden="1" outlineLevel="1">
      <c r="C282" s="10" t="inlineStr">
        <is>
          <t>Other current liabilities (non-debt)</t>
        </is>
      </c>
      <c r="D282" s="12" t="n"/>
      <c r="E282" s="12" t="n"/>
      <c r="F282" s="12" t="n"/>
      <c r="G282" s="12" t="n"/>
      <c r="H282" s="12" t="n"/>
      <c r="I282" s="12" t="n"/>
      <c r="J282" s="12">
        <f>J199-I199</f>
        <v>-1949</v>
      </c>
      <c r="K282" s="12">
        <f>K199-J199</f>
        <v>3799</v>
      </c>
      <c r="L282" s="12">
        <f>L199-K199</f>
        <v>1938</v>
      </c>
      <c r="M282" s="12" t="n"/>
      <c r="N282" s="12">
        <f>N199-M199</f>
        <v>1125</v>
      </c>
      <c r="O282" s="12">
        <f>O199-N199</f>
        <v>-1629</v>
      </c>
      <c r="P282" s="12">
        <f>P199-O199</f>
        <v>12218</v>
      </c>
      <c r="Q282" s="12">
        <f>Q199-P199</f>
        <v>-872</v>
      </c>
      <c r="R282" s="12">
        <f>SUM(N282:Q282)</f>
        <v>10842</v>
      </c>
      <c r="S282" s="12">
        <f>S199-R199</f>
        <v>-3329</v>
      </c>
      <c r="T282" s="12">
        <f>T199-S199</f>
        <v>2499</v>
      </c>
      <c r="U282" s="12">
        <f>U199-T199</f>
        <v>-165</v>
      </c>
      <c r="V282" s="12">
        <f>V199-U199</f>
        <v>-4015</v>
      </c>
      <c r="W282" s="12">
        <f>SUM(S282:V282)</f>
        <v>-5010</v>
      </c>
      <c r="X282" s="12">
        <f>X199-W199</f>
        <v>2435</v>
      </c>
      <c r="Y282" s="12">
        <f>Y199-X199</f>
        <v>3632</v>
      </c>
      <c r="Z282" s="12">
        <f>Z199-Y199</f>
        <v>17611</v>
      </c>
      <c r="AA282" s="12">
        <f>AA199-Z199</f>
        <v>-16941</v>
      </c>
      <c r="AB282" s="12">
        <f>SUM(X282:AA282)</f>
        <v>6737</v>
      </c>
      <c r="AC282" s="12">
        <f>AC199-AB199</f>
        <v>1213</v>
      </c>
      <c r="AD282" s="12">
        <f>AD199-AC199</f>
        <v>653</v>
      </c>
      <c r="AE282" s="12">
        <f>AE199-AD199</f>
        <v>3964</v>
      </c>
      <c r="AF282" s="12">
        <f>AF199-AE199</f>
        <v>2514</v>
      </c>
      <c r="AG282" s="12">
        <f>SUM(AC282:AF282)</f>
        <v>8344</v>
      </c>
      <c r="AH282" s="12">
        <f>AH199-AG199</f>
        <v>-10971</v>
      </c>
      <c r="AI282" s="12">
        <f>AI199-AH199</f>
        <v>4812</v>
      </c>
      <c r="AJ282" s="12">
        <f>AJ199-AI199</f>
        <v>0</v>
      </c>
      <c r="AK282" s="12">
        <f>AK199-AJ199</f>
        <v>0</v>
      </c>
      <c r="AL282" s="12">
        <f>SUM(AH282:AK282)</f>
        <v>-6159</v>
      </c>
      <c r="AM282" s="12">
        <f>AM199-AL199</f>
        <v>0</v>
      </c>
      <c r="AN282" s="12">
        <f>AN199-AM199</f>
        <v>0</v>
      </c>
      <c r="AO282" s="12">
        <f>AO199-AN199</f>
        <v>0</v>
      </c>
      <c r="AP282" s="12">
        <f>AP199-AO199</f>
        <v>0</v>
      </c>
      <c r="AQ282" s="12">
        <f>SUM(AM282:AP282)</f>
        <v>0</v>
      </c>
      <c r="AR282" s="12">
        <f>AR199-AQ199</f>
        <v>0</v>
      </c>
      <c r="AS282" s="12">
        <f>AS199-AR199</f>
        <v>0</v>
      </c>
      <c r="AT282" s="12">
        <f>AT199-AS199</f>
        <v>0</v>
      </c>
      <c r="AU282" s="12">
        <f>AU199-AT199</f>
        <v>0</v>
      </c>
      <c r="AV282" s="12">
        <f>SUM(AR282:AU282)</f>
        <v>0</v>
      </c>
      <c r="AW282" s="12">
        <f>AW199-AV199</f>
        <v>0</v>
      </c>
      <c r="AX282" s="12">
        <f>AX199-AW199</f>
        <v>0</v>
      </c>
      <c r="AY282" s="12">
        <f>AY199-AX199</f>
        <v>0</v>
      </c>
      <c r="AZ282" s="12">
        <f>AZ199-AY199</f>
        <v>0</v>
      </c>
      <c r="BA282" s="12">
        <f>SUM(AW282:AZ282)</f>
        <v>0</v>
      </c>
      <c r="BB282" s="12">
        <f>BB199-BA199</f>
        <v>0</v>
      </c>
      <c r="BC282" s="12">
        <f>BC199-BB199</f>
        <v>0</v>
      </c>
      <c r="BD282" s="12">
        <f>BD199-BC199</f>
        <v>0</v>
      </c>
      <c r="BE282" s="12">
        <f>BE199-BD199</f>
        <v>0</v>
      </c>
      <c r="BF282" s="12">
        <f>SUM(BB282:BE282)</f>
        <v>0</v>
      </c>
      <c r="BG282" s="12" t="n"/>
      <c r="BH282" s="12" t="n"/>
      <c r="BI282" s="12" t="n"/>
      <c r="BJ282" s="12" t="n"/>
      <c r="BK282" s="12" t="n"/>
      <c r="BL282" s="12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  <c r="CN282" s="12" t="n"/>
      <c r="CO282" s="12" t="n"/>
      <c r="CP282" s="12" t="n"/>
      <c r="CQ282" s="12" t="n"/>
      <c r="CR282" s="12" t="n"/>
      <c r="CS282" s="12" t="n"/>
      <c r="CT282" s="12" t="n"/>
      <c r="CU282" s="12" t="n"/>
      <c r="CV282" s="12" t="n"/>
      <c r="CW282" s="12" t="n"/>
      <c r="CX282" s="12" t="n"/>
      <c r="CY282" s="12" t="n"/>
    </row>
    <row r="283" hidden="1" outlineLevel="1">
      <c r="C283" s="10" t="inlineStr">
        <is>
          <t>Deferred income taxes</t>
        </is>
      </c>
      <c r="D283" s="12" t="n"/>
      <c r="E283" s="12" t="n"/>
      <c r="F283" s="12" t="n"/>
      <c r="G283" s="12" t="n"/>
      <c r="H283" s="12" t="n"/>
      <c r="I283" s="12" t="n"/>
      <c r="J283" s="12">
        <f>J233-I233</f>
        <v>0</v>
      </c>
      <c r="K283" s="12">
        <f>K233-J233</f>
        <v>0</v>
      </c>
      <c r="L283" s="12">
        <f>L233-K233</f>
        <v>0</v>
      </c>
      <c r="M283" s="12" t="n"/>
      <c r="N283" s="12">
        <f>N233-M233</f>
        <v>0</v>
      </c>
      <c r="O283" s="12">
        <f>O233-N233</f>
        <v>0</v>
      </c>
      <c r="P283" s="12">
        <f>P233-O233</f>
        <v>0</v>
      </c>
      <c r="Q283" s="12">
        <f>Q233-P233</f>
        <v>0</v>
      </c>
      <c r="R283" s="12">
        <f>SUM(N283:Q283)</f>
        <v>0</v>
      </c>
      <c r="S283" s="12">
        <f>S233-R233</f>
        <v>0</v>
      </c>
      <c r="T283" s="12">
        <f>T233-S233</f>
        <v>0</v>
      </c>
      <c r="U283" s="12">
        <f>U233-T233</f>
        <v>0</v>
      </c>
      <c r="V283" s="12">
        <f>V233-U233</f>
        <v>0</v>
      </c>
      <c r="W283" s="12">
        <f>SUM(S283:V283)</f>
        <v>0</v>
      </c>
      <c r="X283" s="12">
        <f>X233-W233</f>
        <v>0</v>
      </c>
      <c r="Y283" s="12">
        <f>Y233-X233</f>
        <v>0</v>
      </c>
      <c r="Z283" s="12">
        <f>Z233-Y233</f>
        <v>0</v>
      </c>
      <c r="AA283" s="12">
        <f>AA233-Z233</f>
        <v>0</v>
      </c>
      <c r="AB283" s="12">
        <f>SUM(X283:AA283)</f>
        <v>0</v>
      </c>
      <c r="AC283" s="12">
        <f>AC233-AB233</f>
        <v>0</v>
      </c>
      <c r="AD283" s="12">
        <f>AD233-AC233</f>
        <v>0</v>
      </c>
      <c r="AE283" s="12">
        <f>AE233-AD233</f>
        <v>0</v>
      </c>
      <c r="AF283" s="12">
        <f>AF233-AE233</f>
        <v>0</v>
      </c>
      <c r="AG283" s="12">
        <f>SUM(AC283:AF283)</f>
        <v>0</v>
      </c>
      <c r="AH283" s="12">
        <f>AH233-AG233</f>
        <v>0</v>
      </c>
      <c r="AI283" s="12">
        <f>AI233-AH233</f>
        <v>0</v>
      </c>
      <c r="AJ283" s="12">
        <f>AJ233-AI233</f>
        <v>0</v>
      </c>
      <c r="AK283" s="12">
        <f>AK233-AJ233</f>
        <v>0</v>
      </c>
      <c r="AL283" s="12">
        <f>SUM(AH283:AK283)</f>
        <v>0</v>
      </c>
      <c r="AM283" s="12">
        <f>AM233-AL233</f>
        <v>0</v>
      </c>
      <c r="AN283" s="12">
        <f>AN233-AM233</f>
        <v>0</v>
      </c>
      <c r="AO283" s="12">
        <f>AO233-AN233</f>
        <v>0</v>
      </c>
      <c r="AP283" s="12">
        <f>AP233-AO233</f>
        <v>0</v>
      </c>
      <c r="AQ283" s="12">
        <f>SUM(AM283:AP283)</f>
        <v>0</v>
      </c>
      <c r="AR283" s="12">
        <f>AR233-AQ233</f>
        <v>0</v>
      </c>
      <c r="AS283" s="12">
        <f>AS233-AR233</f>
        <v>0</v>
      </c>
      <c r="AT283" s="12">
        <f>AT233-AS233</f>
        <v>0</v>
      </c>
      <c r="AU283" s="12">
        <f>AU233-AT233</f>
        <v>0</v>
      </c>
      <c r="AV283" s="12">
        <f>SUM(AR283:AU283)</f>
        <v>0</v>
      </c>
      <c r="AW283" s="12">
        <f>AW233-AV233</f>
        <v>0</v>
      </c>
      <c r="AX283" s="12">
        <f>AX233-AW233</f>
        <v>0</v>
      </c>
      <c r="AY283" s="12">
        <f>AY233-AX233</f>
        <v>0</v>
      </c>
      <c r="AZ283" s="12">
        <f>AZ233-AY233</f>
        <v>0</v>
      </c>
      <c r="BA283" s="12">
        <f>SUM(AW283:AZ283)</f>
        <v>0</v>
      </c>
      <c r="BB283" s="12">
        <f>BB233-BA233</f>
        <v>0</v>
      </c>
      <c r="BC283" s="12">
        <f>BC233-BB233</f>
        <v>0</v>
      </c>
      <c r="BD283" s="12">
        <f>BD233-BC233</f>
        <v>0</v>
      </c>
      <c r="BE283" s="12">
        <f>BE233-BD233</f>
        <v>0</v>
      </c>
      <c r="BF283" s="12">
        <f>SUM(BB283:BE283)</f>
        <v>0</v>
      </c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  <c r="CN283" s="12" t="n"/>
      <c r="CO283" s="12" t="n"/>
      <c r="CP283" s="12" t="n"/>
      <c r="CQ283" s="12" t="n"/>
      <c r="CR283" s="12" t="n"/>
      <c r="CS283" s="12" t="n"/>
      <c r="CT283" s="12" t="n"/>
      <c r="CU283" s="12" t="n"/>
      <c r="CV283" s="12" t="n"/>
      <c r="CW283" s="12" t="n"/>
      <c r="CX283" s="12" t="n"/>
      <c r="CY283" s="12" t="n"/>
    </row>
    <row r="284" collapsed="1">
      <c r="C284" s="10" t="inlineStr">
        <is>
          <t>Equity income in affiliates</t>
        </is>
      </c>
      <c r="D284" s="12" t="n"/>
      <c r="E284" s="12" t="n"/>
      <c r="F284" s="12" t="n"/>
      <c r="G284" s="12" t="n"/>
      <c r="H284" s="12" t="n"/>
      <c r="I284" s="12" t="n"/>
      <c r="J284" s="12">
        <f>(J155-I155)*-1</f>
        <v>0</v>
      </c>
      <c r="K284" s="12">
        <f>(K155-J155)*-1</f>
        <v>0</v>
      </c>
      <c r="L284" s="12">
        <f>(L155-K155)*-1</f>
        <v>0</v>
      </c>
      <c r="M284" s="12" t="n"/>
      <c r="N284" s="12">
        <f>(N155-M155)*-1</f>
        <v>0</v>
      </c>
      <c r="O284" s="12">
        <f>(O155-N155)*-1</f>
        <v>0</v>
      </c>
      <c r="P284" s="12">
        <f>(P155-O155)*-1</f>
        <v>0</v>
      </c>
      <c r="Q284" s="12">
        <f>(Q155-P155)*-1</f>
        <v>0</v>
      </c>
      <c r="R284" s="12">
        <f>SUM(N284:Q284)</f>
        <v>0</v>
      </c>
      <c r="S284" s="12">
        <f>(S155-R155)*-1</f>
        <v>0</v>
      </c>
      <c r="T284" s="12">
        <f>(T155-S155)*-1</f>
        <v>0</v>
      </c>
      <c r="U284" s="12">
        <f>(U155-T155)*-1</f>
        <v>0</v>
      </c>
      <c r="V284" s="12">
        <f>(V155-U155)*-1</f>
        <v>0</v>
      </c>
      <c r="W284" s="12">
        <f>SUM(S284:V284)</f>
        <v>0</v>
      </c>
      <c r="X284" s="12">
        <f>(X155-W155)*-1</f>
        <v>0</v>
      </c>
      <c r="Y284" s="12">
        <f>(Y155-X155)*-1</f>
        <v>0</v>
      </c>
      <c r="Z284" s="12">
        <f>(Z155-Y155)*-1</f>
        <v>0</v>
      </c>
      <c r="AA284" s="12">
        <f>(AA155-Z155)*-1</f>
        <v>0</v>
      </c>
      <c r="AB284" s="12">
        <f>SUM(X284:AA284)</f>
        <v>0</v>
      </c>
      <c r="AC284" s="12">
        <f>(AC155-AB155)*-1</f>
        <v>0</v>
      </c>
      <c r="AD284" s="12">
        <f>(AD155-AC155)*-1</f>
        <v>0</v>
      </c>
      <c r="AE284" s="12">
        <f>(AE155-AD155)*-1</f>
        <v>0</v>
      </c>
      <c r="AF284" s="12">
        <f>(AF155-AE155)*-1</f>
        <v>0</v>
      </c>
      <c r="AG284" s="12">
        <f>SUM(AC284:AF284)</f>
        <v>0</v>
      </c>
      <c r="AH284" s="12">
        <f>(AH155-AG155)*-1</f>
        <v>0</v>
      </c>
      <c r="AI284" s="12">
        <f>(AI155-AH155)*-1</f>
        <v>0</v>
      </c>
      <c r="AJ284" s="12">
        <f>(AJ155-AI155)*-1</f>
        <v>0</v>
      </c>
      <c r="AK284" s="12">
        <f>(AK155-AJ155)*-1</f>
        <v>0</v>
      </c>
      <c r="AL284" s="12">
        <f>SUM(AH284:AK284)</f>
        <v>0</v>
      </c>
      <c r="AM284" s="12">
        <f>(AM155-AL155)*-1</f>
        <v>0</v>
      </c>
      <c r="AN284" s="12">
        <f>(AN155-AM155)*-1</f>
        <v>0</v>
      </c>
      <c r="AO284" s="12">
        <f>(AO155-AN155)*-1</f>
        <v>0</v>
      </c>
      <c r="AP284" s="12">
        <f>(AP155-AO155)*-1</f>
        <v>0</v>
      </c>
      <c r="AQ284" s="12">
        <f>SUM(AM284:AP284)</f>
        <v>0</v>
      </c>
      <c r="AR284" s="12">
        <f>(AR155-AQ155)*-1</f>
        <v>0</v>
      </c>
      <c r="AS284" s="12">
        <f>(AS155-AR155)*-1</f>
        <v>0</v>
      </c>
      <c r="AT284" s="12">
        <f>(AT155-AS155)*-1</f>
        <v>0</v>
      </c>
      <c r="AU284" s="12">
        <f>(AU155-AT155)*-1</f>
        <v>0</v>
      </c>
      <c r="AV284" s="12">
        <f>SUM(AR284:AU284)</f>
        <v>0</v>
      </c>
      <c r="AW284" s="12">
        <f>(AW155-AV155)*-1</f>
        <v>0</v>
      </c>
      <c r="AX284" s="12">
        <f>(AX155-AW155)*-1</f>
        <v>0</v>
      </c>
      <c r="AY284" s="12">
        <f>(AY155-AX155)*-1</f>
        <v>0</v>
      </c>
      <c r="AZ284" s="12">
        <f>(AZ155-AY155)*-1</f>
        <v>0</v>
      </c>
      <c r="BA284" s="12">
        <f>SUM(AW284:AZ284)</f>
        <v>0</v>
      </c>
      <c r="BB284" s="12">
        <f>(BB155-BA155)*-1</f>
        <v>0</v>
      </c>
      <c r="BC284" s="12">
        <f>(BC155-BB155)*-1</f>
        <v>0</v>
      </c>
      <c r="BD284" s="12">
        <f>(BD155-BC155)*-1</f>
        <v>0</v>
      </c>
      <c r="BE284" s="12">
        <f>(BE155-BD155)*-1</f>
        <v>0</v>
      </c>
      <c r="BF284" s="12">
        <f>SUM(BB284:BE284)</f>
        <v>0</v>
      </c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</row>
    <row r="285">
      <c r="C285" s="10" t="inlineStr">
        <is>
          <t>Dividends received from affiliates</t>
        </is>
      </c>
      <c r="D285" s="12" t="n"/>
      <c r="E285" s="12" t="n"/>
      <c r="F285" s="12" t="n"/>
      <c r="G285" s="12" t="n"/>
      <c r="H285" s="12" t="n"/>
      <c r="I285" s="12" t="n"/>
      <c r="J285" s="12">
        <f>-J158</f>
        <v>0</v>
      </c>
      <c r="K285" s="12">
        <f>-K158</f>
        <v>0</v>
      </c>
      <c r="L285" s="12">
        <f>-L158</f>
        <v>0</v>
      </c>
      <c r="M285" s="12" t="n"/>
      <c r="N285" s="12">
        <f>-N158</f>
        <v>0</v>
      </c>
      <c r="O285" s="12">
        <f>-O158</f>
        <v>0</v>
      </c>
      <c r="P285" s="12">
        <f>-P158</f>
        <v>0</v>
      </c>
      <c r="Q285" s="12">
        <f>-Q158</f>
        <v>0</v>
      </c>
      <c r="R285" s="12">
        <f>SUM(N285:Q285)</f>
        <v>0</v>
      </c>
      <c r="S285" s="12">
        <f>-S158</f>
        <v>0</v>
      </c>
      <c r="T285" s="12">
        <f>-T158</f>
        <v>0</v>
      </c>
      <c r="U285" s="12">
        <f>-U158</f>
        <v>0</v>
      </c>
      <c r="V285" s="12">
        <f>-V158</f>
        <v>0</v>
      </c>
      <c r="W285" s="12">
        <f>SUM(S285:V285)</f>
        <v>0</v>
      </c>
      <c r="X285" s="12">
        <f>-X158</f>
        <v>0</v>
      </c>
      <c r="Y285" s="12">
        <f>-Y158</f>
        <v>0</v>
      </c>
      <c r="Z285" s="12">
        <f>-Z158</f>
        <v>0</v>
      </c>
      <c r="AA285" s="12">
        <f>-AA158</f>
        <v>0</v>
      </c>
      <c r="AB285" s="12">
        <f>SUM(X285:AA285)</f>
        <v>0</v>
      </c>
      <c r="AC285" s="12">
        <f>-AC158</f>
        <v>0</v>
      </c>
      <c r="AD285" s="12">
        <f>-AD158</f>
        <v>0</v>
      </c>
      <c r="AE285" s="12">
        <f>-AE158</f>
        <v>0</v>
      </c>
      <c r="AF285" s="12">
        <f>-AF158</f>
        <v>0</v>
      </c>
      <c r="AG285" s="12">
        <f>SUM(AC285:AF285)</f>
        <v>0</v>
      </c>
      <c r="AH285" s="12">
        <f>-AH158</f>
        <v>0</v>
      </c>
      <c r="AI285" s="12">
        <f>-AI158</f>
        <v>0</v>
      </c>
      <c r="AJ285" s="12">
        <f>-AJ158</f>
        <v>0</v>
      </c>
      <c r="AK285" s="12">
        <f>-AK158</f>
        <v>0</v>
      </c>
      <c r="AL285" s="12">
        <f>SUM(AH285:AK285)</f>
        <v>0</v>
      </c>
      <c r="AM285" s="12">
        <f>-AM158</f>
        <v>0</v>
      </c>
      <c r="AN285" s="12">
        <f>-AN158</f>
        <v>0</v>
      </c>
      <c r="AO285" s="12">
        <f>-AO158</f>
        <v>0</v>
      </c>
      <c r="AP285" s="12">
        <f>-AP158</f>
        <v>0</v>
      </c>
      <c r="AQ285" s="12">
        <f>SUM(AM285:AP285)</f>
        <v>0</v>
      </c>
      <c r="AR285" s="12">
        <f>-AR158</f>
        <v>0</v>
      </c>
      <c r="AS285" s="12">
        <f>-AS158</f>
        <v>0</v>
      </c>
      <c r="AT285" s="12">
        <f>-AT158</f>
        <v>0</v>
      </c>
      <c r="AU285" s="12">
        <f>-AU158</f>
        <v>0</v>
      </c>
      <c r="AV285" s="12">
        <f>SUM(AR285:AU285)</f>
        <v>0</v>
      </c>
      <c r="AW285" s="12">
        <f>-AW158</f>
        <v>0</v>
      </c>
      <c r="AX285" s="12">
        <f>-AX158</f>
        <v>0</v>
      </c>
      <c r="AY285" s="12">
        <f>-AY158</f>
        <v>0</v>
      </c>
      <c r="AZ285" s="12">
        <f>-AZ158</f>
        <v>0</v>
      </c>
      <c r="BA285" s="12">
        <f>SUM(AW285:AZ285)</f>
        <v>0</v>
      </c>
      <c r="BB285" s="12">
        <f>-BB158</f>
        <v>0</v>
      </c>
      <c r="BC285" s="12">
        <f>-BC158</f>
        <v>0</v>
      </c>
      <c r="BD285" s="12">
        <f>-BD158</f>
        <v>0</v>
      </c>
      <c r="BE285" s="12">
        <f>-BE158</f>
        <v>0</v>
      </c>
      <c r="BF285" s="12">
        <f>SUM(BB285:BE285)</f>
        <v>0</v>
      </c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  <c r="CN285" s="12" t="n"/>
      <c r="CO285" s="12" t="n"/>
      <c r="CP285" s="12" t="n"/>
      <c r="CQ285" s="12" t="n"/>
      <c r="CR285" s="12" t="n"/>
      <c r="CS285" s="12" t="n"/>
      <c r="CT285" s="12" t="n"/>
      <c r="CU285" s="12" t="n"/>
      <c r="CV285" s="12" t="n"/>
      <c r="CW285" s="12" t="n"/>
      <c r="CX285" s="12" t="n"/>
      <c r="CY285" s="12" t="n"/>
    </row>
    <row r="286">
      <c r="C286" s="71" t="inlineStr">
        <is>
          <t>Minority interest expense</t>
        </is>
      </c>
      <c r="D286" s="12" t="n"/>
      <c r="E286" s="12" t="n"/>
      <c r="F286" s="12" t="n"/>
      <c r="G286" s="12" t="n"/>
      <c r="H286" s="12" t="n"/>
      <c r="I286" s="12" t="n"/>
      <c r="J286" s="12">
        <f>-J130</f>
        <v>0</v>
      </c>
      <c r="K286" s="12">
        <f>-K130</f>
        <v>0</v>
      </c>
      <c r="L286" s="12">
        <f>-L130</f>
        <v>0</v>
      </c>
      <c r="M286" s="12" t="n"/>
      <c r="N286" s="12">
        <f>-N130</f>
        <v>0</v>
      </c>
      <c r="O286" s="12">
        <f>-O130</f>
        <v>0</v>
      </c>
      <c r="P286" s="12">
        <f>-P130</f>
        <v>0</v>
      </c>
      <c r="Q286" s="12">
        <f>-Q130</f>
        <v>0</v>
      </c>
      <c r="R286" s="12">
        <f>SUM(N286:Q286)</f>
        <v>0</v>
      </c>
      <c r="S286" s="12">
        <f>-S130</f>
        <v>0</v>
      </c>
      <c r="T286" s="12">
        <f>-T130</f>
        <v>0</v>
      </c>
      <c r="U286" s="12">
        <f>-U130</f>
        <v>0</v>
      </c>
      <c r="V286" s="12">
        <f>-V130</f>
        <v>0</v>
      </c>
      <c r="W286" s="12">
        <f>SUM(S286:V286)</f>
        <v>0</v>
      </c>
      <c r="X286" s="12">
        <f>-X130</f>
        <v>0</v>
      </c>
      <c r="Y286" s="12">
        <f>-Y130</f>
        <v>0</v>
      </c>
      <c r="Z286" s="12">
        <f>-Z130</f>
        <v>0</v>
      </c>
      <c r="AA286" s="12">
        <f>-AA130</f>
        <v>0</v>
      </c>
      <c r="AB286" s="12">
        <f>SUM(X286:AA286)</f>
        <v>0</v>
      </c>
      <c r="AC286" s="12">
        <f>-AC130</f>
        <v>0</v>
      </c>
      <c r="AD286" s="12">
        <f>-AD130</f>
        <v>0</v>
      </c>
      <c r="AE286" s="12">
        <f>-AE130</f>
        <v>0</v>
      </c>
      <c r="AF286" s="12">
        <f>-AF130</f>
        <v>0</v>
      </c>
      <c r="AG286" s="12">
        <f>SUM(AC286:AF286)</f>
        <v>0</v>
      </c>
      <c r="AH286" s="12">
        <f>-AH130</f>
        <v>0</v>
      </c>
      <c r="AI286" s="12">
        <f>-AI130</f>
        <v>0</v>
      </c>
      <c r="AJ286" s="12">
        <f>-AJ130</f>
        <v>0</v>
      </c>
      <c r="AK286" s="12">
        <f>-AK130</f>
        <v>0</v>
      </c>
      <c r="AL286" s="12">
        <f>SUM(AH286:AK286)</f>
        <v>0</v>
      </c>
      <c r="AM286" s="12">
        <f>-AM130</f>
        <v>0</v>
      </c>
      <c r="AN286" s="12">
        <f>-AN130</f>
        <v>0</v>
      </c>
      <c r="AO286" s="12">
        <f>-AO130</f>
        <v>0</v>
      </c>
      <c r="AP286" s="12">
        <f>-AP130</f>
        <v>0</v>
      </c>
      <c r="AQ286" s="12">
        <f>SUM(AM286:AP286)</f>
        <v>0</v>
      </c>
      <c r="AR286" s="12">
        <f>-AR130</f>
        <v>0</v>
      </c>
      <c r="AS286" s="12">
        <f>-AS130</f>
        <v>0</v>
      </c>
      <c r="AT286" s="12">
        <f>-AT130</f>
        <v>0</v>
      </c>
      <c r="AU286" s="12">
        <f>-AU130</f>
        <v>0</v>
      </c>
      <c r="AV286" s="12">
        <f>SUM(AR286:AU286)</f>
        <v>0</v>
      </c>
      <c r="AW286" s="12">
        <f>-AW130</f>
        <v>0</v>
      </c>
      <c r="AX286" s="12">
        <f>-AX130</f>
        <v>0</v>
      </c>
      <c r="AY286" s="12">
        <f>-AY130</f>
        <v>0</v>
      </c>
      <c r="AZ286" s="12">
        <f>-AZ130</f>
        <v>0</v>
      </c>
      <c r="BA286" s="12">
        <f>SUM(AW286:AZ286)</f>
        <v>0</v>
      </c>
      <c r="BB286" s="12">
        <f>-BB130</f>
        <v>0</v>
      </c>
      <c r="BC286" s="12">
        <f>-BC130</f>
        <v>0</v>
      </c>
      <c r="BD286" s="12">
        <f>-BD130</f>
        <v>0</v>
      </c>
      <c r="BE286" s="12">
        <f>-BE130</f>
        <v>0</v>
      </c>
      <c r="BF286" s="12">
        <f>SUM(BB286:BE286)</f>
        <v>0</v>
      </c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  <c r="CU286" s="12" t="n"/>
      <c r="CV286" s="12" t="n"/>
      <c r="CW286" s="12" t="n"/>
      <c r="CX286" s="12" t="n"/>
      <c r="CY286" s="12" t="n"/>
    </row>
    <row r="287">
      <c r="C287" s="14" t="inlineStr">
        <is>
          <t>Cash from operations</t>
        </is>
      </c>
      <c r="D287" s="12" t="n"/>
      <c r="E287" s="12" t="n"/>
      <c r="F287" s="12" t="n"/>
      <c r="G287" s="12" t="n"/>
      <c r="H287" s="12" t="n"/>
      <c r="I287" s="12" t="n"/>
      <c r="J287" s="12">
        <f>SUM(J271,J272,J273,J284,J285,J286)</f>
        <v>21813</v>
      </c>
      <c r="K287" s="12">
        <f>SUM(K271,K272,K273,K284,K285,K286)</f>
        <v>22223</v>
      </c>
      <c r="L287" s="12">
        <f>SUM(L271,L272,L273,L284,L285,L286)</f>
        <v>41820</v>
      </c>
      <c r="M287" s="12" t="n"/>
      <c r="N287" s="12">
        <f>SUM(N271,N272,N273,N284,N285,N286)</f>
        <v>29764</v>
      </c>
      <c r="O287" s="12">
        <f>SUM(O271,O272,O273,O284,O285,O286)</f>
        <v>18887</v>
      </c>
      <c r="P287" s="12">
        <f>SUM(P271,P272,P273,P284,P285,P286)</f>
        <v>28536</v>
      </c>
      <c r="Q287" s="12">
        <f>SUM(Q271,Q272,Q273,Q284,Q285,Q286)</f>
        <v>35524</v>
      </c>
      <c r="R287" s="12">
        <f>SUM(R271,R272,R273,R284,R285,R286)</f>
        <v>112711</v>
      </c>
      <c r="S287" s="12">
        <f>SUM(S271,S272,S273,S284,S285,S286)</f>
        <v>29137</v>
      </c>
      <c r="T287" s="12">
        <f>SUM(T271,T272,T273,T284,T285,T286)</f>
        <v>26050</v>
      </c>
      <c r="U287" s="12">
        <f>SUM(U271,U272,U273,U284,U285,U286)</f>
        <v>19522</v>
      </c>
      <c r="V287" s="12">
        <f>SUM(V271,V272,V273,V284,V285,V286)</f>
        <v>39703</v>
      </c>
      <c r="W287" s="12">
        <f>SUM(W271,W272,W273,W284,W285,W286)</f>
        <v>114412</v>
      </c>
      <c r="X287" s="12">
        <f>SUM(X271,X272,X273,X284,X285,X286)</f>
        <v>25840</v>
      </c>
      <c r="Y287" s="12">
        <f>SUM(Y271,Y272,Y273,Y284,Y285,Y286)</f>
        <v>27383</v>
      </c>
      <c r="Z287" s="12">
        <f>SUM(Z271,Z272,Z273,Z284,Z285,Z286)</f>
        <v>32462</v>
      </c>
      <c r="AA287" s="12">
        <f>SUM(AA271,AA272,AA273,AA284,AA285,AA286)</f>
        <v>23770</v>
      </c>
      <c r="AB287" s="12">
        <f>SUM(AB271,AB272,AB273,AB284,AB285,AB286)</f>
        <v>109455</v>
      </c>
      <c r="AC287" s="12">
        <f>SUM(AC271,AC272,AC273,AC284,AC285,AC286)</f>
        <v>30159</v>
      </c>
      <c r="AD287" s="12">
        <f>SUM(AD271,AD272,AD273,AD284,AD285,AD286)</f>
        <v>26222</v>
      </c>
      <c r="AE287" s="12">
        <f>SUM(AE271,AE272,AE273,AE284,AE285,AE286)</f>
        <v>27902</v>
      </c>
      <c r="AF287" s="12">
        <f>SUM(AF271,AF272,AF273,AF284,AF285,AF286)</f>
        <v>50615</v>
      </c>
      <c r="AG287" s="12">
        <f>SUM(AG271,AG272,AG273,AG284,AG285,AG286)</f>
        <v>134898</v>
      </c>
      <c r="AH287" s="12">
        <f>SUM(AH271,AH272,AH273,AH284,AH285,AH286)</f>
        <v>24398</v>
      </c>
      <c r="AI287" s="12">
        <f>SUM(AI271,AI272,AI273,AI284,AI285,AI286)</f>
        <v>33285</v>
      </c>
      <c r="AJ287" s="12">
        <f>SUM(AJ271,AJ272,AJ273,AJ284,AJ285,AJ286)</f>
        <v>34681.0202114117</v>
      </c>
      <c r="AK287" s="12">
        <f>SUM(AK271,AK272,AK273,AK284,AK285,AK286)</f>
        <v>56892.8024209705</v>
      </c>
      <c r="AL287" s="12">
        <f>SUM(AL271,AL272,AL273,AL284,AL285,AL286)</f>
        <v>149256.822632382</v>
      </c>
      <c r="AM287" s="12">
        <f>SUM(AM271,AM272,AM273,AM284,AM285,AM286)</f>
        <v>30272.4181806636</v>
      </c>
      <c r="AN287" s="12">
        <f>SUM(AN271,AN272,AN273,AN284,AN285,AN286)</f>
        <v>35675.6273607756</v>
      </c>
      <c r="AO287" s="12">
        <f>SUM(AO271,AO272,AO273,AO284,AO285,AO286)</f>
        <v>38968.5356629514</v>
      </c>
      <c r="AP287" s="12">
        <f>SUM(AP271,AP272,AP273,AP284,AP285,AP286)</f>
        <v>63648.4802520141</v>
      </c>
      <c r="AQ287" s="12">
        <f>SUM(AQ271,AQ272,AQ273,AQ284,AQ285,AQ286)</f>
        <v>168565.061456405</v>
      </c>
      <c r="AR287" s="12">
        <f>SUM(AR271,AR272,AR273,AR284,AR285,AR286)</f>
        <v>33248.7859874764</v>
      </c>
      <c r="AS287" s="12">
        <f>SUM(AS271,AS272,AS273,AS284,AS285,AS286)</f>
        <v>40041.3731072313</v>
      </c>
      <c r="AT287" s="12">
        <f>SUM(AT271,AT272,AT273,AT284,AT285,AT286)</f>
        <v>43400.9720302088</v>
      </c>
      <c r="AU287" s="12">
        <f>SUM(AU271,AU272,AU273,AU284,AU285,AU286)</f>
        <v>70888.1117595923</v>
      </c>
      <c r="AV287" s="12">
        <f>SUM(AV271,AV272,AV273,AV284,AV285,AV286)</f>
        <v>187579.242884509</v>
      </c>
      <c r="AW287" s="12">
        <f>SUM(AW271,AW272,AW273,AW284,AW285,AW286)</f>
        <v>37027.7574801063</v>
      </c>
      <c r="AX287" s="12">
        <f>SUM(AX271,AX272,AX273,AX284,AX285,AX286)</f>
        <v>44054.2958419257</v>
      </c>
      <c r="AY287" s="12">
        <f>SUM(AY271,AY272,AY273,AY284,AY285,AY286)</f>
        <v>48120.5664938016</v>
      </c>
      <c r="AZ287" s="12">
        <f>SUM(AZ271,AZ272,AZ273,AZ284,AZ285,AZ286)</f>
        <v>78596.7672146419</v>
      </c>
      <c r="BA287" s="12">
        <f>SUM(BA271,BA272,BA273,BA284,BA285,BA286)</f>
        <v>207799.387030475</v>
      </c>
      <c r="BB287" s="12">
        <f>SUM(BB271,BB272,BB273,BB284,BB285,BB286)</f>
        <v>40670.9520698422</v>
      </c>
      <c r="BC287" s="12">
        <f>SUM(BC271,BC272,BC273,BC284,BC285,BC286)</f>
        <v>48624.6638582627</v>
      </c>
      <c r="BD287" s="12">
        <f>SUM(BD271,BD272,BD273,BD284,BD285,BD286)</f>
        <v>53112.7856140534</v>
      </c>
      <c r="BE287" s="12">
        <f>SUM(BE271,BE272,BE273,BE284,BE285,BE286)</f>
        <v>86750.7087134282</v>
      </c>
      <c r="BF287" s="12">
        <f>SUM(BF271,BF272,BF273,BF284,BF285,BF286)</f>
        <v>229159.110255587</v>
      </c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  <c r="CN287" s="12" t="n"/>
      <c r="CO287" s="12" t="n"/>
      <c r="CP287" s="12" t="n"/>
      <c r="CQ287" s="12" t="n"/>
      <c r="CR287" s="12" t="n"/>
      <c r="CS287" s="12" t="n"/>
      <c r="CT287" s="12" t="n"/>
      <c r="CU287" s="12" t="n"/>
      <c r="CV287" s="12" t="n"/>
      <c r="CW287" s="12" t="n"/>
      <c r="CX287" s="12" t="n"/>
      <c r="CY287" s="12" t="n"/>
    </row>
    <row r="288">
      <c r="C288" s="14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  <c r="AJ288" s="12" t="n"/>
      <c r="AK288" s="12" t="n"/>
      <c r="AL288" s="12" t="n"/>
      <c r="AM288" s="12" t="n"/>
      <c r="AN288" s="12" t="n"/>
      <c r="AO288" s="12" t="n"/>
      <c r="AP288" s="12" t="n"/>
      <c r="AQ288" s="12" t="n"/>
      <c r="AR288" s="12" t="n"/>
      <c r="AS288" s="12" t="n"/>
      <c r="AT288" s="12" t="n"/>
      <c r="AU288" s="12" t="n"/>
      <c r="AV288" s="12" t="n"/>
      <c r="AW288" s="12" t="n"/>
      <c r="AX288" s="12" t="n"/>
      <c r="AY288" s="12" t="n"/>
      <c r="AZ288" s="12" t="n"/>
      <c r="BA288" s="12" t="n"/>
      <c r="BB288" s="12" t="n"/>
      <c r="BC288" s="12" t="n"/>
      <c r="BD288" s="12" t="n"/>
      <c r="BE288" s="12" t="n"/>
      <c r="BF288" s="12" t="n"/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  <c r="CU288" s="12" t="n"/>
      <c r="CV288" s="12" t="n"/>
      <c r="CW288" s="12" t="n"/>
      <c r="CX288" s="12" t="n"/>
      <c r="CY288" s="12" t="n"/>
    </row>
    <row r="289">
      <c r="C289" s="10" t="inlineStr">
        <is>
          <t>Purchase of fixed assets (capital expenditures)</t>
        </is>
      </c>
      <c r="D289" s="12" t="n"/>
      <c r="E289" s="12" t="n"/>
      <c r="F289" s="12" t="n"/>
      <c r="G289" s="12" t="n"/>
      <c r="H289" s="12" t="n"/>
      <c r="I289" s="12" t="n"/>
      <c r="J289" s="12">
        <f>-J162</f>
        <v>-3632</v>
      </c>
      <c r="K289" s="12">
        <f>-K162</f>
        <v>-3814</v>
      </c>
      <c r="L289" s="12">
        <f>-L162</f>
        <v>-2502</v>
      </c>
      <c r="M289" s="12" t="n"/>
      <c r="N289" s="12">
        <f>-N162</f>
        <v>-2796</v>
      </c>
      <c r="O289" s="12">
        <f>-O162</f>
        <v>-3836</v>
      </c>
      <c r="P289" s="12">
        <f>-P162</f>
        <v>-4647</v>
      </c>
      <c r="Q289" s="12">
        <f>-Q162</f>
        <v>-3750</v>
      </c>
      <c r="R289" s="12">
        <f>SUM(N289:Q289)</f>
        <v>-15029</v>
      </c>
      <c r="S289" s="12">
        <f>-S162</f>
        <v>-3345</v>
      </c>
      <c r="T289" s="12">
        <f>-T162</f>
        <v>-3204</v>
      </c>
      <c r="U289" s="12">
        <f>-U162</f>
        <v>-2818</v>
      </c>
      <c r="V289" s="12">
        <f>-V162</f>
        <v>-2799</v>
      </c>
      <c r="W289" s="12">
        <f>SUM(S289:V289)</f>
        <v>-12166</v>
      </c>
      <c r="X289" s="12">
        <f>-X162</f>
        <v>-2716</v>
      </c>
      <c r="Y289" s="12">
        <f>-Y162</f>
        <v>-3806</v>
      </c>
      <c r="Z289" s="12">
        <f>-Z162</f>
        <v>-4089</v>
      </c>
      <c r="AA289" s="12">
        <f>-AA162</f>
        <v>-3469</v>
      </c>
      <c r="AB289" s="12">
        <f>SUM(X289:AA289)</f>
        <v>-14080</v>
      </c>
      <c r="AC289" s="12">
        <f>-AC162</f>
        <v>-3468</v>
      </c>
      <c r="AD289" s="12">
        <f>-AD162</f>
        <v>-4462</v>
      </c>
      <c r="AE289" s="12">
        <f>-AE162</f>
        <v>-4453</v>
      </c>
      <c r="AF289" s="12">
        <f>-AF162</f>
        <v>-3539</v>
      </c>
      <c r="AG289" s="12">
        <f>SUM(AC289:AF289)</f>
        <v>-15922</v>
      </c>
      <c r="AH289" s="12">
        <f>-AH162</f>
        <v>-3396</v>
      </c>
      <c r="AI289" s="12">
        <f>-AI162</f>
        <v>-4635</v>
      </c>
      <c r="AJ289" s="12">
        <f>-AJ162</f>
        <v>-4184.29475569176</v>
      </c>
      <c r="AK289" s="12">
        <f>-AK162</f>
        <v>-5870.41044736034</v>
      </c>
      <c r="AL289" s="12">
        <f>SUM(AH289:AK289)</f>
        <v>-18085.7052030521</v>
      </c>
      <c r="AM289" s="12">
        <f>-AM162</f>
        <v>-4540.30242340711</v>
      </c>
      <c r="AN289" s="12">
        <f>-AN162</f>
        <v>-4468.14532902158</v>
      </c>
      <c r="AO289" s="12">
        <f>-AO162</f>
        <v>-4681.15457128698</v>
      </c>
      <c r="AP289" s="12">
        <f>-AP162</f>
        <v>-6567.48635205757</v>
      </c>
      <c r="AQ289" s="12">
        <f>SUM(AM289:AP289)</f>
        <v>-20257.0886757732</v>
      </c>
      <c r="AR289" s="12">
        <f>-AR162</f>
        <v>-5056.73449449952</v>
      </c>
      <c r="AS289" s="12">
        <f>-AS162</f>
        <v>-4976.36996496487</v>
      </c>
      <c r="AT289" s="12">
        <f>-AT162</f>
        <v>-5213.60772636543</v>
      </c>
      <c r="AU289" s="12">
        <f>-AU162</f>
        <v>-7314.4983927487</v>
      </c>
      <c r="AV289" s="12">
        <f>SUM(AR289:AU289)</f>
        <v>-22561.2105785785</v>
      </c>
      <c r="AW289" s="12">
        <f>-AW162</f>
        <v>-5606.62393263209</v>
      </c>
      <c r="AX289" s="12">
        <f>-AX162</f>
        <v>-5517.52024425102</v>
      </c>
      <c r="AY289" s="12">
        <f>-AY162</f>
        <v>-5780.55618419196</v>
      </c>
      <c r="AZ289" s="12">
        <f>-AZ162</f>
        <v>-8109.9060645941</v>
      </c>
      <c r="BA289" s="12">
        <f>SUM(AW289:AZ289)</f>
        <v>-25014.6064256692</v>
      </c>
      <c r="BB289" s="12">
        <f>-BB162</f>
        <v>-6188.27741753345</v>
      </c>
      <c r="BC289" s="12">
        <f>-BC162</f>
        <v>-6089.92975782718</v>
      </c>
      <c r="BD289" s="12">
        <f>-BD162</f>
        <v>-6380.25409323736</v>
      </c>
      <c r="BE289" s="12">
        <f>-BE162</f>
        <v>-8951.26000260993</v>
      </c>
      <c r="BF289" s="12">
        <f>SUM(BB289:BE289)</f>
        <v>-27609.7212712079</v>
      </c>
      <c r="BG289" s="12" t="n"/>
      <c r="BH289" s="12" t="n"/>
      <c r="BI289" s="12" t="n"/>
      <c r="BJ289" s="12" t="n"/>
      <c r="BK289" s="12" t="n"/>
      <c r="BL289" s="12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  <c r="CA289" s="12" t="n"/>
      <c r="CB289" s="12" t="n"/>
      <c r="CC289" s="12" t="n"/>
      <c r="CD289" s="12" t="n"/>
      <c r="CE289" s="12" t="n"/>
      <c r="CF289" s="12" t="n"/>
      <c r="CG289" s="12" t="n"/>
      <c r="CH289" s="12" t="n"/>
      <c r="CI289" s="12" t="n"/>
      <c r="CJ289" s="12" t="n"/>
      <c r="CK289" s="12" t="n"/>
      <c r="CL289" s="12" t="n"/>
      <c r="CM289" s="12" t="n"/>
      <c r="CN289" s="12" t="n"/>
      <c r="CO289" s="12" t="n"/>
      <c r="CP289" s="12" t="n"/>
      <c r="CQ289" s="12" t="n"/>
      <c r="CR289" s="12" t="n"/>
      <c r="CS289" s="12" t="n"/>
      <c r="CT289" s="12" t="n"/>
      <c r="CU289" s="12" t="n"/>
      <c r="CV289" s="12" t="n"/>
      <c r="CW289" s="12" t="n"/>
      <c r="CX289" s="12" t="n"/>
      <c r="CY289" s="12" t="n"/>
    </row>
    <row r="290">
      <c r="C290" s="10" t="inlineStr">
        <is>
          <t>Proceeds from sale of fixed assets</t>
        </is>
      </c>
      <c r="D290" s="12" t="n"/>
      <c r="E290" s="12" t="n"/>
      <c r="F290" s="12" t="n"/>
      <c r="G290" s="12" t="n"/>
      <c r="H290" s="12" t="n"/>
      <c r="I290" s="12" t="n"/>
      <c r="J290" s="12">
        <f>-J163</f>
        <v>0</v>
      </c>
      <c r="K290" s="12">
        <f>-K163</f>
        <v>0</v>
      </c>
      <c r="L290" s="12">
        <f>-L163</f>
        <v>0</v>
      </c>
      <c r="M290" s="12" t="n"/>
      <c r="N290" s="12">
        <f>-N163</f>
        <v>0</v>
      </c>
      <c r="O290" s="12">
        <f>-O163</f>
        <v>0</v>
      </c>
      <c r="P290" s="12">
        <f>-P163</f>
        <v>0</v>
      </c>
      <c r="Q290" s="12">
        <f>-Q163</f>
        <v>0</v>
      </c>
      <c r="R290" s="12">
        <f>SUM(N290:Q290)</f>
        <v>0</v>
      </c>
      <c r="S290" s="12">
        <f>-S163</f>
        <v>0</v>
      </c>
      <c r="T290" s="12">
        <f>-T163</f>
        <v>0</v>
      </c>
      <c r="U290" s="12">
        <f>-U163</f>
        <v>0</v>
      </c>
      <c r="V290" s="12">
        <f>-V163</f>
        <v>0</v>
      </c>
      <c r="W290" s="12">
        <f>SUM(S290:V290)</f>
        <v>0</v>
      </c>
      <c r="X290" s="12">
        <f>-X163</f>
        <v>0</v>
      </c>
      <c r="Y290" s="12">
        <f>-Y163</f>
        <v>0</v>
      </c>
      <c r="Z290" s="12">
        <f>-Z163</f>
        <v>0</v>
      </c>
      <c r="AA290" s="12">
        <f>-AA163</f>
        <v>0</v>
      </c>
      <c r="AB290" s="12">
        <f>SUM(X290:AA290)</f>
        <v>0</v>
      </c>
      <c r="AC290" s="12">
        <f>-AC163</f>
        <v>0</v>
      </c>
      <c r="AD290" s="12">
        <f>-AD163</f>
        <v>0</v>
      </c>
      <c r="AE290" s="12">
        <f>-AE163</f>
        <v>0</v>
      </c>
      <c r="AF290" s="12">
        <f>-AF163</f>
        <v>0</v>
      </c>
      <c r="AG290" s="12">
        <f>SUM(AC290:AF290)</f>
        <v>0</v>
      </c>
      <c r="AH290" s="12">
        <f>-AH163</f>
        <v>0</v>
      </c>
      <c r="AI290" s="12">
        <f>-AI163</f>
        <v>0</v>
      </c>
      <c r="AJ290" s="12">
        <f>-AJ163</f>
        <v>0</v>
      </c>
      <c r="AK290" s="12">
        <f>-AK163</f>
        <v>0</v>
      </c>
      <c r="AL290" s="12">
        <f>SUM(AH290:AK290)</f>
        <v>0</v>
      </c>
      <c r="AM290" s="12">
        <f>-AM163</f>
        <v>0</v>
      </c>
      <c r="AN290" s="12">
        <f>-AN163</f>
        <v>0</v>
      </c>
      <c r="AO290" s="12">
        <f>-AO163</f>
        <v>0</v>
      </c>
      <c r="AP290" s="12">
        <f>-AP163</f>
        <v>0</v>
      </c>
      <c r="AQ290" s="12">
        <f>SUM(AM290:AP290)</f>
        <v>0</v>
      </c>
      <c r="AR290" s="12">
        <f>-AR163</f>
        <v>0</v>
      </c>
      <c r="AS290" s="12">
        <f>-AS163</f>
        <v>0</v>
      </c>
      <c r="AT290" s="12">
        <f>-AT163</f>
        <v>0</v>
      </c>
      <c r="AU290" s="12">
        <f>-AU163</f>
        <v>0</v>
      </c>
      <c r="AV290" s="12">
        <f>SUM(AR290:AU290)</f>
        <v>0</v>
      </c>
      <c r="AW290" s="12">
        <f>-AW163</f>
        <v>0</v>
      </c>
      <c r="AX290" s="12">
        <f>-AX163</f>
        <v>0</v>
      </c>
      <c r="AY290" s="12">
        <f>-AY163</f>
        <v>0</v>
      </c>
      <c r="AZ290" s="12">
        <f>-AZ163</f>
        <v>0</v>
      </c>
      <c r="BA290" s="12">
        <f>SUM(AW290:AZ290)</f>
        <v>0</v>
      </c>
      <c r="BB290" s="12">
        <f>-BB163</f>
        <v>0</v>
      </c>
      <c r="BC290" s="12">
        <f>-BC163</f>
        <v>0</v>
      </c>
      <c r="BD290" s="12">
        <f>-BD163</f>
        <v>0</v>
      </c>
      <c r="BE290" s="12">
        <f>-BE163</f>
        <v>0</v>
      </c>
      <c r="BF290" s="12">
        <f>SUM(BB290:BE290)</f>
        <v>0</v>
      </c>
      <c r="BG290" s="12" t="n"/>
      <c r="BH290" s="12" t="n"/>
      <c r="BI290" s="12" t="n"/>
      <c r="BJ290" s="12" t="n"/>
      <c r="BK290" s="12" t="n"/>
      <c r="BL290" s="12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  <c r="CN290" s="12" t="n"/>
      <c r="CO290" s="12" t="n"/>
      <c r="CP290" s="12" t="n"/>
      <c r="CQ290" s="12" t="n"/>
      <c r="CR290" s="12" t="n"/>
      <c r="CS290" s="12" t="n"/>
      <c r="CT290" s="12" t="n"/>
      <c r="CU290" s="12" t="n"/>
      <c r="CV290" s="12" t="n"/>
      <c r="CW290" s="12" t="n"/>
      <c r="CX290" s="12" t="n"/>
      <c r="CY290" s="12" t="n"/>
    </row>
    <row r="291">
      <c r="C291" s="10" t="inlineStr">
        <is>
          <t>Var.Right-of-use-assets</t>
        </is>
      </c>
      <c r="D291" s="12" t="n"/>
      <c r="E291" s="12" t="n"/>
      <c r="F291" s="12" t="n"/>
      <c r="G291" s="12" t="n"/>
      <c r="H291" s="12" t="n"/>
      <c r="I291" s="12" t="n"/>
      <c r="J291" s="12">
        <f>(J170-I170)*-1</f>
        <v>0</v>
      </c>
      <c r="K291" s="12">
        <f>(K170-J170)*-1</f>
        <v>0</v>
      </c>
      <c r="L291" s="12">
        <f>(L170-K170)*-1</f>
        <v>0</v>
      </c>
      <c r="M291" s="12" t="n"/>
      <c r="N291" s="12">
        <f>(N170-M170)*-1</f>
        <v>0</v>
      </c>
      <c r="O291" s="12">
        <f>(O170-N170)*-1</f>
        <v>0</v>
      </c>
      <c r="P291" s="12">
        <f>(P170-O170)*-1</f>
        <v>0</v>
      </c>
      <c r="Q291" s="12">
        <f>(Q170-P170)*-1</f>
        <v>0</v>
      </c>
      <c r="R291" s="12">
        <f>SUM(N291:Q291)</f>
        <v>0</v>
      </c>
      <c r="S291" s="12">
        <f>(S170-R170)*-1</f>
        <v>0</v>
      </c>
      <c r="T291" s="12">
        <f>(T170-S170)*-1</f>
        <v>0</v>
      </c>
      <c r="U291" s="12">
        <f>(U170-T170)*-1</f>
        <v>0</v>
      </c>
      <c r="V291" s="12">
        <f>(V170-U170)*-1</f>
        <v>0</v>
      </c>
      <c r="W291" s="12">
        <f>SUM(S291:V291)</f>
        <v>0</v>
      </c>
      <c r="X291" s="12">
        <f>(X170-W170)*-1</f>
        <v>0</v>
      </c>
      <c r="Y291" s="12">
        <f>(Y170-X170)*-1</f>
        <v>0</v>
      </c>
      <c r="Z291" s="12">
        <f>(Z170-Y170)*-1</f>
        <v>0</v>
      </c>
      <c r="AA291" s="12">
        <f>(AA170-Z170)*-1</f>
        <v>0</v>
      </c>
      <c r="AB291" s="12">
        <f>SUM(X291:AA291)</f>
        <v>0</v>
      </c>
      <c r="AC291" s="12">
        <f>(AC170-AB170)*-1</f>
        <v>0</v>
      </c>
      <c r="AD291" s="12">
        <f>(AD170-AC170)*-1</f>
        <v>0</v>
      </c>
      <c r="AE291" s="12">
        <f>(AE170-AD170)*-1</f>
        <v>0</v>
      </c>
      <c r="AF291" s="12">
        <f>(AF170-AE170)*-1</f>
        <v>0</v>
      </c>
      <c r="AG291" s="12">
        <f>SUM(AC291:AF291)</f>
        <v>0</v>
      </c>
      <c r="AH291" s="12">
        <f>(AH170-AG170)*-1</f>
        <v>0</v>
      </c>
      <c r="AI291" s="12">
        <f>(AI170-AH170)*-1</f>
        <v>0</v>
      </c>
      <c r="AJ291" s="12">
        <f>(AJ170-AI170)*-1</f>
        <v>0</v>
      </c>
      <c r="AK291" s="12">
        <f>(AK170-AJ170)*-1</f>
        <v>0</v>
      </c>
      <c r="AL291" s="12">
        <f>SUM(AH291:AK291)</f>
        <v>0</v>
      </c>
      <c r="AM291" s="12">
        <f>(AM170-AL170)*-1</f>
        <v>0</v>
      </c>
      <c r="AN291" s="12">
        <f>(AN170-AM170)*-1</f>
        <v>0</v>
      </c>
      <c r="AO291" s="12">
        <f>(AO170-AN170)*-1</f>
        <v>0</v>
      </c>
      <c r="AP291" s="12">
        <f>(AP170-AO170)*-1</f>
        <v>0</v>
      </c>
      <c r="AQ291" s="12">
        <f>SUM(AM291:AP291)</f>
        <v>0</v>
      </c>
      <c r="AR291" s="12">
        <f>(AR170-AQ170)*-1</f>
        <v>0</v>
      </c>
      <c r="AS291" s="12">
        <f>(AS170-AR170)*-1</f>
        <v>0</v>
      </c>
      <c r="AT291" s="12">
        <f>(AT170-AS170)*-1</f>
        <v>0</v>
      </c>
      <c r="AU291" s="12">
        <f>(AU170-AT170)*-1</f>
        <v>0</v>
      </c>
      <c r="AV291" s="12">
        <f>SUM(AR291:AU291)</f>
        <v>0</v>
      </c>
      <c r="AW291" s="12">
        <f>(AW170-AV170)*-1</f>
        <v>0</v>
      </c>
      <c r="AX291" s="12">
        <f>(AX170-AW170)*-1</f>
        <v>0</v>
      </c>
      <c r="AY291" s="12">
        <f>(AY170-AX170)*-1</f>
        <v>0</v>
      </c>
      <c r="AZ291" s="12">
        <f>(AZ170-AY170)*-1</f>
        <v>0</v>
      </c>
      <c r="BA291" s="12">
        <f>SUM(AW291:AZ291)</f>
        <v>0</v>
      </c>
      <c r="BB291" s="12">
        <f>(BB170-BA170)*-1</f>
        <v>0</v>
      </c>
      <c r="BC291" s="12">
        <f>(BC170-BB170)*-1</f>
        <v>0</v>
      </c>
      <c r="BD291" s="12">
        <f>(BD170-BC170)*-1</f>
        <v>0</v>
      </c>
      <c r="BE291" s="12">
        <f>(BE170-BD170)*-1</f>
        <v>0</v>
      </c>
      <c r="BF291" s="12">
        <f>SUM(BB291:BE291)</f>
        <v>0</v>
      </c>
      <c r="BG291" s="12" t="n"/>
      <c r="BH291" s="12" t="n"/>
      <c r="BI291" s="12" t="n"/>
      <c r="BJ291" s="12" t="n"/>
      <c r="BK291" s="12" t="n"/>
      <c r="BL291" s="12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  <c r="CA291" s="12" t="n"/>
      <c r="CB291" s="12" t="n"/>
      <c r="CC291" s="12" t="n"/>
      <c r="CD291" s="12" t="n"/>
      <c r="CE291" s="12" t="n"/>
      <c r="CF291" s="12" t="n"/>
      <c r="CG291" s="12" t="n"/>
      <c r="CH291" s="12" t="n"/>
      <c r="CI291" s="12" t="n"/>
      <c r="CJ291" s="12" t="n"/>
      <c r="CK291" s="12" t="n"/>
      <c r="CL291" s="12" t="n"/>
      <c r="CM291" s="12" t="n"/>
      <c r="CN291" s="12" t="n"/>
      <c r="CO291" s="12" t="n"/>
      <c r="CP291" s="12" t="n"/>
      <c r="CQ291" s="12" t="n"/>
      <c r="CR291" s="12" t="n"/>
      <c r="CS291" s="12" t="n"/>
      <c r="CT291" s="12" t="n"/>
      <c r="CU291" s="12" t="n"/>
      <c r="CV291" s="12" t="n"/>
      <c r="CW291" s="12" t="n"/>
      <c r="CX291" s="12" t="n"/>
      <c r="CY291" s="12" t="n"/>
      <c r="CZ291" s="12" t="n"/>
      <c r="DA291" s="12" t="n"/>
      <c r="DB291" s="12" t="n"/>
      <c r="DC291" s="12" t="n"/>
    </row>
    <row r="292">
      <c r="C292" s="10" t="inlineStr">
        <is>
          <t>Purchases of intangible assets</t>
        </is>
      </c>
      <c r="D292" s="12" t="n"/>
      <c r="E292" s="12" t="n"/>
      <c r="F292" s="12" t="n"/>
      <c r="G292" s="12" t="n"/>
      <c r="H292" s="12" t="n"/>
      <c r="I292" s="12" t="n"/>
      <c r="J292" s="12">
        <f>((J174-I174)*-1)+((J173-I173)*-1)</f>
        <v>0</v>
      </c>
      <c r="K292" s="12">
        <f>((K174-J174)*-1)+((K173-J173)*-1)</f>
        <v>0</v>
      </c>
      <c r="L292" s="12">
        <f>((L174-K174)*-1)+((L173-K173)*-1)</f>
        <v>0</v>
      </c>
      <c r="M292" s="12" t="n"/>
      <c r="N292" s="12">
        <f>((N174-M174)*-1)+((N173-M173)*-1)</f>
        <v>0</v>
      </c>
      <c r="O292" s="12">
        <f>((O174-N174)*-1)+((O173-N173)*-1)</f>
        <v>0</v>
      </c>
      <c r="P292" s="12">
        <f>((P174-O174)*-1)+((P173-O173)*-1)</f>
        <v>0</v>
      </c>
      <c r="Q292" s="12">
        <f>((Q174-P174)*-1)+((Q173-P173)*-1)</f>
        <v>0</v>
      </c>
      <c r="R292" s="12">
        <f>SUM(N292:Q292)</f>
        <v>0</v>
      </c>
      <c r="S292" s="12">
        <f>((S174-R174)*-1)+((S173-R173)*-1)</f>
        <v>0</v>
      </c>
      <c r="T292" s="12">
        <f>((T174-S174)*-1)+((T173-S173)*-1)</f>
        <v>0</v>
      </c>
      <c r="U292" s="12">
        <f>((U174-T174)*-1)+((U173-T173)*-1)</f>
        <v>0</v>
      </c>
      <c r="V292" s="12">
        <f>((V174-U174)*-1)+((V173-U173)*-1)</f>
        <v>0</v>
      </c>
      <c r="W292" s="12">
        <f>SUM(S292:V292)</f>
        <v>0</v>
      </c>
      <c r="X292" s="12">
        <f>((X174-W174)*-1)+((X173-W173)*-1)</f>
        <v>0</v>
      </c>
      <c r="Y292" s="12">
        <f>((Y174-X174)*-1)+((Y173-X173)*-1)</f>
        <v>0</v>
      </c>
      <c r="Z292" s="12">
        <f>((Z174-Y174)*-1)+((Z173-Y173)*-1)</f>
        <v>0</v>
      </c>
      <c r="AA292" s="12">
        <f>((AA174-Z174)*-1)+((AA173-Z173)*-1)</f>
        <v>0</v>
      </c>
      <c r="AB292" s="12">
        <f>SUM(X292:AA292)</f>
        <v>0</v>
      </c>
      <c r="AC292" s="12">
        <f>((AC174-AB174)*-1)+((AC173-AB173)*-1)</f>
        <v>0</v>
      </c>
      <c r="AD292" s="12">
        <f>((AD174-AC174)*-1)+((AD173-AC173)*-1)</f>
        <v>0</v>
      </c>
      <c r="AE292" s="12">
        <f>((AE174-AD174)*-1)+((AE173-AD173)*-1)</f>
        <v>-11093</v>
      </c>
      <c r="AF292" s="12">
        <f>((AF174-AE174)*-1)+((AF173-AE173)*-1)</f>
        <v>11093</v>
      </c>
      <c r="AG292" s="12">
        <f>SUM(AC292:AF292)</f>
        <v>0</v>
      </c>
      <c r="AH292" s="12">
        <f>((AH174-AG174)*-1)+((AH173-AG173)*-1)</f>
        <v>-21334</v>
      </c>
      <c r="AI292" s="12">
        <f>((AI174-AH174)*-1)+((AI173-AH173)*-1)</f>
        <v>992</v>
      </c>
      <c r="AJ292" s="12">
        <f>((AJ174-AI174)*-1)+((AJ173-AI173)*-1)</f>
        <v>0</v>
      </c>
      <c r="AK292" s="12">
        <f>((AK174-AJ174)*-1)+((AK173-AJ173)*-1)</f>
        <v>0</v>
      </c>
      <c r="AL292" s="12">
        <f>SUM(AH292:AK292)</f>
        <v>-20342</v>
      </c>
      <c r="AM292" s="12">
        <f>((AM174-AL174)*-1)+((AM173-AL173)*-1)</f>
        <v>0</v>
      </c>
      <c r="AN292" s="12">
        <f>((AN174-AM174)*-1)+((AN173-AM173)*-1)</f>
        <v>0</v>
      </c>
      <c r="AO292" s="12">
        <f>((AO174-AN174)*-1)+((AO173-AN173)*-1)</f>
        <v>0</v>
      </c>
      <c r="AP292" s="12">
        <f>((AP174-AO174)*-1)+((AP173-AO173)*-1)</f>
        <v>0</v>
      </c>
      <c r="AQ292" s="12">
        <f>SUM(AM292:AP292)</f>
        <v>0</v>
      </c>
      <c r="AR292" s="12">
        <f>((AR174-AQ174)*-1)+((AR173-AQ173)*-1)</f>
        <v>0</v>
      </c>
      <c r="AS292" s="12">
        <f>((AS174-AR174)*-1)+((AS173-AR173)*-1)</f>
        <v>0</v>
      </c>
      <c r="AT292" s="12">
        <f>((AT174-AS174)*-1)+((AT173-AS173)*-1)</f>
        <v>0</v>
      </c>
      <c r="AU292" s="12">
        <f>((AU174-AT174)*-1)+((AU173-AT173)*-1)</f>
        <v>0</v>
      </c>
      <c r="AV292" s="12">
        <f>SUM(AR292:AU292)</f>
        <v>0</v>
      </c>
      <c r="AW292" s="12">
        <f>((AW174-AV174)*-1)+((AW173-AV173)*-1)</f>
        <v>0</v>
      </c>
      <c r="AX292" s="12">
        <f>((AX174-AW174)*-1)+((AX173-AW173)*-1)</f>
        <v>0</v>
      </c>
      <c r="AY292" s="12">
        <f>((AY174-AX174)*-1)+((AY173-AX173)*-1)</f>
        <v>0</v>
      </c>
      <c r="AZ292" s="12">
        <f>((AZ174-AY174)*-1)+((AZ173-AY173)*-1)</f>
        <v>0</v>
      </c>
      <c r="BA292" s="12">
        <f>SUM(AW292:AZ292)</f>
        <v>0</v>
      </c>
      <c r="BB292" s="12">
        <f>((BB174-BA174)*-1)+((BB173-BA173)*-1)</f>
        <v>0</v>
      </c>
      <c r="BC292" s="12">
        <f>((BC174-BB174)*-1)+((BC173-BB173)*-1)</f>
        <v>0</v>
      </c>
      <c r="BD292" s="12">
        <f>((BD174-BC174)*-1)+((BD173-BC173)*-1)</f>
        <v>0</v>
      </c>
      <c r="BE292" s="12">
        <f>((BE174-BD174)*-1)+((BE173-BD173)*-1)</f>
        <v>0</v>
      </c>
      <c r="BF292" s="12">
        <f>SUM(BB292:BE292)</f>
        <v>0</v>
      </c>
      <c r="BG292" s="12" t="n"/>
      <c r="BH292" s="12" t="n"/>
      <c r="BI292" s="12" t="n"/>
      <c r="BJ292" s="12" t="n"/>
      <c r="BK292" s="12" t="n"/>
      <c r="BL292" s="12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  <c r="CN292" s="12" t="n"/>
      <c r="CO292" s="12" t="n"/>
      <c r="CP292" s="12" t="n"/>
      <c r="CQ292" s="12" t="n"/>
      <c r="CR292" s="12" t="n"/>
      <c r="CS292" s="12" t="n"/>
      <c r="CT292" s="12" t="n"/>
      <c r="CU292" s="12" t="n"/>
      <c r="CV292" s="12" t="n"/>
      <c r="CW292" s="12" t="n"/>
      <c r="CX292" s="12" t="n"/>
      <c r="CY292" s="12" t="n"/>
      <c r="CZ292" s="12" t="n"/>
      <c r="DA292" s="12" t="n"/>
      <c r="DB292" s="12" t="n"/>
      <c r="DC292" s="12" t="n"/>
    </row>
    <row r="293">
      <c r="C293" s="71" t="inlineStr">
        <is>
          <t>Purchases/Proceeds from other long-term assets</t>
        </is>
      </c>
      <c r="D293" s="12" t="n"/>
      <c r="E293" s="12" t="n"/>
      <c r="F293" s="12" t="n"/>
      <c r="G293" s="12" t="n"/>
      <c r="H293" s="12" t="n"/>
      <c r="I293" s="12" t="n"/>
      <c r="J293" s="12">
        <f>((J183-I183)*-1)+(J234-I234)</f>
        <v>-2414</v>
      </c>
      <c r="K293" s="12">
        <f>((K183-J183)*-1)+(K234-J234)</f>
        <v>-2724</v>
      </c>
      <c r="L293" s="12">
        <f>((L183-K183)*-1)+(L234-K234)</f>
        <v>471</v>
      </c>
      <c r="M293" s="12" t="n"/>
      <c r="N293" s="12">
        <f>((N183-M183)*-1)+(N234-M234)</f>
        <v>-4474</v>
      </c>
      <c r="O293" s="12">
        <f>((O183-N183)*-1)+(O234-N234)</f>
        <v>551</v>
      </c>
      <c r="P293" s="12">
        <f>((P183-O183)*-1)+(P234-O234)</f>
        <v>-6310</v>
      </c>
      <c r="Q293" s="12">
        <f>((Q183-P183)*-1)+(Q234-P234)</f>
        <v>-2531</v>
      </c>
      <c r="R293" s="12">
        <f>SUM(N293:Q293)</f>
        <v>-12764</v>
      </c>
      <c r="S293" s="12">
        <f>((S183-R183)*-1)+(S234-R234)</f>
        <v>-4685</v>
      </c>
      <c r="T293" s="12">
        <f>((T183-S183)*-1)+(T234-S234)</f>
        <v>-536</v>
      </c>
      <c r="U293" s="12">
        <f>((U183-T183)*-1)+(U234-T234)</f>
        <v>-1872</v>
      </c>
      <c r="V293" s="12">
        <f>((V183-U183)*-1)+(V234-U234)</f>
        <v>-1418</v>
      </c>
      <c r="W293" s="12">
        <f>SUM(S293:V293)</f>
        <v>-8511</v>
      </c>
      <c r="X293" s="12">
        <f>((X183-W183)*-1)+(X234-W234)</f>
        <v>-6370</v>
      </c>
      <c r="Y293" s="12">
        <f>((Y183-X183)*-1)+(Y234-X234)</f>
        <v>-653</v>
      </c>
      <c r="Z293" s="12">
        <f>((Z183-Y183)*-1)+(Z234-Y234)</f>
        <v>-5595</v>
      </c>
      <c r="AA293" s="12">
        <f>((AA183-Z183)*-1)+(AA234-Z234)</f>
        <v>769</v>
      </c>
      <c r="AB293" s="12">
        <f>SUM(X293:AA293)</f>
        <v>-11849</v>
      </c>
      <c r="AC293" s="12">
        <f>((AC183-AB183)*-1)+(AC234-AB234)</f>
        <v>-11782</v>
      </c>
      <c r="AD293" s="12">
        <f>((AD183-AC183)*-1)+(AD234-AC234)</f>
        <v>-808</v>
      </c>
      <c r="AE293" s="12">
        <f>((AE183-AD183)*-1)+(AE234-AD234)</f>
        <v>9682</v>
      </c>
      <c r="AF293" s="12">
        <f>((AF183-AE183)*-1)+(AF234-AE234)</f>
        <v>-10006</v>
      </c>
      <c r="AG293" s="12">
        <f>SUM(AC293:AF293)</f>
        <v>-12914</v>
      </c>
      <c r="AH293" s="12">
        <f>((AH183-AG183)*-1)+(AH234-AG234)</f>
        <v>19207</v>
      </c>
      <c r="AI293" s="12">
        <f>((AI183-AH183)*-1)+(AI234-AH234)</f>
        <v>-593</v>
      </c>
      <c r="AJ293" s="12">
        <f>((AJ183-AI183)*-1)+(AJ234-AI234)</f>
        <v>0</v>
      </c>
      <c r="AK293" s="12">
        <f>((AK183-AJ183)*-1)+(AK234-AJ234)</f>
        <v>0</v>
      </c>
      <c r="AL293" s="12">
        <f>SUM(AH293:AK293)</f>
        <v>18614</v>
      </c>
      <c r="AM293" s="12">
        <f>((AM183-AL183)*-1)+(AM234-AL234)</f>
        <v>0</v>
      </c>
      <c r="AN293" s="12">
        <f>((AN183-AM183)*-1)+(AN234-AM234)</f>
        <v>0</v>
      </c>
      <c r="AO293" s="12">
        <f>((AO183-AN183)*-1)+(AO234-AN234)</f>
        <v>0</v>
      </c>
      <c r="AP293" s="12">
        <f>((AP183-AO183)*-1)+(AP234-AO234)</f>
        <v>0</v>
      </c>
      <c r="AQ293" s="12">
        <f>SUM(AM293:AP293)</f>
        <v>0</v>
      </c>
      <c r="AR293" s="12">
        <f>((AR183-AQ183)*-1)+(AR234-AQ234)</f>
        <v>0</v>
      </c>
      <c r="AS293" s="12">
        <f>((AS183-AR183)*-1)+(AS234-AR234)</f>
        <v>0</v>
      </c>
      <c r="AT293" s="12">
        <f>((AT183-AS183)*-1)+(AT234-AS234)</f>
        <v>0</v>
      </c>
      <c r="AU293" s="12">
        <f>((AU183-AT183)*-1)+(AU234-AT234)</f>
        <v>0</v>
      </c>
      <c r="AV293" s="12">
        <f>SUM(AR293:AU293)</f>
        <v>0</v>
      </c>
      <c r="AW293" s="12">
        <f>((AW183-AV183)*-1)+(AW234-AV234)</f>
        <v>0</v>
      </c>
      <c r="AX293" s="12">
        <f>((AX183-AW183)*-1)+(AX234-AW234)</f>
        <v>0</v>
      </c>
      <c r="AY293" s="12">
        <f>((AY183-AX183)*-1)+(AY234-AX234)</f>
        <v>0</v>
      </c>
      <c r="AZ293" s="12">
        <f>((AZ183-AY183)*-1)+(AZ234-AY234)</f>
        <v>0</v>
      </c>
      <c r="BA293" s="12">
        <f>SUM(AW293:AZ293)</f>
        <v>0</v>
      </c>
      <c r="BB293" s="12">
        <f>((BB183-BA183)*-1)+(BB234-BA234)</f>
        <v>0</v>
      </c>
      <c r="BC293" s="12">
        <f>((BC183-BB183)*-1)+(BC234-BB234)</f>
        <v>0</v>
      </c>
      <c r="BD293" s="12">
        <f>((BD183-BC183)*-1)+(BD234-BC234)</f>
        <v>0</v>
      </c>
      <c r="BE293" s="12">
        <f>((BE183-BD183)*-1)+(BE234-BD234)</f>
        <v>0</v>
      </c>
      <c r="BF293" s="12">
        <f>SUM(BB293:BE293)</f>
        <v>0</v>
      </c>
      <c r="BG293" s="12" t="n"/>
      <c r="BH293" s="12" t="n"/>
      <c r="BI293" s="12" t="n"/>
      <c r="BJ293" s="12" t="n"/>
      <c r="BK293" s="12" t="n"/>
      <c r="BL293" s="12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  <c r="CA293" s="12" t="n"/>
      <c r="CB293" s="12" t="n"/>
      <c r="CC293" s="12" t="n"/>
      <c r="CD293" s="12" t="n"/>
      <c r="CE293" s="12" t="n"/>
      <c r="CF293" s="12" t="n"/>
      <c r="CG293" s="12" t="n"/>
      <c r="CH293" s="12" t="n"/>
      <c r="CI293" s="12" t="n"/>
      <c r="CJ293" s="12" t="n"/>
      <c r="CK293" s="12" t="n"/>
      <c r="CL293" s="12" t="n"/>
      <c r="CM293" s="12" t="n"/>
      <c r="CN293" s="12" t="n"/>
      <c r="CO293" s="12" t="n"/>
      <c r="CP293" s="12" t="n"/>
      <c r="CQ293" s="12" t="n"/>
      <c r="CR293" s="12" t="n"/>
      <c r="CS293" s="12" t="n"/>
      <c r="CT293" s="12" t="n"/>
      <c r="CU293" s="12" t="n"/>
      <c r="CV293" s="12" t="n"/>
      <c r="CW293" s="12" t="n"/>
      <c r="CX293" s="12" t="n"/>
      <c r="CY293" s="12" t="n"/>
    </row>
    <row r="294">
      <c r="C294" s="14" t="inlineStr">
        <is>
          <t>Cash from investing</t>
        </is>
      </c>
      <c r="D294" s="12" t="n"/>
      <c r="E294" s="12" t="n"/>
      <c r="F294" s="12" t="n"/>
      <c r="G294" s="12" t="n"/>
      <c r="H294" s="12" t="n"/>
      <c r="I294" s="12" t="n"/>
      <c r="J294" s="12">
        <f>SUM(J289,J290,J292,J293,J291)</f>
        <v>-6046</v>
      </c>
      <c r="K294" s="12">
        <f>SUM(K289,K290,K292,K293,K291)</f>
        <v>-6538</v>
      </c>
      <c r="L294" s="12">
        <f>SUM(L289,L290,L292,L293,L291)</f>
        <v>-2031</v>
      </c>
      <c r="M294" s="12" t="n"/>
      <c r="N294" s="12">
        <f>SUM(N289,N290,N292,N293,N291)</f>
        <v>-7270</v>
      </c>
      <c r="O294" s="12">
        <f>SUM(O289,O290,O292,O293,O291)</f>
        <v>-3285</v>
      </c>
      <c r="P294" s="12">
        <f>SUM(P289,P290,P292,P293,P291)</f>
        <v>-10957</v>
      </c>
      <c r="Q294" s="12">
        <f>SUM(Q289,Q290,Q292,Q293,Q291)</f>
        <v>-6281</v>
      </c>
      <c r="R294" s="12">
        <f>SUM(R289,R290,R292,R293)</f>
        <v>-27793</v>
      </c>
      <c r="S294" s="12">
        <f>SUM(S289,S290,S292,S293,S291)</f>
        <v>-8030</v>
      </c>
      <c r="T294" s="12">
        <f>SUM(T289,T290,T292,T293,T291)</f>
        <v>-3740</v>
      </c>
      <c r="U294" s="12">
        <f>SUM(U289,U290,U292,U293,U291)</f>
        <v>-4690</v>
      </c>
      <c r="V294" s="12">
        <f>SUM(V289,V290,V292,V293,V291)</f>
        <v>-4217</v>
      </c>
      <c r="W294" s="12">
        <f>SUM(W289,W290,W292,W293)</f>
        <v>-20677</v>
      </c>
      <c r="X294" s="12">
        <f>SUM(X289,X290,X292,X293,X291)</f>
        <v>-9086</v>
      </c>
      <c r="Y294" s="12">
        <f>SUM(Y289,Y290,Y292,Y293,Y291)</f>
        <v>-4459</v>
      </c>
      <c r="Z294" s="12">
        <f>SUM(Z289,Z290,Z292,Z293,Z291)</f>
        <v>-9684</v>
      </c>
      <c r="AA294" s="12">
        <f>SUM(AA289,AA290,AA292,AA293,AA291)</f>
        <v>-2700</v>
      </c>
      <c r="AB294" s="12">
        <f>SUM(AB289,AB290,AB292,AB293)</f>
        <v>-25929</v>
      </c>
      <c r="AC294" s="12">
        <f>SUM(AC289,AC290,AC292,AC293,AC291)</f>
        <v>-15250</v>
      </c>
      <c r="AD294" s="12">
        <f>SUM(AD289,AD290,AD292,AD293,AD291)</f>
        <v>-5270</v>
      </c>
      <c r="AE294" s="12">
        <f>SUM(AE289,AE290,AE292,AE293,AE291)</f>
        <v>-5864</v>
      </c>
      <c r="AF294" s="12">
        <f>SUM(AF289,AF290,AF292,AF293,AF291)</f>
        <v>-2452</v>
      </c>
      <c r="AG294" s="12">
        <f>SUM(AG289,AG290,AG292,AG293)</f>
        <v>-28836</v>
      </c>
      <c r="AH294" s="12">
        <f>SUM(AH289,AH290,AH292,AH293,AH291)</f>
        <v>-5523</v>
      </c>
      <c r="AI294" s="12">
        <f>SUM(AI289,AI290,AI292,AI293,AI291)</f>
        <v>-4236</v>
      </c>
      <c r="AJ294" s="12">
        <f>SUM(AJ289,AJ290,AJ292,AJ293,AJ291)</f>
        <v>-4184.29475569176</v>
      </c>
      <c r="AK294" s="12">
        <f>SUM(AK289,AK290,AK292,AK293,AK291)</f>
        <v>-5870.41044736034</v>
      </c>
      <c r="AL294" s="12">
        <f>SUM(AL289,AL290,AL292,AL293)</f>
        <v>-19813.7052030521</v>
      </c>
      <c r="AM294" s="12">
        <f>SUM(AM289,AM290,AM292,AM293,AM291)</f>
        <v>-4540.30242340711</v>
      </c>
      <c r="AN294" s="12">
        <f>SUM(AN289,AN290,AN292,AN293,AN291)</f>
        <v>-4468.14532902158</v>
      </c>
      <c r="AO294" s="12">
        <f>SUM(AO289,AO290,AO292,AO293,AO291)</f>
        <v>-4681.15457128698</v>
      </c>
      <c r="AP294" s="12">
        <f>SUM(AP289,AP290,AP292,AP293,AP291)</f>
        <v>-6567.48635205757</v>
      </c>
      <c r="AQ294" s="12">
        <f>SUM(AQ289,AQ290,AQ292,AQ293)</f>
        <v>-20257.0886757732</v>
      </c>
      <c r="AR294" s="12">
        <f>SUM(AR289,AR290,AR292,AR293,AR291)</f>
        <v>-5056.73449449952</v>
      </c>
      <c r="AS294" s="12">
        <f>SUM(AS289,AS290,AS292,AS293,AS291)</f>
        <v>-4976.36996496487</v>
      </c>
      <c r="AT294" s="12">
        <f>SUM(AT289,AT290,AT292,AT293,AT291)</f>
        <v>-5213.60772636543</v>
      </c>
      <c r="AU294" s="12">
        <f>SUM(AU289,AU290,AU292,AU293,AU291)</f>
        <v>-7314.4983927487</v>
      </c>
      <c r="AV294" s="12">
        <f>SUM(AV289,AV290,AV292,AV293)</f>
        <v>-22561.2105785785</v>
      </c>
      <c r="AW294" s="12">
        <f>SUM(AW289,AW290,AW292,AW293,AW291)</f>
        <v>-5606.62393263209</v>
      </c>
      <c r="AX294" s="12">
        <f>SUM(AX289,AX290,AX292,AX293,AX291)</f>
        <v>-5517.52024425102</v>
      </c>
      <c r="AY294" s="12">
        <f>SUM(AY289,AY290,AY292,AY293,AY291)</f>
        <v>-5780.55618419196</v>
      </c>
      <c r="AZ294" s="12">
        <f>SUM(AZ289,AZ290,AZ292,AZ293,AZ291)</f>
        <v>-8109.9060645941</v>
      </c>
      <c r="BA294" s="12">
        <f>SUM(BA289,BA290,BA292,BA293)</f>
        <v>-25014.6064256692</v>
      </c>
      <c r="BB294" s="12">
        <f>SUM(BB289,BB290,BB292,BB293,BB291)</f>
        <v>-6188.27741753345</v>
      </c>
      <c r="BC294" s="12">
        <f>SUM(BC289,BC290,BC292,BC293,BC291)</f>
        <v>-6089.92975782718</v>
      </c>
      <c r="BD294" s="12">
        <f>SUM(BD289,BD290,BD292,BD293,BD291)</f>
        <v>-6380.25409323736</v>
      </c>
      <c r="BE294" s="12">
        <f>SUM(BE289,BE290,BE292,BE293,BE291)</f>
        <v>-8951.26000260993</v>
      </c>
      <c r="BF294" s="12">
        <f>SUM(BF289,BF290,BF292,BF293)</f>
        <v>-27609.7212712079</v>
      </c>
      <c r="BG294" s="12" t="n"/>
      <c r="BH294" s="12" t="n"/>
      <c r="BI294" s="12" t="n"/>
      <c r="BJ294" s="12" t="n"/>
      <c r="BK294" s="12" t="n"/>
      <c r="BL294" s="12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  <c r="CN294" s="12" t="n"/>
      <c r="CO294" s="12" t="n"/>
      <c r="CP294" s="12" t="n"/>
      <c r="CQ294" s="12" t="n"/>
      <c r="CR294" s="12" t="n"/>
      <c r="CS294" s="12" t="n"/>
      <c r="CT294" s="12" t="n"/>
      <c r="CU294" s="12" t="n"/>
      <c r="CV294" s="12" t="n"/>
      <c r="CW294" s="12" t="n"/>
      <c r="CX294" s="12" t="n"/>
      <c r="CY294" s="12" t="n"/>
    </row>
    <row r="295">
      <c r="C295" s="14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  <c r="AE295" s="12" t="n"/>
      <c r="AF295" s="12" t="n"/>
      <c r="AG295" s="12" t="n"/>
      <c r="AH295" s="12" t="n"/>
      <c r="AI295" s="12" t="n"/>
      <c r="AJ295" s="12" t="n"/>
      <c r="AK295" s="12" t="n"/>
      <c r="AL295" s="12" t="n"/>
      <c r="AM295" s="12" t="n"/>
      <c r="AN295" s="12" t="n"/>
      <c r="AO295" s="12" t="n"/>
      <c r="AP295" s="12" t="n"/>
      <c r="AQ295" s="12" t="n"/>
      <c r="AR295" s="12" t="n"/>
      <c r="AS295" s="12" t="n"/>
      <c r="AT295" s="12" t="n"/>
      <c r="AU295" s="12" t="n"/>
      <c r="AV295" s="12" t="n"/>
      <c r="AW295" s="12" t="n"/>
      <c r="AX295" s="12" t="n"/>
      <c r="AY295" s="12" t="n"/>
      <c r="AZ295" s="12" t="n"/>
      <c r="BA295" s="12" t="n"/>
      <c r="BB295" s="12" t="n"/>
      <c r="BC295" s="12" t="n"/>
      <c r="BD295" s="12" t="n"/>
      <c r="BE295" s="12" t="n"/>
      <c r="BF295" s="12" t="n"/>
      <c r="BG295" s="12" t="n"/>
      <c r="BH295" s="12" t="n"/>
      <c r="BI295" s="12" t="n"/>
      <c r="BJ295" s="12" t="n"/>
      <c r="BK295" s="12" t="n"/>
      <c r="BL295" s="12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  <c r="CA295" s="12" t="n"/>
      <c r="CB295" s="12" t="n"/>
      <c r="CC295" s="12" t="n"/>
      <c r="CD295" s="12" t="n"/>
      <c r="CE295" s="12" t="n"/>
      <c r="CF295" s="12" t="n"/>
      <c r="CG295" s="12" t="n"/>
      <c r="CH295" s="12" t="n"/>
      <c r="CI295" s="12" t="n"/>
      <c r="CJ295" s="12" t="n"/>
      <c r="CK295" s="12" t="n"/>
      <c r="CL295" s="12" t="n"/>
      <c r="CM295" s="12" t="n"/>
      <c r="CN295" s="12" t="n"/>
      <c r="CO295" s="12" t="n"/>
      <c r="CP295" s="12" t="n"/>
      <c r="CQ295" s="12" t="n"/>
      <c r="CR295" s="12" t="n"/>
      <c r="CS295" s="12" t="n"/>
      <c r="CT295" s="12" t="n"/>
      <c r="CU295" s="12" t="n"/>
      <c r="CV295" s="12" t="n"/>
      <c r="CW295" s="12" t="n"/>
      <c r="CX295" s="12" t="n"/>
      <c r="CY295" s="12" t="n"/>
    </row>
    <row r="296">
      <c r="C296" s="14" t="inlineStr">
        <is>
          <t>Convertible preferred stock</t>
        </is>
      </c>
      <c r="D296" s="12" t="n"/>
      <c r="E296" s="12" t="n"/>
      <c r="F296" s="12" t="n"/>
      <c r="G296" s="12" t="n"/>
      <c r="H296" s="12" t="n"/>
      <c r="I296" s="12" t="n"/>
      <c r="J296" s="12">
        <f>J247-I247</f>
        <v>0</v>
      </c>
      <c r="K296" s="12">
        <f>K247-J247</f>
        <v>0</v>
      </c>
      <c r="L296" s="12">
        <f>L247-K247</f>
        <v>0</v>
      </c>
      <c r="M296" s="12" t="n"/>
      <c r="N296" s="12">
        <f>N247-M247</f>
        <v>0</v>
      </c>
      <c r="O296" s="12">
        <f>O247-N247</f>
        <v>0</v>
      </c>
      <c r="P296" s="12">
        <f>P247-O247</f>
        <v>0</v>
      </c>
      <c r="Q296" s="12">
        <f>Q247-P247</f>
        <v>0</v>
      </c>
      <c r="R296" s="12">
        <f>SUM(N296:Q296)</f>
        <v>0</v>
      </c>
      <c r="S296" s="12">
        <f>S247-R247</f>
        <v>0</v>
      </c>
      <c r="T296" s="12">
        <f>T247-S247</f>
        <v>0</v>
      </c>
      <c r="U296" s="12">
        <f>U247-T247</f>
        <v>0</v>
      </c>
      <c r="V296" s="12">
        <f>V247-U247</f>
        <v>0</v>
      </c>
      <c r="W296" s="12">
        <f>SUM(S296:V296)</f>
        <v>0</v>
      </c>
      <c r="X296" s="12">
        <f>X247-W247</f>
        <v>0</v>
      </c>
      <c r="Y296" s="12">
        <f>Y247-X247</f>
        <v>0</v>
      </c>
      <c r="Z296" s="12">
        <f>Z247-Y247</f>
        <v>0</v>
      </c>
      <c r="AA296" s="12">
        <f>AA247-Z247</f>
        <v>0</v>
      </c>
      <c r="AB296" s="12">
        <f>SUM(X296:AA296)</f>
        <v>0</v>
      </c>
      <c r="AC296" s="12">
        <f>AC247-AB247</f>
        <v>0</v>
      </c>
      <c r="AD296" s="12">
        <f>AD247-AC247</f>
        <v>0</v>
      </c>
      <c r="AE296" s="12">
        <f>AE247-AD247</f>
        <v>0</v>
      </c>
      <c r="AF296" s="12">
        <f>AF247-AE247</f>
        <v>0</v>
      </c>
      <c r="AG296" s="12">
        <f>SUM(AC296:AF296)</f>
        <v>0</v>
      </c>
      <c r="AH296" s="12">
        <f>AH247-AG247</f>
        <v>0</v>
      </c>
      <c r="AI296" s="12">
        <f>AI247-AH247</f>
        <v>0</v>
      </c>
      <c r="AJ296" s="12">
        <f>AJ247-AI247</f>
        <v>0</v>
      </c>
      <c r="AK296" s="12">
        <f>AK247-AJ247</f>
        <v>0</v>
      </c>
      <c r="AL296" s="12">
        <f>SUM(AH296:AK296)</f>
        <v>0</v>
      </c>
      <c r="AM296" s="12">
        <f>AM247-AL247</f>
        <v>0</v>
      </c>
      <c r="AN296" s="12">
        <f>AN247-AM247</f>
        <v>0</v>
      </c>
      <c r="AO296" s="12">
        <f>AO247-AN247</f>
        <v>0</v>
      </c>
      <c r="AP296" s="12">
        <f>AP247-AO247</f>
        <v>0</v>
      </c>
      <c r="AQ296" s="12">
        <f>SUM(AM296:AP296)</f>
        <v>0</v>
      </c>
      <c r="AR296" s="12">
        <f>AR247-AQ247</f>
        <v>0</v>
      </c>
      <c r="AS296" s="12">
        <f>AS247-AR247</f>
        <v>0</v>
      </c>
      <c r="AT296" s="12">
        <f>AT247-AS247</f>
        <v>0</v>
      </c>
      <c r="AU296" s="12">
        <f>AU247-AT247</f>
        <v>0</v>
      </c>
      <c r="AV296" s="12">
        <f>SUM(AR296:AU296)</f>
        <v>0</v>
      </c>
      <c r="AW296" s="12">
        <f>AW247-AV247</f>
        <v>0</v>
      </c>
      <c r="AX296" s="12">
        <f>AX247-AW247</f>
        <v>0</v>
      </c>
      <c r="AY296" s="12">
        <f>AY247-AX247</f>
        <v>0</v>
      </c>
      <c r="AZ296" s="12">
        <f>AZ247-AY247</f>
        <v>0</v>
      </c>
      <c r="BA296" s="12">
        <f>SUM(AW296:AZ296)</f>
        <v>0</v>
      </c>
      <c r="BB296" s="12">
        <f>BB247-BA247</f>
        <v>0</v>
      </c>
      <c r="BC296" s="12">
        <f>BC247-BB247</f>
        <v>0</v>
      </c>
      <c r="BD296" s="12">
        <f>BD247-BC247</f>
        <v>0</v>
      </c>
      <c r="BE296" s="12">
        <f>BE247-BD247</f>
        <v>0</v>
      </c>
      <c r="BF296" s="12">
        <f>SUM(BB296:BE296)</f>
        <v>0</v>
      </c>
      <c r="BG296" s="12" t="n"/>
      <c r="BH296" s="12" t="n"/>
      <c r="BI296" s="12" t="n"/>
      <c r="BJ296" s="12" t="n"/>
      <c r="BK296" s="12" t="n"/>
      <c r="BL296" s="12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  <c r="CN296" s="12" t="n"/>
      <c r="CO296" s="12" t="n"/>
      <c r="CP296" s="12" t="n"/>
      <c r="CQ296" s="12" t="n"/>
      <c r="CR296" s="12" t="n"/>
      <c r="CS296" s="12" t="n"/>
      <c r="CT296" s="12" t="n"/>
      <c r="CU296" s="12" t="n"/>
      <c r="CV296" s="12" t="n"/>
      <c r="CW296" s="12" t="n"/>
      <c r="CX296" s="12" t="n"/>
      <c r="CY296" s="12" t="n"/>
    </row>
    <row r="297">
      <c r="C297" s="14" t="inlineStr">
        <is>
          <t>Common stock and APIC</t>
        </is>
      </c>
      <c r="D297" s="12" t="n"/>
      <c r="E297" s="12" t="n"/>
      <c r="F297" s="12" t="n"/>
      <c r="G297" s="12" t="n"/>
      <c r="H297" s="12" t="n"/>
      <c r="I297" s="12" t="n"/>
      <c r="J297" s="12">
        <f>J248-I248</f>
        <v>786</v>
      </c>
      <c r="K297" s="12">
        <f>K248-J248</f>
        <v>2376</v>
      </c>
      <c r="L297" s="12">
        <f>L248-K248</f>
        <v>1059</v>
      </c>
      <c r="M297" s="12" t="n"/>
      <c r="N297" s="12">
        <f>N248-M248</f>
        <v>2757</v>
      </c>
      <c r="O297" s="12">
        <f>O248-N248</f>
        <v>934</v>
      </c>
      <c r="P297" s="12">
        <f>P248-O248</f>
        <v>2734</v>
      </c>
      <c r="Q297" s="12">
        <f>Q248-P248</f>
        <v>1550</v>
      </c>
      <c r="R297" s="12">
        <f>SUM(N297:Q297)</f>
        <v>7975</v>
      </c>
      <c r="S297" s="12">
        <f>S248-R248</f>
        <v>3169</v>
      </c>
      <c r="T297" s="12">
        <f>T248-S248</f>
        <v>1099</v>
      </c>
      <c r="U297" s="12">
        <f>U248-T248</f>
        <v>3145</v>
      </c>
      <c r="V297" s="12">
        <f>V248-U248</f>
        <v>1424</v>
      </c>
      <c r="W297" s="12">
        <f>SUM(S297:V297)</f>
        <v>8837</v>
      </c>
      <c r="X297" s="12">
        <f>X248-W248</f>
        <v>3579</v>
      </c>
      <c r="Y297" s="12">
        <f>Y248-X248</f>
        <v>1035</v>
      </c>
      <c r="Z297" s="12">
        <f>Z248-Y248</f>
        <v>3426</v>
      </c>
      <c r="AA297" s="12">
        <f>AA248-Z248</f>
        <v>1492</v>
      </c>
      <c r="AB297" s="12">
        <f>SUM(X297:AA297)</f>
        <v>9532</v>
      </c>
      <c r="AC297" s="12">
        <f>AC248-AB248</f>
        <v>3943</v>
      </c>
      <c r="AD297" s="12">
        <f>AD248-AC248</f>
        <v>1095</v>
      </c>
      <c r="AE297" s="12">
        <f>AE248-AD248</f>
        <v>3762</v>
      </c>
      <c r="AF297" s="12">
        <f>AF248-AE248</f>
        <v>1653</v>
      </c>
      <c r="AG297" s="12">
        <f>SUM(AC297:AF297)</f>
        <v>10453</v>
      </c>
      <c r="AH297" s="12">
        <f>AH248-AG248</f>
        <v>4286</v>
      </c>
      <c r="AI297" s="12">
        <f>AI248-AH248</f>
        <v>1195</v>
      </c>
      <c r="AJ297" s="12">
        <f>AJ248-AI248</f>
        <v>0</v>
      </c>
      <c r="AK297" s="12">
        <f>AK248-AJ248</f>
        <v>0</v>
      </c>
      <c r="AL297" s="12">
        <f>SUM(AH297:AK297)</f>
        <v>5481</v>
      </c>
      <c r="AM297" s="12">
        <f>AM248-AL248</f>
        <v>0</v>
      </c>
      <c r="AN297" s="12">
        <f>AN248-AM248</f>
        <v>0</v>
      </c>
      <c r="AO297" s="12">
        <f>AO248-AN248</f>
        <v>0</v>
      </c>
      <c r="AP297" s="12">
        <f>AP248-AO248</f>
        <v>0</v>
      </c>
      <c r="AQ297" s="12">
        <f>SUM(AM297:AP297)</f>
        <v>0</v>
      </c>
      <c r="AR297" s="12">
        <f>AR248-AQ248</f>
        <v>0</v>
      </c>
      <c r="AS297" s="12">
        <f>AS248-AR248</f>
        <v>0</v>
      </c>
      <c r="AT297" s="12">
        <f>AT248-AS248</f>
        <v>0</v>
      </c>
      <c r="AU297" s="12">
        <f>AU248-AT248</f>
        <v>0</v>
      </c>
      <c r="AV297" s="12">
        <f>SUM(AR297:AU297)</f>
        <v>0</v>
      </c>
      <c r="AW297" s="12">
        <f>AW248-AV248</f>
        <v>0</v>
      </c>
      <c r="AX297" s="12">
        <f>AX248-AW248</f>
        <v>0</v>
      </c>
      <c r="AY297" s="12">
        <f>AY248-AX248</f>
        <v>0</v>
      </c>
      <c r="AZ297" s="12">
        <f>AZ248-AY248</f>
        <v>0</v>
      </c>
      <c r="BA297" s="12">
        <f>SUM(AW297:AZ297)</f>
        <v>0</v>
      </c>
      <c r="BB297" s="12">
        <f>BB248-BA248</f>
        <v>0</v>
      </c>
      <c r="BC297" s="12">
        <f>BC248-BB248</f>
        <v>0</v>
      </c>
      <c r="BD297" s="12">
        <f>BD248-BC248</f>
        <v>0</v>
      </c>
      <c r="BE297" s="12">
        <f>BE248-BD248</f>
        <v>0</v>
      </c>
      <c r="BF297" s="12">
        <f>SUM(BB297:BE297)</f>
        <v>0</v>
      </c>
      <c r="BG297" s="12" t="n"/>
      <c r="BH297" s="12" t="n"/>
      <c r="BI297" s="12" t="n"/>
      <c r="BJ297" s="12" t="n"/>
      <c r="BK297" s="12" t="n"/>
      <c r="BL297" s="12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  <c r="CA297" s="12" t="n"/>
      <c r="CB297" s="12" t="n"/>
      <c r="CC297" s="12" t="n"/>
      <c r="CD297" s="12" t="n"/>
      <c r="CE297" s="12" t="n"/>
      <c r="CF297" s="12" t="n"/>
      <c r="CG297" s="12" t="n"/>
      <c r="CH297" s="12" t="n"/>
      <c r="CI297" s="12" t="n"/>
      <c r="CJ297" s="12" t="n"/>
      <c r="CK297" s="12" t="n"/>
      <c r="CL297" s="12" t="n"/>
      <c r="CM297" s="12" t="n"/>
      <c r="CN297" s="12" t="n"/>
      <c r="CO297" s="12" t="n"/>
      <c r="CP297" s="12" t="n"/>
      <c r="CQ297" s="12" t="n"/>
      <c r="CR297" s="12" t="n"/>
      <c r="CS297" s="12" t="n"/>
      <c r="CT297" s="12" t="n"/>
      <c r="CU297" s="12" t="n"/>
      <c r="CV297" s="12" t="n"/>
      <c r="CW297" s="12" t="n"/>
      <c r="CX297" s="12" t="n"/>
      <c r="CY297" s="12" t="n"/>
    </row>
    <row r="298">
      <c r="C298" s="14" t="inlineStr">
        <is>
          <t>Treasury stock repurchases</t>
        </is>
      </c>
      <c r="D298" s="12" t="n"/>
      <c r="E298" s="12" t="n"/>
      <c r="F298" s="12" t="n"/>
      <c r="G298" s="12" t="n"/>
      <c r="H298" s="12" t="n"/>
      <c r="I298" s="12" t="n"/>
      <c r="J298" s="12">
        <f>J261-I261</f>
        <v>0</v>
      </c>
      <c r="K298" s="12">
        <f>K261-J261</f>
        <v>0</v>
      </c>
      <c r="L298" s="12">
        <f>L261-K261</f>
        <v>0</v>
      </c>
      <c r="M298" s="12" t="n"/>
      <c r="N298" s="12">
        <f>N261-M261</f>
        <v>0</v>
      </c>
      <c r="O298" s="12">
        <f>O261-N261</f>
        <v>0</v>
      </c>
      <c r="P298" s="12">
        <f>P261-O261</f>
        <v>0</v>
      </c>
      <c r="Q298" s="12">
        <f>Q261-P261</f>
        <v>0</v>
      </c>
      <c r="R298" s="12">
        <f>SUM(N298:Q298)</f>
        <v>0</v>
      </c>
      <c r="S298" s="12">
        <f>S261-R261</f>
        <v>0</v>
      </c>
      <c r="T298" s="12">
        <f>T261-S261</f>
        <v>0</v>
      </c>
      <c r="U298" s="12">
        <f>U261-T261</f>
        <v>0</v>
      </c>
      <c r="V298" s="12">
        <f>V261-U261</f>
        <v>0</v>
      </c>
      <c r="W298" s="12">
        <f>SUM(S298:V298)</f>
        <v>0</v>
      </c>
      <c r="X298" s="12">
        <f>X261-W261</f>
        <v>0</v>
      </c>
      <c r="Y298" s="12">
        <f>Y261-X261</f>
        <v>0</v>
      </c>
      <c r="Z298" s="12">
        <f>Z261-Y261</f>
        <v>0</v>
      </c>
      <c r="AA298" s="12">
        <f>AA261-Z261</f>
        <v>0</v>
      </c>
      <c r="AB298" s="12">
        <f>SUM(X298:AA298)</f>
        <v>0</v>
      </c>
      <c r="AC298" s="12">
        <f>AC261-AB261</f>
        <v>0</v>
      </c>
      <c r="AD298" s="12">
        <f>AD261-AC261</f>
        <v>0</v>
      </c>
      <c r="AE298" s="12">
        <f>AE261-AD261</f>
        <v>0</v>
      </c>
      <c r="AF298" s="12">
        <f>AF261-AE261</f>
        <v>0</v>
      </c>
      <c r="AG298" s="12">
        <f>SUM(AC298:AF298)</f>
        <v>0</v>
      </c>
      <c r="AH298" s="12">
        <f>AH261-AG261</f>
        <v>0</v>
      </c>
      <c r="AI298" s="12">
        <f>AI261-AH261</f>
        <v>0</v>
      </c>
      <c r="AJ298" s="12">
        <f>AJ261-AI261</f>
        <v>0</v>
      </c>
      <c r="AK298" s="12">
        <f>AK261-AJ261</f>
        <v>0</v>
      </c>
      <c r="AL298" s="12">
        <f>SUM(AH298:AK298)</f>
        <v>0</v>
      </c>
      <c r="AM298" s="12">
        <f>AM261-AL261</f>
        <v>0</v>
      </c>
      <c r="AN298" s="12">
        <f>AN261-AM261</f>
        <v>0</v>
      </c>
      <c r="AO298" s="12">
        <f>AO261-AN261</f>
        <v>0</v>
      </c>
      <c r="AP298" s="12">
        <f>AP261-AO261</f>
        <v>0</v>
      </c>
      <c r="AQ298" s="12">
        <f>SUM(AM298:AP298)</f>
        <v>0</v>
      </c>
      <c r="AR298" s="12">
        <f>AR261-AQ261</f>
        <v>0</v>
      </c>
      <c r="AS298" s="12">
        <f>AS261-AR261</f>
        <v>0</v>
      </c>
      <c r="AT298" s="12">
        <f>AT261-AS261</f>
        <v>0</v>
      </c>
      <c r="AU298" s="12">
        <f>AU261-AT261</f>
        <v>0</v>
      </c>
      <c r="AV298" s="12">
        <f>SUM(AR298:AU298)</f>
        <v>0</v>
      </c>
      <c r="AW298" s="12">
        <f>AW261-AV261</f>
        <v>0</v>
      </c>
      <c r="AX298" s="12">
        <f>AX261-AW261</f>
        <v>0</v>
      </c>
      <c r="AY298" s="12">
        <f>AY261-AX261</f>
        <v>0</v>
      </c>
      <c r="AZ298" s="12">
        <f>AZ261-AY261</f>
        <v>0</v>
      </c>
      <c r="BA298" s="12">
        <f>SUM(AW298:AZ298)</f>
        <v>0</v>
      </c>
      <c r="BB298" s="12">
        <f>BB261-BA261</f>
        <v>0</v>
      </c>
      <c r="BC298" s="12">
        <f>BC261-BB261</f>
        <v>0</v>
      </c>
      <c r="BD298" s="12">
        <f>BD261-BC261</f>
        <v>0</v>
      </c>
      <c r="BE298" s="12">
        <f>BE261-BD261</f>
        <v>0</v>
      </c>
      <c r="BF298" s="12">
        <f>SUM(BB298:BE298)</f>
        <v>0</v>
      </c>
      <c r="BG298" s="12" t="n"/>
      <c r="BH298" s="12" t="n"/>
      <c r="BI298" s="12" t="n"/>
      <c r="BJ298" s="12" t="n"/>
      <c r="BK298" s="12" t="n"/>
      <c r="BL298" s="12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  <c r="CA298" s="12" t="n"/>
      <c r="CB298" s="12" t="n"/>
      <c r="CC298" s="12" t="n"/>
      <c r="CD298" s="12" t="n"/>
      <c r="CE298" s="12" t="n"/>
      <c r="CF298" s="12" t="n"/>
      <c r="CG298" s="12" t="n"/>
      <c r="CH298" s="12" t="n"/>
      <c r="CI298" s="12" t="n"/>
      <c r="CJ298" s="12" t="n"/>
      <c r="CK298" s="12" t="n"/>
      <c r="CL298" s="12" t="n"/>
      <c r="CM298" s="12" t="n"/>
      <c r="CN298" s="12" t="n"/>
      <c r="CO298" s="12" t="n"/>
      <c r="CP298" s="12" t="n"/>
      <c r="CQ298" s="12" t="n"/>
      <c r="CR298" s="12" t="n"/>
      <c r="CS298" s="12" t="n"/>
      <c r="CT298" s="12" t="n"/>
      <c r="CU298" s="12" t="n"/>
      <c r="CV298" s="12" t="n"/>
      <c r="CW298" s="12" t="n"/>
      <c r="CX298" s="12" t="n"/>
      <c r="CY298" s="12" t="n"/>
    </row>
    <row r="299">
      <c r="C299" s="14" t="inlineStr">
        <is>
          <t>Comprehensive accumulated loss</t>
        </is>
      </c>
      <c r="D299" s="12" t="n"/>
      <c r="E299" s="12" t="n"/>
      <c r="F299" s="12" t="n"/>
      <c r="G299" s="12" t="n"/>
      <c r="H299" s="12" t="n"/>
      <c r="I299" s="12" t="n"/>
      <c r="J299" s="12">
        <f>J262-I262</f>
        <v>344</v>
      </c>
      <c r="K299" s="12">
        <f>K262-J262</f>
        <v>105</v>
      </c>
      <c r="L299" s="12">
        <f>L262-K262</f>
        <v>-1090</v>
      </c>
      <c r="M299" s="12" t="n"/>
      <c r="N299" s="12">
        <f>N262-M262</f>
        <v>-5567</v>
      </c>
      <c r="O299" s="12">
        <f>O262-N262</f>
        <v>-2803</v>
      </c>
      <c r="P299" s="12">
        <f>P262-O262</f>
        <v>-1812</v>
      </c>
      <c r="Q299" s="12">
        <f>Q262-P262</f>
        <v>-1803</v>
      </c>
      <c r="R299" s="12">
        <f>SUM(N299:Q299)</f>
        <v>-11985</v>
      </c>
      <c r="S299" s="12">
        <f>S262-R262</f>
        <v>1166</v>
      </c>
      <c r="T299" s="12">
        <f>T262-S262</f>
        <v>-55</v>
      </c>
      <c r="U299" s="12">
        <f>U262-T262</f>
        <v>349</v>
      </c>
      <c r="V299" s="12">
        <f>V262-U262</f>
        <v>2074</v>
      </c>
      <c r="W299" s="12">
        <f>SUM(S299:V299)</f>
        <v>3534</v>
      </c>
      <c r="X299" s="12">
        <f>X262-W262</f>
        <v>418</v>
      </c>
      <c r="Y299" s="12">
        <f>Y262-X262</f>
        <v>544</v>
      </c>
      <c r="Z299" s="12">
        <f>Z262-Y262</f>
        <v>1244</v>
      </c>
      <c r="AA299" s="12">
        <f>AA262-Z262</f>
        <v>383</v>
      </c>
      <c r="AB299" s="12">
        <f>SUM(X299:AA299)</f>
        <v>2589</v>
      </c>
      <c r="AC299" s="12">
        <f>AC262-AB262</f>
        <v>426</v>
      </c>
      <c r="AD299" s="12">
        <f>AD262-AC262</f>
        <v>-6</v>
      </c>
      <c r="AE299" s="12">
        <f>AE262-AD262</f>
        <v>798</v>
      </c>
      <c r="AF299" s="12">
        <f>AF262-AE262</f>
        <v>717</v>
      </c>
      <c r="AG299" s="12">
        <f>SUM(AC299:AF299)</f>
        <v>1935</v>
      </c>
      <c r="AH299" s="12">
        <f>AH262-AG262</f>
        <v>-521</v>
      </c>
      <c r="AI299" s="12">
        <f>AI262-AH262</f>
        <v>867</v>
      </c>
      <c r="AJ299" s="12">
        <f>AJ262-AI262</f>
        <v>0</v>
      </c>
      <c r="AK299" s="12">
        <f>AK262-AJ262</f>
        <v>0</v>
      </c>
      <c r="AL299" s="12">
        <f>SUM(AH299:AK299)</f>
        <v>346</v>
      </c>
      <c r="AM299" s="12">
        <f>AM262-AL262</f>
        <v>0</v>
      </c>
      <c r="AN299" s="12">
        <f>AN262-AM262</f>
        <v>0</v>
      </c>
      <c r="AO299" s="12">
        <f>AO262-AN262</f>
        <v>0</v>
      </c>
      <c r="AP299" s="12">
        <f>AP262-AO262</f>
        <v>0</v>
      </c>
      <c r="AQ299" s="12">
        <f>SUM(AM299:AP299)</f>
        <v>0</v>
      </c>
      <c r="AR299" s="12">
        <f>AR262-AQ262</f>
        <v>0</v>
      </c>
      <c r="AS299" s="12">
        <f>AS262-AR262</f>
        <v>0</v>
      </c>
      <c r="AT299" s="12">
        <f>AT262-AS262</f>
        <v>0</v>
      </c>
      <c r="AU299" s="12">
        <f>AU262-AT262</f>
        <v>0</v>
      </c>
      <c r="AV299" s="12">
        <f>SUM(AR299:AU299)</f>
        <v>0</v>
      </c>
      <c r="AW299" s="12">
        <f>AW262-AV262</f>
        <v>0</v>
      </c>
      <c r="AX299" s="12">
        <f>AX262-AW262</f>
        <v>0</v>
      </c>
      <c r="AY299" s="12">
        <f>AY262-AX262</f>
        <v>0</v>
      </c>
      <c r="AZ299" s="12">
        <f>AZ262-AY262</f>
        <v>0</v>
      </c>
      <c r="BA299" s="12">
        <f>SUM(AW299:AZ299)</f>
        <v>0</v>
      </c>
      <c r="BB299" s="12">
        <f>BB262-BA262</f>
        <v>0</v>
      </c>
      <c r="BC299" s="12">
        <f>BC262-BB262</f>
        <v>0</v>
      </c>
      <c r="BD299" s="12">
        <f>BD262-BC262</f>
        <v>0</v>
      </c>
      <c r="BE299" s="12">
        <f>BE262-BD262</f>
        <v>0</v>
      </c>
      <c r="BF299" s="12">
        <f>SUM(BB299:BE299)</f>
        <v>0</v>
      </c>
      <c r="BG299" s="12" t="n"/>
      <c r="BH299" s="12" t="n"/>
      <c r="BI299" s="12" t="n"/>
      <c r="BJ299" s="12" t="n"/>
      <c r="BK299" s="12" t="n"/>
      <c r="BL299" s="12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  <c r="CA299" s="12" t="n"/>
      <c r="CB299" s="12" t="n"/>
      <c r="CC299" s="12" t="n"/>
      <c r="CD299" s="12" t="n"/>
      <c r="CE299" s="12" t="n"/>
      <c r="CF299" s="12" t="n"/>
      <c r="CG299" s="12" t="n"/>
      <c r="CH299" s="12" t="n"/>
      <c r="CI299" s="12" t="n"/>
      <c r="CJ299" s="12" t="n"/>
      <c r="CK299" s="12" t="n"/>
      <c r="CL299" s="12" t="n"/>
      <c r="CM299" s="12" t="n"/>
      <c r="CN299" s="12" t="n"/>
      <c r="CO299" s="12" t="n"/>
      <c r="CP299" s="12" t="n"/>
      <c r="CQ299" s="12" t="n"/>
      <c r="CR299" s="12" t="n"/>
      <c r="CS299" s="12" t="n"/>
      <c r="CT299" s="12" t="n"/>
      <c r="CU299" s="12" t="n"/>
      <c r="CV299" s="12" t="n"/>
      <c r="CW299" s="12" t="n"/>
      <c r="CX299" s="12" t="n"/>
      <c r="CY299" s="12" t="n"/>
    </row>
    <row r="300">
      <c r="C300" s="14" t="inlineStr">
        <is>
          <t>Other equity account</t>
        </is>
      </c>
      <c r="D300" s="12" t="n"/>
      <c r="E300" s="12" t="n"/>
      <c r="F300" s="12" t="n"/>
      <c r="G300" s="12" t="n"/>
      <c r="H300" s="12" t="n"/>
      <c r="I300" s="12" t="n"/>
      <c r="J300" s="12">
        <f>J263-I263</f>
        <v>0</v>
      </c>
      <c r="K300" s="12">
        <f>K263-J263</f>
        <v>0</v>
      </c>
      <c r="L300" s="12">
        <f>L263-K263</f>
        <v>0</v>
      </c>
      <c r="M300" s="12" t="n"/>
      <c r="N300" s="12">
        <f>N263-M263</f>
        <v>0</v>
      </c>
      <c r="O300" s="12">
        <f>O263-N263</f>
        <v>0</v>
      </c>
      <c r="P300" s="12">
        <f>P263-O263</f>
        <v>0</v>
      </c>
      <c r="Q300" s="12">
        <f>Q263-P263</f>
        <v>0</v>
      </c>
      <c r="R300" s="12">
        <f>SUM(N300:Q300)</f>
        <v>0</v>
      </c>
      <c r="S300" s="12">
        <f>S263-R263</f>
        <v>0</v>
      </c>
      <c r="T300" s="12">
        <f>T263-S263</f>
        <v>0</v>
      </c>
      <c r="U300" s="12">
        <f>U263-T263</f>
        <v>0</v>
      </c>
      <c r="V300" s="12">
        <f>V263-U263</f>
        <v>0</v>
      </c>
      <c r="W300" s="12">
        <f>SUM(S300:V300)</f>
        <v>0</v>
      </c>
      <c r="X300" s="12">
        <f>X263-W263</f>
        <v>0</v>
      </c>
      <c r="Y300" s="12">
        <f>Y263-X263</f>
        <v>0</v>
      </c>
      <c r="Z300" s="12">
        <f>Z263-Y263</f>
        <v>0</v>
      </c>
      <c r="AA300" s="12">
        <f>AA263-Z263</f>
        <v>0</v>
      </c>
      <c r="AB300" s="12">
        <f>SUM(X300:AA300)</f>
        <v>0</v>
      </c>
      <c r="AC300" s="12">
        <f>AC263-AB263</f>
        <v>0</v>
      </c>
      <c r="AD300" s="12">
        <f>AD263-AC263</f>
        <v>0</v>
      </c>
      <c r="AE300" s="12">
        <f>AE263-AD263</f>
        <v>0</v>
      </c>
      <c r="AF300" s="12">
        <f>AF263-AE263</f>
        <v>0</v>
      </c>
      <c r="AG300" s="12">
        <f>SUM(AC300:AF300)</f>
        <v>0</v>
      </c>
      <c r="AH300" s="12">
        <f>AH263-AG263</f>
        <v>0</v>
      </c>
      <c r="AI300" s="12">
        <f>AI263-AH263</f>
        <v>0</v>
      </c>
      <c r="AJ300" s="12">
        <f>AJ263-AI263</f>
        <v>0</v>
      </c>
      <c r="AK300" s="12">
        <f>AK263-AJ263</f>
        <v>0</v>
      </c>
      <c r="AL300" s="12">
        <f>SUM(AH300:AK300)</f>
        <v>0</v>
      </c>
      <c r="AM300" s="12">
        <f>AM263-AL263</f>
        <v>0</v>
      </c>
      <c r="AN300" s="12">
        <f>AN263-AM263</f>
        <v>0</v>
      </c>
      <c r="AO300" s="12">
        <f>AO263-AN263</f>
        <v>0</v>
      </c>
      <c r="AP300" s="12">
        <f>AP263-AO263</f>
        <v>0</v>
      </c>
      <c r="AQ300" s="12">
        <f>SUM(AM300:AP300)</f>
        <v>0</v>
      </c>
      <c r="AR300" s="12">
        <f>AR263-AQ263</f>
        <v>0</v>
      </c>
      <c r="AS300" s="12">
        <f>AS263-AR263</f>
        <v>0</v>
      </c>
      <c r="AT300" s="12">
        <f>AT263-AS263</f>
        <v>0</v>
      </c>
      <c r="AU300" s="12">
        <f>AU263-AT263</f>
        <v>0</v>
      </c>
      <c r="AV300" s="12">
        <f>SUM(AR300:AU300)</f>
        <v>0</v>
      </c>
      <c r="AW300" s="12">
        <f>AW263-AV263</f>
        <v>0</v>
      </c>
      <c r="AX300" s="12">
        <f>AX263-AW263</f>
        <v>0</v>
      </c>
      <c r="AY300" s="12">
        <f>AY263-AX263</f>
        <v>0</v>
      </c>
      <c r="AZ300" s="12">
        <f>AZ263-AY263</f>
        <v>0</v>
      </c>
      <c r="BA300" s="12">
        <f>SUM(AW300:AZ300)</f>
        <v>0</v>
      </c>
      <c r="BB300" s="12">
        <f>BB263-BA263</f>
        <v>0</v>
      </c>
      <c r="BC300" s="12">
        <f>BC263-BB263</f>
        <v>0</v>
      </c>
      <c r="BD300" s="12">
        <f>BD263-BC263</f>
        <v>0</v>
      </c>
      <c r="BE300" s="12">
        <f>BE263-BD263</f>
        <v>0</v>
      </c>
      <c r="BF300" s="12">
        <f>SUM(BB300:BE300)</f>
        <v>0</v>
      </c>
      <c r="BG300" s="12" t="n"/>
      <c r="BH300" s="12" t="n"/>
      <c r="BI300" s="12" t="n"/>
      <c r="BJ300" s="12" t="n"/>
      <c r="BK300" s="12" t="n"/>
      <c r="BL300" s="12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  <c r="CA300" s="12" t="n"/>
      <c r="CB300" s="12" t="n"/>
      <c r="CC300" s="12" t="n"/>
      <c r="CD300" s="12" t="n"/>
      <c r="CE300" s="12" t="n"/>
      <c r="CF300" s="12" t="n"/>
      <c r="CG300" s="12" t="n"/>
      <c r="CH300" s="12" t="n"/>
      <c r="CI300" s="12" t="n"/>
      <c r="CJ300" s="12" t="n"/>
      <c r="CK300" s="12" t="n"/>
      <c r="CL300" s="12" t="n"/>
      <c r="CM300" s="12" t="n"/>
      <c r="CN300" s="12" t="n"/>
      <c r="CO300" s="12" t="n"/>
      <c r="CP300" s="12" t="n"/>
      <c r="CQ300" s="12" t="n"/>
      <c r="CR300" s="12" t="n"/>
      <c r="CS300" s="12" t="n"/>
      <c r="CT300" s="12" t="n"/>
      <c r="CU300" s="12" t="n"/>
      <c r="CV300" s="12" t="n"/>
      <c r="CW300" s="12" t="n"/>
      <c r="CX300" s="12" t="n"/>
      <c r="CY300" s="12" t="n"/>
    </row>
    <row r="301">
      <c r="C301" s="10" t="inlineStr">
        <is>
          <t>Common and preferred dividends</t>
        </is>
      </c>
      <c r="D301" s="12" t="n"/>
      <c r="E301" s="12" t="n"/>
      <c r="F301" s="12" t="n"/>
      <c r="G301" s="12" t="n"/>
      <c r="H301" s="12" t="n"/>
      <c r="I301" s="12" t="n"/>
      <c r="J301" s="12">
        <f>(J264-I264)-J271</f>
        <v>-27772</v>
      </c>
      <c r="K301" s="12">
        <f>(K264-J264)-K271</f>
        <v>-24222</v>
      </c>
      <c r="L301" s="12">
        <f>(L264-K264)-L271</f>
        <v>-25757</v>
      </c>
      <c r="M301" s="12" t="n"/>
      <c r="N301" s="12">
        <f>(N264-M264)-N271</f>
        <v>-26733</v>
      </c>
      <c r="O301" s="12">
        <f>(O264-N264)-O271</f>
        <v>-26865</v>
      </c>
      <c r="P301" s="12">
        <f>(P264-O264)-P271</f>
        <v>-29078</v>
      </c>
      <c r="Q301" s="12">
        <f>(Q264-P264)-Q271</f>
        <v>-23690</v>
      </c>
      <c r="R301" s="12">
        <f>SUM(N301:Q301)</f>
        <v>-106366</v>
      </c>
      <c r="S301" s="12">
        <f>(S264-R264)-S271</f>
        <v>-23064</v>
      </c>
      <c r="T301" s="12">
        <f>(T264-S264)-T271</f>
        <v>-22809</v>
      </c>
      <c r="U301" s="12">
        <f>(U264-T264)-U271</f>
        <v>-24578</v>
      </c>
      <c r="V301" s="12">
        <f>(V264-U264)-V271</f>
        <v>-25460</v>
      </c>
      <c r="W301" s="12">
        <f>SUM(S301:V301)</f>
        <v>-95911</v>
      </c>
      <c r="X301" s="12">
        <f>(X264-W264)-X271</f>
        <v>-27539</v>
      </c>
      <c r="Y301" s="12">
        <f>(Y264-X264)-Y271</f>
        <v>-30513</v>
      </c>
      <c r="Z301" s="12">
        <f>(Z264-Y264)-Z271</f>
        <v>-29164</v>
      </c>
      <c r="AA301" s="12">
        <f>(AA264-Z264)-AA271</f>
        <v>-28397</v>
      </c>
      <c r="AB301" s="12">
        <f>SUM(X301:AA301)</f>
        <v>-115613</v>
      </c>
      <c r="AC301" s="12">
        <f>(AC264-AB264)-AC271</f>
        <v>-29111</v>
      </c>
      <c r="AD301" s="12">
        <f>(AD264-AC264)-AD271</f>
        <v>-25489</v>
      </c>
      <c r="AE301" s="12">
        <f>(AE264-AD264)-AE271</f>
        <v>-24123</v>
      </c>
      <c r="AF301" s="12">
        <f>(AF264-AE264)-AF271</f>
        <v>-30010</v>
      </c>
      <c r="AG301" s="12">
        <f>SUM(AC301:AF301)</f>
        <v>-108733</v>
      </c>
      <c r="AH301" s="12">
        <f>(AH264-AG264)-AH271</f>
        <v>-15042</v>
      </c>
      <c r="AI301" s="12">
        <f>(AI264-AH264)-AI271</f>
        <v>-30822</v>
      </c>
      <c r="AJ301" s="12">
        <f>(AJ264-AI264)-AJ271</f>
        <v>0</v>
      </c>
      <c r="AK301" s="12">
        <f>(AK264-AJ264)-AK271</f>
        <v>0</v>
      </c>
      <c r="AL301" s="12">
        <f>SUM(AH301:AK301)</f>
        <v>-45864</v>
      </c>
      <c r="AM301" s="12">
        <f>(AM264-AL264)-AM271</f>
        <v>0</v>
      </c>
      <c r="AN301" s="12">
        <f>(AN264-AM264)-AN271</f>
        <v>0</v>
      </c>
      <c r="AO301" s="12">
        <f>(AO264-AN264)-AO271</f>
        <v>0</v>
      </c>
      <c r="AP301" s="12">
        <f>(AP264-AO264)-AP271</f>
        <v>0</v>
      </c>
      <c r="AQ301" s="12">
        <f>SUM(AM301:AP301)</f>
        <v>0</v>
      </c>
      <c r="AR301" s="12">
        <f>(AR264-AQ264)-AR271</f>
        <v>0</v>
      </c>
      <c r="AS301" s="12">
        <f>(AS264-AR264)-AS271</f>
        <v>0</v>
      </c>
      <c r="AT301" s="12">
        <f>(AT264-AS264)-AT271</f>
        <v>0</v>
      </c>
      <c r="AU301" s="12">
        <f>(AU264-AT264)-AU271</f>
        <v>0</v>
      </c>
      <c r="AV301" s="12">
        <f>SUM(AR301:AU301)</f>
        <v>0</v>
      </c>
      <c r="AW301" s="12">
        <f>(AW264-AV264)-AW271</f>
        <v>0</v>
      </c>
      <c r="AX301" s="12">
        <f>(AX264-AW264)-AX271</f>
        <v>0</v>
      </c>
      <c r="AY301" s="12">
        <f>(AY264-AX264)-AY271</f>
        <v>0</v>
      </c>
      <c r="AZ301" s="12">
        <f>(AZ264-AY264)-AZ271</f>
        <v>0</v>
      </c>
      <c r="BA301" s="12">
        <f>SUM(AW301:AZ301)</f>
        <v>0</v>
      </c>
      <c r="BB301" s="12">
        <f>(BB264-BA264)-BB271</f>
        <v>0</v>
      </c>
      <c r="BC301" s="12">
        <f>(BC264-BB264)-BC271</f>
        <v>0</v>
      </c>
      <c r="BD301" s="12">
        <f>(BD264-BC264)-BD271</f>
        <v>0</v>
      </c>
      <c r="BE301" s="12">
        <f>(BE264-BD264)-BE271</f>
        <v>0</v>
      </c>
      <c r="BF301" s="12">
        <f>SUM(BB301:BE301)</f>
        <v>0</v>
      </c>
      <c r="BG301" s="12" t="n"/>
      <c r="BH301" s="12" t="n"/>
      <c r="BI301" s="12" t="n"/>
      <c r="BJ301" s="12" t="n"/>
      <c r="BK301" s="12" t="n"/>
      <c r="BL301" s="12" t="n"/>
      <c r="BM301" s="12" t="n"/>
      <c r="BN301" s="12" t="n"/>
      <c r="BO301" s="12" t="n"/>
      <c r="BP301" s="12" t="n"/>
      <c r="BQ301" s="12" t="n"/>
      <c r="BR301" s="12" t="n"/>
      <c r="BS301" s="12" t="n"/>
      <c r="BT301" s="12" t="n"/>
      <c r="BU301" s="12" t="n"/>
      <c r="BV301" s="12" t="n"/>
      <c r="BW301" s="12" t="n"/>
      <c r="BX301" s="12" t="n"/>
      <c r="BY301" s="12" t="n"/>
      <c r="BZ301" s="12" t="n"/>
      <c r="CA301" s="12" t="n"/>
      <c r="CB301" s="12" t="n"/>
      <c r="CC301" s="12" t="n"/>
      <c r="CD301" s="12" t="n"/>
      <c r="CE301" s="12" t="n"/>
      <c r="CF301" s="12" t="n"/>
      <c r="CG301" s="12" t="n"/>
      <c r="CH301" s="12" t="n"/>
      <c r="CI301" s="12" t="n"/>
      <c r="CJ301" s="12" t="n"/>
      <c r="CK301" s="12" t="n"/>
      <c r="CL301" s="12" t="n"/>
      <c r="CM301" s="12" t="n"/>
      <c r="CN301" s="12" t="n"/>
      <c r="CO301" s="12" t="n"/>
      <c r="CP301" s="12" t="n"/>
      <c r="CQ301" s="12" t="n"/>
      <c r="CR301" s="12" t="n"/>
      <c r="CS301" s="12" t="n"/>
      <c r="CT301" s="12" t="n"/>
      <c r="CU301" s="12" t="n"/>
      <c r="CV301" s="12" t="n"/>
      <c r="CW301" s="12" t="n"/>
      <c r="CX301" s="12" t="n"/>
      <c r="CY301" s="12" t="n"/>
    </row>
    <row r="302">
      <c r="C302" s="14" t="inlineStr">
        <is>
          <t>Dividends to minority interests</t>
        </is>
      </c>
      <c r="D302" s="12" t="n"/>
      <c r="E302" s="12" t="n"/>
      <c r="F302" s="12" t="n"/>
      <c r="G302" s="12" t="n"/>
      <c r="H302" s="12" t="n"/>
      <c r="I302" s="12" t="n"/>
      <c r="J302" s="12">
        <f>(J242-I242)+J130</f>
        <v>0</v>
      </c>
      <c r="K302" s="12">
        <f>(K242-J242)+K130</f>
        <v>0</v>
      </c>
      <c r="L302" s="12">
        <f>(L242-K242)+L130</f>
        <v>0</v>
      </c>
      <c r="M302" s="12" t="n"/>
      <c r="N302" s="12">
        <f>(N242-M242)+N130</f>
        <v>0</v>
      </c>
      <c r="O302" s="12">
        <f>(O242-N242)+O130</f>
        <v>0</v>
      </c>
      <c r="P302" s="12">
        <f>(P242-O242)+P130</f>
        <v>0</v>
      </c>
      <c r="Q302" s="12">
        <f>(Q242-P242)+Q130</f>
        <v>0</v>
      </c>
      <c r="R302" s="12">
        <f>SUM(N302:Q302)</f>
        <v>0</v>
      </c>
      <c r="S302" s="12">
        <f>(S242-R242)+S130</f>
        <v>0</v>
      </c>
      <c r="T302" s="12">
        <f>(T242-S242)+T130</f>
        <v>0</v>
      </c>
      <c r="U302" s="12">
        <f>(U242-T242)+U130</f>
        <v>0</v>
      </c>
      <c r="V302" s="12">
        <f>(V242-U242)+V130</f>
        <v>0</v>
      </c>
      <c r="W302" s="12">
        <f>SUM(S302:V302)</f>
        <v>0</v>
      </c>
      <c r="X302" s="12">
        <f>(X242-W242)+X130</f>
        <v>0</v>
      </c>
      <c r="Y302" s="12">
        <f>(Y242-X242)+Y130</f>
        <v>0</v>
      </c>
      <c r="Z302" s="12">
        <f>(Z242-Y242)+Z130</f>
        <v>0</v>
      </c>
      <c r="AA302" s="12">
        <f>(AA242-Z242)+AA130</f>
        <v>0</v>
      </c>
      <c r="AB302" s="12">
        <f>SUM(X302:AA302)</f>
        <v>0</v>
      </c>
      <c r="AC302" s="12">
        <f>(AC242-AB242)+AC130</f>
        <v>0</v>
      </c>
      <c r="AD302" s="12">
        <f>(AD242-AC242)+AD130</f>
        <v>0</v>
      </c>
      <c r="AE302" s="12">
        <f>(AE242-AD242)+AE130</f>
        <v>0</v>
      </c>
      <c r="AF302" s="12">
        <f>(AF242-AE242)+AF130</f>
        <v>0</v>
      </c>
      <c r="AG302" s="12">
        <f>SUM(AC302:AF302)</f>
        <v>0</v>
      </c>
      <c r="AH302" s="12">
        <f>(AH242-AG242)+AH130</f>
        <v>0</v>
      </c>
      <c r="AI302" s="12">
        <f>(AI242-AH242)+AI130</f>
        <v>0</v>
      </c>
      <c r="AJ302" s="12">
        <f>(AJ242-AI242)+AJ130</f>
        <v>0</v>
      </c>
      <c r="AK302" s="12">
        <f>(AK242-AJ242)+AK130</f>
        <v>0</v>
      </c>
      <c r="AL302" s="12">
        <f>SUM(AH302:AK302)</f>
        <v>0</v>
      </c>
      <c r="AM302" s="12">
        <f>(AM242-AL242)+AM130</f>
        <v>0</v>
      </c>
      <c r="AN302" s="12">
        <f>(AN242-AM242)+AN130</f>
        <v>0</v>
      </c>
      <c r="AO302" s="12">
        <f>(AO242-AN242)+AO130</f>
        <v>0</v>
      </c>
      <c r="AP302" s="12">
        <f>(AP242-AO242)+AP130</f>
        <v>0</v>
      </c>
      <c r="AQ302" s="12">
        <f>SUM(AM302:AP302)</f>
        <v>0</v>
      </c>
      <c r="AR302" s="12">
        <f>(AR242-AQ242)+AR130</f>
        <v>0</v>
      </c>
      <c r="AS302" s="12">
        <f>(AS242-AR242)+AS130</f>
        <v>0</v>
      </c>
      <c r="AT302" s="12">
        <f>(AT242-AS242)+AT130</f>
        <v>0</v>
      </c>
      <c r="AU302" s="12">
        <f>(AU242-AT242)+AU130</f>
        <v>0</v>
      </c>
      <c r="AV302" s="12">
        <f>SUM(AR302:AU302)</f>
        <v>0</v>
      </c>
      <c r="AW302" s="12">
        <f>(AW242-AV242)+AW130</f>
        <v>0</v>
      </c>
      <c r="AX302" s="12">
        <f>(AX242-AW242)+AX130</f>
        <v>0</v>
      </c>
      <c r="AY302" s="12">
        <f>(AY242-AX242)+AY130</f>
        <v>0</v>
      </c>
      <c r="AZ302" s="12">
        <f>(AZ242-AY242)+AZ130</f>
        <v>0</v>
      </c>
      <c r="BA302" s="12">
        <f>SUM(AW302:AZ302)</f>
        <v>0</v>
      </c>
      <c r="BB302" s="12">
        <f>(BB242-BA242)+BB130</f>
        <v>0</v>
      </c>
      <c r="BC302" s="12">
        <f>(BC242-BB242)+BC130</f>
        <v>0</v>
      </c>
      <c r="BD302" s="12">
        <f>(BD242-BC242)+BD130</f>
        <v>0</v>
      </c>
      <c r="BE302" s="12">
        <f>(BE242-BD242)+BE130</f>
        <v>0</v>
      </c>
      <c r="BF302" s="12">
        <f>SUM(BB302:BE302)</f>
        <v>0</v>
      </c>
      <c r="BG302" s="12" t="n"/>
      <c r="BH302" s="12" t="n"/>
      <c r="BI302" s="12" t="n"/>
      <c r="BJ302" s="12" t="n"/>
      <c r="BK302" s="12" t="n"/>
      <c r="BL302" s="12" t="n"/>
      <c r="BM302" s="12" t="n"/>
      <c r="BN302" s="12" t="n"/>
      <c r="BO302" s="12" t="n"/>
      <c r="BP302" s="12" t="n"/>
      <c r="BQ302" s="12" t="n"/>
      <c r="BR302" s="12" t="n"/>
      <c r="BS302" s="12" t="n"/>
      <c r="BT302" s="12" t="n"/>
      <c r="BU302" s="12" t="n"/>
      <c r="BV302" s="12" t="n"/>
      <c r="BW302" s="12" t="n"/>
      <c r="BX302" s="12" t="n"/>
      <c r="BY302" s="12" t="n"/>
      <c r="BZ302" s="12" t="n"/>
      <c r="CA302" s="12" t="n"/>
      <c r="CB302" s="12" t="n"/>
      <c r="CC302" s="12" t="n"/>
      <c r="CD302" s="12" t="n"/>
      <c r="CE302" s="12" t="n"/>
      <c r="CF302" s="12" t="n"/>
      <c r="CG302" s="12" t="n"/>
      <c r="CH302" s="12" t="n"/>
      <c r="CI302" s="12" t="n"/>
      <c r="CJ302" s="12" t="n"/>
      <c r="CK302" s="12" t="n"/>
      <c r="CL302" s="12" t="n"/>
      <c r="CM302" s="12" t="n"/>
      <c r="CN302" s="12" t="n"/>
      <c r="CO302" s="12" t="n"/>
      <c r="CP302" s="12" t="n"/>
      <c r="CQ302" s="12" t="n"/>
      <c r="CR302" s="12" t="n"/>
      <c r="CS302" s="12" t="n"/>
      <c r="CT302" s="12" t="n"/>
      <c r="CU302" s="12" t="n"/>
      <c r="CV302" s="12" t="n"/>
      <c r="CW302" s="12" t="n"/>
      <c r="CX302" s="12" t="n"/>
      <c r="CY302" s="12" t="n"/>
    </row>
    <row r="303">
      <c r="C303" s="15" t="inlineStr">
        <is>
          <t>Increases / (decreases) in debt</t>
        </is>
      </c>
      <c r="D303" s="12" t="n"/>
      <c r="E303" s="12" t="n"/>
      <c r="F303" s="12" t="n"/>
      <c r="G303" s="12" t="n"/>
      <c r="H303" s="12" t="n"/>
      <c r="I303" s="12" t="n"/>
      <c r="J303" s="12">
        <f>SUM(J206:J208,J211,J232,J229)-SUM(I206:I208,I211,I232,I229)</f>
        <v>146</v>
      </c>
      <c r="K303" s="12">
        <f>SUM(K206:K208,K211,K232,K229)-SUM(J206:J208,J211,J232,J229)</f>
        <v>2928</v>
      </c>
      <c r="L303" s="12">
        <f>SUM(L206:L208,L211,L232,L229)-SUM(K206:K208,K211,K232,K229)</f>
        <v>-1921</v>
      </c>
      <c r="M303" s="12" t="n"/>
      <c r="N303" s="12">
        <f>SUM(N206:N208,N211,N232,N229)-SUM(M206:M208,M211,M232,M229)</f>
        <v>-2817</v>
      </c>
      <c r="O303" s="12">
        <f>SUM(O206:O208,O211,O232,O229)-SUM(N206:N208,N211,N232,N229)</f>
        <v>-290</v>
      </c>
      <c r="P303" s="12">
        <f>SUM(P206:P208,P211,P232,P229)-SUM(O206:O208,O211,O232,O229)</f>
        <v>378</v>
      </c>
      <c r="Q303" s="12">
        <f>SUM(Q206:Q208,Q211,Q232,Q229)-SUM(P206:P208,P211,P232,P229)</f>
        <v>-8959</v>
      </c>
      <c r="R303" s="12">
        <f>SUM(N303:Q303)</f>
        <v>-11688</v>
      </c>
      <c r="S303" s="12">
        <f>SUM(S206:S208,S211,S232,S229)-SUM(R206:R208,R211,R232,R229)</f>
        <v>-1495</v>
      </c>
      <c r="T303" s="12">
        <f>SUM(T206:T208,T211,T232,T229)-SUM(S206:S208,S211,S232,S229)</f>
        <v>-335</v>
      </c>
      <c r="U303" s="12">
        <f>SUM(U206:U208,U211,U232,U229)-SUM(T206:T208,T211,T232,T229)</f>
        <v>1808</v>
      </c>
      <c r="V303" s="12">
        <f>SUM(V206:V208,V211,V232,V229)-SUM(U206:U208,U211,U232,U229)</f>
        <v>-3048</v>
      </c>
      <c r="W303" s="12">
        <f>SUM(S303:V303)</f>
        <v>-3070</v>
      </c>
      <c r="X303" s="12">
        <f>SUM(X206:X208,X211,X232,X229)-SUM(W206:W208,W211,W232,W229)</f>
        <v>-3450</v>
      </c>
      <c r="Y303" s="12">
        <f>SUM(Y206:Y208,Y211,Y232,Y229)-SUM(X206:X208,X211,X232,X229)</f>
        <v>-3286</v>
      </c>
      <c r="Z303" s="12">
        <f>SUM(Z206:Z208,Z211,Z232,Z229)-SUM(Y206:Y208,Y211,Y232,Y229)</f>
        <v>5325</v>
      </c>
      <c r="AA303" s="12">
        <f>SUM(AA206:AA208,AA211,AA232,AA229)-SUM(Z206:Z208,Z211,Z232,Z229)</f>
        <v>-9830</v>
      </c>
      <c r="AB303" s="12">
        <f>SUM(X303:AA303)</f>
        <v>-11241</v>
      </c>
      <c r="AC303" s="12">
        <f>SUM(AC206:AC208,AC211,AC232,AC229)-SUM(AB206:AB208,AB211,AB232,AB229)</f>
        <v>1387</v>
      </c>
      <c r="AD303" s="12">
        <f>SUM(AD206:AD208,AD211,AD232,AD229)-SUM(AC206:AC208,AC211,AC232,AC229)</f>
        <v>3512</v>
      </c>
      <c r="AE303" s="12">
        <f>SUM(AE206:AE208,AE211,AE232,AE229)-SUM(AD206:AD208,AD211,AD232,AD229)</f>
        <v>-3041</v>
      </c>
      <c r="AF303" s="12">
        <f>SUM(AF206:AF208,AF211,AF232,AF229)-SUM(AE206:AE208,AE211,AE232,AE229)</f>
        <v>-8148</v>
      </c>
      <c r="AG303" s="12">
        <f>SUM(AC303:AF303)</f>
        <v>-6290</v>
      </c>
      <c r="AH303" s="12">
        <f>SUM(AH206:AH208,AH211,AH232,AH229)-SUM(AG206:AG208,AG211,AG232,AG229)</f>
        <v>-5798</v>
      </c>
      <c r="AI303" s="12">
        <f>SUM(AI206:AI208,AI211,AI232,AI229)-SUM(AH206:AH208,AH211,AH232,AH229)</f>
        <v>-367</v>
      </c>
      <c r="AJ303" s="12">
        <f>SUM(AJ206:AJ208,AJ211,AJ232,AJ229)-SUM(AI206:AI208,AI211,AI232,AI229)</f>
        <v>0</v>
      </c>
      <c r="AK303" s="12">
        <f>SUM(AK206:AK208,AK211,AK232,AK229)-SUM(AJ206:AJ208,AJ211,AJ232,AJ229)</f>
        <v>0</v>
      </c>
      <c r="AL303" s="12">
        <f>SUM(AH303:AK303)</f>
        <v>-6165</v>
      </c>
      <c r="AM303" s="12">
        <f>SUM(AM206:AM208,AM211,AM232,AM229)-SUM(AL206:AL208,AL211,AL232,AL229)</f>
        <v>0</v>
      </c>
      <c r="AN303" s="12">
        <f>SUM(AN206:AN208,AN211,AN232,AN229)-SUM(AM206:AM208,AM211,AM232,AM229)</f>
        <v>0</v>
      </c>
      <c r="AO303" s="12">
        <f>SUM(AO206:AO208,AO211,AO232,AO229)-SUM(AN206:AN208,AN211,AN232,AN229)</f>
        <v>0</v>
      </c>
      <c r="AP303" s="12">
        <f>SUM(AP206:AP208,AP211,AP232,AP229)-SUM(AO206:AO208,AO211,AO232,AO229)</f>
        <v>0</v>
      </c>
      <c r="AQ303" s="12">
        <f>SUM(AM303:AP303)</f>
        <v>0</v>
      </c>
      <c r="AR303" s="12">
        <f>SUM(AR206:AR208,AR211,AR232,AR229)-SUM(AQ206:AQ208,AQ211,AQ232,AQ229)</f>
        <v>0</v>
      </c>
      <c r="AS303" s="12">
        <f>SUM(AS206:AS208,AS211,AS232,AS229)-SUM(AR206:AR208,AR211,AR232,AR229)</f>
        <v>0</v>
      </c>
      <c r="AT303" s="12">
        <f>SUM(AT206:AT208,AT211,AT232,AT229)-SUM(AS206:AS208,AS211,AS232,AS229)</f>
        <v>0</v>
      </c>
      <c r="AU303" s="12">
        <f>SUM(AU206:AU208,AU211,AU232,AU229)-SUM(AT206:AT208,AT211,AT232,AT229)</f>
        <v>0</v>
      </c>
      <c r="AV303" s="12">
        <f>SUM(AR303:AU303)</f>
        <v>0</v>
      </c>
      <c r="AW303" s="12">
        <f>SUM(AW206:AW208,AW211,AW232,AW229)-SUM(AV206:AV208,AV211,AV232,AV229)</f>
        <v>0</v>
      </c>
      <c r="AX303" s="12">
        <f>SUM(AX206:AX208,AX211,AX232,AX229)-SUM(AW206:AW208,AW211,AW232,AW229)</f>
        <v>0</v>
      </c>
      <c r="AY303" s="12">
        <f>SUM(AY206:AY208,AY211,AY232,AY229)-SUM(AX206:AX208,AX211,AX232,AX229)</f>
        <v>0</v>
      </c>
      <c r="AZ303" s="12">
        <f>SUM(AZ206:AZ208,AZ211,AZ232,AZ229)-SUM(AY206:AY208,AY211,AY232,AY229)</f>
        <v>0</v>
      </c>
      <c r="BA303" s="12">
        <f>SUM(AW303:AZ303)</f>
        <v>0</v>
      </c>
      <c r="BB303" s="12">
        <f>SUM(BB206:BB208,BB211,BB232,BB229)-SUM(BA206:BA208,BA211,BA232,BA229)</f>
        <v>0</v>
      </c>
      <c r="BC303" s="12">
        <f>SUM(BC206:BC208,BC211,BC232,BC229)-SUM(BB206:BB208,BB211,BB232,BB229)</f>
        <v>0</v>
      </c>
      <c r="BD303" s="12">
        <f>SUM(BD206:BD208,BD211,BD232,BD229)-SUM(BC206:BC208,BC211,BC232,BC229)</f>
        <v>0</v>
      </c>
      <c r="BE303" s="12">
        <f>SUM(BE206:BE208,BE211,BE232,BE229)-SUM(BD206:BD208,BD211,BD232,BD229)</f>
        <v>0</v>
      </c>
      <c r="BF303" s="12">
        <f>SUM(BB303:BE303)</f>
        <v>0</v>
      </c>
      <c r="BG303" s="12" t="n"/>
      <c r="BH303" s="12" t="n"/>
      <c r="BI303" s="12" t="n"/>
      <c r="BJ303" s="12" t="n"/>
      <c r="BK303" s="12" t="n"/>
      <c r="BL303" s="12" t="n"/>
      <c r="BM303" s="12" t="n"/>
      <c r="BN303" s="12" t="n"/>
      <c r="BO303" s="12" t="n"/>
      <c r="BP303" s="12" t="n"/>
      <c r="BQ303" s="12" t="n"/>
      <c r="BR303" s="12" t="n"/>
      <c r="BS303" s="12" t="n"/>
      <c r="BT303" s="12" t="n"/>
      <c r="BU303" s="12" t="n"/>
      <c r="BV303" s="12" t="n"/>
      <c r="BW303" s="12" t="n"/>
      <c r="BX303" s="12" t="n"/>
      <c r="BY303" s="12" t="n"/>
      <c r="BZ303" s="12" t="n"/>
      <c r="CA303" s="12" t="n"/>
      <c r="CB303" s="12" t="n"/>
      <c r="CC303" s="12" t="n"/>
      <c r="CD303" s="12" t="n"/>
      <c r="CE303" s="12" t="n"/>
      <c r="CF303" s="12" t="n"/>
      <c r="CG303" s="12" t="n"/>
      <c r="CH303" s="12" t="n"/>
      <c r="CI303" s="12" t="n"/>
      <c r="CJ303" s="12" t="n"/>
      <c r="CK303" s="12" t="n"/>
      <c r="CL303" s="12" t="n"/>
      <c r="CM303" s="12" t="n"/>
      <c r="CN303" s="12" t="n"/>
      <c r="CO303" s="12" t="n"/>
      <c r="CP303" s="12" t="n"/>
      <c r="CQ303" s="12" t="n"/>
      <c r="CR303" s="12" t="n"/>
      <c r="CS303" s="12" t="n"/>
      <c r="CT303" s="12" t="n"/>
      <c r="CU303" s="12" t="n"/>
      <c r="CV303" s="12" t="n"/>
      <c r="CW303" s="12" t="n"/>
      <c r="CX303" s="12" t="n"/>
      <c r="CY303" s="12" t="n"/>
      <c r="CZ303" s="12" t="n"/>
      <c r="DA303" s="12" t="n"/>
      <c r="DB303" s="12" t="n"/>
      <c r="DC303" s="12" t="n"/>
    </row>
    <row r="304">
      <c r="C304" s="14" t="inlineStr">
        <is>
          <t>Cash from financing</t>
        </is>
      </c>
      <c r="D304" s="12" t="n"/>
      <c r="E304" s="12" t="n"/>
      <c r="F304" s="12" t="n"/>
      <c r="G304" s="12" t="n"/>
      <c r="H304" s="12" t="n"/>
      <c r="I304" s="12" t="n"/>
      <c r="J304" s="12">
        <f>SUM(J296,J297,J298,J299,J300,J301,J302,J303)</f>
        <v>-26496</v>
      </c>
      <c r="K304" s="12">
        <f>SUM(K296,K297,K298,K299,K300,K301,K302,K303)</f>
        <v>-18813</v>
      </c>
      <c r="L304" s="12">
        <f>SUM(L296,L297,L298,L299,L300,L301,L302,L303)</f>
        <v>-27709</v>
      </c>
      <c r="M304" s="12" t="n"/>
      <c r="N304" s="12">
        <f>SUM(N296,N297,N298,N299,N300,N301,N302,N303)</f>
        <v>-32360</v>
      </c>
      <c r="O304" s="12">
        <f>SUM(O296,O297,O298,O299,O300,O301,O302,O303)</f>
        <v>-29024</v>
      </c>
      <c r="P304" s="12">
        <f>SUM(P296,P297,P298,P299,P300,P301,P302,P303)</f>
        <v>-27778</v>
      </c>
      <c r="Q304" s="12">
        <f>SUM(Q296,Q297,Q298,Q299,Q300,Q301,Q302,Q303)</f>
        <v>-32902</v>
      </c>
      <c r="R304" s="12">
        <f>SUM(R296,R297,R298,R299,R300,R301,R302,R303)</f>
        <v>-122064</v>
      </c>
      <c r="S304" s="12">
        <f>SUM(S296,S297,S298,S299,S300,S301,S302,S303)</f>
        <v>-20224</v>
      </c>
      <c r="T304" s="12">
        <f>SUM(T296,T297,T298,T299,T300,T301,T302,T303)</f>
        <v>-22100</v>
      </c>
      <c r="U304" s="12">
        <f>SUM(U296,U297,U298,U299,U300,U301,U302,U303)</f>
        <v>-19276</v>
      </c>
      <c r="V304" s="12">
        <f>SUM(V296,V297,V298,V299,V300,V301,V302,V303)</f>
        <v>-25010</v>
      </c>
      <c r="W304" s="12">
        <f>SUM(W296,W297,W298,W299,W300,W301,W302,W303)</f>
        <v>-86610</v>
      </c>
      <c r="X304" s="12">
        <f>SUM(X296,X297,X298,X299,X300,X301,X302,X303)</f>
        <v>-26992</v>
      </c>
      <c r="Y304" s="12">
        <f>SUM(Y296,Y297,Y298,Y299,Y300,Y301,Y302,Y303)</f>
        <v>-32220</v>
      </c>
      <c r="Z304" s="12">
        <f>SUM(Z296,Z297,Z298,Z299,Z300,Z301,Z302,Z303)</f>
        <v>-19169</v>
      </c>
      <c r="AA304" s="12">
        <f>SUM(AA296,AA297,AA298,AA299,AA300,AA301,AA302,AA303)</f>
        <v>-36352</v>
      </c>
      <c r="AB304" s="12">
        <f>SUM(AB296,AB297,AB298,AB299,AB300,AB301,AB302,AB303)</f>
        <v>-114733</v>
      </c>
      <c r="AC304" s="12">
        <f>SUM(AC296,AC297,AC298,AC299,AC300,AC301,AC302,AC303)</f>
        <v>-23355</v>
      </c>
      <c r="AD304" s="12">
        <f>SUM(AD296,AD297,AD298,AD299,AD300,AD301,AD302,AD303)</f>
        <v>-20888</v>
      </c>
      <c r="AE304" s="12">
        <f>SUM(AE296,AE297,AE298,AE299,AE300,AE301,AE302,AE303)</f>
        <v>-22604</v>
      </c>
      <c r="AF304" s="12">
        <f>SUM(AF296,AF297,AF298,AF299,AF300,AF301,AF302,AF303)</f>
        <v>-35788</v>
      </c>
      <c r="AG304" s="12">
        <f>SUM(AG296,AG297,AG298,AG299,AG300,AG301,AG302,AG303)</f>
        <v>-102635</v>
      </c>
      <c r="AH304" s="12">
        <f>SUM(AH296,AH297,AH298,AH299,AH300,AH301,AH302,AH303)</f>
        <v>-17075</v>
      </c>
      <c r="AI304" s="12">
        <f>SUM(AI296,AI297,AI298,AI299,AI300,AI301,AI302,AI303)</f>
        <v>-29127</v>
      </c>
      <c r="AJ304" s="12">
        <f>SUM(AJ296,AJ297,AJ298,AJ299,AJ300,AJ301,AJ302,AJ303)</f>
        <v>0</v>
      </c>
      <c r="AK304" s="12">
        <f>SUM(AK296,AK297,AK298,AK299,AK300,AK301,AK302,AK303)</f>
        <v>0</v>
      </c>
      <c r="AL304" s="12">
        <f>SUM(AL296,AL297,AL298,AL299,AL300,AL301,AL302,AL303)</f>
        <v>-46202</v>
      </c>
      <c r="AM304" s="12">
        <f>SUM(AM296,AM297,AM298,AM299,AM300,AM301,AM302,AM303)</f>
        <v>0</v>
      </c>
      <c r="AN304" s="12">
        <f>SUM(AN296,AN297,AN298,AN299,AN300,AN301,AN302,AN303)</f>
        <v>0</v>
      </c>
      <c r="AO304" s="12">
        <f>SUM(AO296,AO297,AO298,AO299,AO300,AO301,AO302,AO303)</f>
        <v>0</v>
      </c>
      <c r="AP304" s="12">
        <f>SUM(AP296,AP297,AP298,AP299,AP300,AP301,AP302,AP303)</f>
        <v>0</v>
      </c>
      <c r="AQ304" s="12">
        <f>SUM(AQ296,AQ297,AQ298,AQ299,AQ300,AQ301,AQ302,AQ303)</f>
        <v>0</v>
      </c>
      <c r="AR304" s="12">
        <f>SUM(AR296,AR297,AR298,AR299,AR300,AR301,AR302,AR303)</f>
        <v>0</v>
      </c>
      <c r="AS304" s="12">
        <f>SUM(AS296,AS297,AS298,AS299,AS300,AS301,AS302,AS303)</f>
        <v>0</v>
      </c>
      <c r="AT304" s="12">
        <f>SUM(AT296,AT297,AT298,AT299,AT300,AT301,AT302,AT303)</f>
        <v>0</v>
      </c>
      <c r="AU304" s="12">
        <f>SUM(AU296,AU297,AU298,AU299,AU300,AU301,AU302,AU303)</f>
        <v>0</v>
      </c>
      <c r="AV304" s="12">
        <f>SUM(AV296,AV297,AV298,AV299,AV300,AV301,AV302,AV303)</f>
        <v>0</v>
      </c>
      <c r="AW304" s="12">
        <f>SUM(AW296,AW297,AW298,AW299,AW300,AW301,AW302,AW303)</f>
        <v>0</v>
      </c>
      <c r="AX304" s="12">
        <f>SUM(AX296,AX297,AX298,AX299,AX300,AX301,AX302,AX303)</f>
        <v>0</v>
      </c>
      <c r="AY304" s="12">
        <f>SUM(AY296,AY297,AY298,AY299,AY300,AY301,AY302,AY303)</f>
        <v>0</v>
      </c>
      <c r="AZ304" s="12">
        <f>SUM(AZ296,AZ297,AZ298,AZ299,AZ300,AZ301,AZ302,AZ303)</f>
        <v>0</v>
      </c>
      <c r="BA304" s="12">
        <f>SUM(BA296,BA297,BA298,BA299,BA300,BA301,BA302,BA303)</f>
        <v>0</v>
      </c>
      <c r="BB304" s="12">
        <f>SUM(BB296,BB297,BB298,BB299,BB300,BB301,BB302,BB303)</f>
        <v>0</v>
      </c>
      <c r="BC304" s="12">
        <f>SUM(BC296,BC297,BC298,BC299,BC300,BC301,BC302,BC303)</f>
        <v>0</v>
      </c>
      <c r="BD304" s="12">
        <f>SUM(BD296,BD297,BD298,BD299,BD300,BD301,BD302,BD303)</f>
        <v>0</v>
      </c>
      <c r="BE304" s="12">
        <f>SUM(BE296,BE297,BE298,BE299,BE300,BE301,BE302,BE303)</f>
        <v>0</v>
      </c>
      <c r="BF304" s="12">
        <f>SUM(BF296,BF297,BF298,BF299,BF300,BF301,BF302,BF303)</f>
        <v>0</v>
      </c>
      <c r="BG304" s="12" t="n"/>
      <c r="BH304" s="12" t="n"/>
      <c r="BI304" s="12" t="n"/>
      <c r="BJ304" s="12" t="n"/>
      <c r="BK304" s="12" t="n"/>
      <c r="BL304" s="12" t="n"/>
      <c r="BM304" s="12" t="n"/>
      <c r="BN304" s="12" t="n"/>
      <c r="BO304" s="12" t="n"/>
      <c r="BP304" s="12" t="n"/>
      <c r="BQ304" s="12" t="n"/>
      <c r="BR304" s="12" t="n"/>
      <c r="BS304" s="12" t="n"/>
      <c r="BT304" s="12" t="n"/>
      <c r="BU304" s="12" t="n"/>
      <c r="BV304" s="12" t="n"/>
      <c r="BW304" s="12" t="n"/>
      <c r="BX304" s="12" t="n"/>
      <c r="BY304" s="12" t="n"/>
      <c r="BZ304" s="12" t="n"/>
      <c r="CA304" s="12" t="n"/>
      <c r="CB304" s="12" t="n"/>
      <c r="CC304" s="12" t="n"/>
      <c r="CD304" s="12" t="n"/>
      <c r="CE304" s="12" t="n"/>
      <c r="CF304" s="12" t="n"/>
      <c r="CG304" s="12" t="n"/>
      <c r="CH304" s="12" t="n"/>
      <c r="CI304" s="12" t="n"/>
      <c r="CJ304" s="12" t="n"/>
      <c r="CK304" s="12" t="n"/>
      <c r="CL304" s="12" t="n"/>
      <c r="CM304" s="12" t="n"/>
      <c r="CN304" s="12" t="n"/>
      <c r="CO304" s="12" t="n"/>
      <c r="CP304" s="12" t="n"/>
      <c r="CQ304" s="12" t="n"/>
      <c r="CR304" s="12" t="n"/>
      <c r="CS304" s="12" t="n"/>
      <c r="CT304" s="12" t="n"/>
      <c r="CU304" s="12" t="n"/>
      <c r="CV304" s="12" t="n"/>
      <c r="CW304" s="12" t="n"/>
      <c r="CX304" s="12" t="n"/>
      <c r="CY304" s="12" t="n"/>
    </row>
    <row r="305">
      <c r="C305" s="14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  <c r="AC305" s="12" t="n"/>
      <c r="AD305" s="12" t="n"/>
      <c r="AE305" s="12" t="n"/>
      <c r="AF305" s="12" t="n"/>
      <c r="AG305" s="12" t="n"/>
      <c r="AH305" s="12" t="n"/>
      <c r="AI305" s="12" t="n"/>
      <c r="AJ305" s="12" t="n"/>
      <c r="AK305" s="12" t="n"/>
      <c r="AL305" s="12" t="n"/>
      <c r="AM305" s="12" t="n"/>
      <c r="AN305" s="12" t="n"/>
      <c r="AO305" s="12" t="n"/>
      <c r="AP305" s="12" t="n"/>
      <c r="AQ305" s="12" t="n"/>
      <c r="AR305" s="12" t="n"/>
      <c r="AS305" s="12" t="n"/>
      <c r="AT305" s="12" t="n"/>
      <c r="AU305" s="12" t="n"/>
      <c r="AV305" s="12" t="n"/>
      <c r="AW305" s="12" t="n"/>
      <c r="AX305" s="12" t="n"/>
      <c r="AY305" s="12" t="n"/>
      <c r="AZ305" s="12" t="n"/>
      <c r="BA305" s="12" t="n"/>
      <c r="BB305" s="12" t="n"/>
      <c r="BC305" s="12" t="n"/>
      <c r="BD305" s="12" t="n"/>
      <c r="BE305" s="12" t="n"/>
      <c r="BF305" s="12" t="n"/>
      <c r="BG305" s="12" t="n"/>
      <c r="BH305" s="12" t="n"/>
      <c r="BI305" s="12" t="n"/>
      <c r="BJ305" s="12" t="n"/>
      <c r="BK305" s="12" t="n"/>
      <c r="BL305" s="12" t="n"/>
      <c r="BM305" s="12" t="n"/>
      <c r="BN305" s="12" t="n"/>
      <c r="BO305" s="12" t="n"/>
      <c r="BP305" s="12" t="n"/>
      <c r="BQ305" s="12" t="n"/>
      <c r="BR305" s="12" t="n"/>
      <c r="BS305" s="12" t="n"/>
      <c r="BT305" s="12" t="n"/>
      <c r="BU305" s="12" t="n"/>
      <c r="BV305" s="12" t="n"/>
      <c r="BW305" s="12" t="n"/>
      <c r="BX305" s="12" t="n"/>
      <c r="BY305" s="12" t="n"/>
      <c r="BZ305" s="12" t="n"/>
      <c r="CA305" s="12" t="n"/>
      <c r="CB305" s="12" t="n"/>
      <c r="CC305" s="12" t="n"/>
      <c r="CD305" s="12" t="n"/>
      <c r="CE305" s="12" t="n"/>
      <c r="CF305" s="12" t="n"/>
      <c r="CG305" s="12" t="n"/>
      <c r="CH305" s="12" t="n"/>
      <c r="CI305" s="12" t="n"/>
      <c r="CJ305" s="12" t="n"/>
      <c r="CK305" s="12" t="n"/>
      <c r="CL305" s="12" t="n"/>
      <c r="CM305" s="12" t="n"/>
      <c r="CN305" s="12" t="n"/>
      <c r="CO305" s="12" t="n"/>
      <c r="CP305" s="12" t="n"/>
      <c r="CQ305" s="12" t="n"/>
      <c r="CR305" s="12" t="n"/>
      <c r="CS305" s="12" t="n"/>
      <c r="CT305" s="12" t="n"/>
      <c r="CU305" s="12" t="n"/>
      <c r="CV305" s="12" t="n"/>
      <c r="CW305" s="12" t="n"/>
      <c r="CX305" s="12" t="n"/>
      <c r="CY305" s="12" t="n"/>
    </row>
    <row r="306">
      <c r="C306" s="14" t="inlineStr">
        <is>
          <t>Others / cash reconciliation plug</t>
        </is>
      </c>
      <c r="D306" s="12" t="n"/>
      <c r="E306" s="12" t="n"/>
      <c r="F306" s="12" t="n"/>
      <c r="G306" s="12" t="n"/>
      <c r="H306" s="12" t="n"/>
      <c r="I306" s="12" t="n"/>
      <c r="J306" s="12">
        <f>J138-I138-SUM(J287,J294,J304)</f>
        <v>0</v>
      </c>
      <c r="K306" s="12">
        <f>K138-J138-SUM(K287,K294,K304)</f>
        <v>0</v>
      </c>
      <c r="L306" s="12">
        <f>L138-K138-SUM(L287,L294,L304)</f>
        <v>0</v>
      </c>
      <c r="M306" s="12" t="n"/>
      <c r="N306" s="12">
        <f>N138-M138-SUM(N287,N294,N304)</f>
        <v>0</v>
      </c>
      <c r="O306" s="12">
        <f>O138-N138-SUM(O287,O294,O304)</f>
        <v>0</v>
      </c>
      <c r="P306" s="12">
        <f>P138-O138-SUM(P287,P294,P304)</f>
        <v>0</v>
      </c>
      <c r="Q306" s="12">
        <f>Q138-P138-SUM(Q287,Q294,Q304)</f>
        <v>0</v>
      </c>
      <c r="R306" s="12">
        <f>SUM(N306:Q306)</f>
        <v>0</v>
      </c>
      <c r="S306" s="12">
        <f>S138-R138-SUM(S287,S294,S304)</f>
        <v>0</v>
      </c>
      <c r="T306" s="12">
        <f>T138-S138-SUM(T287,T294,T304)</f>
        <v>0</v>
      </c>
      <c r="U306" s="12">
        <f>U138-T138-SUM(U287,U294,U304)</f>
        <v>0</v>
      </c>
      <c r="V306" s="12">
        <f>V138-U138-SUM(V287,V294,V304)</f>
        <v>0</v>
      </c>
      <c r="W306" s="12">
        <f>SUM(S306:V306)</f>
        <v>0</v>
      </c>
      <c r="X306" s="12">
        <f>X138-W138-SUM(X287,X294,X304)</f>
        <v>0</v>
      </c>
      <c r="Y306" s="12">
        <f>Y138-X138-SUM(Y287,Y294,Y304)</f>
        <v>0</v>
      </c>
      <c r="Z306" s="12">
        <f>Z138-Y138-SUM(Z287,Z294,Z304)</f>
        <v>0</v>
      </c>
      <c r="AA306" s="12">
        <f>AA138-Z138-SUM(AA287,AA294,AA304)</f>
        <v>0</v>
      </c>
      <c r="AB306" s="12">
        <f>SUM(X306:AA306)</f>
        <v>0</v>
      </c>
      <c r="AC306" s="12">
        <f>AC138-AB138-SUM(AC287,AC294,AC304)</f>
        <v>0</v>
      </c>
      <c r="AD306" s="12">
        <f>AD138-AC138-SUM(AD287,AD294,AD304)</f>
        <v>0</v>
      </c>
      <c r="AE306" s="12">
        <f>AE138-AD138-SUM(AE287,AE294,AE304)</f>
        <v>0</v>
      </c>
      <c r="AF306" s="12">
        <f>AF138-AE138-SUM(AF287,AF294,AF304)</f>
        <v>0</v>
      </c>
      <c r="AG306" s="12">
        <f>SUM(AC306:AF306)</f>
        <v>0</v>
      </c>
      <c r="AH306" s="12">
        <f>AH138-AG138-SUM(AH287,AH294,AH304)</f>
        <v>0</v>
      </c>
      <c r="AI306" s="12">
        <f>AI138-AH138-SUM(AI287,AI294,AI304)</f>
        <v>0</v>
      </c>
      <c r="AJ306" s="12">
        <f>AJ138-AI138-SUM(AJ287,AJ294,AJ304)</f>
        <v>0</v>
      </c>
      <c r="AK306" s="12">
        <f>AK138-AJ138-SUM(AK287,AK294,AK304)</f>
        <v>0</v>
      </c>
      <c r="AL306" s="12">
        <f>SUM(AH306:AK306)</f>
        <v>0</v>
      </c>
      <c r="AM306" s="12">
        <f>AM138-AL138-SUM(AM287,AM294,AM304)</f>
        <v>0</v>
      </c>
      <c r="AN306" s="12">
        <f>AN138-AM138-SUM(AN287,AN294,AN304)</f>
        <v>0</v>
      </c>
      <c r="AO306" s="12">
        <f>AO138-AN138-SUM(AO287,AO294,AO304)</f>
        <v>0</v>
      </c>
      <c r="AP306" s="12">
        <f>AP138-AO138-SUM(AP287,AP294,AP304)</f>
        <v>0</v>
      </c>
      <c r="AQ306" s="12">
        <f>SUM(AM306:AP306)</f>
        <v>0</v>
      </c>
      <c r="AR306" s="12">
        <f>AR138-AQ138-SUM(AR287,AR294,AR304)</f>
        <v>0</v>
      </c>
      <c r="AS306" s="12">
        <f>AS138-AR138-SUM(AS287,AS294,AS304)</f>
        <v>0</v>
      </c>
      <c r="AT306" s="12">
        <f>AT138-AS138-SUM(AT287,AT294,AT304)</f>
        <v>0</v>
      </c>
      <c r="AU306" s="12">
        <f>AU138-AT138-SUM(AU287,AU294,AU304)</f>
        <v>0</v>
      </c>
      <c r="AV306" s="12">
        <f>SUM(AR306:AU306)</f>
        <v>0</v>
      </c>
      <c r="AW306" s="12">
        <f>AW138-AV138-SUM(AW287,AW294,AW304)</f>
        <v>2.36468622460961e-10</v>
      </c>
      <c r="AX306" s="12">
        <f>AX138-AW138-SUM(AX287,AX294,AX304)</f>
        <v>0</v>
      </c>
      <c r="AY306" s="12">
        <f>AY138-AX138-SUM(AY287,AY294,AY304)</f>
        <v>0</v>
      </c>
      <c r="AZ306" s="12">
        <f>AZ138-AY138-SUM(AZ287,AZ294,AZ304)</f>
        <v>0</v>
      </c>
      <c r="BA306" s="12">
        <f>SUM(AW306:AZ306)</f>
        <v>2.36468622460961e-10</v>
      </c>
      <c r="BB306" s="12">
        <f>BB138-BA138-SUM(BB287,BB294,BB304)</f>
        <v>0</v>
      </c>
      <c r="BC306" s="12">
        <f>BC138-BB138-SUM(BC287,BC294,BC304)</f>
        <v>0</v>
      </c>
      <c r="BD306" s="12">
        <f>BD138-BC138-SUM(BD287,BD294,BD304)</f>
        <v>0</v>
      </c>
      <c r="BE306" s="12">
        <f>BE138-BD138-SUM(BE287,BE294,BE304)</f>
        <v>2.7648638933897e-10</v>
      </c>
      <c r="BF306" s="12">
        <f>SUM(BB306:BE306)</f>
        <v>2.7648638933897e-10</v>
      </c>
      <c r="BG306" s="12" t="n"/>
      <c r="BH306" s="12" t="n"/>
      <c r="BI306" s="12" t="n"/>
      <c r="BJ306" s="12" t="n"/>
      <c r="BK306" s="12" t="n"/>
      <c r="BL306" s="12" t="n"/>
      <c r="BM306" s="12" t="n"/>
      <c r="BN306" s="12" t="n"/>
      <c r="BO306" s="12" t="n"/>
      <c r="BP306" s="12" t="n"/>
      <c r="BQ306" s="12" t="n"/>
      <c r="BR306" s="12" t="n"/>
      <c r="BS306" s="12" t="n"/>
      <c r="BT306" s="12" t="n"/>
      <c r="BU306" s="12" t="n"/>
      <c r="BV306" s="12" t="n"/>
      <c r="BW306" s="12" t="n"/>
      <c r="BX306" s="12" t="n"/>
      <c r="BY306" s="12" t="n"/>
      <c r="BZ306" s="12" t="n"/>
      <c r="CA306" s="12" t="n"/>
      <c r="CB306" s="12" t="n"/>
      <c r="CC306" s="12" t="n"/>
      <c r="CD306" s="12" t="n"/>
      <c r="CE306" s="12" t="n"/>
      <c r="CF306" s="12" t="n"/>
      <c r="CG306" s="12" t="n"/>
      <c r="CH306" s="12" t="n"/>
      <c r="CI306" s="12" t="n"/>
      <c r="CJ306" s="12" t="n"/>
      <c r="CK306" s="12" t="n"/>
      <c r="CL306" s="12" t="n"/>
      <c r="CM306" s="12" t="n"/>
      <c r="CN306" s="12" t="n"/>
      <c r="CO306" s="12" t="n"/>
      <c r="CP306" s="12" t="n"/>
      <c r="CQ306" s="12" t="n"/>
      <c r="CR306" s="12" t="n"/>
      <c r="CS306" s="12" t="n"/>
      <c r="CT306" s="12" t="n"/>
      <c r="CU306" s="12" t="n"/>
      <c r="CV306" s="12" t="n"/>
      <c r="CW306" s="12" t="n"/>
      <c r="CX306" s="12" t="n"/>
      <c r="CY306" s="12" t="n"/>
    </row>
    <row r="307">
      <c r="C307" s="14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  <c r="AF307" s="12" t="n"/>
      <c r="AG307" s="12" t="n"/>
      <c r="AH307" s="12" t="n"/>
      <c r="AI307" s="12" t="n"/>
      <c r="AJ307" s="12" t="n"/>
      <c r="AK307" s="12" t="n"/>
      <c r="AL307" s="12" t="n"/>
      <c r="AM307" s="12" t="n"/>
      <c r="AN307" s="12" t="n"/>
      <c r="AO307" s="12" t="n"/>
      <c r="AP307" s="12" t="n"/>
      <c r="AQ307" s="12" t="n"/>
      <c r="AR307" s="12" t="n"/>
      <c r="AS307" s="12" t="n"/>
      <c r="AT307" s="12" t="n"/>
      <c r="AU307" s="12" t="n"/>
      <c r="AV307" s="12" t="n"/>
      <c r="AW307" s="12" t="n"/>
      <c r="AX307" s="12" t="n"/>
      <c r="AY307" s="12" t="n"/>
      <c r="AZ307" s="12" t="n"/>
      <c r="BA307" s="12" t="n"/>
      <c r="BB307" s="12" t="n"/>
      <c r="BC307" s="12" t="n"/>
      <c r="BD307" s="12" t="n"/>
      <c r="BE307" s="12" t="n"/>
      <c r="BF307" s="12" t="n"/>
      <c r="BG307" s="12" t="n"/>
      <c r="BH307" s="12" t="n"/>
      <c r="BI307" s="12" t="n"/>
      <c r="BJ307" s="12" t="n"/>
      <c r="BK307" s="12" t="n"/>
      <c r="BL307" s="12" t="n"/>
      <c r="BM307" s="12" t="n"/>
      <c r="BN307" s="12" t="n"/>
      <c r="BO307" s="12" t="n"/>
      <c r="BP307" s="12" t="n"/>
      <c r="BQ307" s="12" t="n"/>
      <c r="BR307" s="12" t="n"/>
      <c r="BS307" s="12" t="n"/>
      <c r="BT307" s="12" t="n"/>
      <c r="BU307" s="12" t="n"/>
      <c r="BV307" s="12" t="n"/>
      <c r="BW307" s="12" t="n"/>
      <c r="BX307" s="12" t="n"/>
      <c r="BY307" s="12" t="n"/>
      <c r="BZ307" s="12" t="n"/>
      <c r="CA307" s="12" t="n"/>
      <c r="CB307" s="12" t="n"/>
      <c r="CC307" s="12" t="n"/>
      <c r="CD307" s="12" t="n"/>
      <c r="CE307" s="12" t="n"/>
      <c r="CF307" s="12" t="n"/>
      <c r="CG307" s="12" t="n"/>
      <c r="CH307" s="12" t="n"/>
      <c r="CI307" s="12" t="n"/>
      <c r="CJ307" s="12" t="n"/>
      <c r="CK307" s="12" t="n"/>
      <c r="CL307" s="12" t="n"/>
      <c r="CM307" s="12" t="n"/>
      <c r="CN307" s="12" t="n"/>
      <c r="CO307" s="12" t="n"/>
      <c r="CP307" s="12" t="n"/>
      <c r="CQ307" s="12" t="n"/>
      <c r="CR307" s="12" t="n"/>
      <c r="CS307" s="12" t="n"/>
      <c r="CT307" s="12" t="n"/>
      <c r="CU307" s="12" t="n"/>
      <c r="CV307" s="12" t="n"/>
      <c r="CW307" s="12" t="n"/>
      <c r="CX307" s="12" t="n"/>
      <c r="CY307" s="12" t="n"/>
    </row>
    <row r="308">
      <c r="C308" s="14" t="inlineStr">
        <is>
          <t>Total increase/decrease of cash</t>
        </is>
      </c>
      <c r="D308" s="12" t="n"/>
      <c r="E308" s="12" t="n"/>
      <c r="F308" s="12" t="n"/>
      <c r="G308" s="12" t="n"/>
      <c r="H308" s="12" t="n"/>
      <c r="I308" s="12" t="n"/>
      <c r="J308" s="12">
        <f>SUM(J287,J294,J304,J306)</f>
        <v>-10729</v>
      </c>
      <c r="K308" s="12">
        <f>SUM(K287,K294,K304,K306)</f>
        <v>-3128</v>
      </c>
      <c r="L308" s="12">
        <f>SUM(L287,L294,L304,L306)</f>
        <v>12080</v>
      </c>
      <c r="M308" s="12" t="n"/>
      <c r="N308" s="12">
        <f>SUM(N287,N294,N304,N306)</f>
        <v>-9866</v>
      </c>
      <c r="O308" s="12">
        <f>SUM(O287,O294,O304,O306)</f>
        <v>-13422</v>
      </c>
      <c r="P308" s="12">
        <f>SUM(P287,P294,P304,P306)</f>
        <v>-10199</v>
      </c>
      <c r="Q308" s="12">
        <f>SUM(Q287,Q294,Q304,Q306)</f>
        <v>-3659</v>
      </c>
      <c r="R308" s="12">
        <f>SUM(N308:Q308)</f>
        <v>-37146</v>
      </c>
      <c r="S308" s="12">
        <f>SUM(S287,S294,S304,S306)</f>
        <v>883</v>
      </c>
      <c r="T308" s="12">
        <f>SUM(T287,T294,T304,T306)</f>
        <v>210</v>
      </c>
      <c r="U308" s="12">
        <f>SUM(U287,U294,U304,U306)</f>
        <v>-4444</v>
      </c>
      <c r="V308" s="12">
        <f>SUM(V287,V294,V304,V306)</f>
        <v>10476</v>
      </c>
      <c r="W308" s="12">
        <f>SUM(S308:V308)</f>
        <v>7125</v>
      </c>
      <c r="X308" s="12">
        <f>SUM(X287,X294,X304,X306)</f>
        <v>-10238</v>
      </c>
      <c r="Y308" s="12">
        <f>SUM(Y287,Y294,Y304,Y306)</f>
        <v>-9296</v>
      </c>
      <c r="Z308" s="12">
        <f>SUM(Z287,Z294,Z304,Z306)</f>
        <v>3609</v>
      </c>
      <c r="AA308" s="12">
        <f>SUM(AA287,AA294,AA304,AA306)</f>
        <v>-15282</v>
      </c>
      <c r="AB308" s="12">
        <f>SUM(X308:AA308)</f>
        <v>-31207</v>
      </c>
      <c r="AC308" s="12">
        <f>SUM(AC287,AC294,AC304,AC306)</f>
        <v>-8446</v>
      </c>
      <c r="AD308" s="12">
        <f>SUM(AD287,AD294,AD304,AD306)</f>
        <v>64</v>
      </c>
      <c r="AE308" s="12">
        <f>SUM(AE287,AE294,AE304,AE306)</f>
        <v>-566</v>
      </c>
      <c r="AF308" s="12">
        <f>SUM(AF287,AF294,AF304,AF306)</f>
        <v>12375</v>
      </c>
      <c r="AG308" s="12">
        <f>SUM(AC308:AF308)</f>
        <v>3427</v>
      </c>
      <c r="AH308" s="12">
        <f>SUM(AH287,AH294,AH304,AH306)</f>
        <v>1800</v>
      </c>
      <c r="AI308" s="12">
        <f>SUM(AI287,AI294,AI304,AI306)</f>
        <v>-78</v>
      </c>
      <c r="AJ308" s="12">
        <f>SUM(AJ287,AJ294,AJ304,AJ306)</f>
        <v>30496.72545572</v>
      </c>
      <c r="AK308" s="12">
        <f>SUM(AK287,AK294,AK304,AK306)</f>
        <v>51022.3919736102</v>
      </c>
      <c r="AL308" s="12">
        <f>SUM(AH308:AK308)</f>
        <v>83241.1174293301</v>
      </c>
      <c r="AM308" s="12">
        <f>SUM(AM287,AM294,AM304,AM306)</f>
        <v>25732.1157572565</v>
      </c>
      <c r="AN308" s="12">
        <f>SUM(AN287,AN294,AN304,AN306)</f>
        <v>31207.4820317541</v>
      </c>
      <c r="AO308" s="12">
        <f>SUM(AO287,AO294,AO304,AO306)</f>
        <v>34287.3810916644</v>
      </c>
      <c r="AP308" s="12">
        <f>SUM(AP287,AP294,AP304,AP306)</f>
        <v>57080.9938999565</v>
      </c>
      <c r="AQ308" s="12">
        <f>SUM(AM308:AP308)</f>
        <v>148307.972780632</v>
      </c>
      <c r="AR308" s="12">
        <f>SUM(AR287,AR294,AR304,AR306)</f>
        <v>28192.0514929769</v>
      </c>
      <c r="AS308" s="12">
        <f>SUM(AS287,AS294,AS304,AS306)</f>
        <v>35065.0031422665</v>
      </c>
      <c r="AT308" s="12">
        <f>SUM(AT287,AT294,AT304,AT306)</f>
        <v>38187.3643038433</v>
      </c>
      <c r="AU308" s="12">
        <f>SUM(AU287,AU294,AU304,AU306)</f>
        <v>63573.6133668436</v>
      </c>
      <c r="AV308" s="12">
        <f>SUM(AR308:AU308)</f>
        <v>165018.03230593</v>
      </c>
      <c r="AW308" s="12">
        <f>SUM(AW287,AW294,AW304,AW306)</f>
        <v>31421.1335474744</v>
      </c>
      <c r="AX308" s="12">
        <f>SUM(AX287,AX294,AX304,AX306)</f>
        <v>38536.7755976747</v>
      </c>
      <c r="AY308" s="12">
        <f>SUM(AY287,AY294,AY304,AY306)</f>
        <v>42340.0103096097</v>
      </c>
      <c r="AZ308" s="12">
        <f>SUM(AZ287,AZ294,AZ304,AZ306)</f>
        <v>70486.8611500478</v>
      </c>
      <c r="BA308" s="12">
        <f>SUM(AW308:AZ308)</f>
        <v>182784.780604807</v>
      </c>
      <c r="BB308" s="12">
        <f>SUM(BB287,BB294,BB304,BB306)</f>
        <v>34482.6746523088</v>
      </c>
      <c r="BC308" s="12">
        <f>SUM(BC287,BC294,BC304,BC306)</f>
        <v>42534.7341004356</v>
      </c>
      <c r="BD308" s="12">
        <f>SUM(BD287,BD294,BD304,BD306)</f>
        <v>46732.5315208161</v>
      </c>
      <c r="BE308" s="12">
        <f>SUM(BE287,BE294,BE304,BE306)</f>
        <v>77799.4487108185</v>
      </c>
      <c r="BF308" s="12">
        <f>SUM(BB308:BE308)</f>
        <v>201549.388984379</v>
      </c>
      <c r="BG308" s="12" t="n"/>
      <c r="BH308" s="12" t="n"/>
      <c r="BI308" s="12" t="n"/>
      <c r="BJ308" s="12" t="n"/>
      <c r="BK308" s="12" t="n"/>
      <c r="BL308" s="12" t="n"/>
      <c r="BM308" s="12" t="n"/>
      <c r="BN308" s="12" t="n"/>
      <c r="BO308" s="12" t="n"/>
      <c r="BP308" s="12" t="n"/>
      <c r="BQ308" s="12" t="n"/>
      <c r="BR308" s="12" t="n"/>
      <c r="BS308" s="12" t="n"/>
      <c r="BT308" s="12" t="n"/>
      <c r="BU308" s="12" t="n"/>
      <c r="BV308" s="12" t="n"/>
      <c r="BW308" s="12" t="n"/>
      <c r="BX308" s="12" t="n"/>
      <c r="BY308" s="12" t="n"/>
      <c r="BZ308" s="12" t="n"/>
      <c r="CA308" s="12" t="n"/>
      <c r="CB308" s="12" t="n"/>
      <c r="CC308" s="12" t="n"/>
      <c r="CD308" s="12" t="n"/>
      <c r="CE308" s="12" t="n"/>
      <c r="CF308" s="12" t="n"/>
      <c r="CG308" s="12" t="n"/>
      <c r="CH308" s="12" t="n"/>
      <c r="CI308" s="12" t="n"/>
      <c r="CJ308" s="12" t="n"/>
      <c r="CK308" s="12" t="n"/>
      <c r="CL308" s="12" t="n"/>
      <c r="CM308" s="12" t="n"/>
      <c r="CN308" s="12" t="n"/>
      <c r="CO308" s="12" t="n"/>
      <c r="CP308" s="12" t="n"/>
      <c r="CQ308" s="12" t="n"/>
      <c r="CR308" s="12" t="n"/>
      <c r="CS308" s="12" t="n"/>
      <c r="CT308" s="12" t="n"/>
      <c r="CU308" s="12" t="n"/>
      <c r="CV308" s="12" t="n"/>
      <c r="CW308" s="12" t="n"/>
      <c r="CX308" s="12" t="n"/>
      <c r="CY308" s="12" t="n"/>
    </row>
    <row r="309">
      <c r="C309" s="4" t="inlineStr">
        <is>
          <t>Check</t>
        </is>
      </c>
      <c r="E309" s="72" t="n"/>
      <c r="F309" s="72" t="n"/>
      <c r="G309" s="72" t="n"/>
      <c r="I309" s="72" t="str">
        <f>""</f>
        <v/>
      </c>
      <c r="J309" s="72">
        <f>J138-I138-J308</f>
        <v>0</v>
      </c>
      <c r="K309" s="72">
        <f>K138-J138-K308</f>
        <v>0</v>
      </c>
      <c r="L309" s="72">
        <f>L138-K138-L308</f>
        <v>0</v>
      </c>
      <c r="M309" s="4" t="str">
        <f>""</f>
        <v/>
      </c>
      <c r="N309" s="72">
        <f>N138-M138-N308</f>
        <v>0</v>
      </c>
      <c r="O309" s="72">
        <f>O138-N138-O308</f>
        <v>0</v>
      </c>
      <c r="P309" s="72">
        <f>P138-O138-P308</f>
        <v>0</v>
      </c>
      <c r="Q309" s="72">
        <f>Q138-P138-Q308</f>
        <v>0</v>
      </c>
      <c r="R309" s="4">
        <f>R138-M138-R308</f>
        <v>0</v>
      </c>
      <c r="S309" s="72">
        <f>S138-R138-S308</f>
        <v>0</v>
      </c>
      <c r="T309" s="72">
        <f>T138-S138-T308</f>
        <v>0</v>
      </c>
      <c r="U309" s="72">
        <f>U138-T138-U308</f>
        <v>0</v>
      </c>
      <c r="V309" s="72">
        <f>V138-U138-V308</f>
        <v>0</v>
      </c>
      <c r="W309" s="4">
        <f>W138-R138-W308</f>
        <v>0</v>
      </c>
      <c r="X309" s="72">
        <f>X138-W138-X308</f>
        <v>0</v>
      </c>
      <c r="Y309" s="72">
        <f>Y138-X138-Y308</f>
        <v>0</v>
      </c>
      <c r="Z309" s="72">
        <f>Z138-Y138-Z308</f>
        <v>0</v>
      </c>
      <c r="AA309" s="72">
        <f>AA138-Z138-AA308</f>
        <v>0</v>
      </c>
      <c r="AB309" s="4">
        <f>AB138-W138-AB308</f>
        <v>0</v>
      </c>
      <c r="AC309" s="72">
        <f>AC138-AB138-AC308</f>
        <v>0</v>
      </c>
      <c r="AD309" s="72">
        <f>AD138-AC138-AD308</f>
        <v>0</v>
      </c>
      <c r="AE309" s="72">
        <f>AE138-AD138-AE308</f>
        <v>0</v>
      </c>
      <c r="AF309" s="72">
        <f>AF138-AE138-AF308</f>
        <v>0</v>
      </c>
      <c r="AG309" s="4">
        <f>AG138-AB138-AG308</f>
        <v>0</v>
      </c>
      <c r="AH309" s="72">
        <f>AH138-AG138-AH308</f>
        <v>0</v>
      </c>
      <c r="AI309" s="72">
        <f>AI138-AH138-AI308</f>
        <v>0</v>
      </c>
      <c r="AJ309" s="72">
        <f>AJ138-AI138-AJ308</f>
        <v>0</v>
      </c>
      <c r="AK309" s="72">
        <f>AK138-AJ138-AK308</f>
        <v>0</v>
      </c>
      <c r="AL309" s="4">
        <f>AL138-AG138-AL308</f>
        <v>0</v>
      </c>
      <c r="AM309" s="72">
        <f>AM138-AL138-AM308</f>
        <v>0</v>
      </c>
      <c r="AN309" s="72">
        <f>AN138-AM138-AN308</f>
        <v>0</v>
      </c>
      <c r="AO309" s="72">
        <f>AO138-AN138-AO308</f>
        <v>0</v>
      </c>
      <c r="AP309" s="72">
        <f>AP138-AO138-AP308</f>
        <v>0</v>
      </c>
      <c r="AQ309" s="4">
        <f>AQ138-AL138-AQ308</f>
        <v>0</v>
      </c>
      <c r="AR309" s="72">
        <f>AR138-AQ138-AR308</f>
        <v>0</v>
      </c>
      <c r="AS309" s="72">
        <f>AS138-AR138-AS308</f>
        <v>0</v>
      </c>
      <c r="AT309" s="72">
        <f>AT138-AS138-AT308</f>
        <v>0</v>
      </c>
      <c r="AU309" s="72">
        <f>AU138-AT138-AU308</f>
        <v>0</v>
      </c>
      <c r="AV309" s="4">
        <f>AV138-AQ138-AV308</f>
        <v>0</v>
      </c>
      <c r="AW309" s="72">
        <f>AW138-AV138-AW308</f>
        <v>0</v>
      </c>
      <c r="AX309" s="72">
        <f>AX138-AW138-AX308</f>
        <v>0</v>
      </c>
      <c r="AY309" s="72">
        <f>AY138-AX138-AY308</f>
        <v>0</v>
      </c>
      <c r="AZ309" s="72">
        <f>AZ138-AY138-AZ308</f>
        <v>0</v>
      </c>
      <c r="BA309" s="4">
        <f>BA138-AV138-BA308</f>
        <v>0</v>
      </c>
      <c r="BB309" s="72">
        <f>BB138-BA138-BB308</f>
        <v>0</v>
      </c>
      <c r="BC309" s="72">
        <f>BC138-BB138-BC308</f>
        <v>0</v>
      </c>
      <c r="BD309" s="72">
        <f>BD138-BC138-BD308</f>
        <v>0</v>
      </c>
      <c r="BE309" s="72">
        <f>BE138-BD138-BE308</f>
        <v>0</v>
      </c>
      <c r="BF309" s="4">
        <f>BF138-BA138-BF308</f>
        <v>0</v>
      </c>
      <c r="BG309" s="72" t="n"/>
      <c r="BH309" s="72" t="n"/>
      <c r="BI309" s="72" t="n"/>
      <c r="BJ309" s="72" t="n"/>
      <c r="BL309" s="72" t="n"/>
      <c r="BM309" s="72" t="n"/>
      <c r="BN309" s="72" t="n"/>
      <c r="BO309" s="72" t="n"/>
      <c r="BQ309" s="72" t="n"/>
      <c r="BR309" s="72" t="n"/>
      <c r="BS309" s="72" t="n"/>
      <c r="BT309" s="72" t="n"/>
      <c r="BV309" s="72" t="n"/>
      <c r="BW309" s="72" t="n"/>
      <c r="BX309" s="72" t="n"/>
      <c r="BY309" s="72" t="n"/>
      <c r="CA309" s="72" t="n"/>
      <c r="CB309" s="72" t="n"/>
      <c r="CC309" s="72" t="n"/>
      <c r="CD309" s="72" t="n"/>
      <c r="CF309" s="72" t="n"/>
      <c r="CG309" s="72" t="n"/>
      <c r="CH309" s="72" t="n"/>
      <c r="CI309" s="72" t="n"/>
      <c r="CK309" s="72" t="n"/>
      <c r="CL309" s="72" t="n"/>
      <c r="CM309" s="72" t="n"/>
      <c r="CN309" s="72" t="n"/>
      <c r="CP309" s="72" t="n"/>
      <c r="CQ309" s="72" t="n"/>
      <c r="CR309" s="72" t="n"/>
      <c r="CS309" s="72" t="n"/>
      <c r="CU309" s="72" t="n"/>
      <c r="CV309" s="72" t="n"/>
      <c r="CW309" s="72" t="n"/>
      <c r="CX309" s="72" t="n"/>
    </row>
    <row r="310"/>
    <row r="311">
      <c r="C311" s="73" t="inlineStr">
        <is>
          <t>Ratio Analysis</t>
        </is>
      </c>
      <c r="D311" s="73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  <c r="AA311" s="73" t="n"/>
      <c r="AB311" s="73" t="n"/>
      <c r="AC311" s="73" t="n"/>
      <c r="AD311" s="73" t="n"/>
      <c r="AE311" s="73" t="n"/>
      <c r="AF311" s="73" t="n"/>
      <c r="AG311" s="73" t="n"/>
      <c r="AH311" s="73" t="n"/>
      <c r="AI311" s="73" t="n"/>
      <c r="AJ311" s="73" t="n"/>
      <c r="AK311" s="73" t="n"/>
      <c r="AL311" s="73" t="n"/>
      <c r="AM311" s="73" t="n"/>
      <c r="AN311" s="73" t="n"/>
      <c r="AO311" s="73" t="n"/>
      <c r="AP311" s="73" t="n"/>
      <c r="AQ311" s="73" t="n"/>
      <c r="AR311" s="73" t="n"/>
      <c r="AS311" s="73" t="n"/>
      <c r="AT311" s="73" t="n"/>
      <c r="AU311" s="73" t="n"/>
      <c r="AV311" s="73" t="n"/>
      <c r="AW311" s="73" t="n"/>
      <c r="AX311" s="73" t="n"/>
      <c r="AY311" s="73" t="n"/>
      <c r="AZ311" s="73" t="n"/>
      <c r="BA311" s="73" t="n"/>
      <c r="BB311" s="73" t="n"/>
      <c r="BC311" s="73" t="n"/>
      <c r="BD311" s="73" t="n"/>
      <c r="BE311" s="73" t="n"/>
      <c r="BF311" s="73" t="n"/>
      <c r="BG311" s="73" t="n"/>
      <c r="BH311" s="73" t="n"/>
      <c r="BI311" s="73" t="n"/>
      <c r="BJ311" s="73" t="n"/>
      <c r="BK311" s="73" t="n"/>
      <c r="BL311" s="73" t="n"/>
      <c r="BM311" s="73" t="n"/>
      <c r="BN311" s="73" t="n"/>
      <c r="BO311" s="73" t="n"/>
      <c r="BP311" s="73" t="n"/>
      <c r="BQ311" s="73" t="n"/>
      <c r="BR311" s="73" t="n"/>
      <c r="BS311" s="73" t="n"/>
      <c r="BT311" s="73" t="n"/>
      <c r="BU311" s="73" t="n"/>
      <c r="BV311" s="73" t="n"/>
      <c r="BW311" s="73" t="n"/>
      <c r="BX311" s="73" t="n"/>
      <c r="BY311" s="73" t="n"/>
      <c r="BZ311" s="73" t="n"/>
      <c r="CA311" s="73" t="n"/>
      <c r="CB311" s="73" t="n"/>
      <c r="CC311" s="73" t="n"/>
      <c r="CD311" s="73" t="n"/>
      <c r="CE311" s="73" t="n"/>
      <c r="CF311" s="73" t="n"/>
      <c r="CG311" s="73" t="n"/>
      <c r="CH311" s="73" t="n"/>
      <c r="CI311" s="73" t="n"/>
      <c r="CJ311" s="73" t="n"/>
      <c r="CK311" s="73" t="n"/>
      <c r="CL311" s="73" t="n"/>
      <c r="CM311" s="73" t="n"/>
      <c r="CN311" s="73" t="n"/>
      <c r="CO311" s="73" t="n"/>
      <c r="CP311" s="73" t="n"/>
      <c r="CQ311" s="73" t="n"/>
      <c r="CR311" s="73" t="n"/>
      <c r="CS311" s="73" t="n"/>
      <c r="CT311" s="73" t="n"/>
      <c r="CU311" s="73" t="n"/>
      <c r="CV311" s="73" t="n"/>
      <c r="CW311" s="73" t="n"/>
      <c r="CX311" s="73" t="n"/>
      <c r="CY311" s="73" t="n"/>
    </row>
    <row r="312"/>
    <row r="313" customFormat="1" s="74">
      <c r="C313" s="74" t="inlineStr">
        <is>
          <t>YEAR</t>
        </is>
      </c>
      <c r="D313">
        <f>IFERROR(D269,"")</f>
        <v>0</v>
      </c>
      <c r="E313" s="75">
        <f>IFERROR(E269,"")</f>
        <v>0</v>
      </c>
      <c r="F313" s="75">
        <f>IFERROR(F269,"")</f>
        <v>0</v>
      </c>
      <c r="G313" s="75">
        <f>IFERROR(G269,"")</f>
        <v>0</v>
      </c>
      <c r="H313" s="75">
        <f>IFERROR(H269,"")</f>
        <v>0</v>
      </c>
      <c r="I313" s="75" t="str">
        <f>IFERROR(I269,"")</f>
        <v>1Q21</v>
      </c>
      <c r="J313" s="75" t="str">
        <f>IFERROR(J269,"")</f>
        <v>2Q21</v>
      </c>
      <c r="K313" s="75" t="str">
        <f>IFERROR(K269,"")</f>
        <v>3Q21</v>
      </c>
      <c r="L313" s="75" t="str">
        <f>IFERROR(L269,"")</f>
        <v>4Q21</v>
      </c>
      <c r="M313" s="75">
        <f>IFERROR(M269,"")</f>
        <v>2021</v>
      </c>
      <c r="N313" s="75" t="str">
        <f>IFERROR(N269,"")</f>
        <v>1Q22</v>
      </c>
      <c r="O313" s="75" t="str">
        <f>IFERROR(O269,"")</f>
        <v>2Q22</v>
      </c>
      <c r="P313" s="75" t="str">
        <f>IFERROR(P269,"")</f>
        <v>3Q22</v>
      </c>
      <c r="Q313" s="75" t="str">
        <f>IFERROR(Q269,"")</f>
        <v>4Q22</v>
      </c>
      <c r="R313" s="75">
        <f>IFERROR(R269,"")</f>
        <v>2022</v>
      </c>
      <c r="S313" s="75" t="str">
        <f>IFERROR(S269,"")</f>
        <v>1Q23</v>
      </c>
      <c r="T313" s="75" t="str">
        <f>IFERROR(T269,"")</f>
        <v>2Q23</v>
      </c>
      <c r="U313" s="75" t="str">
        <f>IFERROR(U269,"")</f>
        <v>3Q23</v>
      </c>
      <c r="V313" s="75" t="str">
        <f>IFERROR(V269,"")</f>
        <v>4Q23</v>
      </c>
      <c r="W313" s="75">
        <f>IFERROR(W269,"")</f>
        <v>2023</v>
      </c>
      <c r="X313" s="75" t="str">
        <f>IFERROR(X269,"")</f>
        <v>1Q24</v>
      </c>
      <c r="Y313" s="75" t="str">
        <f>IFERROR(Y269,"")</f>
        <v>2Q24</v>
      </c>
      <c r="Z313" s="75" t="str">
        <f>IFERROR(Z269,"")</f>
        <v>3Q24</v>
      </c>
      <c r="AA313" s="75" t="str">
        <f>IFERROR(AA269,"")</f>
        <v>4Q24</v>
      </c>
      <c r="AB313" s="75">
        <f>IFERROR(AB269,"")</f>
        <v>2024</v>
      </c>
      <c r="AC313" s="75" t="str">
        <f>IFERROR(AC269,"")</f>
        <v>1Q25</v>
      </c>
      <c r="AD313" s="75" t="str">
        <f>IFERROR(AD269,"")</f>
        <v>2Q25</v>
      </c>
      <c r="AE313" s="75" t="str">
        <f>IFERROR(AE269,"")</f>
        <v>3Q25</v>
      </c>
      <c r="AF313" s="75" t="str">
        <f>IFERROR(AF269,"")</f>
        <v>4Q25</v>
      </c>
      <c r="AG313" s="75">
        <f>IFERROR(AG269,"")</f>
        <v>2025</v>
      </c>
      <c r="AH313" s="75" t="str">
        <f>IFERROR(AH269,"")</f>
        <v>1Q26</v>
      </c>
      <c r="AI313" s="75" t="str">
        <f>IFERROR(AI269,"")</f>
        <v>2Q26</v>
      </c>
      <c r="AJ313" s="75" t="str">
        <f>IFERROR(AJ269,"")</f>
        <v>3Q26</v>
      </c>
      <c r="AK313" s="75" t="str">
        <f>IFERROR(AK269,"")</f>
        <v>4Q26</v>
      </c>
      <c r="AL313" s="75">
        <f>IFERROR(AL269,"")</f>
        <v>2026</v>
      </c>
      <c r="AM313" s="75" t="str">
        <f>IFERROR(AM269,"")</f>
        <v>1Q27</v>
      </c>
      <c r="AN313" s="75" t="str">
        <f>IFERROR(AN269,"")</f>
        <v>2Q27</v>
      </c>
      <c r="AO313" s="75" t="str">
        <f>IFERROR(AO269,"")</f>
        <v>3Q27</v>
      </c>
      <c r="AP313" s="75" t="str">
        <f>IFERROR(AP269,"")</f>
        <v>4Q27</v>
      </c>
      <c r="AQ313" s="75">
        <f>IFERROR(AQ269,"")</f>
        <v>2027</v>
      </c>
      <c r="AR313" s="75" t="str">
        <f>IFERROR(AR269,"")</f>
        <v>1Q28</v>
      </c>
      <c r="AS313" s="75" t="str">
        <f>IFERROR(AS269,"")</f>
        <v>2Q28</v>
      </c>
      <c r="AT313" s="75" t="str">
        <f>IFERROR(AT269,"")</f>
        <v>3Q28</v>
      </c>
      <c r="AU313" s="75" t="str">
        <f>IFERROR(AU269,"")</f>
        <v>4Q28</v>
      </c>
      <c r="AV313" s="75">
        <f>IFERROR(AV269,"")</f>
        <v>2028</v>
      </c>
      <c r="AW313" s="75" t="str">
        <f>IFERROR(AW269,"")</f>
        <v>1Q29</v>
      </c>
      <c r="AX313" s="75" t="str">
        <f>IFERROR(AX269,"")</f>
        <v>2Q29</v>
      </c>
      <c r="AY313" s="75" t="str">
        <f>IFERROR(AY269,"")</f>
        <v>3Q29</v>
      </c>
      <c r="AZ313" s="75" t="str">
        <f>IFERROR(AZ269,"")</f>
        <v>4Q29</v>
      </c>
      <c r="BA313" s="75">
        <f>IFERROR(BA269,"")</f>
        <v>2029</v>
      </c>
      <c r="BB313" s="75" t="str">
        <f>IFERROR(BB269,"")</f>
        <v>1Q30</v>
      </c>
      <c r="BC313" s="75" t="str">
        <f>IFERROR(BC269,"")</f>
        <v>2Q30</v>
      </c>
      <c r="BD313" s="75" t="str">
        <f>IFERROR(BD269,"")</f>
        <v>3Q30</v>
      </c>
      <c r="BE313" s="75" t="str">
        <f>IFERROR(BE269,"")</f>
        <v>4Q30</v>
      </c>
      <c r="BF313" s="75">
        <f>IFERROR(BF269,"")</f>
        <v>2030</v>
      </c>
      <c r="BG313" s="75" t="n"/>
      <c r="BH313" s="75" t="n"/>
      <c r="BI313" s="75" t="n"/>
      <c r="BJ313" s="75" t="n"/>
      <c r="BK313" s="75" t="n"/>
      <c r="BL313" s="75" t="n"/>
      <c r="BM313" s="75" t="n"/>
      <c r="BN313" s="75" t="n"/>
      <c r="BO313" s="75" t="n"/>
      <c r="BP313" s="75" t="n"/>
      <c r="BQ313" s="75" t="n"/>
      <c r="BR313" s="75" t="n"/>
      <c r="BS313" s="75" t="n"/>
      <c r="BT313" s="75" t="n"/>
      <c r="BU313" s="75" t="n"/>
      <c r="BV313" s="75" t="n"/>
      <c r="BW313" s="75" t="n"/>
      <c r="BX313" s="75" t="n"/>
      <c r="BY313" s="75" t="n"/>
      <c r="BZ313" s="75" t="n"/>
      <c r="CA313" s="75" t="n"/>
      <c r="CB313" s="75" t="n"/>
      <c r="CC313" s="75" t="n"/>
      <c r="CD313" s="75" t="n"/>
      <c r="CE313" s="75" t="n"/>
      <c r="CF313" s="75" t="n"/>
      <c r="CG313" s="75" t="n"/>
      <c r="CH313" s="75" t="n"/>
      <c r="CI313" s="75" t="n"/>
      <c r="CJ313" s="75" t="n"/>
      <c r="CK313" s="75" t="n"/>
      <c r="CL313" s="75" t="n"/>
      <c r="CM313" s="75" t="n"/>
      <c r="CN313" s="75" t="n"/>
      <c r="CO313" s="75" t="n"/>
      <c r="CP313" s="75" t="n"/>
      <c r="CQ313" s="75" t="n"/>
      <c r="CR313" s="75" t="n"/>
      <c r="CS313" s="75" t="n"/>
      <c r="CT313" s="75" t="n"/>
      <c r="CU313" s="75" t="n"/>
      <c r="CV313" s="75" t="n"/>
      <c r="CW313" s="75" t="n"/>
      <c r="CX313" s="75" t="n"/>
      <c r="CY313" s="75" t="n"/>
    </row>
    <row r="314" customFormat="1" s="77">
      <c r="A314" s="76" t="n"/>
      <c r="B314" s="76" t="n"/>
      <c r="C314" s="74" t="inlineStr">
        <is>
          <t>GROWTH &amp; MARGINS</t>
        </is>
      </c>
    </row>
    <row r="315" customFormat="1" s="77">
      <c r="A315" s="76" t="n"/>
      <c r="B315" s="76" t="n"/>
      <c r="C315" s="77" t="inlineStr">
        <is>
          <t>NET REVENUE GROWTH (YoY)</t>
        </is>
      </c>
      <c r="E315" s="78" t="str">
        <f>IFERROR(E15/D15-1,"")</f>
        <v/>
      </c>
      <c r="F315" s="78" t="str">
        <f>IFERROR(F15/E15-1,"")</f>
        <v/>
      </c>
      <c r="G315" s="78" t="str">
        <f>IFERROR(G15/F15-1,"")</f>
        <v/>
      </c>
      <c r="H315" s="257" t="str">
        <f>""</f>
        <v/>
      </c>
      <c r="I315" s="257" t="str">
        <f>""</f>
        <v/>
      </c>
      <c r="J315" s="257" t="str">
        <f>""</f>
        <v/>
      </c>
      <c r="K315" s="257" t="str">
        <f>""</f>
        <v/>
      </c>
      <c r="L315" s="257" t="str">
        <f>""</f>
        <v/>
      </c>
      <c r="M315" s="257" t="str">
        <f>IFERROR(IF(AND(ISNUMBER(M15),ISNUMBER(H15),H15&lt;&gt;0),M15/H15-1,""),"")</f>
        <v/>
      </c>
      <c r="N315" s="257">
        <f>IFERROR(IF(AND(ISNUMBER(N15),ISNUMBER(I15),I15&lt;&gt;0),N15/I15-1,""),"")</f>
        <v>0.085885872477228</v>
      </c>
      <c r="O315" s="257">
        <f>IFERROR(IF(AND(ISNUMBER(O15),ISNUMBER(J15),J15&lt;&gt;0),O15/J15-1,""),"")</f>
        <v>0.0187268217206573</v>
      </c>
      <c r="P315" s="257">
        <f>IFERROR(IF(AND(ISNUMBER(P15),ISNUMBER(K15),K15&lt;&gt;0),P15/K15-1,""),"")</f>
        <v>0.0814059500959692</v>
      </c>
      <c r="Q315" s="257">
        <f>IFERROR(IF(AND(ISNUMBER(Q15),ISNUMBER(L15),L15&lt;&gt;0),Q15/L15-1,""),"")</f>
        <v>-0.0547904312396628</v>
      </c>
      <c r="R315" s="257">
        <f>IFERROR(IF(AND(ISNUMBER(R15),ISNUMBER(M15),M15&lt;&gt;0),R15/M15-1,""),"")</f>
        <v>0.0243548502205788</v>
      </c>
      <c r="S315" s="257">
        <f>IFERROR(IF(AND(ISNUMBER(S15),ISNUMBER(N15),N15&lt;&gt;0),S15/N15-1,""),"")</f>
        <v>-0.0251033121569111</v>
      </c>
      <c r="T315" s="257">
        <f>IFERROR(IF(AND(ISNUMBER(T15),ISNUMBER(O15),O15&lt;&gt;0),T15/O15-1,""),"")</f>
        <v>-0.0140069190805097</v>
      </c>
      <c r="U315" s="257">
        <f>IFERROR(IF(AND(ISNUMBER(U15),ISNUMBER(P15),P15&lt;&gt;0),U15/P15-1,""),"")</f>
        <v>-0.00718833891686821</v>
      </c>
      <c r="V315" s="257">
        <f>IFERROR(IF(AND(ISNUMBER(V15),ISNUMBER(Q15),Q15&lt;&gt;0),V15/Q15-1,""),"")</f>
        <v>0.0206651074653874</v>
      </c>
      <c r="W315" s="257">
        <f>IFERROR(IF(AND(ISNUMBER(W15),ISNUMBER(R15),R15&lt;&gt;0),W15/R15-1,""),"")</f>
        <v>-0.00472471015670761</v>
      </c>
      <c r="X315" s="257">
        <f>IFERROR(IF(AND(ISNUMBER(X15),ISNUMBER(S15),S15&lt;&gt;0),X15/S15-1,""),"")</f>
        <v>-0.0430532709097811</v>
      </c>
      <c r="Y315" s="257">
        <f>IFERROR(IF(AND(ISNUMBER(Y15),ISNUMBER(T15),T15&lt;&gt;0),Y15/T15-1,""),"")</f>
        <v>0.0486570412117804</v>
      </c>
      <c r="Z315" s="257">
        <f>IFERROR(IF(AND(ISNUMBER(Z15),ISNUMBER(U15),U15&lt;&gt;0),Z15/U15-1,""),"")</f>
        <v>0.0606940937227647</v>
      </c>
      <c r="AA315" s="257">
        <f>IFERROR(IF(AND(ISNUMBER(AA15),ISNUMBER(V15),V15&lt;&gt;0),AA15/V15-1,""),"")</f>
        <v>0.0395149487769182</v>
      </c>
      <c r="AB315" s="257">
        <f>IFERROR(IF(AND(ISNUMBER(AB15),ISNUMBER(W15),W15&lt;&gt;0),AB15/W15-1,""),"")</f>
        <v>0.0260664858726596</v>
      </c>
      <c r="AC315" s="257">
        <f>IFERROR(IF(AND(ISNUMBER(AC15),ISNUMBER(X15),X15&lt;&gt;0),AC15/X15-1,""),"")</f>
        <v>0.0507531431467829</v>
      </c>
      <c r="AD315" s="257">
        <f>IFERROR(IF(AND(ISNUMBER(AD15),ISNUMBER(Y15),Y15&lt;&gt;0),AD15/Y15-1,""),"")</f>
        <v>0.0962845518029309</v>
      </c>
      <c r="AE315" s="257">
        <f>IFERROR(IF(AND(ISNUMBER(AE15),ISNUMBER(Z15),Z15&lt;&gt;0),AE15/Z15-1,""),"")</f>
        <v>0.0793848098598968</v>
      </c>
      <c r="AF315" s="257">
        <f>IFERROR(IF(AND(ISNUMBER(AF15),ISNUMBER(AA15),AA15&lt;&gt;0),AF15/AA15-1,""),"")</f>
        <v>0.156524537409493</v>
      </c>
      <c r="AG315" s="257">
        <f>IFERROR(IF(AND(ISNUMBER(AG15),ISNUMBER(AB15),AB15&lt;&gt;0),AG15/AB15-1,""),"")</f>
        <v>0.100710026278553</v>
      </c>
      <c r="AH315" s="257">
        <f>IFERROR(IF(AND(ISNUMBER(AH15),ISNUMBER(AC15),AC15&lt;&gt;0),AH15/AC15-1,""),"")</f>
        <v>0.16595182415923</v>
      </c>
      <c r="AI315" s="257">
        <f>IFERROR(IF(AND(ISNUMBER(AI15),ISNUMBER(AD15),AD15&lt;&gt;0),AI15/AD15-1,""),"")</f>
        <v>0.163565017652814</v>
      </c>
      <c r="AJ315" s="257">
        <f>IFERROR(IF(AND(ISNUMBER(AJ15),ISNUMBER(AE15),AE15&lt;&gt;0),AJ15/AE15-1,""),"")</f>
        <v>0.118743980671858</v>
      </c>
      <c r="AK315" s="257">
        <f>IFERROR(IF(AND(ISNUMBER(AK15),ISNUMBER(AF15),AF15&lt;&gt;0),AK15/AF15-1,""),"")</f>
        <v>0.118743980671858</v>
      </c>
      <c r="AL315" s="257">
        <f>IFERROR(IF(AND(ISNUMBER(AL15),ISNUMBER(AG15),AG15&lt;&gt;0),AL15/AG15-1,""),"")</f>
        <v>0.138753493112037</v>
      </c>
      <c r="AM315" s="257">
        <f>IFERROR(IF(AND(ISNUMBER(AM15),ISNUMBER(AH15),AH15&lt;&gt;0),AM15/AH15-1,""),"")</f>
        <v>0.118743980671858</v>
      </c>
      <c r="AN315" s="257">
        <f>IFERROR(IF(AND(ISNUMBER(AN15),ISNUMBER(AI15),AI15&lt;&gt;0),AN15/AI15-1,""),"")</f>
        <v>0.118743980671858</v>
      </c>
      <c r="AO315" s="257">
        <f>IFERROR(IF(AND(ISNUMBER(AO15),ISNUMBER(AJ15),AJ15&lt;&gt;0),AO15/AJ15-1,""),"")</f>
        <v>0.118743980671858</v>
      </c>
      <c r="AP315" s="257">
        <f>IFERROR(IF(AND(ISNUMBER(AP15),ISNUMBER(AK15),AK15&lt;&gt;0),AP15/AK15-1,""),"")</f>
        <v>0.118743980671858</v>
      </c>
      <c r="AQ315" s="257">
        <f>IFERROR(IF(AND(ISNUMBER(AQ15),ISNUMBER(AL15),AL15&lt;&gt;0),AQ15/AL15-1,""),"")</f>
        <v>0.118743980671858</v>
      </c>
      <c r="AR315" s="257">
        <f>IFERROR(IF(AND(ISNUMBER(AR15),ISNUMBER(AM15),AM15&lt;&gt;0),AR15/AM15-1,""),"")</f>
        <v>0.113743980671858</v>
      </c>
      <c r="AS315" s="257">
        <f>IFERROR(IF(AND(ISNUMBER(AS15),ISNUMBER(AN15),AN15&lt;&gt;0),AS15/AN15-1,""),"")</f>
        <v>0.113743980671858</v>
      </c>
      <c r="AT315" s="257">
        <f>IFERROR(IF(AND(ISNUMBER(AT15),ISNUMBER(AO15),AO15&lt;&gt;0),AT15/AO15-1,""),"")</f>
        <v>0.113743980671858</v>
      </c>
      <c r="AU315" s="257">
        <f>IFERROR(IF(AND(ISNUMBER(AU15),ISNUMBER(AP15),AP15&lt;&gt;0),AU15/AP15-1,""),"")</f>
        <v>0.113743980671858</v>
      </c>
      <c r="AV315" s="257">
        <f>IFERROR(IF(AND(ISNUMBER(AV15),ISNUMBER(AQ15),AQ15&lt;&gt;0),AV15/AQ15-1,""),"")</f>
        <v>0.113743980671858</v>
      </c>
      <c r="AW315" s="257">
        <f>IFERROR(IF(AND(ISNUMBER(AW15),ISNUMBER(AR15),AR15&lt;&gt;0),AW15/AR15-1,""),"")</f>
        <v>0.108743980671858</v>
      </c>
      <c r="AX315" s="257">
        <f>IFERROR(IF(AND(ISNUMBER(AX15),ISNUMBER(AS15),AS15&lt;&gt;0),AX15/AS15-1,""),"")</f>
        <v>0.108743980671858</v>
      </c>
      <c r="AY315" s="257">
        <f>IFERROR(IF(AND(ISNUMBER(AY15),ISNUMBER(AT15),AT15&lt;&gt;0),AY15/AT15-1,""),"")</f>
        <v>0.108743980671858</v>
      </c>
      <c r="AZ315" s="257">
        <f>IFERROR(IF(AND(ISNUMBER(AZ15),ISNUMBER(AU15),AU15&lt;&gt;0),AZ15/AU15-1,""),"")</f>
        <v>0.108743980671858</v>
      </c>
      <c r="BA315" s="257">
        <f>IFERROR(IF(AND(ISNUMBER(BA15),ISNUMBER(AV15),AV15&lt;&gt;0),BA15/AV15-1,""),"")</f>
        <v>0.108743980671858</v>
      </c>
      <c r="BB315" s="257">
        <f>IFERROR(IF(AND(ISNUMBER(BB15),ISNUMBER(AW15),AW15&lt;&gt;0),BB15/AW15-1,""),"")</f>
        <v>0.103743980671858</v>
      </c>
      <c r="BC315" s="257">
        <f>IFERROR(IF(AND(ISNUMBER(BC15),ISNUMBER(AX15),AX15&lt;&gt;0),BC15/AX15-1,""),"")</f>
        <v>0.103743980671858</v>
      </c>
      <c r="BD315" s="257">
        <f>IFERROR(IF(AND(ISNUMBER(BD15),ISNUMBER(AY15),AY15&lt;&gt;0),BD15/AY15-1,""),"")</f>
        <v>0.103743980671858</v>
      </c>
      <c r="BE315" s="257">
        <f>IFERROR(IF(AND(ISNUMBER(BE15),ISNUMBER(AZ15),AZ15&lt;&gt;0),BE15/AZ15-1,""),"")</f>
        <v>0.103743980671858</v>
      </c>
      <c r="BF315" s="257">
        <f>IFERROR(IF(AND(ISNUMBER(BF15),ISNUMBER(BA15),BA15&lt;&gt;0),BF15/BA15-1,""),"")</f>
        <v>0.103743980671858</v>
      </c>
      <c r="BG315" s="79" t="n"/>
      <c r="BH315" s="79" t="n"/>
      <c r="BI315" s="79" t="n"/>
      <c r="BJ315" s="79" t="n"/>
      <c r="BK315" s="78" t="n"/>
      <c r="BL315" s="79" t="n"/>
      <c r="BM315" s="79" t="n"/>
      <c r="BN315" s="79" t="n"/>
      <c r="BO315" s="79" t="n"/>
      <c r="BP315" s="78" t="n"/>
      <c r="BQ315" s="79" t="n"/>
      <c r="BR315" s="79" t="n"/>
      <c r="BS315" s="79" t="n"/>
      <c r="BT315" s="79" t="n"/>
      <c r="BU315" s="78" t="n"/>
      <c r="BV315" s="79" t="n"/>
      <c r="BW315" s="79" t="n"/>
      <c r="BX315" s="79" t="n"/>
      <c r="BY315" s="79" t="n"/>
      <c r="BZ315" s="78" t="n"/>
      <c r="CA315" s="79" t="n"/>
      <c r="CB315" s="79" t="n"/>
      <c r="CC315" s="79" t="n"/>
      <c r="CD315" s="79" t="n"/>
      <c r="CE315" s="78" t="n"/>
      <c r="CF315" s="79" t="n"/>
      <c r="CG315" s="79" t="n"/>
      <c r="CH315" s="79" t="n"/>
      <c r="CI315" s="79" t="n"/>
      <c r="CJ315" s="78" t="n"/>
      <c r="CK315" s="79" t="n"/>
      <c r="CL315" s="79" t="n"/>
      <c r="CM315" s="79" t="n"/>
      <c r="CN315" s="79" t="n"/>
      <c r="CO315" s="78" t="n"/>
      <c r="CP315" s="79" t="n"/>
      <c r="CQ315" s="79" t="n"/>
      <c r="CR315" s="79" t="n"/>
      <c r="CS315" s="79" t="n"/>
      <c r="CT315" s="78" t="n"/>
      <c r="CU315" s="79" t="n"/>
      <c r="CV315" s="79" t="n"/>
      <c r="CW315" s="79" t="n"/>
      <c r="CX315" s="79" t="n"/>
      <c r="CY315" s="78" t="n"/>
    </row>
    <row r="316" customFormat="1" s="77">
      <c r="A316" s="76" t="n"/>
      <c r="B316" s="76" t="n"/>
      <c r="C316" s="77" t="inlineStr">
        <is>
          <t>GROSS MARGIN</t>
        </is>
      </c>
      <c r="D316" s="79" t="str">
        <f>IFERROR(SUM(D15,D48)/D15,"")</f>
        <v/>
      </c>
      <c r="E316" s="79" t="str">
        <f>IFERROR(SUM(E15,E48)/E15,"")</f>
        <v/>
      </c>
      <c r="F316" s="79" t="str">
        <f>IFERROR(SUM(F15,F48)/F15,"")</f>
        <v/>
      </c>
      <c r="G316" s="79" t="str">
        <f>IFERROR(SUM(G15,G48)/G15,"")</f>
        <v/>
      </c>
      <c r="H316" s="258" t="str">
        <f>IFERROR(IF(N(H15)&lt;&gt;0,(H15+H48)/H15,""),"")</f>
        <v/>
      </c>
      <c r="I316" s="258">
        <f>IFERROR(IF(N(I15)&lt;&gt;0,(I15+I48)/I15,""),"")</f>
        <v>0.425064743704233</v>
      </c>
      <c r="J316" s="258">
        <f>IFERROR(IF(N(J15)&lt;&gt;0,(J15+J48)/J15,""),"")</f>
        <v>0.432927278532308</v>
      </c>
      <c r="K316" s="258">
        <f>IFERROR(IF(N(K15)&lt;&gt;0,(K15+K48)/K15,""),"")</f>
        <v>0.421952975047985</v>
      </c>
      <c r="L316" s="258">
        <f>IFERROR(IF(N(L15)&lt;&gt;0,(L15+L48)/L15,""),"")</f>
        <v>0.43763766186615</v>
      </c>
      <c r="M316" s="258">
        <f>IFERROR(IF(N(M15)&lt;&gt;0,(M15+M48)/M15,""),"")</f>
        <v>0.430190604324876</v>
      </c>
      <c r="N316" s="258">
        <f>IFERROR(IF(N(N15)&lt;&gt;0,(N15+N48)/N15,""),"")</f>
        <v>0.437498715022924</v>
      </c>
      <c r="O316" s="258">
        <f>IFERROR(IF(N(O15)&lt;&gt;0,(O15+O48)/O15,""),"")</f>
        <v>0.432563073325378</v>
      </c>
      <c r="P316" s="258">
        <f>IFERROR(IF(N(P15)&lt;&gt;0,(P15+P48)/P15,""),"")</f>
        <v>0.422592239256318</v>
      </c>
      <c r="Q316" s="258">
        <f>IFERROR(IF(N(Q15)&lt;&gt;0,(Q15+Q48)/Q15,""),"")</f>
        <v>0.429622548099083</v>
      </c>
      <c r="R316" s="258">
        <f>IFERROR(IF(N(R15)&lt;&gt;0,(R15+R48)/R15,""),"")</f>
        <v>0.4305937239541</v>
      </c>
      <c r="S316" s="258">
        <f>IFERROR(IF(N(S15)&lt;&gt;0,(S15+S48)/S15,""),"")</f>
        <v>0.442616727824877</v>
      </c>
      <c r="T316" s="258">
        <f>IFERROR(IF(N(T15)&lt;&gt;0,(T15+T48)/T15,""),"")</f>
        <v>0.445163025538834</v>
      </c>
      <c r="U316" s="258">
        <f>IFERROR(IF(N(U15)&lt;&gt;0,(U15+U48)/U15,""),"")</f>
        <v>0.451708418065208</v>
      </c>
      <c r="V316" s="258">
        <f>IFERROR(IF(N(V15)&lt;&gt;0,(V15+V48)/V15,""),"")</f>
        <v>0.458749738657746</v>
      </c>
      <c r="W316" s="258">
        <f>IFERROR(IF(N(W15)&lt;&gt;0,(W15+W48)/W15,""),"")</f>
        <v>0.450267820567997</v>
      </c>
      <c r="X316" s="258">
        <f>IFERROR(IF(N(X15)&lt;&gt;0,(X15+X48)/X15,""),"")</f>
        <v>0.465780745540092</v>
      </c>
      <c r="Y316" s="258">
        <f>IFERROR(IF(N(Y15)&lt;&gt;0,(Y15+Y48)/Y15,""),"")</f>
        <v>0.462571551814589</v>
      </c>
      <c r="Z316" s="258">
        <f>IFERROR(IF(N(Z15)&lt;&gt;0,(Z15+Z48)/Z15,""),"")</f>
        <v>0.462224797219004</v>
      </c>
      <c r="AA316" s="258">
        <f>IFERROR(IF(N(AA15)&lt;&gt;0,(AA15+AA48)/AA15,""),"")</f>
        <v>0.468825422365245</v>
      </c>
      <c r="AB316" s="258">
        <f>IFERROR(IF(N(AB15)&lt;&gt;0,(AB15+AB48)/AB15,""),"")</f>
        <v>0.465188498079644</v>
      </c>
      <c r="AC316" s="258">
        <f>IFERROR(IF(N(AC15)&lt;&gt;0,(AC15+AC48)/AC15,""),"")</f>
        <v>0.470506192388762</v>
      </c>
      <c r="AD316" s="258">
        <f>IFERROR(IF(N(AD15)&lt;&gt;0,(AD15+AD48)/AD15,""),"")</f>
        <v>0.464907056871836</v>
      </c>
      <c r="AE316" s="258">
        <f>IFERROR(IF(N(AE15)&lt;&gt;0,(AE15+AE48)/AE15,""),"")</f>
        <v>0.471776003747585</v>
      </c>
      <c r="AF316" s="258">
        <f>IFERROR(IF(N(AF15)&lt;&gt;0,(AF15+AF48)/AF15,""),"")</f>
        <v>0.481586855505162</v>
      </c>
      <c r="AG316" s="258">
        <f>IFERROR(IF(N(AG15)&lt;&gt;0,(AG15+AG48)/AG15,""),"")</f>
        <v>0.47325288039723</v>
      </c>
      <c r="AH316" s="258">
        <f>IFERROR(IF(N(AH15)&lt;&gt;0,(AH15+AH48)/AH15,""),"")</f>
        <v>0.492705785005037</v>
      </c>
      <c r="AI316" s="258">
        <f>IFERROR(IF(N(AI15)&lt;&gt;0,(AI15+AI48)/AI15,""),"")</f>
        <v>0.500562069879452</v>
      </c>
      <c r="AJ316" s="258">
        <f>IFERROR(IF(N(AJ15)&lt;&gt;0,(AJ15+AJ48)/AJ15,""),"")</f>
        <v>0.480340660566306</v>
      </c>
      <c r="AK316" s="258">
        <f>IFERROR(IF(N(AK15)&lt;&gt;0,(AK15+AK48)/AK15,""),"")</f>
        <v>0.480340660566306</v>
      </c>
      <c r="AL316" s="258">
        <f>IFERROR(IF(N(AL15)&lt;&gt;0,(AL15+AL48)/AL15,""),"")</f>
        <v>0.487572380897316</v>
      </c>
      <c r="AM316" s="258">
        <f>IFERROR(IF(N(AM15)&lt;&gt;0,(AM15+AM48)/AM15,""),"")</f>
        <v>0.480340660566306</v>
      </c>
      <c r="AN316" s="258">
        <f>IFERROR(IF(N(AN15)&lt;&gt;0,(AN15+AN48)/AN15,""),"")</f>
        <v>0.480340660566306</v>
      </c>
      <c r="AO316" s="258">
        <f>IFERROR(IF(N(AO15)&lt;&gt;0,(AO15+AO48)/AO15,""),"")</f>
        <v>0.480340660566306</v>
      </c>
      <c r="AP316" s="258">
        <f>IFERROR(IF(N(AP15)&lt;&gt;0,(AP15+AP48)/AP15,""),"")</f>
        <v>0.480340660566306</v>
      </c>
      <c r="AQ316" s="258">
        <f>IFERROR(IF(N(AQ15)&lt;&gt;0,(AQ15+AQ48)/AQ15,""),"")</f>
        <v>0.480340660566306</v>
      </c>
      <c r="AR316" s="258">
        <f>IFERROR(IF(N(AR15)&lt;&gt;0,(AR15+AR48)/AR15,""),"")</f>
        <v>0.480340660566306</v>
      </c>
      <c r="AS316" s="258">
        <f>IFERROR(IF(N(AS15)&lt;&gt;0,(AS15+AS48)/AS15,""),"")</f>
        <v>0.480340660566306</v>
      </c>
      <c r="AT316" s="258">
        <f>IFERROR(IF(N(AT15)&lt;&gt;0,(AT15+AT48)/AT15,""),"")</f>
        <v>0.480340660566306</v>
      </c>
      <c r="AU316" s="258">
        <f>IFERROR(IF(N(AU15)&lt;&gt;0,(AU15+AU48)/AU15,""),"")</f>
        <v>0.480340660566306</v>
      </c>
      <c r="AV316" s="258">
        <f>IFERROR(IF(N(AV15)&lt;&gt;0,(AV15+AV48)/AV15,""),"")</f>
        <v>0.480340660566306</v>
      </c>
      <c r="AW316" s="258">
        <f>IFERROR(IF(N(AW15)&lt;&gt;0,(AW15+AW48)/AW15,""),"")</f>
        <v>0.480340660566306</v>
      </c>
      <c r="AX316" s="258">
        <f>IFERROR(IF(N(AX15)&lt;&gt;0,(AX15+AX48)/AX15,""),"")</f>
        <v>0.480340660566306</v>
      </c>
      <c r="AY316" s="258">
        <f>IFERROR(IF(N(AY15)&lt;&gt;0,(AY15+AY48)/AY15,""),"")</f>
        <v>0.480340660566306</v>
      </c>
      <c r="AZ316" s="258">
        <f>IFERROR(IF(N(AZ15)&lt;&gt;0,(AZ15+AZ48)/AZ15,""),"")</f>
        <v>0.480340660566306</v>
      </c>
      <c r="BA316" s="258">
        <f>IFERROR(IF(N(BA15)&lt;&gt;0,(BA15+BA48)/BA15,""),"")</f>
        <v>0.480340660566306</v>
      </c>
      <c r="BB316" s="258">
        <f>IFERROR(IF(N(BB15)&lt;&gt;0,(BB15+BB48)/BB15,""),"")</f>
        <v>0.480340660566306</v>
      </c>
      <c r="BC316" s="258">
        <f>IFERROR(IF(N(BC15)&lt;&gt;0,(BC15+BC48)/BC15,""),"")</f>
        <v>0.480340660566306</v>
      </c>
      <c r="BD316" s="258">
        <f>IFERROR(IF(N(BD15)&lt;&gt;0,(BD15+BD48)/BD15,""),"")</f>
        <v>0.480340660566306</v>
      </c>
      <c r="BE316" s="258">
        <f>IFERROR(IF(N(BE15)&lt;&gt;0,(BE15+BE48)/BE15,""),"")</f>
        <v>0.480340660566306</v>
      </c>
      <c r="BF316" s="258">
        <f>IFERROR(IF(N(BF15)&lt;&gt;0,(BF15+BF48)/BF15,""),"")</f>
        <v>0.480340660566306</v>
      </c>
      <c r="BG316" s="80" t="n"/>
      <c r="BH316" s="80" t="n"/>
      <c r="BI316" s="80" t="n"/>
      <c r="BJ316" s="80" t="n"/>
      <c r="BL316" s="80" t="n"/>
      <c r="BM316" s="80" t="n"/>
      <c r="BN316" s="80" t="n"/>
      <c r="BO316" s="80" t="n"/>
      <c r="BQ316" s="80" t="n"/>
      <c r="BR316" s="80" t="n"/>
      <c r="BS316" s="80" t="n"/>
      <c r="BT316" s="80" t="n"/>
      <c r="BV316" s="80" t="n"/>
      <c r="BW316" s="80" t="n"/>
      <c r="BX316" s="80" t="n"/>
      <c r="BY316" s="80" t="n"/>
      <c r="CA316" s="80" t="n"/>
      <c r="CB316" s="80" t="n"/>
      <c r="CC316" s="80" t="n"/>
      <c r="CD316" s="80" t="n"/>
      <c r="CF316" s="80" t="n"/>
      <c r="CG316" s="80" t="n"/>
      <c r="CH316" s="80" t="n"/>
      <c r="CI316" s="80" t="n"/>
      <c r="CK316" s="80" t="n"/>
      <c r="CL316" s="80" t="n"/>
      <c r="CM316" s="80" t="n"/>
      <c r="CN316" s="80" t="n"/>
      <c r="CP316" s="80" t="n"/>
      <c r="CQ316" s="80" t="n"/>
      <c r="CR316" s="80" t="n"/>
      <c r="CS316" s="80" t="n"/>
      <c r="CU316" s="80" t="n"/>
      <c r="CV316" s="80" t="n"/>
      <c r="CW316" s="80" t="n"/>
      <c r="CX316" s="80" t="n"/>
    </row>
    <row r="317" customFormat="1" s="77">
      <c r="A317" s="76" t="n"/>
      <c r="B317" s="76" t="n"/>
      <c r="C317" s="77" t="inlineStr">
        <is>
          <t>EBIT MARGIN</t>
        </is>
      </c>
      <c r="D317" s="78" t="str">
        <f>IFERROR((D67/D15),"")</f>
        <v/>
      </c>
      <c r="E317" s="78" t="str">
        <f>IFERROR((E67/E15),"")</f>
        <v/>
      </c>
      <c r="F317" s="78" t="str">
        <f>IFERROR((F67/F15),"")</f>
        <v/>
      </c>
      <c r="G317" s="78" t="str">
        <f>IFERROR((G67/G15),"")</f>
        <v/>
      </c>
      <c r="H317" s="258" t="str">
        <f>IFERROR(IF(N(H15)&lt;&gt;0,H67/H15,""),"")</f>
        <v/>
      </c>
      <c r="I317" s="257">
        <f>IFERROR(IF(N(I15)&lt;&gt;0,I67/I15,""),"")</f>
        <v>0.30700794784783</v>
      </c>
      <c r="J317" s="257">
        <f>IFERROR(IF(N(J15)&lt;&gt;0,J67/J15,""),"")</f>
        <v>0.296264459562345</v>
      </c>
      <c r="K317" s="257">
        <f>IFERROR(IF(N(K15)&lt;&gt;0,K67/K15,""),"")</f>
        <v>0.285340690978887</v>
      </c>
      <c r="L317" s="257">
        <f>IFERROR(IF(N(L15)&lt;&gt;0,L67/L15,""),"")</f>
        <v>0.334729113719795</v>
      </c>
      <c r="M317" s="258">
        <f>IFERROR(IF(N(M15)&lt;&gt;0,M67/M15,""),"")</f>
        <v>0.309003153390093</v>
      </c>
      <c r="N317" s="257">
        <f>IFERROR(IF(N(N15)&lt;&gt;0,N67/N15,""),"")</f>
        <v>0.308178622093382</v>
      </c>
      <c r="O317" s="257">
        <f>IFERROR(IF(N(O15)&lt;&gt;0,O67/O15,""),"")</f>
        <v>0.278161501464579</v>
      </c>
      <c r="P317" s="257">
        <f>IFERROR(IF(N(P15)&lt;&gt;0,P67/P15,""),"")</f>
        <v>0.276152020056353</v>
      </c>
      <c r="Q317" s="257">
        <f>IFERROR(IF(N(Q15)&lt;&gt;0,Q67/Q15,""),"")</f>
        <v>0.307424415726309</v>
      </c>
      <c r="R317" s="258">
        <f>IFERROR(IF(N(R15)&lt;&gt;0,R67/R15,""),"")</f>
        <v>0.294075146373121</v>
      </c>
      <c r="S317" s="257">
        <f>IFERROR(IF(N(S15)&lt;&gt;0,S67/S15,""),"")</f>
        <v>0.298599687882239</v>
      </c>
      <c r="T317" s="257">
        <f>IFERROR(IF(N(T15)&lt;&gt;0,T67/T15,""),"")</f>
        <v>0.28115945572576</v>
      </c>
      <c r="U317" s="257">
        <f>IFERROR(IF(N(U15)&lt;&gt;0,U67/U15,""),"")</f>
        <v>0.301336342711569</v>
      </c>
      <c r="V317" s="257">
        <f>IFERROR(IF(N(V15)&lt;&gt;0,V67/V15,""),"")</f>
        <v>0.337637466025507</v>
      </c>
      <c r="W317" s="258">
        <f>IFERROR(IF(N(W15)&lt;&gt;0,W67/W15,""),"")</f>
        <v>0.307638460381742</v>
      </c>
      <c r="X317" s="257">
        <f>IFERROR(IF(N(X15)&lt;&gt;0,X67/X15,""),"")</f>
        <v>0.307427853624674</v>
      </c>
      <c r="Y317" s="257">
        <f>IFERROR(IF(N(Y15)&lt;&gt;0,Y67/Y15,""),"")</f>
        <v>0.295557084066824</v>
      </c>
      <c r="Z317" s="257">
        <f>IFERROR(IF(N(Z15)&lt;&gt;0,Z67/Z15,""),"")</f>
        <v>0.311713894448541</v>
      </c>
      <c r="AA317" s="257">
        <f>IFERROR(IF(N(AA15)&lt;&gt;0,AA67/AA15,""),"")</f>
        <v>0.344585679806919</v>
      </c>
      <c r="AB317" s="258">
        <f>IFERROR(IF(N(AB15)&lt;&gt;0,AB67/AB15,""),"")</f>
        <v>0.31755356781888</v>
      </c>
      <c r="AC317" s="257">
        <f>IFERROR(IF(N(AC15)&lt;&gt;0,AC67/AC15,""),"")</f>
        <v>0.310290586100945</v>
      </c>
      <c r="AD317" s="257">
        <f>IFERROR(IF(N(AD15)&lt;&gt;0,AD67/AD15,""),"")</f>
        <v>0.299906418818325</v>
      </c>
      <c r="AE317" s="257">
        <f>IFERROR(IF(N(AE15)&lt;&gt;0,AE67/AE15,""),"")</f>
        <v>0.31646594968087</v>
      </c>
      <c r="AF317" s="257">
        <f>IFERROR(IF(N(AF15)&lt;&gt;0,AF67/AF15,""),"")</f>
        <v>0.353738278750104</v>
      </c>
      <c r="AG317" s="258">
        <f>IFERROR(IF(N(AG15)&lt;&gt;0,AG67/AG15,""),"")</f>
        <v>0.323839519577978</v>
      </c>
      <c r="AH317" s="257">
        <f>IFERROR(IF(N(AH15)&lt;&gt;0,AH67/AH15,""),"")</f>
        <v>0.322753273852353</v>
      </c>
      <c r="AI317" s="257">
        <f>IFERROR(IF(N(AI15)&lt;&gt;0,AI67/AI15,""),"")</f>
        <v>0.326229013772997</v>
      </c>
      <c r="AJ317" s="257">
        <f>IFERROR(IF(N(AJ15)&lt;&gt;0,AJ67/AJ15,""),"")</f>
        <v>0.321563920162599</v>
      </c>
      <c r="AK317" s="257">
        <f>IFERROR(IF(N(AK15)&lt;&gt;0,AK67/AK15,""),"")</f>
        <v>0.321563920162599</v>
      </c>
      <c r="AL317" s="258">
        <f>IFERROR(IF(N(AL15)&lt;&gt;0,AL67/AL15,""),"")</f>
        <v>0.322859483512529</v>
      </c>
      <c r="AM317" s="257">
        <f>IFERROR(IF(N(AM15)&lt;&gt;0,AM67/AM15,""),"")</f>
        <v>0.321563920162599</v>
      </c>
      <c r="AN317" s="257">
        <f>IFERROR(IF(N(AN15)&lt;&gt;0,AN67/AN15,""),"")</f>
        <v>0.321563920162599</v>
      </c>
      <c r="AO317" s="257">
        <f>IFERROR(IF(N(AO15)&lt;&gt;0,AO67/AO15,""),"")</f>
        <v>0.321563920162599</v>
      </c>
      <c r="AP317" s="257">
        <f>IFERROR(IF(N(AP15)&lt;&gt;0,AP67/AP15,""),"")</f>
        <v>0.321563920162599</v>
      </c>
      <c r="AQ317" s="258">
        <f>IFERROR(IF(N(AQ15)&lt;&gt;0,AQ67/AQ15,""),"")</f>
        <v>0.321563920162599</v>
      </c>
      <c r="AR317" s="257">
        <f>IFERROR(IF(N(AR15)&lt;&gt;0,AR67/AR15,""),"")</f>
        <v>0.321563920162599</v>
      </c>
      <c r="AS317" s="257">
        <f>IFERROR(IF(N(AS15)&lt;&gt;0,AS67/AS15,""),"")</f>
        <v>0.321563920162599</v>
      </c>
      <c r="AT317" s="257">
        <f>IFERROR(IF(N(AT15)&lt;&gt;0,AT67/AT15,""),"")</f>
        <v>0.321563920162599</v>
      </c>
      <c r="AU317" s="257">
        <f>IFERROR(IF(N(AU15)&lt;&gt;0,AU67/AU15,""),"")</f>
        <v>0.321563920162599</v>
      </c>
      <c r="AV317" s="258">
        <f>IFERROR(IF(N(AV15)&lt;&gt;0,AV67/AV15,""),"")</f>
        <v>0.321563920162599</v>
      </c>
      <c r="AW317" s="257">
        <f>IFERROR(IF(N(AW15)&lt;&gt;0,AW67/AW15,""),"")</f>
        <v>0.321563920162599</v>
      </c>
      <c r="AX317" s="257">
        <f>IFERROR(IF(N(AX15)&lt;&gt;0,AX67/AX15,""),"")</f>
        <v>0.321563920162599</v>
      </c>
      <c r="AY317" s="257">
        <f>IFERROR(IF(N(AY15)&lt;&gt;0,AY67/AY15,""),"")</f>
        <v>0.321563920162599</v>
      </c>
      <c r="AZ317" s="257">
        <f>IFERROR(IF(N(AZ15)&lt;&gt;0,AZ67/AZ15,""),"")</f>
        <v>0.321563920162599</v>
      </c>
      <c r="BA317" s="258">
        <f>IFERROR(IF(N(BA15)&lt;&gt;0,BA67/BA15,""),"")</f>
        <v>0.321563920162599</v>
      </c>
      <c r="BB317" s="257">
        <f>IFERROR(IF(N(BB15)&lt;&gt;0,BB67/BB15,""),"")</f>
        <v>0.321563920162599</v>
      </c>
      <c r="BC317" s="257">
        <f>IFERROR(IF(N(BC15)&lt;&gt;0,BC67/BC15,""),"")</f>
        <v>0.321563920162599</v>
      </c>
      <c r="BD317" s="257">
        <f>IFERROR(IF(N(BD15)&lt;&gt;0,BD67/BD15,""),"")</f>
        <v>0.321563920162599</v>
      </c>
      <c r="BE317" s="257">
        <f>IFERROR(IF(N(BE15)&lt;&gt;0,BE67/BE15,""),"")</f>
        <v>0.321563920162599</v>
      </c>
      <c r="BF317" s="258">
        <f>IFERROR(IF(N(BF15)&lt;&gt;0,BF67/BF15,""),"")</f>
        <v>0.321563920162599</v>
      </c>
      <c r="BG317" s="81" t="n"/>
      <c r="BH317" s="81" t="n"/>
      <c r="BI317" s="81" t="n"/>
      <c r="BJ317" s="81" t="n"/>
      <c r="BL317" s="81" t="n"/>
      <c r="BM317" s="81" t="n"/>
      <c r="BN317" s="81" t="n"/>
      <c r="BO317" s="81" t="n"/>
      <c r="BQ317" s="81" t="n"/>
      <c r="BR317" s="81" t="n"/>
      <c r="BS317" s="81" t="n"/>
      <c r="BT317" s="81" t="n"/>
      <c r="BV317" s="81" t="n"/>
      <c r="BW317" s="81" t="n"/>
      <c r="BX317" s="81" t="n"/>
      <c r="BY317" s="81" t="n"/>
      <c r="CA317" s="81" t="n"/>
      <c r="CB317" s="81" t="n"/>
      <c r="CC317" s="81" t="n"/>
      <c r="CD317" s="81" t="n"/>
      <c r="CF317" s="81" t="n"/>
      <c r="CG317" s="81" t="n"/>
      <c r="CH317" s="81" t="n"/>
      <c r="CI317" s="81" t="n"/>
      <c r="CK317" s="81" t="n"/>
      <c r="CL317" s="81" t="n"/>
      <c r="CM317" s="81" t="n"/>
      <c r="CN317" s="81" t="n"/>
      <c r="CP317" s="81" t="n"/>
      <c r="CQ317" s="81" t="n"/>
      <c r="CR317" s="81" t="n"/>
      <c r="CS317" s="81" t="n"/>
      <c r="CU317" s="81" t="n"/>
      <c r="CV317" s="81" t="n"/>
      <c r="CW317" s="81" t="n"/>
      <c r="CX317" s="81" t="n"/>
    </row>
    <row r="318" customFormat="1" s="77">
      <c r="A318" s="76" t="n"/>
      <c r="B318" s="76" t="n"/>
      <c r="C318" s="77" t="inlineStr">
        <is>
          <t>EBITDA MARGIN</t>
        </is>
      </c>
      <c r="D318" s="78" t="str">
        <f>IFERROR(D63/D15,"")</f>
        <v/>
      </c>
      <c r="E318" s="78" t="str">
        <f>IFERROR(E63/E15,"")</f>
        <v/>
      </c>
      <c r="F318" s="78" t="str">
        <f>IFERROR(F63/F15,"")</f>
        <v/>
      </c>
      <c r="G318" s="78" t="str">
        <f>IFERROR(G63/G15,"")</f>
        <v/>
      </c>
      <c r="H318" s="258" t="str">
        <f>IFERROR(IF(N(H15)&lt;&gt;0,H63/H15,""),"")</f>
        <v/>
      </c>
      <c r="I318" s="257">
        <f>IFERROR(IF(N(I15)&lt;&gt;0,I63/I15,""),"")</f>
        <v>0.303089837470977</v>
      </c>
      <c r="J318" s="257">
        <f>IFERROR(IF(N(J15)&lt;&gt;0,J63/J15,""),"")</f>
        <v>0.331041088488838</v>
      </c>
      <c r="K318" s="257">
        <f>IFERROR(IF(N(K15)&lt;&gt;0,K63/K15,""),"")</f>
        <v>0.321197216890595</v>
      </c>
      <c r="L318" s="257">
        <f>IFERROR(IF(N(L15)&lt;&gt;0,L63/L15,""),"")</f>
        <v>0.356488765178103</v>
      </c>
      <c r="M318" s="258">
        <f>IFERROR(IF(N(M15)&lt;&gt;0,M63/M15,""),"")</f>
        <v>0.330590527142151</v>
      </c>
      <c r="N318" s="257">
        <f>IFERROR(IF(N(N15)&lt;&gt;0,N63/N15,""),"")</f>
        <v>0.336314480149674</v>
      </c>
      <c r="O318" s="257">
        <f>IFERROR(IF(N(O15)&lt;&gt;0,O63/O15,""),"")</f>
        <v>0.311973384442918</v>
      </c>
      <c r="P318" s="257">
        <f>IFERROR(IF(N(P15)&lt;&gt;0,P63/P15,""),"")</f>
        <v>0.307933796286025</v>
      </c>
      <c r="Q318" s="257">
        <f>IFERROR(IF(N(Q15)&lt;&gt;0,Q63/Q15,""),"")</f>
        <v>0.332314731037779</v>
      </c>
      <c r="R318" s="258">
        <f>IFERROR(IF(N(R15)&lt;&gt;0,R63/R15,""),"")</f>
        <v>0.323293001700483</v>
      </c>
      <c r="S318" s="257">
        <f>IFERROR(IF(N(S15)&lt;&gt;0,S63/S15,""),"")</f>
        <v>0.329157703825552</v>
      </c>
      <c r="T318" s="257">
        <f>IFERROR(IF(N(T15)&lt;&gt;0,T63/T15,""),"")</f>
        <v>0.318471337579618</v>
      </c>
      <c r="U318" s="257">
        <f>IFERROR(IF(N(U15)&lt;&gt;0,U63/U15,""),"")</f>
        <v>0.330979463228229</v>
      </c>
      <c r="V318" s="257">
        <f>IFERROR(IF(N(V15)&lt;&gt;0,V63/V15,""),"")</f>
        <v>0.361455153669245</v>
      </c>
      <c r="W318" s="258">
        <f>IFERROR(IF(N(W15)&lt;&gt;0,W63/W15,""),"")</f>
        <v>0.337326875910668</v>
      </c>
      <c r="X318" s="257">
        <f>IFERROR(IF(N(X15)&lt;&gt;0,X63/X15,""),"")</f>
        <v>0.33867750928344</v>
      </c>
      <c r="Y318" s="257">
        <f>IFERROR(IF(N(Y15)&lt;&gt;0,Y63/Y15,""),"")</f>
        <v>0.328782773937069</v>
      </c>
      <c r="Z318" s="257">
        <f>IFERROR(IF(N(Z15)&lt;&gt;0,Z63/Z15,""),"")</f>
        <v>0.342378594754029</v>
      </c>
      <c r="AA318" s="257">
        <f>IFERROR(IF(N(AA15)&lt;&gt;0,AA63/AA15,""),"")</f>
        <v>0.369364440868866</v>
      </c>
      <c r="AB318" s="258">
        <f>IFERROR(IF(N(AB15)&lt;&gt;0,AB63/AB15,""),"")</f>
        <v>0.347058823529412</v>
      </c>
      <c r="AC318" s="257">
        <f>IFERROR(IF(N(AC15)&lt;&gt;0,AC63/AC15,""),"")</f>
        <v>0.338195660608857</v>
      </c>
      <c r="AD318" s="257">
        <f>IFERROR(IF(N(AD15)&lt;&gt;0,AD63/AD15,""),"")</f>
        <v>0.330001276107023</v>
      </c>
      <c r="AE318" s="257">
        <f>IFERROR(IF(N(AE15)&lt;&gt;0,AE63/AE15,""),"")</f>
        <v>0.346983389612164</v>
      </c>
      <c r="AF318" s="257">
        <f>IFERROR(IF(N(AF15)&lt;&gt;0,AF63/AF15,""),"")</f>
        <v>0.376095606444253</v>
      </c>
      <c r="AG318" s="258">
        <f>IFERROR(IF(N(AG15)&lt;&gt;0,AG63/AG15,""),"")</f>
        <v>0.351000993992429</v>
      </c>
      <c r="AH318" s="257">
        <f>IFERROR(IF(N(AH15)&lt;&gt;0,AH63/AH15,""),"")</f>
        <v>0.353683983306951</v>
      </c>
      <c r="AI318" s="257">
        <f>IFERROR(IF(N(AI15)&lt;&gt;0,AI63/AI15,""),"")</f>
        <v>0.356571647915772</v>
      </c>
      <c r="AJ318" s="257">
        <f>IFERROR(IF(N(AJ15)&lt;&gt;0,AJ63/AJ15,""),"")</f>
        <v>0.350255260665837</v>
      </c>
      <c r="AK318" s="257">
        <f>IFERROR(IF(N(AK15)&lt;&gt;0,AK63/AK15,""),"")</f>
        <v>0.350255260665837</v>
      </c>
      <c r="AL318" s="258">
        <f>IFERROR(IF(N(AL15)&lt;&gt;0,AL63/AL15,""),"")</f>
        <v>0.352416971788526</v>
      </c>
      <c r="AM318" s="257">
        <f>IFERROR(IF(N(AM15)&lt;&gt;0,AM63/AM15,""),"")</f>
        <v>0.350255260665837</v>
      </c>
      <c r="AN318" s="257">
        <f>IFERROR(IF(N(AN15)&lt;&gt;0,AN63/AN15,""),"")</f>
        <v>0.350255260665837</v>
      </c>
      <c r="AO318" s="257">
        <f>IFERROR(IF(N(AO15)&lt;&gt;0,AO63/AO15,""),"")</f>
        <v>0.350255260665837</v>
      </c>
      <c r="AP318" s="257">
        <f>IFERROR(IF(N(AP15)&lt;&gt;0,AP63/AP15,""),"")</f>
        <v>0.350255260665837</v>
      </c>
      <c r="AQ318" s="258">
        <f>IFERROR(IF(N(AQ15)&lt;&gt;0,AQ63/AQ15,""),"")</f>
        <v>0.350255260665837</v>
      </c>
      <c r="AR318" s="257">
        <f>IFERROR(IF(N(AR15)&lt;&gt;0,AR63/AR15,""),"")</f>
        <v>0.350255260665837</v>
      </c>
      <c r="AS318" s="257">
        <f>IFERROR(IF(N(AS15)&lt;&gt;0,AS63/AS15,""),"")</f>
        <v>0.350255260665837</v>
      </c>
      <c r="AT318" s="257">
        <f>IFERROR(IF(N(AT15)&lt;&gt;0,AT63/AT15,""),"")</f>
        <v>0.350255260665837</v>
      </c>
      <c r="AU318" s="257">
        <f>IFERROR(IF(N(AU15)&lt;&gt;0,AU63/AU15,""),"")</f>
        <v>0.350255260665837</v>
      </c>
      <c r="AV318" s="258">
        <f>IFERROR(IF(N(AV15)&lt;&gt;0,AV63/AV15,""),"")</f>
        <v>0.350255260665837</v>
      </c>
      <c r="AW318" s="257">
        <f>IFERROR(IF(N(AW15)&lt;&gt;0,AW63/AW15,""),"")</f>
        <v>0.350255260665837</v>
      </c>
      <c r="AX318" s="257">
        <f>IFERROR(IF(N(AX15)&lt;&gt;0,AX63/AX15,""),"")</f>
        <v>0.350255260665837</v>
      </c>
      <c r="AY318" s="257">
        <f>IFERROR(IF(N(AY15)&lt;&gt;0,AY63/AY15,""),"")</f>
        <v>0.350255260665837</v>
      </c>
      <c r="AZ318" s="257">
        <f>IFERROR(IF(N(AZ15)&lt;&gt;0,AZ63/AZ15,""),"")</f>
        <v>0.350255260665837</v>
      </c>
      <c r="BA318" s="258">
        <f>IFERROR(IF(N(BA15)&lt;&gt;0,BA63/BA15,""),"")</f>
        <v>0.350255260665837</v>
      </c>
      <c r="BB318" s="257">
        <f>IFERROR(IF(N(BB15)&lt;&gt;0,BB63/BB15,""),"")</f>
        <v>0.350255260665837</v>
      </c>
      <c r="BC318" s="257">
        <f>IFERROR(IF(N(BC15)&lt;&gt;0,BC63/BC15,""),"")</f>
        <v>0.350255260665837</v>
      </c>
      <c r="BD318" s="257">
        <f>IFERROR(IF(N(BD15)&lt;&gt;0,BD63/BD15,""),"")</f>
        <v>0.350255260665837</v>
      </c>
      <c r="BE318" s="257">
        <f>IFERROR(IF(N(BE15)&lt;&gt;0,BE63/BE15,""),"")</f>
        <v>0.350255260665837</v>
      </c>
      <c r="BF318" s="258">
        <f>IFERROR(IF(N(BF15)&lt;&gt;0,BF63/BF15,""),"")</f>
        <v>0.350255260665837</v>
      </c>
      <c r="BG318" s="81" t="n"/>
      <c r="BH318" s="81" t="n"/>
      <c r="BI318" s="81" t="n"/>
      <c r="BJ318" s="81" t="n"/>
      <c r="BL318" s="81" t="n"/>
      <c r="BM318" s="81" t="n"/>
      <c r="BN318" s="81" t="n"/>
      <c r="BO318" s="81" t="n"/>
      <c r="BQ318" s="81" t="n"/>
      <c r="BR318" s="81" t="n"/>
      <c r="BS318" s="81" t="n"/>
      <c r="BT318" s="81" t="n"/>
      <c r="BV318" s="81" t="n"/>
      <c r="BW318" s="81" t="n"/>
      <c r="BX318" s="81" t="n"/>
      <c r="BY318" s="81" t="n"/>
      <c r="CA318" s="81" t="n"/>
      <c r="CB318" s="81" t="n"/>
      <c r="CC318" s="81" t="n"/>
      <c r="CD318" s="81" t="n"/>
      <c r="CF318" s="81" t="n"/>
      <c r="CG318" s="81" t="n"/>
      <c r="CH318" s="81" t="n"/>
      <c r="CI318" s="81" t="n"/>
      <c r="CK318" s="81" t="n"/>
      <c r="CL318" s="81" t="n"/>
      <c r="CM318" s="81" t="n"/>
      <c r="CN318" s="81" t="n"/>
      <c r="CP318" s="81" t="n"/>
      <c r="CQ318" s="81" t="n"/>
      <c r="CR318" s="81" t="n"/>
      <c r="CS318" s="81" t="n"/>
      <c r="CU318" s="81" t="n"/>
      <c r="CV318" s="81" t="n"/>
      <c r="CW318" s="81" t="n"/>
      <c r="CX318" s="81" t="n"/>
    </row>
    <row r="319" customFormat="1" s="77">
      <c r="A319" s="76" t="n"/>
      <c r="B319" s="76" t="n"/>
      <c r="C319" s="77" t="inlineStr">
        <is>
          <t>ETR</t>
        </is>
      </c>
      <c r="D319" s="78" t="str">
        <f>IFERROR(-D125/D124,"")</f>
        <v/>
      </c>
      <c r="E319" s="78" t="str">
        <f>IFERROR(-E125/E124,"")</f>
        <v/>
      </c>
      <c r="F319" s="78" t="str">
        <f>IFERROR(-F125/F124,"")</f>
        <v/>
      </c>
      <c r="G319" s="78" t="str">
        <f>IFERROR(-G125/G124,"")</f>
        <v/>
      </c>
      <c r="H319" s="258" t="str">
        <f>IFERROR(IF(N(H124)&lt;&gt;0,-H125/H124,""),"")</f>
        <v/>
      </c>
      <c r="I319" s="257">
        <f>IFERROR(IF(N(I124)&lt;&gt;0,-I125/I124,""),"")</f>
        <v>0.156402841740745</v>
      </c>
      <c r="J319" s="257">
        <f>IFERROR(IF(N(J124)&lt;&gt;0,-J125/J124,""),"")</f>
        <v>0.107718823094916</v>
      </c>
      <c r="K319" s="257">
        <f>IFERROR(IF(N(K124)&lt;&gt;0,-K125/K124,""),"")</f>
        <v>0.116009979353063</v>
      </c>
      <c r="L319" s="257">
        <f>IFERROR(IF(N(L124)&lt;&gt;0,-L125/L124,""),"")</f>
        <v>0.160301641570282</v>
      </c>
      <c r="M319" s="258">
        <f>IFERROR(IF(N(M124)&lt;&gt;0,-M125/M124,""),"")</f>
        <v>0.139592192968195</v>
      </c>
      <c r="N319" s="257">
        <f>IFERROR(IF(N(N124)&lt;&gt;0,-N125/N124,""),"")</f>
        <v>0.170178174458343</v>
      </c>
      <c r="O319" s="257">
        <f>IFERROR(IF(N(O124)&lt;&gt;0,-O125/O124,""),"")</f>
        <v>0.157114367467268</v>
      </c>
      <c r="P319" s="257">
        <f>IFERROR(IF(N(P124)&lt;&gt;0,-P125/P124,""),"")</f>
        <v>0.159630125319382</v>
      </c>
      <c r="Q319" s="257">
        <f>IFERROR(IF(N(Q124)&lt;&gt;0,-Q125/Q124,""),"")</f>
        <v>0.157903601605704</v>
      </c>
      <c r="R319" s="258">
        <f>IFERROR(IF(N(R124)&lt;&gt;0,-R125/R124,""),"")</f>
        <v>0.161378155703397</v>
      </c>
      <c r="S319" s="257">
        <f>IFERROR(IF(N(S124)&lt;&gt;0,-S125/S124,""),"")</f>
        <v>0.14875625396378</v>
      </c>
      <c r="T319" s="257">
        <f>IFERROR(IF(N(T124)&lt;&gt;0,-T125/T124,""),"")</f>
        <v>0.125456384990982</v>
      </c>
      <c r="U319" s="257">
        <f>IFERROR(IF(N(U124)&lt;&gt;0,-U125/U124,""),"")</f>
        <v>0.149714793688421</v>
      </c>
      <c r="V319" s="257">
        <f>IFERROR(IF(N(V124)&lt;&gt;0,-V125/V124,""),"")</f>
        <v>0.158891947523746</v>
      </c>
      <c r="W319" s="258">
        <f>IFERROR(IF(N(W124)&lt;&gt;0,-W125/W124,""),"")</f>
        <v>0.147953325002533</v>
      </c>
      <c r="X319" s="257">
        <f>IFERROR(IF(N(X124)&lt;&gt;0,-X125/X124,""),"")</f>
        <v>0.157602109915176</v>
      </c>
      <c r="Y319" s="257">
        <f>IFERROR(IF(N(Y124)&lt;&gt;0,-Y125/Y124,""),"")</f>
        <v>0.158704008786381</v>
      </c>
      <c r="Z319" s="257">
        <f>IFERROR(IF(N(Z124)&lt;&gt;0,-Z125/Z124,""),"")</f>
        <v>0.502330293819656</v>
      </c>
      <c r="AA319" s="257">
        <f>IFERROR(IF(N(AA124)&lt;&gt;0,-AA125/AA124,""),"")</f>
        <v>0.146862671425888</v>
      </c>
      <c r="AB319" s="258">
        <f>IFERROR(IF(N(AB124)&lt;&gt;0,-AB125/AB124,""),"")</f>
        <v>0.23536335151814</v>
      </c>
      <c r="AC319" s="257">
        <f>IFERROR(IF(N(AC124)&lt;&gt;0,-AC125/AC124,""),"")</f>
        <v>0.154554759467758</v>
      </c>
      <c r="AD319" s="257">
        <f>IFERROR(IF(N(AD124)&lt;&gt;0,-AD125/AD124,""),"")</f>
        <v>0.163997003317755</v>
      </c>
      <c r="AE319" s="257">
        <f>IFERROR(IF(N(AE124)&lt;&gt;0,-AE125/AE124,""),"")</f>
        <v>0.162724058041702</v>
      </c>
      <c r="AF319" s="257">
        <f>IFERROR(IF(N(AF124)&lt;&gt;0,-AF125/AF124,""),"")</f>
        <v>0.174600996039371</v>
      </c>
      <c r="AG319" s="258">
        <f>IFERROR(IF(N(AG124)&lt;&gt;0,-AG125/AG124,""),"")</f>
        <v>0.165572063168186</v>
      </c>
      <c r="AH319" s="257">
        <f>IFERROR(IF(N(AH124)&lt;&gt;0,-AH125/AH124,""),"")</f>
        <v>0.174559763346636</v>
      </c>
      <c r="AI319" s="257">
        <f>IFERROR(IF(N(AI124)&lt;&gt;0,-AI125/AI124,""),"")</f>
        <v>0.178619681804395</v>
      </c>
      <c r="AJ319" s="257">
        <f>IFERROR(IF(N(AJ124)&lt;&gt;0,-AJ125/AJ124,""),"")</f>
        <v>0.168176043669603</v>
      </c>
      <c r="AK319" s="257">
        <f>IFERROR(IF(N(AK124)&lt;&gt;0,-AK125/AK124,""),"")</f>
        <v>0.168176043669603</v>
      </c>
      <c r="AL319" s="258">
        <f>IFERROR(IF(N(AL124)&lt;&gt;0,-AL125/AL124,""),"")</f>
        <v>0.171951059467409</v>
      </c>
      <c r="AM319" s="257">
        <f>IFERROR(IF(N(AM124)&lt;&gt;0,-AM125/AM124,""),"")</f>
        <v>0.168176043669603</v>
      </c>
      <c r="AN319" s="257">
        <f>IFERROR(IF(N(AN124)&lt;&gt;0,-AN125/AN124,""),"")</f>
        <v>0.168176043669603</v>
      </c>
      <c r="AO319" s="257">
        <f>IFERROR(IF(N(AO124)&lt;&gt;0,-AO125/AO124,""),"")</f>
        <v>0.168176043669603</v>
      </c>
      <c r="AP319" s="257">
        <f>IFERROR(IF(N(AP124)&lt;&gt;0,-AP125/AP124,""),"")</f>
        <v>0.168176043669603</v>
      </c>
      <c r="AQ319" s="258">
        <f>IFERROR(IF(N(AQ124)&lt;&gt;0,-AQ125/AQ124,""),"")</f>
        <v>0.168176043669603</v>
      </c>
      <c r="AR319" s="257">
        <f>IFERROR(IF(N(AR124)&lt;&gt;0,-AR125/AR124,""),"")</f>
        <v>0.168176043669603</v>
      </c>
      <c r="AS319" s="257">
        <f>IFERROR(IF(N(AS124)&lt;&gt;0,-AS125/AS124,""),"")</f>
        <v>0.168176043669603</v>
      </c>
      <c r="AT319" s="257">
        <f>IFERROR(IF(N(AT124)&lt;&gt;0,-AT125/AT124,""),"")</f>
        <v>0.168176043669603</v>
      </c>
      <c r="AU319" s="257">
        <f>IFERROR(IF(N(AU124)&lt;&gt;0,-AU125/AU124,""),"")</f>
        <v>0.168176043669603</v>
      </c>
      <c r="AV319" s="258">
        <f>IFERROR(IF(N(AV124)&lt;&gt;0,-AV125/AV124,""),"")</f>
        <v>0.168176043669603</v>
      </c>
      <c r="AW319" s="257">
        <f>IFERROR(IF(N(AW124)&lt;&gt;0,-AW125/AW124,""),"")</f>
        <v>0.168176043669603</v>
      </c>
      <c r="AX319" s="257">
        <f>IFERROR(IF(N(AX124)&lt;&gt;0,-AX125/AX124,""),"")</f>
        <v>0.168176043669603</v>
      </c>
      <c r="AY319" s="257">
        <f>IFERROR(IF(N(AY124)&lt;&gt;0,-AY125/AY124,""),"")</f>
        <v>0.168176043669603</v>
      </c>
      <c r="AZ319" s="257">
        <f>IFERROR(IF(N(AZ124)&lt;&gt;0,-AZ125/AZ124,""),"")</f>
        <v>0.168176043669603</v>
      </c>
      <c r="BA319" s="258">
        <f>IFERROR(IF(N(BA124)&lt;&gt;0,-BA125/BA124,""),"")</f>
        <v>0.168176043669603</v>
      </c>
      <c r="BB319" s="257">
        <f>IFERROR(IF(N(BB124)&lt;&gt;0,-BB125/BB124,""),"")</f>
        <v>0.168176043669603</v>
      </c>
      <c r="BC319" s="257">
        <f>IFERROR(IF(N(BC124)&lt;&gt;0,-BC125/BC124,""),"")</f>
        <v>0.168176043669603</v>
      </c>
      <c r="BD319" s="257">
        <f>IFERROR(IF(N(BD124)&lt;&gt;0,-BD125/BD124,""),"")</f>
        <v>0.168176043669603</v>
      </c>
      <c r="BE319" s="257">
        <f>IFERROR(IF(N(BE124)&lt;&gt;0,-BE125/BE124,""),"")</f>
        <v>0.168176043669603</v>
      </c>
      <c r="BF319" s="258">
        <f>IFERROR(IF(N(BF124)&lt;&gt;0,-BF125/BF124,""),"")</f>
        <v>0.168176043669603</v>
      </c>
      <c r="BG319" s="81" t="n"/>
      <c r="BH319" s="81" t="n"/>
      <c r="BI319" s="81" t="n"/>
      <c r="BJ319" s="81" t="n"/>
      <c r="BL319" s="81" t="n"/>
      <c r="BM319" s="81" t="n"/>
      <c r="BN319" s="81" t="n"/>
      <c r="BO319" s="81" t="n"/>
      <c r="BQ319" s="81" t="n"/>
      <c r="BR319" s="81" t="n"/>
      <c r="BS319" s="81" t="n"/>
      <c r="BT319" s="81" t="n"/>
      <c r="BV319" s="81" t="n"/>
      <c r="BW319" s="81" t="n"/>
      <c r="BX319" s="81" t="n"/>
      <c r="BY319" s="81" t="n"/>
      <c r="CA319" s="81" t="n"/>
      <c r="CB319" s="81" t="n"/>
      <c r="CC319" s="81" t="n"/>
      <c r="CD319" s="81" t="n"/>
      <c r="CF319" s="81" t="n"/>
      <c r="CG319" s="81" t="n"/>
      <c r="CH319" s="81" t="n"/>
      <c r="CI319" s="81" t="n"/>
      <c r="CK319" s="81" t="n"/>
      <c r="CL319" s="81" t="n"/>
      <c r="CM319" s="81" t="n"/>
      <c r="CN319" s="81" t="n"/>
      <c r="CP319" s="81" t="n"/>
      <c r="CQ319" s="81" t="n"/>
      <c r="CR319" s="81" t="n"/>
      <c r="CS319" s="81" t="n"/>
      <c r="CU319" s="81" t="n"/>
      <c r="CV319" s="81" t="n"/>
      <c r="CW319" s="81" t="n"/>
      <c r="CX319" s="81" t="n"/>
    </row>
    <row r="320" customFormat="1" s="77">
      <c r="A320" s="76" t="n"/>
      <c r="B320" s="76" t="n"/>
    </row>
    <row r="321" customFormat="1" s="77">
      <c r="A321" s="76" t="n"/>
      <c r="B321" s="76" t="n"/>
      <c r="C321" s="74" t="inlineStr">
        <is>
          <t>CAPITAL STRUCTURE</t>
        </is>
      </c>
    </row>
    <row r="322" customFormat="1" s="77">
      <c r="A322" s="76" t="n"/>
      <c r="B322" s="76" t="n"/>
      <c r="C322" s="77" t="inlineStr">
        <is>
          <t>TOTAL DEBT / EQUITY (BOOK VALUE)</t>
        </is>
      </c>
      <c r="H322" s="262" t="str">
        <f>IFERROR(IF(N(H265)&lt;&gt;0,(N(H206)+N(H207)+N(H208)+N(H211)+N(H229)+N(H232))/H265,""),"")</f>
        <v/>
      </c>
      <c r="I322" s="262">
        <f>IFERROR(IF(N(I265)&lt;&gt;0,(N(I206)+N(I207)+N(I208)+N(I211)+N(I229)+N(I232))/I265,""),"")</f>
        <v>1.75843476249675</v>
      </c>
      <c r="J322" s="262">
        <f>IFERROR(IF(N(J265)&lt;&gt;0,(N(J206)+N(J207)+N(J208)+N(J211)+N(J229)+N(J232))/J265,""),"")</f>
        <v>1.89469508400747</v>
      </c>
      <c r="K322" s="262">
        <f>IFERROR(IF(N(K265)&lt;&gt;0,(N(K206)+N(K207)+N(K208)+N(K211)+N(K229)+N(K232))/K265,""),"")</f>
        <v>1.97684260580124</v>
      </c>
      <c r="L322" s="262">
        <f>IFERROR(IF(N(L265)&lt;&gt;0,(N(L206)+N(L207)+N(L208)+N(L211)+N(L229)+N(L232))/L265,""),"")</f>
        <v>1.70714007673914</v>
      </c>
      <c r="M322" s="262">
        <f>IFERROR(IF(N(M265)&lt;&gt;0,(N(M206)+N(M207)+N(M208)+N(M211)+N(M229)+N(M232))/M265,""),"")</f>
        <v>1.70714007673914</v>
      </c>
      <c r="N322" s="262">
        <f>IFERROR(IF(N(N265)&lt;&gt;0,(N(N206)+N(N207)+N(N208)+N(N211)+N(N229)+N(N232))/N265,""),"")</f>
        <v>1.78015994302586</v>
      </c>
      <c r="O322" s="262">
        <f>IFERROR(IF(N(O265)&lt;&gt;0,(N(O206)+N(O207)+N(O208)+N(O211)+N(O229)+N(O232))/O265,""),"")</f>
        <v>2.0598378852806</v>
      </c>
      <c r="P322" s="262">
        <f>IFERROR(IF(N(P265)&lt;&gt;0,(N(P206)+N(P207)+N(P208)+N(P211)+N(P229)+N(P232))/P265,""),"")</f>
        <v>2.36953347016104</v>
      </c>
      <c r="Q322" s="262">
        <f>IFERROR(IF(N(Q265)&lt;&gt;0,(N(Q206)+N(Q207)+N(Q208)+N(Q211)+N(Q229)+N(Q232))/Q265,""),"")</f>
        <v>1.95867928852222</v>
      </c>
      <c r="R322" s="262">
        <f>IFERROR(IF(N(R265)&lt;&gt;0,(N(R206)+N(R207)+N(R208)+N(R211)+N(R229)+N(R232))/R265,""),"")</f>
        <v>1.95867928852222</v>
      </c>
      <c r="S322" s="262">
        <f>IFERROR(IF(N(S265)&lt;&gt;0,(N(S206)+N(S207)+N(S208)+N(S211)+N(S229)+N(S232))/S265,""),"")</f>
        <v>1.76348981627465</v>
      </c>
      <c r="T322" s="262">
        <f>IFERROR(IF(N(T265)&lt;&gt;0,(N(T206)+N(T207)+N(T208)+N(T211)+N(T229)+N(T232))/T265,""),"")</f>
        <v>1.81305372133922</v>
      </c>
      <c r="U322" s="262">
        <f>IFERROR(IF(N(U265)&lt;&gt;0,(N(U206)+N(U207)+N(U208)+N(U211)+N(U229)+N(U232))/U265,""),"")</f>
        <v>1.78753258455894</v>
      </c>
      <c r="V322" s="262">
        <f>IFERROR(IF(N(V265)&lt;&gt;0,(N(V206)+N(V207)+N(V208)+N(V211)+N(V229)+N(V232))/V265,""),"")</f>
        <v>1.45802968960864</v>
      </c>
      <c r="W322" s="262">
        <f>IFERROR(IF(N(W265)&lt;&gt;0,(N(W206)+N(W207)+N(W208)+N(W211)+N(W229)+N(W232))/W265,""),"")</f>
        <v>1.45802968960864</v>
      </c>
      <c r="X322" s="262">
        <f>IFERROR(IF(N(X265)&lt;&gt;0,(N(X206)+N(X207)+N(X208)+N(X211)+N(X229)+N(X232))/X265,""),"")</f>
        <v>1.40968272367038</v>
      </c>
      <c r="Y322" s="262">
        <f>IFERROR(IF(N(Y265)&lt;&gt;0,(N(Y206)+N(Y207)+N(Y208)+N(Y211)+N(Y229)+N(Y232))/Y265,""),"")</f>
        <v>1.51861845655693</v>
      </c>
      <c r="Z322" s="262">
        <f>IFERROR(IF(N(Z265)&lt;&gt;0,(N(Z206)+N(Z207)+N(Z208)+N(Z211)+N(Z229)+N(Z232))/Z265,""),"")</f>
        <v>1.8723266022827</v>
      </c>
      <c r="AA322" s="262">
        <f>IFERROR(IF(N(AA265)&lt;&gt;0,(N(AA206)+N(AA207)+N(AA208)+N(AA211)+N(AA229)+N(AA232))/AA265,""),"")</f>
        <v>1.44999850205219</v>
      </c>
      <c r="AB322" s="262">
        <f>IFERROR(IF(N(AB265)&lt;&gt;0,(N(AB206)+N(AB207)+N(AB208)+N(AB211)+N(AB229)+N(AB232))/AB265,""),"")</f>
        <v>1.44999850205219</v>
      </c>
      <c r="AC322" s="262">
        <f>IFERROR(IF(N(AC265)&lt;&gt;0,(N(AC206)+N(AC207)+N(AC208)+N(AC211)+N(AC229)+N(AC232))/AC265,""),"")</f>
        <v>1.46993831965986</v>
      </c>
      <c r="AD322" s="262">
        <f>IFERROR(IF(N(AD265)&lt;&gt;0,(N(AD206)+N(AD207)+N(AD208)+N(AD211)+N(AD229)+N(AD232))/AD265,""),"")</f>
        <v>1.54485796749202</v>
      </c>
      <c r="AE322" s="262">
        <f>IFERROR(IF(N(AE265)&lt;&gt;0,(N(AE206)+N(AE207)+N(AE208)+N(AE211)+N(AE229)+N(AE232))/AE265,""),"")</f>
        <v>1.33803046125887</v>
      </c>
      <c r="AF322" s="262">
        <f>IFERROR(IF(N(AF265)&lt;&gt;0,(N(AF206)+N(AF207)+N(AF208)+N(AF211)+N(AF229)+N(AF232))/AF265,""),"")</f>
        <v>1.02629549835582</v>
      </c>
      <c r="AG322" s="262">
        <f>IFERROR(IF(N(AG265)&lt;&gt;0,(N(AG206)+N(AG207)+N(AG208)+N(AG211)+N(AG229)+N(AG232))/AG265,""),"")</f>
        <v>1.02629549835582</v>
      </c>
      <c r="AH322" s="262">
        <f>IFERROR(IF(N(AH265)&lt;&gt;0,(N(AH206)+N(AH207)+N(AH208)+N(AH211)+N(AH229)+N(AH232))/AH265,""),"")</f>
        <v>0.79547567400062</v>
      </c>
      <c r="AI322" s="262">
        <f>IFERROR(IF(N(AI265)&lt;&gt;0,(N(AI206)+N(AI207)+N(AI208)+N(AI211)+N(AI229)+N(AI232))/AI265,""),"")</f>
        <v>0.784449404761905</v>
      </c>
      <c r="AJ322" s="262">
        <f>IFERROR(IF(N(AJ265)&lt;&gt;0,(N(AJ206)+N(AJ207)+N(AJ208)+N(AJ211)+N(AJ229)+N(AJ232))/AJ265,""),"")</f>
        <v>0.609997726744262</v>
      </c>
      <c r="AK322" s="262">
        <f>IFERROR(IF(N(AK265)&lt;&gt;0,(N(AK206)+N(AK207)+N(AK208)+N(AK211)+N(AK229)+N(AK232))/AK265,""),"")</f>
        <v>0.464936829247559</v>
      </c>
      <c r="AL322" s="262">
        <f>IFERROR(IF(N(AL265)&lt;&gt;0,(N(AL206)+N(AL207)+N(AL208)+N(AL211)+N(AL229)+N(AL232))/AL265,""),"")</f>
        <v>0.464936829247559</v>
      </c>
      <c r="AM322" s="262">
        <f>IFERROR(IF(N(AM265)&lt;&gt;0,(N(AM206)+N(AM207)+N(AM208)+N(AM211)+N(AM229)+N(AM232))/AM265,""),"")</f>
        <v>0.39270833279679</v>
      </c>
      <c r="AN322" s="262">
        <f>IFERROR(IF(N(AN265)&lt;&gt;0,(N(AN206)+N(AN207)+N(AN208)+N(AN211)+N(AN229)+N(AN232))/AN265,""),"")</f>
        <v>0.340631772796753</v>
      </c>
      <c r="AO322" s="262">
        <f>IFERROR(IF(N(AO265)&lt;&gt;0,(N(AO206)+N(AO207)+N(AO208)+N(AO211)+N(AO229)+N(AO232))/AO265,""),"")</f>
        <v>0.299080363096897</v>
      </c>
      <c r="AP322" s="262">
        <f>IFERROR(IF(N(AP265)&lt;&gt;0,(N(AP206)+N(AP207)+N(AP208)+N(AP211)+N(AP229)+N(AP232))/AP265,""),"")</f>
        <v>0.255375820450262</v>
      </c>
      <c r="AQ322" s="262">
        <f>IFERROR(IF(N(AQ265)&lt;&gt;0,(N(AQ206)+N(AQ207)+N(AQ208)+N(AQ211)+N(AQ229)+N(AQ232))/AQ265,""),"")</f>
        <v>0.255375820450262</v>
      </c>
      <c r="AR322" s="262">
        <f>IFERROR(IF(N(AR265)&lt;&gt;0,(N(AR206)+N(AR207)+N(AR208)+N(AR211)+N(AR229)+N(AR232))/AR265,""),"")</f>
        <v>0.229548245484202</v>
      </c>
      <c r="AS322" s="262">
        <f>IFERROR(IF(N(AS265)&lt;&gt;0,(N(AS206)+N(AS207)+N(AS208)+N(AS211)+N(AS229)+N(AS232))/AS265,""),"")</f>
        <v>0.208769757068982</v>
      </c>
      <c r="AT322" s="262">
        <f>IFERROR(IF(N(AT265)&lt;&gt;0,(N(AT206)+N(AT207)+N(AT208)+N(AT211)+N(AT229)+N(AT232))/AT265,""),"")</f>
        <v>0.190686159406231</v>
      </c>
      <c r="AU322" s="262">
        <f>IFERROR(IF(N(AU265)&lt;&gt;0,(N(AU206)+N(AU207)+N(AU208)+N(AU211)+N(AU229)+N(AU232))/AU265,""),"")</f>
        <v>0.170024086166206</v>
      </c>
      <c r="AV322" s="262">
        <f>IFERROR(IF(N(AV265)&lt;&gt;0,(N(AV206)+N(AV207)+N(AV208)+N(AV211)+N(AV229)+N(AV232))/AV265,""),"")</f>
        <v>0.170024086166206</v>
      </c>
      <c r="AW322" s="262">
        <f>IFERROR(IF(N(AW265)&lt;&gt;0,(N(AW206)+N(AW207)+N(AW208)+N(AW211)+N(AW229)+N(AW232))/AW265,""),"")</f>
        <v>0.156985482210231</v>
      </c>
      <c r="AX322" s="262">
        <f>IFERROR(IF(N(AX265)&lt;&gt;0,(N(AX206)+N(AX207)+N(AX208)+N(AX211)+N(AX229)+N(AX232))/AX265,""),"")</f>
        <v>0.145969451699374</v>
      </c>
      <c r="AY322" s="262">
        <f>IFERROR(IF(N(AY265)&lt;&gt;0,(N(AY206)+N(AY207)+N(AY208)+N(AY211)+N(AY229)+N(AY232))/AY265,""),"")</f>
        <v>0.135973039927914</v>
      </c>
      <c r="AZ322" s="262">
        <f>IFERROR(IF(N(AZ265)&lt;&gt;0,(N(AZ206)+N(AZ207)+N(AZ208)+N(AZ211)+N(AZ229)+N(AZ232))/AZ265,""),"")</f>
        <v>0.124054053698912</v>
      </c>
      <c r="BA322" s="262">
        <f>IFERROR(IF(N(BA265)&lt;&gt;0,(N(BA206)+N(BA207)+N(BA208)+N(BA211)+N(BA229)+N(BA232))/BA265,""),"")</f>
        <v>0.124054053698912</v>
      </c>
      <c r="BB322" s="262">
        <f>IFERROR(IF(N(BB265)&lt;&gt;0,(N(BB206)+N(BB207)+N(BB208)+N(BB211)+N(BB229)+N(BB232))/BB265,""),"")</f>
        <v>0.116276678025589</v>
      </c>
      <c r="BC322" s="262">
        <f>IFERROR(IF(N(BC265)&lt;&gt;0,(N(BC206)+N(BC207)+N(BC208)+N(BC211)+N(BC229)+N(BC232))/BC265,""),"")</f>
        <v>0.109519636035968</v>
      </c>
      <c r="BD322" s="262">
        <f>IFERROR(IF(N(BD265)&lt;&gt;0,(N(BD206)+N(BD207)+N(BD208)+N(BD211)+N(BD229)+N(BD232))/BD265,""),"")</f>
        <v>0.103234501772204</v>
      </c>
      <c r="BE322" s="262">
        <f>IFERROR(IF(N(BE265)&lt;&gt;0,(N(BE206)+N(BE207)+N(BE208)+N(BE211)+N(BE229)+N(BE232))/BE265,""),"")</f>
        <v>0.095542073960849</v>
      </c>
      <c r="BF322" s="262">
        <f>IFERROR(IF(N(BF265)&lt;&gt;0,(N(BF206)+N(BF207)+N(BF208)+N(BF211)+N(BF229)+N(BF232))/BF265,""),"")</f>
        <v>0.095542073960849</v>
      </c>
    </row>
    <row r="323" customFormat="1" s="77">
      <c r="A323" s="76" t="n"/>
      <c r="B323" s="76" t="n"/>
      <c r="C323" s="77" t="inlineStr">
        <is>
          <t>NET DEBT / (NET DEBT + EQUITY) (BOOK VALUE)</t>
        </is>
      </c>
      <c r="H323" s="258" t="str">
        <f>IFERROR(IF(((N(H206)+N(H207)+N(H208)+N(H211)+N(H229)+N(H232))-N(H138)+N(H265))&lt;&gt;0,((N(H206)+N(H207)+N(H208)+N(H211)+N(H229)+N(H232))-N(H138))/((N(H206)+N(H207)+N(H208)+N(H211)+N(H229)+N(H232))-N(H138)+H265),""),"")</f>
        <v/>
      </c>
      <c r="I323" s="258">
        <f>IFERROR(IF(((N(I206)+N(I207)+N(I208)+N(I211)+N(I229)+N(I232))-N(I138)+N(I265))&lt;&gt;0,((N(I206)+N(I207)+N(I208)+N(I211)+N(I229)+N(I232))-N(I138))/((N(I206)+N(I207)+N(I208)+N(I211)+N(I229)+N(I232))-N(I138)+I265),""),"")</f>
        <v>6.10538745387454</v>
      </c>
      <c r="J323" s="258">
        <f>IFERROR(IF(((N(J206)+N(J207)+N(J208)+N(J211)+N(J229)+N(J232))-N(J138)+N(J265))&lt;&gt;0,((N(J206)+N(J207)+N(J208)+N(J211)+N(J229)+N(J232))-N(J138))/((N(J206)+N(J207)+N(J208)+N(J211)+N(J229)+N(J232))-N(J138)+J265),""),"")</f>
        <v>9.48804965007263</v>
      </c>
      <c r="K323" s="258">
        <f>IFERROR(IF(((N(K206)+N(K207)+N(K208)+N(K211)+N(K229)+N(K232))-N(K138)+N(K265))&lt;&gt;0,((N(K206)+N(K207)+N(K208)+N(K211)+N(K229)+N(K232))-N(K138))/((N(K206)+N(K207)+N(K208)+N(K211)+N(K229)+N(K232))-N(K138)+K265),""),"")</f>
        <v>24.3062430735131</v>
      </c>
      <c r="L323" s="258">
        <f>IFERROR(IF(((N(L206)+N(L207)+N(L208)+N(L211)+N(L229)+N(L232))-N(L138)+N(L265))&lt;&gt;0,((N(L206)+N(L207)+N(L208)+N(L211)+N(L229)+N(L232))-N(L138))/((N(L206)+N(L207)+N(L208)+N(L211)+N(L229)+N(L232))-N(L138)+L265),""),"")</f>
        <v>10.1446732773964</v>
      </c>
      <c r="M323" s="258">
        <f>IFERROR(IF(((N(M206)+N(M207)+N(M208)+N(M211)+N(M229)+N(M232))-N(M138)+N(M265))&lt;&gt;0,((N(M206)+N(M207)+N(M208)+N(M211)+N(M229)+N(M232))-N(M138))/((N(M206)+N(M207)+N(M208)+N(M211)+N(M229)+N(M232))-N(M138)+M265),""),"")</f>
        <v>10.1446732773964</v>
      </c>
      <c r="N323" s="258">
        <f>IFERROR(IF(((N(N206)+N(N207)+N(N208)+N(N211)+N(N229)+N(N232))-N(N138)+N(N265))&lt;&gt;0,((N(N206)+N(N207)+N(N208)+N(N211)+N(N229)+N(N232))-N(N138))/((N(N206)+N(N207)+N(N208)+N(N211)+N(N229)+N(N232))-N(N138)+N265),""),"")</f>
        <v>13.5979439252336</v>
      </c>
      <c r="O323" s="258">
        <f>IFERROR(IF(((N(O206)+N(O207)+N(O208)+N(O211)+N(O229)+N(O232))-N(O138)+N(O265))&lt;&gt;0,((N(O206)+N(O207)+N(O208)+N(O211)+N(O229)+N(O232))-N(O138))/((N(O206)+N(O207)+N(O208)+N(O211)+N(O229)+N(O232))-N(O138)+O265),""),"")</f>
        <v>39.4814569536424</v>
      </c>
      <c r="P323" s="258">
        <f>IFERROR(IF(((N(P206)+N(P207)+N(P208)+N(P211)+N(P229)+N(P232))-N(P138)+N(P265))&lt;&gt;0,((N(P206)+N(P207)+N(P208)+N(P211)+N(P229)+N(P232))-N(P138))/((N(P206)+N(P207)+N(P208)+N(P211)+N(P229)+N(P232))-N(P138)+P265),""),"")</f>
        <v>-30.0490196078431</v>
      </c>
      <c r="Q323" s="258">
        <f>IFERROR(IF(((N(Q206)+N(Q207)+N(Q208)+N(Q211)+N(Q229)+N(Q232))-N(Q138)+N(Q265))&lt;&gt;0,((N(Q206)+N(Q207)+N(Q208)+N(Q211)+N(Q229)+N(Q232))-N(Q138))/((N(Q206)+N(Q207)+N(Q208)+N(Q211)+N(Q229)+N(Q232))-N(Q138)+Q265),""),"")</f>
        <v>-22.7649769585253</v>
      </c>
      <c r="R323" s="258">
        <f>IFERROR(IF(((N(R206)+N(R207)+N(R208)+N(R211)+N(R229)+N(R232))-N(R138)+N(R265))&lt;&gt;0,((N(R206)+N(R207)+N(R208)+N(R211)+N(R229)+N(R232))-N(R138))/((N(R206)+N(R207)+N(R208)+N(R211)+N(R229)+N(R232))-N(R138)+R265),""),"")</f>
        <v>-22.7649769585253</v>
      </c>
      <c r="S323" s="258">
        <f>IFERROR(IF(((N(S206)+N(S207)+N(S208)+N(S211)+N(S229)+N(S232))-N(S138)+N(S265))&lt;&gt;0,((N(S206)+N(S207)+N(S208)+N(S211)+N(S229)+N(S232))-N(S138))/((N(S206)+N(S207)+N(S208)+N(S211)+N(S229)+N(S232))-N(S138)+S265),""),"")</f>
        <v>-10.4261029411765</v>
      </c>
      <c r="T323" s="258">
        <f>IFERROR(IF(((N(T206)+N(T207)+N(T208)+N(T211)+N(T229)+N(T232))-N(T138)+N(T265))&lt;&gt;0,((N(T206)+N(T207)+N(T208)+N(T211)+N(T229)+N(T232))-N(T138))/((N(T206)+N(T207)+N(T208)+N(T211)+N(T229)+N(T232))-N(T138)+T265),""),"")</f>
        <v>-19.0179342411159</v>
      </c>
      <c r="U323" s="258">
        <f>IFERROR(IF(((N(U206)+N(U207)+N(U208)+N(U211)+N(U229)+N(U232))-N(U138)+N(U265))&lt;&gt;0,((N(U206)+N(U207)+N(U208)+N(U211)+N(U229)+N(U232))-N(U138))/((N(U206)+N(U207)+N(U208)+N(U211)+N(U229)+N(U232))-N(U138)+U265),""),"")</f>
        <v>-4.58114054782218</v>
      </c>
      <c r="V323" s="258">
        <f>IFERROR(IF(((N(V206)+N(V207)+N(V208)+N(V211)+N(V229)+N(V232))-N(V138)+N(V265))&lt;&gt;0,((N(V206)+N(V207)+N(V208)+N(V211)+N(V229)+N(V232))-N(V138))/((N(V206)+N(V207)+N(V208)+N(V211)+N(V229)+N(V232))-N(V138)+V265),""),"")</f>
        <v>-6.74699424986932</v>
      </c>
      <c r="W323" s="258">
        <f>IFERROR(IF(((N(W206)+N(W207)+N(W208)+N(W211)+N(W229)+N(W232))-N(W138)+N(W265))&lt;&gt;0,((N(W206)+N(W207)+N(W208)+N(W211)+N(W229)+N(W232))-N(W138))/((N(W206)+N(W207)+N(W208)+N(W211)+N(W229)+N(W232))-N(W138)+W265),""),"")</f>
        <v>-6.74699424986932</v>
      </c>
      <c r="X323" s="258">
        <f>IFERROR(IF(((N(X206)+N(X207)+N(X208)+N(X211)+N(X229)+N(X232))-N(X138)+N(X265))&lt;&gt;0,((N(X206)+N(X207)+N(X208)+N(X211)+N(X229)+N(X232))-N(X138))/((N(X206)+N(X207)+N(X208)+N(X211)+N(X229)+N(X232))-N(X138)+X265),""),"")</f>
        <v>-3.51109624855597</v>
      </c>
      <c r="Y323" s="258">
        <f>IFERROR(IF(((N(Y206)+N(Y207)+N(Y208)+N(Y211)+N(Y229)+N(Y232))-N(Y138)+N(Y265))&lt;&gt;0,((N(Y206)+N(Y207)+N(Y208)+N(Y211)+N(Y229)+N(Y232))-N(Y138))/((N(Y206)+N(Y207)+N(Y208)+N(Y211)+N(Y229)+N(Y232))-N(Y138)+Y265),""),"")</f>
        <v>-3.4558145748447</v>
      </c>
      <c r="Z323" s="258">
        <f>IFERROR(IF(((N(Z206)+N(Z207)+N(Z208)+N(Z211)+N(Z229)+N(Z232))-N(Z138)+N(Z265))&lt;&gt;0,((N(Z206)+N(Z207)+N(Z208)+N(Z211)+N(Z229)+N(Z232))-N(Z138))/((N(Z206)+N(Z207)+N(Z208)+N(Z211)+N(Z229)+N(Z232))-N(Z138)+Z265),""),"")</f>
        <v>-7.21907923221244</v>
      </c>
      <c r="AA323" s="258">
        <f>IFERROR(IF(((N(AA206)+N(AA207)+N(AA208)+N(AA211)+N(AA229)+N(AA232))-N(AA138)+N(AA265))&lt;&gt;0,((N(AA206)+N(AA207)+N(AA208)+N(AA211)+N(AA229)+N(AA232))-N(AA138))/((N(AA206)+N(AA207)+N(AA208)+N(AA211)+N(AA229)+N(AA232))-N(AA138)+AA265),""),"")</f>
        <v>-2.0086078687638</v>
      </c>
      <c r="AB323" s="258">
        <f>IFERROR(IF(((N(AB206)+N(AB207)+N(AB208)+N(AB211)+N(AB229)+N(AB232))-N(AB138)+N(AB265))&lt;&gt;0,((N(AB206)+N(AB207)+N(AB208)+N(AB211)+N(AB229)+N(AB232))-N(AB138))/((N(AB206)+N(AB207)+N(AB208)+N(AB211)+N(AB229)+N(AB232))-N(AB138)+AB265),""),"")</f>
        <v>-2.0086078687638</v>
      </c>
      <c r="AC323" s="258">
        <f>IFERROR(IF(((N(AC206)+N(AC207)+N(AC208)+N(AC211)+N(AC229)+N(AC232))-N(AC138)+N(AC265))&lt;&gt;0,((N(AC206)+N(AC207)+N(AC208)+N(AC211)+N(AC229)+N(AC232))-N(AC138))/((N(AC206)+N(AC207)+N(AC208)+N(AC211)+N(AC229)+N(AC232))-N(AC138)+AC265),""),"")</f>
        <v>-1.08346849656893</v>
      </c>
      <c r="AD323" s="258">
        <f>IFERROR(IF(((N(AD206)+N(AD207)+N(AD208)+N(AD211)+N(AD229)+N(AD232))-N(AD138)+N(AD265))&lt;&gt;0,((N(AD206)+N(AD207)+N(AD208)+N(AD211)+N(AD229)+N(AD232))-N(AD138))/((N(AD206)+N(AD207)+N(AD208)+N(AD211)+N(AD229)+N(AD232))-N(AD138)+AD265),""),"")</f>
        <v>-0.905795842742169</v>
      </c>
      <c r="AE323" s="258">
        <f>IFERROR(IF(((N(AE206)+N(AE207)+N(AE208)+N(AE211)+N(AE229)+N(AE232))-N(AE138)+N(AE265))&lt;&gt;0,((N(AE206)+N(AE207)+N(AE208)+N(AE211)+N(AE229)+N(AE232))-N(AE138))/((N(AE206)+N(AE207)+N(AE208)+N(AE211)+N(AE229)+N(AE232))-N(AE138)+AE265),""),"")</f>
        <v>-0.844708531398549</v>
      </c>
      <c r="AF323" s="258">
        <f>IFERROR(IF(((N(AF206)+N(AF207)+N(AF208)+N(AF211)+N(AF229)+N(AF232))-N(AF138)+N(AF265))&lt;&gt;0,((N(AF206)+N(AF207)+N(AF208)+N(AF211)+N(AF229)+N(AF232))-N(AF138))/((N(AF206)+N(AF207)+N(AF208)+N(AF211)+N(AF229)+N(AF232))-N(AF138)+AF265),""),"")</f>
        <v>-1.60116800377537</v>
      </c>
      <c r="AG323" s="258">
        <f>IFERROR(IF(((N(AG206)+N(AG207)+N(AG208)+N(AG211)+N(AG229)+N(AG232))-N(AG138)+N(AG265))&lt;&gt;0,((N(AG206)+N(AG207)+N(AG208)+N(AG211)+N(AG229)+N(AG232))-N(AG138))/((N(AG206)+N(AG207)+N(AG208)+N(AG211)+N(AG229)+N(AG232))-N(AG138)+AG265),""),"")</f>
        <v>-1.60116800377537</v>
      </c>
      <c r="AH323" s="258">
        <f>IFERROR(IF(((N(AH206)+N(AH207)+N(AH208)+N(AH211)+N(AH229)+N(AH232))-N(AH138)+N(AH265))&lt;&gt;0,((N(AH206)+N(AH207)+N(AH208)+N(AH211)+N(AH229)+N(AH232))-N(AH138))/((N(AH206)+N(AH207)+N(AH208)+N(AH211)+N(AH229)+N(AH232))-N(AH138)+AH265),""),"")</f>
        <v>-1.38731589212455</v>
      </c>
      <c r="AI323" s="258">
        <f>IFERROR(IF(((N(AI206)+N(AI207)+N(AI208)+N(AI211)+N(AI229)+N(AI232))-N(AI138)+N(AI265))&lt;&gt;0,((N(AI206)+N(AI207)+N(AI208)+N(AI211)+N(AI229)+N(AI232))-N(AI138))/((N(AI206)+N(AI207)+N(AI208)+N(AI211)+N(AI229)+N(AI232))-N(AI138)+AI265),""),"")</f>
        <v>-1.37104990407304</v>
      </c>
      <c r="AJ323" s="258">
        <f>IFERROR(IF(((N(AJ206)+N(AJ207)+N(AJ208)+N(AJ211)+N(AJ229)+N(AJ232))-N(AJ138)+N(AJ265))&lt;&gt;0,((N(AJ206)+N(AJ207)+N(AJ208)+N(AJ211)+N(AJ229)+N(AJ232))-N(AJ138))/((N(AJ206)+N(AJ207)+N(AJ208)+N(AJ211)+N(AJ229)+N(AJ232))-N(AJ138)+AJ265),""),"")</f>
        <v>-2.03224676363062</v>
      </c>
      <c r="AK323" s="258">
        <f>IFERROR(IF(((N(AK206)+N(AK207)+N(AK208)+N(AK211)+N(AK229)+N(AK232))-N(AK138)+N(AK265))&lt;&gt;0,((N(AK206)+N(AK207)+N(AK208)+N(AK211)+N(AK229)+N(AK232))-N(AK138))/((N(AK206)+N(AK207)+N(AK208)+N(AK211)+N(AK229)+N(AK232))-N(AK138)+AK265),""),"")</f>
        <v>-3.8096962524256</v>
      </c>
      <c r="AL323" s="258">
        <f>IFERROR(IF(((N(AL206)+N(AL207)+N(AL208)+N(AL211)+N(AL229)+N(AL232))-N(AL138)+N(AL265))&lt;&gt;0,((N(AL206)+N(AL207)+N(AL208)+N(AL211)+N(AL229)+N(AL232))-N(AL138))/((N(AL206)+N(AL207)+N(AL208)+N(AL211)+N(AL229)+N(AL232))-N(AL138)+AL265),""),"")</f>
        <v>-3.8096962524256</v>
      </c>
      <c r="AM323" s="258">
        <f>IFERROR(IF(((N(AM206)+N(AM207)+N(AM208)+N(AM211)+N(AM229)+N(AM232))-N(AM138)+N(AM265))&lt;&gt;0,((N(AM206)+N(AM207)+N(AM208)+N(AM211)+N(AM229)+N(AM232))-N(AM138))/((N(AM206)+N(AM207)+N(AM208)+N(AM211)+N(AM229)+N(AM232))-N(AM138)+AM265),""),"")</f>
        <v>-3.73584836339404</v>
      </c>
      <c r="AN323" s="258">
        <f>IFERROR(IF(((N(AN206)+N(AN207)+N(AN208)+N(AN211)+N(AN229)+N(AN232))-N(AN138)+N(AN265))&lt;&gt;0,((N(AN206)+N(AN207)+N(AN208)+N(AN211)+N(AN229)+N(AN232))-N(AN138))/((N(AN206)+N(AN207)+N(AN208)+N(AN211)+N(AN229)+N(AN232))-N(AN138)+AN265),""),"")</f>
        <v>-4.27068858871727</v>
      </c>
      <c r="AO323" s="258">
        <f>IFERROR(IF(((N(AO206)+N(AO207)+N(AO208)+N(AO211)+N(AO229)+N(AO232))-N(AO138)+N(AO265))&lt;&gt;0,((N(AO206)+N(AO207)+N(AO208)+N(AO211)+N(AO229)+N(AO232))-N(AO138))/((N(AO206)+N(AO207)+N(AO208)+N(AO211)+N(AO229)+N(AO232))-N(AO138)+AO265),""),"")</f>
        <v>-4.98850719364853</v>
      </c>
      <c r="AP323" s="258">
        <f>IFERROR(IF(((N(AP206)+N(AP207)+N(AP208)+N(AP211)+N(AP229)+N(AP232))-N(AP138)+N(AP265))&lt;&gt;0,((N(AP206)+N(AP207)+N(AP208)+N(AP211)+N(AP229)+N(AP232))-N(AP138))/((N(AP206)+N(AP207)+N(AP208)+N(AP211)+N(AP229)+N(AP232))-N(AP138)+AP265),""),"")</f>
        <v>-7.62921541858262</v>
      </c>
      <c r="AQ323" s="258">
        <f>IFERROR(IF(((N(AQ206)+N(AQ207)+N(AQ208)+N(AQ211)+N(AQ229)+N(AQ232))-N(AQ138)+N(AQ265))&lt;&gt;0,((N(AQ206)+N(AQ207)+N(AQ208)+N(AQ211)+N(AQ229)+N(AQ232))-N(AQ138))/((N(AQ206)+N(AQ207)+N(AQ208)+N(AQ211)+N(AQ229)+N(AQ232))-N(AQ138)+AQ265),""),"")</f>
        <v>-7.62921541858262</v>
      </c>
      <c r="AR323" s="258">
        <f>IFERROR(IF(((N(AR206)+N(AR207)+N(AR208)+N(AR211)+N(AR229)+N(AR232))-N(AR138)+N(AR265))&lt;&gt;0,((N(AR206)+N(AR207)+N(AR208)+N(AR211)+N(AR229)+N(AR232))-N(AR138))/((N(AR206)+N(AR207)+N(AR208)+N(AR211)+N(AR229)+N(AR232))-N(AR138)+AR265),""),"")</f>
        <v>-6.77761491116031</v>
      </c>
      <c r="AS323" s="258">
        <f>IFERROR(IF(((N(AS206)+N(AS207)+N(AS208)+N(AS211)+N(AS229)+N(AS232))-N(AS138)+N(AS265))&lt;&gt;0,((N(AS206)+N(AS207)+N(AS208)+N(AS211)+N(AS229)+N(AS232))-N(AS138))/((N(AS206)+N(AS207)+N(AS208)+N(AS211)+N(AS229)+N(AS232))-N(AS138)+AS265),""),"")</f>
        <v>-7.28766508816858</v>
      </c>
      <c r="AT323" s="258">
        <f>IFERROR(IF(((N(AT206)+N(AT207)+N(AT208)+N(AT211)+N(AT229)+N(AT232))-N(AT138)+N(AT265))&lt;&gt;0,((N(AT206)+N(AT207)+N(AT208)+N(AT211)+N(AT229)+N(AT232))-N(AT138))/((N(AT206)+N(AT207)+N(AT208)+N(AT211)+N(AT229)+N(AT232))-N(AT138)+AT265),""),"")</f>
        <v>-8.05019556909624</v>
      </c>
      <c r="AU323" s="258">
        <f>IFERROR(IF(((N(AU206)+N(AU207)+N(AU208)+N(AU211)+N(AU229)+N(AU232))-N(AU138)+N(AU265))&lt;&gt;0,((N(AU206)+N(AU207)+N(AU208)+N(AU211)+N(AU229)+N(AU232))-N(AU138))/((N(AU206)+N(AU207)+N(AU208)+N(AU211)+N(AU229)+N(AU232))-N(AU138)+AU265),""),"")</f>
        <v>-11.7025792144659</v>
      </c>
      <c r="AV323" s="258">
        <f>IFERROR(IF(((N(AV206)+N(AV207)+N(AV208)+N(AV211)+N(AV229)+N(AV232))-N(AV138)+N(AV265))&lt;&gt;0,((N(AV206)+N(AV207)+N(AV208)+N(AV211)+N(AV229)+N(AV232))-N(AV138))/((N(AV206)+N(AV207)+N(AV208)+N(AV211)+N(AV229)+N(AV232))-N(AV138)+AV265),""),"")</f>
        <v>-11.7025792144659</v>
      </c>
      <c r="AW323" s="258">
        <f>IFERROR(IF(((N(AW206)+N(AW207)+N(AW208)+N(AW211)+N(AW229)+N(AW232))-N(AW138)+N(AW265))&lt;&gt;0,((N(AW206)+N(AW207)+N(AW208)+N(AW211)+N(AW229)+N(AW232))-N(AW138))/((N(AW206)+N(AW207)+N(AW208)+N(AW211)+N(AW229)+N(AW232))-N(AW138)+AW265),""),"")</f>
        <v>-10.0021645319471</v>
      </c>
      <c r="AX323" s="258">
        <f>IFERROR(IF(((N(AX206)+N(AX207)+N(AX208)+N(AX211)+N(AX229)+N(AX232))-N(AX138)+N(AX265))&lt;&gt;0,((N(AX206)+N(AX207)+N(AX208)+N(AX211)+N(AX229)+N(AX232))-N(AX138))/((N(AX206)+N(AX207)+N(AX208)+N(AX211)+N(AX229)+N(AX232))-N(AX138)+AX265),""),"")</f>
        <v>-10.3646689768134</v>
      </c>
      <c r="AY323" s="258">
        <f>IFERROR(IF(((N(AY206)+N(AY207)+N(AY208)+N(AY211)+N(AY229)+N(AY232))-N(AY138)+N(AY265))&lt;&gt;0,((N(AY206)+N(AY207)+N(AY208)+N(AY211)+N(AY229)+N(AY232))-N(AY138))/((N(AY206)+N(AY207)+N(AY208)+N(AY211)+N(AY229)+N(AY232))-N(AY138)+AY265),""),"")</f>
        <v>-11.1666955690798</v>
      </c>
      <c r="AZ323" s="258">
        <f>IFERROR(IF(((N(AZ206)+N(AZ207)+N(AZ208)+N(AZ211)+N(AZ229)+N(AZ232))-N(AZ138)+N(AZ265))&lt;&gt;0,((N(AZ206)+N(AZ207)+N(AZ208)+N(AZ211)+N(AZ229)+N(AZ232))-N(AZ138))/((N(AZ206)+N(AZ207)+N(AZ208)+N(AZ211)+N(AZ229)+N(AZ232))-N(AZ138)+AZ265),""),"")</f>
        <v>-15.9574661832732</v>
      </c>
      <c r="BA323" s="258">
        <f>IFERROR(IF(((N(BA206)+N(BA207)+N(BA208)+N(BA211)+N(BA229)+N(BA232))-N(BA138)+N(BA265))&lt;&gt;0,((N(BA206)+N(BA207)+N(BA208)+N(BA211)+N(BA229)+N(BA232))-N(BA138))/((N(BA206)+N(BA207)+N(BA208)+N(BA211)+N(BA229)+N(BA232))-N(BA138)+BA265),""),"")</f>
        <v>-15.9574661832732</v>
      </c>
      <c r="BB323" s="258">
        <f>IFERROR(IF(((N(BB206)+N(BB207)+N(BB208)+N(BB211)+N(BB229)+N(BB232))-N(BB138)+N(BB265))&lt;&gt;0,((N(BB206)+N(BB207)+N(BB208)+N(BB211)+N(BB229)+N(BB232))-N(BB138))/((N(BB206)+N(BB207)+N(BB208)+N(BB211)+N(BB229)+N(BB232))-N(BB138)+BB265),""),"")</f>
        <v>-13.1985784824653</v>
      </c>
      <c r="BC323" s="258">
        <f>IFERROR(IF(((N(BC206)+N(BC207)+N(BC208)+N(BC211)+N(BC229)+N(BC232))-N(BC138)+N(BC265))&lt;&gt;0,((N(BC206)+N(BC207)+N(BC208)+N(BC211)+N(BC229)+N(BC232))-N(BC138))/((N(BC206)+N(BC207)+N(BC208)+N(BC211)+N(BC229)+N(BC232))-N(BC138)+BC265),""),"")</f>
        <v>-13.4471651876012</v>
      </c>
      <c r="BD323" s="258">
        <f>IFERROR(IF(((N(BD206)+N(BD207)+N(BD208)+N(BD211)+N(BD229)+N(BD232))-N(BD138)+N(BD265))&lt;&gt;0,((N(BD206)+N(BD207)+N(BD208)+N(BD211)+N(BD229)+N(BD232))-N(BD138))/((N(BD206)+N(BD207)+N(BD208)+N(BD211)+N(BD229)+N(BD232))-N(BD138)+BD265),""),"")</f>
        <v>-14.2824714121939</v>
      </c>
      <c r="BE323" s="258">
        <f>IFERROR(IF(((N(BE206)+N(BE207)+N(BE208)+N(BE211)+N(BE229)+N(BE232))-N(BE138)+N(BE265))&lt;&gt;0,((N(BE206)+N(BE207)+N(BE208)+N(BE211)+N(BE229)+N(BE232))-N(BE138))/((N(BE206)+N(BE207)+N(BE208)+N(BE211)+N(BE229)+N(BE232))-N(BE138)+BE265),""),"")</f>
        <v>-20.3019104093748</v>
      </c>
      <c r="BF323" s="258">
        <f>IFERROR(IF(((N(BF206)+N(BF207)+N(BF208)+N(BF211)+N(BF229)+N(BF232))-N(BF138)+N(BF265))&lt;&gt;0,((N(BF206)+N(BF207)+N(BF208)+N(BF211)+N(BF229)+N(BF232))-N(BF138))/((N(BF206)+N(BF207)+N(BF208)+N(BF211)+N(BF229)+N(BF232))-N(BF138)+BF265),""),"")</f>
        <v>-20.3019104093748</v>
      </c>
    </row>
    <row r="324" customFormat="1" s="77">
      <c r="A324" s="76" t="n"/>
      <c r="B324" s="76" t="n"/>
    </row>
    <row r="325" customFormat="1" s="77">
      <c r="A325" s="76" t="n"/>
      <c r="B325" s="76" t="n"/>
      <c r="C325" s="74" t="inlineStr">
        <is>
          <t>FINANCIAL RISK RATIOS</t>
        </is>
      </c>
    </row>
    <row r="326" customFormat="1" s="77">
      <c r="A326" s="76" t="n"/>
      <c r="B326" s="76" t="n"/>
      <c r="C326" s="77" t="inlineStr">
        <is>
          <t>EBITDA / TOTAL INTEREST (LTM)</t>
        </is>
      </c>
      <c r="D326" s="82" t="str">
        <f>IFERROR(D63/-D68,"")</f>
        <v/>
      </c>
      <c r="E326" s="82" t="str">
        <f>IFERROR(E63/-E68,"")</f>
        <v/>
      </c>
      <c r="F326" s="82" t="str">
        <f>IFERROR(F63/-F68,"")</f>
        <v/>
      </c>
      <c r="G326" s="82" t="str">
        <f>IFERROR(G63/-G68,"")</f>
        <v/>
      </c>
      <c r="H326" s="262" t="str">
        <f>IFERROR(IF(AND(COUNT(H63)=1,(H68)&lt;&gt;0),(H63)/-(H68),""),"")</f>
        <v/>
      </c>
      <c r="I326" s="262" t="str">
        <f>""</f>
        <v/>
      </c>
      <c r="J326" s="262" t="str">
        <f>""</f>
        <v/>
      </c>
      <c r="K326" s="262" t="str">
        <f>""</f>
        <v/>
      </c>
      <c r="L326" s="262" t="str">
        <f>IFERROR(IF(AND(COUNT(I63,J63,K63,L63)=4,(I68+J68+K68+L68)&lt;&gt;0),(I63+J63+K63+L63)/-(I68+J68+K68+L68),""),"")</f>
        <v/>
      </c>
      <c r="M326" s="262" t="str">
        <f>IFERROR(IF(AND(COUNT(I63,J63,K63,L63)=4,(I68+J68+K68+L68)&lt;&gt;0),(I63+J63+K63+L63)/-(I68+J68+K68+L68),""),"")</f>
        <v/>
      </c>
      <c r="N326" s="262" t="str">
        <f>IFERROR(IF(AND(COUNT(J63,K63,L63,N63)=4,(J68+K68+L68+N68)&lt;&gt;0),(J63+K63+L63+N63)/-(J68+K68+L68+N68),""),"")</f>
        <v/>
      </c>
      <c r="O326" s="262" t="str">
        <f>IFERROR(IF(AND(COUNT(K63,L63,N63,O63)=4,(K68+L68+N68+O68)&lt;&gt;0),(K63+L63+N63+O63)/-(K68+L68+N68+O68),""),"")</f>
        <v/>
      </c>
      <c r="P326" s="262" t="str">
        <f>IFERROR(IF(AND(COUNT(L63,N63,O63,P63)=4,(L68+N68+O68+P68)&lt;&gt;0),(L63+N63+O63+P63)/-(L68+N68+O68+P68),""),"")</f>
        <v/>
      </c>
      <c r="Q326" s="262" t="str">
        <f>IFERROR(IF(AND(COUNT(N63,O63,P63,Q63)=4,(N68+O68+P68+Q68)&lt;&gt;0),(N63+O63+P63+Q63)/-(N68+O68+P68+Q68),""),"")</f>
        <v/>
      </c>
      <c r="R326" s="262" t="str">
        <f>IFERROR(IF(AND(COUNT(N63,O63,P63,Q63)=4,(N68+O68+P68+Q68)&lt;&gt;0),(N63+O63+P63+Q63)/-(N68+O68+P68+Q68),""),"")</f>
        <v/>
      </c>
      <c r="S326" s="262" t="str">
        <f>IFERROR(IF(AND(COUNT(O63,P63,Q63,S63)=4,(O68+P68+Q68+S68)&lt;&gt;0),(O63+P63+Q63+S63)/-(O68+P68+Q68+S68),""),"")</f>
        <v/>
      </c>
      <c r="T326" s="262" t="str">
        <f>IFERROR(IF(AND(COUNT(P63,Q63,S63,T63)=4,(P68+Q68+S68+T68)&lt;&gt;0),(P63+Q63+S63+T63)/-(P68+Q68+S68+T68),""),"")</f>
        <v/>
      </c>
      <c r="U326" s="262" t="str">
        <f>IFERROR(IF(AND(COUNT(Q63,S63,T63,U63)=4,(Q68+S68+T68+U68)&lt;&gt;0),(Q63+S63+T63+U63)/-(Q68+S68+T68+U68),""),"")</f>
        <v/>
      </c>
      <c r="V326" s="262" t="str">
        <f>IFERROR(IF(AND(COUNT(S63,T63,U63,V63)=4,(S68+T68+U68+V68)&lt;&gt;0),(S63+T63+U63+V63)/-(S68+T68+U68+V68),""),"")</f>
        <v/>
      </c>
      <c r="W326" s="262" t="str">
        <f>IFERROR(IF(AND(COUNT(S63,T63,U63,V63)=4,(S68+T68+U68+V68)&lt;&gt;0),(S63+T63+U63+V63)/-(S68+T68+U68+V68),""),"")</f>
        <v/>
      </c>
      <c r="X326" s="262" t="str">
        <f>IFERROR(IF(AND(COUNT(T63,U63,V63,X63)=4,(T68+U68+V68+X68)&lt;&gt;0),(T63+U63+V63+X63)/-(T68+U68+V68+X68),""),"")</f>
        <v/>
      </c>
      <c r="Y326" s="262" t="str">
        <f>IFERROR(IF(AND(COUNT(U63,V63,X63,Y63)=4,(U68+V68+X68+Y68)&lt;&gt;0),(U63+V63+X63+Y63)/-(U68+V68+X68+Y68),""),"")</f>
        <v/>
      </c>
      <c r="Z326" s="262" t="str">
        <f>IFERROR(IF(AND(COUNT(V63,X63,Y63,Z63)=4,(V68+X68+Y68+Z68)&lt;&gt;0),(V63+X63+Y63+Z63)/-(V68+X68+Y68+Z68),""),"")</f>
        <v/>
      </c>
      <c r="AA326" s="262" t="str">
        <f>IFERROR(IF(AND(COUNT(X63,Y63,Z63,AA63)=4,(X68+Y68+Z68+AA68)&lt;&gt;0),(X63+Y63+Z63+AA63)/-(X68+Y68+Z68+AA68),""),"")</f>
        <v/>
      </c>
      <c r="AB326" s="262" t="str">
        <f>IFERROR(IF(AND(COUNT(X63,Y63,Z63,AA63)=4,(X68+Y68+Z68+AA68)&lt;&gt;0),(X63+Y63+Z63+AA63)/-(X68+Y68+Z68+AA68),""),"")</f>
        <v/>
      </c>
      <c r="AC326" s="262" t="str">
        <f>IFERROR(IF(AND(COUNT(Y63,Z63,AA63,AC63)=4,(Y68+Z68+AA68+AC68)&lt;&gt;0),(Y63+Z63+AA63+AC63)/-(Y68+Z68+AA68+AC68),""),"")</f>
        <v/>
      </c>
      <c r="AD326" s="262" t="str">
        <f>IFERROR(IF(AND(COUNT(Z63,AA63,AC63,AD63)=4,(Z68+AA68+AC68+AD68)&lt;&gt;0),(Z63+AA63+AC63+AD63)/-(Z68+AA68+AC68+AD68),""),"")</f>
        <v/>
      </c>
      <c r="AE326" s="262" t="str">
        <f>IFERROR(IF(AND(COUNT(AA63,AC63,AD63,AE63)=4,(AA68+AC68+AD68+AE68)&lt;&gt;0),(AA63+AC63+AD63+AE63)/-(AA68+AC68+AD68+AE68),""),"")</f>
        <v/>
      </c>
      <c r="AF326" s="262" t="str">
        <f>IFERROR(IF(AND(COUNT(AB63,AD63,AE63,AF63)=4,(AB68+AD68+AE68+AF68)&lt;&gt;0),(AB63+AD63+AE63+AF63)/-(AB68+AD68+AE68+AF68),""),"")</f>
        <v/>
      </c>
      <c r="AG326" s="262" t="str">
        <f>IFERROR(IF(AND(COUNT(AC63,AD63,AE63,AF63)=4,(AC68+AD68+AE68+AF68)&lt;&gt;0),(AC63+AD63+AE63+AF63)/-(AC68+AD68+AE68+AF68),""),"")</f>
        <v/>
      </c>
      <c r="AH326" s="262" t="str">
        <f>IFERROR(IF(AND(COUNT(AD63,AF63,AG63,AH63)=4,(AD68+AF68+AG68+AH68)&lt;&gt;0),(AD63+AF63+AG63+AH63)/-(AD68+AF68+AG68+AH68),""),"")</f>
        <v/>
      </c>
      <c r="AI326" s="262" t="str">
        <f>IFERROR(IF(AND(COUNT(AE63,AG63,AH63,AI63)=4,(AE68+AG68+AH68+AI68)&lt;&gt;0),(AE63+AG63+AH63+AI63)/-(AE68+AG68+AH68+AI68),""),"")</f>
        <v/>
      </c>
      <c r="AJ326" s="262" t="str">
        <f>IFERROR(IF(AND(COUNT(AF63,AH63,AI63,AJ63)=4,(AF68+AH68+AI68+AJ68)&lt;&gt;0),(AF63+AH63+AI63+AJ63)/-(AF68+AH68+AI68+AJ68),""),"")</f>
        <v/>
      </c>
      <c r="AK326" s="262" t="str">
        <f>IFERROR(IF(AND(COUNT(AH63,AI63,AJ63,AK63)=4,(AH68+AI68+AJ68+AK68)&lt;&gt;0),(AH63+AI63+AJ63+AK63)/-(AH68+AI68+AJ68+AK68),""),"")</f>
        <v/>
      </c>
      <c r="AL326" s="262" t="str">
        <f>IFERROR(IF(AND(COUNT(AH63,AI63,AJ63,AK63)=4,(AH68+AI68+AJ68+AK68)&lt;&gt;0),(AH63+AI63+AJ63+AK63)/-(AH68+AI68+AJ68+AK68),""),"")</f>
        <v/>
      </c>
      <c r="AM326" s="262" t="str">
        <f>IFERROR(IF(AND(COUNT(AI63,AJ63,AK63,AM63)=4,(AI68+AJ68+AK68+AM68)&lt;&gt;0),(AI63+AJ63+AK63+AM63)/-(AI68+AJ68+AK68+AM68),""),"")</f>
        <v/>
      </c>
      <c r="AN326" s="262" t="str">
        <f>IFERROR(IF(AND(COUNT(AJ63,AK63,AM63,AN63)=4,(AJ68+AK68+AM68+AN68)&lt;&gt;0),(AJ63+AK63+AM63+AN63)/-(AJ68+AK68+AM68+AN68),""),"")</f>
        <v/>
      </c>
      <c r="AO326" s="262" t="str">
        <f>IFERROR(IF(AND(COUNT(AK63,AM63,AN63,AO63)=4,(AK68+AM68+AN68+AO68)&lt;&gt;0),(AK63+AM63+AN63+AO63)/-(AK68+AM68+AN68+AO68),""),"")</f>
        <v/>
      </c>
      <c r="AP326" s="262" t="str">
        <f>IFERROR(IF(AND(COUNT(AM63,AN63,AO63,AP63)=4,(AM68+AN68+AO68+AP68)&lt;&gt;0),(AM63+AN63+AO63+AP63)/-(AM68+AN68+AO68+AP68),""),"")</f>
        <v/>
      </c>
      <c r="AQ326" s="262" t="str">
        <f>IFERROR(IF(AND(COUNT(AM63,AN63,AO63,AP63)=4,(AM68+AN68+AO68+AP68)&lt;&gt;0),(AM63+AN63+AO63+AP63)/-(AM68+AN68+AO68+AP68),""),"")</f>
        <v/>
      </c>
      <c r="AR326" s="262" t="str">
        <f>IFERROR(IF(AND(COUNT(AN63,AO63,AP63,AR63)=4,(AN68+AO68+AP68+AR68)&lt;&gt;0),(AN63+AO63+AP63+AR63)/-(AN68+AO68+AP68+AR68),""),"")</f>
        <v/>
      </c>
      <c r="AS326" s="262" t="str">
        <f>IFERROR(IF(AND(COUNT(AO63,AP63,AR63,AS63)=4,(AO68+AP68+AR68+AS68)&lt;&gt;0),(AO63+AP63+AR63+AS63)/-(AO68+AP68+AR68+AS68),""),"")</f>
        <v/>
      </c>
      <c r="AT326" s="262" t="str">
        <f>IFERROR(IF(AND(COUNT(AP63,AR63,AS63,AT63)=4,(AP68+AR68+AS68+AT68)&lt;&gt;0),(AP63+AR63+AS63+AT63)/-(AP68+AR68+AS68+AT68),""),"")</f>
        <v/>
      </c>
      <c r="AU326" s="262" t="str">
        <f>IFERROR(IF(AND(COUNT(AR63,AS63,AT63,AU63)=4,(AR68+AS68+AT68+AU68)&lt;&gt;0),(AR63+AS63+AT63+AU63)/-(AR68+AS68+AT68+AU68),""),"")</f>
        <v/>
      </c>
      <c r="AV326" s="262" t="str">
        <f>IFERROR(IF(AND(COUNT(AR63,AS63,AT63,AU63)=4,(AR68+AS68+AT68+AU68)&lt;&gt;0),(AR63+AS63+AT63+AU63)/-(AR68+AS68+AT68+AU68),""),"")</f>
        <v/>
      </c>
      <c r="AW326" s="262" t="str">
        <f>IFERROR(IF(AND(COUNT(AS63,AT63,AU63,AW63)=4,(AS68+AT68+AU68+AW68)&lt;&gt;0),(AS63+AT63+AU63+AW63)/-(AS68+AT68+AU68+AW68),""),"")</f>
        <v/>
      </c>
      <c r="AX326" s="262" t="str">
        <f>IFERROR(IF(AND(COUNT(AT63,AU63,AW63,AX63)=4,(AT68+AU68+AW68+AX68)&lt;&gt;0),(AT63+AU63+AW63+AX63)/-(AT68+AU68+AW68+AX68),""),"")</f>
        <v/>
      </c>
      <c r="AY326" s="262" t="str">
        <f>IFERROR(IF(AND(COUNT(AU63,AW63,AX63,AY63)=4,(AU68+AW68+AX68+AY68)&lt;&gt;0),(AU63+AW63+AX63+AY63)/-(AU68+AW68+AX68+AY68),""),"")</f>
        <v/>
      </c>
      <c r="AZ326" s="262" t="str">
        <f>IFERROR(IF(AND(COUNT(AW63,AX63,AY63,AZ63)=4,(AW68+AX68+AY68+AZ68)&lt;&gt;0),(AW63+AX63+AY63+AZ63)/-(AW68+AX68+AY68+AZ68),""),"")</f>
        <v/>
      </c>
      <c r="BA326" s="262" t="str">
        <f>IFERROR(IF(AND(COUNT(AW63,AX63,AY63,AZ63)=4,(AW68+AX68+AY68+AZ68)&lt;&gt;0),(AW63+AX63+AY63+AZ63)/-(AW68+AX68+AY68+AZ68),""),"")</f>
        <v/>
      </c>
      <c r="BB326" s="262" t="str">
        <f>IFERROR(IF(AND(COUNT(AX63,AY63,AZ63,BB63)=4,(AX68+AY68+AZ68+BB68)&lt;&gt;0),(AX63+AY63+AZ63+BB63)/-(AX68+AY68+AZ68+BB68),""),"")</f>
        <v/>
      </c>
      <c r="BC326" s="262" t="str">
        <f>IFERROR(IF(AND(COUNT(AY63,AZ63,BB63,BC63)=4,(AY68+AZ68+BB68+BC68)&lt;&gt;0),(AY63+AZ63+BB63+BC63)/-(AY68+AZ68+BB68+BC68),""),"")</f>
        <v/>
      </c>
      <c r="BD326" s="262" t="str">
        <f>IFERROR(IF(AND(COUNT(AZ63,BB63,BC63,BD63)=4,(AZ68+BB68+BC68+BD68)&lt;&gt;0),(AZ63+BB63+BC63+BD63)/-(AZ68+BB68+BC68+BD68),""),"")</f>
        <v/>
      </c>
      <c r="BE326" s="262" t="str">
        <f>IFERROR(IF(AND(COUNT(BB63,BC63,BD63,BE63)=4,(BB68+BC68+BD68+BE68)&lt;&gt;0),(BB63+BC63+BD63+BE63)/-(BB68+BC68+BD68+BE68),""),"")</f>
        <v/>
      </c>
      <c r="BF326" s="262" t="str">
        <f>IFERROR(IF(AND(COUNT(BB63,BC63,BD63,BE63)=4,(BB68+BC68+BD68+BE68)&lt;&gt;0),(BB63+BC63+BD63+BE63)/-(BB68+BC68+BD68+BE68),""),"")</f>
        <v/>
      </c>
      <c r="BG326" s="82" t="n"/>
      <c r="BH326" s="82" t="n"/>
      <c r="BI326" s="82" t="n"/>
      <c r="BJ326" s="82" t="n"/>
      <c r="BL326" s="82" t="n"/>
      <c r="BM326" s="82" t="n"/>
      <c r="BN326" s="82" t="n"/>
      <c r="BO326" s="82" t="n"/>
      <c r="BQ326" s="82" t="n"/>
      <c r="BR326" s="82" t="n"/>
      <c r="BS326" s="82" t="n"/>
      <c r="BT326" s="82" t="n"/>
      <c r="BV326" s="82" t="n"/>
      <c r="BW326" s="82" t="n"/>
      <c r="BX326" s="82" t="n"/>
      <c r="BY326" s="82" t="n"/>
      <c r="CA326" s="82" t="n"/>
      <c r="CB326" s="82" t="n"/>
      <c r="CC326" s="82" t="n"/>
      <c r="CD326" s="82" t="n"/>
      <c r="CF326" s="82" t="n"/>
      <c r="CG326" s="82" t="n"/>
      <c r="CH326" s="82" t="n"/>
      <c r="CI326" s="82" t="n"/>
      <c r="CK326" s="82" t="n"/>
      <c r="CL326" s="82" t="n"/>
      <c r="CM326" s="82" t="n"/>
      <c r="CN326" s="82" t="n"/>
      <c r="CP326" s="82" t="n"/>
      <c r="CQ326" s="82" t="n"/>
      <c r="CR326" s="82" t="n"/>
      <c r="CS326" s="82" t="n"/>
      <c r="CU326" s="82" t="n"/>
      <c r="CV326" s="82" t="n"/>
      <c r="CW326" s="82" t="n"/>
      <c r="CX326" s="82" t="n"/>
    </row>
    <row r="327" customFormat="1" s="77">
      <c r="A327" s="76" t="n"/>
      <c r="B327" s="76" t="n"/>
      <c r="C327" s="77" t="inlineStr">
        <is>
          <t>(EBITDA - CAPEX) / TOTAL INTEREST (LTM)</t>
        </is>
      </c>
      <c r="D327" s="82" t="str">
        <f>IFERROR((D63-D162)/-D68,"")</f>
        <v/>
      </c>
      <c r="E327" s="82" t="str">
        <f>IFERROR((E63-E162)/-E68,"")</f>
        <v/>
      </c>
      <c r="F327" s="82" t="str">
        <f>IFERROR((F63-F162)/-F68,"")</f>
        <v/>
      </c>
      <c r="G327" s="82" t="str">
        <f>IFERROR((G63-G162)/-G68,"")</f>
        <v/>
      </c>
      <c r="H327" s="262" t="str">
        <f>IFERROR(IF(AND(COUNT(H63)=1,(H68)&lt;&gt;0),((H63)-(H162))/-(H68),""),"")</f>
        <v/>
      </c>
      <c r="I327" s="262" t="str">
        <f>""</f>
        <v/>
      </c>
      <c r="J327" s="262" t="str">
        <f>""</f>
        <v/>
      </c>
      <c r="K327" s="262" t="str">
        <f>""</f>
        <v/>
      </c>
      <c r="L327" s="262" t="str">
        <f>IFERROR(IF(AND(COUNT(I63,J63,K63,L63)=4,(I68+J68+K68+L68)&lt;&gt;0),((I63+J63+K63+L63)-(I162+J162+K162+L162))/-(I68+J68+K68+L68),""),"")</f>
        <v/>
      </c>
      <c r="M327" s="262" t="str">
        <f>IFERROR(IF(AND(COUNT(I63,J63,K63,L63)=4,(I68+J68+K68+L68)&lt;&gt;0),((I63+J63+K63+L63)-(I162+J162+K162+L162))/-(I68+J68+K68+L68),""),"")</f>
        <v/>
      </c>
      <c r="N327" s="262" t="str">
        <f>IFERROR(IF(AND(COUNT(J63,K63,L63,N63)=4,(J68+K68+L68+N68)&lt;&gt;0),((J63+K63+L63+N63)-(J162+K162+L162+N162))/-(J68+K68+L68+N68),""),"")</f>
        <v/>
      </c>
      <c r="O327" s="262" t="str">
        <f>IFERROR(IF(AND(COUNT(K63,L63,N63,O63)=4,(K68+L68+N68+O68)&lt;&gt;0),((K63+L63+N63+O63)-(K162+L162+N162+O162))/-(K68+L68+N68+O68),""),"")</f>
        <v/>
      </c>
      <c r="P327" s="262" t="str">
        <f>IFERROR(IF(AND(COUNT(L63,N63,O63,P63)=4,(L68+N68+O68+P68)&lt;&gt;0),((L63+N63+O63+P63)-(L162+N162+O162+P162))/-(L68+N68+O68+P68),""),"")</f>
        <v/>
      </c>
      <c r="Q327" s="262" t="str">
        <f>IFERROR(IF(AND(COUNT(N63,O63,P63,Q63)=4,(N68+O68+P68+Q68)&lt;&gt;0),((N63+O63+P63+Q63)-(N162+O162+P162+Q162))/-(N68+O68+P68+Q68),""),"")</f>
        <v/>
      </c>
      <c r="R327" s="262" t="str">
        <f>IFERROR(IF(AND(COUNT(N63,O63,P63,Q63)=4,(N68+O68+P68+Q68)&lt;&gt;0),((N63+O63+P63+Q63)-(N162+O162+P162+Q162))/-(N68+O68+P68+Q68),""),"")</f>
        <v/>
      </c>
      <c r="S327" s="262" t="str">
        <f>IFERROR(IF(AND(COUNT(O63,P63,Q63,S63)=4,(O68+P68+Q68+S68)&lt;&gt;0),((O63+P63+Q63+S63)-(O162+P162+Q162+S162))/-(O68+P68+Q68+S68),""),"")</f>
        <v/>
      </c>
      <c r="T327" s="262" t="str">
        <f>IFERROR(IF(AND(COUNT(P63,Q63,S63,T63)=4,(P68+Q68+S68+T68)&lt;&gt;0),((P63+Q63+S63+T63)-(P162+Q162+S162+T162))/-(P68+Q68+S68+T68),""),"")</f>
        <v/>
      </c>
      <c r="U327" s="262" t="str">
        <f>IFERROR(IF(AND(COUNT(Q63,S63,T63,U63)=4,(Q68+S68+T68+U68)&lt;&gt;0),((Q63+S63+T63+U63)-(Q162+S162+T162+U162))/-(Q68+S68+T68+U68),""),"")</f>
        <v/>
      </c>
      <c r="V327" s="262" t="str">
        <f>IFERROR(IF(AND(COUNT(S63,T63,U63,V63)=4,(S68+T68+U68+V68)&lt;&gt;0),((S63+T63+U63+V63)-(S162+T162+U162+V162))/-(S68+T68+U68+V68),""),"")</f>
        <v/>
      </c>
      <c r="W327" s="262" t="str">
        <f>IFERROR(IF(AND(COUNT(S63,T63,U63,V63)=4,(S68+T68+U68+V68)&lt;&gt;0),((S63+T63+U63+V63)-(S162+T162+U162+V162))/-(S68+T68+U68+V68),""),"")</f>
        <v/>
      </c>
      <c r="X327" s="262" t="str">
        <f>IFERROR(IF(AND(COUNT(T63,U63,V63,X63)=4,(T68+U68+V68+X68)&lt;&gt;0),((T63+U63+V63+X63)-(T162+U162+V162+X162))/-(T68+U68+V68+X68),""),"")</f>
        <v/>
      </c>
      <c r="Y327" s="262" t="str">
        <f>IFERROR(IF(AND(COUNT(U63,V63,X63,Y63)=4,(U68+V68+X68+Y68)&lt;&gt;0),((U63+V63+X63+Y63)-(U162+V162+X162+Y162))/-(U68+V68+X68+Y68),""),"")</f>
        <v/>
      </c>
      <c r="Z327" s="262" t="str">
        <f>IFERROR(IF(AND(COUNT(V63,X63,Y63,Z63)=4,(V68+X68+Y68+Z68)&lt;&gt;0),((V63+X63+Y63+Z63)-(V162+X162+Y162+Z162))/-(V68+X68+Y68+Z68),""),"")</f>
        <v/>
      </c>
      <c r="AA327" s="262" t="str">
        <f>IFERROR(IF(AND(COUNT(X63,Y63,Z63,AA63)=4,(X68+Y68+Z68+AA68)&lt;&gt;0),((X63+Y63+Z63+AA63)-(X162+Y162+Z162+AA162))/-(X68+Y68+Z68+AA68),""),"")</f>
        <v/>
      </c>
      <c r="AB327" s="262" t="str">
        <f>IFERROR(IF(AND(COUNT(X63,Y63,Z63,AA63)=4,(X68+Y68+Z68+AA68)&lt;&gt;0),((X63+Y63+Z63+AA63)-(X162+Y162+Z162+AA162))/-(X68+Y68+Z68+AA68),""),"")</f>
        <v/>
      </c>
      <c r="AC327" s="262" t="str">
        <f>IFERROR(IF(AND(COUNT(Y63,Z63,AA63,AC63)=4,(Y68+Z68+AA68+AC68)&lt;&gt;0),((Y63+Z63+AA63+AC63)-(Y162+Z162+AA162+AC162))/-(Y68+Z68+AA68+AC68),""),"")</f>
        <v/>
      </c>
      <c r="AD327" s="262" t="str">
        <f>IFERROR(IF(AND(COUNT(Z63,AA63,AC63,AD63)=4,(Z68+AA68+AC68+AD68)&lt;&gt;0),((Z63+AA63+AC63+AD63)-(Z162+AA162+AC162+AD162))/-(Z68+AA68+AC68+AD68),""),"")</f>
        <v/>
      </c>
      <c r="AE327" s="262" t="str">
        <f>IFERROR(IF(AND(COUNT(AA63,AC63,AD63,AE63)=4,(AA68+AC68+AD68+AE68)&lt;&gt;0),((AA63+AC63+AD63+AE63)-(AA162+AC162+AD162+AE162))/-(AA68+AC68+AD68+AE68),""),"")</f>
        <v/>
      </c>
      <c r="AF327" s="262" t="str">
        <f>IFERROR(IF(AND(COUNT(AB63,AD63,AE63,AF63)=4,(AB68+AD68+AE68+AF68)&lt;&gt;0),((AB63+AD63+AE63+AF63)-(AB162+AD162+AE162+AF162))/-(AB68+AD68+AE68+AF68),""),"")</f>
        <v/>
      </c>
      <c r="AG327" s="262" t="str">
        <f>IFERROR(IF(AND(COUNT(AC63,AD63,AE63,AF63)=4,(AC68+AD68+AE68+AF68)&lt;&gt;0),((AC63+AD63+AE63+AF63)-(AC162+AD162+AE162+AF162))/-(AC68+AD68+AE68+AF68),""),"")</f>
        <v/>
      </c>
      <c r="AH327" s="262" t="str">
        <f>IFERROR(IF(AND(COUNT(AD63,AF63,AG63,AH63)=4,(AD68+AF68+AG68+AH68)&lt;&gt;0),((AD63+AF63+AG63+AH63)-(AD162+AF162+AG162+AH162))/-(AD68+AF68+AG68+AH68),""),"")</f>
        <v/>
      </c>
      <c r="AI327" s="262" t="str">
        <f>IFERROR(IF(AND(COUNT(AE63,AG63,AH63,AI63)=4,(AE68+AG68+AH68+AI68)&lt;&gt;0),((AE63+AG63+AH63+AI63)-(AE162+AG162+AH162+AI162))/-(AE68+AG68+AH68+AI68),""),"")</f>
        <v/>
      </c>
      <c r="AJ327" s="262" t="str">
        <f>IFERROR(IF(AND(COUNT(AF63,AH63,AI63,AJ63)=4,(AF68+AH68+AI68+AJ68)&lt;&gt;0),((AF63+AH63+AI63+AJ63)-(AF162+AH162+AI162+AJ162))/-(AF68+AH68+AI68+AJ68),""),"")</f>
        <v/>
      </c>
      <c r="AK327" s="262" t="str">
        <f>IFERROR(IF(AND(COUNT(AH63,AI63,AJ63,AK63)=4,(AH68+AI68+AJ68+AK68)&lt;&gt;0),((AH63+AI63+AJ63+AK63)-(AH162+AI162+AJ162+AK162))/-(AH68+AI68+AJ68+AK68),""),"")</f>
        <v/>
      </c>
      <c r="AL327" s="262" t="str">
        <f>IFERROR(IF(AND(COUNT(AH63,AI63,AJ63,AK63)=4,(AH68+AI68+AJ68+AK68)&lt;&gt;0),((AH63+AI63+AJ63+AK63)-(AH162+AI162+AJ162+AK162))/-(AH68+AI68+AJ68+AK68),""),"")</f>
        <v/>
      </c>
      <c r="AM327" s="262" t="str">
        <f>IFERROR(IF(AND(COUNT(AI63,AJ63,AK63,AM63)=4,(AI68+AJ68+AK68+AM68)&lt;&gt;0),((AI63+AJ63+AK63+AM63)-(AI162+AJ162+AK162+AM162))/-(AI68+AJ68+AK68+AM68),""),"")</f>
        <v/>
      </c>
      <c r="AN327" s="262" t="str">
        <f>IFERROR(IF(AND(COUNT(AJ63,AK63,AM63,AN63)=4,(AJ68+AK68+AM68+AN68)&lt;&gt;0),((AJ63+AK63+AM63+AN63)-(AJ162+AK162+AM162+AN162))/-(AJ68+AK68+AM68+AN68),""),"")</f>
        <v/>
      </c>
      <c r="AO327" s="262" t="str">
        <f>IFERROR(IF(AND(COUNT(AK63,AM63,AN63,AO63)=4,(AK68+AM68+AN68+AO68)&lt;&gt;0),((AK63+AM63+AN63+AO63)-(AK162+AM162+AN162+AO162))/-(AK68+AM68+AN68+AO68),""),"")</f>
        <v/>
      </c>
      <c r="AP327" s="262" t="str">
        <f>IFERROR(IF(AND(COUNT(AM63,AN63,AO63,AP63)=4,(AM68+AN68+AO68+AP68)&lt;&gt;0),((AM63+AN63+AO63+AP63)-(AM162+AN162+AO162+AP162))/-(AM68+AN68+AO68+AP68),""),"")</f>
        <v/>
      </c>
      <c r="AQ327" s="262" t="str">
        <f>IFERROR(IF(AND(COUNT(AM63,AN63,AO63,AP63)=4,(AM68+AN68+AO68+AP68)&lt;&gt;0),((AM63+AN63+AO63+AP63)-(AM162+AN162+AO162+AP162))/-(AM68+AN68+AO68+AP68),""),"")</f>
        <v/>
      </c>
      <c r="AR327" s="262" t="str">
        <f>IFERROR(IF(AND(COUNT(AN63,AO63,AP63,AR63)=4,(AN68+AO68+AP68+AR68)&lt;&gt;0),((AN63+AO63+AP63+AR63)-(AN162+AO162+AP162+AR162))/-(AN68+AO68+AP68+AR68),""),"")</f>
        <v/>
      </c>
      <c r="AS327" s="262" t="str">
        <f>IFERROR(IF(AND(COUNT(AO63,AP63,AR63,AS63)=4,(AO68+AP68+AR68+AS68)&lt;&gt;0),((AO63+AP63+AR63+AS63)-(AO162+AP162+AR162+AS162))/-(AO68+AP68+AR68+AS68),""),"")</f>
        <v/>
      </c>
      <c r="AT327" s="262" t="str">
        <f>IFERROR(IF(AND(COUNT(AP63,AR63,AS63,AT63)=4,(AP68+AR68+AS68+AT68)&lt;&gt;0),((AP63+AR63+AS63+AT63)-(AP162+AR162+AS162+AT162))/-(AP68+AR68+AS68+AT68),""),"")</f>
        <v/>
      </c>
      <c r="AU327" s="262" t="str">
        <f>IFERROR(IF(AND(COUNT(AR63,AS63,AT63,AU63)=4,(AR68+AS68+AT68+AU68)&lt;&gt;0),((AR63+AS63+AT63+AU63)-(AR162+AS162+AT162+AU162))/-(AR68+AS68+AT68+AU68),""),"")</f>
        <v/>
      </c>
      <c r="AV327" s="262" t="str">
        <f>IFERROR(IF(AND(COUNT(AR63,AS63,AT63,AU63)=4,(AR68+AS68+AT68+AU68)&lt;&gt;0),((AR63+AS63+AT63+AU63)-(AR162+AS162+AT162+AU162))/-(AR68+AS68+AT68+AU68),""),"")</f>
        <v/>
      </c>
      <c r="AW327" s="262" t="str">
        <f>IFERROR(IF(AND(COUNT(AS63,AT63,AU63,AW63)=4,(AS68+AT68+AU68+AW68)&lt;&gt;0),((AS63+AT63+AU63+AW63)-(AS162+AT162+AU162+AW162))/-(AS68+AT68+AU68+AW68),""),"")</f>
        <v/>
      </c>
      <c r="AX327" s="262" t="str">
        <f>IFERROR(IF(AND(COUNT(AT63,AU63,AW63,AX63)=4,(AT68+AU68+AW68+AX68)&lt;&gt;0),((AT63+AU63+AW63+AX63)-(AT162+AU162+AW162+AX162))/-(AT68+AU68+AW68+AX68),""),"")</f>
        <v/>
      </c>
      <c r="AY327" s="262" t="str">
        <f>IFERROR(IF(AND(COUNT(AU63,AW63,AX63,AY63)=4,(AU68+AW68+AX68+AY68)&lt;&gt;0),((AU63+AW63+AX63+AY63)-(AU162+AW162+AX162+AY162))/-(AU68+AW68+AX68+AY68),""),"")</f>
        <v/>
      </c>
      <c r="AZ327" s="262" t="str">
        <f>IFERROR(IF(AND(COUNT(AW63,AX63,AY63,AZ63)=4,(AW68+AX68+AY68+AZ68)&lt;&gt;0),((AW63+AX63+AY63+AZ63)-(AW162+AX162+AY162+AZ162))/-(AW68+AX68+AY68+AZ68),""),"")</f>
        <v/>
      </c>
      <c r="BA327" s="262" t="str">
        <f>IFERROR(IF(AND(COUNT(AW63,AX63,AY63,AZ63)=4,(AW68+AX68+AY68+AZ68)&lt;&gt;0),((AW63+AX63+AY63+AZ63)-(AW162+AX162+AY162+AZ162))/-(AW68+AX68+AY68+AZ68),""),"")</f>
        <v/>
      </c>
      <c r="BB327" s="262" t="str">
        <f>IFERROR(IF(AND(COUNT(AX63,AY63,AZ63,BB63)=4,(AX68+AY68+AZ68+BB68)&lt;&gt;0),((AX63+AY63+AZ63+BB63)-(AX162+AY162+AZ162+BB162))/-(AX68+AY68+AZ68+BB68),""),"")</f>
        <v/>
      </c>
      <c r="BC327" s="262" t="str">
        <f>IFERROR(IF(AND(COUNT(AY63,AZ63,BB63,BC63)=4,(AY68+AZ68+BB68+BC68)&lt;&gt;0),((AY63+AZ63+BB63+BC63)-(AY162+AZ162+BB162+BC162))/-(AY68+AZ68+BB68+BC68),""),"")</f>
        <v/>
      </c>
      <c r="BD327" s="262" t="str">
        <f>IFERROR(IF(AND(COUNT(AZ63,BB63,BC63,BD63)=4,(AZ68+BB68+BC68+BD68)&lt;&gt;0),((AZ63+BB63+BC63+BD63)-(AZ162+BB162+BC162+BD162))/-(AZ68+BB68+BC68+BD68),""),"")</f>
        <v/>
      </c>
      <c r="BE327" s="262" t="str">
        <f>IFERROR(IF(AND(COUNT(BB63,BC63,BD63,BE63)=4,(BB68+BC68+BD68+BE68)&lt;&gt;0),((BB63+BC63+BD63+BE63)-(BB162+BC162+BD162+BE162))/-(BB68+BC68+BD68+BE68),""),"")</f>
        <v/>
      </c>
      <c r="BF327" s="262" t="str">
        <f>IFERROR(IF(AND(COUNT(BB63,BC63,BD63,BE63)=4,(BB68+BC68+BD68+BE68)&lt;&gt;0),((BB63+BC63+BD63+BE63)-(BB162+BC162+BD162+BE162))/-(BB68+BC68+BD68+BE68),""),"")</f>
        <v/>
      </c>
      <c r="BG327" s="82" t="n"/>
      <c r="BH327" s="82" t="n"/>
      <c r="BI327" s="82" t="n"/>
      <c r="BJ327" s="82" t="n"/>
      <c r="BL327" s="82" t="n"/>
      <c r="BM327" s="82" t="n"/>
      <c r="BN327" s="82" t="n"/>
      <c r="BO327" s="82" t="n"/>
      <c r="BQ327" s="82" t="n"/>
      <c r="BR327" s="82" t="n"/>
      <c r="BS327" s="82" t="n"/>
      <c r="BT327" s="82" t="n"/>
      <c r="BV327" s="82" t="n"/>
      <c r="BW327" s="82" t="n"/>
      <c r="BX327" s="82" t="n"/>
      <c r="BY327" s="82" t="n"/>
      <c r="CA327" s="82" t="n"/>
      <c r="CB327" s="82" t="n"/>
      <c r="CC327" s="82" t="n"/>
      <c r="CD327" s="82" t="n"/>
      <c r="CF327" s="82" t="n"/>
      <c r="CG327" s="82" t="n"/>
      <c r="CH327" s="82" t="n"/>
      <c r="CI327" s="82" t="n"/>
      <c r="CK327" s="82" t="n"/>
      <c r="CL327" s="82" t="n"/>
      <c r="CM327" s="82" t="n"/>
      <c r="CN327" s="82" t="n"/>
      <c r="CP327" s="82" t="n"/>
      <c r="CQ327" s="82" t="n"/>
      <c r="CR327" s="82" t="n"/>
      <c r="CS327" s="82" t="n"/>
      <c r="CU327" s="82" t="n"/>
      <c r="CV327" s="82" t="n"/>
      <c r="CW327" s="82" t="n"/>
      <c r="CX327" s="82" t="n"/>
    </row>
    <row r="328" customFormat="1" s="77">
      <c r="A328" s="76" t="n"/>
      <c r="B328" s="76" t="n"/>
      <c r="C328" s="77" t="inlineStr">
        <is>
          <t>TOTAL DEBT / EBITDA (LTM)</t>
        </is>
      </c>
      <c r="D328" s="82" t="str">
        <f>IFERROR(SUM(D206,D207,D208,D211,D229,D232)/D63,"")</f>
        <v/>
      </c>
      <c r="E328" s="82" t="str">
        <f>IFERROR(SUM(E206,E207,E208,E211,E229,E232)/E63,"")</f>
        <v/>
      </c>
      <c r="F328" s="82" t="str">
        <f>IFERROR(SUM(F206,F207,F208,F211,F229,F232)/F63,"")</f>
        <v/>
      </c>
      <c r="G328" s="82" t="str">
        <f>IFERROR(SUM(G206,G207,G208,G211,G229,G232)/G63,"")</f>
        <v/>
      </c>
      <c r="H328" s="262" t="str">
        <f>IFERROR(IF(AND(COUNT(H63)=1,(H63)&lt;&gt;0),(N(H206)+N(H207)+N(H208)+N(H211)+N(H229)+N(H232))/(H63),""),"")</f>
        <v/>
      </c>
      <c r="I328" s="262" t="str">
        <f>""</f>
        <v/>
      </c>
      <c r="J328" s="262" t="str">
        <f>""</f>
        <v/>
      </c>
      <c r="K328" s="262" t="str">
        <f>""</f>
        <v/>
      </c>
      <c r="L328" s="262">
        <f>IFERROR(IF(AND(COUNT(I63,J63,K63,L63)=4,(I63+J63+K63+L63)&lt;&gt;0),(N(L206)+N(L207)+N(L208)+N(L211)+N(L229)+N(L232))/(I63+J63+K63+L63),""),"")</f>
        <v>0.981834172863197</v>
      </c>
      <c r="M328" s="262">
        <f>IFERROR(IF(AND(COUNT(I63,J63,K63,L63)=4,(I63+J63+K63+L63)&lt;&gt;0),(N(M206)+N(M207)+N(M208)+N(M211)+N(M229)+N(M232))/(I63+J63+K63+L63),""),"")</f>
        <v>0.981834172863197</v>
      </c>
      <c r="N328" s="262">
        <f>IFERROR(IF(AND(COUNT(J63,K63,L63,N63)=4,(J63+K63+L63+N63)&lt;&gt;0),(N(N206)+N(N207)+N(N208)+N(N211)+N(N229)+N(N232))/(J63+K63+L63+N63),""),"")</f>
        <v>0.918451551663426</v>
      </c>
      <c r="O328" s="262">
        <f>IFERROR(IF(AND(COUNT(K63,L63,N63,O63)=4,(K63+L63+N63+O63)&lt;&gt;0),(N(O206)+N(O207)+N(O208)+N(O211)+N(O229)+N(O232))/(K63+L63+N63+O63),""),"")</f>
        <v>0.923848190371805</v>
      </c>
      <c r="P328" s="262">
        <f>IFERROR(IF(AND(COUNT(L63,N63,O63,P63)=4,(L63+N63+O63+P63)&lt;&gt;0),(N(P206)+N(P207)+N(P208)+N(P211)+N(P229)+N(P232))/(L63+N63+O63+P63),""),"")</f>
        <v>0.91977999249278</v>
      </c>
      <c r="Q328" s="262">
        <f>IFERROR(IF(AND(COUNT(N63,O63,P63,Q63)=4,(N63+O63+P63+Q63)&lt;&gt;0),(N(Q206)+N(Q207)+N(Q208)+N(Q211)+N(Q229)+N(Q232))/(N63+O63+P63+Q63),""),"")</f>
        <v>0.886836728178277</v>
      </c>
      <c r="R328" s="262">
        <f>IFERROR(IF(AND(COUNT(N63,O63,P63,Q63)=4,(N63+O63+P63+Q63)&lt;&gt;0),(N(R206)+N(R207)+N(R208)+N(R211)+N(R229)+N(R232))/(N63+O63+P63+Q63),""),"")</f>
        <v>0.886836728178277</v>
      </c>
      <c r="S328" s="262">
        <f>IFERROR(IF(AND(COUNT(O63,P63,Q63,S63)=4,(O63+P63+Q63+S63)&lt;&gt;0),(N(S206)+N(S207)+N(S208)+N(S211)+N(S229)+N(S232))/(O63+P63+Q63+S63),""),"")</f>
        <v>0.885505864865738</v>
      </c>
      <c r="T328" s="262">
        <f>IFERROR(IF(AND(COUNT(P63,Q63,S63,T63)=4,(P63+Q63+S63+T63)&lt;&gt;0),(N(T206)+N(T207)+N(T208)+N(T211)+N(T229)+N(T232))/(P63+Q63+S63+T63),""),"")</f>
        <v>0.881596037335528</v>
      </c>
      <c r="U328" s="262">
        <f>IFERROR(IF(AND(COUNT(Q63,S63,T63,U63)=4,(Q63+S63+T63+U63)&lt;&gt;0),(N(U206)+N(U207)+N(U208)+N(U211)+N(U229)+N(U232))/(Q63+S63+T63+U63),""),"")</f>
        <v>0.882912096646002</v>
      </c>
      <c r="V328" s="262">
        <f>IFERROR(IF(AND(COUNT(S63,T63,U63,V63)=4,(S63+T63+U63+V63)&lt;&gt;0),(N(V206)+N(V207)+N(V208)+N(V211)+N(V229)+N(V232))/(S63+T63+U63+V63),""),"")</f>
        <v>0.830380680813779</v>
      </c>
      <c r="W328" s="262">
        <f>IFERROR(IF(AND(COUNT(S63,T63,U63,V63)=4,(S63+T63+U63+V63)&lt;&gt;0),(N(W206)+N(W207)+N(W208)+N(W211)+N(W229)+N(W232))/(S63+T63+U63+V63),""),"")</f>
        <v>0.830380680813779</v>
      </c>
      <c r="X328" s="262">
        <f>IFERROR(IF(AND(COUNT(T63,U63,V63,X63)=4,(T63+U63+V63+X63)&lt;&gt;0),(N(X206)+N(X207)+N(X208)+N(X211)+N(X229)+N(X232))/(T63+U63+V63+X63),""),"")</f>
        <v>0.806841061799443</v>
      </c>
      <c r="Y328" s="262">
        <f>IFERROR(IF(AND(COUNT(U63,V63,X63,Y63)=4,(U63+V63+X63+Y63)&lt;&gt;0),(N(Y206)+N(Y207)+N(Y208)+N(Y211)+N(Y229)+N(Y232))/(U63+V63+X63+Y63),""),"")</f>
        <v>0.768729938306736</v>
      </c>
      <c r="Z328" s="262">
        <f>IFERROR(IF(AND(COUNT(V63,X63,Y63,Z63)=4,(V63+X63+Y63+Z63)&lt;&gt;0),(N(Z206)+N(Z207)+N(Z208)+N(Z211)+N(Z229)+N(Z232))/(V63+X63+Y63+Z63),""),"")</f>
        <v>0.791832824648562</v>
      </c>
      <c r="AA328" s="262">
        <f>IFERROR(IF(AND(COUNT(X63,Y63,Z63,AA63)=4,(X63+Y63+Z63+AA63)&lt;&gt;0),(N(AA206)+N(AA207)+N(AA208)+N(AA211)+N(AA229)+N(AA232))/(X63+Y63+Z63+AA63),""),"")</f>
        <v>0.704751295940358</v>
      </c>
      <c r="AB328" s="262">
        <f>IFERROR(IF(AND(COUNT(X63,Y63,Z63,AA63)=4,(X63+Y63+Z63+AA63)&lt;&gt;0),(N(AB206)+N(AB207)+N(AB208)+N(AB211)+N(AB229)+N(AB232))/(X63+Y63+Z63+AA63),""),"")</f>
        <v>0.704751295940358</v>
      </c>
      <c r="AC328" s="262">
        <f>IFERROR(IF(AND(COUNT(Y63,Z63,AA63,AC63)=4,(Y63+Z63+AA63+AC63)&lt;&gt;0),(N(AC206)+N(AC207)+N(AC208)+N(AC211)+N(AC229)+N(AC232))/(Y63+Z63+AA63+AC63),""),"")</f>
        <v>0.707055722783115</v>
      </c>
      <c r="AD328" s="262">
        <f>IFERROR(IF(AND(COUNT(Z63,AA63,AC63,AD63)=4,(Z63+AA63+AC63+AD63)&lt;&gt;0),(N(AD206)+N(AD207)+N(AD208)+N(AD211)+N(AD229)+N(AD232))/(Z63+AA63+AC63+AD63),""),"")</f>
        <v>0.717719625112918</v>
      </c>
      <c r="AE328" s="262">
        <f>IFERROR(IF(AND(COUNT(AA63,AC63,AD63,AE63)=4,(AA63+AC63+AD63+AE63)&lt;&gt;0),(N(AE206)+N(AE207)+N(AE208)+N(AE211)+N(AE229)+N(AE232))/(AA63+AC63+AD63+AE63),""),"")</f>
        <v>0.681577638378423</v>
      </c>
      <c r="AF328" s="262">
        <f>IFERROR(IF(AND(COUNT(AB63,AD63,AE63,AF63)=4,(AB63+AD63+AE63+AF63)&lt;&gt;0),(N(AF206)+N(AF207)+N(AF208)+N(AF211)+N(AF229)+N(AF232))/(AB63+AD63+AE63+AF63),""),"")</f>
        <v>0.350804638687772</v>
      </c>
      <c r="AG328" s="262">
        <f>IFERROR(IF(AND(COUNT(AC63,AD63,AE63,AF63)=4,(AC63+AD63+AE63+AF63)&lt;&gt;0),(N(AG206)+N(AG207)+N(AG208)+N(AG211)+N(AG229)+N(AG232))/(AC63+AD63+AE63+AF63),""),"")</f>
        <v>0.591941243410812</v>
      </c>
      <c r="AH328" s="262">
        <f>IFERROR(IF(AND(COUNT(AD63,AF63,AG63,AH63)=4,(AD63+AF63+AG63+AH63)&lt;&gt;0),(N(AH206)+N(AH207)+N(AH208)+N(AH211)+N(AH229)+N(AH232))/(AD63+AF63+AG63+AH63),""),"")</f>
        <v>0.305458597164328</v>
      </c>
      <c r="AI328" s="262">
        <f>IFERROR(IF(AND(COUNT(AE63,AG63,AH63,AI63)=4,(AE63+AG63+AH63+AI63)&lt;&gt;0),(N(AI206)+N(AI207)+N(AI208)+N(AI211)+N(AI229)+N(AI232))/(AE63+AG63+AH63+AI63),""),"")</f>
        <v>0.316137858655522</v>
      </c>
      <c r="AJ328" s="262">
        <f>IFERROR(IF(AND(COUNT(AF63,AH63,AI63,AJ63)=4,(AF63+AH63+AI63+AJ63)&lt;&gt;0),(N(AJ206)+N(AJ207)+N(AJ208)+N(AJ211)+N(AJ229)+N(AJ232))/(AF63+AH63+AI63+AJ63),""),"")</f>
        <v>0.488792359864563</v>
      </c>
      <c r="AK328" s="262">
        <f>IFERROR(IF(AND(COUNT(AH63,AI63,AJ63,AK63)=4,(AH63+AI63+AJ63+AK63)&lt;&gt;0),(N(AK206)+N(AK207)+N(AK208)+N(AK211)+N(AK229)+N(AK232))/(AH63+AI63+AJ63+AK63),""),"")</f>
        <v>0.482461692934215</v>
      </c>
      <c r="AL328" s="262">
        <f>IFERROR(IF(AND(COUNT(AH63,AI63,AJ63,AK63)=4,(AH63+AI63+AJ63+AK63)&lt;&gt;0),(N(AL206)+N(AL207)+N(AL208)+N(AL211)+N(AL229)+N(AL232))/(AH63+AI63+AJ63+AK63),""),"")</f>
        <v>0.482461692934215</v>
      </c>
      <c r="AM328" s="262">
        <f>IFERROR(IF(AND(COUNT(AI63,AJ63,AK63,AM63)=4,(AI63+AJ63+AK63+AM63)&lt;&gt;0),(N(AM206)+N(AM207)+N(AM208)+N(AM211)+N(AM229)+N(AM232))/(AI63+AJ63+AK63+AM63),""),"")</f>
        <v>0.471029489377238</v>
      </c>
      <c r="AN328" s="262">
        <f>IFERROR(IF(AND(COUNT(AJ63,AK63,AM63,AN63)=4,(AJ63+AK63+AM63+AN63)&lt;&gt;0),(N(AN206)+N(AN207)+N(AN208)+N(AN211)+N(AN229)+N(AN232))/(AJ63+AK63+AM63+AN63),""),"")</f>
        <v>0.461090919718041</v>
      </c>
      <c r="AO328" s="262">
        <f>IFERROR(IF(AND(COUNT(AK63,AM63,AN63,AO63)=4,(AK63+AM63+AN63+AO63)&lt;&gt;0),(N(AO206)+N(AO207)+N(AO208)+N(AO211)+N(AO229)+N(AO232))/(AK63+AM63+AN63+AO63),""),"")</f>
        <v>0.449378373717943</v>
      </c>
      <c r="AP328" s="262">
        <f>IFERROR(IF(AND(COUNT(AM63,AN63,AO63,AP63)=4,(AM63+AN63+AO63+AP63)&lt;&gt;0),(N(AP206)+N(AP207)+N(AP208)+N(AP211)+N(AP229)+N(AP232))/(AM63+AN63+AO63+AP63),""),"")</f>
        <v>0.433914609826469</v>
      </c>
      <c r="AQ328" s="262">
        <f>IFERROR(IF(AND(COUNT(AM63,AN63,AO63,AP63)=4,(AM63+AN63+AO63+AP63)&lt;&gt;0),(N(AQ206)+N(AQ207)+N(AQ208)+N(AQ211)+N(AQ229)+N(AQ232))/(AM63+AN63+AO63+AP63),""),"")</f>
        <v>0.433914609826469</v>
      </c>
      <c r="AR328" s="262">
        <f>IFERROR(IF(AND(COUNT(AN63,AO63,AP63,AR63)=4,(AN63+AO63+AP63+AR63)&lt;&gt;0),(N(AR206)+N(AR207)+N(AR208)+N(AR211)+N(AR229)+N(AR232))/(AN63+AO63+AP63+AR63),""),"")</f>
        <v>0.423127443637332</v>
      </c>
      <c r="AS328" s="262">
        <f>IFERROR(IF(AND(COUNT(AO63,AP63,AR63,AS63)=4,(AO63+AP63+AR63+AS63)&lt;&gt;0),(N(AS206)+N(AS207)+N(AS208)+N(AS211)+N(AS229)+N(AS232))/(AO63+AP63+AR63+AS63),""),"")</f>
        <v>0.413022831109926</v>
      </c>
      <c r="AT328" s="262">
        <f>IFERROR(IF(AND(COUNT(AP63,AR63,AS63,AT63)=4,(AP63+AR63+AS63+AT63)&lt;&gt;0),(N(AT206)+N(AT207)+N(AT208)+N(AT211)+N(AT229)+N(AT232))/(AP63+AR63+AS63+AT63),""),"")</f>
        <v>0.402941538911087</v>
      </c>
      <c r="AU328" s="262">
        <f>IFERROR(IF(AND(COUNT(AR63,AS63,AT63,AU63)=4,(AR63+AS63+AT63+AU63)&lt;&gt;0),(N(AU206)+N(AU207)+N(AU208)+N(AU211)+N(AU229)+N(AU232))/(AR63+AS63+AT63+AU63),""),"")</f>
        <v>0.389599959556875</v>
      </c>
      <c r="AV328" s="262">
        <f>IFERROR(IF(AND(COUNT(AR63,AS63,AT63,AU63)=4,(AR63+AS63+AT63+AU63)&lt;&gt;0),(N(AV206)+N(AV207)+N(AV208)+N(AV211)+N(AV229)+N(AV232))/(AR63+AS63+AT63+AU63),""),"")</f>
        <v>0.389599959556875</v>
      </c>
      <c r="AW328" s="262">
        <f>IFERROR(IF(AND(COUNT(AS63,AT63,AU63,AW63)=4,(AS63+AT63+AU63+AW63)&lt;&gt;0),(N(AW206)+N(AW207)+N(AW208)+N(AW211)+N(AW229)+N(AW232))/(AS63+AT63+AU63+AW63),""),"")</f>
        <v>0.380330089117896</v>
      </c>
      <c r="AX328" s="262">
        <f>IFERROR(IF(AND(COUNT(AT63,AU63,AW63,AX63)=4,(AT63+AU63+AW63+AX63)&lt;&gt;0),(N(AX206)+N(AX207)+N(AX208)+N(AX211)+N(AX229)+N(AX232))/(AT63+AU63+AW63+AX63),""),"")</f>
        <v>0.371628349056321</v>
      </c>
      <c r="AY328" s="262">
        <f>IFERROR(IF(AND(COUNT(AU63,AW63,AX63,AY63)=4,(AU63+AW63+AX63+AY63)&lt;&gt;0),(N(AY206)+N(AY207)+N(AY208)+N(AY211)+N(AY229)+N(AY232))/(AU63+AW63+AX63+AY63),""),"")</f>
        <v>0.362928882095267</v>
      </c>
      <c r="AZ328" s="262">
        <f>IFERROR(IF(AND(COUNT(AW63,AX63,AY63,AZ63)=4,(AW63+AX63+AY63+AZ63)&lt;&gt;0),(N(AZ206)+N(AZ207)+N(AZ208)+N(AZ211)+N(AZ229)+N(AZ232))/(AW63+AX63+AY63+AZ63),""),"")</f>
        <v>0.351388567918801</v>
      </c>
      <c r="BA328" s="262">
        <f>IFERROR(IF(AND(COUNT(AW63,AX63,AY63,AZ63)=4,(AW63+AX63+AY63+AZ63)&lt;&gt;0),(N(BA206)+N(BA207)+N(BA208)+N(BA211)+N(BA229)+N(BA232))/(AW63+AX63+AY63+AZ63),""),"")</f>
        <v>0.351388567918801</v>
      </c>
      <c r="BB328" s="262">
        <f>IFERROR(IF(AND(COUNT(AX63,AY63,AZ63,BB63)=4,(AX63+AY63+AZ63+BB63)&lt;&gt;0),(N(BB206)+N(BB207)+N(BB208)+N(BB211)+N(BB229)+N(BB232))/(AX63+AY63+AZ63+BB63),""),"")</f>
        <v>0.343403558163526</v>
      </c>
      <c r="BC328" s="262">
        <f>IFERROR(IF(AND(COUNT(AY63,AZ63,BB63,BC63)=4,(AY63+AZ63+BB63+BC63)&lt;&gt;0),(N(BC206)+N(BC207)+N(BC208)+N(BC211)+N(BC229)+N(BC232))/(AY63+AZ63+BB63+BC63),""),"")</f>
        <v>0.335892000716615</v>
      </c>
      <c r="BD328" s="262">
        <f>IFERROR(IF(AND(COUNT(AZ63,BB63,BC63,BD63)=4,(AZ63+BB63+BC63+BD63)&lt;&gt;0),(N(BD206)+N(BD207)+N(BD208)+N(BD211)+N(BD229)+N(BD232))/(AZ63+BB63+BC63+BD63),""),"")</f>
        <v>0.328366934731546</v>
      </c>
      <c r="BE328" s="262">
        <f>IFERROR(IF(AND(COUNT(BB63,BC63,BD63,BE63)=4,(BB63+BC63+BD63+BE63)&lt;&gt;0),(N(BE206)+N(BE207)+N(BE208)+N(BE211)+N(BE229)+N(BE232))/(BB63+BC63+BD63+BE63),""),"")</f>
        <v>0.318360574618861</v>
      </c>
      <c r="BF328" s="262">
        <f>IFERROR(IF(AND(COUNT(BB63,BC63,BD63,BE63)=4,(BB63+BC63+BD63+BE63)&lt;&gt;0),(N(BF206)+N(BF207)+N(BF208)+N(BF211)+N(BF229)+N(BF232))/(BB63+BC63+BD63+BE63),""),"")</f>
        <v>0.318360574618861</v>
      </c>
      <c r="BG328" s="82" t="n"/>
      <c r="BH328" s="82" t="n"/>
      <c r="BI328" s="82" t="n"/>
      <c r="BJ328" s="82" t="n"/>
      <c r="BL328" s="82" t="n"/>
      <c r="BM328" s="82" t="n"/>
      <c r="BN328" s="82" t="n"/>
      <c r="BO328" s="82" t="n"/>
      <c r="BQ328" s="82" t="n"/>
      <c r="BR328" s="82" t="n"/>
      <c r="BS328" s="82" t="n"/>
      <c r="BT328" s="82" t="n"/>
      <c r="BV328" s="82" t="n"/>
      <c r="BW328" s="82" t="n"/>
      <c r="BX328" s="82" t="n"/>
      <c r="BY328" s="82" t="n"/>
      <c r="CA328" s="82" t="n"/>
      <c r="CB328" s="82" t="n"/>
      <c r="CC328" s="82" t="n"/>
      <c r="CD328" s="82" t="n"/>
      <c r="CF328" s="82" t="n"/>
      <c r="CG328" s="82" t="n"/>
      <c r="CH328" s="82" t="n"/>
      <c r="CI328" s="82" t="n"/>
      <c r="CK328" s="82" t="n"/>
      <c r="CL328" s="82" t="n"/>
      <c r="CM328" s="82" t="n"/>
      <c r="CN328" s="82" t="n"/>
      <c r="CP328" s="82" t="n"/>
      <c r="CQ328" s="82" t="n"/>
      <c r="CR328" s="82" t="n"/>
      <c r="CS328" s="82" t="n"/>
      <c r="CU328" s="82" t="n"/>
      <c r="CV328" s="82" t="n"/>
      <c r="CW328" s="82" t="n"/>
      <c r="CX328" s="82" t="n"/>
    </row>
    <row r="329" customFormat="1" s="77">
      <c r="A329" s="76" t="n"/>
      <c r="B329" s="76" t="n"/>
      <c r="C329" s="77" t="inlineStr">
        <is>
          <t>TOTAL DEBT / TOTAL CAPITALIZATION</t>
        </is>
      </c>
      <c r="D329" s="80" t="str">
        <f>IFERROR(SUM(D206+D207+D208+D211+D229+D232)/(SUM(D206+D207+D208+D211+D229+D232)+D265),"")</f>
        <v/>
      </c>
      <c r="E329" s="80" t="str">
        <f>IFERROR(SUM(E206+E207+E208+E211+E229+E232)/(SUM(E206+E207+E208+E211+E229+E232)+E265),"")</f>
        <v/>
      </c>
      <c r="F329" s="80" t="str">
        <f>IFERROR(SUM(F206+F207+F208+F211+F229+F232)/(SUM(F206+F207+F208+F211+F229+F232)+F265),"")</f>
        <v/>
      </c>
      <c r="G329" s="80" t="str">
        <f>IFERROR(SUM(G206+G207+G208+G211+G229+G232)/(SUM(G206+G207+G208+G211+G229+G232)+G265),"")</f>
        <v/>
      </c>
      <c r="H329" s="258" t="str">
        <f>IFERROR(IF(((N(H206)+N(H207)+N(H208)+N(H211)+N(H229)+N(H232))+N(H265))&lt;&gt;0,(N(H206)+N(H207)+N(H208)+N(H211)+N(H229)+N(H232))/((N(H206)+N(H207)+N(H208)+N(H211)+N(H229)+N(H232))+H265),""),"")</f>
        <v/>
      </c>
      <c r="I329" s="258">
        <f>IFERROR(IF(((N(I206)+N(I207)+N(I208)+N(I211)+N(I229)+N(I232))+N(I265))&lt;&gt;0,(N(I206)+N(I207)+N(I208)+N(I211)+N(I229)+N(I232))/((N(I206)+N(I207)+N(I208)+N(I211)+N(I229)+N(I232))+I265),""),"")</f>
        <v>0.637475566362545</v>
      </c>
      <c r="J329" s="258">
        <f>IFERROR(IF(((N(J206)+N(J207)+N(J208)+N(J211)+N(J229)+N(J232))+N(J265))&lt;&gt;0,(N(J206)+N(J207)+N(J208)+N(J211)+N(J229)+N(J232))/((N(J206)+N(J207)+N(J208)+N(J211)+N(J229)+N(J232))+J265),""),"")</f>
        <v>0.65454047111049</v>
      </c>
      <c r="K329" s="258">
        <f>IFERROR(IF(((N(K206)+N(K207)+N(K208)+N(K211)+N(K229)+N(K232))+N(K265))&lt;&gt;0,(N(K206)+N(K207)+N(K208)+N(K211)+N(K229)+N(K232))/((N(K206)+N(K207)+N(K208)+N(K211)+N(K229)+N(K232))+K265),""),"")</f>
        <v>0.664073606696165</v>
      </c>
      <c r="L329" s="258">
        <f>IFERROR(IF(((N(L206)+N(L207)+N(L208)+N(L211)+N(L229)+N(L232))+N(L265))&lt;&gt;0,(N(L206)+N(L207)+N(L208)+N(L211)+N(L229)+N(L232))/((N(L206)+N(L207)+N(L208)+N(L211)+N(L229)+N(L232))+L265),""),"")</f>
        <v>0.630606480768243</v>
      </c>
      <c r="M329" s="258">
        <f>IFERROR(IF(((N(M206)+N(M207)+N(M208)+N(M211)+N(M229)+N(M232))+N(M265))&lt;&gt;0,(N(M206)+N(M207)+N(M208)+N(M211)+N(M229)+N(M232))/((N(M206)+N(M207)+N(M208)+N(M211)+N(M229)+N(M232))+M265),""),"")</f>
        <v>0.630606480768243</v>
      </c>
      <c r="N329" s="258">
        <f>IFERROR(IF(((N(N206)+N(N207)+N(N208)+N(N211)+N(N229)+N(N232))+N(N265))&lt;&gt;0,(N(N206)+N(N207)+N(N208)+N(N211)+N(N229)+N(N232))/((N(N206)+N(N207)+N(N208)+N(N211)+N(N229)+N(N232))+N265),""),"")</f>
        <v>0.64030846408368</v>
      </c>
      <c r="O329" s="258">
        <f>IFERROR(IF(((N(O206)+N(O207)+N(O208)+N(O211)+N(O229)+N(O232))+N(O265))&lt;&gt;0,(N(O206)+N(O207)+N(O208)+N(O211)+N(O229)+N(O232))/((N(O206)+N(O207)+N(O208)+N(O211)+N(O229)+N(O232))+O265),""),"")</f>
        <v>0.673185300172105</v>
      </c>
      <c r="P329" s="258">
        <f>IFERROR(IF(((N(P206)+N(P207)+N(P208)+N(P211)+N(P229)+N(P232))+N(P265))&lt;&gt;0,(N(P206)+N(P207)+N(P208)+N(P211)+N(P229)+N(P232))/((N(P206)+N(P207)+N(P208)+N(P211)+N(P229)+N(P232))+P265),""),"")</f>
        <v>0.70322301029044</v>
      </c>
      <c r="Q329" s="258">
        <f>IFERROR(IF(((N(Q206)+N(Q207)+N(Q208)+N(Q211)+N(Q229)+N(Q232))+N(Q265))&lt;&gt;0,(N(Q206)+N(Q207)+N(Q208)+N(Q211)+N(Q229)+N(Q232))/((N(Q206)+N(Q207)+N(Q208)+N(Q211)+N(Q229)+N(Q232))+Q265),""),"")</f>
        <v>0.662011356256368</v>
      </c>
      <c r="R329" s="258">
        <f>IFERROR(IF(((N(R206)+N(R207)+N(R208)+N(R211)+N(R229)+N(R232))+N(R265))&lt;&gt;0,(N(R206)+N(R207)+N(R208)+N(R211)+N(R229)+N(R232))/((N(R206)+N(R207)+N(R208)+N(R211)+N(R229)+N(R232))+R265),""),"")</f>
        <v>0.662011356256368</v>
      </c>
      <c r="S329" s="258">
        <f>IFERROR(IF(((N(S206)+N(S207)+N(S208)+N(S211)+N(S229)+N(S232))+N(S265))&lt;&gt;0,(N(S206)+N(S207)+N(S208)+N(S211)+N(S229)+N(S232))/((N(S206)+N(S207)+N(S208)+N(S211)+N(S229)+N(S232))+S265),""),"")</f>
        <v>0.638138706315894</v>
      </c>
      <c r="T329" s="258">
        <f>IFERROR(IF(((N(T206)+N(T207)+N(T208)+N(T211)+N(T229)+N(T232))+N(T265))&lt;&gt;0,(N(T206)+N(T207)+N(T208)+N(T211)+N(T229)+N(T232))/((N(T206)+N(T207)+N(T208)+N(T211)+N(T229)+N(T232))+T265),""),"")</f>
        <v>0.644514431980372</v>
      </c>
      <c r="U329" s="258">
        <f>IFERROR(IF(((N(U206)+N(U207)+N(U208)+N(U211)+N(U229)+N(U232))+N(U265))&lt;&gt;0,(N(U206)+N(U207)+N(U208)+N(U211)+N(U229)+N(U232))/((N(U206)+N(U207)+N(U208)+N(U211)+N(U229)+N(U232))+U265),""),"")</f>
        <v>0.641259798884746</v>
      </c>
      <c r="V329" s="258">
        <f>IFERROR(IF(((N(V206)+N(V207)+N(V208)+N(V211)+N(V229)+N(V232))+N(V265))&lt;&gt;0,(N(V206)+N(V207)+N(V208)+N(V211)+N(V229)+N(V232))/((N(V206)+N(V207)+N(V208)+N(V211)+N(V229)+N(V232))+V265),""),"")</f>
        <v>0.593170088942572</v>
      </c>
      <c r="W329" s="258">
        <f>IFERROR(IF(((N(W206)+N(W207)+N(W208)+N(W211)+N(W229)+N(W232))+N(W265))&lt;&gt;0,(N(W206)+N(W207)+N(W208)+N(W211)+N(W229)+N(W232))/((N(W206)+N(W207)+N(W208)+N(W211)+N(W229)+N(W232))+W265),""),"")</f>
        <v>0.593170088942572</v>
      </c>
      <c r="X329" s="258">
        <f>IFERROR(IF(((N(X206)+N(X207)+N(X208)+N(X211)+N(X229)+N(X232))+N(X265))&lt;&gt;0,(N(X206)+N(X207)+N(X208)+N(X211)+N(X229)+N(X232))/((N(X206)+N(X207)+N(X208)+N(X211)+N(X229)+N(X232))+X265),""),"")</f>
        <v>0.585007606944693</v>
      </c>
      <c r="Y329" s="258">
        <f>IFERROR(IF(((N(Y206)+N(Y207)+N(Y208)+N(Y211)+N(Y229)+N(Y232))+N(Y265))&lt;&gt;0,(N(Y206)+N(Y207)+N(Y208)+N(Y211)+N(Y229)+N(Y232))/((N(Y206)+N(Y207)+N(Y208)+N(Y211)+N(Y229)+N(Y232))+Y265),""),"")</f>
        <v>0.602956931647739</v>
      </c>
      <c r="Z329" s="258">
        <f>IFERROR(IF(((N(Z206)+N(Z207)+N(Z208)+N(Z211)+N(Z229)+N(Z232))+N(Z265))&lt;&gt;0,(N(Z206)+N(Z207)+N(Z208)+N(Z211)+N(Z229)+N(Z232))/((N(Z206)+N(Z207)+N(Z208)+N(Z211)+N(Z229)+N(Z232))+Z265),""),"")</f>
        <v>0.651850176367382</v>
      </c>
      <c r="AA329" s="258">
        <f>IFERROR(IF(((N(AA206)+N(AA207)+N(AA208)+N(AA211)+N(AA229)+N(AA232))+N(AA265))&lt;&gt;0,(N(AA206)+N(AA207)+N(AA208)+N(AA211)+N(AA229)+N(AA232))/((N(AA206)+N(AA207)+N(AA208)+N(AA211)+N(AA229)+N(AA232))+AA265),""),"")</f>
        <v>0.591836485139737</v>
      </c>
      <c r="AB329" s="258">
        <f>IFERROR(IF(((N(AB206)+N(AB207)+N(AB208)+N(AB211)+N(AB229)+N(AB232))+N(AB265))&lt;&gt;0,(N(AB206)+N(AB207)+N(AB208)+N(AB211)+N(AB229)+N(AB232))/((N(AB206)+N(AB207)+N(AB208)+N(AB211)+N(AB229)+N(AB232))+AB265),""),"")</f>
        <v>0.591836485139737</v>
      </c>
      <c r="AC329" s="258">
        <f>IFERROR(IF(((N(AC206)+N(AC207)+N(AC208)+N(AC211)+N(AC229)+N(AC232))+N(AC265))&lt;&gt;0,(N(AC206)+N(AC207)+N(AC208)+N(AC211)+N(AC229)+N(AC232))/((N(AC206)+N(AC207)+N(AC208)+N(AC211)+N(AC229)+N(AC232))+AC265),""),"")</f>
        <v>0.595131590112861</v>
      </c>
      <c r="AD329" s="258">
        <f>IFERROR(IF(((N(AD206)+N(AD207)+N(AD208)+N(AD211)+N(AD229)+N(AD232))+N(AD265))&lt;&gt;0,(N(AD206)+N(AD207)+N(AD208)+N(AD211)+N(AD229)+N(AD232))/((N(AD206)+N(AD207)+N(AD208)+N(AD211)+N(AD229)+N(AD232))+AD265),""),"")</f>
        <v>0.607050761663722</v>
      </c>
      <c r="AE329" s="258">
        <f>IFERROR(IF(((N(AE206)+N(AE207)+N(AE208)+N(AE211)+N(AE229)+N(AE232))+N(AE265))&lt;&gt;0,(N(AE206)+N(AE207)+N(AE208)+N(AE211)+N(AE229)+N(AE232))/((N(AE206)+N(AE207)+N(AE208)+N(AE211)+N(AE229)+N(AE232))+AE265),""),"")</f>
        <v>0.572289575961483</v>
      </c>
      <c r="AF329" s="258">
        <f>IFERROR(IF(((N(AF206)+N(AF207)+N(AF208)+N(AF211)+N(AF229)+N(AF232))+N(AF265))&lt;&gt;0,(N(AF206)+N(AF207)+N(AF208)+N(AF211)+N(AF229)+N(AF232))/((N(AF206)+N(AF207)+N(AF208)+N(AF211)+N(AF229)+N(AF232))+AF265),""),"")</f>
        <v>0.506488564569472</v>
      </c>
      <c r="AG329" s="258">
        <f>IFERROR(IF(((N(AG206)+N(AG207)+N(AG208)+N(AG211)+N(AG229)+N(AG232))+N(AG265))&lt;&gt;0,(N(AG206)+N(AG207)+N(AG208)+N(AG211)+N(AG229)+N(AG232))/((N(AG206)+N(AG207)+N(AG208)+N(AG211)+N(AG229)+N(AG232))+AG265),""),"")</f>
        <v>0.506488564569472</v>
      </c>
      <c r="AH329" s="258">
        <f>IFERROR(IF(((N(AH206)+N(AH207)+N(AH208)+N(AH211)+N(AH229)+N(AH232))+N(AH265))&lt;&gt;0,(N(AH206)+N(AH207)+N(AH208)+N(AH211)+N(AH229)+N(AH232))/((N(AH206)+N(AH207)+N(AH208)+N(AH211)+N(AH229)+N(AH232))+AH265),""),"")</f>
        <v>0.44304452882292</v>
      </c>
      <c r="AI329" s="258">
        <f>IFERROR(IF(((N(AI206)+N(AI207)+N(AI208)+N(AI211)+N(AI229)+N(AI232))+N(AI265))&lt;&gt;0,(N(AI206)+N(AI207)+N(AI208)+N(AI211)+N(AI229)+N(AI232))/((N(AI206)+N(AI207)+N(AI208)+N(AI211)+N(AI229)+N(AI232))+AI265),""),"")</f>
        <v>0.439603052161948</v>
      </c>
      <c r="AJ329" s="258">
        <f>IFERROR(IF(((N(AJ206)+N(AJ207)+N(AJ208)+N(AJ211)+N(AJ229)+N(AJ232))+N(AJ265))&lt;&gt;0,(N(AJ206)+N(AJ207)+N(AJ208)+N(AJ211)+N(AJ229)+N(AJ232))/((N(AJ206)+N(AJ207)+N(AJ208)+N(AJ211)+N(AJ229)+N(AJ232))+AJ265),""),"")</f>
        <v>0.37888111058256</v>
      </c>
      <c r="AK329" s="258">
        <f>IFERROR(IF(((N(AK206)+N(AK207)+N(AK208)+N(AK211)+N(AK229)+N(AK232))+N(AK265))&lt;&gt;0,(N(AK206)+N(AK207)+N(AK208)+N(AK211)+N(AK229)+N(AK232))/((N(AK206)+N(AK207)+N(AK208)+N(AK211)+N(AK229)+N(AK232))+AK265),""),"")</f>
        <v>0.317376708650547</v>
      </c>
      <c r="AL329" s="258">
        <f>IFERROR(IF(((N(AL206)+N(AL207)+N(AL208)+N(AL211)+N(AL229)+N(AL232))+N(AL265))&lt;&gt;0,(N(AL206)+N(AL207)+N(AL208)+N(AL211)+N(AL229)+N(AL232))/((N(AL206)+N(AL207)+N(AL208)+N(AL211)+N(AL229)+N(AL232))+AL265),""),"")</f>
        <v>0.317376708650547</v>
      </c>
      <c r="AM329" s="258">
        <f>IFERROR(IF(((N(AM206)+N(AM207)+N(AM208)+N(AM211)+N(AM229)+N(AM232))+N(AM265))&lt;&gt;0,(N(AM206)+N(AM207)+N(AM208)+N(AM211)+N(AM229)+N(AM232))/((N(AM206)+N(AM207)+N(AM208)+N(AM211)+N(AM229)+N(AM232))+AM265),""),"")</f>
        <v>0.281974569656065</v>
      </c>
      <c r="AN329" s="258">
        <f>IFERROR(IF(((N(AN206)+N(AN207)+N(AN208)+N(AN211)+N(AN229)+N(AN232))+N(AN265))&lt;&gt;0,(N(AN206)+N(AN207)+N(AN208)+N(AN211)+N(AN229)+N(AN232))/((N(AN206)+N(AN207)+N(AN208)+N(AN211)+N(AN229)+N(AN232))+AN265),""),"")</f>
        <v>0.254083022429154</v>
      </c>
      <c r="AO329" s="258">
        <f>IFERROR(IF(((N(AO206)+N(AO207)+N(AO208)+N(AO211)+N(AO229)+N(AO232))+N(AO265))&lt;&gt;0,(N(AO206)+N(AO207)+N(AO208)+N(AO211)+N(AO229)+N(AO232))/((N(AO206)+N(AO207)+N(AO208)+N(AO211)+N(AO229)+N(AO232))+AO265),""),"")</f>
        <v>0.230224681700149</v>
      </c>
      <c r="AP329" s="258">
        <f>IFERROR(IF(((N(AP206)+N(AP207)+N(AP208)+N(AP211)+N(AP229)+N(AP232))+N(AP265))&lt;&gt;0,(N(AP206)+N(AP207)+N(AP208)+N(AP211)+N(AP229)+N(AP232))/((N(AP206)+N(AP207)+N(AP208)+N(AP211)+N(AP229)+N(AP232))+AP265),""),"")</f>
        <v>0.203425791934296</v>
      </c>
      <c r="AQ329" s="258">
        <f>IFERROR(IF(((N(AQ206)+N(AQ207)+N(AQ208)+N(AQ211)+N(AQ229)+N(AQ232))+N(AQ265))&lt;&gt;0,(N(AQ206)+N(AQ207)+N(AQ208)+N(AQ211)+N(AQ229)+N(AQ232))/((N(AQ206)+N(AQ207)+N(AQ208)+N(AQ211)+N(AQ229)+N(AQ232))+AQ265),""),"")</f>
        <v>0.203425791934296</v>
      </c>
      <c r="AR329" s="258">
        <f>IFERROR(IF(((N(AR206)+N(AR207)+N(AR208)+N(AR211)+N(AR229)+N(AR232))+N(AR265))&lt;&gt;0,(N(AR206)+N(AR207)+N(AR208)+N(AR211)+N(AR229)+N(AR232))/((N(AR206)+N(AR207)+N(AR208)+N(AR211)+N(AR229)+N(AR232))+AR265),""),"")</f>
        <v>0.186693158505387</v>
      </c>
      <c r="AS329" s="258">
        <f>IFERROR(IF(((N(AS206)+N(AS207)+N(AS208)+N(AS211)+N(AS229)+N(AS232))+N(AS265))&lt;&gt;0,(N(AS206)+N(AS207)+N(AS208)+N(AS211)+N(AS229)+N(AS232))/((N(AS206)+N(AS207)+N(AS208)+N(AS211)+N(AS229)+N(AS232))+AS265),""),"")</f>
        <v>0.172712591333527</v>
      </c>
      <c r="AT329" s="258">
        <f>IFERROR(IF(((N(AT206)+N(AT207)+N(AT208)+N(AT211)+N(AT229)+N(AT232))+N(AT265))&lt;&gt;0,(N(AT206)+N(AT207)+N(AT208)+N(AT211)+N(AT229)+N(AT232))/((N(AT206)+N(AT207)+N(AT208)+N(AT211)+N(AT229)+N(AT232))+AT265),""),"")</f>
        <v>0.160148127951132</v>
      </c>
      <c r="AU329" s="258">
        <f>IFERROR(IF(((N(AU206)+N(AU207)+N(AU208)+N(AU211)+N(AU229)+N(AU232))+N(AU265))&lt;&gt;0,(N(AU206)+N(AU207)+N(AU208)+N(AU211)+N(AU229)+N(AU232))/((N(AU206)+N(AU207)+N(AU208)+N(AU211)+N(AU229)+N(AU232))+AU265),""),"")</f>
        <v>0.145316740207734</v>
      </c>
      <c r="AV329" s="258">
        <f>IFERROR(IF(((N(AV206)+N(AV207)+N(AV208)+N(AV211)+N(AV229)+N(AV232))+N(AV265))&lt;&gt;0,(N(AV206)+N(AV207)+N(AV208)+N(AV211)+N(AV229)+N(AV232))/((N(AV206)+N(AV207)+N(AV208)+N(AV211)+N(AV229)+N(AV232))+AV265),""),"")</f>
        <v>0.145316740207734</v>
      </c>
      <c r="AW329" s="258">
        <f>IFERROR(IF(((N(AW206)+N(AW207)+N(AW208)+N(AW211)+N(AW229)+N(AW232))+N(AW265))&lt;&gt;0,(N(AW206)+N(AW207)+N(AW208)+N(AW211)+N(AW229)+N(AW232))/((N(AW206)+N(AW207)+N(AW208)+N(AW211)+N(AW229)+N(AW232))+AW265),""),"")</f>
        <v>0.135684919667562</v>
      </c>
      <c r="AX329" s="258">
        <f>IFERROR(IF(((N(AX206)+N(AX207)+N(AX208)+N(AX211)+N(AX229)+N(AX232))+N(AX265))&lt;&gt;0,(N(AX206)+N(AX207)+N(AX208)+N(AX211)+N(AX229)+N(AX232))/((N(AX206)+N(AX207)+N(AX208)+N(AX211)+N(AX229)+N(AX232))+AX265),""),"")</f>
        <v>0.127376389905432</v>
      </c>
      <c r="AY329" s="258">
        <f>IFERROR(IF(((N(AY206)+N(AY207)+N(AY208)+N(AY211)+N(AY229)+N(AY232))+N(AY265))&lt;&gt;0,(N(AY206)+N(AY207)+N(AY208)+N(AY211)+N(AY229)+N(AY232))/((N(AY206)+N(AY207)+N(AY208)+N(AY211)+N(AY229)+N(AY232))+AY265),""),"")</f>
        <v>0.119697418115259</v>
      </c>
      <c r="AZ329" s="258">
        <f>IFERROR(IF(((N(AZ206)+N(AZ207)+N(AZ208)+N(AZ211)+N(AZ229)+N(AZ232))+N(AZ265))&lt;&gt;0,(N(AZ206)+N(AZ207)+N(AZ208)+N(AZ211)+N(AZ229)+N(AZ232))/((N(AZ206)+N(AZ207)+N(AZ208)+N(AZ211)+N(AZ229)+N(AZ232))+AZ265),""),"")</f>
        <v>0.110363067764124</v>
      </c>
      <c r="BA329" s="258">
        <f>IFERROR(IF(((N(BA206)+N(BA207)+N(BA208)+N(BA211)+N(BA229)+N(BA232))+N(BA265))&lt;&gt;0,(N(BA206)+N(BA207)+N(BA208)+N(BA211)+N(BA229)+N(BA232))/((N(BA206)+N(BA207)+N(BA208)+N(BA211)+N(BA229)+N(BA232))+BA265),""),"")</f>
        <v>0.110363067764124</v>
      </c>
      <c r="BB329" s="258">
        <f>IFERROR(IF(((N(BB206)+N(BB207)+N(BB208)+N(BB211)+N(BB229)+N(BB232))+N(BB265))&lt;&gt;0,(N(BB206)+N(BB207)+N(BB208)+N(BB211)+N(BB229)+N(BB232))/((N(BB206)+N(BB207)+N(BB208)+N(BB211)+N(BB229)+N(BB232))+BB265),""),"")</f>
        <v>0.104164747248194</v>
      </c>
      <c r="BC329" s="258">
        <f>IFERROR(IF(((N(BC206)+N(BC207)+N(BC208)+N(BC211)+N(BC229)+N(BC232))+N(BC265))&lt;&gt;0,(N(BC206)+N(BC207)+N(BC208)+N(BC211)+N(BC229)+N(BC232))/((N(BC206)+N(BC207)+N(BC208)+N(BC211)+N(BC229)+N(BC232))+BC265),""),"")</f>
        <v>0.0987090561346478</v>
      </c>
      <c r="BD329" s="258">
        <f>IFERROR(IF(((N(BD206)+N(BD207)+N(BD208)+N(BD211)+N(BD229)+N(BD232))+N(BD265))&lt;&gt;0,(N(BD206)+N(BD207)+N(BD208)+N(BD211)+N(BD229)+N(BD232))/((N(BD206)+N(BD207)+N(BD208)+N(BD211)+N(BD229)+N(BD232))+BD265),""),"")</f>
        <v>0.0935743956578323</v>
      </c>
      <c r="BE329" s="258">
        <f>IFERROR(IF(((N(BE206)+N(BE207)+N(BE208)+N(BE211)+N(BE229)+N(BE232))+N(BE265))&lt;&gt;0,(N(BE206)+N(BE207)+N(BE208)+N(BE211)+N(BE229)+N(BE232))/((N(BE206)+N(BE207)+N(BE208)+N(BE211)+N(BE229)+N(BE232))+BE265),""),"")</f>
        <v>0.0872098627991748</v>
      </c>
      <c r="BF329" s="258">
        <f>IFERROR(IF(((N(BF206)+N(BF207)+N(BF208)+N(BF211)+N(BF229)+N(BF232))+N(BF265))&lt;&gt;0,(N(BF206)+N(BF207)+N(BF208)+N(BF211)+N(BF229)+N(BF232))/((N(BF206)+N(BF207)+N(BF208)+N(BF211)+N(BF229)+N(BF232))+BF265),""),"")</f>
        <v>0.0872098627991748</v>
      </c>
      <c r="BG329" s="80" t="n"/>
      <c r="BH329" s="80" t="n"/>
      <c r="BI329" s="80" t="n"/>
      <c r="BJ329" s="80" t="n"/>
      <c r="BL329" s="80" t="n"/>
      <c r="BM329" s="80" t="n"/>
      <c r="BN329" s="80" t="n"/>
      <c r="BO329" s="80" t="n"/>
      <c r="BQ329" s="80" t="n"/>
      <c r="BR329" s="80" t="n"/>
      <c r="BS329" s="80" t="n"/>
      <c r="BT329" s="80" t="n"/>
      <c r="BV329" s="80" t="n"/>
      <c r="BW329" s="80" t="n"/>
      <c r="BX329" s="80" t="n"/>
      <c r="BY329" s="80" t="n"/>
      <c r="CA329" s="80" t="n"/>
      <c r="CB329" s="80" t="n"/>
      <c r="CC329" s="80" t="n"/>
      <c r="CD329" s="80" t="n"/>
      <c r="CF329" s="80" t="n"/>
      <c r="CG329" s="80" t="n"/>
      <c r="CH329" s="80" t="n"/>
      <c r="CI329" s="80" t="n"/>
      <c r="CK329" s="80" t="n"/>
      <c r="CL329" s="80" t="n"/>
      <c r="CM329" s="80" t="n"/>
      <c r="CN329" s="80" t="n"/>
      <c r="CP329" s="80" t="n"/>
      <c r="CQ329" s="80" t="n"/>
      <c r="CR329" s="80" t="n"/>
      <c r="CS329" s="80" t="n"/>
      <c r="CU329" s="80" t="n"/>
      <c r="CV329" s="80" t="n"/>
      <c r="CW329" s="80" t="n"/>
      <c r="CX329" s="80" t="n"/>
    </row>
    <row r="330" customFormat="1" s="77">
      <c r="A330" s="76" t="n"/>
      <c r="B330" s="76" t="n"/>
      <c r="C330" s="77" t="inlineStr">
        <is>
          <t>NET DEBT / EBITDA (LTM)</t>
        </is>
      </c>
      <c r="D330" s="82" t="str">
        <f>IFERROR(SUM((D206+D207+D208+D211+D229)-D138)/(D63*4),"")</f>
        <v/>
      </c>
      <c r="E330" s="82" t="str">
        <f>IFERROR(SUM((E206+E207+E208+E211+E229)-E138)/(E63*4),"")</f>
        <v/>
      </c>
      <c r="F330" s="82" t="str">
        <f>IFERROR(SUM((F206+F207+F208+F211+F229)-F138)/(F63*4),"")</f>
        <v/>
      </c>
      <c r="G330" s="82" t="str">
        <f>IFERROR(SUM((G206+G207+G208+G211+G229)-G138)/(G63*4),"")</f>
        <v/>
      </c>
      <c r="H330" s="262" t="str">
        <f>IFERROR(IF(AND(COUNT(H63)=1,(H63)&lt;&gt;0),((N(H206)+N(H207)+N(H208)+N(H211)+N(H229)+N(H232))-N(H138))/(H63),""),"")</f>
        <v/>
      </c>
      <c r="I330" s="262" t="str">
        <f>""</f>
        <v/>
      </c>
      <c r="J330" s="262" t="str">
        <f>""</f>
        <v/>
      </c>
      <c r="K330" s="262" t="str">
        <f>""</f>
        <v/>
      </c>
      <c r="L330" s="262">
        <f>IFERROR(IF(AND(COUNT(I63,J63,K63,L63)=4,(I63+J63+K63+L63)&lt;&gt;0),((N(L206)+N(L207)+N(L208)+N(L211)+N(L229)+N(L232))-N(L138))/(I63+J63+K63+L63),""),"")</f>
        <v>-0.638026705045175</v>
      </c>
      <c r="M330" s="262">
        <f>IFERROR(IF(AND(COUNT(I63,J63,K63,L63)=4,(I63+J63+K63+L63)&lt;&gt;0),((N(M206)+N(M207)+N(M208)+N(M211)+N(M229)+N(M232))-N(M138))/(I63+J63+K63+L63),""),"")</f>
        <v>-0.638026705045175</v>
      </c>
      <c r="N330" s="262">
        <f>IFERROR(IF(AND(COUNT(J63,K63,L63,N63)=4,(J63+K63+L63+N63)&lt;&gt;0),((N(N206)+N(N207)+N(N208)+N(N211)+N(N229)+N(N232))-N(N138))/(J63+K63+L63+N63),""),"")</f>
        <v>-0.556891773963899</v>
      </c>
      <c r="O330" s="262">
        <f>IFERROR(IF(AND(COUNT(K63,L63,N63,O63)=4,(K63+L63+N63+O63)&lt;&gt;0),((N(O206)+N(O207)+N(O208)+N(O211)+N(O229)+N(O232))-N(O138))/(K63+L63+N63+O63),""),"")</f>
        <v>-0.460160392722894</v>
      </c>
      <c r="P330" s="262">
        <f>IFERROR(IF(AND(COUNT(L63,N63,O63,P63)=4,(L63+N63+O63+P63)&lt;&gt;0),((N(P206)+N(P207)+N(P208)+N(P211)+N(P229)+N(P232))-N(P138))/(L63+N63+O63+P63),""),"")</f>
        <v>-0.375667414835186</v>
      </c>
      <c r="Q330" s="262">
        <f>IFERROR(IF(AND(COUNT(N63,O63,P63,Q63)=4,(N63+O63+P63+Q63)&lt;&gt;0),((N(Q206)+N(Q207)+N(Q208)+N(Q211)+N(Q229)+N(Q232))-N(Q138))/(N63+O63+P63+Q63),""),"")</f>
        <v>-0.433720707489943</v>
      </c>
      <c r="R330" s="262">
        <f>IFERROR(IF(AND(COUNT(N63,O63,P63,Q63)=4,(N63+O63+P63+Q63)&lt;&gt;0),((N(R206)+N(R207)+N(R208)+N(R211)+N(R229)+N(R232))-N(R138))/(N63+O63+P63+Q63),""),"")</f>
        <v>-0.433720707489943</v>
      </c>
      <c r="S330" s="262">
        <f>IFERROR(IF(AND(COUNT(O63,P63,Q63,S63)=4,(O63+P63+Q63+S63)&lt;&gt;0),((N(S206)+N(S207)+N(S208)+N(S211)+N(S229)+N(S232))-N(S138))/(O63+P63+Q63+S63),""),"")</f>
        <v>-0.458186577051087</v>
      </c>
      <c r="T330" s="262">
        <f>IFERROR(IF(AND(COUNT(P63,Q63,S63,T63)=4,(P63+Q63+S63+T63)&lt;&gt;0),((N(T206)+N(T207)+N(T208)+N(T211)+N(T229)+N(T232))-N(T138))/(P63+Q63+S63+T63),""),"")</f>
        <v>-0.461958582411643</v>
      </c>
      <c r="U330" s="262">
        <f>IFERROR(IF(AND(COUNT(Q63,S63,T63,U63)=4,(Q63+S63+T63+U63)&lt;&gt;0),((N(U206)+N(U207)+N(U208)+N(U211)+N(U229)+N(U232))-N(U138))/(Q63+S63+T63+U63),""),"")</f>
        <v>-0.405428389763154</v>
      </c>
      <c r="V330" s="262">
        <f>IFERROR(IF(AND(COUNT(S63,T63,U63,V63)=4,(S63+T63+U63+V63)&lt;&gt;0),((N(V206)+N(V207)+N(V208)+N(V211)+N(V229)+N(V232))-N(V138))/(S63+T63+U63+V63),""),"")</f>
        <v>-0.496007193968134</v>
      </c>
      <c r="W330" s="262">
        <f>IFERROR(IF(AND(COUNT(S63,T63,U63,V63)=4,(S63+T63+U63+V63)&lt;&gt;0),((N(W206)+N(W207)+N(W208)+N(W211)+N(W229)+N(W232))-N(W138))/(S63+T63+U63+V63),""),"")</f>
        <v>-0.496007193968134</v>
      </c>
      <c r="X330" s="262">
        <f>IFERROR(IF(AND(COUNT(T63,U63,V63,X63)=4,(T63+U63+V63+X63)&lt;&gt;0),((N(X206)+N(X207)+N(X208)+N(X211)+N(X229)+N(X232))-N(X138))/(T63+U63+V63+X63),""),"")</f>
        <v>-0.445479020898102</v>
      </c>
      <c r="Y330" s="262">
        <f>IFERROR(IF(AND(COUNT(U63,V63,X63,Y63)=4,(U63+V63+X63+Y63)&lt;&gt;0),((N(Y206)+N(Y207)+N(Y208)+N(Y211)+N(Y229)+N(Y232))-N(Y138))/(U63+V63+X63+Y63),""),"")</f>
        <v>-0.392598326010578</v>
      </c>
      <c r="Z330" s="262">
        <f>IFERROR(IF(AND(COUNT(V63,X63,Y63,Z63)=4,(V63+X63+Y63+Z63)&lt;&gt;0),((N(Z206)+N(Z207)+N(Z208)+N(Z211)+N(Z229)+N(Z232))-N(Z138))/(V63+X63+Y63+Z63),""),"")</f>
        <v>-0.371458699994802</v>
      </c>
      <c r="AA330" s="262">
        <f>IFERROR(IF(AND(COUNT(X63,Y63,Z63,AA63)=4,(X63+Y63+Z63+AA63)&lt;&gt;0),((N(AA206)+N(AA207)+N(AA208)+N(AA211)+N(AA229)+N(AA232))-N(AA138))/(X63+Y63+Z63+AA63),""),"")</f>
        <v>-0.324487448307997</v>
      </c>
      <c r="AB330" s="262">
        <f>IFERROR(IF(AND(COUNT(X63,Y63,Z63,AA63)=4,(X63+Y63+Z63+AA63)&lt;&gt;0),((N(AB206)+N(AB207)+N(AB208)+N(AB211)+N(AB229)+N(AB232))-N(AB138))/(X63+Y63+Z63+AA63),""),"")</f>
        <v>-0.324487448307997</v>
      </c>
      <c r="AC330" s="262">
        <f>IFERROR(IF(AND(COUNT(Y63,Z63,AA63,AC63)=4,(Y63+Z63+AA63+AC63)&lt;&gt;0),((N(AC206)+N(AC207)+N(AC208)+N(AC211)+N(AC229)+N(AC232))-N(AC138))/(Y63+Z63+AA63+AC63),""),"")</f>
        <v>-0.250140423141734</v>
      </c>
      <c r="AD330" s="262">
        <f>IFERROR(IF(AND(COUNT(Z63,AA63,AC63,AD63)=4,(Z63+AA63+AC63+AD63)&lt;&gt;0),((N(AD206)+N(AD207)+N(AD208)+N(AD211)+N(AD229)+N(AD232))-N(AD138))/(Z63+AA63+AC63+AD63),""),"")</f>
        <v>-0.220810749774164</v>
      </c>
      <c r="AE330" s="262">
        <f>IFERROR(IF(AND(COUNT(AA63,AC63,AD63,AE63)=4,(AA63+AC63+AD63+AE63)&lt;&gt;0),((N(AE206)+N(AE207)+N(AE208)+N(AE211)+N(AE229)+N(AE232))-N(AE138))/(AA63+AC63+AD63+AE63),""),"")</f>
        <v>-0.233253654627352</v>
      </c>
      <c r="AF330" s="262">
        <f>IFERROR(IF(AND(COUNT(AB63,AD63,AE63,AF63)=4,(AB63+AD63+AE63+AF63)&lt;&gt;0),((N(AF206)+N(AF207)+N(AF208)+N(AF211)+N(AF229)+N(AF232))-N(AF138))/(AB63+AD63+AE63+AF63),""),"")</f>
        <v>-0.210407590579991</v>
      </c>
      <c r="AG330" s="262">
        <f>IFERROR(IF(AND(COUNT(AC63,AD63,AE63,AF63)=4,(AC63+AD63+AE63+AF63)&lt;&gt;0),((N(AG206)+N(AG207)+N(AG208)+N(AG211)+N(AG229)+N(AG232))-N(AG138))/(AC63+AD63+AE63+AF63),""),"")</f>
        <v>-0.355037867392186</v>
      </c>
      <c r="AH330" s="262">
        <f>IFERROR(IF(AND(COUNT(AD63,AF63,AG63,AH63)=4,(AD63+AF63+AG63+AH63)&lt;&gt;0),((N(AH206)+N(AH207)+N(AH208)+N(AH211)+N(AH229)+N(AH232))-N(AH138))/(AD63+AF63+AG63+AH63),""),"")</f>
        <v>-0.22314693282947</v>
      </c>
      <c r="AI330" s="262">
        <f>IFERROR(IF(AND(COUNT(AE63,AG63,AH63,AI63)=4,(AE63+AG63+AH63+AI63)&lt;&gt;0),((N(AI206)+N(AI207)+N(AI208)+N(AI211)+N(AI229)+N(AI232))-N(AI138))/(AE63+AG63+AH63+AI63),""),"")</f>
        <v>-0.233036601135703</v>
      </c>
      <c r="AJ330" s="262">
        <f>IFERROR(IF(AND(COUNT(AF63,AH63,AI63,AJ63)=4,(AF63+AH63+AI63+AJ63)&lt;&gt;0),((N(AJ206)+N(AJ207)+N(AJ208)+N(AJ211)+N(AJ229)+N(AJ232))-N(AJ138))/(AF63+AH63+AI63+AJ63),""),"")</f>
        <v>-0.537041802540815</v>
      </c>
      <c r="AK330" s="262">
        <f>IFERROR(IF(AND(COUNT(AH63,AI63,AJ63,AK63)=4,(AH63+AI63+AJ63+AK63)&lt;&gt;0),((N(AK206)+N(AK207)+N(AK208)+N(AK211)+N(AK229)+N(AK232))-N(AK138))/(AH63+AI63+AJ63+AK63),""),"")</f>
        <v>-0.821942784741732</v>
      </c>
      <c r="AL330" s="262">
        <f>IFERROR(IF(AND(COUNT(AH63,AI63,AJ63,AK63)=4,(AH63+AI63+AJ63+AK63)&lt;&gt;0),((N(AL206)+N(AL207)+N(AL208)+N(AL211)+N(AL229)+N(AL232))-N(AL138))/(AH63+AI63+AJ63+AK63),""),"")</f>
        <v>-0.821942784741732</v>
      </c>
      <c r="AM330" s="262">
        <f>IFERROR(IF(AND(COUNT(AI63,AJ63,AK63,AM63)=4,(AI63+AJ63+AK63+AM63)&lt;&gt;0),((N(AM206)+N(AM207)+N(AM208)+N(AM211)+N(AM229)+N(AM232))-N(AM138))/(AI63+AJ63+AK63+AM63),""),"")</f>
        <v>-0.94617056395248</v>
      </c>
      <c r="AN330" s="262">
        <f>IFERROR(IF(AND(COUNT(AJ63,AK63,AM63,AN63)=4,(AJ63+AK63+AM63+AN63)&lt;&gt;0),((N(AN206)+N(AN207)+N(AN208)+N(AN211)+N(AN229)+N(AN232))-N(AN138))/(AJ63+AK63+AM63+AN63),""),"")</f>
        <v>-1.09681141627896</v>
      </c>
      <c r="AO330" s="262">
        <f>IFERROR(IF(AND(COUNT(AK63,AM63,AN63,AO63)=4,(AK63+AM63+AN63+AO63)&lt;&gt;0),((N(AO206)+N(AO207)+N(AO208)+N(AO211)+N(AO229)+N(AO232))-N(AO138))/(AK63+AM63+AN63+AO63),""),"")</f>
        <v>-1.25163095721188</v>
      </c>
      <c r="AP330" s="262">
        <f>IFERROR(IF(AND(COUNT(AM63,AN63,AO63,AP63)=4,(AM63+AN63+AO63+AP63)&lt;&gt;0),((N(AP206)+N(AP207)+N(AP208)+N(AP211)+N(AP229)+N(AP232))-N(AP138))/(AM63+AN63+AO63+AP63),""),"")</f>
        <v>-1.50221835830349</v>
      </c>
      <c r="AQ330" s="262">
        <f>IFERROR(IF(AND(COUNT(AM63,AN63,AO63,AP63)=4,(AM63+AN63+AO63+AP63)&lt;&gt;0),((N(AQ206)+N(AQ207)+N(AQ208)+N(AQ211)+N(AQ229)+N(AQ232))-N(AQ138))/(AM63+AN63+AO63+AP63),""),"")</f>
        <v>-1.50221835830349</v>
      </c>
      <c r="AR330" s="262">
        <f>IFERROR(IF(AND(COUNT(AN63,AO63,AP63,AR63)=4,(AN63+AO63+AP63+AR63)&lt;&gt;0),((N(AR206)+N(AR207)+N(AR208)+N(AR211)+N(AR229)+N(AR232))-N(AR138))/(AN63+AO63+AP63+AR63),""),"")</f>
        <v>-1.60630373697627</v>
      </c>
      <c r="AS330" s="262">
        <f>IFERROR(IF(AND(COUNT(AO63,AP63,AR63,AS63)=4,(AO63+AP63+AR63+AS63)&lt;&gt;0),((N(AS206)+N(AS207)+N(AS208)+N(AS211)+N(AS229)+N(AS232))-N(AS138))/(AO63+AP63+AR63+AS63),""),"")</f>
        <v>-1.73965322650094</v>
      </c>
      <c r="AT330" s="262">
        <f>IFERROR(IF(AND(COUNT(AP63,AR63,AS63,AT63)=4,(AP63+AR63+AS63+AT63)&lt;&gt;0),((N(AT206)+N(AT207)+N(AT208)+N(AT211)+N(AT229)+N(AT232))-N(AT138))/(AP63+AR63+AS63+AT63),""),"")</f>
        <v>-1.87962553344203</v>
      </c>
      <c r="AU330" s="262">
        <f>IFERROR(IF(AND(COUNT(AR63,AS63,AT63,AU63)=4,(AR63+AS63+AT63+AU63)&lt;&gt;0),((N(AU206)+N(AU207)+N(AU208)+N(AU211)+N(AU229)+N(AU232))-N(AU138))/(AR63+AS63+AT63+AU63),""),"")</f>
        <v>-2.11104811307207</v>
      </c>
      <c r="AV330" s="262">
        <f>IFERROR(IF(AND(COUNT(AR63,AS63,AT63,AU63)=4,(AR63+AS63+AT63+AU63)&lt;&gt;0),((N(AV206)+N(AV207)+N(AV208)+N(AV211)+N(AV229)+N(AV232))-N(AV138))/(AR63+AS63+AT63+AU63),""),"")</f>
        <v>-2.11104811307207</v>
      </c>
      <c r="AW330" s="262">
        <f>IFERROR(IF(AND(COUNT(AS63,AT63,AU63,AW63)=4,(AS63+AT63+AU63+AW63)&lt;&gt;0),((N(AW206)+N(AW207)+N(AW208)+N(AW211)+N(AW229)+N(AW232))-N(AW138))/(AS63+AT63+AU63+AW63),""),"")</f>
        <v>-2.20250575959474</v>
      </c>
      <c r="AX330" s="262">
        <f>IFERROR(IF(AND(COUNT(AT63,AU63,AW63,AX63)=4,(AT63+AU63+AW63+AX63)&lt;&gt;0),((N(AX206)+N(AX207)+N(AX208)+N(AX211)+N(AX229)+N(AX232))-N(AX138))/(AT63+AU63+AW63+AX63),""),"")</f>
        <v>-2.32191065918671</v>
      </c>
      <c r="AY330" s="262">
        <f>IFERROR(IF(AND(COUNT(AU63,AW63,AX63,AY63)=4,(AU63+AW63+AX63+AY63)&lt;&gt;0),((N(AY206)+N(AY207)+N(AY208)+N(AY211)+N(AY229)+N(AY232))-N(AY138))/(AU63+AW63+AX63+AY63),""),"")</f>
        <v>-2.44974431697939</v>
      </c>
      <c r="AZ330" s="262">
        <f>IFERROR(IF(AND(COUNT(AW63,AX63,AY63,AZ63)=4,(AW63+AX63+AY63+AZ63)&lt;&gt;0),((N(AZ206)+N(AZ207)+N(AZ208)+N(AZ211)+N(AZ229)+N(AZ232))-N(AZ138))/(AW63+AX63+AY63+AZ63),""),"")</f>
        <v>-2.66550585551875</v>
      </c>
      <c r="BA330" s="262">
        <f>IFERROR(IF(AND(COUNT(AW63,AX63,AY63,AZ63)=4,(AW63+AX63+AY63+AZ63)&lt;&gt;0),((N(BA206)+N(BA207)+N(BA208)+N(BA211)+N(BA229)+N(BA232))-N(BA138))/(AW63+AX63+AY63+AZ63),""),"")</f>
        <v>-2.66550585551875</v>
      </c>
      <c r="BB330" s="262">
        <f>IFERROR(IF(AND(COUNT(AX63,AY63,AZ63,BB63)=4,(AX63+AY63+AZ63+BB63)&lt;&gt;0),((N(BB206)+N(BB207)+N(BB208)+N(BB211)+N(BB229)+N(BB232))-N(BB138))/(AX63+AY63+AZ63+BB63),""),"")</f>
        <v>-2.74532944401024</v>
      </c>
      <c r="BC330" s="262">
        <f>IFERROR(IF(AND(COUNT(AY63,AZ63,BB63,BC63)=4,(AY63+AZ63+BB63+BC63)&lt;&gt;0),((N(BC206)+N(BC207)+N(BC208)+N(BC211)+N(BC229)+N(BC232))-N(BC138))/(AY63+AZ63+BB63+BC63),""),"")</f>
        <v>-2.85466907793653</v>
      </c>
      <c r="BD330" s="262">
        <f>IFERROR(IF(AND(COUNT(AZ63,BB63,BC63,BD63)=4,(AZ63+BB63+BC63+BD63)&lt;&gt;0),((N(BD206)+N(BD207)+N(BD208)+N(BD211)+N(BD229)+N(BD232))-N(BD138))/(AZ63+BB63+BC63+BD63),""),"")</f>
        <v>-2.97265373578356</v>
      </c>
      <c r="BE330" s="262">
        <f>IFERROR(IF(AND(COUNT(BB63,BC63,BD63,BE63)=4,(BB63+BC63+BD63+BE63)&lt;&gt;0),((N(BE206)+N(BE207)+N(BE208)+N(BE211)+N(BE229)+N(BE232))-N(BE138))/(BB63+BC63+BD63+BE63),""),"")</f>
        <v>-3.17572559010087</v>
      </c>
      <c r="BF330" s="262">
        <f>IFERROR(IF(AND(COUNT(BB63,BC63,BD63,BE63)=4,(BB63+BC63+BD63+BE63)&lt;&gt;0),((N(BF206)+N(BF207)+N(BF208)+N(BF211)+N(BF229)+N(BF232))-N(BF138))/(BB63+BC63+BD63+BE63),""),"")</f>
        <v>-3.17572559010087</v>
      </c>
      <c r="BG330" s="82" t="n"/>
      <c r="BH330" s="82" t="n"/>
      <c r="BI330" s="82" t="n"/>
      <c r="BJ330" s="82" t="n"/>
      <c r="BL330" s="82" t="n"/>
      <c r="BM330" s="82" t="n"/>
      <c r="BN330" s="82" t="n"/>
      <c r="BO330" s="82" t="n"/>
      <c r="BQ330" s="82" t="n"/>
      <c r="BR330" s="82" t="n"/>
      <c r="BS330" s="82" t="n"/>
      <c r="BT330" s="82" t="n"/>
      <c r="BV330" s="82" t="n"/>
      <c r="BW330" s="82" t="n"/>
      <c r="BX330" s="82" t="n"/>
      <c r="BY330" s="82" t="n"/>
      <c r="CA330" s="82" t="n"/>
      <c r="CB330" s="82" t="n"/>
      <c r="CC330" s="82" t="n"/>
      <c r="CD330" s="82" t="n"/>
      <c r="CF330" s="82" t="n"/>
      <c r="CG330" s="82" t="n"/>
      <c r="CH330" s="82" t="n"/>
      <c r="CI330" s="82" t="n"/>
      <c r="CK330" s="82" t="n"/>
      <c r="CL330" s="82" t="n"/>
      <c r="CM330" s="82" t="n"/>
      <c r="CN330" s="82" t="n"/>
      <c r="CP330" s="82" t="n"/>
      <c r="CQ330" s="82" t="n"/>
      <c r="CR330" s="82" t="n"/>
      <c r="CS330" s="82" t="n"/>
      <c r="CU330" s="82" t="n"/>
      <c r="CV330" s="82" t="n"/>
      <c r="CW330" s="82" t="n"/>
      <c r="CX330" s="82" t="n"/>
    </row>
    <row r="331" customFormat="1" s="77">
      <c r="A331" s="76" t="n"/>
      <c r="B331" s="76" t="n"/>
      <c r="C331" s="83" t="inlineStr">
        <is>
          <t>NET DEBT (EX IFRS 16.) / EBITDA (LTM)</t>
        </is>
      </c>
      <c r="D331" s="82" t="str">
        <f>IFERROR(SUM((D206+D207+D211)-D138)/(D63*4),"")</f>
        <v/>
      </c>
      <c r="E331" s="82" t="str">
        <f>IFERROR(SUM((E206+E207+E211)-E138)/(E63*4),"")</f>
        <v/>
      </c>
      <c r="F331" s="82" t="str">
        <f>IFERROR(SUM((F206+F207+F211)-F138)/(F63*4),"")</f>
        <v/>
      </c>
      <c r="G331" s="82" t="str">
        <f>IFERROR(SUM((G206+G207+G211)-G138)/(G63*4),"")</f>
        <v/>
      </c>
      <c r="H331" s="262" t="str">
        <f>IFERROR(IF(AND(COUNT(H63)=1,(H63)&lt;&gt;0),((N(H206)+N(H207)+N(H211)+N(H232))-N(H138))/(H63),""),"")</f>
        <v/>
      </c>
      <c r="I331" s="262" t="str">
        <f>""</f>
        <v/>
      </c>
      <c r="J331" s="262" t="str">
        <f>""</f>
        <v/>
      </c>
      <c r="K331" s="262" t="str">
        <f>""</f>
        <v/>
      </c>
      <c r="L331" s="262">
        <f>IFERROR(IF(AND(COUNT(I63,J63,K63,L63)=4,(I63+J63+K63+L63)&lt;&gt;0),((N(L206)+N(L207)+N(L211)+N(L232))-N(L138))/(I63+J63+K63+L63),""),"")</f>
        <v>-0.638026705045175</v>
      </c>
      <c r="M331" s="262">
        <f>IFERROR(IF(AND(COUNT(I63,J63,K63,L63)=4,(I63+J63+K63+L63)&lt;&gt;0),((N(M206)+N(M207)+N(M211)+N(M232))-N(M138))/(I63+J63+K63+L63),""),"")</f>
        <v>-0.638026705045175</v>
      </c>
      <c r="N331" s="262">
        <f>IFERROR(IF(AND(COUNT(J63,K63,L63,N63)=4,(J63+K63+L63+N63)&lt;&gt;0),((N(N206)+N(N207)+N(N211)+N(N232))-N(N138))/(J63+K63+L63+N63),""),"")</f>
        <v>-0.556891773963899</v>
      </c>
      <c r="O331" s="262">
        <f>IFERROR(IF(AND(COUNT(K63,L63,N63,O63)=4,(K63+L63+N63+O63)&lt;&gt;0),((N(O206)+N(O207)+N(O211)+N(O232))-N(O138))/(K63+L63+N63+O63),""),"")</f>
        <v>-0.460160392722894</v>
      </c>
      <c r="P331" s="262">
        <f>IFERROR(IF(AND(COUNT(L63,N63,O63,P63)=4,(L63+N63+O63+P63)&lt;&gt;0),((N(P206)+N(P207)+N(P211)+N(P232))-N(P138))/(L63+N63+O63+P63),""),"")</f>
        <v>-0.375667414835186</v>
      </c>
      <c r="Q331" s="262">
        <f>IFERROR(IF(AND(COUNT(N63,O63,P63,Q63)=4,(N63+O63+P63+Q63)&lt;&gt;0),((N(Q206)+N(Q207)+N(Q211)+N(Q232))-N(Q138))/(N63+O63+P63+Q63),""),"")</f>
        <v>-0.433720707489943</v>
      </c>
      <c r="R331" s="262">
        <f>IFERROR(IF(AND(COUNT(N63,O63,P63,Q63)=4,(N63+O63+P63+Q63)&lt;&gt;0),((N(R206)+N(R207)+N(R211)+N(R232))-N(R138))/(N63+O63+P63+Q63),""),"")</f>
        <v>-0.433720707489943</v>
      </c>
      <c r="S331" s="262">
        <f>IFERROR(IF(AND(COUNT(O63,P63,Q63,S63)=4,(O63+P63+Q63+S63)&lt;&gt;0),((N(S206)+N(S207)+N(S211)+N(S232))-N(S138))/(O63+P63+Q63+S63),""),"")</f>
        <v>-0.458186577051087</v>
      </c>
      <c r="T331" s="262">
        <f>IFERROR(IF(AND(COUNT(P63,Q63,S63,T63)=4,(P63+Q63+S63+T63)&lt;&gt;0),((N(T206)+N(T207)+N(T211)+N(T232))-N(T138))/(P63+Q63+S63+T63),""),"")</f>
        <v>-0.461958582411643</v>
      </c>
      <c r="U331" s="262">
        <f>IFERROR(IF(AND(COUNT(Q63,S63,T63,U63)=4,(Q63+S63+T63+U63)&lt;&gt;0),((N(U206)+N(U207)+N(U211)+N(U232))-N(U138))/(Q63+S63+T63+U63),""),"")</f>
        <v>-0.405428389763154</v>
      </c>
      <c r="V331" s="262">
        <f>IFERROR(IF(AND(COUNT(S63,T63,U63,V63)=4,(S63+T63+U63+V63)&lt;&gt;0),((N(V206)+N(V207)+N(V211)+N(V232))-N(V138))/(S63+T63+U63+V63),""),"")</f>
        <v>-0.496007193968134</v>
      </c>
      <c r="W331" s="262">
        <f>IFERROR(IF(AND(COUNT(S63,T63,U63,V63)=4,(S63+T63+U63+V63)&lt;&gt;0),((N(W206)+N(W207)+N(W211)+N(W232))-N(W138))/(S63+T63+U63+V63),""),"")</f>
        <v>-0.496007193968134</v>
      </c>
      <c r="X331" s="262">
        <f>IFERROR(IF(AND(COUNT(T63,U63,V63,X63)=4,(T63+U63+V63+X63)&lt;&gt;0),((N(X206)+N(X207)+N(X211)+N(X232))-N(X138))/(T63+U63+V63+X63),""),"")</f>
        <v>-0.445479020898102</v>
      </c>
      <c r="Y331" s="262">
        <f>IFERROR(IF(AND(COUNT(U63,V63,X63,Y63)=4,(U63+V63+X63+Y63)&lt;&gt;0),((N(Y206)+N(Y207)+N(Y211)+N(Y232))-N(Y138))/(U63+V63+X63+Y63),""),"")</f>
        <v>-0.392598326010578</v>
      </c>
      <c r="Z331" s="262">
        <f>IFERROR(IF(AND(COUNT(V63,X63,Y63,Z63)=4,(V63+X63+Y63+Z63)&lt;&gt;0),((N(Z206)+N(Z207)+N(Z211)+N(Z232))-N(Z138))/(V63+X63+Y63+Z63),""),"")</f>
        <v>-0.371458699994802</v>
      </c>
      <c r="AA331" s="262">
        <f>IFERROR(IF(AND(COUNT(X63,Y63,Z63,AA63)=4,(X63+Y63+Z63+AA63)&lt;&gt;0),((N(AA206)+N(AA207)+N(AA211)+N(AA232))-N(AA138))/(X63+Y63+Z63+AA63),""),"")</f>
        <v>-0.324487448307997</v>
      </c>
      <c r="AB331" s="262">
        <f>IFERROR(IF(AND(COUNT(X63,Y63,Z63,AA63)=4,(X63+Y63+Z63+AA63)&lt;&gt;0),((N(AB206)+N(AB207)+N(AB211)+N(AB232))-N(AB138))/(X63+Y63+Z63+AA63),""),"")</f>
        <v>-0.324487448307997</v>
      </c>
      <c r="AC331" s="262">
        <f>IFERROR(IF(AND(COUNT(Y63,Z63,AA63,AC63)=4,(Y63+Z63+AA63+AC63)&lt;&gt;0),((N(AC206)+N(AC207)+N(AC211)+N(AC232))-N(AC138))/(Y63+Z63+AA63+AC63),""),"")</f>
        <v>-0.250140423141734</v>
      </c>
      <c r="AD331" s="262">
        <f>IFERROR(IF(AND(COUNT(Z63,AA63,AC63,AD63)=4,(Z63+AA63+AC63+AD63)&lt;&gt;0),((N(AD206)+N(AD207)+N(AD211)+N(AD232))-N(AD138))/(Z63+AA63+AC63+AD63),""),"")</f>
        <v>-0.220810749774164</v>
      </c>
      <c r="AE331" s="262">
        <f>IFERROR(IF(AND(COUNT(AA63,AC63,AD63,AE63)=4,(AA63+AC63+AD63+AE63)&lt;&gt;0),((N(AE206)+N(AE207)+N(AE211)+N(AE232))-N(AE138))/(AA63+AC63+AD63+AE63),""),"")</f>
        <v>-0.233253654627352</v>
      </c>
      <c r="AF331" s="262">
        <f>IFERROR(IF(AND(COUNT(AB63,AD63,AE63,AF63)=4,(AB63+AD63+AE63+AF63)&lt;&gt;0),((N(AF206)+N(AF207)+N(AF211)+N(AF232))-N(AF138))/(AB63+AD63+AE63+AF63),""),"")</f>
        <v>-0.210407590579991</v>
      </c>
      <c r="AG331" s="262">
        <f>IFERROR(IF(AND(COUNT(AC63,AD63,AE63,AF63)=4,(AC63+AD63+AE63+AF63)&lt;&gt;0),((N(AG206)+N(AG207)+N(AG211)+N(AG232))-N(AG138))/(AC63+AD63+AE63+AF63),""),"")</f>
        <v>-0.355037867392186</v>
      </c>
      <c r="AH331" s="262">
        <f>IFERROR(IF(AND(COUNT(AD63,AF63,AG63,AH63)=4,(AD63+AF63+AG63+AH63)&lt;&gt;0),((N(AH206)+N(AH207)+N(AH211)+N(AH232))-N(AH138))/(AD63+AF63+AG63+AH63),""),"")</f>
        <v>-0.22314693282947</v>
      </c>
      <c r="AI331" s="262">
        <f>IFERROR(IF(AND(COUNT(AE63,AG63,AH63,AI63)=4,(AE63+AG63+AH63+AI63)&lt;&gt;0),((N(AI206)+N(AI207)+N(AI211)+N(AI232))-N(AI138))/(AE63+AG63+AH63+AI63),""),"")</f>
        <v>-0.233036601135703</v>
      </c>
      <c r="AJ331" s="262">
        <f>IFERROR(IF(AND(COUNT(AF63,AH63,AI63,AJ63)=4,(AF63+AH63+AI63+AJ63)&lt;&gt;0),((N(AJ206)+N(AJ207)+N(AJ211)+N(AJ232))-N(AJ138))/(AF63+AH63+AI63+AJ63),""),"")</f>
        <v>-0.537041802540815</v>
      </c>
      <c r="AK331" s="262">
        <f>IFERROR(IF(AND(COUNT(AH63,AI63,AJ63,AK63)=4,(AH63+AI63+AJ63+AK63)&lt;&gt;0),((N(AK206)+N(AK207)+N(AK211)+N(AK232))-N(AK138))/(AH63+AI63+AJ63+AK63),""),"")</f>
        <v>-0.821942784741732</v>
      </c>
      <c r="AL331" s="262">
        <f>IFERROR(IF(AND(COUNT(AH63,AI63,AJ63,AK63)=4,(AH63+AI63+AJ63+AK63)&lt;&gt;0),((N(AL206)+N(AL207)+N(AL211)+N(AL232))-N(AL138))/(AH63+AI63+AJ63+AK63),""),"")</f>
        <v>-0.821942784741732</v>
      </c>
      <c r="AM331" s="262">
        <f>IFERROR(IF(AND(COUNT(AI63,AJ63,AK63,AM63)=4,(AI63+AJ63+AK63+AM63)&lt;&gt;0),((N(AM206)+N(AM207)+N(AM211)+N(AM232))-N(AM138))/(AI63+AJ63+AK63+AM63),""),"")</f>
        <v>-0.94617056395248</v>
      </c>
      <c r="AN331" s="262">
        <f>IFERROR(IF(AND(COUNT(AJ63,AK63,AM63,AN63)=4,(AJ63+AK63+AM63+AN63)&lt;&gt;0),((N(AN206)+N(AN207)+N(AN211)+N(AN232))-N(AN138))/(AJ63+AK63+AM63+AN63),""),"")</f>
        <v>-1.09681141627896</v>
      </c>
      <c r="AO331" s="262">
        <f>IFERROR(IF(AND(COUNT(AK63,AM63,AN63,AO63)=4,(AK63+AM63+AN63+AO63)&lt;&gt;0),((N(AO206)+N(AO207)+N(AO211)+N(AO232))-N(AO138))/(AK63+AM63+AN63+AO63),""),"")</f>
        <v>-1.25163095721188</v>
      </c>
      <c r="AP331" s="262">
        <f>IFERROR(IF(AND(COUNT(AM63,AN63,AO63,AP63)=4,(AM63+AN63+AO63+AP63)&lt;&gt;0),((N(AP206)+N(AP207)+N(AP211)+N(AP232))-N(AP138))/(AM63+AN63+AO63+AP63),""),"")</f>
        <v>-1.50221835830349</v>
      </c>
      <c r="AQ331" s="262">
        <f>IFERROR(IF(AND(COUNT(AM63,AN63,AO63,AP63)=4,(AM63+AN63+AO63+AP63)&lt;&gt;0),((N(AQ206)+N(AQ207)+N(AQ211)+N(AQ232))-N(AQ138))/(AM63+AN63+AO63+AP63),""),"")</f>
        <v>-1.50221835830349</v>
      </c>
      <c r="AR331" s="262">
        <f>IFERROR(IF(AND(COUNT(AN63,AO63,AP63,AR63)=4,(AN63+AO63+AP63+AR63)&lt;&gt;0),((N(AR206)+N(AR207)+N(AR211)+N(AR232))-N(AR138))/(AN63+AO63+AP63+AR63),""),"")</f>
        <v>-1.60630373697627</v>
      </c>
      <c r="AS331" s="262">
        <f>IFERROR(IF(AND(COUNT(AO63,AP63,AR63,AS63)=4,(AO63+AP63+AR63+AS63)&lt;&gt;0),((N(AS206)+N(AS207)+N(AS211)+N(AS232))-N(AS138))/(AO63+AP63+AR63+AS63),""),"")</f>
        <v>-1.73965322650094</v>
      </c>
      <c r="AT331" s="262">
        <f>IFERROR(IF(AND(COUNT(AP63,AR63,AS63,AT63)=4,(AP63+AR63+AS63+AT63)&lt;&gt;0),((N(AT206)+N(AT207)+N(AT211)+N(AT232))-N(AT138))/(AP63+AR63+AS63+AT63),""),"")</f>
        <v>-1.87962553344203</v>
      </c>
      <c r="AU331" s="262">
        <f>IFERROR(IF(AND(COUNT(AR63,AS63,AT63,AU63)=4,(AR63+AS63+AT63+AU63)&lt;&gt;0),((N(AU206)+N(AU207)+N(AU211)+N(AU232))-N(AU138))/(AR63+AS63+AT63+AU63),""),"")</f>
        <v>-2.11104811307207</v>
      </c>
      <c r="AV331" s="262">
        <f>IFERROR(IF(AND(COUNT(AR63,AS63,AT63,AU63)=4,(AR63+AS63+AT63+AU63)&lt;&gt;0),((N(AV206)+N(AV207)+N(AV211)+N(AV232))-N(AV138))/(AR63+AS63+AT63+AU63),""),"")</f>
        <v>-2.11104811307207</v>
      </c>
      <c r="AW331" s="262">
        <f>IFERROR(IF(AND(COUNT(AS63,AT63,AU63,AW63)=4,(AS63+AT63+AU63+AW63)&lt;&gt;0),((N(AW206)+N(AW207)+N(AW211)+N(AW232))-N(AW138))/(AS63+AT63+AU63+AW63),""),"")</f>
        <v>-2.20250575959474</v>
      </c>
      <c r="AX331" s="262">
        <f>IFERROR(IF(AND(COUNT(AT63,AU63,AW63,AX63)=4,(AT63+AU63+AW63+AX63)&lt;&gt;0),((N(AX206)+N(AX207)+N(AX211)+N(AX232))-N(AX138))/(AT63+AU63+AW63+AX63),""),"")</f>
        <v>-2.32191065918671</v>
      </c>
      <c r="AY331" s="262">
        <f>IFERROR(IF(AND(COUNT(AU63,AW63,AX63,AY63)=4,(AU63+AW63+AX63+AY63)&lt;&gt;0),((N(AY206)+N(AY207)+N(AY211)+N(AY232))-N(AY138))/(AU63+AW63+AX63+AY63),""),"")</f>
        <v>-2.44974431697939</v>
      </c>
      <c r="AZ331" s="262">
        <f>IFERROR(IF(AND(COUNT(AW63,AX63,AY63,AZ63)=4,(AW63+AX63+AY63+AZ63)&lt;&gt;0),((N(AZ206)+N(AZ207)+N(AZ211)+N(AZ232))-N(AZ138))/(AW63+AX63+AY63+AZ63),""),"")</f>
        <v>-2.66550585551875</v>
      </c>
      <c r="BA331" s="262">
        <f>IFERROR(IF(AND(COUNT(AW63,AX63,AY63,AZ63)=4,(AW63+AX63+AY63+AZ63)&lt;&gt;0),((N(BA206)+N(BA207)+N(BA211)+N(BA232))-N(BA138))/(AW63+AX63+AY63+AZ63),""),"")</f>
        <v>-2.66550585551875</v>
      </c>
      <c r="BB331" s="262">
        <f>IFERROR(IF(AND(COUNT(AX63,AY63,AZ63,BB63)=4,(AX63+AY63+AZ63+BB63)&lt;&gt;0),((N(BB206)+N(BB207)+N(BB211)+N(BB232))-N(BB138))/(AX63+AY63+AZ63+BB63),""),"")</f>
        <v>-2.74532944401024</v>
      </c>
      <c r="BC331" s="262">
        <f>IFERROR(IF(AND(COUNT(AY63,AZ63,BB63,BC63)=4,(AY63+AZ63+BB63+BC63)&lt;&gt;0),((N(BC206)+N(BC207)+N(BC211)+N(BC232))-N(BC138))/(AY63+AZ63+BB63+BC63),""),"")</f>
        <v>-2.85466907793653</v>
      </c>
      <c r="BD331" s="262">
        <f>IFERROR(IF(AND(COUNT(AZ63,BB63,BC63,BD63)=4,(AZ63+BB63+BC63+BD63)&lt;&gt;0),((N(BD206)+N(BD207)+N(BD211)+N(BD232))-N(BD138))/(AZ63+BB63+BC63+BD63),""),"")</f>
        <v>-2.97265373578356</v>
      </c>
      <c r="BE331" s="262">
        <f>IFERROR(IF(AND(COUNT(BB63,BC63,BD63,BE63)=4,(BB63+BC63+BD63+BE63)&lt;&gt;0),((N(BE206)+N(BE207)+N(BE211)+N(BE232))-N(BE138))/(BB63+BC63+BD63+BE63),""),"")</f>
        <v>-3.17572559010087</v>
      </c>
      <c r="BF331" s="262">
        <f>IFERROR(IF(AND(COUNT(BB63,BC63,BD63,BE63)=4,(BB63+BC63+BD63+BE63)&lt;&gt;0),((N(BF206)+N(BF207)+N(BF211)+N(BF232))-N(BF138))/(BB63+BC63+BD63+BE63),""),"")</f>
        <v>-3.17572559010087</v>
      </c>
      <c r="BG331" s="82" t="n"/>
      <c r="BH331" s="82" t="n"/>
      <c r="BI331" s="82" t="n"/>
      <c r="BJ331" s="82" t="n"/>
      <c r="BL331" s="82" t="n"/>
      <c r="BM331" s="82" t="n"/>
      <c r="BN331" s="82" t="n"/>
      <c r="BO331" s="82" t="n"/>
      <c r="BQ331" s="82" t="n"/>
      <c r="BR331" s="82" t="n"/>
      <c r="BS331" s="82" t="n"/>
      <c r="BT331" s="82" t="n"/>
      <c r="BV331" s="82" t="n"/>
      <c r="BW331" s="82" t="n"/>
      <c r="BX331" s="82" t="n"/>
      <c r="BY331" s="82" t="n"/>
      <c r="CA331" s="82" t="n"/>
      <c r="CB331" s="82" t="n"/>
      <c r="CC331" s="82" t="n"/>
      <c r="CD331" s="82" t="n"/>
      <c r="CF331" s="82" t="n"/>
      <c r="CG331" s="82" t="n"/>
      <c r="CH331" s="82" t="n"/>
      <c r="CI331" s="82" t="n"/>
      <c r="CK331" s="82" t="n"/>
      <c r="CL331" s="82" t="n"/>
      <c r="CM331" s="82" t="n"/>
      <c r="CN331" s="82" t="n"/>
      <c r="CP331" s="82" t="n"/>
      <c r="CQ331" s="82" t="n"/>
      <c r="CR331" s="82" t="n"/>
      <c r="CS331" s="82" t="n"/>
      <c r="CU331" s="82" t="n"/>
      <c r="CV331" s="82" t="n"/>
      <c r="CW331" s="82" t="n"/>
      <c r="CX331" s="82" t="n"/>
    </row>
    <row r="332" customFormat="1" s="77">
      <c r="A332" s="76" t="n"/>
      <c r="B332" s="76" t="n"/>
      <c r="C332" s="77" t="inlineStr">
        <is>
          <t>INTEREST COVERAGE (EBIT / INTEREST, LTM)</t>
        </is>
      </c>
      <c r="D332" s="82" t="str">
        <f>IFERROR(D67/-D68,"")</f>
        <v/>
      </c>
      <c r="E332" s="82" t="str">
        <f>IFERROR(E67/-E68,"")</f>
        <v/>
      </c>
      <c r="F332" s="82" t="str">
        <f>IFERROR(F67/-F68,"")</f>
        <v/>
      </c>
      <c r="G332" s="82" t="str">
        <f>IFERROR(G67/-G68,"")</f>
        <v/>
      </c>
      <c r="H332" s="262" t="str">
        <f>IFERROR(IF(AND(COUNT(H67)=1,(H68)&lt;&gt;0),(H67)/-(H68),""),"")</f>
        <v/>
      </c>
      <c r="I332" s="262" t="str">
        <f>""</f>
        <v/>
      </c>
      <c r="J332" s="262" t="str">
        <f>""</f>
        <v/>
      </c>
      <c r="K332" s="262" t="str">
        <f>""</f>
        <v/>
      </c>
      <c r="L332" s="262" t="str">
        <f>IFERROR(IF(AND(COUNT(I67,J67,K67,L67)=4,(I68+J68+K68+L68)&lt;&gt;0),(I67+J67+K67+L67)/-(I68+J68+K68+L68),""),"")</f>
        <v/>
      </c>
      <c r="M332" s="262" t="str">
        <f>IFERROR(IF(AND(COUNT(I67,J67,K67,L67)=4,(I68+J68+K68+L68)&lt;&gt;0),(I67+J67+K67+L67)/-(I68+J68+K68+L68),""),"")</f>
        <v/>
      </c>
      <c r="N332" s="262" t="str">
        <f>IFERROR(IF(AND(COUNT(J67,K67,L67,N67)=4,(J68+K68+L68+N68)&lt;&gt;0),(J67+K67+L67+N67)/-(J68+K68+L68+N68),""),"")</f>
        <v/>
      </c>
      <c r="O332" s="262" t="str">
        <f>IFERROR(IF(AND(COUNT(K67,L67,N67,O67)=4,(K68+L68+N68+O68)&lt;&gt;0),(K67+L67+N67+O67)/-(K68+L68+N68+O68),""),"")</f>
        <v/>
      </c>
      <c r="P332" s="262" t="str">
        <f>IFERROR(IF(AND(COUNT(L67,N67,O67,P67)=4,(L68+N68+O68+P68)&lt;&gt;0),(L67+N67+O67+P67)/-(L68+N68+O68+P68),""),"")</f>
        <v/>
      </c>
      <c r="Q332" s="262" t="str">
        <f>IFERROR(IF(AND(COUNT(N67,O67,P67,Q67)=4,(N68+O68+P68+Q68)&lt;&gt;0),(N67+O67+P67+Q67)/-(N68+O68+P68+Q68),""),"")</f>
        <v/>
      </c>
      <c r="R332" s="262" t="str">
        <f>IFERROR(IF(AND(COUNT(N67,O67,P67,Q67)=4,(N68+O68+P68+Q68)&lt;&gt;0),(N67+O67+P67+Q67)/-(N68+O68+P68+Q68),""),"")</f>
        <v/>
      </c>
      <c r="S332" s="262" t="str">
        <f>IFERROR(IF(AND(COUNT(O67,P67,Q67,S67)=4,(O68+P68+Q68+S68)&lt;&gt;0),(O67+P67+Q67+S67)/-(O68+P68+Q68+S68),""),"")</f>
        <v/>
      </c>
      <c r="T332" s="262" t="str">
        <f>IFERROR(IF(AND(COUNT(P67,Q67,S67,T67)=4,(P68+Q68+S68+T68)&lt;&gt;0),(P67+Q67+S67+T67)/-(P68+Q68+S68+T68),""),"")</f>
        <v/>
      </c>
      <c r="U332" s="262" t="str">
        <f>IFERROR(IF(AND(COUNT(Q67,S67,T67,U67)=4,(Q68+S68+T68+U68)&lt;&gt;0),(Q67+S67+T67+U67)/-(Q68+S68+T68+U68),""),"")</f>
        <v/>
      </c>
      <c r="V332" s="262" t="str">
        <f>IFERROR(IF(AND(COUNT(S67,T67,U67,V67)=4,(S68+T68+U68+V68)&lt;&gt;0),(S67+T67+U67+V67)/-(S68+T68+U68+V68),""),"")</f>
        <v/>
      </c>
      <c r="W332" s="262" t="str">
        <f>IFERROR(IF(AND(COUNT(S67,T67,U67,V67)=4,(S68+T68+U68+V68)&lt;&gt;0),(S67+T67+U67+V67)/-(S68+T68+U68+V68),""),"")</f>
        <v/>
      </c>
      <c r="X332" s="262" t="str">
        <f>IFERROR(IF(AND(COUNT(T67,U67,V67,X67)=4,(T68+U68+V68+X68)&lt;&gt;0),(T67+U67+V67+X67)/-(T68+U68+V68+X68),""),"")</f>
        <v/>
      </c>
      <c r="Y332" s="262" t="str">
        <f>IFERROR(IF(AND(COUNT(U67,V67,X67,Y67)=4,(U68+V68+X68+Y68)&lt;&gt;0),(U67+V67+X67+Y67)/-(U68+V68+X68+Y68),""),"")</f>
        <v/>
      </c>
      <c r="Z332" s="262" t="str">
        <f>IFERROR(IF(AND(COUNT(V67,X67,Y67,Z67)=4,(V68+X68+Y68+Z68)&lt;&gt;0),(V67+X67+Y67+Z67)/-(V68+X68+Y68+Z68),""),"")</f>
        <v/>
      </c>
      <c r="AA332" s="262" t="str">
        <f>IFERROR(IF(AND(COUNT(X67,Y67,Z67,AA67)=4,(X68+Y68+Z68+AA68)&lt;&gt;0),(X67+Y67+Z67+AA67)/-(X68+Y68+Z68+AA68),""),"")</f>
        <v/>
      </c>
      <c r="AB332" s="262" t="str">
        <f>IFERROR(IF(AND(COUNT(X67,Y67,Z67,AA67)=4,(X68+Y68+Z68+AA68)&lt;&gt;0),(X67+Y67+Z67+AA67)/-(X68+Y68+Z68+AA68),""),"")</f>
        <v/>
      </c>
      <c r="AC332" s="262" t="str">
        <f>IFERROR(IF(AND(COUNT(Y67,Z67,AA67,AC67)=4,(Y68+Z68+AA68+AC68)&lt;&gt;0),(Y67+Z67+AA67+AC67)/-(Y68+Z68+AA68+AC68),""),"")</f>
        <v/>
      </c>
      <c r="AD332" s="262" t="str">
        <f>IFERROR(IF(AND(COUNT(Z67,AA67,AC67,AD67)=4,(Z68+AA68+AC68+AD68)&lt;&gt;0),(Z67+AA67+AC67+AD67)/-(Z68+AA68+AC68+AD68),""),"")</f>
        <v/>
      </c>
      <c r="AE332" s="262" t="str">
        <f>IFERROR(IF(AND(COUNT(AA67,AC67,AD67,AE67)=4,(AA68+AC68+AD68+AE68)&lt;&gt;0),(AA67+AC67+AD67+AE67)/-(AA68+AC68+AD68+AE68),""),"")</f>
        <v/>
      </c>
      <c r="AF332" s="262" t="str">
        <f>IFERROR(IF(AND(COUNT(AB67,AD67,AE67,AF67)=4,(AB68+AD68+AE68+AF68)&lt;&gt;0),(AB67+AD67+AE67+AF67)/-(AB68+AD68+AE68+AF68),""),"")</f>
        <v/>
      </c>
      <c r="AG332" s="262" t="str">
        <f>IFERROR(IF(AND(COUNT(AC67,AD67,AE67,AF67)=4,(AC68+AD68+AE68+AF68)&lt;&gt;0),(AC67+AD67+AE67+AF67)/-(AC68+AD68+AE68+AF68),""),"")</f>
        <v/>
      </c>
      <c r="AH332" s="262" t="str">
        <f>IFERROR(IF(AND(COUNT(AD67,AF67,AG67,AH67)=4,(AD68+AF68+AG68+AH68)&lt;&gt;0),(AD67+AF67+AG67+AH67)/-(AD68+AF68+AG68+AH68),""),"")</f>
        <v/>
      </c>
      <c r="AI332" s="262" t="str">
        <f>IFERROR(IF(AND(COUNT(AE67,AG67,AH67,AI67)=4,(AE68+AG68+AH68+AI68)&lt;&gt;0),(AE67+AG67+AH67+AI67)/-(AE68+AG68+AH68+AI68),""),"")</f>
        <v/>
      </c>
      <c r="AJ332" s="262" t="str">
        <f>IFERROR(IF(AND(COUNT(AF67,AH67,AI67,AJ67)=4,(AF68+AH68+AI68+AJ68)&lt;&gt;0),(AF67+AH67+AI67+AJ67)/-(AF68+AH68+AI68+AJ68),""),"")</f>
        <v/>
      </c>
      <c r="AK332" s="262" t="str">
        <f>IFERROR(IF(AND(COUNT(AH67,AI67,AJ67,AK67)=4,(AH68+AI68+AJ68+AK68)&lt;&gt;0),(AH67+AI67+AJ67+AK67)/-(AH68+AI68+AJ68+AK68),""),"")</f>
        <v/>
      </c>
      <c r="AL332" s="262" t="str">
        <f>IFERROR(IF(AND(COUNT(AH67,AI67,AJ67,AK67)=4,(AH68+AI68+AJ68+AK68)&lt;&gt;0),(AH67+AI67+AJ67+AK67)/-(AH68+AI68+AJ68+AK68),""),"")</f>
        <v/>
      </c>
      <c r="AM332" s="262" t="str">
        <f>IFERROR(IF(AND(COUNT(AI67,AJ67,AK67,AM67)=4,(AI68+AJ68+AK68+AM68)&lt;&gt;0),(AI67+AJ67+AK67+AM67)/-(AI68+AJ68+AK68+AM68),""),"")</f>
        <v/>
      </c>
      <c r="AN332" s="262" t="str">
        <f>IFERROR(IF(AND(COUNT(AJ67,AK67,AM67,AN67)=4,(AJ68+AK68+AM68+AN68)&lt;&gt;0),(AJ67+AK67+AM67+AN67)/-(AJ68+AK68+AM68+AN68),""),"")</f>
        <v/>
      </c>
      <c r="AO332" s="262" t="str">
        <f>IFERROR(IF(AND(COUNT(AK67,AM67,AN67,AO67)=4,(AK68+AM68+AN68+AO68)&lt;&gt;0),(AK67+AM67+AN67+AO67)/-(AK68+AM68+AN68+AO68),""),"")</f>
        <v/>
      </c>
      <c r="AP332" s="262" t="str">
        <f>IFERROR(IF(AND(COUNT(AM67,AN67,AO67,AP67)=4,(AM68+AN68+AO68+AP68)&lt;&gt;0),(AM67+AN67+AO67+AP67)/-(AM68+AN68+AO68+AP68),""),"")</f>
        <v/>
      </c>
      <c r="AQ332" s="262" t="str">
        <f>IFERROR(IF(AND(COUNT(AM67,AN67,AO67,AP67)=4,(AM68+AN68+AO68+AP68)&lt;&gt;0),(AM67+AN67+AO67+AP67)/-(AM68+AN68+AO68+AP68),""),"")</f>
        <v/>
      </c>
      <c r="AR332" s="262" t="str">
        <f>IFERROR(IF(AND(COUNT(AN67,AO67,AP67,AR67)=4,(AN68+AO68+AP68+AR68)&lt;&gt;0),(AN67+AO67+AP67+AR67)/-(AN68+AO68+AP68+AR68),""),"")</f>
        <v/>
      </c>
      <c r="AS332" s="262" t="str">
        <f>IFERROR(IF(AND(COUNT(AO67,AP67,AR67,AS67)=4,(AO68+AP68+AR68+AS68)&lt;&gt;0),(AO67+AP67+AR67+AS67)/-(AO68+AP68+AR68+AS68),""),"")</f>
        <v/>
      </c>
      <c r="AT332" s="262" t="str">
        <f>IFERROR(IF(AND(COUNT(AP67,AR67,AS67,AT67)=4,(AP68+AR68+AS68+AT68)&lt;&gt;0),(AP67+AR67+AS67+AT67)/-(AP68+AR68+AS68+AT68),""),"")</f>
        <v/>
      </c>
      <c r="AU332" s="262" t="str">
        <f>IFERROR(IF(AND(COUNT(AR67,AS67,AT67,AU67)=4,(AR68+AS68+AT68+AU68)&lt;&gt;0),(AR67+AS67+AT67+AU67)/-(AR68+AS68+AT68+AU68),""),"")</f>
        <v/>
      </c>
      <c r="AV332" s="262" t="str">
        <f>IFERROR(IF(AND(COUNT(AR67,AS67,AT67,AU67)=4,(AR68+AS68+AT68+AU68)&lt;&gt;0),(AR67+AS67+AT67+AU67)/-(AR68+AS68+AT68+AU68),""),"")</f>
        <v/>
      </c>
      <c r="AW332" s="262" t="str">
        <f>IFERROR(IF(AND(COUNT(AS67,AT67,AU67,AW67)=4,(AS68+AT68+AU68+AW68)&lt;&gt;0),(AS67+AT67+AU67+AW67)/-(AS68+AT68+AU68+AW68),""),"")</f>
        <v/>
      </c>
      <c r="AX332" s="262" t="str">
        <f>IFERROR(IF(AND(COUNT(AT67,AU67,AW67,AX67)=4,(AT68+AU68+AW68+AX68)&lt;&gt;0),(AT67+AU67+AW67+AX67)/-(AT68+AU68+AW68+AX68),""),"")</f>
        <v/>
      </c>
      <c r="AY332" s="262" t="str">
        <f>IFERROR(IF(AND(COUNT(AU67,AW67,AX67,AY67)=4,(AU68+AW68+AX68+AY68)&lt;&gt;0),(AU67+AW67+AX67+AY67)/-(AU68+AW68+AX68+AY68),""),"")</f>
        <v/>
      </c>
      <c r="AZ332" s="262" t="str">
        <f>IFERROR(IF(AND(COUNT(AW67,AX67,AY67,AZ67)=4,(AW68+AX68+AY68+AZ68)&lt;&gt;0),(AW67+AX67+AY67+AZ67)/-(AW68+AX68+AY68+AZ68),""),"")</f>
        <v/>
      </c>
      <c r="BA332" s="262" t="str">
        <f>IFERROR(IF(AND(COUNT(AW67,AX67,AY67,AZ67)=4,(AW68+AX68+AY68+AZ68)&lt;&gt;0),(AW67+AX67+AY67+AZ67)/-(AW68+AX68+AY68+AZ68),""),"")</f>
        <v/>
      </c>
      <c r="BB332" s="262" t="str">
        <f>IFERROR(IF(AND(COUNT(AX67,AY67,AZ67,BB67)=4,(AX68+AY68+AZ68+BB68)&lt;&gt;0),(AX67+AY67+AZ67+BB67)/-(AX68+AY68+AZ68+BB68),""),"")</f>
        <v/>
      </c>
      <c r="BC332" s="262" t="str">
        <f>IFERROR(IF(AND(COUNT(AY67,AZ67,BB67,BC67)=4,(AY68+AZ68+BB68+BC68)&lt;&gt;0),(AY67+AZ67+BB67+BC67)/-(AY68+AZ68+BB68+BC68),""),"")</f>
        <v/>
      </c>
      <c r="BD332" s="262" t="str">
        <f>IFERROR(IF(AND(COUNT(AZ67,BB67,BC67,BD67)=4,(AZ68+BB68+BC68+BD68)&lt;&gt;0),(AZ67+BB67+BC67+BD67)/-(AZ68+BB68+BC68+BD68),""),"")</f>
        <v/>
      </c>
      <c r="BE332" s="262" t="str">
        <f>IFERROR(IF(AND(COUNT(BB67,BC67,BD67,BE67)=4,(BB68+BC68+BD68+BE68)&lt;&gt;0),(BB67+BC67+BD67+BE67)/-(BB68+BC68+BD68+BE68),""),"")</f>
        <v/>
      </c>
      <c r="BF332" s="262" t="str">
        <f>IFERROR(IF(AND(COUNT(BB67,BC67,BD67,BE67)=4,(BB68+BC68+BD68+BE68)&lt;&gt;0),(BB67+BC67+BD67+BE67)/-(BB68+BC68+BD68+BE68),""),"")</f>
        <v/>
      </c>
      <c r="BG332" s="82" t="n"/>
      <c r="BH332" s="82" t="n"/>
      <c r="BI332" s="82" t="n"/>
      <c r="BJ332" s="82" t="n"/>
      <c r="BL332" s="82" t="n"/>
      <c r="BM332" s="82" t="n"/>
      <c r="BN332" s="82" t="n"/>
      <c r="BO332" s="82" t="n"/>
      <c r="BQ332" s="82" t="n"/>
      <c r="BR332" s="82" t="n"/>
      <c r="BS332" s="82" t="n"/>
      <c r="BT332" s="82" t="n"/>
      <c r="BV332" s="82" t="n"/>
      <c r="BW332" s="82" t="n"/>
      <c r="BX332" s="82" t="n"/>
      <c r="BY332" s="82" t="n"/>
      <c r="CA332" s="82" t="n"/>
      <c r="CB332" s="82" t="n"/>
      <c r="CC332" s="82" t="n"/>
      <c r="CD332" s="82" t="n"/>
      <c r="CF332" s="82" t="n"/>
      <c r="CG332" s="82" t="n"/>
      <c r="CH332" s="82" t="n"/>
      <c r="CI332" s="82" t="n"/>
      <c r="CK332" s="82" t="n"/>
      <c r="CL332" s="82" t="n"/>
      <c r="CM332" s="82" t="n"/>
      <c r="CN332" s="82" t="n"/>
      <c r="CP332" s="82" t="n"/>
      <c r="CQ332" s="82" t="n"/>
      <c r="CR332" s="82" t="n"/>
      <c r="CS332" s="82" t="n"/>
      <c r="CU332" s="82" t="n"/>
      <c r="CV332" s="82" t="n"/>
      <c r="CW332" s="82" t="n"/>
      <c r="CX332" s="82" t="n"/>
    </row>
    <row r="333" customFormat="1" s="77">
      <c r="A333" s="76" t="n"/>
      <c r="B333" s="76" t="n"/>
    </row>
    <row r="334" customFormat="1" s="77">
      <c r="A334" s="76" t="n"/>
      <c r="B334" s="76" t="n"/>
      <c r="C334" s="74" t="inlineStr">
        <is>
          <t>INTERNAL LIQUIDITY</t>
        </is>
      </c>
    </row>
    <row r="335" customFormat="1" s="77">
      <c r="A335" s="76" t="n"/>
      <c r="B335" s="76" t="n"/>
      <c r="C335" s="77" t="inlineStr">
        <is>
          <t>CURRENT RATIO</t>
        </is>
      </c>
      <c r="D335" s="82" t="str">
        <f>IFERROR(SUM(D138,D139,D143,D147,D148,D149)/SUM(D192,D196,D198,D199),"")</f>
        <v/>
      </c>
      <c r="E335" s="82" t="str">
        <f>IFERROR(SUM(E138,E139,E143,E147,E148,E149)/SUM(E192,E196,E198,E199),"")</f>
        <v/>
      </c>
      <c r="F335" s="82" t="str">
        <f>IFERROR(SUM(F138,F139,F143,F147,F148,F149)/SUM(F192,F196,F198,F199),"")</f>
        <v/>
      </c>
      <c r="G335" s="82" t="str">
        <f>IFERROR(SUM(G138,G139,G143,G147,G148,G149)/SUM(G192,G196,G198,G199),"")</f>
        <v/>
      </c>
      <c r="H335" s="262" t="str">
        <f>IFERROR(IF((N(H192)+N(H196)+N(H198)+N(H199)+N(H206)+N(H207)+N(H208))&lt;&gt;0,(N(H138)+(N(H139)+N(H143)+N(H147)+N(H148)+N(H149)))/(N(H192)+N(H196)+N(H198)+N(H199)+N(H206)+N(H207)+N(H208)),""),"")</f>
        <v/>
      </c>
      <c r="I335" s="262">
        <f>IFERROR(IF((N(I192)+N(I196)+N(I198)+N(I199)+N(I206)+N(I207)+N(I208))&lt;&gt;0,(N(I138)+(N(I139)+N(I143)+N(I147)+N(I148)+N(I149)))/(N(I192)+N(I196)+N(I198)+N(I199)+N(I206)+N(I207)+N(I208)),""),"")</f>
        <v>2.40639187855431</v>
      </c>
      <c r="J335" s="262">
        <f>IFERROR(IF((N(J192)+N(J196)+N(J198)+N(J199)+N(J206)+N(J207)+N(J208))&lt;&gt;0,(N(J138)+(N(J139)+N(J143)+N(J147)+N(J148)+N(J149)))/(N(J192)+N(J196)+N(J198)+N(J199)+N(J206)+N(J207)+N(J208)),""),"")</f>
        <v>2.28642092172912</v>
      </c>
      <c r="K335" s="262">
        <f>IFERROR(IF((N(K192)+N(K196)+N(K198)+N(K199)+N(K206)+N(K207)+N(K208))&lt;&gt;0,(N(K138)+(N(K139)+N(K143)+N(K147)+N(K148)+N(K149)))/(N(K192)+N(K196)+N(K198)+N(K199)+N(K206)+N(K207)+N(K208)),""),"")</f>
        <v>2.0936476438664</v>
      </c>
      <c r="L335" s="262">
        <f>IFERROR(IF((N(L192)+N(L196)+N(L198)+N(L199)+N(L206)+N(L207)+N(L208))&lt;&gt;0,(N(L138)+(N(L139)+N(L143)+N(L147)+N(L148)+N(L149)))/(N(L192)+N(L196)+N(L198)+N(L199)+N(L206)+N(L207)+N(L208)),""),"")</f>
        <v>1.97756379850109</v>
      </c>
      <c r="M335" s="262">
        <f>IFERROR(IF((N(M192)+N(M196)+N(M198)+N(M199)+N(M206)+N(M207)+N(M208))&lt;&gt;0,(N(M138)+(N(M139)+N(M143)+N(M147)+N(M148)+N(M149)))/(N(M192)+N(M196)+N(M198)+N(M199)+N(M206)+N(M207)+N(M208)),""),"")</f>
        <v>1.97756379850109</v>
      </c>
      <c r="N335" s="262">
        <f>IFERROR(IF((N(N192)+N(N196)+N(N198)+N(N199)+N(N206)+N(N207)+N(N208))&lt;&gt;0,(N(N138)+(N(N139)+N(N143)+N(N147)+N(N148)+N(N149)))/(N(N192)+N(N196)+N(N198)+N(N199)+N(N206)+N(N207)+N(N208)),""),"")</f>
        <v>2.03437431376855</v>
      </c>
      <c r="O335" s="262">
        <f>IFERROR(IF((N(O192)+N(O196)+N(O198)+N(O199)+N(O206)+N(O207)+N(O208))&lt;&gt;0,(N(O138)+(N(O139)+N(O143)+N(O147)+N(O148)+N(O149)))/(N(O192)+N(O196)+N(O198)+N(O199)+N(O206)+N(O207)+N(O208)),""),"")</f>
        <v>1.8738998868125</v>
      </c>
      <c r="P335" s="262">
        <f>IFERROR(IF((N(P192)+N(P196)+N(P198)+N(P199)+N(P206)+N(P207)+N(P208))&lt;&gt;0,(N(P138)+(N(P139)+N(P143)+N(P147)+N(P148)+N(P149)))/(N(P192)+N(P196)+N(P198)+N(P199)+N(P206)+N(P207)+N(P208)),""),"")</f>
        <v>1.66389578002624</v>
      </c>
      <c r="Q335" s="262">
        <f>IFERROR(IF((N(Q192)+N(Q196)+N(Q198)+N(Q199)+N(Q206)+N(Q207)+N(Q208))&lt;&gt;0,(N(Q138)+(N(Q139)+N(Q143)+N(Q147)+N(Q148)+N(Q149)))/(N(Q192)+N(Q196)+N(Q198)+N(Q199)+N(Q206)+N(Q207)+N(Q208)),""),"")</f>
        <v>1.76909517357924</v>
      </c>
      <c r="R335" s="262">
        <f>IFERROR(IF((N(R192)+N(R196)+N(R198)+N(R199)+N(R206)+N(R207)+N(R208))&lt;&gt;0,(N(R138)+(N(R139)+N(R143)+N(R147)+N(R148)+N(R149)))/(N(R192)+N(R196)+N(R198)+N(R199)+N(R206)+N(R207)+N(R208)),""),"")</f>
        <v>1.76909517357924</v>
      </c>
      <c r="S335" s="262">
        <f>IFERROR(IF((N(S192)+N(S196)+N(S198)+N(S199)+N(S206)+N(S207)+N(S208))&lt;&gt;0,(N(S138)+(N(S139)+N(S143)+N(S147)+N(S148)+N(S149)))/(N(S192)+N(S196)+N(S198)+N(S199)+N(S206)+N(S207)+N(S208)),""),"")</f>
        <v>1.86028732042473</v>
      </c>
      <c r="T335" s="262">
        <f>IFERROR(IF((N(T192)+N(T196)+N(T198)+N(T199)+N(T206)+N(T207)+N(T208))&lt;&gt;0,(N(T138)+(N(T139)+N(T143)+N(T147)+N(T148)+N(T149)))/(N(T192)+N(T196)+N(T198)+N(T199)+N(T206)+N(T207)+N(T208)),""),"")</f>
        <v>1.81429703192145</v>
      </c>
      <c r="U335" s="262">
        <f>IFERROR(IF((N(U192)+N(U196)+N(U198)+N(U199)+N(U206)+N(U207)+N(U208))&lt;&gt;0,(N(U138)+(N(U139)+N(U143)+N(U147)+N(U148)+N(U149)))/(N(U192)+N(U196)+N(U198)+N(U199)+N(U206)+N(U207)+N(U208)),""),"")</f>
        <v>1.6799487984144</v>
      </c>
      <c r="V335" s="262">
        <f>IFERROR(IF((N(V192)+N(V196)+N(V198)+N(V199)+N(V206)+N(V207)+N(V208))&lt;&gt;0,(N(V138)+(N(V139)+N(V143)+N(V147)+N(V148)+N(V149)))/(N(V192)+N(V196)+N(V198)+N(V199)+N(V206)+N(V207)+N(V208)),""),"")</f>
        <v>1.81504482246423</v>
      </c>
      <c r="W335" s="262">
        <f>IFERROR(IF((N(W192)+N(W196)+N(W198)+N(W199)+N(W206)+N(W207)+N(W208))&lt;&gt;0,(N(W138)+(N(W139)+N(W143)+N(W147)+N(W148)+N(W149)))/(N(W192)+N(W196)+N(W198)+N(W199)+N(W206)+N(W207)+N(W208)),""),"")</f>
        <v>1.81504482246423</v>
      </c>
      <c r="X335" s="262">
        <f>IFERROR(IF((N(X192)+N(X196)+N(X198)+N(X199)+N(X206)+N(X207)+N(X208))&lt;&gt;0,(N(X138)+(N(X139)+N(X143)+N(X147)+N(X148)+N(X149)))/(N(X192)+N(X196)+N(X198)+N(X199)+N(X206)+N(X207)+N(X208)),""),"")</f>
        <v>1.80584225743406</v>
      </c>
      <c r="Y335" s="262">
        <f>IFERROR(IF((N(Y192)+N(Y196)+N(Y198)+N(Y199)+N(Y206)+N(Y207)+N(Y208))&lt;&gt;0,(N(Y138)+(N(Y139)+N(Y143)+N(Y147)+N(Y148)+N(Y149)))/(N(Y192)+N(Y196)+N(Y198)+N(Y199)+N(Y206)+N(Y207)+N(Y208)),""),"")</f>
        <v>1.64616635264086</v>
      </c>
      <c r="Z335" s="262">
        <f>IFERROR(IF((N(Z192)+N(Z196)+N(Z198)+N(Z199)+N(Z206)+N(Z207)+N(Z208))&lt;&gt;0,(N(Z138)+(N(Z139)+N(Z143)+N(Z147)+N(Z148)+N(Z149)))/(N(Z192)+N(Z196)+N(Z198)+N(Z199)+N(Z206)+N(Z207)+N(Z208)),""),"")</f>
        <v>1.38592453172479</v>
      </c>
      <c r="AA335" s="262">
        <f>IFERROR(IF((N(AA192)+N(AA196)+N(AA198)+N(AA199)+N(AA206)+N(AA207)+N(AA208))&lt;&gt;0,(N(AA138)+(N(AA139)+N(AA143)+N(AA147)+N(AA148)+N(AA149)))/(N(AA192)+N(AA196)+N(AA198)+N(AA199)+N(AA206)+N(AA207)+N(AA208)),""),"")</f>
        <v>1.529685172999</v>
      </c>
      <c r="AB335" s="262">
        <f>IFERROR(IF((N(AB192)+N(AB196)+N(AB198)+N(AB199)+N(AB206)+N(AB207)+N(AB208))&lt;&gt;0,(N(AB138)+(N(AB139)+N(AB143)+N(AB147)+N(AB148)+N(AB149)))/(N(AB192)+N(AB196)+N(AB198)+N(AB199)+N(AB206)+N(AB207)+N(AB208)),""),"")</f>
        <v>1.529685172999</v>
      </c>
      <c r="AC335" s="262">
        <f>IFERROR(IF((N(AC192)+N(AC196)+N(AC198)+N(AC199)+N(AC206)+N(AC207)+N(AC208))&lt;&gt;0,(N(AC138)+(N(AC139)+N(AC143)+N(AC147)+N(AC148)+N(AC149)))/(N(AC192)+N(AC196)+N(AC198)+N(AC199)+N(AC206)+N(AC207)+N(AC208)),""),"")</f>
        <v>1.40483222776352</v>
      </c>
      <c r="AD335" s="262">
        <f>IFERROR(IF((N(AD192)+N(AD196)+N(AD198)+N(AD199)+N(AD206)+N(AD207)+N(AD208))&lt;&gt;0,(N(AD138)+(N(AD139)+N(AD143)+N(AD147)+N(AD148)+N(AD149)))/(N(AD192)+N(AD196)+N(AD198)+N(AD199)+N(AD206)+N(AD207)+N(AD208)),""),"")</f>
        <v>1.41797760770975</v>
      </c>
      <c r="AE335" s="262">
        <f>IFERROR(IF((N(AE192)+N(AE196)+N(AE198)+N(AE199)+N(AE206)+N(AE207)+N(AE208))&lt;&gt;0,(N(AE138)+(N(AE139)+N(AE143)+N(AE147)+N(AE148)+N(AE149)))/(N(AE192)+N(AE196)+N(AE198)+N(AE199)+N(AE206)+N(AE207)+N(AE208)),""),"")</f>
        <v>1.36254686622673</v>
      </c>
      <c r="AF335" s="262">
        <f>IFERROR(IF((N(AF192)+N(AF196)+N(AF198)+N(AF199)+N(AF206)+N(AF207)+N(AF208))&lt;&gt;0,(N(AF138)+(N(AF139)+N(AF143)+N(AF147)+N(AF148)+N(AF149)))/(N(AF192)+N(AF196)+N(AF198)+N(AF199)+N(AF206)+N(AF207)+N(AF208)),""),"")</f>
        <v>1.45344805286789</v>
      </c>
      <c r="AG335" s="262">
        <f>IFERROR(IF((N(AG192)+N(AG196)+N(AG198)+N(AG199)+N(AG206)+N(AG207)+N(AG208))&lt;&gt;0,(N(AG138)+(N(AG139)+N(AG143)+N(AG147)+N(AG148)+N(AG149)))/(N(AG192)+N(AG196)+N(AG198)+N(AG199)+N(AG206)+N(AG207)+N(AG208)),""),"")</f>
        <v>1.45344805286789</v>
      </c>
      <c r="AH335" s="262">
        <f>IFERROR(IF((N(AH192)+N(AH196)+N(AH198)+N(AH199)+N(AH206)+N(AH207)+N(AH208))&lt;&gt;0,(N(AH138)+(N(AH139)+N(AH143)+N(AH147)+N(AH148)+N(AH149)))/(N(AH192)+N(AH196)+N(AH198)+N(AH199)+N(AH206)+N(AH207)+N(AH208)),""),"")</f>
        <v>1.6503293944638</v>
      </c>
      <c r="AI335" s="262">
        <f>IFERROR(IF((N(AI192)+N(AI196)+N(AI198)+N(AI199)+N(AI206)+N(AI207)+N(AI208))&lt;&gt;0,(N(AI138)+(N(AI139)+N(AI143)+N(AI147)+N(AI148)+N(AI149)))/(N(AI192)+N(AI196)+N(AI198)+N(AI199)+N(AI206)+N(AI207)+N(AI208)),""),"")</f>
        <v>1.56661264615673</v>
      </c>
      <c r="AJ335" s="262">
        <f>IFERROR(IF((N(AJ192)+N(AJ196)+N(AJ198)+N(AJ199)+N(AJ206)+N(AJ207)+N(AJ208))&lt;&gt;0,(N(AJ138)+(N(AJ139)+N(AJ143)+N(AJ147)+N(AJ148)+N(AJ149)))/(N(AJ192)+N(AJ196)+N(AJ198)+N(AJ199)+N(AJ206)+N(AJ207)+N(AJ208)),""),"")</f>
        <v>1.76959195398358</v>
      </c>
      <c r="AK335" s="262">
        <f>IFERROR(IF((N(AK192)+N(AK196)+N(AK198)+N(AK199)+N(AK206)+N(AK207)+N(AK208))&lt;&gt;0,(N(AK138)+(N(AK139)+N(AK143)+N(AK147)+N(AK148)+N(AK149)))/(N(AK192)+N(AK196)+N(AK198)+N(AK199)+N(AK206)+N(AK207)+N(AK208)),""),"")</f>
        <v>1.89599952338093</v>
      </c>
      <c r="AL335" s="262">
        <f>IFERROR(IF((N(AL192)+N(AL196)+N(AL198)+N(AL199)+N(AL206)+N(AL207)+N(AL208))&lt;&gt;0,(N(AL138)+(N(AL139)+N(AL143)+N(AL147)+N(AL148)+N(AL149)))/(N(AL192)+N(AL196)+N(AL198)+N(AL199)+N(AL206)+N(AL207)+N(AL208)),""),"")</f>
        <v>1.89599952338093</v>
      </c>
      <c r="AM335" s="262">
        <f>IFERROR(IF((N(AM192)+N(AM196)+N(AM198)+N(AM199)+N(AM206)+N(AM207)+N(AM208))&lt;&gt;0,(N(AM138)+(N(AM139)+N(AM143)+N(AM147)+N(AM148)+N(AM149)))/(N(AM192)+N(AM196)+N(AM198)+N(AM199)+N(AM206)+N(AM207)+N(AM208)),""),"")</f>
        <v>2.21210451696322</v>
      </c>
      <c r="AN335" s="262">
        <f>IFERROR(IF((N(AN192)+N(AN196)+N(AN198)+N(AN199)+N(AN206)+N(AN207)+N(AN208))&lt;&gt;0,(N(AN138)+(N(AN139)+N(AN143)+N(AN147)+N(AN148)+N(AN149)))/(N(AN192)+N(AN196)+N(AN198)+N(AN199)+N(AN206)+N(AN207)+N(AN208)),""),"")</f>
        <v>2.43427789869888</v>
      </c>
      <c r="AO335" s="262">
        <f>IFERROR(IF((N(AO192)+N(AO196)+N(AO198)+N(AO199)+N(AO206)+N(AO207)+N(AO208))&lt;&gt;0,(N(AO138)+(N(AO139)+N(AO143)+N(AO147)+N(AO148)+N(AO149)))/(N(AO192)+N(AO196)+N(AO198)+N(AO199)+N(AO206)+N(AO207)+N(AO208)),""),"")</f>
        <v>2.62495152170594</v>
      </c>
      <c r="AP335" s="262">
        <f>IFERROR(IF((N(AP192)+N(AP196)+N(AP198)+N(AP199)+N(AP206)+N(AP207)+N(AP208))&lt;&gt;0,(N(AP138)+(N(AP139)+N(AP143)+N(AP147)+N(AP148)+N(AP149)))/(N(AP192)+N(AP196)+N(AP198)+N(AP199)+N(AP206)+N(AP207)+N(AP208)),""),"")</f>
        <v>2.62508130282372</v>
      </c>
      <c r="AQ335" s="262">
        <f>IFERROR(IF((N(AQ192)+N(AQ196)+N(AQ198)+N(AQ199)+N(AQ206)+N(AQ207)+N(AQ208))&lt;&gt;0,(N(AQ138)+(N(AQ139)+N(AQ143)+N(AQ147)+N(AQ148)+N(AQ149)))/(N(AQ192)+N(AQ196)+N(AQ198)+N(AQ199)+N(AQ206)+N(AQ207)+N(AQ208)),""),"")</f>
        <v>2.62508130282372</v>
      </c>
      <c r="AR335" s="262">
        <f>IFERROR(IF((N(AR192)+N(AR196)+N(AR198)+N(AR199)+N(AR206)+N(AR207)+N(AR208))&lt;&gt;0,(N(AR138)+(N(AR139)+N(AR143)+N(AR147)+N(AR148)+N(AR149)))/(N(AR192)+N(AR196)+N(AR198)+N(AR199)+N(AR206)+N(AR207)+N(AR208)),""),"")</f>
        <v>3.06832943444151</v>
      </c>
      <c r="AS335" s="262">
        <f>IFERROR(IF((N(AS192)+N(AS196)+N(AS198)+N(AS199)+N(AS206)+N(AS207)+N(AS208))&lt;&gt;0,(N(AS138)+(N(AS139)+N(AS143)+N(AS147)+N(AS148)+N(AS149)))/(N(AS192)+N(AS196)+N(AS198)+N(AS199)+N(AS206)+N(AS207)+N(AS208)),""),"")</f>
        <v>3.3038256308243</v>
      </c>
      <c r="AT335" s="262">
        <f>IFERROR(IF((N(AT192)+N(AT196)+N(AT198)+N(AT199)+N(AT206)+N(AT207)+N(AT208))&lt;&gt;0,(N(AT138)+(N(AT139)+N(AT143)+N(AT147)+N(AT148)+N(AT149)))/(N(AT192)+N(AT196)+N(AT198)+N(AT199)+N(AT206)+N(AT207)+N(AT208)),""),"")</f>
        <v>3.49093475924677</v>
      </c>
      <c r="AU335" s="262">
        <f>IFERROR(IF((N(AU192)+N(AU196)+N(AU198)+N(AU199)+N(AU206)+N(AU207)+N(AU208))&lt;&gt;0,(N(AU138)+(N(AU139)+N(AU143)+N(AU147)+N(AU148)+N(AU149)))/(N(AU192)+N(AU196)+N(AU198)+N(AU199)+N(AU206)+N(AU207)+N(AU208)),""),"")</f>
        <v>3.34964916557227</v>
      </c>
      <c r="AV335" s="262">
        <f>IFERROR(IF((N(AV192)+N(AV196)+N(AV198)+N(AV199)+N(AV206)+N(AV207)+N(AV208))&lt;&gt;0,(N(AV138)+(N(AV139)+N(AV143)+N(AV147)+N(AV148)+N(AV149)))/(N(AV192)+N(AV196)+N(AV198)+N(AV199)+N(AV206)+N(AV207)+N(AV208)),""),"")</f>
        <v>3.34964916557227</v>
      </c>
      <c r="AW335" s="262">
        <f>IFERROR(IF((N(AW192)+N(AW196)+N(AW198)+N(AW199)+N(AW206)+N(AW207)+N(AW208))&lt;&gt;0,(N(AW138)+(N(AW139)+N(AW143)+N(AW147)+N(AW148)+N(AW149)))/(N(AW192)+N(AW196)+N(AW198)+N(AW199)+N(AW206)+N(AW207)+N(AW208)),""),"")</f>
        <v>3.91148382389153</v>
      </c>
      <c r="AX335" s="262">
        <f>IFERROR(IF((N(AX192)+N(AX196)+N(AX198)+N(AX199)+N(AX206)+N(AX207)+N(AX208))&lt;&gt;0,(N(AX138)+(N(AX139)+N(AX143)+N(AX147)+N(AX148)+N(AX149)))/(N(AX192)+N(AX196)+N(AX198)+N(AX199)+N(AX206)+N(AX207)+N(AX208)),""),"")</f>
        <v>4.18305498818096</v>
      </c>
      <c r="AY335" s="262">
        <f>IFERROR(IF((N(AY192)+N(AY196)+N(AY198)+N(AY199)+N(AY206)+N(AY207)+N(AY208))&lt;&gt;0,(N(AY138)+(N(AY139)+N(AY143)+N(AY147)+N(AY148)+N(AY149)))/(N(AY192)+N(AY196)+N(AY198)+N(AY199)+N(AY206)+N(AY207)+N(AY208)),""),"")</f>
        <v>4.36442471650139</v>
      </c>
      <c r="AZ335" s="262">
        <f>IFERROR(IF((N(AZ192)+N(AZ196)+N(AZ198)+N(AZ199)+N(AZ206)+N(AZ207)+N(AZ208))&lt;&gt;0,(N(AZ138)+(N(AZ139)+N(AZ143)+N(AZ147)+N(AZ148)+N(AZ149)))/(N(AZ192)+N(AZ196)+N(AZ198)+N(AZ199)+N(AZ206)+N(AZ207)+N(AZ208)),""),"")</f>
        <v>4.06794643283817</v>
      </c>
      <c r="BA335" s="262">
        <f>IFERROR(IF((N(BA192)+N(BA196)+N(BA198)+N(BA199)+N(BA206)+N(BA207)+N(BA208))&lt;&gt;0,(N(BA138)+(N(BA139)+N(BA143)+N(BA147)+N(BA148)+N(BA149)))/(N(BA192)+N(BA196)+N(BA198)+N(BA199)+N(BA206)+N(BA207)+N(BA208)),""),"")</f>
        <v>4.06794643283817</v>
      </c>
      <c r="BB335" s="262">
        <f>IFERROR(IF((N(BB192)+N(BB196)+N(BB198)+N(BB199)+N(BB206)+N(BB207)+N(BB208))&lt;&gt;0,(N(BB138)+(N(BB139)+N(BB143)+N(BB147)+N(BB148)+N(BB149)))/(N(BB192)+N(BB196)+N(BB198)+N(BB199)+N(BB206)+N(BB207)+N(BB208)),""),"")</f>
        <v>4.77216632448307</v>
      </c>
      <c r="BC335" s="262">
        <f>IFERROR(IF((N(BC192)+N(BC196)+N(BC198)+N(BC199)+N(BC206)+N(BC207)+N(BC208))&lt;&gt;0,(N(BC138)+(N(BC139)+N(BC143)+N(BC147)+N(BC148)+N(BC149)))/(N(BC192)+N(BC196)+N(BC198)+N(BC199)+N(BC206)+N(BC207)+N(BC208)),""),"")</f>
        <v>5.06951480611962</v>
      </c>
      <c r="BD335" s="262">
        <f>IFERROR(IF((N(BD192)+N(BD196)+N(BD198)+N(BD199)+N(BD206)+N(BD207)+N(BD208))&lt;&gt;0,(N(BD138)+(N(BD139)+N(BD143)+N(BD147)+N(BD148)+N(BD149)))/(N(BD192)+N(BD196)+N(BD198)+N(BD199)+N(BD206)+N(BD207)+N(BD208)),""),"")</f>
        <v>5.2430385196035</v>
      </c>
      <c r="BE335" s="262">
        <f>IFERROR(IF((N(BE192)+N(BE196)+N(BE198)+N(BE199)+N(BE206)+N(BE207)+N(BE208))&lt;&gt;0,(N(BE138)+(N(BE139)+N(BE143)+N(BE147)+N(BE148)+N(BE149)))/(N(BE192)+N(BE196)+N(BE198)+N(BE199)+N(BE206)+N(BE207)+N(BE208)),""),"")</f>
        <v>4.77901538115488</v>
      </c>
      <c r="BF335" s="262">
        <f>IFERROR(IF((N(BF192)+N(BF196)+N(BF198)+N(BF199)+N(BF206)+N(BF207)+N(BF208))&lt;&gt;0,(N(BF138)+(N(BF139)+N(BF143)+N(BF147)+N(BF148)+N(BF149)))/(N(BF192)+N(BF196)+N(BF198)+N(BF199)+N(BF206)+N(BF207)+N(BF208)),""),"")</f>
        <v>4.77901538115488</v>
      </c>
      <c r="BG335" s="82" t="n"/>
      <c r="BH335" s="82" t="n"/>
      <c r="BI335" s="82" t="n"/>
      <c r="BJ335" s="82" t="n"/>
      <c r="BL335" s="82" t="n"/>
      <c r="BM335" s="82" t="n"/>
      <c r="BN335" s="82" t="n"/>
      <c r="BO335" s="82" t="n"/>
      <c r="BQ335" s="82" t="n"/>
      <c r="BR335" s="82" t="n"/>
      <c r="BS335" s="82" t="n"/>
      <c r="BT335" s="82" t="n"/>
      <c r="BV335" s="82" t="n"/>
      <c r="BW335" s="82" t="n"/>
      <c r="BX335" s="82" t="n"/>
      <c r="BY335" s="82" t="n"/>
      <c r="CA335" s="82" t="n"/>
      <c r="CB335" s="82" t="n"/>
      <c r="CC335" s="82" t="n"/>
      <c r="CD335" s="82" t="n"/>
      <c r="CF335" s="82" t="n"/>
      <c r="CG335" s="82" t="n"/>
      <c r="CH335" s="82" t="n"/>
      <c r="CI335" s="82" t="n"/>
      <c r="CK335" s="82" t="n"/>
      <c r="CL335" s="82" t="n"/>
      <c r="CM335" s="82" t="n"/>
      <c r="CN335" s="82" t="n"/>
      <c r="CP335" s="82" t="n"/>
      <c r="CQ335" s="82" t="n"/>
      <c r="CR335" s="82" t="n"/>
      <c r="CS335" s="82" t="n"/>
      <c r="CU335" s="82" t="n"/>
      <c r="CV335" s="82" t="n"/>
      <c r="CW335" s="82" t="n"/>
      <c r="CX335" s="82" t="n"/>
    </row>
    <row r="336" customFormat="1" s="77">
      <c r="A336" s="76" t="n"/>
      <c r="B336" s="76" t="n"/>
      <c r="C336" s="77" t="inlineStr">
        <is>
          <t>CASH RATIO</t>
        </is>
      </c>
      <c r="D336" s="82" t="str">
        <f>IFERROR(SUM(D138)/SUM(D192,D196,D198,D199),"")</f>
        <v/>
      </c>
      <c r="E336" s="82" t="str">
        <f>IFERROR(SUM(E138)/SUM(E192,E196,E198,E199),"")</f>
        <v/>
      </c>
      <c r="F336" s="82" t="str">
        <f>IFERROR(SUM(F138)/SUM(F192,F196,F198,F199),"")</f>
        <v/>
      </c>
      <c r="G336" s="82" t="str">
        <f>IFERROR(SUM(G138)/SUM(G192,G196,G198,G199),"")</f>
        <v/>
      </c>
      <c r="H336" s="262" t="str">
        <f>IFERROR(IF((N(H192)+N(H196)+N(H198)+N(H199)+N(H206)+N(H207)+N(H208))&lt;&gt;0,N(H138)/(N(H192)+N(H196)+N(H198)+N(H199)+N(H206)+N(H207)+N(H208)),""),"")</f>
        <v/>
      </c>
      <c r="I336" s="262">
        <f>IFERROR(IF((N(I192)+N(I196)+N(I198)+N(I199)+N(I206)+N(I207)+N(I208))&lt;&gt;0,N(I138)/(N(I192)+N(I196)+N(I198)+N(I199)+N(I206)+N(I207)+N(I208)),""),"")</f>
        <v>1.92106969967571</v>
      </c>
      <c r="J336" s="262">
        <f>IFERROR(IF((N(J192)+N(J196)+N(J198)+N(J199)+N(J206)+N(J207)+N(J208))&lt;&gt;0,N(J138)/(N(J192)+N(J196)+N(J198)+N(J199)+N(J206)+N(J207)+N(J208)),""),"")</f>
        <v>1.79709337936411</v>
      </c>
      <c r="K336" s="262">
        <f>IFERROR(IF((N(K192)+N(K196)+N(K198)+N(K199)+N(K206)+N(K207)+N(K208))&lt;&gt;0,N(K138)/(N(K192)+N(K196)+N(K198)+N(K199)+N(K206)+N(K207)+N(K208)),""),"")</f>
        <v>1.51828563686933</v>
      </c>
      <c r="L336" s="262">
        <f>IFERROR(IF((N(L192)+N(L196)+N(L198)+N(L199)+N(L206)+N(L207)+N(L208))&lt;&gt;0,N(L138)/(N(L192)+N(L196)+N(L198)+N(L199)+N(L206)+N(L207)+N(L208)),""),"")</f>
        <v>1.37284345480911</v>
      </c>
      <c r="M336" s="262">
        <f>IFERROR(IF((N(M192)+N(M196)+N(M198)+N(M199)+N(M206)+N(M207)+N(M208))&lt;&gt;0,N(M138)/(N(M192)+N(M196)+N(M198)+N(M199)+N(M206)+N(M207)+N(M208)),""),"")</f>
        <v>1.37284345480911</v>
      </c>
      <c r="N336" s="262">
        <f>IFERROR(IF((N(N192)+N(N196)+N(N198)+N(N199)+N(N206)+N(N207)+N(N208))&lt;&gt;0,N(N138)/(N(N192)+N(N196)+N(N198)+N(N199)+N(N206)+N(N207)+N(N208)),""),"")</f>
        <v>1.51151300310569</v>
      </c>
      <c r="O336" s="262">
        <f>IFERROR(IF((N(O192)+N(O196)+N(O198)+N(O199)+N(O206)+N(O207)+N(O208))&lt;&gt;0,N(O138)/(N(O192)+N(O196)+N(O198)+N(O199)+N(O206)+N(O207)+N(O208)),""),"")</f>
        <v>1.38064108783196</v>
      </c>
      <c r="P336" s="262">
        <f>IFERROR(IF((N(P192)+N(P196)+N(P198)+N(P199)+N(P206)+N(P207)+N(P208))&lt;&gt;0,N(P138)/(N(P192)+N(P196)+N(P198)+N(P199)+N(P206)+N(P207)+N(P208)),""),"")</f>
        <v>1.09823875517918</v>
      </c>
      <c r="Q336" s="262">
        <f>IFERROR(IF((N(Q192)+N(Q196)+N(Q198)+N(Q199)+N(Q206)+N(Q207)+N(Q208))&lt;&gt;0,N(Q138)/(N(Q192)+N(Q196)+N(Q198)+N(Q199)+N(Q206)+N(Q207)+N(Q208)),""),"")</f>
        <v>1.20514837638215</v>
      </c>
      <c r="R336" s="262">
        <f>IFERROR(IF((N(R192)+N(R196)+N(R198)+N(R199)+N(R206)+N(R207)+N(R208))&lt;&gt;0,N(R138)/(N(R192)+N(R196)+N(R198)+N(R199)+N(R206)+N(R207)+N(R208)),""),"")</f>
        <v>1.20514837638215</v>
      </c>
      <c r="S336" s="262">
        <f>IFERROR(IF((N(S192)+N(S196)+N(S198)+N(S199)+N(S206)+N(S207)+N(S208))&lt;&gt;0,N(S138)/(N(S192)+N(S196)+N(S198)+N(S199)+N(S206)+N(S207)+N(S208)),""),"")</f>
        <v>1.38524255673537</v>
      </c>
      <c r="T336" s="262">
        <f>IFERROR(IF((N(T192)+N(T196)+N(T198)+N(T199)+N(T206)+N(T207)+N(T208))&lt;&gt;0,N(T138)/(N(T192)+N(T196)+N(T198)+N(T199)+N(T206)+N(T207)+N(T208)),""),"")</f>
        <v>1.33273849059322</v>
      </c>
      <c r="U336" s="262">
        <f>IFERROR(IF((N(U192)+N(U196)+N(U198)+N(U199)+N(U206)+N(U207)+N(U208))&lt;&gt;0,N(U138)/(N(U192)+N(U196)+N(U198)+N(U199)+N(U206)+N(U207)+N(U208)),""),"")</f>
        <v>1.1155545462053</v>
      </c>
      <c r="V336" s="262">
        <f>IFERROR(IF((N(V192)+N(V196)+N(V198)+N(V199)+N(V206)+N(V207)+N(V208))&lt;&gt;0,N(V138)/(N(V192)+N(V196)+N(V198)+N(V199)+N(V206)+N(V207)+N(V208)),""),"")</f>
        <v>1.28813268345114</v>
      </c>
      <c r="W336" s="262">
        <f>IFERROR(IF((N(W192)+N(W196)+N(W198)+N(W199)+N(W206)+N(W207)+N(W208))&lt;&gt;0,N(W138)/(N(W192)+N(W196)+N(W198)+N(W199)+N(W206)+N(W207)+N(W208)),""),"")</f>
        <v>1.28813268345114</v>
      </c>
      <c r="X336" s="262">
        <f>IFERROR(IF((N(X192)+N(X196)+N(X198)+N(X199)+N(X206)+N(X207)+N(X208))&lt;&gt;0,N(X138)/(N(X192)+N(X196)+N(X198)+N(X199)+N(X206)+N(X207)+N(X208)),""),"")</f>
        <v>1.31105134790263</v>
      </c>
      <c r="Y336" s="262">
        <f>IFERROR(IF((N(Y192)+N(Y196)+N(Y198)+N(Y199)+N(Y206)+N(Y207)+N(Y208))&lt;&gt;0,N(Y138)/(N(Y192)+N(Y196)+N(Y198)+N(Y199)+N(Y206)+N(Y207)+N(Y208)),""),"")</f>
        <v>1.16271348690208</v>
      </c>
      <c r="Z336" s="262">
        <f>IFERROR(IF((N(Z192)+N(Z196)+N(Z198)+N(Z199)+N(Z206)+N(Z207)+N(Z208))&lt;&gt;0,N(Z138)/(N(Z192)+N(Z196)+N(Z198)+N(Z199)+N(Z206)+N(Z207)+N(Z208)),""),"")</f>
        <v>0.888078824436482</v>
      </c>
      <c r="AA336" s="262">
        <f>IFERROR(IF((N(AA192)+N(AA196)+N(AA198)+N(AA199)+N(AA206)+N(AA207)+N(AA208))&lt;&gt;0,N(AA138)/(N(AA192)+N(AA196)+N(AA198)+N(AA199)+N(AA206)+N(AA207)+N(AA208)),""),"")</f>
        <v>0.979240120527829</v>
      </c>
      <c r="AB336" s="262">
        <f>IFERROR(IF((N(AB192)+N(AB196)+N(AB198)+N(AB199)+N(AB206)+N(AB207)+N(AB208))&lt;&gt;0,N(AB138)/(N(AB192)+N(AB196)+N(AB198)+N(AB199)+N(AB206)+N(AB207)+N(AB208)),""),"")</f>
        <v>0.979240120527829</v>
      </c>
      <c r="AC336" s="262">
        <f>IFERROR(IF((N(AC192)+N(AC196)+N(AC198)+N(AC199)+N(AC206)+N(AC207)+N(AC208))&lt;&gt;0,N(AC138)/(N(AC192)+N(AC196)+N(AC198)+N(AC199)+N(AC206)+N(AC207)+N(AC208)),""),"")</f>
        <v>0.919423674180852</v>
      </c>
      <c r="AD336" s="262">
        <f>IFERROR(IF((N(AD192)+N(AD196)+N(AD198)+N(AD199)+N(AD206)+N(AD207)+N(AD208))&lt;&gt;0,N(AD138)/(N(AD192)+N(AD196)+N(AD198)+N(AD199)+N(AD206)+N(AD207)+N(AD208)),""),"")</f>
        <v>0.942361111111111</v>
      </c>
      <c r="AE336" s="262">
        <f>IFERROR(IF((N(AE192)+N(AE196)+N(AE198)+N(AE199)+N(AE206)+N(AE207)+N(AE208))&lt;&gt;0,N(AE138)/(N(AE192)+N(AE196)+N(AE198)+N(AE199)+N(AE206)+N(AE207)+N(AE208)),""),"")</f>
        <v>0.799488018547253</v>
      </c>
      <c r="AF336" s="262">
        <f>IFERROR(IF((N(AF192)+N(AF196)+N(AF198)+N(AF199)+N(AF206)+N(AF207)+N(AF208))&lt;&gt;0,N(AF138)/(N(AF192)+N(AF196)+N(AF198)+N(AF199)+N(AF206)+N(AF207)+N(AF208)),""),"")</f>
        <v>0.89177603823437</v>
      </c>
      <c r="AG336" s="262">
        <f>IFERROR(IF((N(AG192)+N(AG196)+N(AG198)+N(AG199)+N(AG206)+N(AG207)+N(AG208))&lt;&gt;0,N(AG138)/(N(AG192)+N(AG196)+N(AG198)+N(AG199)+N(AG206)+N(AG207)+N(AG208)),""),"")</f>
        <v>0.89177603823437</v>
      </c>
      <c r="AH336" s="262">
        <f>IFERROR(IF((N(AH192)+N(AH196)+N(AH198)+N(AH199)+N(AH206)+N(AH207)+N(AH208))&lt;&gt;0,N(AH138)/(N(AH192)+N(AH196)+N(AH198)+N(AH199)+N(AH206)+N(AH207)+N(AH208)),""),"")</f>
        <v>1.088784248483</v>
      </c>
      <c r="AI336" s="262">
        <f>IFERROR(IF((N(AI192)+N(AI196)+N(AI198)+N(AI199)+N(AI206)+N(AI207)+N(AI208))&lt;&gt;0,N(AI138)/(N(AI192)+N(AI196)+N(AI198)+N(AI199)+N(AI206)+N(AI207)+N(AI208)),""),"")</f>
        <v>0.981188808378983</v>
      </c>
      <c r="AJ336" s="262">
        <f>IFERROR(IF((N(AJ192)+N(AJ196)+N(AJ198)+N(AJ199)+N(AJ206)+N(AJ207)+N(AJ208))&lt;&gt;0,N(AJ138)/(N(AJ192)+N(AJ196)+N(AJ198)+N(AJ199)+N(AJ206)+N(AJ207)+N(AJ208)),""),"")</f>
        <v>1.19014078558502</v>
      </c>
      <c r="AK336" s="262">
        <f>IFERROR(IF((N(AK192)+N(AK196)+N(AK198)+N(AK199)+N(AK206)+N(AK207)+N(AK208))&lt;&gt;0,N(AK138)/(N(AK192)+N(AK196)+N(AK198)+N(AK199)+N(AK206)+N(AK207)+N(AK208)),""),"")</f>
        <v>1.30682842945888</v>
      </c>
      <c r="AL336" s="262">
        <f>IFERROR(IF((N(AL192)+N(AL196)+N(AL198)+N(AL199)+N(AL206)+N(AL207)+N(AL208))&lt;&gt;0,N(AL138)/(N(AL192)+N(AL196)+N(AL198)+N(AL199)+N(AL206)+N(AL207)+N(AL208)),""),"")</f>
        <v>1.30682842945888</v>
      </c>
      <c r="AM336" s="262">
        <f>IFERROR(IF((N(AM192)+N(AM196)+N(AM198)+N(AM199)+N(AM206)+N(AM207)+N(AM208))&lt;&gt;0,N(AM138)/(N(AM192)+N(AM196)+N(AM198)+N(AM199)+N(AM206)+N(AM207)+N(AM208)),""),"")</f>
        <v>1.62970176024486</v>
      </c>
      <c r="AN336" s="262">
        <f>IFERROR(IF((N(AN192)+N(AN196)+N(AN198)+N(AN199)+N(AN206)+N(AN207)+N(AN208))&lt;&gt;0,N(AN138)/(N(AN192)+N(AN196)+N(AN198)+N(AN199)+N(AN206)+N(AN207)+N(AN208)),""),"")</f>
        <v>1.85264938938561</v>
      </c>
      <c r="AO336" s="262">
        <f>IFERROR(IF((N(AO192)+N(AO196)+N(AO198)+N(AO199)+N(AO206)+N(AO207)+N(AO208))&lt;&gt;0,N(AO138)/(N(AO192)+N(AO196)+N(AO198)+N(AO199)+N(AO206)+N(AO207)+N(AO208)),""),"")</f>
        <v>2.0423031813297</v>
      </c>
      <c r="AP336" s="262">
        <f>IFERROR(IF((N(AP192)+N(AP196)+N(AP198)+N(AP199)+N(AP206)+N(AP207)+N(AP208))&lt;&gt;0,N(AP138)/(N(AP192)+N(AP196)+N(AP198)+N(AP199)+N(AP206)+N(AP207)+N(AP208)),""),"")</f>
        <v>2.03268209683279</v>
      </c>
      <c r="AQ336" s="262">
        <f>IFERROR(IF((N(AQ192)+N(AQ196)+N(AQ198)+N(AQ199)+N(AQ206)+N(AQ207)+N(AQ208))&lt;&gt;0,N(AQ138)/(N(AQ192)+N(AQ196)+N(AQ198)+N(AQ199)+N(AQ206)+N(AQ207)+N(AQ208)),""),"")</f>
        <v>2.03268209683279</v>
      </c>
      <c r="AR336" s="262">
        <f>IFERROR(IF((N(AR192)+N(AR196)+N(AR198)+N(AR199)+N(AR206)+N(AR207)+N(AR208))&lt;&gt;0,N(AR138)/(N(AR192)+N(AR196)+N(AR198)+N(AR199)+N(AR206)+N(AR207)+N(AR208)),""),"")</f>
        <v>2.48314822431512</v>
      </c>
      <c r="AS336" s="262">
        <f>IFERROR(IF((N(AS192)+N(AS196)+N(AS198)+N(AS199)+N(AS206)+N(AS207)+N(AS208))&lt;&gt;0,N(AS138)/(N(AS192)+N(AS196)+N(AS198)+N(AS199)+N(AS206)+N(AS207)+N(AS208)),""),"")</f>
        <v>2.71910594301621</v>
      </c>
      <c r="AT336" s="262">
        <f>IFERROR(IF((N(AT192)+N(AT196)+N(AT198)+N(AT199)+N(AT206)+N(AT207)+N(AT208))&lt;&gt;0,N(AT138)/(N(AT192)+N(AT196)+N(AT198)+N(AT199)+N(AT206)+N(AT207)+N(AT208)),""),"")</f>
        <v>2.90518785357994</v>
      </c>
      <c r="AU336" s="262">
        <f>IFERROR(IF((N(AU192)+N(AU196)+N(AU198)+N(AU199)+N(AU206)+N(AU207)+N(AU208))&lt;&gt;0,N(AU138)/(N(AU192)+N(AU196)+N(AU198)+N(AU199)+N(AU206)+N(AU207)+N(AU208)),""),"")</f>
        <v>2.7541789195157</v>
      </c>
      <c r="AV336" s="262">
        <f>IFERROR(IF((N(AV192)+N(AV196)+N(AV198)+N(AV199)+N(AV206)+N(AV207)+N(AV208))&lt;&gt;0,N(AV138)/(N(AV192)+N(AV196)+N(AV198)+N(AV199)+N(AV206)+N(AV207)+N(AV208)),""),"")</f>
        <v>2.7541789195157</v>
      </c>
      <c r="AW336" s="262">
        <f>IFERROR(IF((N(AW192)+N(AW196)+N(AW198)+N(AW199)+N(AW206)+N(AW207)+N(AW208))&lt;&gt;0,N(AW138)/(N(AW192)+N(AW196)+N(AW198)+N(AW199)+N(AW206)+N(AW207)+N(AW208)),""),"")</f>
        <v>3.32300511568944</v>
      </c>
      <c r="AX336" s="262">
        <f>IFERROR(IF((N(AX192)+N(AX196)+N(AX198)+N(AX199)+N(AX206)+N(AX207)+N(AX208))&lt;&gt;0,N(AX138)/(N(AX192)+N(AX196)+N(AX198)+N(AX199)+N(AX206)+N(AX207)+N(AX208)),""),"")</f>
        <v>3.59535764561338</v>
      </c>
      <c r="AY336" s="262">
        <f>IFERROR(IF((N(AY192)+N(AY196)+N(AY198)+N(AY199)+N(AY206)+N(AY207)+N(AY208))&lt;&gt;0,N(AY138)/(N(AY192)+N(AY196)+N(AY198)+N(AY199)+N(AY206)+N(AY207)+N(AY208)),""),"")</f>
        <v>3.77569863101454</v>
      </c>
      <c r="AZ336" s="262">
        <f>IFERROR(IF((N(AZ192)+N(AZ196)+N(AZ198)+N(AZ199)+N(AZ206)+N(AZ207)+N(AZ208))&lt;&gt;0,N(AZ138)/(N(AZ192)+N(AZ196)+N(AZ198)+N(AZ199)+N(AZ206)+N(AZ207)+N(AZ208)),""),"")</f>
        <v>3.46957541909418</v>
      </c>
      <c r="BA336" s="262">
        <f>IFERROR(IF((N(BA192)+N(BA196)+N(BA198)+N(BA199)+N(BA206)+N(BA207)+N(BA208))&lt;&gt;0,N(BA138)/(N(BA192)+N(BA196)+N(BA198)+N(BA199)+N(BA206)+N(BA207)+N(BA208)),""),"")</f>
        <v>3.46957541909418</v>
      </c>
      <c r="BB336" s="262">
        <f>IFERROR(IF((N(BB192)+N(BB196)+N(BB198)+N(BB199)+N(BB206)+N(BB207)+N(BB208))&lt;&gt;0,N(BB138)/(N(BB192)+N(BB196)+N(BB198)+N(BB199)+N(BB206)+N(BB207)+N(BB208)),""),"")</f>
        <v>4.18084345827912</v>
      </c>
      <c r="BC336" s="262">
        <f>IFERROR(IF((N(BC192)+N(BC196)+N(BC198)+N(BC199)+N(BC206)+N(BC207)+N(BC208))&lt;&gt;0,N(BC138)/(N(BC192)+N(BC196)+N(BC198)+N(BC199)+N(BC206)+N(BC207)+N(BC208)),""),"")</f>
        <v>4.47897069204757</v>
      </c>
      <c r="BD336" s="262">
        <f>IFERROR(IF((N(BD192)+N(BD196)+N(BD198)+N(BD199)+N(BD206)+N(BD207)+N(BD208))&lt;&gt;0,N(BD138)/(N(BD192)+N(BD196)+N(BD198)+N(BD199)+N(BD206)+N(BD207)+N(BD208)),""),"")</f>
        <v>4.65146931996421</v>
      </c>
      <c r="BE336" s="262">
        <f>IFERROR(IF((N(BE192)+N(BE196)+N(BE198)+N(BE199)+N(BE206)+N(BE207)+N(BE208))&lt;&gt;0,N(BE138)/(N(BE192)+N(BE196)+N(BE198)+N(BE199)+N(BE206)+N(BE207)+N(BE208)),""),"")</f>
        <v>4.17792235900225</v>
      </c>
      <c r="BF336" s="262">
        <f>IFERROR(IF((N(BF192)+N(BF196)+N(BF198)+N(BF199)+N(BF206)+N(BF207)+N(BF208))&lt;&gt;0,N(BF138)/(N(BF192)+N(BF196)+N(BF198)+N(BF199)+N(BF206)+N(BF207)+N(BF208)),""),"")</f>
        <v>4.17792235900225</v>
      </c>
      <c r="BG336" s="82" t="n"/>
      <c r="BH336" s="82" t="n"/>
      <c r="BI336" s="82" t="n"/>
      <c r="BJ336" s="82" t="n"/>
      <c r="BL336" s="82" t="n"/>
      <c r="BM336" s="82" t="n"/>
      <c r="BN336" s="82" t="n"/>
      <c r="BO336" s="82" t="n"/>
      <c r="BQ336" s="82" t="n"/>
      <c r="BR336" s="82" t="n"/>
      <c r="BS336" s="82" t="n"/>
      <c r="BT336" s="82" t="n"/>
      <c r="BV336" s="82" t="n"/>
      <c r="BW336" s="82" t="n"/>
      <c r="BX336" s="82" t="n"/>
      <c r="BY336" s="82" t="n"/>
      <c r="CA336" s="82" t="n"/>
      <c r="CB336" s="82" t="n"/>
      <c r="CC336" s="82" t="n"/>
      <c r="CD336" s="82" t="n"/>
      <c r="CF336" s="82" t="n"/>
      <c r="CG336" s="82" t="n"/>
      <c r="CH336" s="82" t="n"/>
      <c r="CI336" s="82" t="n"/>
      <c r="CK336" s="82" t="n"/>
      <c r="CL336" s="82" t="n"/>
      <c r="CM336" s="82" t="n"/>
      <c r="CN336" s="82" t="n"/>
      <c r="CP336" s="82" t="n"/>
      <c r="CQ336" s="82" t="n"/>
      <c r="CR336" s="82" t="n"/>
      <c r="CS336" s="82" t="n"/>
      <c r="CU336" s="82" t="n"/>
      <c r="CV336" s="82" t="n"/>
      <c r="CW336" s="82" t="n"/>
      <c r="CX336" s="82" t="n"/>
    </row>
    <row r="337" customFormat="1" s="77">
      <c r="A337" s="76" t="n"/>
      <c r="B337" s="76" t="n"/>
    </row>
    <row r="338" customFormat="1" s="77">
      <c r="A338" s="76" t="n"/>
      <c r="B338" s="76" t="n"/>
      <c r="C338" s="74" t="inlineStr">
        <is>
          <t>OPERATING EFFICIENCY</t>
        </is>
      </c>
    </row>
    <row r="339" customFormat="1" s="84">
      <c r="A339" s="81" t="n"/>
      <c r="B339" s="81" t="n"/>
      <c r="C339" s="84" t="inlineStr">
        <is>
          <t>RETURN ON CAPITAL (ROIC) - LTM</t>
        </is>
      </c>
      <c r="D339" t="str">
        <f>IFERROR(D341/D344,"")</f>
        <v/>
      </c>
      <c r="E339" t="str">
        <f>IFERROR(E341/E344,"")</f>
        <v/>
      </c>
      <c r="F339" t="str">
        <f>IFERROR(F341/F344,"")</f>
        <v/>
      </c>
      <c r="G339" t="str">
        <f>IFERROR(G341/G344,"")</f>
        <v/>
      </c>
      <c r="H339" s="257" t="str">
        <f>IFERROR(IF(AND(COUNT(H341)=1,N(H344)&lt;&gt;0),(H341)/H344,""),"")</f>
        <v/>
      </c>
      <c r="I339" s="257" t="str">
        <f>""</f>
        <v/>
      </c>
      <c r="J339" s="257" t="str">
        <f>""</f>
        <v/>
      </c>
      <c r="K339" s="257" t="str">
        <f>""</f>
        <v/>
      </c>
      <c r="L339" s="257">
        <f>IFERROR(IF(AND(COUNT(I341,J341,K341,L341)=4,N(L344)&lt;&gt;0),(I341+J341+K341+L341)/L344,""),"")</f>
        <v>-12.788281266623</v>
      </c>
      <c r="M339" s="257">
        <f>IFERROR(IF(AND(COUNT(I341,J341,K341,L341)=4,N(M344)&lt;&gt;0),(I341+J341+K341+L341)/M344,""),"")</f>
        <v>-12.788281266623</v>
      </c>
      <c r="N339" s="257">
        <f>IFERROR(IF(AND(COUNT(J341,K341,L341,N341)=4,N(N344)&lt;&gt;0),(J341+K341+L341+N341)/N344,""),"")</f>
        <v>-19.1155880948721</v>
      </c>
      <c r="O339" s="257">
        <f>IFERROR(IF(AND(COUNT(K341,L341,N341,O341)=4,N(O344)&lt;&gt;0),(K341+L341+N341+O341)/O344,""),"")</f>
        <v>-66.3520857548867</v>
      </c>
      <c r="P339" s="257">
        <f>IFERROR(IF(AND(COUNT(L341,N341,O341,P341)=4,N(P344)&lt;&gt;0),(L341+N341+O341+P341)/P344,""),"")</f>
        <v>61.3267343866851</v>
      </c>
      <c r="Q339" s="257">
        <f>IFERROR(IF(AND(COUNT(N341,O341,P341,Q341)=4,N(Q344)&lt;&gt;0),(N341+O341+P341+Q341)/Q344,""),"")</f>
        <v>40.0405399703004</v>
      </c>
      <c r="R339" s="257">
        <f>IFERROR(IF(AND(COUNT(N341,O341,P341,Q341)=4,N(R344)&lt;&gt;0),(N341+O341+P341+Q341)/R344,""),"")</f>
        <v>40.0405399703004</v>
      </c>
      <c r="S339" s="257">
        <f>IFERROR(IF(AND(COUNT(O341,P341,Q341,S341)=4,N(S344)&lt;&gt;0),(O341+P341+Q341+S341)/S344,""),"")</f>
        <v>17.427400882619</v>
      </c>
      <c r="T339" s="257">
        <f>IFERROR(IF(AND(COUNT(P341,Q341,S341,T341)=4,N(T344)&lt;&gt;0),(P341+Q341+S341+T341)/T344,""),"")</f>
        <v>31.7062059126866</v>
      </c>
      <c r="U339" s="257">
        <f>IFERROR(IF(AND(COUNT(Q341,S341,T341,U341)=4,N(U344)&lt;&gt;0),(Q341+S341+T341+U341)/U344,""),"")</f>
        <v>8.75424877160458</v>
      </c>
      <c r="V339" s="257">
        <f>IFERROR(IF(AND(COUNT(S341,T341,U341,V341)=4,N(V344)&lt;&gt;0),(S341+T341+U341+V341)/V344,""),"")</f>
        <v>10.5705877250258</v>
      </c>
      <c r="W339" s="257">
        <f>IFERROR(IF(AND(COUNT(S341,T341,U341,V341)=4,N(W344)&lt;&gt;0),(S341+T341+U341+V341)/W344,""),"")</f>
        <v>10.5705877250258</v>
      </c>
      <c r="X339" s="257">
        <f>IFERROR(IF(AND(COUNT(T341,U341,V341,X341)=4,N(X344)&lt;&gt;0),(T341+U341+V341+X341)/X344,""),"")</f>
        <v>6.11084406414451</v>
      </c>
      <c r="Y339" s="257">
        <f>IFERROR(IF(AND(COUNT(U341,V341,X341,Y341)=4,N(Y344)&lt;&gt;0),(U341+V341+X341+Y341)/Y344,""),"")</f>
        <v>6.79452503067631</v>
      </c>
      <c r="Z339" s="257">
        <f>IFERROR(IF(AND(COUNT(V341,X341,Y341,Z341)=4,N(Z344)&lt;&gt;0),(V341+X341+Y341+Z341)/Z344,""),"")</f>
        <v>13.4963251235129</v>
      </c>
      <c r="AA339" s="257">
        <f>IFERROR(IF(AND(COUNT(X341,Y341,Z341,AA341)=4,N(AA344)&lt;&gt;0),(X341+Y341+Z341+AA341)/AA344,""),"")</f>
        <v>4.33095495225937</v>
      </c>
      <c r="AB339" s="257">
        <f>IFERROR(IF(AND(COUNT(X341,Y341,Z341,AA341)=4,N(AB344)&lt;&gt;0),(X341+Y341+Z341+AA341)/AB344,""),"")</f>
        <v>4.33095495225937</v>
      </c>
      <c r="AC339" s="257">
        <f>IFERROR(IF(AND(COUNT(Y341,Z341,AA341,AC341)=4,N(AC344)&lt;&gt;0),(Y341+Z341+AA341+AC341)/AC344,""),"")</f>
        <v>3.04468301698144</v>
      </c>
      <c r="AD339" s="257">
        <f>IFERROR(IF(AND(COUNT(Z341,AA341,AC341,AD341)=4,N(AD344)&lt;&gt;0),(Z341+AA341+AC341+AD341)/AD344,""),"")</f>
        <v>2.89100104416681</v>
      </c>
      <c r="AE339" s="257">
        <f>IFERROR(IF(AND(COUNT(AA341,AC341,AD341,AE341)=4,N(AE344)&lt;&gt;0),(AA341+AC341+AD341+AE341)/AE344,""),"")</f>
        <v>2.80922593850161</v>
      </c>
      <c r="AF339" s="257">
        <f>IFERROR(IF(AND(COUNT(AB341,AD341,AE341,AF341)=4,N(AF344)&lt;&gt;0),(AB341+AD341+AE341+AF341)/AF344,""),"")</f>
        <v>5.56855251385318</v>
      </c>
      <c r="AG339" s="257">
        <f>IFERROR(IF(AND(COUNT(AC341,AD341,AE341,AF341)=4,N(AG344)&lt;&gt;0),(AC341+AD341+AE341+AF341)/AG344,""),"")</f>
        <v>3.47204969483922</v>
      </c>
      <c r="AH339" s="257">
        <f>IFERROR(IF(AND(COUNT(AD341,AF341,AG341,AH341)=4,N(AH344)&lt;&gt;0),(AD341+AF341+AG341+AH341)/AH344,""),"")</f>
        <v>4.77243075308827</v>
      </c>
      <c r="AI339" s="257">
        <f>IFERROR(IF(AND(COUNT(AE341,AG341,AH341,AI341)=4,N(AI344)&lt;&gt;0),(AE341+AG341+AH341+AI341)/AI344,""),"")</f>
        <v>4.4943036886463</v>
      </c>
      <c r="AJ339" s="257">
        <f>IFERROR(IF(AND(COUNT(AF341,AH341,AI341,AJ341)=4,N(AJ344)&lt;&gt;0),(AF341+AH341+AI341+AJ341)/AJ344,""),"")</f>
        <v>2.88545907208982</v>
      </c>
      <c r="AK339" s="257">
        <f>IFERROR(IF(AND(COUNT(AH341,AI341,AJ341,AK341)=4,N(AK344)&lt;&gt;0),(AH341+AI341+AJ341+AK341)/AK344,""),"")</f>
        <v>3.51617474891921</v>
      </c>
      <c r="AL339" s="257">
        <f>IFERROR(IF(AND(COUNT(AH341,AI341,AJ341,AK341)=4,N(AL344)&lt;&gt;0),(AH341+AI341+AJ341+AK341)/AL344,""),"")</f>
        <v>3.51617474891921</v>
      </c>
      <c r="AM339" s="257">
        <f>IFERROR(IF(AND(COUNT(AI341,AJ341,AK341,AM341)=4,N(AM344)&lt;&gt;0),(AI341+AJ341+AK341+AM341)/AM344,""),"")</f>
        <v>3.00482763255819</v>
      </c>
      <c r="AN339" s="257">
        <f>IFERROR(IF(AND(COUNT(AJ341,AK341,AM341,AN341)=4,N(AN344)&lt;&gt;0),(AJ341+AK341+AM341+AN341)/AN344,""),"")</f>
        <v>2.97358264736905</v>
      </c>
      <c r="AO339" s="257">
        <f>IFERROR(IF(AND(COUNT(AK341,AM341,AN341,AO341)=4,N(AO344)&lt;&gt;0),(AK341+AM341+AN341+AO341)/AO344,""),"")</f>
        <v>3.04374579069545</v>
      </c>
      <c r="AP339" s="257">
        <f>IFERROR(IF(AND(COUNT(AM341,AN341,AO341,AP341)=4,N(AP344)&lt;&gt;0),(AM341+AN341+AO341+AP341)/AP344,""),"")</f>
        <v>3.87847399683552</v>
      </c>
      <c r="AQ339" s="257">
        <f>IFERROR(IF(AND(COUNT(AM341,AN341,AO341,AP341)=4,N(AQ344)&lt;&gt;0),(AM341+AN341+AO341+AP341)/AQ344,""),"")</f>
        <v>3.87847399683552</v>
      </c>
      <c r="AR339" s="257">
        <f>IFERROR(IF(AND(COUNT(AN341,AO341,AP341,AR341)=4,N(AR344)&lt;&gt;0),(AN341+AO341+AP341+AR341)/AR344,""),"")</f>
        <v>3.22228011474101</v>
      </c>
      <c r="AS339" s="257">
        <f>IFERROR(IF(AND(COUNT(AO341,AP341,AR341,AS341)=4,N(AS344)&lt;&gt;0),(AO341+AP341+AR341+AS341)/AS344,""),"")</f>
        <v>3.19918820886238</v>
      </c>
      <c r="AT339" s="257">
        <f>IFERROR(IF(AND(COUNT(AP341,AR341,AS341,AT341)=4,N(AT344)&lt;&gt;0),(AP341+AR341+AS341+AT341)/AT344,""),"")</f>
        <v>3.27076367985983</v>
      </c>
      <c r="AU339" s="257">
        <f>IFERROR(IF(AND(COUNT(AR341,AS341,AT341,AU341)=4,N(AU344)&lt;&gt;0),(AR341+AS341+AT341+AU341)/AU344,""),"")</f>
        <v>4.23348016607796</v>
      </c>
      <c r="AV339" s="257">
        <f>IFERROR(IF(AND(COUNT(AR341,AS341,AT341,AU341)=4,N(AV344)&lt;&gt;0),(AR341+AS341+AT341+AU341)/AV344,""),"")</f>
        <v>4.23348016607796</v>
      </c>
      <c r="AW339" s="257">
        <f>IFERROR(IF(AND(COUNT(AS341,AT341,AU341,AW341)=4,N(AW344)&lt;&gt;0),(AS341+AT341+AU341+AW341)/AW344,""),"")</f>
        <v>3.46809521909977</v>
      </c>
      <c r="AX339" s="257">
        <f>IFERROR(IF(AND(COUNT(AT341,AU341,AW341,AX341)=4,N(AX344)&lt;&gt;0),(AT341+AU341+AW341+AX341)/AX344,""),"")</f>
        <v>3.40897646083802</v>
      </c>
      <c r="AY339" s="257">
        <f>IFERROR(IF(AND(COUNT(AU341,AW341,AX341,AY341)=4,N(AY344)&lt;&gt;0),(AU341+AW341+AX341+AY341)/AY344,""),"")</f>
        <v>3.48111194040649</v>
      </c>
      <c r="AZ339" s="257">
        <f>IFERROR(IF(AND(COUNT(AW341,AX341,AY341,AZ341)=4,N(AZ344)&lt;&gt;0),(AW341+AX341+AY341+AZ341)/AZ344,""),"")</f>
        <v>4.57191727083699</v>
      </c>
      <c r="BA339" s="257">
        <f>IFERROR(IF(AND(COUNT(AW341,AX341,AY341,AZ341)=4,N(BA344)&lt;&gt;0),(AW341+AX341+AY341+AZ341)/BA344,""),"")</f>
        <v>4.57191727083699</v>
      </c>
      <c r="BB339" s="257">
        <f>IFERROR(IF(AND(COUNT(AX341,AY341,AZ341,BB341)=4,N(BB344)&lt;&gt;0),(AX341+AY341+AZ341+BB341)/BB344,""),"")</f>
        <v>3.6715273068175</v>
      </c>
      <c r="BC339" s="257">
        <f>IFERROR(IF(AND(COUNT(AY341,AZ341,BB341,BC341)=4,N(BC344)&lt;&gt;0),(AY341+AZ341+BB341+BC341)/BC344,""),"")</f>
        <v>3.59740256918824</v>
      </c>
      <c r="BD339" s="257">
        <f>IFERROR(IF(AND(COUNT(AZ341,BB341,BC341,BD341)=4,N(BD344)&lt;&gt;0),(AZ341+BB341+BC341+BD341)/BD344,""),"")</f>
        <v>3.66921458098023</v>
      </c>
      <c r="BE339" s="257">
        <f>IFERROR(IF(AND(COUNT(BB341,BC341,BD341,BE341)=4,N(BE344)&lt;&gt;0),(BB341+BC341+BD341+BE341)/BE344,""),"")</f>
        <v>4.8821150508053</v>
      </c>
      <c r="BF339" s="257">
        <f>IFERROR(IF(AND(COUNT(BB341,BC341,BD341,BE341)=4,N(BF344)&lt;&gt;0),(BB341+BC341+BD341+BE341)/BF344,""),"")</f>
        <v>4.8821150508053</v>
      </c>
      <c r="BG339" s="81" t="n"/>
      <c r="BH339" s="81" t="n"/>
      <c r="BI339" s="81" t="n"/>
      <c r="BJ339" s="81" t="n"/>
      <c r="BL339" s="81" t="n"/>
      <c r="BM339" s="81" t="n"/>
      <c r="BN339" s="81" t="n"/>
      <c r="BO339" s="81" t="n"/>
      <c r="BQ339" s="81" t="n"/>
      <c r="BR339" s="81" t="n"/>
      <c r="BS339" s="81" t="n"/>
      <c r="BT339" s="81" t="n"/>
      <c r="BV339" s="81" t="n"/>
      <c r="BW339" s="81" t="n"/>
      <c r="BX339" s="81" t="n"/>
      <c r="BY339" s="81" t="n"/>
      <c r="CA339" s="81" t="n"/>
      <c r="CB339" s="81" t="n"/>
      <c r="CC339" s="81" t="n"/>
      <c r="CD339" s="81" t="n"/>
      <c r="CF339" s="81" t="n"/>
      <c r="CG339" s="81" t="n"/>
      <c r="CH339" s="81" t="n"/>
      <c r="CI339" s="81" t="n"/>
      <c r="CK339" s="81" t="n"/>
      <c r="CL339" s="81" t="n"/>
      <c r="CM339" s="81" t="n"/>
      <c r="CN339" s="81" t="n"/>
      <c r="CP339" s="81" t="n"/>
      <c r="CQ339" s="81" t="n"/>
      <c r="CR339" s="81" t="n"/>
      <c r="CS339" s="81" t="n"/>
      <c r="CU339" s="81" t="n"/>
      <c r="CV339" s="81" t="n"/>
      <c r="CW339" s="81" t="n"/>
      <c r="CX339" s="81" t="n"/>
    </row>
    <row r="340" customFormat="1" s="84">
      <c r="A340" s="81" t="n"/>
      <c r="B340" s="81" t="n"/>
      <c r="C340" s="84" t="inlineStr">
        <is>
          <t>RETURN ON CAPITAL (ROIC) - EX GOODWILL - LTM</t>
        </is>
      </c>
      <c r="D340" t="str">
        <f>IFERROR(D341/D345,"")</f>
        <v/>
      </c>
      <c r="E340" t="str">
        <f>IFERROR(E341/E345,"")</f>
        <v/>
      </c>
      <c r="F340" t="str">
        <f>IFERROR(F341/F345,"")</f>
        <v/>
      </c>
      <c r="G340" t="str">
        <f>IFERROR(G341/G345,"")</f>
        <v/>
      </c>
      <c r="H340" s="257" t="str">
        <f>IFERROR(IF(AND(COUNT(H341)=1,N(H345)&lt;&gt;0),(H341)/H345,""),"")</f>
        <v/>
      </c>
      <c r="I340" s="257" t="str">
        <f>""</f>
        <v/>
      </c>
      <c r="J340" s="257" t="str">
        <f>""</f>
        <v/>
      </c>
      <c r="K340" s="257" t="str">
        <f>""</f>
        <v/>
      </c>
      <c r="L340" s="257">
        <f>IFERROR(IF(AND(COUNT(I341,J341,K341,L341)=4,N(L345)&lt;&gt;0),(I341+J341+K341+L341)/L345,""),"")</f>
        <v>-12.788281266623</v>
      </c>
      <c r="M340" s="257">
        <f>IFERROR(IF(AND(COUNT(I341,J341,K341,L341)=4,N(M345)&lt;&gt;0),(I341+J341+K341+L341)/M345,""),"")</f>
        <v>-12.788281266623</v>
      </c>
      <c r="N340" s="257">
        <f>IFERROR(IF(AND(COUNT(J341,K341,L341,N341)=4,N(N345)&lt;&gt;0),(J341+K341+L341+N341)/N345,""),"")</f>
        <v>-19.1155880948721</v>
      </c>
      <c r="O340" s="257">
        <f>IFERROR(IF(AND(COUNT(K341,L341,N341,O341)=4,N(O345)&lt;&gt;0),(K341+L341+N341+O341)/O345,""),"")</f>
        <v>-66.3520857548867</v>
      </c>
      <c r="P340" s="257">
        <f>IFERROR(IF(AND(COUNT(L341,N341,O341,P341)=4,N(P345)&lt;&gt;0),(L341+N341+O341+P341)/P345,""),"")</f>
        <v>61.3267343866851</v>
      </c>
      <c r="Q340" s="257">
        <f>IFERROR(IF(AND(COUNT(N341,O341,P341,Q341)=4,N(Q345)&lt;&gt;0),(N341+O341+P341+Q341)/Q345,""),"")</f>
        <v>40.0405399703004</v>
      </c>
      <c r="R340" s="257">
        <f>IFERROR(IF(AND(COUNT(N341,O341,P341,Q341)=4,N(R345)&lt;&gt;0),(N341+O341+P341+Q341)/R345,""),"")</f>
        <v>40.0405399703004</v>
      </c>
      <c r="S340" s="257">
        <f>IFERROR(IF(AND(COUNT(O341,P341,Q341,S341)=4,N(S345)&lt;&gt;0),(O341+P341+Q341+S341)/S345,""),"")</f>
        <v>17.427400882619</v>
      </c>
      <c r="T340" s="257">
        <f>IFERROR(IF(AND(COUNT(P341,Q341,S341,T341)=4,N(T345)&lt;&gt;0),(P341+Q341+S341+T341)/T345,""),"")</f>
        <v>31.7062059126866</v>
      </c>
      <c r="U340" s="257">
        <f>IFERROR(IF(AND(COUNT(Q341,S341,T341,U341)=4,N(U345)&lt;&gt;0),(Q341+S341+T341+U341)/U345,""),"")</f>
        <v>8.75424877160458</v>
      </c>
      <c r="V340" s="257">
        <f>IFERROR(IF(AND(COUNT(S341,T341,U341,V341)=4,N(V345)&lt;&gt;0),(S341+T341+U341+V341)/V345,""),"")</f>
        <v>10.5705877250258</v>
      </c>
      <c r="W340" s="257">
        <f>IFERROR(IF(AND(COUNT(S341,T341,U341,V341)=4,N(W345)&lt;&gt;0),(S341+T341+U341+V341)/W345,""),"")</f>
        <v>10.5705877250258</v>
      </c>
      <c r="X340" s="257">
        <f>IFERROR(IF(AND(COUNT(T341,U341,V341,X341)=4,N(X345)&lt;&gt;0),(T341+U341+V341+X341)/X345,""),"")</f>
        <v>6.11084406414451</v>
      </c>
      <c r="Y340" s="257">
        <f>IFERROR(IF(AND(COUNT(U341,V341,X341,Y341)=4,N(Y345)&lt;&gt;0),(U341+V341+X341+Y341)/Y345,""),"")</f>
        <v>6.79452503067631</v>
      </c>
      <c r="Z340" s="257">
        <f>IFERROR(IF(AND(COUNT(V341,X341,Y341,Z341)=4,N(Z345)&lt;&gt;0),(V341+X341+Y341+Z341)/Z345,""),"")</f>
        <v>13.4963251235129</v>
      </c>
      <c r="AA340" s="257">
        <f>IFERROR(IF(AND(COUNT(X341,Y341,Z341,AA341)=4,N(AA345)&lt;&gt;0),(X341+Y341+Z341+AA341)/AA345,""),"")</f>
        <v>4.33095495225937</v>
      </c>
      <c r="AB340" s="257">
        <f>IFERROR(IF(AND(COUNT(X341,Y341,Z341,AA341)=4,N(AB345)&lt;&gt;0),(X341+Y341+Z341+AA341)/AB345,""),"")</f>
        <v>4.33095495225937</v>
      </c>
      <c r="AC340" s="257">
        <f>IFERROR(IF(AND(COUNT(Y341,Z341,AA341,AC341)=4,N(AC345)&lt;&gt;0),(Y341+Z341+AA341+AC341)/AC345,""),"")</f>
        <v>3.04468301698144</v>
      </c>
      <c r="AD340" s="257">
        <f>IFERROR(IF(AND(COUNT(Z341,AA341,AC341,AD341)=4,N(AD345)&lt;&gt;0),(Z341+AA341+AC341+AD341)/AD345,""),"")</f>
        <v>2.89100104416681</v>
      </c>
      <c r="AE340" s="257">
        <f>IFERROR(IF(AND(COUNT(AA341,AC341,AD341,AE341)=4,N(AE345)&lt;&gt;0),(AA341+AC341+AD341+AE341)/AE345,""),"")</f>
        <v>2.80922593850161</v>
      </c>
      <c r="AF340" s="257">
        <f>IFERROR(IF(AND(COUNT(AB341,AD341,AE341,AF341)=4,N(AF345)&lt;&gt;0),(AB341+AD341+AE341+AF341)/AF345,""),"")</f>
        <v>5.56855251385318</v>
      </c>
      <c r="AG340" s="257">
        <f>IFERROR(IF(AND(COUNT(AC341,AD341,AE341,AF341)=4,N(AG345)&lt;&gt;0),(AC341+AD341+AE341+AF341)/AG345,""),"")</f>
        <v>3.47204969483922</v>
      </c>
      <c r="AH340" s="257">
        <f>IFERROR(IF(AND(COUNT(AD341,AF341,AG341,AH341)=4,N(AH345)&lt;&gt;0),(AD341+AF341+AG341+AH341)/AH345,""),"")</f>
        <v>4.77243075308827</v>
      </c>
      <c r="AI340" s="257">
        <f>IFERROR(IF(AND(COUNT(AE341,AG341,AH341,AI341)=4,N(AI345)&lt;&gt;0),(AE341+AG341+AH341+AI341)/AI345,""),"")</f>
        <v>4.4943036886463</v>
      </c>
      <c r="AJ340" s="257">
        <f>IFERROR(IF(AND(COUNT(AF341,AH341,AI341,AJ341)=4,N(AJ345)&lt;&gt;0),(AF341+AH341+AI341+AJ341)/AJ345,""),"")</f>
        <v>2.88545907208982</v>
      </c>
      <c r="AK340" s="257">
        <f>IFERROR(IF(AND(COUNT(AH341,AI341,AJ341,AK341)=4,N(AK345)&lt;&gt;0),(AH341+AI341+AJ341+AK341)/AK345,""),"")</f>
        <v>3.51617474891921</v>
      </c>
      <c r="AL340" s="257">
        <f>IFERROR(IF(AND(COUNT(AH341,AI341,AJ341,AK341)=4,N(AL345)&lt;&gt;0),(AH341+AI341+AJ341+AK341)/AL345,""),"")</f>
        <v>3.51617474891921</v>
      </c>
      <c r="AM340" s="257">
        <f>IFERROR(IF(AND(COUNT(AI341,AJ341,AK341,AM341)=4,N(AM345)&lt;&gt;0),(AI341+AJ341+AK341+AM341)/AM345,""),"")</f>
        <v>3.00482763255819</v>
      </c>
      <c r="AN340" s="257">
        <f>IFERROR(IF(AND(COUNT(AJ341,AK341,AM341,AN341)=4,N(AN345)&lt;&gt;0),(AJ341+AK341+AM341+AN341)/AN345,""),"")</f>
        <v>2.97358264736905</v>
      </c>
      <c r="AO340" s="257">
        <f>IFERROR(IF(AND(COUNT(AK341,AM341,AN341,AO341)=4,N(AO345)&lt;&gt;0),(AK341+AM341+AN341+AO341)/AO345,""),"")</f>
        <v>3.04374579069545</v>
      </c>
      <c r="AP340" s="257">
        <f>IFERROR(IF(AND(COUNT(AM341,AN341,AO341,AP341)=4,N(AP345)&lt;&gt;0),(AM341+AN341+AO341+AP341)/AP345,""),"")</f>
        <v>3.87847399683552</v>
      </c>
      <c r="AQ340" s="257">
        <f>IFERROR(IF(AND(COUNT(AM341,AN341,AO341,AP341)=4,N(AQ345)&lt;&gt;0),(AM341+AN341+AO341+AP341)/AQ345,""),"")</f>
        <v>3.87847399683552</v>
      </c>
      <c r="AR340" s="257">
        <f>IFERROR(IF(AND(COUNT(AN341,AO341,AP341,AR341)=4,N(AR345)&lt;&gt;0),(AN341+AO341+AP341+AR341)/AR345,""),"")</f>
        <v>3.22228011474101</v>
      </c>
      <c r="AS340" s="257">
        <f>IFERROR(IF(AND(COUNT(AO341,AP341,AR341,AS341)=4,N(AS345)&lt;&gt;0),(AO341+AP341+AR341+AS341)/AS345,""),"")</f>
        <v>3.19918820886238</v>
      </c>
      <c r="AT340" s="257">
        <f>IFERROR(IF(AND(COUNT(AP341,AR341,AS341,AT341)=4,N(AT345)&lt;&gt;0),(AP341+AR341+AS341+AT341)/AT345,""),"")</f>
        <v>3.27076367985983</v>
      </c>
      <c r="AU340" s="257">
        <f>IFERROR(IF(AND(COUNT(AR341,AS341,AT341,AU341)=4,N(AU345)&lt;&gt;0),(AR341+AS341+AT341+AU341)/AU345,""),"")</f>
        <v>4.23348016607796</v>
      </c>
      <c r="AV340" s="257">
        <f>IFERROR(IF(AND(COUNT(AR341,AS341,AT341,AU341)=4,N(AV345)&lt;&gt;0),(AR341+AS341+AT341+AU341)/AV345,""),"")</f>
        <v>4.23348016607796</v>
      </c>
      <c r="AW340" s="257">
        <f>IFERROR(IF(AND(COUNT(AS341,AT341,AU341,AW341)=4,N(AW345)&lt;&gt;0),(AS341+AT341+AU341+AW341)/AW345,""),"")</f>
        <v>3.46809521909977</v>
      </c>
      <c r="AX340" s="257">
        <f>IFERROR(IF(AND(COUNT(AT341,AU341,AW341,AX341)=4,N(AX345)&lt;&gt;0),(AT341+AU341+AW341+AX341)/AX345,""),"")</f>
        <v>3.40897646083802</v>
      </c>
      <c r="AY340" s="257">
        <f>IFERROR(IF(AND(COUNT(AU341,AW341,AX341,AY341)=4,N(AY345)&lt;&gt;0),(AU341+AW341+AX341+AY341)/AY345,""),"")</f>
        <v>3.48111194040649</v>
      </c>
      <c r="AZ340" s="257">
        <f>IFERROR(IF(AND(COUNT(AW341,AX341,AY341,AZ341)=4,N(AZ345)&lt;&gt;0),(AW341+AX341+AY341+AZ341)/AZ345,""),"")</f>
        <v>4.57191727083699</v>
      </c>
      <c r="BA340" s="257">
        <f>IFERROR(IF(AND(COUNT(AW341,AX341,AY341,AZ341)=4,N(BA345)&lt;&gt;0),(AW341+AX341+AY341+AZ341)/BA345,""),"")</f>
        <v>4.57191727083699</v>
      </c>
      <c r="BB340" s="257">
        <f>IFERROR(IF(AND(COUNT(AX341,AY341,AZ341,BB341)=4,N(BB345)&lt;&gt;0),(AX341+AY341+AZ341+BB341)/BB345,""),"")</f>
        <v>3.6715273068175</v>
      </c>
      <c r="BC340" s="257">
        <f>IFERROR(IF(AND(COUNT(AY341,AZ341,BB341,BC341)=4,N(BC345)&lt;&gt;0),(AY341+AZ341+BB341+BC341)/BC345,""),"")</f>
        <v>3.59740256918824</v>
      </c>
      <c r="BD340" s="257">
        <f>IFERROR(IF(AND(COUNT(AZ341,BB341,BC341,BD341)=4,N(BD345)&lt;&gt;0),(AZ341+BB341+BC341+BD341)/BD345,""),"")</f>
        <v>3.66921458098023</v>
      </c>
      <c r="BE340" s="257">
        <f>IFERROR(IF(AND(COUNT(BB341,BC341,BD341,BE341)=4,N(BE345)&lt;&gt;0),(BB341+BC341+BD341+BE341)/BE345,""),"")</f>
        <v>4.8821150508053</v>
      </c>
      <c r="BF340" s="257">
        <f>IFERROR(IF(AND(COUNT(BB341,BC341,BD341,BE341)=4,N(BF345)&lt;&gt;0),(BB341+BC341+BD341+BE341)/BF345,""),"")</f>
        <v>4.8821150508053</v>
      </c>
      <c r="BG340" s="81" t="n"/>
      <c r="BH340" s="81" t="n"/>
      <c r="BI340" s="81" t="n"/>
      <c r="BJ340" s="81" t="n"/>
      <c r="BL340" s="81" t="n"/>
      <c r="BM340" s="81" t="n"/>
      <c r="BN340" s="81" t="n"/>
      <c r="BO340" s="81" t="n"/>
      <c r="BQ340" s="81" t="n"/>
      <c r="BR340" s="81" t="n"/>
      <c r="BS340" s="81" t="n"/>
      <c r="BT340" s="81" t="n"/>
      <c r="BV340" s="81" t="n"/>
      <c r="BW340" s="81" t="n"/>
      <c r="BX340" s="81" t="n"/>
      <c r="BY340" s="81" t="n"/>
      <c r="CA340" s="81" t="n"/>
      <c r="CB340" s="81" t="n"/>
      <c r="CC340" s="81" t="n"/>
      <c r="CD340" s="81" t="n"/>
      <c r="CF340" s="81" t="n"/>
      <c r="CG340" s="81" t="n"/>
      <c r="CH340" s="81" t="n"/>
      <c r="CI340" s="81" t="n"/>
      <c r="CK340" s="81" t="n"/>
      <c r="CL340" s="81" t="n"/>
      <c r="CM340" s="81" t="n"/>
      <c r="CN340" s="81" t="n"/>
      <c r="CP340" s="81" t="n"/>
      <c r="CQ340" s="81" t="n"/>
      <c r="CR340" s="81" t="n"/>
      <c r="CS340" s="81" t="n"/>
      <c r="CU340" s="81" t="n"/>
      <c r="CV340" s="81" t="n"/>
      <c r="CW340" s="81" t="n"/>
      <c r="CX340" s="81" t="n"/>
    </row>
    <row r="341" customFormat="1" s="77">
      <c r="A341" s="76" t="n"/>
      <c r="B341" s="76" t="n"/>
      <c r="C341" s="77" t="inlineStr">
        <is>
          <t>NOPLAT</t>
        </is>
      </c>
      <c r="D341">
        <f>IFERROR(D342*(1-D343),"")</f>
        <v>0</v>
      </c>
      <c r="E341">
        <f>IFERROR(E342*(1-E343),"")</f>
        <v>0</v>
      </c>
      <c r="F341">
        <f>IFERROR(F342*(1-F343),"")</f>
        <v>0</v>
      </c>
      <c r="G341">
        <f>IFERROR(G342*(1-G343),"")</f>
        <v>0</v>
      </c>
      <c r="H341" s="263">
        <f>IFERROR(H342*(1-N(H343)),0)</f>
        <v>0</v>
      </c>
      <c r="I341" s="263">
        <f>IFERROR(I342*(1-N(I343)),0)</f>
        <v>23201.4526436043</v>
      </c>
      <c r="J341" s="263">
        <f>IFERROR(J342*(1-N(J343)),0)</f>
        <v>21527.1756740121</v>
      </c>
      <c r="K341" s="263">
        <f>IFERROR(K342*(1-N(K343)),0)</f>
        <v>21026.5866311081</v>
      </c>
      <c r="L341" s="263">
        <f>IFERROR(L342*(1-N(L343)),0)</f>
        <v>34837.4054945321</v>
      </c>
      <c r="M341" s="263">
        <f>IFERROR(M342*(1-N(M343)),0)</f>
        <v>100584.253865439</v>
      </c>
      <c r="N341" s="263">
        <f>IFERROR(N342*(1-N(N343)),0)</f>
        <v>24877.2285079133</v>
      </c>
      <c r="O341" s="263">
        <f>IFERROR(O342*(1-N(O343)),0)</f>
        <v>19450.4288563253</v>
      </c>
      <c r="P341" s="263">
        <f>IFERROR(P342*(1-N(P343)),0)</f>
        <v>20920.1676602993</v>
      </c>
      <c r="Q341" s="263">
        <f>IFERROR(Q342*(1-N(Q343)),0)</f>
        <v>30328.943884569</v>
      </c>
      <c r="R341" s="263">
        <f>IFERROR(R342*(1-N(R343)),0)</f>
        <v>95573.5384852624</v>
      </c>
      <c r="S341" s="263">
        <f>IFERROR(S342*(1-N(S343)),0)</f>
        <v>24105.5204002537</v>
      </c>
      <c r="T341" s="263">
        <f>IFERROR(T342*(1-N(T343)),0)</f>
        <v>20112.7540579774</v>
      </c>
      <c r="U341" s="263">
        <f>IFERROR(U342*(1-N(U343)),0)</f>
        <v>22931.341729017</v>
      </c>
      <c r="V341" s="263">
        <f>IFERROR(V342*(1-N(V343)),0)</f>
        <v>33958.0554026238</v>
      </c>
      <c r="W341" s="263">
        <f>IFERROR(W342*(1-N(W343)),0)</f>
        <v>101102.154361849</v>
      </c>
      <c r="X341" s="263">
        <f>IFERROR(X342*(1-N(X343)),0)</f>
        <v>23502.9011333666</v>
      </c>
      <c r="Y341" s="263">
        <f>IFERROR(Y342*(1-N(Y343)),0)</f>
        <v>21328.5359692477</v>
      </c>
      <c r="Z341" s="263">
        <f>IFERROR(Z342*(1-N(Z343)),0)</f>
        <v>14726.5442755826</v>
      </c>
      <c r="AA341" s="263">
        <f>IFERROR(AA342*(1-N(AA343)),0)</f>
        <v>36541.5780574864</v>
      </c>
      <c r="AB341" s="263">
        <f>IFERROR(AB342*(1-N(AB343)),0)</f>
        <v>96095.7107979578</v>
      </c>
      <c r="AC341" s="263">
        <f>IFERROR(AC342*(1-N(AC343)),0)</f>
        <v>25015.8792221085</v>
      </c>
      <c r="AD341" s="263">
        <f>IFERROR(AD342*(1-N(AD343)),0)</f>
        <v>23576.9565124327</v>
      </c>
      <c r="AE341" s="263">
        <f>IFERROR(AE342*(1-N(AE343)),0)</f>
        <v>27150.3469698817</v>
      </c>
      <c r="AF341" s="263">
        <f>IFERROR(AF342*(1-N(AF343)),0)</f>
        <v>41973.1901494059</v>
      </c>
      <c r="AG341" s="263">
        <f>IFERROR(AG342*(1-N(AG343)),0)</f>
        <v>117712.749048864</v>
      </c>
      <c r="AH341" s="263">
        <f>IFERROR(AH342*(1-N(AH343)),0)</f>
        <v>29620.922892306</v>
      </c>
      <c r="AI341" s="263">
        <f>IFERROR(AI342*(1-N(AI343)),0)</f>
        <v>29319.1704579921</v>
      </c>
      <c r="AJ341" s="263">
        <f>IFERROR(AJ342*(1-N(AJ343)),0)</f>
        <v>30662.6180146272</v>
      </c>
      <c r="AK341" s="263">
        <f>IFERROR(AK342*(1-N(AK343)),0)</f>
        <v>43018.5165353459</v>
      </c>
      <c r="AL341" s="263">
        <f>IFERROR(AL342*(1-N(AL343)),0)</f>
        <v>132618.495125719</v>
      </c>
      <c r="AM341" s="263">
        <f>IFERROR(AM342*(1-N(AM343)),0)</f>
        <v>33271.4512261464</v>
      </c>
      <c r="AN341" s="263">
        <f>IFERROR(AN342*(1-N(AN343)),0)</f>
        <v>32742.6822097717</v>
      </c>
      <c r="AO341" s="263">
        <f>IFERROR(AO342*(1-N(AO343)),0)</f>
        <v>34303.6193355047</v>
      </c>
      <c r="AP341" s="263">
        <f>IFERROR(AP342*(1-N(AP343)),0)</f>
        <v>48126.706431351</v>
      </c>
      <c r="AQ341" s="263">
        <f>IFERROR(AQ342*(1-N(AQ343)),0)</f>
        <v>148444.459202774</v>
      </c>
      <c r="AR341" s="263">
        <f>IFERROR(AR342*(1-N(AR343)),0)</f>
        <v>37055.8785313378</v>
      </c>
      <c r="AS341" s="263">
        <f>IFERROR(AS342*(1-N(AS343)),0)</f>
        <v>36466.9652221848</v>
      </c>
      <c r="AT341" s="263">
        <f>IFERROR(AT342*(1-N(AT343)),0)</f>
        <v>38205.4495501771</v>
      </c>
      <c r="AU341" s="263">
        <f>IFERROR(AU342*(1-N(AU343)),0)</f>
        <v>53600.8295974788</v>
      </c>
      <c r="AV341" s="263">
        <f>IFERROR(AV342*(1-N(AV343)),0)</f>
        <v>165329.122901178</v>
      </c>
      <c r="AW341" s="263">
        <f>IFERROR(AW342*(1-N(AW343)),0)</f>
        <v>41085.4822701284</v>
      </c>
      <c r="AX341" s="263">
        <f>IFERROR(AX342*(1-N(AX343)),0)</f>
        <v>40432.5281834674</v>
      </c>
      <c r="AY341" s="263">
        <f>IFERROR(AY342*(1-N(AY343)),0)</f>
        <v>42360.0622176212</v>
      </c>
      <c r="AZ341" s="263">
        <f>IFERROR(AZ342*(1-N(AZ343)),0)</f>
        <v>59429.5971752225</v>
      </c>
      <c r="BA341" s="263">
        <f>IFERROR(BA342*(1-N(BA343)),0)</f>
        <v>183307.669846439</v>
      </c>
      <c r="BB341" s="263">
        <f>IFERROR(BB342*(1-N(BB343)),0)</f>
        <v>45347.8537486545</v>
      </c>
      <c r="BC341" s="263">
        <f>IFERROR(BC342*(1-N(BC343)),0)</f>
        <v>44627.1596058473</v>
      </c>
      <c r="BD341" s="263">
        <f>IFERROR(BD342*(1-N(BD343)),0)</f>
        <v>46754.6636935848</v>
      </c>
      <c r="BE341" s="263">
        <f>IFERROR(BE342*(1-N(BE343)),0)</f>
        <v>65595.0601559051</v>
      </c>
      <c r="BF341" s="263">
        <f>IFERROR(BF342*(1-N(BF343)),0)</f>
        <v>202324.737203992</v>
      </c>
      <c r="BG341" s="85" t="n"/>
      <c r="BH341" s="76" t="n"/>
      <c r="BI341" s="76" t="n"/>
      <c r="BJ341" s="76" t="n"/>
      <c r="BL341" s="85" t="n"/>
      <c r="BM341" s="76" t="n"/>
      <c r="BN341" s="76" t="n"/>
      <c r="BO341" s="76" t="n"/>
      <c r="BQ341" s="85" t="n"/>
      <c r="BR341" s="76" t="n"/>
      <c r="BS341" s="76" t="n"/>
      <c r="BT341" s="76" t="n"/>
      <c r="BV341" s="85" t="n"/>
      <c r="BW341" s="76" t="n"/>
      <c r="BX341" s="76" t="n"/>
      <c r="BY341" s="76" t="n"/>
      <c r="CA341" s="85" t="n"/>
      <c r="CB341" s="76" t="n"/>
      <c r="CC341" s="76" t="n"/>
      <c r="CD341" s="76" t="n"/>
      <c r="CF341" s="85" t="n"/>
      <c r="CG341" s="76" t="n"/>
      <c r="CH341" s="76" t="n"/>
      <c r="CI341" s="76" t="n"/>
      <c r="CK341" s="85" t="n"/>
      <c r="CL341" s="76" t="n"/>
      <c r="CM341" s="76" t="n"/>
      <c r="CN341" s="76" t="n"/>
      <c r="CP341" s="85" t="n"/>
      <c r="CQ341" s="76" t="n"/>
      <c r="CR341" s="76" t="n"/>
      <c r="CS341" s="76" t="n"/>
      <c r="CU341" s="85" t="n"/>
      <c r="CV341" s="76" t="n"/>
      <c r="CW341" s="76" t="n"/>
      <c r="CX341" s="76" t="n"/>
    </row>
    <row r="342" customFormat="1" s="77">
      <c r="A342" s="76" t="n"/>
      <c r="B342" s="76" t="n"/>
      <c r="C342" s="77" t="inlineStr">
        <is>
          <t>EBIT</t>
        </is>
      </c>
      <c r="D342" s="86">
        <f>IFERROR(D124,"")</f>
        <v>0</v>
      </c>
      <c r="E342" s="86">
        <f>IFERROR(E124,"")</f>
        <v>0</v>
      </c>
      <c r="F342" s="86">
        <f>IFERROR(F124,"")</f>
        <v>0</v>
      </c>
      <c r="G342" s="86">
        <f>IFERROR(G124,"")</f>
        <v>0</v>
      </c>
      <c r="H342" s="263">
        <f>IFERROR(H67,0)</f>
        <v>0</v>
      </c>
      <c r="I342" s="263">
        <f>IFERROR(I67,0)</f>
        <v>27503</v>
      </c>
      <c r="J342" s="263">
        <f>IFERROR(J67,0)</f>
        <v>24126</v>
      </c>
      <c r="K342" s="263">
        <f>IFERROR(K67,0)</f>
        <v>23786</v>
      </c>
      <c r="L342" s="263">
        <f>IFERROR(L67,0)</f>
        <v>41488</v>
      </c>
      <c r="M342" s="263">
        <f>IFERROR(M67,0)</f>
        <v>116903</v>
      </c>
      <c r="N342" s="263">
        <f>IFERROR(N67,0)</f>
        <v>29979</v>
      </c>
      <c r="O342" s="263">
        <f>IFERROR(O67,0)</f>
        <v>23076</v>
      </c>
      <c r="P342" s="263">
        <f>IFERROR(P67,0)</f>
        <v>24894</v>
      </c>
      <c r="Q342" s="263">
        <f>IFERROR(Q67,0)</f>
        <v>36016</v>
      </c>
      <c r="R342" s="263">
        <f>IFERROR(R67,0)</f>
        <v>113965</v>
      </c>
      <c r="S342" s="263">
        <f>IFERROR(S67,0)</f>
        <v>28318</v>
      </c>
      <c r="T342" s="263">
        <f>IFERROR(T67,0)</f>
        <v>22998</v>
      </c>
      <c r="U342" s="263">
        <f>IFERROR(U67,0)</f>
        <v>26969</v>
      </c>
      <c r="V342" s="263">
        <f>IFERROR(V67,0)</f>
        <v>40373</v>
      </c>
      <c r="W342" s="263">
        <f>IFERROR(W67,0)</f>
        <v>118658</v>
      </c>
      <c r="X342" s="263">
        <f>IFERROR(X67,0)</f>
        <v>27900</v>
      </c>
      <c r="Y342" s="263">
        <f>IFERROR(Y67,0)</f>
        <v>25352</v>
      </c>
      <c r="Z342" s="263">
        <f>IFERROR(Z67,0)</f>
        <v>29591</v>
      </c>
      <c r="AA342" s="263">
        <f>IFERROR(AA67,0)</f>
        <v>42832</v>
      </c>
      <c r="AB342" s="263">
        <f>IFERROR(AB67,0)</f>
        <v>125675</v>
      </c>
      <c r="AC342" s="263">
        <f>IFERROR(AC67,0)</f>
        <v>29589</v>
      </c>
      <c r="AD342" s="263">
        <f>IFERROR(AD67,0)</f>
        <v>28202</v>
      </c>
      <c r="AE342" s="263">
        <f>IFERROR(AE67,0)</f>
        <v>32427</v>
      </c>
      <c r="AF342" s="263">
        <f>IFERROR(AF67,0)</f>
        <v>50852</v>
      </c>
      <c r="AG342" s="263">
        <f>IFERROR(AG67,0)</f>
        <v>141070</v>
      </c>
      <c r="AH342" s="263">
        <f>IFERROR(AH67,0)</f>
        <v>35885</v>
      </c>
      <c r="AI342" s="263">
        <f>IFERROR(AI67,0)</f>
        <v>35695</v>
      </c>
      <c r="AJ342" s="263">
        <f>IFERROR(AJ67,0)</f>
        <v>36861.9078367204</v>
      </c>
      <c r="AK342" s="263">
        <f>IFERROR(AK67,0)</f>
        <v>51715.8903731538</v>
      </c>
      <c r="AL342" s="263">
        <f>IFERROR(AL67,0)</f>
        <v>160157.798209874</v>
      </c>
      <c r="AM342" s="263">
        <f>IFERROR(AM67,0)</f>
        <v>39998.1882860453</v>
      </c>
      <c r="AN342" s="263">
        <f>IFERROR(AN67,0)</f>
        <v>39362.5140999984</v>
      </c>
      <c r="AO342" s="263">
        <f>IFERROR(AO67,0)</f>
        <v>41239.0375084117</v>
      </c>
      <c r="AP342" s="263">
        <f>IFERROR(AP67,0)</f>
        <v>57856.8410600515</v>
      </c>
      <c r="AQ342" s="263">
        <f>IFERROR(AQ67,0)</f>
        <v>178456.580954507</v>
      </c>
      <c r="AR342" s="263">
        <f>IFERROR(AR67,0)</f>
        <v>44547.7414413626</v>
      </c>
      <c r="AS342" s="263">
        <f>IFERROR(AS67,0)</f>
        <v>43839.7631429844</v>
      </c>
      <c r="AT342" s="263">
        <f>IFERROR(AT67,0)</f>
        <v>45929.7297936945</v>
      </c>
      <c r="AU342" s="263">
        <f>IFERROR(AU67,0)</f>
        <v>64437.7084713208</v>
      </c>
      <c r="AV342" s="263">
        <f>IFERROR(AV67,0)</f>
        <v>198754.942849362</v>
      </c>
      <c r="AW342" s="263">
        <f>IFERROR(AW67,0)</f>
        <v>49392.0401756371</v>
      </c>
      <c r="AX342" s="263">
        <f>IFERROR(AX67,0)</f>
        <v>48607.0734988639</v>
      </c>
      <c r="AY342" s="263">
        <f>IFERROR(AY67,0)</f>
        <v>50924.3114426437</v>
      </c>
      <c r="AZ342" s="263">
        <f>IFERROR(AZ67,0)</f>
        <v>71444.9213958649</v>
      </c>
      <c r="BA342" s="263">
        <f>IFERROR(BA67,0)</f>
        <v>220368.34651301</v>
      </c>
      <c r="BB342" s="263">
        <f>IFERROR(BB67,0)</f>
        <v>54516.167036962</v>
      </c>
      <c r="BC342" s="263">
        <f>IFERROR(BC67,0)</f>
        <v>53649.7647924456</v>
      </c>
      <c r="BD342" s="263">
        <f>IFERROR(BD67,0)</f>
        <v>56207.402224677</v>
      </c>
      <c r="BE342" s="263">
        <f>IFERROR(BE67,0)</f>
        <v>78856.9019402599</v>
      </c>
      <c r="BF342" s="263">
        <f>IFERROR(BF67,0)</f>
        <v>243230.235994344</v>
      </c>
      <c r="BG342" s="63" t="n"/>
      <c r="BH342" s="63" t="n"/>
      <c r="BI342" s="63" t="n"/>
      <c r="BJ342" s="63" t="n"/>
      <c r="BL342" s="63" t="n"/>
      <c r="BM342" s="63" t="n"/>
      <c r="BN342" s="63" t="n"/>
      <c r="BO342" s="63" t="n"/>
      <c r="BQ342" s="63" t="n"/>
      <c r="BR342" s="63" t="n"/>
      <c r="BS342" s="63" t="n"/>
      <c r="BT342" s="63" t="n"/>
      <c r="BV342" s="63" t="n"/>
      <c r="BW342" s="63" t="n"/>
      <c r="BX342" s="63" t="n"/>
      <c r="BY342" s="63" t="n"/>
      <c r="CA342" s="63" t="n"/>
      <c r="CB342" s="63" t="n"/>
      <c r="CC342" s="63" t="n"/>
      <c r="CD342" s="63" t="n"/>
      <c r="CF342" s="63" t="n"/>
      <c r="CG342" s="63" t="n"/>
      <c r="CH342" s="63" t="n"/>
      <c r="CI342" s="63" t="n"/>
      <c r="CK342" s="63" t="n"/>
      <c r="CL342" s="63" t="n"/>
      <c r="CM342" s="63" t="n"/>
      <c r="CN342" s="63" t="n"/>
      <c r="CP342" s="63" t="n"/>
      <c r="CQ342" s="63" t="n"/>
      <c r="CR342" s="63" t="n"/>
      <c r="CS342" s="63" t="n"/>
      <c r="CU342" s="63" t="n"/>
      <c r="CV342" s="63" t="n"/>
      <c r="CW342" s="63" t="n"/>
      <c r="CX342" s="63" t="n"/>
    </row>
    <row r="343" customFormat="1" s="77">
      <c r="A343" s="76" t="n"/>
      <c r="B343" s="76" t="n"/>
      <c r="C343" s="77" t="inlineStr">
        <is>
          <t>ETR (LIMITED TO 0%-100%)</t>
        </is>
      </c>
      <c r="D343" s="87">
        <f>IFERROR(D126,"")</f>
        <v>0</v>
      </c>
      <c r="E343" s="87">
        <f>IFERROR(E126,"")</f>
        <v>0</v>
      </c>
      <c r="F343" s="87">
        <f>IFERROR(F126,"")</f>
        <v>0</v>
      </c>
      <c r="G343" s="87">
        <f>IFERROR(G126,"")</f>
        <v>0</v>
      </c>
      <c r="H343" s="258" t="str">
        <f>IFERROR(IF(N(H124)&lt;&gt;0,MAX(0,MIN(1,-H125/H124)),""),"")</f>
        <v/>
      </c>
      <c r="I343" s="258">
        <f>IFERROR(IF(N(I124)&lt;&gt;0,MAX(0,MIN(1,-I125/I124)),""),"")</f>
        <v>0.156402841740745</v>
      </c>
      <c r="J343" s="258">
        <f>IFERROR(IF(N(J124)&lt;&gt;0,MAX(0,MIN(1,-J125/J124)),""),"")</f>
        <v>0.107718823094916</v>
      </c>
      <c r="K343" s="258">
        <f>IFERROR(IF(N(K124)&lt;&gt;0,MAX(0,MIN(1,-K125/K124)),""),"")</f>
        <v>0.116009979353063</v>
      </c>
      <c r="L343" s="258">
        <f>IFERROR(IF(N(L124)&lt;&gt;0,MAX(0,MIN(1,-L125/L124)),""),"")</f>
        <v>0.160301641570282</v>
      </c>
      <c r="M343" s="258">
        <f>IFERROR(IF(N(M124)&lt;&gt;0,MAX(0,MIN(1,-M125/M124)),""),"")</f>
        <v>0.139592192968195</v>
      </c>
      <c r="N343" s="258">
        <f>IFERROR(IF(N(N124)&lt;&gt;0,MAX(0,MIN(1,-N125/N124)),""),"")</f>
        <v>0.170178174458343</v>
      </c>
      <c r="O343" s="258">
        <f>IFERROR(IF(N(O124)&lt;&gt;0,MAX(0,MIN(1,-O125/O124)),""),"")</f>
        <v>0.157114367467268</v>
      </c>
      <c r="P343" s="258">
        <f>IFERROR(IF(N(P124)&lt;&gt;0,MAX(0,MIN(1,-P125/P124)),""),"")</f>
        <v>0.159630125319382</v>
      </c>
      <c r="Q343" s="258">
        <f>IFERROR(IF(N(Q124)&lt;&gt;0,MAX(0,MIN(1,-Q125/Q124)),""),"")</f>
        <v>0.157903601605704</v>
      </c>
      <c r="R343" s="258">
        <f>IFERROR(IF(N(R124)&lt;&gt;0,MAX(0,MIN(1,-R125/R124)),""),"")</f>
        <v>0.161378155703397</v>
      </c>
      <c r="S343" s="258">
        <f>IFERROR(IF(N(S124)&lt;&gt;0,MAX(0,MIN(1,-S125/S124)),""),"")</f>
        <v>0.14875625396378</v>
      </c>
      <c r="T343" s="258">
        <f>IFERROR(IF(N(T124)&lt;&gt;0,MAX(0,MIN(1,-T125/T124)),""),"")</f>
        <v>0.125456384990982</v>
      </c>
      <c r="U343" s="258">
        <f>IFERROR(IF(N(U124)&lt;&gt;0,MAX(0,MIN(1,-U125/U124)),""),"")</f>
        <v>0.149714793688421</v>
      </c>
      <c r="V343" s="258">
        <f>IFERROR(IF(N(V124)&lt;&gt;0,MAX(0,MIN(1,-V125/V124)),""),"")</f>
        <v>0.158891947523746</v>
      </c>
      <c r="W343" s="258">
        <f>IFERROR(IF(N(W124)&lt;&gt;0,MAX(0,MIN(1,-W125/W124)),""),"")</f>
        <v>0.147953325002533</v>
      </c>
      <c r="X343" s="258">
        <f>IFERROR(IF(N(X124)&lt;&gt;0,MAX(0,MIN(1,-X125/X124)),""),"")</f>
        <v>0.157602109915176</v>
      </c>
      <c r="Y343" s="258">
        <f>IFERROR(IF(N(Y124)&lt;&gt;0,MAX(0,MIN(1,-Y125/Y124)),""),"")</f>
        <v>0.158704008786381</v>
      </c>
      <c r="Z343" s="258">
        <f>IFERROR(IF(N(Z124)&lt;&gt;0,MAX(0,MIN(1,-Z125/Z124)),""),"")</f>
        <v>0.502330293819656</v>
      </c>
      <c r="AA343" s="258">
        <f>IFERROR(IF(N(AA124)&lt;&gt;0,MAX(0,MIN(1,-AA125/AA124)),""),"")</f>
        <v>0.146862671425888</v>
      </c>
      <c r="AB343" s="258">
        <f>IFERROR(IF(N(AB124)&lt;&gt;0,MAX(0,MIN(1,-AB125/AB124)),""),"")</f>
        <v>0.23536335151814</v>
      </c>
      <c r="AC343" s="258">
        <f>IFERROR(IF(N(AC124)&lt;&gt;0,MAX(0,MIN(1,-AC125/AC124)),""),"")</f>
        <v>0.154554759467758</v>
      </c>
      <c r="AD343" s="258">
        <f>IFERROR(IF(N(AD124)&lt;&gt;0,MAX(0,MIN(1,-AD125/AD124)),""),"")</f>
        <v>0.163997003317755</v>
      </c>
      <c r="AE343" s="258">
        <f>IFERROR(IF(N(AE124)&lt;&gt;0,MAX(0,MIN(1,-AE125/AE124)),""),"")</f>
        <v>0.162724058041702</v>
      </c>
      <c r="AF343" s="258">
        <f>IFERROR(IF(N(AF124)&lt;&gt;0,MAX(0,MIN(1,-AF125/AF124)),""),"")</f>
        <v>0.174600996039371</v>
      </c>
      <c r="AG343" s="258">
        <f>IFERROR(IF(N(AG124)&lt;&gt;0,MAX(0,MIN(1,-AG125/AG124)),""),"")</f>
        <v>0.165572063168186</v>
      </c>
      <c r="AH343" s="258">
        <f>IFERROR(IF(N(AH124)&lt;&gt;0,MAX(0,MIN(1,-AH125/AH124)),""),"")</f>
        <v>0.174559763346636</v>
      </c>
      <c r="AI343" s="258">
        <f>IFERROR(IF(N(AI124)&lt;&gt;0,MAX(0,MIN(1,-AI125/AI124)),""),"")</f>
        <v>0.178619681804395</v>
      </c>
      <c r="AJ343" s="258">
        <f>IFERROR(IF(N(AJ124)&lt;&gt;0,MAX(0,MIN(1,-AJ125/AJ124)),""),"")</f>
        <v>0.168176043669603</v>
      </c>
      <c r="AK343" s="258">
        <f>IFERROR(IF(N(AK124)&lt;&gt;0,MAX(0,MIN(1,-AK125/AK124)),""),"")</f>
        <v>0.168176043669603</v>
      </c>
      <c r="AL343" s="258">
        <f>IFERROR(IF(N(AL124)&lt;&gt;0,MAX(0,MIN(1,-AL125/AL124)),""),"")</f>
        <v>0.171951059467409</v>
      </c>
      <c r="AM343" s="258">
        <f>IFERROR(IF(N(AM124)&lt;&gt;0,MAX(0,MIN(1,-AM125/AM124)),""),"")</f>
        <v>0.168176043669603</v>
      </c>
      <c r="AN343" s="258">
        <f>IFERROR(IF(N(AN124)&lt;&gt;0,MAX(0,MIN(1,-AN125/AN124)),""),"")</f>
        <v>0.168176043669603</v>
      </c>
      <c r="AO343" s="258">
        <f>IFERROR(IF(N(AO124)&lt;&gt;0,MAX(0,MIN(1,-AO125/AO124)),""),"")</f>
        <v>0.168176043669603</v>
      </c>
      <c r="AP343" s="258">
        <f>IFERROR(IF(N(AP124)&lt;&gt;0,MAX(0,MIN(1,-AP125/AP124)),""),"")</f>
        <v>0.168176043669603</v>
      </c>
      <c r="AQ343" s="258">
        <f>IFERROR(IF(N(AQ124)&lt;&gt;0,MAX(0,MIN(1,-AQ125/AQ124)),""),"")</f>
        <v>0.168176043669603</v>
      </c>
      <c r="AR343" s="258">
        <f>IFERROR(IF(N(AR124)&lt;&gt;0,MAX(0,MIN(1,-AR125/AR124)),""),"")</f>
        <v>0.168176043669603</v>
      </c>
      <c r="AS343" s="258">
        <f>IFERROR(IF(N(AS124)&lt;&gt;0,MAX(0,MIN(1,-AS125/AS124)),""),"")</f>
        <v>0.168176043669603</v>
      </c>
      <c r="AT343" s="258">
        <f>IFERROR(IF(N(AT124)&lt;&gt;0,MAX(0,MIN(1,-AT125/AT124)),""),"")</f>
        <v>0.168176043669603</v>
      </c>
      <c r="AU343" s="258">
        <f>IFERROR(IF(N(AU124)&lt;&gt;0,MAX(0,MIN(1,-AU125/AU124)),""),"")</f>
        <v>0.168176043669603</v>
      </c>
      <c r="AV343" s="258">
        <f>IFERROR(IF(N(AV124)&lt;&gt;0,MAX(0,MIN(1,-AV125/AV124)),""),"")</f>
        <v>0.168176043669603</v>
      </c>
      <c r="AW343" s="258">
        <f>IFERROR(IF(N(AW124)&lt;&gt;0,MAX(0,MIN(1,-AW125/AW124)),""),"")</f>
        <v>0.168176043669603</v>
      </c>
      <c r="AX343" s="258">
        <f>IFERROR(IF(N(AX124)&lt;&gt;0,MAX(0,MIN(1,-AX125/AX124)),""),"")</f>
        <v>0.168176043669603</v>
      </c>
      <c r="AY343" s="258">
        <f>IFERROR(IF(N(AY124)&lt;&gt;0,MAX(0,MIN(1,-AY125/AY124)),""),"")</f>
        <v>0.168176043669603</v>
      </c>
      <c r="AZ343" s="258">
        <f>IFERROR(IF(N(AZ124)&lt;&gt;0,MAX(0,MIN(1,-AZ125/AZ124)),""),"")</f>
        <v>0.168176043669603</v>
      </c>
      <c r="BA343" s="258">
        <f>IFERROR(IF(N(BA124)&lt;&gt;0,MAX(0,MIN(1,-BA125/BA124)),""),"")</f>
        <v>0.168176043669603</v>
      </c>
      <c r="BB343" s="258">
        <f>IFERROR(IF(N(BB124)&lt;&gt;0,MAX(0,MIN(1,-BB125/BB124)),""),"")</f>
        <v>0.168176043669603</v>
      </c>
      <c r="BC343" s="258">
        <f>IFERROR(IF(N(BC124)&lt;&gt;0,MAX(0,MIN(1,-BC125/BC124)),""),"")</f>
        <v>0.168176043669603</v>
      </c>
      <c r="BD343" s="258">
        <f>IFERROR(IF(N(BD124)&lt;&gt;0,MAX(0,MIN(1,-BD125/BD124)),""),"")</f>
        <v>0.168176043669603</v>
      </c>
      <c r="BE343" s="258">
        <f>IFERROR(IF(N(BE124)&lt;&gt;0,MAX(0,MIN(1,-BE125/BE124)),""),"")</f>
        <v>0.168176043669603</v>
      </c>
      <c r="BF343" s="258">
        <f>IFERROR(IF(N(BF124)&lt;&gt;0,MAX(0,MIN(1,-BF125/BF124)),""),"")</f>
        <v>0.168176043669603</v>
      </c>
      <c r="BG343" s="88" t="n"/>
      <c r="BH343" s="88" t="n"/>
      <c r="BI343" s="88" t="n"/>
      <c r="BJ343" s="88" t="n"/>
      <c r="BL343" s="88" t="n"/>
      <c r="BM343" s="88" t="n"/>
      <c r="BN343" s="88" t="n"/>
      <c r="BO343" s="88" t="n"/>
      <c r="BQ343" s="88" t="n"/>
      <c r="BR343" s="88" t="n"/>
      <c r="BS343" s="88" t="n"/>
      <c r="BT343" s="88" t="n"/>
      <c r="BV343" s="88" t="n"/>
      <c r="BW343" s="88" t="n"/>
      <c r="BX343" s="88" t="n"/>
      <c r="BY343" s="88" t="n"/>
      <c r="CA343" s="88" t="n"/>
      <c r="CB343" s="88" t="n"/>
      <c r="CC343" s="88" t="n"/>
      <c r="CD343" s="88" t="n"/>
      <c r="CF343" s="88" t="n"/>
      <c r="CG343" s="88" t="n"/>
      <c r="CH343" s="88" t="n"/>
      <c r="CI343" s="88" t="n"/>
      <c r="CK343" s="88" t="n"/>
      <c r="CL343" s="88" t="n"/>
      <c r="CM343" s="88" t="n"/>
      <c r="CN343" s="88" t="n"/>
      <c r="CP343" s="88" t="n"/>
      <c r="CQ343" s="88" t="n"/>
      <c r="CR343" s="88" t="n"/>
      <c r="CS343" s="88" t="n"/>
      <c r="CU343" s="88" t="n"/>
      <c r="CV343" s="88" t="n"/>
      <c r="CW343" s="88" t="n"/>
      <c r="CX343" s="88" t="n"/>
    </row>
    <row r="344" customFormat="1" s="77">
      <c r="A344" s="76" t="n"/>
      <c r="B344" s="76" t="n"/>
      <c r="C344" s="77" t="inlineStr">
        <is>
          <t>INVESTED CAPITAL</t>
        </is>
      </c>
      <c r="D344" s="86">
        <f>IFERROR(D347-D348+D349,"")</f>
        <v>0</v>
      </c>
      <c r="E344" s="86">
        <f>IFERROR(E347-E348+E349,"")</f>
        <v>0</v>
      </c>
      <c r="F344" s="86">
        <f>IFERROR(F347-F348+F349,"")</f>
        <v>0</v>
      </c>
      <c r="G344" s="86">
        <f>IFERROR(G347-G348+G349,"")</f>
        <v>0</v>
      </c>
      <c r="H344" s="263">
        <f>IFERROR(H346+H349,0)</f>
        <v>0</v>
      </c>
      <c r="I344" s="263">
        <f>IFERROR(I346+I349,0)</f>
        <v>-13550</v>
      </c>
      <c r="J344" s="263">
        <f>IFERROR(J346+J349,0)</f>
        <v>-7573</v>
      </c>
      <c r="K344" s="263">
        <f>IFERROR(K346+K349,0)</f>
        <v>-2707</v>
      </c>
      <c r="L344" s="263">
        <f>IFERROR(L346+L349,0)</f>
        <v>-7866</v>
      </c>
      <c r="M344" s="263">
        <f>IFERROR(M346+M349,0)</f>
        <v>-7866</v>
      </c>
      <c r="N344" s="263">
        <f>IFERROR(N346+N349,0)</f>
        <v>-5350</v>
      </c>
      <c r="O344" s="263">
        <f>IFERROR(O346+O349,0)</f>
        <v>-1510</v>
      </c>
      <c r="P344" s="263">
        <f>IFERROR(P346+P349,0)</f>
        <v>1632</v>
      </c>
      <c r="Q344" s="263">
        <f>IFERROR(Q346+Q349,0)</f>
        <v>2387</v>
      </c>
      <c r="R344" s="263">
        <f>IFERROR(R346+R349,0)</f>
        <v>2387</v>
      </c>
      <c r="S344" s="263">
        <f>IFERROR(S346+S349,0)</f>
        <v>5440</v>
      </c>
      <c r="T344" s="263">
        <f>IFERROR(T346+T349,0)</f>
        <v>3011</v>
      </c>
      <c r="U344" s="263">
        <f>IFERROR(U346+U349,0)</f>
        <v>11135</v>
      </c>
      <c r="V344" s="263">
        <f>IFERROR(V346+V349,0)</f>
        <v>9565</v>
      </c>
      <c r="W344" s="263">
        <f>IFERROR(W346+W349,0)</f>
        <v>9565</v>
      </c>
      <c r="X344" s="263">
        <f>IFERROR(X346+X349,0)</f>
        <v>16447</v>
      </c>
      <c r="Y344" s="263">
        <f>IFERROR(Y346+Y349,0)</f>
        <v>14971</v>
      </c>
      <c r="Z344" s="263">
        <f>IFERROR(Z346+Z349,0)</f>
        <v>6929</v>
      </c>
      <c r="AA344" s="263">
        <f>IFERROR(AA346+AA349,0)</f>
        <v>22189</v>
      </c>
      <c r="AB344" s="263">
        <f>IFERROR(AB346+AB349,0)</f>
        <v>22189</v>
      </c>
      <c r="AC344" s="263">
        <f>IFERROR(AC346+AC349,0)</f>
        <v>32060</v>
      </c>
      <c r="AD344" s="263">
        <f>IFERROR(AD346+AD349,0)</f>
        <v>34542</v>
      </c>
      <c r="AE344" s="263">
        <f>IFERROR(AE346+AE349,0)</f>
        <v>39970</v>
      </c>
      <c r="AF344" s="263">
        <f>IFERROR(AF346+AF349,0)</f>
        <v>33904</v>
      </c>
      <c r="AG344" s="263">
        <f>IFERROR(AG346+AG349,0)</f>
        <v>33904</v>
      </c>
      <c r="AH344" s="263">
        <f>IFERROR(AH346+AH349,0)</f>
        <v>44607</v>
      </c>
      <c r="AI344" s="263">
        <f>IFERROR(AI346+AI349,0)</f>
        <v>45347</v>
      </c>
      <c r="AJ344" s="263">
        <f>IFERROR(AJ346+AJ349,0)</f>
        <v>45599.6422846629</v>
      </c>
      <c r="AK344" s="263">
        <f>IFERROR(AK346+AK349,0)</f>
        <v>37717.4734961725</v>
      </c>
      <c r="AL344" s="263">
        <f>IFERROR(AL346+AL349,0)</f>
        <v>37717.4734961725</v>
      </c>
      <c r="AM344" s="263">
        <f>IFERROR(AM346+AM349,0)</f>
        <v>45350.9395206458</v>
      </c>
      <c r="AN344" s="263">
        <f>IFERROR(AN346+AN349,0)</f>
        <v>46978.7742773823</v>
      </c>
      <c r="AO344" s="263">
        <f>IFERROR(AO346+AO349,0)</f>
        <v>47092.0632547366</v>
      </c>
      <c r="AP344" s="263">
        <f>IFERROR(AP346+AP349,0)</f>
        <v>38273.9343679733</v>
      </c>
      <c r="AQ344" s="263">
        <f>IFERROR(AQ346+AQ349,0)</f>
        <v>38273.9343679733</v>
      </c>
      <c r="AR344" s="263">
        <f>IFERROR(AR346+AR349,0)</f>
        <v>47242.5987460126</v>
      </c>
      <c r="AS344" s="263">
        <f>IFERROR(AS346+AS349,0)</f>
        <v>48747.7320303811</v>
      </c>
      <c r="AT344" s="263">
        <f>IFERROR(AT346+AT349,0)</f>
        <v>48873.9069469859</v>
      </c>
      <c r="AU344" s="263">
        <f>IFERROR(AU346+AU349,0)</f>
        <v>39052.7689785648</v>
      </c>
      <c r="AV344" s="263">
        <f>IFERROR(AV346+AV349,0)</f>
        <v>39052.7689785648</v>
      </c>
      <c r="AW344" s="263">
        <f>IFERROR(AW346+AW349,0)</f>
        <v>48833.355470537</v>
      </c>
      <c r="AX344" s="263">
        <f>IFERROR(AX346+AX349,0)</f>
        <v>50843.4985082425</v>
      </c>
      <c r="AY344" s="263">
        <f>IFERROR(AY346+AY349,0)</f>
        <v>50983.3941875399</v>
      </c>
      <c r="AZ344" s="263">
        <f>IFERROR(AZ346+AZ349,0)</f>
        <v>40094.266581705</v>
      </c>
      <c r="BA344" s="263">
        <f>IFERROR(BA346+BA349,0)</f>
        <v>40094.266581705</v>
      </c>
      <c r="BB344" s="263">
        <f>IFERROR(BB346+BB349,0)</f>
        <v>51087.7424162623</v>
      </c>
      <c r="BC344" s="263">
        <f>IFERROR(BC346+BC349,0)</f>
        <v>53306.4256944191</v>
      </c>
      <c r="BD344" s="263">
        <f>IFERROR(BD346+BD349,0)</f>
        <v>53460.8347083656</v>
      </c>
      <c r="BE344" s="263">
        <f>IFERROR(BE346+BE349,0)</f>
        <v>41442.0256586577</v>
      </c>
      <c r="BF344" s="263">
        <f>IFERROR(BF346+BF349,0)</f>
        <v>41442.0256586577</v>
      </c>
      <c r="BG344" s="63" t="n"/>
      <c r="BH344" s="63" t="n"/>
      <c r="BI344" s="63" t="n"/>
      <c r="BJ344" s="63" t="n"/>
      <c r="BL344" s="63" t="n"/>
      <c r="BM344" s="63" t="n"/>
      <c r="BN344" s="63" t="n"/>
      <c r="BO344" s="63" t="n"/>
      <c r="BQ344" s="63" t="n"/>
      <c r="BR344" s="63" t="n"/>
      <c r="BS344" s="63" t="n"/>
      <c r="BT344" s="63" t="n"/>
      <c r="BV344" s="63" t="n"/>
      <c r="BW344" s="63" t="n"/>
      <c r="BX344" s="63" t="n"/>
      <c r="BY344" s="63" t="n"/>
      <c r="CA344" s="63" t="n"/>
      <c r="CB344" s="63" t="n"/>
      <c r="CC344" s="63" t="n"/>
      <c r="CD344" s="63" t="n"/>
      <c r="CF344" s="63" t="n"/>
      <c r="CG344" s="63" t="n"/>
      <c r="CH344" s="63" t="n"/>
      <c r="CI344" s="63" t="n"/>
      <c r="CK344" s="63" t="n"/>
      <c r="CL344" s="63" t="n"/>
      <c r="CM344" s="63" t="n"/>
      <c r="CN344" s="63" t="n"/>
      <c r="CP344" s="63" t="n"/>
      <c r="CQ344" s="63" t="n"/>
      <c r="CR344" s="63" t="n"/>
      <c r="CS344" s="63" t="n"/>
      <c r="CU344" s="63" t="n"/>
      <c r="CV344" s="63" t="n"/>
      <c r="CW344" s="63" t="n"/>
      <c r="CX344" s="63" t="n"/>
    </row>
    <row r="345" customFormat="1" s="77">
      <c r="A345" s="76" t="n"/>
      <c r="B345" s="76" t="n"/>
      <c r="C345" s="77" t="inlineStr">
        <is>
          <t>INVESTED CAPITAL - EX GOODWILL</t>
        </is>
      </c>
      <c r="D345" s="89">
        <f>IFERROR(D344-D173,"")</f>
        <v>0</v>
      </c>
      <c r="E345" s="89">
        <f>IFERROR(E344-E173,"")</f>
        <v>0</v>
      </c>
      <c r="F345" s="89">
        <f>IFERROR(F344-F173,"")</f>
        <v>0</v>
      </c>
      <c r="G345" s="89">
        <f>IFERROR(G344-G173,"")</f>
        <v>0</v>
      </c>
      <c r="H345" s="263">
        <f>IFERROR(H344-N(H173),0)</f>
        <v>0</v>
      </c>
      <c r="I345" s="263">
        <f>IFERROR(I344-N(I173),0)</f>
        <v>-13550</v>
      </c>
      <c r="J345" s="263">
        <f>IFERROR(J344-N(J173),0)</f>
        <v>-7573</v>
      </c>
      <c r="K345" s="263">
        <f>IFERROR(K344-N(K173),0)</f>
        <v>-2707</v>
      </c>
      <c r="L345" s="263">
        <f>IFERROR(L344-N(L173),0)</f>
        <v>-7866</v>
      </c>
      <c r="M345" s="263">
        <f>IFERROR(M344-N(M173),0)</f>
        <v>-7866</v>
      </c>
      <c r="N345" s="263">
        <f>IFERROR(N344-N(N173),0)</f>
        <v>-5350</v>
      </c>
      <c r="O345" s="263">
        <f>IFERROR(O344-N(O173),0)</f>
        <v>-1510</v>
      </c>
      <c r="P345" s="263">
        <f>IFERROR(P344-N(P173),0)</f>
        <v>1632</v>
      </c>
      <c r="Q345" s="263">
        <f>IFERROR(Q344-N(Q173),0)</f>
        <v>2387</v>
      </c>
      <c r="R345" s="263">
        <f>IFERROR(R344-N(R173),0)</f>
        <v>2387</v>
      </c>
      <c r="S345" s="263">
        <f>IFERROR(S344-N(S173),0)</f>
        <v>5440</v>
      </c>
      <c r="T345" s="263">
        <f>IFERROR(T344-N(T173),0)</f>
        <v>3011</v>
      </c>
      <c r="U345" s="263">
        <f>IFERROR(U344-N(U173),0)</f>
        <v>11135</v>
      </c>
      <c r="V345" s="263">
        <f>IFERROR(V344-N(V173),0)</f>
        <v>9565</v>
      </c>
      <c r="W345" s="263">
        <f>IFERROR(W344-N(W173),0)</f>
        <v>9565</v>
      </c>
      <c r="X345" s="263">
        <f>IFERROR(X344-N(X173),0)</f>
        <v>16447</v>
      </c>
      <c r="Y345" s="263">
        <f>IFERROR(Y344-N(Y173),0)</f>
        <v>14971</v>
      </c>
      <c r="Z345" s="263">
        <f>IFERROR(Z344-N(Z173),0)</f>
        <v>6929</v>
      </c>
      <c r="AA345" s="263">
        <f>IFERROR(AA344-N(AA173),0)</f>
        <v>22189</v>
      </c>
      <c r="AB345" s="263">
        <f>IFERROR(AB344-N(AB173),0)</f>
        <v>22189</v>
      </c>
      <c r="AC345" s="263">
        <f>IFERROR(AC344-N(AC173),0)</f>
        <v>32060</v>
      </c>
      <c r="AD345" s="263">
        <f>IFERROR(AD344-N(AD173),0)</f>
        <v>34542</v>
      </c>
      <c r="AE345" s="263">
        <f>IFERROR(AE344-N(AE173),0)</f>
        <v>39970</v>
      </c>
      <c r="AF345" s="263">
        <f>IFERROR(AF344-N(AF173),0)</f>
        <v>33904</v>
      </c>
      <c r="AG345" s="263">
        <f>IFERROR(AG344-N(AG173),0)</f>
        <v>33904</v>
      </c>
      <c r="AH345" s="263">
        <f>IFERROR(AH344-N(AH173),0)</f>
        <v>44607</v>
      </c>
      <c r="AI345" s="263">
        <f>IFERROR(AI344-N(AI173),0)</f>
        <v>45347</v>
      </c>
      <c r="AJ345" s="263">
        <f>IFERROR(AJ344-N(AJ173),0)</f>
        <v>45599.6422846629</v>
      </c>
      <c r="AK345" s="263">
        <f>IFERROR(AK344-N(AK173),0)</f>
        <v>37717.4734961725</v>
      </c>
      <c r="AL345" s="263">
        <f>IFERROR(AL344-N(AL173),0)</f>
        <v>37717.4734961725</v>
      </c>
      <c r="AM345" s="263">
        <f>IFERROR(AM344-N(AM173),0)</f>
        <v>45350.9395206458</v>
      </c>
      <c r="AN345" s="263">
        <f>IFERROR(AN344-N(AN173),0)</f>
        <v>46978.7742773823</v>
      </c>
      <c r="AO345" s="263">
        <f>IFERROR(AO344-N(AO173),0)</f>
        <v>47092.0632547366</v>
      </c>
      <c r="AP345" s="263">
        <f>IFERROR(AP344-N(AP173),0)</f>
        <v>38273.9343679733</v>
      </c>
      <c r="AQ345" s="263">
        <f>IFERROR(AQ344-N(AQ173),0)</f>
        <v>38273.9343679733</v>
      </c>
      <c r="AR345" s="263">
        <f>IFERROR(AR344-N(AR173),0)</f>
        <v>47242.5987460126</v>
      </c>
      <c r="AS345" s="263">
        <f>IFERROR(AS344-N(AS173),0)</f>
        <v>48747.7320303811</v>
      </c>
      <c r="AT345" s="263">
        <f>IFERROR(AT344-N(AT173),0)</f>
        <v>48873.9069469859</v>
      </c>
      <c r="AU345" s="263">
        <f>IFERROR(AU344-N(AU173),0)</f>
        <v>39052.7689785648</v>
      </c>
      <c r="AV345" s="263">
        <f>IFERROR(AV344-N(AV173),0)</f>
        <v>39052.7689785648</v>
      </c>
      <c r="AW345" s="263">
        <f>IFERROR(AW344-N(AW173),0)</f>
        <v>48833.355470537</v>
      </c>
      <c r="AX345" s="263">
        <f>IFERROR(AX344-N(AX173),0)</f>
        <v>50843.4985082425</v>
      </c>
      <c r="AY345" s="263">
        <f>IFERROR(AY344-N(AY173),0)</f>
        <v>50983.3941875399</v>
      </c>
      <c r="AZ345" s="263">
        <f>IFERROR(AZ344-N(AZ173),0)</f>
        <v>40094.266581705</v>
      </c>
      <c r="BA345" s="263">
        <f>IFERROR(BA344-N(BA173),0)</f>
        <v>40094.266581705</v>
      </c>
      <c r="BB345" s="263">
        <f>IFERROR(BB344-N(BB173),0)</f>
        <v>51087.7424162623</v>
      </c>
      <c r="BC345" s="263">
        <f>IFERROR(BC344-N(BC173),0)</f>
        <v>53306.4256944191</v>
      </c>
      <c r="BD345" s="263">
        <f>IFERROR(BD344-N(BD173),0)</f>
        <v>53460.8347083656</v>
      </c>
      <c r="BE345" s="263">
        <f>IFERROR(BE344-N(BE173),0)</f>
        <v>41442.0256586577</v>
      </c>
      <c r="BF345" s="263">
        <f>IFERROR(BF344-N(BF173),0)</f>
        <v>41442.0256586577</v>
      </c>
      <c r="BG345" s="90" t="n"/>
      <c r="BH345" s="90" t="n"/>
      <c r="BI345" s="90" t="n"/>
      <c r="BJ345" s="90" t="n"/>
      <c r="BL345" s="90" t="n"/>
      <c r="BM345" s="90" t="n"/>
      <c r="BN345" s="90" t="n"/>
      <c r="BO345" s="90" t="n"/>
      <c r="BQ345" s="90" t="n"/>
      <c r="BR345" s="90" t="n"/>
      <c r="BS345" s="90" t="n"/>
      <c r="BT345" s="90" t="n"/>
      <c r="BV345" s="90" t="n"/>
      <c r="BW345" s="90" t="n"/>
      <c r="BX345" s="90" t="n"/>
      <c r="BY345" s="90" t="n"/>
      <c r="CA345" s="90" t="n"/>
      <c r="CB345" s="90" t="n"/>
      <c r="CC345" s="90" t="n"/>
      <c r="CD345" s="90" t="n"/>
      <c r="CF345" s="90" t="n"/>
      <c r="CG345" s="90" t="n"/>
      <c r="CH345" s="90" t="n"/>
      <c r="CI345" s="90" t="n"/>
      <c r="CK345" s="90" t="n"/>
      <c r="CL345" s="90" t="n"/>
      <c r="CM345" s="90" t="n"/>
      <c r="CN345" s="90" t="n"/>
      <c r="CP345" s="90" t="n"/>
      <c r="CQ345" s="90" t="n"/>
      <c r="CR345" s="90" t="n"/>
      <c r="CS345" s="90" t="n"/>
      <c r="CU345" s="90" t="n"/>
      <c r="CV345" s="90" t="n"/>
      <c r="CW345" s="90" t="n"/>
      <c r="CX345" s="90" t="n"/>
    </row>
    <row r="346" customFormat="1" s="77">
      <c r="A346" s="76" t="n"/>
      <c r="B346" s="76" t="n"/>
      <c r="C346" s="77" t="inlineStr">
        <is>
          <t>OPERATING WORKING CAPITAL</t>
        </is>
      </c>
      <c r="D346" s="91">
        <f>IFERROR(D347-D348,"")</f>
        <v>0</v>
      </c>
      <c r="E346" s="91">
        <f>IFERROR(E347-E348,"")</f>
        <v>0</v>
      </c>
      <c r="F346" s="91">
        <f>IFERROR(F347-F348,"")</f>
        <v>0</v>
      </c>
      <c r="G346" s="91">
        <f>IFERROR(G347-G348,"")</f>
        <v>0</v>
      </c>
      <c r="H346" s="263">
        <f>IFERROR(H347-H348,0)</f>
        <v>0</v>
      </c>
      <c r="I346" s="263">
        <f>IFERROR(I347-I348,0)</f>
        <v>-41751</v>
      </c>
      <c r="J346" s="263">
        <f>IFERROR(J347-J348,0)</f>
        <v>-38988</v>
      </c>
      <c r="K346" s="263">
        <f>IFERROR(K347-K348,0)</f>
        <v>-37671</v>
      </c>
      <c r="L346" s="263">
        <f>IFERROR(L347-L348,0)</f>
        <v>-42164</v>
      </c>
      <c r="M346" s="263">
        <f>IFERROR(M347-M348,0)</f>
        <v>-42164</v>
      </c>
      <c r="N346" s="263">
        <f>IFERROR(N347-N348,0)</f>
        <v>-44181</v>
      </c>
      <c r="O346" s="263">
        <f>IFERROR(O347-O348,0)</f>
        <v>-40821</v>
      </c>
      <c r="P346" s="263">
        <f>IFERROR(P347-P348,0)</f>
        <v>-45771</v>
      </c>
      <c r="Q346" s="263">
        <f>IFERROR(Q347-Q348,0)</f>
        <v>-48381</v>
      </c>
      <c r="R346" s="263">
        <f>IFERROR(R347-R348,0)</f>
        <v>-48381</v>
      </c>
      <c r="S346" s="263">
        <f>IFERROR(S347-S348,0)</f>
        <v>-50460</v>
      </c>
      <c r="T346" s="263">
        <f>IFERROR(T347-T348,0)</f>
        <v>-53577</v>
      </c>
      <c r="U346" s="263">
        <f>IFERROR(U347-U348,0)</f>
        <v>-47490</v>
      </c>
      <c r="V346" s="263">
        <f>IFERROR(V347-V348,0)</f>
        <v>-50429</v>
      </c>
      <c r="W346" s="263">
        <f>IFERROR(W347-W348,0)</f>
        <v>-50429</v>
      </c>
      <c r="X346" s="263">
        <f>IFERROR(X347-X348,0)</f>
        <v>-49797</v>
      </c>
      <c r="Y346" s="263">
        <f>IFERROR(Y347-Y348,0)</f>
        <v>-52882</v>
      </c>
      <c r="Z346" s="263">
        <f>IFERROR(Z347-Z348,0)</f>
        <v>-67697</v>
      </c>
      <c r="AA346" s="263">
        <f>IFERROR(AA347-AA348,0)</f>
        <v>-52057</v>
      </c>
      <c r="AB346" s="263">
        <f>IFERROR(AB347-AB348,0)</f>
        <v>-52057</v>
      </c>
      <c r="AC346" s="263">
        <f>IFERROR(AC347-AC348,0)</f>
        <v>-54775</v>
      </c>
      <c r="AD346" s="263">
        <f>IFERROR(AD347-AD348,0)</f>
        <v>-54733</v>
      </c>
      <c r="AE346" s="263">
        <f>IFERROR(AE347-AE348,0)</f>
        <v>-52042</v>
      </c>
      <c r="AF346" s="263">
        <f>IFERROR(AF347-AF348,0)</f>
        <v>-57346</v>
      </c>
      <c r="AG346" s="263">
        <f>IFERROR(AG347-AG348,0)</f>
        <v>-57346</v>
      </c>
      <c r="AH346" s="263">
        <f>IFERROR(AH347-AH348,0)</f>
        <v>-48727</v>
      </c>
      <c r="AI346" s="263">
        <f>IFERROR(AI347-AI348,0)</f>
        <v>-48903</v>
      </c>
      <c r="AJ346" s="263">
        <f>IFERROR(AJ347-AJ348,0)</f>
        <v>-49545.6717022675</v>
      </c>
      <c r="AK346" s="263">
        <f>IFERROR(AK347-AK348,0)</f>
        <v>-58683.9328287545</v>
      </c>
      <c r="AL346" s="263">
        <f>IFERROR(AL347-AL348,0)</f>
        <v>-58683.9328287545</v>
      </c>
      <c r="AM346" s="263">
        <f>IFERROR(AM347-AM348,0)</f>
        <v>-52021.9557891432</v>
      </c>
      <c r="AN346" s="263">
        <f>IFERROR(AN347-AN348,0)</f>
        <v>-51350.1705562289</v>
      </c>
      <c r="AO346" s="263">
        <f>IFERROR(AO347-AO348,0)</f>
        <v>-52238.5087125642</v>
      </c>
      <c r="AP346" s="263">
        <f>IFERROR(AP347-AP348,0)</f>
        <v>-62461.8833416293</v>
      </c>
      <c r="AQ346" s="263">
        <f>IFERROR(AQ347-AQ348,0)</f>
        <v>-62461.8833416293</v>
      </c>
      <c r="AR346" s="263">
        <f>IFERROR(AR347-AR348,0)</f>
        <v>-54575.2089727691</v>
      </c>
      <c r="AS346" s="263">
        <f>IFERROR(AS347-AS348,0)</f>
        <v>-54134.8700907817</v>
      </c>
      <c r="AT346" s="263">
        <f>IFERROR(AT347-AT348,0)</f>
        <v>-55124.2513652014</v>
      </c>
      <c r="AU346" s="263">
        <f>IFERROR(AU347-AU348,0)</f>
        <v>-66510.4733204759</v>
      </c>
      <c r="AV346" s="263">
        <f>IFERROR(AV347-AV348,0)</f>
        <v>-66510.4733204759</v>
      </c>
      <c r="AW346" s="263">
        <f>IFERROR(AW347-AW348,0)</f>
        <v>-57929.5367383281</v>
      </c>
      <c r="AX346" s="263">
        <f>IFERROR(AX347-AX348,0)</f>
        <v>-57099.9780849158</v>
      </c>
      <c r="AY346" s="263">
        <f>IFERROR(AY347-AY348,0)</f>
        <v>-58196.948617518</v>
      </c>
      <c r="AZ346" s="263">
        <f>IFERROR(AZ347-AZ348,0)</f>
        <v>-70821.3536730224</v>
      </c>
      <c r="BA346" s="263">
        <f>IFERROR(BA347-BA348,0)</f>
        <v>-70821.3536730224</v>
      </c>
      <c r="BB346" s="263">
        <f>IFERROR(BB347-BB348,0)</f>
        <v>-61151.9842053474</v>
      </c>
      <c r="BC346" s="263">
        <f>IFERROR(BC347-BC348,0)</f>
        <v>-60236.3638350293</v>
      </c>
      <c r="BD346" s="263">
        <f>IFERROR(BD347-BD348,0)</f>
        <v>-61447.1384573634</v>
      </c>
      <c r="BE346" s="263">
        <f>IFERROR(BE347-BE348,0)</f>
        <v>-75381.2495469398</v>
      </c>
      <c r="BF346" s="263">
        <f>IFERROR(BF347-BF348,0)</f>
        <v>-75381.2495469398</v>
      </c>
      <c r="BG346" s="63" t="n"/>
      <c r="BH346" s="63" t="n"/>
      <c r="BI346" s="63" t="n"/>
      <c r="BJ346" s="63" t="n"/>
      <c r="BL346" s="63" t="n"/>
      <c r="BM346" s="63" t="n"/>
      <c r="BN346" s="63" t="n"/>
      <c r="BO346" s="63" t="n"/>
      <c r="BQ346" s="63" t="n"/>
      <c r="BR346" s="63" t="n"/>
      <c r="BS346" s="63" t="n"/>
      <c r="BT346" s="63" t="n"/>
      <c r="BV346" s="63" t="n"/>
      <c r="BW346" s="63" t="n"/>
      <c r="BX346" s="63" t="n"/>
      <c r="BY346" s="63" t="n"/>
      <c r="CA346" s="63" t="n"/>
      <c r="CB346" s="63" t="n"/>
      <c r="CC346" s="63" t="n"/>
      <c r="CD346" s="63" t="n"/>
      <c r="CF346" s="63" t="n"/>
      <c r="CG346" s="63" t="n"/>
      <c r="CH346" s="63" t="n"/>
      <c r="CI346" s="63" t="n"/>
      <c r="CK346" s="63" t="n"/>
      <c r="CL346" s="63" t="n"/>
      <c r="CM346" s="63" t="n"/>
      <c r="CN346" s="63" t="n"/>
      <c r="CP346" s="63" t="n"/>
      <c r="CQ346" s="63" t="n"/>
      <c r="CR346" s="63" t="n"/>
      <c r="CS346" s="63" t="n"/>
      <c r="CU346" s="63" t="n"/>
      <c r="CV346" s="63" t="n"/>
      <c r="CW346" s="63" t="n"/>
      <c r="CX346" s="63" t="n"/>
    </row>
    <row r="347" customFormat="1" s="77">
      <c r="A347" s="76" t="n"/>
      <c r="B347" s="76" t="n"/>
      <c r="C347" s="77" t="inlineStr">
        <is>
          <t>CURRENT ASSETS (OPERATING, EX CASH)</t>
        </is>
      </c>
      <c r="D347" s="89">
        <f>IFERROR(D139+D143+D147+D148+D149,"")</f>
        <v>0</v>
      </c>
      <c r="E347" s="89">
        <f>IFERROR(E139+E143+E147+E148+E149,"")</f>
        <v>0</v>
      </c>
      <c r="F347" s="89">
        <f>IFERROR(F139+F143+F147+F148+F149,"")</f>
        <v>0</v>
      </c>
      <c r="G347" s="89">
        <f>IFERROR(G139+G143+G147+G148+G149,"")</f>
        <v>0</v>
      </c>
      <c r="H347" s="263">
        <f>IFERROR((N(H139)+N(H143)+N(H147)+N(H148)+N(H149)),0)</f>
        <v>0</v>
      </c>
      <c r="I347" s="263">
        <f>IFERROR((N(I139)+N(I143)+N(I147)+N(I148)+N(I149)),0)</f>
        <v>51631</v>
      </c>
      <c r="J347" s="263">
        <f>IFERROR((N(J139)+N(J143)+N(J147)+N(J148)+N(J149)),0)</f>
        <v>52727</v>
      </c>
      <c r="K347" s="263">
        <f>IFERROR((N(K139)+N(K143)+N(K147)+N(K148)+N(K149)),0)</f>
        <v>72197</v>
      </c>
      <c r="L347" s="263">
        <f>IFERROR((N(L139)+N(L143)+N(L147)+N(L148)+N(L149)),0)</f>
        <v>89241</v>
      </c>
      <c r="M347" s="263">
        <f>IFERROR((N(M139)+N(M143)+N(M147)+N(M148)+N(M149)),0)</f>
        <v>89241</v>
      </c>
      <c r="N347" s="263">
        <f>IFERROR((N(N139)+N(N143)+N(N147)+N(N148)+N(N149)),0)</f>
        <v>66669</v>
      </c>
      <c r="O347" s="263">
        <f>IFERROR((N(O139)+N(O143)+N(O147)+N(O148)+N(O149)),0)</f>
        <v>64061</v>
      </c>
      <c r="P347" s="263">
        <f>IFERROR((N(P139)+N(P143)+N(P147)+N(P148)+N(P149)),0)</f>
        <v>87101</v>
      </c>
      <c r="Q347" s="263">
        <f>IFERROR((N(Q139)+N(Q143)+N(Q147)+N(Q148)+N(Q149)),0)</f>
        <v>77422</v>
      </c>
      <c r="R347" s="263">
        <f>IFERROR((N(R139)+N(R143)+N(R147)+N(R148)+N(R149)),0)</f>
        <v>77422</v>
      </c>
      <c r="S347" s="263">
        <f>IFERROR((N(S139)+N(S143)+N(S147)+N(S148)+N(S149)),0)</f>
        <v>57041</v>
      </c>
      <c r="T347" s="263">
        <f>IFERROR((N(T139)+N(T143)+N(T147)+N(T148)+N(T149)),0)</f>
        <v>60177</v>
      </c>
      <c r="U347" s="263">
        <f>IFERROR((N(U139)+N(U143)+N(U147)+N(U148)+N(U149)),0)</f>
        <v>82011</v>
      </c>
      <c r="V347" s="263">
        <f>IFERROR((N(V139)+N(V143)+N(V147)+N(V148)+N(V149)),0)</f>
        <v>70592</v>
      </c>
      <c r="W347" s="263">
        <f>IFERROR((N(W139)+N(W143)+N(W147)+N(W148)+N(W149)),0)</f>
        <v>70592</v>
      </c>
      <c r="X347" s="263">
        <f>IFERROR((N(X139)+N(X143)+N(X147)+N(X148)+N(X149)),0)</f>
        <v>61266</v>
      </c>
      <c r="Y347" s="263">
        <f>IFERROR((N(Y139)+N(Y143)+N(Y147)+N(Y148)+N(Y149)),0)</f>
        <v>63634</v>
      </c>
      <c r="Z347" s="263">
        <f>IFERROR((N(Z139)+N(Z143)+N(Z147)+N(Z148)+N(Z149)),0)</f>
        <v>87816</v>
      </c>
      <c r="AA347" s="263">
        <f>IFERROR((N(AA139)+N(AA143)+N(AA147)+N(AA148)+N(AA149)),0)</f>
        <v>79465</v>
      </c>
      <c r="AB347" s="263">
        <f>IFERROR((N(AB139)+N(AB143)+N(AB147)+N(AB148)+N(AB149)),0)</f>
        <v>79465</v>
      </c>
      <c r="AC347" s="263">
        <f>IFERROR((N(AC139)+N(AC143)+N(AC147)+N(AC148)+N(AC149)),0)</f>
        <v>70176</v>
      </c>
      <c r="AD347" s="263">
        <f>IFERROR((N(AD139)+N(AD143)+N(AD147)+N(AD148)+N(AD149)),0)</f>
        <v>67119</v>
      </c>
      <c r="AE347" s="263">
        <f>IFERROR((N(AE139)+N(AE143)+N(AE147)+N(AE148)+N(AE149)),0)</f>
        <v>93260</v>
      </c>
      <c r="AF347" s="263">
        <f>IFERROR((N(AF139)+N(AF143)+N(AF147)+N(AF148)+N(AF149)),0)</f>
        <v>91197</v>
      </c>
      <c r="AG347" s="263">
        <f>IFERROR((N(AG139)+N(AG143)+N(AG147)+N(AG148)+N(AG149)),0)</f>
        <v>91197</v>
      </c>
      <c r="AH347" s="263">
        <f>IFERROR((N(AH139)+N(AH143)+N(AH147)+N(AH148)+N(AH149)),0)</f>
        <v>75607</v>
      </c>
      <c r="AI347" s="263">
        <f>IFERROR((N(AI139)+N(AI143)+N(AI147)+N(AI148)+N(AI149)),0)</f>
        <v>87419</v>
      </c>
      <c r="AJ347" s="263">
        <f>IFERROR((N(AJ139)+N(AJ143)+N(AJ147)+N(AJ148)+N(AJ149)),0)</f>
        <v>86183.7618542578</v>
      </c>
      <c r="AK347" s="263">
        <f>IFERROR((N(AK139)+N(AK143)+N(AK147)+N(AK148)+N(AK149)),0)</f>
        <v>102807.901734436</v>
      </c>
      <c r="AL347" s="263">
        <f>IFERROR((N(AL139)+N(AL143)+N(AL147)+N(AL148)+N(AL149)),0)</f>
        <v>102807.901734436</v>
      </c>
      <c r="AM347" s="263">
        <f>IFERROR((N(AM139)+N(AM143)+N(AM147)+N(AM148)+N(AM149)),0)</f>
        <v>90688.5677985705</v>
      </c>
      <c r="AN347" s="263">
        <f>IFERROR((N(AN139)+N(AN143)+N(AN147)+N(AN148)+N(AN149)),0)</f>
        <v>89466.4696852833</v>
      </c>
      <c r="AO347" s="263">
        <f>IFERROR((N(AO139)+N(AO143)+N(AO147)+N(AO148)+N(AO149)),0)</f>
        <v>91082.5164985019</v>
      </c>
      <c r="AP347" s="263">
        <f>IFERROR((N(AP139)+N(AP143)+N(AP147)+N(AP148)+N(AP149)),0)</f>
        <v>109680.672923298</v>
      </c>
      <c r="AQ347" s="263">
        <f>IFERROR((N(AQ139)+N(AQ143)+N(AQ147)+N(AQ148)+N(AQ149)),0)</f>
        <v>109680.672923298</v>
      </c>
      <c r="AR347" s="263">
        <f>IFERROR((N(AR139)+N(AR143)+N(AR147)+N(AR148)+N(AR149)),0)</f>
        <v>95333.3943674981</v>
      </c>
      <c r="AS347" s="263">
        <f>IFERROR((N(AS139)+N(AS143)+N(AS147)+N(AS148)+N(AS149)),0)</f>
        <v>94532.3387763396</v>
      </c>
      <c r="AT347" s="263">
        <f>IFERROR((N(AT139)+N(AT143)+N(AT147)+N(AT148)+N(AT149)),0)</f>
        <v>96332.2011870457</v>
      </c>
      <c r="AU347" s="263">
        <f>IFERROR((N(AU139)+N(AU143)+N(AU147)+N(AU148)+N(AU149)),0)</f>
        <v>117045.785956756</v>
      </c>
      <c r="AV347" s="263">
        <f>IFERROR((N(AV139)+N(AV143)+N(AV147)+N(AV148)+N(AV149)),0)</f>
        <v>117045.785956756</v>
      </c>
      <c r="AW347" s="263">
        <f>IFERROR((N(AW139)+N(AW143)+N(AW147)+N(AW148)+N(AW149)),0)</f>
        <v>101435.519619423</v>
      </c>
      <c r="AX347" s="263">
        <f>IFERROR((N(AX139)+N(AX143)+N(AX147)+N(AX148)+N(AX149)),0)</f>
        <v>99926.4032894935</v>
      </c>
      <c r="AY347" s="263">
        <f>IFERROR((N(AY139)+N(AY143)+N(AY147)+N(AY148)+N(AY149)),0)</f>
        <v>101921.989903401</v>
      </c>
      <c r="AZ347" s="263">
        <f>IFERROR((N(AZ139)+N(AZ143)+N(AZ147)+N(AZ148)+N(AZ149)),0)</f>
        <v>124888.052334954</v>
      </c>
      <c r="BA347" s="263">
        <f>IFERROR((N(BA139)+N(BA143)+N(BA147)+N(BA148)+N(BA149)),0)</f>
        <v>124888.052334954</v>
      </c>
      <c r="BB347" s="263">
        <f>IFERROR((N(BB139)+N(BB143)+N(BB147)+N(BB148)+N(BB149)),0)</f>
        <v>107297.730898654</v>
      </c>
      <c r="BC347" s="263">
        <f>IFERROR((N(BC139)+N(BC143)+N(BC147)+N(BC148)+N(BC149)),0)</f>
        <v>105632.052833361</v>
      </c>
      <c r="BD347" s="263">
        <f>IFERROR((N(BD139)+N(BD143)+N(BD147)+N(BD148)+N(BD149)),0)</f>
        <v>107834.669546371</v>
      </c>
      <c r="BE347" s="263">
        <f>IFERROR((N(BE139)+N(BE143)+N(BE147)+N(BE148)+N(BE149)),0)</f>
        <v>133183.322714931</v>
      </c>
      <c r="BF347" s="263">
        <f>IFERROR((N(BF139)+N(BF143)+N(BF147)+N(BF148)+N(BF149)),0)</f>
        <v>133183.322714931</v>
      </c>
      <c r="BG347" s="90" t="n"/>
      <c r="BH347" s="90" t="n"/>
      <c r="BI347" s="90" t="n"/>
      <c r="BJ347" s="90" t="n"/>
      <c r="BL347" s="90" t="n"/>
      <c r="BM347" s="90" t="n"/>
      <c r="BN347" s="90" t="n"/>
      <c r="BO347" s="90" t="n"/>
      <c r="BQ347" s="90" t="n"/>
      <c r="BR347" s="90" t="n"/>
      <c r="BS347" s="90" t="n"/>
      <c r="BT347" s="90" t="n"/>
      <c r="BV347" s="90" t="n"/>
      <c r="BW347" s="90" t="n"/>
      <c r="BX347" s="90" t="n"/>
      <c r="BY347" s="90" t="n"/>
      <c r="CA347" s="90" t="n"/>
      <c r="CB347" s="90" t="n"/>
      <c r="CC347" s="90" t="n"/>
      <c r="CD347" s="90" t="n"/>
      <c r="CF347" s="90" t="n"/>
      <c r="CG347" s="90" t="n"/>
      <c r="CH347" s="90" t="n"/>
      <c r="CI347" s="90" t="n"/>
      <c r="CK347" s="90" t="n"/>
      <c r="CL347" s="90" t="n"/>
      <c r="CM347" s="90" t="n"/>
      <c r="CN347" s="90" t="n"/>
      <c r="CP347" s="90" t="n"/>
      <c r="CQ347" s="90" t="n"/>
      <c r="CR347" s="90" t="n"/>
      <c r="CS347" s="90" t="n"/>
      <c r="CU347" s="90" t="n"/>
      <c r="CV347" s="90" t="n"/>
      <c r="CW347" s="90" t="n"/>
      <c r="CX347" s="90" t="n"/>
    </row>
    <row r="348" customFormat="1" s="77">
      <c r="A348" s="76" t="n"/>
      <c r="B348" s="76" t="n"/>
      <c r="C348" s="77" t="inlineStr">
        <is>
          <t>CURRENT LIABILITIES (OPERATING, EX DEBT)</t>
        </is>
      </c>
      <c r="D348" s="89">
        <f>IFERROR(D192+D196+D198+D199,"")</f>
        <v>0</v>
      </c>
      <c r="E348" s="89">
        <f>IFERROR(E192+E196+E198+E199,"")</f>
        <v>0</v>
      </c>
      <c r="F348" s="89">
        <f>IFERROR(F192+F196+F198+F199,"")</f>
        <v>0</v>
      </c>
      <c r="G348" s="89">
        <f>IFERROR(G192+G196+G198+G199,"")</f>
        <v>0</v>
      </c>
      <c r="H348" s="263">
        <f>IFERROR((N(H192)+N(H196)+N(H198)+N(H199)),0)</f>
        <v>0</v>
      </c>
      <c r="I348" s="263">
        <f>IFERROR((N(I192)+N(I196)+N(I198)+N(I199)),0)</f>
        <v>93382</v>
      </c>
      <c r="J348" s="263">
        <f>IFERROR((N(J192)+N(J196)+N(J198)+N(J199)),0)</f>
        <v>91715</v>
      </c>
      <c r="K348" s="263">
        <f>IFERROR((N(K192)+N(K196)+N(K198)+N(K199)),0)</f>
        <v>109868</v>
      </c>
      <c r="L348" s="263">
        <f>IFERROR((N(L192)+N(L196)+N(L198)+N(L199)),0)</f>
        <v>131405</v>
      </c>
      <c r="M348" s="263">
        <f>IFERROR((N(M192)+N(M196)+N(M198)+N(M199)),0)</f>
        <v>131405</v>
      </c>
      <c r="N348" s="263">
        <f>IFERROR((N(N192)+N(N196)+N(N198)+N(N199)),0)</f>
        <v>110850</v>
      </c>
      <c r="O348" s="263">
        <f>IFERROR((N(O192)+N(O196)+N(O198)+N(O199)),0)</f>
        <v>104882</v>
      </c>
      <c r="P348" s="263">
        <f>IFERROR((N(P192)+N(P196)+N(P198)+N(P199)),0)</f>
        <v>132872</v>
      </c>
      <c r="Q348" s="263">
        <f>IFERROR((N(Q192)+N(Q196)+N(Q198)+N(Q199)),0)</f>
        <v>125803</v>
      </c>
      <c r="R348" s="263">
        <f>IFERROR((N(R192)+N(R196)+N(R198)+N(R199)),0)</f>
        <v>125803</v>
      </c>
      <c r="S348" s="263">
        <f>IFERROR((N(S192)+N(S196)+N(S198)+N(S199)),0)</f>
        <v>107501</v>
      </c>
      <c r="T348" s="263">
        <f>IFERROR((N(T192)+N(T196)+N(T198)+N(T199)),0)</f>
        <v>113754</v>
      </c>
      <c r="U348" s="263">
        <f>IFERROR((N(U192)+N(U196)+N(U198)+N(U199)),0)</f>
        <v>129501</v>
      </c>
      <c r="V348" s="263">
        <f>IFERROR((N(V192)+N(V196)+N(V198)+N(V199)),0)</f>
        <v>121021</v>
      </c>
      <c r="W348" s="263">
        <f>IFERROR((N(W192)+N(W196)+N(W198)+N(W199)),0)</f>
        <v>121021</v>
      </c>
      <c r="X348" s="263">
        <f>IFERROR((N(X192)+N(X196)+N(X198)+N(X199)),0)</f>
        <v>111063</v>
      </c>
      <c r="Y348" s="263">
        <f>IFERROR((N(Y192)+N(Y196)+N(Y198)+N(Y199)),0)</f>
        <v>116516</v>
      </c>
      <c r="Z348" s="263">
        <f>IFERROR((N(Z192)+N(Z196)+N(Z198)+N(Z199)),0)</f>
        <v>155513</v>
      </c>
      <c r="AA348" s="263">
        <f>IFERROR((N(AA192)+N(AA196)+N(AA198)+N(AA199)),0)</f>
        <v>131522</v>
      </c>
      <c r="AB348" s="263">
        <f>IFERROR((N(AB192)+N(AB196)+N(AB198)+N(AB199)),0)</f>
        <v>131522</v>
      </c>
      <c r="AC348" s="263">
        <f>IFERROR((N(AC192)+N(AC196)+N(AC198)+N(AC199)),0)</f>
        <v>124951</v>
      </c>
      <c r="AD348" s="263">
        <f>IFERROR((N(AD192)+N(AD196)+N(AD198)+N(AD199)),0)</f>
        <v>121852</v>
      </c>
      <c r="AE348" s="263">
        <f>IFERROR((N(AE192)+N(AE196)+N(AE198)+N(AE199)),0)</f>
        <v>145302</v>
      </c>
      <c r="AF348" s="263">
        <f>IFERROR((N(AF192)+N(AF196)+N(AF198)+N(AF199)),0)</f>
        <v>148543</v>
      </c>
      <c r="AG348" s="263">
        <f>IFERROR((N(AG192)+N(AG196)+N(AG198)+N(AG199)),0)</f>
        <v>148543</v>
      </c>
      <c r="AH348" s="263">
        <f>IFERROR((N(AH192)+N(AH196)+N(AH198)+N(AH199)),0)</f>
        <v>124334</v>
      </c>
      <c r="AI348" s="263">
        <f>IFERROR((N(AI192)+N(AI196)+N(AI198)+N(AI199)),0)</f>
        <v>136322</v>
      </c>
      <c r="AJ348" s="263">
        <f>IFERROR((N(AJ192)+N(AJ196)+N(AJ198)+N(AJ199)),0)</f>
        <v>135729.433556525</v>
      </c>
      <c r="AK348" s="263">
        <f>IFERROR((N(AK192)+N(AK196)+N(AK198)+N(AK199)),0)</f>
        <v>161491.83456319</v>
      </c>
      <c r="AL348" s="263">
        <f>IFERROR((N(AL192)+N(AL196)+N(AL198)+N(AL199)),0)</f>
        <v>161491.83456319</v>
      </c>
      <c r="AM348" s="263">
        <f>IFERROR((N(AM192)+N(AM196)+N(AM198)+N(AM199)),0)</f>
        <v>142710.523587714</v>
      </c>
      <c r="AN348" s="263">
        <f>IFERROR((N(AN192)+N(AN196)+N(AN198)+N(AN199)),0)</f>
        <v>140816.640241512</v>
      </c>
      <c r="AO348" s="263">
        <f>IFERROR((N(AO192)+N(AO196)+N(AO198)+N(AO199)),0)</f>
        <v>143321.025211066</v>
      </c>
      <c r="AP348" s="263">
        <f>IFERROR((N(AP192)+N(AP196)+N(AP198)+N(AP199)),0)</f>
        <v>172142.556264927</v>
      </c>
      <c r="AQ348" s="263">
        <f>IFERROR((N(AQ192)+N(AQ196)+N(AQ198)+N(AQ199)),0)</f>
        <v>172142.556264927</v>
      </c>
      <c r="AR348" s="263">
        <f>IFERROR((N(AR192)+N(AR196)+N(AR198)+N(AR199)),0)</f>
        <v>149908.603340267</v>
      </c>
      <c r="AS348" s="263">
        <f>IFERROR((N(AS192)+N(AS196)+N(AS198)+N(AS199)),0)</f>
        <v>148667.208867121</v>
      </c>
      <c r="AT348" s="263">
        <f>IFERROR((N(AT192)+N(AT196)+N(AT198)+N(AT199)),0)</f>
        <v>151456.452552247</v>
      </c>
      <c r="AU348" s="263">
        <f>IFERROR((N(AU192)+N(AU196)+N(AU198)+N(AU199)),0)</f>
        <v>183556.259277232</v>
      </c>
      <c r="AV348" s="263">
        <f>IFERROR((N(AV192)+N(AV196)+N(AV198)+N(AV199)),0)</f>
        <v>183556.259277232</v>
      </c>
      <c r="AW348" s="263">
        <f>IFERROR((N(AW192)+N(AW196)+N(AW198)+N(AW199)),0)</f>
        <v>159365.056357751</v>
      </c>
      <c r="AX348" s="263">
        <f>IFERROR((N(AX192)+N(AX196)+N(AX198)+N(AX199)),0)</f>
        <v>157026.381374409</v>
      </c>
      <c r="AY348" s="263">
        <f>IFERROR((N(AY192)+N(AY196)+N(AY198)+N(AY199)),0)</f>
        <v>160118.938520919</v>
      </c>
      <c r="AZ348" s="263">
        <f>IFERROR((N(AZ192)+N(AZ196)+N(AZ198)+N(AZ199)),0)</f>
        <v>195709.406007976</v>
      </c>
      <c r="BA348" s="263">
        <f>IFERROR((N(BA192)+N(BA196)+N(BA198)+N(BA199)),0)</f>
        <v>195709.406007976</v>
      </c>
      <c r="BB348" s="263">
        <f>IFERROR((N(BB192)+N(BB196)+N(BB198)+N(BB199)),0)</f>
        <v>168449.715104001</v>
      </c>
      <c r="BC348" s="263">
        <f>IFERROR((N(BC192)+N(BC196)+N(BC198)+N(BC199)),0)</f>
        <v>165868.41666839</v>
      </c>
      <c r="BD348" s="263">
        <f>IFERROR((N(BD192)+N(BD196)+N(BD198)+N(BD199)),0)</f>
        <v>169281.808003735</v>
      </c>
      <c r="BE348" s="263">
        <f>IFERROR((N(BE192)+N(BE196)+N(BE198)+N(BE199)),0)</f>
        <v>208564.572261871</v>
      </c>
      <c r="BF348" s="263">
        <f>IFERROR((N(BF192)+N(BF196)+N(BF198)+N(BF199)),0)</f>
        <v>208564.572261871</v>
      </c>
      <c r="BG348" s="90" t="n"/>
      <c r="BH348" s="90" t="n"/>
      <c r="BI348" s="90" t="n"/>
      <c r="BJ348" s="90" t="n"/>
      <c r="BL348" s="90" t="n"/>
      <c r="BM348" s="90" t="n"/>
      <c r="BN348" s="90" t="n"/>
      <c r="BO348" s="90" t="n"/>
      <c r="BQ348" s="90" t="n"/>
      <c r="BR348" s="90" t="n"/>
      <c r="BS348" s="90" t="n"/>
      <c r="BT348" s="90" t="n"/>
      <c r="BV348" s="90" t="n"/>
      <c r="BW348" s="90" t="n"/>
      <c r="BX348" s="90" t="n"/>
      <c r="BY348" s="90" t="n"/>
      <c r="CA348" s="90" t="n"/>
      <c r="CB348" s="90" t="n"/>
      <c r="CC348" s="90" t="n"/>
      <c r="CD348" s="90" t="n"/>
      <c r="CF348" s="90" t="n"/>
      <c r="CG348" s="90" t="n"/>
      <c r="CH348" s="90" t="n"/>
      <c r="CI348" s="90" t="n"/>
      <c r="CK348" s="90" t="n"/>
      <c r="CL348" s="90" t="n"/>
      <c r="CM348" s="90" t="n"/>
      <c r="CN348" s="90" t="n"/>
      <c r="CP348" s="90" t="n"/>
      <c r="CQ348" s="90" t="n"/>
      <c r="CR348" s="90" t="n"/>
      <c r="CS348" s="90" t="n"/>
      <c r="CU348" s="90" t="n"/>
      <c r="CV348" s="90" t="n"/>
      <c r="CW348" s="90" t="n"/>
      <c r="CX348" s="90" t="n"/>
    </row>
    <row r="349" customFormat="1" s="77">
      <c r="A349" s="76" t="n"/>
      <c r="B349" s="76" t="n"/>
      <c r="C349" s="77" t="inlineStr">
        <is>
          <t>FIXED ASSETS</t>
        </is>
      </c>
      <c r="D349" s="89">
        <f>IFERROR(D160+D170+D173+D174+D183-D234,"")</f>
        <v>0</v>
      </c>
      <c r="E349" s="89">
        <f>IFERROR(E160+E170+E173+E174+E183-E234,"")</f>
        <v>0</v>
      </c>
      <c r="F349" s="89">
        <f>IFERROR(F160+F170+F173+F174+F183-F234,"")</f>
        <v>0</v>
      </c>
      <c r="G349" s="89">
        <f>IFERROR(G160+G170+G173+G174+G183-G234,"")</f>
        <v>0</v>
      </c>
      <c r="H349" s="263">
        <f>IFERROR((N(H160)+N(H170)+N(H173)+N(H174)+N(H183))-N(H234),0)</f>
        <v>0</v>
      </c>
      <c r="I349" s="263">
        <f>IFERROR((N(I160)+N(I170)+N(I173)+N(I174)+N(I183))-N(I234),0)</f>
        <v>28201</v>
      </c>
      <c r="J349" s="263">
        <f>IFERROR((N(J160)+N(J170)+N(J173)+N(J174)+N(J183))-N(J234),0)</f>
        <v>31415</v>
      </c>
      <c r="K349" s="263">
        <f>IFERROR((N(K160)+N(K170)+N(K173)+N(K174)+N(K183))-N(K234),0)</f>
        <v>34964</v>
      </c>
      <c r="L349" s="263">
        <f>IFERROR((N(L160)+N(L170)+N(L173)+N(L174)+N(L183))-N(L234),0)</f>
        <v>34298</v>
      </c>
      <c r="M349" s="263">
        <f>IFERROR((N(M160)+N(M170)+N(M173)+N(M174)+N(M183))-N(M234),0)</f>
        <v>34298</v>
      </c>
      <c r="N349" s="263">
        <f>IFERROR((N(N160)+N(N170)+N(N173)+N(N174)+N(N183))-N(N234),0)</f>
        <v>38831</v>
      </c>
      <c r="O349" s="263">
        <f>IFERROR((N(O160)+N(O170)+N(O173)+N(O174)+N(O183))-N(O234),0)</f>
        <v>39311</v>
      </c>
      <c r="P349" s="263">
        <f>IFERROR((N(P160)+N(P170)+N(P173)+N(P174)+N(P183))-N(P234),0)</f>
        <v>47403</v>
      </c>
      <c r="Q349" s="263">
        <f>IFERROR((N(Q160)+N(Q170)+N(Q173)+N(Q174)+N(Q183))-N(Q234),0)</f>
        <v>50768</v>
      </c>
      <c r="R349" s="263">
        <f>IFERROR((N(R160)+N(R170)+N(R173)+N(R174)+N(R183))-N(R234),0)</f>
        <v>50768</v>
      </c>
      <c r="S349" s="263">
        <f>IFERROR((N(S160)+N(S170)+N(S173)+N(S174)+N(S183))-N(S234),0)</f>
        <v>55900</v>
      </c>
      <c r="T349" s="263">
        <f>IFERROR((N(T160)+N(T170)+N(T173)+N(T174)+N(T183))-N(T234),0)</f>
        <v>56588</v>
      </c>
      <c r="U349" s="263">
        <f>IFERROR((N(U160)+N(U170)+N(U173)+N(U174)+N(U183))-N(U234),0)</f>
        <v>58625</v>
      </c>
      <c r="V349" s="263">
        <f>IFERROR((N(V160)+N(V170)+N(V173)+N(V174)+N(V183))-N(V234),0)</f>
        <v>59994</v>
      </c>
      <c r="W349" s="263">
        <f>IFERROR((N(W160)+N(W170)+N(W173)+N(W174)+N(W183))-N(W234),0)</f>
        <v>59994</v>
      </c>
      <c r="X349" s="263">
        <f>IFERROR((N(X160)+N(X170)+N(X173)+N(X174)+N(X183))-N(X234),0)</f>
        <v>66244</v>
      </c>
      <c r="Y349" s="263">
        <f>IFERROR((N(Y160)+N(Y170)+N(Y173)+N(Y174)+N(Y183))-N(Y234),0)</f>
        <v>67853</v>
      </c>
      <c r="Z349" s="263">
        <f>IFERROR((N(Z160)+N(Z170)+N(Z173)+N(Z174)+N(Z183))-N(Z234),0)</f>
        <v>74626</v>
      </c>
      <c r="AA349" s="263">
        <f>IFERROR((N(AA160)+N(AA170)+N(AA173)+N(AA174)+N(AA183))-N(AA234),0)</f>
        <v>74246</v>
      </c>
      <c r="AB349" s="263">
        <f>IFERROR((N(AB160)+N(AB170)+N(AB173)+N(AB174)+N(AB183))-N(AB234),0)</f>
        <v>74246</v>
      </c>
      <c r="AC349" s="263">
        <f>IFERROR((N(AC160)+N(AC170)+N(AC173)+N(AC174)+N(AC183))-N(AC234),0)</f>
        <v>86835</v>
      </c>
      <c r="AD349" s="263">
        <f>IFERROR((N(AD160)+N(AD170)+N(AD173)+N(AD174)+N(AD183))-N(AD234),0)</f>
        <v>89275</v>
      </c>
      <c r="AE349" s="263">
        <f>IFERROR((N(AE160)+N(AE170)+N(AE173)+N(AE174)+N(AE183))-N(AE234),0)</f>
        <v>92012</v>
      </c>
      <c r="AF349" s="263">
        <f>IFERROR((N(AF160)+N(AF170)+N(AF173)+N(AF174)+N(AF183))-N(AF234),0)</f>
        <v>91250</v>
      </c>
      <c r="AG349" s="263">
        <f>IFERROR((N(AG160)+N(AG170)+N(AG173)+N(AG174)+N(AG183))-N(AG234),0)</f>
        <v>91250</v>
      </c>
      <c r="AH349" s="263">
        <f>IFERROR((N(AH160)+N(AH170)+N(AH173)+N(AH174)+N(AH183))-N(AH234),0)</f>
        <v>93334</v>
      </c>
      <c r="AI349" s="263">
        <f>IFERROR((N(AI160)+N(AI170)+N(AI173)+N(AI174)+N(AI183))-N(AI234),0)</f>
        <v>94250</v>
      </c>
      <c r="AJ349" s="263">
        <f>IFERROR((N(AJ160)+N(AJ170)+N(AJ173)+N(AJ174)+N(AJ183))-N(AJ234),0)</f>
        <v>95145.3139869304</v>
      </c>
      <c r="AK349" s="263">
        <f>IFERROR((N(AK160)+N(AK170)+N(AK173)+N(AK174)+N(AK183))-N(AK234),0)</f>
        <v>96401.406324927</v>
      </c>
      <c r="AL349" s="263">
        <f>IFERROR((N(AL160)+N(AL170)+N(AL173)+N(AL174)+N(AL183))-N(AL234),0)</f>
        <v>96401.406324927</v>
      </c>
      <c r="AM349" s="263">
        <f>IFERROR((N(AM160)+N(AM170)+N(AM173)+N(AM174)+N(AM183))-N(AM234),0)</f>
        <v>97372.895309789</v>
      </c>
      <c r="AN349" s="263">
        <f>IFERROR((N(AN160)+N(AN170)+N(AN173)+N(AN174)+N(AN183))-N(AN234),0)</f>
        <v>98328.9448336112</v>
      </c>
      <c r="AO349" s="263">
        <f>IFERROR((N(AO160)+N(AO170)+N(AO173)+N(AO174)+N(AO183))-N(AO234),0)</f>
        <v>99330.5719673009</v>
      </c>
      <c r="AP349" s="263">
        <f>IFERROR((N(AP160)+N(AP170)+N(AP173)+N(AP174)+N(AP183))-N(AP234),0)</f>
        <v>100735.817709603</v>
      </c>
      <c r="AQ349" s="263">
        <f>IFERROR((N(AQ160)+N(AQ170)+N(AQ173)+N(AQ174)+N(AQ183))-N(AQ234),0)</f>
        <v>100735.817709603</v>
      </c>
      <c r="AR349" s="263">
        <f>IFERROR((N(AR160)+N(AR170)+N(AR173)+N(AR174)+N(AR183))-N(AR234),0)</f>
        <v>101817.807718782</v>
      </c>
      <c r="AS349" s="263">
        <f>IFERROR((N(AS160)+N(AS170)+N(AS173)+N(AS174)+N(AS183))-N(AS234),0)</f>
        <v>102882.602121163</v>
      </c>
      <c r="AT349" s="263">
        <f>IFERROR((N(AT160)+N(AT170)+N(AT173)+N(AT174)+N(AT183))-N(AT234),0)</f>
        <v>103998.158312187</v>
      </c>
      <c r="AU349" s="263">
        <f>IFERROR((N(AU160)+N(AU170)+N(AU173)+N(AU174)+N(AU183))-N(AU234),0)</f>
        <v>105563.242299041</v>
      </c>
      <c r="AV349" s="263">
        <f>IFERROR((N(AV160)+N(AV170)+N(AV173)+N(AV174)+N(AV183))-N(AV234),0)</f>
        <v>105563.242299041</v>
      </c>
      <c r="AW349" s="263">
        <f>IFERROR((N(AW160)+N(AW170)+N(AW173)+N(AW174)+N(AW183))-N(AW234),0)</f>
        <v>106762.892208865</v>
      </c>
      <c r="AX349" s="263">
        <f>IFERROR((N(AX160)+N(AX170)+N(AX173)+N(AX174)+N(AX183))-N(AX234),0)</f>
        <v>107943.476593158</v>
      </c>
      <c r="AY349" s="263">
        <f>IFERROR((N(AY160)+N(AY170)+N(AY173)+N(AY174)+N(AY183))-N(AY234),0)</f>
        <v>109180.342805058</v>
      </c>
      <c r="AZ349" s="263">
        <f>IFERROR((N(AZ160)+N(AZ170)+N(AZ173)+N(AZ174)+N(AZ183))-N(AZ234),0)</f>
        <v>110915.620254727</v>
      </c>
      <c r="BA349" s="263">
        <f>IFERROR((N(BA160)+N(BA170)+N(BA173)+N(BA174)+N(BA183))-N(BA234),0)</f>
        <v>110915.620254727</v>
      </c>
      <c r="BB349" s="263">
        <f>IFERROR((N(BB160)+N(BB170)+N(BB173)+N(BB174)+N(BB183))-N(BB234),0)</f>
        <v>112239.72662161</v>
      </c>
      <c r="BC349" s="263">
        <f>IFERROR((N(BC160)+N(BC170)+N(BC173)+N(BC174)+N(BC183))-N(BC234),0)</f>
        <v>113542.789529448</v>
      </c>
      <c r="BD349" s="263">
        <f>IFERROR((N(BD160)+N(BD170)+N(BD173)+N(BD174)+N(BD183))-N(BD234),0)</f>
        <v>114907.973165729</v>
      </c>
      <c r="BE349" s="263">
        <f>IFERROR((N(BE160)+N(BE170)+N(BE173)+N(BE174)+N(BE183))-N(BE234),0)</f>
        <v>116823.275205597</v>
      </c>
      <c r="BF349" s="263">
        <f>IFERROR((N(BF160)+N(BF170)+N(BF173)+N(BF174)+N(BF183))-N(BF234),0)</f>
        <v>116823.275205597</v>
      </c>
      <c r="BG349" s="90" t="n"/>
      <c r="BH349" s="90" t="n"/>
      <c r="BI349" s="90" t="n"/>
      <c r="BJ349" s="90" t="n"/>
      <c r="BL349" s="90" t="n"/>
      <c r="BM349" s="90" t="n"/>
      <c r="BN349" s="90" t="n"/>
      <c r="BO349" s="90" t="n"/>
      <c r="BQ349" s="90" t="n"/>
      <c r="BR349" s="90" t="n"/>
      <c r="BS349" s="90" t="n"/>
      <c r="BT349" s="90" t="n"/>
      <c r="BV349" s="90" t="n"/>
      <c r="BW349" s="90" t="n"/>
      <c r="BX349" s="90" t="n"/>
      <c r="BY349" s="90" t="n"/>
      <c r="CA349" s="90" t="n"/>
      <c r="CB349" s="90" t="n"/>
      <c r="CC349" s="90" t="n"/>
      <c r="CD349" s="90" t="n"/>
      <c r="CF349" s="90" t="n"/>
      <c r="CG349" s="90" t="n"/>
      <c r="CH349" s="90" t="n"/>
      <c r="CI349" s="90" t="n"/>
      <c r="CK349" s="90" t="n"/>
      <c r="CL349" s="90" t="n"/>
      <c r="CM349" s="90" t="n"/>
      <c r="CN349" s="90" t="n"/>
      <c r="CP349" s="90" t="n"/>
      <c r="CQ349" s="90" t="n"/>
      <c r="CR349" s="90" t="n"/>
      <c r="CS349" s="90" t="n"/>
      <c r="CU349" s="90" t="n"/>
      <c r="CV349" s="90" t="n"/>
      <c r="CW349" s="90" t="n"/>
      <c r="CX349" s="90" t="n"/>
    </row>
    <row r="350" customFormat="1" s="77">
      <c r="A350" s="76" t="n"/>
      <c r="B350" s="76" t="n"/>
    </row>
    <row r="351" customFormat="1" s="77">
      <c r="A351" s="76" t="n"/>
      <c r="B351" s="76" t="n"/>
    </row>
    <row r="352" customFormat="1" s="77">
      <c r="A352" s="76" t="n"/>
      <c r="B352" s="76" t="n"/>
    </row>
    <row r="353" customFormat="1" s="77">
      <c r="A353" s="76" t="n"/>
      <c r="B353" s="76" t="n"/>
    </row>
    <row r="354" customFormat="1" s="77">
      <c r="A354" s="76" t="n"/>
      <c r="B354" s="76" t="n"/>
    </row>
    <row r="355" customFormat="1" s="77">
      <c r="A355" s="76" t="n"/>
      <c r="B355" s="76" t="n"/>
    </row>
    <row r="356" customFormat="1" s="77">
      <c r="A356" s="76" t="n"/>
      <c r="B356" s="76" t="n"/>
    </row>
    <row r="357" customFormat="1" s="77">
      <c r="A357" s="76" t="n"/>
      <c r="B357" s="76" t="n"/>
      <c r="C357" s="74" t="inlineStr">
        <is>
          <t>DUPONT ANALYSIS</t>
        </is>
      </c>
    </row>
    <row r="358" customFormat="1" s="77">
      <c r="A358" s="76" t="n"/>
      <c r="B358" s="76" t="n"/>
      <c r="C358" s="77" t="inlineStr">
        <is>
          <t>NET PROFIT MARGIN (LTM)</t>
        </is>
      </c>
      <c r="D358" s="84" t="str">
        <f>IFERROR(D131/D15,"")</f>
        <v/>
      </c>
      <c r="E358" s="84" t="str">
        <f>IFERROR(E131/E15,"")</f>
        <v/>
      </c>
      <c r="F358" s="84" t="str">
        <f>IFERROR(F131/F15,"")</f>
        <v/>
      </c>
      <c r="G358" s="84" t="str">
        <f>IFERROR(G131/G15,"")</f>
        <v/>
      </c>
      <c r="H358" s="258" t="str">
        <f>IFERROR(IF(AND(COUNT(H131)=1,(H15)&lt;&gt;0),(H131)/(H15),""),"")</f>
        <v/>
      </c>
      <c r="I358" s="257" t="str">
        <f>""</f>
        <v/>
      </c>
      <c r="J358" s="257" t="str">
        <f>""</f>
        <v/>
      </c>
      <c r="K358" s="257" t="str">
        <f>""</f>
        <v/>
      </c>
      <c r="L358" s="257">
        <f>IFERROR(IF(AND(COUNT(I131,J131,K131,L131)=4,(I15+J15+K15+L15)&lt;&gt;0),(I131+J131+K131+L131)/(I15+J15+K15+L15),""),"")</f>
        <v>0.265791400469969</v>
      </c>
      <c r="M358" s="258">
        <f>IFERROR(IF(AND(COUNT(I131,J131,K131,L131)=4,(I15+J15+K15+L15)&lt;&gt;0),(I131+J131+K131+L131)/(I15+J15+K15+L15),""),"")</f>
        <v>0.265791400469969</v>
      </c>
      <c r="N358" s="257">
        <f>IFERROR(IF(AND(COUNT(J131,K131,L131,N131)=4,(J15+K15+L15+N15)&lt;&gt;0),(J131+K131+L131+N131)/(J15+K15+L15+N15),""),"")</f>
        <v>0.264068680913017</v>
      </c>
      <c r="O358" s="257">
        <f>IFERROR(IF(AND(COUNT(K131,L131,N131,O131)=4,(K15+L15+N15+O15)&lt;&gt;0),(K131+L131+N131+O131)/(K15+L15+N15+O15),""),"")</f>
        <v>0.257089554164452</v>
      </c>
      <c r="P358" s="257">
        <f>IFERROR(IF(AND(COUNT(L131,N131,O131,P131)=4,(L15+N15+O15+P15)&lt;&gt;0),(L131+N131+O131+P131)/(L15+N15+O15+P15),""),"")</f>
        <v>0.253096407051997</v>
      </c>
      <c r="Q358" s="257">
        <f>IFERROR(IF(AND(COUNT(N131,O131,P131,Q131)=4,(N15+O15+P15+Q15)&lt;&gt;0),(N131+O131+P131+Q131)/(N15+O15+P15+Q15),""),"")</f>
        <v>0.245579131799028</v>
      </c>
      <c r="R358" s="258">
        <f>IFERROR(IF(AND(COUNT(N131,O131,P131,Q131)=4,(N15+O15+P15+Q15)&lt;&gt;0),(N131+O131+P131+Q131)/(N15+O15+P15+Q15),""),"")</f>
        <v>0.245579131799028</v>
      </c>
      <c r="S358" s="257">
        <f>IFERROR(IF(AND(COUNT(O131,P131,Q131,S131)=4,(O15+P15+Q15+S15)&lt;&gt;0),(O131+P131+Q131+S131)/(O15+P15+Q15+S15),""),"")</f>
        <v>0.244929173320869</v>
      </c>
      <c r="T358" s="257">
        <f>IFERROR(IF(AND(COUNT(P131,Q131,S131,T131)=4,(P15+Q15+S15+T15)&lt;&gt;0),(P131+Q131+S131+T131)/(P15+Q15+S15+T15),""),"")</f>
        <v>0.246813897216441</v>
      </c>
      <c r="U358" s="257">
        <f>IFERROR(IF(AND(COUNT(Q131,S131,T131,U131)=4,(Q15+S15+T15+U15)&lt;&gt;0),(Q131+S131+T131+U131)/(Q15+S15+T15+U15),""),"")</f>
        <v>0.253062342643203</v>
      </c>
      <c r="V358" s="257">
        <f>IFERROR(IF(AND(COUNT(S131,T131,U131,V131)=4,(S15+T15+U15+V15)&lt;&gt;0),(S131+T131+U131+V131)/(S15+T15+U15+V15),""),"")</f>
        <v>0.261631916537466</v>
      </c>
      <c r="W358" s="258">
        <f>IFERROR(IF(AND(COUNT(S131,T131,U131,V131)=4,(S15+T15+U15+V15)&lt;&gt;0),(S131+T131+U131+V131)/(S15+T15+U15+V15),""),"")</f>
        <v>0.261631916537466</v>
      </c>
      <c r="X358" s="257">
        <f>IFERROR(IF(AND(COUNT(T131,U131,V131,X131)=4,(T15+U15+V15+X15)&lt;&gt;0),(T131+U131+V131+X131)/(T15+U15+V15+X15),""),"")</f>
        <v>0.263058044195449</v>
      </c>
      <c r="Y358" s="257">
        <f>IFERROR(IF(AND(COUNT(U131,V131,X131,Y131)=4,(U15+V15+X15+Y15)&lt;&gt;0),(U131+V131+X131+Y131)/(U15+V15+X15+Y15),""),"")</f>
        <v>0.264406656587215</v>
      </c>
      <c r="Z358" s="257">
        <f>IFERROR(IF(AND(COUNT(V131,X131,Y131,Z131)=4,(V15+X15+Y15+Z15)&lt;&gt;0),(V131+X131+Y131+Z131)/(V15+X15+Y15+Z15),""),"")</f>
        <v>0.239712557699439</v>
      </c>
      <c r="AA358" s="257">
        <f>IFERROR(IF(AND(COUNT(X131,Y131,Z131,AA131)=4,(X15+Y15+Z15+AA15)&lt;&gt;0),(X131+Y131+Z131+AA131)/(X15+Y15+Z15+AA15),""),"")</f>
        <v>0.242950272892662</v>
      </c>
      <c r="AB358" s="258">
        <f>IFERROR(IF(AND(COUNT(X131,Y131,Z131,AA131)=4,(X15+Y15+Z15+AA15)&lt;&gt;0),(X131+Y131+Z131+AA131)/(X15+Y15+Z15+AA15),""),"")</f>
        <v>0.242950272892662</v>
      </c>
      <c r="AC358" s="257">
        <f>IFERROR(IF(AND(COUNT(Y131,Z131,AA131,AC131)=4,(Y15+Z15+AA15+AC15)&lt;&gt;0),(Y131+Z131+AA131+AC131)/(Y15+Z15+AA15+AC15),""),"")</f>
        <v>0.24301264343126</v>
      </c>
      <c r="AD358" s="257">
        <f>IFERROR(IF(AND(COUNT(Z131,AA131,AC131,AD131)=4,(Z15+AA15+AC15+AD15)&lt;&gt;0),(Z131+AA131+AC131+AD131)/(Z15+AA15+AC15+AD15),""),"")</f>
        <v>0.242961150198838</v>
      </c>
      <c r="AE358" s="257">
        <f>IFERROR(IF(AND(COUNT(AA131,AC131,AD131,AE131)=4,(AA15+AC15+AD15+AE15)&lt;&gt;0),(AA131+AC131+AD131+AE131)/(AA15+AC15+AD15+AE15),""),"")</f>
        <v>0.269150641218182</v>
      </c>
      <c r="AF358" s="257">
        <f>IFERROR(IF(AND(COUNT(AB131,AD131,AE131,AF131)=4,(AB15+AD15+AE15+AF15)&lt;&gt;0),(AB131+AD131+AE131+AF131)/(AB15+AD15+AE15+AF15),""),"")</f>
        <v>0.256986921515506</v>
      </c>
      <c r="AG358" s="258">
        <f>IFERROR(IF(AND(COUNT(AC131,AD131,AE131,AF131)=4,(AC15+AD15+AE15+AF15)&lt;&gt;0),(AC131+AD131+AE131+AF131)/(AC15+AD15+AE15+AF15),""),"")</f>
        <v>0.270368236317683</v>
      </c>
      <c r="AH358" s="257">
        <f>IFERROR(IF(AND(COUNT(AD131,AF131,AG131,AH131)=4,(AD15+AF15+AG15+AH15)&lt;&gt;0),(AD131+AF131+AG131+AH131)/(AD15+AF15+AG15+AH15),""),"")</f>
        <v>0.271333035089531</v>
      </c>
      <c r="AI358" s="257">
        <f>IFERROR(IF(AND(COUNT(AE131,AG131,AH131,AI131)=4,(AE15+AG15+AH15+AI15)&lt;&gt;0),(AE131+AG131+AH131+AI131)/(AE15+AG15+AH15+AI15),""),"")</f>
        <v>0.269690674905494</v>
      </c>
      <c r="AJ358" s="257">
        <f>IFERROR(IF(AND(COUNT(AF131,AH131,AI131,AJ131)=4,(AF15+AH15+AI15+AJ15)&lt;&gt;0),(AF131+AH131+AI131+AJ131)/(AF15+AH15+AI15+AJ15),""),"")</f>
        <v>0.27602519220679</v>
      </c>
      <c r="AK358" s="257">
        <f>IFERROR(IF(AND(COUNT(AH131,AI131,AJ131,AK131)=4,(AH15+AI15+AJ15+AK15)&lt;&gt;0),(AH131+AI131+AJ131+AK131)/(AH15+AI15+AJ15+AK15),""),"")</f>
        <v>0.268629780140145</v>
      </c>
      <c r="AL358" s="258">
        <f>IFERROR(IF(AND(COUNT(AH131,AI131,AJ131,AK131)=4,(AH15+AI15+AJ15+AK15)&lt;&gt;0),(AH131+AI131+AJ131+AK131)/(AH15+AI15+AJ15+AK15),""),"")</f>
        <v>0.268629780140145</v>
      </c>
      <c r="AM358" s="257">
        <f>IFERROR(IF(AND(COUNT(AI131,AJ131,AK131,AM131)=4,(AI15+AJ15+AK15+AM15)&lt;&gt;0),(AI131+AJ131+AK131+AM131)/(AI15+AJ15+AK15+AM15),""),"")</f>
        <v>0.269103044057248</v>
      </c>
      <c r="AN358" s="257">
        <f>IFERROR(IF(AND(COUNT(AJ131,AK131,AM131,AN131)=4,(AJ15+AK15+AM15+AN15)&lt;&gt;0),(AJ131+AK131+AM131+AN131)/(AJ15+AK15+AM15+AN15),""),"")</f>
        <v>0.26824133132005</v>
      </c>
      <c r="AO358" s="257">
        <f>IFERROR(IF(AND(COUNT(AK131,AM131,AN131,AO131)=4,(AK15+AM15+AN15+AO15)&lt;&gt;0),(AK131+AM131+AN131+AO131)/(AK15+AM15+AN15+AO15),""),"")</f>
        <v>0.26824133132005</v>
      </c>
      <c r="AP358" s="257">
        <f>IFERROR(IF(AND(COUNT(AM131,AN131,AO131,AP131)=4,(AM15+AN15+AO15+AP15)&lt;&gt;0),(AM131+AN131+AO131+AP131)/(AM15+AN15+AO15+AP15),""),"")</f>
        <v>0.26824133132005</v>
      </c>
      <c r="AQ358" s="258">
        <f>IFERROR(IF(AND(COUNT(AM131,AN131,AO131,AP131)=4,(AM15+AN15+AO15+AP15)&lt;&gt;0),(AM131+AN131+AO131+AP131)/(AM15+AN15+AO15+AP15),""),"")</f>
        <v>0.26824133132005</v>
      </c>
      <c r="AR358" s="257">
        <f>IFERROR(IF(AND(COUNT(AN131,AO131,AP131,AR131)=4,(AN15+AO15+AP15+AR15)&lt;&gt;0),(AN131+AO131+AP131+AR131)/(AN15+AO15+AP15+AR15),""),"")</f>
        <v>0.26824133132005</v>
      </c>
      <c r="AS358" s="257">
        <f>IFERROR(IF(AND(COUNT(AO131,AP131,AR131,AS131)=4,(AO15+AP15+AR15+AS15)&lt;&gt;0),(AO131+AP131+AR131+AS131)/(AO15+AP15+AR15+AS15),""),"")</f>
        <v>0.26824133132005</v>
      </c>
      <c r="AT358" s="257">
        <f>IFERROR(IF(AND(COUNT(AP131,AR131,AS131,AT131)=4,(AP15+AR15+AS15+AT15)&lt;&gt;0),(AP131+AR131+AS131+AT131)/(AP15+AR15+AS15+AT15),""),"")</f>
        <v>0.26824133132005</v>
      </c>
      <c r="AU358" s="257">
        <f>IFERROR(IF(AND(COUNT(AR131,AS131,AT131,AU131)=4,(AR15+AS15+AT15+AU15)&lt;&gt;0),(AR131+AS131+AT131+AU131)/(AR15+AS15+AT15+AU15),""),"")</f>
        <v>0.26824133132005</v>
      </c>
      <c r="AV358" s="258">
        <f>IFERROR(IF(AND(COUNT(AR131,AS131,AT131,AU131)=4,(AR15+AS15+AT15+AU15)&lt;&gt;0),(AR131+AS131+AT131+AU131)/(AR15+AS15+AT15+AU15),""),"")</f>
        <v>0.26824133132005</v>
      </c>
      <c r="AW358" s="257">
        <f>IFERROR(IF(AND(COUNT(AS131,AT131,AU131,AW131)=4,(AS15+AT15+AU15+AW15)&lt;&gt;0),(AS131+AT131+AU131+AW131)/(AS15+AT15+AU15+AW15),""),"")</f>
        <v>0.26824133132005</v>
      </c>
      <c r="AX358" s="257">
        <f>IFERROR(IF(AND(COUNT(AT131,AU131,AW131,AX131)=4,(AT15+AU15+AW15+AX15)&lt;&gt;0),(AT131+AU131+AW131+AX131)/(AT15+AU15+AW15+AX15),""),"")</f>
        <v>0.26824133132005</v>
      </c>
      <c r="AY358" s="257">
        <f>IFERROR(IF(AND(COUNT(AU131,AW131,AX131,AY131)=4,(AU15+AW15+AX15+AY15)&lt;&gt;0),(AU131+AW131+AX131+AY131)/(AU15+AW15+AX15+AY15),""),"")</f>
        <v>0.26824133132005</v>
      </c>
      <c r="AZ358" s="257">
        <f>IFERROR(IF(AND(COUNT(AW131,AX131,AY131,AZ131)=4,(AW15+AX15+AY15+AZ15)&lt;&gt;0),(AW131+AX131+AY131+AZ131)/(AW15+AX15+AY15+AZ15),""),"")</f>
        <v>0.26824133132005</v>
      </c>
      <c r="BA358" s="258">
        <f>IFERROR(IF(AND(COUNT(AW131,AX131,AY131,AZ131)=4,(AW15+AX15+AY15+AZ15)&lt;&gt;0),(AW131+AX131+AY131+AZ131)/(AW15+AX15+AY15+AZ15),""),"")</f>
        <v>0.26824133132005</v>
      </c>
      <c r="BB358" s="257">
        <f>IFERROR(IF(AND(COUNT(AX131,AY131,AZ131,BB131)=4,(AX15+AY15+AZ15+BB15)&lt;&gt;0),(AX131+AY131+AZ131+BB131)/(AX15+AY15+AZ15+BB15),""),"")</f>
        <v>0.26824133132005</v>
      </c>
      <c r="BC358" s="257">
        <f>IFERROR(IF(AND(COUNT(AY131,AZ131,BB131,BC131)=4,(AY15+AZ15+BB15+BC15)&lt;&gt;0),(AY131+AZ131+BB131+BC131)/(AY15+AZ15+BB15+BC15),""),"")</f>
        <v>0.26824133132005</v>
      </c>
      <c r="BD358" s="257">
        <f>IFERROR(IF(AND(COUNT(AZ131,BB131,BC131,BD131)=4,(AZ15+BB15+BC15+BD15)&lt;&gt;0),(AZ131+BB131+BC131+BD131)/(AZ15+BB15+BC15+BD15),""),"")</f>
        <v>0.26824133132005</v>
      </c>
      <c r="BE358" s="257">
        <f>IFERROR(IF(AND(COUNT(BB131,BC131,BD131,BE131)=4,(BB15+BC15+BD15+BE15)&lt;&gt;0),(BB131+BC131+BD131+BE131)/(BB15+BC15+BD15+BE15),""),"")</f>
        <v>0.26824133132005</v>
      </c>
      <c r="BF358" s="258">
        <f>IFERROR(IF(AND(COUNT(BB131,BC131,BD131,BE131)=4,(BB15+BC15+BD15+BE15)&lt;&gt;0),(BB131+BC131+BD131+BE131)/(BB15+BC15+BD15+BE15),""),"")</f>
        <v>0.26824133132005</v>
      </c>
      <c r="BG358" s="81" t="n"/>
      <c r="BH358" s="81" t="n"/>
      <c r="BI358" s="81" t="n"/>
      <c r="BJ358" s="81" t="n"/>
      <c r="BL358" s="81" t="n"/>
      <c r="BM358" s="81" t="n"/>
      <c r="BN358" s="81" t="n"/>
      <c r="BO358" s="81" t="n"/>
      <c r="BQ358" s="81" t="n"/>
      <c r="BR358" s="81" t="n"/>
      <c r="BS358" s="81" t="n"/>
      <c r="BT358" s="81" t="n"/>
      <c r="BV358" s="81" t="n"/>
      <c r="BW358" s="81" t="n"/>
      <c r="BX358" s="81" t="n"/>
      <c r="BY358" s="81" t="n"/>
      <c r="CA358" s="81" t="n"/>
      <c r="CB358" s="81" t="n"/>
      <c r="CC358" s="81" t="n"/>
      <c r="CD358" s="81" t="n"/>
      <c r="CF358" s="81" t="n"/>
      <c r="CG358" s="81" t="n"/>
      <c r="CH358" s="81" t="n"/>
      <c r="CI358" s="81" t="n"/>
      <c r="CK358" s="81" t="n"/>
      <c r="CL358" s="81" t="n"/>
      <c r="CM358" s="81" t="n"/>
      <c r="CN358" s="81" t="n"/>
      <c r="CP358" s="81" t="n"/>
      <c r="CQ358" s="81" t="n"/>
      <c r="CR358" s="81" t="n"/>
      <c r="CS358" s="81" t="n"/>
      <c r="CU358" s="81" t="n"/>
      <c r="CV358" s="81" t="n"/>
      <c r="CW358" s="81" t="n"/>
      <c r="CX358" s="81" t="n"/>
    </row>
    <row r="359" customFormat="1" s="77">
      <c r="A359" s="76" t="n"/>
      <c r="B359" s="76" t="n"/>
      <c r="C359" s="77" t="inlineStr">
        <is>
          <t>ASSET TURNOVER (LTM REVENUE / ASSETS)</t>
        </is>
      </c>
      <c r="D359" s="84" t="str">
        <f>IFERROR(D15/D191,"")</f>
        <v/>
      </c>
      <c r="E359" s="84" t="str">
        <f>IFERROR(E15/E191,"")</f>
        <v/>
      </c>
      <c r="F359" s="84" t="str">
        <f>IFERROR(F15/F191,"")</f>
        <v/>
      </c>
      <c r="G359" s="84" t="str">
        <f>IFERROR(G15/G191,"")</f>
        <v/>
      </c>
      <c r="H359" s="262" t="str">
        <f>IFERROR(IF(AND(COUNT(H15)=1,N(H191)&lt;&gt;0),(H15)/H191,""),"")</f>
        <v/>
      </c>
      <c r="I359" s="264" t="str">
        <f>""</f>
        <v/>
      </c>
      <c r="J359" s="264" t="str">
        <f>""</f>
        <v/>
      </c>
      <c r="K359" s="264" t="str">
        <f>""</f>
        <v/>
      </c>
      <c r="L359" s="264">
        <f>IFERROR(IF(AND(COUNT(I15,J15,K15,L15)=4,N(L191)&lt;&gt;0),(I15+J15+K15+L15)/L191,""),"")</f>
        <v>0.992476212712262</v>
      </c>
      <c r="M359" s="262">
        <f>IFERROR(IF(AND(COUNT(I15,J15,K15,L15)=4,N(M191)&lt;&gt;0),(I15+J15+K15+L15)/M191,""),"")</f>
        <v>0.992476212712262</v>
      </c>
      <c r="N359" s="264">
        <f>IFERROR(IF(AND(COUNT(J15,K15,L15,N15)=4,N(N191)&lt;&gt;0),(J15+K15+L15+N15)/N191,""),"")</f>
        <v>1.10082358510474</v>
      </c>
      <c r="O359" s="264">
        <f>IFERROR(IF(AND(COUNT(K15,L15,N15,O15)=4,N(O191)&lt;&gt;0),(K15+L15+N15+O15)/O191,""),"")</f>
        <v>1.15233906912988</v>
      </c>
      <c r="P359" s="264">
        <f>IFERROR(IF(AND(COUNT(L15,N15,O15,P15)=4,N(P191)&lt;&gt;0),(L15+N15+O15+P15)/P191,""),"")</f>
        <v>1.11785233377273</v>
      </c>
      <c r="Q359" s="264">
        <f>IFERROR(IF(AND(COUNT(N15,O15,P15,Q15)=4,N(Q191)&lt;&gt;0),(N15+O15+P15+Q15)/Q191,""),"")</f>
        <v>1.11763620161097</v>
      </c>
      <c r="R359" s="262">
        <f>IFERROR(IF(AND(COUNT(N15,O15,P15,Q15)=4,N(R191)&lt;&gt;0),(N15+O15+P15+Q15)/R191,""),"")</f>
        <v>1.11763620161097</v>
      </c>
      <c r="S359" s="264">
        <f>IFERROR(IF(AND(COUNT(O15,P15,Q15,S15)=4,N(S191)&lt;&gt;0),(O15+P15+Q15+S15)/S191,""),"")</f>
        <v>1.15936596820809</v>
      </c>
      <c r="T359" s="264">
        <f>IFERROR(IF(AND(COUNT(P15,Q15,S15,T15)=4,N(T191)&lt;&gt;0),(P15+Q15+S15+T15)/T191,""),"")</f>
        <v>1.14593866964344</v>
      </c>
      <c r="U359" s="264">
        <f>IFERROR(IF(AND(COUNT(Q15,S15,T15,U15)=4,N(U191)&lt;&gt;0),(Q15+S15+T15+U15)/U191,""),"")</f>
        <v>1.08707736901666</v>
      </c>
      <c r="V359" s="264">
        <f>IFERROR(IF(AND(COUNT(S15,T15,U15,V15)=4,N(V191)&lt;&gt;0),(S15+T15+U15+V15)/V191,""),"")</f>
        <v>1.09106287162602</v>
      </c>
      <c r="W359" s="262">
        <f>IFERROR(IF(AND(COUNT(S15,T15,U15,V15)=4,N(W191)&lt;&gt;0),(S15+T15+U15+V15)/W191,""),"")</f>
        <v>1.09106287162602</v>
      </c>
      <c r="X359" s="264">
        <f>IFERROR(IF(AND(COUNT(T15,U15,V15,X15)=4,N(X191)&lt;&gt;0),(T15+U15+V15+X15)/X191,""),"")</f>
        <v>1.13103307242502</v>
      </c>
      <c r="Y359" s="264">
        <f>IFERROR(IF(AND(COUNT(U15,V15,X15,Y15)=4,N(Y191)&lt;&gt;0),(U15+V15+X15+Y15)/Y191,""),"")</f>
        <v>1.16281377030988</v>
      </c>
      <c r="Z359" s="264">
        <f>IFERROR(IF(AND(COUNT(V15,X15,Y15,Z15)=4,N(Z191)&lt;&gt;0),(V15+X15+Y15+Z15)/Z191,""),"")</f>
        <v>1.07138747328621</v>
      </c>
      <c r="AA359" s="264">
        <f>IFERROR(IF(AND(COUNT(X15,Y15,Z15,AA15)=4,N(AA191)&lt;&gt;0),(X15+Y15+Z15+AA15)/AA191,""),"")</f>
        <v>1.15018091459959</v>
      </c>
      <c r="AB359" s="262">
        <f>IFERROR(IF(AND(COUNT(X15,Y15,Z15,AA15)=4,N(AB191)&lt;&gt;0),(X15+Y15+Z15+AA15)/AB191,""),"")</f>
        <v>1.15018091459959</v>
      </c>
      <c r="AC359" s="264">
        <f>IFERROR(IF(AND(COUNT(Y15,Z15,AA15,AC15)=4,N(AC191)&lt;&gt;0),(Y15+Z15+AA15+AC15)/AC191,""),"")</f>
        <v>1.20871410759194</v>
      </c>
      <c r="AD359" s="264">
        <f>IFERROR(IF(AND(COUNT(Z15,AA15,AC15,AD15)=4,N(AD191)&lt;&gt;0),(Z15+AA15+AC15+AD15)/AD191,""),"")</f>
        <v>1.23267319265751</v>
      </c>
      <c r="AE359" s="264">
        <f>IFERROR(IF(AND(COUNT(AA15,AC15,AD15,AE15)=4,N(AE191)&lt;&gt;0),(AA15+AC15+AD15+AE15)/AE191,""),"")</f>
        <v>1.1584451663368</v>
      </c>
      <c r="AF359" s="264">
        <f>IFERROR(IF(AND(COUNT(AB15,AD15,AE15,AF15)=4,N(AF191)&lt;&gt;0),(AB15+AD15+AE15+AF15)/AF191,""),"")</f>
        <v>1.94047936050114</v>
      </c>
      <c r="AG359" s="262">
        <f>IFERROR(IF(AND(COUNT(AC15,AD15,AE15,AF15)=4,N(AG191)&lt;&gt;0),(AC15+AD15+AE15+AF15)/AG191,""),"")</f>
        <v>1.14848522398015</v>
      </c>
      <c r="AH359" s="264">
        <f>IFERROR(IF(AND(COUNT(AD15,AF15,AG15,AH15)=4,N(AH191)&lt;&gt;0),(AD15+AF15+AG15+AH15)/AH191,""),"")</f>
        <v>2.11433860979514</v>
      </c>
      <c r="AI359" s="264">
        <f>IFERROR(IF(AND(COUNT(AE15,AG15,AH15,AI15)=4,N(AI191)&lt;&gt;0),(AE15+AG15+AH15+AI15)/AI191,""),"")</f>
        <v>1.97952335975537</v>
      </c>
      <c r="AJ359" s="264">
        <f>IFERROR(IF(AND(COUNT(AF15,AH15,AI15,AJ15)=4,N(AJ191)&lt;&gt;0),(AF15+AH15+AI15+AJ15)/AJ191,""),"")</f>
        <v>1.15859652448034</v>
      </c>
      <c r="AK359" s="264">
        <f>IFERROR(IF(AND(COUNT(AH15,AI15,AJ15,AK15)=4,N(AK191)&lt;&gt;0),(AH15+AI15+AJ15+AK15)/AK191,""),"")</f>
        <v>1.02847653097777</v>
      </c>
      <c r="AL359" s="262">
        <f>IFERROR(IF(AND(COUNT(AH15,AI15,AJ15,AK15)=4,N(AL191)&lt;&gt;0),(AH15+AI15+AJ15+AK15)/AL191,""),"")</f>
        <v>1.02847653097777</v>
      </c>
      <c r="AM359" s="264">
        <f>IFERROR(IF(AND(COUNT(AI15,AJ15,AK15,AM15)=4,N(AM191)&lt;&gt;0),(AI15+AJ15+AK15+AM15)/AM191,""),"")</f>
        <v>1.0248598788737</v>
      </c>
      <c r="AN359" s="264">
        <f>IFERROR(IF(AND(COUNT(AJ15,AK15,AM15,AN15)=4,N(AN191)&lt;&gt;0),(AJ15+AK15+AM15+AN15)/AN191,""),"")</f>
        <v>0.989399078390072</v>
      </c>
      <c r="AO359" s="264">
        <f>IFERROR(IF(AND(COUNT(AK15,AM15,AN15,AO15)=4,N(AO191)&lt;&gt;0),(AK15+AM15+AN15+AO15)/AO191,""),"")</f>
        <v>0.948847379950075</v>
      </c>
      <c r="AP359" s="264">
        <f>IFERROR(IF(AND(COUNT(AM15,AN15,AO15,AP15)=4,N(AP191)&lt;&gt;0),(AM15+AN15+AO15+AP15)/AP191,""),"")</f>
        <v>0.864645491725638</v>
      </c>
      <c r="AQ359" s="262">
        <f>IFERROR(IF(AND(COUNT(AM15,AN15,AO15,AP15)=4,N(AQ191)&lt;&gt;0),(AM15+AN15+AO15+AP15)/AQ191,""),"")</f>
        <v>0.864645491725638</v>
      </c>
      <c r="AR359" s="264">
        <f>IFERROR(IF(AND(COUNT(AN15,AO15,AP15,AR15)=4,N(AR191)&lt;&gt;0),(AN15+AO15+AP15+AR15)/AR191,""),"")</f>
        <v>0.866536343179885</v>
      </c>
      <c r="AS359" s="264">
        <f>IFERROR(IF(AND(COUNT(AO15,AP15,AR15,AS15)=4,N(AS191)&lt;&gt;0),(AO15+AP15+AR15+AS15)/AS191,""),"")</f>
        <v>0.842420786284957</v>
      </c>
      <c r="AT359" s="264">
        <f>IFERROR(IF(AND(COUNT(AP15,AR15,AS15,AT15)=4,N(AT191)&lt;&gt;0),(AP15+AR15+AS15+AT15)/AT191,""),"")</f>
        <v>0.815090252809162</v>
      </c>
      <c r="AU359" s="264">
        <f>IFERROR(IF(AND(COUNT(AR15,AS15,AT15,AU15)=4,N(AU191)&lt;&gt;0),(AR15+AS15+AT15+AU15)/AU191,""),"")</f>
        <v>0.754639612877787</v>
      </c>
      <c r="AV359" s="262">
        <f>IFERROR(IF(AND(COUNT(AR15,AS15,AT15,AU15)=4,N(AV191)&lt;&gt;0),(AR15+AS15+AT15+AU15)/AV191,""),"")</f>
        <v>0.754639612877787</v>
      </c>
      <c r="AW359" s="264">
        <f>IFERROR(IF(AND(COUNT(AS15,AT15,AU15,AW15)=4,N(AW191)&lt;&gt;0),(AS15+AT15+AU15+AW15)/AW191,""),"")</f>
        <v>0.757304485679752</v>
      </c>
      <c r="AX359" s="264">
        <f>IFERROR(IF(AND(COUNT(AT15,AU15,AW15,AX15)=4,N(AX191)&lt;&gt;0),(AT15+AU15+AW15+AX15)/AX191,""),"")</f>
        <v>0.741165436798593</v>
      </c>
      <c r="AY359" s="264">
        <f>IFERROR(IF(AND(COUNT(AU15,AW15,AX15,AY15)=4,N(AY191)&lt;&gt;0),(AU15+AW15+AX15+AY15)/AY191,""),"")</f>
        <v>0.721330977175291</v>
      </c>
      <c r="AZ359" s="264">
        <f>IFERROR(IF(AND(COUNT(AW15,AX15,AY15,AZ15)=4,N(AZ191)&lt;&gt;0),(AW15+AX15+AY15+AZ15)/AZ191,""),"")</f>
        <v>0.675153889430862</v>
      </c>
      <c r="BA359" s="262">
        <f>IFERROR(IF(AND(COUNT(AW15,AX15,AY15,AZ15)=4,N(BA191)&lt;&gt;0),(AW15+AX15+AY15+AZ15)/BA191,""),"")</f>
        <v>0.675153889430862</v>
      </c>
      <c r="BB359" s="264">
        <f>IFERROR(IF(AND(COUNT(AX15,AY15,AZ15,BB15)=4,N(BB191)&lt;&gt;0),(AX15+AY15+AZ15+BB15)/BB191,""),"")</f>
        <v>0.678672994111051</v>
      </c>
      <c r="BC359" s="264">
        <f>IFERROR(IF(AND(COUNT(AY15,AZ15,BB15,BC15)=4,N(BC191)&lt;&gt;0),(AY15+AZ15+BB15+BC15)/BC191,""),"")</f>
        <v>0.666641119261268</v>
      </c>
      <c r="BD359" s="264">
        <f>IFERROR(IF(AND(COUNT(AZ15,BB15,BC15,BD15)=4,N(BD191)&lt;&gt;0),(AZ15+BB15+BC15+BD15)/BD191,""),"")</f>
        <v>0.651448253300225</v>
      </c>
      <c r="BE359" s="264">
        <f>IFERROR(IF(AND(COUNT(BB15,BC15,BD15,BE15)=4,N(BE191)&lt;&gt;0),(BB15+BC15+BD15+BE15)/BE191,""),"")</f>
        <v>0.614566377358385</v>
      </c>
      <c r="BF359" s="262">
        <f>IFERROR(IF(AND(COUNT(BB15,BC15,BD15,BE15)=4,N(BF191)&lt;&gt;0),(BB15+BC15+BD15+BE15)/BF191,""),"")</f>
        <v>0.614566377358385</v>
      </c>
      <c r="BG359" s="81" t="n"/>
      <c r="BH359" s="81" t="n"/>
      <c r="BI359" s="81" t="n"/>
      <c r="BJ359" s="81" t="n"/>
      <c r="BL359" s="81" t="n"/>
      <c r="BM359" s="81" t="n"/>
      <c r="BN359" s="81" t="n"/>
      <c r="BO359" s="81" t="n"/>
      <c r="BQ359" s="81" t="n"/>
      <c r="BR359" s="81" t="n"/>
      <c r="BS359" s="81" t="n"/>
      <c r="BT359" s="81" t="n"/>
      <c r="BV359" s="81" t="n"/>
      <c r="BW359" s="81" t="n"/>
      <c r="BX359" s="81" t="n"/>
      <c r="BY359" s="81" t="n"/>
      <c r="CA359" s="81" t="n"/>
      <c r="CB359" s="81" t="n"/>
      <c r="CC359" s="81" t="n"/>
      <c r="CD359" s="81" t="n"/>
      <c r="CF359" s="81" t="n"/>
      <c r="CG359" s="81" t="n"/>
      <c r="CH359" s="81" t="n"/>
      <c r="CI359" s="81" t="n"/>
      <c r="CK359" s="81" t="n"/>
      <c r="CL359" s="81" t="n"/>
      <c r="CM359" s="81" t="n"/>
      <c r="CN359" s="81" t="n"/>
      <c r="CP359" s="81" t="n"/>
      <c r="CQ359" s="81" t="n"/>
      <c r="CR359" s="81" t="n"/>
      <c r="CS359" s="81" t="n"/>
      <c r="CU359" s="81" t="n"/>
      <c r="CV359" s="81" t="n"/>
      <c r="CW359" s="81" t="n"/>
      <c r="CX359" s="81" t="n"/>
    </row>
    <row r="360" customFormat="1" s="77">
      <c r="A360" s="76" t="n"/>
      <c r="B360" s="76" t="n"/>
      <c r="C360" s="77" t="inlineStr">
        <is>
          <t>EQUITY MULTIPLIER (ASSETS / EQUITY)</t>
        </is>
      </c>
      <c r="D360" s="84" t="str">
        <f>IFERROR(D191/D265,"")</f>
        <v/>
      </c>
      <c r="E360" s="84" t="str">
        <f>IFERROR(E191/E265,"")</f>
        <v/>
      </c>
      <c r="F360" s="84" t="str">
        <f>IFERROR(F191/F265,"")</f>
        <v/>
      </c>
      <c r="G360" s="84" t="str">
        <f>IFERROR(G191/G265,"")</f>
        <v/>
      </c>
      <c r="H360" s="262" t="str">
        <f>IFERROR(IF(N(H265)&lt;&gt;0,H191/H265,""),"")</f>
        <v/>
      </c>
      <c r="I360" s="264">
        <f>IFERROR(IF(N(I265)&lt;&gt;0,I191/I265,""),"")</f>
        <v>4.87377489953453</v>
      </c>
      <c r="J360" s="264">
        <f>IFERROR(IF(N(J265)&lt;&gt;0,J191/J265,""),"")</f>
        <v>5.13130056004978</v>
      </c>
      <c r="K360" s="264">
        <f>IFERROR(IF(N(K265)&lt;&gt;0,K191/K265,""),"")</f>
        <v>5.5635124425424</v>
      </c>
      <c r="L360" s="264">
        <f>IFERROR(IF(N(L265)&lt;&gt;0,L191/L265,""),"")</f>
        <v>5.29932436189735</v>
      </c>
      <c r="M360" s="262">
        <f>IFERROR(IF(N(M265)&lt;&gt;0,M191/M265,""),"")</f>
        <v>5.29932436189735</v>
      </c>
      <c r="N360" s="264">
        <f>IFERROR(IF(N(N265)&lt;&gt;0,N191/N265,""),"")</f>
        <v>5.20277748928026</v>
      </c>
      <c r="O360" s="264">
        <f>IFERROR(IF(N(O265)&lt;&gt;0,O191/O265,""),"")</f>
        <v>5.78775362692963</v>
      </c>
      <c r="P360" s="264">
        <f>IFERROR(IF(N(P265)&lt;&gt;0,P191/P265,""),"")</f>
        <v>6.96153694347963</v>
      </c>
      <c r="Q360" s="264">
        <f>IFERROR(IF(N(Q265)&lt;&gt;0,Q191/Q265,""),"")</f>
        <v>6.11255663088124</v>
      </c>
      <c r="R360" s="262">
        <f>IFERROR(IF(N(R265)&lt;&gt;0,R191/R265,""),"")</f>
        <v>6.11255663088124</v>
      </c>
      <c r="S360" s="264">
        <f>IFERROR(IF(N(S265)&lt;&gt;0,S191/S265,""),"")</f>
        <v>5.34380128060748</v>
      </c>
      <c r="T360" s="264">
        <f>IFERROR(IF(N(T265)&lt;&gt;0,T191/T265,""),"")</f>
        <v>5.5585824733716</v>
      </c>
      <c r="U360" s="264">
        <f>IFERROR(IF(N(U265)&lt;&gt;0,U191/U265,""),"")</f>
        <v>5.67346249155215</v>
      </c>
      <c r="V360" s="264">
        <f>IFERROR(IF(N(V265)&lt;&gt;0,V191/V265,""),"")</f>
        <v>4.77076923076923</v>
      </c>
      <c r="W360" s="262">
        <f>IFERROR(IF(N(W265)&lt;&gt;0,W191/W265,""),"")</f>
        <v>4.77076923076923</v>
      </c>
      <c r="X360" s="264">
        <f>IFERROR(IF(N(X265)&lt;&gt;0,X191/X265,""),"")</f>
        <v>4.54768579669515</v>
      </c>
      <c r="Y360" s="264">
        <f>IFERROR(IF(N(Y265)&lt;&gt;0,Y191/Y265,""),"")</f>
        <v>4.97109791929004</v>
      </c>
      <c r="Z360" s="264">
        <f>IFERROR(IF(N(Z265)&lt;&gt;0,Z191/Z265,""),"")</f>
        <v>6.40877963125549</v>
      </c>
      <c r="AA360" s="264">
        <f>IFERROR(IF(N(AA265)&lt;&gt;0,AA191/AA265,""),"")</f>
        <v>5.15421372719375</v>
      </c>
      <c r="AB360" s="262">
        <f>IFERROR(IF(N(AB265)&lt;&gt;0,AB191/AB265,""),"")</f>
        <v>5.15421372719375</v>
      </c>
      <c r="AC360" s="264">
        <f>IFERROR(IF(N(AC265)&lt;&gt;0,AC191/AC265,""),"")</f>
        <v>4.95887478292113</v>
      </c>
      <c r="AD360" s="264">
        <f>IFERROR(IF(N(AD265)&lt;&gt;0,AD191/AD265,""),"")</f>
        <v>5.035622056813</v>
      </c>
      <c r="AE360" s="264">
        <f>IFERROR(IF(N(AE265)&lt;&gt;0,AE191/AE265,""),"")</f>
        <v>4.8721874872852</v>
      </c>
      <c r="AF360" s="264">
        <f>IFERROR(IF(N(AF265)&lt;&gt;0,AF191/AF265,""),"")</f>
        <v>4.30090713232793</v>
      </c>
      <c r="AG360" s="262">
        <f>IFERROR(IF(N(AG265)&lt;&gt;0,AG191/AG265,""),"")</f>
        <v>4.30090713232793</v>
      </c>
      <c r="AH360" s="264">
        <f>IFERROR(IF(N(AH265)&lt;&gt;0,AH191/AH265,""),"")</f>
        <v>3.48463250415528</v>
      </c>
      <c r="AI360" s="264">
        <f>IFERROR(IF(N(AI265)&lt;&gt;0,AI191/AI265,""),"")</f>
        <v>3.56460193452381</v>
      </c>
      <c r="AJ360" s="264">
        <f>IFERROR(IF(N(AJ265)&lt;&gt;0,AJ191/AJ265,""),"")</f>
        <v>2.98998113648106</v>
      </c>
      <c r="AK360" s="264">
        <f>IFERROR(IF(N(AK265)&lt;&gt;0,AK191/AK265,""),"")</f>
        <v>2.65876474903008</v>
      </c>
      <c r="AL360" s="262">
        <f>IFERROR(IF(N(AL265)&lt;&gt;0,AL191/AL265,""),"")</f>
        <v>2.65876474903008</v>
      </c>
      <c r="AM360" s="264">
        <f>IFERROR(IF(N(AM265)&lt;&gt;0,AM191/AM265,""),"")</f>
        <v>2.31362726907128</v>
      </c>
      <c r="AN360" s="264">
        <f>IFERROR(IF(N(AN265)&lt;&gt;0,AN191/AN265,""),"")</f>
        <v>2.1317801633212</v>
      </c>
      <c r="AO360" s="264">
        <f>IFERROR(IF(N(AO265)&lt;&gt;0,AO191/AO265,""),"")</f>
        <v>2.00260225746902</v>
      </c>
      <c r="AP360" s="264">
        <f>IFERROR(IF(N(AP265)&lt;&gt;0,AP191/AP265,""),"")</f>
        <v>1.94335773654342</v>
      </c>
      <c r="AQ360" s="262">
        <f>IFERROR(IF(N(AQ265)&lt;&gt;0,AQ191/AQ265,""),"")</f>
        <v>1.94335773654342</v>
      </c>
      <c r="AR360" s="264">
        <f>IFERROR(IF(N(AR265)&lt;&gt;0,AR191/AR265,""),"")</f>
        <v>1.78743943206553</v>
      </c>
      <c r="AS360" s="264">
        <f>IFERROR(IF(N(AS265)&lt;&gt;0,AS191/AS265,""),"")</f>
        <v>1.71308844362252</v>
      </c>
      <c r="AT360" s="264">
        <f>IFERROR(IF(N(AT265)&lt;&gt;0,AT191/AT265,""),"")</f>
        <v>1.65762681807283</v>
      </c>
      <c r="AU360" s="264">
        <f>IFERROR(IF(N(AU265)&lt;&gt;0,AU191/AU265,""),"")</f>
        <v>1.65107682150877</v>
      </c>
      <c r="AV360" s="262">
        <f>IFERROR(IF(N(AV265)&lt;&gt;0,AV191/AV265,""),"")</f>
        <v>1.65107682150877</v>
      </c>
      <c r="AW360" s="264">
        <f>IFERROR(IF(N(AW265)&lt;&gt;0,AW191/AW265,""),"")</f>
        <v>1.55612188290171</v>
      </c>
      <c r="AX360" s="264">
        <f>IFERROR(IF(N(AX265)&lt;&gt;0,AX191/AX265,""),"")</f>
        <v>1.51305012360444</v>
      </c>
      <c r="AY360" s="264">
        <f>IFERROR(IF(N(AY265)&lt;&gt;0,AY191/AY265,""),"")</f>
        <v>1.48290054941228</v>
      </c>
      <c r="AZ360" s="264">
        <f>IFERROR(IF(N(AZ265)&lt;&gt;0,AZ191/AZ265,""),"")</f>
        <v>1.4929177836623</v>
      </c>
      <c r="BA360" s="262">
        <f>IFERROR(IF(N(BA265)&lt;&gt;0,BA191/BA265,""),"")</f>
        <v>1.4929177836623</v>
      </c>
      <c r="BB360" s="264">
        <f>IFERROR(IF(N(BB265)&lt;&gt;0,BB191/BB265,""),"")</f>
        <v>1.42443484828429</v>
      </c>
      <c r="BC360" s="264">
        <f>IFERROR(IF(N(BC265)&lt;&gt;0,BC191/BC265,""),"")</f>
        <v>1.39641840982243</v>
      </c>
      <c r="BD360" s="264">
        <f>IFERROR(IF(N(BD265)&lt;&gt;0,BD191/BD265,""),"")</f>
        <v>1.37784656031788</v>
      </c>
      <c r="BE360" s="264">
        <f>IFERROR(IF(N(BE265)&lt;&gt;0,BE191/BE265,""),"")</f>
        <v>1.39418986422951</v>
      </c>
      <c r="BF360" s="262">
        <f>IFERROR(IF(N(BF265)&lt;&gt;0,BF191/BF265,""),"")</f>
        <v>1.39418986422951</v>
      </c>
      <c r="BG360" s="81" t="n"/>
      <c r="BH360" s="81" t="n"/>
      <c r="BI360" s="81" t="n"/>
      <c r="BJ360" s="81" t="n"/>
      <c r="BL360" s="81" t="n"/>
      <c r="BM360" s="81" t="n"/>
      <c r="BN360" s="81" t="n"/>
      <c r="BO360" s="81" t="n"/>
      <c r="BQ360" s="81" t="n"/>
      <c r="BR360" s="81" t="n"/>
      <c r="BS360" s="81" t="n"/>
      <c r="BT360" s="81" t="n"/>
      <c r="BV360" s="81" t="n"/>
      <c r="BW360" s="81" t="n"/>
      <c r="BX360" s="81" t="n"/>
      <c r="BY360" s="81" t="n"/>
      <c r="CA360" s="81" t="n"/>
      <c r="CB360" s="81" t="n"/>
      <c r="CC360" s="81" t="n"/>
      <c r="CD360" s="81" t="n"/>
      <c r="CF360" s="81" t="n"/>
      <c r="CG360" s="81" t="n"/>
      <c r="CH360" s="81" t="n"/>
      <c r="CI360" s="81" t="n"/>
      <c r="CK360" s="81" t="n"/>
      <c r="CL360" s="81" t="n"/>
      <c r="CM360" s="81" t="n"/>
      <c r="CN360" s="81" t="n"/>
      <c r="CP360" s="81" t="n"/>
      <c r="CQ360" s="81" t="n"/>
      <c r="CR360" s="81" t="n"/>
      <c r="CS360" s="81" t="n"/>
      <c r="CU360" s="81" t="n"/>
      <c r="CV360" s="81" t="n"/>
      <c r="CW360" s="81" t="n"/>
      <c r="CX360" s="81" t="n"/>
    </row>
    <row r="361" customFormat="1" s="77">
      <c r="A361" s="76" t="n"/>
      <c r="B361" s="76" t="n"/>
      <c r="C361" s="77" t="inlineStr">
        <is>
          <t>ROE - DUPONT</t>
        </is>
      </c>
      <c r="D361" s="84">
        <f>IFERROR(PRODUCT(D358:D360),"")</f>
        <v>0</v>
      </c>
      <c r="E361" s="84">
        <f>IFERROR(PRODUCT(E358:E360),"")</f>
        <v>0</v>
      </c>
      <c r="F361" s="84">
        <f>IFERROR(PRODUCT(F358:F360),"")</f>
        <v>0</v>
      </c>
      <c r="G361" s="84">
        <f>IFERROR(PRODUCT(G358:G360),"")</f>
        <v>0</v>
      </c>
      <c r="H361" s="258" t="str">
        <f>IFERROR(IF(COUNT(H358,H359,H360)=3,H358*H359*H360,""),"")</f>
        <v/>
      </c>
      <c r="I361" s="257" t="str">
        <f>IFERROR(IF(COUNT(I358,I359,I360)=3,I358*I359*I360,""),"")</f>
        <v/>
      </c>
      <c r="J361" s="257" t="str">
        <f>IFERROR(IF(COUNT(J358,J359,J360)=3,J358*J359*J360,""),"")</f>
        <v/>
      </c>
      <c r="K361" s="257" t="str">
        <f>IFERROR(IF(COUNT(K358,K359,K360)=3,K358*K359*K360,""),"")</f>
        <v/>
      </c>
      <c r="L361" s="257">
        <f>IFERROR(IF(COUNT(L358,L359,L360)=3,L358*L359*L360,""),"")</f>
        <v>1.39791747761775</v>
      </c>
      <c r="M361" s="258">
        <f>IFERROR(IF(COUNT(M358,M359,M360)=3,M358*M359*M360,""),"")</f>
        <v>1.39791747761775</v>
      </c>
      <c r="N361" s="257">
        <f>IFERROR(IF(COUNT(N358,N359,N360)=3,N358*N359*N360,""),"")</f>
        <v>1.51241116337038</v>
      </c>
      <c r="O361" s="257">
        <f>IFERROR(IF(COUNT(O358,O359,O360)=3,O358*O359*O360,""),"")</f>
        <v>1.71464711652641</v>
      </c>
      <c r="P361" s="257">
        <f>IFERROR(IF(COUNT(P358,P359,P360)=3,P358*P359*P360,""),"")</f>
        <v>1.96958872750237</v>
      </c>
      <c r="Q361" s="257">
        <f>IFERROR(IF(COUNT(Q358,Q359,Q360)=3,Q358*Q359*Q360,""),"")</f>
        <v>1.6777019761313</v>
      </c>
      <c r="R361" s="258">
        <f>IFERROR(IF(COUNT(R358,R359,R360)=3,R358*R359*R360,""),"")</f>
        <v>1.6777019761313</v>
      </c>
      <c r="S361" s="257">
        <f>IFERROR(IF(COUNT(S358,S359,S360)=3,S358*S359*S360,""),"")</f>
        <v>1.51743942855304</v>
      </c>
      <c r="T361" s="257">
        <f>IFERROR(IF(COUNT(T358,T359,T360)=3,T358*T359*T360,""),"")</f>
        <v>1.57215383083917</v>
      </c>
      <c r="U361" s="257">
        <f>IFERROR(IF(COUNT(U358,U359,U360)=3,U358*U359*U360,""),"")</f>
        <v>1.56076014546391</v>
      </c>
      <c r="V361" s="257">
        <f>IFERROR(IF(COUNT(V358,V359,V360)=3,V358*V359*V360,""),"")</f>
        <v>1.36184885290148</v>
      </c>
      <c r="W361" s="258">
        <f>IFERROR(IF(COUNT(W358,W359,W360)=3,W358*W359*W360,""),"")</f>
        <v>1.36184885290148</v>
      </c>
      <c r="X361" s="257">
        <f>IFERROR(IF(COUNT(X358,X359,X360)=3,X358*X359*X360,""),"")</f>
        <v>1.35306089441195</v>
      </c>
      <c r="Y361" s="257">
        <f>IFERROR(IF(COUNT(Y358,Y359,Y360)=3,Y358*Y359*Y360,""),"")</f>
        <v>1.52839239671404</v>
      </c>
      <c r="Z361" s="257">
        <f>IFERROR(IF(COUNT(Z358,Z359,Z360)=3,Z358*Z359*Z360,""),"")</f>
        <v>1.64593503072871</v>
      </c>
      <c r="AA361" s="257">
        <f>IFERROR(IF(COUNT(AA358,AA359,AA360)=3,AA358*AA359*AA360,""),"")</f>
        <v>1.44027682075557</v>
      </c>
      <c r="AB361" s="258">
        <f>IFERROR(IF(COUNT(AB358,AB359,AB360)=3,AB358*AB359*AB360,""),"")</f>
        <v>1.44027682075557</v>
      </c>
      <c r="AC361" s="257">
        <f>IFERROR(IF(COUNT(AC358,AC359,AC360)=3,AC358*AC359*AC360,""),"")</f>
        <v>1.4565842266004</v>
      </c>
      <c r="AD361" s="257">
        <f>IFERROR(IF(COUNT(AD358,AD359,AD360)=3,AD358*AD359*AD360,""),"")</f>
        <v>1.50812699377184</v>
      </c>
      <c r="AE361" s="257">
        <f>IFERROR(IF(COUNT(AE358,AE359,AE360)=3,AE358*AE359*AE360,""),"")</f>
        <v>1.51912983331751</v>
      </c>
      <c r="AF361" s="257">
        <f>IFERROR(IF(COUNT(AF358,AF359,AF360)=3,AF358*AF359*AF360,""),"")</f>
        <v>2.14476698038326</v>
      </c>
      <c r="AG361" s="258">
        <f>IFERROR(IF(COUNT(AG358,AG359,AG360)=3,AG358*AG359*AG360,""),"")</f>
        <v>1.3354915523302</v>
      </c>
      <c r="AH361" s="257">
        <f>IFERROR(IF(COUNT(AH358,AH359,AH360)=3,AH358*AH359*AH360,""),"")</f>
        <v>1.9990985153675</v>
      </c>
      <c r="AI361" s="257">
        <f>IFERROR(IF(COUNT(AI358,AI359,AI360)=3,AI358*AI359*AI360,""),"")</f>
        <v>1.90299479166667</v>
      </c>
      <c r="AJ361" s="257">
        <f>IFERROR(IF(COUNT(AJ358,AJ359,AJ360)=3,AJ358*AJ359*AJ360,""),"")</f>
        <v>0.956201434207967</v>
      </c>
      <c r="AK361" s="257">
        <f>IFERROR(IF(COUNT(AK358,AK359,AK360)=3,AK358*AK359*AK360,""),"")</f>
        <v>0.734561994466024</v>
      </c>
      <c r="AL361" s="258">
        <f>IFERROR(IF(COUNT(AL358,AL359,AL360)=3,AL358*AL359*AL360,""),"")</f>
        <v>0.734561994466024</v>
      </c>
      <c r="AM361" s="257">
        <f>IFERROR(IF(COUNT(AM358,AM359,AM360)=3,AM358*AM359*AM360,""),"")</f>
        <v>0.638082004450497</v>
      </c>
      <c r="AN361" s="257">
        <f>IFERROR(IF(COUNT(AN358,AN359,AN360)=3,AN358*AN359*AN360,""),"")</f>
        <v>0.565769607664956</v>
      </c>
      <c r="AO361" s="257">
        <f>IFERROR(IF(COUNT(AO358,AO359,AO360)=3,AO358*AO359*AO360,""),"")</f>
        <v>0.50970249562539</v>
      </c>
      <c r="AP361" s="257">
        <f>IFERROR(IF(COUNT(AP358,AP359,AP360)=3,AP358*AP359*AP360,""),"")</f>
        <v>0.45073006829002</v>
      </c>
      <c r="AQ361" s="258">
        <f>IFERROR(IF(COUNT(AQ358,AQ359,AQ360)=3,AQ358*AQ359*AQ360,""),"")</f>
        <v>0.45073006829002</v>
      </c>
      <c r="AR361" s="257">
        <f>IFERROR(IF(COUNT(AR358,AR359,AR360)=3,AR358*AR359*AR360,""),"")</f>
        <v>0.415473962955139</v>
      </c>
      <c r="AS361" s="257">
        <f>IFERROR(IF(COUNT(AS358,AS359,AS360)=3,AS358*AS359*AS360,""),"")</f>
        <v>0.387110147257022</v>
      </c>
      <c r="AT361" s="257">
        <f>IFERROR(IF(COUNT(AT358,AT359,AT360)=3,AT358*AT359*AT360,""),"")</f>
        <v>0.362425010349303</v>
      </c>
      <c r="AU361" s="257">
        <f>IFERROR(IF(COUNT(AU358,AU359,AU360)=3,AU358*AU359*AU360,""),"")</f>
        <v>0.334220107970948</v>
      </c>
      <c r="AV361" s="258">
        <f>IFERROR(IF(COUNT(AV358,AV359,AV360)=3,AV358*AV359*AV360,""),"")</f>
        <v>0.334220107970948</v>
      </c>
      <c r="AW361" s="257">
        <f>IFERROR(IF(COUNT(AW358,AW359,AW360)=3,AW358*AW359*AW360,""),"")</f>
        <v>0.316111164870415</v>
      </c>
      <c r="AX361" s="257">
        <f>IFERROR(IF(COUNT(AX358,AX359,AX360)=3,AX358*AX359*AX360,""),"")</f>
        <v>0.300811316022452</v>
      </c>
      <c r="AY361" s="257">
        <f>IFERROR(IF(COUNT(AY358,AY359,AY360)=3,AY358*AY359*AY360,""),"")</f>
        <v>0.286927586400009</v>
      </c>
      <c r="AZ361" s="257">
        <f>IFERROR(IF(COUNT(AZ358,AZ359,AZ360)=3,AZ358*AZ359*AZ360,""),"")</f>
        <v>0.270373648250968</v>
      </c>
      <c r="BA361" s="258">
        <f>IFERROR(IF(COUNT(BA358,BA359,BA360)=3,BA358*BA359*BA360,""),"")</f>
        <v>0.270373648250968</v>
      </c>
      <c r="BB361" s="257">
        <f>IFERROR(IF(COUNT(BB358,BB359,BB360)=3,BB358*BB359*BB360,""),"")</f>
        <v>0.259315725323735</v>
      </c>
      <c r="BC361" s="257">
        <f>IFERROR(IF(COUNT(BC358,BC359,BC360)=3,BC358*BC359*BC360,""),"")</f>
        <v>0.249708519413187</v>
      </c>
      <c r="BD361" s="257">
        <f>IFERROR(IF(COUNT(BD358,BD359,BD360)=3,BD358*BD359*BD360,""),"")</f>
        <v>0.240772274952935</v>
      </c>
      <c r="BE361" s="257">
        <f>IFERROR(IF(COUNT(BE358,BE359,BE360)=3,BE358*BE359*BE360,""),"")</f>
        <v>0.229835131444099</v>
      </c>
      <c r="BF361" s="258">
        <f>IFERROR(IF(COUNT(BF358,BF359,BF360)=3,BF358*BF359*BF360,""),"")</f>
        <v>0.229835131444099</v>
      </c>
      <c r="BG361" s="81" t="n"/>
      <c r="BH361" s="81" t="n"/>
      <c r="BI361" s="81" t="n"/>
      <c r="BJ361" s="81" t="n"/>
      <c r="BL361" s="81" t="n"/>
      <c r="BM361" s="81" t="n"/>
      <c r="BN361" s="81" t="n"/>
      <c r="BO361" s="81" t="n"/>
      <c r="BQ361" s="81" t="n"/>
      <c r="BR361" s="81" t="n"/>
      <c r="BS361" s="81" t="n"/>
      <c r="BT361" s="81" t="n"/>
      <c r="BV361" s="81" t="n"/>
      <c r="BW361" s="81" t="n"/>
      <c r="BX361" s="81" t="n"/>
      <c r="BY361" s="81" t="n"/>
      <c r="CA361" s="81" t="n"/>
      <c r="CB361" s="81" t="n"/>
      <c r="CC361" s="81" t="n"/>
      <c r="CD361" s="81" t="n"/>
      <c r="CF361" s="81" t="n"/>
      <c r="CG361" s="81" t="n"/>
      <c r="CH361" s="81" t="n"/>
      <c r="CI361" s="81" t="n"/>
      <c r="CK361" s="81" t="n"/>
      <c r="CL361" s="81" t="n"/>
      <c r="CM361" s="81" t="n"/>
      <c r="CN361" s="81" t="n"/>
      <c r="CP361" s="81" t="n"/>
      <c r="CQ361" s="81" t="n"/>
      <c r="CR361" s="81" t="n"/>
      <c r="CS361" s="81" t="n"/>
      <c r="CU361" s="81" t="n"/>
      <c r="CV361" s="81" t="n"/>
      <c r="CW361" s="81" t="n"/>
      <c r="CX361" s="81" t="n"/>
    </row>
    <row r="362" customFormat="1" s="77">
      <c r="A362" s="76" t="n"/>
      <c r="B362" s="76" t="n"/>
      <c r="C362" s="77" t="inlineStr">
        <is>
          <t>ROE (LTM)</t>
        </is>
      </c>
      <c r="D362" s="84" t="str">
        <f>IFERROR(D131/D265,"")</f>
        <v/>
      </c>
      <c r="E362" s="84" t="str">
        <f>IFERROR(E131/E265,"")</f>
        <v/>
      </c>
      <c r="F362" s="84" t="str">
        <f>IFERROR(F131/F265,"")</f>
        <v/>
      </c>
      <c r="G362" s="84" t="str">
        <f>IFERROR(G131/G265,"")</f>
        <v/>
      </c>
      <c r="H362" s="258" t="str">
        <f>IFERROR(IF(AND(COUNT(H131)=1,N(H265)&lt;&gt;0),(H131)/H265,""),"")</f>
        <v/>
      </c>
      <c r="I362" s="257" t="str">
        <f>""</f>
        <v/>
      </c>
      <c r="J362" s="257" t="str">
        <f>""</f>
        <v/>
      </c>
      <c r="K362" s="257" t="str">
        <f>""</f>
        <v/>
      </c>
      <c r="L362" s="257">
        <f>IFERROR(IF(AND(COUNT(I131,J131,K131,L131)=4,N(L265)&lt;&gt;0),(I131+J131+K131+L131)/L265,""),"")</f>
        <v>1.39791747761775</v>
      </c>
      <c r="M362" s="258">
        <f>IFERROR(IF(AND(COUNT(I131,J131,K131,L131)=4,N(M265)&lt;&gt;0),(I131+J131+K131+L131)/M265,""),"")</f>
        <v>1.39791747761775</v>
      </c>
      <c r="N362" s="257">
        <f>IFERROR(IF(AND(COUNT(J131,K131,L131,N131)=4,N(N265)&lt;&gt;0),(J131+K131+L131+N131)/N265,""),"")</f>
        <v>1.51241116337038</v>
      </c>
      <c r="O362" s="257">
        <f>IFERROR(IF(AND(COUNT(K131,L131,N131,O131)=4,N(O265)&lt;&gt;0),(K131+L131+N131+O131)/O265,""),"")</f>
        <v>1.71464711652641</v>
      </c>
      <c r="P362" s="257">
        <f>IFERROR(IF(AND(COUNT(L131,N131,O131,P131)=4,N(P265)&lt;&gt;0),(L131+N131+O131+P131)/P265,""),"")</f>
        <v>1.96958872750237</v>
      </c>
      <c r="Q362" s="257">
        <f>IFERROR(IF(AND(COUNT(N131,O131,P131,Q131)=4,N(Q265)&lt;&gt;0),(N131+O131+P131+Q131)/Q265,""),"")</f>
        <v>1.6777019761313</v>
      </c>
      <c r="R362" s="258">
        <f>IFERROR(IF(AND(COUNT(N131,O131,P131,Q131)=4,N(R265)&lt;&gt;0),(N131+O131+P131+Q131)/R265,""),"")</f>
        <v>1.6777019761313</v>
      </c>
      <c r="S362" s="257">
        <f>IFERROR(IF(AND(COUNT(O131,P131,Q131,S131)=4,N(S265)&lt;&gt;0),(O131+P131+Q131+S131)/S265,""),"")</f>
        <v>1.51743942855304</v>
      </c>
      <c r="T362" s="257">
        <f>IFERROR(IF(AND(COUNT(P131,Q131,S131,T131)=4,N(T265)&lt;&gt;0),(P131+Q131+S131+T131)/T265,""),"")</f>
        <v>1.57215383083917</v>
      </c>
      <c r="U362" s="257">
        <f>IFERROR(IF(AND(COUNT(Q131,S131,T131,U131)=4,N(U265)&lt;&gt;0),(Q131+S131+T131+U131)/U265,""),"")</f>
        <v>1.56076014546391</v>
      </c>
      <c r="V362" s="257">
        <f>IFERROR(IF(AND(COUNT(S131,T131,U131,V131)=4,N(V265)&lt;&gt;0),(S131+T131+U131+V131)/V265,""),"")</f>
        <v>1.36184885290148</v>
      </c>
      <c r="W362" s="258">
        <f>IFERROR(IF(AND(COUNT(S131,T131,U131,V131)=4,N(W265)&lt;&gt;0),(S131+T131+U131+V131)/W265,""),"")</f>
        <v>1.36184885290148</v>
      </c>
      <c r="X362" s="257">
        <f>IFERROR(IF(AND(COUNT(T131,U131,V131,X131)=4,N(X265)&lt;&gt;0),(T131+U131+V131+X131)/X265,""),"")</f>
        <v>1.35306089441195</v>
      </c>
      <c r="Y362" s="257">
        <f>IFERROR(IF(AND(COUNT(U131,V131,X131,Y131)=4,N(Y265)&lt;&gt;0),(U131+V131+X131+Y131)/Y265,""),"")</f>
        <v>1.52839239671404</v>
      </c>
      <c r="Z362" s="257">
        <f>IFERROR(IF(AND(COUNT(V131,X131,Y131,Z131)=4,N(Z265)&lt;&gt;0),(V131+X131+Y131+Z131)/Z265,""),"")</f>
        <v>1.64593503072871</v>
      </c>
      <c r="AA362" s="257">
        <f>IFERROR(IF(AND(COUNT(X131,Y131,Z131,AA131)=4,N(AA265)&lt;&gt;0),(X131+Y131+Z131+AA131)/AA265,""),"")</f>
        <v>1.44027682075557</v>
      </c>
      <c r="AB362" s="258">
        <f>IFERROR(IF(AND(COUNT(X131,Y131,Z131,AA131)=4,N(AB265)&lt;&gt;0),(X131+Y131+Z131+AA131)/AB265,""),"")</f>
        <v>1.44027682075557</v>
      </c>
      <c r="AC362" s="257">
        <f>IFERROR(IF(AND(COUNT(Y131,Z131,AA131,AC131)=4,N(AC265)&lt;&gt;0),(Y131+Z131+AA131+AC131)/AC265,""),"")</f>
        <v>1.4565842266004</v>
      </c>
      <c r="AD362" s="257">
        <f>IFERROR(IF(AND(COUNT(Z131,AA131,AC131,AD131)=4,N(AD265)&lt;&gt;0),(Z131+AA131+AC131+AD131)/AD265,""),"")</f>
        <v>1.50812699377184</v>
      </c>
      <c r="AE362" s="257">
        <f>IFERROR(IF(AND(COUNT(AA131,AC131,AD131,AE131)=4,N(AE265)&lt;&gt;0),(AA131+AC131+AD131+AE131)/AE265,""),"")</f>
        <v>1.51912983331751</v>
      </c>
      <c r="AF362" s="257">
        <f>IFERROR(IF(AND(COUNT(AB131,AD131,AE131,AF131)=4,N(AF265)&lt;&gt;0),(AB131+AD131+AE131+AF131)/AF265,""),"")</f>
        <v>2.14476698038326</v>
      </c>
      <c r="AG362" s="258">
        <f>IFERROR(IF(AND(COUNT(AC131,AD131,AE131,AF131)=4,N(AG265)&lt;&gt;0),(AC131+AD131+AE131+AF131)/AG265,""),"")</f>
        <v>1.3354915523302</v>
      </c>
      <c r="AH362" s="257">
        <f>IFERROR(IF(AND(COUNT(AD131,AF131,AG131,AH131)=4,N(AH265)&lt;&gt;0),(AD131+AF131+AG131+AH131)/AH265,""),"")</f>
        <v>1.9990985153675</v>
      </c>
      <c r="AI362" s="257">
        <f>IFERROR(IF(AND(COUNT(AE131,AG131,AH131,AI131)=4,N(AI265)&lt;&gt;0),(AE131+AG131+AH131+AI131)/AI265,""),"")</f>
        <v>1.90299479166667</v>
      </c>
      <c r="AJ362" s="257">
        <f>IFERROR(IF(AND(COUNT(AF131,AH131,AI131,AJ131)=4,N(AJ265)&lt;&gt;0),(AF131+AH131+AI131+AJ131)/AJ265,""),"")</f>
        <v>0.956201434207967</v>
      </c>
      <c r="AK362" s="257">
        <f>IFERROR(IF(AND(COUNT(AH131,AI131,AJ131,AK131)=4,N(AK265)&lt;&gt;0),(AH131+AI131+AJ131+AK131)/AK265,""),"")</f>
        <v>0.734561994466023</v>
      </c>
      <c r="AL362" s="258">
        <f>IFERROR(IF(AND(COUNT(AH131,AI131,AJ131,AK131)=4,N(AL265)&lt;&gt;0),(AH131+AI131+AJ131+AK131)/AL265,""),"")</f>
        <v>0.734561994466023</v>
      </c>
      <c r="AM362" s="257">
        <f>IFERROR(IF(AND(COUNT(AI131,AJ131,AK131,AM131)=4,N(AM265)&lt;&gt;0),(AI131+AJ131+AK131+AM131)/AM265,""),"")</f>
        <v>0.638082004450497</v>
      </c>
      <c r="AN362" s="257">
        <f>IFERROR(IF(AND(COUNT(AJ131,AK131,AM131,AN131)=4,N(AN265)&lt;&gt;0),(AJ131+AK131+AM131+AN131)/AN265,""),"")</f>
        <v>0.565769607664956</v>
      </c>
      <c r="AO362" s="257">
        <f>IFERROR(IF(AND(COUNT(AK131,AM131,AN131,AO131)=4,N(AO265)&lt;&gt;0),(AK131+AM131+AN131+AO131)/AO265,""),"")</f>
        <v>0.50970249562539</v>
      </c>
      <c r="AP362" s="257">
        <f>IFERROR(IF(AND(COUNT(AM131,AN131,AO131,AP131)=4,N(AP265)&lt;&gt;0),(AM131+AN131+AO131+AP131)/AP265,""),"")</f>
        <v>0.45073006829002</v>
      </c>
      <c r="AQ362" s="258">
        <f>IFERROR(IF(AND(COUNT(AM131,AN131,AO131,AP131)=4,N(AQ265)&lt;&gt;0),(AM131+AN131+AO131+AP131)/AQ265,""),"")</f>
        <v>0.45073006829002</v>
      </c>
      <c r="AR362" s="257">
        <f>IFERROR(IF(AND(COUNT(AN131,AO131,AP131,AR131)=4,N(AR265)&lt;&gt;0),(AN131+AO131+AP131+AR131)/AR265,""),"")</f>
        <v>0.415473962955139</v>
      </c>
      <c r="AS362" s="257">
        <f>IFERROR(IF(AND(COUNT(AO131,AP131,AR131,AS131)=4,N(AS265)&lt;&gt;0),(AO131+AP131+AR131+AS131)/AS265,""),"")</f>
        <v>0.387110147257022</v>
      </c>
      <c r="AT362" s="257">
        <f>IFERROR(IF(AND(COUNT(AP131,AR131,AS131,AT131)=4,N(AT265)&lt;&gt;0),(AP131+AR131+AS131+AT131)/AT265,""),"")</f>
        <v>0.362425010349303</v>
      </c>
      <c r="AU362" s="257">
        <f>IFERROR(IF(AND(COUNT(AR131,AS131,AT131,AU131)=4,N(AU265)&lt;&gt;0),(AR131+AS131+AT131+AU131)/AU265,""),"")</f>
        <v>0.334220107970948</v>
      </c>
      <c r="AV362" s="258">
        <f>IFERROR(IF(AND(COUNT(AR131,AS131,AT131,AU131)=4,N(AV265)&lt;&gt;0),(AR131+AS131+AT131+AU131)/AV265,""),"")</f>
        <v>0.334220107970948</v>
      </c>
      <c r="AW362" s="257">
        <f>IFERROR(IF(AND(COUNT(AS131,AT131,AU131,AW131)=4,N(AW265)&lt;&gt;0),(AS131+AT131+AU131+AW131)/AW265,""),"")</f>
        <v>0.316111164870415</v>
      </c>
      <c r="AX362" s="257">
        <f>IFERROR(IF(AND(COUNT(AT131,AU131,AW131,AX131)=4,N(AX265)&lt;&gt;0),(AT131+AU131+AW131+AX131)/AX265,""),"")</f>
        <v>0.300811316022452</v>
      </c>
      <c r="AY362" s="257">
        <f>IFERROR(IF(AND(COUNT(AU131,AW131,AX131,AY131)=4,N(AY265)&lt;&gt;0),(AU131+AW131+AX131+AY131)/AY265,""),"")</f>
        <v>0.286927586400009</v>
      </c>
      <c r="AZ362" s="257">
        <f>IFERROR(IF(AND(COUNT(AW131,AX131,AY131,AZ131)=4,N(AZ265)&lt;&gt;0),(AW131+AX131+AY131+AZ131)/AZ265,""),"")</f>
        <v>0.270373648250968</v>
      </c>
      <c r="BA362" s="258">
        <f>IFERROR(IF(AND(COUNT(AW131,AX131,AY131,AZ131)=4,N(BA265)&lt;&gt;0),(AW131+AX131+AY131+AZ131)/BA265,""),"")</f>
        <v>0.270373648250968</v>
      </c>
      <c r="BB362" s="257">
        <f>IFERROR(IF(AND(COUNT(AX131,AY131,AZ131,BB131)=4,N(BB265)&lt;&gt;0),(AX131+AY131+AZ131+BB131)/BB265,""),"")</f>
        <v>0.259315725323735</v>
      </c>
      <c r="BC362" s="257">
        <f>IFERROR(IF(AND(COUNT(AY131,AZ131,BB131,BC131)=4,N(BC265)&lt;&gt;0),(AY131+AZ131+BB131+BC131)/BC265,""),"")</f>
        <v>0.249708519413187</v>
      </c>
      <c r="BD362" s="257">
        <f>IFERROR(IF(AND(COUNT(AZ131,BB131,BC131,BD131)=4,N(BD265)&lt;&gt;0),(AZ131+BB131+BC131+BD131)/BD265,""),"")</f>
        <v>0.240772274952935</v>
      </c>
      <c r="BE362" s="257">
        <f>IFERROR(IF(AND(COUNT(BB131,BC131,BD131,BE131)=4,N(BE265)&lt;&gt;0),(BB131+BC131+BD131+BE131)/BE265,""),"")</f>
        <v>0.229835131444099</v>
      </c>
      <c r="BF362" s="258">
        <f>IFERROR(IF(AND(COUNT(BB131,BC131,BD131,BE131)=4,N(BF265)&lt;&gt;0),(BB131+BC131+BD131+BE131)/BF265,""),"")</f>
        <v>0.229835131444099</v>
      </c>
      <c r="BG362" s="81" t="n"/>
      <c r="BH362" s="81" t="n"/>
      <c r="BI362" s="81" t="n"/>
      <c r="BJ362" s="81" t="n"/>
      <c r="BL362" s="81" t="n"/>
      <c r="BM362" s="81" t="n"/>
      <c r="BN362" s="81" t="n"/>
      <c r="BO362" s="81" t="n"/>
      <c r="BQ362" s="81" t="n"/>
      <c r="BR362" s="81" t="n"/>
      <c r="BS362" s="81" t="n"/>
      <c r="BT362" s="81" t="n"/>
      <c r="BV362" s="81" t="n"/>
      <c r="BW362" s="81" t="n"/>
      <c r="BX362" s="81" t="n"/>
      <c r="BY362" s="81" t="n"/>
      <c r="CA362" s="81" t="n"/>
      <c r="CB362" s="81" t="n"/>
      <c r="CC362" s="81" t="n"/>
      <c r="CD362" s="81" t="n"/>
      <c r="CF362" s="81" t="n"/>
      <c r="CG362" s="81" t="n"/>
      <c r="CH362" s="81" t="n"/>
      <c r="CI362" s="81" t="n"/>
      <c r="CK362" s="81" t="n"/>
      <c r="CL362" s="81" t="n"/>
      <c r="CM362" s="81" t="n"/>
      <c r="CN362" s="81" t="n"/>
      <c r="CP362" s="81" t="n"/>
      <c r="CQ362" s="81" t="n"/>
      <c r="CR362" s="81" t="n"/>
      <c r="CS362" s="81" t="n"/>
      <c r="CU362" s="81" t="n"/>
      <c r="CV362" s="81" t="n"/>
      <c r="CW362" s="81" t="n"/>
      <c r="CX362" s="81" t="n"/>
    </row>
    <row r="363"/>
    <row r="364">
      <c r="C364" s="73" t="inlineStr">
        <is>
          <t>Scenario Analysis</t>
        </is>
      </c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  <c r="Q364" s="73" t="n"/>
      <c r="R364" s="73" t="n"/>
      <c r="S364" s="73" t="n"/>
      <c r="T364" s="73" t="n"/>
      <c r="U364" s="73" t="n"/>
      <c r="V364" s="73" t="n"/>
      <c r="W364" s="73" t="n"/>
      <c r="X364" s="73" t="n"/>
      <c r="Y364" s="73" t="n"/>
      <c r="Z364" s="73" t="n"/>
      <c r="AA364" s="73" t="n"/>
      <c r="AB364" s="73" t="n"/>
      <c r="AC364" s="73" t="n"/>
      <c r="AD364" s="73" t="n"/>
      <c r="AE364" s="73" t="n"/>
      <c r="AF364" s="73" t="n"/>
      <c r="AG364" s="73" t="n"/>
      <c r="AH364" s="73" t="n"/>
      <c r="AI364" s="73" t="n"/>
      <c r="AJ364" s="73" t="n"/>
      <c r="AK364" s="73" t="n"/>
      <c r="AL364" s="73" t="n"/>
      <c r="AM364" s="73" t="n"/>
      <c r="AN364" s="73" t="n"/>
      <c r="AO364" s="73" t="n"/>
      <c r="AP364" s="73" t="n"/>
      <c r="AQ364" s="73" t="n"/>
      <c r="AR364" s="73" t="n"/>
      <c r="AS364" s="73" t="n"/>
      <c r="AT364" s="73" t="n"/>
      <c r="AU364" s="73" t="n"/>
      <c r="AV364" s="73" t="n"/>
      <c r="AW364" s="73" t="n"/>
      <c r="AX364" s="73" t="n"/>
      <c r="AY364" s="73" t="n"/>
      <c r="AZ364" s="73" t="n"/>
      <c r="BA364" s="73" t="n"/>
      <c r="BB364" s="73" t="n"/>
      <c r="BC364" s="73" t="n"/>
      <c r="BD364" s="73" t="n"/>
      <c r="BE364" s="73" t="n"/>
      <c r="BF364" s="73" t="n"/>
      <c r="BG364" s="73" t="n"/>
      <c r="BH364" s="73" t="n"/>
      <c r="BI364" s="73" t="n"/>
      <c r="BJ364" s="73" t="n"/>
      <c r="BK364" s="73" t="n"/>
      <c r="BL364" s="73" t="n"/>
      <c r="BM364" s="73" t="n"/>
      <c r="BN364" s="73" t="n"/>
      <c r="BO364" s="73" t="n"/>
      <c r="BP364" s="73" t="n"/>
      <c r="BQ364" s="73" t="n"/>
      <c r="BR364" s="73" t="n"/>
      <c r="BS364" s="73" t="n"/>
      <c r="BT364" s="73" t="n"/>
      <c r="BU364" s="73" t="n"/>
      <c r="BV364" s="73" t="n"/>
      <c r="BW364" s="73" t="n"/>
      <c r="BX364" s="73" t="n"/>
      <c r="BY364" s="73" t="n"/>
      <c r="BZ364" s="73" t="n"/>
      <c r="CA364" s="73" t="n"/>
      <c r="CB364" s="73" t="n"/>
      <c r="CC364" s="73" t="n"/>
      <c r="CD364" s="73" t="n"/>
      <c r="CE364" s="73" t="n"/>
      <c r="CF364" s="73" t="n"/>
      <c r="CG364" s="73" t="n"/>
      <c r="CH364" s="73" t="n"/>
      <c r="CI364" s="73" t="n"/>
      <c r="CJ364" s="73" t="n"/>
      <c r="CK364" s="73" t="n"/>
      <c r="CL364" s="73" t="n"/>
      <c r="CM364" s="73" t="n"/>
      <c r="CN364" s="73" t="n"/>
      <c r="CO364" s="73" t="n"/>
      <c r="CP364" s="73" t="n"/>
      <c r="CQ364" s="73" t="n"/>
      <c r="CR364" s="73" t="n"/>
      <c r="CS364" s="73" t="n"/>
      <c r="CT364" s="73" t="n"/>
      <c r="CU364" s="73" t="n"/>
      <c r="CV364" s="73" t="n"/>
      <c r="CW364" s="73" t="n"/>
      <c r="CX364" s="73" t="n"/>
      <c r="CY364" s="73" t="n"/>
    </row>
    <row r="365"/>
    <row r="366"/>
    <row r="367">
      <c r="C367" s="4" t="inlineStr">
        <is>
          <t>Bull case</t>
        </is>
      </c>
    </row>
    <row r="368">
      <c r="C368" s="4" t="inlineStr">
        <is>
          <t>Base case</t>
        </is>
      </c>
    </row>
    <row r="369">
      <c r="C369" s="4" t="inlineStr">
        <is>
          <t>Bear case</t>
        </is>
      </c>
    </row>
    <row r="370"/>
    <row r="371"/>
    <row r="372">
      <c r="C372" s="4" t="inlineStr">
        <is>
          <t>Bull case</t>
        </is>
      </c>
    </row>
    <row r="373">
      <c r="C373" s="4" t="inlineStr">
        <is>
          <t>Base case</t>
        </is>
      </c>
    </row>
    <row r="374">
      <c r="C374" s="4" t="inlineStr">
        <is>
          <t>Bear case</t>
        </is>
      </c>
    </row>
    <row r="375"/>
    <row r="376"/>
    <row r="377">
      <c r="C377" s="4" t="inlineStr">
        <is>
          <t>% Gross Margin</t>
        </is>
      </c>
    </row>
    <row r="378">
      <c r="C378" s="4" t="inlineStr">
        <is>
          <t>Bull case</t>
        </is>
      </c>
    </row>
    <row r="379">
      <c r="C379" s="4" t="inlineStr">
        <is>
          <t>Base case</t>
        </is>
      </c>
    </row>
    <row r="380">
      <c r="C380" s="4" t="inlineStr">
        <is>
          <t>Bear case</t>
        </is>
      </c>
    </row>
    <row r="381"/>
    <row r="382"/>
    <row r="383">
      <c r="C383" s="4" t="inlineStr">
        <is>
          <t>Capital expenditures</t>
        </is>
      </c>
    </row>
    <row r="384">
      <c r="C384" s="4" t="inlineStr">
        <is>
          <t>Bull case</t>
        </is>
      </c>
    </row>
    <row r="385">
      <c r="C385" s="4" t="inlineStr">
        <is>
          <t>Base case</t>
        </is>
      </c>
    </row>
    <row r="386">
      <c r="C386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309:G309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309:L309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309:Q309">
    <cfRule type="cellIs" priority="22" operator="notEqual" dxfId="0">
      <formula>0</formula>
    </cfRule>
  </conditionalFormatting>
  <conditionalFormatting sqref="S309:V309">
    <cfRule type="cellIs" priority="21" operator="notEqual" dxfId="0">
      <formula>0</formula>
    </cfRule>
  </conditionalFormatting>
  <conditionalFormatting sqref="X309:AA309">
    <cfRule type="cellIs" priority="20" operator="notEqual" dxfId="0">
      <formula>0</formula>
    </cfRule>
  </conditionalFormatting>
  <conditionalFormatting sqref="AC309:AF309">
    <cfRule type="cellIs" priority="19" operator="notEqual" dxfId="0">
      <formula>0</formula>
    </cfRule>
  </conditionalFormatting>
  <conditionalFormatting sqref="AH309:AK309">
    <cfRule type="cellIs" priority="15" operator="notEqual" dxfId="0">
      <formula>0</formula>
    </cfRule>
  </conditionalFormatting>
  <conditionalFormatting sqref="AM309:AP309">
    <cfRule type="cellIs" priority="14" operator="notEqual" dxfId="0">
      <formula>0</formula>
    </cfRule>
  </conditionalFormatting>
  <conditionalFormatting sqref="AR309:AU309">
    <cfRule type="cellIs" priority="13" operator="notEqual" dxfId="0">
      <formula>0</formula>
    </cfRule>
  </conditionalFormatting>
  <conditionalFormatting sqref="AW309:AZ309">
    <cfRule type="cellIs" priority="12" operator="notEqual" dxfId="0">
      <formula>0</formula>
    </cfRule>
  </conditionalFormatting>
  <conditionalFormatting sqref="BB309:BE309">
    <cfRule type="cellIs" priority="11" operator="notEqual" dxfId="0">
      <formula>0</formula>
    </cfRule>
  </conditionalFormatting>
  <conditionalFormatting sqref="BG309:BJ309">
    <cfRule type="cellIs" priority="10" operator="notEqual" dxfId="0">
      <formula>0</formula>
    </cfRule>
  </conditionalFormatting>
  <conditionalFormatting sqref="BL309:BO309">
    <cfRule type="cellIs" priority="9" operator="notEqual" dxfId="0">
      <formula>0</formula>
    </cfRule>
  </conditionalFormatting>
  <conditionalFormatting sqref="BQ309:BT309">
    <cfRule type="cellIs" priority="8" operator="notEqual" dxfId="0">
      <formula>0</formula>
    </cfRule>
  </conditionalFormatting>
  <conditionalFormatting sqref="BV309:BY309">
    <cfRule type="cellIs" priority="7" operator="notEqual" dxfId="0">
      <formula>0</formula>
    </cfRule>
  </conditionalFormatting>
  <conditionalFormatting sqref="CA309:CD309">
    <cfRule type="cellIs" priority="6" operator="notEqual" dxfId="0">
      <formula>0</formula>
    </cfRule>
  </conditionalFormatting>
  <conditionalFormatting sqref="CF309:CI309">
    <cfRule type="cellIs" priority="5" operator="notEqual" dxfId="0">
      <formula>0</formula>
    </cfRule>
  </conditionalFormatting>
  <conditionalFormatting sqref="CK309:CN309">
    <cfRule type="cellIs" priority="4" operator="notEqual" dxfId="0">
      <formula>0</formula>
    </cfRule>
  </conditionalFormatting>
  <conditionalFormatting sqref="CP309:CS309">
    <cfRule type="cellIs" priority="3" operator="notEqual" dxfId="0">
      <formula>0</formula>
    </cfRule>
  </conditionalFormatting>
  <conditionalFormatting sqref="CU309:CX309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51" min="1" max="1"/>
    <col width="4.85546875" customWidth="1" style="251" min="2" max="2"/>
    <col width="62" customWidth="1" style="251" min="3" max="3"/>
    <col width="14.5703125" customWidth="1" style="251" min="4" max="4"/>
    <col width="12.85546875" customWidth="1" style="251" min="5" max="6"/>
    <col width="13.42578125" customWidth="1" style="251" min="7" max="7"/>
    <col width="16" customWidth="1" style="251" min="8" max="8"/>
    <col width="15.5703125" customWidth="1" style="251" min="9" max="9"/>
    <col width="12.85546875" customWidth="1" style="251" min="10" max="12"/>
    <col width="13.28515625" customWidth="1" style="251" min="13" max="13"/>
    <col width="13.140625" customWidth="1" style="251" min="14" max="14"/>
    <col width="13.28515625" customWidth="1" style="251" min="15" max="15"/>
    <col width="12.28515625" customWidth="1" style="251" min="16" max="20"/>
    <col width="13.28515625" customWidth="1" style="251" min="21" max="22"/>
    <col width="10.5703125" customWidth="1" style="251" min="23" max="23"/>
    <col width="13" customWidth="1" style="251" min="24" max="25"/>
    <col width="11.28515625" customWidth="1" style="251" min="26" max="26"/>
    <col width="10.42578125" customWidth="1" style="251" min="27" max="27"/>
    <col width="21.5703125" customWidth="1" style="251" min="28" max="28"/>
    <col width="10.42578125" customWidth="1" style="251" min="29" max="31"/>
    <col width="9.140625" customWidth="1" style="251" min="32" max="32"/>
    <col width="10.42578125" customWidth="1" style="251" min="33" max="261"/>
    <col width="2.28515625" customWidth="1" style="251" min="262" max="263"/>
    <col width="35.42578125" customWidth="1" style="251" min="264" max="264"/>
    <col width="14.7109375" customWidth="1" style="251" min="265" max="265"/>
    <col width="12.85546875" customWidth="1" style="251" min="266" max="268"/>
    <col width="15.5703125" customWidth="1" style="251" min="269" max="269"/>
    <col width="12.85546875" customWidth="1" style="251" min="270" max="273"/>
    <col width="10.42578125" customWidth="1" style="251" min="274" max="275"/>
    <col width="12.28515625" customWidth="1" style="251" min="276" max="276"/>
    <col width="10.42578125" customWidth="1" style="251" min="277" max="517"/>
    <col width="2.28515625" customWidth="1" style="251" min="518" max="519"/>
    <col width="35.42578125" customWidth="1" style="251" min="520" max="520"/>
    <col width="14.7109375" customWidth="1" style="251" min="521" max="521"/>
    <col width="12.85546875" customWidth="1" style="251" min="522" max="524"/>
    <col width="15.5703125" customWidth="1" style="251" min="525" max="525"/>
    <col width="12.85546875" customWidth="1" style="251" min="526" max="529"/>
    <col width="10.42578125" customWidth="1" style="251" min="530" max="531"/>
    <col width="12.28515625" customWidth="1" style="251" min="532" max="532"/>
    <col width="10.42578125" customWidth="1" style="251" min="533" max="773"/>
    <col width="2.28515625" customWidth="1" style="251" min="774" max="775"/>
    <col width="35.42578125" customWidth="1" style="251" min="776" max="776"/>
    <col width="14.7109375" customWidth="1" style="251" min="777" max="777"/>
    <col width="12.85546875" customWidth="1" style="251" min="778" max="780"/>
    <col width="15.5703125" customWidth="1" style="251" min="781" max="781"/>
    <col width="12.85546875" customWidth="1" style="251" min="782" max="785"/>
    <col width="10.42578125" customWidth="1" style="251" min="786" max="787"/>
    <col width="12.28515625" customWidth="1" style="251" min="788" max="788"/>
    <col width="10.42578125" customWidth="1" style="251" min="789" max="1029"/>
    <col width="2.28515625" customWidth="1" style="251" min="1030" max="1031"/>
    <col width="35.42578125" customWidth="1" style="251" min="1032" max="1032"/>
    <col width="14.7109375" customWidth="1" style="251" min="1033" max="1033"/>
    <col width="12.85546875" customWidth="1" style="251" min="1034" max="1036"/>
    <col width="15.5703125" customWidth="1" style="251" min="1037" max="1037"/>
    <col width="12.85546875" customWidth="1" style="251" min="1038" max="1041"/>
    <col width="10.42578125" customWidth="1" style="251" min="1042" max="1043"/>
    <col width="12.28515625" customWidth="1" style="251" min="1044" max="1044"/>
    <col width="10.42578125" customWidth="1" style="251" min="1045" max="1285"/>
    <col width="2.28515625" customWidth="1" style="251" min="1286" max="1287"/>
    <col width="35.42578125" customWidth="1" style="251" min="1288" max="1288"/>
    <col width="14.7109375" customWidth="1" style="251" min="1289" max="1289"/>
    <col width="12.85546875" customWidth="1" style="251" min="1290" max="1292"/>
    <col width="15.5703125" customWidth="1" style="251" min="1293" max="1293"/>
    <col width="12.85546875" customWidth="1" style="251" min="1294" max="1297"/>
    <col width="10.42578125" customWidth="1" style="251" min="1298" max="1299"/>
    <col width="12.28515625" customWidth="1" style="251" min="1300" max="1300"/>
    <col width="10.42578125" customWidth="1" style="251" min="1301" max="1541"/>
    <col width="2.28515625" customWidth="1" style="251" min="1542" max="1543"/>
    <col width="35.42578125" customWidth="1" style="251" min="1544" max="1544"/>
    <col width="14.7109375" customWidth="1" style="251" min="1545" max="1545"/>
    <col width="12.85546875" customWidth="1" style="251" min="1546" max="1548"/>
    <col width="15.5703125" customWidth="1" style="251" min="1549" max="1549"/>
    <col width="12.85546875" customWidth="1" style="251" min="1550" max="1553"/>
    <col width="10.42578125" customWidth="1" style="251" min="1554" max="1555"/>
    <col width="12.28515625" customWidth="1" style="251" min="1556" max="1556"/>
    <col width="10.42578125" customWidth="1" style="251" min="1557" max="1797"/>
    <col width="2.28515625" customWidth="1" style="251" min="1798" max="1799"/>
    <col width="35.42578125" customWidth="1" style="251" min="1800" max="1800"/>
    <col width="14.7109375" customWidth="1" style="251" min="1801" max="1801"/>
    <col width="12.85546875" customWidth="1" style="251" min="1802" max="1804"/>
    <col width="15.5703125" customWidth="1" style="251" min="1805" max="1805"/>
    <col width="12.85546875" customWidth="1" style="251" min="1806" max="1809"/>
    <col width="10.42578125" customWidth="1" style="251" min="1810" max="1811"/>
    <col width="12.28515625" customWidth="1" style="251" min="1812" max="1812"/>
    <col width="10.42578125" customWidth="1" style="251" min="1813" max="2053"/>
    <col width="2.28515625" customWidth="1" style="251" min="2054" max="2055"/>
    <col width="35.42578125" customWidth="1" style="251" min="2056" max="2056"/>
    <col width="14.7109375" customWidth="1" style="251" min="2057" max="2057"/>
    <col width="12.85546875" customWidth="1" style="251" min="2058" max="2060"/>
    <col width="15.5703125" customWidth="1" style="251" min="2061" max="2061"/>
    <col width="12.85546875" customWidth="1" style="251" min="2062" max="2065"/>
    <col width="10.42578125" customWidth="1" style="251" min="2066" max="2067"/>
    <col width="12.28515625" customWidth="1" style="251" min="2068" max="2068"/>
    <col width="10.42578125" customWidth="1" style="251" min="2069" max="2309"/>
    <col width="2.28515625" customWidth="1" style="251" min="2310" max="2311"/>
    <col width="35.42578125" customWidth="1" style="251" min="2312" max="2312"/>
    <col width="14.7109375" customWidth="1" style="251" min="2313" max="2313"/>
    <col width="12.85546875" customWidth="1" style="251" min="2314" max="2316"/>
    <col width="15.5703125" customWidth="1" style="251" min="2317" max="2317"/>
    <col width="12.85546875" customWidth="1" style="251" min="2318" max="2321"/>
    <col width="10.42578125" customWidth="1" style="251" min="2322" max="2323"/>
    <col width="12.28515625" customWidth="1" style="251" min="2324" max="2324"/>
    <col width="10.42578125" customWidth="1" style="251" min="2325" max="2565"/>
    <col width="2.28515625" customWidth="1" style="251" min="2566" max="2567"/>
    <col width="35.42578125" customWidth="1" style="251" min="2568" max="2568"/>
    <col width="14.7109375" customWidth="1" style="251" min="2569" max="2569"/>
    <col width="12.85546875" customWidth="1" style="251" min="2570" max="2572"/>
    <col width="15.5703125" customWidth="1" style="251" min="2573" max="2573"/>
    <col width="12.85546875" customWidth="1" style="251" min="2574" max="2577"/>
    <col width="10.42578125" customWidth="1" style="251" min="2578" max="2579"/>
    <col width="12.28515625" customWidth="1" style="251" min="2580" max="2580"/>
    <col width="10.42578125" customWidth="1" style="251" min="2581" max="2821"/>
    <col width="2.28515625" customWidth="1" style="251" min="2822" max="2823"/>
    <col width="35.42578125" customWidth="1" style="251" min="2824" max="2824"/>
    <col width="14.7109375" customWidth="1" style="251" min="2825" max="2825"/>
    <col width="12.85546875" customWidth="1" style="251" min="2826" max="2828"/>
    <col width="15.5703125" customWidth="1" style="251" min="2829" max="2829"/>
    <col width="12.85546875" customWidth="1" style="251" min="2830" max="2833"/>
    <col width="10.42578125" customWidth="1" style="251" min="2834" max="2835"/>
    <col width="12.28515625" customWidth="1" style="251" min="2836" max="2836"/>
    <col width="10.42578125" customWidth="1" style="251" min="2837" max="3077"/>
    <col width="2.28515625" customWidth="1" style="251" min="3078" max="3079"/>
    <col width="35.42578125" customWidth="1" style="251" min="3080" max="3080"/>
    <col width="14.7109375" customWidth="1" style="251" min="3081" max="3081"/>
    <col width="12.85546875" customWidth="1" style="251" min="3082" max="3084"/>
    <col width="15.5703125" customWidth="1" style="251" min="3085" max="3085"/>
    <col width="12.85546875" customWidth="1" style="251" min="3086" max="3089"/>
    <col width="10.42578125" customWidth="1" style="251" min="3090" max="3091"/>
    <col width="12.28515625" customWidth="1" style="251" min="3092" max="3092"/>
    <col width="10.42578125" customWidth="1" style="251" min="3093" max="3333"/>
    <col width="2.28515625" customWidth="1" style="251" min="3334" max="3335"/>
    <col width="35.42578125" customWidth="1" style="251" min="3336" max="3336"/>
    <col width="14.7109375" customWidth="1" style="251" min="3337" max="3337"/>
    <col width="12.85546875" customWidth="1" style="251" min="3338" max="3340"/>
    <col width="15.5703125" customWidth="1" style="251" min="3341" max="3341"/>
    <col width="12.85546875" customWidth="1" style="251" min="3342" max="3345"/>
    <col width="10.42578125" customWidth="1" style="251" min="3346" max="3347"/>
    <col width="12.28515625" customWidth="1" style="251" min="3348" max="3348"/>
    <col width="10.42578125" customWidth="1" style="251" min="3349" max="3589"/>
    <col width="2.28515625" customWidth="1" style="251" min="3590" max="3591"/>
    <col width="35.42578125" customWidth="1" style="251" min="3592" max="3592"/>
    <col width="14.7109375" customWidth="1" style="251" min="3593" max="3593"/>
    <col width="12.85546875" customWidth="1" style="251" min="3594" max="3596"/>
    <col width="15.5703125" customWidth="1" style="251" min="3597" max="3597"/>
    <col width="12.85546875" customWidth="1" style="251" min="3598" max="3601"/>
    <col width="10.42578125" customWidth="1" style="251" min="3602" max="3603"/>
    <col width="12.28515625" customWidth="1" style="251" min="3604" max="3604"/>
    <col width="10.42578125" customWidth="1" style="251" min="3605" max="3845"/>
    <col width="2.28515625" customWidth="1" style="251" min="3846" max="3847"/>
    <col width="35.42578125" customWidth="1" style="251" min="3848" max="3848"/>
    <col width="14.7109375" customWidth="1" style="251" min="3849" max="3849"/>
    <col width="12.85546875" customWidth="1" style="251" min="3850" max="3852"/>
    <col width="15.5703125" customWidth="1" style="251" min="3853" max="3853"/>
    <col width="12.85546875" customWidth="1" style="251" min="3854" max="3857"/>
    <col width="10.42578125" customWidth="1" style="251" min="3858" max="3859"/>
    <col width="12.28515625" customWidth="1" style="251" min="3860" max="3860"/>
    <col width="10.42578125" customWidth="1" style="251" min="3861" max="4101"/>
    <col width="2.28515625" customWidth="1" style="251" min="4102" max="4103"/>
    <col width="35.42578125" customWidth="1" style="251" min="4104" max="4104"/>
    <col width="14.7109375" customWidth="1" style="251" min="4105" max="4105"/>
    <col width="12.85546875" customWidth="1" style="251" min="4106" max="4108"/>
    <col width="15.5703125" customWidth="1" style="251" min="4109" max="4109"/>
    <col width="12.85546875" customWidth="1" style="251" min="4110" max="4113"/>
    <col width="10.42578125" customWidth="1" style="251" min="4114" max="4115"/>
    <col width="12.28515625" customWidth="1" style="251" min="4116" max="4116"/>
    <col width="10.42578125" customWidth="1" style="251" min="4117" max="4357"/>
    <col width="2.28515625" customWidth="1" style="251" min="4358" max="4359"/>
    <col width="35.42578125" customWidth="1" style="251" min="4360" max="4360"/>
    <col width="14.7109375" customWidth="1" style="251" min="4361" max="4361"/>
    <col width="12.85546875" customWidth="1" style="251" min="4362" max="4364"/>
    <col width="15.5703125" customWidth="1" style="251" min="4365" max="4365"/>
    <col width="12.85546875" customWidth="1" style="251" min="4366" max="4369"/>
    <col width="10.42578125" customWidth="1" style="251" min="4370" max="4371"/>
    <col width="12.28515625" customWidth="1" style="251" min="4372" max="4372"/>
    <col width="10.42578125" customWidth="1" style="251" min="4373" max="4613"/>
    <col width="2.28515625" customWidth="1" style="251" min="4614" max="4615"/>
    <col width="35.42578125" customWidth="1" style="251" min="4616" max="4616"/>
    <col width="14.7109375" customWidth="1" style="251" min="4617" max="4617"/>
    <col width="12.85546875" customWidth="1" style="251" min="4618" max="4620"/>
    <col width="15.5703125" customWidth="1" style="251" min="4621" max="4621"/>
    <col width="12.85546875" customWidth="1" style="251" min="4622" max="4625"/>
    <col width="10.42578125" customWidth="1" style="251" min="4626" max="4627"/>
    <col width="12.28515625" customWidth="1" style="251" min="4628" max="4628"/>
    <col width="10.42578125" customWidth="1" style="251" min="4629" max="4869"/>
    <col width="2.28515625" customWidth="1" style="251" min="4870" max="4871"/>
    <col width="35.42578125" customWidth="1" style="251" min="4872" max="4872"/>
    <col width="14.7109375" customWidth="1" style="251" min="4873" max="4873"/>
    <col width="12.85546875" customWidth="1" style="251" min="4874" max="4876"/>
    <col width="15.5703125" customWidth="1" style="251" min="4877" max="4877"/>
    <col width="12.85546875" customWidth="1" style="251" min="4878" max="4881"/>
    <col width="10.42578125" customWidth="1" style="251" min="4882" max="4883"/>
    <col width="12.28515625" customWidth="1" style="251" min="4884" max="4884"/>
    <col width="10.42578125" customWidth="1" style="251" min="4885" max="5125"/>
    <col width="2.28515625" customWidth="1" style="251" min="5126" max="5127"/>
    <col width="35.42578125" customWidth="1" style="251" min="5128" max="5128"/>
    <col width="14.7109375" customWidth="1" style="251" min="5129" max="5129"/>
    <col width="12.85546875" customWidth="1" style="251" min="5130" max="5132"/>
    <col width="15.5703125" customWidth="1" style="251" min="5133" max="5133"/>
    <col width="12.85546875" customWidth="1" style="251" min="5134" max="5137"/>
    <col width="10.42578125" customWidth="1" style="251" min="5138" max="5139"/>
    <col width="12.28515625" customWidth="1" style="251" min="5140" max="5140"/>
    <col width="10.42578125" customWidth="1" style="251" min="5141" max="5381"/>
    <col width="2.28515625" customWidth="1" style="251" min="5382" max="5383"/>
    <col width="35.42578125" customWidth="1" style="251" min="5384" max="5384"/>
    <col width="14.7109375" customWidth="1" style="251" min="5385" max="5385"/>
    <col width="12.85546875" customWidth="1" style="251" min="5386" max="5388"/>
    <col width="15.5703125" customWidth="1" style="251" min="5389" max="5389"/>
    <col width="12.85546875" customWidth="1" style="251" min="5390" max="5393"/>
    <col width="10.42578125" customWidth="1" style="251" min="5394" max="5395"/>
    <col width="12.28515625" customWidth="1" style="251" min="5396" max="5396"/>
    <col width="10.42578125" customWidth="1" style="251" min="5397" max="5637"/>
    <col width="2.28515625" customWidth="1" style="251" min="5638" max="5639"/>
    <col width="35.42578125" customWidth="1" style="251" min="5640" max="5640"/>
    <col width="14.7109375" customWidth="1" style="251" min="5641" max="5641"/>
    <col width="12.85546875" customWidth="1" style="251" min="5642" max="5644"/>
    <col width="15.5703125" customWidth="1" style="251" min="5645" max="5645"/>
    <col width="12.85546875" customWidth="1" style="251" min="5646" max="5649"/>
    <col width="10.42578125" customWidth="1" style="251" min="5650" max="5651"/>
    <col width="12.28515625" customWidth="1" style="251" min="5652" max="5652"/>
    <col width="10.42578125" customWidth="1" style="251" min="5653" max="5893"/>
    <col width="2.28515625" customWidth="1" style="251" min="5894" max="5895"/>
    <col width="35.42578125" customWidth="1" style="251" min="5896" max="5896"/>
    <col width="14.7109375" customWidth="1" style="251" min="5897" max="5897"/>
    <col width="12.85546875" customWidth="1" style="251" min="5898" max="5900"/>
    <col width="15.5703125" customWidth="1" style="251" min="5901" max="5901"/>
    <col width="12.85546875" customWidth="1" style="251" min="5902" max="5905"/>
    <col width="10.42578125" customWidth="1" style="251" min="5906" max="5907"/>
    <col width="12.28515625" customWidth="1" style="251" min="5908" max="5908"/>
    <col width="10.42578125" customWidth="1" style="251" min="5909" max="6149"/>
    <col width="2.28515625" customWidth="1" style="251" min="6150" max="6151"/>
    <col width="35.42578125" customWidth="1" style="251" min="6152" max="6152"/>
    <col width="14.7109375" customWidth="1" style="251" min="6153" max="6153"/>
    <col width="12.85546875" customWidth="1" style="251" min="6154" max="6156"/>
    <col width="15.5703125" customWidth="1" style="251" min="6157" max="6157"/>
    <col width="12.85546875" customWidth="1" style="251" min="6158" max="6161"/>
    <col width="10.42578125" customWidth="1" style="251" min="6162" max="6163"/>
    <col width="12.28515625" customWidth="1" style="251" min="6164" max="6164"/>
    <col width="10.42578125" customWidth="1" style="251" min="6165" max="6405"/>
    <col width="2.28515625" customWidth="1" style="251" min="6406" max="6407"/>
    <col width="35.42578125" customWidth="1" style="251" min="6408" max="6408"/>
    <col width="14.7109375" customWidth="1" style="251" min="6409" max="6409"/>
    <col width="12.85546875" customWidth="1" style="251" min="6410" max="6412"/>
    <col width="15.5703125" customWidth="1" style="251" min="6413" max="6413"/>
    <col width="12.85546875" customWidth="1" style="251" min="6414" max="6417"/>
    <col width="10.42578125" customWidth="1" style="251" min="6418" max="6419"/>
    <col width="12.28515625" customWidth="1" style="251" min="6420" max="6420"/>
    <col width="10.42578125" customWidth="1" style="251" min="6421" max="6661"/>
    <col width="2.28515625" customWidth="1" style="251" min="6662" max="6663"/>
    <col width="35.42578125" customWidth="1" style="251" min="6664" max="6664"/>
    <col width="14.7109375" customWidth="1" style="251" min="6665" max="6665"/>
    <col width="12.85546875" customWidth="1" style="251" min="6666" max="6668"/>
    <col width="15.5703125" customWidth="1" style="251" min="6669" max="6669"/>
    <col width="12.85546875" customWidth="1" style="251" min="6670" max="6673"/>
    <col width="10.42578125" customWidth="1" style="251" min="6674" max="6675"/>
    <col width="12.28515625" customWidth="1" style="251" min="6676" max="6676"/>
    <col width="10.42578125" customWidth="1" style="251" min="6677" max="6917"/>
    <col width="2.28515625" customWidth="1" style="251" min="6918" max="6919"/>
    <col width="35.42578125" customWidth="1" style="251" min="6920" max="6920"/>
    <col width="14.7109375" customWidth="1" style="251" min="6921" max="6921"/>
    <col width="12.85546875" customWidth="1" style="251" min="6922" max="6924"/>
    <col width="15.5703125" customWidth="1" style="251" min="6925" max="6925"/>
    <col width="12.85546875" customWidth="1" style="251" min="6926" max="6929"/>
    <col width="10.42578125" customWidth="1" style="251" min="6930" max="6931"/>
    <col width="12.28515625" customWidth="1" style="251" min="6932" max="6932"/>
    <col width="10.42578125" customWidth="1" style="251" min="6933" max="7173"/>
    <col width="2.28515625" customWidth="1" style="251" min="7174" max="7175"/>
    <col width="35.42578125" customWidth="1" style="251" min="7176" max="7176"/>
    <col width="14.7109375" customWidth="1" style="251" min="7177" max="7177"/>
    <col width="12.85546875" customWidth="1" style="251" min="7178" max="7180"/>
    <col width="15.5703125" customWidth="1" style="251" min="7181" max="7181"/>
    <col width="12.85546875" customWidth="1" style="251" min="7182" max="7185"/>
    <col width="10.42578125" customWidth="1" style="251" min="7186" max="7187"/>
    <col width="12.28515625" customWidth="1" style="251" min="7188" max="7188"/>
    <col width="10.42578125" customWidth="1" style="251" min="7189" max="7429"/>
    <col width="2.28515625" customWidth="1" style="251" min="7430" max="7431"/>
    <col width="35.42578125" customWidth="1" style="251" min="7432" max="7432"/>
    <col width="14.7109375" customWidth="1" style="251" min="7433" max="7433"/>
    <col width="12.85546875" customWidth="1" style="251" min="7434" max="7436"/>
    <col width="15.5703125" customWidth="1" style="251" min="7437" max="7437"/>
    <col width="12.85546875" customWidth="1" style="251" min="7438" max="7441"/>
    <col width="10.42578125" customWidth="1" style="251" min="7442" max="7443"/>
    <col width="12.28515625" customWidth="1" style="251" min="7444" max="7444"/>
    <col width="10.42578125" customWidth="1" style="251" min="7445" max="7685"/>
    <col width="2.28515625" customWidth="1" style="251" min="7686" max="7687"/>
    <col width="35.42578125" customWidth="1" style="251" min="7688" max="7688"/>
    <col width="14.7109375" customWidth="1" style="251" min="7689" max="7689"/>
    <col width="12.85546875" customWidth="1" style="251" min="7690" max="7692"/>
    <col width="15.5703125" customWidth="1" style="251" min="7693" max="7693"/>
    <col width="12.85546875" customWidth="1" style="251" min="7694" max="7697"/>
    <col width="10.42578125" customWidth="1" style="251" min="7698" max="7699"/>
    <col width="12.28515625" customWidth="1" style="251" min="7700" max="7700"/>
    <col width="10.42578125" customWidth="1" style="251" min="7701" max="7941"/>
    <col width="2.28515625" customWidth="1" style="251" min="7942" max="7943"/>
    <col width="35.42578125" customWidth="1" style="251" min="7944" max="7944"/>
    <col width="14.7109375" customWidth="1" style="251" min="7945" max="7945"/>
    <col width="12.85546875" customWidth="1" style="251" min="7946" max="7948"/>
    <col width="15.5703125" customWidth="1" style="251" min="7949" max="7949"/>
    <col width="12.85546875" customWidth="1" style="251" min="7950" max="7953"/>
    <col width="10.42578125" customWidth="1" style="251" min="7954" max="7955"/>
    <col width="12.28515625" customWidth="1" style="251" min="7956" max="7956"/>
    <col width="10.42578125" customWidth="1" style="251" min="7957" max="8197"/>
    <col width="2.28515625" customWidth="1" style="251" min="8198" max="8199"/>
    <col width="35.42578125" customWidth="1" style="251" min="8200" max="8200"/>
    <col width="14.7109375" customWidth="1" style="251" min="8201" max="8201"/>
    <col width="12.85546875" customWidth="1" style="251" min="8202" max="8204"/>
    <col width="15.5703125" customWidth="1" style="251" min="8205" max="8205"/>
    <col width="12.85546875" customWidth="1" style="251" min="8206" max="8209"/>
    <col width="10.42578125" customWidth="1" style="251" min="8210" max="8211"/>
    <col width="12.28515625" customWidth="1" style="251" min="8212" max="8212"/>
    <col width="10.42578125" customWidth="1" style="251" min="8213" max="8453"/>
    <col width="2.28515625" customWidth="1" style="251" min="8454" max="8455"/>
    <col width="35.42578125" customWidth="1" style="251" min="8456" max="8456"/>
    <col width="14.7109375" customWidth="1" style="251" min="8457" max="8457"/>
    <col width="12.85546875" customWidth="1" style="251" min="8458" max="8460"/>
    <col width="15.5703125" customWidth="1" style="251" min="8461" max="8461"/>
    <col width="12.85546875" customWidth="1" style="251" min="8462" max="8465"/>
    <col width="10.42578125" customWidth="1" style="251" min="8466" max="8467"/>
    <col width="12.28515625" customWidth="1" style="251" min="8468" max="8468"/>
    <col width="10.42578125" customWidth="1" style="251" min="8469" max="8709"/>
    <col width="2.28515625" customWidth="1" style="251" min="8710" max="8711"/>
    <col width="35.42578125" customWidth="1" style="251" min="8712" max="8712"/>
    <col width="14.7109375" customWidth="1" style="251" min="8713" max="8713"/>
    <col width="12.85546875" customWidth="1" style="251" min="8714" max="8716"/>
    <col width="15.5703125" customWidth="1" style="251" min="8717" max="8717"/>
    <col width="12.85546875" customWidth="1" style="251" min="8718" max="8721"/>
    <col width="10.42578125" customWidth="1" style="251" min="8722" max="8723"/>
    <col width="12.28515625" customWidth="1" style="251" min="8724" max="8724"/>
    <col width="10.42578125" customWidth="1" style="251" min="8725" max="8965"/>
    <col width="2.28515625" customWidth="1" style="251" min="8966" max="8967"/>
    <col width="35.42578125" customWidth="1" style="251" min="8968" max="8968"/>
    <col width="14.7109375" customWidth="1" style="251" min="8969" max="8969"/>
    <col width="12.85546875" customWidth="1" style="251" min="8970" max="8972"/>
    <col width="15.5703125" customWidth="1" style="251" min="8973" max="8973"/>
    <col width="12.85546875" customWidth="1" style="251" min="8974" max="8977"/>
    <col width="10.42578125" customWidth="1" style="251" min="8978" max="8979"/>
    <col width="12.28515625" customWidth="1" style="251" min="8980" max="8980"/>
    <col width="10.42578125" customWidth="1" style="251" min="8981" max="9221"/>
    <col width="2.28515625" customWidth="1" style="251" min="9222" max="9223"/>
    <col width="35.42578125" customWidth="1" style="251" min="9224" max="9224"/>
    <col width="14.7109375" customWidth="1" style="251" min="9225" max="9225"/>
    <col width="12.85546875" customWidth="1" style="251" min="9226" max="9228"/>
    <col width="15.5703125" customWidth="1" style="251" min="9229" max="9229"/>
    <col width="12.85546875" customWidth="1" style="251" min="9230" max="9233"/>
    <col width="10.42578125" customWidth="1" style="251" min="9234" max="9235"/>
    <col width="12.28515625" customWidth="1" style="251" min="9236" max="9236"/>
    <col width="10.42578125" customWidth="1" style="251" min="9237" max="9477"/>
    <col width="2.28515625" customWidth="1" style="251" min="9478" max="9479"/>
    <col width="35.42578125" customWidth="1" style="251" min="9480" max="9480"/>
    <col width="14.7109375" customWidth="1" style="251" min="9481" max="9481"/>
    <col width="12.85546875" customWidth="1" style="251" min="9482" max="9484"/>
    <col width="15.5703125" customWidth="1" style="251" min="9485" max="9485"/>
    <col width="12.85546875" customWidth="1" style="251" min="9486" max="9489"/>
    <col width="10.42578125" customWidth="1" style="251" min="9490" max="9491"/>
    <col width="12.28515625" customWidth="1" style="251" min="9492" max="9492"/>
    <col width="10.42578125" customWidth="1" style="251" min="9493" max="9733"/>
    <col width="2.28515625" customWidth="1" style="251" min="9734" max="9735"/>
    <col width="35.42578125" customWidth="1" style="251" min="9736" max="9736"/>
    <col width="14.7109375" customWidth="1" style="251" min="9737" max="9737"/>
    <col width="12.85546875" customWidth="1" style="251" min="9738" max="9740"/>
    <col width="15.5703125" customWidth="1" style="251" min="9741" max="9741"/>
    <col width="12.85546875" customWidth="1" style="251" min="9742" max="9745"/>
    <col width="10.42578125" customWidth="1" style="251" min="9746" max="9747"/>
    <col width="12.28515625" customWidth="1" style="251" min="9748" max="9748"/>
    <col width="10.42578125" customWidth="1" style="251" min="9749" max="9989"/>
    <col width="2.28515625" customWidth="1" style="251" min="9990" max="9991"/>
    <col width="35.42578125" customWidth="1" style="251" min="9992" max="9992"/>
    <col width="14.7109375" customWidth="1" style="251" min="9993" max="9993"/>
    <col width="12.85546875" customWidth="1" style="251" min="9994" max="9996"/>
    <col width="15.5703125" customWidth="1" style="251" min="9997" max="9997"/>
    <col width="12.85546875" customWidth="1" style="251" min="9998" max="10001"/>
    <col width="10.42578125" customWidth="1" style="251" min="10002" max="10003"/>
    <col width="12.28515625" customWidth="1" style="251" min="10004" max="10004"/>
    <col width="10.42578125" customWidth="1" style="251" min="10005" max="10245"/>
    <col width="2.28515625" customWidth="1" style="251" min="10246" max="10247"/>
    <col width="35.42578125" customWidth="1" style="251" min="10248" max="10248"/>
    <col width="14.7109375" customWidth="1" style="251" min="10249" max="10249"/>
    <col width="12.85546875" customWidth="1" style="251" min="10250" max="10252"/>
    <col width="15.5703125" customWidth="1" style="251" min="10253" max="10253"/>
    <col width="12.85546875" customWidth="1" style="251" min="10254" max="10257"/>
    <col width="10.42578125" customWidth="1" style="251" min="10258" max="10259"/>
    <col width="12.28515625" customWidth="1" style="251" min="10260" max="10260"/>
    <col width="10.42578125" customWidth="1" style="251" min="10261" max="10501"/>
    <col width="2.28515625" customWidth="1" style="251" min="10502" max="10503"/>
    <col width="35.42578125" customWidth="1" style="251" min="10504" max="10504"/>
    <col width="14.7109375" customWidth="1" style="251" min="10505" max="10505"/>
    <col width="12.85546875" customWidth="1" style="251" min="10506" max="10508"/>
    <col width="15.5703125" customWidth="1" style="251" min="10509" max="10509"/>
    <col width="12.85546875" customWidth="1" style="251" min="10510" max="10513"/>
    <col width="10.42578125" customWidth="1" style="251" min="10514" max="10515"/>
    <col width="12.28515625" customWidth="1" style="251" min="10516" max="10516"/>
    <col width="10.42578125" customWidth="1" style="251" min="10517" max="10757"/>
    <col width="2.28515625" customWidth="1" style="251" min="10758" max="10759"/>
    <col width="35.42578125" customWidth="1" style="251" min="10760" max="10760"/>
    <col width="14.7109375" customWidth="1" style="251" min="10761" max="10761"/>
    <col width="12.85546875" customWidth="1" style="251" min="10762" max="10764"/>
    <col width="15.5703125" customWidth="1" style="251" min="10765" max="10765"/>
    <col width="12.85546875" customWidth="1" style="251" min="10766" max="10769"/>
    <col width="10.42578125" customWidth="1" style="251" min="10770" max="10771"/>
    <col width="12.28515625" customWidth="1" style="251" min="10772" max="10772"/>
    <col width="10.42578125" customWidth="1" style="251" min="10773" max="11013"/>
    <col width="2.28515625" customWidth="1" style="251" min="11014" max="11015"/>
    <col width="35.42578125" customWidth="1" style="251" min="11016" max="11016"/>
    <col width="14.7109375" customWidth="1" style="251" min="11017" max="11017"/>
    <col width="12.85546875" customWidth="1" style="251" min="11018" max="11020"/>
    <col width="15.5703125" customWidth="1" style="251" min="11021" max="11021"/>
    <col width="12.85546875" customWidth="1" style="251" min="11022" max="11025"/>
    <col width="10.42578125" customWidth="1" style="251" min="11026" max="11027"/>
    <col width="12.28515625" customWidth="1" style="251" min="11028" max="11028"/>
    <col width="10.42578125" customWidth="1" style="251" min="11029" max="11269"/>
    <col width="2.28515625" customWidth="1" style="251" min="11270" max="11271"/>
    <col width="35.42578125" customWidth="1" style="251" min="11272" max="11272"/>
    <col width="14.7109375" customWidth="1" style="251" min="11273" max="11273"/>
    <col width="12.85546875" customWidth="1" style="251" min="11274" max="11276"/>
    <col width="15.5703125" customWidth="1" style="251" min="11277" max="11277"/>
    <col width="12.85546875" customWidth="1" style="251" min="11278" max="11281"/>
    <col width="10.42578125" customWidth="1" style="251" min="11282" max="11283"/>
    <col width="12.28515625" customWidth="1" style="251" min="11284" max="11284"/>
    <col width="10.42578125" customWidth="1" style="251" min="11285" max="11525"/>
    <col width="2.28515625" customWidth="1" style="251" min="11526" max="11527"/>
    <col width="35.42578125" customWidth="1" style="251" min="11528" max="11528"/>
    <col width="14.7109375" customWidth="1" style="251" min="11529" max="11529"/>
    <col width="12.85546875" customWidth="1" style="251" min="11530" max="11532"/>
    <col width="15.5703125" customWidth="1" style="251" min="11533" max="11533"/>
    <col width="12.85546875" customWidth="1" style="251" min="11534" max="11537"/>
    <col width="10.42578125" customWidth="1" style="251" min="11538" max="11539"/>
    <col width="12.28515625" customWidth="1" style="251" min="11540" max="11540"/>
    <col width="10.42578125" customWidth="1" style="251" min="11541" max="11781"/>
    <col width="2.28515625" customWidth="1" style="251" min="11782" max="11783"/>
    <col width="35.42578125" customWidth="1" style="251" min="11784" max="11784"/>
    <col width="14.7109375" customWidth="1" style="251" min="11785" max="11785"/>
    <col width="12.85546875" customWidth="1" style="251" min="11786" max="11788"/>
    <col width="15.5703125" customWidth="1" style="251" min="11789" max="11789"/>
    <col width="12.85546875" customWidth="1" style="251" min="11790" max="11793"/>
    <col width="10.42578125" customWidth="1" style="251" min="11794" max="11795"/>
    <col width="12.28515625" customWidth="1" style="251" min="11796" max="11796"/>
    <col width="10.42578125" customWidth="1" style="251" min="11797" max="12037"/>
    <col width="2.28515625" customWidth="1" style="251" min="12038" max="12039"/>
    <col width="35.42578125" customWidth="1" style="251" min="12040" max="12040"/>
    <col width="14.7109375" customWidth="1" style="251" min="12041" max="12041"/>
    <col width="12.85546875" customWidth="1" style="251" min="12042" max="12044"/>
    <col width="15.5703125" customWidth="1" style="251" min="12045" max="12045"/>
    <col width="12.85546875" customWidth="1" style="251" min="12046" max="12049"/>
    <col width="10.42578125" customWidth="1" style="251" min="12050" max="12051"/>
    <col width="12.28515625" customWidth="1" style="251" min="12052" max="12052"/>
    <col width="10.42578125" customWidth="1" style="251" min="12053" max="12293"/>
    <col width="2.28515625" customWidth="1" style="251" min="12294" max="12295"/>
    <col width="35.42578125" customWidth="1" style="251" min="12296" max="12296"/>
    <col width="14.7109375" customWidth="1" style="251" min="12297" max="12297"/>
    <col width="12.85546875" customWidth="1" style="251" min="12298" max="12300"/>
    <col width="15.5703125" customWidth="1" style="251" min="12301" max="12301"/>
    <col width="12.85546875" customWidth="1" style="251" min="12302" max="12305"/>
    <col width="10.42578125" customWidth="1" style="251" min="12306" max="12307"/>
    <col width="12.28515625" customWidth="1" style="251" min="12308" max="12308"/>
    <col width="10.42578125" customWidth="1" style="251" min="12309" max="12549"/>
    <col width="2.28515625" customWidth="1" style="251" min="12550" max="12551"/>
    <col width="35.42578125" customWidth="1" style="251" min="12552" max="12552"/>
    <col width="14.7109375" customWidth="1" style="251" min="12553" max="12553"/>
    <col width="12.85546875" customWidth="1" style="251" min="12554" max="12556"/>
    <col width="15.5703125" customWidth="1" style="251" min="12557" max="12557"/>
    <col width="12.85546875" customWidth="1" style="251" min="12558" max="12561"/>
    <col width="10.42578125" customWidth="1" style="251" min="12562" max="12563"/>
    <col width="12.28515625" customWidth="1" style="251" min="12564" max="12564"/>
    <col width="10.42578125" customWidth="1" style="251" min="12565" max="12805"/>
    <col width="2.28515625" customWidth="1" style="251" min="12806" max="12807"/>
    <col width="35.42578125" customWidth="1" style="251" min="12808" max="12808"/>
    <col width="14.7109375" customWidth="1" style="251" min="12809" max="12809"/>
    <col width="12.85546875" customWidth="1" style="251" min="12810" max="12812"/>
    <col width="15.5703125" customWidth="1" style="251" min="12813" max="12813"/>
    <col width="12.85546875" customWidth="1" style="251" min="12814" max="12817"/>
    <col width="10.42578125" customWidth="1" style="251" min="12818" max="12819"/>
    <col width="12.28515625" customWidth="1" style="251" min="12820" max="12820"/>
    <col width="10.42578125" customWidth="1" style="251" min="12821" max="13061"/>
    <col width="2.28515625" customWidth="1" style="251" min="13062" max="13063"/>
    <col width="35.42578125" customWidth="1" style="251" min="13064" max="13064"/>
    <col width="14.7109375" customWidth="1" style="251" min="13065" max="13065"/>
    <col width="12.85546875" customWidth="1" style="251" min="13066" max="13068"/>
    <col width="15.5703125" customWidth="1" style="251" min="13069" max="13069"/>
    <col width="12.85546875" customWidth="1" style="251" min="13070" max="13073"/>
    <col width="10.42578125" customWidth="1" style="251" min="13074" max="13075"/>
    <col width="12.28515625" customWidth="1" style="251" min="13076" max="13076"/>
    <col width="10.42578125" customWidth="1" style="251" min="13077" max="13317"/>
    <col width="2.28515625" customWidth="1" style="251" min="13318" max="13319"/>
    <col width="35.42578125" customWidth="1" style="251" min="13320" max="13320"/>
    <col width="14.7109375" customWidth="1" style="251" min="13321" max="13321"/>
    <col width="12.85546875" customWidth="1" style="251" min="13322" max="13324"/>
    <col width="15.5703125" customWidth="1" style="251" min="13325" max="13325"/>
    <col width="12.85546875" customWidth="1" style="251" min="13326" max="13329"/>
    <col width="10.42578125" customWidth="1" style="251" min="13330" max="13331"/>
    <col width="12.28515625" customWidth="1" style="251" min="13332" max="13332"/>
    <col width="10.42578125" customWidth="1" style="251" min="13333" max="13573"/>
    <col width="2.28515625" customWidth="1" style="251" min="13574" max="13575"/>
    <col width="35.42578125" customWidth="1" style="251" min="13576" max="13576"/>
    <col width="14.7109375" customWidth="1" style="251" min="13577" max="13577"/>
    <col width="12.85546875" customWidth="1" style="251" min="13578" max="13580"/>
    <col width="15.5703125" customWidth="1" style="251" min="13581" max="13581"/>
    <col width="12.85546875" customWidth="1" style="251" min="13582" max="13585"/>
    <col width="10.42578125" customWidth="1" style="251" min="13586" max="13587"/>
    <col width="12.28515625" customWidth="1" style="251" min="13588" max="13588"/>
    <col width="10.42578125" customWidth="1" style="251" min="13589" max="13829"/>
    <col width="2.28515625" customWidth="1" style="251" min="13830" max="13831"/>
    <col width="35.42578125" customWidth="1" style="251" min="13832" max="13832"/>
    <col width="14.7109375" customWidth="1" style="251" min="13833" max="13833"/>
    <col width="12.85546875" customWidth="1" style="251" min="13834" max="13836"/>
    <col width="15.5703125" customWidth="1" style="251" min="13837" max="13837"/>
    <col width="12.85546875" customWidth="1" style="251" min="13838" max="13841"/>
    <col width="10.42578125" customWidth="1" style="251" min="13842" max="13843"/>
    <col width="12.28515625" customWidth="1" style="251" min="13844" max="13844"/>
    <col width="10.42578125" customWidth="1" style="251" min="13845" max="14085"/>
    <col width="2.28515625" customWidth="1" style="251" min="14086" max="14087"/>
    <col width="35.42578125" customWidth="1" style="251" min="14088" max="14088"/>
    <col width="14.7109375" customWidth="1" style="251" min="14089" max="14089"/>
    <col width="12.85546875" customWidth="1" style="251" min="14090" max="14092"/>
    <col width="15.5703125" customWidth="1" style="251" min="14093" max="14093"/>
    <col width="12.85546875" customWidth="1" style="251" min="14094" max="14097"/>
    <col width="10.42578125" customWidth="1" style="251" min="14098" max="14099"/>
    <col width="12.28515625" customWidth="1" style="251" min="14100" max="14100"/>
    <col width="10.42578125" customWidth="1" style="251" min="14101" max="14341"/>
    <col width="2.28515625" customWidth="1" style="251" min="14342" max="14343"/>
    <col width="35.42578125" customWidth="1" style="251" min="14344" max="14344"/>
    <col width="14.7109375" customWidth="1" style="251" min="14345" max="14345"/>
    <col width="12.85546875" customWidth="1" style="251" min="14346" max="14348"/>
    <col width="15.5703125" customWidth="1" style="251" min="14349" max="14349"/>
    <col width="12.85546875" customWidth="1" style="251" min="14350" max="14353"/>
    <col width="10.42578125" customWidth="1" style="251" min="14354" max="14355"/>
    <col width="12.28515625" customWidth="1" style="251" min="14356" max="14356"/>
    <col width="10.42578125" customWidth="1" style="251" min="14357" max="14597"/>
    <col width="2.28515625" customWidth="1" style="251" min="14598" max="14599"/>
    <col width="35.42578125" customWidth="1" style="251" min="14600" max="14600"/>
    <col width="14.7109375" customWidth="1" style="251" min="14601" max="14601"/>
    <col width="12.85546875" customWidth="1" style="251" min="14602" max="14604"/>
    <col width="15.5703125" customWidth="1" style="251" min="14605" max="14605"/>
    <col width="12.85546875" customWidth="1" style="251" min="14606" max="14609"/>
    <col width="10.42578125" customWidth="1" style="251" min="14610" max="14611"/>
    <col width="12.28515625" customWidth="1" style="251" min="14612" max="14612"/>
    <col width="10.42578125" customWidth="1" style="251" min="14613" max="14853"/>
    <col width="2.28515625" customWidth="1" style="251" min="14854" max="14855"/>
    <col width="35.42578125" customWidth="1" style="251" min="14856" max="14856"/>
    <col width="14.7109375" customWidth="1" style="251" min="14857" max="14857"/>
    <col width="12.85546875" customWidth="1" style="251" min="14858" max="14860"/>
    <col width="15.5703125" customWidth="1" style="251" min="14861" max="14861"/>
    <col width="12.85546875" customWidth="1" style="251" min="14862" max="14865"/>
    <col width="10.42578125" customWidth="1" style="251" min="14866" max="14867"/>
    <col width="12.28515625" customWidth="1" style="251" min="14868" max="14868"/>
    <col width="10.42578125" customWidth="1" style="251" min="14869" max="15109"/>
    <col width="2.28515625" customWidth="1" style="251" min="15110" max="15111"/>
    <col width="35.42578125" customWidth="1" style="251" min="15112" max="15112"/>
    <col width="14.7109375" customWidth="1" style="251" min="15113" max="15113"/>
    <col width="12.85546875" customWidth="1" style="251" min="15114" max="15116"/>
    <col width="15.5703125" customWidth="1" style="251" min="15117" max="15117"/>
    <col width="12.85546875" customWidth="1" style="251" min="15118" max="15121"/>
    <col width="10.42578125" customWidth="1" style="251" min="15122" max="15123"/>
    <col width="12.28515625" customWidth="1" style="251" min="15124" max="15124"/>
    <col width="10.42578125" customWidth="1" style="251" min="15125" max="15365"/>
    <col width="2.28515625" customWidth="1" style="251" min="15366" max="15367"/>
    <col width="35.42578125" customWidth="1" style="251" min="15368" max="15368"/>
    <col width="14.7109375" customWidth="1" style="251" min="15369" max="15369"/>
    <col width="12.85546875" customWidth="1" style="251" min="15370" max="15372"/>
    <col width="15.5703125" customWidth="1" style="251" min="15373" max="15373"/>
    <col width="12.85546875" customWidth="1" style="251" min="15374" max="15377"/>
    <col width="10.42578125" customWidth="1" style="251" min="15378" max="15379"/>
    <col width="12.28515625" customWidth="1" style="251" min="15380" max="15380"/>
    <col width="10.42578125" customWidth="1" style="251" min="15381" max="15621"/>
    <col width="2.28515625" customWidth="1" style="251" min="15622" max="15623"/>
    <col width="35.42578125" customWidth="1" style="251" min="15624" max="15624"/>
    <col width="14.7109375" customWidth="1" style="251" min="15625" max="15625"/>
    <col width="12.85546875" customWidth="1" style="251" min="15626" max="15628"/>
    <col width="15.5703125" customWidth="1" style="251" min="15629" max="15629"/>
    <col width="12.85546875" customWidth="1" style="251" min="15630" max="15633"/>
    <col width="10.42578125" customWidth="1" style="251" min="15634" max="15635"/>
    <col width="12.28515625" customWidth="1" style="251" min="15636" max="15636"/>
    <col width="10.42578125" customWidth="1" style="251" min="15637" max="15877"/>
    <col width="2.28515625" customWidth="1" style="251" min="15878" max="15879"/>
    <col width="35.42578125" customWidth="1" style="251" min="15880" max="15880"/>
    <col width="14.7109375" customWidth="1" style="251" min="15881" max="15881"/>
    <col width="12.85546875" customWidth="1" style="251" min="15882" max="15884"/>
    <col width="15.5703125" customWidth="1" style="251" min="15885" max="15885"/>
    <col width="12.85546875" customWidth="1" style="251" min="15886" max="15889"/>
    <col width="10.42578125" customWidth="1" style="251" min="15890" max="15891"/>
    <col width="12.28515625" customWidth="1" style="251" min="15892" max="15892"/>
    <col width="10.42578125" customWidth="1" style="251" min="15893" max="16133"/>
    <col width="2.28515625" customWidth="1" style="251" min="16134" max="16135"/>
    <col width="35.42578125" customWidth="1" style="251" min="16136" max="16136"/>
    <col width="14.7109375" customWidth="1" style="251" min="16137" max="16137"/>
    <col width="12.85546875" customWidth="1" style="251" min="16138" max="16140"/>
    <col width="15.5703125" customWidth="1" style="251" min="16141" max="16141"/>
    <col width="12.85546875" customWidth="1" style="251" min="16142" max="16145"/>
    <col width="10.42578125" customWidth="1" style="251" min="16146" max="16147"/>
    <col width="12.28515625" customWidth="1" style="251" min="16148" max="16148"/>
    <col width="10.42578125" customWidth="1" style="251" min="16149" max="16384"/>
  </cols>
  <sheetData>
    <row r="1" ht="6.75" customFormat="1" customHeight="1" s="93"/>
    <row r="2" ht="6.75" customFormat="1" customHeight="1" s="93"/>
    <row r="3">
      <c r="C3" s="251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/>
    <row r="6"/>
    <row r="7">
      <c r="C7" s="251" t="inlineStr">
        <is>
          <t>Ticker</t>
        </is>
      </c>
      <c r="D7" s="95" t="str">
        <f>IFERROR(IF(Control!B4="","",Control!B4),"")</f>
        <v>AAPL</v>
      </c>
      <c r="F7" s="251" t="inlineStr">
        <is>
          <t>Last close</t>
        </is>
      </c>
      <c r="G7" s="96" t="str">
        <f>IFERROR(IF(Control!E4="","",Control!E4),"")</f>
        <v/>
      </c>
    </row>
    <row r="8">
      <c r="C8" s="251" t="inlineStr">
        <is>
          <t>Operating scenario:</t>
        </is>
      </c>
      <c r="D8" s="97" t="str">
        <f>IFERROR(IF(Control!B10=1,"Bull Case",IF(Control!B10=2,"Base Case","Bear Case")),"")</f>
        <v>Base Case</v>
      </c>
    </row>
    <row r="9">
      <c r="C9" s="251" t="inlineStr">
        <is>
          <t>Last fiscal year end date:</t>
        </is>
      </c>
      <c r="D9" s="98" t="str">
        <f>IFERROR(IF(Control!B12="","",DATE(YEAR(Control!B12)-1,12,31)),"")</f>
        <v/>
      </c>
    </row>
    <row r="10">
      <c r="C10" s="251" t="inlineStr">
        <is>
          <t>Valuation / deal date:</t>
        </is>
      </c>
      <c r="D10" s="98" t="str">
        <f>IFERROR(IF(Control!B12="","",Control!B12),"")</f>
        <v/>
      </c>
    </row>
    <row r="11">
      <c r="C11" s="251" t="inlineStr">
        <is>
          <t>Stub year fraction:</t>
        </is>
      </c>
      <c r="D11" s="99" t="str">
        <f>IFERROR(IF(Control!B12="","",Control!B13),"")</f>
        <v/>
      </c>
      <c r="E11" s="100" t="n"/>
      <c r="I11" s="101" t="n"/>
      <c r="O11" s="102" t="n"/>
      <c r="Z11" s="103" t="n"/>
    </row>
    <row r="12">
      <c r="C12" s="251" t="inlineStr">
        <is>
          <t>Weighted average cost of capital:</t>
        </is>
      </c>
      <c r="D12" s="99" t="str">
        <f>IFERROR(IF(Control!E12="","",Control!E12),"")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50" t="inlineStr">
        <is>
          <t>Projected Annual Forecast</t>
        </is>
      </c>
    </row>
    <row r="15">
      <c r="C15" s="105" t="n"/>
      <c r="D15" s="105" t="n"/>
      <c r="E15" s="105" t="n"/>
      <c r="F15" s="105" t="n"/>
      <c r="G15" s="256" t="inlineStr">
        <is>
          <t>Granular</t>
        </is>
      </c>
      <c r="H15" s="253" t="n"/>
      <c r="I15" s="253" t="n"/>
      <c r="J15" s="253" t="n"/>
      <c r="K15" s="253" t="n"/>
      <c r="L15" s="253" t="n"/>
      <c r="M15" s="253" t="n"/>
      <c r="N15" s="253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IFERROR(Model!W15,"")</f>
        <v>385706</v>
      </c>
      <c r="E18" s="113">
        <f>IFERROR(Model!AB15,"")</f>
        <v>395760</v>
      </c>
      <c r="F18" s="113">
        <f>IFERROR(Model!AG15,"")</f>
        <v>435617</v>
      </c>
      <c r="G18" s="113">
        <f>IFERROR(Model!AL15,"")</f>
        <v>496060.380408986</v>
      </c>
      <c r="H18" s="113">
        <f>IFERROR(Model!AQ15,"")</f>
        <v>554964.564632345</v>
      </c>
      <c r="I18" s="113">
        <f>IFERROR(Model!AV15,"")</f>
        <v>618088.443345453</v>
      </c>
      <c r="J18" s="113">
        <f>IFERROR(Model!BA15,"")</f>
        <v>685301.84108211</v>
      </c>
      <c r="K18" s="113">
        <f>IFERROR(Model!BF15,"")</f>
        <v>756397.782037721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IFERROR("","")</f>
        <v/>
      </c>
      <c r="E19" s="117">
        <f>IFERROR(IF(D18=0,"",E18/D18-1),"")</f>
        <v>0.0260664858726596</v>
      </c>
      <c r="F19" s="117">
        <f>IFERROR(IF(E18=0,"",F18/E18-1),"")</f>
        <v>0.100710026278553</v>
      </c>
      <c r="G19" s="117">
        <f>IFERROR(IF(F18=0,"",G18/F18-1),"")</f>
        <v>0.138753493112037</v>
      </c>
      <c r="H19" s="117">
        <f>IFERROR(IF(G18=0,"",H18/G18-1),"")</f>
        <v>0.118743980671858</v>
      </c>
      <c r="I19" s="117">
        <f>IFERROR(IF(H18=0,"",I18/H18-1),"")</f>
        <v>0.113743980671858</v>
      </c>
      <c r="J19" s="117">
        <f>IFERROR(IF(I18=0,"",J18/I18-1),"")</f>
        <v>0.108743980671858</v>
      </c>
      <c r="K19" s="117">
        <f>IFERROR(IF(J18=0,"",K18/J18-1),"")</f>
        <v>0.103743980671858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IFERROR(Model!W63,"")</f>
        <v>130109</v>
      </c>
      <c r="E20" s="113">
        <f>IFERROR(Model!AB63,"")</f>
        <v>137352</v>
      </c>
      <c r="F20" s="113">
        <f>IFERROR(Model!AG63,"")</f>
        <v>152902</v>
      </c>
      <c r="G20" s="113">
        <f>IFERROR(Model!AL63,"")</f>
        <v>174820.097087999</v>
      </c>
      <c r="H20" s="113">
        <f>IFERROR(Model!AQ63,"")</f>
        <v>194379.258245605</v>
      </c>
      <c r="I20" s="113">
        <f>IFERROR(Model!AV63,"")</f>
        <v>216488.728838503</v>
      </c>
      <c r="J20" s="113">
        <f>IFERROR(Model!BA63,"")</f>
        <v>240030.574982992</v>
      </c>
      <c r="K20" s="113">
        <f>IFERROR(Model!BF63,"")</f>
        <v>264932.302314682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0.337326875910668</v>
      </c>
      <c r="E21" s="122">
        <f>IFERROR(IF(E18=0,"",E20/E18),"")</f>
        <v>0.347058823529412</v>
      </c>
      <c r="F21" s="122">
        <f>IFERROR(IF(F18=0,"",F20/F18),"")</f>
        <v>0.351000993992429</v>
      </c>
      <c r="G21" s="122">
        <f>IFERROR(IF(G18=0,"",G20/G18),"")</f>
        <v>0.352416971788526</v>
      </c>
      <c r="H21" s="122">
        <f>IFERROR(IF(H18=0,"",H20/H18),"")</f>
        <v>0.350255260665837</v>
      </c>
      <c r="I21" s="122">
        <f>IFERROR(IF(I18=0,"",I20/I18),"")</f>
        <v>0.350255260665837</v>
      </c>
      <c r="J21" s="122">
        <f>IFERROR(IF(J18=0,"",J20/J18),"")</f>
        <v>0.350255260665837</v>
      </c>
      <c r="K21" s="122">
        <f>IFERROR(IF(K18=0,"",K20/K18),"")</f>
        <v>0.350255260665837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IFERROR(Model!W67,"")</f>
        <v>118658</v>
      </c>
      <c r="E22" s="113">
        <f>IFERROR(Model!AB67,"")</f>
        <v>125675</v>
      </c>
      <c r="F22" s="113">
        <f>IFERROR(Model!AG67,"")</f>
        <v>141070</v>
      </c>
      <c r="G22" s="113">
        <f>IFERROR(Model!AL67,"")</f>
        <v>160157.798209874</v>
      </c>
      <c r="H22" s="113">
        <f>IFERROR(Model!AQ67,"")</f>
        <v>178456.580954507</v>
      </c>
      <c r="I22" s="113">
        <f>IFERROR(Model!AV67,"")</f>
        <v>198754.942849362</v>
      </c>
      <c r="J22" s="113">
        <f>IFERROR(Model!BA67,"")</f>
        <v>220368.34651301</v>
      </c>
      <c r="K22" s="113">
        <f>IFERROR(Model!BF67,"")</f>
        <v>243230.235994344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0.307638460381742</v>
      </c>
      <c r="E23" s="122">
        <f>IFERROR(IF(E18=0,"",E22/E18),"")</f>
        <v>0.31755356781888</v>
      </c>
      <c r="F23" s="122">
        <f>IFERROR(IF(F18=0,"",F22/F18),"")</f>
        <v>0.323839519577978</v>
      </c>
      <c r="G23" s="122">
        <f>IFERROR(IF(G18=0,"",G22/G18),"")</f>
        <v>0.322859483512529</v>
      </c>
      <c r="H23" s="122">
        <f>IFERROR(IF(H18=0,"",H22/H18),"")</f>
        <v>0.321563920162599</v>
      </c>
      <c r="I23" s="122">
        <f>IFERROR(IF(I18=0,"",I22/I18),"")</f>
        <v>0.321563920162599</v>
      </c>
      <c r="J23" s="122">
        <f>IFERROR(IF(J18=0,"",J22/J18),"")</f>
        <v>0.321563920162599</v>
      </c>
      <c r="K23" s="122">
        <f>IFERROR(IF(K18=0,"",K22/K18),"")</f>
        <v>0.321563920162599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</t>
        </is>
      </c>
      <c r="D24" s="125">
        <f>IFERROR(Model!W126,"")</f>
        <v>0.147953325002533</v>
      </c>
      <c r="E24" s="125">
        <f>IFERROR(Model!AB126,"")</f>
        <v>0.23536335151814</v>
      </c>
      <c r="F24" s="125">
        <f>IFERROR(Model!AG126,"")</f>
        <v>0.165572063168186</v>
      </c>
      <c r="G24" s="125">
        <f>IFERROR(Model!AL126,"")</f>
        <v>0.171951059467409</v>
      </c>
      <c r="H24" s="125">
        <f>IFERROR(Model!AQ126,"")</f>
        <v>0.168176043669603</v>
      </c>
      <c r="I24" s="125">
        <f>IFERROR(Model!AV126,"")</f>
        <v>0.168176043669603</v>
      </c>
      <c r="J24" s="125">
        <f>IFERROR(Model!BA126,"")</f>
        <v>0.168176043669603</v>
      </c>
      <c r="K24" s="125">
        <f>IFERROR(Model!BF126,"")</f>
        <v>0.168176043669603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IFERROR(D22*(1-D24),"")</f>
        <v>101102.154361849</v>
      </c>
      <c r="E25" s="127">
        <f>IFERROR(E22*(1-E24),"")</f>
        <v>96095.7107979578</v>
      </c>
      <c r="F25" s="127">
        <f>IFERROR(F22*(1-F24),"")</f>
        <v>117712.749048864</v>
      </c>
      <c r="G25" s="127">
        <f>IFERROR(G22*(1-G24),"")</f>
        <v>132618.495125719</v>
      </c>
      <c r="H25" s="127">
        <f>IFERROR(H22*(1-H24),"")</f>
        <v>148444.459202774</v>
      </c>
      <c r="I25" s="127">
        <f>IFERROR(I22*(1-I24),"")</f>
        <v>165329.122901178</v>
      </c>
      <c r="J25" s="127">
        <f>IFERROR(J22*(1-J24),"")</f>
        <v>183307.669846439</v>
      </c>
      <c r="K25" s="127">
        <f>IFERROR(K22*(1-K24),"")</f>
        <v>202324.737203992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IFERROR(-Model!W64,"")</f>
        <v>11451</v>
      </c>
      <c r="E26" s="130">
        <f>IFERROR(-Model!AB64,"")</f>
        <v>11677</v>
      </c>
      <c r="F26" s="130">
        <f>IFERROR(-Model!AG64,"")</f>
        <v>11832</v>
      </c>
      <c r="G26" s="130">
        <f>IFERROR(-Model!AL64,"")</f>
        <v>14662.2988781251</v>
      </c>
      <c r="H26" s="130">
        <f>IFERROR(-Model!AQ64,"")</f>
        <v>15922.6772910976</v>
      </c>
      <c r="I26" s="130">
        <f>IFERROR(-Model!AV64,"")</f>
        <v>17733.7859891405</v>
      </c>
      <c r="J26" s="130">
        <f>IFERROR(-Model!BA64,"")</f>
        <v>19662.2284699824</v>
      </c>
      <c r="K26" s="130">
        <f>IFERROR(-Model!BF64,"")</f>
        <v>21702.0663203379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IFERROR(Model!W273,"")</f>
        <v>2048</v>
      </c>
      <c r="E27" s="133">
        <f>IFERROR(Model!AB273,"")</f>
        <v>1628</v>
      </c>
      <c r="F27" s="133">
        <f>IFERROR(Model!AG273,"")</f>
        <v>5289</v>
      </c>
      <c r="G27" s="133">
        <f>IFERROR(Model!AL273,"")</f>
        <v>1337.93282875454</v>
      </c>
      <c r="H27" s="133">
        <f>IFERROR(Model!AQ273,"")</f>
        <v>3777.95051287477</v>
      </c>
      <c r="I27" s="133">
        <f>IFERROR(Model!AV273,"")</f>
        <v>4048.58997884666</v>
      </c>
      <c r="J27" s="133">
        <f>IFERROR(Model!BA273,"")</f>
        <v>4310.88035254648</v>
      </c>
      <c r="K27" s="133">
        <f>IFERROR(Model!BF273,"")</f>
        <v>4559.89587391735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IFERROR(Model!W274,"")</f>
        <v>558</v>
      </c>
      <c r="E28" s="136">
        <f>IFERROR(Model!AB274,"")</f>
        <v>-6445</v>
      </c>
      <c r="F28" s="136">
        <f>IFERROR(Model!AG274,"")</f>
        <v>-10282</v>
      </c>
      <c r="G28" s="136">
        <f>IFERROR(Model!AL274,"")</f>
        <v>-7647.59181711279</v>
      </c>
      <c r="H28" s="136">
        <f>IFERROR(Model!AQ274,"")</f>
        <v>-5648.48394731874</v>
      </c>
      <c r="I28" s="136">
        <f>IFERROR(Model!AV274,"")</f>
        <v>-6053.12203716229</v>
      </c>
      <c r="J28" s="136">
        <f>IFERROR(Model!BA274,"")</f>
        <v>-6445.27724415372</v>
      </c>
      <c r="K28" s="136">
        <f>IFERROR(Model!BF274,"")</f>
        <v>-6817.58497298799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IFERROR(Model!W275,"")</f>
        <v>309</v>
      </c>
      <c r="E29" s="136">
        <f>IFERROR(Model!AB275,"")</f>
        <v>-400</v>
      </c>
      <c r="F29" s="136">
        <f>IFERROR(Model!AG275,"")</f>
        <v>1036</v>
      </c>
      <c r="G29" s="136">
        <f>IFERROR(Model!AL275,"")</f>
        <v>-4435.30991732285</v>
      </c>
      <c r="H29" s="136">
        <f>IFERROR(Model!AQ275,"")</f>
        <v>-1224.28724154345</v>
      </c>
      <c r="I29" s="136">
        <f>IFERROR(Model!AV275,"")</f>
        <v>-1311.99099629576</v>
      </c>
      <c r="J29" s="136">
        <f>IFERROR(Model!BA275,"")</f>
        <v>-1396.98913404426</v>
      </c>
      <c r="K29" s="136">
        <f>IFERROR(Model!BF275,"")</f>
        <v>-1477.68540698953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IFERROR(Model!W276,"")</f>
        <v>0</v>
      </c>
      <c r="E30" s="136">
        <f>IFERROR(Model!AB276,"")</f>
        <v>0</v>
      </c>
      <c r="F30" s="136">
        <f>IFERROR(Model!AG276,"")</f>
        <v>0</v>
      </c>
      <c r="G30" s="136">
        <f>IFERROR(Model!AL276,"")</f>
        <v>0</v>
      </c>
      <c r="H30" s="136">
        <f>IFERROR(Model!AQ276,"")</f>
        <v>0</v>
      </c>
      <c r="I30" s="136">
        <f>IFERROR(Model!AV276,"")</f>
        <v>0</v>
      </c>
      <c r="J30" s="136">
        <f>IFERROR(Model!BA276,"")</f>
        <v>0</v>
      </c>
      <c r="K30" s="136">
        <f>IFERROR(Model!BF276,"")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IFERROR(Model!W277,"")</f>
        <v>0</v>
      </c>
      <c r="E31" s="136">
        <f>IFERROR(Model!AB277,"")</f>
        <v>0</v>
      </c>
      <c r="F31" s="136">
        <f>IFERROR(Model!AG277,"")</f>
        <v>0</v>
      </c>
      <c r="G31" s="136">
        <f>IFERROR(Model!AL277,"")</f>
        <v>0</v>
      </c>
      <c r="H31" s="136">
        <f>IFERROR(Model!AQ277,"")</f>
        <v>0</v>
      </c>
      <c r="I31" s="136">
        <f>IFERROR(Model!AV277,"")</f>
        <v>0</v>
      </c>
      <c r="J31" s="136">
        <f>IFERROR(Model!BA277,"")</f>
        <v>0</v>
      </c>
      <c r="K31" s="136">
        <f>IFERROR(Model!BF277,"")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IFERROR(Model!W278,"")</f>
        <v>5963</v>
      </c>
      <c r="E32" s="136">
        <f>IFERROR(Model!AB278,"")</f>
        <v>-2028</v>
      </c>
      <c r="F32" s="136">
        <f>IFERROR(Model!AG278,"")</f>
        <v>-2486</v>
      </c>
      <c r="G32" s="136">
        <f>IFERROR(Model!AL278,"")</f>
        <v>472</v>
      </c>
      <c r="H32" s="136">
        <f>IFERROR(Model!AQ278,"")</f>
        <v>0</v>
      </c>
      <c r="I32" s="136">
        <f>IFERROR(Model!AV278,"")</f>
        <v>0</v>
      </c>
      <c r="J32" s="136">
        <f>IFERROR(Model!BA278,"")</f>
        <v>0</v>
      </c>
      <c r="K32" s="136">
        <f>IFERROR(Model!BF278,"")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IFERROR(Model!W279,"")</f>
        <v>228</v>
      </c>
      <c r="E33" s="136">
        <f>IFERROR(Model!AB279,"")</f>
        <v>3764</v>
      </c>
      <c r="F33" s="136">
        <f>IFERROR(Model!AG279,"")</f>
        <v>8677</v>
      </c>
      <c r="G33" s="136">
        <f>IFERROR(Model!AL279,"")</f>
        <v>19107.8345631902</v>
      </c>
      <c r="H33" s="136">
        <f>IFERROR(Model!AQ279,"")</f>
        <v>10650.721701737</v>
      </c>
      <c r="I33" s="136">
        <f>IFERROR(Model!AV279,"")</f>
        <v>11413.7030123047</v>
      </c>
      <c r="J33" s="136">
        <f>IFERROR(Model!BA279,"")</f>
        <v>12153.1467307445</v>
      </c>
      <c r="K33" s="136">
        <f>IFERROR(Model!BF279,"")</f>
        <v>12855.1662538949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IFERROR(Model!W280,"")</f>
        <v>0</v>
      </c>
      <c r="E34" s="136">
        <f>IFERROR(Model!AB280,"")</f>
        <v>0</v>
      </c>
      <c r="F34" s="136">
        <f>IFERROR(Model!AG280,"")</f>
        <v>0</v>
      </c>
      <c r="G34" s="136">
        <f>IFERROR(Model!AL280,"")</f>
        <v>0</v>
      </c>
      <c r="H34" s="136">
        <f>IFERROR(Model!AQ280,"")</f>
        <v>0</v>
      </c>
      <c r="I34" s="136">
        <f>IFERROR(Model!AV280,"")</f>
        <v>0</v>
      </c>
      <c r="J34" s="136">
        <f>IFERROR(Model!BA280,"")</f>
        <v>0</v>
      </c>
      <c r="K34" s="136">
        <f>IFERROR(Model!BF280,"")</f>
        <v>0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IFERROR(Model!W281,"")</f>
        <v>0</v>
      </c>
      <c r="E35" s="136">
        <f>IFERROR(Model!AB281,"")</f>
        <v>0</v>
      </c>
      <c r="F35" s="136">
        <f>IFERROR(Model!AG281,"")</f>
        <v>0</v>
      </c>
      <c r="G35" s="136">
        <f>IFERROR(Model!AL281,"")</f>
        <v>0</v>
      </c>
      <c r="H35" s="136">
        <f>IFERROR(Model!AQ281,"")</f>
        <v>0</v>
      </c>
      <c r="I35" s="136">
        <f>IFERROR(Model!AV281,"")</f>
        <v>0</v>
      </c>
      <c r="J35" s="136">
        <f>IFERROR(Model!BA281,"")</f>
        <v>0</v>
      </c>
      <c r="K35" s="136">
        <f>IFERROR(Model!BF281,"")</f>
        <v>0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IFERROR(Model!W282,"")</f>
        <v>-5010</v>
      </c>
      <c r="E36" s="136">
        <f>IFERROR(Model!AB282,"")</f>
        <v>6737</v>
      </c>
      <c r="F36" s="136">
        <f>IFERROR(Model!AG282,"")</f>
        <v>8344</v>
      </c>
      <c r="G36" s="136">
        <f>IFERROR(Model!AL282,"")</f>
        <v>-6159</v>
      </c>
      <c r="H36" s="136">
        <f>IFERROR(Model!AQ282,"")</f>
        <v>0</v>
      </c>
      <c r="I36" s="136">
        <f>IFERROR(Model!AV282,"")</f>
        <v>0</v>
      </c>
      <c r="J36" s="136">
        <f>IFERROR(Model!BA282,"")</f>
        <v>0</v>
      </c>
      <c r="K36" s="136">
        <f>IFERROR(Model!BF282,"")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IFERROR(Model!W283,"")</f>
        <v>0</v>
      </c>
      <c r="E37" s="136">
        <f>IFERROR(Model!AB283,"")</f>
        <v>0</v>
      </c>
      <c r="F37" s="136">
        <f>IFERROR(Model!AG283,"")</f>
        <v>0</v>
      </c>
      <c r="G37" s="136">
        <f>IFERROR(Model!AL283,"")</f>
        <v>0</v>
      </c>
      <c r="H37" s="136">
        <f>IFERROR(Model!AQ283,"")</f>
        <v>0</v>
      </c>
      <c r="I37" s="136">
        <f>IFERROR(Model!AV283,"")</f>
        <v>0</v>
      </c>
      <c r="J37" s="136">
        <f>IFERROR(Model!BA283,"")</f>
        <v>0</v>
      </c>
      <c r="K37" s="136">
        <f>IFERROR(Model!BF283,"")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IFERROR((Model!W183-Model!R183)*-1,"")</f>
        <v>-5757</v>
      </c>
      <c r="E38" s="136">
        <f>IFERROR((Model!AB183-Model!W183)*-1,"")</f>
        <v>-10502</v>
      </c>
      <c r="F38" s="136">
        <f>IFERROR((Model!AG183-Model!AB183)*-1,"")</f>
        <v>-15963</v>
      </c>
      <c r="G38" s="136">
        <f>IFERROR((Model!AL183-Model!AG183)*-1,"")</f>
        <v>15589</v>
      </c>
      <c r="H38" s="136">
        <f>IFERROR((Model!AQ183-Model!AL183)*-1,"")</f>
        <v>0</v>
      </c>
      <c r="I38" s="136">
        <f>IFERROR((Model!AV183-Model!AQ183)*-1,"")</f>
        <v>0</v>
      </c>
      <c r="J38" s="136">
        <f>IFERROR((Model!BA183-Model!AV183)*-1,"")</f>
        <v>0</v>
      </c>
      <c r="K38" s="136">
        <f>IFERROR((Model!BF183-Model!BA183)*-1,"")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IFERROR(Model!W234-Model!R234,"")</f>
        <v>-2754</v>
      </c>
      <c r="E39" s="136">
        <f>IFERROR(Model!AB234-Model!W234,"")</f>
        <v>-1347</v>
      </c>
      <c r="F39" s="136">
        <f>IFERROR(Model!AG234-Model!AB234,"")</f>
        <v>3049</v>
      </c>
      <c r="G39" s="136">
        <f>IFERROR(Model!AL234-Model!AG234,"")</f>
        <v>3025</v>
      </c>
      <c r="H39" s="136">
        <f>IFERROR(Model!AQ234-Model!AL234,"")</f>
        <v>0</v>
      </c>
      <c r="I39" s="136">
        <f>IFERROR(Model!AV234-Model!AQ234,"")</f>
        <v>0</v>
      </c>
      <c r="J39" s="136">
        <f>IFERROR(Model!BA234-Model!AV234,"")</f>
        <v>0</v>
      </c>
      <c r="K39" s="136">
        <f>IFERROR(Model!BF234-Model!BA234,"")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IFERROR(Model!W289,"")</f>
        <v>-12166</v>
      </c>
      <c r="E40" s="136">
        <f>IFERROR(Model!AB289,"")</f>
        <v>-14080</v>
      </c>
      <c r="F40" s="136">
        <f>IFERROR(Model!AG289,"")</f>
        <v>-15922</v>
      </c>
      <c r="G40" s="136">
        <f>IFERROR(Model!AL289,"")</f>
        <v>-18085.7052030521</v>
      </c>
      <c r="H40" s="136">
        <f>IFERROR(Model!AQ289,"")</f>
        <v>-20257.0886757732</v>
      </c>
      <c r="I40" s="136">
        <f>IFERROR(Model!AV289,"")</f>
        <v>-22561.2105785785</v>
      </c>
      <c r="J40" s="136">
        <f>IFERROR(Model!BA289,"")</f>
        <v>-25014.6064256692</v>
      </c>
      <c r="K40" s="136">
        <f>IFERROR(Model!BF289,"")</f>
        <v>-27609.7212712079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51">
        <f>IFERROR(0,"")</f>
        <v>0</v>
      </c>
      <c r="E41" s="251">
        <f>IFERROR(0,"")</f>
        <v>0</v>
      </c>
      <c r="F41" s="136">
        <f>IFERROR(0,"")</f>
        <v>0</v>
      </c>
      <c r="G41" s="136">
        <f>IFERROR(0,"")</f>
        <v>0</v>
      </c>
      <c r="H41" s="136">
        <f>IFERROR(0,"")</f>
        <v>0</v>
      </c>
      <c r="I41" s="136">
        <f>IFERROR(0,"")</f>
        <v>0</v>
      </c>
      <c r="J41" s="136">
        <f>IFERROR(0,"")</f>
        <v>0</v>
      </c>
      <c r="K41" s="136">
        <f>IFERROR(0,"")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IFERROR(0,"")</f>
        <v>0</v>
      </c>
      <c r="E42" s="139">
        <f>IFERROR(0,"")</f>
        <v>0</v>
      </c>
      <c r="F42" s="139">
        <f>IFERROR(0,"")</f>
        <v>0</v>
      </c>
      <c r="G42" s="139">
        <f>IFERROR(0,"")</f>
        <v>0</v>
      </c>
      <c r="H42" s="139">
        <f>IFERROR(0,"")</f>
        <v>0</v>
      </c>
      <c r="I42" s="139">
        <f>IFERROR(0,"")</f>
        <v>0</v>
      </c>
      <c r="J42" s="139">
        <f>IFERROR(0,"")</f>
        <v>0</v>
      </c>
      <c r="K42" s="139">
        <f>IFERROR(0,"")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IFERROR(SUM(D27,D40:D42,D26),"")</f>
        <v>1333</v>
      </c>
      <c r="E44" s="133">
        <f>IFERROR(SUM(E27,E40:E42,E26),"")</f>
        <v>-775</v>
      </c>
      <c r="F44" s="133">
        <f>IFERROR(SUM(F27,F40:F42,F26),"")</f>
        <v>1199</v>
      </c>
      <c r="G44" s="133">
        <f>IFERROR(SUM(G27,G40:G42,G26),"")</f>
        <v>-2085.47349617249</v>
      </c>
      <c r="H44" s="133">
        <f>IFERROR(SUM(H27,H40:H42,H26),"")</f>
        <v>-556.460871800854</v>
      </c>
      <c r="I44" s="133">
        <f>IFERROR(SUM(I27,I40:I42,I26),"")</f>
        <v>-778.834610591392</v>
      </c>
      <c r="J44" s="133">
        <f>IFERROR(SUM(J27,J40:J42,J26),"")</f>
        <v>-1041.49760314027</v>
      </c>
      <c r="K44" s="133">
        <f>IFERROR(SUM(K27,K40:K42,K26),"")</f>
        <v>-1347.75907695264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IFERROR(Model!W344,"")</f>
        <v>9565</v>
      </c>
      <c r="E46" s="136">
        <f>IFERROR(Model!AB344,"")</f>
        <v>22189</v>
      </c>
      <c r="F46" s="136">
        <f>IFERROR(Model!AG344,"")</f>
        <v>33904</v>
      </c>
      <c r="G46" s="136">
        <f>IFERROR(Model!AL344,"")</f>
        <v>37717.4734961725</v>
      </c>
      <c r="H46" s="136">
        <f>IFERROR(Model!AQ344,"")</f>
        <v>38273.9343679733</v>
      </c>
      <c r="I46" s="136">
        <f>IFERROR(Model!AV344,"")</f>
        <v>39052.7689785648</v>
      </c>
      <c r="J46" s="136">
        <f>IFERROR(Model!BA344,"")</f>
        <v>40094.266581705</v>
      </c>
      <c r="K46" s="136">
        <f>IFERROR(Model!BF344,"")</f>
        <v>41442.0256586577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IFERROR(Model!W345,"")</f>
        <v>9565</v>
      </c>
      <c r="E47" s="136">
        <f>IFERROR(Model!AB345,"")</f>
        <v>22189</v>
      </c>
      <c r="F47" s="136">
        <f>IFERROR(Model!AG345,"")</f>
        <v>33904</v>
      </c>
      <c r="G47" s="136">
        <f>IFERROR(Model!AL345,"")</f>
        <v>37717.4734961725</v>
      </c>
      <c r="H47" s="136">
        <f>IFERROR(Model!AQ345,"")</f>
        <v>38273.9343679733</v>
      </c>
      <c r="I47" s="136">
        <f>IFERROR(Model!AV345,"")</f>
        <v>39052.7689785648</v>
      </c>
      <c r="J47" s="136">
        <f>IFERROR(Model!BA345,"")</f>
        <v>40094.266581705</v>
      </c>
      <c r="K47" s="136">
        <f>IFERROR(Model!BF345,"")</f>
        <v>41442.0256586577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0.0247986808605518</v>
      </c>
      <c r="E48" s="122">
        <f>IFERROR(IF(E18=0,"",E46/E18),"")</f>
        <v>0.0560668081665656</v>
      </c>
      <c r="F48" s="122">
        <f>IFERROR(IF(F18=0,"",F46/F18),"")</f>
        <v>0.0778298367602734</v>
      </c>
      <c r="G48" s="122">
        <f>IFERROR(IF(G18=0,"",G46/G18),"")</f>
        <v>0.0760340373586692</v>
      </c>
      <c r="H48" s="122">
        <f>IFERROR(IF(H18=0,"",H46/H18),"")</f>
        <v>0.0689664472421391</v>
      </c>
      <c r="I48" s="122">
        <f>IFERROR(IF(I18=0,"",I46/I18),"")</f>
        <v>0.0631831405343684</v>
      </c>
      <c r="J48" s="122">
        <f>IFERROR(IF(J18=0,"",J46/J18),"")</f>
        <v>0.0585059957206523</v>
      </c>
      <c r="K48" s="122">
        <f>IFERROR(IF(K18=0,"",K46/K18),"")</f>
        <v>0.0547886662848398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IFERROR(IF(D46=0,"",D25/D46),"")</f>
        <v>10.570010910805</v>
      </c>
      <c r="E50" s="150">
        <f>IFERROR(IF(E46=0,"",E25/E46),"")</f>
        <v>4.33078150425697</v>
      </c>
      <c r="F50" s="150">
        <f>IFERROR(IF(F46=0,"",F25/F46),"")</f>
        <v>3.47194281054931</v>
      </c>
      <c r="G50" s="150">
        <f>IFERROR(IF(G46=0,"",G25/G46),"")</f>
        <v>3.51610229511202</v>
      </c>
      <c r="H50" s="150">
        <f>IFERROR(IF(H46=0,"",H25/H46),"")</f>
        <v>3.87847399683552</v>
      </c>
      <c r="I50" s="150">
        <f>IFERROR(IF(I46=0,"",I25/I46),"")</f>
        <v>4.23348016607796</v>
      </c>
      <c r="J50" s="150">
        <f>IFERROR(IF(J46=0,"",J25/J46),"")</f>
        <v>4.57191727083699</v>
      </c>
      <c r="K50" s="150">
        <f>IFERROR(IF(K46=0,"",K25/K46),"")</f>
        <v>4.88211505080529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IFERROR(IF(D46=0,"",D18/D46),"")</f>
        <v>40.3247255619446</v>
      </c>
      <c r="E51" s="154">
        <f>IFERROR(IF(E46=0,"",E18/E46),"")</f>
        <v>17.8358646176033</v>
      </c>
      <c r="F51" s="154">
        <f>IFERROR(IF(F46=0,"",F18/F46),"")</f>
        <v>12.8485429447853</v>
      </c>
      <c r="G51" s="154">
        <f>IFERROR(IF(G46=0,"",G18/G46),"")</f>
        <v>13.1520044803458</v>
      </c>
      <c r="H51" s="154">
        <f>IFERROR(IF(H46=0,"",H18/H46),"")</f>
        <v>14.499804469977</v>
      </c>
      <c r="I51" s="154">
        <f>IFERROR(IF(I46=0,"",I18/I46),"")</f>
        <v>15.8270068809899</v>
      </c>
      <c r="J51" s="154">
        <f>IFERROR(IF(J46=0,"",J18/J46),"")</f>
        <v>17.0922652914871</v>
      </c>
      <c r="K51" s="154">
        <f>IFERROR(IF(K46=0,"",K18/K46),"")</f>
        <v>18.2519500438488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2"/>
    <row r="53" customFormat="1" s="102">
      <c r="A53" s="251" t="n"/>
      <c r="B53" s="251" t="n"/>
      <c r="C53" s="102" t="inlineStr">
        <is>
          <t>Unlevered free cash flows = FCFF</t>
        </is>
      </c>
      <c r="D53" s="155">
        <f>IFERROR(D25+D44,"")</f>
        <v>102435.154361849</v>
      </c>
      <c r="E53" s="155">
        <f>IFERROR(E25+E44,"")</f>
        <v>95320.7107979578</v>
      </c>
      <c r="F53" s="155">
        <f>IFERROR(F25+F44,"")</f>
        <v>118911.749048864</v>
      </c>
      <c r="G53" s="156">
        <f>IFERROR(G25+G44,"")</f>
        <v>130533.021629546</v>
      </c>
      <c r="H53" s="155">
        <f>IFERROR(H25+H44,"")</f>
        <v>147887.998330973</v>
      </c>
      <c r="I53" s="155">
        <f>IFERROR(I25+I44,"")</f>
        <v>164550.288290587</v>
      </c>
      <c r="J53" s="155">
        <f>IFERROR(J25+J44,"")</f>
        <v>182266.172243299</v>
      </c>
      <c r="K53" s="155">
        <f>IFERROR(K25+K44,"")</f>
        <v>200976.978127039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IFERROR(IF(Control!E12="","",1/(1+Control!E12)^Control!B13),"")</f>
        <v/>
      </c>
      <c r="H54" s="158" t="str">
        <f>IFERROR(IF(G54="","",G54/(1+Control!E12)),"")</f>
        <v/>
      </c>
      <c r="I54" s="158" t="str">
        <f>IFERROR(IF(H54="","",H54/(1+Control!E12)),"")</f>
        <v/>
      </c>
      <c r="J54" s="158" t="str">
        <f>IFERROR(IF(I54="","",I54/(1+Control!E12)),"")</f>
        <v/>
      </c>
      <c r="K54" s="158" t="str">
        <f>IFERROR(IF(J54="","",J54/(1+Control!E12)),"")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IFERROR(IF(Control!E12="","",(1+Control!E12)^0.5),"")</f>
        <v/>
      </c>
      <c r="H55" s="158" t="str">
        <f>IFERROR(G55,"")</f>
        <v/>
      </c>
      <c r="I55" s="158" t="str">
        <f>IFERROR(H55,"")</f>
        <v/>
      </c>
      <c r="J55" s="158" t="str">
        <f>IFERROR(I55,"")</f>
        <v/>
      </c>
      <c r="K55" s="158" t="str">
        <f>IFERROR(J55,"")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IFERROR(IF(G54="","",G53*G54*G55),"")</f>
        <v/>
      </c>
      <c r="H56" s="141" t="str">
        <f>IFERROR(IF(H54="","",H53*H54*H55),"")</f>
        <v/>
      </c>
      <c r="I56" s="141" t="str">
        <f>IFERROR(IF(I54="","",I53*I54*I55),"")</f>
        <v/>
      </c>
      <c r="J56" s="141" t="str">
        <f>IFERROR(IF(J54="","",J53*J54*J55),"")</f>
        <v/>
      </c>
      <c r="K56" s="141" t="str">
        <f>IFERROR(IF(K54="","",K53*K54*K55),"")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IFERROR(IF(COUNT(G56:K56)=0,"",SUM(G56:K56)),"")</f>
        <v/>
      </c>
      <c r="H57" s="141" t="n"/>
      <c r="N57" s="160" t="n"/>
    </row>
    <row r="58"/>
    <row r="59">
      <c r="C59" s="102" t="n"/>
      <c r="D59" s="95">
        <f>IFERROR(IF(Control!B9="","",Control!B9),"")</f>
        <v>47848.0</v>
      </c>
      <c r="E59" s="161" t="n"/>
      <c r="F59" s="162" t="n"/>
      <c r="G59" s="162" t="n"/>
      <c r="H59" s="95">
        <f>IFERROR(IF(Control!B7="","",Control!B7),"")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IFERROR(D80,"")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IFERROR(IF(Control!E13="","",Control!E13),"")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IFERROR(K50,"")</f>
        <v>4.88211505080529</v>
      </c>
      <c r="E64" s="157" t="inlineStr">
        <is>
          <t>Current portion of long-term debt</t>
        </is>
      </c>
      <c r="H64" s="137">
        <f>IFERROR(INDEX(Model!$I$206:$BF$206,1,MATCH(Control!$B$7,Model!$I$5:$BF$5,0)),"")</f>
        <v>13004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IFERROR(K25*(1+D63),"")</f>
        <v/>
      </c>
      <c r="E65" s="157" t="inlineStr">
        <is>
          <t>Short term debt</t>
        </is>
      </c>
      <c r="H65" s="137">
        <f>IFERROR(INDEX(Model!$I$207:$BF$207,1,MATCH(Control!$B$7,Model!$I$5:$BF$5,0)),"")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IFERROR(IF(OR(Control!E12="",D64="",D64&lt;=D63,Control!E12&lt;=D63),"",(D65*(1-D63/D64))/(Control!E12-D63)),"")</f>
        <v/>
      </c>
      <c r="E66" s="157" t="inlineStr">
        <is>
          <t>Long term debt</t>
        </is>
      </c>
      <c r="H66" s="137">
        <f>IFERROR(INDEX(Model!$I$211:$BF$211,1,MATCH(Control!$B$7,Model!$I$5:$BF$5,0)),"")</f>
        <v>71340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IFERROR(IF(D66="","",D66*K55),"")</f>
        <v/>
      </c>
      <c r="E67" s="157" t="inlineStr">
        <is>
          <t>Convertible debt</t>
        </is>
      </c>
      <c r="H67" s="137">
        <f>IFERROR(INDEX(Model!$I$232:$BF$232,1,MATCH(Control!$B$7,Model!$I$5:$BF$5,0)),"")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IFERROR(IF(D67="","",D67*K54),"")</f>
        <v/>
      </c>
      <c r="E68" s="157" t="inlineStr">
        <is>
          <t>Minority interest</t>
        </is>
      </c>
      <c r="H68" s="137">
        <f>IFERROR(INDEX(Model!$I$242:$BF$242,1,MATCH(Control!$B$7,Model!$I$5:$BF$5,0)),"")</f>
        <v>0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IFERROR(IF(OR(D68="",G57=""),"",D68+G57),"")</f>
        <v/>
      </c>
      <c r="E69" s="157" t="inlineStr">
        <is>
          <t>Convertible preferred stock</t>
        </is>
      </c>
      <c r="H69" s="137">
        <f>IFERROR(INDEX(Model!$I$247:$BF$247,1,MATCH(Control!$B$7,Model!$I$5:$BF$5,0)),"")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IFERROR(INDEX(Model!$I$208:$BF$208,1,MATCH(Control!$B$7,Model!$I$5:$BF$5,0)),"")</f>
        <v>0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IFERROR(INDEX(Model!$I$229:$BF$229,1,MATCH(Control!$B$7,Model!$I$5:$BF$5,0)),"")</f>
        <v>0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IFERROR(IF(Control!E14="","",Control!E14),"")</f>
        <v/>
      </c>
      <c r="E72" s="157" t="inlineStr">
        <is>
          <t>Less: Excess cash</t>
        </is>
      </c>
      <c r="H72" s="137">
        <f>IFERROR(-INDEX(Model!$I$138:$BF$138,1,MATCH(Control!$B$7,Model!$I$5:$BF$5,0)),"")</f>
        <v>-146517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IFERROR(K20,"")</f>
        <v>264932.302314682</v>
      </c>
      <c r="E73" s="157" t="inlineStr">
        <is>
          <t>Less: Equity investments</t>
        </is>
      </c>
      <c r="H73" s="137">
        <f>IFERROR(-INDEX(Model!$I$155:$BF$155,1,MATCH(Control!$B$7,Model!$I$5:$BF$5,0)),"")</f>
        <v>0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IFERROR(IF(OR(D72="",D73=""),"",D73*D72),"")</f>
        <v/>
      </c>
      <c r="E74" s="157" t="inlineStr">
        <is>
          <t>Net debt</t>
        </is>
      </c>
      <c r="H74" s="188">
        <f>IFERROR(SUM(H64:H73),"")</f>
        <v>-62173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IFERROR(IF(OR(D74="",K54="",K55=""),"",D74*K54*K55),"")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IFERROR(IF(OR(D75="",G57=""),"",G57+D75),"")</f>
        <v/>
      </c>
      <c r="E76" s="157" t="inlineStr">
        <is>
          <t>Shares outstanding</t>
        </is>
      </c>
      <c r="H76" s="188" t="str">
        <f>IFERROR(IF(Control!E5="","",Control!E5),"")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IFERROR(Control!B11,"")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IFERROR(IF(D79=1,D69,D76),"")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2"/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4"/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 t="str">
        <f>IFERROR(IF(Control!E9="","",Control!E9),"")</f>
        <v/>
      </c>
      <c r="G86" s="252" t="inlineStr">
        <is>
          <t>Current capital structure</t>
        </is>
      </c>
      <c r="H86" s="253" t="n"/>
      <c r="I86" s="254" t="inlineStr">
        <is>
          <t>Target capital structure</t>
        </is>
      </c>
      <c r="J86" s="255" t="n"/>
    </row>
    <row r="87">
      <c r="C87" s="157" t="inlineStr">
        <is>
          <t>Marginal tax rate</t>
        </is>
      </c>
      <c r="D87" s="212" t="str">
        <f>IFERROR(IF(Control!E10="","",Control!E10),"")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51" t="inlineStr">
        <is>
          <t>Cost of debt after tax shield</t>
        </is>
      </c>
      <c r="D88" s="216" t="str">
        <f>IFERROR(IF(D86="","",D86*(1-D87)),"")</f>
        <v/>
      </c>
      <c r="F88" s="251" t="inlineStr">
        <is>
          <t>Net debt</t>
        </is>
      </c>
      <c r="G88" s="217">
        <f>IFERROR(H74,"")</f>
        <v>-62173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51" t="inlineStr">
        <is>
          <t>Equity</t>
        </is>
      </c>
      <c r="G89" s="217">
        <f>IFERROR(L63*L79,"")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51" t="inlineStr">
        <is>
          <t>Total</t>
        </is>
      </c>
      <c r="G90" s="214">
        <f>IFERROR(SUM(G88:G89),"")</f>
        <v>-62173</v>
      </c>
    </row>
    <row r="91">
      <c r="C91" s="157" t="inlineStr">
        <is>
          <t>Risk-Free Rate (rf)</t>
        </is>
      </c>
      <c r="D91" s="212" t="str">
        <f>IFERROR(IF(Control!E6="","",Control!E6),"")</f>
        <v/>
      </c>
      <c r="E91" s="195" t="n"/>
    </row>
    <row r="92">
      <c r="C92" s="157" t="inlineStr">
        <is>
          <t>Market Risk Premium (rm-rf)</t>
        </is>
      </c>
      <c r="D92" s="212" t="str">
        <f>IFERROR(IF(Control!E7="","",Control!E7),"")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IFERROR(IF(Control!E8="","",Control!E8),"")</f>
        <v/>
      </c>
      <c r="F93" s="251" t="inlineStr">
        <is>
          <t>Weighted average cost of capital:</t>
        </is>
      </c>
      <c r="J93" s="97" t="str">
        <f>IFERROR(IF(Control!E12="","",Control!E12),"")</f>
        <v/>
      </c>
    </row>
    <row r="94">
      <c r="C94" s="157" t="inlineStr">
        <is>
          <t>Cost of equity using relevered industry beta</t>
        </is>
      </c>
      <c r="D94" s="216" t="str">
        <f>IFERROR(IF(COUNT(D91:D93)&lt;3,"",D91+D93*D92),"")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51" t="str">
        <f>IFERROR(ticker,"")</f>
        <v>AAPL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Apple Inc.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AAPL</t>
        </is>
      </c>
      <c r="D4" t="inlineStr">
        <is>
          <t>Last close (US$/share)</t>
        </is>
      </c>
      <c r="E4" s="242" t="n"/>
    </row>
    <row r="5" ht="14.25" customHeight="1">
      <c r="A5" t="inlineStr">
        <is>
          <t>Currency</t>
        </is>
      </c>
      <c r="B5" s="240" t="inlineStr">
        <is>
          <t>USD</t>
        </is>
      </c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US$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74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 t="str">
        <f>IFERROR(-Model!AG68/AVERAGE(Model!AB86,Model!AG86),"")</f>
        <v/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/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0.00273972602739726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0.118743980671858</v>
      </c>
      <c r="C18" s="247">
        <f>IF(B18="","",B18)</f>
        <v>0.118743980671858</v>
      </c>
      <c r="D18" s="247">
        <f>IF(C18="","",MAX(0,C18-0.5%))</f>
        <v>0.113743980671858</v>
      </c>
      <c r="E18" s="247">
        <f>IF(D18="","",MAX(0,D18-0.5%))</f>
        <v>0.108743980671858</v>
      </c>
      <c r="F18" s="247">
        <f>IF(E18="","",MAX(0,E18-0.5%))</f>
        <v>0.103743980671858</v>
      </c>
    </row>
    <row r="19" ht="15" customHeight="1">
      <c r="A19" t="inlineStr">
        <is>
          <t>Gross margin</t>
        </is>
      </c>
      <c r="B19" s="247">
        <f>IFERROR(AVERAGE(Model!AC49:AF49,Model!AH49:AI49),"")</f>
        <v>0.480340660566306</v>
      </c>
      <c r="C19" s="247">
        <f>IF(B19="","",B19)</f>
        <v>0.480340660566306</v>
      </c>
      <c r="D19" s="247">
        <f>IF(C19="","",C19)</f>
        <v>0.480340660566306</v>
      </c>
      <c r="E19" s="247">
        <f>IF(D19="","",D19)</f>
        <v>0.480340660566306</v>
      </c>
      <c r="F19" s="247">
        <f>IF(E19="","",E19)</f>
        <v>0.480340660566306</v>
      </c>
    </row>
    <row r="20" ht="15" customHeight="1">
      <c r="A20" t="inlineStr">
        <is>
          <t>SG&amp;A / Revenue</t>
        </is>
      </c>
      <c r="B20" s="247">
        <f>IFERROR(AVERAGE(Model!AC53:AF53,Model!AH53:AI53),"")</f>
        <v>0.130085399900469</v>
      </c>
      <c r="C20" s="247">
        <f>IF(B20="","",B20)</f>
        <v>0.130085399900469</v>
      </c>
      <c r="D20" s="247">
        <f>IF(C20="","",C20)</f>
        <v>0.130085399900469</v>
      </c>
      <c r="E20" s="247">
        <f>IF(D20="","",D20)</f>
        <v>0.130085399900469</v>
      </c>
      <c r="F20" s="247">
        <f>IF(E20="","",E20)</f>
        <v>0.130085399900469</v>
      </c>
    </row>
    <row r="21" ht="15" customHeight="1">
      <c r="A21" t="inlineStr">
        <is>
          <t>D&amp;A / Revenue</t>
        </is>
      </c>
      <c r="B21" s="247">
        <f>IFERROR(AVERAGE(Model!AC65:AF65,Model!AH65:AI65),"")</f>
        <v>0.0286913405032376</v>
      </c>
      <c r="C21" s="247">
        <f>IF(B21="","",B21)</f>
        <v>0.0286913405032376</v>
      </c>
      <c r="D21" s="247">
        <f>IF(C21="","",C21)</f>
        <v>0.0286913405032376</v>
      </c>
      <c r="E21" s="247">
        <f>IF(D21="","",D21)</f>
        <v>0.0286913405032376</v>
      </c>
      <c r="F21" s="247">
        <f>IF(E21="","",E21)</f>
        <v>0.0286913405032376</v>
      </c>
    </row>
    <row r="22" ht="15" customHeight="1">
      <c r="A22" t="inlineStr">
        <is>
          <t>Effective tax rate</t>
        </is>
      </c>
      <c r="B22" s="247">
        <f>IFERROR(AVERAGE(Model!AC126:AF126,Model!AH126:AI126),"")</f>
        <v>0.168176043669603</v>
      </c>
      <c r="C22" s="247">
        <f>IF(B22="","",B22)</f>
        <v>0.168176043669603</v>
      </c>
      <c r="D22" s="247">
        <f>IF(C22="","",C22)</f>
        <v>0.168176043669603</v>
      </c>
      <c r="E22" s="247">
        <f>IF(D22="","",D22)</f>
        <v>0.168176043669603</v>
      </c>
      <c r="F22" s="247">
        <f>IF(E22="","",E22)</f>
        <v>0.168176043669603</v>
      </c>
    </row>
    <row r="23" ht="15" customHeight="1">
      <c r="A23" t="inlineStr">
        <is>
          <t>Financial income / Revenue</t>
        </is>
      </c>
      <c r="B23" s="247">
        <f>IFERROR(AVERAGE(Model!AC117:AF117,Model!AH117:AI117)/AVERAGE(Model!AC15:AF15,Model!AH15:AI15),"")</f>
        <v>0.000909758647278801</v>
      </c>
      <c r="C23" s="247">
        <f>IF(B23="","",B23)</f>
        <v>0.000909758647278801</v>
      </c>
      <c r="D23" s="247">
        <f>IF(C23="","",C23)</f>
        <v>0.000909758647278801</v>
      </c>
      <c r="E23" s="247">
        <f>IF(D23="","",D23)</f>
        <v>0.000909758647278801</v>
      </c>
      <c r="F23" s="247">
        <f>IF(E23="","",E23)</f>
        <v>0.000909758647278801</v>
      </c>
    </row>
    <row r="24" ht="15" customHeight="1">
      <c r="A24" t="inlineStr">
        <is>
          <t>Capex / Revenue</t>
        </is>
      </c>
      <c r="B24" s="247">
        <f>IFERROR(-AVERAGE(Model!AC289:AF289,Model!AH289:AI289)/AVERAGE(Model!AC15:AF15,Model!AH15:AI15),"")</f>
        <v>0.036501589410836</v>
      </c>
      <c r="C24" s="247">
        <f>IF(B24="","",B24)</f>
        <v>0.036501589410836</v>
      </c>
      <c r="D24" s="247">
        <f>IF(C24="","",C24)</f>
        <v>0.036501589410836</v>
      </c>
      <c r="E24" s="247">
        <f>IF(D24="","",D24)</f>
        <v>0.036501589410836</v>
      </c>
      <c r="F24" s="247">
        <f>IF(E24="","",E24)</f>
        <v>0.036501589410836</v>
      </c>
    </row>
    <row r="25" ht="15" customHeight="1">
      <c r="A25" t="inlineStr">
        <is>
          <t>DSO</t>
        </is>
      </c>
      <c r="B25" s="249">
        <f>IFERROR(AVERAGE(Model!AC140:AF140,Model!AH140:AI140),0)</f>
        <v>27.2114341083152</v>
      </c>
      <c r="C25" s="249">
        <f>IF(B25="","",B25)</f>
        <v>27.2114341083152</v>
      </c>
      <c r="D25" s="249">
        <f>IF(C25="","",C25)</f>
        <v>27.2114341083152</v>
      </c>
      <c r="E25" s="249">
        <f>IF(D25="","",D25)</f>
        <v>27.2114341083152</v>
      </c>
      <c r="F25" s="249">
        <f>IF(E25="","",E25)</f>
        <v>27.2114341083152</v>
      </c>
    </row>
    <row r="26" ht="15" customHeight="1">
      <c r="A26" t="inlineStr">
        <is>
          <t>DIO</t>
        </is>
      </c>
      <c r="B26" s="249">
        <f>IFERROR(AVERAGE(Model!AC144:AF144,Model!AH144:AI144),0)</f>
        <v>11.3496931116519</v>
      </c>
      <c r="C26" s="249">
        <f>IF(B26="","",B26)</f>
        <v>11.3496931116519</v>
      </c>
      <c r="D26" s="249">
        <f>IF(C26="","",C26)</f>
        <v>11.3496931116519</v>
      </c>
      <c r="E26" s="249">
        <f>IF(D26="","",D26)</f>
        <v>11.3496931116519</v>
      </c>
      <c r="F26" s="249">
        <f>IF(E26="","",E26)</f>
        <v>11.3496931116519</v>
      </c>
    </row>
    <row r="27" ht="15" customHeight="1">
      <c r="A27" t="inlineStr">
        <is>
          <t>DPO</t>
        </is>
      </c>
      <c r="B27" s="249">
        <f>IFERROR(AVERAGE(Model!AC193:AF193,Model!AH193:AI193),0)</f>
        <v>98.7369782437085</v>
      </c>
      <c r="C27" s="249">
        <f>IF(B27="","",B27)</f>
        <v>98.7369782437085</v>
      </c>
      <c r="D27" s="249">
        <f>IF(C27="","",C27)</f>
        <v>98.7369782437085</v>
      </c>
      <c r="E27" s="249">
        <f>IF(D27="","",D27)</f>
        <v>98.7369782437085</v>
      </c>
      <c r="F27" s="249">
        <f>IF(E27="","",E27)</f>
        <v>98.7369782437085</v>
      </c>
    </row>
    <row r="29">
      <c r="A29" t="inlineStr">
        <is>
          <t>Model status</t>
        </is>
      </c>
    </row>
    <row r="30">
      <c r="A30" t="inlineStr">
        <is>
          <t>Source</t>
        </is>
      </c>
      <c r="B30" t="inlineStr">
        <is>
          <t xml:space="preserve">Apple Inc. (AAPL, CIK 320193) - fonte: SEC EDGAR XBRL (companyfacts API e instâncias dos 10-Q/10-K). Moeda: USD. Brutos em USD unidades (fator 0,000001 -&gt; milhões). Colunas = trimestres-CALENDÁRIO; ano fiscal Apple termina em set (FQ1 = out-dez = 4T </t>
        </is>
      </c>
    </row>
    <row r="31">
      <c r="A31" t="inlineStr">
        <is>
          <t>Unit flow</t>
        </is>
      </c>
      <c r="B31" t="inlineStr">
        <is>
          <t>US$ mil na Inputs → US$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2026-10-16T15:35:49Z</dcterms:modified>
  <cp:lastModifiedBy>Lucas Nascimento</cp:lastModifiedBy>
  <cp:revision>0</cp:revision>
</cp:coreProperties>
</file>