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Lockheed Martin Corporation (LMT, CIK 936468)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15651000000</v>
      </c>
      <c r="L6" s="259" t="n">
        <v>16220000000</v>
      </c>
      <c r="M6" s="259" t="n">
        <v>16495000000</v>
      </c>
      <c r="N6" s="259" t="n">
        <v>17032000000</v>
      </c>
      <c r="O6" s="259" t="n">
        <v>16258000000</v>
      </c>
      <c r="P6" s="259" t="n">
        <v>17029000000</v>
      </c>
      <c r="Q6" s="259" t="n">
        <v>16028000000</v>
      </c>
      <c r="R6" s="259" t="n">
        <v>17729000000</v>
      </c>
      <c r="S6" s="259" t="n">
        <v>14964000000</v>
      </c>
      <c r="T6" s="259" t="n">
        <v>15446000000</v>
      </c>
      <c r="U6" s="259" t="n">
        <v>16583000000</v>
      </c>
      <c r="V6" s="259" t="n">
        <v>18991000000</v>
      </c>
      <c r="W6" s="259" t="n">
        <v>15126000000</v>
      </c>
      <c r="X6" s="259" t="n">
        <v>16693000000</v>
      </c>
      <c r="Y6" s="259" t="n">
        <v>16878000000</v>
      </c>
      <c r="Z6" s="259" t="n">
        <v>18874000000</v>
      </c>
      <c r="AA6" s="259" t="n">
        <v>17195000000</v>
      </c>
      <c r="AB6" s="259" t="n">
        <v>18122000000</v>
      </c>
      <c r="AC6" s="259" t="n">
        <v>17104000000</v>
      </c>
      <c r="AD6" s="259" t="n">
        <v>18622000000</v>
      </c>
      <c r="AE6" s="259" t="n">
        <v>17963000000</v>
      </c>
      <c r="AF6" s="259" t="n">
        <v>18155000000</v>
      </c>
      <c r="AG6" s="259" t="n">
        <v>18609000000</v>
      </c>
      <c r="AH6" s="259" t="n">
        <v>20321000000</v>
      </c>
      <c r="AI6" s="259" t="n">
        <v>18021000000</v>
      </c>
      <c r="AJ6" s="259" t="n">
        <v>20063000000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13560000000</v>
      </c>
      <c r="L7" s="259" t="n">
        <v>14007000000</v>
      </c>
      <c r="M7" s="259" t="n">
        <v>14359000000</v>
      </c>
      <c r="N7" s="259" t="n">
        <v>14818000000</v>
      </c>
      <c r="O7" s="259" t="n">
        <v>14072000000</v>
      </c>
      <c r="P7" s="259" t="n">
        <v>14878000000</v>
      </c>
      <c r="Q7" s="259" t="n">
        <v>13726000000</v>
      </c>
      <c r="R7" s="259" t="n">
        <v>15307000000</v>
      </c>
      <c r="S7" s="259" t="n">
        <v>13055000000</v>
      </c>
      <c r="T7" s="259" t="n">
        <v>13490000000</v>
      </c>
      <c r="U7" s="259" t="n">
        <v>14463000000</v>
      </c>
      <c r="V7" s="259" t="n">
        <v>16689000000</v>
      </c>
      <c r="W7" s="259" t="n">
        <v>13080000000</v>
      </c>
      <c r="X7" s="259" t="n">
        <v>14603000000</v>
      </c>
      <c r="Y7" s="259" t="n">
        <v>14830000000</v>
      </c>
      <c r="Z7" s="259" t="n">
        <v>16579000000</v>
      </c>
      <c r="AA7" s="259" t="n">
        <v>15202000000</v>
      </c>
      <c r="AB7" s="259" t="n">
        <v>15992000000</v>
      </c>
      <c r="AC7" s="259" t="n">
        <v>14987000000</v>
      </c>
      <c r="AD7" s="259" t="n">
        <v>17932000000</v>
      </c>
      <c r="AE7" s="259" t="n">
        <v>15640000000</v>
      </c>
      <c r="AF7" s="259" t="n">
        <v>17421000000</v>
      </c>
      <c r="AG7" s="259" t="n">
        <v>16369000000</v>
      </c>
      <c r="AH7" s="259" t="n">
        <v>17999000000</v>
      </c>
      <c r="AI7" s="259" t="n">
        <v>15943000000</v>
      </c>
      <c r="AJ7" s="259" t="n">
        <v>17617000000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2122000000</v>
      </c>
      <c r="L8" s="259" t="n">
        <v>2086000000</v>
      </c>
      <c r="M8" s="259" t="n">
        <v>2147000000</v>
      </c>
      <c r="N8" s="259" t="n">
        <v>2289000000</v>
      </c>
      <c r="O8" s="259" t="n">
        <v>2182000000</v>
      </c>
      <c r="P8" s="259" t="n">
        <v>2192000000</v>
      </c>
      <c r="Q8" s="259" t="n">
        <v>2294000000</v>
      </c>
      <c r="R8" s="259" t="n">
        <v>2455000000</v>
      </c>
      <c r="S8" s="259" t="n">
        <v>1933000000</v>
      </c>
      <c r="T8" s="259" t="n">
        <v>1963000000</v>
      </c>
      <c r="U8" s="259" t="n">
        <v>2159000000</v>
      </c>
      <c r="V8" s="259" t="n">
        <v>2293000000</v>
      </c>
      <c r="W8" s="259" t="n">
        <v>2037000000</v>
      </c>
      <c r="X8" s="259" t="n">
        <v>2135000000</v>
      </c>
      <c r="Y8" s="259" t="n">
        <v>2042000000</v>
      </c>
      <c r="Z8" s="259" t="n">
        <v>2293000000</v>
      </c>
      <c r="AA8" s="259" t="n">
        <v>2029000000</v>
      </c>
      <c r="AB8" s="259" t="n">
        <v>2148000000</v>
      </c>
      <c r="AC8" s="259" t="n">
        <v>2140000000</v>
      </c>
      <c r="AD8" s="259" t="n">
        <v>696000000</v>
      </c>
      <c r="AE8" s="259" t="n">
        <v>2372000000</v>
      </c>
      <c r="AF8" s="259" t="n">
        <v>748000000</v>
      </c>
      <c r="AG8" s="259" t="n">
        <v>2280000000</v>
      </c>
      <c r="AH8" s="259" t="n">
        <v>2331000000</v>
      </c>
      <c r="AI8" s="259" t="n">
        <v>2063000000</v>
      </c>
      <c r="AJ8" s="259" t="n">
        <v>2479000000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-31000000</v>
      </c>
      <c r="L9" s="259">
        <f>N(L6)-N(L7)-N(L8)</f>
        <v>127000000</v>
      </c>
      <c r="M9" s="259">
        <f>N(M6)-N(M7)-N(M8)</f>
        <v>-11000000</v>
      </c>
      <c r="N9" s="259">
        <f>N(N6)-N(N7)-N(N8)</f>
        <v>-75000000</v>
      </c>
      <c r="O9" s="259">
        <f>N(O6)-N(O7)-N(O8)</f>
        <v>4000000</v>
      </c>
      <c r="P9" s="259">
        <f>N(P6)-N(P7)-N(P8)</f>
        <v>-41000000</v>
      </c>
      <c r="Q9" s="259">
        <f>N(Q6)-N(Q7)-N(Q8)</f>
        <v>8000000</v>
      </c>
      <c r="R9" s="259">
        <f>N(R6)-N(R7)-N(R8)</f>
        <v>-33000000</v>
      </c>
      <c r="S9" s="259">
        <f>N(S6)-N(S7)-N(S8)</f>
        <v>-24000000</v>
      </c>
      <c r="T9" s="259">
        <f>N(T6)-N(T7)-N(T8)</f>
        <v>-7000000</v>
      </c>
      <c r="U9" s="259">
        <f>N(U6)-N(U7)-N(U8)</f>
        <v>-39000000</v>
      </c>
      <c r="V9" s="259">
        <f>N(V6)-N(V7)-N(V8)</f>
        <v>9000000</v>
      </c>
      <c r="W9" s="259">
        <f>N(W6)-N(W7)-N(W8)</f>
        <v>9000000</v>
      </c>
      <c r="X9" s="259">
        <f>N(X6)-N(X7)-N(X8)</f>
        <v>-45000000</v>
      </c>
      <c r="Y9" s="259">
        <f>N(Y6)-N(Y7)-N(Y8)</f>
        <v>6000000</v>
      </c>
      <c r="Z9" s="259">
        <f>N(Z6)-N(Z7)-N(Z8)</f>
        <v>2000000</v>
      </c>
      <c r="AA9" s="259">
        <f>N(AA6)-N(AA7)-N(AA8)</f>
        <v>-36000000</v>
      </c>
      <c r="AB9" s="259">
        <f>N(AB6)-N(AB7)-N(AB8)</f>
        <v>-18000000</v>
      </c>
      <c r="AC9" s="259">
        <f>N(AC6)-N(AC7)-N(AC8)</f>
        <v>-23000000</v>
      </c>
      <c r="AD9" s="259">
        <f>N(AD6)-N(AD7)-N(AD8)</f>
        <v>-6000000</v>
      </c>
      <c r="AE9" s="259">
        <f>N(AE6)-N(AE7)-N(AE8)</f>
        <v>-49000000</v>
      </c>
      <c r="AF9" s="259">
        <f>N(AF6)-N(AF7)-N(AF8)</f>
        <v>-14000000</v>
      </c>
      <c r="AG9" s="259">
        <f>N(AG6)-N(AG7)-N(AG8)</f>
        <v>-40000000</v>
      </c>
      <c r="AH9" s="259">
        <f>N(AH6)-N(AH7)-N(AH8)</f>
        <v>-9000000</v>
      </c>
      <c r="AI9" s="259">
        <f>N(AI6)-N(AI7)-N(AI8)</f>
        <v>15000000</v>
      </c>
      <c r="AJ9" s="259">
        <f>N(AJ6)-N(AJ7)-N(AJ8)</f>
        <v>-33000000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2030000000</v>
      </c>
      <c r="L10" s="259" t="n">
        <v>1962000000</v>
      </c>
      <c r="M10" s="259" t="n">
        <v>2056000000</v>
      </c>
      <c r="N10" s="259" t="n">
        <v>2187000000</v>
      </c>
      <c r="O10" s="259" t="n">
        <v>2211000000</v>
      </c>
      <c r="P10" s="259" t="n">
        <v>2170000000</v>
      </c>
      <c r="Q10" s="259" t="n">
        <v>679000000</v>
      </c>
      <c r="R10" s="259" t="n">
        <v>2490000000</v>
      </c>
      <c r="S10" s="259" t="n">
        <v>2061000000</v>
      </c>
      <c r="T10" s="259" t="n">
        <v>330000000</v>
      </c>
      <c r="U10" s="259" t="n">
        <v>2099000000</v>
      </c>
      <c r="V10" s="259" t="n">
        <v>2190000000</v>
      </c>
      <c r="W10" s="259" t="n">
        <v>1994000000</v>
      </c>
      <c r="X10" s="259" t="n">
        <v>2006000000</v>
      </c>
      <c r="Y10" s="259" t="n">
        <v>1953000000</v>
      </c>
      <c r="Z10" s="259" t="n">
        <v>2145000000</v>
      </c>
      <c r="AA10" s="259" t="n">
        <v>1835000000</v>
      </c>
      <c r="AB10" s="259" t="n">
        <v>1948000000</v>
      </c>
      <c r="AC10" s="259" t="n">
        <v>1918000000</v>
      </c>
      <c r="AD10" s="259" t="n">
        <v>519000000</v>
      </c>
      <c r="AE10" s="259" t="n">
        <v>2036000000</v>
      </c>
      <c r="AF10" s="259" t="n">
        <v>417000000</v>
      </c>
      <c r="AG10" s="259" t="n">
        <v>1938000000</v>
      </c>
      <c r="AH10" s="259" t="n">
        <v>1531000000</v>
      </c>
      <c r="AI10" s="259" t="n">
        <v>1774000000</v>
      </c>
      <c r="AJ10" s="259" t="n">
        <v>2178000000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-92000000</v>
      </c>
      <c r="L11" s="259">
        <f>N(L10)-N(L8)</f>
        <v>-124000000</v>
      </c>
      <c r="M11" s="259">
        <f>N(M10)-N(M8)</f>
        <v>-91000000</v>
      </c>
      <c r="N11" s="259">
        <f>N(N10)-N(N8)</f>
        <v>-102000000</v>
      </c>
      <c r="O11" s="259">
        <f>N(O10)-N(O8)</f>
        <v>29000000</v>
      </c>
      <c r="P11" s="259">
        <f>N(P10)-N(P8)</f>
        <v>-22000000</v>
      </c>
      <c r="Q11" s="259">
        <f>N(Q10)-N(Q8)</f>
        <v>-1615000000</v>
      </c>
      <c r="R11" s="259">
        <f>N(R10)-N(R8)</f>
        <v>35000000</v>
      </c>
      <c r="S11" s="259">
        <f>N(S10)-N(S8)</f>
        <v>128000000</v>
      </c>
      <c r="T11" s="259">
        <f>N(T10)-N(T8)</f>
        <v>-1633000000</v>
      </c>
      <c r="U11" s="259">
        <f>N(U10)-N(U8)</f>
        <v>-60000000</v>
      </c>
      <c r="V11" s="259">
        <f>N(V10)-N(V8)</f>
        <v>-103000000</v>
      </c>
      <c r="W11" s="259">
        <f>N(W10)-N(W8)</f>
        <v>-43000000</v>
      </c>
      <c r="X11" s="259">
        <f>N(X10)-N(X8)</f>
        <v>-129000000</v>
      </c>
      <c r="Y11" s="259">
        <f>N(Y10)-N(Y8)</f>
        <v>-89000000</v>
      </c>
      <c r="Z11" s="259">
        <f>N(Z10)-N(Z8)</f>
        <v>-148000000</v>
      </c>
      <c r="AA11" s="259">
        <f>N(AA10)-N(AA8)</f>
        <v>-194000000</v>
      </c>
      <c r="AB11" s="259">
        <f>N(AB10)-N(AB8)</f>
        <v>-200000000</v>
      </c>
      <c r="AC11" s="259">
        <f>N(AC10)-N(AC8)</f>
        <v>-222000000</v>
      </c>
      <c r="AD11" s="259">
        <f>N(AD10)-N(AD8)</f>
        <v>-177000000</v>
      </c>
      <c r="AE11" s="259">
        <f>N(AE10)-N(AE8)</f>
        <v>-336000000</v>
      </c>
      <c r="AF11" s="259">
        <f>N(AF10)-N(AF8)</f>
        <v>-331000000</v>
      </c>
      <c r="AG11" s="259">
        <f>N(AG10)-N(AG8)</f>
        <v>-342000000</v>
      </c>
      <c r="AH11" s="259">
        <f>N(AH10)-N(AH8)</f>
        <v>-800000000</v>
      </c>
      <c r="AI11" s="259">
        <f>N(AI10)-N(AI8)</f>
        <v>-289000000</v>
      </c>
      <c r="AJ11" s="259">
        <f>N(AJ10)-N(AJ8)</f>
        <v>-301000000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148000000</v>
      </c>
      <c r="L12" s="259" t="n">
        <v>149000000</v>
      </c>
      <c r="M12" s="259" t="n">
        <v>145000000</v>
      </c>
      <c r="N12" s="259" t="n">
        <v>149000000</v>
      </c>
      <c r="O12" s="259" t="n">
        <v>140000000</v>
      </c>
      <c r="P12" s="259" t="n">
        <v>142000000</v>
      </c>
      <c r="Q12" s="259" t="n">
        <v>141000000</v>
      </c>
      <c r="R12" s="259" t="n">
        <v>146000000</v>
      </c>
      <c r="S12" s="259" t="n">
        <v>135000000</v>
      </c>
      <c r="T12" s="259" t="n">
        <v>141000000</v>
      </c>
      <c r="U12" s="259" t="n">
        <v>145000000</v>
      </c>
      <c r="V12" s="259" t="n">
        <v>202000000</v>
      </c>
      <c r="W12" s="259" t="n">
        <v>202000000</v>
      </c>
      <c r="X12" s="259" t="n">
        <v>223000000</v>
      </c>
      <c r="Y12" s="259" t="n">
        <v>237000000</v>
      </c>
      <c r="Z12" s="259" t="n">
        <v>254000000</v>
      </c>
      <c r="AA12" s="259" t="n">
        <v>255000000</v>
      </c>
      <c r="AB12" s="259" t="n">
        <v>261000000</v>
      </c>
      <c r="AC12" s="259" t="n">
        <v>256000000</v>
      </c>
      <c r="AD12" s="259" t="n">
        <v>264000000</v>
      </c>
      <c r="AE12" s="259" t="n">
        <v>268000000</v>
      </c>
      <c r="AF12" s="259" t="n">
        <v>274000000</v>
      </c>
      <c r="AG12" s="259" t="n">
        <v>286000000</v>
      </c>
      <c r="AH12" s="259" t="n">
        <v>290000000</v>
      </c>
      <c r="AI12" s="259" t="n">
        <v>269000000</v>
      </c>
      <c r="AJ12" s="259" t="n">
        <v>266000000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313000000</v>
      </c>
      <c r="L13" s="259" t="n">
        <v>336000000</v>
      </c>
      <c r="M13" s="259" t="n">
        <v>303000000</v>
      </c>
      <c r="N13" s="259" t="n">
        <v>395000000</v>
      </c>
      <c r="O13" s="259" t="n">
        <v>374000000</v>
      </c>
      <c r="P13" s="259" t="n">
        <v>355000000</v>
      </c>
      <c r="Q13" s="259" t="n">
        <v>65000000</v>
      </c>
      <c r="R13" s="259" t="n">
        <v>441000000</v>
      </c>
      <c r="S13" s="259" t="n">
        <v>328000000</v>
      </c>
      <c r="T13" s="259" t="n">
        <v>21000000</v>
      </c>
      <c r="U13" s="259" t="n">
        <v>321000000</v>
      </c>
      <c r="V13" s="259" t="n">
        <v>278000000</v>
      </c>
      <c r="W13" s="259" t="n">
        <v>305000000</v>
      </c>
      <c r="X13" s="259" t="n">
        <v>325000000</v>
      </c>
      <c r="Y13" s="259" t="n">
        <v>269000000</v>
      </c>
      <c r="Z13" s="259" t="n">
        <v>279000000</v>
      </c>
      <c r="AA13" s="259" t="n">
        <v>290000000</v>
      </c>
      <c r="AB13" s="259" t="n">
        <v>307000000</v>
      </c>
      <c r="AC13" s="259" t="n">
        <v>295000000</v>
      </c>
      <c r="AD13" s="259" t="n">
        <v>-8000000</v>
      </c>
      <c r="AE13" s="259" t="n">
        <v>324000000</v>
      </c>
      <c r="AF13" s="259" t="n">
        <v>75000000</v>
      </c>
      <c r="AG13" s="259" t="n">
        <v>319000000</v>
      </c>
      <c r="AH13" s="259" t="n">
        <v>187000000</v>
      </c>
      <c r="AI13" s="259" t="n">
        <v>286000000</v>
      </c>
      <c r="AJ13" s="259" t="n">
        <v>342000000</v>
      </c>
    </row>
    <row r="14">
      <c r="G14" t="inlineStr">
        <is>
          <t>moeda</t>
        </is>
      </c>
      <c r="H14" t="inlineStr">
        <is>
          <t>Lucro líquido atribuído à companhia [us-gaap:NetIncomeLoss]</t>
        </is>
      </c>
      <c r="J14" t="inlineStr">
        <is>
          <t>memoria</t>
        </is>
      </c>
      <c r="K14" s="259" t="n">
        <v>1717000000</v>
      </c>
      <c r="L14" s="259" t="n">
        <v>1626000000</v>
      </c>
      <c r="M14" s="259" t="n">
        <v>1698000000</v>
      </c>
      <c r="N14" s="259" t="n">
        <v>1792000000</v>
      </c>
      <c r="O14" s="259" t="n">
        <v>1837000000</v>
      </c>
      <c r="P14" s="259" t="n">
        <v>1815000000</v>
      </c>
      <c r="Q14" s="259" t="n">
        <v>614000000</v>
      </c>
      <c r="R14" s="259" t="n">
        <v>2049000000</v>
      </c>
      <c r="S14" s="259" t="n">
        <v>1733000000</v>
      </c>
      <c r="T14" s="259" t="n">
        <v>309000000</v>
      </c>
      <c r="U14" s="259" t="n">
        <v>1778000000</v>
      </c>
      <c r="V14" s="259" t="n">
        <v>1912000000</v>
      </c>
      <c r="W14" s="259" t="n">
        <v>1689000000</v>
      </c>
      <c r="X14" s="259" t="n">
        <v>1681000000</v>
      </c>
      <c r="Y14" s="259" t="n">
        <v>1684000000</v>
      </c>
      <c r="Z14" s="259" t="n">
        <v>1866000000</v>
      </c>
      <c r="AA14" s="259" t="n">
        <v>1545000000</v>
      </c>
      <c r="AB14" s="259" t="n">
        <v>1641000000</v>
      </c>
      <c r="AC14" s="259" t="n">
        <v>1623000000</v>
      </c>
      <c r="AD14" s="259" t="n">
        <v>527000000</v>
      </c>
      <c r="AE14" s="259" t="n">
        <v>1712000000</v>
      </c>
      <c r="AF14" s="259" t="n">
        <v>342000000</v>
      </c>
      <c r="AG14" s="259" t="n">
        <v>1619000000</v>
      </c>
      <c r="AH14" s="259" t="n">
        <v>1344000000</v>
      </c>
      <c r="AI14" s="259" t="n">
        <v>1488000000</v>
      </c>
      <c r="AJ14" s="259" t="n">
        <v>1836000000</v>
      </c>
    </row>
    <row r="15">
      <c r="A15" t="n">
        <v>8</v>
      </c>
      <c r="B15" t="n">
        <v>1</v>
      </c>
      <c r="G15" t="inlineStr">
        <is>
          <t>moeda</t>
        </is>
      </c>
      <c r="H15" t="inlineStr">
        <is>
          <t>Resultado após IR não classificado acima (equivalência patrimonial, operações descontinuadas): lucro - (LAIR - IR - minoritários); zero quando não há</t>
        </is>
      </c>
      <c r="J15" t="inlineStr">
        <is>
          <t>derivada</t>
        </is>
      </c>
      <c r="K15" s="259">
        <f>N(K14)-(N(K10)-N(K13)-0)</f>
        <v>0</v>
      </c>
      <c r="L15" s="259">
        <f>N(L14)-(N(L10)-N(L13)-0)</f>
        <v>0</v>
      </c>
      <c r="M15" s="259">
        <f>N(M14)-(N(M10)-N(M13)-0)</f>
        <v>-55000000</v>
      </c>
      <c r="N15" s="259">
        <f>N(N14)-(N(N10)-N(N13)-0)</f>
        <v>0</v>
      </c>
      <c r="O15" s="259">
        <f>N(O14)-(N(O10)-N(O13)-0)</f>
        <v>0</v>
      </c>
      <c r="P15" s="259">
        <f>N(P14)-(N(P10)-N(P13)-0)</f>
        <v>0</v>
      </c>
      <c r="Q15" s="259">
        <f>N(Q14)-(N(Q10)-N(Q13)-0)</f>
        <v>0</v>
      </c>
      <c r="R15" s="259">
        <f>N(R14)-(N(R10)-N(R13)-0)</f>
        <v>0</v>
      </c>
      <c r="S15" s="259">
        <f>N(S14)-(N(S10)-N(S13)-0)</f>
        <v>0</v>
      </c>
      <c r="T15" s="259">
        <f>N(T14)-(N(T10)-N(T13)-0)</f>
        <v>0</v>
      </c>
      <c r="U15" s="259">
        <f>N(U14)-(N(U10)-N(U13)-0)</f>
        <v>0</v>
      </c>
      <c r="V15" s="259">
        <f>N(V14)-(N(V10)-N(V13)-0)</f>
        <v>0</v>
      </c>
      <c r="W15" s="259">
        <f>N(W14)-(N(W10)-N(W13)-0)</f>
        <v>0</v>
      </c>
      <c r="X15" s="259">
        <f>N(X14)-(N(X10)-N(X13)-0)</f>
        <v>0</v>
      </c>
      <c r="Y15" s="259">
        <f>N(Y14)-(N(Y10)-N(Y13)-0)</f>
        <v>0</v>
      </c>
      <c r="Z15" s="259">
        <f>N(Z14)-(N(Z10)-N(Z13)-0)</f>
        <v>0</v>
      </c>
      <c r="AA15" s="259">
        <f>N(AA14)-(N(AA10)-N(AA13)-0)</f>
        <v>0</v>
      </c>
      <c r="AB15" s="259">
        <f>N(AB14)-(N(AB10)-N(AB13)-0)</f>
        <v>0</v>
      </c>
      <c r="AC15" s="259">
        <f>N(AC14)-(N(AC10)-N(AC13)-0)</f>
        <v>0</v>
      </c>
      <c r="AD15" s="259">
        <f>N(AD14)-(N(AD10)-N(AD13)-0)</f>
        <v>0</v>
      </c>
      <c r="AE15" s="259">
        <f>N(AE14)-(N(AE10)-N(AE13)-0)</f>
        <v>0</v>
      </c>
      <c r="AF15" s="259">
        <f>N(AF14)-(N(AF10)-N(AF13)-0)</f>
        <v>0</v>
      </c>
      <c r="AG15" s="259">
        <f>N(AG14)-(N(AG10)-N(AG13)-0)</f>
        <v>0</v>
      </c>
      <c r="AH15" s="259">
        <f>N(AH14)-(N(AH10)-N(AH13)-0)</f>
        <v>0</v>
      </c>
      <c r="AI15" s="259">
        <f>N(AI14)-(N(AI10)-N(AI13)-0)</f>
        <v>0</v>
      </c>
      <c r="AJ15" s="259">
        <f>N(AJ14)-(N(AJ10)-N(AJ13)-0)</f>
        <v>0</v>
      </c>
    </row>
    <row r="16">
      <c r="A16" t="n">
        <v>44</v>
      </c>
      <c r="B16" t="n">
        <v>1</v>
      </c>
      <c r="G16" t="inlineStr">
        <is>
          <t>moeda</t>
        </is>
      </c>
      <c r="H16" t="inlineStr">
        <is>
          <t>Lucro líquido (check IS, código 44)</t>
        </is>
      </c>
      <c r="J16" t="inlineStr">
        <is>
          <t>derivada</t>
        </is>
      </c>
      <c r="K16" s="259">
        <f>N(K14)</f>
        <v>1717000000</v>
      </c>
      <c r="L16" s="259">
        <f>N(L14)</f>
        <v>1626000000</v>
      </c>
      <c r="M16" s="259">
        <f>N(M14)</f>
        <v>1698000000</v>
      </c>
      <c r="N16" s="259">
        <f>N(N14)</f>
        <v>1792000000</v>
      </c>
      <c r="O16" s="259">
        <f>N(O14)</f>
        <v>1837000000</v>
      </c>
      <c r="P16" s="259">
        <f>N(P14)</f>
        <v>1815000000</v>
      </c>
      <c r="Q16" s="259">
        <f>N(Q14)</f>
        <v>614000000</v>
      </c>
      <c r="R16" s="259">
        <f>N(R14)</f>
        <v>2049000000</v>
      </c>
      <c r="S16" s="259">
        <f>N(S14)</f>
        <v>1733000000</v>
      </c>
      <c r="T16" s="259">
        <f>N(T14)</f>
        <v>309000000</v>
      </c>
      <c r="U16" s="259">
        <f>N(U14)</f>
        <v>1778000000</v>
      </c>
      <c r="V16" s="259">
        <f>N(V14)</f>
        <v>1912000000</v>
      </c>
      <c r="W16" s="259">
        <f>N(W14)</f>
        <v>1689000000</v>
      </c>
      <c r="X16" s="259">
        <f>N(X14)</f>
        <v>1681000000</v>
      </c>
      <c r="Y16" s="259">
        <f>N(Y14)</f>
        <v>1684000000</v>
      </c>
      <c r="Z16" s="259">
        <f>N(Z14)</f>
        <v>1866000000</v>
      </c>
      <c r="AA16" s="259">
        <f>N(AA14)</f>
        <v>1545000000</v>
      </c>
      <c r="AB16" s="259">
        <f>N(AB14)</f>
        <v>1641000000</v>
      </c>
      <c r="AC16" s="259">
        <f>N(AC14)</f>
        <v>1623000000</v>
      </c>
      <c r="AD16" s="259">
        <f>N(AD14)</f>
        <v>527000000</v>
      </c>
      <c r="AE16" s="259">
        <f>N(AE14)</f>
        <v>1712000000</v>
      </c>
      <c r="AF16" s="259">
        <f>N(AF14)</f>
        <v>342000000</v>
      </c>
      <c r="AG16" s="259">
        <f>N(AG14)</f>
        <v>1619000000</v>
      </c>
      <c r="AH16" s="259">
        <f>N(AH14)</f>
        <v>1344000000</v>
      </c>
      <c r="AI16" s="259">
        <f>N(AI14)</f>
        <v>1488000000</v>
      </c>
      <c r="AJ16" s="259">
        <f>N(AJ14)</f>
        <v>1836000000</v>
      </c>
    </row>
    <row r="17">
      <c r="H17" s="254" t="inlineStr">
        <is>
          <t>DFC - trimestre isolado (desacumulado na extração)</t>
        </is>
      </c>
    </row>
    <row r="18">
      <c r="A18" t="n">
        <v>4</v>
      </c>
      <c r="B18" t="n">
        <v>-1</v>
      </c>
      <c r="C18" t="n">
        <v>3</v>
      </c>
      <c r="D18" t="n">
        <v>1</v>
      </c>
      <c r="G18" t="inlineStr">
        <is>
          <t>moeda</t>
        </is>
      </c>
      <c r="H18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8" t="inlineStr">
        <is>
          <t>fonte</t>
        </is>
      </c>
      <c r="K18" s="259" t="n">
        <v>301000000</v>
      </c>
      <c r="L18" s="259" t="n">
        <v>307000000</v>
      </c>
      <c r="M18" s="259" t="n">
        <v>319000000</v>
      </c>
      <c r="N18" s="259" t="n">
        <v>363000000</v>
      </c>
      <c r="O18" s="259" t="n">
        <v>336000000</v>
      </c>
      <c r="P18" s="259" t="n">
        <v>334000000</v>
      </c>
      <c r="Q18" s="259" t="n">
        <v>329000000</v>
      </c>
      <c r="R18" s="259" t="n">
        <v>365000000</v>
      </c>
      <c r="S18" s="259" t="n">
        <v>329000000</v>
      </c>
      <c r="T18" s="259" t="n">
        <v>343000000</v>
      </c>
      <c r="U18" s="259" t="n">
        <v>293000000</v>
      </c>
      <c r="V18" s="259" t="n">
        <v>439000000</v>
      </c>
      <c r="W18" s="259" t="n">
        <v>325000000</v>
      </c>
      <c r="X18" s="259" t="n">
        <v>334000000</v>
      </c>
      <c r="Y18" s="259" t="n">
        <v>350000000</v>
      </c>
      <c r="Z18" s="259" t="n">
        <v>421000000</v>
      </c>
      <c r="AA18" s="259" t="n">
        <v>351000000</v>
      </c>
      <c r="AB18" s="259" t="n">
        <v>359000000</v>
      </c>
      <c r="AC18" s="259" t="n">
        <v>390000000</v>
      </c>
      <c r="AD18" s="259" t="n">
        <v>459000000</v>
      </c>
      <c r="AE18" s="259" t="n">
        <v>397000000</v>
      </c>
      <c r="AF18" s="259" t="n">
        <v>399000000</v>
      </c>
      <c r="AG18" s="259" t="n">
        <v>428000000</v>
      </c>
      <c r="AH18" s="259" t="n">
        <v>463000000</v>
      </c>
      <c r="AI18" s="259" t="n">
        <v>398000000</v>
      </c>
      <c r="AJ18" s="259" t="n">
        <v>400000000</v>
      </c>
    </row>
    <row r="19">
      <c r="A19" t="n">
        <v>10</v>
      </c>
      <c r="B19" t="n">
        <v>-1</v>
      </c>
      <c r="G19" t="inlineStr">
        <is>
          <t>moeda</t>
        </is>
      </c>
      <c r="H19" t="inlineStr">
        <is>
          <t>Dividendos pagos [us-gaap:PaymentsOfDividends]</t>
        </is>
      </c>
      <c r="J19" t="inlineStr">
        <is>
          <t>fonte</t>
        </is>
      </c>
      <c r="K19" s="259" t="n">
        <v>693000000</v>
      </c>
      <c r="L19" s="259" t="n">
        <v>671000000</v>
      </c>
      <c r="M19" s="259" t="n">
        <v>672000000</v>
      </c>
      <c r="N19" s="259" t="n">
        <v>728000000</v>
      </c>
      <c r="O19" s="259" t="n">
        <v>739000000</v>
      </c>
      <c r="P19" s="259" t="n">
        <v>721000000</v>
      </c>
      <c r="Q19" s="259" t="n">
        <v>718000000</v>
      </c>
      <c r="R19" s="259" t="n">
        <v>762000000</v>
      </c>
      <c r="S19" s="259" t="n">
        <v>767000000</v>
      </c>
      <c r="T19" s="259" t="n">
        <v>744000000</v>
      </c>
      <c r="U19" s="259" t="n">
        <v>739000000</v>
      </c>
      <c r="V19" s="259" t="n">
        <v>766000000</v>
      </c>
      <c r="W19" s="259" t="n">
        <v>784000000</v>
      </c>
      <c r="X19" s="259" t="n">
        <v>758000000</v>
      </c>
      <c r="Y19" s="259" t="n">
        <v>747000000</v>
      </c>
      <c r="Z19" s="259" t="n">
        <v>767000000</v>
      </c>
      <c r="AA19" s="259" t="n">
        <v>780000000</v>
      </c>
      <c r="AB19" s="259" t="n">
        <v>752000000</v>
      </c>
      <c r="AC19" s="259" t="n">
        <v>749000000</v>
      </c>
      <c r="AD19" s="259" t="n">
        <v>778000000</v>
      </c>
      <c r="AE19" s="259" t="n">
        <v>796000000</v>
      </c>
      <c r="AF19" s="259" t="n">
        <v>771000000</v>
      </c>
      <c r="AG19" s="259" t="n">
        <v>765000000</v>
      </c>
      <c r="AH19" s="259" t="n">
        <v>799000000</v>
      </c>
      <c r="AI19" s="259" t="n">
        <v>816000000</v>
      </c>
      <c r="AJ19" s="259" t="n">
        <v>796000000</v>
      </c>
    </row>
    <row r="20">
      <c r="H20" s="254" t="inlineStr">
        <is>
          <t>BALANÇO DE FACE (USD, saldo no fim do trimestre; cada trimestre lido da instância do próprio 10-Q/10-K)</t>
        </is>
      </c>
    </row>
    <row r="21">
      <c r="A21" t="n">
        <v>11</v>
      </c>
      <c r="B21" t="n">
        <v>1</v>
      </c>
      <c r="G21" t="inlineStr">
        <is>
          <t>moeda</t>
        </is>
      </c>
      <c r="H21" t="inlineStr">
        <is>
          <t>CashAndCashEquivalentsAtCarryingValue</t>
        </is>
      </c>
      <c r="J21" t="inlineStr">
        <is>
          <t>fonte</t>
        </is>
      </c>
      <c r="K21" s="259" t="n">
        <v>1988000000</v>
      </c>
      <c r="L21" s="259" t="n">
        <v>2855000000</v>
      </c>
      <c r="M21" s="259" t="n">
        <v>3585000000</v>
      </c>
      <c r="N21" s="259" t="n">
        <v>3160000000</v>
      </c>
      <c r="O21" s="259" t="n">
        <v>2933000000</v>
      </c>
      <c r="P21" s="259" t="n">
        <v>2745000000</v>
      </c>
      <c r="Q21" s="259" t="n">
        <v>2727000000</v>
      </c>
      <c r="R21" s="259" t="n">
        <v>3604000000</v>
      </c>
      <c r="S21" s="259" t="n">
        <v>1883000000</v>
      </c>
      <c r="T21" s="259" t="n">
        <v>1775000000</v>
      </c>
      <c r="U21" s="259" t="n">
        <v>2430000000</v>
      </c>
      <c r="V21" s="259" t="n">
        <v>2547000000</v>
      </c>
      <c r="W21" s="259" t="n">
        <v>2440000000</v>
      </c>
      <c r="X21" s="259" t="n">
        <v>3673000000</v>
      </c>
      <c r="Y21" s="259" t="n">
        <v>3551000000</v>
      </c>
      <c r="Z21" s="259" t="n">
        <v>1442000000</v>
      </c>
      <c r="AA21" s="259" t="n">
        <v>2790000000</v>
      </c>
      <c r="AB21" s="259" t="n">
        <v>2523000000</v>
      </c>
      <c r="AC21" s="259" t="n">
        <v>3151000000</v>
      </c>
      <c r="AD21" s="259" t="n">
        <v>2483000000</v>
      </c>
      <c r="AE21" s="259" t="n">
        <v>1803000000</v>
      </c>
      <c r="AF21" s="259" t="n">
        <v>1293000000</v>
      </c>
      <c r="AG21" s="259" t="n">
        <v>3470000000</v>
      </c>
      <c r="AH21" s="259" t="n">
        <v>4121000000</v>
      </c>
      <c r="AI21" s="259" t="n">
        <v>1894000000</v>
      </c>
      <c r="AJ21" s="259" t="n">
        <v>3791000000</v>
      </c>
    </row>
    <row r="22">
      <c r="A22" t="n">
        <v>12</v>
      </c>
      <c r="B22" t="n">
        <v>1</v>
      </c>
      <c r="G22" t="inlineStr">
        <is>
          <t>moeda</t>
        </is>
      </c>
      <c r="H22" t="inlineStr">
        <is>
          <t>ReceivablesNetCurrent</t>
        </is>
      </c>
      <c r="J22" t="inlineStr">
        <is>
          <t>fonte</t>
        </is>
      </c>
      <c r="K22" s="259" t="n">
        <v>2892000000</v>
      </c>
      <c r="L22" s="259" t="n">
        <v>2835000000</v>
      </c>
      <c r="M22" s="259" t="n">
        <v>2480000000</v>
      </c>
      <c r="N22" s="259" t="n">
        <v>1978000000</v>
      </c>
      <c r="O22" s="259" t="n">
        <v>2214000000</v>
      </c>
      <c r="P22" s="259" t="n">
        <v>2611000000</v>
      </c>
      <c r="Q22" s="259" t="n">
        <v>2267000000</v>
      </c>
      <c r="R22" s="259" t="n">
        <v>1963000000</v>
      </c>
      <c r="S22" s="259" t="n">
        <v>2527000000</v>
      </c>
      <c r="T22" s="259" t="n">
        <v>3401000000</v>
      </c>
      <c r="U22" s="259" t="n">
        <v>2484000000</v>
      </c>
      <c r="V22" s="259" t="n">
        <v>2505000000</v>
      </c>
      <c r="W22" s="259" t="n">
        <v>2583000000</v>
      </c>
      <c r="X22" s="259" t="n">
        <v>3427000000</v>
      </c>
      <c r="Y22" s="259" t="n">
        <v>2405000000</v>
      </c>
      <c r="Z22" s="259" t="n">
        <v>2132000000</v>
      </c>
      <c r="AA22" s="259" t="n">
        <v>2257000000</v>
      </c>
      <c r="AB22" s="259" t="n">
        <v>2930000000</v>
      </c>
      <c r="AC22" s="259" t="n">
        <v>2141000000</v>
      </c>
      <c r="AD22" s="259" t="n">
        <v>2351000000</v>
      </c>
      <c r="AE22" s="259" t="n">
        <v>2024000000</v>
      </c>
      <c r="AF22" s="259" t="n">
        <v>3306000000</v>
      </c>
      <c r="AG22" s="259" t="n">
        <v>3844000000</v>
      </c>
      <c r="AH22" s="259" t="n">
        <v>3901000000</v>
      </c>
      <c r="AI22" s="259" t="n">
        <v>2322000000</v>
      </c>
      <c r="AJ22" s="259" t="n">
        <v>3356000000</v>
      </c>
    </row>
    <row r="23">
      <c r="A23" t="n">
        <v>13</v>
      </c>
      <c r="B23" t="n">
        <v>1</v>
      </c>
      <c r="G23" t="inlineStr">
        <is>
          <t>moeda</t>
        </is>
      </c>
      <c r="H23" t="inlineStr">
        <is>
          <t>InventoryNet</t>
        </is>
      </c>
      <c r="J23" t="inlineStr">
        <is>
          <t>fonte</t>
        </is>
      </c>
      <c r="K23" s="259" t="n">
        <v>0</v>
      </c>
      <c r="L23" s="259" t="n">
        <v>0</v>
      </c>
      <c r="M23" s="259" t="n">
        <v>0</v>
      </c>
      <c r="N23" s="259" t="n">
        <v>0</v>
      </c>
      <c r="O23" s="259" t="n">
        <v>0</v>
      </c>
      <c r="P23" s="259" t="n">
        <v>0</v>
      </c>
      <c r="Q23" s="259" t="n">
        <v>0</v>
      </c>
      <c r="R23" s="259" t="n">
        <v>0</v>
      </c>
      <c r="S23" s="259" t="n">
        <v>0</v>
      </c>
      <c r="T23" s="259" t="n">
        <v>0</v>
      </c>
      <c r="U23" s="259" t="n">
        <v>0</v>
      </c>
      <c r="V23" s="259" t="n">
        <v>0</v>
      </c>
      <c r="W23" s="259" t="n">
        <v>0</v>
      </c>
      <c r="X23" s="259" t="n">
        <v>0</v>
      </c>
      <c r="Y23" s="259" t="n">
        <v>0</v>
      </c>
      <c r="Z23" s="259" t="n">
        <v>0</v>
      </c>
      <c r="AA23" s="259" t="n">
        <v>0</v>
      </c>
      <c r="AB23" s="259" t="n">
        <v>0</v>
      </c>
      <c r="AC23" s="259" t="n">
        <v>0</v>
      </c>
      <c r="AD23" s="259" t="n">
        <v>0</v>
      </c>
      <c r="AE23" s="259" t="n">
        <v>0</v>
      </c>
      <c r="AF23" s="259" t="n">
        <v>0</v>
      </c>
      <c r="AG23" s="259" t="n">
        <v>0</v>
      </c>
      <c r="AH23" s="259" t="n">
        <v>0</v>
      </c>
      <c r="AI23" s="259" t="n">
        <v>4251000000</v>
      </c>
      <c r="AJ23" s="259" t="n">
        <v>4411000000</v>
      </c>
    </row>
    <row r="24">
      <c r="A24" t="n">
        <v>14</v>
      </c>
      <c r="B24" t="n">
        <v>1</v>
      </c>
      <c r="G24" t="inlineStr">
        <is>
          <t>moeda</t>
        </is>
      </c>
      <c r="H24" t="inlineStr">
        <is>
          <t>DeferredIncomeTaxAssetsNet</t>
        </is>
      </c>
      <c r="J24" t="inlineStr">
        <is>
          <t>fonte</t>
        </is>
      </c>
      <c r="K24" s="259" t="n">
        <v>3164000000</v>
      </c>
      <c r="L24" s="259" t="n">
        <v>3127000000</v>
      </c>
      <c r="M24" s="259" t="n">
        <v>3198000000</v>
      </c>
      <c r="N24" s="259" t="n">
        <v>3475000000</v>
      </c>
      <c r="O24" s="259" t="n">
        <v>3375000000</v>
      </c>
      <c r="P24" s="259" t="n">
        <v>3377000000</v>
      </c>
      <c r="Q24" s="259" t="n">
        <v>2664000000</v>
      </c>
      <c r="R24" s="259" t="n">
        <v>2290000000</v>
      </c>
      <c r="S24" s="259" t="n">
        <v>2688000000</v>
      </c>
      <c r="T24" s="259" t="n">
        <v>2680000000</v>
      </c>
      <c r="U24" s="259" t="n">
        <v>3116000000</v>
      </c>
      <c r="V24" s="259" t="n">
        <v>3744000000</v>
      </c>
      <c r="W24" s="259" t="n">
        <v>4175000000</v>
      </c>
      <c r="X24" s="259" t="n">
        <v>4518000000</v>
      </c>
      <c r="Y24" s="259" t="n">
        <v>4873000000</v>
      </c>
      <c r="Z24" s="259" t="n">
        <v>2953000000</v>
      </c>
      <c r="AA24" s="259" t="n">
        <v>3024000000</v>
      </c>
      <c r="AB24" s="259" t="n">
        <v>3080000000</v>
      </c>
      <c r="AC24" s="259" t="n">
        <v>3105000000</v>
      </c>
      <c r="AD24" s="259" t="n">
        <v>3557000000</v>
      </c>
      <c r="AE24" s="259" t="n">
        <v>3568000000</v>
      </c>
      <c r="AF24" s="259" t="n">
        <v>4070000000</v>
      </c>
      <c r="AG24" s="259" t="n">
        <v>3413000000</v>
      </c>
      <c r="AH24" s="259" t="n">
        <v>2975000000</v>
      </c>
      <c r="AI24" s="259" t="n">
        <v>2802000000</v>
      </c>
      <c r="AJ24" s="259" t="n">
        <v>2414000000</v>
      </c>
    </row>
    <row r="25">
      <c r="A25" t="n">
        <v>16</v>
      </c>
      <c r="B25" t="n">
        <v>1</v>
      </c>
      <c r="G25" t="inlineStr">
        <is>
          <t>moeda</t>
        </is>
      </c>
      <c r="H25" t="inlineStr">
        <is>
          <t>ContractWithCustomerAssetNetCurrent</t>
        </is>
      </c>
      <c r="J25" t="inlineStr">
        <is>
          <t>fonte</t>
        </is>
      </c>
      <c r="K25" s="259" t="n">
        <v>10189000000</v>
      </c>
      <c r="L25" s="259" t="n">
        <v>9821000000</v>
      </c>
      <c r="M25" s="259" t="n">
        <v>10388000000</v>
      </c>
      <c r="N25" s="259" t="n">
        <v>9545000000</v>
      </c>
      <c r="O25" s="259" t="n">
        <v>10908000000</v>
      </c>
      <c r="P25" s="259" t="n">
        <v>11425000000</v>
      </c>
      <c r="Q25" s="259" t="n">
        <v>12697000000</v>
      </c>
      <c r="R25" s="259" t="n">
        <v>10579000000</v>
      </c>
      <c r="S25" s="259" t="n">
        <v>12130000000</v>
      </c>
      <c r="T25" s="259" t="n">
        <v>11753000000</v>
      </c>
      <c r="U25" s="259" t="n">
        <v>12333000000</v>
      </c>
      <c r="V25" s="259" t="n">
        <v>12318000000</v>
      </c>
      <c r="W25" s="259" t="n">
        <v>13189000000</v>
      </c>
      <c r="X25" s="259" t="n">
        <v>13008000000</v>
      </c>
      <c r="Y25" s="259" t="n">
        <v>13605000000</v>
      </c>
      <c r="Z25" s="259" t="n">
        <v>13183000000</v>
      </c>
      <c r="AA25" s="259" t="n">
        <v>14050000000</v>
      </c>
      <c r="AB25" s="259" t="n">
        <v>13907000000</v>
      </c>
      <c r="AC25" s="259" t="n">
        <v>14224000000</v>
      </c>
      <c r="AD25" s="259" t="n">
        <v>12957000000</v>
      </c>
      <c r="AE25" s="259" t="n">
        <v>14677000000</v>
      </c>
      <c r="AF25" s="259" t="n">
        <v>14896000000</v>
      </c>
      <c r="AG25" s="259" t="n">
        <v>13949000000</v>
      </c>
      <c r="AH25" s="259" t="n">
        <v>13001000000</v>
      </c>
      <c r="AI25" s="259" t="n">
        <v>15885000000</v>
      </c>
      <c r="AJ25" s="259" t="n">
        <v>16038000000</v>
      </c>
    </row>
    <row r="26">
      <c r="A26" t="n">
        <v>16</v>
      </c>
      <c r="B26" t="n">
        <v>1</v>
      </c>
      <c r="G26" t="inlineStr">
        <is>
          <t>moeda</t>
        </is>
      </c>
      <c r="H26" t="inlineStr">
        <is>
          <t>InventoryNetOfAllowancesCustomerAdvancesAndProgressBillings</t>
        </is>
      </c>
      <c r="J26" t="inlineStr">
        <is>
          <t>fonte</t>
        </is>
      </c>
      <c r="K26" s="259" t="n">
        <v>3539000000</v>
      </c>
      <c r="L26" s="259" t="n">
        <v>3521000000</v>
      </c>
      <c r="M26" s="259" t="n">
        <v>3293000000</v>
      </c>
      <c r="N26" s="259" t="n">
        <v>3545000000</v>
      </c>
      <c r="O26" s="259" t="n">
        <v>3256000000</v>
      </c>
      <c r="P26" s="259" t="n">
        <v>3119000000</v>
      </c>
      <c r="Q26" s="259" t="n">
        <v>2903000000</v>
      </c>
      <c r="R26" s="259" t="n">
        <v>2981000000</v>
      </c>
      <c r="S26" s="259" t="n">
        <v>3144000000</v>
      </c>
      <c r="T26" s="259" t="n">
        <v>3431000000</v>
      </c>
      <c r="U26" s="259" t="n">
        <v>3113000000</v>
      </c>
      <c r="V26" s="259" t="n">
        <v>3088000000</v>
      </c>
      <c r="W26" s="259" t="n">
        <v>3471000000</v>
      </c>
      <c r="X26" s="259" t="n">
        <v>3498000000</v>
      </c>
      <c r="Y26" s="259" t="n">
        <v>3312000000</v>
      </c>
      <c r="Z26" s="259" t="n">
        <v>3132000000</v>
      </c>
      <c r="AA26" s="259" t="n">
        <v>3278000000</v>
      </c>
      <c r="AB26" s="259" t="n">
        <v>3097000000</v>
      </c>
      <c r="AC26" s="259" t="n">
        <v>3234000000</v>
      </c>
      <c r="AD26" s="259" t="n">
        <v>3474000000</v>
      </c>
      <c r="AE26" s="259" t="n">
        <v>3599000000</v>
      </c>
      <c r="AF26" s="259" t="n">
        <v>3699000000</v>
      </c>
      <c r="AG26" s="259" t="n">
        <v>3749000000</v>
      </c>
      <c r="AH26" s="259" t="n">
        <v>3524000000</v>
      </c>
      <c r="AI26" s="259" t="n">
        <v>0</v>
      </c>
      <c r="AJ26" s="259" t="n">
        <v>0</v>
      </c>
    </row>
    <row r="27">
      <c r="A27" t="n">
        <v>16</v>
      </c>
      <c r="B27" t="n">
        <v>1</v>
      </c>
      <c r="G27" t="inlineStr">
        <is>
          <t>moeda</t>
        </is>
      </c>
      <c r="H27" t="inlineStr">
        <is>
          <t>OtherAssetsCurrent</t>
        </is>
      </c>
      <c r="J27" t="inlineStr">
        <is>
          <t>fonte</t>
        </is>
      </c>
      <c r="K27" s="259" t="n">
        <v>614000000</v>
      </c>
      <c r="L27" s="259" t="n">
        <v>538000000</v>
      </c>
      <c r="M27" s="259" t="n">
        <v>544000000</v>
      </c>
      <c r="N27" s="259" t="n">
        <v>1150000000</v>
      </c>
      <c r="O27" s="259" t="n">
        <v>941000000</v>
      </c>
      <c r="P27" s="259" t="n">
        <v>774000000</v>
      </c>
      <c r="Q27" s="259" t="n">
        <v>763000000</v>
      </c>
      <c r="R27" s="259" t="n">
        <v>688000000</v>
      </c>
      <c r="S27" s="259" t="n">
        <v>706000000</v>
      </c>
      <c r="T27" s="259" t="n">
        <v>613000000</v>
      </c>
      <c r="U27" s="259" t="n">
        <v>600000000</v>
      </c>
      <c r="V27" s="259" t="n">
        <v>533000000</v>
      </c>
      <c r="W27" s="259" t="n">
        <v>461000000</v>
      </c>
      <c r="X27" s="259" t="n">
        <v>481000000</v>
      </c>
      <c r="Y27" s="259" t="n">
        <v>449000000</v>
      </c>
      <c r="Z27" s="259" t="n">
        <v>632000000</v>
      </c>
      <c r="AA27" s="259" t="n">
        <v>583000000</v>
      </c>
      <c r="AB27" s="259" t="n">
        <v>510000000</v>
      </c>
      <c r="AC27" s="259" t="n">
        <v>461000000</v>
      </c>
      <c r="AD27" s="259" t="n">
        <v>584000000</v>
      </c>
      <c r="AE27" s="259" t="n">
        <v>698000000</v>
      </c>
      <c r="AF27" s="259" t="n">
        <v>794000000</v>
      </c>
      <c r="AG27" s="259" t="n">
        <v>924000000</v>
      </c>
      <c r="AH27" s="259" t="n">
        <v>815000000</v>
      </c>
      <c r="AI27" s="259" t="n">
        <v>728000000</v>
      </c>
      <c r="AJ27" s="259" t="n">
        <v>805000000</v>
      </c>
    </row>
    <row r="28">
      <c r="A28" t="n">
        <v>18</v>
      </c>
      <c r="B28" t="n">
        <v>1</v>
      </c>
      <c r="G28" t="inlineStr">
        <is>
          <t>moeda</t>
        </is>
      </c>
      <c r="H28" t="inlineStr">
        <is>
          <t>PropertyPlantAndEquipmentNet</t>
        </is>
      </c>
      <c r="J28" t="inlineStr">
        <is>
          <t>fonte</t>
        </is>
      </c>
      <c r="K28" s="259" t="n">
        <v>6605000000</v>
      </c>
      <c r="L28" s="259" t="n">
        <v>6663000000</v>
      </c>
      <c r="M28" s="259" t="n">
        <v>6803000000</v>
      </c>
      <c r="N28" s="259" t="n">
        <v>7213000000</v>
      </c>
      <c r="O28" s="259" t="n">
        <v>7213000000</v>
      </c>
      <c r="P28" s="259" t="n">
        <v>7290000000</v>
      </c>
      <c r="Q28" s="259" t="n">
        <v>7332000000</v>
      </c>
      <c r="R28" s="259" t="n">
        <v>7597000000</v>
      </c>
      <c r="S28" s="259" t="n">
        <v>7561000000</v>
      </c>
      <c r="T28" s="259" t="n">
        <v>7569000000</v>
      </c>
      <c r="U28" s="259" t="n">
        <v>7629000000</v>
      </c>
      <c r="V28" s="259" t="n">
        <v>7975000000</v>
      </c>
      <c r="W28" s="259" t="n">
        <v>7938000000</v>
      </c>
      <c r="X28" s="259" t="n">
        <v>7966000000</v>
      </c>
      <c r="Y28" s="259" t="n">
        <v>8046000000</v>
      </c>
      <c r="Z28" s="259" t="n">
        <v>8370000000</v>
      </c>
      <c r="AA28" s="259" t="n">
        <v>8354000000</v>
      </c>
      <c r="AB28" s="259" t="n">
        <v>8394000000</v>
      </c>
      <c r="AC28" s="259" t="n">
        <v>8454000000</v>
      </c>
      <c r="AD28" s="259" t="n">
        <v>8726000000</v>
      </c>
      <c r="AE28" s="259" t="n">
        <v>8713000000</v>
      </c>
      <c r="AF28" s="259" t="n">
        <v>8670000000</v>
      </c>
      <c r="AG28" s="259" t="n">
        <v>8722000000</v>
      </c>
      <c r="AH28" s="259" t="n">
        <v>8875000000</v>
      </c>
      <c r="AI28" s="259" t="n">
        <v>11283000000</v>
      </c>
      <c r="AJ28" s="259" t="n">
        <v>11390000000</v>
      </c>
    </row>
    <row r="29">
      <c r="A29" t="n">
        <v>20</v>
      </c>
      <c r="B29" t="n">
        <v>1</v>
      </c>
      <c r="G29" t="inlineStr">
        <is>
          <t>moeda</t>
        </is>
      </c>
      <c r="H29" t="inlineStr">
        <is>
          <t>Goodwill</t>
        </is>
      </c>
      <c r="J29" t="inlineStr">
        <is>
          <t>fonte</t>
        </is>
      </c>
      <c r="K29" s="259" t="n">
        <v>10565000000</v>
      </c>
      <c r="L29" s="259" t="n">
        <v>10579000000</v>
      </c>
      <c r="M29" s="259" t="n">
        <v>10589000000</v>
      </c>
      <c r="N29" s="259" t="n">
        <v>10806000000</v>
      </c>
      <c r="O29" s="259" t="n">
        <v>10799000000</v>
      </c>
      <c r="P29" s="259" t="n">
        <v>10810000000</v>
      </c>
      <c r="Q29" s="259" t="n">
        <v>10815000000</v>
      </c>
      <c r="R29" s="259" t="n">
        <v>10813000000</v>
      </c>
      <c r="S29" s="259" t="n">
        <v>10811000000</v>
      </c>
      <c r="T29" s="259" t="n">
        <v>10794000000</v>
      </c>
      <c r="U29" s="259" t="n">
        <v>10764000000</v>
      </c>
      <c r="V29" s="259" t="n">
        <v>10780000000</v>
      </c>
      <c r="W29" s="259" t="n">
        <v>10776000000</v>
      </c>
      <c r="X29" s="259" t="n">
        <v>10795000000</v>
      </c>
      <c r="Y29" s="259" t="n">
        <v>10782000000</v>
      </c>
      <c r="Z29" s="259" t="n">
        <v>10799000000</v>
      </c>
      <c r="AA29" s="259" t="n">
        <v>10789000000</v>
      </c>
      <c r="AB29" s="259" t="n">
        <v>10787000000</v>
      </c>
      <c r="AC29" s="259" t="n">
        <v>10800000000</v>
      </c>
      <c r="AD29" s="259" t="n">
        <v>11067000000</v>
      </c>
      <c r="AE29" s="259" t="n">
        <v>11076000000</v>
      </c>
      <c r="AF29" s="259" t="n">
        <v>11309000000</v>
      </c>
      <c r="AG29" s="259" t="n">
        <v>11313000000</v>
      </c>
      <c r="AH29" s="259" t="n">
        <v>11314000000</v>
      </c>
      <c r="AI29" s="259" t="n">
        <v>11306000000</v>
      </c>
      <c r="AJ29" s="259" t="n">
        <v>11298000000</v>
      </c>
    </row>
    <row r="30">
      <c r="A30" t="n">
        <v>21</v>
      </c>
      <c r="B30" t="n">
        <v>1</v>
      </c>
      <c r="G30" t="inlineStr">
        <is>
          <t>moeda</t>
        </is>
      </c>
      <c r="H30" t="inlineStr">
        <is>
          <t>IntangibleAssetsNetExcludingGoodwill</t>
        </is>
      </c>
      <c r="J30" t="inlineStr">
        <is>
          <t>fonte</t>
        </is>
      </c>
      <c r="K30" s="259" t="n">
        <v>3142000000</v>
      </c>
      <c r="L30" s="259" t="n">
        <v>3077000000</v>
      </c>
      <c r="M30" s="259" t="n">
        <v>3013000000</v>
      </c>
      <c r="N30" s="259" t="n">
        <v>3012000000</v>
      </c>
      <c r="O30" s="259" t="n">
        <v>2930000000</v>
      </c>
      <c r="P30" s="259" t="n">
        <v>2849000000</v>
      </c>
      <c r="Q30" s="259" t="n">
        <v>2768000000</v>
      </c>
      <c r="R30" s="259" t="n">
        <v>2706000000</v>
      </c>
      <c r="S30" s="259" t="n">
        <v>2644000000</v>
      </c>
      <c r="T30" s="259" t="n">
        <v>2584000000</v>
      </c>
      <c r="U30" s="259" t="n">
        <v>2521000000</v>
      </c>
      <c r="V30" s="259" t="n">
        <v>2459000000</v>
      </c>
      <c r="W30" s="259" t="n">
        <v>2397000000</v>
      </c>
      <c r="X30" s="259" t="n">
        <v>2336000000</v>
      </c>
      <c r="Y30" s="259" t="n">
        <v>2274000000</v>
      </c>
      <c r="Z30" s="259" t="n">
        <v>2212000000</v>
      </c>
      <c r="AA30" s="259" t="n">
        <v>2151000000</v>
      </c>
      <c r="AB30" s="259" t="n">
        <v>2040000000</v>
      </c>
      <c r="AC30" s="259" t="n">
        <v>1979000000</v>
      </c>
      <c r="AD30" s="259" t="n">
        <v>2015000000</v>
      </c>
      <c r="AE30" s="259" t="n">
        <v>1952000000</v>
      </c>
      <c r="AF30" s="259" t="n">
        <v>2013000000</v>
      </c>
      <c r="AG30" s="259" t="n">
        <v>1943000000</v>
      </c>
      <c r="AH30" s="259" t="n">
        <v>1887000000</v>
      </c>
      <c r="AI30" s="259" t="n">
        <v>1837000000</v>
      </c>
      <c r="AJ30" s="259" t="n">
        <v>1787000000</v>
      </c>
    </row>
    <row r="31">
      <c r="A31" t="n">
        <v>22</v>
      </c>
      <c r="B31" t="n">
        <v>1</v>
      </c>
      <c r="G31" t="inlineStr">
        <is>
          <t>moeda</t>
        </is>
      </c>
      <c r="H31" t="inlineStr">
        <is>
          <t>OtherAssetsNoncurrent</t>
        </is>
      </c>
      <c r="J31" t="inlineStr">
        <is>
          <t>fonte</t>
        </is>
      </c>
      <c r="K31" s="259" t="n">
        <v>6550000000</v>
      </c>
      <c r="L31" s="259" t="n">
        <v>6587000000</v>
      </c>
      <c r="M31" s="259" t="n">
        <v>6880000000</v>
      </c>
      <c r="N31" s="259" t="n">
        <v>6826000000</v>
      </c>
      <c r="O31" s="259" t="n">
        <v>6868000000</v>
      </c>
      <c r="P31" s="259" t="n">
        <v>7099000000</v>
      </c>
      <c r="Q31" s="259" t="n">
        <v>6907000000</v>
      </c>
      <c r="R31" s="259" t="n">
        <v>7652000000</v>
      </c>
      <c r="S31" s="259" t="n">
        <v>7416000000</v>
      </c>
      <c r="T31" s="259" t="n">
        <v>7158000000</v>
      </c>
      <c r="U31" s="259" t="n">
        <v>7040000000</v>
      </c>
      <c r="V31" s="259" t="n">
        <v>6931000000</v>
      </c>
      <c r="W31" s="259" t="n">
        <v>7192000000</v>
      </c>
      <c r="X31" s="259" t="n">
        <v>7276000000</v>
      </c>
      <c r="Y31" s="259" t="n">
        <v>7369000000</v>
      </c>
      <c r="Z31" s="259" t="n">
        <v>7601000000</v>
      </c>
      <c r="AA31" s="259" t="n">
        <v>7687000000</v>
      </c>
      <c r="AB31" s="259" t="n">
        <v>7808000000</v>
      </c>
      <c r="AC31" s="259" t="n">
        <v>7971000000</v>
      </c>
      <c r="AD31" s="259" t="n">
        <v>8403000000</v>
      </c>
      <c r="AE31" s="259" t="n">
        <v>8559000000</v>
      </c>
      <c r="AF31" s="259" t="n">
        <v>8820000000</v>
      </c>
      <c r="AG31" s="259" t="n">
        <v>8949000000</v>
      </c>
      <c r="AH31" s="259" t="n">
        <v>7010000000</v>
      </c>
      <c r="AI31" s="259" t="n">
        <v>6930000000</v>
      </c>
      <c r="AJ31" s="259" t="n">
        <v>7160000000</v>
      </c>
    </row>
    <row r="32">
      <c r="A32" t="n">
        <v>22</v>
      </c>
      <c r="B32" t="n">
        <v>1</v>
      </c>
      <c r="G32" t="inlineStr">
        <is>
          <t>moeda</t>
        </is>
      </c>
      <c r="H32" t="inlineStr">
        <is>
          <t>CapitalizedComputerSoftwareNet</t>
        </is>
      </c>
      <c r="J32" t="inlineStr">
        <is>
          <t>fonte</t>
        </is>
      </c>
      <c r="K32" s="259" t="n">
        <v>0</v>
      </c>
      <c r="L32" s="259" t="n">
        <v>0</v>
      </c>
      <c r="M32" s="259" t="n">
        <v>0</v>
      </c>
      <c r="N32" s="259" t="n">
        <v>0</v>
      </c>
      <c r="O32" s="259" t="n">
        <v>0</v>
      </c>
      <c r="P32" s="259" t="n">
        <v>0</v>
      </c>
      <c r="Q32" s="259" t="n">
        <v>0</v>
      </c>
      <c r="R32" s="259" t="n">
        <v>0</v>
      </c>
      <c r="S32" s="259" t="n">
        <v>0</v>
      </c>
      <c r="T32" s="259" t="n">
        <v>0</v>
      </c>
      <c r="U32" s="259" t="n">
        <v>0</v>
      </c>
      <c r="V32" s="259" t="n">
        <v>0</v>
      </c>
      <c r="W32" s="259" t="n">
        <v>0</v>
      </c>
      <c r="X32" s="259" t="n">
        <v>0</v>
      </c>
      <c r="Y32" s="259" t="n">
        <v>0</v>
      </c>
      <c r="Z32" s="259" t="n">
        <v>0</v>
      </c>
      <c r="AA32" s="259" t="n">
        <v>0</v>
      </c>
      <c r="AB32" s="259" t="n">
        <v>0</v>
      </c>
      <c r="AC32" s="259" t="n">
        <v>0</v>
      </c>
      <c r="AD32" s="259" t="n">
        <v>0</v>
      </c>
      <c r="AE32" s="259" t="n">
        <v>0</v>
      </c>
      <c r="AF32" s="259" t="n">
        <v>0</v>
      </c>
      <c r="AG32" s="259" t="n">
        <v>0</v>
      </c>
      <c r="AH32" s="259" t="n">
        <v>2417000000</v>
      </c>
      <c r="AI32" s="259" t="n">
        <v>0</v>
      </c>
      <c r="AJ32" s="259" t="n">
        <v>0</v>
      </c>
    </row>
    <row r="33">
      <c r="A33" t="n">
        <v>23</v>
      </c>
      <c r="B33" t="n">
        <v>1</v>
      </c>
      <c r="G33" t="inlineStr">
        <is>
          <t>moeda</t>
        </is>
      </c>
      <c r="H33" t="inlineStr">
        <is>
          <t>AccountsPayableCurrent</t>
        </is>
      </c>
      <c r="J33" t="inlineStr">
        <is>
          <t>fonte</t>
        </is>
      </c>
      <c r="K33" s="259" t="n">
        <v>3166000000</v>
      </c>
      <c r="L33" s="259" t="n">
        <v>1453000000</v>
      </c>
      <c r="M33" s="259" t="n">
        <v>1491000000</v>
      </c>
      <c r="N33" s="259" t="n">
        <v>880000000</v>
      </c>
      <c r="O33" s="259" t="n">
        <v>1889000000</v>
      </c>
      <c r="P33" s="259" t="n">
        <v>1608000000</v>
      </c>
      <c r="Q33" s="259" t="n">
        <v>1520000000</v>
      </c>
      <c r="R33" s="259" t="n">
        <v>780000000</v>
      </c>
      <c r="S33" s="259" t="n">
        <v>2599000000</v>
      </c>
      <c r="T33" s="259" t="n">
        <v>2309000000</v>
      </c>
      <c r="U33" s="259" t="n">
        <v>2622000000</v>
      </c>
      <c r="V33" s="259" t="n">
        <v>2117000000</v>
      </c>
      <c r="W33" s="259" t="n">
        <v>3271000000</v>
      </c>
      <c r="X33" s="259" t="n">
        <v>3466000000</v>
      </c>
      <c r="Y33" s="259" t="n">
        <v>3817000000</v>
      </c>
      <c r="Z33" s="259" t="n">
        <v>2312000000</v>
      </c>
      <c r="AA33" s="259" t="n">
        <v>3523000000</v>
      </c>
      <c r="AB33" s="259" t="n">
        <v>3282000000</v>
      </c>
      <c r="AC33" s="259" t="n">
        <v>3221000000</v>
      </c>
      <c r="AD33" s="259" t="n">
        <v>2222000000</v>
      </c>
      <c r="AE33" s="259" t="n">
        <v>3821000000</v>
      </c>
      <c r="AF33" s="259" t="n">
        <v>3653000000</v>
      </c>
      <c r="AG33" s="259" t="n">
        <v>3834000000</v>
      </c>
      <c r="AH33" s="259" t="n">
        <v>3630000000</v>
      </c>
      <c r="AI33" s="259" t="n">
        <v>4707000000</v>
      </c>
      <c r="AJ33" s="259" t="n">
        <v>4915000000</v>
      </c>
    </row>
    <row r="34">
      <c r="A34" t="n">
        <v>24</v>
      </c>
      <c r="B34" t="n">
        <v>1</v>
      </c>
      <c r="G34" t="inlineStr">
        <is>
          <t>moeda</t>
        </is>
      </c>
      <c r="H34" t="inlineStr">
        <is>
          <t>EmployeeRelatedLiabilitiesCurrent</t>
        </is>
      </c>
      <c r="J34" t="inlineStr">
        <is>
          <t>fonte</t>
        </is>
      </c>
      <c r="K34" s="259" t="n">
        <v>2022000000</v>
      </c>
      <c r="L34" s="259" t="n">
        <v>2488000000</v>
      </c>
      <c r="M34" s="259" t="n">
        <v>2818000000</v>
      </c>
      <c r="N34" s="259" t="n">
        <v>3163000000</v>
      </c>
      <c r="O34" s="259" t="n">
        <v>2794000000</v>
      </c>
      <c r="P34" s="259" t="n">
        <v>3029000000</v>
      </c>
      <c r="Q34" s="259" t="n">
        <v>3122000000</v>
      </c>
      <c r="R34" s="259" t="n">
        <v>3108000000</v>
      </c>
      <c r="S34" s="259" t="n">
        <v>2671000000</v>
      </c>
      <c r="T34" s="259" t="n">
        <v>2935000000</v>
      </c>
      <c r="U34" s="259" t="n">
        <v>3151000000</v>
      </c>
      <c r="V34" s="259" t="n">
        <v>3075000000</v>
      </c>
      <c r="W34" s="259" t="n">
        <v>2634000000</v>
      </c>
      <c r="X34" s="259" t="n">
        <v>2896000000</v>
      </c>
      <c r="Y34" s="259" t="n">
        <v>3139000000</v>
      </c>
      <c r="Z34" s="259" t="n">
        <v>3133000000</v>
      </c>
      <c r="AA34" s="259" t="n">
        <v>2679000000</v>
      </c>
      <c r="AB34" s="259" t="n">
        <v>2871000000</v>
      </c>
      <c r="AC34" s="259" t="n">
        <v>3076000000</v>
      </c>
      <c r="AD34" s="259" t="n">
        <v>3125000000</v>
      </c>
      <c r="AE34" s="259" t="n">
        <v>2391000000</v>
      </c>
      <c r="AF34" s="259" t="n">
        <v>2761000000</v>
      </c>
      <c r="AG34" s="259" t="n">
        <v>3065000000</v>
      </c>
      <c r="AH34" s="259" t="n">
        <v>3184000000</v>
      </c>
      <c r="AI34" s="259" t="n">
        <v>2676000000</v>
      </c>
      <c r="AJ34" s="259" t="n">
        <v>3003000000</v>
      </c>
    </row>
    <row r="35">
      <c r="A35" t="n">
        <v>26</v>
      </c>
      <c r="B35" t="n">
        <v>1</v>
      </c>
      <c r="G35" t="inlineStr">
        <is>
          <t>moeda</t>
        </is>
      </c>
      <c r="H35" t="inlineStr">
        <is>
          <t>ContractWithCustomerLiabilityCurrent</t>
        </is>
      </c>
      <c r="J35" t="inlineStr">
        <is>
          <t>fonte</t>
        </is>
      </c>
      <c r="K35" s="259" t="n">
        <v>7205000000</v>
      </c>
      <c r="L35" s="259" t="n">
        <v>7481000000</v>
      </c>
      <c r="M35" s="259" t="n">
        <v>7354000000</v>
      </c>
      <c r="N35" s="259" t="n">
        <v>7545000000</v>
      </c>
      <c r="O35" s="259" t="n">
        <v>7255000000</v>
      </c>
      <c r="P35" s="259" t="n">
        <v>7379000000</v>
      </c>
      <c r="Q35" s="259" t="n">
        <v>7515000000</v>
      </c>
      <c r="R35" s="259" t="n">
        <v>8107000000</v>
      </c>
      <c r="S35" s="259" t="n">
        <v>7902000000</v>
      </c>
      <c r="T35" s="259" t="n">
        <v>8077000000</v>
      </c>
      <c r="U35" s="259" t="n">
        <v>8059000000</v>
      </c>
      <c r="V35" s="259" t="n">
        <v>8488000000</v>
      </c>
      <c r="W35" s="259" t="n">
        <v>8336000000</v>
      </c>
      <c r="X35" s="259" t="n">
        <v>8184000000</v>
      </c>
      <c r="Y35" s="259" t="n">
        <v>7936000000</v>
      </c>
      <c r="Z35" s="259" t="n">
        <v>9190000000</v>
      </c>
      <c r="AA35" s="259" t="n">
        <v>8745000000</v>
      </c>
      <c r="AB35" s="259" t="n">
        <v>9181000000</v>
      </c>
      <c r="AC35" s="259" t="n">
        <v>9051000000</v>
      </c>
      <c r="AD35" s="259" t="n">
        <v>9795000000</v>
      </c>
      <c r="AE35" s="259" t="n">
        <v>9375000000</v>
      </c>
      <c r="AF35" s="259" t="n">
        <v>9861000000</v>
      </c>
      <c r="AG35" s="259" t="n">
        <v>10259000000</v>
      </c>
      <c r="AH35" s="259" t="n">
        <v>11440000000</v>
      </c>
      <c r="AI35" s="259" t="n">
        <v>10735000000</v>
      </c>
      <c r="AJ35" s="259" t="n">
        <v>12151000000</v>
      </c>
    </row>
    <row r="36">
      <c r="A36" t="n">
        <v>26</v>
      </c>
      <c r="B36" t="n">
        <v>1</v>
      </c>
      <c r="G36" t="inlineStr">
        <is>
          <t>moeda</t>
        </is>
      </c>
      <c r="H36" t="inlineStr">
        <is>
          <t>OtherLiabilitiesCurrent</t>
        </is>
      </c>
      <c r="J36" t="inlineStr">
        <is>
          <t>fonte</t>
        </is>
      </c>
      <c r="K36" s="259" t="n">
        <v>2009000000</v>
      </c>
      <c r="L36" s="259" t="n">
        <v>2966000000</v>
      </c>
      <c r="M36" s="259" t="n">
        <v>2538000000</v>
      </c>
      <c r="N36" s="259" t="n">
        <v>1845000000</v>
      </c>
      <c r="O36" s="259" t="n">
        <v>2273000000</v>
      </c>
      <c r="P36" s="259" t="n">
        <v>2720000000</v>
      </c>
      <c r="Q36" s="259" t="n">
        <v>2863000000</v>
      </c>
      <c r="R36" s="259" t="n">
        <v>1996000000</v>
      </c>
      <c r="S36" s="259" t="n">
        <v>2375000000</v>
      </c>
      <c r="T36" s="259" t="n">
        <v>3158000000</v>
      </c>
      <c r="U36" s="259" t="n">
        <v>2515000000</v>
      </c>
      <c r="V36" s="259" t="n">
        <v>2207000000</v>
      </c>
      <c r="W36" s="259" t="n">
        <v>2626000000</v>
      </c>
      <c r="X36" s="259" t="n">
        <v>2875000000</v>
      </c>
      <c r="Y36" s="259" t="n">
        <v>2133000000</v>
      </c>
      <c r="Z36" s="259" t="n">
        <v>2134000000</v>
      </c>
      <c r="AA36" s="259" t="n">
        <v>2584000000</v>
      </c>
      <c r="AB36" s="259" t="n">
        <v>3017000000</v>
      </c>
      <c r="AC36" s="259" t="n">
        <v>2320000000</v>
      </c>
      <c r="AD36" s="259" t="n">
        <v>3635000000</v>
      </c>
      <c r="AE36" s="259" t="n">
        <v>3957000000</v>
      </c>
      <c r="AF36" s="259" t="n">
        <v>4961000000</v>
      </c>
      <c r="AG36" s="259" t="n">
        <v>4147000000</v>
      </c>
      <c r="AH36" s="259" t="n">
        <v>3913000000</v>
      </c>
      <c r="AI36" s="259" t="n">
        <v>3804000000</v>
      </c>
      <c r="AJ36" s="259" t="n">
        <v>3740000000</v>
      </c>
    </row>
    <row r="37">
      <c r="A37" t="n">
        <v>27</v>
      </c>
      <c r="B37" t="n">
        <v>1</v>
      </c>
      <c r="G37" t="inlineStr">
        <is>
          <t>moeda</t>
        </is>
      </c>
      <c r="H37" t="inlineStr">
        <is>
          <t>DebtCurrent</t>
        </is>
      </c>
      <c r="J37" t="inlineStr">
        <is>
          <t>fonte</t>
        </is>
      </c>
      <c r="K37" s="259" t="n">
        <v>1250000000</v>
      </c>
      <c r="L37" s="259" t="n">
        <v>500000000</v>
      </c>
      <c r="M37" s="259" t="n">
        <v>1000000000</v>
      </c>
      <c r="N37" s="259" t="n">
        <v>500000000</v>
      </c>
      <c r="O37" s="259" t="n">
        <v>506000000</v>
      </c>
      <c r="P37" s="259" t="n">
        <v>506000000</v>
      </c>
      <c r="Q37" s="259" t="n">
        <v>6000000</v>
      </c>
      <c r="R37" s="259" t="n">
        <v>6000000</v>
      </c>
      <c r="S37" s="259" t="n">
        <v>500000000</v>
      </c>
      <c r="T37" s="259" t="n">
        <v>0</v>
      </c>
      <c r="U37" s="259" t="n">
        <v>0</v>
      </c>
      <c r="V37" s="259" t="n">
        <v>0</v>
      </c>
      <c r="W37" s="259" t="n">
        <v>0</v>
      </c>
      <c r="X37" s="259" t="n">
        <v>0</v>
      </c>
      <c r="Y37" s="259" t="n">
        <v>0</v>
      </c>
      <c r="Z37" s="259" t="n">
        <v>0</v>
      </c>
      <c r="AA37" s="259" t="n">
        <v>0</v>
      </c>
      <c r="AB37" s="259" t="n">
        <v>0</v>
      </c>
      <c r="AC37" s="259" t="n">
        <v>0</v>
      </c>
      <c r="AD37" s="259" t="n">
        <v>0</v>
      </c>
      <c r="AE37" s="259" t="n">
        <v>0</v>
      </c>
      <c r="AF37" s="259" t="n">
        <v>0</v>
      </c>
      <c r="AG37" s="259" t="n">
        <v>0</v>
      </c>
      <c r="AH37" s="259" t="n">
        <v>0</v>
      </c>
      <c r="AI37" s="259" t="n">
        <v>0</v>
      </c>
      <c r="AJ37" s="259" t="n">
        <v>0</v>
      </c>
    </row>
    <row r="38">
      <c r="A38" t="n">
        <v>27</v>
      </c>
      <c r="B38" t="n">
        <v>1</v>
      </c>
      <c r="G38" t="inlineStr">
        <is>
          <t>moeda</t>
        </is>
      </c>
      <c r="H38" t="inlineStr">
        <is>
          <t>LongTermDebtCurrent</t>
        </is>
      </c>
      <c r="J38" t="inlineStr">
        <is>
          <t>fonte</t>
        </is>
      </c>
      <c r="K38" s="259" t="n">
        <v>0</v>
      </c>
      <c r="L38" s="259" t="n">
        <v>0</v>
      </c>
      <c r="M38" s="259" t="n">
        <v>0</v>
      </c>
      <c r="N38" s="259" t="n">
        <v>0</v>
      </c>
      <c r="O38" s="259" t="n">
        <v>0</v>
      </c>
      <c r="P38" s="259" t="n">
        <v>0</v>
      </c>
      <c r="Q38" s="259" t="n">
        <v>0</v>
      </c>
      <c r="R38" s="259" t="n">
        <v>0</v>
      </c>
      <c r="S38" s="259" t="n">
        <v>0</v>
      </c>
      <c r="T38" s="259" t="n">
        <v>0</v>
      </c>
      <c r="U38" s="259" t="n">
        <v>0</v>
      </c>
      <c r="V38" s="259" t="n">
        <v>0</v>
      </c>
      <c r="W38" s="259" t="n">
        <v>115000000</v>
      </c>
      <c r="X38" s="259" t="n">
        <v>283000000</v>
      </c>
      <c r="Y38" s="259" t="n">
        <v>168000000</v>
      </c>
      <c r="Z38" s="259" t="n">
        <v>168000000</v>
      </c>
      <c r="AA38" s="259" t="n">
        <v>168000000</v>
      </c>
      <c r="AB38" s="259" t="n">
        <v>142000000</v>
      </c>
      <c r="AC38" s="259" t="n">
        <v>142000000</v>
      </c>
      <c r="AD38" s="259" t="n">
        <v>643000000</v>
      </c>
      <c r="AE38" s="259" t="n">
        <v>1643000000</v>
      </c>
      <c r="AF38" s="259" t="n">
        <v>3118000000</v>
      </c>
      <c r="AG38" s="259" t="n">
        <v>1669000000</v>
      </c>
      <c r="AH38" s="259" t="n">
        <v>1168000000</v>
      </c>
      <c r="AI38" s="259" t="n">
        <v>168000000</v>
      </c>
      <c r="AJ38" s="259" t="n">
        <v>0</v>
      </c>
    </row>
    <row r="39">
      <c r="A39" t="n">
        <v>30</v>
      </c>
      <c r="B39" t="n">
        <v>1</v>
      </c>
      <c r="G39" t="inlineStr">
        <is>
          <t>moeda</t>
        </is>
      </c>
      <c r="H39" t="inlineStr">
        <is>
          <t>LongTermDebtNoncurrent</t>
        </is>
      </c>
      <c r="J39" t="inlineStr">
        <is>
          <t>fonte</t>
        </is>
      </c>
      <c r="K39" s="259" t="n">
        <v>11439000000</v>
      </c>
      <c r="L39" s="259" t="n">
        <v>12174000000</v>
      </c>
      <c r="M39" s="259" t="n">
        <v>11675000000</v>
      </c>
      <c r="N39" s="259" t="n">
        <v>11669000000</v>
      </c>
      <c r="O39" s="259" t="n">
        <v>11657000000</v>
      </c>
      <c r="P39" s="259" t="n">
        <v>11665000000</v>
      </c>
      <c r="Q39" s="259" t="n">
        <v>11668000000</v>
      </c>
      <c r="R39" s="259" t="n">
        <v>11670000000</v>
      </c>
      <c r="S39" s="259" t="n">
        <v>11145000000</v>
      </c>
      <c r="T39" s="259" t="n">
        <v>11644000000</v>
      </c>
      <c r="U39" s="259" t="n">
        <v>11480000000</v>
      </c>
      <c r="V39" s="259" t="n">
        <v>15429000000</v>
      </c>
      <c r="W39" s="259" t="n">
        <v>15485000000</v>
      </c>
      <c r="X39" s="259" t="n">
        <v>17262000000</v>
      </c>
      <c r="Y39" s="259" t="n">
        <v>17221000000</v>
      </c>
      <c r="Z39" s="259" t="n">
        <v>17291000000</v>
      </c>
      <c r="AA39" s="259" t="n">
        <v>19250000000</v>
      </c>
      <c r="AB39" s="259" t="n">
        <v>19115000000</v>
      </c>
      <c r="AC39" s="259" t="n">
        <v>19179000000</v>
      </c>
      <c r="AD39" s="259" t="n">
        <v>19627000000</v>
      </c>
      <c r="AE39" s="259" t="n">
        <v>18661000000</v>
      </c>
      <c r="AF39" s="259" t="n">
        <v>18520000000</v>
      </c>
      <c r="AG39" s="259" t="n">
        <v>20520000000</v>
      </c>
      <c r="AH39" s="259" t="n">
        <v>20532000000</v>
      </c>
      <c r="AI39" s="259" t="n">
        <v>20529000000</v>
      </c>
      <c r="AJ39" s="259" t="n">
        <v>20538000000</v>
      </c>
    </row>
    <row r="40">
      <c r="A40" t="n">
        <v>34</v>
      </c>
      <c r="B40" t="n">
        <v>1</v>
      </c>
      <c r="G40" t="inlineStr">
        <is>
          <t>moeda</t>
        </is>
      </c>
      <c r="H40" t="inlineStr">
        <is>
          <t>DefinedBenefitPensionPlanLiabilitiesNoncurrent</t>
        </is>
      </c>
      <c r="J40" t="inlineStr">
        <is>
          <t>fonte</t>
        </is>
      </c>
      <c r="K40" s="259" t="n">
        <v>13078000000</v>
      </c>
      <c r="L40" s="259" t="n">
        <v>12921000000</v>
      </c>
      <c r="M40" s="259" t="n">
        <v>12765000000</v>
      </c>
      <c r="N40" s="259" t="n">
        <v>12874000000</v>
      </c>
      <c r="O40" s="259" t="n">
        <v>12643000000</v>
      </c>
      <c r="P40" s="259" t="n">
        <v>12412000000</v>
      </c>
      <c r="Q40" s="259" t="n">
        <v>9351000000</v>
      </c>
      <c r="R40" s="259" t="n">
        <v>8319000000</v>
      </c>
      <c r="S40" s="259" t="n">
        <v>8143000000</v>
      </c>
      <c r="T40" s="259" t="n">
        <v>5808000000</v>
      </c>
      <c r="U40" s="259" t="n">
        <v>5745000000</v>
      </c>
      <c r="V40" s="259" t="n">
        <v>5472000000</v>
      </c>
      <c r="W40" s="259" t="n">
        <v>5422000000</v>
      </c>
      <c r="X40" s="259" t="n">
        <v>5373000000</v>
      </c>
      <c r="Y40" s="259" t="n">
        <v>5323000000</v>
      </c>
      <c r="Z40" s="259" t="n">
        <v>6162000000</v>
      </c>
      <c r="AA40" s="259" t="n">
        <v>6133000000</v>
      </c>
      <c r="AB40" s="259" t="n">
        <v>6105000000</v>
      </c>
      <c r="AC40" s="259" t="n">
        <v>6077000000</v>
      </c>
      <c r="AD40" s="259" t="n">
        <v>4791000000</v>
      </c>
      <c r="AE40" s="259" t="n">
        <v>4815000000</v>
      </c>
      <c r="AF40" s="259" t="n">
        <v>4838000000</v>
      </c>
      <c r="AG40" s="259" t="n">
        <v>4861000000</v>
      </c>
      <c r="AH40" s="259" t="n">
        <v>3915000000</v>
      </c>
      <c r="AI40" s="259" t="n">
        <v>3923000000</v>
      </c>
      <c r="AJ40" s="259" t="n">
        <v>3931000000</v>
      </c>
    </row>
    <row r="41">
      <c r="A41" t="n">
        <v>34</v>
      </c>
      <c r="B41" t="n">
        <v>1</v>
      </c>
      <c r="G41" t="inlineStr">
        <is>
          <t>moeda</t>
        </is>
      </c>
      <c r="H41" t="inlineStr">
        <is>
          <t>OtherLiabilitiesNoncurrent</t>
        </is>
      </c>
      <c r="J41" t="inlineStr">
        <is>
          <t>fonte</t>
        </is>
      </c>
      <c r="K41" s="259" t="n">
        <v>5592000000</v>
      </c>
      <c r="L41" s="259" t="n">
        <v>5834000000</v>
      </c>
      <c r="M41" s="259" t="n">
        <v>6146000000</v>
      </c>
      <c r="N41" s="259" t="n">
        <v>6196000000</v>
      </c>
      <c r="O41" s="259" t="n">
        <v>6087000000</v>
      </c>
      <c r="P41" s="259" t="n">
        <v>6250000000</v>
      </c>
      <c r="Q41" s="259" t="n">
        <v>6167000000</v>
      </c>
      <c r="R41" s="259" t="n">
        <v>5928000000</v>
      </c>
      <c r="S41" s="259" t="n">
        <v>6173000000</v>
      </c>
      <c r="T41" s="259" t="n">
        <v>6395000000</v>
      </c>
      <c r="U41" s="259" t="n">
        <v>6492000000</v>
      </c>
      <c r="V41" s="259" t="n">
        <v>6826000000</v>
      </c>
      <c r="W41" s="259" t="n">
        <v>7087000000</v>
      </c>
      <c r="X41" s="259" t="n">
        <v>7399000000</v>
      </c>
      <c r="Y41" s="259" t="n">
        <v>7655000000</v>
      </c>
      <c r="Z41" s="259" t="n">
        <v>5231000000</v>
      </c>
      <c r="AA41" s="259" t="n">
        <v>5231000000</v>
      </c>
      <c r="AB41" s="259" t="n">
        <v>5188000000</v>
      </c>
      <c r="AC41" s="259" t="n">
        <v>5254000000</v>
      </c>
      <c r="AD41" s="259" t="n">
        <v>5446000000</v>
      </c>
      <c r="AE41" s="259" t="n">
        <v>5323000000</v>
      </c>
      <c r="AF41" s="259" t="n">
        <v>5824000000</v>
      </c>
      <c r="AG41" s="259" t="n">
        <v>5740000000</v>
      </c>
      <c r="AH41" s="259" t="n">
        <v>5337000000</v>
      </c>
      <c r="AI41" s="259" t="n">
        <v>5207000000</v>
      </c>
      <c r="AJ41" s="259" t="n">
        <v>5404000000</v>
      </c>
    </row>
    <row r="42">
      <c r="A42" t="n">
        <v>35</v>
      </c>
      <c r="B42" t="n">
        <v>1</v>
      </c>
      <c r="G42" t="inlineStr">
        <is>
          <t>moeda</t>
        </is>
      </c>
      <c r="H42" t="inlineStr">
        <is>
          <t>MinorityInterest</t>
        </is>
      </c>
      <c r="J42" t="inlineStr">
        <is>
          <t>fonte</t>
        </is>
      </c>
      <c r="K42" s="259" t="n">
        <v>41000000</v>
      </c>
      <c r="L42" s="259" t="n">
        <v>35000000</v>
      </c>
      <c r="M42" s="259" t="n">
        <v>33000000</v>
      </c>
      <c r="N42" s="259" t="n">
        <v>23000000</v>
      </c>
      <c r="O42" s="259" t="n">
        <v>21000000</v>
      </c>
      <c r="P42" s="259" t="n">
        <v>8000000</v>
      </c>
      <c r="Q42" s="259" t="n">
        <v>0</v>
      </c>
      <c r="R42" s="259" t="n">
        <v>0</v>
      </c>
      <c r="S42" s="259" t="n">
        <v>0</v>
      </c>
      <c r="T42" s="259" t="n">
        <v>0</v>
      </c>
      <c r="U42" s="259" t="n">
        <v>0</v>
      </c>
      <c r="V42" s="259" t="n">
        <v>0</v>
      </c>
      <c r="W42" s="259" t="n">
        <v>0</v>
      </c>
      <c r="X42" s="259" t="n">
        <v>0</v>
      </c>
      <c r="Y42" s="259" t="n">
        <v>0</v>
      </c>
      <c r="Z42" s="259" t="n">
        <v>0</v>
      </c>
      <c r="AA42" s="259" t="n">
        <v>0</v>
      </c>
      <c r="AB42" s="259" t="n">
        <v>0</v>
      </c>
      <c r="AC42" s="259" t="n">
        <v>0</v>
      </c>
      <c r="AD42" s="259" t="n">
        <v>0</v>
      </c>
      <c r="AE42" s="259" t="n">
        <v>0</v>
      </c>
      <c r="AF42" s="259" t="n">
        <v>0</v>
      </c>
      <c r="AG42" s="259" t="n">
        <v>0</v>
      </c>
      <c r="AH42" s="259" t="n">
        <v>0</v>
      </c>
      <c r="AI42" s="259" t="n">
        <v>0</v>
      </c>
      <c r="AJ42" s="259" t="n">
        <v>0</v>
      </c>
    </row>
    <row r="43">
      <c r="A43" t="n">
        <v>37</v>
      </c>
      <c r="B43" t="n">
        <v>1</v>
      </c>
      <c r="G43" t="inlineStr">
        <is>
          <t>moeda</t>
        </is>
      </c>
      <c r="H43" t="inlineStr">
        <is>
          <t>CommonStockValue</t>
        </is>
      </c>
      <c r="J43" t="inlineStr">
        <is>
          <t>fonte</t>
        </is>
      </c>
      <c r="K43" s="259" t="n">
        <v>279000000</v>
      </c>
      <c r="L43" s="259" t="n">
        <v>278000000</v>
      </c>
      <c r="M43" s="259" t="n">
        <v>278000000</v>
      </c>
      <c r="N43" s="259" t="n">
        <v>279000000</v>
      </c>
      <c r="O43" s="259" t="n">
        <v>278000000</v>
      </c>
      <c r="P43" s="259" t="n">
        <v>276000000</v>
      </c>
      <c r="Q43" s="259" t="n">
        <v>274000000</v>
      </c>
      <c r="R43" s="259" t="n">
        <v>271000000</v>
      </c>
      <c r="S43" s="259" t="n">
        <v>265000000</v>
      </c>
      <c r="T43" s="259" t="n">
        <v>264000000</v>
      </c>
      <c r="U43" s="259" t="n">
        <v>261000000</v>
      </c>
      <c r="V43" s="259" t="n">
        <v>254000000</v>
      </c>
      <c r="W43" s="259" t="n">
        <v>254000000</v>
      </c>
      <c r="X43" s="259" t="n">
        <v>251000000</v>
      </c>
      <c r="Y43" s="259" t="n">
        <v>247000000</v>
      </c>
      <c r="Z43" s="259" t="n">
        <v>240000000</v>
      </c>
      <c r="AA43" s="259" t="n">
        <v>239000000</v>
      </c>
      <c r="AB43" s="259" t="n">
        <v>237000000</v>
      </c>
      <c r="AC43" s="259" t="n">
        <v>236000000</v>
      </c>
      <c r="AD43" s="259" t="n">
        <v>234000000</v>
      </c>
      <c r="AE43" s="259" t="n">
        <v>233000000</v>
      </c>
      <c r="AF43" s="259" t="n">
        <v>232000000</v>
      </c>
      <c r="AG43" s="259" t="n">
        <v>230000000</v>
      </c>
      <c r="AH43" s="259" t="n">
        <v>229000000</v>
      </c>
      <c r="AI43" s="259" t="n">
        <v>230000000</v>
      </c>
      <c r="AJ43" s="259" t="n">
        <v>230000000</v>
      </c>
    </row>
    <row r="44">
      <c r="A44" t="n">
        <v>37</v>
      </c>
      <c r="B44" t="n">
        <v>1</v>
      </c>
      <c r="G44" t="inlineStr">
        <is>
          <t>moeda</t>
        </is>
      </c>
      <c r="H44" t="inlineStr">
        <is>
          <t>AdditionalPaidInCapitalCommonStock</t>
        </is>
      </c>
      <c r="J44" t="inlineStr">
        <is>
          <t>fonte</t>
        </is>
      </c>
      <c r="K44" s="259" t="n">
        <v>0</v>
      </c>
      <c r="L44" s="259" t="n">
        <v>0</v>
      </c>
      <c r="M44" s="259" t="n">
        <v>90000000</v>
      </c>
      <c r="N44" s="259" t="n">
        <v>221000000</v>
      </c>
      <c r="O44" s="259" t="n">
        <v>65000000</v>
      </c>
      <c r="P44" s="259" t="n">
        <v>122000000</v>
      </c>
      <c r="Q44" s="259" t="n">
        <v>98000000</v>
      </c>
      <c r="R44" s="259" t="n">
        <v>94000000</v>
      </c>
      <c r="S44" s="259" t="n">
        <v>0</v>
      </c>
      <c r="T44" s="259" t="n">
        <v>0</v>
      </c>
      <c r="U44" s="259" t="n">
        <v>0</v>
      </c>
      <c r="V44" s="259" t="n">
        <v>92000000</v>
      </c>
      <c r="W44" s="259" t="n">
        <v>0</v>
      </c>
      <c r="X44" s="259" t="n">
        <v>0</v>
      </c>
      <c r="Y44" s="259" t="n">
        <v>107000000</v>
      </c>
      <c r="Z44" s="259" t="n">
        <v>0</v>
      </c>
      <c r="AA44" s="259" t="n">
        <v>0</v>
      </c>
      <c r="AB44" s="259" t="n">
        <v>0</v>
      </c>
      <c r="AC44" s="259" t="n">
        <v>0</v>
      </c>
      <c r="AD44" s="259" t="n">
        <v>0</v>
      </c>
      <c r="AE44" s="259" t="n">
        <v>0</v>
      </c>
      <c r="AF44" s="259" t="n">
        <v>0</v>
      </c>
      <c r="AG44" s="259" t="n">
        <v>0</v>
      </c>
      <c r="AH44" s="259" t="n">
        <v>0</v>
      </c>
      <c r="AI44" s="259" t="n">
        <v>32000000</v>
      </c>
      <c r="AJ44" s="259" t="n">
        <v>247000000</v>
      </c>
    </row>
    <row r="45">
      <c r="A45" t="n">
        <v>39</v>
      </c>
      <c r="B45" t="n">
        <v>1</v>
      </c>
      <c r="G45" t="inlineStr">
        <is>
          <t>moeda</t>
        </is>
      </c>
      <c r="H45" t="inlineStr">
        <is>
          <t>AccumulatedOtherComprehensiveIncomeLossNetOfTax</t>
        </is>
      </c>
      <c r="J45" t="inlineStr">
        <is>
          <t>fonte</t>
        </is>
      </c>
      <c r="K45" s="259" t="n">
        <v>-15541000000</v>
      </c>
      <c r="L45" s="259" t="n">
        <v>-15403000000</v>
      </c>
      <c r="M45" s="259" t="n">
        <v>-15259000000</v>
      </c>
      <c r="N45" s="259" t="n">
        <v>-16121000000</v>
      </c>
      <c r="O45" s="259" t="n">
        <v>-16008000000</v>
      </c>
      <c r="P45" s="259" t="n">
        <v>-15837000000</v>
      </c>
      <c r="Q45" s="259" t="n">
        <v>-12217000000</v>
      </c>
      <c r="R45" s="259" t="n">
        <v>-11006000000</v>
      </c>
      <c r="S45" s="259" t="n">
        <v>-10979000000</v>
      </c>
      <c r="T45" s="259" t="n">
        <v>-8168000000</v>
      </c>
      <c r="U45" s="259" t="n">
        <v>-8134000000</v>
      </c>
      <c r="V45" s="259" t="n">
        <v>-8023000000</v>
      </c>
      <c r="W45" s="259" t="n">
        <v>-8086000000</v>
      </c>
      <c r="X45" s="259" t="n">
        <v>-8079000000</v>
      </c>
      <c r="Y45" s="259" t="n">
        <v>-8146000000</v>
      </c>
      <c r="Z45" s="259" t="n">
        <v>-8803000000</v>
      </c>
      <c r="AA45" s="259" t="n">
        <v>-8811000000</v>
      </c>
      <c r="AB45" s="259" t="n">
        <v>-8769000000</v>
      </c>
      <c r="AC45" s="259" t="n">
        <v>-8693000000</v>
      </c>
      <c r="AD45" s="259" t="n">
        <v>-8452000000</v>
      </c>
      <c r="AE45" s="259" t="n">
        <v>-8323000000</v>
      </c>
      <c r="AF45" s="259" t="n">
        <v>-8157000000</v>
      </c>
      <c r="AG45" s="259" t="n">
        <v>-8102000000</v>
      </c>
      <c r="AH45" s="259" t="n">
        <v>-7542000000</v>
      </c>
      <c r="AI45" s="259" t="n">
        <v>-7496000000</v>
      </c>
      <c r="AJ45" s="259" t="n">
        <v>-7468000000</v>
      </c>
    </row>
    <row r="46">
      <c r="A46" t="n">
        <v>41</v>
      </c>
      <c r="B46" t="n">
        <v>1</v>
      </c>
      <c r="G46" t="inlineStr">
        <is>
          <t>moeda</t>
        </is>
      </c>
      <c r="H46" t="inlineStr">
        <is>
          <t>RetainedEarningsAccumulatedDeficit</t>
        </is>
      </c>
      <c r="J46" t="inlineStr">
        <is>
          <t>fonte</t>
        </is>
      </c>
      <c r="K46" s="259" t="n">
        <v>18708000000</v>
      </c>
      <c r="L46" s="259" t="n">
        <v>18876000000</v>
      </c>
      <c r="M46" s="259" t="n">
        <v>19844000000</v>
      </c>
      <c r="N46" s="259" t="n">
        <v>21636000000</v>
      </c>
      <c r="O46" s="259" t="n">
        <v>21977000000</v>
      </c>
      <c r="P46" s="259" t="n">
        <v>21961000000</v>
      </c>
      <c r="Q46" s="259" t="n">
        <v>21476000000</v>
      </c>
      <c r="R46" s="259" t="n">
        <v>21600000000</v>
      </c>
      <c r="S46" s="259" t="n">
        <v>20716000000</v>
      </c>
      <c r="T46" s="259" t="n">
        <v>19336000000</v>
      </c>
      <c r="U46" s="259" t="n">
        <v>19839000000</v>
      </c>
      <c r="V46" s="259" t="n">
        <v>16943000000</v>
      </c>
      <c r="W46" s="259" t="n">
        <v>17478000000</v>
      </c>
      <c r="X46" s="259" t="n">
        <v>17068000000</v>
      </c>
      <c r="Y46" s="259" t="n">
        <v>17066000000</v>
      </c>
      <c r="Z46" s="259" t="n">
        <v>15398000000</v>
      </c>
      <c r="AA46" s="259" t="n">
        <v>15222000000</v>
      </c>
      <c r="AB46" s="259" t="n">
        <v>14707000000</v>
      </c>
      <c r="AC46" s="259" t="n">
        <v>15657000000</v>
      </c>
      <c r="AD46" s="259" t="n">
        <v>14551000000</v>
      </c>
      <c r="AE46" s="259" t="n">
        <v>14773000000</v>
      </c>
      <c r="AF46" s="259" t="n">
        <v>13259000000</v>
      </c>
      <c r="AG46" s="259" t="n">
        <v>14053000000</v>
      </c>
      <c r="AH46" s="259" t="n">
        <v>14034000000</v>
      </c>
      <c r="AI46" s="259" t="n">
        <v>14723000000</v>
      </c>
      <c r="AJ46" s="259" t="n">
        <v>15759000000</v>
      </c>
    </row>
    <row r="47">
      <c r="A47" t="n">
        <v>9</v>
      </c>
      <c r="B47" t="n">
        <v>1</v>
      </c>
      <c r="G47" t="inlineStr">
        <is>
          <t>moeda</t>
        </is>
      </c>
      <c r="H47" t="inlineStr">
        <is>
          <t>[vazio] Minoritários (DRE): não aparece como linha própria nas demonstrações (zero)</t>
        </is>
      </c>
      <c r="J47" t="inlineStr">
        <is>
          <t>derivada</t>
        </is>
      </c>
      <c r="K47" s="259" t="n">
        <v>0</v>
      </c>
      <c r="L47" s="259" t="n">
        <v>0</v>
      </c>
      <c r="M47" s="259" t="n">
        <v>0</v>
      </c>
      <c r="N47" s="259" t="n">
        <v>0</v>
      </c>
      <c r="O47" s="259" t="n">
        <v>0</v>
      </c>
      <c r="P47" s="259" t="n">
        <v>0</v>
      </c>
      <c r="Q47" s="259" t="n">
        <v>0</v>
      </c>
      <c r="R47" s="259" t="n">
        <v>0</v>
      </c>
      <c r="S47" s="259" t="n">
        <v>0</v>
      </c>
      <c r="T47" s="259" t="n">
        <v>0</v>
      </c>
      <c r="U47" s="259" t="n">
        <v>0</v>
      </c>
      <c r="V47" s="259" t="n">
        <v>0</v>
      </c>
      <c r="W47" s="259" t="n">
        <v>0</v>
      </c>
      <c r="X47" s="259" t="n">
        <v>0</v>
      </c>
      <c r="Y47" s="259" t="n">
        <v>0</v>
      </c>
      <c r="Z47" s="259" t="n">
        <v>0</v>
      </c>
      <c r="AA47" s="259" t="n">
        <v>0</v>
      </c>
      <c r="AB47" s="259" t="n">
        <v>0</v>
      </c>
      <c r="AC47" s="259" t="n">
        <v>0</v>
      </c>
      <c r="AD47" s="259" t="n">
        <v>0</v>
      </c>
      <c r="AE47" s="259" t="n">
        <v>0</v>
      </c>
      <c r="AF47" s="259" t="n">
        <v>0</v>
      </c>
      <c r="AG47" s="259" t="n">
        <v>0</v>
      </c>
      <c r="AH47" s="259" t="n">
        <v>0</v>
      </c>
      <c r="AI47" s="259" t="n">
        <v>0</v>
      </c>
      <c r="AJ47" s="259" t="n">
        <v>0</v>
      </c>
    </row>
    <row r="48">
      <c r="A48" t="n">
        <v>15</v>
      </c>
      <c r="B48" t="n">
        <v>1</v>
      </c>
      <c r="G48" t="inlineStr">
        <is>
          <t>moeda</t>
        </is>
      </c>
      <c r="H48" t="inlineStr">
        <is>
          <t>[vazio] Despesas antecipadas: não aparece como linha própria nas demonstrações (zero)</t>
        </is>
      </c>
      <c r="J48" t="inlineStr">
        <is>
          <t>derivada</t>
        </is>
      </c>
      <c r="K48" s="259" t="n">
        <v>0</v>
      </c>
      <c r="L48" s="259" t="n">
        <v>0</v>
      </c>
      <c r="M48" s="259" t="n">
        <v>0</v>
      </c>
      <c r="N48" s="259" t="n">
        <v>0</v>
      </c>
      <c r="O48" s="259" t="n">
        <v>0</v>
      </c>
      <c r="P48" s="259" t="n">
        <v>0</v>
      </c>
      <c r="Q48" s="259" t="n">
        <v>0</v>
      </c>
      <c r="R48" s="259" t="n">
        <v>0</v>
      </c>
      <c r="S48" s="259" t="n">
        <v>0</v>
      </c>
      <c r="T48" s="259" t="n">
        <v>0</v>
      </c>
      <c r="U48" s="259" t="n">
        <v>0</v>
      </c>
      <c r="V48" s="259" t="n">
        <v>0</v>
      </c>
      <c r="W48" s="259" t="n">
        <v>0</v>
      </c>
      <c r="X48" s="259" t="n">
        <v>0</v>
      </c>
      <c r="Y48" s="259" t="n">
        <v>0</v>
      </c>
      <c r="Z48" s="259" t="n">
        <v>0</v>
      </c>
      <c r="AA48" s="259" t="n">
        <v>0</v>
      </c>
      <c r="AB48" s="259" t="n">
        <v>0</v>
      </c>
      <c r="AC48" s="259" t="n">
        <v>0</v>
      </c>
      <c r="AD48" s="259" t="n">
        <v>0</v>
      </c>
      <c r="AE48" s="259" t="n">
        <v>0</v>
      </c>
      <c r="AF48" s="259" t="n">
        <v>0</v>
      </c>
      <c r="AG48" s="259" t="n">
        <v>0</v>
      </c>
      <c r="AH48" s="259" t="n">
        <v>0</v>
      </c>
      <c r="AI48" s="259" t="n">
        <v>0</v>
      </c>
      <c r="AJ48" s="259" t="n">
        <v>0</v>
      </c>
    </row>
    <row r="49">
      <c r="A49" t="n">
        <v>17</v>
      </c>
      <c r="B49" t="n">
        <v>1</v>
      </c>
      <c r="G49" t="inlineStr">
        <is>
          <t>moeda</t>
        </is>
      </c>
      <c r="H49" t="inlineStr">
        <is>
          <t>[vazio] Investimentos em coligadas: não aparece como linha própria nas demonstrações (zero)</t>
        </is>
      </c>
      <c r="J49" t="inlineStr">
        <is>
          <t>derivada</t>
        </is>
      </c>
      <c r="K49" s="259" t="n">
        <v>0</v>
      </c>
      <c r="L49" s="259" t="n">
        <v>0</v>
      </c>
      <c r="M49" s="259" t="n">
        <v>0</v>
      </c>
      <c r="N49" s="259" t="n">
        <v>0</v>
      </c>
      <c r="O49" s="259" t="n">
        <v>0</v>
      </c>
      <c r="P49" s="259" t="n">
        <v>0</v>
      </c>
      <c r="Q49" s="259" t="n">
        <v>0</v>
      </c>
      <c r="R49" s="259" t="n">
        <v>0</v>
      </c>
      <c r="S49" s="259" t="n">
        <v>0</v>
      </c>
      <c r="T49" s="259" t="n">
        <v>0</v>
      </c>
      <c r="U49" s="259" t="n">
        <v>0</v>
      </c>
      <c r="V49" s="259" t="n">
        <v>0</v>
      </c>
      <c r="W49" s="259" t="n">
        <v>0</v>
      </c>
      <c r="X49" s="259" t="n">
        <v>0</v>
      </c>
      <c r="Y49" s="259" t="n">
        <v>0</v>
      </c>
      <c r="Z49" s="259" t="n">
        <v>0</v>
      </c>
      <c r="AA49" s="259" t="n">
        <v>0</v>
      </c>
      <c r="AB49" s="259" t="n">
        <v>0</v>
      </c>
      <c r="AC49" s="259" t="n">
        <v>0</v>
      </c>
      <c r="AD49" s="259" t="n">
        <v>0</v>
      </c>
      <c r="AE49" s="259" t="n">
        <v>0</v>
      </c>
      <c r="AF49" s="259" t="n">
        <v>0</v>
      </c>
      <c r="AG49" s="259" t="n">
        <v>0</v>
      </c>
      <c r="AH49" s="259" t="n">
        <v>0</v>
      </c>
      <c r="AI49" s="259" t="n">
        <v>0</v>
      </c>
      <c r="AJ49" s="259" t="n">
        <v>0</v>
      </c>
    </row>
    <row r="50">
      <c r="A50" t="n">
        <v>19</v>
      </c>
      <c r="B50" t="n">
        <v>1</v>
      </c>
      <c r="G50" t="inlineStr">
        <is>
          <t>moeda</t>
        </is>
      </c>
      <c r="H50" t="inlineStr">
        <is>
          <t>[vazio] Direito de uso: não aparece como linha própria nas demonstrações (zero)</t>
        </is>
      </c>
      <c r="J50" t="inlineStr">
        <is>
          <t>derivada</t>
        </is>
      </c>
      <c r="K50" s="259" t="n">
        <v>0</v>
      </c>
      <c r="L50" s="259" t="n">
        <v>0</v>
      </c>
      <c r="M50" s="259" t="n">
        <v>0</v>
      </c>
      <c r="N50" s="259" t="n">
        <v>0</v>
      </c>
      <c r="O50" s="259" t="n">
        <v>0</v>
      </c>
      <c r="P50" s="259" t="n">
        <v>0</v>
      </c>
      <c r="Q50" s="259" t="n">
        <v>0</v>
      </c>
      <c r="R50" s="259" t="n">
        <v>0</v>
      </c>
      <c r="S50" s="259" t="n">
        <v>0</v>
      </c>
      <c r="T50" s="259" t="n">
        <v>0</v>
      </c>
      <c r="U50" s="259" t="n">
        <v>0</v>
      </c>
      <c r="V50" s="259" t="n">
        <v>0</v>
      </c>
      <c r="W50" s="259" t="n">
        <v>0</v>
      </c>
      <c r="X50" s="259" t="n">
        <v>0</v>
      </c>
      <c r="Y50" s="259" t="n">
        <v>0</v>
      </c>
      <c r="Z50" s="259" t="n">
        <v>0</v>
      </c>
      <c r="AA50" s="259" t="n">
        <v>0</v>
      </c>
      <c r="AB50" s="259" t="n">
        <v>0</v>
      </c>
      <c r="AC50" s="259" t="n">
        <v>0</v>
      </c>
      <c r="AD50" s="259" t="n">
        <v>0</v>
      </c>
      <c r="AE50" s="259" t="n">
        <v>0</v>
      </c>
      <c r="AF50" s="259" t="n">
        <v>0</v>
      </c>
      <c r="AG50" s="259" t="n">
        <v>0</v>
      </c>
      <c r="AH50" s="259" t="n">
        <v>0</v>
      </c>
      <c r="AI50" s="259" t="n">
        <v>0</v>
      </c>
      <c r="AJ50" s="259" t="n">
        <v>0</v>
      </c>
    </row>
    <row r="51">
      <c r="A51" t="n">
        <v>25</v>
      </c>
      <c r="B51" t="n">
        <v>1</v>
      </c>
      <c r="G51" t="inlineStr">
        <is>
          <t>moeda</t>
        </is>
      </c>
      <c r="H51" t="inlineStr">
        <is>
          <t>[vazio] Impostos a pagar: não aparece como linha própria nas demonstrações (zero)</t>
        </is>
      </c>
      <c r="J51" t="inlineStr">
        <is>
          <t>derivada</t>
        </is>
      </c>
      <c r="K51" s="259" t="n">
        <v>0</v>
      </c>
      <c r="L51" s="259" t="n">
        <v>0</v>
      </c>
      <c r="M51" s="259" t="n">
        <v>0</v>
      </c>
      <c r="N51" s="259" t="n">
        <v>0</v>
      </c>
      <c r="O51" s="259" t="n">
        <v>0</v>
      </c>
      <c r="P51" s="259" t="n">
        <v>0</v>
      </c>
      <c r="Q51" s="259" t="n">
        <v>0</v>
      </c>
      <c r="R51" s="259" t="n">
        <v>0</v>
      </c>
      <c r="S51" s="259" t="n">
        <v>0</v>
      </c>
      <c r="T51" s="259" t="n">
        <v>0</v>
      </c>
      <c r="U51" s="259" t="n">
        <v>0</v>
      </c>
      <c r="V51" s="259" t="n">
        <v>0</v>
      </c>
      <c r="W51" s="259" t="n">
        <v>0</v>
      </c>
      <c r="X51" s="259" t="n">
        <v>0</v>
      </c>
      <c r="Y51" s="259" t="n">
        <v>0</v>
      </c>
      <c r="Z51" s="259" t="n">
        <v>0</v>
      </c>
      <c r="AA51" s="259" t="n">
        <v>0</v>
      </c>
      <c r="AB51" s="259" t="n">
        <v>0</v>
      </c>
      <c r="AC51" s="259" t="n">
        <v>0</v>
      </c>
      <c r="AD51" s="259" t="n">
        <v>0</v>
      </c>
      <c r="AE51" s="259" t="n">
        <v>0</v>
      </c>
      <c r="AF51" s="259" t="n">
        <v>0</v>
      </c>
      <c r="AG51" s="259" t="n">
        <v>0</v>
      </c>
      <c r="AH51" s="259" t="n">
        <v>0</v>
      </c>
      <c r="AI51" s="259" t="n">
        <v>0</v>
      </c>
      <c r="AJ51" s="259" t="n">
        <v>0</v>
      </c>
    </row>
    <row r="52">
      <c r="A52" t="n">
        <v>28</v>
      </c>
      <c r="B52" t="n">
        <v>1</v>
      </c>
      <c r="G52" t="inlineStr">
        <is>
          <t>moeda</t>
        </is>
      </c>
      <c r="H52" t="inlineStr">
        <is>
          <t>[vazio] Revolving: não aparece como linha própria nas demonstrações (zero)</t>
        </is>
      </c>
      <c r="J52" t="inlineStr">
        <is>
          <t>derivada</t>
        </is>
      </c>
      <c r="K52" s="259" t="n">
        <v>0</v>
      </c>
      <c r="L52" s="259" t="n">
        <v>0</v>
      </c>
      <c r="M52" s="259" t="n">
        <v>0</v>
      </c>
      <c r="N52" s="259" t="n">
        <v>0</v>
      </c>
      <c r="O52" s="259" t="n">
        <v>0</v>
      </c>
      <c r="P52" s="259" t="n">
        <v>0</v>
      </c>
      <c r="Q52" s="259" t="n">
        <v>0</v>
      </c>
      <c r="R52" s="259" t="n">
        <v>0</v>
      </c>
      <c r="S52" s="259" t="n">
        <v>0</v>
      </c>
      <c r="T52" s="259" t="n">
        <v>0</v>
      </c>
      <c r="U52" s="259" t="n">
        <v>0</v>
      </c>
      <c r="V52" s="259" t="n">
        <v>0</v>
      </c>
      <c r="W52" s="259" t="n">
        <v>0</v>
      </c>
      <c r="X52" s="259" t="n">
        <v>0</v>
      </c>
      <c r="Y52" s="259" t="n">
        <v>0</v>
      </c>
      <c r="Z52" s="259" t="n">
        <v>0</v>
      </c>
      <c r="AA52" s="259" t="n">
        <v>0</v>
      </c>
      <c r="AB52" s="259" t="n">
        <v>0</v>
      </c>
      <c r="AC52" s="259" t="n">
        <v>0</v>
      </c>
      <c r="AD52" s="259" t="n">
        <v>0</v>
      </c>
      <c r="AE52" s="259" t="n">
        <v>0</v>
      </c>
      <c r="AF52" s="259" t="n">
        <v>0</v>
      </c>
      <c r="AG52" s="259" t="n">
        <v>0</v>
      </c>
      <c r="AH52" s="259" t="n">
        <v>0</v>
      </c>
      <c r="AI52" s="259" t="n">
        <v>0</v>
      </c>
      <c r="AJ52" s="259" t="n">
        <v>0</v>
      </c>
    </row>
    <row r="53">
      <c r="A53" t="n">
        <v>29</v>
      </c>
      <c r="B53" t="n">
        <v>1</v>
      </c>
      <c r="G53" t="inlineStr">
        <is>
          <t>moeda</t>
        </is>
      </c>
      <c r="H53" t="inlineStr">
        <is>
          <t>[vazio] Arrendamento CP: não aparece como linha própria nas demonstrações (zero)</t>
        </is>
      </c>
      <c r="J53" t="inlineStr">
        <is>
          <t>derivada</t>
        </is>
      </c>
      <c r="K53" s="259" t="n">
        <v>0</v>
      </c>
      <c r="L53" s="259" t="n">
        <v>0</v>
      </c>
      <c r="M53" s="259" t="n">
        <v>0</v>
      </c>
      <c r="N53" s="259" t="n">
        <v>0</v>
      </c>
      <c r="O53" s="259" t="n">
        <v>0</v>
      </c>
      <c r="P53" s="259" t="n">
        <v>0</v>
      </c>
      <c r="Q53" s="259" t="n">
        <v>0</v>
      </c>
      <c r="R53" s="259" t="n">
        <v>0</v>
      </c>
      <c r="S53" s="259" t="n">
        <v>0</v>
      </c>
      <c r="T53" s="259" t="n">
        <v>0</v>
      </c>
      <c r="U53" s="259" t="n">
        <v>0</v>
      </c>
      <c r="V53" s="259" t="n">
        <v>0</v>
      </c>
      <c r="W53" s="259" t="n">
        <v>0</v>
      </c>
      <c r="X53" s="259" t="n">
        <v>0</v>
      </c>
      <c r="Y53" s="259" t="n">
        <v>0</v>
      </c>
      <c r="Z53" s="259" t="n">
        <v>0</v>
      </c>
      <c r="AA53" s="259" t="n">
        <v>0</v>
      </c>
      <c r="AB53" s="259" t="n">
        <v>0</v>
      </c>
      <c r="AC53" s="259" t="n">
        <v>0</v>
      </c>
      <c r="AD53" s="259" t="n">
        <v>0</v>
      </c>
      <c r="AE53" s="259" t="n">
        <v>0</v>
      </c>
      <c r="AF53" s="259" t="n">
        <v>0</v>
      </c>
      <c r="AG53" s="259" t="n">
        <v>0</v>
      </c>
      <c r="AH53" s="259" t="n">
        <v>0</v>
      </c>
      <c r="AI53" s="259" t="n">
        <v>0</v>
      </c>
      <c r="AJ53" s="259" t="n">
        <v>0</v>
      </c>
    </row>
    <row r="54">
      <c r="A54" t="n">
        <v>31</v>
      </c>
      <c r="B54" t="n">
        <v>1</v>
      </c>
      <c r="G54" t="inlineStr">
        <is>
          <t>moeda</t>
        </is>
      </c>
      <c r="H54" t="inlineStr">
        <is>
          <t>[vazio] Arrendamento LP: não aparece como linha própria nas demonstrações (zero)</t>
        </is>
      </c>
      <c r="J54" t="inlineStr">
        <is>
          <t>derivada</t>
        </is>
      </c>
      <c r="K54" s="259" t="n">
        <v>0</v>
      </c>
      <c r="L54" s="259" t="n">
        <v>0</v>
      </c>
      <c r="M54" s="259" t="n">
        <v>0</v>
      </c>
      <c r="N54" s="259" t="n">
        <v>0</v>
      </c>
      <c r="O54" s="259" t="n">
        <v>0</v>
      </c>
      <c r="P54" s="259" t="n">
        <v>0</v>
      </c>
      <c r="Q54" s="259" t="n">
        <v>0</v>
      </c>
      <c r="R54" s="259" t="n">
        <v>0</v>
      </c>
      <c r="S54" s="259" t="n">
        <v>0</v>
      </c>
      <c r="T54" s="259" t="n">
        <v>0</v>
      </c>
      <c r="U54" s="259" t="n">
        <v>0</v>
      </c>
      <c r="V54" s="259" t="n">
        <v>0</v>
      </c>
      <c r="W54" s="259" t="n">
        <v>0</v>
      </c>
      <c r="X54" s="259" t="n">
        <v>0</v>
      </c>
      <c r="Y54" s="259" t="n">
        <v>0</v>
      </c>
      <c r="Z54" s="259" t="n">
        <v>0</v>
      </c>
      <c r="AA54" s="259" t="n">
        <v>0</v>
      </c>
      <c r="AB54" s="259" t="n">
        <v>0</v>
      </c>
      <c r="AC54" s="259" t="n">
        <v>0</v>
      </c>
      <c r="AD54" s="259" t="n">
        <v>0</v>
      </c>
      <c r="AE54" s="259" t="n">
        <v>0</v>
      </c>
      <c r="AF54" s="259" t="n">
        <v>0</v>
      </c>
      <c r="AG54" s="259" t="n">
        <v>0</v>
      </c>
      <c r="AH54" s="259" t="n">
        <v>0</v>
      </c>
      <c r="AI54" s="259" t="n">
        <v>0</v>
      </c>
      <c r="AJ54" s="259" t="n">
        <v>0</v>
      </c>
    </row>
    <row r="55">
      <c r="A55" t="n">
        <v>32</v>
      </c>
      <c r="B55" t="n">
        <v>1</v>
      </c>
      <c r="G55" t="inlineStr">
        <is>
          <t>moeda</t>
        </is>
      </c>
      <c r="H55" t="inlineStr">
        <is>
          <t>[vazio] Dívida conversível: não aparece como linha própria nas demonstrações (zero)</t>
        </is>
      </c>
      <c r="J55" t="inlineStr">
        <is>
          <t>derivada</t>
        </is>
      </c>
      <c r="K55" s="259" t="n">
        <v>0</v>
      </c>
      <c r="L55" s="259" t="n">
        <v>0</v>
      </c>
      <c r="M55" s="259" t="n">
        <v>0</v>
      </c>
      <c r="N55" s="259" t="n">
        <v>0</v>
      </c>
      <c r="O55" s="259" t="n">
        <v>0</v>
      </c>
      <c r="P55" s="259" t="n">
        <v>0</v>
      </c>
      <c r="Q55" s="259" t="n">
        <v>0</v>
      </c>
      <c r="R55" s="259" t="n">
        <v>0</v>
      </c>
      <c r="S55" s="259" t="n">
        <v>0</v>
      </c>
      <c r="T55" s="259" t="n">
        <v>0</v>
      </c>
      <c r="U55" s="259" t="n">
        <v>0</v>
      </c>
      <c r="V55" s="259" t="n">
        <v>0</v>
      </c>
      <c r="W55" s="259" t="n">
        <v>0</v>
      </c>
      <c r="X55" s="259" t="n">
        <v>0</v>
      </c>
      <c r="Y55" s="259" t="n">
        <v>0</v>
      </c>
      <c r="Z55" s="259" t="n">
        <v>0</v>
      </c>
      <c r="AA55" s="259" t="n">
        <v>0</v>
      </c>
      <c r="AB55" s="259" t="n">
        <v>0</v>
      </c>
      <c r="AC55" s="259" t="n">
        <v>0</v>
      </c>
      <c r="AD55" s="259" t="n">
        <v>0</v>
      </c>
      <c r="AE55" s="259" t="n">
        <v>0</v>
      </c>
      <c r="AF55" s="259" t="n">
        <v>0</v>
      </c>
      <c r="AG55" s="259" t="n">
        <v>0</v>
      </c>
      <c r="AH55" s="259" t="n">
        <v>0</v>
      </c>
      <c r="AI55" s="259" t="n">
        <v>0</v>
      </c>
      <c r="AJ55" s="259" t="n">
        <v>0</v>
      </c>
    </row>
    <row r="56">
      <c r="A56" t="n">
        <v>33</v>
      </c>
      <c r="B56" t="n">
        <v>1</v>
      </c>
      <c r="G56" t="inlineStr">
        <is>
          <t>moeda</t>
        </is>
      </c>
      <c r="H56" t="inlineStr">
        <is>
          <t>[vazio] IR diferido passivo: não aparece como linha própria nas demonstrações (zero)</t>
        </is>
      </c>
      <c r="J56" t="inlineStr">
        <is>
          <t>derivada</t>
        </is>
      </c>
      <c r="K56" s="259" t="n">
        <v>0</v>
      </c>
      <c r="L56" s="259" t="n">
        <v>0</v>
      </c>
      <c r="M56" s="259" t="n">
        <v>0</v>
      </c>
      <c r="N56" s="259" t="n">
        <v>0</v>
      </c>
      <c r="O56" s="259" t="n">
        <v>0</v>
      </c>
      <c r="P56" s="259" t="n">
        <v>0</v>
      </c>
      <c r="Q56" s="259" t="n">
        <v>0</v>
      </c>
      <c r="R56" s="259" t="n">
        <v>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0</v>
      </c>
      <c r="AI56" s="259" t="n">
        <v>0</v>
      </c>
      <c r="AJ56" s="259" t="n">
        <v>0</v>
      </c>
    </row>
    <row r="57">
      <c r="A57" t="n">
        <v>38</v>
      </c>
      <c r="B57" t="n">
        <v>1</v>
      </c>
      <c r="G57" t="inlineStr">
        <is>
          <t>moeda</t>
        </is>
      </c>
      <c r="H57" t="inlineStr">
        <is>
          <t>[vazio] Tesouraria: não aparece como linha própria nas demonstrações (zero)</t>
        </is>
      </c>
      <c r="J57" t="inlineStr">
        <is>
          <t>derivada</t>
        </is>
      </c>
      <c r="K57" s="259" t="n">
        <v>0</v>
      </c>
      <c r="L57" s="259" t="n">
        <v>0</v>
      </c>
      <c r="M57" s="259" t="n">
        <v>0</v>
      </c>
      <c r="N57" s="259" t="n">
        <v>0</v>
      </c>
      <c r="O57" s="259" t="n">
        <v>0</v>
      </c>
      <c r="P57" s="259" t="n">
        <v>0</v>
      </c>
      <c r="Q57" s="259" t="n">
        <v>0</v>
      </c>
      <c r="R57" s="259" t="n">
        <v>0</v>
      </c>
      <c r="S57" s="259" t="n">
        <v>0</v>
      </c>
      <c r="T57" s="259" t="n">
        <v>0</v>
      </c>
      <c r="U57" s="259" t="n">
        <v>0</v>
      </c>
      <c r="V57" s="259" t="n">
        <v>0</v>
      </c>
      <c r="W57" s="259" t="n">
        <v>0</v>
      </c>
      <c r="X57" s="259" t="n">
        <v>0</v>
      </c>
      <c r="Y57" s="259" t="n">
        <v>0</v>
      </c>
      <c r="Z57" s="259" t="n">
        <v>0</v>
      </c>
      <c r="AA57" s="259" t="n">
        <v>0</v>
      </c>
      <c r="AB57" s="259" t="n">
        <v>0</v>
      </c>
      <c r="AC57" s="259" t="n">
        <v>0</v>
      </c>
      <c r="AD57" s="259" t="n">
        <v>0</v>
      </c>
      <c r="AE57" s="259" t="n">
        <v>0</v>
      </c>
      <c r="AF57" s="259" t="n">
        <v>0</v>
      </c>
      <c r="AG57" s="259" t="n">
        <v>0</v>
      </c>
      <c r="AH57" s="259" t="n">
        <v>0</v>
      </c>
      <c r="AI57" s="259" t="n">
        <v>0</v>
      </c>
      <c r="AJ57" s="259" t="n">
        <v>0</v>
      </c>
    </row>
    <row r="58">
      <c r="A58" t="n">
        <v>40</v>
      </c>
      <c r="B58" t="n">
        <v>1</v>
      </c>
      <c r="G58" t="inlineStr">
        <is>
          <t>moeda</t>
        </is>
      </c>
      <c r="H58" t="inlineStr">
        <is>
          <t>[vazio] Outras contas do PL: não aparece como linha própria nas demonstrações (zero)</t>
        </is>
      </c>
      <c r="J58" t="inlineStr">
        <is>
          <t>derivada</t>
        </is>
      </c>
      <c r="K58" s="259" t="n">
        <v>0</v>
      </c>
      <c r="L58" s="259" t="n">
        <v>0</v>
      </c>
      <c r="M58" s="259" t="n">
        <v>0</v>
      </c>
      <c r="N58" s="259" t="n">
        <v>0</v>
      </c>
      <c r="O58" s="259" t="n">
        <v>0</v>
      </c>
      <c r="P58" s="259" t="n">
        <v>0</v>
      </c>
      <c r="Q58" s="259" t="n">
        <v>0</v>
      </c>
      <c r="R58" s="259" t="n">
        <v>0</v>
      </c>
      <c r="S58" s="259" t="n">
        <v>0</v>
      </c>
      <c r="T58" s="259" t="n">
        <v>0</v>
      </c>
      <c r="U58" s="259" t="n">
        <v>0</v>
      </c>
      <c r="V58" s="259" t="n">
        <v>0</v>
      </c>
      <c r="W58" s="259" t="n">
        <v>0</v>
      </c>
      <c r="X58" s="259" t="n">
        <v>0</v>
      </c>
      <c r="Y58" s="259" t="n">
        <v>0</v>
      </c>
      <c r="Z58" s="259" t="n">
        <v>0</v>
      </c>
      <c r="AA58" s="259" t="n">
        <v>0</v>
      </c>
      <c r="AB58" s="259" t="n">
        <v>0</v>
      </c>
      <c r="AC58" s="259" t="n">
        <v>0</v>
      </c>
      <c r="AD58" s="259" t="n">
        <v>0</v>
      </c>
      <c r="AE58" s="259" t="n">
        <v>0</v>
      </c>
      <c r="AF58" s="259" t="n">
        <v>0</v>
      </c>
      <c r="AG58" s="259" t="n">
        <v>0</v>
      </c>
      <c r="AH58" s="259" t="n">
        <v>0</v>
      </c>
      <c r="AI58" s="259" t="n">
        <v>0</v>
      </c>
      <c r="AJ58" s="259" t="n">
        <v>0</v>
      </c>
    </row>
    <row r="59">
      <c r="H59" s="254" t="inlineStr">
        <is>
          <t>BALANÇO - totais divulgados (memória)</t>
        </is>
      </c>
    </row>
    <row r="60">
      <c r="G60" t="inlineStr">
        <is>
          <t>moeda</t>
        </is>
      </c>
      <c r="H60" t="inlineStr">
        <is>
          <t>Total do ativo [us-gaap:Assets]</t>
        </is>
      </c>
      <c r="J60" t="inlineStr">
        <is>
          <t>memoria</t>
        </is>
      </c>
      <c r="K60" s="259" t="n">
        <v>49248000000</v>
      </c>
      <c r="L60" s="259" t="n">
        <v>49603000000</v>
      </c>
      <c r="M60" s="259" t="n">
        <v>50773000000</v>
      </c>
      <c r="N60" s="259" t="n">
        <v>50710000000</v>
      </c>
      <c r="O60" s="259" t="n">
        <v>51437000000</v>
      </c>
      <c r="P60" s="259" t="n">
        <v>52099000000</v>
      </c>
      <c r="Q60" s="259" t="n">
        <v>51843000000</v>
      </c>
      <c r="R60" s="259" t="n">
        <v>50873000000</v>
      </c>
      <c r="S60" s="259" t="n">
        <v>51510000000</v>
      </c>
      <c r="T60" s="259" t="n">
        <v>51758000000</v>
      </c>
      <c r="U60" s="259" t="n">
        <v>52030000000</v>
      </c>
      <c r="V60" s="259" t="n">
        <v>52880000000</v>
      </c>
      <c r="W60" s="259" t="n">
        <v>54622000000</v>
      </c>
      <c r="X60" s="259" t="n">
        <v>56978000000</v>
      </c>
      <c r="Y60" s="259" t="n">
        <v>56666000000</v>
      </c>
      <c r="Z60" s="259" t="n">
        <v>52456000000</v>
      </c>
      <c r="AA60" s="259" t="n">
        <v>54963000000</v>
      </c>
      <c r="AB60" s="259" t="n">
        <v>55076000000</v>
      </c>
      <c r="AC60" s="259" t="n">
        <v>55520000000</v>
      </c>
      <c r="AD60" s="259" t="n">
        <v>55617000000</v>
      </c>
      <c r="AE60" s="259" t="n">
        <v>56669000000</v>
      </c>
      <c r="AF60" s="259" t="n">
        <v>58870000000</v>
      </c>
      <c r="AG60" s="259" t="n">
        <v>60276000000</v>
      </c>
      <c r="AH60" s="259" t="n">
        <v>59840000000</v>
      </c>
      <c r="AI60" s="259" t="n">
        <v>59238000000</v>
      </c>
      <c r="AJ60" s="259" t="n">
        <v>62450000000</v>
      </c>
    </row>
    <row r="61">
      <c r="G61" t="inlineStr">
        <is>
          <t>moeda</t>
        </is>
      </c>
      <c r="H61" t="inlineStr">
        <is>
          <t>Total do passivo + PL [us-gaap:LiabilitiesAndStockholdersEquity]</t>
        </is>
      </c>
      <c r="J61" t="inlineStr">
        <is>
          <t>memoria</t>
        </is>
      </c>
      <c r="K61" s="259" t="n">
        <v>49248000000</v>
      </c>
      <c r="L61" s="259" t="n">
        <v>49603000000</v>
      </c>
      <c r="M61" s="259" t="n">
        <v>50773000000</v>
      </c>
      <c r="N61" s="259" t="n">
        <v>50710000000</v>
      </c>
      <c r="O61" s="259" t="n">
        <v>51437000000</v>
      </c>
      <c r="P61" s="259" t="n">
        <v>52099000000</v>
      </c>
      <c r="Q61" s="259" t="n">
        <v>51843000000</v>
      </c>
      <c r="R61" s="259" t="n">
        <v>50873000000</v>
      </c>
      <c r="S61" s="259" t="n">
        <v>51510000000</v>
      </c>
      <c r="T61" s="259" t="n">
        <v>51758000000</v>
      </c>
      <c r="U61" s="259" t="n">
        <v>52030000000</v>
      </c>
      <c r="V61" s="259" t="n">
        <v>52880000000</v>
      </c>
      <c r="W61" s="259" t="n">
        <v>54622000000</v>
      </c>
      <c r="X61" s="259" t="n">
        <v>56978000000</v>
      </c>
      <c r="Y61" s="259" t="n">
        <v>56666000000</v>
      </c>
      <c r="Z61" s="259" t="n">
        <v>52456000000</v>
      </c>
      <c r="AA61" s="259" t="n">
        <v>54963000000</v>
      </c>
      <c r="AB61" s="259" t="n">
        <v>55076000000</v>
      </c>
      <c r="AC61" s="259" t="n">
        <v>55520000000</v>
      </c>
      <c r="AD61" s="259" t="n">
        <v>55617000000</v>
      </c>
      <c r="AE61" s="259" t="n">
        <v>56669000000</v>
      </c>
      <c r="AF61" s="259" t="n">
        <v>58870000000</v>
      </c>
      <c r="AG61" s="259" t="n">
        <v>60276000000</v>
      </c>
      <c r="AH61" s="259" t="n">
        <v>59840000000</v>
      </c>
      <c r="AI61" s="259" t="n">
        <v>59238000000</v>
      </c>
      <c r="AJ61" s="259" t="n">
        <v>62450000000</v>
      </c>
    </row>
    <row r="62">
      <c r="H62" s="254" t="inlineStr">
        <is>
          <t>CHECKS (devem ser 0)</t>
        </is>
      </c>
    </row>
    <row r="63">
      <c r="G63" t="inlineStr">
        <is>
          <t>moeda</t>
        </is>
      </c>
      <c r="H63" t="inlineStr">
        <is>
          <t>CHECK: contas de ativo - ativo total (USD, arredondado a 100 mil)</t>
        </is>
      </c>
      <c r="J63" t="inlineStr">
        <is>
          <t>derivada</t>
        </is>
      </c>
      <c r="K63" s="260">
        <f>ROUND(N(K21)+N(K22)+N(K23)+N(K24)+N(K25)+N(K26)+N(K27)+N(K28)+N(K29)+N(K30)+N(K31)+N(K32)-N(K60),-5)</f>
        <v>0</v>
      </c>
      <c r="L63" s="260">
        <f>ROUND(N(L21)+N(L22)+N(L23)+N(L24)+N(L25)+N(L26)+N(L27)+N(L28)+N(L29)+N(L30)+N(L31)+N(L32)-N(L60),-5)</f>
        <v>0</v>
      </c>
      <c r="M63" s="260">
        <f>ROUND(N(M21)+N(M22)+N(M23)+N(M24)+N(M25)+N(M26)+N(M27)+N(M28)+N(M29)+N(M30)+N(M31)+N(M32)-N(M60),-5)</f>
        <v>0</v>
      </c>
      <c r="N63" s="260">
        <f>ROUND(N(N21)+N(N22)+N(N23)+N(N24)+N(N25)+N(N26)+N(N27)+N(N28)+N(N29)+N(N30)+N(N31)+N(N32)-N(N60),-5)</f>
        <v>0</v>
      </c>
      <c r="O63" s="260">
        <f>ROUND(N(O21)+N(O22)+N(O23)+N(O24)+N(O25)+N(O26)+N(O27)+N(O28)+N(O29)+N(O30)+N(O31)+N(O32)-N(O60),-5)</f>
        <v>0</v>
      </c>
      <c r="P63" s="260">
        <f>ROUND(N(P21)+N(P22)+N(P23)+N(P24)+N(P25)+N(P26)+N(P27)+N(P28)+N(P29)+N(P30)+N(P31)+N(P32)-N(P60),-5)</f>
        <v>0</v>
      </c>
      <c r="Q63" s="260">
        <f>ROUND(N(Q21)+N(Q22)+N(Q23)+N(Q24)+N(Q25)+N(Q26)+N(Q27)+N(Q28)+N(Q29)+N(Q30)+N(Q31)+N(Q32)-N(Q60),-5)</f>
        <v>0</v>
      </c>
      <c r="R63" s="260">
        <f>ROUND(N(R21)+N(R22)+N(R23)+N(R24)+N(R25)+N(R26)+N(R27)+N(R28)+N(R29)+N(R30)+N(R31)+N(R32)-N(R60),-5)</f>
        <v>0</v>
      </c>
      <c r="S63" s="260">
        <f>ROUND(N(S21)+N(S22)+N(S23)+N(S24)+N(S25)+N(S26)+N(S27)+N(S28)+N(S29)+N(S30)+N(S31)+N(S32)-N(S60),-5)</f>
        <v>0</v>
      </c>
      <c r="T63" s="260">
        <f>ROUND(N(T21)+N(T22)+N(T23)+N(T24)+N(T25)+N(T26)+N(T27)+N(T28)+N(T29)+N(T30)+N(T31)+N(T32)-N(T60),-5)</f>
        <v>0</v>
      </c>
      <c r="U63" s="260">
        <f>ROUND(N(U21)+N(U22)+N(U23)+N(U24)+N(U25)+N(U26)+N(U27)+N(U28)+N(U29)+N(U30)+N(U31)+N(U32)-N(U60),-5)</f>
        <v>0</v>
      </c>
      <c r="V63" s="260">
        <f>ROUND(N(V21)+N(V22)+N(V23)+N(V24)+N(V25)+N(V26)+N(V27)+N(V28)+N(V29)+N(V30)+N(V31)+N(V32)-N(V60),-5)</f>
        <v>0</v>
      </c>
      <c r="W63" s="260">
        <f>ROUND(N(W21)+N(W22)+N(W23)+N(W24)+N(W25)+N(W26)+N(W27)+N(W28)+N(W29)+N(W30)+N(W31)+N(W32)-N(W60),-5)</f>
        <v>0</v>
      </c>
      <c r="X63" s="260">
        <f>ROUND(N(X21)+N(X22)+N(X23)+N(X24)+N(X25)+N(X26)+N(X27)+N(X28)+N(X29)+N(X30)+N(X31)+N(X32)-N(X60),-5)</f>
        <v>0</v>
      </c>
      <c r="Y63" s="260">
        <f>ROUND(N(Y21)+N(Y22)+N(Y23)+N(Y24)+N(Y25)+N(Y26)+N(Y27)+N(Y28)+N(Y29)+N(Y30)+N(Y31)+N(Y32)-N(Y60),-5)</f>
        <v>0</v>
      </c>
      <c r="Z63" s="260">
        <f>ROUND(N(Z21)+N(Z22)+N(Z23)+N(Z24)+N(Z25)+N(Z26)+N(Z27)+N(Z28)+N(Z29)+N(Z30)+N(Z31)+N(Z32)-N(Z60),-5)</f>
        <v>0</v>
      </c>
      <c r="AA63" s="260">
        <f>ROUND(N(AA21)+N(AA22)+N(AA23)+N(AA24)+N(AA25)+N(AA26)+N(AA27)+N(AA28)+N(AA29)+N(AA30)+N(AA31)+N(AA32)-N(AA60),-5)</f>
        <v>0</v>
      </c>
      <c r="AB63" s="260">
        <f>ROUND(N(AB21)+N(AB22)+N(AB23)+N(AB24)+N(AB25)+N(AB26)+N(AB27)+N(AB28)+N(AB29)+N(AB30)+N(AB31)+N(AB32)-N(AB60),-5)</f>
        <v>0</v>
      </c>
      <c r="AC63" s="260">
        <f>ROUND(N(AC21)+N(AC22)+N(AC23)+N(AC24)+N(AC25)+N(AC26)+N(AC27)+N(AC28)+N(AC29)+N(AC30)+N(AC31)+N(AC32)-N(AC60),-5)</f>
        <v>0</v>
      </c>
      <c r="AD63" s="260">
        <f>ROUND(N(AD21)+N(AD22)+N(AD23)+N(AD24)+N(AD25)+N(AD26)+N(AD27)+N(AD28)+N(AD29)+N(AD30)+N(AD31)+N(AD32)-N(AD60),-5)</f>
        <v>0</v>
      </c>
      <c r="AE63" s="260">
        <f>ROUND(N(AE21)+N(AE22)+N(AE23)+N(AE24)+N(AE25)+N(AE26)+N(AE27)+N(AE28)+N(AE29)+N(AE30)+N(AE31)+N(AE32)-N(AE60),-5)</f>
        <v>0</v>
      </c>
      <c r="AF63" s="260">
        <f>ROUND(N(AF21)+N(AF22)+N(AF23)+N(AF24)+N(AF25)+N(AF26)+N(AF27)+N(AF28)+N(AF29)+N(AF30)+N(AF31)+N(AF32)-N(AF60),-5)</f>
        <v>0</v>
      </c>
      <c r="AG63" s="260">
        <f>ROUND(N(AG21)+N(AG22)+N(AG23)+N(AG24)+N(AG25)+N(AG26)+N(AG27)+N(AG28)+N(AG29)+N(AG30)+N(AG31)+N(AG32)-N(AG60),-5)</f>
        <v>0</v>
      </c>
      <c r="AH63" s="260">
        <f>ROUND(N(AH21)+N(AH22)+N(AH23)+N(AH24)+N(AH25)+N(AH26)+N(AH27)+N(AH28)+N(AH29)+N(AH30)+N(AH31)+N(AH32)-N(AH60),-5)</f>
        <v>0</v>
      </c>
      <c r="AI63" s="260">
        <f>ROUND(N(AI21)+N(AI22)+N(AI23)+N(AI24)+N(AI25)+N(AI26)+N(AI27)+N(AI28)+N(AI29)+N(AI30)+N(AI31)+N(AI32)-N(AI60),-5)</f>
        <v>0</v>
      </c>
      <c r="AJ63" s="260">
        <f>ROUND(N(AJ21)+N(AJ22)+N(AJ23)+N(AJ24)+N(AJ25)+N(AJ26)+N(AJ27)+N(AJ28)+N(AJ29)+N(AJ30)+N(AJ31)+N(AJ32)-N(AJ60),-5)</f>
        <v>0</v>
      </c>
    </row>
    <row r="64">
      <c r="G64" t="inlineStr">
        <is>
          <t>moeda</t>
        </is>
      </c>
      <c r="H64" t="inlineStr">
        <is>
          <t>CHECK: passivo + PL (contas) - passivo + PL total</t>
        </is>
      </c>
      <c r="J64" t="inlineStr">
        <is>
          <t>derivada</t>
        </is>
      </c>
      <c r="K64" s="260">
        <f>ROUND(N(K33)+N(K34)+N(K35)+N(K36)+N(K37)+N(K38)+N(K39)+N(K40)+N(K41)+N(K42)+N(K43)+N(K44)+N(K45)+N(K46)-N(K61),-5)</f>
        <v>0</v>
      </c>
      <c r="L64" s="260">
        <f>ROUND(N(L33)+N(L34)+N(L35)+N(L36)+N(L37)+N(L38)+N(L39)+N(L40)+N(L41)+N(L42)+N(L43)+N(L44)+N(L45)+N(L46)-N(L61),-5)</f>
        <v>0</v>
      </c>
      <c r="M64" s="260">
        <f>ROUND(N(M33)+N(M34)+N(M35)+N(M36)+N(M37)+N(M38)+N(M39)+N(M40)+N(M41)+N(M42)+N(M43)+N(M44)+N(M45)+N(M46)-N(M61),-5)</f>
        <v>0</v>
      </c>
      <c r="N64" s="260">
        <f>ROUND(N(N33)+N(N34)+N(N35)+N(N36)+N(N37)+N(N38)+N(N39)+N(N40)+N(N41)+N(N42)+N(N43)+N(N44)+N(N45)+N(N46)-N(N61),-5)</f>
        <v>0</v>
      </c>
      <c r="O64" s="260">
        <f>ROUND(N(O33)+N(O34)+N(O35)+N(O36)+N(O37)+N(O38)+N(O39)+N(O40)+N(O41)+N(O42)+N(O43)+N(O44)+N(O45)+N(O46)-N(O61),-5)</f>
        <v>0</v>
      </c>
      <c r="P64" s="260">
        <f>ROUND(N(P33)+N(P34)+N(P35)+N(P36)+N(P37)+N(P38)+N(P39)+N(P40)+N(P41)+N(P42)+N(P43)+N(P44)+N(P45)+N(P46)-N(P61),-5)</f>
        <v>0</v>
      </c>
      <c r="Q64" s="260">
        <f>ROUND(N(Q33)+N(Q34)+N(Q35)+N(Q36)+N(Q37)+N(Q38)+N(Q39)+N(Q40)+N(Q41)+N(Q42)+N(Q43)+N(Q44)+N(Q45)+N(Q46)-N(Q61),-5)</f>
        <v>0</v>
      </c>
      <c r="R64" s="260">
        <f>ROUND(N(R33)+N(R34)+N(R35)+N(R36)+N(R37)+N(R38)+N(R39)+N(R40)+N(R41)+N(R42)+N(R43)+N(R44)+N(R45)+N(R46)-N(R61),-5)</f>
        <v>0</v>
      </c>
      <c r="S64" s="260">
        <f>ROUND(N(S33)+N(S34)+N(S35)+N(S36)+N(S37)+N(S38)+N(S39)+N(S40)+N(S41)+N(S42)+N(S43)+N(S44)+N(S45)+N(S46)-N(S61),-5)</f>
        <v>0</v>
      </c>
      <c r="T64" s="260">
        <f>ROUND(N(T33)+N(T34)+N(T35)+N(T36)+N(T37)+N(T38)+N(T39)+N(T40)+N(T41)+N(T42)+N(T43)+N(T44)+N(T45)+N(T46)-N(T61),-5)</f>
        <v>0</v>
      </c>
      <c r="U64" s="260">
        <f>ROUND(N(U33)+N(U34)+N(U35)+N(U36)+N(U37)+N(U38)+N(U39)+N(U40)+N(U41)+N(U42)+N(U43)+N(U44)+N(U45)+N(U46)-N(U61),-5)</f>
        <v>0</v>
      </c>
      <c r="V64" s="260">
        <f>ROUND(N(V33)+N(V34)+N(V35)+N(V36)+N(V37)+N(V38)+N(V39)+N(V40)+N(V41)+N(V42)+N(V43)+N(V44)+N(V45)+N(V46)-N(V61),-5)</f>
        <v>0</v>
      </c>
      <c r="W64" s="260">
        <f>ROUND(N(W33)+N(W34)+N(W35)+N(W36)+N(W37)+N(W38)+N(W39)+N(W40)+N(W41)+N(W42)+N(W43)+N(W44)+N(W45)+N(W46)-N(W61),-5)</f>
        <v>0</v>
      </c>
      <c r="X64" s="260">
        <f>ROUND(N(X33)+N(X34)+N(X35)+N(X36)+N(X37)+N(X38)+N(X39)+N(X40)+N(X41)+N(X42)+N(X43)+N(X44)+N(X45)+N(X46)-N(X61),-5)</f>
        <v>0</v>
      </c>
      <c r="Y64" s="260">
        <f>ROUND(N(Y33)+N(Y34)+N(Y35)+N(Y36)+N(Y37)+N(Y38)+N(Y39)+N(Y40)+N(Y41)+N(Y42)+N(Y43)+N(Y44)+N(Y45)+N(Y46)-N(Y61),-5)</f>
        <v>0</v>
      </c>
      <c r="Z64" s="260">
        <f>ROUND(N(Z33)+N(Z34)+N(Z35)+N(Z36)+N(Z37)+N(Z38)+N(Z39)+N(Z40)+N(Z41)+N(Z42)+N(Z43)+N(Z44)+N(Z45)+N(Z46)-N(Z61),-5)</f>
        <v>0</v>
      </c>
      <c r="AA64" s="260">
        <f>ROUND(N(AA33)+N(AA34)+N(AA35)+N(AA36)+N(AA37)+N(AA38)+N(AA39)+N(AA40)+N(AA41)+N(AA42)+N(AA43)+N(AA44)+N(AA45)+N(AA46)-N(AA61),-5)</f>
        <v>0</v>
      </c>
      <c r="AB64" s="260">
        <f>ROUND(N(AB33)+N(AB34)+N(AB35)+N(AB36)+N(AB37)+N(AB38)+N(AB39)+N(AB40)+N(AB41)+N(AB42)+N(AB43)+N(AB44)+N(AB45)+N(AB46)-N(AB61),-5)</f>
        <v>0</v>
      </c>
      <c r="AC64" s="260">
        <f>ROUND(N(AC33)+N(AC34)+N(AC35)+N(AC36)+N(AC37)+N(AC38)+N(AC39)+N(AC40)+N(AC41)+N(AC42)+N(AC43)+N(AC44)+N(AC45)+N(AC46)-N(AC61),-5)</f>
        <v>0</v>
      </c>
      <c r="AD64" s="260">
        <f>ROUND(N(AD33)+N(AD34)+N(AD35)+N(AD36)+N(AD37)+N(AD38)+N(AD39)+N(AD40)+N(AD41)+N(AD42)+N(AD43)+N(AD44)+N(AD45)+N(AD46)-N(AD61),-5)</f>
        <v>0</v>
      </c>
      <c r="AE64" s="260">
        <f>ROUND(N(AE33)+N(AE34)+N(AE35)+N(AE36)+N(AE37)+N(AE38)+N(AE39)+N(AE40)+N(AE41)+N(AE42)+N(AE43)+N(AE44)+N(AE45)+N(AE46)-N(AE61),-5)</f>
        <v>0</v>
      </c>
      <c r="AF64" s="260">
        <f>ROUND(N(AF33)+N(AF34)+N(AF35)+N(AF36)+N(AF37)+N(AF38)+N(AF39)+N(AF40)+N(AF41)+N(AF42)+N(AF43)+N(AF44)+N(AF45)+N(AF46)-N(AF61),-5)</f>
        <v>0</v>
      </c>
      <c r="AG64" s="260">
        <f>ROUND(N(AG33)+N(AG34)+N(AG35)+N(AG36)+N(AG37)+N(AG38)+N(AG39)+N(AG40)+N(AG41)+N(AG42)+N(AG43)+N(AG44)+N(AG45)+N(AG46)-N(AG61),-5)</f>
        <v>0</v>
      </c>
      <c r="AH64" s="260">
        <f>ROUND(N(AH33)+N(AH34)+N(AH35)+N(AH36)+N(AH37)+N(AH38)+N(AH39)+N(AH40)+N(AH41)+N(AH42)+N(AH43)+N(AH44)+N(AH45)+N(AH46)-N(AH61),-5)</f>
        <v>0</v>
      </c>
      <c r="AI64" s="260">
        <f>ROUND(N(AI33)+N(AI34)+N(AI35)+N(AI36)+N(AI37)+N(AI38)+N(AI39)+N(AI40)+N(AI41)+N(AI42)+N(AI43)+N(AI44)+N(AI45)+N(AI46)-N(AI61),-5)</f>
        <v>0</v>
      </c>
      <c r="AJ64" s="260">
        <f>ROUND(N(AJ33)+N(AJ34)+N(AJ35)+N(AJ36)+N(AJ37)+N(AJ38)+N(AJ39)+N(AJ40)+N(AJ41)+N(AJ42)+N(AJ43)+N(AJ44)+N(AJ45)+N(AJ46)-N(AJ61),-5)</f>
        <v>0</v>
      </c>
    </row>
    <row r="65">
      <c r="H65" t="inlineStr">
        <is>
          <t>CHECK: receita - custo - despesas + não operacional - IR - minoritários + outros após IR - lucro (deve ser 0)</t>
        </is>
      </c>
      <c r="J65" t="inlineStr">
        <is>
          <t>derivada</t>
        </is>
      </c>
      <c r="K65">
        <f>ROUND(N(K6)-N(K7)-N(K9)+N(K11)-N(K13)+N(K15)-N(K16),-5)</f>
        <v>0</v>
      </c>
      <c r="L65">
        <f>ROUND(N(L6)-N(L7)-N(L9)+N(L11)-N(L13)+N(L15)-N(L16),-5)</f>
        <v>0</v>
      </c>
      <c r="M65">
        <f>ROUND(N(M6)-N(M7)-N(M9)+N(M11)-N(M13)+N(M15)-N(M16),-5)</f>
        <v>0</v>
      </c>
      <c r="N65">
        <f>ROUND(N(N6)-N(N7)-N(N9)+N(N11)-N(N13)+N(N15)-N(N16),-5)</f>
        <v>0</v>
      </c>
      <c r="O65">
        <f>ROUND(N(O6)-N(O7)-N(O9)+N(O11)-N(O13)+N(O15)-N(O16),-5)</f>
        <v>0</v>
      </c>
      <c r="P65">
        <f>ROUND(N(P6)-N(P7)-N(P9)+N(P11)-N(P13)+N(P15)-N(P16),-5)</f>
        <v>0</v>
      </c>
      <c r="Q65">
        <f>ROUND(N(Q6)-N(Q7)-N(Q9)+N(Q11)-N(Q13)+N(Q15)-N(Q16),-5)</f>
        <v>0</v>
      </c>
      <c r="R65">
        <f>ROUND(N(R6)-N(R7)-N(R9)+N(R11)-N(R13)+N(R15)-N(R16),-5)</f>
        <v>0</v>
      </c>
      <c r="S65">
        <f>ROUND(N(S6)-N(S7)-N(S9)+N(S11)-N(S13)+N(S15)-N(S16),-5)</f>
        <v>0</v>
      </c>
      <c r="T65">
        <f>ROUND(N(T6)-N(T7)-N(T9)+N(T11)-N(T13)+N(T15)-N(T16),-5)</f>
        <v>0</v>
      </c>
      <c r="U65">
        <f>ROUND(N(U6)-N(U7)-N(U9)+N(U11)-N(U13)+N(U15)-N(U16),-5)</f>
        <v>0</v>
      </c>
      <c r="V65">
        <f>ROUND(N(V6)-N(V7)-N(V9)+N(V11)-N(V13)+N(V15)-N(V16),-5)</f>
        <v>0</v>
      </c>
      <c r="W65">
        <f>ROUND(N(W6)-N(W7)-N(W9)+N(W11)-N(W13)+N(W15)-N(W16),-5)</f>
        <v>0</v>
      </c>
      <c r="X65">
        <f>ROUND(N(X6)-N(X7)-N(X9)+N(X11)-N(X13)+N(X15)-N(X16),-5)</f>
        <v>0</v>
      </c>
      <c r="Y65">
        <f>ROUND(N(Y6)-N(Y7)-N(Y9)+N(Y11)-N(Y13)+N(Y15)-N(Y16),-5)</f>
        <v>0</v>
      </c>
      <c r="Z65">
        <f>ROUND(N(Z6)-N(Z7)-N(Z9)+N(Z11)-N(Z13)+N(Z15)-N(Z16),-5)</f>
        <v>0</v>
      </c>
      <c r="AA65">
        <f>ROUND(N(AA6)-N(AA7)-N(AA9)+N(AA11)-N(AA13)+N(AA15)-N(AA16),-5)</f>
        <v>0</v>
      </c>
      <c r="AB65">
        <f>ROUND(N(AB6)-N(AB7)-N(AB9)+N(AB11)-N(AB13)+N(AB15)-N(AB16),-5)</f>
        <v>0</v>
      </c>
      <c r="AC65">
        <f>ROUND(N(AC6)-N(AC7)-N(AC9)+N(AC11)-N(AC13)+N(AC15)-N(AC16),-5)</f>
        <v>0</v>
      </c>
      <c r="AD65">
        <f>ROUND(N(AD6)-N(AD7)-N(AD9)+N(AD11)-N(AD13)+N(AD15)-N(AD16),-5)</f>
        <v>0</v>
      </c>
      <c r="AE65">
        <f>ROUND(N(AE6)-N(AE7)-N(AE9)+N(AE11)-N(AE13)+N(AE15)-N(AE16),-5)</f>
        <v>0</v>
      </c>
      <c r="AF65">
        <f>ROUND(N(AF6)-N(AF7)-N(AF9)+N(AF11)-N(AF13)+N(AF15)-N(AF16),-5)</f>
        <v>0</v>
      </c>
      <c r="AG65">
        <f>ROUND(N(AG6)-N(AG7)-N(AG9)+N(AG11)-N(AG13)+N(AG15)-N(AG16),-5)</f>
        <v>0</v>
      </c>
      <c r="AH65">
        <f>ROUND(N(AH6)-N(AH7)-N(AH9)+N(AH11)-N(AH13)+N(AH15)-N(AH16),-5)</f>
        <v>0</v>
      </c>
      <c r="AI65">
        <f>ROUND(N(AI6)-N(AI7)-N(AI9)+N(AI11)-N(AI13)+N(AI15)-N(AI16),-5)</f>
        <v>0</v>
      </c>
      <c r="AJ65">
        <f>ROUND(N(AJ6)-N(AJ7)-N(AJ9)+N(AJ11)-N(AJ13)+N(AJ15)-N(AJ16),-5)</f>
        <v>0</v>
      </c>
    </row>
    <row r="67">
      <c r="H67" s="254" t="inlineStr">
        <is>
          <t>DRIVERS DE RECEITA (codigos 45+): segmentos Aeronautics, Missiles &amp; Fire Control, Rotary &amp; Mission Systems e Space (receita e lucro operacional), produtos x serviços - SEC XBRL (USD, fator 0,000001).</t>
        </is>
      </c>
    </row>
    <row r="68">
      <c r="A68" t="n">
        <v>45</v>
      </c>
      <c r="B68" t="n">
        <v>1</v>
      </c>
      <c r="G68" t="inlineStr">
        <is>
          <t>moeda</t>
        </is>
      </c>
      <c r="H68" t="inlineStr">
        <is>
          <t>Aeronautics - receita (USD)</t>
        </is>
      </c>
      <c r="J68" t="inlineStr">
        <is>
          <t>fonte</t>
        </is>
      </c>
      <c r="K68" s="262" t="n">
        <v>6369000000</v>
      </c>
      <c r="L68" s="262" t="n">
        <v>6503000000</v>
      </c>
      <c r="M68" s="262" t="n">
        <v>6680000000</v>
      </c>
      <c r="N68" s="262" t="n">
        <v>6714000000</v>
      </c>
      <c r="O68" s="262" t="n">
        <v>6387000000</v>
      </c>
      <c r="P68" s="262" t="n">
        <v>6666000000</v>
      </c>
      <c r="Q68" s="262" t="n">
        <v>6568000000</v>
      </c>
      <c r="R68" s="262" t="n">
        <v>7127000000</v>
      </c>
      <c r="S68" s="262" t="n">
        <v>6401000000</v>
      </c>
      <c r="T68" s="262" t="n">
        <v>5862000000</v>
      </c>
      <c r="U68" s="262" t="n">
        <v>7089000000</v>
      </c>
      <c r="V68" s="262" t="n">
        <v>7635000000</v>
      </c>
      <c r="W68" s="262" t="n">
        <v>6269000000</v>
      </c>
      <c r="X68" s="262" t="n">
        <v>6875000000</v>
      </c>
      <c r="Y68" s="262" t="n">
        <v>6717000000</v>
      </c>
      <c r="Z68" s="262" t="n">
        <v>7613000000</v>
      </c>
      <c r="AA68" s="262" t="n">
        <v>6845000000</v>
      </c>
      <c r="AB68" s="262" t="n">
        <v>7277000000</v>
      </c>
      <c r="AC68" s="262" t="n">
        <v>6487000000</v>
      </c>
      <c r="AD68" s="262" t="n">
        <v>8009000000</v>
      </c>
      <c r="AE68" s="262" t="n">
        <v>7057000000</v>
      </c>
      <c r="AF68" s="262" t="n">
        <v>7420000000</v>
      </c>
      <c r="AG68" s="262" t="n">
        <v>7256000000</v>
      </c>
      <c r="AH68" s="262" t="n">
        <v>8524000000</v>
      </c>
      <c r="AI68" s="262" t="n">
        <v>6953000000</v>
      </c>
      <c r="AJ68" s="262" t="n">
        <v>8112000000</v>
      </c>
    </row>
    <row r="69">
      <c r="A69" t="n">
        <v>46</v>
      </c>
      <c r="B69" t="n">
        <v>1</v>
      </c>
      <c r="G69" t="inlineStr">
        <is>
          <t>moeda</t>
        </is>
      </c>
      <c r="H69" t="inlineStr">
        <is>
          <t>Aeronautics - lucro do segmento (USD)</t>
        </is>
      </c>
      <c r="J69" t="inlineStr">
        <is>
          <t>fonte</t>
        </is>
      </c>
      <c r="K69" s="262" t="n">
        <v>672000000</v>
      </c>
      <c r="L69" s="262" t="n">
        <v>739000000</v>
      </c>
      <c r="M69" s="262" t="n">
        <v>705000000</v>
      </c>
      <c r="N69" s="262" t="n">
        <v>727000000</v>
      </c>
      <c r="O69" s="262" t="n">
        <v>693000000</v>
      </c>
      <c r="P69" s="262" t="n">
        <v>572000000</v>
      </c>
      <c r="Q69" s="262" t="n">
        <v>714000000</v>
      </c>
      <c r="R69" s="262" t="n">
        <v>820000000</v>
      </c>
      <c r="S69" s="262" t="n">
        <v>679000000</v>
      </c>
      <c r="T69" s="262" t="n">
        <v>613000000</v>
      </c>
      <c r="U69" s="262" t="n">
        <v>759000000</v>
      </c>
      <c r="V69" s="262" t="n">
        <v>816000000</v>
      </c>
      <c r="W69" s="262" t="n">
        <v>675000000</v>
      </c>
      <c r="X69" s="262" t="n">
        <v>718000000</v>
      </c>
      <c r="Y69" s="262" t="n">
        <v>671000000</v>
      </c>
      <c r="Z69" s="262" t="n">
        <v>761000000</v>
      </c>
      <c r="AA69" s="262" t="n">
        <v>679000000</v>
      </c>
      <c r="AB69" s="262" t="n">
        <v>751000000</v>
      </c>
      <c r="AC69" s="262" t="n">
        <v>659000000</v>
      </c>
      <c r="AD69" s="262" t="n">
        <v>434000000</v>
      </c>
      <c r="AE69" s="262" t="n">
        <v>720000000</v>
      </c>
      <c r="AF69" s="262" t="n">
        <v>-98000000</v>
      </c>
      <c r="AG69" s="262" t="n">
        <v>682000000</v>
      </c>
      <c r="AH69" s="262" t="n">
        <v>782000000</v>
      </c>
      <c r="AI69" s="262" t="n">
        <v>619000000</v>
      </c>
      <c r="AJ69" s="262" t="n">
        <v>760000000</v>
      </c>
    </row>
    <row r="70">
      <c r="A70" t="n">
        <v>47</v>
      </c>
      <c r="B70" t="n">
        <v>1</v>
      </c>
      <c r="G70" t="inlineStr">
        <is>
          <t>moeda</t>
        </is>
      </c>
      <c r="H70" t="inlineStr">
        <is>
          <t>Missiles and Fire Control - receita (USD)</t>
        </is>
      </c>
      <c r="J70" t="inlineStr">
        <is>
          <t>fonte</t>
        </is>
      </c>
      <c r="K70" s="262" t="n">
        <v>2619000000</v>
      </c>
      <c r="L70" s="262" t="n">
        <v>2801000000</v>
      </c>
      <c r="M70" s="262" t="n">
        <v>2971000000</v>
      </c>
      <c r="N70" s="262" t="n">
        <v>2866000000</v>
      </c>
      <c r="O70" s="262" t="n">
        <v>2749000000</v>
      </c>
      <c r="P70" s="262" t="n">
        <v>2944000000</v>
      </c>
      <c r="Q70" s="262" t="n">
        <v>2781000000</v>
      </c>
      <c r="R70" s="262" t="n">
        <v>3219000000</v>
      </c>
      <c r="S70" s="262" t="n">
        <v>2452000000</v>
      </c>
      <c r="T70" s="262" t="n">
        <v>2747000000</v>
      </c>
      <c r="U70" s="262" t="n">
        <v>2831000000</v>
      </c>
      <c r="V70" s="262" t="n">
        <v>3287000000</v>
      </c>
      <c r="W70" s="262" t="n">
        <v>2388000000</v>
      </c>
      <c r="X70" s="262" t="n">
        <v>2755000000</v>
      </c>
      <c r="Y70" s="262" t="n">
        <v>2939000000</v>
      </c>
      <c r="Z70" s="262" t="n">
        <v>3171000000</v>
      </c>
      <c r="AA70" s="262" t="n">
        <v>2993000000</v>
      </c>
      <c r="AB70" s="262" t="n">
        <v>3102000000</v>
      </c>
      <c r="AC70" s="262" t="n">
        <v>3175000000</v>
      </c>
      <c r="AD70" s="262" t="n">
        <v>3412000000</v>
      </c>
      <c r="AE70" s="262" t="n">
        <v>3373000000</v>
      </c>
      <c r="AF70" s="262" t="n">
        <v>3433000000</v>
      </c>
      <c r="AG70" s="262" t="n">
        <v>3624000000</v>
      </c>
      <c r="AH70" s="262" t="n">
        <v>4020000000</v>
      </c>
      <c r="AI70" s="262" t="n">
        <v>3649000000</v>
      </c>
      <c r="AJ70" s="262" t="n">
        <v>4101000000</v>
      </c>
    </row>
    <row r="71">
      <c r="A71" t="n">
        <v>48</v>
      </c>
      <c r="B71" t="n">
        <v>1</v>
      </c>
      <c r="G71" t="inlineStr">
        <is>
          <t>moeda</t>
        </is>
      </c>
      <c r="H71" t="inlineStr">
        <is>
          <t>Missiles and Fire Control - lucro do segmento (USD)</t>
        </is>
      </c>
      <c r="J71" t="inlineStr">
        <is>
          <t>fonte</t>
        </is>
      </c>
      <c r="K71" s="262" t="n">
        <v>396000000</v>
      </c>
      <c r="L71" s="262" t="n">
        <v>370000000</v>
      </c>
      <c r="M71" s="262" t="n">
        <v>405000000</v>
      </c>
      <c r="N71" s="262" t="n">
        <v>374000000</v>
      </c>
      <c r="O71" s="262" t="n">
        <v>396000000</v>
      </c>
      <c r="P71" s="262" t="n">
        <v>401000000</v>
      </c>
      <c r="Q71" s="262" t="n">
        <v>413000000</v>
      </c>
      <c r="R71" s="262" t="n">
        <v>438000000</v>
      </c>
      <c r="S71" s="262" t="n">
        <v>385000000</v>
      </c>
      <c r="T71" s="262" t="n">
        <v>418000000</v>
      </c>
      <c r="U71" s="262" t="n">
        <v>383000000</v>
      </c>
      <c r="V71" s="262" t="n">
        <v>451000000</v>
      </c>
      <c r="W71" s="262" t="n">
        <v>377000000</v>
      </c>
      <c r="X71" s="262" t="n">
        <v>371000000</v>
      </c>
      <c r="Y71" s="262" t="n">
        <v>398000000</v>
      </c>
      <c r="Z71" s="262" t="n">
        <v>395000000</v>
      </c>
      <c r="AA71" s="262" t="n">
        <v>311000000</v>
      </c>
      <c r="AB71" s="262" t="n">
        <v>450000000</v>
      </c>
      <c r="AC71" s="262" t="n">
        <v>456000000</v>
      </c>
      <c r="AD71" s="262" t="n">
        <v>-804000000</v>
      </c>
      <c r="AE71" s="262" t="n">
        <v>465000000</v>
      </c>
      <c r="AF71" s="262" t="n">
        <v>479000000</v>
      </c>
      <c r="AG71" s="262" t="n">
        <v>510000000</v>
      </c>
      <c r="AH71" s="262" t="n">
        <v>535000000</v>
      </c>
      <c r="AI71" s="262" t="n">
        <v>500000000</v>
      </c>
      <c r="AJ71" s="262" t="n">
        <v>594000000</v>
      </c>
    </row>
    <row r="72">
      <c r="A72" t="n">
        <v>49</v>
      </c>
      <c r="B72" t="n">
        <v>1</v>
      </c>
      <c r="G72" t="inlineStr">
        <is>
          <t>moeda</t>
        </is>
      </c>
      <c r="H72" t="inlineStr">
        <is>
          <t>Rotary and Mission Systems - receita (USD)</t>
        </is>
      </c>
      <c r="J72" t="inlineStr">
        <is>
          <t>fonte</t>
        </is>
      </c>
      <c r="K72" s="262" t="n">
        <v>3746000000</v>
      </c>
      <c r="L72" s="262" t="n">
        <v>4039000000</v>
      </c>
      <c r="M72" s="262" t="n">
        <v>3998000000</v>
      </c>
      <c r="N72" s="262" t="n">
        <v>4212000000</v>
      </c>
      <c r="O72" s="262" t="n">
        <v>4107000000</v>
      </c>
      <c r="P72" s="262" t="n">
        <v>4242000000</v>
      </c>
      <c r="Q72" s="262" t="n">
        <v>3980000000</v>
      </c>
      <c r="R72" s="262" t="n">
        <v>4460000000</v>
      </c>
      <c r="S72" s="262" t="n">
        <v>3552000000</v>
      </c>
      <c r="T72" s="262" t="n">
        <v>4012000000</v>
      </c>
      <c r="U72" s="262" t="n">
        <v>3781000000</v>
      </c>
      <c r="V72" s="262" t="n">
        <v>4803000000</v>
      </c>
      <c r="W72" s="262" t="n">
        <v>3510000000</v>
      </c>
      <c r="X72" s="262" t="n">
        <v>3897000000</v>
      </c>
      <c r="Y72" s="262" t="n">
        <v>4121000000</v>
      </c>
      <c r="Z72" s="262" t="n">
        <v>4711000000</v>
      </c>
      <c r="AA72" s="262" t="n">
        <v>4088000000</v>
      </c>
      <c r="AB72" s="262" t="n">
        <v>4548000000</v>
      </c>
      <c r="AC72" s="262" t="n">
        <v>4367000000</v>
      </c>
      <c r="AD72" s="262" t="n">
        <v>4261000000</v>
      </c>
      <c r="AE72" s="262" t="n">
        <v>4328000000</v>
      </c>
      <c r="AF72" s="262" t="n">
        <v>3995000000</v>
      </c>
      <c r="AG72" s="262" t="n">
        <v>4373000000</v>
      </c>
      <c r="AH72" s="262" t="n">
        <v>4616000000</v>
      </c>
      <c r="AI72" s="262" t="n">
        <v>3991000000</v>
      </c>
      <c r="AJ72" s="262" t="n">
        <v>4354000000</v>
      </c>
    </row>
    <row r="73">
      <c r="A73" t="n">
        <v>50</v>
      </c>
      <c r="B73" t="n">
        <v>1</v>
      </c>
      <c r="G73" t="inlineStr">
        <is>
          <t>moeda</t>
        </is>
      </c>
      <c r="H73" t="inlineStr">
        <is>
          <t>Rotary and Mission Systems - lucro do segmento (USD)</t>
        </is>
      </c>
      <c r="J73" t="inlineStr">
        <is>
          <t>fonte</t>
        </is>
      </c>
      <c r="K73" s="262" t="n">
        <v>376000000</v>
      </c>
      <c r="L73" s="262" t="n">
        <v>429000000</v>
      </c>
      <c r="M73" s="262" t="n">
        <v>404000000</v>
      </c>
      <c r="N73" s="262" t="n">
        <v>406000000</v>
      </c>
      <c r="O73" s="262" t="n">
        <v>433000000</v>
      </c>
      <c r="P73" s="262" t="n">
        <v>458000000</v>
      </c>
      <c r="Q73" s="262" t="n">
        <v>459000000</v>
      </c>
      <c r="R73" s="262" t="n">
        <v>448000000</v>
      </c>
      <c r="S73" s="262" t="n">
        <v>406000000</v>
      </c>
      <c r="T73" s="262" t="n">
        <v>461000000</v>
      </c>
      <c r="U73" s="262" t="n">
        <v>472000000</v>
      </c>
      <c r="V73" s="262" t="n">
        <v>508000000</v>
      </c>
      <c r="W73" s="262" t="n">
        <v>350000000</v>
      </c>
      <c r="X73" s="262" t="n">
        <v>454000000</v>
      </c>
      <c r="Y73" s="262" t="n">
        <v>482000000</v>
      </c>
      <c r="Z73" s="262" t="n">
        <v>579000000</v>
      </c>
      <c r="AA73" s="262" t="n">
        <v>430000000</v>
      </c>
      <c r="AB73" s="262" t="n">
        <v>495000000</v>
      </c>
      <c r="AC73" s="262" t="n">
        <v>483000000</v>
      </c>
      <c r="AD73" s="262" t="n">
        <v>513000000</v>
      </c>
      <c r="AE73" s="262" t="n">
        <v>521000000</v>
      </c>
      <c r="AF73" s="262" t="n">
        <v>-172000000</v>
      </c>
      <c r="AG73" s="262" t="n">
        <v>506000000</v>
      </c>
      <c r="AH73" s="262" t="n">
        <v>468000000</v>
      </c>
      <c r="AI73" s="262" t="n">
        <v>423000000</v>
      </c>
      <c r="AJ73" s="262" t="n">
        <v>437000000</v>
      </c>
    </row>
    <row r="74">
      <c r="A74" t="n">
        <v>51</v>
      </c>
      <c r="B74" t="n">
        <v>1</v>
      </c>
      <c r="G74" t="inlineStr">
        <is>
          <t>moeda</t>
        </is>
      </c>
      <c r="H74" t="inlineStr">
        <is>
          <t>Space - receita (USD)</t>
        </is>
      </c>
      <c r="J74" t="inlineStr">
        <is>
          <t>fonte</t>
        </is>
      </c>
      <c r="K74" s="262" t="n">
        <v>2917000000</v>
      </c>
      <c r="L74" s="262" t="n">
        <v>2877000000</v>
      </c>
      <c r="M74" s="262" t="n">
        <v>2846000000</v>
      </c>
      <c r="N74" s="262" t="n">
        <v>3240000000</v>
      </c>
      <c r="O74" s="262" t="n">
        <v>3015000000</v>
      </c>
      <c r="P74" s="262" t="n">
        <v>3177000000</v>
      </c>
      <c r="Q74" s="262" t="n">
        <v>2699000000</v>
      </c>
      <c r="R74" s="262" t="n">
        <v>2923000000</v>
      </c>
      <c r="S74" s="262" t="n">
        <v>2559000000</v>
      </c>
      <c r="T74" s="262" t="n">
        <v>2825000000</v>
      </c>
      <c r="U74" s="262" t="n">
        <v>2882000000</v>
      </c>
      <c r="V74" s="262" t="n">
        <v>3266000000</v>
      </c>
      <c r="W74" s="262" t="n">
        <v>2959000000</v>
      </c>
      <c r="X74" s="262" t="n">
        <v>3166000000</v>
      </c>
      <c r="Y74" s="262" t="n">
        <v>3101000000</v>
      </c>
      <c r="Z74" s="262" t="n">
        <v>3379000000</v>
      </c>
      <c r="AA74" s="262" t="n">
        <v>3269000000</v>
      </c>
      <c r="AB74" s="262" t="n">
        <v>3195000000</v>
      </c>
      <c r="AC74" s="262" t="n">
        <v>3075000000</v>
      </c>
      <c r="AD74" s="262" t="n">
        <v>2940000000</v>
      </c>
      <c r="AE74" s="262" t="n">
        <v>3205000000</v>
      </c>
      <c r="AF74" s="262" t="n">
        <v>3307000000</v>
      </c>
      <c r="AG74" s="262" t="n">
        <v>3356000000</v>
      </c>
      <c r="AH74" s="262" t="n">
        <v>3161000000</v>
      </c>
      <c r="AI74" s="262" t="n">
        <v>3428000000</v>
      </c>
      <c r="AJ74" s="262" t="n">
        <v>3496000000</v>
      </c>
    </row>
    <row r="75">
      <c r="A75" t="n">
        <v>52</v>
      </c>
      <c r="B75" t="n">
        <v>1</v>
      </c>
      <c r="G75" t="inlineStr">
        <is>
          <t>moeda</t>
        </is>
      </c>
      <c r="H75" t="inlineStr">
        <is>
          <t>Space - lucro do segmento (USD)</t>
        </is>
      </c>
      <c r="J75" t="inlineStr">
        <is>
          <t>fonte</t>
        </is>
      </c>
      <c r="K75" s="262" t="n">
        <v>281000000</v>
      </c>
      <c r="L75" s="262" t="n">
        <v>252000000</v>
      </c>
      <c r="M75" s="262" t="n">
        <v>248000000</v>
      </c>
      <c r="N75" s="262" t="n">
        <v>368000000</v>
      </c>
      <c r="O75" s="262" t="n">
        <v>227000000</v>
      </c>
      <c r="P75" s="262" t="n">
        <v>335000000</v>
      </c>
      <c r="Q75" s="262" t="n">
        <v>264000000</v>
      </c>
      <c r="R75" s="262" t="n">
        <v>308000000</v>
      </c>
      <c r="S75" s="262" t="n">
        <v>248000000</v>
      </c>
      <c r="T75" s="262" t="n">
        <v>271000000</v>
      </c>
      <c r="U75" s="262" t="n">
        <v>304000000</v>
      </c>
      <c r="V75" s="262" t="n">
        <v>231000000</v>
      </c>
      <c r="W75" s="262" t="n">
        <v>280000000</v>
      </c>
      <c r="X75" s="262" t="n">
        <v>312000000</v>
      </c>
      <c r="Y75" s="262" t="n">
        <v>259000000</v>
      </c>
      <c r="Z75" s="262" t="n">
        <v>307000000</v>
      </c>
      <c r="AA75" s="262" t="n">
        <v>325000000</v>
      </c>
      <c r="AB75" s="262" t="n">
        <v>346000000</v>
      </c>
      <c r="AC75" s="262" t="n">
        <v>272000000</v>
      </c>
      <c r="AD75" s="262" t="n">
        <v>283000000</v>
      </c>
      <c r="AE75" s="262" t="n">
        <v>379000000</v>
      </c>
      <c r="AF75" s="262" t="n">
        <v>362000000</v>
      </c>
      <c r="AG75" s="262" t="n">
        <v>331000000</v>
      </c>
      <c r="AH75" s="262" t="n">
        <v>273000000</v>
      </c>
      <c r="AI75" s="262" t="n">
        <v>281000000</v>
      </c>
      <c r="AJ75" s="262" t="n">
        <v>371000000</v>
      </c>
    </row>
    <row r="76">
      <c r="A76" t="n">
        <v>53</v>
      </c>
      <c r="B76" t="n">
        <v>1</v>
      </c>
      <c r="G76" t="inlineStr">
        <is>
          <t>moeda</t>
        </is>
      </c>
      <c r="H76" t="inlineStr">
        <is>
          <t>Receita de produtos (USD)</t>
        </is>
      </c>
      <c r="J76" t="inlineStr">
        <is>
          <t>fonte</t>
        </is>
      </c>
      <c r="K76" s="262" t="n">
        <v>13166000000</v>
      </c>
      <c r="L76" s="262" t="n">
        <v>13572000000</v>
      </c>
      <c r="M76" s="262" t="n">
        <v>13869000000</v>
      </c>
      <c r="N76" s="262" t="n">
        <v>14321000000</v>
      </c>
      <c r="O76" s="262" t="n">
        <v>13753000000</v>
      </c>
      <c r="P76" s="262" t="n">
        <v>14258000000</v>
      </c>
      <c r="Q76" s="262" t="n">
        <v>13475000000</v>
      </c>
      <c r="R76" s="262" t="n">
        <v>14949000000</v>
      </c>
      <c r="S76" s="262" t="n">
        <v>12494000000</v>
      </c>
      <c r="T76" s="262" t="n">
        <v>12761000000</v>
      </c>
      <c r="U76" s="262" t="n">
        <v>14011000000</v>
      </c>
      <c r="V76" s="262" t="n">
        <v>16200000000</v>
      </c>
      <c r="W76" s="262" t="n">
        <v>12526000000</v>
      </c>
      <c r="X76" s="262" t="n">
        <v>13758000000</v>
      </c>
      <c r="Y76" s="262" t="n">
        <v>14014000000</v>
      </c>
      <c r="Z76" s="262" t="n">
        <v>15967000000</v>
      </c>
      <c r="AA76" s="262" t="n">
        <v>14196000000</v>
      </c>
      <c r="AB76" s="262" t="n">
        <v>15109000000</v>
      </c>
      <c r="AC76" s="262" t="n">
        <v>14472000000</v>
      </c>
      <c r="AD76" s="262" t="n">
        <v>15500000000</v>
      </c>
      <c r="AE76" s="262" t="n">
        <v>14936000000</v>
      </c>
      <c r="AF76" s="262" t="n">
        <v>15149000000</v>
      </c>
      <c r="AG76" s="262" t="n">
        <v>15311000000</v>
      </c>
      <c r="AH76" s="262" t="n">
        <v>17258000000</v>
      </c>
      <c r="AI76" s="262" t="n">
        <v>14831000000</v>
      </c>
      <c r="AJ76" s="262" t="n">
        <v>16783000000</v>
      </c>
    </row>
    <row r="77">
      <c r="A77" t="n">
        <v>54</v>
      </c>
      <c r="B77" t="n">
        <v>1</v>
      </c>
      <c r="G77" t="inlineStr">
        <is>
          <t>moeda</t>
        </is>
      </c>
      <c r="H77" t="inlineStr">
        <is>
          <t>Receita de serviços (USD)</t>
        </is>
      </c>
      <c r="J77" t="inlineStr">
        <is>
          <t>fonte</t>
        </is>
      </c>
      <c r="K77" s="262" t="n">
        <v>2485000000</v>
      </c>
      <c r="L77" s="262" t="n">
        <v>2648000000</v>
      </c>
      <c r="M77" s="262" t="n">
        <v>2626000000</v>
      </c>
      <c r="N77" s="262" t="n">
        <v>2711000000</v>
      </c>
      <c r="O77" s="262" t="n">
        <v>2505000000</v>
      </c>
      <c r="P77" s="262" t="n">
        <v>2771000000</v>
      </c>
      <c r="Q77" s="262" t="n">
        <v>2553000000</v>
      </c>
      <c r="R77" s="262" t="n">
        <v>2780000000</v>
      </c>
      <c r="S77" s="262" t="n">
        <v>2470000000</v>
      </c>
      <c r="T77" s="262" t="n">
        <v>2685000000</v>
      </c>
      <c r="U77" s="262" t="n">
        <v>2572000000</v>
      </c>
      <c r="V77" s="262" t="n">
        <v>2791000000</v>
      </c>
      <c r="W77" s="262" t="n">
        <v>2600000000</v>
      </c>
      <c r="X77" s="262" t="n">
        <v>2935000000</v>
      </c>
      <c r="Y77" s="262" t="n">
        <v>2864000000</v>
      </c>
      <c r="Z77" s="262" t="n">
        <v>2907000000</v>
      </c>
      <c r="AA77" s="262" t="n">
        <v>2999000000</v>
      </c>
      <c r="AB77" s="262" t="n">
        <v>3013000000</v>
      </c>
      <c r="AC77" s="262" t="n">
        <v>2632000000</v>
      </c>
      <c r="AD77" s="262" t="n">
        <v>3122000000</v>
      </c>
      <c r="AE77" s="262" t="n">
        <v>3027000000</v>
      </c>
      <c r="AF77" s="262" t="n">
        <v>3006000000</v>
      </c>
      <c r="AG77" s="262" t="n">
        <v>3298000000</v>
      </c>
      <c r="AH77" s="262" t="n">
        <v>3063000000</v>
      </c>
      <c r="AI77" s="262" t="n">
        <v>3190000000</v>
      </c>
      <c r="AJ77" s="262" t="n">
        <v>3280000000</v>
      </c>
    </row>
    <row r="78">
      <c r="H78" t="inlineStr">
        <is>
          <t>Notas: valores dimensionais das instâncias XBRL (receita líquida de vendas entre segmentos).</t>
        </is>
      </c>
    </row>
    <row r="113">
      <c r="H113" s="254" t="inlineStr">
        <is>
          <t>CONVENCOES</t>
        </is>
      </c>
    </row>
    <row r="114">
      <c r="H114" t="inlineStr">
        <is>
          <t>Linhas de origem: 5 a 78. As formulas da Inputs (2) varrem as linhas 5 a 110; as linhas 79 a 110 estao livres para novas contas.</t>
        </is>
      </c>
    </row>
    <row r="115">
      <c r="H115" t="inlineStr">
        <is>
          <t>Periodos: colunas K a AJ = trimestres-calendário 1Q20 a 2Q26 (linha 2: trimestre fiscal correspondente).</t>
        </is>
      </c>
    </row>
    <row r="116">
      <c r="H116" t="inlineStr">
        <is>
          <t>Brutos em USD unidades: fator da célula B1 = 0,000001 converte para USD milhões nas linhas UNID = moeda.</t>
        </is>
      </c>
    </row>
    <row r="117">
      <c r="H117" t="inlineStr">
        <is>
          <t>ORIGEM: fonte = copiado da SEC; memoria = como divulgado, sem codigo; derivada = formula nesta aba ou desacumulado na extração.</t>
        </is>
      </c>
    </row>
    <row r="118">
      <c r="H118" t="inlineStr">
        <is>
          <t>Balanço: contas de face sem mapeamento específico vão para "outros" do seu bloco (ativo circulante 16, não circulante 22, passivo circulante 26, não circulante 34, PL 40).</t>
        </is>
      </c>
    </row>
    <row r="119">
      <c r="H119" t="inlineStr">
        <is>
          <t>Codigos 45 a 54: drivers de receita (memoria); alimentam o bloco logo abaixo da receita liquida no Model.</t>
        </is>
      </c>
    </row>
    <row r="133">
      <c r="H133" s="254" t="n"/>
    </row>
    <row r="134"/>
    <row r="135"/>
    <row r="136"/>
    <row r="137"/>
    <row r="138"/>
    <row r="139"/>
    <row r="140"/>
    <row r="141"/>
    <row r="142"/>
    <row r="143"/>
    <row r="14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2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54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$110=$B4)*ISNUMBER(INDEX(Inputs!$K$5:$AJ$110,0,MATCH(D$2,Inputs!$K$4:$AJ$4,0))))+SUMPRODUCT((Inputs!$C$5:$C$110=$B4)*ISNUMBER(INDEX(Inputs!$K$5:$AJ$110,0,MATCH(D$2,Inputs!$K$4:$AJ$4,0))))+SUMPRODUCT((Inputs!$E$5:$E$110=$B4)*ISNUMBER(INDEX(Inputs!$K$5:$AJ$110,0,MATCH(D$2,Inputs!$K$4:$AJ$4,0))))=0,NA(),SUMPRODUCT((Inputs!$A$5:$A$110=$B4)*Inputs!$B$5:$B$110*(((Inputs!$G$5:$G$110="moeda")+(Inputs!$G$5:$G$110="acoes"))*Inputs!$B$1+((Inputs!$G$5:$G$110&lt;&gt;"moeda")*(Inputs!$G$5:$G$110&lt;&gt;"acoes")))*INDEX(Inputs!$K$5:$AJ$110,0,MATCH(D$2,Inputs!$K$4:$AJ$4,0)))+SUMPRODUCT((Inputs!$C$5:$C$110=$B4)*Inputs!$D$5:$D$110*(((Inputs!$G$5:$G$110="moeda")+(Inputs!$G$5:$G$110="acoes"))*Inputs!$B$1+((Inputs!$G$5:$G$110&lt;&gt;"moeda")*(Inputs!$G$5:$G$110&lt;&gt;"acoes")))*INDEX(Inputs!$K$5:$AJ$110,0,MATCH(D$2,Inputs!$K$4:$AJ$4,0)))+SUMPRODUCT((Inputs!$E$5:$E$110=$B4)*Inputs!$F$5:$F$110*(((Inputs!$G$5:$G$110="moeda")+(Inputs!$G$5:$G$110="acoes"))*Inputs!$B$1+((Inputs!$G$5:$G$110&lt;&gt;"moeda")*(Inputs!$G$5:$G$110&lt;&gt;"acoes")))*INDEX(Inputs!$K$5:$AJ$110,0,MATCH(D$2,Inputs!$K$4:$AJ$4,0)))))</f>
        <v>16258</v>
      </c>
      <c r="E4" s="6">
        <f>IF(ISNA(MATCH(E$2,Inputs!$K$4:$AJ$4,0)),NA(),IF(SUMPRODUCT((Inputs!$A$5:$A$110=$B4)*ISNUMBER(INDEX(Inputs!$K$5:$AJ$110,0,MATCH(E$2,Inputs!$K$4:$AJ$4,0))))+SUMPRODUCT((Inputs!$C$5:$C$110=$B4)*ISNUMBER(INDEX(Inputs!$K$5:$AJ$110,0,MATCH(E$2,Inputs!$K$4:$AJ$4,0))))+SUMPRODUCT((Inputs!$E$5:$E$110=$B4)*ISNUMBER(INDEX(Inputs!$K$5:$AJ$110,0,MATCH(E$2,Inputs!$K$4:$AJ$4,0))))=0,NA(),SUMPRODUCT((Inputs!$A$5:$A$110=$B4)*Inputs!$B$5:$B$110*(((Inputs!$G$5:$G$110="moeda")+(Inputs!$G$5:$G$110="acoes"))*Inputs!$B$1+((Inputs!$G$5:$G$110&lt;&gt;"moeda")*(Inputs!$G$5:$G$110&lt;&gt;"acoes")))*INDEX(Inputs!$K$5:$AJ$110,0,MATCH(E$2,Inputs!$K$4:$AJ$4,0)))+SUMPRODUCT((Inputs!$C$5:$C$110=$B4)*Inputs!$D$5:$D$110*(((Inputs!$G$5:$G$110="moeda")+(Inputs!$G$5:$G$110="acoes"))*Inputs!$B$1+((Inputs!$G$5:$G$110&lt;&gt;"moeda")*(Inputs!$G$5:$G$110&lt;&gt;"acoes")))*INDEX(Inputs!$K$5:$AJ$110,0,MATCH(E$2,Inputs!$K$4:$AJ$4,0)))+SUMPRODUCT((Inputs!$E$5:$E$110=$B4)*Inputs!$F$5:$F$110*(((Inputs!$G$5:$G$110="moeda")+(Inputs!$G$5:$G$110="acoes"))*Inputs!$B$1+((Inputs!$G$5:$G$110&lt;&gt;"moeda")*(Inputs!$G$5:$G$110&lt;&gt;"acoes")))*INDEX(Inputs!$K$5:$AJ$110,0,MATCH(E$2,Inputs!$K$4:$AJ$4,0)))))</f>
        <v>17029</v>
      </c>
      <c r="F4" s="6">
        <f>IF(ISNA(MATCH(F$2,Inputs!$K$4:$AJ$4,0)),NA(),IF(SUMPRODUCT((Inputs!$A$5:$A$110=$B4)*ISNUMBER(INDEX(Inputs!$K$5:$AJ$110,0,MATCH(F$2,Inputs!$K$4:$AJ$4,0))))+SUMPRODUCT((Inputs!$C$5:$C$110=$B4)*ISNUMBER(INDEX(Inputs!$K$5:$AJ$110,0,MATCH(F$2,Inputs!$K$4:$AJ$4,0))))+SUMPRODUCT((Inputs!$E$5:$E$110=$B4)*ISNUMBER(INDEX(Inputs!$K$5:$AJ$110,0,MATCH(F$2,Inputs!$K$4:$AJ$4,0))))=0,NA(),SUMPRODUCT((Inputs!$A$5:$A$110=$B4)*Inputs!$B$5:$B$110*(((Inputs!$G$5:$G$110="moeda")+(Inputs!$G$5:$G$110="acoes"))*Inputs!$B$1+((Inputs!$G$5:$G$110&lt;&gt;"moeda")*(Inputs!$G$5:$G$110&lt;&gt;"acoes")))*INDEX(Inputs!$K$5:$AJ$110,0,MATCH(F$2,Inputs!$K$4:$AJ$4,0)))+SUMPRODUCT((Inputs!$C$5:$C$110=$B4)*Inputs!$D$5:$D$110*(((Inputs!$G$5:$G$110="moeda")+(Inputs!$G$5:$G$110="acoes"))*Inputs!$B$1+((Inputs!$G$5:$G$110&lt;&gt;"moeda")*(Inputs!$G$5:$G$110&lt;&gt;"acoes")))*INDEX(Inputs!$K$5:$AJ$110,0,MATCH(F$2,Inputs!$K$4:$AJ$4,0)))+SUMPRODUCT((Inputs!$E$5:$E$110=$B4)*Inputs!$F$5:$F$110*(((Inputs!$G$5:$G$110="moeda")+(Inputs!$G$5:$G$110="acoes"))*Inputs!$B$1+((Inputs!$G$5:$G$110&lt;&gt;"moeda")*(Inputs!$G$5:$G$110&lt;&gt;"acoes")))*INDEX(Inputs!$K$5:$AJ$110,0,MATCH(F$2,Inputs!$K$4:$AJ$4,0)))))</f>
        <v>16028</v>
      </c>
      <c r="G4" s="6">
        <f>IF(ISNA(MATCH(G$2,Inputs!$K$4:$AJ$4,0)),NA(),IF(SUMPRODUCT((Inputs!$A$5:$A$110=$B4)*ISNUMBER(INDEX(Inputs!$K$5:$AJ$110,0,MATCH(G$2,Inputs!$K$4:$AJ$4,0))))+SUMPRODUCT((Inputs!$C$5:$C$110=$B4)*ISNUMBER(INDEX(Inputs!$K$5:$AJ$110,0,MATCH(G$2,Inputs!$K$4:$AJ$4,0))))+SUMPRODUCT((Inputs!$E$5:$E$110=$B4)*ISNUMBER(INDEX(Inputs!$K$5:$AJ$110,0,MATCH(G$2,Inputs!$K$4:$AJ$4,0))))=0,NA(),SUMPRODUCT((Inputs!$A$5:$A$110=$B4)*Inputs!$B$5:$B$110*(((Inputs!$G$5:$G$110="moeda")+(Inputs!$G$5:$G$110="acoes"))*Inputs!$B$1+((Inputs!$G$5:$G$110&lt;&gt;"moeda")*(Inputs!$G$5:$G$110&lt;&gt;"acoes")))*INDEX(Inputs!$K$5:$AJ$110,0,MATCH(G$2,Inputs!$K$4:$AJ$4,0)))+SUMPRODUCT((Inputs!$C$5:$C$110=$B4)*Inputs!$D$5:$D$110*(((Inputs!$G$5:$G$110="moeda")+(Inputs!$G$5:$G$110="acoes"))*Inputs!$B$1+((Inputs!$G$5:$G$110&lt;&gt;"moeda")*(Inputs!$G$5:$G$110&lt;&gt;"acoes")))*INDEX(Inputs!$K$5:$AJ$110,0,MATCH(G$2,Inputs!$K$4:$AJ$4,0)))+SUMPRODUCT((Inputs!$E$5:$E$110=$B4)*Inputs!$F$5:$F$110*(((Inputs!$G$5:$G$110="moeda")+(Inputs!$G$5:$G$110="acoes"))*Inputs!$B$1+((Inputs!$G$5:$G$110&lt;&gt;"moeda")*(Inputs!$G$5:$G$110&lt;&gt;"acoes")))*INDEX(Inputs!$K$5:$AJ$110,0,MATCH(G$2,Inputs!$K$4:$AJ$4,0)))))</f>
        <v>17729</v>
      </c>
      <c r="H4" s="3">
        <f>SUM(D4:G4)</f>
        <v>67044</v>
      </c>
      <c r="I4" s="6">
        <f>IF(ISNA(MATCH(I$2,Inputs!$K$4:$AJ$4,0)),NA(),IF(SUMPRODUCT((Inputs!$A$5:$A$110=$B4)*ISNUMBER(INDEX(Inputs!$K$5:$AJ$110,0,MATCH(I$2,Inputs!$K$4:$AJ$4,0))))+SUMPRODUCT((Inputs!$C$5:$C$110=$B4)*ISNUMBER(INDEX(Inputs!$K$5:$AJ$110,0,MATCH(I$2,Inputs!$K$4:$AJ$4,0))))+SUMPRODUCT((Inputs!$E$5:$E$110=$B4)*ISNUMBER(INDEX(Inputs!$K$5:$AJ$110,0,MATCH(I$2,Inputs!$K$4:$AJ$4,0))))=0,NA(),SUMPRODUCT((Inputs!$A$5:$A$110=$B4)*Inputs!$B$5:$B$110*(((Inputs!$G$5:$G$110="moeda")+(Inputs!$G$5:$G$110="acoes"))*Inputs!$B$1+((Inputs!$G$5:$G$110&lt;&gt;"moeda")*(Inputs!$G$5:$G$110&lt;&gt;"acoes")))*INDEX(Inputs!$K$5:$AJ$110,0,MATCH(I$2,Inputs!$K$4:$AJ$4,0)))+SUMPRODUCT((Inputs!$C$5:$C$110=$B4)*Inputs!$D$5:$D$110*(((Inputs!$G$5:$G$110="moeda")+(Inputs!$G$5:$G$110="acoes"))*Inputs!$B$1+((Inputs!$G$5:$G$110&lt;&gt;"moeda")*(Inputs!$G$5:$G$110&lt;&gt;"acoes")))*INDEX(Inputs!$K$5:$AJ$110,0,MATCH(I$2,Inputs!$K$4:$AJ$4,0)))+SUMPRODUCT((Inputs!$E$5:$E$110=$B4)*Inputs!$F$5:$F$110*(((Inputs!$G$5:$G$110="moeda")+(Inputs!$G$5:$G$110="acoes"))*Inputs!$B$1+((Inputs!$G$5:$G$110&lt;&gt;"moeda")*(Inputs!$G$5:$G$110&lt;&gt;"acoes")))*INDEX(Inputs!$K$5:$AJ$110,0,MATCH(I$2,Inputs!$K$4:$AJ$4,0)))))</f>
        <v>14964</v>
      </c>
      <c r="J4" s="6">
        <f>IF(ISNA(MATCH(J$2,Inputs!$K$4:$AJ$4,0)),NA(),IF(SUMPRODUCT((Inputs!$A$5:$A$110=$B4)*ISNUMBER(INDEX(Inputs!$K$5:$AJ$110,0,MATCH(J$2,Inputs!$K$4:$AJ$4,0))))+SUMPRODUCT((Inputs!$C$5:$C$110=$B4)*ISNUMBER(INDEX(Inputs!$K$5:$AJ$110,0,MATCH(J$2,Inputs!$K$4:$AJ$4,0))))+SUMPRODUCT((Inputs!$E$5:$E$110=$B4)*ISNUMBER(INDEX(Inputs!$K$5:$AJ$110,0,MATCH(J$2,Inputs!$K$4:$AJ$4,0))))=0,NA(),SUMPRODUCT((Inputs!$A$5:$A$110=$B4)*Inputs!$B$5:$B$110*(((Inputs!$G$5:$G$110="moeda")+(Inputs!$G$5:$G$110="acoes"))*Inputs!$B$1+((Inputs!$G$5:$G$110&lt;&gt;"moeda")*(Inputs!$G$5:$G$110&lt;&gt;"acoes")))*INDEX(Inputs!$K$5:$AJ$110,0,MATCH(J$2,Inputs!$K$4:$AJ$4,0)))+SUMPRODUCT((Inputs!$C$5:$C$110=$B4)*Inputs!$D$5:$D$110*(((Inputs!$G$5:$G$110="moeda")+(Inputs!$G$5:$G$110="acoes"))*Inputs!$B$1+((Inputs!$G$5:$G$110&lt;&gt;"moeda")*(Inputs!$G$5:$G$110&lt;&gt;"acoes")))*INDEX(Inputs!$K$5:$AJ$110,0,MATCH(J$2,Inputs!$K$4:$AJ$4,0)))+SUMPRODUCT((Inputs!$E$5:$E$110=$B4)*Inputs!$F$5:$F$110*(((Inputs!$G$5:$G$110="moeda")+(Inputs!$G$5:$G$110="acoes"))*Inputs!$B$1+((Inputs!$G$5:$G$110&lt;&gt;"moeda")*(Inputs!$G$5:$G$110&lt;&gt;"acoes")))*INDEX(Inputs!$K$5:$AJ$110,0,MATCH(J$2,Inputs!$K$4:$AJ$4,0)))))</f>
        <v>15446</v>
      </c>
      <c r="K4" s="6">
        <f>IF(ISNA(MATCH(K$2,Inputs!$K$4:$AJ$4,0)),NA(),IF(SUMPRODUCT((Inputs!$A$5:$A$110=$B4)*ISNUMBER(INDEX(Inputs!$K$5:$AJ$110,0,MATCH(K$2,Inputs!$K$4:$AJ$4,0))))+SUMPRODUCT((Inputs!$C$5:$C$110=$B4)*ISNUMBER(INDEX(Inputs!$K$5:$AJ$110,0,MATCH(K$2,Inputs!$K$4:$AJ$4,0))))+SUMPRODUCT((Inputs!$E$5:$E$110=$B4)*ISNUMBER(INDEX(Inputs!$K$5:$AJ$110,0,MATCH(K$2,Inputs!$K$4:$AJ$4,0))))=0,NA(),SUMPRODUCT((Inputs!$A$5:$A$110=$B4)*Inputs!$B$5:$B$110*(((Inputs!$G$5:$G$110="moeda")+(Inputs!$G$5:$G$110="acoes"))*Inputs!$B$1+((Inputs!$G$5:$G$110&lt;&gt;"moeda")*(Inputs!$G$5:$G$110&lt;&gt;"acoes")))*INDEX(Inputs!$K$5:$AJ$110,0,MATCH(K$2,Inputs!$K$4:$AJ$4,0)))+SUMPRODUCT((Inputs!$C$5:$C$110=$B4)*Inputs!$D$5:$D$110*(((Inputs!$G$5:$G$110="moeda")+(Inputs!$G$5:$G$110="acoes"))*Inputs!$B$1+((Inputs!$G$5:$G$110&lt;&gt;"moeda")*(Inputs!$G$5:$G$110&lt;&gt;"acoes")))*INDEX(Inputs!$K$5:$AJ$110,0,MATCH(K$2,Inputs!$K$4:$AJ$4,0)))+SUMPRODUCT((Inputs!$E$5:$E$110=$B4)*Inputs!$F$5:$F$110*(((Inputs!$G$5:$G$110="moeda")+(Inputs!$G$5:$G$110="acoes"))*Inputs!$B$1+((Inputs!$G$5:$G$110&lt;&gt;"moeda")*(Inputs!$G$5:$G$110&lt;&gt;"acoes")))*INDEX(Inputs!$K$5:$AJ$110,0,MATCH(K$2,Inputs!$K$4:$AJ$4,0)))))</f>
        <v>16583</v>
      </c>
      <c r="L4" s="6">
        <f>IF(ISNA(MATCH(L$2,Inputs!$K$4:$AJ$4,0)),NA(),IF(SUMPRODUCT((Inputs!$A$5:$A$110=$B4)*ISNUMBER(INDEX(Inputs!$K$5:$AJ$110,0,MATCH(L$2,Inputs!$K$4:$AJ$4,0))))+SUMPRODUCT((Inputs!$C$5:$C$110=$B4)*ISNUMBER(INDEX(Inputs!$K$5:$AJ$110,0,MATCH(L$2,Inputs!$K$4:$AJ$4,0))))+SUMPRODUCT((Inputs!$E$5:$E$110=$B4)*ISNUMBER(INDEX(Inputs!$K$5:$AJ$110,0,MATCH(L$2,Inputs!$K$4:$AJ$4,0))))=0,NA(),SUMPRODUCT((Inputs!$A$5:$A$110=$B4)*Inputs!$B$5:$B$110*(((Inputs!$G$5:$G$110="moeda")+(Inputs!$G$5:$G$110="acoes"))*Inputs!$B$1+((Inputs!$G$5:$G$110&lt;&gt;"moeda")*(Inputs!$G$5:$G$110&lt;&gt;"acoes")))*INDEX(Inputs!$K$5:$AJ$110,0,MATCH(L$2,Inputs!$K$4:$AJ$4,0)))+SUMPRODUCT((Inputs!$C$5:$C$110=$B4)*Inputs!$D$5:$D$110*(((Inputs!$G$5:$G$110="moeda")+(Inputs!$G$5:$G$110="acoes"))*Inputs!$B$1+((Inputs!$G$5:$G$110&lt;&gt;"moeda")*(Inputs!$G$5:$G$110&lt;&gt;"acoes")))*INDEX(Inputs!$K$5:$AJ$110,0,MATCH(L$2,Inputs!$K$4:$AJ$4,0)))+SUMPRODUCT((Inputs!$E$5:$E$110=$B4)*Inputs!$F$5:$F$110*(((Inputs!$G$5:$G$110="moeda")+(Inputs!$G$5:$G$110="acoes"))*Inputs!$B$1+((Inputs!$G$5:$G$110&lt;&gt;"moeda")*(Inputs!$G$5:$G$110&lt;&gt;"acoes")))*INDEX(Inputs!$K$5:$AJ$110,0,MATCH(L$2,Inputs!$K$4:$AJ$4,0)))))</f>
        <v>18991</v>
      </c>
      <c r="M4" s="3">
        <f>SUM(I4:L4)</f>
        <v>65984</v>
      </c>
      <c r="N4" s="6">
        <f>IF(ISNA(MATCH(N$2,Inputs!$K$4:$AJ$4,0)),NA(),IF(SUMPRODUCT((Inputs!$A$5:$A$110=$B4)*ISNUMBER(INDEX(Inputs!$K$5:$AJ$110,0,MATCH(N$2,Inputs!$K$4:$AJ$4,0))))+SUMPRODUCT((Inputs!$C$5:$C$110=$B4)*ISNUMBER(INDEX(Inputs!$K$5:$AJ$110,0,MATCH(N$2,Inputs!$K$4:$AJ$4,0))))+SUMPRODUCT((Inputs!$E$5:$E$110=$B4)*ISNUMBER(INDEX(Inputs!$K$5:$AJ$110,0,MATCH(N$2,Inputs!$K$4:$AJ$4,0))))=0,NA(),SUMPRODUCT((Inputs!$A$5:$A$110=$B4)*Inputs!$B$5:$B$110*(((Inputs!$G$5:$G$110="moeda")+(Inputs!$G$5:$G$110="acoes"))*Inputs!$B$1+((Inputs!$G$5:$G$110&lt;&gt;"moeda")*(Inputs!$G$5:$G$110&lt;&gt;"acoes")))*INDEX(Inputs!$K$5:$AJ$110,0,MATCH(N$2,Inputs!$K$4:$AJ$4,0)))+SUMPRODUCT((Inputs!$C$5:$C$110=$B4)*Inputs!$D$5:$D$110*(((Inputs!$G$5:$G$110="moeda")+(Inputs!$G$5:$G$110="acoes"))*Inputs!$B$1+((Inputs!$G$5:$G$110&lt;&gt;"moeda")*(Inputs!$G$5:$G$110&lt;&gt;"acoes")))*INDEX(Inputs!$K$5:$AJ$110,0,MATCH(N$2,Inputs!$K$4:$AJ$4,0)))+SUMPRODUCT((Inputs!$E$5:$E$110=$B4)*Inputs!$F$5:$F$110*(((Inputs!$G$5:$G$110="moeda")+(Inputs!$G$5:$G$110="acoes"))*Inputs!$B$1+((Inputs!$G$5:$G$110&lt;&gt;"moeda")*(Inputs!$G$5:$G$110&lt;&gt;"acoes")))*INDEX(Inputs!$K$5:$AJ$110,0,MATCH(N$2,Inputs!$K$4:$AJ$4,0)))))</f>
        <v>15126</v>
      </c>
      <c r="O4" s="6">
        <f>IF(ISNA(MATCH(O$2,Inputs!$K$4:$AJ$4,0)),NA(),IF(SUMPRODUCT((Inputs!$A$5:$A$110=$B4)*ISNUMBER(INDEX(Inputs!$K$5:$AJ$110,0,MATCH(O$2,Inputs!$K$4:$AJ$4,0))))+SUMPRODUCT((Inputs!$C$5:$C$110=$B4)*ISNUMBER(INDEX(Inputs!$K$5:$AJ$110,0,MATCH(O$2,Inputs!$K$4:$AJ$4,0))))+SUMPRODUCT((Inputs!$E$5:$E$110=$B4)*ISNUMBER(INDEX(Inputs!$K$5:$AJ$110,0,MATCH(O$2,Inputs!$K$4:$AJ$4,0))))=0,NA(),SUMPRODUCT((Inputs!$A$5:$A$110=$B4)*Inputs!$B$5:$B$110*(((Inputs!$G$5:$G$110="moeda")+(Inputs!$G$5:$G$110="acoes"))*Inputs!$B$1+((Inputs!$G$5:$G$110&lt;&gt;"moeda")*(Inputs!$G$5:$G$110&lt;&gt;"acoes")))*INDEX(Inputs!$K$5:$AJ$110,0,MATCH(O$2,Inputs!$K$4:$AJ$4,0)))+SUMPRODUCT((Inputs!$C$5:$C$110=$B4)*Inputs!$D$5:$D$110*(((Inputs!$G$5:$G$110="moeda")+(Inputs!$G$5:$G$110="acoes"))*Inputs!$B$1+((Inputs!$G$5:$G$110&lt;&gt;"moeda")*(Inputs!$G$5:$G$110&lt;&gt;"acoes")))*INDEX(Inputs!$K$5:$AJ$110,0,MATCH(O$2,Inputs!$K$4:$AJ$4,0)))+SUMPRODUCT((Inputs!$E$5:$E$110=$B4)*Inputs!$F$5:$F$110*(((Inputs!$G$5:$G$110="moeda")+(Inputs!$G$5:$G$110="acoes"))*Inputs!$B$1+((Inputs!$G$5:$G$110&lt;&gt;"moeda")*(Inputs!$G$5:$G$110&lt;&gt;"acoes")))*INDEX(Inputs!$K$5:$AJ$110,0,MATCH(O$2,Inputs!$K$4:$AJ$4,0)))))</f>
        <v>16693</v>
      </c>
      <c r="P4" s="6">
        <f>IF(ISNA(MATCH(P$2,Inputs!$K$4:$AJ$4,0)),NA(),IF(SUMPRODUCT((Inputs!$A$5:$A$110=$B4)*ISNUMBER(INDEX(Inputs!$K$5:$AJ$110,0,MATCH(P$2,Inputs!$K$4:$AJ$4,0))))+SUMPRODUCT((Inputs!$C$5:$C$110=$B4)*ISNUMBER(INDEX(Inputs!$K$5:$AJ$110,0,MATCH(P$2,Inputs!$K$4:$AJ$4,0))))+SUMPRODUCT((Inputs!$E$5:$E$110=$B4)*ISNUMBER(INDEX(Inputs!$K$5:$AJ$110,0,MATCH(P$2,Inputs!$K$4:$AJ$4,0))))=0,NA(),SUMPRODUCT((Inputs!$A$5:$A$110=$B4)*Inputs!$B$5:$B$110*(((Inputs!$G$5:$G$110="moeda")+(Inputs!$G$5:$G$110="acoes"))*Inputs!$B$1+((Inputs!$G$5:$G$110&lt;&gt;"moeda")*(Inputs!$G$5:$G$110&lt;&gt;"acoes")))*INDEX(Inputs!$K$5:$AJ$110,0,MATCH(P$2,Inputs!$K$4:$AJ$4,0)))+SUMPRODUCT((Inputs!$C$5:$C$110=$B4)*Inputs!$D$5:$D$110*(((Inputs!$G$5:$G$110="moeda")+(Inputs!$G$5:$G$110="acoes"))*Inputs!$B$1+((Inputs!$G$5:$G$110&lt;&gt;"moeda")*(Inputs!$G$5:$G$110&lt;&gt;"acoes")))*INDEX(Inputs!$K$5:$AJ$110,0,MATCH(P$2,Inputs!$K$4:$AJ$4,0)))+SUMPRODUCT((Inputs!$E$5:$E$110=$B4)*Inputs!$F$5:$F$110*(((Inputs!$G$5:$G$110="moeda")+(Inputs!$G$5:$G$110="acoes"))*Inputs!$B$1+((Inputs!$G$5:$G$110&lt;&gt;"moeda")*(Inputs!$G$5:$G$110&lt;&gt;"acoes")))*INDEX(Inputs!$K$5:$AJ$110,0,MATCH(P$2,Inputs!$K$4:$AJ$4,0)))))</f>
        <v>16878</v>
      </c>
      <c r="Q4" s="6">
        <f>IF(ISNA(MATCH(Q$2,Inputs!$K$4:$AJ$4,0)),NA(),IF(SUMPRODUCT((Inputs!$A$5:$A$110=$B4)*ISNUMBER(INDEX(Inputs!$K$5:$AJ$110,0,MATCH(Q$2,Inputs!$K$4:$AJ$4,0))))+SUMPRODUCT((Inputs!$C$5:$C$110=$B4)*ISNUMBER(INDEX(Inputs!$K$5:$AJ$110,0,MATCH(Q$2,Inputs!$K$4:$AJ$4,0))))+SUMPRODUCT((Inputs!$E$5:$E$110=$B4)*ISNUMBER(INDEX(Inputs!$K$5:$AJ$110,0,MATCH(Q$2,Inputs!$K$4:$AJ$4,0))))=0,NA(),SUMPRODUCT((Inputs!$A$5:$A$110=$B4)*Inputs!$B$5:$B$110*(((Inputs!$G$5:$G$110="moeda")+(Inputs!$G$5:$G$110="acoes"))*Inputs!$B$1+((Inputs!$G$5:$G$110&lt;&gt;"moeda")*(Inputs!$G$5:$G$110&lt;&gt;"acoes")))*INDEX(Inputs!$K$5:$AJ$110,0,MATCH(Q$2,Inputs!$K$4:$AJ$4,0)))+SUMPRODUCT((Inputs!$C$5:$C$110=$B4)*Inputs!$D$5:$D$110*(((Inputs!$G$5:$G$110="moeda")+(Inputs!$G$5:$G$110="acoes"))*Inputs!$B$1+((Inputs!$G$5:$G$110&lt;&gt;"moeda")*(Inputs!$G$5:$G$110&lt;&gt;"acoes")))*INDEX(Inputs!$K$5:$AJ$110,0,MATCH(Q$2,Inputs!$K$4:$AJ$4,0)))+SUMPRODUCT((Inputs!$E$5:$E$110=$B4)*Inputs!$F$5:$F$110*(((Inputs!$G$5:$G$110="moeda")+(Inputs!$G$5:$G$110="acoes"))*Inputs!$B$1+((Inputs!$G$5:$G$110&lt;&gt;"moeda")*(Inputs!$G$5:$G$110&lt;&gt;"acoes")))*INDEX(Inputs!$K$5:$AJ$110,0,MATCH(Q$2,Inputs!$K$4:$AJ$4,0)))))</f>
        <v>18874</v>
      </c>
      <c r="R4" s="3">
        <f>SUM(N4:Q4)</f>
        <v>67571</v>
      </c>
      <c r="S4" s="6">
        <f>IF(ISNA(MATCH(S$2,Inputs!$K$4:$AJ$4,0)),NA(),IF(SUMPRODUCT((Inputs!$A$5:$A$110=$B4)*ISNUMBER(INDEX(Inputs!$K$5:$AJ$110,0,MATCH(S$2,Inputs!$K$4:$AJ$4,0))))+SUMPRODUCT((Inputs!$C$5:$C$110=$B4)*ISNUMBER(INDEX(Inputs!$K$5:$AJ$110,0,MATCH(S$2,Inputs!$K$4:$AJ$4,0))))+SUMPRODUCT((Inputs!$E$5:$E$110=$B4)*ISNUMBER(INDEX(Inputs!$K$5:$AJ$110,0,MATCH(S$2,Inputs!$K$4:$AJ$4,0))))=0,NA(),SUMPRODUCT((Inputs!$A$5:$A$110=$B4)*Inputs!$B$5:$B$110*(((Inputs!$G$5:$G$110="moeda")+(Inputs!$G$5:$G$110="acoes"))*Inputs!$B$1+((Inputs!$G$5:$G$110&lt;&gt;"moeda")*(Inputs!$G$5:$G$110&lt;&gt;"acoes")))*INDEX(Inputs!$K$5:$AJ$110,0,MATCH(S$2,Inputs!$K$4:$AJ$4,0)))+SUMPRODUCT((Inputs!$C$5:$C$110=$B4)*Inputs!$D$5:$D$110*(((Inputs!$G$5:$G$110="moeda")+(Inputs!$G$5:$G$110="acoes"))*Inputs!$B$1+((Inputs!$G$5:$G$110&lt;&gt;"moeda")*(Inputs!$G$5:$G$110&lt;&gt;"acoes")))*INDEX(Inputs!$K$5:$AJ$110,0,MATCH(S$2,Inputs!$K$4:$AJ$4,0)))+SUMPRODUCT((Inputs!$E$5:$E$110=$B4)*Inputs!$F$5:$F$110*(((Inputs!$G$5:$G$110="moeda")+(Inputs!$G$5:$G$110="acoes"))*Inputs!$B$1+((Inputs!$G$5:$G$110&lt;&gt;"moeda")*(Inputs!$G$5:$G$110&lt;&gt;"acoes")))*INDEX(Inputs!$K$5:$AJ$110,0,MATCH(S$2,Inputs!$K$4:$AJ$4,0)))))</f>
        <v>17195</v>
      </c>
      <c r="T4" s="6">
        <f>IF(ISNA(MATCH(T$2,Inputs!$K$4:$AJ$4,0)),NA(),IF(SUMPRODUCT((Inputs!$A$5:$A$110=$B4)*ISNUMBER(INDEX(Inputs!$K$5:$AJ$110,0,MATCH(T$2,Inputs!$K$4:$AJ$4,0))))+SUMPRODUCT((Inputs!$C$5:$C$110=$B4)*ISNUMBER(INDEX(Inputs!$K$5:$AJ$110,0,MATCH(T$2,Inputs!$K$4:$AJ$4,0))))+SUMPRODUCT((Inputs!$E$5:$E$110=$B4)*ISNUMBER(INDEX(Inputs!$K$5:$AJ$110,0,MATCH(T$2,Inputs!$K$4:$AJ$4,0))))=0,NA(),SUMPRODUCT((Inputs!$A$5:$A$110=$B4)*Inputs!$B$5:$B$110*(((Inputs!$G$5:$G$110="moeda")+(Inputs!$G$5:$G$110="acoes"))*Inputs!$B$1+((Inputs!$G$5:$G$110&lt;&gt;"moeda")*(Inputs!$G$5:$G$110&lt;&gt;"acoes")))*INDEX(Inputs!$K$5:$AJ$110,0,MATCH(T$2,Inputs!$K$4:$AJ$4,0)))+SUMPRODUCT((Inputs!$C$5:$C$110=$B4)*Inputs!$D$5:$D$110*(((Inputs!$G$5:$G$110="moeda")+(Inputs!$G$5:$G$110="acoes"))*Inputs!$B$1+((Inputs!$G$5:$G$110&lt;&gt;"moeda")*(Inputs!$G$5:$G$110&lt;&gt;"acoes")))*INDEX(Inputs!$K$5:$AJ$110,0,MATCH(T$2,Inputs!$K$4:$AJ$4,0)))+SUMPRODUCT((Inputs!$E$5:$E$110=$B4)*Inputs!$F$5:$F$110*(((Inputs!$G$5:$G$110="moeda")+(Inputs!$G$5:$G$110="acoes"))*Inputs!$B$1+((Inputs!$G$5:$G$110&lt;&gt;"moeda")*(Inputs!$G$5:$G$110&lt;&gt;"acoes")))*INDEX(Inputs!$K$5:$AJ$110,0,MATCH(T$2,Inputs!$K$4:$AJ$4,0)))))</f>
        <v>18122</v>
      </c>
      <c r="U4" s="6">
        <f>IF(ISNA(MATCH(U$2,Inputs!$K$4:$AJ$4,0)),NA(),IF(SUMPRODUCT((Inputs!$A$5:$A$110=$B4)*ISNUMBER(INDEX(Inputs!$K$5:$AJ$110,0,MATCH(U$2,Inputs!$K$4:$AJ$4,0))))+SUMPRODUCT((Inputs!$C$5:$C$110=$B4)*ISNUMBER(INDEX(Inputs!$K$5:$AJ$110,0,MATCH(U$2,Inputs!$K$4:$AJ$4,0))))+SUMPRODUCT((Inputs!$E$5:$E$110=$B4)*ISNUMBER(INDEX(Inputs!$K$5:$AJ$110,0,MATCH(U$2,Inputs!$K$4:$AJ$4,0))))=0,NA(),SUMPRODUCT((Inputs!$A$5:$A$110=$B4)*Inputs!$B$5:$B$110*(((Inputs!$G$5:$G$110="moeda")+(Inputs!$G$5:$G$110="acoes"))*Inputs!$B$1+((Inputs!$G$5:$G$110&lt;&gt;"moeda")*(Inputs!$G$5:$G$110&lt;&gt;"acoes")))*INDEX(Inputs!$K$5:$AJ$110,0,MATCH(U$2,Inputs!$K$4:$AJ$4,0)))+SUMPRODUCT((Inputs!$C$5:$C$110=$B4)*Inputs!$D$5:$D$110*(((Inputs!$G$5:$G$110="moeda")+(Inputs!$G$5:$G$110="acoes"))*Inputs!$B$1+((Inputs!$G$5:$G$110&lt;&gt;"moeda")*(Inputs!$G$5:$G$110&lt;&gt;"acoes")))*INDEX(Inputs!$K$5:$AJ$110,0,MATCH(U$2,Inputs!$K$4:$AJ$4,0)))+SUMPRODUCT((Inputs!$E$5:$E$110=$B4)*Inputs!$F$5:$F$110*(((Inputs!$G$5:$G$110="moeda")+(Inputs!$G$5:$G$110="acoes"))*Inputs!$B$1+((Inputs!$G$5:$G$110&lt;&gt;"moeda")*(Inputs!$G$5:$G$110&lt;&gt;"acoes")))*INDEX(Inputs!$K$5:$AJ$110,0,MATCH(U$2,Inputs!$K$4:$AJ$4,0)))))</f>
        <v>17104</v>
      </c>
      <c r="V4" s="6">
        <f>IF(ISNA(MATCH(V$2,Inputs!$K$4:$AJ$4,0)),NA(),IF(SUMPRODUCT((Inputs!$A$5:$A$110=$B4)*ISNUMBER(INDEX(Inputs!$K$5:$AJ$110,0,MATCH(V$2,Inputs!$K$4:$AJ$4,0))))+SUMPRODUCT((Inputs!$C$5:$C$110=$B4)*ISNUMBER(INDEX(Inputs!$K$5:$AJ$110,0,MATCH(V$2,Inputs!$K$4:$AJ$4,0))))+SUMPRODUCT((Inputs!$E$5:$E$110=$B4)*ISNUMBER(INDEX(Inputs!$K$5:$AJ$110,0,MATCH(V$2,Inputs!$K$4:$AJ$4,0))))=0,NA(),SUMPRODUCT((Inputs!$A$5:$A$110=$B4)*Inputs!$B$5:$B$110*(((Inputs!$G$5:$G$110="moeda")+(Inputs!$G$5:$G$110="acoes"))*Inputs!$B$1+((Inputs!$G$5:$G$110&lt;&gt;"moeda")*(Inputs!$G$5:$G$110&lt;&gt;"acoes")))*INDEX(Inputs!$K$5:$AJ$110,0,MATCH(V$2,Inputs!$K$4:$AJ$4,0)))+SUMPRODUCT((Inputs!$C$5:$C$110=$B4)*Inputs!$D$5:$D$110*(((Inputs!$G$5:$G$110="moeda")+(Inputs!$G$5:$G$110="acoes"))*Inputs!$B$1+((Inputs!$G$5:$G$110&lt;&gt;"moeda")*(Inputs!$G$5:$G$110&lt;&gt;"acoes")))*INDEX(Inputs!$K$5:$AJ$110,0,MATCH(V$2,Inputs!$K$4:$AJ$4,0)))+SUMPRODUCT((Inputs!$E$5:$E$110=$B4)*Inputs!$F$5:$F$110*(((Inputs!$G$5:$G$110="moeda")+(Inputs!$G$5:$G$110="acoes"))*Inputs!$B$1+((Inputs!$G$5:$G$110&lt;&gt;"moeda")*(Inputs!$G$5:$G$110&lt;&gt;"acoes")))*INDEX(Inputs!$K$5:$AJ$110,0,MATCH(V$2,Inputs!$K$4:$AJ$4,0)))))</f>
        <v>18622</v>
      </c>
      <c r="W4" s="3">
        <f>SUM(S4:V4)</f>
        <v>71043</v>
      </c>
      <c r="X4" s="6">
        <f>IF(ISNA(MATCH(X$2,Inputs!$K$4:$AJ$4,0)),NA(),IF(SUMPRODUCT((Inputs!$A$5:$A$110=$B4)*ISNUMBER(INDEX(Inputs!$K$5:$AJ$110,0,MATCH(X$2,Inputs!$K$4:$AJ$4,0))))+SUMPRODUCT((Inputs!$C$5:$C$110=$B4)*ISNUMBER(INDEX(Inputs!$K$5:$AJ$110,0,MATCH(X$2,Inputs!$K$4:$AJ$4,0))))+SUMPRODUCT((Inputs!$E$5:$E$110=$B4)*ISNUMBER(INDEX(Inputs!$K$5:$AJ$110,0,MATCH(X$2,Inputs!$K$4:$AJ$4,0))))=0,NA(),SUMPRODUCT((Inputs!$A$5:$A$110=$B4)*Inputs!$B$5:$B$110*(((Inputs!$G$5:$G$110="moeda")+(Inputs!$G$5:$G$110="acoes"))*Inputs!$B$1+((Inputs!$G$5:$G$110&lt;&gt;"moeda")*(Inputs!$G$5:$G$110&lt;&gt;"acoes")))*INDEX(Inputs!$K$5:$AJ$110,0,MATCH(X$2,Inputs!$K$4:$AJ$4,0)))+SUMPRODUCT((Inputs!$C$5:$C$110=$B4)*Inputs!$D$5:$D$110*(((Inputs!$G$5:$G$110="moeda")+(Inputs!$G$5:$G$110="acoes"))*Inputs!$B$1+((Inputs!$G$5:$G$110&lt;&gt;"moeda")*(Inputs!$G$5:$G$110&lt;&gt;"acoes")))*INDEX(Inputs!$K$5:$AJ$110,0,MATCH(X$2,Inputs!$K$4:$AJ$4,0)))+SUMPRODUCT((Inputs!$E$5:$E$110=$B4)*Inputs!$F$5:$F$110*(((Inputs!$G$5:$G$110="moeda")+(Inputs!$G$5:$G$110="acoes"))*Inputs!$B$1+((Inputs!$G$5:$G$110&lt;&gt;"moeda")*(Inputs!$G$5:$G$110&lt;&gt;"acoes")))*INDEX(Inputs!$K$5:$AJ$110,0,MATCH(X$2,Inputs!$K$4:$AJ$4,0)))))</f>
        <v>17963</v>
      </c>
      <c r="Y4" s="6">
        <f>IF(ISNA(MATCH(Y$2,Inputs!$K$4:$AJ$4,0)),NA(),IF(SUMPRODUCT((Inputs!$A$5:$A$110=$B4)*ISNUMBER(INDEX(Inputs!$K$5:$AJ$110,0,MATCH(Y$2,Inputs!$K$4:$AJ$4,0))))+SUMPRODUCT((Inputs!$C$5:$C$110=$B4)*ISNUMBER(INDEX(Inputs!$K$5:$AJ$110,0,MATCH(Y$2,Inputs!$K$4:$AJ$4,0))))+SUMPRODUCT((Inputs!$E$5:$E$110=$B4)*ISNUMBER(INDEX(Inputs!$K$5:$AJ$110,0,MATCH(Y$2,Inputs!$K$4:$AJ$4,0))))=0,NA(),SUMPRODUCT((Inputs!$A$5:$A$110=$B4)*Inputs!$B$5:$B$110*(((Inputs!$G$5:$G$110="moeda")+(Inputs!$G$5:$G$110="acoes"))*Inputs!$B$1+((Inputs!$G$5:$G$110&lt;&gt;"moeda")*(Inputs!$G$5:$G$110&lt;&gt;"acoes")))*INDEX(Inputs!$K$5:$AJ$110,0,MATCH(Y$2,Inputs!$K$4:$AJ$4,0)))+SUMPRODUCT((Inputs!$C$5:$C$110=$B4)*Inputs!$D$5:$D$110*(((Inputs!$G$5:$G$110="moeda")+(Inputs!$G$5:$G$110="acoes"))*Inputs!$B$1+((Inputs!$G$5:$G$110&lt;&gt;"moeda")*(Inputs!$G$5:$G$110&lt;&gt;"acoes")))*INDEX(Inputs!$K$5:$AJ$110,0,MATCH(Y$2,Inputs!$K$4:$AJ$4,0)))+SUMPRODUCT((Inputs!$E$5:$E$110=$B4)*Inputs!$F$5:$F$110*(((Inputs!$G$5:$G$110="moeda")+(Inputs!$G$5:$G$110="acoes"))*Inputs!$B$1+((Inputs!$G$5:$G$110&lt;&gt;"moeda")*(Inputs!$G$5:$G$110&lt;&gt;"acoes")))*INDEX(Inputs!$K$5:$AJ$110,0,MATCH(Y$2,Inputs!$K$4:$AJ$4,0)))))</f>
        <v>18155</v>
      </c>
      <c r="Z4" s="6">
        <f>IF(ISNA(MATCH(Z$2,Inputs!$K$4:$AJ$4,0)),NA(),IF(SUMPRODUCT((Inputs!$A$5:$A$110=$B4)*ISNUMBER(INDEX(Inputs!$K$5:$AJ$110,0,MATCH(Z$2,Inputs!$K$4:$AJ$4,0))))+SUMPRODUCT((Inputs!$C$5:$C$110=$B4)*ISNUMBER(INDEX(Inputs!$K$5:$AJ$110,0,MATCH(Z$2,Inputs!$K$4:$AJ$4,0))))+SUMPRODUCT((Inputs!$E$5:$E$110=$B4)*ISNUMBER(INDEX(Inputs!$K$5:$AJ$110,0,MATCH(Z$2,Inputs!$K$4:$AJ$4,0))))=0,NA(),SUMPRODUCT((Inputs!$A$5:$A$110=$B4)*Inputs!$B$5:$B$110*(((Inputs!$G$5:$G$110="moeda")+(Inputs!$G$5:$G$110="acoes"))*Inputs!$B$1+((Inputs!$G$5:$G$110&lt;&gt;"moeda")*(Inputs!$G$5:$G$110&lt;&gt;"acoes")))*INDEX(Inputs!$K$5:$AJ$110,0,MATCH(Z$2,Inputs!$K$4:$AJ$4,0)))+SUMPRODUCT((Inputs!$C$5:$C$110=$B4)*Inputs!$D$5:$D$110*(((Inputs!$G$5:$G$110="moeda")+(Inputs!$G$5:$G$110="acoes"))*Inputs!$B$1+((Inputs!$G$5:$G$110&lt;&gt;"moeda")*(Inputs!$G$5:$G$110&lt;&gt;"acoes")))*INDEX(Inputs!$K$5:$AJ$110,0,MATCH(Z$2,Inputs!$K$4:$AJ$4,0)))+SUMPRODUCT((Inputs!$E$5:$E$110=$B4)*Inputs!$F$5:$F$110*(((Inputs!$G$5:$G$110="moeda")+(Inputs!$G$5:$G$110="acoes"))*Inputs!$B$1+((Inputs!$G$5:$G$110&lt;&gt;"moeda")*(Inputs!$G$5:$G$110&lt;&gt;"acoes")))*INDEX(Inputs!$K$5:$AJ$110,0,MATCH(Z$2,Inputs!$K$4:$AJ$4,0)))))</f>
        <v>18609</v>
      </c>
      <c r="AA4" s="6">
        <f>IF(ISNA(MATCH(AA$2,Inputs!$K$4:$AJ$4,0)),NA(),IF(SUMPRODUCT((Inputs!$A$5:$A$110=$B4)*ISNUMBER(INDEX(Inputs!$K$5:$AJ$110,0,MATCH(AA$2,Inputs!$K$4:$AJ$4,0))))+SUMPRODUCT((Inputs!$C$5:$C$110=$B4)*ISNUMBER(INDEX(Inputs!$K$5:$AJ$110,0,MATCH(AA$2,Inputs!$K$4:$AJ$4,0))))+SUMPRODUCT((Inputs!$E$5:$E$110=$B4)*ISNUMBER(INDEX(Inputs!$K$5:$AJ$110,0,MATCH(AA$2,Inputs!$K$4:$AJ$4,0))))=0,NA(),SUMPRODUCT((Inputs!$A$5:$A$110=$B4)*Inputs!$B$5:$B$110*(((Inputs!$G$5:$G$110="moeda")+(Inputs!$G$5:$G$110="acoes"))*Inputs!$B$1+((Inputs!$G$5:$G$110&lt;&gt;"moeda")*(Inputs!$G$5:$G$110&lt;&gt;"acoes")))*INDEX(Inputs!$K$5:$AJ$110,0,MATCH(AA$2,Inputs!$K$4:$AJ$4,0)))+SUMPRODUCT((Inputs!$C$5:$C$110=$B4)*Inputs!$D$5:$D$110*(((Inputs!$G$5:$G$110="moeda")+(Inputs!$G$5:$G$110="acoes"))*Inputs!$B$1+((Inputs!$G$5:$G$110&lt;&gt;"moeda")*(Inputs!$G$5:$G$110&lt;&gt;"acoes")))*INDEX(Inputs!$K$5:$AJ$110,0,MATCH(AA$2,Inputs!$K$4:$AJ$4,0)))+SUMPRODUCT((Inputs!$E$5:$E$110=$B4)*Inputs!$F$5:$F$110*(((Inputs!$G$5:$G$110="moeda")+(Inputs!$G$5:$G$110="acoes"))*Inputs!$B$1+((Inputs!$G$5:$G$110&lt;&gt;"moeda")*(Inputs!$G$5:$G$110&lt;&gt;"acoes")))*INDEX(Inputs!$K$5:$AJ$110,0,MATCH(AA$2,Inputs!$K$4:$AJ$4,0)))))</f>
        <v>20321</v>
      </c>
      <c r="AB4" s="3">
        <f>SUM(X4:AA4)</f>
        <v>75048</v>
      </c>
      <c r="AC4" s="6">
        <f>IF(ISNA(MATCH(AC$2,Inputs!$K$4:$AJ$4,0)),NA(),IF(SUMPRODUCT((Inputs!$A$5:$A$110=$B4)*ISNUMBER(INDEX(Inputs!$K$5:$AJ$110,0,MATCH(AC$2,Inputs!$K$4:$AJ$4,0))))+SUMPRODUCT((Inputs!$C$5:$C$110=$B4)*ISNUMBER(INDEX(Inputs!$K$5:$AJ$110,0,MATCH(AC$2,Inputs!$K$4:$AJ$4,0))))+SUMPRODUCT((Inputs!$E$5:$E$110=$B4)*ISNUMBER(INDEX(Inputs!$K$5:$AJ$110,0,MATCH(AC$2,Inputs!$K$4:$AJ$4,0))))=0,NA(),SUMPRODUCT((Inputs!$A$5:$A$110=$B4)*Inputs!$B$5:$B$110*(((Inputs!$G$5:$G$110="moeda")+(Inputs!$G$5:$G$110="acoes"))*Inputs!$B$1+((Inputs!$G$5:$G$110&lt;&gt;"moeda")*(Inputs!$G$5:$G$110&lt;&gt;"acoes")))*INDEX(Inputs!$K$5:$AJ$110,0,MATCH(AC$2,Inputs!$K$4:$AJ$4,0)))+SUMPRODUCT((Inputs!$C$5:$C$110=$B4)*Inputs!$D$5:$D$110*(((Inputs!$G$5:$G$110="moeda")+(Inputs!$G$5:$G$110="acoes"))*Inputs!$B$1+((Inputs!$G$5:$G$110&lt;&gt;"moeda")*(Inputs!$G$5:$G$110&lt;&gt;"acoes")))*INDEX(Inputs!$K$5:$AJ$110,0,MATCH(AC$2,Inputs!$K$4:$AJ$4,0)))+SUMPRODUCT((Inputs!$E$5:$E$110=$B4)*Inputs!$F$5:$F$110*(((Inputs!$G$5:$G$110="moeda")+(Inputs!$G$5:$G$110="acoes"))*Inputs!$B$1+((Inputs!$G$5:$G$110&lt;&gt;"moeda")*(Inputs!$G$5:$G$110&lt;&gt;"acoes")))*INDEX(Inputs!$K$5:$AJ$110,0,MATCH(AC$2,Inputs!$K$4:$AJ$4,0)))))</f>
        <v>18021</v>
      </c>
      <c r="AD4" s="6">
        <f>IF(ISNA(MATCH(AD$2,Inputs!$K$4:$AJ$4,0)),NA(),IF(SUMPRODUCT((Inputs!$A$5:$A$110=$B4)*ISNUMBER(INDEX(Inputs!$K$5:$AJ$110,0,MATCH(AD$2,Inputs!$K$4:$AJ$4,0))))+SUMPRODUCT((Inputs!$C$5:$C$110=$B4)*ISNUMBER(INDEX(Inputs!$K$5:$AJ$110,0,MATCH(AD$2,Inputs!$K$4:$AJ$4,0))))+SUMPRODUCT((Inputs!$E$5:$E$110=$B4)*ISNUMBER(INDEX(Inputs!$K$5:$AJ$110,0,MATCH(AD$2,Inputs!$K$4:$AJ$4,0))))=0,NA(),SUMPRODUCT((Inputs!$A$5:$A$110=$B4)*Inputs!$B$5:$B$110*(((Inputs!$G$5:$G$110="moeda")+(Inputs!$G$5:$G$110="acoes"))*Inputs!$B$1+((Inputs!$G$5:$G$110&lt;&gt;"moeda")*(Inputs!$G$5:$G$110&lt;&gt;"acoes")))*INDEX(Inputs!$K$5:$AJ$110,0,MATCH(AD$2,Inputs!$K$4:$AJ$4,0)))+SUMPRODUCT((Inputs!$C$5:$C$110=$B4)*Inputs!$D$5:$D$110*(((Inputs!$G$5:$G$110="moeda")+(Inputs!$G$5:$G$110="acoes"))*Inputs!$B$1+((Inputs!$G$5:$G$110&lt;&gt;"moeda")*(Inputs!$G$5:$G$110&lt;&gt;"acoes")))*INDEX(Inputs!$K$5:$AJ$110,0,MATCH(AD$2,Inputs!$K$4:$AJ$4,0)))+SUMPRODUCT((Inputs!$E$5:$E$110=$B4)*Inputs!$F$5:$F$110*(((Inputs!$G$5:$G$110="moeda")+(Inputs!$G$5:$G$110="acoes"))*Inputs!$B$1+((Inputs!$G$5:$G$110&lt;&gt;"moeda")*(Inputs!$G$5:$G$110&lt;&gt;"acoes")))*INDEX(Inputs!$K$5:$AJ$110,0,MATCH(AD$2,Inputs!$K$4:$AJ$4,0)))))</f>
        <v>20063</v>
      </c>
      <c r="AE4" s="6" t="e">
        <f>IF(ISNA(MATCH(AE$2,Inputs!$K$4:$AJ$4,0)),NA(),IF(SUMPRODUCT((Inputs!$A$5:$A$110=$B4)*ISNUMBER(INDEX(Inputs!$K$5:$AJ$110,0,MATCH(AE$2,Inputs!$K$4:$AJ$4,0))))+SUMPRODUCT((Inputs!$C$5:$C$110=$B4)*ISNUMBER(INDEX(Inputs!$K$5:$AJ$110,0,MATCH(AE$2,Inputs!$K$4:$AJ$4,0))))+SUMPRODUCT((Inputs!$E$5:$E$110=$B4)*ISNUMBER(INDEX(Inputs!$K$5:$AJ$110,0,MATCH(AE$2,Inputs!$K$4:$AJ$4,0))))=0,NA(),SUMPRODUCT((Inputs!$A$5:$A$110=$B4)*Inputs!$B$5:$B$110*(((Inputs!$G$5:$G$110="moeda")+(Inputs!$G$5:$G$110="acoes"))*Inputs!$B$1+((Inputs!$G$5:$G$110&lt;&gt;"moeda")*(Inputs!$G$5:$G$110&lt;&gt;"acoes")))*INDEX(Inputs!$K$5:$AJ$110,0,MATCH(AE$2,Inputs!$K$4:$AJ$4,0)))+SUMPRODUCT((Inputs!$C$5:$C$110=$B4)*Inputs!$D$5:$D$110*(((Inputs!$G$5:$G$110="moeda")+(Inputs!$G$5:$G$110="acoes"))*Inputs!$B$1+((Inputs!$G$5:$G$110&lt;&gt;"moeda")*(Inputs!$G$5:$G$110&lt;&gt;"acoes")))*INDEX(Inputs!$K$5:$AJ$110,0,MATCH(AE$2,Inputs!$K$4:$AJ$4,0)))+SUMPRODUCT((Inputs!$E$5:$E$110=$B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" s="6" t="e">
        <f>IF(ISNA(MATCH(AF$2,Inputs!$K$4:$AJ$4,0)),NA(),IF(SUMPRODUCT((Inputs!$A$5:$A$110=$B4)*ISNUMBER(INDEX(Inputs!$K$5:$AJ$110,0,MATCH(AF$2,Inputs!$K$4:$AJ$4,0))))+SUMPRODUCT((Inputs!$C$5:$C$110=$B4)*ISNUMBER(INDEX(Inputs!$K$5:$AJ$110,0,MATCH(AF$2,Inputs!$K$4:$AJ$4,0))))+SUMPRODUCT((Inputs!$E$5:$E$110=$B4)*ISNUMBER(INDEX(Inputs!$K$5:$AJ$110,0,MATCH(AF$2,Inputs!$K$4:$AJ$4,0))))=0,NA(),SUMPRODUCT((Inputs!$A$5:$A$110=$B4)*Inputs!$B$5:$B$110*(((Inputs!$G$5:$G$110="moeda")+(Inputs!$G$5:$G$110="acoes"))*Inputs!$B$1+((Inputs!$G$5:$G$110&lt;&gt;"moeda")*(Inputs!$G$5:$G$110&lt;&gt;"acoes")))*INDEX(Inputs!$K$5:$AJ$110,0,MATCH(AF$2,Inputs!$K$4:$AJ$4,0)))+SUMPRODUCT((Inputs!$C$5:$C$110=$B4)*Inputs!$D$5:$D$110*(((Inputs!$G$5:$G$110="moeda")+(Inputs!$G$5:$G$110="acoes"))*Inputs!$B$1+((Inputs!$G$5:$G$110&lt;&gt;"moeda")*(Inputs!$G$5:$G$110&lt;&gt;"acoes")))*INDEX(Inputs!$K$5:$AJ$110,0,MATCH(AF$2,Inputs!$K$4:$AJ$4,0)))+SUMPRODUCT((Inputs!$E$5:$E$110=$B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" s="3" t="e">
        <f>SUM(AC4:AF4)</f>
        <v>#N/A</v>
      </c>
      <c r="AH4" s="6">
        <f>IF(ISNA(MATCH(AH$2,Inputs!$K$4:$AJ$4,0)),NA(),IF(SUMPRODUCT((Inputs!$A$5:$A$110=$B4)*ISNUMBER(INDEX(Inputs!$K$5:$AJ$110,0,MATCH(AH$2,Inputs!$K$4:$AJ$4,0))))+SUMPRODUCT((Inputs!$C$5:$C$110=$B4)*ISNUMBER(INDEX(Inputs!$K$5:$AJ$110,0,MATCH(AH$2,Inputs!$K$4:$AJ$4,0))))+SUMPRODUCT((Inputs!$E$5:$E$110=$B4)*ISNUMBER(INDEX(Inputs!$K$5:$AJ$110,0,MATCH(AH$2,Inputs!$K$4:$AJ$4,0))))=0,NA(),SUMPRODUCT((Inputs!$A$5:$A$110=$B4)*Inputs!$B$5:$B$110*(((Inputs!$G$5:$G$110="moeda")+(Inputs!$G$5:$G$110="acoes"))*Inputs!$B$1+((Inputs!$G$5:$G$110&lt;&gt;"moeda")*(Inputs!$G$5:$G$110&lt;&gt;"acoes")))*INDEX(Inputs!$K$5:$AJ$110,0,MATCH(AH$2,Inputs!$K$4:$AJ$4,0)))+SUMPRODUCT((Inputs!$C$5:$C$110=$B4)*Inputs!$D$5:$D$110*(((Inputs!$G$5:$G$110="moeda")+(Inputs!$G$5:$G$110="acoes"))*Inputs!$B$1+((Inputs!$G$5:$G$110&lt;&gt;"moeda")*(Inputs!$G$5:$G$110&lt;&gt;"acoes")))*INDEX(Inputs!$K$5:$AJ$110,0,MATCH(AH$2,Inputs!$K$4:$AJ$4,0)))+SUMPRODUCT((Inputs!$E$5:$E$110=$B4)*Inputs!$F$5:$F$110*(((Inputs!$G$5:$G$110="moeda")+(Inputs!$G$5:$G$110="acoes"))*Inputs!$B$1+((Inputs!$G$5:$G$110&lt;&gt;"moeda")*(Inputs!$G$5:$G$110&lt;&gt;"acoes")))*INDEX(Inputs!$K$5:$AJ$110,0,MATCH(AH$2,Inputs!$K$4:$AJ$4,0)))))</f>
        <v>15651</v>
      </c>
      <c r="AI4" s="6">
        <f>IF(ISNA(MATCH(AI$2,Inputs!$K$4:$AJ$4,0)),NA(),IF(SUMPRODUCT((Inputs!$A$5:$A$110=$B4)*ISNUMBER(INDEX(Inputs!$K$5:$AJ$110,0,MATCH(AI$2,Inputs!$K$4:$AJ$4,0))))+SUMPRODUCT((Inputs!$C$5:$C$110=$B4)*ISNUMBER(INDEX(Inputs!$K$5:$AJ$110,0,MATCH(AI$2,Inputs!$K$4:$AJ$4,0))))+SUMPRODUCT((Inputs!$E$5:$E$110=$B4)*ISNUMBER(INDEX(Inputs!$K$5:$AJ$110,0,MATCH(AI$2,Inputs!$K$4:$AJ$4,0))))=0,NA(),SUMPRODUCT((Inputs!$A$5:$A$110=$B4)*Inputs!$B$5:$B$110*(((Inputs!$G$5:$G$110="moeda")+(Inputs!$G$5:$G$110="acoes"))*Inputs!$B$1+((Inputs!$G$5:$G$110&lt;&gt;"moeda")*(Inputs!$G$5:$G$110&lt;&gt;"acoes")))*INDEX(Inputs!$K$5:$AJ$110,0,MATCH(AI$2,Inputs!$K$4:$AJ$4,0)))+SUMPRODUCT((Inputs!$C$5:$C$110=$B4)*Inputs!$D$5:$D$110*(((Inputs!$G$5:$G$110="moeda")+(Inputs!$G$5:$G$110="acoes"))*Inputs!$B$1+((Inputs!$G$5:$G$110&lt;&gt;"moeda")*(Inputs!$G$5:$G$110&lt;&gt;"acoes")))*INDEX(Inputs!$K$5:$AJ$110,0,MATCH(AI$2,Inputs!$K$4:$AJ$4,0)))+SUMPRODUCT((Inputs!$E$5:$E$110=$B4)*Inputs!$F$5:$F$110*(((Inputs!$G$5:$G$110="moeda")+(Inputs!$G$5:$G$110="acoes"))*Inputs!$B$1+((Inputs!$G$5:$G$110&lt;&gt;"moeda")*(Inputs!$G$5:$G$110&lt;&gt;"acoes")))*INDEX(Inputs!$K$5:$AJ$110,0,MATCH(AI$2,Inputs!$K$4:$AJ$4,0)))))</f>
        <v>16220</v>
      </c>
      <c r="AJ4" s="6">
        <f>IF(ISNA(MATCH(AJ$2,Inputs!$K$4:$AJ$4,0)),NA(),IF(SUMPRODUCT((Inputs!$A$5:$A$110=$B4)*ISNUMBER(INDEX(Inputs!$K$5:$AJ$110,0,MATCH(AJ$2,Inputs!$K$4:$AJ$4,0))))+SUMPRODUCT((Inputs!$C$5:$C$110=$B4)*ISNUMBER(INDEX(Inputs!$K$5:$AJ$110,0,MATCH(AJ$2,Inputs!$K$4:$AJ$4,0))))+SUMPRODUCT((Inputs!$E$5:$E$110=$B4)*ISNUMBER(INDEX(Inputs!$K$5:$AJ$110,0,MATCH(AJ$2,Inputs!$K$4:$AJ$4,0))))=0,NA(),SUMPRODUCT((Inputs!$A$5:$A$110=$B4)*Inputs!$B$5:$B$110*(((Inputs!$G$5:$G$110="moeda")+(Inputs!$G$5:$G$110="acoes"))*Inputs!$B$1+((Inputs!$G$5:$G$110&lt;&gt;"moeda")*(Inputs!$G$5:$G$110&lt;&gt;"acoes")))*INDEX(Inputs!$K$5:$AJ$110,0,MATCH(AJ$2,Inputs!$K$4:$AJ$4,0)))+SUMPRODUCT((Inputs!$C$5:$C$110=$B4)*Inputs!$D$5:$D$110*(((Inputs!$G$5:$G$110="moeda")+(Inputs!$G$5:$G$110="acoes"))*Inputs!$B$1+((Inputs!$G$5:$G$110&lt;&gt;"moeda")*(Inputs!$G$5:$G$110&lt;&gt;"acoes")))*INDEX(Inputs!$K$5:$AJ$110,0,MATCH(AJ$2,Inputs!$K$4:$AJ$4,0)))+SUMPRODUCT((Inputs!$E$5:$E$110=$B4)*Inputs!$F$5:$F$110*(((Inputs!$G$5:$G$110="moeda")+(Inputs!$G$5:$G$110="acoes"))*Inputs!$B$1+((Inputs!$G$5:$G$110&lt;&gt;"moeda")*(Inputs!$G$5:$G$110&lt;&gt;"acoes")))*INDEX(Inputs!$K$5:$AJ$110,0,MATCH(AJ$2,Inputs!$K$4:$AJ$4,0)))))</f>
        <v>16495</v>
      </c>
      <c r="AK4" s="6">
        <f>IF(ISNA(MATCH(AK$2,Inputs!$K$4:$AJ$4,0)),NA(),IF(SUMPRODUCT((Inputs!$A$5:$A$110=$B4)*ISNUMBER(INDEX(Inputs!$K$5:$AJ$110,0,MATCH(AK$2,Inputs!$K$4:$AJ$4,0))))+SUMPRODUCT((Inputs!$C$5:$C$110=$B4)*ISNUMBER(INDEX(Inputs!$K$5:$AJ$110,0,MATCH(AK$2,Inputs!$K$4:$AJ$4,0))))+SUMPRODUCT((Inputs!$E$5:$E$110=$B4)*ISNUMBER(INDEX(Inputs!$K$5:$AJ$110,0,MATCH(AK$2,Inputs!$K$4:$AJ$4,0))))=0,NA(),SUMPRODUCT((Inputs!$A$5:$A$110=$B4)*Inputs!$B$5:$B$110*(((Inputs!$G$5:$G$110="moeda")+(Inputs!$G$5:$G$110="acoes"))*Inputs!$B$1+((Inputs!$G$5:$G$110&lt;&gt;"moeda")*(Inputs!$G$5:$G$110&lt;&gt;"acoes")))*INDEX(Inputs!$K$5:$AJ$110,0,MATCH(AK$2,Inputs!$K$4:$AJ$4,0)))+SUMPRODUCT((Inputs!$C$5:$C$110=$B4)*Inputs!$D$5:$D$110*(((Inputs!$G$5:$G$110="moeda")+(Inputs!$G$5:$G$110="acoes"))*Inputs!$B$1+((Inputs!$G$5:$G$110&lt;&gt;"moeda")*(Inputs!$G$5:$G$110&lt;&gt;"acoes")))*INDEX(Inputs!$K$5:$AJ$110,0,MATCH(AK$2,Inputs!$K$4:$AJ$4,0)))+SUMPRODUCT((Inputs!$E$5:$E$110=$B4)*Inputs!$F$5:$F$110*(((Inputs!$G$5:$G$110="moeda")+(Inputs!$G$5:$G$110="acoes"))*Inputs!$B$1+((Inputs!$G$5:$G$110&lt;&gt;"moeda")*(Inputs!$G$5:$G$110&lt;&gt;"acoes")))*INDEX(Inputs!$K$5:$AJ$110,0,MATCH(AK$2,Inputs!$K$4:$AJ$4,0)))))</f>
        <v>17032</v>
      </c>
      <c r="AL4" s="3">
        <f>SUM(AH4:AK4)</f>
        <v>65398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$110=$B5)*ISNUMBER(INDEX(Inputs!$K$5:$AJ$110,0,MATCH(D$2,Inputs!$K$4:$AJ$4,0))))+SUMPRODUCT((Inputs!$C$5:$C$110=$B5)*ISNUMBER(INDEX(Inputs!$K$5:$AJ$110,0,MATCH(D$2,Inputs!$K$4:$AJ$4,0))))+SUMPRODUCT((Inputs!$E$5:$E$110=$B5)*ISNUMBER(INDEX(Inputs!$K$5:$AJ$110,0,MATCH(D$2,Inputs!$K$4:$AJ$4,0))))=0,NA(),SUMPRODUCT((Inputs!$A$5:$A$110=$B5)*Inputs!$B$5:$B$110*(((Inputs!$G$5:$G$110="moeda")+(Inputs!$G$5:$G$110="acoes"))*Inputs!$B$1+((Inputs!$G$5:$G$110&lt;&gt;"moeda")*(Inputs!$G$5:$G$110&lt;&gt;"acoes")))*INDEX(Inputs!$K$5:$AJ$110,0,MATCH(D$2,Inputs!$K$4:$AJ$4,0)))+SUMPRODUCT((Inputs!$C$5:$C$110=$B5)*Inputs!$D$5:$D$110*(((Inputs!$G$5:$G$110="moeda")+(Inputs!$G$5:$G$110="acoes"))*Inputs!$B$1+((Inputs!$G$5:$G$110&lt;&gt;"moeda")*(Inputs!$G$5:$G$110&lt;&gt;"acoes")))*INDEX(Inputs!$K$5:$AJ$110,0,MATCH(D$2,Inputs!$K$4:$AJ$4,0)))+SUMPRODUCT((Inputs!$E$5:$E$110=$B5)*Inputs!$F$5:$F$110*(((Inputs!$G$5:$G$110="moeda")+(Inputs!$G$5:$G$110="acoes"))*Inputs!$B$1+((Inputs!$G$5:$G$110&lt;&gt;"moeda")*(Inputs!$G$5:$G$110&lt;&gt;"acoes")))*INDEX(Inputs!$K$5:$AJ$110,0,MATCH(D$2,Inputs!$K$4:$AJ$4,0)))))</f>
        <v>-14072</v>
      </c>
      <c r="E5" s="6">
        <f>IF(ISNA(MATCH(E$2,Inputs!$K$4:$AJ$4,0)),NA(),IF(SUMPRODUCT((Inputs!$A$5:$A$110=$B5)*ISNUMBER(INDEX(Inputs!$K$5:$AJ$110,0,MATCH(E$2,Inputs!$K$4:$AJ$4,0))))+SUMPRODUCT((Inputs!$C$5:$C$110=$B5)*ISNUMBER(INDEX(Inputs!$K$5:$AJ$110,0,MATCH(E$2,Inputs!$K$4:$AJ$4,0))))+SUMPRODUCT((Inputs!$E$5:$E$110=$B5)*ISNUMBER(INDEX(Inputs!$K$5:$AJ$110,0,MATCH(E$2,Inputs!$K$4:$AJ$4,0))))=0,NA(),SUMPRODUCT((Inputs!$A$5:$A$110=$B5)*Inputs!$B$5:$B$110*(((Inputs!$G$5:$G$110="moeda")+(Inputs!$G$5:$G$110="acoes"))*Inputs!$B$1+((Inputs!$G$5:$G$110&lt;&gt;"moeda")*(Inputs!$G$5:$G$110&lt;&gt;"acoes")))*INDEX(Inputs!$K$5:$AJ$110,0,MATCH(E$2,Inputs!$K$4:$AJ$4,0)))+SUMPRODUCT((Inputs!$C$5:$C$110=$B5)*Inputs!$D$5:$D$110*(((Inputs!$G$5:$G$110="moeda")+(Inputs!$G$5:$G$110="acoes"))*Inputs!$B$1+((Inputs!$G$5:$G$110&lt;&gt;"moeda")*(Inputs!$G$5:$G$110&lt;&gt;"acoes")))*INDEX(Inputs!$K$5:$AJ$110,0,MATCH(E$2,Inputs!$K$4:$AJ$4,0)))+SUMPRODUCT((Inputs!$E$5:$E$110=$B5)*Inputs!$F$5:$F$110*(((Inputs!$G$5:$G$110="moeda")+(Inputs!$G$5:$G$110="acoes"))*Inputs!$B$1+((Inputs!$G$5:$G$110&lt;&gt;"moeda")*(Inputs!$G$5:$G$110&lt;&gt;"acoes")))*INDEX(Inputs!$K$5:$AJ$110,0,MATCH(E$2,Inputs!$K$4:$AJ$4,0)))))</f>
        <v>-14878</v>
      </c>
      <c r="F5" s="6">
        <f>IF(ISNA(MATCH(F$2,Inputs!$K$4:$AJ$4,0)),NA(),IF(SUMPRODUCT((Inputs!$A$5:$A$110=$B5)*ISNUMBER(INDEX(Inputs!$K$5:$AJ$110,0,MATCH(F$2,Inputs!$K$4:$AJ$4,0))))+SUMPRODUCT((Inputs!$C$5:$C$110=$B5)*ISNUMBER(INDEX(Inputs!$K$5:$AJ$110,0,MATCH(F$2,Inputs!$K$4:$AJ$4,0))))+SUMPRODUCT((Inputs!$E$5:$E$110=$B5)*ISNUMBER(INDEX(Inputs!$K$5:$AJ$110,0,MATCH(F$2,Inputs!$K$4:$AJ$4,0))))=0,NA(),SUMPRODUCT((Inputs!$A$5:$A$110=$B5)*Inputs!$B$5:$B$110*(((Inputs!$G$5:$G$110="moeda")+(Inputs!$G$5:$G$110="acoes"))*Inputs!$B$1+((Inputs!$G$5:$G$110&lt;&gt;"moeda")*(Inputs!$G$5:$G$110&lt;&gt;"acoes")))*INDEX(Inputs!$K$5:$AJ$110,0,MATCH(F$2,Inputs!$K$4:$AJ$4,0)))+SUMPRODUCT((Inputs!$C$5:$C$110=$B5)*Inputs!$D$5:$D$110*(((Inputs!$G$5:$G$110="moeda")+(Inputs!$G$5:$G$110="acoes"))*Inputs!$B$1+((Inputs!$G$5:$G$110&lt;&gt;"moeda")*(Inputs!$G$5:$G$110&lt;&gt;"acoes")))*INDEX(Inputs!$K$5:$AJ$110,0,MATCH(F$2,Inputs!$K$4:$AJ$4,0)))+SUMPRODUCT((Inputs!$E$5:$E$110=$B5)*Inputs!$F$5:$F$110*(((Inputs!$G$5:$G$110="moeda")+(Inputs!$G$5:$G$110="acoes"))*Inputs!$B$1+((Inputs!$G$5:$G$110&lt;&gt;"moeda")*(Inputs!$G$5:$G$110&lt;&gt;"acoes")))*INDEX(Inputs!$K$5:$AJ$110,0,MATCH(F$2,Inputs!$K$4:$AJ$4,0)))))</f>
        <v>-13726</v>
      </c>
      <c r="G5" s="6">
        <f>IF(ISNA(MATCH(G$2,Inputs!$K$4:$AJ$4,0)),NA(),IF(SUMPRODUCT((Inputs!$A$5:$A$110=$B5)*ISNUMBER(INDEX(Inputs!$K$5:$AJ$110,0,MATCH(G$2,Inputs!$K$4:$AJ$4,0))))+SUMPRODUCT((Inputs!$C$5:$C$110=$B5)*ISNUMBER(INDEX(Inputs!$K$5:$AJ$110,0,MATCH(G$2,Inputs!$K$4:$AJ$4,0))))+SUMPRODUCT((Inputs!$E$5:$E$110=$B5)*ISNUMBER(INDEX(Inputs!$K$5:$AJ$110,0,MATCH(G$2,Inputs!$K$4:$AJ$4,0))))=0,NA(),SUMPRODUCT((Inputs!$A$5:$A$110=$B5)*Inputs!$B$5:$B$110*(((Inputs!$G$5:$G$110="moeda")+(Inputs!$G$5:$G$110="acoes"))*Inputs!$B$1+((Inputs!$G$5:$G$110&lt;&gt;"moeda")*(Inputs!$G$5:$G$110&lt;&gt;"acoes")))*INDEX(Inputs!$K$5:$AJ$110,0,MATCH(G$2,Inputs!$K$4:$AJ$4,0)))+SUMPRODUCT((Inputs!$C$5:$C$110=$B5)*Inputs!$D$5:$D$110*(((Inputs!$G$5:$G$110="moeda")+(Inputs!$G$5:$G$110="acoes"))*Inputs!$B$1+((Inputs!$G$5:$G$110&lt;&gt;"moeda")*(Inputs!$G$5:$G$110&lt;&gt;"acoes")))*INDEX(Inputs!$K$5:$AJ$110,0,MATCH(G$2,Inputs!$K$4:$AJ$4,0)))+SUMPRODUCT((Inputs!$E$5:$E$110=$B5)*Inputs!$F$5:$F$110*(((Inputs!$G$5:$G$110="moeda")+(Inputs!$G$5:$G$110="acoes"))*Inputs!$B$1+((Inputs!$G$5:$G$110&lt;&gt;"moeda")*(Inputs!$G$5:$G$110&lt;&gt;"acoes")))*INDEX(Inputs!$K$5:$AJ$110,0,MATCH(G$2,Inputs!$K$4:$AJ$4,0)))))</f>
        <v>-15307</v>
      </c>
      <c r="H5" s="3">
        <f>SUM(D5:G5)</f>
        <v>-57983</v>
      </c>
      <c r="I5" s="6">
        <f>IF(ISNA(MATCH(I$2,Inputs!$K$4:$AJ$4,0)),NA(),IF(SUMPRODUCT((Inputs!$A$5:$A$110=$B5)*ISNUMBER(INDEX(Inputs!$K$5:$AJ$110,0,MATCH(I$2,Inputs!$K$4:$AJ$4,0))))+SUMPRODUCT((Inputs!$C$5:$C$110=$B5)*ISNUMBER(INDEX(Inputs!$K$5:$AJ$110,0,MATCH(I$2,Inputs!$K$4:$AJ$4,0))))+SUMPRODUCT((Inputs!$E$5:$E$110=$B5)*ISNUMBER(INDEX(Inputs!$K$5:$AJ$110,0,MATCH(I$2,Inputs!$K$4:$AJ$4,0))))=0,NA(),SUMPRODUCT((Inputs!$A$5:$A$110=$B5)*Inputs!$B$5:$B$110*(((Inputs!$G$5:$G$110="moeda")+(Inputs!$G$5:$G$110="acoes"))*Inputs!$B$1+((Inputs!$G$5:$G$110&lt;&gt;"moeda")*(Inputs!$G$5:$G$110&lt;&gt;"acoes")))*INDEX(Inputs!$K$5:$AJ$110,0,MATCH(I$2,Inputs!$K$4:$AJ$4,0)))+SUMPRODUCT((Inputs!$C$5:$C$110=$B5)*Inputs!$D$5:$D$110*(((Inputs!$G$5:$G$110="moeda")+(Inputs!$G$5:$G$110="acoes"))*Inputs!$B$1+((Inputs!$G$5:$G$110&lt;&gt;"moeda")*(Inputs!$G$5:$G$110&lt;&gt;"acoes")))*INDEX(Inputs!$K$5:$AJ$110,0,MATCH(I$2,Inputs!$K$4:$AJ$4,0)))+SUMPRODUCT((Inputs!$E$5:$E$110=$B5)*Inputs!$F$5:$F$110*(((Inputs!$G$5:$G$110="moeda")+(Inputs!$G$5:$G$110="acoes"))*Inputs!$B$1+((Inputs!$G$5:$G$110&lt;&gt;"moeda")*(Inputs!$G$5:$G$110&lt;&gt;"acoes")))*INDEX(Inputs!$K$5:$AJ$110,0,MATCH(I$2,Inputs!$K$4:$AJ$4,0)))))</f>
        <v>-13055</v>
      </c>
      <c r="J5" s="6">
        <f>IF(ISNA(MATCH(J$2,Inputs!$K$4:$AJ$4,0)),NA(),IF(SUMPRODUCT((Inputs!$A$5:$A$110=$B5)*ISNUMBER(INDEX(Inputs!$K$5:$AJ$110,0,MATCH(J$2,Inputs!$K$4:$AJ$4,0))))+SUMPRODUCT((Inputs!$C$5:$C$110=$B5)*ISNUMBER(INDEX(Inputs!$K$5:$AJ$110,0,MATCH(J$2,Inputs!$K$4:$AJ$4,0))))+SUMPRODUCT((Inputs!$E$5:$E$110=$B5)*ISNUMBER(INDEX(Inputs!$K$5:$AJ$110,0,MATCH(J$2,Inputs!$K$4:$AJ$4,0))))=0,NA(),SUMPRODUCT((Inputs!$A$5:$A$110=$B5)*Inputs!$B$5:$B$110*(((Inputs!$G$5:$G$110="moeda")+(Inputs!$G$5:$G$110="acoes"))*Inputs!$B$1+((Inputs!$G$5:$G$110&lt;&gt;"moeda")*(Inputs!$G$5:$G$110&lt;&gt;"acoes")))*INDEX(Inputs!$K$5:$AJ$110,0,MATCH(J$2,Inputs!$K$4:$AJ$4,0)))+SUMPRODUCT((Inputs!$C$5:$C$110=$B5)*Inputs!$D$5:$D$110*(((Inputs!$G$5:$G$110="moeda")+(Inputs!$G$5:$G$110="acoes"))*Inputs!$B$1+((Inputs!$G$5:$G$110&lt;&gt;"moeda")*(Inputs!$G$5:$G$110&lt;&gt;"acoes")))*INDEX(Inputs!$K$5:$AJ$110,0,MATCH(J$2,Inputs!$K$4:$AJ$4,0)))+SUMPRODUCT((Inputs!$E$5:$E$110=$B5)*Inputs!$F$5:$F$110*(((Inputs!$G$5:$G$110="moeda")+(Inputs!$G$5:$G$110="acoes"))*Inputs!$B$1+((Inputs!$G$5:$G$110&lt;&gt;"moeda")*(Inputs!$G$5:$G$110&lt;&gt;"acoes")))*INDEX(Inputs!$K$5:$AJ$110,0,MATCH(J$2,Inputs!$K$4:$AJ$4,0)))))</f>
        <v>-13490</v>
      </c>
      <c r="K5" s="6">
        <f>IF(ISNA(MATCH(K$2,Inputs!$K$4:$AJ$4,0)),NA(),IF(SUMPRODUCT((Inputs!$A$5:$A$110=$B5)*ISNUMBER(INDEX(Inputs!$K$5:$AJ$110,0,MATCH(K$2,Inputs!$K$4:$AJ$4,0))))+SUMPRODUCT((Inputs!$C$5:$C$110=$B5)*ISNUMBER(INDEX(Inputs!$K$5:$AJ$110,0,MATCH(K$2,Inputs!$K$4:$AJ$4,0))))+SUMPRODUCT((Inputs!$E$5:$E$110=$B5)*ISNUMBER(INDEX(Inputs!$K$5:$AJ$110,0,MATCH(K$2,Inputs!$K$4:$AJ$4,0))))=0,NA(),SUMPRODUCT((Inputs!$A$5:$A$110=$B5)*Inputs!$B$5:$B$110*(((Inputs!$G$5:$G$110="moeda")+(Inputs!$G$5:$G$110="acoes"))*Inputs!$B$1+((Inputs!$G$5:$G$110&lt;&gt;"moeda")*(Inputs!$G$5:$G$110&lt;&gt;"acoes")))*INDEX(Inputs!$K$5:$AJ$110,0,MATCH(K$2,Inputs!$K$4:$AJ$4,0)))+SUMPRODUCT((Inputs!$C$5:$C$110=$B5)*Inputs!$D$5:$D$110*(((Inputs!$G$5:$G$110="moeda")+(Inputs!$G$5:$G$110="acoes"))*Inputs!$B$1+((Inputs!$G$5:$G$110&lt;&gt;"moeda")*(Inputs!$G$5:$G$110&lt;&gt;"acoes")))*INDEX(Inputs!$K$5:$AJ$110,0,MATCH(K$2,Inputs!$K$4:$AJ$4,0)))+SUMPRODUCT((Inputs!$E$5:$E$110=$B5)*Inputs!$F$5:$F$110*(((Inputs!$G$5:$G$110="moeda")+(Inputs!$G$5:$G$110="acoes"))*Inputs!$B$1+((Inputs!$G$5:$G$110&lt;&gt;"moeda")*(Inputs!$G$5:$G$110&lt;&gt;"acoes")))*INDEX(Inputs!$K$5:$AJ$110,0,MATCH(K$2,Inputs!$K$4:$AJ$4,0)))))</f>
        <v>-14463</v>
      </c>
      <c r="L5" s="6">
        <f>IF(ISNA(MATCH(L$2,Inputs!$K$4:$AJ$4,0)),NA(),IF(SUMPRODUCT((Inputs!$A$5:$A$110=$B5)*ISNUMBER(INDEX(Inputs!$K$5:$AJ$110,0,MATCH(L$2,Inputs!$K$4:$AJ$4,0))))+SUMPRODUCT((Inputs!$C$5:$C$110=$B5)*ISNUMBER(INDEX(Inputs!$K$5:$AJ$110,0,MATCH(L$2,Inputs!$K$4:$AJ$4,0))))+SUMPRODUCT((Inputs!$E$5:$E$110=$B5)*ISNUMBER(INDEX(Inputs!$K$5:$AJ$110,0,MATCH(L$2,Inputs!$K$4:$AJ$4,0))))=0,NA(),SUMPRODUCT((Inputs!$A$5:$A$110=$B5)*Inputs!$B$5:$B$110*(((Inputs!$G$5:$G$110="moeda")+(Inputs!$G$5:$G$110="acoes"))*Inputs!$B$1+((Inputs!$G$5:$G$110&lt;&gt;"moeda")*(Inputs!$G$5:$G$110&lt;&gt;"acoes")))*INDEX(Inputs!$K$5:$AJ$110,0,MATCH(L$2,Inputs!$K$4:$AJ$4,0)))+SUMPRODUCT((Inputs!$C$5:$C$110=$B5)*Inputs!$D$5:$D$110*(((Inputs!$G$5:$G$110="moeda")+(Inputs!$G$5:$G$110="acoes"))*Inputs!$B$1+((Inputs!$G$5:$G$110&lt;&gt;"moeda")*(Inputs!$G$5:$G$110&lt;&gt;"acoes")))*INDEX(Inputs!$K$5:$AJ$110,0,MATCH(L$2,Inputs!$K$4:$AJ$4,0)))+SUMPRODUCT((Inputs!$E$5:$E$110=$B5)*Inputs!$F$5:$F$110*(((Inputs!$G$5:$G$110="moeda")+(Inputs!$G$5:$G$110="acoes"))*Inputs!$B$1+((Inputs!$G$5:$G$110&lt;&gt;"moeda")*(Inputs!$G$5:$G$110&lt;&gt;"acoes")))*INDEX(Inputs!$K$5:$AJ$110,0,MATCH(L$2,Inputs!$K$4:$AJ$4,0)))))</f>
        <v>-16689</v>
      </c>
      <c r="M5" s="3">
        <f>SUM(I5:L5)</f>
        <v>-57697</v>
      </c>
      <c r="N5" s="6">
        <f>IF(ISNA(MATCH(N$2,Inputs!$K$4:$AJ$4,0)),NA(),IF(SUMPRODUCT((Inputs!$A$5:$A$110=$B5)*ISNUMBER(INDEX(Inputs!$K$5:$AJ$110,0,MATCH(N$2,Inputs!$K$4:$AJ$4,0))))+SUMPRODUCT((Inputs!$C$5:$C$110=$B5)*ISNUMBER(INDEX(Inputs!$K$5:$AJ$110,0,MATCH(N$2,Inputs!$K$4:$AJ$4,0))))+SUMPRODUCT((Inputs!$E$5:$E$110=$B5)*ISNUMBER(INDEX(Inputs!$K$5:$AJ$110,0,MATCH(N$2,Inputs!$K$4:$AJ$4,0))))=0,NA(),SUMPRODUCT((Inputs!$A$5:$A$110=$B5)*Inputs!$B$5:$B$110*(((Inputs!$G$5:$G$110="moeda")+(Inputs!$G$5:$G$110="acoes"))*Inputs!$B$1+((Inputs!$G$5:$G$110&lt;&gt;"moeda")*(Inputs!$G$5:$G$110&lt;&gt;"acoes")))*INDEX(Inputs!$K$5:$AJ$110,0,MATCH(N$2,Inputs!$K$4:$AJ$4,0)))+SUMPRODUCT((Inputs!$C$5:$C$110=$B5)*Inputs!$D$5:$D$110*(((Inputs!$G$5:$G$110="moeda")+(Inputs!$G$5:$G$110="acoes"))*Inputs!$B$1+((Inputs!$G$5:$G$110&lt;&gt;"moeda")*(Inputs!$G$5:$G$110&lt;&gt;"acoes")))*INDEX(Inputs!$K$5:$AJ$110,0,MATCH(N$2,Inputs!$K$4:$AJ$4,0)))+SUMPRODUCT((Inputs!$E$5:$E$110=$B5)*Inputs!$F$5:$F$110*(((Inputs!$G$5:$G$110="moeda")+(Inputs!$G$5:$G$110="acoes"))*Inputs!$B$1+((Inputs!$G$5:$G$110&lt;&gt;"moeda")*(Inputs!$G$5:$G$110&lt;&gt;"acoes")))*INDEX(Inputs!$K$5:$AJ$110,0,MATCH(N$2,Inputs!$K$4:$AJ$4,0)))))</f>
        <v>-13080</v>
      </c>
      <c r="O5" s="6">
        <f>IF(ISNA(MATCH(O$2,Inputs!$K$4:$AJ$4,0)),NA(),IF(SUMPRODUCT((Inputs!$A$5:$A$110=$B5)*ISNUMBER(INDEX(Inputs!$K$5:$AJ$110,0,MATCH(O$2,Inputs!$K$4:$AJ$4,0))))+SUMPRODUCT((Inputs!$C$5:$C$110=$B5)*ISNUMBER(INDEX(Inputs!$K$5:$AJ$110,0,MATCH(O$2,Inputs!$K$4:$AJ$4,0))))+SUMPRODUCT((Inputs!$E$5:$E$110=$B5)*ISNUMBER(INDEX(Inputs!$K$5:$AJ$110,0,MATCH(O$2,Inputs!$K$4:$AJ$4,0))))=0,NA(),SUMPRODUCT((Inputs!$A$5:$A$110=$B5)*Inputs!$B$5:$B$110*(((Inputs!$G$5:$G$110="moeda")+(Inputs!$G$5:$G$110="acoes"))*Inputs!$B$1+((Inputs!$G$5:$G$110&lt;&gt;"moeda")*(Inputs!$G$5:$G$110&lt;&gt;"acoes")))*INDEX(Inputs!$K$5:$AJ$110,0,MATCH(O$2,Inputs!$K$4:$AJ$4,0)))+SUMPRODUCT((Inputs!$C$5:$C$110=$B5)*Inputs!$D$5:$D$110*(((Inputs!$G$5:$G$110="moeda")+(Inputs!$G$5:$G$110="acoes"))*Inputs!$B$1+((Inputs!$G$5:$G$110&lt;&gt;"moeda")*(Inputs!$G$5:$G$110&lt;&gt;"acoes")))*INDEX(Inputs!$K$5:$AJ$110,0,MATCH(O$2,Inputs!$K$4:$AJ$4,0)))+SUMPRODUCT((Inputs!$E$5:$E$110=$B5)*Inputs!$F$5:$F$110*(((Inputs!$G$5:$G$110="moeda")+(Inputs!$G$5:$G$110="acoes"))*Inputs!$B$1+((Inputs!$G$5:$G$110&lt;&gt;"moeda")*(Inputs!$G$5:$G$110&lt;&gt;"acoes")))*INDEX(Inputs!$K$5:$AJ$110,0,MATCH(O$2,Inputs!$K$4:$AJ$4,0)))))</f>
        <v>-14603</v>
      </c>
      <c r="P5" s="6">
        <f>IF(ISNA(MATCH(P$2,Inputs!$K$4:$AJ$4,0)),NA(),IF(SUMPRODUCT((Inputs!$A$5:$A$110=$B5)*ISNUMBER(INDEX(Inputs!$K$5:$AJ$110,0,MATCH(P$2,Inputs!$K$4:$AJ$4,0))))+SUMPRODUCT((Inputs!$C$5:$C$110=$B5)*ISNUMBER(INDEX(Inputs!$K$5:$AJ$110,0,MATCH(P$2,Inputs!$K$4:$AJ$4,0))))+SUMPRODUCT((Inputs!$E$5:$E$110=$B5)*ISNUMBER(INDEX(Inputs!$K$5:$AJ$110,0,MATCH(P$2,Inputs!$K$4:$AJ$4,0))))=0,NA(),SUMPRODUCT((Inputs!$A$5:$A$110=$B5)*Inputs!$B$5:$B$110*(((Inputs!$G$5:$G$110="moeda")+(Inputs!$G$5:$G$110="acoes"))*Inputs!$B$1+((Inputs!$G$5:$G$110&lt;&gt;"moeda")*(Inputs!$G$5:$G$110&lt;&gt;"acoes")))*INDEX(Inputs!$K$5:$AJ$110,0,MATCH(P$2,Inputs!$K$4:$AJ$4,0)))+SUMPRODUCT((Inputs!$C$5:$C$110=$B5)*Inputs!$D$5:$D$110*(((Inputs!$G$5:$G$110="moeda")+(Inputs!$G$5:$G$110="acoes"))*Inputs!$B$1+((Inputs!$G$5:$G$110&lt;&gt;"moeda")*(Inputs!$G$5:$G$110&lt;&gt;"acoes")))*INDEX(Inputs!$K$5:$AJ$110,0,MATCH(P$2,Inputs!$K$4:$AJ$4,0)))+SUMPRODUCT((Inputs!$E$5:$E$110=$B5)*Inputs!$F$5:$F$110*(((Inputs!$G$5:$G$110="moeda")+(Inputs!$G$5:$G$110="acoes"))*Inputs!$B$1+((Inputs!$G$5:$G$110&lt;&gt;"moeda")*(Inputs!$G$5:$G$110&lt;&gt;"acoes")))*INDEX(Inputs!$K$5:$AJ$110,0,MATCH(P$2,Inputs!$K$4:$AJ$4,0)))))</f>
        <v>-14830</v>
      </c>
      <c r="Q5" s="6">
        <f>IF(ISNA(MATCH(Q$2,Inputs!$K$4:$AJ$4,0)),NA(),IF(SUMPRODUCT((Inputs!$A$5:$A$110=$B5)*ISNUMBER(INDEX(Inputs!$K$5:$AJ$110,0,MATCH(Q$2,Inputs!$K$4:$AJ$4,0))))+SUMPRODUCT((Inputs!$C$5:$C$110=$B5)*ISNUMBER(INDEX(Inputs!$K$5:$AJ$110,0,MATCH(Q$2,Inputs!$K$4:$AJ$4,0))))+SUMPRODUCT((Inputs!$E$5:$E$110=$B5)*ISNUMBER(INDEX(Inputs!$K$5:$AJ$110,0,MATCH(Q$2,Inputs!$K$4:$AJ$4,0))))=0,NA(),SUMPRODUCT((Inputs!$A$5:$A$110=$B5)*Inputs!$B$5:$B$110*(((Inputs!$G$5:$G$110="moeda")+(Inputs!$G$5:$G$110="acoes"))*Inputs!$B$1+((Inputs!$G$5:$G$110&lt;&gt;"moeda")*(Inputs!$G$5:$G$110&lt;&gt;"acoes")))*INDEX(Inputs!$K$5:$AJ$110,0,MATCH(Q$2,Inputs!$K$4:$AJ$4,0)))+SUMPRODUCT((Inputs!$C$5:$C$110=$B5)*Inputs!$D$5:$D$110*(((Inputs!$G$5:$G$110="moeda")+(Inputs!$G$5:$G$110="acoes"))*Inputs!$B$1+((Inputs!$G$5:$G$110&lt;&gt;"moeda")*(Inputs!$G$5:$G$110&lt;&gt;"acoes")))*INDEX(Inputs!$K$5:$AJ$110,0,MATCH(Q$2,Inputs!$K$4:$AJ$4,0)))+SUMPRODUCT((Inputs!$E$5:$E$110=$B5)*Inputs!$F$5:$F$110*(((Inputs!$G$5:$G$110="moeda")+(Inputs!$G$5:$G$110="acoes"))*Inputs!$B$1+((Inputs!$G$5:$G$110&lt;&gt;"moeda")*(Inputs!$G$5:$G$110&lt;&gt;"acoes")))*INDEX(Inputs!$K$5:$AJ$110,0,MATCH(Q$2,Inputs!$K$4:$AJ$4,0)))))</f>
        <v>-16579</v>
      </c>
      <c r="R5" s="3">
        <f>SUM(N5:Q5)</f>
        <v>-59092</v>
      </c>
      <c r="S5" s="6">
        <f>IF(ISNA(MATCH(S$2,Inputs!$K$4:$AJ$4,0)),NA(),IF(SUMPRODUCT((Inputs!$A$5:$A$110=$B5)*ISNUMBER(INDEX(Inputs!$K$5:$AJ$110,0,MATCH(S$2,Inputs!$K$4:$AJ$4,0))))+SUMPRODUCT((Inputs!$C$5:$C$110=$B5)*ISNUMBER(INDEX(Inputs!$K$5:$AJ$110,0,MATCH(S$2,Inputs!$K$4:$AJ$4,0))))+SUMPRODUCT((Inputs!$E$5:$E$110=$B5)*ISNUMBER(INDEX(Inputs!$K$5:$AJ$110,0,MATCH(S$2,Inputs!$K$4:$AJ$4,0))))=0,NA(),SUMPRODUCT((Inputs!$A$5:$A$110=$B5)*Inputs!$B$5:$B$110*(((Inputs!$G$5:$G$110="moeda")+(Inputs!$G$5:$G$110="acoes"))*Inputs!$B$1+((Inputs!$G$5:$G$110&lt;&gt;"moeda")*(Inputs!$G$5:$G$110&lt;&gt;"acoes")))*INDEX(Inputs!$K$5:$AJ$110,0,MATCH(S$2,Inputs!$K$4:$AJ$4,0)))+SUMPRODUCT((Inputs!$C$5:$C$110=$B5)*Inputs!$D$5:$D$110*(((Inputs!$G$5:$G$110="moeda")+(Inputs!$G$5:$G$110="acoes"))*Inputs!$B$1+((Inputs!$G$5:$G$110&lt;&gt;"moeda")*(Inputs!$G$5:$G$110&lt;&gt;"acoes")))*INDEX(Inputs!$K$5:$AJ$110,0,MATCH(S$2,Inputs!$K$4:$AJ$4,0)))+SUMPRODUCT((Inputs!$E$5:$E$110=$B5)*Inputs!$F$5:$F$110*(((Inputs!$G$5:$G$110="moeda")+(Inputs!$G$5:$G$110="acoes"))*Inputs!$B$1+((Inputs!$G$5:$G$110&lt;&gt;"moeda")*(Inputs!$G$5:$G$110&lt;&gt;"acoes")))*INDEX(Inputs!$K$5:$AJ$110,0,MATCH(S$2,Inputs!$K$4:$AJ$4,0)))))</f>
        <v>-15202</v>
      </c>
      <c r="T5" s="6">
        <f>IF(ISNA(MATCH(T$2,Inputs!$K$4:$AJ$4,0)),NA(),IF(SUMPRODUCT((Inputs!$A$5:$A$110=$B5)*ISNUMBER(INDEX(Inputs!$K$5:$AJ$110,0,MATCH(T$2,Inputs!$K$4:$AJ$4,0))))+SUMPRODUCT((Inputs!$C$5:$C$110=$B5)*ISNUMBER(INDEX(Inputs!$K$5:$AJ$110,0,MATCH(T$2,Inputs!$K$4:$AJ$4,0))))+SUMPRODUCT((Inputs!$E$5:$E$110=$B5)*ISNUMBER(INDEX(Inputs!$K$5:$AJ$110,0,MATCH(T$2,Inputs!$K$4:$AJ$4,0))))=0,NA(),SUMPRODUCT((Inputs!$A$5:$A$110=$B5)*Inputs!$B$5:$B$110*(((Inputs!$G$5:$G$110="moeda")+(Inputs!$G$5:$G$110="acoes"))*Inputs!$B$1+((Inputs!$G$5:$G$110&lt;&gt;"moeda")*(Inputs!$G$5:$G$110&lt;&gt;"acoes")))*INDEX(Inputs!$K$5:$AJ$110,0,MATCH(T$2,Inputs!$K$4:$AJ$4,0)))+SUMPRODUCT((Inputs!$C$5:$C$110=$B5)*Inputs!$D$5:$D$110*(((Inputs!$G$5:$G$110="moeda")+(Inputs!$G$5:$G$110="acoes"))*Inputs!$B$1+((Inputs!$G$5:$G$110&lt;&gt;"moeda")*(Inputs!$G$5:$G$110&lt;&gt;"acoes")))*INDEX(Inputs!$K$5:$AJ$110,0,MATCH(T$2,Inputs!$K$4:$AJ$4,0)))+SUMPRODUCT((Inputs!$E$5:$E$110=$B5)*Inputs!$F$5:$F$110*(((Inputs!$G$5:$G$110="moeda")+(Inputs!$G$5:$G$110="acoes"))*Inputs!$B$1+((Inputs!$G$5:$G$110&lt;&gt;"moeda")*(Inputs!$G$5:$G$110&lt;&gt;"acoes")))*INDEX(Inputs!$K$5:$AJ$110,0,MATCH(T$2,Inputs!$K$4:$AJ$4,0)))))</f>
        <v>-15992</v>
      </c>
      <c r="U5" s="6">
        <f>IF(ISNA(MATCH(U$2,Inputs!$K$4:$AJ$4,0)),NA(),IF(SUMPRODUCT((Inputs!$A$5:$A$110=$B5)*ISNUMBER(INDEX(Inputs!$K$5:$AJ$110,0,MATCH(U$2,Inputs!$K$4:$AJ$4,0))))+SUMPRODUCT((Inputs!$C$5:$C$110=$B5)*ISNUMBER(INDEX(Inputs!$K$5:$AJ$110,0,MATCH(U$2,Inputs!$K$4:$AJ$4,0))))+SUMPRODUCT((Inputs!$E$5:$E$110=$B5)*ISNUMBER(INDEX(Inputs!$K$5:$AJ$110,0,MATCH(U$2,Inputs!$K$4:$AJ$4,0))))=0,NA(),SUMPRODUCT((Inputs!$A$5:$A$110=$B5)*Inputs!$B$5:$B$110*(((Inputs!$G$5:$G$110="moeda")+(Inputs!$G$5:$G$110="acoes"))*Inputs!$B$1+((Inputs!$G$5:$G$110&lt;&gt;"moeda")*(Inputs!$G$5:$G$110&lt;&gt;"acoes")))*INDEX(Inputs!$K$5:$AJ$110,0,MATCH(U$2,Inputs!$K$4:$AJ$4,0)))+SUMPRODUCT((Inputs!$C$5:$C$110=$B5)*Inputs!$D$5:$D$110*(((Inputs!$G$5:$G$110="moeda")+(Inputs!$G$5:$G$110="acoes"))*Inputs!$B$1+((Inputs!$G$5:$G$110&lt;&gt;"moeda")*(Inputs!$G$5:$G$110&lt;&gt;"acoes")))*INDEX(Inputs!$K$5:$AJ$110,0,MATCH(U$2,Inputs!$K$4:$AJ$4,0)))+SUMPRODUCT((Inputs!$E$5:$E$110=$B5)*Inputs!$F$5:$F$110*(((Inputs!$G$5:$G$110="moeda")+(Inputs!$G$5:$G$110="acoes"))*Inputs!$B$1+((Inputs!$G$5:$G$110&lt;&gt;"moeda")*(Inputs!$G$5:$G$110&lt;&gt;"acoes")))*INDEX(Inputs!$K$5:$AJ$110,0,MATCH(U$2,Inputs!$K$4:$AJ$4,0)))))</f>
        <v>-14987</v>
      </c>
      <c r="V5" s="6">
        <f>IF(ISNA(MATCH(V$2,Inputs!$K$4:$AJ$4,0)),NA(),IF(SUMPRODUCT((Inputs!$A$5:$A$110=$B5)*ISNUMBER(INDEX(Inputs!$K$5:$AJ$110,0,MATCH(V$2,Inputs!$K$4:$AJ$4,0))))+SUMPRODUCT((Inputs!$C$5:$C$110=$B5)*ISNUMBER(INDEX(Inputs!$K$5:$AJ$110,0,MATCH(V$2,Inputs!$K$4:$AJ$4,0))))+SUMPRODUCT((Inputs!$E$5:$E$110=$B5)*ISNUMBER(INDEX(Inputs!$K$5:$AJ$110,0,MATCH(V$2,Inputs!$K$4:$AJ$4,0))))=0,NA(),SUMPRODUCT((Inputs!$A$5:$A$110=$B5)*Inputs!$B$5:$B$110*(((Inputs!$G$5:$G$110="moeda")+(Inputs!$G$5:$G$110="acoes"))*Inputs!$B$1+((Inputs!$G$5:$G$110&lt;&gt;"moeda")*(Inputs!$G$5:$G$110&lt;&gt;"acoes")))*INDEX(Inputs!$K$5:$AJ$110,0,MATCH(V$2,Inputs!$K$4:$AJ$4,0)))+SUMPRODUCT((Inputs!$C$5:$C$110=$B5)*Inputs!$D$5:$D$110*(((Inputs!$G$5:$G$110="moeda")+(Inputs!$G$5:$G$110="acoes"))*Inputs!$B$1+((Inputs!$G$5:$G$110&lt;&gt;"moeda")*(Inputs!$G$5:$G$110&lt;&gt;"acoes")))*INDEX(Inputs!$K$5:$AJ$110,0,MATCH(V$2,Inputs!$K$4:$AJ$4,0)))+SUMPRODUCT((Inputs!$E$5:$E$110=$B5)*Inputs!$F$5:$F$110*(((Inputs!$G$5:$G$110="moeda")+(Inputs!$G$5:$G$110="acoes"))*Inputs!$B$1+((Inputs!$G$5:$G$110&lt;&gt;"moeda")*(Inputs!$G$5:$G$110&lt;&gt;"acoes")))*INDEX(Inputs!$K$5:$AJ$110,0,MATCH(V$2,Inputs!$K$4:$AJ$4,0)))))</f>
        <v>-17932</v>
      </c>
      <c r="W5" s="3">
        <f>SUM(S5:V5)</f>
        <v>-64113</v>
      </c>
      <c r="X5" s="6">
        <f>IF(ISNA(MATCH(X$2,Inputs!$K$4:$AJ$4,0)),NA(),IF(SUMPRODUCT((Inputs!$A$5:$A$110=$B5)*ISNUMBER(INDEX(Inputs!$K$5:$AJ$110,0,MATCH(X$2,Inputs!$K$4:$AJ$4,0))))+SUMPRODUCT((Inputs!$C$5:$C$110=$B5)*ISNUMBER(INDEX(Inputs!$K$5:$AJ$110,0,MATCH(X$2,Inputs!$K$4:$AJ$4,0))))+SUMPRODUCT((Inputs!$E$5:$E$110=$B5)*ISNUMBER(INDEX(Inputs!$K$5:$AJ$110,0,MATCH(X$2,Inputs!$K$4:$AJ$4,0))))=0,NA(),SUMPRODUCT((Inputs!$A$5:$A$110=$B5)*Inputs!$B$5:$B$110*(((Inputs!$G$5:$G$110="moeda")+(Inputs!$G$5:$G$110="acoes"))*Inputs!$B$1+((Inputs!$G$5:$G$110&lt;&gt;"moeda")*(Inputs!$G$5:$G$110&lt;&gt;"acoes")))*INDEX(Inputs!$K$5:$AJ$110,0,MATCH(X$2,Inputs!$K$4:$AJ$4,0)))+SUMPRODUCT((Inputs!$C$5:$C$110=$B5)*Inputs!$D$5:$D$110*(((Inputs!$G$5:$G$110="moeda")+(Inputs!$G$5:$G$110="acoes"))*Inputs!$B$1+((Inputs!$G$5:$G$110&lt;&gt;"moeda")*(Inputs!$G$5:$G$110&lt;&gt;"acoes")))*INDEX(Inputs!$K$5:$AJ$110,0,MATCH(X$2,Inputs!$K$4:$AJ$4,0)))+SUMPRODUCT((Inputs!$E$5:$E$110=$B5)*Inputs!$F$5:$F$110*(((Inputs!$G$5:$G$110="moeda")+(Inputs!$G$5:$G$110="acoes"))*Inputs!$B$1+((Inputs!$G$5:$G$110&lt;&gt;"moeda")*(Inputs!$G$5:$G$110&lt;&gt;"acoes")))*INDEX(Inputs!$K$5:$AJ$110,0,MATCH(X$2,Inputs!$K$4:$AJ$4,0)))))</f>
        <v>-15640</v>
      </c>
      <c r="Y5" s="6">
        <f>IF(ISNA(MATCH(Y$2,Inputs!$K$4:$AJ$4,0)),NA(),IF(SUMPRODUCT((Inputs!$A$5:$A$110=$B5)*ISNUMBER(INDEX(Inputs!$K$5:$AJ$110,0,MATCH(Y$2,Inputs!$K$4:$AJ$4,0))))+SUMPRODUCT((Inputs!$C$5:$C$110=$B5)*ISNUMBER(INDEX(Inputs!$K$5:$AJ$110,0,MATCH(Y$2,Inputs!$K$4:$AJ$4,0))))+SUMPRODUCT((Inputs!$E$5:$E$110=$B5)*ISNUMBER(INDEX(Inputs!$K$5:$AJ$110,0,MATCH(Y$2,Inputs!$K$4:$AJ$4,0))))=0,NA(),SUMPRODUCT((Inputs!$A$5:$A$110=$B5)*Inputs!$B$5:$B$110*(((Inputs!$G$5:$G$110="moeda")+(Inputs!$G$5:$G$110="acoes"))*Inputs!$B$1+((Inputs!$G$5:$G$110&lt;&gt;"moeda")*(Inputs!$G$5:$G$110&lt;&gt;"acoes")))*INDEX(Inputs!$K$5:$AJ$110,0,MATCH(Y$2,Inputs!$K$4:$AJ$4,0)))+SUMPRODUCT((Inputs!$C$5:$C$110=$B5)*Inputs!$D$5:$D$110*(((Inputs!$G$5:$G$110="moeda")+(Inputs!$G$5:$G$110="acoes"))*Inputs!$B$1+((Inputs!$G$5:$G$110&lt;&gt;"moeda")*(Inputs!$G$5:$G$110&lt;&gt;"acoes")))*INDEX(Inputs!$K$5:$AJ$110,0,MATCH(Y$2,Inputs!$K$4:$AJ$4,0)))+SUMPRODUCT((Inputs!$E$5:$E$110=$B5)*Inputs!$F$5:$F$110*(((Inputs!$G$5:$G$110="moeda")+(Inputs!$G$5:$G$110="acoes"))*Inputs!$B$1+((Inputs!$G$5:$G$110&lt;&gt;"moeda")*(Inputs!$G$5:$G$110&lt;&gt;"acoes")))*INDEX(Inputs!$K$5:$AJ$110,0,MATCH(Y$2,Inputs!$K$4:$AJ$4,0)))))</f>
        <v>-17421</v>
      </c>
      <c r="Z5" s="6">
        <f>IF(ISNA(MATCH(Z$2,Inputs!$K$4:$AJ$4,0)),NA(),IF(SUMPRODUCT((Inputs!$A$5:$A$110=$B5)*ISNUMBER(INDEX(Inputs!$K$5:$AJ$110,0,MATCH(Z$2,Inputs!$K$4:$AJ$4,0))))+SUMPRODUCT((Inputs!$C$5:$C$110=$B5)*ISNUMBER(INDEX(Inputs!$K$5:$AJ$110,0,MATCH(Z$2,Inputs!$K$4:$AJ$4,0))))+SUMPRODUCT((Inputs!$E$5:$E$110=$B5)*ISNUMBER(INDEX(Inputs!$K$5:$AJ$110,0,MATCH(Z$2,Inputs!$K$4:$AJ$4,0))))=0,NA(),SUMPRODUCT((Inputs!$A$5:$A$110=$B5)*Inputs!$B$5:$B$110*(((Inputs!$G$5:$G$110="moeda")+(Inputs!$G$5:$G$110="acoes"))*Inputs!$B$1+((Inputs!$G$5:$G$110&lt;&gt;"moeda")*(Inputs!$G$5:$G$110&lt;&gt;"acoes")))*INDEX(Inputs!$K$5:$AJ$110,0,MATCH(Z$2,Inputs!$K$4:$AJ$4,0)))+SUMPRODUCT((Inputs!$C$5:$C$110=$B5)*Inputs!$D$5:$D$110*(((Inputs!$G$5:$G$110="moeda")+(Inputs!$G$5:$G$110="acoes"))*Inputs!$B$1+((Inputs!$G$5:$G$110&lt;&gt;"moeda")*(Inputs!$G$5:$G$110&lt;&gt;"acoes")))*INDEX(Inputs!$K$5:$AJ$110,0,MATCH(Z$2,Inputs!$K$4:$AJ$4,0)))+SUMPRODUCT((Inputs!$E$5:$E$110=$B5)*Inputs!$F$5:$F$110*(((Inputs!$G$5:$G$110="moeda")+(Inputs!$G$5:$G$110="acoes"))*Inputs!$B$1+((Inputs!$G$5:$G$110&lt;&gt;"moeda")*(Inputs!$G$5:$G$110&lt;&gt;"acoes")))*INDEX(Inputs!$K$5:$AJ$110,0,MATCH(Z$2,Inputs!$K$4:$AJ$4,0)))))</f>
        <v>-16369</v>
      </c>
      <c r="AA5" s="6">
        <f>IF(ISNA(MATCH(AA$2,Inputs!$K$4:$AJ$4,0)),NA(),IF(SUMPRODUCT((Inputs!$A$5:$A$110=$B5)*ISNUMBER(INDEX(Inputs!$K$5:$AJ$110,0,MATCH(AA$2,Inputs!$K$4:$AJ$4,0))))+SUMPRODUCT((Inputs!$C$5:$C$110=$B5)*ISNUMBER(INDEX(Inputs!$K$5:$AJ$110,0,MATCH(AA$2,Inputs!$K$4:$AJ$4,0))))+SUMPRODUCT((Inputs!$E$5:$E$110=$B5)*ISNUMBER(INDEX(Inputs!$K$5:$AJ$110,0,MATCH(AA$2,Inputs!$K$4:$AJ$4,0))))=0,NA(),SUMPRODUCT((Inputs!$A$5:$A$110=$B5)*Inputs!$B$5:$B$110*(((Inputs!$G$5:$G$110="moeda")+(Inputs!$G$5:$G$110="acoes"))*Inputs!$B$1+((Inputs!$G$5:$G$110&lt;&gt;"moeda")*(Inputs!$G$5:$G$110&lt;&gt;"acoes")))*INDEX(Inputs!$K$5:$AJ$110,0,MATCH(AA$2,Inputs!$K$4:$AJ$4,0)))+SUMPRODUCT((Inputs!$C$5:$C$110=$B5)*Inputs!$D$5:$D$110*(((Inputs!$G$5:$G$110="moeda")+(Inputs!$G$5:$G$110="acoes"))*Inputs!$B$1+((Inputs!$G$5:$G$110&lt;&gt;"moeda")*(Inputs!$G$5:$G$110&lt;&gt;"acoes")))*INDEX(Inputs!$K$5:$AJ$110,0,MATCH(AA$2,Inputs!$K$4:$AJ$4,0)))+SUMPRODUCT((Inputs!$E$5:$E$110=$B5)*Inputs!$F$5:$F$110*(((Inputs!$G$5:$G$110="moeda")+(Inputs!$G$5:$G$110="acoes"))*Inputs!$B$1+((Inputs!$G$5:$G$110&lt;&gt;"moeda")*(Inputs!$G$5:$G$110&lt;&gt;"acoes")))*INDEX(Inputs!$K$5:$AJ$110,0,MATCH(AA$2,Inputs!$K$4:$AJ$4,0)))))</f>
        <v>-17999</v>
      </c>
      <c r="AB5" s="3">
        <f>SUM(X5:AA5)</f>
        <v>-67429</v>
      </c>
      <c r="AC5" s="6">
        <f>IF(ISNA(MATCH(AC$2,Inputs!$K$4:$AJ$4,0)),NA(),IF(SUMPRODUCT((Inputs!$A$5:$A$110=$B5)*ISNUMBER(INDEX(Inputs!$K$5:$AJ$110,0,MATCH(AC$2,Inputs!$K$4:$AJ$4,0))))+SUMPRODUCT((Inputs!$C$5:$C$110=$B5)*ISNUMBER(INDEX(Inputs!$K$5:$AJ$110,0,MATCH(AC$2,Inputs!$K$4:$AJ$4,0))))+SUMPRODUCT((Inputs!$E$5:$E$110=$B5)*ISNUMBER(INDEX(Inputs!$K$5:$AJ$110,0,MATCH(AC$2,Inputs!$K$4:$AJ$4,0))))=0,NA(),SUMPRODUCT((Inputs!$A$5:$A$110=$B5)*Inputs!$B$5:$B$110*(((Inputs!$G$5:$G$110="moeda")+(Inputs!$G$5:$G$110="acoes"))*Inputs!$B$1+((Inputs!$G$5:$G$110&lt;&gt;"moeda")*(Inputs!$G$5:$G$110&lt;&gt;"acoes")))*INDEX(Inputs!$K$5:$AJ$110,0,MATCH(AC$2,Inputs!$K$4:$AJ$4,0)))+SUMPRODUCT((Inputs!$C$5:$C$110=$B5)*Inputs!$D$5:$D$110*(((Inputs!$G$5:$G$110="moeda")+(Inputs!$G$5:$G$110="acoes"))*Inputs!$B$1+((Inputs!$G$5:$G$110&lt;&gt;"moeda")*(Inputs!$G$5:$G$110&lt;&gt;"acoes")))*INDEX(Inputs!$K$5:$AJ$110,0,MATCH(AC$2,Inputs!$K$4:$AJ$4,0)))+SUMPRODUCT((Inputs!$E$5:$E$110=$B5)*Inputs!$F$5:$F$110*(((Inputs!$G$5:$G$110="moeda")+(Inputs!$G$5:$G$110="acoes"))*Inputs!$B$1+((Inputs!$G$5:$G$110&lt;&gt;"moeda")*(Inputs!$G$5:$G$110&lt;&gt;"acoes")))*INDEX(Inputs!$K$5:$AJ$110,0,MATCH(AC$2,Inputs!$K$4:$AJ$4,0)))))</f>
        <v>-15943</v>
      </c>
      <c r="AD5" s="6">
        <f>IF(ISNA(MATCH(AD$2,Inputs!$K$4:$AJ$4,0)),NA(),IF(SUMPRODUCT((Inputs!$A$5:$A$110=$B5)*ISNUMBER(INDEX(Inputs!$K$5:$AJ$110,0,MATCH(AD$2,Inputs!$K$4:$AJ$4,0))))+SUMPRODUCT((Inputs!$C$5:$C$110=$B5)*ISNUMBER(INDEX(Inputs!$K$5:$AJ$110,0,MATCH(AD$2,Inputs!$K$4:$AJ$4,0))))+SUMPRODUCT((Inputs!$E$5:$E$110=$B5)*ISNUMBER(INDEX(Inputs!$K$5:$AJ$110,0,MATCH(AD$2,Inputs!$K$4:$AJ$4,0))))=0,NA(),SUMPRODUCT((Inputs!$A$5:$A$110=$B5)*Inputs!$B$5:$B$110*(((Inputs!$G$5:$G$110="moeda")+(Inputs!$G$5:$G$110="acoes"))*Inputs!$B$1+((Inputs!$G$5:$G$110&lt;&gt;"moeda")*(Inputs!$G$5:$G$110&lt;&gt;"acoes")))*INDEX(Inputs!$K$5:$AJ$110,0,MATCH(AD$2,Inputs!$K$4:$AJ$4,0)))+SUMPRODUCT((Inputs!$C$5:$C$110=$B5)*Inputs!$D$5:$D$110*(((Inputs!$G$5:$G$110="moeda")+(Inputs!$G$5:$G$110="acoes"))*Inputs!$B$1+((Inputs!$G$5:$G$110&lt;&gt;"moeda")*(Inputs!$G$5:$G$110&lt;&gt;"acoes")))*INDEX(Inputs!$K$5:$AJ$110,0,MATCH(AD$2,Inputs!$K$4:$AJ$4,0)))+SUMPRODUCT((Inputs!$E$5:$E$110=$B5)*Inputs!$F$5:$F$110*(((Inputs!$G$5:$G$110="moeda")+(Inputs!$G$5:$G$110="acoes"))*Inputs!$B$1+((Inputs!$G$5:$G$110&lt;&gt;"moeda")*(Inputs!$G$5:$G$110&lt;&gt;"acoes")))*INDEX(Inputs!$K$5:$AJ$110,0,MATCH(AD$2,Inputs!$K$4:$AJ$4,0)))))</f>
        <v>-17617</v>
      </c>
      <c r="AE5" s="6" t="e">
        <f>IF(ISNA(MATCH(AE$2,Inputs!$K$4:$AJ$4,0)),NA(),IF(SUMPRODUCT((Inputs!$A$5:$A$110=$B5)*ISNUMBER(INDEX(Inputs!$K$5:$AJ$110,0,MATCH(AE$2,Inputs!$K$4:$AJ$4,0))))+SUMPRODUCT((Inputs!$C$5:$C$110=$B5)*ISNUMBER(INDEX(Inputs!$K$5:$AJ$110,0,MATCH(AE$2,Inputs!$K$4:$AJ$4,0))))+SUMPRODUCT((Inputs!$E$5:$E$110=$B5)*ISNUMBER(INDEX(Inputs!$K$5:$AJ$110,0,MATCH(AE$2,Inputs!$K$4:$AJ$4,0))))=0,NA(),SUMPRODUCT((Inputs!$A$5:$A$110=$B5)*Inputs!$B$5:$B$110*(((Inputs!$G$5:$G$110="moeda")+(Inputs!$G$5:$G$110="acoes"))*Inputs!$B$1+((Inputs!$G$5:$G$110&lt;&gt;"moeda")*(Inputs!$G$5:$G$110&lt;&gt;"acoes")))*INDEX(Inputs!$K$5:$AJ$110,0,MATCH(AE$2,Inputs!$K$4:$AJ$4,0)))+SUMPRODUCT((Inputs!$C$5:$C$110=$B5)*Inputs!$D$5:$D$110*(((Inputs!$G$5:$G$110="moeda")+(Inputs!$G$5:$G$110="acoes"))*Inputs!$B$1+((Inputs!$G$5:$G$110&lt;&gt;"moeda")*(Inputs!$G$5:$G$110&lt;&gt;"acoes")))*INDEX(Inputs!$K$5:$AJ$110,0,MATCH(AE$2,Inputs!$K$4:$AJ$4,0)))+SUMPRODUCT((Inputs!$E$5:$E$110=$B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" s="6" t="e">
        <f>IF(ISNA(MATCH(AF$2,Inputs!$K$4:$AJ$4,0)),NA(),IF(SUMPRODUCT((Inputs!$A$5:$A$110=$B5)*ISNUMBER(INDEX(Inputs!$K$5:$AJ$110,0,MATCH(AF$2,Inputs!$K$4:$AJ$4,0))))+SUMPRODUCT((Inputs!$C$5:$C$110=$B5)*ISNUMBER(INDEX(Inputs!$K$5:$AJ$110,0,MATCH(AF$2,Inputs!$K$4:$AJ$4,0))))+SUMPRODUCT((Inputs!$E$5:$E$110=$B5)*ISNUMBER(INDEX(Inputs!$K$5:$AJ$110,0,MATCH(AF$2,Inputs!$K$4:$AJ$4,0))))=0,NA(),SUMPRODUCT((Inputs!$A$5:$A$110=$B5)*Inputs!$B$5:$B$110*(((Inputs!$G$5:$G$110="moeda")+(Inputs!$G$5:$G$110="acoes"))*Inputs!$B$1+((Inputs!$G$5:$G$110&lt;&gt;"moeda")*(Inputs!$G$5:$G$110&lt;&gt;"acoes")))*INDEX(Inputs!$K$5:$AJ$110,0,MATCH(AF$2,Inputs!$K$4:$AJ$4,0)))+SUMPRODUCT((Inputs!$C$5:$C$110=$B5)*Inputs!$D$5:$D$110*(((Inputs!$G$5:$G$110="moeda")+(Inputs!$G$5:$G$110="acoes"))*Inputs!$B$1+((Inputs!$G$5:$G$110&lt;&gt;"moeda")*(Inputs!$G$5:$G$110&lt;&gt;"acoes")))*INDEX(Inputs!$K$5:$AJ$110,0,MATCH(AF$2,Inputs!$K$4:$AJ$4,0)))+SUMPRODUCT((Inputs!$E$5:$E$110=$B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" s="3" t="e">
        <f>SUM(AC5:AF5)</f>
        <v>#N/A</v>
      </c>
      <c r="AH5" s="6">
        <f>IF(ISNA(MATCH(AH$2,Inputs!$K$4:$AJ$4,0)),NA(),IF(SUMPRODUCT((Inputs!$A$5:$A$110=$B5)*ISNUMBER(INDEX(Inputs!$K$5:$AJ$110,0,MATCH(AH$2,Inputs!$K$4:$AJ$4,0))))+SUMPRODUCT((Inputs!$C$5:$C$110=$B5)*ISNUMBER(INDEX(Inputs!$K$5:$AJ$110,0,MATCH(AH$2,Inputs!$K$4:$AJ$4,0))))+SUMPRODUCT((Inputs!$E$5:$E$110=$B5)*ISNUMBER(INDEX(Inputs!$K$5:$AJ$110,0,MATCH(AH$2,Inputs!$K$4:$AJ$4,0))))=0,NA(),SUMPRODUCT((Inputs!$A$5:$A$110=$B5)*Inputs!$B$5:$B$110*(((Inputs!$G$5:$G$110="moeda")+(Inputs!$G$5:$G$110="acoes"))*Inputs!$B$1+((Inputs!$G$5:$G$110&lt;&gt;"moeda")*(Inputs!$G$5:$G$110&lt;&gt;"acoes")))*INDEX(Inputs!$K$5:$AJ$110,0,MATCH(AH$2,Inputs!$K$4:$AJ$4,0)))+SUMPRODUCT((Inputs!$C$5:$C$110=$B5)*Inputs!$D$5:$D$110*(((Inputs!$G$5:$G$110="moeda")+(Inputs!$G$5:$G$110="acoes"))*Inputs!$B$1+((Inputs!$G$5:$G$110&lt;&gt;"moeda")*(Inputs!$G$5:$G$110&lt;&gt;"acoes")))*INDEX(Inputs!$K$5:$AJ$110,0,MATCH(AH$2,Inputs!$K$4:$AJ$4,0)))+SUMPRODUCT((Inputs!$E$5:$E$110=$B5)*Inputs!$F$5:$F$110*(((Inputs!$G$5:$G$110="moeda")+(Inputs!$G$5:$G$110="acoes"))*Inputs!$B$1+((Inputs!$G$5:$G$110&lt;&gt;"moeda")*(Inputs!$G$5:$G$110&lt;&gt;"acoes")))*INDEX(Inputs!$K$5:$AJ$110,0,MATCH(AH$2,Inputs!$K$4:$AJ$4,0)))))</f>
        <v>-13560</v>
      </c>
      <c r="AI5" s="6">
        <f>IF(ISNA(MATCH(AI$2,Inputs!$K$4:$AJ$4,0)),NA(),IF(SUMPRODUCT((Inputs!$A$5:$A$110=$B5)*ISNUMBER(INDEX(Inputs!$K$5:$AJ$110,0,MATCH(AI$2,Inputs!$K$4:$AJ$4,0))))+SUMPRODUCT((Inputs!$C$5:$C$110=$B5)*ISNUMBER(INDEX(Inputs!$K$5:$AJ$110,0,MATCH(AI$2,Inputs!$K$4:$AJ$4,0))))+SUMPRODUCT((Inputs!$E$5:$E$110=$B5)*ISNUMBER(INDEX(Inputs!$K$5:$AJ$110,0,MATCH(AI$2,Inputs!$K$4:$AJ$4,0))))=0,NA(),SUMPRODUCT((Inputs!$A$5:$A$110=$B5)*Inputs!$B$5:$B$110*(((Inputs!$G$5:$G$110="moeda")+(Inputs!$G$5:$G$110="acoes"))*Inputs!$B$1+((Inputs!$G$5:$G$110&lt;&gt;"moeda")*(Inputs!$G$5:$G$110&lt;&gt;"acoes")))*INDEX(Inputs!$K$5:$AJ$110,0,MATCH(AI$2,Inputs!$K$4:$AJ$4,0)))+SUMPRODUCT((Inputs!$C$5:$C$110=$B5)*Inputs!$D$5:$D$110*(((Inputs!$G$5:$G$110="moeda")+(Inputs!$G$5:$G$110="acoes"))*Inputs!$B$1+((Inputs!$G$5:$G$110&lt;&gt;"moeda")*(Inputs!$G$5:$G$110&lt;&gt;"acoes")))*INDEX(Inputs!$K$5:$AJ$110,0,MATCH(AI$2,Inputs!$K$4:$AJ$4,0)))+SUMPRODUCT((Inputs!$E$5:$E$110=$B5)*Inputs!$F$5:$F$110*(((Inputs!$G$5:$G$110="moeda")+(Inputs!$G$5:$G$110="acoes"))*Inputs!$B$1+((Inputs!$G$5:$G$110&lt;&gt;"moeda")*(Inputs!$G$5:$G$110&lt;&gt;"acoes")))*INDEX(Inputs!$K$5:$AJ$110,0,MATCH(AI$2,Inputs!$K$4:$AJ$4,0)))))</f>
        <v>-14007</v>
      </c>
      <c r="AJ5" s="6">
        <f>IF(ISNA(MATCH(AJ$2,Inputs!$K$4:$AJ$4,0)),NA(),IF(SUMPRODUCT((Inputs!$A$5:$A$110=$B5)*ISNUMBER(INDEX(Inputs!$K$5:$AJ$110,0,MATCH(AJ$2,Inputs!$K$4:$AJ$4,0))))+SUMPRODUCT((Inputs!$C$5:$C$110=$B5)*ISNUMBER(INDEX(Inputs!$K$5:$AJ$110,0,MATCH(AJ$2,Inputs!$K$4:$AJ$4,0))))+SUMPRODUCT((Inputs!$E$5:$E$110=$B5)*ISNUMBER(INDEX(Inputs!$K$5:$AJ$110,0,MATCH(AJ$2,Inputs!$K$4:$AJ$4,0))))=0,NA(),SUMPRODUCT((Inputs!$A$5:$A$110=$B5)*Inputs!$B$5:$B$110*(((Inputs!$G$5:$G$110="moeda")+(Inputs!$G$5:$G$110="acoes"))*Inputs!$B$1+((Inputs!$G$5:$G$110&lt;&gt;"moeda")*(Inputs!$G$5:$G$110&lt;&gt;"acoes")))*INDEX(Inputs!$K$5:$AJ$110,0,MATCH(AJ$2,Inputs!$K$4:$AJ$4,0)))+SUMPRODUCT((Inputs!$C$5:$C$110=$B5)*Inputs!$D$5:$D$110*(((Inputs!$G$5:$G$110="moeda")+(Inputs!$G$5:$G$110="acoes"))*Inputs!$B$1+((Inputs!$G$5:$G$110&lt;&gt;"moeda")*(Inputs!$G$5:$G$110&lt;&gt;"acoes")))*INDEX(Inputs!$K$5:$AJ$110,0,MATCH(AJ$2,Inputs!$K$4:$AJ$4,0)))+SUMPRODUCT((Inputs!$E$5:$E$110=$B5)*Inputs!$F$5:$F$110*(((Inputs!$G$5:$G$110="moeda")+(Inputs!$G$5:$G$110="acoes"))*Inputs!$B$1+((Inputs!$G$5:$G$110&lt;&gt;"moeda")*(Inputs!$G$5:$G$110&lt;&gt;"acoes")))*INDEX(Inputs!$K$5:$AJ$110,0,MATCH(AJ$2,Inputs!$K$4:$AJ$4,0)))))</f>
        <v>-14359</v>
      </c>
      <c r="AK5" s="6">
        <f>IF(ISNA(MATCH(AK$2,Inputs!$K$4:$AJ$4,0)),NA(),IF(SUMPRODUCT((Inputs!$A$5:$A$110=$B5)*ISNUMBER(INDEX(Inputs!$K$5:$AJ$110,0,MATCH(AK$2,Inputs!$K$4:$AJ$4,0))))+SUMPRODUCT((Inputs!$C$5:$C$110=$B5)*ISNUMBER(INDEX(Inputs!$K$5:$AJ$110,0,MATCH(AK$2,Inputs!$K$4:$AJ$4,0))))+SUMPRODUCT((Inputs!$E$5:$E$110=$B5)*ISNUMBER(INDEX(Inputs!$K$5:$AJ$110,0,MATCH(AK$2,Inputs!$K$4:$AJ$4,0))))=0,NA(),SUMPRODUCT((Inputs!$A$5:$A$110=$B5)*Inputs!$B$5:$B$110*(((Inputs!$G$5:$G$110="moeda")+(Inputs!$G$5:$G$110="acoes"))*Inputs!$B$1+((Inputs!$G$5:$G$110&lt;&gt;"moeda")*(Inputs!$G$5:$G$110&lt;&gt;"acoes")))*INDEX(Inputs!$K$5:$AJ$110,0,MATCH(AK$2,Inputs!$K$4:$AJ$4,0)))+SUMPRODUCT((Inputs!$C$5:$C$110=$B5)*Inputs!$D$5:$D$110*(((Inputs!$G$5:$G$110="moeda")+(Inputs!$G$5:$G$110="acoes"))*Inputs!$B$1+((Inputs!$G$5:$G$110&lt;&gt;"moeda")*(Inputs!$G$5:$G$110&lt;&gt;"acoes")))*INDEX(Inputs!$K$5:$AJ$110,0,MATCH(AK$2,Inputs!$K$4:$AJ$4,0)))+SUMPRODUCT((Inputs!$E$5:$E$110=$B5)*Inputs!$F$5:$F$110*(((Inputs!$G$5:$G$110="moeda")+(Inputs!$G$5:$G$110="acoes"))*Inputs!$B$1+((Inputs!$G$5:$G$110&lt;&gt;"moeda")*(Inputs!$G$5:$G$110&lt;&gt;"acoes")))*INDEX(Inputs!$K$5:$AJ$110,0,MATCH(AK$2,Inputs!$K$4:$AJ$4,0)))))</f>
        <v>-14818</v>
      </c>
      <c r="AL5" s="3">
        <f>SUM(AH5:AK5)</f>
        <v>-56744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$110=$B6)*ISNUMBER(INDEX(Inputs!$K$5:$AJ$110,0,MATCH(D$2,Inputs!$K$4:$AJ$4,0))))+SUMPRODUCT((Inputs!$C$5:$C$110=$B6)*ISNUMBER(INDEX(Inputs!$K$5:$AJ$110,0,MATCH(D$2,Inputs!$K$4:$AJ$4,0))))+SUMPRODUCT((Inputs!$E$5:$E$110=$B6)*ISNUMBER(INDEX(Inputs!$K$5:$AJ$110,0,MATCH(D$2,Inputs!$K$4:$AJ$4,0))))=0,NA(),SUMPRODUCT((Inputs!$A$5:$A$110=$B6)*Inputs!$B$5:$B$110*(((Inputs!$G$5:$G$110="moeda")+(Inputs!$G$5:$G$110="acoes"))*Inputs!$B$1+((Inputs!$G$5:$G$110&lt;&gt;"moeda")*(Inputs!$G$5:$G$110&lt;&gt;"acoes")))*INDEX(Inputs!$K$5:$AJ$110,0,MATCH(D$2,Inputs!$K$4:$AJ$4,0)))+SUMPRODUCT((Inputs!$C$5:$C$110=$B6)*Inputs!$D$5:$D$110*(((Inputs!$G$5:$G$110="moeda")+(Inputs!$G$5:$G$110="acoes"))*Inputs!$B$1+((Inputs!$G$5:$G$110&lt;&gt;"moeda")*(Inputs!$G$5:$G$110&lt;&gt;"acoes")))*INDEX(Inputs!$K$5:$AJ$110,0,MATCH(D$2,Inputs!$K$4:$AJ$4,0)))+SUMPRODUCT((Inputs!$E$5:$E$110=$B6)*Inputs!$F$5:$F$110*(((Inputs!$G$5:$G$110="moeda")+(Inputs!$G$5:$G$110="acoes"))*Inputs!$B$1+((Inputs!$G$5:$G$110&lt;&gt;"moeda")*(Inputs!$G$5:$G$110&lt;&gt;"acoes")))*INDEX(Inputs!$K$5:$AJ$110,0,MATCH(D$2,Inputs!$K$4:$AJ$4,0)))))</f>
        <v>332</v>
      </c>
      <c r="E6" s="6">
        <f>IF(ISNA(MATCH(E$2,Inputs!$K$4:$AJ$4,0)),NA(),IF(SUMPRODUCT((Inputs!$A$5:$A$110=$B6)*ISNUMBER(INDEX(Inputs!$K$5:$AJ$110,0,MATCH(E$2,Inputs!$K$4:$AJ$4,0))))+SUMPRODUCT((Inputs!$C$5:$C$110=$B6)*ISNUMBER(INDEX(Inputs!$K$5:$AJ$110,0,MATCH(E$2,Inputs!$K$4:$AJ$4,0))))+SUMPRODUCT((Inputs!$E$5:$E$110=$B6)*ISNUMBER(INDEX(Inputs!$K$5:$AJ$110,0,MATCH(E$2,Inputs!$K$4:$AJ$4,0))))=0,NA(),SUMPRODUCT((Inputs!$A$5:$A$110=$B6)*Inputs!$B$5:$B$110*(((Inputs!$G$5:$G$110="moeda")+(Inputs!$G$5:$G$110="acoes"))*Inputs!$B$1+((Inputs!$G$5:$G$110&lt;&gt;"moeda")*(Inputs!$G$5:$G$110&lt;&gt;"acoes")))*INDEX(Inputs!$K$5:$AJ$110,0,MATCH(E$2,Inputs!$K$4:$AJ$4,0)))+SUMPRODUCT((Inputs!$C$5:$C$110=$B6)*Inputs!$D$5:$D$110*(((Inputs!$G$5:$G$110="moeda")+(Inputs!$G$5:$G$110="acoes"))*Inputs!$B$1+((Inputs!$G$5:$G$110&lt;&gt;"moeda")*(Inputs!$G$5:$G$110&lt;&gt;"acoes")))*INDEX(Inputs!$K$5:$AJ$110,0,MATCH(E$2,Inputs!$K$4:$AJ$4,0)))+SUMPRODUCT((Inputs!$E$5:$E$110=$B6)*Inputs!$F$5:$F$110*(((Inputs!$G$5:$G$110="moeda")+(Inputs!$G$5:$G$110="acoes"))*Inputs!$B$1+((Inputs!$G$5:$G$110&lt;&gt;"moeda")*(Inputs!$G$5:$G$110&lt;&gt;"acoes")))*INDEX(Inputs!$K$5:$AJ$110,0,MATCH(E$2,Inputs!$K$4:$AJ$4,0)))))</f>
        <v>375</v>
      </c>
      <c r="F6" s="6">
        <f>IF(ISNA(MATCH(F$2,Inputs!$K$4:$AJ$4,0)),NA(),IF(SUMPRODUCT((Inputs!$A$5:$A$110=$B6)*ISNUMBER(INDEX(Inputs!$K$5:$AJ$110,0,MATCH(F$2,Inputs!$K$4:$AJ$4,0))))+SUMPRODUCT((Inputs!$C$5:$C$110=$B6)*ISNUMBER(INDEX(Inputs!$K$5:$AJ$110,0,MATCH(F$2,Inputs!$K$4:$AJ$4,0))))+SUMPRODUCT((Inputs!$E$5:$E$110=$B6)*ISNUMBER(INDEX(Inputs!$K$5:$AJ$110,0,MATCH(F$2,Inputs!$K$4:$AJ$4,0))))=0,NA(),SUMPRODUCT((Inputs!$A$5:$A$110=$B6)*Inputs!$B$5:$B$110*(((Inputs!$G$5:$G$110="moeda")+(Inputs!$G$5:$G$110="acoes"))*Inputs!$B$1+((Inputs!$G$5:$G$110&lt;&gt;"moeda")*(Inputs!$G$5:$G$110&lt;&gt;"acoes")))*INDEX(Inputs!$K$5:$AJ$110,0,MATCH(F$2,Inputs!$K$4:$AJ$4,0)))+SUMPRODUCT((Inputs!$C$5:$C$110=$B6)*Inputs!$D$5:$D$110*(((Inputs!$G$5:$G$110="moeda")+(Inputs!$G$5:$G$110="acoes"))*Inputs!$B$1+((Inputs!$G$5:$G$110&lt;&gt;"moeda")*(Inputs!$G$5:$G$110&lt;&gt;"acoes")))*INDEX(Inputs!$K$5:$AJ$110,0,MATCH(F$2,Inputs!$K$4:$AJ$4,0)))+SUMPRODUCT((Inputs!$E$5:$E$110=$B6)*Inputs!$F$5:$F$110*(((Inputs!$G$5:$G$110="moeda")+(Inputs!$G$5:$G$110="acoes"))*Inputs!$B$1+((Inputs!$G$5:$G$110&lt;&gt;"moeda")*(Inputs!$G$5:$G$110&lt;&gt;"acoes")))*INDEX(Inputs!$K$5:$AJ$110,0,MATCH(F$2,Inputs!$K$4:$AJ$4,0)))))</f>
        <v>321</v>
      </c>
      <c r="G6" s="6">
        <f>IF(ISNA(MATCH(G$2,Inputs!$K$4:$AJ$4,0)),NA(),IF(SUMPRODUCT((Inputs!$A$5:$A$110=$B6)*ISNUMBER(INDEX(Inputs!$K$5:$AJ$110,0,MATCH(G$2,Inputs!$K$4:$AJ$4,0))))+SUMPRODUCT((Inputs!$C$5:$C$110=$B6)*ISNUMBER(INDEX(Inputs!$K$5:$AJ$110,0,MATCH(G$2,Inputs!$K$4:$AJ$4,0))))+SUMPRODUCT((Inputs!$E$5:$E$110=$B6)*ISNUMBER(INDEX(Inputs!$K$5:$AJ$110,0,MATCH(G$2,Inputs!$K$4:$AJ$4,0))))=0,NA(),SUMPRODUCT((Inputs!$A$5:$A$110=$B6)*Inputs!$B$5:$B$110*(((Inputs!$G$5:$G$110="moeda")+(Inputs!$G$5:$G$110="acoes"))*Inputs!$B$1+((Inputs!$G$5:$G$110&lt;&gt;"moeda")*(Inputs!$G$5:$G$110&lt;&gt;"acoes")))*INDEX(Inputs!$K$5:$AJ$110,0,MATCH(G$2,Inputs!$K$4:$AJ$4,0)))+SUMPRODUCT((Inputs!$C$5:$C$110=$B6)*Inputs!$D$5:$D$110*(((Inputs!$G$5:$G$110="moeda")+(Inputs!$G$5:$G$110="acoes"))*Inputs!$B$1+((Inputs!$G$5:$G$110&lt;&gt;"moeda")*(Inputs!$G$5:$G$110&lt;&gt;"acoes")))*INDEX(Inputs!$K$5:$AJ$110,0,MATCH(G$2,Inputs!$K$4:$AJ$4,0)))+SUMPRODUCT((Inputs!$E$5:$E$110=$B6)*Inputs!$F$5:$F$110*(((Inputs!$G$5:$G$110="moeda")+(Inputs!$G$5:$G$110="acoes"))*Inputs!$B$1+((Inputs!$G$5:$G$110&lt;&gt;"moeda")*(Inputs!$G$5:$G$110&lt;&gt;"acoes")))*INDEX(Inputs!$K$5:$AJ$110,0,MATCH(G$2,Inputs!$K$4:$AJ$4,0)))))</f>
        <v>398</v>
      </c>
      <c r="H6" s="3">
        <f>SUM(D6:G6)</f>
        <v>1426</v>
      </c>
      <c r="I6" s="6">
        <f>IF(ISNA(MATCH(I$2,Inputs!$K$4:$AJ$4,0)),NA(),IF(SUMPRODUCT((Inputs!$A$5:$A$110=$B6)*ISNUMBER(INDEX(Inputs!$K$5:$AJ$110,0,MATCH(I$2,Inputs!$K$4:$AJ$4,0))))+SUMPRODUCT((Inputs!$C$5:$C$110=$B6)*ISNUMBER(INDEX(Inputs!$K$5:$AJ$110,0,MATCH(I$2,Inputs!$K$4:$AJ$4,0))))+SUMPRODUCT((Inputs!$E$5:$E$110=$B6)*ISNUMBER(INDEX(Inputs!$K$5:$AJ$110,0,MATCH(I$2,Inputs!$K$4:$AJ$4,0))))=0,NA(),SUMPRODUCT((Inputs!$A$5:$A$110=$B6)*Inputs!$B$5:$B$110*(((Inputs!$G$5:$G$110="moeda")+(Inputs!$G$5:$G$110="acoes"))*Inputs!$B$1+((Inputs!$G$5:$G$110&lt;&gt;"moeda")*(Inputs!$G$5:$G$110&lt;&gt;"acoes")))*INDEX(Inputs!$K$5:$AJ$110,0,MATCH(I$2,Inputs!$K$4:$AJ$4,0)))+SUMPRODUCT((Inputs!$C$5:$C$110=$B6)*Inputs!$D$5:$D$110*(((Inputs!$G$5:$G$110="moeda")+(Inputs!$G$5:$G$110="acoes"))*Inputs!$B$1+((Inputs!$G$5:$G$110&lt;&gt;"moeda")*(Inputs!$G$5:$G$110&lt;&gt;"acoes")))*INDEX(Inputs!$K$5:$AJ$110,0,MATCH(I$2,Inputs!$K$4:$AJ$4,0)))+SUMPRODUCT((Inputs!$E$5:$E$110=$B6)*Inputs!$F$5:$F$110*(((Inputs!$G$5:$G$110="moeda")+(Inputs!$G$5:$G$110="acoes"))*Inputs!$B$1+((Inputs!$G$5:$G$110&lt;&gt;"moeda")*(Inputs!$G$5:$G$110&lt;&gt;"acoes")))*INDEX(Inputs!$K$5:$AJ$110,0,MATCH(I$2,Inputs!$K$4:$AJ$4,0)))))</f>
        <v>353</v>
      </c>
      <c r="J6" s="6">
        <f>IF(ISNA(MATCH(J$2,Inputs!$K$4:$AJ$4,0)),NA(),IF(SUMPRODUCT((Inputs!$A$5:$A$110=$B6)*ISNUMBER(INDEX(Inputs!$K$5:$AJ$110,0,MATCH(J$2,Inputs!$K$4:$AJ$4,0))))+SUMPRODUCT((Inputs!$C$5:$C$110=$B6)*ISNUMBER(INDEX(Inputs!$K$5:$AJ$110,0,MATCH(J$2,Inputs!$K$4:$AJ$4,0))))+SUMPRODUCT((Inputs!$E$5:$E$110=$B6)*ISNUMBER(INDEX(Inputs!$K$5:$AJ$110,0,MATCH(J$2,Inputs!$K$4:$AJ$4,0))))=0,NA(),SUMPRODUCT((Inputs!$A$5:$A$110=$B6)*Inputs!$B$5:$B$110*(((Inputs!$G$5:$G$110="moeda")+(Inputs!$G$5:$G$110="acoes"))*Inputs!$B$1+((Inputs!$G$5:$G$110&lt;&gt;"moeda")*(Inputs!$G$5:$G$110&lt;&gt;"acoes")))*INDEX(Inputs!$K$5:$AJ$110,0,MATCH(J$2,Inputs!$K$4:$AJ$4,0)))+SUMPRODUCT((Inputs!$C$5:$C$110=$B6)*Inputs!$D$5:$D$110*(((Inputs!$G$5:$G$110="moeda")+(Inputs!$G$5:$G$110="acoes"))*Inputs!$B$1+((Inputs!$G$5:$G$110&lt;&gt;"moeda")*(Inputs!$G$5:$G$110&lt;&gt;"acoes")))*INDEX(Inputs!$K$5:$AJ$110,0,MATCH(J$2,Inputs!$K$4:$AJ$4,0)))+SUMPRODUCT((Inputs!$E$5:$E$110=$B6)*Inputs!$F$5:$F$110*(((Inputs!$G$5:$G$110="moeda")+(Inputs!$G$5:$G$110="acoes"))*Inputs!$B$1+((Inputs!$G$5:$G$110&lt;&gt;"moeda")*(Inputs!$G$5:$G$110&lt;&gt;"acoes")))*INDEX(Inputs!$K$5:$AJ$110,0,MATCH(J$2,Inputs!$K$4:$AJ$4,0)))))</f>
        <v>350</v>
      </c>
      <c r="K6" s="6">
        <f>IF(ISNA(MATCH(K$2,Inputs!$K$4:$AJ$4,0)),NA(),IF(SUMPRODUCT((Inputs!$A$5:$A$110=$B6)*ISNUMBER(INDEX(Inputs!$K$5:$AJ$110,0,MATCH(K$2,Inputs!$K$4:$AJ$4,0))))+SUMPRODUCT((Inputs!$C$5:$C$110=$B6)*ISNUMBER(INDEX(Inputs!$K$5:$AJ$110,0,MATCH(K$2,Inputs!$K$4:$AJ$4,0))))+SUMPRODUCT((Inputs!$E$5:$E$110=$B6)*ISNUMBER(INDEX(Inputs!$K$5:$AJ$110,0,MATCH(K$2,Inputs!$K$4:$AJ$4,0))))=0,NA(),SUMPRODUCT((Inputs!$A$5:$A$110=$B6)*Inputs!$B$5:$B$110*(((Inputs!$G$5:$G$110="moeda")+(Inputs!$G$5:$G$110="acoes"))*Inputs!$B$1+((Inputs!$G$5:$G$110&lt;&gt;"moeda")*(Inputs!$G$5:$G$110&lt;&gt;"acoes")))*INDEX(Inputs!$K$5:$AJ$110,0,MATCH(K$2,Inputs!$K$4:$AJ$4,0)))+SUMPRODUCT((Inputs!$C$5:$C$110=$B6)*Inputs!$D$5:$D$110*(((Inputs!$G$5:$G$110="moeda")+(Inputs!$G$5:$G$110="acoes"))*Inputs!$B$1+((Inputs!$G$5:$G$110&lt;&gt;"moeda")*(Inputs!$G$5:$G$110&lt;&gt;"acoes")))*INDEX(Inputs!$K$5:$AJ$110,0,MATCH(K$2,Inputs!$K$4:$AJ$4,0)))+SUMPRODUCT((Inputs!$E$5:$E$110=$B6)*Inputs!$F$5:$F$110*(((Inputs!$G$5:$G$110="moeda")+(Inputs!$G$5:$G$110="acoes"))*Inputs!$B$1+((Inputs!$G$5:$G$110&lt;&gt;"moeda")*(Inputs!$G$5:$G$110&lt;&gt;"acoes")))*INDEX(Inputs!$K$5:$AJ$110,0,MATCH(K$2,Inputs!$K$4:$AJ$4,0)))))</f>
        <v>332</v>
      </c>
      <c r="L6" s="6">
        <f>IF(ISNA(MATCH(L$2,Inputs!$K$4:$AJ$4,0)),NA(),IF(SUMPRODUCT((Inputs!$A$5:$A$110=$B6)*ISNUMBER(INDEX(Inputs!$K$5:$AJ$110,0,MATCH(L$2,Inputs!$K$4:$AJ$4,0))))+SUMPRODUCT((Inputs!$C$5:$C$110=$B6)*ISNUMBER(INDEX(Inputs!$K$5:$AJ$110,0,MATCH(L$2,Inputs!$K$4:$AJ$4,0))))+SUMPRODUCT((Inputs!$E$5:$E$110=$B6)*ISNUMBER(INDEX(Inputs!$K$5:$AJ$110,0,MATCH(L$2,Inputs!$K$4:$AJ$4,0))))=0,NA(),SUMPRODUCT((Inputs!$A$5:$A$110=$B6)*Inputs!$B$5:$B$110*(((Inputs!$G$5:$G$110="moeda")+(Inputs!$G$5:$G$110="acoes"))*Inputs!$B$1+((Inputs!$G$5:$G$110&lt;&gt;"moeda")*(Inputs!$G$5:$G$110&lt;&gt;"acoes")))*INDEX(Inputs!$K$5:$AJ$110,0,MATCH(L$2,Inputs!$K$4:$AJ$4,0)))+SUMPRODUCT((Inputs!$C$5:$C$110=$B6)*Inputs!$D$5:$D$110*(((Inputs!$G$5:$G$110="moeda")+(Inputs!$G$5:$G$110="acoes"))*Inputs!$B$1+((Inputs!$G$5:$G$110&lt;&gt;"moeda")*(Inputs!$G$5:$G$110&lt;&gt;"acoes")))*INDEX(Inputs!$K$5:$AJ$110,0,MATCH(L$2,Inputs!$K$4:$AJ$4,0)))+SUMPRODUCT((Inputs!$E$5:$E$110=$B6)*Inputs!$F$5:$F$110*(((Inputs!$G$5:$G$110="moeda")+(Inputs!$G$5:$G$110="acoes"))*Inputs!$B$1+((Inputs!$G$5:$G$110&lt;&gt;"moeda")*(Inputs!$G$5:$G$110&lt;&gt;"acoes")))*INDEX(Inputs!$K$5:$AJ$110,0,MATCH(L$2,Inputs!$K$4:$AJ$4,0)))))</f>
        <v>430</v>
      </c>
      <c r="M6" s="3">
        <f>SUM(I6:L6)</f>
        <v>1465</v>
      </c>
      <c r="N6" s="6">
        <f>IF(ISNA(MATCH(N$2,Inputs!$K$4:$AJ$4,0)),NA(),IF(SUMPRODUCT((Inputs!$A$5:$A$110=$B6)*ISNUMBER(INDEX(Inputs!$K$5:$AJ$110,0,MATCH(N$2,Inputs!$K$4:$AJ$4,0))))+SUMPRODUCT((Inputs!$C$5:$C$110=$B6)*ISNUMBER(INDEX(Inputs!$K$5:$AJ$110,0,MATCH(N$2,Inputs!$K$4:$AJ$4,0))))+SUMPRODUCT((Inputs!$E$5:$E$110=$B6)*ISNUMBER(INDEX(Inputs!$K$5:$AJ$110,0,MATCH(N$2,Inputs!$K$4:$AJ$4,0))))=0,NA(),SUMPRODUCT((Inputs!$A$5:$A$110=$B6)*Inputs!$B$5:$B$110*(((Inputs!$G$5:$G$110="moeda")+(Inputs!$G$5:$G$110="acoes"))*Inputs!$B$1+((Inputs!$G$5:$G$110&lt;&gt;"moeda")*(Inputs!$G$5:$G$110&lt;&gt;"acoes")))*INDEX(Inputs!$K$5:$AJ$110,0,MATCH(N$2,Inputs!$K$4:$AJ$4,0)))+SUMPRODUCT((Inputs!$C$5:$C$110=$B6)*Inputs!$D$5:$D$110*(((Inputs!$G$5:$G$110="moeda")+(Inputs!$G$5:$G$110="acoes"))*Inputs!$B$1+((Inputs!$G$5:$G$110&lt;&gt;"moeda")*(Inputs!$G$5:$G$110&lt;&gt;"acoes")))*INDEX(Inputs!$K$5:$AJ$110,0,MATCH(N$2,Inputs!$K$4:$AJ$4,0)))+SUMPRODUCT((Inputs!$E$5:$E$110=$B6)*Inputs!$F$5:$F$110*(((Inputs!$G$5:$G$110="moeda")+(Inputs!$G$5:$G$110="acoes"))*Inputs!$B$1+((Inputs!$G$5:$G$110&lt;&gt;"moeda")*(Inputs!$G$5:$G$110&lt;&gt;"acoes")))*INDEX(Inputs!$K$5:$AJ$110,0,MATCH(N$2,Inputs!$K$4:$AJ$4,0)))))</f>
        <v>316</v>
      </c>
      <c r="O6" s="6">
        <f>IF(ISNA(MATCH(O$2,Inputs!$K$4:$AJ$4,0)),NA(),IF(SUMPRODUCT((Inputs!$A$5:$A$110=$B6)*ISNUMBER(INDEX(Inputs!$K$5:$AJ$110,0,MATCH(O$2,Inputs!$K$4:$AJ$4,0))))+SUMPRODUCT((Inputs!$C$5:$C$110=$B6)*ISNUMBER(INDEX(Inputs!$K$5:$AJ$110,0,MATCH(O$2,Inputs!$K$4:$AJ$4,0))))+SUMPRODUCT((Inputs!$E$5:$E$110=$B6)*ISNUMBER(INDEX(Inputs!$K$5:$AJ$110,0,MATCH(O$2,Inputs!$K$4:$AJ$4,0))))=0,NA(),SUMPRODUCT((Inputs!$A$5:$A$110=$B6)*Inputs!$B$5:$B$110*(((Inputs!$G$5:$G$110="moeda")+(Inputs!$G$5:$G$110="acoes"))*Inputs!$B$1+((Inputs!$G$5:$G$110&lt;&gt;"moeda")*(Inputs!$G$5:$G$110&lt;&gt;"acoes")))*INDEX(Inputs!$K$5:$AJ$110,0,MATCH(O$2,Inputs!$K$4:$AJ$4,0)))+SUMPRODUCT((Inputs!$C$5:$C$110=$B6)*Inputs!$D$5:$D$110*(((Inputs!$G$5:$G$110="moeda")+(Inputs!$G$5:$G$110="acoes"))*Inputs!$B$1+((Inputs!$G$5:$G$110&lt;&gt;"moeda")*(Inputs!$G$5:$G$110&lt;&gt;"acoes")))*INDEX(Inputs!$K$5:$AJ$110,0,MATCH(O$2,Inputs!$K$4:$AJ$4,0)))+SUMPRODUCT((Inputs!$E$5:$E$110=$B6)*Inputs!$F$5:$F$110*(((Inputs!$G$5:$G$110="moeda")+(Inputs!$G$5:$G$110="acoes"))*Inputs!$B$1+((Inputs!$G$5:$G$110&lt;&gt;"moeda")*(Inputs!$G$5:$G$110&lt;&gt;"acoes")))*INDEX(Inputs!$K$5:$AJ$110,0,MATCH(O$2,Inputs!$K$4:$AJ$4,0)))))</f>
        <v>379</v>
      </c>
      <c r="P6" s="6">
        <f>IF(ISNA(MATCH(P$2,Inputs!$K$4:$AJ$4,0)),NA(),IF(SUMPRODUCT((Inputs!$A$5:$A$110=$B6)*ISNUMBER(INDEX(Inputs!$K$5:$AJ$110,0,MATCH(P$2,Inputs!$K$4:$AJ$4,0))))+SUMPRODUCT((Inputs!$C$5:$C$110=$B6)*ISNUMBER(INDEX(Inputs!$K$5:$AJ$110,0,MATCH(P$2,Inputs!$K$4:$AJ$4,0))))+SUMPRODUCT((Inputs!$E$5:$E$110=$B6)*ISNUMBER(INDEX(Inputs!$K$5:$AJ$110,0,MATCH(P$2,Inputs!$K$4:$AJ$4,0))))=0,NA(),SUMPRODUCT((Inputs!$A$5:$A$110=$B6)*Inputs!$B$5:$B$110*(((Inputs!$G$5:$G$110="moeda")+(Inputs!$G$5:$G$110="acoes"))*Inputs!$B$1+((Inputs!$G$5:$G$110&lt;&gt;"moeda")*(Inputs!$G$5:$G$110&lt;&gt;"acoes")))*INDEX(Inputs!$K$5:$AJ$110,0,MATCH(P$2,Inputs!$K$4:$AJ$4,0)))+SUMPRODUCT((Inputs!$C$5:$C$110=$B6)*Inputs!$D$5:$D$110*(((Inputs!$G$5:$G$110="moeda")+(Inputs!$G$5:$G$110="acoes"))*Inputs!$B$1+((Inputs!$G$5:$G$110&lt;&gt;"moeda")*(Inputs!$G$5:$G$110&lt;&gt;"acoes")))*INDEX(Inputs!$K$5:$AJ$110,0,MATCH(P$2,Inputs!$K$4:$AJ$4,0)))+SUMPRODUCT((Inputs!$E$5:$E$110=$B6)*Inputs!$F$5:$F$110*(((Inputs!$G$5:$G$110="moeda")+(Inputs!$G$5:$G$110="acoes"))*Inputs!$B$1+((Inputs!$G$5:$G$110&lt;&gt;"moeda")*(Inputs!$G$5:$G$110&lt;&gt;"acoes")))*INDEX(Inputs!$K$5:$AJ$110,0,MATCH(P$2,Inputs!$K$4:$AJ$4,0)))))</f>
        <v>344</v>
      </c>
      <c r="Q6" s="6">
        <f>IF(ISNA(MATCH(Q$2,Inputs!$K$4:$AJ$4,0)),NA(),IF(SUMPRODUCT((Inputs!$A$5:$A$110=$B6)*ISNUMBER(INDEX(Inputs!$K$5:$AJ$110,0,MATCH(Q$2,Inputs!$K$4:$AJ$4,0))))+SUMPRODUCT((Inputs!$C$5:$C$110=$B6)*ISNUMBER(INDEX(Inputs!$K$5:$AJ$110,0,MATCH(Q$2,Inputs!$K$4:$AJ$4,0))))+SUMPRODUCT((Inputs!$E$5:$E$110=$B6)*ISNUMBER(INDEX(Inputs!$K$5:$AJ$110,0,MATCH(Q$2,Inputs!$K$4:$AJ$4,0))))=0,NA(),SUMPRODUCT((Inputs!$A$5:$A$110=$B6)*Inputs!$B$5:$B$110*(((Inputs!$G$5:$G$110="moeda")+(Inputs!$G$5:$G$110="acoes"))*Inputs!$B$1+((Inputs!$G$5:$G$110&lt;&gt;"moeda")*(Inputs!$G$5:$G$110&lt;&gt;"acoes")))*INDEX(Inputs!$K$5:$AJ$110,0,MATCH(Q$2,Inputs!$K$4:$AJ$4,0)))+SUMPRODUCT((Inputs!$C$5:$C$110=$B6)*Inputs!$D$5:$D$110*(((Inputs!$G$5:$G$110="moeda")+(Inputs!$G$5:$G$110="acoes"))*Inputs!$B$1+((Inputs!$G$5:$G$110&lt;&gt;"moeda")*(Inputs!$G$5:$G$110&lt;&gt;"acoes")))*INDEX(Inputs!$K$5:$AJ$110,0,MATCH(Q$2,Inputs!$K$4:$AJ$4,0)))+SUMPRODUCT((Inputs!$E$5:$E$110=$B6)*Inputs!$F$5:$F$110*(((Inputs!$G$5:$G$110="moeda")+(Inputs!$G$5:$G$110="acoes"))*Inputs!$B$1+((Inputs!$G$5:$G$110&lt;&gt;"moeda")*(Inputs!$G$5:$G$110&lt;&gt;"acoes")))*INDEX(Inputs!$K$5:$AJ$110,0,MATCH(Q$2,Inputs!$K$4:$AJ$4,0)))))</f>
        <v>419</v>
      </c>
      <c r="R6" s="3">
        <f>SUM(N6:Q6)</f>
        <v>1458</v>
      </c>
      <c r="S6" s="6">
        <f>IF(ISNA(MATCH(S$2,Inputs!$K$4:$AJ$4,0)),NA(),IF(SUMPRODUCT((Inputs!$A$5:$A$110=$B6)*ISNUMBER(INDEX(Inputs!$K$5:$AJ$110,0,MATCH(S$2,Inputs!$K$4:$AJ$4,0))))+SUMPRODUCT((Inputs!$C$5:$C$110=$B6)*ISNUMBER(INDEX(Inputs!$K$5:$AJ$110,0,MATCH(S$2,Inputs!$K$4:$AJ$4,0))))+SUMPRODUCT((Inputs!$E$5:$E$110=$B6)*ISNUMBER(INDEX(Inputs!$K$5:$AJ$110,0,MATCH(S$2,Inputs!$K$4:$AJ$4,0))))=0,NA(),SUMPRODUCT((Inputs!$A$5:$A$110=$B6)*Inputs!$B$5:$B$110*(((Inputs!$G$5:$G$110="moeda")+(Inputs!$G$5:$G$110="acoes"))*Inputs!$B$1+((Inputs!$G$5:$G$110&lt;&gt;"moeda")*(Inputs!$G$5:$G$110&lt;&gt;"acoes")))*INDEX(Inputs!$K$5:$AJ$110,0,MATCH(S$2,Inputs!$K$4:$AJ$4,0)))+SUMPRODUCT((Inputs!$C$5:$C$110=$B6)*Inputs!$D$5:$D$110*(((Inputs!$G$5:$G$110="moeda")+(Inputs!$G$5:$G$110="acoes"))*Inputs!$B$1+((Inputs!$G$5:$G$110&lt;&gt;"moeda")*(Inputs!$G$5:$G$110&lt;&gt;"acoes")))*INDEX(Inputs!$K$5:$AJ$110,0,MATCH(S$2,Inputs!$K$4:$AJ$4,0)))+SUMPRODUCT((Inputs!$E$5:$E$110=$B6)*Inputs!$F$5:$F$110*(((Inputs!$G$5:$G$110="moeda")+(Inputs!$G$5:$G$110="acoes"))*Inputs!$B$1+((Inputs!$G$5:$G$110&lt;&gt;"moeda")*(Inputs!$G$5:$G$110&lt;&gt;"acoes")))*INDEX(Inputs!$K$5:$AJ$110,0,MATCH(S$2,Inputs!$K$4:$AJ$4,0)))))</f>
        <v>387</v>
      </c>
      <c r="T6" s="6">
        <f>IF(ISNA(MATCH(T$2,Inputs!$K$4:$AJ$4,0)),NA(),IF(SUMPRODUCT((Inputs!$A$5:$A$110=$B6)*ISNUMBER(INDEX(Inputs!$K$5:$AJ$110,0,MATCH(T$2,Inputs!$K$4:$AJ$4,0))))+SUMPRODUCT((Inputs!$C$5:$C$110=$B6)*ISNUMBER(INDEX(Inputs!$K$5:$AJ$110,0,MATCH(T$2,Inputs!$K$4:$AJ$4,0))))+SUMPRODUCT((Inputs!$E$5:$E$110=$B6)*ISNUMBER(INDEX(Inputs!$K$5:$AJ$110,0,MATCH(T$2,Inputs!$K$4:$AJ$4,0))))=0,NA(),SUMPRODUCT((Inputs!$A$5:$A$110=$B6)*Inputs!$B$5:$B$110*(((Inputs!$G$5:$G$110="moeda")+(Inputs!$G$5:$G$110="acoes"))*Inputs!$B$1+((Inputs!$G$5:$G$110&lt;&gt;"moeda")*(Inputs!$G$5:$G$110&lt;&gt;"acoes")))*INDEX(Inputs!$K$5:$AJ$110,0,MATCH(T$2,Inputs!$K$4:$AJ$4,0)))+SUMPRODUCT((Inputs!$C$5:$C$110=$B6)*Inputs!$D$5:$D$110*(((Inputs!$G$5:$G$110="moeda")+(Inputs!$G$5:$G$110="acoes"))*Inputs!$B$1+((Inputs!$G$5:$G$110&lt;&gt;"moeda")*(Inputs!$G$5:$G$110&lt;&gt;"acoes")))*INDEX(Inputs!$K$5:$AJ$110,0,MATCH(T$2,Inputs!$K$4:$AJ$4,0)))+SUMPRODUCT((Inputs!$E$5:$E$110=$B6)*Inputs!$F$5:$F$110*(((Inputs!$G$5:$G$110="moeda")+(Inputs!$G$5:$G$110="acoes"))*Inputs!$B$1+((Inputs!$G$5:$G$110&lt;&gt;"moeda")*(Inputs!$G$5:$G$110&lt;&gt;"acoes")))*INDEX(Inputs!$K$5:$AJ$110,0,MATCH(T$2,Inputs!$K$4:$AJ$4,0)))))</f>
        <v>377</v>
      </c>
      <c r="U6" s="6">
        <f>IF(ISNA(MATCH(U$2,Inputs!$K$4:$AJ$4,0)),NA(),IF(SUMPRODUCT((Inputs!$A$5:$A$110=$B6)*ISNUMBER(INDEX(Inputs!$K$5:$AJ$110,0,MATCH(U$2,Inputs!$K$4:$AJ$4,0))))+SUMPRODUCT((Inputs!$C$5:$C$110=$B6)*ISNUMBER(INDEX(Inputs!$K$5:$AJ$110,0,MATCH(U$2,Inputs!$K$4:$AJ$4,0))))+SUMPRODUCT((Inputs!$E$5:$E$110=$B6)*ISNUMBER(INDEX(Inputs!$K$5:$AJ$110,0,MATCH(U$2,Inputs!$K$4:$AJ$4,0))))=0,NA(),SUMPRODUCT((Inputs!$A$5:$A$110=$B6)*Inputs!$B$5:$B$110*(((Inputs!$G$5:$G$110="moeda")+(Inputs!$G$5:$G$110="acoes"))*Inputs!$B$1+((Inputs!$G$5:$G$110&lt;&gt;"moeda")*(Inputs!$G$5:$G$110&lt;&gt;"acoes")))*INDEX(Inputs!$K$5:$AJ$110,0,MATCH(U$2,Inputs!$K$4:$AJ$4,0)))+SUMPRODUCT((Inputs!$C$5:$C$110=$B6)*Inputs!$D$5:$D$110*(((Inputs!$G$5:$G$110="moeda")+(Inputs!$G$5:$G$110="acoes"))*Inputs!$B$1+((Inputs!$G$5:$G$110&lt;&gt;"moeda")*(Inputs!$G$5:$G$110&lt;&gt;"acoes")))*INDEX(Inputs!$K$5:$AJ$110,0,MATCH(U$2,Inputs!$K$4:$AJ$4,0)))+SUMPRODUCT((Inputs!$E$5:$E$110=$B6)*Inputs!$F$5:$F$110*(((Inputs!$G$5:$G$110="moeda")+(Inputs!$G$5:$G$110="acoes"))*Inputs!$B$1+((Inputs!$G$5:$G$110&lt;&gt;"moeda")*(Inputs!$G$5:$G$110&lt;&gt;"acoes")))*INDEX(Inputs!$K$5:$AJ$110,0,MATCH(U$2,Inputs!$K$4:$AJ$4,0)))))</f>
        <v>413</v>
      </c>
      <c r="V6" s="6">
        <f>IF(ISNA(MATCH(V$2,Inputs!$K$4:$AJ$4,0)),NA(),IF(SUMPRODUCT((Inputs!$A$5:$A$110=$B6)*ISNUMBER(INDEX(Inputs!$K$5:$AJ$110,0,MATCH(V$2,Inputs!$K$4:$AJ$4,0))))+SUMPRODUCT((Inputs!$C$5:$C$110=$B6)*ISNUMBER(INDEX(Inputs!$K$5:$AJ$110,0,MATCH(V$2,Inputs!$K$4:$AJ$4,0))))+SUMPRODUCT((Inputs!$E$5:$E$110=$B6)*ISNUMBER(INDEX(Inputs!$K$5:$AJ$110,0,MATCH(V$2,Inputs!$K$4:$AJ$4,0))))=0,NA(),SUMPRODUCT((Inputs!$A$5:$A$110=$B6)*Inputs!$B$5:$B$110*(((Inputs!$G$5:$G$110="moeda")+(Inputs!$G$5:$G$110="acoes"))*Inputs!$B$1+((Inputs!$G$5:$G$110&lt;&gt;"moeda")*(Inputs!$G$5:$G$110&lt;&gt;"acoes")))*INDEX(Inputs!$K$5:$AJ$110,0,MATCH(V$2,Inputs!$K$4:$AJ$4,0)))+SUMPRODUCT((Inputs!$C$5:$C$110=$B6)*Inputs!$D$5:$D$110*(((Inputs!$G$5:$G$110="moeda")+(Inputs!$G$5:$G$110="acoes"))*Inputs!$B$1+((Inputs!$G$5:$G$110&lt;&gt;"moeda")*(Inputs!$G$5:$G$110&lt;&gt;"acoes")))*INDEX(Inputs!$K$5:$AJ$110,0,MATCH(V$2,Inputs!$K$4:$AJ$4,0)))+SUMPRODUCT((Inputs!$E$5:$E$110=$B6)*Inputs!$F$5:$F$110*(((Inputs!$G$5:$G$110="moeda")+(Inputs!$G$5:$G$110="acoes"))*Inputs!$B$1+((Inputs!$G$5:$G$110&lt;&gt;"moeda")*(Inputs!$G$5:$G$110&lt;&gt;"acoes")))*INDEX(Inputs!$K$5:$AJ$110,0,MATCH(V$2,Inputs!$K$4:$AJ$4,0)))))</f>
        <v>465</v>
      </c>
      <c r="W6" s="3">
        <f>SUM(S6:V6)</f>
        <v>1642</v>
      </c>
      <c r="X6" s="6">
        <f>IF(ISNA(MATCH(X$2,Inputs!$K$4:$AJ$4,0)),NA(),IF(SUMPRODUCT((Inputs!$A$5:$A$110=$B6)*ISNUMBER(INDEX(Inputs!$K$5:$AJ$110,0,MATCH(X$2,Inputs!$K$4:$AJ$4,0))))+SUMPRODUCT((Inputs!$C$5:$C$110=$B6)*ISNUMBER(INDEX(Inputs!$K$5:$AJ$110,0,MATCH(X$2,Inputs!$K$4:$AJ$4,0))))+SUMPRODUCT((Inputs!$E$5:$E$110=$B6)*ISNUMBER(INDEX(Inputs!$K$5:$AJ$110,0,MATCH(X$2,Inputs!$K$4:$AJ$4,0))))=0,NA(),SUMPRODUCT((Inputs!$A$5:$A$110=$B6)*Inputs!$B$5:$B$110*(((Inputs!$G$5:$G$110="moeda")+(Inputs!$G$5:$G$110="acoes"))*Inputs!$B$1+((Inputs!$G$5:$G$110&lt;&gt;"moeda")*(Inputs!$G$5:$G$110&lt;&gt;"acoes")))*INDEX(Inputs!$K$5:$AJ$110,0,MATCH(X$2,Inputs!$K$4:$AJ$4,0)))+SUMPRODUCT((Inputs!$C$5:$C$110=$B6)*Inputs!$D$5:$D$110*(((Inputs!$G$5:$G$110="moeda")+(Inputs!$G$5:$G$110="acoes"))*Inputs!$B$1+((Inputs!$G$5:$G$110&lt;&gt;"moeda")*(Inputs!$G$5:$G$110&lt;&gt;"acoes")))*INDEX(Inputs!$K$5:$AJ$110,0,MATCH(X$2,Inputs!$K$4:$AJ$4,0)))+SUMPRODUCT((Inputs!$E$5:$E$110=$B6)*Inputs!$F$5:$F$110*(((Inputs!$G$5:$G$110="moeda")+(Inputs!$G$5:$G$110="acoes"))*Inputs!$B$1+((Inputs!$G$5:$G$110&lt;&gt;"moeda")*(Inputs!$G$5:$G$110&lt;&gt;"acoes")))*INDEX(Inputs!$K$5:$AJ$110,0,MATCH(X$2,Inputs!$K$4:$AJ$4,0)))))</f>
        <v>446</v>
      </c>
      <c r="Y6" s="6">
        <f>IF(ISNA(MATCH(Y$2,Inputs!$K$4:$AJ$4,0)),NA(),IF(SUMPRODUCT((Inputs!$A$5:$A$110=$B6)*ISNUMBER(INDEX(Inputs!$K$5:$AJ$110,0,MATCH(Y$2,Inputs!$K$4:$AJ$4,0))))+SUMPRODUCT((Inputs!$C$5:$C$110=$B6)*ISNUMBER(INDEX(Inputs!$K$5:$AJ$110,0,MATCH(Y$2,Inputs!$K$4:$AJ$4,0))))+SUMPRODUCT((Inputs!$E$5:$E$110=$B6)*ISNUMBER(INDEX(Inputs!$K$5:$AJ$110,0,MATCH(Y$2,Inputs!$K$4:$AJ$4,0))))=0,NA(),SUMPRODUCT((Inputs!$A$5:$A$110=$B6)*Inputs!$B$5:$B$110*(((Inputs!$G$5:$G$110="moeda")+(Inputs!$G$5:$G$110="acoes"))*Inputs!$B$1+((Inputs!$G$5:$G$110&lt;&gt;"moeda")*(Inputs!$G$5:$G$110&lt;&gt;"acoes")))*INDEX(Inputs!$K$5:$AJ$110,0,MATCH(Y$2,Inputs!$K$4:$AJ$4,0)))+SUMPRODUCT((Inputs!$C$5:$C$110=$B6)*Inputs!$D$5:$D$110*(((Inputs!$G$5:$G$110="moeda")+(Inputs!$G$5:$G$110="acoes"))*Inputs!$B$1+((Inputs!$G$5:$G$110&lt;&gt;"moeda")*(Inputs!$G$5:$G$110&lt;&gt;"acoes")))*INDEX(Inputs!$K$5:$AJ$110,0,MATCH(Y$2,Inputs!$K$4:$AJ$4,0)))+SUMPRODUCT((Inputs!$E$5:$E$110=$B6)*Inputs!$F$5:$F$110*(((Inputs!$G$5:$G$110="moeda")+(Inputs!$G$5:$G$110="acoes"))*Inputs!$B$1+((Inputs!$G$5:$G$110&lt;&gt;"moeda")*(Inputs!$G$5:$G$110&lt;&gt;"acoes")))*INDEX(Inputs!$K$5:$AJ$110,0,MATCH(Y$2,Inputs!$K$4:$AJ$4,0)))))</f>
        <v>413</v>
      </c>
      <c r="Z6" s="6">
        <f>IF(ISNA(MATCH(Z$2,Inputs!$K$4:$AJ$4,0)),NA(),IF(SUMPRODUCT((Inputs!$A$5:$A$110=$B6)*ISNUMBER(INDEX(Inputs!$K$5:$AJ$110,0,MATCH(Z$2,Inputs!$K$4:$AJ$4,0))))+SUMPRODUCT((Inputs!$C$5:$C$110=$B6)*ISNUMBER(INDEX(Inputs!$K$5:$AJ$110,0,MATCH(Z$2,Inputs!$K$4:$AJ$4,0))))+SUMPRODUCT((Inputs!$E$5:$E$110=$B6)*ISNUMBER(INDEX(Inputs!$K$5:$AJ$110,0,MATCH(Z$2,Inputs!$K$4:$AJ$4,0))))=0,NA(),SUMPRODUCT((Inputs!$A$5:$A$110=$B6)*Inputs!$B$5:$B$110*(((Inputs!$G$5:$G$110="moeda")+(Inputs!$G$5:$G$110="acoes"))*Inputs!$B$1+((Inputs!$G$5:$G$110&lt;&gt;"moeda")*(Inputs!$G$5:$G$110&lt;&gt;"acoes")))*INDEX(Inputs!$K$5:$AJ$110,0,MATCH(Z$2,Inputs!$K$4:$AJ$4,0)))+SUMPRODUCT((Inputs!$C$5:$C$110=$B6)*Inputs!$D$5:$D$110*(((Inputs!$G$5:$G$110="moeda")+(Inputs!$G$5:$G$110="acoes"))*Inputs!$B$1+((Inputs!$G$5:$G$110&lt;&gt;"moeda")*(Inputs!$G$5:$G$110&lt;&gt;"acoes")))*INDEX(Inputs!$K$5:$AJ$110,0,MATCH(Z$2,Inputs!$K$4:$AJ$4,0)))+SUMPRODUCT((Inputs!$E$5:$E$110=$B6)*Inputs!$F$5:$F$110*(((Inputs!$G$5:$G$110="moeda")+(Inputs!$G$5:$G$110="acoes"))*Inputs!$B$1+((Inputs!$G$5:$G$110&lt;&gt;"moeda")*(Inputs!$G$5:$G$110&lt;&gt;"acoes")))*INDEX(Inputs!$K$5:$AJ$110,0,MATCH(Z$2,Inputs!$K$4:$AJ$4,0)))))</f>
        <v>468</v>
      </c>
      <c r="AA6" s="6">
        <f>IF(ISNA(MATCH(AA$2,Inputs!$K$4:$AJ$4,0)),NA(),IF(SUMPRODUCT((Inputs!$A$5:$A$110=$B6)*ISNUMBER(INDEX(Inputs!$K$5:$AJ$110,0,MATCH(AA$2,Inputs!$K$4:$AJ$4,0))))+SUMPRODUCT((Inputs!$C$5:$C$110=$B6)*ISNUMBER(INDEX(Inputs!$K$5:$AJ$110,0,MATCH(AA$2,Inputs!$K$4:$AJ$4,0))))+SUMPRODUCT((Inputs!$E$5:$E$110=$B6)*ISNUMBER(INDEX(Inputs!$K$5:$AJ$110,0,MATCH(AA$2,Inputs!$K$4:$AJ$4,0))))=0,NA(),SUMPRODUCT((Inputs!$A$5:$A$110=$B6)*Inputs!$B$5:$B$110*(((Inputs!$G$5:$G$110="moeda")+(Inputs!$G$5:$G$110="acoes"))*Inputs!$B$1+((Inputs!$G$5:$G$110&lt;&gt;"moeda")*(Inputs!$G$5:$G$110&lt;&gt;"acoes")))*INDEX(Inputs!$K$5:$AJ$110,0,MATCH(AA$2,Inputs!$K$4:$AJ$4,0)))+SUMPRODUCT((Inputs!$C$5:$C$110=$B6)*Inputs!$D$5:$D$110*(((Inputs!$G$5:$G$110="moeda")+(Inputs!$G$5:$G$110="acoes"))*Inputs!$B$1+((Inputs!$G$5:$G$110&lt;&gt;"moeda")*(Inputs!$G$5:$G$110&lt;&gt;"acoes")))*INDEX(Inputs!$K$5:$AJ$110,0,MATCH(AA$2,Inputs!$K$4:$AJ$4,0)))+SUMPRODUCT((Inputs!$E$5:$E$110=$B6)*Inputs!$F$5:$F$110*(((Inputs!$G$5:$G$110="moeda")+(Inputs!$G$5:$G$110="acoes"))*Inputs!$B$1+((Inputs!$G$5:$G$110&lt;&gt;"moeda")*(Inputs!$G$5:$G$110&lt;&gt;"acoes")))*INDEX(Inputs!$K$5:$AJ$110,0,MATCH(AA$2,Inputs!$K$4:$AJ$4,0)))))</f>
        <v>472</v>
      </c>
      <c r="AB6" s="3">
        <f>SUM(X6:AA6)</f>
        <v>1799</v>
      </c>
      <c r="AC6" s="6">
        <f>IF(ISNA(MATCH(AC$2,Inputs!$K$4:$AJ$4,0)),NA(),IF(SUMPRODUCT((Inputs!$A$5:$A$110=$B6)*ISNUMBER(INDEX(Inputs!$K$5:$AJ$110,0,MATCH(AC$2,Inputs!$K$4:$AJ$4,0))))+SUMPRODUCT((Inputs!$C$5:$C$110=$B6)*ISNUMBER(INDEX(Inputs!$K$5:$AJ$110,0,MATCH(AC$2,Inputs!$K$4:$AJ$4,0))))+SUMPRODUCT((Inputs!$E$5:$E$110=$B6)*ISNUMBER(INDEX(Inputs!$K$5:$AJ$110,0,MATCH(AC$2,Inputs!$K$4:$AJ$4,0))))=0,NA(),SUMPRODUCT((Inputs!$A$5:$A$110=$B6)*Inputs!$B$5:$B$110*(((Inputs!$G$5:$G$110="moeda")+(Inputs!$G$5:$G$110="acoes"))*Inputs!$B$1+((Inputs!$G$5:$G$110&lt;&gt;"moeda")*(Inputs!$G$5:$G$110&lt;&gt;"acoes")))*INDEX(Inputs!$K$5:$AJ$110,0,MATCH(AC$2,Inputs!$K$4:$AJ$4,0)))+SUMPRODUCT((Inputs!$C$5:$C$110=$B6)*Inputs!$D$5:$D$110*(((Inputs!$G$5:$G$110="moeda")+(Inputs!$G$5:$G$110="acoes"))*Inputs!$B$1+((Inputs!$G$5:$G$110&lt;&gt;"moeda")*(Inputs!$G$5:$G$110&lt;&gt;"acoes")))*INDEX(Inputs!$K$5:$AJ$110,0,MATCH(AC$2,Inputs!$K$4:$AJ$4,0)))+SUMPRODUCT((Inputs!$E$5:$E$110=$B6)*Inputs!$F$5:$F$110*(((Inputs!$G$5:$G$110="moeda")+(Inputs!$G$5:$G$110="acoes"))*Inputs!$B$1+((Inputs!$G$5:$G$110&lt;&gt;"moeda")*(Inputs!$G$5:$G$110&lt;&gt;"acoes")))*INDEX(Inputs!$K$5:$AJ$110,0,MATCH(AC$2,Inputs!$K$4:$AJ$4,0)))))</f>
        <v>383</v>
      </c>
      <c r="AD6" s="6">
        <f>IF(ISNA(MATCH(AD$2,Inputs!$K$4:$AJ$4,0)),NA(),IF(SUMPRODUCT((Inputs!$A$5:$A$110=$B6)*ISNUMBER(INDEX(Inputs!$K$5:$AJ$110,0,MATCH(AD$2,Inputs!$K$4:$AJ$4,0))))+SUMPRODUCT((Inputs!$C$5:$C$110=$B6)*ISNUMBER(INDEX(Inputs!$K$5:$AJ$110,0,MATCH(AD$2,Inputs!$K$4:$AJ$4,0))))+SUMPRODUCT((Inputs!$E$5:$E$110=$B6)*ISNUMBER(INDEX(Inputs!$K$5:$AJ$110,0,MATCH(AD$2,Inputs!$K$4:$AJ$4,0))))=0,NA(),SUMPRODUCT((Inputs!$A$5:$A$110=$B6)*Inputs!$B$5:$B$110*(((Inputs!$G$5:$G$110="moeda")+(Inputs!$G$5:$G$110="acoes"))*Inputs!$B$1+((Inputs!$G$5:$G$110&lt;&gt;"moeda")*(Inputs!$G$5:$G$110&lt;&gt;"acoes")))*INDEX(Inputs!$K$5:$AJ$110,0,MATCH(AD$2,Inputs!$K$4:$AJ$4,0)))+SUMPRODUCT((Inputs!$C$5:$C$110=$B6)*Inputs!$D$5:$D$110*(((Inputs!$G$5:$G$110="moeda")+(Inputs!$G$5:$G$110="acoes"))*Inputs!$B$1+((Inputs!$G$5:$G$110&lt;&gt;"moeda")*(Inputs!$G$5:$G$110&lt;&gt;"acoes")))*INDEX(Inputs!$K$5:$AJ$110,0,MATCH(AD$2,Inputs!$K$4:$AJ$4,0)))+SUMPRODUCT((Inputs!$E$5:$E$110=$B6)*Inputs!$F$5:$F$110*(((Inputs!$G$5:$G$110="moeda")+(Inputs!$G$5:$G$110="acoes"))*Inputs!$B$1+((Inputs!$G$5:$G$110&lt;&gt;"moeda")*(Inputs!$G$5:$G$110&lt;&gt;"acoes")))*INDEX(Inputs!$K$5:$AJ$110,0,MATCH(AD$2,Inputs!$K$4:$AJ$4,0)))))</f>
        <v>433</v>
      </c>
      <c r="AE6" s="6" t="e">
        <f>IF(ISNA(MATCH(AE$2,Inputs!$K$4:$AJ$4,0)),NA(),IF(SUMPRODUCT((Inputs!$A$5:$A$110=$B6)*ISNUMBER(INDEX(Inputs!$K$5:$AJ$110,0,MATCH(AE$2,Inputs!$K$4:$AJ$4,0))))+SUMPRODUCT((Inputs!$C$5:$C$110=$B6)*ISNUMBER(INDEX(Inputs!$K$5:$AJ$110,0,MATCH(AE$2,Inputs!$K$4:$AJ$4,0))))+SUMPRODUCT((Inputs!$E$5:$E$110=$B6)*ISNUMBER(INDEX(Inputs!$K$5:$AJ$110,0,MATCH(AE$2,Inputs!$K$4:$AJ$4,0))))=0,NA(),SUMPRODUCT((Inputs!$A$5:$A$110=$B6)*Inputs!$B$5:$B$110*(((Inputs!$G$5:$G$110="moeda")+(Inputs!$G$5:$G$110="acoes"))*Inputs!$B$1+((Inputs!$G$5:$G$110&lt;&gt;"moeda")*(Inputs!$G$5:$G$110&lt;&gt;"acoes")))*INDEX(Inputs!$K$5:$AJ$110,0,MATCH(AE$2,Inputs!$K$4:$AJ$4,0)))+SUMPRODUCT((Inputs!$C$5:$C$110=$B6)*Inputs!$D$5:$D$110*(((Inputs!$G$5:$G$110="moeda")+(Inputs!$G$5:$G$110="acoes"))*Inputs!$B$1+((Inputs!$G$5:$G$110&lt;&gt;"moeda")*(Inputs!$G$5:$G$110&lt;&gt;"acoes")))*INDEX(Inputs!$K$5:$AJ$110,0,MATCH(AE$2,Inputs!$K$4:$AJ$4,0)))+SUMPRODUCT((Inputs!$E$5:$E$110=$B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" s="6" t="e">
        <f>IF(ISNA(MATCH(AF$2,Inputs!$K$4:$AJ$4,0)),NA(),IF(SUMPRODUCT((Inputs!$A$5:$A$110=$B6)*ISNUMBER(INDEX(Inputs!$K$5:$AJ$110,0,MATCH(AF$2,Inputs!$K$4:$AJ$4,0))))+SUMPRODUCT((Inputs!$C$5:$C$110=$B6)*ISNUMBER(INDEX(Inputs!$K$5:$AJ$110,0,MATCH(AF$2,Inputs!$K$4:$AJ$4,0))))+SUMPRODUCT((Inputs!$E$5:$E$110=$B6)*ISNUMBER(INDEX(Inputs!$K$5:$AJ$110,0,MATCH(AF$2,Inputs!$K$4:$AJ$4,0))))=0,NA(),SUMPRODUCT((Inputs!$A$5:$A$110=$B6)*Inputs!$B$5:$B$110*(((Inputs!$G$5:$G$110="moeda")+(Inputs!$G$5:$G$110="acoes"))*Inputs!$B$1+((Inputs!$G$5:$G$110&lt;&gt;"moeda")*(Inputs!$G$5:$G$110&lt;&gt;"acoes")))*INDEX(Inputs!$K$5:$AJ$110,0,MATCH(AF$2,Inputs!$K$4:$AJ$4,0)))+SUMPRODUCT((Inputs!$C$5:$C$110=$B6)*Inputs!$D$5:$D$110*(((Inputs!$G$5:$G$110="moeda")+(Inputs!$G$5:$G$110="acoes"))*Inputs!$B$1+((Inputs!$G$5:$G$110&lt;&gt;"moeda")*(Inputs!$G$5:$G$110&lt;&gt;"acoes")))*INDEX(Inputs!$K$5:$AJ$110,0,MATCH(AF$2,Inputs!$K$4:$AJ$4,0)))+SUMPRODUCT((Inputs!$E$5:$E$110=$B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" s="3" t="e">
        <f>SUM(AC6:AF6)</f>
        <v>#N/A</v>
      </c>
      <c r="AH6" s="6">
        <f>IF(ISNA(MATCH(AH$2,Inputs!$K$4:$AJ$4,0)),NA(),IF(SUMPRODUCT((Inputs!$A$5:$A$110=$B6)*ISNUMBER(INDEX(Inputs!$K$5:$AJ$110,0,MATCH(AH$2,Inputs!$K$4:$AJ$4,0))))+SUMPRODUCT((Inputs!$C$5:$C$110=$B6)*ISNUMBER(INDEX(Inputs!$K$5:$AJ$110,0,MATCH(AH$2,Inputs!$K$4:$AJ$4,0))))+SUMPRODUCT((Inputs!$E$5:$E$110=$B6)*ISNUMBER(INDEX(Inputs!$K$5:$AJ$110,0,MATCH(AH$2,Inputs!$K$4:$AJ$4,0))))=0,NA(),SUMPRODUCT((Inputs!$A$5:$A$110=$B6)*Inputs!$B$5:$B$110*(((Inputs!$G$5:$G$110="moeda")+(Inputs!$G$5:$G$110="acoes"))*Inputs!$B$1+((Inputs!$G$5:$G$110&lt;&gt;"moeda")*(Inputs!$G$5:$G$110&lt;&gt;"acoes")))*INDEX(Inputs!$K$5:$AJ$110,0,MATCH(AH$2,Inputs!$K$4:$AJ$4,0)))+SUMPRODUCT((Inputs!$C$5:$C$110=$B6)*Inputs!$D$5:$D$110*(((Inputs!$G$5:$G$110="moeda")+(Inputs!$G$5:$G$110="acoes"))*Inputs!$B$1+((Inputs!$G$5:$G$110&lt;&gt;"moeda")*(Inputs!$G$5:$G$110&lt;&gt;"acoes")))*INDEX(Inputs!$K$5:$AJ$110,0,MATCH(AH$2,Inputs!$K$4:$AJ$4,0)))+SUMPRODUCT((Inputs!$E$5:$E$110=$B6)*Inputs!$F$5:$F$110*(((Inputs!$G$5:$G$110="moeda")+(Inputs!$G$5:$G$110="acoes"))*Inputs!$B$1+((Inputs!$G$5:$G$110&lt;&gt;"moeda")*(Inputs!$G$5:$G$110&lt;&gt;"acoes")))*INDEX(Inputs!$K$5:$AJ$110,0,MATCH(AH$2,Inputs!$K$4:$AJ$4,0)))))</f>
        <v>332</v>
      </c>
      <c r="AI6" s="6">
        <f>IF(ISNA(MATCH(AI$2,Inputs!$K$4:$AJ$4,0)),NA(),IF(SUMPRODUCT((Inputs!$A$5:$A$110=$B6)*ISNUMBER(INDEX(Inputs!$K$5:$AJ$110,0,MATCH(AI$2,Inputs!$K$4:$AJ$4,0))))+SUMPRODUCT((Inputs!$C$5:$C$110=$B6)*ISNUMBER(INDEX(Inputs!$K$5:$AJ$110,0,MATCH(AI$2,Inputs!$K$4:$AJ$4,0))))+SUMPRODUCT((Inputs!$E$5:$E$110=$B6)*ISNUMBER(INDEX(Inputs!$K$5:$AJ$110,0,MATCH(AI$2,Inputs!$K$4:$AJ$4,0))))=0,NA(),SUMPRODUCT((Inputs!$A$5:$A$110=$B6)*Inputs!$B$5:$B$110*(((Inputs!$G$5:$G$110="moeda")+(Inputs!$G$5:$G$110="acoes"))*Inputs!$B$1+((Inputs!$G$5:$G$110&lt;&gt;"moeda")*(Inputs!$G$5:$G$110&lt;&gt;"acoes")))*INDEX(Inputs!$K$5:$AJ$110,0,MATCH(AI$2,Inputs!$K$4:$AJ$4,0)))+SUMPRODUCT((Inputs!$C$5:$C$110=$B6)*Inputs!$D$5:$D$110*(((Inputs!$G$5:$G$110="moeda")+(Inputs!$G$5:$G$110="acoes"))*Inputs!$B$1+((Inputs!$G$5:$G$110&lt;&gt;"moeda")*(Inputs!$G$5:$G$110&lt;&gt;"acoes")))*INDEX(Inputs!$K$5:$AJ$110,0,MATCH(AI$2,Inputs!$K$4:$AJ$4,0)))+SUMPRODUCT((Inputs!$E$5:$E$110=$B6)*Inputs!$F$5:$F$110*(((Inputs!$G$5:$G$110="moeda")+(Inputs!$G$5:$G$110="acoes"))*Inputs!$B$1+((Inputs!$G$5:$G$110&lt;&gt;"moeda")*(Inputs!$G$5:$G$110&lt;&gt;"acoes")))*INDEX(Inputs!$K$5:$AJ$110,0,MATCH(AI$2,Inputs!$K$4:$AJ$4,0)))))</f>
        <v>180</v>
      </c>
      <c r="AJ6" s="6">
        <f>IF(ISNA(MATCH(AJ$2,Inputs!$K$4:$AJ$4,0)),NA(),IF(SUMPRODUCT((Inputs!$A$5:$A$110=$B6)*ISNUMBER(INDEX(Inputs!$K$5:$AJ$110,0,MATCH(AJ$2,Inputs!$K$4:$AJ$4,0))))+SUMPRODUCT((Inputs!$C$5:$C$110=$B6)*ISNUMBER(INDEX(Inputs!$K$5:$AJ$110,0,MATCH(AJ$2,Inputs!$K$4:$AJ$4,0))))+SUMPRODUCT((Inputs!$E$5:$E$110=$B6)*ISNUMBER(INDEX(Inputs!$K$5:$AJ$110,0,MATCH(AJ$2,Inputs!$K$4:$AJ$4,0))))=0,NA(),SUMPRODUCT((Inputs!$A$5:$A$110=$B6)*Inputs!$B$5:$B$110*(((Inputs!$G$5:$G$110="moeda")+(Inputs!$G$5:$G$110="acoes"))*Inputs!$B$1+((Inputs!$G$5:$G$110&lt;&gt;"moeda")*(Inputs!$G$5:$G$110&lt;&gt;"acoes")))*INDEX(Inputs!$K$5:$AJ$110,0,MATCH(AJ$2,Inputs!$K$4:$AJ$4,0)))+SUMPRODUCT((Inputs!$C$5:$C$110=$B6)*Inputs!$D$5:$D$110*(((Inputs!$G$5:$G$110="moeda")+(Inputs!$G$5:$G$110="acoes"))*Inputs!$B$1+((Inputs!$G$5:$G$110&lt;&gt;"moeda")*(Inputs!$G$5:$G$110&lt;&gt;"acoes")))*INDEX(Inputs!$K$5:$AJ$110,0,MATCH(AJ$2,Inputs!$K$4:$AJ$4,0)))+SUMPRODUCT((Inputs!$E$5:$E$110=$B6)*Inputs!$F$5:$F$110*(((Inputs!$G$5:$G$110="moeda")+(Inputs!$G$5:$G$110="acoes"))*Inputs!$B$1+((Inputs!$G$5:$G$110&lt;&gt;"moeda")*(Inputs!$G$5:$G$110&lt;&gt;"acoes")))*INDEX(Inputs!$K$5:$AJ$110,0,MATCH(AJ$2,Inputs!$K$4:$AJ$4,0)))))</f>
        <v>330</v>
      </c>
      <c r="AK6" s="6">
        <f>IF(ISNA(MATCH(AK$2,Inputs!$K$4:$AJ$4,0)),NA(),IF(SUMPRODUCT((Inputs!$A$5:$A$110=$B6)*ISNUMBER(INDEX(Inputs!$K$5:$AJ$110,0,MATCH(AK$2,Inputs!$K$4:$AJ$4,0))))+SUMPRODUCT((Inputs!$C$5:$C$110=$B6)*ISNUMBER(INDEX(Inputs!$K$5:$AJ$110,0,MATCH(AK$2,Inputs!$K$4:$AJ$4,0))))+SUMPRODUCT((Inputs!$E$5:$E$110=$B6)*ISNUMBER(INDEX(Inputs!$K$5:$AJ$110,0,MATCH(AK$2,Inputs!$K$4:$AJ$4,0))))=0,NA(),SUMPRODUCT((Inputs!$A$5:$A$110=$B6)*Inputs!$B$5:$B$110*(((Inputs!$G$5:$G$110="moeda")+(Inputs!$G$5:$G$110="acoes"))*Inputs!$B$1+((Inputs!$G$5:$G$110&lt;&gt;"moeda")*(Inputs!$G$5:$G$110&lt;&gt;"acoes")))*INDEX(Inputs!$K$5:$AJ$110,0,MATCH(AK$2,Inputs!$K$4:$AJ$4,0)))+SUMPRODUCT((Inputs!$C$5:$C$110=$B6)*Inputs!$D$5:$D$110*(((Inputs!$G$5:$G$110="moeda")+(Inputs!$G$5:$G$110="acoes"))*Inputs!$B$1+((Inputs!$G$5:$G$110&lt;&gt;"moeda")*(Inputs!$G$5:$G$110&lt;&gt;"acoes")))*INDEX(Inputs!$K$5:$AJ$110,0,MATCH(AK$2,Inputs!$K$4:$AJ$4,0)))+SUMPRODUCT((Inputs!$E$5:$E$110=$B6)*Inputs!$F$5:$F$110*(((Inputs!$G$5:$G$110="moeda")+(Inputs!$G$5:$G$110="acoes"))*Inputs!$B$1+((Inputs!$G$5:$G$110&lt;&gt;"moeda")*(Inputs!$G$5:$G$110&lt;&gt;"acoes")))*INDEX(Inputs!$K$5:$AJ$110,0,MATCH(AK$2,Inputs!$K$4:$AJ$4,0)))))</f>
        <v>438</v>
      </c>
      <c r="AL6" s="3">
        <f>SUM(AH6:AK6)</f>
        <v>1280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$110=$B7)*ISNUMBER(INDEX(Inputs!$K$5:$AJ$110,0,MATCH(D$2,Inputs!$K$4:$AJ$4,0))))+SUMPRODUCT((Inputs!$C$5:$C$110=$B7)*ISNUMBER(INDEX(Inputs!$K$5:$AJ$110,0,MATCH(D$2,Inputs!$K$4:$AJ$4,0))))+SUMPRODUCT((Inputs!$E$5:$E$110=$B7)*ISNUMBER(INDEX(Inputs!$K$5:$AJ$110,0,MATCH(D$2,Inputs!$K$4:$AJ$4,0))))=0,NA(),SUMPRODUCT((Inputs!$A$5:$A$110=$B7)*Inputs!$B$5:$B$110*(((Inputs!$G$5:$G$110="moeda")+(Inputs!$G$5:$G$110="acoes"))*Inputs!$B$1+((Inputs!$G$5:$G$110&lt;&gt;"moeda")*(Inputs!$G$5:$G$110&lt;&gt;"acoes")))*INDEX(Inputs!$K$5:$AJ$110,0,MATCH(D$2,Inputs!$K$4:$AJ$4,0)))+SUMPRODUCT((Inputs!$C$5:$C$110=$B7)*Inputs!$D$5:$D$110*(((Inputs!$G$5:$G$110="moeda")+(Inputs!$G$5:$G$110="acoes"))*Inputs!$B$1+((Inputs!$G$5:$G$110&lt;&gt;"moeda")*(Inputs!$G$5:$G$110&lt;&gt;"acoes")))*INDEX(Inputs!$K$5:$AJ$110,0,MATCH(D$2,Inputs!$K$4:$AJ$4,0)))+SUMPRODUCT((Inputs!$E$5:$E$110=$B7)*Inputs!$F$5:$F$110*(((Inputs!$G$5:$G$110="moeda")+(Inputs!$G$5:$G$110="acoes"))*Inputs!$B$1+((Inputs!$G$5:$G$110&lt;&gt;"moeda")*(Inputs!$G$5:$G$110&lt;&gt;"acoes")))*INDEX(Inputs!$K$5:$AJ$110,0,MATCH(D$2,Inputs!$K$4:$AJ$4,0)))))</f>
        <v>-336</v>
      </c>
      <c r="E7" s="6">
        <f>IF(ISNA(MATCH(E$2,Inputs!$K$4:$AJ$4,0)),NA(),IF(SUMPRODUCT((Inputs!$A$5:$A$110=$B7)*ISNUMBER(INDEX(Inputs!$K$5:$AJ$110,0,MATCH(E$2,Inputs!$K$4:$AJ$4,0))))+SUMPRODUCT((Inputs!$C$5:$C$110=$B7)*ISNUMBER(INDEX(Inputs!$K$5:$AJ$110,0,MATCH(E$2,Inputs!$K$4:$AJ$4,0))))+SUMPRODUCT((Inputs!$E$5:$E$110=$B7)*ISNUMBER(INDEX(Inputs!$K$5:$AJ$110,0,MATCH(E$2,Inputs!$K$4:$AJ$4,0))))=0,NA(),SUMPRODUCT((Inputs!$A$5:$A$110=$B7)*Inputs!$B$5:$B$110*(((Inputs!$G$5:$G$110="moeda")+(Inputs!$G$5:$G$110="acoes"))*Inputs!$B$1+((Inputs!$G$5:$G$110&lt;&gt;"moeda")*(Inputs!$G$5:$G$110&lt;&gt;"acoes")))*INDEX(Inputs!$K$5:$AJ$110,0,MATCH(E$2,Inputs!$K$4:$AJ$4,0)))+SUMPRODUCT((Inputs!$C$5:$C$110=$B7)*Inputs!$D$5:$D$110*(((Inputs!$G$5:$G$110="moeda")+(Inputs!$G$5:$G$110="acoes"))*Inputs!$B$1+((Inputs!$G$5:$G$110&lt;&gt;"moeda")*(Inputs!$G$5:$G$110&lt;&gt;"acoes")))*INDEX(Inputs!$K$5:$AJ$110,0,MATCH(E$2,Inputs!$K$4:$AJ$4,0)))+SUMPRODUCT((Inputs!$E$5:$E$110=$B7)*Inputs!$F$5:$F$110*(((Inputs!$G$5:$G$110="moeda")+(Inputs!$G$5:$G$110="acoes"))*Inputs!$B$1+((Inputs!$G$5:$G$110&lt;&gt;"moeda")*(Inputs!$G$5:$G$110&lt;&gt;"acoes")))*INDEX(Inputs!$K$5:$AJ$110,0,MATCH(E$2,Inputs!$K$4:$AJ$4,0)))))</f>
        <v>-334</v>
      </c>
      <c r="F7" s="6">
        <f>IF(ISNA(MATCH(F$2,Inputs!$K$4:$AJ$4,0)),NA(),IF(SUMPRODUCT((Inputs!$A$5:$A$110=$B7)*ISNUMBER(INDEX(Inputs!$K$5:$AJ$110,0,MATCH(F$2,Inputs!$K$4:$AJ$4,0))))+SUMPRODUCT((Inputs!$C$5:$C$110=$B7)*ISNUMBER(INDEX(Inputs!$K$5:$AJ$110,0,MATCH(F$2,Inputs!$K$4:$AJ$4,0))))+SUMPRODUCT((Inputs!$E$5:$E$110=$B7)*ISNUMBER(INDEX(Inputs!$K$5:$AJ$110,0,MATCH(F$2,Inputs!$K$4:$AJ$4,0))))=0,NA(),SUMPRODUCT((Inputs!$A$5:$A$110=$B7)*Inputs!$B$5:$B$110*(((Inputs!$G$5:$G$110="moeda")+(Inputs!$G$5:$G$110="acoes"))*Inputs!$B$1+((Inputs!$G$5:$G$110&lt;&gt;"moeda")*(Inputs!$G$5:$G$110&lt;&gt;"acoes")))*INDEX(Inputs!$K$5:$AJ$110,0,MATCH(F$2,Inputs!$K$4:$AJ$4,0)))+SUMPRODUCT((Inputs!$C$5:$C$110=$B7)*Inputs!$D$5:$D$110*(((Inputs!$G$5:$G$110="moeda")+(Inputs!$G$5:$G$110="acoes"))*Inputs!$B$1+((Inputs!$G$5:$G$110&lt;&gt;"moeda")*(Inputs!$G$5:$G$110&lt;&gt;"acoes")))*INDEX(Inputs!$K$5:$AJ$110,0,MATCH(F$2,Inputs!$K$4:$AJ$4,0)))+SUMPRODUCT((Inputs!$E$5:$E$110=$B7)*Inputs!$F$5:$F$110*(((Inputs!$G$5:$G$110="moeda")+(Inputs!$G$5:$G$110="acoes"))*Inputs!$B$1+((Inputs!$G$5:$G$110&lt;&gt;"moeda")*(Inputs!$G$5:$G$110&lt;&gt;"acoes")))*INDEX(Inputs!$K$5:$AJ$110,0,MATCH(F$2,Inputs!$K$4:$AJ$4,0)))))</f>
        <v>-329</v>
      </c>
      <c r="G7" s="6">
        <f>IF(ISNA(MATCH(G$2,Inputs!$K$4:$AJ$4,0)),NA(),IF(SUMPRODUCT((Inputs!$A$5:$A$110=$B7)*ISNUMBER(INDEX(Inputs!$K$5:$AJ$110,0,MATCH(G$2,Inputs!$K$4:$AJ$4,0))))+SUMPRODUCT((Inputs!$C$5:$C$110=$B7)*ISNUMBER(INDEX(Inputs!$K$5:$AJ$110,0,MATCH(G$2,Inputs!$K$4:$AJ$4,0))))+SUMPRODUCT((Inputs!$E$5:$E$110=$B7)*ISNUMBER(INDEX(Inputs!$K$5:$AJ$110,0,MATCH(G$2,Inputs!$K$4:$AJ$4,0))))=0,NA(),SUMPRODUCT((Inputs!$A$5:$A$110=$B7)*Inputs!$B$5:$B$110*(((Inputs!$G$5:$G$110="moeda")+(Inputs!$G$5:$G$110="acoes"))*Inputs!$B$1+((Inputs!$G$5:$G$110&lt;&gt;"moeda")*(Inputs!$G$5:$G$110&lt;&gt;"acoes")))*INDEX(Inputs!$K$5:$AJ$110,0,MATCH(G$2,Inputs!$K$4:$AJ$4,0)))+SUMPRODUCT((Inputs!$C$5:$C$110=$B7)*Inputs!$D$5:$D$110*(((Inputs!$G$5:$G$110="moeda")+(Inputs!$G$5:$G$110="acoes"))*Inputs!$B$1+((Inputs!$G$5:$G$110&lt;&gt;"moeda")*(Inputs!$G$5:$G$110&lt;&gt;"acoes")))*INDEX(Inputs!$K$5:$AJ$110,0,MATCH(G$2,Inputs!$K$4:$AJ$4,0)))+SUMPRODUCT((Inputs!$E$5:$E$110=$B7)*Inputs!$F$5:$F$110*(((Inputs!$G$5:$G$110="moeda")+(Inputs!$G$5:$G$110="acoes"))*Inputs!$B$1+((Inputs!$G$5:$G$110&lt;&gt;"moeda")*(Inputs!$G$5:$G$110&lt;&gt;"acoes")))*INDEX(Inputs!$K$5:$AJ$110,0,MATCH(G$2,Inputs!$K$4:$AJ$4,0)))))</f>
        <v>-365</v>
      </c>
      <c r="H7" s="3">
        <f>SUM(D7:G7)</f>
        <v>-1364</v>
      </c>
      <c r="I7" s="6">
        <f>IF(ISNA(MATCH(I$2,Inputs!$K$4:$AJ$4,0)),NA(),IF(SUMPRODUCT((Inputs!$A$5:$A$110=$B7)*ISNUMBER(INDEX(Inputs!$K$5:$AJ$110,0,MATCH(I$2,Inputs!$K$4:$AJ$4,0))))+SUMPRODUCT((Inputs!$C$5:$C$110=$B7)*ISNUMBER(INDEX(Inputs!$K$5:$AJ$110,0,MATCH(I$2,Inputs!$K$4:$AJ$4,0))))+SUMPRODUCT((Inputs!$E$5:$E$110=$B7)*ISNUMBER(INDEX(Inputs!$K$5:$AJ$110,0,MATCH(I$2,Inputs!$K$4:$AJ$4,0))))=0,NA(),SUMPRODUCT((Inputs!$A$5:$A$110=$B7)*Inputs!$B$5:$B$110*(((Inputs!$G$5:$G$110="moeda")+(Inputs!$G$5:$G$110="acoes"))*Inputs!$B$1+((Inputs!$G$5:$G$110&lt;&gt;"moeda")*(Inputs!$G$5:$G$110&lt;&gt;"acoes")))*INDEX(Inputs!$K$5:$AJ$110,0,MATCH(I$2,Inputs!$K$4:$AJ$4,0)))+SUMPRODUCT((Inputs!$C$5:$C$110=$B7)*Inputs!$D$5:$D$110*(((Inputs!$G$5:$G$110="moeda")+(Inputs!$G$5:$G$110="acoes"))*Inputs!$B$1+((Inputs!$G$5:$G$110&lt;&gt;"moeda")*(Inputs!$G$5:$G$110&lt;&gt;"acoes")))*INDEX(Inputs!$K$5:$AJ$110,0,MATCH(I$2,Inputs!$K$4:$AJ$4,0)))+SUMPRODUCT((Inputs!$E$5:$E$110=$B7)*Inputs!$F$5:$F$110*(((Inputs!$G$5:$G$110="moeda")+(Inputs!$G$5:$G$110="acoes"))*Inputs!$B$1+((Inputs!$G$5:$G$110&lt;&gt;"moeda")*(Inputs!$G$5:$G$110&lt;&gt;"acoes")))*INDEX(Inputs!$K$5:$AJ$110,0,MATCH(I$2,Inputs!$K$4:$AJ$4,0)))))</f>
        <v>-329</v>
      </c>
      <c r="J7" s="6">
        <f>IF(ISNA(MATCH(J$2,Inputs!$K$4:$AJ$4,0)),NA(),IF(SUMPRODUCT((Inputs!$A$5:$A$110=$B7)*ISNUMBER(INDEX(Inputs!$K$5:$AJ$110,0,MATCH(J$2,Inputs!$K$4:$AJ$4,0))))+SUMPRODUCT((Inputs!$C$5:$C$110=$B7)*ISNUMBER(INDEX(Inputs!$K$5:$AJ$110,0,MATCH(J$2,Inputs!$K$4:$AJ$4,0))))+SUMPRODUCT((Inputs!$E$5:$E$110=$B7)*ISNUMBER(INDEX(Inputs!$K$5:$AJ$110,0,MATCH(J$2,Inputs!$K$4:$AJ$4,0))))=0,NA(),SUMPRODUCT((Inputs!$A$5:$A$110=$B7)*Inputs!$B$5:$B$110*(((Inputs!$G$5:$G$110="moeda")+(Inputs!$G$5:$G$110="acoes"))*Inputs!$B$1+((Inputs!$G$5:$G$110&lt;&gt;"moeda")*(Inputs!$G$5:$G$110&lt;&gt;"acoes")))*INDEX(Inputs!$K$5:$AJ$110,0,MATCH(J$2,Inputs!$K$4:$AJ$4,0)))+SUMPRODUCT((Inputs!$C$5:$C$110=$B7)*Inputs!$D$5:$D$110*(((Inputs!$G$5:$G$110="moeda")+(Inputs!$G$5:$G$110="acoes"))*Inputs!$B$1+((Inputs!$G$5:$G$110&lt;&gt;"moeda")*(Inputs!$G$5:$G$110&lt;&gt;"acoes")))*INDEX(Inputs!$K$5:$AJ$110,0,MATCH(J$2,Inputs!$K$4:$AJ$4,0)))+SUMPRODUCT((Inputs!$E$5:$E$110=$B7)*Inputs!$F$5:$F$110*(((Inputs!$G$5:$G$110="moeda")+(Inputs!$G$5:$G$110="acoes"))*Inputs!$B$1+((Inputs!$G$5:$G$110&lt;&gt;"moeda")*(Inputs!$G$5:$G$110&lt;&gt;"acoes")))*INDEX(Inputs!$K$5:$AJ$110,0,MATCH(J$2,Inputs!$K$4:$AJ$4,0)))))</f>
        <v>-343</v>
      </c>
      <c r="K7" s="6">
        <f>IF(ISNA(MATCH(K$2,Inputs!$K$4:$AJ$4,0)),NA(),IF(SUMPRODUCT((Inputs!$A$5:$A$110=$B7)*ISNUMBER(INDEX(Inputs!$K$5:$AJ$110,0,MATCH(K$2,Inputs!$K$4:$AJ$4,0))))+SUMPRODUCT((Inputs!$C$5:$C$110=$B7)*ISNUMBER(INDEX(Inputs!$K$5:$AJ$110,0,MATCH(K$2,Inputs!$K$4:$AJ$4,0))))+SUMPRODUCT((Inputs!$E$5:$E$110=$B7)*ISNUMBER(INDEX(Inputs!$K$5:$AJ$110,0,MATCH(K$2,Inputs!$K$4:$AJ$4,0))))=0,NA(),SUMPRODUCT((Inputs!$A$5:$A$110=$B7)*Inputs!$B$5:$B$110*(((Inputs!$G$5:$G$110="moeda")+(Inputs!$G$5:$G$110="acoes"))*Inputs!$B$1+((Inputs!$G$5:$G$110&lt;&gt;"moeda")*(Inputs!$G$5:$G$110&lt;&gt;"acoes")))*INDEX(Inputs!$K$5:$AJ$110,0,MATCH(K$2,Inputs!$K$4:$AJ$4,0)))+SUMPRODUCT((Inputs!$C$5:$C$110=$B7)*Inputs!$D$5:$D$110*(((Inputs!$G$5:$G$110="moeda")+(Inputs!$G$5:$G$110="acoes"))*Inputs!$B$1+((Inputs!$G$5:$G$110&lt;&gt;"moeda")*(Inputs!$G$5:$G$110&lt;&gt;"acoes")))*INDEX(Inputs!$K$5:$AJ$110,0,MATCH(K$2,Inputs!$K$4:$AJ$4,0)))+SUMPRODUCT((Inputs!$E$5:$E$110=$B7)*Inputs!$F$5:$F$110*(((Inputs!$G$5:$G$110="moeda")+(Inputs!$G$5:$G$110="acoes"))*Inputs!$B$1+((Inputs!$G$5:$G$110&lt;&gt;"moeda")*(Inputs!$G$5:$G$110&lt;&gt;"acoes")))*INDEX(Inputs!$K$5:$AJ$110,0,MATCH(K$2,Inputs!$K$4:$AJ$4,0)))))</f>
        <v>-293</v>
      </c>
      <c r="L7" s="6">
        <f>IF(ISNA(MATCH(L$2,Inputs!$K$4:$AJ$4,0)),NA(),IF(SUMPRODUCT((Inputs!$A$5:$A$110=$B7)*ISNUMBER(INDEX(Inputs!$K$5:$AJ$110,0,MATCH(L$2,Inputs!$K$4:$AJ$4,0))))+SUMPRODUCT((Inputs!$C$5:$C$110=$B7)*ISNUMBER(INDEX(Inputs!$K$5:$AJ$110,0,MATCH(L$2,Inputs!$K$4:$AJ$4,0))))+SUMPRODUCT((Inputs!$E$5:$E$110=$B7)*ISNUMBER(INDEX(Inputs!$K$5:$AJ$110,0,MATCH(L$2,Inputs!$K$4:$AJ$4,0))))=0,NA(),SUMPRODUCT((Inputs!$A$5:$A$110=$B7)*Inputs!$B$5:$B$110*(((Inputs!$G$5:$G$110="moeda")+(Inputs!$G$5:$G$110="acoes"))*Inputs!$B$1+((Inputs!$G$5:$G$110&lt;&gt;"moeda")*(Inputs!$G$5:$G$110&lt;&gt;"acoes")))*INDEX(Inputs!$K$5:$AJ$110,0,MATCH(L$2,Inputs!$K$4:$AJ$4,0)))+SUMPRODUCT((Inputs!$C$5:$C$110=$B7)*Inputs!$D$5:$D$110*(((Inputs!$G$5:$G$110="moeda")+(Inputs!$G$5:$G$110="acoes"))*Inputs!$B$1+((Inputs!$G$5:$G$110&lt;&gt;"moeda")*(Inputs!$G$5:$G$110&lt;&gt;"acoes")))*INDEX(Inputs!$K$5:$AJ$110,0,MATCH(L$2,Inputs!$K$4:$AJ$4,0)))+SUMPRODUCT((Inputs!$E$5:$E$110=$B7)*Inputs!$F$5:$F$110*(((Inputs!$G$5:$G$110="moeda")+(Inputs!$G$5:$G$110="acoes"))*Inputs!$B$1+((Inputs!$G$5:$G$110&lt;&gt;"moeda")*(Inputs!$G$5:$G$110&lt;&gt;"acoes")))*INDEX(Inputs!$K$5:$AJ$110,0,MATCH(L$2,Inputs!$K$4:$AJ$4,0)))))</f>
        <v>-439</v>
      </c>
      <c r="M7" s="3">
        <f>SUM(I7:L7)</f>
        <v>-1404</v>
      </c>
      <c r="N7" s="6">
        <f>IF(ISNA(MATCH(N$2,Inputs!$K$4:$AJ$4,0)),NA(),IF(SUMPRODUCT((Inputs!$A$5:$A$110=$B7)*ISNUMBER(INDEX(Inputs!$K$5:$AJ$110,0,MATCH(N$2,Inputs!$K$4:$AJ$4,0))))+SUMPRODUCT((Inputs!$C$5:$C$110=$B7)*ISNUMBER(INDEX(Inputs!$K$5:$AJ$110,0,MATCH(N$2,Inputs!$K$4:$AJ$4,0))))+SUMPRODUCT((Inputs!$E$5:$E$110=$B7)*ISNUMBER(INDEX(Inputs!$K$5:$AJ$110,0,MATCH(N$2,Inputs!$K$4:$AJ$4,0))))=0,NA(),SUMPRODUCT((Inputs!$A$5:$A$110=$B7)*Inputs!$B$5:$B$110*(((Inputs!$G$5:$G$110="moeda")+(Inputs!$G$5:$G$110="acoes"))*Inputs!$B$1+((Inputs!$G$5:$G$110&lt;&gt;"moeda")*(Inputs!$G$5:$G$110&lt;&gt;"acoes")))*INDEX(Inputs!$K$5:$AJ$110,0,MATCH(N$2,Inputs!$K$4:$AJ$4,0)))+SUMPRODUCT((Inputs!$C$5:$C$110=$B7)*Inputs!$D$5:$D$110*(((Inputs!$G$5:$G$110="moeda")+(Inputs!$G$5:$G$110="acoes"))*Inputs!$B$1+((Inputs!$G$5:$G$110&lt;&gt;"moeda")*(Inputs!$G$5:$G$110&lt;&gt;"acoes")))*INDEX(Inputs!$K$5:$AJ$110,0,MATCH(N$2,Inputs!$K$4:$AJ$4,0)))+SUMPRODUCT((Inputs!$E$5:$E$110=$B7)*Inputs!$F$5:$F$110*(((Inputs!$G$5:$G$110="moeda")+(Inputs!$G$5:$G$110="acoes"))*Inputs!$B$1+((Inputs!$G$5:$G$110&lt;&gt;"moeda")*(Inputs!$G$5:$G$110&lt;&gt;"acoes")))*INDEX(Inputs!$K$5:$AJ$110,0,MATCH(N$2,Inputs!$K$4:$AJ$4,0)))))</f>
        <v>-325</v>
      </c>
      <c r="O7" s="6">
        <f>IF(ISNA(MATCH(O$2,Inputs!$K$4:$AJ$4,0)),NA(),IF(SUMPRODUCT((Inputs!$A$5:$A$110=$B7)*ISNUMBER(INDEX(Inputs!$K$5:$AJ$110,0,MATCH(O$2,Inputs!$K$4:$AJ$4,0))))+SUMPRODUCT((Inputs!$C$5:$C$110=$B7)*ISNUMBER(INDEX(Inputs!$K$5:$AJ$110,0,MATCH(O$2,Inputs!$K$4:$AJ$4,0))))+SUMPRODUCT((Inputs!$E$5:$E$110=$B7)*ISNUMBER(INDEX(Inputs!$K$5:$AJ$110,0,MATCH(O$2,Inputs!$K$4:$AJ$4,0))))=0,NA(),SUMPRODUCT((Inputs!$A$5:$A$110=$B7)*Inputs!$B$5:$B$110*(((Inputs!$G$5:$G$110="moeda")+(Inputs!$G$5:$G$110="acoes"))*Inputs!$B$1+((Inputs!$G$5:$G$110&lt;&gt;"moeda")*(Inputs!$G$5:$G$110&lt;&gt;"acoes")))*INDEX(Inputs!$K$5:$AJ$110,0,MATCH(O$2,Inputs!$K$4:$AJ$4,0)))+SUMPRODUCT((Inputs!$C$5:$C$110=$B7)*Inputs!$D$5:$D$110*(((Inputs!$G$5:$G$110="moeda")+(Inputs!$G$5:$G$110="acoes"))*Inputs!$B$1+((Inputs!$G$5:$G$110&lt;&gt;"moeda")*(Inputs!$G$5:$G$110&lt;&gt;"acoes")))*INDEX(Inputs!$K$5:$AJ$110,0,MATCH(O$2,Inputs!$K$4:$AJ$4,0)))+SUMPRODUCT((Inputs!$E$5:$E$110=$B7)*Inputs!$F$5:$F$110*(((Inputs!$G$5:$G$110="moeda")+(Inputs!$G$5:$G$110="acoes"))*Inputs!$B$1+((Inputs!$G$5:$G$110&lt;&gt;"moeda")*(Inputs!$G$5:$G$110&lt;&gt;"acoes")))*INDEX(Inputs!$K$5:$AJ$110,0,MATCH(O$2,Inputs!$K$4:$AJ$4,0)))))</f>
        <v>-334</v>
      </c>
      <c r="P7" s="6">
        <f>IF(ISNA(MATCH(P$2,Inputs!$K$4:$AJ$4,0)),NA(),IF(SUMPRODUCT((Inputs!$A$5:$A$110=$B7)*ISNUMBER(INDEX(Inputs!$K$5:$AJ$110,0,MATCH(P$2,Inputs!$K$4:$AJ$4,0))))+SUMPRODUCT((Inputs!$C$5:$C$110=$B7)*ISNUMBER(INDEX(Inputs!$K$5:$AJ$110,0,MATCH(P$2,Inputs!$K$4:$AJ$4,0))))+SUMPRODUCT((Inputs!$E$5:$E$110=$B7)*ISNUMBER(INDEX(Inputs!$K$5:$AJ$110,0,MATCH(P$2,Inputs!$K$4:$AJ$4,0))))=0,NA(),SUMPRODUCT((Inputs!$A$5:$A$110=$B7)*Inputs!$B$5:$B$110*(((Inputs!$G$5:$G$110="moeda")+(Inputs!$G$5:$G$110="acoes"))*Inputs!$B$1+((Inputs!$G$5:$G$110&lt;&gt;"moeda")*(Inputs!$G$5:$G$110&lt;&gt;"acoes")))*INDEX(Inputs!$K$5:$AJ$110,0,MATCH(P$2,Inputs!$K$4:$AJ$4,0)))+SUMPRODUCT((Inputs!$C$5:$C$110=$B7)*Inputs!$D$5:$D$110*(((Inputs!$G$5:$G$110="moeda")+(Inputs!$G$5:$G$110="acoes"))*Inputs!$B$1+((Inputs!$G$5:$G$110&lt;&gt;"moeda")*(Inputs!$G$5:$G$110&lt;&gt;"acoes")))*INDEX(Inputs!$K$5:$AJ$110,0,MATCH(P$2,Inputs!$K$4:$AJ$4,0)))+SUMPRODUCT((Inputs!$E$5:$E$110=$B7)*Inputs!$F$5:$F$110*(((Inputs!$G$5:$G$110="moeda")+(Inputs!$G$5:$G$110="acoes"))*Inputs!$B$1+((Inputs!$G$5:$G$110&lt;&gt;"moeda")*(Inputs!$G$5:$G$110&lt;&gt;"acoes")))*INDEX(Inputs!$K$5:$AJ$110,0,MATCH(P$2,Inputs!$K$4:$AJ$4,0)))))</f>
        <v>-350</v>
      </c>
      <c r="Q7" s="6">
        <f>IF(ISNA(MATCH(Q$2,Inputs!$K$4:$AJ$4,0)),NA(),IF(SUMPRODUCT((Inputs!$A$5:$A$110=$B7)*ISNUMBER(INDEX(Inputs!$K$5:$AJ$110,0,MATCH(Q$2,Inputs!$K$4:$AJ$4,0))))+SUMPRODUCT((Inputs!$C$5:$C$110=$B7)*ISNUMBER(INDEX(Inputs!$K$5:$AJ$110,0,MATCH(Q$2,Inputs!$K$4:$AJ$4,0))))+SUMPRODUCT((Inputs!$E$5:$E$110=$B7)*ISNUMBER(INDEX(Inputs!$K$5:$AJ$110,0,MATCH(Q$2,Inputs!$K$4:$AJ$4,0))))=0,NA(),SUMPRODUCT((Inputs!$A$5:$A$110=$B7)*Inputs!$B$5:$B$110*(((Inputs!$G$5:$G$110="moeda")+(Inputs!$G$5:$G$110="acoes"))*Inputs!$B$1+((Inputs!$G$5:$G$110&lt;&gt;"moeda")*(Inputs!$G$5:$G$110&lt;&gt;"acoes")))*INDEX(Inputs!$K$5:$AJ$110,0,MATCH(Q$2,Inputs!$K$4:$AJ$4,0)))+SUMPRODUCT((Inputs!$C$5:$C$110=$B7)*Inputs!$D$5:$D$110*(((Inputs!$G$5:$G$110="moeda")+(Inputs!$G$5:$G$110="acoes"))*Inputs!$B$1+((Inputs!$G$5:$G$110&lt;&gt;"moeda")*(Inputs!$G$5:$G$110&lt;&gt;"acoes")))*INDEX(Inputs!$K$5:$AJ$110,0,MATCH(Q$2,Inputs!$K$4:$AJ$4,0)))+SUMPRODUCT((Inputs!$E$5:$E$110=$B7)*Inputs!$F$5:$F$110*(((Inputs!$G$5:$G$110="moeda")+(Inputs!$G$5:$G$110="acoes"))*Inputs!$B$1+((Inputs!$G$5:$G$110&lt;&gt;"moeda")*(Inputs!$G$5:$G$110&lt;&gt;"acoes")))*INDEX(Inputs!$K$5:$AJ$110,0,MATCH(Q$2,Inputs!$K$4:$AJ$4,0)))))</f>
        <v>-421</v>
      </c>
      <c r="R7" s="3">
        <f>SUM(N7:Q7)</f>
        <v>-1430</v>
      </c>
      <c r="S7" s="6">
        <f>IF(ISNA(MATCH(S$2,Inputs!$K$4:$AJ$4,0)),NA(),IF(SUMPRODUCT((Inputs!$A$5:$A$110=$B7)*ISNUMBER(INDEX(Inputs!$K$5:$AJ$110,0,MATCH(S$2,Inputs!$K$4:$AJ$4,0))))+SUMPRODUCT((Inputs!$C$5:$C$110=$B7)*ISNUMBER(INDEX(Inputs!$K$5:$AJ$110,0,MATCH(S$2,Inputs!$K$4:$AJ$4,0))))+SUMPRODUCT((Inputs!$E$5:$E$110=$B7)*ISNUMBER(INDEX(Inputs!$K$5:$AJ$110,0,MATCH(S$2,Inputs!$K$4:$AJ$4,0))))=0,NA(),SUMPRODUCT((Inputs!$A$5:$A$110=$B7)*Inputs!$B$5:$B$110*(((Inputs!$G$5:$G$110="moeda")+(Inputs!$G$5:$G$110="acoes"))*Inputs!$B$1+((Inputs!$G$5:$G$110&lt;&gt;"moeda")*(Inputs!$G$5:$G$110&lt;&gt;"acoes")))*INDEX(Inputs!$K$5:$AJ$110,0,MATCH(S$2,Inputs!$K$4:$AJ$4,0)))+SUMPRODUCT((Inputs!$C$5:$C$110=$B7)*Inputs!$D$5:$D$110*(((Inputs!$G$5:$G$110="moeda")+(Inputs!$G$5:$G$110="acoes"))*Inputs!$B$1+((Inputs!$G$5:$G$110&lt;&gt;"moeda")*(Inputs!$G$5:$G$110&lt;&gt;"acoes")))*INDEX(Inputs!$K$5:$AJ$110,0,MATCH(S$2,Inputs!$K$4:$AJ$4,0)))+SUMPRODUCT((Inputs!$E$5:$E$110=$B7)*Inputs!$F$5:$F$110*(((Inputs!$G$5:$G$110="moeda")+(Inputs!$G$5:$G$110="acoes"))*Inputs!$B$1+((Inputs!$G$5:$G$110&lt;&gt;"moeda")*(Inputs!$G$5:$G$110&lt;&gt;"acoes")))*INDEX(Inputs!$K$5:$AJ$110,0,MATCH(S$2,Inputs!$K$4:$AJ$4,0)))))</f>
        <v>-351</v>
      </c>
      <c r="T7" s="6">
        <f>IF(ISNA(MATCH(T$2,Inputs!$K$4:$AJ$4,0)),NA(),IF(SUMPRODUCT((Inputs!$A$5:$A$110=$B7)*ISNUMBER(INDEX(Inputs!$K$5:$AJ$110,0,MATCH(T$2,Inputs!$K$4:$AJ$4,0))))+SUMPRODUCT((Inputs!$C$5:$C$110=$B7)*ISNUMBER(INDEX(Inputs!$K$5:$AJ$110,0,MATCH(T$2,Inputs!$K$4:$AJ$4,0))))+SUMPRODUCT((Inputs!$E$5:$E$110=$B7)*ISNUMBER(INDEX(Inputs!$K$5:$AJ$110,0,MATCH(T$2,Inputs!$K$4:$AJ$4,0))))=0,NA(),SUMPRODUCT((Inputs!$A$5:$A$110=$B7)*Inputs!$B$5:$B$110*(((Inputs!$G$5:$G$110="moeda")+(Inputs!$G$5:$G$110="acoes"))*Inputs!$B$1+((Inputs!$G$5:$G$110&lt;&gt;"moeda")*(Inputs!$G$5:$G$110&lt;&gt;"acoes")))*INDEX(Inputs!$K$5:$AJ$110,0,MATCH(T$2,Inputs!$K$4:$AJ$4,0)))+SUMPRODUCT((Inputs!$C$5:$C$110=$B7)*Inputs!$D$5:$D$110*(((Inputs!$G$5:$G$110="moeda")+(Inputs!$G$5:$G$110="acoes"))*Inputs!$B$1+((Inputs!$G$5:$G$110&lt;&gt;"moeda")*(Inputs!$G$5:$G$110&lt;&gt;"acoes")))*INDEX(Inputs!$K$5:$AJ$110,0,MATCH(T$2,Inputs!$K$4:$AJ$4,0)))+SUMPRODUCT((Inputs!$E$5:$E$110=$B7)*Inputs!$F$5:$F$110*(((Inputs!$G$5:$G$110="moeda")+(Inputs!$G$5:$G$110="acoes"))*Inputs!$B$1+((Inputs!$G$5:$G$110&lt;&gt;"moeda")*(Inputs!$G$5:$G$110&lt;&gt;"acoes")))*INDEX(Inputs!$K$5:$AJ$110,0,MATCH(T$2,Inputs!$K$4:$AJ$4,0)))))</f>
        <v>-359</v>
      </c>
      <c r="U7" s="6">
        <f>IF(ISNA(MATCH(U$2,Inputs!$K$4:$AJ$4,0)),NA(),IF(SUMPRODUCT((Inputs!$A$5:$A$110=$B7)*ISNUMBER(INDEX(Inputs!$K$5:$AJ$110,0,MATCH(U$2,Inputs!$K$4:$AJ$4,0))))+SUMPRODUCT((Inputs!$C$5:$C$110=$B7)*ISNUMBER(INDEX(Inputs!$K$5:$AJ$110,0,MATCH(U$2,Inputs!$K$4:$AJ$4,0))))+SUMPRODUCT((Inputs!$E$5:$E$110=$B7)*ISNUMBER(INDEX(Inputs!$K$5:$AJ$110,0,MATCH(U$2,Inputs!$K$4:$AJ$4,0))))=0,NA(),SUMPRODUCT((Inputs!$A$5:$A$110=$B7)*Inputs!$B$5:$B$110*(((Inputs!$G$5:$G$110="moeda")+(Inputs!$G$5:$G$110="acoes"))*Inputs!$B$1+((Inputs!$G$5:$G$110&lt;&gt;"moeda")*(Inputs!$G$5:$G$110&lt;&gt;"acoes")))*INDEX(Inputs!$K$5:$AJ$110,0,MATCH(U$2,Inputs!$K$4:$AJ$4,0)))+SUMPRODUCT((Inputs!$C$5:$C$110=$B7)*Inputs!$D$5:$D$110*(((Inputs!$G$5:$G$110="moeda")+(Inputs!$G$5:$G$110="acoes"))*Inputs!$B$1+((Inputs!$G$5:$G$110&lt;&gt;"moeda")*(Inputs!$G$5:$G$110&lt;&gt;"acoes")))*INDEX(Inputs!$K$5:$AJ$110,0,MATCH(U$2,Inputs!$K$4:$AJ$4,0)))+SUMPRODUCT((Inputs!$E$5:$E$110=$B7)*Inputs!$F$5:$F$110*(((Inputs!$G$5:$G$110="moeda")+(Inputs!$G$5:$G$110="acoes"))*Inputs!$B$1+((Inputs!$G$5:$G$110&lt;&gt;"moeda")*(Inputs!$G$5:$G$110&lt;&gt;"acoes")))*INDEX(Inputs!$K$5:$AJ$110,0,MATCH(U$2,Inputs!$K$4:$AJ$4,0)))))</f>
        <v>-390</v>
      </c>
      <c r="V7" s="6">
        <f>IF(ISNA(MATCH(V$2,Inputs!$K$4:$AJ$4,0)),NA(),IF(SUMPRODUCT((Inputs!$A$5:$A$110=$B7)*ISNUMBER(INDEX(Inputs!$K$5:$AJ$110,0,MATCH(V$2,Inputs!$K$4:$AJ$4,0))))+SUMPRODUCT((Inputs!$C$5:$C$110=$B7)*ISNUMBER(INDEX(Inputs!$K$5:$AJ$110,0,MATCH(V$2,Inputs!$K$4:$AJ$4,0))))+SUMPRODUCT((Inputs!$E$5:$E$110=$B7)*ISNUMBER(INDEX(Inputs!$K$5:$AJ$110,0,MATCH(V$2,Inputs!$K$4:$AJ$4,0))))=0,NA(),SUMPRODUCT((Inputs!$A$5:$A$110=$B7)*Inputs!$B$5:$B$110*(((Inputs!$G$5:$G$110="moeda")+(Inputs!$G$5:$G$110="acoes"))*Inputs!$B$1+((Inputs!$G$5:$G$110&lt;&gt;"moeda")*(Inputs!$G$5:$G$110&lt;&gt;"acoes")))*INDEX(Inputs!$K$5:$AJ$110,0,MATCH(V$2,Inputs!$K$4:$AJ$4,0)))+SUMPRODUCT((Inputs!$C$5:$C$110=$B7)*Inputs!$D$5:$D$110*(((Inputs!$G$5:$G$110="moeda")+(Inputs!$G$5:$G$110="acoes"))*Inputs!$B$1+((Inputs!$G$5:$G$110&lt;&gt;"moeda")*(Inputs!$G$5:$G$110&lt;&gt;"acoes")))*INDEX(Inputs!$K$5:$AJ$110,0,MATCH(V$2,Inputs!$K$4:$AJ$4,0)))+SUMPRODUCT((Inputs!$E$5:$E$110=$B7)*Inputs!$F$5:$F$110*(((Inputs!$G$5:$G$110="moeda")+(Inputs!$G$5:$G$110="acoes"))*Inputs!$B$1+((Inputs!$G$5:$G$110&lt;&gt;"moeda")*(Inputs!$G$5:$G$110&lt;&gt;"acoes")))*INDEX(Inputs!$K$5:$AJ$110,0,MATCH(V$2,Inputs!$K$4:$AJ$4,0)))))</f>
        <v>-459</v>
      </c>
      <c r="W7" s="3">
        <f>SUM(S7:V7)</f>
        <v>-1559</v>
      </c>
      <c r="X7" s="6">
        <f>IF(ISNA(MATCH(X$2,Inputs!$K$4:$AJ$4,0)),NA(),IF(SUMPRODUCT((Inputs!$A$5:$A$110=$B7)*ISNUMBER(INDEX(Inputs!$K$5:$AJ$110,0,MATCH(X$2,Inputs!$K$4:$AJ$4,0))))+SUMPRODUCT((Inputs!$C$5:$C$110=$B7)*ISNUMBER(INDEX(Inputs!$K$5:$AJ$110,0,MATCH(X$2,Inputs!$K$4:$AJ$4,0))))+SUMPRODUCT((Inputs!$E$5:$E$110=$B7)*ISNUMBER(INDEX(Inputs!$K$5:$AJ$110,0,MATCH(X$2,Inputs!$K$4:$AJ$4,0))))=0,NA(),SUMPRODUCT((Inputs!$A$5:$A$110=$B7)*Inputs!$B$5:$B$110*(((Inputs!$G$5:$G$110="moeda")+(Inputs!$G$5:$G$110="acoes"))*Inputs!$B$1+((Inputs!$G$5:$G$110&lt;&gt;"moeda")*(Inputs!$G$5:$G$110&lt;&gt;"acoes")))*INDEX(Inputs!$K$5:$AJ$110,0,MATCH(X$2,Inputs!$K$4:$AJ$4,0)))+SUMPRODUCT((Inputs!$C$5:$C$110=$B7)*Inputs!$D$5:$D$110*(((Inputs!$G$5:$G$110="moeda")+(Inputs!$G$5:$G$110="acoes"))*Inputs!$B$1+((Inputs!$G$5:$G$110&lt;&gt;"moeda")*(Inputs!$G$5:$G$110&lt;&gt;"acoes")))*INDEX(Inputs!$K$5:$AJ$110,0,MATCH(X$2,Inputs!$K$4:$AJ$4,0)))+SUMPRODUCT((Inputs!$E$5:$E$110=$B7)*Inputs!$F$5:$F$110*(((Inputs!$G$5:$G$110="moeda")+(Inputs!$G$5:$G$110="acoes"))*Inputs!$B$1+((Inputs!$G$5:$G$110&lt;&gt;"moeda")*(Inputs!$G$5:$G$110&lt;&gt;"acoes")))*INDEX(Inputs!$K$5:$AJ$110,0,MATCH(X$2,Inputs!$K$4:$AJ$4,0)))))</f>
        <v>-397</v>
      </c>
      <c r="Y7" s="6">
        <f>IF(ISNA(MATCH(Y$2,Inputs!$K$4:$AJ$4,0)),NA(),IF(SUMPRODUCT((Inputs!$A$5:$A$110=$B7)*ISNUMBER(INDEX(Inputs!$K$5:$AJ$110,0,MATCH(Y$2,Inputs!$K$4:$AJ$4,0))))+SUMPRODUCT((Inputs!$C$5:$C$110=$B7)*ISNUMBER(INDEX(Inputs!$K$5:$AJ$110,0,MATCH(Y$2,Inputs!$K$4:$AJ$4,0))))+SUMPRODUCT((Inputs!$E$5:$E$110=$B7)*ISNUMBER(INDEX(Inputs!$K$5:$AJ$110,0,MATCH(Y$2,Inputs!$K$4:$AJ$4,0))))=0,NA(),SUMPRODUCT((Inputs!$A$5:$A$110=$B7)*Inputs!$B$5:$B$110*(((Inputs!$G$5:$G$110="moeda")+(Inputs!$G$5:$G$110="acoes"))*Inputs!$B$1+((Inputs!$G$5:$G$110&lt;&gt;"moeda")*(Inputs!$G$5:$G$110&lt;&gt;"acoes")))*INDEX(Inputs!$K$5:$AJ$110,0,MATCH(Y$2,Inputs!$K$4:$AJ$4,0)))+SUMPRODUCT((Inputs!$C$5:$C$110=$B7)*Inputs!$D$5:$D$110*(((Inputs!$G$5:$G$110="moeda")+(Inputs!$G$5:$G$110="acoes"))*Inputs!$B$1+((Inputs!$G$5:$G$110&lt;&gt;"moeda")*(Inputs!$G$5:$G$110&lt;&gt;"acoes")))*INDEX(Inputs!$K$5:$AJ$110,0,MATCH(Y$2,Inputs!$K$4:$AJ$4,0)))+SUMPRODUCT((Inputs!$E$5:$E$110=$B7)*Inputs!$F$5:$F$110*(((Inputs!$G$5:$G$110="moeda")+(Inputs!$G$5:$G$110="acoes"))*Inputs!$B$1+((Inputs!$G$5:$G$110&lt;&gt;"moeda")*(Inputs!$G$5:$G$110&lt;&gt;"acoes")))*INDEX(Inputs!$K$5:$AJ$110,0,MATCH(Y$2,Inputs!$K$4:$AJ$4,0)))))</f>
        <v>-399</v>
      </c>
      <c r="Z7" s="6">
        <f>IF(ISNA(MATCH(Z$2,Inputs!$K$4:$AJ$4,0)),NA(),IF(SUMPRODUCT((Inputs!$A$5:$A$110=$B7)*ISNUMBER(INDEX(Inputs!$K$5:$AJ$110,0,MATCH(Z$2,Inputs!$K$4:$AJ$4,0))))+SUMPRODUCT((Inputs!$C$5:$C$110=$B7)*ISNUMBER(INDEX(Inputs!$K$5:$AJ$110,0,MATCH(Z$2,Inputs!$K$4:$AJ$4,0))))+SUMPRODUCT((Inputs!$E$5:$E$110=$B7)*ISNUMBER(INDEX(Inputs!$K$5:$AJ$110,0,MATCH(Z$2,Inputs!$K$4:$AJ$4,0))))=0,NA(),SUMPRODUCT((Inputs!$A$5:$A$110=$B7)*Inputs!$B$5:$B$110*(((Inputs!$G$5:$G$110="moeda")+(Inputs!$G$5:$G$110="acoes"))*Inputs!$B$1+((Inputs!$G$5:$G$110&lt;&gt;"moeda")*(Inputs!$G$5:$G$110&lt;&gt;"acoes")))*INDEX(Inputs!$K$5:$AJ$110,0,MATCH(Z$2,Inputs!$K$4:$AJ$4,0)))+SUMPRODUCT((Inputs!$C$5:$C$110=$B7)*Inputs!$D$5:$D$110*(((Inputs!$G$5:$G$110="moeda")+(Inputs!$G$5:$G$110="acoes"))*Inputs!$B$1+((Inputs!$G$5:$G$110&lt;&gt;"moeda")*(Inputs!$G$5:$G$110&lt;&gt;"acoes")))*INDEX(Inputs!$K$5:$AJ$110,0,MATCH(Z$2,Inputs!$K$4:$AJ$4,0)))+SUMPRODUCT((Inputs!$E$5:$E$110=$B7)*Inputs!$F$5:$F$110*(((Inputs!$G$5:$G$110="moeda")+(Inputs!$G$5:$G$110="acoes"))*Inputs!$B$1+((Inputs!$G$5:$G$110&lt;&gt;"moeda")*(Inputs!$G$5:$G$110&lt;&gt;"acoes")))*INDEX(Inputs!$K$5:$AJ$110,0,MATCH(Z$2,Inputs!$K$4:$AJ$4,0)))))</f>
        <v>-428</v>
      </c>
      <c r="AA7" s="6">
        <f>IF(ISNA(MATCH(AA$2,Inputs!$K$4:$AJ$4,0)),NA(),IF(SUMPRODUCT((Inputs!$A$5:$A$110=$B7)*ISNUMBER(INDEX(Inputs!$K$5:$AJ$110,0,MATCH(AA$2,Inputs!$K$4:$AJ$4,0))))+SUMPRODUCT((Inputs!$C$5:$C$110=$B7)*ISNUMBER(INDEX(Inputs!$K$5:$AJ$110,0,MATCH(AA$2,Inputs!$K$4:$AJ$4,0))))+SUMPRODUCT((Inputs!$E$5:$E$110=$B7)*ISNUMBER(INDEX(Inputs!$K$5:$AJ$110,0,MATCH(AA$2,Inputs!$K$4:$AJ$4,0))))=0,NA(),SUMPRODUCT((Inputs!$A$5:$A$110=$B7)*Inputs!$B$5:$B$110*(((Inputs!$G$5:$G$110="moeda")+(Inputs!$G$5:$G$110="acoes"))*Inputs!$B$1+((Inputs!$G$5:$G$110&lt;&gt;"moeda")*(Inputs!$G$5:$G$110&lt;&gt;"acoes")))*INDEX(Inputs!$K$5:$AJ$110,0,MATCH(AA$2,Inputs!$K$4:$AJ$4,0)))+SUMPRODUCT((Inputs!$C$5:$C$110=$B7)*Inputs!$D$5:$D$110*(((Inputs!$G$5:$G$110="moeda")+(Inputs!$G$5:$G$110="acoes"))*Inputs!$B$1+((Inputs!$G$5:$G$110&lt;&gt;"moeda")*(Inputs!$G$5:$G$110&lt;&gt;"acoes")))*INDEX(Inputs!$K$5:$AJ$110,0,MATCH(AA$2,Inputs!$K$4:$AJ$4,0)))+SUMPRODUCT((Inputs!$E$5:$E$110=$B7)*Inputs!$F$5:$F$110*(((Inputs!$G$5:$G$110="moeda")+(Inputs!$G$5:$G$110="acoes"))*Inputs!$B$1+((Inputs!$G$5:$G$110&lt;&gt;"moeda")*(Inputs!$G$5:$G$110&lt;&gt;"acoes")))*INDEX(Inputs!$K$5:$AJ$110,0,MATCH(AA$2,Inputs!$K$4:$AJ$4,0)))))</f>
        <v>-463</v>
      </c>
      <c r="AB7" s="3">
        <f>SUM(X7:AA7)</f>
        <v>-1687</v>
      </c>
      <c r="AC7" s="6">
        <f>IF(ISNA(MATCH(AC$2,Inputs!$K$4:$AJ$4,0)),NA(),IF(SUMPRODUCT((Inputs!$A$5:$A$110=$B7)*ISNUMBER(INDEX(Inputs!$K$5:$AJ$110,0,MATCH(AC$2,Inputs!$K$4:$AJ$4,0))))+SUMPRODUCT((Inputs!$C$5:$C$110=$B7)*ISNUMBER(INDEX(Inputs!$K$5:$AJ$110,0,MATCH(AC$2,Inputs!$K$4:$AJ$4,0))))+SUMPRODUCT((Inputs!$E$5:$E$110=$B7)*ISNUMBER(INDEX(Inputs!$K$5:$AJ$110,0,MATCH(AC$2,Inputs!$K$4:$AJ$4,0))))=0,NA(),SUMPRODUCT((Inputs!$A$5:$A$110=$B7)*Inputs!$B$5:$B$110*(((Inputs!$G$5:$G$110="moeda")+(Inputs!$G$5:$G$110="acoes"))*Inputs!$B$1+((Inputs!$G$5:$G$110&lt;&gt;"moeda")*(Inputs!$G$5:$G$110&lt;&gt;"acoes")))*INDEX(Inputs!$K$5:$AJ$110,0,MATCH(AC$2,Inputs!$K$4:$AJ$4,0)))+SUMPRODUCT((Inputs!$C$5:$C$110=$B7)*Inputs!$D$5:$D$110*(((Inputs!$G$5:$G$110="moeda")+(Inputs!$G$5:$G$110="acoes"))*Inputs!$B$1+((Inputs!$G$5:$G$110&lt;&gt;"moeda")*(Inputs!$G$5:$G$110&lt;&gt;"acoes")))*INDEX(Inputs!$K$5:$AJ$110,0,MATCH(AC$2,Inputs!$K$4:$AJ$4,0)))+SUMPRODUCT((Inputs!$E$5:$E$110=$B7)*Inputs!$F$5:$F$110*(((Inputs!$G$5:$G$110="moeda")+(Inputs!$G$5:$G$110="acoes"))*Inputs!$B$1+((Inputs!$G$5:$G$110&lt;&gt;"moeda")*(Inputs!$G$5:$G$110&lt;&gt;"acoes")))*INDEX(Inputs!$K$5:$AJ$110,0,MATCH(AC$2,Inputs!$K$4:$AJ$4,0)))))</f>
        <v>-398</v>
      </c>
      <c r="AD7" s="6">
        <f>IF(ISNA(MATCH(AD$2,Inputs!$K$4:$AJ$4,0)),NA(),IF(SUMPRODUCT((Inputs!$A$5:$A$110=$B7)*ISNUMBER(INDEX(Inputs!$K$5:$AJ$110,0,MATCH(AD$2,Inputs!$K$4:$AJ$4,0))))+SUMPRODUCT((Inputs!$C$5:$C$110=$B7)*ISNUMBER(INDEX(Inputs!$K$5:$AJ$110,0,MATCH(AD$2,Inputs!$K$4:$AJ$4,0))))+SUMPRODUCT((Inputs!$E$5:$E$110=$B7)*ISNUMBER(INDEX(Inputs!$K$5:$AJ$110,0,MATCH(AD$2,Inputs!$K$4:$AJ$4,0))))=0,NA(),SUMPRODUCT((Inputs!$A$5:$A$110=$B7)*Inputs!$B$5:$B$110*(((Inputs!$G$5:$G$110="moeda")+(Inputs!$G$5:$G$110="acoes"))*Inputs!$B$1+((Inputs!$G$5:$G$110&lt;&gt;"moeda")*(Inputs!$G$5:$G$110&lt;&gt;"acoes")))*INDEX(Inputs!$K$5:$AJ$110,0,MATCH(AD$2,Inputs!$K$4:$AJ$4,0)))+SUMPRODUCT((Inputs!$C$5:$C$110=$B7)*Inputs!$D$5:$D$110*(((Inputs!$G$5:$G$110="moeda")+(Inputs!$G$5:$G$110="acoes"))*Inputs!$B$1+((Inputs!$G$5:$G$110&lt;&gt;"moeda")*(Inputs!$G$5:$G$110&lt;&gt;"acoes")))*INDEX(Inputs!$K$5:$AJ$110,0,MATCH(AD$2,Inputs!$K$4:$AJ$4,0)))+SUMPRODUCT((Inputs!$E$5:$E$110=$B7)*Inputs!$F$5:$F$110*(((Inputs!$G$5:$G$110="moeda")+(Inputs!$G$5:$G$110="acoes"))*Inputs!$B$1+((Inputs!$G$5:$G$110&lt;&gt;"moeda")*(Inputs!$G$5:$G$110&lt;&gt;"acoes")))*INDEX(Inputs!$K$5:$AJ$110,0,MATCH(AD$2,Inputs!$K$4:$AJ$4,0)))))</f>
        <v>-400</v>
      </c>
      <c r="AE7" s="6" t="e">
        <f>IF(ISNA(MATCH(AE$2,Inputs!$K$4:$AJ$4,0)),NA(),IF(SUMPRODUCT((Inputs!$A$5:$A$110=$B7)*ISNUMBER(INDEX(Inputs!$K$5:$AJ$110,0,MATCH(AE$2,Inputs!$K$4:$AJ$4,0))))+SUMPRODUCT((Inputs!$C$5:$C$110=$B7)*ISNUMBER(INDEX(Inputs!$K$5:$AJ$110,0,MATCH(AE$2,Inputs!$K$4:$AJ$4,0))))+SUMPRODUCT((Inputs!$E$5:$E$110=$B7)*ISNUMBER(INDEX(Inputs!$K$5:$AJ$110,0,MATCH(AE$2,Inputs!$K$4:$AJ$4,0))))=0,NA(),SUMPRODUCT((Inputs!$A$5:$A$110=$B7)*Inputs!$B$5:$B$110*(((Inputs!$G$5:$G$110="moeda")+(Inputs!$G$5:$G$110="acoes"))*Inputs!$B$1+((Inputs!$G$5:$G$110&lt;&gt;"moeda")*(Inputs!$G$5:$G$110&lt;&gt;"acoes")))*INDEX(Inputs!$K$5:$AJ$110,0,MATCH(AE$2,Inputs!$K$4:$AJ$4,0)))+SUMPRODUCT((Inputs!$C$5:$C$110=$B7)*Inputs!$D$5:$D$110*(((Inputs!$G$5:$G$110="moeda")+(Inputs!$G$5:$G$110="acoes"))*Inputs!$B$1+((Inputs!$G$5:$G$110&lt;&gt;"moeda")*(Inputs!$G$5:$G$110&lt;&gt;"acoes")))*INDEX(Inputs!$K$5:$AJ$110,0,MATCH(AE$2,Inputs!$K$4:$AJ$4,0)))+SUMPRODUCT((Inputs!$E$5:$E$110=$B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7" s="6" t="e">
        <f>IF(ISNA(MATCH(AF$2,Inputs!$K$4:$AJ$4,0)),NA(),IF(SUMPRODUCT((Inputs!$A$5:$A$110=$B7)*ISNUMBER(INDEX(Inputs!$K$5:$AJ$110,0,MATCH(AF$2,Inputs!$K$4:$AJ$4,0))))+SUMPRODUCT((Inputs!$C$5:$C$110=$B7)*ISNUMBER(INDEX(Inputs!$K$5:$AJ$110,0,MATCH(AF$2,Inputs!$K$4:$AJ$4,0))))+SUMPRODUCT((Inputs!$E$5:$E$110=$B7)*ISNUMBER(INDEX(Inputs!$K$5:$AJ$110,0,MATCH(AF$2,Inputs!$K$4:$AJ$4,0))))=0,NA(),SUMPRODUCT((Inputs!$A$5:$A$110=$B7)*Inputs!$B$5:$B$110*(((Inputs!$G$5:$G$110="moeda")+(Inputs!$G$5:$G$110="acoes"))*Inputs!$B$1+((Inputs!$G$5:$G$110&lt;&gt;"moeda")*(Inputs!$G$5:$G$110&lt;&gt;"acoes")))*INDEX(Inputs!$K$5:$AJ$110,0,MATCH(AF$2,Inputs!$K$4:$AJ$4,0)))+SUMPRODUCT((Inputs!$C$5:$C$110=$B7)*Inputs!$D$5:$D$110*(((Inputs!$G$5:$G$110="moeda")+(Inputs!$G$5:$G$110="acoes"))*Inputs!$B$1+((Inputs!$G$5:$G$110&lt;&gt;"moeda")*(Inputs!$G$5:$G$110&lt;&gt;"acoes")))*INDEX(Inputs!$K$5:$AJ$110,0,MATCH(AF$2,Inputs!$K$4:$AJ$4,0)))+SUMPRODUCT((Inputs!$E$5:$E$110=$B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7" s="3" t="e">
        <f>SUM(AC7:AF7)</f>
        <v>#N/A</v>
      </c>
      <c r="AH7" s="6">
        <f>IF(ISNA(MATCH(AH$2,Inputs!$K$4:$AJ$4,0)),NA(),IF(SUMPRODUCT((Inputs!$A$5:$A$110=$B7)*ISNUMBER(INDEX(Inputs!$K$5:$AJ$110,0,MATCH(AH$2,Inputs!$K$4:$AJ$4,0))))+SUMPRODUCT((Inputs!$C$5:$C$110=$B7)*ISNUMBER(INDEX(Inputs!$K$5:$AJ$110,0,MATCH(AH$2,Inputs!$K$4:$AJ$4,0))))+SUMPRODUCT((Inputs!$E$5:$E$110=$B7)*ISNUMBER(INDEX(Inputs!$K$5:$AJ$110,0,MATCH(AH$2,Inputs!$K$4:$AJ$4,0))))=0,NA(),SUMPRODUCT((Inputs!$A$5:$A$110=$B7)*Inputs!$B$5:$B$110*(((Inputs!$G$5:$G$110="moeda")+(Inputs!$G$5:$G$110="acoes"))*Inputs!$B$1+((Inputs!$G$5:$G$110&lt;&gt;"moeda")*(Inputs!$G$5:$G$110&lt;&gt;"acoes")))*INDEX(Inputs!$K$5:$AJ$110,0,MATCH(AH$2,Inputs!$K$4:$AJ$4,0)))+SUMPRODUCT((Inputs!$C$5:$C$110=$B7)*Inputs!$D$5:$D$110*(((Inputs!$G$5:$G$110="moeda")+(Inputs!$G$5:$G$110="acoes"))*Inputs!$B$1+((Inputs!$G$5:$G$110&lt;&gt;"moeda")*(Inputs!$G$5:$G$110&lt;&gt;"acoes")))*INDEX(Inputs!$K$5:$AJ$110,0,MATCH(AH$2,Inputs!$K$4:$AJ$4,0)))+SUMPRODUCT((Inputs!$E$5:$E$110=$B7)*Inputs!$F$5:$F$110*(((Inputs!$G$5:$G$110="moeda")+(Inputs!$G$5:$G$110="acoes"))*Inputs!$B$1+((Inputs!$G$5:$G$110&lt;&gt;"moeda")*(Inputs!$G$5:$G$110&lt;&gt;"acoes")))*INDEX(Inputs!$K$5:$AJ$110,0,MATCH(AH$2,Inputs!$K$4:$AJ$4,0)))))</f>
        <v>-301</v>
      </c>
      <c r="AI7" s="6">
        <f>IF(ISNA(MATCH(AI$2,Inputs!$K$4:$AJ$4,0)),NA(),IF(SUMPRODUCT((Inputs!$A$5:$A$110=$B7)*ISNUMBER(INDEX(Inputs!$K$5:$AJ$110,0,MATCH(AI$2,Inputs!$K$4:$AJ$4,0))))+SUMPRODUCT((Inputs!$C$5:$C$110=$B7)*ISNUMBER(INDEX(Inputs!$K$5:$AJ$110,0,MATCH(AI$2,Inputs!$K$4:$AJ$4,0))))+SUMPRODUCT((Inputs!$E$5:$E$110=$B7)*ISNUMBER(INDEX(Inputs!$K$5:$AJ$110,0,MATCH(AI$2,Inputs!$K$4:$AJ$4,0))))=0,NA(),SUMPRODUCT((Inputs!$A$5:$A$110=$B7)*Inputs!$B$5:$B$110*(((Inputs!$G$5:$G$110="moeda")+(Inputs!$G$5:$G$110="acoes"))*Inputs!$B$1+((Inputs!$G$5:$G$110&lt;&gt;"moeda")*(Inputs!$G$5:$G$110&lt;&gt;"acoes")))*INDEX(Inputs!$K$5:$AJ$110,0,MATCH(AI$2,Inputs!$K$4:$AJ$4,0)))+SUMPRODUCT((Inputs!$C$5:$C$110=$B7)*Inputs!$D$5:$D$110*(((Inputs!$G$5:$G$110="moeda")+(Inputs!$G$5:$G$110="acoes"))*Inputs!$B$1+((Inputs!$G$5:$G$110&lt;&gt;"moeda")*(Inputs!$G$5:$G$110&lt;&gt;"acoes")))*INDEX(Inputs!$K$5:$AJ$110,0,MATCH(AI$2,Inputs!$K$4:$AJ$4,0)))+SUMPRODUCT((Inputs!$E$5:$E$110=$B7)*Inputs!$F$5:$F$110*(((Inputs!$G$5:$G$110="moeda")+(Inputs!$G$5:$G$110="acoes"))*Inputs!$B$1+((Inputs!$G$5:$G$110&lt;&gt;"moeda")*(Inputs!$G$5:$G$110&lt;&gt;"acoes")))*INDEX(Inputs!$K$5:$AJ$110,0,MATCH(AI$2,Inputs!$K$4:$AJ$4,0)))))</f>
        <v>-307</v>
      </c>
      <c r="AJ7" s="6">
        <f>IF(ISNA(MATCH(AJ$2,Inputs!$K$4:$AJ$4,0)),NA(),IF(SUMPRODUCT((Inputs!$A$5:$A$110=$B7)*ISNUMBER(INDEX(Inputs!$K$5:$AJ$110,0,MATCH(AJ$2,Inputs!$K$4:$AJ$4,0))))+SUMPRODUCT((Inputs!$C$5:$C$110=$B7)*ISNUMBER(INDEX(Inputs!$K$5:$AJ$110,0,MATCH(AJ$2,Inputs!$K$4:$AJ$4,0))))+SUMPRODUCT((Inputs!$E$5:$E$110=$B7)*ISNUMBER(INDEX(Inputs!$K$5:$AJ$110,0,MATCH(AJ$2,Inputs!$K$4:$AJ$4,0))))=0,NA(),SUMPRODUCT((Inputs!$A$5:$A$110=$B7)*Inputs!$B$5:$B$110*(((Inputs!$G$5:$G$110="moeda")+(Inputs!$G$5:$G$110="acoes"))*Inputs!$B$1+((Inputs!$G$5:$G$110&lt;&gt;"moeda")*(Inputs!$G$5:$G$110&lt;&gt;"acoes")))*INDEX(Inputs!$K$5:$AJ$110,0,MATCH(AJ$2,Inputs!$K$4:$AJ$4,0)))+SUMPRODUCT((Inputs!$C$5:$C$110=$B7)*Inputs!$D$5:$D$110*(((Inputs!$G$5:$G$110="moeda")+(Inputs!$G$5:$G$110="acoes"))*Inputs!$B$1+((Inputs!$G$5:$G$110&lt;&gt;"moeda")*(Inputs!$G$5:$G$110&lt;&gt;"acoes")))*INDEX(Inputs!$K$5:$AJ$110,0,MATCH(AJ$2,Inputs!$K$4:$AJ$4,0)))+SUMPRODUCT((Inputs!$E$5:$E$110=$B7)*Inputs!$F$5:$F$110*(((Inputs!$G$5:$G$110="moeda")+(Inputs!$G$5:$G$110="acoes"))*Inputs!$B$1+((Inputs!$G$5:$G$110&lt;&gt;"moeda")*(Inputs!$G$5:$G$110&lt;&gt;"acoes")))*INDEX(Inputs!$K$5:$AJ$110,0,MATCH(AJ$2,Inputs!$K$4:$AJ$4,0)))))</f>
        <v>-319</v>
      </c>
      <c r="AK7" s="6">
        <f>IF(ISNA(MATCH(AK$2,Inputs!$K$4:$AJ$4,0)),NA(),IF(SUMPRODUCT((Inputs!$A$5:$A$110=$B7)*ISNUMBER(INDEX(Inputs!$K$5:$AJ$110,0,MATCH(AK$2,Inputs!$K$4:$AJ$4,0))))+SUMPRODUCT((Inputs!$C$5:$C$110=$B7)*ISNUMBER(INDEX(Inputs!$K$5:$AJ$110,0,MATCH(AK$2,Inputs!$K$4:$AJ$4,0))))+SUMPRODUCT((Inputs!$E$5:$E$110=$B7)*ISNUMBER(INDEX(Inputs!$K$5:$AJ$110,0,MATCH(AK$2,Inputs!$K$4:$AJ$4,0))))=0,NA(),SUMPRODUCT((Inputs!$A$5:$A$110=$B7)*Inputs!$B$5:$B$110*(((Inputs!$G$5:$G$110="moeda")+(Inputs!$G$5:$G$110="acoes"))*Inputs!$B$1+((Inputs!$G$5:$G$110&lt;&gt;"moeda")*(Inputs!$G$5:$G$110&lt;&gt;"acoes")))*INDEX(Inputs!$K$5:$AJ$110,0,MATCH(AK$2,Inputs!$K$4:$AJ$4,0)))+SUMPRODUCT((Inputs!$C$5:$C$110=$B7)*Inputs!$D$5:$D$110*(((Inputs!$G$5:$G$110="moeda")+(Inputs!$G$5:$G$110="acoes"))*Inputs!$B$1+((Inputs!$G$5:$G$110&lt;&gt;"moeda")*(Inputs!$G$5:$G$110&lt;&gt;"acoes")))*INDEX(Inputs!$K$5:$AJ$110,0,MATCH(AK$2,Inputs!$K$4:$AJ$4,0)))+SUMPRODUCT((Inputs!$E$5:$E$110=$B7)*Inputs!$F$5:$F$110*(((Inputs!$G$5:$G$110="moeda")+(Inputs!$G$5:$G$110="acoes"))*Inputs!$B$1+((Inputs!$G$5:$G$110&lt;&gt;"moeda")*(Inputs!$G$5:$G$110&lt;&gt;"acoes")))*INDEX(Inputs!$K$5:$AJ$110,0,MATCH(AK$2,Inputs!$K$4:$AJ$4,0)))))</f>
        <v>-363</v>
      </c>
      <c r="AL7" s="3">
        <f>SUM(AH7:AK7)</f>
        <v>-1290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$110=$B8)*ISNUMBER(INDEX(Inputs!$K$5:$AJ$110,0,MATCH(D$2,Inputs!$K$4:$AJ$4,0))))+SUMPRODUCT((Inputs!$C$5:$C$110=$B8)*ISNUMBER(INDEX(Inputs!$K$5:$AJ$110,0,MATCH(D$2,Inputs!$K$4:$AJ$4,0))))+SUMPRODUCT((Inputs!$E$5:$E$110=$B8)*ISNUMBER(INDEX(Inputs!$K$5:$AJ$110,0,MATCH(D$2,Inputs!$K$4:$AJ$4,0))))=0,NA(),SUMPRODUCT((Inputs!$A$5:$A$110=$B8)*Inputs!$B$5:$B$110*(((Inputs!$G$5:$G$110="moeda")+(Inputs!$G$5:$G$110="acoes"))*Inputs!$B$1+((Inputs!$G$5:$G$110&lt;&gt;"moeda")*(Inputs!$G$5:$G$110&lt;&gt;"acoes")))*INDEX(Inputs!$K$5:$AJ$110,0,MATCH(D$2,Inputs!$K$4:$AJ$4,0)))+SUMPRODUCT((Inputs!$C$5:$C$110=$B8)*Inputs!$D$5:$D$110*(((Inputs!$G$5:$G$110="moeda")+(Inputs!$G$5:$G$110="acoes"))*Inputs!$B$1+((Inputs!$G$5:$G$110&lt;&gt;"moeda")*(Inputs!$G$5:$G$110&lt;&gt;"acoes")))*INDEX(Inputs!$K$5:$AJ$110,0,MATCH(D$2,Inputs!$K$4:$AJ$4,0)))+SUMPRODUCT((Inputs!$E$5:$E$110=$B8)*Inputs!$F$5:$F$110*(((Inputs!$G$5:$G$110="moeda")+(Inputs!$G$5:$G$110="acoes"))*Inputs!$B$1+((Inputs!$G$5:$G$110&lt;&gt;"moeda")*(Inputs!$G$5:$G$110&lt;&gt;"acoes")))*INDEX(Inputs!$K$5:$AJ$110,0,MATCH(D$2,Inputs!$K$4:$AJ$4,0)))))</f>
        <v>-140</v>
      </c>
      <c r="E8" s="6">
        <f>IF(ISNA(MATCH(E$2,Inputs!$K$4:$AJ$4,0)),NA(),IF(SUMPRODUCT((Inputs!$A$5:$A$110=$B8)*ISNUMBER(INDEX(Inputs!$K$5:$AJ$110,0,MATCH(E$2,Inputs!$K$4:$AJ$4,0))))+SUMPRODUCT((Inputs!$C$5:$C$110=$B8)*ISNUMBER(INDEX(Inputs!$K$5:$AJ$110,0,MATCH(E$2,Inputs!$K$4:$AJ$4,0))))+SUMPRODUCT((Inputs!$E$5:$E$110=$B8)*ISNUMBER(INDEX(Inputs!$K$5:$AJ$110,0,MATCH(E$2,Inputs!$K$4:$AJ$4,0))))=0,NA(),SUMPRODUCT((Inputs!$A$5:$A$110=$B8)*Inputs!$B$5:$B$110*(((Inputs!$G$5:$G$110="moeda")+(Inputs!$G$5:$G$110="acoes"))*Inputs!$B$1+((Inputs!$G$5:$G$110&lt;&gt;"moeda")*(Inputs!$G$5:$G$110&lt;&gt;"acoes")))*INDEX(Inputs!$K$5:$AJ$110,0,MATCH(E$2,Inputs!$K$4:$AJ$4,0)))+SUMPRODUCT((Inputs!$C$5:$C$110=$B8)*Inputs!$D$5:$D$110*(((Inputs!$G$5:$G$110="moeda")+(Inputs!$G$5:$G$110="acoes"))*Inputs!$B$1+((Inputs!$G$5:$G$110&lt;&gt;"moeda")*(Inputs!$G$5:$G$110&lt;&gt;"acoes")))*INDEX(Inputs!$K$5:$AJ$110,0,MATCH(E$2,Inputs!$K$4:$AJ$4,0)))+SUMPRODUCT((Inputs!$E$5:$E$110=$B8)*Inputs!$F$5:$F$110*(((Inputs!$G$5:$G$110="moeda")+(Inputs!$G$5:$G$110="acoes"))*Inputs!$B$1+((Inputs!$G$5:$G$110&lt;&gt;"moeda")*(Inputs!$G$5:$G$110&lt;&gt;"acoes")))*INDEX(Inputs!$K$5:$AJ$110,0,MATCH(E$2,Inputs!$K$4:$AJ$4,0)))))</f>
        <v>-142</v>
      </c>
      <c r="F8" s="6">
        <f>IF(ISNA(MATCH(F$2,Inputs!$K$4:$AJ$4,0)),NA(),IF(SUMPRODUCT((Inputs!$A$5:$A$110=$B8)*ISNUMBER(INDEX(Inputs!$K$5:$AJ$110,0,MATCH(F$2,Inputs!$K$4:$AJ$4,0))))+SUMPRODUCT((Inputs!$C$5:$C$110=$B8)*ISNUMBER(INDEX(Inputs!$K$5:$AJ$110,0,MATCH(F$2,Inputs!$K$4:$AJ$4,0))))+SUMPRODUCT((Inputs!$E$5:$E$110=$B8)*ISNUMBER(INDEX(Inputs!$K$5:$AJ$110,0,MATCH(F$2,Inputs!$K$4:$AJ$4,0))))=0,NA(),SUMPRODUCT((Inputs!$A$5:$A$110=$B8)*Inputs!$B$5:$B$110*(((Inputs!$G$5:$G$110="moeda")+(Inputs!$G$5:$G$110="acoes"))*Inputs!$B$1+((Inputs!$G$5:$G$110&lt;&gt;"moeda")*(Inputs!$G$5:$G$110&lt;&gt;"acoes")))*INDEX(Inputs!$K$5:$AJ$110,0,MATCH(F$2,Inputs!$K$4:$AJ$4,0)))+SUMPRODUCT((Inputs!$C$5:$C$110=$B8)*Inputs!$D$5:$D$110*(((Inputs!$G$5:$G$110="moeda")+(Inputs!$G$5:$G$110="acoes"))*Inputs!$B$1+((Inputs!$G$5:$G$110&lt;&gt;"moeda")*(Inputs!$G$5:$G$110&lt;&gt;"acoes")))*INDEX(Inputs!$K$5:$AJ$110,0,MATCH(F$2,Inputs!$K$4:$AJ$4,0)))+SUMPRODUCT((Inputs!$E$5:$E$110=$B8)*Inputs!$F$5:$F$110*(((Inputs!$G$5:$G$110="moeda")+(Inputs!$G$5:$G$110="acoes"))*Inputs!$B$1+((Inputs!$G$5:$G$110&lt;&gt;"moeda")*(Inputs!$G$5:$G$110&lt;&gt;"acoes")))*INDEX(Inputs!$K$5:$AJ$110,0,MATCH(F$2,Inputs!$K$4:$AJ$4,0)))))</f>
        <v>-141</v>
      </c>
      <c r="G8" s="6">
        <f>IF(ISNA(MATCH(G$2,Inputs!$K$4:$AJ$4,0)),NA(),IF(SUMPRODUCT((Inputs!$A$5:$A$110=$B8)*ISNUMBER(INDEX(Inputs!$K$5:$AJ$110,0,MATCH(G$2,Inputs!$K$4:$AJ$4,0))))+SUMPRODUCT((Inputs!$C$5:$C$110=$B8)*ISNUMBER(INDEX(Inputs!$K$5:$AJ$110,0,MATCH(G$2,Inputs!$K$4:$AJ$4,0))))+SUMPRODUCT((Inputs!$E$5:$E$110=$B8)*ISNUMBER(INDEX(Inputs!$K$5:$AJ$110,0,MATCH(G$2,Inputs!$K$4:$AJ$4,0))))=0,NA(),SUMPRODUCT((Inputs!$A$5:$A$110=$B8)*Inputs!$B$5:$B$110*(((Inputs!$G$5:$G$110="moeda")+(Inputs!$G$5:$G$110="acoes"))*Inputs!$B$1+((Inputs!$G$5:$G$110&lt;&gt;"moeda")*(Inputs!$G$5:$G$110&lt;&gt;"acoes")))*INDEX(Inputs!$K$5:$AJ$110,0,MATCH(G$2,Inputs!$K$4:$AJ$4,0)))+SUMPRODUCT((Inputs!$C$5:$C$110=$B8)*Inputs!$D$5:$D$110*(((Inputs!$G$5:$G$110="moeda")+(Inputs!$G$5:$G$110="acoes"))*Inputs!$B$1+((Inputs!$G$5:$G$110&lt;&gt;"moeda")*(Inputs!$G$5:$G$110&lt;&gt;"acoes")))*INDEX(Inputs!$K$5:$AJ$110,0,MATCH(G$2,Inputs!$K$4:$AJ$4,0)))+SUMPRODUCT((Inputs!$E$5:$E$110=$B8)*Inputs!$F$5:$F$110*(((Inputs!$G$5:$G$110="moeda")+(Inputs!$G$5:$G$110="acoes"))*Inputs!$B$1+((Inputs!$G$5:$G$110&lt;&gt;"moeda")*(Inputs!$G$5:$G$110&lt;&gt;"acoes")))*INDEX(Inputs!$K$5:$AJ$110,0,MATCH(G$2,Inputs!$K$4:$AJ$4,0)))))</f>
        <v>-146</v>
      </c>
      <c r="H8" s="3">
        <f>SUM(D8:G8)</f>
        <v>-569</v>
      </c>
      <c r="I8" s="6">
        <f>IF(ISNA(MATCH(I$2,Inputs!$K$4:$AJ$4,0)),NA(),IF(SUMPRODUCT((Inputs!$A$5:$A$110=$B8)*ISNUMBER(INDEX(Inputs!$K$5:$AJ$110,0,MATCH(I$2,Inputs!$K$4:$AJ$4,0))))+SUMPRODUCT((Inputs!$C$5:$C$110=$B8)*ISNUMBER(INDEX(Inputs!$K$5:$AJ$110,0,MATCH(I$2,Inputs!$K$4:$AJ$4,0))))+SUMPRODUCT((Inputs!$E$5:$E$110=$B8)*ISNUMBER(INDEX(Inputs!$K$5:$AJ$110,0,MATCH(I$2,Inputs!$K$4:$AJ$4,0))))=0,NA(),SUMPRODUCT((Inputs!$A$5:$A$110=$B8)*Inputs!$B$5:$B$110*(((Inputs!$G$5:$G$110="moeda")+(Inputs!$G$5:$G$110="acoes"))*Inputs!$B$1+((Inputs!$G$5:$G$110&lt;&gt;"moeda")*(Inputs!$G$5:$G$110&lt;&gt;"acoes")))*INDEX(Inputs!$K$5:$AJ$110,0,MATCH(I$2,Inputs!$K$4:$AJ$4,0)))+SUMPRODUCT((Inputs!$C$5:$C$110=$B8)*Inputs!$D$5:$D$110*(((Inputs!$G$5:$G$110="moeda")+(Inputs!$G$5:$G$110="acoes"))*Inputs!$B$1+((Inputs!$G$5:$G$110&lt;&gt;"moeda")*(Inputs!$G$5:$G$110&lt;&gt;"acoes")))*INDEX(Inputs!$K$5:$AJ$110,0,MATCH(I$2,Inputs!$K$4:$AJ$4,0)))+SUMPRODUCT((Inputs!$E$5:$E$110=$B8)*Inputs!$F$5:$F$110*(((Inputs!$G$5:$G$110="moeda")+(Inputs!$G$5:$G$110="acoes"))*Inputs!$B$1+((Inputs!$G$5:$G$110&lt;&gt;"moeda")*(Inputs!$G$5:$G$110&lt;&gt;"acoes")))*INDEX(Inputs!$K$5:$AJ$110,0,MATCH(I$2,Inputs!$K$4:$AJ$4,0)))))</f>
        <v>-135</v>
      </c>
      <c r="J8" s="6">
        <f>IF(ISNA(MATCH(J$2,Inputs!$K$4:$AJ$4,0)),NA(),IF(SUMPRODUCT((Inputs!$A$5:$A$110=$B8)*ISNUMBER(INDEX(Inputs!$K$5:$AJ$110,0,MATCH(J$2,Inputs!$K$4:$AJ$4,0))))+SUMPRODUCT((Inputs!$C$5:$C$110=$B8)*ISNUMBER(INDEX(Inputs!$K$5:$AJ$110,0,MATCH(J$2,Inputs!$K$4:$AJ$4,0))))+SUMPRODUCT((Inputs!$E$5:$E$110=$B8)*ISNUMBER(INDEX(Inputs!$K$5:$AJ$110,0,MATCH(J$2,Inputs!$K$4:$AJ$4,0))))=0,NA(),SUMPRODUCT((Inputs!$A$5:$A$110=$B8)*Inputs!$B$5:$B$110*(((Inputs!$G$5:$G$110="moeda")+(Inputs!$G$5:$G$110="acoes"))*Inputs!$B$1+((Inputs!$G$5:$G$110&lt;&gt;"moeda")*(Inputs!$G$5:$G$110&lt;&gt;"acoes")))*INDEX(Inputs!$K$5:$AJ$110,0,MATCH(J$2,Inputs!$K$4:$AJ$4,0)))+SUMPRODUCT((Inputs!$C$5:$C$110=$B8)*Inputs!$D$5:$D$110*(((Inputs!$G$5:$G$110="moeda")+(Inputs!$G$5:$G$110="acoes"))*Inputs!$B$1+((Inputs!$G$5:$G$110&lt;&gt;"moeda")*(Inputs!$G$5:$G$110&lt;&gt;"acoes")))*INDEX(Inputs!$K$5:$AJ$110,0,MATCH(J$2,Inputs!$K$4:$AJ$4,0)))+SUMPRODUCT((Inputs!$E$5:$E$110=$B8)*Inputs!$F$5:$F$110*(((Inputs!$G$5:$G$110="moeda")+(Inputs!$G$5:$G$110="acoes"))*Inputs!$B$1+((Inputs!$G$5:$G$110&lt;&gt;"moeda")*(Inputs!$G$5:$G$110&lt;&gt;"acoes")))*INDEX(Inputs!$K$5:$AJ$110,0,MATCH(J$2,Inputs!$K$4:$AJ$4,0)))))</f>
        <v>-141</v>
      </c>
      <c r="K8" s="6">
        <f>IF(ISNA(MATCH(K$2,Inputs!$K$4:$AJ$4,0)),NA(),IF(SUMPRODUCT((Inputs!$A$5:$A$110=$B8)*ISNUMBER(INDEX(Inputs!$K$5:$AJ$110,0,MATCH(K$2,Inputs!$K$4:$AJ$4,0))))+SUMPRODUCT((Inputs!$C$5:$C$110=$B8)*ISNUMBER(INDEX(Inputs!$K$5:$AJ$110,0,MATCH(K$2,Inputs!$K$4:$AJ$4,0))))+SUMPRODUCT((Inputs!$E$5:$E$110=$B8)*ISNUMBER(INDEX(Inputs!$K$5:$AJ$110,0,MATCH(K$2,Inputs!$K$4:$AJ$4,0))))=0,NA(),SUMPRODUCT((Inputs!$A$5:$A$110=$B8)*Inputs!$B$5:$B$110*(((Inputs!$G$5:$G$110="moeda")+(Inputs!$G$5:$G$110="acoes"))*Inputs!$B$1+((Inputs!$G$5:$G$110&lt;&gt;"moeda")*(Inputs!$G$5:$G$110&lt;&gt;"acoes")))*INDEX(Inputs!$K$5:$AJ$110,0,MATCH(K$2,Inputs!$K$4:$AJ$4,0)))+SUMPRODUCT((Inputs!$C$5:$C$110=$B8)*Inputs!$D$5:$D$110*(((Inputs!$G$5:$G$110="moeda")+(Inputs!$G$5:$G$110="acoes"))*Inputs!$B$1+((Inputs!$G$5:$G$110&lt;&gt;"moeda")*(Inputs!$G$5:$G$110&lt;&gt;"acoes")))*INDEX(Inputs!$K$5:$AJ$110,0,MATCH(K$2,Inputs!$K$4:$AJ$4,0)))+SUMPRODUCT((Inputs!$E$5:$E$110=$B8)*Inputs!$F$5:$F$110*(((Inputs!$G$5:$G$110="moeda")+(Inputs!$G$5:$G$110="acoes"))*Inputs!$B$1+((Inputs!$G$5:$G$110&lt;&gt;"moeda")*(Inputs!$G$5:$G$110&lt;&gt;"acoes")))*INDEX(Inputs!$K$5:$AJ$110,0,MATCH(K$2,Inputs!$K$4:$AJ$4,0)))))</f>
        <v>-145</v>
      </c>
      <c r="L8" s="6">
        <f>IF(ISNA(MATCH(L$2,Inputs!$K$4:$AJ$4,0)),NA(),IF(SUMPRODUCT((Inputs!$A$5:$A$110=$B8)*ISNUMBER(INDEX(Inputs!$K$5:$AJ$110,0,MATCH(L$2,Inputs!$K$4:$AJ$4,0))))+SUMPRODUCT((Inputs!$C$5:$C$110=$B8)*ISNUMBER(INDEX(Inputs!$K$5:$AJ$110,0,MATCH(L$2,Inputs!$K$4:$AJ$4,0))))+SUMPRODUCT((Inputs!$E$5:$E$110=$B8)*ISNUMBER(INDEX(Inputs!$K$5:$AJ$110,0,MATCH(L$2,Inputs!$K$4:$AJ$4,0))))=0,NA(),SUMPRODUCT((Inputs!$A$5:$A$110=$B8)*Inputs!$B$5:$B$110*(((Inputs!$G$5:$G$110="moeda")+(Inputs!$G$5:$G$110="acoes"))*Inputs!$B$1+((Inputs!$G$5:$G$110&lt;&gt;"moeda")*(Inputs!$G$5:$G$110&lt;&gt;"acoes")))*INDEX(Inputs!$K$5:$AJ$110,0,MATCH(L$2,Inputs!$K$4:$AJ$4,0)))+SUMPRODUCT((Inputs!$C$5:$C$110=$B8)*Inputs!$D$5:$D$110*(((Inputs!$G$5:$G$110="moeda")+(Inputs!$G$5:$G$110="acoes"))*Inputs!$B$1+((Inputs!$G$5:$G$110&lt;&gt;"moeda")*(Inputs!$G$5:$G$110&lt;&gt;"acoes")))*INDEX(Inputs!$K$5:$AJ$110,0,MATCH(L$2,Inputs!$K$4:$AJ$4,0)))+SUMPRODUCT((Inputs!$E$5:$E$110=$B8)*Inputs!$F$5:$F$110*(((Inputs!$G$5:$G$110="moeda")+(Inputs!$G$5:$G$110="acoes"))*Inputs!$B$1+((Inputs!$G$5:$G$110&lt;&gt;"moeda")*(Inputs!$G$5:$G$110&lt;&gt;"acoes")))*INDEX(Inputs!$K$5:$AJ$110,0,MATCH(L$2,Inputs!$K$4:$AJ$4,0)))))</f>
        <v>-202</v>
      </c>
      <c r="M8" s="3">
        <f>SUM(I8:L8)</f>
        <v>-623</v>
      </c>
      <c r="N8" s="6">
        <f>IF(ISNA(MATCH(N$2,Inputs!$K$4:$AJ$4,0)),NA(),IF(SUMPRODUCT((Inputs!$A$5:$A$110=$B8)*ISNUMBER(INDEX(Inputs!$K$5:$AJ$110,0,MATCH(N$2,Inputs!$K$4:$AJ$4,0))))+SUMPRODUCT((Inputs!$C$5:$C$110=$B8)*ISNUMBER(INDEX(Inputs!$K$5:$AJ$110,0,MATCH(N$2,Inputs!$K$4:$AJ$4,0))))+SUMPRODUCT((Inputs!$E$5:$E$110=$B8)*ISNUMBER(INDEX(Inputs!$K$5:$AJ$110,0,MATCH(N$2,Inputs!$K$4:$AJ$4,0))))=0,NA(),SUMPRODUCT((Inputs!$A$5:$A$110=$B8)*Inputs!$B$5:$B$110*(((Inputs!$G$5:$G$110="moeda")+(Inputs!$G$5:$G$110="acoes"))*Inputs!$B$1+((Inputs!$G$5:$G$110&lt;&gt;"moeda")*(Inputs!$G$5:$G$110&lt;&gt;"acoes")))*INDEX(Inputs!$K$5:$AJ$110,0,MATCH(N$2,Inputs!$K$4:$AJ$4,0)))+SUMPRODUCT((Inputs!$C$5:$C$110=$B8)*Inputs!$D$5:$D$110*(((Inputs!$G$5:$G$110="moeda")+(Inputs!$G$5:$G$110="acoes"))*Inputs!$B$1+((Inputs!$G$5:$G$110&lt;&gt;"moeda")*(Inputs!$G$5:$G$110&lt;&gt;"acoes")))*INDEX(Inputs!$K$5:$AJ$110,0,MATCH(N$2,Inputs!$K$4:$AJ$4,0)))+SUMPRODUCT((Inputs!$E$5:$E$110=$B8)*Inputs!$F$5:$F$110*(((Inputs!$G$5:$G$110="moeda")+(Inputs!$G$5:$G$110="acoes"))*Inputs!$B$1+((Inputs!$G$5:$G$110&lt;&gt;"moeda")*(Inputs!$G$5:$G$110&lt;&gt;"acoes")))*INDEX(Inputs!$K$5:$AJ$110,0,MATCH(N$2,Inputs!$K$4:$AJ$4,0)))))</f>
        <v>-202</v>
      </c>
      <c r="O8" s="6">
        <f>IF(ISNA(MATCH(O$2,Inputs!$K$4:$AJ$4,0)),NA(),IF(SUMPRODUCT((Inputs!$A$5:$A$110=$B8)*ISNUMBER(INDEX(Inputs!$K$5:$AJ$110,0,MATCH(O$2,Inputs!$K$4:$AJ$4,0))))+SUMPRODUCT((Inputs!$C$5:$C$110=$B8)*ISNUMBER(INDEX(Inputs!$K$5:$AJ$110,0,MATCH(O$2,Inputs!$K$4:$AJ$4,0))))+SUMPRODUCT((Inputs!$E$5:$E$110=$B8)*ISNUMBER(INDEX(Inputs!$K$5:$AJ$110,0,MATCH(O$2,Inputs!$K$4:$AJ$4,0))))=0,NA(),SUMPRODUCT((Inputs!$A$5:$A$110=$B8)*Inputs!$B$5:$B$110*(((Inputs!$G$5:$G$110="moeda")+(Inputs!$G$5:$G$110="acoes"))*Inputs!$B$1+((Inputs!$G$5:$G$110&lt;&gt;"moeda")*(Inputs!$G$5:$G$110&lt;&gt;"acoes")))*INDEX(Inputs!$K$5:$AJ$110,0,MATCH(O$2,Inputs!$K$4:$AJ$4,0)))+SUMPRODUCT((Inputs!$C$5:$C$110=$B8)*Inputs!$D$5:$D$110*(((Inputs!$G$5:$G$110="moeda")+(Inputs!$G$5:$G$110="acoes"))*Inputs!$B$1+((Inputs!$G$5:$G$110&lt;&gt;"moeda")*(Inputs!$G$5:$G$110&lt;&gt;"acoes")))*INDEX(Inputs!$K$5:$AJ$110,0,MATCH(O$2,Inputs!$K$4:$AJ$4,0)))+SUMPRODUCT((Inputs!$E$5:$E$110=$B8)*Inputs!$F$5:$F$110*(((Inputs!$G$5:$G$110="moeda")+(Inputs!$G$5:$G$110="acoes"))*Inputs!$B$1+((Inputs!$G$5:$G$110&lt;&gt;"moeda")*(Inputs!$G$5:$G$110&lt;&gt;"acoes")))*INDEX(Inputs!$K$5:$AJ$110,0,MATCH(O$2,Inputs!$K$4:$AJ$4,0)))))</f>
        <v>-223</v>
      </c>
      <c r="P8" s="6">
        <f>IF(ISNA(MATCH(P$2,Inputs!$K$4:$AJ$4,0)),NA(),IF(SUMPRODUCT((Inputs!$A$5:$A$110=$B8)*ISNUMBER(INDEX(Inputs!$K$5:$AJ$110,0,MATCH(P$2,Inputs!$K$4:$AJ$4,0))))+SUMPRODUCT((Inputs!$C$5:$C$110=$B8)*ISNUMBER(INDEX(Inputs!$K$5:$AJ$110,0,MATCH(P$2,Inputs!$K$4:$AJ$4,0))))+SUMPRODUCT((Inputs!$E$5:$E$110=$B8)*ISNUMBER(INDEX(Inputs!$K$5:$AJ$110,0,MATCH(P$2,Inputs!$K$4:$AJ$4,0))))=0,NA(),SUMPRODUCT((Inputs!$A$5:$A$110=$B8)*Inputs!$B$5:$B$110*(((Inputs!$G$5:$G$110="moeda")+(Inputs!$G$5:$G$110="acoes"))*Inputs!$B$1+((Inputs!$G$5:$G$110&lt;&gt;"moeda")*(Inputs!$G$5:$G$110&lt;&gt;"acoes")))*INDEX(Inputs!$K$5:$AJ$110,0,MATCH(P$2,Inputs!$K$4:$AJ$4,0)))+SUMPRODUCT((Inputs!$C$5:$C$110=$B8)*Inputs!$D$5:$D$110*(((Inputs!$G$5:$G$110="moeda")+(Inputs!$G$5:$G$110="acoes"))*Inputs!$B$1+((Inputs!$G$5:$G$110&lt;&gt;"moeda")*(Inputs!$G$5:$G$110&lt;&gt;"acoes")))*INDEX(Inputs!$K$5:$AJ$110,0,MATCH(P$2,Inputs!$K$4:$AJ$4,0)))+SUMPRODUCT((Inputs!$E$5:$E$110=$B8)*Inputs!$F$5:$F$110*(((Inputs!$G$5:$G$110="moeda")+(Inputs!$G$5:$G$110="acoes"))*Inputs!$B$1+((Inputs!$G$5:$G$110&lt;&gt;"moeda")*(Inputs!$G$5:$G$110&lt;&gt;"acoes")))*INDEX(Inputs!$K$5:$AJ$110,0,MATCH(P$2,Inputs!$K$4:$AJ$4,0)))))</f>
        <v>-237</v>
      </c>
      <c r="Q8" s="6">
        <f>IF(ISNA(MATCH(Q$2,Inputs!$K$4:$AJ$4,0)),NA(),IF(SUMPRODUCT((Inputs!$A$5:$A$110=$B8)*ISNUMBER(INDEX(Inputs!$K$5:$AJ$110,0,MATCH(Q$2,Inputs!$K$4:$AJ$4,0))))+SUMPRODUCT((Inputs!$C$5:$C$110=$B8)*ISNUMBER(INDEX(Inputs!$K$5:$AJ$110,0,MATCH(Q$2,Inputs!$K$4:$AJ$4,0))))+SUMPRODUCT((Inputs!$E$5:$E$110=$B8)*ISNUMBER(INDEX(Inputs!$K$5:$AJ$110,0,MATCH(Q$2,Inputs!$K$4:$AJ$4,0))))=0,NA(),SUMPRODUCT((Inputs!$A$5:$A$110=$B8)*Inputs!$B$5:$B$110*(((Inputs!$G$5:$G$110="moeda")+(Inputs!$G$5:$G$110="acoes"))*Inputs!$B$1+((Inputs!$G$5:$G$110&lt;&gt;"moeda")*(Inputs!$G$5:$G$110&lt;&gt;"acoes")))*INDEX(Inputs!$K$5:$AJ$110,0,MATCH(Q$2,Inputs!$K$4:$AJ$4,0)))+SUMPRODUCT((Inputs!$C$5:$C$110=$B8)*Inputs!$D$5:$D$110*(((Inputs!$G$5:$G$110="moeda")+(Inputs!$G$5:$G$110="acoes"))*Inputs!$B$1+((Inputs!$G$5:$G$110&lt;&gt;"moeda")*(Inputs!$G$5:$G$110&lt;&gt;"acoes")))*INDEX(Inputs!$K$5:$AJ$110,0,MATCH(Q$2,Inputs!$K$4:$AJ$4,0)))+SUMPRODUCT((Inputs!$E$5:$E$110=$B8)*Inputs!$F$5:$F$110*(((Inputs!$G$5:$G$110="moeda")+(Inputs!$G$5:$G$110="acoes"))*Inputs!$B$1+((Inputs!$G$5:$G$110&lt;&gt;"moeda")*(Inputs!$G$5:$G$110&lt;&gt;"acoes")))*INDEX(Inputs!$K$5:$AJ$110,0,MATCH(Q$2,Inputs!$K$4:$AJ$4,0)))))</f>
        <v>-254</v>
      </c>
      <c r="R8" s="3">
        <f>SUM(N8:Q8)</f>
        <v>-916</v>
      </c>
      <c r="S8" s="6">
        <f>IF(ISNA(MATCH(S$2,Inputs!$K$4:$AJ$4,0)),NA(),IF(SUMPRODUCT((Inputs!$A$5:$A$110=$B8)*ISNUMBER(INDEX(Inputs!$K$5:$AJ$110,0,MATCH(S$2,Inputs!$K$4:$AJ$4,0))))+SUMPRODUCT((Inputs!$C$5:$C$110=$B8)*ISNUMBER(INDEX(Inputs!$K$5:$AJ$110,0,MATCH(S$2,Inputs!$K$4:$AJ$4,0))))+SUMPRODUCT((Inputs!$E$5:$E$110=$B8)*ISNUMBER(INDEX(Inputs!$K$5:$AJ$110,0,MATCH(S$2,Inputs!$K$4:$AJ$4,0))))=0,NA(),SUMPRODUCT((Inputs!$A$5:$A$110=$B8)*Inputs!$B$5:$B$110*(((Inputs!$G$5:$G$110="moeda")+(Inputs!$G$5:$G$110="acoes"))*Inputs!$B$1+((Inputs!$G$5:$G$110&lt;&gt;"moeda")*(Inputs!$G$5:$G$110&lt;&gt;"acoes")))*INDEX(Inputs!$K$5:$AJ$110,0,MATCH(S$2,Inputs!$K$4:$AJ$4,0)))+SUMPRODUCT((Inputs!$C$5:$C$110=$B8)*Inputs!$D$5:$D$110*(((Inputs!$G$5:$G$110="moeda")+(Inputs!$G$5:$G$110="acoes"))*Inputs!$B$1+((Inputs!$G$5:$G$110&lt;&gt;"moeda")*(Inputs!$G$5:$G$110&lt;&gt;"acoes")))*INDEX(Inputs!$K$5:$AJ$110,0,MATCH(S$2,Inputs!$K$4:$AJ$4,0)))+SUMPRODUCT((Inputs!$E$5:$E$110=$B8)*Inputs!$F$5:$F$110*(((Inputs!$G$5:$G$110="moeda")+(Inputs!$G$5:$G$110="acoes"))*Inputs!$B$1+((Inputs!$G$5:$G$110&lt;&gt;"moeda")*(Inputs!$G$5:$G$110&lt;&gt;"acoes")))*INDEX(Inputs!$K$5:$AJ$110,0,MATCH(S$2,Inputs!$K$4:$AJ$4,0)))))</f>
        <v>-255</v>
      </c>
      <c r="T8" s="6">
        <f>IF(ISNA(MATCH(T$2,Inputs!$K$4:$AJ$4,0)),NA(),IF(SUMPRODUCT((Inputs!$A$5:$A$110=$B8)*ISNUMBER(INDEX(Inputs!$K$5:$AJ$110,0,MATCH(T$2,Inputs!$K$4:$AJ$4,0))))+SUMPRODUCT((Inputs!$C$5:$C$110=$B8)*ISNUMBER(INDEX(Inputs!$K$5:$AJ$110,0,MATCH(T$2,Inputs!$K$4:$AJ$4,0))))+SUMPRODUCT((Inputs!$E$5:$E$110=$B8)*ISNUMBER(INDEX(Inputs!$K$5:$AJ$110,0,MATCH(T$2,Inputs!$K$4:$AJ$4,0))))=0,NA(),SUMPRODUCT((Inputs!$A$5:$A$110=$B8)*Inputs!$B$5:$B$110*(((Inputs!$G$5:$G$110="moeda")+(Inputs!$G$5:$G$110="acoes"))*Inputs!$B$1+((Inputs!$G$5:$G$110&lt;&gt;"moeda")*(Inputs!$G$5:$G$110&lt;&gt;"acoes")))*INDEX(Inputs!$K$5:$AJ$110,0,MATCH(T$2,Inputs!$K$4:$AJ$4,0)))+SUMPRODUCT((Inputs!$C$5:$C$110=$B8)*Inputs!$D$5:$D$110*(((Inputs!$G$5:$G$110="moeda")+(Inputs!$G$5:$G$110="acoes"))*Inputs!$B$1+((Inputs!$G$5:$G$110&lt;&gt;"moeda")*(Inputs!$G$5:$G$110&lt;&gt;"acoes")))*INDEX(Inputs!$K$5:$AJ$110,0,MATCH(T$2,Inputs!$K$4:$AJ$4,0)))+SUMPRODUCT((Inputs!$E$5:$E$110=$B8)*Inputs!$F$5:$F$110*(((Inputs!$G$5:$G$110="moeda")+(Inputs!$G$5:$G$110="acoes"))*Inputs!$B$1+((Inputs!$G$5:$G$110&lt;&gt;"moeda")*(Inputs!$G$5:$G$110&lt;&gt;"acoes")))*INDEX(Inputs!$K$5:$AJ$110,0,MATCH(T$2,Inputs!$K$4:$AJ$4,0)))))</f>
        <v>-261</v>
      </c>
      <c r="U8" s="6">
        <f>IF(ISNA(MATCH(U$2,Inputs!$K$4:$AJ$4,0)),NA(),IF(SUMPRODUCT((Inputs!$A$5:$A$110=$B8)*ISNUMBER(INDEX(Inputs!$K$5:$AJ$110,0,MATCH(U$2,Inputs!$K$4:$AJ$4,0))))+SUMPRODUCT((Inputs!$C$5:$C$110=$B8)*ISNUMBER(INDEX(Inputs!$K$5:$AJ$110,0,MATCH(U$2,Inputs!$K$4:$AJ$4,0))))+SUMPRODUCT((Inputs!$E$5:$E$110=$B8)*ISNUMBER(INDEX(Inputs!$K$5:$AJ$110,0,MATCH(U$2,Inputs!$K$4:$AJ$4,0))))=0,NA(),SUMPRODUCT((Inputs!$A$5:$A$110=$B8)*Inputs!$B$5:$B$110*(((Inputs!$G$5:$G$110="moeda")+(Inputs!$G$5:$G$110="acoes"))*Inputs!$B$1+((Inputs!$G$5:$G$110&lt;&gt;"moeda")*(Inputs!$G$5:$G$110&lt;&gt;"acoes")))*INDEX(Inputs!$K$5:$AJ$110,0,MATCH(U$2,Inputs!$K$4:$AJ$4,0)))+SUMPRODUCT((Inputs!$C$5:$C$110=$B8)*Inputs!$D$5:$D$110*(((Inputs!$G$5:$G$110="moeda")+(Inputs!$G$5:$G$110="acoes"))*Inputs!$B$1+((Inputs!$G$5:$G$110&lt;&gt;"moeda")*(Inputs!$G$5:$G$110&lt;&gt;"acoes")))*INDEX(Inputs!$K$5:$AJ$110,0,MATCH(U$2,Inputs!$K$4:$AJ$4,0)))+SUMPRODUCT((Inputs!$E$5:$E$110=$B8)*Inputs!$F$5:$F$110*(((Inputs!$G$5:$G$110="moeda")+(Inputs!$G$5:$G$110="acoes"))*Inputs!$B$1+((Inputs!$G$5:$G$110&lt;&gt;"moeda")*(Inputs!$G$5:$G$110&lt;&gt;"acoes")))*INDEX(Inputs!$K$5:$AJ$110,0,MATCH(U$2,Inputs!$K$4:$AJ$4,0)))))</f>
        <v>-256</v>
      </c>
      <c r="V8" s="6">
        <f>IF(ISNA(MATCH(V$2,Inputs!$K$4:$AJ$4,0)),NA(),IF(SUMPRODUCT((Inputs!$A$5:$A$110=$B8)*ISNUMBER(INDEX(Inputs!$K$5:$AJ$110,0,MATCH(V$2,Inputs!$K$4:$AJ$4,0))))+SUMPRODUCT((Inputs!$C$5:$C$110=$B8)*ISNUMBER(INDEX(Inputs!$K$5:$AJ$110,0,MATCH(V$2,Inputs!$K$4:$AJ$4,0))))+SUMPRODUCT((Inputs!$E$5:$E$110=$B8)*ISNUMBER(INDEX(Inputs!$K$5:$AJ$110,0,MATCH(V$2,Inputs!$K$4:$AJ$4,0))))=0,NA(),SUMPRODUCT((Inputs!$A$5:$A$110=$B8)*Inputs!$B$5:$B$110*(((Inputs!$G$5:$G$110="moeda")+(Inputs!$G$5:$G$110="acoes"))*Inputs!$B$1+((Inputs!$G$5:$G$110&lt;&gt;"moeda")*(Inputs!$G$5:$G$110&lt;&gt;"acoes")))*INDEX(Inputs!$K$5:$AJ$110,0,MATCH(V$2,Inputs!$K$4:$AJ$4,0)))+SUMPRODUCT((Inputs!$C$5:$C$110=$B8)*Inputs!$D$5:$D$110*(((Inputs!$G$5:$G$110="moeda")+(Inputs!$G$5:$G$110="acoes"))*Inputs!$B$1+((Inputs!$G$5:$G$110&lt;&gt;"moeda")*(Inputs!$G$5:$G$110&lt;&gt;"acoes")))*INDEX(Inputs!$K$5:$AJ$110,0,MATCH(V$2,Inputs!$K$4:$AJ$4,0)))+SUMPRODUCT((Inputs!$E$5:$E$110=$B8)*Inputs!$F$5:$F$110*(((Inputs!$G$5:$G$110="moeda")+(Inputs!$G$5:$G$110="acoes"))*Inputs!$B$1+((Inputs!$G$5:$G$110&lt;&gt;"moeda")*(Inputs!$G$5:$G$110&lt;&gt;"acoes")))*INDEX(Inputs!$K$5:$AJ$110,0,MATCH(V$2,Inputs!$K$4:$AJ$4,0)))))</f>
        <v>-264</v>
      </c>
      <c r="W8" s="3">
        <f>SUM(S8:V8)</f>
        <v>-1036</v>
      </c>
      <c r="X8" s="6">
        <f>IF(ISNA(MATCH(X$2,Inputs!$K$4:$AJ$4,0)),NA(),IF(SUMPRODUCT((Inputs!$A$5:$A$110=$B8)*ISNUMBER(INDEX(Inputs!$K$5:$AJ$110,0,MATCH(X$2,Inputs!$K$4:$AJ$4,0))))+SUMPRODUCT((Inputs!$C$5:$C$110=$B8)*ISNUMBER(INDEX(Inputs!$K$5:$AJ$110,0,MATCH(X$2,Inputs!$K$4:$AJ$4,0))))+SUMPRODUCT((Inputs!$E$5:$E$110=$B8)*ISNUMBER(INDEX(Inputs!$K$5:$AJ$110,0,MATCH(X$2,Inputs!$K$4:$AJ$4,0))))=0,NA(),SUMPRODUCT((Inputs!$A$5:$A$110=$B8)*Inputs!$B$5:$B$110*(((Inputs!$G$5:$G$110="moeda")+(Inputs!$G$5:$G$110="acoes"))*Inputs!$B$1+((Inputs!$G$5:$G$110&lt;&gt;"moeda")*(Inputs!$G$5:$G$110&lt;&gt;"acoes")))*INDEX(Inputs!$K$5:$AJ$110,0,MATCH(X$2,Inputs!$K$4:$AJ$4,0)))+SUMPRODUCT((Inputs!$C$5:$C$110=$B8)*Inputs!$D$5:$D$110*(((Inputs!$G$5:$G$110="moeda")+(Inputs!$G$5:$G$110="acoes"))*Inputs!$B$1+((Inputs!$G$5:$G$110&lt;&gt;"moeda")*(Inputs!$G$5:$G$110&lt;&gt;"acoes")))*INDEX(Inputs!$K$5:$AJ$110,0,MATCH(X$2,Inputs!$K$4:$AJ$4,0)))+SUMPRODUCT((Inputs!$E$5:$E$110=$B8)*Inputs!$F$5:$F$110*(((Inputs!$G$5:$G$110="moeda")+(Inputs!$G$5:$G$110="acoes"))*Inputs!$B$1+((Inputs!$G$5:$G$110&lt;&gt;"moeda")*(Inputs!$G$5:$G$110&lt;&gt;"acoes")))*INDEX(Inputs!$K$5:$AJ$110,0,MATCH(X$2,Inputs!$K$4:$AJ$4,0)))))</f>
        <v>-268</v>
      </c>
      <c r="Y8" s="6">
        <f>IF(ISNA(MATCH(Y$2,Inputs!$K$4:$AJ$4,0)),NA(),IF(SUMPRODUCT((Inputs!$A$5:$A$110=$B8)*ISNUMBER(INDEX(Inputs!$K$5:$AJ$110,0,MATCH(Y$2,Inputs!$K$4:$AJ$4,0))))+SUMPRODUCT((Inputs!$C$5:$C$110=$B8)*ISNUMBER(INDEX(Inputs!$K$5:$AJ$110,0,MATCH(Y$2,Inputs!$K$4:$AJ$4,0))))+SUMPRODUCT((Inputs!$E$5:$E$110=$B8)*ISNUMBER(INDEX(Inputs!$K$5:$AJ$110,0,MATCH(Y$2,Inputs!$K$4:$AJ$4,0))))=0,NA(),SUMPRODUCT((Inputs!$A$5:$A$110=$B8)*Inputs!$B$5:$B$110*(((Inputs!$G$5:$G$110="moeda")+(Inputs!$G$5:$G$110="acoes"))*Inputs!$B$1+((Inputs!$G$5:$G$110&lt;&gt;"moeda")*(Inputs!$G$5:$G$110&lt;&gt;"acoes")))*INDEX(Inputs!$K$5:$AJ$110,0,MATCH(Y$2,Inputs!$K$4:$AJ$4,0)))+SUMPRODUCT((Inputs!$C$5:$C$110=$B8)*Inputs!$D$5:$D$110*(((Inputs!$G$5:$G$110="moeda")+(Inputs!$G$5:$G$110="acoes"))*Inputs!$B$1+((Inputs!$G$5:$G$110&lt;&gt;"moeda")*(Inputs!$G$5:$G$110&lt;&gt;"acoes")))*INDEX(Inputs!$K$5:$AJ$110,0,MATCH(Y$2,Inputs!$K$4:$AJ$4,0)))+SUMPRODUCT((Inputs!$E$5:$E$110=$B8)*Inputs!$F$5:$F$110*(((Inputs!$G$5:$G$110="moeda")+(Inputs!$G$5:$G$110="acoes"))*Inputs!$B$1+((Inputs!$G$5:$G$110&lt;&gt;"moeda")*(Inputs!$G$5:$G$110&lt;&gt;"acoes")))*INDEX(Inputs!$K$5:$AJ$110,0,MATCH(Y$2,Inputs!$K$4:$AJ$4,0)))))</f>
        <v>-274</v>
      </c>
      <c r="Z8" s="6">
        <f>IF(ISNA(MATCH(Z$2,Inputs!$K$4:$AJ$4,0)),NA(),IF(SUMPRODUCT((Inputs!$A$5:$A$110=$B8)*ISNUMBER(INDEX(Inputs!$K$5:$AJ$110,0,MATCH(Z$2,Inputs!$K$4:$AJ$4,0))))+SUMPRODUCT((Inputs!$C$5:$C$110=$B8)*ISNUMBER(INDEX(Inputs!$K$5:$AJ$110,0,MATCH(Z$2,Inputs!$K$4:$AJ$4,0))))+SUMPRODUCT((Inputs!$E$5:$E$110=$B8)*ISNUMBER(INDEX(Inputs!$K$5:$AJ$110,0,MATCH(Z$2,Inputs!$K$4:$AJ$4,0))))=0,NA(),SUMPRODUCT((Inputs!$A$5:$A$110=$B8)*Inputs!$B$5:$B$110*(((Inputs!$G$5:$G$110="moeda")+(Inputs!$G$5:$G$110="acoes"))*Inputs!$B$1+((Inputs!$G$5:$G$110&lt;&gt;"moeda")*(Inputs!$G$5:$G$110&lt;&gt;"acoes")))*INDEX(Inputs!$K$5:$AJ$110,0,MATCH(Z$2,Inputs!$K$4:$AJ$4,0)))+SUMPRODUCT((Inputs!$C$5:$C$110=$B8)*Inputs!$D$5:$D$110*(((Inputs!$G$5:$G$110="moeda")+(Inputs!$G$5:$G$110="acoes"))*Inputs!$B$1+((Inputs!$G$5:$G$110&lt;&gt;"moeda")*(Inputs!$G$5:$G$110&lt;&gt;"acoes")))*INDEX(Inputs!$K$5:$AJ$110,0,MATCH(Z$2,Inputs!$K$4:$AJ$4,0)))+SUMPRODUCT((Inputs!$E$5:$E$110=$B8)*Inputs!$F$5:$F$110*(((Inputs!$G$5:$G$110="moeda")+(Inputs!$G$5:$G$110="acoes"))*Inputs!$B$1+((Inputs!$G$5:$G$110&lt;&gt;"moeda")*(Inputs!$G$5:$G$110&lt;&gt;"acoes")))*INDEX(Inputs!$K$5:$AJ$110,0,MATCH(Z$2,Inputs!$K$4:$AJ$4,0)))))</f>
        <v>-286</v>
      </c>
      <c r="AA8" s="6">
        <f>IF(ISNA(MATCH(AA$2,Inputs!$K$4:$AJ$4,0)),NA(),IF(SUMPRODUCT((Inputs!$A$5:$A$110=$B8)*ISNUMBER(INDEX(Inputs!$K$5:$AJ$110,0,MATCH(AA$2,Inputs!$K$4:$AJ$4,0))))+SUMPRODUCT((Inputs!$C$5:$C$110=$B8)*ISNUMBER(INDEX(Inputs!$K$5:$AJ$110,0,MATCH(AA$2,Inputs!$K$4:$AJ$4,0))))+SUMPRODUCT((Inputs!$E$5:$E$110=$B8)*ISNUMBER(INDEX(Inputs!$K$5:$AJ$110,0,MATCH(AA$2,Inputs!$K$4:$AJ$4,0))))=0,NA(),SUMPRODUCT((Inputs!$A$5:$A$110=$B8)*Inputs!$B$5:$B$110*(((Inputs!$G$5:$G$110="moeda")+(Inputs!$G$5:$G$110="acoes"))*Inputs!$B$1+((Inputs!$G$5:$G$110&lt;&gt;"moeda")*(Inputs!$G$5:$G$110&lt;&gt;"acoes")))*INDEX(Inputs!$K$5:$AJ$110,0,MATCH(AA$2,Inputs!$K$4:$AJ$4,0)))+SUMPRODUCT((Inputs!$C$5:$C$110=$B8)*Inputs!$D$5:$D$110*(((Inputs!$G$5:$G$110="moeda")+(Inputs!$G$5:$G$110="acoes"))*Inputs!$B$1+((Inputs!$G$5:$G$110&lt;&gt;"moeda")*(Inputs!$G$5:$G$110&lt;&gt;"acoes")))*INDEX(Inputs!$K$5:$AJ$110,0,MATCH(AA$2,Inputs!$K$4:$AJ$4,0)))+SUMPRODUCT((Inputs!$E$5:$E$110=$B8)*Inputs!$F$5:$F$110*(((Inputs!$G$5:$G$110="moeda")+(Inputs!$G$5:$G$110="acoes"))*Inputs!$B$1+((Inputs!$G$5:$G$110&lt;&gt;"moeda")*(Inputs!$G$5:$G$110&lt;&gt;"acoes")))*INDEX(Inputs!$K$5:$AJ$110,0,MATCH(AA$2,Inputs!$K$4:$AJ$4,0)))))</f>
        <v>-290</v>
      </c>
      <c r="AB8" s="3">
        <f>SUM(X8:AA8)</f>
        <v>-1118</v>
      </c>
      <c r="AC8" s="6">
        <f>IF(ISNA(MATCH(AC$2,Inputs!$K$4:$AJ$4,0)),NA(),IF(SUMPRODUCT((Inputs!$A$5:$A$110=$B8)*ISNUMBER(INDEX(Inputs!$K$5:$AJ$110,0,MATCH(AC$2,Inputs!$K$4:$AJ$4,0))))+SUMPRODUCT((Inputs!$C$5:$C$110=$B8)*ISNUMBER(INDEX(Inputs!$K$5:$AJ$110,0,MATCH(AC$2,Inputs!$K$4:$AJ$4,0))))+SUMPRODUCT((Inputs!$E$5:$E$110=$B8)*ISNUMBER(INDEX(Inputs!$K$5:$AJ$110,0,MATCH(AC$2,Inputs!$K$4:$AJ$4,0))))=0,NA(),SUMPRODUCT((Inputs!$A$5:$A$110=$B8)*Inputs!$B$5:$B$110*(((Inputs!$G$5:$G$110="moeda")+(Inputs!$G$5:$G$110="acoes"))*Inputs!$B$1+((Inputs!$G$5:$G$110&lt;&gt;"moeda")*(Inputs!$G$5:$G$110&lt;&gt;"acoes")))*INDEX(Inputs!$K$5:$AJ$110,0,MATCH(AC$2,Inputs!$K$4:$AJ$4,0)))+SUMPRODUCT((Inputs!$C$5:$C$110=$B8)*Inputs!$D$5:$D$110*(((Inputs!$G$5:$G$110="moeda")+(Inputs!$G$5:$G$110="acoes"))*Inputs!$B$1+((Inputs!$G$5:$G$110&lt;&gt;"moeda")*(Inputs!$G$5:$G$110&lt;&gt;"acoes")))*INDEX(Inputs!$K$5:$AJ$110,0,MATCH(AC$2,Inputs!$K$4:$AJ$4,0)))+SUMPRODUCT((Inputs!$E$5:$E$110=$B8)*Inputs!$F$5:$F$110*(((Inputs!$G$5:$G$110="moeda")+(Inputs!$G$5:$G$110="acoes"))*Inputs!$B$1+((Inputs!$G$5:$G$110&lt;&gt;"moeda")*(Inputs!$G$5:$G$110&lt;&gt;"acoes")))*INDEX(Inputs!$K$5:$AJ$110,0,MATCH(AC$2,Inputs!$K$4:$AJ$4,0)))))</f>
        <v>-269</v>
      </c>
      <c r="AD8" s="6">
        <f>IF(ISNA(MATCH(AD$2,Inputs!$K$4:$AJ$4,0)),NA(),IF(SUMPRODUCT((Inputs!$A$5:$A$110=$B8)*ISNUMBER(INDEX(Inputs!$K$5:$AJ$110,0,MATCH(AD$2,Inputs!$K$4:$AJ$4,0))))+SUMPRODUCT((Inputs!$C$5:$C$110=$B8)*ISNUMBER(INDEX(Inputs!$K$5:$AJ$110,0,MATCH(AD$2,Inputs!$K$4:$AJ$4,0))))+SUMPRODUCT((Inputs!$E$5:$E$110=$B8)*ISNUMBER(INDEX(Inputs!$K$5:$AJ$110,0,MATCH(AD$2,Inputs!$K$4:$AJ$4,0))))=0,NA(),SUMPRODUCT((Inputs!$A$5:$A$110=$B8)*Inputs!$B$5:$B$110*(((Inputs!$G$5:$G$110="moeda")+(Inputs!$G$5:$G$110="acoes"))*Inputs!$B$1+((Inputs!$G$5:$G$110&lt;&gt;"moeda")*(Inputs!$G$5:$G$110&lt;&gt;"acoes")))*INDEX(Inputs!$K$5:$AJ$110,0,MATCH(AD$2,Inputs!$K$4:$AJ$4,0)))+SUMPRODUCT((Inputs!$C$5:$C$110=$B8)*Inputs!$D$5:$D$110*(((Inputs!$G$5:$G$110="moeda")+(Inputs!$G$5:$G$110="acoes"))*Inputs!$B$1+((Inputs!$G$5:$G$110&lt;&gt;"moeda")*(Inputs!$G$5:$G$110&lt;&gt;"acoes")))*INDEX(Inputs!$K$5:$AJ$110,0,MATCH(AD$2,Inputs!$K$4:$AJ$4,0)))+SUMPRODUCT((Inputs!$E$5:$E$110=$B8)*Inputs!$F$5:$F$110*(((Inputs!$G$5:$G$110="moeda")+(Inputs!$G$5:$G$110="acoes"))*Inputs!$B$1+((Inputs!$G$5:$G$110&lt;&gt;"moeda")*(Inputs!$G$5:$G$110&lt;&gt;"acoes")))*INDEX(Inputs!$K$5:$AJ$110,0,MATCH(AD$2,Inputs!$K$4:$AJ$4,0)))))</f>
        <v>-266</v>
      </c>
      <c r="AE8" s="6" t="e">
        <f>IF(ISNA(MATCH(AE$2,Inputs!$K$4:$AJ$4,0)),NA(),IF(SUMPRODUCT((Inputs!$A$5:$A$110=$B8)*ISNUMBER(INDEX(Inputs!$K$5:$AJ$110,0,MATCH(AE$2,Inputs!$K$4:$AJ$4,0))))+SUMPRODUCT((Inputs!$C$5:$C$110=$B8)*ISNUMBER(INDEX(Inputs!$K$5:$AJ$110,0,MATCH(AE$2,Inputs!$K$4:$AJ$4,0))))+SUMPRODUCT((Inputs!$E$5:$E$110=$B8)*ISNUMBER(INDEX(Inputs!$K$5:$AJ$110,0,MATCH(AE$2,Inputs!$K$4:$AJ$4,0))))=0,NA(),SUMPRODUCT((Inputs!$A$5:$A$110=$B8)*Inputs!$B$5:$B$110*(((Inputs!$G$5:$G$110="moeda")+(Inputs!$G$5:$G$110="acoes"))*Inputs!$B$1+((Inputs!$G$5:$G$110&lt;&gt;"moeda")*(Inputs!$G$5:$G$110&lt;&gt;"acoes")))*INDEX(Inputs!$K$5:$AJ$110,0,MATCH(AE$2,Inputs!$K$4:$AJ$4,0)))+SUMPRODUCT((Inputs!$C$5:$C$110=$B8)*Inputs!$D$5:$D$110*(((Inputs!$G$5:$G$110="moeda")+(Inputs!$G$5:$G$110="acoes"))*Inputs!$B$1+((Inputs!$G$5:$G$110&lt;&gt;"moeda")*(Inputs!$G$5:$G$110&lt;&gt;"acoes")))*INDEX(Inputs!$K$5:$AJ$110,0,MATCH(AE$2,Inputs!$K$4:$AJ$4,0)))+SUMPRODUCT((Inputs!$E$5:$E$110=$B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8" s="6" t="e">
        <f>IF(ISNA(MATCH(AF$2,Inputs!$K$4:$AJ$4,0)),NA(),IF(SUMPRODUCT((Inputs!$A$5:$A$110=$B8)*ISNUMBER(INDEX(Inputs!$K$5:$AJ$110,0,MATCH(AF$2,Inputs!$K$4:$AJ$4,0))))+SUMPRODUCT((Inputs!$C$5:$C$110=$B8)*ISNUMBER(INDEX(Inputs!$K$5:$AJ$110,0,MATCH(AF$2,Inputs!$K$4:$AJ$4,0))))+SUMPRODUCT((Inputs!$E$5:$E$110=$B8)*ISNUMBER(INDEX(Inputs!$K$5:$AJ$110,0,MATCH(AF$2,Inputs!$K$4:$AJ$4,0))))=0,NA(),SUMPRODUCT((Inputs!$A$5:$A$110=$B8)*Inputs!$B$5:$B$110*(((Inputs!$G$5:$G$110="moeda")+(Inputs!$G$5:$G$110="acoes"))*Inputs!$B$1+((Inputs!$G$5:$G$110&lt;&gt;"moeda")*(Inputs!$G$5:$G$110&lt;&gt;"acoes")))*INDEX(Inputs!$K$5:$AJ$110,0,MATCH(AF$2,Inputs!$K$4:$AJ$4,0)))+SUMPRODUCT((Inputs!$C$5:$C$110=$B8)*Inputs!$D$5:$D$110*(((Inputs!$G$5:$G$110="moeda")+(Inputs!$G$5:$G$110="acoes"))*Inputs!$B$1+((Inputs!$G$5:$G$110&lt;&gt;"moeda")*(Inputs!$G$5:$G$110&lt;&gt;"acoes")))*INDEX(Inputs!$K$5:$AJ$110,0,MATCH(AF$2,Inputs!$K$4:$AJ$4,0)))+SUMPRODUCT((Inputs!$E$5:$E$110=$B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8" s="3" t="e">
        <f>SUM(AC8:AF8)</f>
        <v>#N/A</v>
      </c>
      <c r="AH8" s="6">
        <f>IF(ISNA(MATCH(AH$2,Inputs!$K$4:$AJ$4,0)),NA(),IF(SUMPRODUCT((Inputs!$A$5:$A$110=$B8)*ISNUMBER(INDEX(Inputs!$K$5:$AJ$110,0,MATCH(AH$2,Inputs!$K$4:$AJ$4,0))))+SUMPRODUCT((Inputs!$C$5:$C$110=$B8)*ISNUMBER(INDEX(Inputs!$K$5:$AJ$110,0,MATCH(AH$2,Inputs!$K$4:$AJ$4,0))))+SUMPRODUCT((Inputs!$E$5:$E$110=$B8)*ISNUMBER(INDEX(Inputs!$K$5:$AJ$110,0,MATCH(AH$2,Inputs!$K$4:$AJ$4,0))))=0,NA(),SUMPRODUCT((Inputs!$A$5:$A$110=$B8)*Inputs!$B$5:$B$110*(((Inputs!$G$5:$G$110="moeda")+(Inputs!$G$5:$G$110="acoes"))*Inputs!$B$1+((Inputs!$G$5:$G$110&lt;&gt;"moeda")*(Inputs!$G$5:$G$110&lt;&gt;"acoes")))*INDEX(Inputs!$K$5:$AJ$110,0,MATCH(AH$2,Inputs!$K$4:$AJ$4,0)))+SUMPRODUCT((Inputs!$C$5:$C$110=$B8)*Inputs!$D$5:$D$110*(((Inputs!$G$5:$G$110="moeda")+(Inputs!$G$5:$G$110="acoes"))*Inputs!$B$1+((Inputs!$G$5:$G$110&lt;&gt;"moeda")*(Inputs!$G$5:$G$110&lt;&gt;"acoes")))*INDEX(Inputs!$K$5:$AJ$110,0,MATCH(AH$2,Inputs!$K$4:$AJ$4,0)))+SUMPRODUCT((Inputs!$E$5:$E$110=$B8)*Inputs!$F$5:$F$110*(((Inputs!$G$5:$G$110="moeda")+(Inputs!$G$5:$G$110="acoes"))*Inputs!$B$1+((Inputs!$G$5:$G$110&lt;&gt;"moeda")*(Inputs!$G$5:$G$110&lt;&gt;"acoes")))*INDEX(Inputs!$K$5:$AJ$110,0,MATCH(AH$2,Inputs!$K$4:$AJ$4,0)))))</f>
        <v>-148</v>
      </c>
      <c r="AI8" s="6">
        <f>IF(ISNA(MATCH(AI$2,Inputs!$K$4:$AJ$4,0)),NA(),IF(SUMPRODUCT((Inputs!$A$5:$A$110=$B8)*ISNUMBER(INDEX(Inputs!$K$5:$AJ$110,0,MATCH(AI$2,Inputs!$K$4:$AJ$4,0))))+SUMPRODUCT((Inputs!$C$5:$C$110=$B8)*ISNUMBER(INDEX(Inputs!$K$5:$AJ$110,0,MATCH(AI$2,Inputs!$K$4:$AJ$4,0))))+SUMPRODUCT((Inputs!$E$5:$E$110=$B8)*ISNUMBER(INDEX(Inputs!$K$5:$AJ$110,0,MATCH(AI$2,Inputs!$K$4:$AJ$4,0))))=0,NA(),SUMPRODUCT((Inputs!$A$5:$A$110=$B8)*Inputs!$B$5:$B$110*(((Inputs!$G$5:$G$110="moeda")+(Inputs!$G$5:$G$110="acoes"))*Inputs!$B$1+((Inputs!$G$5:$G$110&lt;&gt;"moeda")*(Inputs!$G$5:$G$110&lt;&gt;"acoes")))*INDEX(Inputs!$K$5:$AJ$110,0,MATCH(AI$2,Inputs!$K$4:$AJ$4,0)))+SUMPRODUCT((Inputs!$C$5:$C$110=$B8)*Inputs!$D$5:$D$110*(((Inputs!$G$5:$G$110="moeda")+(Inputs!$G$5:$G$110="acoes"))*Inputs!$B$1+((Inputs!$G$5:$G$110&lt;&gt;"moeda")*(Inputs!$G$5:$G$110&lt;&gt;"acoes")))*INDEX(Inputs!$K$5:$AJ$110,0,MATCH(AI$2,Inputs!$K$4:$AJ$4,0)))+SUMPRODUCT((Inputs!$E$5:$E$110=$B8)*Inputs!$F$5:$F$110*(((Inputs!$G$5:$G$110="moeda")+(Inputs!$G$5:$G$110="acoes"))*Inputs!$B$1+((Inputs!$G$5:$G$110&lt;&gt;"moeda")*(Inputs!$G$5:$G$110&lt;&gt;"acoes")))*INDEX(Inputs!$K$5:$AJ$110,0,MATCH(AI$2,Inputs!$K$4:$AJ$4,0)))))</f>
        <v>-149</v>
      </c>
      <c r="AJ8" s="6">
        <f>IF(ISNA(MATCH(AJ$2,Inputs!$K$4:$AJ$4,0)),NA(),IF(SUMPRODUCT((Inputs!$A$5:$A$110=$B8)*ISNUMBER(INDEX(Inputs!$K$5:$AJ$110,0,MATCH(AJ$2,Inputs!$K$4:$AJ$4,0))))+SUMPRODUCT((Inputs!$C$5:$C$110=$B8)*ISNUMBER(INDEX(Inputs!$K$5:$AJ$110,0,MATCH(AJ$2,Inputs!$K$4:$AJ$4,0))))+SUMPRODUCT((Inputs!$E$5:$E$110=$B8)*ISNUMBER(INDEX(Inputs!$K$5:$AJ$110,0,MATCH(AJ$2,Inputs!$K$4:$AJ$4,0))))=0,NA(),SUMPRODUCT((Inputs!$A$5:$A$110=$B8)*Inputs!$B$5:$B$110*(((Inputs!$G$5:$G$110="moeda")+(Inputs!$G$5:$G$110="acoes"))*Inputs!$B$1+((Inputs!$G$5:$G$110&lt;&gt;"moeda")*(Inputs!$G$5:$G$110&lt;&gt;"acoes")))*INDEX(Inputs!$K$5:$AJ$110,0,MATCH(AJ$2,Inputs!$K$4:$AJ$4,0)))+SUMPRODUCT((Inputs!$C$5:$C$110=$B8)*Inputs!$D$5:$D$110*(((Inputs!$G$5:$G$110="moeda")+(Inputs!$G$5:$G$110="acoes"))*Inputs!$B$1+((Inputs!$G$5:$G$110&lt;&gt;"moeda")*(Inputs!$G$5:$G$110&lt;&gt;"acoes")))*INDEX(Inputs!$K$5:$AJ$110,0,MATCH(AJ$2,Inputs!$K$4:$AJ$4,0)))+SUMPRODUCT((Inputs!$E$5:$E$110=$B8)*Inputs!$F$5:$F$110*(((Inputs!$G$5:$G$110="moeda")+(Inputs!$G$5:$G$110="acoes"))*Inputs!$B$1+((Inputs!$G$5:$G$110&lt;&gt;"moeda")*(Inputs!$G$5:$G$110&lt;&gt;"acoes")))*INDEX(Inputs!$K$5:$AJ$110,0,MATCH(AJ$2,Inputs!$K$4:$AJ$4,0)))))</f>
        <v>-145</v>
      </c>
      <c r="AK8" s="6">
        <f>IF(ISNA(MATCH(AK$2,Inputs!$K$4:$AJ$4,0)),NA(),IF(SUMPRODUCT((Inputs!$A$5:$A$110=$B8)*ISNUMBER(INDEX(Inputs!$K$5:$AJ$110,0,MATCH(AK$2,Inputs!$K$4:$AJ$4,0))))+SUMPRODUCT((Inputs!$C$5:$C$110=$B8)*ISNUMBER(INDEX(Inputs!$K$5:$AJ$110,0,MATCH(AK$2,Inputs!$K$4:$AJ$4,0))))+SUMPRODUCT((Inputs!$E$5:$E$110=$B8)*ISNUMBER(INDEX(Inputs!$K$5:$AJ$110,0,MATCH(AK$2,Inputs!$K$4:$AJ$4,0))))=0,NA(),SUMPRODUCT((Inputs!$A$5:$A$110=$B8)*Inputs!$B$5:$B$110*(((Inputs!$G$5:$G$110="moeda")+(Inputs!$G$5:$G$110="acoes"))*Inputs!$B$1+((Inputs!$G$5:$G$110&lt;&gt;"moeda")*(Inputs!$G$5:$G$110&lt;&gt;"acoes")))*INDEX(Inputs!$K$5:$AJ$110,0,MATCH(AK$2,Inputs!$K$4:$AJ$4,0)))+SUMPRODUCT((Inputs!$C$5:$C$110=$B8)*Inputs!$D$5:$D$110*(((Inputs!$G$5:$G$110="moeda")+(Inputs!$G$5:$G$110="acoes"))*Inputs!$B$1+((Inputs!$G$5:$G$110&lt;&gt;"moeda")*(Inputs!$G$5:$G$110&lt;&gt;"acoes")))*INDEX(Inputs!$K$5:$AJ$110,0,MATCH(AK$2,Inputs!$K$4:$AJ$4,0)))+SUMPRODUCT((Inputs!$E$5:$E$110=$B8)*Inputs!$F$5:$F$110*(((Inputs!$G$5:$G$110="moeda")+(Inputs!$G$5:$G$110="acoes"))*Inputs!$B$1+((Inputs!$G$5:$G$110&lt;&gt;"moeda")*(Inputs!$G$5:$G$110&lt;&gt;"acoes")))*INDEX(Inputs!$K$5:$AJ$110,0,MATCH(AK$2,Inputs!$K$4:$AJ$4,0)))))</f>
        <v>-149</v>
      </c>
      <c r="AL8" s="3">
        <f>SUM(AH8:AK8)</f>
        <v>-591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$110=$B9)*ISNUMBER(INDEX(Inputs!$K$5:$AJ$110,0,MATCH(D$2,Inputs!$K$4:$AJ$4,0))))+SUMPRODUCT((Inputs!$C$5:$C$110=$B9)*ISNUMBER(INDEX(Inputs!$K$5:$AJ$110,0,MATCH(D$2,Inputs!$K$4:$AJ$4,0))))+SUMPRODUCT((Inputs!$E$5:$E$110=$B9)*ISNUMBER(INDEX(Inputs!$K$5:$AJ$110,0,MATCH(D$2,Inputs!$K$4:$AJ$4,0))))=0,NA(),SUMPRODUCT((Inputs!$A$5:$A$110=$B9)*Inputs!$B$5:$B$110*(((Inputs!$G$5:$G$110="moeda")+(Inputs!$G$5:$G$110="acoes"))*Inputs!$B$1+((Inputs!$G$5:$G$110&lt;&gt;"moeda")*(Inputs!$G$5:$G$110&lt;&gt;"acoes")))*INDEX(Inputs!$K$5:$AJ$110,0,MATCH(D$2,Inputs!$K$4:$AJ$4,0)))+SUMPRODUCT((Inputs!$C$5:$C$110=$B9)*Inputs!$D$5:$D$110*(((Inputs!$G$5:$G$110="moeda")+(Inputs!$G$5:$G$110="acoes"))*Inputs!$B$1+((Inputs!$G$5:$G$110&lt;&gt;"moeda")*(Inputs!$G$5:$G$110&lt;&gt;"acoes")))*INDEX(Inputs!$K$5:$AJ$110,0,MATCH(D$2,Inputs!$K$4:$AJ$4,0)))+SUMPRODUCT((Inputs!$E$5:$E$110=$B9)*Inputs!$F$5:$F$110*(((Inputs!$G$5:$G$110="moeda")+(Inputs!$G$5:$G$110="acoes"))*Inputs!$B$1+((Inputs!$G$5:$G$110&lt;&gt;"moeda")*(Inputs!$G$5:$G$110&lt;&gt;"acoes")))*INDEX(Inputs!$K$5:$AJ$110,0,MATCH(D$2,Inputs!$K$4:$AJ$4,0)))))</f>
        <v>169</v>
      </c>
      <c r="E9" s="6">
        <f>IF(ISNA(MATCH(E$2,Inputs!$K$4:$AJ$4,0)),NA(),IF(SUMPRODUCT((Inputs!$A$5:$A$110=$B9)*ISNUMBER(INDEX(Inputs!$K$5:$AJ$110,0,MATCH(E$2,Inputs!$K$4:$AJ$4,0))))+SUMPRODUCT((Inputs!$C$5:$C$110=$B9)*ISNUMBER(INDEX(Inputs!$K$5:$AJ$110,0,MATCH(E$2,Inputs!$K$4:$AJ$4,0))))+SUMPRODUCT((Inputs!$E$5:$E$110=$B9)*ISNUMBER(INDEX(Inputs!$K$5:$AJ$110,0,MATCH(E$2,Inputs!$K$4:$AJ$4,0))))=0,NA(),SUMPRODUCT((Inputs!$A$5:$A$110=$B9)*Inputs!$B$5:$B$110*(((Inputs!$G$5:$G$110="moeda")+(Inputs!$G$5:$G$110="acoes"))*Inputs!$B$1+((Inputs!$G$5:$G$110&lt;&gt;"moeda")*(Inputs!$G$5:$G$110&lt;&gt;"acoes")))*INDEX(Inputs!$K$5:$AJ$110,0,MATCH(E$2,Inputs!$K$4:$AJ$4,0)))+SUMPRODUCT((Inputs!$C$5:$C$110=$B9)*Inputs!$D$5:$D$110*(((Inputs!$G$5:$G$110="moeda")+(Inputs!$G$5:$G$110="acoes"))*Inputs!$B$1+((Inputs!$G$5:$G$110&lt;&gt;"moeda")*(Inputs!$G$5:$G$110&lt;&gt;"acoes")))*INDEX(Inputs!$K$5:$AJ$110,0,MATCH(E$2,Inputs!$K$4:$AJ$4,0)))+SUMPRODUCT((Inputs!$E$5:$E$110=$B9)*Inputs!$F$5:$F$110*(((Inputs!$G$5:$G$110="moeda")+(Inputs!$G$5:$G$110="acoes"))*Inputs!$B$1+((Inputs!$G$5:$G$110&lt;&gt;"moeda")*(Inputs!$G$5:$G$110&lt;&gt;"acoes")))*INDEX(Inputs!$K$5:$AJ$110,0,MATCH(E$2,Inputs!$K$4:$AJ$4,0)))))</f>
        <v>120</v>
      </c>
      <c r="F9" s="6">
        <f>IF(ISNA(MATCH(F$2,Inputs!$K$4:$AJ$4,0)),NA(),IF(SUMPRODUCT((Inputs!$A$5:$A$110=$B9)*ISNUMBER(INDEX(Inputs!$K$5:$AJ$110,0,MATCH(F$2,Inputs!$K$4:$AJ$4,0))))+SUMPRODUCT((Inputs!$C$5:$C$110=$B9)*ISNUMBER(INDEX(Inputs!$K$5:$AJ$110,0,MATCH(F$2,Inputs!$K$4:$AJ$4,0))))+SUMPRODUCT((Inputs!$E$5:$E$110=$B9)*ISNUMBER(INDEX(Inputs!$K$5:$AJ$110,0,MATCH(F$2,Inputs!$K$4:$AJ$4,0))))=0,NA(),SUMPRODUCT((Inputs!$A$5:$A$110=$B9)*Inputs!$B$5:$B$110*(((Inputs!$G$5:$G$110="moeda")+(Inputs!$G$5:$G$110="acoes"))*Inputs!$B$1+((Inputs!$G$5:$G$110&lt;&gt;"moeda")*(Inputs!$G$5:$G$110&lt;&gt;"acoes")))*INDEX(Inputs!$K$5:$AJ$110,0,MATCH(F$2,Inputs!$K$4:$AJ$4,0)))+SUMPRODUCT((Inputs!$C$5:$C$110=$B9)*Inputs!$D$5:$D$110*(((Inputs!$G$5:$G$110="moeda")+(Inputs!$G$5:$G$110="acoes"))*Inputs!$B$1+((Inputs!$G$5:$G$110&lt;&gt;"moeda")*(Inputs!$G$5:$G$110&lt;&gt;"acoes")))*INDEX(Inputs!$K$5:$AJ$110,0,MATCH(F$2,Inputs!$K$4:$AJ$4,0)))+SUMPRODUCT((Inputs!$E$5:$E$110=$B9)*Inputs!$F$5:$F$110*(((Inputs!$G$5:$G$110="moeda")+(Inputs!$G$5:$G$110="acoes"))*Inputs!$B$1+((Inputs!$G$5:$G$110&lt;&gt;"moeda")*(Inputs!$G$5:$G$110&lt;&gt;"acoes")))*INDEX(Inputs!$K$5:$AJ$110,0,MATCH(F$2,Inputs!$K$4:$AJ$4,0)))))</f>
        <v>-1474</v>
      </c>
      <c r="G9" s="6">
        <f>IF(ISNA(MATCH(G$2,Inputs!$K$4:$AJ$4,0)),NA(),IF(SUMPRODUCT((Inputs!$A$5:$A$110=$B9)*ISNUMBER(INDEX(Inputs!$K$5:$AJ$110,0,MATCH(G$2,Inputs!$K$4:$AJ$4,0))))+SUMPRODUCT((Inputs!$C$5:$C$110=$B9)*ISNUMBER(INDEX(Inputs!$K$5:$AJ$110,0,MATCH(G$2,Inputs!$K$4:$AJ$4,0))))+SUMPRODUCT((Inputs!$E$5:$E$110=$B9)*ISNUMBER(INDEX(Inputs!$K$5:$AJ$110,0,MATCH(G$2,Inputs!$K$4:$AJ$4,0))))=0,NA(),SUMPRODUCT((Inputs!$A$5:$A$110=$B9)*Inputs!$B$5:$B$110*(((Inputs!$G$5:$G$110="moeda")+(Inputs!$G$5:$G$110="acoes"))*Inputs!$B$1+((Inputs!$G$5:$G$110&lt;&gt;"moeda")*(Inputs!$G$5:$G$110&lt;&gt;"acoes")))*INDEX(Inputs!$K$5:$AJ$110,0,MATCH(G$2,Inputs!$K$4:$AJ$4,0)))+SUMPRODUCT((Inputs!$C$5:$C$110=$B9)*Inputs!$D$5:$D$110*(((Inputs!$G$5:$G$110="moeda")+(Inputs!$G$5:$G$110="acoes"))*Inputs!$B$1+((Inputs!$G$5:$G$110&lt;&gt;"moeda")*(Inputs!$G$5:$G$110&lt;&gt;"acoes")))*INDEX(Inputs!$K$5:$AJ$110,0,MATCH(G$2,Inputs!$K$4:$AJ$4,0)))+SUMPRODUCT((Inputs!$E$5:$E$110=$B9)*Inputs!$F$5:$F$110*(((Inputs!$G$5:$G$110="moeda")+(Inputs!$G$5:$G$110="acoes"))*Inputs!$B$1+((Inputs!$G$5:$G$110&lt;&gt;"moeda")*(Inputs!$G$5:$G$110&lt;&gt;"acoes")))*INDEX(Inputs!$K$5:$AJ$110,0,MATCH(G$2,Inputs!$K$4:$AJ$4,0)))))</f>
        <v>181</v>
      </c>
      <c r="H9" s="3">
        <f>SUM(D9:G9)</f>
        <v>-1004</v>
      </c>
      <c r="I9" s="6">
        <f>IF(ISNA(MATCH(I$2,Inputs!$K$4:$AJ$4,0)),NA(),IF(SUMPRODUCT((Inputs!$A$5:$A$110=$B9)*ISNUMBER(INDEX(Inputs!$K$5:$AJ$110,0,MATCH(I$2,Inputs!$K$4:$AJ$4,0))))+SUMPRODUCT((Inputs!$C$5:$C$110=$B9)*ISNUMBER(INDEX(Inputs!$K$5:$AJ$110,0,MATCH(I$2,Inputs!$K$4:$AJ$4,0))))+SUMPRODUCT((Inputs!$E$5:$E$110=$B9)*ISNUMBER(INDEX(Inputs!$K$5:$AJ$110,0,MATCH(I$2,Inputs!$K$4:$AJ$4,0))))=0,NA(),SUMPRODUCT((Inputs!$A$5:$A$110=$B9)*Inputs!$B$5:$B$110*(((Inputs!$G$5:$G$110="moeda")+(Inputs!$G$5:$G$110="acoes"))*Inputs!$B$1+((Inputs!$G$5:$G$110&lt;&gt;"moeda")*(Inputs!$G$5:$G$110&lt;&gt;"acoes")))*INDEX(Inputs!$K$5:$AJ$110,0,MATCH(I$2,Inputs!$K$4:$AJ$4,0)))+SUMPRODUCT((Inputs!$C$5:$C$110=$B9)*Inputs!$D$5:$D$110*(((Inputs!$G$5:$G$110="moeda")+(Inputs!$G$5:$G$110="acoes"))*Inputs!$B$1+((Inputs!$G$5:$G$110&lt;&gt;"moeda")*(Inputs!$G$5:$G$110&lt;&gt;"acoes")))*INDEX(Inputs!$K$5:$AJ$110,0,MATCH(I$2,Inputs!$K$4:$AJ$4,0)))+SUMPRODUCT((Inputs!$E$5:$E$110=$B9)*Inputs!$F$5:$F$110*(((Inputs!$G$5:$G$110="moeda")+(Inputs!$G$5:$G$110="acoes"))*Inputs!$B$1+((Inputs!$G$5:$G$110&lt;&gt;"moeda")*(Inputs!$G$5:$G$110&lt;&gt;"acoes")))*INDEX(Inputs!$K$5:$AJ$110,0,MATCH(I$2,Inputs!$K$4:$AJ$4,0)))))</f>
        <v>263</v>
      </c>
      <c r="J9" s="6">
        <f>IF(ISNA(MATCH(J$2,Inputs!$K$4:$AJ$4,0)),NA(),IF(SUMPRODUCT((Inputs!$A$5:$A$110=$B9)*ISNUMBER(INDEX(Inputs!$K$5:$AJ$110,0,MATCH(J$2,Inputs!$K$4:$AJ$4,0))))+SUMPRODUCT((Inputs!$C$5:$C$110=$B9)*ISNUMBER(INDEX(Inputs!$K$5:$AJ$110,0,MATCH(J$2,Inputs!$K$4:$AJ$4,0))))+SUMPRODUCT((Inputs!$E$5:$E$110=$B9)*ISNUMBER(INDEX(Inputs!$K$5:$AJ$110,0,MATCH(J$2,Inputs!$K$4:$AJ$4,0))))=0,NA(),SUMPRODUCT((Inputs!$A$5:$A$110=$B9)*Inputs!$B$5:$B$110*(((Inputs!$G$5:$G$110="moeda")+(Inputs!$G$5:$G$110="acoes"))*Inputs!$B$1+((Inputs!$G$5:$G$110&lt;&gt;"moeda")*(Inputs!$G$5:$G$110&lt;&gt;"acoes")))*INDEX(Inputs!$K$5:$AJ$110,0,MATCH(J$2,Inputs!$K$4:$AJ$4,0)))+SUMPRODUCT((Inputs!$C$5:$C$110=$B9)*Inputs!$D$5:$D$110*(((Inputs!$G$5:$G$110="moeda")+(Inputs!$G$5:$G$110="acoes"))*Inputs!$B$1+((Inputs!$G$5:$G$110&lt;&gt;"moeda")*(Inputs!$G$5:$G$110&lt;&gt;"acoes")))*INDEX(Inputs!$K$5:$AJ$110,0,MATCH(J$2,Inputs!$K$4:$AJ$4,0)))+SUMPRODUCT((Inputs!$E$5:$E$110=$B9)*Inputs!$F$5:$F$110*(((Inputs!$G$5:$G$110="moeda")+(Inputs!$G$5:$G$110="acoes"))*Inputs!$B$1+((Inputs!$G$5:$G$110&lt;&gt;"moeda")*(Inputs!$G$5:$G$110&lt;&gt;"acoes")))*INDEX(Inputs!$K$5:$AJ$110,0,MATCH(J$2,Inputs!$K$4:$AJ$4,0)))))</f>
        <v>-1492</v>
      </c>
      <c r="K9" s="6">
        <f>IF(ISNA(MATCH(K$2,Inputs!$K$4:$AJ$4,0)),NA(),IF(SUMPRODUCT((Inputs!$A$5:$A$110=$B9)*ISNUMBER(INDEX(Inputs!$K$5:$AJ$110,0,MATCH(K$2,Inputs!$K$4:$AJ$4,0))))+SUMPRODUCT((Inputs!$C$5:$C$110=$B9)*ISNUMBER(INDEX(Inputs!$K$5:$AJ$110,0,MATCH(K$2,Inputs!$K$4:$AJ$4,0))))+SUMPRODUCT((Inputs!$E$5:$E$110=$B9)*ISNUMBER(INDEX(Inputs!$K$5:$AJ$110,0,MATCH(K$2,Inputs!$K$4:$AJ$4,0))))=0,NA(),SUMPRODUCT((Inputs!$A$5:$A$110=$B9)*Inputs!$B$5:$B$110*(((Inputs!$G$5:$G$110="moeda")+(Inputs!$G$5:$G$110="acoes"))*Inputs!$B$1+((Inputs!$G$5:$G$110&lt;&gt;"moeda")*(Inputs!$G$5:$G$110&lt;&gt;"acoes")))*INDEX(Inputs!$K$5:$AJ$110,0,MATCH(K$2,Inputs!$K$4:$AJ$4,0)))+SUMPRODUCT((Inputs!$C$5:$C$110=$B9)*Inputs!$D$5:$D$110*(((Inputs!$G$5:$G$110="moeda")+(Inputs!$G$5:$G$110="acoes"))*Inputs!$B$1+((Inputs!$G$5:$G$110&lt;&gt;"moeda")*(Inputs!$G$5:$G$110&lt;&gt;"acoes")))*INDEX(Inputs!$K$5:$AJ$110,0,MATCH(K$2,Inputs!$K$4:$AJ$4,0)))+SUMPRODUCT((Inputs!$E$5:$E$110=$B9)*Inputs!$F$5:$F$110*(((Inputs!$G$5:$G$110="moeda")+(Inputs!$G$5:$G$110="acoes"))*Inputs!$B$1+((Inputs!$G$5:$G$110&lt;&gt;"moeda")*(Inputs!$G$5:$G$110&lt;&gt;"acoes")))*INDEX(Inputs!$K$5:$AJ$110,0,MATCH(K$2,Inputs!$K$4:$AJ$4,0)))))</f>
        <v>85</v>
      </c>
      <c r="L9" s="6">
        <f>IF(ISNA(MATCH(L$2,Inputs!$K$4:$AJ$4,0)),NA(),IF(SUMPRODUCT((Inputs!$A$5:$A$110=$B9)*ISNUMBER(INDEX(Inputs!$K$5:$AJ$110,0,MATCH(L$2,Inputs!$K$4:$AJ$4,0))))+SUMPRODUCT((Inputs!$C$5:$C$110=$B9)*ISNUMBER(INDEX(Inputs!$K$5:$AJ$110,0,MATCH(L$2,Inputs!$K$4:$AJ$4,0))))+SUMPRODUCT((Inputs!$E$5:$E$110=$B9)*ISNUMBER(INDEX(Inputs!$K$5:$AJ$110,0,MATCH(L$2,Inputs!$K$4:$AJ$4,0))))=0,NA(),SUMPRODUCT((Inputs!$A$5:$A$110=$B9)*Inputs!$B$5:$B$110*(((Inputs!$G$5:$G$110="moeda")+(Inputs!$G$5:$G$110="acoes"))*Inputs!$B$1+((Inputs!$G$5:$G$110&lt;&gt;"moeda")*(Inputs!$G$5:$G$110&lt;&gt;"acoes")))*INDEX(Inputs!$K$5:$AJ$110,0,MATCH(L$2,Inputs!$K$4:$AJ$4,0)))+SUMPRODUCT((Inputs!$C$5:$C$110=$B9)*Inputs!$D$5:$D$110*(((Inputs!$G$5:$G$110="moeda")+(Inputs!$G$5:$G$110="acoes"))*Inputs!$B$1+((Inputs!$G$5:$G$110&lt;&gt;"moeda")*(Inputs!$G$5:$G$110&lt;&gt;"acoes")))*INDEX(Inputs!$K$5:$AJ$110,0,MATCH(L$2,Inputs!$K$4:$AJ$4,0)))+SUMPRODUCT((Inputs!$E$5:$E$110=$B9)*Inputs!$F$5:$F$110*(((Inputs!$G$5:$G$110="moeda")+(Inputs!$G$5:$G$110="acoes"))*Inputs!$B$1+((Inputs!$G$5:$G$110&lt;&gt;"moeda")*(Inputs!$G$5:$G$110&lt;&gt;"acoes")))*INDEX(Inputs!$K$5:$AJ$110,0,MATCH(L$2,Inputs!$K$4:$AJ$4,0)))))</f>
        <v>99</v>
      </c>
      <c r="M9" s="3">
        <f>SUM(I9:L9)</f>
        <v>-1045</v>
      </c>
      <c r="N9" s="6">
        <f>IF(ISNA(MATCH(N$2,Inputs!$K$4:$AJ$4,0)),NA(),IF(SUMPRODUCT((Inputs!$A$5:$A$110=$B9)*ISNUMBER(INDEX(Inputs!$K$5:$AJ$110,0,MATCH(N$2,Inputs!$K$4:$AJ$4,0))))+SUMPRODUCT((Inputs!$C$5:$C$110=$B9)*ISNUMBER(INDEX(Inputs!$K$5:$AJ$110,0,MATCH(N$2,Inputs!$K$4:$AJ$4,0))))+SUMPRODUCT((Inputs!$E$5:$E$110=$B9)*ISNUMBER(INDEX(Inputs!$K$5:$AJ$110,0,MATCH(N$2,Inputs!$K$4:$AJ$4,0))))=0,NA(),SUMPRODUCT((Inputs!$A$5:$A$110=$B9)*Inputs!$B$5:$B$110*(((Inputs!$G$5:$G$110="moeda")+(Inputs!$G$5:$G$110="acoes"))*Inputs!$B$1+((Inputs!$G$5:$G$110&lt;&gt;"moeda")*(Inputs!$G$5:$G$110&lt;&gt;"acoes")))*INDEX(Inputs!$K$5:$AJ$110,0,MATCH(N$2,Inputs!$K$4:$AJ$4,0)))+SUMPRODUCT((Inputs!$C$5:$C$110=$B9)*Inputs!$D$5:$D$110*(((Inputs!$G$5:$G$110="moeda")+(Inputs!$G$5:$G$110="acoes"))*Inputs!$B$1+((Inputs!$G$5:$G$110&lt;&gt;"moeda")*(Inputs!$G$5:$G$110&lt;&gt;"acoes")))*INDEX(Inputs!$K$5:$AJ$110,0,MATCH(N$2,Inputs!$K$4:$AJ$4,0)))+SUMPRODUCT((Inputs!$E$5:$E$110=$B9)*Inputs!$F$5:$F$110*(((Inputs!$G$5:$G$110="moeda")+(Inputs!$G$5:$G$110="acoes"))*Inputs!$B$1+((Inputs!$G$5:$G$110&lt;&gt;"moeda")*(Inputs!$G$5:$G$110&lt;&gt;"acoes")))*INDEX(Inputs!$K$5:$AJ$110,0,MATCH(N$2,Inputs!$K$4:$AJ$4,0)))))</f>
        <v>159</v>
      </c>
      <c r="O9" s="6">
        <f>IF(ISNA(MATCH(O$2,Inputs!$K$4:$AJ$4,0)),NA(),IF(SUMPRODUCT((Inputs!$A$5:$A$110=$B9)*ISNUMBER(INDEX(Inputs!$K$5:$AJ$110,0,MATCH(O$2,Inputs!$K$4:$AJ$4,0))))+SUMPRODUCT((Inputs!$C$5:$C$110=$B9)*ISNUMBER(INDEX(Inputs!$K$5:$AJ$110,0,MATCH(O$2,Inputs!$K$4:$AJ$4,0))))+SUMPRODUCT((Inputs!$E$5:$E$110=$B9)*ISNUMBER(INDEX(Inputs!$K$5:$AJ$110,0,MATCH(O$2,Inputs!$K$4:$AJ$4,0))))=0,NA(),SUMPRODUCT((Inputs!$A$5:$A$110=$B9)*Inputs!$B$5:$B$110*(((Inputs!$G$5:$G$110="moeda")+(Inputs!$G$5:$G$110="acoes"))*Inputs!$B$1+((Inputs!$G$5:$G$110&lt;&gt;"moeda")*(Inputs!$G$5:$G$110&lt;&gt;"acoes")))*INDEX(Inputs!$K$5:$AJ$110,0,MATCH(O$2,Inputs!$K$4:$AJ$4,0)))+SUMPRODUCT((Inputs!$C$5:$C$110=$B9)*Inputs!$D$5:$D$110*(((Inputs!$G$5:$G$110="moeda")+(Inputs!$G$5:$G$110="acoes"))*Inputs!$B$1+((Inputs!$G$5:$G$110&lt;&gt;"moeda")*(Inputs!$G$5:$G$110&lt;&gt;"acoes")))*INDEX(Inputs!$K$5:$AJ$110,0,MATCH(O$2,Inputs!$K$4:$AJ$4,0)))+SUMPRODUCT((Inputs!$E$5:$E$110=$B9)*Inputs!$F$5:$F$110*(((Inputs!$G$5:$G$110="moeda")+(Inputs!$G$5:$G$110="acoes"))*Inputs!$B$1+((Inputs!$G$5:$G$110&lt;&gt;"moeda")*(Inputs!$G$5:$G$110&lt;&gt;"acoes")))*INDEX(Inputs!$K$5:$AJ$110,0,MATCH(O$2,Inputs!$K$4:$AJ$4,0)))))</f>
        <v>94</v>
      </c>
      <c r="P9" s="6">
        <f>IF(ISNA(MATCH(P$2,Inputs!$K$4:$AJ$4,0)),NA(),IF(SUMPRODUCT((Inputs!$A$5:$A$110=$B9)*ISNUMBER(INDEX(Inputs!$K$5:$AJ$110,0,MATCH(P$2,Inputs!$K$4:$AJ$4,0))))+SUMPRODUCT((Inputs!$C$5:$C$110=$B9)*ISNUMBER(INDEX(Inputs!$K$5:$AJ$110,0,MATCH(P$2,Inputs!$K$4:$AJ$4,0))))+SUMPRODUCT((Inputs!$E$5:$E$110=$B9)*ISNUMBER(INDEX(Inputs!$K$5:$AJ$110,0,MATCH(P$2,Inputs!$K$4:$AJ$4,0))))=0,NA(),SUMPRODUCT((Inputs!$A$5:$A$110=$B9)*Inputs!$B$5:$B$110*(((Inputs!$G$5:$G$110="moeda")+(Inputs!$G$5:$G$110="acoes"))*Inputs!$B$1+((Inputs!$G$5:$G$110&lt;&gt;"moeda")*(Inputs!$G$5:$G$110&lt;&gt;"acoes")))*INDEX(Inputs!$K$5:$AJ$110,0,MATCH(P$2,Inputs!$K$4:$AJ$4,0)))+SUMPRODUCT((Inputs!$C$5:$C$110=$B9)*Inputs!$D$5:$D$110*(((Inputs!$G$5:$G$110="moeda")+(Inputs!$G$5:$G$110="acoes"))*Inputs!$B$1+((Inputs!$G$5:$G$110&lt;&gt;"moeda")*(Inputs!$G$5:$G$110&lt;&gt;"acoes")))*INDEX(Inputs!$K$5:$AJ$110,0,MATCH(P$2,Inputs!$K$4:$AJ$4,0)))+SUMPRODUCT((Inputs!$E$5:$E$110=$B9)*Inputs!$F$5:$F$110*(((Inputs!$G$5:$G$110="moeda")+(Inputs!$G$5:$G$110="acoes"))*Inputs!$B$1+((Inputs!$G$5:$G$110&lt;&gt;"moeda")*(Inputs!$G$5:$G$110&lt;&gt;"acoes")))*INDEX(Inputs!$K$5:$AJ$110,0,MATCH(P$2,Inputs!$K$4:$AJ$4,0)))))</f>
        <v>148</v>
      </c>
      <c r="Q9" s="6">
        <f>IF(ISNA(MATCH(Q$2,Inputs!$K$4:$AJ$4,0)),NA(),IF(SUMPRODUCT((Inputs!$A$5:$A$110=$B9)*ISNUMBER(INDEX(Inputs!$K$5:$AJ$110,0,MATCH(Q$2,Inputs!$K$4:$AJ$4,0))))+SUMPRODUCT((Inputs!$C$5:$C$110=$B9)*ISNUMBER(INDEX(Inputs!$K$5:$AJ$110,0,MATCH(Q$2,Inputs!$K$4:$AJ$4,0))))+SUMPRODUCT((Inputs!$E$5:$E$110=$B9)*ISNUMBER(INDEX(Inputs!$K$5:$AJ$110,0,MATCH(Q$2,Inputs!$K$4:$AJ$4,0))))=0,NA(),SUMPRODUCT((Inputs!$A$5:$A$110=$B9)*Inputs!$B$5:$B$110*(((Inputs!$G$5:$G$110="moeda")+(Inputs!$G$5:$G$110="acoes"))*Inputs!$B$1+((Inputs!$G$5:$G$110&lt;&gt;"moeda")*(Inputs!$G$5:$G$110&lt;&gt;"acoes")))*INDEX(Inputs!$K$5:$AJ$110,0,MATCH(Q$2,Inputs!$K$4:$AJ$4,0)))+SUMPRODUCT((Inputs!$C$5:$C$110=$B9)*Inputs!$D$5:$D$110*(((Inputs!$G$5:$G$110="moeda")+(Inputs!$G$5:$G$110="acoes"))*Inputs!$B$1+((Inputs!$G$5:$G$110&lt;&gt;"moeda")*(Inputs!$G$5:$G$110&lt;&gt;"acoes")))*INDEX(Inputs!$K$5:$AJ$110,0,MATCH(Q$2,Inputs!$K$4:$AJ$4,0)))+SUMPRODUCT((Inputs!$E$5:$E$110=$B9)*Inputs!$F$5:$F$110*(((Inputs!$G$5:$G$110="moeda")+(Inputs!$G$5:$G$110="acoes"))*Inputs!$B$1+((Inputs!$G$5:$G$110&lt;&gt;"moeda")*(Inputs!$G$5:$G$110&lt;&gt;"acoes")))*INDEX(Inputs!$K$5:$AJ$110,0,MATCH(Q$2,Inputs!$K$4:$AJ$4,0)))))</f>
        <v>106</v>
      </c>
      <c r="R9" s="3">
        <f>SUM(N9:Q9)</f>
        <v>507</v>
      </c>
      <c r="S9" s="6">
        <f>IF(ISNA(MATCH(S$2,Inputs!$K$4:$AJ$4,0)),NA(),IF(SUMPRODUCT((Inputs!$A$5:$A$110=$B9)*ISNUMBER(INDEX(Inputs!$K$5:$AJ$110,0,MATCH(S$2,Inputs!$K$4:$AJ$4,0))))+SUMPRODUCT((Inputs!$C$5:$C$110=$B9)*ISNUMBER(INDEX(Inputs!$K$5:$AJ$110,0,MATCH(S$2,Inputs!$K$4:$AJ$4,0))))+SUMPRODUCT((Inputs!$E$5:$E$110=$B9)*ISNUMBER(INDEX(Inputs!$K$5:$AJ$110,0,MATCH(S$2,Inputs!$K$4:$AJ$4,0))))=0,NA(),SUMPRODUCT((Inputs!$A$5:$A$110=$B9)*Inputs!$B$5:$B$110*(((Inputs!$G$5:$G$110="moeda")+(Inputs!$G$5:$G$110="acoes"))*Inputs!$B$1+((Inputs!$G$5:$G$110&lt;&gt;"moeda")*(Inputs!$G$5:$G$110&lt;&gt;"acoes")))*INDEX(Inputs!$K$5:$AJ$110,0,MATCH(S$2,Inputs!$K$4:$AJ$4,0)))+SUMPRODUCT((Inputs!$C$5:$C$110=$B9)*Inputs!$D$5:$D$110*(((Inputs!$G$5:$G$110="moeda")+(Inputs!$G$5:$G$110="acoes"))*Inputs!$B$1+((Inputs!$G$5:$G$110&lt;&gt;"moeda")*(Inputs!$G$5:$G$110&lt;&gt;"acoes")))*INDEX(Inputs!$K$5:$AJ$110,0,MATCH(S$2,Inputs!$K$4:$AJ$4,0)))+SUMPRODUCT((Inputs!$E$5:$E$110=$B9)*Inputs!$F$5:$F$110*(((Inputs!$G$5:$G$110="moeda")+(Inputs!$G$5:$G$110="acoes"))*Inputs!$B$1+((Inputs!$G$5:$G$110&lt;&gt;"moeda")*(Inputs!$G$5:$G$110&lt;&gt;"acoes")))*INDEX(Inputs!$K$5:$AJ$110,0,MATCH(S$2,Inputs!$K$4:$AJ$4,0)))))</f>
        <v>61</v>
      </c>
      <c r="T9" s="6">
        <f>IF(ISNA(MATCH(T$2,Inputs!$K$4:$AJ$4,0)),NA(),IF(SUMPRODUCT((Inputs!$A$5:$A$110=$B9)*ISNUMBER(INDEX(Inputs!$K$5:$AJ$110,0,MATCH(T$2,Inputs!$K$4:$AJ$4,0))))+SUMPRODUCT((Inputs!$C$5:$C$110=$B9)*ISNUMBER(INDEX(Inputs!$K$5:$AJ$110,0,MATCH(T$2,Inputs!$K$4:$AJ$4,0))))+SUMPRODUCT((Inputs!$E$5:$E$110=$B9)*ISNUMBER(INDEX(Inputs!$K$5:$AJ$110,0,MATCH(T$2,Inputs!$K$4:$AJ$4,0))))=0,NA(),SUMPRODUCT((Inputs!$A$5:$A$110=$B9)*Inputs!$B$5:$B$110*(((Inputs!$G$5:$G$110="moeda")+(Inputs!$G$5:$G$110="acoes"))*Inputs!$B$1+((Inputs!$G$5:$G$110&lt;&gt;"moeda")*(Inputs!$G$5:$G$110&lt;&gt;"acoes")))*INDEX(Inputs!$K$5:$AJ$110,0,MATCH(T$2,Inputs!$K$4:$AJ$4,0)))+SUMPRODUCT((Inputs!$C$5:$C$110=$B9)*Inputs!$D$5:$D$110*(((Inputs!$G$5:$G$110="moeda")+(Inputs!$G$5:$G$110="acoes"))*Inputs!$B$1+((Inputs!$G$5:$G$110&lt;&gt;"moeda")*(Inputs!$G$5:$G$110&lt;&gt;"acoes")))*INDEX(Inputs!$K$5:$AJ$110,0,MATCH(T$2,Inputs!$K$4:$AJ$4,0)))+SUMPRODUCT((Inputs!$E$5:$E$110=$B9)*Inputs!$F$5:$F$110*(((Inputs!$G$5:$G$110="moeda")+(Inputs!$G$5:$G$110="acoes"))*Inputs!$B$1+((Inputs!$G$5:$G$110&lt;&gt;"moeda")*(Inputs!$G$5:$G$110&lt;&gt;"acoes")))*INDEX(Inputs!$K$5:$AJ$110,0,MATCH(T$2,Inputs!$K$4:$AJ$4,0)))))</f>
        <v>61</v>
      </c>
      <c r="U9" s="6">
        <f>IF(ISNA(MATCH(U$2,Inputs!$K$4:$AJ$4,0)),NA(),IF(SUMPRODUCT((Inputs!$A$5:$A$110=$B9)*ISNUMBER(INDEX(Inputs!$K$5:$AJ$110,0,MATCH(U$2,Inputs!$K$4:$AJ$4,0))))+SUMPRODUCT((Inputs!$C$5:$C$110=$B9)*ISNUMBER(INDEX(Inputs!$K$5:$AJ$110,0,MATCH(U$2,Inputs!$K$4:$AJ$4,0))))+SUMPRODUCT((Inputs!$E$5:$E$110=$B9)*ISNUMBER(INDEX(Inputs!$K$5:$AJ$110,0,MATCH(U$2,Inputs!$K$4:$AJ$4,0))))=0,NA(),SUMPRODUCT((Inputs!$A$5:$A$110=$B9)*Inputs!$B$5:$B$110*(((Inputs!$G$5:$G$110="moeda")+(Inputs!$G$5:$G$110="acoes"))*Inputs!$B$1+((Inputs!$G$5:$G$110&lt;&gt;"moeda")*(Inputs!$G$5:$G$110&lt;&gt;"acoes")))*INDEX(Inputs!$K$5:$AJ$110,0,MATCH(U$2,Inputs!$K$4:$AJ$4,0)))+SUMPRODUCT((Inputs!$C$5:$C$110=$B9)*Inputs!$D$5:$D$110*(((Inputs!$G$5:$G$110="moeda")+(Inputs!$G$5:$G$110="acoes"))*Inputs!$B$1+((Inputs!$G$5:$G$110&lt;&gt;"moeda")*(Inputs!$G$5:$G$110&lt;&gt;"acoes")))*INDEX(Inputs!$K$5:$AJ$110,0,MATCH(U$2,Inputs!$K$4:$AJ$4,0)))+SUMPRODUCT((Inputs!$E$5:$E$110=$B9)*Inputs!$F$5:$F$110*(((Inputs!$G$5:$G$110="moeda")+(Inputs!$G$5:$G$110="acoes"))*Inputs!$B$1+((Inputs!$G$5:$G$110&lt;&gt;"moeda")*(Inputs!$G$5:$G$110&lt;&gt;"acoes")))*INDEX(Inputs!$K$5:$AJ$110,0,MATCH(U$2,Inputs!$K$4:$AJ$4,0)))))</f>
        <v>34</v>
      </c>
      <c r="V9" s="6">
        <f>IF(ISNA(MATCH(V$2,Inputs!$K$4:$AJ$4,0)),NA(),IF(SUMPRODUCT((Inputs!$A$5:$A$110=$B9)*ISNUMBER(INDEX(Inputs!$K$5:$AJ$110,0,MATCH(V$2,Inputs!$K$4:$AJ$4,0))))+SUMPRODUCT((Inputs!$C$5:$C$110=$B9)*ISNUMBER(INDEX(Inputs!$K$5:$AJ$110,0,MATCH(V$2,Inputs!$K$4:$AJ$4,0))))+SUMPRODUCT((Inputs!$E$5:$E$110=$B9)*ISNUMBER(INDEX(Inputs!$K$5:$AJ$110,0,MATCH(V$2,Inputs!$K$4:$AJ$4,0))))=0,NA(),SUMPRODUCT((Inputs!$A$5:$A$110=$B9)*Inputs!$B$5:$B$110*(((Inputs!$G$5:$G$110="moeda")+(Inputs!$G$5:$G$110="acoes"))*Inputs!$B$1+((Inputs!$G$5:$G$110&lt;&gt;"moeda")*(Inputs!$G$5:$G$110&lt;&gt;"acoes")))*INDEX(Inputs!$K$5:$AJ$110,0,MATCH(V$2,Inputs!$K$4:$AJ$4,0)))+SUMPRODUCT((Inputs!$C$5:$C$110=$B9)*Inputs!$D$5:$D$110*(((Inputs!$G$5:$G$110="moeda")+(Inputs!$G$5:$G$110="acoes"))*Inputs!$B$1+((Inputs!$G$5:$G$110&lt;&gt;"moeda")*(Inputs!$G$5:$G$110&lt;&gt;"acoes")))*INDEX(Inputs!$K$5:$AJ$110,0,MATCH(V$2,Inputs!$K$4:$AJ$4,0)))+SUMPRODUCT((Inputs!$E$5:$E$110=$B9)*Inputs!$F$5:$F$110*(((Inputs!$G$5:$G$110="moeda")+(Inputs!$G$5:$G$110="acoes"))*Inputs!$B$1+((Inputs!$G$5:$G$110&lt;&gt;"moeda")*(Inputs!$G$5:$G$110&lt;&gt;"acoes")))*INDEX(Inputs!$K$5:$AJ$110,0,MATCH(V$2,Inputs!$K$4:$AJ$4,0)))))</f>
        <v>87</v>
      </c>
      <c r="W9" s="3">
        <f>SUM(S9:V9)</f>
        <v>243</v>
      </c>
      <c r="X9" s="6">
        <f>IF(ISNA(MATCH(X$2,Inputs!$K$4:$AJ$4,0)),NA(),IF(SUMPRODUCT((Inputs!$A$5:$A$110=$B9)*ISNUMBER(INDEX(Inputs!$K$5:$AJ$110,0,MATCH(X$2,Inputs!$K$4:$AJ$4,0))))+SUMPRODUCT((Inputs!$C$5:$C$110=$B9)*ISNUMBER(INDEX(Inputs!$K$5:$AJ$110,0,MATCH(X$2,Inputs!$K$4:$AJ$4,0))))+SUMPRODUCT((Inputs!$E$5:$E$110=$B9)*ISNUMBER(INDEX(Inputs!$K$5:$AJ$110,0,MATCH(X$2,Inputs!$K$4:$AJ$4,0))))=0,NA(),SUMPRODUCT((Inputs!$A$5:$A$110=$B9)*Inputs!$B$5:$B$110*(((Inputs!$G$5:$G$110="moeda")+(Inputs!$G$5:$G$110="acoes"))*Inputs!$B$1+((Inputs!$G$5:$G$110&lt;&gt;"moeda")*(Inputs!$G$5:$G$110&lt;&gt;"acoes")))*INDEX(Inputs!$K$5:$AJ$110,0,MATCH(X$2,Inputs!$K$4:$AJ$4,0)))+SUMPRODUCT((Inputs!$C$5:$C$110=$B9)*Inputs!$D$5:$D$110*(((Inputs!$G$5:$G$110="moeda")+(Inputs!$G$5:$G$110="acoes"))*Inputs!$B$1+((Inputs!$G$5:$G$110&lt;&gt;"moeda")*(Inputs!$G$5:$G$110&lt;&gt;"acoes")))*INDEX(Inputs!$K$5:$AJ$110,0,MATCH(X$2,Inputs!$K$4:$AJ$4,0)))+SUMPRODUCT((Inputs!$E$5:$E$110=$B9)*Inputs!$F$5:$F$110*(((Inputs!$G$5:$G$110="moeda")+(Inputs!$G$5:$G$110="acoes"))*Inputs!$B$1+((Inputs!$G$5:$G$110&lt;&gt;"moeda")*(Inputs!$G$5:$G$110&lt;&gt;"acoes")))*INDEX(Inputs!$K$5:$AJ$110,0,MATCH(X$2,Inputs!$K$4:$AJ$4,0)))))</f>
        <v>-68</v>
      </c>
      <c r="Y9" s="6">
        <f>IF(ISNA(MATCH(Y$2,Inputs!$K$4:$AJ$4,0)),NA(),IF(SUMPRODUCT((Inputs!$A$5:$A$110=$B9)*ISNUMBER(INDEX(Inputs!$K$5:$AJ$110,0,MATCH(Y$2,Inputs!$K$4:$AJ$4,0))))+SUMPRODUCT((Inputs!$C$5:$C$110=$B9)*ISNUMBER(INDEX(Inputs!$K$5:$AJ$110,0,MATCH(Y$2,Inputs!$K$4:$AJ$4,0))))+SUMPRODUCT((Inputs!$E$5:$E$110=$B9)*ISNUMBER(INDEX(Inputs!$K$5:$AJ$110,0,MATCH(Y$2,Inputs!$K$4:$AJ$4,0))))=0,NA(),SUMPRODUCT((Inputs!$A$5:$A$110=$B9)*Inputs!$B$5:$B$110*(((Inputs!$G$5:$G$110="moeda")+(Inputs!$G$5:$G$110="acoes"))*Inputs!$B$1+((Inputs!$G$5:$G$110&lt;&gt;"moeda")*(Inputs!$G$5:$G$110&lt;&gt;"acoes")))*INDEX(Inputs!$K$5:$AJ$110,0,MATCH(Y$2,Inputs!$K$4:$AJ$4,0)))+SUMPRODUCT((Inputs!$C$5:$C$110=$B9)*Inputs!$D$5:$D$110*(((Inputs!$G$5:$G$110="moeda")+(Inputs!$G$5:$G$110="acoes"))*Inputs!$B$1+((Inputs!$G$5:$G$110&lt;&gt;"moeda")*(Inputs!$G$5:$G$110&lt;&gt;"acoes")))*INDEX(Inputs!$K$5:$AJ$110,0,MATCH(Y$2,Inputs!$K$4:$AJ$4,0)))+SUMPRODUCT((Inputs!$E$5:$E$110=$B9)*Inputs!$F$5:$F$110*(((Inputs!$G$5:$G$110="moeda")+(Inputs!$G$5:$G$110="acoes"))*Inputs!$B$1+((Inputs!$G$5:$G$110&lt;&gt;"moeda")*(Inputs!$G$5:$G$110&lt;&gt;"acoes")))*INDEX(Inputs!$K$5:$AJ$110,0,MATCH(Y$2,Inputs!$K$4:$AJ$4,0)))))</f>
        <v>-57</v>
      </c>
      <c r="Z9" s="6">
        <f>IF(ISNA(MATCH(Z$2,Inputs!$K$4:$AJ$4,0)),NA(),IF(SUMPRODUCT((Inputs!$A$5:$A$110=$B9)*ISNUMBER(INDEX(Inputs!$K$5:$AJ$110,0,MATCH(Z$2,Inputs!$K$4:$AJ$4,0))))+SUMPRODUCT((Inputs!$C$5:$C$110=$B9)*ISNUMBER(INDEX(Inputs!$K$5:$AJ$110,0,MATCH(Z$2,Inputs!$K$4:$AJ$4,0))))+SUMPRODUCT((Inputs!$E$5:$E$110=$B9)*ISNUMBER(INDEX(Inputs!$K$5:$AJ$110,0,MATCH(Z$2,Inputs!$K$4:$AJ$4,0))))=0,NA(),SUMPRODUCT((Inputs!$A$5:$A$110=$B9)*Inputs!$B$5:$B$110*(((Inputs!$G$5:$G$110="moeda")+(Inputs!$G$5:$G$110="acoes"))*Inputs!$B$1+((Inputs!$G$5:$G$110&lt;&gt;"moeda")*(Inputs!$G$5:$G$110&lt;&gt;"acoes")))*INDEX(Inputs!$K$5:$AJ$110,0,MATCH(Z$2,Inputs!$K$4:$AJ$4,0)))+SUMPRODUCT((Inputs!$C$5:$C$110=$B9)*Inputs!$D$5:$D$110*(((Inputs!$G$5:$G$110="moeda")+(Inputs!$G$5:$G$110="acoes"))*Inputs!$B$1+((Inputs!$G$5:$G$110&lt;&gt;"moeda")*(Inputs!$G$5:$G$110&lt;&gt;"acoes")))*INDEX(Inputs!$K$5:$AJ$110,0,MATCH(Z$2,Inputs!$K$4:$AJ$4,0)))+SUMPRODUCT((Inputs!$E$5:$E$110=$B9)*Inputs!$F$5:$F$110*(((Inputs!$G$5:$G$110="moeda")+(Inputs!$G$5:$G$110="acoes"))*Inputs!$B$1+((Inputs!$G$5:$G$110&lt;&gt;"moeda")*(Inputs!$G$5:$G$110&lt;&gt;"acoes")))*INDEX(Inputs!$K$5:$AJ$110,0,MATCH(Z$2,Inputs!$K$4:$AJ$4,0)))))</f>
        <v>-56</v>
      </c>
      <c r="AA9" s="6">
        <f>IF(ISNA(MATCH(AA$2,Inputs!$K$4:$AJ$4,0)),NA(),IF(SUMPRODUCT((Inputs!$A$5:$A$110=$B9)*ISNUMBER(INDEX(Inputs!$K$5:$AJ$110,0,MATCH(AA$2,Inputs!$K$4:$AJ$4,0))))+SUMPRODUCT((Inputs!$C$5:$C$110=$B9)*ISNUMBER(INDEX(Inputs!$K$5:$AJ$110,0,MATCH(AA$2,Inputs!$K$4:$AJ$4,0))))+SUMPRODUCT((Inputs!$E$5:$E$110=$B9)*ISNUMBER(INDEX(Inputs!$K$5:$AJ$110,0,MATCH(AA$2,Inputs!$K$4:$AJ$4,0))))=0,NA(),SUMPRODUCT((Inputs!$A$5:$A$110=$B9)*Inputs!$B$5:$B$110*(((Inputs!$G$5:$G$110="moeda")+(Inputs!$G$5:$G$110="acoes"))*Inputs!$B$1+((Inputs!$G$5:$G$110&lt;&gt;"moeda")*(Inputs!$G$5:$G$110&lt;&gt;"acoes")))*INDEX(Inputs!$K$5:$AJ$110,0,MATCH(AA$2,Inputs!$K$4:$AJ$4,0)))+SUMPRODUCT((Inputs!$C$5:$C$110=$B9)*Inputs!$D$5:$D$110*(((Inputs!$G$5:$G$110="moeda")+(Inputs!$G$5:$G$110="acoes"))*Inputs!$B$1+((Inputs!$G$5:$G$110&lt;&gt;"moeda")*(Inputs!$G$5:$G$110&lt;&gt;"acoes")))*INDEX(Inputs!$K$5:$AJ$110,0,MATCH(AA$2,Inputs!$K$4:$AJ$4,0)))+SUMPRODUCT((Inputs!$E$5:$E$110=$B9)*Inputs!$F$5:$F$110*(((Inputs!$G$5:$G$110="moeda")+(Inputs!$G$5:$G$110="acoes"))*Inputs!$B$1+((Inputs!$G$5:$G$110&lt;&gt;"moeda")*(Inputs!$G$5:$G$110&lt;&gt;"acoes")))*INDEX(Inputs!$K$5:$AJ$110,0,MATCH(AA$2,Inputs!$K$4:$AJ$4,0)))))</f>
        <v>-510</v>
      </c>
      <c r="AB9" s="3">
        <f>SUM(X9:AA9)</f>
        <v>-691</v>
      </c>
      <c r="AC9" s="6">
        <f>IF(ISNA(MATCH(AC$2,Inputs!$K$4:$AJ$4,0)),NA(),IF(SUMPRODUCT((Inputs!$A$5:$A$110=$B9)*ISNUMBER(INDEX(Inputs!$K$5:$AJ$110,0,MATCH(AC$2,Inputs!$K$4:$AJ$4,0))))+SUMPRODUCT((Inputs!$C$5:$C$110=$B9)*ISNUMBER(INDEX(Inputs!$K$5:$AJ$110,0,MATCH(AC$2,Inputs!$K$4:$AJ$4,0))))+SUMPRODUCT((Inputs!$E$5:$E$110=$B9)*ISNUMBER(INDEX(Inputs!$K$5:$AJ$110,0,MATCH(AC$2,Inputs!$K$4:$AJ$4,0))))=0,NA(),SUMPRODUCT((Inputs!$A$5:$A$110=$B9)*Inputs!$B$5:$B$110*(((Inputs!$G$5:$G$110="moeda")+(Inputs!$G$5:$G$110="acoes"))*Inputs!$B$1+((Inputs!$G$5:$G$110&lt;&gt;"moeda")*(Inputs!$G$5:$G$110&lt;&gt;"acoes")))*INDEX(Inputs!$K$5:$AJ$110,0,MATCH(AC$2,Inputs!$K$4:$AJ$4,0)))+SUMPRODUCT((Inputs!$C$5:$C$110=$B9)*Inputs!$D$5:$D$110*(((Inputs!$G$5:$G$110="moeda")+(Inputs!$G$5:$G$110="acoes"))*Inputs!$B$1+((Inputs!$G$5:$G$110&lt;&gt;"moeda")*(Inputs!$G$5:$G$110&lt;&gt;"acoes")))*INDEX(Inputs!$K$5:$AJ$110,0,MATCH(AC$2,Inputs!$K$4:$AJ$4,0)))+SUMPRODUCT((Inputs!$E$5:$E$110=$B9)*Inputs!$F$5:$F$110*(((Inputs!$G$5:$G$110="moeda")+(Inputs!$G$5:$G$110="acoes"))*Inputs!$B$1+((Inputs!$G$5:$G$110&lt;&gt;"moeda")*(Inputs!$G$5:$G$110&lt;&gt;"acoes")))*INDEX(Inputs!$K$5:$AJ$110,0,MATCH(AC$2,Inputs!$K$4:$AJ$4,0)))))</f>
        <v>-20</v>
      </c>
      <c r="AD9" s="6">
        <f>IF(ISNA(MATCH(AD$2,Inputs!$K$4:$AJ$4,0)),NA(),IF(SUMPRODUCT((Inputs!$A$5:$A$110=$B9)*ISNUMBER(INDEX(Inputs!$K$5:$AJ$110,0,MATCH(AD$2,Inputs!$K$4:$AJ$4,0))))+SUMPRODUCT((Inputs!$C$5:$C$110=$B9)*ISNUMBER(INDEX(Inputs!$K$5:$AJ$110,0,MATCH(AD$2,Inputs!$K$4:$AJ$4,0))))+SUMPRODUCT((Inputs!$E$5:$E$110=$B9)*ISNUMBER(INDEX(Inputs!$K$5:$AJ$110,0,MATCH(AD$2,Inputs!$K$4:$AJ$4,0))))=0,NA(),SUMPRODUCT((Inputs!$A$5:$A$110=$B9)*Inputs!$B$5:$B$110*(((Inputs!$G$5:$G$110="moeda")+(Inputs!$G$5:$G$110="acoes"))*Inputs!$B$1+((Inputs!$G$5:$G$110&lt;&gt;"moeda")*(Inputs!$G$5:$G$110&lt;&gt;"acoes")))*INDEX(Inputs!$K$5:$AJ$110,0,MATCH(AD$2,Inputs!$K$4:$AJ$4,0)))+SUMPRODUCT((Inputs!$C$5:$C$110=$B9)*Inputs!$D$5:$D$110*(((Inputs!$G$5:$G$110="moeda")+(Inputs!$G$5:$G$110="acoes"))*Inputs!$B$1+((Inputs!$G$5:$G$110&lt;&gt;"moeda")*(Inputs!$G$5:$G$110&lt;&gt;"acoes")))*INDEX(Inputs!$K$5:$AJ$110,0,MATCH(AD$2,Inputs!$K$4:$AJ$4,0)))+SUMPRODUCT((Inputs!$E$5:$E$110=$B9)*Inputs!$F$5:$F$110*(((Inputs!$G$5:$G$110="moeda")+(Inputs!$G$5:$G$110="acoes"))*Inputs!$B$1+((Inputs!$G$5:$G$110&lt;&gt;"moeda")*(Inputs!$G$5:$G$110&lt;&gt;"acoes")))*INDEX(Inputs!$K$5:$AJ$110,0,MATCH(AD$2,Inputs!$K$4:$AJ$4,0)))))</f>
        <v>-35</v>
      </c>
      <c r="AE9" s="6" t="e">
        <f>IF(ISNA(MATCH(AE$2,Inputs!$K$4:$AJ$4,0)),NA(),IF(SUMPRODUCT((Inputs!$A$5:$A$110=$B9)*ISNUMBER(INDEX(Inputs!$K$5:$AJ$110,0,MATCH(AE$2,Inputs!$K$4:$AJ$4,0))))+SUMPRODUCT((Inputs!$C$5:$C$110=$B9)*ISNUMBER(INDEX(Inputs!$K$5:$AJ$110,0,MATCH(AE$2,Inputs!$K$4:$AJ$4,0))))+SUMPRODUCT((Inputs!$E$5:$E$110=$B9)*ISNUMBER(INDEX(Inputs!$K$5:$AJ$110,0,MATCH(AE$2,Inputs!$K$4:$AJ$4,0))))=0,NA(),SUMPRODUCT((Inputs!$A$5:$A$110=$B9)*Inputs!$B$5:$B$110*(((Inputs!$G$5:$G$110="moeda")+(Inputs!$G$5:$G$110="acoes"))*Inputs!$B$1+((Inputs!$G$5:$G$110&lt;&gt;"moeda")*(Inputs!$G$5:$G$110&lt;&gt;"acoes")))*INDEX(Inputs!$K$5:$AJ$110,0,MATCH(AE$2,Inputs!$K$4:$AJ$4,0)))+SUMPRODUCT((Inputs!$C$5:$C$110=$B9)*Inputs!$D$5:$D$110*(((Inputs!$G$5:$G$110="moeda")+(Inputs!$G$5:$G$110="acoes"))*Inputs!$B$1+((Inputs!$G$5:$G$110&lt;&gt;"moeda")*(Inputs!$G$5:$G$110&lt;&gt;"acoes")))*INDEX(Inputs!$K$5:$AJ$110,0,MATCH(AE$2,Inputs!$K$4:$AJ$4,0)))+SUMPRODUCT((Inputs!$E$5:$E$110=$B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9" s="6" t="e">
        <f>IF(ISNA(MATCH(AF$2,Inputs!$K$4:$AJ$4,0)),NA(),IF(SUMPRODUCT((Inputs!$A$5:$A$110=$B9)*ISNUMBER(INDEX(Inputs!$K$5:$AJ$110,0,MATCH(AF$2,Inputs!$K$4:$AJ$4,0))))+SUMPRODUCT((Inputs!$C$5:$C$110=$B9)*ISNUMBER(INDEX(Inputs!$K$5:$AJ$110,0,MATCH(AF$2,Inputs!$K$4:$AJ$4,0))))+SUMPRODUCT((Inputs!$E$5:$E$110=$B9)*ISNUMBER(INDEX(Inputs!$K$5:$AJ$110,0,MATCH(AF$2,Inputs!$K$4:$AJ$4,0))))=0,NA(),SUMPRODUCT((Inputs!$A$5:$A$110=$B9)*Inputs!$B$5:$B$110*(((Inputs!$G$5:$G$110="moeda")+(Inputs!$G$5:$G$110="acoes"))*Inputs!$B$1+((Inputs!$G$5:$G$110&lt;&gt;"moeda")*(Inputs!$G$5:$G$110&lt;&gt;"acoes")))*INDEX(Inputs!$K$5:$AJ$110,0,MATCH(AF$2,Inputs!$K$4:$AJ$4,0)))+SUMPRODUCT((Inputs!$C$5:$C$110=$B9)*Inputs!$D$5:$D$110*(((Inputs!$G$5:$G$110="moeda")+(Inputs!$G$5:$G$110="acoes"))*Inputs!$B$1+((Inputs!$G$5:$G$110&lt;&gt;"moeda")*(Inputs!$G$5:$G$110&lt;&gt;"acoes")))*INDEX(Inputs!$K$5:$AJ$110,0,MATCH(AF$2,Inputs!$K$4:$AJ$4,0)))+SUMPRODUCT((Inputs!$E$5:$E$110=$B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9" s="3" t="e">
        <f>SUM(AC9:AF9)</f>
        <v>#N/A</v>
      </c>
      <c r="AH9" s="6">
        <f>IF(ISNA(MATCH(AH$2,Inputs!$K$4:$AJ$4,0)),NA(),IF(SUMPRODUCT((Inputs!$A$5:$A$110=$B9)*ISNUMBER(INDEX(Inputs!$K$5:$AJ$110,0,MATCH(AH$2,Inputs!$K$4:$AJ$4,0))))+SUMPRODUCT((Inputs!$C$5:$C$110=$B9)*ISNUMBER(INDEX(Inputs!$K$5:$AJ$110,0,MATCH(AH$2,Inputs!$K$4:$AJ$4,0))))+SUMPRODUCT((Inputs!$E$5:$E$110=$B9)*ISNUMBER(INDEX(Inputs!$K$5:$AJ$110,0,MATCH(AH$2,Inputs!$K$4:$AJ$4,0))))=0,NA(),SUMPRODUCT((Inputs!$A$5:$A$110=$B9)*Inputs!$B$5:$B$110*(((Inputs!$G$5:$G$110="moeda")+(Inputs!$G$5:$G$110="acoes"))*Inputs!$B$1+((Inputs!$G$5:$G$110&lt;&gt;"moeda")*(Inputs!$G$5:$G$110&lt;&gt;"acoes")))*INDEX(Inputs!$K$5:$AJ$110,0,MATCH(AH$2,Inputs!$K$4:$AJ$4,0)))+SUMPRODUCT((Inputs!$C$5:$C$110=$B9)*Inputs!$D$5:$D$110*(((Inputs!$G$5:$G$110="moeda")+(Inputs!$G$5:$G$110="acoes"))*Inputs!$B$1+((Inputs!$G$5:$G$110&lt;&gt;"moeda")*(Inputs!$G$5:$G$110&lt;&gt;"acoes")))*INDEX(Inputs!$K$5:$AJ$110,0,MATCH(AH$2,Inputs!$K$4:$AJ$4,0)))+SUMPRODUCT((Inputs!$E$5:$E$110=$B9)*Inputs!$F$5:$F$110*(((Inputs!$G$5:$G$110="moeda")+(Inputs!$G$5:$G$110="acoes"))*Inputs!$B$1+((Inputs!$G$5:$G$110&lt;&gt;"moeda")*(Inputs!$G$5:$G$110&lt;&gt;"acoes")))*INDEX(Inputs!$K$5:$AJ$110,0,MATCH(AH$2,Inputs!$K$4:$AJ$4,0)))))</f>
        <v>56</v>
      </c>
      <c r="AI9" s="6">
        <f>IF(ISNA(MATCH(AI$2,Inputs!$K$4:$AJ$4,0)),NA(),IF(SUMPRODUCT((Inputs!$A$5:$A$110=$B9)*ISNUMBER(INDEX(Inputs!$K$5:$AJ$110,0,MATCH(AI$2,Inputs!$K$4:$AJ$4,0))))+SUMPRODUCT((Inputs!$C$5:$C$110=$B9)*ISNUMBER(INDEX(Inputs!$K$5:$AJ$110,0,MATCH(AI$2,Inputs!$K$4:$AJ$4,0))))+SUMPRODUCT((Inputs!$E$5:$E$110=$B9)*ISNUMBER(INDEX(Inputs!$K$5:$AJ$110,0,MATCH(AI$2,Inputs!$K$4:$AJ$4,0))))=0,NA(),SUMPRODUCT((Inputs!$A$5:$A$110=$B9)*Inputs!$B$5:$B$110*(((Inputs!$G$5:$G$110="moeda")+(Inputs!$G$5:$G$110="acoes"))*Inputs!$B$1+((Inputs!$G$5:$G$110&lt;&gt;"moeda")*(Inputs!$G$5:$G$110&lt;&gt;"acoes")))*INDEX(Inputs!$K$5:$AJ$110,0,MATCH(AI$2,Inputs!$K$4:$AJ$4,0)))+SUMPRODUCT((Inputs!$C$5:$C$110=$B9)*Inputs!$D$5:$D$110*(((Inputs!$G$5:$G$110="moeda")+(Inputs!$G$5:$G$110="acoes"))*Inputs!$B$1+((Inputs!$G$5:$G$110&lt;&gt;"moeda")*(Inputs!$G$5:$G$110&lt;&gt;"acoes")))*INDEX(Inputs!$K$5:$AJ$110,0,MATCH(AI$2,Inputs!$K$4:$AJ$4,0)))+SUMPRODUCT((Inputs!$E$5:$E$110=$B9)*Inputs!$F$5:$F$110*(((Inputs!$G$5:$G$110="moeda")+(Inputs!$G$5:$G$110="acoes"))*Inputs!$B$1+((Inputs!$G$5:$G$110&lt;&gt;"moeda")*(Inputs!$G$5:$G$110&lt;&gt;"acoes")))*INDEX(Inputs!$K$5:$AJ$110,0,MATCH(AI$2,Inputs!$K$4:$AJ$4,0)))))</f>
        <v>25</v>
      </c>
      <c r="AJ9" s="6">
        <f>IF(ISNA(MATCH(AJ$2,Inputs!$K$4:$AJ$4,0)),NA(),IF(SUMPRODUCT((Inputs!$A$5:$A$110=$B9)*ISNUMBER(INDEX(Inputs!$K$5:$AJ$110,0,MATCH(AJ$2,Inputs!$K$4:$AJ$4,0))))+SUMPRODUCT((Inputs!$C$5:$C$110=$B9)*ISNUMBER(INDEX(Inputs!$K$5:$AJ$110,0,MATCH(AJ$2,Inputs!$K$4:$AJ$4,0))))+SUMPRODUCT((Inputs!$E$5:$E$110=$B9)*ISNUMBER(INDEX(Inputs!$K$5:$AJ$110,0,MATCH(AJ$2,Inputs!$K$4:$AJ$4,0))))=0,NA(),SUMPRODUCT((Inputs!$A$5:$A$110=$B9)*Inputs!$B$5:$B$110*(((Inputs!$G$5:$G$110="moeda")+(Inputs!$G$5:$G$110="acoes"))*Inputs!$B$1+((Inputs!$G$5:$G$110&lt;&gt;"moeda")*(Inputs!$G$5:$G$110&lt;&gt;"acoes")))*INDEX(Inputs!$K$5:$AJ$110,0,MATCH(AJ$2,Inputs!$K$4:$AJ$4,0)))+SUMPRODUCT((Inputs!$C$5:$C$110=$B9)*Inputs!$D$5:$D$110*(((Inputs!$G$5:$G$110="moeda")+(Inputs!$G$5:$G$110="acoes"))*Inputs!$B$1+((Inputs!$G$5:$G$110&lt;&gt;"moeda")*(Inputs!$G$5:$G$110&lt;&gt;"acoes")))*INDEX(Inputs!$K$5:$AJ$110,0,MATCH(AJ$2,Inputs!$K$4:$AJ$4,0)))+SUMPRODUCT((Inputs!$E$5:$E$110=$B9)*Inputs!$F$5:$F$110*(((Inputs!$G$5:$G$110="moeda")+(Inputs!$G$5:$G$110="acoes"))*Inputs!$B$1+((Inputs!$G$5:$G$110&lt;&gt;"moeda")*(Inputs!$G$5:$G$110&lt;&gt;"acoes")))*INDEX(Inputs!$K$5:$AJ$110,0,MATCH(AJ$2,Inputs!$K$4:$AJ$4,0)))))</f>
        <v>54</v>
      </c>
      <c r="AK9" s="6">
        <f>IF(ISNA(MATCH(AK$2,Inputs!$K$4:$AJ$4,0)),NA(),IF(SUMPRODUCT((Inputs!$A$5:$A$110=$B9)*ISNUMBER(INDEX(Inputs!$K$5:$AJ$110,0,MATCH(AK$2,Inputs!$K$4:$AJ$4,0))))+SUMPRODUCT((Inputs!$C$5:$C$110=$B9)*ISNUMBER(INDEX(Inputs!$K$5:$AJ$110,0,MATCH(AK$2,Inputs!$K$4:$AJ$4,0))))+SUMPRODUCT((Inputs!$E$5:$E$110=$B9)*ISNUMBER(INDEX(Inputs!$K$5:$AJ$110,0,MATCH(AK$2,Inputs!$K$4:$AJ$4,0))))=0,NA(),SUMPRODUCT((Inputs!$A$5:$A$110=$B9)*Inputs!$B$5:$B$110*(((Inputs!$G$5:$G$110="moeda")+(Inputs!$G$5:$G$110="acoes"))*Inputs!$B$1+((Inputs!$G$5:$G$110&lt;&gt;"moeda")*(Inputs!$G$5:$G$110&lt;&gt;"acoes")))*INDEX(Inputs!$K$5:$AJ$110,0,MATCH(AK$2,Inputs!$K$4:$AJ$4,0)))+SUMPRODUCT((Inputs!$C$5:$C$110=$B9)*Inputs!$D$5:$D$110*(((Inputs!$G$5:$G$110="moeda")+(Inputs!$G$5:$G$110="acoes"))*Inputs!$B$1+((Inputs!$G$5:$G$110&lt;&gt;"moeda")*(Inputs!$G$5:$G$110&lt;&gt;"acoes")))*INDEX(Inputs!$K$5:$AJ$110,0,MATCH(AK$2,Inputs!$K$4:$AJ$4,0)))+SUMPRODUCT((Inputs!$E$5:$E$110=$B9)*Inputs!$F$5:$F$110*(((Inputs!$G$5:$G$110="moeda")+(Inputs!$G$5:$G$110="acoes"))*Inputs!$B$1+((Inputs!$G$5:$G$110&lt;&gt;"moeda")*(Inputs!$G$5:$G$110&lt;&gt;"acoes")))*INDEX(Inputs!$K$5:$AJ$110,0,MATCH(AK$2,Inputs!$K$4:$AJ$4,0)))))</f>
        <v>47</v>
      </c>
      <c r="AL9" s="3">
        <f>SUM(AH9:AK9)</f>
        <v>182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$110=$B10)*ISNUMBER(INDEX(Inputs!$K$5:$AJ$110,0,MATCH(D$2,Inputs!$K$4:$AJ$4,0))))+SUMPRODUCT((Inputs!$C$5:$C$110=$B10)*ISNUMBER(INDEX(Inputs!$K$5:$AJ$110,0,MATCH(D$2,Inputs!$K$4:$AJ$4,0))))+SUMPRODUCT((Inputs!$E$5:$E$110=$B10)*ISNUMBER(INDEX(Inputs!$K$5:$AJ$110,0,MATCH(D$2,Inputs!$K$4:$AJ$4,0))))=0,NA(),SUMPRODUCT((Inputs!$A$5:$A$110=$B10)*Inputs!$B$5:$B$110*(((Inputs!$G$5:$G$110="moeda")+(Inputs!$G$5:$G$110="acoes"))*Inputs!$B$1+((Inputs!$G$5:$G$110&lt;&gt;"moeda")*(Inputs!$G$5:$G$110&lt;&gt;"acoes")))*INDEX(Inputs!$K$5:$AJ$110,0,MATCH(D$2,Inputs!$K$4:$AJ$4,0)))+SUMPRODUCT((Inputs!$C$5:$C$110=$B10)*Inputs!$D$5:$D$110*(((Inputs!$G$5:$G$110="moeda")+(Inputs!$G$5:$G$110="acoes"))*Inputs!$B$1+((Inputs!$G$5:$G$110&lt;&gt;"moeda")*(Inputs!$G$5:$G$110&lt;&gt;"acoes")))*INDEX(Inputs!$K$5:$AJ$110,0,MATCH(D$2,Inputs!$K$4:$AJ$4,0)))+SUMPRODUCT((Inputs!$E$5:$E$110=$B10)*Inputs!$F$5:$F$110*(((Inputs!$G$5:$G$110="moeda")+(Inputs!$G$5:$G$110="acoes"))*Inputs!$B$1+((Inputs!$G$5:$G$110&lt;&gt;"moeda")*(Inputs!$G$5:$G$110&lt;&gt;"acoes")))*INDEX(Inputs!$K$5:$AJ$110,0,MATCH(D$2,Inputs!$K$4:$AJ$4,0)))))</f>
        <v>-374</v>
      </c>
      <c r="E10" s="6">
        <f>IF(ISNA(MATCH(E$2,Inputs!$K$4:$AJ$4,0)),NA(),IF(SUMPRODUCT((Inputs!$A$5:$A$110=$B10)*ISNUMBER(INDEX(Inputs!$K$5:$AJ$110,0,MATCH(E$2,Inputs!$K$4:$AJ$4,0))))+SUMPRODUCT((Inputs!$C$5:$C$110=$B10)*ISNUMBER(INDEX(Inputs!$K$5:$AJ$110,0,MATCH(E$2,Inputs!$K$4:$AJ$4,0))))+SUMPRODUCT((Inputs!$E$5:$E$110=$B10)*ISNUMBER(INDEX(Inputs!$K$5:$AJ$110,0,MATCH(E$2,Inputs!$K$4:$AJ$4,0))))=0,NA(),SUMPRODUCT((Inputs!$A$5:$A$110=$B10)*Inputs!$B$5:$B$110*(((Inputs!$G$5:$G$110="moeda")+(Inputs!$G$5:$G$110="acoes"))*Inputs!$B$1+((Inputs!$G$5:$G$110&lt;&gt;"moeda")*(Inputs!$G$5:$G$110&lt;&gt;"acoes")))*INDEX(Inputs!$K$5:$AJ$110,0,MATCH(E$2,Inputs!$K$4:$AJ$4,0)))+SUMPRODUCT((Inputs!$C$5:$C$110=$B10)*Inputs!$D$5:$D$110*(((Inputs!$G$5:$G$110="moeda")+(Inputs!$G$5:$G$110="acoes"))*Inputs!$B$1+((Inputs!$G$5:$G$110&lt;&gt;"moeda")*(Inputs!$G$5:$G$110&lt;&gt;"acoes")))*INDEX(Inputs!$K$5:$AJ$110,0,MATCH(E$2,Inputs!$K$4:$AJ$4,0)))+SUMPRODUCT((Inputs!$E$5:$E$110=$B10)*Inputs!$F$5:$F$110*(((Inputs!$G$5:$G$110="moeda")+(Inputs!$G$5:$G$110="acoes"))*Inputs!$B$1+((Inputs!$G$5:$G$110&lt;&gt;"moeda")*(Inputs!$G$5:$G$110&lt;&gt;"acoes")))*INDEX(Inputs!$K$5:$AJ$110,0,MATCH(E$2,Inputs!$K$4:$AJ$4,0)))))</f>
        <v>-355</v>
      </c>
      <c r="F10" s="6">
        <f>IF(ISNA(MATCH(F$2,Inputs!$K$4:$AJ$4,0)),NA(),IF(SUMPRODUCT((Inputs!$A$5:$A$110=$B10)*ISNUMBER(INDEX(Inputs!$K$5:$AJ$110,0,MATCH(F$2,Inputs!$K$4:$AJ$4,0))))+SUMPRODUCT((Inputs!$C$5:$C$110=$B10)*ISNUMBER(INDEX(Inputs!$K$5:$AJ$110,0,MATCH(F$2,Inputs!$K$4:$AJ$4,0))))+SUMPRODUCT((Inputs!$E$5:$E$110=$B10)*ISNUMBER(INDEX(Inputs!$K$5:$AJ$110,0,MATCH(F$2,Inputs!$K$4:$AJ$4,0))))=0,NA(),SUMPRODUCT((Inputs!$A$5:$A$110=$B10)*Inputs!$B$5:$B$110*(((Inputs!$G$5:$G$110="moeda")+(Inputs!$G$5:$G$110="acoes"))*Inputs!$B$1+((Inputs!$G$5:$G$110&lt;&gt;"moeda")*(Inputs!$G$5:$G$110&lt;&gt;"acoes")))*INDEX(Inputs!$K$5:$AJ$110,0,MATCH(F$2,Inputs!$K$4:$AJ$4,0)))+SUMPRODUCT((Inputs!$C$5:$C$110=$B10)*Inputs!$D$5:$D$110*(((Inputs!$G$5:$G$110="moeda")+(Inputs!$G$5:$G$110="acoes"))*Inputs!$B$1+((Inputs!$G$5:$G$110&lt;&gt;"moeda")*(Inputs!$G$5:$G$110&lt;&gt;"acoes")))*INDEX(Inputs!$K$5:$AJ$110,0,MATCH(F$2,Inputs!$K$4:$AJ$4,0)))+SUMPRODUCT((Inputs!$E$5:$E$110=$B10)*Inputs!$F$5:$F$110*(((Inputs!$G$5:$G$110="moeda")+(Inputs!$G$5:$G$110="acoes"))*Inputs!$B$1+((Inputs!$G$5:$G$110&lt;&gt;"moeda")*(Inputs!$G$5:$G$110&lt;&gt;"acoes")))*INDEX(Inputs!$K$5:$AJ$110,0,MATCH(F$2,Inputs!$K$4:$AJ$4,0)))))</f>
        <v>-65</v>
      </c>
      <c r="G10" s="6">
        <f>IF(ISNA(MATCH(G$2,Inputs!$K$4:$AJ$4,0)),NA(),IF(SUMPRODUCT((Inputs!$A$5:$A$110=$B10)*ISNUMBER(INDEX(Inputs!$K$5:$AJ$110,0,MATCH(G$2,Inputs!$K$4:$AJ$4,0))))+SUMPRODUCT((Inputs!$C$5:$C$110=$B10)*ISNUMBER(INDEX(Inputs!$K$5:$AJ$110,0,MATCH(G$2,Inputs!$K$4:$AJ$4,0))))+SUMPRODUCT((Inputs!$E$5:$E$110=$B10)*ISNUMBER(INDEX(Inputs!$K$5:$AJ$110,0,MATCH(G$2,Inputs!$K$4:$AJ$4,0))))=0,NA(),SUMPRODUCT((Inputs!$A$5:$A$110=$B10)*Inputs!$B$5:$B$110*(((Inputs!$G$5:$G$110="moeda")+(Inputs!$G$5:$G$110="acoes"))*Inputs!$B$1+((Inputs!$G$5:$G$110&lt;&gt;"moeda")*(Inputs!$G$5:$G$110&lt;&gt;"acoes")))*INDEX(Inputs!$K$5:$AJ$110,0,MATCH(G$2,Inputs!$K$4:$AJ$4,0)))+SUMPRODUCT((Inputs!$C$5:$C$110=$B10)*Inputs!$D$5:$D$110*(((Inputs!$G$5:$G$110="moeda")+(Inputs!$G$5:$G$110="acoes"))*Inputs!$B$1+((Inputs!$G$5:$G$110&lt;&gt;"moeda")*(Inputs!$G$5:$G$110&lt;&gt;"acoes")))*INDEX(Inputs!$K$5:$AJ$110,0,MATCH(G$2,Inputs!$K$4:$AJ$4,0)))+SUMPRODUCT((Inputs!$E$5:$E$110=$B10)*Inputs!$F$5:$F$110*(((Inputs!$G$5:$G$110="moeda")+(Inputs!$G$5:$G$110="acoes"))*Inputs!$B$1+((Inputs!$G$5:$G$110&lt;&gt;"moeda")*(Inputs!$G$5:$G$110&lt;&gt;"acoes")))*INDEX(Inputs!$K$5:$AJ$110,0,MATCH(G$2,Inputs!$K$4:$AJ$4,0)))))</f>
        <v>-441</v>
      </c>
      <c r="H10" s="3">
        <f>SUM(D10:G10)</f>
        <v>-1235</v>
      </c>
      <c r="I10" s="6">
        <f>IF(ISNA(MATCH(I$2,Inputs!$K$4:$AJ$4,0)),NA(),IF(SUMPRODUCT((Inputs!$A$5:$A$110=$B10)*ISNUMBER(INDEX(Inputs!$K$5:$AJ$110,0,MATCH(I$2,Inputs!$K$4:$AJ$4,0))))+SUMPRODUCT((Inputs!$C$5:$C$110=$B10)*ISNUMBER(INDEX(Inputs!$K$5:$AJ$110,0,MATCH(I$2,Inputs!$K$4:$AJ$4,0))))+SUMPRODUCT((Inputs!$E$5:$E$110=$B10)*ISNUMBER(INDEX(Inputs!$K$5:$AJ$110,0,MATCH(I$2,Inputs!$K$4:$AJ$4,0))))=0,NA(),SUMPRODUCT((Inputs!$A$5:$A$110=$B10)*Inputs!$B$5:$B$110*(((Inputs!$G$5:$G$110="moeda")+(Inputs!$G$5:$G$110="acoes"))*Inputs!$B$1+((Inputs!$G$5:$G$110&lt;&gt;"moeda")*(Inputs!$G$5:$G$110&lt;&gt;"acoes")))*INDEX(Inputs!$K$5:$AJ$110,0,MATCH(I$2,Inputs!$K$4:$AJ$4,0)))+SUMPRODUCT((Inputs!$C$5:$C$110=$B10)*Inputs!$D$5:$D$110*(((Inputs!$G$5:$G$110="moeda")+(Inputs!$G$5:$G$110="acoes"))*Inputs!$B$1+((Inputs!$G$5:$G$110&lt;&gt;"moeda")*(Inputs!$G$5:$G$110&lt;&gt;"acoes")))*INDEX(Inputs!$K$5:$AJ$110,0,MATCH(I$2,Inputs!$K$4:$AJ$4,0)))+SUMPRODUCT((Inputs!$E$5:$E$110=$B10)*Inputs!$F$5:$F$110*(((Inputs!$G$5:$G$110="moeda")+(Inputs!$G$5:$G$110="acoes"))*Inputs!$B$1+((Inputs!$G$5:$G$110&lt;&gt;"moeda")*(Inputs!$G$5:$G$110&lt;&gt;"acoes")))*INDEX(Inputs!$K$5:$AJ$110,0,MATCH(I$2,Inputs!$K$4:$AJ$4,0)))))</f>
        <v>-328</v>
      </c>
      <c r="J10" s="6">
        <f>IF(ISNA(MATCH(J$2,Inputs!$K$4:$AJ$4,0)),NA(),IF(SUMPRODUCT((Inputs!$A$5:$A$110=$B10)*ISNUMBER(INDEX(Inputs!$K$5:$AJ$110,0,MATCH(J$2,Inputs!$K$4:$AJ$4,0))))+SUMPRODUCT((Inputs!$C$5:$C$110=$B10)*ISNUMBER(INDEX(Inputs!$K$5:$AJ$110,0,MATCH(J$2,Inputs!$K$4:$AJ$4,0))))+SUMPRODUCT((Inputs!$E$5:$E$110=$B10)*ISNUMBER(INDEX(Inputs!$K$5:$AJ$110,0,MATCH(J$2,Inputs!$K$4:$AJ$4,0))))=0,NA(),SUMPRODUCT((Inputs!$A$5:$A$110=$B10)*Inputs!$B$5:$B$110*(((Inputs!$G$5:$G$110="moeda")+(Inputs!$G$5:$G$110="acoes"))*Inputs!$B$1+((Inputs!$G$5:$G$110&lt;&gt;"moeda")*(Inputs!$G$5:$G$110&lt;&gt;"acoes")))*INDEX(Inputs!$K$5:$AJ$110,0,MATCH(J$2,Inputs!$K$4:$AJ$4,0)))+SUMPRODUCT((Inputs!$C$5:$C$110=$B10)*Inputs!$D$5:$D$110*(((Inputs!$G$5:$G$110="moeda")+(Inputs!$G$5:$G$110="acoes"))*Inputs!$B$1+((Inputs!$G$5:$G$110&lt;&gt;"moeda")*(Inputs!$G$5:$G$110&lt;&gt;"acoes")))*INDEX(Inputs!$K$5:$AJ$110,0,MATCH(J$2,Inputs!$K$4:$AJ$4,0)))+SUMPRODUCT((Inputs!$E$5:$E$110=$B10)*Inputs!$F$5:$F$110*(((Inputs!$G$5:$G$110="moeda")+(Inputs!$G$5:$G$110="acoes"))*Inputs!$B$1+((Inputs!$G$5:$G$110&lt;&gt;"moeda")*(Inputs!$G$5:$G$110&lt;&gt;"acoes")))*INDEX(Inputs!$K$5:$AJ$110,0,MATCH(J$2,Inputs!$K$4:$AJ$4,0)))))</f>
        <v>-21</v>
      </c>
      <c r="K10" s="6">
        <f>IF(ISNA(MATCH(K$2,Inputs!$K$4:$AJ$4,0)),NA(),IF(SUMPRODUCT((Inputs!$A$5:$A$110=$B10)*ISNUMBER(INDEX(Inputs!$K$5:$AJ$110,0,MATCH(K$2,Inputs!$K$4:$AJ$4,0))))+SUMPRODUCT((Inputs!$C$5:$C$110=$B10)*ISNUMBER(INDEX(Inputs!$K$5:$AJ$110,0,MATCH(K$2,Inputs!$K$4:$AJ$4,0))))+SUMPRODUCT((Inputs!$E$5:$E$110=$B10)*ISNUMBER(INDEX(Inputs!$K$5:$AJ$110,0,MATCH(K$2,Inputs!$K$4:$AJ$4,0))))=0,NA(),SUMPRODUCT((Inputs!$A$5:$A$110=$B10)*Inputs!$B$5:$B$110*(((Inputs!$G$5:$G$110="moeda")+(Inputs!$G$5:$G$110="acoes"))*Inputs!$B$1+((Inputs!$G$5:$G$110&lt;&gt;"moeda")*(Inputs!$G$5:$G$110&lt;&gt;"acoes")))*INDEX(Inputs!$K$5:$AJ$110,0,MATCH(K$2,Inputs!$K$4:$AJ$4,0)))+SUMPRODUCT((Inputs!$C$5:$C$110=$B10)*Inputs!$D$5:$D$110*(((Inputs!$G$5:$G$110="moeda")+(Inputs!$G$5:$G$110="acoes"))*Inputs!$B$1+((Inputs!$G$5:$G$110&lt;&gt;"moeda")*(Inputs!$G$5:$G$110&lt;&gt;"acoes")))*INDEX(Inputs!$K$5:$AJ$110,0,MATCH(K$2,Inputs!$K$4:$AJ$4,0)))+SUMPRODUCT((Inputs!$E$5:$E$110=$B10)*Inputs!$F$5:$F$110*(((Inputs!$G$5:$G$110="moeda")+(Inputs!$G$5:$G$110="acoes"))*Inputs!$B$1+((Inputs!$G$5:$G$110&lt;&gt;"moeda")*(Inputs!$G$5:$G$110&lt;&gt;"acoes")))*INDEX(Inputs!$K$5:$AJ$110,0,MATCH(K$2,Inputs!$K$4:$AJ$4,0)))))</f>
        <v>-321</v>
      </c>
      <c r="L10" s="6">
        <f>IF(ISNA(MATCH(L$2,Inputs!$K$4:$AJ$4,0)),NA(),IF(SUMPRODUCT((Inputs!$A$5:$A$110=$B10)*ISNUMBER(INDEX(Inputs!$K$5:$AJ$110,0,MATCH(L$2,Inputs!$K$4:$AJ$4,0))))+SUMPRODUCT((Inputs!$C$5:$C$110=$B10)*ISNUMBER(INDEX(Inputs!$K$5:$AJ$110,0,MATCH(L$2,Inputs!$K$4:$AJ$4,0))))+SUMPRODUCT((Inputs!$E$5:$E$110=$B10)*ISNUMBER(INDEX(Inputs!$K$5:$AJ$110,0,MATCH(L$2,Inputs!$K$4:$AJ$4,0))))=0,NA(),SUMPRODUCT((Inputs!$A$5:$A$110=$B10)*Inputs!$B$5:$B$110*(((Inputs!$G$5:$G$110="moeda")+(Inputs!$G$5:$G$110="acoes"))*Inputs!$B$1+((Inputs!$G$5:$G$110&lt;&gt;"moeda")*(Inputs!$G$5:$G$110&lt;&gt;"acoes")))*INDEX(Inputs!$K$5:$AJ$110,0,MATCH(L$2,Inputs!$K$4:$AJ$4,0)))+SUMPRODUCT((Inputs!$C$5:$C$110=$B10)*Inputs!$D$5:$D$110*(((Inputs!$G$5:$G$110="moeda")+(Inputs!$G$5:$G$110="acoes"))*Inputs!$B$1+((Inputs!$G$5:$G$110&lt;&gt;"moeda")*(Inputs!$G$5:$G$110&lt;&gt;"acoes")))*INDEX(Inputs!$K$5:$AJ$110,0,MATCH(L$2,Inputs!$K$4:$AJ$4,0)))+SUMPRODUCT((Inputs!$E$5:$E$110=$B10)*Inputs!$F$5:$F$110*(((Inputs!$G$5:$G$110="moeda")+(Inputs!$G$5:$G$110="acoes"))*Inputs!$B$1+((Inputs!$G$5:$G$110&lt;&gt;"moeda")*(Inputs!$G$5:$G$110&lt;&gt;"acoes")))*INDEX(Inputs!$K$5:$AJ$110,0,MATCH(L$2,Inputs!$K$4:$AJ$4,0)))))</f>
        <v>-278</v>
      </c>
      <c r="M10" s="3">
        <f>SUM(I10:L10)</f>
        <v>-948</v>
      </c>
      <c r="N10" s="6">
        <f>IF(ISNA(MATCH(N$2,Inputs!$K$4:$AJ$4,0)),NA(),IF(SUMPRODUCT((Inputs!$A$5:$A$110=$B10)*ISNUMBER(INDEX(Inputs!$K$5:$AJ$110,0,MATCH(N$2,Inputs!$K$4:$AJ$4,0))))+SUMPRODUCT((Inputs!$C$5:$C$110=$B10)*ISNUMBER(INDEX(Inputs!$K$5:$AJ$110,0,MATCH(N$2,Inputs!$K$4:$AJ$4,0))))+SUMPRODUCT((Inputs!$E$5:$E$110=$B10)*ISNUMBER(INDEX(Inputs!$K$5:$AJ$110,0,MATCH(N$2,Inputs!$K$4:$AJ$4,0))))=0,NA(),SUMPRODUCT((Inputs!$A$5:$A$110=$B10)*Inputs!$B$5:$B$110*(((Inputs!$G$5:$G$110="moeda")+(Inputs!$G$5:$G$110="acoes"))*Inputs!$B$1+((Inputs!$G$5:$G$110&lt;&gt;"moeda")*(Inputs!$G$5:$G$110&lt;&gt;"acoes")))*INDEX(Inputs!$K$5:$AJ$110,0,MATCH(N$2,Inputs!$K$4:$AJ$4,0)))+SUMPRODUCT((Inputs!$C$5:$C$110=$B10)*Inputs!$D$5:$D$110*(((Inputs!$G$5:$G$110="moeda")+(Inputs!$G$5:$G$110="acoes"))*Inputs!$B$1+((Inputs!$G$5:$G$110&lt;&gt;"moeda")*(Inputs!$G$5:$G$110&lt;&gt;"acoes")))*INDEX(Inputs!$K$5:$AJ$110,0,MATCH(N$2,Inputs!$K$4:$AJ$4,0)))+SUMPRODUCT((Inputs!$E$5:$E$110=$B10)*Inputs!$F$5:$F$110*(((Inputs!$G$5:$G$110="moeda")+(Inputs!$G$5:$G$110="acoes"))*Inputs!$B$1+((Inputs!$G$5:$G$110&lt;&gt;"moeda")*(Inputs!$G$5:$G$110&lt;&gt;"acoes")))*INDEX(Inputs!$K$5:$AJ$110,0,MATCH(N$2,Inputs!$K$4:$AJ$4,0)))))</f>
        <v>-305</v>
      </c>
      <c r="O10" s="6">
        <f>IF(ISNA(MATCH(O$2,Inputs!$K$4:$AJ$4,0)),NA(),IF(SUMPRODUCT((Inputs!$A$5:$A$110=$B10)*ISNUMBER(INDEX(Inputs!$K$5:$AJ$110,0,MATCH(O$2,Inputs!$K$4:$AJ$4,0))))+SUMPRODUCT((Inputs!$C$5:$C$110=$B10)*ISNUMBER(INDEX(Inputs!$K$5:$AJ$110,0,MATCH(O$2,Inputs!$K$4:$AJ$4,0))))+SUMPRODUCT((Inputs!$E$5:$E$110=$B10)*ISNUMBER(INDEX(Inputs!$K$5:$AJ$110,0,MATCH(O$2,Inputs!$K$4:$AJ$4,0))))=0,NA(),SUMPRODUCT((Inputs!$A$5:$A$110=$B10)*Inputs!$B$5:$B$110*(((Inputs!$G$5:$G$110="moeda")+(Inputs!$G$5:$G$110="acoes"))*Inputs!$B$1+((Inputs!$G$5:$G$110&lt;&gt;"moeda")*(Inputs!$G$5:$G$110&lt;&gt;"acoes")))*INDEX(Inputs!$K$5:$AJ$110,0,MATCH(O$2,Inputs!$K$4:$AJ$4,0)))+SUMPRODUCT((Inputs!$C$5:$C$110=$B10)*Inputs!$D$5:$D$110*(((Inputs!$G$5:$G$110="moeda")+(Inputs!$G$5:$G$110="acoes"))*Inputs!$B$1+((Inputs!$G$5:$G$110&lt;&gt;"moeda")*(Inputs!$G$5:$G$110&lt;&gt;"acoes")))*INDEX(Inputs!$K$5:$AJ$110,0,MATCH(O$2,Inputs!$K$4:$AJ$4,0)))+SUMPRODUCT((Inputs!$E$5:$E$110=$B10)*Inputs!$F$5:$F$110*(((Inputs!$G$5:$G$110="moeda")+(Inputs!$G$5:$G$110="acoes"))*Inputs!$B$1+((Inputs!$G$5:$G$110&lt;&gt;"moeda")*(Inputs!$G$5:$G$110&lt;&gt;"acoes")))*INDEX(Inputs!$K$5:$AJ$110,0,MATCH(O$2,Inputs!$K$4:$AJ$4,0)))))</f>
        <v>-325</v>
      </c>
      <c r="P10" s="6">
        <f>IF(ISNA(MATCH(P$2,Inputs!$K$4:$AJ$4,0)),NA(),IF(SUMPRODUCT((Inputs!$A$5:$A$110=$B10)*ISNUMBER(INDEX(Inputs!$K$5:$AJ$110,0,MATCH(P$2,Inputs!$K$4:$AJ$4,0))))+SUMPRODUCT((Inputs!$C$5:$C$110=$B10)*ISNUMBER(INDEX(Inputs!$K$5:$AJ$110,0,MATCH(P$2,Inputs!$K$4:$AJ$4,0))))+SUMPRODUCT((Inputs!$E$5:$E$110=$B10)*ISNUMBER(INDEX(Inputs!$K$5:$AJ$110,0,MATCH(P$2,Inputs!$K$4:$AJ$4,0))))=0,NA(),SUMPRODUCT((Inputs!$A$5:$A$110=$B10)*Inputs!$B$5:$B$110*(((Inputs!$G$5:$G$110="moeda")+(Inputs!$G$5:$G$110="acoes"))*Inputs!$B$1+((Inputs!$G$5:$G$110&lt;&gt;"moeda")*(Inputs!$G$5:$G$110&lt;&gt;"acoes")))*INDEX(Inputs!$K$5:$AJ$110,0,MATCH(P$2,Inputs!$K$4:$AJ$4,0)))+SUMPRODUCT((Inputs!$C$5:$C$110=$B10)*Inputs!$D$5:$D$110*(((Inputs!$G$5:$G$110="moeda")+(Inputs!$G$5:$G$110="acoes"))*Inputs!$B$1+((Inputs!$G$5:$G$110&lt;&gt;"moeda")*(Inputs!$G$5:$G$110&lt;&gt;"acoes")))*INDEX(Inputs!$K$5:$AJ$110,0,MATCH(P$2,Inputs!$K$4:$AJ$4,0)))+SUMPRODUCT((Inputs!$E$5:$E$110=$B10)*Inputs!$F$5:$F$110*(((Inputs!$G$5:$G$110="moeda")+(Inputs!$G$5:$G$110="acoes"))*Inputs!$B$1+((Inputs!$G$5:$G$110&lt;&gt;"moeda")*(Inputs!$G$5:$G$110&lt;&gt;"acoes")))*INDEX(Inputs!$K$5:$AJ$110,0,MATCH(P$2,Inputs!$K$4:$AJ$4,0)))))</f>
        <v>-269</v>
      </c>
      <c r="Q10" s="6">
        <f>IF(ISNA(MATCH(Q$2,Inputs!$K$4:$AJ$4,0)),NA(),IF(SUMPRODUCT((Inputs!$A$5:$A$110=$B10)*ISNUMBER(INDEX(Inputs!$K$5:$AJ$110,0,MATCH(Q$2,Inputs!$K$4:$AJ$4,0))))+SUMPRODUCT((Inputs!$C$5:$C$110=$B10)*ISNUMBER(INDEX(Inputs!$K$5:$AJ$110,0,MATCH(Q$2,Inputs!$K$4:$AJ$4,0))))+SUMPRODUCT((Inputs!$E$5:$E$110=$B10)*ISNUMBER(INDEX(Inputs!$K$5:$AJ$110,0,MATCH(Q$2,Inputs!$K$4:$AJ$4,0))))=0,NA(),SUMPRODUCT((Inputs!$A$5:$A$110=$B10)*Inputs!$B$5:$B$110*(((Inputs!$G$5:$G$110="moeda")+(Inputs!$G$5:$G$110="acoes"))*Inputs!$B$1+((Inputs!$G$5:$G$110&lt;&gt;"moeda")*(Inputs!$G$5:$G$110&lt;&gt;"acoes")))*INDEX(Inputs!$K$5:$AJ$110,0,MATCH(Q$2,Inputs!$K$4:$AJ$4,0)))+SUMPRODUCT((Inputs!$C$5:$C$110=$B10)*Inputs!$D$5:$D$110*(((Inputs!$G$5:$G$110="moeda")+(Inputs!$G$5:$G$110="acoes"))*Inputs!$B$1+((Inputs!$G$5:$G$110&lt;&gt;"moeda")*(Inputs!$G$5:$G$110&lt;&gt;"acoes")))*INDEX(Inputs!$K$5:$AJ$110,0,MATCH(Q$2,Inputs!$K$4:$AJ$4,0)))+SUMPRODUCT((Inputs!$E$5:$E$110=$B10)*Inputs!$F$5:$F$110*(((Inputs!$G$5:$G$110="moeda")+(Inputs!$G$5:$G$110="acoes"))*Inputs!$B$1+((Inputs!$G$5:$G$110&lt;&gt;"moeda")*(Inputs!$G$5:$G$110&lt;&gt;"acoes")))*INDEX(Inputs!$K$5:$AJ$110,0,MATCH(Q$2,Inputs!$K$4:$AJ$4,0)))))</f>
        <v>-279</v>
      </c>
      <c r="R10" s="3">
        <f>SUM(N10:Q10)</f>
        <v>-1178</v>
      </c>
      <c r="S10" s="6">
        <f>IF(ISNA(MATCH(S$2,Inputs!$K$4:$AJ$4,0)),NA(),IF(SUMPRODUCT((Inputs!$A$5:$A$110=$B10)*ISNUMBER(INDEX(Inputs!$K$5:$AJ$110,0,MATCH(S$2,Inputs!$K$4:$AJ$4,0))))+SUMPRODUCT((Inputs!$C$5:$C$110=$B10)*ISNUMBER(INDEX(Inputs!$K$5:$AJ$110,0,MATCH(S$2,Inputs!$K$4:$AJ$4,0))))+SUMPRODUCT((Inputs!$E$5:$E$110=$B10)*ISNUMBER(INDEX(Inputs!$K$5:$AJ$110,0,MATCH(S$2,Inputs!$K$4:$AJ$4,0))))=0,NA(),SUMPRODUCT((Inputs!$A$5:$A$110=$B10)*Inputs!$B$5:$B$110*(((Inputs!$G$5:$G$110="moeda")+(Inputs!$G$5:$G$110="acoes"))*Inputs!$B$1+((Inputs!$G$5:$G$110&lt;&gt;"moeda")*(Inputs!$G$5:$G$110&lt;&gt;"acoes")))*INDEX(Inputs!$K$5:$AJ$110,0,MATCH(S$2,Inputs!$K$4:$AJ$4,0)))+SUMPRODUCT((Inputs!$C$5:$C$110=$B10)*Inputs!$D$5:$D$110*(((Inputs!$G$5:$G$110="moeda")+(Inputs!$G$5:$G$110="acoes"))*Inputs!$B$1+((Inputs!$G$5:$G$110&lt;&gt;"moeda")*(Inputs!$G$5:$G$110&lt;&gt;"acoes")))*INDEX(Inputs!$K$5:$AJ$110,0,MATCH(S$2,Inputs!$K$4:$AJ$4,0)))+SUMPRODUCT((Inputs!$E$5:$E$110=$B10)*Inputs!$F$5:$F$110*(((Inputs!$G$5:$G$110="moeda")+(Inputs!$G$5:$G$110="acoes"))*Inputs!$B$1+((Inputs!$G$5:$G$110&lt;&gt;"moeda")*(Inputs!$G$5:$G$110&lt;&gt;"acoes")))*INDEX(Inputs!$K$5:$AJ$110,0,MATCH(S$2,Inputs!$K$4:$AJ$4,0)))))</f>
        <v>-290</v>
      </c>
      <c r="T10" s="6">
        <f>IF(ISNA(MATCH(T$2,Inputs!$K$4:$AJ$4,0)),NA(),IF(SUMPRODUCT((Inputs!$A$5:$A$110=$B10)*ISNUMBER(INDEX(Inputs!$K$5:$AJ$110,0,MATCH(T$2,Inputs!$K$4:$AJ$4,0))))+SUMPRODUCT((Inputs!$C$5:$C$110=$B10)*ISNUMBER(INDEX(Inputs!$K$5:$AJ$110,0,MATCH(T$2,Inputs!$K$4:$AJ$4,0))))+SUMPRODUCT((Inputs!$E$5:$E$110=$B10)*ISNUMBER(INDEX(Inputs!$K$5:$AJ$110,0,MATCH(T$2,Inputs!$K$4:$AJ$4,0))))=0,NA(),SUMPRODUCT((Inputs!$A$5:$A$110=$B10)*Inputs!$B$5:$B$110*(((Inputs!$G$5:$G$110="moeda")+(Inputs!$G$5:$G$110="acoes"))*Inputs!$B$1+((Inputs!$G$5:$G$110&lt;&gt;"moeda")*(Inputs!$G$5:$G$110&lt;&gt;"acoes")))*INDEX(Inputs!$K$5:$AJ$110,0,MATCH(T$2,Inputs!$K$4:$AJ$4,0)))+SUMPRODUCT((Inputs!$C$5:$C$110=$B10)*Inputs!$D$5:$D$110*(((Inputs!$G$5:$G$110="moeda")+(Inputs!$G$5:$G$110="acoes"))*Inputs!$B$1+((Inputs!$G$5:$G$110&lt;&gt;"moeda")*(Inputs!$G$5:$G$110&lt;&gt;"acoes")))*INDEX(Inputs!$K$5:$AJ$110,0,MATCH(T$2,Inputs!$K$4:$AJ$4,0)))+SUMPRODUCT((Inputs!$E$5:$E$110=$B10)*Inputs!$F$5:$F$110*(((Inputs!$G$5:$G$110="moeda")+(Inputs!$G$5:$G$110="acoes"))*Inputs!$B$1+((Inputs!$G$5:$G$110&lt;&gt;"moeda")*(Inputs!$G$5:$G$110&lt;&gt;"acoes")))*INDEX(Inputs!$K$5:$AJ$110,0,MATCH(T$2,Inputs!$K$4:$AJ$4,0)))))</f>
        <v>-307</v>
      </c>
      <c r="U10" s="6">
        <f>IF(ISNA(MATCH(U$2,Inputs!$K$4:$AJ$4,0)),NA(),IF(SUMPRODUCT((Inputs!$A$5:$A$110=$B10)*ISNUMBER(INDEX(Inputs!$K$5:$AJ$110,0,MATCH(U$2,Inputs!$K$4:$AJ$4,0))))+SUMPRODUCT((Inputs!$C$5:$C$110=$B10)*ISNUMBER(INDEX(Inputs!$K$5:$AJ$110,0,MATCH(U$2,Inputs!$K$4:$AJ$4,0))))+SUMPRODUCT((Inputs!$E$5:$E$110=$B10)*ISNUMBER(INDEX(Inputs!$K$5:$AJ$110,0,MATCH(U$2,Inputs!$K$4:$AJ$4,0))))=0,NA(),SUMPRODUCT((Inputs!$A$5:$A$110=$B10)*Inputs!$B$5:$B$110*(((Inputs!$G$5:$G$110="moeda")+(Inputs!$G$5:$G$110="acoes"))*Inputs!$B$1+((Inputs!$G$5:$G$110&lt;&gt;"moeda")*(Inputs!$G$5:$G$110&lt;&gt;"acoes")))*INDEX(Inputs!$K$5:$AJ$110,0,MATCH(U$2,Inputs!$K$4:$AJ$4,0)))+SUMPRODUCT((Inputs!$C$5:$C$110=$B10)*Inputs!$D$5:$D$110*(((Inputs!$G$5:$G$110="moeda")+(Inputs!$G$5:$G$110="acoes"))*Inputs!$B$1+((Inputs!$G$5:$G$110&lt;&gt;"moeda")*(Inputs!$G$5:$G$110&lt;&gt;"acoes")))*INDEX(Inputs!$K$5:$AJ$110,0,MATCH(U$2,Inputs!$K$4:$AJ$4,0)))+SUMPRODUCT((Inputs!$E$5:$E$110=$B10)*Inputs!$F$5:$F$110*(((Inputs!$G$5:$G$110="moeda")+(Inputs!$G$5:$G$110="acoes"))*Inputs!$B$1+((Inputs!$G$5:$G$110&lt;&gt;"moeda")*(Inputs!$G$5:$G$110&lt;&gt;"acoes")))*INDEX(Inputs!$K$5:$AJ$110,0,MATCH(U$2,Inputs!$K$4:$AJ$4,0)))))</f>
        <v>-295</v>
      </c>
      <c r="V10" s="6">
        <f>IF(ISNA(MATCH(V$2,Inputs!$K$4:$AJ$4,0)),NA(),IF(SUMPRODUCT((Inputs!$A$5:$A$110=$B10)*ISNUMBER(INDEX(Inputs!$K$5:$AJ$110,0,MATCH(V$2,Inputs!$K$4:$AJ$4,0))))+SUMPRODUCT((Inputs!$C$5:$C$110=$B10)*ISNUMBER(INDEX(Inputs!$K$5:$AJ$110,0,MATCH(V$2,Inputs!$K$4:$AJ$4,0))))+SUMPRODUCT((Inputs!$E$5:$E$110=$B10)*ISNUMBER(INDEX(Inputs!$K$5:$AJ$110,0,MATCH(V$2,Inputs!$K$4:$AJ$4,0))))=0,NA(),SUMPRODUCT((Inputs!$A$5:$A$110=$B10)*Inputs!$B$5:$B$110*(((Inputs!$G$5:$G$110="moeda")+(Inputs!$G$5:$G$110="acoes"))*Inputs!$B$1+((Inputs!$G$5:$G$110&lt;&gt;"moeda")*(Inputs!$G$5:$G$110&lt;&gt;"acoes")))*INDEX(Inputs!$K$5:$AJ$110,0,MATCH(V$2,Inputs!$K$4:$AJ$4,0)))+SUMPRODUCT((Inputs!$C$5:$C$110=$B10)*Inputs!$D$5:$D$110*(((Inputs!$G$5:$G$110="moeda")+(Inputs!$G$5:$G$110="acoes"))*Inputs!$B$1+((Inputs!$G$5:$G$110&lt;&gt;"moeda")*(Inputs!$G$5:$G$110&lt;&gt;"acoes")))*INDEX(Inputs!$K$5:$AJ$110,0,MATCH(V$2,Inputs!$K$4:$AJ$4,0)))+SUMPRODUCT((Inputs!$E$5:$E$110=$B10)*Inputs!$F$5:$F$110*(((Inputs!$G$5:$G$110="moeda")+(Inputs!$G$5:$G$110="acoes"))*Inputs!$B$1+((Inputs!$G$5:$G$110&lt;&gt;"moeda")*(Inputs!$G$5:$G$110&lt;&gt;"acoes")))*INDEX(Inputs!$K$5:$AJ$110,0,MATCH(V$2,Inputs!$K$4:$AJ$4,0)))))</f>
        <v>8</v>
      </c>
      <c r="W10" s="3">
        <f>SUM(S10:V10)</f>
        <v>-884</v>
      </c>
      <c r="X10" s="6">
        <f>IF(ISNA(MATCH(X$2,Inputs!$K$4:$AJ$4,0)),NA(),IF(SUMPRODUCT((Inputs!$A$5:$A$110=$B10)*ISNUMBER(INDEX(Inputs!$K$5:$AJ$110,0,MATCH(X$2,Inputs!$K$4:$AJ$4,0))))+SUMPRODUCT((Inputs!$C$5:$C$110=$B10)*ISNUMBER(INDEX(Inputs!$K$5:$AJ$110,0,MATCH(X$2,Inputs!$K$4:$AJ$4,0))))+SUMPRODUCT((Inputs!$E$5:$E$110=$B10)*ISNUMBER(INDEX(Inputs!$K$5:$AJ$110,0,MATCH(X$2,Inputs!$K$4:$AJ$4,0))))=0,NA(),SUMPRODUCT((Inputs!$A$5:$A$110=$B10)*Inputs!$B$5:$B$110*(((Inputs!$G$5:$G$110="moeda")+(Inputs!$G$5:$G$110="acoes"))*Inputs!$B$1+((Inputs!$G$5:$G$110&lt;&gt;"moeda")*(Inputs!$G$5:$G$110&lt;&gt;"acoes")))*INDEX(Inputs!$K$5:$AJ$110,0,MATCH(X$2,Inputs!$K$4:$AJ$4,0)))+SUMPRODUCT((Inputs!$C$5:$C$110=$B10)*Inputs!$D$5:$D$110*(((Inputs!$G$5:$G$110="moeda")+(Inputs!$G$5:$G$110="acoes"))*Inputs!$B$1+((Inputs!$G$5:$G$110&lt;&gt;"moeda")*(Inputs!$G$5:$G$110&lt;&gt;"acoes")))*INDEX(Inputs!$K$5:$AJ$110,0,MATCH(X$2,Inputs!$K$4:$AJ$4,0)))+SUMPRODUCT((Inputs!$E$5:$E$110=$B10)*Inputs!$F$5:$F$110*(((Inputs!$G$5:$G$110="moeda")+(Inputs!$G$5:$G$110="acoes"))*Inputs!$B$1+((Inputs!$G$5:$G$110&lt;&gt;"moeda")*(Inputs!$G$5:$G$110&lt;&gt;"acoes")))*INDEX(Inputs!$K$5:$AJ$110,0,MATCH(X$2,Inputs!$K$4:$AJ$4,0)))))</f>
        <v>-324</v>
      </c>
      <c r="Y10" s="6">
        <f>IF(ISNA(MATCH(Y$2,Inputs!$K$4:$AJ$4,0)),NA(),IF(SUMPRODUCT((Inputs!$A$5:$A$110=$B10)*ISNUMBER(INDEX(Inputs!$K$5:$AJ$110,0,MATCH(Y$2,Inputs!$K$4:$AJ$4,0))))+SUMPRODUCT((Inputs!$C$5:$C$110=$B10)*ISNUMBER(INDEX(Inputs!$K$5:$AJ$110,0,MATCH(Y$2,Inputs!$K$4:$AJ$4,0))))+SUMPRODUCT((Inputs!$E$5:$E$110=$B10)*ISNUMBER(INDEX(Inputs!$K$5:$AJ$110,0,MATCH(Y$2,Inputs!$K$4:$AJ$4,0))))=0,NA(),SUMPRODUCT((Inputs!$A$5:$A$110=$B10)*Inputs!$B$5:$B$110*(((Inputs!$G$5:$G$110="moeda")+(Inputs!$G$5:$G$110="acoes"))*Inputs!$B$1+((Inputs!$G$5:$G$110&lt;&gt;"moeda")*(Inputs!$G$5:$G$110&lt;&gt;"acoes")))*INDEX(Inputs!$K$5:$AJ$110,0,MATCH(Y$2,Inputs!$K$4:$AJ$4,0)))+SUMPRODUCT((Inputs!$C$5:$C$110=$B10)*Inputs!$D$5:$D$110*(((Inputs!$G$5:$G$110="moeda")+(Inputs!$G$5:$G$110="acoes"))*Inputs!$B$1+((Inputs!$G$5:$G$110&lt;&gt;"moeda")*(Inputs!$G$5:$G$110&lt;&gt;"acoes")))*INDEX(Inputs!$K$5:$AJ$110,0,MATCH(Y$2,Inputs!$K$4:$AJ$4,0)))+SUMPRODUCT((Inputs!$E$5:$E$110=$B10)*Inputs!$F$5:$F$110*(((Inputs!$G$5:$G$110="moeda")+(Inputs!$G$5:$G$110="acoes"))*Inputs!$B$1+((Inputs!$G$5:$G$110&lt;&gt;"moeda")*(Inputs!$G$5:$G$110&lt;&gt;"acoes")))*INDEX(Inputs!$K$5:$AJ$110,0,MATCH(Y$2,Inputs!$K$4:$AJ$4,0)))))</f>
        <v>-75</v>
      </c>
      <c r="Z10" s="6">
        <f>IF(ISNA(MATCH(Z$2,Inputs!$K$4:$AJ$4,0)),NA(),IF(SUMPRODUCT((Inputs!$A$5:$A$110=$B10)*ISNUMBER(INDEX(Inputs!$K$5:$AJ$110,0,MATCH(Z$2,Inputs!$K$4:$AJ$4,0))))+SUMPRODUCT((Inputs!$C$5:$C$110=$B10)*ISNUMBER(INDEX(Inputs!$K$5:$AJ$110,0,MATCH(Z$2,Inputs!$K$4:$AJ$4,0))))+SUMPRODUCT((Inputs!$E$5:$E$110=$B10)*ISNUMBER(INDEX(Inputs!$K$5:$AJ$110,0,MATCH(Z$2,Inputs!$K$4:$AJ$4,0))))=0,NA(),SUMPRODUCT((Inputs!$A$5:$A$110=$B10)*Inputs!$B$5:$B$110*(((Inputs!$G$5:$G$110="moeda")+(Inputs!$G$5:$G$110="acoes"))*Inputs!$B$1+((Inputs!$G$5:$G$110&lt;&gt;"moeda")*(Inputs!$G$5:$G$110&lt;&gt;"acoes")))*INDEX(Inputs!$K$5:$AJ$110,0,MATCH(Z$2,Inputs!$K$4:$AJ$4,0)))+SUMPRODUCT((Inputs!$C$5:$C$110=$B10)*Inputs!$D$5:$D$110*(((Inputs!$G$5:$G$110="moeda")+(Inputs!$G$5:$G$110="acoes"))*Inputs!$B$1+((Inputs!$G$5:$G$110&lt;&gt;"moeda")*(Inputs!$G$5:$G$110&lt;&gt;"acoes")))*INDEX(Inputs!$K$5:$AJ$110,0,MATCH(Z$2,Inputs!$K$4:$AJ$4,0)))+SUMPRODUCT((Inputs!$E$5:$E$110=$B10)*Inputs!$F$5:$F$110*(((Inputs!$G$5:$G$110="moeda")+(Inputs!$G$5:$G$110="acoes"))*Inputs!$B$1+((Inputs!$G$5:$G$110&lt;&gt;"moeda")*(Inputs!$G$5:$G$110&lt;&gt;"acoes")))*INDEX(Inputs!$K$5:$AJ$110,0,MATCH(Z$2,Inputs!$K$4:$AJ$4,0)))))</f>
        <v>-319</v>
      </c>
      <c r="AA10" s="6">
        <f>IF(ISNA(MATCH(AA$2,Inputs!$K$4:$AJ$4,0)),NA(),IF(SUMPRODUCT((Inputs!$A$5:$A$110=$B10)*ISNUMBER(INDEX(Inputs!$K$5:$AJ$110,0,MATCH(AA$2,Inputs!$K$4:$AJ$4,0))))+SUMPRODUCT((Inputs!$C$5:$C$110=$B10)*ISNUMBER(INDEX(Inputs!$K$5:$AJ$110,0,MATCH(AA$2,Inputs!$K$4:$AJ$4,0))))+SUMPRODUCT((Inputs!$E$5:$E$110=$B10)*ISNUMBER(INDEX(Inputs!$K$5:$AJ$110,0,MATCH(AA$2,Inputs!$K$4:$AJ$4,0))))=0,NA(),SUMPRODUCT((Inputs!$A$5:$A$110=$B10)*Inputs!$B$5:$B$110*(((Inputs!$G$5:$G$110="moeda")+(Inputs!$G$5:$G$110="acoes"))*Inputs!$B$1+((Inputs!$G$5:$G$110&lt;&gt;"moeda")*(Inputs!$G$5:$G$110&lt;&gt;"acoes")))*INDEX(Inputs!$K$5:$AJ$110,0,MATCH(AA$2,Inputs!$K$4:$AJ$4,0)))+SUMPRODUCT((Inputs!$C$5:$C$110=$B10)*Inputs!$D$5:$D$110*(((Inputs!$G$5:$G$110="moeda")+(Inputs!$G$5:$G$110="acoes"))*Inputs!$B$1+((Inputs!$G$5:$G$110&lt;&gt;"moeda")*(Inputs!$G$5:$G$110&lt;&gt;"acoes")))*INDEX(Inputs!$K$5:$AJ$110,0,MATCH(AA$2,Inputs!$K$4:$AJ$4,0)))+SUMPRODUCT((Inputs!$E$5:$E$110=$B10)*Inputs!$F$5:$F$110*(((Inputs!$G$5:$G$110="moeda")+(Inputs!$G$5:$G$110="acoes"))*Inputs!$B$1+((Inputs!$G$5:$G$110&lt;&gt;"moeda")*(Inputs!$G$5:$G$110&lt;&gt;"acoes")))*INDEX(Inputs!$K$5:$AJ$110,0,MATCH(AA$2,Inputs!$K$4:$AJ$4,0)))))</f>
        <v>-187</v>
      </c>
      <c r="AB10" s="3">
        <f>SUM(X10:AA10)</f>
        <v>-905</v>
      </c>
      <c r="AC10" s="6">
        <f>IF(ISNA(MATCH(AC$2,Inputs!$K$4:$AJ$4,0)),NA(),IF(SUMPRODUCT((Inputs!$A$5:$A$110=$B10)*ISNUMBER(INDEX(Inputs!$K$5:$AJ$110,0,MATCH(AC$2,Inputs!$K$4:$AJ$4,0))))+SUMPRODUCT((Inputs!$C$5:$C$110=$B10)*ISNUMBER(INDEX(Inputs!$K$5:$AJ$110,0,MATCH(AC$2,Inputs!$K$4:$AJ$4,0))))+SUMPRODUCT((Inputs!$E$5:$E$110=$B10)*ISNUMBER(INDEX(Inputs!$K$5:$AJ$110,0,MATCH(AC$2,Inputs!$K$4:$AJ$4,0))))=0,NA(),SUMPRODUCT((Inputs!$A$5:$A$110=$B10)*Inputs!$B$5:$B$110*(((Inputs!$G$5:$G$110="moeda")+(Inputs!$G$5:$G$110="acoes"))*Inputs!$B$1+((Inputs!$G$5:$G$110&lt;&gt;"moeda")*(Inputs!$G$5:$G$110&lt;&gt;"acoes")))*INDEX(Inputs!$K$5:$AJ$110,0,MATCH(AC$2,Inputs!$K$4:$AJ$4,0)))+SUMPRODUCT((Inputs!$C$5:$C$110=$B10)*Inputs!$D$5:$D$110*(((Inputs!$G$5:$G$110="moeda")+(Inputs!$G$5:$G$110="acoes"))*Inputs!$B$1+((Inputs!$G$5:$G$110&lt;&gt;"moeda")*(Inputs!$G$5:$G$110&lt;&gt;"acoes")))*INDEX(Inputs!$K$5:$AJ$110,0,MATCH(AC$2,Inputs!$K$4:$AJ$4,0)))+SUMPRODUCT((Inputs!$E$5:$E$110=$B10)*Inputs!$F$5:$F$110*(((Inputs!$G$5:$G$110="moeda")+(Inputs!$G$5:$G$110="acoes"))*Inputs!$B$1+((Inputs!$G$5:$G$110&lt;&gt;"moeda")*(Inputs!$G$5:$G$110&lt;&gt;"acoes")))*INDEX(Inputs!$K$5:$AJ$110,0,MATCH(AC$2,Inputs!$K$4:$AJ$4,0)))))</f>
        <v>-286</v>
      </c>
      <c r="AD10" s="6">
        <f>IF(ISNA(MATCH(AD$2,Inputs!$K$4:$AJ$4,0)),NA(),IF(SUMPRODUCT((Inputs!$A$5:$A$110=$B10)*ISNUMBER(INDEX(Inputs!$K$5:$AJ$110,0,MATCH(AD$2,Inputs!$K$4:$AJ$4,0))))+SUMPRODUCT((Inputs!$C$5:$C$110=$B10)*ISNUMBER(INDEX(Inputs!$K$5:$AJ$110,0,MATCH(AD$2,Inputs!$K$4:$AJ$4,0))))+SUMPRODUCT((Inputs!$E$5:$E$110=$B10)*ISNUMBER(INDEX(Inputs!$K$5:$AJ$110,0,MATCH(AD$2,Inputs!$K$4:$AJ$4,0))))=0,NA(),SUMPRODUCT((Inputs!$A$5:$A$110=$B10)*Inputs!$B$5:$B$110*(((Inputs!$G$5:$G$110="moeda")+(Inputs!$G$5:$G$110="acoes"))*Inputs!$B$1+((Inputs!$G$5:$G$110&lt;&gt;"moeda")*(Inputs!$G$5:$G$110&lt;&gt;"acoes")))*INDEX(Inputs!$K$5:$AJ$110,0,MATCH(AD$2,Inputs!$K$4:$AJ$4,0)))+SUMPRODUCT((Inputs!$C$5:$C$110=$B10)*Inputs!$D$5:$D$110*(((Inputs!$G$5:$G$110="moeda")+(Inputs!$G$5:$G$110="acoes"))*Inputs!$B$1+((Inputs!$G$5:$G$110&lt;&gt;"moeda")*(Inputs!$G$5:$G$110&lt;&gt;"acoes")))*INDEX(Inputs!$K$5:$AJ$110,0,MATCH(AD$2,Inputs!$K$4:$AJ$4,0)))+SUMPRODUCT((Inputs!$E$5:$E$110=$B10)*Inputs!$F$5:$F$110*(((Inputs!$G$5:$G$110="moeda")+(Inputs!$G$5:$G$110="acoes"))*Inputs!$B$1+((Inputs!$G$5:$G$110&lt;&gt;"moeda")*(Inputs!$G$5:$G$110&lt;&gt;"acoes")))*INDEX(Inputs!$K$5:$AJ$110,0,MATCH(AD$2,Inputs!$K$4:$AJ$4,0)))))</f>
        <v>-342</v>
      </c>
      <c r="AE10" s="6" t="e">
        <f>IF(ISNA(MATCH(AE$2,Inputs!$K$4:$AJ$4,0)),NA(),IF(SUMPRODUCT((Inputs!$A$5:$A$110=$B10)*ISNUMBER(INDEX(Inputs!$K$5:$AJ$110,0,MATCH(AE$2,Inputs!$K$4:$AJ$4,0))))+SUMPRODUCT((Inputs!$C$5:$C$110=$B10)*ISNUMBER(INDEX(Inputs!$K$5:$AJ$110,0,MATCH(AE$2,Inputs!$K$4:$AJ$4,0))))+SUMPRODUCT((Inputs!$E$5:$E$110=$B10)*ISNUMBER(INDEX(Inputs!$K$5:$AJ$110,0,MATCH(AE$2,Inputs!$K$4:$AJ$4,0))))=0,NA(),SUMPRODUCT((Inputs!$A$5:$A$110=$B10)*Inputs!$B$5:$B$110*(((Inputs!$G$5:$G$110="moeda")+(Inputs!$G$5:$G$110="acoes"))*Inputs!$B$1+((Inputs!$G$5:$G$110&lt;&gt;"moeda")*(Inputs!$G$5:$G$110&lt;&gt;"acoes")))*INDEX(Inputs!$K$5:$AJ$110,0,MATCH(AE$2,Inputs!$K$4:$AJ$4,0)))+SUMPRODUCT((Inputs!$C$5:$C$110=$B10)*Inputs!$D$5:$D$110*(((Inputs!$G$5:$G$110="moeda")+(Inputs!$G$5:$G$110="acoes"))*Inputs!$B$1+((Inputs!$G$5:$G$110&lt;&gt;"moeda")*(Inputs!$G$5:$G$110&lt;&gt;"acoes")))*INDEX(Inputs!$K$5:$AJ$110,0,MATCH(AE$2,Inputs!$K$4:$AJ$4,0)))+SUMPRODUCT((Inputs!$E$5:$E$110=$B10)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0" s="6" t="e">
        <f>IF(ISNA(MATCH(AF$2,Inputs!$K$4:$AJ$4,0)),NA(),IF(SUMPRODUCT((Inputs!$A$5:$A$110=$B10)*ISNUMBER(INDEX(Inputs!$K$5:$AJ$110,0,MATCH(AF$2,Inputs!$K$4:$AJ$4,0))))+SUMPRODUCT((Inputs!$C$5:$C$110=$B10)*ISNUMBER(INDEX(Inputs!$K$5:$AJ$110,0,MATCH(AF$2,Inputs!$K$4:$AJ$4,0))))+SUMPRODUCT((Inputs!$E$5:$E$110=$B10)*ISNUMBER(INDEX(Inputs!$K$5:$AJ$110,0,MATCH(AF$2,Inputs!$K$4:$AJ$4,0))))=0,NA(),SUMPRODUCT((Inputs!$A$5:$A$110=$B10)*Inputs!$B$5:$B$110*(((Inputs!$G$5:$G$110="moeda")+(Inputs!$G$5:$G$110="acoes"))*Inputs!$B$1+((Inputs!$G$5:$G$110&lt;&gt;"moeda")*(Inputs!$G$5:$G$110&lt;&gt;"acoes")))*INDEX(Inputs!$K$5:$AJ$110,0,MATCH(AF$2,Inputs!$K$4:$AJ$4,0)))+SUMPRODUCT((Inputs!$C$5:$C$110=$B10)*Inputs!$D$5:$D$110*(((Inputs!$G$5:$G$110="moeda")+(Inputs!$G$5:$G$110="acoes"))*Inputs!$B$1+((Inputs!$G$5:$G$110&lt;&gt;"moeda")*(Inputs!$G$5:$G$110&lt;&gt;"acoes")))*INDEX(Inputs!$K$5:$AJ$110,0,MATCH(AF$2,Inputs!$K$4:$AJ$4,0)))+SUMPRODUCT((Inputs!$E$5:$E$110=$B10)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$110=$B10)*ISNUMBER(INDEX(Inputs!$K$5:$AJ$110,0,MATCH(AH$2,Inputs!$K$4:$AJ$4,0))))+SUMPRODUCT((Inputs!$C$5:$C$110=$B10)*ISNUMBER(INDEX(Inputs!$K$5:$AJ$110,0,MATCH(AH$2,Inputs!$K$4:$AJ$4,0))))+SUMPRODUCT((Inputs!$E$5:$E$110=$B10)*ISNUMBER(INDEX(Inputs!$K$5:$AJ$110,0,MATCH(AH$2,Inputs!$K$4:$AJ$4,0))))=0,NA(),SUMPRODUCT((Inputs!$A$5:$A$110=$B10)*Inputs!$B$5:$B$110*(((Inputs!$G$5:$G$110="moeda")+(Inputs!$G$5:$G$110="acoes"))*Inputs!$B$1+((Inputs!$G$5:$G$110&lt;&gt;"moeda")*(Inputs!$G$5:$G$110&lt;&gt;"acoes")))*INDEX(Inputs!$K$5:$AJ$110,0,MATCH(AH$2,Inputs!$K$4:$AJ$4,0)))+SUMPRODUCT((Inputs!$C$5:$C$110=$B10)*Inputs!$D$5:$D$110*(((Inputs!$G$5:$G$110="moeda")+(Inputs!$G$5:$G$110="acoes"))*Inputs!$B$1+((Inputs!$G$5:$G$110&lt;&gt;"moeda")*(Inputs!$G$5:$G$110&lt;&gt;"acoes")))*INDEX(Inputs!$K$5:$AJ$110,0,MATCH(AH$2,Inputs!$K$4:$AJ$4,0)))+SUMPRODUCT((Inputs!$E$5:$E$110=$B10)*Inputs!$F$5:$F$110*(((Inputs!$G$5:$G$110="moeda")+(Inputs!$G$5:$G$110="acoes"))*Inputs!$B$1+((Inputs!$G$5:$G$110&lt;&gt;"moeda")*(Inputs!$G$5:$G$110&lt;&gt;"acoes")))*INDEX(Inputs!$K$5:$AJ$110,0,MATCH(AH$2,Inputs!$K$4:$AJ$4,0)))))</f>
        <v>-313</v>
      </c>
      <c r="AI10" s="6">
        <f>IF(ISNA(MATCH(AI$2,Inputs!$K$4:$AJ$4,0)),NA(),IF(SUMPRODUCT((Inputs!$A$5:$A$110=$B10)*ISNUMBER(INDEX(Inputs!$K$5:$AJ$110,0,MATCH(AI$2,Inputs!$K$4:$AJ$4,0))))+SUMPRODUCT((Inputs!$C$5:$C$110=$B10)*ISNUMBER(INDEX(Inputs!$K$5:$AJ$110,0,MATCH(AI$2,Inputs!$K$4:$AJ$4,0))))+SUMPRODUCT((Inputs!$E$5:$E$110=$B10)*ISNUMBER(INDEX(Inputs!$K$5:$AJ$110,0,MATCH(AI$2,Inputs!$K$4:$AJ$4,0))))=0,NA(),SUMPRODUCT((Inputs!$A$5:$A$110=$B10)*Inputs!$B$5:$B$110*(((Inputs!$G$5:$G$110="moeda")+(Inputs!$G$5:$G$110="acoes"))*Inputs!$B$1+((Inputs!$G$5:$G$110&lt;&gt;"moeda")*(Inputs!$G$5:$G$110&lt;&gt;"acoes")))*INDEX(Inputs!$K$5:$AJ$110,0,MATCH(AI$2,Inputs!$K$4:$AJ$4,0)))+SUMPRODUCT((Inputs!$C$5:$C$110=$B10)*Inputs!$D$5:$D$110*(((Inputs!$G$5:$G$110="moeda")+(Inputs!$G$5:$G$110="acoes"))*Inputs!$B$1+((Inputs!$G$5:$G$110&lt;&gt;"moeda")*(Inputs!$G$5:$G$110&lt;&gt;"acoes")))*INDEX(Inputs!$K$5:$AJ$110,0,MATCH(AI$2,Inputs!$K$4:$AJ$4,0)))+SUMPRODUCT((Inputs!$E$5:$E$110=$B10)*Inputs!$F$5:$F$110*(((Inputs!$G$5:$G$110="moeda")+(Inputs!$G$5:$G$110="acoes"))*Inputs!$B$1+((Inputs!$G$5:$G$110&lt;&gt;"moeda")*(Inputs!$G$5:$G$110&lt;&gt;"acoes")))*INDEX(Inputs!$K$5:$AJ$110,0,MATCH(AI$2,Inputs!$K$4:$AJ$4,0)))))</f>
        <v>-336</v>
      </c>
      <c r="AJ10" s="6">
        <f>IF(ISNA(MATCH(AJ$2,Inputs!$K$4:$AJ$4,0)),NA(),IF(SUMPRODUCT((Inputs!$A$5:$A$110=$B10)*ISNUMBER(INDEX(Inputs!$K$5:$AJ$110,0,MATCH(AJ$2,Inputs!$K$4:$AJ$4,0))))+SUMPRODUCT((Inputs!$C$5:$C$110=$B10)*ISNUMBER(INDEX(Inputs!$K$5:$AJ$110,0,MATCH(AJ$2,Inputs!$K$4:$AJ$4,0))))+SUMPRODUCT((Inputs!$E$5:$E$110=$B10)*ISNUMBER(INDEX(Inputs!$K$5:$AJ$110,0,MATCH(AJ$2,Inputs!$K$4:$AJ$4,0))))=0,NA(),SUMPRODUCT((Inputs!$A$5:$A$110=$B10)*Inputs!$B$5:$B$110*(((Inputs!$G$5:$G$110="moeda")+(Inputs!$G$5:$G$110="acoes"))*Inputs!$B$1+((Inputs!$G$5:$G$110&lt;&gt;"moeda")*(Inputs!$G$5:$G$110&lt;&gt;"acoes")))*INDEX(Inputs!$K$5:$AJ$110,0,MATCH(AJ$2,Inputs!$K$4:$AJ$4,0)))+SUMPRODUCT((Inputs!$C$5:$C$110=$B10)*Inputs!$D$5:$D$110*(((Inputs!$G$5:$G$110="moeda")+(Inputs!$G$5:$G$110="acoes"))*Inputs!$B$1+((Inputs!$G$5:$G$110&lt;&gt;"moeda")*(Inputs!$G$5:$G$110&lt;&gt;"acoes")))*INDEX(Inputs!$K$5:$AJ$110,0,MATCH(AJ$2,Inputs!$K$4:$AJ$4,0)))+SUMPRODUCT((Inputs!$E$5:$E$110=$B10)*Inputs!$F$5:$F$110*(((Inputs!$G$5:$G$110="moeda")+(Inputs!$G$5:$G$110="acoes"))*Inputs!$B$1+((Inputs!$G$5:$G$110&lt;&gt;"moeda")*(Inputs!$G$5:$G$110&lt;&gt;"acoes")))*INDEX(Inputs!$K$5:$AJ$110,0,MATCH(AJ$2,Inputs!$K$4:$AJ$4,0)))))</f>
        <v>-303</v>
      </c>
      <c r="AK10" s="6">
        <f>IF(ISNA(MATCH(AK$2,Inputs!$K$4:$AJ$4,0)),NA(),IF(SUMPRODUCT((Inputs!$A$5:$A$110=$B10)*ISNUMBER(INDEX(Inputs!$K$5:$AJ$110,0,MATCH(AK$2,Inputs!$K$4:$AJ$4,0))))+SUMPRODUCT((Inputs!$C$5:$C$110=$B10)*ISNUMBER(INDEX(Inputs!$K$5:$AJ$110,0,MATCH(AK$2,Inputs!$K$4:$AJ$4,0))))+SUMPRODUCT((Inputs!$E$5:$E$110=$B10)*ISNUMBER(INDEX(Inputs!$K$5:$AJ$110,0,MATCH(AK$2,Inputs!$K$4:$AJ$4,0))))=0,NA(),SUMPRODUCT((Inputs!$A$5:$A$110=$B10)*Inputs!$B$5:$B$110*(((Inputs!$G$5:$G$110="moeda")+(Inputs!$G$5:$G$110="acoes"))*Inputs!$B$1+((Inputs!$G$5:$G$110&lt;&gt;"moeda")*(Inputs!$G$5:$G$110&lt;&gt;"acoes")))*INDEX(Inputs!$K$5:$AJ$110,0,MATCH(AK$2,Inputs!$K$4:$AJ$4,0)))+SUMPRODUCT((Inputs!$C$5:$C$110=$B10)*Inputs!$D$5:$D$110*(((Inputs!$G$5:$G$110="moeda")+(Inputs!$G$5:$G$110="acoes"))*Inputs!$B$1+((Inputs!$G$5:$G$110&lt;&gt;"moeda")*(Inputs!$G$5:$G$110&lt;&gt;"acoes")))*INDEX(Inputs!$K$5:$AJ$110,0,MATCH(AK$2,Inputs!$K$4:$AJ$4,0)))+SUMPRODUCT((Inputs!$E$5:$E$110=$B10)*Inputs!$F$5:$F$110*(((Inputs!$G$5:$G$110="moeda")+(Inputs!$G$5:$G$110="acoes"))*Inputs!$B$1+((Inputs!$G$5:$G$110&lt;&gt;"moeda")*(Inputs!$G$5:$G$110&lt;&gt;"acoes")))*INDEX(Inputs!$K$5:$AJ$110,0,MATCH(AK$2,Inputs!$K$4:$AJ$4,0)))))</f>
        <v>-395</v>
      </c>
      <c r="AL10" s="3">
        <f>SUM(AH10:AK10)</f>
        <v>-1347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$110=$B11)*ISNUMBER(INDEX(Inputs!$K$5:$AJ$110,0,MATCH(D$2,Inputs!$K$4:$AJ$4,0))))+SUMPRODUCT((Inputs!$C$5:$C$110=$B11)*ISNUMBER(INDEX(Inputs!$K$5:$AJ$110,0,MATCH(D$2,Inputs!$K$4:$AJ$4,0))))+SUMPRODUCT((Inputs!$E$5:$E$110=$B11)*ISNUMBER(INDEX(Inputs!$K$5:$AJ$110,0,MATCH(D$2,Inputs!$K$4:$AJ$4,0))))=0,NA(),SUMPRODUCT((Inputs!$A$5:$A$110=$B11)*Inputs!$B$5:$B$110*(((Inputs!$G$5:$G$110="moeda")+(Inputs!$G$5:$G$110="acoes"))*Inputs!$B$1+((Inputs!$G$5:$G$110&lt;&gt;"moeda")*(Inputs!$G$5:$G$110&lt;&gt;"acoes")))*INDEX(Inputs!$K$5:$AJ$110,0,MATCH(D$2,Inputs!$K$4:$AJ$4,0)))+SUMPRODUCT((Inputs!$C$5:$C$110=$B11)*Inputs!$D$5:$D$110*(((Inputs!$G$5:$G$110="moeda")+(Inputs!$G$5:$G$110="acoes"))*Inputs!$B$1+((Inputs!$G$5:$G$110&lt;&gt;"moeda")*(Inputs!$G$5:$G$110&lt;&gt;"acoes")))*INDEX(Inputs!$K$5:$AJ$110,0,MATCH(D$2,Inputs!$K$4:$AJ$4,0)))+SUMPRODUCT((Inputs!$E$5:$E$110=$B11)*Inputs!$F$5:$F$110*(((Inputs!$G$5:$G$110="moeda")+(Inputs!$G$5:$G$110="acoes"))*Inputs!$B$1+((Inputs!$G$5:$G$110&lt;&gt;"moeda")*(Inputs!$G$5:$G$110&lt;&gt;"acoes")))*INDEX(Inputs!$K$5:$AJ$110,0,MATCH(D$2,Inputs!$K$4:$AJ$4,0)))))</f>
        <v>0</v>
      </c>
      <c r="E11" s="6">
        <f>IF(ISNA(MATCH(E$2,Inputs!$K$4:$AJ$4,0)),NA(),IF(SUMPRODUCT((Inputs!$A$5:$A$110=$B11)*ISNUMBER(INDEX(Inputs!$K$5:$AJ$110,0,MATCH(E$2,Inputs!$K$4:$AJ$4,0))))+SUMPRODUCT((Inputs!$C$5:$C$110=$B11)*ISNUMBER(INDEX(Inputs!$K$5:$AJ$110,0,MATCH(E$2,Inputs!$K$4:$AJ$4,0))))+SUMPRODUCT((Inputs!$E$5:$E$110=$B11)*ISNUMBER(INDEX(Inputs!$K$5:$AJ$110,0,MATCH(E$2,Inputs!$K$4:$AJ$4,0))))=0,NA(),SUMPRODUCT((Inputs!$A$5:$A$110=$B11)*Inputs!$B$5:$B$110*(((Inputs!$G$5:$G$110="moeda")+(Inputs!$G$5:$G$110="acoes"))*Inputs!$B$1+((Inputs!$G$5:$G$110&lt;&gt;"moeda")*(Inputs!$G$5:$G$110&lt;&gt;"acoes")))*INDEX(Inputs!$K$5:$AJ$110,0,MATCH(E$2,Inputs!$K$4:$AJ$4,0)))+SUMPRODUCT((Inputs!$C$5:$C$110=$B11)*Inputs!$D$5:$D$110*(((Inputs!$G$5:$G$110="moeda")+(Inputs!$G$5:$G$110="acoes"))*Inputs!$B$1+((Inputs!$G$5:$G$110&lt;&gt;"moeda")*(Inputs!$G$5:$G$110&lt;&gt;"acoes")))*INDEX(Inputs!$K$5:$AJ$110,0,MATCH(E$2,Inputs!$K$4:$AJ$4,0)))+SUMPRODUCT((Inputs!$E$5:$E$110=$B11)*Inputs!$F$5:$F$110*(((Inputs!$G$5:$G$110="moeda")+(Inputs!$G$5:$G$110="acoes"))*Inputs!$B$1+((Inputs!$G$5:$G$110&lt;&gt;"moeda")*(Inputs!$G$5:$G$110&lt;&gt;"acoes")))*INDEX(Inputs!$K$5:$AJ$110,0,MATCH(E$2,Inputs!$K$4:$AJ$4,0)))))</f>
        <v>0</v>
      </c>
      <c r="F11" s="6">
        <f>IF(ISNA(MATCH(F$2,Inputs!$K$4:$AJ$4,0)),NA(),IF(SUMPRODUCT((Inputs!$A$5:$A$110=$B11)*ISNUMBER(INDEX(Inputs!$K$5:$AJ$110,0,MATCH(F$2,Inputs!$K$4:$AJ$4,0))))+SUMPRODUCT((Inputs!$C$5:$C$110=$B11)*ISNUMBER(INDEX(Inputs!$K$5:$AJ$110,0,MATCH(F$2,Inputs!$K$4:$AJ$4,0))))+SUMPRODUCT((Inputs!$E$5:$E$110=$B11)*ISNUMBER(INDEX(Inputs!$K$5:$AJ$110,0,MATCH(F$2,Inputs!$K$4:$AJ$4,0))))=0,NA(),SUMPRODUCT((Inputs!$A$5:$A$110=$B11)*Inputs!$B$5:$B$110*(((Inputs!$G$5:$G$110="moeda")+(Inputs!$G$5:$G$110="acoes"))*Inputs!$B$1+((Inputs!$G$5:$G$110&lt;&gt;"moeda")*(Inputs!$G$5:$G$110&lt;&gt;"acoes")))*INDEX(Inputs!$K$5:$AJ$110,0,MATCH(F$2,Inputs!$K$4:$AJ$4,0)))+SUMPRODUCT((Inputs!$C$5:$C$110=$B11)*Inputs!$D$5:$D$110*(((Inputs!$G$5:$G$110="moeda")+(Inputs!$G$5:$G$110="acoes"))*Inputs!$B$1+((Inputs!$G$5:$G$110&lt;&gt;"moeda")*(Inputs!$G$5:$G$110&lt;&gt;"acoes")))*INDEX(Inputs!$K$5:$AJ$110,0,MATCH(F$2,Inputs!$K$4:$AJ$4,0)))+SUMPRODUCT((Inputs!$E$5:$E$110=$B11)*Inputs!$F$5:$F$110*(((Inputs!$G$5:$G$110="moeda")+(Inputs!$G$5:$G$110="acoes"))*Inputs!$B$1+((Inputs!$G$5:$G$110&lt;&gt;"moeda")*(Inputs!$G$5:$G$110&lt;&gt;"acoes")))*INDEX(Inputs!$K$5:$AJ$110,0,MATCH(F$2,Inputs!$K$4:$AJ$4,0)))))</f>
        <v>0</v>
      </c>
      <c r="G11" s="6">
        <f>IF(ISNA(MATCH(G$2,Inputs!$K$4:$AJ$4,0)),NA(),IF(SUMPRODUCT((Inputs!$A$5:$A$110=$B11)*ISNUMBER(INDEX(Inputs!$K$5:$AJ$110,0,MATCH(G$2,Inputs!$K$4:$AJ$4,0))))+SUMPRODUCT((Inputs!$C$5:$C$110=$B11)*ISNUMBER(INDEX(Inputs!$K$5:$AJ$110,0,MATCH(G$2,Inputs!$K$4:$AJ$4,0))))+SUMPRODUCT((Inputs!$E$5:$E$110=$B11)*ISNUMBER(INDEX(Inputs!$K$5:$AJ$110,0,MATCH(G$2,Inputs!$K$4:$AJ$4,0))))=0,NA(),SUMPRODUCT((Inputs!$A$5:$A$110=$B11)*Inputs!$B$5:$B$110*(((Inputs!$G$5:$G$110="moeda")+(Inputs!$G$5:$G$110="acoes"))*Inputs!$B$1+((Inputs!$G$5:$G$110&lt;&gt;"moeda")*(Inputs!$G$5:$G$110&lt;&gt;"acoes")))*INDEX(Inputs!$K$5:$AJ$110,0,MATCH(G$2,Inputs!$K$4:$AJ$4,0)))+SUMPRODUCT((Inputs!$C$5:$C$110=$B11)*Inputs!$D$5:$D$110*(((Inputs!$G$5:$G$110="moeda")+(Inputs!$G$5:$G$110="acoes"))*Inputs!$B$1+((Inputs!$G$5:$G$110&lt;&gt;"moeda")*(Inputs!$G$5:$G$110&lt;&gt;"acoes")))*INDEX(Inputs!$K$5:$AJ$110,0,MATCH(G$2,Inputs!$K$4:$AJ$4,0)))+SUMPRODUCT((Inputs!$E$5:$E$110=$B11)*Inputs!$F$5:$F$110*(((Inputs!$G$5:$G$110="moeda")+(Inputs!$G$5:$G$110="acoes"))*Inputs!$B$1+((Inputs!$G$5:$G$110&lt;&gt;"moeda")*(Inputs!$G$5:$G$110&lt;&gt;"acoes")))*INDEX(Inputs!$K$5:$AJ$110,0,MATCH(G$2,Inputs!$K$4:$AJ$4,0)))))</f>
        <v>0</v>
      </c>
      <c r="H11" s="3">
        <f>SUM(D11:G11)</f>
        <v>0</v>
      </c>
      <c r="I11" s="6">
        <f>IF(ISNA(MATCH(I$2,Inputs!$K$4:$AJ$4,0)),NA(),IF(SUMPRODUCT((Inputs!$A$5:$A$110=$B11)*ISNUMBER(INDEX(Inputs!$K$5:$AJ$110,0,MATCH(I$2,Inputs!$K$4:$AJ$4,0))))+SUMPRODUCT((Inputs!$C$5:$C$110=$B11)*ISNUMBER(INDEX(Inputs!$K$5:$AJ$110,0,MATCH(I$2,Inputs!$K$4:$AJ$4,0))))+SUMPRODUCT((Inputs!$E$5:$E$110=$B11)*ISNUMBER(INDEX(Inputs!$K$5:$AJ$110,0,MATCH(I$2,Inputs!$K$4:$AJ$4,0))))=0,NA(),SUMPRODUCT((Inputs!$A$5:$A$110=$B11)*Inputs!$B$5:$B$110*(((Inputs!$G$5:$G$110="moeda")+(Inputs!$G$5:$G$110="acoes"))*Inputs!$B$1+((Inputs!$G$5:$G$110&lt;&gt;"moeda")*(Inputs!$G$5:$G$110&lt;&gt;"acoes")))*INDEX(Inputs!$K$5:$AJ$110,0,MATCH(I$2,Inputs!$K$4:$AJ$4,0)))+SUMPRODUCT((Inputs!$C$5:$C$110=$B11)*Inputs!$D$5:$D$110*(((Inputs!$G$5:$G$110="moeda")+(Inputs!$G$5:$G$110="acoes"))*Inputs!$B$1+((Inputs!$G$5:$G$110&lt;&gt;"moeda")*(Inputs!$G$5:$G$110&lt;&gt;"acoes")))*INDEX(Inputs!$K$5:$AJ$110,0,MATCH(I$2,Inputs!$K$4:$AJ$4,0)))+SUMPRODUCT((Inputs!$E$5:$E$110=$B11)*Inputs!$F$5:$F$110*(((Inputs!$G$5:$G$110="moeda")+(Inputs!$G$5:$G$110="acoes"))*Inputs!$B$1+((Inputs!$G$5:$G$110&lt;&gt;"moeda")*(Inputs!$G$5:$G$110&lt;&gt;"acoes")))*INDEX(Inputs!$K$5:$AJ$110,0,MATCH(I$2,Inputs!$K$4:$AJ$4,0)))))</f>
        <v>0</v>
      </c>
      <c r="J11" s="6">
        <f>IF(ISNA(MATCH(J$2,Inputs!$K$4:$AJ$4,0)),NA(),IF(SUMPRODUCT((Inputs!$A$5:$A$110=$B11)*ISNUMBER(INDEX(Inputs!$K$5:$AJ$110,0,MATCH(J$2,Inputs!$K$4:$AJ$4,0))))+SUMPRODUCT((Inputs!$C$5:$C$110=$B11)*ISNUMBER(INDEX(Inputs!$K$5:$AJ$110,0,MATCH(J$2,Inputs!$K$4:$AJ$4,0))))+SUMPRODUCT((Inputs!$E$5:$E$110=$B11)*ISNUMBER(INDEX(Inputs!$K$5:$AJ$110,0,MATCH(J$2,Inputs!$K$4:$AJ$4,0))))=0,NA(),SUMPRODUCT((Inputs!$A$5:$A$110=$B11)*Inputs!$B$5:$B$110*(((Inputs!$G$5:$G$110="moeda")+(Inputs!$G$5:$G$110="acoes"))*Inputs!$B$1+((Inputs!$G$5:$G$110&lt;&gt;"moeda")*(Inputs!$G$5:$G$110&lt;&gt;"acoes")))*INDEX(Inputs!$K$5:$AJ$110,0,MATCH(J$2,Inputs!$K$4:$AJ$4,0)))+SUMPRODUCT((Inputs!$C$5:$C$110=$B11)*Inputs!$D$5:$D$110*(((Inputs!$G$5:$G$110="moeda")+(Inputs!$G$5:$G$110="acoes"))*Inputs!$B$1+((Inputs!$G$5:$G$110&lt;&gt;"moeda")*(Inputs!$G$5:$G$110&lt;&gt;"acoes")))*INDEX(Inputs!$K$5:$AJ$110,0,MATCH(J$2,Inputs!$K$4:$AJ$4,0)))+SUMPRODUCT((Inputs!$E$5:$E$110=$B11)*Inputs!$F$5:$F$110*(((Inputs!$G$5:$G$110="moeda")+(Inputs!$G$5:$G$110="acoes"))*Inputs!$B$1+((Inputs!$G$5:$G$110&lt;&gt;"moeda")*(Inputs!$G$5:$G$110&lt;&gt;"acoes")))*INDEX(Inputs!$K$5:$AJ$110,0,MATCH(J$2,Inputs!$K$4:$AJ$4,0)))))</f>
        <v>0</v>
      </c>
      <c r="K11" s="6">
        <f>IF(ISNA(MATCH(K$2,Inputs!$K$4:$AJ$4,0)),NA(),IF(SUMPRODUCT((Inputs!$A$5:$A$110=$B11)*ISNUMBER(INDEX(Inputs!$K$5:$AJ$110,0,MATCH(K$2,Inputs!$K$4:$AJ$4,0))))+SUMPRODUCT((Inputs!$C$5:$C$110=$B11)*ISNUMBER(INDEX(Inputs!$K$5:$AJ$110,0,MATCH(K$2,Inputs!$K$4:$AJ$4,0))))+SUMPRODUCT((Inputs!$E$5:$E$110=$B11)*ISNUMBER(INDEX(Inputs!$K$5:$AJ$110,0,MATCH(K$2,Inputs!$K$4:$AJ$4,0))))=0,NA(),SUMPRODUCT((Inputs!$A$5:$A$110=$B11)*Inputs!$B$5:$B$110*(((Inputs!$G$5:$G$110="moeda")+(Inputs!$G$5:$G$110="acoes"))*Inputs!$B$1+((Inputs!$G$5:$G$110&lt;&gt;"moeda")*(Inputs!$G$5:$G$110&lt;&gt;"acoes")))*INDEX(Inputs!$K$5:$AJ$110,0,MATCH(K$2,Inputs!$K$4:$AJ$4,0)))+SUMPRODUCT((Inputs!$C$5:$C$110=$B11)*Inputs!$D$5:$D$110*(((Inputs!$G$5:$G$110="moeda")+(Inputs!$G$5:$G$110="acoes"))*Inputs!$B$1+((Inputs!$G$5:$G$110&lt;&gt;"moeda")*(Inputs!$G$5:$G$110&lt;&gt;"acoes")))*INDEX(Inputs!$K$5:$AJ$110,0,MATCH(K$2,Inputs!$K$4:$AJ$4,0)))+SUMPRODUCT((Inputs!$E$5:$E$110=$B11)*Inputs!$F$5:$F$110*(((Inputs!$G$5:$G$110="moeda")+(Inputs!$G$5:$G$110="acoes"))*Inputs!$B$1+((Inputs!$G$5:$G$110&lt;&gt;"moeda")*(Inputs!$G$5:$G$110&lt;&gt;"acoes")))*INDEX(Inputs!$K$5:$AJ$110,0,MATCH(K$2,Inputs!$K$4:$AJ$4,0)))))</f>
        <v>0</v>
      </c>
      <c r="L11" s="6">
        <f>IF(ISNA(MATCH(L$2,Inputs!$K$4:$AJ$4,0)),NA(),IF(SUMPRODUCT((Inputs!$A$5:$A$110=$B11)*ISNUMBER(INDEX(Inputs!$K$5:$AJ$110,0,MATCH(L$2,Inputs!$K$4:$AJ$4,0))))+SUMPRODUCT((Inputs!$C$5:$C$110=$B11)*ISNUMBER(INDEX(Inputs!$K$5:$AJ$110,0,MATCH(L$2,Inputs!$K$4:$AJ$4,0))))+SUMPRODUCT((Inputs!$E$5:$E$110=$B11)*ISNUMBER(INDEX(Inputs!$K$5:$AJ$110,0,MATCH(L$2,Inputs!$K$4:$AJ$4,0))))=0,NA(),SUMPRODUCT((Inputs!$A$5:$A$110=$B11)*Inputs!$B$5:$B$110*(((Inputs!$G$5:$G$110="moeda")+(Inputs!$G$5:$G$110="acoes"))*Inputs!$B$1+((Inputs!$G$5:$G$110&lt;&gt;"moeda")*(Inputs!$G$5:$G$110&lt;&gt;"acoes")))*INDEX(Inputs!$K$5:$AJ$110,0,MATCH(L$2,Inputs!$K$4:$AJ$4,0)))+SUMPRODUCT((Inputs!$C$5:$C$110=$B11)*Inputs!$D$5:$D$110*(((Inputs!$G$5:$G$110="moeda")+(Inputs!$G$5:$G$110="acoes"))*Inputs!$B$1+((Inputs!$G$5:$G$110&lt;&gt;"moeda")*(Inputs!$G$5:$G$110&lt;&gt;"acoes")))*INDEX(Inputs!$K$5:$AJ$110,0,MATCH(L$2,Inputs!$K$4:$AJ$4,0)))+SUMPRODUCT((Inputs!$E$5:$E$110=$B11)*Inputs!$F$5:$F$110*(((Inputs!$G$5:$G$110="moeda")+(Inputs!$G$5:$G$110="acoes"))*Inputs!$B$1+((Inputs!$G$5:$G$110&lt;&gt;"moeda")*(Inputs!$G$5:$G$110&lt;&gt;"acoes")))*INDEX(Inputs!$K$5:$AJ$110,0,MATCH(L$2,Inputs!$K$4:$AJ$4,0)))))</f>
        <v>0</v>
      </c>
      <c r="M11" s="3">
        <f>SUM(I11:L11)</f>
        <v>0</v>
      </c>
      <c r="N11" s="6">
        <f>IF(ISNA(MATCH(N$2,Inputs!$K$4:$AJ$4,0)),NA(),IF(SUMPRODUCT((Inputs!$A$5:$A$110=$B11)*ISNUMBER(INDEX(Inputs!$K$5:$AJ$110,0,MATCH(N$2,Inputs!$K$4:$AJ$4,0))))+SUMPRODUCT((Inputs!$C$5:$C$110=$B11)*ISNUMBER(INDEX(Inputs!$K$5:$AJ$110,0,MATCH(N$2,Inputs!$K$4:$AJ$4,0))))+SUMPRODUCT((Inputs!$E$5:$E$110=$B11)*ISNUMBER(INDEX(Inputs!$K$5:$AJ$110,0,MATCH(N$2,Inputs!$K$4:$AJ$4,0))))=0,NA(),SUMPRODUCT((Inputs!$A$5:$A$110=$B11)*Inputs!$B$5:$B$110*(((Inputs!$G$5:$G$110="moeda")+(Inputs!$G$5:$G$110="acoes"))*Inputs!$B$1+((Inputs!$G$5:$G$110&lt;&gt;"moeda")*(Inputs!$G$5:$G$110&lt;&gt;"acoes")))*INDEX(Inputs!$K$5:$AJ$110,0,MATCH(N$2,Inputs!$K$4:$AJ$4,0)))+SUMPRODUCT((Inputs!$C$5:$C$110=$B11)*Inputs!$D$5:$D$110*(((Inputs!$G$5:$G$110="moeda")+(Inputs!$G$5:$G$110="acoes"))*Inputs!$B$1+((Inputs!$G$5:$G$110&lt;&gt;"moeda")*(Inputs!$G$5:$G$110&lt;&gt;"acoes")))*INDEX(Inputs!$K$5:$AJ$110,0,MATCH(N$2,Inputs!$K$4:$AJ$4,0)))+SUMPRODUCT((Inputs!$E$5:$E$110=$B11)*Inputs!$F$5:$F$110*(((Inputs!$G$5:$G$110="moeda")+(Inputs!$G$5:$G$110="acoes"))*Inputs!$B$1+((Inputs!$G$5:$G$110&lt;&gt;"moeda")*(Inputs!$G$5:$G$110&lt;&gt;"acoes")))*INDEX(Inputs!$K$5:$AJ$110,0,MATCH(N$2,Inputs!$K$4:$AJ$4,0)))))</f>
        <v>0</v>
      </c>
      <c r="O11" s="6">
        <f>IF(ISNA(MATCH(O$2,Inputs!$K$4:$AJ$4,0)),NA(),IF(SUMPRODUCT((Inputs!$A$5:$A$110=$B11)*ISNUMBER(INDEX(Inputs!$K$5:$AJ$110,0,MATCH(O$2,Inputs!$K$4:$AJ$4,0))))+SUMPRODUCT((Inputs!$C$5:$C$110=$B11)*ISNUMBER(INDEX(Inputs!$K$5:$AJ$110,0,MATCH(O$2,Inputs!$K$4:$AJ$4,0))))+SUMPRODUCT((Inputs!$E$5:$E$110=$B11)*ISNUMBER(INDEX(Inputs!$K$5:$AJ$110,0,MATCH(O$2,Inputs!$K$4:$AJ$4,0))))=0,NA(),SUMPRODUCT((Inputs!$A$5:$A$110=$B11)*Inputs!$B$5:$B$110*(((Inputs!$G$5:$G$110="moeda")+(Inputs!$G$5:$G$110="acoes"))*Inputs!$B$1+((Inputs!$G$5:$G$110&lt;&gt;"moeda")*(Inputs!$G$5:$G$110&lt;&gt;"acoes")))*INDEX(Inputs!$K$5:$AJ$110,0,MATCH(O$2,Inputs!$K$4:$AJ$4,0)))+SUMPRODUCT((Inputs!$C$5:$C$110=$B11)*Inputs!$D$5:$D$110*(((Inputs!$G$5:$G$110="moeda")+(Inputs!$G$5:$G$110="acoes"))*Inputs!$B$1+((Inputs!$G$5:$G$110&lt;&gt;"moeda")*(Inputs!$G$5:$G$110&lt;&gt;"acoes")))*INDEX(Inputs!$K$5:$AJ$110,0,MATCH(O$2,Inputs!$K$4:$AJ$4,0)))+SUMPRODUCT((Inputs!$E$5:$E$110=$B11)*Inputs!$F$5:$F$110*(((Inputs!$G$5:$G$110="moeda")+(Inputs!$G$5:$G$110="acoes"))*Inputs!$B$1+((Inputs!$G$5:$G$110&lt;&gt;"moeda")*(Inputs!$G$5:$G$110&lt;&gt;"acoes")))*INDEX(Inputs!$K$5:$AJ$110,0,MATCH(O$2,Inputs!$K$4:$AJ$4,0)))))</f>
        <v>0</v>
      </c>
      <c r="P11" s="6">
        <f>IF(ISNA(MATCH(P$2,Inputs!$K$4:$AJ$4,0)),NA(),IF(SUMPRODUCT((Inputs!$A$5:$A$110=$B11)*ISNUMBER(INDEX(Inputs!$K$5:$AJ$110,0,MATCH(P$2,Inputs!$K$4:$AJ$4,0))))+SUMPRODUCT((Inputs!$C$5:$C$110=$B11)*ISNUMBER(INDEX(Inputs!$K$5:$AJ$110,0,MATCH(P$2,Inputs!$K$4:$AJ$4,0))))+SUMPRODUCT((Inputs!$E$5:$E$110=$B11)*ISNUMBER(INDEX(Inputs!$K$5:$AJ$110,0,MATCH(P$2,Inputs!$K$4:$AJ$4,0))))=0,NA(),SUMPRODUCT((Inputs!$A$5:$A$110=$B11)*Inputs!$B$5:$B$110*(((Inputs!$G$5:$G$110="moeda")+(Inputs!$G$5:$G$110="acoes"))*Inputs!$B$1+((Inputs!$G$5:$G$110&lt;&gt;"moeda")*(Inputs!$G$5:$G$110&lt;&gt;"acoes")))*INDEX(Inputs!$K$5:$AJ$110,0,MATCH(P$2,Inputs!$K$4:$AJ$4,0)))+SUMPRODUCT((Inputs!$C$5:$C$110=$B11)*Inputs!$D$5:$D$110*(((Inputs!$G$5:$G$110="moeda")+(Inputs!$G$5:$G$110="acoes"))*Inputs!$B$1+((Inputs!$G$5:$G$110&lt;&gt;"moeda")*(Inputs!$G$5:$G$110&lt;&gt;"acoes")))*INDEX(Inputs!$K$5:$AJ$110,0,MATCH(P$2,Inputs!$K$4:$AJ$4,0)))+SUMPRODUCT((Inputs!$E$5:$E$110=$B11)*Inputs!$F$5:$F$110*(((Inputs!$G$5:$G$110="moeda")+(Inputs!$G$5:$G$110="acoes"))*Inputs!$B$1+((Inputs!$G$5:$G$110&lt;&gt;"moeda")*(Inputs!$G$5:$G$110&lt;&gt;"acoes")))*INDEX(Inputs!$K$5:$AJ$110,0,MATCH(P$2,Inputs!$K$4:$AJ$4,0)))))</f>
        <v>0</v>
      </c>
      <c r="Q11" s="6">
        <f>IF(ISNA(MATCH(Q$2,Inputs!$K$4:$AJ$4,0)),NA(),IF(SUMPRODUCT((Inputs!$A$5:$A$110=$B11)*ISNUMBER(INDEX(Inputs!$K$5:$AJ$110,0,MATCH(Q$2,Inputs!$K$4:$AJ$4,0))))+SUMPRODUCT((Inputs!$C$5:$C$110=$B11)*ISNUMBER(INDEX(Inputs!$K$5:$AJ$110,0,MATCH(Q$2,Inputs!$K$4:$AJ$4,0))))+SUMPRODUCT((Inputs!$E$5:$E$110=$B11)*ISNUMBER(INDEX(Inputs!$K$5:$AJ$110,0,MATCH(Q$2,Inputs!$K$4:$AJ$4,0))))=0,NA(),SUMPRODUCT((Inputs!$A$5:$A$110=$B11)*Inputs!$B$5:$B$110*(((Inputs!$G$5:$G$110="moeda")+(Inputs!$G$5:$G$110="acoes"))*Inputs!$B$1+((Inputs!$G$5:$G$110&lt;&gt;"moeda")*(Inputs!$G$5:$G$110&lt;&gt;"acoes")))*INDEX(Inputs!$K$5:$AJ$110,0,MATCH(Q$2,Inputs!$K$4:$AJ$4,0)))+SUMPRODUCT((Inputs!$C$5:$C$110=$B11)*Inputs!$D$5:$D$110*(((Inputs!$G$5:$G$110="moeda")+(Inputs!$G$5:$G$110="acoes"))*Inputs!$B$1+((Inputs!$G$5:$G$110&lt;&gt;"moeda")*(Inputs!$G$5:$G$110&lt;&gt;"acoes")))*INDEX(Inputs!$K$5:$AJ$110,0,MATCH(Q$2,Inputs!$K$4:$AJ$4,0)))+SUMPRODUCT((Inputs!$E$5:$E$110=$B11)*Inputs!$F$5:$F$110*(((Inputs!$G$5:$G$110="moeda")+(Inputs!$G$5:$G$110="acoes"))*Inputs!$B$1+((Inputs!$G$5:$G$110&lt;&gt;"moeda")*(Inputs!$G$5:$G$110&lt;&gt;"acoes")))*INDEX(Inputs!$K$5:$AJ$110,0,MATCH(Q$2,Inputs!$K$4:$AJ$4,0)))))</f>
        <v>0</v>
      </c>
      <c r="R11" s="3">
        <f>SUM(N11:Q11)</f>
        <v>0</v>
      </c>
      <c r="S11" s="6">
        <f>IF(ISNA(MATCH(S$2,Inputs!$K$4:$AJ$4,0)),NA(),IF(SUMPRODUCT((Inputs!$A$5:$A$110=$B11)*ISNUMBER(INDEX(Inputs!$K$5:$AJ$110,0,MATCH(S$2,Inputs!$K$4:$AJ$4,0))))+SUMPRODUCT((Inputs!$C$5:$C$110=$B11)*ISNUMBER(INDEX(Inputs!$K$5:$AJ$110,0,MATCH(S$2,Inputs!$K$4:$AJ$4,0))))+SUMPRODUCT((Inputs!$E$5:$E$110=$B11)*ISNUMBER(INDEX(Inputs!$K$5:$AJ$110,0,MATCH(S$2,Inputs!$K$4:$AJ$4,0))))=0,NA(),SUMPRODUCT((Inputs!$A$5:$A$110=$B11)*Inputs!$B$5:$B$110*(((Inputs!$G$5:$G$110="moeda")+(Inputs!$G$5:$G$110="acoes"))*Inputs!$B$1+((Inputs!$G$5:$G$110&lt;&gt;"moeda")*(Inputs!$G$5:$G$110&lt;&gt;"acoes")))*INDEX(Inputs!$K$5:$AJ$110,0,MATCH(S$2,Inputs!$K$4:$AJ$4,0)))+SUMPRODUCT((Inputs!$C$5:$C$110=$B11)*Inputs!$D$5:$D$110*(((Inputs!$G$5:$G$110="moeda")+(Inputs!$G$5:$G$110="acoes"))*Inputs!$B$1+((Inputs!$G$5:$G$110&lt;&gt;"moeda")*(Inputs!$G$5:$G$110&lt;&gt;"acoes")))*INDEX(Inputs!$K$5:$AJ$110,0,MATCH(S$2,Inputs!$K$4:$AJ$4,0)))+SUMPRODUCT((Inputs!$E$5:$E$110=$B11)*Inputs!$F$5:$F$110*(((Inputs!$G$5:$G$110="moeda")+(Inputs!$G$5:$G$110="acoes"))*Inputs!$B$1+((Inputs!$G$5:$G$110&lt;&gt;"moeda")*(Inputs!$G$5:$G$110&lt;&gt;"acoes")))*INDEX(Inputs!$K$5:$AJ$110,0,MATCH(S$2,Inputs!$K$4:$AJ$4,0)))))</f>
        <v>0</v>
      </c>
      <c r="T11" s="6">
        <f>IF(ISNA(MATCH(T$2,Inputs!$K$4:$AJ$4,0)),NA(),IF(SUMPRODUCT((Inputs!$A$5:$A$110=$B11)*ISNUMBER(INDEX(Inputs!$K$5:$AJ$110,0,MATCH(T$2,Inputs!$K$4:$AJ$4,0))))+SUMPRODUCT((Inputs!$C$5:$C$110=$B11)*ISNUMBER(INDEX(Inputs!$K$5:$AJ$110,0,MATCH(T$2,Inputs!$K$4:$AJ$4,0))))+SUMPRODUCT((Inputs!$E$5:$E$110=$B11)*ISNUMBER(INDEX(Inputs!$K$5:$AJ$110,0,MATCH(T$2,Inputs!$K$4:$AJ$4,0))))=0,NA(),SUMPRODUCT((Inputs!$A$5:$A$110=$B11)*Inputs!$B$5:$B$110*(((Inputs!$G$5:$G$110="moeda")+(Inputs!$G$5:$G$110="acoes"))*Inputs!$B$1+((Inputs!$G$5:$G$110&lt;&gt;"moeda")*(Inputs!$G$5:$G$110&lt;&gt;"acoes")))*INDEX(Inputs!$K$5:$AJ$110,0,MATCH(T$2,Inputs!$K$4:$AJ$4,0)))+SUMPRODUCT((Inputs!$C$5:$C$110=$B11)*Inputs!$D$5:$D$110*(((Inputs!$G$5:$G$110="moeda")+(Inputs!$G$5:$G$110="acoes"))*Inputs!$B$1+((Inputs!$G$5:$G$110&lt;&gt;"moeda")*(Inputs!$G$5:$G$110&lt;&gt;"acoes")))*INDEX(Inputs!$K$5:$AJ$110,0,MATCH(T$2,Inputs!$K$4:$AJ$4,0)))+SUMPRODUCT((Inputs!$E$5:$E$110=$B11)*Inputs!$F$5:$F$110*(((Inputs!$G$5:$G$110="moeda")+(Inputs!$G$5:$G$110="acoes"))*Inputs!$B$1+((Inputs!$G$5:$G$110&lt;&gt;"moeda")*(Inputs!$G$5:$G$110&lt;&gt;"acoes")))*INDEX(Inputs!$K$5:$AJ$110,0,MATCH(T$2,Inputs!$K$4:$AJ$4,0)))))</f>
        <v>0</v>
      </c>
      <c r="U11" s="6">
        <f>IF(ISNA(MATCH(U$2,Inputs!$K$4:$AJ$4,0)),NA(),IF(SUMPRODUCT((Inputs!$A$5:$A$110=$B11)*ISNUMBER(INDEX(Inputs!$K$5:$AJ$110,0,MATCH(U$2,Inputs!$K$4:$AJ$4,0))))+SUMPRODUCT((Inputs!$C$5:$C$110=$B11)*ISNUMBER(INDEX(Inputs!$K$5:$AJ$110,0,MATCH(U$2,Inputs!$K$4:$AJ$4,0))))+SUMPRODUCT((Inputs!$E$5:$E$110=$B11)*ISNUMBER(INDEX(Inputs!$K$5:$AJ$110,0,MATCH(U$2,Inputs!$K$4:$AJ$4,0))))=0,NA(),SUMPRODUCT((Inputs!$A$5:$A$110=$B11)*Inputs!$B$5:$B$110*(((Inputs!$G$5:$G$110="moeda")+(Inputs!$G$5:$G$110="acoes"))*Inputs!$B$1+((Inputs!$G$5:$G$110&lt;&gt;"moeda")*(Inputs!$G$5:$G$110&lt;&gt;"acoes")))*INDEX(Inputs!$K$5:$AJ$110,0,MATCH(U$2,Inputs!$K$4:$AJ$4,0)))+SUMPRODUCT((Inputs!$C$5:$C$110=$B11)*Inputs!$D$5:$D$110*(((Inputs!$G$5:$G$110="moeda")+(Inputs!$G$5:$G$110="acoes"))*Inputs!$B$1+((Inputs!$G$5:$G$110&lt;&gt;"moeda")*(Inputs!$G$5:$G$110&lt;&gt;"acoes")))*INDEX(Inputs!$K$5:$AJ$110,0,MATCH(U$2,Inputs!$K$4:$AJ$4,0)))+SUMPRODUCT((Inputs!$E$5:$E$110=$B11)*Inputs!$F$5:$F$110*(((Inputs!$G$5:$G$110="moeda")+(Inputs!$G$5:$G$110="acoes"))*Inputs!$B$1+((Inputs!$G$5:$G$110&lt;&gt;"moeda")*(Inputs!$G$5:$G$110&lt;&gt;"acoes")))*INDEX(Inputs!$K$5:$AJ$110,0,MATCH(U$2,Inputs!$K$4:$AJ$4,0)))))</f>
        <v>0</v>
      </c>
      <c r="V11" s="6">
        <f>IF(ISNA(MATCH(V$2,Inputs!$K$4:$AJ$4,0)),NA(),IF(SUMPRODUCT((Inputs!$A$5:$A$110=$B11)*ISNUMBER(INDEX(Inputs!$K$5:$AJ$110,0,MATCH(V$2,Inputs!$K$4:$AJ$4,0))))+SUMPRODUCT((Inputs!$C$5:$C$110=$B11)*ISNUMBER(INDEX(Inputs!$K$5:$AJ$110,0,MATCH(V$2,Inputs!$K$4:$AJ$4,0))))+SUMPRODUCT((Inputs!$E$5:$E$110=$B11)*ISNUMBER(INDEX(Inputs!$K$5:$AJ$110,0,MATCH(V$2,Inputs!$K$4:$AJ$4,0))))=0,NA(),SUMPRODUCT((Inputs!$A$5:$A$110=$B11)*Inputs!$B$5:$B$110*(((Inputs!$G$5:$G$110="moeda")+(Inputs!$G$5:$G$110="acoes"))*Inputs!$B$1+((Inputs!$G$5:$G$110&lt;&gt;"moeda")*(Inputs!$G$5:$G$110&lt;&gt;"acoes")))*INDEX(Inputs!$K$5:$AJ$110,0,MATCH(V$2,Inputs!$K$4:$AJ$4,0)))+SUMPRODUCT((Inputs!$C$5:$C$110=$B11)*Inputs!$D$5:$D$110*(((Inputs!$G$5:$G$110="moeda")+(Inputs!$G$5:$G$110="acoes"))*Inputs!$B$1+((Inputs!$G$5:$G$110&lt;&gt;"moeda")*(Inputs!$G$5:$G$110&lt;&gt;"acoes")))*INDEX(Inputs!$K$5:$AJ$110,0,MATCH(V$2,Inputs!$K$4:$AJ$4,0)))+SUMPRODUCT((Inputs!$E$5:$E$110=$B11)*Inputs!$F$5:$F$110*(((Inputs!$G$5:$G$110="moeda")+(Inputs!$G$5:$G$110="acoes"))*Inputs!$B$1+((Inputs!$G$5:$G$110&lt;&gt;"moeda")*(Inputs!$G$5:$G$110&lt;&gt;"acoes")))*INDEX(Inputs!$K$5:$AJ$110,0,MATCH(V$2,Inputs!$K$4:$AJ$4,0)))))</f>
        <v>0</v>
      </c>
      <c r="W11" s="3">
        <f>SUM(S11:V11)</f>
        <v>0</v>
      </c>
      <c r="X11" s="6">
        <f>IF(ISNA(MATCH(X$2,Inputs!$K$4:$AJ$4,0)),NA(),IF(SUMPRODUCT((Inputs!$A$5:$A$110=$B11)*ISNUMBER(INDEX(Inputs!$K$5:$AJ$110,0,MATCH(X$2,Inputs!$K$4:$AJ$4,0))))+SUMPRODUCT((Inputs!$C$5:$C$110=$B11)*ISNUMBER(INDEX(Inputs!$K$5:$AJ$110,0,MATCH(X$2,Inputs!$K$4:$AJ$4,0))))+SUMPRODUCT((Inputs!$E$5:$E$110=$B11)*ISNUMBER(INDEX(Inputs!$K$5:$AJ$110,0,MATCH(X$2,Inputs!$K$4:$AJ$4,0))))=0,NA(),SUMPRODUCT((Inputs!$A$5:$A$110=$B11)*Inputs!$B$5:$B$110*(((Inputs!$G$5:$G$110="moeda")+(Inputs!$G$5:$G$110="acoes"))*Inputs!$B$1+((Inputs!$G$5:$G$110&lt;&gt;"moeda")*(Inputs!$G$5:$G$110&lt;&gt;"acoes")))*INDEX(Inputs!$K$5:$AJ$110,0,MATCH(X$2,Inputs!$K$4:$AJ$4,0)))+SUMPRODUCT((Inputs!$C$5:$C$110=$B11)*Inputs!$D$5:$D$110*(((Inputs!$G$5:$G$110="moeda")+(Inputs!$G$5:$G$110="acoes"))*Inputs!$B$1+((Inputs!$G$5:$G$110&lt;&gt;"moeda")*(Inputs!$G$5:$G$110&lt;&gt;"acoes")))*INDEX(Inputs!$K$5:$AJ$110,0,MATCH(X$2,Inputs!$K$4:$AJ$4,0)))+SUMPRODUCT((Inputs!$E$5:$E$110=$B11)*Inputs!$F$5:$F$110*(((Inputs!$G$5:$G$110="moeda")+(Inputs!$G$5:$G$110="acoes"))*Inputs!$B$1+((Inputs!$G$5:$G$110&lt;&gt;"moeda")*(Inputs!$G$5:$G$110&lt;&gt;"acoes")))*INDEX(Inputs!$K$5:$AJ$110,0,MATCH(X$2,Inputs!$K$4:$AJ$4,0)))))</f>
        <v>0</v>
      </c>
      <c r="Y11" s="6">
        <f>IF(ISNA(MATCH(Y$2,Inputs!$K$4:$AJ$4,0)),NA(),IF(SUMPRODUCT((Inputs!$A$5:$A$110=$B11)*ISNUMBER(INDEX(Inputs!$K$5:$AJ$110,0,MATCH(Y$2,Inputs!$K$4:$AJ$4,0))))+SUMPRODUCT((Inputs!$C$5:$C$110=$B11)*ISNUMBER(INDEX(Inputs!$K$5:$AJ$110,0,MATCH(Y$2,Inputs!$K$4:$AJ$4,0))))+SUMPRODUCT((Inputs!$E$5:$E$110=$B11)*ISNUMBER(INDEX(Inputs!$K$5:$AJ$110,0,MATCH(Y$2,Inputs!$K$4:$AJ$4,0))))=0,NA(),SUMPRODUCT((Inputs!$A$5:$A$110=$B11)*Inputs!$B$5:$B$110*(((Inputs!$G$5:$G$110="moeda")+(Inputs!$G$5:$G$110="acoes"))*Inputs!$B$1+((Inputs!$G$5:$G$110&lt;&gt;"moeda")*(Inputs!$G$5:$G$110&lt;&gt;"acoes")))*INDEX(Inputs!$K$5:$AJ$110,0,MATCH(Y$2,Inputs!$K$4:$AJ$4,0)))+SUMPRODUCT((Inputs!$C$5:$C$110=$B11)*Inputs!$D$5:$D$110*(((Inputs!$G$5:$G$110="moeda")+(Inputs!$G$5:$G$110="acoes"))*Inputs!$B$1+((Inputs!$G$5:$G$110&lt;&gt;"moeda")*(Inputs!$G$5:$G$110&lt;&gt;"acoes")))*INDEX(Inputs!$K$5:$AJ$110,0,MATCH(Y$2,Inputs!$K$4:$AJ$4,0)))+SUMPRODUCT((Inputs!$E$5:$E$110=$B11)*Inputs!$F$5:$F$110*(((Inputs!$G$5:$G$110="moeda")+(Inputs!$G$5:$G$110="acoes"))*Inputs!$B$1+((Inputs!$G$5:$G$110&lt;&gt;"moeda")*(Inputs!$G$5:$G$110&lt;&gt;"acoes")))*INDEX(Inputs!$K$5:$AJ$110,0,MATCH(Y$2,Inputs!$K$4:$AJ$4,0)))))</f>
        <v>0</v>
      </c>
      <c r="Z11" s="6">
        <f>IF(ISNA(MATCH(Z$2,Inputs!$K$4:$AJ$4,0)),NA(),IF(SUMPRODUCT((Inputs!$A$5:$A$110=$B11)*ISNUMBER(INDEX(Inputs!$K$5:$AJ$110,0,MATCH(Z$2,Inputs!$K$4:$AJ$4,0))))+SUMPRODUCT((Inputs!$C$5:$C$110=$B11)*ISNUMBER(INDEX(Inputs!$K$5:$AJ$110,0,MATCH(Z$2,Inputs!$K$4:$AJ$4,0))))+SUMPRODUCT((Inputs!$E$5:$E$110=$B11)*ISNUMBER(INDEX(Inputs!$K$5:$AJ$110,0,MATCH(Z$2,Inputs!$K$4:$AJ$4,0))))=0,NA(),SUMPRODUCT((Inputs!$A$5:$A$110=$B11)*Inputs!$B$5:$B$110*(((Inputs!$G$5:$G$110="moeda")+(Inputs!$G$5:$G$110="acoes"))*Inputs!$B$1+((Inputs!$G$5:$G$110&lt;&gt;"moeda")*(Inputs!$G$5:$G$110&lt;&gt;"acoes")))*INDEX(Inputs!$K$5:$AJ$110,0,MATCH(Z$2,Inputs!$K$4:$AJ$4,0)))+SUMPRODUCT((Inputs!$C$5:$C$110=$B11)*Inputs!$D$5:$D$110*(((Inputs!$G$5:$G$110="moeda")+(Inputs!$G$5:$G$110="acoes"))*Inputs!$B$1+((Inputs!$G$5:$G$110&lt;&gt;"moeda")*(Inputs!$G$5:$G$110&lt;&gt;"acoes")))*INDEX(Inputs!$K$5:$AJ$110,0,MATCH(Z$2,Inputs!$K$4:$AJ$4,0)))+SUMPRODUCT((Inputs!$E$5:$E$110=$B11)*Inputs!$F$5:$F$110*(((Inputs!$G$5:$G$110="moeda")+(Inputs!$G$5:$G$110="acoes"))*Inputs!$B$1+((Inputs!$G$5:$G$110&lt;&gt;"moeda")*(Inputs!$G$5:$G$110&lt;&gt;"acoes")))*INDEX(Inputs!$K$5:$AJ$110,0,MATCH(Z$2,Inputs!$K$4:$AJ$4,0)))))</f>
        <v>0</v>
      </c>
      <c r="AA11" s="6">
        <f>IF(ISNA(MATCH(AA$2,Inputs!$K$4:$AJ$4,0)),NA(),IF(SUMPRODUCT((Inputs!$A$5:$A$110=$B11)*ISNUMBER(INDEX(Inputs!$K$5:$AJ$110,0,MATCH(AA$2,Inputs!$K$4:$AJ$4,0))))+SUMPRODUCT((Inputs!$C$5:$C$110=$B11)*ISNUMBER(INDEX(Inputs!$K$5:$AJ$110,0,MATCH(AA$2,Inputs!$K$4:$AJ$4,0))))+SUMPRODUCT((Inputs!$E$5:$E$110=$B11)*ISNUMBER(INDEX(Inputs!$K$5:$AJ$110,0,MATCH(AA$2,Inputs!$K$4:$AJ$4,0))))=0,NA(),SUMPRODUCT((Inputs!$A$5:$A$110=$B11)*Inputs!$B$5:$B$110*(((Inputs!$G$5:$G$110="moeda")+(Inputs!$G$5:$G$110="acoes"))*Inputs!$B$1+((Inputs!$G$5:$G$110&lt;&gt;"moeda")*(Inputs!$G$5:$G$110&lt;&gt;"acoes")))*INDEX(Inputs!$K$5:$AJ$110,0,MATCH(AA$2,Inputs!$K$4:$AJ$4,0)))+SUMPRODUCT((Inputs!$C$5:$C$110=$B11)*Inputs!$D$5:$D$110*(((Inputs!$G$5:$G$110="moeda")+(Inputs!$G$5:$G$110="acoes"))*Inputs!$B$1+((Inputs!$G$5:$G$110&lt;&gt;"moeda")*(Inputs!$G$5:$G$110&lt;&gt;"acoes")))*INDEX(Inputs!$K$5:$AJ$110,0,MATCH(AA$2,Inputs!$K$4:$AJ$4,0)))+SUMPRODUCT((Inputs!$E$5:$E$110=$B11)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1" s="3">
        <f>SUM(X11:AA11)</f>
        <v>0</v>
      </c>
      <c r="AC11" s="6">
        <f>IF(ISNA(MATCH(AC$2,Inputs!$K$4:$AJ$4,0)),NA(),IF(SUMPRODUCT((Inputs!$A$5:$A$110=$B11)*ISNUMBER(INDEX(Inputs!$K$5:$AJ$110,0,MATCH(AC$2,Inputs!$K$4:$AJ$4,0))))+SUMPRODUCT((Inputs!$C$5:$C$110=$B11)*ISNUMBER(INDEX(Inputs!$K$5:$AJ$110,0,MATCH(AC$2,Inputs!$K$4:$AJ$4,0))))+SUMPRODUCT((Inputs!$E$5:$E$110=$B11)*ISNUMBER(INDEX(Inputs!$K$5:$AJ$110,0,MATCH(AC$2,Inputs!$K$4:$AJ$4,0))))=0,NA(),SUMPRODUCT((Inputs!$A$5:$A$110=$B11)*Inputs!$B$5:$B$110*(((Inputs!$G$5:$G$110="moeda")+(Inputs!$G$5:$G$110="acoes"))*Inputs!$B$1+((Inputs!$G$5:$G$110&lt;&gt;"moeda")*(Inputs!$G$5:$G$110&lt;&gt;"acoes")))*INDEX(Inputs!$K$5:$AJ$110,0,MATCH(AC$2,Inputs!$K$4:$AJ$4,0)))+SUMPRODUCT((Inputs!$C$5:$C$110=$B11)*Inputs!$D$5:$D$110*(((Inputs!$G$5:$G$110="moeda")+(Inputs!$G$5:$G$110="acoes"))*Inputs!$B$1+((Inputs!$G$5:$G$110&lt;&gt;"moeda")*(Inputs!$G$5:$G$110&lt;&gt;"acoes")))*INDEX(Inputs!$K$5:$AJ$110,0,MATCH(AC$2,Inputs!$K$4:$AJ$4,0)))+SUMPRODUCT((Inputs!$E$5:$E$110=$B11)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1" s="6">
        <f>IF(ISNA(MATCH(AD$2,Inputs!$K$4:$AJ$4,0)),NA(),IF(SUMPRODUCT((Inputs!$A$5:$A$110=$B11)*ISNUMBER(INDEX(Inputs!$K$5:$AJ$110,0,MATCH(AD$2,Inputs!$K$4:$AJ$4,0))))+SUMPRODUCT((Inputs!$C$5:$C$110=$B11)*ISNUMBER(INDEX(Inputs!$K$5:$AJ$110,0,MATCH(AD$2,Inputs!$K$4:$AJ$4,0))))+SUMPRODUCT((Inputs!$E$5:$E$110=$B11)*ISNUMBER(INDEX(Inputs!$K$5:$AJ$110,0,MATCH(AD$2,Inputs!$K$4:$AJ$4,0))))=0,NA(),SUMPRODUCT((Inputs!$A$5:$A$110=$B11)*Inputs!$B$5:$B$110*(((Inputs!$G$5:$G$110="moeda")+(Inputs!$G$5:$G$110="acoes"))*Inputs!$B$1+((Inputs!$G$5:$G$110&lt;&gt;"moeda")*(Inputs!$G$5:$G$110&lt;&gt;"acoes")))*INDEX(Inputs!$K$5:$AJ$110,0,MATCH(AD$2,Inputs!$K$4:$AJ$4,0)))+SUMPRODUCT((Inputs!$C$5:$C$110=$B11)*Inputs!$D$5:$D$110*(((Inputs!$G$5:$G$110="moeda")+(Inputs!$G$5:$G$110="acoes"))*Inputs!$B$1+((Inputs!$G$5:$G$110&lt;&gt;"moeda")*(Inputs!$G$5:$G$110&lt;&gt;"acoes")))*INDEX(Inputs!$K$5:$AJ$110,0,MATCH(AD$2,Inputs!$K$4:$AJ$4,0)))+SUMPRODUCT((Inputs!$E$5:$E$110=$B11)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1" s="6" t="e">
        <f>IF(ISNA(MATCH(AE$2,Inputs!$K$4:$AJ$4,0)),NA(),IF(SUMPRODUCT((Inputs!$A$5:$A$110=$B11)*ISNUMBER(INDEX(Inputs!$K$5:$AJ$110,0,MATCH(AE$2,Inputs!$K$4:$AJ$4,0))))+SUMPRODUCT((Inputs!$C$5:$C$110=$B11)*ISNUMBER(INDEX(Inputs!$K$5:$AJ$110,0,MATCH(AE$2,Inputs!$K$4:$AJ$4,0))))+SUMPRODUCT((Inputs!$E$5:$E$110=$B11)*ISNUMBER(INDEX(Inputs!$K$5:$AJ$110,0,MATCH(AE$2,Inputs!$K$4:$AJ$4,0))))=0,NA(),SUMPRODUCT((Inputs!$A$5:$A$110=$B11)*Inputs!$B$5:$B$110*(((Inputs!$G$5:$G$110="moeda")+(Inputs!$G$5:$G$110="acoes"))*Inputs!$B$1+((Inputs!$G$5:$G$110&lt;&gt;"moeda")*(Inputs!$G$5:$G$110&lt;&gt;"acoes")))*INDEX(Inputs!$K$5:$AJ$110,0,MATCH(AE$2,Inputs!$K$4:$AJ$4,0)))+SUMPRODUCT((Inputs!$C$5:$C$110=$B11)*Inputs!$D$5:$D$110*(((Inputs!$G$5:$G$110="moeda")+(Inputs!$G$5:$G$110="acoes"))*Inputs!$B$1+((Inputs!$G$5:$G$110&lt;&gt;"moeda")*(Inputs!$G$5:$G$110&lt;&gt;"acoes")))*INDEX(Inputs!$K$5:$AJ$110,0,MATCH(AE$2,Inputs!$K$4:$AJ$4,0)))+SUMPRODUCT((Inputs!$E$5:$E$110=$B11)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1" s="6" t="e">
        <f>IF(ISNA(MATCH(AF$2,Inputs!$K$4:$AJ$4,0)),NA(),IF(SUMPRODUCT((Inputs!$A$5:$A$110=$B11)*ISNUMBER(INDEX(Inputs!$K$5:$AJ$110,0,MATCH(AF$2,Inputs!$K$4:$AJ$4,0))))+SUMPRODUCT((Inputs!$C$5:$C$110=$B11)*ISNUMBER(INDEX(Inputs!$K$5:$AJ$110,0,MATCH(AF$2,Inputs!$K$4:$AJ$4,0))))+SUMPRODUCT((Inputs!$E$5:$E$110=$B11)*ISNUMBER(INDEX(Inputs!$K$5:$AJ$110,0,MATCH(AF$2,Inputs!$K$4:$AJ$4,0))))=0,NA(),SUMPRODUCT((Inputs!$A$5:$A$110=$B11)*Inputs!$B$5:$B$110*(((Inputs!$G$5:$G$110="moeda")+(Inputs!$G$5:$G$110="acoes"))*Inputs!$B$1+((Inputs!$G$5:$G$110&lt;&gt;"moeda")*(Inputs!$G$5:$G$110&lt;&gt;"acoes")))*INDEX(Inputs!$K$5:$AJ$110,0,MATCH(AF$2,Inputs!$K$4:$AJ$4,0)))+SUMPRODUCT((Inputs!$C$5:$C$110=$B11)*Inputs!$D$5:$D$110*(((Inputs!$G$5:$G$110="moeda")+(Inputs!$G$5:$G$110="acoes"))*Inputs!$B$1+((Inputs!$G$5:$G$110&lt;&gt;"moeda")*(Inputs!$G$5:$G$110&lt;&gt;"acoes")))*INDEX(Inputs!$K$5:$AJ$110,0,MATCH(AF$2,Inputs!$K$4:$AJ$4,0)))+SUMPRODUCT((Inputs!$E$5:$E$110=$B11)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$110=$B11)*ISNUMBER(INDEX(Inputs!$K$5:$AJ$110,0,MATCH(AH$2,Inputs!$K$4:$AJ$4,0))))+SUMPRODUCT((Inputs!$C$5:$C$110=$B11)*ISNUMBER(INDEX(Inputs!$K$5:$AJ$110,0,MATCH(AH$2,Inputs!$K$4:$AJ$4,0))))+SUMPRODUCT((Inputs!$E$5:$E$110=$B11)*ISNUMBER(INDEX(Inputs!$K$5:$AJ$110,0,MATCH(AH$2,Inputs!$K$4:$AJ$4,0))))=0,NA(),SUMPRODUCT((Inputs!$A$5:$A$110=$B11)*Inputs!$B$5:$B$110*(((Inputs!$G$5:$G$110="moeda")+(Inputs!$G$5:$G$110="acoes"))*Inputs!$B$1+((Inputs!$G$5:$G$110&lt;&gt;"moeda")*(Inputs!$G$5:$G$110&lt;&gt;"acoes")))*INDEX(Inputs!$K$5:$AJ$110,0,MATCH(AH$2,Inputs!$K$4:$AJ$4,0)))+SUMPRODUCT((Inputs!$C$5:$C$110=$B11)*Inputs!$D$5:$D$110*(((Inputs!$G$5:$G$110="moeda")+(Inputs!$G$5:$G$110="acoes"))*Inputs!$B$1+((Inputs!$G$5:$G$110&lt;&gt;"moeda")*(Inputs!$G$5:$G$110&lt;&gt;"acoes")))*INDEX(Inputs!$K$5:$AJ$110,0,MATCH(AH$2,Inputs!$K$4:$AJ$4,0)))+SUMPRODUCT((Inputs!$E$5:$E$110=$B11)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1" s="6">
        <f>IF(ISNA(MATCH(AI$2,Inputs!$K$4:$AJ$4,0)),NA(),IF(SUMPRODUCT((Inputs!$A$5:$A$110=$B11)*ISNUMBER(INDEX(Inputs!$K$5:$AJ$110,0,MATCH(AI$2,Inputs!$K$4:$AJ$4,0))))+SUMPRODUCT((Inputs!$C$5:$C$110=$B11)*ISNUMBER(INDEX(Inputs!$K$5:$AJ$110,0,MATCH(AI$2,Inputs!$K$4:$AJ$4,0))))+SUMPRODUCT((Inputs!$E$5:$E$110=$B11)*ISNUMBER(INDEX(Inputs!$K$5:$AJ$110,0,MATCH(AI$2,Inputs!$K$4:$AJ$4,0))))=0,NA(),SUMPRODUCT((Inputs!$A$5:$A$110=$B11)*Inputs!$B$5:$B$110*(((Inputs!$G$5:$G$110="moeda")+(Inputs!$G$5:$G$110="acoes"))*Inputs!$B$1+((Inputs!$G$5:$G$110&lt;&gt;"moeda")*(Inputs!$G$5:$G$110&lt;&gt;"acoes")))*INDEX(Inputs!$K$5:$AJ$110,0,MATCH(AI$2,Inputs!$K$4:$AJ$4,0)))+SUMPRODUCT((Inputs!$C$5:$C$110=$B11)*Inputs!$D$5:$D$110*(((Inputs!$G$5:$G$110="moeda")+(Inputs!$G$5:$G$110="acoes"))*Inputs!$B$1+((Inputs!$G$5:$G$110&lt;&gt;"moeda")*(Inputs!$G$5:$G$110&lt;&gt;"acoes")))*INDEX(Inputs!$K$5:$AJ$110,0,MATCH(AI$2,Inputs!$K$4:$AJ$4,0)))+SUMPRODUCT((Inputs!$E$5:$E$110=$B11)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1" s="6">
        <f>IF(ISNA(MATCH(AJ$2,Inputs!$K$4:$AJ$4,0)),NA(),IF(SUMPRODUCT((Inputs!$A$5:$A$110=$B11)*ISNUMBER(INDEX(Inputs!$K$5:$AJ$110,0,MATCH(AJ$2,Inputs!$K$4:$AJ$4,0))))+SUMPRODUCT((Inputs!$C$5:$C$110=$B11)*ISNUMBER(INDEX(Inputs!$K$5:$AJ$110,0,MATCH(AJ$2,Inputs!$K$4:$AJ$4,0))))+SUMPRODUCT((Inputs!$E$5:$E$110=$B11)*ISNUMBER(INDEX(Inputs!$K$5:$AJ$110,0,MATCH(AJ$2,Inputs!$K$4:$AJ$4,0))))=0,NA(),SUMPRODUCT((Inputs!$A$5:$A$110=$B11)*Inputs!$B$5:$B$110*(((Inputs!$G$5:$G$110="moeda")+(Inputs!$G$5:$G$110="acoes"))*Inputs!$B$1+((Inputs!$G$5:$G$110&lt;&gt;"moeda")*(Inputs!$G$5:$G$110&lt;&gt;"acoes")))*INDEX(Inputs!$K$5:$AJ$110,0,MATCH(AJ$2,Inputs!$K$4:$AJ$4,0)))+SUMPRODUCT((Inputs!$C$5:$C$110=$B11)*Inputs!$D$5:$D$110*(((Inputs!$G$5:$G$110="moeda")+(Inputs!$G$5:$G$110="acoes"))*Inputs!$B$1+((Inputs!$G$5:$G$110&lt;&gt;"moeda")*(Inputs!$G$5:$G$110&lt;&gt;"acoes")))*INDEX(Inputs!$K$5:$AJ$110,0,MATCH(AJ$2,Inputs!$K$4:$AJ$4,0)))+SUMPRODUCT((Inputs!$E$5:$E$110=$B11)*Inputs!$F$5:$F$110*(((Inputs!$G$5:$G$110="moeda")+(Inputs!$G$5:$G$110="acoes"))*Inputs!$B$1+((Inputs!$G$5:$G$110&lt;&gt;"moeda")*(Inputs!$G$5:$G$110&lt;&gt;"acoes")))*INDEX(Inputs!$K$5:$AJ$110,0,MATCH(AJ$2,Inputs!$K$4:$AJ$4,0)))))</f>
        <v>-55</v>
      </c>
      <c r="AK11" s="6">
        <f>IF(ISNA(MATCH(AK$2,Inputs!$K$4:$AJ$4,0)),NA(),IF(SUMPRODUCT((Inputs!$A$5:$A$110=$B11)*ISNUMBER(INDEX(Inputs!$K$5:$AJ$110,0,MATCH(AK$2,Inputs!$K$4:$AJ$4,0))))+SUMPRODUCT((Inputs!$C$5:$C$110=$B11)*ISNUMBER(INDEX(Inputs!$K$5:$AJ$110,0,MATCH(AK$2,Inputs!$K$4:$AJ$4,0))))+SUMPRODUCT((Inputs!$E$5:$E$110=$B11)*ISNUMBER(INDEX(Inputs!$K$5:$AJ$110,0,MATCH(AK$2,Inputs!$K$4:$AJ$4,0))))=0,NA(),SUMPRODUCT((Inputs!$A$5:$A$110=$B11)*Inputs!$B$5:$B$110*(((Inputs!$G$5:$G$110="moeda")+(Inputs!$G$5:$G$110="acoes"))*Inputs!$B$1+((Inputs!$G$5:$G$110&lt;&gt;"moeda")*(Inputs!$G$5:$G$110&lt;&gt;"acoes")))*INDEX(Inputs!$K$5:$AJ$110,0,MATCH(AK$2,Inputs!$K$4:$AJ$4,0)))+SUMPRODUCT((Inputs!$C$5:$C$110=$B11)*Inputs!$D$5:$D$110*(((Inputs!$G$5:$G$110="moeda")+(Inputs!$G$5:$G$110="acoes"))*Inputs!$B$1+((Inputs!$G$5:$G$110&lt;&gt;"moeda")*(Inputs!$G$5:$G$110&lt;&gt;"acoes")))*INDEX(Inputs!$K$5:$AJ$110,0,MATCH(AK$2,Inputs!$K$4:$AJ$4,0)))+SUMPRODUCT((Inputs!$E$5:$E$110=$B11)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1" s="3">
        <f>SUM(AH11:AK11)</f>
        <v>-55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$110=$B12)*ISNUMBER(INDEX(Inputs!$K$5:$AJ$110,0,MATCH(D$2,Inputs!$K$4:$AJ$4,0))))+SUMPRODUCT((Inputs!$C$5:$C$110=$B12)*ISNUMBER(INDEX(Inputs!$K$5:$AJ$110,0,MATCH(D$2,Inputs!$K$4:$AJ$4,0))))+SUMPRODUCT((Inputs!$E$5:$E$110=$B12)*ISNUMBER(INDEX(Inputs!$K$5:$AJ$110,0,MATCH(D$2,Inputs!$K$4:$AJ$4,0))))=0,NA(),SUMPRODUCT((Inputs!$A$5:$A$110=$B12)*Inputs!$B$5:$B$110*(((Inputs!$G$5:$G$110="moeda")+(Inputs!$G$5:$G$110="acoes"))*Inputs!$B$1+((Inputs!$G$5:$G$110&lt;&gt;"moeda")*(Inputs!$G$5:$G$110&lt;&gt;"acoes")))*INDEX(Inputs!$K$5:$AJ$110,0,MATCH(D$2,Inputs!$K$4:$AJ$4,0)))+SUMPRODUCT((Inputs!$C$5:$C$110=$B12)*Inputs!$D$5:$D$110*(((Inputs!$G$5:$G$110="moeda")+(Inputs!$G$5:$G$110="acoes"))*Inputs!$B$1+((Inputs!$G$5:$G$110&lt;&gt;"moeda")*(Inputs!$G$5:$G$110&lt;&gt;"acoes")))*INDEX(Inputs!$K$5:$AJ$110,0,MATCH(D$2,Inputs!$K$4:$AJ$4,0)))+SUMPRODUCT((Inputs!$E$5:$E$110=$B12)*Inputs!$F$5:$F$110*(((Inputs!$G$5:$G$110="moeda")+(Inputs!$G$5:$G$110="acoes"))*Inputs!$B$1+((Inputs!$G$5:$G$110&lt;&gt;"moeda")*(Inputs!$G$5:$G$110&lt;&gt;"acoes")))*INDEX(Inputs!$K$5:$AJ$110,0,MATCH(D$2,Inputs!$K$4:$AJ$4,0)))))</f>
        <v>0</v>
      </c>
      <c r="E12" s="6">
        <f>IF(ISNA(MATCH(E$2,Inputs!$K$4:$AJ$4,0)),NA(),IF(SUMPRODUCT((Inputs!$A$5:$A$110=$B12)*ISNUMBER(INDEX(Inputs!$K$5:$AJ$110,0,MATCH(E$2,Inputs!$K$4:$AJ$4,0))))+SUMPRODUCT((Inputs!$C$5:$C$110=$B12)*ISNUMBER(INDEX(Inputs!$K$5:$AJ$110,0,MATCH(E$2,Inputs!$K$4:$AJ$4,0))))+SUMPRODUCT((Inputs!$E$5:$E$110=$B12)*ISNUMBER(INDEX(Inputs!$K$5:$AJ$110,0,MATCH(E$2,Inputs!$K$4:$AJ$4,0))))=0,NA(),SUMPRODUCT((Inputs!$A$5:$A$110=$B12)*Inputs!$B$5:$B$110*(((Inputs!$G$5:$G$110="moeda")+(Inputs!$G$5:$G$110="acoes"))*Inputs!$B$1+((Inputs!$G$5:$G$110&lt;&gt;"moeda")*(Inputs!$G$5:$G$110&lt;&gt;"acoes")))*INDEX(Inputs!$K$5:$AJ$110,0,MATCH(E$2,Inputs!$K$4:$AJ$4,0)))+SUMPRODUCT((Inputs!$C$5:$C$110=$B12)*Inputs!$D$5:$D$110*(((Inputs!$G$5:$G$110="moeda")+(Inputs!$G$5:$G$110="acoes"))*Inputs!$B$1+((Inputs!$G$5:$G$110&lt;&gt;"moeda")*(Inputs!$G$5:$G$110&lt;&gt;"acoes")))*INDEX(Inputs!$K$5:$AJ$110,0,MATCH(E$2,Inputs!$K$4:$AJ$4,0)))+SUMPRODUCT((Inputs!$E$5:$E$110=$B12)*Inputs!$F$5:$F$110*(((Inputs!$G$5:$G$110="moeda")+(Inputs!$G$5:$G$110="acoes"))*Inputs!$B$1+((Inputs!$G$5:$G$110&lt;&gt;"moeda")*(Inputs!$G$5:$G$110&lt;&gt;"acoes")))*INDEX(Inputs!$K$5:$AJ$110,0,MATCH(E$2,Inputs!$K$4:$AJ$4,0)))))</f>
        <v>0</v>
      </c>
      <c r="F12" s="6">
        <f>IF(ISNA(MATCH(F$2,Inputs!$K$4:$AJ$4,0)),NA(),IF(SUMPRODUCT((Inputs!$A$5:$A$110=$B12)*ISNUMBER(INDEX(Inputs!$K$5:$AJ$110,0,MATCH(F$2,Inputs!$K$4:$AJ$4,0))))+SUMPRODUCT((Inputs!$C$5:$C$110=$B12)*ISNUMBER(INDEX(Inputs!$K$5:$AJ$110,0,MATCH(F$2,Inputs!$K$4:$AJ$4,0))))+SUMPRODUCT((Inputs!$E$5:$E$110=$B12)*ISNUMBER(INDEX(Inputs!$K$5:$AJ$110,0,MATCH(F$2,Inputs!$K$4:$AJ$4,0))))=0,NA(),SUMPRODUCT((Inputs!$A$5:$A$110=$B12)*Inputs!$B$5:$B$110*(((Inputs!$G$5:$G$110="moeda")+(Inputs!$G$5:$G$110="acoes"))*Inputs!$B$1+((Inputs!$G$5:$G$110&lt;&gt;"moeda")*(Inputs!$G$5:$G$110&lt;&gt;"acoes")))*INDEX(Inputs!$K$5:$AJ$110,0,MATCH(F$2,Inputs!$K$4:$AJ$4,0)))+SUMPRODUCT((Inputs!$C$5:$C$110=$B12)*Inputs!$D$5:$D$110*(((Inputs!$G$5:$G$110="moeda")+(Inputs!$G$5:$G$110="acoes"))*Inputs!$B$1+((Inputs!$G$5:$G$110&lt;&gt;"moeda")*(Inputs!$G$5:$G$110&lt;&gt;"acoes")))*INDEX(Inputs!$K$5:$AJ$110,0,MATCH(F$2,Inputs!$K$4:$AJ$4,0)))+SUMPRODUCT((Inputs!$E$5:$E$110=$B12)*Inputs!$F$5:$F$110*(((Inputs!$G$5:$G$110="moeda")+(Inputs!$G$5:$G$110="acoes"))*Inputs!$B$1+((Inputs!$G$5:$G$110&lt;&gt;"moeda")*(Inputs!$G$5:$G$110&lt;&gt;"acoes")))*INDEX(Inputs!$K$5:$AJ$110,0,MATCH(F$2,Inputs!$K$4:$AJ$4,0)))))</f>
        <v>0</v>
      </c>
      <c r="G12" s="6">
        <f>IF(ISNA(MATCH(G$2,Inputs!$K$4:$AJ$4,0)),NA(),IF(SUMPRODUCT((Inputs!$A$5:$A$110=$B12)*ISNUMBER(INDEX(Inputs!$K$5:$AJ$110,0,MATCH(G$2,Inputs!$K$4:$AJ$4,0))))+SUMPRODUCT((Inputs!$C$5:$C$110=$B12)*ISNUMBER(INDEX(Inputs!$K$5:$AJ$110,0,MATCH(G$2,Inputs!$K$4:$AJ$4,0))))+SUMPRODUCT((Inputs!$E$5:$E$110=$B12)*ISNUMBER(INDEX(Inputs!$K$5:$AJ$110,0,MATCH(G$2,Inputs!$K$4:$AJ$4,0))))=0,NA(),SUMPRODUCT((Inputs!$A$5:$A$110=$B12)*Inputs!$B$5:$B$110*(((Inputs!$G$5:$G$110="moeda")+(Inputs!$G$5:$G$110="acoes"))*Inputs!$B$1+((Inputs!$G$5:$G$110&lt;&gt;"moeda")*(Inputs!$G$5:$G$110&lt;&gt;"acoes")))*INDEX(Inputs!$K$5:$AJ$110,0,MATCH(G$2,Inputs!$K$4:$AJ$4,0)))+SUMPRODUCT((Inputs!$C$5:$C$110=$B12)*Inputs!$D$5:$D$110*(((Inputs!$G$5:$G$110="moeda")+(Inputs!$G$5:$G$110="acoes"))*Inputs!$B$1+((Inputs!$G$5:$G$110&lt;&gt;"moeda")*(Inputs!$G$5:$G$110&lt;&gt;"acoes")))*INDEX(Inputs!$K$5:$AJ$110,0,MATCH(G$2,Inputs!$K$4:$AJ$4,0)))+SUMPRODUCT((Inputs!$E$5:$E$110=$B12)*Inputs!$F$5:$F$110*(((Inputs!$G$5:$G$110="moeda")+(Inputs!$G$5:$G$110="acoes"))*Inputs!$B$1+((Inputs!$G$5:$G$110&lt;&gt;"moeda")*(Inputs!$G$5:$G$110&lt;&gt;"acoes")))*INDEX(Inputs!$K$5:$AJ$110,0,MATCH(G$2,Inputs!$K$4:$AJ$4,0)))))</f>
        <v>0</v>
      </c>
      <c r="H12" s="3">
        <f>SUM(D12:G12)</f>
        <v>0</v>
      </c>
      <c r="I12" s="6">
        <f>IF(ISNA(MATCH(I$2,Inputs!$K$4:$AJ$4,0)),NA(),IF(SUMPRODUCT((Inputs!$A$5:$A$110=$B12)*ISNUMBER(INDEX(Inputs!$K$5:$AJ$110,0,MATCH(I$2,Inputs!$K$4:$AJ$4,0))))+SUMPRODUCT((Inputs!$C$5:$C$110=$B12)*ISNUMBER(INDEX(Inputs!$K$5:$AJ$110,0,MATCH(I$2,Inputs!$K$4:$AJ$4,0))))+SUMPRODUCT((Inputs!$E$5:$E$110=$B12)*ISNUMBER(INDEX(Inputs!$K$5:$AJ$110,0,MATCH(I$2,Inputs!$K$4:$AJ$4,0))))=0,NA(),SUMPRODUCT((Inputs!$A$5:$A$110=$B12)*Inputs!$B$5:$B$110*(((Inputs!$G$5:$G$110="moeda")+(Inputs!$G$5:$G$110="acoes"))*Inputs!$B$1+((Inputs!$G$5:$G$110&lt;&gt;"moeda")*(Inputs!$G$5:$G$110&lt;&gt;"acoes")))*INDEX(Inputs!$K$5:$AJ$110,0,MATCH(I$2,Inputs!$K$4:$AJ$4,0)))+SUMPRODUCT((Inputs!$C$5:$C$110=$B12)*Inputs!$D$5:$D$110*(((Inputs!$G$5:$G$110="moeda")+(Inputs!$G$5:$G$110="acoes"))*Inputs!$B$1+((Inputs!$G$5:$G$110&lt;&gt;"moeda")*(Inputs!$G$5:$G$110&lt;&gt;"acoes")))*INDEX(Inputs!$K$5:$AJ$110,0,MATCH(I$2,Inputs!$K$4:$AJ$4,0)))+SUMPRODUCT((Inputs!$E$5:$E$110=$B12)*Inputs!$F$5:$F$110*(((Inputs!$G$5:$G$110="moeda")+(Inputs!$G$5:$G$110="acoes"))*Inputs!$B$1+((Inputs!$G$5:$G$110&lt;&gt;"moeda")*(Inputs!$G$5:$G$110&lt;&gt;"acoes")))*INDEX(Inputs!$K$5:$AJ$110,0,MATCH(I$2,Inputs!$K$4:$AJ$4,0)))))</f>
        <v>0</v>
      </c>
      <c r="J12" s="6">
        <f>IF(ISNA(MATCH(J$2,Inputs!$K$4:$AJ$4,0)),NA(),IF(SUMPRODUCT((Inputs!$A$5:$A$110=$B12)*ISNUMBER(INDEX(Inputs!$K$5:$AJ$110,0,MATCH(J$2,Inputs!$K$4:$AJ$4,0))))+SUMPRODUCT((Inputs!$C$5:$C$110=$B12)*ISNUMBER(INDEX(Inputs!$K$5:$AJ$110,0,MATCH(J$2,Inputs!$K$4:$AJ$4,0))))+SUMPRODUCT((Inputs!$E$5:$E$110=$B12)*ISNUMBER(INDEX(Inputs!$K$5:$AJ$110,0,MATCH(J$2,Inputs!$K$4:$AJ$4,0))))=0,NA(),SUMPRODUCT((Inputs!$A$5:$A$110=$B12)*Inputs!$B$5:$B$110*(((Inputs!$G$5:$G$110="moeda")+(Inputs!$G$5:$G$110="acoes"))*Inputs!$B$1+((Inputs!$G$5:$G$110&lt;&gt;"moeda")*(Inputs!$G$5:$G$110&lt;&gt;"acoes")))*INDEX(Inputs!$K$5:$AJ$110,0,MATCH(J$2,Inputs!$K$4:$AJ$4,0)))+SUMPRODUCT((Inputs!$C$5:$C$110=$B12)*Inputs!$D$5:$D$110*(((Inputs!$G$5:$G$110="moeda")+(Inputs!$G$5:$G$110="acoes"))*Inputs!$B$1+((Inputs!$G$5:$G$110&lt;&gt;"moeda")*(Inputs!$G$5:$G$110&lt;&gt;"acoes")))*INDEX(Inputs!$K$5:$AJ$110,0,MATCH(J$2,Inputs!$K$4:$AJ$4,0)))+SUMPRODUCT((Inputs!$E$5:$E$110=$B12)*Inputs!$F$5:$F$110*(((Inputs!$G$5:$G$110="moeda")+(Inputs!$G$5:$G$110="acoes"))*Inputs!$B$1+((Inputs!$G$5:$G$110&lt;&gt;"moeda")*(Inputs!$G$5:$G$110&lt;&gt;"acoes")))*INDEX(Inputs!$K$5:$AJ$110,0,MATCH(J$2,Inputs!$K$4:$AJ$4,0)))))</f>
        <v>0</v>
      </c>
      <c r="K12" s="6">
        <f>IF(ISNA(MATCH(K$2,Inputs!$K$4:$AJ$4,0)),NA(),IF(SUMPRODUCT((Inputs!$A$5:$A$110=$B12)*ISNUMBER(INDEX(Inputs!$K$5:$AJ$110,0,MATCH(K$2,Inputs!$K$4:$AJ$4,0))))+SUMPRODUCT((Inputs!$C$5:$C$110=$B12)*ISNUMBER(INDEX(Inputs!$K$5:$AJ$110,0,MATCH(K$2,Inputs!$K$4:$AJ$4,0))))+SUMPRODUCT((Inputs!$E$5:$E$110=$B12)*ISNUMBER(INDEX(Inputs!$K$5:$AJ$110,0,MATCH(K$2,Inputs!$K$4:$AJ$4,0))))=0,NA(),SUMPRODUCT((Inputs!$A$5:$A$110=$B12)*Inputs!$B$5:$B$110*(((Inputs!$G$5:$G$110="moeda")+(Inputs!$G$5:$G$110="acoes"))*Inputs!$B$1+((Inputs!$G$5:$G$110&lt;&gt;"moeda")*(Inputs!$G$5:$G$110&lt;&gt;"acoes")))*INDEX(Inputs!$K$5:$AJ$110,0,MATCH(K$2,Inputs!$K$4:$AJ$4,0)))+SUMPRODUCT((Inputs!$C$5:$C$110=$B12)*Inputs!$D$5:$D$110*(((Inputs!$G$5:$G$110="moeda")+(Inputs!$G$5:$G$110="acoes"))*Inputs!$B$1+((Inputs!$G$5:$G$110&lt;&gt;"moeda")*(Inputs!$G$5:$G$110&lt;&gt;"acoes")))*INDEX(Inputs!$K$5:$AJ$110,0,MATCH(K$2,Inputs!$K$4:$AJ$4,0)))+SUMPRODUCT((Inputs!$E$5:$E$110=$B12)*Inputs!$F$5:$F$110*(((Inputs!$G$5:$G$110="moeda")+(Inputs!$G$5:$G$110="acoes"))*Inputs!$B$1+((Inputs!$G$5:$G$110&lt;&gt;"moeda")*(Inputs!$G$5:$G$110&lt;&gt;"acoes")))*INDEX(Inputs!$K$5:$AJ$110,0,MATCH(K$2,Inputs!$K$4:$AJ$4,0)))))</f>
        <v>0</v>
      </c>
      <c r="L12" s="6">
        <f>IF(ISNA(MATCH(L$2,Inputs!$K$4:$AJ$4,0)),NA(),IF(SUMPRODUCT((Inputs!$A$5:$A$110=$B12)*ISNUMBER(INDEX(Inputs!$K$5:$AJ$110,0,MATCH(L$2,Inputs!$K$4:$AJ$4,0))))+SUMPRODUCT((Inputs!$C$5:$C$110=$B12)*ISNUMBER(INDEX(Inputs!$K$5:$AJ$110,0,MATCH(L$2,Inputs!$K$4:$AJ$4,0))))+SUMPRODUCT((Inputs!$E$5:$E$110=$B12)*ISNUMBER(INDEX(Inputs!$K$5:$AJ$110,0,MATCH(L$2,Inputs!$K$4:$AJ$4,0))))=0,NA(),SUMPRODUCT((Inputs!$A$5:$A$110=$B12)*Inputs!$B$5:$B$110*(((Inputs!$G$5:$G$110="moeda")+(Inputs!$G$5:$G$110="acoes"))*Inputs!$B$1+((Inputs!$G$5:$G$110&lt;&gt;"moeda")*(Inputs!$G$5:$G$110&lt;&gt;"acoes")))*INDEX(Inputs!$K$5:$AJ$110,0,MATCH(L$2,Inputs!$K$4:$AJ$4,0)))+SUMPRODUCT((Inputs!$C$5:$C$110=$B12)*Inputs!$D$5:$D$110*(((Inputs!$G$5:$G$110="moeda")+(Inputs!$G$5:$G$110="acoes"))*Inputs!$B$1+((Inputs!$G$5:$G$110&lt;&gt;"moeda")*(Inputs!$G$5:$G$110&lt;&gt;"acoes")))*INDEX(Inputs!$K$5:$AJ$110,0,MATCH(L$2,Inputs!$K$4:$AJ$4,0)))+SUMPRODUCT((Inputs!$E$5:$E$110=$B12)*Inputs!$F$5:$F$110*(((Inputs!$G$5:$G$110="moeda")+(Inputs!$G$5:$G$110="acoes"))*Inputs!$B$1+((Inputs!$G$5:$G$110&lt;&gt;"moeda")*(Inputs!$G$5:$G$110&lt;&gt;"acoes")))*INDEX(Inputs!$K$5:$AJ$110,0,MATCH(L$2,Inputs!$K$4:$AJ$4,0)))))</f>
        <v>0</v>
      </c>
      <c r="M12" s="3">
        <f>SUM(I12:L12)</f>
        <v>0</v>
      </c>
      <c r="N12" s="6">
        <f>IF(ISNA(MATCH(N$2,Inputs!$K$4:$AJ$4,0)),NA(),IF(SUMPRODUCT((Inputs!$A$5:$A$110=$B12)*ISNUMBER(INDEX(Inputs!$K$5:$AJ$110,0,MATCH(N$2,Inputs!$K$4:$AJ$4,0))))+SUMPRODUCT((Inputs!$C$5:$C$110=$B12)*ISNUMBER(INDEX(Inputs!$K$5:$AJ$110,0,MATCH(N$2,Inputs!$K$4:$AJ$4,0))))+SUMPRODUCT((Inputs!$E$5:$E$110=$B12)*ISNUMBER(INDEX(Inputs!$K$5:$AJ$110,0,MATCH(N$2,Inputs!$K$4:$AJ$4,0))))=0,NA(),SUMPRODUCT((Inputs!$A$5:$A$110=$B12)*Inputs!$B$5:$B$110*(((Inputs!$G$5:$G$110="moeda")+(Inputs!$G$5:$G$110="acoes"))*Inputs!$B$1+((Inputs!$G$5:$G$110&lt;&gt;"moeda")*(Inputs!$G$5:$G$110&lt;&gt;"acoes")))*INDEX(Inputs!$K$5:$AJ$110,0,MATCH(N$2,Inputs!$K$4:$AJ$4,0)))+SUMPRODUCT((Inputs!$C$5:$C$110=$B12)*Inputs!$D$5:$D$110*(((Inputs!$G$5:$G$110="moeda")+(Inputs!$G$5:$G$110="acoes"))*Inputs!$B$1+((Inputs!$G$5:$G$110&lt;&gt;"moeda")*(Inputs!$G$5:$G$110&lt;&gt;"acoes")))*INDEX(Inputs!$K$5:$AJ$110,0,MATCH(N$2,Inputs!$K$4:$AJ$4,0)))+SUMPRODUCT((Inputs!$E$5:$E$110=$B12)*Inputs!$F$5:$F$110*(((Inputs!$G$5:$G$110="moeda")+(Inputs!$G$5:$G$110="acoes"))*Inputs!$B$1+((Inputs!$G$5:$G$110&lt;&gt;"moeda")*(Inputs!$G$5:$G$110&lt;&gt;"acoes")))*INDEX(Inputs!$K$5:$AJ$110,0,MATCH(N$2,Inputs!$K$4:$AJ$4,0)))))</f>
        <v>0</v>
      </c>
      <c r="O12" s="6">
        <f>IF(ISNA(MATCH(O$2,Inputs!$K$4:$AJ$4,0)),NA(),IF(SUMPRODUCT((Inputs!$A$5:$A$110=$B12)*ISNUMBER(INDEX(Inputs!$K$5:$AJ$110,0,MATCH(O$2,Inputs!$K$4:$AJ$4,0))))+SUMPRODUCT((Inputs!$C$5:$C$110=$B12)*ISNUMBER(INDEX(Inputs!$K$5:$AJ$110,0,MATCH(O$2,Inputs!$K$4:$AJ$4,0))))+SUMPRODUCT((Inputs!$E$5:$E$110=$B12)*ISNUMBER(INDEX(Inputs!$K$5:$AJ$110,0,MATCH(O$2,Inputs!$K$4:$AJ$4,0))))=0,NA(),SUMPRODUCT((Inputs!$A$5:$A$110=$B12)*Inputs!$B$5:$B$110*(((Inputs!$G$5:$G$110="moeda")+(Inputs!$G$5:$G$110="acoes"))*Inputs!$B$1+((Inputs!$G$5:$G$110&lt;&gt;"moeda")*(Inputs!$G$5:$G$110&lt;&gt;"acoes")))*INDEX(Inputs!$K$5:$AJ$110,0,MATCH(O$2,Inputs!$K$4:$AJ$4,0)))+SUMPRODUCT((Inputs!$C$5:$C$110=$B12)*Inputs!$D$5:$D$110*(((Inputs!$G$5:$G$110="moeda")+(Inputs!$G$5:$G$110="acoes"))*Inputs!$B$1+((Inputs!$G$5:$G$110&lt;&gt;"moeda")*(Inputs!$G$5:$G$110&lt;&gt;"acoes")))*INDEX(Inputs!$K$5:$AJ$110,0,MATCH(O$2,Inputs!$K$4:$AJ$4,0)))+SUMPRODUCT((Inputs!$E$5:$E$110=$B12)*Inputs!$F$5:$F$110*(((Inputs!$G$5:$G$110="moeda")+(Inputs!$G$5:$G$110="acoes"))*Inputs!$B$1+((Inputs!$G$5:$G$110&lt;&gt;"moeda")*(Inputs!$G$5:$G$110&lt;&gt;"acoes")))*INDEX(Inputs!$K$5:$AJ$110,0,MATCH(O$2,Inputs!$K$4:$AJ$4,0)))))</f>
        <v>0</v>
      </c>
      <c r="P12" s="6">
        <f>IF(ISNA(MATCH(P$2,Inputs!$K$4:$AJ$4,0)),NA(),IF(SUMPRODUCT((Inputs!$A$5:$A$110=$B12)*ISNUMBER(INDEX(Inputs!$K$5:$AJ$110,0,MATCH(P$2,Inputs!$K$4:$AJ$4,0))))+SUMPRODUCT((Inputs!$C$5:$C$110=$B12)*ISNUMBER(INDEX(Inputs!$K$5:$AJ$110,0,MATCH(P$2,Inputs!$K$4:$AJ$4,0))))+SUMPRODUCT((Inputs!$E$5:$E$110=$B12)*ISNUMBER(INDEX(Inputs!$K$5:$AJ$110,0,MATCH(P$2,Inputs!$K$4:$AJ$4,0))))=0,NA(),SUMPRODUCT((Inputs!$A$5:$A$110=$B12)*Inputs!$B$5:$B$110*(((Inputs!$G$5:$G$110="moeda")+(Inputs!$G$5:$G$110="acoes"))*Inputs!$B$1+((Inputs!$G$5:$G$110&lt;&gt;"moeda")*(Inputs!$G$5:$G$110&lt;&gt;"acoes")))*INDEX(Inputs!$K$5:$AJ$110,0,MATCH(P$2,Inputs!$K$4:$AJ$4,0)))+SUMPRODUCT((Inputs!$C$5:$C$110=$B12)*Inputs!$D$5:$D$110*(((Inputs!$G$5:$G$110="moeda")+(Inputs!$G$5:$G$110="acoes"))*Inputs!$B$1+((Inputs!$G$5:$G$110&lt;&gt;"moeda")*(Inputs!$G$5:$G$110&lt;&gt;"acoes")))*INDEX(Inputs!$K$5:$AJ$110,0,MATCH(P$2,Inputs!$K$4:$AJ$4,0)))+SUMPRODUCT((Inputs!$E$5:$E$110=$B12)*Inputs!$F$5:$F$110*(((Inputs!$G$5:$G$110="moeda")+(Inputs!$G$5:$G$110="acoes"))*Inputs!$B$1+((Inputs!$G$5:$G$110&lt;&gt;"moeda")*(Inputs!$G$5:$G$110&lt;&gt;"acoes")))*INDEX(Inputs!$K$5:$AJ$110,0,MATCH(P$2,Inputs!$K$4:$AJ$4,0)))))</f>
        <v>0</v>
      </c>
      <c r="Q12" s="6">
        <f>IF(ISNA(MATCH(Q$2,Inputs!$K$4:$AJ$4,0)),NA(),IF(SUMPRODUCT((Inputs!$A$5:$A$110=$B12)*ISNUMBER(INDEX(Inputs!$K$5:$AJ$110,0,MATCH(Q$2,Inputs!$K$4:$AJ$4,0))))+SUMPRODUCT((Inputs!$C$5:$C$110=$B12)*ISNUMBER(INDEX(Inputs!$K$5:$AJ$110,0,MATCH(Q$2,Inputs!$K$4:$AJ$4,0))))+SUMPRODUCT((Inputs!$E$5:$E$110=$B12)*ISNUMBER(INDEX(Inputs!$K$5:$AJ$110,0,MATCH(Q$2,Inputs!$K$4:$AJ$4,0))))=0,NA(),SUMPRODUCT((Inputs!$A$5:$A$110=$B12)*Inputs!$B$5:$B$110*(((Inputs!$G$5:$G$110="moeda")+(Inputs!$G$5:$G$110="acoes"))*Inputs!$B$1+((Inputs!$G$5:$G$110&lt;&gt;"moeda")*(Inputs!$G$5:$G$110&lt;&gt;"acoes")))*INDEX(Inputs!$K$5:$AJ$110,0,MATCH(Q$2,Inputs!$K$4:$AJ$4,0)))+SUMPRODUCT((Inputs!$C$5:$C$110=$B12)*Inputs!$D$5:$D$110*(((Inputs!$G$5:$G$110="moeda")+(Inputs!$G$5:$G$110="acoes"))*Inputs!$B$1+((Inputs!$G$5:$G$110&lt;&gt;"moeda")*(Inputs!$G$5:$G$110&lt;&gt;"acoes")))*INDEX(Inputs!$K$5:$AJ$110,0,MATCH(Q$2,Inputs!$K$4:$AJ$4,0)))+SUMPRODUCT((Inputs!$E$5:$E$110=$B12)*Inputs!$F$5:$F$110*(((Inputs!$G$5:$G$110="moeda")+(Inputs!$G$5:$G$110="acoes"))*Inputs!$B$1+((Inputs!$G$5:$G$110&lt;&gt;"moeda")*(Inputs!$G$5:$G$110&lt;&gt;"acoes")))*INDEX(Inputs!$K$5:$AJ$110,0,MATCH(Q$2,Inputs!$K$4:$AJ$4,0)))))</f>
        <v>0</v>
      </c>
      <c r="R12" s="3">
        <f>SUM(N12:Q12)</f>
        <v>0</v>
      </c>
      <c r="S12" s="6">
        <f>IF(ISNA(MATCH(S$2,Inputs!$K$4:$AJ$4,0)),NA(),IF(SUMPRODUCT((Inputs!$A$5:$A$110=$B12)*ISNUMBER(INDEX(Inputs!$K$5:$AJ$110,0,MATCH(S$2,Inputs!$K$4:$AJ$4,0))))+SUMPRODUCT((Inputs!$C$5:$C$110=$B12)*ISNUMBER(INDEX(Inputs!$K$5:$AJ$110,0,MATCH(S$2,Inputs!$K$4:$AJ$4,0))))+SUMPRODUCT((Inputs!$E$5:$E$110=$B12)*ISNUMBER(INDEX(Inputs!$K$5:$AJ$110,0,MATCH(S$2,Inputs!$K$4:$AJ$4,0))))=0,NA(),SUMPRODUCT((Inputs!$A$5:$A$110=$B12)*Inputs!$B$5:$B$110*(((Inputs!$G$5:$G$110="moeda")+(Inputs!$G$5:$G$110="acoes"))*Inputs!$B$1+((Inputs!$G$5:$G$110&lt;&gt;"moeda")*(Inputs!$G$5:$G$110&lt;&gt;"acoes")))*INDEX(Inputs!$K$5:$AJ$110,0,MATCH(S$2,Inputs!$K$4:$AJ$4,0)))+SUMPRODUCT((Inputs!$C$5:$C$110=$B12)*Inputs!$D$5:$D$110*(((Inputs!$G$5:$G$110="moeda")+(Inputs!$G$5:$G$110="acoes"))*Inputs!$B$1+((Inputs!$G$5:$G$110&lt;&gt;"moeda")*(Inputs!$G$5:$G$110&lt;&gt;"acoes")))*INDEX(Inputs!$K$5:$AJ$110,0,MATCH(S$2,Inputs!$K$4:$AJ$4,0)))+SUMPRODUCT((Inputs!$E$5:$E$110=$B12)*Inputs!$F$5:$F$110*(((Inputs!$G$5:$G$110="moeda")+(Inputs!$G$5:$G$110="acoes"))*Inputs!$B$1+((Inputs!$G$5:$G$110&lt;&gt;"moeda")*(Inputs!$G$5:$G$110&lt;&gt;"acoes")))*INDEX(Inputs!$K$5:$AJ$110,0,MATCH(S$2,Inputs!$K$4:$AJ$4,0)))))</f>
        <v>0</v>
      </c>
      <c r="T12" s="6">
        <f>IF(ISNA(MATCH(T$2,Inputs!$K$4:$AJ$4,0)),NA(),IF(SUMPRODUCT((Inputs!$A$5:$A$110=$B12)*ISNUMBER(INDEX(Inputs!$K$5:$AJ$110,0,MATCH(T$2,Inputs!$K$4:$AJ$4,0))))+SUMPRODUCT((Inputs!$C$5:$C$110=$B12)*ISNUMBER(INDEX(Inputs!$K$5:$AJ$110,0,MATCH(T$2,Inputs!$K$4:$AJ$4,0))))+SUMPRODUCT((Inputs!$E$5:$E$110=$B12)*ISNUMBER(INDEX(Inputs!$K$5:$AJ$110,0,MATCH(T$2,Inputs!$K$4:$AJ$4,0))))=0,NA(),SUMPRODUCT((Inputs!$A$5:$A$110=$B12)*Inputs!$B$5:$B$110*(((Inputs!$G$5:$G$110="moeda")+(Inputs!$G$5:$G$110="acoes"))*Inputs!$B$1+((Inputs!$G$5:$G$110&lt;&gt;"moeda")*(Inputs!$G$5:$G$110&lt;&gt;"acoes")))*INDEX(Inputs!$K$5:$AJ$110,0,MATCH(T$2,Inputs!$K$4:$AJ$4,0)))+SUMPRODUCT((Inputs!$C$5:$C$110=$B12)*Inputs!$D$5:$D$110*(((Inputs!$G$5:$G$110="moeda")+(Inputs!$G$5:$G$110="acoes"))*Inputs!$B$1+((Inputs!$G$5:$G$110&lt;&gt;"moeda")*(Inputs!$G$5:$G$110&lt;&gt;"acoes")))*INDEX(Inputs!$K$5:$AJ$110,0,MATCH(T$2,Inputs!$K$4:$AJ$4,0)))+SUMPRODUCT((Inputs!$E$5:$E$110=$B12)*Inputs!$F$5:$F$110*(((Inputs!$G$5:$G$110="moeda")+(Inputs!$G$5:$G$110="acoes"))*Inputs!$B$1+((Inputs!$G$5:$G$110&lt;&gt;"moeda")*(Inputs!$G$5:$G$110&lt;&gt;"acoes")))*INDEX(Inputs!$K$5:$AJ$110,0,MATCH(T$2,Inputs!$K$4:$AJ$4,0)))))</f>
        <v>0</v>
      </c>
      <c r="U12" s="6">
        <f>IF(ISNA(MATCH(U$2,Inputs!$K$4:$AJ$4,0)),NA(),IF(SUMPRODUCT((Inputs!$A$5:$A$110=$B12)*ISNUMBER(INDEX(Inputs!$K$5:$AJ$110,0,MATCH(U$2,Inputs!$K$4:$AJ$4,0))))+SUMPRODUCT((Inputs!$C$5:$C$110=$B12)*ISNUMBER(INDEX(Inputs!$K$5:$AJ$110,0,MATCH(U$2,Inputs!$K$4:$AJ$4,0))))+SUMPRODUCT((Inputs!$E$5:$E$110=$B12)*ISNUMBER(INDEX(Inputs!$K$5:$AJ$110,0,MATCH(U$2,Inputs!$K$4:$AJ$4,0))))=0,NA(),SUMPRODUCT((Inputs!$A$5:$A$110=$B12)*Inputs!$B$5:$B$110*(((Inputs!$G$5:$G$110="moeda")+(Inputs!$G$5:$G$110="acoes"))*Inputs!$B$1+((Inputs!$G$5:$G$110&lt;&gt;"moeda")*(Inputs!$G$5:$G$110&lt;&gt;"acoes")))*INDEX(Inputs!$K$5:$AJ$110,0,MATCH(U$2,Inputs!$K$4:$AJ$4,0)))+SUMPRODUCT((Inputs!$C$5:$C$110=$B12)*Inputs!$D$5:$D$110*(((Inputs!$G$5:$G$110="moeda")+(Inputs!$G$5:$G$110="acoes"))*Inputs!$B$1+((Inputs!$G$5:$G$110&lt;&gt;"moeda")*(Inputs!$G$5:$G$110&lt;&gt;"acoes")))*INDEX(Inputs!$K$5:$AJ$110,0,MATCH(U$2,Inputs!$K$4:$AJ$4,0)))+SUMPRODUCT((Inputs!$E$5:$E$110=$B12)*Inputs!$F$5:$F$110*(((Inputs!$G$5:$G$110="moeda")+(Inputs!$G$5:$G$110="acoes"))*Inputs!$B$1+((Inputs!$G$5:$G$110&lt;&gt;"moeda")*(Inputs!$G$5:$G$110&lt;&gt;"acoes")))*INDEX(Inputs!$K$5:$AJ$110,0,MATCH(U$2,Inputs!$K$4:$AJ$4,0)))))</f>
        <v>0</v>
      </c>
      <c r="V12" s="6">
        <f>IF(ISNA(MATCH(V$2,Inputs!$K$4:$AJ$4,0)),NA(),IF(SUMPRODUCT((Inputs!$A$5:$A$110=$B12)*ISNUMBER(INDEX(Inputs!$K$5:$AJ$110,0,MATCH(V$2,Inputs!$K$4:$AJ$4,0))))+SUMPRODUCT((Inputs!$C$5:$C$110=$B12)*ISNUMBER(INDEX(Inputs!$K$5:$AJ$110,0,MATCH(V$2,Inputs!$K$4:$AJ$4,0))))+SUMPRODUCT((Inputs!$E$5:$E$110=$B12)*ISNUMBER(INDEX(Inputs!$K$5:$AJ$110,0,MATCH(V$2,Inputs!$K$4:$AJ$4,0))))=0,NA(),SUMPRODUCT((Inputs!$A$5:$A$110=$B12)*Inputs!$B$5:$B$110*(((Inputs!$G$5:$G$110="moeda")+(Inputs!$G$5:$G$110="acoes"))*Inputs!$B$1+((Inputs!$G$5:$G$110&lt;&gt;"moeda")*(Inputs!$G$5:$G$110&lt;&gt;"acoes")))*INDEX(Inputs!$K$5:$AJ$110,0,MATCH(V$2,Inputs!$K$4:$AJ$4,0)))+SUMPRODUCT((Inputs!$C$5:$C$110=$B12)*Inputs!$D$5:$D$110*(((Inputs!$G$5:$G$110="moeda")+(Inputs!$G$5:$G$110="acoes"))*Inputs!$B$1+((Inputs!$G$5:$G$110&lt;&gt;"moeda")*(Inputs!$G$5:$G$110&lt;&gt;"acoes")))*INDEX(Inputs!$K$5:$AJ$110,0,MATCH(V$2,Inputs!$K$4:$AJ$4,0)))+SUMPRODUCT((Inputs!$E$5:$E$110=$B12)*Inputs!$F$5:$F$110*(((Inputs!$G$5:$G$110="moeda")+(Inputs!$G$5:$G$110="acoes"))*Inputs!$B$1+((Inputs!$G$5:$G$110&lt;&gt;"moeda")*(Inputs!$G$5:$G$110&lt;&gt;"acoes")))*INDEX(Inputs!$K$5:$AJ$110,0,MATCH(V$2,Inputs!$K$4:$AJ$4,0)))))</f>
        <v>0</v>
      </c>
      <c r="W12" s="3">
        <f>SUM(S12:V12)</f>
        <v>0</v>
      </c>
      <c r="X12" s="6">
        <f>IF(ISNA(MATCH(X$2,Inputs!$K$4:$AJ$4,0)),NA(),IF(SUMPRODUCT((Inputs!$A$5:$A$110=$B12)*ISNUMBER(INDEX(Inputs!$K$5:$AJ$110,0,MATCH(X$2,Inputs!$K$4:$AJ$4,0))))+SUMPRODUCT((Inputs!$C$5:$C$110=$B12)*ISNUMBER(INDEX(Inputs!$K$5:$AJ$110,0,MATCH(X$2,Inputs!$K$4:$AJ$4,0))))+SUMPRODUCT((Inputs!$E$5:$E$110=$B12)*ISNUMBER(INDEX(Inputs!$K$5:$AJ$110,0,MATCH(X$2,Inputs!$K$4:$AJ$4,0))))=0,NA(),SUMPRODUCT((Inputs!$A$5:$A$110=$B12)*Inputs!$B$5:$B$110*(((Inputs!$G$5:$G$110="moeda")+(Inputs!$G$5:$G$110="acoes"))*Inputs!$B$1+((Inputs!$G$5:$G$110&lt;&gt;"moeda")*(Inputs!$G$5:$G$110&lt;&gt;"acoes")))*INDEX(Inputs!$K$5:$AJ$110,0,MATCH(X$2,Inputs!$K$4:$AJ$4,0)))+SUMPRODUCT((Inputs!$C$5:$C$110=$B12)*Inputs!$D$5:$D$110*(((Inputs!$G$5:$G$110="moeda")+(Inputs!$G$5:$G$110="acoes"))*Inputs!$B$1+((Inputs!$G$5:$G$110&lt;&gt;"moeda")*(Inputs!$G$5:$G$110&lt;&gt;"acoes")))*INDEX(Inputs!$K$5:$AJ$110,0,MATCH(X$2,Inputs!$K$4:$AJ$4,0)))+SUMPRODUCT((Inputs!$E$5:$E$110=$B12)*Inputs!$F$5:$F$110*(((Inputs!$G$5:$G$110="moeda")+(Inputs!$G$5:$G$110="acoes"))*Inputs!$B$1+((Inputs!$G$5:$G$110&lt;&gt;"moeda")*(Inputs!$G$5:$G$110&lt;&gt;"acoes")))*INDEX(Inputs!$K$5:$AJ$110,0,MATCH(X$2,Inputs!$K$4:$AJ$4,0)))))</f>
        <v>0</v>
      </c>
      <c r="Y12" s="6">
        <f>IF(ISNA(MATCH(Y$2,Inputs!$K$4:$AJ$4,0)),NA(),IF(SUMPRODUCT((Inputs!$A$5:$A$110=$B12)*ISNUMBER(INDEX(Inputs!$K$5:$AJ$110,0,MATCH(Y$2,Inputs!$K$4:$AJ$4,0))))+SUMPRODUCT((Inputs!$C$5:$C$110=$B12)*ISNUMBER(INDEX(Inputs!$K$5:$AJ$110,0,MATCH(Y$2,Inputs!$K$4:$AJ$4,0))))+SUMPRODUCT((Inputs!$E$5:$E$110=$B12)*ISNUMBER(INDEX(Inputs!$K$5:$AJ$110,0,MATCH(Y$2,Inputs!$K$4:$AJ$4,0))))=0,NA(),SUMPRODUCT((Inputs!$A$5:$A$110=$B12)*Inputs!$B$5:$B$110*(((Inputs!$G$5:$G$110="moeda")+(Inputs!$G$5:$G$110="acoes"))*Inputs!$B$1+((Inputs!$G$5:$G$110&lt;&gt;"moeda")*(Inputs!$G$5:$G$110&lt;&gt;"acoes")))*INDEX(Inputs!$K$5:$AJ$110,0,MATCH(Y$2,Inputs!$K$4:$AJ$4,0)))+SUMPRODUCT((Inputs!$C$5:$C$110=$B12)*Inputs!$D$5:$D$110*(((Inputs!$G$5:$G$110="moeda")+(Inputs!$G$5:$G$110="acoes"))*Inputs!$B$1+((Inputs!$G$5:$G$110&lt;&gt;"moeda")*(Inputs!$G$5:$G$110&lt;&gt;"acoes")))*INDEX(Inputs!$K$5:$AJ$110,0,MATCH(Y$2,Inputs!$K$4:$AJ$4,0)))+SUMPRODUCT((Inputs!$E$5:$E$110=$B12)*Inputs!$F$5:$F$110*(((Inputs!$G$5:$G$110="moeda")+(Inputs!$G$5:$G$110="acoes"))*Inputs!$B$1+((Inputs!$G$5:$G$110&lt;&gt;"moeda")*(Inputs!$G$5:$G$110&lt;&gt;"acoes")))*INDEX(Inputs!$K$5:$AJ$110,0,MATCH(Y$2,Inputs!$K$4:$AJ$4,0)))))</f>
        <v>0</v>
      </c>
      <c r="Z12" s="6">
        <f>IF(ISNA(MATCH(Z$2,Inputs!$K$4:$AJ$4,0)),NA(),IF(SUMPRODUCT((Inputs!$A$5:$A$110=$B12)*ISNUMBER(INDEX(Inputs!$K$5:$AJ$110,0,MATCH(Z$2,Inputs!$K$4:$AJ$4,0))))+SUMPRODUCT((Inputs!$C$5:$C$110=$B12)*ISNUMBER(INDEX(Inputs!$K$5:$AJ$110,0,MATCH(Z$2,Inputs!$K$4:$AJ$4,0))))+SUMPRODUCT((Inputs!$E$5:$E$110=$B12)*ISNUMBER(INDEX(Inputs!$K$5:$AJ$110,0,MATCH(Z$2,Inputs!$K$4:$AJ$4,0))))=0,NA(),SUMPRODUCT((Inputs!$A$5:$A$110=$B12)*Inputs!$B$5:$B$110*(((Inputs!$G$5:$G$110="moeda")+(Inputs!$G$5:$G$110="acoes"))*Inputs!$B$1+((Inputs!$G$5:$G$110&lt;&gt;"moeda")*(Inputs!$G$5:$G$110&lt;&gt;"acoes")))*INDEX(Inputs!$K$5:$AJ$110,0,MATCH(Z$2,Inputs!$K$4:$AJ$4,0)))+SUMPRODUCT((Inputs!$C$5:$C$110=$B12)*Inputs!$D$5:$D$110*(((Inputs!$G$5:$G$110="moeda")+(Inputs!$G$5:$G$110="acoes"))*Inputs!$B$1+((Inputs!$G$5:$G$110&lt;&gt;"moeda")*(Inputs!$G$5:$G$110&lt;&gt;"acoes")))*INDEX(Inputs!$K$5:$AJ$110,0,MATCH(Z$2,Inputs!$K$4:$AJ$4,0)))+SUMPRODUCT((Inputs!$E$5:$E$110=$B12)*Inputs!$F$5:$F$110*(((Inputs!$G$5:$G$110="moeda")+(Inputs!$G$5:$G$110="acoes"))*Inputs!$B$1+((Inputs!$G$5:$G$110&lt;&gt;"moeda")*(Inputs!$G$5:$G$110&lt;&gt;"acoes")))*INDEX(Inputs!$K$5:$AJ$110,0,MATCH(Z$2,Inputs!$K$4:$AJ$4,0)))))</f>
        <v>0</v>
      </c>
      <c r="AA12" s="6">
        <f>IF(ISNA(MATCH(AA$2,Inputs!$K$4:$AJ$4,0)),NA(),IF(SUMPRODUCT((Inputs!$A$5:$A$110=$B12)*ISNUMBER(INDEX(Inputs!$K$5:$AJ$110,0,MATCH(AA$2,Inputs!$K$4:$AJ$4,0))))+SUMPRODUCT((Inputs!$C$5:$C$110=$B12)*ISNUMBER(INDEX(Inputs!$K$5:$AJ$110,0,MATCH(AA$2,Inputs!$K$4:$AJ$4,0))))+SUMPRODUCT((Inputs!$E$5:$E$110=$B12)*ISNUMBER(INDEX(Inputs!$K$5:$AJ$110,0,MATCH(AA$2,Inputs!$K$4:$AJ$4,0))))=0,NA(),SUMPRODUCT((Inputs!$A$5:$A$110=$B12)*Inputs!$B$5:$B$110*(((Inputs!$G$5:$G$110="moeda")+(Inputs!$G$5:$G$110="acoes"))*Inputs!$B$1+((Inputs!$G$5:$G$110&lt;&gt;"moeda")*(Inputs!$G$5:$G$110&lt;&gt;"acoes")))*INDEX(Inputs!$K$5:$AJ$110,0,MATCH(AA$2,Inputs!$K$4:$AJ$4,0)))+SUMPRODUCT((Inputs!$C$5:$C$110=$B12)*Inputs!$D$5:$D$110*(((Inputs!$G$5:$G$110="moeda")+(Inputs!$G$5:$G$110="acoes"))*Inputs!$B$1+((Inputs!$G$5:$G$110&lt;&gt;"moeda")*(Inputs!$G$5:$G$110&lt;&gt;"acoes")))*INDEX(Inputs!$K$5:$AJ$110,0,MATCH(AA$2,Inputs!$K$4:$AJ$4,0)))+SUMPRODUCT((Inputs!$E$5:$E$110=$B12)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2" s="3">
        <f>SUM(X12:AA12)</f>
        <v>0</v>
      </c>
      <c r="AC12" s="6">
        <f>IF(ISNA(MATCH(AC$2,Inputs!$K$4:$AJ$4,0)),NA(),IF(SUMPRODUCT((Inputs!$A$5:$A$110=$B12)*ISNUMBER(INDEX(Inputs!$K$5:$AJ$110,0,MATCH(AC$2,Inputs!$K$4:$AJ$4,0))))+SUMPRODUCT((Inputs!$C$5:$C$110=$B12)*ISNUMBER(INDEX(Inputs!$K$5:$AJ$110,0,MATCH(AC$2,Inputs!$K$4:$AJ$4,0))))+SUMPRODUCT((Inputs!$E$5:$E$110=$B12)*ISNUMBER(INDEX(Inputs!$K$5:$AJ$110,0,MATCH(AC$2,Inputs!$K$4:$AJ$4,0))))=0,NA(),SUMPRODUCT((Inputs!$A$5:$A$110=$B12)*Inputs!$B$5:$B$110*(((Inputs!$G$5:$G$110="moeda")+(Inputs!$G$5:$G$110="acoes"))*Inputs!$B$1+((Inputs!$G$5:$G$110&lt;&gt;"moeda")*(Inputs!$G$5:$G$110&lt;&gt;"acoes")))*INDEX(Inputs!$K$5:$AJ$110,0,MATCH(AC$2,Inputs!$K$4:$AJ$4,0)))+SUMPRODUCT((Inputs!$C$5:$C$110=$B12)*Inputs!$D$5:$D$110*(((Inputs!$G$5:$G$110="moeda")+(Inputs!$G$5:$G$110="acoes"))*Inputs!$B$1+((Inputs!$G$5:$G$110&lt;&gt;"moeda")*(Inputs!$G$5:$G$110&lt;&gt;"acoes")))*INDEX(Inputs!$K$5:$AJ$110,0,MATCH(AC$2,Inputs!$K$4:$AJ$4,0)))+SUMPRODUCT((Inputs!$E$5:$E$110=$B12)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2" s="6">
        <f>IF(ISNA(MATCH(AD$2,Inputs!$K$4:$AJ$4,0)),NA(),IF(SUMPRODUCT((Inputs!$A$5:$A$110=$B12)*ISNUMBER(INDEX(Inputs!$K$5:$AJ$110,0,MATCH(AD$2,Inputs!$K$4:$AJ$4,0))))+SUMPRODUCT((Inputs!$C$5:$C$110=$B12)*ISNUMBER(INDEX(Inputs!$K$5:$AJ$110,0,MATCH(AD$2,Inputs!$K$4:$AJ$4,0))))+SUMPRODUCT((Inputs!$E$5:$E$110=$B12)*ISNUMBER(INDEX(Inputs!$K$5:$AJ$110,0,MATCH(AD$2,Inputs!$K$4:$AJ$4,0))))=0,NA(),SUMPRODUCT((Inputs!$A$5:$A$110=$B12)*Inputs!$B$5:$B$110*(((Inputs!$G$5:$G$110="moeda")+(Inputs!$G$5:$G$110="acoes"))*Inputs!$B$1+((Inputs!$G$5:$G$110&lt;&gt;"moeda")*(Inputs!$G$5:$G$110&lt;&gt;"acoes")))*INDEX(Inputs!$K$5:$AJ$110,0,MATCH(AD$2,Inputs!$K$4:$AJ$4,0)))+SUMPRODUCT((Inputs!$C$5:$C$110=$B12)*Inputs!$D$5:$D$110*(((Inputs!$G$5:$G$110="moeda")+(Inputs!$G$5:$G$110="acoes"))*Inputs!$B$1+((Inputs!$G$5:$G$110&lt;&gt;"moeda")*(Inputs!$G$5:$G$110&lt;&gt;"acoes")))*INDEX(Inputs!$K$5:$AJ$110,0,MATCH(AD$2,Inputs!$K$4:$AJ$4,0)))+SUMPRODUCT((Inputs!$E$5:$E$110=$B12)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2" s="6" t="e">
        <f>IF(ISNA(MATCH(AE$2,Inputs!$K$4:$AJ$4,0)),NA(),IF(SUMPRODUCT((Inputs!$A$5:$A$110=$B12)*ISNUMBER(INDEX(Inputs!$K$5:$AJ$110,0,MATCH(AE$2,Inputs!$K$4:$AJ$4,0))))+SUMPRODUCT((Inputs!$C$5:$C$110=$B12)*ISNUMBER(INDEX(Inputs!$K$5:$AJ$110,0,MATCH(AE$2,Inputs!$K$4:$AJ$4,0))))+SUMPRODUCT((Inputs!$E$5:$E$110=$B12)*ISNUMBER(INDEX(Inputs!$K$5:$AJ$110,0,MATCH(AE$2,Inputs!$K$4:$AJ$4,0))))=0,NA(),SUMPRODUCT((Inputs!$A$5:$A$110=$B12)*Inputs!$B$5:$B$110*(((Inputs!$G$5:$G$110="moeda")+(Inputs!$G$5:$G$110="acoes"))*Inputs!$B$1+((Inputs!$G$5:$G$110&lt;&gt;"moeda")*(Inputs!$G$5:$G$110&lt;&gt;"acoes")))*INDEX(Inputs!$K$5:$AJ$110,0,MATCH(AE$2,Inputs!$K$4:$AJ$4,0)))+SUMPRODUCT((Inputs!$C$5:$C$110=$B12)*Inputs!$D$5:$D$110*(((Inputs!$G$5:$G$110="moeda")+(Inputs!$G$5:$G$110="acoes"))*Inputs!$B$1+((Inputs!$G$5:$G$110&lt;&gt;"moeda")*(Inputs!$G$5:$G$110&lt;&gt;"acoes")))*INDEX(Inputs!$K$5:$AJ$110,0,MATCH(AE$2,Inputs!$K$4:$AJ$4,0)))+SUMPRODUCT((Inputs!$E$5:$E$110=$B12)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2" s="6" t="e">
        <f>IF(ISNA(MATCH(AF$2,Inputs!$K$4:$AJ$4,0)),NA(),IF(SUMPRODUCT((Inputs!$A$5:$A$110=$B12)*ISNUMBER(INDEX(Inputs!$K$5:$AJ$110,0,MATCH(AF$2,Inputs!$K$4:$AJ$4,0))))+SUMPRODUCT((Inputs!$C$5:$C$110=$B12)*ISNUMBER(INDEX(Inputs!$K$5:$AJ$110,0,MATCH(AF$2,Inputs!$K$4:$AJ$4,0))))+SUMPRODUCT((Inputs!$E$5:$E$110=$B12)*ISNUMBER(INDEX(Inputs!$K$5:$AJ$110,0,MATCH(AF$2,Inputs!$K$4:$AJ$4,0))))=0,NA(),SUMPRODUCT((Inputs!$A$5:$A$110=$B12)*Inputs!$B$5:$B$110*(((Inputs!$G$5:$G$110="moeda")+(Inputs!$G$5:$G$110="acoes"))*Inputs!$B$1+((Inputs!$G$5:$G$110&lt;&gt;"moeda")*(Inputs!$G$5:$G$110&lt;&gt;"acoes")))*INDEX(Inputs!$K$5:$AJ$110,0,MATCH(AF$2,Inputs!$K$4:$AJ$4,0)))+SUMPRODUCT((Inputs!$C$5:$C$110=$B12)*Inputs!$D$5:$D$110*(((Inputs!$G$5:$G$110="moeda")+(Inputs!$G$5:$G$110="acoes"))*Inputs!$B$1+((Inputs!$G$5:$G$110&lt;&gt;"moeda")*(Inputs!$G$5:$G$110&lt;&gt;"acoes")))*INDEX(Inputs!$K$5:$AJ$110,0,MATCH(AF$2,Inputs!$K$4:$AJ$4,0)))+SUMPRODUCT((Inputs!$E$5:$E$110=$B12)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$110=$B12)*ISNUMBER(INDEX(Inputs!$K$5:$AJ$110,0,MATCH(AH$2,Inputs!$K$4:$AJ$4,0))))+SUMPRODUCT((Inputs!$C$5:$C$110=$B12)*ISNUMBER(INDEX(Inputs!$K$5:$AJ$110,0,MATCH(AH$2,Inputs!$K$4:$AJ$4,0))))+SUMPRODUCT((Inputs!$E$5:$E$110=$B12)*ISNUMBER(INDEX(Inputs!$K$5:$AJ$110,0,MATCH(AH$2,Inputs!$K$4:$AJ$4,0))))=0,NA(),SUMPRODUCT((Inputs!$A$5:$A$110=$B12)*Inputs!$B$5:$B$110*(((Inputs!$G$5:$G$110="moeda")+(Inputs!$G$5:$G$110="acoes"))*Inputs!$B$1+((Inputs!$G$5:$G$110&lt;&gt;"moeda")*(Inputs!$G$5:$G$110&lt;&gt;"acoes")))*INDEX(Inputs!$K$5:$AJ$110,0,MATCH(AH$2,Inputs!$K$4:$AJ$4,0)))+SUMPRODUCT((Inputs!$C$5:$C$110=$B12)*Inputs!$D$5:$D$110*(((Inputs!$G$5:$G$110="moeda")+(Inputs!$G$5:$G$110="acoes"))*Inputs!$B$1+((Inputs!$G$5:$G$110&lt;&gt;"moeda")*(Inputs!$G$5:$G$110&lt;&gt;"acoes")))*INDEX(Inputs!$K$5:$AJ$110,0,MATCH(AH$2,Inputs!$K$4:$AJ$4,0)))+SUMPRODUCT((Inputs!$E$5:$E$110=$B12)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2" s="6">
        <f>IF(ISNA(MATCH(AI$2,Inputs!$K$4:$AJ$4,0)),NA(),IF(SUMPRODUCT((Inputs!$A$5:$A$110=$B12)*ISNUMBER(INDEX(Inputs!$K$5:$AJ$110,0,MATCH(AI$2,Inputs!$K$4:$AJ$4,0))))+SUMPRODUCT((Inputs!$C$5:$C$110=$B12)*ISNUMBER(INDEX(Inputs!$K$5:$AJ$110,0,MATCH(AI$2,Inputs!$K$4:$AJ$4,0))))+SUMPRODUCT((Inputs!$E$5:$E$110=$B12)*ISNUMBER(INDEX(Inputs!$K$5:$AJ$110,0,MATCH(AI$2,Inputs!$K$4:$AJ$4,0))))=0,NA(),SUMPRODUCT((Inputs!$A$5:$A$110=$B12)*Inputs!$B$5:$B$110*(((Inputs!$G$5:$G$110="moeda")+(Inputs!$G$5:$G$110="acoes"))*Inputs!$B$1+((Inputs!$G$5:$G$110&lt;&gt;"moeda")*(Inputs!$G$5:$G$110&lt;&gt;"acoes")))*INDEX(Inputs!$K$5:$AJ$110,0,MATCH(AI$2,Inputs!$K$4:$AJ$4,0)))+SUMPRODUCT((Inputs!$C$5:$C$110=$B12)*Inputs!$D$5:$D$110*(((Inputs!$G$5:$G$110="moeda")+(Inputs!$G$5:$G$110="acoes"))*Inputs!$B$1+((Inputs!$G$5:$G$110&lt;&gt;"moeda")*(Inputs!$G$5:$G$110&lt;&gt;"acoes")))*INDEX(Inputs!$K$5:$AJ$110,0,MATCH(AI$2,Inputs!$K$4:$AJ$4,0)))+SUMPRODUCT((Inputs!$E$5:$E$110=$B12)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2" s="6">
        <f>IF(ISNA(MATCH(AJ$2,Inputs!$K$4:$AJ$4,0)),NA(),IF(SUMPRODUCT((Inputs!$A$5:$A$110=$B12)*ISNUMBER(INDEX(Inputs!$K$5:$AJ$110,0,MATCH(AJ$2,Inputs!$K$4:$AJ$4,0))))+SUMPRODUCT((Inputs!$C$5:$C$110=$B12)*ISNUMBER(INDEX(Inputs!$K$5:$AJ$110,0,MATCH(AJ$2,Inputs!$K$4:$AJ$4,0))))+SUMPRODUCT((Inputs!$E$5:$E$110=$B12)*ISNUMBER(INDEX(Inputs!$K$5:$AJ$110,0,MATCH(AJ$2,Inputs!$K$4:$AJ$4,0))))=0,NA(),SUMPRODUCT((Inputs!$A$5:$A$110=$B12)*Inputs!$B$5:$B$110*(((Inputs!$G$5:$G$110="moeda")+(Inputs!$G$5:$G$110="acoes"))*Inputs!$B$1+((Inputs!$G$5:$G$110&lt;&gt;"moeda")*(Inputs!$G$5:$G$110&lt;&gt;"acoes")))*INDEX(Inputs!$K$5:$AJ$110,0,MATCH(AJ$2,Inputs!$K$4:$AJ$4,0)))+SUMPRODUCT((Inputs!$C$5:$C$110=$B12)*Inputs!$D$5:$D$110*(((Inputs!$G$5:$G$110="moeda")+(Inputs!$G$5:$G$110="acoes"))*Inputs!$B$1+((Inputs!$G$5:$G$110&lt;&gt;"moeda")*(Inputs!$G$5:$G$110&lt;&gt;"acoes")))*INDEX(Inputs!$K$5:$AJ$110,0,MATCH(AJ$2,Inputs!$K$4:$AJ$4,0)))+SUMPRODUCT((Inputs!$E$5:$E$110=$B12)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2" s="6">
        <f>IF(ISNA(MATCH(AK$2,Inputs!$K$4:$AJ$4,0)),NA(),IF(SUMPRODUCT((Inputs!$A$5:$A$110=$B12)*ISNUMBER(INDEX(Inputs!$K$5:$AJ$110,0,MATCH(AK$2,Inputs!$K$4:$AJ$4,0))))+SUMPRODUCT((Inputs!$C$5:$C$110=$B12)*ISNUMBER(INDEX(Inputs!$K$5:$AJ$110,0,MATCH(AK$2,Inputs!$K$4:$AJ$4,0))))+SUMPRODUCT((Inputs!$E$5:$E$110=$B12)*ISNUMBER(INDEX(Inputs!$K$5:$AJ$110,0,MATCH(AK$2,Inputs!$K$4:$AJ$4,0))))=0,NA(),SUMPRODUCT((Inputs!$A$5:$A$110=$B12)*Inputs!$B$5:$B$110*(((Inputs!$G$5:$G$110="moeda")+(Inputs!$G$5:$G$110="acoes"))*Inputs!$B$1+((Inputs!$G$5:$G$110&lt;&gt;"moeda")*(Inputs!$G$5:$G$110&lt;&gt;"acoes")))*INDEX(Inputs!$K$5:$AJ$110,0,MATCH(AK$2,Inputs!$K$4:$AJ$4,0)))+SUMPRODUCT((Inputs!$C$5:$C$110=$B12)*Inputs!$D$5:$D$110*(((Inputs!$G$5:$G$110="moeda")+(Inputs!$G$5:$G$110="acoes"))*Inputs!$B$1+((Inputs!$G$5:$G$110&lt;&gt;"moeda")*(Inputs!$G$5:$G$110&lt;&gt;"acoes")))*INDEX(Inputs!$K$5:$AJ$110,0,MATCH(AK$2,Inputs!$K$4:$AJ$4,0)))+SUMPRODUCT((Inputs!$E$5:$E$110=$B12)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2" s="3">
        <f>SUM(AH12:AK12)</f>
        <v>0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$110=$B13)*ISNUMBER(INDEX(Inputs!$K$5:$AJ$110,0,MATCH(D$2,Inputs!$K$4:$AJ$4,0))))+SUMPRODUCT((Inputs!$C$5:$C$110=$B13)*ISNUMBER(INDEX(Inputs!$K$5:$AJ$110,0,MATCH(D$2,Inputs!$K$4:$AJ$4,0))))+SUMPRODUCT((Inputs!$E$5:$E$110=$B13)*ISNUMBER(INDEX(Inputs!$K$5:$AJ$110,0,MATCH(D$2,Inputs!$K$4:$AJ$4,0))))=0,NA(),SUMPRODUCT((Inputs!$A$5:$A$110=$B13)*Inputs!$B$5:$B$110*(((Inputs!$G$5:$G$110="moeda")+(Inputs!$G$5:$G$110="acoes"))*Inputs!$B$1+((Inputs!$G$5:$G$110&lt;&gt;"moeda")*(Inputs!$G$5:$G$110&lt;&gt;"acoes")))*INDEX(Inputs!$K$5:$AJ$110,0,MATCH(D$2,Inputs!$K$4:$AJ$4,0)))+SUMPRODUCT((Inputs!$C$5:$C$110=$B13)*Inputs!$D$5:$D$110*(((Inputs!$G$5:$G$110="moeda")+(Inputs!$G$5:$G$110="acoes"))*Inputs!$B$1+((Inputs!$G$5:$G$110&lt;&gt;"moeda")*(Inputs!$G$5:$G$110&lt;&gt;"acoes")))*INDEX(Inputs!$K$5:$AJ$110,0,MATCH(D$2,Inputs!$K$4:$AJ$4,0)))+SUMPRODUCT((Inputs!$E$5:$E$110=$B13)*Inputs!$F$5:$F$110*(((Inputs!$G$5:$G$110="moeda")+(Inputs!$G$5:$G$110="acoes"))*Inputs!$B$1+((Inputs!$G$5:$G$110&lt;&gt;"moeda")*(Inputs!$G$5:$G$110&lt;&gt;"acoes")))*INDEX(Inputs!$K$5:$AJ$110,0,MATCH(D$2,Inputs!$K$4:$AJ$4,0)))))</f>
        <v>-739</v>
      </c>
      <c r="E13" s="6">
        <f>IF(ISNA(MATCH(E$2,Inputs!$K$4:$AJ$4,0)),NA(),IF(SUMPRODUCT((Inputs!$A$5:$A$110=$B13)*ISNUMBER(INDEX(Inputs!$K$5:$AJ$110,0,MATCH(E$2,Inputs!$K$4:$AJ$4,0))))+SUMPRODUCT((Inputs!$C$5:$C$110=$B13)*ISNUMBER(INDEX(Inputs!$K$5:$AJ$110,0,MATCH(E$2,Inputs!$K$4:$AJ$4,0))))+SUMPRODUCT((Inputs!$E$5:$E$110=$B13)*ISNUMBER(INDEX(Inputs!$K$5:$AJ$110,0,MATCH(E$2,Inputs!$K$4:$AJ$4,0))))=0,NA(),SUMPRODUCT((Inputs!$A$5:$A$110=$B13)*Inputs!$B$5:$B$110*(((Inputs!$G$5:$G$110="moeda")+(Inputs!$G$5:$G$110="acoes"))*Inputs!$B$1+((Inputs!$G$5:$G$110&lt;&gt;"moeda")*(Inputs!$G$5:$G$110&lt;&gt;"acoes")))*INDEX(Inputs!$K$5:$AJ$110,0,MATCH(E$2,Inputs!$K$4:$AJ$4,0)))+SUMPRODUCT((Inputs!$C$5:$C$110=$B13)*Inputs!$D$5:$D$110*(((Inputs!$G$5:$G$110="moeda")+(Inputs!$G$5:$G$110="acoes"))*Inputs!$B$1+((Inputs!$G$5:$G$110&lt;&gt;"moeda")*(Inputs!$G$5:$G$110&lt;&gt;"acoes")))*INDEX(Inputs!$K$5:$AJ$110,0,MATCH(E$2,Inputs!$K$4:$AJ$4,0)))+SUMPRODUCT((Inputs!$E$5:$E$110=$B13)*Inputs!$F$5:$F$110*(((Inputs!$G$5:$G$110="moeda")+(Inputs!$G$5:$G$110="acoes"))*Inputs!$B$1+((Inputs!$G$5:$G$110&lt;&gt;"moeda")*(Inputs!$G$5:$G$110&lt;&gt;"acoes")))*INDEX(Inputs!$K$5:$AJ$110,0,MATCH(E$2,Inputs!$K$4:$AJ$4,0)))))</f>
        <v>-721</v>
      </c>
      <c r="F13" s="6">
        <f>IF(ISNA(MATCH(F$2,Inputs!$K$4:$AJ$4,0)),NA(),IF(SUMPRODUCT((Inputs!$A$5:$A$110=$B13)*ISNUMBER(INDEX(Inputs!$K$5:$AJ$110,0,MATCH(F$2,Inputs!$K$4:$AJ$4,0))))+SUMPRODUCT((Inputs!$C$5:$C$110=$B13)*ISNUMBER(INDEX(Inputs!$K$5:$AJ$110,0,MATCH(F$2,Inputs!$K$4:$AJ$4,0))))+SUMPRODUCT((Inputs!$E$5:$E$110=$B13)*ISNUMBER(INDEX(Inputs!$K$5:$AJ$110,0,MATCH(F$2,Inputs!$K$4:$AJ$4,0))))=0,NA(),SUMPRODUCT((Inputs!$A$5:$A$110=$B13)*Inputs!$B$5:$B$110*(((Inputs!$G$5:$G$110="moeda")+(Inputs!$G$5:$G$110="acoes"))*Inputs!$B$1+((Inputs!$G$5:$G$110&lt;&gt;"moeda")*(Inputs!$G$5:$G$110&lt;&gt;"acoes")))*INDEX(Inputs!$K$5:$AJ$110,0,MATCH(F$2,Inputs!$K$4:$AJ$4,0)))+SUMPRODUCT((Inputs!$C$5:$C$110=$B13)*Inputs!$D$5:$D$110*(((Inputs!$G$5:$G$110="moeda")+(Inputs!$G$5:$G$110="acoes"))*Inputs!$B$1+((Inputs!$G$5:$G$110&lt;&gt;"moeda")*(Inputs!$G$5:$G$110&lt;&gt;"acoes")))*INDEX(Inputs!$K$5:$AJ$110,0,MATCH(F$2,Inputs!$K$4:$AJ$4,0)))+SUMPRODUCT((Inputs!$E$5:$E$110=$B13)*Inputs!$F$5:$F$110*(((Inputs!$G$5:$G$110="moeda")+(Inputs!$G$5:$G$110="acoes"))*Inputs!$B$1+((Inputs!$G$5:$G$110&lt;&gt;"moeda")*(Inputs!$G$5:$G$110&lt;&gt;"acoes")))*INDEX(Inputs!$K$5:$AJ$110,0,MATCH(F$2,Inputs!$K$4:$AJ$4,0)))))</f>
        <v>-718</v>
      </c>
      <c r="G13" s="6">
        <f>IF(ISNA(MATCH(G$2,Inputs!$K$4:$AJ$4,0)),NA(),IF(SUMPRODUCT((Inputs!$A$5:$A$110=$B13)*ISNUMBER(INDEX(Inputs!$K$5:$AJ$110,0,MATCH(G$2,Inputs!$K$4:$AJ$4,0))))+SUMPRODUCT((Inputs!$C$5:$C$110=$B13)*ISNUMBER(INDEX(Inputs!$K$5:$AJ$110,0,MATCH(G$2,Inputs!$K$4:$AJ$4,0))))+SUMPRODUCT((Inputs!$E$5:$E$110=$B13)*ISNUMBER(INDEX(Inputs!$K$5:$AJ$110,0,MATCH(G$2,Inputs!$K$4:$AJ$4,0))))=0,NA(),SUMPRODUCT((Inputs!$A$5:$A$110=$B13)*Inputs!$B$5:$B$110*(((Inputs!$G$5:$G$110="moeda")+(Inputs!$G$5:$G$110="acoes"))*Inputs!$B$1+((Inputs!$G$5:$G$110&lt;&gt;"moeda")*(Inputs!$G$5:$G$110&lt;&gt;"acoes")))*INDEX(Inputs!$K$5:$AJ$110,0,MATCH(G$2,Inputs!$K$4:$AJ$4,0)))+SUMPRODUCT((Inputs!$C$5:$C$110=$B13)*Inputs!$D$5:$D$110*(((Inputs!$G$5:$G$110="moeda")+(Inputs!$G$5:$G$110="acoes"))*Inputs!$B$1+((Inputs!$G$5:$G$110&lt;&gt;"moeda")*(Inputs!$G$5:$G$110&lt;&gt;"acoes")))*INDEX(Inputs!$K$5:$AJ$110,0,MATCH(G$2,Inputs!$K$4:$AJ$4,0)))+SUMPRODUCT((Inputs!$E$5:$E$110=$B13)*Inputs!$F$5:$F$110*(((Inputs!$G$5:$G$110="moeda")+(Inputs!$G$5:$G$110="acoes"))*Inputs!$B$1+((Inputs!$G$5:$G$110&lt;&gt;"moeda")*(Inputs!$G$5:$G$110&lt;&gt;"acoes")))*INDEX(Inputs!$K$5:$AJ$110,0,MATCH(G$2,Inputs!$K$4:$AJ$4,0)))))</f>
        <v>-762</v>
      </c>
      <c r="H13" s="3">
        <f>SUM(D13:G13)</f>
        <v>-2940</v>
      </c>
      <c r="I13" s="6">
        <f>IF(ISNA(MATCH(I$2,Inputs!$K$4:$AJ$4,0)),NA(),IF(SUMPRODUCT((Inputs!$A$5:$A$110=$B13)*ISNUMBER(INDEX(Inputs!$K$5:$AJ$110,0,MATCH(I$2,Inputs!$K$4:$AJ$4,0))))+SUMPRODUCT((Inputs!$C$5:$C$110=$B13)*ISNUMBER(INDEX(Inputs!$K$5:$AJ$110,0,MATCH(I$2,Inputs!$K$4:$AJ$4,0))))+SUMPRODUCT((Inputs!$E$5:$E$110=$B13)*ISNUMBER(INDEX(Inputs!$K$5:$AJ$110,0,MATCH(I$2,Inputs!$K$4:$AJ$4,0))))=0,NA(),SUMPRODUCT((Inputs!$A$5:$A$110=$B13)*Inputs!$B$5:$B$110*(((Inputs!$G$5:$G$110="moeda")+(Inputs!$G$5:$G$110="acoes"))*Inputs!$B$1+((Inputs!$G$5:$G$110&lt;&gt;"moeda")*(Inputs!$G$5:$G$110&lt;&gt;"acoes")))*INDEX(Inputs!$K$5:$AJ$110,0,MATCH(I$2,Inputs!$K$4:$AJ$4,0)))+SUMPRODUCT((Inputs!$C$5:$C$110=$B13)*Inputs!$D$5:$D$110*(((Inputs!$G$5:$G$110="moeda")+(Inputs!$G$5:$G$110="acoes"))*Inputs!$B$1+((Inputs!$G$5:$G$110&lt;&gt;"moeda")*(Inputs!$G$5:$G$110&lt;&gt;"acoes")))*INDEX(Inputs!$K$5:$AJ$110,0,MATCH(I$2,Inputs!$K$4:$AJ$4,0)))+SUMPRODUCT((Inputs!$E$5:$E$110=$B13)*Inputs!$F$5:$F$110*(((Inputs!$G$5:$G$110="moeda")+(Inputs!$G$5:$G$110="acoes"))*Inputs!$B$1+((Inputs!$G$5:$G$110&lt;&gt;"moeda")*(Inputs!$G$5:$G$110&lt;&gt;"acoes")))*INDEX(Inputs!$K$5:$AJ$110,0,MATCH(I$2,Inputs!$K$4:$AJ$4,0)))))</f>
        <v>-767</v>
      </c>
      <c r="J13" s="6">
        <f>IF(ISNA(MATCH(J$2,Inputs!$K$4:$AJ$4,0)),NA(),IF(SUMPRODUCT((Inputs!$A$5:$A$110=$B13)*ISNUMBER(INDEX(Inputs!$K$5:$AJ$110,0,MATCH(J$2,Inputs!$K$4:$AJ$4,0))))+SUMPRODUCT((Inputs!$C$5:$C$110=$B13)*ISNUMBER(INDEX(Inputs!$K$5:$AJ$110,0,MATCH(J$2,Inputs!$K$4:$AJ$4,0))))+SUMPRODUCT((Inputs!$E$5:$E$110=$B13)*ISNUMBER(INDEX(Inputs!$K$5:$AJ$110,0,MATCH(J$2,Inputs!$K$4:$AJ$4,0))))=0,NA(),SUMPRODUCT((Inputs!$A$5:$A$110=$B13)*Inputs!$B$5:$B$110*(((Inputs!$G$5:$G$110="moeda")+(Inputs!$G$5:$G$110="acoes"))*Inputs!$B$1+((Inputs!$G$5:$G$110&lt;&gt;"moeda")*(Inputs!$G$5:$G$110&lt;&gt;"acoes")))*INDEX(Inputs!$K$5:$AJ$110,0,MATCH(J$2,Inputs!$K$4:$AJ$4,0)))+SUMPRODUCT((Inputs!$C$5:$C$110=$B13)*Inputs!$D$5:$D$110*(((Inputs!$G$5:$G$110="moeda")+(Inputs!$G$5:$G$110="acoes"))*Inputs!$B$1+((Inputs!$G$5:$G$110&lt;&gt;"moeda")*(Inputs!$G$5:$G$110&lt;&gt;"acoes")))*INDEX(Inputs!$K$5:$AJ$110,0,MATCH(J$2,Inputs!$K$4:$AJ$4,0)))+SUMPRODUCT((Inputs!$E$5:$E$110=$B13)*Inputs!$F$5:$F$110*(((Inputs!$G$5:$G$110="moeda")+(Inputs!$G$5:$G$110="acoes"))*Inputs!$B$1+((Inputs!$G$5:$G$110&lt;&gt;"moeda")*(Inputs!$G$5:$G$110&lt;&gt;"acoes")))*INDEX(Inputs!$K$5:$AJ$110,0,MATCH(J$2,Inputs!$K$4:$AJ$4,0)))))</f>
        <v>-744</v>
      </c>
      <c r="K13" s="6">
        <f>IF(ISNA(MATCH(K$2,Inputs!$K$4:$AJ$4,0)),NA(),IF(SUMPRODUCT((Inputs!$A$5:$A$110=$B13)*ISNUMBER(INDEX(Inputs!$K$5:$AJ$110,0,MATCH(K$2,Inputs!$K$4:$AJ$4,0))))+SUMPRODUCT((Inputs!$C$5:$C$110=$B13)*ISNUMBER(INDEX(Inputs!$K$5:$AJ$110,0,MATCH(K$2,Inputs!$K$4:$AJ$4,0))))+SUMPRODUCT((Inputs!$E$5:$E$110=$B13)*ISNUMBER(INDEX(Inputs!$K$5:$AJ$110,0,MATCH(K$2,Inputs!$K$4:$AJ$4,0))))=0,NA(),SUMPRODUCT((Inputs!$A$5:$A$110=$B13)*Inputs!$B$5:$B$110*(((Inputs!$G$5:$G$110="moeda")+(Inputs!$G$5:$G$110="acoes"))*Inputs!$B$1+((Inputs!$G$5:$G$110&lt;&gt;"moeda")*(Inputs!$G$5:$G$110&lt;&gt;"acoes")))*INDEX(Inputs!$K$5:$AJ$110,0,MATCH(K$2,Inputs!$K$4:$AJ$4,0)))+SUMPRODUCT((Inputs!$C$5:$C$110=$B13)*Inputs!$D$5:$D$110*(((Inputs!$G$5:$G$110="moeda")+(Inputs!$G$5:$G$110="acoes"))*Inputs!$B$1+((Inputs!$G$5:$G$110&lt;&gt;"moeda")*(Inputs!$G$5:$G$110&lt;&gt;"acoes")))*INDEX(Inputs!$K$5:$AJ$110,0,MATCH(K$2,Inputs!$K$4:$AJ$4,0)))+SUMPRODUCT((Inputs!$E$5:$E$110=$B13)*Inputs!$F$5:$F$110*(((Inputs!$G$5:$G$110="moeda")+(Inputs!$G$5:$G$110="acoes"))*Inputs!$B$1+((Inputs!$G$5:$G$110&lt;&gt;"moeda")*(Inputs!$G$5:$G$110&lt;&gt;"acoes")))*INDEX(Inputs!$K$5:$AJ$110,0,MATCH(K$2,Inputs!$K$4:$AJ$4,0)))))</f>
        <v>-739</v>
      </c>
      <c r="L13" s="6">
        <f>IF(ISNA(MATCH(L$2,Inputs!$K$4:$AJ$4,0)),NA(),IF(SUMPRODUCT((Inputs!$A$5:$A$110=$B13)*ISNUMBER(INDEX(Inputs!$K$5:$AJ$110,0,MATCH(L$2,Inputs!$K$4:$AJ$4,0))))+SUMPRODUCT((Inputs!$C$5:$C$110=$B13)*ISNUMBER(INDEX(Inputs!$K$5:$AJ$110,0,MATCH(L$2,Inputs!$K$4:$AJ$4,0))))+SUMPRODUCT((Inputs!$E$5:$E$110=$B13)*ISNUMBER(INDEX(Inputs!$K$5:$AJ$110,0,MATCH(L$2,Inputs!$K$4:$AJ$4,0))))=0,NA(),SUMPRODUCT((Inputs!$A$5:$A$110=$B13)*Inputs!$B$5:$B$110*(((Inputs!$G$5:$G$110="moeda")+(Inputs!$G$5:$G$110="acoes"))*Inputs!$B$1+((Inputs!$G$5:$G$110&lt;&gt;"moeda")*(Inputs!$G$5:$G$110&lt;&gt;"acoes")))*INDEX(Inputs!$K$5:$AJ$110,0,MATCH(L$2,Inputs!$K$4:$AJ$4,0)))+SUMPRODUCT((Inputs!$C$5:$C$110=$B13)*Inputs!$D$5:$D$110*(((Inputs!$G$5:$G$110="moeda")+(Inputs!$G$5:$G$110="acoes"))*Inputs!$B$1+((Inputs!$G$5:$G$110&lt;&gt;"moeda")*(Inputs!$G$5:$G$110&lt;&gt;"acoes")))*INDEX(Inputs!$K$5:$AJ$110,0,MATCH(L$2,Inputs!$K$4:$AJ$4,0)))+SUMPRODUCT((Inputs!$E$5:$E$110=$B13)*Inputs!$F$5:$F$110*(((Inputs!$G$5:$G$110="moeda")+(Inputs!$G$5:$G$110="acoes"))*Inputs!$B$1+((Inputs!$G$5:$G$110&lt;&gt;"moeda")*(Inputs!$G$5:$G$110&lt;&gt;"acoes")))*INDEX(Inputs!$K$5:$AJ$110,0,MATCH(L$2,Inputs!$K$4:$AJ$4,0)))))</f>
        <v>-766</v>
      </c>
      <c r="M13" s="3">
        <f>SUM(I13:L13)</f>
        <v>-3016</v>
      </c>
      <c r="N13" s="6">
        <f>IF(ISNA(MATCH(N$2,Inputs!$K$4:$AJ$4,0)),NA(),IF(SUMPRODUCT((Inputs!$A$5:$A$110=$B13)*ISNUMBER(INDEX(Inputs!$K$5:$AJ$110,0,MATCH(N$2,Inputs!$K$4:$AJ$4,0))))+SUMPRODUCT((Inputs!$C$5:$C$110=$B13)*ISNUMBER(INDEX(Inputs!$K$5:$AJ$110,0,MATCH(N$2,Inputs!$K$4:$AJ$4,0))))+SUMPRODUCT((Inputs!$E$5:$E$110=$B13)*ISNUMBER(INDEX(Inputs!$K$5:$AJ$110,0,MATCH(N$2,Inputs!$K$4:$AJ$4,0))))=0,NA(),SUMPRODUCT((Inputs!$A$5:$A$110=$B13)*Inputs!$B$5:$B$110*(((Inputs!$G$5:$G$110="moeda")+(Inputs!$G$5:$G$110="acoes"))*Inputs!$B$1+((Inputs!$G$5:$G$110&lt;&gt;"moeda")*(Inputs!$G$5:$G$110&lt;&gt;"acoes")))*INDEX(Inputs!$K$5:$AJ$110,0,MATCH(N$2,Inputs!$K$4:$AJ$4,0)))+SUMPRODUCT((Inputs!$C$5:$C$110=$B13)*Inputs!$D$5:$D$110*(((Inputs!$G$5:$G$110="moeda")+(Inputs!$G$5:$G$110="acoes"))*Inputs!$B$1+((Inputs!$G$5:$G$110&lt;&gt;"moeda")*(Inputs!$G$5:$G$110&lt;&gt;"acoes")))*INDEX(Inputs!$K$5:$AJ$110,0,MATCH(N$2,Inputs!$K$4:$AJ$4,0)))+SUMPRODUCT((Inputs!$E$5:$E$110=$B13)*Inputs!$F$5:$F$110*(((Inputs!$G$5:$G$110="moeda")+(Inputs!$G$5:$G$110="acoes"))*Inputs!$B$1+((Inputs!$G$5:$G$110&lt;&gt;"moeda")*(Inputs!$G$5:$G$110&lt;&gt;"acoes")))*INDEX(Inputs!$K$5:$AJ$110,0,MATCH(N$2,Inputs!$K$4:$AJ$4,0)))))</f>
        <v>-784</v>
      </c>
      <c r="O13" s="6">
        <f>IF(ISNA(MATCH(O$2,Inputs!$K$4:$AJ$4,0)),NA(),IF(SUMPRODUCT((Inputs!$A$5:$A$110=$B13)*ISNUMBER(INDEX(Inputs!$K$5:$AJ$110,0,MATCH(O$2,Inputs!$K$4:$AJ$4,0))))+SUMPRODUCT((Inputs!$C$5:$C$110=$B13)*ISNUMBER(INDEX(Inputs!$K$5:$AJ$110,0,MATCH(O$2,Inputs!$K$4:$AJ$4,0))))+SUMPRODUCT((Inputs!$E$5:$E$110=$B13)*ISNUMBER(INDEX(Inputs!$K$5:$AJ$110,0,MATCH(O$2,Inputs!$K$4:$AJ$4,0))))=0,NA(),SUMPRODUCT((Inputs!$A$5:$A$110=$B13)*Inputs!$B$5:$B$110*(((Inputs!$G$5:$G$110="moeda")+(Inputs!$G$5:$G$110="acoes"))*Inputs!$B$1+((Inputs!$G$5:$G$110&lt;&gt;"moeda")*(Inputs!$G$5:$G$110&lt;&gt;"acoes")))*INDEX(Inputs!$K$5:$AJ$110,0,MATCH(O$2,Inputs!$K$4:$AJ$4,0)))+SUMPRODUCT((Inputs!$C$5:$C$110=$B13)*Inputs!$D$5:$D$110*(((Inputs!$G$5:$G$110="moeda")+(Inputs!$G$5:$G$110="acoes"))*Inputs!$B$1+((Inputs!$G$5:$G$110&lt;&gt;"moeda")*(Inputs!$G$5:$G$110&lt;&gt;"acoes")))*INDEX(Inputs!$K$5:$AJ$110,0,MATCH(O$2,Inputs!$K$4:$AJ$4,0)))+SUMPRODUCT((Inputs!$E$5:$E$110=$B13)*Inputs!$F$5:$F$110*(((Inputs!$G$5:$G$110="moeda")+(Inputs!$G$5:$G$110="acoes"))*Inputs!$B$1+((Inputs!$G$5:$G$110&lt;&gt;"moeda")*(Inputs!$G$5:$G$110&lt;&gt;"acoes")))*INDEX(Inputs!$K$5:$AJ$110,0,MATCH(O$2,Inputs!$K$4:$AJ$4,0)))))</f>
        <v>-758</v>
      </c>
      <c r="P13" s="6">
        <f>IF(ISNA(MATCH(P$2,Inputs!$K$4:$AJ$4,0)),NA(),IF(SUMPRODUCT((Inputs!$A$5:$A$110=$B13)*ISNUMBER(INDEX(Inputs!$K$5:$AJ$110,0,MATCH(P$2,Inputs!$K$4:$AJ$4,0))))+SUMPRODUCT((Inputs!$C$5:$C$110=$B13)*ISNUMBER(INDEX(Inputs!$K$5:$AJ$110,0,MATCH(P$2,Inputs!$K$4:$AJ$4,0))))+SUMPRODUCT((Inputs!$E$5:$E$110=$B13)*ISNUMBER(INDEX(Inputs!$K$5:$AJ$110,0,MATCH(P$2,Inputs!$K$4:$AJ$4,0))))=0,NA(),SUMPRODUCT((Inputs!$A$5:$A$110=$B13)*Inputs!$B$5:$B$110*(((Inputs!$G$5:$G$110="moeda")+(Inputs!$G$5:$G$110="acoes"))*Inputs!$B$1+((Inputs!$G$5:$G$110&lt;&gt;"moeda")*(Inputs!$G$5:$G$110&lt;&gt;"acoes")))*INDEX(Inputs!$K$5:$AJ$110,0,MATCH(P$2,Inputs!$K$4:$AJ$4,0)))+SUMPRODUCT((Inputs!$C$5:$C$110=$B13)*Inputs!$D$5:$D$110*(((Inputs!$G$5:$G$110="moeda")+(Inputs!$G$5:$G$110="acoes"))*Inputs!$B$1+((Inputs!$G$5:$G$110&lt;&gt;"moeda")*(Inputs!$G$5:$G$110&lt;&gt;"acoes")))*INDEX(Inputs!$K$5:$AJ$110,0,MATCH(P$2,Inputs!$K$4:$AJ$4,0)))+SUMPRODUCT((Inputs!$E$5:$E$110=$B13)*Inputs!$F$5:$F$110*(((Inputs!$G$5:$G$110="moeda")+(Inputs!$G$5:$G$110="acoes"))*Inputs!$B$1+((Inputs!$G$5:$G$110&lt;&gt;"moeda")*(Inputs!$G$5:$G$110&lt;&gt;"acoes")))*INDEX(Inputs!$K$5:$AJ$110,0,MATCH(P$2,Inputs!$K$4:$AJ$4,0)))))</f>
        <v>-747</v>
      </c>
      <c r="Q13" s="6">
        <f>IF(ISNA(MATCH(Q$2,Inputs!$K$4:$AJ$4,0)),NA(),IF(SUMPRODUCT((Inputs!$A$5:$A$110=$B13)*ISNUMBER(INDEX(Inputs!$K$5:$AJ$110,0,MATCH(Q$2,Inputs!$K$4:$AJ$4,0))))+SUMPRODUCT((Inputs!$C$5:$C$110=$B13)*ISNUMBER(INDEX(Inputs!$K$5:$AJ$110,0,MATCH(Q$2,Inputs!$K$4:$AJ$4,0))))+SUMPRODUCT((Inputs!$E$5:$E$110=$B13)*ISNUMBER(INDEX(Inputs!$K$5:$AJ$110,0,MATCH(Q$2,Inputs!$K$4:$AJ$4,0))))=0,NA(),SUMPRODUCT((Inputs!$A$5:$A$110=$B13)*Inputs!$B$5:$B$110*(((Inputs!$G$5:$G$110="moeda")+(Inputs!$G$5:$G$110="acoes"))*Inputs!$B$1+((Inputs!$G$5:$G$110&lt;&gt;"moeda")*(Inputs!$G$5:$G$110&lt;&gt;"acoes")))*INDEX(Inputs!$K$5:$AJ$110,0,MATCH(Q$2,Inputs!$K$4:$AJ$4,0)))+SUMPRODUCT((Inputs!$C$5:$C$110=$B13)*Inputs!$D$5:$D$110*(((Inputs!$G$5:$G$110="moeda")+(Inputs!$G$5:$G$110="acoes"))*Inputs!$B$1+((Inputs!$G$5:$G$110&lt;&gt;"moeda")*(Inputs!$G$5:$G$110&lt;&gt;"acoes")))*INDEX(Inputs!$K$5:$AJ$110,0,MATCH(Q$2,Inputs!$K$4:$AJ$4,0)))+SUMPRODUCT((Inputs!$E$5:$E$110=$B13)*Inputs!$F$5:$F$110*(((Inputs!$G$5:$G$110="moeda")+(Inputs!$G$5:$G$110="acoes"))*Inputs!$B$1+((Inputs!$G$5:$G$110&lt;&gt;"moeda")*(Inputs!$G$5:$G$110&lt;&gt;"acoes")))*INDEX(Inputs!$K$5:$AJ$110,0,MATCH(Q$2,Inputs!$K$4:$AJ$4,0)))))</f>
        <v>-767</v>
      </c>
      <c r="R13" s="3">
        <f>SUM(N13:Q13)</f>
        <v>-3056</v>
      </c>
      <c r="S13" s="6">
        <f>IF(ISNA(MATCH(S$2,Inputs!$K$4:$AJ$4,0)),NA(),IF(SUMPRODUCT((Inputs!$A$5:$A$110=$B13)*ISNUMBER(INDEX(Inputs!$K$5:$AJ$110,0,MATCH(S$2,Inputs!$K$4:$AJ$4,0))))+SUMPRODUCT((Inputs!$C$5:$C$110=$B13)*ISNUMBER(INDEX(Inputs!$K$5:$AJ$110,0,MATCH(S$2,Inputs!$K$4:$AJ$4,0))))+SUMPRODUCT((Inputs!$E$5:$E$110=$B13)*ISNUMBER(INDEX(Inputs!$K$5:$AJ$110,0,MATCH(S$2,Inputs!$K$4:$AJ$4,0))))=0,NA(),SUMPRODUCT((Inputs!$A$5:$A$110=$B13)*Inputs!$B$5:$B$110*(((Inputs!$G$5:$G$110="moeda")+(Inputs!$G$5:$G$110="acoes"))*Inputs!$B$1+((Inputs!$G$5:$G$110&lt;&gt;"moeda")*(Inputs!$G$5:$G$110&lt;&gt;"acoes")))*INDEX(Inputs!$K$5:$AJ$110,0,MATCH(S$2,Inputs!$K$4:$AJ$4,0)))+SUMPRODUCT((Inputs!$C$5:$C$110=$B13)*Inputs!$D$5:$D$110*(((Inputs!$G$5:$G$110="moeda")+(Inputs!$G$5:$G$110="acoes"))*Inputs!$B$1+((Inputs!$G$5:$G$110&lt;&gt;"moeda")*(Inputs!$G$5:$G$110&lt;&gt;"acoes")))*INDEX(Inputs!$K$5:$AJ$110,0,MATCH(S$2,Inputs!$K$4:$AJ$4,0)))+SUMPRODUCT((Inputs!$E$5:$E$110=$B13)*Inputs!$F$5:$F$110*(((Inputs!$G$5:$G$110="moeda")+(Inputs!$G$5:$G$110="acoes"))*Inputs!$B$1+((Inputs!$G$5:$G$110&lt;&gt;"moeda")*(Inputs!$G$5:$G$110&lt;&gt;"acoes")))*INDEX(Inputs!$K$5:$AJ$110,0,MATCH(S$2,Inputs!$K$4:$AJ$4,0)))))</f>
        <v>-780</v>
      </c>
      <c r="T13" s="6">
        <f>IF(ISNA(MATCH(T$2,Inputs!$K$4:$AJ$4,0)),NA(),IF(SUMPRODUCT((Inputs!$A$5:$A$110=$B13)*ISNUMBER(INDEX(Inputs!$K$5:$AJ$110,0,MATCH(T$2,Inputs!$K$4:$AJ$4,0))))+SUMPRODUCT((Inputs!$C$5:$C$110=$B13)*ISNUMBER(INDEX(Inputs!$K$5:$AJ$110,0,MATCH(T$2,Inputs!$K$4:$AJ$4,0))))+SUMPRODUCT((Inputs!$E$5:$E$110=$B13)*ISNUMBER(INDEX(Inputs!$K$5:$AJ$110,0,MATCH(T$2,Inputs!$K$4:$AJ$4,0))))=0,NA(),SUMPRODUCT((Inputs!$A$5:$A$110=$B13)*Inputs!$B$5:$B$110*(((Inputs!$G$5:$G$110="moeda")+(Inputs!$G$5:$G$110="acoes"))*Inputs!$B$1+((Inputs!$G$5:$G$110&lt;&gt;"moeda")*(Inputs!$G$5:$G$110&lt;&gt;"acoes")))*INDEX(Inputs!$K$5:$AJ$110,0,MATCH(T$2,Inputs!$K$4:$AJ$4,0)))+SUMPRODUCT((Inputs!$C$5:$C$110=$B13)*Inputs!$D$5:$D$110*(((Inputs!$G$5:$G$110="moeda")+(Inputs!$G$5:$G$110="acoes"))*Inputs!$B$1+((Inputs!$G$5:$G$110&lt;&gt;"moeda")*(Inputs!$G$5:$G$110&lt;&gt;"acoes")))*INDEX(Inputs!$K$5:$AJ$110,0,MATCH(T$2,Inputs!$K$4:$AJ$4,0)))+SUMPRODUCT((Inputs!$E$5:$E$110=$B13)*Inputs!$F$5:$F$110*(((Inputs!$G$5:$G$110="moeda")+(Inputs!$G$5:$G$110="acoes"))*Inputs!$B$1+((Inputs!$G$5:$G$110&lt;&gt;"moeda")*(Inputs!$G$5:$G$110&lt;&gt;"acoes")))*INDEX(Inputs!$K$5:$AJ$110,0,MATCH(T$2,Inputs!$K$4:$AJ$4,0)))))</f>
        <v>-752</v>
      </c>
      <c r="U13" s="6">
        <f>IF(ISNA(MATCH(U$2,Inputs!$K$4:$AJ$4,0)),NA(),IF(SUMPRODUCT((Inputs!$A$5:$A$110=$B13)*ISNUMBER(INDEX(Inputs!$K$5:$AJ$110,0,MATCH(U$2,Inputs!$K$4:$AJ$4,0))))+SUMPRODUCT((Inputs!$C$5:$C$110=$B13)*ISNUMBER(INDEX(Inputs!$K$5:$AJ$110,0,MATCH(U$2,Inputs!$K$4:$AJ$4,0))))+SUMPRODUCT((Inputs!$E$5:$E$110=$B13)*ISNUMBER(INDEX(Inputs!$K$5:$AJ$110,0,MATCH(U$2,Inputs!$K$4:$AJ$4,0))))=0,NA(),SUMPRODUCT((Inputs!$A$5:$A$110=$B13)*Inputs!$B$5:$B$110*(((Inputs!$G$5:$G$110="moeda")+(Inputs!$G$5:$G$110="acoes"))*Inputs!$B$1+((Inputs!$G$5:$G$110&lt;&gt;"moeda")*(Inputs!$G$5:$G$110&lt;&gt;"acoes")))*INDEX(Inputs!$K$5:$AJ$110,0,MATCH(U$2,Inputs!$K$4:$AJ$4,0)))+SUMPRODUCT((Inputs!$C$5:$C$110=$B13)*Inputs!$D$5:$D$110*(((Inputs!$G$5:$G$110="moeda")+(Inputs!$G$5:$G$110="acoes"))*Inputs!$B$1+((Inputs!$G$5:$G$110&lt;&gt;"moeda")*(Inputs!$G$5:$G$110&lt;&gt;"acoes")))*INDEX(Inputs!$K$5:$AJ$110,0,MATCH(U$2,Inputs!$K$4:$AJ$4,0)))+SUMPRODUCT((Inputs!$E$5:$E$110=$B13)*Inputs!$F$5:$F$110*(((Inputs!$G$5:$G$110="moeda")+(Inputs!$G$5:$G$110="acoes"))*Inputs!$B$1+((Inputs!$G$5:$G$110&lt;&gt;"moeda")*(Inputs!$G$5:$G$110&lt;&gt;"acoes")))*INDEX(Inputs!$K$5:$AJ$110,0,MATCH(U$2,Inputs!$K$4:$AJ$4,0)))))</f>
        <v>-749</v>
      </c>
      <c r="V13" s="6">
        <f>IF(ISNA(MATCH(V$2,Inputs!$K$4:$AJ$4,0)),NA(),IF(SUMPRODUCT((Inputs!$A$5:$A$110=$B13)*ISNUMBER(INDEX(Inputs!$K$5:$AJ$110,0,MATCH(V$2,Inputs!$K$4:$AJ$4,0))))+SUMPRODUCT((Inputs!$C$5:$C$110=$B13)*ISNUMBER(INDEX(Inputs!$K$5:$AJ$110,0,MATCH(V$2,Inputs!$K$4:$AJ$4,0))))+SUMPRODUCT((Inputs!$E$5:$E$110=$B13)*ISNUMBER(INDEX(Inputs!$K$5:$AJ$110,0,MATCH(V$2,Inputs!$K$4:$AJ$4,0))))=0,NA(),SUMPRODUCT((Inputs!$A$5:$A$110=$B13)*Inputs!$B$5:$B$110*(((Inputs!$G$5:$G$110="moeda")+(Inputs!$G$5:$G$110="acoes"))*Inputs!$B$1+((Inputs!$G$5:$G$110&lt;&gt;"moeda")*(Inputs!$G$5:$G$110&lt;&gt;"acoes")))*INDEX(Inputs!$K$5:$AJ$110,0,MATCH(V$2,Inputs!$K$4:$AJ$4,0)))+SUMPRODUCT((Inputs!$C$5:$C$110=$B13)*Inputs!$D$5:$D$110*(((Inputs!$G$5:$G$110="moeda")+(Inputs!$G$5:$G$110="acoes"))*Inputs!$B$1+((Inputs!$G$5:$G$110&lt;&gt;"moeda")*(Inputs!$G$5:$G$110&lt;&gt;"acoes")))*INDEX(Inputs!$K$5:$AJ$110,0,MATCH(V$2,Inputs!$K$4:$AJ$4,0)))+SUMPRODUCT((Inputs!$E$5:$E$110=$B13)*Inputs!$F$5:$F$110*(((Inputs!$G$5:$G$110="moeda")+(Inputs!$G$5:$G$110="acoes"))*Inputs!$B$1+((Inputs!$G$5:$G$110&lt;&gt;"moeda")*(Inputs!$G$5:$G$110&lt;&gt;"acoes")))*INDEX(Inputs!$K$5:$AJ$110,0,MATCH(V$2,Inputs!$K$4:$AJ$4,0)))))</f>
        <v>-778</v>
      </c>
      <c r="W13" s="3">
        <f>SUM(S13:V13)</f>
        <v>-3059</v>
      </c>
      <c r="X13" s="6">
        <f>IF(ISNA(MATCH(X$2,Inputs!$K$4:$AJ$4,0)),NA(),IF(SUMPRODUCT((Inputs!$A$5:$A$110=$B13)*ISNUMBER(INDEX(Inputs!$K$5:$AJ$110,0,MATCH(X$2,Inputs!$K$4:$AJ$4,0))))+SUMPRODUCT((Inputs!$C$5:$C$110=$B13)*ISNUMBER(INDEX(Inputs!$K$5:$AJ$110,0,MATCH(X$2,Inputs!$K$4:$AJ$4,0))))+SUMPRODUCT((Inputs!$E$5:$E$110=$B13)*ISNUMBER(INDEX(Inputs!$K$5:$AJ$110,0,MATCH(X$2,Inputs!$K$4:$AJ$4,0))))=0,NA(),SUMPRODUCT((Inputs!$A$5:$A$110=$B13)*Inputs!$B$5:$B$110*(((Inputs!$G$5:$G$110="moeda")+(Inputs!$G$5:$G$110="acoes"))*Inputs!$B$1+((Inputs!$G$5:$G$110&lt;&gt;"moeda")*(Inputs!$G$5:$G$110&lt;&gt;"acoes")))*INDEX(Inputs!$K$5:$AJ$110,0,MATCH(X$2,Inputs!$K$4:$AJ$4,0)))+SUMPRODUCT((Inputs!$C$5:$C$110=$B13)*Inputs!$D$5:$D$110*(((Inputs!$G$5:$G$110="moeda")+(Inputs!$G$5:$G$110="acoes"))*Inputs!$B$1+((Inputs!$G$5:$G$110&lt;&gt;"moeda")*(Inputs!$G$5:$G$110&lt;&gt;"acoes")))*INDEX(Inputs!$K$5:$AJ$110,0,MATCH(X$2,Inputs!$K$4:$AJ$4,0)))+SUMPRODUCT((Inputs!$E$5:$E$110=$B13)*Inputs!$F$5:$F$110*(((Inputs!$G$5:$G$110="moeda")+(Inputs!$G$5:$G$110="acoes"))*Inputs!$B$1+((Inputs!$G$5:$G$110&lt;&gt;"moeda")*(Inputs!$G$5:$G$110&lt;&gt;"acoes")))*INDEX(Inputs!$K$5:$AJ$110,0,MATCH(X$2,Inputs!$K$4:$AJ$4,0)))))</f>
        <v>-796</v>
      </c>
      <c r="Y13" s="6">
        <f>IF(ISNA(MATCH(Y$2,Inputs!$K$4:$AJ$4,0)),NA(),IF(SUMPRODUCT((Inputs!$A$5:$A$110=$B13)*ISNUMBER(INDEX(Inputs!$K$5:$AJ$110,0,MATCH(Y$2,Inputs!$K$4:$AJ$4,0))))+SUMPRODUCT((Inputs!$C$5:$C$110=$B13)*ISNUMBER(INDEX(Inputs!$K$5:$AJ$110,0,MATCH(Y$2,Inputs!$K$4:$AJ$4,0))))+SUMPRODUCT((Inputs!$E$5:$E$110=$B13)*ISNUMBER(INDEX(Inputs!$K$5:$AJ$110,0,MATCH(Y$2,Inputs!$K$4:$AJ$4,0))))=0,NA(),SUMPRODUCT((Inputs!$A$5:$A$110=$B13)*Inputs!$B$5:$B$110*(((Inputs!$G$5:$G$110="moeda")+(Inputs!$G$5:$G$110="acoes"))*Inputs!$B$1+((Inputs!$G$5:$G$110&lt;&gt;"moeda")*(Inputs!$G$5:$G$110&lt;&gt;"acoes")))*INDEX(Inputs!$K$5:$AJ$110,0,MATCH(Y$2,Inputs!$K$4:$AJ$4,0)))+SUMPRODUCT((Inputs!$C$5:$C$110=$B13)*Inputs!$D$5:$D$110*(((Inputs!$G$5:$G$110="moeda")+(Inputs!$G$5:$G$110="acoes"))*Inputs!$B$1+((Inputs!$G$5:$G$110&lt;&gt;"moeda")*(Inputs!$G$5:$G$110&lt;&gt;"acoes")))*INDEX(Inputs!$K$5:$AJ$110,0,MATCH(Y$2,Inputs!$K$4:$AJ$4,0)))+SUMPRODUCT((Inputs!$E$5:$E$110=$B13)*Inputs!$F$5:$F$110*(((Inputs!$G$5:$G$110="moeda")+(Inputs!$G$5:$G$110="acoes"))*Inputs!$B$1+((Inputs!$G$5:$G$110&lt;&gt;"moeda")*(Inputs!$G$5:$G$110&lt;&gt;"acoes")))*INDEX(Inputs!$K$5:$AJ$110,0,MATCH(Y$2,Inputs!$K$4:$AJ$4,0)))))</f>
        <v>-771</v>
      </c>
      <c r="Z13" s="6">
        <f>IF(ISNA(MATCH(Z$2,Inputs!$K$4:$AJ$4,0)),NA(),IF(SUMPRODUCT((Inputs!$A$5:$A$110=$B13)*ISNUMBER(INDEX(Inputs!$K$5:$AJ$110,0,MATCH(Z$2,Inputs!$K$4:$AJ$4,0))))+SUMPRODUCT((Inputs!$C$5:$C$110=$B13)*ISNUMBER(INDEX(Inputs!$K$5:$AJ$110,0,MATCH(Z$2,Inputs!$K$4:$AJ$4,0))))+SUMPRODUCT((Inputs!$E$5:$E$110=$B13)*ISNUMBER(INDEX(Inputs!$K$5:$AJ$110,0,MATCH(Z$2,Inputs!$K$4:$AJ$4,0))))=0,NA(),SUMPRODUCT((Inputs!$A$5:$A$110=$B13)*Inputs!$B$5:$B$110*(((Inputs!$G$5:$G$110="moeda")+(Inputs!$G$5:$G$110="acoes"))*Inputs!$B$1+((Inputs!$G$5:$G$110&lt;&gt;"moeda")*(Inputs!$G$5:$G$110&lt;&gt;"acoes")))*INDEX(Inputs!$K$5:$AJ$110,0,MATCH(Z$2,Inputs!$K$4:$AJ$4,0)))+SUMPRODUCT((Inputs!$C$5:$C$110=$B13)*Inputs!$D$5:$D$110*(((Inputs!$G$5:$G$110="moeda")+(Inputs!$G$5:$G$110="acoes"))*Inputs!$B$1+((Inputs!$G$5:$G$110&lt;&gt;"moeda")*(Inputs!$G$5:$G$110&lt;&gt;"acoes")))*INDEX(Inputs!$K$5:$AJ$110,0,MATCH(Z$2,Inputs!$K$4:$AJ$4,0)))+SUMPRODUCT((Inputs!$E$5:$E$110=$B13)*Inputs!$F$5:$F$110*(((Inputs!$G$5:$G$110="moeda")+(Inputs!$G$5:$G$110="acoes"))*Inputs!$B$1+((Inputs!$G$5:$G$110&lt;&gt;"moeda")*(Inputs!$G$5:$G$110&lt;&gt;"acoes")))*INDEX(Inputs!$K$5:$AJ$110,0,MATCH(Z$2,Inputs!$K$4:$AJ$4,0)))))</f>
        <v>-765</v>
      </c>
      <c r="AA13" s="6">
        <f>IF(ISNA(MATCH(AA$2,Inputs!$K$4:$AJ$4,0)),NA(),IF(SUMPRODUCT((Inputs!$A$5:$A$110=$B13)*ISNUMBER(INDEX(Inputs!$K$5:$AJ$110,0,MATCH(AA$2,Inputs!$K$4:$AJ$4,0))))+SUMPRODUCT((Inputs!$C$5:$C$110=$B13)*ISNUMBER(INDEX(Inputs!$K$5:$AJ$110,0,MATCH(AA$2,Inputs!$K$4:$AJ$4,0))))+SUMPRODUCT((Inputs!$E$5:$E$110=$B13)*ISNUMBER(INDEX(Inputs!$K$5:$AJ$110,0,MATCH(AA$2,Inputs!$K$4:$AJ$4,0))))=0,NA(),SUMPRODUCT((Inputs!$A$5:$A$110=$B13)*Inputs!$B$5:$B$110*(((Inputs!$G$5:$G$110="moeda")+(Inputs!$G$5:$G$110="acoes"))*Inputs!$B$1+((Inputs!$G$5:$G$110&lt;&gt;"moeda")*(Inputs!$G$5:$G$110&lt;&gt;"acoes")))*INDEX(Inputs!$K$5:$AJ$110,0,MATCH(AA$2,Inputs!$K$4:$AJ$4,0)))+SUMPRODUCT((Inputs!$C$5:$C$110=$B13)*Inputs!$D$5:$D$110*(((Inputs!$G$5:$G$110="moeda")+(Inputs!$G$5:$G$110="acoes"))*Inputs!$B$1+((Inputs!$G$5:$G$110&lt;&gt;"moeda")*(Inputs!$G$5:$G$110&lt;&gt;"acoes")))*INDEX(Inputs!$K$5:$AJ$110,0,MATCH(AA$2,Inputs!$K$4:$AJ$4,0)))+SUMPRODUCT((Inputs!$E$5:$E$110=$B13)*Inputs!$F$5:$F$110*(((Inputs!$G$5:$G$110="moeda")+(Inputs!$G$5:$G$110="acoes"))*Inputs!$B$1+((Inputs!$G$5:$G$110&lt;&gt;"moeda")*(Inputs!$G$5:$G$110&lt;&gt;"acoes")))*INDEX(Inputs!$K$5:$AJ$110,0,MATCH(AA$2,Inputs!$K$4:$AJ$4,0)))))</f>
        <v>-799</v>
      </c>
      <c r="AB13" s="3">
        <f>SUM(X13:AA13)</f>
        <v>-3131</v>
      </c>
      <c r="AC13" s="6">
        <f>IF(ISNA(MATCH(AC$2,Inputs!$K$4:$AJ$4,0)),NA(),IF(SUMPRODUCT((Inputs!$A$5:$A$110=$B13)*ISNUMBER(INDEX(Inputs!$K$5:$AJ$110,0,MATCH(AC$2,Inputs!$K$4:$AJ$4,0))))+SUMPRODUCT((Inputs!$C$5:$C$110=$B13)*ISNUMBER(INDEX(Inputs!$K$5:$AJ$110,0,MATCH(AC$2,Inputs!$K$4:$AJ$4,0))))+SUMPRODUCT((Inputs!$E$5:$E$110=$B13)*ISNUMBER(INDEX(Inputs!$K$5:$AJ$110,0,MATCH(AC$2,Inputs!$K$4:$AJ$4,0))))=0,NA(),SUMPRODUCT((Inputs!$A$5:$A$110=$B13)*Inputs!$B$5:$B$110*(((Inputs!$G$5:$G$110="moeda")+(Inputs!$G$5:$G$110="acoes"))*Inputs!$B$1+((Inputs!$G$5:$G$110&lt;&gt;"moeda")*(Inputs!$G$5:$G$110&lt;&gt;"acoes")))*INDEX(Inputs!$K$5:$AJ$110,0,MATCH(AC$2,Inputs!$K$4:$AJ$4,0)))+SUMPRODUCT((Inputs!$C$5:$C$110=$B13)*Inputs!$D$5:$D$110*(((Inputs!$G$5:$G$110="moeda")+(Inputs!$G$5:$G$110="acoes"))*Inputs!$B$1+((Inputs!$G$5:$G$110&lt;&gt;"moeda")*(Inputs!$G$5:$G$110&lt;&gt;"acoes")))*INDEX(Inputs!$K$5:$AJ$110,0,MATCH(AC$2,Inputs!$K$4:$AJ$4,0)))+SUMPRODUCT((Inputs!$E$5:$E$110=$B13)*Inputs!$F$5:$F$110*(((Inputs!$G$5:$G$110="moeda")+(Inputs!$G$5:$G$110="acoes"))*Inputs!$B$1+((Inputs!$G$5:$G$110&lt;&gt;"moeda")*(Inputs!$G$5:$G$110&lt;&gt;"acoes")))*INDEX(Inputs!$K$5:$AJ$110,0,MATCH(AC$2,Inputs!$K$4:$AJ$4,0)))))</f>
        <v>-816</v>
      </c>
      <c r="AD13" s="6">
        <f>IF(ISNA(MATCH(AD$2,Inputs!$K$4:$AJ$4,0)),NA(),IF(SUMPRODUCT((Inputs!$A$5:$A$110=$B13)*ISNUMBER(INDEX(Inputs!$K$5:$AJ$110,0,MATCH(AD$2,Inputs!$K$4:$AJ$4,0))))+SUMPRODUCT((Inputs!$C$5:$C$110=$B13)*ISNUMBER(INDEX(Inputs!$K$5:$AJ$110,0,MATCH(AD$2,Inputs!$K$4:$AJ$4,0))))+SUMPRODUCT((Inputs!$E$5:$E$110=$B13)*ISNUMBER(INDEX(Inputs!$K$5:$AJ$110,0,MATCH(AD$2,Inputs!$K$4:$AJ$4,0))))=0,NA(),SUMPRODUCT((Inputs!$A$5:$A$110=$B13)*Inputs!$B$5:$B$110*(((Inputs!$G$5:$G$110="moeda")+(Inputs!$G$5:$G$110="acoes"))*Inputs!$B$1+((Inputs!$G$5:$G$110&lt;&gt;"moeda")*(Inputs!$G$5:$G$110&lt;&gt;"acoes")))*INDEX(Inputs!$K$5:$AJ$110,0,MATCH(AD$2,Inputs!$K$4:$AJ$4,0)))+SUMPRODUCT((Inputs!$C$5:$C$110=$B13)*Inputs!$D$5:$D$110*(((Inputs!$G$5:$G$110="moeda")+(Inputs!$G$5:$G$110="acoes"))*Inputs!$B$1+((Inputs!$G$5:$G$110&lt;&gt;"moeda")*(Inputs!$G$5:$G$110&lt;&gt;"acoes")))*INDEX(Inputs!$K$5:$AJ$110,0,MATCH(AD$2,Inputs!$K$4:$AJ$4,0)))+SUMPRODUCT((Inputs!$E$5:$E$110=$B13)*Inputs!$F$5:$F$110*(((Inputs!$G$5:$G$110="moeda")+(Inputs!$G$5:$G$110="acoes"))*Inputs!$B$1+((Inputs!$G$5:$G$110&lt;&gt;"moeda")*(Inputs!$G$5:$G$110&lt;&gt;"acoes")))*INDEX(Inputs!$K$5:$AJ$110,0,MATCH(AD$2,Inputs!$K$4:$AJ$4,0)))))</f>
        <v>-796</v>
      </c>
      <c r="AE13" s="6" t="e">
        <f>IF(ISNA(MATCH(AE$2,Inputs!$K$4:$AJ$4,0)),NA(),IF(SUMPRODUCT((Inputs!$A$5:$A$110=$B13)*ISNUMBER(INDEX(Inputs!$K$5:$AJ$110,0,MATCH(AE$2,Inputs!$K$4:$AJ$4,0))))+SUMPRODUCT((Inputs!$C$5:$C$110=$B13)*ISNUMBER(INDEX(Inputs!$K$5:$AJ$110,0,MATCH(AE$2,Inputs!$K$4:$AJ$4,0))))+SUMPRODUCT((Inputs!$E$5:$E$110=$B13)*ISNUMBER(INDEX(Inputs!$K$5:$AJ$110,0,MATCH(AE$2,Inputs!$K$4:$AJ$4,0))))=0,NA(),SUMPRODUCT((Inputs!$A$5:$A$110=$B13)*Inputs!$B$5:$B$110*(((Inputs!$G$5:$G$110="moeda")+(Inputs!$G$5:$G$110="acoes"))*Inputs!$B$1+((Inputs!$G$5:$G$110&lt;&gt;"moeda")*(Inputs!$G$5:$G$110&lt;&gt;"acoes")))*INDEX(Inputs!$K$5:$AJ$110,0,MATCH(AE$2,Inputs!$K$4:$AJ$4,0)))+SUMPRODUCT((Inputs!$C$5:$C$110=$B13)*Inputs!$D$5:$D$110*(((Inputs!$G$5:$G$110="moeda")+(Inputs!$G$5:$G$110="acoes"))*Inputs!$B$1+((Inputs!$G$5:$G$110&lt;&gt;"moeda")*(Inputs!$G$5:$G$110&lt;&gt;"acoes")))*INDEX(Inputs!$K$5:$AJ$110,0,MATCH(AE$2,Inputs!$K$4:$AJ$4,0)))+SUMPRODUCT((Inputs!$E$5:$E$110=$B13)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3" s="6" t="e">
        <f>IF(ISNA(MATCH(AF$2,Inputs!$K$4:$AJ$4,0)),NA(),IF(SUMPRODUCT((Inputs!$A$5:$A$110=$B13)*ISNUMBER(INDEX(Inputs!$K$5:$AJ$110,0,MATCH(AF$2,Inputs!$K$4:$AJ$4,0))))+SUMPRODUCT((Inputs!$C$5:$C$110=$B13)*ISNUMBER(INDEX(Inputs!$K$5:$AJ$110,0,MATCH(AF$2,Inputs!$K$4:$AJ$4,0))))+SUMPRODUCT((Inputs!$E$5:$E$110=$B13)*ISNUMBER(INDEX(Inputs!$K$5:$AJ$110,0,MATCH(AF$2,Inputs!$K$4:$AJ$4,0))))=0,NA(),SUMPRODUCT((Inputs!$A$5:$A$110=$B13)*Inputs!$B$5:$B$110*(((Inputs!$G$5:$G$110="moeda")+(Inputs!$G$5:$G$110="acoes"))*Inputs!$B$1+((Inputs!$G$5:$G$110&lt;&gt;"moeda")*(Inputs!$G$5:$G$110&lt;&gt;"acoes")))*INDEX(Inputs!$K$5:$AJ$110,0,MATCH(AF$2,Inputs!$K$4:$AJ$4,0)))+SUMPRODUCT((Inputs!$C$5:$C$110=$B13)*Inputs!$D$5:$D$110*(((Inputs!$G$5:$G$110="moeda")+(Inputs!$G$5:$G$110="acoes"))*Inputs!$B$1+((Inputs!$G$5:$G$110&lt;&gt;"moeda")*(Inputs!$G$5:$G$110&lt;&gt;"acoes")))*INDEX(Inputs!$K$5:$AJ$110,0,MATCH(AF$2,Inputs!$K$4:$AJ$4,0)))+SUMPRODUCT((Inputs!$E$5:$E$110=$B13)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$110=$B13)*ISNUMBER(INDEX(Inputs!$K$5:$AJ$110,0,MATCH(AH$2,Inputs!$K$4:$AJ$4,0))))+SUMPRODUCT((Inputs!$C$5:$C$110=$B13)*ISNUMBER(INDEX(Inputs!$K$5:$AJ$110,0,MATCH(AH$2,Inputs!$K$4:$AJ$4,0))))+SUMPRODUCT((Inputs!$E$5:$E$110=$B13)*ISNUMBER(INDEX(Inputs!$K$5:$AJ$110,0,MATCH(AH$2,Inputs!$K$4:$AJ$4,0))))=0,NA(),SUMPRODUCT((Inputs!$A$5:$A$110=$B13)*Inputs!$B$5:$B$110*(((Inputs!$G$5:$G$110="moeda")+(Inputs!$G$5:$G$110="acoes"))*Inputs!$B$1+((Inputs!$G$5:$G$110&lt;&gt;"moeda")*(Inputs!$G$5:$G$110&lt;&gt;"acoes")))*INDEX(Inputs!$K$5:$AJ$110,0,MATCH(AH$2,Inputs!$K$4:$AJ$4,0)))+SUMPRODUCT((Inputs!$C$5:$C$110=$B13)*Inputs!$D$5:$D$110*(((Inputs!$G$5:$G$110="moeda")+(Inputs!$G$5:$G$110="acoes"))*Inputs!$B$1+((Inputs!$G$5:$G$110&lt;&gt;"moeda")*(Inputs!$G$5:$G$110&lt;&gt;"acoes")))*INDEX(Inputs!$K$5:$AJ$110,0,MATCH(AH$2,Inputs!$K$4:$AJ$4,0)))+SUMPRODUCT((Inputs!$E$5:$E$110=$B13)*Inputs!$F$5:$F$110*(((Inputs!$G$5:$G$110="moeda")+(Inputs!$G$5:$G$110="acoes"))*Inputs!$B$1+((Inputs!$G$5:$G$110&lt;&gt;"moeda")*(Inputs!$G$5:$G$110&lt;&gt;"acoes")))*INDEX(Inputs!$K$5:$AJ$110,0,MATCH(AH$2,Inputs!$K$4:$AJ$4,0)))))</f>
        <v>-693</v>
      </c>
      <c r="AI13" s="6">
        <f>IF(ISNA(MATCH(AI$2,Inputs!$K$4:$AJ$4,0)),NA(),IF(SUMPRODUCT((Inputs!$A$5:$A$110=$B13)*ISNUMBER(INDEX(Inputs!$K$5:$AJ$110,0,MATCH(AI$2,Inputs!$K$4:$AJ$4,0))))+SUMPRODUCT((Inputs!$C$5:$C$110=$B13)*ISNUMBER(INDEX(Inputs!$K$5:$AJ$110,0,MATCH(AI$2,Inputs!$K$4:$AJ$4,0))))+SUMPRODUCT((Inputs!$E$5:$E$110=$B13)*ISNUMBER(INDEX(Inputs!$K$5:$AJ$110,0,MATCH(AI$2,Inputs!$K$4:$AJ$4,0))))=0,NA(),SUMPRODUCT((Inputs!$A$5:$A$110=$B13)*Inputs!$B$5:$B$110*(((Inputs!$G$5:$G$110="moeda")+(Inputs!$G$5:$G$110="acoes"))*Inputs!$B$1+((Inputs!$G$5:$G$110&lt;&gt;"moeda")*(Inputs!$G$5:$G$110&lt;&gt;"acoes")))*INDEX(Inputs!$K$5:$AJ$110,0,MATCH(AI$2,Inputs!$K$4:$AJ$4,0)))+SUMPRODUCT((Inputs!$C$5:$C$110=$B13)*Inputs!$D$5:$D$110*(((Inputs!$G$5:$G$110="moeda")+(Inputs!$G$5:$G$110="acoes"))*Inputs!$B$1+((Inputs!$G$5:$G$110&lt;&gt;"moeda")*(Inputs!$G$5:$G$110&lt;&gt;"acoes")))*INDEX(Inputs!$K$5:$AJ$110,0,MATCH(AI$2,Inputs!$K$4:$AJ$4,0)))+SUMPRODUCT((Inputs!$E$5:$E$110=$B13)*Inputs!$F$5:$F$110*(((Inputs!$G$5:$G$110="moeda")+(Inputs!$G$5:$G$110="acoes"))*Inputs!$B$1+((Inputs!$G$5:$G$110&lt;&gt;"moeda")*(Inputs!$G$5:$G$110&lt;&gt;"acoes")))*INDEX(Inputs!$K$5:$AJ$110,0,MATCH(AI$2,Inputs!$K$4:$AJ$4,0)))))</f>
        <v>-671</v>
      </c>
      <c r="AJ13" s="6">
        <f>IF(ISNA(MATCH(AJ$2,Inputs!$K$4:$AJ$4,0)),NA(),IF(SUMPRODUCT((Inputs!$A$5:$A$110=$B13)*ISNUMBER(INDEX(Inputs!$K$5:$AJ$110,0,MATCH(AJ$2,Inputs!$K$4:$AJ$4,0))))+SUMPRODUCT((Inputs!$C$5:$C$110=$B13)*ISNUMBER(INDEX(Inputs!$K$5:$AJ$110,0,MATCH(AJ$2,Inputs!$K$4:$AJ$4,0))))+SUMPRODUCT((Inputs!$E$5:$E$110=$B13)*ISNUMBER(INDEX(Inputs!$K$5:$AJ$110,0,MATCH(AJ$2,Inputs!$K$4:$AJ$4,0))))=0,NA(),SUMPRODUCT((Inputs!$A$5:$A$110=$B13)*Inputs!$B$5:$B$110*(((Inputs!$G$5:$G$110="moeda")+(Inputs!$G$5:$G$110="acoes"))*Inputs!$B$1+((Inputs!$G$5:$G$110&lt;&gt;"moeda")*(Inputs!$G$5:$G$110&lt;&gt;"acoes")))*INDEX(Inputs!$K$5:$AJ$110,0,MATCH(AJ$2,Inputs!$K$4:$AJ$4,0)))+SUMPRODUCT((Inputs!$C$5:$C$110=$B13)*Inputs!$D$5:$D$110*(((Inputs!$G$5:$G$110="moeda")+(Inputs!$G$5:$G$110="acoes"))*Inputs!$B$1+((Inputs!$G$5:$G$110&lt;&gt;"moeda")*(Inputs!$G$5:$G$110&lt;&gt;"acoes")))*INDEX(Inputs!$K$5:$AJ$110,0,MATCH(AJ$2,Inputs!$K$4:$AJ$4,0)))+SUMPRODUCT((Inputs!$E$5:$E$110=$B13)*Inputs!$F$5:$F$110*(((Inputs!$G$5:$G$110="moeda")+(Inputs!$G$5:$G$110="acoes"))*Inputs!$B$1+((Inputs!$G$5:$G$110&lt;&gt;"moeda")*(Inputs!$G$5:$G$110&lt;&gt;"acoes")))*INDEX(Inputs!$K$5:$AJ$110,0,MATCH(AJ$2,Inputs!$K$4:$AJ$4,0)))))</f>
        <v>-672</v>
      </c>
      <c r="AK13" s="6">
        <f>IF(ISNA(MATCH(AK$2,Inputs!$K$4:$AJ$4,0)),NA(),IF(SUMPRODUCT((Inputs!$A$5:$A$110=$B13)*ISNUMBER(INDEX(Inputs!$K$5:$AJ$110,0,MATCH(AK$2,Inputs!$K$4:$AJ$4,0))))+SUMPRODUCT((Inputs!$C$5:$C$110=$B13)*ISNUMBER(INDEX(Inputs!$K$5:$AJ$110,0,MATCH(AK$2,Inputs!$K$4:$AJ$4,0))))+SUMPRODUCT((Inputs!$E$5:$E$110=$B13)*ISNUMBER(INDEX(Inputs!$K$5:$AJ$110,0,MATCH(AK$2,Inputs!$K$4:$AJ$4,0))))=0,NA(),SUMPRODUCT((Inputs!$A$5:$A$110=$B13)*Inputs!$B$5:$B$110*(((Inputs!$G$5:$G$110="moeda")+(Inputs!$G$5:$G$110="acoes"))*Inputs!$B$1+((Inputs!$G$5:$G$110&lt;&gt;"moeda")*(Inputs!$G$5:$G$110&lt;&gt;"acoes")))*INDEX(Inputs!$K$5:$AJ$110,0,MATCH(AK$2,Inputs!$K$4:$AJ$4,0)))+SUMPRODUCT((Inputs!$C$5:$C$110=$B13)*Inputs!$D$5:$D$110*(((Inputs!$G$5:$G$110="moeda")+(Inputs!$G$5:$G$110="acoes"))*Inputs!$B$1+((Inputs!$G$5:$G$110&lt;&gt;"moeda")*(Inputs!$G$5:$G$110&lt;&gt;"acoes")))*INDEX(Inputs!$K$5:$AJ$110,0,MATCH(AK$2,Inputs!$K$4:$AJ$4,0)))+SUMPRODUCT((Inputs!$E$5:$E$110=$B13)*Inputs!$F$5:$F$110*(((Inputs!$G$5:$G$110="moeda")+(Inputs!$G$5:$G$110="acoes"))*Inputs!$B$1+((Inputs!$G$5:$G$110&lt;&gt;"moeda")*(Inputs!$G$5:$G$110&lt;&gt;"acoes")))*INDEX(Inputs!$K$5:$AJ$110,0,MATCH(AK$2,Inputs!$K$4:$AJ$4,0)))))</f>
        <v>-728</v>
      </c>
      <c r="AL13" s="3">
        <f>SUM(AH13:AK13)</f>
        <v>-2764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$110=$B15)*ISNUMBER(INDEX(Inputs!$K$5:$AJ$110,0,MATCH(D$2,Inputs!$K$4:$AJ$4,0))))+SUMPRODUCT((Inputs!$C$5:$C$110=$B15)*ISNUMBER(INDEX(Inputs!$K$5:$AJ$110,0,MATCH(D$2,Inputs!$K$4:$AJ$4,0))))+SUMPRODUCT((Inputs!$E$5:$E$110=$B15)*ISNUMBER(INDEX(Inputs!$K$5:$AJ$110,0,MATCH(D$2,Inputs!$K$4:$AJ$4,0))))=0,NA(),SUMPRODUCT((Inputs!$A$5:$A$110=$B15)*Inputs!$B$5:$B$110*(((Inputs!$G$5:$G$110="moeda")+(Inputs!$G$5:$G$110="acoes"))*Inputs!$B$1+((Inputs!$G$5:$G$110&lt;&gt;"moeda")*(Inputs!$G$5:$G$110&lt;&gt;"acoes")))*INDEX(Inputs!$K$5:$AJ$110,0,MATCH(D$2,Inputs!$K$4:$AJ$4,0)))+SUMPRODUCT((Inputs!$C$5:$C$110=$B15)*Inputs!$D$5:$D$110*(((Inputs!$G$5:$G$110="moeda")+(Inputs!$G$5:$G$110="acoes"))*Inputs!$B$1+((Inputs!$G$5:$G$110&lt;&gt;"moeda")*(Inputs!$G$5:$G$110&lt;&gt;"acoes")))*INDEX(Inputs!$K$5:$AJ$110,0,MATCH(D$2,Inputs!$K$4:$AJ$4,0)))+SUMPRODUCT((Inputs!$E$5:$E$110=$B15)*Inputs!$F$5:$F$110*(((Inputs!$G$5:$G$110="moeda")+(Inputs!$G$5:$G$110="acoes"))*Inputs!$B$1+((Inputs!$G$5:$G$110&lt;&gt;"moeda")*(Inputs!$G$5:$G$110&lt;&gt;"acoes")))*INDEX(Inputs!$K$5:$AJ$110,0,MATCH(D$2,Inputs!$K$4:$AJ$4,0)))))</f>
        <v>2933</v>
      </c>
      <c r="E15" s="6">
        <f>IF(ISNA(MATCH(E$2,Inputs!$K$4:$AJ$4,0)),NA(),IF(SUMPRODUCT((Inputs!$A$5:$A$110=$B15)*ISNUMBER(INDEX(Inputs!$K$5:$AJ$110,0,MATCH(E$2,Inputs!$K$4:$AJ$4,0))))+SUMPRODUCT((Inputs!$C$5:$C$110=$B15)*ISNUMBER(INDEX(Inputs!$K$5:$AJ$110,0,MATCH(E$2,Inputs!$K$4:$AJ$4,0))))+SUMPRODUCT((Inputs!$E$5:$E$110=$B15)*ISNUMBER(INDEX(Inputs!$K$5:$AJ$110,0,MATCH(E$2,Inputs!$K$4:$AJ$4,0))))=0,NA(),SUMPRODUCT((Inputs!$A$5:$A$110=$B15)*Inputs!$B$5:$B$110*(((Inputs!$G$5:$G$110="moeda")+(Inputs!$G$5:$G$110="acoes"))*Inputs!$B$1+((Inputs!$G$5:$G$110&lt;&gt;"moeda")*(Inputs!$G$5:$G$110&lt;&gt;"acoes")))*INDEX(Inputs!$K$5:$AJ$110,0,MATCH(E$2,Inputs!$K$4:$AJ$4,0)))+SUMPRODUCT((Inputs!$C$5:$C$110=$B15)*Inputs!$D$5:$D$110*(((Inputs!$G$5:$G$110="moeda")+(Inputs!$G$5:$G$110="acoes"))*Inputs!$B$1+((Inputs!$G$5:$G$110&lt;&gt;"moeda")*(Inputs!$G$5:$G$110&lt;&gt;"acoes")))*INDEX(Inputs!$K$5:$AJ$110,0,MATCH(E$2,Inputs!$K$4:$AJ$4,0)))+SUMPRODUCT((Inputs!$E$5:$E$110=$B15)*Inputs!$F$5:$F$110*(((Inputs!$G$5:$G$110="moeda")+(Inputs!$G$5:$G$110="acoes"))*Inputs!$B$1+((Inputs!$G$5:$G$110&lt;&gt;"moeda")*(Inputs!$G$5:$G$110&lt;&gt;"acoes")))*INDEX(Inputs!$K$5:$AJ$110,0,MATCH(E$2,Inputs!$K$4:$AJ$4,0)))))</f>
        <v>2745</v>
      </c>
      <c r="F15" s="6">
        <f>IF(ISNA(MATCH(F$2,Inputs!$K$4:$AJ$4,0)),NA(),IF(SUMPRODUCT((Inputs!$A$5:$A$110=$B15)*ISNUMBER(INDEX(Inputs!$K$5:$AJ$110,0,MATCH(F$2,Inputs!$K$4:$AJ$4,0))))+SUMPRODUCT((Inputs!$C$5:$C$110=$B15)*ISNUMBER(INDEX(Inputs!$K$5:$AJ$110,0,MATCH(F$2,Inputs!$K$4:$AJ$4,0))))+SUMPRODUCT((Inputs!$E$5:$E$110=$B15)*ISNUMBER(INDEX(Inputs!$K$5:$AJ$110,0,MATCH(F$2,Inputs!$K$4:$AJ$4,0))))=0,NA(),SUMPRODUCT((Inputs!$A$5:$A$110=$B15)*Inputs!$B$5:$B$110*(((Inputs!$G$5:$G$110="moeda")+(Inputs!$G$5:$G$110="acoes"))*Inputs!$B$1+((Inputs!$G$5:$G$110&lt;&gt;"moeda")*(Inputs!$G$5:$G$110&lt;&gt;"acoes")))*INDEX(Inputs!$K$5:$AJ$110,0,MATCH(F$2,Inputs!$K$4:$AJ$4,0)))+SUMPRODUCT((Inputs!$C$5:$C$110=$B15)*Inputs!$D$5:$D$110*(((Inputs!$G$5:$G$110="moeda")+(Inputs!$G$5:$G$110="acoes"))*Inputs!$B$1+((Inputs!$G$5:$G$110&lt;&gt;"moeda")*(Inputs!$G$5:$G$110&lt;&gt;"acoes")))*INDEX(Inputs!$K$5:$AJ$110,0,MATCH(F$2,Inputs!$K$4:$AJ$4,0)))+SUMPRODUCT((Inputs!$E$5:$E$110=$B15)*Inputs!$F$5:$F$110*(((Inputs!$G$5:$G$110="moeda")+(Inputs!$G$5:$G$110="acoes"))*Inputs!$B$1+((Inputs!$G$5:$G$110&lt;&gt;"moeda")*(Inputs!$G$5:$G$110&lt;&gt;"acoes")))*INDEX(Inputs!$K$5:$AJ$110,0,MATCH(F$2,Inputs!$K$4:$AJ$4,0)))))</f>
        <v>2727</v>
      </c>
      <c r="G15" s="6">
        <f>IF(ISNA(MATCH(G$2,Inputs!$K$4:$AJ$4,0)),NA(),IF(SUMPRODUCT((Inputs!$A$5:$A$110=$B15)*ISNUMBER(INDEX(Inputs!$K$5:$AJ$110,0,MATCH(G$2,Inputs!$K$4:$AJ$4,0))))+SUMPRODUCT((Inputs!$C$5:$C$110=$B15)*ISNUMBER(INDEX(Inputs!$K$5:$AJ$110,0,MATCH(G$2,Inputs!$K$4:$AJ$4,0))))+SUMPRODUCT((Inputs!$E$5:$E$110=$B15)*ISNUMBER(INDEX(Inputs!$K$5:$AJ$110,0,MATCH(G$2,Inputs!$K$4:$AJ$4,0))))=0,NA(),SUMPRODUCT((Inputs!$A$5:$A$110=$B15)*Inputs!$B$5:$B$110*(((Inputs!$G$5:$G$110="moeda")+(Inputs!$G$5:$G$110="acoes"))*Inputs!$B$1+((Inputs!$G$5:$G$110&lt;&gt;"moeda")*(Inputs!$G$5:$G$110&lt;&gt;"acoes")))*INDEX(Inputs!$K$5:$AJ$110,0,MATCH(G$2,Inputs!$K$4:$AJ$4,0)))+SUMPRODUCT((Inputs!$C$5:$C$110=$B15)*Inputs!$D$5:$D$110*(((Inputs!$G$5:$G$110="moeda")+(Inputs!$G$5:$G$110="acoes"))*Inputs!$B$1+((Inputs!$G$5:$G$110&lt;&gt;"moeda")*(Inputs!$G$5:$G$110&lt;&gt;"acoes")))*INDEX(Inputs!$K$5:$AJ$110,0,MATCH(G$2,Inputs!$K$4:$AJ$4,0)))+SUMPRODUCT((Inputs!$E$5:$E$110=$B15)*Inputs!$F$5:$F$110*(((Inputs!$G$5:$G$110="moeda")+(Inputs!$G$5:$G$110="acoes"))*Inputs!$B$1+((Inputs!$G$5:$G$110&lt;&gt;"moeda")*(Inputs!$G$5:$G$110&lt;&gt;"acoes")))*INDEX(Inputs!$K$5:$AJ$110,0,MATCH(G$2,Inputs!$K$4:$AJ$4,0)))))</f>
        <v>3604</v>
      </c>
      <c r="H15" s="3">
        <f>G15</f>
        <v>3604</v>
      </c>
      <c r="I15" s="6">
        <f>IF(ISNA(MATCH(I$2,Inputs!$K$4:$AJ$4,0)),NA(),IF(SUMPRODUCT((Inputs!$A$5:$A$110=$B15)*ISNUMBER(INDEX(Inputs!$K$5:$AJ$110,0,MATCH(I$2,Inputs!$K$4:$AJ$4,0))))+SUMPRODUCT((Inputs!$C$5:$C$110=$B15)*ISNUMBER(INDEX(Inputs!$K$5:$AJ$110,0,MATCH(I$2,Inputs!$K$4:$AJ$4,0))))+SUMPRODUCT((Inputs!$E$5:$E$110=$B15)*ISNUMBER(INDEX(Inputs!$K$5:$AJ$110,0,MATCH(I$2,Inputs!$K$4:$AJ$4,0))))=0,NA(),SUMPRODUCT((Inputs!$A$5:$A$110=$B15)*Inputs!$B$5:$B$110*(((Inputs!$G$5:$G$110="moeda")+(Inputs!$G$5:$G$110="acoes"))*Inputs!$B$1+((Inputs!$G$5:$G$110&lt;&gt;"moeda")*(Inputs!$G$5:$G$110&lt;&gt;"acoes")))*INDEX(Inputs!$K$5:$AJ$110,0,MATCH(I$2,Inputs!$K$4:$AJ$4,0)))+SUMPRODUCT((Inputs!$C$5:$C$110=$B15)*Inputs!$D$5:$D$110*(((Inputs!$G$5:$G$110="moeda")+(Inputs!$G$5:$G$110="acoes"))*Inputs!$B$1+((Inputs!$G$5:$G$110&lt;&gt;"moeda")*(Inputs!$G$5:$G$110&lt;&gt;"acoes")))*INDEX(Inputs!$K$5:$AJ$110,0,MATCH(I$2,Inputs!$K$4:$AJ$4,0)))+SUMPRODUCT((Inputs!$E$5:$E$110=$B15)*Inputs!$F$5:$F$110*(((Inputs!$G$5:$G$110="moeda")+(Inputs!$G$5:$G$110="acoes"))*Inputs!$B$1+((Inputs!$G$5:$G$110&lt;&gt;"moeda")*(Inputs!$G$5:$G$110&lt;&gt;"acoes")))*INDEX(Inputs!$K$5:$AJ$110,0,MATCH(I$2,Inputs!$K$4:$AJ$4,0)))))</f>
        <v>1883</v>
      </c>
      <c r="J15" s="6">
        <f>IF(ISNA(MATCH(J$2,Inputs!$K$4:$AJ$4,0)),NA(),IF(SUMPRODUCT((Inputs!$A$5:$A$110=$B15)*ISNUMBER(INDEX(Inputs!$K$5:$AJ$110,0,MATCH(J$2,Inputs!$K$4:$AJ$4,0))))+SUMPRODUCT((Inputs!$C$5:$C$110=$B15)*ISNUMBER(INDEX(Inputs!$K$5:$AJ$110,0,MATCH(J$2,Inputs!$K$4:$AJ$4,0))))+SUMPRODUCT((Inputs!$E$5:$E$110=$B15)*ISNUMBER(INDEX(Inputs!$K$5:$AJ$110,0,MATCH(J$2,Inputs!$K$4:$AJ$4,0))))=0,NA(),SUMPRODUCT((Inputs!$A$5:$A$110=$B15)*Inputs!$B$5:$B$110*(((Inputs!$G$5:$G$110="moeda")+(Inputs!$G$5:$G$110="acoes"))*Inputs!$B$1+((Inputs!$G$5:$G$110&lt;&gt;"moeda")*(Inputs!$G$5:$G$110&lt;&gt;"acoes")))*INDEX(Inputs!$K$5:$AJ$110,0,MATCH(J$2,Inputs!$K$4:$AJ$4,0)))+SUMPRODUCT((Inputs!$C$5:$C$110=$B15)*Inputs!$D$5:$D$110*(((Inputs!$G$5:$G$110="moeda")+(Inputs!$G$5:$G$110="acoes"))*Inputs!$B$1+((Inputs!$G$5:$G$110&lt;&gt;"moeda")*(Inputs!$G$5:$G$110&lt;&gt;"acoes")))*INDEX(Inputs!$K$5:$AJ$110,0,MATCH(J$2,Inputs!$K$4:$AJ$4,0)))+SUMPRODUCT((Inputs!$E$5:$E$110=$B15)*Inputs!$F$5:$F$110*(((Inputs!$G$5:$G$110="moeda")+(Inputs!$G$5:$G$110="acoes"))*Inputs!$B$1+((Inputs!$G$5:$G$110&lt;&gt;"moeda")*(Inputs!$G$5:$G$110&lt;&gt;"acoes")))*INDEX(Inputs!$K$5:$AJ$110,0,MATCH(J$2,Inputs!$K$4:$AJ$4,0)))))</f>
        <v>1775</v>
      </c>
      <c r="K15" s="6">
        <f>IF(ISNA(MATCH(K$2,Inputs!$K$4:$AJ$4,0)),NA(),IF(SUMPRODUCT((Inputs!$A$5:$A$110=$B15)*ISNUMBER(INDEX(Inputs!$K$5:$AJ$110,0,MATCH(K$2,Inputs!$K$4:$AJ$4,0))))+SUMPRODUCT((Inputs!$C$5:$C$110=$B15)*ISNUMBER(INDEX(Inputs!$K$5:$AJ$110,0,MATCH(K$2,Inputs!$K$4:$AJ$4,0))))+SUMPRODUCT((Inputs!$E$5:$E$110=$B15)*ISNUMBER(INDEX(Inputs!$K$5:$AJ$110,0,MATCH(K$2,Inputs!$K$4:$AJ$4,0))))=0,NA(),SUMPRODUCT((Inputs!$A$5:$A$110=$B15)*Inputs!$B$5:$B$110*(((Inputs!$G$5:$G$110="moeda")+(Inputs!$G$5:$G$110="acoes"))*Inputs!$B$1+((Inputs!$G$5:$G$110&lt;&gt;"moeda")*(Inputs!$G$5:$G$110&lt;&gt;"acoes")))*INDEX(Inputs!$K$5:$AJ$110,0,MATCH(K$2,Inputs!$K$4:$AJ$4,0)))+SUMPRODUCT((Inputs!$C$5:$C$110=$B15)*Inputs!$D$5:$D$110*(((Inputs!$G$5:$G$110="moeda")+(Inputs!$G$5:$G$110="acoes"))*Inputs!$B$1+((Inputs!$G$5:$G$110&lt;&gt;"moeda")*(Inputs!$G$5:$G$110&lt;&gt;"acoes")))*INDEX(Inputs!$K$5:$AJ$110,0,MATCH(K$2,Inputs!$K$4:$AJ$4,0)))+SUMPRODUCT((Inputs!$E$5:$E$110=$B15)*Inputs!$F$5:$F$110*(((Inputs!$G$5:$G$110="moeda")+(Inputs!$G$5:$G$110="acoes"))*Inputs!$B$1+((Inputs!$G$5:$G$110&lt;&gt;"moeda")*(Inputs!$G$5:$G$110&lt;&gt;"acoes")))*INDEX(Inputs!$K$5:$AJ$110,0,MATCH(K$2,Inputs!$K$4:$AJ$4,0)))))</f>
        <v>2430</v>
      </c>
      <c r="L15" s="6">
        <f>IF(ISNA(MATCH(L$2,Inputs!$K$4:$AJ$4,0)),NA(),IF(SUMPRODUCT((Inputs!$A$5:$A$110=$B15)*ISNUMBER(INDEX(Inputs!$K$5:$AJ$110,0,MATCH(L$2,Inputs!$K$4:$AJ$4,0))))+SUMPRODUCT((Inputs!$C$5:$C$110=$B15)*ISNUMBER(INDEX(Inputs!$K$5:$AJ$110,0,MATCH(L$2,Inputs!$K$4:$AJ$4,0))))+SUMPRODUCT((Inputs!$E$5:$E$110=$B15)*ISNUMBER(INDEX(Inputs!$K$5:$AJ$110,0,MATCH(L$2,Inputs!$K$4:$AJ$4,0))))=0,NA(),SUMPRODUCT((Inputs!$A$5:$A$110=$B15)*Inputs!$B$5:$B$110*(((Inputs!$G$5:$G$110="moeda")+(Inputs!$G$5:$G$110="acoes"))*Inputs!$B$1+((Inputs!$G$5:$G$110&lt;&gt;"moeda")*(Inputs!$G$5:$G$110&lt;&gt;"acoes")))*INDEX(Inputs!$K$5:$AJ$110,0,MATCH(L$2,Inputs!$K$4:$AJ$4,0)))+SUMPRODUCT((Inputs!$C$5:$C$110=$B15)*Inputs!$D$5:$D$110*(((Inputs!$G$5:$G$110="moeda")+(Inputs!$G$5:$G$110="acoes"))*Inputs!$B$1+((Inputs!$G$5:$G$110&lt;&gt;"moeda")*(Inputs!$G$5:$G$110&lt;&gt;"acoes")))*INDEX(Inputs!$K$5:$AJ$110,0,MATCH(L$2,Inputs!$K$4:$AJ$4,0)))+SUMPRODUCT((Inputs!$E$5:$E$110=$B15)*Inputs!$F$5:$F$110*(((Inputs!$G$5:$G$110="moeda")+(Inputs!$G$5:$G$110="acoes"))*Inputs!$B$1+((Inputs!$G$5:$G$110&lt;&gt;"moeda")*(Inputs!$G$5:$G$110&lt;&gt;"acoes")))*INDEX(Inputs!$K$5:$AJ$110,0,MATCH(L$2,Inputs!$K$4:$AJ$4,0)))))</f>
        <v>2547</v>
      </c>
      <c r="M15" s="3">
        <f>L15</f>
        <v>2547</v>
      </c>
      <c r="N15" s="6">
        <f>IF(ISNA(MATCH(N$2,Inputs!$K$4:$AJ$4,0)),NA(),IF(SUMPRODUCT((Inputs!$A$5:$A$110=$B15)*ISNUMBER(INDEX(Inputs!$K$5:$AJ$110,0,MATCH(N$2,Inputs!$K$4:$AJ$4,0))))+SUMPRODUCT((Inputs!$C$5:$C$110=$B15)*ISNUMBER(INDEX(Inputs!$K$5:$AJ$110,0,MATCH(N$2,Inputs!$K$4:$AJ$4,0))))+SUMPRODUCT((Inputs!$E$5:$E$110=$B15)*ISNUMBER(INDEX(Inputs!$K$5:$AJ$110,0,MATCH(N$2,Inputs!$K$4:$AJ$4,0))))=0,NA(),SUMPRODUCT((Inputs!$A$5:$A$110=$B15)*Inputs!$B$5:$B$110*(((Inputs!$G$5:$G$110="moeda")+(Inputs!$G$5:$G$110="acoes"))*Inputs!$B$1+((Inputs!$G$5:$G$110&lt;&gt;"moeda")*(Inputs!$G$5:$G$110&lt;&gt;"acoes")))*INDEX(Inputs!$K$5:$AJ$110,0,MATCH(N$2,Inputs!$K$4:$AJ$4,0)))+SUMPRODUCT((Inputs!$C$5:$C$110=$B15)*Inputs!$D$5:$D$110*(((Inputs!$G$5:$G$110="moeda")+(Inputs!$G$5:$G$110="acoes"))*Inputs!$B$1+((Inputs!$G$5:$G$110&lt;&gt;"moeda")*(Inputs!$G$5:$G$110&lt;&gt;"acoes")))*INDEX(Inputs!$K$5:$AJ$110,0,MATCH(N$2,Inputs!$K$4:$AJ$4,0)))+SUMPRODUCT((Inputs!$E$5:$E$110=$B15)*Inputs!$F$5:$F$110*(((Inputs!$G$5:$G$110="moeda")+(Inputs!$G$5:$G$110="acoes"))*Inputs!$B$1+((Inputs!$G$5:$G$110&lt;&gt;"moeda")*(Inputs!$G$5:$G$110&lt;&gt;"acoes")))*INDEX(Inputs!$K$5:$AJ$110,0,MATCH(N$2,Inputs!$K$4:$AJ$4,0)))))</f>
        <v>2440</v>
      </c>
      <c r="O15" s="6">
        <f>IF(ISNA(MATCH(O$2,Inputs!$K$4:$AJ$4,0)),NA(),IF(SUMPRODUCT((Inputs!$A$5:$A$110=$B15)*ISNUMBER(INDEX(Inputs!$K$5:$AJ$110,0,MATCH(O$2,Inputs!$K$4:$AJ$4,0))))+SUMPRODUCT((Inputs!$C$5:$C$110=$B15)*ISNUMBER(INDEX(Inputs!$K$5:$AJ$110,0,MATCH(O$2,Inputs!$K$4:$AJ$4,0))))+SUMPRODUCT((Inputs!$E$5:$E$110=$B15)*ISNUMBER(INDEX(Inputs!$K$5:$AJ$110,0,MATCH(O$2,Inputs!$K$4:$AJ$4,0))))=0,NA(),SUMPRODUCT((Inputs!$A$5:$A$110=$B15)*Inputs!$B$5:$B$110*(((Inputs!$G$5:$G$110="moeda")+(Inputs!$G$5:$G$110="acoes"))*Inputs!$B$1+((Inputs!$G$5:$G$110&lt;&gt;"moeda")*(Inputs!$G$5:$G$110&lt;&gt;"acoes")))*INDEX(Inputs!$K$5:$AJ$110,0,MATCH(O$2,Inputs!$K$4:$AJ$4,0)))+SUMPRODUCT((Inputs!$C$5:$C$110=$B15)*Inputs!$D$5:$D$110*(((Inputs!$G$5:$G$110="moeda")+(Inputs!$G$5:$G$110="acoes"))*Inputs!$B$1+((Inputs!$G$5:$G$110&lt;&gt;"moeda")*(Inputs!$G$5:$G$110&lt;&gt;"acoes")))*INDEX(Inputs!$K$5:$AJ$110,0,MATCH(O$2,Inputs!$K$4:$AJ$4,0)))+SUMPRODUCT((Inputs!$E$5:$E$110=$B15)*Inputs!$F$5:$F$110*(((Inputs!$G$5:$G$110="moeda")+(Inputs!$G$5:$G$110="acoes"))*Inputs!$B$1+((Inputs!$G$5:$G$110&lt;&gt;"moeda")*(Inputs!$G$5:$G$110&lt;&gt;"acoes")))*INDEX(Inputs!$K$5:$AJ$110,0,MATCH(O$2,Inputs!$K$4:$AJ$4,0)))))</f>
        <v>3673</v>
      </c>
      <c r="P15" s="6">
        <f>IF(ISNA(MATCH(P$2,Inputs!$K$4:$AJ$4,0)),NA(),IF(SUMPRODUCT((Inputs!$A$5:$A$110=$B15)*ISNUMBER(INDEX(Inputs!$K$5:$AJ$110,0,MATCH(P$2,Inputs!$K$4:$AJ$4,0))))+SUMPRODUCT((Inputs!$C$5:$C$110=$B15)*ISNUMBER(INDEX(Inputs!$K$5:$AJ$110,0,MATCH(P$2,Inputs!$K$4:$AJ$4,0))))+SUMPRODUCT((Inputs!$E$5:$E$110=$B15)*ISNUMBER(INDEX(Inputs!$K$5:$AJ$110,0,MATCH(P$2,Inputs!$K$4:$AJ$4,0))))=0,NA(),SUMPRODUCT((Inputs!$A$5:$A$110=$B15)*Inputs!$B$5:$B$110*(((Inputs!$G$5:$G$110="moeda")+(Inputs!$G$5:$G$110="acoes"))*Inputs!$B$1+((Inputs!$G$5:$G$110&lt;&gt;"moeda")*(Inputs!$G$5:$G$110&lt;&gt;"acoes")))*INDEX(Inputs!$K$5:$AJ$110,0,MATCH(P$2,Inputs!$K$4:$AJ$4,0)))+SUMPRODUCT((Inputs!$C$5:$C$110=$B15)*Inputs!$D$5:$D$110*(((Inputs!$G$5:$G$110="moeda")+(Inputs!$G$5:$G$110="acoes"))*Inputs!$B$1+((Inputs!$G$5:$G$110&lt;&gt;"moeda")*(Inputs!$G$5:$G$110&lt;&gt;"acoes")))*INDEX(Inputs!$K$5:$AJ$110,0,MATCH(P$2,Inputs!$K$4:$AJ$4,0)))+SUMPRODUCT((Inputs!$E$5:$E$110=$B15)*Inputs!$F$5:$F$110*(((Inputs!$G$5:$G$110="moeda")+(Inputs!$G$5:$G$110="acoes"))*Inputs!$B$1+((Inputs!$G$5:$G$110&lt;&gt;"moeda")*(Inputs!$G$5:$G$110&lt;&gt;"acoes")))*INDEX(Inputs!$K$5:$AJ$110,0,MATCH(P$2,Inputs!$K$4:$AJ$4,0)))))</f>
        <v>3551</v>
      </c>
      <c r="Q15" s="6">
        <f>IF(ISNA(MATCH(Q$2,Inputs!$K$4:$AJ$4,0)),NA(),IF(SUMPRODUCT((Inputs!$A$5:$A$110=$B15)*ISNUMBER(INDEX(Inputs!$K$5:$AJ$110,0,MATCH(Q$2,Inputs!$K$4:$AJ$4,0))))+SUMPRODUCT((Inputs!$C$5:$C$110=$B15)*ISNUMBER(INDEX(Inputs!$K$5:$AJ$110,0,MATCH(Q$2,Inputs!$K$4:$AJ$4,0))))+SUMPRODUCT((Inputs!$E$5:$E$110=$B15)*ISNUMBER(INDEX(Inputs!$K$5:$AJ$110,0,MATCH(Q$2,Inputs!$K$4:$AJ$4,0))))=0,NA(),SUMPRODUCT((Inputs!$A$5:$A$110=$B15)*Inputs!$B$5:$B$110*(((Inputs!$G$5:$G$110="moeda")+(Inputs!$G$5:$G$110="acoes"))*Inputs!$B$1+((Inputs!$G$5:$G$110&lt;&gt;"moeda")*(Inputs!$G$5:$G$110&lt;&gt;"acoes")))*INDEX(Inputs!$K$5:$AJ$110,0,MATCH(Q$2,Inputs!$K$4:$AJ$4,0)))+SUMPRODUCT((Inputs!$C$5:$C$110=$B15)*Inputs!$D$5:$D$110*(((Inputs!$G$5:$G$110="moeda")+(Inputs!$G$5:$G$110="acoes"))*Inputs!$B$1+((Inputs!$G$5:$G$110&lt;&gt;"moeda")*(Inputs!$G$5:$G$110&lt;&gt;"acoes")))*INDEX(Inputs!$K$5:$AJ$110,0,MATCH(Q$2,Inputs!$K$4:$AJ$4,0)))+SUMPRODUCT((Inputs!$E$5:$E$110=$B15)*Inputs!$F$5:$F$110*(((Inputs!$G$5:$G$110="moeda")+(Inputs!$G$5:$G$110="acoes"))*Inputs!$B$1+((Inputs!$G$5:$G$110&lt;&gt;"moeda")*(Inputs!$G$5:$G$110&lt;&gt;"acoes")))*INDEX(Inputs!$K$5:$AJ$110,0,MATCH(Q$2,Inputs!$K$4:$AJ$4,0)))))</f>
        <v>1442</v>
      </c>
      <c r="R15" s="3">
        <f>Q15</f>
        <v>1442</v>
      </c>
      <c r="S15" s="6">
        <f>IF(ISNA(MATCH(S$2,Inputs!$K$4:$AJ$4,0)),NA(),IF(SUMPRODUCT((Inputs!$A$5:$A$110=$B15)*ISNUMBER(INDEX(Inputs!$K$5:$AJ$110,0,MATCH(S$2,Inputs!$K$4:$AJ$4,0))))+SUMPRODUCT((Inputs!$C$5:$C$110=$B15)*ISNUMBER(INDEX(Inputs!$K$5:$AJ$110,0,MATCH(S$2,Inputs!$K$4:$AJ$4,0))))+SUMPRODUCT((Inputs!$E$5:$E$110=$B15)*ISNUMBER(INDEX(Inputs!$K$5:$AJ$110,0,MATCH(S$2,Inputs!$K$4:$AJ$4,0))))=0,NA(),SUMPRODUCT((Inputs!$A$5:$A$110=$B15)*Inputs!$B$5:$B$110*(((Inputs!$G$5:$G$110="moeda")+(Inputs!$G$5:$G$110="acoes"))*Inputs!$B$1+((Inputs!$G$5:$G$110&lt;&gt;"moeda")*(Inputs!$G$5:$G$110&lt;&gt;"acoes")))*INDEX(Inputs!$K$5:$AJ$110,0,MATCH(S$2,Inputs!$K$4:$AJ$4,0)))+SUMPRODUCT((Inputs!$C$5:$C$110=$B15)*Inputs!$D$5:$D$110*(((Inputs!$G$5:$G$110="moeda")+(Inputs!$G$5:$G$110="acoes"))*Inputs!$B$1+((Inputs!$G$5:$G$110&lt;&gt;"moeda")*(Inputs!$G$5:$G$110&lt;&gt;"acoes")))*INDEX(Inputs!$K$5:$AJ$110,0,MATCH(S$2,Inputs!$K$4:$AJ$4,0)))+SUMPRODUCT((Inputs!$E$5:$E$110=$B15)*Inputs!$F$5:$F$110*(((Inputs!$G$5:$G$110="moeda")+(Inputs!$G$5:$G$110="acoes"))*Inputs!$B$1+((Inputs!$G$5:$G$110&lt;&gt;"moeda")*(Inputs!$G$5:$G$110&lt;&gt;"acoes")))*INDEX(Inputs!$K$5:$AJ$110,0,MATCH(S$2,Inputs!$K$4:$AJ$4,0)))))</f>
        <v>2790</v>
      </c>
      <c r="T15" s="6">
        <f>IF(ISNA(MATCH(T$2,Inputs!$K$4:$AJ$4,0)),NA(),IF(SUMPRODUCT((Inputs!$A$5:$A$110=$B15)*ISNUMBER(INDEX(Inputs!$K$5:$AJ$110,0,MATCH(T$2,Inputs!$K$4:$AJ$4,0))))+SUMPRODUCT((Inputs!$C$5:$C$110=$B15)*ISNUMBER(INDEX(Inputs!$K$5:$AJ$110,0,MATCH(T$2,Inputs!$K$4:$AJ$4,0))))+SUMPRODUCT((Inputs!$E$5:$E$110=$B15)*ISNUMBER(INDEX(Inputs!$K$5:$AJ$110,0,MATCH(T$2,Inputs!$K$4:$AJ$4,0))))=0,NA(),SUMPRODUCT((Inputs!$A$5:$A$110=$B15)*Inputs!$B$5:$B$110*(((Inputs!$G$5:$G$110="moeda")+(Inputs!$G$5:$G$110="acoes"))*Inputs!$B$1+((Inputs!$G$5:$G$110&lt;&gt;"moeda")*(Inputs!$G$5:$G$110&lt;&gt;"acoes")))*INDEX(Inputs!$K$5:$AJ$110,0,MATCH(T$2,Inputs!$K$4:$AJ$4,0)))+SUMPRODUCT((Inputs!$C$5:$C$110=$B15)*Inputs!$D$5:$D$110*(((Inputs!$G$5:$G$110="moeda")+(Inputs!$G$5:$G$110="acoes"))*Inputs!$B$1+((Inputs!$G$5:$G$110&lt;&gt;"moeda")*(Inputs!$G$5:$G$110&lt;&gt;"acoes")))*INDEX(Inputs!$K$5:$AJ$110,0,MATCH(T$2,Inputs!$K$4:$AJ$4,0)))+SUMPRODUCT((Inputs!$E$5:$E$110=$B15)*Inputs!$F$5:$F$110*(((Inputs!$G$5:$G$110="moeda")+(Inputs!$G$5:$G$110="acoes"))*Inputs!$B$1+((Inputs!$G$5:$G$110&lt;&gt;"moeda")*(Inputs!$G$5:$G$110&lt;&gt;"acoes")))*INDEX(Inputs!$K$5:$AJ$110,0,MATCH(T$2,Inputs!$K$4:$AJ$4,0)))))</f>
        <v>2523</v>
      </c>
      <c r="U15" s="6">
        <f>IF(ISNA(MATCH(U$2,Inputs!$K$4:$AJ$4,0)),NA(),IF(SUMPRODUCT((Inputs!$A$5:$A$110=$B15)*ISNUMBER(INDEX(Inputs!$K$5:$AJ$110,0,MATCH(U$2,Inputs!$K$4:$AJ$4,0))))+SUMPRODUCT((Inputs!$C$5:$C$110=$B15)*ISNUMBER(INDEX(Inputs!$K$5:$AJ$110,0,MATCH(U$2,Inputs!$K$4:$AJ$4,0))))+SUMPRODUCT((Inputs!$E$5:$E$110=$B15)*ISNUMBER(INDEX(Inputs!$K$5:$AJ$110,0,MATCH(U$2,Inputs!$K$4:$AJ$4,0))))=0,NA(),SUMPRODUCT((Inputs!$A$5:$A$110=$B15)*Inputs!$B$5:$B$110*(((Inputs!$G$5:$G$110="moeda")+(Inputs!$G$5:$G$110="acoes"))*Inputs!$B$1+((Inputs!$G$5:$G$110&lt;&gt;"moeda")*(Inputs!$G$5:$G$110&lt;&gt;"acoes")))*INDEX(Inputs!$K$5:$AJ$110,0,MATCH(U$2,Inputs!$K$4:$AJ$4,0)))+SUMPRODUCT((Inputs!$C$5:$C$110=$B15)*Inputs!$D$5:$D$110*(((Inputs!$G$5:$G$110="moeda")+(Inputs!$G$5:$G$110="acoes"))*Inputs!$B$1+((Inputs!$G$5:$G$110&lt;&gt;"moeda")*(Inputs!$G$5:$G$110&lt;&gt;"acoes")))*INDEX(Inputs!$K$5:$AJ$110,0,MATCH(U$2,Inputs!$K$4:$AJ$4,0)))+SUMPRODUCT((Inputs!$E$5:$E$110=$B15)*Inputs!$F$5:$F$110*(((Inputs!$G$5:$G$110="moeda")+(Inputs!$G$5:$G$110="acoes"))*Inputs!$B$1+((Inputs!$G$5:$G$110&lt;&gt;"moeda")*(Inputs!$G$5:$G$110&lt;&gt;"acoes")))*INDEX(Inputs!$K$5:$AJ$110,0,MATCH(U$2,Inputs!$K$4:$AJ$4,0)))))</f>
        <v>3151</v>
      </c>
      <c r="V15" s="6">
        <f>IF(ISNA(MATCH(V$2,Inputs!$K$4:$AJ$4,0)),NA(),IF(SUMPRODUCT((Inputs!$A$5:$A$110=$B15)*ISNUMBER(INDEX(Inputs!$K$5:$AJ$110,0,MATCH(V$2,Inputs!$K$4:$AJ$4,0))))+SUMPRODUCT((Inputs!$C$5:$C$110=$B15)*ISNUMBER(INDEX(Inputs!$K$5:$AJ$110,0,MATCH(V$2,Inputs!$K$4:$AJ$4,0))))+SUMPRODUCT((Inputs!$E$5:$E$110=$B15)*ISNUMBER(INDEX(Inputs!$K$5:$AJ$110,0,MATCH(V$2,Inputs!$K$4:$AJ$4,0))))=0,NA(),SUMPRODUCT((Inputs!$A$5:$A$110=$B15)*Inputs!$B$5:$B$110*(((Inputs!$G$5:$G$110="moeda")+(Inputs!$G$5:$G$110="acoes"))*Inputs!$B$1+((Inputs!$G$5:$G$110&lt;&gt;"moeda")*(Inputs!$G$5:$G$110&lt;&gt;"acoes")))*INDEX(Inputs!$K$5:$AJ$110,0,MATCH(V$2,Inputs!$K$4:$AJ$4,0)))+SUMPRODUCT((Inputs!$C$5:$C$110=$B15)*Inputs!$D$5:$D$110*(((Inputs!$G$5:$G$110="moeda")+(Inputs!$G$5:$G$110="acoes"))*Inputs!$B$1+((Inputs!$G$5:$G$110&lt;&gt;"moeda")*(Inputs!$G$5:$G$110&lt;&gt;"acoes")))*INDEX(Inputs!$K$5:$AJ$110,0,MATCH(V$2,Inputs!$K$4:$AJ$4,0)))+SUMPRODUCT((Inputs!$E$5:$E$110=$B15)*Inputs!$F$5:$F$110*(((Inputs!$G$5:$G$110="moeda")+(Inputs!$G$5:$G$110="acoes"))*Inputs!$B$1+((Inputs!$G$5:$G$110&lt;&gt;"moeda")*(Inputs!$G$5:$G$110&lt;&gt;"acoes")))*INDEX(Inputs!$K$5:$AJ$110,0,MATCH(V$2,Inputs!$K$4:$AJ$4,0)))))</f>
        <v>2483</v>
      </c>
      <c r="W15" s="3">
        <f>V15</f>
        <v>2483</v>
      </c>
      <c r="X15" s="6">
        <f>IF(ISNA(MATCH(X$2,Inputs!$K$4:$AJ$4,0)),NA(),IF(SUMPRODUCT((Inputs!$A$5:$A$110=$B15)*ISNUMBER(INDEX(Inputs!$K$5:$AJ$110,0,MATCH(X$2,Inputs!$K$4:$AJ$4,0))))+SUMPRODUCT((Inputs!$C$5:$C$110=$B15)*ISNUMBER(INDEX(Inputs!$K$5:$AJ$110,0,MATCH(X$2,Inputs!$K$4:$AJ$4,0))))+SUMPRODUCT((Inputs!$E$5:$E$110=$B15)*ISNUMBER(INDEX(Inputs!$K$5:$AJ$110,0,MATCH(X$2,Inputs!$K$4:$AJ$4,0))))=0,NA(),SUMPRODUCT((Inputs!$A$5:$A$110=$B15)*Inputs!$B$5:$B$110*(((Inputs!$G$5:$G$110="moeda")+(Inputs!$G$5:$G$110="acoes"))*Inputs!$B$1+((Inputs!$G$5:$G$110&lt;&gt;"moeda")*(Inputs!$G$5:$G$110&lt;&gt;"acoes")))*INDEX(Inputs!$K$5:$AJ$110,0,MATCH(X$2,Inputs!$K$4:$AJ$4,0)))+SUMPRODUCT((Inputs!$C$5:$C$110=$B15)*Inputs!$D$5:$D$110*(((Inputs!$G$5:$G$110="moeda")+(Inputs!$G$5:$G$110="acoes"))*Inputs!$B$1+((Inputs!$G$5:$G$110&lt;&gt;"moeda")*(Inputs!$G$5:$G$110&lt;&gt;"acoes")))*INDEX(Inputs!$K$5:$AJ$110,0,MATCH(X$2,Inputs!$K$4:$AJ$4,0)))+SUMPRODUCT((Inputs!$E$5:$E$110=$B15)*Inputs!$F$5:$F$110*(((Inputs!$G$5:$G$110="moeda")+(Inputs!$G$5:$G$110="acoes"))*Inputs!$B$1+((Inputs!$G$5:$G$110&lt;&gt;"moeda")*(Inputs!$G$5:$G$110&lt;&gt;"acoes")))*INDEX(Inputs!$K$5:$AJ$110,0,MATCH(X$2,Inputs!$K$4:$AJ$4,0)))))</f>
        <v>1803</v>
      </c>
      <c r="Y15" s="6">
        <f>IF(ISNA(MATCH(Y$2,Inputs!$K$4:$AJ$4,0)),NA(),IF(SUMPRODUCT((Inputs!$A$5:$A$110=$B15)*ISNUMBER(INDEX(Inputs!$K$5:$AJ$110,0,MATCH(Y$2,Inputs!$K$4:$AJ$4,0))))+SUMPRODUCT((Inputs!$C$5:$C$110=$B15)*ISNUMBER(INDEX(Inputs!$K$5:$AJ$110,0,MATCH(Y$2,Inputs!$K$4:$AJ$4,0))))+SUMPRODUCT((Inputs!$E$5:$E$110=$B15)*ISNUMBER(INDEX(Inputs!$K$5:$AJ$110,0,MATCH(Y$2,Inputs!$K$4:$AJ$4,0))))=0,NA(),SUMPRODUCT((Inputs!$A$5:$A$110=$B15)*Inputs!$B$5:$B$110*(((Inputs!$G$5:$G$110="moeda")+(Inputs!$G$5:$G$110="acoes"))*Inputs!$B$1+((Inputs!$G$5:$G$110&lt;&gt;"moeda")*(Inputs!$G$5:$G$110&lt;&gt;"acoes")))*INDEX(Inputs!$K$5:$AJ$110,0,MATCH(Y$2,Inputs!$K$4:$AJ$4,0)))+SUMPRODUCT((Inputs!$C$5:$C$110=$B15)*Inputs!$D$5:$D$110*(((Inputs!$G$5:$G$110="moeda")+(Inputs!$G$5:$G$110="acoes"))*Inputs!$B$1+((Inputs!$G$5:$G$110&lt;&gt;"moeda")*(Inputs!$G$5:$G$110&lt;&gt;"acoes")))*INDEX(Inputs!$K$5:$AJ$110,0,MATCH(Y$2,Inputs!$K$4:$AJ$4,0)))+SUMPRODUCT((Inputs!$E$5:$E$110=$B15)*Inputs!$F$5:$F$110*(((Inputs!$G$5:$G$110="moeda")+(Inputs!$G$5:$G$110="acoes"))*Inputs!$B$1+((Inputs!$G$5:$G$110&lt;&gt;"moeda")*(Inputs!$G$5:$G$110&lt;&gt;"acoes")))*INDEX(Inputs!$K$5:$AJ$110,0,MATCH(Y$2,Inputs!$K$4:$AJ$4,0)))))</f>
        <v>1293</v>
      </c>
      <c r="Z15" s="6">
        <f>IF(ISNA(MATCH(Z$2,Inputs!$K$4:$AJ$4,0)),NA(),IF(SUMPRODUCT((Inputs!$A$5:$A$110=$B15)*ISNUMBER(INDEX(Inputs!$K$5:$AJ$110,0,MATCH(Z$2,Inputs!$K$4:$AJ$4,0))))+SUMPRODUCT((Inputs!$C$5:$C$110=$B15)*ISNUMBER(INDEX(Inputs!$K$5:$AJ$110,0,MATCH(Z$2,Inputs!$K$4:$AJ$4,0))))+SUMPRODUCT((Inputs!$E$5:$E$110=$B15)*ISNUMBER(INDEX(Inputs!$K$5:$AJ$110,0,MATCH(Z$2,Inputs!$K$4:$AJ$4,0))))=0,NA(),SUMPRODUCT((Inputs!$A$5:$A$110=$B15)*Inputs!$B$5:$B$110*(((Inputs!$G$5:$G$110="moeda")+(Inputs!$G$5:$G$110="acoes"))*Inputs!$B$1+((Inputs!$G$5:$G$110&lt;&gt;"moeda")*(Inputs!$G$5:$G$110&lt;&gt;"acoes")))*INDEX(Inputs!$K$5:$AJ$110,0,MATCH(Z$2,Inputs!$K$4:$AJ$4,0)))+SUMPRODUCT((Inputs!$C$5:$C$110=$B15)*Inputs!$D$5:$D$110*(((Inputs!$G$5:$G$110="moeda")+(Inputs!$G$5:$G$110="acoes"))*Inputs!$B$1+((Inputs!$G$5:$G$110&lt;&gt;"moeda")*(Inputs!$G$5:$G$110&lt;&gt;"acoes")))*INDEX(Inputs!$K$5:$AJ$110,0,MATCH(Z$2,Inputs!$K$4:$AJ$4,0)))+SUMPRODUCT((Inputs!$E$5:$E$110=$B15)*Inputs!$F$5:$F$110*(((Inputs!$G$5:$G$110="moeda")+(Inputs!$G$5:$G$110="acoes"))*Inputs!$B$1+((Inputs!$G$5:$G$110&lt;&gt;"moeda")*(Inputs!$G$5:$G$110&lt;&gt;"acoes")))*INDEX(Inputs!$K$5:$AJ$110,0,MATCH(Z$2,Inputs!$K$4:$AJ$4,0)))))</f>
        <v>3470</v>
      </c>
      <c r="AA15" s="6">
        <f>IF(ISNA(MATCH(AA$2,Inputs!$K$4:$AJ$4,0)),NA(),IF(SUMPRODUCT((Inputs!$A$5:$A$110=$B15)*ISNUMBER(INDEX(Inputs!$K$5:$AJ$110,0,MATCH(AA$2,Inputs!$K$4:$AJ$4,0))))+SUMPRODUCT((Inputs!$C$5:$C$110=$B15)*ISNUMBER(INDEX(Inputs!$K$5:$AJ$110,0,MATCH(AA$2,Inputs!$K$4:$AJ$4,0))))+SUMPRODUCT((Inputs!$E$5:$E$110=$B15)*ISNUMBER(INDEX(Inputs!$K$5:$AJ$110,0,MATCH(AA$2,Inputs!$K$4:$AJ$4,0))))=0,NA(),SUMPRODUCT((Inputs!$A$5:$A$110=$B15)*Inputs!$B$5:$B$110*(((Inputs!$G$5:$G$110="moeda")+(Inputs!$G$5:$G$110="acoes"))*Inputs!$B$1+((Inputs!$G$5:$G$110&lt;&gt;"moeda")*(Inputs!$G$5:$G$110&lt;&gt;"acoes")))*INDEX(Inputs!$K$5:$AJ$110,0,MATCH(AA$2,Inputs!$K$4:$AJ$4,0)))+SUMPRODUCT((Inputs!$C$5:$C$110=$B15)*Inputs!$D$5:$D$110*(((Inputs!$G$5:$G$110="moeda")+(Inputs!$G$5:$G$110="acoes"))*Inputs!$B$1+((Inputs!$G$5:$G$110&lt;&gt;"moeda")*(Inputs!$G$5:$G$110&lt;&gt;"acoes")))*INDEX(Inputs!$K$5:$AJ$110,0,MATCH(AA$2,Inputs!$K$4:$AJ$4,0)))+SUMPRODUCT((Inputs!$E$5:$E$110=$B15)*Inputs!$F$5:$F$110*(((Inputs!$G$5:$G$110="moeda")+(Inputs!$G$5:$G$110="acoes"))*Inputs!$B$1+((Inputs!$G$5:$G$110&lt;&gt;"moeda")*(Inputs!$G$5:$G$110&lt;&gt;"acoes")))*INDEX(Inputs!$K$5:$AJ$110,0,MATCH(AA$2,Inputs!$K$4:$AJ$4,0)))))</f>
        <v>4121</v>
      </c>
      <c r="AB15" s="3">
        <f>AA15</f>
        <v>4121</v>
      </c>
      <c r="AC15" s="6">
        <f>IF(ISNA(MATCH(AC$2,Inputs!$K$4:$AJ$4,0)),NA(),IF(SUMPRODUCT((Inputs!$A$5:$A$110=$B15)*ISNUMBER(INDEX(Inputs!$K$5:$AJ$110,0,MATCH(AC$2,Inputs!$K$4:$AJ$4,0))))+SUMPRODUCT((Inputs!$C$5:$C$110=$B15)*ISNUMBER(INDEX(Inputs!$K$5:$AJ$110,0,MATCH(AC$2,Inputs!$K$4:$AJ$4,0))))+SUMPRODUCT((Inputs!$E$5:$E$110=$B15)*ISNUMBER(INDEX(Inputs!$K$5:$AJ$110,0,MATCH(AC$2,Inputs!$K$4:$AJ$4,0))))=0,NA(),SUMPRODUCT((Inputs!$A$5:$A$110=$B15)*Inputs!$B$5:$B$110*(((Inputs!$G$5:$G$110="moeda")+(Inputs!$G$5:$G$110="acoes"))*Inputs!$B$1+((Inputs!$G$5:$G$110&lt;&gt;"moeda")*(Inputs!$G$5:$G$110&lt;&gt;"acoes")))*INDEX(Inputs!$K$5:$AJ$110,0,MATCH(AC$2,Inputs!$K$4:$AJ$4,0)))+SUMPRODUCT((Inputs!$C$5:$C$110=$B15)*Inputs!$D$5:$D$110*(((Inputs!$G$5:$G$110="moeda")+(Inputs!$G$5:$G$110="acoes"))*Inputs!$B$1+((Inputs!$G$5:$G$110&lt;&gt;"moeda")*(Inputs!$G$5:$G$110&lt;&gt;"acoes")))*INDEX(Inputs!$K$5:$AJ$110,0,MATCH(AC$2,Inputs!$K$4:$AJ$4,0)))+SUMPRODUCT((Inputs!$E$5:$E$110=$B15)*Inputs!$F$5:$F$110*(((Inputs!$G$5:$G$110="moeda")+(Inputs!$G$5:$G$110="acoes"))*Inputs!$B$1+((Inputs!$G$5:$G$110&lt;&gt;"moeda")*(Inputs!$G$5:$G$110&lt;&gt;"acoes")))*INDEX(Inputs!$K$5:$AJ$110,0,MATCH(AC$2,Inputs!$K$4:$AJ$4,0)))))</f>
        <v>1894</v>
      </c>
      <c r="AD15" s="6">
        <f>IF(ISNA(MATCH(AD$2,Inputs!$K$4:$AJ$4,0)),NA(),IF(SUMPRODUCT((Inputs!$A$5:$A$110=$B15)*ISNUMBER(INDEX(Inputs!$K$5:$AJ$110,0,MATCH(AD$2,Inputs!$K$4:$AJ$4,0))))+SUMPRODUCT((Inputs!$C$5:$C$110=$B15)*ISNUMBER(INDEX(Inputs!$K$5:$AJ$110,0,MATCH(AD$2,Inputs!$K$4:$AJ$4,0))))+SUMPRODUCT((Inputs!$E$5:$E$110=$B15)*ISNUMBER(INDEX(Inputs!$K$5:$AJ$110,0,MATCH(AD$2,Inputs!$K$4:$AJ$4,0))))=0,NA(),SUMPRODUCT((Inputs!$A$5:$A$110=$B15)*Inputs!$B$5:$B$110*(((Inputs!$G$5:$G$110="moeda")+(Inputs!$G$5:$G$110="acoes"))*Inputs!$B$1+((Inputs!$G$5:$G$110&lt;&gt;"moeda")*(Inputs!$G$5:$G$110&lt;&gt;"acoes")))*INDEX(Inputs!$K$5:$AJ$110,0,MATCH(AD$2,Inputs!$K$4:$AJ$4,0)))+SUMPRODUCT((Inputs!$C$5:$C$110=$B15)*Inputs!$D$5:$D$110*(((Inputs!$G$5:$G$110="moeda")+(Inputs!$G$5:$G$110="acoes"))*Inputs!$B$1+((Inputs!$G$5:$G$110&lt;&gt;"moeda")*(Inputs!$G$5:$G$110&lt;&gt;"acoes")))*INDEX(Inputs!$K$5:$AJ$110,0,MATCH(AD$2,Inputs!$K$4:$AJ$4,0)))+SUMPRODUCT((Inputs!$E$5:$E$110=$B15)*Inputs!$F$5:$F$110*(((Inputs!$G$5:$G$110="moeda")+(Inputs!$G$5:$G$110="acoes"))*Inputs!$B$1+((Inputs!$G$5:$G$110&lt;&gt;"moeda")*(Inputs!$G$5:$G$110&lt;&gt;"acoes")))*INDEX(Inputs!$K$5:$AJ$110,0,MATCH(AD$2,Inputs!$K$4:$AJ$4,0)))))</f>
        <v>3791</v>
      </c>
      <c r="AE15" s="6" t="e">
        <f>IF(ISNA(MATCH(AE$2,Inputs!$K$4:$AJ$4,0)),NA(),IF(SUMPRODUCT((Inputs!$A$5:$A$110=$B15)*ISNUMBER(INDEX(Inputs!$K$5:$AJ$110,0,MATCH(AE$2,Inputs!$K$4:$AJ$4,0))))+SUMPRODUCT((Inputs!$C$5:$C$110=$B15)*ISNUMBER(INDEX(Inputs!$K$5:$AJ$110,0,MATCH(AE$2,Inputs!$K$4:$AJ$4,0))))+SUMPRODUCT((Inputs!$E$5:$E$110=$B15)*ISNUMBER(INDEX(Inputs!$K$5:$AJ$110,0,MATCH(AE$2,Inputs!$K$4:$AJ$4,0))))=0,NA(),SUMPRODUCT((Inputs!$A$5:$A$110=$B15)*Inputs!$B$5:$B$110*(((Inputs!$G$5:$G$110="moeda")+(Inputs!$G$5:$G$110="acoes"))*Inputs!$B$1+((Inputs!$G$5:$G$110&lt;&gt;"moeda")*(Inputs!$G$5:$G$110&lt;&gt;"acoes")))*INDEX(Inputs!$K$5:$AJ$110,0,MATCH(AE$2,Inputs!$K$4:$AJ$4,0)))+SUMPRODUCT((Inputs!$C$5:$C$110=$B15)*Inputs!$D$5:$D$110*(((Inputs!$G$5:$G$110="moeda")+(Inputs!$G$5:$G$110="acoes"))*Inputs!$B$1+((Inputs!$G$5:$G$110&lt;&gt;"moeda")*(Inputs!$G$5:$G$110&lt;&gt;"acoes")))*INDEX(Inputs!$K$5:$AJ$110,0,MATCH(AE$2,Inputs!$K$4:$AJ$4,0)))+SUMPRODUCT((Inputs!$E$5:$E$110=$B15)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5" s="6" t="e">
        <f>IF(ISNA(MATCH(AF$2,Inputs!$K$4:$AJ$4,0)),NA(),IF(SUMPRODUCT((Inputs!$A$5:$A$110=$B15)*ISNUMBER(INDEX(Inputs!$K$5:$AJ$110,0,MATCH(AF$2,Inputs!$K$4:$AJ$4,0))))+SUMPRODUCT((Inputs!$C$5:$C$110=$B15)*ISNUMBER(INDEX(Inputs!$K$5:$AJ$110,0,MATCH(AF$2,Inputs!$K$4:$AJ$4,0))))+SUMPRODUCT((Inputs!$E$5:$E$110=$B15)*ISNUMBER(INDEX(Inputs!$K$5:$AJ$110,0,MATCH(AF$2,Inputs!$K$4:$AJ$4,0))))=0,NA(),SUMPRODUCT((Inputs!$A$5:$A$110=$B15)*Inputs!$B$5:$B$110*(((Inputs!$G$5:$G$110="moeda")+(Inputs!$G$5:$G$110="acoes"))*Inputs!$B$1+((Inputs!$G$5:$G$110&lt;&gt;"moeda")*(Inputs!$G$5:$G$110&lt;&gt;"acoes")))*INDEX(Inputs!$K$5:$AJ$110,0,MATCH(AF$2,Inputs!$K$4:$AJ$4,0)))+SUMPRODUCT((Inputs!$C$5:$C$110=$B15)*Inputs!$D$5:$D$110*(((Inputs!$G$5:$G$110="moeda")+(Inputs!$G$5:$G$110="acoes"))*Inputs!$B$1+((Inputs!$G$5:$G$110&lt;&gt;"moeda")*(Inputs!$G$5:$G$110&lt;&gt;"acoes")))*INDEX(Inputs!$K$5:$AJ$110,0,MATCH(AF$2,Inputs!$K$4:$AJ$4,0)))+SUMPRODUCT((Inputs!$E$5:$E$110=$B15)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5" s="3" t="e">
        <f>AF15</f>
        <v>#N/A</v>
      </c>
      <c r="AH15" s="6">
        <f>IF(ISNA(MATCH(AH$2,Inputs!$K$4:$AJ$4,0)),NA(),IF(SUMPRODUCT((Inputs!$A$5:$A$110=$B15)*ISNUMBER(INDEX(Inputs!$K$5:$AJ$110,0,MATCH(AH$2,Inputs!$K$4:$AJ$4,0))))+SUMPRODUCT((Inputs!$C$5:$C$110=$B15)*ISNUMBER(INDEX(Inputs!$K$5:$AJ$110,0,MATCH(AH$2,Inputs!$K$4:$AJ$4,0))))+SUMPRODUCT((Inputs!$E$5:$E$110=$B15)*ISNUMBER(INDEX(Inputs!$K$5:$AJ$110,0,MATCH(AH$2,Inputs!$K$4:$AJ$4,0))))=0,NA(),SUMPRODUCT((Inputs!$A$5:$A$110=$B15)*Inputs!$B$5:$B$110*(((Inputs!$G$5:$G$110="moeda")+(Inputs!$G$5:$G$110="acoes"))*Inputs!$B$1+((Inputs!$G$5:$G$110&lt;&gt;"moeda")*(Inputs!$G$5:$G$110&lt;&gt;"acoes")))*INDEX(Inputs!$K$5:$AJ$110,0,MATCH(AH$2,Inputs!$K$4:$AJ$4,0)))+SUMPRODUCT((Inputs!$C$5:$C$110=$B15)*Inputs!$D$5:$D$110*(((Inputs!$G$5:$G$110="moeda")+(Inputs!$G$5:$G$110="acoes"))*Inputs!$B$1+((Inputs!$G$5:$G$110&lt;&gt;"moeda")*(Inputs!$G$5:$G$110&lt;&gt;"acoes")))*INDEX(Inputs!$K$5:$AJ$110,0,MATCH(AH$2,Inputs!$K$4:$AJ$4,0)))+SUMPRODUCT((Inputs!$E$5:$E$110=$B15)*Inputs!$F$5:$F$110*(((Inputs!$G$5:$G$110="moeda")+(Inputs!$G$5:$G$110="acoes"))*Inputs!$B$1+((Inputs!$G$5:$G$110&lt;&gt;"moeda")*(Inputs!$G$5:$G$110&lt;&gt;"acoes")))*INDEX(Inputs!$K$5:$AJ$110,0,MATCH(AH$2,Inputs!$K$4:$AJ$4,0)))))</f>
        <v>1988</v>
      </c>
      <c r="AI15" s="6">
        <f>IF(ISNA(MATCH(AI$2,Inputs!$K$4:$AJ$4,0)),NA(),IF(SUMPRODUCT((Inputs!$A$5:$A$110=$B15)*ISNUMBER(INDEX(Inputs!$K$5:$AJ$110,0,MATCH(AI$2,Inputs!$K$4:$AJ$4,0))))+SUMPRODUCT((Inputs!$C$5:$C$110=$B15)*ISNUMBER(INDEX(Inputs!$K$5:$AJ$110,0,MATCH(AI$2,Inputs!$K$4:$AJ$4,0))))+SUMPRODUCT((Inputs!$E$5:$E$110=$B15)*ISNUMBER(INDEX(Inputs!$K$5:$AJ$110,0,MATCH(AI$2,Inputs!$K$4:$AJ$4,0))))=0,NA(),SUMPRODUCT((Inputs!$A$5:$A$110=$B15)*Inputs!$B$5:$B$110*(((Inputs!$G$5:$G$110="moeda")+(Inputs!$G$5:$G$110="acoes"))*Inputs!$B$1+((Inputs!$G$5:$G$110&lt;&gt;"moeda")*(Inputs!$G$5:$G$110&lt;&gt;"acoes")))*INDEX(Inputs!$K$5:$AJ$110,0,MATCH(AI$2,Inputs!$K$4:$AJ$4,0)))+SUMPRODUCT((Inputs!$C$5:$C$110=$B15)*Inputs!$D$5:$D$110*(((Inputs!$G$5:$G$110="moeda")+(Inputs!$G$5:$G$110="acoes"))*Inputs!$B$1+((Inputs!$G$5:$G$110&lt;&gt;"moeda")*(Inputs!$G$5:$G$110&lt;&gt;"acoes")))*INDEX(Inputs!$K$5:$AJ$110,0,MATCH(AI$2,Inputs!$K$4:$AJ$4,0)))+SUMPRODUCT((Inputs!$E$5:$E$110=$B15)*Inputs!$F$5:$F$110*(((Inputs!$G$5:$G$110="moeda")+(Inputs!$G$5:$G$110="acoes"))*Inputs!$B$1+((Inputs!$G$5:$G$110&lt;&gt;"moeda")*(Inputs!$G$5:$G$110&lt;&gt;"acoes")))*INDEX(Inputs!$K$5:$AJ$110,0,MATCH(AI$2,Inputs!$K$4:$AJ$4,0)))))</f>
        <v>2855</v>
      </c>
      <c r="AJ15" s="6">
        <f>IF(ISNA(MATCH(AJ$2,Inputs!$K$4:$AJ$4,0)),NA(),IF(SUMPRODUCT((Inputs!$A$5:$A$110=$B15)*ISNUMBER(INDEX(Inputs!$K$5:$AJ$110,0,MATCH(AJ$2,Inputs!$K$4:$AJ$4,0))))+SUMPRODUCT((Inputs!$C$5:$C$110=$B15)*ISNUMBER(INDEX(Inputs!$K$5:$AJ$110,0,MATCH(AJ$2,Inputs!$K$4:$AJ$4,0))))+SUMPRODUCT((Inputs!$E$5:$E$110=$B15)*ISNUMBER(INDEX(Inputs!$K$5:$AJ$110,0,MATCH(AJ$2,Inputs!$K$4:$AJ$4,0))))=0,NA(),SUMPRODUCT((Inputs!$A$5:$A$110=$B15)*Inputs!$B$5:$B$110*(((Inputs!$G$5:$G$110="moeda")+(Inputs!$G$5:$G$110="acoes"))*Inputs!$B$1+((Inputs!$G$5:$G$110&lt;&gt;"moeda")*(Inputs!$G$5:$G$110&lt;&gt;"acoes")))*INDEX(Inputs!$K$5:$AJ$110,0,MATCH(AJ$2,Inputs!$K$4:$AJ$4,0)))+SUMPRODUCT((Inputs!$C$5:$C$110=$B15)*Inputs!$D$5:$D$110*(((Inputs!$G$5:$G$110="moeda")+(Inputs!$G$5:$G$110="acoes"))*Inputs!$B$1+((Inputs!$G$5:$G$110&lt;&gt;"moeda")*(Inputs!$G$5:$G$110&lt;&gt;"acoes")))*INDEX(Inputs!$K$5:$AJ$110,0,MATCH(AJ$2,Inputs!$K$4:$AJ$4,0)))+SUMPRODUCT((Inputs!$E$5:$E$110=$B15)*Inputs!$F$5:$F$110*(((Inputs!$G$5:$G$110="moeda")+(Inputs!$G$5:$G$110="acoes"))*Inputs!$B$1+((Inputs!$G$5:$G$110&lt;&gt;"moeda")*(Inputs!$G$5:$G$110&lt;&gt;"acoes")))*INDEX(Inputs!$K$5:$AJ$110,0,MATCH(AJ$2,Inputs!$K$4:$AJ$4,0)))))</f>
        <v>3585</v>
      </c>
      <c r="AK15" s="6">
        <f>IF(ISNA(MATCH(AK$2,Inputs!$K$4:$AJ$4,0)),NA(),IF(SUMPRODUCT((Inputs!$A$5:$A$110=$B15)*ISNUMBER(INDEX(Inputs!$K$5:$AJ$110,0,MATCH(AK$2,Inputs!$K$4:$AJ$4,0))))+SUMPRODUCT((Inputs!$C$5:$C$110=$B15)*ISNUMBER(INDEX(Inputs!$K$5:$AJ$110,0,MATCH(AK$2,Inputs!$K$4:$AJ$4,0))))+SUMPRODUCT((Inputs!$E$5:$E$110=$B15)*ISNUMBER(INDEX(Inputs!$K$5:$AJ$110,0,MATCH(AK$2,Inputs!$K$4:$AJ$4,0))))=0,NA(),SUMPRODUCT((Inputs!$A$5:$A$110=$B15)*Inputs!$B$5:$B$110*(((Inputs!$G$5:$G$110="moeda")+(Inputs!$G$5:$G$110="acoes"))*Inputs!$B$1+((Inputs!$G$5:$G$110&lt;&gt;"moeda")*(Inputs!$G$5:$G$110&lt;&gt;"acoes")))*INDEX(Inputs!$K$5:$AJ$110,0,MATCH(AK$2,Inputs!$K$4:$AJ$4,0)))+SUMPRODUCT((Inputs!$C$5:$C$110=$B15)*Inputs!$D$5:$D$110*(((Inputs!$G$5:$G$110="moeda")+(Inputs!$G$5:$G$110="acoes"))*Inputs!$B$1+((Inputs!$G$5:$G$110&lt;&gt;"moeda")*(Inputs!$G$5:$G$110&lt;&gt;"acoes")))*INDEX(Inputs!$K$5:$AJ$110,0,MATCH(AK$2,Inputs!$K$4:$AJ$4,0)))+SUMPRODUCT((Inputs!$E$5:$E$110=$B15)*Inputs!$F$5:$F$110*(((Inputs!$G$5:$G$110="moeda")+(Inputs!$G$5:$G$110="acoes"))*Inputs!$B$1+((Inputs!$G$5:$G$110&lt;&gt;"moeda")*(Inputs!$G$5:$G$110&lt;&gt;"acoes")))*INDEX(Inputs!$K$5:$AJ$110,0,MATCH(AK$2,Inputs!$K$4:$AJ$4,0)))))</f>
        <v>3160</v>
      </c>
      <c r="AL15" s="3">
        <f>AK15</f>
        <v>3160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$110=$B16)*ISNUMBER(INDEX(Inputs!$K$5:$AJ$110,0,MATCH(D$2,Inputs!$K$4:$AJ$4,0))))+SUMPRODUCT((Inputs!$C$5:$C$110=$B16)*ISNUMBER(INDEX(Inputs!$K$5:$AJ$110,0,MATCH(D$2,Inputs!$K$4:$AJ$4,0))))+SUMPRODUCT((Inputs!$E$5:$E$110=$B16)*ISNUMBER(INDEX(Inputs!$K$5:$AJ$110,0,MATCH(D$2,Inputs!$K$4:$AJ$4,0))))=0,NA(),SUMPRODUCT((Inputs!$A$5:$A$110=$B16)*Inputs!$B$5:$B$110*(((Inputs!$G$5:$G$110="moeda")+(Inputs!$G$5:$G$110="acoes"))*Inputs!$B$1+((Inputs!$G$5:$G$110&lt;&gt;"moeda")*(Inputs!$G$5:$G$110&lt;&gt;"acoes")))*INDEX(Inputs!$K$5:$AJ$110,0,MATCH(D$2,Inputs!$K$4:$AJ$4,0)))+SUMPRODUCT((Inputs!$C$5:$C$110=$B16)*Inputs!$D$5:$D$110*(((Inputs!$G$5:$G$110="moeda")+(Inputs!$G$5:$G$110="acoes"))*Inputs!$B$1+((Inputs!$G$5:$G$110&lt;&gt;"moeda")*(Inputs!$G$5:$G$110&lt;&gt;"acoes")))*INDEX(Inputs!$K$5:$AJ$110,0,MATCH(D$2,Inputs!$K$4:$AJ$4,0)))+SUMPRODUCT((Inputs!$E$5:$E$110=$B16)*Inputs!$F$5:$F$110*(((Inputs!$G$5:$G$110="moeda")+(Inputs!$G$5:$G$110="acoes"))*Inputs!$B$1+((Inputs!$G$5:$G$110&lt;&gt;"moeda")*(Inputs!$G$5:$G$110&lt;&gt;"acoes")))*INDEX(Inputs!$K$5:$AJ$110,0,MATCH(D$2,Inputs!$K$4:$AJ$4,0)))))</f>
        <v>2214</v>
      </c>
      <c r="E16" s="6">
        <f>IF(ISNA(MATCH(E$2,Inputs!$K$4:$AJ$4,0)),NA(),IF(SUMPRODUCT((Inputs!$A$5:$A$110=$B16)*ISNUMBER(INDEX(Inputs!$K$5:$AJ$110,0,MATCH(E$2,Inputs!$K$4:$AJ$4,0))))+SUMPRODUCT((Inputs!$C$5:$C$110=$B16)*ISNUMBER(INDEX(Inputs!$K$5:$AJ$110,0,MATCH(E$2,Inputs!$K$4:$AJ$4,0))))+SUMPRODUCT((Inputs!$E$5:$E$110=$B16)*ISNUMBER(INDEX(Inputs!$K$5:$AJ$110,0,MATCH(E$2,Inputs!$K$4:$AJ$4,0))))=0,NA(),SUMPRODUCT((Inputs!$A$5:$A$110=$B16)*Inputs!$B$5:$B$110*(((Inputs!$G$5:$G$110="moeda")+(Inputs!$G$5:$G$110="acoes"))*Inputs!$B$1+((Inputs!$G$5:$G$110&lt;&gt;"moeda")*(Inputs!$G$5:$G$110&lt;&gt;"acoes")))*INDEX(Inputs!$K$5:$AJ$110,0,MATCH(E$2,Inputs!$K$4:$AJ$4,0)))+SUMPRODUCT((Inputs!$C$5:$C$110=$B16)*Inputs!$D$5:$D$110*(((Inputs!$G$5:$G$110="moeda")+(Inputs!$G$5:$G$110="acoes"))*Inputs!$B$1+((Inputs!$G$5:$G$110&lt;&gt;"moeda")*(Inputs!$G$5:$G$110&lt;&gt;"acoes")))*INDEX(Inputs!$K$5:$AJ$110,0,MATCH(E$2,Inputs!$K$4:$AJ$4,0)))+SUMPRODUCT((Inputs!$E$5:$E$110=$B16)*Inputs!$F$5:$F$110*(((Inputs!$G$5:$G$110="moeda")+(Inputs!$G$5:$G$110="acoes"))*Inputs!$B$1+((Inputs!$G$5:$G$110&lt;&gt;"moeda")*(Inputs!$G$5:$G$110&lt;&gt;"acoes")))*INDEX(Inputs!$K$5:$AJ$110,0,MATCH(E$2,Inputs!$K$4:$AJ$4,0)))))</f>
        <v>2611</v>
      </c>
      <c r="F16" s="6">
        <f>IF(ISNA(MATCH(F$2,Inputs!$K$4:$AJ$4,0)),NA(),IF(SUMPRODUCT((Inputs!$A$5:$A$110=$B16)*ISNUMBER(INDEX(Inputs!$K$5:$AJ$110,0,MATCH(F$2,Inputs!$K$4:$AJ$4,0))))+SUMPRODUCT((Inputs!$C$5:$C$110=$B16)*ISNUMBER(INDEX(Inputs!$K$5:$AJ$110,0,MATCH(F$2,Inputs!$K$4:$AJ$4,0))))+SUMPRODUCT((Inputs!$E$5:$E$110=$B16)*ISNUMBER(INDEX(Inputs!$K$5:$AJ$110,0,MATCH(F$2,Inputs!$K$4:$AJ$4,0))))=0,NA(),SUMPRODUCT((Inputs!$A$5:$A$110=$B16)*Inputs!$B$5:$B$110*(((Inputs!$G$5:$G$110="moeda")+(Inputs!$G$5:$G$110="acoes"))*Inputs!$B$1+((Inputs!$G$5:$G$110&lt;&gt;"moeda")*(Inputs!$G$5:$G$110&lt;&gt;"acoes")))*INDEX(Inputs!$K$5:$AJ$110,0,MATCH(F$2,Inputs!$K$4:$AJ$4,0)))+SUMPRODUCT((Inputs!$C$5:$C$110=$B16)*Inputs!$D$5:$D$110*(((Inputs!$G$5:$G$110="moeda")+(Inputs!$G$5:$G$110="acoes"))*Inputs!$B$1+((Inputs!$G$5:$G$110&lt;&gt;"moeda")*(Inputs!$G$5:$G$110&lt;&gt;"acoes")))*INDEX(Inputs!$K$5:$AJ$110,0,MATCH(F$2,Inputs!$K$4:$AJ$4,0)))+SUMPRODUCT((Inputs!$E$5:$E$110=$B16)*Inputs!$F$5:$F$110*(((Inputs!$G$5:$G$110="moeda")+(Inputs!$G$5:$G$110="acoes"))*Inputs!$B$1+((Inputs!$G$5:$G$110&lt;&gt;"moeda")*(Inputs!$G$5:$G$110&lt;&gt;"acoes")))*INDEX(Inputs!$K$5:$AJ$110,0,MATCH(F$2,Inputs!$K$4:$AJ$4,0)))))</f>
        <v>2267</v>
      </c>
      <c r="G16" s="6">
        <f>IF(ISNA(MATCH(G$2,Inputs!$K$4:$AJ$4,0)),NA(),IF(SUMPRODUCT((Inputs!$A$5:$A$110=$B16)*ISNUMBER(INDEX(Inputs!$K$5:$AJ$110,0,MATCH(G$2,Inputs!$K$4:$AJ$4,0))))+SUMPRODUCT((Inputs!$C$5:$C$110=$B16)*ISNUMBER(INDEX(Inputs!$K$5:$AJ$110,0,MATCH(G$2,Inputs!$K$4:$AJ$4,0))))+SUMPRODUCT((Inputs!$E$5:$E$110=$B16)*ISNUMBER(INDEX(Inputs!$K$5:$AJ$110,0,MATCH(G$2,Inputs!$K$4:$AJ$4,0))))=0,NA(),SUMPRODUCT((Inputs!$A$5:$A$110=$B16)*Inputs!$B$5:$B$110*(((Inputs!$G$5:$G$110="moeda")+(Inputs!$G$5:$G$110="acoes"))*Inputs!$B$1+((Inputs!$G$5:$G$110&lt;&gt;"moeda")*(Inputs!$G$5:$G$110&lt;&gt;"acoes")))*INDEX(Inputs!$K$5:$AJ$110,0,MATCH(G$2,Inputs!$K$4:$AJ$4,0)))+SUMPRODUCT((Inputs!$C$5:$C$110=$B16)*Inputs!$D$5:$D$110*(((Inputs!$G$5:$G$110="moeda")+(Inputs!$G$5:$G$110="acoes"))*Inputs!$B$1+((Inputs!$G$5:$G$110&lt;&gt;"moeda")*(Inputs!$G$5:$G$110&lt;&gt;"acoes")))*INDEX(Inputs!$K$5:$AJ$110,0,MATCH(G$2,Inputs!$K$4:$AJ$4,0)))+SUMPRODUCT((Inputs!$E$5:$E$110=$B16)*Inputs!$F$5:$F$110*(((Inputs!$G$5:$G$110="moeda")+(Inputs!$G$5:$G$110="acoes"))*Inputs!$B$1+((Inputs!$G$5:$G$110&lt;&gt;"moeda")*(Inputs!$G$5:$G$110&lt;&gt;"acoes")))*INDEX(Inputs!$K$5:$AJ$110,0,MATCH(G$2,Inputs!$K$4:$AJ$4,0)))))</f>
        <v>1963</v>
      </c>
      <c r="H16" s="3">
        <f>G16</f>
        <v>1963</v>
      </c>
      <c r="I16" s="6">
        <f>IF(ISNA(MATCH(I$2,Inputs!$K$4:$AJ$4,0)),NA(),IF(SUMPRODUCT((Inputs!$A$5:$A$110=$B16)*ISNUMBER(INDEX(Inputs!$K$5:$AJ$110,0,MATCH(I$2,Inputs!$K$4:$AJ$4,0))))+SUMPRODUCT((Inputs!$C$5:$C$110=$B16)*ISNUMBER(INDEX(Inputs!$K$5:$AJ$110,0,MATCH(I$2,Inputs!$K$4:$AJ$4,0))))+SUMPRODUCT((Inputs!$E$5:$E$110=$B16)*ISNUMBER(INDEX(Inputs!$K$5:$AJ$110,0,MATCH(I$2,Inputs!$K$4:$AJ$4,0))))=0,NA(),SUMPRODUCT((Inputs!$A$5:$A$110=$B16)*Inputs!$B$5:$B$110*(((Inputs!$G$5:$G$110="moeda")+(Inputs!$G$5:$G$110="acoes"))*Inputs!$B$1+((Inputs!$G$5:$G$110&lt;&gt;"moeda")*(Inputs!$G$5:$G$110&lt;&gt;"acoes")))*INDEX(Inputs!$K$5:$AJ$110,0,MATCH(I$2,Inputs!$K$4:$AJ$4,0)))+SUMPRODUCT((Inputs!$C$5:$C$110=$B16)*Inputs!$D$5:$D$110*(((Inputs!$G$5:$G$110="moeda")+(Inputs!$G$5:$G$110="acoes"))*Inputs!$B$1+((Inputs!$G$5:$G$110&lt;&gt;"moeda")*(Inputs!$G$5:$G$110&lt;&gt;"acoes")))*INDEX(Inputs!$K$5:$AJ$110,0,MATCH(I$2,Inputs!$K$4:$AJ$4,0)))+SUMPRODUCT((Inputs!$E$5:$E$110=$B16)*Inputs!$F$5:$F$110*(((Inputs!$G$5:$G$110="moeda")+(Inputs!$G$5:$G$110="acoes"))*Inputs!$B$1+((Inputs!$G$5:$G$110&lt;&gt;"moeda")*(Inputs!$G$5:$G$110&lt;&gt;"acoes")))*INDEX(Inputs!$K$5:$AJ$110,0,MATCH(I$2,Inputs!$K$4:$AJ$4,0)))))</f>
        <v>2527</v>
      </c>
      <c r="J16" s="6">
        <f>IF(ISNA(MATCH(J$2,Inputs!$K$4:$AJ$4,0)),NA(),IF(SUMPRODUCT((Inputs!$A$5:$A$110=$B16)*ISNUMBER(INDEX(Inputs!$K$5:$AJ$110,0,MATCH(J$2,Inputs!$K$4:$AJ$4,0))))+SUMPRODUCT((Inputs!$C$5:$C$110=$B16)*ISNUMBER(INDEX(Inputs!$K$5:$AJ$110,0,MATCH(J$2,Inputs!$K$4:$AJ$4,0))))+SUMPRODUCT((Inputs!$E$5:$E$110=$B16)*ISNUMBER(INDEX(Inputs!$K$5:$AJ$110,0,MATCH(J$2,Inputs!$K$4:$AJ$4,0))))=0,NA(),SUMPRODUCT((Inputs!$A$5:$A$110=$B16)*Inputs!$B$5:$B$110*(((Inputs!$G$5:$G$110="moeda")+(Inputs!$G$5:$G$110="acoes"))*Inputs!$B$1+((Inputs!$G$5:$G$110&lt;&gt;"moeda")*(Inputs!$G$5:$G$110&lt;&gt;"acoes")))*INDEX(Inputs!$K$5:$AJ$110,0,MATCH(J$2,Inputs!$K$4:$AJ$4,0)))+SUMPRODUCT((Inputs!$C$5:$C$110=$B16)*Inputs!$D$5:$D$110*(((Inputs!$G$5:$G$110="moeda")+(Inputs!$G$5:$G$110="acoes"))*Inputs!$B$1+((Inputs!$G$5:$G$110&lt;&gt;"moeda")*(Inputs!$G$5:$G$110&lt;&gt;"acoes")))*INDEX(Inputs!$K$5:$AJ$110,0,MATCH(J$2,Inputs!$K$4:$AJ$4,0)))+SUMPRODUCT((Inputs!$E$5:$E$110=$B16)*Inputs!$F$5:$F$110*(((Inputs!$G$5:$G$110="moeda")+(Inputs!$G$5:$G$110="acoes"))*Inputs!$B$1+((Inputs!$G$5:$G$110&lt;&gt;"moeda")*(Inputs!$G$5:$G$110&lt;&gt;"acoes")))*INDEX(Inputs!$K$5:$AJ$110,0,MATCH(J$2,Inputs!$K$4:$AJ$4,0)))))</f>
        <v>3401</v>
      </c>
      <c r="K16" s="6">
        <f>IF(ISNA(MATCH(K$2,Inputs!$K$4:$AJ$4,0)),NA(),IF(SUMPRODUCT((Inputs!$A$5:$A$110=$B16)*ISNUMBER(INDEX(Inputs!$K$5:$AJ$110,0,MATCH(K$2,Inputs!$K$4:$AJ$4,0))))+SUMPRODUCT((Inputs!$C$5:$C$110=$B16)*ISNUMBER(INDEX(Inputs!$K$5:$AJ$110,0,MATCH(K$2,Inputs!$K$4:$AJ$4,0))))+SUMPRODUCT((Inputs!$E$5:$E$110=$B16)*ISNUMBER(INDEX(Inputs!$K$5:$AJ$110,0,MATCH(K$2,Inputs!$K$4:$AJ$4,0))))=0,NA(),SUMPRODUCT((Inputs!$A$5:$A$110=$B16)*Inputs!$B$5:$B$110*(((Inputs!$G$5:$G$110="moeda")+(Inputs!$G$5:$G$110="acoes"))*Inputs!$B$1+((Inputs!$G$5:$G$110&lt;&gt;"moeda")*(Inputs!$G$5:$G$110&lt;&gt;"acoes")))*INDEX(Inputs!$K$5:$AJ$110,0,MATCH(K$2,Inputs!$K$4:$AJ$4,0)))+SUMPRODUCT((Inputs!$C$5:$C$110=$B16)*Inputs!$D$5:$D$110*(((Inputs!$G$5:$G$110="moeda")+(Inputs!$G$5:$G$110="acoes"))*Inputs!$B$1+((Inputs!$G$5:$G$110&lt;&gt;"moeda")*(Inputs!$G$5:$G$110&lt;&gt;"acoes")))*INDEX(Inputs!$K$5:$AJ$110,0,MATCH(K$2,Inputs!$K$4:$AJ$4,0)))+SUMPRODUCT((Inputs!$E$5:$E$110=$B16)*Inputs!$F$5:$F$110*(((Inputs!$G$5:$G$110="moeda")+(Inputs!$G$5:$G$110="acoes"))*Inputs!$B$1+((Inputs!$G$5:$G$110&lt;&gt;"moeda")*(Inputs!$G$5:$G$110&lt;&gt;"acoes")))*INDEX(Inputs!$K$5:$AJ$110,0,MATCH(K$2,Inputs!$K$4:$AJ$4,0)))))</f>
        <v>2484</v>
      </c>
      <c r="L16" s="6">
        <f>IF(ISNA(MATCH(L$2,Inputs!$K$4:$AJ$4,0)),NA(),IF(SUMPRODUCT((Inputs!$A$5:$A$110=$B16)*ISNUMBER(INDEX(Inputs!$K$5:$AJ$110,0,MATCH(L$2,Inputs!$K$4:$AJ$4,0))))+SUMPRODUCT((Inputs!$C$5:$C$110=$B16)*ISNUMBER(INDEX(Inputs!$K$5:$AJ$110,0,MATCH(L$2,Inputs!$K$4:$AJ$4,0))))+SUMPRODUCT((Inputs!$E$5:$E$110=$B16)*ISNUMBER(INDEX(Inputs!$K$5:$AJ$110,0,MATCH(L$2,Inputs!$K$4:$AJ$4,0))))=0,NA(),SUMPRODUCT((Inputs!$A$5:$A$110=$B16)*Inputs!$B$5:$B$110*(((Inputs!$G$5:$G$110="moeda")+(Inputs!$G$5:$G$110="acoes"))*Inputs!$B$1+((Inputs!$G$5:$G$110&lt;&gt;"moeda")*(Inputs!$G$5:$G$110&lt;&gt;"acoes")))*INDEX(Inputs!$K$5:$AJ$110,0,MATCH(L$2,Inputs!$K$4:$AJ$4,0)))+SUMPRODUCT((Inputs!$C$5:$C$110=$B16)*Inputs!$D$5:$D$110*(((Inputs!$G$5:$G$110="moeda")+(Inputs!$G$5:$G$110="acoes"))*Inputs!$B$1+((Inputs!$G$5:$G$110&lt;&gt;"moeda")*(Inputs!$G$5:$G$110&lt;&gt;"acoes")))*INDEX(Inputs!$K$5:$AJ$110,0,MATCH(L$2,Inputs!$K$4:$AJ$4,0)))+SUMPRODUCT((Inputs!$E$5:$E$110=$B16)*Inputs!$F$5:$F$110*(((Inputs!$G$5:$G$110="moeda")+(Inputs!$G$5:$G$110="acoes"))*Inputs!$B$1+((Inputs!$G$5:$G$110&lt;&gt;"moeda")*(Inputs!$G$5:$G$110&lt;&gt;"acoes")))*INDEX(Inputs!$K$5:$AJ$110,0,MATCH(L$2,Inputs!$K$4:$AJ$4,0)))))</f>
        <v>2505</v>
      </c>
      <c r="M16" s="3">
        <f>L16</f>
        <v>2505</v>
      </c>
      <c r="N16" s="6">
        <f>IF(ISNA(MATCH(N$2,Inputs!$K$4:$AJ$4,0)),NA(),IF(SUMPRODUCT((Inputs!$A$5:$A$110=$B16)*ISNUMBER(INDEX(Inputs!$K$5:$AJ$110,0,MATCH(N$2,Inputs!$K$4:$AJ$4,0))))+SUMPRODUCT((Inputs!$C$5:$C$110=$B16)*ISNUMBER(INDEX(Inputs!$K$5:$AJ$110,0,MATCH(N$2,Inputs!$K$4:$AJ$4,0))))+SUMPRODUCT((Inputs!$E$5:$E$110=$B16)*ISNUMBER(INDEX(Inputs!$K$5:$AJ$110,0,MATCH(N$2,Inputs!$K$4:$AJ$4,0))))=0,NA(),SUMPRODUCT((Inputs!$A$5:$A$110=$B16)*Inputs!$B$5:$B$110*(((Inputs!$G$5:$G$110="moeda")+(Inputs!$G$5:$G$110="acoes"))*Inputs!$B$1+((Inputs!$G$5:$G$110&lt;&gt;"moeda")*(Inputs!$G$5:$G$110&lt;&gt;"acoes")))*INDEX(Inputs!$K$5:$AJ$110,0,MATCH(N$2,Inputs!$K$4:$AJ$4,0)))+SUMPRODUCT((Inputs!$C$5:$C$110=$B16)*Inputs!$D$5:$D$110*(((Inputs!$G$5:$G$110="moeda")+(Inputs!$G$5:$G$110="acoes"))*Inputs!$B$1+((Inputs!$G$5:$G$110&lt;&gt;"moeda")*(Inputs!$G$5:$G$110&lt;&gt;"acoes")))*INDEX(Inputs!$K$5:$AJ$110,0,MATCH(N$2,Inputs!$K$4:$AJ$4,0)))+SUMPRODUCT((Inputs!$E$5:$E$110=$B16)*Inputs!$F$5:$F$110*(((Inputs!$G$5:$G$110="moeda")+(Inputs!$G$5:$G$110="acoes"))*Inputs!$B$1+((Inputs!$G$5:$G$110&lt;&gt;"moeda")*(Inputs!$G$5:$G$110&lt;&gt;"acoes")))*INDEX(Inputs!$K$5:$AJ$110,0,MATCH(N$2,Inputs!$K$4:$AJ$4,0)))))</f>
        <v>2583</v>
      </c>
      <c r="O16" s="6">
        <f>IF(ISNA(MATCH(O$2,Inputs!$K$4:$AJ$4,0)),NA(),IF(SUMPRODUCT((Inputs!$A$5:$A$110=$B16)*ISNUMBER(INDEX(Inputs!$K$5:$AJ$110,0,MATCH(O$2,Inputs!$K$4:$AJ$4,0))))+SUMPRODUCT((Inputs!$C$5:$C$110=$B16)*ISNUMBER(INDEX(Inputs!$K$5:$AJ$110,0,MATCH(O$2,Inputs!$K$4:$AJ$4,0))))+SUMPRODUCT((Inputs!$E$5:$E$110=$B16)*ISNUMBER(INDEX(Inputs!$K$5:$AJ$110,0,MATCH(O$2,Inputs!$K$4:$AJ$4,0))))=0,NA(),SUMPRODUCT((Inputs!$A$5:$A$110=$B16)*Inputs!$B$5:$B$110*(((Inputs!$G$5:$G$110="moeda")+(Inputs!$G$5:$G$110="acoes"))*Inputs!$B$1+((Inputs!$G$5:$G$110&lt;&gt;"moeda")*(Inputs!$G$5:$G$110&lt;&gt;"acoes")))*INDEX(Inputs!$K$5:$AJ$110,0,MATCH(O$2,Inputs!$K$4:$AJ$4,0)))+SUMPRODUCT((Inputs!$C$5:$C$110=$B16)*Inputs!$D$5:$D$110*(((Inputs!$G$5:$G$110="moeda")+(Inputs!$G$5:$G$110="acoes"))*Inputs!$B$1+((Inputs!$G$5:$G$110&lt;&gt;"moeda")*(Inputs!$G$5:$G$110&lt;&gt;"acoes")))*INDEX(Inputs!$K$5:$AJ$110,0,MATCH(O$2,Inputs!$K$4:$AJ$4,0)))+SUMPRODUCT((Inputs!$E$5:$E$110=$B16)*Inputs!$F$5:$F$110*(((Inputs!$G$5:$G$110="moeda")+(Inputs!$G$5:$G$110="acoes"))*Inputs!$B$1+((Inputs!$G$5:$G$110&lt;&gt;"moeda")*(Inputs!$G$5:$G$110&lt;&gt;"acoes")))*INDEX(Inputs!$K$5:$AJ$110,0,MATCH(O$2,Inputs!$K$4:$AJ$4,0)))))</f>
        <v>3427</v>
      </c>
      <c r="P16" s="6">
        <f>IF(ISNA(MATCH(P$2,Inputs!$K$4:$AJ$4,0)),NA(),IF(SUMPRODUCT((Inputs!$A$5:$A$110=$B16)*ISNUMBER(INDEX(Inputs!$K$5:$AJ$110,0,MATCH(P$2,Inputs!$K$4:$AJ$4,0))))+SUMPRODUCT((Inputs!$C$5:$C$110=$B16)*ISNUMBER(INDEX(Inputs!$K$5:$AJ$110,0,MATCH(P$2,Inputs!$K$4:$AJ$4,0))))+SUMPRODUCT((Inputs!$E$5:$E$110=$B16)*ISNUMBER(INDEX(Inputs!$K$5:$AJ$110,0,MATCH(P$2,Inputs!$K$4:$AJ$4,0))))=0,NA(),SUMPRODUCT((Inputs!$A$5:$A$110=$B16)*Inputs!$B$5:$B$110*(((Inputs!$G$5:$G$110="moeda")+(Inputs!$G$5:$G$110="acoes"))*Inputs!$B$1+((Inputs!$G$5:$G$110&lt;&gt;"moeda")*(Inputs!$G$5:$G$110&lt;&gt;"acoes")))*INDEX(Inputs!$K$5:$AJ$110,0,MATCH(P$2,Inputs!$K$4:$AJ$4,0)))+SUMPRODUCT((Inputs!$C$5:$C$110=$B16)*Inputs!$D$5:$D$110*(((Inputs!$G$5:$G$110="moeda")+(Inputs!$G$5:$G$110="acoes"))*Inputs!$B$1+((Inputs!$G$5:$G$110&lt;&gt;"moeda")*(Inputs!$G$5:$G$110&lt;&gt;"acoes")))*INDEX(Inputs!$K$5:$AJ$110,0,MATCH(P$2,Inputs!$K$4:$AJ$4,0)))+SUMPRODUCT((Inputs!$E$5:$E$110=$B16)*Inputs!$F$5:$F$110*(((Inputs!$G$5:$G$110="moeda")+(Inputs!$G$5:$G$110="acoes"))*Inputs!$B$1+((Inputs!$G$5:$G$110&lt;&gt;"moeda")*(Inputs!$G$5:$G$110&lt;&gt;"acoes")))*INDEX(Inputs!$K$5:$AJ$110,0,MATCH(P$2,Inputs!$K$4:$AJ$4,0)))))</f>
        <v>2405</v>
      </c>
      <c r="Q16" s="6">
        <f>IF(ISNA(MATCH(Q$2,Inputs!$K$4:$AJ$4,0)),NA(),IF(SUMPRODUCT((Inputs!$A$5:$A$110=$B16)*ISNUMBER(INDEX(Inputs!$K$5:$AJ$110,0,MATCH(Q$2,Inputs!$K$4:$AJ$4,0))))+SUMPRODUCT((Inputs!$C$5:$C$110=$B16)*ISNUMBER(INDEX(Inputs!$K$5:$AJ$110,0,MATCH(Q$2,Inputs!$K$4:$AJ$4,0))))+SUMPRODUCT((Inputs!$E$5:$E$110=$B16)*ISNUMBER(INDEX(Inputs!$K$5:$AJ$110,0,MATCH(Q$2,Inputs!$K$4:$AJ$4,0))))=0,NA(),SUMPRODUCT((Inputs!$A$5:$A$110=$B16)*Inputs!$B$5:$B$110*(((Inputs!$G$5:$G$110="moeda")+(Inputs!$G$5:$G$110="acoes"))*Inputs!$B$1+((Inputs!$G$5:$G$110&lt;&gt;"moeda")*(Inputs!$G$5:$G$110&lt;&gt;"acoes")))*INDEX(Inputs!$K$5:$AJ$110,0,MATCH(Q$2,Inputs!$K$4:$AJ$4,0)))+SUMPRODUCT((Inputs!$C$5:$C$110=$B16)*Inputs!$D$5:$D$110*(((Inputs!$G$5:$G$110="moeda")+(Inputs!$G$5:$G$110="acoes"))*Inputs!$B$1+((Inputs!$G$5:$G$110&lt;&gt;"moeda")*(Inputs!$G$5:$G$110&lt;&gt;"acoes")))*INDEX(Inputs!$K$5:$AJ$110,0,MATCH(Q$2,Inputs!$K$4:$AJ$4,0)))+SUMPRODUCT((Inputs!$E$5:$E$110=$B16)*Inputs!$F$5:$F$110*(((Inputs!$G$5:$G$110="moeda")+(Inputs!$G$5:$G$110="acoes"))*Inputs!$B$1+((Inputs!$G$5:$G$110&lt;&gt;"moeda")*(Inputs!$G$5:$G$110&lt;&gt;"acoes")))*INDEX(Inputs!$K$5:$AJ$110,0,MATCH(Q$2,Inputs!$K$4:$AJ$4,0)))))</f>
        <v>2132</v>
      </c>
      <c r="R16" s="3">
        <f>Q16</f>
        <v>2132</v>
      </c>
      <c r="S16" s="6">
        <f>IF(ISNA(MATCH(S$2,Inputs!$K$4:$AJ$4,0)),NA(),IF(SUMPRODUCT((Inputs!$A$5:$A$110=$B16)*ISNUMBER(INDEX(Inputs!$K$5:$AJ$110,0,MATCH(S$2,Inputs!$K$4:$AJ$4,0))))+SUMPRODUCT((Inputs!$C$5:$C$110=$B16)*ISNUMBER(INDEX(Inputs!$K$5:$AJ$110,0,MATCH(S$2,Inputs!$K$4:$AJ$4,0))))+SUMPRODUCT((Inputs!$E$5:$E$110=$B16)*ISNUMBER(INDEX(Inputs!$K$5:$AJ$110,0,MATCH(S$2,Inputs!$K$4:$AJ$4,0))))=0,NA(),SUMPRODUCT((Inputs!$A$5:$A$110=$B16)*Inputs!$B$5:$B$110*(((Inputs!$G$5:$G$110="moeda")+(Inputs!$G$5:$G$110="acoes"))*Inputs!$B$1+((Inputs!$G$5:$G$110&lt;&gt;"moeda")*(Inputs!$G$5:$G$110&lt;&gt;"acoes")))*INDEX(Inputs!$K$5:$AJ$110,0,MATCH(S$2,Inputs!$K$4:$AJ$4,0)))+SUMPRODUCT((Inputs!$C$5:$C$110=$B16)*Inputs!$D$5:$D$110*(((Inputs!$G$5:$G$110="moeda")+(Inputs!$G$5:$G$110="acoes"))*Inputs!$B$1+((Inputs!$G$5:$G$110&lt;&gt;"moeda")*(Inputs!$G$5:$G$110&lt;&gt;"acoes")))*INDEX(Inputs!$K$5:$AJ$110,0,MATCH(S$2,Inputs!$K$4:$AJ$4,0)))+SUMPRODUCT((Inputs!$E$5:$E$110=$B16)*Inputs!$F$5:$F$110*(((Inputs!$G$5:$G$110="moeda")+(Inputs!$G$5:$G$110="acoes"))*Inputs!$B$1+((Inputs!$G$5:$G$110&lt;&gt;"moeda")*(Inputs!$G$5:$G$110&lt;&gt;"acoes")))*INDEX(Inputs!$K$5:$AJ$110,0,MATCH(S$2,Inputs!$K$4:$AJ$4,0)))))</f>
        <v>2257</v>
      </c>
      <c r="T16" s="6">
        <f>IF(ISNA(MATCH(T$2,Inputs!$K$4:$AJ$4,0)),NA(),IF(SUMPRODUCT((Inputs!$A$5:$A$110=$B16)*ISNUMBER(INDEX(Inputs!$K$5:$AJ$110,0,MATCH(T$2,Inputs!$K$4:$AJ$4,0))))+SUMPRODUCT((Inputs!$C$5:$C$110=$B16)*ISNUMBER(INDEX(Inputs!$K$5:$AJ$110,0,MATCH(T$2,Inputs!$K$4:$AJ$4,0))))+SUMPRODUCT((Inputs!$E$5:$E$110=$B16)*ISNUMBER(INDEX(Inputs!$K$5:$AJ$110,0,MATCH(T$2,Inputs!$K$4:$AJ$4,0))))=0,NA(),SUMPRODUCT((Inputs!$A$5:$A$110=$B16)*Inputs!$B$5:$B$110*(((Inputs!$G$5:$G$110="moeda")+(Inputs!$G$5:$G$110="acoes"))*Inputs!$B$1+((Inputs!$G$5:$G$110&lt;&gt;"moeda")*(Inputs!$G$5:$G$110&lt;&gt;"acoes")))*INDEX(Inputs!$K$5:$AJ$110,0,MATCH(T$2,Inputs!$K$4:$AJ$4,0)))+SUMPRODUCT((Inputs!$C$5:$C$110=$B16)*Inputs!$D$5:$D$110*(((Inputs!$G$5:$G$110="moeda")+(Inputs!$G$5:$G$110="acoes"))*Inputs!$B$1+((Inputs!$G$5:$G$110&lt;&gt;"moeda")*(Inputs!$G$5:$G$110&lt;&gt;"acoes")))*INDEX(Inputs!$K$5:$AJ$110,0,MATCH(T$2,Inputs!$K$4:$AJ$4,0)))+SUMPRODUCT((Inputs!$E$5:$E$110=$B16)*Inputs!$F$5:$F$110*(((Inputs!$G$5:$G$110="moeda")+(Inputs!$G$5:$G$110="acoes"))*Inputs!$B$1+((Inputs!$G$5:$G$110&lt;&gt;"moeda")*(Inputs!$G$5:$G$110&lt;&gt;"acoes")))*INDEX(Inputs!$K$5:$AJ$110,0,MATCH(T$2,Inputs!$K$4:$AJ$4,0)))))</f>
        <v>2930</v>
      </c>
      <c r="U16" s="6">
        <f>IF(ISNA(MATCH(U$2,Inputs!$K$4:$AJ$4,0)),NA(),IF(SUMPRODUCT((Inputs!$A$5:$A$110=$B16)*ISNUMBER(INDEX(Inputs!$K$5:$AJ$110,0,MATCH(U$2,Inputs!$K$4:$AJ$4,0))))+SUMPRODUCT((Inputs!$C$5:$C$110=$B16)*ISNUMBER(INDEX(Inputs!$K$5:$AJ$110,0,MATCH(U$2,Inputs!$K$4:$AJ$4,0))))+SUMPRODUCT((Inputs!$E$5:$E$110=$B16)*ISNUMBER(INDEX(Inputs!$K$5:$AJ$110,0,MATCH(U$2,Inputs!$K$4:$AJ$4,0))))=0,NA(),SUMPRODUCT((Inputs!$A$5:$A$110=$B16)*Inputs!$B$5:$B$110*(((Inputs!$G$5:$G$110="moeda")+(Inputs!$G$5:$G$110="acoes"))*Inputs!$B$1+((Inputs!$G$5:$G$110&lt;&gt;"moeda")*(Inputs!$G$5:$G$110&lt;&gt;"acoes")))*INDEX(Inputs!$K$5:$AJ$110,0,MATCH(U$2,Inputs!$K$4:$AJ$4,0)))+SUMPRODUCT((Inputs!$C$5:$C$110=$B16)*Inputs!$D$5:$D$110*(((Inputs!$G$5:$G$110="moeda")+(Inputs!$G$5:$G$110="acoes"))*Inputs!$B$1+((Inputs!$G$5:$G$110&lt;&gt;"moeda")*(Inputs!$G$5:$G$110&lt;&gt;"acoes")))*INDEX(Inputs!$K$5:$AJ$110,0,MATCH(U$2,Inputs!$K$4:$AJ$4,0)))+SUMPRODUCT((Inputs!$E$5:$E$110=$B16)*Inputs!$F$5:$F$110*(((Inputs!$G$5:$G$110="moeda")+(Inputs!$G$5:$G$110="acoes"))*Inputs!$B$1+((Inputs!$G$5:$G$110&lt;&gt;"moeda")*(Inputs!$G$5:$G$110&lt;&gt;"acoes")))*INDEX(Inputs!$K$5:$AJ$110,0,MATCH(U$2,Inputs!$K$4:$AJ$4,0)))))</f>
        <v>2141</v>
      </c>
      <c r="V16" s="6">
        <f>IF(ISNA(MATCH(V$2,Inputs!$K$4:$AJ$4,0)),NA(),IF(SUMPRODUCT((Inputs!$A$5:$A$110=$B16)*ISNUMBER(INDEX(Inputs!$K$5:$AJ$110,0,MATCH(V$2,Inputs!$K$4:$AJ$4,0))))+SUMPRODUCT((Inputs!$C$5:$C$110=$B16)*ISNUMBER(INDEX(Inputs!$K$5:$AJ$110,0,MATCH(V$2,Inputs!$K$4:$AJ$4,0))))+SUMPRODUCT((Inputs!$E$5:$E$110=$B16)*ISNUMBER(INDEX(Inputs!$K$5:$AJ$110,0,MATCH(V$2,Inputs!$K$4:$AJ$4,0))))=0,NA(),SUMPRODUCT((Inputs!$A$5:$A$110=$B16)*Inputs!$B$5:$B$110*(((Inputs!$G$5:$G$110="moeda")+(Inputs!$G$5:$G$110="acoes"))*Inputs!$B$1+((Inputs!$G$5:$G$110&lt;&gt;"moeda")*(Inputs!$G$5:$G$110&lt;&gt;"acoes")))*INDEX(Inputs!$K$5:$AJ$110,0,MATCH(V$2,Inputs!$K$4:$AJ$4,0)))+SUMPRODUCT((Inputs!$C$5:$C$110=$B16)*Inputs!$D$5:$D$110*(((Inputs!$G$5:$G$110="moeda")+(Inputs!$G$5:$G$110="acoes"))*Inputs!$B$1+((Inputs!$G$5:$G$110&lt;&gt;"moeda")*(Inputs!$G$5:$G$110&lt;&gt;"acoes")))*INDEX(Inputs!$K$5:$AJ$110,0,MATCH(V$2,Inputs!$K$4:$AJ$4,0)))+SUMPRODUCT((Inputs!$E$5:$E$110=$B16)*Inputs!$F$5:$F$110*(((Inputs!$G$5:$G$110="moeda")+(Inputs!$G$5:$G$110="acoes"))*Inputs!$B$1+((Inputs!$G$5:$G$110&lt;&gt;"moeda")*(Inputs!$G$5:$G$110&lt;&gt;"acoes")))*INDEX(Inputs!$K$5:$AJ$110,0,MATCH(V$2,Inputs!$K$4:$AJ$4,0)))))</f>
        <v>2351</v>
      </c>
      <c r="W16" s="3">
        <f>V16</f>
        <v>2351</v>
      </c>
      <c r="X16" s="6">
        <f>IF(ISNA(MATCH(X$2,Inputs!$K$4:$AJ$4,0)),NA(),IF(SUMPRODUCT((Inputs!$A$5:$A$110=$B16)*ISNUMBER(INDEX(Inputs!$K$5:$AJ$110,0,MATCH(X$2,Inputs!$K$4:$AJ$4,0))))+SUMPRODUCT((Inputs!$C$5:$C$110=$B16)*ISNUMBER(INDEX(Inputs!$K$5:$AJ$110,0,MATCH(X$2,Inputs!$K$4:$AJ$4,0))))+SUMPRODUCT((Inputs!$E$5:$E$110=$B16)*ISNUMBER(INDEX(Inputs!$K$5:$AJ$110,0,MATCH(X$2,Inputs!$K$4:$AJ$4,0))))=0,NA(),SUMPRODUCT((Inputs!$A$5:$A$110=$B16)*Inputs!$B$5:$B$110*(((Inputs!$G$5:$G$110="moeda")+(Inputs!$G$5:$G$110="acoes"))*Inputs!$B$1+((Inputs!$G$5:$G$110&lt;&gt;"moeda")*(Inputs!$G$5:$G$110&lt;&gt;"acoes")))*INDEX(Inputs!$K$5:$AJ$110,0,MATCH(X$2,Inputs!$K$4:$AJ$4,0)))+SUMPRODUCT((Inputs!$C$5:$C$110=$B16)*Inputs!$D$5:$D$110*(((Inputs!$G$5:$G$110="moeda")+(Inputs!$G$5:$G$110="acoes"))*Inputs!$B$1+((Inputs!$G$5:$G$110&lt;&gt;"moeda")*(Inputs!$G$5:$G$110&lt;&gt;"acoes")))*INDEX(Inputs!$K$5:$AJ$110,0,MATCH(X$2,Inputs!$K$4:$AJ$4,0)))+SUMPRODUCT((Inputs!$E$5:$E$110=$B16)*Inputs!$F$5:$F$110*(((Inputs!$G$5:$G$110="moeda")+(Inputs!$G$5:$G$110="acoes"))*Inputs!$B$1+((Inputs!$G$5:$G$110&lt;&gt;"moeda")*(Inputs!$G$5:$G$110&lt;&gt;"acoes")))*INDEX(Inputs!$K$5:$AJ$110,0,MATCH(X$2,Inputs!$K$4:$AJ$4,0)))))</f>
        <v>2024</v>
      </c>
      <c r="Y16" s="6">
        <f>IF(ISNA(MATCH(Y$2,Inputs!$K$4:$AJ$4,0)),NA(),IF(SUMPRODUCT((Inputs!$A$5:$A$110=$B16)*ISNUMBER(INDEX(Inputs!$K$5:$AJ$110,0,MATCH(Y$2,Inputs!$K$4:$AJ$4,0))))+SUMPRODUCT((Inputs!$C$5:$C$110=$B16)*ISNUMBER(INDEX(Inputs!$K$5:$AJ$110,0,MATCH(Y$2,Inputs!$K$4:$AJ$4,0))))+SUMPRODUCT((Inputs!$E$5:$E$110=$B16)*ISNUMBER(INDEX(Inputs!$K$5:$AJ$110,0,MATCH(Y$2,Inputs!$K$4:$AJ$4,0))))=0,NA(),SUMPRODUCT((Inputs!$A$5:$A$110=$B16)*Inputs!$B$5:$B$110*(((Inputs!$G$5:$G$110="moeda")+(Inputs!$G$5:$G$110="acoes"))*Inputs!$B$1+((Inputs!$G$5:$G$110&lt;&gt;"moeda")*(Inputs!$G$5:$G$110&lt;&gt;"acoes")))*INDEX(Inputs!$K$5:$AJ$110,0,MATCH(Y$2,Inputs!$K$4:$AJ$4,0)))+SUMPRODUCT((Inputs!$C$5:$C$110=$B16)*Inputs!$D$5:$D$110*(((Inputs!$G$5:$G$110="moeda")+(Inputs!$G$5:$G$110="acoes"))*Inputs!$B$1+((Inputs!$G$5:$G$110&lt;&gt;"moeda")*(Inputs!$G$5:$G$110&lt;&gt;"acoes")))*INDEX(Inputs!$K$5:$AJ$110,0,MATCH(Y$2,Inputs!$K$4:$AJ$4,0)))+SUMPRODUCT((Inputs!$E$5:$E$110=$B16)*Inputs!$F$5:$F$110*(((Inputs!$G$5:$G$110="moeda")+(Inputs!$G$5:$G$110="acoes"))*Inputs!$B$1+((Inputs!$G$5:$G$110&lt;&gt;"moeda")*(Inputs!$G$5:$G$110&lt;&gt;"acoes")))*INDEX(Inputs!$K$5:$AJ$110,0,MATCH(Y$2,Inputs!$K$4:$AJ$4,0)))))</f>
        <v>3306</v>
      </c>
      <c r="Z16" s="6">
        <f>IF(ISNA(MATCH(Z$2,Inputs!$K$4:$AJ$4,0)),NA(),IF(SUMPRODUCT((Inputs!$A$5:$A$110=$B16)*ISNUMBER(INDEX(Inputs!$K$5:$AJ$110,0,MATCH(Z$2,Inputs!$K$4:$AJ$4,0))))+SUMPRODUCT((Inputs!$C$5:$C$110=$B16)*ISNUMBER(INDEX(Inputs!$K$5:$AJ$110,0,MATCH(Z$2,Inputs!$K$4:$AJ$4,0))))+SUMPRODUCT((Inputs!$E$5:$E$110=$B16)*ISNUMBER(INDEX(Inputs!$K$5:$AJ$110,0,MATCH(Z$2,Inputs!$K$4:$AJ$4,0))))=0,NA(),SUMPRODUCT((Inputs!$A$5:$A$110=$B16)*Inputs!$B$5:$B$110*(((Inputs!$G$5:$G$110="moeda")+(Inputs!$G$5:$G$110="acoes"))*Inputs!$B$1+((Inputs!$G$5:$G$110&lt;&gt;"moeda")*(Inputs!$G$5:$G$110&lt;&gt;"acoes")))*INDEX(Inputs!$K$5:$AJ$110,0,MATCH(Z$2,Inputs!$K$4:$AJ$4,0)))+SUMPRODUCT((Inputs!$C$5:$C$110=$B16)*Inputs!$D$5:$D$110*(((Inputs!$G$5:$G$110="moeda")+(Inputs!$G$5:$G$110="acoes"))*Inputs!$B$1+((Inputs!$G$5:$G$110&lt;&gt;"moeda")*(Inputs!$G$5:$G$110&lt;&gt;"acoes")))*INDEX(Inputs!$K$5:$AJ$110,0,MATCH(Z$2,Inputs!$K$4:$AJ$4,0)))+SUMPRODUCT((Inputs!$E$5:$E$110=$B16)*Inputs!$F$5:$F$110*(((Inputs!$G$5:$G$110="moeda")+(Inputs!$G$5:$G$110="acoes"))*Inputs!$B$1+((Inputs!$G$5:$G$110&lt;&gt;"moeda")*(Inputs!$G$5:$G$110&lt;&gt;"acoes")))*INDEX(Inputs!$K$5:$AJ$110,0,MATCH(Z$2,Inputs!$K$4:$AJ$4,0)))))</f>
        <v>3844</v>
      </c>
      <c r="AA16" s="6">
        <f>IF(ISNA(MATCH(AA$2,Inputs!$K$4:$AJ$4,0)),NA(),IF(SUMPRODUCT((Inputs!$A$5:$A$110=$B16)*ISNUMBER(INDEX(Inputs!$K$5:$AJ$110,0,MATCH(AA$2,Inputs!$K$4:$AJ$4,0))))+SUMPRODUCT((Inputs!$C$5:$C$110=$B16)*ISNUMBER(INDEX(Inputs!$K$5:$AJ$110,0,MATCH(AA$2,Inputs!$K$4:$AJ$4,0))))+SUMPRODUCT((Inputs!$E$5:$E$110=$B16)*ISNUMBER(INDEX(Inputs!$K$5:$AJ$110,0,MATCH(AA$2,Inputs!$K$4:$AJ$4,0))))=0,NA(),SUMPRODUCT((Inputs!$A$5:$A$110=$B16)*Inputs!$B$5:$B$110*(((Inputs!$G$5:$G$110="moeda")+(Inputs!$G$5:$G$110="acoes"))*Inputs!$B$1+((Inputs!$G$5:$G$110&lt;&gt;"moeda")*(Inputs!$G$5:$G$110&lt;&gt;"acoes")))*INDEX(Inputs!$K$5:$AJ$110,0,MATCH(AA$2,Inputs!$K$4:$AJ$4,0)))+SUMPRODUCT((Inputs!$C$5:$C$110=$B16)*Inputs!$D$5:$D$110*(((Inputs!$G$5:$G$110="moeda")+(Inputs!$G$5:$G$110="acoes"))*Inputs!$B$1+((Inputs!$G$5:$G$110&lt;&gt;"moeda")*(Inputs!$G$5:$G$110&lt;&gt;"acoes")))*INDEX(Inputs!$K$5:$AJ$110,0,MATCH(AA$2,Inputs!$K$4:$AJ$4,0)))+SUMPRODUCT((Inputs!$E$5:$E$110=$B16)*Inputs!$F$5:$F$110*(((Inputs!$G$5:$G$110="moeda")+(Inputs!$G$5:$G$110="acoes"))*Inputs!$B$1+((Inputs!$G$5:$G$110&lt;&gt;"moeda")*(Inputs!$G$5:$G$110&lt;&gt;"acoes")))*INDEX(Inputs!$K$5:$AJ$110,0,MATCH(AA$2,Inputs!$K$4:$AJ$4,0)))))</f>
        <v>3901</v>
      </c>
      <c r="AB16" s="3">
        <f>AA16</f>
        <v>3901</v>
      </c>
      <c r="AC16" s="6">
        <f>IF(ISNA(MATCH(AC$2,Inputs!$K$4:$AJ$4,0)),NA(),IF(SUMPRODUCT((Inputs!$A$5:$A$110=$B16)*ISNUMBER(INDEX(Inputs!$K$5:$AJ$110,0,MATCH(AC$2,Inputs!$K$4:$AJ$4,0))))+SUMPRODUCT((Inputs!$C$5:$C$110=$B16)*ISNUMBER(INDEX(Inputs!$K$5:$AJ$110,0,MATCH(AC$2,Inputs!$K$4:$AJ$4,0))))+SUMPRODUCT((Inputs!$E$5:$E$110=$B16)*ISNUMBER(INDEX(Inputs!$K$5:$AJ$110,0,MATCH(AC$2,Inputs!$K$4:$AJ$4,0))))=0,NA(),SUMPRODUCT((Inputs!$A$5:$A$110=$B16)*Inputs!$B$5:$B$110*(((Inputs!$G$5:$G$110="moeda")+(Inputs!$G$5:$G$110="acoes"))*Inputs!$B$1+((Inputs!$G$5:$G$110&lt;&gt;"moeda")*(Inputs!$G$5:$G$110&lt;&gt;"acoes")))*INDEX(Inputs!$K$5:$AJ$110,0,MATCH(AC$2,Inputs!$K$4:$AJ$4,0)))+SUMPRODUCT((Inputs!$C$5:$C$110=$B16)*Inputs!$D$5:$D$110*(((Inputs!$G$5:$G$110="moeda")+(Inputs!$G$5:$G$110="acoes"))*Inputs!$B$1+((Inputs!$G$5:$G$110&lt;&gt;"moeda")*(Inputs!$G$5:$G$110&lt;&gt;"acoes")))*INDEX(Inputs!$K$5:$AJ$110,0,MATCH(AC$2,Inputs!$K$4:$AJ$4,0)))+SUMPRODUCT((Inputs!$E$5:$E$110=$B16)*Inputs!$F$5:$F$110*(((Inputs!$G$5:$G$110="moeda")+(Inputs!$G$5:$G$110="acoes"))*Inputs!$B$1+((Inputs!$G$5:$G$110&lt;&gt;"moeda")*(Inputs!$G$5:$G$110&lt;&gt;"acoes")))*INDEX(Inputs!$K$5:$AJ$110,0,MATCH(AC$2,Inputs!$K$4:$AJ$4,0)))))</f>
        <v>2322</v>
      </c>
      <c r="AD16" s="6">
        <f>IF(ISNA(MATCH(AD$2,Inputs!$K$4:$AJ$4,0)),NA(),IF(SUMPRODUCT((Inputs!$A$5:$A$110=$B16)*ISNUMBER(INDEX(Inputs!$K$5:$AJ$110,0,MATCH(AD$2,Inputs!$K$4:$AJ$4,0))))+SUMPRODUCT((Inputs!$C$5:$C$110=$B16)*ISNUMBER(INDEX(Inputs!$K$5:$AJ$110,0,MATCH(AD$2,Inputs!$K$4:$AJ$4,0))))+SUMPRODUCT((Inputs!$E$5:$E$110=$B16)*ISNUMBER(INDEX(Inputs!$K$5:$AJ$110,0,MATCH(AD$2,Inputs!$K$4:$AJ$4,0))))=0,NA(),SUMPRODUCT((Inputs!$A$5:$A$110=$B16)*Inputs!$B$5:$B$110*(((Inputs!$G$5:$G$110="moeda")+(Inputs!$G$5:$G$110="acoes"))*Inputs!$B$1+((Inputs!$G$5:$G$110&lt;&gt;"moeda")*(Inputs!$G$5:$G$110&lt;&gt;"acoes")))*INDEX(Inputs!$K$5:$AJ$110,0,MATCH(AD$2,Inputs!$K$4:$AJ$4,0)))+SUMPRODUCT((Inputs!$C$5:$C$110=$B16)*Inputs!$D$5:$D$110*(((Inputs!$G$5:$G$110="moeda")+(Inputs!$G$5:$G$110="acoes"))*Inputs!$B$1+((Inputs!$G$5:$G$110&lt;&gt;"moeda")*(Inputs!$G$5:$G$110&lt;&gt;"acoes")))*INDEX(Inputs!$K$5:$AJ$110,0,MATCH(AD$2,Inputs!$K$4:$AJ$4,0)))+SUMPRODUCT((Inputs!$E$5:$E$110=$B16)*Inputs!$F$5:$F$110*(((Inputs!$G$5:$G$110="moeda")+(Inputs!$G$5:$G$110="acoes"))*Inputs!$B$1+((Inputs!$G$5:$G$110&lt;&gt;"moeda")*(Inputs!$G$5:$G$110&lt;&gt;"acoes")))*INDEX(Inputs!$K$5:$AJ$110,0,MATCH(AD$2,Inputs!$K$4:$AJ$4,0)))))</f>
        <v>3356</v>
      </c>
      <c r="AE16" s="6" t="e">
        <f>IF(ISNA(MATCH(AE$2,Inputs!$K$4:$AJ$4,0)),NA(),IF(SUMPRODUCT((Inputs!$A$5:$A$110=$B16)*ISNUMBER(INDEX(Inputs!$K$5:$AJ$110,0,MATCH(AE$2,Inputs!$K$4:$AJ$4,0))))+SUMPRODUCT((Inputs!$C$5:$C$110=$B16)*ISNUMBER(INDEX(Inputs!$K$5:$AJ$110,0,MATCH(AE$2,Inputs!$K$4:$AJ$4,0))))+SUMPRODUCT((Inputs!$E$5:$E$110=$B16)*ISNUMBER(INDEX(Inputs!$K$5:$AJ$110,0,MATCH(AE$2,Inputs!$K$4:$AJ$4,0))))=0,NA(),SUMPRODUCT((Inputs!$A$5:$A$110=$B16)*Inputs!$B$5:$B$110*(((Inputs!$G$5:$G$110="moeda")+(Inputs!$G$5:$G$110="acoes"))*Inputs!$B$1+((Inputs!$G$5:$G$110&lt;&gt;"moeda")*(Inputs!$G$5:$G$110&lt;&gt;"acoes")))*INDEX(Inputs!$K$5:$AJ$110,0,MATCH(AE$2,Inputs!$K$4:$AJ$4,0)))+SUMPRODUCT((Inputs!$C$5:$C$110=$B16)*Inputs!$D$5:$D$110*(((Inputs!$G$5:$G$110="moeda")+(Inputs!$G$5:$G$110="acoes"))*Inputs!$B$1+((Inputs!$G$5:$G$110&lt;&gt;"moeda")*(Inputs!$G$5:$G$110&lt;&gt;"acoes")))*INDEX(Inputs!$K$5:$AJ$110,0,MATCH(AE$2,Inputs!$K$4:$AJ$4,0)))+SUMPRODUCT((Inputs!$E$5:$E$110=$B16)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6" s="6" t="e">
        <f>IF(ISNA(MATCH(AF$2,Inputs!$K$4:$AJ$4,0)),NA(),IF(SUMPRODUCT((Inputs!$A$5:$A$110=$B16)*ISNUMBER(INDEX(Inputs!$K$5:$AJ$110,0,MATCH(AF$2,Inputs!$K$4:$AJ$4,0))))+SUMPRODUCT((Inputs!$C$5:$C$110=$B16)*ISNUMBER(INDEX(Inputs!$K$5:$AJ$110,0,MATCH(AF$2,Inputs!$K$4:$AJ$4,0))))+SUMPRODUCT((Inputs!$E$5:$E$110=$B16)*ISNUMBER(INDEX(Inputs!$K$5:$AJ$110,0,MATCH(AF$2,Inputs!$K$4:$AJ$4,0))))=0,NA(),SUMPRODUCT((Inputs!$A$5:$A$110=$B16)*Inputs!$B$5:$B$110*(((Inputs!$G$5:$G$110="moeda")+(Inputs!$G$5:$G$110="acoes"))*Inputs!$B$1+((Inputs!$G$5:$G$110&lt;&gt;"moeda")*(Inputs!$G$5:$G$110&lt;&gt;"acoes")))*INDEX(Inputs!$K$5:$AJ$110,0,MATCH(AF$2,Inputs!$K$4:$AJ$4,0)))+SUMPRODUCT((Inputs!$C$5:$C$110=$B16)*Inputs!$D$5:$D$110*(((Inputs!$G$5:$G$110="moeda")+(Inputs!$G$5:$G$110="acoes"))*Inputs!$B$1+((Inputs!$G$5:$G$110&lt;&gt;"moeda")*(Inputs!$G$5:$G$110&lt;&gt;"acoes")))*INDEX(Inputs!$K$5:$AJ$110,0,MATCH(AF$2,Inputs!$K$4:$AJ$4,0)))+SUMPRODUCT((Inputs!$E$5:$E$110=$B16)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6" s="3" t="e">
        <f>AF16</f>
        <v>#N/A</v>
      </c>
      <c r="AH16" s="6">
        <f>IF(ISNA(MATCH(AH$2,Inputs!$K$4:$AJ$4,0)),NA(),IF(SUMPRODUCT((Inputs!$A$5:$A$110=$B16)*ISNUMBER(INDEX(Inputs!$K$5:$AJ$110,0,MATCH(AH$2,Inputs!$K$4:$AJ$4,0))))+SUMPRODUCT((Inputs!$C$5:$C$110=$B16)*ISNUMBER(INDEX(Inputs!$K$5:$AJ$110,0,MATCH(AH$2,Inputs!$K$4:$AJ$4,0))))+SUMPRODUCT((Inputs!$E$5:$E$110=$B16)*ISNUMBER(INDEX(Inputs!$K$5:$AJ$110,0,MATCH(AH$2,Inputs!$K$4:$AJ$4,0))))=0,NA(),SUMPRODUCT((Inputs!$A$5:$A$110=$B16)*Inputs!$B$5:$B$110*(((Inputs!$G$5:$G$110="moeda")+(Inputs!$G$5:$G$110="acoes"))*Inputs!$B$1+((Inputs!$G$5:$G$110&lt;&gt;"moeda")*(Inputs!$G$5:$G$110&lt;&gt;"acoes")))*INDEX(Inputs!$K$5:$AJ$110,0,MATCH(AH$2,Inputs!$K$4:$AJ$4,0)))+SUMPRODUCT((Inputs!$C$5:$C$110=$B16)*Inputs!$D$5:$D$110*(((Inputs!$G$5:$G$110="moeda")+(Inputs!$G$5:$G$110="acoes"))*Inputs!$B$1+((Inputs!$G$5:$G$110&lt;&gt;"moeda")*(Inputs!$G$5:$G$110&lt;&gt;"acoes")))*INDEX(Inputs!$K$5:$AJ$110,0,MATCH(AH$2,Inputs!$K$4:$AJ$4,0)))+SUMPRODUCT((Inputs!$E$5:$E$110=$B16)*Inputs!$F$5:$F$110*(((Inputs!$G$5:$G$110="moeda")+(Inputs!$G$5:$G$110="acoes"))*Inputs!$B$1+((Inputs!$G$5:$G$110&lt;&gt;"moeda")*(Inputs!$G$5:$G$110&lt;&gt;"acoes")))*INDEX(Inputs!$K$5:$AJ$110,0,MATCH(AH$2,Inputs!$K$4:$AJ$4,0)))))</f>
        <v>2892</v>
      </c>
      <c r="AI16" s="6">
        <f>IF(ISNA(MATCH(AI$2,Inputs!$K$4:$AJ$4,0)),NA(),IF(SUMPRODUCT((Inputs!$A$5:$A$110=$B16)*ISNUMBER(INDEX(Inputs!$K$5:$AJ$110,0,MATCH(AI$2,Inputs!$K$4:$AJ$4,0))))+SUMPRODUCT((Inputs!$C$5:$C$110=$B16)*ISNUMBER(INDEX(Inputs!$K$5:$AJ$110,0,MATCH(AI$2,Inputs!$K$4:$AJ$4,0))))+SUMPRODUCT((Inputs!$E$5:$E$110=$B16)*ISNUMBER(INDEX(Inputs!$K$5:$AJ$110,0,MATCH(AI$2,Inputs!$K$4:$AJ$4,0))))=0,NA(),SUMPRODUCT((Inputs!$A$5:$A$110=$B16)*Inputs!$B$5:$B$110*(((Inputs!$G$5:$G$110="moeda")+(Inputs!$G$5:$G$110="acoes"))*Inputs!$B$1+((Inputs!$G$5:$G$110&lt;&gt;"moeda")*(Inputs!$G$5:$G$110&lt;&gt;"acoes")))*INDEX(Inputs!$K$5:$AJ$110,0,MATCH(AI$2,Inputs!$K$4:$AJ$4,0)))+SUMPRODUCT((Inputs!$C$5:$C$110=$B16)*Inputs!$D$5:$D$110*(((Inputs!$G$5:$G$110="moeda")+(Inputs!$G$5:$G$110="acoes"))*Inputs!$B$1+((Inputs!$G$5:$G$110&lt;&gt;"moeda")*(Inputs!$G$5:$G$110&lt;&gt;"acoes")))*INDEX(Inputs!$K$5:$AJ$110,0,MATCH(AI$2,Inputs!$K$4:$AJ$4,0)))+SUMPRODUCT((Inputs!$E$5:$E$110=$B16)*Inputs!$F$5:$F$110*(((Inputs!$G$5:$G$110="moeda")+(Inputs!$G$5:$G$110="acoes"))*Inputs!$B$1+((Inputs!$G$5:$G$110&lt;&gt;"moeda")*(Inputs!$G$5:$G$110&lt;&gt;"acoes")))*INDEX(Inputs!$K$5:$AJ$110,0,MATCH(AI$2,Inputs!$K$4:$AJ$4,0)))))</f>
        <v>2835</v>
      </c>
      <c r="AJ16" s="6">
        <f>IF(ISNA(MATCH(AJ$2,Inputs!$K$4:$AJ$4,0)),NA(),IF(SUMPRODUCT((Inputs!$A$5:$A$110=$B16)*ISNUMBER(INDEX(Inputs!$K$5:$AJ$110,0,MATCH(AJ$2,Inputs!$K$4:$AJ$4,0))))+SUMPRODUCT((Inputs!$C$5:$C$110=$B16)*ISNUMBER(INDEX(Inputs!$K$5:$AJ$110,0,MATCH(AJ$2,Inputs!$K$4:$AJ$4,0))))+SUMPRODUCT((Inputs!$E$5:$E$110=$B16)*ISNUMBER(INDEX(Inputs!$K$5:$AJ$110,0,MATCH(AJ$2,Inputs!$K$4:$AJ$4,0))))=0,NA(),SUMPRODUCT((Inputs!$A$5:$A$110=$B16)*Inputs!$B$5:$B$110*(((Inputs!$G$5:$G$110="moeda")+(Inputs!$G$5:$G$110="acoes"))*Inputs!$B$1+((Inputs!$G$5:$G$110&lt;&gt;"moeda")*(Inputs!$G$5:$G$110&lt;&gt;"acoes")))*INDEX(Inputs!$K$5:$AJ$110,0,MATCH(AJ$2,Inputs!$K$4:$AJ$4,0)))+SUMPRODUCT((Inputs!$C$5:$C$110=$B16)*Inputs!$D$5:$D$110*(((Inputs!$G$5:$G$110="moeda")+(Inputs!$G$5:$G$110="acoes"))*Inputs!$B$1+((Inputs!$G$5:$G$110&lt;&gt;"moeda")*(Inputs!$G$5:$G$110&lt;&gt;"acoes")))*INDEX(Inputs!$K$5:$AJ$110,0,MATCH(AJ$2,Inputs!$K$4:$AJ$4,0)))+SUMPRODUCT((Inputs!$E$5:$E$110=$B16)*Inputs!$F$5:$F$110*(((Inputs!$G$5:$G$110="moeda")+(Inputs!$G$5:$G$110="acoes"))*Inputs!$B$1+((Inputs!$G$5:$G$110&lt;&gt;"moeda")*(Inputs!$G$5:$G$110&lt;&gt;"acoes")))*INDEX(Inputs!$K$5:$AJ$110,0,MATCH(AJ$2,Inputs!$K$4:$AJ$4,0)))))</f>
        <v>2480</v>
      </c>
      <c r="AK16" s="6">
        <f>IF(ISNA(MATCH(AK$2,Inputs!$K$4:$AJ$4,0)),NA(),IF(SUMPRODUCT((Inputs!$A$5:$A$110=$B16)*ISNUMBER(INDEX(Inputs!$K$5:$AJ$110,0,MATCH(AK$2,Inputs!$K$4:$AJ$4,0))))+SUMPRODUCT((Inputs!$C$5:$C$110=$B16)*ISNUMBER(INDEX(Inputs!$K$5:$AJ$110,0,MATCH(AK$2,Inputs!$K$4:$AJ$4,0))))+SUMPRODUCT((Inputs!$E$5:$E$110=$B16)*ISNUMBER(INDEX(Inputs!$K$5:$AJ$110,0,MATCH(AK$2,Inputs!$K$4:$AJ$4,0))))=0,NA(),SUMPRODUCT((Inputs!$A$5:$A$110=$B16)*Inputs!$B$5:$B$110*(((Inputs!$G$5:$G$110="moeda")+(Inputs!$G$5:$G$110="acoes"))*Inputs!$B$1+((Inputs!$G$5:$G$110&lt;&gt;"moeda")*(Inputs!$G$5:$G$110&lt;&gt;"acoes")))*INDEX(Inputs!$K$5:$AJ$110,0,MATCH(AK$2,Inputs!$K$4:$AJ$4,0)))+SUMPRODUCT((Inputs!$C$5:$C$110=$B16)*Inputs!$D$5:$D$110*(((Inputs!$G$5:$G$110="moeda")+(Inputs!$G$5:$G$110="acoes"))*Inputs!$B$1+((Inputs!$G$5:$G$110&lt;&gt;"moeda")*(Inputs!$G$5:$G$110&lt;&gt;"acoes")))*INDEX(Inputs!$K$5:$AJ$110,0,MATCH(AK$2,Inputs!$K$4:$AJ$4,0)))+SUMPRODUCT((Inputs!$E$5:$E$110=$B16)*Inputs!$F$5:$F$110*(((Inputs!$G$5:$G$110="moeda")+(Inputs!$G$5:$G$110="acoes"))*Inputs!$B$1+((Inputs!$G$5:$G$110&lt;&gt;"moeda")*(Inputs!$G$5:$G$110&lt;&gt;"acoes")))*INDEX(Inputs!$K$5:$AJ$110,0,MATCH(AK$2,Inputs!$K$4:$AJ$4,0)))))</f>
        <v>1978</v>
      </c>
      <c r="AL16" s="3">
        <f>AK16</f>
        <v>1978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$110=$B17)*ISNUMBER(INDEX(Inputs!$K$5:$AJ$110,0,MATCH(D$2,Inputs!$K$4:$AJ$4,0))))+SUMPRODUCT((Inputs!$C$5:$C$110=$B17)*ISNUMBER(INDEX(Inputs!$K$5:$AJ$110,0,MATCH(D$2,Inputs!$K$4:$AJ$4,0))))+SUMPRODUCT((Inputs!$E$5:$E$110=$B17)*ISNUMBER(INDEX(Inputs!$K$5:$AJ$110,0,MATCH(D$2,Inputs!$K$4:$AJ$4,0))))=0,NA(),SUMPRODUCT((Inputs!$A$5:$A$110=$B17)*Inputs!$B$5:$B$110*(((Inputs!$G$5:$G$110="moeda")+(Inputs!$G$5:$G$110="acoes"))*Inputs!$B$1+((Inputs!$G$5:$G$110&lt;&gt;"moeda")*(Inputs!$G$5:$G$110&lt;&gt;"acoes")))*INDEX(Inputs!$K$5:$AJ$110,0,MATCH(D$2,Inputs!$K$4:$AJ$4,0)))+SUMPRODUCT((Inputs!$C$5:$C$110=$B17)*Inputs!$D$5:$D$110*(((Inputs!$G$5:$G$110="moeda")+(Inputs!$G$5:$G$110="acoes"))*Inputs!$B$1+((Inputs!$G$5:$G$110&lt;&gt;"moeda")*(Inputs!$G$5:$G$110&lt;&gt;"acoes")))*INDEX(Inputs!$K$5:$AJ$110,0,MATCH(D$2,Inputs!$K$4:$AJ$4,0)))+SUMPRODUCT((Inputs!$E$5:$E$110=$B17)*Inputs!$F$5:$F$110*(((Inputs!$G$5:$G$110="moeda")+(Inputs!$G$5:$G$110="acoes"))*Inputs!$B$1+((Inputs!$G$5:$G$110&lt;&gt;"moeda")*(Inputs!$G$5:$G$110&lt;&gt;"acoes")))*INDEX(Inputs!$K$5:$AJ$110,0,MATCH(D$2,Inputs!$K$4:$AJ$4,0)))))</f>
        <v>0</v>
      </c>
      <c r="E17" s="6">
        <f>IF(ISNA(MATCH(E$2,Inputs!$K$4:$AJ$4,0)),NA(),IF(SUMPRODUCT((Inputs!$A$5:$A$110=$B17)*ISNUMBER(INDEX(Inputs!$K$5:$AJ$110,0,MATCH(E$2,Inputs!$K$4:$AJ$4,0))))+SUMPRODUCT((Inputs!$C$5:$C$110=$B17)*ISNUMBER(INDEX(Inputs!$K$5:$AJ$110,0,MATCH(E$2,Inputs!$K$4:$AJ$4,0))))+SUMPRODUCT((Inputs!$E$5:$E$110=$B17)*ISNUMBER(INDEX(Inputs!$K$5:$AJ$110,0,MATCH(E$2,Inputs!$K$4:$AJ$4,0))))=0,NA(),SUMPRODUCT((Inputs!$A$5:$A$110=$B17)*Inputs!$B$5:$B$110*(((Inputs!$G$5:$G$110="moeda")+(Inputs!$G$5:$G$110="acoes"))*Inputs!$B$1+((Inputs!$G$5:$G$110&lt;&gt;"moeda")*(Inputs!$G$5:$G$110&lt;&gt;"acoes")))*INDEX(Inputs!$K$5:$AJ$110,0,MATCH(E$2,Inputs!$K$4:$AJ$4,0)))+SUMPRODUCT((Inputs!$C$5:$C$110=$B17)*Inputs!$D$5:$D$110*(((Inputs!$G$5:$G$110="moeda")+(Inputs!$G$5:$G$110="acoes"))*Inputs!$B$1+((Inputs!$G$5:$G$110&lt;&gt;"moeda")*(Inputs!$G$5:$G$110&lt;&gt;"acoes")))*INDEX(Inputs!$K$5:$AJ$110,0,MATCH(E$2,Inputs!$K$4:$AJ$4,0)))+SUMPRODUCT((Inputs!$E$5:$E$110=$B17)*Inputs!$F$5:$F$110*(((Inputs!$G$5:$G$110="moeda")+(Inputs!$G$5:$G$110="acoes"))*Inputs!$B$1+((Inputs!$G$5:$G$110&lt;&gt;"moeda")*(Inputs!$G$5:$G$110&lt;&gt;"acoes")))*INDEX(Inputs!$K$5:$AJ$110,0,MATCH(E$2,Inputs!$K$4:$AJ$4,0)))))</f>
        <v>0</v>
      </c>
      <c r="F17" s="6">
        <f>IF(ISNA(MATCH(F$2,Inputs!$K$4:$AJ$4,0)),NA(),IF(SUMPRODUCT((Inputs!$A$5:$A$110=$B17)*ISNUMBER(INDEX(Inputs!$K$5:$AJ$110,0,MATCH(F$2,Inputs!$K$4:$AJ$4,0))))+SUMPRODUCT((Inputs!$C$5:$C$110=$B17)*ISNUMBER(INDEX(Inputs!$K$5:$AJ$110,0,MATCH(F$2,Inputs!$K$4:$AJ$4,0))))+SUMPRODUCT((Inputs!$E$5:$E$110=$B17)*ISNUMBER(INDEX(Inputs!$K$5:$AJ$110,0,MATCH(F$2,Inputs!$K$4:$AJ$4,0))))=0,NA(),SUMPRODUCT((Inputs!$A$5:$A$110=$B17)*Inputs!$B$5:$B$110*(((Inputs!$G$5:$G$110="moeda")+(Inputs!$G$5:$G$110="acoes"))*Inputs!$B$1+((Inputs!$G$5:$G$110&lt;&gt;"moeda")*(Inputs!$G$5:$G$110&lt;&gt;"acoes")))*INDEX(Inputs!$K$5:$AJ$110,0,MATCH(F$2,Inputs!$K$4:$AJ$4,0)))+SUMPRODUCT((Inputs!$C$5:$C$110=$B17)*Inputs!$D$5:$D$110*(((Inputs!$G$5:$G$110="moeda")+(Inputs!$G$5:$G$110="acoes"))*Inputs!$B$1+((Inputs!$G$5:$G$110&lt;&gt;"moeda")*(Inputs!$G$5:$G$110&lt;&gt;"acoes")))*INDEX(Inputs!$K$5:$AJ$110,0,MATCH(F$2,Inputs!$K$4:$AJ$4,0)))+SUMPRODUCT((Inputs!$E$5:$E$110=$B17)*Inputs!$F$5:$F$110*(((Inputs!$G$5:$G$110="moeda")+(Inputs!$G$5:$G$110="acoes"))*Inputs!$B$1+((Inputs!$G$5:$G$110&lt;&gt;"moeda")*(Inputs!$G$5:$G$110&lt;&gt;"acoes")))*INDEX(Inputs!$K$5:$AJ$110,0,MATCH(F$2,Inputs!$K$4:$AJ$4,0)))))</f>
        <v>0</v>
      </c>
      <c r="G17" s="6">
        <f>IF(ISNA(MATCH(G$2,Inputs!$K$4:$AJ$4,0)),NA(),IF(SUMPRODUCT((Inputs!$A$5:$A$110=$B17)*ISNUMBER(INDEX(Inputs!$K$5:$AJ$110,0,MATCH(G$2,Inputs!$K$4:$AJ$4,0))))+SUMPRODUCT((Inputs!$C$5:$C$110=$B17)*ISNUMBER(INDEX(Inputs!$K$5:$AJ$110,0,MATCH(G$2,Inputs!$K$4:$AJ$4,0))))+SUMPRODUCT((Inputs!$E$5:$E$110=$B17)*ISNUMBER(INDEX(Inputs!$K$5:$AJ$110,0,MATCH(G$2,Inputs!$K$4:$AJ$4,0))))=0,NA(),SUMPRODUCT((Inputs!$A$5:$A$110=$B17)*Inputs!$B$5:$B$110*(((Inputs!$G$5:$G$110="moeda")+(Inputs!$G$5:$G$110="acoes"))*Inputs!$B$1+((Inputs!$G$5:$G$110&lt;&gt;"moeda")*(Inputs!$G$5:$G$110&lt;&gt;"acoes")))*INDEX(Inputs!$K$5:$AJ$110,0,MATCH(G$2,Inputs!$K$4:$AJ$4,0)))+SUMPRODUCT((Inputs!$C$5:$C$110=$B17)*Inputs!$D$5:$D$110*(((Inputs!$G$5:$G$110="moeda")+(Inputs!$G$5:$G$110="acoes"))*Inputs!$B$1+((Inputs!$G$5:$G$110&lt;&gt;"moeda")*(Inputs!$G$5:$G$110&lt;&gt;"acoes")))*INDEX(Inputs!$K$5:$AJ$110,0,MATCH(G$2,Inputs!$K$4:$AJ$4,0)))+SUMPRODUCT((Inputs!$E$5:$E$110=$B17)*Inputs!$F$5:$F$110*(((Inputs!$G$5:$G$110="moeda")+(Inputs!$G$5:$G$110="acoes"))*Inputs!$B$1+((Inputs!$G$5:$G$110&lt;&gt;"moeda")*(Inputs!$G$5:$G$110&lt;&gt;"acoes")))*INDEX(Inputs!$K$5:$AJ$110,0,MATCH(G$2,Inputs!$K$4:$AJ$4,0)))))</f>
        <v>0</v>
      </c>
      <c r="H17" s="3">
        <f>G17</f>
        <v>0</v>
      </c>
      <c r="I17" s="6">
        <f>IF(ISNA(MATCH(I$2,Inputs!$K$4:$AJ$4,0)),NA(),IF(SUMPRODUCT((Inputs!$A$5:$A$110=$B17)*ISNUMBER(INDEX(Inputs!$K$5:$AJ$110,0,MATCH(I$2,Inputs!$K$4:$AJ$4,0))))+SUMPRODUCT((Inputs!$C$5:$C$110=$B17)*ISNUMBER(INDEX(Inputs!$K$5:$AJ$110,0,MATCH(I$2,Inputs!$K$4:$AJ$4,0))))+SUMPRODUCT((Inputs!$E$5:$E$110=$B17)*ISNUMBER(INDEX(Inputs!$K$5:$AJ$110,0,MATCH(I$2,Inputs!$K$4:$AJ$4,0))))=0,NA(),SUMPRODUCT((Inputs!$A$5:$A$110=$B17)*Inputs!$B$5:$B$110*(((Inputs!$G$5:$G$110="moeda")+(Inputs!$G$5:$G$110="acoes"))*Inputs!$B$1+((Inputs!$G$5:$G$110&lt;&gt;"moeda")*(Inputs!$G$5:$G$110&lt;&gt;"acoes")))*INDEX(Inputs!$K$5:$AJ$110,0,MATCH(I$2,Inputs!$K$4:$AJ$4,0)))+SUMPRODUCT((Inputs!$C$5:$C$110=$B17)*Inputs!$D$5:$D$110*(((Inputs!$G$5:$G$110="moeda")+(Inputs!$G$5:$G$110="acoes"))*Inputs!$B$1+((Inputs!$G$5:$G$110&lt;&gt;"moeda")*(Inputs!$G$5:$G$110&lt;&gt;"acoes")))*INDEX(Inputs!$K$5:$AJ$110,0,MATCH(I$2,Inputs!$K$4:$AJ$4,0)))+SUMPRODUCT((Inputs!$E$5:$E$110=$B17)*Inputs!$F$5:$F$110*(((Inputs!$G$5:$G$110="moeda")+(Inputs!$G$5:$G$110="acoes"))*Inputs!$B$1+((Inputs!$G$5:$G$110&lt;&gt;"moeda")*(Inputs!$G$5:$G$110&lt;&gt;"acoes")))*INDEX(Inputs!$K$5:$AJ$110,0,MATCH(I$2,Inputs!$K$4:$AJ$4,0)))))</f>
        <v>0</v>
      </c>
      <c r="J17" s="6">
        <f>IF(ISNA(MATCH(J$2,Inputs!$K$4:$AJ$4,0)),NA(),IF(SUMPRODUCT((Inputs!$A$5:$A$110=$B17)*ISNUMBER(INDEX(Inputs!$K$5:$AJ$110,0,MATCH(J$2,Inputs!$K$4:$AJ$4,0))))+SUMPRODUCT((Inputs!$C$5:$C$110=$B17)*ISNUMBER(INDEX(Inputs!$K$5:$AJ$110,0,MATCH(J$2,Inputs!$K$4:$AJ$4,0))))+SUMPRODUCT((Inputs!$E$5:$E$110=$B17)*ISNUMBER(INDEX(Inputs!$K$5:$AJ$110,0,MATCH(J$2,Inputs!$K$4:$AJ$4,0))))=0,NA(),SUMPRODUCT((Inputs!$A$5:$A$110=$B17)*Inputs!$B$5:$B$110*(((Inputs!$G$5:$G$110="moeda")+(Inputs!$G$5:$G$110="acoes"))*Inputs!$B$1+((Inputs!$G$5:$G$110&lt;&gt;"moeda")*(Inputs!$G$5:$G$110&lt;&gt;"acoes")))*INDEX(Inputs!$K$5:$AJ$110,0,MATCH(J$2,Inputs!$K$4:$AJ$4,0)))+SUMPRODUCT((Inputs!$C$5:$C$110=$B17)*Inputs!$D$5:$D$110*(((Inputs!$G$5:$G$110="moeda")+(Inputs!$G$5:$G$110="acoes"))*Inputs!$B$1+((Inputs!$G$5:$G$110&lt;&gt;"moeda")*(Inputs!$G$5:$G$110&lt;&gt;"acoes")))*INDEX(Inputs!$K$5:$AJ$110,0,MATCH(J$2,Inputs!$K$4:$AJ$4,0)))+SUMPRODUCT((Inputs!$E$5:$E$110=$B17)*Inputs!$F$5:$F$110*(((Inputs!$G$5:$G$110="moeda")+(Inputs!$G$5:$G$110="acoes"))*Inputs!$B$1+((Inputs!$G$5:$G$110&lt;&gt;"moeda")*(Inputs!$G$5:$G$110&lt;&gt;"acoes")))*INDEX(Inputs!$K$5:$AJ$110,0,MATCH(J$2,Inputs!$K$4:$AJ$4,0)))))</f>
        <v>0</v>
      </c>
      <c r="K17" s="6">
        <f>IF(ISNA(MATCH(K$2,Inputs!$K$4:$AJ$4,0)),NA(),IF(SUMPRODUCT((Inputs!$A$5:$A$110=$B17)*ISNUMBER(INDEX(Inputs!$K$5:$AJ$110,0,MATCH(K$2,Inputs!$K$4:$AJ$4,0))))+SUMPRODUCT((Inputs!$C$5:$C$110=$B17)*ISNUMBER(INDEX(Inputs!$K$5:$AJ$110,0,MATCH(K$2,Inputs!$K$4:$AJ$4,0))))+SUMPRODUCT((Inputs!$E$5:$E$110=$B17)*ISNUMBER(INDEX(Inputs!$K$5:$AJ$110,0,MATCH(K$2,Inputs!$K$4:$AJ$4,0))))=0,NA(),SUMPRODUCT((Inputs!$A$5:$A$110=$B17)*Inputs!$B$5:$B$110*(((Inputs!$G$5:$G$110="moeda")+(Inputs!$G$5:$G$110="acoes"))*Inputs!$B$1+((Inputs!$G$5:$G$110&lt;&gt;"moeda")*(Inputs!$G$5:$G$110&lt;&gt;"acoes")))*INDEX(Inputs!$K$5:$AJ$110,0,MATCH(K$2,Inputs!$K$4:$AJ$4,0)))+SUMPRODUCT((Inputs!$C$5:$C$110=$B17)*Inputs!$D$5:$D$110*(((Inputs!$G$5:$G$110="moeda")+(Inputs!$G$5:$G$110="acoes"))*Inputs!$B$1+((Inputs!$G$5:$G$110&lt;&gt;"moeda")*(Inputs!$G$5:$G$110&lt;&gt;"acoes")))*INDEX(Inputs!$K$5:$AJ$110,0,MATCH(K$2,Inputs!$K$4:$AJ$4,0)))+SUMPRODUCT((Inputs!$E$5:$E$110=$B17)*Inputs!$F$5:$F$110*(((Inputs!$G$5:$G$110="moeda")+(Inputs!$G$5:$G$110="acoes"))*Inputs!$B$1+((Inputs!$G$5:$G$110&lt;&gt;"moeda")*(Inputs!$G$5:$G$110&lt;&gt;"acoes")))*INDEX(Inputs!$K$5:$AJ$110,0,MATCH(K$2,Inputs!$K$4:$AJ$4,0)))))</f>
        <v>0</v>
      </c>
      <c r="L17" s="6">
        <f>IF(ISNA(MATCH(L$2,Inputs!$K$4:$AJ$4,0)),NA(),IF(SUMPRODUCT((Inputs!$A$5:$A$110=$B17)*ISNUMBER(INDEX(Inputs!$K$5:$AJ$110,0,MATCH(L$2,Inputs!$K$4:$AJ$4,0))))+SUMPRODUCT((Inputs!$C$5:$C$110=$B17)*ISNUMBER(INDEX(Inputs!$K$5:$AJ$110,0,MATCH(L$2,Inputs!$K$4:$AJ$4,0))))+SUMPRODUCT((Inputs!$E$5:$E$110=$B17)*ISNUMBER(INDEX(Inputs!$K$5:$AJ$110,0,MATCH(L$2,Inputs!$K$4:$AJ$4,0))))=0,NA(),SUMPRODUCT((Inputs!$A$5:$A$110=$B17)*Inputs!$B$5:$B$110*(((Inputs!$G$5:$G$110="moeda")+(Inputs!$G$5:$G$110="acoes"))*Inputs!$B$1+((Inputs!$G$5:$G$110&lt;&gt;"moeda")*(Inputs!$G$5:$G$110&lt;&gt;"acoes")))*INDEX(Inputs!$K$5:$AJ$110,0,MATCH(L$2,Inputs!$K$4:$AJ$4,0)))+SUMPRODUCT((Inputs!$C$5:$C$110=$B17)*Inputs!$D$5:$D$110*(((Inputs!$G$5:$G$110="moeda")+(Inputs!$G$5:$G$110="acoes"))*Inputs!$B$1+((Inputs!$G$5:$G$110&lt;&gt;"moeda")*(Inputs!$G$5:$G$110&lt;&gt;"acoes")))*INDEX(Inputs!$K$5:$AJ$110,0,MATCH(L$2,Inputs!$K$4:$AJ$4,0)))+SUMPRODUCT((Inputs!$E$5:$E$110=$B17)*Inputs!$F$5:$F$110*(((Inputs!$G$5:$G$110="moeda")+(Inputs!$G$5:$G$110="acoes"))*Inputs!$B$1+((Inputs!$G$5:$G$110&lt;&gt;"moeda")*(Inputs!$G$5:$G$110&lt;&gt;"acoes")))*INDEX(Inputs!$K$5:$AJ$110,0,MATCH(L$2,Inputs!$K$4:$AJ$4,0)))))</f>
        <v>0</v>
      </c>
      <c r="M17" s="3">
        <f>L17</f>
        <v>0</v>
      </c>
      <c r="N17" s="6">
        <f>IF(ISNA(MATCH(N$2,Inputs!$K$4:$AJ$4,0)),NA(),IF(SUMPRODUCT((Inputs!$A$5:$A$110=$B17)*ISNUMBER(INDEX(Inputs!$K$5:$AJ$110,0,MATCH(N$2,Inputs!$K$4:$AJ$4,0))))+SUMPRODUCT((Inputs!$C$5:$C$110=$B17)*ISNUMBER(INDEX(Inputs!$K$5:$AJ$110,0,MATCH(N$2,Inputs!$K$4:$AJ$4,0))))+SUMPRODUCT((Inputs!$E$5:$E$110=$B17)*ISNUMBER(INDEX(Inputs!$K$5:$AJ$110,0,MATCH(N$2,Inputs!$K$4:$AJ$4,0))))=0,NA(),SUMPRODUCT((Inputs!$A$5:$A$110=$B17)*Inputs!$B$5:$B$110*(((Inputs!$G$5:$G$110="moeda")+(Inputs!$G$5:$G$110="acoes"))*Inputs!$B$1+((Inputs!$G$5:$G$110&lt;&gt;"moeda")*(Inputs!$G$5:$G$110&lt;&gt;"acoes")))*INDEX(Inputs!$K$5:$AJ$110,0,MATCH(N$2,Inputs!$K$4:$AJ$4,0)))+SUMPRODUCT((Inputs!$C$5:$C$110=$B17)*Inputs!$D$5:$D$110*(((Inputs!$G$5:$G$110="moeda")+(Inputs!$G$5:$G$110="acoes"))*Inputs!$B$1+((Inputs!$G$5:$G$110&lt;&gt;"moeda")*(Inputs!$G$5:$G$110&lt;&gt;"acoes")))*INDEX(Inputs!$K$5:$AJ$110,0,MATCH(N$2,Inputs!$K$4:$AJ$4,0)))+SUMPRODUCT((Inputs!$E$5:$E$110=$B17)*Inputs!$F$5:$F$110*(((Inputs!$G$5:$G$110="moeda")+(Inputs!$G$5:$G$110="acoes"))*Inputs!$B$1+((Inputs!$G$5:$G$110&lt;&gt;"moeda")*(Inputs!$G$5:$G$110&lt;&gt;"acoes")))*INDEX(Inputs!$K$5:$AJ$110,0,MATCH(N$2,Inputs!$K$4:$AJ$4,0)))))</f>
        <v>0</v>
      </c>
      <c r="O17" s="6">
        <f>IF(ISNA(MATCH(O$2,Inputs!$K$4:$AJ$4,0)),NA(),IF(SUMPRODUCT((Inputs!$A$5:$A$110=$B17)*ISNUMBER(INDEX(Inputs!$K$5:$AJ$110,0,MATCH(O$2,Inputs!$K$4:$AJ$4,0))))+SUMPRODUCT((Inputs!$C$5:$C$110=$B17)*ISNUMBER(INDEX(Inputs!$K$5:$AJ$110,0,MATCH(O$2,Inputs!$K$4:$AJ$4,0))))+SUMPRODUCT((Inputs!$E$5:$E$110=$B17)*ISNUMBER(INDEX(Inputs!$K$5:$AJ$110,0,MATCH(O$2,Inputs!$K$4:$AJ$4,0))))=0,NA(),SUMPRODUCT((Inputs!$A$5:$A$110=$B17)*Inputs!$B$5:$B$110*(((Inputs!$G$5:$G$110="moeda")+(Inputs!$G$5:$G$110="acoes"))*Inputs!$B$1+((Inputs!$G$5:$G$110&lt;&gt;"moeda")*(Inputs!$G$5:$G$110&lt;&gt;"acoes")))*INDEX(Inputs!$K$5:$AJ$110,0,MATCH(O$2,Inputs!$K$4:$AJ$4,0)))+SUMPRODUCT((Inputs!$C$5:$C$110=$B17)*Inputs!$D$5:$D$110*(((Inputs!$G$5:$G$110="moeda")+(Inputs!$G$5:$G$110="acoes"))*Inputs!$B$1+((Inputs!$G$5:$G$110&lt;&gt;"moeda")*(Inputs!$G$5:$G$110&lt;&gt;"acoes")))*INDEX(Inputs!$K$5:$AJ$110,0,MATCH(O$2,Inputs!$K$4:$AJ$4,0)))+SUMPRODUCT((Inputs!$E$5:$E$110=$B17)*Inputs!$F$5:$F$110*(((Inputs!$G$5:$G$110="moeda")+(Inputs!$G$5:$G$110="acoes"))*Inputs!$B$1+((Inputs!$G$5:$G$110&lt;&gt;"moeda")*(Inputs!$G$5:$G$110&lt;&gt;"acoes")))*INDEX(Inputs!$K$5:$AJ$110,0,MATCH(O$2,Inputs!$K$4:$AJ$4,0)))))</f>
        <v>0</v>
      </c>
      <c r="P17" s="6">
        <f>IF(ISNA(MATCH(P$2,Inputs!$K$4:$AJ$4,0)),NA(),IF(SUMPRODUCT((Inputs!$A$5:$A$110=$B17)*ISNUMBER(INDEX(Inputs!$K$5:$AJ$110,0,MATCH(P$2,Inputs!$K$4:$AJ$4,0))))+SUMPRODUCT((Inputs!$C$5:$C$110=$B17)*ISNUMBER(INDEX(Inputs!$K$5:$AJ$110,0,MATCH(P$2,Inputs!$K$4:$AJ$4,0))))+SUMPRODUCT((Inputs!$E$5:$E$110=$B17)*ISNUMBER(INDEX(Inputs!$K$5:$AJ$110,0,MATCH(P$2,Inputs!$K$4:$AJ$4,0))))=0,NA(),SUMPRODUCT((Inputs!$A$5:$A$110=$B17)*Inputs!$B$5:$B$110*(((Inputs!$G$5:$G$110="moeda")+(Inputs!$G$5:$G$110="acoes"))*Inputs!$B$1+((Inputs!$G$5:$G$110&lt;&gt;"moeda")*(Inputs!$G$5:$G$110&lt;&gt;"acoes")))*INDEX(Inputs!$K$5:$AJ$110,0,MATCH(P$2,Inputs!$K$4:$AJ$4,0)))+SUMPRODUCT((Inputs!$C$5:$C$110=$B17)*Inputs!$D$5:$D$110*(((Inputs!$G$5:$G$110="moeda")+(Inputs!$G$5:$G$110="acoes"))*Inputs!$B$1+((Inputs!$G$5:$G$110&lt;&gt;"moeda")*(Inputs!$G$5:$G$110&lt;&gt;"acoes")))*INDEX(Inputs!$K$5:$AJ$110,0,MATCH(P$2,Inputs!$K$4:$AJ$4,0)))+SUMPRODUCT((Inputs!$E$5:$E$110=$B17)*Inputs!$F$5:$F$110*(((Inputs!$G$5:$G$110="moeda")+(Inputs!$G$5:$G$110="acoes"))*Inputs!$B$1+((Inputs!$G$5:$G$110&lt;&gt;"moeda")*(Inputs!$G$5:$G$110&lt;&gt;"acoes")))*INDEX(Inputs!$K$5:$AJ$110,0,MATCH(P$2,Inputs!$K$4:$AJ$4,0)))))</f>
        <v>0</v>
      </c>
      <c r="Q17" s="6">
        <f>IF(ISNA(MATCH(Q$2,Inputs!$K$4:$AJ$4,0)),NA(),IF(SUMPRODUCT((Inputs!$A$5:$A$110=$B17)*ISNUMBER(INDEX(Inputs!$K$5:$AJ$110,0,MATCH(Q$2,Inputs!$K$4:$AJ$4,0))))+SUMPRODUCT((Inputs!$C$5:$C$110=$B17)*ISNUMBER(INDEX(Inputs!$K$5:$AJ$110,0,MATCH(Q$2,Inputs!$K$4:$AJ$4,0))))+SUMPRODUCT((Inputs!$E$5:$E$110=$B17)*ISNUMBER(INDEX(Inputs!$K$5:$AJ$110,0,MATCH(Q$2,Inputs!$K$4:$AJ$4,0))))=0,NA(),SUMPRODUCT((Inputs!$A$5:$A$110=$B17)*Inputs!$B$5:$B$110*(((Inputs!$G$5:$G$110="moeda")+(Inputs!$G$5:$G$110="acoes"))*Inputs!$B$1+((Inputs!$G$5:$G$110&lt;&gt;"moeda")*(Inputs!$G$5:$G$110&lt;&gt;"acoes")))*INDEX(Inputs!$K$5:$AJ$110,0,MATCH(Q$2,Inputs!$K$4:$AJ$4,0)))+SUMPRODUCT((Inputs!$C$5:$C$110=$B17)*Inputs!$D$5:$D$110*(((Inputs!$G$5:$G$110="moeda")+(Inputs!$G$5:$G$110="acoes"))*Inputs!$B$1+((Inputs!$G$5:$G$110&lt;&gt;"moeda")*(Inputs!$G$5:$G$110&lt;&gt;"acoes")))*INDEX(Inputs!$K$5:$AJ$110,0,MATCH(Q$2,Inputs!$K$4:$AJ$4,0)))+SUMPRODUCT((Inputs!$E$5:$E$110=$B17)*Inputs!$F$5:$F$110*(((Inputs!$G$5:$G$110="moeda")+(Inputs!$G$5:$G$110="acoes"))*Inputs!$B$1+((Inputs!$G$5:$G$110&lt;&gt;"moeda")*(Inputs!$G$5:$G$110&lt;&gt;"acoes")))*INDEX(Inputs!$K$5:$AJ$110,0,MATCH(Q$2,Inputs!$K$4:$AJ$4,0)))))</f>
        <v>0</v>
      </c>
      <c r="R17" s="3">
        <f>Q17</f>
        <v>0</v>
      </c>
      <c r="S17" s="6">
        <f>IF(ISNA(MATCH(S$2,Inputs!$K$4:$AJ$4,0)),NA(),IF(SUMPRODUCT((Inputs!$A$5:$A$110=$B17)*ISNUMBER(INDEX(Inputs!$K$5:$AJ$110,0,MATCH(S$2,Inputs!$K$4:$AJ$4,0))))+SUMPRODUCT((Inputs!$C$5:$C$110=$B17)*ISNUMBER(INDEX(Inputs!$K$5:$AJ$110,0,MATCH(S$2,Inputs!$K$4:$AJ$4,0))))+SUMPRODUCT((Inputs!$E$5:$E$110=$B17)*ISNUMBER(INDEX(Inputs!$K$5:$AJ$110,0,MATCH(S$2,Inputs!$K$4:$AJ$4,0))))=0,NA(),SUMPRODUCT((Inputs!$A$5:$A$110=$B17)*Inputs!$B$5:$B$110*(((Inputs!$G$5:$G$110="moeda")+(Inputs!$G$5:$G$110="acoes"))*Inputs!$B$1+((Inputs!$G$5:$G$110&lt;&gt;"moeda")*(Inputs!$G$5:$G$110&lt;&gt;"acoes")))*INDEX(Inputs!$K$5:$AJ$110,0,MATCH(S$2,Inputs!$K$4:$AJ$4,0)))+SUMPRODUCT((Inputs!$C$5:$C$110=$B17)*Inputs!$D$5:$D$110*(((Inputs!$G$5:$G$110="moeda")+(Inputs!$G$5:$G$110="acoes"))*Inputs!$B$1+((Inputs!$G$5:$G$110&lt;&gt;"moeda")*(Inputs!$G$5:$G$110&lt;&gt;"acoes")))*INDEX(Inputs!$K$5:$AJ$110,0,MATCH(S$2,Inputs!$K$4:$AJ$4,0)))+SUMPRODUCT((Inputs!$E$5:$E$110=$B17)*Inputs!$F$5:$F$110*(((Inputs!$G$5:$G$110="moeda")+(Inputs!$G$5:$G$110="acoes"))*Inputs!$B$1+((Inputs!$G$5:$G$110&lt;&gt;"moeda")*(Inputs!$G$5:$G$110&lt;&gt;"acoes")))*INDEX(Inputs!$K$5:$AJ$110,0,MATCH(S$2,Inputs!$K$4:$AJ$4,0)))))</f>
        <v>0</v>
      </c>
      <c r="T17" s="6">
        <f>IF(ISNA(MATCH(T$2,Inputs!$K$4:$AJ$4,0)),NA(),IF(SUMPRODUCT((Inputs!$A$5:$A$110=$B17)*ISNUMBER(INDEX(Inputs!$K$5:$AJ$110,0,MATCH(T$2,Inputs!$K$4:$AJ$4,0))))+SUMPRODUCT((Inputs!$C$5:$C$110=$B17)*ISNUMBER(INDEX(Inputs!$K$5:$AJ$110,0,MATCH(T$2,Inputs!$K$4:$AJ$4,0))))+SUMPRODUCT((Inputs!$E$5:$E$110=$B17)*ISNUMBER(INDEX(Inputs!$K$5:$AJ$110,0,MATCH(T$2,Inputs!$K$4:$AJ$4,0))))=0,NA(),SUMPRODUCT((Inputs!$A$5:$A$110=$B17)*Inputs!$B$5:$B$110*(((Inputs!$G$5:$G$110="moeda")+(Inputs!$G$5:$G$110="acoes"))*Inputs!$B$1+((Inputs!$G$5:$G$110&lt;&gt;"moeda")*(Inputs!$G$5:$G$110&lt;&gt;"acoes")))*INDEX(Inputs!$K$5:$AJ$110,0,MATCH(T$2,Inputs!$K$4:$AJ$4,0)))+SUMPRODUCT((Inputs!$C$5:$C$110=$B17)*Inputs!$D$5:$D$110*(((Inputs!$G$5:$G$110="moeda")+(Inputs!$G$5:$G$110="acoes"))*Inputs!$B$1+((Inputs!$G$5:$G$110&lt;&gt;"moeda")*(Inputs!$G$5:$G$110&lt;&gt;"acoes")))*INDEX(Inputs!$K$5:$AJ$110,0,MATCH(T$2,Inputs!$K$4:$AJ$4,0)))+SUMPRODUCT((Inputs!$E$5:$E$110=$B17)*Inputs!$F$5:$F$110*(((Inputs!$G$5:$G$110="moeda")+(Inputs!$G$5:$G$110="acoes"))*Inputs!$B$1+((Inputs!$G$5:$G$110&lt;&gt;"moeda")*(Inputs!$G$5:$G$110&lt;&gt;"acoes")))*INDEX(Inputs!$K$5:$AJ$110,0,MATCH(T$2,Inputs!$K$4:$AJ$4,0)))))</f>
        <v>0</v>
      </c>
      <c r="U17" s="6">
        <f>IF(ISNA(MATCH(U$2,Inputs!$K$4:$AJ$4,0)),NA(),IF(SUMPRODUCT((Inputs!$A$5:$A$110=$B17)*ISNUMBER(INDEX(Inputs!$K$5:$AJ$110,0,MATCH(U$2,Inputs!$K$4:$AJ$4,0))))+SUMPRODUCT((Inputs!$C$5:$C$110=$B17)*ISNUMBER(INDEX(Inputs!$K$5:$AJ$110,0,MATCH(U$2,Inputs!$K$4:$AJ$4,0))))+SUMPRODUCT((Inputs!$E$5:$E$110=$B17)*ISNUMBER(INDEX(Inputs!$K$5:$AJ$110,0,MATCH(U$2,Inputs!$K$4:$AJ$4,0))))=0,NA(),SUMPRODUCT((Inputs!$A$5:$A$110=$B17)*Inputs!$B$5:$B$110*(((Inputs!$G$5:$G$110="moeda")+(Inputs!$G$5:$G$110="acoes"))*Inputs!$B$1+((Inputs!$G$5:$G$110&lt;&gt;"moeda")*(Inputs!$G$5:$G$110&lt;&gt;"acoes")))*INDEX(Inputs!$K$5:$AJ$110,0,MATCH(U$2,Inputs!$K$4:$AJ$4,0)))+SUMPRODUCT((Inputs!$C$5:$C$110=$B17)*Inputs!$D$5:$D$110*(((Inputs!$G$5:$G$110="moeda")+(Inputs!$G$5:$G$110="acoes"))*Inputs!$B$1+((Inputs!$G$5:$G$110&lt;&gt;"moeda")*(Inputs!$G$5:$G$110&lt;&gt;"acoes")))*INDEX(Inputs!$K$5:$AJ$110,0,MATCH(U$2,Inputs!$K$4:$AJ$4,0)))+SUMPRODUCT((Inputs!$E$5:$E$110=$B17)*Inputs!$F$5:$F$110*(((Inputs!$G$5:$G$110="moeda")+(Inputs!$G$5:$G$110="acoes"))*Inputs!$B$1+((Inputs!$G$5:$G$110&lt;&gt;"moeda")*(Inputs!$G$5:$G$110&lt;&gt;"acoes")))*INDEX(Inputs!$K$5:$AJ$110,0,MATCH(U$2,Inputs!$K$4:$AJ$4,0)))))</f>
        <v>0</v>
      </c>
      <c r="V17" s="6">
        <f>IF(ISNA(MATCH(V$2,Inputs!$K$4:$AJ$4,0)),NA(),IF(SUMPRODUCT((Inputs!$A$5:$A$110=$B17)*ISNUMBER(INDEX(Inputs!$K$5:$AJ$110,0,MATCH(V$2,Inputs!$K$4:$AJ$4,0))))+SUMPRODUCT((Inputs!$C$5:$C$110=$B17)*ISNUMBER(INDEX(Inputs!$K$5:$AJ$110,0,MATCH(V$2,Inputs!$K$4:$AJ$4,0))))+SUMPRODUCT((Inputs!$E$5:$E$110=$B17)*ISNUMBER(INDEX(Inputs!$K$5:$AJ$110,0,MATCH(V$2,Inputs!$K$4:$AJ$4,0))))=0,NA(),SUMPRODUCT((Inputs!$A$5:$A$110=$B17)*Inputs!$B$5:$B$110*(((Inputs!$G$5:$G$110="moeda")+(Inputs!$G$5:$G$110="acoes"))*Inputs!$B$1+((Inputs!$G$5:$G$110&lt;&gt;"moeda")*(Inputs!$G$5:$G$110&lt;&gt;"acoes")))*INDEX(Inputs!$K$5:$AJ$110,0,MATCH(V$2,Inputs!$K$4:$AJ$4,0)))+SUMPRODUCT((Inputs!$C$5:$C$110=$B17)*Inputs!$D$5:$D$110*(((Inputs!$G$5:$G$110="moeda")+(Inputs!$G$5:$G$110="acoes"))*Inputs!$B$1+((Inputs!$G$5:$G$110&lt;&gt;"moeda")*(Inputs!$G$5:$G$110&lt;&gt;"acoes")))*INDEX(Inputs!$K$5:$AJ$110,0,MATCH(V$2,Inputs!$K$4:$AJ$4,0)))+SUMPRODUCT((Inputs!$E$5:$E$110=$B17)*Inputs!$F$5:$F$110*(((Inputs!$G$5:$G$110="moeda")+(Inputs!$G$5:$G$110="acoes"))*Inputs!$B$1+((Inputs!$G$5:$G$110&lt;&gt;"moeda")*(Inputs!$G$5:$G$110&lt;&gt;"acoes")))*INDEX(Inputs!$K$5:$AJ$110,0,MATCH(V$2,Inputs!$K$4:$AJ$4,0)))))</f>
        <v>0</v>
      </c>
      <c r="W17" s="3">
        <f>V17</f>
        <v>0</v>
      </c>
      <c r="X17" s="6">
        <f>IF(ISNA(MATCH(X$2,Inputs!$K$4:$AJ$4,0)),NA(),IF(SUMPRODUCT((Inputs!$A$5:$A$110=$B17)*ISNUMBER(INDEX(Inputs!$K$5:$AJ$110,0,MATCH(X$2,Inputs!$K$4:$AJ$4,0))))+SUMPRODUCT((Inputs!$C$5:$C$110=$B17)*ISNUMBER(INDEX(Inputs!$K$5:$AJ$110,0,MATCH(X$2,Inputs!$K$4:$AJ$4,0))))+SUMPRODUCT((Inputs!$E$5:$E$110=$B17)*ISNUMBER(INDEX(Inputs!$K$5:$AJ$110,0,MATCH(X$2,Inputs!$K$4:$AJ$4,0))))=0,NA(),SUMPRODUCT((Inputs!$A$5:$A$110=$B17)*Inputs!$B$5:$B$110*(((Inputs!$G$5:$G$110="moeda")+(Inputs!$G$5:$G$110="acoes"))*Inputs!$B$1+((Inputs!$G$5:$G$110&lt;&gt;"moeda")*(Inputs!$G$5:$G$110&lt;&gt;"acoes")))*INDEX(Inputs!$K$5:$AJ$110,0,MATCH(X$2,Inputs!$K$4:$AJ$4,0)))+SUMPRODUCT((Inputs!$C$5:$C$110=$B17)*Inputs!$D$5:$D$110*(((Inputs!$G$5:$G$110="moeda")+(Inputs!$G$5:$G$110="acoes"))*Inputs!$B$1+((Inputs!$G$5:$G$110&lt;&gt;"moeda")*(Inputs!$G$5:$G$110&lt;&gt;"acoes")))*INDEX(Inputs!$K$5:$AJ$110,0,MATCH(X$2,Inputs!$K$4:$AJ$4,0)))+SUMPRODUCT((Inputs!$E$5:$E$110=$B17)*Inputs!$F$5:$F$110*(((Inputs!$G$5:$G$110="moeda")+(Inputs!$G$5:$G$110="acoes"))*Inputs!$B$1+((Inputs!$G$5:$G$110&lt;&gt;"moeda")*(Inputs!$G$5:$G$110&lt;&gt;"acoes")))*INDEX(Inputs!$K$5:$AJ$110,0,MATCH(X$2,Inputs!$K$4:$AJ$4,0)))))</f>
        <v>0</v>
      </c>
      <c r="Y17" s="6">
        <f>IF(ISNA(MATCH(Y$2,Inputs!$K$4:$AJ$4,0)),NA(),IF(SUMPRODUCT((Inputs!$A$5:$A$110=$B17)*ISNUMBER(INDEX(Inputs!$K$5:$AJ$110,0,MATCH(Y$2,Inputs!$K$4:$AJ$4,0))))+SUMPRODUCT((Inputs!$C$5:$C$110=$B17)*ISNUMBER(INDEX(Inputs!$K$5:$AJ$110,0,MATCH(Y$2,Inputs!$K$4:$AJ$4,0))))+SUMPRODUCT((Inputs!$E$5:$E$110=$B17)*ISNUMBER(INDEX(Inputs!$K$5:$AJ$110,0,MATCH(Y$2,Inputs!$K$4:$AJ$4,0))))=0,NA(),SUMPRODUCT((Inputs!$A$5:$A$110=$B17)*Inputs!$B$5:$B$110*(((Inputs!$G$5:$G$110="moeda")+(Inputs!$G$5:$G$110="acoes"))*Inputs!$B$1+((Inputs!$G$5:$G$110&lt;&gt;"moeda")*(Inputs!$G$5:$G$110&lt;&gt;"acoes")))*INDEX(Inputs!$K$5:$AJ$110,0,MATCH(Y$2,Inputs!$K$4:$AJ$4,0)))+SUMPRODUCT((Inputs!$C$5:$C$110=$B17)*Inputs!$D$5:$D$110*(((Inputs!$G$5:$G$110="moeda")+(Inputs!$G$5:$G$110="acoes"))*Inputs!$B$1+((Inputs!$G$5:$G$110&lt;&gt;"moeda")*(Inputs!$G$5:$G$110&lt;&gt;"acoes")))*INDEX(Inputs!$K$5:$AJ$110,0,MATCH(Y$2,Inputs!$K$4:$AJ$4,0)))+SUMPRODUCT((Inputs!$E$5:$E$110=$B17)*Inputs!$F$5:$F$110*(((Inputs!$G$5:$G$110="moeda")+(Inputs!$G$5:$G$110="acoes"))*Inputs!$B$1+((Inputs!$G$5:$G$110&lt;&gt;"moeda")*(Inputs!$G$5:$G$110&lt;&gt;"acoes")))*INDEX(Inputs!$K$5:$AJ$110,0,MATCH(Y$2,Inputs!$K$4:$AJ$4,0)))))</f>
        <v>0</v>
      </c>
      <c r="Z17" s="6">
        <f>IF(ISNA(MATCH(Z$2,Inputs!$K$4:$AJ$4,0)),NA(),IF(SUMPRODUCT((Inputs!$A$5:$A$110=$B17)*ISNUMBER(INDEX(Inputs!$K$5:$AJ$110,0,MATCH(Z$2,Inputs!$K$4:$AJ$4,0))))+SUMPRODUCT((Inputs!$C$5:$C$110=$B17)*ISNUMBER(INDEX(Inputs!$K$5:$AJ$110,0,MATCH(Z$2,Inputs!$K$4:$AJ$4,0))))+SUMPRODUCT((Inputs!$E$5:$E$110=$B17)*ISNUMBER(INDEX(Inputs!$K$5:$AJ$110,0,MATCH(Z$2,Inputs!$K$4:$AJ$4,0))))=0,NA(),SUMPRODUCT((Inputs!$A$5:$A$110=$B17)*Inputs!$B$5:$B$110*(((Inputs!$G$5:$G$110="moeda")+(Inputs!$G$5:$G$110="acoes"))*Inputs!$B$1+((Inputs!$G$5:$G$110&lt;&gt;"moeda")*(Inputs!$G$5:$G$110&lt;&gt;"acoes")))*INDEX(Inputs!$K$5:$AJ$110,0,MATCH(Z$2,Inputs!$K$4:$AJ$4,0)))+SUMPRODUCT((Inputs!$C$5:$C$110=$B17)*Inputs!$D$5:$D$110*(((Inputs!$G$5:$G$110="moeda")+(Inputs!$G$5:$G$110="acoes"))*Inputs!$B$1+((Inputs!$G$5:$G$110&lt;&gt;"moeda")*(Inputs!$G$5:$G$110&lt;&gt;"acoes")))*INDEX(Inputs!$K$5:$AJ$110,0,MATCH(Z$2,Inputs!$K$4:$AJ$4,0)))+SUMPRODUCT((Inputs!$E$5:$E$110=$B17)*Inputs!$F$5:$F$110*(((Inputs!$G$5:$G$110="moeda")+(Inputs!$G$5:$G$110="acoes"))*Inputs!$B$1+((Inputs!$G$5:$G$110&lt;&gt;"moeda")*(Inputs!$G$5:$G$110&lt;&gt;"acoes")))*INDEX(Inputs!$K$5:$AJ$110,0,MATCH(Z$2,Inputs!$K$4:$AJ$4,0)))))</f>
        <v>0</v>
      </c>
      <c r="AA17" s="6">
        <f>IF(ISNA(MATCH(AA$2,Inputs!$K$4:$AJ$4,0)),NA(),IF(SUMPRODUCT((Inputs!$A$5:$A$110=$B17)*ISNUMBER(INDEX(Inputs!$K$5:$AJ$110,0,MATCH(AA$2,Inputs!$K$4:$AJ$4,0))))+SUMPRODUCT((Inputs!$C$5:$C$110=$B17)*ISNUMBER(INDEX(Inputs!$K$5:$AJ$110,0,MATCH(AA$2,Inputs!$K$4:$AJ$4,0))))+SUMPRODUCT((Inputs!$E$5:$E$110=$B17)*ISNUMBER(INDEX(Inputs!$K$5:$AJ$110,0,MATCH(AA$2,Inputs!$K$4:$AJ$4,0))))=0,NA(),SUMPRODUCT((Inputs!$A$5:$A$110=$B17)*Inputs!$B$5:$B$110*(((Inputs!$G$5:$G$110="moeda")+(Inputs!$G$5:$G$110="acoes"))*Inputs!$B$1+((Inputs!$G$5:$G$110&lt;&gt;"moeda")*(Inputs!$G$5:$G$110&lt;&gt;"acoes")))*INDEX(Inputs!$K$5:$AJ$110,0,MATCH(AA$2,Inputs!$K$4:$AJ$4,0)))+SUMPRODUCT((Inputs!$C$5:$C$110=$B17)*Inputs!$D$5:$D$110*(((Inputs!$G$5:$G$110="moeda")+(Inputs!$G$5:$G$110="acoes"))*Inputs!$B$1+((Inputs!$G$5:$G$110&lt;&gt;"moeda")*(Inputs!$G$5:$G$110&lt;&gt;"acoes")))*INDEX(Inputs!$K$5:$AJ$110,0,MATCH(AA$2,Inputs!$K$4:$AJ$4,0)))+SUMPRODUCT((Inputs!$E$5:$E$110=$B17)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7" s="3">
        <f>AA17</f>
        <v>0</v>
      </c>
      <c r="AC17" s="6">
        <f>IF(ISNA(MATCH(AC$2,Inputs!$K$4:$AJ$4,0)),NA(),IF(SUMPRODUCT((Inputs!$A$5:$A$110=$B17)*ISNUMBER(INDEX(Inputs!$K$5:$AJ$110,0,MATCH(AC$2,Inputs!$K$4:$AJ$4,0))))+SUMPRODUCT((Inputs!$C$5:$C$110=$B17)*ISNUMBER(INDEX(Inputs!$K$5:$AJ$110,0,MATCH(AC$2,Inputs!$K$4:$AJ$4,0))))+SUMPRODUCT((Inputs!$E$5:$E$110=$B17)*ISNUMBER(INDEX(Inputs!$K$5:$AJ$110,0,MATCH(AC$2,Inputs!$K$4:$AJ$4,0))))=0,NA(),SUMPRODUCT((Inputs!$A$5:$A$110=$B17)*Inputs!$B$5:$B$110*(((Inputs!$G$5:$G$110="moeda")+(Inputs!$G$5:$G$110="acoes"))*Inputs!$B$1+((Inputs!$G$5:$G$110&lt;&gt;"moeda")*(Inputs!$G$5:$G$110&lt;&gt;"acoes")))*INDEX(Inputs!$K$5:$AJ$110,0,MATCH(AC$2,Inputs!$K$4:$AJ$4,0)))+SUMPRODUCT((Inputs!$C$5:$C$110=$B17)*Inputs!$D$5:$D$110*(((Inputs!$G$5:$G$110="moeda")+(Inputs!$G$5:$G$110="acoes"))*Inputs!$B$1+((Inputs!$G$5:$G$110&lt;&gt;"moeda")*(Inputs!$G$5:$G$110&lt;&gt;"acoes")))*INDEX(Inputs!$K$5:$AJ$110,0,MATCH(AC$2,Inputs!$K$4:$AJ$4,0)))+SUMPRODUCT((Inputs!$E$5:$E$110=$B17)*Inputs!$F$5:$F$110*(((Inputs!$G$5:$G$110="moeda")+(Inputs!$G$5:$G$110="acoes"))*Inputs!$B$1+((Inputs!$G$5:$G$110&lt;&gt;"moeda")*(Inputs!$G$5:$G$110&lt;&gt;"acoes")))*INDEX(Inputs!$K$5:$AJ$110,0,MATCH(AC$2,Inputs!$K$4:$AJ$4,0)))))</f>
        <v>4251</v>
      </c>
      <c r="AD17" s="6">
        <f>IF(ISNA(MATCH(AD$2,Inputs!$K$4:$AJ$4,0)),NA(),IF(SUMPRODUCT((Inputs!$A$5:$A$110=$B17)*ISNUMBER(INDEX(Inputs!$K$5:$AJ$110,0,MATCH(AD$2,Inputs!$K$4:$AJ$4,0))))+SUMPRODUCT((Inputs!$C$5:$C$110=$B17)*ISNUMBER(INDEX(Inputs!$K$5:$AJ$110,0,MATCH(AD$2,Inputs!$K$4:$AJ$4,0))))+SUMPRODUCT((Inputs!$E$5:$E$110=$B17)*ISNUMBER(INDEX(Inputs!$K$5:$AJ$110,0,MATCH(AD$2,Inputs!$K$4:$AJ$4,0))))=0,NA(),SUMPRODUCT((Inputs!$A$5:$A$110=$B17)*Inputs!$B$5:$B$110*(((Inputs!$G$5:$G$110="moeda")+(Inputs!$G$5:$G$110="acoes"))*Inputs!$B$1+((Inputs!$G$5:$G$110&lt;&gt;"moeda")*(Inputs!$G$5:$G$110&lt;&gt;"acoes")))*INDEX(Inputs!$K$5:$AJ$110,0,MATCH(AD$2,Inputs!$K$4:$AJ$4,0)))+SUMPRODUCT((Inputs!$C$5:$C$110=$B17)*Inputs!$D$5:$D$110*(((Inputs!$G$5:$G$110="moeda")+(Inputs!$G$5:$G$110="acoes"))*Inputs!$B$1+((Inputs!$G$5:$G$110&lt;&gt;"moeda")*(Inputs!$G$5:$G$110&lt;&gt;"acoes")))*INDEX(Inputs!$K$5:$AJ$110,0,MATCH(AD$2,Inputs!$K$4:$AJ$4,0)))+SUMPRODUCT((Inputs!$E$5:$E$110=$B17)*Inputs!$F$5:$F$110*(((Inputs!$G$5:$G$110="moeda")+(Inputs!$G$5:$G$110="acoes"))*Inputs!$B$1+((Inputs!$G$5:$G$110&lt;&gt;"moeda")*(Inputs!$G$5:$G$110&lt;&gt;"acoes")))*INDEX(Inputs!$K$5:$AJ$110,0,MATCH(AD$2,Inputs!$K$4:$AJ$4,0)))))</f>
        <v>4411</v>
      </c>
      <c r="AE17" s="6" t="e">
        <f>IF(ISNA(MATCH(AE$2,Inputs!$K$4:$AJ$4,0)),NA(),IF(SUMPRODUCT((Inputs!$A$5:$A$110=$B17)*ISNUMBER(INDEX(Inputs!$K$5:$AJ$110,0,MATCH(AE$2,Inputs!$K$4:$AJ$4,0))))+SUMPRODUCT((Inputs!$C$5:$C$110=$B17)*ISNUMBER(INDEX(Inputs!$K$5:$AJ$110,0,MATCH(AE$2,Inputs!$K$4:$AJ$4,0))))+SUMPRODUCT((Inputs!$E$5:$E$110=$B17)*ISNUMBER(INDEX(Inputs!$K$5:$AJ$110,0,MATCH(AE$2,Inputs!$K$4:$AJ$4,0))))=0,NA(),SUMPRODUCT((Inputs!$A$5:$A$110=$B17)*Inputs!$B$5:$B$110*(((Inputs!$G$5:$G$110="moeda")+(Inputs!$G$5:$G$110="acoes"))*Inputs!$B$1+((Inputs!$G$5:$G$110&lt;&gt;"moeda")*(Inputs!$G$5:$G$110&lt;&gt;"acoes")))*INDEX(Inputs!$K$5:$AJ$110,0,MATCH(AE$2,Inputs!$K$4:$AJ$4,0)))+SUMPRODUCT((Inputs!$C$5:$C$110=$B17)*Inputs!$D$5:$D$110*(((Inputs!$G$5:$G$110="moeda")+(Inputs!$G$5:$G$110="acoes"))*Inputs!$B$1+((Inputs!$G$5:$G$110&lt;&gt;"moeda")*(Inputs!$G$5:$G$110&lt;&gt;"acoes")))*INDEX(Inputs!$K$5:$AJ$110,0,MATCH(AE$2,Inputs!$K$4:$AJ$4,0)))+SUMPRODUCT((Inputs!$E$5:$E$110=$B17)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7" s="6" t="e">
        <f>IF(ISNA(MATCH(AF$2,Inputs!$K$4:$AJ$4,0)),NA(),IF(SUMPRODUCT((Inputs!$A$5:$A$110=$B17)*ISNUMBER(INDEX(Inputs!$K$5:$AJ$110,0,MATCH(AF$2,Inputs!$K$4:$AJ$4,0))))+SUMPRODUCT((Inputs!$C$5:$C$110=$B17)*ISNUMBER(INDEX(Inputs!$K$5:$AJ$110,0,MATCH(AF$2,Inputs!$K$4:$AJ$4,0))))+SUMPRODUCT((Inputs!$E$5:$E$110=$B17)*ISNUMBER(INDEX(Inputs!$K$5:$AJ$110,0,MATCH(AF$2,Inputs!$K$4:$AJ$4,0))))=0,NA(),SUMPRODUCT((Inputs!$A$5:$A$110=$B17)*Inputs!$B$5:$B$110*(((Inputs!$G$5:$G$110="moeda")+(Inputs!$G$5:$G$110="acoes"))*Inputs!$B$1+((Inputs!$G$5:$G$110&lt;&gt;"moeda")*(Inputs!$G$5:$G$110&lt;&gt;"acoes")))*INDEX(Inputs!$K$5:$AJ$110,0,MATCH(AF$2,Inputs!$K$4:$AJ$4,0)))+SUMPRODUCT((Inputs!$C$5:$C$110=$B17)*Inputs!$D$5:$D$110*(((Inputs!$G$5:$G$110="moeda")+(Inputs!$G$5:$G$110="acoes"))*Inputs!$B$1+((Inputs!$G$5:$G$110&lt;&gt;"moeda")*(Inputs!$G$5:$G$110&lt;&gt;"acoes")))*INDEX(Inputs!$K$5:$AJ$110,0,MATCH(AF$2,Inputs!$K$4:$AJ$4,0)))+SUMPRODUCT((Inputs!$E$5:$E$110=$B17)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7" s="3" t="e">
        <f>AF17</f>
        <v>#N/A</v>
      </c>
      <c r="AH17" s="6">
        <f>IF(ISNA(MATCH(AH$2,Inputs!$K$4:$AJ$4,0)),NA(),IF(SUMPRODUCT((Inputs!$A$5:$A$110=$B17)*ISNUMBER(INDEX(Inputs!$K$5:$AJ$110,0,MATCH(AH$2,Inputs!$K$4:$AJ$4,0))))+SUMPRODUCT((Inputs!$C$5:$C$110=$B17)*ISNUMBER(INDEX(Inputs!$K$5:$AJ$110,0,MATCH(AH$2,Inputs!$K$4:$AJ$4,0))))+SUMPRODUCT((Inputs!$E$5:$E$110=$B17)*ISNUMBER(INDEX(Inputs!$K$5:$AJ$110,0,MATCH(AH$2,Inputs!$K$4:$AJ$4,0))))=0,NA(),SUMPRODUCT((Inputs!$A$5:$A$110=$B17)*Inputs!$B$5:$B$110*(((Inputs!$G$5:$G$110="moeda")+(Inputs!$G$5:$G$110="acoes"))*Inputs!$B$1+((Inputs!$G$5:$G$110&lt;&gt;"moeda")*(Inputs!$G$5:$G$110&lt;&gt;"acoes")))*INDEX(Inputs!$K$5:$AJ$110,0,MATCH(AH$2,Inputs!$K$4:$AJ$4,0)))+SUMPRODUCT((Inputs!$C$5:$C$110=$B17)*Inputs!$D$5:$D$110*(((Inputs!$G$5:$G$110="moeda")+(Inputs!$G$5:$G$110="acoes"))*Inputs!$B$1+((Inputs!$G$5:$G$110&lt;&gt;"moeda")*(Inputs!$G$5:$G$110&lt;&gt;"acoes")))*INDEX(Inputs!$K$5:$AJ$110,0,MATCH(AH$2,Inputs!$K$4:$AJ$4,0)))+SUMPRODUCT((Inputs!$E$5:$E$110=$B17)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7" s="6">
        <f>IF(ISNA(MATCH(AI$2,Inputs!$K$4:$AJ$4,0)),NA(),IF(SUMPRODUCT((Inputs!$A$5:$A$110=$B17)*ISNUMBER(INDEX(Inputs!$K$5:$AJ$110,0,MATCH(AI$2,Inputs!$K$4:$AJ$4,0))))+SUMPRODUCT((Inputs!$C$5:$C$110=$B17)*ISNUMBER(INDEX(Inputs!$K$5:$AJ$110,0,MATCH(AI$2,Inputs!$K$4:$AJ$4,0))))+SUMPRODUCT((Inputs!$E$5:$E$110=$B17)*ISNUMBER(INDEX(Inputs!$K$5:$AJ$110,0,MATCH(AI$2,Inputs!$K$4:$AJ$4,0))))=0,NA(),SUMPRODUCT((Inputs!$A$5:$A$110=$B17)*Inputs!$B$5:$B$110*(((Inputs!$G$5:$G$110="moeda")+(Inputs!$G$5:$G$110="acoes"))*Inputs!$B$1+((Inputs!$G$5:$G$110&lt;&gt;"moeda")*(Inputs!$G$5:$G$110&lt;&gt;"acoes")))*INDEX(Inputs!$K$5:$AJ$110,0,MATCH(AI$2,Inputs!$K$4:$AJ$4,0)))+SUMPRODUCT((Inputs!$C$5:$C$110=$B17)*Inputs!$D$5:$D$110*(((Inputs!$G$5:$G$110="moeda")+(Inputs!$G$5:$G$110="acoes"))*Inputs!$B$1+((Inputs!$G$5:$G$110&lt;&gt;"moeda")*(Inputs!$G$5:$G$110&lt;&gt;"acoes")))*INDEX(Inputs!$K$5:$AJ$110,0,MATCH(AI$2,Inputs!$K$4:$AJ$4,0)))+SUMPRODUCT((Inputs!$E$5:$E$110=$B17)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7" s="6">
        <f>IF(ISNA(MATCH(AJ$2,Inputs!$K$4:$AJ$4,0)),NA(),IF(SUMPRODUCT((Inputs!$A$5:$A$110=$B17)*ISNUMBER(INDEX(Inputs!$K$5:$AJ$110,0,MATCH(AJ$2,Inputs!$K$4:$AJ$4,0))))+SUMPRODUCT((Inputs!$C$5:$C$110=$B17)*ISNUMBER(INDEX(Inputs!$K$5:$AJ$110,0,MATCH(AJ$2,Inputs!$K$4:$AJ$4,0))))+SUMPRODUCT((Inputs!$E$5:$E$110=$B17)*ISNUMBER(INDEX(Inputs!$K$5:$AJ$110,0,MATCH(AJ$2,Inputs!$K$4:$AJ$4,0))))=0,NA(),SUMPRODUCT((Inputs!$A$5:$A$110=$B17)*Inputs!$B$5:$B$110*(((Inputs!$G$5:$G$110="moeda")+(Inputs!$G$5:$G$110="acoes"))*Inputs!$B$1+((Inputs!$G$5:$G$110&lt;&gt;"moeda")*(Inputs!$G$5:$G$110&lt;&gt;"acoes")))*INDEX(Inputs!$K$5:$AJ$110,0,MATCH(AJ$2,Inputs!$K$4:$AJ$4,0)))+SUMPRODUCT((Inputs!$C$5:$C$110=$B17)*Inputs!$D$5:$D$110*(((Inputs!$G$5:$G$110="moeda")+(Inputs!$G$5:$G$110="acoes"))*Inputs!$B$1+((Inputs!$G$5:$G$110&lt;&gt;"moeda")*(Inputs!$G$5:$G$110&lt;&gt;"acoes")))*INDEX(Inputs!$K$5:$AJ$110,0,MATCH(AJ$2,Inputs!$K$4:$AJ$4,0)))+SUMPRODUCT((Inputs!$E$5:$E$110=$B17)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7" s="6">
        <f>IF(ISNA(MATCH(AK$2,Inputs!$K$4:$AJ$4,0)),NA(),IF(SUMPRODUCT((Inputs!$A$5:$A$110=$B17)*ISNUMBER(INDEX(Inputs!$K$5:$AJ$110,0,MATCH(AK$2,Inputs!$K$4:$AJ$4,0))))+SUMPRODUCT((Inputs!$C$5:$C$110=$B17)*ISNUMBER(INDEX(Inputs!$K$5:$AJ$110,0,MATCH(AK$2,Inputs!$K$4:$AJ$4,0))))+SUMPRODUCT((Inputs!$E$5:$E$110=$B17)*ISNUMBER(INDEX(Inputs!$K$5:$AJ$110,0,MATCH(AK$2,Inputs!$K$4:$AJ$4,0))))=0,NA(),SUMPRODUCT((Inputs!$A$5:$A$110=$B17)*Inputs!$B$5:$B$110*(((Inputs!$G$5:$G$110="moeda")+(Inputs!$G$5:$G$110="acoes"))*Inputs!$B$1+((Inputs!$G$5:$G$110&lt;&gt;"moeda")*(Inputs!$G$5:$G$110&lt;&gt;"acoes")))*INDEX(Inputs!$K$5:$AJ$110,0,MATCH(AK$2,Inputs!$K$4:$AJ$4,0)))+SUMPRODUCT((Inputs!$C$5:$C$110=$B17)*Inputs!$D$5:$D$110*(((Inputs!$G$5:$G$110="moeda")+(Inputs!$G$5:$G$110="acoes"))*Inputs!$B$1+((Inputs!$G$5:$G$110&lt;&gt;"moeda")*(Inputs!$G$5:$G$110&lt;&gt;"acoes")))*INDEX(Inputs!$K$5:$AJ$110,0,MATCH(AK$2,Inputs!$K$4:$AJ$4,0)))+SUMPRODUCT((Inputs!$E$5:$E$110=$B17)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7" s="3">
        <f>AK17</f>
        <v>0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$110=$B18)*ISNUMBER(INDEX(Inputs!$K$5:$AJ$110,0,MATCH(D$2,Inputs!$K$4:$AJ$4,0))))+SUMPRODUCT((Inputs!$C$5:$C$110=$B18)*ISNUMBER(INDEX(Inputs!$K$5:$AJ$110,0,MATCH(D$2,Inputs!$K$4:$AJ$4,0))))+SUMPRODUCT((Inputs!$E$5:$E$110=$B18)*ISNUMBER(INDEX(Inputs!$K$5:$AJ$110,0,MATCH(D$2,Inputs!$K$4:$AJ$4,0))))=0,NA(),SUMPRODUCT((Inputs!$A$5:$A$110=$B18)*Inputs!$B$5:$B$110*(((Inputs!$G$5:$G$110="moeda")+(Inputs!$G$5:$G$110="acoes"))*Inputs!$B$1+((Inputs!$G$5:$G$110&lt;&gt;"moeda")*(Inputs!$G$5:$G$110&lt;&gt;"acoes")))*INDEX(Inputs!$K$5:$AJ$110,0,MATCH(D$2,Inputs!$K$4:$AJ$4,0)))+SUMPRODUCT((Inputs!$C$5:$C$110=$B18)*Inputs!$D$5:$D$110*(((Inputs!$G$5:$G$110="moeda")+(Inputs!$G$5:$G$110="acoes"))*Inputs!$B$1+((Inputs!$G$5:$G$110&lt;&gt;"moeda")*(Inputs!$G$5:$G$110&lt;&gt;"acoes")))*INDEX(Inputs!$K$5:$AJ$110,0,MATCH(D$2,Inputs!$K$4:$AJ$4,0)))+SUMPRODUCT((Inputs!$E$5:$E$110=$B18)*Inputs!$F$5:$F$110*(((Inputs!$G$5:$G$110="moeda")+(Inputs!$G$5:$G$110="acoes"))*Inputs!$B$1+((Inputs!$G$5:$G$110&lt;&gt;"moeda")*(Inputs!$G$5:$G$110&lt;&gt;"acoes")))*INDEX(Inputs!$K$5:$AJ$110,0,MATCH(D$2,Inputs!$K$4:$AJ$4,0)))))</f>
        <v>3375</v>
      </c>
      <c r="E18" s="6">
        <f>IF(ISNA(MATCH(E$2,Inputs!$K$4:$AJ$4,0)),NA(),IF(SUMPRODUCT((Inputs!$A$5:$A$110=$B18)*ISNUMBER(INDEX(Inputs!$K$5:$AJ$110,0,MATCH(E$2,Inputs!$K$4:$AJ$4,0))))+SUMPRODUCT((Inputs!$C$5:$C$110=$B18)*ISNUMBER(INDEX(Inputs!$K$5:$AJ$110,0,MATCH(E$2,Inputs!$K$4:$AJ$4,0))))+SUMPRODUCT((Inputs!$E$5:$E$110=$B18)*ISNUMBER(INDEX(Inputs!$K$5:$AJ$110,0,MATCH(E$2,Inputs!$K$4:$AJ$4,0))))=0,NA(),SUMPRODUCT((Inputs!$A$5:$A$110=$B18)*Inputs!$B$5:$B$110*(((Inputs!$G$5:$G$110="moeda")+(Inputs!$G$5:$G$110="acoes"))*Inputs!$B$1+((Inputs!$G$5:$G$110&lt;&gt;"moeda")*(Inputs!$G$5:$G$110&lt;&gt;"acoes")))*INDEX(Inputs!$K$5:$AJ$110,0,MATCH(E$2,Inputs!$K$4:$AJ$4,0)))+SUMPRODUCT((Inputs!$C$5:$C$110=$B18)*Inputs!$D$5:$D$110*(((Inputs!$G$5:$G$110="moeda")+(Inputs!$G$5:$G$110="acoes"))*Inputs!$B$1+((Inputs!$G$5:$G$110&lt;&gt;"moeda")*(Inputs!$G$5:$G$110&lt;&gt;"acoes")))*INDEX(Inputs!$K$5:$AJ$110,0,MATCH(E$2,Inputs!$K$4:$AJ$4,0)))+SUMPRODUCT((Inputs!$E$5:$E$110=$B18)*Inputs!$F$5:$F$110*(((Inputs!$G$5:$G$110="moeda")+(Inputs!$G$5:$G$110="acoes"))*Inputs!$B$1+((Inputs!$G$5:$G$110&lt;&gt;"moeda")*(Inputs!$G$5:$G$110&lt;&gt;"acoes")))*INDEX(Inputs!$K$5:$AJ$110,0,MATCH(E$2,Inputs!$K$4:$AJ$4,0)))))</f>
        <v>3377</v>
      </c>
      <c r="F18" s="6">
        <f>IF(ISNA(MATCH(F$2,Inputs!$K$4:$AJ$4,0)),NA(),IF(SUMPRODUCT((Inputs!$A$5:$A$110=$B18)*ISNUMBER(INDEX(Inputs!$K$5:$AJ$110,0,MATCH(F$2,Inputs!$K$4:$AJ$4,0))))+SUMPRODUCT((Inputs!$C$5:$C$110=$B18)*ISNUMBER(INDEX(Inputs!$K$5:$AJ$110,0,MATCH(F$2,Inputs!$K$4:$AJ$4,0))))+SUMPRODUCT((Inputs!$E$5:$E$110=$B18)*ISNUMBER(INDEX(Inputs!$K$5:$AJ$110,0,MATCH(F$2,Inputs!$K$4:$AJ$4,0))))=0,NA(),SUMPRODUCT((Inputs!$A$5:$A$110=$B18)*Inputs!$B$5:$B$110*(((Inputs!$G$5:$G$110="moeda")+(Inputs!$G$5:$G$110="acoes"))*Inputs!$B$1+((Inputs!$G$5:$G$110&lt;&gt;"moeda")*(Inputs!$G$5:$G$110&lt;&gt;"acoes")))*INDEX(Inputs!$K$5:$AJ$110,0,MATCH(F$2,Inputs!$K$4:$AJ$4,0)))+SUMPRODUCT((Inputs!$C$5:$C$110=$B18)*Inputs!$D$5:$D$110*(((Inputs!$G$5:$G$110="moeda")+(Inputs!$G$5:$G$110="acoes"))*Inputs!$B$1+((Inputs!$G$5:$G$110&lt;&gt;"moeda")*(Inputs!$G$5:$G$110&lt;&gt;"acoes")))*INDEX(Inputs!$K$5:$AJ$110,0,MATCH(F$2,Inputs!$K$4:$AJ$4,0)))+SUMPRODUCT((Inputs!$E$5:$E$110=$B18)*Inputs!$F$5:$F$110*(((Inputs!$G$5:$G$110="moeda")+(Inputs!$G$5:$G$110="acoes"))*Inputs!$B$1+((Inputs!$G$5:$G$110&lt;&gt;"moeda")*(Inputs!$G$5:$G$110&lt;&gt;"acoes")))*INDEX(Inputs!$K$5:$AJ$110,0,MATCH(F$2,Inputs!$K$4:$AJ$4,0)))))</f>
        <v>2664</v>
      </c>
      <c r="G18" s="6">
        <f>IF(ISNA(MATCH(G$2,Inputs!$K$4:$AJ$4,0)),NA(),IF(SUMPRODUCT((Inputs!$A$5:$A$110=$B18)*ISNUMBER(INDEX(Inputs!$K$5:$AJ$110,0,MATCH(G$2,Inputs!$K$4:$AJ$4,0))))+SUMPRODUCT((Inputs!$C$5:$C$110=$B18)*ISNUMBER(INDEX(Inputs!$K$5:$AJ$110,0,MATCH(G$2,Inputs!$K$4:$AJ$4,0))))+SUMPRODUCT((Inputs!$E$5:$E$110=$B18)*ISNUMBER(INDEX(Inputs!$K$5:$AJ$110,0,MATCH(G$2,Inputs!$K$4:$AJ$4,0))))=0,NA(),SUMPRODUCT((Inputs!$A$5:$A$110=$B18)*Inputs!$B$5:$B$110*(((Inputs!$G$5:$G$110="moeda")+(Inputs!$G$5:$G$110="acoes"))*Inputs!$B$1+((Inputs!$G$5:$G$110&lt;&gt;"moeda")*(Inputs!$G$5:$G$110&lt;&gt;"acoes")))*INDEX(Inputs!$K$5:$AJ$110,0,MATCH(G$2,Inputs!$K$4:$AJ$4,0)))+SUMPRODUCT((Inputs!$C$5:$C$110=$B18)*Inputs!$D$5:$D$110*(((Inputs!$G$5:$G$110="moeda")+(Inputs!$G$5:$G$110="acoes"))*Inputs!$B$1+((Inputs!$G$5:$G$110&lt;&gt;"moeda")*(Inputs!$G$5:$G$110&lt;&gt;"acoes")))*INDEX(Inputs!$K$5:$AJ$110,0,MATCH(G$2,Inputs!$K$4:$AJ$4,0)))+SUMPRODUCT((Inputs!$E$5:$E$110=$B18)*Inputs!$F$5:$F$110*(((Inputs!$G$5:$G$110="moeda")+(Inputs!$G$5:$G$110="acoes"))*Inputs!$B$1+((Inputs!$G$5:$G$110&lt;&gt;"moeda")*(Inputs!$G$5:$G$110&lt;&gt;"acoes")))*INDEX(Inputs!$K$5:$AJ$110,0,MATCH(G$2,Inputs!$K$4:$AJ$4,0)))))</f>
        <v>2290</v>
      </c>
      <c r="H18" s="3">
        <f>G18</f>
        <v>2290</v>
      </c>
      <c r="I18" s="6">
        <f>IF(ISNA(MATCH(I$2,Inputs!$K$4:$AJ$4,0)),NA(),IF(SUMPRODUCT((Inputs!$A$5:$A$110=$B18)*ISNUMBER(INDEX(Inputs!$K$5:$AJ$110,0,MATCH(I$2,Inputs!$K$4:$AJ$4,0))))+SUMPRODUCT((Inputs!$C$5:$C$110=$B18)*ISNUMBER(INDEX(Inputs!$K$5:$AJ$110,0,MATCH(I$2,Inputs!$K$4:$AJ$4,0))))+SUMPRODUCT((Inputs!$E$5:$E$110=$B18)*ISNUMBER(INDEX(Inputs!$K$5:$AJ$110,0,MATCH(I$2,Inputs!$K$4:$AJ$4,0))))=0,NA(),SUMPRODUCT((Inputs!$A$5:$A$110=$B18)*Inputs!$B$5:$B$110*(((Inputs!$G$5:$G$110="moeda")+(Inputs!$G$5:$G$110="acoes"))*Inputs!$B$1+((Inputs!$G$5:$G$110&lt;&gt;"moeda")*(Inputs!$G$5:$G$110&lt;&gt;"acoes")))*INDEX(Inputs!$K$5:$AJ$110,0,MATCH(I$2,Inputs!$K$4:$AJ$4,0)))+SUMPRODUCT((Inputs!$C$5:$C$110=$B18)*Inputs!$D$5:$D$110*(((Inputs!$G$5:$G$110="moeda")+(Inputs!$G$5:$G$110="acoes"))*Inputs!$B$1+((Inputs!$G$5:$G$110&lt;&gt;"moeda")*(Inputs!$G$5:$G$110&lt;&gt;"acoes")))*INDEX(Inputs!$K$5:$AJ$110,0,MATCH(I$2,Inputs!$K$4:$AJ$4,0)))+SUMPRODUCT((Inputs!$E$5:$E$110=$B18)*Inputs!$F$5:$F$110*(((Inputs!$G$5:$G$110="moeda")+(Inputs!$G$5:$G$110="acoes"))*Inputs!$B$1+((Inputs!$G$5:$G$110&lt;&gt;"moeda")*(Inputs!$G$5:$G$110&lt;&gt;"acoes")))*INDEX(Inputs!$K$5:$AJ$110,0,MATCH(I$2,Inputs!$K$4:$AJ$4,0)))))</f>
        <v>2688</v>
      </c>
      <c r="J18" s="6">
        <f>IF(ISNA(MATCH(J$2,Inputs!$K$4:$AJ$4,0)),NA(),IF(SUMPRODUCT((Inputs!$A$5:$A$110=$B18)*ISNUMBER(INDEX(Inputs!$K$5:$AJ$110,0,MATCH(J$2,Inputs!$K$4:$AJ$4,0))))+SUMPRODUCT((Inputs!$C$5:$C$110=$B18)*ISNUMBER(INDEX(Inputs!$K$5:$AJ$110,0,MATCH(J$2,Inputs!$K$4:$AJ$4,0))))+SUMPRODUCT((Inputs!$E$5:$E$110=$B18)*ISNUMBER(INDEX(Inputs!$K$5:$AJ$110,0,MATCH(J$2,Inputs!$K$4:$AJ$4,0))))=0,NA(),SUMPRODUCT((Inputs!$A$5:$A$110=$B18)*Inputs!$B$5:$B$110*(((Inputs!$G$5:$G$110="moeda")+(Inputs!$G$5:$G$110="acoes"))*Inputs!$B$1+((Inputs!$G$5:$G$110&lt;&gt;"moeda")*(Inputs!$G$5:$G$110&lt;&gt;"acoes")))*INDEX(Inputs!$K$5:$AJ$110,0,MATCH(J$2,Inputs!$K$4:$AJ$4,0)))+SUMPRODUCT((Inputs!$C$5:$C$110=$B18)*Inputs!$D$5:$D$110*(((Inputs!$G$5:$G$110="moeda")+(Inputs!$G$5:$G$110="acoes"))*Inputs!$B$1+((Inputs!$G$5:$G$110&lt;&gt;"moeda")*(Inputs!$G$5:$G$110&lt;&gt;"acoes")))*INDEX(Inputs!$K$5:$AJ$110,0,MATCH(J$2,Inputs!$K$4:$AJ$4,0)))+SUMPRODUCT((Inputs!$E$5:$E$110=$B18)*Inputs!$F$5:$F$110*(((Inputs!$G$5:$G$110="moeda")+(Inputs!$G$5:$G$110="acoes"))*Inputs!$B$1+((Inputs!$G$5:$G$110&lt;&gt;"moeda")*(Inputs!$G$5:$G$110&lt;&gt;"acoes")))*INDEX(Inputs!$K$5:$AJ$110,0,MATCH(J$2,Inputs!$K$4:$AJ$4,0)))))</f>
        <v>2680</v>
      </c>
      <c r="K18" s="6">
        <f>IF(ISNA(MATCH(K$2,Inputs!$K$4:$AJ$4,0)),NA(),IF(SUMPRODUCT((Inputs!$A$5:$A$110=$B18)*ISNUMBER(INDEX(Inputs!$K$5:$AJ$110,0,MATCH(K$2,Inputs!$K$4:$AJ$4,0))))+SUMPRODUCT((Inputs!$C$5:$C$110=$B18)*ISNUMBER(INDEX(Inputs!$K$5:$AJ$110,0,MATCH(K$2,Inputs!$K$4:$AJ$4,0))))+SUMPRODUCT((Inputs!$E$5:$E$110=$B18)*ISNUMBER(INDEX(Inputs!$K$5:$AJ$110,0,MATCH(K$2,Inputs!$K$4:$AJ$4,0))))=0,NA(),SUMPRODUCT((Inputs!$A$5:$A$110=$B18)*Inputs!$B$5:$B$110*(((Inputs!$G$5:$G$110="moeda")+(Inputs!$G$5:$G$110="acoes"))*Inputs!$B$1+((Inputs!$G$5:$G$110&lt;&gt;"moeda")*(Inputs!$G$5:$G$110&lt;&gt;"acoes")))*INDEX(Inputs!$K$5:$AJ$110,0,MATCH(K$2,Inputs!$K$4:$AJ$4,0)))+SUMPRODUCT((Inputs!$C$5:$C$110=$B18)*Inputs!$D$5:$D$110*(((Inputs!$G$5:$G$110="moeda")+(Inputs!$G$5:$G$110="acoes"))*Inputs!$B$1+((Inputs!$G$5:$G$110&lt;&gt;"moeda")*(Inputs!$G$5:$G$110&lt;&gt;"acoes")))*INDEX(Inputs!$K$5:$AJ$110,0,MATCH(K$2,Inputs!$K$4:$AJ$4,0)))+SUMPRODUCT((Inputs!$E$5:$E$110=$B18)*Inputs!$F$5:$F$110*(((Inputs!$G$5:$G$110="moeda")+(Inputs!$G$5:$G$110="acoes"))*Inputs!$B$1+((Inputs!$G$5:$G$110&lt;&gt;"moeda")*(Inputs!$G$5:$G$110&lt;&gt;"acoes")))*INDEX(Inputs!$K$5:$AJ$110,0,MATCH(K$2,Inputs!$K$4:$AJ$4,0)))))</f>
        <v>3116</v>
      </c>
      <c r="L18" s="6">
        <f>IF(ISNA(MATCH(L$2,Inputs!$K$4:$AJ$4,0)),NA(),IF(SUMPRODUCT((Inputs!$A$5:$A$110=$B18)*ISNUMBER(INDEX(Inputs!$K$5:$AJ$110,0,MATCH(L$2,Inputs!$K$4:$AJ$4,0))))+SUMPRODUCT((Inputs!$C$5:$C$110=$B18)*ISNUMBER(INDEX(Inputs!$K$5:$AJ$110,0,MATCH(L$2,Inputs!$K$4:$AJ$4,0))))+SUMPRODUCT((Inputs!$E$5:$E$110=$B18)*ISNUMBER(INDEX(Inputs!$K$5:$AJ$110,0,MATCH(L$2,Inputs!$K$4:$AJ$4,0))))=0,NA(),SUMPRODUCT((Inputs!$A$5:$A$110=$B18)*Inputs!$B$5:$B$110*(((Inputs!$G$5:$G$110="moeda")+(Inputs!$G$5:$G$110="acoes"))*Inputs!$B$1+((Inputs!$G$5:$G$110&lt;&gt;"moeda")*(Inputs!$G$5:$G$110&lt;&gt;"acoes")))*INDEX(Inputs!$K$5:$AJ$110,0,MATCH(L$2,Inputs!$K$4:$AJ$4,0)))+SUMPRODUCT((Inputs!$C$5:$C$110=$B18)*Inputs!$D$5:$D$110*(((Inputs!$G$5:$G$110="moeda")+(Inputs!$G$5:$G$110="acoes"))*Inputs!$B$1+((Inputs!$G$5:$G$110&lt;&gt;"moeda")*(Inputs!$G$5:$G$110&lt;&gt;"acoes")))*INDEX(Inputs!$K$5:$AJ$110,0,MATCH(L$2,Inputs!$K$4:$AJ$4,0)))+SUMPRODUCT((Inputs!$E$5:$E$110=$B18)*Inputs!$F$5:$F$110*(((Inputs!$G$5:$G$110="moeda")+(Inputs!$G$5:$G$110="acoes"))*Inputs!$B$1+((Inputs!$G$5:$G$110&lt;&gt;"moeda")*(Inputs!$G$5:$G$110&lt;&gt;"acoes")))*INDEX(Inputs!$K$5:$AJ$110,0,MATCH(L$2,Inputs!$K$4:$AJ$4,0)))))</f>
        <v>3744</v>
      </c>
      <c r="M18" s="3">
        <f>L18</f>
        <v>3744</v>
      </c>
      <c r="N18" s="6">
        <f>IF(ISNA(MATCH(N$2,Inputs!$K$4:$AJ$4,0)),NA(),IF(SUMPRODUCT((Inputs!$A$5:$A$110=$B18)*ISNUMBER(INDEX(Inputs!$K$5:$AJ$110,0,MATCH(N$2,Inputs!$K$4:$AJ$4,0))))+SUMPRODUCT((Inputs!$C$5:$C$110=$B18)*ISNUMBER(INDEX(Inputs!$K$5:$AJ$110,0,MATCH(N$2,Inputs!$K$4:$AJ$4,0))))+SUMPRODUCT((Inputs!$E$5:$E$110=$B18)*ISNUMBER(INDEX(Inputs!$K$5:$AJ$110,0,MATCH(N$2,Inputs!$K$4:$AJ$4,0))))=0,NA(),SUMPRODUCT((Inputs!$A$5:$A$110=$B18)*Inputs!$B$5:$B$110*(((Inputs!$G$5:$G$110="moeda")+(Inputs!$G$5:$G$110="acoes"))*Inputs!$B$1+((Inputs!$G$5:$G$110&lt;&gt;"moeda")*(Inputs!$G$5:$G$110&lt;&gt;"acoes")))*INDEX(Inputs!$K$5:$AJ$110,0,MATCH(N$2,Inputs!$K$4:$AJ$4,0)))+SUMPRODUCT((Inputs!$C$5:$C$110=$B18)*Inputs!$D$5:$D$110*(((Inputs!$G$5:$G$110="moeda")+(Inputs!$G$5:$G$110="acoes"))*Inputs!$B$1+((Inputs!$G$5:$G$110&lt;&gt;"moeda")*(Inputs!$G$5:$G$110&lt;&gt;"acoes")))*INDEX(Inputs!$K$5:$AJ$110,0,MATCH(N$2,Inputs!$K$4:$AJ$4,0)))+SUMPRODUCT((Inputs!$E$5:$E$110=$B18)*Inputs!$F$5:$F$110*(((Inputs!$G$5:$G$110="moeda")+(Inputs!$G$5:$G$110="acoes"))*Inputs!$B$1+((Inputs!$G$5:$G$110&lt;&gt;"moeda")*(Inputs!$G$5:$G$110&lt;&gt;"acoes")))*INDEX(Inputs!$K$5:$AJ$110,0,MATCH(N$2,Inputs!$K$4:$AJ$4,0)))))</f>
        <v>4175</v>
      </c>
      <c r="O18" s="6">
        <f>IF(ISNA(MATCH(O$2,Inputs!$K$4:$AJ$4,0)),NA(),IF(SUMPRODUCT((Inputs!$A$5:$A$110=$B18)*ISNUMBER(INDEX(Inputs!$K$5:$AJ$110,0,MATCH(O$2,Inputs!$K$4:$AJ$4,0))))+SUMPRODUCT((Inputs!$C$5:$C$110=$B18)*ISNUMBER(INDEX(Inputs!$K$5:$AJ$110,0,MATCH(O$2,Inputs!$K$4:$AJ$4,0))))+SUMPRODUCT((Inputs!$E$5:$E$110=$B18)*ISNUMBER(INDEX(Inputs!$K$5:$AJ$110,0,MATCH(O$2,Inputs!$K$4:$AJ$4,0))))=0,NA(),SUMPRODUCT((Inputs!$A$5:$A$110=$B18)*Inputs!$B$5:$B$110*(((Inputs!$G$5:$G$110="moeda")+(Inputs!$G$5:$G$110="acoes"))*Inputs!$B$1+((Inputs!$G$5:$G$110&lt;&gt;"moeda")*(Inputs!$G$5:$G$110&lt;&gt;"acoes")))*INDEX(Inputs!$K$5:$AJ$110,0,MATCH(O$2,Inputs!$K$4:$AJ$4,0)))+SUMPRODUCT((Inputs!$C$5:$C$110=$B18)*Inputs!$D$5:$D$110*(((Inputs!$G$5:$G$110="moeda")+(Inputs!$G$5:$G$110="acoes"))*Inputs!$B$1+((Inputs!$G$5:$G$110&lt;&gt;"moeda")*(Inputs!$G$5:$G$110&lt;&gt;"acoes")))*INDEX(Inputs!$K$5:$AJ$110,0,MATCH(O$2,Inputs!$K$4:$AJ$4,0)))+SUMPRODUCT((Inputs!$E$5:$E$110=$B18)*Inputs!$F$5:$F$110*(((Inputs!$G$5:$G$110="moeda")+(Inputs!$G$5:$G$110="acoes"))*Inputs!$B$1+((Inputs!$G$5:$G$110&lt;&gt;"moeda")*(Inputs!$G$5:$G$110&lt;&gt;"acoes")))*INDEX(Inputs!$K$5:$AJ$110,0,MATCH(O$2,Inputs!$K$4:$AJ$4,0)))))</f>
        <v>4518</v>
      </c>
      <c r="P18" s="6">
        <f>IF(ISNA(MATCH(P$2,Inputs!$K$4:$AJ$4,0)),NA(),IF(SUMPRODUCT((Inputs!$A$5:$A$110=$B18)*ISNUMBER(INDEX(Inputs!$K$5:$AJ$110,0,MATCH(P$2,Inputs!$K$4:$AJ$4,0))))+SUMPRODUCT((Inputs!$C$5:$C$110=$B18)*ISNUMBER(INDEX(Inputs!$K$5:$AJ$110,0,MATCH(P$2,Inputs!$K$4:$AJ$4,0))))+SUMPRODUCT((Inputs!$E$5:$E$110=$B18)*ISNUMBER(INDEX(Inputs!$K$5:$AJ$110,0,MATCH(P$2,Inputs!$K$4:$AJ$4,0))))=0,NA(),SUMPRODUCT((Inputs!$A$5:$A$110=$B18)*Inputs!$B$5:$B$110*(((Inputs!$G$5:$G$110="moeda")+(Inputs!$G$5:$G$110="acoes"))*Inputs!$B$1+((Inputs!$G$5:$G$110&lt;&gt;"moeda")*(Inputs!$G$5:$G$110&lt;&gt;"acoes")))*INDEX(Inputs!$K$5:$AJ$110,0,MATCH(P$2,Inputs!$K$4:$AJ$4,0)))+SUMPRODUCT((Inputs!$C$5:$C$110=$B18)*Inputs!$D$5:$D$110*(((Inputs!$G$5:$G$110="moeda")+(Inputs!$G$5:$G$110="acoes"))*Inputs!$B$1+((Inputs!$G$5:$G$110&lt;&gt;"moeda")*(Inputs!$G$5:$G$110&lt;&gt;"acoes")))*INDEX(Inputs!$K$5:$AJ$110,0,MATCH(P$2,Inputs!$K$4:$AJ$4,0)))+SUMPRODUCT((Inputs!$E$5:$E$110=$B18)*Inputs!$F$5:$F$110*(((Inputs!$G$5:$G$110="moeda")+(Inputs!$G$5:$G$110="acoes"))*Inputs!$B$1+((Inputs!$G$5:$G$110&lt;&gt;"moeda")*(Inputs!$G$5:$G$110&lt;&gt;"acoes")))*INDEX(Inputs!$K$5:$AJ$110,0,MATCH(P$2,Inputs!$K$4:$AJ$4,0)))))</f>
        <v>4873</v>
      </c>
      <c r="Q18" s="6">
        <f>IF(ISNA(MATCH(Q$2,Inputs!$K$4:$AJ$4,0)),NA(),IF(SUMPRODUCT((Inputs!$A$5:$A$110=$B18)*ISNUMBER(INDEX(Inputs!$K$5:$AJ$110,0,MATCH(Q$2,Inputs!$K$4:$AJ$4,0))))+SUMPRODUCT((Inputs!$C$5:$C$110=$B18)*ISNUMBER(INDEX(Inputs!$K$5:$AJ$110,0,MATCH(Q$2,Inputs!$K$4:$AJ$4,0))))+SUMPRODUCT((Inputs!$E$5:$E$110=$B18)*ISNUMBER(INDEX(Inputs!$K$5:$AJ$110,0,MATCH(Q$2,Inputs!$K$4:$AJ$4,0))))=0,NA(),SUMPRODUCT((Inputs!$A$5:$A$110=$B18)*Inputs!$B$5:$B$110*(((Inputs!$G$5:$G$110="moeda")+(Inputs!$G$5:$G$110="acoes"))*Inputs!$B$1+((Inputs!$G$5:$G$110&lt;&gt;"moeda")*(Inputs!$G$5:$G$110&lt;&gt;"acoes")))*INDEX(Inputs!$K$5:$AJ$110,0,MATCH(Q$2,Inputs!$K$4:$AJ$4,0)))+SUMPRODUCT((Inputs!$C$5:$C$110=$B18)*Inputs!$D$5:$D$110*(((Inputs!$G$5:$G$110="moeda")+(Inputs!$G$5:$G$110="acoes"))*Inputs!$B$1+((Inputs!$G$5:$G$110&lt;&gt;"moeda")*(Inputs!$G$5:$G$110&lt;&gt;"acoes")))*INDEX(Inputs!$K$5:$AJ$110,0,MATCH(Q$2,Inputs!$K$4:$AJ$4,0)))+SUMPRODUCT((Inputs!$E$5:$E$110=$B18)*Inputs!$F$5:$F$110*(((Inputs!$G$5:$G$110="moeda")+(Inputs!$G$5:$G$110="acoes"))*Inputs!$B$1+((Inputs!$G$5:$G$110&lt;&gt;"moeda")*(Inputs!$G$5:$G$110&lt;&gt;"acoes")))*INDEX(Inputs!$K$5:$AJ$110,0,MATCH(Q$2,Inputs!$K$4:$AJ$4,0)))))</f>
        <v>2953</v>
      </c>
      <c r="R18" s="3">
        <f>Q18</f>
        <v>2953</v>
      </c>
      <c r="S18" s="6">
        <f>IF(ISNA(MATCH(S$2,Inputs!$K$4:$AJ$4,0)),NA(),IF(SUMPRODUCT((Inputs!$A$5:$A$110=$B18)*ISNUMBER(INDEX(Inputs!$K$5:$AJ$110,0,MATCH(S$2,Inputs!$K$4:$AJ$4,0))))+SUMPRODUCT((Inputs!$C$5:$C$110=$B18)*ISNUMBER(INDEX(Inputs!$K$5:$AJ$110,0,MATCH(S$2,Inputs!$K$4:$AJ$4,0))))+SUMPRODUCT((Inputs!$E$5:$E$110=$B18)*ISNUMBER(INDEX(Inputs!$K$5:$AJ$110,0,MATCH(S$2,Inputs!$K$4:$AJ$4,0))))=0,NA(),SUMPRODUCT((Inputs!$A$5:$A$110=$B18)*Inputs!$B$5:$B$110*(((Inputs!$G$5:$G$110="moeda")+(Inputs!$G$5:$G$110="acoes"))*Inputs!$B$1+((Inputs!$G$5:$G$110&lt;&gt;"moeda")*(Inputs!$G$5:$G$110&lt;&gt;"acoes")))*INDEX(Inputs!$K$5:$AJ$110,0,MATCH(S$2,Inputs!$K$4:$AJ$4,0)))+SUMPRODUCT((Inputs!$C$5:$C$110=$B18)*Inputs!$D$5:$D$110*(((Inputs!$G$5:$G$110="moeda")+(Inputs!$G$5:$G$110="acoes"))*Inputs!$B$1+((Inputs!$G$5:$G$110&lt;&gt;"moeda")*(Inputs!$G$5:$G$110&lt;&gt;"acoes")))*INDEX(Inputs!$K$5:$AJ$110,0,MATCH(S$2,Inputs!$K$4:$AJ$4,0)))+SUMPRODUCT((Inputs!$E$5:$E$110=$B18)*Inputs!$F$5:$F$110*(((Inputs!$G$5:$G$110="moeda")+(Inputs!$G$5:$G$110="acoes"))*Inputs!$B$1+((Inputs!$G$5:$G$110&lt;&gt;"moeda")*(Inputs!$G$5:$G$110&lt;&gt;"acoes")))*INDEX(Inputs!$K$5:$AJ$110,0,MATCH(S$2,Inputs!$K$4:$AJ$4,0)))))</f>
        <v>3024</v>
      </c>
      <c r="T18" s="6">
        <f>IF(ISNA(MATCH(T$2,Inputs!$K$4:$AJ$4,0)),NA(),IF(SUMPRODUCT((Inputs!$A$5:$A$110=$B18)*ISNUMBER(INDEX(Inputs!$K$5:$AJ$110,0,MATCH(T$2,Inputs!$K$4:$AJ$4,0))))+SUMPRODUCT((Inputs!$C$5:$C$110=$B18)*ISNUMBER(INDEX(Inputs!$K$5:$AJ$110,0,MATCH(T$2,Inputs!$K$4:$AJ$4,0))))+SUMPRODUCT((Inputs!$E$5:$E$110=$B18)*ISNUMBER(INDEX(Inputs!$K$5:$AJ$110,0,MATCH(T$2,Inputs!$K$4:$AJ$4,0))))=0,NA(),SUMPRODUCT((Inputs!$A$5:$A$110=$B18)*Inputs!$B$5:$B$110*(((Inputs!$G$5:$G$110="moeda")+(Inputs!$G$5:$G$110="acoes"))*Inputs!$B$1+((Inputs!$G$5:$G$110&lt;&gt;"moeda")*(Inputs!$G$5:$G$110&lt;&gt;"acoes")))*INDEX(Inputs!$K$5:$AJ$110,0,MATCH(T$2,Inputs!$K$4:$AJ$4,0)))+SUMPRODUCT((Inputs!$C$5:$C$110=$B18)*Inputs!$D$5:$D$110*(((Inputs!$G$5:$G$110="moeda")+(Inputs!$G$5:$G$110="acoes"))*Inputs!$B$1+((Inputs!$G$5:$G$110&lt;&gt;"moeda")*(Inputs!$G$5:$G$110&lt;&gt;"acoes")))*INDEX(Inputs!$K$5:$AJ$110,0,MATCH(T$2,Inputs!$K$4:$AJ$4,0)))+SUMPRODUCT((Inputs!$E$5:$E$110=$B18)*Inputs!$F$5:$F$110*(((Inputs!$G$5:$G$110="moeda")+(Inputs!$G$5:$G$110="acoes"))*Inputs!$B$1+((Inputs!$G$5:$G$110&lt;&gt;"moeda")*(Inputs!$G$5:$G$110&lt;&gt;"acoes")))*INDEX(Inputs!$K$5:$AJ$110,0,MATCH(T$2,Inputs!$K$4:$AJ$4,0)))))</f>
        <v>3080</v>
      </c>
      <c r="U18" s="6">
        <f>IF(ISNA(MATCH(U$2,Inputs!$K$4:$AJ$4,0)),NA(),IF(SUMPRODUCT((Inputs!$A$5:$A$110=$B18)*ISNUMBER(INDEX(Inputs!$K$5:$AJ$110,0,MATCH(U$2,Inputs!$K$4:$AJ$4,0))))+SUMPRODUCT((Inputs!$C$5:$C$110=$B18)*ISNUMBER(INDEX(Inputs!$K$5:$AJ$110,0,MATCH(U$2,Inputs!$K$4:$AJ$4,0))))+SUMPRODUCT((Inputs!$E$5:$E$110=$B18)*ISNUMBER(INDEX(Inputs!$K$5:$AJ$110,0,MATCH(U$2,Inputs!$K$4:$AJ$4,0))))=0,NA(),SUMPRODUCT((Inputs!$A$5:$A$110=$B18)*Inputs!$B$5:$B$110*(((Inputs!$G$5:$G$110="moeda")+(Inputs!$G$5:$G$110="acoes"))*Inputs!$B$1+((Inputs!$G$5:$G$110&lt;&gt;"moeda")*(Inputs!$G$5:$G$110&lt;&gt;"acoes")))*INDEX(Inputs!$K$5:$AJ$110,0,MATCH(U$2,Inputs!$K$4:$AJ$4,0)))+SUMPRODUCT((Inputs!$C$5:$C$110=$B18)*Inputs!$D$5:$D$110*(((Inputs!$G$5:$G$110="moeda")+(Inputs!$G$5:$G$110="acoes"))*Inputs!$B$1+((Inputs!$G$5:$G$110&lt;&gt;"moeda")*(Inputs!$G$5:$G$110&lt;&gt;"acoes")))*INDEX(Inputs!$K$5:$AJ$110,0,MATCH(U$2,Inputs!$K$4:$AJ$4,0)))+SUMPRODUCT((Inputs!$E$5:$E$110=$B18)*Inputs!$F$5:$F$110*(((Inputs!$G$5:$G$110="moeda")+(Inputs!$G$5:$G$110="acoes"))*Inputs!$B$1+((Inputs!$G$5:$G$110&lt;&gt;"moeda")*(Inputs!$G$5:$G$110&lt;&gt;"acoes")))*INDEX(Inputs!$K$5:$AJ$110,0,MATCH(U$2,Inputs!$K$4:$AJ$4,0)))))</f>
        <v>3105</v>
      </c>
      <c r="V18" s="6">
        <f>IF(ISNA(MATCH(V$2,Inputs!$K$4:$AJ$4,0)),NA(),IF(SUMPRODUCT((Inputs!$A$5:$A$110=$B18)*ISNUMBER(INDEX(Inputs!$K$5:$AJ$110,0,MATCH(V$2,Inputs!$K$4:$AJ$4,0))))+SUMPRODUCT((Inputs!$C$5:$C$110=$B18)*ISNUMBER(INDEX(Inputs!$K$5:$AJ$110,0,MATCH(V$2,Inputs!$K$4:$AJ$4,0))))+SUMPRODUCT((Inputs!$E$5:$E$110=$B18)*ISNUMBER(INDEX(Inputs!$K$5:$AJ$110,0,MATCH(V$2,Inputs!$K$4:$AJ$4,0))))=0,NA(),SUMPRODUCT((Inputs!$A$5:$A$110=$B18)*Inputs!$B$5:$B$110*(((Inputs!$G$5:$G$110="moeda")+(Inputs!$G$5:$G$110="acoes"))*Inputs!$B$1+((Inputs!$G$5:$G$110&lt;&gt;"moeda")*(Inputs!$G$5:$G$110&lt;&gt;"acoes")))*INDEX(Inputs!$K$5:$AJ$110,0,MATCH(V$2,Inputs!$K$4:$AJ$4,0)))+SUMPRODUCT((Inputs!$C$5:$C$110=$B18)*Inputs!$D$5:$D$110*(((Inputs!$G$5:$G$110="moeda")+(Inputs!$G$5:$G$110="acoes"))*Inputs!$B$1+((Inputs!$G$5:$G$110&lt;&gt;"moeda")*(Inputs!$G$5:$G$110&lt;&gt;"acoes")))*INDEX(Inputs!$K$5:$AJ$110,0,MATCH(V$2,Inputs!$K$4:$AJ$4,0)))+SUMPRODUCT((Inputs!$E$5:$E$110=$B18)*Inputs!$F$5:$F$110*(((Inputs!$G$5:$G$110="moeda")+(Inputs!$G$5:$G$110="acoes"))*Inputs!$B$1+((Inputs!$G$5:$G$110&lt;&gt;"moeda")*(Inputs!$G$5:$G$110&lt;&gt;"acoes")))*INDEX(Inputs!$K$5:$AJ$110,0,MATCH(V$2,Inputs!$K$4:$AJ$4,0)))))</f>
        <v>3557</v>
      </c>
      <c r="W18" s="3">
        <f>V18</f>
        <v>3557</v>
      </c>
      <c r="X18" s="6">
        <f>IF(ISNA(MATCH(X$2,Inputs!$K$4:$AJ$4,0)),NA(),IF(SUMPRODUCT((Inputs!$A$5:$A$110=$B18)*ISNUMBER(INDEX(Inputs!$K$5:$AJ$110,0,MATCH(X$2,Inputs!$K$4:$AJ$4,0))))+SUMPRODUCT((Inputs!$C$5:$C$110=$B18)*ISNUMBER(INDEX(Inputs!$K$5:$AJ$110,0,MATCH(X$2,Inputs!$K$4:$AJ$4,0))))+SUMPRODUCT((Inputs!$E$5:$E$110=$B18)*ISNUMBER(INDEX(Inputs!$K$5:$AJ$110,0,MATCH(X$2,Inputs!$K$4:$AJ$4,0))))=0,NA(),SUMPRODUCT((Inputs!$A$5:$A$110=$B18)*Inputs!$B$5:$B$110*(((Inputs!$G$5:$G$110="moeda")+(Inputs!$G$5:$G$110="acoes"))*Inputs!$B$1+((Inputs!$G$5:$G$110&lt;&gt;"moeda")*(Inputs!$G$5:$G$110&lt;&gt;"acoes")))*INDEX(Inputs!$K$5:$AJ$110,0,MATCH(X$2,Inputs!$K$4:$AJ$4,0)))+SUMPRODUCT((Inputs!$C$5:$C$110=$B18)*Inputs!$D$5:$D$110*(((Inputs!$G$5:$G$110="moeda")+(Inputs!$G$5:$G$110="acoes"))*Inputs!$B$1+((Inputs!$G$5:$G$110&lt;&gt;"moeda")*(Inputs!$G$5:$G$110&lt;&gt;"acoes")))*INDEX(Inputs!$K$5:$AJ$110,0,MATCH(X$2,Inputs!$K$4:$AJ$4,0)))+SUMPRODUCT((Inputs!$E$5:$E$110=$B18)*Inputs!$F$5:$F$110*(((Inputs!$G$5:$G$110="moeda")+(Inputs!$G$5:$G$110="acoes"))*Inputs!$B$1+((Inputs!$G$5:$G$110&lt;&gt;"moeda")*(Inputs!$G$5:$G$110&lt;&gt;"acoes")))*INDEX(Inputs!$K$5:$AJ$110,0,MATCH(X$2,Inputs!$K$4:$AJ$4,0)))))</f>
        <v>3568</v>
      </c>
      <c r="Y18" s="6">
        <f>IF(ISNA(MATCH(Y$2,Inputs!$K$4:$AJ$4,0)),NA(),IF(SUMPRODUCT((Inputs!$A$5:$A$110=$B18)*ISNUMBER(INDEX(Inputs!$K$5:$AJ$110,0,MATCH(Y$2,Inputs!$K$4:$AJ$4,0))))+SUMPRODUCT((Inputs!$C$5:$C$110=$B18)*ISNUMBER(INDEX(Inputs!$K$5:$AJ$110,0,MATCH(Y$2,Inputs!$K$4:$AJ$4,0))))+SUMPRODUCT((Inputs!$E$5:$E$110=$B18)*ISNUMBER(INDEX(Inputs!$K$5:$AJ$110,0,MATCH(Y$2,Inputs!$K$4:$AJ$4,0))))=0,NA(),SUMPRODUCT((Inputs!$A$5:$A$110=$B18)*Inputs!$B$5:$B$110*(((Inputs!$G$5:$G$110="moeda")+(Inputs!$G$5:$G$110="acoes"))*Inputs!$B$1+((Inputs!$G$5:$G$110&lt;&gt;"moeda")*(Inputs!$G$5:$G$110&lt;&gt;"acoes")))*INDEX(Inputs!$K$5:$AJ$110,0,MATCH(Y$2,Inputs!$K$4:$AJ$4,0)))+SUMPRODUCT((Inputs!$C$5:$C$110=$B18)*Inputs!$D$5:$D$110*(((Inputs!$G$5:$G$110="moeda")+(Inputs!$G$5:$G$110="acoes"))*Inputs!$B$1+((Inputs!$G$5:$G$110&lt;&gt;"moeda")*(Inputs!$G$5:$G$110&lt;&gt;"acoes")))*INDEX(Inputs!$K$5:$AJ$110,0,MATCH(Y$2,Inputs!$K$4:$AJ$4,0)))+SUMPRODUCT((Inputs!$E$5:$E$110=$B18)*Inputs!$F$5:$F$110*(((Inputs!$G$5:$G$110="moeda")+(Inputs!$G$5:$G$110="acoes"))*Inputs!$B$1+((Inputs!$G$5:$G$110&lt;&gt;"moeda")*(Inputs!$G$5:$G$110&lt;&gt;"acoes")))*INDEX(Inputs!$K$5:$AJ$110,0,MATCH(Y$2,Inputs!$K$4:$AJ$4,0)))))</f>
        <v>4070</v>
      </c>
      <c r="Z18" s="6">
        <f>IF(ISNA(MATCH(Z$2,Inputs!$K$4:$AJ$4,0)),NA(),IF(SUMPRODUCT((Inputs!$A$5:$A$110=$B18)*ISNUMBER(INDEX(Inputs!$K$5:$AJ$110,0,MATCH(Z$2,Inputs!$K$4:$AJ$4,0))))+SUMPRODUCT((Inputs!$C$5:$C$110=$B18)*ISNUMBER(INDEX(Inputs!$K$5:$AJ$110,0,MATCH(Z$2,Inputs!$K$4:$AJ$4,0))))+SUMPRODUCT((Inputs!$E$5:$E$110=$B18)*ISNUMBER(INDEX(Inputs!$K$5:$AJ$110,0,MATCH(Z$2,Inputs!$K$4:$AJ$4,0))))=0,NA(),SUMPRODUCT((Inputs!$A$5:$A$110=$B18)*Inputs!$B$5:$B$110*(((Inputs!$G$5:$G$110="moeda")+(Inputs!$G$5:$G$110="acoes"))*Inputs!$B$1+((Inputs!$G$5:$G$110&lt;&gt;"moeda")*(Inputs!$G$5:$G$110&lt;&gt;"acoes")))*INDEX(Inputs!$K$5:$AJ$110,0,MATCH(Z$2,Inputs!$K$4:$AJ$4,0)))+SUMPRODUCT((Inputs!$C$5:$C$110=$B18)*Inputs!$D$5:$D$110*(((Inputs!$G$5:$G$110="moeda")+(Inputs!$G$5:$G$110="acoes"))*Inputs!$B$1+((Inputs!$G$5:$G$110&lt;&gt;"moeda")*(Inputs!$G$5:$G$110&lt;&gt;"acoes")))*INDEX(Inputs!$K$5:$AJ$110,0,MATCH(Z$2,Inputs!$K$4:$AJ$4,0)))+SUMPRODUCT((Inputs!$E$5:$E$110=$B18)*Inputs!$F$5:$F$110*(((Inputs!$G$5:$G$110="moeda")+(Inputs!$G$5:$G$110="acoes"))*Inputs!$B$1+((Inputs!$G$5:$G$110&lt;&gt;"moeda")*(Inputs!$G$5:$G$110&lt;&gt;"acoes")))*INDEX(Inputs!$K$5:$AJ$110,0,MATCH(Z$2,Inputs!$K$4:$AJ$4,0)))))</f>
        <v>3413</v>
      </c>
      <c r="AA18" s="6">
        <f>IF(ISNA(MATCH(AA$2,Inputs!$K$4:$AJ$4,0)),NA(),IF(SUMPRODUCT((Inputs!$A$5:$A$110=$B18)*ISNUMBER(INDEX(Inputs!$K$5:$AJ$110,0,MATCH(AA$2,Inputs!$K$4:$AJ$4,0))))+SUMPRODUCT((Inputs!$C$5:$C$110=$B18)*ISNUMBER(INDEX(Inputs!$K$5:$AJ$110,0,MATCH(AA$2,Inputs!$K$4:$AJ$4,0))))+SUMPRODUCT((Inputs!$E$5:$E$110=$B18)*ISNUMBER(INDEX(Inputs!$K$5:$AJ$110,0,MATCH(AA$2,Inputs!$K$4:$AJ$4,0))))=0,NA(),SUMPRODUCT((Inputs!$A$5:$A$110=$B18)*Inputs!$B$5:$B$110*(((Inputs!$G$5:$G$110="moeda")+(Inputs!$G$5:$G$110="acoes"))*Inputs!$B$1+((Inputs!$G$5:$G$110&lt;&gt;"moeda")*(Inputs!$G$5:$G$110&lt;&gt;"acoes")))*INDEX(Inputs!$K$5:$AJ$110,0,MATCH(AA$2,Inputs!$K$4:$AJ$4,0)))+SUMPRODUCT((Inputs!$C$5:$C$110=$B18)*Inputs!$D$5:$D$110*(((Inputs!$G$5:$G$110="moeda")+(Inputs!$G$5:$G$110="acoes"))*Inputs!$B$1+((Inputs!$G$5:$G$110&lt;&gt;"moeda")*(Inputs!$G$5:$G$110&lt;&gt;"acoes")))*INDEX(Inputs!$K$5:$AJ$110,0,MATCH(AA$2,Inputs!$K$4:$AJ$4,0)))+SUMPRODUCT((Inputs!$E$5:$E$110=$B18)*Inputs!$F$5:$F$110*(((Inputs!$G$5:$G$110="moeda")+(Inputs!$G$5:$G$110="acoes"))*Inputs!$B$1+((Inputs!$G$5:$G$110&lt;&gt;"moeda")*(Inputs!$G$5:$G$110&lt;&gt;"acoes")))*INDEX(Inputs!$K$5:$AJ$110,0,MATCH(AA$2,Inputs!$K$4:$AJ$4,0)))))</f>
        <v>2975</v>
      </c>
      <c r="AB18" s="3">
        <f>AA18</f>
        <v>2975</v>
      </c>
      <c r="AC18" s="6">
        <f>IF(ISNA(MATCH(AC$2,Inputs!$K$4:$AJ$4,0)),NA(),IF(SUMPRODUCT((Inputs!$A$5:$A$110=$B18)*ISNUMBER(INDEX(Inputs!$K$5:$AJ$110,0,MATCH(AC$2,Inputs!$K$4:$AJ$4,0))))+SUMPRODUCT((Inputs!$C$5:$C$110=$B18)*ISNUMBER(INDEX(Inputs!$K$5:$AJ$110,0,MATCH(AC$2,Inputs!$K$4:$AJ$4,0))))+SUMPRODUCT((Inputs!$E$5:$E$110=$B18)*ISNUMBER(INDEX(Inputs!$K$5:$AJ$110,0,MATCH(AC$2,Inputs!$K$4:$AJ$4,0))))=0,NA(),SUMPRODUCT((Inputs!$A$5:$A$110=$B18)*Inputs!$B$5:$B$110*(((Inputs!$G$5:$G$110="moeda")+(Inputs!$G$5:$G$110="acoes"))*Inputs!$B$1+((Inputs!$G$5:$G$110&lt;&gt;"moeda")*(Inputs!$G$5:$G$110&lt;&gt;"acoes")))*INDEX(Inputs!$K$5:$AJ$110,0,MATCH(AC$2,Inputs!$K$4:$AJ$4,0)))+SUMPRODUCT((Inputs!$C$5:$C$110=$B18)*Inputs!$D$5:$D$110*(((Inputs!$G$5:$G$110="moeda")+(Inputs!$G$5:$G$110="acoes"))*Inputs!$B$1+((Inputs!$G$5:$G$110&lt;&gt;"moeda")*(Inputs!$G$5:$G$110&lt;&gt;"acoes")))*INDEX(Inputs!$K$5:$AJ$110,0,MATCH(AC$2,Inputs!$K$4:$AJ$4,0)))+SUMPRODUCT((Inputs!$E$5:$E$110=$B18)*Inputs!$F$5:$F$110*(((Inputs!$G$5:$G$110="moeda")+(Inputs!$G$5:$G$110="acoes"))*Inputs!$B$1+((Inputs!$G$5:$G$110&lt;&gt;"moeda")*(Inputs!$G$5:$G$110&lt;&gt;"acoes")))*INDEX(Inputs!$K$5:$AJ$110,0,MATCH(AC$2,Inputs!$K$4:$AJ$4,0)))))</f>
        <v>2802</v>
      </c>
      <c r="AD18" s="6">
        <f>IF(ISNA(MATCH(AD$2,Inputs!$K$4:$AJ$4,0)),NA(),IF(SUMPRODUCT((Inputs!$A$5:$A$110=$B18)*ISNUMBER(INDEX(Inputs!$K$5:$AJ$110,0,MATCH(AD$2,Inputs!$K$4:$AJ$4,0))))+SUMPRODUCT((Inputs!$C$5:$C$110=$B18)*ISNUMBER(INDEX(Inputs!$K$5:$AJ$110,0,MATCH(AD$2,Inputs!$K$4:$AJ$4,0))))+SUMPRODUCT((Inputs!$E$5:$E$110=$B18)*ISNUMBER(INDEX(Inputs!$K$5:$AJ$110,0,MATCH(AD$2,Inputs!$K$4:$AJ$4,0))))=0,NA(),SUMPRODUCT((Inputs!$A$5:$A$110=$B18)*Inputs!$B$5:$B$110*(((Inputs!$G$5:$G$110="moeda")+(Inputs!$G$5:$G$110="acoes"))*Inputs!$B$1+((Inputs!$G$5:$G$110&lt;&gt;"moeda")*(Inputs!$G$5:$G$110&lt;&gt;"acoes")))*INDEX(Inputs!$K$5:$AJ$110,0,MATCH(AD$2,Inputs!$K$4:$AJ$4,0)))+SUMPRODUCT((Inputs!$C$5:$C$110=$B18)*Inputs!$D$5:$D$110*(((Inputs!$G$5:$G$110="moeda")+(Inputs!$G$5:$G$110="acoes"))*Inputs!$B$1+((Inputs!$G$5:$G$110&lt;&gt;"moeda")*(Inputs!$G$5:$G$110&lt;&gt;"acoes")))*INDEX(Inputs!$K$5:$AJ$110,0,MATCH(AD$2,Inputs!$K$4:$AJ$4,0)))+SUMPRODUCT((Inputs!$E$5:$E$110=$B18)*Inputs!$F$5:$F$110*(((Inputs!$G$5:$G$110="moeda")+(Inputs!$G$5:$G$110="acoes"))*Inputs!$B$1+((Inputs!$G$5:$G$110&lt;&gt;"moeda")*(Inputs!$G$5:$G$110&lt;&gt;"acoes")))*INDEX(Inputs!$K$5:$AJ$110,0,MATCH(AD$2,Inputs!$K$4:$AJ$4,0)))))</f>
        <v>2414</v>
      </c>
      <c r="AE18" s="6" t="e">
        <f>IF(ISNA(MATCH(AE$2,Inputs!$K$4:$AJ$4,0)),NA(),IF(SUMPRODUCT((Inputs!$A$5:$A$110=$B18)*ISNUMBER(INDEX(Inputs!$K$5:$AJ$110,0,MATCH(AE$2,Inputs!$K$4:$AJ$4,0))))+SUMPRODUCT((Inputs!$C$5:$C$110=$B18)*ISNUMBER(INDEX(Inputs!$K$5:$AJ$110,0,MATCH(AE$2,Inputs!$K$4:$AJ$4,0))))+SUMPRODUCT((Inputs!$E$5:$E$110=$B18)*ISNUMBER(INDEX(Inputs!$K$5:$AJ$110,0,MATCH(AE$2,Inputs!$K$4:$AJ$4,0))))=0,NA(),SUMPRODUCT((Inputs!$A$5:$A$110=$B18)*Inputs!$B$5:$B$110*(((Inputs!$G$5:$G$110="moeda")+(Inputs!$G$5:$G$110="acoes"))*Inputs!$B$1+((Inputs!$G$5:$G$110&lt;&gt;"moeda")*(Inputs!$G$5:$G$110&lt;&gt;"acoes")))*INDEX(Inputs!$K$5:$AJ$110,0,MATCH(AE$2,Inputs!$K$4:$AJ$4,0)))+SUMPRODUCT((Inputs!$C$5:$C$110=$B18)*Inputs!$D$5:$D$110*(((Inputs!$G$5:$G$110="moeda")+(Inputs!$G$5:$G$110="acoes"))*Inputs!$B$1+((Inputs!$G$5:$G$110&lt;&gt;"moeda")*(Inputs!$G$5:$G$110&lt;&gt;"acoes")))*INDEX(Inputs!$K$5:$AJ$110,0,MATCH(AE$2,Inputs!$K$4:$AJ$4,0)))+SUMPRODUCT((Inputs!$E$5:$E$110=$B18)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8" s="6" t="e">
        <f>IF(ISNA(MATCH(AF$2,Inputs!$K$4:$AJ$4,0)),NA(),IF(SUMPRODUCT((Inputs!$A$5:$A$110=$B18)*ISNUMBER(INDEX(Inputs!$K$5:$AJ$110,0,MATCH(AF$2,Inputs!$K$4:$AJ$4,0))))+SUMPRODUCT((Inputs!$C$5:$C$110=$B18)*ISNUMBER(INDEX(Inputs!$K$5:$AJ$110,0,MATCH(AF$2,Inputs!$K$4:$AJ$4,0))))+SUMPRODUCT((Inputs!$E$5:$E$110=$B18)*ISNUMBER(INDEX(Inputs!$K$5:$AJ$110,0,MATCH(AF$2,Inputs!$K$4:$AJ$4,0))))=0,NA(),SUMPRODUCT((Inputs!$A$5:$A$110=$B18)*Inputs!$B$5:$B$110*(((Inputs!$G$5:$G$110="moeda")+(Inputs!$G$5:$G$110="acoes"))*Inputs!$B$1+((Inputs!$G$5:$G$110&lt;&gt;"moeda")*(Inputs!$G$5:$G$110&lt;&gt;"acoes")))*INDEX(Inputs!$K$5:$AJ$110,0,MATCH(AF$2,Inputs!$K$4:$AJ$4,0)))+SUMPRODUCT((Inputs!$C$5:$C$110=$B18)*Inputs!$D$5:$D$110*(((Inputs!$G$5:$G$110="moeda")+(Inputs!$G$5:$G$110="acoes"))*Inputs!$B$1+((Inputs!$G$5:$G$110&lt;&gt;"moeda")*(Inputs!$G$5:$G$110&lt;&gt;"acoes")))*INDEX(Inputs!$K$5:$AJ$110,0,MATCH(AF$2,Inputs!$K$4:$AJ$4,0)))+SUMPRODUCT((Inputs!$E$5:$E$110=$B18)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8" s="3" t="e">
        <f>AF18</f>
        <v>#N/A</v>
      </c>
      <c r="AH18" s="6">
        <f>IF(ISNA(MATCH(AH$2,Inputs!$K$4:$AJ$4,0)),NA(),IF(SUMPRODUCT((Inputs!$A$5:$A$110=$B18)*ISNUMBER(INDEX(Inputs!$K$5:$AJ$110,0,MATCH(AH$2,Inputs!$K$4:$AJ$4,0))))+SUMPRODUCT((Inputs!$C$5:$C$110=$B18)*ISNUMBER(INDEX(Inputs!$K$5:$AJ$110,0,MATCH(AH$2,Inputs!$K$4:$AJ$4,0))))+SUMPRODUCT((Inputs!$E$5:$E$110=$B18)*ISNUMBER(INDEX(Inputs!$K$5:$AJ$110,0,MATCH(AH$2,Inputs!$K$4:$AJ$4,0))))=0,NA(),SUMPRODUCT((Inputs!$A$5:$A$110=$B18)*Inputs!$B$5:$B$110*(((Inputs!$G$5:$G$110="moeda")+(Inputs!$G$5:$G$110="acoes"))*Inputs!$B$1+((Inputs!$G$5:$G$110&lt;&gt;"moeda")*(Inputs!$G$5:$G$110&lt;&gt;"acoes")))*INDEX(Inputs!$K$5:$AJ$110,0,MATCH(AH$2,Inputs!$K$4:$AJ$4,0)))+SUMPRODUCT((Inputs!$C$5:$C$110=$B18)*Inputs!$D$5:$D$110*(((Inputs!$G$5:$G$110="moeda")+(Inputs!$G$5:$G$110="acoes"))*Inputs!$B$1+((Inputs!$G$5:$G$110&lt;&gt;"moeda")*(Inputs!$G$5:$G$110&lt;&gt;"acoes")))*INDEX(Inputs!$K$5:$AJ$110,0,MATCH(AH$2,Inputs!$K$4:$AJ$4,0)))+SUMPRODUCT((Inputs!$E$5:$E$110=$B18)*Inputs!$F$5:$F$110*(((Inputs!$G$5:$G$110="moeda")+(Inputs!$G$5:$G$110="acoes"))*Inputs!$B$1+((Inputs!$G$5:$G$110&lt;&gt;"moeda")*(Inputs!$G$5:$G$110&lt;&gt;"acoes")))*INDEX(Inputs!$K$5:$AJ$110,0,MATCH(AH$2,Inputs!$K$4:$AJ$4,0)))))</f>
        <v>3164</v>
      </c>
      <c r="AI18" s="6">
        <f>IF(ISNA(MATCH(AI$2,Inputs!$K$4:$AJ$4,0)),NA(),IF(SUMPRODUCT((Inputs!$A$5:$A$110=$B18)*ISNUMBER(INDEX(Inputs!$K$5:$AJ$110,0,MATCH(AI$2,Inputs!$K$4:$AJ$4,0))))+SUMPRODUCT((Inputs!$C$5:$C$110=$B18)*ISNUMBER(INDEX(Inputs!$K$5:$AJ$110,0,MATCH(AI$2,Inputs!$K$4:$AJ$4,0))))+SUMPRODUCT((Inputs!$E$5:$E$110=$B18)*ISNUMBER(INDEX(Inputs!$K$5:$AJ$110,0,MATCH(AI$2,Inputs!$K$4:$AJ$4,0))))=0,NA(),SUMPRODUCT((Inputs!$A$5:$A$110=$B18)*Inputs!$B$5:$B$110*(((Inputs!$G$5:$G$110="moeda")+(Inputs!$G$5:$G$110="acoes"))*Inputs!$B$1+((Inputs!$G$5:$G$110&lt;&gt;"moeda")*(Inputs!$G$5:$G$110&lt;&gt;"acoes")))*INDEX(Inputs!$K$5:$AJ$110,0,MATCH(AI$2,Inputs!$K$4:$AJ$4,0)))+SUMPRODUCT((Inputs!$C$5:$C$110=$B18)*Inputs!$D$5:$D$110*(((Inputs!$G$5:$G$110="moeda")+(Inputs!$G$5:$G$110="acoes"))*Inputs!$B$1+((Inputs!$G$5:$G$110&lt;&gt;"moeda")*(Inputs!$G$5:$G$110&lt;&gt;"acoes")))*INDEX(Inputs!$K$5:$AJ$110,0,MATCH(AI$2,Inputs!$K$4:$AJ$4,0)))+SUMPRODUCT((Inputs!$E$5:$E$110=$B18)*Inputs!$F$5:$F$110*(((Inputs!$G$5:$G$110="moeda")+(Inputs!$G$5:$G$110="acoes"))*Inputs!$B$1+((Inputs!$G$5:$G$110&lt;&gt;"moeda")*(Inputs!$G$5:$G$110&lt;&gt;"acoes")))*INDEX(Inputs!$K$5:$AJ$110,0,MATCH(AI$2,Inputs!$K$4:$AJ$4,0)))))</f>
        <v>3127</v>
      </c>
      <c r="AJ18" s="6">
        <f>IF(ISNA(MATCH(AJ$2,Inputs!$K$4:$AJ$4,0)),NA(),IF(SUMPRODUCT((Inputs!$A$5:$A$110=$B18)*ISNUMBER(INDEX(Inputs!$K$5:$AJ$110,0,MATCH(AJ$2,Inputs!$K$4:$AJ$4,0))))+SUMPRODUCT((Inputs!$C$5:$C$110=$B18)*ISNUMBER(INDEX(Inputs!$K$5:$AJ$110,0,MATCH(AJ$2,Inputs!$K$4:$AJ$4,0))))+SUMPRODUCT((Inputs!$E$5:$E$110=$B18)*ISNUMBER(INDEX(Inputs!$K$5:$AJ$110,0,MATCH(AJ$2,Inputs!$K$4:$AJ$4,0))))=0,NA(),SUMPRODUCT((Inputs!$A$5:$A$110=$B18)*Inputs!$B$5:$B$110*(((Inputs!$G$5:$G$110="moeda")+(Inputs!$G$5:$G$110="acoes"))*Inputs!$B$1+((Inputs!$G$5:$G$110&lt;&gt;"moeda")*(Inputs!$G$5:$G$110&lt;&gt;"acoes")))*INDEX(Inputs!$K$5:$AJ$110,0,MATCH(AJ$2,Inputs!$K$4:$AJ$4,0)))+SUMPRODUCT((Inputs!$C$5:$C$110=$B18)*Inputs!$D$5:$D$110*(((Inputs!$G$5:$G$110="moeda")+(Inputs!$G$5:$G$110="acoes"))*Inputs!$B$1+((Inputs!$G$5:$G$110&lt;&gt;"moeda")*(Inputs!$G$5:$G$110&lt;&gt;"acoes")))*INDEX(Inputs!$K$5:$AJ$110,0,MATCH(AJ$2,Inputs!$K$4:$AJ$4,0)))+SUMPRODUCT((Inputs!$E$5:$E$110=$B18)*Inputs!$F$5:$F$110*(((Inputs!$G$5:$G$110="moeda")+(Inputs!$G$5:$G$110="acoes"))*Inputs!$B$1+((Inputs!$G$5:$G$110&lt;&gt;"moeda")*(Inputs!$G$5:$G$110&lt;&gt;"acoes")))*INDEX(Inputs!$K$5:$AJ$110,0,MATCH(AJ$2,Inputs!$K$4:$AJ$4,0)))))</f>
        <v>3198</v>
      </c>
      <c r="AK18" s="6">
        <f>IF(ISNA(MATCH(AK$2,Inputs!$K$4:$AJ$4,0)),NA(),IF(SUMPRODUCT((Inputs!$A$5:$A$110=$B18)*ISNUMBER(INDEX(Inputs!$K$5:$AJ$110,0,MATCH(AK$2,Inputs!$K$4:$AJ$4,0))))+SUMPRODUCT((Inputs!$C$5:$C$110=$B18)*ISNUMBER(INDEX(Inputs!$K$5:$AJ$110,0,MATCH(AK$2,Inputs!$K$4:$AJ$4,0))))+SUMPRODUCT((Inputs!$E$5:$E$110=$B18)*ISNUMBER(INDEX(Inputs!$K$5:$AJ$110,0,MATCH(AK$2,Inputs!$K$4:$AJ$4,0))))=0,NA(),SUMPRODUCT((Inputs!$A$5:$A$110=$B18)*Inputs!$B$5:$B$110*(((Inputs!$G$5:$G$110="moeda")+(Inputs!$G$5:$G$110="acoes"))*Inputs!$B$1+((Inputs!$G$5:$G$110&lt;&gt;"moeda")*(Inputs!$G$5:$G$110&lt;&gt;"acoes")))*INDEX(Inputs!$K$5:$AJ$110,0,MATCH(AK$2,Inputs!$K$4:$AJ$4,0)))+SUMPRODUCT((Inputs!$C$5:$C$110=$B18)*Inputs!$D$5:$D$110*(((Inputs!$G$5:$G$110="moeda")+(Inputs!$G$5:$G$110="acoes"))*Inputs!$B$1+((Inputs!$G$5:$G$110&lt;&gt;"moeda")*(Inputs!$G$5:$G$110&lt;&gt;"acoes")))*INDEX(Inputs!$K$5:$AJ$110,0,MATCH(AK$2,Inputs!$K$4:$AJ$4,0)))+SUMPRODUCT((Inputs!$E$5:$E$110=$B18)*Inputs!$F$5:$F$110*(((Inputs!$G$5:$G$110="moeda")+(Inputs!$G$5:$G$110="acoes"))*Inputs!$B$1+((Inputs!$G$5:$G$110&lt;&gt;"moeda")*(Inputs!$G$5:$G$110&lt;&gt;"acoes")))*INDEX(Inputs!$K$5:$AJ$110,0,MATCH(AK$2,Inputs!$K$4:$AJ$4,0)))))</f>
        <v>3475</v>
      </c>
      <c r="AL18" s="3">
        <f>AK18</f>
        <v>3475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$110=$B19)*ISNUMBER(INDEX(Inputs!$K$5:$AJ$110,0,MATCH(D$2,Inputs!$K$4:$AJ$4,0))))+SUMPRODUCT((Inputs!$C$5:$C$110=$B19)*ISNUMBER(INDEX(Inputs!$K$5:$AJ$110,0,MATCH(D$2,Inputs!$K$4:$AJ$4,0))))+SUMPRODUCT((Inputs!$E$5:$E$110=$B19)*ISNUMBER(INDEX(Inputs!$K$5:$AJ$110,0,MATCH(D$2,Inputs!$K$4:$AJ$4,0))))=0,NA(),SUMPRODUCT((Inputs!$A$5:$A$110=$B19)*Inputs!$B$5:$B$110*(((Inputs!$G$5:$G$110="moeda")+(Inputs!$G$5:$G$110="acoes"))*Inputs!$B$1+((Inputs!$G$5:$G$110&lt;&gt;"moeda")*(Inputs!$G$5:$G$110&lt;&gt;"acoes")))*INDEX(Inputs!$K$5:$AJ$110,0,MATCH(D$2,Inputs!$K$4:$AJ$4,0)))+SUMPRODUCT((Inputs!$C$5:$C$110=$B19)*Inputs!$D$5:$D$110*(((Inputs!$G$5:$G$110="moeda")+(Inputs!$G$5:$G$110="acoes"))*Inputs!$B$1+((Inputs!$G$5:$G$110&lt;&gt;"moeda")*(Inputs!$G$5:$G$110&lt;&gt;"acoes")))*INDEX(Inputs!$K$5:$AJ$110,0,MATCH(D$2,Inputs!$K$4:$AJ$4,0)))+SUMPRODUCT((Inputs!$E$5:$E$110=$B19)*Inputs!$F$5:$F$110*(((Inputs!$G$5:$G$110="moeda")+(Inputs!$G$5:$G$110="acoes"))*Inputs!$B$1+((Inputs!$G$5:$G$110&lt;&gt;"moeda")*(Inputs!$G$5:$G$110&lt;&gt;"acoes")))*INDEX(Inputs!$K$5:$AJ$110,0,MATCH(D$2,Inputs!$K$4:$AJ$4,0)))))</f>
        <v>0</v>
      </c>
      <c r="E19" s="6">
        <f>IF(ISNA(MATCH(E$2,Inputs!$K$4:$AJ$4,0)),NA(),IF(SUMPRODUCT((Inputs!$A$5:$A$110=$B19)*ISNUMBER(INDEX(Inputs!$K$5:$AJ$110,0,MATCH(E$2,Inputs!$K$4:$AJ$4,0))))+SUMPRODUCT((Inputs!$C$5:$C$110=$B19)*ISNUMBER(INDEX(Inputs!$K$5:$AJ$110,0,MATCH(E$2,Inputs!$K$4:$AJ$4,0))))+SUMPRODUCT((Inputs!$E$5:$E$110=$B19)*ISNUMBER(INDEX(Inputs!$K$5:$AJ$110,0,MATCH(E$2,Inputs!$K$4:$AJ$4,0))))=0,NA(),SUMPRODUCT((Inputs!$A$5:$A$110=$B19)*Inputs!$B$5:$B$110*(((Inputs!$G$5:$G$110="moeda")+(Inputs!$G$5:$G$110="acoes"))*Inputs!$B$1+((Inputs!$G$5:$G$110&lt;&gt;"moeda")*(Inputs!$G$5:$G$110&lt;&gt;"acoes")))*INDEX(Inputs!$K$5:$AJ$110,0,MATCH(E$2,Inputs!$K$4:$AJ$4,0)))+SUMPRODUCT((Inputs!$C$5:$C$110=$B19)*Inputs!$D$5:$D$110*(((Inputs!$G$5:$G$110="moeda")+(Inputs!$G$5:$G$110="acoes"))*Inputs!$B$1+((Inputs!$G$5:$G$110&lt;&gt;"moeda")*(Inputs!$G$5:$G$110&lt;&gt;"acoes")))*INDEX(Inputs!$K$5:$AJ$110,0,MATCH(E$2,Inputs!$K$4:$AJ$4,0)))+SUMPRODUCT((Inputs!$E$5:$E$110=$B19)*Inputs!$F$5:$F$110*(((Inputs!$G$5:$G$110="moeda")+(Inputs!$G$5:$G$110="acoes"))*Inputs!$B$1+((Inputs!$G$5:$G$110&lt;&gt;"moeda")*(Inputs!$G$5:$G$110&lt;&gt;"acoes")))*INDEX(Inputs!$K$5:$AJ$110,0,MATCH(E$2,Inputs!$K$4:$AJ$4,0)))))</f>
        <v>0</v>
      </c>
      <c r="F19" s="6">
        <f>IF(ISNA(MATCH(F$2,Inputs!$K$4:$AJ$4,0)),NA(),IF(SUMPRODUCT((Inputs!$A$5:$A$110=$B19)*ISNUMBER(INDEX(Inputs!$K$5:$AJ$110,0,MATCH(F$2,Inputs!$K$4:$AJ$4,0))))+SUMPRODUCT((Inputs!$C$5:$C$110=$B19)*ISNUMBER(INDEX(Inputs!$K$5:$AJ$110,0,MATCH(F$2,Inputs!$K$4:$AJ$4,0))))+SUMPRODUCT((Inputs!$E$5:$E$110=$B19)*ISNUMBER(INDEX(Inputs!$K$5:$AJ$110,0,MATCH(F$2,Inputs!$K$4:$AJ$4,0))))=0,NA(),SUMPRODUCT((Inputs!$A$5:$A$110=$B19)*Inputs!$B$5:$B$110*(((Inputs!$G$5:$G$110="moeda")+(Inputs!$G$5:$G$110="acoes"))*Inputs!$B$1+((Inputs!$G$5:$G$110&lt;&gt;"moeda")*(Inputs!$G$5:$G$110&lt;&gt;"acoes")))*INDEX(Inputs!$K$5:$AJ$110,0,MATCH(F$2,Inputs!$K$4:$AJ$4,0)))+SUMPRODUCT((Inputs!$C$5:$C$110=$B19)*Inputs!$D$5:$D$110*(((Inputs!$G$5:$G$110="moeda")+(Inputs!$G$5:$G$110="acoes"))*Inputs!$B$1+((Inputs!$G$5:$G$110&lt;&gt;"moeda")*(Inputs!$G$5:$G$110&lt;&gt;"acoes")))*INDEX(Inputs!$K$5:$AJ$110,0,MATCH(F$2,Inputs!$K$4:$AJ$4,0)))+SUMPRODUCT((Inputs!$E$5:$E$110=$B19)*Inputs!$F$5:$F$110*(((Inputs!$G$5:$G$110="moeda")+(Inputs!$G$5:$G$110="acoes"))*Inputs!$B$1+((Inputs!$G$5:$G$110&lt;&gt;"moeda")*(Inputs!$G$5:$G$110&lt;&gt;"acoes")))*INDEX(Inputs!$K$5:$AJ$110,0,MATCH(F$2,Inputs!$K$4:$AJ$4,0)))))</f>
        <v>0</v>
      </c>
      <c r="G19" s="6">
        <f>IF(ISNA(MATCH(G$2,Inputs!$K$4:$AJ$4,0)),NA(),IF(SUMPRODUCT((Inputs!$A$5:$A$110=$B19)*ISNUMBER(INDEX(Inputs!$K$5:$AJ$110,0,MATCH(G$2,Inputs!$K$4:$AJ$4,0))))+SUMPRODUCT((Inputs!$C$5:$C$110=$B19)*ISNUMBER(INDEX(Inputs!$K$5:$AJ$110,0,MATCH(G$2,Inputs!$K$4:$AJ$4,0))))+SUMPRODUCT((Inputs!$E$5:$E$110=$B19)*ISNUMBER(INDEX(Inputs!$K$5:$AJ$110,0,MATCH(G$2,Inputs!$K$4:$AJ$4,0))))=0,NA(),SUMPRODUCT((Inputs!$A$5:$A$110=$B19)*Inputs!$B$5:$B$110*(((Inputs!$G$5:$G$110="moeda")+(Inputs!$G$5:$G$110="acoes"))*Inputs!$B$1+((Inputs!$G$5:$G$110&lt;&gt;"moeda")*(Inputs!$G$5:$G$110&lt;&gt;"acoes")))*INDEX(Inputs!$K$5:$AJ$110,0,MATCH(G$2,Inputs!$K$4:$AJ$4,0)))+SUMPRODUCT((Inputs!$C$5:$C$110=$B19)*Inputs!$D$5:$D$110*(((Inputs!$G$5:$G$110="moeda")+(Inputs!$G$5:$G$110="acoes"))*Inputs!$B$1+((Inputs!$G$5:$G$110&lt;&gt;"moeda")*(Inputs!$G$5:$G$110&lt;&gt;"acoes")))*INDEX(Inputs!$K$5:$AJ$110,0,MATCH(G$2,Inputs!$K$4:$AJ$4,0)))+SUMPRODUCT((Inputs!$E$5:$E$110=$B19)*Inputs!$F$5:$F$110*(((Inputs!$G$5:$G$110="moeda")+(Inputs!$G$5:$G$110="acoes"))*Inputs!$B$1+((Inputs!$G$5:$G$110&lt;&gt;"moeda")*(Inputs!$G$5:$G$110&lt;&gt;"acoes")))*INDEX(Inputs!$K$5:$AJ$110,0,MATCH(G$2,Inputs!$K$4:$AJ$4,0)))))</f>
        <v>0</v>
      </c>
      <c r="H19" s="3">
        <f>G19</f>
        <v>0</v>
      </c>
      <c r="I19" s="6">
        <f>IF(ISNA(MATCH(I$2,Inputs!$K$4:$AJ$4,0)),NA(),IF(SUMPRODUCT((Inputs!$A$5:$A$110=$B19)*ISNUMBER(INDEX(Inputs!$K$5:$AJ$110,0,MATCH(I$2,Inputs!$K$4:$AJ$4,0))))+SUMPRODUCT((Inputs!$C$5:$C$110=$B19)*ISNUMBER(INDEX(Inputs!$K$5:$AJ$110,0,MATCH(I$2,Inputs!$K$4:$AJ$4,0))))+SUMPRODUCT((Inputs!$E$5:$E$110=$B19)*ISNUMBER(INDEX(Inputs!$K$5:$AJ$110,0,MATCH(I$2,Inputs!$K$4:$AJ$4,0))))=0,NA(),SUMPRODUCT((Inputs!$A$5:$A$110=$B19)*Inputs!$B$5:$B$110*(((Inputs!$G$5:$G$110="moeda")+(Inputs!$G$5:$G$110="acoes"))*Inputs!$B$1+((Inputs!$G$5:$G$110&lt;&gt;"moeda")*(Inputs!$G$5:$G$110&lt;&gt;"acoes")))*INDEX(Inputs!$K$5:$AJ$110,0,MATCH(I$2,Inputs!$K$4:$AJ$4,0)))+SUMPRODUCT((Inputs!$C$5:$C$110=$B19)*Inputs!$D$5:$D$110*(((Inputs!$G$5:$G$110="moeda")+(Inputs!$G$5:$G$110="acoes"))*Inputs!$B$1+((Inputs!$G$5:$G$110&lt;&gt;"moeda")*(Inputs!$G$5:$G$110&lt;&gt;"acoes")))*INDEX(Inputs!$K$5:$AJ$110,0,MATCH(I$2,Inputs!$K$4:$AJ$4,0)))+SUMPRODUCT((Inputs!$E$5:$E$110=$B19)*Inputs!$F$5:$F$110*(((Inputs!$G$5:$G$110="moeda")+(Inputs!$G$5:$G$110="acoes"))*Inputs!$B$1+((Inputs!$G$5:$G$110&lt;&gt;"moeda")*(Inputs!$G$5:$G$110&lt;&gt;"acoes")))*INDEX(Inputs!$K$5:$AJ$110,0,MATCH(I$2,Inputs!$K$4:$AJ$4,0)))))</f>
        <v>0</v>
      </c>
      <c r="J19" s="6">
        <f>IF(ISNA(MATCH(J$2,Inputs!$K$4:$AJ$4,0)),NA(),IF(SUMPRODUCT((Inputs!$A$5:$A$110=$B19)*ISNUMBER(INDEX(Inputs!$K$5:$AJ$110,0,MATCH(J$2,Inputs!$K$4:$AJ$4,0))))+SUMPRODUCT((Inputs!$C$5:$C$110=$B19)*ISNUMBER(INDEX(Inputs!$K$5:$AJ$110,0,MATCH(J$2,Inputs!$K$4:$AJ$4,0))))+SUMPRODUCT((Inputs!$E$5:$E$110=$B19)*ISNUMBER(INDEX(Inputs!$K$5:$AJ$110,0,MATCH(J$2,Inputs!$K$4:$AJ$4,0))))=0,NA(),SUMPRODUCT((Inputs!$A$5:$A$110=$B19)*Inputs!$B$5:$B$110*(((Inputs!$G$5:$G$110="moeda")+(Inputs!$G$5:$G$110="acoes"))*Inputs!$B$1+((Inputs!$G$5:$G$110&lt;&gt;"moeda")*(Inputs!$G$5:$G$110&lt;&gt;"acoes")))*INDEX(Inputs!$K$5:$AJ$110,0,MATCH(J$2,Inputs!$K$4:$AJ$4,0)))+SUMPRODUCT((Inputs!$C$5:$C$110=$B19)*Inputs!$D$5:$D$110*(((Inputs!$G$5:$G$110="moeda")+(Inputs!$G$5:$G$110="acoes"))*Inputs!$B$1+((Inputs!$G$5:$G$110&lt;&gt;"moeda")*(Inputs!$G$5:$G$110&lt;&gt;"acoes")))*INDEX(Inputs!$K$5:$AJ$110,0,MATCH(J$2,Inputs!$K$4:$AJ$4,0)))+SUMPRODUCT((Inputs!$E$5:$E$110=$B19)*Inputs!$F$5:$F$110*(((Inputs!$G$5:$G$110="moeda")+(Inputs!$G$5:$G$110="acoes"))*Inputs!$B$1+((Inputs!$G$5:$G$110&lt;&gt;"moeda")*(Inputs!$G$5:$G$110&lt;&gt;"acoes")))*INDEX(Inputs!$K$5:$AJ$110,0,MATCH(J$2,Inputs!$K$4:$AJ$4,0)))))</f>
        <v>0</v>
      </c>
      <c r="K19" s="6">
        <f>IF(ISNA(MATCH(K$2,Inputs!$K$4:$AJ$4,0)),NA(),IF(SUMPRODUCT((Inputs!$A$5:$A$110=$B19)*ISNUMBER(INDEX(Inputs!$K$5:$AJ$110,0,MATCH(K$2,Inputs!$K$4:$AJ$4,0))))+SUMPRODUCT((Inputs!$C$5:$C$110=$B19)*ISNUMBER(INDEX(Inputs!$K$5:$AJ$110,0,MATCH(K$2,Inputs!$K$4:$AJ$4,0))))+SUMPRODUCT((Inputs!$E$5:$E$110=$B19)*ISNUMBER(INDEX(Inputs!$K$5:$AJ$110,0,MATCH(K$2,Inputs!$K$4:$AJ$4,0))))=0,NA(),SUMPRODUCT((Inputs!$A$5:$A$110=$B19)*Inputs!$B$5:$B$110*(((Inputs!$G$5:$G$110="moeda")+(Inputs!$G$5:$G$110="acoes"))*Inputs!$B$1+((Inputs!$G$5:$G$110&lt;&gt;"moeda")*(Inputs!$G$5:$G$110&lt;&gt;"acoes")))*INDEX(Inputs!$K$5:$AJ$110,0,MATCH(K$2,Inputs!$K$4:$AJ$4,0)))+SUMPRODUCT((Inputs!$C$5:$C$110=$B19)*Inputs!$D$5:$D$110*(((Inputs!$G$5:$G$110="moeda")+(Inputs!$G$5:$G$110="acoes"))*Inputs!$B$1+((Inputs!$G$5:$G$110&lt;&gt;"moeda")*(Inputs!$G$5:$G$110&lt;&gt;"acoes")))*INDEX(Inputs!$K$5:$AJ$110,0,MATCH(K$2,Inputs!$K$4:$AJ$4,0)))+SUMPRODUCT((Inputs!$E$5:$E$110=$B19)*Inputs!$F$5:$F$110*(((Inputs!$G$5:$G$110="moeda")+(Inputs!$G$5:$G$110="acoes"))*Inputs!$B$1+((Inputs!$G$5:$G$110&lt;&gt;"moeda")*(Inputs!$G$5:$G$110&lt;&gt;"acoes")))*INDEX(Inputs!$K$5:$AJ$110,0,MATCH(K$2,Inputs!$K$4:$AJ$4,0)))))</f>
        <v>0</v>
      </c>
      <c r="L19" s="6">
        <f>IF(ISNA(MATCH(L$2,Inputs!$K$4:$AJ$4,0)),NA(),IF(SUMPRODUCT((Inputs!$A$5:$A$110=$B19)*ISNUMBER(INDEX(Inputs!$K$5:$AJ$110,0,MATCH(L$2,Inputs!$K$4:$AJ$4,0))))+SUMPRODUCT((Inputs!$C$5:$C$110=$B19)*ISNUMBER(INDEX(Inputs!$K$5:$AJ$110,0,MATCH(L$2,Inputs!$K$4:$AJ$4,0))))+SUMPRODUCT((Inputs!$E$5:$E$110=$B19)*ISNUMBER(INDEX(Inputs!$K$5:$AJ$110,0,MATCH(L$2,Inputs!$K$4:$AJ$4,0))))=0,NA(),SUMPRODUCT((Inputs!$A$5:$A$110=$B19)*Inputs!$B$5:$B$110*(((Inputs!$G$5:$G$110="moeda")+(Inputs!$G$5:$G$110="acoes"))*Inputs!$B$1+((Inputs!$G$5:$G$110&lt;&gt;"moeda")*(Inputs!$G$5:$G$110&lt;&gt;"acoes")))*INDEX(Inputs!$K$5:$AJ$110,0,MATCH(L$2,Inputs!$K$4:$AJ$4,0)))+SUMPRODUCT((Inputs!$C$5:$C$110=$B19)*Inputs!$D$5:$D$110*(((Inputs!$G$5:$G$110="moeda")+(Inputs!$G$5:$G$110="acoes"))*Inputs!$B$1+((Inputs!$G$5:$G$110&lt;&gt;"moeda")*(Inputs!$G$5:$G$110&lt;&gt;"acoes")))*INDEX(Inputs!$K$5:$AJ$110,0,MATCH(L$2,Inputs!$K$4:$AJ$4,0)))+SUMPRODUCT((Inputs!$E$5:$E$110=$B19)*Inputs!$F$5:$F$110*(((Inputs!$G$5:$G$110="moeda")+(Inputs!$G$5:$G$110="acoes"))*Inputs!$B$1+((Inputs!$G$5:$G$110&lt;&gt;"moeda")*(Inputs!$G$5:$G$110&lt;&gt;"acoes")))*INDEX(Inputs!$K$5:$AJ$110,0,MATCH(L$2,Inputs!$K$4:$AJ$4,0)))))</f>
        <v>0</v>
      </c>
      <c r="M19" s="3">
        <f>L19</f>
        <v>0</v>
      </c>
      <c r="N19" s="6">
        <f>IF(ISNA(MATCH(N$2,Inputs!$K$4:$AJ$4,0)),NA(),IF(SUMPRODUCT((Inputs!$A$5:$A$110=$B19)*ISNUMBER(INDEX(Inputs!$K$5:$AJ$110,0,MATCH(N$2,Inputs!$K$4:$AJ$4,0))))+SUMPRODUCT((Inputs!$C$5:$C$110=$B19)*ISNUMBER(INDEX(Inputs!$K$5:$AJ$110,0,MATCH(N$2,Inputs!$K$4:$AJ$4,0))))+SUMPRODUCT((Inputs!$E$5:$E$110=$B19)*ISNUMBER(INDEX(Inputs!$K$5:$AJ$110,0,MATCH(N$2,Inputs!$K$4:$AJ$4,0))))=0,NA(),SUMPRODUCT((Inputs!$A$5:$A$110=$B19)*Inputs!$B$5:$B$110*(((Inputs!$G$5:$G$110="moeda")+(Inputs!$G$5:$G$110="acoes"))*Inputs!$B$1+((Inputs!$G$5:$G$110&lt;&gt;"moeda")*(Inputs!$G$5:$G$110&lt;&gt;"acoes")))*INDEX(Inputs!$K$5:$AJ$110,0,MATCH(N$2,Inputs!$K$4:$AJ$4,0)))+SUMPRODUCT((Inputs!$C$5:$C$110=$B19)*Inputs!$D$5:$D$110*(((Inputs!$G$5:$G$110="moeda")+(Inputs!$G$5:$G$110="acoes"))*Inputs!$B$1+((Inputs!$G$5:$G$110&lt;&gt;"moeda")*(Inputs!$G$5:$G$110&lt;&gt;"acoes")))*INDEX(Inputs!$K$5:$AJ$110,0,MATCH(N$2,Inputs!$K$4:$AJ$4,0)))+SUMPRODUCT((Inputs!$E$5:$E$110=$B19)*Inputs!$F$5:$F$110*(((Inputs!$G$5:$G$110="moeda")+(Inputs!$G$5:$G$110="acoes"))*Inputs!$B$1+((Inputs!$G$5:$G$110&lt;&gt;"moeda")*(Inputs!$G$5:$G$110&lt;&gt;"acoes")))*INDEX(Inputs!$K$5:$AJ$110,0,MATCH(N$2,Inputs!$K$4:$AJ$4,0)))))</f>
        <v>0</v>
      </c>
      <c r="O19" s="6">
        <f>IF(ISNA(MATCH(O$2,Inputs!$K$4:$AJ$4,0)),NA(),IF(SUMPRODUCT((Inputs!$A$5:$A$110=$B19)*ISNUMBER(INDEX(Inputs!$K$5:$AJ$110,0,MATCH(O$2,Inputs!$K$4:$AJ$4,0))))+SUMPRODUCT((Inputs!$C$5:$C$110=$B19)*ISNUMBER(INDEX(Inputs!$K$5:$AJ$110,0,MATCH(O$2,Inputs!$K$4:$AJ$4,0))))+SUMPRODUCT((Inputs!$E$5:$E$110=$B19)*ISNUMBER(INDEX(Inputs!$K$5:$AJ$110,0,MATCH(O$2,Inputs!$K$4:$AJ$4,0))))=0,NA(),SUMPRODUCT((Inputs!$A$5:$A$110=$B19)*Inputs!$B$5:$B$110*(((Inputs!$G$5:$G$110="moeda")+(Inputs!$G$5:$G$110="acoes"))*Inputs!$B$1+((Inputs!$G$5:$G$110&lt;&gt;"moeda")*(Inputs!$G$5:$G$110&lt;&gt;"acoes")))*INDEX(Inputs!$K$5:$AJ$110,0,MATCH(O$2,Inputs!$K$4:$AJ$4,0)))+SUMPRODUCT((Inputs!$C$5:$C$110=$B19)*Inputs!$D$5:$D$110*(((Inputs!$G$5:$G$110="moeda")+(Inputs!$G$5:$G$110="acoes"))*Inputs!$B$1+((Inputs!$G$5:$G$110&lt;&gt;"moeda")*(Inputs!$G$5:$G$110&lt;&gt;"acoes")))*INDEX(Inputs!$K$5:$AJ$110,0,MATCH(O$2,Inputs!$K$4:$AJ$4,0)))+SUMPRODUCT((Inputs!$E$5:$E$110=$B19)*Inputs!$F$5:$F$110*(((Inputs!$G$5:$G$110="moeda")+(Inputs!$G$5:$G$110="acoes"))*Inputs!$B$1+((Inputs!$G$5:$G$110&lt;&gt;"moeda")*(Inputs!$G$5:$G$110&lt;&gt;"acoes")))*INDEX(Inputs!$K$5:$AJ$110,0,MATCH(O$2,Inputs!$K$4:$AJ$4,0)))))</f>
        <v>0</v>
      </c>
      <c r="P19" s="6">
        <f>IF(ISNA(MATCH(P$2,Inputs!$K$4:$AJ$4,0)),NA(),IF(SUMPRODUCT((Inputs!$A$5:$A$110=$B19)*ISNUMBER(INDEX(Inputs!$K$5:$AJ$110,0,MATCH(P$2,Inputs!$K$4:$AJ$4,0))))+SUMPRODUCT((Inputs!$C$5:$C$110=$B19)*ISNUMBER(INDEX(Inputs!$K$5:$AJ$110,0,MATCH(P$2,Inputs!$K$4:$AJ$4,0))))+SUMPRODUCT((Inputs!$E$5:$E$110=$B19)*ISNUMBER(INDEX(Inputs!$K$5:$AJ$110,0,MATCH(P$2,Inputs!$K$4:$AJ$4,0))))=0,NA(),SUMPRODUCT((Inputs!$A$5:$A$110=$B19)*Inputs!$B$5:$B$110*(((Inputs!$G$5:$G$110="moeda")+(Inputs!$G$5:$G$110="acoes"))*Inputs!$B$1+((Inputs!$G$5:$G$110&lt;&gt;"moeda")*(Inputs!$G$5:$G$110&lt;&gt;"acoes")))*INDEX(Inputs!$K$5:$AJ$110,0,MATCH(P$2,Inputs!$K$4:$AJ$4,0)))+SUMPRODUCT((Inputs!$C$5:$C$110=$B19)*Inputs!$D$5:$D$110*(((Inputs!$G$5:$G$110="moeda")+(Inputs!$G$5:$G$110="acoes"))*Inputs!$B$1+((Inputs!$G$5:$G$110&lt;&gt;"moeda")*(Inputs!$G$5:$G$110&lt;&gt;"acoes")))*INDEX(Inputs!$K$5:$AJ$110,0,MATCH(P$2,Inputs!$K$4:$AJ$4,0)))+SUMPRODUCT((Inputs!$E$5:$E$110=$B19)*Inputs!$F$5:$F$110*(((Inputs!$G$5:$G$110="moeda")+(Inputs!$G$5:$G$110="acoes"))*Inputs!$B$1+((Inputs!$G$5:$G$110&lt;&gt;"moeda")*(Inputs!$G$5:$G$110&lt;&gt;"acoes")))*INDEX(Inputs!$K$5:$AJ$110,0,MATCH(P$2,Inputs!$K$4:$AJ$4,0)))))</f>
        <v>0</v>
      </c>
      <c r="Q19" s="6">
        <f>IF(ISNA(MATCH(Q$2,Inputs!$K$4:$AJ$4,0)),NA(),IF(SUMPRODUCT((Inputs!$A$5:$A$110=$B19)*ISNUMBER(INDEX(Inputs!$K$5:$AJ$110,0,MATCH(Q$2,Inputs!$K$4:$AJ$4,0))))+SUMPRODUCT((Inputs!$C$5:$C$110=$B19)*ISNUMBER(INDEX(Inputs!$K$5:$AJ$110,0,MATCH(Q$2,Inputs!$K$4:$AJ$4,0))))+SUMPRODUCT((Inputs!$E$5:$E$110=$B19)*ISNUMBER(INDEX(Inputs!$K$5:$AJ$110,0,MATCH(Q$2,Inputs!$K$4:$AJ$4,0))))=0,NA(),SUMPRODUCT((Inputs!$A$5:$A$110=$B19)*Inputs!$B$5:$B$110*(((Inputs!$G$5:$G$110="moeda")+(Inputs!$G$5:$G$110="acoes"))*Inputs!$B$1+((Inputs!$G$5:$G$110&lt;&gt;"moeda")*(Inputs!$G$5:$G$110&lt;&gt;"acoes")))*INDEX(Inputs!$K$5:$AJ$110,0,MATCH(Q$2,Inputs!$K$4:$AJ$4,0)))+SUMPRODUCT((Inputs!$C$5:$C$110=$B19)*Inputs!$D$5:$D$110*(((Inputs!$G$5:$G$110="moeda")+(Inputs!$G$5:$G$110="acoes"))*Inputs!$B$1+((Inputs!$G$5:$G$110&lt;&gt;"moeda")*(Inputs!$G$5:$G$110&lt;&gt;"acoes")))*INDEX(Inputs!$K$5:$AJ$110,0,MATCH(Q$2,Inputs!$K$4:$AJ$4,0)))+SUMPRODUCT((Inputs!$E$5:$E$110=$B19)*Inputs!$F$5:$F$110*(((Inputs!$G$5:$G$110="moeda")+(Inputs!$G$5:$G$110="acoes"))*Inputs!$B$1+((Inputs!$G$5:$G$110&lt;&gt;"moeda")*(Inputs!$G$5:$G$110&lt;&gt;"acoes")))*INDEX(Inputs!$K$5:$AJ$110,0,MATCH(Q$2,Inputs!$K$4:$AJ$4,0)))))</f>
        <v>0</v>
      </c>
      <c r="R19" s="3">
        <f>Q19</f>
        <v>0</v>
      </c>
      <c r="S19" s="6">
        <f>IF(ISNA(MATCH(S$2,Inputs!$K$4:$AJ$4,0)),NA(),IF(SUMPRODUCT((Inputs!$A$5:$A$110=$B19)*ISNUMBER(INDEX(Inputs!$K$5:$AJ$110,0,MATCH(S$2,Inputs!$K$4:$AJ$4,0))))+SUMPRODUCT((Inputs!$C$5:$C$110=$B19)*ISNUMBER(INDEX(Inputs!$K$5:$AJ$110,0,MATCH(S$2,Inputs!$K$4:$AJ$4,0))))+SUMPRODUCT((Inputs!$E$5:$E$110=$B19)*ISNUMBER(INDEX(Inputs!$K$5:$AJ$110,0,MATCH(S$2,Inputs!$K$4:$AJ$4,0))))=0,NA(),SUMPRODUCT((Inputs!$A$5:$A$110=$B19)*Inputs!$B$5:$B$110*(((Inputs!$G$5:$G$110="moeda")+(Inputs!$G$5:$G$110="acoes"))*Inputs!$B$1+((Inputs!$G$5:$G$110&lt;&gt;"moeda")*(Inputs!$G$5:$G$110&lt;&gt;"acoes")))*INDEX(Inputs!$K$5:$AJ$110,0,MATCH(S$2,Inputs!$K$4:$AJ$4,0)))+SUMPRODUCT((Inputs!$C$5:$C$110=$B19)*Inputs!$D$5:$D$110*(((Inputs!$G$5:$G$110="moeda")+(Inputs!$G$5:$G$110="acoes"))*Inputs!$B$1+((Inputs!$G$5:$G$110&lt;&gt;"moeda")*(Inputs!$G$5:$G$110&lt;&gt;"acoes")))*INDEX(Inputs!$K$5:$AJ$110,0,MATCH(S$2,Inputs!$K$4:$AJ$4,0)))+SUMPRODUCT((Inputs!$E$5:$E$110=$B19)*Inputs!$F$5:$F$110*(((Inputs!$G$5:$G$110="moeda")+(Inputs!$G$5:$G$110="acoes"))*Inputs!$B$1+((Inputs!$G$5:$G$110&lt;&gt;"moeda")*(Inputs!$G$5:$G$110&lt;&gt;"acoes")))*INDEX(Inputs!$K$5:$AJ$110,0,MATCH(S$2,Inputs!$K$4:$AJ$4,0)))))</f>
        <v>0</v>
      </c>
      <c r="T19" s="6">
        <f>IF(ISNA(MATCH(T$2,Inputs!$K$4:$AJ$4,0)),NA(),IF(SUMPRODUCT((Inputs!$A$5:$A$110=$B19)*ISNUMBER(INDEX(Inputs!$K$5:$AJ$110,0,MATCH(T$2,Inputs!$K$4:$AJ$4,0))))+SUMPRODUCT((Inputs!$C$5:$C$110=$B19)*ISNUMBER(INDEX(Inputs!$K$5:$AJ$110,0,MATCH(T$2,Inputs!$K$4:$AJ$4,0))))+SUMPRODUCT((Inputs!$E$5:$E$110=$B19)*ISNUMBER(INDEX(Inputs!$K$5:$AJ$110,0,MATCH(T$2,Inputs!$K$4:$AJ$4,0))))=0,NA(),SUMPRODUCT((Inputs!$A$5:$A$110=$B19)*Inputs!$B$5:$B$110*(((Inputs!$G$5:$G$110="moeda")+(Inputs!$G$5:$G$110="acoes"))*Inputs!$B$1+((Inputs!$G$5:$G$110&lt;&gt;"moeda")*(Inputs!$G$5:$G$110&lt;&gt;"acoes")))*INDEX(Inputs!$K$5:$AJ$110,0,MATCH(T$2,Inputs!$K$4:$AJ$4,0)))+SUMPRODUCT((Inputs!$C$5:$C$110=$B19)*Inputs!$D$5:$D$110*(((Inputs!$G$5:$G$110="moeda")+(Inputs!$G$5:$G$110="acoes"))*Inputs!$B$1+((Inputs!$G$5:$G$110&lt;&gt;"moeda")*(Inputs!$G$5:$G$110&lt;&gt;"acoes")))*INDEX(Inputs!$K$5:$AJ$110,0,MATCH(T$2,Inputs!$K$4:$AJ$4,0)))+SUMPRODUCT((Inputs!$E$5:$E$110=$B19)*Inputs!$F$5:$F$110*(((Inputs!$G$5:$G$110="moeda")+(Inputs!$G$5:$G$110="acoes"))*Inputs!$B$1+((Inputs!$G$5:$G$110&lt;&gt;"moeda")*(Inputs!$G$5:$G$110&lt;&gt;"acoes")))*INDEX(Inputs!$K$5:$AJ$110,0,MATCH(T$2,Inputs!$K$4:$AJ$4,0)))))</f>
        <v>0</v>
      </c>
      <c r="U19" s="6">
        <f>IF(ISNA(MATCH(U$2,Inputs!$K$4:$AJ$4,0)),NA(),IF(SUMPRODUCT((Inputs!$A$5:$A$110=$B19)*ISNUMBER(INDEX(Inputs!$K$5:$AJ$110,0,MATCH(U$2,Inputs!$K$4:$AJ$4,0))))+SUMPRODUCT((Inputs!$C$5:$C$110=$B19)*ISNUMBER(INDEX(Inputs!$K$5:$AJ$110,0,MATCH(U$2,Inputs!$K$4:$AJ$4,0))))+SUMPRODUCT((Inputs!$E$5:$E$110=$B19)*ISNUMBER(INDEX(Inputs!$K$5:$AJ$110,0,MATCH(U$2,Inputs!$K$4:$AJ$4,0))))=0,NA(),SUMPRODUCT((Inputs!$A$5:$A$110=$B19)*Inputs!$B$5:$B$110*(((Inputs!$G$5:$G$110="moeda")+(Inputs!$G$5:$G$110="acoes"))*Inputs!$B$1+((Inputs!$G$5:$G$110&lt;&gt;"moeda")*(Inputs!$G$5:$G$110&lt;&gt;"acoes")))*INDEX(Inputs!$K$5:$AJ$110,0,MATCH(U$2,Inputs!$K$4:$AJ$4,0)))+SUMPRODUCT((Inputs!$C$5:$C$110=$B19)*Inputs!$D$5:$D$110*(((Inputs!$G$5:$G$110="moeda")+(Inputs!$G$5:$G$110="acoes"))*Inputs!$B$1+((Inputs!$G$5:$G$110&lt;&gt;"moeda")*(Inputs!$G$5:$G$110&lt;&gt;"acoes")))*INDEX(Inputs!$K$5:$AJ$110,0,MATCH(U$2,Inputs!$K$4:$AJ$4,0)))+SUMPRODUCT((Inputs!$E$5:$E$110=$B19)*Inputs!$F$5:$F$110*(((Inputs!$G$5:$G$110="moeda")+(Inputs!$G$5:$G$110="acoes"))*Inputs!$B$1+((Inputs!$G$5:$G$110&lt;&gt;"moeda")*(Inputs!$G$5:$G$110&lt;&gt;"acoes")))*INDEX(Inputs!$K$5:$AJ$110,0,MATCH(U$2,Inputs!$K$4:$AJ$4,0)))))</f>
        <v>0</v>
      </c>
      <c r="V19" s="6">
        <f>IF(ISNA(MATCH(V$2,Inputs!$K$4:$AJ$4,0)),NA(),IF(SUMPRODUCT((Inputs!$A$5:$A$110=$B19)*ISNUMBER(INDEX(Inputs!$K$5:$AJ$110,0,MATCH(V$2,Inputs!$K$4:$AJ$4,0))))+SUMPRODUCT((Inputs!$C$5:$C$110=$B19)*ISNUMBER(INDEX(Inputs!$K$5:$AJ$110,0,MATCH(V$2,Inputs!$K$4:$AJ$4,0))))+SUMPRODUCT((Inputs!$E$5:$E$110=$B19)*ISNUMBER(INDEX(Inputs!$K$5:$AJ$110,0,MATCH(V$2,Inputs!$K$4:$AJ$4,0))))=0,NA(),SUMPRODUCT((Inputs!$A$5:$A$110=$B19)*Inputs!$B$5:$B$110*(((Inputs!$G$5:$G$110="moeda")+(Inputs!$G$5:$G$110="acoes"))*Inputs!$B$1+((Inputs!$G$5:$G$110&lt;&gt;"moeda")*(Inputs!$G$5:$G$110&lt;&gt;"acoes")))*INDEX(Inputs!$K$5:$AJ$110,0,MATCH(V$2,Inputs!$K$4:$AJ$4,0)))+SUMPRODUCT((Inputs!$C$5:$C$110=$B19)*Inputs!$D$5:$D$110*(((Inputs!$G$5:$G$110="moeda")+(Inputs!$G$5:$G$110="acoes"))*Inputs!$B$1+((Inputs!$G$5:$G$110&lt;&gt;"moeda")*(Inputs!$G$5:$G$110&lt;&gt;"acoes")))*INDEX(Inputs!$K$5:$AJ$110,0,MATCH(V$2,Inputs!$K$4:$AJ$4,0)))+SUMPRODUCT((Inputs!$E$5:$E$110=$B19)*Inputs!$F$5:$F$110*(((Inputs!$G$5:$G$110="moeda")+(Inputs!$G$5:$G$110="acoes"))*Inputs!$B$1+((Inputs!$G$5:$G$110&lt;&gt;"moeda")*(Inputs!$G$5:$G$110&lt;&gt;"acoes")))*INDEX(Inputs!$K$5:$AJ$110,0,MATCH(V$2,Inputs!$K$4:$AJ$4,0)))))</f>
        <v>0</v>
      </c>
      <c r="W19" s="3">
        <f>V19</f>
        <v>0</v>
      </c>
      <c r="X19" s="6">
        <f>IF(ISNA(MATCH(X$2,Inputs!$K$4:$AJ$4,0)),NA(),IF(SUMPRODUCT((Inputs!$A$5:$A$110=$B19)*ISNUMBER(INDEX(Inputs!$K$5:$AJ$110,0,MATCH(X$2,Inputs!$K$4:$AJ$4,0))))+SUMPRODUCT((Inputs!$C$5:$C$110=$B19)*ISNUMBER(INDEX(Inputs!$K$5:$AJ$110,0,MATCH(X$2,Inputs!$K$4:$AJ$4,0))))+SUMPRODUCT((Inputs!$E$5:$E$110=$B19)*ISNUMBER(INDEX(Inputs!$K$5:$AJ$110,0,MATCH(X$2,Inputs!$K$4:$AJ$4,0))))=0,NA(),SUMPRODUCT((Inputs!$A$5:$A$110=$B19)*Inputs!$B$5:$B$110*(((Inputs!$G$5:$G$110="moeda")+(Inputs!$G$5:$G$110="acoes"))*Inputs!$B$1+((Inputs!$G$5:$G$110&lt;&gt;"moeda")*(Inputs!$G$5:$G$110&lt;&gt;"acoes")))*INDEX(Inputs!$K$5:$AJ$110,0,MATCH(X$2,Inputs!$K$4:$AJ$4,0)))+SUMPRODUCT((Inputs!$C$5:$C$110=$B19)*Inputs!$D$5:$D$110*(((Inputs!$G$5:$G$110="moeda")+(Inputs!$G$5:$G$110="acoes"))*Inputs!$B$1+((Inputs!$G$5:$G$110&lt;&gt;"moeda")*(Inputs!$G$5:$G$110&lt;&gt;"acoes")))*INDEX(Inputs!$K$5:$AJ$110,0,MATCH(X$2,Inputs!$K$4:$AJ$4,0)))+SUMPRODUCT((Inputs!$E$5:$E$110=$B19)*Inputs!$F$5:$F$110*(((Inputs!$G$5:$G$110="moeda")+(Inputs!$G$5:$G$110="acoes"))*Inputs!$B$1+((Inputs!$G$5:$G$110&lt;&gt;"moeda")*(Inputs!$G$5:$G$110&lt;&gt;"acoes")))*INDEX(Inputs!$K$5:$AJ$110,0,MATCH(X$2,Inputs!$K$4:$AJ$4,0)))))</f>
        <v>0</v>
      </c>
      <c r="Y19" s="6">
        <f>IF(ISNA(MATCH(Y$2,Inputs!$K$4:$AJ$4,0)),NA(),IF(SUMPRODUCT((Inputs!$A$5:$A$110=$B19)*ISNUMBER(INDEX(Inputs!$K$5:$AJ$110,0,MATCH(Y$2,Inputs!$K$4:$AJ$4,0))))+SUMPRODUCT((Inputs!$C$5:$C$110=$B19)*ISNUMBER(INDEX(Inputs!$K$5:$AJ$110,0,MATCH(Y$2,Inputs!$K$4:$AJ$4,0))))+SUMPRODUCT((Inputs!$E$5:$E$110=$B19)*ISNUMBER(INDEX(Inputs!$K$5:$AJ$110,0,MATCH(Y$2,Inputs!$K$4:$AJ$4,0))))=0,NA(),SUMPRODUCT((Inputs!$A$5:$A$110=$B19)*Inputs!$B$5:$B$110*(((Inputs!$G$5:$G$110="moeda")+(Inputs!$G$5:$G$110="acoes"))*Inputs!$B$1+((Inputs!$G$5:$G$110&lt;&gt;"moeda")*(Inputs!$G$5:$G$110&lt;&gt;"acoes")))*INDEX(Inputs!$K$5:$AJ$110,0,MATCH(Y$2,Inputs!$K$4:$AJ$4,0)))+SUMPRODUCT((Inputs!$C$5:$C$110=$B19)*Inputs!$D$5:$D$110*(((Inputs!$G$5:$G$110="moeda")+(Inputs!$G$5:$G$110="acoes"))*Inputs!$B$1+((Inputs!$G$5:$G$110&lt;&gt;"moeda")*(Inputs!$G$5:$G$110&lt;&gt;"acoes")))*INDEX(Inputs!$K$5:$AJ$110,0,MATCH(Y$2,Inputs!$K$4:$AJ$4,0)))+SUMPRODUCT((Inputs!$E$5:$E$110=$B19)*Inputs!$F$5:$F$110*(((Inputs!$G$5:$G$110="moeda")+(Inputs!$G$5:$G$110="acoes"))*Inputs!$B$1+((Inputs!$G$5:$G$110&lt;&gt;"moeda")*(Inputs!$G$5:$G$110&lt;&gt;"acoes")))*INDEX(Inputs!$K$5:$AJ$110,0,MATCH(Y$2,Inputs!$K$4:$AJ$4,0)))))</f>
        <v>0</v>
      </c>
      <c r="Z19" s="6">
        <f>IF(ISNA(MATCH(Z$2,Inputs!$K$4:$AJ$4,0)),NA(),IF(SUMPRODUCT((Inputs!$A$5:$A$110=$B19)*ISNUMBER(INDEX(Inputs!$K$5:$AJ$110,0,MATCH(Z$2,Inputs!$K$4:$AJ$4,0))))+SUMPRODUCT((Inputs!$C$5:$C$110=$B19)*ISNUMBER(INDEX(Inputs!$K$5:$AJ$110,0,MATCH(Z$2,Inputs!$K$4:$AJ$4,0))))+SUMPRODUCT((Inputs!$E$5:$E$110=$B19)*ISNUMBER(INDEX(Inputs!$K$5:$AJ$110,0,MATCH(Z$2,Inputs!$K$4:$AJ$4,0))))=0,NA(),SUMPRODUCT((Inputs!$A$5:$A$110=$B19)*Inputs!$B$5:$B$110*(((Inputs!$G$5:$G$110="moeda")+(Inputs!$G$5:$G$110="acoes"))*Inputs!$B$1+((Inputs!$G$5:$G$110&lt;&gt;"moeda")*(Inputs!$G$5:$G$110&lt;&gt;"acoes")))*INDEX(Inputs!$K$5:$AJ$110,0,MATCH(Z$2,Inputs!$K$4:$AJ$4,0)))+SUMPRODUCT((Inputs!$C$5:$C$110=$B19)*Inputs!$D$5:$D$110*(((Inputs!$G$5:$G$110="moeda")+(Inputs!$G$5:$G$110="acoes"))*Inputs!$B$1+((Inputs!$G$5:$G$110&lt;&gt;"moeda")*(Inputs!$G$5:$G$110&lt;&gt;"acoes")))*INDEX(Inputs!$K$5:$AJ$110,0,MATCH(Z$2,Inputs!$K$4:$AJ$4,0)))+SUMPRODUCT((Inputs!$E$5:$E$110=$B19)*Inputs!$F$5:$F$110*(((Inputs!$G$5:$G$110="moeda")+(Inputs!$G$5:$G$110="acoes"))*Inputs!$B$1+((Inputs!$G$5:$G$110&lt;&gt;"moeda")*(Inputs!$G$5:$G$110&lt;&gt;"acoes")))*INDEX(Inputs!$K$5:$AJ$110,0,MATCH(Z$2,Inputs!$K$4:$AJ$4,0)))))</f>
        <v>0</v>
      </c>
      <c r="AA19" s="6">
        <f>IF(ISNA(MATCH(AA$2,Inputs!$K$4:$AJ$4,0)),NA(),IF(SUMPRODUCT((Inputs!$A$5:$A$110=$B19)*ISNUMBER(INDEX(Inputs!$K$5:$AJ$110,0,MATCH(AA$2,Inputs!$K$4:$AJ$4,0))))+SUMPRODUCT((Inputs!$C$5:$C$110=$B19)*ISNUMBER(INDEX(Inputs!$K$5:$AJ$110,0,MATCH(AA$2,Inputs!$K$4:$AJ$4,0))))+SUMPRODUCT((Inputs!$E$5:$E$110=$B19)*ISNUMBER(INDEX(Inputs!$K$5:$AJ$110,0,MATCH(AA$2,Inputs!$K$4:$AJ$4,0))))=0,NA(),SUMPRODUCT((Inputs!$A$5:$A$110=$B19)*Inputs!$B$5:$B$110*(((Inputs!$G$5:$G$110="moeda")+(Inputs!$G$5:$G$110="acoes"))*Inputs!$B$1+((Inputs!$G$5:$G$110&lt;&gt;"moeda")*(Inputs!$G$5:$G$110&lt;&gt;"acoes")))*INDEX(Inputs!$K$5:$AJ$110,0,MATCH(AA$2,Inputs!$K$4:$AJ$4,0)))+SUMPRODUCT((Inputs!$C$5:$C$110=$B19)*Inputs!$D$5:$D$110*(((Inputs!$G$5:$G$110="moeda")+(Inputs!$G$5:$G$110="acoes"))*Inputs!$B$1+((Inputs!$G$5:$G$110&lt;&gt;"moeda")*(Inputs!$G$5:$G$110&lt;&gt;"acoes")))*INDEX(Inputs!$K$5:$AJ$110,0,MATCH(AA$2,Inputs!$K$4:$AJ$4,0)))+SUMPRODUCT((Inputs!$E$5:$E$110=$B19)*Inputs!$F$5:$F$110*(((Inputs!$G$5:$G$110="moeda")+(Inputs!$G$5:$G$110="acoes"))*Inputs!$B$1+((Inputs!$G$5:$G$110&lt;&gt;"moeda")*(Inputs!$G$5:$G$110&lt;&gt;"acoes")))*INDEX(Inputs!$K$5:$AJ$110,0,MATCH(AA$2,Inputs!$K$4:$AJ$4,0)))))</f>
        <v>0</v>
      </c>
      <c r="AB19" s="3">
        <f>AA19</f>
        <v>0</v>
      </c>
      <c r="AC19" s="6">
        <f>IF(ISNA(MATCH(AC$2,Inputs!$K$4:$AJ$4,0)),NA(),IF(SUMPRODUCT((Inputs!$A$5:$A$110=$B19)*ISNUMBER(INDEX(Inputs!$K$5:$AJ$110,0,MATCH(AC$2,Inputs!$K$4:$AJ$4,0))))+SUMPRODUCT((Inputs!$C$5:$C$110=$B19)*ISNUMBER(INDEX(Inputs!$K$5:$AJ$110,0,MATCH(AC$2,Inputs!$K$4:$AJ$4,0))))+SUMPRODUCT((Inputs!$E$5:$E$110=$B19)*ISNUMBER(INDEX(Inputs!$K$5:$AJ$110,0,MATCH(AC$2,Inputs!$K$4:$AJ$4,0))))=0,NA(),SUMPRODUCT((Inputs!$A$5:$A$110=$B19)*Inputs!$B$5:$B$110*(((Inputs!$G$5:$G$110="moeda")+(Inputs!$G$5:$G$110="acoes"))*Inputs!$B$1+((Inputs!$G$5:$G$110&lt;&gt;"moeda")*(Inputs!$G$5:$G$110&lt;&gt;"acoes")))*INDEX(Inputs!$K$5:$AJ$110,0,MATCH(AC$2,Inputs!$K$4:$AJ$4,0)))+SUMPRODUCT((Inputs!$C$5:$C$110=$B19)*Inputs!$D$5:$D$110*(((Inputs!$G$5:$G$110="moeda")+(Inputs!$G$5:$G$110="acoes"))*Inputs!$B$1+((Inputs!$G$5:$G$110&lt;&gt;"moeda")*(Inputs!$G$5:$G$110&lt;&gt;"acoes")))*INDEX(Inputs!$K$5:$AJ$110,0,MATCH(AC$2,Inputs!$K$4:$AJ$4,0)))+SUMPRODUCT((Inputs!$E$5:$E$110=$B19)*Inputs!$F$5:$F$110*(((Inputs!$G$5:$G$110="moeda")+(Inputs!$G$5:$G$110="acoes"))*Inputs!$B$1+((Inputs!$G$5:$G$110&lt;&gt;"moeda")*(Inputs!$G$5:$G$110&lt;&gt;"acoes")))*INDEX(Inputs!$K$5:$AJ$110,0,MATCH(AC$2,Inputs!$K$4:$AJ$4,0)))))</f>
        <v>0</v>
      </c>
      <c r="AD19" s="6">
        <f>IF(ISNA(MATCH(AD$2,Inputs!$K$4:$AJ$4,0)),NA(),IF(SUMPRODUCT((Inputs!$A$5:$A$110=$B19)*ISNUMBER(INDEX(Inputs!$K$5:$AJ$110,0,MATCH(AD$2,Inputs!$K$4:$AJ$4,0))))+SUMPRODUCT((Inputs!$C$5:$C$110=$B19)*ISNUMBER(INDEX(Inputs!$K$5:$AJ$110,0,MATCH(AD$2,Inputs!$K$4:$AJ$4,0))))+SUMPRODUCT((Inputs!$E$5:$E$110=$B19)*ISNUMBER(INDEX(Inputs!$K$5:$AJ$110,0,MATCH(AD$2,Inputs!$K$4:$AJ$4,0))))=0,NA(),SUMPRODUCT((Inputs!$A$5:$A$110=$B19)*Inputs!$B$5:$B$110*(((Inputs!$G$5:$G$110="moeda")+(Inputs!$G$5:$G$110="acoes"))*Inputs!$B$1+((Inputs!$G$5:$G$110&lt;&gt;"moeda")*(Inputs!$G$5:$G$110&lt;&gt;"acoes")))*INDEX(Inputs!$K$5:$AJ$110,0,MATCH(AD$2,Inputs!$K$4:$AJ$4,0)))+SUMPRODUCT((Inputs!$C$5:$C$110=$B19)*Inputs!$D$5:$D$110*(((Inputs!$G$5:$G$110="moeda")+(Inputs!$G$5:$G$110="acoes"))*Inputs!$B$1+((Inputs!$G$5:$G$110&lt;&gt;"moeda")*(Inputs!$G$5:$G$110&lt;&gt;"acoes")))*INDEX(Inputs!$K$5:$AJ$110,0,MATCH(AD$2,Inputs!$K$4:$AJ$4,0)))+SUMPRODUCT((Inputs!$E$5:$E$110=$B19)*Inputs!$F$5:$F$110*(((Inputs!$G$5:$G$110="moeda")+(Inputs!$G$5:$G$110="acoes"))*Inputs!$B$1+((Inputs!$G$5:$G$110&lt;&gt;"moeda")*(Inputs!$G$5:$G$110&lt;&gt;"acoes")))*INDEX(Inputs!$K$5:$AJ$110,0,MATCH(AD$2,Inputs!$K$4:$AJ$4,0)))))</f>
        <v>0</v>
      </c>
      <c r="AE19" s="6" t="e">
        <f>IF(ISNA(MATCH(AE$2,Inputs!$K$4:$AJ$4,0)),NA(),IF(SUMPRODUCT((Inputs!$A$5:$A$110=$B19)*ISNUMBER(INDEX(Inputs!$K$5:$AJ$110,0,MATCH(AE$2,Inputs!$K$4:$AJ$4,0))))+SUMPRODUCT((Inputs!$C$5:$C$110=$B19)*ISNUMBER(INDEX(Inputs!$K$5:$AJ$110,0,MATCH(AE$2,Inputs!$K$4:$AJ$4,0))))+SUMPRODUCT((Inputs!$E$5:$E$110=$B19)*ISNUMBER(INDEX(Inputs!$K$5:$AJ$110,0,MATCH(AE$2,Inputs!$K$4:$AJ$4,0))))=0,NA(),SUMPRODUCT((Inputs!$A$5:$A$110=$B19)*Inputs!$B$5:$B$110*(((Inputs!$G$5:$G$110="moeda")+(Inputs!$G$5:$G$110="acoes"))*Inputs!$B$1+((Inputs!$G$5:$G$110&lt;&gt;"moeda")*(Inputs!$G$5:$G$110&lt;&gt;"acoes")))*INDEX(Inputs!$K$5:$AJ$110,0,MATCH(AE$2,Inputs!$K$4:$AJ$4,0)))+SUMPRODUCT((Inputs!$C$5:$C$110=$B19)*Inputs!$D$5:$D$110*(((Inputs!$G$5:$G$110="moeda")+(Inputs!$G$5:$G$110="acoes"))*Inputs!$B$1+((Inputs!$G$5:$G$110&lt;&gt;"moeda")*(Inputs!$G$5:$G$110&lt;&gt;"acoes")))*INDEX(Inputs!$K$5:$AJ$110,0,MATCH(AE$2,Inputs!$K$4:$AJ$4,0)))+SUMPRODUCT((Inputs!$E$5:$E$110=$B19)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19" s="6" t="e">
        <f>IF(ISNA(MATCH(AF$2,Inputs!$K$4:$AJ$4,0)),NA(),IF(SUMPRODUCT((Inputs!$A$5:$A$110=$B19)*ISNUMBER(INDEX(Inputs!$K$5:$AJ$110,0,MATCH(AF$2,Inputs!$K$4:$AJ$4,0))))+SUMPRODUCT((Inputs!$C$5:$C$110=$B19)*ISNUMBER(INDEX(Inputs!$K$5:$AJ$110,0,MATCH(AF$2,Inputs!$K$4:$AJ$4,0))))+SUMPRODUCT((Inputs!$E$5:$E$110=$B19)*ISNUMBER(INDEX(Inputs!$K$5:$AJ$110,0,MATCH(AF$2,Inputs!$K$4:$AJ$4,0))))=0,NA(),SUMPRODUCT((Inputs!$A$5:$A$110=$B19)*Inputs!$B$5:$B$110*(((Inputs!$G$5:$G$110="moeda")+(Inputs!$G$5:$G$110="acoes"))*Inputs!$B$1+((Inputs!$G$5:$G$110&lt;&gt;"moeda")*(Inputs!$G$5:$G$110&lt;&gt;"acoes")))*INDEX(Inputs!$K$5:$AJ$110,0,MATCH(AF$2,Inputs!$K$4:$AJ$4,0)))+SUMPRODUCT((Inputs!$C$5:$C$110=$B19)*Inputs!$D$5:$D$110*(((Inputs!$G$5:$G$110="moeda")+(Inputs!$G$5:$G$110="acoes"))*Inputs!$B$1+((Inputs!$G$5:$G$110&lt;&gt;"moeda")*(Inputs!$G$5:$G$110&lt;&gt;"acoes")))*INDEX(Inputs!$K$5:$AJ$110,0,MATCH(AF$2,Inputs!$K$4:$AJ$4,0)))+SUMPRODUCT((Inputs!$E$5:$E$110=$B19)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19" s="3" t="e">
        <f>AF19</f>
        <v>#N/A</v>
      </c>
      <c r="AH19" s="6">
        <f>IF(ISNA(MATCH(AH$2,Inputs!$K$4:$AJ$4,0)),NA(),IF(SUMPRODUCT((Inputs!$A$5:$A$110=$B19)*ISNUMBER(INDEX(Inputs!$K$5:$AJ$110,0,MATCH(AH$2,Inputs!$K$4:$AJ$4,0))))+SUMPRODUCT((Inputs!$C$5:$C$110=$B19)*ISNUMBER(INDEX(Inputs!$K$5:$AJ$110,0,MATCH(AH$2,Inputs!$K$4:$AJ$4,0))))+SUMPRODUCT((Inputs!$E$5:$E$110=$B19)*ISNUMBER(INDEX(Inputs!$K$5:$AJ$110,0,MATCH(AH$2,Inputs!$K$4:$AJ$4,0))))=0,NA(),SUMPRODUCT((Inputs!$A$5:$A$110=$B19)*Inputs!$B$5:$B$110*(((Inputs!$G$5:$G$110="moeda")+(Inputs!$G$5:$G$110="acoes"))*Inputs!$B$1+((Inputs!$G$5:$G$110&lt;&gt;"moeda")*(Inputs!$G$5:$G$110&lt;&gt;"acoes")))*INDEX(Inputs!$K$5:$AJ$110,0,MATCH(AH$2,Inputs!$K$4:$AJ$4,0)))+SUMPRODUCT((Inputs!$C$5:$C$110=$B19)*Inputs!$D$5:$D$110*(((Inputs!$G$5:$G$110="moeda")+(Inputs!$G$5:$G$110="acoes"))*Inputs!$B$1+((Inputs!$G$5:$G$110&lt;&gt;"moeda")*(Inputs!$G$5:$G$110&lt;&gt;"acoes")))*INDEX(Inputs!$K$5:$AJ$110,0,MATCH(AH$2,Inputs!$K$4:$AJ$4,0)))+SUMPRODUCT((Inputs!$E$5:$E$110=$B19)*Inputs!$F$5:$F$110*(((Inputs!$G$5:$G$110="moeda")+(Inputs!$G$5:$G$110="acoes"))*Inputs!$B$1+((Inputs!$G$5:$G$110&lt;&gt;"moeda")*(Inputs!$G$5:$G$110&lt;&gt;"acoes")))*INDEX(Inputs!$K$5:$AJ$110,0,MATCH(AH$2,Inputs!$K$4:$AJ$4,0)))))</f>
        <v>0</v>
      </c>
      <c r="AI19" s="6">
        <f>IF(ISNA(MATCH(AI$2,Inputs!$K$4:$AJ$4,0)),NA(),IF(SUMPRODUCT((Inputs!$A$5:$A$110=$B19)*ISNUMBER(INDEX(Inputs!$K$5:$AJ$110,0,MATCH(AI$2,Inputs!$K$4:$AJ$4,0))))+SUMPRODUCT((Inputs!$C$5:$C$110=$B19)*ISNUMBER(INDEX(Inputs!$K$5:$AJ$110,0,MATCH(AI$2,Inputs!$K$4:$AJ$4,0))))+SUMPRODUCT((Inputs!$E$5:$E$110=$B19)*ISNUMBER(INDEX(Inputs!$K$5:$AJ$110,0,MATCH(AI$2,Inputs!$K$4:$AJ$4,0))))=0,NA(),SUMPRODUCT((Inputs!$A$5:$A$110=$B19)*Inputs!$B$5:$B$110*(((Inputs!$G$5:$G$110="moeda")+(Inputs!$G$5:$G$110="acoes"))*Inputs!$B$1+((Inputs!$G$5:$G$110&lt;&gt;"moeda")*(Inputs!$G$5:$G$110&lt;&gt;"acoes")))*INDEX(Inputs!$K$5:$AJ$110,0,MATCH(AI$2,Inputs!$K$4:$AJ$4,0)))+SUMPRODUCT((Inputs!$C$5:$C$110=$B19)*Inputs!$D$5:$D$110*(((Inputs!$G$5:$G$110="moeda")+(Inputs!$G$5:$G$110="acoes"))*Inputs!$B$1+((Inputs!$G$5:$G$110&lt;&gt;"moeda")*(Inputs!$G$5:$G$110&lt;&gt;"acoes")))*INDEX(Inputs!$K$5:$AJ$110,0,MATCH(AI$2,Inputs!$K$4:$AJ$4,0)))+SUMPRODUCT((Inputs!$E$5:$E$110=$B19)*Inputs!$F$5:$F$110*(((Inputs!$G$5:$G$110="moeda")+(Inputs!$G$5:$G$110="acoes"))*Inputs!$B$1+((Inputs!$G$5:$G$110&lt;&gt;"moeda")*(Inputs!$G$5:$G$110&lt;&gt;"acoes")))*INDEX(Inputs!$K$5:$AJ$110,0,MATCH(AI$2,Inputs!$K$4:$AJ$4,0)))))</f>
        <v>0</v>
      </c>
      <c r="AJ19" s="6">
        <f>IF(ISNA(MATCH(AJ$2,Inputs!$K$4:$AJ$4,0)),NA(),IF(SUMPRODUCT((Inputs!$A$5:$A$110=$B19)*ISNUMBER(INDEX(Inputs!$K$5:$AJ$110,0,MATCH(AJ$2,Inputs!$K$4:$AJ$4,0))))+SUMPRODUCT((Inputs!$C$5:$C$110=$B19)*ISNUMBER(INDEX(Inputs!$K$5:$AJ$110,0,MATCH(AJ$2,Inputs!$K$4:$AJ$4,0))))+SUMPRODUCT((Inputs!$E$5:$E$110=$B19)*ISNUMBER(INDEX(Inputs!$K$5:$AJ$110,0,MATCH(AJ$2,Inputs!$K$4:$AJ$4,0))))=0,NA(),SUMPRODUCT((Inputs!$A$5:$A$110=$B19)*Inputs!$B$5:$B$110*(((Inputs!$G$5:$G$110="moeda")+(Inputs!$G$5:$G$110="acoes"))*Inputs!$B$1+((Inputs!$G$5:$G$110&lt;&gt;"moeda")*(Inputs!$G$5:$G$110&lt;&gt;"acoes")))*INDEX(Inputs!$K$5:$AJ$110,0,MATCH(AJ$2,Inputs!$K$4:$AJ$4,0)))+SUMPRODUCT((Inputs!$C$5:$C$110=$B19)*Inputs!$D$5:$D$110*(((Inputs!$G$5:$G$110="moeda")+(Inputs!$G$5:$G$110="acoes"))*Inputs!$B$1+((Inputs!$G$5:$G$110&lt;&gt;"moeda")*(Inputs!$G$5:$G$110&lt;&gt;"acoes")))*INDEX(Inputs!$K$5:$AJ$110,0,MATCH(AJ$2,Inputs!$K$4:$AJ$4,0)))+SUMPRODUCT((Inputs!$E$5:$E$110=$B19)*Inputs!$F$5:$F$110*(((Inputs!$G$5:$G$110="moeda")+(Inputs!$G$5:$G$110="acoes"))*Inputs!$B$1+((Inputs!$G$5:$G$110&lt;&gt;"moeda")*(Inputs!$G$5:$G$110&lt;&gt;"acoes")))*INDEX(Inputs!$K$5:$AJ$110,0,MATCH(AJ$2,Inputs!$K$4:$AJ$4,0)))))</f>
        <v>0</v>
      </c>
      <c r="AK19" s="6">
        <f>IF(ISNA(MATCH(AK$2,Inputs!$K$4:$AJ$4,0)),NA(),IF(SUMPRODUCT((Inputs!$A$5:$A$110=$B19)*ISNUMBER(INDEX(Inputs!$K$5:$AJ$110,0,MATCH(AK$2,Inputs!$K$4:$AJ$4,0))))+SUMPRODUCT((Inputs!$C$5:$C$110=$B19)*ISNUMBER(INDEX(Inputs!$K$5:$AJ$110,0,MATCH(AK$2,Inputs!$K$4:$AJ$4,0))))+SUMPRODUCT((Inputs!$E$5:$E$110=$B19)*ISNUMBER(INDEX(Inputs!$K$5:$AJ$110,0,MATCH(AK$2,Inputs!$K$4:$AJ$4,0))))=0,NA(),SUMPRODUCT((Inputs!$A$5:$A$110=$B19)*Inputs!$B$5:$B$110*(((Inputs!$G$5:$G$110="moeda")+(Inputs!$G$5:$G$110="acoes"))*Inputs!$B$1+((Inputs!$G$5:$G$110&lt;&gt;"moeda")*(Inputs!$G$5:$G$110&lt;&gt;"acoes")))*INDEX(Inputs!$K$5:$AJ$110,0,MATCH(AK$2,Inputs!$K$4:$AJ$4,0)))+SUMPRODUCT((Inputs!$C$5:$C$110=$B19)*Inputs!$D$5:$D$110*(((Inputs!$G$5:$G$110="moeda")+(Inputs!$G$5:$G$110="acoes"))*Inputs!$B$1+((Inputs!$G$5:$G$110&lt;&gt;"moeda")*(Inputs!$G$5:$G$110&lt;&gt;"acoes")))*INDEX(Inputs!$K$5:$AJ$110,0,MATCH(AK$2,Inputs!$K$4:$AJ$4,0)))+SUMPRODUCT((Inputs!$E$5:$E$110=$B19)*Inputs!$F$5:$F$110*(((Inputs!$G$5:$G$110="moeda")+(Inputs!$G$5:$G$110="acoes"))*Inputs!$B$1+((Inputs!$G$5:$G$110&lt;&gt;"moeda")*(Inputs!$G$5:$G$110&lt;&gt;"acoes")))*INDEX(Inputs!$K$5:$AJ$110,0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$110=$B20)*ISNUMBER(INDEX(Inputs!$K$5:$AJ$110,0,MATCH(D$2,Inputs!$K$4:$AJ$4,0))))+SUMPRODUCT((Inputs!$C$5:$C$110=$B20)*ISNUMBER(INDEX(Inputs!$K$5:$AJ$110,0,MATCH(D$2,Inputs!$K$4:$AJ$4,0))))+SUMPRODUCT((Inputs!$E$5:$E$110=$B20)*ISNUMBER(INDEX(Inputs!$K$5:$AJ$110,0,MATCH(D$2,Inputs!$K$4:$AJ$4,0))))=0,NA(),SUMPRODUCT((Inputs!$A$5:$A$110=$B20)*Inputs!$B$5:$B$110*(((Inputs!$G$5:$G$110="moeda")+(Inputs!$G$5:$G$110="acoes"))*Inputs!$B$1+((Inputs!$G$5:$G$110&lt;&gt;"moeda")*(Inputs!$G$5:$G$110&lt;&gt;"acoes")))*INDEX(Inputs!$K$5:$AJ$110,0,MATCH(D$2,Inputs!$K$4:$AJ$4,0)))+SUMPRODUCT((Inputs!$C$5:$C$110=$B20)*Inputs!$D$5:$D$110*(((Inputs!$G$5:$G$110="moeda")+(Inputs!$G$5:$G$110="acoes"))*Inputs!$B$1+((Inputs!$G$5:$G$110&lt;&gt;"moeda")*(Inputs!$G$5:$G$110&lt;&gt;"acoes")))*INDEX(Inputs!$K$5:$AJ$110,0,MATCH(D$2,Inputs!$K$4:$AJ$4,0)))+SUMPRODUCT((Inputs!$E$5:$E$110=$B20)*Inputs!$F$5:$F$110*(((Inputs!$G$5:$G$110="moeda")+(Inputs!$G$5:$G$110="acoes"))*Inputs!$B$1+((Inputs!$G$5:$G$110&lt;&gt;"moeda")*(Inputs!$G$5:$G$110&lt;&gt;"acoes")))*INDEX(Inputs!$K$5:$AJ$110,0,MATCH(D$2,Inputs!$K$4:$AJ$4,0)))))</f>
        <v>15105</v>
      </c>
      <c r="E20" s="6">
        <f>IF(ISNA(MATCH(E$2,Inputs!$K$4:$AJ$4,0)),NA(),IF(SUMPRODUCT((Inputs!$A$5:$A$110=$B20)*ISNUMBER(INDEX(Inputs!$K$5:$AJ$110,0,MATCH(E$2,Inputs!$K$4:$AJ$4,0))))+SUMPRODUCT((Inputs!$C$5:$C$110=$B20)*ISNUMBER(INDEX(Inputs!$K$5:$AJ$110,0,MATCH(E$2,Inputs!$K$4:$AJ$4,0))))+SUMPRODUCT((Inputs!$E$5:$E$110=$B20)*ISNUMBER(INDEX(Inputs!$K$5:$AJ$110,0,MATCH(E$2,Inputs!$K$4:$AJ$4,0))))=0,NA(),SUMPRODUCT((Inputs!$A$5:$A$110=$B20)*Inputs!$B$5:$B$110*(((Inputs!$G$5:$G$110="moeda")+(Inputs!$G$5:$G$110="acoes"))*Inputs!$B$1+((Inputs!$G$5:$G$110&lt;&gt;"moeda")*(Inputs!$G$5:$G$110&lt;&gt;"acoes")))*INDEX(Inputs!$K$5:$AJ$110,0,MATCH(E$2,Inputs!$K$4:$AJ$4,0)))+SUMPRODUCT((Inputs!$C$5:$C$110=$B20)*Inputs!$D$5:$D$110*(((Inputs!$G$5:$G$110="moeda")+(Inputs!$G$5:$G$110="acoes"))*Inputs!$B$1+((Inputs!$G$5:$G$110&lt;&gt;"moeda")*(Inputs!$G$5:$G$110&lt;&gt;"acoes")))*INDEX(Inputs!$K$5:$AJ$110,0,MATCH(E$2,Inputs!$K$4:$AJ$4,0)))+SUMPRODUCT((Inputs!$E$5:$E$110=$B20)*Inputs!$F$5:$F$110*(((Inputs!$G$5:$G$110="moeda")+(Inputs!$G$5:$G$110="acoes"))*Inputs!$B$1+((Inputs!$G$5:$G$110&lt;&gt;"moeda")*(Inputs!$G$5:$G$110&lt;&gt;"acoes")))*INDEX(Inputs!$K$5:$AJ$110,0,MATCH(E$2,Inputs!$K$4:$AJ$4,0)))))</f>
        <v>15318</v>
      </c>
      <c r="F20" s="6">
        <f>IF(ISNA(MATCH(F$2,Inputs!$K$4:$AJ$4,0)),NA(),IF(SUMPRODUCT((Inputs!$A$5:$A$110=$B20)*ISNUMBER(INDEX(Inputs!$K$5:$AJ$110,0,MATCH(F$2,Inputs!$K$4:$AJ$4,0))))+SUMPRODUCT((Inputs!$C$5:$C$110=$B20)*ISNUMBER(INDEX(Inputs!$K$5:$AJ$110,0,MATCH(F$2,Inputs!$K$4:$AJ$4,0))))+SUMPRODUCT((Inputs!$E$5:$E$110=$B20)*ISNUMBER(INDEX(Inputs!$K$5:$AJ$110,0,MATCH(F$2,Inputs!$K$4:$AJ$4,0))))=0,NA(),SUMPRODUCT((Inputs!$A$5:$A$110=$B20)*Inputs!$B$5:$B$110*(((Inputs!$G$5:$G$110="moeda")+(Inputs!$G$5:$G$110="acoes"))*Inputs!$B$1+((Inputs!$G$5:$G$110&lt;&gt;"moeda")*(Inputs!$G$5:$G$110&lt;&gt;"acoes")))*INDEX(Inputs!$K$5:$AJ$110,0,MATCH(F$2,Inputs!$K$4:$AJ$4,0)))+SUMPRODUCT((Inputs!$C$5:$C$110=$B20)*Inputs!$D$5:$D$110*(((Inputs!$G$5:$G$110="moeda")+(Inputs!$G$5:$G$110="acoes"))*Inputs!$B$1+((Inputs!$G$5:$G$110&lt;&gt;"moeda")*(Inputs!$G$5:$G$110&lt;&gt;"acoes")))*INDEX(Inputs!$K$5:$AJ$110,0,MATCH(F$2,Inputs!$K$4:$AJ$4,0)))+SUMPRODUCT((Inputs!$E$5:$E$110=$B20)*Inputs!$F$5:$F$110*(((Inputs!$G$5:$G$110="moeda")+(Inputs!$G$5:$G$110="acoes"))*Inputs!$B$1+((Inputs!$G$5:$G$110&lt;&gt;"moeda")*(Inputs!$G$5:$G$110&lt;&gt;"acoes")))*INDEX(Inputs!$K$5:$AJ$110,0,MATCH(F$2,Inputs!$K$4:$AJ$4,0)))))</f>
        <v>16363</v>
      </c>
      <c r="G20" s="6">
        <f>IF(ISNA(MATCH(G$2,Inputs!$K$4:$AJ$4,0)),NA(),IF(SUMPRODUCT((Inputs!$A$5:$A$110=$B20)*ISNUMBER(INDEX(Inputs!$K$5:$AJ$110,0,MATCH(G$2,Inputs!$K$4:$AJ$4,0))))+SUMPRODUCT((Inputs!$C$5:$C$110=$B20)*ISNUMBER(INDEX(Inputs!$K$5:$AJ$110,0,MATCH(G$2,Inputs!$K$4:$AJ$4,0))))+SUMPRODUCT((Inputs!$E$5:$E$110=$B20)*ISNUMBER(INDEX(Inputs!$K$5:$AJ$110,0,MATCH(G$2,Inputs!$K$4:$AJ$4,0))))=0,NA(),SUMPRODUCT((Inputs!$A$5:$A$110=$B20)*Inputs!$B$5:$B$110*(((Inputs!$G$5:$G$110="moeda")+(Inputs!$G$5:$G$110="acoes"))*Inputs!$B$1+((Inputs!$G$5:$G$110&lt;&gt;"moeda")*(Inputs!$G$5:$G$110&lt;&gt;"acoes")))*INDEX(Inputs!$K$5:$AJ$110,0,MATCH(G$2,Inputs!$K$4:$AJ$4,0)))+SUMPRODUCT((Inputs!$C$5:$C$110=$B20)*Inputs!$D$5:$D$110*(((Inputs!$G$5:$G$110="moeda")+(Inputs!$G$5:$G$110="acoes"))*Inputs!$B$1+((Inputs!$G$5:$G$110&lt;&gt;"moeda")*(Inputs!$G$5:$G$110&lt;&gt;"acoes")))*INDEX(Inputs!$K$5:$AJ$110,0,MATCH(G$2,Inputs!$K$4:$AJ$4,0)))+SUMPRODUCT((Inputs!$E$5:$E$110=$B20)*Inputs!$F$5:$F$110*(((Inputs!$G$5:$G$110="moeda")+(Inputs!$G$5:$G$110="acoes"))*Inputs!$B$1+((Inputs!$G$5:$G$110&lt;&gt;"moeda")*(Inputs!$G$5:$G$110&lt;&gt;"acoes")))*INDEX(Inputs!$K$5:$AJ$110,0,MATCH(G$2,Inputs!$K$4:$AJ$4,0)))))</f>
        <v>14248</v>
      </c>
      <c r="H20" s="3">
        <f>G20</f>
        <v>14248</v>
      </c>
      <c r="I20" s="6">
        <f>IF(ISNA(MATCH(I$2,Inputs!$K$4:$AJ$4,0)),NA(),IF(SUMPRODUCT((Inputs!$A$5:$A$110=$B20)*ISNUMBER(INDEX(Inputs!$K$5:$AJ$110,0,MATCH(I$2,Inputs!$K$4:$AJ$4,0))))+SUMPRODUCT((Inputs!$C$5:$C$110=$B20)*ISNUMBER(INDEX(Inputs!$K$5:$AJ$110,0,MATCH(I$2,Inputs!$K$4:$AJ$4,0))))+SUMPRODUCT((Inputs!$E$5:$E$110=$B20)*ISNUMBER(INDEX(Inputs!$K$5:$AJ$110,0,MATCH(I$2,Inputs!$K$4:$AJ$4,0))))=0,NA(),SUMPRODUCT((Inputs!$A$5:$A$110=$B20)*Inputs!$B$5:$B$110*(((Inputs!$G$5:$G$110="moeda")+(Inputs!$G$5:$G$110="acoes"))*Inputs!$B$1+((Inputs!$G$5:$G$110&lt;&gt;"moeda")*(Inputs!$G$5:$G$110&lt;&gt;"acoes")))*INDEX(Inputs!$K$5:$AJ$110,0,MATCH(I$2,Inputs!$K$4:$AJ$4,0)))+SUMPRODUCT((Inputs!$C$5:$C$110=$B20)*Inputs!$D$5:$D$110*(((Inputs!$G$5:$G$110="moeda")+(Inputs!$G$5:$G$110="acoes"))*Inputs!$B$1+((Inputs!$G$5:$G$110&lt;&gt;"moeda")*(Inputs!$G$5:$G$110&lt;&gt;"acoes")))*INDEX(Inputs!$K$5:$AJ$110,0,MATCH(I$2,Inputs!$K$4:$AJ$4,0)))+SUMPRODUCT((Inputs!$E$5:$E$110=$B20)*Inputs!$F$5:$F$110*(((Inputs!$G$5:$G$110="moeda")+(Inputs!$G$5:$G$110="acoes"))*Inputs!$B$1+((Inputs!$G$5:$G$110&lt;&gt;"moeda")*(Inputs!$G$5:$G$110&lt;&gt;"acoes")))*INDEX(Inputs!$K$5:$AJ$110,0,MATCH(I$2,Inputs!$K$4:$AJ$4,0)))))</f>
        <v>15980</v>
      </c>
      <c r="J20" s="6">
        <f>IF(ISNA(MATCH(J$2,Inputs!$K$4:$AJ$4,0)),NA(),IF(SUMPRODUCT((Inputs!$A$5:$A$110=$B20)*ISNUMBER(INDEX(Inputs!$K$5:$AJ$110,0,MATCH(J$2,Inputs!$K$4:$AJ$4,0))))+SUMPRODUCT((Inputs!$C$5:$C$110=$B20)*ISNUMBER(INDEX(Inputs!$K$5:$AJ$110,0,MATCH(J$2,Inputs!$K$4:$AJ$4,0))))+SUMPRODUCT((Inputs!$E$5:$E$110=$B20)*ISNUMBER(INDEX(Inputs!$K$5:$AJ$110,0,MATCH(J$2,Inputs!$K$4:$AJ$4,0))))=0,NA(),SUMPRODUCT((Inputs!$A$5:$A$110=$B20)*Inputs!$B$5:$B$110*(((Inputs!$G$5:$G$110="moeda")+(Inputs!$G$5:$G$110="acoes"))*Inputs!$B$1+((Inputs!$G$5:$G$110&lt;&gt;"moeda")*(Inputs!$G$5:$G$110&lt;&gt;"acoes")))*INDEX(Inputs!$K$5:$AJ$110,0,MATCH(J$2,Inputs!$K$4:$AJ$4,0)))+SUMPRODUCT((Inputs!$C$5:$C$110=$B20)*Inputs!$D$5:$D$110*(((Inputs!$G$5:$G$110="moeda")+(Inputs!$G$5:$G$110="acoes"))*Inputs!$B$1+((Inputs!$G$5:$G$110&lt;&gt;"moeda")*(Inputs!$G$5:$G$110&lt;&gt;"acoes")))*INDEX(Inputs!$K$5:$AJ$110,0,MATCH(J$2,Inputs!$K$4:$AJ$4,0)))+SUMPRODUCT((Inputs!$E$5:$E$110=$B20)*Inputs!$F$5:$F$110*(((Inputs!$G$5:$G$110="moeda")+(Inputs!$G$5:$G$110="acoes"))*Inputs!$B$1+((Inputs!$G$5:$G$110&lt;&gt;"moeda")*(Inputs!$G$5:$G$110&lt;&gt;"acoes")))*INDEX(Inputs!$K$5:$AJ$110,0,MATCH(J$2,Inputs!$K$4:$AJ$4,0)))))</f>
        <v>15797</v>
      </c>
      <c r="K20" s="6">
        <f>IF(ISNA(MATCH(K$2,Inputs!$K$4:$AJ$4,0)),NA(),IF(SUMPRODUCT((Inputs!$A$5:$A$110=$B20)*ISNUMBER(INDEX(Inputs!$K$5:$AJ$110,0,MATCH(K$2,Inputs!$K$4:$AJ$4,0))))+SUMPRODUCT((Inputs!$C$5:$C$110=$B20)*ISNUMBER(INDEX(Inputs!$K$5:$AJ$110,0,MATCH(K$2,Inputs!$K$4:$AJ$4,0))))+SUMPRODUCT((Inputs!$E$5:$E$110=$B20)*ISNUMBER(INDEX(Inputs!$K$5:$AJ$110,0,MATCH(K$2,Inputs!$K$4:$AJ$4,0))))=0,NA(),SUMPRODUCT((Inputs!$A$5:$A$110=$B20)*Inputs!$B$5:$B$110*(((Inputs!$G$5:$G$110="moeda")+(Inputs!$G$5:$G$110="acoes"))*Inputs!$B$1+((Inputs!$G$5:$G$110&lt;&gt;"moeda")*(Inputs!$G$5:$G$110&lt;&gt;"acoes")))*INDEX(Inputs!$K$5:$AJ$110,0,MATCH(K$2,Inputs!$K$4:$AJ$4,0)))+SUMPRODUCT((Inputs!$C$5:$C$110=$B20)*Inputs!$D$5:$D$110*(((Inputs!$G$5:$G$110="moeda")+(Inputs!$G$5:$G$110="acoes"))*Inputs!$B$1+((Inputs!$G$5:$G$110&lt;&gt;"moeda")*(Inputs!$G$5:$G$110&lt;&gt;"acoes")))*INDEX(Inputs!$K$5:$AJ$110,0,MATCH(K$2,Inputs!$K$4:$AJ$4,0)))+SUMPRODUCT((Inputs!$E$5:$E$110=$B20)*Inputs!$F$5:$F$110*(((Inputs!$G$5:$G$110="moeda")+(Inputs!$G$5:$G$110="acoes"))*Inputs!$B$1+((Inputs!$G$5:$G$110&lt;&gt;"moeda")*(Inputs!$G$5:$G$110&lt;&gt;"acoes")))*INDEX(Inputs!$K$5:$AJ$110,0,MATCH(K$2,Inputs!$K$4:$AJ$4,0)))))</f>
        <v>16046</v>
      </c>
      <c r="L20" s="6">
        <f>IF(ISNA(MATCH(L$2,Inputs!$K$4:$AJ$4,0)),NA(),IF(SUMPRODUCT((Inputs!$A$5:$A$110=$B20)*ISNUMBER(INDEX(Inputs!$K$5:$AJ$110,0,MATCH(L$2,Inputs!$K$4:$AJ$4,0))))+SUMPRODUCT((Inputs!$C$5:$C$110=$B20)*ISNUMBER(INDEX(Inputs!$K$5:$AJ$110,0,MATCH(L$2,Inputs!$K$4:$AJ$4,0))))+SUMPRODUCT((Inputs!$E$5:$E$110=$B20)*ISNUMBER(INDEX(Inputs!$K$5:$AJ$110,0,MATCH(L$2,Inputs!$K$4:$AJ$4,0))))=0,NA(),SUMPRODUCT((Inputs!$A$5:$A$110=$B20)*Inputs!$B$5:$B$110*(((Inputs!$G$5:$G$110="moeda")+(Inputs!$G$5:$G$110="acoes"))*Inputs!$B$1+((Inputs!$G$5:$G$110&lt;&gt;"moeda")*(Inputs!$G$5:$G$110&lt;&gt;"acoes")))*INDEX(Inputs!$K$5:$AJ$110,0,MATCH(L$2,Inputs!$K$4:$AJ$4,0)))+SUMPRODUCT((Inputs!$C$5:$C$110=$B20)*Inputs!$D$5:$D$110*(((Inputs!$G$5:$G$110="moeda")+(Inputs!$G$5:$G$110="acoes"))*Inputs!$B$1+((Inputs!$G$5:$G$110&lt;&gt;"moeda")*(Inputs!$G$5:$G$110&lt;&gt;"acoes")))*INDEX(Inputs!$K$5:$AJ$110,0,MATCH(L$2,Inputs!$K$4:$AJ$4,0)))+SUMPRODUCT((Inputs!$E$5:$E$110=$B20)*Inputs!$F$5:$F$110*(((Inputs!$G$5:$G$110="moeda")+(Inputs!$G$5:$G$110="acoes"))*Inputs!$B$1+((Inputs!$G$5:$G$110&lt;&gt;"moeda")*(Inputs!$G$5:$G$110&lt;&gt;"acoes")))*INDEX(Inputs!$K$5:$AJ$110,0,MATCH(L$2,Inputs!$K$4:$AJ$4,0)))))</f>
        <v>15939</v>
      </c>
      <c r="M20" s="3">
        <f>L20</f>
        <v>15939</v>
      </c>
      <c r="N20" s="6">
        <f>IF(ISNA(MATCH(N$2,Inputs!$K$4:$AJ$4,0)),NA(),IF(SUMPRODUCT((Inputs!$A$5:$A$110=$B20)*ISNUMBER(INDEX(Inputs!$K$5:$AJ$110,0,MATCH(N$2,Inputs!$K$4:$AJ$4,0))))+SUMPRODUCT((Inputs!$C$5:$C$110=$B20)*ISNUMBER(INDEX(Inputs!$K$5:$AJ$110,0,MATCH(N$2,Inputs!$K$4:$AJ$4,0))))+SUMPRODUCT((Inputs!$E$5:$E$110=$B20)*ISNUMBER(INDEX(Inputs!$K$5:$AJ$110,0,MATCH(N$2,Inputs!$K$4:$AJ$4,0))))=0,NA(),SUMPRODUCT((Inputs!$A$5:$A$110=$B20)*Inputs!$B$5:$B$110*(((Inputs!$G$5:$G$110="moeda")+(Inputs!$G$5:$G$110="acoes"))*Inputs!$B$1+((Inputs!$G$5:$G$110&lt;&gt;"moeda")*(Inputs!$G$5:$G$110&lt;&gt;"acoes")))*INDEX(Inputs!$K$5:$AJ$110,0,MATCH(N$2,Inputs!$K$4:$AJ$4,0)))+SUMPRODUCT((Inputs!$C$5:$C$110=$B20)*Inputs!$D$5:$D$110*(((Inputs!$G$5:$G$110="moeda")+(Inputs!$G$5:$G$110="acoes"))*Inputs!$B$1+((Inputs!$G$5:$G$110&lt;&gt;"moeda")*(Inputs!$G$5:$G$110&lt;&gt;"acoes")))*INDEX(Inputs!$K$5:$AJ$110,0,MATCH(N$2,Inputs!$K$4:$AJ$4,0)))+SUMPRODUCT((Inputs!$E$5:$E$110=$B20)*Inputs!$F$5:$F$110*(((Inputs!$G$5:$G$110="moeda")+(Inputs!$G$5:$G$110="acoes"))*Inputs!$B$1+((Inputs!$G$5:$G$110&lt;&gt;"moeda")*(Inputs!$G$5:$G$110&lt;&gt;"acoes")))*INDEX(Inputs!$K$5:$AJ$110,0,MATCH(N$2,Inputs!$K$4:$AJ$4,0)))))</f>
        <v>17121</v>
      </c>
      <c r="O20" s="6">
        <f>IF(ISNA(MATCH(O$2,Inputs!$K$4:$AJ$4,0)),NA(),IF(SUMPRODUCT((Inputs!$A$5:$A$110=$B20)*ISNUMBER(INDEX(Inputs!$K$5:$AJ$110,0,MATCH(O$2,Inputs!$K$4:$AJ$4,0))))+SUMPRODUCT((Inputs!$C$5:$C$110=$B20)*ISNUMBER(INDEX(Inputs!$K$5:$AJ$110,0,MATCH(O$2,Inputs!$K$4:$AJ$4,0))))+SUMPRODUCT((Inputs!$E$5:$E$110=$B20)*ISNUMBER(INDEX(Inputs!$K$5:$AJ$110,0,MATCH(O$2,Inputs!$K$4:$AJ$4,0))))=0,NA(),SUMPRODUCT((Inputs!$A$5:$A$110=$B20)*Inputs!$B$5:$B$110*(((Inputs!$G$5:$G$110="moeda")+(Inputs!$G$5:$G$110="acoes"))*Inputs!$B$1+((Inputs!$G$5:$G$110&lt;&gt;"moeda")*(Inputs!$G$5:$G$110&lt;&gt;"acoes")))*INDEX(Inputs!$K$5:$AJ$110,0,MATCH(O$2,Inputs!$K$4:$AJ$4,0)))+SUMPRODUCT((Inputs!$C$5:$C$110=$B20)*Inputs!$D$5:$D$110*(((Inputs!$G$5:$G$110="moeda")+(Inputs!$G$5:$G$110="acoes"))*Inputs!$B$1+((Inputs!$G$5:$G$110&lt;&gt;"moeda")*(Inputs!$G$5:$G$110&lt;&gt;"acoes")))*INDEX(Inputs!$K$5:$AJ$110,0,MATCH(O$2,Inputs!$K$4:$AJ$4,0)))+SUMPRODUCT((Inputs!$E$5:$E$110=$B20)*Inputs!$F$5:$F$110*(((Inputs!$G$5:$G$110="moeda")+(Inputs!$G$5:$G$110="acoes"))*Inputs!$B$1+((Inputs!$G$5:$G$110&lt;&gt;"moeda")*(Inputs!$G$5:$G$110&lt;&gt;"acoes")))*INDEX(Inputs!$K$5:$AJ$110,0,MATCH(O$2,Inputs!$K$4:$AJ$4,0)))))</f>
        <v>16987</v>
      </c>
      <c r="P20" s="6">
        <f>IF(ISNA(MATCH(P$2,Inputs!$K$4:$AJ$4,0)),NA(),IF(SUMPRODUCT((Inputs!$A$5:$A$110=$B20)*ISNUMBER(INDEX(Inputs!$K$5:$AJ$110,0,MATCH(P$2,Inputs!$K$4:$AJ$4,0))))+SUMPRODUCT((Inputs!$C$5:$C$110=$B20)*ISNUMBER(INDEX(Inputs!$K$5:$AJ$110,0,MATCH(P$2,Inputs!$K$4:$AJ$4,0))))+SUMPRODUCT((Inputs!$E$5:$E$110=$B20)*ISNUMBER(INDEX(Inputs!$K$5:$AJ$110,0,MATCH(P$2,Inputs!$K$4:$AJ$4,0))))=0,NA(),SUMPRODUCT((Inputs!$A$5:$A$110=$B20)*Inputs!$B$5:$B$110*(((Inputs!$G$5:$G$110="moeda")+(Inputs!$G$5:$G$110="acoes"))*Inputs!$B$1+((Inputs!$G$5:$G$110&lt;&gt;"moeda")*(Inputs!$G$5:$G$110&lt;&gt;"acoes")))*INDEX(Inputs!$K$5:$AJ$110,0,MATCH(P$2,Inputs!$K$4:$AJ$4,0)))+SUMPRODUCT((Inputs!$C$5:$C$110=$B20)*Inputs!$D$5:$D$110*(((Inputs!$G$5:$G$110="moeda")+(Inputs!$G$5:$G$110="acoes"))*Inputs!$B$1+((Inputs!$G$5:$G$110&lt;&gt;"moeda")*(Inputs!$G$5:$G$110&lt;&gt;"acoes")))*INDEX(Inputs!$K$5:$AJ$110,0,MATCH(P$2,Inputs!$K$4:$AJ$4,0)))+SUMPRODUCT((Inputs!$E$5:$E$110=$B20)*Inputs!$F$5:$F$110*(((Inputs!$G$5:$G$110="moeda")+(Inputs!$G$5:$G$110="acoes"))*Inputs!$B$1+((Inputs!$G$5:$G$110&lt;&gt;"moeda")*(Inputs!$G$5:$G$110&lt;&gt;"acoes")))*INDEX(Inputs!$K$5:$AJ$110,0,MATCH(P$2,Inputs!$K$4:$AJ$4,0)))))</f>
        <v>17366</v>
      </c>
      <c r="Q20" s="6">
        <f>IF(ISNA(MATCH(Q$2,Inputs!$K$4:$AJ$4,0)),NA(),IF(SUMPRODUCT((Inputs!$A$5:$A$110=$B20)*ISNUMBER(INDEX(Inputs!$K$5:$AJ$110,0,MATCH(Q$2,Inputs!$K$4:$AJ$4,0))))+SUMPRODUCT((Inputs!$C$5:$C$110=$B20)*ISNUMBER(INDEX(Inputs!$K$5:$AJ$110,0,MATCH(Q$2,Inputs!$K$4:$AJ$4,0))))+SUMPRODUCT((Inputs!$E$5:$E$110=$B20)*ISNUMBER(INDEX(Inputs!$K$5:$AJ$110,0,MATCH(Q$2,Inputs!$K$4:$AJ$4,0))))=0,NA(),SUMPRODUCT((Inputs!$A$5:$A$110=$B20)*Inputs!$B$5:$B$110*(((Inputs!$G$5:$G$110="moeda")+(Inputs!$G$5:$G$110="acoes"))*Inputs!$B$1+((Inputs!$G$5:$G$110&lt;&gt;"moeda")*(Inputs!$G$5:$G$110&lt;&gt;"acoes")))*INDEX(Inputs!$K$5:$AJ$110,0,MATCH(Q$2,Inputs!$K$4:$AJ$4,0)))+SUMPRODUCT((Inputs!$C$5:$C$110=$B20)*Inputs!$D$5:$D$110*(((Inputs!$G$5:$G$110="moeda")+(Inputs!$G$5:$G$110="acoes"))*Inputs!$B$1+((Inputs!$G$5:$G$110&lt;&gt;"moeda")*(Inputs!$G$5:$G$110&lt;&gt;"acoes")))*INDEX(Inputs!$K$5:$AJ$110,0,MATCH(Q$2,Inputs!$K$4:$AJ$4,0)))+SUMPRODUCT((Inputs!$E$5:$E$110=$B20)*Inputs!$F$5:$F$110*(((Inputs!$G$5:$G$110="moeda")+(Inputs!$G$5:$G$110="acoes"))*Inputs!$B$1+((Inputs!$G$5:$G$110&lt;&gt;"moeda")*(Inputs!$G$5:$G$110&lt;&gt;"acoes")))*INDEX(Inputs!$K$5:$AJ$110,0,MATCH(Q$2,Inputs!$K$4:$AJ$4,0)))))</f>
        <v>16947</v>
      </c>
      <c r="R20" s="3">
        <f>Q20</f>
        <v>16947</v>
      </c>
      <c r="S20" s="6">
        <f>IF(ISNA(MATCH(S$2,Inputs!$K$4:$AJ$4,0)),NA(),IF(SUMPRODUCT((Inputs!$A$5:$A$110=$B20)*ISNUMBER(INDEX(Inputs!$K$5:$AJ$110,0,MATCH(S$2,Inputs!$K$4:$AJ$4,0))))+SUMPRODUCT((Inputs!$C$5:$C$110=$B20)*ISNUMBER(INDEX(Inputs!$K$5:$AJ$110,0,MATCH(S$2,Inputs!$K$4:$AJ$4,0))))+SUMPRODUCT((Inputs!$E$5:$E$110=$B20)*ISNUMBER(INDEX(Inputs!$K$5:$AJ$110,0,MATCH(S$2,Inputs!$K$4:$AJ$4,0))))=0,NA(),SUMPRODUCT((Inputs!$A$5:$A$110=$B20)*Inputs!$B$5:$B$110*(((Inputs!$G$5:$G$110="moeda")+(Inputs!$G$5:$G$110="acoes"))*Inputs!$B$1+((Inputs!$G$5:$G$110&lt;&gt;"moeda")*(Inputs!$G$5:$G$110&lt;&gt;"acoes")))*INDEX(Inputs!$K$5:$AJ$110,0,MATCH(S$2,Inputs!$K$4:$AJ$4,0)))+SUMPRODUCT((Inputs!$C$5:$C$110=$B20)*Inputs!$D$5:$D$110*(((Inputs!$G$5:$G$110="moeda")+(Inputs!$G$5:$G$110="acoes"))*Inputs!$B$1+((Inputs!$G$5:$G$110&lt;&gt;"moeda")*(Inputs!$G$5:$G$110&lt;&gt;"acoes")))*INDEX(Inputs!$K$5:$AJ$110,0,MATCH(S$2,Inputs!$K$4:$AJ$4,0)))+SUMPRODUCT((Inputs!$E$5:$E$110=$B20)*Inputs!$F$5:$F$110*(((Inputs!$G$5:$G$110="moeda")+(Inputs!$G$5:$G$110="acoes"))*Inputs!$B$1+((Inputs!$G$5:$G$110&lt;&gt;"moeda")*(Inputs!$G$5:$G$110&lt;&gt;"acoes")))*INDEX(Inputs!$K$5:$AJ$110,0,MATCH(S$2,Inputs!$K$4:$AJ$4,0)))))</f>
        <v>17911</v>
      </c>
      <c r="T20" s="6">
        <f>IF(ISNA(MATCH(T$2,Inputs!$K$4:$AJ$4,0)),NA(),IF(SUMPRODUCT((Inputs!$A$5:$A$110=$B20)*ISNUMBER(INDEX(Inputs!$K$5:$AJ$110,0,MATCH(T$2,Inputs!$K$4:$AJ$4,0))))+SUMPRODUCT((Inputs!$C$5:$C$110=$B20)*ISNUMBER(INDEX(Inputs!$K$5:$AJ$110,0,MATCH(T$2,Inputs!$K$4:$AJ$4,0))))+SUMPRODUCT((Inputs!$E$5:$E$110=$B20)*ISNUMBER(INDEX(Inputs!$K$5:$AJ$110,0,MATCH(T$2,Inputs!$K$4:$AJ$4,0))))=0,NA(),SUMPRODUCT((Inputs!$A$5:$A$110=$B20)*Inputs!$B$5:$B$110*(((Inputs!$G$5:$G$110="moeda")+(Inputs!$G$5:$G$110="acoes"))*Inputs!$B$1+((Inputs!$G$5:$G$110&lt;&gt;"moeda")*(Inputs!$G$5:$G$110&lt;&gt;"acoes")))*INDEX(Inputs!$K$5:$AJ$110,0,MATCH(T$2,Inputs!$K$4:$AJ$4,0)))+SUMPRODUCT((Inputs!$C$5:$C$110=$B20)*Inputs!$D$5:$D$110*(((Inputs!$G$5:$G$110="moeda")+(Inputs!$G$5:$G$110="acoes"))*Inputs!$B$1+((Inputs!$G$5:$G$110&lt;&gt;"moeda")*(Inputs!$G$5:$G$110&lt;&gt;"acoes")))*INDEX(Inputs!$K$5:$AJ$110,0,MATCH(T$2,Inputs!$K$4:$AJ$4,0)))+SUMPRODUCT((Inputs!$E$5:$E$110=$B20)*Inputs!$F$5:$F$110*(((Inputs!$G$5:$G$110="moeda")+(Inputs!$G$5:$G$110="acoes"))*Inputs!$B$1+((Inputs!$G$5:$G$110&lt;&gt;"moeda")*(Inputs!$G$5:$G$110&lt;&gt;"acoes")))*INDEX(Inputs!$K$5:$AJ$110,0,MATCH(T$2,Inputs!$K$4:$AJ$4,0)))))</f>
        <v>17514</v>
      </c>
      <c r="U20" s="6">
        <f>IF(ISNA(MATCH(U$2,Inputs!$K$4:$AJ$4,0)),NA(),IF(SUMPRODUCT((Inputs!$A$5:$A$110=$B20)*ISNUMBER(INDEX(Inputs!$K$5:$AJ$110,0,MATCH(U$2,Inputs!$K$4:$AJ$4,0))))+SUMPRODUCT((Inputs!$C$5:$C$110=$B20)*ISNUMBER(INDEX(Inputs!$K$5:$AJ$110,0,MATCH(U$2,Inputs!$K$4:$AJ$4,0))))+SUMPRODUCT((Inputs!$E$5:$E$110=$B20)*ISNUMBER(INDEX(Inputs!$K$5:$AJ$110,0,MATCH(U$2,Inputs!$K$4:$AJ$4,0))))=0,NA(),SUMPRODUCT((Inputs!$A$5:$A$110=$B20)*Inputs!$B$5:$B$110*(((Inputs!$G$5:$G$110="moeda")+(Inputs!$G$5:$G$110="acoes"))*Inputs!$B$1+((Inputs!$G$5:$G$110&lt;&gt;"moeda")*(Inputs!$G$5:$G$110&lt;&gt;"acoes")))*INDEX(Inputs!$K$5:$AJ$110,0,MATCH(U$2,Inputs!$K$4:$AJ$4,0)))+SUMPRODUCT((Inputs!$C$5:$C$110=$B20)*Inputs!$D$5:$D$110*(((Inputs!$G$5:$G$110="moeda")+(Inputs!$G$5:$G$110="acoes"))*Inputs!$B$1+((Inputs!$G$5:$G$110&lt;&gt;"moeda")*(Inputs!$G$5:$G$110&lt;&gt;"acoes")))*INDEX(Inputs!$K$5:$AJ$110,0,MATCH(U$2,Inputs!$K$4:$AJ$4,0)))+SUMPRODUCT((Inputs!$E$5:$E$110=$B20)*Inputs!$F$5:$F$110*(((Inputs!$G$5:$G$110="moeda")+(Inputs!$G$5:$G$110="acoes"))*Inputs!$B$1+((Inputs!$G$5:$G$110&lt;&gt;"moeda")*(Inputs!$G$5:$G$110&lt;&gt;"acoes")))*INDEX(Inputs!$K$5:$AJ$110,0,MATCH(U$2,Inputs!$K$4:$AJ$4,0)))))</f>
        <v>17919</v>
      </c>
      <c r="V20" s="6">
        <f>IF(ISNA(MATCH(V$2,Inputs!$K$4:$AJ$4,0)),NA(),IF(SUMPRODUCT((Inputs!$A$5:$A$110=$B20)*ISNUMBER(INDEX(Inputs!$K$5:$AJ$110,0,MATCH(V$2,Inputs!$K$4:$AJ$4,0))))+SUMPRODUCT((Inputs!$C$5:$C$110=$B20)*ISNUMBER(INDEX(Inputs!$K$5:$AJ$110,0,MATCH(V$2,Inputs!$K$4:$AJ$4,0))))+SUMPRODUCT((Inputs!$E$5:$E$110=$B20)*ISNUMBER(INDEX(Inputs!$K$5:$AJ$110,0,MATCH(V$2,Inputs!$K$4:$AJ$4,0))))=0,NA(),SUMPRODUCT((Inputs!$A$5:$A$110=$B20)*Inputs!$B$5:$B$110*(((Inputs!$G$5:$G$110="moeda")+(Inputs!$G$5:$G$110="acoes"))*Inputs!$B$1+((Inputs!$G$5:$G$110&lt;&gt;"moeda")*(Inputs!$G$5:$G$110&lt;&gt;"acoes")))*INDEX(Inputs!$K$5:$AJ$110,0,MATCH(V$2,Inputs!$K$4:$AJ$4,0)))+SUMPRODUCT((Inputs!$C$5:$C$110=$B20)*Inputs!$D$5:$D$110*(((Inputs!$G$5:$G$110="moeda")+(Inputs!$G$5:$G$110="acoes"))*Inputs!$B$1+((Inputs!$G$5:$G$110&lt;&gt;"moeda")*(Inputs!$G$5:$G$110&lt;&gt;"acoes")))*INDEX(Inputs!$K$5:$AJ$110,0,MATCH(V$2,Inputs!$K$4:$AJ$4,0)))+SUMPRODUCT((Inputs!$E$5:$E$110=$B20)*Inputs!$F$5:$F$110*(((Inputs!$G$5:$G$110="moeda")+(Inputs!$G$5:$G$110="acoes"))*Inputs!$B$1+((Inputs!$G$5:$G$110&lt;&gt;"moeda")*(Inputs!$G$5:$G$110&lt;&gt;"acoes")))*INDEX(Inputs!$K$5:$AJ$110,0,MATCH(V$2,Inputs!$K$4:$AJ$4,0)))))</f>
        <v>17015</v>
      </c>
      <c r="W20" s="3">
        <f>V20</f>
        <v>17015</v>
      </c>
      <c r="X20" s="6">
        <f>IF(ISNA(MATCH(X$2,Inputs!$K$4:$AJ$4,0)),NA(),IF(SUMPRODUCT((Inputs!$A$5:$A$110=$B20)*ISNUMBER(INDEX(Inputs!$K$5:$AJ$110,0,MATCH(X$2,Inputs!$K$4:$AJ$4,0))))+SUMPRODUCT((Inputs!$C$5:$C$110=$B20)*ISNUMBER(INDEX(Inputs!$K$5:$AJ$110,0,MATCH(X$2,Inputs!$K$4:$AJ$4,0))))+SUMPRODUCT((Inputs!$E$5:$E$110=$B20)*ISNUMBER(INDEX(Inputs!$K$5:$AJ$110,0,MATCH(X$2,Inputs!$K$4:$AJ$4,0))))=0,NA(),SUMPRODUCT((Inputs!$A$5:$A$110=$B20)*Inputs!$B$5:$B$110*(((Inputs!$G$5:$G$110="moeda")+(Inputs!$G$5:$G$110="acoes"))*Inputs!$B$1+((Inputs!$G$5:$G$110&lt;&gt;"moeda")*(Inputs!$G$5:$G$110&lt;&gt;"acoes")))*INDEX(Inputs!$K$5:$AJ$110,0,MATCH(X$2,Inputs!$K$4:$AJ$4,0)))+SUMPRODUCT((Inputs!$C$5:$C$110=$B20)*Inputs!$D$5:$D$110*(((Inputs!$G$5:$G$110="moeda")+(Inputs!$G$5:$G$110="acoes"))*Inputs!$B$1+((Inputs!$G$5:$G$110&lt;&gt;"moeda")*(Inputs!$G$5:$G$110&lt;&gt;"acoes")))*INDEX(Inputs!$K$5:$AJ$110,0,MATCH(X$2,Inputs!$K$4:$AJ$4,0)))+SUMPRODUCT((Inputs!$E$5:$E$110=$B20)*Inputs!$F$5:$F$110*(((Inputs!$G$5:$G$110="moeda")+(Inputs!$G$5:$G$110="acoes"))*Inputs!$B$1+((Inputs!$G$5:$G$110&lt;&gt;"moeda")*(Inputs!$G$5:$G$110&lt;&gt;"acoes")))*INDEX(Inputs!$K$5:$AJ$110,0,MATCH(X$2,Inputs!$K$4:$AJ$4,0)))))</f>
        <v>18974</v>
      </c>
      <c r="Y20" s="6">
        <f>IF(ISNA(MATCH(Y$2,Inputs!$K$4:$AJ$4,0)),NA(),IF(SUMPRODUCT((Inputs!$A$5:$A$110=$B20)*ISNUMBER(INDEX(Inputs!$K$5:$AJ$110,0,MATCH(Y$2,Inputs!$K$4:$AJ$4,0))))+SUMPRODUCT((Inputs!$C$5:$C$110=$B20)*ISNUMBER(INDEX(Inputs!$K$5:$AJ$110,0,MATCH(Y$2,Inputs!$K$4:$AJ$4,0))))+SUMPRODUCT((Inputs!$E$5:$E$110=$B20)*ISNUMBER(INDEX(Inputs!$K$5:$AJ$110,0,MATCH(Y$2,Inputs!$K$4:$AJ$4,0))))=0,NA(),SUMPRODUCT((Inputs!$A$5:$A$110=$B20)*Inputs!$B$5:$B$110*(((Inputs!$G$5:$G$110="moeda")+(Inputs!$G$5:$G$110="acoes"))*Inputs!$B$1+((Inputs!$G$5:$G$110&lt;&gt;"moeda")*(Inputs!$G$5:$G$110&lt;&gt;"acoes")))*INDEX(Inputs!$K$5:$AJ$110,0,MATCH(Y$2,Inputs!$K$4:$AJ$4,0)))+SUMPRODUCT((Inputs!$C$5:$C$110=$B20)*Inputs!$D$5:$D$110*(((Inputs!$G$5:$G$110="moeda")+(Inputs!$G$5:$G$110="acoes"))*Inputs!$B$1+((Inputs!$G$5:$G$110&lt;&gt;"moeda")*(Inputs!$G$5:$G$110&lt;&gt;"acoes")))*INDEX(Inputs!$K$5:$AJ$110,0,MATCH(Y$2,Inputs!$K$4:$AJ$4,0)))+SUMPRODUCT((Inputs!$E$5:$E$110=$B20)*Inputs!$F$5:$F$110*(((Inputs!$G$5:$G$110="moeda")+(Inputs!$G$5:$G$110="acoes"))*Inputs!$B$1+((Inputs!$G$5:$G$110&lt;&gt;"moeda")*(Inputs!$G$5:$G$110&lt;&gt;"acoes")))*INDEX(Inputs!$K$5:$AJ$110,0,MATCH(Y$2,Inputs!$K$4:$AJ$4,0)))))</f>
        <v>19389</v>
      </c>
      <c r="Z20" s="6">
        <f>IF(ISNA(MATCH(Z$2,Inputs!$K$4:$AJ$4,0)),NA(),IF(SUMPRODUCT((Inputs!$A$5:$A$110=$B20)*ISNUMBER(INDEX(Inputs!$K$5:$AJ$110,0,MATCH(Z$2,Inputs!$K$4:$AJ$4,0))))+SUMPRODUCT((Inputs!$C$5:$C$110=$B20)*ISNUMBER(INDEX(Inputs!$K$5:$AJ$110,0,MATCH(Z$2,Inputs!$K$4:$AJ$4,0))))+SUMPRODUCT((Inputs!$E$5:$E$110=$B20)*ISNUMBER(INDEX(Inputs!$K$5:$AJ$110,0,MATCH(Z$2,Inputs!$K$4:$AJ$4,0))))=0,NA(),SUMPRODUCT((Inputs!$A$5:$A$110=$B20)*Inputs!$B$5:$B$110*(((Inputs!$G$5:$G$110="moeda")+(Inputs!$G$5:$G$110="acoes"))*Inputs!$B$1+((Inputs!$G$5:$G$110&lt;&gt;"moeda")*(Inputs!$G$5:$G$110&lt;&gt;"acoes")))*INDEX(Inputs!$K$5:$AJ$110,0,MATCH(Z$2,Inputs!$K$4:$AJ$4,0)))+SUMPRODUCT((Inputs!$C$5:$C$110=$B20)*Inputs!$D$5:$D$110*(((Inputs!$G$5:$G$110="moeda")+(Inputs!$G$5:$G$110="acoes"))*Inputs!$B$1+((Inputs!$G$5:$G$110&lt;&gt;"moeda")*(Inputs!$G$5:$G$110&lt;&gt;"acoes")))*INDEX(Inputs!$K$5:$AJ$110,0,MATCH(Z$2,Inputs!$K$4:$AJ$4,0)))+SUMPRODUCT((Inputs!$E$5:$E$110=$B20)*Inputs!$F$5:$F$110*(((Inputs!$G$5:$G$110="moeda")+(Inputs!$G$5:$G$110="acoes"))*Inputs!$B$1+((Inputs!$G$5:$G$110&lt;&gt;"moeda")*(Inputs!$G$5:$G$110&lt;&gt;"acoes")))*INDEX(Inputs!$K$5:$AJ$110,0,MATCH(Z$2,Inputs!$K$4:$AJ$4,0)))))</f>
        <v>18622</v>
      </c>
      <c r="AA20" s="6">
        <f>IF(ISNA(MATCH(AA$2,Inputs!$K$4:$AJ$4,0)),NA(),IF(SUMPRODUCT((Inputs!$A$5:$A$110=$B20)*ISNUMBER(INDEX(Inputs!$K$5:$AJ$110,0,MATCH(AA$2,Inputs!$K$4:$AJ$4,0))))+SUMPRODUCT((Inputs!$C$5:$C$110=$B20)*ISNUMBER(INDEX(Inputs!$K$5:$AJ$110,0,MATCH(AA$2,Inputs!$K$4:$AJ$4,0))))+SUMPRODUCT((Inputs!$E$5:$E$110=$B20)*ISNUMBER(INDEX(Inputs!$K$5:$AJ$110,0,MATCH(AA$2,Inputs!$K$4:$AJ$4,0))))=0,NA(),SUMPRODUCT((Inputs!$A$5:$A$110=$B20)*Inputs!$B$5:$B$110*(((Inputs!$G$5:$G$110="moeda")+(Inputs!$G$5:$G$110="acoes"))*Inputs!$B$1+((Inputs!$G$5:$G$110&lt;&gt;"moeda")*(Inputs!$G$5:$G$110&lt;&gt;"acoes")))*INDEX(Inputs!$K$5:$AJ$110,0,MATCH(AA$2,Inputs!$K$4:$AJ$4,0)))+SUMPRODUCT((Inputs!$C$5:$C$110=$B20)*Inputs!$D$5:$D$110*(((Inputs!$G$5:$G$110="moeda")+(Inputs!$G$5:$G$110="acoes"))*Inputs!$B$1+((Inputs!$G$5:$G$110&lt;&gt;"moeda")*(Inputs!$G$5:$G$110&lt;&gt;"acoes")))*INDEX(Inputs!$K$5:$AJ$110,0,MATCH(AA$2,Inputs!$K$4:$AJ$4,0)))+SUMPRODUCT((Inputs!$E$5:$E$110=$B20)*Inputs!$F$5:$F$110*(((Inputs!$G$5:$G$110="moeda")+(Inputs!$G$5:$G$110="acoes"))*Inputs!$B$1+((Inputs!$G$5:$G$110&lt;&gt;"moeda")*(Inputs!$G$5:$G$110&lt;&gt;"acoes")))*INDEX(Inputs!$K$5:$AJ$110,0,MATCH(AA$2,Inputs!$K$4:$AJ$4,0)))))</f>
        <v>17340</v>
      </c>
      <c r="AB20" s="3">
        <f>AA20</f>
        <v>17340</v>
      </c>
      <c r="AC20" s="6">
        <f>IF(ISNA(MATCH(AC$2,Inputs!$K$4:$AJ$4,0)),NA(),IF(SUMPRODUCT((Inputs!$A$5:$A$110=$B20)*ISNUMBER(INDEX(Inputs!$K$5:$AJ$110,0,MATCH(AC$2,Inputs!$K$4:$AJ$4,0))))+SUMPRODUCT((Inputs!$C$5:$C$110=$B20)*ISNUMBER(INDEX(Inputs!$K$5:$AJ$110,0,MATCH(AC$2,Inputs!$K$4:$AJ$4,0))))+SUMPRODUCT((Inputs!$E$5:$E$110=$B20)*ISNUMBER(INDEX(Inputs!$K$5:$AJ$110,0,MATCH(AC$2,Inputs!$K$4:$AJ$4,0))))=0,NA(),SUMPRODUCT((Inputs!$A$5:$A$110=$B20)*Inputs!$B$5:$B$110*(((Inputs!$G$5:$G$110="moeda")+(Inputs!$G$5:$G$110="acoes"))*Inputs!$B$1+((Inputs!$G$5:$G$110&lt;&gt;"moeda")*(Inputs!$G$5:$G$110&lt;&gt;"acoes")))*INDEX(Inputs!$K$5:$AJ$110,0,MATCH(AC$2,Inputs!$K$4:$AJ$4,0)))+SUMPRODUCT((Inputs!$C$5:$C$110=$B20)*Inputs!$D$5:$D$110*(((Inputs!$G$5:$G$110="moeda")+(Inputs!$G$5:$G$110="acoes"))*Inputs!$B$1+((Inputs!$G$5:$G$110&lt;&gt;"moeda")*(Inputs!$G$5:$G$110&lt;&gt;"acoes")))*INDEX(Inputs!$K$5:$AJ$110,0,MATCH(AC$2,Inputs!$K$4:$AJ$4,0)))+SUMPRODUCT((Inputs!$E$5:$E$110=$B20)*Inputs!$F$5:$F$110*(((Inputs!$G$5:$G$110="moeda")+(Inputs!$G$5:$G$110="acoes"))*Inputs!$B$1+((Inputs!$G$5:$G$110&lt;&gt;"moeda")*(Inputs!$G$5:$G$110&lt;&gt;"acoes")))*INDEX(Inputs!$K$5:$AJ$110,0,MATCH(AC$2,Inputs!$K$4:$AJ$4,0)))))</f>
        <v>16613</v>
      </c>
      <c r="AD20" s="6">
        <f>IF(ISNA(MATCH(AD$2,Inputs!$K$4:$AJ$4,0)),NA(),IF(SUMPRODUCT((Inputs!$A$5:$A$110=$B20)*ISNUMBER(INDEX(Inputs!$K$5:$AJ$110,0,MATCH(AD$2,Inputs!$K$4:$AJ$4,0))))+SUMPRODUCT((Inputs!$C$5:$C$110=$B20)*ISNUMBER(INDEX(Inputs!$K$5:$AJ$110,0,MATCH(AD$2,Inputs!$K$4:$AJ$4,0))))+SUMPRODUCT((Inputs!$E$5:$E$110=$B20)*ISNUMBER(INDEX(Inputs!$K$5:$AJ$110,0,MATCH(AD$2,Inputs!$K$4:$AJ$4,0))))=0,NA(),SUMPRODUCT((Inputs!$A$5:$A$110=$B20)*Inputs!$B$5:$B$110*(((Inputs!$G$5:$G$110="moeda")+(Inputs!$G$5:$G$110="acoes"))*Inputs!$B$1+((Inputs!$G$5:$G$110&lt;&gt;"moeda")*(Inputs!$G$5:$G$110&lt;&gt;"acoes")))*INDEX(Inputs!$K$5:$AJ$110,0,MATCH(AD$2,Inputs!$K$4:$AJ$4,0)))+SUMPRODUCT((Inputs!$C$5:$C$110=$B20)*Inputs!$D$5:$D$110*(((Inputs!$G$5:$G$110="moeda")+(Inputs!$G$5:$G$110="acoes"))*Inputs!$B$1+((Inputs!$G$5:$G$110&lt;&gt;"moeda")*(Inputs!$G$5:$G$110&lt;&gt;"acoes")))*INDEX(Inputs!$K$5:$AJ$110,0,MATCH(AD$2,Inputs!$K$4:$AJ$4,0)))+SUMPRODUCT((Inputs!$E$5:$E$110=$B20)*Inputs!$F$5:$F$110*(((Inputs!$G$5:$G$110="moeda")+(Inputs!$G$5:$G$110="acoes"))*Inputs!$B$1+((Inputs!$G$5:$G$110&lt;&gt;"moeda")*(Inputs!$G$5:$G$110&lt;&gt;"acoes")))*INDEX(Inputs!$K$5:$AJ$110,0,MATCH(AD$2,Inputs!$K$4:$AJ$4,0)))))</f>
        <v>16843</v>
      </c>
      <c r="AE20" s="6" t="e">
        <f>IF(ISNA(MATCH(AE$2,Inputs!$K$4:$AJ$4,0)),NA(),IF(SUMPRODUCT((Inputs!$A$5:$A$110=$B20)*ISNUMBER(INDEX(Inputs!$K$5:$AJ$110,0,MATCH(AE$2,Inputs!$K$4:$AJ$4,0))))+SUMPRODUCT((Inputs!$C$5:$C$110=$B20)*ISNUMBER(INDEX(Inputs!$K$5:$AJ$110,0,MATCH(AE$2,Inputs!$K$4:$AJ$4,0))))+SUMPRODUCT((Inputs!$E$5:$E$110=$B20)*ISNUMBER(INDEX(Inputs!$K$5:$AJ$110,0,MATCH(AE$2,Inputs!$K$4:$AJ$4,0))))=0,NA(),SUMPRODUCT((Inputs!$A$5:$A$110=$B20)*Inputs!$B$5:$B$110*(((Inputs!$G$5:$G$110="moeda")+(Inputs!$G$5:$G$110="acoes"))*Inputs!$B$1+((Inputs!$G$5:$G$110&lt;&gt;"moeda")*(Inputs!$G$5:$G$110&lt;&gt;"acoes")))*INDEX(Inputs!$K$5:$AJ$110,0,MATCH(AE$2,Inputs!$K$4:$AJ$4,0)))+SUMPRODUCT((Inputs!$C$5:$C$110=$B20)*Inputs!$D$5:$D$110*(((Inputs!$G$5:$G$110="moeda")+(Inputs!$G$5:$G$110="acoes"))*Inputs!$B$1+((Inputs!$G$5:$G$110&lt;&gt;"moeda")*(Inputs!$G$5:$G$110&lt;&gt;"acoes")))*INDEX(Inputs!$K$5:$AJ$110,0,MATCH(AE$2,Inputs!$K$4:$AJ$4,0)))+SUMPRODUCT((Inputs!$E$5:$E$110=$B20)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0" s="6" t="e">
        <f>IF(ISNA(MATCH(AF$2,Inputs!$K$4:$AJ$4,0)),NA(),IF(SUMPRODUCT((Inputs!$A$5:$A$110=$B20)*ISNUMBER(INDEX(Inputs!$K$5:$AJ$110,0,MATCH(AF$2,Inputs!$K$4:$AJ$4,0))))+SUMPRODUCT((Inputs!$C$5:$C$110=$B20)*ISNUMBER(INDEX(Inputs!$K$5:$AJ$110,0,MATCH(AF$2,Inputs!$K$4:$AJ$4,0))))+SUMPRODUCT((Inputs!$E$5:$E$110=$B20)*ISNUMBER(INDEX(Inputs!$K$5:$AJ$110,0,MATCH(AF$2,Inputs!$K$4:$AJ$4,0))))=0,NA(),SUMPRODUCT((Inputs!$A$5:$A$110=$B20)*Inputs!$B$5:$B$110*(((Inputs!$G$5:$G$110="moeda")+(Inputs!$G$5:$G$110="acoes"))*Inputs!$B$1+((Inputs!$G$5:$G$110&lt;&gt;"moeda")*(Inputs!$G$5:$G$110&lt;&gt;"acoes")))*INDEX(Inputs!$K$5:$AJ$110,0,MATCH(AF$2,Inputs!$K$4:$AJ$4,0)))+SUMPRODUCT((Inputs!$C$5:$C$110=$B20)*Inputs!$D$5:$D$110*(((Inputs!$G$5:$G$110="moeda")+(Inputs!$G$5:$G$110="acoes"))*Inputs!$B$1+((Inputs!$G$5:$G$110&lt;&gt;"moeda")*(Inputs!$G$5:$G$110&lt;&gt;"acoes")))*INDEX(Inputs!$K$5:$AJ$110,0,MATCH(AF$2,Inputs!$K$4:$AJ$4,0)))+SUMPRODUCT((Inputs!$E$5:$E$110=$B20)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0" s="3" t="e">
        <f>AF20</f>
        <v>#N/A</v>
      </c>
      <c r="AH20" s="6">
        <f>IF(ISNA(MATCH(AH$2,Inputs!$K$4:$AJ$4,0)),NA(),IF(SUMPRODUCT((Inputs!$A$5:$A$110=$B20)*ISNUMBER(INDEX(Inputs!$K$5:$AJ$110,0,MATCH(AH$2,Inputs!$K$4:$AJ$4,0))))+SUMPRODUCT((Inputs!$C$5:$C$110=$B20)*ISNUMBER(INDEX(Inputs!$K$5:$AJ$110,0,MATCH(AH$2,Inputs!$K$4:$AJ$4,0))))+SUMPRODUCT((Inputs!$E$5:$E$110=$B20)*ISNUMBER(INDEX(Inputs!$K$5:$AJ$110,0,MATCH(AH$2,Inputs!$K$4:$AJ$4,0))))=0,NA(),SUMPRODUCT((Inputs!$A$5:$A$110=$B20)*Inputs!$B$5:$B$110*(((Inputs!$G$5:$G$110="moeda")+(Inputs!$G$5:$G$110="acoes"))*Inputs!$B$1+((Inputs!$G$5:$G$110&lt;&gt;"moeda")*(Inputs!$G$5:$G$110&lt;&gt;"acoes")))*INDEX(Inputs!$K$5:$AJ$110,0,MATCH(AH$2,Inputs!$K$4:$AJ$4,0)))+SUMPRODUCT((Inputs!$C$5:$C$110=$B20)*Inputs!$D$5:$D$110*(((Inputs!$G$5:$G$110="moeda")+(Inputs!$G$5:$G$110="acoes"))*Inputs!$B$1+((Inputs!$G$5:$G$110&lt;&gt;"moeda")*(Inputs!$G$5:$G$110&lt;&gt;"acoes")))*INDEX(Inputs!$K$5:$AJ$110,0,MATCH(AH$2,Inputs!$K$4:$AJ$4,0)))+SUMPRODUCT((Inputs!$E$5:$E$110=$B20)*Inputs!$F$5:$F$110*(((Inputs!$G$5:$G$110="moeda")+(Inputs!$G$5:$G$110="acoes"))*Inputs!$B$1+((Inputs!$G$5:$G$110&lt;&gt;"moeda")*(Inputs!$G$5:$G$110&lt;&gt;"acoes")))*INDEX(Inputs!$K$5:$AJ$110,0,MATCH(AH$2,Inputs!$K$4:$AJ$4,0)))))</f>
        <v>14342</v>
      </c>
      <c r="AI20" s="6">
        <f>IF(ISNA(MATCH(AI$2,Inputs!$K$4:$AJ$4,0)),NA(),IF(SUMPRODUCT((Inputs!$A$5:$A$110=$B20)*ISNUMBER(INDEX(Inputs!$K$5:$AJ$110,0,MATCH(AI$2,Inputs!$K$4:$AJ$4,0))))+SUMPRODUCT((Inputs!$C$5:$C$110=$B20)*ISNUMBER(INDEX(Inputs!$K$5:$AJ$110,0,MATCH(AI$2,Inputs!$K$4:$AJ$4,0))))+SUMPRODUCT((Inputs!$E$5:$E$110=$B20)*ISNUMBER(INDEX(Inputs!$K$5:$AJ$110,0,MATCH(AI$2,Inputs!$K$4:$AJ$4,0))))=0,NA(),SUMPRODUCT((Inputs!$A$5:$A$110=$B20)*Inputs!$B$5:$B$110*(((Inputs!$G$5:$G$110="moeda")+(Inputs!$G$5:$G$110="acoes"))*Inputs!$B$1+((Inputs!$G$5:$G$110&lt;&gt;"moeda")*(Inputs!$G$5:$G$110&lt;&gt;"acoes")))*INDEX(Inputs!$K$5:$AJ$110,0,MATCH(AI$2,Inputs!$K$4:$AJ$4,0)))+SUMPRODUCT((Inputs!$C$5:$C$110=$B20)*Inputs!$D$5:$D$110*(((Inputs!$G$5:$G$110="moeda")+(Inputs!$G$5:$G$110="acoes"))*Inputs!$B$1+((Inputs!$G$5:$G$110&lt;&gt;"moeda")*(Inputs!$G$5:$G$110&lt;&gt;"acoes")))*INDEX(Inputs!$K$5:$AJ$110,0,MATCH(AI$2,Inputs!$K$4:$AJ$4,0)))+SUMPRODUCT((Inputs!$E$5:$E$110=$B20)*Inputs!$F$5:$F$110*(((Inputs!$G$5:$G$110="moeda")+(Inputs!$G$5:$G$110="acoes"))*Inputs!$B$1+((Inputs!$G$5:$G$110&lt;&gt;"moeda")*(Inputs!$G$5:$G$110&lt;&gt;"acoes")))*INDEX(Inputs!$K$5:$AJ$110,0,MATCH(AI$2,Inputs!$K$4:$AJ$4,0)))))</f>
        <v>13880</v>
      </c>
      <c r="AJ20" s="6">
        <f>IF(ISNA(MATCH(AJ$2,Inputs!$K$4:$AJ$4,0)),NA(),IF(SUMPRODUCT((Inputs!$A$5:$A$110=$B20)*ISNUMBER(INDEX(Inputs!$K$5:$AJ$110,0,MATCH(AJ$2,Inputs!$K$4:$AJ$4,0))))+SUMPRODUCT((Inputs!$C$5:$C$110=$B20)*ISNUMBER(INDEX(Inputs!$K$5:$AJ$110,0,MATCH(AJ$2,Inputs!$K$4:$AJ$4,0))))+SUMPRODUCT((Inputs!$E$5:$E$110=$B20)*ISNUMBER(INDEX(Inputs!$K$5:$AJ$110,0,MATCH(AJ$2,Inputs!$K$4:$AJ$4,0))))=0,NA(),SUMPRODUCT((Inputs!$A$5:$A$110=$B20)*Inputs!$B$5:$B$110*(((Inputs!$G$5:$G$110="moeda")+(Inputs!$G$5:$G$110="acoes"))*Inputs!$B$1+((Inputs!$G$5:$G$110&lt;&gt;"moeda")*(Inputs!$G$5:$G$110&lt;&gt;"acoes")))*INDEX(Inputs!$K$5:$AJ$110,0,MATCH(AJ$2,Inputs!$K$4:$AJ$4,0)))+SUMPRODUCT((Inputs!$C$5:$C$110=$B20)*Inputs!$D$5:$D$110*(((Inputs!$G$5:$G$110="moeda")+(Inputs!$G$5:$G$110="acoes"))*Inputs!$B$1+((Inputs!$G$5:$G$110&lt;&gt;"moeda")*(Inputs!$G$5:$G$110&lt;&gt;"acoes")))*INDEX(Inputs!$K$5:$AJ$110,0,MATCH(AJ$2,Inputs!$K$4:$AJ$4,0)))+SUMPRODUCT((Inputs!$E$5:$E$110=$B20)*Inputs!$F$5:$F$110*(((Inputs!$G$5:$G$110="moeda")+(Inputs!$G$5:$G$110="acoes"))*Inputs!$B$1+((Inputs!$G$5:$G$110&lt;&gt;"moeda")*(Inputs!$G$5:$G$110&lt;&gt;"acoes")))*INDEX(Inputs!$K$5:$AJ$110,0,MATCH(AJ$2,Inputs!$K$4:$AJ$4,0)))))</f>
        <v>14225</v>
      </c>
      <c r="AK20" s="6">
        <f>IF(ISNA(MATCH(AK$2,Inputs!$K$4:$AJ$4,0)),NA(),IF(SUMPRODUCT((Inputs!$A$5:$A$110=$B20)*ISNUMBER(INDEX(Inputs!$K$5:$AJ$110,0,MATCH(AK$2,Inputs!$K$4:$AJ$4,0))))+SUMPRODUCT((Inputs!$C$5:$C$110=$B20)*ISNUMBER(INDEX(Inputs!$K$5:$AJ$110,0,MATCH(AK$2,Inputs!$K$4:$AJ$4,0))))+SUMPRODUCT((Inputs!$E$5:$E$110=$B20)*ISNUMBER(INDEX(Inputs!$K$5:$AJ$110,0,MATCH(AK$2,Inputs!$K$4:$AJ$4,0))))=0,NA(),SUMPRODUCT((Inputs!$A$5:$A$110=$B20)*Inputs!$B$5:$B$110*(((Inputs!$G$5:$G$110="moeda")+(Inputs!$G$5:$G$110="acoes"))*Inputs!$B$1+((Inputs!$G$5:$G$110&lt;&gt;"moeda")*(Inputs!$G$5:$G$110&lt;&gt;"acoes")))*INDEX(Inputs!$K$5:$AJ$110,0,MATCH(AK$2,Inputs!$K$4:$AJ$4,0)))+SUMPRODUCT((Inputs!$C$5:$C$110=$B20)*Inputs!$D$5:$D$110*(((Inputs!$G$5:$G$110="moeda")+(Inputs!$G$5:$G$110="acoes"))*Inputs!$B$1+((Inputs!$G$5:$G$110&lt;&gt;"moeda")*(Inputs!$G$5:$G$110&lt;&gt;"acoes")))*INDEX(Inputs!$K$5:$AJ$110,0,MATCH(AK$2,Inputs!$K$4:$AJ$4,0)))+SUMPRODUCT((Inputs!$E$5:$E$110=$B20)*Inputs!$F$5:$F$110*(((Inputs!$G$5:$G$110="moeda")+(Inputs!$G$5:$G$110="acoes"))*Inputs!$B$1+((Inputs!$G$5:$G$110&lt;&gt;"moeda")*(Inputs!$G$5:$G$110&lt;&gt;"acoes")))*INDEX(Inputs!$K$5:$AJ$110,0,MATCH(AK$2,Inputs!$K$4:$AJ$4,0)))))</f>
        <v>14240</v>
      </c>
      <c r="AL20" s="3">
        <f>AK20</f>
        <v>14240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$110=$B21)*ISNUMBER(INDEX(Inputs!$K$5:$AJ$110,0,MATCH(D$2,Inputs!$K$4:$AJ$4,0))))+SUMPRODUCT((Inputs!$C$5:$C$110=$B21)*ISNUMBER(INDEX(Inputs!$K$5:$AJ$110,0,MATCH(D$2,Inputs!$K$4:$AJ$4,0))))+SUMPRODUCT((Inputs!$E$5:$E$110=$B21)*ISNUMBER(INDEX(Inputs!$K$5:$AJ$110,0,MATCH(D$2,Inputs!$K$4:$AJ$4,0))))=0,NA(),SUMPRODUCT((Inputs!$A$5:$A$110=$B21)*Inputs!$B$5:$B$110*(((Inputs!$G$5:$G$110="moeda")+(Inputs!$G$5:$G$110="acoes"))*Inputs!$B$1+((Inputs!$G$5:$G$110&lt;&gt;"moeda")*(Inputs!$G$5:$G$110&lt;&gt;"acoes")))*INDEX(Inputs!$K$5:$AJ$110,0,MATCH(D$2,Inputs!$K$4:$AJ$4,0)))+SUMPRODUCT((Inputs!$C$5:$C$110=$B21)*Inputs!$D$5:$D$110*(((Inputs!$G$5:$G$110="moeda")+(Inputs!$G$5:$G$110="acoes"))*Inputs!$B$1+((Inputs!$G$5:$G$110&lt;&gt;"moeda")*(Inputs!$G$5:$G$110&lt;&gt;"acoes")))*INDEX(Inputs!$K$5:$AJ$110,0,MATCH(D$2,Inputs!$K$4:$AJ$4,0)))+SUMPRODUCT((Inputs!$E$5:$E$110=$B21)*Inputs!$F$5:$F$110*(((Inputs!$G$5:$G$110="moeda")+(Inputs!$G$5:$G$110="acoes"))*Inputs!$B$1+((Inputs!$G$5:$G$110&lt;&gt;"moeda")*(Inputs!$G$5:$G$110&lt;&gt;"acoes")))*INDEX(Inputs!$K$5:$AJ$110,0,MATCH(D$2,Inputs!$K$4:$AJ$4,0)))))</f>
        <v>0</v>
      </c>
      <c r="E21" s="6">
        <f>IF(ISNA(MATCH(E$2,Inputs!$K$4:$AJ$4,0)),NA(),IF(SUMPRODUCT((Inputs!$A$5:$A$110=$B21)*ISNUMBER(INDEX(Inputs!$K$5:$AJ$110,0,MATCH(E$2,Inputs!$K$4:$AJ$4,0))))+SUMPRODUCT((Inputs!$C$5:$C$110=$B21)*ISNUMBER(INDEX(Inputs!$K$5:$AJ$110,0,MATCH(E$2,Inputs!$K$4:$AJ$4,0))))+SUMPRODUCT((Inputs!$E$5:$E$110=$B21)*ISNUMBER(INDEX(Inputs!$K$5:$AJ$110,0,MATCH(E$2,Inputs!$K$4:$AJ$4,0))))=0,NA(),SUMPRODUCT((Inputs!$A$5:$A$110=$B21)*Inputs!$B$5:$B$110*(((Inputs!$G$5:$G$110="moeda")+(Inputs!$G$5:$G$110="acoes"))*Inputs!$B$1+((Inputs!$G$5:$G$110&lt;&gt;"moeda")*(Inputs!$G$5:$G$110&lt;&gt;"acoes")))*INDEX(Inputs!$K$5:$AJ$110,0,MATCH(E$2,Inputs!$K$4:$AJ$4,0)))+SUMPRODUCT((Inputs!$C$5:$C$110=$B21)*Inputs!$D$5:$D$110*(((Inputs!$G$5:$G$110="moeda")+(Inputs!$G$5:$G$110="acoes"))*Inputs!$B$1+((Inputs!$G$5:$G$110&lt;&gt;"moeda")*(Inputs!$G$5:$G$110&lt;&gt;"acoes")))*INDEX(Inputs!$K$5:$AJ$110,0,MATCH(E$2,Inputs!$K$4:$AJ$4,0)))+SUMPRODUCT((Inputs!$E$5:$E$110=$B21)*Inputs!$F$5:$F$110*(((Inputs!$G$5:$G$110="moeda")+(Inputs!$G$5:$G$110="acoes"))*Inputs!$B$1+((Inputs!$G$5:$G$110&lt;&gt;"moeda")*(Inputs!$G$5:$G$110&lt;&gt;"acoes")))*INDEX(Inputs!$K$5:$AJ$110,0,MATCH(E$2,Inputs!$K$4:$AJ$4,0)))))</f>
        <v>0</v>
      </c>
      <c r="F21" s="6">
        <f>IF(ISNA(MATCH(F$2,Inputs!$K$4:$AJ$4,0)),NA(),IF(SUMPRODUCT((Inputs!$A$5:$A$110=$B21)*ISNUMBER(INDEX(Inputs!$K$5:$AJ$110,0,MATCH(F$2,Inputs!$K$4:$AJ$4,0))))+SUMPRODUCT((Inputs!$C$5:$C$110=$B21)*ISNUMBER(INDEX(Inputs!$K$5:$AJ$110,0,MATCH(F$2,Inputs!$K$4:$AJ$4,0))))+SUMPRODUCT((Inputs!$E$5:$E$110=$B21)*ISNUMBER(INDEX(Inputs!$K$5:$AJ$110,0,MATCH(F$2,Inputs!$K$4:$AJ$4,0))))=0,NA(),SUMPRODUCT((Inputs!$A$5:$A$110=$B21)*Inputs!$B$5:$B$110*(((Inputs!$G$5:$G$110="moeda")+(Inputs!$G$5:$G$110="acoes"))*Inputs!$B$1+((Inputs!$G$5:$G$110&lt;&gt;"moeda")*(Inputs!$G$5:$G$110&lt;&gt;"acoes")))*INDEX(Inputs!$K$5:$AJ$110,0,MATCH(F$2,Inputs!$K$4:$AJ$4,0)))+SUMPRODUCT((Inputs!$C$5:$C$110=$B21)*Inputs!$D$5:$D$110*(((Inputs!$G$5:$G$110="moeda")+(Inputs!$G$5:$G$110="acoes"))*Inputs!$B$1+((Inputs!$G$5:$G$110&lt;&gt;"moeda")*(Inputs!$G$5:$G$110&lt;&gt;"acoes")))*INDEX(Inputs!$K$5:$AJ$110,0,MATCH(F$2,Inputs!$K$4:$AJ$4,0)))+SUMPRODUCT((Inputs!$E$5:$E$110=$B21)*Inputs!$F$5:$F$110*(((Inputs!$G$5:$G$110="moeda")+(Inputs!$G$5:$G$110="acoes"))*Inputs!$B$1+((Inputs!$G$5:$G$110&lt;&gt;"moeda")*(Inputs!$G$5:$G$110&lt;&gt;"acoes")))*INDEX(Inputs!$K$5:$AJ$110,0,MATCH(F$2,Inputs!$K$4:$AJ$4,0)))))</f>
        <v>0</v>
      </c>
      <c r="G21" s="6">
        <f>IF(ISNA(MATCH(G$2,Inputs!$K$4:$AJ$4,0)),NA(),IF(SUMPRODUCT((Inputs!$A$5:$A$110=$B21)*ISNUMBER(INDEX(Inputs!$K$5:$AJ$110,0,MATCH(G$2,Inputs!$K$4:$AJ$4,0))))+SUMPRODUCT((Inputs!$C$5:$C$110=$B21)*ISNUMBER(INDEX(Inputs!$K$5:$AJ$110,0,MATCH(G$2,Inputs!$K$4:$AJ$4,0))))+SUMPRODUCT((Inputs!$E$5:$E$110=$B21)*ISNUMBER(INDEX(Inputs!$K$5:$AJ$110,0,MATCH(G$2,Inputs!$K$4:$AJ$4,0))))=0,NA(),SUMPRODUCT((Inputs!$A$5:$A$110=$B21)*Inputs!$B$5:$B$110*(((Inputs!$G$5:$G$110="moeda")+(Inputs!$G$5:$G$110="acoes"))*Inputs!$B$1+((Inputs!$G$5:$G$110&lt;&gt;"moeda")*(Inputs!$G$5:$G$110&lt;&gt;"acoes")))*INDEX(Inputs!$K$5:$AJ$110,0,MATCH(G$2,Inputs!$K$4:$AJ$4,0)))+SUMPRODUCT((Inputs!$C$5:$C$110=$B21)*Inputs!$D$5:$D$110*(((Inputs!$G$5:$G$110="moeda")+(Inputs!$G$5:$G$110="acoes"))*Inputs!$B$1+((Inputs!$G$5:$G$110&lt;&gt;"moeda")*(Inputs!$G$5:$G$110&lt;&gt;"acoes")))*INDEX(Inputs!$K$5:$AJ$110,0,MATCH(G$2,Inputs!$K$4:$AJ$4,0)))+SUMPRODUCT((Inputs!$E$5:$E$110=$B21)*Inputs!$F$5:$F$110*(((Inputs!$G$5:$G$110="moeda")+(Inputs!$G$5:$G$110="acoes"))*Inputs!$B$1+((Inputs!$G$5:$G$110&lt;&gt;"moeda")*(Inputs!$G$5:$G$110&lt;&gt;"acoes")))*INDEX(Inputs!$K$5:$AJ$110,0,MATCH(G$2,Inputs!$K$4:$AJ$4,0)))))</f>
        <v>0</v>
      </c>
      <c r="H21" s="3">
        <f>G21</f>
        <v>0</v>
      </c>
      <c r="I21" s="6">
        <f>IF(ISNA(MATCH(I$2,Inputs!$K$4:$AJ$4,0)),NA(),IF(SUMPRODUCT((Inputs!$A$5:$A$110=$B21)*ISNUMBER(INDEX(Inputs!$K$5:$AJ$110,0,MATCH(I$2,Inputs!$K$4:$AJ$4,0))))+SUMPRODUCT((Inputs!$C$5:$C$110=$B21)*ISNUMBER(INDEX(Inputs!$K$5:$AJ$110,0,MATCH(I$2,Inputs!$K$4:$AJ$4,0))))+SUMPRODUCT((Inputs!$E$5:$E$110=$B21)*ISNUMBER(INDEX(Inputs!$K$5:$AJ$110,0,MATCH(I$2,Inputs!$K$4:$AJ$4,0))))=0,NA(),SUMPRODUCT((Inputs!$A$5:$A$110=$B21)*Inputs!$B$5:$B$110*(((Inputs!$G$5:$G$110="moeda")+(Inputs!$G$5:$G$110="acoes"))*Inputs!$B$1+((Inputs!$G$5:$G$110&lt;&gt;"moeda")*(Inputs!$G$5:$G$110&lt;&gt;"acoes")))*INDEX(Inputs!$K$5:$AJ$110,0,MATCH(I$2,Inputs!$K$4:$AJ$4,0)))+SUMPRODUCT((Inputs!$C$5:$C$110=$B21)*Inputs!$D$5:$D$110*(((Inputs!$G$5:$G$110="moeda")+(Inputs!$G$5:$G$110="acoes"))*Inputs!$B$1+((Inputs!$G$5:$G$110&lt;&gt;"moeda")*(Inputs!$G$5:$G$110&lt;&gt;"acoes")))*INDEX(Inputs!$K$5:$AJ$110,0,MATCH(I$2,Inputs!$K$4:$AJ$4,0)))+SUMPRODUCT((Inputs!$E$5:$E$110=$B21)*Inputs!$F$5:$F$110*(((Inputs!$G$5:$G$110="moeda")+(Inputs!$G$5:$G$110="acoes"))*Inputs!$B$1+((Inputs!$G$5:$G$110&lt;&gt;"moeda")*(Inputs!$G$5:$G$110&lt;&gt;"acoes")))*INDEX(Inputs!$K$5:$AJ$110,0,MATCH(I$2,Inputs!$K$4:$AJ$4,0)))))</f>
        <v>0</v>
      </c>
      <c r="J21" s="6">
        <f>IF(ISNA(MATCH(J$2,Inputs!$K$4:$AJ$4,0)),NA(),IF(SUMPRODUCT((Inputs!$A$5:$A$110=$B21)*ISNUMBER(INDEX(Inputs!$K$5:$AJ$110,0,MATCH(J$2,Inputs!$K$4:$AJ$4,0))))+SUMPRODUCT((Inputs!$C$5:$C$110=$B21)*ISNUMBER(INDEX(Inputs!$K$5:$AJ$110,0,MATCH(J$2,Inputs!$K$4:$AJ$4,0))))+SUMPRODUCT((Inputs!$E$5:$E$110=$B21)*ISNUMBER(INDEX(Inputs!$K$5:$AJ$110,0,MATCH(J$2,Inputs!$K$4:$AJ$4,0))))=0,NA(),SUMPRODUCT((Inputs!$A$5:$A$110=$B21)*Inputs!$B$5:$B$110*(((Inputs!$G$5:$G$110="moeda")+(Inputs!$G$5:$G$110="acoes"))*Inputs!$B$1+((Inputs!$G$5:$G$110&lt;&gt;"moeda")*(Inputs!$G$5:$G$110&lt;&gt;"acoes")))*INDEX(Inputs!$K$5:$AJ$110,0,MATCH(J$2,Inputs!$K$4:$AJ$4,0)))+SUMPRODUCT((Inputs!$C$5:$C$110=$B21)*Inputs!$D$5:$D$110*(((Inputs!$G$5:$G$110="moeda")+(Inputs!$G$5:$G$110="acoes"))*Inputs!$B$1+((Inputs!$G$5:$G$110&lt;&gt;"moeda")*(Inputs!$G$5:$G$110&lt;&gt;"acoes")))*INDEX(Inputs!$K$5:$AJ$110,0,MATCH(J$2,Inputs!$K$4:$AJ$4,0)))+SUMPRODUCT((Inputs!$E$5:$E$110=$B21)*Inputs!$F$5:$F$110*(((Inputs!$G$5:$G$110="moeda")+(Inputs!$G$5:$G$110="acoes"))*Inputs!$B$1+((Inputs!$G$5:$G$110&lt;&gt;"moeda")*(Inputs!$G$5:$G$110&lt;&gt;"acoes")))*INDEX(Inputs!$K$5:$AJ$110,0,MATCH(J$2,Inputs!$K$4:$AJ$4,0)))))</f>
        <v>0</v>
      </c>
      <c r="K21" s="6">
        <f>IF(ISNA(MATCH(K$2,Inputs!$K$4:$AJ$4,0)),NA(),IF(SUMPRODUCT((Inputs!$A$5:$A$110=$B21)*ISNUMBER(INDEX(Inputs!$K$5:$AJ$110,0,MATCH(K$2,Inputs!$K$4:$AJ$4,0))))+SUMPRODUCT((Inputs!$C$5:$C$110=$B21)*ISNUMBER(INDEX(Inputs!$K$5:$AJ$110,0,MATCH(K$2,Inputs!$K$4:$AJ$4,0))))+SUMPRODUCT((Inputs!$E$5:$E$110=$B21)*ISNUMBER(INDEX(Inputs!$K$5:$AJ$110,0,MATCH(K$2,Inputs!$K$4:$AJ$4,0))))=0,NA(),SUMPRODUCT((Inputs!$A$5:$A$110=$B21)*Inputs!$B$5:$B$110*(((Inputs!$G$5:$G$110="moeda")+(Inputs!$G$5:$G$110="acoes"))*Inputs!$B$1+((Inputs!$G$5:$G$110&lt;&gt;"moeda")*(Inputs!$G$5:$G$110&lt;&gt;"acoes")))*INDEX(Inputs!$K$5:$AJ$110,0,MATCH(K$2,Inputs!$K$4:$AJ$4,0)))+SUMPRODUCT((Inputs!$C$5:$C$110=$B21)*Inputs!$D$5:$D$110*(((Inputs!$G$5:$G$110="moeda")+(Inputs!$G$5:$G$110="acoes"))*Inputs!$B$1+((Inputs!$G$5:$G$110&lt;&gt;"moeda")*(Inputs!$G$5:$G$110&lt;&gt;"acoes")))*INDEX(Inputs!$K$5:$AJ$110,0,MATCH(K$2,Inputs!$K$4:$AJ$4,0)))+SUMPRODUCT((Inputs!$E$5:$E$110=$B21)*Inputs!$F$5:$F$110*(((Inputs!$G$5:$G$110="moeda")+(Inputs!$G$5:$G$110="acoes"))*Inputs!$B$1+((Inputs!$G$5:$G$110&lt;&gt;"moeda")*(Inputs!$G$5:$G$110&lt;&gt;"acoes")))*INDEX(Inputs!$K$5:$AJ$110,0,MATCH(K$2,Inputs!$K$4:$AJ$4,0)))))</f>
        <v>0</v>
      </c>
      <c r="L21" s="6">
        <f>IF(ISNA(MATCH(L$2,Inputs!$K$4:$AJ$4,0)),NA(),IF(SUMPRODUCT((Inputs!$A$5:$A$110=$B21)*ISNUMBER(INDEX(Inputs!$K$5:$AJ$110,0,MATCH(L$2,Inputs!$K$4:$AJ$4,0))))+SUMPRODUCT((Inputs!$C$5:$C$110=$B21)*ISNUMBER(INDEX(Inputs!$K$5:$AJ$110,0,MATCH(L$2,Inputs!$K$4:$AJ$4,0))))+SUMPRODUCT((Inputs!$E$5:$E$110=$B21)*ISNUMBER(INDEX(Inputs!$K$5:$AJ$110,0,MATCH(L$2,Inputs!$K$4:$AJ$4,0))))=0,NA(),SUMPRODUCT((Inputs!$A$5:$A$110=$B21)*Inputs!$B$5:$B$110*(((Inputs!$G$5:$G$110="moeda")+(Inputs!$G$5:$G$110="acoes"))*Inputs!$B$1+((Inputs!$G$5:$G$110&lt;&gt;"moeda")*(Inputs!$G$5:$G$110&lt;&gt;"acoes")))*INDEX(Inputs!$K$5:$AJ$110,0,MATCH(L$2,Inputs!$K$4:$AJ$4,0)))+SUMPRODUCT((Inputs!$C$5:$C$110=$B21)*Inputs!$D$5:$D$110*(((Inputs!$G$5:$G$110="moeda")+(Inputs!$G$5:$G$110="acoes"))*Inputs!$B$1+((Inputs!$G$5:$G$110&lt;&gt;"moeda")*(Inputs!$G$5:$G$110&lt;&gt;"acoes")))*INDEX(Inputs!$K$5:$AJ$110,0,MATCH(L$2,Inputs!$K$4:$AJ$4,0)))+SUMPRODUCT((Inputs!$E$5:$E$110=$B21)*Inputs!$F$5:$F$110*(((Inputs!$G$5:$G$110="moeda")+(Inputs!$G$5:$G$110="acoes"))*Inputs!$B$1+((Inputs!$G$5:$G$110&lt;&gt;"moeda")*(Inputs!$G$5:$G$110&lt;&gt;"acoes")))*INDEX(Inputs!$K$5:$AJ$110,0,MATCH(L$2,Inputs!$K$4:$AJ$4,0)))))</f>
        <v>0</v>
      </c>
      <c r="M21" s="3">
        <f>L21</f>
        <v>0</v>
      </c>
      <c r="N21" s="6">
        <f>IF(ISNA(MATCH(N$2,Inputs!$K$4:$AJ$4,0)),NA(),IF(SUMPRODUCT((Inputs!$A$5:$A$110=$B21)*ISNUMBER(INDEX(Inputs!$K$5:$AJ$110,0,MATCH(N$2,Inputs!$K$4:$AJ$4,0))))+SUMPRODUCT((Inputs!$C$5:$C$110=$B21)*ISNUMBER(INDEX(Inputs!$K$5:$AJ$110,0,MATCH(N$2,Inputs!$K$4:$AJ$4,0))))+SUMPRODUCT((Inputs!$E$5:$E$110=$B21)*ISNUMBER(INDEX(Inputs!$K$5:$AJ$110,0,MATCH(N$2,Inputs!$K$4:$AJ$4,0))))=0,NA(),SUMPRODUCT((Inputs!$A$5:$A$110=$B21)*Inputs!$B$5:$B$110*(((Inputs!$G$5:$G$110="moeda")+(Inputs!$G$5:$G$110="acoes"))*Inputs!$B$1+((Inputs!$G$5:$G$110&lt;&gt;"moeda")*(Inputs!$G$5:$G$110&lt;&gt;"acoes")))*INDEX(Inputs!$K$5:$AJ$110,0,MATCH(N$2,Inputs!$K$4:$AJ$4,0)))+SUMPRODUCT((Inputs!$C$5:$C$110=$B21)*Inputs!$D$5:$D$110*(((Inputs!$G$5:$G$110="moeda")+(Inputs!$G$5:$G$110="acoes"))*Inputs!$B$1+((Inputs!$G$5:$G$110&lt;&gt;"moeda")*(Inputs!$G$5:$G$110&lt;&gt;"acoes")))*INDEX(Inputs!$K$5:$AJ$110,0,MATCH(N$2,Inputs!$K$4:$AJ$4,0)))+SUMPRODUCT((Inputs!$E$5:$E$110=$B21)*Inputs!$F$5:$F$110*(((Inputs!$G$5:$G$110="moeda")+(Inputs!$G$5:$G$110="acoes"))*Inputs!$B$1+((Inputs!$G$5:$G$110&lt;&gt;"moeda")*(Inputs!$G$5:$G$110&lt;&gt;"acoes")))*INDEX(Inputs!$K$5:$AJ$110,0,MATCH(N$2,Inputs!$K$4:$AJ$4,0)))))</f>
        <v>0</v>
      </c>
      <c r="O21" s="6">
        <f>IF(ISNA(MATCH(O$2,Inputs!$K$4:$AJ$4,0)),NA(),IF(SUMPRODUCT((Inputs!$A$5:$A$110=$B21)*ISNUMBER(INDEX(Inputs!$K$5:$AJ$110,0,MATCH(O$2,Inputs!$K$4:$AJ$4,0))))+SUMPRODUCT((Inputs!$C$5:$C$110=$B21)*ISNUMBER(INDEX(Inputs!$K$5:$AJ$110,0,MATCH(O$2,Inputs!$K$4:$AJ$4,0))))+SUMPRODUCT((Inputs!$E$5:$E$110=$B21)*ISNUMBER(INDEX(Inputs!$K$5:$AJ$110,0,MATCH(O$2,Inputs!$K$4:$AJ$4,0))))=0,NA(),SUMPRODUCT((Inputs!$A$5:$A$110=$B21)*Inputs!$B$5:$B$110*(((Inputs!$G$5:$G$110="moeda")+(Inputs!$G$5:$G$110="acoes"))*Inputs!$B$1+((Inputs!$G$5:$G$110&lt;&gt;"moeda")*(Inputs!$G$5:$G$110&lt;&gt;"acoes")))*INDEX(Inputs!$K$5:$AJ$110,0,MATCH(O$2,Inputs!$K$4:$AJ$4,0)))+SUMPRODUCT((Inputs!$C$5:$C$110=$B21)*Inputs!$D$5:$D$110*(((Inputs!$G$5:$G$110="moeda")+(Inputs!$G$5:$G$110="acoes"))*Inputs!$B$1+((Inputs!$G$5:$G$110&lt;&gt;"moeda")*(Inputs!$G$5:$G$110&lt;&gt;"acoes")))*INDEX(Inputs!$K$5:$AJ$110,0,MATCH(O$2,Inputs!$K$4:$AJ$4,0)))+SUMPRODUCT((Inputs!$E$5:$E$110=$B21)*Inputs!$F$5:$F$110*(((Inputs!$G$5:$G$110="moeda")+(Inputs!$G$5:$G$110="acoes"))*Inputs!$B$1+((Inputs!$G$5:$G$110&lt;&gt;"moeda")*(Inputs!$G$5:$G$110&lt;&gt;"acoes")))*INDEX(Inputs!$K$5:$AJ$110,0,MATCH(O$2,Inputs!$K$4:$AJ$4,0)))))</f>
        <v>0</v>
      </c>
      <c r="P21" s="6">
        <f>IF(ISNA(MATCH(P$2,Inputs!$K$4:$AJ$4,0)),NA(),IF(SUMPRODUCT((Inputs!$A$5:$A$110=$B21)*ISNUMBER(INDEX(Inputs!$K$5:$AJ$110,0,MATCH(P$2,Inputs!$K$4:$AJ$4,0))))+SUMPRODUCT((Inputs!$C$5:$C$110=$B21)*ISNUMBER(INDEX(Inputs!$K$5:$AJ$110,0,MATCH(P$2,Inputs!$K$4:$AJ$4,0))))+SUMPRODUCT((Inputs!$E$5:$E$110=$B21)*ISNUMBER(INDEX(Inputs!$K$5:$AJ$110,0,MATCH(P$2,Inputs!$K$4:$AJ$4,0))))=0,NA(),SUMPRODUCT((Inputs!$A$5:$A$110=$B21)*Inputs!$B$5:$B$110*(((Inputs!$G$5:$G$110="moeda")+(Inputs!$G$5:$G$110="acoes"))*Inputs!$B$1+((Inputs!$G$5:$G$110&lt;&gt;"moeda")*(Inputs!$G$5:$G$110&lt;&gt;"acoes")))*INDEX(Inputs!$K$5:$AJ$110,0,MATCH(P$2,Inputs!$K$4:$AJ$4,0)))+SUMPRODUCT((Inputs!$C$5:$C$110=$B21)*Inputs!$D$5:$D$110*(((Inputs!$G$5:$G$110="moeda")+(Inputs!$G$5:$G$110="acoes"))*Inputs!$B$1+((Inputs!$G$5:$G$110&lt;&gt;"moeda")*(Inputs!$G$5:$G$110&lt;&gt;"acoes")))*INDEX(Inputs!$K$5:$AJ$110,0,MATCH(P$2,Inputs!$K$4:$AJ$4,0)))+SUMPRODUCT((Inputs!$E$5:$E$110=$B21)*Inputs!$F$5:$F$110*(((Inputs!$G$5:$G$110="moeda")+(Inputs!$G$5:$G$110="acoes"))*Inputs!$B$1+((Inputs!$G$5:$G$110&lt;&gt;"moeda")*(Inputs!$G$5:$G$110&lt;&gt;"acoes")))*INDEX(Inputs!$K$5:$AJ$110,0,MATCH(P$2,Inputs!$K$4:$AJ$4,0)))))</f>
        <v>0</v>
      </c>
      <c r="Q21" s="6">
        <f>IF(ISNA(MATCH(Q$2,Inputs!$K$4:$AJ$4,0)),NA(),IF(SUMPRODUCT((Inputs!$A$5:$A$110=$B21)*ISNUMBER(INDEX(Inputs!$K$5:$AJ$110,0,MATCH(Q$2,Inputs!$K$4:$AJ$4,0))))+SUMPRODUCT((Inputs!$C$5:$C$110=$B21)*ISNUMBER(INDEX(Inputs!$K$5:$AJ$110,0,MATCH(Q$2,Inputs!$K$4:$AJ$4,0))))+SUMPRODUCT((Inputs!$E$5:$E$110=$B21)*ISNUMBER(INDEX(Inputs!$K$5:$AJ$110,0,MATCH(Q$2,Inputs!$K$4:$AJ$4,0))))=0,NA(),SUMPRODUCT((Inputs!$A$5:$A$110=$B21)*Inputs!$B$5:$B$110*(((Inputs!$G$5:$G$110="moeda")+(Inputs!$G$5:$G$110="acoes"))*Inputs!$B$1+((Inputs!$G$5:$G$110&lt;&gt;"moeda")*(Inputs!$G$5:$G$110&lt;&gt;"acoes")))*INDEX(Inputs!$K$5:$AJ$110,0,MATCH(Q$2,Inputs!$K$4:$AJ$4,0)))+SUMPRODUCT((Inputs!$C$5:$C$110=$B21)*Inputs!$D$5:$D$110*(((Inputs!$G$5:$G$110="moeda")+(Inputs!$G$5:$G$110="acoes"))*Inputs!$B$1+((Inputs!$G$5:$G$110&lt;&gt;"moeda")*(Inputs!$G$5:$G$110&lt;&gt;"acoes")))*INDEX(Inputs!$K$5:$AJ$110,0,MATCH(Q$2,Inputs!$K$4:$AJ$4,0)))+SUMPRODUCT((Inputs!$E$5:$E$110=$B21)*Inputs!$F$5:$F$110*(((Inputs!$G$5:$G$110="moeda")+(Inputs!$G$5:$G$110="acoes"))*Inputs!$B$1+((Inputs!$G$5:$G$110&lt;&gt;"moeda")*(Inputs!$G$5:$G$110&lt;&gt;"acoes")))*INDEX(Inputs!$K$5:$AJ$110,0,MATCH(Q$2,Inputs!$K$4:$AJ$4,0)))))</f>
        <v>0</v>
      </c>
      <c r="R21" s="3">
        <f>Q21</f>
        <v>0</v>
      </c>
      <c r="S21" s="6">
        <f>IF(ISNA(MATCH(S$2,Inputs!$K$4:$AJ$4,0)),NA(),IF(SUMPRODUCT((Inputs!$A$5:$A$110=$B21)*ISNUMBER(INDEX(Inputs!$K$5:$AJ$110,0,MATCH(S$2,Inputs!$K$4:$AJ$4,0))))+SUMPRODUCT((Inputs!$C$5:$C$110=$B21)*ISNUMBER(INDEX(Inputs!$K$5:$AJ$110,0,MATCH(S$2,Inputs!$K$4:$AJ$4,0))))+SUMPRODUCT((Inputs!$E$5:$E$110=$B21)*ISNUMBER(INDEX(Inputs!$K$5:$AJ$110,0,MATCH(S$2,Inputs!$K$4:$AJ$4,0))))=0,NA(),SUMPRODUCT((Inputs!$A$5:$A$110=$B21)*Inputs!$B$5:$B$110*(((Inputs!$G$5:$G$110="moeda")+(Inputs!$G$5:$G$110="acoes"))*Inputs!$B$1+((Inputs!$G$5:$G$110&lt;&gt;"moeda")*(Inputs!$G$5:$G$110&lt;&gt;"acoes")))*INDEX(Inputs!$K$5:$AJ$110,0,MATCH(S$2,Inputs!$K$4:$AJ$4,0)))+SUMPRODUCT((Inputs!$C$5:$C$110=$B21)*Inputs!$D$5:$D$110*(((Inputs!$G$5:$G$110="moeda")+(Inputs!$G$5:$G$110="acoes"))*Inputs!$B$1+((Inputs!$G$5:$G$110&lt;&gt;"moeda")*(Inputs!$G$5:$G$110&lt;&gt;"acoes")))*INDEX(Inputs!$K$5:$AJ$110,0,MATCH(S$2,Inputs!$K$4:$AJ$4,0)))+SUMPRODUCT((Inputs!$E$5:$E$110=$B21)*Inputs!$F$5:$F$110*(((Inputs!$G$5:$G$110="moeda")+(Inputs!$G$5:$G$110="acoes"))*Inputs!$B$1+((Inputs!$G$5:$G$110&lt;&gt;"moeda")*(Inputs!$G$5:$G$110&lt;&gt;"acoes")))*INDEX(Inputs!$K$5:$AJ$110,0,MATCH(S$2,Inputs!$K$4:$AJ$4,0)))))</f>
        <v>0</v>
      </c>
      <c r="T21" s="6">
        <f>IF(ISNA(MATCH(T$2,Inputs!$K$4:$AJ$4,0)),NA(),IF(SUMPRODUCT((Inputs!$A$5:$A$110=$B21)*ISNUMBER(INDEX(Inputs!$K$5:$AJ$110,0,MATCH(T$2,Inputs!$K$4:$AJ$4,0))))+SUMPRODUCT((Inputs!$C$5:$C$110=$B21)*ISNUMBER(INDEX(Inputs!$K$5:$AJ$110,0,MATCH(T$2,Inputs!$K$4:$AJ$4,0))))+SUMPRODUCT((Inputs!$E$5:$E$110=$B21)*ISNUMBER(INDEX(Inputs!$K$5:$AJ$110,0,MATCH(T$2,Inputs!$K$4:$AJ$4,0))))=0,NA(),SUMPRODUCT((Inputs!$A$5:$A$110=$B21)*Inputs!$B$5:$B$110*(((Inputs!$G$5:$G$110="moeda")+(Inputs!$G$5:$G$110="acoes"))*Inputs!$B$1+((Inputs!$G$5:$G$110&lt;&gt;"moeda")*(Inputs!$G$5:$G$110&lt;&gt;"acoes")))*INDEX(Inputs!$K$5:$AJ$110,0,MATCH(T$2,Inputs!$K$4:$AJ$4,0)))+SUMPRODUCT((Inputs!$C$5:$C$110=$B21)*Inputs!$D$5:$D$110*(((Inputs!$G$5:$G$110="moeda")+(Inputs!$G$5:$G$110="acoes"))*Inputs!$B$1+((Inputs!$G$5:$G$110&lt;&gt;"moeda")*(Inputs!$G$5:$G$110&lt;&gt;"acoes")))*INDEX(Inputs!$K$5:$AJ$110,0,MATCH(T$2,Inputs!$K$4:$AJ$4,0)))+SUMPRODUCT((Inputs!$E$5:$E$110=$B21)*Inputs!$F$5:$F$110*(((Inputs!$G$5:$G$110="moeda")+(Inputs!$G$5:$G$110="acoes"))*Inputs!$B$1+((Inputs!$G$5:$G$110&lt;&gt;"moeda")*(Inputs!$G$5:$G$110&lt;&gt;"acoes")))*INDEX(Inputs!$K$5:$AJ$110,0,MATCH(T$2,Inputs!$K$4:$AJ$4,0)))))</f>
        <v>0</v>
      </c>
      <c r="U21" s="6">
        <f>IF(ISNA(MATCH(U$2,Inputs!$K$4:$AJ$4,0)),NA(),IF(SUMPRODUCT((Inputs!$A$5:$A$110=$B21)*ISNUMBER(INDEX(Inputs!$K$5:$AJ$110,0,MATCH(U$2,Inputs!$K$4:$AJ$4,0))))+SUMPRODUCT((Inputs!$C$5:$C$110=$B21)*ISNUMBER(INDEX(Inputs!$K$5:$AJ$110,0,MATCH(U$2,Inputs!$K$4:$AJ$4,0))))+SUMPRODUCT((Inputs!$E$5:$E$110=$B21)*ISNUMBER(INDEX(Inputs!$K$5:$AJ$110,0,MATCH(U$2,Inputs!$K$4:$AJ$4,0))))=0,NA(),SUMPRODUCT((Inputs!$A$5:$A$110=$B21)*Inputs!$B$5:$B$110*(((Inputs!$G$5:$G$110="moeda")+(Inputs!$G$5:$G$110="acoes"))*Inputs!$B$1+((Inputs!$G$5:$G$110&lt;&gt;"moeda")*(Inputs!$G$5:$G$110&lt;&gt;"acoes")))*INDEX(Inputs!$K$5:$AJ$110,0,MATCH(U$2,Inputs!$K$4:$AJ$4,0)))+SUMPRODUCT((Inputs!$C$5:$C$110=$B21)*Inputs!$D$5:$D$110*(((Inputs!$G$5:$G$110="moeda")+(Inputs!$G$5:$G$110="acoes"))*Inputs!$B$1+((Inputs!$G$5:$G$110&lt;&gt;"moeda")*(Inputs!$G$5:$G$110&lt;&gt;"acoes")))*INDEX(Inputs!$K$5:$AJ$110,0,MATCH(U$2,Inputs!$K$4:$AJ$4,0)))+SUMPRODUCT((Inputs!$E$5:$E$110=$B21)*Inputs!$F$5:$F$110*(((Inputs!$G$5:$G$110="moeda")+(Inputs!$G$5:$G$110="acoes"))*Inputs!$B$1+((Inputs!$G$5:$G$110&lt;&gt;"moeda")*(Inputs!$G$5:$G$110&lt;&gt;"acoes")))*INDEX(Inputs!$K$5:$AJ$110,0,MATCH(U$2,Inputs!$K$4:$AJ$4,0)))))</f>
        <v>0</v>
      </c>
      <c r="V21" s="6">
        <f>IF(ISNA(MATCH(V$2,Inputs!$K$4:$AJ$4,0)),NA(),IF(SUMPRODUCT((Inputs!$A$5:$A$110=$B21)*ISNUMBER(INDEX(Inputs!$K$5:$AJ$110,0,MATCH(V$2,Inputs!$K$4:$AJ$4,0))))+SUMPRODUCT((Inputs!$C$5:$C$110=$B21)*ISNUMBER(INDEX(Inputs!$K$5:$AJ$110,0,MATCH(V$2,Inputs!$K$4:$AJ$4,0))))+SUMPRODUCT((Inputs!$E$5:$E$110=$B21)*ISNUMBER(INDEX(Inputs!$K$5:$AJ$110,0,MATCH(V$2,Inputs!$K$4:$AJ$4,0))))=0,NA(),SUMPRODUCT((Inputs!$A$5:$A$110=$B21)*Inputs!$B$5:$B$110*(((Inputs!$G$5:$G$110="moeda")+(Inputs!$G$5:$G$110="acoes"))*Inputs!$B$1+((Inputs!$G$5:$G$110&lt;&gt;"moeda")*(Inputs!$G$5:$G$110&lt;&gt;"acoes")))*INDEX(Inputs!$K$5:$AJ$110,0,MATCH(V$2,Inputs!$K$4:$AJ$4,0)))+SUMPRODUCT((Inputs!$C$5:$C$110=$B21)*Inputs!$D$5:$D$110*(((Inputs!$G$5:$G$110="moeda")+(Inputs!$G$5:$G$110="acoes"))*Inputs!$B$1+((Inputs!$G$5:$G$110&lt;&gt;"moeda")*(Inputs!$G$5:$G$110&lt;&gt;"acoes")))*INDEX(Inputs!$K$5:$AJ$110,0,MATCH(V$2,Inputs!$K$4:$AJ$4,0)))+SUMPRODUCT((Inputs!$E$5:$E$110=$B21)*Inputs!$F$5:$F$110*(((Inputs!$G$5:$G$110="moeda")+(Inputs!$G$5:$G$110="acoes"))*Inputs!$B$1+((Inputs!$G$5:$G$110&lt;&gt;"moeda")*(Inputs!$G$5:$G$110&lt;&gt;"acoes")))*INDEX(Inputs!$K$5:$AJ$110,0,MATCH(V$2,Inputs!$K$4:$AJ$4,0)))))</f>
        <v>0</v>
      </c>
      <c r="W21" s="3">
        <f>V21</f>
        <v>0</v>
      </c>
      <c r="X21" s="6">
        <f>IF(ISNA(MATCH(X$2,Inputs!$K$4:$AJ$4,0)),NA(),IF(SUMPRODUCT((Inputs!$A$5:$A$110=$B21)*ISNUMBER(INDEX(Inputs!$K$5:$AJ$110,0,MATCH(X$2,Inputs!$K$4:$AJ$4,0))))+SUMPRODUCT((Inputs!$C$5:$C$110=$B21)*ISNUMBER(INDEX(Inputs!$K$5:$AJ$110,0,MATCH(X$2,Inputs!$K$4:$AJ$4,0))))+SUMPRODUCT((Inputs!$E$5:$E$110=$B21)*ISNUMBER(INDEX(Inputs!$K$5:$AJ$110,0,MATCH(X$2,Inputs!$K$4:$AJ$4,0))))=0,NA(),SUMPRODUCT((Inputs!$A$5:$A$110=$B21)*Inputs!$B$5:$B$110*(((Inputs!$G$5:$G$110="moeda")+(Inputs!$G$5:$G$110="acoes"))*Inputs!$B$1+((Inputs!$G$5:$G$110&lt;&gt;"moeda")*(Inputs!$G$5:$G$110&lt;&gt;"acoes")))*INDEX(Inputs!$K$5:$AJ$110,0,MATCH(X$2,Inputs!$K$4:$AJ$4,0)))+SUMPRODUCT((Inputs!$C$5:$C$110=$B21)*Inputs!$D$5:$D$110*(((Inputs!$G$5:$G$110="moeda")+(Inputs!$G$5:$G$110="acoes"))*Inputs!$B$1+((Inputs!$G$5:$G$110&lt;&gt;"moeda")*(Inputs!$G$5:$G$110&lt;&gt;"acoes")))*INDEX(Inputs!$K$5:$AJ$110,0,MATCH(X$2,Inputs!$K$4:$AJ$4,0)))+SUMPRODUCT((Inputs!$E$5:$E$110=$B21)*Inputs!$F$5:$F$110*(((Inputs!$G$5:$G$110="moeda")+(Inputs!$G$5:$G$110="acoes"))*Inputs!$B$1+((Inputs!$G$5:$G$110&lt;&gt;"moeda")*(Inputs!$G$5:$G$110&lt;&gt;"acoes")))*INDEX(Inputs!$K$5:$AJ$110,0,MATCH(X$2,Inputs!$K$4:$AJ$4,0)))))</f>
        <v>0</v>
      </c>
      <c r="Y21" s="6">
        <f>IF(ISNA(MATCH(Y$2,Inputs!$K$4:$AJ$4,0)),NA(),IF(SUMPRODUCT((Inputs!$A$5:$A$110=$B21)*ISNUMBER(INDEX(Inputs!$K$5:$AJ$110,0,MATCH(Y$2,Inputs!$K$4:$AJ$4,0))))+SUMPRODUCT((Inputs!$C$5:$C$110=$B21)*ISNUMBER(INDEX(Inputs!$K$5:$AJ$110,0,MATCH(Y$2,Inputs!$K$4:$AJ$4,0))))+SUMPRODUCT((Inputs!$E$5:$E$110=$B21)*ISNUMBER(INDEX(Inputs!$K$5:$AJ$110,0,MATCH(Y$2,Inputs!$K$4:$AJ$4,0))))=0,NA(),SUMPRODUCT((Inputs!$A$5:$A$110=$B21)*Inputs!$B$5:$B$110*(((Inputs!$G$5:$G$110="moeda")+(Inputs!$G$5:$G$110="acoes"))*Inputs!$B$1+((Inputs!$G$5:$G$110&lt;&gt;"moeda")*(Inputs!$G$5:$G$110&lt;&gt;"acoes")))*INDEX(Inputs!$K$5:$AJ$110,0,MATCH(Y$2,Inputs!$K$4:$AJ$4,0)))+SUMPRODUCT((Inputs!$C$5:$C$110=$B21)*Inputs!$D$5:$D$110*(((Inputs!$G$5:$G$110="moeda")+(Inputs!$G$5:$G$110="acoes"))*Inputs!$B$1+((Inputs!$G$5:$G$110&lt;&gt;"moeda")*(Inputs!$G$5:$G$110&lt;&gt;"acoes")))*INDEX(Inputs!$K$5:$AJ$110,0,MATCH(Y$2,Inputs!$K$4:$AJ$4,0)))+SUMPRODUCT((Inputs!$E$5:$E$110=$B21)*Inputs!$F$5:$F$110*(((Inputs!$G$5:$G$110="moeda")+(Inputs!$G$5:$G$110="acoes"))*Inputs!$B$1+((Inputs!$G$5:$G$110&lt;&gt;"moeda")*(Inputs!$G$5:$G$110&lt;&gt;"acoes")))*INDEX(Inputs!$K$5:$AJ$110,0,MATCH(Y$2,Inputs!$K$4:$AJ$4,0)))))</f>
        <v>0</v>
      </c>
      <c r="Z21" s="6">
        <f>IF(ISNA(MATCH(Z$2,Inputs!$K$4:$AJ$4,0)),NA(),IF(SUMPRODUCT((Inputs!$A$5:$A$110=$B21)*ISNUMBER(INDEX(Inputs!$K$5:$AJ$110,0,MATCH(Z$2,Inputs!$K$4:$AJ$4,0))))+SUMPRODUCT((Inputs!$C$5:$C$110=$B21)*ISNUMBER(INDEX(Inputs!$K$5:$AJ$110,0,MATCH(Z$2,Inputs!$K$4:$AJ$4,0))))+SUMPRODUCT((Inputs!$E$5:$E$110=$B21)*ISNUMBER(INDEX(Inputs!$K$5:$AJ$110,0,MATCH(Z$2,Inputs!$K$4:$AJ$4,0))))=0,NA(),SUMPRODUCT((Inputs!$A$5:$A$110=$B21)*Inputs!$B$5:$B$110*(((Inputs!$G$5:$G$110="moeda")+(Inputs!$G$5:$G$110="acoes"))*Inputs!$B$1+((Inputs!$G$5:$G$110&lt;&gt;"moeda")*(Inputs!$G$5:$G$110&lt;&gt;"acoes")))*INDEX(Inputs!$K$5:$AJ$110,0,MATCH(Z$2,Inputs!$K$4:$AJ$4,0)))+SUMPRODUCT((Inputs!$C$5:$C$110=$B21)*Inputs!$D$5:$D$110*(((Inputs!$G$5:$G$110="moeda")+(Inputs!$G$5:$G$110="acoes"))*Inputs!$B$1+((Inputs!$G$5:$G$110&lt;&gt;"moeda")*(Inputs!$G$5:$G$110&lt;&gt;"acoes")))*INDEX(Inputs!$K$5:$AJ$110,0,MATCH(Z$2,Inputs!$K$4:$AJ$4,0)))+SUMPRODUCT((Inputs!$E$5:$E$110=$B21)*Inputs!$F$5:$F$110*(((Inputs!$G$5:$G$110="moeda")+(Inputs!$G$5:$G$110="acoes"))*Inputs!$B$1+((Inputs!$G$5:$G$110&lt;&gt;"moeda")*(Inputs!$G$5:$G$110&lt;&gt;"acoes")))*INDEX(Inputs!$K$5:$AJ$110,0,MATCH(Z$2,Inputs!$K$4:$AJ$4,0)))))</f>
        <v>0</v>
      </c>
      <c r="AA21" s="6">
        <f>IF(ISNA(MATCH(AA$2,Inputs!$K$4:$AJ$4,0)),NA(),IF(SUMPRODUCT((Inputs!$A$5:$A$110=$B21)*ISNUMBER(INDEX(Inputs!$K$5:$AJ$110,0,MATCH(AA$2,Inputs!$K$4:$AJ$4,0))))+SUMPRODUCT((Inputs!$C$5:$C$110=$B21)*ISNUMBER(INDEX(Inputs!$K$5:$AJ$110,0,MATCH(AA$2,Inputs!$K$4:$AJ$4,0))))+SUMPRODUCT((Inputs!$E$5:$E$110=$B21)*ISNUMBER(INDEX(Inputs!$K$5:$AJ$110,0,MATCH(AA$2,Inputs!$K$4:$AJ$4,0))))=0,NA(),SUMPRODUCT((Inputs!$A$5:$A$110=$B21)*Inputs!$B$5:$B$110*(((Inputs!$G$5:$G$110="moeda")+(Inputs!$G$5:$G$110="acoes"))*Inputs!$B$1+((Inputs!$G$5:$G$110&lt;&gt;"moeda")*(Inputs!$G$5:$G$110&lt;&gt;"acoes")))*INDEX(Inputs!$K$5:$AJ$110,0,MATCH(AA$2,Inputs!$K$4:$AJ$4,0)))+SUMPRODUCT((Inputs!$C$5:$C$110=$B21)*Inputs!$D$5:$D$110*(((Inputs!$G$5:$G$110="moeda")+(Inputs!$G$5:$G$110="acoes"))*Inputs!$B$1+((Inputs!$G$5:$G$110&lt;&gt;"moeda")*(Inputs!$G$5:$G$110&lt;&gt;"acoes")))*INDEX(Inputs!$K$5:$AJ$110,0,MATCH(AA$2,Inputs!$K$4:$AJ$4,0)))+SUMPRODUCT((Inputs!$E$5:$E$110=$B21)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1" s="3">
        <f>AA21</f>
        <v>0</v>
      </c>
      <c r="AC21" s="6">
        <f>IF(ISNA(MATCH(AC$2,Inputs!$K$4:$AJ$4,0)),NA(),IF(SUMPRODUCT((Inputs!$A$5:$A$110=$B21)*ISNUMBER(INDEX(Inputs!$K$5:$AJ$110,0,MATCH(AC$2,Inputs!$K$4:$AJ$4,0))))+SUMPRODUCT((Inputs!$C$5:$C$110=$B21)*ISNUMBER(INDEX(Inputs!$K$5:$AJ$110,0,MATCH(AC$2,Inputs!$K$4:$AJ$4,0))))+SUMPRODUCT((Inputs!$E$5:$E$110=$B21)*ISNUMBER(INDEX(Inputs!$K$5:$AJ$110,0,MATCH(AC$2,Inputs!$K$4:$AJ$4,0))))=0,NA(),SUMPRODUCT((Inputs!$A$5:$A$110=$B21)*Inputs!$B$5:$B$110*(((Inputs!$G$5:$G$110="moeda")+(Inputs!$G$5:$G$110="acoes"))*Inputs!$B$1+((Inputs!$G$5:$G$110&lt;&gt;"moeda")*(Inputs!$G$5:$G$110&lt;&gt;"acoes")))*INDEX(Inputs!$K$5:$AJ$110,0,MATCH(AC$2,Inputs!$K$4:$AJ$4,0)))+SUMPRODUCT((Inputs!$C$5:$C$110=$B21)*Inputs!$D$5:$D$110*(((Inputs!$G$5:$G$110="moeda")+(Inputs!$G$5:$G$110="acoes"))*Inputs!$B$1+((Inputs!$G$5:$G$110&lt;&gt;"moeda")*(Inputs!$G$5:$G$110&lt;&gt;"acoes")))*INDEX(Inputs!$K$5:$AJ$110,0,MATCH(AC$2,Inputs!$K$4:$AJ$4,0)))+SUMPRODUCT((Inputs!$E$5:$E$110=$B21)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1" s="6">
        <f>IF(ISNA(MATCH(AD$2,Inputs!$K$4:$AJ$4,0)),NA(),IF(SUMPRODUCT((Inputs!$A$5:$A$110=$B21)*ISNUMBER(INDEX(Inputs!$K$5:$AJ$110,0,MATCH(AD$2,Inputs!$K$4:$AJ$4,0))))+SUMPRODUCT((Inputs!$C$5:$C$110=$B21)*ISNUMBER(INDEX(Inputs!$K$5:$AJ$110,0,MATCH(AD$2,Inputs!$K$4:$AJ$4,0))))+SUMPRODUCT((Inputs!$E$5:$E$110=$B21)*ISNUMBER(INDEX(Inputs!$K$5:$AJ$110,0,MATCH(AD$2,Inputs!$K$4:$AJ$4,0))))=0,NA(),SUMPRODUCT((Inputs!$A$5:$A$110=$B21)*Inputs!$B$5:$B$110*(((Inputs!$G$5:$G$110="moeda")+(Inputs!$G$5:$G$110="acoes"))*Inputs!$B$1+((Inputs!$G$5:$G$110&lt;&gt;"moeda")*(Inputs!$G$5:$G$110&lt;&gt;"acoes")))*INDEX(Inputs!$K$5:$AJ$110,0,MATCH(AD$2,Inputs!$K$4:$AJ$4,0)))+SUMPRODUCT((Inputs!$C$5:$C$110=$B21)*Inputs!$D$5:$D$110*(((Inputs!$G$5:$G$110="moeda")+(Inputs!$G$5:$G$110="acoes"))*Inputs!$B$1+((Inputs!$G$5:$G$110&lt;&gt;"moeda")*(Inputs!$G$5:$G$110&lt;&gt;"acoes")))*INDEX(Inputs!$K$5:$AJ$110,0,MATCH(AD$2,Inputs!$K$4:$AJ$4,0)))+SUMPRODUCT((Inputs!$E$5:$E$110=$B21)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1" s="6" t="e">
        <f>IF(ISNA(MATCH(AE$2,Inputs!$K$4:$AJ$4,0)),NA(),IF(SUMPRODUCT((Inputs!$A$5:$A$110=$B21)*ISNUMBER(INDEX(Inputs!$K$5:$AJ$110,0,MATCH(AE$2,Inputs!$K$4:$AJ$4,0))))+SUMPRODUCT((Inputs!$C$5:$C$110=$B21)*ISNUMBER(INDEX(Inputs!$K$5:$AJ$110,0,MATCH(AE$2,Inputs!$K$4:$AJ$4,0))))+SUMPRODUCT((Inputs!$E$5:$E$110=$B21)*ISNUMBER(INDEX(Inputs!$K$5:$AJ$110,0,MATCH(AE$2,Inputs!$K$4:$AJ$4,0))))=0,NA(),SUMPRODUCT((Inputs!$A$5:$A$110=$B21)*Inputs!$B$5:$B$110*(((Inputs!$G$5:$G$110="moeda")+(Inputs!$G$5:$G$110="acoes"))*Inputs!$B$1+((Inputs!$G$5:$G$110&lt;&gt;"moeda")*(Inputs!$G$5:$G$110&lt;&gt;"acoes")))*INDEX(Inputs!$K$5:$AJ$110,0,MATCH(AE$2,Inputs!$K$4:$AJ$4,0)))+SUMPRODUCT((Inputs!$C$5:$C$110=$B21)*Inputs!$D$5:$D$110*(((Inputs!$G$5:$G$110="moeda")+(Inputs!$G$5:$G$110="acoes"))*Inputs!$B$1+((Inputs!$G$5:$G$110&lt;&gt;"moeda")*(Inputs!$G$5:$G$110&lt;&gt;"acoes")))*INDEX(Inputs!$K$5:$AJ$110,0,MATCH(AE$2,Inputs!$K$4:$AJ$4,0)))+SUMPRODUCT((Inputs!$E$5:$E$110=$B21)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1" s="6" t="e">
        <f>IF(ISNA(MATCH(AF$2,Inputs!$K$4:$AJ$4,0)),NA(),IF(SUMPRODUCT((Inputs!$A$5:$A$110=$B21)*ISNUMBER(INDEX(Inputs!$K$5:$AJ$110,0,MATCH(AF$2,Inputs!$K$4:$AJ$4,0))))+SUMPRODUCT((Inputs!$C$5:$C$110=$B21)*ISNUMBER(INDEX(Inputs!$K$5:$AJ$110,0,MATCH(AF$2,Inputs!$K$4:$AJ$4,0))))+SUMPRODUCT((Inputs!$E$5:$E$110=$B21)*ISNUMBER(INDEX(Inputs!$K$5:$AJ$110,0,MATCH(AF$2,Inputs!$K$4:$AJ$4,0))))=0,NA(),SUMPRODUCT((Inputs!$A$5:$A$110=$B21)*Inputs!$B$5:$B$110*(((Inputs!$G$5:$G$110="moeda")+(Inputs!$G$5:$G$110="acoes"))*Inputs!$B$1+((Inputs!$G$5:$G$110&lt;&gt;"moeda")*(Inputs!$G$5:$G$110&lt;&gt;"acoes")))*INDEX(Inputs!$K$5:$AJ$110,0,MATCH(AF$2,Inputs!$K$4:$AJ$4,0)))+SUMPRODUCT((Inputs!$C$5:$C$110=$B21)*Inputs!$D$5:$D$110*(((Inputs!$G$5:$G$110="moeda")+(Inputs!$G$5:$G$110="acoes"))*Inputs!$B$1+((Inputs!$G$5:$G$110&lt;&gt;"moeda")*(Inputs!$G$5:$G$110&lt;&gt;"acoes")))*INDEX(Inputs!$K$5:$AJ$110,0,MATCH(AF$2,Inputs!$K$4:$AJ$4,0)))+SUMPRODUCT((Inputs!$E$5:$E$110=$B21)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1" s="3" t="e">
        <f>AF21</f>
        <v>#N/A</v>
      </c>
      <c r="AH21" s="6">
        <f>IF(ISNA(MATCH(AH$2,Inputs!$K$4:$AJ$4,0)),NA(),IF(SUMPRODUCT((Inputs!$A$5:$A$110=$B21)*ISNUMBER(INDEX(Inputs!$K$5:$AJ$110,0,MATCH(AH$2,Inputs!$K$4:$AJ$4,0))))+SUMPRODUCT((Inputs!$C$5:$C$110=$B21)*ISNUMBER(INDEX(Inputs!$K$5:$AJ$110,0,MATCH(AH$2,Inputs!$K$4:$AJ$4,0))))+SUMPRODUCT((Inputs!$E$5:$E$110=$B21)*ISNUMBER(INDEX(Inputs!$K$5:$AJ$110,0,MATCH(AH$2,Inputs!$K$4:$AJ$4,0))))=0,NA(),SUMPRODUCT((Inputs!$A$5:$A$110=$B21)*Inputs!$B$5:$B$110*(((Inputs!$G$5:$G$110="moeda")+(Inputs!$G$5:$G$110="acoes"))*Inputs!$B$1+((Inputs!$G$5:$G$110&lt;&gt;"moeda")*(Inputs!$G$5:$G$110&lt;&gt;"acoes")))*INDEX(Inputs!$K$5:$AJ$110,0,MATCH(AH$2,Inputs!$K$4:$AJ$4,0)))+SUMPRODUCT((Inputs!$C$5:$C$110=$B21)*Inputs!$D$5:$D$110*(((Inputs!$G$5:$G$110="moeda")+(Inputs!$G$5:$G$110="acoes"))*Inputs!$B$1+((Inputs!$G$5:$G$110&lt;&gt;"moeda")*(Inputs!$G$5:$G$110&lt;&gt;"acoes")))*INDEX(Inputs!$K$5:$AJ$110,0,MATCH(AH$2,Inputs!$K$4:$AJ$4,0)))+SUMPRODUCT((Inputs!$E$5:$E$110=$B21)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1" s="6">
        <f>IF(ISNA(MATCH(AI$2,Inputs!$K$4:$AJ$4,0)),NA(),IF(SUMPRODUCT((Inputs!$A$5:$A$110=$B21)*ISNUMBER(INDEX(Inputs!$K$5:$AJ$110,0,MATCH(AI$2,Inputs!$K$4:$AJ$4,0))))+SUMPRODUCT((Inputs!$C$5:$C$110=$B21)*ISNUMBER(INDEX(Inputs!$K$5:$AJ$110,0,MATCH(AI$2,Inputs!$K$4:$AJ$4,0))))+SUMPRODUCT((Inputs!$E$5:$E$110=$B21)*ISNUMBER(INDEX(Inputs!$K$5:$AJ$110,0,MATCH(AI$2,Inputs!$K$4:$AJ$4,0))))=0,NA(),SUMPRODUCT((Inputs!$A$5:$A$110=$B21)*Inputs!$B$5:$B$110*(((Inputs!$G$5:$G$110="moeda")+(Inputs!$G$5:$G$110="acoes"))*Inputs!$B$1+((Inputs!$G$5:$G$110&lt;&gt;"moeda")*(Inputs!$G$5:$G$110&lt;&gt;"acoes")))*INDEX(Inputs!$K$5:$AJ$110,0,MATCH(AI$2,Inputs!$K$4:$AJ$4,0)))+SUMPRODUCT((Inputs!$C$5:$C$110=$B21)*Inputs!$D$5:$D$110*(((Inputs!$G$5:$G$110="moeda")+(Inputs!$G$5:$G$110="acoes"))*Inputs!$B$1+((Inputs!$G$5:$G$110&lt;&gt;"moeda")*(Inputs!$G$5:$G$110&lt;&gt;"acoes")))*INDEX(Inputs!$K$5:$AJ$110,0,MATCH(AI$2,Inputs!$K$4:$AJ$4,0)))+SUMPRODUCT((Inputs!$E$5:$E$110=$B21)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1" s="6">
        <f>IF(ISNA(MATCH(AJ$2,Inputs!$K$4:$AJ$4,0)),NA(),IF(SUMPRODUCT((Inputs!$A$5:$A$110=$B21)*ISNUMBER(INDEX(Inputs!$K$5:$AJ$110,0,MATCH(AJ$2,Inputs!$K$4:$AJ$4,0))))+SUMPRODUCT((Inputs!$C$5:$C$110=$B21)*ISNUMBER(INDEX(Inputs!$K$5:$AJ$110,0,MATCH(AJ$2,Inputs!$K$4:$AJ$4,0))))+SUMPRODUCT((Inputs!$E$5:$E$110=$B21)*ISNUMBER(INDEX(Inputs!$K$5:$AJ$110,0,MATCH(AJ$2,Inputs!$K$4:$AJ$4,0))))=0,NA(),SUMPRODUCT((Inputs!$A$5:$A$110=$B21)*Inputs!$B$5:$B$110*(((Inputs!$G$5:$G$110="moeda")+(Inputs!$G$5:$G$110="acoes"))*Inputs!$B$1+((Inputs!$G$5:$G$110&lt;&gt;"moeda")*(Inputs!$G$5:$G$110&lt;&gt;"acoes")))*INDEX(Inputs!$K$5:$AJ$110,0,MATCH(AJ$2,Inputs!$K$4:$AJ$4,0)))+SUMPRODUCT((Inputs!$C$5:$C$110=$B21)*Inputs!$D$5:$D$110*(((Inputs!$G$5:$G$110="moeda")+(Inputs!$G$5:$G$110="acoes"))*Inputs!$B$1+((Inputs!$G$5:$G$110&lt;&gt;"moeda")*(Inputs!$G$5:$G$110&lt;&gt;"acoes")))*INDEX(Inputs!$K$5:$AJ$110,0,MATCH(AJ$2,Inputs!$K$4:$AJ$4,0)))+SUMPRODUCT((Inputs!$E$5:$E$110=$B21)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1" s="6">
        <f>IF(ISNA(MATCH(AK$2,Inputs!$K$4:$AJ$4,0)),NA(),IF(SUMPRODUCT((Inputs!$A$5:$A$110=$B21)*ISNUMBER(INDEX(Inputs!$K$5:$AJ$110,0,MATCH(AK$2,Inputs!$K$4:$AJ$4,0))))+SUMPRODUCT((Inputs!$C$5:$C$110=$B21)*ISNUMBER(INDEX(Inputs!$K$5:$AJ$110,0,MATCH(AK$2,Inputs!$K$4:$AJ$4,0))))+SUMPRODUCT((Inputs!$E$5:$E$110=$B21)*ISNUMBER(INDEX(Inputs!$K$5:$AJ$110,0,MATCH(AK$2,Inputs!$K$4:$AJ$4,0))))=0,NA(),SUMPRODUCT((Inputs!$A$5:$A$110=$B21)*Inputs!$B$5:$B$110*(((Inputs!$G$5:$G$110="moeda")+(Inputs!$G$5:$G$110="acoes"))*Inputs!$B$1+((Inputs!$G$5:$G$110&lt;&gt;"moeda")*(Inputs!$G$5:$G$110&lt;&gt;"acoes")))*INDEX(Inputs!$K$5:$AJ$110,0,MATCH(AK$2,Inputs!$K$4:$AJ$4,0)))+SUMPRODUCT((Inputs!$C$5:$C$110=$B21)*Inputs!$D$5:$D$110*(((Inputs!$G$5:$G$110="moeda")+(Inputs!$G$5:$G$110="acoes"))*Inputs!$B$1+((Inputs!$G$5:$G$110&lt;&gt;"moeda")*(Inputs!$G$5:$G$110&lt;&gt;"acoes")))*INDEX(Inputs!$K$5:$AJ$110,0,MATCH(AK$2,Inputs!$K$4:$AJ$4,0)))+SUMPRODUCT((Inputs!$E$5:$E$110=$B21)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$110=$B22)*ISNUMBER(INDEX(Inputs!$K$5:$AJ$110,0,MATCH(D$2,Inputs!$K$4:$AJ$4,0))))+SUMPRODUCT((Inputs!$C$5:$C$110=$B22)*ISNUMBER(INDEX(Inputs!$K$5:$AJ$110,0,MATCH(D$2,Inputs!$K$4:$AJ$4,0))))+SUMPRODUCT((Inputs!$E$5:$E$110=$B22)*ISNUMBER(INDEX(Inputs!$K$5:$AJ$110,0,MATCH(D$2,Inputs!$K$4:$AJ$4,0))))=0,NA(),SUMPRODUCT((Inputs!$A$5:$A$110=$B22)*Inputs!$B$5:$B$110*(((Inputs!$G$5:$G$110="moeda")+(Inputs!$G$5:$G$110="acoes"))*Inputs!$B$1+((Inputs!$G$5:$G$110&lt;&gt;"moeda")*(Inputs!$G$5:$G$110&lt;&gt;"acoes")))*INDEX(Inputs!$K$5:$AJ$110,0,MATCH(D$2,Inputs!$K$4:$AJ$4,0)))+SUMPRODUCT((Inputs!$C$5:$C$110=$B22)*Inputs!$D$5:$D$110*(((Inputs!$G$5:$G$110="moeda")+(Inputs!$G$5:$G$110="acoes"))*Inputs!$B$1+((Inputs!$G$5:$G$110&lt;&gt;"moeda")*(Inputs!$G$5:$G$110&lt;&gt;"acoes")))*INDEX(Inputs!$K$5:$AJ$110,0,MATCH(D$2,Inputs!$K$4:$AJ$4,0)))+SUMPRODUCT((Inputs!$E$5:$E$110=$B22)*Inputs!$F$5:$F$110*(((Inputs!$G$5:$G$110="moeda")+(Inputs!$G$5:$G$110="acoes"))*Inputs!$B$1+((Inputs!$G$5:$G$110&lt;&gt;"moeda")*(Inputs!$G$5:$G$110&lt;&gt;"acoes")))*INDEX(Inputs!$K$5:$AJ$110,0,MATCH(D$2,Inputs!$K$4:$AJ$4,0)))))</f>
        <v>7213</v>
      </c>
      <c r="E22" s="6">
        <f>IF(ISNA(MATCH(E$2,Inputs!$K$4:$AJ$4,0)),NA(),IF(SUMPRODUCT((Inputs!$A$5:$A$110=$B22)*ISNUMBER(INDEX(Inputs!$K$5:$AJ$110,0,MATCH(E$2,Inputs!$K$4:$AJ$4,0))))+SUMPRODUCT((Inputs!$C$5:$C$110=$B22)*ISNUMBER(INDEX(Inputs!$K$5:$AJ$110,0,MATCH(E$2,Inputs!$K$4:$AJ$4,0))))+SUMPRODUCT((Inputs!$E$5:$E$110=$B22)*ISNUMBER(INDEX(Inputs!$K$5:$AJ$110,0,MATCH(E$2,Inputs!$K$4:$AJ$4,0))))=0,NA(),SUMPRODUCT((Inputs!$A$5:$A$110=$B22)*Inputs!$B$5:$B$110*(((Inputs!$G$5:$G$110="moeda")+(Inputs!$G$5:$G$110="acoes"))*Inputs!$B$1+((Inputs!$G$5:$G$110&lt;&gt;"moeda")*(Inputs!$G$5:$G$110&lt;&gt;"acoes")))*INDEX(Inputs!$K$5:$AJ$110,0,MATCH(E$2,Inputs!$K$4:$AJ$4,0)))+SUMPRODUCT((Inputs!$C$5:$C$110=$B22)*Inputs!$D$5:$D$110*(((Inputs!$G$5:$G$110="moeda")+(Inputs!$G$5:$G$110="acoes"))*Inputs!$B$1+((Inputs!$G$5:$G$110&lt;&gt;"moeda")*(Inputs!$G$5:$G$110&lt;&gt;"acoes")))*INDEX(Inputs!$K$5:$AJ$110,0,MATCH(E$2,Inputs!$K$4:$AJ$4,0)))+SUMPRODUCT((Inputs!$E$5:$E$110=$B22)*Inputs!$F$5:$F$110*(((Inputs!$G$5:$G$110="moeda")+(Inputs!$G$5:$G$110="acoes"))*Inputs!$B$1+((Inputs!$G$5:$G$110&lt;&gt;"moeda")*(Inputs!$G$5:$G$110&lt;&gt;"acoes")))*INDEX(Inputs!$K$5:$AJ$110,0,MATCH(E$2,Inputs!$K$4:$AJ$4,0)))))</f>
        <v>7290</v>
      </c>
      <c r="F22" s="6">
        <f>IF(ISNA(MATCH(F$2,Inputs!$K$4:$AJ$4,0)),NA(),IF(SUMPRODUCT((Inputs!$A$5:$A$110=$B22)*ISNUMBER(INDEX(Inputs!$K$5:$AJ$110,0,MATCH(F$2,Inputs!$K$4:$AJ$4,0))))+SUMPRODUCT((Inputs!$C$5:$C$110=$B22)*ISNUMBER(INDEX(Inputs!$K$5:$AJ$110,0,MATCH(F$2,Inputs!$K$4:$AJ$4,0))))+SUMPRODUCT((Inputs!$E$5:$E$110=$B22)*ISNUMBER(INDEX(Inputs!$K$5:$AJ$110,0,MATCH(F$2,Inputs!$K$4:$AJ$4,0))))=0,NA(),SUMPRODUCT((Inputs!$A$5:$A$110=$B22)*Inputs!$B$5:$B$110*(((Inputs!$G$5:$G$110="moeda")+(Inputs!$G$5:$G$110="acoes"))*Inputs!$B$1+((Inputs!$G$5:$G$110&lt;&gt;"moeda")*(Inputs!$G$5:$G$110&lt;&gt;"acoes")))*INDEX(Inputs!$K$5:$AJ$110,0,MATCH(F$2,Inputs!$K$4:$AJ$4,0)))+SUMPRODUCT((Inputs!$C$5:$C$110=$B22)*Inputs!$D$5:$D$110*(((Inputs!$G$5:$G$110="moeda")+(Inputs!$G$5:$G$110="acoes"))*Inputs!$B$1+((Inputs!$G$5:$G$110&lt;&gt;"moeda")*(Inputs!$G$5:$G$110&lt;&gt;"acoes")))*INDEX(Inputs!$K$5:$AJ$110,0,MATCH(F$2,Inputs!$K$4:$AJ$4,0)))+SUMPRODUCT((Inputs!$E$5:$E$110=$B22)*Inputs!$F$5:$F$110*(((Inputs!$G$5:$G$110="moeda")+(Inputs!$G$5:$G$110="acoes"))*Inputs!$B$1+((Inputs!$G$5:$G$110&lt;&gt;"moeda")*(Inputs!$G$5:$G$110&lt;&gt;"acoes")))*INDEX(Inputs!$K$5:$AJ$110,0,MATCH(F$2,Inputs!$K$4:$AJ$4,0)))))</f>
        <v>7332</v>
      </c>
      <c r="G22" s="6">
        <f>IF(ISNA(MATCH(G$2,Inputs!$K$4:$AJ$4,0)),NA(),IF(SUMPRODUCT((Inputs!$A$5:$A$110=$B22)*ISNUMBER(INDEX(Inputs!$K$5:$AJ$110,0,MATCH(G$2,Inputs!$K$4:$AJ$4,0))))+SUMPRODUCT((Inputs!$C$5:$C$110=$B22)*ISNUMBER(INDEX(Inputs!$K$5:$AJ$110,0,MATCH(G$2,Inputs!$K$4:$AJ$4,0))))+SUMPRODUCT((Inputs!$E$5:$E$110=$B22)*ISNUMBER(INDEX(Inputs!$K$5:$AJ$110,0,MATCH(G$2,Inputs!$K$4:$AJ$4,0))))=0,NA(),SUMPRODUCT((Inputs!$A$5:$A$110=$B22)*Inputs!$B$5:$B$110*(((Inputs!$G$5:$G$110="moeda")+(Inputs!$G$5:$G$110="acoes"))*Inputs!$B$1+((Inputs!$G$5:$G$110&lt;&gt;"moeda")*(Inputs!$G$5:$G$110&lt;&gt;"acoes")))*INDEX(Inputs!$K$5:$AJ$110,0,MATCH(G$2,Inputs!$K$4:$AJ$4,0)))+SUMPRODUCT((Inputs!$C$5:$C$110=$B22)*Inputs!$D$5:$D$110*(((Inputs!$G$5:$G$110="moeda")+(Inputs!$G$5:$G$110="acoes"))*Inputs!$B$1+((Inputs!$G$5:$G$110&lt;&gt;"moeda")*(Inputs!$G$5:$G$110&lt;&gt;"acoes")))*INDEX(Inputs!$K$5:$AJ$110,0,MATCH(G$2,Inputs!$K$4:$AJ$4,0)))+SUMPRODUCT((Inputs!$E$5:$E$110=$B22)*Inputs!$F$5:$F$110*(((Inputs!$G$5:$G$110="moeda")+(Inputs!$G$5:$G$110="acoes"))*Inputs!$B$1+((Inputs!$G$5:$G$110&lt;&gt;"moeda")*(Inputs!$G$5:$G$110&lt;&gt;"acoes")))*INDEX(Inputs!$K$5:$AJ$110,0,MATCH(G$2,Inputs!$K$4:$AJ$4,0)))))</f>
        <v>7597</v>
      </c>
      <c r="H22" s="3">
        <f>G22</f>
        <v>7597</v>
      </c>
      <c r="I22" s="6">
        <f>IF(ISNA(MATCH(I$2,Inputs!$K$4:$AJ$4,0)),NA(),IF(SUMPRODUCT((Inputs!$A$5:$A$110=$B22)*ISNUMBER(INDEX(Inputs!$K$5:$AJ$110,0,MATCH(I$2,Inputs!$K$4:$AJ$4,0))))+SUMPRODUCT((Inputs!$C$5:$C$110=$B22)*ISNUMBER(INDEX(Inputs!$K$5:$AJ$110,0,MATCH(I$2,Inputs!$K$4:$AJ$4,0))))+SUMPRODUCT((Inputs!$E$5:$E$110=$B22)*ISNUMBER(INDEX(Inputs!$K$5:$AJ$110,0,MATCH(I$2,Inputs!$K$4:$AJ$4,0))))=0,NA(),SUMPRODUCT((Inputs!$A$5:$A$110=$B22)*Inputs!$B$5:$B$110*(((Inputs!$G$5:$G$110="moeda")+(Inputs!$G$5:$G$110="acoes"))*Inputs!$B$1+((Inputs!$G$5:$G$110&lt;&gt;"moeda")*(Inputs!$G$5:$G$110&lt;&gt;"acoes")))*INDEX(Inputs!$K$5:$AJ$110,0,MATCH(I$2,Inputs!$K$4:$AJ$4,0)))+SUMPRODUCT((Inputs!$C$5:$C$110=$B22)*Inputs!$D$5:$D$110*(((Inputs!$G$5:$G$110="moeda")+(Inputs!$G$5:$G$110="acoes"))*Inputs!$B$1+((Inputs!$G$5:$G$110&lt;&gt;"moeda")*(Inputs!$G$5:$G$110&lt;&gt;"acoes")))*INDEX(Inputs!$K$5:$AJ$110,0,MATCH(I$2,Inputs!$K$4:$AJ$4,0)))+SUMPRODUCT((Inputs!$E$5:$E$110=$B22)*Inputs!$F$5:$F$110*(((Inputs!$G$5:$G$110="moeda")+(Inputs!$G$5:$G$110="acoes"))*Inputs!$B$1+((Inputs!$G$5:$G$110&lt;&gt;"moeda")*(Inputs!$G$5:$G$110&lt;&gt;"acoes")))*INDEX(Inputs!$K$5:$AJ$110,0,MATCH(I$2,Inputs!$K$4:$AJ$4,0)))))</f>
        <v>7561</v>
      </c>
      <c r="J22" s="6">
        <f>IF(ISNA(MATCH(J$2,Inputs!$K$4:$AJ$4,0)),NA(),IF(SUMPRODUCT((Inputs!$A$5:$A$110=$B22)*ISNUMBER(INDEX(Inputs!$K$5:$AJ$110,0,MATCH(J$2,Inputs!$K$4:$AJ$4,0))))+SUMPRODUCT((Inputs!$C$5:$C$110=$B22)*ISNUMBER(INDEX(Inputs!$K$5:$AJ$110,0,MATCH(J$2,Inputs!$K$4:$AJ$4,0))))+SUMPRODUCT((Inputs!$E$5:$E$110=$B22)*ISNUMBER(INDEX(Inputs!$K$5:$AJ$110,0,MATCH(J$2,Inputs!$K$4:$AJ$4,0))))=0,NA(),SUMPRODUCT((Inputs!$A$5:$A$110=$B22)*Inputs!$B$5:$B$110*(((Inputs!$G$5:$G$110="moeda")+(Inputs!$G$5:$G$110="acoes"))*Inputs!$B$1+((Inputs!$G$5:$G$110&lt;&gt;"moeda")*(Inputs!$G$5:$G$110&lt;&gt;"acoes")))*INDEX(Inputs!$K$5:$AJ$110,0,MATCH(J$2,Inputs!$K$4:$AJ$4,0)))+SUMPRODUCT((Inputs!$C$5:$C$110=$B22)*Inputs!$D$5:$D$110*(((Inputs!$G$5:$G$110="moeda")+(Inputs!$G$5:$G$110="acoes"))*Inputs!$B$1+((Inputs!$G$5:$G$110&lt;&gt;"moeda")*(Inputs!$G$5:$G$110&lt;&gt;"acoes")))*INDEX(Inputs!$K$5:$AJ$110,0,MATCH(J$2,Inputs!$K$4:$AJ$4,0)))+SUMPRODUCT((Inputs!$E$5:$E$110=$B22)*Inputs!$F$5:$F$110*(((Inputs!$G$5:$G$110="moeda")+(Inputs!$G$5:$G$110="acoes"))*Inputs!$B$1+((Inputs!$G$5:$G$110&lt;&gt;"moeda")*(Inputs!$G$5:$G$110&lt;&gt;"acoes")))*INDEX(Inputs!$K$5:$AJ$110,0,MATCH(J$2,Inputs!$K$4:$AJ$4,0)))))</f>
        <v>7569</v>
      </c>
      <c r="K22" s="6">
        <f>IF(ISNA(MATCH(K$2,Inputs!$K$4:$AJ$4,0)),NA(),IF(SUMPRODUCT((Inputs!$A$5:$A$110=$B22)*ISNUMBER(INDEX(Inputs!$K$5:$AJ$110,0,MATCH(K$2,Inputs!$K$4:$AJ$4,0))))+SUMPRODUCT((Inputs!$C$5:$C$110=$B22)*ISNUMBER(INDEX(Inputs!$K$5:$AJ$110,0,MATCH(K$2,Inputs!$K$4:$AJ$4,0))))+SUMPRODUCT((Inputs!$E$5:$E$110=$B22)*ISNUMBER(INDEX(Inputs!$K$5:$AJ$110,0,MATCH(K$2,Inputs!$K$4:$AJ$4,0))))=0,NA(),SUMPRODUCT((Inputs!$A$5:$A$110=$B22)*Inputs!$B$5:$B$110*(((Inputs!$G$5:$G$110="moeda")+(Inputs!$G$5:$G$110="acoes"))*Inputs!$B$1+((Inputs!$G$5:$G$110&lt;&gt;"moeda")*(Inputs!$G$5:$G$110&lt;&gt;"acoes")))*INDEX(Inputs!$K$5:$AJ$110,0,MATCH(K$2,Inputs!$K$4:$AJ$4,0)))+SUMPRODUCT((Inputs!$C$5:$C$110=$B22)*Inputs!$D$5:$D$110*(((Inputs!$G$5:$G$110="moeda")+(Inputs!$G$5:$G$110="acoes"))*Inputs!$B$1+((Inputs!$G$5:$G$110&lt;&gt;"moeda")*(Inputs!$G$5:$G$110&lt;&gt;"acoes")))*INDEX(Inputs!$K$5:$AJ$110,0,MATCH(K$2,Inputs!$K$4:$AJ$4,0)))+SUMPRODUCT((Inputs!$E$5:$E$110=$B22)*Inputs!$F$5:$F$110*(((Inputs!$G$5:$G$110="moeda")+(Inputs!$G$5:$G$110="acoes"))*Inputs!$B$1+((Inputs!$G$5:$G$110&lt;&gt;"moeda")*(Inputs!$G$5:$G$110&lt;&gt;"acoes")))*INDEX(Inputs!$K$5:$AJ$110,0,MATCH(K$2,Inputs!$K$4:$AJ$4,0)))))</f>
        <v>7629</v>
      </c>
      <c r="L22" s="6">
        <f>IF(ISNA(MATCH(L$2,Inputs!$K$4:$AJ$4,0)),NA(),IF(SUMPRODUCT((Inputs!$A$5:$A$110=$B22)*ISNUMBER(INDEX(Inputs!$K$5:$AJ$110,0,MATCH(L$2,Inputs!$K$4:$AJ$4,0))))+SUMPRODUCT((Inputs!$C$5:$C$110=$B22)*ISNUMBER(INDEX(Inputs!$K$5:$AJ$110,0,MATCH(L$2,Inputs!$K$4:$AJ$4,0))))+SUMPRODUCT((Inputs!$E$5:$E$110=$B22)*ISNUMBER(INDEX(Inputs!$K$5:$AJ$110,0,MATCH(L$2,Inputs!$K$4:$AJ$4,0))))=0,NA(),SUMPRODUCT((Inputs!$A$5:$A$110=$B22)*Inputs!$B$5:$B$110*(((Inputs!$G$5:$G$110="moeda")+(Inputs!$G$5:$G$110="acoes"))*Inputs!$B$1+((Inputs!$G$5:$G$110&lt;&gt;"moeda")*(Inputs!$G$5:$G$110&lt;&gt;"acoes")))*INDEX(Inputs!$K$5:$AJ$110,0,MATCH(L$2,Inputs!$K$4:$AJ$4,0)))+SUMPRODUCT((Inputs!$C$5:$C$110=$B22)*Inputs!$D$5:$D$110*(((Inputs!$G$5:$G$110="moeda")+(Inputs!$G$5:$G$110="acoes"))*Inputs!$B$1+((Inputs!$G$5:$G$110&lt;&gt;"moeda")*(Inputs!$G$5:$G$110&lt;&gt;"acoes")))*INDEX(Inputs!$K$5:$AJ$110,0,MATCH(L$2,Inputs!$K$4:$AJ$4,0)))+SUMPRODUCT((Inputs!$E$5:$E$110=$B22)*Inputs!$F$5:$F$110*(((Inputs!$G$5:$G$110="moeda")+(Inputs!$G$5:$G$110="acoes"))*Inputs!$B$1+((Inputs!$G$5:$G$110&lt;&gt;"moeda")*(Inputs!$G$5:$G$110&lt;&gt;"acoes")))*INDEX(Inputs!$K$5:$AJ$110,0,MATCH(L$2,Inputs!$K$4:$AJ$4,0)))))</f>
        <v>7975</v>
      </c>
      <c r="M22" s="3">
        <f>L22</f>
        <v>7975</v>
      </c>
      <c r="N22" s="6">
        <f>IF(ISNA(MATCH(N$2,Inputs!$K$4:$AJ$4,0)),NA(),IF(SUMPRODUCT((Inputs!$A$5:$A$110=$B22)*ISNUMBER(INDEX(Inputs!$K$5:$AJ$110,0,MATCH(N$2,Inputs!$K$4:$AJ$4,0))))+SUMPRODUCT((Inputs!$C$5:$C$110=$B22)*ISNUMBER(INDEX(Inputs!$K$5:$AJ$110,0,MATCH(N$2,Inputs!$K$4:$AJ$4,0))))+SUMPRODUCT((Inputs!$E$5:$E$110=$B22)*ISNUMBER(INDEX(Inputs!$K$5:$AJ$110,0,MATCH(N$2,Inputs!$K$4:$AJ$4,0))))=0,NA(),SUMPRODUCT((Inputs!$A$5:$A$110=$B22)*Inputs!$B$5:$B$110*(((Inputs!$G$5:$G$110="moeda")+(Inputs!$G$5:$G$110="acoes"))*Inputs!$B$1+((Inputs!$G$5:$G$110&lt;&gt;"moeda")*(Inputs!$G$5:$G$110&lt;&gt;"acoes")))*INDEX(Inputs!$K$5:$AJ$110,0,MATCH(N$2,Inputs!$K$4:$AJ$4,0)))+SUMPRODUCT((Inputs!$C$5:$C$110=$B22)*Inputs!$D$5:$D$110*(((Inputs!$G$5:$G$110="moeda")+(Inputs!$G$5:$G$110="acoes"))*Inputs!$B$1+((Inputs!$G$5:$G$110&lt;&gt;"moeda")*(Inputs!$G$5:$G$110&lt;&gt;"acoes")))*INDEX(Inputs!$K$5:$AJ$110,0,MATCH(N$2,Inputs!$K$4:$AJ$4,0)))+SUMPRODUCT((Inputs!$E$5:$E$110=$B22)*Inputs!$F$5:$F$110*(((Inputs!$G$5:$G$110="moeda")+(Inputs!$G$5:$G$110="acoes"))*Inputs!$B$1+((Inputs!$G$5:$G$110&lt;&gt;"moeda")*(Inputs!$G$5:$G$110&lt;&gt;"acoes")))*INDEX(Inputs!$K$5:$AJ$110,0,MATCH(N$2,Inputs!$K$4:$AJ$4,0)))))</f>
        <v>7938</v>
      </c>
      <c r="O22" s="6">
        <f>IF(ISNA(MATCH(O$2,Inputs!$K$4:$AJ$4,0)),NA(),IF(SUMPRODUCT((Inputs!$A$5:$A$110=$B22)*ISNUMBER(INDEX(Inputs!$K$5:$AJ$110,0,MATCH(O$2,Inputs!$K$4:$AJ$4,0))))+SUMPRODUCT((Inputs!$C$5:$C$110=$B22)*ISNUMBER(INDEX(Inputs!$K$5:$AJ$110,0,MATCH(O$2,Inputs!$K$4:$AJ$4,0))))+SUMPRODUCT((Inputs!$E$5:$E$110=$B22)*ISNUMBER(INDEX(Inputs!$K$5:$AJ$110,0,MATCH(O$2,Inputs!$K$4:$AJ$4,0))))=0,NA(),SUMPRODUCT((Inputs!$A$5:$A$110=$B22)*Inputs!$B$5:$B$110*(((Inputs!$G$5:$G$110="moeda")+(Inputs!$G$5:$G$110="acoes"))*Inputs!$B$1+((Inputs!$G$5:$G$110&lt;&gt;"moeda")*(Inputs!$G$5:$G$110&lt;&gt;"acoes")))*INDEX(Inputs!$K$5:$AJ$110,0,MATCH(O$2,Inputs!$K$4:$AJ$4,0)))+SUMPRODUCT((Inputs!$C$5:$C$110=$B22)*Inputs!$D$5:$D$110*(((Inputs!$G$5:$G$110="moeda")+(Inputs!$G$5:$G$110="acoes"))*Inputs!$B$1+((Inputs!$G$5:$G$110&lt;&gt;"moeda")*(Inputs!$G$5:$G$110&lt;&gt;"acoes")))*INDEX(Inputs!$K$5:$AJ$110,0,MATCH(O$2,Inputs!$K$4:$AJ$4,0)))+SUMPRODUCT((Inputs!$E$5:$E$110=$B22)*Inputs!$F$5:$F$110*(((Inputs!$G$5:$G$110="moeda")+(Inputs!$G$5:$G$110="acoes"))*Inputs!$B$1+((Inputs!$G$5:$G$110&lt;&gt;"moeda")*(Inputs!$G$5:$G$110&lt;&gt;"acoes")))*INDEX(Inputs!$K$5:$AJ$110,0,MATCH(O$2,Inputs!$K$4:$AJ$4,0)))))</f>
        <v>7966</v>
      </c>
      <c r="P22" s="6">
        <f>IF(ISNA(MATCH(P$2,Inputs!$K$4:$AJ$4,0)),NA(),IF(SUMPRODUCT((Inputs!$A$5:$A$110=$B22)*ISNUMBER(INDEX(Inputs!$K$5:$AJ$110,0,MATCH(P$2,Inputs!$K$4:$AJ$4,0))))+SUMPRODUCT((Inputs!$C$5:$C$110=$B22)*ISNUMBER(INDEX(Inputs!$K$5:$AJ$110,0,MATCH(P$2,Inputs!$K$4:$AJ$4,0))))+SUMPRODUCT((Inputs!$E$5:$E$110=$B22)*ISNUMBER(INDEX(Inputs!$K$5:$AJ$110,0,MATCH(P$2,Inputs!$K$4:$AJ$4,0))))=0,NA(),SUMPRODUCT((Inputs!$A$5:$A$110=$B22)*Inputs!$B$5:$B$110*(((Inputs!$G$5:$G$110="moeda")+(Inputs!$G$5:$G$110="acoes"))*Inputs!$B$1+((Inputs!$G$5:$G$110&lt;&gt;"moeda")*(Inputs!$G$5:$G$110&lt;&gt;"acoes")))*INDEX(Inputs!$K$5:$AJ$110,0,MATCH(P$2,Inputs!$K$4:$AJ$4,0)))+SUMPRODUCT((Inputs!$C$5:$C$110=$B22)*Inputs!$D$5:$D$110*(((Inputs!$G$5:$G$110="moeda")+(Inputs!$G$5:$G$110="acoes"))*Inputs!$B$1+((Inputs!$G$5:$G$110&lt;&gt;"moeda")*(Inputs!$G$5:$G$110&lt;&gt;"acoes")))*INDEX(Inputs!$K$5:$AJ$110,0,MATCH(P$2,Inputs!$K$4:$AJ$4,0)))+SUMPRODUCT((Inputs!$E$5:$E$110=$B22)*Inputs!$F$5:$F$110*(((Inputs!$G$5:$G$110="moeda")+(Inputs!$G$5:$G$110="acoes"))*Inputs!$B$1+((Inputs!$G$5:$G$110&lt;&gt;"moeda")*(Inputs!$G$5:$G$110&lt;&gt;"acoes")))*INDEX(Inputs!$K$5:$AJ$110,0,MATCH(P$2,Inputs!$K$4:$AJ$4,0)))))</f>
        <v>8046</v>
      </c>
      <c r="Q22" s="6">
        <f>IF(ISNA(MATCH(Q$2,Inputs!$K$4:$AJ$4,0)),NA(),IF(SUMPRODUCT((Inputs!$A$5:$A$110=$B22)*ISNUMBER(INDEX(Inputs!$K$5:$AJ$110,0,MATCH(Q$2,Inputs!$K$4:$AJ$4,0))))+SUMPRODUCT((Inputs!$C$5:$C$110=$B22)*ISNUMBER(INDEX(Inputs!$K$5:$AJ$110,0,MATCH(Q$2,Inputs!$K$4:$AJ$4,0))))+SUMPRODUCT((Inputs!$E$5:$E$110=$B22)*ISNUMBER(INDEX(Inputs!$K$5:$AJ$110,0,MATCH(Q$2,Inputs!$K$4:$AJ$4,0))))=0,NA(),SUMPRODUCT((Inputs!$A$5:$A$110=$B22)*Inputs!$B$5:$B$110*(((Inputs!$G$5:$G$110="moeda")+(Inputs!$G$5:$G$110="acoes"))*Inputs!$B$1+((Inputs!$G$5:$G$110&lt;&gt;"moeda")*(Inputs!$G$5:$G$110&lt;&gt;"acoes")))*INDEX(Inputs!$K$5:$AJ$110,0,MATCH(Q$2,Inputs!$K$4:$AJ$4,0)))+SUMPRODUCT((Inputs!$C$5:$C$110=$B22)*Inputs!$D$5:$D$110*(((Inputs!$G$5:$G$110="moeda")+(Inputs!$G$5:$G$110="acoes"))*Inputs!$B$1+((Inputs!$G$5:$G$110&lt;&gt;"moeda")*(Inputs!$G$5:$G$110&lt;&gt;"acoes")))*INDEX(Inputs!$K$5:$AJ$110,0,MATCH(Q$2,Inputs!$K$4:$AJ$4,0)))+SUMPRODUCT((Inputs!$E$5:$E$110=$B22)*Inputs!$F$5:$F$110*(((Inputs!$G$5:$G$110="moeda")+(Inputs!$G$5:$G$110="acoes"))*Inputs!$B$1+((Inputs!$G$5:$G$110&lt;&gt;"moeda")*(Inputs!$G$5:$G$110&lt;&gt;"acoes")))*INDEX(Inputs!$K$5:$AJ$110,0,MATCH(Q$2,Inputs!$K$4:$AJ$4,0)))))</f>
        <v>8370</v>
      </c>
      <c r="R22" s="3">
        <f>Q22</f>
        <v>8370</v>
      </c>
      <c r="S22" s="6">
        <f>IF(ISNA(MATCH(S$2,Inputs!$K$4:$AJ$4,0)),NA(),IF(SUMPRODUCT((Inputs!$A$5:$A$110=$B22)*ISNUMBER(INDEX(Inputs!$K$5:$AJ$110,0,MATCH(S$2,Inputs!$K$4:$AJ$4,0))))+SUMPRODUCT((Inputs!$C$5:$C$110=$B22)*ISNUMBER(INDEX(Inputs!$K$5:$AJ$110,0,MATCH(S$2,Inputs!$K$4:$AJ$4,0))))+SUMPRODUCT((Inputs!$E$5:$E$110=$B22)*ISNUMBER(INDEX(Inputs!$K$5:$AJ$110,0,MATCH(S$2,Inputs!$K$4:$AJ$4,0))))=0,NA(),SUMPRODUCT((Inputs!$A$5:$A$110=$B22)*Inputs!$B$5:$B$110*(((Inputs!$G$5:$G$110="moeda")+(Inputs!$G$5:$G$110="acoes"))*Inputs!$B$1+((Inputs!$G$5:$G$110&lt;&gt;"moeda")*(Inputs!$G$5:$G$110&lt;&gt;"acoes")))*INDEX(Inputs!$K$5:$AJ$110,0,MATCH(S$2,Inputs!$K$4:$AJ$4,0)))+SUMPRODUCT((Inputs!$C$5:$C$110=$B22)*Inputs!$D$5:$D$110*(((Inputs!$G$5:$G$110="moeda")+(Inputs!$G$5:$G$110="acoes"))*Inputs!$B$1+((Inputs!$G$5:$G$110&lt;&gt;"moeda")*(Inputs!$G$5:$G$110&lt;&gt;"acoes")))*INDEX(Inputs!$K$5:$AJ$110,0,MATCH(S$2,Inputs!$K$4:$AJ$4,0)))+SUMPRODUCT((Inputs!$E$5:$E$110=$B22)*Inputs!$F$5:$F$110*(((Inputs!$G$5:$G$110="moeda")+(Inputs!$G$5:$G$110="acoes"))*Inputs!$B$1+((Inputs!$G$5:$G$110&lt;&gt;"moeda")*(Inputs!$G$5:$G$110&lt;&gt;"acoes")))*INDEX(Inputs!$K$5:$AJ$110,0,MATCH(S$2,Inputs!$K$4:$AJ$4,0)))))</f>
        <v>8354</v>
      </c>
      <c r="T22" s="6">
        <f>IF(ISNA(MATCH(T$2,Inputs!$K$4:$AJ$4,0)),NA(),IF(SUMPRODUCT((Inputs!$A$5:$A$110=$B22)*ISNUMBER(INDEX(Inputs!$K$5:$AJ$110,0,MATCH(T$2,Inputs!$K$4:$AJ$4,0))))+SUMPRODUCT((Inputs!$C$5:$C$110=$B22)*ISNUMBER(INDEX(Inputs!$K$5:$AJ$110,0,MATCH(T$2,Inputs!$K$4:$AJ$4,0))))+SUMPRODUCT((Inputs!$E$5:$E$110=$B22)*ISNUMBER(INDEX(Inputs!$K$5:$AJ$110,0,MATCH(T$2,Inputs!$K$4:$AJ$4,0))))=0,NA(),SUMPRODUCT((Inputs!$A$5:$A$110=$B22)*Inputs!$B$5:$B$110*(((Inputs!$G$5:$G$110="moeda")+(Inputs!$G$5:$G$110="acoes"))*Inputs!$B$1+((Inputs!$G$5:$G$110&lt;&gt;"moeda")*(Inputs!$G$5:$G$110&lt;&gt;"acoes")))*INDEX(Inputs!$K$5:$AJ$110,0,MATCH(T$2,Inputs!$K$4:$AJ$4,0)))+SUMPRODUCT((Inputs!$C$5:$C$110=$B22)*Inputs!$D$5:$D$110*(((Inputs!$G$5:$G$110="moeda")+(Inputs!$G$5:$G$110="acoes"))*Inputs!$B$1+((Inputs!$G$5:$G$110&lt;&gt;"moeda")*(Inputs!$G$5:$G$110&lt;&gt;"acoes")))*INDEX(Inputs!$K$5:$AJ$110,0,MATCH(T$2,Inputs!$K$4:$AJ$4,0)))+SUMPRODUCT((Inputs!$E$5:$E$110=$B22)*Inputs!$F$5:$F$110*(((Inputs!$G$5:$G$110="moeda")+(Inputs!$G$5:$G$110="acoes"))*Inputs!$B$1+((Inputs!$G$5:$G$110&lt;&gt;"moeda")*(Inputs!$G$5:$G$110&lt;&gt;"acoes")))*INDEX(Inputs!$K$5:$AJ$110,0,MATCH(T$2,Inputs!$K$4:$AJ$4,0)))))</f>
        <v>8394</v>
      </c>
      <c r="U22" s="6">
        <f>IF(ISNA(MATCH(U$2,Inputs!$K$4:$AJ$4,0)),NA(),IF(SUMPRODUCT((Inputs!$A$5:$A$110=$B22)*ISNUMBER(INDEX(Inputs!$K$5:$AJ$110,0,MATCH(U$2,Inputs!$K$4:$AJ$4,0))))+SUMPRODUCT((Inputs!$C$5:$C$110=$B22)*ISNUMBER(INDEX(Inputs!$K$5:$AJ$110,0,MATCH(U$2,Inputs!$K$4:$AJ$4,0))))+SUMPRODUCT((Inputs!$E$5:$E$110=$B22)*ISNUMBER(INDEX(Inputs!$K$5:$AJ$110,0,MATCH(U$2,Inputs!$K$4:$AJ$4,0))))=0,NA(),SUMPRODUCT((Inputs!$A$5:$A$110=$B22)*Inputs!$B$5:$B$110*(((Inputs!$G$5:$G$110="moeda")+(Inputs!$G$5:$G$110="acoes"))*Inputs!$B$1+((Inputs!$G$5:$G$110&lt;&gt;"moeda")*(Inputs!$G$5:$G$110&lt;&gt;"acoes")))*INDEX(Inputs!$K$5:$AJ$110,0,MATCH(U$2,Inputs!$K$4:$AJ$4,0)))+SUMPRODUCT((Inputs!$C$5:$C$110=$B22)*Inputs!$D$5:$D$110*(((Inputs!$G$5:$G$110="moeda")+(Inputs!$G$5:$G$110="acoes"))*Inputs!$B$1+((Inputs!$G$5:$G$110&lt;&gt;"moeda")*(Inputs!$G$5:$G$110&lt;&gt;"acoes")))*INDEX(Inputs!$K$5:$AJ$110,0,MATCH(U$2,Inputs!$K$4:$AJ$4,0)))+SUMPRODUCT((Inputs!$E$5:$E$110=$B22)*Inputs!$F$5:$F$110*(((Inputs!$G$5:$G$110="moeda")+(Inputs!$G$5:$G$110="acoes"))*Inputs!$B$1+((Inputs!$G$5:$G$110&lt;&gt;"moeda")*(Inputs!$G$5:$G$110&lt;&gt;"acoes")))*INDEX(Inputs!$K$5:$AJ$110,0,MATCH(U$2,Inputs!$K$4:$AJ$4,0)))))</f>
        <v>8454</v>
      </c>
      <c r="V22" s="6">
        <f>IF(ISNA(MATCH(V$2,Inputs!$K$4:$AJ$4,0)),NA(),IF(SUMPRODUCT((Inputs!$A$5:$A$110=$B22)*ISNUMBER(INDEX(Inputs!$K$5:$AJ$110,0,MATCH(V$2,Inputs!$K$4:$AJ$4,0))))+SUMPRODUCT((Inputs!$C$5:$C$110=$B22)*ISNUMBER(INDEX(Inputs!$K$5:$AJ$110,0,MATCH(V$2,Inputs!$K$4:$AJ$4,0))))+SUMPRODUCT((Inputs!$E$5:$E$110=$B22)*ISNUMBER(INDEX(Inputs!$K$5:$AJ$110,0,MATCH(V$2,Inputs!$K$4:$AJ$4,0))))=0,NA(),SUMPRODUCT((Inputs!$A$5:$A$110=$B22)*Inputs!$B$5:$B$110*(((Inputs!$G$5:$G$110="moeda")+(Inputs!$G$5:$G$110="acoes"))*Inputs!$B$1+((Inputs!$G$5:$G$110&lt;&gt;"moeda")*(Inputs!$G$5:$G$110&lt;&gt;"acoes")))*INDEX(Inputs!$K$5:$AJ$110,0,MATCH(V$2,Inputs!$K$4:$AJ$4,0)))+SUMPRODUCT((Inputs!$C$5:$C$110=$B22)*Inputs!$D$5:$D$110*(((Inputs!$G$5:$G$110="moeda")+(Inputs!$G$5:$G$110="acoes"))*Inputs!$B$1+((Inputs!$G$5:$G$110&lt;&gt;"moeda")*(Inputs!$G$5:$G$110&lt;&gt;"acoes")))*INDEX(Inputs!$K$5:$AJ$110,0,MATCH(V$2,Inputs!$K$4:$AJ$4,0)))+SUMPRODUCT((Inputs!$E$5:$E$110=$B22)*Inputs!$F$5:$F$110*(((Inputs!$G$5:$G$110="moeda")+(Inputs!$G$5:$G$110="acoes"))*Inputs!$B$1+((Inputs!$G$5:$G$110&lt;&gt;"moeda")*(Inputs!$G$5:$G$110&lt;&gt;"acoes")))*INDEX(Inputs!$K$5:$AJ$110,0,MATCH(V$2,Inputs!$K$4:$AJ$4,0)))))</f>
        <v>8726</v>
      </c>
      <c r="W22" s="3">
        <f>V22</f>
        <v>8726</v>
      </c>
      <c r="X22" s="6">
        <f>IF(ISNA(MATCH(X$2,Inputs!$K$4:$AJ$4,0)),NA(),IF(SUMPRODUCT((Inputs!$A$5:$A$110=$B22)*ISNUMBER(INDEX(Inputs!$K$5:$AJ$110,0,MATCH(X$2,Inputs!$K$4:$AJ$4,0))))+SUMPRODUCT((Inputs!$C$5:$C$110=$B22)*ISNUMBER(INDEX(Inputs!$K$5:$AJ$110,0,MATCH(X$2,Inputs!$K$4:$AJ$4,0))))+SUMPRODUCT((Inputs!$E$5:$E$110=$B22)*ISNUMBER(INDEX(Inputs!$K$5:$AJ$110,0,MATCH(X$2,Inputs!$K$4:$AJ$4,0))))=0,NA(),SUMPRODUCT((Inputs!$A$5:$A$110=$B22)*Inputs!$B$5:$B$110*(((Inputs!$G$5:$G$110="moeda")+(Inputs!$G$5:$G$110="acoes"))*Inputs!$B$1+((Inputs!$G$5:$G$110&lt;&gt;"moeda")*(Inputs!$G$5:$G$110&lt;&gt;"acoes")))*INDEX(Inputs!$K$5:$AJ$110,0,MATCH(X$2,Inputs!$K$4:$AJ$4,0)))+SUMPRODUCT((Inputs!$C$5:$C$110=$B22)*Inputs!$D$5:$D$110*(((Inputs!$G$5:$G$110="moeda")+(Inputs!$G$5:$G$110="acoes"))*Inputs!$B$1+((Inputs!$G$5:$G$110&lt;&gt;"moeda")*(Inputs!$G$5:$G$110&lt;&gt;"acoes")))*INDEX(Inputs!$K$5:$AJ$110,0,MATCH(X$2,Inputs!$K$4:$AJ$4,0)))+SUMPRODUCT((Inputs!$E$5:$E$110=$B22)*Inputs!$F$5:$F$110*(((Inputs!$G$5:$G$110="moeda")+(Inputs!$G$5:$G$110="acoes"))*Inputs!$B$1+((Inputs!$G$5:$G$110&lt;&gt;"moeda")*(Inputs!$G$5:$G$110&lt;&gt;"acoes")))*INDEX(Inputs!$K$5:$AJ$110,0,MATCH(X$2,Inputs!$K$4:$AJ$4,0)))))</f>
        <v>8713</v>
      </c>
      <c r="Y22" s="6">
        <f>IF(ISNA(MATCH(Y$2,Inputs!$K$4:$AJ$4,0)),NA(),IF(SUMPRODUCT((Inputs!$A$5:$A$110=$B22)*ISNUMBER(INDEX(Inputs!$K$5:$AJ$110,0,MATCH(Y$2,Inputs!$K$4:$AJ$4,0))))+SUMPRODUCT((Inputs!$C$5:$C$110=$B22)*ISNUMBER(INDEX(Inputs!$K$5:$AJ$110,0,MATCH(Y$2,Inputs!$K$4:$AJ$4,0))))+SUMPRODUCT((Inputs!$E$5:$E$110=$B22)*ISNUMBER(INDEX(Inputs!$K$5:$AJ$110,0,MATCH(Y$2,Inputs!$K$4:$AJ$4,0))))=0,NA(),SUMPRODUCT((Inputs!$A$5:$A$110=$B22)*Inputs!$B$5:$B$110*(((Inputs!$G$5:$G$110="moeda")+(Inputs!$G$5:$G$110="acoes"))*Inputs!$B$1+((Inputs!$G$5:$G$110&lt;&gt;"moeda")*(Inputs!$G$5:$G$110&lt;&gt;"acoes")))*INDEX(Inputs!$K$5:$AJ$110,0,MATCH(Y$2,Inputs!$K$4:$AJ$4,0)))+SUMPRODUCT((Inputs!$C$5:$C$110=$B22)*Inputs!$D$5:$D$110*(((Inputs!$G$5:$G$110="moeda")+(Inputs!$G$5:$G$110="acoes"))*Inputs!$B$1+((Inputs!$G$5:$G$110&lt;&gt;"moeda")*(Inputs!$G$5:$G$110&lt;&gt;"acoes")))*INDEX(Inputs!$K$5:$AJ$110,0,MATCH(Y$2,Inputs!$K$4:$AJ$4,0)))+SUMPRODUCT((Inputs!$E$5:$E$110=$B22)*Inputs!$F$5:$F$110*(((Inputs!$G$5:$G$110="moeda")+(Inputs!$G$5:$G$110="acoes"))*Inputs!$B$1+((Inputs!$G$5:$G$110&lt;&gt;"moeda")*(Inputs!$G$5:$G$110&lt;&gt;"acoes")))*INDEX(Inputs!$K$5:$AJ$110,0,MATCH(Y$2,Inputs!$K$4:$AJ$4,0)))))</f>
        <v>8670</v>
      </c>
      <c r="Z22" s="6">
        <f>IF(ISNA(MATCH(Z$2,Inputs!$K$4:$AJ$4,0)),NA(),IF(SUMPRODUCT((Inputs!$A$5:$A$110=$B22)*ISNUMBER(INDEX(Inputs!$K$5:$AJ$110,0,MATCH(Z$2,Inputs!$K$4:$AJ$4,0))))+SUMPRODUCT((Inputs!$C$5:$C$110=$B22)*ISNUMBER(INDEX(Inputs!$K$5:$AJ$110,0,MATCH(Z$2,Inputs!$K$4:$AJ$4,0))))+SUMPRODUCT((Inputs!$E$5:$E$110=$B22)*ISNUMBER(INDEX(Inputs!$K$5:$AJ$110,0,MATCH(Z$2,Inputs!$K$4:$AJ$4,0))))=0,NA(),SUMPRODUCT((Inputs!$A$5:$A$110=$B22)*Inputs!$B$5:$B$110*(((Inputs!$G$5:$G$110="moeda")+(Inputs!$G$5:$G$110="acoes"))*Inputs!$B$1+((Inputs!$G$5:$G$110&lt;&gt;"moeda")*(Inputs!$G$5:$G$110&lt;&gt;"acoes")))*INDEX(Inputs!$K$5:$AJ$110,0,MATCH(Z$2,Inputs!$K$4:$AJ$4,0)))+SUMPRODUCT((Inputs!$C$5:$C$110=$B22)*Inputs!$D$5:$D$110*(((Inputs!$G$5:$G$110="moeda")+(Inputs!$G$5:$G$110="acoes"))*Inputs!$B$1+((Inputs!$G$5:$G$110&lt;&gt;"moeda")*(Inputs!$G$5:$G$110&lt;&gt;"acoes")))*INDEX(Inputs!$K$5:$AJ$110,0,MATCH(Z$2,Inputs!$K$4:$AJ$4,0)))+SUMPRODUCT((Inputs!$E$5:$E$110=$B22)*Inputs!$F$5:$F$110*(((Inputs!$G$5:$G$110="moeda")+(Inputs!$G$5:$G$110="acoes"))*Inputs!$B$1+((Inputs!$G$5:$G$110&lt;&gt;"moeda")*(Inputs!$G$5:$G$110&lt;&gt;"acoes")))*INDEX(Inputs!$K$5:$AJ$110,0,MATCH(Z$2,Inputs!$K$4:$AJ$4,0)))))</f>
        <v>8722</v>
      </c>
      <c r="AA22" s="6">
        <f>IF(ISNA(MATCH(AA$2,Inputs!$K$4:$AJ$4,0)),NA(),IF(SUMPRODUCT((Inputs!$A$5:$A$110=$B22)*ISNUMBER(INDEX(Inputs!$K$5:$AJ$110,0,MATCH(AA$2,Inputs!$K$4:$AJ$4,0))))+SUMPRODUCT((Inputs!$C$5:$C$110=$B22)*ISNUMBER(INDEX(Inputs!$K$5:$AJ$110,0,MATCH(AA$2,Inputs!$K$4:$AJ$4,0))))+SUMPRODUCT((Inputs!$E$5:$E$110=$B22)*ISNUMBER(INDEX(Inputs!$K$5:$AJ$110,0,MATCH(AA$2,Inputs!$K$4:$AJ$4,0))))=0,NA(),SUMPRODUCT((Inputs!$A$5:$A$110=$B22)*Inputs!$B$5:$B$110*(((Inputs!$G$5:$G$110="moeda")+(Inputs!$G$5:$G$110="acoes"))*Inputs!$B$1+((Inputs!$G$5:$G$110&lt;&gt;"moeda")*(Inputs!$G$5:$G$110&lt;&gt;"acoes")))*INDEX(Inputs!$K$5:$AJ$110,0,MATCH(AA$2,Inputs!$K$4:$AJ$4,0)))+SUMPRODUCT((Inputs!$C$5:$C$110=$B22)*Inputs!$D$5:$D$110*(((Inputs!$G$5:$G$110="moeda")+(Inputs!$G$5:$G$110="acoes"))*Inputs!$B$1+((Inputs!$G$5:$G$110&lt;&gt;"moeda")*(Inputs!$G$5:$G$110&lt;&gt;"acoes")))*INDEX(Inputs!$K$5:$AJ$110,0,MATCH(AA$2,Inputs!$K$4:$AJ$4,0)))+SUMPRODUCT((Inputs!$E$5:$E$110=$B22)*Inputs!$F$5:$F$110*(((Inputs!$G$5:$G$110="moeda")+(Inputs!$G$5:$G$110="acoes"))*Inputs!$B$1+((Inputs!$G$5:$G$110&lt;&gt;"moeda")*(Inputs!$G$5:$G$110&lt;&gt;"acoes")))*INDEX(Inputs!$K$5:$AJ$110,0,MATCH(AA$2,Inputs!$K$4:$AJ$4,0)))))</f>
        <v>8875</v>
      </c>
      <c r="AB22" s="3">
        <f>AA22</f>
        <v>8875</v>
      </c>
      <c r="AC22" s="6">
        <f>IF(ISNA(MATCH(AC$2,Inputs!$K$4:$AJ$4,0)),NA(),IF(SUMPRODUCT((Inputs!$A$5:$A$110=$B22)*ISNUMBER(INDEX(Inputs!$K$5:$AJ$110,0,MATCH(AC$2,Inputs!$K$4:$AJ$4,0))))+SUMPRODUCT((Inputs!$C$5:$C$110=$B22)*ISNUMBER(INDEX(Inputs!$K$5:$AJ$110,0,MATCH(AC$2,Inputs!$K$4:$AJ$4,0))))+SUMPRODUCT((Inputs!$E$5:$E$110=$B22)*ISNUMBER(INDEX(Inputs!$K$5:$AJ$110,0,MATCH(AC$2,Inputs!$K$4:$AJ$4,0))))=0,NA(),SUMPRODUCT((Inputs!$A$5:$A$110=$B22)*Inputs!$B$5:$B$110*(((Inputs!$G$5:$G$110="moeda")+(Inputs!$G$5:$G$110="acoes"))*Inputs!$B$1+((Inputs!$G$5:$G$110&lt;&gt;"moeda")*(Inputs!$G$5:$G$110&lt;&gt;"acoes")))*INDEX(Inputs!$K$5:$AJ$110,0,MATCH(AC$2,Inputs!$K$4:$AJ$4,0)))+SUMPRODUCT((Inputs!$C$5:$C$110=$B22)*Inputs!$D$5:$D$110*(((Inputs!$G$5:$G$110="moeda")+(Inputs!$G$5:$G$110="acoes"))*Inputs!$B$1+((Inputs!$G$5:$G$110&lt;&gt;"moeda")*(Inputs!$G$5:$G$110&lt;&gt;"acoes")))*INDEX(Inputs!$K$5:$AJ$110,0,MATCH(AC$2,Inputs!$K$4:$AJ$4,0)))+SUMPRODUCT((Inputs!$E$5:$E$110=$B22)*Inputs!$F$5:$F$110*(((Inputs!$G$5:$G$110="moeda")+(Inputs!$G$5:$G$110="acoes"))*Inputs!$B$1+((Inputs!$G$5:$G$110&lt;&gt;"moeda")*(Inputs!$G$5:$G$110&lt;&gt;"acoes")))*INDEX(Inputs!$K$5:$AJ$110,0,MATCH(AC$2,Inputs!$K$4:$AJ$4,0)))))</f>
        <v>11283</v>
      </c>
      <c r="AD22" s="6">
        <f>IF(ISNA(MATCH(AD$2,Inputs!$K$4:$AJ$4,0)),NA(),IF(SUMPRODUCT((Inputs!$A$5:$A$110=$B22)*ISNUMBER(INDEX(Inputs!$K$5:$AJ$110,0,MATCH(AD$2,Inputs!$K$4:$AJ$4,0))))+SUMPRODUCT((Inputs!$C$5:$C$110=$B22)*ISNUMBER(INDEX(Inputs!$K$5:$AJ$110,0,MATCH(AD$2,Inputs!$K$4:$AJ$4,0))))+SUMPRODUCT((Inputs!$E$5:$E$110=$B22)*ISNUMBER(INDEX(Inputs!$K$5:$AJ$110,0,MATCH(AD$2,Inputs!$K$4:$AJ$4,0))))=0,NA(),SUMPRODUCT((Inputs!$A$5:$A$110=$B22)*Inputs!$B$5:$B$110*(((Inputs!$G$5:$G$110="moeda")+(Inputs!$G$5:$G$110="acoes"))*Inputs!$B$1+((Inputs!$G$5:$G$110&lt;&gt;"moeda")*(Inputs!$G$5:$G$110&lt;&gt;"acoes")))*INDEX(Inputs!$K$5:$AJ$110,0,MATCH(AD$2,Inputs!$K$4:$AJ$4,0)))+SUMPRODUCT((Inputs!$C$5:$C$110=$B22)*Inputs!$D$5:$D$110*(((Inputs!$G$5:$G$110="moeda")+(Inputs!$G$5:$G$110="acoes"))*Inputs!$B$1+((Inputs!$G$5:$G$110&lt;&gt;"moeda")*(Inputs!$G$5:$G$110&lt;&gt;"acoes")))*INDEX(Inputs!$K$5:$AJ$110,0,MATCH(AD$2,Inputs!$K$4:$AJ$4,0)))+SUMPRODUCT((Inputs!$E$5:$E$110=$B22)*Inputs!$F$5:$F$110*(((Inputs!$G$5:$G$110="moeda")+(Inputs!$G$5:$G$110="acoes"))*Inputs!$B$1+((Inputs!$G$5:$G$110&lt;&gt;"moeda")*(Inputs!$G$5:$G$110&lt;&gt;"acoes")))*INDEX(Inputs!$K$5:$AJ$110,0,MATCH(AD$2,Inputs!$K$4:$AJ$4,0)))))</f>
        <v>11390</v>
      </c>
      <c r="AE22" s="6" t="e">
        <f>IF(ISNA(MATCH(AE$2,Inputs!$K$4:$AJ$4,0)),NA(),IF(SUMPRODUCT((Inputs!$A$5:$A$110=$B22)*ISNUMBER(INDEX(Inputs!$K$5:$AJ$110,0,MATCH(AE$2,Inputs!$K$4:$AJ$4,0))))+SUMPRODUCT((Inputs!$C$5:$C$110=$B22)*ISNUMBER(INDEX(Inputs!$K$5:$AJ$110,0,MATCH(AE$2,Inputs!$K$4:$AJ$4,0))))+SUMPRODUCT((Inputs!$E$5:$E$110=$B22)*ISNUMBER(INDEX(Inputs!$K$5:$AJ$110,0,MATCH(AE$2,Inputs!$K$4:$AJ$4,0))))=0,NA(),SUMPRODUCT((Inputs!$A$5:$A$110=$B22)*Inputs!$B$5:$B$110*(((Inputs!$G$5:$G$110="moeda")+(Inputs!$G$5:$G$110="acoes"))*Inputs!$B$1+((Inputs!$G$5:$G$110&lt;&gt;"moeda")*(Inputs!$G$5:$G$110&lt;&gt;"acoes")))*INDEX(Inputs!$K$5:$AJ$110,0,MATCH(AE$2,Inputs!$K$4:$AJ$4,0)))+SUMPRODUCT((Inputs!$C$5:$C$110=$B22)*Inputs!$D$5:$D$110*(((Inputs!$G$5:$G$110="moeda")+(Inputs!$G$5:$G$110="acoes"))*Inputs!$B$1+((Inputs!$G$5:$G$110&lt;&gt;"moeda")*(Inputs!$G$5:$G$110&lt;&gt;"acoes")))*INDEX(Inputs!$K$5:$AJ$110,0,MATCH(AE$2,Inputs!$K$4:$AJ$4,0)))+SUMPRODUCT((Inputs!$E$5:$E$110=$B22)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2" s="6" t="e">
        <f>IF(ISNA(MATCH(AF$2,Inputs!$K$4:$AJ$4,0)),NA(),IF(SUMPRODUCT((Inputs!$A$5:$A$110=$B22)*ISNUMBER(INDEX(Inputs!$K$5:$AJ$110,0,MATCH(AF$2,Inputs!$K$4:$AJ$4,0))))+SUMPRODUCT((Inputs!$C$5:$C$110=$B22)*ISNUMBER(INDEX(Inputs!$K$5:$AJ$110,0,MATCH(AF$2,Inputs!$K$4:$AJ$4,0))))+SUMPRODUCT((Inputs!$E$5:$E$110=$B22)*ISNUMBER(INDEX(Inputs!$K$5:$AJ$110,0,MATCH(AF$2,Inputs!$K$4:$AJ$4,0))))=0,NA(),SUMPRODUCT((Inputs!$A$5:$A$110=$B22)*Inputs!$B$5:$B$110*(((Inputs!$G$5:$G$110="moeda")+(Inputs!$G$5:$G$110="acoes"))*Inputs!$B$1+((Inputs!$G$5:$G$110&lt;&gt;"moeda")*(Inputs!$G$5:$G$110&lt;&gt;"acoes")))*INDEX(Inputs!$K$5:$AJ$110,0,MATCH(AF$2,Inputs!$K$4:$AJ$4,0)))+SUMPRODUCT((Inputs!$C$5:$C$110=$B22)*Inputs!$D$5:$D$110*(((Inputs!$G$5:$G$110="moeda")+(Inputs!$G$5:$G$110="acoes"))*Inputs!$B$1+((Inputs!$G$5:$G$110&lt;&gt;"moeda")*(Inputs!$G$5:$G$110&lt;&gt;"acoes")))*INDEX(Inputs!$K$5:$AJ$110,0,MATCH(AF$2,Inputs!$K$4:$AJ$4,0)))+SUMPRODUCT((Inputs!$E$5:$E$110=$B22)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2" s="3" t="e">
        <f>AF22</f>
        <v>#N/A</v>
      </c>
      <c r="AH22" s="6">
        <f>IF(ISNA(MATCH(AH$2,Inputs!$K$4:$AJ$4,0)),NA(),IF(SUMPRODUCT((Inputs!$A$5:$A$110=$B22)*ISNUMBER(INDEX(Inputs!$K$5:$AJ$110,0,MATCH(AH$2,Inputs!$K$4:$AJ$4,0))))+SUMPRODUCT((Inputs!$C$5:$C$110=$B22)*ISNUMBER(INDEX(Inputs!$K$5:$AJ$110,0,MATCH(AH$2,Inputs!$K$4:$AJ$4,0))))+SUMPRODUCT((Inputs!$E$5:$E$110=$B22)*ISNUMBER(INDEX(Inputs!$K$5:$AJ$110,0,MATCH(AH$2,Inputs!$K$4:$AJ$4,0))))=0,NA(),SUMPRODUCT((Inputs!$A$5:$A$110=$B22)*Inputs!$B$5:$B$110*(((Inputs!$G$5:$G$110="moeda")+(Inputs!$G$5:$G$110="acoes"))*Inputs!$B$1+((Inputs!$G$5:$G$110&lt;&gt;"moeda")*(Inputs!$G$5:$G$110&lt;&gt;"acoes")))*INDEX(Inputs!$K$5:$AJ$110,0,MATCH(AH$2,Inputs!$K$4:$AJ$4,0)))+SUMPRODUCT((Inputs!$C$5:$C$110=$B22)*Inputs!$D$5:$D$110*(((Inputs!$G$5:$G$110="moeda")+(Inputs!$G$5:$G$110="acoes"))*Inputs!$B$1+((Inputs!$G$5:$G$110&lt;&gt;"moeda")*(Inputs!$G$5:$G$110&lt;&gt;"acoes")))*INDEX(Inputs!$K$5:$AJ$110,0,MATCH(AH$2,Inputs!$K$4:$AJ$4,0)))+SUMPRODUCT((Inputs!$E$5:$E$110=$B22)*Inputs!$F$5:$F$110*(((Inputs!$G$5:$G$110="moeda")+(Inputs!$G$5:$G$110="acoes"))*Inputs!$B$1+((Inputs!$G$5:$G$110&lt;&gt;"moeda")*(Inputs!$G$5:$G$110&lt;&gt;"acoes")))*INDEX(Inputs!$K$5:$AJ$110,0,MATCH(AH$2,Inputs!$K$4:$AJ$4,0)))))</f>
        <v>6605</v>
      </c>
      <c r="AI22" s="6">
        <f>IF(ISNA(MATCH(AI$2,Inputs!$K$4:$AJ$4,0)),NA(),IF(SUMPRODUCT((Inputs!$A$5:$A$110=$B22)*ISNUMBER(INDEX(Inputs!$K$5:$AJ$110,0,MATCH(AI$2,Inputs!$K$4:$AJ$4,0))))+SUMPRODUCT((Inputs!$C$5:$C$110=$B22)*ISNUMBER(INDEX(Inputs!$K$5:$AJ$110,0,MATCH(AI$2,Inputs!$K$4:$AJ$4,0))))+SUMPRODUCT((Inputs!$E$5:$E$110=$B22)*ISNUMBER(INDEX(Inputs!$K$5:$AJ$110,0,MATCH(AI$2,Inputs!$K$4:$AJ$4,0))))=0,NA(),SUMPRODUCT((Inputs!$A$5:$A$110=$B22)*Inputs!$B$5:$B$110*(((Inputs!$G$5:$G$110="moeda")+(Inputs!$G$5:$G$110="acoes"))*Inputs!$B$1+((Inputs!$G$5:$G$110&lt;&gt;"moeda")*(Inputs!$G$5:$G$110&lt;&gt;"acoes")))*INDEX(Inputs!$K$5:$AJ$110,0,MATCH(AI$2,Inputs!$K$4:$AJ$4,0)))+SUMPRODUCT((Inputs!$C$5:$C$110=$B22)*Inputs!$D$5:$D$110*(((Inputs!$G$5:$G$110="moeda")+(Inputs!$G$5:$G$110="acoes"))*Inputs!$B$1+((Inputs!$G$5:$G$110&lt;&gt;"moeda")*(Inputs!$G$5:$G$110&lt;&gt;"acoes")))*INDEX(Inputs!$K$5:$AJ$110,0,MATCH(AI$2,Inputs!$K$4:$AJ$4,0)))+SUMPRODUCT((Inputs!$E$5:$E$110=$B22)*Inputs!$F$5:$F$110*(((Inputs!$G$5:$G$110="moeda")+(Inputs!$G$5:$G$110="acoes"))*Inputs!$B$1+((Inputs!$G$5:$G$110&lt;&gt;"moeda")*(Inputs!$G$5:$G$110&lt;&gt;"acoes")))*INDEX(Inputs!$K$5:$AJ$110,0,MATCH(AI$2,Inputs!$K$4:$AJ$4,0)))))</f>
        <v>6663</v>
      </c>
      <c r="AJ22" s="6">
        <f>IF(ISNA(MATCH(AJ$2,Inputs!$K$4:$AJ$4,0)),NA(),IF(SUMPRODUCT((Inputs!$A$5:$A$110=$B22)*ISNUMBER(INDEX(Inputs!$K$5:$AJ$110,0,MATCH(AJ$2,Inputs!$K$4:$AJ$4,0))))+SUMPRODUCT((Inputs!$C$5:$C$110=$B22)*ISNUMBER(INDEX(Inputs!$K$5:$AJ$110,0,MATCH(AJ$2,Inputs!$K$4:$AJ$4,0))))+SUMPRODUCT((Inputs!$E$5:$E$110=$B22)*ISNUMBER(INDEX(Inputs!$K$5:$AJ$110,0,MATCH(AJ$2,Inputs!$K$4:$AJ$4,0))))=0,NA(),SUMPRODUCT((Inputs!$A$5:$A$110=$B22)*Inputs!$B$5:$B$110*(((Inputs!$G$5:$G$110="moeda")+(Inputs!$G$5:$G$110="acoes"))*Inputs!$B$1+((Inputs!$G$5:$G$110&lt;&gt;"moeda")*(Inputs!$G$5:$G$110&lt;&gt;"acoes")))*INDEX(Inputs!$K$5:$AJ$110,0,MATCH(AJ$2,Inputs!$K$4:$AJ$4,0)))+SUMPRODUCT((Inputs!$C$5:$C$110=$B22)*Inputs!$D$5:$D$110*(((Inputs!$G$5:$G$110="moeda")+(Inputs!$G$5:$G$110="acoes"))*Inputs!$B$1+((Inputs!$G$5:$G$110&lt;&gt;"moeda")*(Inputs!$G$5:$G$110&lt;&gt;"acoes")))*INDEX(Inputs!$K$5:$AJ$110,0,MATCH(AJ$2,Inputs!$K$4:$AJ$4,0)))+SUMPRODUCT((Inputs!$E$5:$E$110=$B22)*Inputs!$F$5:$F$110*(((Inputs!$G$5:$G$110="moeda")+(Inputs!$G$5:$G$110="acoes"))*Inputs!$B$1+((Inputs!$G$5:$G$110&lt;&gt;"moeda")*(Inputs!$G$5:$G$110&lt;&gt;"acoes")))*INDEX(Inputs!$K$5:$AJ$110,0,MATCH(AJ$2,Inputs!$K$4:$AJ$4,0)))))</f>
        <v>6803</v>
      </c>
      <c r="AK22" s="6">
        <f>IF(ISNA(MATCH(AK$2,Inputs!$K$4:$AJ$4,0)),NA(),IF(SUMPRODUCT((Inputs!$A$5:$A$110=$B22)*ISNUMBER(INDEX(Inputs!$K$5:$AJ$110,0,MATCH(AK$2,Inputs!$K$4:$AJ$4,0))))+SUMPRODUCT((Inputs!$C$5:$C$110=$B22)*ISNUMBER(INDEX(Inputs!$K$5:$AJ$110,0,MATCH(AK$2,Inputs!$K$4:$AJ$4,0))))+SUMPRODUCT((Inputs!$E$5:$E$110=$B22)*ISNUMBER(INDEX(Inputs!$K$5:$AJ$110,0,MATCH(AK$2,Inputs!$K$4:$AJ$4,0))))=0,NA(),SUMPRODUCT((Inputs!$A$5:$A$110=$B22)*Inputs!$B$5:$B$110*(((Inputs!$G$5:$G$110="moeda")+(Inputs!$G$5:$G$110="acoes"))*Inputs!$B$1+((Inputs!$G$5:$G$110&lt;&gt;"moeda")*(Inputs!$G$5:$G$110&lt;&gt;"acoes")))*INDEX(Inputs!$K$5:$AJ$110,0,MATCH(AK$2,Inputs!$K$4:$AJ$4,0)))+SUMPRODUCT((Inputs!$C$5:$C$110=$B22)*Inputs!$D$5:$D$110*(((Inputs!$G$5:$G$110="moeda")+(Inputs!$G$5:$G$110="acoes"))*Inputs!$B$1+((Inputs!$G$5:$G$110&lt;&gt;"moeda")*(Inputs!$G$5:$G$110&lt;&gt;"acoes")))*INDEX(Inputs!$K$5:$AJ$110,0,MATCH(AK$2,Inputs!$K$4:$AJ$4,0)))+SUMPRODUCT((Inputs!$E$5:$E$110=$B22)*Inputs!$F$5:$F$110*(((Inputs!$G$5:$G$110="moeda")+(Inputs!$G$5:$G$110="acoes"))*Inputs!$B$1+((Inputs!$G$5:$G$110&lt;&gt;"moeda")*(Inputs!$G$5:$G$110&lt;&gt;"acoes")))*INDEX(Inputs!$K$5:$AJ$110,0,MATCH(AK$2,Inputs!$K$4:$AJ$4,0)))))</f>
        <v>7213</v>
      </c>
      <c r="AL22" s="3">
        <f>AK22</f>
        <v>7213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$110=$B23)*ISNUMBER(INDEX(Inputs!$K$5:$AJ$110,0,MATCH(D$2,Inputs!$K$4:$AJ$4,0))))+SUMPRODUCT((Inputs!$C$5:$C$110=$B23)*ISNUMBER(INDEX(Inputs!$K$5:$AJ$110,0,MATCH(D$2,Inputs!$K$4:$AJ$4,0))))+SUMPRODUCT((Inputs!$E$5:$E$110=$B23)*ISNUMBER(INDEX(Inputs!$K$5:$AJ$110,0,MATCH(D$2,Inputs!$K$4:$AJ$4,0))))=0,NA(),SUMPRODUCT((Inputs!$A$5:$A$110=$B23)*Inputs!$B$5:$B$110*(((Inputs!$G$5:$G$110="moeda")+(Inputs!$G$5:$G$110="acoes"))*Inputs!$B$1+((Inputs!$G$5:$G$110&lt;&gt;"moeda")*(Inputs!$G$5:$G$110&lt;&gt;"acoes")))*INDEX(Inputs!$K$5:$AJ$110,0,MATCH(D$2,Inputs!$K$4:$AJ$4,0)))+SUMPRODUCT((Inputs!$C$5:$C$110=$B23)*Inputs!$D$5:$D$110*(((Inputs!$G$5:$G$110="moeda")+(Inputs!$G$5:$G$110="acoes"))*Inputs!$B$1+((Inputs!$G$5:$G$110&lt;&gt;"moeda")*(Inputs!$G$5:$G$110&lt;&gt;"acoes")))*INDEX(Inputs!$K$5:$AJ$110,0,MATCH(D$2,Inputs!$K$4:$AJ$4,0)))+SUMPRODUCT((Inputs!$E$5:$E$110=$B23)*Inputs!$F$5:$F$110*(((Inputs!$G$5:$G$110="moeda")+(Inputs!$G$5:$G$110="acoes"))*Inputs!$B$1+((Inputs!$G$5:$G$110&lt;&gt;"moeda")*(Inputs!$G$5:$G$110&lt;&gt;"acoes")))*INDEX(Inputs!$K$5:$AJ$110,0,MATCH(D$2,Inputs!$K$4:$AJ$4,0)))))</f>
        <v>0</v>
      </c>
      <c r="E23" s="6">
        <f>IF(ISNA(MATCH(E$2,Inputs!$K$4:$AJ$4,0)),NA(),IF(SUMPRODUCT((Inputs!$A$5:$A$110=$B23)*ISNUMBER(INDEX(Inputs!$K$5:$AJ$110,0,MATCH(E$2,Inputs!$K$4:$AJ$4,0))))+SUMPRODUCT((Inputs!$C$5:$C$110=$B23)*ISNUMBER(INDEX(Inputs!$K$5:$AJ$110,0,MATCH(E$2,Inputs!$K$4:$AJ$4,0))))+SUMPRODUCT((Inputs!$E$5:$E$110=$B23)*ISNUMBER(INDEX(Inputs!$K$5:$AJ$110,0,MATCH(E$2,Inputs!$K$4:$AJ$4,0))))=0,NA(),SUMPRODUCT((Inputs!$A$5:$A$110=$B23)*Inputs!$B$5:$B$110*(((Inputs!$G$5:$G$110="moeda")+(Inputs!$G$5:$G$110="acoes"))*Inputs!$B$1+((Inputs!$G$5:$G$110&lt;&gt;"moeda")*(Inputs!$G$5:$G$110&lt;&gt;"acoes")))*INDEX(Inputs!$K$5:$AJ$110,0,MATCH(E$2,Inputs!$K$4:$AJ$4,0)))+SUMPRODUCT((Inputs!$C$5:$C$110=$B23)*Inputs!$D$5:$D$110*(((Inputs!$G$5:$G$110="moeda")+(Inputs!$G$5:$G$110="acoes"))*Inputs!$B$1+((Inputs!$G$5:$G$110&lt;&gt;"moeda")*(Inputs!$G$5:$G$110&lt;&gt;"acoes")))*INDEX(Inputs!$K$5:$AJ$110,0,MATCH(E$2,Inputs!$K$4:$AJ$4,0)))+SUMPRODUCT((Inputs!$E$5:$E$110=$B23)*Inputs!$F$5:$F$110*(((Inputs!$G$5:$G$110="moeda")+(Inputs!$G$5:$G$110="acoes"))*Inputs!$B$1+((Inputs!$G$5:$G$110&lt;&gt;"moeda")*(Inputs!$G$5:$G$110&lt;&gt;"acoes")))*INDEX(Inputs!$K$5:$AJ$110,0,MATCH(E$2,Inputs!$K$4:$AJ$4,0)))))</f>
        <v>0</v>
      </c>
      <c r="F23" s="6">
        <f>IF(ISNA(MATCH(F$2,Inputs!$K$4:$AJ$4,0)),NA(),IF(SUMPRODUCT((Inputs!$A$5:$A$110=$B23)*ISNUMBER(INDEX(Inputs!$K$5:$AJ$110,0,MATCH(F$2,Inputs!$K$4:$AJ$4,0))))+SUMPRODUCT((Inputs!$C$5:$C$110=$B23)*ISNUMBER(INDEX(Inputs!$K$5:$AJ$110,0,MATCH(F$2,Inputs!$K$4:$AJ$4,0))))+SUMPRODUCT((Inputs!$E$5:$E$110=$B23)*ISNUMBER(INDEX(Inputs!$K$5:$AJ$110,0,MATCH(F$2,Inputs!$K$4:$AJ$4,0))))=0,NA(),SUMPRODUCT((Inputs!$A$5:$A$110=$B23)*Inputs!$B$5:$B$110*(((Inputs!$G$5:$G$110="moeda")+(Inputs!$G$5:$G$110="acoes"))*Inputs!$B$1+((Inputs!$G$5:$G$110&lt;&gt;"moeda")*(Inputs!$G$5:$G$110&lt;&gt;"acoes")))*INDEX(Inputs!$K$5:$AJ$110,0,MATCH(F$2,Inputs!$K$4:$AJ$4,0)))+SUMPRODUCT((Inputs!$C$5:$C$110=$B23)*Inputs!$D$5:$D$110*(((Inputs!$G$5:$G$110="moeda")+(Inputs!$G$5:$G$110="acoes"))*Inputs!$B$1+((Inputs!$G$5:$G$110&lt;&gt;"moeda")*(Inputs!$G$5:$G$110&lt;&gt;"acoes")))*INDEX(Inputs!$K$5:$AJ$110,0,MATCH(F$2,Inputs!$K$4:$AJ$4,0)))+SUMPRODUCT((Inputs!$E$5:$E$110=$B23)*Inputs!$F$5:$F$110*(((Inputs!$G$5:$G$110="moeda")+(Inputs!$G$5:$G$110="acoes"))*Inputs!$B$1+((Inputs!$G$5:$G$110&lt;&gt;"moeda")*(Inputs!$G$5:$G$110&lt;&gt;"acoes")))*INDEX(Inputs!$K$5:$AJ$110,0,MATCH(F$2,Inputs!$K$4:$AJ$4,0)))))</f>
        <v>0</v>
      </c>
      <c r="G23" s="6">
        <f>IF(ISNA(MATCH(G$2,Inputs!$K$4:$AJ$4,0)),NA(),IF(SUMPRODUCT((Inputs!$A$5:$A$110=$B23)*ISNUMBER(INDEX(Inputs!$K$5:$AJ$110,0,MATCH(G$2,Inputs!$K$4:$AJ$4,0))))+SUMPRODUCT((Inputs!$C$5:$C$110=$B23)*ISNUMBER(INDEX(Inputs!$K$5:$AJ$110,0,MATCH(G$2,Inputs!$K$4:$AJ$4,0))))+SUMPRODUCT((Inputs!$E$5:$E$110=$B23)*ISNUMBER(INDEX(Inputs!$K$5:$AJ$110,0,MATCH(G$2,Inputs!$K$4:$AJ$4,0))))=0,NA(),SUMPRODUCT((Inputs!$A$5:$A$110=$B23)*Inputs!$B$5:$B$110*(((Inputs!$G$5:$G$110="moeda")+(Inputs!$G$5:$G$110="acoes"))*Inputs!$B$1+((Inputs!$G$5:$G$110&lt;&gt;"moeda")*(Inputs!$G$5:$G$110&lt;&gt;"acoes")))*INDEX(Inputs!$K$5:$AJ$110,0,MATCH(G$2,Inputs!$K$4:$AJ$4,0)))+SUMPRODUCT((Inputs!$C$5:$C$110=$B23)*Inputs!$D$5:$D$110*(((Inputs!$G$5:$G$110="moeda")+(Inputs!$G$5:$G$110="acoes"))*Inputs!$B$1+((Inputs!$G$5:$G$110&lt;&gt;"moeda")*(Inputs!$G$5:$G$110&lt;&gt;"acoes")))*INDEX(Inputs!$K$5:$AJ$110,0,MATCH(G$2,Inputs!$K$4:$AJ$4,0)))+SUMPRODUCT((Inputs!$E$5:$E$110=$B23)*Inputs!$F$5:$F$110*(((Inputs!$G$5:$G$110="moeda")+(Inputs!$G$5:$G$110="acoes"))*Inputs!$B$1+((Inputs!$G$5:$G$110&lt;&gt;"moeda")*(Inputs!$G$5:$G$110&lt;&gt;"acoes")))*INDEX(Inputs!$K$5:$AJ$110,0,MATCH(G$2,Inputs!$K$4:$AJ$4,0)))))</f>
        <v>0</v>
      </c>
      <c r="H23" s="3">
        <f>G23</f>
        <v>0</v>
      </c>
      <c r="I23" s="6">
        <f>IF(ISNA(MATCH(I$2,Inputs!$K$4:$AJ$4,0)),NA(),IF(SUMPRODUCT((Inputs!$A$5:$A$110=$B23)*ISNUMBER(INDEX(Inputs!$K$5:$AJ$110,0,MATCH(I$2,Inputs!$K$4:$AJ$4,0))))+SUMPRODUCT((Inputs!$C$5:$C$110=$B23)*ISNUMBER(INDEX(Inputs!$K$5:$AJ$110,0,MATCH(I$2,Inputs!$K$4:$AJ$4,0))))+SUMPRODUCT((Inputs!$E$5:$E$110=$B23)*ISNUMBER(INDEX(Inputs!$K$5:$AJ$110,0,MATCH(I$2,Inputs!$K$4:$AJ$4,0))))=0,NA(),SUMPRODUCT((Inputs!$A$5:$A$110=$B23)*Inputs!$B$5:$B$110*(((Inputs!$G$5:$G$110="moeda")+(Inputs!$G$5:$G$110="acoes"))*Inputs!$B$1+((Inputs!$G$5:$G$110&lt;&gt;"moeda")*(Inputs!$G$5:$G$110&lt;&gt;"acoes")))*INDEX(Inputs!$K$5:$AJ$110,0,MATCH(I$2,Inputs!$K$4:$AJ$4,0)))+SUMPRODUCT((Inputs!$C$5:$C$110=$B23)*Inputs!$D$5:$D$110*(((Inputs!$G$5:$G$110="moeda")+(Inputs!$G$5:$G$110="acoes"))*Inputs!$B$1+((Inputs!$G$5:$G$110&lt;&gt;"moeda")*(Inputs!$G$5:$G$110&lt;&gt;"acoes")))*INDEX(Inputs!$K$5:$AJ$110,0,MATCH(I$2,Inputs!$K$4:$AJ$4,0)))+SUMPRODUCT((Inputs!$E$5:$E$110=$B23)*Inputs!$F$5:$F$110*(((Inputs!$G$5:$G$110="moeda")+(Inputs!$G$5:$G$110="acoes"))*Inputs!$B$1+((Inputs!$G$5:$G$110&lt;&gt;"moeda")*(Inputs!$G$5:$G$110&lt;&gt;"acoes")))*INDEX(Inputs!$K$5:$AJ$110,0,MATCH(I$2,Inputs!$K$4:$AJ$4,0)))))</f>
        <v>0</v>
      </c>
      <c r="J23" s="6">
        <f>IF(ISNA(MATCH(J$2,Inputs!$K$4:$AJ$4,0)),NA(),IF(SUMPRODUCT((Inputs!$A$5:$A$110=$B23)*ISNUMBER(INDEX(Inputs!$K$5:$AJ$110,0,MATCH(J$2,Inputs!$K$4:$AJ$4,0))))+SUMPRODUCT((Inputs!$C$5:$C$110=$B23)*ISNUMBER(INDEX(Inputs!$K$5:$AJ$110,0,MATCH(J$2,Inputs!$K$4:$AJ$4,0))))+SUMPRODUCT((Inputs!$E$5:$E$110=$B23)*ISNUMBER(INDEX(Inputs!$K$5:$AJ$110,0,MATCH(J$2,Inputs!$K$4:$AJ$4,0))))=0,NA(),SUMPRODUCT((Inputs!$A$5:$A$110=$B23)*Inputs!$B$5:$B$110*(((Inputs!$G$5:$G$110="moeda")+(Inputs!$G$5:$G$110="acoes"))*Inputs!$B$1+((Inputs!$G$5:$G$110&lt;&gt;"moeda")*(Inputs!$G$5:$G$110&lt;&gt;"acoes")))*INDEX(Inputs!$K$5:$AJ$110,0,MATCH(J$2,Inputs!$K$4:$AJ$4,0)))+SUMPRODUCT((Inputs!$C$5:$C$110=$B23)*Inputs!$D$5:$D$110*(((Inputs!$G$5:$G$110="moeda")+(Inputs!$G$5:$G$110="acoes"))*Inputs!$B$1+((Inputs!$G$5:$G$110&lt;&gt;"moeda")*(Inputs!$G$5:$G$110&lt;&gt;"acoes")))*INDEX(Inputs!$K$5:$AJ$110,0,MATCH(J$2,Inputs!$K$4:$AJ$4,0)))+SUMPRODUCT((Inputs!$E$5:$E$110=$B23)*Inputs!$F$5:$F$110*(((Inputs!$G$5:$G$110="moeda")+(Inputs!$G$5:$G$110="acoes"))*Inputs!$B$1+((Inputs!$G$5:$G$110&lt;&gt;"moeda")*(Inputs!$G$5:$G$110&lt;&gt;"acoes")))*INDEX(Inputs!$K$5:$AJ$110,0,MATCH(J$2,Inputs!$K$4:$AJ$4,0)))))</f>
        <v>0</v>
      </c>
      <c r="K23" s="6">
        <f>IF(ISNA(MATCH(K$2,Inputs!$K$4:$AJ$4,0)),NA(),IF(SUMPRODUCT((Inputs!$A$5:$A$110=$B23)*ISNUMBER(INDEX(Inputs!$K$5:$AJ$110,0,MATCH(K$2,Inputs!$K$4:$AJ$4,0))))+SUMPRODUCT((Inputs!$C$5:$C$110=$B23)*ISNUMBER(INDEX(Inputs!$K$5:$AJ$110,0,MATCH(K$2,Inputs!$K$4:$AJ$4,0))))+SUMPRODUCT((Inputs!$E$5:$E$110=$B23)*ISNUMBER(INDEX(Inputs!$K$5:$AJ$110,0,MATCH(K$2,Inputs!$K$4:$AJ$4,0))))=0,NA(),SUMPRODUCT((Inputs!$A$5:$A$110=$B23)*Inputs!$B$5:$B$110*(((Inputs!$G$5:$G$110="moeda")+(Inputs!$G$5:$G$110="acoes"))*Inputs!$B$1+((Inputs!$G$5:$G$110&lt;&gt;"moeda")*(Inputs!$G$5:$G$110&lt;&gt;"acoes")))*INDEX(Inputs!$K$5:$AJ$110,0,MATCH(K$2,Inputs!$K$4:$AJ$4,0)))+SUMPRODUCT((Inputs!$C$5:$C$110=$B23)*Inputs!$D$5:$D$110*(((Inputs!$G$5:$G$110="moeda")+(Inputs!$G$5:$G$110="acoes"))*Inputs!$B$1+((Inputs!$G$5:$G$110&lt;&gt;"moeda")*(Inputs!$G$5:$G$110&lt;&gt;"acoes")))*INDEX(Inputs!$K$5:$AJ$110,0,MATCH(K$2,Inputs!$K$4:$AJ$4,0)))+SUMPRODUCT((Inputs!$E$5:$E$110=$B23)*Inputs!$F$5:$F$110*(((Inputs!$G$5:$G$110="moeda")+(Inputs!$G$5:$G$110="acoes"))*Inputs!$B$1+((Inputs!$G$5:$G$110&lt;&gt;"moeda")*(Inputs!$G$5:$G$110&lt;&gt;"acoes")))*INDEX(Inputs!$K$5:$AJ$110,0,MATCH(K$2,Inputs!$K$4:$AJ$4,0)))))</f>
        <v>0</v>
      </c>
      <c r="L23" s="6">
        <f>IF(ISNA(MATCH(L$2,Inputs!$K$4:$AJ$4,0)),NA(),IF(SUMPRODUCT((Inputs!$A$5:$A$110=$B23)*ISNUMBER(INDEX(Inputs!$K$5:$AJ$110,0,MATCH(L$2,Inputs!$K$4:$AJ$4,0))))+SUMPRODUCT((Inputs!$C$5:$C$110=$B23)*ISNUMBER(INDEX(Inputs!$K$5:$AJ$110,0,MATCH(L$2,Inputs!$K$4:$AJ$4,0))))+SUMPRODUCT((Inputs!$E$5:$E$110=$B23)*ISNUMBER(INDEX(Inputs!$K$5:$AJ$110,0,MATCH(L$2,Inputs!$K$4:$AJ$4,0))))=0,NA(),SUMPRODUCT((Inputs!$A$5:$A$110=$B23)*Inputs!$B$5:$B$110*(((Inputs!$G$5:$G$110="moeda")+(Inputs!$G$5:$G$110="acoes"))*Inputs!$B$1+((Inputs!$G$5:$G$110&lt;&gt;"moeda")*(Inputs!$G$5:$G$110&lt;&gt;"acoes")))*INDEX(Inputs!$K$5:$AJ$110,0,MATCH(L$2,Inputs!$K$4:$AJ$4,0)))+SUMPRODUCT((Inputs!$C$5:$C$110=$B23)*Inputs!$D$5:$D$110*(((Inputs!$G$5:$G$110="moeda")+(Inputs!$G$5:$G$110="acoes"))*Inputs!$B$1+((Inputs!$G$5:$G$110&lt;&gt;"moeda")*(Inputs!$G$5:$G$110&lt;&gt;"acoes")))*INDEX(Inputs!$K$5:$AJ$110,0,MATCH(L$2,Inputs!$K$4:$AJ$4,0)))+SUMPRODUCT((Inputs!$E$5:$E$110=$B23)*Inputs!$F$5:$F$110*(((Inputs!$G$5:$G$110="moeda")+(Inputs!$G$5:$G$110="acoes"))*Inputs!$B$1+((Inputs!$G$5:$G$110&lt;&gt;"moeda")*(Inputs!$G$5:$G$110&lt;&gt;"acoes")))*INDEX(Inputs!$K$5:$AJ$110,0,MATCH(L$2,Inputs!$K$4:$AJ$4,0)))))</f>
        <v>0</v>
      </c>
      <c r="M23" s="3">
        <f>L23</f>
        <v>0</v>
      </c>
      <c r="N23" s="6">
        <f>IF(ISNA(MATCH(N$2,Inputs!$K$4:$AJ$4,0)),NA(),IF(SUMPRODUCT((Inputs!$A$5:$A$110=$B23)*ISNUMBER(INDEX(Inputs!$K$5:$AJ$110,0,MATCH(N$2,Inputs!$K$4:$AJ$4,0))))+SUMPRODUCT((Inputs!$C$5:$C$110=$B23)*ISNUMBER(INDEX(Inputs!$K$5:$AJ$110,0,MATCH(N$2,Inputs!$K$4:$AJ$4,0))))+SUMPRODUCT((Inputs!$E$5:$E$110=$B23)*ISNUMBER(INDEX(Inputs!$K$5:$AJ$110,0,MATCH(N$2,Inputs!$K$4:$AJ$4,0))))=0,NA(),SUMPRODUCT((Inputs!$A$5:$A$110=$B23)*Inputs!$B$5:$B$110*(((Inputs!$G$5:$G$110="moeda")+(Inputs!$G$5:$G$110="acoes"))*Inputs!$B$1+((Inputs!$G$5:$G$110&lt;&gt;"moeda")*(Inputs!$G$5:$G$110&lt;&gt;"acoes")))*INDEX(Inputs!$K$5:$AJ$110,0,MATCH(N$2,Inputs!$K$4:$AJ$4,0)))+SUMPRODUCT((Inputs!$C$5:$C$110=$B23)*Inputs!$D$5:$D$110*(((Inputs!$G$5:$G$110="moeda")+(Inputs!$G$5:$G$110="acoes"))*Inputs!$B$1+((Inputs!$G$5:$G$110&lt;&gt;"moeda")*(Inputs!$G$5:$G$110&lt;&gt;"acoes")))*INDEX(Inputs!$K$5:$AJ$110,0,MATCH(N$2,Inputs!$K$4:$AJ$4,0)))+SUMPRODUCT((Inputs!$E$5:$E$110=$B23)*Inputs!$F$5:$F$110*(((Inputs!$G$5:$G$110="moeda")+(Inputs!$G$5:$G$110="acoes"))*Inputs!$B$1+((Inputs!$G$5:$G$110&lt;&gt;"moeda")*(Inputs!$G$5:$G$110&lt;&gt;"acoes")))*INDEX(Inputs!$K$5:$AJ$110,0,MATCH(N$2,Inputs!$K$4:$AJ$4,0)))))</f>
        <v>0</v>
      </c>
      <c r="O23" s="6">
        <f>IF(ISNA(MATCH(O$2,Inputs!$K$4:$AJ$4,0)),NA(),IF(SUMPRODUCT((Inputs!$A$5:$A$110=$B23)*ISNUMBER(INDEX(Inputs!$K$5:$AJ$110,0,MATCH(O$2,Inputs!$K$4:$AJ$4,0))))+SUMPRODUCT((Inputs!$C$5:$C$110=$B23)*ISNUMBER(INDEX(Inputs!$K$5:$AJ$110,0,MATCH(O$2,Inputs!$K$4:$AJ$4,0))))+SUMPRODUCT((Inputs!$E$5:$E$110=$B23)*ISNUMBER(INDEX(Inputs!$K$5:$AJ$110,0,MATCH(O$2,Inputs!$K$4:$AJ$4,0))))=0,NA(),SUMPRODUCT((Inputs!$A$5:$A$110=$B23)*Inputs!$B$5:$B$110*(((Inputs!$G$5:$G$110="moeda")+(Inputs!$G$5:$G$110="acoes"))*Inputs!$B$1+((Inputs!$G$5:$G$110&lt;&gt;"moeda")*(Inputs!$G$5:$G$110&lt;&gt;"acoes")))*INDEX(Inputs!$K$5:$AJ$110,0,MATCH(O$2,Inputs!$K$4:$AJ$4,0)))+SUMPRODUCT((Inputs!$C$5:$C$110=$B23)*Inputs!$D$5:$D$110*(((Inputs!$G$5:$G$110="moeda")+(Inputs!$G$5:$G$110="acoes"))*Inputs!$B$1+((Inputs!$G$5:$G$110&lt;&gt;"moeda")*(Inputs!$G$5:$G$110&lt;&gt;"acoes")))*INDEX(Inputs!$K$5:$AJ$110,0,MATCH(O$2,Inputs!$K$4:$AJ$4,0)))+SUMPRODUCT((Inputs!$E$5:$E$110=$B23)*Inputs!$F$5:$F$110*(((Inputs!$G$5:$G$110="moeda")+(Inputs!$G$5:$G$110="acoes"))*Inputs!$B$1+((Inputs!$G$5:$G$110&lt;&gt;"moeda")*(Inputs!$G$5:$G$110&lt;&gt;"acoes")))*INDEX(Inputs!$K$5:$AJ$110,0,MATCH(O$2,Inputs!$K$4:$AJ$4,0)))))</f>
        <v>0</v>
      </c>
      <c r="P23" s="6">
        <f>IF(ISNA(MATCH(P$2,Inputs!$K$4:$AJ$4,0)),NA(),IF(SUMPRODUCT((Inputs!$A$5:$A$110=$B23)*ISNUMBER(INDEX(Inputs!$K$5:$AJ$110,0,MATCH(P$2,Inputs!$K$4:$AJ$4,0))))+SUMPRODUCT((Inputs!$C$5:$C$110=$B23)*ISNUMBER(INDEX(Inputs!$K$5:$AJ$110,0,MATCH(P$2,Inputs!$K$4:$AJ$4,0))))+SUMPRODUCT((Inputs!$E$5:$E$110=$B23)*ISNUMBER(INDEX(Inputs!$K$5:$AJ$110,0,MATCH(P$2,Inputs!$K$4:$AJ$4,0))))=0,NA(),SUMPRODUCT((Inputs!$A$5:$A$110=$B23)*Inputs!$B$5:$B$110*(((Inputs!$G$5:$G$110="moeda")+(Inputs!$G$5:$G$110="acoes"))*Inputs!$B$1+((Inputs!$G$5:$G$110&lt;&gt;"moeda")*(Inputs!$G$5:$G$110&lt;&gt;"acoes")))*INDEX(Inputs!$K$5:$AJ$110,0,MATCH(P$2,Inputs!$K$4:$AJ$4,0)))+SUMPRODUCT((Inputs!$C$5:$C$110=$B23)*Inputs!$D$5:$D$110*(((Inputs!$G$5:$G$110="moeda")+(Inputs!$G$5:$G$110="acoes"))*Inputs!$B$1+((Inputs!$G$5:$G$110&lt;&gt;"moeda")*(Inputs!$G$5:$G$110&lt;&gt;"acoes")))*INDEX(Inputs!$K$5:$AJ$110,0,MATCH(P$2,Inputs!$K$4:$AJ$4,0)))+SUMPRODUCT((Inputs!$E$5:$E$110=$B23)*Inputs!$F$5:$F$110*(((Inputs!$G$5:$G$110="moeda")+(Inputs!$G$5:$G$110="acoes"))*Inputs!$B$1+((Inputs!$G$5:$G$110&lt;&gt;"moeda")*(Inputs!$G$5:$G$110&lt;&gt;"acoes")))*INDEX(Inputs!$K$5:$AJ$110,0,MATCH(P$2,Inputs!$K$4:$AJ$4,0)))))</f>
        <v>0</v>
      </c>
      <c r="Q23" s="6">
        <f>IF(ISNA(MATCH(Q$2,Inputs!$K$4:$AJ$4,0)),NA(),IF(SUMPRODUCT((Inputs!$A$5:$A$110=$B23)*ISNUMBER(INDEX(Inputs!$K$5:$AJ$110,0,MATCH(Q$2,Inputs!$K$4:$AJ$4,0))))+SUMPRODUCT((Inputs!$C$5:$C$110=$B23)*ISNUMBER(INDEX(Inputs!$K$5:$AJ$110,0,MATCH(Q$2,Inputs!$K$4:$AJ$4,0))))+SUMPRODUCT((Inputs!$E$5:$E$110=$B23)*ISNUMBER(INDEX(Inputs!$K$5:$AJ$110,0,MATCH(Q$2,Inputs!$K$4:$AJ$4,0))))=0,NA(),SUMPRODUCT((Inputs!$A$5:$A$110=$B23)*Inputs!$B$5:$B$110*(((Inputs!$G$5:$G$110="moeda")+(Inputs!$G$5:$G$110="acoes"))*Inputs!$B$1+((Inputs!$G$5:$G$110&lt;&gt;"moeda")*(Inputs!$G$5:$G$110&lt;&gt;"acoes")))*INDEX(Inputs!$K$5:$AJ$110,0,MATCH(Q$2,Inputs!$K$4:$AJ$4,0)))+SUMPRODUCT((Inputs!$C$5:$C$110=$B23)*Inputs!$D$5:$D$110*(((Inputs!$G$5:$G$110="moeda")+(Inputs!$G$5:$G$110="acoes"))*Inputs!$B$1+((Inputs!$G$5:$G$110&lt;&gt;"moeda")*(Inputs!$G$5:$G$110&lt;&gt;"acoes")))*INDEX(Inputs!$K$5:$AJ$110,0,MATCH(Q$2,Inputs!$K$4:$AJ$4,0)))+SUMPRODUCT((Inputs!$E$5:$E$110=$B23)*Inputs!$F$5:$F$110*(((Inputs!$G$5:$G$110="moeda")+(Inputs!$G$5:$G$110="acoes"))*Inputs!$B$1+((Inputs!$G$5:$G$110&lt;&gt;"moeda")*(Inputs!$G$5:$G$110&lt;&gt;"acoes")))*INDEX(Inputs!$K$5:$AJ$110,0,MATCH(Q$2,Inputs!$K$4:$AJ$4,0)))))</f>
        <v>0</v>
      </c>
      <c r="R23" s="3">
        <f>Q23</f>
        <v>0</v>
      </c>
      <c r="S23" s="6">
        <f>IF(ISNA(MATCH(S$2,Inputs!$K$4:$AJ$4,0)),NA(),IF(SUMPRODUCT((Inputs!$A$5:$A$110=$B23)*ISNUMBER(INDEX(Inputs!$K$5:$AJ$110,0,MATCH(S$2,Inputs!$K$4:$AJ$4,0))))+SUMPRODUCT((Inputs!$C$5:$C$110=$B23)*ISNUMBER(INDEX(Inputs!$K$5:$AJ$110,0,MATCH(S$2,Inputs!$K$4:$AJ$4,0))))+SUMPRODUCT((Inputs!$E$5:$E$110=$B23)*ISNUMBER(INDEX(Inputs!$K$5:$AJ$110,0,MATCH(S$2,Inputs!$K$4:$AJ$4,0))))=0,NA(),SUMPRODUCT((Inputs!$A$5:$A$110=$B23)*Inputs!$B$5:$B$110*(((Inputs!$G$5:$G$110="moeda")+(Inputs!$G$5:$G$110="acoes"))*Inputs!$B$1+((Inputs!$G$5:$G$110&lt;&gt;"moeda")*(Inputs!$G$5:$G$110&lt;&gt;"acoes")))*INDEX(Inputs!$K$5:$AJ$110,0,MATCH(S$2,Inputs!$K$4:$AJ$4,0)))+SUMPRODUCT((Inputs!$C$5:$C$110=$B23)*Inputs!$D$5:$D$110*(((Inputs!$G$5:$G$110="moeda")+(Inputs!$G$5:$G$110="acoes"))*Inputs!$B$1+((Inputs!$G$5:$G$110&lt;&gt;"moeda")*(Inputs!$G$5:$G$110&lt;&gt;"acoes")))*INDEX(Inputs!$K$5:$AJ$110,0,MATCH(S$2,Inputs!$K$4:$AJ$4,0)))+SUMPRODUCT((Inputs!$E$5:$E$110=$B23)*Inputs!$F$5:$F$110*(((Inputs!$G$5:$G$110="moeda")+(Inputs!$G$5:$G$110="acoes"))*Inputs!$B$1+((Inputs!$G$5:$G$110&lt;&gt;"moeda")*(Inputs!$G$5:$G$110&lt;&gt;"acoes")))*INDEX(Inputs!$K$5:$AJ$110,0,MATCH(S$2,Inputs!$K$4:$AJ$4,0)))))</f>
        <v>0</v>
      </c>
      <c r="T23" s="6">
        <f>IF(ISNA(MATCH(T$2,Inputs!$K$4:$AJ$4,0)),NA(),IF(SUMPRODUCT((Inputs!$A$5:$A$110=$B23)*ISNUMBER(INDEX(Inputs!$K$5:$AJ$110,0,MATCH(T$2,Inputs!$K$4:$AJ$4,0))))+SUMPRODUCT((Inputs!$C$5:$C$110=$B23)*ISNUMBER(INDEX(Inputs!$K$5:$AJ$110,0,MATCH(T$2,Inputs!$K$4:$AJ$4,0))))+SUMPRODUCT((Inputs!$E$5:$E$110=$B23)*ISNUMBER(INDEX(Inputs!$K$5:$AJ$110,0,MATCH(T$2,Inputs!$K$4:$AJ$4,0))))=0,NA(),SUMPRODUCT((Inputs!$A$5:$A$110=$B23)*Inputs!$B$5:$B$110*(((Inputs!$G$5:$G$110="moeda")+(Inputs!$G$5:$G$110="acoes"))*Inputs!$B$1+((Inputs!$G$5:$G$110&lt;&gt;"moeda")*(Inputs!$G$5:$G$110&lt;&gt;"acoes")))*INDEX(Inputs!$K$5:$AJ$110,0,MATCH(T$2,Inputs!$K$4:$AJ$4,0)))+SUMPRODUCT((Inputs!$C$5:$C$110=$B23)*Inputs!$D$5:$D$110*(((Inputs!$G$5:$G$110="moeda")+(Inputs!$G$5:$G$110="acoes"))*Inputs!$B$1+((Inputs!$G$5:$G$110&lt;&gt;"moeda")*(Inputs!$G$5:$G$110&lt;&gt;"acoes")))*INDEX(Inputs!$K$5:$AJ$110,0,MATCH(T$2,Inputs!$K$4:$AJ$4,0)))+SUMPRODUCT((Inputs!$E$5:$E$110=$B23)*Inputs!$F$5:$F$110*(((Inputs!$G$5:$G$110="moeda")+(Inputs!$G$5:$G$110="acoes"))*Inputs!$B$1+((Inputs!$G$5:$G$110&lt;&gt;"moeda")*(Inputs!$G$5:$G$110&lt;&gt;"acoes")))*INDEX(Inputs!$K$5:$AJ$110,0,MATCH(T$2,Inputs!$K$4:$AJ$4,0)))))</f>
        <v>0</v>
      </c>
      <c r="U23" s="6">
        <f>IF(ISNA(MATCH(U$2,Inputs!$K$4:$AJ$4,0)),NA(),IF(SUMPRODUCT((Inputs!$A$5:$A$110=$B23)*ISNUMBER(INDEX(Inputs!$K$5:$AJ$110,0,MATCH(U$2,Inputs!$K$4:$AJ$4,0))))+SUMPRODUCT((Inputs!$C$5:$C$110=$B23)*ISNUMBER(INDEX(Inputs!$K$5:$AJ$110,0,MATCH(U$2,Inputs!$K$4:$AJ$4,0))))+SUMPRODUCT((Inputs!$E$5:$E$110=$B23)*ISNUMBER(INDEX(Inputs!$K$5:$AJ$110,0,MATCH(U$2,Inputs!$K$4:$AJ$4,0))))=0,NA(),SUMPRODUCT((Inputs!$A$5:$A$110=$B23)*Inputs!$B$5:$B$110*(((Inputs!$G$5:$G$110="moeda")+(Inputs!$G$5:$G$110="acoes"))*Inputs!$B$1+((Inputs!$G$5:$G$110&lt;&gt;"moeda")*(Inputs!$G$5:$G$110&lt;&gt;"acoes")))*INDEX(Inputs!$K$5:$AJ$110,0,MATCH(U$2,Inputs!$K$4:$AJ$4,0)))+SUMPRODUCT((Inputs!$C$5:$C$110=$B23)*Inputs!$D$5:$D$110*(((Inputs!$G$5:$G$110="moeda")+(Inputs!$G$5:$G$110="acoes"))*Inputs!$B$1+((Inputs!$G$5:$G$110&lt;&gt;"moeda")*(Inputs!$G$5:$G$110&lt;&gt;"acoes")))*INDEX(Inputs!$K$5:$AJ$110,0,MATCH(U$2,Inputs!$K$4:$AJ$4,0)))+SUMPRODUCT((Inputs!$E$5:$E$110=$B23)*Inputs!$F$5:$F$110*(((Inputs!$G$5:$G$110="moeda")+(Inputs!$G$5:$G$110="acoes"))*Inputs!$B$1+((Inputs!$G$5:$G$110&lt;&gt;"moeda")*(Inputs!$G$5:$G$110&lt;&gt;"acoes")))*INDEX(Inputs!$K$5:$AJ$110,0,MATCH(U$2,Inputs!$K$4:$AJ$4,0)))))</f>
        <v>0</v>
      </c>
      <c r="V23" s="6">
        <f>IF(ISNA(MATCH(V$2,Inputs!$K$4:$AJ$4,0)),NA(),IF(SUMPRODUCT((Inputs!$A$5:$A$110=$B23)*ISNUMBER(INDEX(Inputs!$K$5:$AJ$110,0,MATCH(V$2,Inputs!$K$4:$AJ$4,0))))+SUMPRODUCT((Inputs!$C$5:$C$110=$B23)*ISNUMBER(INDEX(Inputs!$K$5:$AJ$110,0,MATCH(V$2,Inputs!$K$4:$AJ$4,0))))+SUMPRODUCT((Inputs!$E$5:$E$110=$B23)*ISNUMBER(INDEX(Inputs!$K$5:$AJ$110,0,MATCH(V$2,Inputs!$K$4:$AJ$4,0))))=0,NA(),SUMPRODUCT((Inputs!$A$5:$A$110=$B23)*Inputs!$B$5:$B$110*(((Inputs!$G$5:$G$110="moeda")+(Inputs!$G$5:$G$110="acoes"))*Inputs!$B$1+((Inputs!$G$5:$G$110&lt;&gt;"moeda")*(Inputs!$G$5:$G$110&lt;&gt;"acoes")))*INDEX(Inputs!$K$5:$AJ$110,0,MATCH(V$2,Inputs!$K$4:$AJ$4,0)))+SUMPRODUCT((Inputs!$C$5:$C$110=$B23)*Inputs!$D$5:$D$110*(((Inputs!$G$5:$G$110="moeda")+(Inputs!$G$5:$G$110="acoes"))*Inputs!$B$1+((Inputs!$G$5:$G$110&lt;&gt;"moeda")*(Inputs!$G$5:$G$110&lt;&gt;"acoes")))*INDEX(Inputs!$K$5:$AJ$110,0,MATCH(V$2,Inputs!$K$4:$AJ$4,0)))+SUMPRODUCT((Inputs!$E$5:$E$110=$B23)*Inputs!$F$5:$F$110*(((Inputs!$G$5:$G$110="moeda")+(Inputs!$G$5:$G$110="acoes"))*Inputs!$B$1+((Inputs!$G$5:$G$110&lt;&gt;"moeda")*(Inputs!$G$5:$G$110&lt;&gt;"acoes")))*INDEX(Inputs!$K$5:$AJ$110,0,MATCH(V$2,Inputs!$K$4:$AJ$4,0)))))</f>
        <v>0</v>
      </c>
      <c r="W23" s="3">
        <f>V23</f>
        <v>0</v>
      </c>
      <c r="X23" s="6">
        <f>IF(ISNA(MATCH(X$2,Inputs!$K$4:$AJ$4,0)),NA(),IF(SUMPRODUCT((Inputs!$A$5:$A$110=$B23)*ISNUMBER(INDEX(Inputs!$K$5:$AJ$110,0,MATCH(X$2,Inputs!$K$4:$AJ$4,0))))+SUMPRODUCT((Inputs!$C$5:$C$110=$B23)*ISNUMBER(INDEX(Inputs!$K$5:$AJ$110,0,MATCH(X$2,Inputs!$K$4:$AJ$4,0))))+SUMPRODUCT((Inputs!$E$5:$E$110=$B23)*ISNUMBER(INDEX(Inputs!$K$5:$AJ$110,0,MATCH(X$2,Inputs!$K$4:$AJ$4,0))))=0,NA(),SUMPRODUCT((Inputs!$A$5:$A$110=$B23)*Inputs!$B$5:$B$110*(((Inputs!$G$5:$G$110="moeda")+(Inputs!$G$5:$G$110="acoes"))*Inputs!$B$1+((Inputs!$G$5:$G$110&lt;&gt;"moeda")*(Inputs!$G$5:$G$110&lt;&gt;"acoes")))*INDEX(Inputs!$K$5:$AJ$110,0,MATCH(X$2,Inputs!$K$4:$AJ$4,0)))+SUMPRODUCT((Inputs!$C$5:$C$110=$B23)*Inputs!$D$5:$D$110*(((Inputs!$G$5:$G$110="moeda")+(Inputs!$G$5:$G$110="acoes"))*Inputs!$B$1+((Inputs!$G$5:$G$110&lt;&gt;"moeda")*(Inputs!$G$5:$G$110&lt;&gt;"acoes")))*INDEX(Inputs!$K$5:$AJ$110,0,MATCH(X$2,Inputs!$K$4:$AJ$4,0)))+SUMPRODUCT((Inputs!$E$5:$E$110=$B23)*Inputs!$F$5:$F$110*(((Inputs!$G$5:$G$110="moeda")+(Inputs!$G$5:$G$110="acoes"))*Inputs!$B$1+((Inputs!$G$5:$G$110&lt;&gt;"moeda")*(Inputs!$G$5:$G$110&lt;&gt;"acoes")))*INDEX(Inputs!$K$5:$AJ$110,0,MATCH(X$2,Inputs!$K$4:$AJ$4,0)))))</f>
        <v>0</v>
      </c>
      <c r="Y23" s="6">
        <f>IF(ISNA(MATCH(Y$2,Inputs!$K$4:$AJ$4,0)),NA(),IF(SUMPRODUCT((Inputs!$A$5:$A$110=$B23)*ISNUMBER(INDEX(Inputs!$K$5:$AJ$110,0,MATCH(Y$2,Inputs!$K$4:$AJ$4,0))))+SUMPRODUCT((Inputs!$C$5:$C$110=$B23)*ISNUMBER(INDEX(Inputs!$K$5:$AJ$110,0,MATCH(Y$2,Inputs!$K$4:$AJ$4,0))))+SUMPRODUCT((Inputs!$E$5:$E$110=$B23)*ISNUMBER(INDEX(Inputs!$K$5:$AJ$110,0,MATCH(Y$2,Inputs!$K$4:$AJ$4,0))))=0,NA(),SUMPRODUCT((Inputs!$A$5:$A$110=$B23)*Inputs!$B$5:$B$110*(((Inputs!$G$5:$G$110="moeda")+(Inputs!$G$5:$G$110="acoes"))*Inputs!$B$1+((Inputs!$G$5:$G$110&lt;&gt;"moeda")*(Inputs!$G$5:$G$110&lt;&gt;"acoes")))*INDEX(Inputs!$K$5:$AJ$110,0,MATCH(Y$2,Inputs!$K$4:$AJ$4,0)))+SUMPRODUCT((Inputs!$C$5:$C$110=$B23)*Inputs!$D$5:$D$110*(((Inputs!$G$5:$G$110="moeda")+(Inputs!$G$5:$G$110="acoes"))*Inputs!$B$1+((Inputs!$G$5:$G$110&lt;&gt;"moeda")*(Inputs!$G$5:$G$110&lt;&gt;"acoes")))*INDEX(Inputs!$K$5:$AJ$110,0,MATCH(Y$2,Inputs!$K$4:$AJ$4,0)))+SUMPRODUCT((Inputs!$E$5:$E$110=$B23)*Inputs!$F$5:$F$110*(((Inputs!$G$5:$G$110="moeda")+(Inputs!$G$5:$G$110="acoes"))*Inputs!$B$1+((Inputs!$G$5:$G$110&lt;&gt;"moeda")*(Inputs!$G$5:$G$110&lt;&gt;"acoes")))*INDEX(Inputs!$K$5:$AJ$110,0,MATCH(Y$2,Inputs!$K$4:$AJ$4,0)))))</f>
        <v>0</v>
      </c>
      <c r="Z23" s="6">
        <f>IF(ISNA(MATCH(Z$2,Inputs!$K$4:$AJ$4,0)),NA(),IF(SUMPRODUCT((Inputs!$A$5:$A$110=$B23)*ISNUMBER(INDEX(Inputs!$K$5:$AJ$110,0,MATCH(Z$2,Inputs!$K$4:$AJ$4,0))))+SUMPRODUCT((Inputs!$C$5:$C$110=$B23)*ISNUMBER(INDEX(Inputs!$K$5:$AJ$110,0,MATCH(Z$2,Inputs!$K$4:$AJ$4,0))))+SUMPRODUCT((Inputs!$E$5:$E$110=$B23)*ISNUMBER(INDEX(Inputs!$K$5:$AJ$110,0,MATCH(Z$2,Inputs!$K$4:$AJ$4,0))))=0,NA(),SUMPRODUCT((Inputs!$A$5:$A$110=$B23)*Inputs!$B$5:$B$110*(((Inputs!$G$5:$G$110="moeda")+(Inputs!$G$5:$G$110="acoes"))*Inputs!$B$1+((Inputs!$G$5:$G$110&lt;&gt;"moeda")*(Inputs!$G$5:$G$110&lt;&gt;"acoes")))*INDEX(Inputs!$K$5:$AJ$110,0,MATCH(Z$2,Inputs!$K$4:$AJ$4,0)))+SUMPRODUCT((Inputs!$C$5:$C$110=$B23)*Inputs!$D$5:$D$110*(((Inputs!$G$5:$G$110="moeda")+(Inputs!$G$5:$G$110="acoes"))*Inputs!$B$1+((Inputs!$G$5:$G$110&lt;&gt;"moeda")*(Inputs!$G$5:$G$110&lt;&gt;"acoes")))*INDEX(Inputs!$K$5:$AJ$110,0,MATCH(Z$2,Inputs!$K$4:$AJ$4,0)))+SUMPRODUCT((Inputs!$E$5:$E$110=$B23)*Inputs!$F$5:$F$110*(((Inputs!$G$5:$G$110="moeda")+(Inputs!$G$5:$G$110="acoes"))*Inputs!$B$1+((Inputs!$G$5:$G$110&lt;&gt;"moeda")*(Inputs!$G$5:$G$110&lt;&gt;"acoes")))*INDEX(Inputs!$K$5:$AJ$110,0,MATCH(Z$2,Inputs!$K$4:$AJ$4,0)))))</f>
        <v>0</v>
      </c>
      <c r="AA23" s="6">
        <f>IF(ISNA(MATCH(AA$2,Inputs!$K$4:$AJ$4,0)),NA(),IF(SUMPRODUCT((Inputs!$A$5:$A$110=$B23)*ISNUMBER(INDEX(Inputs!$K$5:$AJ$110,0,MATCH(AA$2,Inputs!$K$4:$AJ$4,0))))+SUMPRODUCT((Inputs!$C$5:$C$110=$B23)*ISNUMBER(INDEX(Inputs!$K$5:$AJ$110,0,MATCH(AA$2,Inputs!$K$4:$AJ$4,0))))+SUMPRODUCT((Inputs!$E$5:$E$110=$B23)*ISNUMBER(INDEX(Inputs!$K$5:$AJ$110,0,MATCH(AA$2,Inputs!$K$4:$AJ$4,0))))=0,NA(),SUMPRODUCT((Inputs!$A$5:$A$110=$B23)*Inputs!$B$5:$B$110*(((Inputs!$G$5:$G$110="moeda")+(Inputs!$G$5:$G$110="acoes"))*Inputs!$B$1+((Inputs!$G$5:$G$110&lt;&gt;"moeda")*(Inputs!$G$5:$G$110&lt;&gt;"acoes")))*INDEX(Inputs!$K$5:$AJ$110,0,MATCH(AA$2,Inputs!$K$4:$AJ$4,0)))+SUMPRODUCT((Inputs!$C$5:$C$110=$B23)*Inputs!$D$5:$D$110*(((Inputs!$G$5:$G$110="moeda")+(Inputs!$G$5:$G$110="acoes"))*Inputs!$B$1+((Inputs!$G$5:$G$110&lt;&gt;"moeda")*(Inputs!$G$5:$G$110&lt;&gt;"acoes")))*INDEX(Inputs!$K$5:$AJ$110,0,MATCH(AA$2,Inputs!$K$4:$AJ$4,0)))+SUMPRODUCT((Inputs!$E$5:$E$110=$B23)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23" s="3">
        <f>AA23</f>
        <v>0</v>
      </c>
      <c r="AC23" s="6">
        <f>IF(ISNA(MATCH(AC$2,Inputs!$K$4:$AJ$4,0)),NA(),IF(SUMPRODUCT((Inputs!$A$5:$A$110=$B23)*ISNUMBER(INDEX(Inputs!$K$5:$AJ$110,0,MATCH(AC$2,Inputs!$K$4:$AJ$4,0))))+SUMPRODUCT((Inputs!$C$5:$C$110=$B23)*ISNUMBER(INDEX(Inputs!$K$5:$AJ$110,0,MATCH(AC$2,Inputs!$K$4:$AJ$4,0))))+SUMPRODUCT((Inputs!$E$5:$E$110=$B23)*ISNUMBER(INDEX(Inputs!$K$5:$AJ$110,0,MATCH(AC$2,Inputs!$K$4:$AJ$4,0))))=0,NA(),SUMPRODUCT((Inputs!$A$5:$A$110=$B23)*Inputs!$B$5:$B$110*(((Inputs!$G$5:$G$110="moeda")+(Inputs!$G$5:$G$110="acoes"))*Inputs!$B$1+((Inputs!$G$5:$G$110&lt;&gt;"moeda")*(Inputs!$G$5:$G$110&lt;&gt;"acoes")))*INDEX(Inputs!$K$5:$AJ$110,0,MATCH(AC$2,Inputs!$K$4:$AJ$4,0)))+SUMPRODUCT((Inputs!$C$5:$C$110=$B23)*Inputs!$D$5:$D$110*(((Inputs!$G$5:$G$110="moeda")+(Inputs!$G$5:$G$110="acoes"))*Inputs!$B$1+((Inputs!$G$5:$G$110&lt;&gt;"moeda")*(Inputs!$G$5:$G$110&lt;&gt;"acoes")))*INDEX(Inputs!$K$5:$AJ$110,0,MATCH(AC$2,Inputs!$K$4:$AJ$4,0)))+SUMPRODUCT((Inputs!$E$5:$E$110=$B23)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23" s="6">
        <f>IF(ISNA(MATCH(AD$2,Inputs!$K$4:$AJ$4,0)),NA(),IF(SUMPRODUCT((Inputs!$A$5:$A$110=$B23)*ISNUMBER(INDEX(Inputs!$K$5:$AJ$110,0,MATCH(AD$2,Inputs!$K$4:$AJ$4,0))))+SUMPRODUCT((Inputs!$C$5:$C$110=$B23)*ISNUMBER(INDEX(Inputs!$K$5:$AJ$110,0,MATCH(AD$2,Inputs!$K$4:$AJ$4,0))))+SUMPRODUCT((Inputs!$E$5:$E$110=$B23)*ISNUMBER(INDEX(Inputs!$K$5:$AJ$110,0,MATCH(AD$2,Inputs!$K$4:$AJ$4,0))))=0,NA(),SUMPRODUCT((Inputs!$A$5:$A$110=$B23)*Inputs!$B$5:$B$110*(((Inputs!$G$5:$G$110="moeda")+(Inputs!$G$5:$G$110="acoes"))*Inputs!$B$1+((Inputs!$G$5:$G$110&lt;&gt;"moeda")*(Inputs!$G$5:$G$110&lt;&gt;"acoes")))*INDEX(Inputs!$K$5:$AJ$110,0,MATCH(AD$2,Inputs!$K$4:$AJ$4,0)))+SUMPRODUCT((Inputs!$C$5:$C$110=$B23)*Inputs!$D$5:$D$110*(((Inputs!$G$5:$G$110="moeda")+(Inputs!$G$5:$G$110="acoes"))*Inputs!$B$1+((Inputs!$G$5:$G$110&lt;&gt;"moeda")*(Inputs!$G$5:$G$110&lt;&gt;"acoes")))*INDEX(Inputs!$K$5:$AJ$110,0,MATCH(AD$2,Inputs!$K$4:$AJ$4,0)))+SUMPRODUCT((Inputs!$E$5:$E$110=$B23)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23" s="6" t="e">
        <f>IF(ISNA(MATCH(AE$2,Inputs!$K$4:$AJ$4,0)),NA(),IF(SUMPRODUCT((Inputs!$A$5:$A$110=$B23)*ISNUMBER(INDEX(Inputs!$K$5:$AJ$110,0,MATCH(AE$2,Inputs!$K$4:$AJ$4,0))))+SUMPRODUCT((Inputs!$C$5:$C$110=$B23)*ISNUMBER(INDEX(Inputs!$K$5:$AJ$110,0,MATCH(AE$2,Inputs!$K$4:$AJ$4,0))))+SUMPRODUCT((Inputs!$E$5:$E$110=$B23)*ISNUMBER(INDEX(Inputs!$K$5:$AJ$110,0,MATCH(AE$2,Inputs!$K$4:$AJ$4,0))))=0,NA(),SUMPRODUCT((Inputs!$A$5:$A$110=$B23)*Inputs!$B$5:$B$110*(((Inputs!$G$5:$G$110="moeda")+(Inputs!$G$5:$G$110="acoes"))*Inputs!$B$1+((Inputs!$G$5:$G$110&lt;&gt;"moeda")*(Inputs!$G$5:$G$110&lt;&gt;"acoes")))*INDEX(Inputs!$K$5:$AJ$110,0,MATCH(AE$2,Inputs!$K$4:$AJ$4,0)))+SUMPRODUCT((Inputs!$C$5:$C$110=$B23)*Inputs!$D$5:$D$110*(((Inputs!$G$5:$G$110="moeda")+(Inputs!$G$5:$G$110="acoes"))*Inputs!$B$1+((Inputs!$G$5:$G$110&lt;&gt;"moeda")*(Inputs!$G$5:$G$110&lt;&gt;"acoes")))*INDEX(Inputs!$K$5:$AJ$110,0,MATCH(AE$2,Inputs!$K$4:$AJ$4,0)))+SUMPRODUCT((Inputs!$E$5:$E$110=$B23)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3" s="6" t="e">
        <f>IF(ISNA(MATCH(AF$2,Inputs!$K$4:$AJ$4,0)),NA(),IF(SUMPRODUCT((Inputs!$A$5:$A$110=$B23)*ISNUMBER(INDEX(Inputs!$K$5:$AJ$110,0,MATCH(AF$2,Inputs!$K$4:$AJ$4,0))))+SUMPRODUCT((Inputs!$C$5:$C$110=$B23)*ISNUMBER(INDEX(Inputs!$K$5:$AJ$110,0,MATCH(AF$2,Inputs!$K$4:$AJ$4,0))))+SUMPRODUCT((Inputs!$E$5:$E$110=$B23)*ISNUMBER(INDEX(Inputs!$K$5:$AJ$110,0,MATCH(AF$2,Inputs!$K$4:$AJ$4,0))))=0,NA(),SUMPRODUCT((Inputs!$A$5:$A$110=$B23)*Inputs!$B$5:$B$110*(((Inputs!$G$5:$G$110="moeda")+(Inputs!$G$5:$G$110="acoes"))*Inputs!$B$1+((Inputs!$G$5:$G$110&lt;&gt;"moeda")*(Inputs!$G$5:$G$110&lt;&gt;"acoes")))*INDEX(Inputs!$K$5:$AJ$110,0,MATCH(AF$2,Inputs!$K$4:$AJ$4,0)))+SUMPRODUCT((Inputs!$C$5:$C$110=$B23)*Inputs!$D$5:$D$110*(((Inputs!$G$5:$G$110="moeda")+(Inputs!$G$5:$G$110="acoes"))*Inputs!$B$1+((Inputs!$G$5:$G$110&lt;&gt;"moeda")*(Inputs!$G$5:$G$110&lt;&gt;"acoes")))*INDEX(Inputs!$K$5:$AJ$110,0,MATCH(AF$2,Inputs!$K$4:$AJ$4,0)))+SUMPRODUCT((Inputs!$E$5:$E$110=$B23)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3" s="3" t="e">
        <f>AF23</f>
        <v>#N/A</v>
      </c>
      <c r="AH23" s="6">
        <f>IF(ISNA(MATCH(AH$2,Inputs!$K$4:$AJ$4,0)),NA(),IF(SUMPRODUCT((Inputs!$A$5:$A$110=$B23)*ISNUMBER(INDEX(Inputs!$K$5:$AJ$110,0,MATCH(AH$2,Inputs!$K$4:$AJ$4,0))))+SUMPRODUCT((Inputs!$C$5:$C$110=$B23)*ISNUMBER(INDEX(Inputs!$K$5:$AJ$110,0,MATCH(AH$2,Inputs!$K$4:$AJ$4,0))))+SUMPRODUCT((Inputs!$E$5:$E$110=$B23)*ISNUMBER(INDEX(Inputs!$K$5:$AJ$110,0,MATCH(AH$2,Inputs!$K$4:$AJ$4,0))))=0,NA(),SUMPRODUCT((Inputs!$A$5:$A$110=$B23)*Inputs!$B$5:$B$110*(((Inputs!$G$5:$G$110="moeda")+(Inputs!$G$5:$G$110="acoes"))*Inputs!$B$1+((Inputs!$G$5:$G$110&lt;&gt;"moeda")*(Inputs!$G$5:$G$110&lt;&gt;"acoes")))*INDEX(Inputs!$K$5:$AJ$110,0,MATCH(AH$2,Inputs!$K$4:$AJ$4,0)))+SUMPRODUCT((Inputs!$C$5:$C$110=$B23)*Inputs!$D$5:$D$110*(((Inputs!$G$5:$G$110="moeda")+(Inputs!$G$5:$G$110="acoes"))*Inputs!$B$1+((Inputs!$G$5:$G$110&lt;&gt;"moeda")*(Inputs!$G$5:$G$110&lt;&gt;"acoes")))*INDEX(Inputs!$K$5:$AJ$110,0,MATCH(AH$2,Inputs!$K$4:$AJ$4,0)))+SUMPRODUCT((Inputs!$E$5:$E$110=$B23)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23" s="6">
        <f>IF(ISNA(MATCH(AI$2,Inputs!$K$4:$AJ$4,0)),NA(),IF(SUMPRODUCT((Inputs!$A$5:$A$110=$B23)*ISNUMBER(INDEX(Inputs!$K$5:$AJ$110,0,MATCH(AI$2,Inputs!$K$4:$AJ$4,0))))+SUMPRODUCT((Inputs!$C$5:$C$110=$B23)*ISNUMBER(INDEX(Inputs!$K$5:$AJ$110,0,MATCH(AI$2,Inputs!$K$4:$AJ$4,0))))+SUMPRODUCT((Inputs!$E$5:$E$110=$B23)*ISNUMBER(INDEX(Inputs!$K$5:$AJ$110,0,MATCH(AI$2,Inputs!$K$4:$AJ$4,0))))=0,NA(),SUMPRODUCT((Inputs!$A$5:$A$110=$B23)*Inputs!$B$5:$B$110*(((Inputs!$G$5:$G$110="moeda")+(Inputs!$G$5:$G$110="acoes"))*Inputs!$B$1+((Inputs!$G$5:$G$110&lt;&gt;"moeda")*(Inputs!$G$5:$G$110&lt;&gt;"acoes")))*INDEX(Inputs!$K$5:$AJ$110,0,MATCH(AI$2,Inputs!$K$4:$AJ$4,0)))+SUMPRODUCT((Inputs!$C$5:$C$110=$B23)*Inputs!$D$5:$D$110*(((Inputs!$G$5:$G$110="moeda")+(Inputs!$G$5:$G$110="acoes"))*Inputs!$B$1+((Inputs!$G$5:$G$110&lt;&gt;"moeda")*(Inputs!$G$5:$G$110&lt;&gt;"acoes")))*INDEX(Inputs!$K$5:$AJ$110,0,MATCH(AI$2,Inputs!$K$4:$AJ$4,0)))+SUMPRODUCT((Inputs!$E$5:$E$110=$B23)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23" s="6">
        <f>IF(ISNA(MATCH(AJ$2,Inputs!$K$4:$AJ$4,0)),NA(),IF(SUMPRODUCT((Inputs!$A$5:$A$110=$B23)*ISNUMBER(INDEX(Inputs!$K$5:$AJ$110,0,MATCH(AJ$2,Inputs!$K$4:$AJ$4,0))))+SUMPRODUCT((Inputs!$C$5:$C$110=$B23)*ISNUMBER(INDEX(Inputs!$K$5:$AJ$110,0,MATCH(AJ$2,Inputs!$K$4:$AJ$4,0))))+SUMPRODUCT((Inputs!$E$5:$E$110=$B23)*ISNUMBER(INDEX(Inputs!$K$5:$AJ$110,0,MATCH(AJ$2,Inputs!$K$4:$AJ$4,0))))=0,NA(),SUMPRODUCT((Inputs!$A$5:$A$110=$B23)*Inputs!$B$5:$B$110*(((Inputs!$G$5:$G$110="moeda")+(Inputs!$G$5:$G$110="acoes"))*Inputs!$B$1+((Inputs!$G$5:$G$110&lt;&gt;"moeda")*(Inputs!$G$5:$G$110&lt;&gt;"acoes")))*INDEX(Inputs!$K$5:$AJ$110,0,MATCH(AJ$2,Inputs!$K$4:$AJ$4,0)))+SUMPRODUCT((Inputs!$C$5:$C$110=$B23)*Inputs!$D$5:$D$110*(((Inputs!$G$5:$G$110="moeda")+(Inputs!$G$5:$G$110="acoes"))*Inputs!$B$1+((Inputs!$G$5:$G$110&lt;&gt;"moeda")*(Inputs!$G$5:$G$110&lt;&gt;"acoes")))*INDEX(Inputs!$K$5:$AJ$110,0,MATCH(AJ$2,Inputs!$K$4:$AJ$4,0)))+SUMPRODUCT((Inputs!$E$5:$E$110=$B23)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23" s="6">
        <f>IF(ISNA(MATCH(AK$2,Inputs!$K$4:$AJ$4,0)),NA(),IF(SUMPRODUCT((Inputs!$A$5:$A$110=$B23)*ISNUMBER(INDEX(Inputs!$K$5:$AJ$110,0,MATCH(AK$2,Inputs!$K$4:$AJ$4,0))))+SUMPRODUCT((Inputs!$C$5:$C$110=$B23)*ISNUMBER(INDEX(Inputs!$K$5:$AJ$110,0,MATCH(AK$2,Inputs!$K$4:$AJ$4,0))))+SUMPRODUCT((Inputs!$E$5:$E$110=$B23)*ISNUMBER(INDEX(Inputs!$K$5:$AJ$110,0,MATCH(AK$2,Inputs!$K$4:$AJ$4,0))))=0,NA(),SUMPRODUCT((Inputs!$A$5:$A$110=$B23)*Inputs!$B$5:$B$110*(((Inputs!$G$5:$G$110="moeda")+(Inputs!$G$5:$G$110="acoes"))*Inputs!$B$1+((Inputs!$G$5:$G$110&lt;&gt;"moeda")*(Inputs!$G$5:$G$110&lt;&gt;"acoes")))*INDEX(Inputs!$K$5:$AJ$110,0,MATCH(AK$2,Inputs!$K$4:$AJ$4,0)))+SUMPRODUCT((Inputs!$C$5:$C$110=$B23)*Inputs!$D$5:$D$110*(((Inputs!$G$5:$G$110="moeda")+(Inputs!$G$5:$G$110="acoes"))*Inputs!$B$1+((Inputs!$G$5:$G$110&lt;&gt;"moeda")*(Inputs!$G$5:$G$110&lt;&gt;"acoes")))*INDEX(Inputs!$K$5:$AJ$110,0,MATCH(AK$2,Inputs!$K$4:$AJ$4,0)))+SUMPRODUCT((Inputs!$E$5:$E$110=$B23)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23" s="3">
        <f>AK23</f>
        <v>0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$110=$B24)*ISNUMBER(INDEX(Inputs!$K$5:$AJ$110,0,MATCH(D$2,Inputs!$K$4:$AJ$4,0))))+SUMPRODUCT((Inputs!$C$5:$C$110=$B24)*ISNUMBER(INDEX(Inputs!$K$5:$AJ$110,0,MATCH(D$2,Inputs!$K$4:$AJ$4,0))))+SUMPRODUCT((Inputs!$E$5:$E$110=$B24)*ISNUMBER(INDEX(Inputs!$K$5:$AJ$110,0,MATCH(D$2,Inputs!$K$4:$AJ$4,0))))=0,NA(),SUMPRODUCT((Inputs!$A$5:$A$110=$B24)*Inputs!$B$5:$B$110*(((Inputs!$G$5:$G$110="moeda")+(Inputs!$G$5:$G$110="acoes"))*Inputs!$B$1+((Inputs!$G$5:$G$110&lt;&gt;"moeda")*(Inputs!$G$5:$G$110&lt;&gt;"acoes")))*INDEX(Inputs!$K$5:$AJ$110,0,MATCH(D$2,Inputs!$K$4:$AJ$4,0)))+SUMPRODUCT((Inputs!$C$5:$C$110=$B24)*Inputs!$D$5:$D$110*(((Inputs!$G$5:$G$110="moeda")+(Inputs!$G$5:$G$110="acoes"))*Inputs!$B$1+((Inputs!$G$5:$G$110&lt;&gt;"moeda")*(Inputs!$G$5:$G$110&lt;&gt;"acoes")))*INDEX(Inputs!$K$5:$AJ$110,0,MATCH(D$2,Inputs!$K$4:$AJ$4,0)))+SUMPRODUCT((Inputs!$E$5:$E$110=$B24)*Inputs!$F$5:$F$110*(((Inputs!$G$5:$G$110="moeda")+(Inputs!$G$5:$G$110="acoes"))*Inputs!$B$1+((Inputs!$G$5:$G$110&lt;&gt;"moeda")*(Inputs!$G$5:$G$110&lt;&gt;"acoes")))*INDEX(Inputs!$K$5:$AJ$110,0,MATCH(D$2,Inputs!$K$4:$AJ$4,0)))))</f>
        <v>10799</v>
      </c>
      <c r="E24" s="6">
        <f>IF(ISNA(MATCH(E$2,Inputs!$K$4:$AJ$4,0)),NA(),IF(SUMPRODUCT((Inputs!$A$5:$A$110=$B24)*ISNUMBER(INDEX(Inputs!$K$5:$AJ$110,0,MATCH(E$2,Inputs!$K$4:$AJ$4,0))))+SUMPRODUCT((Inputs!$C$5:$C$110=$B24)*ISNUMBER(INDEX(Inputs!$K$5:$AJ$110,0,MATCH(E$2,Inputs!$K$4:$AJ$4,0))))+SUMPRODUCT((Inputs!$E$5:$E$110=$B24)*ISNUMBER(INDEX(Inputs!$K$5:$AJ$110,0,MATCH(E$2,Inputs!$K$4:$AJ$4,0))))=0,NA(),SUMPRODUCT((Inputs!$A$5:$A$110=$B24)*Inputs!$B$5:$B$110*(((Inputs!$G$5:$G$110="moeda")+(Inputs!$G$5:$G$110="acoes"))*Inputs!$B$1+((Inputs!$G$5:$G$110&lt;&gt;"moeda")*(Inputs!$G$5:$G$110&lt;&gt;"acoes")))*INDEX(Inputs!$K$5:$AJ$110,0,MATCH(E$2,Inputs!$K$4:$AJ$4,0)))+SUMPRODUCT((Inputs!$C$5:$C$110=$B24)*Inputs!$D$5:$D$110*(((Inputs!$G$5:$G$110="moeda")+(Inputs!$G$5:$G$110="acoes"))*Inputs!$B$1+((Inputs!$G$5:$G$110&lt;&gt;"moeda")*(Inputs!$G$5:$G$110&lt;&gt;"acoes")))*INDEX(Inputs!$K$5:$AJ$110,0,MATCH(E$2,Inputs!$K$4:$AJ$4,0)))+SUMPRODUCT((Inputs!$E$5:$E$110=$B24)*Inputs!$F$5:$F$110*(((Inputs!$G$5:$G$110="moeda")+(Inputs!$G$5:$G$110="acoes"))*Inputs!$B$1+((Inputs!$G$5:$G$110&lt;&gt;"moeda")*(Inputs!$G$5:$G$110&lt;&gt;"acoes")))*INDEX(Inputs!$K$5:$AJ$110,0,MATCH(E$2,Inputs!$K$4:$AJ$4,0)))))</f>
        <v>10810</v>
      </c>
      <c r="F24" s="6">
        <f>IF(ISNA(MATCH(F$2,Inputs!$K$4:$AJ$4,0)),NA(),IF(SUMPRODUCT((Inputs!$A$5:$A$110=$B24)*ISNUMBER(INDEX(Inputs!$K$5:$AJ$110,0,MATCH(F$2,Inputs!$K$4:$AJ$4,0))))+SUMPRODUCT((Inputs!$C$5:$C$110=$B24)*ISNUMBER(INDEX(Inputs!$K$5:$AJ$110,0,MATCH(F$2,Inputs!$K$4:$AJ$4,0))))+SUMPRODUCT((Inputs!$E$5:$E$110=$B24)*ISNUMBER(INDEX(Inputs!$K$5:$AJ$110,0,MATCH(F$2,Inputs!$K$4:$AJ$4,0))))=0,NA(),SUMPRODUCT((Inputs!$A$5:$A$110=$B24)*Inputs!$B$5:$B$110*(((Inputs!$G$5:$G$110="moeda")+(Inputs!$G$5:$G$110="acoes"))*Inputs!$B$1+((Inputs!$G$5:$G$110&lt;&gt;"moeda")*(Inputs!$G$5:$G$110&lt;&gt;"acoes")))*INDEX(Inputs!$K$5:$AJ$110,0,MATCH(F$2,Inputs!$K$4:$AJ$4,0)))+SUMPRODUCT((Inputs!$C$5:$C$110=$B24)*Inputs!$D$5:$D$110*(((Inputs!$G$5:$G$110="moeda")+(Inputs!$G$5:$G$110="acoes"))*Inputs!$B$1+((Inputs!$G$5:$G$110&lt;&gt;"moeda")*(Inputs!$G$5:$G$110&lt;&gt;"acoes")))*INDEX(Inputs!$K$5:$AJ$110,0,MATCH(F$2,Inputs!$K$4:$AJ$4,0)))+SUMPRODUCT((Inputs!$E$5:$E$110=$B24)*Inputs!$F$5:$F$110*(((Inputs!$G$5:$G$110="moeda")+(Inputs!$G$5:$G$110="acoes"))*Inputs!$B$1+((Inputs!$G$5:$G$110&lt;&gt;"moeda")*(Inputs!$G$5:$G$110&lt;&gt;"acoes")))*INDEX(Inputs!$K$5:$AJ$110,0,MATCH(F$2,Inputs!$K$4:$AJ$4,0)))))</f>
        <v>10815</v>
      </c>
      <c r="G24" s="6">
        <f>IF(ISNA(MATCH(G$2,Inputs!$K$4:$AJ$4,0)),NA(),IF(SUMPRODUCT((Inputs!$A$5:$A$110=$B24)*ISNUMBER(INDEX(Inputs!$K$5:$AJ$110,0,MATCH(G$2,Inputs!$K$4:$AJ$4,0))))+SUMPRODUCT((Inputs!$C$5:$C$110=$B24)*ISNUMBER(INDEX(Inputs!$K$5:$AJ$110,0,MATCH(G$2,Inputs!$K$4:$AJ$4,0))))+SUMPRODUCT((Inputs!$E$5:$E$110=$B24)*ISNUMBER(INDEX(Inputs!$K$5:$AJ$110,0,MATCH(G$2,Inputs!$K$4:$AJ$4,0))))=0,NA(),SUMPRODUCT((Inputs!$A$5:$A$110=$B24)*Inputs!$B$5:$B$110*(((Inputs!$G$5:$G$110="moeda")+(Inputs!$G$5:$G$110="acoes"))*Inputs!$B$1+((Inputs!$G$5:$G$110&lt;&gt;"moeda")*(Inputs!$G$5:$G$110&lt;&gt;"acoes")))*INDEX(Inputs!$K$5:$AJ$110,0,MATCH(G$2,Inputs!$K$4:$AJ$4,0)))+SUMPRODUCT((Inputs!$C$5:$C$110=$B24)*Inputs!$D$5:$D$110*(((Inputs!$G$5:$G$110="moeda")+(Inputs!$G$5:$G$110="acoes"))*Inputs!$B$1+((Inputs!$G$5:$G$110&lt;&gt;"moeda")*(Inputs!$G$5:$G$110&lt;&gt;"acoes")))*INDEX(Inputs!$K$5:$AJ$110,0,MATCH(G$2,Inputs!$K$4:$AJ$4,0)))+SUMPRODUCT((Inputs!$E$5:$E$110=$B24)*Inputs!$F$5:$F$110*(((Inputs!$G$5:$G$110="moeda")+(Inputs!$G$5:$G$110="acoes"))*Inputs!$B$1+((Inputs!$G$5:$G$110&lt;&gt;"moeda")*(Inputs!$G$5:$G$110&lt;&gt;"acoes")))*INDEX(Inputs!$K$5:$AJ$110,0,MATCH(G$2,Inputs!$K$4:$AJ$4,0)))))</f>
        <v>10813</v>
      </c>
      <c r="H24" s="3">
        <f>G24</f>
        <v>10813</v>
      </c>
      <c r="I24" s="6">
        <f>IF(ISNA(MATCH(I$2,Inputs!$K$4:$AJ$4,0)),NA(),IF(SUMPRODUCT((Inputs!$A$5:$A$110=$B24)*ISNUMBER(INDEX(Inputs!$K$5:$AJ$110,0,MATCH(I$2,Inputs!$K$4:$AJ$4,0))))+SUMPRODUCT((Inputs!$C$5:$C$110=$B24)*ISNUMBER(INDEX(Inputs!$K$5:$AJ$110,0,MATCH(I$2,Inputs!$K$4:$AJ$4,0))))+SUMPRODUCT((Inputs!$E$5:$E$110=$B24)*ISNUMBER(INDEX(Inputs!$K$5:$AJ$110,0,MATCH(I$2,Inputs!$K$4:$AJ$4,0))))=0,NA(),SUMPRODUCT((Inputs!$A$5:$A$110=$B24)*Inputs!$B$5:$B$110*(((Inputs!$G$5:$G$110="moeda")+(Inputs!$G$5:$G$110="acoes"))*Inputs!$B$1+((Inputs!$G$5:$G$110&lt;&gt;"moeda")*(Inputs!$G$5:$G$110&lt;&gt;"acoes")))*INDEX(Inputs!$K$5:$AJ$110,0,MATCH(I$2,Inputs!$K$4:$AJ$4,0)))+SUMPRODUCT((Inputs!$C$5:$C$110=$B24)*Inputs!$D$5:$D$110*(((Inputs!$G$5:$G$110="moeda")+(Inputs!$G$5:$G$110="acoes"))*Inputs!$B$1+((Inputs!$G$5:$G$110&lt;&gt;"moeda")*(Inputs!$G$5:$G$110&lt;&gt;"acoes")))*INDEX(Inputs!$K$5:$AJ$110,0,MATCH(I$2,Inputs!$K$4:$AJ$4,0)))+SUMPRODUCT((Inputs!$E$5:$E$110=$B24)*Inputs!$F$5:$F$110*(((Inputs!$G$5:$G$110="moeda")+(Inputs!$G$5:$G$110="acoes"))*Inputs!$B$1+((Inputs!$G$5:$G$110&lt;&gt;"moeda")*(Inputs!$G$5:$G$110&lt;&gt;"acoes")))*INDEX(Inputs!$K$5:$AJ$110,0,MATCH(I$2,Inputs!$K$4:$AJ$4,0)))))</f>
        <v>10811</v>
      </c>
      <c r="J24" s="6">
        <f>IF(ISNA(MATCH(J$2,Inputs!$K$4:$AJ$4,0)),NA(),IF(SUMPRODUCT((Inputs!$A$5:$A$110=$B24)*ISNUMBER(INDEX(Inputs!$K$5:$AJ$110,0,MATCH(J$2,Inputs!$K$4:$AJ$4,0))))+SUMPRODUCT((Inputs!$C$5:$C$110=$B24)*ISNUMBER(INDEX(Inputs!$K$5:$AJ$110,0,MATCH(J$2,Inputs!$K$4:$AJ$4,0))))+SUMPRODUCT((Inputs!$E$5:$E$110=$B24)*ISNUMBER(INDEX(Inputs!$K$5:$AJ$110,0,MATCH(J$2,Inputs!$K$4:$AJ$4,0))))=0,NA(),SUMPRODUCT((Inputs!$A$5:$A$110=$B24)*Inputs!$B$5:$B$110*(((Inputs!$G$5:$G$110="moeda")+(Inputs!$G$5:$G$110="acoes"))*Inputs!$B$1+((Inputs!$G$5:$G$110&lt;&gt;"moeda")*(Inputs!$G$5:$G$110&lt;&gt;"acoes")))*INDEX(Inputs!$K$5:$AJ$110,0,MATCH(J$2,Inputs!$K$4:$AJ$4,0)))+SUMPRODUCT((Inputs!$C$5:$C$110=$B24)*Inputs!$D$5:$D$110*(((Inputs!$G$5:$G$110="moeda")+(Inputs!$G$5:$G$110="acoes"))*Inputs!$B$1+((Inputs!$G$5:$G$110&lt;&gt;"moeda")*(Inputs!$G$5:$G$110&lt;&gt;"acoes")))*INDEX(Inputs!$K$5:$AJ$110,0,MATCH(J$2,Inputs!$K$4:$AJ$4,0)))+SUMPRODUCT((Inputs!$E$5:$E$110=$B24)*Inputs!$F$5:$F$110*(((Inputs!$G$5:$G$110="moeda")+(Inputs!$G$5:$G$110="acoes"))*Inputs!$B$1+((Inputs!$G$5:$G$110&lt;&gt;"moeda")*(Inputs!$G$5:$G$110&lt;&gt;"acoes")))*INDEX(Inputs!$K$5:$AJ$110,0,MATCH(J$2,Inputs!$K$4:$AJ$4,0)))))</f>
        <v>10794</v>
      </c>
      <c r="K24" s="6">
        <f>IF(ISNA(MATCH(K$2,Inputs!$K$4:$AJ$4,0)),NA(),IF(SUMPRODUCT((Inputs!$A$5:$A$110=$B24)*ISNUMBER(INDEX(Inputs!$K$5:$AJ$110,0,MATCH(K$2,Inputs!$K$4:$AJ$4,0))))+SUMPRODUCT((Inputs!$C$5:$C$110=$B24)*ISNUMBER(INDEX(Inputs!$K$5:$AJ$110,0,MATCH(K$2,Inputs!$K$4:$AJ$4,0))))+SUMPRODUCT((Inputs!$E$5:$E$110=$B24)*ISNUMBER(INDEX(Inputs!$K$5:$AJ$110,0,MATCH(K$2,Inputs!$K$4:$AJ$4,0))))=0,NA(),SUMPRODUCT((Inputs!$A$5:$A$110=$B24)*Inputs!$B$5:$B$110*(((Inputs!$G$5:$G$110="moeda")+(Inputs!$G$5:$G$110="acoes"))*Inputs!$B$1+((Inputs!$G$5:$G$110&lt;&gt;"moeda")*(Inputs!$G$5:$G$110&lt;&gt;"acoes")))*INDEX(Inputs!$K$5:$AJ$110,0,MATCH(K$2,Inputs!$K$4:$AJ$4,0)))+SUMPRODUCT((Inputs!$C$5:$C$110=$B24)*Inputs!$D$5:$D$110*(((Inputs!$G$5:$G$110="moeda")+(Inputs!$G$5:$G$110="acoes"))*Inputs!$B$1+((Inputs!$G$5:$G$110&lt;&gt;"moeda")*(Inputs!$G$5:$G$110&lt;&gt;"acoes")))*INDEX(Inputs!$K$5:$AJ$110,0,MATCH(K$2,Inputs!$K$4:$AJ$4,0)))+SUMPRODUCT((Inputs!$E$5:$E$110=$B24)*Inputs!$F$5:$F$110*(((Inputs!$G$5:$G$110="moeda")+(Inputs!$G$5:$G$110="acoes"))*Inputs!$B$1+((Inputs!$G$5:$G$110&lt;&gt;"moeda")*(Inputs!$G$5:$G$110&lt;&gt;"acoes")))*INDEX(Inputs!$K$5:$AJ$110,0,MATCH(K$2,Inputs!$K$4:$AJ$4,0)))))</f>
        <v>10764</v>
      </c>
      <c r="L24" s="6">
        <f>IF(ISNA(MATCH(L$2,Inputs!$K$4:$AJ$4,0)),NA(),IF(SUMPRODUCT((Inputs!$A$5:$A$110=$B24)*ISNUMBER(INDEX(Inputs!$K$5:$AJ$110,0,MATCH(L$2,Inputs!$K$4:$AJ$4,0))))+SUMPRODUCT((Inputs!$C$5:$C$110=$B24)*ISNUMBER(INDEX(Inputs!$K$5:$AJ$110,0,MATCH(L$2,Inputs!$K$4:$AJ$4,0))))+SUMPRODUCT((Inputs!$E$5:$E$110=$B24)*ISNUMBER(INDEX(Inputs!$K$5:$AJ$110,0,MATCH(L$2,Inputs!$K$4:$AJ$4,0))))=0,NA(),SUMPRODUCT((Inputs!$A$5:$A$110=$B24)*Inputs!$B$5:$B$110*(((Inputs!$G$5:$G$110="moeda")+(Inputs!$G$5:$G$110="acoes"))*Inputs!$B$1+((Inputs!$G$5:$G$110&lt;&gt;"moeda")*(Inputs!$G$5:$G$110&lt;&gt;"acoes")))*INDEX(Inputs!$K$5:$AJ$110,0,MATCH(L$2,Inputs!$K$4:$AJ$4,0)))+SUMPRODUCT((Inputs!$C$5:$C$110=$B24)*Inputs!$D$5:$D$110*(((Inputs!$G$5:$G$110="moeda")+(Inputs!$G$5:$G$110="acoes"))*Inputs!$B$1+((Inputs!$G$5:$G$110&lt;&gt;"moeda")*(Inputs!$G$5:$G$110&lt;&gt;"acoes")))*INDEX(Inputs!$K$5:$AJ$110,0,MATCH(L$2,Inputs!$K$4:$AJ$4,0)))+SUMPRODUCT((Inputs!$E$5:$E$110=$B24)*Inputs!$F$5:$F$110*(((Inputs!$G$5:$G$110="moeda")+(Inputs!$G$5:$G$110="acoes"))*Inputs!$B$1+((Inputs!$G$5:$G$110&lt;&gt;"moeda")*(Inputs!$G$5:$G$110&lt;&gt;"acoes")))*INDEX(Inputs!$K$5:$AJ$110,0,MATCH(L$2,Inputs!$K$4:$AJ$4,0)))))</f>
        <v>10780</v>
      </c>
      <c r="M24" s="3">
        <f>L24</f>
        <v>10780</v>
      </c>
      <c r="N24" s="6">
        <f>IF(ISNA(MATCH(N$2,Inputs!$K$4:$AJ$4,0)),NA(),IF(SUMPRODUCT((Inputs!$A$5:$A$110=$B24)*ISNUMBER(INDEX(Inputs!$K$5:$AJ$110,0,MATCH(N$2,Inputs!$K$4:$AJ$4,0))))+SUMPRODUCT((Inputs!$C$5:$C$110=$B24)*ISNUMBER(INDEX(Inputs!$K$5:$AJ$110,0,MATCH(N$2,Inputs!$K$4:$AJ$4,0))))+SUMPRODUCT((Inputs!$E$5:$E$110=$B24)*ISNUMBER(INDEX(Inputs!$K$5:$AJ$110,0,MATCH(N$2,Inputs!$K$4:$AJ$4,0))))=0,NA(),SUMPRODUCT((Inputs!$A$5:$A$110=$B24)*Inputs!$B$5:$B$110*(((Inputs!$G$5:$G$110="moeda")+(Inputs!$G$5:$G$110="acoes"))*Inputs!$B$1+((Inputs!$G$5:$G$110&lt;&gt;"moeda")*(Inputs!$G$5:$G$110&lt;&gt;"acoes")))*INDEX(Inputs!$K$5:$AJ$110,0,MATCH(N$2,Inputs!$K$4:$AJ$4,0)))+SUMPRODUCT((Inputs!$C$5:$C$110=$B24)*Inputs!$D$5:$D$110*(((Inputs!$G$5:$G$110="moeda")+(Inputs!$G$5:$G$110="acoes"))*Inputs!$B$1+((Inputs!$G$5:$G$110&lt;&gt;"moeda")*(Inputs!$G$5:$G$110&lt;&gt;"acoes")))*INDEX(Inputs!$K$5:$AJ$110,0,MATCH(N$2,Inputs!$K$4:$AJ$4,0)))+SUMPRODUCT((Inputs!$E$5:$E$110=$B24)*Inputs!$F$5:$F$110*(((Inputs!$G$5:$G$110="moeda")+(Inputs!$G$5:$G$110="acoes"))*Inputs!$B$1+((Inputs!$G$5:$G$110&lt;&gt;"moeda")*(Inputs!$G$5:$G$110&lt;&gt;"acoes")))*INDEX(Inputs!$K$5:$AJ$110,0,MATCH(N$2,Inputs!$K$4:$AJ$4,0)))))</f>
        <v>10776</v>
      </c>
      <c r="O24" s="6">
        <f>IF(ISNA(MATCH(O$2,Inputs!$K$4:$AJ$4,0)),NA(),IF(SUMPRODUCT((Inputs!$A$5:$A$110=$B24)*ISNUMBER(INDEX(Inputs!$K$5:$AJ$110,0,MATCH(O$2,Inputs!$K$4:$AJ$4,0))))+SUMPRODUCT((Inputs!$C$5:$C$110=$B24)*ISNUMBER(INDEX(Inputs!$K$5:$AJ$110,0,MATCH(O$2,Inputs!$K$4:$AJ$4,0))))+SUMPRODUCT((Inputs!$E$5:$E$110=$B24)*ISNUMBER(INDEX(Inputs!$K$5:$AJ$110,0,MATCH(O$2,Inputs!$K$4:$AJ$4,0))))=0,NA(),SUMPRODUCT((Inputs!$A$5:$A$110=$B24)*Inputs!$B$5:$B$110*(((Inputs!$G$5:$G$110="moeda")+(Inputs!$G$5:$G$110="acoes"))*Inputs!$B$1+((Inputs!$G$5:$G$110&lt;&gt;"moeda")*(Inputs!$G$5:$G$110&lt;&gt;"acoes")))*INDEX(Inputs!$K$5:$AJ$110,0,MATCH(O$2,Inputs!$K$4:$AJ$4,0)))+SUMPRODUCT((Inputs!$C$5:$C$110=$B24)*Inputs!$D$5:$D$110*(((Inputs!$G$5:$G$110="moeda")+(Inputs!$G$5:$G$110="acoes"))*Inputs!$B$1+((Inputs!$G$5:$G$110&lt;&gt;"moeda")*(Inputs!$G$5:$G$110&lt;&gt;"acoes")))*INDEX(Inputs!$K$5:$AJ$110,0,MATCH(O$2,Inputs!$K$4:$AJ$4,0)))+SUMPRODUCT((Inputs!$E$5:$E$110=$B24)*Inputs!$F$5:$F$110*(((Inputs!$G$5:$G$110="moeda")+(Inputs!$G$5:$G$110="acoes"))*Inputs!$B$1+((Inputs!$G$5:$G$110&lt;&gt;"moeda")*(Inputs!$G$5:$G$110&lt;&gt;"acoes")))*INDEX(Inputs!$K$5:$AJ$110,0,MATCH(O$2,Inputs!$K$4:$AJ$4,0)))))</f>
        <v>10795</v>
      </c>
      <c r="P24" s="6">
        <f>IF(ISNA(MATCH(P$2,Inputs!$K$4:$AJ$4,0)),NA(),IF(SUMPRODUCT((Inputs!$A$5:$A$110=$B24)*ISNUMBER(INDEX(Inputs!$K$5:$AJ$110,0,MATCH(P$2,Inputs!$K$4:$AJ$4,0))))+SUMPRODUCT((Inputs!$C$5:$C$110=$B24)*ISNUMBER(INDEX(Inputs!$K$5:$AJ$110,0,MATCH(P$2,Inputs!$K$4:$AJ$4,0))))+SUMPRODUCT((Inputs!$E$5:$E$110=$B24)*ISNUMBER(INDEX(Inputs!$K$5:$AJ$110,0,MATCH(P$2,Inputs!$K$4:$AJ$4,0))))=0,NA(),SUMPRODUCT((Inputs!$A$5:$A$110=$B24)*Inputs!$B$5:$B$110*(((Inputs!$G$5:$G$110="moeda")+(Inputs!$G$5:$G$110="acoes"))*Inputs!$B$1+((Inputs!$G$5:$G$110&lt;&gt;"moeda")*(Inputs!$G$5:$G$110&lt;&gt;"acoes")))*INDEX(Inputs!$K$5:$AJ$110,0,MATCH(P$2,Inputs!$K$4:$AJ$4,0)))+SUMPRODUCT((Inputs!$C$5:$C$110=$B24)*Inputs!$D$5:$D$110*(((Inputs!$G$5:$G$110="moeda")+(Inputs!$G$5:$G$110="acoes"))*Inputs!$B$1+((Inputs!$G$5:$G$110&lt;&gt;"moeda")*(Inputs!$G$5:$G$110&lt;&gt;"acoes")))*INDEX(Inputs!$K$5:$AJ$110,0,MATCH(P$2,Inputs!$K$4:$AJ$4,0)))+SUMPRODUCT((Inputs!$E$5:$E$110=$B24)*Inputs!$F$5:$F$110*(((Inputs!$G$5:$G$110="moeda")+(Inputs!$G$5:$G$110="acoes"))*Inputs!$B$1+((Inputs!$G$5:$G$110&lt;&gt;"moeda")*(Inputs!$G$5:$G$110&lt;&gt;"acoes")))*INDEX(Inputs!$K$5:$AJ$110,0,MATCH(P$2,Inputs!$K$4:$AJ$4,0)))))</f>
        <v>10782</v>
      </c>
      <c r="Q24" s="6">
        <f>IF(ISNA(MATCH(Q$2,Inputs!$K$4:$AJ$4,0)),NA(),IF(SUMPRODUCT((Inputs!$A$5:$A$110=$B24)*ISNUMBER(INDEX(Inputs!$K$5:$AJ$110,0,MATCH(Q$2,Inputs!$K$4:$AJ$4,0))))+SUMPRODUCT((Inputs!$C$5:$C$110=$B24)*ISNUMBER(INDEX(Inputs!$K$5:$AJ$110,0,MATCH(Q$2,Inputs!$K$4:$AJ$4,0))))+SUMPRODUCT((Inputs!$E$5:$E$110=$B24)*ISNUMBER(INDEX(Inputs!$K$5:$AJ$110,0,MATCH(Q$2,Inputs!$K$4:$AJ$4,0))))=0,NA(),SUMPRODUCT((Inputs!$A$5:$A$110=$B24)*Inputs!$B$5:$B$110*(((Inputs!$G$5:$G$110="moeda")+(Inputs!$G$5:$G$110="acoes"))*Inputs!$B$1+((Inputs!$G$5:$G$110&lt;&gt;"moeda")*(Inputs!$G$5:$G$110&lt;&gt;"acoes")))*INDEX(Inputs!$K$5:$AJ$110,0,MATCH(Q$2,Inputs!$K$4:$AJ$4,0)))+SUMPRODUCT((Inputs!$C$5:$C$110=$B24)*Inputs!$D$5:$D$110*(((Inputs!$G$5:$G$110="moeda")+(Inputs!$G$5:$G$110="acoes"))*Inputs!$B$1+((Inputs!$G$5:$G$110&lt;&gt;"moeda")*(Inputs!$G$5:$G$110&lt;&gt;"acoes")))*INDEX(Inputs!$K$5:$AJ$110,0,MATCH(Q$2,Inputs!$K$4:$AJ$4,0)))+SUMPRODUCT((Inputs!$E$5:$E$110=$B24)*Inputs!$F$5:$F$110*(((Inputs!$G$5:$G$110="moeda")+(Inputs!$G$5:$G$110="acoes"))*Inputs!$B$1+((Inputs!$G$5:$G$110&lt;&gt;"moeda")*(Inputs!$G$5:$G$110&lt;&gt;"acoes")))*INDEX(Inputs!$K$5:$AJ$110,0,MATCH(Q$2,Inputs!$K$4:$AJ$4,0)))))</f>
        <v>10799</v>
      </c>
      <c r="R24" s="3">
        <f>Q24</f>
        <v>10799</v>
      </c>
      <c r="S24" s="6">
        <f>IF(ISNA(MATCH(S$2,Inputs!$K$4:$AJ$4,0)),NA(),IF(SUMPRODUCT((Inputs!$A$5:$A$110=$B24)*ISNUMBER(INDEX(Inputs!$K$5:$AJ$110,0,MATCH(S$2,Inputs!$K$4:$AJ$4,0))))+SUMPRODUCT((Inputs!$C$5:$C$110=$B24)*ISNUMBER(INDEX(Inputs!$K$5:$AJ$110,0,MATCH(S$2,Inputs!$K$4:$AJ$4,0))))+SUMPRODUCT((Inputs!$E$5:$E$110=$B24)*ISNUMBER(INDEX(Inputs!$K$5:$AJ$110,0,MATCH(S$2,Inputs!$K$4:$AJ$4,0))))=0,NA(),SUMPRODUCT((Inputs!$A$5:$A$110=$B24)*Inputs!$B$5:$B$110*(((Inputs!$G$5:$G$110="moeda")+(Inputs!$G$5:$G$110="acoes"))*Inputs!$B$1+((Inputs!$G$5:$G$110&lt;&gt;"moeda")*(Inputs!$G$5:$G$110&lt;&gt;"acoes")))*INDEX(Inputs!$K$5:$AJ$110,0,MATCH(S$2,Inputs!$K$4:$AJ$4,0)))+SUMPRODUCT((Inputs!$C$5:$C$110=$B24)*Inputs!$D$5:$D$110*(((Inputs!$G$5:$G$110="moeda")+(Inputs!$G$5:$G$110="acoes"))*Inputs!$B$1+((Inputs!$G$5:$G$110&lt;&gt;"moeda")*(Inputs!$G$5:$G$110&lt;&gt;"acoes")))*INDEX(Inputs!$K$5:$AJ$110,0,MATCH(S$2,Inputs!$K$4:$AJ$4,0)))+SUMPRODUCT((Inputs!$E$5:$E$110=$B24)*Inputs!$F$5:$F$110*(((Inputs!$G$5:$G$110="moeda")+(Inputs!$G$5:$G$110="acoes"))*Inputs!$B$1+((Inputs!$G$5:$G$110&lt;&gt;"moeda")*(Inputs!$G$5:$G$110&lt;&gt;"acoes")))*INDEX(Inputs!$K$5:$AJ$110,0,MATCH(S$2,Inputs!$K$4:$AJ$4,0)))))</f>
        <v>10789</v>
      </c>
      <c r="T24" s="6">
        <f>IF(ISNA(MATCH(T$2,Inputs!$K$4:$AJ$4,0)),NA(),IF(SUMPRODUCT((Inputs!$A$5:$A$110=$B24)*ISNUMBER(INDEX(Inputs!$K$5:$AJ$110,0,MATCH(T$2,Inputs!$K$4:$AJ$4,0))))+SUMPRODUCT((Inputs!$C$5:$C$110=$B24)*ISNUMBER(INDEX(Inputs!$K$5:$AJ$110,0,MATCH(T$2,Inputs!$K$4:$AJ$4,0))))+SUMPRODUCT((Inputs!$E$5:$E$110=$B24)*ISNUMBER(INDEX(Inputs!$K$5:$AJ$110,0,MATCH(T$2,Inputs!$K$4:$AJ$4,0))))=0,NA(),SUMPRODUCT((Inputs!$A$5:$A$110=$B24)*Inputs!$B$5:$B$110*(((Inputs!$G$5:$G$110="moeda")+(Inputs!$G$5:$G$110="acoes"))*Inputs!$B$1+((Inputs!$G$5:$G$110&lt;&gt;"moeda")*(Inputs!$G$5:$G$110&lt;&gt;"acoes")))*INDEX(Inputs!$K$5:$AJ$110,0,MATCH(T$2,Inputs!$K$4:$AJ$4,0)))+SUMPRODUCT((Inputs!$C$5:$C$110=$B24)*Inputs!$D$5:$D$110*(((Inputs!$G$5:$G$110="moeda")+(Inputs!$G$5:$G$110="acoes"))*Inputs!$B$1+((Inputs!$G$5:$G$110&lt;&gt;"moeda")*(Inputs!$G$5:$G$110&lt;&gt;"acoes")))*INDEX(Inputs!$K$5:$AJ$110,0,MATCH(T$2,Inputs!$K$4:$AJ$4,0)))+SUMPRODUCT((Inputs!$E$5:$E$110=$B24)*Inputs!$F$5:$F$110*(((Inputs!$G$5:$G$110="moeda")+(Inputs!$G$5:$G$110="acoes"))*Inputs!$B$1+((Inputs!$G$5:$G$110&lt;&gt;"moeda")*(Inputs!$G$5:$G$110&lt;&gt;"acoes")))*INDEX(Inputs!$K$5:$AJ$110,0,MATCH(T$2,Inputs!$K$4:$AJ$4,0)))))</f>
        <v>10787</v>
      </c>
      <c r="U24" s="6">
        <f>IF(ISNA(MATCH(U$2,Inputs!$K$4:$AJ$4,0)),NA(),IF(SUMPRODUCT((Inputs!$A$5:$A$110=$B24)*ISNUMBER(INDEX(Inputs!$K$5:$AJ$110,0,MATCH(U$2,Inputs!$K$4:$AJ$4,0))))+SUMPRODUCT((Inputs!$C$5:$C$110=$B24)*ISNUMBER(INDEX(Inputs!$K$5:$AJ$110,0,MATCH(U$2,Inputs!$K$4:$AJ$4,0))))+SUMPRODUCT((Inputs!$E$5:$E$110=$B24)*ISNUMBER(INDEX(Inputs!$K$5:$AJ$110,0,MATCH(U$2,Inputs!$K$4:$AJ$4,0))))=0,NA(),SUMPRODUCT((Inputs!$A$5:$A$110=$B24)*Inputs!$B$5:$B$110*(((Inputs!$G$5:$G$110="moeda")+(Inputs!$G$5:$G$110="acoes"))*Inputs!$B$1+((Inputs!$G$5:$G$110&lt;&gt;"moeda")*(Inputs!$G$5:$G$110&lt;&gt;"acoes")))*INDEX(Inputs!$K$5:$AJ$110,0,MATCH(U$2,Inputs!$K$4:$AJ$4,0)))+SUMPRODUCT((Inputs!$C$5:$C$110=$B24)*Inputs!$D$5:$D$110*(((Inputs!$G$5:$G$110="moeda")+(Inputs!$G$5:$G$110="acoes"))*Inputs!$B$1+((Inputs!$G$5:$G$110&lt;&gt;"moeda")*(Inputs!$G$5:$G$110&lt;&gt;"acoes")))*INDEX(Inputs!$K$5:$AJ$110,0,MATCH(U$2,Inputs!$K$4:$AJ$4,0)))+SUMPRODUCT((Inputs!$E$5:$E$110=$B24)*Inputs!$F$5:$F$110*(((Inputs!$G$5:$G$110="moeda")+(Inputs!$G$5:$G$110="acoes"))*Inputs!$B$1+((Inputs!$G$5:$G$110&lt;&gt;"moeda")*(Inputs!$G$5:$G$110&lt;&gt;"acoes")))*INDEX(Inputs!$K$5:$AJ$110,0,MATCH(U$2,Inputs!$K$4:$AJ$4,0)))))</f>
        <v>10800</v>
      </c>
      <c r="V24" s="6">
        <f>IF(ISNA(MATCH(V$2,Inputs!$K$4:$AJ$4,0)),NA(),IF(SUMPRODUCT((Inputs!$A$5:$A$110=$B24)*ISNUMBER(INDEX(Inputs!$K$5:$AJ$110,0,MATCH(V$2,Inputs!$K$4:$AJ$4,0))))+SUMPRODUCT((Inputs!$C$5:$C$110=$B24)*ISNUMBER(INDEX(Inputs!$K$5:$AJ$110,0,MATCH(V$2,Inputs!$K$4:$AJ$4,0))))+SUMPRODUCT((Inputs!$E$5:$E$110=$B24)*ISNUMBER(INDEX(Inputs!$K$5:$AJ$110,0,MATCH(V$2,Inputs!$K$4:$AJ$4,0))))=0,NA(),SUMPRODUCT((Inputs!$A$5:$A$110=$B24)*Inputs!$B$5:$B$110*(((Inputs!$G$5:$G$110="moeda")+(Inputs!$G$5:$G$110="acoes"))*Inputs!$B$1+((Inputs!$G$5:$G$110&lt;&gt;"moeda")*(Inputs!$G$5:$G$110&lt;&gt;"acoes")))*INDEX(Inputs!$K$5:$AJ$110,0,MATCH(V$2,Inputs!$K$4:$AJ$4,0)))+SUMPRODUCT((Inputs!$C$5:$C$110=$B24)*Inputs!$D$5:$D$110*(((Inputs!$G$5:$G$110="moeda")+(Inputs!$G$5:$G$110="acoes"))*Inputs!$B$1+((Inputs!$G$5:$G$110&lt;&gt;"moeda")*(Inputs!$G$5:$G$110&lt;&gt;"acoes")))*INDEX(Inputs!$K$5:$AJ$110,0,MATCH(V$2,Inputs!$K$4:$AJ$4,0)))+SUMPRODUCT((Inputs!$E$5:$E$110=$B24)*Inputs!$F$5:$F$110*(((Inputs!$G$5:$G$110="moeda")+(Inputs!$G$5:$G$110="acoes"))*Inputs!$B$1+((Inputs!$G$5:$G$110&lt;&gt;"moeda")*(Inputs!$G$5:$G$110&lt;&gt;"acoes")))*INDEX(Inputs!$K$5:$AJ$110,0,MATCH(V$2,Inputs!$K$4:$AJ$4,0)))))</f>
        <v>11067</v>
      </c>
      <c r="W24" s="3">
        <f>V24</f>
        <v>11067</v>
      </c>
      <c r="X24" s="6">
        <f>IF(ISNA(MATCH(X$2,Inputs!$K$4:$AJ$4,0)),NA(),IF(SUMPRODUCT((Inputs!$A$5:$A$110=$B24)*ISNUMBER(INDEX(Inputs!$K$5:$AJ$110,0,MATCH(X$2,Inputs!$K$4:$AJ$4,0))))+SUMPRODUCT((Inputs!$C$5:$C$110=$B24)*ISNUMBER(INDEX(Inputs!$K$5:$AJ$110,0,MATCH(X$2,Inputs!$K$4:$AJ$4,0))))+SUMPRODUCT((Inputs!$E$5:$E$110=$B24)*ISNUMBER(INDEX(Inputs!$K$5:$AJ$110,0,MATCH(X$2,Inputs!$K$4:$AJ$4,0))))=0,NA(),SUMPRODUCT((Inputs!$A$5:$A$110=$B24)*Inputs!$B$5:$B$110*(((Inputs!$G$5:$G$110="moeda")+(Inputs!$G$5:$G$110="acoes"))*Inputs!$B$1+((Inputs!$G$5:$G$110&lt;&gt;"moeda")*(Inputs!$G$5:$G$110&lt;&gt;"acoes")))*INDEX(Inputs!$K$5:$AJ$110,0,MATCH(X$2,Inputs!$K$4:$AJ$4,0)))+SUMPRODUCT((Inputs!$C$5:$C$110=$B24)*Inputs!$D$5:$D$110*(((Inputs!$G$5:$G$110="moeda")+(Inputs!$G$5:$G$110="acoes"))*Inputs!$B$1+((Inputs!$G$5:$G$110&lt;&gt;"moeda")*(Inputs!$G$5:$G$110&lt;&gt;"acoes")))*INDEX(Inputs!$K$5:$AJ$110,0,MATCH(X$2,Inputs!$K$4:$AJ$4,0)))+SUMPRODUCT((Inputs!$E$5:$E$110=$B24)*Inputs!$F$5:$F$110*(((Inputs!$G$5:$G$110="moeda")+(Inputs!$G$5:$G$110="acoes"))*Inputs!$B$1+((Inputs!$G$5:$G$110&lt;&gt;"moeda")*(Inputs!$G$5:$G$110&lt;&gt;"acoes")))*INDEX(Inputs!$K$5:$AJ$110,0,MATCH(X$2,Inputs!$K$4:$AJ$4,0)))))</f>
        <v>11076</v>
      </c>
      <c r="Y24" s="6">
        <f>IF(ISNA(MATCH(Y$2,Inputs!$K$4:$AJ$4,0)),NA(),IF(SUMPRODUCT((Inputs!$A$5:$A$110=$B24)*ISNUMBER(INDEX(Inputs!$K$5:$AJ$110,0,MATCH(Y$2,Inputs!$K$4:$AJ$4,0))))+SUMPRODUCT((Inputs!$C$5:$C$110=$B24)*ISNUMBER(INDEX(Inputs!$K$5:$AJ$110,0,MATCH(Y$2,Inputs!$K$4:$AJ$4,0))))+SUMPRODUCT((Inputs!$E$5:$E$110=$B24)*ISNUMBER(INDEX(Inputs!$K$5:$AJ$110,0,MATCH(Y$2,Inputs!$K$4:$AJ$4,0))))=0,NA(),SUMPRODUCT((Inputs!$A$5:$A$110=$B24)*Inputs!$B$5:$B$110*(((Inputs!$G$5:$G$110="moeda")+(Inputs!$G$5:$G$110="acoes"))*Inputs!$B$1+((Inputs!$G$5:$G$110&lt;&gt;"moeda")*(Inputs!$G$5:$G$110&lt;&gt;"acoes")))*INDEX(Inputs!$K$5:$AJ$110,0,MATCH(Y$2,Inputs!$K$4:$AJ$4,0)))+SUMPRODUCT((Inputs!$C$5:$C$110=$B24)*Inputs!$D$5:$D$110*(((Inputs!$G$5:$G$110="moeda")+(Inputs!$G$5:$G$110="acoes"))*Inputs!$B$1+((Inputs!$G$5:$G$110&lt;&gt;"moeda")*(Inputs!$G$5:$G$110&lt;&gt;"acoes")))*INDEX(Inputs!$K$5:$AJ$110,0,MATCH(Y$2,Inputs!$K$4:$AJ$4,0)))+SUMPRODUCT((Inputs!$E$5:$E$110=$B24)*Inputs!$F$5:$F$110*(((Inputs!$G$5:$G$110="moeda")+(Inputs!$G$5:$G$110="acoes"))*Inputs!$B$1+((Inputs!$G$5:$G$110&lt;&gt;"moeda")*(Inputs!$G$5:$G$110&lt;&gt;"acoes")))*INDEX(Inputs!$K$5:$AJ$110,0,MATCH(Y$2,Inputs!$K$4:$AJ$4,0)))))</f>
        <v>11309</v>
      </c>
      <c r="Z24" s="6">
        <f>IF(ISNA(MATCH(Z$2,Inputs!$K$4:$AJ$4,0)),NA(),IF(SUMPRODUCT((Inputs!$A$5:$A$110=$B24)*ISNUMBER(INDEX(Inputs!$K$5:$AJ$110,0,MATCH(Z$2,Inputs!$K$4:$AJ$4,0))))+SUMPRODUCT((Inputs!$C$5:$C$110=$B24)*ISNUMBER(INDEX(Inputs!$K$5:$AJ$110,0,MATCH(Z$2,Inputs!$K$4:$AJ$4,0))))+SUMPRODUCT((Inputs!$E$5:$E$110=$B24)*ISNUMBER(INDEX(Inputs!$K$5:$AJ$110,0,MATCH(Z$2,Inputs!$K$4:$AJ$4,0))))=0,NA(),SUMPRODUCT((Inputs!$A$5:$A$110=$B24)*Inputs!$B$5:$B$110*(((Inputs!$G$5:$G$110="moeda")+(Inputs!$G$5:$G$110="acoes"))*Inputs!$B$1+((Inputs!$G$5:$G$110&lt;&gt;"moeda")*(Inputs!$G$5:$G$110&lt;&gt;"acoes")))*INDEX(Inputs!$K$5:$AJ$110,0,MATCH(Z$2,Inputs!$K$4:$AJ$4,0)))+SUMPRODUCT((Inputs!$C$5:$C$110=$B24)*Inputs!$D$5:$D$110*(((Inputs!$G$5:$G$110="moeda")+(Inputs!$G$5:$G$110="acoes"))*Inputs!$B$1+((Inputs!$G$5:$G$110&lt;&gt;"moeda")*(Inputs!$G$5:$G$110&lt;&gt;"acoes")))*INDEX(Inputs!$K$5:$AJ$110,0,MATCH(Z$2,Inputs!$K$4:$AJ$4,0)))+SUMPRODUCT((Inputs!$E$5:$E$110=$B24)*Inputs!$F$5:$F$110*(((Inputs!$G$5:$G$110="moeda")+(Inputs!$G$5:$G$110="acoes"))*Inputs!$B$1+((Inputs!$G$5:$G$110&lt;&gt;"moeda")*(Inputs!$G$5:$G$110&lt;&gt;"acoes")))*INDEX(Inputs!$K$5:$AJ$110,0,MATCH(Z$2,Inputs!$K$4:$AJ$4,0)))))</f>
        <v>11313</v>
      </c>
      <c r="AA24" s="6">
        <f>IF(ISNA(MATCH(AA$2,Inputs!$K$4:$AJ$4,0)),NA(),IF(SUMPRODUCT((Inputs!$A$5:$A$110=$B24)*ISNUMBER(INDEX(Inputs!$K$5:$AJ$110,0,MATCH(AA$2,Inputs!$K$4:$AJ$4,0))))+SUMPRODUCT((Inputs!$C$5:$C$110=$B24)*ISNUMBER(INDEX(Inputs!$K$5:$AJ$110,0,MATCH(AA$2,Inputs!$K$4:$AJ$4,0))))+SUMPRODUCT((Inputs!$E$5:$E$110=$B24)*ISNUMBER(INDEX(Inputs!$K$5:$AJ$110,0,MATCH(AA$2,Inputs!$K$4:$AJ$4,0))))=0,NA(),SUMPRODUCT((Inputs!$A$5:$A$110=$B24)*Inputs!$B$5:$B$110*(((Inputs!$G$5:$G$110="moeda")+(Inputs!$G$5:$G$110="acoes"))*Inputs!$B$1+((Inputs!$G$5:$G$110&lt;&gt;"moeda")*(Inputs!$G$5:$G$110&lt;&gt;"acoes")))*INDEX(Inputs!$K$5:$AJ$110,0,MATCH(AA$2,Inputs!$K$4:$AJ$4,0)))+SUMPRODUCT((Inputs!$C$5:$C$110=$B24)*Inputs!$D$5:$D$110*(((Inputs!$G$5:$G$110="moeda")+(Inputs!$G$5:$G$110="acoes"))*Inputs!$B$1+((Inputs!$G$5:$G$110&lt;&gt;"moeda")*(Inputs!$G$5:$G$110&lt;&gt;"acoes")))*INDEX(Inputs!$K$5:$AJ$110,0,MATCH(AA$2,Inputs!$K$4:$AJ$4,0)))+SUMPRODUCT((Inputs!$E$5:$E$110=$B24)*Inputs!$F$5:$F$110*(((Inputs!$G$5:$G$110="moeda")+(Inputs!$G$5:$G$110="acoes"))*Inputs!$B$1+((Inputs!$G$5:$G$110&lt;&gt;"moeda")*(Inputs!$G$5:$G$110&lt;&gt;"acoes")))*INDEX(Inputs!$K$5:$AJ$110,0,MATCH(AA$2,Inputs!$K$4:$AJ$4,0)))))</f>
        <v>11314</v>
      </c>
      <c r="AB24" s="3">
        <f>AA24</f>
        <v>11314</v>
      </c>
      <c r="AC24" s="6">
        <f>IF(ISNA(MATCH(AC$2,Inputs!$K$4:$AJ$4,0)),NA(),IF(SUMPRODUCT((Inputs!$A$5:$A$110=$B24)*ISNUMBER(INDEX(Inputs!$K$5:$AJ$110,0,MATCH(AC$2,Inputs!$K$4:$AJ$4,0))))+SUMPRODUCT((Inputs!$C$5:$C$110=$B24)*ISNUMBER(INDEX(Inputs!$K$5:$AJ$110,0,MATCH(AC$2,Inputs!$K$4:$AJ$4,0))))+SUMPRODUCT((Inputs!$E$5:$E$110=$B24)*ISNUMBER(INDEX(Inputs!$K$5:$AJ$110,0,MATCH(AC$2,Inputs!$K$4:$AJ$4,0))))=0,NA(),SUMPRODUCT((Inputs!$A$5:$A$110=$B24)*Inputs!$B$5:$B$110*(((Inputs!$G$5:$G$110="moeda")+(Inputs!$G$5:$G$110="acoes"))*Inputs!$B$1+((Inputs!$G$5:$G$110&lt;&gt;"moeda")*(Inputs!$G$5:$G$110&lt;&gt;"acoes")))*INDEX(Inputs!$K$5:$AJ$110,0,MATCH(AC$2,Inputs!$K$4:$AJ$4,0)))+SUMPRODUCT((Inputs!$C$5:$C$110=$B24)*Inputs!$D$5:$D$110*(((Inputs!$G$5:$G$110="moeda")+(Inputs!$G$5:$G$110="acoes"))*Inputs!$B$1+((Inputs!$G$5:$G$110&lt;&gt;"moeda")*(Inputs!$G$5:$G$110&lt;&gt;"acoes")))*INDEX(Inputs!$K$5:$AJ$110,0,MATCH(AC$2,Inputs!$K$4:$AJ$4,0)))+SUMPRODUCT((Inputs!$E$5:$E$110=$B24)*Inputs!$F$5:$F$110*(((Inputs!$G$5:$G$110="moeda")+(Inputs!$G$5:$G$110="acoes"))*Inputs!$B$1+((Inputs!$G$5:$G$110&lt;&gt;"moeda")*(Inputs!$G$5:$G$110&lt;&gt;"acoes")))*INDEX(Inputs!$K$5:$AJ$110,0,MATCH(AC$2,Inputs!$K$4:$AJ$4,0)))))</f>
        <v>11306</v>
      </c>
      <c r="AD24" s="6">
        <f>IF(ISNA(MATCH(AD$2,Inputs!$K$4:$AJ$4,0)),NA(),IF(SUMPRODUCT((Inputs!$A$5:$A$110=$B24)*ISNUMBER(INDEX(Inputs!$K$5:$AJ$110,0,MATCH(AD$2,Inputs!$K$4:$AJ$4,0))))+SUMPRODUCT((Inputs!$C$5:$C$110=$B24)*ISNUMBER(INDEX(Inputs!$K$5:$AJ$110,0,MATCH(AD$2,Inputs!$K$4:$AJ$4,0))))+SUMPRODUCT((Inputs!$E$5:$E$110=$B24)*ISNUMBER(INDEX(Inputs!$K$5:$AJ$110,0,MATCH(AD$2,Inputs!$K$4:$AJ$4,0))))=0,NA(),SUMPRODUCT((Inputs!$A$5:$A$110=$B24)*Inputs!$B$5:$B$110*(((Inputs!$G$5:$G$110="moeda")+(Inputs!$G$5:$G$110="acoes"))*Inputs!$B$1+((Inputs!$G$5:$G$110&lt;&gt;"moeda")*(Inputs!$G$5:$G$110&lt;&gt;"acoes")))*INDEX(Inputs!$K$5:$AJ$110,0,MATCH(AD$2,Inputs!$K$4:$AJ$4,0)))+SUMPRODUCT((Inputs!$C$5:$C$110=$B24)*Inputs!$D$5:$D$110*(((Inputs!$G$5:$G$110="moeda")+(Inputs!$G$5:$G$110="acoes"))*Inputs!$B$1+((Inputs!$G$5:$G$110&lt;&gt;"moeda")*(Inputs!$G$5:$G$110&lt;&gt;"acoes")))*INDEX(Inputs!$K$5:$AJ$110,0,MATCH(AD$2,Inputs!$K$4:$AJ$4,0)))+SUMPRODUCT((Inputs!$E$5:$E$110=$B24)*Inputs!$F$5:$F$110*(((Inputs!$G$5:$G$110="moeda")+(Inputs!$G$5:$G$110="acoes"))*Inputs!$B$1+((Inputs!$G$5:$G$110&lt;&gt;"moeda")*(Inputs!$G$5:$G$110&lt;&gt;"acoes")))*INDEX(Inputs!$K$5:$AJ$110,0,MATCH(AD$2,Inputs!$K$4:$AJ$4,0)))))</f>
        <v>11298</v>
      </c>
      <c r="AE24" s="6" t="e">
        <f>IF(ISNA(MATCH(AE$2,Inputs!$K$4:$AJ$4,0)),NA(),IF(SUMPRODUCT((Inputs!$A$5:$A$110=$B24)*ISNUMBER(INDEX(Inputs!$K$5:$AJ$110,0,MATCH(AE$2,Inputs!$K$4:$AJ$4,0))))+SUMPRODUCT((Inputs!$C$5:$C$110=$B24)*ISNUMBER(INDEX(Inputs!$K$5:$AJ$110,0,MATCH(AE$2,Inputs!$K$4:$AJ$4,0))))+SUMPRODUCT((Inputs!$E$5:$E$110=$B24)*ISNUMBER(INDEX(Inputs!$K$5:$AJ$110,0,MATCH(AE$2,Inputs!$K$4:$AJ$4,0))))=0,NA(),SUMPRODUCT((Inputs!$A$5:$A$110=$B24)*Inputs!$B$5:$B$110*(((Inputs!$G$5:$G$110="moeda")+(Inputs!$G$5:$G$110="acoes"))*Inputs!$B$1+((Inputs!$G$5:$G$110&lt;&gt;"moeda")*(Inputs!$G$5:$G$110&lt;&gt;"acoes")))*INDEX(Inputs!$K$5:$AJ$110,0,MATCH(AE$2,Inputs!$K$4:$AJ$4,0)))+SUMPRODUCT((Inputs!$C$5:$C$110=$B24)*Inputs!$D$5:$D$110*(((Inputs!$G$5:$G$110="moeda")+(Inputs!$G$5:$G$110="acoes"))*Inputs!$B$1+((Inputs!$G$5:$G$110&lt;&gt;"moeda")*(Inputs!$G$5:$G$110&lt;&gt;"acoes")))*INDEX(Inputs!$K$5:$AJ$110,0,MATCH(AE$2,Inputs!$K$4:$AJ$4,0)))+SUMPRODUCT((Inputs!$E$5:$E$110=$B24)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4" s="6" t="e">
        <f>IF(ISNA(MATCH(AF$2,Inputs!$K$4:$AJ$4,0)),NA(),IF(SUMPRODUCT((Inputs!$A$5:$A$110=$B24)*ISNUMBER(INDEX(Inputs!$K$5:$AJ$110,0,MATCH(AF$2,Inputs!$K$4:$AJ$4,0))))+SUMPRODUCT((Inputs!$C$5:$C$110=$B24)*ISNUMBER(INDEX(Inputs!$K$5:$AJ$110,0,MATCH(AF$2,Inputs!$K$4:$AJ$4,0))))+SUMPRODUCT((Inputs!$E$5:$E$110=$B24)*ISNUMBER(INDEX(Inputs!$K$5:$AJ$110,0,MATCH(AF$2,Inputs!$K$4:$AJ$4,0))))=0,NA(),SUMPRODUCT((Inputs!$A$5:$A$110=$B24)*Inputs!$B$5:$B$110*(((Inputs!$G$5:$G$110="moeda")+(Inputs!$G$5:$G$110="acoes"))*Inputs!$B$1+((Inputs!$G$5:$G$110&lt;&gt;"moeda")*(Inputs!$G$5:$G$110&lt;&gt;"acoes")))*INDEX(Inputs!$K$5:$AJ$110,0,MATCH(AF$2,Inputs!$K$4:$AJ$4,0)))+SUMPRODUCT((Inputs!$C$5:$C$110=$B24)*Inputs!$D$5:$D$110*(((Inputs!$G$5:$G$110="moeda")+(Inputs!$G$5:$G$110="acoes"))*Inputs!$B$1+((Inputs!$G$5:$G$110&lt;&gt;"moeda")*(Inputs!$G$5:$G$110&lt;&gt;"acoes")))*INDEX(Inputs!$K$5:$AJ$110,0,MATCH(AF$2,Inputs!$K$4:$AJ$4,0)))+SUMPRODUCT((Inputs!$E$5:$E$110=$B24)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4" s="3" t="e">
        <f>AF24</f>
        <v>#N/A</v>
      </c>
      <c r="AH24" s="6">
        <f>IF(ISNA(MATCH(AH$2,Inputs!$K$4:$AJ$4,0)),NA(),IF(SUMPRODUCT((Inputs!$A$5:$A$110=$B24)*ISNUMBER(INDEX(Inputs!$K$5:$AJ$110,0,MATCH(AH$2,Inputs!$K$4:$AJ$4,0))))+SUMPRODUCT((Inputs!$C$5:$C$110=$B24)*ISNUMBER(INDEX(Inputs!$K$5:$AJ$110,0,MATCH(AH$2,Inputs!$K$4:$AJ$4,0))))+SUMPRODUCT((Inputs!$E$5:$E$110=$B24)*ISNUMBER(INDEX(Inputs!$K$5:$AJ$110,0,MATCH(AH$2,Inputs!$K$4:$AJ$4,0))))=0,NA(),SUMPRODUCT((Inputs!$A$5:$A$110=$B24)*Inputs!$B$5:$B$110*(((Inputs!$G$5:$G$110="moeda")+(Inputs!$G$5:$G$110="acoes"))*Inputs!$B$1+((Inputs!$G$5:$G$110&lt;&gt;"moeda")*(Inputs!$G$5:$G$110&lt;&gt;"acoes")))*INDEX(Inputs!$K$5:$AJ$110,0,MATCH(AH$2,Inputs!$K$4:$AJ$4,0)))+SUMPRODUCT((Inputs!$C$5:$C$110=$B24)*Inputs!$D$5:$D$110*(((Inputs!$G$5:$G$110="moeda")+(Inputs!$G$5:$G$110="acoes"))*Inputs!$B$1+((Inputs!$G$5:$G$110&lt;&gt;"moeda")*(Inputs!$G$5:$G$110&lt;&gt;"acoes")))*INDEX(Inputs!$K$5:$AJ$110,0,MATCH(AH$2,Inputs!$K$4:$AJ$4,0)))+SUMPRODUCT((Inputs!$E$5:$E$110=$B24)*Inputs!$F$5:$F$110*(((Inputs!$G$5:$G$110="moeda")+(Inputs!$G$5:$G$110="acoes"))*Inputs!$B$1+((Inputs!$G$5:$G$110&lt;&gt;"moeda")*(Inputs!$G$5:$G$110&lt;&gt;"acoes")))*INDEX(Inputs!$K$5:$AJ$110,0,MATCH(AH$2,Inputs!$K$4:$AJ$4,0)))))</f>
        <v>10565</v>
      </c>
      <c r="AI24" s="6">
        <f>IF(ISNA(MATCH(AI$2,Inputs!$K$4:$AJ$4,0)),NA(),IF(SUMPRODUCT((Inputs!$A$5:$A$110=$B24)*ISNUMBER(INDEX(Inputs!$K$5:$AJ$110,0,MATCH(AI$2,Inputs!$K$4:$AJ$4,0))))+SUMPRODUCT((Inputs!$C$5:$C$110=$B24)*ISNUMBER(INDEX(Inputs!$K$5:$AJ$110,0,MATCH(AI$2,Inputs!$K$4:$AJ$4,0))))+SUMPRODUCT((Inputs!$E$5:$E$110=$B24)*ISNUMBER(INDEX(Inputs!$K$5:$AJ$110,0,MATCH(AI$2,Inputs!$K$4:$AJ$4,0))))=0,NA(),SUMPRODUCT((Inputs!$A$5:$A$110=$B24)*Inputs!$B$5:$B$110*(((Inputs!$G$5:$G$110="moeda")+(Inputs!$G$5:$G$110="acoes"))*Inputs!$B$1+((Inputs!$G$5:$G$110&lt;&gt;"moeda")*(Inputs!$G$5:$G$110&lt;&gt;"acoes")))*INDEX(Inputs!$K$5:$AJ$110,0,MATCH(AI$2,Inputs!$K$4:$AJ$4,0)))+SUMPRODUCT((Inputs!$C$5:$C$110=$B24)*Inputs!$D$5:$D$110*(((Inputs!$G$5:$G$110="moeda")+(Inputs!$G$5:$G$110="acoes"))*Inputs!$B$1+((Inputs!$G$5:$G$110&lt;&gt;"moeda")*(Inputs!$G$5:$G$110&lt;&gt;"acoes")))*INDEX(Inputs!$K$5:$AJ$110,0,MATCH(AI$2,Inputs!$K$4:$AJ$4,0)))+SUMPRODUCT((Inputs!$E$5:$E$110=$B24)*Inputs!$F$5:$F$110*(((Inputs!$G$5:$G$110="moeda")+(Inputs!$G$5:$G$110="acoes"))*Inputs!$B$1+((Inputs!$G$5:$G$110&lt;&gt;"moeda")*(Inputs!$G$5:$G$110&lt;&gt;"acoes")))*INDEX(Inputs!$K$5:$AJ$110,0,MATCH(AI$2,Inputs!$K$4:$AJ$4,0)))))</f>
        <v>10579</v>
      </c>
      <c r="AJ24" s="6">
        <f>IF(ISNA(MATCH(AJ$2,Inputs!$K$4:$AJ$4,0)),NA(),IF(SUMPRODUCT((Inputs!$A$5:$A$110=$B24)*ISNUMBER(INDEX(Inputs!$K$5:$AJ$110,0,MATCH(AJ$2,Inputs!$K$4:$AJ$4,0))))+SUMPRODUCT((Inputs!$C$5:$C$110=$B24)*ISNUMBER(INDEX(Inputs!$K$5:$AJ$110,0,MATCH(AJ$2,Inputs!$K$4:$AJ$4,0))))+SUMPRODUCT((Inputs!$E$5:$E$110=$B24)*ISNUMBER(INDEX(Inputs!$K$5:$AJ$110,0,MATCH(AJ$2,Inputs!$K$4:$AJ$4,0))))=0,NA(),SUMPRODUCT((Inputs!$A$5:$A$110=$B24)*Inputs!$B$5:$B$110*(((Inputs!$G$5:$G$110="moeda")+(Inputs!$G$5:$G$110="acoes"))*Inputs!$B$1+((Inputs!$G$5:$G$110&lt;&gt;"moeda")*(Inputs!$G$5:$G$110&lt;&gt;"acoes")))*INDEX(Inputs!$K$5:$AJ$110,0,MATCH(AJ$2,Inputs!$K$4:$AJ$4,0)))+SUMPRODUCT((Inputs!$C$5:$C$110=$B24)*Inputs!$D$5:$D$110*(((Inputs!$G$5:$G$110="moeda")+(Inputs!$G$5:$G$110="acoes"))*Inputs!$B$1+((Inputs!$G$5:$G$110&lt;&gt;"moeda")*(Inputs!$G$5:$G$110&lt;&gt;"acoes")))*INDEX(Inputs!$K$5:$AJ$110,0,MATCH(AJ$2,Inputs!$K$4:$AJ$4,0)))+SUMPRODUCT((Inputs!$E$5:$E$110=$B24)*Inputs!$F$5:$F$110*(((Inputs!$G$5:$G$110="moeda")+(Inputs!$G$5:$G$110="acoes"))*Inputs!$B$1+((Inputs!$G$5:$G$110&lt;&gt;"moeda")*(Inputs!$G$5:$G$110&lt;&gt;"acoes")))*INDEX(Inputs!$K$5:$AJ$110,0,MATCH(AJ$2,Inputs!$K$4:$AJ$4,0)))))</f>
        <v>10589</v>
      </c>
      <c r="AK24" s="6">
        <f>IF(ISNA(MATCH(AK$2,Inputs!$K$4:$AJ$4,0)),NA(),IF(SUMPRODUCT((Inputs!$A$5:$A$110=$B24)*ISNUMBER(INDEX(Inputs!$K$5:$AJ$110,0,MATCH(AK$2,Inputs!$K$4:$AJ$4,0))))+SUMPRODUCT((Inputs!$C$5:$C$110=$B24)*ISNUMBER(INDEX(Inputs!$K$5:$AJ$110,0,MATCH(AK$2,Inputs!$K$4:$AJ$4,0))))+SUMPRODUCT((Inputs!$E$5:$E$110=$B24)*ISNUMBER(INDEX(Inputs!$K$5:$AJ$110,0,MATCH(AK$2,Inputs!$K$4:$AJ$4,0))))=0,NA(),SUMPRODUCT((Inputs!$A$5:$A$110=$B24)*Inputs!$B$5:$B$110*(((Inputs!$G$5:$G$110="moeda")+(Inputs!$G$5:$G$110="acoes"))*Inputs!$B$1+((Inputs!$G$5:$G$110&lt;&gt;"moeda")*(Inputs!$G$5:$G$110&lt;&gt;"acoes")))*INDEX(Inputs!$K$5:$AJ$110,0,MATCH(AK$2,Inputs!$K$4:$AJ$4,0)))+SUMPRODUCT((Inputs!$C$5:$C$110=$B24)*Inputs!$D$5:$D$110*(((Inputs!$G$5:$G$110="moeda")+(Inputs!$G$5:$G$110="acoes"))*Inputs!$B$1+((Inputs!$G$5:$G$110&lt;&gt;"moeda")*(Inputs!$G$5:$G$110&lt;&gt;"acoes")))*INDEX(Inputs!$K$5:$AJ$110,0,MATCH(AK$2,Inputs!$K$4:$AJ$4,0)))+SUMPRODUCT((Inputs!$E$5:$E$110=$B24)*Inputs!$F$5:$F$110*(((Inputs!$G$5:$G$110="moeda")+(Inputs!$G$5:$G$110="acoes"))*Inputs!$B$1+((Inputs!$G$5:$G$110&lt;&gt;"moeda")*(Inputs!$G$5:$G$110&lt;&gt;"acoes")))*INDEX(Inputs!$K$5:$AJ$110,0,MATCH(AK$2,Inputs!$K$4:$AJ$4,0)))))</f>
        <v>10806</v>
      </c>
      <c r="AL24" s="3">
        <f>AK24</f>
        <v>10806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$110=$B25)*ISNUMBER(INDEX(Inputs!$K$5:$AJ$110,0,MATCH(D$2,Inputs!$K$4:$AJ$4,0))))+SUMPRODUCT((Inputs!$C$5:$C$110=$B25)*ISNUMBER(INDEX(Inputs!$K$5:$AJ$110,0,MATCH(D$2,Inputs!$K$4:$AJ$4,0))))+SUMPRODUCT((Inputs!$E$5:$E$110=$B25)*ISNUMBER(INDEX(Inputs!$K$5:$AJ$110,0,MATCH(D$2,Inputs!$K$4:$AJ$4,0))))=0,NA(),SUMPRODUCT((Inputs!$A$5:$A$110=$B25)*Inputs!$B$5:$B$110*(((Inputs!$G$5:$G$110="moeda")+(Inputs!$G$5:$G$110="acoes"))*Inputs!$B$1+((Inputs!$G$5:$G$110&lt;&gt;"moeda")*(Inputs!$G$5:$G$110&lt;&gt;"acoes")))*INDEX(Inputs!$K$5:$AJ$110,0,MATCH(D$2,Inputs!$K$4:$AJ$4,0)))+SUMPRODUCT((Inputs!$C$5:$C$110=$B25)*Inputs!$D$5:$D$110*(((Inputs!$G$5:$G$110="moeda")+(Inputs!$G$5:$G$110="acoes"))*Inputs!$B$1+((Inputs!$G$5:$G$110&lt;&gt;"moeda")*(Inputs!$G$5:$G$110&lt;&gt;"acoes")))*INDEX(Inputs!$K$5:$AJ$110,0,MATCH(D$2,Inputs!$K$4:$AJ$4,0)))+SUMPRODUCT((Inputs!$E$5:$E$110=$B25)*Inputs!$F$5:$F$110*(((Inputs!$G$5:$G$110="moeda")+(Inputs!$G$5:$G$110="acoes"))*Inputs!$B$1+((Inputs!$G$5:$G$110&lt;&gt;"moeda")*(Inputs!$G$5:$G$110&lt;&gt;"acoes")))*INDEX(Inputs!$K$5:$AJ$110,0,MATCH(D$2,Inputs!$K$4:$AJ$4,0)))))</f>
        <v>2930</v>
      </c>
      <c r="E25" s="6">
        <f>IF(ISNA(MATCH(E$2,Inputs!$K$4:$AJ$4,0)),NA(),IF(SUMPRODUCT((Inputs!$A$5:$A$110=$B25)*ISNUMBER(INDEX(Inputs!$K$5:$AJ$110,0,MATCH(E$2,Inputs!$K$4:$AJ$4,0))))+SUMPRODUCT((Inputs!$C$5:$C$110=$B25)*ISNUMBER(INDEX(Inputs!$K$5:$AJ$110,0,MATCH(E$2,Inputs!$K$4:$AJ$4,0))))+SUMPRODUCT((Inputs!$E$5:$E$110=$B25)*ISNUMBER(INDEX(Inputs!$K$5:$AJ$110,0,MATCH(E$2,Inputs!$K$4:$AJ$4,0))))=0,NA(),SUMPRODUCT((Inputs!$A$5:$A$110=$B25)*Inputs!$B$5:$B$110*(((Inputs!$G$5:$G$110="moeda")+(Inputs!$G$5:$G$110="acoes"))*Inputs!$B$1+((Inputs!$G$5:$G$110&lt;&gt;"moeda")*(Inputs!$G$5:$G$110&lt;&gt;"acoes")))*INDEX(Inputs!$K$5:$AJ$110,0,MATCH(E$2,Inputs!$K$4:$AJ$4,0)))+SUMPRODUCT((Inputs!$C$5:$C$110=$B25)*Inputs!$D$5:$D$110*(((Inputs!$G$5:$G$110="moeda")+(Inputs!$G$5:$G$110="acoes"))*Inputs!$B$1+((Inputs!$G$5:$G$110&lt;&gt;"moeda")*(Inputs!$G$5:$G$110&lt;&gt;"acoes")))*INDEX(Inputs!$K$5:$AJ$110,0,MATCH(E$2,Inputs!$K$4:$AJ$4,0)))+SUMPRODUCT((Inputs!$E$5:$E$110=$B25)*Inputs!$F$5:$F$110*(((Inputs!$G$5:$G$110="moeda")+(Inputs!$G$5:$G$110="acoes"))*Inputs!$B$1+((Inputs!$G$5:$G$110&lt;&gt;"moeda")*(Inputs!$G$5:$G$110&lt;&gt;"acoes")))*INDEX(Inputs!$K$5:$AJ$110,0,MATCH(E$2,Inputs!$K$4:$AJ$4,0)))))</f>
        <v>2849</v>
      </c>
      <c r="F25" s="6">
        <f>IF(ISNA(MATCH(F$2,Inputs!$K$4:$AJ$4,0)),NA(),IF(SUMPRODUCT((Inputs!$A$5:$A$110=$B25)*ISNUMBER(INDEX(Inputs!$K$5:$AJ$110,0,MATCH(F$2,Inputs!$K$4:$AJ$4,0))))+SUMPRODUCT((Inputs!$C$5:$C$110=$B25)*ISNUMBER(INDEX(Inputs!$K$5:$AJ$110,0,MATCH(F$2,Inputs!$K$4:$AJ$4,0))))+SUMPRODUCT((Inputs!$E$5:$E$110=$B25)*ISNUMBER(INDEX(Inputs!$K$5:$AJ$110,0,MATCH(F$2,Inputs!$K$4:$AJ$4,0))))=0,NA(),SUMPRODUCT((Inputs!$A$5:$A$110=$B25)*Inputs!$B$5:$B$110*(((Inputs!$G$5:$G$110="moeda")+(Inputs!$G$5:$G$110="acoes"))*Inputs!$B$1+((Inputs!$G$5:$G$110&lt;&gt;"moeda")*(Inputs!$G$5:$G$110&lt;&gt;"acoes")))*INDEX(Inputs!$K$5:$AJ$110,0,MATCH(F$2,Inputs!$K$4:$AJ$4,0)))+SUMPRODUCT((Inputs!$C$5:$C$110=$B25)*Inputs!$D$5:$D$110*(((Inputs!$G$5:$G$110="moeda")+(Inputs!$G$5:$G$110="acoes"))*Inputs!$B$1+((Inputs!$G$5:$G$110&lt;&gt;"moeda")*(Inputs!$G$5:$G$110&lt;&gt;"acoes")))*INDEX(Inputs!$K$5:$AJ$110,0,MATCH(F$2,Inputs!$K$4:$AJ$4,0)))+SUMPRODUCT((Inputs!$E$5:$E$110=$B25)*Inputs!$F$5:$F$110*(((Inputs!$G$5:$G$110="moeda")+(Inputs!$G$5:$G$110="acoes"))*Inputs!$B$1+((Inputs!$G$5:$G$110&lt;&gt;"moeda")*(Inputs!$G$5:$G$110&lt;&gt;"acoes")))*INDEX(Inputs!$K$5:$AJ$110,0,MATCH(F$2,Inputs!$K$4:$AJ$4,0)))))</f>
        <v>2768</v>
      </c>
      <c r="G25" s="6">
        <f>IF(ISNA(MATCH(G$2,Inputs!$K$4:$AJ$4,0)),NA(),IF(SUMPRODUCT((Inputs!$A$5:$A$110=$B25)*ISNUMBER(INDEX(Inputs!$K$5:$AJ$110,0,MATCH(G$2,Inputs!$K$4:$AJ$4,0))))+SUMPRODUCT((Inputs!$C$5:$C$110=$B25)*ISNUMBER(INDEX(Inputs!$K$5:$AJ$110,0,MATCH(G$2,Inputs!$K$4:$AJ$4,0))))+SUMPRODUCT((Inputs!$E$5:$E$110=$B25)*ISNUMBER(INDEX(Inputs!$K$5:$AJ$110,0,MATCH(G$2,Inputs!$K$4:$AJ$4,0))))=0,NA(),SUMPRODUCT((Inputs!$A$5:$A$110=$B25)*Inputs!$B$5:$B$110*(((Inputs!$G$5:$G$110="moeda")+(Inputs!$G$5:$G$110="acoes"))*Inputs!$B$1+((Inputs!$G$5:$G$110&lt;&gt;"moeda")*(Inputs!$G$5:$G$110&lt;&gt;"acoes")))*INDEX(Inputs!$K$5:$AJ$110,0,MATCH(G$2,Inputs!$K$4:$AJ$4,0)))+SUMPRODUCT((Inputs!$C$5:$C$110=$B25)*Inputs!$D$5:$D$110*(((Inputs!$G$5:$G$110="moeda")+(Inputs!$G$5:$G$110="acoes"))*Inputs!$B$1+((Inputs!$G$5:$G$110&lt;&gt;"moeda")*(Inputs!$G$5:$G$110&lt;&gt;"acoes")))*INDEX(Inputs!$K$5:$AJ$110,0,MATCH(G$2,Inputs!$K$4:$AJ$4,0)))+SUMPRODUCT((Inputs!$E$5:$E$110=$B25)*Inputs!$F$5:$F$110*(((Inputs!$G$5:$G$110="moeda")+(Inputs!$G$5:$G$110="acoes"))*Inputs!$B$1+((Inputs!$G$5:$G$110&lt;&gt;"moeda")*(Inputs!$G$5:$G$110&lt;&gt;"acoes")))*INDEX(Inputs!$K$5:$AJ$110,0,MATCH(G$2,Inputs!$K$4:$AJ$4,0)))))</f>
        <v>2706</v>
      </c>
      <c r="H25" s="3">
        <f>G25</f>
        <v>2706</v>
      </c>
      <c r="I25" s="6">
        <f>IF(ISNA(MATCH(I$2,Inputs!$K$4:$AJ$4,0)),NA(),IF(SUMPRODUCT((Inputs!$A$5:$A$110=$B25)*ISNUMBER(INDEX(Inputs!$K$5:$AJ$110,0,MATCH(I$2,Inputs!$K$4:$AJ$4,0))))+SUMPRODUCT((Inputs!$C$5:$C$110=$B25)*ISNUMBER(INDEX(Inputs!$K$5:$AJ$110,0,MATCH(I$2,Inputs!$K$4:$AJ$4,0))))+SUMPRODUCT((Inputs!$E$5:$E$110=$B25)*ISNUMBER(INDEX(Inputs!$K$5:$AJ$110,0,MATCH(I$2,Inputs!$K$4:$AJ$4,0))))=0,NA(),SUMPRODUCT((Inputs!$A$5:$A$110=$B25)*Inputs!$B$5:$B$110*(((Inputs!$G$5:$G$110="moeda")+(Inputs!$G$5:$G$110="acoes"))*Inputs!$B$1+((Inputs!$G$5:$G$110&lt;&gt;"moeda")*(Inputs!$G$5:$G$110&lt;&gt;"acoes")))*INDEX(Inputs!$K$5:$AJ$110,0,MATCH(I$2,Inputs!$K$4:$AJ$4,0)))+SUMPRODUCT((Inputs!$C$5:$C$110=$B25)*Inputs!$D$5:$D$110*(((Inputs!$G$5:$G$110="moeda")+(Inputs!$G$5:$G$110="acoes"))*Inputs!$B$1+((Inputs!$G$5:$G$110&lt;&gt;"moeda")*(Inputs!$G$5:$G$110&lt;&gt;"acoes")))*INDEX(Inputs!$K$5:$AJ$110,0,MATCH(I$2,Inputs!$K$4:$AJ$4,0)))+SUMPRODUCT((Inputs!$E$5:$E$110=$B25)*Inputs!$F$5:$F$110*(((Inputs!$G$5:$G$110="moeda")+(Inputs!$G$5:$G$110="acoes"))*Inputs!$B$1+((Inputs!$G$5:$G$110&lt;&gt;"moeda")*(Inputs!$G$5:$G$110&lt;&gt;"acoes")))*INDEX(Inputs!$K$5:$AJ$110,0,MATCH(I$2,Inputs!$K$4:$AJ$4,0)))))</f>
        <v>2644</v>
      </c>
      <c r="J25" s="6">
        <f>IF(ISNA(MATCH(J$2,Inputs!$K$4:$AJ$4,0)),NA(),IF(SUMPRODUCT((Inputs!$A$5:$A$110=$B25)*ISNUMBER(INDEX(Inputs!$K$5:$AJ$110,0,MATCH(J$2,Inputs!$K$4:$AJ$4,0))))+SUMPRODUCT((Inputs!$C$5:$C$110=$B25)*ISNUMBER(INDEX(Inputs!$K$5:$AJ$110,0,MATCH(J$2,Inputs!$K$4:$AJ$4,0))))+SUMPRODUCT((Inputs!$E$5:$E$110=$B25)*ISNUMBER(INDEX(Inputs!$K$5:$AJ$110,0,MATCH(J$2,Inputs!$K$4:$AJ$4,0))))=0,NA(),SUMPRODUCT((Inputs!$A$5:$A$110=$B25)*Inputs!$B$5:$B$110*(((Inputs!$G$5:$G$110="moeda")+(Inputs!$G$5:$G$110="acoes"))*Inputs!$B$1+((Inputs!$G$5:$G$110&lt;&gt;"moeda")*(Inputs!$G$5:$G$110&lt;&gt;"acoes")))*INDEX(Inputs!$K$5:$AJ$110,0,MATCH(J$2,Inputs!$K$4:$AJ$4,0)))+SUMPRODUCT((Inputs!$C$5:$C$110=$B25)*Inputs!$D$5:$D$110*(((Inputs!$G$5:$G$110="moeda")+(Inputs!$G$5:$G$110="acoes"))*Inputs!$B$1+((Inputs!$G$5:$G$110&lt;&gt;"moeda")*(Inputs!$G$5:$G$110&lt;&gt;"acoes")))*INDEX(Inputs!$K$5:$AJ$110,0,MATCH(J$2,Inputs!$K$4:$AJ$4,0)))+SUMPRODUCT((Inputs!$E$5:$E$110=$B25)*Inputs!$F$5:$F$110*(((Inputs!$G$5:$G$110="moeda")+(Inputs!$G$5:$G$110="acoes"))*Inputs!$B$1+((Inputs!$G$5:$G$110&lt;&gt;"moeda")*(Inputs!$G$5:$G$110&lt;&gt;"acoes")))*INDEX(Inputs!$K$5:$AJ$110,0,MATCH(J$2,Inputs!$K$4:$AJ$4,0)))))</f>
        <v>2584</v>
      </c>
      <c r="K25" s="6">
        <f>IF(ISNA(MATCH(K$2,Inputs!$K$4:$AJ$4,0)),NA(),IF(SUMPRODUCT((Inputs!$A$5:$A$110=$B25)*ISNUMBER(INDEX(Inputs!$K$5:$AJ$110,0,MATCH(K$2,Inputs!$K$4:$AJ$4,0))))+SUMPRODUCT((Inputs!$C$5:$C$110=$B25)*ISNUMBER(INDEX(Inputs!$K$5:$AJ$110,0,MATCH(K$2,Inputs!$K$4:$AJ$4,0))))+SUMPRODUCT((Inputs!$E$5:$E$110=$B25)*ISNUMBER(INDEX(Inputs!$K$5:$AJ$110,0,MATCH(K$2,Inputs!$K$4:$AJ$4,0))))=0,NA(),SUMPRODUCT((Inputs!$A$5:$A$110=$B25)*Inputs!$B$5:$B$110*(((Inputs!$G$5:$G$110="moeda")+(Inputs!$G$5:$G$110="acoes"))*Inputs!$B$1+((Inputs!$G$5:$G$110&lt;&gt;"moeda")*(Inputs!$G$5:$G$110&lt;&gt;"acoes")))*INDEX(Inputs!$K$5:$AJ$110,0,MATCH(K$2,Inputs!$K$4:$AJ$4,0)))+SUMPRODUCT((Inputs!$C$5:$C$110=$B25)*Inputs!$D$5:$D$110*(((Inputs!$G$5:$G$110="moeda")+(Inputs!$G$5:$G$110="acoes"))*Inputs!$B$1+((Inputs!$G$5:$G$110&lt;&gt;"moeda")*(Inputs!$G$5:$G$110&lt;&gt;"acoes")))*INDEX(Inputs!$K$5:$AJ$110,0,MATCH(K$2,Inputs!$K$4:$AJ$4,0)))+SUMPRODUCT((Inputs!$E$5:$E$110=$B25)*Inputs!$F$5:$F$110*(((Inputs!$G$5:$G$110="moeda")+(Inputs!$G$5:$G$110="acoes"))*Inputs!$B$1+((Inputs!$G$5:$G$110&lt;&gt;"moeda")*(Inputs!$G$5:$G$110&lt;&gt;"acoes")))*INDEX(Inputs!$K$5:$AJ$110,0,MATCH(K$2,Inputs!$K$4:$AJ$4,0)))))</f>
        <v>2521</v>
      </c>
      <c r="L25" s="6">
        <f>IF(ISNA(MATCH(L$2,Inputs!$K$4:$AJ$4,0)),NA(),IF(SUMPRODUCT((Inputs!$A$5:$A$110=$B25)*ISNUMBER(INDEX(Inputs!$K$5:$AJ$110,0,MATCH(L$2,Inputs!$K$4:$AJ$4,0))))+SUMPRODUCT((Inputs!$C$5:$C$110=$B25)*ISNUMBER(INDEX(Inputs!$K$5:$AJ$110,0,MATCH(L$2,Inputs!$K$4:$AJ$4,0))))+SUMPRODUCT((Inputs!$E$5:$E$110=$B25)*ISNUMBER(INDEX(Inputs!$K$5:$AJ$110,0,MATCH(L$2,Inputs!$K$4:$AJ$4,0))))=0,NA(),SUMPRODUCT((Inputs!$A$5:$A$110=$B25)*Inputs!$B$5:$B$110*(((Inputs!$G$5:$G$110="moeda")+(Inputs!$G$5:$G$110="acoes"))*Inputs!$B$1+((Inputs!$G$5:$G$110&lt;&gt;"moeda")*(Inputs!$G$5:$G$110&lt;&gt;"acoes")))*INDEX(Inputs!$K$5:$AJ$110,0,MATCH(L$2,Inputs!$K$4:$AJ$4,0)))+SUMPRODUCT((Inputs!$C$5:$C$110=$B25)*Inputs!$D$5:$D$110*(((Inputs!$G$5:$G$110="moeda")+(Inputs!$G$5:$G$110="acoes"))*Inputs!$B$1+((Inputs!$G$5:$G$110&lt;&gt;"moeda")*(Inputs!$G$5:$G$110&lt;&gt;"acoes")))*INDEX(Inputs!$K$5:$AJ$110,0,MATCH(L$2,Inputs!$K$4:$AJ$4,0)))+SUMPRODUCT((Inputs!$E$5:$E$110=$B25)*Inputs!$F$5:$F$110*(((Inputs!$G$5:$G$110="moeda")+(Inputs!$G$5:$G$110="acoes"))*Inputs!$B$1+((Inputs!$G$5:$G$110&lt;&gt;"moeda")*(Inputs!$G$5:$G$110&lt;&gt;"acoes")))*INDEX(Inputs!$K$5:$AJ$110,0,MATCH(L$2,Inputs!$K$4:$AJ$4,0)))))</f>
        <v>2459</v>
      </c>
      <c r="M25" s="3">
        <f>L25</f>
        <v>2459</v>
      </c>
      <c r="N25" s="6">
        <f>IF(ISNA(MATCH(N$2,Inputs!$K$4:$AJ$4,0)),NA(),IF(SUMPRODUCT((Inputs!$A$5:$A$110=$B25)*ISNUMBER(INDEX(Inputs!$K$5:$AJ$110,0,MATCH(N$2,Inputs!$K$4:$AJ$4,0))))+SUMPRODUCT((Inputs!$C$5:$C$110=$B25)*ISNUMBER(INDEX(Inputs!$K$5:$AJ$110,0,MATCH(N$2,Inputs!$K$4:$AJ$4,0))))+SUMPRODUCT((Inputs!$E$5:$E$110=$B25)*ISNUMBER(INDEX(Inputs!$K$5:$AJ$110,0,MATCH(N$2,Inputs!$K$4:$AJ$4,0))))=0,NA(),SUMPRODUCT((Inputs!$A$5:$A$110=$B25)*Inputs!$B$5:$B$110*(((Inputs!$G$5:$G$110="moeda")+(Inputs!$G$5:$G$110="acoes"))*Inputs!$B$1+((Inputs!$G$5:$G$110&lt;&gt;"moeda")*(Inputs!$G$5:$G$110&lt;&gt;"acoes")))*INDEX(Inputs!$K$5:$AJ$110,0,MATCH(N$2,Inputs!$K$4:$AJ$4,0)))+SUMPRODUCT((Inputs!$C$5:$C$110=$B25)*Inputs!$D$5:$D$110*(((Inputs!$G$5:$G$110="moeda")+(Inputs!$G$5:$G$110="acoes"))*Inputs!$B$1+((Inputs!$G$5:$G$110&lt;&gt;"moeda")*(Inputs!$G$5:$G$110&lt;&gt;"acoes")))*INDEX(Inputs!$K$5:$AJ$110,0,MATCH(N$2,Inputs!$K$4:$AJ$4,0)))+SUMPRODUCT((Inputs!$E$5:$E$110=$B25)*Inputs!$F$5:$F$110*(((Inputs!$G$5:$G$110="moeda")+(Inputs!$G$5:$G$110="acoes"))*Inputs!$B$1+((Inputs!$G$5:$G$110&lt;&gt;"moeda")*(Inputs!$G$5:$G$110&lt;&gt;"acoes")))*INDEX(Inputs!$K$5:$AJ$110,0,MATCH(N$2,Inputs!$K$4:$AJ$4,0)))))</f>
        <v>2397</v>
      </c>
      <c r="O25" s="6">
        <f>IF(ISNA(MATCH(O$2,Inputs!$K$4:$AJ$4,0)),NA(),IF(SUMPRODUCT((Inputs!$A$5:$A$110=$B25)*ISNUMBER(INDEX(Inputs!$K$5:$AJ$110,0,MATCH(O$2,Inputs!$K$4:$AJ$4,0))))+SUMPRODUCT((Inputs!$C$5:$C$110=$B25)*ISNUMBER(INDEX(Inputs!$K$5:$AJ$110,0,MATCH(O$2,Inputs!$K$4:$AJ$4,0))))+SUMPRODUCT((Inputs!$E$5:$E$110=$B25)*ISNUMBER(INDEX(Inputs!$K$5:$AJ$110,0,MATCH(O$2,Inputs!$K$4:$AJ$4,0))))=0,NA(),SUMPRODUCT((Inputs!$A$5:$A$110=$B25)*Inputs!$B$5:$B$110*(((Inputs!$G$5:$G$110="moeda")+(Inputs!$G$5:$G$110="acoes"))*Inputs!$B$1+((Inputs!$G$5:$G$110&lt;&gt;"moeda")*(Inputs!$G$5:$G$110&lt;&gt;"acoes")))*INDEX(Inputs!$K$5:$AJ$110,0,MATCH(O$2,Inputs!$K$4:$AJ$4,0)))+SUMPRODUCT((Inputs!$C$5:$C$110=$B25)*Inputs!$D$5:$D$110*(((Inputs!$G$5:$G$110="moeda")+(Inputs!$G$5:$G$110="acoes"))*Inputs!$B$1+((Inputs!$G$5:$G$110&lt;&gt;"moeda")*(Inputs!$G$5:$G$110&lt;&gt;"acoes")))*INDEX(Inputs!$K$5:$AJ$110,0,MATCH(O$2,Inputs!$K$4:$AJ$4,0)))+SUMPRODUCT((Inputs!$E$5:$E$110=$B25)*Inputs!$F$5:$F$110*(((Inputs!$G$5:$G$110="moeda")+(Inputs!$G$5:$G$110="acoes"))*Inputs!$B$1+((Inputs!$G$5:$G$110&lt;&gt;"moeda")*(Inputs!$G$5:$G$110&lt;&gt;"acoes")))*INDEX(Inputs!$K$5:$AJ$110,0,MATCH(O$2,Inputs!$K$4:$AJ$4,0)))))</f>
        <v>2336</v>
      </c>
      <c r="P25" s="6">
        <f>IF(ISNA(MATCH(P$2,Inputs!$K$4:$AJ$4,0)),NA(),IF(SUMPRODUCT((Inputs!$A$5:$A$110=$B25)*ISNUMBER(INDEX(Inputs!$K$5:$AJ$110,0,MATCH(P$2,Inputs!$K$4:$AJ$4,0))))+SUMPRODUCT((Inputs!$C$5:$C$110=$B25)*ISNUMBER(INDEX(Inputs!$K$5:$AJ$110,0,MATCH(P$2,Inputs!$K$4:$AJ$4,0))))+SUMPRODUCT((Inputs!$E$5:$E$110=$B25)*ISNUMBER(INDEX(Inputs!$K$5:$AJ$110,0,MATCH(P$2,Inputs!$K$4:$AJ$4,0))))=0,NA(),SUMPRODUCT((Inputs!$A$5:$A$110=$B25)*Inputs!$B$5:$B$110*(((Inputs!$G$5:$G$110="moeda")+(Inputs!$G$5:$G$110="acoes"))*Inputs!$B$1+((Inputs!$G$5:$G$110&lt;&gt;"moeda")*(Inputs!$G$5:$G$110&lt;&gt;"acoes")))*INDEX(Inputs!$K$5:$AJ$110,0,MATCH(P$2,Inputs!$K$4:$AJ$4,0)))+SUMPRODUCT((Inputs!$C$5:$C$110=$B25)*Inputs!$D$5:$D$110*(((Inputs!$G$5:$G$110="moeda")+(Inputs!$G$5:$G$110="acoes"))*Inputs!$B$1+((Inputs!$G$5:$G$110&lt;&gt;"moeda")*(Inputs!$G$5:$G$110&lt;&gt;"acoes")))*INDEX(Inputs!$K$5:$AJ$110,0,MATCH(P$2,Inputs!$K$4:$AJ$4,0)))+SUMPRODUCT((Inputs!$E$5:$E$110=$B25)*Inputs!$F$5:$F$110*(((Inputs!$G$5:$G$110="moeda")+(Inputs!$G$5:$G$110="acoes"))*Inputs!$B$1+((Inputs!$G$5:$G$110&lt;&gt;"moeda")*(Inputs!$G$5:$G$110&lt;&gt;"acoes")))*INDEX(Inputs!$K$5:$AJ$110,0,MATCH(P$2,Inputs!$K$4:$AJ$4,0)))))</f>
        <v>2274</v>
      </c>
      <c r="Q25" s="6">
        <f>IF(ISNA(MATCH(Q$2,Inputs!$K$4:$AJ$4,0)),NA(),IF(SUMPRODUCT((Inputs!$A$5:$A$110=$B25)*ISNUMBER(INDEX(Inputs!$K$5:$AJ$110,0,MATCH(Q$2,Inputs!$K$4:$AJ$4,0))))+SUMPRODUCT((Inputs!$C$5:$C$110=$B25)*ISNUMBER(INDEX(Inputs!$K$5:$AJ$110,0,MATCH(Q$2,Inputs!$K$4:$AJ$4,0))))+SUMPRODUCT((Inputs!$E$5:$E$110=$B25)*ISNUMBER(INDEX(Inputs!$K$5:$AJ$110,0,MATCH(Q$2,Inputs!$K$4:$AJ$4,0))))=0,NA(),SUMPRODUCT((Inputs!$A$5:$A$110=$B25)*Inputs!$B$5:$B$110*(((Inputs!$G$5:$G$110="moeda")+(Inputs!$G$5:$G$110="acoes"))*Inputs!$B$1+((Inputs!$G$5:$G$110&lt;&gt;"moeda")*(Inputs!$G$5:$G$110&lt;&gt;"acoes")))*INDEX(Inputs!$K$5:$AJ$110,0,MATCH(Q$2,Inputs!$K$4:$AJ$4,0)))+SUMPRODUCT((Inputs!$C$5:$C$110=$B25)*Inputs!$D$5:$D$110*(((Inputs!$G$5:$G$110="moeda")+(Inputs!$G$5:$G$110="acoes"))*Inputs!$B$1+((Inputs!$G$5:$G$110&lt;&gt;"moeda")*(Inputs!$G$5:$G$110&lt;&gt;"acoes")))*INDEX(Inputs!$K$5:$AJ$110,0,MATCH(Q$2,Inputs!$K$4:$AJ$4,0)))+SUMPRODUCT((Inputs!$E$5:$E$110=$B25)*Inputs!$F$5:$F$110*(((Inputs!$G$5:$G$110="moeda")+(Inputs!$G$5:$G$110="acoes"))*Inputs!$B$1+((Inputs!$G$5:$G$110&lt;&gt;"moeda")*(Inputs!$G$5:$G$110&lt;&gt;"acoes")))*INDEX(Inputs!$K$5:$AJ$110,0,MATCH(Q$2,Inputs!$K$4:$AJ$4,0)))))</f>
        <v>2212</v>
      </c>
      <c r="R25" s="3">
        <f>Q25</f>
        <v>2212</v>
      </c>
      <c r="S25" s="6">
        <f>IF(ISNA(MATCH(S$2,Inputs!$K$4:$AJ$4,0)),NA(),IF(SUMPRODUCT((Inputs!$A$5:$A$110=$B25)*ISNUMBER(INDEX(Inputs!$K$5:$AJ$110,0,MATCH(S$2,Inputs!$K$4:$AJ$4,0))))+SUMPRODUCT((Inputs!$C$5:$C$110=$B25)*ISNUMBER(INDEX(Inputs!$K$5:$AJ$110,0,MATCH(S$2,Inputs!$K$4:$AJ$4,0))))+SUMPRODUCT((Inputs!$E$5:$E$110=$B25)*ISNUMBER(INDEX(Inputs!$K$5:$AJ$110,0,MATCH(S$2,Inputs!$K$4:$AJ$4,0))))=0,NA(),SUMPRODUCT((Inputs!$A$5:$A$110=$B25)*Inputs!$B$5:$B$110*(((Inputs!$G$5:$G$110="moeda")+(Inputs!$G$5:$G$110="acoes"))*Inputs!$B$1+((Inputs!$G$5:$G$110&lt;&gt;"moeda")*(Inputs!$G$5:$G$110&lt;&gt;"acoes")))*INDEX(Inputs!$K$5:$AJ$110,0,MATCH(S$2,Inputs!$K$4:$AJ$4,0)))+SUMPRODUCT((Inputs!$C$5:$C$110=$B25)*Inputs!$D$5:$D$110*(((Inputs!$G$5:$G$110="moeda")+(Inputs!$G$5:$G$110="acoes"))*Inputs!$B$1+((Inputs!$G$5:$G$110&lt;&gt;"moeda")*(Inputs!$G$5:$G$110&lt;&gt;"acoes")))*INDEX(Inputs!$K$5:$AJ$110,0,MATCH(S$2,Inputs!$K$4:$AJ$4,0)))+SUMPRODUCT((Inputs!$E$5:$E$110=$B25)*Inputs!$F$5:$F$110*(((Inputs!$G$5:$G$110="moeda")+(Inputs!$G$5:$G$110="acoes"))*Inputs!$B$1+((Inputs!$G$5:$G$110&lt;&gt;"moeda")*(Inputs!$G$5:$G$110&lt;&gt;"acoes")))*INDEX(Inputs!$K$5:$AJ$110,0,MATCH(S$2,Inputs!$K$4:$AJ$4,0)))))</f>
        <v>2151</v>
      </c>
      <c r="T25" s="6">
        <f>IF(ISNA(MATCH(T$2,Inputs!$K$4:$AJ$4,0)),NA(),IF(SUMPRODUCT((Inputs!$A$5:$A$110=$B25)*ISNUMBER(INDEX(Inputs!$K$5:$AJ$110,0,MATCH(T$2,Inputs!$K$4:$AJ$4,0))))+SUMPRODUCT((Inputs!$C$5:$C$110=$B25)*ISNUMBER(INDEX(Inputs!$K$5:$AJ$110,0,MATCH(T$2,Inputs!$K$4:$AJ$4,0))))+SUMPRODUCT((Inputs!$E$5:$E$110=$B25)*ISNUMBER(INDEX(Inputs!$K$5:$AJ$110,0,MATCH(T$2,Inputs!$K$4:$AJ$4,0))))=0,NA(),SUMPRODUCT((Inputs!$A$5:$A$110=$B25)*Inputs!$B$5:$B$110*(((Inputs!$G$5:$G$110="moeda")+(Inputs!$G$5:$G$110="acoes"))*Inputs!$B$1+((Inputs!$G$5:$G$110&lt;&gt;"moeda")*(Inputs!$G$5:$G$110&lt;&gt;"acoes")))*INDEX(Inputs!$K$5:$AJ$110,0,MATCH(T$2,Inputs!$K$4:$AJ$4,0)))+SUMPRODUCT((Inputs!$C$5:$C$110=$B25)*Inputs!$D$5:$D$110*(((Inputs!$G$5:$G$110="moeda")+(Inputs!$G$5:$G$110="acoes"))*Inputs!$B$1+((Inputs!$G$5:$G$110&lt;&gt;"moeda")*(Inputs!$G$5:$G$110&lt;&gt;"acoes")))*INDEX(Inputs!$K$5:$AJ$110,0,MATCH(T$2,Inputs!$K$4:$AJ$4,0)))+SUMPRODUCT((Inputs!$E$5:$E$110=$B25)*Inputs!$F$5:$F$110*(((Inputs!$G$5:$G$110="moeda")+(Inputs!$G$5:$G$110="acoes"))*Inputs!$B$1+((Inputs!$G$5:$G$110&lt;&gt;"moeda")*(Inputs!$G$5:$G$110&lt;&gt;"acoes")))*INDEX(Inputs!$K$5:$AJ$110,0,MATCH(T$2,Inputs!$K$4:$AJ$4,0)))))</f>
        <v>2040</v>
      </c>
      <c r="U25" s="6">
        <f>IF(ISNA(MATCH(U$2,Inputs!$K$4:$AJ$4,0)),NA(),IF(SUMPRODUCT((Inputs!$A$5:$A$110=$B25)*ISNUMBER(INDEX(Inputs!$K$5:$AJ$110,0,MATCH(U$2,Inputs!$K$4:$AJ$4,0))))+SUMPRODUCT((Inputs!$C$5:$C$110=$B25)*ISNUMBER(INDEX(Inputs!$K$5:$AJ$110,0,MATCH(U$2,Inputs!$K$4:$AJ$4,0))))+SUMPRODUCT((Inputs!$E$5:$E$110=$B25)*ISNUMBER(INDEX(Inputs!$K$5:$AJ$110,0,MATCH(U$2,Inputs!$K$4:$AJ$4,0))))=0,NA(),SUMPRODUCT((Inputs!$A$5:$A$110=$B25)*Inputs!$B$5:$B$110*(((Inputs!$G$5:$G$110="moeda")+(Inputs!$G$5:$G$110="acoes"))*Inputs!$B$1+((Inputs!$G$5:$G$110&lt;&gt;"moeda")*(Inputs!$G$5:$G$110&lt;&gt;"acoes")))*INDEX(Inputs!$K$5:$AJ$110,0,MATCH(U$2,Inputs!$K$4:$AJ$4,0)))+SUMPRODUCT((Inputs!$C$5:$C$110=$B25)*Inputs!$D$5:$D$110*(((Inputs!$G$5:$G$110="moeda")+(Inputs!$G$5:$G$110="acoes"))*Inputs!$B$1+((Inputs!$G$5:$G$110&lt;&gt;"moeda")*(Inputs!$G$5:$G$110&lt;&gt;"acoes")))*INDEX(Inputs!$K$5:$AJ$110,0,MATCH(U$2,Inputs!$K$4:$AJ$4,0)))+SUMPRODUCT((Inputs!$E$5:$E$110=$B25)*Inputs!$F$5:$F$110*(((Inputs!$G$5:$G$110="moeda")+(Inputs!$G$5:$G$110="acoes"))*Inputs!$B$1+((Inputs!$G$5:$G$110&lt;&gt;"moeda")*(Inputs!$G$5:$G$110&lt;&gt;"acoes")))*INDEX(Inputs!$K$5:$AJ$110,0,MATCH(U$2,Inputs!$K$4:$AJ$4,0)))))</f>
        <v>1979</v>
      </c>
      <c r="V25" s="6">
        <f>IF(ISNA(MATCH(V$2,Inputs!$K$4:$AJ$4,0)),NA(),IF(SUMPRODUCT((Inputs!$A$5:$A$110=$B25)*ISNUMBER(INDEX(Inputs!$K$5:$AJ$110,0,MATCH(V$2,Inputs!$K$4:$AJ$4,0))))+SUMPRODUCT((Inputs!$C$5:$C$110=$B25)*ISNUMBER(INDEX(Inputs!$K$5:$AJ$110,0,MATCH(V$2,Inputs!$K$4:$AJ$4,0))))+SUMPRODUCT((Inputs!$E$5:$E$110=$B25)*ISNUMBER(INDEX(Inputs!$K$5:$AJ$110,0,MATCH(V$2,Inputs!$K$4:$AJ$4,0))))=0,NA(),SUMPRODUCT((Inputs!$A$5:$A$110=$B25)*Inputs!$B$5:$B$110*(((Inputs!$G$5:$G$110="moeda")+(Inputs!$G$5:$G$110="acoes"))*Inputs!$B$1+((Inputs!$G$5:$G$110&lt;&gt;"moeda")*(Inputs!$G$5:$G$110&lt;&gt;"acoes")))*INDEX(Inputs!$K$5:$AJ$110,0,MATCH(V$2,Inputs!$K$4:$AJ$4,0)))+SUMPRODUCT((Inputs!$C$5:$C$110=$B25)*Inputs!$D$5:$D$110*(((Inputs!$G$5:$G$110="moeda")+(Inputs!$G$5:$G$110="acoes"))*Inputs!$B$1+((Inputs!$G$5:$G$110&lt;&gt;"moeda")*(Inputs!$G$5:$G$110&lt;&gt;"acoes")))*INDEX(Inputs!$K$5:$AJ$110,0,MATCH(V$2,Inputs!$K$4:$AJ$4,0)))+SUMPRODUCT((Inputs!$E$5:$E$110=$B25)*Inputs!$F$5:$F$110*(((Inputs!$G$5:$G$110="moeda")+(Inputs!$G$5:$G$110="acoes"))*Inputs!$B$1+((Inputs!$G$5:$G$110&lt;&gt;"moeda")*(Inputs!$G$5:$G$110&lt;&gt;"acoes")))*INDEX(Inputs!$K$5:$AJ$110,0,MATCH(V$2,Inputs!$K$4:$AJ$4,0)))))</f>
        <v>2015</v>
      </c>
      <c r="W25" s="3">
        <f>V25</f>
        <v>2015</v>
      </c>
      <c r="X25" s="6">
        <f>IF(ISNA(MATCH(X$2,Inputs!$K$4:$AJ$4,0)),NA(),IF(SUMPRODUCT((Inputs!$A$5:$A$110=$B25)*ISNUMBER(INDEX(Inputs!$K$5:$AJ$110,0,MATCH(X$2,Inputs!$K$4:$AJ$4,0))))+SUMPRODUCT((Inputs!$C$5:$C$110=$B25)*ISNUMBER(INDEX(Inputs!$K$5:$AJ$110,0,MATCH(X$2,Inputs!$K$4:$AJ$4,0))))+SUMPRODUCT((Inputs!$E$5:$E$110=$B25)*ISNUMBER(INDEX(Inputs!$K$5:$AJ$110,0,MATCH(X$2,Inputs!$K$4:$AJ$4,0))))=0,NA(),SUMPRODUCT((Inputs!$A$5:$A$110=$B25)*Inputs!$B$5:$B$110*(((Inputs!$G$5:$G$110="moeda")+(Inputs!$G$5:$G$110="acoes"))*Inputs!$B$1+((Inputs!$G$5:$G$110&lt;&gt;"moeda")*(Inputs!$G$5:$G$110&lt;&gt;"acoes")))*INDEX(Inputs!$K$5:$AJ$110,0,MATCH(X$2,Inputs!$K$4:$AJ$4,0)))+SUMPRODUCT((Inputs!$C$5:$C$110=$B25)*Inputs!$D$5:$D$110*(((Inputs!$G$5:$G$110="moeda")+(Inputs!$G$5:$G$110="acoes"))*Inputs!$B$1+((Inputs!$G$5:$G$110&lt;&gt;"moeda")*(Inputs!$G$5:$G$110&lt;&gt;"acoes")))*INDEX(Inputs!$K$5:$AJ$110,0,MATCH(X$2,Inputs!$K$4:$AJ$4,0)))+SUMPRODUCT((Inputs!$E$5:$E$110=$B25)*Inputs!$F$5:$F$110*(((Inputs!$G$5:$G$110="moeda")+(Inputs!$G$5:$G$110="acoes"))*Inputs!$B$1+((Inputs!$G$5:$G$110&lt;&gt;"moeda")*(Inputs!$G$5:$G$110&lt;&gt;"acoes")))*INDEX(Inputs!$K$5:$AJ$110,0,MATCH(X$2,Inputs!$K$4:$AJ$4,0)))))</f>
        <v>1952</v>
      </c>
      <c r="Y25" s="6">
        <f>IF(ISNA(MATCH(Y$2,Inputs!$K$4:$AJ$4,0)),NA(),IF(SUMPRODUCT((Inputs!$A$5:$A$110=$B25)*ISNUMBER(INDEX(Inputs!$K$5:$AJ$110,0,MATCH(Y$2,Inputs!$K$4:$AJ$4,0))))+SUMPRODUCT((Inputs!$C$5:$C$110=$B25)*ISNUMBER(INDEX(Inputs!$K$5:$AJ$110,0,MATCH(Y$2,Inputs!$K$4:$AJ$4,0))))+SUMPRODUCT((Inputs!$E$5:$E$110=$B25)*ISNUMBER(INDEX(Inputs!$K$5:$AJ$110,0,MATCH(Y$2,Inputs!$K$4:$AJ$4,0))))=0,NA(),SUMPRODUCT((Inputs!$A$5:$A$110=$B25)*Inputs!$B$5:$B$110*(((Inputs!$G$5:$G$110="moeda")+(Inputs!$G$5:$G$110="acoes"))*Inputs!$B$1+((Inputs!$G$5:$G$110&lt;&gt;"moeda")*(Inputs!$G$5:$G$110&lt;&gt;"acoes")))*INDEX(Inputs!$K$5:$AJ$110,0,MATCH(Y$2,Inputs!$K$4:$AJ$4,0)))+SUMPRODUCT((Inputs!$C$5:$C$110=$B25)*Inputs!$D$5:$D$110*(((Inputs!$G$5:$G$110="moeda")+(Inputs!$G$5:$G$110="acoes"))*Inputs!$B$1+((Inputs!$G$5:$G$110&lt;&gt;"moeda")*(Inputs!$G$5:$G$110&lt;&gt;"acoes")))*INDEX(Inputs!$K$5:$AJ$110,0,MATCH(Y$2,Inputs!$K$4:$AJ$4,0)))+SUMPRODUCT((Inputs!$E$5:$E$110=$B25)*Inputs!$F$5:$F$110*(((Inputs!$G$5:$G$110="moeda")+(Inputs!$G$5:$G$110="acoes"))*Inputs!$B$1+((Inputs!$G$5:$G$110&lt;&gt;"moeda")*(Inputs!$G$5:$G$110&lt;&gt;"acoes")))*INDEX(Inputs!$K$5:$AJ$110,0,MATCH(Y$2,Inputs!$K$4:$AJ$4,0)))))</f>
        <v>2013</v>
      </c>
      <c r="Z25" s="6">
        <f>IF(ISNA(MATCH(Z$2,Inputs!$K$4:$AJ$4,0)),NA(),IF(SUMPRODUCT((Inputs!$A$5:$A$110=$B25)*ISNUMBER(INDEX(Inputs!$K$5:$AJ$110,0,MATCH(Z$2,Inputs!$K$4:$AJ$4,0))))+SUMPRODUCT((Inputs!$C$5:$C$110=$B25)*ISNUMBER(INDEX(Inputs!$K$5:$AJ$110,0,MATCH(Z$2,Inputs!$K$4:$AJ$4,0))))+SUMPRODUCT((Inputs!$E$5:$E$110=$B25)*ISNUMBER(INDEX(Inputs!$K$5:$AJ$110,0,MATCH(Z$2,Inputs!$K$4:$AJ$4,0))))=0,NA(),SUMPRODUCT((Inputs!$A$5:$A$110=$B25)*Inputs!$B$5:$B$110*(((Inputs!$G$5:$G$110="moeda")+(Inputs!$G$5:$G$110="acoes"))*Inputs!$B$1+((Inputs!$G$5:$G$110&lt;&gt;"moeda")*(Inputs!$G$5:$G$110&lt;&gt;"acoes")))*INDEX(Inputs!$K$5:$AJ$110,0,MATCH(Z$2,Inputs!$K$4:$AJ$4,0)))+SUMPRODUCT((Inputs!$C$5:$C$110=$B25)*Inputs!$D$5:$D$110*(((Inputs!$G$5:$G$110="moeda")+(Inputs!$G$5:$G$110="acoes"))*Inputs!$B$1+((Inputs!$G$5:$G$110&lt;&gt;"moeda")*(Inputs!$G$5:$G$110&lt;&gt;"acoes")))*INDEX(Inputs!$K$5:$AJ$110,0,MATCH(Z$2,Inputs!$K$4:$AJ$4,0)))+SUMPRODUCT((Inputs!$E$5:$E$110=$B25)*Inputs!$F$5:$F$110*(((Inputs!$G$5:$G$110="moeda")+(Inputs!$G$5:$G$110="acoes"))*Inputs!$B$1+((Inputs!$G$5:$G$110&lt;&gt;"moeda")*(Inputs!$G$5:$G$110&lt;&gt;"acoes")))*INDEX(Inputs!$K$5:$AJ$110,0,MATCH(Z$2,Inputs!$K$4:$AJ$4,0)))))</f>
        <v>1943</v>
      </c>
      <c r="AA25" s="6">
        <f>IF(ISNA(MATCH(AA$2,Inputs!$K$4:$AJ$4,0)),NA(),IF(SUMPRODUCT((Inputs!$A$5:$A$110=$B25)*ISNUMBER(INDEX(Inputs!$K$5:$AJ$110,0,MATCH(AA$2,Inputs!$K$4:$AJ$4,0))))+SUMPRODUCT((Inputs!$C$5:$C$110=$B25)*ISNUMBER(INDEX(Inputs!$K$5:$AJ$110,0,MATCH(AA$2,Inputs!$K$4:$AJ$4,0))))+SUMPRODUCT((Inputs!$E$5:$E$110=$B25)*ISNUMBER(INDEX(Inputs!$K$5:$AJ$110,0,MATCH(AA$2,Inputs!$K$4:$AJ$4,0))))=0,NA(),SUMPRODUCT((Inputs!$A$5:$A$110=$B25)*Inputs!$B$5:$B$110*(((Inputs!$G$5:$G$110="moeda")+(Inputs!$G$5:$G$110="acoes"))*Inputs!$B$1+((Inputs!$G$5:$G$110&lt;&gt;"moeda")*(Inputs!$G$5:$G$110&lt;&gt;"acoes")))*INDEX(Inputs!$K$5:$AJ$110,0,MATCH(AA$2,Inputs!$K$4:$AJ$4,0)))+SUMPRODUCT((Inputs!$C$5:$C$110=$B25)*Inputs!$D$5:$D$110*(((Inputs!$G$5:$G$110="moeda")+(Inputs!$G$5:$G$110="acoes"))*Inputs!$B$1+((Inputs!$G$5:$G$110&lt;&gt;"moeda")*(Inputs!$G$5:$G$110&lt;&gt;"acoes")))*INDEX(Inputs!$K$5:$AJ$110,0,MATCH(AA$2,Inputs!$K$4:$AJ$4,0)))+SUMPRODUCT((Inputs!$E$5:$E$110=$B25)*Inputs!$F$5:$F$110*(((Inputs!$G$5:$G$110="moeda")+(Inputs!$G$5:$G$110="acoes"))*Inputs!$B$1+((Inputs!$G$5:$G$110&lt;&gt;"moeda")*(Inputs!$G$5:$G$110&lt;&gt;"acoes")))*INDEX(Inputs!$K$5:$AJ$110,0,MATCH(AA$2,Inputs!$K$4:$AJ$4,0)))))</f>
        <v>1887</v>
      </c>
      <c r="AB25" s="3">
        <f>AA25</f>
        <v>1887</v>
      </c>
      <c r="AC25" s="6">
        <f>IF(ISNA(MATCH(AC$2,Inputs!$K$4:$AJ$4,0)),NA(),IF(SUMPRODUCT((Inputs!$A$5:$A$110=$B25)*ISNUMBER(INDEX(Inputs!$K$5:$AJ$110,0,MATCH(AC$2,Inputs!$K$4:$AJ$4,0))))+SUMPRODUCT((Inputs!$C$5:$C$110=$B25)*ISNUMBER(INDEX(Inputs!$K$5:$AJ$110,0,MATCH(AC$2,Inputs!$K$4:$AJ$4,0))))+SUMPRODUCT((Inputs!$E$5:$E$110=$B25)*ISNUMBER(INDEX(Inputs!$K$5:$AJ$110,0,MATCH(AC$2,Inputs!$K$4:$AJ$4,0))))=0,NA(),SUMPRODUCT((Inputs!$A$5:$A$110=$B25)*Inputs!$B$5:$B$110*(((Inputs!$G$5:$G$110="moeda")+(Inputs!$G$5:$G$110="acoes"))*Inputs!$B$1+((Inputs!$G$5:$G$110&lt;&gt;"moeda")*(Inputs!$G$5:$G$110&lt;&gt;"acoes")))*INDEX(Inputs!$K$5:$AJ$110,0,MATCH(AC$2,Inputs!$K$4:$AJ$4,0)))+SUMPRODUCT((Inputs!$C$5:$C$110=$B25)*Inputs!$D$5:$D$110*(((Inputs!$G$5:$G$110="moeda")+(Inputs!$G$5:$G$110="acoes"))*Inputs!$B$1+((Inputs!$G$5:$G$110&lt;&gt;"moeda")*(Inputs!$G$5:$G$110&lt;&gt;"acoes")))*INDEX(Inputs!$K$5:$AJ$110,0,MATCH(AC$2,Inputs!$K$4:$AJ$4,0)))+SUMPRODUCT((Inputs!$E$5:$E$110=$B25)*Inputs!$F$5:$F$110*(((Inputs!$G$5:$G$110="moeda")+(Inputs!$G$5:$G$110="acoes"))*Inputs!$B$1+((Inputs!$G$5:$G$110&lt;&gt;"moeda")*(Inputs!$G$5:$G$110&lt;&gt;"acoes")))*INDEX(Inputs!$K$5:$AJ$110,0,MATCH(AC$2,Inputs!$K$4:$AJ$4,0)))))</f>
        <v>1837</v>
      </c>
      <c r="AD25" s="6">
        <f>IF(ISNA(MATCH(AD$2,Inputs!$K$4:$AJ$4,0)),NA(),IF(SUMPRODUCT((Inputs!$A$5:$A$110=$B25)*ISNUMBER(INDEX(Inputs!$K$5:$AJ$110,0,MATCH(AD$2,Inputs!$K$4:$AJ$4,0))))+SUMPRODUCT((Inputs!$C$5:$C$110=$B25)*ISNUMBER(INDEX(Inputs!$K$5:$AJ$110,0,MATCH(AD$2,Inputs!$K$4:$AJ$4,0))))+SUMPRODUCT((Inputs!$E$5:$E$110=$B25)*ISNUMBER(INDEX(Inputs!$K$5:$AJ$110,0,MATCH(AD$2,Inputs!$K$4:$AJ$4,0))))=0,NA(),SUMPRODUCT((Inputs!$A$5:$A$110=$B25)*Inputs!$B$5:$B$110*(((Inputs!$G$5:$G$110="moeda")+(Inputs!$G$5:$G$110="acoes"))*Inputs!$B$1+((Inputs!$G$5:$G$110&lt;&gt;"moeda")*(Inputs!$G$5:$G$110&lt;&gt;"acoes")))*INDEX(Inputs!$K$5:$AJ$110,0,MATCH(AD$2,Inputs!$K$4:$AJ$4,0)))+SUMPRODUCT((Inputs!$C$5:$C$110=$B25)*Inputs!$D$5:$D$110*(((Inputs!$G$5:$G$110="moeda")+(Inputs!$G$5:$G$110="acoes"))*Inputs!$B$1+((Inputs!$G$5:$G$110&lt;&gt;"moeda")*(Inputs!$G$5:$G$110&lt;&gt;"acoes")))*INDEX(Inputs!$K$5:$AJ$110,0,MATCH(AD$2,Inputs!$K$4:$AJ$4,0)))+SUMPRODUCT((Inputs!$E$5:$E$110=$B25)*Inputs!$F$5:$F$110*(((Inputs!$G$5:$G$110="moeda")+(Inputs!$G$5:$G$110="acoes"))*Inputs!$B$1+((Inputs!$G$5:$G$110&lt;&gt;"moeda")*(Inputs!$G$5:$G$110&lt;&gt;"acoes")))*INDEX(Inputs!$K$5:$AJ$110,0,MATCH(AD$2,Inputs!$K$4:$AJ$4,0)))))</f>
        <v>1787</v>
      </c>
      <c r="AE25" s="6" t="e">
        <f>IF(ISNA(MATCH(AE$2,Inputs!$K$4:$AJ$4,0)),NA(),IF(SUMPRODUCT((Inputs!$A$5:$A$110=$B25)*ISNUMBER(INDEX(Inputs!$K$5:$AJ$110,0,MATCH(AE$2,Inputs!$K$4:$AJ$4,0))))+SUMPRODUCT((Inputs!$C$5:$C$110=$B25)*ISNUMBER(INDEX(Inputs!$K$5:$AJ$110,0,MATCH(AE$2,Inputs!$K$4:$AJ$4,0))))+SUMPRODUCT((Inputs!$E$5:$E$110=$B25)*ISNUMBER(INDEX(Inputs!$K$5:$AJ$110,0,MATCH(AE$2,Inputs!$K$4:$AJ$4,0))))=0,NA(),SUMPRODUCT((Inputs!$A$5:$A$110=$B25)*Inputs!$B$5:$B$110*(((Inputs!$G$5:$G$110="moeda")+(Inputs!$G$5:$G$110="acoes"))*Inputs!$B$1+((Inputs!$G$5:$G$110&lt;&gt;"moeda")*(Inputs!$G$5:$G$110&lt;&gt;"acoes")))*INDEX(Inputs!$K$5:$AJ$110,0,MATCH(AE$2,Inputs!$K$4:$AJ$4,0)))+SUMPRODUCT((Inputs!$C$5:$C$110=$B25)*Inputs!$D$5:$D$110*(((Inputs!$G$5:$G$110="moeda")+(Inputs!$G$5:$G$110="acoes"))*Inputs!$B$1+((Inputs!$G$5:$G$110&lt;&gt;"moeda")*(Inputs!$G$5:$G$110&lt;&gt;"acoes")))*INDEX(Inputs!$K$5:$AJ$110,0,MATCH(AE$2,Inputs!$K$4:$AJ$4,0)))+SUMPRODUCT((Inputs!$E$5:$E$110=$B25)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5" s="6" t="e">
        <f>IF(ISNA(MATCH(AF$2,Inputs!$K$4:$AJ$4,0)),NA(),IF(SUMPRODUCT((Inputs!$A$5:$A$110=$B25)*ISNUMBER(INDEX(Inputs!$K$5:$AJ$110,0,MATCH(AF$2,Inputs!$K$4:$AJ$4,0))))+SUMPRODUCT((Inputs!$C$5:$C$110=$B25)*ISNUMBER(INDEX(Inputs!$K$5:$AJ$110,0,MATCH(AF$2,Inputs!$K$4:$AJ$4,0))))+SUMPRODUCT((Inputs!$E$5:$E$110=$B25)*ISNUMBER(INDEX(Inputs!$K$5:$AJ$110,0,MATCH(AF$2,Inputs!$K$4:$AJ$4,0))))=0,NA(),SUMPRODUCT((Inputs!$A$5:$A$110=$B25)*Inputs!$B$5:$B$110*(((Inputs!$G$5:$G$110="moeda")+(Inputs!$G$5:$G$110="acoes"))*Inputs!$B$1+((Inputs!$G$5:$G$110&lt;&gt;"moeda")*(Inputs!$G$5:$G$110&lt;&gt;"acoes")))*INDEX(Inputs!$K$5:$AJ$110,0,MATCH(AF$2,Inputs!$K$4:$AJ$4,0)))+SUMPRODUCT((Inputs!$C$5:$C$110=$B25)*Inputs!$D$5:$D$110*(((Inputs!$G$5:$G$110="moeda")+(Inputs!$G$5:$G$110="acoes"))*Inputs!$B$1+((Inputs!$G$5:$G$110&lt;&gt;"moeda")*(Inputs!$G$5:$G$110&lt;&gt;"acoes")))*INDEX(Inputs!$K$5:$AJ$110,0,MATCH(AF$2,Inputs!$K$4:$AJ$4,0)))+SUMPRODUCT((Inputs!$E$5:$E$110=$B25)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5" s="3" t="e">
        <f>AF25</f>
        <v>#N/A</v>
      </c>
      <c r="AH25" s="6">
        <f>IF(ISNA(MATCH(AH$2,Inputs!$K$4:$AJ$4,0)),NA(),IF(SUMPRODUCT((Inputs!$A$5:$A$110=$B25)*ISNUMBER(INDEX(Inputs!$K$5:$AJ$110,0,MATCH(AH$2,Inputs!$K$4:$AJ$4,0))))+SUMPRODUCT((Inputs!$C$5:$C$110=$B25)*ISNUMBER(INDEX(Inputs!$K$5:$AJ$110,0,MATCH(AH$2,Inputs!$K$4:$AJ$4,0))))+SUMPRODUCT((Inputs!$E$5:$E$110=$B25)*ISNUMBER(INDEX(Inputs!$K$5:$AJ$110,0,MATCH(AH$2,Inputs!$K$4:$AJ$4,0))))=0,NA(),SUMPRODUCT((Inputs!$A$5:$A$110=$B25)*Inputs!$B$5:$B$110*(((Inputs!$G$5:$G$110="moeda")+(Inputs!$G$5:$G$110="acoes"))*Inputs!$B$1+((Inputs!$G$5:$G$110&lt;&gt;"moeda")*(Inputs!$G$5:$G$110&lt;&gt;"acoes")))*INDEX(Inputs!$K$5:$AJ$110,0,MATCH(AH$2,Inputs!$K$4:$AJ$4,0)))+SUMPRODUCT((Inputs!$C$5:$C$110=$B25)*Inputs!$D$5:$D$110*(((Inputs!$G$5:$G$110="moeda")+(Inputs!$G$5:$G$110="acoes"))*Inputs!$B$1+((Inputs!$G$5:$G$110&lt;&gt;"moeda")*(Inputs!$G$5:$G$110&lt;&gt;"acoes")))*INDEX(Inputs!$K$5:$AJ$110,0,MATCH(AH$2,Inputs!$K$4:$AJ$4,0)))+SUMPRODUCT((Inputs!$E$5:$E$110=$B25)*Inputs!$F$5:$F$110*(((Inputs!$G$5:$G$110="moeda")+(Inputs!$G$5:$G$110="acoes"))*Inputs!$B$1+((Inputs!$G$5:$G$110&lt;&gt;"moeda")*(Inputs!$G$5:$G$110&lt;&gt;"acoes")))*INDEX(Inputs!$K$5:$AJ$110,0,MATCH(AH$2,Inputs!$K$4:$AJ$4,0)))))</f>
        <v>3142</v>
      </c>
      <c r="AI25" s="6">
        <f>IF(ISNA(MATCH(AI$2,Inputs!$K$4:$AJ$4,0)),NA(),IF(SUMPRODUCT((Inputs!$A$5:$A$110=$B25)*ISNUMBER(INDEX(Inputs!$K$5:$AJ$110,0,MATCH(AI$2,Inputs!$K$4:$AJ$4,0))))+SUMPRODUCT((Inputs!$C$5:$C$110=$B25)*ISNUMBER(INDEX(Inputs!$K$5:$AJ$110,0,MATCH(AI$2,Inputs!$K$4:$AJ$4,0))))+SUMPRODUCT((Inputs!$E$5:$E$110=$B25)*ISNUMBER(INDEX(Inputs!$K$5:$AJ$110,0,MATCH(AI$2,Inputs!$K$4:$AJ$4,0))))=0,NA(),SUMPRODUCT((Inputs!$A$5:$A$110=$B25)*Inputs!$B$5:$B$110*(((Inputs!$G$5:$G$110="moeda")+(Inputs!$G$5:$G$110="acoes"))*Inputs!$B$1+((Inputs!$G$5:$G$110&lt;&gt;"moeda")*(Inputs!$G$5:$G$110&lt;&gt;"acoes")))*INDEX(Inputs!$K$5:$AJ$110,0,MATCH(AI$2,Inputs!$K$4:$AJ$4,0)))+SUMPRODUCT((Inputs!$C$5:$C$110=$B25)*Inputs!$D$5:$D$110*(((Inputs!$G$5:$G$110="moeda")+(Inputs!$G$5:$G$110="acoes"))*Inputs!$B$1+((Inputs!$G$5:$G$110&lt;&gt;"moeda")*(Inputs!$G$5:$G$110&lt;&gt;"acoes")))*INDEX(Inputs!$K$5:$AJ$110,0,MATCH(AI$2,Inputs!$K$4:$AJ$4,0)))+SUMPRODUCT((Inputs!$E$5:$E$110=$B25)*Inputs!$F$5:$F$110*(((Inputs!$G$5:$G$110="moeda")+(Inputs!$G$5:$G$110="acoes"))*Inputs!$B$1+((Inputs!$G$5:$G$110&lt;&gt;"moeda")*(Inputs!$G$5:$G$110&lt;&gt;"acoes")))*INDEX(Inputs!$K$5:$AJ$110,0,MATCH(AI$2,Inputs!$K$4:$AJ$4,0)))))</f>
        <v>3077</v>
      </c>
      <c r="AJ25" s="6">
        <f>IF(ISNA(MATCH(AJ$2,Inputs!$K$4:$AJ$4,0)),NA(),IF(SUMPRODUCT((Inputs!$A$5:$A$110=$B25)*ISNUMBER(INDEX(Inputs!$K$5:$AJ$110,0,MATCH(AJ$2,Inputs!$K$4:$AJ$4,0))))+SUMPRODUCT((Inputs!$C$5:$C$110=$B25)*ISNUMBER(INDEX(Inputs!$K$5:$AJ$110,0,MATCH(AJ$2,Inputs!$K$4:$AJ$4,0))))+SUMPRODUCT((Inputs!$E$5:$E$110=$B25)*ISNUMBER(INDEX(Inputs!$K$5:$AJ$110,0,MATCH(AJ$2,Inputs!$K$4:$AJ$4,0))))=0,NA(),SUMPRODUCT((Inputs!$A$5:$A$110=$B25)*Inputs!$B$5:$B$110*(((Inputs!$G$5:$G$110="moeda")+(Inputs!$G$5:$G$110="acoes"))*Inputs!$B$1+((Inputs!$G$5:$G$110&lt;&gt;"moeda")*(Inputs!$G$5:$G$110&lt;&gt;"acoes")))*INDEX(Inputs!$K$5:$AJ$110,0,MATCH(AJ$2,Inputs!$K$4:$AJ$4,0)))+SUMPRODUCT((Inputs!$C$5:$C$110=$B25)*Inputs!$D$5:$D$110*(((Inputs!$G$5:$G$110="moeda")+(Inputs!$G$5:$G$110="acoes"))*Inputs!$B$1+((Inputs!$G$5:$G$110&lt;&gt;"moeda")*(Inputs!$G$5:$G$110&lt;&gt;"acoes")))*INDEX(Inputs!$K$5:$AJ$110,0,MATCH(AJ$2,Inputs!$K$4:$AJ$4,0)))+SUMPRODUCT((Inputs!$E$5:$E$110=$B25)*Inputs!$F$5:$F$110*(((Inputs!$G$5:$G$110="moeda")+(Inputs!$G$5:$G$110="acoes"))*Inputs!$B$1+((Inputs!$G$5:$G$110&lt;&gt;"moeda")*(Inputs!$G$5:$G$110&lt;&gt;"acoes")))*INDEX(Inputs!$K$5:$AJ$110,0,MATCH(AJ$2,Inputs!$K$4:$AJ$4,0)))))</f>
        <v>3013</v>
      </c>
      <c r="AK25" s="6">
        <f>IF(ISNA(MATCH(AK$2,Inputs!$K$4:$AJ$4,0)),NA(),IF(SUMPRODUCT((Inputs!$A$5:$A$110=$B25)*ISNUMBER(INDEX(Inputs!$K$5:$AJ$110,0,MATCH(AK$2,Inputs!$K$4:$AJ$4,0))))+SUMPRODUCT((Inputs!$C$5:$C$110=$B25)*ISNUMBER(INDEX(Inputs!$K$5:$AJ$110,0,MATCH(AK$2,Inputs!$K$4:$AJ$4,0))))+SUMPRODUCT((Inputs!$E$5:$E$110=$B25)*ISNUMBER(INDEX(Inputs!$K$5:$AJ$110,0,MATCH(AK$2,Inputs!$K$4:$AJ$4,0))))=0,NA(),SUMPRODUCT((Inputs!$A$5:$A$110=$B25)*Inputs!$B$5:$B$110*(((Inputs!$G$5:$G$110="moeda")+(Inputs!$G$5:$G$110="acoes"))*Inputs!$B$1+((Inputs!$G$5:$G$110&lt;&gt;"moeda")*(Inputs!$G$5:$G$110&lt;&gt;"acoes")))*INDEX(Inputs!$K$5:$AJ$110,0,MATCH(AK$2,Inputs!$K$4:$AJ$4,0)))+SUMPRODUCT((Inputs!$C$5:$C$110=$B25)*Inputs!$D$5:$D$110*(((Inputs!$G$5:$G$110="moeda")+(Inputs!$G$5:$G$110="acoes"))*Inputs!$B$1+((Inputs!$G$5:$G$110&lt;&gt;"moeda")*(Inputs!$G$5:$G$110&lt;&gt;"acoes")))*INDEX(Inputs!$K$5:$AJ$110,0,MATCH(AK$2,Inputs!$K$4:$AJ$4,0)))+SUMPRODUCT((Inputs!$E$5:$E$110=$B25)*Inputs!$F$5:$F$110*(((Inputs!$G$5:$G$110="moeda")+(Inputs!$G$5:$G$110="acoes"))*Inputs!$B$1+((Inputs!$G$5:$G$110&lt;&gt;"moeda")*(Inputs!$G$5:$G$110&lt;&gt;"acoes")))*INDEX(Inputs!$K$5:$AJ$110,0,MATCH(AK$2,Inputs!$K$4:$AJ$4,0)))))</f>
        <v>3012</v>
      </c>
      <c r="AL25" s="3">
        <f>AK25</f>
        <v>3012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$110=$B26)*ISNUMBER(INDEX(Inputs!$K$5:$AJ$110,0,MATCH(D$2,Inputs!$K$4:$AJ$4,0))))+SUMPRODUCT((Inputs!$C$5:$C$110=$B26)*ISNUMBER(INDEX(Inputs!$K$5:$AJ$110,0,MATCH(D$2,Inputs!$K$4:$AJ$4,0))))+SUMPRODUCT((Inputs!$E$5:$E$110=$B26)*ISNUMBER(INDEX(Inputs!$K$5:$AJ$110,0,MATCH(D$2,Inputs!$K$4:$AJ$4,0))))=0,NA(),SUMPRODUCT((Inputs!$A$5:$A$110=$B26)*Inputs!$B$5:$B$110*(((Inputs!$G$5:$G$110="moeda")+(Inputs!$G$5:$G$110="acoes"))*Inputs!$B$1+((Inputs!$G$5:$G$110&lt;&gt;"moeda")*(Inputs!$G$5:$G$110&lt;&gt;"acoes")))*INDEX(Inputs!$K$5:$AJ$110,0,MATCH(D$2,Inputs!$K$4:$AJ$4,0)))+SUMPRODUCT((Inputs!$C$5:$C$110=$B26)*Inputs!$D$5:$D$110*(((Inputs!$G$5:$G$110="moeda")+(Inputs!$G$5:$G$110="acoes"))*Inputs!$B$1+((Inputs!$G$5:$G$110&lt;&gt;"moeda")*(Inputs!$G$5:$G$110&lt;&gt;"acoes")))*INDEX(Inputs!$K$5:$AJ$110,0,MATCH(D$2,Inputs!$K$4:$AJ$4,0)))+SUMPRODUCT((Inputs!$E$5:$E$110=$B26)*Inputs!$F$5:$F$110*(((Inputs!$G$5:$G$110="moeda")+(Inputs!$G$5:$G$110="acoes"))*Inputs!$B$1+((Inputs!$G$5:$G$110&lt;&gt;"moeda")*(Inputs!$G$5:$G$110&lt;&gt;"acoes")))*INDEX(Inputs!$K$5:$AJ$110,0,MATCH(D$2,Inputs!$K$4:$AJ$4,0)))))</f>
        <v>6868</v>
      </c>
      <c r="E26" s="6">
        <f>IF(ISNA(MATCH(E$2,Inputs!$K$4:$AJ$4,0)),NA(),IF(SUMPRODUCT((Inputs!$A$5:$A$110=$B26)*ISNUMBER(INDEX(Inputs!$K$5:$AJ$110,0,MATCH(E$2,Inputs!$K$4:$AJ$4,0))))+SUMPRODUCT((Inputs!$C$5:$C$110=$B26)*ISNUMBER(INDEX(Inputs!$K$5:$AJ$110,0,MATCH(E$2,Inputs!$K$4:$AJ$4,0))))+SUMPRODUCT((Inputs!$E$5:$E$110=$B26)*ISNUMBER(INDEX(Inputs!$K$5:$AJ$110,0,MATCH(E$2,Inputs!$K$4:$AJ$4,0))))=0,NA(),SUMPRODUCT((Inputs!$A$5:$A$110=$B26)*Inputs!$B$5:$B$110*(((Inputs!$G$5:$G$110="moeda")+(Inputs!$G$5:$G$110="acoes"))*Inputs!$B$1+((Inputs!$G$5:$G$110&lt;&gt;"moeda")*(Inputs!$G$5:$G$110&lt;&gt;"acoes")))*INDEX(Inputs!$K$5:$AJ$110,0,MATCH(E$2,Inputs!$K$4:$AJ$4,0)))+SUMPRODUCT((Inputs!$C$5:$C$110=$B26)*Inputs!$D$5:$D$110*(((Inputs!$G$5:$G$110="moeda")+(Inputs!$G$5:$G$110="acoes"))*Inputs!$B$1+((Inputs!$G$5:$G$110&lt;&gt;"moeda")*(Inputs!$G$5:$G$110&lt;&gt;"acoes")))*INDEX(Inputs!$K$5:$AJ$110,0,MATCH(E$2,Inputs!$K$4:$AJ$4,0)))+SUMPRODUCT((Inputs!$E$5:$E$110=$B26)*Inputs!$F$5:$F$110*(((Inputs!$G$5:$G$110="moeda")+(Inputs!$G$5:$G$110="acoes"))*Inputs!$B$1+((Inputs!$G$5:$G$110&lt;&gt;"moeda")*(Inputs!$G$5:$G$110&lt;&gt;"acoes")))*INDEX(Inputs!$K$5:$AJ$110,0,MATCH(E$2,Inputs!$K$4:$AJ$4,0)))))</f>
        <v>7099</v>
      </c>
      <c r="F26" s="6">
        <f>IF(ISNA(MATCH(F$2,Inputs!$K$4:$AJ$4,0)),NA(),IF(SUMPRODUCT((Inputs!$A$5:$A$110=$B26)*ISNUMBER(INDEX(Inputs!$K$5:$AJ$110,0,MATCH(F$2,Inputs!$K$4:$AJ$4,0))))+SUMPRODUCT((Inputs!$C$5:$C$110=$B26)*ISNUMBER(INDEX(Inputs!$K$5:$AJ$110,0,MATCH(F$2,Inputs!$K$4:$AJ$4,0))))+SUMPRODUCT((Inputs!$E$5:$E$110=$B26)*ISNUMBER(INDEX(Inputs!$K$5:$AJ$110,0,MATCH(F$2,Inputs!$K$4:$AJ$4,0))))=0,NA(),SUMPRODUCT((Inputs!$A$5:$A$110=$B26)*Inputs!$B$5:$B$110*(((Inputs!$G$5:$G$110="moeda")+(Inputs!$G$5:$G$110="acoes"))*Inputs!$B$1+((Inputs!$G$5:$G$110&lt;&gt;"moeda")*(Inputs!$G$5:$G$110&lt;&gt;"acoes")))*INDEX(Inputs!$K$5:$AJ$110,0,MATCH(F$2,Inputs!$K$4:$AJ$4,0)))+SUMPRODUCT((Inputs!$C$5:$C$110=$B26)*Inputs!$D$5:$D$110*(((Inputs!$G$5:$G$110="moeda")+(Inputs!$G$5:$G$110="acoes"))*Inputs!$B$1+((Inputs!$G$5:$G$110&lt;&gt;"moeda")*(Inputs!$G$5:$G$110&lt;&gt;"acoes")))*INDEX(Inputs!$K$5:$AJ$110,0,MATCH(F$2,Inputs!$K$4:$AJ$4,0)))+SUMPRODUCT((Inputs!$E$5:$E$110=$B26)*Inputs!$F$5:$F$110*(((Inputs!$G$5:$G$110="moeda")+(Inputs!$G$5:$G$110="acoes"))*Inputs!$B$1+((Inputs!$G$5:$G$110&lt;&gt;"moeda")*(Inputs!$G$5:$G$110&lt;&gt;"acoes")))*INDEX(Inputs!$K$5:$AJ$110,0,MATCH(F$2,Inputs!$K$4:$AJ$4,0)))))</f>
        <v>6907</v>
      </c>
      <c r="G26" s="6">
        <f>IF(ISNA(MATCH(G$2,Inputs!$K$4:$AJ$4,0)),NA(),IF(SUMPRODUCT((Inputs!$A$5:$A$110=$B26)*ISNUMBER(INDEX(Inputs!$K$5:$AJ$110,0,MATCH(G$2,Inputs!$K$4:$AJ$4,0))))+SUMPRODUCT((Inputs!$C$5:$C$110=$B26)*ISNUMBER(INDEX(Inputs!$K$5:$AJ$110,0,MATCH(G$2,Inputs!$K$4:$AJ$4,0))))+SUMPRODUCT((Inputs!$E$5:$E$110=$B26)*ISNUMBER(INDEX(Inputs!$K$5:$AJ$110,0,MATCH(G$2,Inputs!$K$4:$AJ$4,0))))=0,NA(),SUMPRODUCT((Inputs!$A$5:$A$110=$B26)*Inputs!$B$5:$B$110*(((Inputs!$G$5:$G$110="moeda")+(Inputs!$G$5:$G$110="acoes"))*Inputs!$B$1+((Inputs!$G$5:$G$110&lt;&gt;"moeda")*(Inputs!$G$5:$G$110&lt;&gt;"acoes")))*INDEX(Inputs!$K$5:$AJ$110,0,MATCH(G$2,Inputs!$K$4:$AJ$4,0)))+SUMPRODUCT((Inputs!$C$5:$C$110=$B26)*Inputs!$D$5:$D$110*(((Inputs!$G$5:$G$110="moeda")+(Inputs!$G$5:$G$110="acoes"))*Inputs!$B$1+((Inputs!$G$5:$G$110&lt;&gt;"moeda")*(Inputs!$G$5:$G$110&lt;&gt;"acoes")))*INDEX(Inputs!$K$5:$AJ$110,0,MATCH(G$2,Inputs!$K$4:$AJ$4,0)))+SUMPRODUCT((Inputs!$E$5:$E$110=$B26)*Inputs!$F$5:$F$110*(((Inputs!$G$5:$G$110="moeda")+(Inputs!$G$5:$G$110="acoes"))*Inputs!$B$1+((Inputs!$G$5:$G$110&lt;&gt;"moeda")*(Inputs!$G$5:$G$110&lt;&gt;"acoes")))*INDEX(Inputs!$K$5:$AJ$110,0,MATCH(G$2,Inputs!$K$4:$AJ$4,0)))))</f>
        <v>7652</v>
      </c>
      <c r="H26" s="3">
        <f>G26</f>
        <v>7652</v>
      </c>
      <c r="I26" s="6">
        <f>IF(ISNA(MATCH(I$2,Inputs!$K$4:$AJ$4,0)),NA(),IF(SUMPRODUCT((Inputs!$A$5:$A$110=$B26)*ISNUMBER(INDEX(Inputs!$K$5:$AJ$110,0,MATCH(I$2,Inputs!$K$4:$AJ$4,0))))+SUMPRODUCT((Inputs!$C$5:$C$110=$B26)*ISNUMBER(INDEX(Inputs!$K$5:$AJ$110,0,MATCH(I$2,Inputs!$K$4:$AJ$4,0))))+SUMPRODUCT((Inputs!$E$5:$E$110=$B26)*ISNUMBER(INDEX(Inputs!$K$5:$AJ$110,0,MATCH(I$2,Inputs!$K$4:$AJ$4,0))))=0,NA(),SUMPRODUCT((Inputs!$A$5:$A$110=$B26)*Inputs!$B$5:$B$110*(((Inputs!$G$5:$G$110="moeda")+(Inputs!$G$5:$G$110="acoes"))*Inputs!$B$1+((Inputs!$G$5:$G$110&lt;&gt;"moeda")*(Inputs!$G$5:$G$110&lt;&gt;"acoes")))*INDEX(Inputs!$K$5:$AJ$110,0,MATCH(I$2,Inputs!$K$4:$AJ$4,0)))+SUMPRODUCT((Inputs!$C$5:$C$110=$B26)*Inputs!$D$5:$D$110*(((Inputs!$G$5:$G$110="moeda")+(Inputs!$G$5:$G$110="acoes"))*Inputs!$B$1+((Inputs!$G$5:$G$110&lt;&gt;"moeda")*(Inputs!$G$5:$G$110&lt;&gt;"acoes")))*INDEX(Inputs!$K$5:$AJ$110,0,MATCH(I$2,Inputs!$K$4:$AJ$4,0)))+SUMPRODUCT((Inputs!$E$5:$E$110=$B26)*Inputs!$F$5:$F$110*(((Inputs!$G$5:$G$110="moeda")+(Inputs!$G$5:$G$110="acoes"))*Inputs!$B$1+((Inputs!$G$5:$G$110&lt;&gt;"moeda")*(Inputs!$G$5:$G$110&lt;&gt;"acoes")))*INDEX(Inputs!$K$5:$AJ$110,0,MATCH(I$2,Inputs!$K$4:$AJ$4,0)))))</f>
        <v>7416</v>
      </c>
      <c r="J26" s="6">
        <f>IF(ISNA(MATCH(J$2,Inputs!$K$4:$AJ$4,0)),NA(),IF(SUMPRODUCT((Inputs!$A$5:$A$110=$B26)*ISNUMBER(INDEX(Inputs!$K$5:$AJ$110,0,MATCH(J$2,Inputs!$K$4:$AJ$4,0))))+SUMPRODUCT((Inputs!$C$5:$C$110=$B26)*ISNUMBER(INDEX(Inputs!$K$5:$AJ$110,0,MATCH(J$2,Inputs!$K$4:$AJ$4,0))))+SUMPRODUCT((Inputs!$E$5:$E$110=$B26)*ISNUMBER(INDEX(Inputs!$K$5:$AJ$110,0,MATCH(J$2,Inputs!$K$4:$AJ$4,0))))=0,NA(),SUMPRODUCT((Inputs!$A$5:$A$110=$B26)*Inputs!$B$5:$B$110*(((Inputs!$G$5:$G$110="moeda")+(Inputs!$G$5:$G$110="acoes"))*Inputs!$B$1+((Inputs!$G$5:$G$110&lt;&gt;"moeda")*(Inputs!$G$5:$G$110&lt;&gt;"acoes")))*INDEX(Inputs!$K$5:$AJ$110,0,MATCH(J$2,Inputs!$K$4:$AJ$4,0)))+SUMPRODUCT((Inputs!$C$5:$C$110=$B26)*Inputs!$D$5:$D$110*(((Inputs!$G$5:$G$110="moeda")+(Inputs!$G$5:$G$110="acoes"))*Inputs!$B$1+((Inputs!$G$5:$G$110&lt;&gt;"moeda")*(Inputs!$G$5:$G$110&lt;&gt;"acoes")))*INDEX(Inputs!$K$5:$AJ$110,0,MATCH(J$2,Inputs!$K$4:$AJ$4,0)))+SUMPRODUCT((Inputs!$E$5:$E$110=$B26)*Inputs!$F$5:$F$110*(((Inputs!$G$5:$G$110="moeda")+(Inputs!$G$5:$G$110="acoes"))*Inputs!$B$1+((Inputs!$G$5:$G$110&lt;&gt;"moeda")*(Inputs!$G$5:$G$110&lt;&gt;"acoes")))*INDEX(Inputs!$K$5:$AJ$110,0,MATCH(J$2,Inputs!$K$4:$AJ$4,0)))))</f>
        <v>7158</v>
      </c>
      <c r="K26" s="6">
        <f>IF(ISNA(MATCH(K$2,Inputs!$K$4:$AJ$4,0)),NA(),IF(SUMPRODUCT((Inputs!$A$5:$A$110=$B26)*ISNUMBER(INDEX(Inputs!$K$5:$AJ$110,0,MATCH(K$2,Inputs!$K$4:$AJ$4,0))))+SUMPRODUCT((Inputs!$C$5:$C$110=$B26)*ISNUMBER(INDEX(Inputs!$K$5:$AJ$110,0,MATCH(K$2,Inputs!$K$4:$AJ$4,0))))+SUMPRODUCT((Inputs!$E$5:$E$110=$B26)*ISNUMBER(INDEX(Inputs!$K$5:$AJ$110,0,MATCH(K$2,Inputs!$K$4:$AJ$4,0))))=0,NA(),SUMPRODUCT((Inputs!$A$5:$A$110=$B26)*Inputs!$B$5:$B$110*(((Inputs!$G$5:$G$110="moeda")+(Inputs!$G$5:$G$110="acoes"))*Inputs!$B$1+((Inputs!$G$5:$G$110&lt;&gt;"moeda")*(Inputs!$G$5:$G$110&lt;&gt;"acoes")))*INDEX(Inputs!$K$5:$AJ$110,0,MATCH(K$2,Inputs!$K$4:$AJ$4,0)))+SUMPRODUCT((Inputs!$C$5:$C$110=$B26)*Inputs!$D$5:$D$110*(((Inputs!$G$5:$G$110="moeda")+(Inputs!$G$5:$G$110="acoes"))*Inputs!$B$1+((Inputs!$G$5:$G$110&lt;&gt;"moeda")*(Inputs!$G$5:$G$110&lt;&gt;"acoes")))*INDEX(Inputs!$K$5:$AJ$110,0,MATCH(K$2,Inputs!$K$4:$AJ$4,0)))+SUMPRODUCT((Inputs!$E$5:$E$110=$B26)*Inputs!$F$5:$F$110*(((Inputs!$G$5:$G$110="moeda")+(Inputs!$G$5:$G$110="acoes"))*Inputs!$B$1+((Inputs!$G$5:$G$110&lt;&gt;"moeda")*(Inputs!$G$5:$G$110&lt;&gt;"acoes")))*INDEX(Inputs!$K$5:$AJ$110,0,MATCH(K$2,Inputs!$K$4:$AJ$4,0)))))</f>
        <v>7040</v>
      </c>
      <c r="L26" s="6">
        <f>IF(ISNA(MATCH(L$2,Inputs!$K$4:$AJ$4,0)),NA(),IF(SUMPRODUCT((Inputs!$A$5:$A$110=$B26)*ISNUMBER(INDEX(Inputs!$K$5:$AJ$110,0,MATCH(L$2,Inputs!$K$4:$AJ$4,0))))+SUMPRODUCT((Inputs!$C$5:$C$110=$B26)*ISNUMBER(INDEX(Inputs!$K$5:$AJ$110,0,MATCH(L$2,Inputs!$K$4:$AJ$4,0))))+SUMPRODUCT((Inputs!$E$5:$E$110=$B26)*ISNUMBER(INDEX(Inputs!$K$5:$AJ$110,0,MATCH(L$2,Inputs!$K$4:$AJ$4,0))))=0,NA(),SUMPRODUCT((Inputs!$A$5:$A$110=$B26)*Inputs!$B$5:$B$110*(((Inputs!$G$5:$G$110="moeda")+(Inputs!$G$5:$G$110="acoes"))*Inputs!$B$1+((Inputs!$G$5:$G$110&lt;&gt;"moeda")*(Inputs!$G$5:$G$110&lt;&gt;"acoes")))*INDEX(Inputs!$K$5:$AJ$110,0,MATCH(L$2,Inputs!$K$4:$AJ$4,0)))+SUMPRODUCT((Inputs!$C$5:$C$110=$B26)*Inputs!$D$5:$D$110*(((Inputs!$G$5:$G$110="moeda")+(Inputs!$G$5:$G$110="acoes"))*Inputs!$B$1+((Inputs!$G$5:$G$110&lt;&gt;"moeda")*(Inputs!$G$5:$G$110&lt;&gt;"acoes")))*INDEX(Inputs!$K$5:$AJ$110,0,MATCH(L$2,Inputs!$K$4:$AJ$4,0)))+SUMPRODUCT((Inputs!$E$5:$E$110=$B26)*Inputs!$F$5:$F$110*(((Inputs!$G$5:$G$110="moeda")+(Inputs!$G$5:$G$110="acoes"))*Inputs!$B$1+((Inputs!$G$5:$G$110&lt;&gt;"moeda")*(Inputs!$G$5:$G$110&lt;&gt;"acoes")))*INDEX(Inputs!$K$5:$AJ$110,0,MATCH(L$2,Inputs!$K$4:$AJ$4,0)))))</f>
        <v>6931</v>
      </c>
      <c r="M26" s="3">
        <f>L26</f>
        <v>6931</v>
      </c>
      <c r="N26" s="6">
        <f>IF(ISNA(MATCH(N$2,Inputs!$K$4:$AJ$4,0)),NA(),IF(SUMPRODUCT((Inputs!$A$5:$A$110=$B26)*ISNUMBER(INDEX(Inputs!$K$5:$AJ$110,0,MATCH(N$2,Inputs!$K$4:$AJ$4,0))))+SUMPRODUCT((Inputs!$C$5:$C$110=$B26)*ISNUMBER(INDEX(Inputs!$K$5:$AJ$110,0,MATCH(N$2,Inputs!$K$4:$AJ$4,0))))+SUMPRODUCT((Inputs!$E$5:$E$110=$B26)*ISNUMBER(INDEX(Inputs!$K$5:$AJ$110,0,MATCH(N$2,Inputs!$K$4:$AJ$4,0))))=0,NA(),SUMPRODUCT((Inputs!$A$5:$A$110=$B26)*Inputs!$B$5:$B$110*(((Inputs!$G$5:$G$110="moeda")+(Inputs!$G$5:$G$110="acoes"))*Inputs!$B$1+((Inputs!$G$5:$G$110&lt;&gt;"moeda")*(Inputs!$G$5:$G$110&lt;&gt;"acoes")))*INDEX(Inputs!$K$5:$AJ$110,0,MATCH(N$2,Inputs!$K$4:$AJ$4,0)))+SUMPRODUCT((Inputs!$C$5:$C$110=$B26)*Inputs!$D$5:$D$110*(((Inputs!$G$5:$G$110="moeda")+(Inputs!$G$5:$G$110="acoes"))*Inputs!$B$1+((Inputs!$G$5:$G$110&lt;&gt;"moeda")*(Inputs!$G$5:$G$110&lt;&gt;"acoes")))*INDEX(Inputs!$K$5:$AJ$110,0,MATCH(N$2,Inputs!$K$4:$AJ$4,0)))+SUMPRODUCT((Inputs!$E$5:$E$110=$B26)*Inputs!$F$5:$F$110*(((Inputs!$G$5:$G$110="moeda")+(Inputs!$G$5:$G$110="acoes"))*Inputs!$B$1+((Inputs!$G$5:$G$110&lt;&gt;"moeda")*(Inputs!$G$5:$G$110&lt;&gt;"acoes")))*INDEX(Inputs!$K$5:$AJ$110,0,MATCH(N$2,Inputs!$K$4:$AJ$4,0)))))</f>
        <v>7192</v>
      </c>
      <c r="O26" s="6">
        <f>IF(ISNA(MATCH(O$2,Inputs!$K$4:$AJ$4,0)),NA(),IF(SUMPRODUCT((Inputs!$A$5:$A$110=$B26)*ISNUMBER(INDEX(Inputs!$K$5:$AJ$110,0,MATCH(O$2,Inputs!$K$4:$AJ$4,0))))+SUMPRODUCT((Inputs!$C$5:$C$110=$B26)*ISNUMBER(INDEX(Inputs!$K$5:$AJ$110,0,MATCH(O$2,Inputs!$K$4:$AJ$4,0))))+SUMPRODUCT((Inputs!$E$5:$E$110=$B26)*ISNUMBER(INDEX(Inputs!$K$5:$AJ$110,0,MATCH(O$2,Inputs!$K$4:$AJ$4,0))))=0,NA(),SUMPRODUCT((Inputs!$A$5:$A$110=$B26)*Inputs!$B$5:$B$110*(((Inputs!$G$5:$G$110="moeda")+(Inputs!$G$5:$G$110="acoes"))*Inputs!$B$1+((Inputs!$G$5:$G$110&lt;&gt;"moeda")*(Inputs!$G$5:$G$110&lt;&gt;"acoes")))*INDEX(Inputs!$K$5:$AJ$110,0,MATCH(O$2,Inputs!$K$4:$AJ$4,0)))+SUMPRODUCT((Inputs!$C$5:$C$110=$B26)*Inputs!$D$5:$D$110*(((Inputs!$G$5:$G$110="moeda")+(Inputs!$G$5:$G$110="acoes"))*Inputs!$B$1+((Inputs!$G$5:$G$110&lt;&gt;"moeda")*(Inputs!$G$5:$G$110&lt;&gt;"acoes")))*INDEX(Inputs!$K$5:$AJ$110,0,MATCH(O$2,Inputs!$K$4:$AJ$4,0)))+SUMPRODUCT((Inputs!$E$5:$E$110=$B26)*Inputs!$F$5:$F$110*(((Inputs!$G$5:$G$110="moeda")+(Inputs!$G$5:$G$110="acoes"))*Inputs!$B$1+((Inputs!$G$5:$G$110&lt;&gt;"moeda")*(Inputs!$G$5:$G$110&lt;&gt;"acoes")))*INDEX(Inputs!$K$5:$AJ$110,0,MATCH(O$2,Inputs!$K$4:$AJ$4,0)))))</f>
        <v>7276</v>
      </c>
      <c r="P26" s="6">
        <f>IF(ISNA(MATCH(P$2,Inputs!$K$4:$AJ$4,0)),NA(),IF(SUMPRODUCT((Inputs!$A$5:$A$110=$B26)*ISNUMBER(INDEX(Inputs!$K$5:$AJ$110,0,MATCH(P$2,Inputs!$K$4:$AJ$4,0))))+SUMPRODUCT((Inputs!$C$5:$C$110=$B26)*ISNUMBER(INDEX(Inputs!$K$5:$AJ$110,0,MATCH(P$2,Inputs!$K$4:$AJ$4,0))))+SUMPRODUCT((Inputs!$E$5:$E$110=$B26)*ISNUMBER(INDEX(Inputs!$K$5:$AJ$110,0,MATCH(P$2,Inputs!$K$4:$AJ$4,0))))=0,NA(),SUMPRODUCT((Inputs!$A$5:$A$110=$B26)*Inputs!$B$5:$B$110*(((Inputs!$G$5:$G$110="moeda")+(Inputs!$G$5:$G$110="acoes"))*Inputs!$B$1+((Inputs!$G$5:$G$110&lt;&gt;"moeda")*(Inputs!$G$5:$G$110&lt;&gt;"acoes")))*INDEX(Inputs!$K$5:$AJ$110,0,MATCH(P$2,Inputs!$K$4:$AJ$4,0)))+SUMPRODUCT((Inputs!$C$5:$C$110=$B26)*Inputs!$D$5:$D$110*(((Inputs!$G$5:$G$110="moeda")+(Inputs!$G$5:$G$110="acoes"))*Inputs!$B$1+((Inputs!$G$5:$G$110&lt;&gt;"moeda")*(Inputs!$G$5:$G$110&lt;&gt;"acoes")))*INDEX(Inputs!$K$5:$AJ$110,0,MATCH(P$2,Inputs!$K$4:$AJ$4,0)))+SUMPRODUCT((Inputs!$E$5:$E$110=$B26)*Inputs!$F$5:$F$110*(((Inputs!$G$5:$G$110="moeda")+(Inputs!$G$5:$G$110="acoes"))*Inputs!$B$1+((Inputs!$G$5:$G$110&lt;&gt;"moeda")*(Inputs!$G$5:$G$110&lt;&gt;"acoes")))*INDEX(Inputs!$K$5:$AJ$110,0,MATCH(P$2,Inputs!$K$4:$AJ$4,0)))))</f>
        <v>7369</v>
      </c>
      <c r="Q26" s="6">
        <f>IF(ISNA(MATCH(Q$2,Inputs!$K$4:$AJ$4,0)),NA(),IF(SUMPRODUCT((Inputs!$A$5:$A$110=$B26)*ISNUMBER(INDEX(Inputs!$K$5:$AJ$110,0,MATCH(Q$2,Inputs!$K$4:$AJ$4,0))))+SUMPRODUCT((Inputs!$C$5:$C$110=$B26)*ISNUMBER(INDEX(Inputs!$K$5:$AJ$110,0,MATCH(Q$2,Inputs!$K$4:$AJ$4,0))))+SUMPRODUCT((Inputs!$E$5:$E$110=$B26)*ISNUMBER(INDEX(Inputs!$K$5:$AJ$110,0,MATCH(Q$2,Inputs!$K$4:$AJ$4,0))))=0,NA(),SUMPRODUCT((Inputs!$A$5:$A$110=$B26)*Inputs!$B$5:$B$110*(((Inputs!$G$5:$G$110="moeda")+(Inputs!$G$5:$G$110="acoes"))*Inputs!$B$1+((Inputs!$G$5:$G$110&lt;&gt;"moeda")*(Inputs!$G$5:$G$110&lt;&gt;"acoes")))*INDEX(Inputs!$K$5:$AJ$110,0,MATCH(Q$2,Inputs!$K$4:$AJ$4,0)))+SUMPRODUCT((Inputs!$C$5:$C$110=$B26)*Inputs!$D$5:$D$110*(((Inputs!$G$5:$G$110="moeda")+(Inputs!$G$5:$G$110="acoes"))*Inputs!$B$1+((Inputs!$G$5:$G$110&lt;&gt;"moeda")*(Inputs!$G$5:$G$110&lt;&gt;"acoes")))*INDEX(Inputs!$K$5:$AJ$110,0,MATCH(Q$2,Inputs!$K$4:$AJ$4,0)))+SUMPRODUCT((Inputs!$E$5:$E$110=$B26)*Inputs!$F$5:$F$110*(((Inputs!$G$5:$G$110="moeda")+(Inputs!$G$5:$G$110="acoes"))*Inputs!$B$1+((Inputs!$G$5:$G$110&lt;&gt;"moeda")*(Inputs!$G$5:$G$110&lt;&gt;"acoes")))*INDEX(Inputs!$K$5:$AJ$110,0,MATCH(Q$2,Inputs!$K$4:$AJ$4,0)))))</f>
        <v>7601</v>
      </c>
      <c r="R26" s="3">
        <f>Q26</f>
        <v>7601</v>
      </c>
      <c r="S26" s="6">
        <f>IF(ISNA(MATCH(S$2,Inputs!$K$4:$AJ$4,0)),NA(),IF(SUMPRODUCT((Inputs!$A$5:$A$110=$B26)*ISNUMBER(INDEX(Inputs!$K$5:$AJ$110,0,MATCH(S$2,Inputs!$K$4:$AJ$4,0))))+SUMPRODUCT((Inputs!$C$5:$C$110=$B26)*ISNUMBER(INDEX(Inputs!$K$5:$AJ$110,0,MATCH(S$2,Inputs!$K$4:$AJ$4,0))))+SUMPRODUCT((Inputs!$E$5:$E$110=$B26)*ISNUMBER(INDEX(Inputs!$K$5:$AJ$110,0,MATCH(S$2,Inputs!$K$4:$AJ$4,0))))=0,NA(),SUMPRODUCT((Inputs!$A$5:$A$110=$B26)*Inputs!$B$5:$B$110*(((Inputs!$G$5:$G$110="moeda")+(Inputs!$G$5:$G$110="acoes"))*Inputs!$B$1+((Inputs!$G$5:$G$110&lt;&gt;"moeda")*(Inputs!$G$5:$G$110&lt;&gt;"acoes")))*INDEX(Inputs!$K$5:$AJ$110,0,MATCH(S$2,Inputs!$K$4:$AJ$4,0)))+SUMPRODUCT((Inputs!$C$5:$C$110=$B26)*Inputs!$D$5:$D$110*(((Inputs!$G$5:$G$110="moeda")+(Inputs!$G$5:$G$110="acoes"))*Inputs!$B$1+((Inputs!$G$5:$G$110&lt;&gt;"moeda")*(Inputs!$G$5:$G$110&lt;&gt;"acoes")))*INDEX(Inputs!$K$5:$AJ$110,0,MATCH(S$2,Inputs!$K$4:$AJ$4,0)))+SUMPRODUCT((Inputs!$E$5:$E$110=$B26)*Inputs!$F$5:$F$110*(((Inputs!$G$5:$G$110="moeda")+(Inputs!$G$5:$G$110="acoes"))*Inputs!$B$1+((Inputs!$G$5:$G$110&lt;&gt;"moeda")*(Inputs!$G$5:$G$110&lt;&gt;"acoes")))*INDEX(Inputs!$K$5:$AJ$110,0,MATCH(S$2,Inputs!$K$4:$AJ$4,0)))))</f>
        <v>7687</v>
      </c>
      <c r="T26" s="6">
        <f>IF(ISNA(MATCH(T$2,Inputs!$K$4:$AJ$4,0)),NA(),IF(SUMPRODUCT((Inputs!$A$5:$A$110=$B26)*ISNUMBER(INDEX(Inputs!$K$5:$AJ$110,0,MATCH(T$2,Inputs!$K$4:$AJ$4,0))))+SUMPRODUCT((Inputs!$C$5:$C$110=$B26)*ISNUMBER(INDEX(Inputs!$K$5:$AJ$110,0,MATCH(T$2,Inputs!$K$4:$AJ$4,0))))+SUMPRODUCT((Inputs!$E$5:$E$110=$B26)*ISNUMBER(INDEX(Inputs!$K$5:$AJ$110,0,MATCH(T$2,Inputs!$K$4:$AJ$4,0))))=0,NA(),SUMPRODUCT((Inputs!$A$5:$A$110=$B26)*Inputs!$B$5:$B$110*(((Inputs!$G$5:$G$110="moeda")+(Inputs!$G$5:$G$110="acoes"))*Inputs!$B$1+((Inputs!$G$5:$G$110&lt;&gt;"moeda")*(Inputs!$G$5:$G$110&lt;&gt;"acoes")))*INDEX(Inputs!$K$5:$AJ$110,0,MATCH(T$2,Inputs!$K$4:$AJ$4,0)))+SUMPRODUCT((Inputs!$C$5:$C$110=$B26)*Inputs!$D$5:$D$110*(((Inputs!$G$5:$G$110="moeda")+(Inputs!$G$5:$G$110="acoes"))*Inputs!$B$1+((Inputs!$G$5:$G$110&lt;&gt;"moeda")*(Inputs!$G$5:$G$110&lt;&gt;"acoes")))*INDEX(Inputs!$K$5:$AJ$110,0,MATCH(T$2,Inputs!$K$4:$AJ$4,0)))+SUMPRODUCT((Inputs!$E$5:$E$110=$B26)*Inputs!$F$5:$F$110*(((Inputs!$G$5:$G$110="moeda")+(Inputs!$G$5:$G$110="acoes"))*Inputs!$B$1+((Inputs!$G$5:$G$110&lt;&gt;"moeda")*(Inputs!$G$5:$G$110&lt;&gt;"acoes")))*INDEX(Inputs!$K$5:$AJ$110,0,MATCH(T$2,Inputs!$K$4:$AJ$4,0)))))</f>
        <v>7808</v>
      </c>
      <c r="U26" s="6">
        <f>IF(ISNA(MATCH(U$2,Inputs!$K$4:$AJ$4,0)),NA(),IF(SUMPRODUCT((Inputs!$A$5:$A$110=$B26)*ISNUMBER(INDEX(Inputs!$K$5:$AJ$110,0,MATCH(U$2,Inputs!$K$4:$AJ$4,0))))+SUMPRODUCT((Inputs!$C$5:$C$110=$B26)*ISNUMBER(INDEX(Inputs!$K$5:$AJ$110,0,MATCH(U$2,Inputs!$K$4:$AJ$4,0))))+SUMPRODUCT((Inputs!$E$5:$E$110=$B26)*ISNUMBER(INDEX(Inputs!$K$5:$AJ$110,0,MATCH(U$2,Inputs!$K$4:$AJ$4,0))))=0,NA(),SUMPRODUCT((Inputs!$A$5:$A$110=$B26)*Inputs!$B$5:$B$110*(((Inputs!$G$5:$G$110="moeda")+(Inputs!$G$5:$G$110="acoes"))*Inputs!$B$1+((Inputs!$G$5:$G$110&lt;&gt;"moeda")*(Inputs!$G$5:$G$110&lt;&gt;"acoes")))*INDEX(Inputs!$K$5:$AJ$110,0,MATCH(U$2,Inputs!$K$4:$AJ$4,0)))+SUMPRODUCT((Inputs!$C$5:$C$110=$B26)*Inputs!$D$5:$D$110*(((Inputs!$G$5:$G$110="moeda")+(Inputs!$G$5:$G$110="acoes"))*Inputs!$B$1+((Inputs!$G$5:$G$110&lt;&gt;"moeda")*(Inputs!$G$5:$G$110&lt;&gt;"acoes")))*INDEX(Inputs!$K$5:$AJ$110,0,MATCH(U$2,Inputs!$K$4:$AJ$4,0)))+SUMPRODUCT((Inputs!$E$5:$E$110=$B26)*Inputs!$F$5:$F$110*(((Inputs!$G$5:$G$110="moeda")+(Inputs!$G$5:$G$110="acoes"))*Inputs!$B$1+((Inputs!$G$5:$G$110&lt;&gt;"moeda")*(Inputs!$G$5:$G$110&lt;&gt;"acoes")))*INDEX(Inputs!$K$5:$AJ$110,0,MATCH(U$2,Inputs!$K$4:$AJ$4,0)))))</f>
        <v>7971</v>
      </c>
      <c r="V26" s="6">
        <f>IF(ISNA(MATCH(V$2,Inputs!$K$4:$AJ$4,0)),NA(),IF(SUMPRODUCT((Inputs!$A$5:$A$110=$B26)*ISNUMBER(INDEX(Inputs!$K$5:$AJ$110,0,MATCH(V$2,Inputs!$K$4:$AJ$4,0))))+SUMPRODUCT((Inputs!$C$5:$C$110=$B26)*ISNUMBER(INDEX(Inputs!$K$5:$AJ$110,0,MATCH(V$2,Inputs!$K$4:$AJ$4,0))))+SUMPRODUCT((Inputs!$E$5:$E$110=$B26)*ISNUMBER(INDEX(Inputs!$K$5:$AJ$110,0,MATCH(V$2,Inputs!$K$4:$AJ$4,0))))=0,NA(),SUMPRODUCT((Inputs!$A$5:$A$110=$B26)*Inputs!$B$5:$B$110*(((Inputs!$G$5:$G$110="moeda")+(Inputs!$G$5:$G$110="acoes"))*Inputs!$B$1+((Inputs!$G$5:$G$110&lt;&gt;"moeda")*(Inputs!$G$5:$G$110&lt;&gt;"acoes")))*INDEX(Inputs!$K$5:$AJ$110,0,MATCH(V$2,Inputs!$K$4:$AJ$4,0)))+SUMPRODUCT((Inputs!$C$5:$C$110=$B26)*Inputs!$D$5:$D$110*(((Inputs!$G$5:$G$110="moeda")+(Inputs!$G$5:$G$110="acoes"))*Inputs!$B$1+((Inputs!$G$5:$G$110&lt;&gt;"moeda")*(Inputs!$G$5:$G$110&lt;&gt;"acoes")))*INDEX(Inputs!$K$5:$AJ$110,0,MATCH(V$2,Inputs!$K$4:$AJ$4,0)))+SUMPRODUCT((Inputs!$E$5:$E$110=$B26)*Inputs!$F$5:$F$110*(((Inputs!$G$5:$G$110="moeda")+(Inputs!$G$5:$G$110="acoes"))*Inputs!$B$1+((Inputs!$G$5:$G$110&lt;&gt;"moeda")*(Inputs!$G$5:$G$110&lt;&gt;"acoes")))*INDEX(Inputs!$K$5:$AJ$110,0,MATCH(V$2,Inputs!$K$4:$AJ$4,0)))))</f>
        <v>8403</v>
      </c>
      <c r="W26" s="3">
        <f>V26</f>
        <v>8403</v>
      </c>
      <c r="X26" s="6">
        <f>IF(ISNA(MATCH(X$2,Inputs!$K$4:$AJ$4,0)),NA(),IF(SUMPRODUCT((Inputs!$A$5:$A$110=$B26)*ISNUMBER(INDEX(Inputs!$K$5:$AJ$110,0,MATCH(X$2,Inputs!$K$4:$AJ$4,0))))+SUMPRODUCT((Inputs!$C$5:$C$110=$B26)*ISNUMBER(INDEX(Inputs!$K$5:$AJ$110,0,MATCH(X$2,Inputs!$K$4:$AJ$4,0))))+SUMPRODUCT((Inputs!$E$5:$E$110=$B26)*ISNUMBER(INDEX(Inputs!$K$5:$AJ$110,0,MATCH(X$2,Inputs!$K$4:$AJ$4,0))))=0,NA(),SUMPRODUCT((Inputs!$A$5:$A$110=$B26)*Inputs!$B$5:$B$110*(((Inputs!$G$5:$G$110="moeda")+(Inputs!$G$5:$G$110="acoes"))*Inputs!$B$1+((Inputs!$G$5:$G$110&lt;&gt;"moeda")*(Inputs!$G$5:$G$110&lt;&gt;"acoes")))*INDEX(Inputs!$K$5:$AJ$110,0,MATCH(X$2,Inputs!$K$4:$AJ$4,0)))+SUMPRODUCT((Inputs!$C$5:$C$110=$B26)*Inputs!$D$5:$D$110*(((Inputs!$G$5:$G$110="moeda")+(Inputs!$G$5:$G$110="acoes"))*Inputs!$B$1+((Inputs!$G$5:$G$110&lt;&gt;"moeda")*(Inputs!$G$5:$G$110&lt;&gt;"acoes")))*INDEX(Inputs!$K$5:$AJ$110,0,MATCH(X$2,Inputs!$K$4:$AJ$4,0)))+SUMPRODUCT((Inputs!$E$5:$E$110=$B26)*Inputs!$F$5:$F$110*(((Inputs!$G$5:$G$110="moeda")+(Inputs!$G$5:$G$110="acoes"))*Inputs!$B$1+((Inputs!$G$5:$G$110&lt;&gt;"moeda")*(Inputs!$G$5:$G$110&lt;&gt;"acoes")))*INDEX(Inputs!$K$5:$AJ$110,0,MATCH(X$2,Inputs!$K$4:$AJ$4,0)))))</f>
        <v>8559</v>
      </c>
      <c r="Y26" s="6">
        <f>IF(ISNA(MATCH(Y$2,Inputs!$K$4:$AJ$4,0)),NA(),IF(SUMPRODUCT((Inputs!$A$5:$A$110=$B26)*ISNUMBER(INDEX(Inputs!$K$5:$AJ$110,0,MATCH(Y$2,Inputs!$K$4:$AJ$4,0))))+SUMPRODUCT((Inputs!$C$5:$C$110=$B26)*ISNUMBER(INDEX(Inputs!$K$5:$AJ$110,0,MATCH(Y$2,Inputs!$K$4:$AJ$4,0))))+SUMPRODUCT((Inputs!$E$5:$E$110=$B26)*ISNUMBER(INDEX(Inputs!$K$5:$AJ$110,0,MATCH(Y$2,Inputs!$K$4:$AJ$4,0))))=0,NA(),SUMPRODUCT((Inputs!$A$5:$A$110=$B26)*Inputs!$B$5:$B$110*(((Inputs!$G$5:$G$110="moeda")+(Inputs!$G$5:$G$110="acoes"))*Inputs!$B$1+((Inputs!$G$5:$G$110&lt;&gt;"moeda")*(Inputs!$G$5:$G$110&lt;&gt;"acoes")))*INDEX(Inputs!$K$5:$AJ$110,0,MATCH(Y$2,Inputs!$K$4:$AJ$4,0)))+SUMPRODUCT((Inputs!$C$5:$C$110=$B26)*Inputs!$D$5:$D$110*(((Inputs!$G$5:$G$110="moeda")+(Inputs!$G$5:$G$110="acoes"))*Inputs!$B$1+((Inputs!$G$5:$G$110&lt;&gt;"moeda")*(Inputs!$G$5:$G$110&lt;&gt;"acoes")))*INDEX(Inputs!$K$5:$AJ$110,0,MATCH(Y$2,Inputs!$K$4:$AJ$4,0)))+SUMPRODUCT((Inputs!$E$5:$E$110=$B26)*Inputs!$F$5:$F$110*(((Inputs!$G$5:$G$110="moeda")+(Inputs!$G$5:$G$110="acoes"))*Inputs!$B$1+((Inputs!$G$5:$G$110&lt;&gt;"moeda")*(Inputs!$G$5:$G$110&lt;&gt;"acoes")))*INDEX(Inputs!$K$5:$AJ$110,0,MATCH(Y$2,Inputs!$K$4:$AJ$4,0)))))</f>
        <v>8820</v>
      </c>
      <c r="Z26" s="6">
        <f>IF(ISNA(MATCH(Z$2,Inputs!$K$4:$AJ$4,0)),NA(),IF(SUMPRODUCT((Inputs!$A$5:$A$110=$B26)*ISNUMBER(INDEX(Inputs!$K$5:$AJ$110,0,MATCH(Z$2,Inputs!$K$4:$AJ$4,0))))+SUMPRODUCT((Inputs!$C$5:$C$110=$B26)*ISNUMBER(INDEX(Inputs!$K$5:$AJ$110,0,MATCH(Z$2,Inputs!$K$4:$AJ$4,0))))+SUMPRODUCT((Inputs!$E$5:$E$110=$B26)*ISNUMBER(INDEX(Inputs!$K$5:$AJ$110,0,MATCH(Z$2,Inputs!$K$4:$AJ$4,0))))=0,NA(),SUMPRODUCT((Inputs!$A$5:$A$110=$B26)*Inputs!$B$5:$B$110*(((Inputs!$G$5:$G$110="moeda")+(Inputs!$G$5:$G$110="acoes"))*Inputs!$B$1+((Inputs!$G$5:$G$110&lt;&gt;"moeda")*(Inputs!$G$5:$G$110&lt;&gt;"acoes")))*INDEX(Inputs!$K$5:$AJ$110,0,MATCH(Z$2,Inputs!$K$4:$AJ$4,0)))+SUMPRODUCT((Inputs!$C$5:$C$110=$B26)*Inputs!$D$5:$D$110*(((Inputs!$G$5:$G$110="moeda")+(Inputs!$G$5:$G$110="acoes"))*Inputs!$B$1+((Inputs!$G$5:$G$110&lt;&gt;"moeda")*(Inputs!$G$5:$G$110&lt;&gt;"acoes")))*INDEX(Inputs!$K$5:$AJ$110,0,MATCH(Z$2,Inputs!$K$4:$AJ$4,0)))+SUMPRODUCT((Inputs!$E$5:$E$110=$B26)*Inputs!$F$5:$F$110*(((Inputs!$G$5:$G$110="moeda")+(Inputs!$G$5:$G$110="acoes"))*Inputs!$B$1+((Inputs!$G$5:$G$110&lt;&gt;"moeda")*(Inputs!$G$5:$G$110&lt;&gt;"acoes")))*INDEX(Inputs!$K$5:$AJ$110,0,MATCH(Z$2,Inputs!$K$4:$AJ$4,0)))))</f>
        <v>8949</v>
      </c>
      <c r="AA26" s="6">
        <f>IF(ISNA(MATCH(AA$2,Inputs!$K$4:$AJ$4,0)),NA(),IF(SUMPRODUCT((Inputs!$A$5:$A$110=$B26)*ISNUMBER(INDEX(Inputs!$K$5:$AJ$110,0,MATCH(AA$2,Inputs!$K$4:$AJ$4,0))))+SUMPRODUCT((Inputs!$C$5:$C$110=$B26)*ISNUMBER(INDEX(Inputs!$K$5:$AJ$110,0,MATCH(AA$2,Inputs!$K$4:$AJ$4,0))))+SUMPRODUCT((Inputs!$E$5:$E$110=$B26)*ISNUMBER(INDEX(Inputs!$K$5:$AJ$110,0,MATCH(AA$2,Inputs!$K$4:$AJ$4,0))))=0,NA(),SUMPRODUCT((Inputs!$A$5:$A$110=$B26)*Inputs!$B$5:$B$110*(((Inputs!$G$5:$G$110="moeda")+(Inputs!$G$5:$G$110="acoes"))*Inputs!$B$1+((Inputs!$G$5:$G$110&lt;&gt;"moeda")*(Inputs!$G$5:$G$110&lt;&gt;"acoes")))*INDEX(Inputs!$K$5:$AJ$110,0,MATCH(AA$2,Inputs!$K$4:$AJ$4,0)))+SUMPRODUCT((Inputs!$C$5:$C$110=$B26)*Inputs!$D$5:$D$110*(((Inputs!$G$5:$G$110="moeda")+(Inputs!$G$5:$G$110="acoes"))*Inputs!$B$1+((Inputs!$G$5:$G$110&lt;&gt;"moeda")*(Inputs!$G$5:$G$110&lt;&gt;"acoes")))*INDEX(Inputs!$K$5:$AJ$110,0,MATCH(AA$2,Inputs!$K$4:$AJ$4,0)))+SUMPRODUCT((Inputs!$E$5:$E$110=$B26)*Inputs!$F$5:$F$110*(((Inputs!$G$5:$G$110="moeda")+(Inputs!$G$5:$G$110="acoes"))*Inputs!$B$1+((Inputs!$G$5:$G$110&lt;&gt;"moeda")*(Inputs!$G$5:$G$110&lt;&gt;"acoes")))*INDEX(Inputs!$K$5:$AJ$110,0,MATCH(AA$2,Inputs!$K$4:$AJ$4,0)))))</f>
        <v>9427</v>
      </c>
      <c r="AB26" s="3">
        <f>AA26</f>
        <v>9427</v>
      </c>
      <c r="AC26" s="6">
        <f>IF(ISNA(MATCH(AC$2,Inputs!$K$4:$AJ$4,0)),NA(),IF(SUMPRODUCT((Inputs!$A$5:$A$110=$B26)*ISNUMBER(INDEX(Inputs!$K$5:$AJ$110,0,MATCH(AC$2,Inputs!$K$4:$AJ$4,0))))+SUMPRODUCT((Inputs!$C$5:$C$110=$B26)*ISNUMBER(INDEX(Inputs!$K$5:$AJ$110,0,MATCH(AC$2,Inputs!$K$4:$AJ$4,0))))+SUMPRODUCT((Inputs!$E$5:$E$110=$B26)*ISNUMBER(INDEX(Inputs!$K$5:$AJ$110,0,MATCH(AC$2,Inputs!$K$4:$AJ$4,0))))=0,NA(),SUMPRODUCT((Inputs!$A$5:$A$110=$B26)*Inputs!$B$5:$B$110*(((Inputs!$G$5:$G$110="moeda")+(Inputs!$G$5:$G$110="acoes"))*Inputs!$B$1+((Inputs!$G$5:$G$110&lt;&gt;"moeda")*(Inputs!$G$5:$G$110&lt;&gt;"acoes")))*INDEX(Inputs!$K$5:$AJ$110,0,MATCH(AC$2,Inputs!$K$4:$AJ$4,0)))+SUMPRODUCT((Inputs!$C$5:$C$110=$B26)*Inputs!$D$5:$D$110*(((Inputs!$G$5:$G$110="moeda")+(Inputs!$G$5:$G$110="acoes"))*Inputs!$B$1+((Inputs!$G$5:$G$110&lt;&gt;"moeda")*(Inputs!$G$5:$G$110&lt;&gt;"acoes")))*INDEX(Inputs!$K$5:$AJ$110,0,MATCH(AC$2,Inputs!$K$4:$AJ$4,0)))+SUMPRODUCT((Inputs!$E$5:$E$110=$B26)*Inputs!$F$5:$F$110*(((Inputs!$G$5:$G$110="moeda")+(Inputs!$G$5:$G$110="acoes"))*Inputs!$B$1+((Inputs!$G$5:$G$110&lt;&gt;"moeda")*(Inputs!$G$5:$G$110&lt;&gt;"acoes")))*INDEX(Inputs!$K$5:$AJ$110,0,MATCH(AC$2,Inputs!$K$4:$AJ$4,0)))))</f>
        <v>6930</v>
      </c>
      <c r="AD26" s="6">
        <f>IF(ISNA(MATCH(AD$2,Inputs!$K$4:$AJ$4,0)),NA(),IF(SUMPRODUCT((Inputs!$A$5:$A$110=$B26)*ISNUMBER(INDEX(Inputs!$K$5:$AJ$110,0,MATCH(AD$2,Inputs!$K$4:$AJ$4,0))))+SUMPRODUCT((Inputs!$C$5:$C$110=$B26)*ISNUMBER(INDEX(Inputs!$K$5:$AJ$110,0,MATCH(AD$2,Inputs!$K$4:$AJ$4,0))))+SUMPRODUCT((Inputs!$E$5:$E$110=$B26)*ISNUMBER(INDEX(Inputs!$K$5:$AJ$110,0,MATCH(AD$2,Inputs!$K$4:$AJ$4,0))))=0,NA(),SUMPRODUCT((Inputs!$A$5:$A$110=$B26)*Inputs!$B$5:$B$110*(((Inputs!$G$5:$G$110="moeda")+(Inputs!$G$5:$G$110="acoes"))*Inputs!$B$1+((Inputs!$G$5:$G$110&lt;&gt;"moeda")*(Inputs!$G$5:$G$110&lt;&gt;"acoes")))*INDEX(Inputs!$K$5:$AJ$110,0,MATCH(AD$2,Inputs!$K$4:$AJ$4,0)))+SUMPRODUCT((Inputs!$C$5:$C$110=$B26)*Inputs!$D$5:$D$110*(((Inputs!$G$5:$G$110="moeda")+(Inputs!$G$5:$G$110="acoes"))*Inputs!$B$1+((Inputs!$G$5:$G$110&lt;&gt;"moeda")*(Inputs!$G$5:$G$110&lt;&gt;"acoes")))*INDEX(Inputs!$K$5:$AJ$110,0,MATCH(AD$2,Inputs!$K$4:$AJ$4,0)))+SUMPRODUCT((Inputs!$E$5:$E$110=$B26)*Inputs!$F$5:$F$110*(((Inputs!$G$5:$G$110="moeda")+(Inputs!$G$5:$G$110="acoes"))*Inputs!$B$1+((Inputs!$G$5:$G$110&lt;&gt;"moeda")*(Inputs!$G$5:$G$110&lt;&gt;"acoes")))*INDEX(Inputs!$K$5:$AJ$110,0,MATCH(AD$2,Inputs!$K$4:$AJ$4,0)))))</f>
        <v>7160</v>
      </c>
      <c r="AE26" s="6" t="e">
        <f>IF(ISNA(MATCH(AE$2,Inputs!$K$4:$AJ$4,0)),NA(),IF(SUMPRODUCT((Inputs!$A$5:$A$110=$B26)*ISNUMBER(INDEX(Inputs!$K$5:$AJ$110,0,MATCH(AE$2,Inputs!$K$4:$AJ$4,0))))+SUMPRODUCT((Inputs!$C$5:$C$110=$B26)*ISNUMBER(INDEX(Inputs!$K$5:$AJ$110,0,MATCH(AE$2,Inputs!$K$4:$AJ$4,0))))+SUMPRODUCT((Inputs!$E$5:$E$110=$B26)*ISNUMBER(INDEX(Inputs!$K$5:$AJ$110,0,MATCH(AE$2,Inputs!$K$4:$AJ$4,0))))=0,NA(),SUMPRODUCT((Inputs!$A$5:$A$110=$B26)*Inputs!$B$5:$B$110*(((Inputs!$G$5:$G$110="moeda")+(Inputs!$G$5:$G$110="acoes"))*Inputs!$B$1+((Inputs!$G$5:$G$110&lt;&gt;"moeda")*(Inputs!$G$5:$G$110&lt;&gt;"acoes")))*INDEX(Inputs!$K$5:$AJ$110,0,MATCH(AE$2,Inputs!$K$4:$AJ$4,0)))+SUMPRODUCT((Inputs!$C$5:$C$110=$B26)*Inputs!$D$5:$D$110*(((Inputs!$G$5:$G$110="moeda")+(Inputs!$G$5:$G$110="acoes"))*Inputs!$B$1+((Inputs!$G$5:$G$110&lt;&gt;"moeda")*(Inputs!$G$5:$G$110&lt;&gt;"acoes")))*INDEX(Inputs!$K$5:$AJ$110,0,MATCH(AE$2,Inputs!$K$4:$AJ$4,0)))+SUMPRODUCT((Inputs!$E$5:$E$110=$B26)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6" s="6" t="e">
        <f>IF(ISNA(MATCH(AF$2,Inputs!$K$4:$AJ$4,0)),NA(),IF(SUMPRODUCT((Inputs!$A$5:$A$110=$B26)*ISNUMBER(INDEX(Inputs!$K$5:$AJ$110,0,MATCH(AF$2,Inputs!$K$4:$AJ$4,0))))+SUMPRODUCT((Inputs!$C$5:$C$110=$B26)*ISNUMBER(INDEX(Inputs!$K$5:$AJ$110,0,MATCH(AF$2,Inputs!$K$4:$AJ$4,0))))+SUMPRODUCT((Inputs!$E$5:$E$110=$B26)*ISNUMBER(INDEX(Inputs!$K$5:$AJ$110,0,MATCH(AF$2,Inputs!$K$4:$AJ$4,0))))=0,NA(),SUMPRODUCT((Inputs!$A$5:$A$110=$B26)*Inputs!$B$5:$B$110*(((Inputs!$G$5:$G$110="moeda")+(Inputs!$G$5:$G$110="acoes"))*Inputs!$B$1+((Inputs!$G$5:$G$110&lt;&gt;"moeda")*(Inputs!$G$5:$G$110&lt;&gt;"acoes")))*INDEX(Inputs!$K$5:$AJ$110,0,MATCH(AF$2,Inputs!$K$4:$AJ$4,0)))+SUMPRODUCT((Inputs!$C$5:$C$110=$B26)*Inputs!$D$5:$D$110*(((Inputs!$G$5:$G$110="moeda")+(Inputs!$G$5:$G$110="acoes"))*Inputs!$B$1+((Inputs!$G$5:$G$110&lt;&gt;"moeda")*(Inputs!$G$5:$G$110&lt;&gt;"acoes")))*INDEX(Inputs!$K$5:$AJ$110,0,MATCH(AF$2,Inputs!$K$4:$AJ$4,0)))+SUMPRODUCT((Inputs!$E$5:$E$110=$B26)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6" s="3" t="e">
        <f>AF26</f>
        <v>#N/A</v>
      </c>
      <c r="AH26" s="6">
        <f>IF(ISNA(MATCH(AH$2,Inputs!$K$4:$AJ$4,0)),NA(),IF(SUMPRODUCT((Inputs!$A$5:$A$110=$B26)*ISNUMBER(INDEX(Inputs!$K$5:$AJ$110,0,MATCH(AH$2,Inputs!$K$4:$AJ$4,0))))+SUMPRODUCT((Inputs!$C$5:$C$110=$B26)*ISNUMBER(INDEX(Inputs!$K$5:$AJ$110,0,MATCH(AH$2,Inputs!$K$4:$AJ$4,0))))+SUMPRODUCT((Inputs!$E$5:$E$110=$B26)*ISNUMBER(INDEX(Inputs!$K$5:$AJ$110,0,MATCH(AH$2,Inputs!$K$4:$AJ$4,0))))=0,NA(),SUMPRODUCT((Inputs!$A$5:$A$110=$B26)*Inputs!$B$5:$B$110*(((Inputs!$G$5:$G$110="moeda")+(Inputs!$G$5:$G$110="acoes"))*Inputs!$B$1+((Inputs!$G$5:$G$110&lt;&gt;"moeda")*(Inputs!$G$5:$G$110&lt;&gt;"acoes")))*INDEX(Inputs!$K$5:$AJ$110,0,MATCH(AH$2,Inputs!$K$4:$AJ$4,0)))+SUMPRODUCT((Inputs!$C$5:$C$110=$B26)*Inputs!$D$5:$D$110*(((Inputs!$G$5:$G$110="moeda")+(Inputs!$G$5:$G$110="acoes"))*Inputs!$B$1+((Inputs!$G$5:$G$110&lt;&gt;"moeda")*(Inputs!$G$5:$G$110&lt;&gt;"acoes")))*INDEX(Inputs!$K$5:$AJ$110,0,MATCH(AH$2,Inputs!$K$4:$AJ$4,0)))+SUMPRODUCT((Inputs!$E$5:$E$110=$B26)*Inputs!$F$5:$F$110*(((Inputs!$G$5:$G$110="moeda")+(Inputs!$G$5:$G$110="acoes"))*Inputs!$B$1+((Inputs!$G$5:$G$110&lt;&gt;"moeda")*(Inputs!$G$5:$G$110&lt;&gt;"acoes")))*INDEX(Inputs!$K$5:$AJ$110,0,MATCH(AH$2,Inputs!$K$4:$AJ$4,0)))))</f>
        <v>6550</v>
      </c>
      <c r="AI26" s="6">
        <f>IF(ISNA(MATCH(AI$2,Inputs!$K$4:$AJ$4,0)),NA(),IF(SUMPRODUCT((Inputs!$A$5:$A$110=$B26)*ISNUMBER(INDEX(Inputs!$K$5:$AJ$110,0,MATCH(AI$2,Inputs!$K$4:$AJ$4,0))))+SUMPRODUCT((Inputs!$C$5:$C$110=$B26)*ISNUMBER(INDEX(Inputs!$K$5:$AJ$110,0,MATCH(AI$2,Inputs!$K$4:$AJ$4,0))))+SUMPRODUCT((Inputs!$E$5:$E$110=$B26)*ISNUMBER(INDEX(Inputs!$K$5:$AJ$110,0,MATCH(AI$2,Inputs!$K$4:$AJ$4,0))))=0,NA(),SUMPRODUCT((Inputs!$A$5:$A$110=$B26)*Inputs!$B$5:$B$110*(((Inputs!$G$5:$G$110="moeda")+(Inputs!$G$5:$G$110="acoes"))*Inputs!$B$1+((Inputs!$G$5:$G$110&lt;&gt;"moeda")*(Inputs!$G$5:$G$110&lt;&gt;"acoes")))*INDEX(Inputs!$K$5:$AJ$110,0,MATCH(AI$2,Inputs!$K$4:$AJ$4,0)))+SUMPRODUCT((Inputs!$C$5:$C$110=$B26)*Inputs!$D$5:$D$110*(((Inputs!$G$5:$G$110="moeda")+(Inputs!$G$5:$G$110="acoes"))*Inputs!$B$1+((Inputs!$G$5:$G$110&lt;&gt;"moeda")*(Inputs!$G$5:$G$110&lt;&gt;"acoes")))*INDEX(Inputs!$K$5:$AJ$110,0,MATCH(AI$2,Inputs!$K$4:$AJ$4,0)))+SUMPRODUCT((Inputs!$E$5:$E$110=$B26)*Inputs!$F$5:$F$110*(((Inputs!$G$5:$G$110="moeda")+(Inputs!$G$5:$G$110="acoes"))*Inputs!$B$1+((Inputs!$G$5:$G$110&lt;&gt;"moeda")*(Inputs!$G$5:$G$110&lt;&gt;"acoes")))*INDEX(Inputs!$K$5:$AJ$110,0,MATCH(AI$2,Inputs!$K$4:$AJ$4,0)))))</f>
        <v>6587</v>
      </c>
      <c r="AJ26" s="6">
        <f>IF(ISNA(MATCH(AJ$2,Inputs!$K$4:$AJ$4,0)),NA(),IF(SUMPRODUCT((Inputs!$A$5:$A$110=$B26)*ISNUMBER(INDEX(Inputs!$K$5:$AJ$110,0,MATCH(AJ$2,Inputs!$K$4:$AJ$4,0))))+SUMPRODUCT((Inputs!$C$5:$C$110=$B26)*ISNUMBER(INDEX(Inputs!$K$5:$AJ$110,0,MATCH(AJ$2,Inputs!$K$4:$AJ$4,0))))+SUMPRODUCT((Inputs!$E$5:$E$110=$B26)*ISNUMBER(INDEX(Inputs!$K$5:$AJ$110,0,MATCH(AJ$2,Inputs!$K$4:$AJ$4,0))))=0,NA(),SUMPRODUCT((Inputs!$A$5:$A$110=$B26)*Inputs!$B$5:$B$110*(((Inputs!$G$5:$G$110="moeda")+(Inputs!$G$5:$G$110="acoes"))*Inputs!$B$1+((Inputs!$G$5:$G$110&lt;&gt;"moeda")*(Inputs!$G$5:$G$110&lt;&gt;"acoes")))*INDEX(Inputs!$K$5:$AJ$110,0,MATCH(AJ$2,Inputs!$K$4:$AJ$4,0)))+SUMPRODUCT((Inputs!$C$5:$C$110=$B26)*Inputs!$D$5:$D$110*(((Inputs!$G$5:$G$110="moeda")+(Inputs!$G$5:$G$110="acoes"))*Inputs!$B$1+((Inputs!$G$5:$G$110&lt;&gt;"moeda")*(Inputs!$G$5:$G$110&lt;&gt;"acoes")))*INDEX(Inputs!$K$5:$AJ$110,0,MATCH(AJ$2,Inputs!$K$4:$AJ$4,0)))+SUMPRODUCT((Inputs!$E$5:$E$110=$B26)*Inputs!$F$5:$F$110*(((Inputs!$G$5:$G$110="moeda")+(Inputs!$G$5:$G$110="acoes"))*Inputs!$B$1+((Inputs!$G$5:$G$110&lt;&gt;"moeda")*(Inputs!$G$5:$G$110&lt;&gt;"acoes")))*INDEX(Inputs!$K$5:$AJ$110,0,MATCH(AJ$2,Inputs!$K$4:$AJ$4,0)))))</f>
        <v>6880</v>
      </c>
      <c r="AK26" s="6">
        <f>IF(ISNA(MATCH(AK$2,Inputs!$K$4:$AJ$4,0)),NA(),IF(SUMPRODUCT((Inputs!$A$5:$A$110=$B26)*ISNUMBER(INDEX(Inputs!$K$5:$AJ$110,0,MATCH(AK$2,Inputs!$K$4:$AJ$4,0))))+SUMPRODUCT((Inputs!$C$5:$C$110=$B26)*ISNUMBER(INDEX(Inputs!$K$5:$AJ$110,0,MATCH(AK$2,Inputs!$K$4:$AJ$4,0))))+SUMPRODUCT((Inputs!$E$5:$E$110=$B26)*ISNUMBER(INDEX(Inputs!$K$5:$AJ$110,0,MATCH(AK$2,Inputs!$K$4:$AJ$4,0))))=0,NA(),SUMPRODUCT((Inputs!$A$5:$A$110=$B26)*Inputs!$B$5:$B$110*(((Inputs!$G$5:$G$110="moeda")+(Inputs!$G$5:$G$110="acoes"))*Inputs!$B$1+((Inputs!$G$5:$G$110&lt;&gt;"moeda")*(Inputs!$G$5:$G$110&lt;&gt;"acoes")))*INDEX(Inputs!$K$5:$AJ$110,0,MATCH(AK$2,Inputs!$K$4:$AJ$4,0)))+SUMPRODUCT((Inputs!$C$5:$C$110=$B26)*Inputs!$D$5:$D$110*(((Inputs!$G$5:$G$110="moeda")+(Inputs!$G$5:$G$110="acoes"))*Inputs!$B$1+((Inputs!$G$5:$G$110&lt;&gt;"moeda")*(Inputs!$G$5:$G$110&lt;&gt;"acoes")))*INDEX(Inputs!$K$5:$AJ$110,0,MATCH(AK$2,Inputs!$K$4:$AJ$4,0)))+SUMPRODUCT((Inputs!$E$5:$E$110=$B26)*Inputs!$F$5:$F$110*(((Inputs!$G$5:$G$110="moeda")+(Inputs!$G$5:$G$110="acoes"))*Inputs!$B$1+((Inputs!$G$5:$G$110&lt;&gt;"moeda")*(Inputs!$G$5:$G$110&lt;&gt;"acoes")))*INDEX(Inputs!$K$5:$AJ$110,0,MATCH(AK$2,Inputs!$K$4:$AJ$4,0)))))</f>
        <v>6826</v>
      </c>
      <c r="AL26" s="3">
        <f>AK26</f>
        <v>6826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$110=$B28)*ISNUMBER(INDEX(Inputs!$K$5:$AJ$110,0,MATCH(D$2,Inputs!$K$4:$AJ$4,0))))+SUMPRODUCT((Inputs!$C$5:$C$110=$B28)*ISNUMBER(INDEX(Inputs!$K$5:$AJ$110,0,MATCH(D$2,Inputs!$K$4:$AJ$4,0))))+SUMPRODUCT((Inputs!$E$5:$E$110=$B28)*ISNUMBER(INDEX(Inputs!$K$5:$AJ$110,0,MATCH(D$2,Inputs!$K$4:$AJ$4,0))))=0,NA(),SUMPRODUCT((Inputs!$A$5:$A$110=$B28)*Inputs!$B$5:$B$110*(((Inputs!$G$5:$G$110="moeda")+(Inputs!$G$5:$G$110="acoes"))*Inputs!$B$1+((Inputs!$G$5:$G$110&lt;&gt;"moeda")*(Inputs!$G$5:$G$110&lt;&gt;"acoes")))*INDEX(Inputs!$K$5:$AJ$110,0,MATCH(D$2,Inputs!$K$4:$AJ$4,0)))+SUMPRODUCT((Inputs!$C$5:$C$110=$B28)*Inputs!$D$5:$D$110*(((Inputs!$G$5:$G$110="moeda")+(Inputs!$G$5:$G$110="acoes"))*Inputs!$B$1+((Inputs!$G$5:$G$110&lt;&gt;"moeda")*(Inputs!$G$5:$G$110&lt;&gt;"acoes")))*INDEX(Inputs!$K$5:$AJ$110,0,MATCH(D$2,Inputs!$K$4:$AJ$4,0)))+SUMPRODUCT((Inputs!$E$5:$E$110=$B28)*Inputs!$F$5:$F$110*(((Inputs!$G$5:$G$110="moeda")+(Inputs!$G$5:$G$110="acoes"))*Inputs!$B$1+((Inputs!$G$5:$G$110&lt;&gt;"moeda")*(Inputs!$G$5:$G$110&lt;&gt;"acoes")))*INDEX(Inputs!$K$5:$AJ$110,0,MATCH(D$2,Inputs!$K$4:$AJ$4,0)))))</f>
        <v>1889</v>
      </c>
      <c r="E28" s="6">
        <f>IF(ISNA(MATCH(E$2,Inputs!$K$4:$AJ$4,0)),NA(),IF(SUMPRODUCT((Inputs!$A$5:$A$110=$B28)*ISNUMBER(INDEX(Inputs!$K$5:$AJ$110,0,MATCH(E$2,Inputs!$K$4:$AJ$4,0))))+SUMPRODUCT((Inputs!$C$5:$C$110=$B28)*ISNUMBER(INDEX(Inputs!$K$5:$AJ$110,0,MATCH(E$2,Inputs!$K$4:$AJ$4,0))))+SUMPRODUCT((Inputs!$E$5:$E$110=$B28)*ISNUMBER(INDEX(Inputs!$K$5:$AJ$110,0,MATCH(E$2,Inputs!$K$4:$AJ$4,0))))=0,NA(),SUMPRODUCT((Inputs!$A$5:$A$110=$B28)*Inputs!$B$5:$B$110*(((Inputs!$G$5:$G$110="moeda")+(Inputs!$G$5:$G$110="acoes"))*Inputs!$B$1+((Inputs!$G$5:$G$110&lt;&gt;"moeda")*(Inputs!$G$5:$G$110&lt;&gt;"acoes")))*INDEX(Inputs!$K$5:$AJ$110,0,MATCH(E$2,Inputs!$K$4:$AJ$4,0)))+SUMPRODUCT((Inputs!$C$5:$C$110=$B28)*Inputs!$D$5:$D$110*(((Inputs!$G$5:$G$110="moeda")+(Inputs!$G$5:$G$110="acoes"))*Inputs!$B$1+((Inputs!$G$5:$G$110&lt;&gt;"moeda")*(Inputs!$G$5:$G$110&lt;&gt;"acoes")))*INDEX(Inputs!$K$5:$AJ$110,0,MATCH(E$2,Inputs!$K$4:$AJ$4,0)))+SUMPRODUCT((Inputs!$E$5:$E$110=$B28)*Inputs!$F$5:$F$110*(((Inputs!$G$5:$G$110="moeda")+(Inputs!$G$5:$G$110="acoes"))*Inputs!$B$1+((Inputs!$G$5:$G$110&lt;&gt;"moeda")*(Inputs!$G$5:$G$110&lt;&gt;"acoes")))*INDEX(Inputs!$K$5:$AJ$110,0,MATCH(E$2,Inputs!$K$4:$AJ$4,0)))))</f>
        <v>1608</v>
      </c>
      <c r="F28" s="6">
        <f>IF(ISNA(MATCH(F$2,Inputs!$K$4:$AJ$4,0)),NA(),IF(SUMPRODUCT((Inputs!$A$5:$A$110=$B28)*ISNUMBER(INDEX(Inputs!$K$5:$AJ$110,0,MATCH(F$2,Inputs!$K$4:$AJ$4,0))))+SUMPRODUCT((Inputs!$C$5:$C$110=$B28)*ISNUMBER(INDEX(Inputs!$K$5:$AJ$110,0,MATCH(F$2,Inputs!$K$4:$AJ$4,0))))+SUMPRODUCT((Inputs!$E$5:$E$110=$B28)*ISNUMBER(INDEX(Inputs!$K$5:$AJ$110,0,MATCH(F$2,Inputs!$K$4:$AJ$4,0))))=0,NA(),SUMPRODUCT((Inputs!$A$5:$A$110=$B28)*Inputs!$B$5:$B$110*(((Inputs!$G$5:$G$110="moeda")+(Inputs!$G$5:$G$110="acoes"))*Inputs!$B$1+((Inputs!$G$5:$G$110&lt;&gt;"moeda")*(Inputs!$G$5:$G$110&lt;&gt;"acoes")))*INDEX(Inputs!$K$5:$AJ$110,0,MATCH(F$2,Inputs!$K$4:$AJ$4,0)))+SUMPRODUCT((Inputs!$C$5:$C$110=$B28)*Inputs!$D$5:$D$110*(((Inputs!$G$5:$G$110="moeda")+(Inputs!$G$5:$G$110="acoes"))*Inputs!$B$1+((Inputs!$G$5:$G$110&lt;&gt;"moeda")*(Inputs!$G$5:$G$110&lt;&gt;"acoes")))*INDEX(Inputs!$K$5:$AJ$110,0,MATCH(F$2,Inputs!$K$4:$AJ$4,0)))+SUMPRODUCT((Inputs!$E$5:$E$110=$B28)*Inputs!$F$5:$F$110*(((Inputs!$G$5:$G$110="moeda")+(Inputs!$G$5:$G$110="acoes"))*Inputs!$B$1+((Inputs!$G$5:$G$110&lt;&gt;"moeda")*(Inputs!$G$5:$G$110&lt;&gt;"acoes")))*INDEX(Inputs!$K$5:$AJ$110,0,MATCH(F$2,Inputs!$K$4:$AJ$4,0)))))</f>
        <v>1520</v>
      </c>
      <c r="G28" s="6">
        <f>IF(ISNA(MATCH(G$2,Inputs!$K$4:$AJ$4,0)),NA(),IF(SUMPRODUCT((Inputs!$A$5:$A$110=$B28)*ISNUMBER(INDEX(Inputs!$K$5:$AJ$110,0,MATCH(G$2,Inputs!$K$4:$AJ$4,0))))+SUMPRODUCT((Inputs!$C$5:$C$110=$B28)*ISNUMBER(INDEX(Inputs!$K$5:$AJ$110,0,MATCH(G$2,Inputs!$K$4:$AJ$4,0))))+SUMPRODUCT((Inputs!$E$5:$E$110=$B28)*ISNUMBER(INDEX(Inputs!$K$5:$AJ$110,0,MATCH(G$2,Inputs!$K$4:$AJ$4,0))))=0,NA(),SUMPRODUCT((Inputs!$A$5:$A$110=$B28)*Inputs!$B$5:$B$110*(((Inputs!$G$5:$G$110="moeda")+(Inputs!$G$5:$G$110="acoes"))*Inputs!$B$1+((Inputs!$G$5:$G$110&lt;&gt;"moeda")*(Inputs!$G$5:$G$110&lt;&gt;"acoes")))*INDEX(Inputs!$K$5:$AJ$110,0,MATCH(G$2,Inputs!$K$4:$AJ$4,0)))+SUMPRODUCT((Inputs!$C$5:$C$110=$B28)*Inputs!$D$5:$D$110*(((Inputs!$G$5:$G$110="moeda")+(Inputs!$G$5:$G$110="acoes"))*Inputs!$B$1+((Inputs!$G$5:$G$110&lt;&gt;"moeda")*(Inputs!$G$5:$G$110&lt;&gt;"acoes")))*INDEX(Inputs!$K$5:$AJ$110,0,MATCH(G$2,Inputs!$K$4:$AJ$4,0)))+SUMPRODUCT((Inputs!$E$5:$E$110=$B28)*Inputs!$F$5:$F$110*(((Inputs!$G$5:$G$110="moeda")+(Inputs!$G$5:$G$110="acoes"))*Inputs!$B$1+((Inputs!$G$5:$G$110&lt;&gt;"moeda")*(Inputs!$G$5:$G$110&lt;&gt;"acoes")))*INDEX(Inputs!$K$5:$AJ$110,0,MATCH(G$2,Inputs!$K$4:$AJ$4,0)))))</f>
        <v>780</v>
      </c>
      <c r="H28" s="3">
        <f>G28</f>
        <v>780</v>
      </c>
      <c r="I28" s="6">
        <f>IF(ISNA(MATCH(I$2,Inputs!$K$4:$AJ$4,0)),NA(),IF(SUMPRODUCT((Inputs!$A$5:$A$110=$B28)*ISNUMBER(INDEX(Inputs!$K$5:$AJ$110,0,MATCH(I$2,Inputs!$K$4:$AJ$4,0))))+SUMPRODUCT((Inputs!$C$5:$C$110=$B28)*ISNUMBER(INDEX(Inputs!$K$5:$AJ$110,0,MATCH(I$2,Inputs!$K$4:$AJ$4,0))))+SUMPRODUCT((Inputs!$E$5:$E$110=$B28)*ISNUMBER(INDEX(Inputs!$K$5:$AJ$110,0,MATCH(I$2,Inputs!$K$4:$AJ$4,0))))=0,NA(),SUMPRODUCT((Inputs!$A$5:$A$110=$B28)*Inputs!$B$5:$B$110*(((Inputs!$G$5:$G$110="moeda")+(Inputs!$G$5:$G$110="acoes"))*Inputs!$B$1+((Inputs!$G$5:$G$110&lt;&gt;"moeda")*(Inputs!$G$5:$G$110&lt;&gt;"acoes")))*INDEX(Inputs!$K$5:$AJ$110,0,MATCH(I$2,Inputs!$K$4:$AJ$4,0)))+SUMPRODUCT((Inputs!$C$5:$C$110=$B28)*Inputs!$D$5:$D$110*(((Inputs!$G$5:$G$110="moeda")+(Inputs!$G$5:$G$110="acoes"))*Inputs!$B$1+((Inputs!$G$5:$G$110&lt;&gt;"moeda")*(Inputs!$G$5:$G$110&lt;&gt;"acoes")))*INDEX(Inputs!$K$5:$AJ$110,0,MATCH(I$2,Inputs!$K$4:$AJ$4,0)))+SUMPRODUCT((Inputs!$E$5:$E$110=$B28)*Inputs!$F$5:$F$110*(((Inputs!$G$5:$G$110="moeda")+(Inputs!$G$5:$G$110="acoes"))*Inputs!$B$1+((Inputs!$G$5:$G$110&lt;&gt;"moeda")*(Inputs!$G$5:$G$110&lt;&gt;"acoes")))*INDEX(Inputs!$K$5:$AJ$110,0,MATCH(I$2,Inputs!$K$4:$AJ$4,0)))))</f>
        <v>2599</v>
      </c>
      <c r="J28" s="6">
        <f>IF(ISNA(MATCH(J$2,Inputs!$K$4:$AJ$4,0)),NA(),IF(SUMPRODUCT((Inputs!$A$5:$A$110=$B28)*ISNUMBER(INDEX(Inputs!$K$5:$AJ$110,0,MATCH(J$2,Inputs!$K$4:$AJ$4,0))))+SUMPRODUCT((Inputs!$C$5:$C$110=$B28)*ISNUMBER(INDEX(Inputs!$K$5:$AJ$110,0,MATCH(J$2,Inputs!$K$4:$AJ$4,0))))+SUMPRODUCT((Inputs!$E$5:$E$110=$B28)*ISNUMBER(INDEX(Inputs!$K$5:$AJ$110,0,MATCH(J$2,Inputs!$K$4:$AJ$4,0))))=0,NA(),SUMPRODUCT((Inputs!$A$5:$A$110=$B28)*Inputs!$B$5:$B$110*(((Inputs!$G$5:$G$110="moeda")+(Inputs!$G$5:$G$110="acoes"))*Inputs!$B$1+((Inputs!$G$5:$G$110&lt;&gt;"moeda")*(Inputs!$G$5:$G$110&lt;&gt;"acoes")))*INDEX(Inputs!$K$5:$AJ$110,0,MATCH(J$2,Inputs!$K$4:$AJ$4,0)))+SUMPRODUCT((Inputs!$C$5:$C$110=$B28)*Inputs!$D$5:$D$110*(((Inputs!$G$5:$G$110="moeda")+(Inputs!$G$5:$G$110="acoes"))*Inputs!$B$1+((Inputs!$G$5:$G$110&lt;&gt;"moeda")*(Inputs!$G$5:$G$110&lt;&gt;"acoes")))*INDEX(Inputs!$K$5:$AJ$110,0,MATCH(J$2,Inputs!$K$4:$AJ$4,0)))+SUMPRODUCT((Inputs!$E$5:$E$110=$B28)*Inputs!$F$5:$F$110*(((Inputs!$G$5:$G$110="moeda")+(Inputs!$G$5:$G$110="acoes"))*Inputs!$B$1+((Inputs!$G$5:$G$110&lt;&gt;"moeda")*(Inputs!$G$5:$G$110&lt;&gt;"acoes")))*INDEX(Inputs!$K$5:$AJ$110,0,MATCH(J$2,Inputs!$K$4:$AJ$4,0)))))</f>
        <v>2309</v>
      </c>
      <c r="K28" s="6">
        <f>IF(ISNA(MATCH(K$2,Inputs!$K$4:$AJ$4,0)),NA(),IF(SUMPRODUCT((Inputs!$A$5:$A$110=$B28)*ISNUMBER(INDEX(Inputs!$K$5:$AJ$110,0,MATCH(K$2,Inputs!$K$4:$AJ$4,0))))+SUMPRODUCT((Inputs!$C$5:$C$110=$B28)*ISNUMBER(INDEX(Inputs!$K$5:$AJ$110,0,MATCH(K$2,Inputs!$K$4:$AJ$4,0))))+SUMPRODUCT((Inputs!$E$5:$E$110=$B28)*ISNUMBER(INDEX(Inputs!$K$5:$AJ$110,0,MATCH(K$2,Inputs!$K$4:$AJ$4,0))))=0,NA(),SUMPRODUCT((Inputs!$A$5:$A$110=$B28)*Inputs!$B$5:$B$110*(((Inputs!$G$5:$G$110="moeda")+(Inputs!$G$5:$G$110="acoes"))*Inputs!$B$1+((Inputs!$G$5:$G$110&lt;&gt;"moeda")*(Inputs!$G$5:$G$110&lt;&gt;"acoes")))*INDEX(Inputs!$K$5:$AJ$110,0,MATCH(K$2,Inputs!$K$4:$AJ$4,0)))+SUMPRODUCT((Inputs!$C$5:$C$110=$B28)*Inputs!$D$5:$D$110*(((Inputs!$G$5:$G$110="moeda")+(Inputs!$G$5:$G$110="acoes"))*Inputs!$B$1+((Inputs!$G$5:$G$110&lt;&gt;"moeda")*(Inputs!$G$5:$G$110&lt;&gt;"acoes")))*INDEX(Inputs!$K$5:$AJ$110,0,MATCH(K$2,Inputs!$K$4:$AJ$4,0)))+SUMPRODUCT((Inputs!$E$5:$E$110=$B28)*Inputs!$F$5:$F$110*(((Inputs!$G$5:$G$110="moeda")+(Inputs!$G$5:$G$110="acoes"))*Inputs!$B$1+((Inputs!$G$5:$G$110&lt;&gt;"moeda")*(Inputs!$G$5:$G$110&lt;&gt;"acoes")))*INDEX(Inputs!$K$5:$AJ$110,0,MATCH(K$2,Inputs!$K$4:$AJ$4,0)))))</f>
        <v>2622</v>
      </c>
      <c r="L28" s="6">
        <f>IF(ISNA(MATCH(L$2,Inputs!$K$4:$AJ$4,0)),NA(),IF(SUMPRODUCT((Inputs!$A$5:$A$110=$B28)*ISNUMBER(INDEX(Inputs!$K$5:$AJ$110,0,MATCH(L$2,Inputs!$K$4:$AJ$4,0))))+SUMPRODUCT((Inputs!$C$5:$C$110=$B28)*ISNUMBER(INDEX(Inputs!$K$5:$AJ$110,0,MATCH(L$2,Inputs!$K$4:$AJ$4,0))))+SUMPRODUCT((Inputs!$E$5:$E$110=$B28)*ISNUMBER(INDEX(Inputs!$K$5:$AJ$110,0,MATCH(L$2,Inputs!$K$4:$AJ$4,0))))=0,NA(),SUMPRODUCT((Inputs!$A$5:$A$110=$B28)*Inputs!$B$5:$B$110*(((Inputs!$G$5:$G$110="moeda")+(Inputs!$G$5:$G$110="acoes"))*Inputs!$B$1+((Inputs!$G$5:$G$110&lt;&gt;"moeda")*(Inputs!$G$5:$G$110&lt;&gt;"acoes")))*INDEX(Inputs!$K$5:$AJ$110,0,MATCH(L$2,Inputs!$K$4:$AJ$4,0)))+SUMPRODUCT((Inputs!$C$5:$C$110=$B28)*Inputs!$D$5:$D$110*(((Inputs!$G$5:$G$110="moeda")+(Inputs!$G$5:$G$110="acoes"))*Inputs!$B$1+((Inputs!$G$5:$G$110&lt;&gt;"moeda")*(Inputs!$G$5:$G$110&lt;&gt;"acoes")))*INDEX(Inputs!$K$5:$AJ$110,0,MATCH(L$2,Inputs!$K$4:$AJ$4,0)))+SUMPRODUCT((Inputs!$E$5:$E$110=$B28)*Inputs!$F$5:$F$110*(((Inputs!$G$5:$G$110="moeda")+(Inputs!$G$5:$G$110="acoes"))*Inputs!$B$1+((Inputs!$G$5:$G$110&lt;&gt;"moeda")*(Inputs!$G$5:$G$110&lt;&gt;"acoes")))*INDEX(Inputs!$K$5:$AJ$110,0,MATCH(L$2,Inputs!$K$4:$AJ$4,0)))))</f>
        <v>2117</v>
      </c>
      <c r="M28" s="3">
        <f>L28</f>
        <v>2117</v>
      </c>
      <c r="N28" s="6">
        <f>IF(ISNA(MATCH(N$2,Inputs!$K$4:$AJ$4,0)),NA(),IF(SUMPRODUCT((Inputs!$A$5:$A$110=$B28)*ISNUMBER(INDEX(Inputs!$K$5:$AJ$110,0,MATCH(N$2,Inputs!$K$4:$AJ$4,0))))+SUMPRODUCT((Inputs!$C$5:$C$110=$B28)*ISNUMBER(INDEX(Inputs!$K$5:$AJ$110,0,MATCH(N$2,Inputs!$K$4:$AJ$4,0))))+SUMPRODUCT((Inputs!$E$5:$E$110=$B28)*ISNUMBER(INDEX(Inputs!$K$5:$AJ$110,0,MATCH(N$2,Inputs!$K$4:$AJ$4,0))))=0,NA(),SUMPRODUCT((Inputs!$A$5:$A$110=$B28)*Inputs!$B$5:$B$110*(((Inputs!$G$5:$G$110="moeda")+(Inputs!$G$5:$G$110="acoes"))*Inputs!$B$1+((Inputs!$G$5:$G$110&lt;&gt;"moeda")*(Inputs!$G$5:$G$110&lt;&gt;"acoes")))*INDEX(Inputs!$K$5:$AJ$110,0,MATCH(N$2,Inputs!$K$4:$AJ$4,0)))+SUMPRODUCT((Inputs!$C$5:$C$110=$B28)*Inputs!$D$5:$D$110*(((Inputs!$G$5:$G$110="moeda")+(Inputs!$G$5:$G$110="acoes"))*Inputs!$B$1+((Inputs!$G$5:$G$110&lt;&gt;"moeda")*(Inputs!$G$5:$G$110&lt;&gt;"acoes")))*INDEX(Inputs!$K$5:$AJ$110,0,MATCH(N$2,Inputs!$K$4:$AJ$4,0)))+SUMPRODUCT((Inputs!$E$5:$E$110=$B28)*Inputs!$F$5:$F$110*(((Inputs!$G$5:$G$110="moeda")+(Inputs!$G$5:$G$110="acoes"))*Inputs!$B$1+((Inputs!$G$5:$G$110&lt;&gt;"moeda")*(Inputs!$G$5:$G$110&lt;&gt;"acoes")))*INDEX(Inputs!$K$5:$AJ$110,0,MATCH(N$2,Inputs!$K$4:$AJ$4,0)))))</f>
        <v>3271</v>
      </c>
      <c r="O28" s="6">
        <f>IF(ISNA(MATCH(O$2,Inputs!$K$4:$AJ$4,0)),NA(),IF(SUMPRODUCT((Inputs!$A$5:$A$110=$B28)*ISNUMBER(INDEX(Inputs!$K$5:$AJ$110,0,MATCH(O$2,Inputs!$K$4:$AJ$4,0))))+SUMPRODUCT((Inputs!$C$5:$C$110=$B28)*ISNUMBER(INDEX(Inputs!$K$5:$AJ$110,0,MATCH(O$2,Inputs!$K$4:$AJ$4,0))))+SUMPRODUCT((Inputs!$E$5:$E$110=$B28)*ISNUMBER(INDEX(Inputs!$K$5:$AJ$110,0,MATCH(O$2,Inputs!$K$4:$AJ$4,0))))=0,NA(),SUMPRODUCT((Inputs!$A$5:$A$110=$B28)*Inputs!$B$5:$B$110*(((Inputs!$G$5:$G$110="moeda")+(Inputs!$G$5:$G$110="acoes"))*Inputs!$B$1+((Inputs!$G$5:$G$110&lt;&gt;"moeda")*(Inputs!$G$5:$G$110&lt;&gt;"acoes")))*INDEX(Inputs!$K$5:$AJ$110,0,MATCH(O$2,Inputs!$K$4:$AJ$4,0)))+SUMPRODUCT((Inputs!$C$5:$C$110=$B28)*Inputs!$D$5:$D$110*(((Inputs!$G$5:$G$110="moeda")+(Inputs!$G$5:$G$110="acoes"))*Inputs!$B$1+((Inputs!$G$5:$G$110&lt;&gt;"moeda")*(Inputs!$G$5:$G$110&lt;&gt;"acoes")))*INDEX(Inputs!$K$5:$AJ$110,0,MATCH(O$2,Inputs!$K$4:$AJ$4,0)))+SUMPRODUCT((Inputs!$E$5:$E$110=$B28)*Inputs!$F$5:$F$110*(((Inputs!$G$5:$G$110="moeda")+(Inputs!$G$5:$G$110="acoes"))*Inputs!$B$1+((Inputs!$G$5:$G$110&lt;&gt;"moeda")*(Inputs!$G$5:$G$110&lt;&gt;"acoes")))*INDEX(Inputs!$K$5:$AJ$110,0,MATCH(O$2,Inputs!$K$4:$AJ$4,0)))))</f>
        <v>3466</v>
      </c>
      <c r="P28" s="6">
        <f>IF(ISNA(MATCH(P$2,Inputs!$K$4:$AJ$4,0)),NA(),IF(SUMPRODUCT((Inputs!$A$5:$A$110=$B28)*ISNUMBER(INDEX(Inputs!$K$5:$AJ$110,0,MATCH(P$2,Inputs!$K$4:$AJ$4,0))))+SUMPRODUCT((Inputs!$C$5:$C$110=$B28)*ISNUMBER(INDEX(Inputs!$K$5:$AJ$110,0,MATCH(P$2,Inputs!$K$4:$AJ$4,0))))+SUMPRODUCT((Inputs!$E$5:$E$110=$B28)*ISNUMBER(INDEX(Inputs!$K$5:$AJ$110,0,MATCH(P$2,Inputs!$K$4:$AJ$4,0))))=0,NA(),SUMPRODUCT((Inputs!$A$5:$A$110=$B28)*Inputs!$B$5:$B$110*(((Inputs!$G$5:$G$110="moeda")+(Inputs!$G$5:$G$110="acoes"))*Inputs!$B$1+((Inputs!$G$5:$G$110&lt;&gt;"moeda")*(Inputs!$G$5:$G$110&lt;&gt;"acoes")))*INDEX(Inputs!$K$5:$AJ$110,0,MATCH(P$2,Inputs!$K$4:$AJ$4,0)))+SUMPRODUCT((Inputs!$C$5:$C$110=$B28)*Inputs!$D$5:$D$110*(((Inputs!$G$5:$G$110="moeda")+(Inputs!$G$5:$G$110="acoes"))*Inputs!$B$1+((Inputs!$G$5:$G$110&lt;&gt;"moeda")*(Inputs!$G$5:$G$110&lt;&gt;"acoes")))*INDEX(Inputs!$K$5:$AJ$110,0,MATCH(P$2,Inputs!$K$4:$AJ$4,0)))+SUMPRODUCT((Inputs!$E$5:$E$110=$B28)*Inputs!$F$5:$F$110*(((Inputs!$G$5:$G$110="moeda")+(Inputs!$G$5:$G$110="acoes"))*Inputs!$B$1+((Inputs!$G$5:$G$110&lt;&gt;"moeda")*(Inputs!$G$5:$G$110&lt;&gt;"acoes")))*INDEX(Inputs!$K$5:$AJ$110,0,MATCH(P$2,Inputs!$K$4:$AJ$4,0)))))</f>
        <v>3817</v>
      </c>
      <c r="Q28" s="6">
        <f>IF(ISNA(MATCH(Q$2,Inputs!$K$4:$AJ$4,0)),NA(),IF(SUMPRODUCT((Inputs!$A$5:$A$110=$B28)*ISNUMBER(INDEX(Inputs!$K$5:$AJ$110,0,MATCH(Q$2,Inputs!$K$4:$AJ$4,0))))+SUMPRODUCT((Inputs!$C$5:$C$110=$B28)*ISNUMBER(INDEX(Inputs!$K$5:$AJ$110,0,MATCH(Q$2,Inputs!$K$4:$AJ$4,0))))+SUMPRODUCT((Inputs!$E$5:$E$110=$B28)*ISNUMBER(INDEX(Inputs!$K$5:$AJ$110,0,MATCH(Q$2,Inputs!$K$4:$AJ$4,0))))=0,NA(),SUMPRODUCT((Inputs!$A$5:$A$110=$B28)*Inputs!$B$5:$B$110*(((Inputs!$G$5:$G$110="moeda")+(Inputs!$G$5:$G$110="acoes"))*Inputs!$B$1+((Inputs!$G$5:$G$110&lt;&gt;"moeda")*(Inputs!$G$5:$G$110&lt;&gt;"acoes")))*INDEX(Inputs!$K$5:$AJ$110,0,MATCH(Q$2,Inputs!$K$4:$AJ$4,0)))+SUMPRODUCT((Inputs!$C$5:$C$110=$B28)*Inputs!$D$5:$D$110*(((Inputs!$G$5:$G$110="moeda")+(Inputs!$G$5:$G$110="acoes"))*Inputs!$B$1+((Inputs!$G$5:$G$110&lt;&gt;"moeda")*(Inputs!$G$5:$G$110&lt;&gt;"acoes")))*INDEX(Inputs!$K$5:$AJ$110,0,MATCH(Q$2,Inputs!$K$4:$AJ$4,0)))+SUMPRODUCT((Inputs!$E$5:$E$110=$B28)*Inputs!$F$5:$F$110*(((Inputs!$G$5:$G$110="moeda")+(Inputs!$G$5:$G$110="acoes"))*Inputs!$B$1+((Inputs!$G$5:$G$110&lt;&gt;"moeda")*(Inputs!$G$5:$G$110&lt;&gt;"acoes")))*INDEX(Inputs!$K$5:$AJ$110,0,MATCH(Q$2,Inputs!$K$4:$AJ$4,0)))))</f>
        <v>2312</v>
      </c>
      <c r="R28" s="3">
        <f>Q28</f>
        <v>2312</v>
      </c>
      <c r="S28" s="6">
        <f>IF(ISNA(MATCH(S$2,Inputs!$K$4:$AJ$4,0)),NA(),IF(SUMPRODUCT((Inputs!$A$5:$A$110=$B28)*ISNUMBER(INDEX(Inputs!$K$5:$AJ$110,0,MATCH(S$2,Inputs!$K$4:$AJ$4,0))))+SUMPRODUCT((Inputs!$C$5:$C$110=$B28)*ISNUMBER(INDEX(Inputs!$K$5:$AJ$110,0,MATCH(S$2,Inputs!$K$4:$AJ$4,0))))+SUMPRODUCT((Inputs!$E$5:$E$110=$B28)*ISNUMBER(INDEX(Inputs!$K$5:$AJ$110,0,MATCH(S$2,Inputs!$K$4:$AJ$4,0))))=0,NA(),SUMPRODUCT((Inputs!$A$5:$A$110=$B28)*Inputs!$B$5:$B$110*(((Inputs!$G$5:$G$110="moeda")+(Inputs!$G$5:$G$110="acoes"))*Inputs!$B$1+((Inputs!$G$5:$G$110&lt;&gt;"moeda")*(Inputs!$G$5:$G$110&lt;&gt;"acoes")))*INDEX(Inputs!$K$5:$AJ$110,0,MATCH(S$2,Inputs!$K$4:$AJ$4,0)))+SUMPRODUCT((Inputs!$C$5:$C$110=$B28)*Inputs!$D$5:$D$110*(((Inputs!$G$5:$G$110="moeda")+(Inputs!$G$5:$G$110="acoes"))*Inputs!$B$1+((Inputs!$G$5:$G$110&lt;&gt;"moeda")*(Inputs!$G$5:$G$110&lt;&gt;"acoes")))*INDEX(Inputs!$K$5:$AJ$110,0,MATCH(S$2,Inputs!$K$4:$AJ$4,0)))+SUMPRODUCT((Inputs!$E$5:$E$110=$B28)*Inputs!$F$5:$F$110*(((Inputs!$G$5:$G$110="moeda")+(Inputs!$G$5:$G$110="acoes"))*Inputs!$B$1+((Inputs!$G$5:$G$110&lt;&gt;"moeda")*(Inputs!$G$5:$G$110&lt;&gt;"acoes")))*INDEX(Inputs!$K$5:$AJ$110,0,MATCH(S$2,Inputs!$K$4:$AJ$4,0)))))</f>
        <v>3523</v>
      </c>
      <c r="T28" s="6">
        <f>IF(ISNA(MATCH(T$2,Inputs!$K$4:$AJ$4,0)),NA(),IF(SUMPRODUCT((Inputs!$A$5:$A$110=$B28)*ISNUMBER(INDEX(Inputs!$K$5:$AJ$110,0,MATCH(T$2,Inputs!$K$4:$AJ$4,0))))+SUMPRODUCT((Inputs!$C$5:$C$110=$B28)*ISNUMBER(INDEX(Inputs!$K$5:$AJ$110,0,MATCH(T$2,Inputs!$K$4:$AJ$4,0))))+SUMPRODUCT((Inputs!$E$5:$E$110=$B28)*ISNUMBER(INDEX(Inputs!$K$5:$AJ$110,0,MATCH(T$2,Inputs!$K$4:$AJ$4,0))))=0,NA(),SUMPRODUCT((Inputs!$A$5:$A$110=$B28)*Inputs!$B$5:$B$110*(((Inputs!$G$5:$G$110="moeda")+(Inputs!$G$5:$G$110="acoes"))*Inputs!$B$1+((Inputs!$G$5:$G$110&lt;&gt;"moeda")*(Inputs!$G$5:$G$110&lt;&gt;"acoes")))*INDEX(Inputs!$K$5:$AJ$110,0,MATCH(T$2,Inputs!$K$4:$AJ$4,0)))+SUMPRODUCT((Inputs!$C$5:$C$110=$B28)*Inputs!$D$5:$D$110*(((Inputs!$G$5:$G$110="moeda")+(Inputs!$G$5:$G$110="acoes"))*Inputs!$B$1+((Inputs!$G$5:$G$110&lt;&gt;"moeda")*(Inputs!$G$5:$G$110&lt;&gt;"acoes")))*INDEX(Inputs!$K$5:$AJ$110,0,MATCH(T$2,Inputs!$K$4:$AJ$4,0)))+SUMPRODUCT((Inputs!$E$5:$E$110=$B28)*Inputs!$F$5:$F$110*(((Inputs!$G$5:$G$110="moeda")+(Inputs!$G$5:$G$110="acoes"))*Inputs!$B$1+((Inputs!$G$5:$G$110&lt;&gt;"moeda")*(Inputs!$G$5:$G$110&lt;&gt;"acoes")))*INDEX(Inputs!$K$5:$AJ$110,0,MATCH(T$2,Inputs!$K$4:$AJ$4,0)))))</f>
        <v>3282</v>
      </c>
      <c r="U28" s="6">
        <f>IF(ISNA(MATCH(U$2,Inputs!$K$4:$AJ$4,0)),NA(),IF(SUMPRODUCT((Inputs!$A$5:$A$110=$B28)*ISNUMBER(INDEX(Inputs!$K$5:$AJ$110,0,MATCH(U$2,Inputs!$K$4:$AJ$4,0))))+SUMPRODUCT((Inputs!$C$5:$C$110=$B28)*ISNUMBER(INDEX(Inputs!$K$5:$AJ$110,0,MATCH(U$2,Inputs!$K$4:$AJ$4,0))))+SUMPRODUCT((Inputs!$E$5:$E$110=$B28)*ISNUMBER(INDEX(Inputs!$K$5:$AJ$110,0,MATCH(U$2,Inputs!$K$4:$AJ$4,0))))=0,NA(),SUMPRODUCT((Inputs!$A$5:$A$110=$B28)*Inputs!$B$5:$B$110*(((Inputs!$G$5:$G$110="moeda")+(Inputs!$G$5:$G$110="acoes"))*Inputs!$B$1+((Inputs!$G$5:$G$110&lt;&gt;"moeda")*(Inputs!$G$5:$G$110&lt;&gt;"acoes")))*INDEX(Inputs!$K$5:$AJ$110,0,MATCH(U$2,Inputs!$K$4:$AJ$4,0)))+SUMPRODUCT((Inputs!$C$5:$C$110=$B28)*Inputs!$D$5:$D$110*(((Inputs!$G$5:$G$110="moeda")+(Inputs!$G$5:$G$110="acoes"))*Inputs!$B$1+((Inputs!$G$5:$G$110&lt;&gt;"moeda")*(Inputs!$G$5:$G$110&lt;&gt;"acoes")))*INDEX(Inputs!$K$5:$AJ$110,0,MATCH(U$2,Inputs!$K$4:$AJ$4,0)))+SUMPRODUCT((Inputs!$E$5:$E$110=$B28)*Inputs!$F$5:$F$110*(((Inputs!$G$5:$G$110="moeda")+(Inputs!$G$5:$G$110="acoes"))*Inputs!$B$1+((Inputs!$G$5:$G$110&lt;&gt;"moeda")*(Inputs!$G$5:$G$110&lt;&gt;"acoes")))*INDEX(Inputs!$K$5:$AJ$110,0,MATCH(U$2,Inputs!$K$4:$AJ$4,0)))))</f>
        <v>3221</v>
      </c>
      <c r="V28" s="6">
        <f>IF(ISNA(MATCH(V$2,Inputs!$K$4:$AJ$4,0)),NA(),IF(SUMPRODUCT((Inputs!$A$5:$A$110=$B28)*ISNUMBER(INDEX(Inputs!$K$5:$AJ$110,0,MATCH(V$2,Inputs!$K$4:$AJ$4,0))))+SUMPRODUCT((Inputs!$C$5:$C$110=$B28)*ISNUMBER(INDEX(Inputs!$K$5:$AJ$110,0,MATCH(V$2,Inputs!$K$4:$AJ$4,0))))+SUMPRODUCT((Inputs!$E$5:$E$110=$B28)*ISNUMBER(INDEX(Inputs!$K$5:$AJ$110,0,MATCH(V$2,Inputs!$K$4:$AJ$4,0))))=0,NA(),SUMPRODUCT((Inputs!$A$5:$A$110=$B28)*Inputs!$B$5:$B$110*(((Inputs!$G$5:$G$110="moeda")+(Inputs!$G$5:$G$110="acoes"))*Inputs!$B$1+((Inputs!$G$5:$G$110&lt;&gt;"moeda")*(Inputs!$G$5:$G$110&lt;&gt;"acoes")))*INDEX(Inputs!$K$5:$AJ$110,0,MATCH(V$2,Inputs!$K$4:$AJ$4,0)))+SUMPRODUCT((Inputs!$C$5:$C$110=$B28)*Inputs!$D$5:$D$110*(((Inputs!$G$5:$G$110="moeda")+(Inputs!$G$5:$G$110="acoes"))*Inputs!$B$1+((Inputs!$G$5:$G$110&lt;&gt;"moeda")*(Inputs!$G$5:$G$110&lt;&gt;"acoes")))*INDEX(Inputs!$K$5:$AJ$110,0,MATCH(V$2,Inputs!$K$4:$AJ$4,0)))+SUMPRODUCT((Inputs!$E$5:$E$110=$B28)*Inputs!$F$5:$F$110*(((Inputs!$G$5:$G$110="moeda")+(Inputs!$G$5:$G$110="acoes"))*Inputs!$B$1+((Inputs!$G$5:$G$110&lt;&gt;"moeda")*(Inputs!$G$5:$G$110&lt;&gt;"acoes")))*INDEX(Inputs!$K$5:$AJ$110,0,MATCH(V$2,Inputs!$K$4:$AJ$4,0)))))</f>
        <v>2222</v>
      </c>
      <c r="W28" s="3">
        <f>V28</f>
        <v>2222</v>
      </c>
      <c r="X28" s="6">
        <f>IF(ISNA(MATCH(X$2,Inputs!$K$4:$AJ$4,0)),NA(),IF(SUMPRODUCT((Inputs!$A$5:$A$110=$B28)*ISNUMBER(INDEX(Inputs!$K$5:$AJ$110,0,MATCH(X$2,Inputs!$K$4:$AJ$4,0))))+SUMPRODUCT((Inputs!$C$5:$C$110=$B28)*ISNUMBER(INDEX(Inputs!$K$5:$AJ$110,0,MATCH(X$2,Inputs!$K$4:$AJ$4,0))))+SUMPRODUCT((Inputs!$E$5:$E$110=$B28)*ISNUMBER(INDEX(Inputs!$K$5:$AJ$110,0,MATCH(X$2,Inputs!$K$4:$AJ$4,0))))=0,NA(),SUMPRODUCT((Inputs!$A$5:$A$110=$B28)*Inputs!$B$5:$B$110*(((Inputs!$G$5:$G$110="moeda")+(Inputs!$G$5:$G$110="acoes"))*Inputs!$B$1+((Inputs!$G$5:$G$110&lt;&gt;"moeda")*(Inputs!$G$5:$G$110&lt;&gt;"acoes")))*INDEX(Inputs!$K$5:$AJ$110,0,MATCH(X$2,Inputs!$K$4:$AJ$4,0)))+SUMPRODUCT((Inputs!$C$5:$C$110=$B28)*Inputs!$D$5:$D$110*(((Inputs!$G$5:$G$110="moeda")+(Inputs!$G$5:$G$110="acoes"))*Inputs!$B$1+((Inputs!$G$5:$G$110&lt;&gt;"moeda")*(Inputs!$G$5:$G$110&lt;&gt;"acoes")))*INDEX(Inputs!$K$5:$AJ$110,0,MATCH(X$2,Inputs!$K$4:$AJ$4,0)))+SUMPRODUCT((Inputs!$E$5:$E$110=$B28)*Inputs!$F$5:$F$110*(((Inputs!$G$5:$G$110="moeda")+(Inputs!$G$5:$G$110="acoes"))*Inputs!$B$1+((Inputs!$G$5:$G$110&lt;&gt;"moeda")*(Inputs!$G$5:$G$110&lt;&gt;"acoes")))*INDEX(Inputs!$K$5:$AJ$110,0,MATCH(X$2,Inputs!$K$4:$AJ$4,0)))))</f>
        <v>3821</v>
      </c>
      <c r="Y28" s="6">
        <f>IF(ISNA(MATCH(Y$2,Inputs!$K$4:$AJ$4,0)),NA(),IF(SUMPRODUCT((Inputs!$A$5:$A$110=$B28)*ISNUMBER(INDEX(Inputs!$K$5:$AJ$110,0,MATCH(Y$2,Inputs!$K$4:$AJ$4,0))))+SUMPRODUCT((Inputs!$C$5:$C$110=$B28)*ISNUMBER(INDEX(Inputs!$K$5:$AJ$110,0,MATCH(Y$2,Inputs!$K$4:$AJ$4,0))))+SUMPRODUCT((Inputs!$E$5:$E$110=$B28)*ISNUMBER(INDEX(Inputs!$K$5:$AJ$110,0,MATCH(Y$2,Inputs!$K$4:$AJ$4,0))))=0,NA(),SUMPRODUCT((Inputs!$A$5:$A$110=$B28)*Inputs!$B$5:$B$110*(((Inputs!$G$5:$G$110="moeda")+(Inputs!$G$5:$G$110="acoes"))*Inputs!$B$1+((Inputs!$G$5:$G$110&lt;&gt;"moeda")*(Inputs!$G$5:$G$110&lt;&gt;"acoes")))*INDEX(Inputs!$K$5:$AJ$110,0,MATCH(Y$2,Inputs!$K$4:$AJ$4,0)))+SUMPRODUCT((Inputs!$C$5:$C$110=$B28)*Inputs!$D$5:$D$110*(((Inputs!$G$5:$G$110="moeda")+(Inputs!$G$5:$G$110="acoes"))*Inputs!$B$1+((Inputs!$G$5:$G$110&lt;&gt;"moeda")*(Inputs!$G$5:$G$110&lt;&gt;"acoes")))*INDEX(Inputs!$K$5:$AJ$110,0,MATCH(Y$2,Inputs!$K$4:$AJ$4,0)))+SUMPRODUCT((Inputs!$E$5:$E$110=$B28)*Inputs!$F$5:$F$110*(((Inputs!$G$5:$G$110="moeda")+(Inputs!$G$5:$G$110="acoes"))*Inputs!$B$1+((Inputs!$G$5:$G$110&lt;&gt;"moeda")*(Inputs!$G$5:$G$110&lt;&gt;"acoes")))*INDEX(Inputs!$K$5:$AJ$110,0,MATCH(Y$2,Inputs!$K$4:$AJ$4,0)))))</f>
        <v>3653</v>
      </c>
      <c r="Z28" s="6">
        <f>IF(ISNA(MATCH(Z$2,Inputs!$K$4:$AJ$4,0)),NA(),IF(SUMPRODUCT((Inputs!$A$5:$A$110=$B28)*ISNUMBER(INDEX(Inputs!$K$5:$AJ$110,0,MATCH(Z$2,Inputs!$K$4:$AJ$4,0))))+SUMPRODUCT((Inputs!$C$5:$C$110=$B28)*ISNUMBER(INDEX(Inputs!$K$5:$AJ$110,0,MATCH(Z$2,Inputs!$K$4:$AJ$4,0))))+SUMPRODUCT((Inputs!$E$5:$E$110=$B28)*ISNUMBER(INDEX(Inputs!$K$5:$AJ$110,0,MATCH(Z$2,Inputs!$K$4:$AJ$4,0))))=0,NA(),SUMPRODUCT((Inputs!$A$5:$A$110=$B28)*Inputs!$B$5:$B$110*(((Inputs!$G$5:$G$110="moeda")+(Inputs!$G$5:$G$110="acoes"))*Inputs!$B$1+((Inputs!$G$5:$G$110&lt;&gt;"moeda")*(Inputs!$G$5:$G$110&lt;&gt;"acoes")))*INDEX(Inputs!$K$5:$AJ$110,0,MATCH(Z$2,Inputs!$K$4:$AJ$4,0)))+SUMPRODUCT((Inputs!$C$5:$C$110=$B28)*Inputs!$D$5:$D$110*(((Inputs!$G$5:$G$110="moeda")+(Inputs!$G$5:$G$110="acoes"))*Inputs!$B$1+((Inputs!$G$5:$G$110&lt;&gt;"moeda")*(Inputs!$G$5:$G$110&lt;&gt;"acoes")))*INDEX(Inputs!$K$5:$AJ$110,0,MATCH(Z$2,Inputs!$K$4:$AJ$4,0)))+SUMPRODUCT((Inputs!$E$5:$E$110=$B28)*Inputs!$F$5:$F$110*(((Inputs!$G$5:$G$110="moeda")+(Inputs!$G$5:$G$110="acoes"))*Inputs!$B$1+((Inputs!$G$5:$G$110&lt;&gt;"moeda")*(Inputs!$G$5:$G$110&lt;&gt;"acoes")))*INDEX(Inputs!$K$5:$AJ$110,0,MATCH(Z$2,Inputs!$K$4:$AJ$4,0)))))</f>
        <v>3834</v>
      </c>
      <c r="AA28" s="6">
        <f>IF(ISNA(MATCH(AA$2,Inputs!$K$4:$AJ$4,0)),NA(),IF(SUMPRODUCT((Inputs!$A$5:$A$110=$B28)*ISNUMBER(INDEX(Inputs!$K$5:$AJ$110,0,MATCH(AA$2,Inputs!$K$4:$AJ$4,0))))+SUMPRODUCT((Inputs!$C$5:$C$110=$B28)*ISNUMBER(INDEX(Inputs!$K$5:$AJ$110,0,MATCH(AA$2,Inputs!$K$4:$AJ$4,0))))+SUMPRODUCT((Inputs!$E$5:$E$110=$B28)*ISNUMBER(INDEX(Inputs!$K$5:$AJ$110,0,MATCH(AA$2,Inputs!$K$4:$AJ$4,0))))=0,NA(),SUMPRODUCT((Inputs!$A$5:$A$110=$B28)*Inputs!$B$5:$B$110*(((Inputs!$G$5:$G$110="moeda")+(Inputs!$G$5:$G$110="acoes"))*Inputs!$B$1+((Inputs!$G$5:$G$110&lt;&gt;"moeda")*(Inputs!$G$5:$G$110&lt;&gt;"acoes")))*INDEX(Inputs!$K$5:$AJ$110,0,MATCH(AA$2,Inputs!$K$4:$AJ$4,0)))+SUMPRODUCT((Inputs!$C$5:$C$110=$B28)*Inputs!$D$5:$D$110*(((Inputs!$G$5:$G$110="moeda")+(Inputs!$G$5:$G$110="acoes"))*Inputs!$B$1+((Inputs!$G$5:$G$110&lt;&gt;"moeda")*(Inputs!$G$5:$G$110&lt;&gt;"acoes")))*INDEX(Inputs!$K$5:$AJ$110,0,MATCH(AA$2,Inputs!$K$4:$AJ$4,0)))+SUMPRODUCT((Inputs!$E$5:$E$110=$B28)*Inputs!$F$5:$F$110*(((Inputs!$G$5:$G$110="moeda")+(Inputs!$G$5:$G$110="acoes"))*Inputs!$B$1+((Inputs!$G$5:$G$110&lt;&gt;"moeda")*(Inputs!$G$5:$G$110&lt;&gt;"acoes")))*INDEX(Inputs!$K$5:$AJ$110,0,MATCH(AA$2,Inputs!$K$4:$AJ$4,0)))))</f>
        <v>3630</v>
      </c>
      <c r="AB28" s="3">
        <f>AA28</f>
        <v>3630</v>
      </c>
      <c r="AC28" s="6">
        <f>IF(ISNA(MATCH(AC$2,Inputs!$K$4:$AJ$4,0)),NA(),IF(SUMPRODUCT((Inputs!$A$5:$A$110=$B28)*ISNUMBER(INDEX(Inputs!$K$5:$AJ$110,0,MATCH(AC$2,Inputs!$K$4:$AJ$4,0))))+SUMPRODUCT((Inputs!$C$5:$C$110=$B28)*ISNUMBER(INDEX(Inputs!$K$5:$AJ$110,0,MATCH(AC$2,Inputs!$K$4:$AJ$4,0))))+SUMPRODUCT((Inputs!$E$5:$E$110=$B28)*ISNUMBER(INDEX(Inputs!$K$5:$AJ$110,0,MATCH(AC$2,Inputs!$K$4:$AJ$4,0))))=0,NA(),SUMPRODUCT((Inputs!$A$5:$A$110=$B28)*Inputs!$B$5:$B$110*(((Inputs!$G$5:$G$110="moeda")+(Inputs!$G$5:$G$110="acoes"))*Inputs!$B$1+((Inputs!$G$5:$G$110&lt;&gt;"moeda")*(Inputs!$G$5:$G$110&lt;&gt;"acoes")))*INDEX(Inputs!$K$5:$AJ$110,0,MATCH(AC$2,Inputs!$K$4:$AJ$4,0)))+SUMPRODUCT((Inputs!$C$5:$C$110=$B28)*Inputs!$D$5:$D$110*(((Inputs!$G$5:$G$110="moeda")+(Inputs!$G$5:$G$110="acoes"))*Inputs!$B$1+((Inputs!$G$5:$G$110&lt;&gt;"moeda")*(Inputs!$G$5:$G$110&lt;&gt;"acoes")))*INDEX(Inputs!$K$5:$AJ$110,0,MATCH(AC$2,Inputs!$K$4:$AJ$4,0)))+SUMPRODUCT((Inputs!$E$5:$E$110=$B28)*Inputs!$F$5:$F$110*(((Inputs!$G$5:$G$110="moeda")+(Inputs!$G$5:$G$110="acoes"))*Inputs!$B$1+((Inputs!$G$5:$G$110&lt;&gt;"moeda")*(Inputs!$G$5:$G$110&lt;&gt;"acoes")))*INDEX(Inputs!$K$5:$AJ$110,0,MATCH(AC$2,Inputs!$K$4:$AJ$4,0)))))</f>
        <v>4707</v>
      </c>
      <c r="AD28" s="6">
        <f>IF(ISNA(MATCH(AD$2,Inputs!$K$4:$AJ$4,0)),NA(),IF(SUMPRODUCT((Inputs!$A$5:$A$110=$B28)*ISNUMBER(INDEX(Inputs!$K$5:$AJ$110,0,MATCH(AD$2,Inputs!$K$4:$AJ$4,0))))+SUMPRODUCT((Inputs!$C$5:$C$110=$B28)*ISNUMBER(INDEX(Inputs!$K$5:$AJ$110,0,MATCH(AD$2,Inputs!$K$4:$AJ$4,0))))+SUMPRODUCT((Inputs!$E$5:$E$110=$B28)*ISNUMBER(INDEX(Inputs!$K$5:$AJ$110,0,MATCH(AD$2,Inputs!$K$4:$AJ$4,0))))=0,NA(),SUMPRODUCT((Inputs!$A$5:$A$110=$B28)*Inputs!$B$5:$B$110*(((Inputs!$G$5:$G$110="moeda")+(Inputs!$G$5:$G$110="acoes"))*Inputs!$B$1+((Inputs!$G$5:$G$110&lt;&gt;"moeda")*(Inputs!$G$5:$G$110&lt;&gt;"acoes")))*INDEX(Inputs!$K$5:$AJ$110,0,MATCH(AD$2,Inputs!$K$4:$AJ$4,0)))+SUMPRODUCT((Inputs!$C$5:$C$110=$B28)*Inputs!$D$5:$D$110*(((Inputs!$G$5:$G$110="moeda")+(Inputs!$G$5:$G$110="acoes"))*Inputs!$B$1+((Inputs!$G$5:$G$110&lt;&gt;"moeda")*(Inputs!$G$5:$G$110&lt;&gt;"acoes")))*INDEX(Inputs!$K$5:$AJ$110,0,MATCH(AD$2,Inputs!$K$4:$AJ$4,0)))+SUMPRODUCT((Inputs!$E$5:$E$110=$B28)*Inputs!$F$5:$F$110*(((Inputs!$G$5:$G$110="moeda")+(Inputs!$G$5:$G$110="acoes"))*Inputs!$B$1+((Inputs!$G$5:$G$110&lt;&gt;"moeda")*(Inputs!$G$5:$G$110&lt;&gt;"acoes")))*INDEX(Inputs!$K$5:$AJ$110,0,MATCH(AD$2,Inputs!$K$4:$AJ$4,0)))))</f>
        <v>4915</v>
      </c>
      <c r="AE28" s="6" t="e">
        <f>IF(ISNA(MATCH(AE$2,Inputs!$K$4:$AJ$4,0)),NA(),IF(SUMPRODUCT((Inputs!$A$5:$A$110=$B28)*ISNUMBER(INDEX(Inputs!$K$5:$AJ$110,0,MATCH(AE$2,Inputs!$K$4:$AJ$4,0))))+SUMPRODUCT((Inputs!$C$5:$C$110=$B28)*ISNUMBER(INDEX(Inputs!$K$5:$AJ$110,0,MATCH(AE$2,Inputs!$K$4:$AJ$4,0))))+SUMPRODUCT((Inputs!$E$5:$E$110=$B28)*ISNUMBER(INDEX(Inputs!$K$5:$AJ$110,0,MATCH(AE$2,Inputs!$K$4:$AJ$4,0))))=0,NA(),SUMPRODUCT((Inputs!$A$5:$A$110=$B28)*Inputs!$B$5:$B$110*(((Inputs!$G$5:$G$110="moeda")+(Inputs!$G$5:$G$110="acoes"))*Inputs!$B$1+((Inputs!$G$5:$G$110&lt;&gt;"moeda")*(Inputs!$G$5:$G$110&lt;&gt;"acoes")))*INDEX(Inputs!$K$5:$AJ$110,0,MATCH(AE$2,Inputs!$K$4:$AJ$4,0)))+SUMPRODUCT((Inputs!$C$5:$C$110=$B28)*Inputs!$D$5:$D$110*(((Inputs!$G$5:$G$110="moeda")+(Inputs!$G$5:$G$110="acoes"))*Inputs!$B$1+((Inputs!$G$5:$G$110&lt;&gt;"moeda")*(Inputs!$G$5:$G$110&lt;&gt;"acoes")))*INDEX(Inputs!$K$5:$AJ$110,0,MATCH(AE$2,Inputs!$K$4:$AJ$4,0)))+SUMPRODUCT((Inputs!$E$5:$E$110=$B28)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8" s="6" t="e">
        <f>IF(ISNA(MATCH(AF$2,Inputs!$K$4:$AJ$4,0)),NA(),IF(SUMPRODUCT((Inputs!$A$5:$A$110=$B28)*ISNUMBER(INDEX(Inputs!$K$5:$AJ$110,0,MATCH(AF$2,Inputs!$K$4:$AJ$4,0))))+SUMPRODUCT((Inputs!$C$5:$C$110=$B28)*ISNUMBER(INDEX(Inputs!$K$5:$AJ$110,0,MATCH(AF$2,Inputs!$K$4:$AJ$4,0))))+SUMPRODUCT((Inputs!$E$5:$E$110=$B28)*ISNUMBER(INDEX(Inputs!$K$5:$AJ$110,0,MATCH(AF$2,Inputs!$K$4:$AJ$4,0))))=0,NA(),SUMPRODUCT((Inputs!$A$5:$A$110=$B28)*Inputs!$B$5:$B$110*(((Inputs!$G$5:$G$110="moeda")+(Inputs!$G$5:$G$110="acoes"))*Inputs!$B$1+((Inputs!$G$5:$G$110&lt;&gt;"moeda")*(Inputs!$G$5:$G$110&lt;&gt;"acoes")))*INDEX(Inputs!$K$5:$AJ$110,0,MATCH(AF$2,Inputs!$K$4:$AJ$4,0)))+SUMPRODUCT((Inputs!$C$5:$C$110=$B28)*Inputs!$D$5:$D$110*(((Inputs!$G$5:$G$110="moeda")+(Inputs!$G$5:$G$110="acoes"))*Inputs!$B$1+((Inputs!$G$5:$G$110&lt;&gt;"moeda")*(Inputs!$G$5:$G$110&lt;&gt;"acoes")))*INDEX(Inputs!$K$5:$AJ$110,0,MATCH(AF$2,Inputs!$K$4:$AJ$4,0)))+SUMPRODUCT((Inputs!$E$5:$E$110=$B28)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8" s="3" t="e">
        <f>AF28</f>
        <v>#N/A</v>
      </c>
      <c r="AH28" s="6">
        <f>IF(ISNA(MATCH(AH$2,Inputs!$K$4:$AJ$4,0)),NA(),IF(SUMPRODUCT((Inputs!$A$5:$A$110=$B28)*ISNUMBER(INDEX(Inputs!$K$5:$AJ$110,0,MATCH(AH$2,Inputs!$K$4:$AJ$4,0))))+SUMPRODUCT((Inputs!$C$5:$C$110=$B28)*ISNUMBER(INDEX(Inputs!$K$5:$AJ$110,0,MATCH(AH$2,Inputs!$K$4:$AJ$4,0))))+SUMPRODUCT((Inputs!$E$5:$E$110=$B28)*ISNUMBER(INDEX(Inputs!$K$5:$AJ$110,0,MATCH(AH$2,Inputs!$K$4:$AJ$4,0))))=0,NA(),SUMPRODUCT((Inputs!$A$5:$A$110=$B28)*Inputs!$B$5:$B$110*(((Inputs!$G$5:$G$110="moeda")+(Inputs!$G$5:$G$110="acoes"))*Inputs!$B$1+((Inputs!$G$5:$G$110&lt;&gt;"moeda")*(Inputs!$G$5:$G$110&lt;&gt;"acoes")))*INDEX(Inputs!$K$5:$AJ$110,0,MATCH(AH$2,Inputs!$K$4:$AJ$4,0)))+SUMPRODUCT((Inputs!$C$5:$C$110=$B28)*Inputs!$D$5:$D$110*(((Inputs!$G$5:$G$110="moeda")+(Inputs!$G$5:$G$110="acoes"))*Inputs!$B$1+((Inputs!$G$5:$G$110&lt;&gt;"moeda")*(Inputs!$G$5:$G$110&lt;&gt;"acoes")))*INDEX(Inputs!$K$5:$AJ$110,0,MATCH(AH$2,Inputs!$K$4:$AJ$4,0)))+SUMPRODUCT((Inputs!$E$5:$E$110=$B28)*Inputs!$F$5:$F$110*(((Inputs!$G$5:$G$110="moeda")+(Inputs!$G$5:$G$110="acoes"))*Inputs!$B$1+((Inputs!$G$5:$G$110&lt;&gt;"moeda")*(Inputs!$G$5:$G$110&lt;&gt;"acoes")))*INDEX(Inputs!$K$5:$AJ$110,0,MATCH(AH$2,Inputs!$K$4:$AJ$4,0)))))</f>
        <v>3166</v>
      </c>
      <c r="AI28" s="6">
        <f>IF(ISNA(MATCH(AI$2,Inputs!$K$4:$AJ$4,0)),NA(),IF(SUMPRODUCT((Inputs!$A$5:$A$110=$B28)*ISNUMBER(INDEX(Inputs!$K$5:$AJ$110,0,MATCH(AI$2,Inputs!$K$4:$AJ$4,0))))+SUMPRODUCT((Inputs!$C$5:$C$110=$B28)*ISNUMBER(INDEX(Inputs!$K$5:$AJ$110,0,MATCH(AI$2,Inputs!$K$4:$AJ$4,0))))+SUMPRODUCT((Inputs!$E$5:$E$110=$B28)*ISNUMBER(INDEX(Inputs!$K$5:$AJ$110,0,MATCH(AI$2,Inputs!$K$4:$AJ$4,0))))=0,NA(),SUMPRODUCT((Inputs!$A$5:$A$110=$B28)*Inputs!$B$5:$B$110*(((Inputs!$G$5:$G$110="moeda")+(Inputs!$G$5:$G$110="acoes"))*Inputs!$B$1+((Inputs!$G$5:$G$110&lt;&gt;"moeda")*(Inputs!$G$5:$G$110&lt;&gt;"acoes")))*INDEX(Inputs!$K$5:$AJ$110,0,MATCH(AI$2,Inputs!$K$4:$AJ$4,0)))+SUMPRODUCT((Inputs!$C$5:$C$110=$B28)*Inputs!$D$5:$D$110*(((Inputs!$G$5:$G$110="moeda")+(Inputs!$G$5:$G$110="acoes"))*Inputs!$B$1+((Inputs!$G$5:$G$110&lt;&gt;"moeda")*(Inputs!$G$5:$G$110&lt;&gt;"acoes")))*INDEX(Inputs!$K$5:$AJ$110,0,MATCH(AI$2,Inputs!$K$4:$AJ$4,0)))+SUMPRODUCT((Inputs!$E$5:$E$110=$B28)*Inputs!$F$5:$F$110*(((Inputs!$G$5:$G$110="moeda")+(Inputs!$G$5:$G$110="acoes"))*Inputs!$B$1+((Inputs!$G$5:$G$110&lt;&gt;"moeda")*(Inputs!$G$5:$G$110&lt;&gt;"acoes")))*INDEX(Inputs!$K$5:$AJ$110,0,MATCH(AI$2,Inputs!$K$4:$AJ$4,0)))))</f>
        <v>1453</v>
      </c>
      <c r="AJ28" s="6">
        <f>IF(ISNA(MATCH(AJ$2,Inputs!$K$4:$AJ$4,0)),NA(),IF(SUMPRODUCT((Inputs!$A$5:$A$110=$B28)*ISNUMBER(INDEX(Inputs!$K$5:$AJ$110,0,MATCH(AJ$2,Inputs!$K$4:$AJ$4,0))))+SUMPRODUCT((Inputs!$C$5:$C$110=$B28)*ISNUMBER(INDEX(Inputs!$K$5:$AJ$110,0,MATCH(AJ$2,Inputs!$K$4:$AJ$4,0))))+SUMPRODUCT((Inputs!$E$5:$E$110=$B28)*ISNUMBER(INDEX(Inputs!$K$5:$AJ$110,0,MATCH(AJ$2,Inputs!$K$4:$AJ$4,0))))=0,NA(),SUMPRODUCT((Inputs!$A$5:$A$110=$B28)*Inputs!$B$5:$B$110*(((Inputs!$G$5:$G$110="moeda")+(Inputs!$G$5:$G$110="acoes"))*Inputs!$B$1+((Inputs!$G$5:$G$110&lt;&gt;"moeda")*(Inputs!$G$5:$G$110&lt;&gt;"acoes")))*INDEX(Inputs!$K$5:$AJ$110,0,MATCH(AJ$2,Inputs!$K$4:$AJ$4,0)))+SUMPRODUCT((Inputs!$C$5:$C$110=$B28)*Inputs!$D$5:$D$110*(((Inputs!$G$5:$G$110="moeda")+(Inputs!$G$5:$G$110="acoes"))*Inputs!$B$1+((Inputs!$G$5:$G$110&lt;&gt;"moeda")*(Inputs!$G$5:$G$110&lt;&gt;"acoes")))*INDEX(Inputs!$K$5:$AJ$110,0,MATCH(AJ$2,Inputs!$K$4:$AJ$4,0)))+SUMPRODUCT((Inputs!$E$5:$E$110=$B28)*Inputs!$F$5:$F$110*(((Inputs!$G$5:$G$110="moeda")+(Inputs!$G$5:$G$110="acoes"))*Inputs!$B$1+((Inputs!$G$5:$G$110&lt;&gt;"moeda")*(Inputs!$G$5:$G$110&lt;&gt;"acoes")))*INDEX(Inputs!$K$5:$AJ$110,0,MATCH(AJ$2,Inputs!$K$4:$AJ$4,0)))))</f>
        <v>1491</v>
      </c>
      <c r="AK28" s="6">
        <f>IF(ISNA(MATCH(AK$2,Inputs!$K$4:$AJ$4,0)),NA(),IF(SUMPRODUCT((Inputs!$A$5:$A$110=$B28)*ISNUMBER(INDEX(Inputs!$K$5:$AJ$110,0,MATCH(AK$2,Inputs!$K$4:$AJ$4,0))))+SUMPRODUCT((Inputs!$C$5:$C$110=$B28)*ISNUMBER(INDEX(Inputs!$K$5:$AJ$110,0,MATCH(AK$2,Inputs!$K$4:$AJ$4,0))))+SUMPRODUCT((Inputs!$E$5:$E$110=$B28)*ISNUMBER(INDEX(Inputs!$K$5:$AJ$110,0,MATCH(AK$2,Inputs!$K$4:$AJ$4,0))))=0,NA(),SUMPRODUCT((Inputs!$A$5:$A$110=$B28)*Inputs!$B$5:$B$110*(((Inputs!$G$5:$G$110="moeda")+(Inputs!$G$5:$G$110="acoes"))*Inputs!$B$1+((Inputs!$G$5:$G$110&lt;&gt;"moeda")*(Inputs!$G$5:$G$110&lt;&gt;"acoes")))*INDEX(Inputs!$K$5:$AJ$110,0,MATCH(AK$2,Inputs!$K$4:$AJ$4,0)))+SUMPRODUCT((Inputs!$C$5:$C$110=$B28)*Inputs!$D$5:$D$110*(((Inputs!$G$5:$G$110="moeda")+(Inputs!$G$5:$G$110="acoes"))*Inputs!$B$1+((Inputs!$G$5:$G$110&lt;&gt;"moeda")*(Inputs!$G$5:$G$110&lt;&gt;"acoes")))*INDEX(Inputs!$K$5:$AJ$110,0,MATCH(AK$2,Inputs!$K$4:$AJ$4,0)))+SUMPRODUCT((Inputs!$E$5:$E$110=$B28)*Inputs!$F$5:$F$110*(((Inputs!$G$5:$G$110="moeda")+(Inputs!$G$5:$G$110="acoes"))*Inputs!$B$1+((Inputs!$G$5:$G$110&lt;&gt;"moeda")*(Inputs!$G$5:$G$110&lt;&gt;"acoes")))*INDEX(Inputs!$K$5:$AJ$110,0,MATCH(AK$2,Inputs!$K$4:$AJ$4,0)))))</f>
        <v>880</v>
      </c>
      <c r="AL28" s="3">
        <f>AK28</f>
        <v>880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$110=$B29)*ISNUMBER(INDEX(Inputs!$K$5:$AJ$110,0,MATCH(D$2,Inputs!$K$4:$AJ$4,0))))+SUMPRODUCT((Inputs!$C$5:$C$110=$B29)*ISNUMBER(INDEX(Inputs!$K$5:$AJ$110,0,MATCH(D$2,Inputs!$K$4:$AJ$4,0))))+SUMPRODUCT((Inputs!$E$5:$E$110=$B29)*ISNUMBER(INDEX(Inputs!$K$5:$AJ$110,0,MATCH(D$2,Inputs!$K$4:$AJ$4,0))))=0,NA(),SUMPRODUCT((Inputs!$A$5:$A$110=$B29)*Inputs!$B$5:$B$110*(((Inputs!$G$5:$G$110="moeda")+(Inputs!$G$5:$G$110="acoes"))*Inputs!$B$1+((Inputs!$G$5:$G$110&lt;&gt;"moeda")*(Inputs!$G$5:$G$110&lt;&gt;"acoes")))*INDEX(Inputs!$K$5:$AJ$110,0,MATCH(D$2,Inputs!$K$4:$AJ$4,0)))+SUMPRODUCT((Inputs!$C$5:$C$110=$B29)*Inputs!$D$5:$D$110*(((Inputs!$G$5:$G$110="moeda")+(Inputs!$G$5:$G$110="acoes"))*Inputs!$B$1+((Inputs!$G$5:$G$110&lt;&gt;"moeda")*(Inputs!$G$5:$G$110&lt;&gt;"acoes")))*INDEX(Inputs!$K$5:$AJ$110,0,MATCH(D$2,Inputs!$K$4:$AJ$4,0)))+SUMPRODUCT((Inputs!$E$5:$E$110=$B29)*Inputs!$F$5:$F$110*(((Inputs!$G$5:$G$110="moeda")+(Inputs!$G$5:$G$110="acoes"))*Inputs!$B$1+((Inputs!$G$5:$G$110&lt;&gt;"moeda")*(Inputs!$G$5:$G$110&lt;&gt;"acoes")))*INDEX(Inputs!$K$5:$AJ$110,0,MATCH(D$2,Inputs!$K$4:$AJ$4,0)))))</f>
        <v>2794</v>
      </c>
      <c r="E29" s="6">
        <f>IF(ISNA(MATCH(E$2,Inputs!$K$4:$AJ$4,0)),NA(),IF(SUMPRODUCT((Inputs!$A$5:$A$110=$B29)*ISNUMBER(INDEX(Inputs!$K$5:$AJ$110,0,MATCH(E$2,Inputs!$K$4:$AJ$4,0))))+SUMPRODUCT((Inputs!$C$5:$C$110=$B29)*ISNUMBER(INDEX(Inputs!$K$5:$AJ$110,0,MATCH(E$2,Inputs!$K$4:$AJ$4,0))))+SUMPRODUCT((Inputs!$E$5:$E$110=$B29)*ISNUMBER(INDEX(Inputs!$K$5:$AJ$110,0,MATCH(E$2,Inputs!$K$4:$AJ$4,0))))=0,NA(),SUMPRODUCT((Inputs!$A$5:$A$110=$B29)*Inputs!$B$5:$B$110*(((Inputs!$G$5:$G$110="moeda")+(Inputs!$G$5:$G$110="acoes"))*Inputs!$B$1+((Inputs!$G$5:$G$110&lt;&gt;"moeda")*(Inputs!$G$5:$G$110&lt;&gt;"acoes")))*INDEX(Inputs!$K$5:$AJ$110,0,MATCH(E$2,Inputs!$K$4:$AJ$4,0)))+SUMPRODUCT((Inputs!$C$5:$C$110=$B29)*Inputs!$D$5:$D$110*(((Inputs!$G$5:$G$110="moeda")+(Inputs!$G$5:$G$110="acoes"))*Inputs!$B$1+((Inputs!$G$5:$G$110&lt;&gt;"moeda")*(Inputs!$G$5:$G$110&lt;&gt;"acoes")))*INDEX(Inputs!$K$5:$AJ$110,0,MATCH(E$2,Inputs!$K$4:$AJ$4,0)))+SUMPRODUCT((Inputs!$E$5:$E$110=$B29)*Inputs!$F$5:$F$110*(((Inputs!$G$5:$G$110="moeda")+(Inputs!$G$5:$G$110="acoes"))*Inputs!$B$1+((Inputs!$G$5:$G$110&lt;&gt;"moeda")*(Inputs!$G$5:$G$110&lt;&gt;"acoes")))*INDEX(Inputs!$K$5:$AJ$110,0,MATCH(E$2,Inputs!$K$4:$AJ$4,0)))))</f>
        <v>3029</v>
      </c>
      <c r="F29" s="6">
        <f>IF(ISNA(MATCH(F$2,Inputs!$K$4:$AJ$4,0)),NA(),IF(SUMPRODUCT((Inputs!$A$5:$A$110=$B29)*ISNUMBER(INDEX(Inputs!$K$5:$AJ$110,0,MATCH(F$2,Inputs!$K$4:$AJ$4,0))))+SUMPRODUCT((Inputs!$C$5:$C$110=$B29)*ISNUMBER(INDEX(Inputs!$K$5:$AJ$110,0,MATCH(F$2,Inputs!$K$4:$AJ$4,0))))+SUMPRODUCT((Inputs!$E$5:$E$110=$B29)*ISNUMBER(INDEX(Inputs!$K$5:$AJ$110,0,MATCH(F$2,Inputs!$K$4:$AJ$4,0))))=0,NA(),SUMPRODUCT((Inputs!$A$5:$A$110=$B29)*Inputs!$B$5:$B$110*(((Inputs!$G$5:$G$110="moeda")+(Inputs!$G$5:$G$110="acoes"))*Inputs!$B$1+((Inputs!$G$5:$G$110&lt;&gt;"moeda")*(Inputs!$G$5:$G$110&lt;&gt;"acoes")))*INDEX(Inputs!$K$5:$AJ$110,0,MATCH(F$2,Inputs!$K$4:$AJ$4,0)))+SUMPRODUCT((Inputs!$C$5:$C$110=$B29)*Inputs!$D$5:$D$110*(((Inputs!$G$5:$G$110="moeda")+(Inputs!$G$5:$G$110="acoes"))*Inputs!$B$1+((Inputs!$G$5:$G$110&lt;&gt;"moeda")*(Inputs!$G$5:$G$110&lt;&gt;"acoes")))*INDEX(Inputs!$K$5:$AJ$110,0,MATCH(F$2,Inputs!$K$4:$AJ$4,0)))+SUMPRODUCT((Inputs!$E$5:$E$110=$B29)*Inputs!$F$5:$F$110*(((Inputs!$G$5:$G$110="moeda")+(Inputs!$G$5:$G$110="acoes"))*Inputs!$B$1+((Inputs!$G$5:$G$110&lt;&gt;"moeda")*(Inputs!$G$5:$G$110&lt;&gt;"acoes")))*INDEX(Inputs!$K$5:$AJ$110,0,MATCH(F$2,Inputs!$K$4:$AJ$4,0)))))</f>
        <v>3122</v>
      </c>
      <c r="G29" s="6">
        <f>IF(ISNA(MATCH(G$2,Inputs!$K$4:$AJ$4,0)),NA(),IF(SUMPRODUCT((Inputs!$A$5:$A$110=$B29)*ISNUMBER(INDEX(Inputs!$K$5:$AJ$110,0,MATCH(G$2,Inputs!$K$4:$AJ$4,0))))+SUMPRODUCT((Inputs!$C$5:$C$110=$B29)*ISNUMBER(INDEX(Inputs!$K$5:$AJ$110,0,MATCH(G$2,Inputs!$K$4:$AJ$4,0))))+SUMPRODUCT((Inputs!$E$5:$E$110=$B29)*ISNUMBER(INDEX(Inputs!$K$5:$AJ$110,0,MATCH(G$2,Inputs!$K$4:$AJ$4,0))))=0,NA(),SUMPRODUCT((Inputs!$A$5:$A$110=$B29)*Inputs!$B$5:$B$110*(((Inputs!$G$5:$G$110="moeda")+(Inputs!$G$5:$G$110="acoes"))*Inputs!$B$1+((Inputs!$G$5:$G$110&lt;&gt;"moeda")*(Inputs!$G$5:$G$110&lt;&gt;"acoes")))*INDEX(Inputs!$K$5:$AJ$110,0,MATCH(G$2,Inputs!$K$4:$AJ$4,0)))+SUMPRODUCT((Inputs!$C$5:$C$110=$B29)*Inputs!$D$5:$D$110*(((Inputs!$G$5:$G$110="moeda")+(Inputs!$G$5:$G$110="acoes"))*Inputs!$B$1+((Inputs!$G$5:$G$110&lt;&gt;"moeda")*(Inputs!$G$5:$G$110&lt;&gt;"acoes")))*INDEX(Inputs!$K$5:$AJ$110,0,MATCH(G$2,Inputs!$K$4:$AJ$4,0)))+SUMPRODUCT((Inputs!$E$5:$E$110=$B29)*Inputs!$F$5:$F$110*(((Inputs!$G$5:$G$110="moeda")+(Inputs!$G$5:$G$110="acoes"))*Inputs!$B$1+((Inputs!$G$5:$G$110&lt;&gt;"moeda")*(Inputs!$G$5:$G$110&lt;&gt;"acoes")))*INDEX(Inputs!$K$5:$AJ$110,0,MATCH(G$2,Inputs!$K$4:$AJ$4,0)))))</f>
        <v>3108</v>
      </c>
      <c r="H29" s="3">
        <f>G29</f>
        <v>3108</v>
      </c>
      <c r="I29" s="6">
        <f>IF(ISNA(MATCH(I$2,Inputs!$K$4:$AJ$4,0)),NA(),IF(SUMPRODUCT((Inputs!$A$5:$A$110=$B29)*ISNUMBER(INDEX(Inputs!$K$5:$AJ$110,0,MATCH(I$2,Inputs!$K$4:$AJ$4,0))))+SUMPRODUCT((Inputs!$C$5:$C$110=$B29)*ISNUMBER(INDEX(Inputs!$K$5:$AJ$110,0,MATCH(I$2,Inputs!$K$4:$AJ$4,0))))+SUMPRODUCT((Inputs!$E$5:$E$110=$B29)*ISNUMBER(INDEX(Inputs!$K$5:$AJ$110,0,MATCH(I$2,Inputs!$K$4:$AJ$4,0))))=0,NA(),SUMPRODUCT((Inputs!$A$5:$A$110=$B29)*Inputs!$B$5:$B$110*(((Inputs!$G$5:$G$110="moeda")+(Inputs!$G$5:$G$110="acoes"))*Inputs!$B$1+((Inputs!$G$5:$G$110&lt;&gt;"moeda")*(Inputs!$G$5:$G$110&lt;&gt;"acoes")))*INDEX(Inputs!$K$5:$AJ$110,0,MATCH(I$2,Inputs!$K$4:$AJ$4,0)))+SUMPRODUCT((Inputs!$C$5:$C$110=$B29)*Inputs!$D$5:$D$110*(((Inputs!$G$5:$G$110="moeda")+(Inputs!$G$5:$G$110="acoes"))*Inputs!$B$1+((Inputs!$G$5:$G$110&lt;&gt;"moeda")*(Inputs!$G$5:$G$110&lt;&gt;"acoes")))*INDEX(Inputs!$K$5:$AJ$110,0,MATCH(I$2,Inputs!$K$4:$AJ$4,0)))+SUMPRODUCT((Inputs!$E$5:$E$110=$B29)*Inputs!$F$5:$F$110*(((Inputs!$G$5:$G$110="moeda")+(Inputs!$G$5:$G$110="acoes"))*Inputs!$B$1+((Inputs!$G$5:$G$110&lt;&gt;"moeda")*(Inputs!$G$5:$G$110&lt;&gt;"acoes")))*INDEX(Inputs!$K$5:$AJ$110,0,MATCH(I$2,Inputs!$K$4:$AJ$4,0)))))</f>
        <v>2671</v>
      </c>
      <c r="J29" s="6">
        <f>IF(ISNA(MATCH(J$2,Inputs!$K$4:$AJ$4,0)),NA(),IF(SUMPRODUCT((Inputs!$A$5:$A$110=$B29)*ISNUMBER(INDEX(Inputs!$K$5:$AJ$110,0,MATCH(J$2,Inputs!$K$4:$AJ$4,0))))+SUMPRODUCT((Inputs!$C$5:$C$110=$B29)*ISNUMBER(INDEX(Inputs!$K$5:$AJ$110,0,MATCH(J$2,Inputs!$K$4:$AJ$4,0))))+SUMPRODUCT((Inputs!$E$5:$E$110=$B29)*ISNUMBER(INDEX(Inputs!$K$5:$AJ$110,0,MATCH(J$2,Inputs!$K$4:$AJ$4,0))))=0,NA(),SUMPRODUCT((Inputs!$A$5:$A$110=$B29)*Inputs!$B$5:$B$110*(((Inputs!$G$5:$G$110="moeda")+(Inputs!$G$5:$G$110="acoes"))*Inputs!$B$1+((Inputs!$G$5:$G$110&lt;&gt;"moeda")*(Inputs!$G$5:$G$110&lt;&gt;"acoes")))*INDEX(Inputs!$K$5:$AJ$110,0,MATCH(J$2,Inputs!$K$4:$AJ$4,0)))+SUMPRODUCT((Inputs!$C$5:$C$110=$B29)*Inputs!$D$5:$D$110*(((Inputs!$G$5:$G$110="moeda")+(Inputs!$G$5:$G$110="acoes"))*Inputs!$B$1+((Inputs!$G$5:$G$110&lt;&gt;"moeda")*(Inputs!$G$5:$G$110&lt;&gt;"acoes")))*INDEX(Inputs!$K$5:$AJ$110,0,MATCH(J$2,Inputs!$K$4:$AJ$4,0)))+SUMPRODUCT((Inputs!$E$5:$E$110=$B29)*Inputs!$F$5:$F$110*(((Inputs!$G$5:$G$110="moeda")+(Inputs!$G$5:$G$110="acoes"))*Inputs!$B$1+((Inputs!$G$5:$G$110&lt;&gt;"moeda")*(Inputs!$G$5:$G$110&lt;&gt;"acoes")))*INDEX(Inputs!$K$5:$AJ$110,0,MATCH(J$2,Inputs!$K$4:$AJ$4,0)))))</f>
        <v>2935</v>
      </c>
      <c r="K29" s="6">
        <f>IF(ISNA(MATCH(K$2,Inputs!$K$4:$AJ$4,0)),NA(),IF(SUMPRODUCT((Inputs!$A$5:$A$110=$B29)*ISNUMBER(INDEX(Inputs!$K$5:$AJ$110,0,MATCH(K$2,Inputs!$K$4:$AJ$4,0))))+SUMPRODUCT((Inputs!$C$5:$C$110=$B29)*ISNUMBER(INDEX(Inputs!$K$5:$AJ$110,0,MATCH(K$2,Inputs!$K$4:$AJ$4,0))))+SUMPRODUCT((Inputs!$E$5:$E$110=$B29)*ISNUMBER(INDEX(Inputs!$K$5:$AJ$110,0,MATCH(K$2,Inputs!$K$4:$AJ$4,0))))=0,NA(),SUMPRODUCT((Inputs!$A$5:$A$110=$B29)*Inputs!$B$5:$B$110*(((Inputs!$G$5:$G$110="moeda")+(Inputs!$G$5:$G$110="acoes"))*Inputs!$B$1+((Inputs!$G$5:$G$110&lt;&gt;"moeda")*(Inputs!$G$5:$G$110&lt;&gt;"acoes")))*INDEX(Inputs!$K$5:$AJ$110,0,MATCH(K$2,Inputs!$K$4:$AJ$4,0)))+SUMPRODUCT((Inputs!$C$5:$C$110=$B29)*Inputs!$D$5:$D$110*(((Inputs!$G$5:$G$110="moeda")+(Inputs!$G$5:$G$110="acoes"))*Inputs!$B$1+((Inputs!$G$5:$G$110&lt;&gt;"moeda")*(Inputs!$G$5:$G$110&lt;&gt;"acoes")))*INDEX(Inputs!$K$5:$AJ$110,0,MATCH(K$2,Inputs!$K$4:$AJ$4,0)))+SUMPRODUCT((Inputs!$E$5:$E$110=$B29)*Inputs!$F$5:$F$110*(((Inputs!$G$5:$G$110="moeda")+(Inputs!$G$5:$G$110="acoes"))*Inputs!$B$1+((Inputs!$G$5:$G$110&lt;&gt;"moeda")*(Inputs!$G$5:$G$110&lt;&gt;"acoes")))*INDEX(Inputs!$K$5:$AJ$110,0,MATCH(K$2,Inputs!$K$4:$AJ$4,0)))))</f>
        <v>3151</v>
      </c>
      <c r="L29" s="6">
        <f>IF(ISNA(MATCH(L$2,Inputs!$K$4:$AJ$4,0)),NA(),IF(SUMPRODUCT((Inputs!$A$5:$A$110=$B29)*ISNUMBER(INDEX(Inputs!$K$5:$AJ$110,0,MATCH(L$2,Inputs!$K$4:$AJ$4,0))))+SUMPRODUCT((Inputs!$C$5:$C$110=$B29)*ISNUMBER(INDEX(Inputs!$K$5:$AJ$110,0,MATCH(L$2,Inputs!$K$4:$AJ$4,0))))+SUMPRODUCT((Inputs!$E$5:$E$110=$B29)*ISNUMBER(INDEX(Inputs!$K$5:$AJ$110,0,MATCH(L$2,Inputs!$K$4:$AJ$4,0))))=0,NA(),SUMPRODUCT((Inputs!$A$5:$A$110=$B29)*Inputs!$B$5:$B$110*(((Inputs!$G$5:$G$110="moeda")+(Inputs!$G$5:$G$110="acoes"))*Inputs!$B$1+((Inputs!$G$5:$G$110&lt;&gt;"moeda")*(Inputs!$G$5:$G$110&lt;&gt;"acoes")))*INDEX(Inputs!$K$5:$AJ$110,0,MATCH(L$2,Inputs!$K$4:$AJ$4,0)))+SUMPRODUCT((Inputs!$C$5:$C$110=$B29)*Inputs!$D$5:$D$110*(((Inputs!$G$5:$G$110="moeda")+(Inputs!$G$5:$G$110="acoes"))*Inputs!$B$1+((Inputs!$G$5:$G$110&lt;&gt;"moeda")*(Inputs!$G$5:$G$110&lt;&gt;"acoes")))*INDEX(Inputs!$K$5:$AJ$110,0,MATCH(L$2,Inputs!$K$4:$AJ$4,0)))+SUMPRODUCT((Inputs!$E$5:$E$110=$B29)*Inputs!$F$5:$F$110*(((Inputs!$G$5:$G$110="moeda")+(Inputs!$G$5:$G$110="acoes"))*Inputs!$B$1+((Inputs!$G$5:$G$110&lt;&gt;"moeda")*(Inputs!$G$5:$G$110&lt;&gt;"acoes")))*INDEX(Inputs!$K$5:$AJ$110,0,MATCH(L$2,Inputs!$K$4:$AJ$4,0)))))</f>
        <v>3075</v>
      </c>
      <c r="M29" s="3">
        <f>L29</f>
        <v>3075</v>
      </c>
      <c r="N29" s="6">
        <f>IF(ISNA(MATCH(N$2,Inputs!$K$4:$AJ$4,0)),NA(),IF(SUMPRODUCT((Inputs!$A$5:$A$110=$B29)*ISNUMBER(INDEX(Inputs!$K$5:$AJ$110,0,MATCH(N$2,Inputs!$K$4:$AJ$4,0))))+SUMPRODUCT((Inputs!$C$5:$C$110=$B29)*ISNUMBER(INDEX(Inputs!$K$5:$AJ$110,0,MATCH(N$2,Inputs!$K$4:$AJ$4,0))))+SUMPRODUCT((Inputs!$E$5:$E$110=$B29)*ISNUMBER(INDEX(Inputs!$K$5:$AJ$110,0,MATCH(N$2,Inputs!$K$4:$AJ$4,0))))=0,NA(),SUMPRODUCT((Inputs!$A$5:$A$110=$B29)*Inputs!$B$5:$B$110*(((Inputs!$G$5:$G$110="moeda")+(Inputs!$G$5:$G$110="acoes"))*Inputs!$B$1+((Inputs!$G$5:$G$110&lt;&gt;"moeda")*(Inputs!$G$5:$G$110&lt;&gt;"acoes")))*INDEX(Inputs!$K$5:$AJ$110,0,MATCH(N$2,Inputs!$K$4:$AJ$4,0)))+SUMPRODUCT((Inputs!$C$5:$C$110=$B29)*Inputs!$D$5:$D$110*(((Inputs!$G$5:$G$110="moeda")+(Inputs!$G$5:$G$110="acoes"))*Inputs!$B$1+((Inputs!$G$5:$G$110&lt;&gt;"moeda")*(Inputs!$G$5:$G$110&lt;&gt;"acoes")))*INDEX(Inputs!$K$5:$AJ$110,0,MATCH(N$2,Inputs!$K$4:$AJ$4,0)))+SUMPRODUCT((Inputs!$E$5:$E$110=$B29)*Inputs!$F$5:$F$110*(((Inputs!$G$5:$G$110="moeda")+(Inputs!$G$5:$G$110="acoes"))*Inputs!$B$1+((Inputs!$G$5:$G$110&lt;&gt;"moeda")*(Inputs!$G$5:$G$110&lt;&gt;"acoes")))*INDEX(Inputs!$K$5:$AJ$110,0,MATCH(N$2,Inputs!$K$4:$AJ$4,0)))))</f>
        <v>2634</v>
      </c>
      <c r="O29" s="6">
        <f>IF(ISNA(MATCH(O$2,Inputs!$K$4:$AJ$4,0)),NA(),IF(SUMPRODUCT((Inputs!$A$5:$A$110=$B29)*ISNUMBER(INDEX(Inputs!$K$5:$AJ$110,0,MATCH(O$2,Inputs!$K$4:$AJ$4,0))))+SUMPRODUCT((Inputs!$C$5:$C$110=$B29)*ISNUMBER(INDEX(Inputs!$K$5:$AJ$110,0,MATCH(O$2,Inputs!$K$4:$AJ$4,0))))+SUMPRODUCT((Inputs!$E$5:$E$110=$B29)*ISNUMBER(INDEX(Inputs!$K$5:$AJ$110,0,MATCH(O$2,Inputs!$K$4:$AJ$4,0))))=0,NA(),SUMPRODUCT((Inputs!$A$5:$A$110=$B29)*Inputs!$B$5:$B$110*(((Inputs!$G$5:$G$110="moeda")+(Inputs!$G$5:$G$110="acoes"))*Inputs!$B$1+((Inputs!$G$5:$G$110&lt;&gt;"moeda")*(Inputs!$G$5:$G$110&lt;&gt;"acoes")))*INDEX(Inputs!$K$5:$AJ$110,0,MATCH(O$2,Inputs!$K$4:$AJ$4,0)))+SUMPRODUCT((Inputs!$C$5:$C$110=$B29)*Inputs!$D$5:$D$110*(((Inputs!$G$5:$G$110="moeda")+(Inputs!$G$5:$G$110="acoes"))*Inputs!$B$1+((Inputs!$G$5:$G$110&lt;&gt;"moeda")*(Inputs!$G$5:$G$110&lt;&gt;"acoes")))*INDEX(Inputs!$K$5:$AJ$110,0,MATCH(O$2,Inputs!$K$4:$AJ$4,0)))+SUMPRODUCT((Inputs!$E$5:$E$110=$B29)*Inputs!$F$5:$F$110*(((Inputs!$G$5:$G$110="moeda")+(Inputs!$G$5:$G$110="acoes"))*Inputs!$B$1+((Inputs!$G$5:$G$110&lt;&gt;"moeda")*(Inputs!$G$5:$G$110&lt;&gt;"acoes")))*INDEX(Inputs!$K$5:$AJ$110,0,MATCH(O$2,Inputs!$K$4:$AJ$4,0)))))</f>
        <v>2896</v>
      </c>
      <c r="P29" s="6">
        <f>IF(ISNA(MATCH(P$2,Inputs!$K$4:$AJ$4,0)),NA(),IF(SUMPRODUCT((Inputs!$A$5:$A$110=$B29)*ISNUMBER(INDEX(Inputs!$K$5:$AJ$110,0,MATCH(P$2,Inputs!$K$4:$AJ$4,0))))+SUMPRODUCT((Inputs!$C$5:$C$110=$B29)*ISNUMBER(INDEX(Inputs!$K$5:$AJ$110,0,MATCH(P$2,Inputs!$K$4:$AJ$4,0))))+SUMPRODUCT((Inputs!$E$5:$E$110=$B29)*ISNUMBER(INDEX(Inputs!$K$5:$AJ$110,0,MATCH(P$2,Inputs!$K$4:$AJ$4,0))))=0,NA(),SUMPRODUCT((Inputs!$A$5:$A$110=$B29)*Inputs!$B$5:$B$110*(((Inputs!$G$5:$G$110="moeda")+(Inputs!$G$5:$G$110="acoes"))*Inputs!$B$1+((Inputs!$G$5:$G$110&lt;&gt;"moeda")*(Inputs!$G$5:$G$110&lt;&gt;"acoes")))*INDEX(Inputs!$K$5:$AJ$110,0,MATCH(P$2,Inputs!$K$4:$AJ$4,0)))+SUMPRODUCT((Inputs!$C$5:$C$110=$B29)*Inputs!$D$5:$D$110*(((Inputs!$G$5:$G$110="moeda")+(Inputs!$G$5:$G$110="acoes"))*Inputs!$B$1+((Inputs!$G$5:$G$110&lt;&gt;"moeda")*(Inputs!$G$5:$G$110&lt;&gt;"acoes")))*INDEX(Inputs!$K$5:$AJ$110,0,MATCH(P$2,Inputs!$K$4:$AJ$4,0)))+SUMPRODUCT((Inputs!$E$5:$E$110=$B29)*Inputs!$F$5:$F$110*(((Inputs!$G$5:$G$110="moeda")+(Inputs!$G$5:$G$110="acoes"))*Inputs!$B$1+((Inputs!$G$5:$G$110&lt;&gt;"moeda")*(Inputs!$G$5:$G$110&lt;&gt;"acoes")))*INDEX(Inputs!$K$5:$AJ$110,0,MATCH(P$2,Inputs!$K$4:$AJ$4,0)))))</f>
        <v>3139</v>
      </c>
      <c r="Q29" s="6">
        <f>IF(ISNA(MATCH(Q$2,Inputs!$K$4:$AJ$4,0)),NA(),IF(SUMPRODUCT((Inputs!$A$5:$A$110=$B29)*ISNUMBER(INDEX(Inputs!$K$5:$AJ$110,0,MATCH(Q$2,Inputs!$K$4:$AJ$4,0))))+SUMPRODUCT((Inputs!$C$5:$C$110=$B29)*ISNUMBER(INDEX(Inputs!$K$5:$AJ$110,0,MATCH(Q$2,Inputs!$K$4:$AJ$4,0))))+SUMPRODUCT((Inputs!$E$5:$E$110=$B29)*ISNUMBER(INDEX(Inputs!$K$5:$AJ$110,0,MATCH(Q$2,Inputs!$K$4:$AJ$4,0))))=0,NA(),SUMPRODUCT((Inputs!$A$5:$A$110=$B29)*Inputs!$B$5:$B$110*(((Inputs!$G$5:$G$110="moeda")+(Inputs!$G$5:$G$110="acoes"))*Inputs!$B$1+((Inputs!$G$5:$G$110&lt;&gt;"moeda")*(Inputs!$G$5:$G$110&lt;&gt;"acoes")))*INDEX(Inputs!$K$5:$AJ$110,0,MATCH(Q$2,Inputs!$K$4:$AJ$4,0)))+SUMPRODUCT((Inputs!$C$5:$C$110=$B29)*Inputs!$D$5:$D$110*(((Inputs!$G$5:$G$110="moeda")+(Inputs!$G$5:$G$110="acoes"))*Inputs!$B$1+((Inputs!$G$5:$G$110&lt;&gt;"moeda")*(Inputs!$G$5:$G$110&lt;&gt;"acoes")))*INDEX(Inputs!$K$5:$AJ$110,0,MATCH(Q$2,Inputs!$K$4:$AJ$4,0)))+SUMPRODUCT((Inputs!$E$5:$E$110=$B29)*Inputs!$F$5:$F$110*(((Inputs!$G$5:$G$110="moeda")+(Inputs!$G$5:$G$110="acoes"))*Inputs!$B$1+((Inputs!$G$5:$G$110&lt;&gt;"moeda")*(Inputs!$G$5:$G$110&lt;&gt;"acoes")))*INDEX(Inputs!$K$5:$AJ$110,0,MATCH(Q$2,Inputs!$K$4:$AJ$4,0)))))</f>
        <v>3133</v>
      </c>
      <c r="R29" s="3">
        <f>Q29</f>
        <v>3133</v>
      </c>
      <c r="S29" s="6">
        <f>IF(ISNA(MATCH(S$2,Inputs!$K$4:$AJ$4,0)),NA(),IF(SUMPRODUCT((Inputs!$A$5:$A$110=$B29)*ISNUMBER(INDEX(Inputs!$K$5:$AJ$110,0,MATCH(S$2,Inputs!$K$4:$AJ$4,0))))+SUMPRODUCT((Inputs!$C$5:$C$110=$B29)*ISNUMBER(INDEX(Inputs!$K$5:$AJ$110,0,MATCH(S$2,Inputs!$K$4:$AJ$4,0))))+SUMPRODUCT((Inputs!$E$5:$E$110=$B29)*ISNUMBER(INDEX(Inputs!$K$5:$AJ$110,0,MATCH(S$2,Inputs!$K$4:$AJ$4,0))))=0,NA(),SUMPRODUCT((Inputs!$A$5:$A$110=$B29)*Inputs!$B$5:$B$110*(((Inputs!$G$5:$G$110="moeda")+(Inputs!$G$5:$G$110="acoes"))*Inputs!$B$1+((Inputs!$G$5:$G$110&lt;&gt;"moeda")*(Inputs!$G$5:$G$110&lt;&gt;"acoes")))*INDEX(Inputs!$K$5:$AJ$110,0,MATCH(S$2,Inputs!$K$4:$AJ$4,0)))+SUMPRODUCT((Inputs!$C$5:$C$110=$B29)*Inputs!$D$5:$D$110*(((Inputs!$G$5:$G$110="moeda")+(Inputs!$G$5:$G$110="acoes"))*Inputs!$B$1+((Inputs!$G$5:$G$110&lt;&gt;"moeda")*(Inputs!$G$5:$G$110&lt;&gt;"acoes")))*INDEX(Inputs!$K$5:$AJ$110,0,MATCH(S$2,Inputs!$K$4:$AJ$4,0)))+SUMPRODUCT((Inputs!$E$5:$E$110=$B29)*Inputs!$F$5:$F$110*(((Inputs!$G$5:$G$110="moeda")+(Inputs!$G$5:$G$110="acoes"))*Inputs!$B$1+((Inputs!$G$5:$G$110&lt;&gt;"moeda")*(Inputs!$G$5:$G$110&lt;&gt;"acoes")))*INDEX(Inputs!$K$5:$AJ$110,0,MATCH(S$2,Inputs!$K$4:$AJ$4,0)))))</f>
        <v>2679</v>
      </c>
      <c r="T29" s="6">
        <f>IF(ISNA(MATCH(T$2,Inputs!$K$4:$AJ$4,0)),NA(),IF(SUMPRODUCT((Inputs!$A$5:$A$110=$B29)*ISNUMBER(INDEX(Inputs!$K$5:$AJ$110,0,MATCH(T$2,Inputs!$K$4:$AJ$4,0))))+SUMPRODUCT((Inputs!$C$5:$C$110=$B29)*ISNUMBER(INDEX(Inputs!$K$5:$AJ$110,0,MATCH(T$2,Inputs!$K$4:$AJ$4,0))))+SUMPRODUCT((Inputs!$E$5:$E$110=$B29)*ISNUMBER(INDEX(Inputs!$K$5:$AJ$110,0,MATCH(T$2,Inputs!$K$4:$AJ$4,0))))=0,NA(),SUMPRODUCT((Inputs!$A$5:$A$110=$B29)*Inputs!$B$5:$B$110*(((Inputs!$G$5:$G$110="moeda")+(Inputs!$G$5:$G$110="acoes"))*Inputs!$B$1+((Inputs!$G$5:$G$110&lt;&gt;"moeda")*(Inputs!$G$5:$G$110&lt;&gt;"acoes")))*INDEX(Inputs!$K$5:$AJ$110,0,MATCH(T$2,Inputs!$K$4:$AJ$4,0)))+SUMPRODUCT((Inputs!$C$5:$C$110=$B29)*Inputs!$D$5:$D$110*(((Inputs!$G$5:$G$110="moeda")+(Inputs!$G$5:$G$110="acoes"))*Inputs!$B$1+((Inputs!$G$5:$G$110&lt;&gt;"moeda")*(Inputs!$G$5:$G$110&lt;&gt;"acoes")))*INDEX(Inputs!$K$5:$AJ$110,0,MATCH(T$2,Inputs!$K$4:$AJ$4,0)))+SUMPRODUCT((Inputs!$E$5:$E$110=$B29)*Inputs!$F$5:$F$110*(((Inputs!$G$5:$G$110="moeda")+(Inputs!$G$5:$G$110="acoes"))*Inputs!$B$1+((Inputs!$G$5:$G$110&lt;&gt;"moeda")*(Inputs!$G$5:$G$110&lt;&gt;"acoes")))*INDEX(Inputs!$K$5:$AJ$110,0,MATCH(T$2,Inputs!$K$4:$AJ$4,0)))))</f>
        <v>2871</v>
      </c>
      <c r="U29" s="6">
        <f>IF(ISNA(MATCH(U$2,Inputs!$K$4:$AJ$4,0)),NA(),IF(SUMPRODUCT((Inputs!$A$5:$A$110=$B29)*ISNUMBER(INDEX(Inputs!$K$5:$AJ$110,0,MATCH(U$2,Inputs!$K$4:$AJ$4,0))))+SUMPRODUCT((Inputs!$C$5:$C$110=$B29)*ISNUMBER(INDEX(Inputs!$K$5:$AJ$110,0,MATCH(U$2,Inputs!$K$4:$AJ$4,0))))+SUMPRODUCT((Inputs!$E$5:$E$110=$B29)*ISNUMBER(INDEX(Inputs!$K$5:$AJ$110,0,MATCH(U$2,Inputs!$K$4:$AJ$4,0))))=0,NA(),SUMPRODUCT((Inputs!$A$5:$A$110=$B29)*Inputs!$B$5:$B$110*(((Inputs!$G$5:$G$110="moeda")+(Inputs!$G$5:$G$110="acoes"))*Inputs!$B$1+((Inputs!$G$5:$G$110&lt;&gt;"moeda")*(Inputs!$G$5:$G$110&lt;&gt;"acoes")))*INDEX(Inputs!$K$5:$AJ$110,0,MATCH(U$2,Inputs!$K$4:$AJ$4,0)))+SUMPRODUCT((Inputs!$C$5:$C$110=$B29)*Inputs!$D$5:$D$110*(((Inputs!$G$5:$G$110="moeda")+(Inputs!$G$5:$G$110="acoes"))*Inputs!$B$1+((Inputs!$G$5:$G$110&lt;&gt;"moeda")*(Inputs!$G$5:$G$110&lt;&gt;"acoes")))*INDEX(Inputs!$K$5:$AJ$110,0,MATCH(U$2,Inputs!$K$4:$AJ$4,0)))+SUMPRODUCT((Inputs!$E$5:$E$110=$B29)*Inputs!$F$5:$F$110*(((Inputs!$G$5:$G$110="moeda")+(Inputs!$G$5:$G$110="acoes"))*Inputs!$B$1+((Inputs!$G$5:$G$110&lt;&gt;"moeda")*(Inputs!$G$5:$G$110&lt;&gt;"acoes")))*INDEX(Inputs!$K$5:$AJ$110,0,MATCH(U$2,Inputs!$K$4:$AJ$4,0)))))</f>
        <v>3076</v>
      </c>
      <c r="V29" s="6">
        <f>IF(ISNA(MATCH(V$2,Inputs!$K$4:$AJ$4,0)),NA(),IF(SUMPRODUCT((Inputs!$A$5:$A$110=$B29)*ISNUMBER(INDEX(Inputs!$K$5:$AJ$110,0,MATCH(V$2,Inputs!$K$4:$AJ$4,0))))+SUMPRODUCT((Inputs!$C$5:$C$110=$B29)*ISNUMBER(INDEX(Inputs!$K$5:$AJ$110,0,MATCH(V$2,Inputs!$K$4:$AJ$4,0))))+SUMPRODUCT((Inputs!$E$5:$E$110=$B29)*ISNUMBER(INDEX(Inputs!$K$5:$AJ$110,0,MATCH(V$2,Inputs!$K$4:$AJ$4,0))))=0,NA(),SUMPRODUCT((Inputs!$A$5:$A$110=$B29)*Inputs!$B$5:$B$110*(((Inputs!$G$5:$G$110="moeda")+(Inputs!$G$5:$G$110="acoes"))*Inputs!$B$1+((Inputs!$G$5:$G$110&lt;&gt;"moeda")*(Inputs!$G$5:$G$110&lt;&gt;"acoes")))*INDEX(Inputs!$K$5:$AJ$110,0,MATCH(V$2,Inputs!$K$4:$AJ$4,0)))+SUMPRODUCT((Inputs!$C$5:$C$110=$B29)*Inputs!$D$5:$D$110*(((Inputs!$G$5:$G$110="moeda")+(Inputs!$G$5:$G$110="acoes"))*Inputs!$B$1+((Inputs!$G$5:$G$110&lt;&gt;"moeda")*(Inputs!$G$5:$G$110&lt;&gt;"acoes")))*INDEX(Inputs!$K$5:$AJ$110,0,MATCH(V$2,Inputs!$K$4:$AJ$4,0)))+SUMPRODUCT((Inputs!$E$5:$E$110=$B29)*Inputs!$F$5:$F$110*(((Inputs!$G$5:$G$110="moeda")+(Inputs!$G$5:$G$110="acoes"))*Inputs!$B$1+((Inputs!$G$5:$G$110&lt;&gt;"moeda")*(Inputs!$G$5:$G$110&lt;&gt;"acoes")))*INDEX(Inputs!$K$5:$AJ$110,0,MATCH(V$2,Inputs!$K$4:$AJ$4,0)))))</f>
        <v>3125</v>
      </c>
      <c r="W29" s="3">
        <f>V29</f>
        <v>3125</v>
      </c>
      <c r="X29" s="6">
        <f>IF(ISNA(MATCH(X$2,Inputs!$K$4:$AJ$4,0)),NA(),IF(SUMPRODUCT((Inputs!$A$5:$A$110=$B29)*ISNUMBER(INDEX(Inputs!$K$5:$AJ$110,0,MATCH(X$2,Inputs!$K$4:$AJ$4,0))))+SUMPRODUCT((Inputs!$C$5:$C$110=$B29)*ISNUMBER(INDEX(Inputs!$K$5:$AJ$110,0,MATCH(X$2,Inputs!$K$4:$AJ$4,0))))+SUMPRODUCT((Inputs!$E$5:$E$110=$B29)*ISNUMBER(INDEX(Inputs!$K$5:$AJ$110,0,MATCH(X$2,Inputs!$K$4:$AJ$4,0))))=0,NA(),SUMPRODUCT((Inputs!$A$5:$A$110=$B29)*Inputs!$B$5:$B$110*(((Inputs!$G$5:$G$110="moeda")+(Inputs!$G$5:$G$110="acoes"))*Inputs!$B$1+((Inputs!$G$5:$G$110&lt;&gt;"moeda")*(Inputs!$G$5:$G$110&lt;&gt;"acoes")))*INDEX(Inputs!$K$5:$AJ$110,0,MATCH(X$2,Inputs!$K$4:$AJ$4,0)))+SUMPRODUCT((Inputs!$C$5:$C$110=$B29)*Inputs!$D$5:$D$110*(((Inputs!$G$5:$G$110="moeda")+(Inputs!$G$5:$G$110="acoes"))*Inputs!$B$1+((Inputs!$G$5:$G$110&lt;&gt;"moeda")*(Inputs!$G$5:$G$110&lt;&gt;"acoes")))*INDEX(Inputs!$K$5:$AJ$110,0,MATCH(X$2,Inputs!$K$4:$AJ$4,0)))+SUMPRODUCT((Inputs!$E$5:$E$110=$B29)*Inputs!$F$5:$F$110*(((Inputs!$G$5:$G$110="moeda")+(Inputs!$G$5:$G$110="acoes"))*Inputs!$B$1+((Inputs!$G$5:$G$110&lt;&gt;"moeda")*(Inputs!$G$5:$G$110&lt;&gt;"acoes")))*INDEX(Inputs!$K$5:$AJ$110,0,MATCH(X$2,Inputs!$K$4:$AJ$4,0)))))</f>
        <v>2391</v>
      </c>
      <c r="Y29" s="6">
        <f>IF(ISNA(MATCH(Y$2,Inputs!$K$4:$AJ$4,0)),NA(),IF(SUMPRODUCT((Inputs!$A$5:$A$110=$B29)*ISNUMBER(INDEX(Inputs!$K$5:$AJ$110,0,MATCH(Y$2,Inputs!$K$4:$AJ$4,0))))+SUMPRODUCT((Inputs!$C$5:$C$110=$B29)*ISNUMBER(INDEX(Inputs!$K$5:$AJ$110,0,MATCH(Y$2,Inputs!$K$4:$AJ$4,0))))+SUMPRODUCT((Inputs!$E$5:$E$110=$B29)*ISNUMBER(INDEX(Inputs!$K$5:$AJ$110,0,MATCH(Y$2,Inputs!$K$4:$AJ$4,0))))=0,NA(),SUMPRODUCT((Inputs!$A$5:$A$110=$B29)*Inputs!$B$5:$B$110*(((Inputs!$G$5:$G$110="moeda")+(Inputs!$G$5:$G$110="acoes"))*Inputs!$B$1+((Inputs!$G$5:$G$110&lt;&gt;"moeda")*(Inputs!$G$5:$G$110&lt;&gt;"acoes")))*INDEX(Inputs!$K$5:$AJ$110,0,MATCH(Y$2,Inputs!$K$4:$AJ$4,0)))+SUMPRODUCT((Inputs!$C$5:$C$110=$B29)*Inputs!$D$5:$D$110*(((Inputs!$G$5:$G$110="moeda")+(Inputs!$G$5:$G$110="acoes"))*Inputs!$B$1+((Inputs!$G$5:$G$110&lt;&gt;"moeda")*(Inputs!$G$5:$G$110&lt;&gt;"acoes")))*INDEX(Inputs!$K$5:$AJ$110,0,MATCH(Y$2,Inputs!$K$4:$AJ$4,0)))+SUMPRODUCT((Inputs!$E$5:$E$110=$B29)*Inputs!$F$5:$F$110*(((Inputs!$G$5:$G$110="moeda")+(Inputs!$G$5:$G$110="acoes"))*Inputs!$B$1+((Inputs!$G$5:$G$110&lt;&gt;"moeda")*(Inputs!$G$5:$G$110&lt;&gt;"acoes")))*INDEX(Inputs!$K$5:$AJ$110,0,MATCH(Y$2,Inputs!$K$4:$AJ$4,0)))))</f>
        <v>2761</v>
      </c>
      <c r="Z29" s="6">
        <f>IF(ISNA(MATCH(Z$2,Inputs!$K$4:$AJ$4,0)),NA(),IF(SUMPRODUCT((Inputs!$A$5:$A$110=$B29)*ISNUMBER(INDEX(Inputs!$K$5:$AJ$110,0,MATCH(Z$2,Inputs!$K$4:$AJ$4,0))))+SUMPRODUCT((Inputs!$C$5:$C$110=$B29)*ISNUMBER(INDEX(Inputs!$K$5:$AJ$110,0,MATCH(Z$2,Inputs!$K$4:$AJ$4,0))))+SUMPRODUCT((Inputs!$E$5:$E$110=$B29)*ISNUMBER(INDEX(Inputs!$K$5:$AJ$110,0,MATCH(Z$2,Inputs!$K$4:$AJ$4,0))))=0,NA(),SUMPRODUCT((Inputs!$A$5:$A$110=$B29)*Inputs!$B$5:$B$110*(((Inputs!$G$5:$G$110="moeda")+(Inputs!$G$5:$G$110="acoes"))*Inputs!$B$1+((Inputs!$G$5:$G$110&lt;&gt;"moeda")*(Inputs!$G$5:$G$110&lt;&gt;"acoes")))*INDEX(Inputs!$K$5:$AJ$110,0,MATCH(Z$2,Inputs!$K$4:$AJ$4,0)))+SUMPRODUCT((Inputs!$C$5:$C$110=$B29)*Inputs!$D$5:$D$110*(((Inputs!$G$5:$G$110="moeda")+(Inputs!$G$5:$G$110="acoes"))*Inputs!$B$1+((Inputs!$G$5:$G$110&lt;&gt;"moeda")*(Inputs!$G$5:$G$110&lt;&gt;"acoes")))*INDEX(Inputs!$K$5:$AJ$110,0,MATCH(Z$2,Inputs!$K$4:$AJ$4,0)))+SUMPRODUCT((Inputs!$E$5:$E$110=$B29)*Inputs!$F$5:$F$110*(((Inputs!$G$5:$G$110="moeda")+(Inputs!$G$5:$G$110="acoes"))*Inputs!$B$1+((Inputs!$G$5:$G$110&lt;&gt;"moeda")*(Inputs!$G$5:$G$110&lt;&gt;"acoes")))*INDEX(Inputs!$K$5:$AJ$110,0,MATCH(Z$2,Inputs!$K$4:$AJ$4,0)))))</f>
        <v>3065</v>
      </c>
      <c r="AA29" s="6">
        <f>IF(ISNA(MATCH(AA$2,Inputs!$K$4:$AJ$4,0)),NA(),IF(SUMPRODUCT((Inputs!$A$5:$A$110=$B29)*ISNUMBER(INDEX(Inputs!$K$5:$AJ$110,0,MATCH(AA$2,Inputs!$K$4:$AJ$4,0))))+SUMPRODUCT((Inputs!$C$5:$C$110=$B29)*ISNUMBER(INDEX(Inputs!$K$5:$AJ$110,0,MATCH(AA$2,Inputs!$K$4:$AJ$4,0))))+SUMPRODUCT((Inputs!$E$5:$E$110=$B29)*ISNUMBER(INDEX(Inputs!$K$5:$AJ$110,0,MATCH(AA$2,Inputs!$K$4:$AJ$4,0))))=0,NA(),SUMPRODUCT((Inputs!$A$5:$A$110=$B29)*Inputs!$B$5:$B$110*(((Inputs!$G$5:$G$110="moeda")+(Inputs!$G$5:$G$110="acoes"))*Inputs!$B$1+((Inputs!$G$5:$G$110&lt;&gt;"moeda")*(Inputs!$G$5:$G$110&lt;&gt;"acoes")))*INDEX(Inputs!$K$5:$AJ$110,0,MATCH(AA$2,Inputs!$K$4:$AJ$4,0)))+SUMPRODUCT((Inputs!$C$5:$C$110=$B29)*Inputs!$D$5:$D$110*(((Inputs!$G$5:$G$110="moeda")+(Inputs!$G$5:$G$110="acoes"))*Inputs!$B$1+((Inputs!$G$5:$G$110&lt;&gt;"moeda")*(Inputs!$G$5:$G$110&lt;&gt;"acoes")))*INDEX(Inputs!$K$5:$AJ$110,0,MATCH(AA$2,Inputs!$K$4:$AJ$4,0)))+SUMPRODUCT((Inputs!$E$5:$E$110=$B29)*Inputs!$F$5:$F$110*(((Inputs!$G$5:$G$110="moeda")+(Inputs!$G$5:$G$110="acoes"))*Inputs!$B$1+((Inputs!$G$5:$G$110&lt;&gt;"moeda")*(Inputs!$G$5:$G$110&lt;&gt;"acoes")))*INDEX(Inputs!$K$5:$AJ$110,0,MATCH(AA$2,Inputs!$K$4:$AJ$4,0)))))</f>
        <v>3184</v>
      </c>
      <c r="AB29" s="3">
        <f>AA29</f>
        <v>3184</v>
      </c>
      <c r="AC29" s="6">
        <f>IF(ISNA(MATCH(AC$2,Inputs!$K$4:$AJ$4,0)),NA(),IF(SUMPRODUCT((Inputs!$A$5:$A$110=$B29)*ISNUMBER(INDEX(Inputs!$K$5:$AJ$110,0,MATCH(AC$2,Inputs!$K$4:$AJ$4,0))))+SUMPRODUCT((Inputs!$C$5:$C$110=$B29)*ISNUMBER(INDEX(Inputs!$K$5:$AJ$110,0,MATCH(AC$2,Inputs!$K$4:$AJ$4,0))))+SUMPRODUCT((Inputs!$E$5:$E$110=$B29)*ISNUMBER(INDEX(Inputs!$K$5:$AJ$110,0,MATCH(AC$2,Inputs!$K$4:$AJ$4,0))))=0,NA(),SUMPRODUCT((Inputs!$A$5:$A$110=$B29)*Inputs!$B$5:$B$110*(((Inputs!$G$5:$G$110="moeda")+(Inputs!$G$5:$G$110="acoes"))*Inputs!$B$1+((Inputs!$G$5:$G$110&lt;&gt;"moeda")*(Inputs!$G$5:$G$110&lt;&gt;"acoes")))*INDEX(Inputs!$K$5:$AJ$110,0,MATCH(AC$2,Inputs!$K$4:$AJ$4,0)))+SUMPRODUCT((Inputs!$C$5:$C$110=$B29)*Inputs!$D$5:$D$110*(((Inputs!$G$5:$G$110="moeda")+(Inputs!$G$5:$G$110="acoes"))*Inputs!$B$1+((Inputs!$G$5:$G$110&lt;&gt;"moeda")*(Inputs!$G$5:$G$110&lt;&gt;"acoes")))*INDEX(Inputs!$K$5:$AJ$110,0,MATCH(AC$2,Inputs!$K$4:$AJ$4,0)))+SUMPRODUCT((Inputs!$E$5:$E$110=$B29)*Inputs!$F$5:$F$110*(((Inputs!$G$5:$G$110="moeda")+(Inputs!$G$5:$G$110="acoes"))*Inputs!$B$1+((Inputs!$G$5:$G$110&lt;&gt;"moeda")*(Inputs!$G$5:$G$110&lt;&gt;"acoes")))*INDEX(Inputs!$K$5:$AJ$110,0,MATCH(AC$2,Inputs!$K$4:$AJ$4,0)))))</f>
        <v>2676</v>
      </c>
      <c r="AD29" s="6">
        <f>IF(ISNA(MATCH(AD$2,Inputs!$K$4:$AJ$4,0)),NA(),IF(SUMPRODUCT((Inputs!$A$5:$A$110=$B29)*ISNUMBER(INDEX(Inputs!$K$5:$AJ$110,0,MATCH(AD$2,Inputs!$K$4:$AJ$4,0))))+SUMPRODUCT((Inputs!$C$5:$C$110=$B29)*ISNUMBER(INDEX(Inputs!$K$5:$AJ$110,0,MATCH(AD$2,Inputs!$K$4:$AJ$4,0))))+SUMPRODUCT((Inputs!$E$5:$E$110=$B29)*ISNUMBER(INDEX(Inputs!$K$5:$AJ$110,0,MATCH(AD$2,Inputs!$K$4:$AJ$4,0))))=0,NA(),SUMPRODUCT((Inputs!$A$5:$A$110=$B29)*Inputs!$B$5:$B$110*(((Inputs!$G$5:$G$110="moeda")+(Inputs!$G$5:$G$110="acoes"))*Inputs!$B$1+((Inputs!$G$5:$G$110&lt;&gt;"moeda")*(Inputs!$G$5:$G$110&lt;&gt;"acoes")))*INDEX(Inputs!$K$5:$AJ$110,0,MATCH(AD$2,Inputs!$K$4:$AJ$4,0)))+SUMPRODUCT((Inputs!$C$5:$C$110=$B29)*Inputs!$D$5:$D$110*(((Inputs!$G$5:$G$110="moeda")+(Inputs!$G$5:$G$110="acoes"))*Inputs!$B$1+((Inputs!$G$5:$G$110&lt;&gt;"moeda")*(Inputs!$G$5:$G$110&lt;&gt;"acoes")))*INDEX(Inputs!$K$5:$AJ$110,0,MATCH(AD$2,Inputs!$K$4:$AJ$4,0)))+SUMPRODUCT((Inputs!$E$5:$E$110=$B29)*Inputs!$F$5:$F$110*(((Inputs!$G$5:$G$110="moeda")+(Inputs!$G$5:$G$110="acoes"))*Inputs!$B$1+((Inputs!$G$5:$G$110&lt;&gt;"moeda")*(Inputs!$G$5:$G$110&lt;&gt;"acoes")))*INDEX(Inputs!$K$5:$AJ$110,0,MATCH(AD$2,Inputs!$K$4:$AJ$4,0)))))</f>
        <v>3003</v>
      </c>
      <c r="AE29" s="6" t="e">
        <f>IF(ISNA(MATCH(AE$2,Inputs!$K$4:$AJ$4,0)),NA(),IF(SUMPRODUCT((Inputs!$A$5:$A$110=$B29)*ISNUMBER(INDEX(Inputs!$K$5:$AJ$110,0,MATCH(AE$2,Inputs!$K$4:$AJ$4,0))))+SUMPRODUCT((Inputs!$C$5:$C$110=$B29)*ISNUMBER(INDEX(Inputs!$K$5:$AJ$110,0,MATCH(AE$2,Inputs!$K$4:$AJ$4,0))))+SUMPRODUCT((Inputs!$E$5:$E$110=$B29)*ISNUMBER(INDEX(Inputs!$K$5:$AJ$110,0,MATCH(AE$2,Inputs!$K$4:$AJ$4,0))))=0,NA(),SUMPRODUCT((Inputs!$A$5:$A$110=$B29)*Inputs!$B$5:$B$110*(((Inputs!$G$5:$G$110="moeda")+(Inputs!$G$5:$G$110="acoes"))*Inputs!$B$1+((Inputs!$G$5:$G$110&lt;&gt;"moeda")*(Inputs!$G$5:$G$110&lt;&gt;"acoes")))*INDEX(Inputs!$K$5:$AJ$110,0,MATCH(AE$2,Inputs!$K$4:$AJ$4,0)))+SUMPRODUCT((Inputs!$C$5:$C$110=$B29)*Inputs!$D$5:$D$110*(((Inputs!$G$5:$G$110="moeda")+(Inputs!$G$5:$G$110="acoes"))*Inputs!$B$1+((Inputs!$G$5:$G$110&lt;&gt;"moeda")*(Inputs!$G$5:$G$110&lt;&gt;"acoes")))*INDEX(Inputs!$K$5:$AJ$110,0,MATCH(AE$2,Inputs!$K$4:$AJ$4,0)))+SUMPRODUCT((Inputs!$E$5:$E$110=$B29)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29" s="6" t="e">
        <f>IF(ISNA(MATCH(AF$2,Inputs!$K$4:$AJ$4,0)),NA(),IF(SUMPRODUCT((Inputs!$A$5:$A$110=$B29)*ISNUMBER(INDEX(Inputs!$K$5:$AJ$110,0,MATCH(AF$2,Inputs!$K$4:$AJ$4,0))))+SUMPRODUCT((Inputs!$C$5:$C$110=$B29)*ISNUMBER(INDEX(Inputs!$K$5:$AJ$110,0,MATCH(AF$2,Inputs!$K$4:$AJ$4,0))))+SUMPRODUCT((Inputs!$E$5:$E$110=$B29)*ISNUMBER(INDEX(Inputs!$K$5:$AJ$110,0,MATCH(AF$2,Inputs!$K$4:$AJ$4,0))))=0,NA(),SUMPRODUCT((Inputs!$A$5:$A$110=$B29)*Inputs!$B$5:$B$110*(((Inputs!$G$5:$G$110="moeda")+(Inputs!$G$5:$G$110="acoes"))*Inputs!$B$1+((Inputs!$G$5:$G$110&lt;&gt;"moeda")*(Inputs!$G$5:$G$110&lt;&gt;"acoes")))*INDEX(Inputs!$K$5:$AJ$110,0,MATCH(AF$2,Inputs!$K$4:$AJ$4,0)))+SUMPRODUCT((Inputs!$C$5:$C$110=$B29)*Inputs!$D$5:$D$110*(((Inputs!$G$5:$G$110="moeda")+(Inputs!$G$5:$G$110="acoes"))*Inputs!$B$1+((Inputs!$G$5:$G$110&lt;&gt;"moeda")*(Inputs!$G$5:$G$110&lt;&gt;"acoes")))*INDEX(Inputs!$K$5:$AJ$110,0,MATCH(AF$2,Inputs!$K$4:$AJ$4,0)))+SUMPRODUCT((Inputs!$E$5:$E$110=$B29)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29" s="3" t="e">
        <f>AF29</f>
        <v>#N/A</v>
      </c>
      <c r="AH29" s="6">
        <f>IF(ISNA(MATCH(AH$2,Inputs!$K$4:$AJ$4,0)),NA(),IF(SUMPRODUCT((Inputs!$A$5:$A$110=$B29)*ISNUMBER(INDEX(Inputs!$K$5:$AJ$110,0,MATCH(AH$2,Inputs!$K$4:$AJ$4,0))))+SUMPRODUCT((Inputs!$C$5:$C$110=$B29)*ISNUMBER(INDEX(Inputs!$K$5:$AJ$110,0,MATCH(AH$2,Inputs!$K$4:$AJ$4,0))))+SUMPRODUCT((Inputs!$E$5:$E$110=$B29)*ISNUMBER(INDEX(Inputs!$K$5:$AJ$110,0,MATCH(AH$2,Inputs!$K$4:$AJ$4,0))))=0,NA(),SUMPRODUCT((Inputs!$A$5:$A$110=$B29)*Inputs!$B$5:$B$110*(((Inputs!$G$5:$G$110="moeda")+(Inputs!$G$5:$G$110="acoes"))*Inputs!$B$1+((Inputs!$G$5:$G$110&lt;&gt;"moeda")*(Inputs!$G$5:$G$110&lt;&gt;"acoes")))*INDEX(Inputs!$K$5:$AJ$110,0,MATCH(AH$2,Inputs!$K$4:$AJ$4,0)))+SUMPRODUCT((Inputs!$C$5:$C$110=$B29)*Inputs!$D$5:$D$110*(((Inputs!$G$5:$G$110="moeda")+(Inputs!$G$5:$G$110="acoes"))*Inputs!$B$1+((Inputs!$G$5:$G$110&lt;&gt;"moeda")*(Inputs!$G$5:$G$110&lt;&gt;"acoes")))*INDEX(Inputs!$K$5:$AJ$110,0,MATCH(AH$2,Inputs!$K$4:$AJ$4,0)))+SUMPRODUCT((Inputs!$E$5:$E$110=$B29)*Inputs!$F$5:$F$110*(((Inputs!$G$5:$G$110="moeda")+(Inputs!$G$5:$G$110="acoes"))*Inputs!$B$1+((Inputs!$G$5:$G$110&lt;&gt;"moeda")*(Inputs!$G$5:$G$110&lt;&gt;"acoes")))*INDEX(Inputs!$K$5:$AJ$110,0,MATCH(AH$2,Inputs!$K$4:$AJ$4,0)))))</f>
        <v>2022</v>
      </c>
      <c r="AI29" s="6">
        <f>IF(ISNA(MATCH(AI$2,Inputs!$K$4:$AJ$4,0)),NA(),IF(SUMPRODUCT((Inputs!$A$5:$A$110=$B29)*ISNUMBER(INDEX(Inputs!$K$5:$AJ$110,0,MATCH(AI$2,Inputs!$K$4:$AJ$4,0))))+SUMPRODUCT((Inputs!$C$5:$C$110=$B29)*ISNUMBER(INDEX(Inputs!$K$5:$AJ$110,0,MATCH(AI$2,Inputs!$K$4:$AJ$4,0))))+SUMPRODUCT((Inputs!$E$5:$E$110=$B29)*ISNUMBER(INDEX(Inputs!$K$5:$AJ$110,0,MATCH(AI$2,Inputs!$K$4:$AJ$4,0))))=0,NA(),SUMPRODUCT((Inputs!$A$5:$A$110=$B29)*Inputs!$B$5:$B$110*(((Inputs!$G$5:$G$110="moeda")+(Inputs!$G$5:$G$110="acoes"))*Inputs!$B$1+((Inputs!$G$5:$G$110&lt;&gt;"moeda")*(Inputs!$G$5:$G$110&lt;&gt;"acoes")))*INDEX(Inputs!$K$5:$AJ$110,0,MATCH(AI$2,Inputs!$K$4:$AJ$4,0)))+SUMPRODUCT((Inputs!$C$5:$C$110=$B29)*Inputs!$D$5:$D$110*(((Inputs!$G$5:$G$110="moeda")+(Inputs!$G$5:$G$110="acoes"))*Inputs!$B$1+((Inputs!$G$5:$G$110&lt;&gt;"moeda")*(Inputs!$G$5:$G$110&lt;&gt;"acoes")))*INDEX(Inputs!$K$5:$AJ$110,0,MATCH(AI$2,Inputs!$K$4:$AJ$4,0)))+SUMPRODUCT((Inputs!$E$5:$E$110=$B29)*Inputs!$F$5:$F$110*(((Inputs!$G$5:$G$110="moeda")+(Inputs!$G$5:$G$110="acoes"))*Inputs!$B$1+((Inputs!$G$5:$G$110&lt;&gt;"moeda")*(Inputs!$G$5:$G$110&lt;&gt;"acoes")))*INDEX(Inputs!$K$5:$AJ$110,0,MATCH(AI$2,Inputs!$K$4:$AJ$4,0)))))</f>
        <v>2488</v>
      </c>
      <c r="AJ29" s="6">
        <f>IF(ISNA(MATCH(AJ$2,Inputs!$K$4:$AJ$4,0)),NA(),IF(SUMPRODUCT((Inputs!$A$5:$A$110=$B29)*ISNUMBER(INDEX(Inputs!$K$5:$AJ$110,0,MATCH(AJ$2,Inputs!$K$4:$AJ$4,0))))+SUMPRODUCT((Inputs!$C$5:$C$110=$B29)*ISNUMBER(INDEX(Inputs!$K$5:$AJ$110,0,MATCH(AJ$2,Inputs!$K$4:$AJ$4,0))))+SUMPRODUCT((Inputs!$E$5:$E$110=$B29)*ISNUMBER(INDEX(Inputs!$K$5:$AJ$110,0,MATCH(AJ$2,Inputs!$K$4:$AJ$4,0))))=0,NA(),SUMPRODUCT((Inputs!$A$5:$A$110=$B29)*Inputs!$B$5:$B$110*(((Inputs!$G$5:$G$110="moeda")+(Inputs!$G$5:$G$110="acoes"))*Inputs!$B$1+((Inputs!$G$5:$G$110&lt;&gt;"moeda")*(Inputs!$G$5:$G$110&lt;&gt;"acoes")))*INDEX(Inputs!$K$5:$AJ$110,0,MATCH(AJ$2,Inputs!$K$4:$AJ$4,0)))+SUMPRODUCT((Inputs!$C$5:$C$110=$B29)*Inputs!$D$5:$D$110*(((Inputs!$G$5:$G$110="moeda")+(Inputs!$G$5:$G$110="acoes"))*Inputs!$B$1+((Inputs!$G$5:$G$110&lt;&gt;"moeda")*(Inputs!$G$5:$G$110&lt;&gt;"acoes")))*INDEX(Inputs!$K$5:$AJ$110,0,MATCH(AJ$2,Inputs!$K$4:$AJ$4,0)))+SUMPRODUCT((Inputs!$E$5:$E$110=$B29)*Inputs!$F$5:$F$110*(((Inputs!$G$5:$G$110="moeda")+(Inputs!$G$5:$G$110="acoes"))*Inputs!$B$1+((Inputs!$G$5:$G$110&lt;&gt;"moeda")*(Inputs!$G$5:$G$110&lt;&gt;"acoes")))*INDEX(Inputs!$K$5:$AJ$110,0,MATCH(AJ$2,Inputs!$K$4:$AJ$4,0)))))</f>
        <v>2818</v>
      </c>
      <c r="AK29" s="6">
        <f>IF(ISNA(MATCH(AK$2,Inputs!$K$4:$AJ$4,0)),NA(),IF(SUMPRODUCT((Inputs!$A$5:$A$110=$B29)*ISNUMBER(INDEX(Inputs!$K$5:$AJ$110,0,MATCH(AK$2,Inputs!$K$4:$AJ$4,0))))+SUMPRODUCT((Inputs!$C$5:$C$110=$B29)*ISNUMBER(INDEX(Inputs!$K$5:$AJ$110,0,MATCH(AK$2,Inputs!$K$4:$AJ$4,0))))+SUMPRODUCT((Inputs!$E$5:$E$110=$B29)*ISNUMBER(INDEX(Inputs!$K$5:$AJ$110,0,MATCH(AK$2,Inputs!$K$4:$AJ$4,0))))=0,NA(),SUMPRODUCT((Inputs!$A$5:$A$110=$B29)*Inputs!$B$5:$B$110*(((Inputs!$G$5:$G$110="moeda")+(Inputs!$G$5:$G$110="acoes"))*Inputs!$B$1+((Inputs!$G$5:$G$110&lt;&gt;"moeda")*(Inputs!$G$5:$G$110&lt;&gt;"acoes")))*INDEX(Inputs!$K$5:$AJ$110,0,MATCH(AK$2,Inputs!$K$4:$AJ$4,0)))+SUMPRODUCT((Inputs!$C$5:$C$110=$B29)*Inputs!$D$5:$D$110*(((Inputs!$G$5:$G$110="moeda")+(Inputs!$G$5:$G$110="acoes"))*Inputs!$B$1+((Inputs!$G$5:$G$110&lt;&gt;"moeda")*(Inputs!$G$5:$G$110&lt;&gt;"acoes")))*INDEX(Inputs!$K$5:$AJ$110,0,MATCH(AK$2,Inputs!$K$4:$AJ$4,0)))+SUMPRODUCT((Inputs!$E$5:$E$110=$B29)*Inputs!$F$5:$F$110*(((Inputs!$G$5:$G$110="moeda")+(Inputs!$G$5:$G$110="acoes"))*Inputs!$B$1+((Inputs!$G$5:$G$110&lt;&gt;"moeda")*(Inputs!$G$5:$G$110&lt;&gt;"acoes")))*INDEX(Inputs!$K$5:$AJ$110,0,MATCH(AK$2,Inputs!$K$4:$AJ$4,0)))))</f>
        <v>3163</v>
      </c>
      <c r="AL29" s="3">
        <f>AK29</f>
        <v>3163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$110=$B30)*ISNUMBER(INDEX(Inputs!$K$5:$AJ$110,0,MATCH(D$2,Inputs!$K$4:$AJ$4,0))))+SUMPRODUCT((Inputs!$C$5:$C$110=$B30)*ISNUMBER(INDEX(Inputs!$K$5:$AJ$110,0,MATCH(D$2,Inputs!$K$4:$AJ$4,0))))+SUMPRODUCT((Inputs!$E$5:$E$110=$B30)*ISNUMBER(INDEX(Inputs!$K$5:$AJ$110,0,MATCH(D$2,Inputs!$K$4:$AJ$4,0))))=0,NA(),SUMPRODUCT((Inputs!$A$5:$A$110=$B30)*Inputs!$B$5:$B$110*(((Inputs!$G$5:$G$110="moeda")+(Inputs!$G$5:$G$110="acoes"))*Inputs!$B$1+((Inputs!$G$5:$G$110&lt;&gt;"moeda")*(Inputs!$G$5:$G$110&lt;&gt;"acoes")))*INDEX(Inputs!$K$5:$AJ$110,0,MATCH(D$2,Inputs!$K$4:$AJ$4,0)))+SUMPRODUCT((Inputs!$C$5:$C$110=$B30)*Inputs!$D$5:$D$110*(((Inputs!$G$5:$G$110="moeda")+(Inputs!$G$5:$G$110="acoes"))*Inputs!$B$1+((Inputs!$G$5:$G$110&lt;&gt;"moeda")*(Inputs!$G$5:$G$110&lt;&gt;"acoes")))*INDEX(Inputs!$K$5:$AJ$110,0,MATCH(D$2,Inputs!$K$4:$AJ$4,0)))+SUMPRODUCT((Inputs!$E$5:$E$110=$B30)*Inputs!$F$5:$F$110*(((Inputs!$G$5:$G$110="moeda")+(Inputs!$G$5:$G$110="acoes"))*Inputs!$B$1+((Inputs!$G$5:$G$110&lt;&gt;"moeda")*(Inputs!$G$5:$G$110&lt;&gt;"acoes")))*INDEX(Inputs!$K$5:$AJ$110,0,MATCH(D$2,Inputs!$K$4:$AJ$4,0)))))</f>
        <v>0</v>
      </c>
      <c r="E30" s="6">
        <f>IF(ISNA(MATCH(E$2,Inputs!$K$4:$AJ$4,0)),NA(),IF(SUMPRODUCT((Inputs!$A$5:$A$110=$B30)*ISNUMBER(INDEX(Inputs!$K$5:$AJ$110,0,MATCH(E$2,Inputs!$K$4:$AJ$4,0))))+SUMPRODUCT((Inputs!$C$5:$C$110=$B30)*ISNUMBER(INDEX(Inputs!$K$5:$AJ$110,0,MATCH(E$2,Inputs!$K$4:$AJ$4,0))))+SUMPRODUCT((Inputs!$E$5:$E$110=$B30)*ISNUMBER(INDEX(Inputs!$K$5:$AJ$110,0,MATCH(E$2,Inputs!$K$4:$AJ$4,0))))=0,NA(),SUMPRODUCT((Inputs!$A$5:$A$110=$B30)*Inputs!$B$5:$B$110*(((Inputs!$G$5:$G$110="moeda")+(Inputs!$G$5:$G$110="acoes"))*Inputs!$B$1+((Inputs!$G$5:$G$110&lt;&gt;"moeda")*(Inputs!$G$5:$G$110&lt;&gt;"acoes")))*INDEX(Inputs!$K$5:$AJ$110,0,MATCH(E$2,Inputs!$K$4:$AJ$4,0)))+SUMPRODUCT((Inputs!$C$5:$C$110=$B30)*Inputs!$D$5:$D$110*(((Inputs!$G$5:$G$110="moeda")+(Inputs!$G$5:$G$110="acoes"))*Inputs!$B$1+((Inputs!$G$5:$G$110&lt;&gt;"moeda")*(Inputs!$G$5:$G$110&lt;&gt;"acoes")))*INDEX(Inputs!$K$5:$AJ$110,0,MATCH(E$2,Inputs!$K$4:$AJ$4,0)))+SUMPRODUCT((Inputs!$E$5:$E$110=$B30)*Inputs!$F$5:$F$110*(((Inputs!$G$5:$G$110="moeda")+(Inputs!$G$5:$G$110="acoes"))*Inputs!$B$1+((Inputs!$G$5:$G$110&lt;&gt;"moeda")*(Inputs!$G$5:$G$110&lt;&gt;"acoes")))*INDEX(Inputs!$K$5:$AJ$110,0,MATCH(E$2,Inputs!$K$4:$AJ$4,0)))))</f>
        <v>0</v>
      </c>
      <c r="F30" s="6">
        <f>IF(ISNA(MATCH(F$2,Inputs!$K$4:$AJ$4,0)),NA(),IF(SUMPRODUCT((Inputs!$A$5:$A$110=$B30)*ISNUMBER(INDEX(Inputs!$K$5:$AJ$110,0,MATCH(F$2,Inputs!$K$4:$AJ$4,0))))+SUMPRODUCT((Inputs!$C$5:$C$110=$B30)*ISNUMBER(INDEX(Inputs!$K$5:$AJ$110,0,MATCH(F$2,Inputs!$K$4:$AJ$4,0))))+SUMPRODUCT((Inputs!$E$5:$E$110=$B30)*ISNUMBER(INDEX(Inputs!$K$5:$AJ$110,0,MATCH(F$2,Inputs!$K$4:$AJ$4,0))))=0,NA(),SUMPRODUCT((Inputs!$A$5:$A$110=$B30)*Inputs!$B$5:$B$110*(((Inputs!$G$5:$G$110="moeda")+(Inputs!$G$5:$G$110="acoes"))*Inputs!$B$1+((Inputs!$G$5:$G$110&lt;&gt;"moeda")*(Inputs!$G$5:$G$110&lt;&gt;"acoes")))*INDEX(Inputs!$K$5:$AJ$110,0,MATCH(F$2,Inputs!$K$4:$AJ$4,0)))+SUMPRODUCT((Inputs!$C$5:$C$110=$B30)*Inputs!$D$5:$D$110*(((Inputs!$G$5:$G$110="moeda")+(Inputs!$G$5:$G$110="acoes"))*Inputs!$B$1+((Inputs!$G$5:$G$110&lt;&gt;"moeda")*(Inputs!$G$5:$G$110&lt;&gt;"acoes")))*INDEX(Inputs!$K$5:$AJ$110,0,MATCH(F$2,Inputs!$K$4:$AJ$4,0)))+SUMPRODUCT((Inputs!$E$5:$E$110=$B30)*Inputs!$F$5:$F$110*(((Inputs!$G$5:$G$110="moeda")+(Inputs!$G$5:$G$110="acoes"))*Inputs!$B$1+((Inputs!$G$5:$G$110&lt;&gt;"moeda")*(Inputs!$G$5:$G$110&lt;&gt;"acoes")))*INDEX(Inputs!$K$5:$AJ$110,0,MATCH(F$2,Inputs!$K$4:$AJ$4,0)))))</f>
        <v>0</v>
      </c>
      <c r="G30" s="6">
        <f>IF(ISNA(MATCH(G$2,Inputs!$K$4:$AJ$4,0)),NA(),IF(SUMPRODUCT((Inputs!$A$5:$A$110=$B30)*ISNUMBER(INDEX(Inputs!$K$5:$AJ$110,0,MATCH(G$2,Inputs!$K$4:$AJ$4,0))))+SUMPRODUCT((Inputs!$C$5:$C$110=$B30)*ISNUMBER(INDEX(Inputs!$K$5:$AJ$110,0,MATCH(G$2,Inputs!$K$4:$AJ$4,0))))+SUMPRODUCT((Inputs!$E$5:$E$110=$B30)*ISNUMBER(INDEX(Inputs!$K$5:$AJ$110,0,MATCH(G$2,Inputs!$K$4:$AJ$4,0))))=0,NA(),SUMPRODUCT((Inputs!$A$5:$A$110=$B30)*Inputs!$B$5:$B$110*(((Inputs!$G$5:$G$110="moeda")+(Inputs!$G$5:$G$110="acoes"))*Inputs!$B$1+((Inputs!$G$5:$G$110&lt;&gt;"moeda")*(Inputs!$G$5:$G$110&lt;&gt;"acoes")))*INDEX(Inputs!$K$5:$AJ$110,0,MATCH(G$2,Inputs!$K$4:$AJ$4,0)))+SUMPRODUCT((Inputs!$C$5:$C$110=$B30)*Inputs!$D$5:$D$110*(((Inputs!$G$5:$G$110="moeda")+(Inputs!$G$5:$G$110="acoes"))*Inputs!$B$1+((Inputs!$G$5:$G$110&lt;&gt;"moeda")*(Inputs!$G$5:$G$110&lt;&gt;"acoes")))*INDEX(Inputs!$K$5:$AJ$110,0,MATCH(G$2,Inputs!$K$4:$AJ$4,0)))+SUMPRODUCT((Inputs!$E$5:$E$110=$B30)*Inputs!$F$5:$F$110*(((Inputs!$G$5:$G$110="moeda")+(Inputs!$G$5:$G$110="acoes"))*Inputs!$B$1+((Inputs!$G$5:$G$110&lt;&gt;"moeda")*(Inputs!$G$5:$G$110&lt;&gt;"acoes")))*INDEX(Inputs!$K$5:$AJ$110,0,MATCH(G$2,Inputs!$K$4:$AJ$4,0)))))</f>
        <v>0</v>
      </c>
      <c r="H30" s="3">
        <f>G30</f>
        <v>0</v>
      </c>
      <c r="I30" s="6">
        <f>IF(ISNA(MATCH(I$2,Inputs!$K$4:$AJ$4,0)),NA(),IF(SUMPRODUCT((Inputs!$A$5:$A$110=$B30)*ISNUMBER(INDEX(Inputs!$K$5:$AJ$110,0,MATCH(I$2,Inputs!$K$4:$AJ$4,0))))+SUMPRODUCT((Inputs!$C$5:$C$110=$B30)*ISNUMBER(INDEX(Inputs!$K$5:$AJ$110,0,MATCH(I$2,Inputs!$K$4:$AJ$4,0))))+SUMPRODUCT((Inputs!$E$5:$E$110=$B30)*ISNUMBER(INDEX(Inputs!$K$5:$AJ$110,0,MATCH(I$2,Inputs!$K$4:$AJ$4,0))))=0,NA(),SUMPRODUCT((Inputs!$A$5:$A$110=$B30)*Inputs!$B$5:$B$110*(((Inputs!$G$5:$G$110="moeda")+(Inputs!$G$5:$G$110="acoes"))*Inputs!$B$1+((Inputs!$G$5:$G$110&lt;&gt;"moeda")*(Inputs!$G$5:$G$110&lt;&gt;"acoes")))*INDEX(Inputs!$K$5:$AJ$110,0,MATCH(I$2,Inputs!$K$4:$AJ$4,0)))+SUMPRODUCT((Inputs!$C$5:$C$110=$B30)*Inputs!$D$5:$D$110*(((Inputs!$G$5:$G$110="moeda")+(Inputs!$G$5:$G$110="acoes"))*Inputs!$B$1+((Inputs!$G$5:$G$110&lt;&gt;"moeda")*(Inputs!$G$5:$G$110&lt;&gt;"acoes")))*INDEX(Inputs!$K$5:$AJ$110,0,MATCH(I$2,Inputs!$K$4:$AJ$4,0)))+SUMPRODUCT((Inputs!$E$5:$E$110=$B30)*Inputs!$F$5:$F$110*(((Inputs!$G$5:$G$110="moeda")+(Inputs!$G$5:$G$110="acoes"))*Inputs!$B$1+((Inputs!$G$5:$G$110&lt;&gt;"moeda")*(Inputs!$G$5:$G$110&lt;&gt;"acoes")))*INDEX(Inputs!$K$5:$AJ$110,0,MATCH(I$2,Inputs!$K$4:$AJ$4,0)))))</f>
        <v>0</v>
      </c>
      <c r="J30" s="6">
        <f>IF(ISNA(MATCH(J$2,Inputs!$K$4:$AJ$4,0)),NA(),IF(SUMPRODUCT((Inputs!$A$5:$A$110=$B30)*ISNUMBER(INDEX(Inputs!$K$5:$AJ$110,0,MATCH(J$2,Inputs!$K$4:$AJ$4,0))))+SUMPRODUCT((Inputs!$C$5:$C$110=$B30)*ISNUMBER(INDEX(Inputs!$K$5:$AJ$110,0,MATCH(J$2,Inputs!$K$4:$AJ$4,0))))+SUMPRODUCT((Inputs!$E$5:$E$110=$B30)*ISNUMBER(INDEX(Inputs!$K$5:$AJ$110,0,MATCH(J$2,Inputs!$K$4:$AJ$4,0))))=0,NA(),SUMPRODUCT((Inputs!$A$5:$A$110=$B30)*Inputs!$B$5:$B$110*(((Inputs!$G$5:$G$110="moeda")+(Inputs!$G$5:$G$110="acoes"))*Inputs!$B$1+((Inputs!$G$5:$G$110&lt;&gt;"moeda")*(Inputs!$G$5:$G$110&lt;&gt;"acoes")))*INDEX(Inputs!$K$5:$AJ$110,0,MATCH(J$2,Inputs!$K$4:$AJ$4,0)))+SUMPRODUCT((Inputs!$C$5:$C$110=$B30)*Inputs!$D$5:$D$110*(((Inputs!$G$5:$G$110="moeda")+(Inputs!$G$5:$G$110="acoes"))*Inputs!$B$1+((Inputs!$G$5:$G$110&lt;&gt;"moeda")*(Inputs!$G$5:$G$110&lt;&gt;"acoes")))*INDEX(Inputs!$K$5:$AJ$110,0,MATCH(J$2,Inputs!$K$4:$AJ$4,0)))+SUMPRODUCT((Inputs!$E$5:$E$110=$B30)*Inputs!$F$5:$F$110*(((Inputs!$G$5:$G$110="moeda")+(Inputs!$G$5:$G$110="acoes"))*Inputs!$B$1+((Inputs!$G$5:$G$110&lt;&gt;"moeda")*(Inputs!$G$5:$G$110&lt;&gt;"acoes")))*INDEX(Inputs!$K$5:$AJ$110,0,MATCH(J$2,Inputs!$K$4:$AJ$4,0)))))</f>
        <v>0</v>
      </c>
      <c r="K30" s="6">
        <f>IF(ISNA(MATCH(K$2,Inputs!$K$4:$AJ$4,0)),NA(),IF(SUMPRODUCT((Inputs!$A$5:$A$110=$B30)*ISNUMBER(INDEX(Inputs!$K$5:$AJ$110,0,MATCH(K$2,Inputs!$K$4:$AJ$4,0))))+SUMPRODUCT((Inputs!$C$5:$C$110=$B30)*ISNUMBER(INDEX(Inputs!$K$5:$AJ$110,0,MATCH(K$2,Inputs!$K$4:$AJ$4,0))))+SUMPRODUCT((Inputs!$E$5:$E$110=$B30)*ISNUMBER(INDEX(Inputs!$K$5:$AJ$110,0,MATCH(K$2,Inputs!$K$4:$AJ$4,0))))=0,NA(),SUMPRODUCT((Inputs!$A$5:$A$110=$B30)*Inputs!$B$5:$B$110*(((Inputs!$G$5:$G$110="moeda")+(Inputs!$G$5:$G$110="acoes"))*Inputs!$B$1+((Inputs!$G$5:$G$110&lt;&gt;"moeda")*(Inputs!$G$5:$G$110&lt;&gt;"acoes")))*INDEX(Inputs!$K$5:$AJ$110,0,MATCH(K$2,Inputs!$K$4:$AJ$4,0)))+SUMPRODUCT((Inputs!$C$5:$C$110=$B30)*Inputs!$D$5:$D$110*(((Inputs!$G$5:$G$110="moeda")+(Inputs!$G$5:$G$110="acoes"))*Inputs!$B$1+((Inputs!$G$5:$G$110&lt;&gt;"moeda")*(Inputs!$G$5:$G$110&lt;&gt;"acoes")))*INDEX(Inputs!$K$5:$AJ$110,0,MATCH(K$2,Inputs!$K$4:$AJ$4,0)))+SUMPRODUCT((Inputs!$E$5:$E$110=$B30)*Inputs!$F$5:$F$110*(((Inputs!$G$5:$G$110="moeda")+(Inputs!$G$5:$G$110="acoes"))*Inputs!$B$1+((Inputs!$G$5:$G$110&lt;&gt;"moeda")*(Inputs!$G$5:$G$110&lt;&gt;"acoes")))*INDEX(Inputs!$K$5:$AJ$110,0,MATCH(K$2,Inputs!$K$4:$AJ$4,0)))))</f>
        <v>0</v>
      </c>
      <c r="L30" s="6">
        <f>IF(ISNA(MATCH(L$2,Inputs!$K$4:$AJ$4,0)),NA(),IF(SUMPRODUCT((Inputs!$A$5:$A$110=$B30)*ISNUMBER(INDEX(Inputs!$K$5:$AJ$110,0,MATCH(L$2,Inputs!$K$4:$AJ$4,0))))+SUMPRODUCT((Inputs!$C$5:$C$110=$B30)*ISNUMBER(INDEX(Inputs!$K$5:$AJ$110,0,MATCH(L$2,Inputs!$K$4:$AJ$4,0))))+SUMPRODUCT((Inputs!$E$5:$E$110=$B30)*ISNUMBER(INDEX(Inputs!$K$5:$AJ$110,0,MATCH(L$2,Inputs!$K$4:$AJ$4,0))))=0,NA(),SUMPRODUCT((Inputs!$A$5:$A$110=$B30)*Inputs!$B$5:$B$110*(((Inputs!$G$5:$G$110="moeda")+(Inputs!$G$5:$G$110="acoes"))*Inputs!$B$1+((Inputs!$G$5:$G$110&lt;&gt;"moeda")*(Inputs!$G$5:$G$110&lt;&gt;"acoes")))*INDEX(Inputs!$K$5:$AJ$110,0,MATCH(L$2,Inputs!$K$4:$AJ$4,0)))+SUMPRODUCT((Inputs!$C$5:$C$110=$B30)*Inputs!$D$5:$D$110*(((Inputs!$G$5:$G$110="moeda")+(Inputs!$G$5:$G$110="acoes"))*Inputs!$B$1+((Inputs!$G$5:$G$110&lt;&gt;"moeda")*(Inputs!$G$5:$G$110&lt;&gt;"acoes")))*INDEX(Inputs!$K$5:$AJ$110,0,MATCH(L$2,Inputs!$K$4:$AJ$4,0)))+SUMPRODUCT((Inputs!$E$5:$E$110=$B30)*Inputs!$F$5:$F$110*(((Inputs!$G$5:$G$110="moeda")+(Inputs!$G$5:$G$110="acoes"))*Inputs!$B$1+((Inputs!$G$5:$G$110&lt;&gt;"moeda")*(Inputs!$G$5:$G$110&lt;&gt;"acoes")))*INDEX(Inputs!$K$5:$AJ$110,0,MATCH(L$2,Inputs!$K$4:$AJ$4,0)))))</f>
        <v>0</v>
      </c>
      <c r="M30" s="3">
        <f>L30</f>
        <v>0</v>
      </c>
      <c r="N30" s="6">
        <f>IF(ISNA(MATCH(N$2,Inputs!$K$4:$AJ$4,0)),NA(),IF(SUMPRODUCT((Inputs!$A$5:$A$110=$B30)*ISNUMBER(INDEX(Inputs!$K$5:$AJ$110,0,MATCH(N$2,Inputs!$K$4:$AJ$4,0))))+SUMPRODUCT((Inputs!$C$5:$C$110=$B30)*ISNUMBER(INDEX(Inputs!$K$5:$AJ$110,0,MATCH(N$2,Inputs!$K$4:$AJ$4,0))))+SUMPRODUCT((Inputs!$E$5:$E$110=$B30)*ISNUMBER(INDEX(Inputs!$K$5:$AJ$110,0,MATCH(N$2,Inputs!$K$4:$AJ$4,0))))=0,NA(),SUMPRODUCT((Inputs!$A$5:$A$110=$B30)*Inputs!$B$5:$B$110*(((Inputs!$G$5:$G$110="moeda")+(Inputs!$G$5:$G$110="acoes"))*Inputs!$B$1+((Inputs!$G$5:$G$110&lt;&gt;"moeda")*(Inputs!$G$5:$G$110&lt;&gt;"acoes")))*INDEX(Inputs!$K$5:$AJ$110,0,MATCH(N$2,Inputs!$K$4:$AJ$4,0)))+SUMPRODUCT((Inputs!$C$5:$C$110=$B30)*Inputs!$D$5:$D$110*(((Inputs!$G$5:$G$110="moeda")+(Inputs!$G$5:$G$110="acoes"))*Inputs!$B$1+((Inputs!$G$5:$G$110&lt;&gt;"moeda")*(Inputs!$G$5:$G$110&lt;&gt;"acoes")))*INDEX(Inputs!$K$5:$AJ$110,0,MATCH(N$2,Inputs!$K$4:$AJ$4,0)))+SUMPRODUCT((Inputs!$E$5:$E$110=$B30)*Inputs!$F$5:$F$110*(((Inputs!$G$5:$G$110="moeda")+(Inputs!$G$5:$G$110="acoes"))*Inputs!$B$1+((Inputs!$G$5:$G$110&lt;&gt;"moeda")*(Inputs!$G$5:$G$110&lt;&gt;"acoes")))*INDEX(Inputs!$K$5:$AJ$110,0,MATCH(N$2,Inputs!$K$4:$AJ$4,0)))))</f>
        <v>0</v>
      </c>
      <c r="O30" s="6">
        <f>IF(ISNA(MATCH(O$2,Inputs!$K$4:$AJ$4,0)),NA(),IF(SUMPRODUCT((Inputs!$A$5:$A$110=$B30)*ISNUMBER(INDEX(Inputs!$K$5:$AJ$110,0,MATCH(O$2,Inputs!$K$4:$AJ$4,0))))+SUMPRODUCT((Inputs!$C$5:$C$110=$B30)*ISNUMBER(INDEX(Inputs!$K$5:$AJ$110,0,MATCH(O$2,Inputs!$K$4:$AJ$4,0))))+SUMPRODUCT((Inputs!$E$5:$E$110=$B30)*ISNUMBER(INDEX(Inputs!$K$5:$AJ$110,0,MATCH(O$2,Inputs!$K$4:$AJ$4,0))))=0,NA(),SUMPRODUCT((Inputs!$A$5:$A$110=$B30)*Inputs!$B$5:$B$110*(((Inputs!$G$5:$G$110="moeda")+(Inputs!$G$5:$G$110="acoes"))*Inputs!$B$1+((Inputs!$G$5:$G$110&lt;&gt;"moeda")*(Inputs!$G$5:$G$110&lt;&gt;"acoes")))*INDEX(Inputs!$K$5:$AJ$110,0,MATCH(O$2,Inputs!$K$4:$AJ$4,0)))+SUMPRODUCT((Inputs!$C$5:$C$110=$B30)*Inputs!$D$5:$D$110*(((Inputs!$G$5:$G$110="moeda")+(Inputs!$G$5:$G$110="acoes"))*Inputs!$B$1+((Inputs!$G$5:$G$110&lt;&gt;"moeda")*(Inputs!$G$5:$G$110&lt;&gt;"acoes")))*INDEX(Inputs!$K$5:$AJ$110,0,MATCH(O$2,Inputs!$K$4:$AJ$4,0)))+SUMPRODUCT((Inputs!$E$5:$E$110=$B30)*Inputs!$F$5:$F$110*(((Inputs!$G$5:$G$110="moeda")+(Inputs!$G$5:$G$110="acoes"))*Inputs!$B$1+((Inputs!$G$5:$G$110&lt;&gt;"moeda")*(Inputs!$G$5:$G$110&lt;&gt;"acoes")))*INDEX(Inputs!$K$5:$AJ$110,0,MATCH(O$2,Inputs!$K$4:$AJ$4,0)))))</f>
        <v>0</v>
      </c>
      <c r="P30" s="6">
        <f>IF(ISNA(MATCH(P$2,Inputs!$K$4:$AJ$4,0)),NA(),IF(SUMPRODUCT((Inputs!$A$5:$A$110=$B30)*ISNUMBER(INDEX(Inputs!$K$5:$AJ$110,0,MATCH(P$2,Inputs!$K$4:$AJ$4,0))))+SUMPRODUCT((Inputs!$C$5:$C$110=$B30)*ISNUMBER(INDEX(Inputs!$K$5:$AJ$110,0,MATCH(P$2,Inputs!$K$4:$AJ$4,0))))+SUMPRODUCT((Inputs!$E$5:$E$110=$B30)*ISNUMBER(INDEX(Inputs!$K$5:$AJ$110,0,MATCH(P$2,Inputs!$K$4:$AJ$4,0))))=0,NA(),SUMPRODUCT((Inputs!$A$5:$A$110=$B30)*Inputs!$B$5:$B$110*(((Inputs!$G$5:$G$110="moeda")+(Inputs!$G$5:$G$110="acoes"))*Inputs!$B$1+((Inputs!$G$5:$G$110&lt;&gt;"moeda")*(Inputs!$G$5:$G$110&lt;&gt;"acoes")))*INDEX(Inputs!$K$5:$AJ$110,0,MATCH(P$2,Inputs!$K$4:$AJ$4,0)))+SUMPRODUCT((Inputs!$C$5:$C$110=$B30)*Inputs!$D$5:$D$110*(((Inputs!$G$5:$G$110="moeda")+(Inputs!$G$5:$G$110="acoes"))*Inputs!$B$1+((Inputs!$G$5:$G$110&lt;&gt;"moeda")*(Inputs!$G$5:$G$110&lt;&gt;"acoes")))*INDEX(Inputs!$K$5:$AJ$110,0,MATCH(P$2,Inputs!$K$4:$AJ$4,0)))+SUMPRODUCT((Inputs!$E$5:$E$110=$B30)*Inputs!$F$5:$F$110*(((Inputs!$G$5:$G$110="moeda")+(Inputs!$G$5:$G$110="acoes"))*Inputs!$B$1+((Inputs!$G$5:$G$110&lt;&gt;"moeda")*(Inputs!$G$5:$G$110&lt;&gt;"acoes")))*INDEX(Inputs!$K$5:$AJ$110,0,MATCH(P$2,Inputs!$K$4:$AJ$4,0)))))</f>
        <v>0</v>
      </c>
      <c r="Q30" s="6">
        <f>IF(ISNA(MATCH(Q$2,Inputs!$K$4:$AJ$4,0)),NA(),IF(SUMPRODUCT((Inputs!$A$5:$A$110=$B30)*ISNUMBER(INDEX(Inputs!$K$5:$AJ$110,0,MATCH(Q$2,Inputs!$K$4:$AJ$4,0))))+SUMPRODUCT((Inputs!$C$5:$C$110=$B30)*ISNUMBER(INDEX(Inputs!$K$5:$AJ$110,0,MATCH(Q$2,Inputs!$K$4:$AJ$4,0))))+SUMPRODUCT((Inputs!$E$5:$E$110=$B30)*ISNUMBER(INDEX(Inputs!$K$5:$AJ$110,0,MATCH(Q$2,Inputs!$K$4:$AJ$4,0))))=0,NA(),SUMPRODUCT((Inputs!$A$5:$A$110=$B30)*Inputs!$B$5:$B$110*(((Inputs!$G$5:$G$110="moeda")+(Inputs!$G$5:$G$110="acoes"))*Inputs!$B$1+((Inputs!$G$5:$G$110&lt;&gt;"moeda")*(Inputs!$G$5:$G$110&lt;&gt;"acoes")))*INDEX(Inputs!$K$5:$AJ$110,0,MATCH(Q$2,Inputs!$K$4:$AJ$4,0)))+SUMPRODUCT((Inputs!$C$5:$C$110=$B30)*Inputs!$D$5:$D$110*(((Inputs!$G$5:$G$110="moeda")+(Inputs!$G$5:$G$110="acoes"))*Inputs!$B$1+((Inputs!$G$5:$G$110&lt;&gt;"moeda")*(Inputs!$G$5:$G$110&lt;&gt;"acoes")))*INDEX(Inputs!$K$5:$AJ$110,0,MATCH(Q$2,Inputs!$K$4:$AJ$4,0)))+SUMPRODUCT((Inputs!$E$5:$E$110=$B30)*Inputs!$F$5:$F$110*(((Inputs!$G$5:$G$110="moeda")+(Inputs!$G$5:$G$110="acoes"))*Inputs!$B$1+((Inputs!$G$5:$G$110&lt;&gt;"moeda")*(Inputs!$G$5:$G$110&lt;&gt;"acoes")))*INDEX(Inputs!$K$5:$AJ$110,0,MATCH(Q$2,Inputs!$K$4:$AJ$4,0)))))</f>
        <v>0</v>
      </c>
      <c r="R30" s="3">
        <f>Q30</f>
        <v>0</v>
      </c>
      <c r="S30" s="6">
        <f>IF(ISNA(MATCH(S$2,Inputs!$K$4:$AJ$4,0)),NA(),IF(SUMPRODUCT((Inputs!$A$5:$A$110=$B30)*ISNUMBER(INDEX(Inputs!$K$5:$AJ$110,0,MATCH(S$2,Inputs!$K$4:$AJ$4,0))))+SUMPRODUCT((Inputs!$C$5:$C$110=$B30)*ISNUMBER(INDEX(Inputs!$K$5:$AJ$110,0,MATCH(S$2,Inputs!$K$4:$AJ$4,0))))+SUMPRODUCT((Inputs!$E$5:$E$110=$B30)*ISNUMBER(INDEX(Inputs!$K$5:$AJ$110,0,MATCH(S$2,Inputs!$K$4:$AJ$4,0))))=0,NA(),SUMPRODUCT((Inputs!$A$5:$A$110=$B30)*Inputs!$B$5:$B$110*(((Inputs!$G$5:$G$110="moeda")+(Inputs!$G$5:$G$110="acoes"))*Inputs!$B$1+((Inputs!$G$5:$G$110&lt;&gt;"moeda")*(Inputs!$G$5:$G$110&lt;&gt;"acoes")))*INDEX(Inputs!$K$5:$AJ$110,0,MATCH(S$2,Inputs!$K$4:$AJ$4,0)))+SUMPRODUCT((Inputs!$C$5:$C$110=$B30)*Inputs!$D$5:$D$110*(((Inputs!$G$5:$G$110="moeda")+(Inputs!$G$5:$G$110="acoes"))*Inputs!$B$1+((Inputs!$G$5:$G$110&lt;&gt;"moeda")*(Inputs!$G$5:$G$110&lt;&gt;"acoes")))*INDEX(Inputs!$K$5:$AJ$110,0,MATCH(S$2,Inputs!$K$4:$AJ$4,0)))+SUMPRODUCT((Inputs!$E$5:$E$110=$B30)*Inputs!$F$5:$F$110*(((Inputs!$G$5:$G$110="moeda")+(Inputs!$G$5:$G$110="acoes"))*Inputs!$B$1+((Inputs!$G$5:$G$110&lt;&gt;"moeda")*(Inputs!$G$5:$G$110&lt;&gt;"acoes")))*INDEX(Inputs!$K$5:$AJ$110,0,MATCH(S$2,Inputs!$K$4:$AJ$4,0)))))</f>
        <v>0</v>
      </c>
      <c r="T30" s="6">
        <f>IF(ISNA(MATCH(T$2,Inputs!$K$4:$AJ$4,0)),NA(),IF(SUMPRODUCT((Inputs!$A$5:$A$110=$B30)*ISNUMBER(INDEX(Inputs!$K$5:$AJ$110,0,MATCH(T$2,Inputs!$K$4:$AJ$4,0))))+SUMPRODUCT((Inputs!$C$5:$C$110=$B30)*ISNUMBER(INDEX(Inputs!$K$5:$AJ$110,0,MATCH(T$2,Inputs!$K$4:$AJ$4,0))))+SUMPRODUCT((Inputs!$E$5:$E$110=$B30)*ISNUMBER(INDEX(Inputs!$K$5:$AJ$110,0,MATCH(T$2,Inputs!$K$4:$AJ$4,0))))=0,NA(),SUMPRODUCT((Inputs!$A$5:$A$110=$B30)*Inputs!$B$5:$B$110*(((Inputs!$G$5:$G$110="moeda")+(Inputs!$G$5:$G$110="acoes"))*Inputs!$B$1+((Inputs!$G$5:$G$110&lt;&gt;"moeda")*(Inputs!$G$5:$G$110&lt;&gt;"acoes")))*INDEX(Inputs!$K$5:$AJ$110,0,MATCH(T$2,Inputs!$K$4:$AJ$4,0)))+SUMPRODUCT((Inputs!$C$5:$C$110=$B30)*Inputs!$D$5:$D$110*(((Inputs!$G$5:$G$110="moeda")+(Inputs!$G$5:$G$110="acoes"))*Inputs!$B$1+((Inputs!$G$5:$G$110&lt;&gt;"moeda")*(Inputs!$G$5:$G$110&lt;&gt;"acoes")))*INDEX(Inputs!$K$5:$AJ$110,0,MATCH(T$2,Inputs!$K$4:$AJ$4,0)))+SUMPRODUCT((Inputs!$E$5:$E$110=$B30)*Inputs!$F$5:$F$110*(((Inputs!$G$5:$G$110="moeda")+(Inputs!$G$5:$G$110="acoes"))*Inputs!$B$1+((Inputs!$G$5:$G$110&lt;&gt;"moeda")*(Inputs!$G$5:$G$110&lt;&gt;"acoes")))*INDEX(Inputs!$K$5:$AJ$110,0,MATCH(T$2,Inputs!$K$4:$AJ$4,0)))))</f>
        <v>0</v>
      </c>
      <c r="U30" s="6">
        <f>IF(ISNA(MATCH(U$2,Inputs!$K$4:$AJ$4,0)),NA(),IF(SUMPRODUCT((Inputs!$A$5:$A$110=$B30)*ISNUMBER(INDEX(Inputs!$K$5:$AJ$110,0,MATCH(U$2,Inputs!$K$4:$AJ$4,0))))+SUMPRODUCT((Inputs!$C$5:$C$110=$B30)*ISNUMBER(INDEX(Inputs!$K$5:$AJ$110,0,MATCH(U$2,Inputs!$K$4:$AJ$4,0))))+SUMPRODUCT((Inputs!$E$5:$E$110=$B30)*ISNUMBER(INDEX(Inputs!$K$5:$AJ$110,0,MATCH(U$2,Inputs!$K$4:$AJ$4,0))))=0,NA(),SUMPRODUCT((Inputs!$A$5:$A$110=$B30)*Inputs!$B$5:$B$110*(((Inputs!$G$5:$G$110="moeda")+(Inputs!$G$5:$G$110="acoes"))*Inputs!$B$1+((Inputs!$G$5:$G$110&lt;&gt;"moeda")*(Inputs!$G$5:$G$110&lt;&gt;"acoes")))*INDEX(Inputs!$K$5:$AJ$110,0,MATCH(U$2,Inputs!$K$4:$AJ$4,0)))+SUMPRODUCT((Inputs!$C$5:$C$110=$B30)*Inputs!$D$5:$D$110*(((Inputs!$G$5:$G$110="moeda")+(Inputs!$G$5:$G$110="acoes"))*Inputs!$B$1+((Inputs!$G$5:$G$110&lt;&gt;"moeda")*(Inputs!$G$5:$G$110&lt;&gt;"acoes")))*INDEX(Inputs!$K$5:$AJ$110,0,MATCH(U$2,Inputs!$K$4:$AJ$4,0)))+SUMPRODUCT((Inputs!$E$5:$E$110=$B30)*Inputs!$F$5:$F$110*(((Inputs!$G$5:$G$110="moeda")+(Inputs!$G$5:$G$110="acoes"))*Inputs!$B$1+((Inputs!$G$5:$G$110&lt;&gt;"moeda")*(Inputs!$G$5:$G$110&lt;&gt;"acoes")))*INDEX(Inputs!$K$5:$AJ$110,0,MATCH(U$2,Inputs!$K$4:$AJ$4,0)))))</f>
        <v>0</v>
      </c>
      <c r="V30" s="6">
        <f>IF(ISNA(MATCH(V$2,Inputs!$K$4:$AJ$4,0)),NA(),IF(SUMPRODUCT((Inputs!$A$5:$A$110=$B30)*ISNUMBER(INDEX(Inputs!$K$5:$AJ$110,0,MATCH(V$2,Inputs!$K$4:$AJ$4,0))))+SUMPRODUCT((Inputs!$C$5:$C$110=$B30)*ISNUMBER(INDEX(Inputs!$K$5:$AJ$110,0,MATCH(V$2,Inputs!$K$4:$AJ$4,0))))+SUMPRODUCT((Inputs!$E$5:$E$110=$B30)*ISNUMBER(INDEX(Inputs!$K$5:$AJ$110,0,MATCH(V$2,Inputs!$K$4:$AJ$4,0))))=0,NA(),SUMPRODUCT((Inputs!$A$5:$A$110=$B30)*Inputs!$B$5:$B$110*(((Inputs!$G$5:$G$110="moeda")+(Inputs!$G$5:$G$110="acoes"))*Inputs!$B$1+((Inputs!$G$5:$G$110&lt;&gt;"moeda")*(Inputs!$G$5:$G$110&lt;&gt;"acoes")))*INDEX(Inputs!$K$5:$AJ$110,0,MATCH(V$2,Inputs!$K$4:$AJ$4,0)))+SUMPRODUCT((Inputs!$C$5:$C$110=$B30)*Inputs!$D$5:$D$110*(((Inputs!$G$5:$G$110="moeda")+(Inputs!$G$5:$G$110="acoes"))*Inputs!$B$1+((Inputs!$G$5:$G$110&lt;&gt;"moeda")*(Inputs!$G$5:$G$110&lt;&gt;"acoes")))*INDEX(Inputs!$K$5:$AJ$110,0,MATCH(V$2,Inputs!$K$4:$AJ$4,0)))+SUMPRODUCT((Inputs!$E$5:$E$110=$B30)*Inputs!$F$5:$F$110*(((Inputs!$G$5:$G$110="moeda")+(Inputs!$G$5:$G$110="acoes"))*Inputs!$B$1+((Inputs!$G$5:$G$110&lt;&gt;"moeda")*(Inputs!$G$5:$G$110&lt;&gt;"acoes")))*INDEX(Inputs!$K$5:$AJ$110,0,MATCH(V$2,Inputs!$K$4:$AJ$4,0)))))</f>
        <v>0</v>
      </c>
      <c r="W30" s="3">
        <f>V30</f>
        <v>0</v>
      </c>
      <c r="X30" s="6">
        <f>IF(ISNA(MATCH(X$2,Inputs!$K$4:$AJ$4,0)),NA(),IF(SUMPRODUCT((Inputs!$A$5:$A$110=$B30)*ISNUMBER(INDEX(Inputs!$K$5:$AJ$110,0,MATCH(X$2,Inputs!$K$4:$AJ$4,0))))+SUMPRODUCT((Inputs!$C$5:$C$110=$B30)*ISNUMBER(INDEX(Inputs!$K$5:$AJ$110,0,MATCH(X$2,Inputs!$K$4:$AJ$4,0))))+SUMPRODUCT((Inputs!$E$5:$E$110=$B30)*ISNUMBER(INDEX(Inputs!$K$5:$AJ$110,0,MATCH(X$2,Inputs!$K$4:$AJ$4,0))))=0,NA(),SUMPRODUCT((Inputs!$A$5:$A$110=$B30)*Inputs!$B$5:$B$110*(((Inputs!$G$5:$G$110="moeda")+(Inputs!$G$5:$G$110="acoes"))*Inputs!$B$1+((Inputs!$G$5:$G$110&lt;&gt;"moeda")*(Inputs!$G$5:$G$110&lt;&gt;"acoes")))*INDEX(Inputs!$K$5:$AJ$110,0,MATCH(X$2,Inputs!$K$4:$AJ$4,0)))+SUMPRODUCT((Inputs!$C$5:$C$110=$B30)*Inputs!$D$5:$D$110*(((Inputs!$G$5:$G$110="moeda")+(Inputs!$G$5:$G$110="acoes"))*Inputs!$B$1+((Inputs!$G$5:$G$110&lt;&gt;"moeda")*(Inputs!$G$5:$G$110&lt;&gt;"acoes")))*INDEX(Inputs!$K$5:$AJ$110,0,MATCH(X$2,Inputs!$K$4:$AJ$4,0)))+SUMPRODUCT((Inputs!$E$5:$E$110=$B30)*Inputs!$F$5:$F$110*(((Inputs!$G$5:$G$110="moeda")+(Inputs!$G$5:$G$110="acoes"))*Inputs!$B$1+((Inputs!$G$5:$G$110&lt;&gt;"moeda")*(Inputs!$G$5:$G$110&lt;&gt;"acoes")))*INDEX(Inputs!$K$5:$AJ$110,0,MATCH(X$2,Inputs!$K$4:$AJ$4,0)))))</f>
        <v>0</v>
      </c>
      <c r="Y30" s="6">
        <f>IF(ISNA(MATCH(Y$2,Inputs!$K$4:$AJ$4,0)),NA(),IF(SUMPRODUCT((Inputs!$A$5:$A$110=$B30)*ISNUMBER(INDEX(Inputs!$K$5:$AJ$110,0,MATCH(Y$2,Inputs!$K$4:$AJ$4,0))))+SUMPRODUCT((Inputs!$C$5:$C$110=$B30)*ISNUMBER(INDEX(Inputs!$K$5:$AJ$110,0,MATCH(Y$2,Inputs!$K$4:$AJ$4,0))))+SUMPRODUCT((Inputs!$E$5:$E$110=$B30)*ISNUMBER(INDEX(Inputs!$K$5:$AJ$110,0,MATCH(Y$2,Inputs!$K$4:$AJ$4,0))))=0,NA(),SUMPRODUCT((Inputs!$A$5:$A$110=$B30)*Inputs!$B$5:$B$110*(((Inputs!$G$5:$G$110="moeda")+(Inputs!$G$5:$G$110="acoes"))*Inputs!$B$1+((Inputs!$G$5:$G$110&lt;&gt;"moeda")*(Inputs!$G$5:$G$110&lt;&gt;"acoes")))*INDEX(Inputs!$K$5:$AJ$110,0,MATCH(Y$2,Inputs!$K$4:$AJ$4,0)))+SUMPRODUCT((Inputs!$C$5:$C$110=$B30)*Inputs!$D$5:$D$110*(((Inputs!$G$5:$G$110="moeda")+(Inputs!$G$5:$G$110="acoes"))*Inputs!$B$1+((Inputs!$G$5:$G$110&lt;&gt;"moeda")*(Inputs!$G$5:$G$110&lt;&gt;"acoes")))*INDEX(Inputs!$K$5:$AJ$110,0,MATCH(Y$2,Inputs!$K$4:$AJ$4,0)))+SUMPRODUCT((Inputs!$E$5:$E$110=$B30)*Inputs!$F$5:$F$110*(((Inputs!$G$5:$G$110="moeda")+(Inputs!$G$5:$G$110="acoes"))*Inputs!$B$1+((Inputs!$G$5:$G$110&lt;&gt;"moeda")*(Inputs!$G$5:$G$110&lt;&gt;"acoes")))*INDEX(Inputs!$K$5:$AJ$110,0,MATCH(Y$2,Inputs!$K$4:$AJ$4,0)))))</f>
        <v>0</v>
      </c>
      <c r="Z30" s="6">
        <f>IF(ISNA(MATCH(Z$2,Inputs!$K$4:$AJ$4,0)),NA(),IF(SUMPRODUCT((Inputs!$A$5:$A$110=$B30)*ISNUMBER(INDEX(Inputs!$K$5:$AJ$110,0,MATCH(Z$2,Inputs!$K$4:$AJ$4,0))))+SUMPRODUCT((Inputs!$C$5:$C$110=$B30)*ISNUMBER(INDEX(Inputs!$K$5:$AJ$110,0,MATCH(Z$2,Inputs!$K$4:$AJ$4,0))))+SUMPRODUCT((Inputs!$E$5:$E$110=$B30)*ISNUMBER(INDEX(Inputs!$K$5:$AJ$110,0,MATCH(Z$2,Inputs!$K$4:$AJ$4,0))))=0,NA(),SUMPRODUCT((Inputs!$A$5:$A$110=$B30)*Inputs!$B$5:$B$110*(((Inputs!$G$5:$G$110="moeda")+(Inputs!$G$5:$G$110="acoes"))*Inputs!$B$1+((Inputs!$G$5:$G$110&lt;&gt;"moeda")*(Inputs!$G$5:$G$110&lt;&gt;"acoes")))*INDEX(Inputs!$K$5:$AJ$110,0,MATCH(Z$2,Inputs!$K$4:$AJ$4,0)))+SUMPRODUCT((Inputs!$C$5:$C$110=$B30)*Inputs!$D$5:$D$110*(((Inputs!$G$5:$G$110="moeda")+(Inputs!$G$5:$G$110="acoes"))*Inputs!$B$1+((Inputs!$G$5:$G$110&lt;&gt;"moeda")*(Inputs!$G$5:$G$110&lt;&gt;"acoes")))*INDEX(Inputs!$K$5:$AJ$110,0,MATCH(Z$2,Inputs!$K$4:$AJ$4,0)))+SUMPRODUCT((Inputs!$E$5:$E$110=$B30)*Inputs!$F$5:$F$110*(((Inputs!$G$5:$G$110="moeda")+(Inputs!$G$5:$G$110="acoes"))*Inputs!$B$1+((Inputs!$G$5:$G$110&lt;&gt;"moeda")*(Inputs!$G$5:$G$110&lt;&gt;"acoes")))*INDEX(Inputs!$K$5:$AJ$110,0,MATCH(Z$2,Inputs!$K$4:$AJ$4,0)))))</f>
        <v>0</v>
      </c>
      <c r="AA30" s="6">
        <f>IF(ISNA(MATCH(AA$2,Inputs!$K$4:$AJ$4,0)),NA(),IF(SUMPRODUCT((Inputs!$A$5:$A$110=$B30)*ISNUMBER(INDEX(Inputs!$K$5:$AJ$110,0,MATCH(AA$2,Inputs!$K$4:$AJ$4,0))))+SUMPRODUCT((Inputs!$C$5:$C$110=$B30)*ISNUMBER(INDEX(Inputs!$K$5:$AJ$110,0,MATCH(AA$2,Inputs!$K$4:$AJ$4,0))))+SUMPRODUCT((Inputs!$E$5:$E$110=$B30)*ISNUMBER(INDEX(Inputs!$K$5:$AJ$110,0,MATCH(AA$2,Inputs!$K$4:$AJ$4,0))))=0,NA(),SUMPRODUCT((Inputs!$A$5:$A$110=$B30)*Inputs!$B$5:$B$110*(((Inputs!$G$5:$G$110="moeda")+(Inputs!$G$5:$G$110="acoes"))*Inputs!$B$1+((Inputs!$G$5:$G$110&lt;&gt;"moeda")*(Inputs!$G$5:$G$110&lt;&gt;"acoes")))*INDEX(Inputs!$K$5:$AJ$110,0,MATCH(AA$2,Inputs!$K$4:$AJ$4,0)))+SUMPRODUCT((Inputs!$C$5:$C$110=$B30)*Inputs!$D$5:$D$110*(((Inputs!$G$5:$G$110="moeda")+(Inputs!$G$5:$G$110="acoes"))*Inputs!$B$1+((Inputs!$G$5:$G$110&lt;&gt;"moeda")*(Inputs!$G$5:$G$110&lt;&gt;"acoes")))*INDEX(Inputs!$K$5:$AJ$110,0,MATCH(AA$2,Inputs!$K$4:$AJ$4,0)))+SUMPRODUCT((Inputs!$E$5:$E$110=$B30)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0" s="3">
        <f>AA30</f>
        <v>0</v>
      </c>
      <c r="AC30" s="6">
        <f>IF(ISNA(MATCH(AC$2,Inputs!$K$4:$AJ$4,0)),NA(),IF(SUMPRODUCT((Inputs!$A$5:$A$110=$B30)*ISNUMBER(INDEX(Inputs!$K$5:$AJ$110,0,MATCH(AC$2,Inputs!$K$4:$AJ$4,0))))+SUMPRODUCT((Inputs!$C$5:$C$110=$B30)*ISNUMBER(INDEX(Inputs!$K$5:$AJ$110,0,MATCH(AC$2,Inputs!$K$4:$AJ$4,0))))+SUMPRODUCT((Inputs!$E$5:$E$110=$B30)*ISNUMBER(INDEX(Inputs!$K$5:$AJ$110,0,MATCH(AC$2,Inputs!$K$4:$AJ$4,0))))=0,NA(),SUMPRODUCT((Inputs!$A$5:$A$110=$B30)*Inputs!$B$5:$B$110*(((Inputs!$G$5:$G$110="moeda")+(Inputs!$G$5:$G$110="acoes"))*Inputs!$B$1+((Inputs!$G$5:$G$110&lt;&gt;"moeda")*(Inputs!$G$5:$G$110&lt;&gt;"acoes")))*INDEX(Inputs!$K$5:$AJ$110,0,MATCH(AC$2,Inputs!$K$4:$AJ$4,0)))+SUMPRODUCT((Inputs!$C$5:$C$110=$B30)*Inputs!$D$5:$D$110*(((Inputs!$G$5:$G$110="moeda")+(Inputs!$G$5:$G$110="acoes"))*Inputs!$B$1+((Inputs!$G$5:$G$110&lt;&gt;"moeda")*(Inputs!$G$5:$G$110&lt;&gt;"acoes")))*INDEX(Inputs!$K$5:$AJ$110,0,MATCH(AC$2,Inputs!$K$4:$AJ$4,0)))+SUMPRODUCT((Inputs!$E$5:$E$110=$B30)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0" s="6">
        <f>IF(ISNA(MATCH(AD$2,Inputs!$K$4:$AJ$4,0)),NA(),IF(SUMPRODUCT((Inputs!$A$5:$A$110=$B30)*ISNUMBER(INDEX(Inputs!$K$5:$AJ$110,0,MATCH(AD$2,Inputs!$K$4:$AJ$4,0))))+SUMPRODUCT((Inputs!$C$5:$C$110=$B30)*ISNUMBER(INDEX(Inputs!$K$5:$AJ$110,0,MATCH(AD$2,Inputs!$K$4:$AJ$4,0))))+SUMPRODUCT((Inputs!$E$5:$E$110=$B30)*ISNUMBER(INDEX(Inputs!$K$5:$AJ$110,0,MATCH(AD$2,Inputs!$K$4:$AJ$4,0))))=0,NA(),SUMPRODUCT((Inputs!$A$5:$A$110=$B30)*Inputs!$B$5:$B$110*(((Inputs!$G$5:$G$110="moeda")+(Inputs!$G$5:$G$110="acoes"))*Inputs!$B$1+((Inputs!$G$5:$G$110&lt;&gt;"moeda")*(Inputs!$G$5:$G$110&lt;&gt;"acoes")))*INDEX(Inputs!$K$5:$AJ$110,0,MATCH(AD$2,Inputs!$K$4:$AJ$4,0)))+SUMPRODUCT((Inputs!$C$5:$C$110=$B30)*Inputs!$D$5:$D$110*(((Inputs!$G$5:$G$110="moeda")+(Inputs!$G$5:$G$110="acoes"))*Inputs!$B$1+((Inputs!$G$5:$G$110&lt;&gt;"moeda")*(Inputs!$G$5:$G$110&lt;&gt;"acoes")))*INDEX(Inputs!$K$5:$AJ$110,0,MATCH(AD$2,Inputs!$K$4:$AJ$4,0)))+SUMPRODUCT((Inputs!$E$5:$E$110=$B30)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0" s="6" t="e">
        <f>IF(ISNA(MATCH(AE$2,Inputs!$K$4:$AJ$4,0)),NA(),IF(SUMPRODUCT((Inputs!$A$5:$A$110=$B30)*ISNUMBER(INDEX(Inputs!$K$5:$AJ$110,0,MATCH(AE$2,Inputs!$K$4:$AJ$4,0))))+SUMPRODUCT((Inputs!$C$5:$C$110=$B30)*ISNUMBER(INDEX(Inputs!$K$5:$AJ$110,0,MATCH(AE$2,Inputs!$K$4:$AJ$4,0))))+SUMPRODUCT((Inputs!$E$5:$E$110=$B30)*ISNUMBER(INDEX(Inputs!$K$5:$AJ$110,0,MATCH(AE$2,Inputs!$K$4:$AJ$4,0))))=0,NA(),SUMPRODUCT((Inputs!$A$5:$A$110=$B30)*Inputs!$B$5:$B$110*(((Inputs!$G$5:$G$110="moeda")+(Inputs!$G$5:$G$110="acoes"))*Inputs!$B$1+((Inputs!$G$5:$G$110&lt;&gt;"moeda")*(Inputs!$G$5:$G$110&lt;&gt;"acoes")))*INDEX(Inputs!$K$5:$AJ$110,0,MATCH(AE$2,Inputs!$K$4:$AJ$4,0)))+SUMPRODUCT((Inputs!$C$5:$C$110=$B30)*Inputs!$D$5:$D$110*(((Inputs!$G$5:$G$110="moeda")+(Inputs!$G$5:$G$110="acoes"))*Inputs!$B$1+((Inputs!$G$5:$G$110&lt;&gt;"moeda")*(Inputs!$G$5:$G$110&lt;&gt;"acoes")))*INDEX(Inputs!$K$5:$AJ$110,0,MATCH(AE$2,Inputs!$K$4:$AJ$4,0)))+SUMPRODUCT((Inputs!$E$5:$E$110=$B30)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0" s="6" t="e">
        <f>IF(ISNA(MATCH(AF$2,Inputs!$K$4:$AJ$4,0)),NA(),IF(SUMPRODUCT((Inputs!$A$5:$A$110=$B30)*ISNUMBER(INDEX(Inputs!$K$5:$AJ$110,0,MATCH(AF$2,Inputs!$K$4:$AJ$4,0))))+SUMPRODUCT((Inputs!$C$5:$C$110=$B30)*ISNUMBER(INDEX(Inputs!$K$5:$AJ$110,0,MATCH(AF$2,Inputs!$K$4:$AJ$4,0))))+SUMPRODUCT((Inputs!$E$5:$E$110=$B30)*ISNUMBER(INDEX(Inputs!$K$5:$AJ$110,0,MATCH(AF$2,Inputs!$K$4:$AJ$4,0))))=0,NA(),SUMPRODUCT((Inputs!$A$5:$A$110=$B30)*Inputs!$B$5:$B$110*(((Inputs!$G$5:$G$110="moeda")+(Inputs!$G$5:$G$110="acoes"))*Inputs!$B$1+((Inputs!$G$5:$G$110&lt;&gt;"moeda")*(Inputs!$G$5:$G$110&lt;&gt;"acoes")))*INDEX(Inputs!$K$5:$AJ$110,0,MATCH(AF$2,Inputs!$K$4:$AJ$4,0)))+SUMPRODUCT((Inputs!$C$5:$C$110=$B30)*Inputs!$D$5:$D$110*(((Inputs!$G$5:$G$110="moeda")+(Inputs!$G$5:$G$110="acoes"))*Inputs!$B$1+((Inputs!$G$5:$G$110&lt;&gt;"moeda")*(Inputs!$G$5:$G$110&lt;&gt;"acoes")))*INDEX(Inputs!$K$5:$AJ$110,0,MATCH(AF$2,Inputs!$K$4:$AJ$4,0)))+SUMPRODUCT((Inputs!$E$5:$E$110=$B30)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0" s="3" t="e">
        <f>AF30</f>
        <v>#N/A</v>
      </c>
      <c r="AH30" s="6">
        <f>IF(ISNA(MATCH(AH$2,Inputs!$K$4:$AJ$4,0)),NA(),IF(SUMPRODUCT((Inputs!$A$5:$A$110=$B30)*ISNUMBER(INDEX(Inputs!$K$5:$AJ$110,0,MATCH(AH$2,Inputs!$K$4:$AJ$4,0))))+SUMPRODUCT((Inputs!$C$5:$C$110=$B30)*ISNUMBER(INDEX(Inputs!$K$5:$AJ$110,0,MATCH(AH$2,Inputs!$K$4:$AJ$4,0))))+SUMPRODUCT((Inputs!$E$5:$E$110=$B30)*ISNUMBER(INDEX(Inputs!$K$5:$AJ$110,0,MATCH(AH$2,Inputs!$K$4:$AJ$4,0))))=0,NA(),SUMPRODUCT((Inputs!$A$5:$A$110=$B30)*Inputs!$B$5:$B$110*(((Inputs!$G$5:$G$110="moeda")+(Inputs!$G$5:$G$110="acoes"))*Inputs!$B$1+((Inputs!$G$5:$G$110&lt;&gt;"moeda")*(Inputs!$G$5:$G$110&lt;&gt;"acoes")))*INDEX(Inputs!$K$5:$AJ$110,0,MATCH(AH$2,Inputs!$K$4:$AJ$4,0)))+SUMPRODUCT((Inputs!$C$5:$C$110=$B30)*Inputs!$D$5:$D$110*(((Inputs!$G$5:$G$110="moeda")+(Inputs!$G$5:$G$110="acoes"))*Inputs!$B$1+((Inputs!$G$5:$G$110&lt;&gt;"moeda")*(Inputs!$G$5:$G$110&lt;&gt;"acoes")))*INDEX(Inputs!$K$5:$AJ$110,0,MATCH(AH$2,Inputs!$K$4:$AJ$4,0)))+SUMPRODUCT((Inputs!$E$5:$E$110=$B30)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0" s="6">
        <f>IF(ISNA(MATCH(AI$2,Inputs!$K$4:$AJ$4,0)),NA(),IF(SUMPRODUCT((Inputs!$A$5:$A$110=$B30)*ISNUMBER(INDEX(Inputs!$K$5:$AJ$110,0,MATCH(AI$2,Inputs!$K$4:$AJ$4,0))))+SUMPRODUCT((Inputs!$C$5:$C$110=$B30)*ISNUMBER(INDEX(Inputs!$K$5:$AJ$110,0,MATCH(AI$2,Inputs!$K$4:$AJ$4,0))))+SUMPRODUCT((Inputs!$E$5:$E$110=$B30)*ISNUMBER(INDEX(Inputs!$K$5:$AJ$110,0,MATCH(AI$2,Inputs!$K$4:$AJ$4,0))))=0,NA(),SUMPRODUCT((Inputs!$A$5:$A$110=$B30)*Inputs!$B$5:$B$110*(((Inputs!$G$5:$G$110="moeda")+(Inputs!$G$5:$G$110="acoes"))*Inputs!$B$1+((Inputs!$G$5:$G$110&lt;&gt;"moeda")*(Inputs!$G$5:$G$110&lt;&gt;"acoes")))*INDEX(Inputs!$K$5:$AJ$110,0,MATCH(AI$2,Inputs!$K$4:$AJ$4,0)))+SUMPRODUCT((Inputs!$C$5:$C$110=$B30)*Inputs!$D$5:$D$110*(((Inputs!$G$5:$G$110="moeda")+(Inputs!$G$5:$G$110="acoes"))*Inputs!$B$1+((Inputs!$G$5:$G$110&lt;&gt;"moeda")*(Inputs!$G$5:$G$110&lt;&gt;"acoes")))*INDEX(Inputs!$K$5:$AJ$110,0,MATCH(AI$2,Inputs!$K$4:$AJ$4,0)))+SUMPRODUCT((Inputs!$E$5:$E$110=$B30)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0" s="6">
        <f>IF(ISNA(MATCH(AJ$2,Inputs!$K$4:$AJ$4,0)),NA(),IF(SUMPRODUCT((Inputs!$A$5:$A$110=$B30)*ISNUMBER(INDEX(Inputs!$K$5:$AJ$110,0,MATCH(AJ$2,Inputs!$K$4:$AJ$4,0))))+SUMPRODUCT((Inputs!$C$5:$C$110=$B30)*ISNUMBER(INDEX(Inputs!$K$5:$AJ$110,0,MATCH(AJ$2,Inputs!$K$4:$AJ$4,0))))+SUMPRODUCT((Inputs!$E$5:$E$110=$B30)*ISNUMBER(INDEX(Inputs!$K$5:$AJ$110,0,MATCH(AJ$2,Inputs!$K$4:$AJ$4,0))))=0,NA(),SUMPRODUCT((Inputs!$A$5:$A$110=$B30)*Inputs!$B$5:$B$110*(((Inputs!$G$5:$G$110="moeda")+(Inputs!$G$5:$G$110="acoes"))*Inputs!$B$1+((Inputs!$G$5:$G$110&lt;&gt;"moeda")*(Inputs!$G$5:$G$110&lt;&gt;"acoes")))*INDEX(Inputs!$K$5:$AJ$110,0,MATCH(AJ$2,Inputs!$K$4:$AJ$4,0)))+SUMPRODUCT((Inputs!$C$5:$C$110=$B30)*Inputs!$D$5:$D$110*(((Inputs!$G$5:$G$110="moeda")+(Inputs!$G$5:$G$110="acoes"))*Inputs!$B$1+((Inputs!$G$5:$G$110&lt;&gt;"moeda")*(Inputs!$G$5:$G$110&lt;&gt;"acoes")))*INDEX(Inputs!$K$5:$AJ$110,0,MATCH(AJ$2,Inputs!$K$4:$AJ$4,0)))+SUMPRODUCT((Inputs!$E$5:$E$110=$B30)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0" s="6">
        <f>IF(ISNA(MATCH(AK$2,Inputs!$K$4:$AJ$4,0)),NA(),IF(SUMPRODUCT((Inputs!$A$5:$A$110=$B30)*ISNUMBER(INDEX(Inputs!$K$5:$AJ$110,0,MATCH(AK$2,Inputs!$K$4:$AJ$4,0))))+SUMPRODUCT((Inputs!$C$5:$C$110=$B30)*ISNUMBER(INDEX(Inputs!$K$5:$AJ$110,0,MATCH(AK$2,Inputs!$K$4:$AJ$4,0))))+SUMPRODUCT((Inputs!$E$5:$E$110=$B30)*ISNUMBER(INDEX(Inputs!$K$5:$AJ$110,0,MATCH(AK$2,Inputs!$K$4:$AJ$4,0))))=0,NA(),SUMPRODUCT((Inputs!$A$5:$A$110=$B30)*Inputs!$B$5:$B$110*(((Inputs!$G$5:$G$110="moeda")+(Inputs!$G$5:$G$110="acoes"))*Inputs!$B$1+((Inputs!$G$5:$G$110&lt;&gt;"moeda")*(Inputs!$G$5:$G$110&lt;&gt;"acoes")))*INDEX(Inputs!$K$5:$AJ$110,0,MATCH(AK$2,Inputs!$K$4:$AJ$4,0)))+SUMPRODUCT((Inputs!$C$5:$C$110=$B30)*Inputs!$D$5:$D$110*(((Inputs!$G$5:$G$110="moeda")+(Inputs!$G$5:$G$110="acoes"))*Inputs!$B$1+((Inputs!$G$5:$G$110&lt;&gt;"moeda")*(Inputs!$G$5:$G$110&lt;&gt;"acoes")))*INDEX(Inputs!$K$5:$AJ$110,0,MATCH(AK$2,Inputs!$K$4:$AJ$4,0)))+SUMPRODUCT((Inputs!$E$5:$E$110=$B30)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$110=$B31)*ISNUMBER(INDEX(Inputs!$K$5:$AJ$110,0,MATCH(D$2,Inputs!$K$4:$AJ$4,0))))+SUMPRODUCT((Inputs!$C$5:$C$110=$B31)*ISNUMBER(INDEX(Inputs!$K$5:$AJ$110,0,MATCH(D$2,Inputs!$K$4:$AJ$4,0))))+SUMPRODUCT((Inputs!$E$5:$E$110=$B31)*ISNUMBER(INDEX(Inputs!$K$5:$AJ$110,0,MATCH(D$2,Inputs!$K$4:$AJ$4,0))))=0,NA(),SUMPRODUCT((Inputs!$A$5:$A$110=$B31)*Inputs!$B$5:$B$110*(((Inputs!$G$5:$G$110="moeda")+(Inputs!$G$5:$G$110="acoes"))*Inputs!$B$1+((Inputs!$G$5:$G$110&lt;&gt;"moeda")*(Inputs!$G$5:$G$110&lt;&gt;"acoes")))*INDEX(Inputs!$K$5:$AJ$110,0,MATCH(D$2,Inputs!$K$4:$AJ$4,0)))+SUMPRODUCT((Inputs!$C$5:$C$110=$B31)*Inputs!$D$5:$D$110*(((Inputs!$G$5:$G$110="moeda")+(Inputs!$G$5:$G$110="acoes"))*Inputs!$B$1+((Inputs!$G$5:$G$110&lt;&gt;"moeda")*(Inputs!$G$5:$G$110&lt;&gt;"acoes")))*INDEX(Inputs!$K$5:$AJ$110,0,MATCH(D$2,Inputs!$K$4:$AJ$4,0)))+SUMPRODUCT((Inputs!$E$5:$E$110=$B31)*Inputs!$F$5:$F$110*(((Inputs!$G$5:$G$110="moeda")+(Inputs!$G$5:$G$110="acoes"))*Inputs!$B$1+((Inputs!$G$5:$G$110&lt;&gt;"moeda")*(Inputs!$G$5:$G$110&lt;&gt;"acoes")))*INDEX(Inputs!$K$5:$AJ$110,0,MATCH(D$2,Inputs!$K$4:$AJ$4,0)))))</f>
        <v>9528</v>
      </c>
      <c r="E31" s="6">
        <f>IF(ISNA(MATCH(E$2,Inputs!$K$4:$AJ$4,0)),NA(),IF(SUMPRODUCT((Inputs!$A$5:$A$110=$B31)*ISNUMBER(INDEX(Inputs!$K$5:$AJ$110,0,MATCH(E$2,Inputs!$K$4:$AJ$4,0))))+SUMPRODUCT((Inputs!$C$5:$C$110=$B31)*ISNUMBER(INDEX(Inputs!$K$5:$AJ$110,0,MATCH(E$2,Inputs!$K$4:$AJ$4,0))))+SUMPRODUCT((Inputs!$E$5:$E$110=$B31)*ISNUMBER(INDEX(Inputs!$K$5:$AJ$110,0,MATCH(E$2,Inputs!$K$4:$AJ$4,0))))=0,NA(),SUMPRODUCT((Inputs!$A$5:$A$110=$B31)*Inputs!$B$5:$B$110*(((Inputs!$G$5:$G$110="moeda")+(Inputs!$G$5:$G$110="acoes"))*Inputs!$B$1+((Inputs!$G$5:$G$110&lt;&gt;"moeda")*(Inputs!$G$5:$G$110&lt;&gt;"acoes")))*INDEX(Inputs!$K$5:$AJ$110,0,MATCH(E$2,Inputs!$K$4:$AJ$4,0)))+SUMPRODUCT((Inputs!$C$5:$C$110=$B31)*Inputs!$D$5:$D$110*(((Inputs!$G$5:$G$110="moeda")+(Inputs!$G$5:$G$110="acoes"))*Inputs!$B$1+((Inputs!$G$5:$G$110&lt;&gt;"moeda")*(Inputs!$G$5:$G$110&lt;&gt;"acoes")))*INDEX(Inputs!$K$5:$AJ$110,0,MATCH(E$2,Inputs!$K$4:$AJ$4,0)))+SUMPRODUCT((Inputs!$E$5:$E$110=$B31)*Inputs!$F$5:$F$110*(((Inputs!$G$5:$G$110="moeda")+(Inputs!$G$5:$G$110="acoes"))*Inputs!$B$1+((Inputs!$G$5:$G$110&lt;&gt;"moeda")*(Inputs!$G$5:$G$110&lt;&gt;"acoes")))*INDEX(Inputs!$K$5:$AJ$110,0,MATCH(E$2,Inputs!$K$4:$AJ$4,0)))))</f>
        <v>10099</v>
      </c>
      <c r="F31" s="6">
        <f>IF(ISNA(MATCH(F$2,Inputs!$K$4:$AJ$4,0)),NA(),IF(SUMPRODUCT((Inputs!$A$5:$A$110=$B31)*ISNUMBER(INDEX(Inputs!$K$5:$AJ$110,0,MATCH(F$2,Inputs!$K$4:$AJ$4,0))))+SUMPRODUCT((Inputs!$C$5:$C$110=$B31)*ISNUMBER(INDEX(Inputs!$K$5:$AJ$110,0,MATCH(F$2,Inputs!$K$4:$AJ$4,0))))+SUMPRODUCT((Inputs!$E$5:$E$110=$B31)*ISNUMBER(INDEX(Inputs!$K$5:$AJ$110,0,MATCH(F$2,Inputs!$K$4:$AJ$4,0))))=0,NA(),SUMPRODUCT((Inputs!$A$5:$A$110=$B31)*Inputs!$B$5:$B$110*(((Inputs!$G$5:$G$110="moeda")+(Inputs!$G$5:$G$110="acoes"))*Inputs!$B$1+((Inputs!$G$5:$G$110&lt;&gt;"moeda")*(Inputs!$G$5:$G$110&lt;&gt;"acoes")))*INDEX(Inputs!$K$5:$AJ$110,0,MATCH(F$2,Inputs!$K$4:$AJ$4,0)))+SUMPRODUCT((Inputs!$C$5:$C$110=$B31)*Inputs!$D$5:$D$110*(((Inputs!$G$5:$G$110="moeda")+(Inputs!$G$5:$G$110="acoes"))*Inputs!$B$1+((Inputs!$G$5:$G$110&lt;&gt;"moeda")*(Inputs!$G$5:$G$110&lt;&gt;"acoes")))*INDEX(Inputs!$K$5:$AJ$110,0,MATCH(F$2,Inputs!$K$4:$AJ$4,0)))+SUMPRODUCT((Inputs!$E$5:$E$110=$B31)*Inputs!$F$5:$F$110*(((Inputs!$G$5:$G$110="moeda")+(Inputs!$G$5:$G$110="acoes"))*Inputs!$B$1+((Inputs!$G$5:$G$110&lt;&gt;"moeda")*(Inputs!$G$5:$G$110&lt;&gt;"acoes")))*INDEX(Inputs!$K$5:$AJ$110,0,MATCH(F$2,Inputs!$K$4:$AJ$4,0)))))</f>
        <v>10378</v>
      </c>
      <c r="G31" s="6">
        <f>IF(ISNA(MATCH(G$2,Inputs!$K$4:$AJ$4,0)),NA(),IF(SUMPRODUCT((Inputs!$A$5:$A$110=$B31)*ISNUMBER(INDEX(Inputs!$K$5:$AJ$110,0,MATCH(G$2,Inputs!$K$4:$AJ$4,0))))+SUMPRODUCT((Inputs!$C$5:$C$110=$B31)*ISNUMBER(INDEX(Inputs!$K$5:$AJ$110,0,MATCH(G$2,Inputs!$K$4:$AJ$4,0))))+SUMPRODUCT((Inputs!$E$5:$E$110=$B31)*ISNUMBER(INDEX(Inputs!$K$5:$AJ$110,0,MATCH(G$2,Inputs!$K$4:$AJ$4,0))))=0,NA(),SUMPRODUCT((Inputs!$A$5:$A$110=$B31)*Inputs!$B$5:$B$110*(((Inputs!$G$5:$G$110="moeda")+(Inputs!$G$5:$G$110="acoes"))*Inputs!$B$1+((Inputs!$G$5:$G$110&lt;&gt;"moeda")*(Inputs!$G$5:$G$110&lt;&gt;"acoes")))*INDEX(Inputs!$K$5:$AJ$110,0,MATCH(G$2,Inputs!$K$4:$AJ$4,0)))+SUMPRODUCT((Inputs!$C$5:$C$110=$B31)*Inputs!$D$5:$D$110*(((Inputs!$G$5:$G$110="moeda")+(Inputs!$G$5:$G$110="acoes"))*Inputs!$B$1+((Inputs!$G$5:$G$110&lt;&gt;"moeda")*(Inputs!$G$5:$G$110&lt;&gt;"acoes")))*INDEX(Inputs!$K$5:$AJ$110,0,MATCH(G$2,Inputs!$K$4:$AJ$4,0)))+SUMPRODUCT((Inputs!$E$5:$E$110=$B31)*Inputs!$F$5:$F$110*(((Inputs!$G$5:$G$110="moeda")+(Inputs!$G$5:$G$110="acoes"))*Inputs!$B$1+((Inputs!$G$5:$G$110&lt;&gt;"moeda")*(Inputs!$G$5:$G$110&lt;&gt;"acoes")))*INDEX(Inputs!$K$5:$AJ$110,0,MATCH(G$2,Inputs!$K$4:$AJ$4,0)))))</f>
        <v>10103</v>
      </c>
      <c r="H31" s="3">
        <f>G31</f>
        <v>10103</v>
      </c>
      <c r="I31" s="6">
        <f>IF(ISNA(MATCH(I$2,Inputs!$K$4:$AJ$4,0)),NA(),IF(SUMPRODUCT((Inputs!$A$5:$A$110=$B31)*ISNUMBER(INDEX(Inputs!$K$5:$AJ$110,0,MATCH(I$2,Inputs!$K$4:$AJ$4,0))))+SUMPRODUCT((Inputs!$C$5:$C$110=$B31)*ISNUMBER(INDEX(Inputs!$K$5:$AJ$110,0,MATCH(I$2,Inputs!$K$4:$AJ$4,0))))+SUMPRODUCT((Inputs!$E$5:$E$110=$B31)*ISNUMBER(INDEX(Inputs!$K$5:$AJ$110,0,MATCH(I$2,Inputs!$K$4:$AJ$4,0))))=0,NA(),SUMPRODUCT((Inputs!$A$5:$A$110=$B31)*Inputs!$B$5:$B$110*(((Inputs!$G$5:$G$110="moeda")+(Inputs!$G$5:$G$110="acoes"))*Inputs!$B$1+((Inputs!$G$5:$G$110&lt;&gt;"moeda")*(Inputs!$G$5:$G$110&lt;&gt;"acoes")))*INDEX(Inputs!$K$5:$AJ$110,0,MATCH(I$2,Inputs!$K$4:$AJ$4,0)))+SUMPRODUCT((Inputs!$C$5:$C$110=$B31)*Inputs!$D$5:$D$110*(((Inputs!$G$5:$G$110="moeda")+(Inputs!$G$5:$G$110="acoes"))*Inputs!$B$1+((Inputs!$G$5:$G$110&lt;&gt;"moeda")*(Inputs!$G$5:$G$110&lt;&gt;"acoes")))*INDEX(Inputs!$K$5:$AJ$110,0,MATCH(I$2,Inputs!$K$4:$AJ$4,0)))+SUMPRODUCT((Inputs!$E$5:$E$110=$B31)*Inputs!$F$5:$F$110*(((Inputs!$G$5:$G$110="moeda")+(Inputs!$G$5:$G$110="acoes"))*Inputs!$B$1+((Inputs!$G$5:$G$110&lt;&gt;"moeda")*(Inputs!$G$5:$G$110&lt;&gt;"acoes")))*INDEX(Inputs!$K$5:$AJ$110,0,MATCH(I$2,Inputs!$K$4:$AJ$4,0)))))</f>
        <v>10277</v>
      </c>
      <c r="J31" s="6">
        <f>IF(ISNA(MATCH(J$2,Inputs!$K$4:$AJ$4,0)),NA(),IF(SUMPRODUCT((Inputs!$A$5:$A$110=$B31)*ISNUMBER(INDEX(Inputs!$K$5:$AJ$110,0,MATCH(J$2,Inputs!$K$4:$AJ$4,0))))+SUMPRODUCT((Inputs!$C$5:$C$110=$B31)*ISNUMBER(INDEX(Inputs!$K$5:$AJ$110,0,MATCH(J$2,Inputs!$K$4:$AJ$4,0))))+SUMPRODUCT((Inputs!$E$5:$E$110=$B31)*ISNUMBER(INDEX(Inputs!$K$5:$AJ$110,0,MATCH(J$2,Inputs!$K$4:$AJ$4,0))))=0,NA(),SUMPRODUCT((Inputs!$A$5:$A$110=$B31)*Inputs!$B$5:$B$110*(((Inputs!$G$5:$G$110="moeda")+(Inputs!$G$5:$G$110="acoes"))*Inputs!$B$1+((Inputs!$G$5:$G$110&lt;&gt;"moeda")*(Inputs!$G$5:$G$110&lt;&gt;"acoes")))*INDEX(Inputs!$K$5:$AJ$110,0,MATCH(J$2,Inputs!$K$4:$AJ$4,0)))+SUMPRODUCT((Inputs!$C$5:$C$110=$B31)*Inputs!$D$5:$D$110*(((Inputs!$G$5:$G$110="moeda")+(Inputs!$G$5:$G$110="acoes"))*Inputs!$B$1+((Inputs!$G$5:$G$110&lt;&gt;"moeda")*(Inputs!$G$5:$G$110&lt;&gt;"acoes")))*INDEX(Inputs!$K$5:$AJ$110,0,MATCH(J$2,Inputs!$K$4:$AJ$4,0)))+SUMPRODUCT((Inputs!$E$5:$E$110=$B31)*Inputs!$F$5:$F$110*(((Inputs!$G$5:$G$110="moeda")+(Inputs!$G$5:$G$110="acoes"))*Inputs!$B$1+((Inputs!$G$5:$G$110&lt;&gt;"moeda")*(Inputs!$G$5:$G$110&lt;&gt;"acoes")))*INDEX(Inputs!$K$5:$AJ$110,0,MATCH(J$2,Inputs!$K$4:$AJ$4,0)))))</f>
        <v>11235</v>
      </c>
      <c r="K31" s="6">
        <f>IF(ISNA(MATCH(K$2,Inputs!$K$4:$AJ$4,0)),NA(),IF(SUMPRODUCT((Inputs!$A$5:$A$110=$B31)*ISNUMBER(INDEX(Inputs!$K$5:$AJ$110,0,MATCH(K$2,Inputs!$K$4:$AJ$4,0))))+SUMPRODUCT((Inputs!$C$5:$C$110=$B31)*ISNUMBER(INDEX(Inputs!$K$5:$AJ$110,0,MATCH(K$2,Inputs!$K$4:$AJ$4,0))))+SUMPRODUCT((Inputs!$E$5:$E$110=$B31)*ISNUMBER(INDEX(Inputs!$K$5:$AJ$110,0,MATCH(K$2,Inputs!$K$4:$AJ$4,0))))=0,NA(),SUMPRODUCT((Inputs!$A$5:$A$110=$B31)*Inputs!$B$5:$B$110*(((Inputs!$G$5:$G$110="moeda")+(Inputs!$G$5:$G$110="acoes"))*Inputs!$B$1+((Inputs!$G$5:$G$110&lt;&gt;"moeda")*(Inputs!$G$5:$G$110&lt;&gt;"acoes")))*INDEX(Inputs!$K$5:$AJ$110,0,MATCH(K$2,Inputs!$K$4:$AJ$4,0)))+SUMPRODUCT((Inputs!$C$5:$C$110=$B31)*Inputs!$D$5:$D$110*(((Inputs!$G$5:$G$110="moeda")+(Inputs!$G$5:$G$110="acoes"))*Inputs!$B$1+((Inputs!$G$5:$G$110&lt;&gt;"moeda")*(Inputs!$G$5:$G$110&lt;&gt;"acoes")))*INDEX(Inputs!$K$5:$AJ$110,0,MATCH(K$2,Inputs!$K$4:$AJ$4,0)))+SUMPRODUCT((Inputs!$E$5:$E$110=$B31)*Inputs!$F$5:$F$110*(((Inputs!$G$5:$G$110="moeda")+(Inputs!$G$5:$G$110="acoes"))*Inputs!$B$1+((Inputs!$G$5:$G$110&lt;&gt;"moeda")*(Inputs!$G$5:$G$110&lt;&gt;"acoes")))*INDEX(Inputs!$K$5:$AJ$110,0,MATCH(K$2,Inputs!$K$4:$AJ$4,0)))))</f>
        <v>10574</v>
      </c>
      <c r="L31" s="6">
        <f>IF(ISNA(MATCH(L$2,Inputs!$K$4:$AJ$4,0)),NA(),IF(SUMPRODUCT((Inputs!$A$5:$A$110=$B31)*ISNUMBER(INDEX(Inputs!$K$5:$AJ$110,0,MATCH(L$2,Inputs!$K$4:$AJ$4,0))))+SUMPRODUCT((Inputs!$C$5:$C$110=$B31)*ISNUMBER(INDEX(Inputs!$K$5:$AJ$110,0,MATCH(L$2,Inputs!$K$4:$AJ$4,0))))+SUMPRODUCT((Inputs!$E$5:$E$110=$B31)*ISNUMBER(INDEX(Inputs!$K$5:$AJ$110,0,MATCH(L$2,Inputs!$K$4:$AJ$4,0))))=0,NA(),SUMPRODUCT((Inputs!$A$5:$A$110=$B31)*Inputs!$B$5:$B$110*(((Inputs!$G$5:$G$110="moeda")+(Inputs!$G$5:$G$110="acoes"))*Inputs!$B$1+((Inputs!$G$5:$G$110&lt;&gt;"moeda")*(Inputs!$G$5:$G$110&lt;&gt;"acoes")))*INDEX(Inputs!$K$5:$AJ$110,0,MATCH(L$2,Inputs!$K$4:$AJ$4,0)))+SUMPRODUCT((Inputs!$C$5:$C$110=$B31)*Inputs!$D$5:$D$110*(((Inputs!$G$5:$G$110="moeda")+(Inputs!$G$5:$G$110="acoes"))*Inputs!$B$1+((Inputs!$G$5:$G$110&lt;&gt;"moeda")*(Inputs!$G$5:$G$110&lt;&gt;"acoes")))*INDEX(Inputs!$K$5:$AJ$110,0,MATCH(L$2,Inputs!$K$4:$AJ$4,0)))+SUMPRODUCT((Inputs!$E$5:$E$110=$B31)*Inputs!$F$5:$F$110*(((Inputs!$G$5:$G$110="moeda")+(Inputs!$G$5:$G$110="acoes"))*Inputs!$B$1+((Inputs!$G$5:$G$110&lt;&gt;"moeda")*(Inputs!$G$5:$G$110&lt;&gt;"acoes")))*INDEX(Inputs!$K$5:$AJ$110,0,MATCH(L$2,Inputs!$K$4:$AJ$4,0)))))</f>
        <v>10695</v>
      </c>
      <c r="M31" s="3">
        <f>L31</f>
        <v>10695</v>
      </c>
      <c r="N31" s="6">
        <f>IF(ISNA(MATCH(N$2,Inputs!$K$4:$AJ$4,0)),NA(),IF(SUMPRODUCT((Inputs!$A$5:$A$110=$B31)*ISNUMBER(INDEX(Inputs!$K$5:$AJ$110,0,MATCH(N$2,Inputs!$K$4:$AJ$4,0))))+SUMPRODUCT((Inputs!$C$5:$C$110=$B31)*ISNUMBER(INDEX(Inputs!$K$5:$AJ$110,0,MATCH(N$2,Inputs!$K$4:$AJ$4,0))))+SUMPRODUCT((Inputs!$E$5:$E$110=$B31)*ISNUMBER(INDEX(Inputs!$K$5:$AJ$110,0,MATCH(N$2,Inputs!$K$4:$AJ$4,0))))=0,NA(),SUMPRODUCT((Inputs!$A$5:$A$110=$B31)*Inputs!$B$5:$B$110*(((Inputs!$G$5:$G$110="moeda")+(Inputs!$G$5:$G$110="acoes"))*Inputs!$B$1+((Inputs!$G$5:$G$110&lt;&gt;"moeda")*(Inputs!$G$5:$G$110&lt;&gt;"acoes")))*INDEX(Inputs!$K$5:$AJ$110,0,MATCH(N$2,Inputs!$K$4:$AJ$4,0)))+SUMPRODUCT((Inputs!$C$5:$C$110=$B31)*Inputs!$D$5:$D$110*(((Inputs!$G$5:$G$110="moeda")+(Inputs!$G$5:$G$110="acoes"))*Inputs!$B$1+((Inputs!$G$5:$G$110&lt;&gt;"moeda")*(Inputs!$G$5:$G$110&lt;&gt;"acoes")))*INDEX(Inputs!$K$5:$AJ$110,0,MATCH(N$2,Inputs!$K$4:$AJ$4,0)))+SUMPRODUCT((Inputs!$E$5:$E$110=$B31)*Inputs!$F$5:$F$110*(((Inputs!$G$5:$G$110="moeda")+(Inputs!$G$5:$G$110="acoes"))*Inputs!$B$1+((Inputs!$G$5:$G$110&lt;&gt;"moeda")*(Inputs!$G$5:$G$110&lt;&gt;"acoes")))*INDEX(Inputs!$K$5:$AJ$110,0,MATCH(N$2,Inputs!$K$4:$AJ$4,0)))))</f>
        <v>10962</v>
      </c>
      <c r="O31" s="6">
        <f>IF(ISNA(MATCH(O$2,Inputs!$K$4:$AJ$4,0)),NA(),IF(SUMPRODUCT((Inputs!$A$5:$A$110=$B31)*ISNUMBER(INDEX(Inputs!$K$5:$AJ$110,0,MATCH(O$2,Inputs!$K$4:$AJ$4,0))))+SUMPRODUCT((Inputs!$C$5:$C$110=$B31)*ISNUMBER(INDEX(Inputs!$K$5:$AJ$110,0,MATCH(O$2,Inputs!$K$4:$AJ$4,0))))+SUMPRODUCT((Inputs!$E$5:$E$110=$B31)*ISNUMBER(INDEX(Inputs!$K$5:$AJ$110,0,MATCH(O$2,Inputs!$K$4:$AJ$4,0))))=0,NA(),SUMPRODUCT((Inputs!$A$5:$A$110=$B31)*Inputs!$B$5:$B$110*(((Inputs!$G$5:$G$110="moeda")+(Inputs!$G$5:$G$110="acoes"))*Inputs!$B$1+((Inputs!$G$5:$G$110&lt;&gt;"moeda")*(Inputs!$G$5:$G$110&lt;&gt;"acoes")))*INDEX(Inputs!$K$5:$AJ$110,0,MATCH(O$2,Inputs!$K$4:$AJ$4,0)))+SUMPRODUCT((Inputs!$C$5:$C$110=$B31)*Inputs!$D$5:$D$110*(((Inputs!$G$5:$G$110="moeda")+(Inputs!$G$5:$G$110="acoes"))*Inputs!$B$1+((Inputs!$G$5:$G$110&lt;&gt;"moeda")*(Inputs!$G$5:$G$110&lt;&gt;"acoes")))*INDEX(Inputs!$K$5:$AJ$110,0,MATCH(O$2,Inputs!$K$4:$AJ$4,0)))+SUMPRODUCT((Inputs!$E$5:$E$110=$B31)*Inputs!$F$5:$F$110*(((Inputs!$G$5:$G$110="moeda")+(Inputs!$G$5:$G$110="acoes"))*Inputs!$B$1+((Inputs!$G$5:$G$110&lt;&gt;"moeda")*(Inputs!$G$5:$G$110&lt;&gt;"acoes")))*INDEX(Inputs!$K$5:$AJ$110,0,MATCH(O$2,Inputs!$K$4:$AJ$4,0)))))</f>
        <v>11059</v>
      </c>
      <c r="P31" s="6">
        <f>IF(ISNA(MATCH(P$2,Inputs!$K$4:$AJ$4,0)),NA(),IF(SUMPRODUCT((Inputs!$A$5:$A$110=$B31)*ISNUMBER(INDEX(Inputs!$K$5:$AJ$110,0,MATCH(P$2,Inputs!$K$4:$AJ$4,0))))+SUMPRODUCT((Inputs!$C$5:$C$110=$B31)*ISNUMBER(INDEX(Inputs!$K$5:$AJ$110,0,MATCH(P$2,Inputs!$K$4:$AJ$4,0))))+SUMPRODUCT((Inputs!$E$5:$E$110=$B31)*ISNUMBER(INDEX(Inputs!$K$5:$AJ$110,0,MATCH(P$2,Inputs!$K$4:$AJ$4,0))))=0,NA(),SUMPRODUCT((Inputs!$A$5:$A$110=$B31)*Inputs!$B$5:$B$110*(((Inputs!$G$5:$G$110="moeda")+(Inputs!$G$5:$G$110="acoes"))*Inputs!$B$1+((Inputs!$G$5:$G$110&lt;&gt;"moeda")*(Inputs!$G$5:$G$110&lt;&gt;"acoes")))*INDEX(Inputs!$K$5:$AJ$110,0,MATCH(P$2,Inputs!$K$4:$AJ$4,0)))+SUMPRODUCT((Inputs!$C$5:$C$110=$B31)*Inputs!$D$5:$D$110*(((Inputs!$G$5:$G$110="moeda")+(Inputs!$G$5:$G$110="acoes"))*Inputs!$B$1+((Inputs!$G$5:$G$110&lt;&gt;"moeda")*(Inputs!$G$5:$G$110&lt;&gt;"acoes")))*INDEX(Inputs!$K$5:$AJ$110,0,MATCH(P$2,Inputs!$K$4:$AJ$4,0)))+SUMPRODUCT((Inputs!$E$5:$E$110=$B31)*Inputs!$F$5:$F$110*(((Inputs!$G$5:$G$110="moeda")+(Inputs!$G$5:$G$110="acoes"))*Inputs!$B$1+((Inputs!$G$5:$G$110&lt;&gt;"moeda")*(Inputs!$G$5:$G$110&lt;&gt;"acoes")))*INDEX(Inputs!$K$5:$AJ$110,0,MATCH(P$2,Inputs!$K$4:$AJ$4,0)))))</f>
        <v>10069</v>
      </c>
      <c r="Q31" s="6">
        <f>IF(ISNA(MATCH(Q$2,Inputs!$K$4:$AJ$4,0)),NA(),IF(SUMPRODUCT((Inputs!$A$5:$A$110=$B31)*ISNUMBER(INDEX(Inputs!$K$5:$AJ$110,0,MATCH(Q$2,Inputs!$K$4:$AJ$4,0))))+SUMPRODUCT((Inputs!$C$5:$C$110=$B31)*ISNUMBER(INDEX(Inputs!$K$5:$AJ$110,0,MATCH(Q$2,Inputs!$K$4:$AJ$4,0))))+SUMPRODUCT((Inputs!$E$5:$E$110=$B31)*ISNUMBER(INDEX(Inputs!$K$5:$AJ$110,0,MATCH(Q$2,Inputs!$K$4:$AJ$4,0))))=0,NA(),SUMPRODUCT((Inputs!$A$5:$A$110=$B31)*Inputs!$B$5:$B$110*(((Inputs!$G$5:$G$110="moeda")+(Inputs!$G$5:$G$110="acoes"))*Inputs!$B$1+((Inputs!$G$5:$G$110&lt;&gt;"moeda")*(Inputs!$G$5:$G$110&lt;&gt;"acoes")))*INDEX(Inputs!$K$5:$AJ$110,0,MATCH(Q$2,Inputs!$K$4:$AJ$4,0)))+SUMPRODUCT((Inputs!$C$5:$C$110=$B31)*Inputs!$D$5:$D$110*(((Inputs!$G$5:$G$110="moeda")+(Inputs!$G$5:$G$110="acoes"))*Inputs!$B$1+((Inputs!$G$5:$G$110&lt;&gt;"moeda")*(Inputs!$G$5:$G$110&lt;&gt;"acoes")))*INDEX(Inputs!$K$5:$AJ$110,0,MATCH(Q$2,Inputs!$K$4:$AJ$4,0)))+SUMPRODUCT((Inputs!$E$5:$E$110=$B31)*Inputs!$F$5:$F$110*(((Inputs!$G$5:$G$110="moeda")+(Inputs!$G$5:$G$110="acoes"))*Inputs!$B$1+((Inputs!$G$5:$G$110&lt;&gt;"moeda")*(Inputs!$G$5:$G$110&lt;&gt;"acoes")))*INDEX(Inputs!$K$5:$AJ$110,0,MATCH(Q$2,Inputs!$K$4:$AJ$4,0)))))</f>
        <v>11324</v>
      </c>
      <c r="R31" s="3">
        <f>Q31</f>
        <v>11324</v>
      </c>
      <c r="S31" s="6">
        <f>IF(ISNA(MATCH(S$2,Inputs!$K$4:$AJ$4,0)),NA(),IF(SUMPRODUCT((Inputs!$A$5:$A$110=$B31)*ISNUMBER(INDEX(Inputs!$K$5:$AJ$110,0,MATCH(S$2,Inputs!$K$4:$AJ$4,0))))+SUMPRODUCT((Inputs!$C$5:$C$110=$B31)*ISNUMBER(INDEX(Inputs!$K$5:$AJ$110,0,MATCH(S$2,Inputs!$K$4:$AJ$4,0))))+SUMPRODUCT((Inputs!$E$5:$E$110=$B31)*ISNUMBER(INDEX(Inputs!$K$5:$AJ$110,0,MATCH(S$2,Inputs!$K$4:$AJ$4,0))))=0,NA(),SUMPRODUCT((Inputs!$A$5:$A$110=$B31)*Inputs!$B$5:$B$110*(((Inputs!$G$5:$G$110="moeda")+(Inputs!$G$5:$G$110="acoes"))*Inputs!$B$1+((Inputs!$G$5:$G$110&lt;&gt;"moeda")*(Inputs!$G$5:$G$110&lt;&gt;"acoes")))*INDEX(Inputs!$K$5:$AJ$110,0,MATCH(S$2,Inputs!$K$4:$AJ$4,0)))+SUMPRODUCT((Inputs!$C$5:$C$110=$B31)*Inputs!$D$5:$D$110*(((Inputs!$G$5:$G$110="moeda")+(Inputs!$G$5:$G$110="acoes"))*Inputs!$B$1+((Inputs!$G$5:$G$110&lt;&gt;"moeda")*(Inputs!$G$5:$G$110&lt;&gt;"acoes")))*INDEX(Inputs!$K$5:$AJ$110,0,MATCH(S$2,Inputs!$K$4:$AJ$4,0)))+SUMPRODUCT((Inputs!$E$5:$E$110=$B31)*Inputs!$F$5:$F$110*(((Inputs!$G$5:$G$110="moeda")+(Inputs!$G$5:$G$110="acoes"))*Inputs!$B$1+((Inputs!$G$5:$G$110&lt;&gt;"moeda")*(Inputs!$G$5:$G$110&lt;&gt;"acoes")))*INDEX(Inputs!$K$5:$AJ$110,0,MATCH(S$2,Inputs!$K$4:$AJ$4,0)))))</f>
        <v>11329</v>
      </c>
      <c r="T31" s="6">
        <f>IF(ISNA(MATCH(T$2,Inputs!$K$4:$AJ$4,0)),NA(),IF(SUMPRODUCT((Inputs!$A$5:$A$110=$B31)*ISNUMBER(INDEX(Inputs!$K$5:$AJ$110,0,MATCH(T$2,Inputs!$K$4:$AJ$4,0))))+SUMPRODUCT((Inputs!$C$5:$C$110=$B31)*ISNUMBER(INDEX(Inputs!$K$5:$AJ$110,0,MATCH(T$2,Inputs!$K$4:$AJ$4,0))))+SUMPRODUCT((Inputs!$E$5:$E$110=$B31)*ISNUMBER(INDEX(Inputs!$K$5:$AJ$110,0,MATCH(T$2,Inputs!$K$4:$AJ$4,0))))=0,NA(),SUMPRODUCT((Inputs!$A$5:$A$110=$B31)*Inputs!$B$5:$B$110*(((Inputs!$G$5:$G$110="moeda")+(Inputs!$G$5:$G$110="acoes"))*Inputs!$B$1+((Inputs!$G$5:$G$110&lt;&gt;"moeda")*(Inputs!$G$5:$G$110&lt;&gt;"acoes")))*INDEX(Inputs!$K$5:$AJ$110,0,MATCH(T$2,Inputs!$K$4:$AJ$4,0)))+SUMPRODUCT((Inputs!$C$5:$C$110=$B31)*Inputs!$D$5:$D$110*(((Inputs!$G$5:$G$110="moeda")+(Inputs!$G$5:$G$110="acoes"))*Inputs!$B$1+((Inputs!$G$5:$G$110&lt;&gt;"moeda")*(Inputs!$G$5:$G$110&lt;&gt;"acoes")))*INDEX(Inputs!$K$5:$AJ$110,0,MATCH(T$2,Inputs!$K$4:$AJ$4,0)))+SUMPRODUCT((Inputs!$E$5:$E$110=$B31)*Inputs!$F$5:$F$110*(((Inputs!$G$5:$G$110="moeda")+(Inputs!$G$5:$G$110="acoes"))*Inputs!$B$1+((Inputs!$G$5:$G$110&lt;&gt;"moeda")*(Inputs!$G$5:$G$110&lt;&gt;"acoes")))*INDEX(Inputs!$K$5:$AJ$110,0,MATCH(T$2,Inputs!$K$4:$AJ$4,0)))))</f>
        <v>12198</v>
      </c>
      <c r="U31" s="6">
        <f>IF(ISNA(MATCH(U$2,Inputs!$K$4:$AJ$4,0)),NA(),IF(SUMPRODUCT((Inputs!$A$5:$A$110=$B31)*ISNUMBER(INDEX(Inputs!$K$5:$AJ$110,0,MATCH(U$2,Inputs!$K$4:$AJ$4,0))))+SUMPRODUCT((Inputs!$C$5:$C$110=$B31)*ISNUMBER(INDEX(Inputs!$K$5:$AJ$110,0,MATCH(U$2,Inputs!$K$4:$AJ$4,0))))+SUMPRODUCT((Inputs!$E$5:$E$110=$B31)*ISNUMBER(INDEX(Inputs!$K$5:$AJ$110,0,MATCH(U$2,Inputs!$K$4:$AJ$4,0))))=0,NA(),SUMPRODUCT((Inputs!$A$5:$A$110=$B31)*Inputs!$B$5:$B$110*(((Inputs!$G$5:$G$110="moeda")+(Inputs!$G$5:$G$110="acoes"))*Inputs!$B$1+((Inputs!$G$5:$G$110&lt;&gt;"moeda")*(Inputs!$G$5:$G$110&lt;&gt;"acoes")))*INDEX(Inputs!$K$5:$AJ$110,0,MATCH(U$2,Inputs!$K$4:$AJ$4,0)))+SUMPRODUCT((Inputs!$C$5:$C$110=$B31)*Inputs!$D$5:$D$110*(((Inputs!$G$5:$G$110="moeda")+(Inputs!$G$5:$G$110="acoes"))*Inputs!$B$1+((Inputs!$G$5:$G$110&lt;&gt;"moeda")*(Inputs!$G$5:$G$110&lt;&gt;"acoes")))*INDEX(Inputs!$K$5:$AJ$110,0,MATCH(U$2,Inputs!$K$4:$AJ$4,0)))+SUMPRODUCT((Inputs!$E$5:$E$110=$B31)*Inputs!$F$5:$F$110*(((Inputs!$G$5:$G$110="moeda")+(Inputs!$G$5:$G$110="acoes"))*Inputs!$B$1+((Inputs!$G$5:$G$110&lt;&gt;"moeda")*(Inputs!$G$5:$G$110&lt;&gt;"acoes")))*INDEX(Inputs!$K$5:$AJ$110,0,MATCH(U$2,Inputs!$K$4:$AJ$4,0)))))</f>
        <v>11371</v>
      </c>
      <c r="V31" s="6">
        <f>IF(ISNA(MATCH(V$2,Inputs!$K$4:$AJ$4,0)),NA(),IF(SUMPRODUCT((Inputs!$A$5:$A$110=$B31)*ISNUMBER(INDEX(Inputs!$K$5:$AJ$110,0,MATCH(V$2,Inputs!$K$4:$AJ$4,0))))+SUMPRODUCT((Inputs!$C$5:$C$110=$B31)*ISNUMBER(INDEX(Inputs!$K$5:$AJ$110,0,MATCH(V$2,Inputs!$K$4:$AJ$4,0))))+SUMPRODUCT((Inputs!$E$5:$E$110=$B31)*ISNUMBER(INDEX(Inputs!$K$5:$AJ$110,0,MATCH(V$2,Inputs!$K$4:$AJ$4,0))))=0,NA(),SUMPRODUCT((Inputs!$A$5:$A$110=$B31)*Inputs!$B$5:$B$110*(((Inputs!$G$5:$G$110="moeda")+(Inputs!$G$5:$G$110="acoes"))*Inputs!$B$1+((Inputs!$G$5:$G$110&lt;&gt;"moeda")*(Inputs!$G$5:$G$110&lt;&gt;"acoes")))*INDEX(Inputs!$K$5:$AJ$110,0,MATCH(V$2,Inputs!$K$4:$AJ$4,0)))+SUMPRODUCT((Inputs!$C$5:$C$110=$B31)*Inputs!$D$5:$D$110*(((Inputs!$G$5:$G$110="moeda")+(Inputs!$G$5:$G$110="acoes"))*Inputs!$B$1+((Inputs!$G$5:$G$110&lt;&gt;"moeda")*(Inputs!$G$5:$G$110&lt;&gt;"acoes")))*INDEX(Inputs!$K$5:$AJ$110,0,MATCH(V$2,Inputs!$K$4:$AJ$4,0)))+SUMPRODUCT((Inputs!$E$5:$E$110=$B31)*Inputs!$F$5:$F$110*(((Inputs!$G$5:$G$110="moeda")+(Inputs!$G$5:$G$110="acoes"))*Inputs!$B$1+((Inputs!$G$5:$G$110&lt;&gt;"moeda")*(Inputs!$G$5:$G$110&lt;&gt;"acoes")))*INDEX(Inputs!$K$5:$AJ$110,0,MATCH(V$2,Inputs!$K$4:$AJ$4,0)))))</f>
        <v>13430</v>
      </c>
      <c r="W31" s="3">
        <f>V31</f>
        <v>13430</v>
      </c>
      <c r="X31" s="6">
        <f>IF(ISNA(MATCH(X$2,Inputs!$K$4:$AJ$4,0)),NA(),IF(SUMPRODUCT((Inputs!$A$5:$A$110=$B31)*ISNUMBER(INDEX(Inputs!$K$5:$AJ$110,0,MATCH(X$2,Inputs!$K$4:$AJ$4,0))))+SUMPRODUCT((Inputs!$C$5:$C$110=$B31)*ISNUMBER(INDEX(Inputs!$K$5:$AJ$110,0,MATCH(X$2,Inputs!$K$4:$AJ$4,0))))+SUMPRODUCT((Inputs!$E$5:$E$110=$B31)*ISNUMBER(INDEX(Inputs!$K$5:$AJ$110,0,MATCH(X$2,Inputs!$K$4:$AJ$4,0))))=0,NA(),SUMPRODUCT((Inputs!$A$5:$A$110=$B31)*Inputs!$B$5:$B$110*(((Inputs!$G$5:$G$110="moeda")+(Inputs!$G$5:$G$110="acoes"))*Inputs!$B$1+((Inputs!$G$5:$G$110&lt;&gt;"moeda")*(Inputs!$G$5:$G$110&lt;&gt;"acoes")))*INDEX(Inputs!$K$5:$AJ$110,0,MATCH(X$2,Inputs!$K$4:$AJ$4,0)))+SUMPRODUCT((Inputs!$C$5:$C$110=$B31)*Inputs!$D$5:$D$110*(((Inputs!$G$5:$G$110="moeda")+(Inputs!$G$5:$G$110="acoes"))*Inputs!$B$1+((Inputs!$G$5:$G$110&lt;&gt;"moeda")*(Inputs!$G$5:$G$110&lt;&gt;"acoes")))*INDEX(Inputs!$K$5:$AJ$110,0,MATCH(X$2,Inputs!$K$4:$AJ$4,0)))+SUMPRODUCT((Inputs!$E$5:$E$110=$B31)*Inputs!$F$5:$F$110*(((Inputs!$G$5:$G$110="moeda")+(Inputs!$G$5:$G$110="acoes"))*Inputs!$B$1+((Inputs!$G$5:$G$110&lt;&gt;"moeda")*(Inputs!$G$5:$G$110&lt;&gt;"acoes")))*INDEX(Inputs!$K$5:$AJ$110,0,MATCH(X$2,Inputs!$K$4:$AJ$4,0)))))</f>
        <v>13332</v>
      </c>
      <c r="Y31" s="6">
        <f>IF(ISNA(MATCH(Y$2,Inputs!$K$4:$AJ$4,0)),NA(),IF(SUMPRODUCT((Inputs!$A$5:$A$110=$B31)*ISNUMBER(INDEX(Inputs!$K$5:$AJ$110,0,MATCH(Y$2,Inputs!$K$4:$AJ$4,0))))+SUMPRODUCT((Inputs!$C$5:$C$110=$B31)*ISNUMBER(INDEX(Inputs!$K$5:$AJ$110,0,MATCH(Y$2,Inputs!$K$4:$AJ$4,0))))+SUMPRODUCT((Inputs!$E$5:$E$110=$B31)*ISNUMBER(INDEX(Inputs!$K$5:$AJ$110,0,MATCH(Y$2,Inputs!$K$4:$AJ$4,0))))=0,NA(),SUMPRODUCT((Inputs!$A$5:$A$110=$B31)*Inputs!$B$5:$B$110*(((Inputs!$G$5:$G$110="moeda")+(Inputs!$G$5:$G$110="acoes"))*Inputs!$B$1+((Inputs!$G$5:$G$110&lt;&gt;"moeda")*(Inputs!$G$5:$G$110&lt;&gt;"acoes")))*INDEX(Inputs!$K$5:$AJ$110,0,MATCH(Y$2,Inputs!$K$4:$AJ$4,0)))+SUMPRODUCT((Inputs!$C$5:$C$110=$B31)*Inputs!$D$5:$D$110*(((Inputs!$G$5:$G$110="moeda")+(Inputs!$G$5:$G$110="acoes"))*Inputs!$B$1+((Inputs!$G$5:$G$110&lt;&gt;"moeda")*(Inputs!$G$5:$G$110&lt;&gt;"acoes")))*INDEX(Inputs!$K$5:$AJ$110,0,MATCH(Y$2,Inputs!$K$4:$AJ$4,0)))+SUMPRODUCT((Inputs!$E$5:$E$110=$B31)*Inputs!$F$5:$F$110*(((Inputs!$G$5:$G$110="moeda")+(Inputs!$G$5:$G$110="acoes"))*Inputs!$B$1+((Inputs!$G$5:$G$110&lt;&gt;"moeda")*(Inputs!$G$5:$G$110&lt;&gt;"acoes")))*INDEX(Inputs!$K$5:$AJ$110,0,MATCH(Y$2,Inputs!$K$4:$AJ$4,0)))))</f>
        <v>14822</v>
      </c>
      <c r="Z31" s="6">
        <f>IF(ISNA(MATCH(Z$2,Inputs!$K$4:$AJ$4,0)),NA(),IF(SUMPRODUCT((Inputs!$A$5:$A$110=$B31)*ISNUMBER(INDEX(Inputs!$K$5:$AJ$110,0,MATCH(Z$2,Inputs!$K$4:$AJ$4,0))))+SUMPRODUCT((Inputs!$C$5:$C$110=$B31)*ISNUMBER(INDEX(Inputs!$K$5:$AJ$110,0,MATCH(Z$2,Inputs!$K$4:$AJ$4,0))))+SUMPRODUCT((Inputs!$E$5:$E$110=$B31)*ISNUMBER(INDEX(Inputs!$K$5:$AJ$110,0,MATCH(Z$2,Inputs!$K$4:$AJ$4,0))))=0,NA(),SUMPRODUCT((Inputs!$A$5:$A$110=$B31)*Inputs!$B$5:$B$110*(((Inputs!$G$5:$G$110="moeda")+(Inputs!$G$5:$G$110="acoes"))*Inputs!$B$1+((Inputs!$G$5:$G$110&lt;&gt;"moeda")*(Inputs!$G$5:$G$110&lt;&gt;"acoes")))*INDEX(Inputs!$K$5:$AJ$110,0,MATCH(Z$2,Inputs!$K$4:$AJ$4,0)))+SUMPRODUCT((Inputs!$C$5:$C$110=$B31)*Inputs!$D$5:$D$110*(((Inputs!$G$5:$G$110="moeda")+(Inputs!$G$5:$G$110="acoes"))*Inputs!$B$1+((Inputs!$G$5:$G$110&lt;&gt;"moeda")*(Inputs!$G$5:$G$110&lt;&gt;"acoes")))*INDEX(Inputs!$K$5:$AJ$110,0,MATCH(Z$2,Inputs!$K$4:$AJ$4,0)))+SUMPRODUCT((Inputs!$E$5:$E$110=$B31)*Inputs!$F$5:$F$110*(((Inputs!$G$5:$G$110="moeda")+(Inputs!$G$5:$G$110="acoes"))*Inputs!$B$1+((Inputs!$G$5:$G$110&lt;&gt;"moeda")*(Inputs!$G$5:$G$110&lt;&gt;"acoes")))*INDEX(Inputs!$K$5:$AJ$110,0,MATCH(Z$2,Inputs!$K$4:$AJ$4,0)))))</f>
        <v>14406</v>
      </c>
      <c r="AA31" s="6">
        <f>IF(ISNA(MATCH(AA$2,Inputs!$K$4:$AJ$4,0)),NA(),IF(SUMPRODUCT((Inputs!$A$5:$A$110=$B31)*ISNUMBER(INDEX(Inputs!$K$5:$AJ$110,0,MATCH(AA$2,Inputs!$K$4:$AJ$4,0))))+SUMPRODUCT((Inputs!$C$5:$C$110=$B31)*ISNUMBER(INDEX(Inputs!$K$5:$AJ$110,0,MATCH(AA$2,Inputs!$K$4:$AJ$4,0))))+SUMPRODUCT((Inputs!$E$5:$E$110=$B31)*ISNUMBER(INDEX(Inputs!$K$5:$AJ$110,0,MATCH(AA$2,Inputs!$K$4:$AJ$4,0))))=0,NA(),SUMPRODUCT((Inputs!$A$5:$A$110=$B31)*Inputs!$B$5:$B$110*(((Inputs!$G$5:$G$110="moeda")+(Inputs!$G$5:$G$110="acoes"))*Inputs!$B$1+((Inputs!$G$5:$G$110&lt;&gt;"moeda")*(Inputs!$G$5:$G$110&lt;&gt;"acoes")))*INDEX(Inputs!$K$5:$AJ$110,0,MATCH(AA$2,Inputs!$K$4:$AJ$4,0)))+SUMPRODUCT((Inputs!$C$5:$C$110=$B31)*Inputs!$D$5:$D$110*(((Inputs!$G$5:$G$110="moeda")+(Inputs!$G$5:$G$110="acoes"))*Inputs!$B$1+((Inputs!$G$5:$G$110&lt;&gt;"moeda")*(Inputs!$G$5:$G$110&lt;&gt;"acoes")))*INDEX(Inputs!$K$5:$AJ$110,0,MATCH(AA$2,Inputs!$K$4:$AJ$4,0)))+SUMPRODUCT((Inputs!$E$5:$E$110=$B31)*Inputs!$F$5:$F$110*(((Inputs!$G$5:$G$110="moeda")+(Inputs!$G$5:$G$110="acoes"))*Inputs!$B$1+((Inputs!$G$5:$G$110&lt;&gt;"moeda")*(Inputs!$G$5:$G$110&lt;&gt;"acoes")))*INDEX(Inputs!$K$5:$AJ$110,0,MATCH(AA$2,Inputs!$K$4:$AJ$4,0)))))</f>
        <v>15353</v>
      </c>
      <c r="AB31" s="3">
        <f>AA31</f>
        <v>15353</v>
      </c>
      <c r="AC31" s="6">
        <f>IF(ISNA(MATCH(AC$2,Inputs!$K$4:$AJ$4,0)),NA(),IF(SUMPRODUCT((Inputs!$A$5:$A$110=$B31)*ISNUMBER(INDEX(Inputs!$K$5:$AJ$110,0,MATCH(AC$2,Inputs!$K$4:$AJ$4,0))))+SUMPRODUCT((Inputs!$C$5:$C$110=$B31)*ISNUMBER(INDEX(Inputs!$K$5:$AJ$110,0,MATCH(AC$2,Inputs!$K$4:$AJ$4,0))))+SUMPRODUCT((Inputs!$E$5:$E$110=$B31)*ISNUMBER(INDEX(Inputs!$K$5:$AJ$110,0,MATCH(AC$2,Inputs!$K$4:$AJ$4,0))))=0,NA(),SUMPRODUCT((Inputs!$A$5:$A$110=$B31)*Inputs!$B$5:$B$110*(((Inputs!$G$5:$G$110="moeda")+(Inputs!$G$5:$G$110="acoes"))*Inputs!$B$1+((Inputs!$G$5:$G$110&lt;&gt;"moeda")*(Inputs!$G$5:$G$110&lt;&gt;"acoes")))*INDEX(Inputs!$K$5:$AJ$110,0,MATCH(AC$2,Inputs!$K$4:$AJ$4,0)))+SUMPRODUCT((Inputs!$C$5:$C$110=$B31)*Inputs!$D$5:$D$110*(((Inputs!$G$5:$G$110="moeda")+(Inputs!$G$5:$G$110="acoes"))*Inputs!$B$1+((Inputs!$G$5:$G$110&lt;&gt;"moeda")*(Inputs!$G$5:$G$110&lt;&gt;"acoes")))*INDEX(Inputs!$K$5:$AJ$110,0,MATCH(AC$2,Inputs!$K$4:$AJ$4,0)))+SUMPRODUCT((Inputs!$E$5:$E$110=$B31)*Inputs!$F$5:$F$110*(((Inputs!$G$5:$G$110="moeda")+(Inputs!$G$5:$G$110="acoes"))*Inputs!$B$1+((Inputs!$G$5:$G$110&lt;&gt;"moeda")*(Inputs!$G$5:$G$110&lt;&gt;"acoes")))*INDEX(Inputs!$K$5:$AJ$110,0,MATCH(AC$2,Inputs!$K$4:$AJ$4,0)))))</f>
        <v>14539</v>
      </c>
      <c r="AD31" s="6">
        <f>IF(ISNA(MATCH(AD$2,Inputs!$K$4:$AJ$4,0)),NA(),IF(SUMPRODUCT((Inputs!$A$5:$A$110=$B31)*ISNUMBER(INDEX(Inputs!$K$5:$AJ$110,0,MATCH(AD$2,Inputs!$K$4:$AJ$4,0))))+SUMPRODUCT((Inputs!$C$5:$C$110=$B31)*ISNUMBER(INDEX(Inputs!$K$5:$AJ$110,0,MATCH(AD$2,Inputs!$K$4:$AJ$4,0))))+SUMPRODUCT((Inputs!$E$5:$E$110=$B31)*ISNUMBER(INDEX(Inputs!$K$5:$AJ$110,0,MATCH(AD$2,Inputs!$K$4:$AJ$4,0))))=0,NA(),SUMPRODUCT((Inputs!$A$5:$A$110=$B31)*Inputs!$B$5:$B$110*(((Inputs!$G$5:$G$110="moeda")+(Inputs!$G$5:$G$110="acoes"))*Inputs!$B$1+((Inputs!$G$5:$G$110&lt;&gt;"moeda")*(Inputs!$G$5:$G$110&lt;&gt;"acoes")))*INDEX(Inputs!$K$5:$AJ$110,0,MATCH(AD$2,Inputs!$K$4:$AJ$4,0)))+SUMPRODUCT((Inputs!$C$5:$C$110=$B31)*Inputs!$D$5:$D$110*(((Inputs!$G$5:$G$110="moeda")+(Inputs!$G$5:$G$110="acoes"))*Inputs!$B$1+((Inputs!$G$5:$G$110&lt;&gt;"moeda")*(Inputs!$G$5:$G$110&lt;&gt;"acoes")))*INDEX(Inputs!$K$5:$AJ$110,0,MATCH(AD$2,Inputs!$K$4:$AJ$4,0)))+SUMPRODUCT((Inputs!$E$5:$E$110=$B31)*Inputs!$F$5:$F$110*(((Inputs!$G$5:$G$110="moeda")+(Inputs!$G$5:$G$110="acoes"))*Inputs!$B$1+((Inputs!$G$5:$G$110&lt;&gt;"moeda")*(Inputs!$G$5:$G$110&lt;&gt;"acoes")))*INDEX(Inputs!$K$5:$AJ$110,0,MATCH(AD$2,Inputs!$K$4:$AJ$4,0)))))</f>
        <v>15891</v>
      </c>
      <c r="AE31" s="6" t="e">
        <f>IF(ISNA(MATCH(AE$2,Inputs!$K$4:$AJ$4,0)),NA(),IF(SUMPRODUCT((Inputs!$A$5:$A$110=$B31)*ISNUMBER(INDEX(Inputs!$K$5:$AJ$110,0,MATCH(AE$2,Inputs!$K$4:$AJ$4,0))))+SUMPRODUCT((Inputs!$C$5:$C$110=$B31)*ISNUMBER(INDEX(Inputs!$K$5:$AJ$110,0,MATCH(AE$2,Inputs!$K$4:$AJ$4,0))))+SUMPRODUCT((Inputs!$E$5:$E$110=$B31)*ISNUMBER(INDEX(Inputs!$K$5:$AJ$110,0,MATCH(AE$2,Inputs!$K$4:$AJ$4,0))))=0,NA(),SUMPRODUCT((Inputs!$A$5:$A$110=$B31)*Inputs!$B$5:$B$110*(((Inputs!$G$5:$G$110="moeda")+(Inputs!$G$5:$G$110="acoes"))*Inputs!$B$1+((Inputs!$G$5:$G$110&lt;&gt;"moeda")*(Inputs!$G$5:$G$110&lt;&gt;"acoes")))*INDEX(Inputs!$K$5:$AJ$110,0,MATCH(AE$2,Inputs!$K$4:$AJ$4,0)))+SUMPRODUCT((Inputs!$C$5:$C$110=$B31)*Inputs!$D$5:$D$110*(((Inputs!$G$5:$G$110="moeda")+(Inputs!$G$5:$G$110="acoes"))*Inputs!$B$1+((Inputs!$G$5:$G$110&lt;&gt;"moeda")*(Inputs!$G$5:$G$110&lt;&gt;"acoes")))*INDEX(Inputs!$K$5:$AJ$110,0,MATCH(AE$2,Inputs!$K$4:$AJ$4,0)))+SUMPRODUCT((Inputs!$E$5:$E$110=$B31)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1" s="6" t="e">
        <f>IF(ISNA(MATCH(AF$2,Inputs!$K$4:$AJ$4,0)),NA(),IF(SUMPRODUCT((Inputs!$A$5:$A$110=$B31)*ISNUMBER(INDEX(Inputs!$K$5:$AJ$110,0,MATCH(AF$2,Inputs!$K$4:$AJ$4,0))))+SUMPRODUCT((Inputs!$C$5:$C$110=$B31)*ISNUMBER(INDEX(Inputs!$K$5:$AJ$110,0,MATCH(AF$2,Inputs!$K$4:$AJ$4,0))))+SUMPRODUCT((Inputs!$E$5:$E$110=$B31)*ISNUMBER(INDEX(Inputs!$K$5:$AJ$110,0,MATCH(AF$2,Inputs!$K$4:$AJ$4,0))))=0,NA(),SUMPRODUCT((Inputs!$A$5:$A$110=$B31)*Inputs!$B$5:$B$110*(((Inputs!$G$5:$G$110="moeda")+(Inputs!$G$5:$G$110="acoes"))*Inputs!$B$1+((Inputs!$G$5:$G$110&lt;&gt;"moeda")*(Inputs!$G$5:$G$110&lt;&gt;"acoes")))*INDEX(Inputs!$K$5:$AJ$110,0,MATCH(AF$2,Inputs!$K$4:$AJ$4,0)))+SUMPRODUCT((Inputs!$C$5:$C$110=$B31)*Inputs!$D$5:$D$110*(((Inputs!$G$5:$G$110="moeda")+(Inputs!$G$5:$G$110="acoes"))*Inputs!$B$1+((Inputs!$G$5:$G$110&lt;&gt;"moeda")*(Inputs!$G$5:$G$110&lt;&gt;"acoes")))*INDEX(Inputs!$K$5:$AJ$110,0,MATCH(AF$2,Inputs!$K$4:$AJ$4,0)))+SUMPRODUCT((Inputs!$E$5:$E$110=$B31)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1" s="3" t="e">
        <f>AF31</f>
        <v>#N/A</v>
      </c>
      <c r="AH31" s="6">
        <f>IF(ISNA(MATCH(AH$2,Inputs!$K$4:$AJ$4,0)),NA(),IF(SUMPRODUCT((Inputs!$A$5:$A$110=$B31)*ISNUMBER(INDEX(Inputs!$K$5:$AJ$110,0,MATCH(AH$2,Inputs!$K$4:$AJ$4,0))))+SUMPRODUCT((Inputs!$C$5:$C$110=$B31)*ISNUMBER(INDEX(Inputs!$K$5:$AJ$110,0,MATCH(AH$2,Inputs!$K$4:$AJ$4,0))))+SUMPRODUCT((Inputs!$E$5:$E$110=$B31)*ISNUMBER(INDEX(Inputs!$K$5:$AJ$110,0,MATCH(AH$2,Inputs!$K$4:$AJ$4,0))))=0,NA(),SUMPRODUCT((Inputs!$A$5:$A$110=$B31)*Inputs!$B$5:$B$110*(((Inputs!$G$5:$G$110="moeda")+(Inputs!$G$5:$G$110="acoes"))*Inputs!$B$1+((Inputs!$G$5:$G$110&lt;&gt;"moeda")*(Inputs!$G$5:$G$110&lt;&gt;"acoes")))*INDEX(Inputs!$K$5:$AJ$110,0,MATCH(AH$2,Inputs!$K$4:$AJ$4,0)))+SUMPRODUCT((Inputs!$C$5:$C$110=$B31)*Inputs!$D$5:$D$110*(((Inputs!$G$5:$G$110="moeda")+(Inputs!$G$5:$G$110="acoes"))*Inputs!$B$1+((Inputs!$G$5:$G$110&lt;&gt;"moeda")*(Inputs!$G$5:$G$110&lt;&gt;"acoes")))*INDEX(Inputs!$K$5:$AJ$110,0,MATCH(AH$2,Inputs!$K$4:$AJ$4,0)))+SUMPRODUCT((Inputs!$E$5:$E$110=$B31)*Inputs!$F$5:$F$110*(((Inputs!$G$5:$G$110="moeda")+(Inputs!$G$5:$G$110="acoes"))*Inputs!$B$1+((Inputs!$G$5:$G$110&lt;&gt;"moeda")*(Inputs!$G$5:$G$110&lt;&gt;"acoes")))*INDEX(Inputs!$K$5:$AJ$110,0,MATCH(AH$2,Inputs!$K$4:$AJ$4,0)))))</f>
        <v>9214</v>
      </c>
      <c r="AI31" s="6">
        <f>IF(ISNA(MATCH(AI$2,Inputs!$K$4:$AJ$4,0)),NA(),IF(SUMPRODUCT((Inputs!$A$5:$A$110=$B31)*ISNUMBER(INDEX(Inputs!$K$5:$AJ$110,0,MATCH(AI$2,Inputs!$K$4:$AJ$4,0))))+SUMPRODUCT((Inputs!$C$5:$C$110=$B31)*ISNUMBER(INDEX(Inputs!$K$5:$AJ$110,0,MATCH(AI$2,Inputs!$K$4:$AJ$4,0))))+SUMPRODUCT((Inputs!$E$5:$E$110=$B31)*ISNUMBER(INDEX(Inputs!$K$5:$AJ$110,0,MATCH(AI$2,Inputs!$K$4:$AJ$4,0))))=0,NA(),SUMPRODUCT((Inputs!$A$5:$A$110=$B31)*Inputs!$B$5:$B$110*(((Inputs!$G$5:$G$110="moeda")+(Inputs!$G$5:$G$110="acoes"))*Inputs!$B$1+((Inputs!$G$5:$G$110&lt;&gt;"moeda")*(Inputs!$G$5:$G$110&lt;&gt;"acoes")))*INDEX(Inputs!$K$5:$AJ$110,0,MATCH(AI$2,Inputs!$K$4:$AJ$4,0)))+SUMPRODUCT((Inputs!$C$5:$C$110=$B31)*Inputs!$D$5:$D$110*(((Inputs!$G$5:$G$110="moeda")+(Inputs!$G$5:$G$110="acoes"))*Inputs!$B$1+((Inputs!$G$5:$G$110&lt;&gt;"moeda")*(Inputs!$G$5:$G$110&lt;&gt;"acoes")))*INDEX(Inputs!$K$5:$AJ$110,0,MATCH(AI$2,Inputs!$K$4:$AJ$4,0)))+SUMPRODUCT((Inputs!$E$5:$E$110=$B31)*Inputs!$F$5:$F$110*(((Inputs!$G$5:$G$110="moeda")+(Inputs!$G$5:$G$110="acoes"))*Inputs!$B$1+((Inputs!$G$5:$G$110&lt;&gt;"moeda")*(Inputs!$G$5:$G$110&lt;&gt;"acoes")))*INDEX(Inputs!$K$5:$AJ$110,0,MATCH(AI$2,Inputs!$K$4:$AJ$4,0)))))</f>
        <v>10447</v>
      </c>
      <c r="AJ31" s="6">
        <f>IF(ISNA(MATCH(AJ$2,Inputs!$K$4:$AJ$4,0)),NA(),IF(SUMPRODUCT((Inputs!$A$5:$A$110=$B31)*ISNUMBER(INDEX(Inputs!$K$5:$AJ$110,0,MATCH(AJ$2,Inputs!$K$4:$AJ$4,0))))+SUMPRODUCT((Inputs!$C$5:$C$110=$B31)*ISNUMBER(INDEX(Inputs!$K$5:$AJ$110,0,MATCH(AJ$2,Inputs!$K$4:$AJ$4,0))))+SUMPRODUCT((Inputs!$E$5:$E$110=$B31)*ISNUMBER(INDEX(Inputs!$K$5:$AJ$110,0,MATCH(AJ$2,Inputs!$K$4:$AJ$4,0))))=0,NA(),SUMPRODUCT((Inputs!$A$5:$A$110=$B31)*Inputs!$B$5:$B$110*(((Inputs!$G$5:$G$110="moeda")+(Inputs!$G$5:$G$110="acoes"))*Inputs!$B$1+((Inputs!$G$5:$G$110&lt;&gt;"moeda")*(Inputs!$G$5:$G$110&lt;&gt;"acoes")))*INDEX(Inputs!$K$5:$AJ$110,0,MATCH(AJ$2,Inputs!$K$4:$AJ$4,0)))+SUMPRODUCT((Inputs!$C$5:$C$110=$B31)*Inputs!$D$5:$D$110*(((Inputs!$G$5:$G$110="moeda")+(Inputs!$G$5:$G$110="acoes"))*Inputs!$B$1+((Inputs!$G$5:$G$110&lt;&gt;"moeda")*(Inputs!$G$5:$G$110&lt;&gt;"acoes")))*INDEX(Inputs!$K$5:$AJ$110,0,MATCH(AJ$2,Inputs!$K$4:$AJ$4,0)))+SUMPRODUCT((Inputs!$E$5:$E$110=$B31)*Inputs!$F$5:$F$110*(((Inputs!$G$5:$G$110="moeda")+(Inputs!$G$5:$G$110="acoes"))*Inputs!$B$1+((Inputs!$G$5:$G$110&lt;&gt;"moeda")*(Inputs!$G$5:$G$110&lt;&gt;"acoes")))*INDEX(Inputs!$K$5:$AJ$110,0,MATCH(AJ$2,Inputs!$K$4:$AJ$4,0)))))</f>
        <v>9892</v>
      </c>
      <c r="AK31" s="6">
        <f>IF(ISNA(MATCH(AK$2,Inputs!$K$4:$AJ$4,0)),NA(),IF(SUMPRODUCT((Inputs!$A$5:$A$110=$B31)*ISNUMBER(INDEX(Inputs!$K$5:$AJ$110,0,MATCH(AK$2,Inputs!$K$4:$AJ$4,0))))+SUMPRODUCT((Inputs!$C$5:$C$110=$B31)*ISNUMBER(INDEX(Inputs!$K$5:$AJ$110,0,MATCH(AK$2,Inputs!$K$4:$AJ$4,0))))+SUMPRODUCT((Inputs!$E$5:$E$110=$B31)*ISNUMBER(INDEX(Inputs!$K$5:$AJ$110,0,MATCH(AK$2,Inputs!$K$4:$AJ$4,0))))=0,NA(),SUMPRODUCT((Inputs!$A$5:$A$110=$B31)*Inputs!$B$5:$B$110*(((Inputs!$G$5:$G$110="moeda")+(Inputs!$G$5:$G$110="acoes"))*Inputs!$B$1+((Inputs!$G$5:$G$110&lt;&gt;"moeda")*(Inputs!$G$5:$G$110&lt;&gt;"acoes")))*INDEX(Inputs!$K$5:$AJ$110,0,MATCH(AK$2,Inputs!$K$4:$AJ$4,0)))+SUMPRODUCT((Inputs!$C$5:$C$110=$B31)*Inputs!$D$5:$D$110*(((Inputs!$G$5:$G$110="moeda")+(Inputs!$G$5:$G$110="acoes"))*Inputs!$B$1+((Inputs!$G$5:$G$110&lt;&gt;"moeda")*(Inputs!$G$5:$G$110&lt;&gt;"acoes")))*INDEX(Inputs!$K$5:$AJ$110,0,MATCH(AK$2,Inputs!$K$4:$AJ$4,0)))+SUMPRODUCT((Inputs!$E$5:$E$110=$B31)*Inputs!$F$5:$F$110*(((Inputs!$G$5:$G$110="moeda")+(Inputs!$G$5:$G$110="acoes"))*Inputs!$B$1+((Inputs!$G$5:$G$110&lt;&gt;"moeda")*(Inputs!$G$5:$G$110&lt;&gt;"acoes")))*INDEX(Inputs!$K$5:$AJ$110,0,MATCH(AK$2,Inputs!$K$4:$AJ$4,0)))))</f>
        <v>9390</v>
      </c>
      <c r="AL31" s="3">
        <f>AK31</f>
        <v>9390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$110=$B32)*ISNUMBER(INDEX(Inputs!$K$5:$AJ$110,0,MATCH(D$2,Inputs!$K$4:$AJ$4,0))))+SUMPRODUCT((Inputs!$C$5:$C$110=$B32)*ISNUMBER(INDEX(Inputs!$K$5:$AJ$110,0,MATCH(D$2,Inputs!$K$4:$AJ$4,0))))+SUMPRODUCT((Inputs!$E$5:$E$110=$B32)*ISNUMBER(INDEX(Inputs!$K$5:$AJ$110,0,MATCH(D$2,Inputs!$K$4:$AJ$4,0))))=0,NA(),SUMPRODUCT((Inputs!$A$5:$A$110=$B32)*Inputs!$B$5:$B$110*(((Inputs!$G$5:$G$110="moeda")+(Inputs!$G$5:$G$110="acoes"))*Inputs!$B$1+((Inputs!$G$5:$G$110&lt;&gt;"moeda")*(Inputs!$G$5:$G$110&lt;&gt;"acoes")))*INDEX(Inputs!$K$5:$AJ$110,0,MATCH(D$2,Inputs!$K$4:$AJ$4,0)))+SUMPRODUCT((Inputs!$C$5:$C$110=$B32)*Inputs!$D$5:$D$110*(((Inputs!$G$5:$G$110="moeda")+(Inputs!$G$5:$G$110="acoes"))*Inputs!$B$1+((Inputs!$G$5:$G$110&lt;&gt;"moeda")*(Inputs!$G$5:$G$110&lt;&gt;"acoes")))*INDEX(Inputs!$K$5:$AJ$110,0,MATCH(D$2,Inputs!$K$4:$AJ$4,0)))+SUMPRODUCT((Inputs!$E$5:$E$110=$B32)*Inputs!$F$5:$F$110*(((Inputs!$G$5:$G$110="moeda")+(Inputs!$G$5:$G$110="acoes"))*Inputs!$B$1+((Inputs!$G$5:$G$110&lt;&gt;"moeda")*(Inputs!$G$5:$G$110&lt;&gt;"acoes")))*INDEX(Inputs!$K$5:$AJ$110,0,MATCH(D$2,Inputs!$K$4:$AJ$4,0)))))</f>
        <v>506</v>
      </c>
      <c r="E32" s="6">
        <f>IF(ISNA(MATCH(E$2,Inputs!$K$4:$AJ$4,0)),NA(),IF(SUMPRODUCT((Inputs!$A$5:$A$110=$B32)*ISNUMBER(INDEX(Inputs!$K$5:$AJ$110,0,MATCH(E$2,Inputs!$K$4:$AJ$4,0))))+SUMPRODUCT((Inputs!$C$5:$C$110=$B32)*ISNUMBER(INDEX(Inputs!$K$5:$AJ$110,0,MATCH(E$2,Inputs!$K$4:$AJ$4,0))))+SUMPRODUCT((Inputs!$E$5:$E$110=$B32)*ISNUMBER(INDEX(Inputs!$K$5:$AJ$110,0,MATCH(E$2,Inputs!$K$4:$AJ$4,0))))=0,NA(),SUMPRODUCT((Inputs!$A$5:$A$110=$B32)*Inputs!$B$5:$B$110*(((Inputs!$G$5:$G$110="moeda")+(Inputs!$G$5:$G$110="acoes"))*Inputs!$B$1+((Inputs!$G$5:$G$110&lt;&gt;"moeda")*(Inputs!$G$5:$G$110&lt;&gt;"acoes")))*INDEX(Inputs!$K$5:$AJ$110,0,MATCH(E$2,Inputs!$K$4:$AJ$4,0)))+SUMPRODUCT((Inputs!$C$5:$C$110=$B32)*Inputs!$D$5:$D$110*(((Inputs!$G$5:$G$110="moeda")+(Inputs!$G$5:$G$110="acoes"))*Inputs!$B$1+((Inputs!$G$5:$G$110&lt;&gt;"moeda")*(Inputs!$G$5:$G$110&lt;&gt;"acoes")))*INDEX(Inputs!$K$5:$AJ$110,0,MATCH(E$2,Inputs!$K$4:$AJ$4,0)))+SUMPRODUCT((Inputs!$E$5:$E$110=$B32)*Inputs!$F$5:$F$110*(((Inputs!$G$5:$G$110="moeda")+(Inputs!$G$5:$G$110="acoes"))*Inputs!$B$1+((Inputs!$G$5:$G$110&lt;&gt;"moeda")*(Inputs!$G$5:$G$110&lt;&gt;"acoes")))*INDEX(Inputs!$K$5:$AJ$110,0,MATCH(E$2,Inputs!$K$4:$AJ$4,0)))))</f>
        <v>506</v>
      </c>
      <c r="F32" s="6">
        <f>IF(ISNA(MATCH(F$2,Inputs!$K$4:$AJ$4,0)),NA(),IF(SUMPRODUCT((Inputs!$A$5:$A$110=$B32)*ISNUMBER(INDEX(Inputs!$K$5:$AJ$110,0,MATCH(F$2,Inputs!$K$4:$AJ$4,0))))+SUMPRODUCT((Inputs!$C$5:$C$110=$B32)*ISNUMBER(INDEX(Inputs!$K$5:$AJ$110,0,MATCH(F$2,Inputs!$K$4:$AJ$4,0))))+SUMPRODUCT((Inputs!$E$5:$E$110=$B32)*ISNUMBER(INDEX(Inputs!$K$5:$AJ$110,0,MATCH(F$2,Inputs!$K$4:$AJ$4,0))))=0,NA(),SUMPRODUCT((Inputs!$A$5:$A$110=$B32)*Inputs!$B$5:$B$110*(((Inputs!$G$5:$G$110="moeda")+(Inputs!$G$5:$G$110="acoes"))*Inputs!$B$1+((Inputs!$G$5:$G$110&lt;&gt;"moeda")*(Inputs!$G$5:$G$110&lt;&gt;"acoes")))*INDEX(Inputs!$K$5:$AJ$110,0,MATCH(F$2,Inputs!$K$4:$AJ$4,0)))+SUMPRODUCT((Inputs!$C$5:$C$110=$B32)*Inputs!$D$5:$D$110*(((Inputs!$G$5:$G$110="moeda")+(Inputs!$G$5:$G$110="acoes"))*Inputs!$B$1+((Inputs!$G$5:$G$110&lt;&gt;"moeda")*(Inputs!$G$5:$G$110&lt;&gt;"acoes")))*INDEX(Inputs!$K$5:$AJ$110,0,MATCH(F$2,Inputs!$K$4:$AJ$4,0)))+SUMPRODUCT((Inputs!$E$5:$E$110=$B32)*Inputs!$F$5:$F$110*(((Inputs!$G$5:$G$110="moeda")+(Inputs!$G$5:$G$110="acoes"))*Inputs!$B$1+((Inputs!$G$5:$G$110&lt;&gt;"moeda")*(Inputs!$G$5:$G$110&lt;&gt;"acoes")))*INDEX(Inputs!$K$5:$AJ$110,0,MATCH(F$2,Inputs!$K$4:$AJ$4,0)))))</f>
        <v>6</v>
      </c>
      <c r="G32" s="6">
        <f>IF(ISNA(MATCH(G$2,Inputs!$K$4:$AJ$4,0)),NA(),IF(SUMPRODUCT((Inputs!$A$5:$A$110=$B32)*ISNUMBER(INDEX(Inputs!$K$5:$AJ$110,0,MATCH(G$2,Inputs!$K$4:$AJ$4,0))))+SUMPRODUCT((Inputs!$C$5:$C$110=$B32)*ISNUMBER(INDEX(Inputs!$K$5:$AJ$110,0,MATCH(G$2,Inputs!$K$4:$AJ$4,0))))+SUMPRODUCT((Inputs!$E$5:$E$110=$B32)*ISNUMBER(INDEX(Inputs!$K$5:$AJ$110,0,MATCH(G$2,Inputs!$K$4:$AJ$4,0))))=0,NA(),SUMPRODUCT((Inputs!$A$5:$A$110=$B32)*Inputs!$B$5:$B$110*(((Inputs!$G$5:$G$110="moeda")+(Inputs!$G$5:$G$110="acoes"))*Inputs!$B$1+((Inputs!$G$5:$G$110&lt;&gt;"moeda")*(Inputs!$G$5:$G$110&lt;&gt;"acoes")))*INDEX(Inputs!$K$5:$AJ$110,0,MATCH(G$2,Inputs!$K$4:$AJ$4,0)))+SUMPRODUCT((Inputs!$C$5:$C$110=$B32)*Inputs!$D$5:$D$110*(((Inputs!$G$5:$G$110="moeda")+(Inputs!$G$5:$G$110="acoes"))*Inputs!$B$1+((Inputs!$G$5:$G$110&lt;&gt;"moeda")*(Inputs!$G$5:$G$110&lt;&gt;"acoes")))*INDEX(Inputs!$K$5:$AJ$110,0,MATCH(G$2,Inputs!$K$4:$AJ$4,0)))+SUMPRODUCT((Inputs!$E$5:$E$110=$B32)*Inputs!$F$5:$F$110*(((Inputs!$G$5:$G$110="moeda")+(Inputs!$G$5:$G$110="acoes"))*Inputs!$B$1+((Inputs!$G$5:$G$110&lt;&gt;"moeda")*(Inputs!$G$5:$G$110&lt;&gt;"acoes")))*INDEX(Inputs!$K$5:$AJ$110,0,MATCH(G$2,Inputs!$K$4:$AJ$4,0)))))</f>
        <v>6</v>
      </c>
      <c r="H32" s="3">
        <f>G32</f>
        <v>6</v>
      </c>
      <c r="I32" s="6">
        <f>IF(ISNA(MATCH(I$2,Inputs!$K$4:$AJ$4,0)),NA(),IF(SUMPRODUCT((Inputs!$A$5:$A$110=$B32)*ISNUMBER(INDEX(Inputs!$K$5:$AJ$110,0,MATCH(I$2,Inputs!$K$4:$AJ$4,0))))+SUMPRODUCT((Inputs!$C$5:$C$110=$B32)*ISNUMBER(INDEX(Inputs!$K$5:$AJ$110,0,MATCH(I$2,Inputs!$K$4:$AJ$4,0))))+SUMPRODUCT((Inputs!$E$5:$E$110=$B32)*ISNUMBER(INDEX(Inputs!$K$5:$AJ$110,0,MATCH(I$2,Inputs!$K$4:$AJ$4,0))))=0,NA(),SUMPRODUCT((Inputs!$A$5:$A$110=$B32)*Inputs!$B$5:$B$110*(((Inputs!$G$5:$G$110="moeda")+(Inputs!$G$5:$G$110="acoes"))*Inputs!$B$1+((Inputs!$G$5:$G$110&lt;&gt;"moeda")*(Inputs!$G$5:$G$110&lt;&gt;"acoes")))*INDEX(Inputs!$K$5:$AJ$110,0,MATCH(I$2,Inputs!$K$4:$AJ$4,0)))+SUMPRODUCT((Inputs!$C$5:$C$110=$B32)*Inputs!$D$5:$D$110*(((Inputs!$G$5:$G$110="moeda")+(Inputs!$G$5:$G$110="acoes"))*Inputs!$B$1+((Inputs!$G$5:$G$110&lt;&gt;"moeda")*(Inputs!$G$5:$G$110&lt;&gt;"acoes")))*INDEX(Inputs!$K$5:$AJ$110,0,MATCH(I$2,Inputs!$K$4:$AJ$4,0)))+SUMPRODUCT((Inputs!$E$5:$E$110=$B32)*Inputs!$F$5:$F$110*(((Inputs!$G$5:$G$110="moeda")+(Inputs!$G$5:$G$110="acoes"))*Inputs!$B$1+((Inputs!$G$5:$G$110&lt;&gt;"moeda")*(Inputs!$G$5:$G$110&lt;&gt;"acoes")))*INDEX(Inputs!$K$5:$AJ$110,0,MATCH(I$2,Inputs!$K$4:$AJ$4,0)))))</f>
        <v>500</v>
      </c>
      <c r="J32" s="6">
        <f>IF(ISNA(MATCH(J$2,Inputs!$K$4:$AJ$4,0)),NA(),IF(SUMPRODUCT((Inputs!$A$5:$A$110=$B32)*ISNUMBER(INDEX(Inputs!$K$5:$AJ$110,0,MATCH(J$2,Inputs!$K$4:$AJ$4,0))))+SUMPRODUCT((Inputs!$C$5:$C$110=$B32)*ISNUMBER(INDEX(Inputs!$K$5:$AJ$110,0,MATCH(J$2,Inputs!$K$4:$AJ$4,0))))+SUMPRODUCT((Inputs!$E$5:$E$110=$B32)*ISNUMBER(INDEX(Inputs!$K$5:$AJ$110,0,MATCH(J$2,Inputs!$K$4:$AJ$4,0))))=0,NA(),SUMPRODUCT((Inputs!$A$5:$A$110=$B32)*Inputs!$B$5:$B$110*(((Inputs!$G$5:$G$110="moeda")+(Inputs!$G$5:$G$110="acoes"))*Inputs!$B$1+((Inputs!$G$5:$G$110&lt;&gt;"moeda")*(Inputs!$G$5:$G$110&lt;&gt;"acoes")))*INDEX(Inputs!$K$5:$AJ$110,0,MATCH(J$2,Inputs!$K$4:$AJ$4,0)))+SUMPRODUCT((Inputs!$C$5:$C$110=$B32)*Inputs!$D$5:$D$110*(((Inputs!$G$5:$G$110="moeda")+(Inputs!$G$5:$G$110="acoes"))*Inputs!$B$1+((Inputs!$G$5:$G$110&lt;&gt;"moeda")*(Inputs!$G$5:$G$110&lt;&gt;"acoes")))*INDEX(Inputs!$K$5:$AJ$110,0,MATCH(J$2,Inputs!$K$4:$AJ$4,0)))+SUMPRODUCT((Inputs!$E$5:$E$110=$B32)*Inputs!$F$5:$F$110*(((Inputs!$G$5:$G$110="moeda")+(Inputs!$G$5:$G$110="acoes"))*Inputs!$B$1+((Inputs!$G$5:$G$110&lt;&gt;"moeda")*(Inputs!$G$5:$G$110&lt;&gt;"acoes")))*INDEX(Inputs!$K$5:$AJ$110,0,MATCH(J$2,Inputs!$K$4:$AJ$4,0)))))</f>
        <v>0</v>
      </c>
      <c r="K32" s="6">
        <f>IF(ISNA(MATCH(K$2,Inputs!$K$4:$AJ$4,0)),NA(),IF(SUMPRODUCT((Inputs!$A$5:$A$110=$B32)*ISNUMBER(INDEX(Inputs!$K$5:$AJ$110,0,MATCH(K$2,Inputs!$K$4:$AJ$4,0))))+SUMPRODUCT((Inputs!$C$5:$C$110=$B32)*ISNUMBER(INDEX(Inputs!$K$5:$AJ$110,0,MATCH(K$2,Inputs!$K$4:$AJ$4,0))))+SUMPRODUCT((Inputs!$E$5:$E$110=$B32)*ISNUMBER(INDEX(Inputs!$K$5:$AJ$110,0,MATCH(K$2,Inputs!$K$4:$AJ$4,0))))=0,NA(),SUMPRODUCT((Inputs!$A$5:$A$110=$B32)*Inputs!$B$5:$B$110*(((Inputs!$G$5:$G$110="moeda")+(Inputs!$G$5:$G$110="acoes"))*Inputs!$B$1+((Inputs!$G$5:$G$110&lt;&gt;"moeda")*(Inputs!$G$5:$G$110&lt;&gt;"acoes")))*INDEX(Inputs!$K$5:$AJ$110,0,MATCH(K$2,Inputs!$K$4:$AJ$4,0)))+SUMPRODUCT((Inputs!$C$5:$C$110=$B32)*Inputs!$D$5:$D$110*(((Inputs!$G$5:$G$110="moeda")+(Inputs!$G$5:$G$110="acoes"))*Inputs!$B$1+((Inputs!$G$5:$G$110&lt;&gt;"moeda")*(Inputs!$G$5:$G$110&lt;&gt;"acoes")))*INDEX(Inputs!$K$5:$AJ$110,0,MATCH(K$2,Inputs!$K$4:$AJ$4,0)))+SUMPRODUCT((Inputs!$E$5:$E$110=$B32)*Inputs!$F$5:$F$110*(((Inputs!$G$5:$G$110="moeda")+(Inputs!$G$5:$G$110="acoes"))*Inputs!$B$1+((Inputs!$G$5:$G$110&lt;&gt;"moeda")*(Inputs!$G$5:$G$110&lt;&gt;"acoes")))*INDEX(Inputs!$K$5:$AJ$110,0,MATCH(K$2,Inputs!$K$4:$AJ$4,0)))))</f>
        <v>0</v>
      </c>
      <c r="L32" s="6">
        <f>IF(ISNA(MATCH(L$2,Inputs!$K$4:$AJ$4,0)),NA(),IF(SUMPRODUCT((Inputs!$A$5:$A$110=$B32)*ISNUMBER(INDEX(Inputs!$K$5:$AJ$110,0,MATCH(L$2,Inputs!$K$4:$AJ$4,0))))+SUMPRODUCT((Inputs!$C$5:$C$110=$B32)*ISNUMBER(INDEX(Inputs!$K$5:$AJ$110,0,MATCH(L$2,Inputs!$K$4:$AJ$4,0))))+SUMPRODUCT((Inputs!$E$5:$E$110=$B32)*ISNUMBER(INDEX(Inputs!$K$5:$AJ$110,0,MATCH(L$2,Inputs!$K$4:$AJ$4,0))))=0,NA(),SUMPRODUCT((Inputs!$A$5:$A$110=$B32)*Inputs!$B$5:$B$110*(((Inputs!$G$5:$G$110="moeda")+(Inputs!$G$5:$G$110="acoes"))*Inputs!$B$1+((Inputs!$G$5:$G$110&lt;&gt;"moeda")*(Inputs!$G$5:$G$110&lt;&gt;"acoes")))*INDEX(Inputs!$K$5:$AJ$110,0,MATCH(L$2,Inputs!$K$4:$AJ$4,0)))+SUMPRODUCT((Inputs!$C$5:$C$110=$B32)*Inputs!$D$5:$D$110*(((Inputs!$G$5:$G$110="moeda")+(Inputs!$G$5:$G$110="acoes"))*Inputs!$B$1+((Inputs!$G$5:$G$110&lt;&gt;"moeda")*(Inputs!$G$5:$G$110&lt;&gt;"acoes")))*INDEX(Inputs!$K$5:$AJ$110,0,MATCH(L$2,Inputs!$K$4:$AJ$4,0)))+SUMPRODUCT((Inputs!$E$5:$E$110=$B32)*Inputs!$F$5:$F$110*(((Inputs!$G$5:$G$110="moeda")+(Inputs!$G$5:$G$110="acoes"))*Inputs!$B$1+((Inputs!$G$5:$G$110&lt;&gt;"moeda")*(Inputs!$G$5:$G$110&lt;&gt;"acoes")))*INDEX(Inputs!$K$5:$AJ$110,0,MATCH(L$2,Inputs!$K$4:$AJ$4,0)))))</f>
        <v>0</v>
      </c>
      <c r="M32" s="3">
        <f>L32</f>
        <v>0</v>
      </c>
      <c r="N32" s="6">
        <f>IF(ISNA(MATCH(N$2,Inputs!$K$4:$AJ$4,0)),NA(),IF(SUMPRODUCT((Inputs!$A$5:$A$110=$B32)*ISNUMBER(INDEX(Inputs!$K$5:$AJ$110,0,MATCH(N$2,Inputs!$K$4:$AJ$4,0))))+SUMPRODUCT((Inputs!$C$5:$C$110=$B32)*ISNUMBER(INDEX(Inputs!$K$5:$AJ$110,0,MATCH(N$2,Inputs!$K$4:$AJ$4,0))))+SUMPRODUCT((Inputs!$E$5:$E$110=$B32)*ISNUMBER(INDEX(Inputs!$K$5:$AJ$110,0,MATCH(N$2,Inputs!$K$4:$AJ$4,0))))=0,NA(),SUMPRODUCT((Inputs!$A$5:$A$110=$B32)*Inputs!$B$5:$B$110*(((Inputs!$G$5:$G$110="moeda")+(Inputs!$G$5:$G$110="acoes"))*Inputs!$B$1+((Inputs!$G$5:$G$110&lt;&gt;"moeda")*(Inputs!$G$5:$G$110&lt;&gt;"acoes")))*INDEX(Inputs!$K$5:$AJ$110,0,MATCH(N$2,Inputs!$K$4:$AJ$4,0)))+SUMPRODUCT((Inputs!$C$5:$C$110=$B32)*Inputs!$D$5:$D$110*(((Inputs!$G$5:$G$110="moeda")+(Inputs!$G$5:$G$110="acoes"))*Inputs!$B$1+((Inputs!$G$5:$G$110&lt;&gt;"moeda")*(Inputs!$G$5:$G$110&lt;&gt;"acoes")))*INDEX(Inputs!$K$5:$AJ$110,0,MATCH(N$2,Inputs!$K$4:$AJ$4,0)))+SUMPRODUCT((Inputs!$E$5:$E$110=$B32)*Inputs!$F$5:$F$110*(((Inputs!$G$5:$G$110="moeda")+(Inputs!$G$5:$G$110="acoes"))*Inputs!$B$1+((Inputs!$G$5:$G$110&lt;&gt;"moeda")*(Inputs!$G$5:$G$110&lt;&gt;"acoes")))*INDEX(Inputs!$K$5:$AJ$110,0,MATCH(N$2,Inputs!$K$4:$AJ$4,0)))))</f>
        <v>115</v>
      </c>
      <c r="O32" s="6">
        <f>IF(ISNA(MATCH(O$2,Inputs!$K$4:$AJ$4,0)),NA(),IF(SUMPRODUCT((Inputs!$A$5:$A$110=$B32)*ISNUMBER(INDEX(Inputs!$K$5:$AJ$110,0,MATCH(O$2,Inputs!$K$4:$AJ$4,0))))+SUMPRODUCT((Inputs!$C$5:$C$110=$B32)*ISNUMBER(INDEX(Inputs!$K$5:$AJ$110,0,MATCH(O$2,Inputs!$K$4:$AJ$4,0))))+SUMPRODUCT((Inputs!$E$5:$E$110=$B32)*ISNUMBER(INDEX(Inputs!$K$5:$AJ$110,0,MATCH(O$2,Inputs!$K$4:$AJ$4,0))))=0,NA(),SUMPRODUCT((Inputs!$A$5:$A$110=$B32)*Inputs!$B$5:$B$110*(((Inputs!$G$5:$G$110="moeda")+(Inputs!$G$5:$G$110="acoes"))*Inputs!$B$1+((Inputs!$G$5:$G$110&lt;&gt;"moeda")*(Inputs!$G$5:$G$110&lt;&gt;"acoes")))*INDEX(Inputs!$K$5:$AJ$110,0,MATCH(O$2,Inputs!$K$4:$AJ$4,0)))+SUMPRODUCT((Inputs!$C$5:$C$110=$B32)*Inputs!$D$5:$D$110*(((Inputs!$G$5:$G$110="moeda")+(Inputs!$G$5:$G$110="acoes"))*Inputs!$B$1+((Inputs!$G$5:$G$110&lt;&gt;"moeda")*(Inputs!$G$5:$G$110&lt;&gt;"acoes")))*INDEX(Inputs!$K$5:$AJ$110,0,MATCH(O$2,Inputs!$K$4:$AJ$4,0)))+SUMPRODUCT((Inputs!$E$5:$E$110=$B32)*Inputs!$F$5:$F$110*(((Inputs!$G$5:$G$110="moeda")+(Inputs!$G$5:$G$110="acoes"))*Inputs!$B$1+((Inputs!$G$5:$G$110&lt;&gt;"moeda")*(Inputs!$G$5:$G$110&lt;&gt;"acoes")))*INDEX(Inputs!$K$5:$AJ$110,0,MATCH(O$2,Inputs!$K$4:$AJ$4,0)))))</f>
        <v>283</v>
      </c>
      <c r="P32" s="6">
        <f>IF(ISNA(MATCH(P$2,Inputs!$K$4:$AJ$4,0)),NA(),IF(SUMPRODUCT((Inputs!$A$5:$A$110=$B32)*ISNUMBER(INDEX(Inputs!$K$5:$AJ$110,0,MATCH(P$2,Inputs!$K$4:$AJ$4,0))))+SUMPRODUCT((Inputs!$C$5:$C$110=$B32)*ISNUMBER(INDEX(Inputs!$K$5:$AJ$110,0,MATCH(P$2,Inputs!$K$4:$AJ$4,0))))+SUMPRODUCT((Inputs!$E$5:$E$110=$B32)*ISNUMBER(INDEX(Inputs!$K$5:$AJ$110,0,MATCH(P$2,Inputs!$K$4:$AJ$4,0))))=0,NA(),SUMPRODUCT((Inputs!$A$5:$A$110=$B32)*Inputs!$B$5:$B$110*(((Inputs!$G$5:$G$110="moeda")+(Inputs!$G$5:$G$110="acoes"))*Inputs!$B$1+((Inputs!$G$5:$G$110&lt;&gt;"moeda")*(Inputs!$G$5:$G$110&lt;&gt;"acoes")))*INDEX(Inputs!$K$5:$AJ$110,0,MATCH(P$2,Inputs!$K$4:$AJ$4,0)))+SUMPRODUCT((Inputs!$C$5:$C$110=$B32)*Inputs!$D$5:$D$110*(((Inputs!$G$5:$G$110="moeda")+(Inputs!$G$5:$G$110="acoes"))*Inputs!$B$1+((Inputs!$G$5:$G$110&lt;&gt;"moeda")*(Inputs!$G$5:$G$110&lt;&gt;"acoes")))*INDEX(Inputs!$K$5:$AJ$110,0,MATCH(P$2,Inputs!$K$4:$AJ$4,0)))+SUMPRODUCT((Inputs!$E$5:$E$110=$B32)*Inputs!$F$5:$F$110*(((Inputs!$G$5:$G$110="moeda")+(Inputs!$G$5:$G$110="acoes"))*Inputs!$B$1+((Inputs!$G$5:$G$110&lt;&gt;"moeda")*(Inputs!$G$5:$G$110&lt;&gt;"acoes")))*INDEX(Inputs!$K$5:$AJ$110,0,MATCH(P$2,Inputs!$K$4:$AJ$4,0)))))</f>
        <v>168</v>
      </c>
      <c r="Q32" s="6">
        <f>IF(ISNA(MATCH(Q$2,Inputs!$K$4:$AJ$4,0)),NA(),IF(SUMPRODUCT((Inputs!$A$5:$A$110=$B32)*ISNUMBER(INDEX(Inputs!$K$5:$AJ$110,0,MATCH(Q$2,Inputs!$K$4:$AJ$4,0))))+SUMPRODUCT((Inputs!$C$5:$C$110=$B32)*ISNUMBER(INDEX(Inputs!$K$5:$AJ$110,0,MATCH(Q$2,Inputs!$K$4:$AJ$4,0))))+SUMPRODUCT((Inputs!$E$5:$E$110=$B32)*ISNUMBER(INDEX(Inputs!$K$5:$AJ$110,0,MATCH(Q$2,Inputs!$K$4:$AJ$4,0))))=0,NA(),SUMPRODUCT((Inputs!$A$5:$A$110=$B32)*Inputs!$B$5:$B$110*(((Inputs!$G$5:$G$110="moeda")+(Inputs!$G$5:$G$110="acoes"))*Inputs!$B$1+((Inputs!$G$5:$G$110&lt;&gt;"moeda")*(Inputs!$G$5:$G$110&lt;&gt;"acoes")))*INDEX(Inputs!$K$5:$AJ$110,0,MATCH(Q$2,Inputs!$K$4:$AJ$4,0)))+SUMPRODUCT((Inputs!$C$5:$C$110=$B32)*Inputs!$D$5:$D$110*(((Inputs!$G$5:$G$110="moeda")+(Inputs!$G$5:$G$110="acoes"))*Inputs!$B$1+((Inputs!$G$5:$G$110&lt;&gt;"moeda")*(Inputs!$G$5:$G$110&lt;&gt;"acoes")))*INDEX(Inputs!$K$5:$AJ$110,0,MATCH(Q$2,Inputs!$K$4:$AJ$4,0)))+SUMPRODUCT((Inputs!$E$5:$E$110=$B32)*Inputs!$F$5:$F$110*(((Inputs!$G$5:$G$110="moeda")+(Inputs!$G$5:$G$110="acoes"))*Inputs!$B$1+((Inputs!$G$5:$G$110&lt;&gt;"moeda")*(Inputs!$G$5:$G$110&lt;&gt;"acoes")))*INDEX(Inputs!$K$5:$AJ$110,0,MATCH(Q$2,Inputs!$K$4:$AJ$4,0)))))</f>
        <v>168</v>
      </c>
      <c r="R32" s="3">
        <f>Q32</f>
        <v>168</v>
      </c>
      <c r="S32" s="6">
        <f>IF(ISNA(MATCH(S$2,Inputs!$K$4:$AJ$4,0)),NA(),IF(SUMPRODUCT((Inputs!$A$5:$A$110=$B32)*ISNUMBER(INDEX(Inputs!$K$5:$AJ$110,0,MATCH(S$2,Inputs!$K$4:$AJ$4,0))))+SUMPRODUCT((Inputs!$C$5:$C$110=$B32)*ISNUMBER(INDEX(Inputs!$K$5:$AJ$110,0,MATCH(S$2,Inputs!$K$4:$AJ$4,0))))+SUMPRODUCT((Inputs!$E$5:$E$110=$B32)*ISNUMBER(INDEX(Inputs!$K$5:$AJ$110,0,MATCH(S$2,Inputs!$K$4:$AJ$4,0))))=0,NA(),SUMPRODUCT((Inputs!$A$5:$A$110=$B32)*Inputs!$B$5:$B$110*(((Inputs!$G$5:$G$110="moeda")+(Inputs!$G$5:$G$110="acoes"))*Inputs!$B$1+((Inputs!$G$5:$G$110&lt;&gt;"moeda")*(Inputs!$G$5:$G$110&lt;&gt;"acoes")))*INDEX(Inputs!$K$5:$AJ$110,0,MATCH(S$2,Inputs!$K$4:$AJ$4,0)))+SUMPRODUCT((Inputs!$C$5:$C$110=$B32)*Inputs!$D$5:$D$110*(((Inputs!$G$5:$G$110="moeda")+(Inputs!$G$5:$G$110="acoes"))*Inputs!$B$1+((Inputs!$G$5:$G$110&lt;&gt;"moeda")*(Inputs!$G$5:$G$110&lt;&gt;"acoes")))*INDEX(Inputs!$K$5:$AJ$110,0,MATCH(S$2,Inputs!$K$4:$AJ$4,0)))+SUMPRODUCT((Inputs!$E$5:$E$110=$B32)*Inputs!$F$5:$F$110*(((Inputs!$G$5:$G$110="moeda")+(Inputs!$G$5:$G$110="acoes"))*Inputs!$B$1+((Inputs!$G$5:$G$110&lt;&gt;"moeda")*(Inputs!$G$5:$G$110&lt;&gt;"acoes")))*INDEX(Inputs!$K$5:$AJ$110,0,MATCH(S$2,Inputs!$K$4:$AJ$4,0)))))</f>
        <v>168</v>
      </c>
      <c r="T32" s="6">
        <f>IF(ISNA(MATCH(T$2,Inputs!$K$4:$AJ$4,0)),NA(),IF(SUMPRODUCT((Inputs!$A$5:$A$110=$B32)*ISNUMBER(INDEX(Inputs!$K$5:$AJ$110,0,MATCH(T$2,Inputs!$K$4:$AJ$4,0))))+SUMPRODUCT((Inputs!$C$5:$C$110=$B32)*ISNUMBER(INDEX(Inputs!$K$5:$AJ$110,0,MATCH(T$2,Inputs!$K$4:$AJ$4,0))))+SUMPRODUCT((Inputs!$E$5:$E$110=$B32)*ISNUMBER(INDEX(Inputs!$K$5:$AJ$110,0,MATCH(T$2,Inputs!$K$4:$AJ$4,0))))=0,NA(),SUMPRODUCT((Inputs!$A$5:$A$110=$B32)*Inputs!$B$5:$B$110*(((Inputs!$G$5:$G$110="moeda")+(Inputs!$G$5:$G$110="acoes"))*Inputs!$B$1+((Inputs!$G$5:$G$110&lt;&gt;"moeda")*(Inputs!$G$5:$G$110&lt;&gt;"acoes")))*INDEX(Inputs!$K$5:$AJ$110,0,MATCH(T$2,Inputs!$K$4:$AJ$4,0)))+SUMPRODUCT((Inputs!$C$5:$C$110=$B32)*Inputs!$D$5:$D$110*(((Inputs!$G$5:$G$110="moeda")+(Inputs!$G$5:$G$110="acoes"))*Inputs!$B$1+((Inputs!$G$5:$G$110&lt;&gt;"moeda")*(Inputs!$G$5:$G$110&lt;&gt;"acoes")))*INDEX(Inputs!$K$5:$AJ$110,0,MATCH(T$2,Inputs!$K$4:$AJ$4,0)))+SUMPRODUCT((Inputs!$E$5:$E$110=$B32)*Inputs!$F$5:$F$110*(((Inputs!$G$5:$G$110="moeda")+(Inputs!$G$5:$G$110="acoes"))*Inputs!$B$1+((Inputs!$G$5:$G$110&lt;&gt;"moeda")*(Inputs!$G$5:$G$110&lt;&gt;"acoes")))*INDEX(Inputs!$K$5:$AJ$110,0,MATCH(T$2,Inputs!$K$4:$AJ$4,0)))))</f>
        <v>142</v>
      </c>
      <c r="U32" s="6">
        <f>IF(ISNA(MATCH(U$2,Inputs!$K$4:$AJ$4,0)),NA(),IF(SUMPRODUCT((Inputs!$A$5:$A$110=$B32)*ISNUMBER(INDEX(Inputs!$K$5:$AJ$110,0,MATCH(U$2,Inputs!$K$4:$AJ$4,0))))+SUMPRODUCT((Inputs!$C$5:$C$110=$B32)*ISNUMBER(INDEX(Inputs!$K$5:$AJ$110,0,MATCH(U$2,Inputs!$K$4:$AJ$4,0))))+SUMPRODUCT((Inputs!$E$5:$E$110=$B32)*ISNUMBER(INDEX(Inputs!$K$5:$AJ$110,0,MATCH(U$2,Inputs!$K$4:$AJ$4,0))))=0,NA(),SUMPRODUCT((Inputs!$A$5:$A$110=$B32)*Inputs!$B$5:$B$110*(((Inputs!$G$5:$G$110="moeda")+(Inputs!$G$5:$G$110="acoes"))*Inputs!$B$1+((Inputs!$G$5:$G$110&lt;&gt;"moeda")*(Inputs!$G$5:$G$110&lt;&gt;"acoes")))*INDEX(Inputs!$K$5:$AJ$110,0,MATCH(U$2,Inputs!$K$4:$AJ$4,0)))+SUMPRODUCT((Inputs!$C$5:$C$110=$B32)*Inputs!$D$5:$D$110*(((Inputs!$G$5:$G$110="moeda")+(Inputs!$G$5:$G$110="acoes"))*Inputs!$B$1+((Inputs!$G$5:$G$110&lt;&gt;"moeda")*(Inputs!$G$5:$G$110&lt;&gt;"acoes")))*INDEX(Inputs!$K$5:$AJ$110,0,MATCH(U$2,Inputs!$K$4:$AJ$4,0)))+SUMPRODUCT((Inputs!$E$5:$E$110=$B32)*Inputs!$F$5:$F$110*(((Inputs!$G$5:$G$110="moeda")+(Inputs!$G$5:$G$110="acoes"))*Inputs!$B$1+((Inputs!$G$5:$G$110&lt;&gt;"moeda")*(Inputs!$G$5:$G$110&lt;&gt;"acoes")))*INDEX(Inputs!$K$5:$AJ$110,0,MATCH(U$2,Inputs!$K$4:$AJ$4,0)))))</f>
        <v>142</v>
      </c>
      <c r="V32" s="6">
        <f>IF(ISNA(MATCH(V$2,Inputs!$K$4:$AJ$4,0)),NA(),IF(SUMPRODUCT((Inputs!$A$5:$A$110=$B32)*ISNUMBER(INDEX(Inputs!$K$5:$AJ$110,0,MATCH(V$2,Inputs!$K$4:$AJ$4,0))))+SUMPRODUCT((Inputs!$C$5:$C$110=$B32)*ISNUMBER(INDEX(Inputs!$K$5:$AJ$110,0,MATCH(V$2,Inputs!$K$4:$AJ$4,0))))+SUMPRODUCT((Inputs!$E$5:$E$110=$B32)*ISNUMBER(INDEX(Inputs!$K$5:$AJ$110,0,MATCH(V$2,Inputs!$K$4:$AJ$4,0))))=0,NA(),SUMPRODUCT((Inputs!$A$5:$A$110=$B32)*Inputs!$B$5:$B$110*(((Inputs!$G$5:$G$110="moeda")+(Inputs!$G$5:$G$110="acoes"))*Inputs!$B$1+((Inputs!$G$5:$G$110&lt;&gt;"moeda")*(Inputs!$G$5:$G$110&lt;&gt;"acoes")))*INDEX(Inputs!$K$5:$AJ$110,0,MATCH(V$2,Inputs!$K$4:$AJ$4,0)))+SUMPRODUCT((Inputs!$C$5:$C$110=$B32)*Inputs!$D$5:$D$110*(((Inputs!$G$5:$G$110="moeda")+(Inputs!$G$5:$G$110="acoes"))*Inputs!$B$1+((Inputs!$G$5:$G$110&lt;&gt;"moeda")*(Inputs!$G$5:$G$110&lt;&gt;"acoes")))*INDEX(Inputs!$K$5:$AJ$110,0,MATCH(V$2,Inputs!$K$4:$AJ$4,0)))+SUMPRODUCT((Inputs!$E$5:$E$110=$B32)*Inputs!$F$5:$F$110*(((Inputs!$G$5:$G$110="moeda")+(Inputs!$G$5:$G$110="acoes"))*Inputs!$B$1+((Inputs!$G$5:$G$110&lt;&gt;"moeda")*(Inputs!$G$5:$G$110&lt;&gt;"acoes")))*INDEX(Inputs!$K$5:$AJ$110,0,MATCH(V$2,Inputs!$K$4:$AJ$4,0)))))</f>
        <v>643</v>
      </c>
      <c r="W32" s="3">
        <f>V32</f>
        <v>643</v>
      </c>
      <c r="X32" s="6">
        <f>IF(ISNA(MATCH(X$2,Inputs!$K$4:$AJ$4,0)),NA(),IF(SUMPRODUCT((Inputs!$A$5:$A$110=$B32)*ISNUMBER(INDEX(Inputs!$K$5:$AJ$110,0,MATCH(X$2,Inputs!$K$4:$AJ$4,0))))+SUMPRODUCT((Inputs!$C$5:$C$110=$B32)*ISNUMBER(INDEX(Inputs!$K$5:$AJ$110,0,MATCH(X$2,Inputs!$K$4:$AJ$4,0))))+SUMPRODUCT((Inputs!$E$5:$E$110=$B32)*ISNUMBER(INDEX(Inputs!$K$5:$AJ$110,0,MATCH(X$2,Inputs!$K$4:$AJ$4,0))))=0,NA(),SUMPRODUCT((Inputs!$A$5:$A$110=$B32)*Inputs!$B$5:$B$110*(((Inputs!$G$5:$G$110="moeda")+(Inputs!$G$5:$G$110="acoes"))*Inputs!$B$1+((Inputs!$G$5:$G$110&lt;&gt;"moeda")*(Inputs!$G$5:$G$110&lt;&gt;"acoes")))*INDEX(Inputs!$K$5:$AJ$110,0,MATCH(X$2,Inputs!$K$4:$AJ$4,0)))+SUMPRODUCT((Inputs!$C$5:$C$110=$B32)*Inputs!$D$5:$D$110*(((Inputs!$G$5:$G$110="moeda")+(Inputs!$G$5:$G$110="acoes"))*Inputs!$B$1+((Inputs!$G$5:$G$110&lt;&gt;"moeda")*(Inputs!$G$5:$G$110&lt;&gt;"acoes")))*INDEX(Inputs!$K$5:$AJ$110,0,MATCH(X$2,Inputs!$K$4:$AJ$4,0)))+SUMPRODUCT((Inputs!$E$5:$E$110=$B32)*Inputs!$F$5:$F$110*(((Inputs!$G$5:$G$110="moeda")+(Inputs!$G$5:$G$110="acoes"))*Inputs!$B$1+((Inputs!$G$5:$G$110&lt;&gt;"moeda")*(Inputs!$G$5:$G$110&lt;&gt;"acoes")))*INDEX(Inputs!$K$5:$AJ$110,0,MATCH(X$2,Inputs!$K$4:$AJ$4,0)))))</f>
        <v>1643</v>
      </c>
      <c r="Y32" s="6">
        <f>IF(ISNA(MATCH(Y$2,Inputs!$K$4:$AJ$4,0)),NA(),IF(SUMPRODUCT((Inputs!$A$5:$A$110=$B32)*ISNUMBER(INDEX(Inputs!$K$5:$AJ$110,0,MATCH(Y$2,Inputs!$K$4:$AJ$4,0))))+SUMPRODUCT((Inputs!$C$5:$C$110=$B32)*ISNUMBER(INDEX(Inputs!$K$5:$AJ$110,0,MATCH(Y$2,Inputs!$K$4:$AJ$4,0))))+SUMPRODUCT((Inputs!$E$5:$E$110=$B32)*ISNUMBER(INDEX(Inputs!$K$5:$AJ$110,0,MATCH(Y$2,Inputs!$K$4:$AJ$4,0))))=0,NA(),SUMPRODUCT((Inputs!$A$5:$A$110=$B32)*Inputs!$B$5:$B$110*(((Inputs!$G$5:$G$110="moeda")+(Inputs!$G$5:$G$110="acoes"))*Inputs!$B$1+((Inputs!$G$5:$G$110&lt;&gt;"moeda")*(Inputs!$G$5:$G$110&lt;&gt;"acoes")))*INDEX(Inputs!$K$5:$AJ$110,0,MATCH(Y$2,Inputs!$K$4:$AJ$4,0)))+SUMPRODUCT((Inputs!$C$5:$C$110=$B32)*Inputs!$D$5:$D$110*(((Inputs!$G$5:$G$110="moeda")+(Inputs!$G$5:$G$110="acoes"))*Inputs!$B$1+((Inputs!$G$5:$G$110&lt;&gt;"moeda")*(Inputs!$G$5:$G$110&lt;&gt;"acoes")))*INDEX(Inputs!$K$5:$AJ$110,0,MATCH(Y$2,Inputs!$K$4:$AJ$4,0)))+SUMPRODUCT((Inputs!$E$5:$E$110=$B32)*Inputs!$F$5:$F$110*(((Inputs!$G$5:$G$110="moeda")+(Inputs!$G$5:$G$110="acoes"))*Inputs!$B$1+((Inputs!$G$5:$G$110&lt;&gt;"moeda")*(Inputs!$G$5:$G$110&lt;&gt;"acoes")))*INDEX(Inputs!$K$5:$AJ$110,0,MATCH(Y$2,Inputs!$K$4:$AJ$4,0)))))</f>
        <v>3118</v>
      </c>
      <c r="Z32" s="6">
        <f>IF(ISNA(MATCH(Z$2,Inputs!$K$4:$AJ$4,0)),NA(),IF(SUMPRODUCT((Inputs!$A$5:$A$110=$B32)*ISNUMBER(INDEX(Inputs!$K$5:$AJ$110,0,MATCH(Z$2,Inputs!$K$4:$AJ$4,0))))+SUMPRODUCT((Inputs!$C$5:$C$110=$B32)*ISNUMBER(INDEX(Inputs!$K$5:$AJ$110,0,MATCH(Z$2,Inputs!$K$4:$AJ$4,0))))+SUMPRODUCT((Inputs!$E$5:$E$110=$B32)*ISNUMBER(INDEX(Inputs!$K$5:$AJ$110,0,MATCH(Z$2,Inputs!$K$4:$AJ$4,0))))=0,NA(),SUMPRODUCT((Inputs!$A$5:$A$110=$B32)*Inputs!$B$5:$B$110*(((Inputs!$G$5:$G$110="moeda")+(Inputs!$G$5:$G$110="acoes"))*Inputs!$B$1+((Inputs!$G$5:$G$110&lt;&gt;"moeda")*(Inputs!$G$5:$G$110&lt;&gt;"acoes")))*INDEX(Inputs!$K$5:$AJ$110,0,MATCH(Z$2,Inputs!$K$4:$AJ$4,0)))+SUMPRODUCT((Inputs!$C$5:$C$110=$B32)*Inputs!$D$5:$D$110*(((Inputs!$G$5:$G$110="moeda")+(Inputs!$G$5:$G$110="acoes"))*Inputs!$B$1+((Inputs!$G$5:$G$110&lt;&gt;"moeda")*(Inputs!$G$5:$G$110&lt;&gt;"acoes")))*INDEX(Inputs!$K$5:$AJ$110,0,MATCH(Z$2,Inputs!$K$4:$AJ$4,0)))+SUMPRODUCT((Inputs!$E$5:$E$110=$B32)*Inputs!$F$5:$F$110*(((Inputs!$G$5:$G$110="moeda")+(Inputs!$G$5:$G$110="acoes"))*Inputs!$B$1+((Inputs!$G$5:$G$110&lt;&gt;"moeda")*(Inputs!$G$5:$G$110&lt;&gt;"acoes")))*INDEX(Inputs!$K$5:$AJ$110,0,MATCH(Z$2,Inputs!$K$4:$AJ$4,0)))))</f>
        <v>1669</v>
      </c>
      <c r="AA32" s="6">
        <f>IF(ISNA(MATCH(AA$2,Inputs!$K$4:$AJ$4,0)),NA(),IF(SUMPRODUCT((Inputs!$A$5:$A$110=$B32)*ISNUMBER(INDEX(Inputs!$K$5:$AJ$110,0,MATCH(AA$2,Inputs!$K$4:$AJ$4,0))))+SUMPRODUCT((Inputs!$C$5:$C$110=$B32)*ISNUMBER(INDEX(Inputs!$K$5:$AJ$110,0,MATCH(AA$2,Inputs!$K$4:$AJ$4,0))))+SUMPRODUCT((Inputs!$E$5:$E$110=$B32)*ISNUMBER(INDEX(Inputs!$K$5:$AJ$110,0,MATCH(AA$2,Inputs!$K$4:$AJ$4,0))))=0,NA(),SUMPRODUCT((Inputs!$A$5:$A$110=$B32)*Inputs!$B$5:$B$110*(((Inputs!$G$5:$G$110="moeda")+(Inputs!$G$5:$G$110="acoes"))*Inputs!$B$1+((Inputs!$G$5:$G$110&lt;&gt;"moeda")*(Inputs!$G$5:$G$110&lt;&gt;"acoes")))*INDEX(Inputs!$K$5:$AJ$110,0,MATCH(AA$2,Inputs!$K$4:$AJ$4,0)))+SUMPRODUCT((Inputs!$C$5:$C$110=$B32)*Inputs!$D$5:$D$110*(((Inputs!$G$5:$G$110="moeda")+(Inputs!$G$5:$G$110="acoes"))*Inputs!$B$1+((Inputs!$G$5:$G$110&lt;&gt;"moeda")*(Inputs!$G$5:$G$110&lt;&gt;"acoes")))*INDEX(Inputs!$K$5:$AJ$110,0,MATCH(AA$2,Inputs!$K$4:$AJ$4,0)))+SUMPRODUCT((Inputs!$E$5:$E$110=$B32)*Inputs!$F$5:$F$110*(((Inputs!$G$5:$G$110="moeda")+(Inputs!$G$5:$G$110="acoes"))*Inputs!$B$1+((Inputs!$G$5:$G$110&lt;&gt;"moeda")*(Inputs!$G$5:$G$110&lt;&gt;"acoes")))*INDEX(Inputs!$K$5:$AJ$110,0,MATCH(AA$2,Inputs!$K$4:$AJ$4,0)))))</f>
        <v>1168</v>
      </c>
      <c r="AB32" s="3">
        <f>AA32</f>
        <v>1168</v>
      </c>
      <c r="AC32" s="6">
        <f>IF(ISNA(MATCH(AC$2,Inputs!$K$4:$AJ$4,0)),NA(),IF(SUMPRODUCT((Inputs!$A$5:$A$110=$B32)*ISNUMBER(INDEX(Inputs!$K$5:$AJ$110,0,MATCH(AC$2,Inputs!$K$4:$AJ$4,0))))+SUMPRODUCT((Inputs!$C$5:$C$110=$B32)*ISNUMBER(INDEX(Inputs!$K$5:$AJ$110,0,MATCH(AC$2,Inputs!$K$4:$AJ$4,0))))+SUMPRODUCT((Inputs!$E$5:$E$110=$B32)*ISNUMBER(INDEX(Inputs!$K$5:$AJ$110,0,MATCH(AC$2,Inputs!$K$4:$AJ$4,0))))=0,NA(),SUMPRODUCT((Inputs!$A$5:$A$110=$B32)*Inputs!$B$5:$B$110*(((Inputs!$G$5:$G$110="moeda")+(Inputs!$G$5:$G$110="acoes"))*Inputs!$B$1+((Inputs!$G$5:$G$110&lt;&gt;"moeda")*(Inputs!$G$5:$G$110&lt;&gt;"acoes")))*INDEX(Inputs!$K$5:$AJ$110,0,MATCH(AC$2,Inputs!$K$4:$AJ$4,0)))+SUMPRODUCT((Inputs!$C$5:$C$110=$B32)*Inputs!$D$5:$D$110*(((Inputs!$G$5:$G$110="moeda")+(Inputs!$G$5:$G$110="acoes"))*Inputs!$B$1+((Inputs!$G$5:$G$110&lt;&gt;"moeda")*(Inputs!$G$5:$G$110&lt;&gt;"acoes")))*INDEX(Inputs!$K$5:$AJ$110,0,MATCH(AC$2,Inputs!$K$4:$AJ$4,0)))+SUMPRODUCT((Inputs!$E$5:$E$110=$B32)*Inputs!$F$5:$F$110*(((Inputs!$G$5:$G$110="moeda")+(Inputs!$G$5:$G$110="acoes"))*Inputs!$B$1+((Inputs!$G$5:$G$110&lt;&gt;"moeda")*(Inputs!$G$5:$G$110&lt;&gt;"acoes")))*INDEX(Inputs!$K$5:$AJ$110,0,MATCH(AC$2,Inputs!$K$4:$AJ$4,0)))))</f>
        <v>168</v>
      </c>
      <c r="AD32" s="6">
        <f>IF(ISNA(MATCH(AD$2,Inputs!$K$4:$AJ$4,0)),NA(),IF(SUMPRODUCT((Inputs!$A$5:$A$110=$B32)*ISNUMBER(INDEX(Inputs!$K$5:$AJ$110,0,MATCH(AD$2,Inputs!$K$4:$AJ$4,0))))+SUMPRODUCT((Inputs!$C$5:$C$110=$B32)*ISNUMBER(INDEX(Inputs!$K$5:$AJ$110,0,MATCH(AD$2,Inputs!$K$4:$AJ$4,0))))+SUMPRODUCT((Inputs!$E$5:$E$110=$B32)*ISNUMBER(INDEX(Inputs!$K$5:$AJ$110,0,MATCH(AD$2,Inputs!$K$4:$AJ$4,0))))=0,NA(),SUMPRODUCT((Inputs!$A$5:$A$110=$B32)*Inputs!$B$5:$B$110*(((Inputs!$G$5:$G$110="moeda")+(Inputs!$G$5:$G$110="acoes"))*Inputs!$B$1+((Inputs!$G$5:$G$110&lt;&gt;"moeda")*(Inputs!$G$5:$G$110&lt;&gt;"acoes")))*INDEX(Inputs!$K$5:$AJ$110,0,MATCH(AD$2,Inputs!$K$4:$AJ$4,0)))+SUMPRODUCT((Inputs!$C$5:$C$110=$B32)*Inputs!$D$5:$D$110*(((Inputs!$G$5:$G$110="moeda")+(Inputs!$G$5:$G$110="acoes"))*Inputs!$B$1+((Inputs!$G$5:$G$110&lt;&gt;"moeda")*(Inputs!$G$5:$G$110&lt;&gt;"acoes")))*INDEX(Inputs!$K$5:$AJ$110,0,MATCH(AD$2,Inputs!$K$4:$AJ$4,0)))+SUMPRODUCT((Inputs!$E$5:$E$110=$B32)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2" s="6" t="e">
        <f>IF(ISNA(MATCH(AE$2,Inputs!$K$4:$AJ$4,0)),NA(),IF(SUMPRODUCT((Inputs!$A$5:$A$110=$B32)*ISNUMBER(INDEX(Inputs!$K$5:$AJ$110,0,MATCH(AE$2,Inputs!$K$4:$AJ$4,0))))+SUMPRODUCT((Inputs!$C$5:$C$110=$B32)*ISNUMBER(INDEX(Inputs!$K$5:$AJ$110,0,MATCH(AE$2,Inputs!$K$4:$AJ$4,0))))+SUMPRODUCT((Inputs!$E$5:$E$110=$B32)*ISNUMBER(INDEX(Inputs!$K$5:$AJ$110,0,MATCH(AE$2,Inputs!$K$4:$AJ$4,0))))=0,NA(),SUMPRODUCT((Inputs!$A$5:$A$110=$B32)*Inputs!$B$5:$B$110*(((Inputs!$G$5:$G$110="moeda")+(Inputs!$G$5:$G$110="acoes"))*Inputs!$B$1+((Inputs!$G$5:$G$110&lt;&gt;"moeda")*(Inputs!$G$5:$G$110&lt;&gt;"acoes")))*INDEX(Inputs!$K$5:$AJ$110,0,MATCH(AE$2,Inputs!$K$4:$AJ$4,0)))+SUMPRODUCT((Inputs!$C$5:$C$110=$B32)*Inputs!$D$5:$D$110*(((Inputs!$G$5:$G$110="moeda")+(Inputs!$G$5:$G$110="acoes"))*Inputs!$B$1+((Inputs!$G$5:$G$110&lt;&gt;"moeda")*(Inputs!$G$5:$G$110&lt;&gt;"acoes")))*INDEX(Inputs!$K$5:$AJ$110,0,MATCH(AE$2,Inputs!$K$4:$AJ$4,0)))+SUMPRODUCT((Inputs!$E$5:$E$110=$B32)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2" s="6" t="e">
        <f>IF(ISNA(MATCH(AF$2,Inputs!$K$4:$AJ$4,0)),NA(),IF(SUMPRODUCT((Inputs!$A$5:$A$110=$B32)*ISNUMBER(INDEX(Inputs!$K$5:$AJ$110,0,MATCH(AF$2,Inputs!$K$4:$AJ$4,0))))+SUMPRODUCT((Inputs!$C$5:$C$110=$B32)*ISNUMBER(INDEX(Inputs!$K$5:$AJ$110,0,MATCH(AF$2,Inputs!$K$4:$AJ$4,0))))+SUMPRODUCT((Inputs!$E$5:$E$110=$B32)*ISNUMBER(INDEX(Inputs!$K$5:$AJ$110,0,MATCH(AF$2,Inputs!$K$4:$AJ$4,0))))=0,NA(),SUMPRODUCT((Inputs!$A$5:$A$110=$B32)*Inputs!$B$5:$B$110*(((Inputs!$G$5:$G$110="moeda")+(Inputs!$G$5:$G$110="acoes"))*Inputs!$B$1+((Inputs!$G$5:$G$110&lt;&gt;"moeda")*(Inputs!$G$5:$G$110&lt;&gt;"acoes")))*INDEX(Inputs!$K$5:$AJ$110,0,MATCH(AF$2,Inputs!$K$4:$AJ$4,0)))+SUMPRODUCT((Inputs!$C$5:$C$110=$B32)*Inputs!$D$5:$D$110*(((Inputs!$G$5:$G$110="moeda")+(Inputs!$G$5:$G$110="acoes"))*Inputs!$B$1+((Inputs!$G$5:$G$110&lt;&gt;"moeda")*(Inputs!$G$5:$G$110&lt;&gt;"acoes")))*INDEX(Inputs!$K$5:$AJ$110,0,MATCH(AF$2,Inputs!$K$4:$AJ$4,0)))+SUMPRODUCT((Inputs!$E$5:$E$110=$B32)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2" s="3" t="e">
        <f>AF32</f>
        <v>#N/A</v>
      </c>
      <c r="AH32" s="6">
        <f>IF(ISNA(MATCH(AH$2,Inputs!$K$4:$AJ$4,0)),NA(),IF(SUMPRODUCT((Inputs!$A$5:$A$110=$B32)*ISNUMBER(INDEX(Inputs!$K$5:$AJ$110,0,MATCH(AH$2,Inputs!$K$4:$AJ$4,0))))+SUMPRODUCT((Inputs!$C$5:$C$110=$B32)*ISNUMBER(INDEX(Inputs!$K$5:$AJ$110,0,MATCH(AH$2,Inputs!$K$4:$AJ$4,0))))+SUMPRODUCT((Inputs!$E$5:$E$110=$B32)*ISNUMBER(INDEX(Inputs!$K$5:$AJ$110,0,MATCH(AH$2,Inputs!$K$4:$AJ$4,0))))=0,NA(),SUMPRODUCT((Inputs!$A$5:$A$110=$B32)*Inputs!$B$5:$B$110*(((Inputs!$G$5:$G$110="moeda")+(Inputs!$G$5:$G$110="acoes"))*Inputs!$B$1+((Inputs!$G$5:$G$110&lt;&gt;"moeda")*(Inputs!$G$5:$G$110&lt;&gt;"acoes")))*INDEX(Inputs!$K$5:$AJ$110,0,MATCH(AH$2,Inputs!$K$4:$AJ$4,0)))+SUMPRODUCT((Inputs!$C$5:$C$110=$B32)*Inputs!$D$5:$D$110*(((Inputs!$G$5:$G$110="moeda")+(Inputs!$G$5:$G$110="acoes"))*Inputs!$B$1+((Inputs!$G$5:$G$110&lt;&gt;"moeda")*(Inputs!$G$5:$G$110&lt;&gt;"acoes")))*INDEX(Inputs!$K$5:$AJ$110,0,MATCH(AH$2,Inputs!$K$4:$AJ$4,0)))+SUMPRODUCT((Inputs!$E$5:$E$110=$B32)*Inputs!$F$5:$F$110*(((Inputs!$G$5:$G$110="moeda")+(Inputs!$G$5:$G$110="acoes"))*Inputs!$B$1+((Inputs!$G$5:$G$110&lt;&gt;"moeda")*(Inputs!$G$5:$G$110&lt;&gt;"acoes")))*INDEX(Inputs!$K$5:$AJ$110,0,MATCH(AH$2,Inputs!$K$4:$AJ$4,0)))))</f>
        <v>1250</v>
      </c>
      <c r="AI32" s="6">
        <f>IF(ISNA(MATCH(AI$2,Inputs!$K$4:$AJ$4,0)),NA(),IF(SUMPRODUCT((Inputs!$A$5:$A$110=$B32)*ISNUMBER(INDEX(Inputs!$K$5:$AJ$110,0,MATCH(AI$2,Inputs!$K$4:$AJ$4,0))))+SUMPRODUCT((Inputs!$C$5:$C$110=$B32)*ISNUMBER(INDEX(Inputs!$K$5:$AJ$110,0,MATCH(AI$2,Inputs!$K$4:$AJ$4,0))))+SUMPRODUCT((Inputs!$E$5:$E$110=$B32)*ISNUMBER(INDEX(Inputs!$K$5:$AJ$110,0,MATCH(AI$2,Inputs!$K$4:$AJ$4,0))))=0,NA(),SUMPRODUCT((Inputs!$A$5:$A$110=$B32)*Inputs!$B$5:$B$110*(((Inputs!$G$5:$G$110="moeda")+(Inputs!$G$5:$G$110="acoes"))*Inputs!$B$1+((Inputs!$G$5:$G$110&lt;&gt;"moeda")*(Inputs!$G$5:$G$110&lt;&gt;"acoes")))*INDEX(Inputs!$K$5:$AJ$110,0,MATCH(AI$2,Inputs!$K$4:$AJ$4,0)))+SUMPRODUCT((Inputs!$C$5:$C$110=$B32)*Inputs!$D$5:$D$110*(((Inputs!$G$5:$G$110="moeda")+(Inputs!$G$5:$G$110="acoes"))*Inputs!$B$1+((Inputs!$G$5:$G$110&lt;&gt;"moeda")*(Inputs!$G$5:$G$110&lt;&gt;"acoes")))*INDEX(Inputs!$K$5:$AJ$110,0,MATCH(AI$2,Inputs!$K$4:$AJ$4,0)))+SUMPRODUCT((Inputs!$E$5:$E$110=$B32)*Inputs!$F$5:$F$110*(((Inputs!$G$5:$G$110="moeda")+(Inputs!$G$5:$G$110="acoes"))*Inputs!$B$1+((Inputs!$G$5:$G$110&lt;&gt;"moeda")*(Inputs!$G$5:$G$110&lt;&gt;"acoes")))*INDEX(Inputs!$K$5:$AJ$110,0,MATCH(AI$2,Inputs!$K$4:$AJ$4,0)))))</f>
        <v>500</v>
      </c>
      <c r="AJ32" s="6">
        <f>IF(ISNA(MATCH(AJ$2,Inputs!$K$4:$AJ$4,0)),NA(),IF(SUMPRODUCT((Inputs!$A$5:$A$110=$B32)*ISNUMBER(INDEX(Inputs!$K$5:$AJ$110,0,MATCH(AJ$2,Inputs!$K$4:$AJ$4,0))))+SUMPRODUCT((Inputs!$C$5:$C$110=$B32)*ISNUMBER(INDEX(Inputs!$K$5:$AJ$110,0,MATCH(AJ$2,Inputs!$K$4:$AJ$4,0))))+SUMPRODUCT((Inputs!$E$5:$E$110=$B32)*ISNUMBER(INDEX(Inputs!$K$5:$AJ$110,0,MATCH(AJ$2,Inputs!$K$4:$AJ$4,0))))=0,NA(),SUMPRODUCT((Inputs!$A$5:$A$110=$B32)*Inputs!$B$5:$B$110*(((Inputs!$G$5:$G$110="moeda")+(Inputs!$G$5:$G$110="acoes"))*Inputs!$B$1+((Inputs!$G$5:$G$110&lt;&gt;"moeda")*(Inputs!$G$5:$G$110&lt;&gt;"acoes")))*INDEX(Inputs!$K$5:$AJ$110,0,MATCH(AJ$2,Inputs!$K$4:$AJ$4,0)))+SUMPRODUCT((Inputs!$C$5:$C$110=$B32)*Inputs!$D$5:$D$110*(((Inputs!$G$5:$G$110="moeda")+(Inputs!$G$5:$G$110="acoes"))*Inputs!$B$1+((Inputs!$G$5:$G$110&lt;&gt;"moeda")*(Inputs!$G$5:$G$110&lt;&gt;"acoes")))*INDEX(Inputs!$K$5:$AJ$110,0,MATCH(AJ$2,Inputs!$K$4:$AJ$4,0)))+SUMPRODUCT((Inputs!$E$5:$E$110=$B32)*Inputs!$F$5:$F$110*(((Inputs!$G$5:$G$110="moeda")+(Inputs!$G$5:$G$110="acoes"))*Inputs!$B$1+((Inputs!$G$5:$G$110&lt;&gt;"moeda")*(Inputs!$G$5:$G$110&lt;&gt;"acoes")))*INDEX(Inputs!$K$5:$AJ$110,0,MATCH(AJ$2,Inputs!$K$4:$AJ$4,0)))))</f>
        <v>1000</v>
      </c>
      <c r="AK32" s="6">
        <f>IF(ISNA(MATCH(AK$2,Inputs!$K$4:$AJ$4,0)),NA(),IF(SUMPRODUCT((Inputs!$A$5:$A$110=$B32)*ISNUMBER(INDEX(Inputs!$K$5:$AJ$110,0,MATCH(AK$2,Inputs!$K$4:$AJ$4,0))))+SUMPRODUCT((Inputs!$C$5:$C$110=$B32)*ISNUMBER(INDEX(Inputs!$K$5:$AJ$110,0,MATCH(AK$2,Inputs!$K$4:$AJ$4,0))))+SUMPRODUCT((Inputs!$E$5:$E$110=$B32)*ISNUMBER(INDEX(Inputs!$K$5:$AJ$110,0,MATCH(AK$2,Inputs!$K$4:$AJ$4,0))))=0,NA(),SUMPRODUCT((Inputs!$A$5:$A$110=$B32)*Inputs!$B$5:$B$110*(((Inputs!$G$5:$G$110="moeda")+(Inputs!$G$5:$G$110="acoes"))*Inputs!$B$1+((Inputs!$G$5:$G$110&lt;&gt;"moeda")*(Inputs!$G$5:$G$110&lt;&gt;"acoes")))*INDEX(Inputs!$K$5:$AJ$110,0,MATCH(AK$2,Inputs!$K$4:$AJ$4,0)))+SUMPRODUCT((Inputs!$C$5:$C$110=$B32)*Inputs!$D$5:$D$110*(((Inputs!$G$5:$G$110="moeda")+(Inputs!$G$5:$G$110="acoes"))*Inputs!$B$1+((Inputs!$G$5:$G$110&lt;&gt;"moeda")*(Inputs!$G$5:$G$110&lt;&gt;"acoes")))*INDEX(Inputs!$K$5:$AJ$110,0,MATCH(AK$2,Inputs!$K$4:$AJ$4,0)))+SUMPRODUCT((Inputs!$E$5:$E$110=$B32)*Inputs!$F$5:$F$110*(((Inputs!$G$5:$G$110="moeda")+(Inputs!$G$5:$G$110="acoes"))*Inputs!$B$1+((Inputs!$G$5:$G$110&lt;&gt;"moeda")*(Inputs!$G$5:$G$110&lt;&gt;"acoes")))*INDEX(Inputs!$K$5:$AJ$110,0,MATCH(AK$2,Inputs!$K$4:$AJ$4,0)))))</f>
        <v>500</v>
      </c>
      <c r="AL32" s="3">
        <f>AK32</f>
        <v>500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$110=$B33)*ISNUMBER(INDEX(Inputs!$K$5:$AJ$110,0,MATCH(D$2,Inputs!$K$4:$AJ$4,0))))+SUMPRODUCT((Inputs!$C$5:$C$110=$B33)*ISNUMBER(INDEX(Inputs!$K$5:$AJ$110,0,MATCH(D$2,Inputs!$K$4:$AJ$4,0))))+SUMPRODUCT((Inputs!$E$5:$E$110=$B33)*ISNUMBER(INDEX(Inputs!$K$5:$AJ$110,0,MATCH(D$2,Inputs!$K$4:$AJ$4,0))))=0,NA(),SUMPRODUCT((Inputs!$A$5:$A$110=$B33)*Inputs!$B$5:$B$110*(((Inputs!$G$5:$G$110="moeda")+(Inputs!$G$5:$G$110="acoes"))*Inputs!$B$1+((Inputs!$G$5:$G$110&lt;&gt;"moeda")*(Inputs!$G$5:$G$110&lt;&gt;"acoes")))*INDEX(Inputs!$K$5:$AJ$110,0,MATCH(D$2,Inputs!$K$4:$AJ$4,0)))+SUMPRODUCT((Inputs!$C$5:$C$110=$B33)*Inputs!$D$5:$D$110*(((Inputs!$G$5:$G$110="moeda")+(Inputs!$G$5:$G$110="acoes"))*Inputs!$B$1+((Inputs!$G$5:$G$110&lt;&gt;"moeda")*(Inputs!$G$5:$G$110&lt;&gt;"acoes")))*INDEX(Inputs!$K$5:$AJ$110,0,MATCH(D$2,Inputs!$K$4:$AJ$4,0)))+SUMPRODUCT((Inputs!$E$5:$E$110=$B33)*Inputs!$F$5:$F$110*(((Inputs!$G$5:$G$110="moeda")+(Inputs!$G$5:$G$110="acoes"))*Inputs!$B$1+((Inputs!$G$5:$G$110&lt;&gt;"moeda")*(Inputs!$G$5:$G$110&lt;&gt;"acoes")))*INDEX(Inputs!$K$5:$AJ$110,0,MATCH(D$2,Inputs!$K$4:$AJ$4,0)))))</f>
        <v>0</v>
      </c>
      <c r="E33" s="6">
        <f>IF(ISNA(MATCH(E$2,Inputs!$K$4:$AJ$4,0)),NA(),IF(SUMPRODUCT((Inputs!$A$5:$A$110=$B33)*ISNUMBER(INDEX(Inputs!$K$5:$AJ$110,0,MATCH(E$2,Inputs!$K$4:$AJ$4,0))))+SUMPRODUCT((Inputs!$C$5:$C$110=$B33)*ISNUMBER(INDEX(Inputs!$K$5:$AJ$110,0,MATCH(E$2,Inputs!$K$4:$AJ$4,0))))+SUMPRODUCT((Inputs!$E$5:$E$110=$B33)*ISNUMBER(INDEX(Inputs!$K$5:$AJ$110,0,MATCH(E$2,Inputs!$K$4:$AJ$4,0))))=0,NA(),SUMPRODUCT((Inputs!$A$5:$A$110=$B33)*Inputs!$B$5:$B$110*(((Inputs!$G$5:$G$110="moeda")+(Inputs!$G$5:$G$110="acoes"))*Inputs!$B$1+((Inputs!$G$5:$G$110&lt;&gt;"moeda")*(Inputs!$G$5:$G$110&lt;&gt;"acoes")))*INDEX(Inputs!$K$5:$AJ$110,0,MATCH(E$2,Inputs!$K$4:$AJ$4,0)))+SUMPRODUCT((Inputs!$C$5:$C$110=$B33)*Inputs!$D$5:$D$110*(((Inputs!$G$5:$G$110="moeda")+(Inputs!$G$5:$G$110="acoes"))*Inputs!$B$1+((Inputs!$G$5:$G$110&lt;&gt;"moeda")*(Inputs!$G$5:$G$110&lt;&gt;"acoes")))*INDEX(Inputs!$K$5:$AJ$110,0,MATCH(E$2,Inputs!$K$4:$AJ$4,0)))+SUMPRODUCT((Inputs!$E$5:$E$110=$B33)*Inputs!$F$5:$F$110*(((Inputs!$G$5:$G$110="moeda")+(Inputs!$G$5:$G$110="acoes"))*Inputs!$B$1+((Inputs!$G$5:$G$110&lt;&gt;"moeda")*(Inputs!$G$5:$G$110&lt;&gt;"acoes")))*INDEX(Inputs!$K$5:$AJ$110,0,MATCH(E$2,Inputs!$K$4:$AJ$4,0)))))</f>
        <v>0</v>
      </c>
      <c r="F33" s="6">
        <f>IF(ISNA(MATCH(F$2,Inputs!$K$4:$AJ$4,0)),NA(),IF(SUMPRODUCT((Inputs!$A$5:$A$110=$B33)*ISNUMBER(INDEX(Inputs!$K$5:$AJ$110,0,MATCH(F$2,Inputs!$K$4:$AJ$4,0))))+SUMPRODUCT((Inputs!$C$5:$C$110=$B33)*ISNUMBER(INDEX(Inputs!$K$5:$AJ$110,0,MATCH(F$2,Inputs!$K$4:$AJ$4,0))))+SUMPRODUCT((Inputs!$E$5:$E$110=$B33)*ISNUMBER(INDEX(Inputs!$K$5:$AJ$110,0,MATCH(F$2,Inputs!$K$4:$AJ$4,0))))=0,NA(),SUMPRODUCT((Inputs!$A$5:$A$110=$B33)*Inputs!$B$5:$B$110*(((Inputs!$G$5:$G$110="moeda")+(Inputs!$G$5:$G$110="acoes"))*Inputs!$B$1+((Inputs!$G$5:$G$110&lt;&gt;"moeda")*(Inputs!$G$5:$G$110&lt;&gt;"acoes")))*INDEX(Inputs!$K$5:$AJ$110,0,MATCH(F$2,Inputs!$K$4:$AJ$4,0)))+SUMPRODUCT((Inputs!$C$5:$C$110=$B33)*Inputs!$D$5:$D$110*(((Inputs!$G$5:$G$110="moeda")+(Inputs!$G$5:$G$110="acoes"))*Inputs!$B$1+((Inputs!$G$5:$G$110&lt;&gt;"moeda")*(Inputs!$G$5:$G$110&lt;&gt;"acoes")))*INDEX(Inputs!$K$5:$AJ$110,0,MATCH(F$2,Inputs!$K$4:$AJ$4,0)))+SUMPRODUCT((Inputs!$E$5:$E$110=$B33)*Inputs!$F$5:$F$110*(((Inputs!$G$5:$G$110="moeda")+(Inputs!$G$5:$G$110="acoes"))*Inputs!$B$1+((Inputs!$G$5:$G$110&lt;&gt;"moeda")*(Inputs!$G$5:$G$110&lt;&gt;"acoes")))*INDEX(Inputs!$K$5:$AJ$110,0,MATCH(F$2,Inputs!$K$4:$AJ$4,0)))))</f>
        <v>0</v>
      </c>
      <c r="G33" s="6">
        <f>IF(ISNA(MATCH(G$2,Inputs!$K$4:$AJ$4,0)),NA(),IF(SUMPRODUCT((Inputs!$A$5:$A$110=$B33)*ISNUMBER(INDEX(Inputs!$K$5:$AJ$110,0,MATCH(G$2,Inputs!$K$4:$AJ$4,0))))+SUMPRODUCT((Inputs!$C$5:$C$110=$B33)*ISNUMBER(INDEX(Inputs!$K$5:$AJ$110,0,MATCH(G$2,Inputs!$K$4:$AJ$4,0))))+SUMPRODUCT((Inputs!$E$5:$E$110=$B33)*ISNUMBER(INDEX(Inputs!$K$5:$AJ$110,0,MATCH(G$2,Inputs!$K$4:$AJ$4,0))))=0,NA(),SUMPRODUCT((Inputs!$A$5:$A$110=$B33)*Inputs!$B$5:$B$110*(((Inputs!$G$5:$G$110="moeda")+(Inputs!$G$5:$G$110="acoes"))*Inputs!$B$1+((Inputs!$G$5:$G$110&lt;&gt;"moeda")*(Inputs!$G$5:$G$110&lt;&gt;"acoes")))*INDEX(Inputs!$K$5:$AJ$110,0,MATCH(G$2,Inputs!$K$4:$AJ$4,0)))+SUMPRODUCT((Inputs!$C$5:$C$110=$B33)*Inputs!$D$5:$D$110*(((Inputs!$G$5:$G$110="moeda")+(Inputs!$G$5:$G$110="acoes"))*Inputs!$B$1+((Inputs!$G$5:$G$110&lt;&gt;"moeda")*(Inputs!$G$5:$G$110&lt;&gt;"acoes")))*INDEX(Inputs!$K$5:$AJ$110,0,MATCH(G$2,Inputs!$K$4:$AJ$4,0)))+SUMPRODUCT((Inputs!$E$5:$E$110=$B33)*Inputs!$F$5:$F$110*(((Inputs!$G$5:$G$110="moeda")+(Inputs!$G$5:$G$110="acoes"))*Inputs!$B$1+((Inputs!$G$5:$G$110&lt;&gt;"moeda")*(Inputs!$G$5:$G$110&lt;&gt;"acoes")))*INDEX(Inputs!$K$5:$AJ$110,0,MATCH(G$2,Inputs!$K$4:$AJ$4,0)))))</f>
        <v>0</v>
      </c>
      <c r="H33" s="3">
        <f>G33</f>
        <v>0</v>
      </c>
      <c r="I33" s="6">
        <f>IF(ISNA(MATCH(I$2,Inputs!$K$4:$AJ$4,0)),NA(),IF(SUMPRODUCT((Inputs!$A$5:$A$110=$B33)*ISNUMBER(INDEX(Inputs!$K$5:$AJ$110,0,MATCH(I$2,Inputs!$K$4:$AJ$4,0))))+SUMPRODUCT((Inputs!$C$5:$C$110=$B33)*ISNUMBER(INDEX(Inputs!$K$5:$AJ$110,0,MATCH(I$2,Inputs!$K$4:$AJ$4,0))))+SUMPRODUCT((Inputs!$E$5:$E$110=$B33)*ISNUMBER(INDEX(Inputs!$K$5:$AJ$110,0,MATCH(I$2,Inputs!$K$4:$AJ$4,0))))=0,NA(),SUMPRODUCT((Inputs!$A$5:$A$110=$B33)*Inputs!$B$5:$B$110*(((Inputs!$G$5:$G$110="moeda")+(Inputs!$G$5:$G$110="acoes"))*Inputs!$B$1+((Inputs!$G$5:$G$110&lt;&gt;"moeda")*(Inputs!$G$5:$G$110&lt;&gt;"acoes")))*INDEX(Inputs!$K$5:$AJ$110,0,MATCH(I$2,Inputs!$K$4:$AJ$4,0)))+SUMPRODUCT((Inputs!$C$5:$C$110=$B33)*Inputs!$D$5:$D$110*(((Inputs!$G$5:$G$110="moeda")+(Inputs!$G$5:$G$110="acoes"))*Inputs!$B$1+((Inputs!$G$5:$G$110&lt;&gt;"moeda")*(Inputs!$G$5:$G$110&lt;&gt;"acoes")))*INDEX(Inputs!$K$5:$AJ$110,0,MATCH(I$2,Inputs!$K$4:$AJ$4,0)))+SUMPRODUCT((Inputs!$E$5:$E$110=$B33)*Inputs!$F$5:$F$110*(((Inputs!$G$5:$G$110="moeda")+(Inputs!$G$5:$G$110="acoes"))*Inputs!$B$1+((Inputs!$G$5:$G$110&lt;&gt;"moeda")*(Inputs!$G$5:$G$110&lt;&gt;"acoes")))*INDEX(Inputs!$K$5:$AJ$110,0,MATCH(I$2,Inputs!$K$4:$AJ$4,0)))))</f>
        <v>0</v>
      </c>
      <c r="J33" s="6">
        <f>IF(ISNA(MATCH(J$2,Inputs!$K$4:$AJ$4,0)),NA(),IF(SUMPRODUCT((Inputs!$A$5:$A$110=$B33)*ISNUMBER(INDEX(Inputs!$K$5:$AJ$110,0,MATCH(J$2,Inputs!$K$4:$AJ$4,0))))+SUMPRODUCT((Inputs!$C$5:$C$110=$B33)*ISNUMBER(INDEX(Inputs!$K$5:$AJ$110,0,MATCH(J$2,Inputs!$K$4:$AJ$4,0))))+SUMPRODUCT((Inputs!$E$5:$E$110=$B33)*ISNUMBER(INDEX(Inputs!$K$5:$AJ$110,0,MATCH(J$2,Inputs!$K$4:$AJ$4,0))))=0,NA(),SUMPRODUCT((Inputs!$A$5:$A$110=$B33)*Inputs!$B$5:$B$110*(((Inputs!$G$5:$G$110="moeda")+(Inputs!$G$5:$G$110="acoes"))*Inputs!$B$1+((Inputs!$G$5:$G$110&lt;&gt;"moeda")*(Inputs!$G$5:$G$110&lt;&gt;"acoes")))*INDEX(Inputs!$K$5:$AJ$110,0,MATCH(J$2,Inputs!$K$4:$AJ$4,0)))+SUMPRODUCT((Inputs!$C$5:$C$110=$B33)*Inputs!$D$5:$D$110*(((Inputs!$G$5:$G$110="moeda")+(Inputs!$G$5:$G$110="acoes"))*Inputs!$B$1+((Inputs!$G$5:$G$110&lt;&gt;"moeda")*(Inputs!$G$5:$G$110&lt;&gt;"acoes")))*INDEX(Inputs!$K$5:$AJ$110,0,MATCH(J$2,Inputs!$K$4:$AJ$4,0)))+SUMPRODUCT((Inputs!$E$5:$E$110=$B33)*Inputs!$F$5:$F$110*(((Inputs!$G$5:$G$110="moeda")+(Inputs!$G$5:$G$110="acoes"))*Inputs!$B$1+((Inputs!$G$5:$G$110&lt;&gt;"moeda")*(Inputs!$G$5:$G$110&lt;&gt;"acoes")))*INDEX(Inputs!$K$5:$AJ$110,0,MATCH(J$2,Inputs!$K$4:$AJ$4,0)))))</f>
        <v>0</v>
      </c>
      <c r="K33" s="6">
        <f>IF(ISNA(MATCH(K$2,Inputs!$K$4:$AJ$4,0)),NA(),IF(SUMPRODUCT((Inputs!$A$5:$A$110=$B33)*ISNUMBER(INDEX(Inputs!$K$5:$AJ$110,0,MATCH(K$2,Inputs!$K$4:$AJ$4,0))))+SUMPRODUCT((Inputs!$C$5:$C$110=$B33)*ISNUMBER(INDEX(Inputs!$K$5:$AJ$110,0,MATCH(K$2,Inputs!$K$4:$AJ$4,0))))+SUMPRODUCT((Inputs!$E$5:$E$110=$B33)*ISNUMBER(INDEX(Inputs!$K$5:$AJ$110,0,MATCH(K$2,Inputs!$K$4:$AJ$4,0))))=0,NA(),SUMPRODUCT((Inputs!$A$5:$A$110=$B33)*Inputs!$B$5:$B$110*(((Inputs!$G$5:$G$110="moeda")+(Inputs!$G$5:$G$110="acoes"))*Inputs!$B$1+((Inputs!$G$5:$G$110&lt;&gt;"moeda")*(Inputs!$G$5:$G$110&lt;&gt;"acoes")))*INDEX(Inputs!$K$5:$AJ$110,0,MATCH(K$2,Inputs!$K$4:$AJ$4,0)))+SUMPRODUCT((Inputs!$C$5:$C$110=$B33)*Inputs!$D$5:$D$110*(((Inputs!$G$5:$G$110="moeda")+(Inputs!$G$5:$G$110="acoes"))*Inputs!$B$1+((Inputs!$G$5:$G$110&lt;&gt;"moeda")*(Inputs!$G$5:$G$110&lt;&gt;"acoes")))*INDEX(Inputs!$K$5:$AJ$110,0,MATCH(K$2,Inputs!$K$4:$AJ$4,0)))+SUMPRODUCT((Inputs!$E$5:$E$110=$B33)*Inputs!$F$5:$F$110*(((Inputs!$G$5:$G$110="moeda")+(Inputs!$G$5:$G$110="acoes"))*Inputs!$B$1+((Inputs!$G$5:$G$110&lt;&gt;"moeda")*(Inputs!$G$5:$G$110&lt;&gt;"acoes")))*INDEX(Inputs!$K$5:$AJ$110,0,MATCH(K$2,Inputs!$K$4:$AJ$4,0)))))</f>
        <v>0</v>
      </c>
      <c r="L33" s="6">
        <f>IF(ISNA(MATCH(L$2,Inputs!$K$4:$AJ$4,0)),NA(),IF(SUMPRODUCT((Inputs!$A$5:$A$110=$B33)*ISNUMBER(INDEX(Inputs!$K$5:$AJ$110,0,MATCH(L$2,Inputs!$K$4:$AJ$4,0))))+SUMPRODUCT((Inputs!$C$5:$C$110=$B33)*ISNUMBER(INDEX(Inputs!$K$5:$AJ$110,0,MATCH(L$2,Inputs!$K$4:$AJ$4,0))))+SUMPRODUCT((Inputs!$E$5:$E$110=$B33)*ISNUMBER(INDEX(Inputs!$K$5:$AJ$110,0,MATCH(L$2,Inputs!$K$4:$AJ$4,0))))=0,NA(),SUMPRODUCT((Inputs!$A$5:$A$110=$B33)*Inputs!$B$5:$B$110*(((Inputs!$G$5:$G$110="moeda")+(Inputs!$G$5:$G$110="acoes"))*Inputs!$B$1+((Inputs!$G$5:$G$110&lt;&gt;"moeda")*(Inputs!$G$5:$G$110&lt;&gt;"acoes")))*INDEX(Inputs!$K$5:$AJ$110,0,MATCH(L$2,Inputs!$K$4:$AJ$4,0)))+SUMPRODUCT((Inputs!$C$5:$C$110=$B33)*Inputs!$D$5:$D$110*(((Inputs!$G$5:$G$110="moeda")+(Inputs!$G$5:$G$110="acoes"))*Inputs!$B$1+((Inputs!$G$5:$G$110&lt;&gt;"moeda")*(Inputs!$G$5:$G$110&lt;&gt;"acoes")))*INDEX(Inputs!$K$5:$AJ$110,0,MATCH(L$2,Inputs!$K$4:$AJ$4,0)))+SUMPRODUCT((Inputs!$E$5:$E$110=$B33)*Inputs!$F$5:$F$110*(((Inputs!$G$5:$G$110="moeda")+(Inputs!$G$5:$G$110="acoes"))*Inputs!$B$1+((Inputs!$G$5:$G$110&lt;&gt;"moeda")*(Inputs!$G$5:$G$110&lt;&gt;"acoes")))*INDEX(Inputs!$K$5:$AJ$110,0,MATCH(L$2,Inputs!$K$4:$AJ$4,0)))))</f>
        <v>0</v>
      </c>
      <c r="M33" s="3">
        <f>L33</f>
        <v>0</v>
      </c>
      <c r="N33" s="6">
        <f>IF(ISNA(MATCH(N$2,Inputs!$K$4:$AJ$4,0)),NA(),IF(SUMPRODUCT((Inputs!$A$5:$A$110=$B33)*ISNUMBER(INDEX(Inputs!$K$5:$AJ$110,0,MATCH(N$2,Inputs!$K$4:$AJ$4,0))))+SUMPRODUCT((Inputs!$C$5:$C$110=$B33)*ISNUMBER(INDEX(Inputs!$K$5:$AJ$110,0,MATCH(N$2,Inputs!$K$4:$AJ$4,0))))+SUMPRODUCT((Inputs!$E$5:$E$110=$B33)*ISNUMBER(INDEX(Inputs!$K$5:$AJ$110,0,MATCH(N$2,Inputs!$K$4:$AJ$4,0))))=0,NA(),SUMPRODUCT((Inputs!$A$5:$A$110=$B33)*Inputs!$B$5:$B$110*(((Inputs!$G$5:$G$110="moeda")+(Inputs!$G$5:$G$110="acoes"))*Inputs!$B$1+((Inputs!$G$5:$G$110&lt;&gt;"moeda")*(Inputs!$G$5:$G$110&lt;&gt;"acoes")))*INDEX(Inputs!$K$5:$AJ$110,0,MATCH(N$2,Inputs!$K$4:$AJ$4,0)))+SUMPRODUCT((Inputs!$C$5:$C$110=$B33)*Inputs!$D$5:$D$110*(((Inputs!$G$5:$G$110="moeda")+(Inputs!$G$5:$G$110="acoes"))*Inputs!$B$1+((Inputs!$G$5:$G$110&lt;&gt;"moeda")*(Inputs!$G$5:$G$110&lt;&gt;"acoes")))*INDEX(Inputs!$K$5:$AJ$110,0,MATCH(N$2,Inputs!$K$4:$AJ$4,0)))+SUMPRODUCT((Inputs!$E$5:$E$110=$B33)*Inputs!$F$5:$F$110*(((Inputs!$G$5:$G$110="moeda")+(Inputs!$G$5:$G$110="acoes"))*Inputs!$B$1+((Inputs!$G$5:$G$110&lt;&gt;"moeda")*(Inputs!$G$5:$G$110&lt;&gt;"acoes")))*INDEX(Inputs!$K$5:$AJ$110,0,MATCH(N$2,Inputs!$K$4:$AJ$4,0)))))</f>
        <v>0</v>
      </c>
      <c r="O33" s="6">
        <f>IF(ISNA(MATCH(O$2,Inputs!$K$4:$AJ$4,0)),NA(),IF(SUMPRODUCT((Inputs!$A$5:$A$110=$B33)*ISNUMBER(INDEX(Inputs!$K$5:$AJ$110,0,MATCH(O$2,Inputs!$K$4:$AJ$4,0))))+SUMPRODUCT((Inputs!$C$5:$C$110=$B33)*ISNUMBER(INDEX(Inputs!$K$5:$AJ$110,0,MATCH(O$2,Inputs!$K$4:$AJ$4,0))))+SUMPRODUCT((Inputs!$E$5:$E$110=$B33)*ISNUMBER(INDEX(Inputs!$K$5:$AJ$110,0,MATCH(O$2,Inputs!$K$4:$AJ$4,0))))=0,NA(),SUMPRODUCT((Inputs!$A$5:$A$110=$B33)*Inputs!$B$5:$B$110*(((Inputs!$G$5:$G$110="moeda")+(Inputs!$G$5:$G$110="acoes"))*Inputs!$B$1+((Inputs!$G$5:$G$110&lt;&gt;"moeda")*(Inputs!$G$5:$G$110&lt;&gt;"acoes")))*INDEX(Inputs!$K$5:$AJ$110,0,MATCH(O$2,Inputs!$K$4:$AJ$4,0)))+SUMPRODUCT((Inputs!$C$5:$C$110=$B33)*Inputs!$D$5:$D$110*(((Inputs!$G$5:$G$110="moeda")+(Inputs!$G$5:$G$110="acoes"))*Inputs!$B$1+((Inputs!$G$5:$G$110&lt;&gt;"moeda")*(Inputs!$G$5:$G$110&lt;&gt;"acoes")))*INDEX(Inputs!$K$5:$AJ$110,0,MATCH(O$2,Inputs!$K$4:$AJ$4,0)))+SUMPRODUCT((Inputs!$E$5:$E$110=$B33)*Inputs!$F$5:$F$110*(((Inputs!$G$5:$G$110="moeda")+(Inputs!$G$5:$G$110="acoes"))*Inputs!$B$1+((Inputs!$G$5:$G$110&lt;&gt;"moeda")*(Inputs!$G$5:$G$110&lt;&gt;"acoes")))*INDEX(Inputs!$K$5:$AJ$110,0,MATCH(O$2,Inputs!$K$4:$AJ$4,0)))))</f>
        <v>0</v>
      </c>
      <c r="P33" s="6">
        <f>IF(ISNA(MATCH(P$2,Inputs!$K$4:$AJ$4,0)),NA(),IF(SUMPRODUCT((Inputs!$A$5:$A$110=$B33)*ISNUMBER(INDEX(Inputs!$K$5:$AJ$110,0,MATCH(P$2,Inputs!$K$4:$AJ$4,0))))+SUMPRODUCT((Inputs!$C$5:$C$110=$B33)*ISNUMBER(INDEX(Inputs!$K$5:$AJ$110,0,MATCH(P$2,Inputs!$K$4:$AJ$4,0))))+SUMPRODUCT((Inputs!$E$5:$E$110=$B33)*ISNUMBER(INDEX(Inputs!$K$5:$AJ$110,0,MATCH(P$2,Inputs!$K$4:$AJ$4,0))))=0,NA(),SUMPRODUCT((Inputs!$A$5:$A$110=$B33)*Inputs!$B$5:$B$110*(((Inputs!$G$5:$G$110="moeda")+(Inputs!$G$5:$G$110="acoes"))*Inputs!$B$1+((Inputs!$G$5:$G$110&lt;&gt;"moeda")*(Inputs!$G$5:$G$110&lt;&gt;"acoes")))*INDEX(Inputs!$K$5:$AJ$110,0,MATCH(P$2,Inputs!$K$4:$AJ$4,0)))+SUMPRODUCT((Inputs!$C$5:$C$110=$B33)*Inputs!$D$5:$D$110*(((Inputs!$G$5:$G$110="moeda")+(Inputs!$G$5:$G$110="acoes"))*Inputs!$B$1+((Inputs!$G$5:$G$110&lt;&gt;"moeda")*(Inputs!$G$5:$G$110&lt;&gt;"acoes")))*INDEX(Inputs!$K$5:$AJ$110,0,MATCH(P$2,Inputs!$K$4:$AJ$4,0)))+SUMPRODUCT((Inputs!$E$5:$E$110=$B33)*Inputs!$F$5:$F$110*(((Inputs!$G$5:$G$110="moeda")+(Inputs!$G$5:$G$110="acoes"))*Inputs!$B$1+((Inputs!$G$5:$G$110&lt;&gt;"moeda")*(Inputs!$G$5:$G$110&lt;&gt;"acoes")))*INDEX(Inputs!$K$5:$AJ$110,0,MATCH(P$2,Inputs!$K$4:$AJ$4,0)))))</f>
        <v>0</v>
      </c>
      <c r="Q33" s="6">
        <f>IF(ISNA(MATCH(Q$2,Inputs!$K$4:$AJ$4,0)),NA(),IF(SUMPRODUCT((Inputs!$A$5:$A$110=$B33)*ISNUMBER(INDEX(Inputs!$K$5:$AJ$110,0,MATCH(Q$2,Inputs!$K$4:$AJ$4,0))))+SUMPRODUCT((Inputs!$C$5:$C$110=$B33)*ISNUMBER(INDEX(Inputs!$K$5:$AJ$110,0,MATCH(Q$2,Inputs!$K$4:$AJ$4,0))))+SUMPRODUCT((Inputs!$E$5:$E$110=$B33)*ISNUMBER(INDEX(Inputs!$K$5:$AJ$110,0,MATCH(Q$2,Inputs!$K$4:$AJ$4,0))))=0,NA(),SUMPRODUCT((Inputs!$A$5:$A$110=$B33)*Inputs!$B$5:$B$110*(((Inputs!$G$5:$G$110="moeda")+(Inputs!$G$5:$G$110="acoes"))*Inputs!$B$1+((Inputs!$G$5:$G$110&lt;&gt;"moeda")*(Inputs!$G$5:$G$110&lt;&gt;"acoes")))*INDEX(Inputs!$K$5:$AJ$110,0,MATCH(Q$2,Inputs!$K$4:$AJ$4,0)))+SUMPRODUCT((Inputs!$C$5:$C$110=$B33)*Inputs!$D$5:$D$110*(((Inputs!$G$5:$G$110="moeda")+(Inputs!$G$5:$G$110="acoes"))*Inputs!$B$1+((Inputs!$G$5:$G$110&lt;&gt;"moeda")*(Inputs!$G$5:$G$110&lt;&gt;"acoes")))*INDEX(Inputs!$K$5:$AJ$110,0,MATCH(Q$2,Inputs!$K$4:$AJ$4,0)))+SUMPRODUCT((Inputs!$E$5:$E$110=$B33)*Inputs!$F$5:$F$110*(((Inputs!$G$5:$G$110="moeda")+(Inputs!$G$5:$G$110="acoes"))*Inputs!$B$1+((Inputs!$G$5:$G$110&lt;&gt;"moeda")*(Inputs!$G$5:$G$110&lt;&gt;"acoes")))*INDEX(Inputs!$K$5:$AJ$110,0,MATCH(Q$2,Inputs!$K$4:$AJ$4,0)))))</f>
        <v>0</v>
      </c>
      <c r="R33" s="3">
        <f>Q33</f>
        <v>0</v>
      </c>
      <c r="S33" s="6">
        <f>IF(ISNA(MATCH(S$2,Inputs!$K$4:$AJ$4,0)),NA(),IF(SUMPRODUCT((Inputs!$A$5:$A$110=$B33)*ISNUMBER(INDEX(Inputs!$K$5:$AJ$110,0,MATCH(S$2,Inputs!$K$4:$AJ$4,0))))+SUMPRODUCT((Inputs!$C$5:$C$110=$B33)*ISNUMBER(INDEX(Inputs!$K$5:$AJ$110,0,MATCH(S$2,Inputs!$K$4:$AJ$4,0))))+SUMPRODUCT((Inputs!$E$5:$E$110=$B33)*ISNUMBER(INDEX(Inputs!$K$5:$AJ$110,0,MATCH(S$2,Inputs!$K$4:$AJ$4,0))))=0,NA(),SUMPRODUCT((Inputs!$A$5:$A$110=$B33)*Inputs!$B$5:$B$110*(((Inputs!$G$5:$G$110="moeda")+(Inputs!$G$5:$G$110="acoes"))*Inputs!$B$1+((Inputs!$G$5:$G$110&lt;&gt;"moeda")*(Inputs!$G$5:$G$110&lt;&gt;"acoes")))*INDEX(Inputs!$K$5:$AJ$110,0,MATCH(S$2,Inputs!$K$4:$AJ$4,0)))+SUMPRODUCT((Inputs!$C$5:$C$110=$B33)*Inputs!$D$5:$D$110*(((Inputs!$G$5:$G$110="moeda")+(Inputs!$G$5:$G$110="acoes"))*Inputs!$B$1+((Inputs!$G$5:$G$110&lt;&gt;"moeda")*(Inputs!$G$5:$G$110&lt;&gt;"acoes")))*INDEX(Inputs!$K$5:$AJ$110,0,MATCH(S$2,Inputs!$K$4:$AJ$4,0)))+SUMPRODUCT((Inputs!$E$5:$E$110=$B33)*Inputs!$F$5:$F$110*(((Inputs!$G$5:$G$110="moeda")+(Inputs!$G$5:$G$110="acoes"))*Inputs!$B$1+((Inputs!$G$5:$G$110&lt;&gt;"moeda")*(Inputs!$G$5:$G$110&lt;&gt;"acoes")))*INDEX(Inputs!$K$5:$AJ$110,0,MATCH(S$2,Inputs!$K$4:$AJ$4,0)))))</f>
        <v>0</v>
      </c>
      <c r="T33" s="6">
        <f>IF(ISNA(MATCH(T$2,Inputs!$K$4:$AJ$4,0)),NA(),IF(SUMPRODUCT((Inputs!$A$5:$A$110=$B33)*ISNUMBER(INDEX(Inputs!$K$5:$AJ$110,0,MATCH(T$2,Inputs!$K$4:$AJ$4,0))))+SUMPRODUCT((Inputs!$C$5:$C$110=$B33)*ISNUMBER(INDEX(Inputs!$K$5:$AJ$110,0,MATCH(T$2,Inputs!$K$4:$AJ$4,0))))+SUMPRODUCT((Inputs!$E$5:$E$110=$B33)*ISNUMBER(INDEX(Inputs!$K$5:$AJ$110,0,MATCH(T$2,Inputs!$K$4:$AJ$4,0))))=0,NA(),SUMPRODUCT((Inputs!$A$5:$A$110=$B33)*Inputs!$B$5:$B$110*(((Inputs!$G$5:$G$110="moeda")+(Inputs!$G$5:$G$110="acoes"))*Inputs!$B$1+((Inputs!$G$5:$G$110&lt;&gt;"moeda")*(Inputs!$G$5:$G$110&lt;&gt;"acoes")))*INDEX(Inputs!$K$5:$AJ$110,0,MATCH(T$2,Inputs!$K$4:$AJ$4,0)))+SUMPRODUCT((Inputs!$C$5:$C$110=$B33)*Inputs!$D$5:$D$110*(((Inputs!$G$5:$G$110="moeda")+(Inputs!$G$5:$G$110="acoes"))*Inputs!$B$1+((Inputs!$G$5:$G$110&lt;&gt;"moeda")*(Inputs!$G$5:$G$110&lt;&gt;"acoes")))*INDEX(Inputs!$K$5:$AJ$110,0,MATCH(T$2,Inputs!$K$4:$AJ$4,0)))+SUMPRODUCT((Inputs!$E$5:$E$110=$B33)*Inputs!$F$5:$F$110*(((Inputs!$G$5:$G$110="moeda")+(Inputs!$G$5:$G$110="acoes"))*Inputs!$B$1+((Inputs!$G$5:$G$110&lt;&gt;"moeda")*(Inputs!$G$5:$G$110&lt;&gt;"acoes")))*INDEX(Inputs!$K$5:$AJ$110,0,MATCH(T$2,Inputs!$K$4:$AJ$4,0)))))</f>
        <v>0</v>
      </c>
      <c r="U33" s="6">
        <f>IF(ISNA(MATCH(U$2,Inputs!$K$4:$AJ$4,0)),NA(),IF(SUMPRODUCT((Inputs!$A$5:$A$110=$B33)*ISNUMBER(INDEX(Inputs!$K$5:$AJ$110,0,MATCH(U$2,Inputs!$K$4:$AJ$4,0))))+SUMPRODUCT((Inputs!$C$5:$C$110=$B33)*ISNUMBER(INDEX(Inputs!$K$5:$AJ$110,0,MATCH(U$2,Inputs!$K$4:$AJ$4,0))))+SUMPRODUCT((Inputs!$E$5:$E$110=$B33)*ISNUMBER(INDEX(Inputs!$K$5:$AJ$110,0,MATCH(U$2,Inputs!$K$4:$AJ$4,0))))=0,NA(),SUMPRODUCT((Inputs!$A$5:$A$110=$B33)*Inputs!$B$5:$B$110*(((Inputs!$G$5:$G$110="moeda")+(Inputs!$G$5:$G$110="acoes"))*Inputs!$B$1+((Inputs!$G$5:$G$110&lt;&gt;"moeda")*(Inputs!$G$5:$G$110&lt;&gt;"acoes")))*INDEX(Inputs!$K$5:$AJ$110,0,MATCH(U$2,Inputs!$K$4:$AJ$4,0)))+SUMPRODUCT((Inputs!$C$5:$C$110=$B33)*Inputs!$D$5:$D$110*(((Inputs!$G$5:$G$110="moeda")+(Inputs!$G$5:$G$110="acoes"))*Inputs!$B$1+((Inputs!$G$5:$G$110&lt;&gt;"moeda")*(Inputs!$G$5:$G$110&lt;&gt;"acoes")))*INDEX(Inputs!$K$5:$AJ$110,0,MATCH(U$2,Inputs!$K$4:$AJ$4,0)))+SUMPRODUCT((Inputs!$E$5:$E$110=$B33)*Inputs!$F$5:$F$110*(((Inputs!$G$5:$G$110="moeda")+(Inputs!$G$5:$G$110="acoes"))*Inputs!$B$1+((Inputs!$G$5:$G$110&lt;&gt;"moeda")*(Inputs!$G$5:$G$110&lt;&gt;"acoes")))*INDEX(Inputs!$K$5:$AJ$110,0,MATCH(U$2,Inputs!$K$4:$AJ$4,0)))))</f>
        <v>0</v>
      </c>
      <c r="V33" s="6">
        <f>IF(ISNA(MATCH(V$2,Inputs!$K$4:$AJ$4,0)),NA(),IF(SUMPRODUCT((Inputs!$A$5:$A$110=$B33)*ISNUMBER(INDEX(Inputs!$K$5:$AJ$110,0,MATCH(V$2,Inputs!$K$4:$AJ$4,0))))+SUMPRODUCT((Inputs!$C$5:$C$110=$B33)*ISNUMBER(INDEX(Inputs!$K$5:$AJ$110,0,MATCH(V$2,Inputs!$K$4:$AJ$4,0))))+SUMPRODUCT((Inputs!$E$5:$E$110=$B33)*ISNUMBER(INDEX(Inputs!$K$5:$AJ$110,0,MATCH(V$2,Inputs!$K$4:$AJ$4,0))))=0,NA(),SUMPRODUCT((Inputs!$A$5:$A$110=$B33)*Inputs!$B$5:$B$110*(((Inputs!$G$5:$G$110="moeda")+(Inputs!$G$5:$G$110="acoes"))*Inputs!$B$1+((Inputs!$G$5:$G$110&lt;&gt;"moeda")*(Inputs!$G$5:$G$110&lt;&gt;"acoes")))*INDEX(Inputs!$K$5:$AJ$110,0,MATCH(V$2,Inputs!$K$4:$AJ$4,0)))+SUMPRODUCT((Inputs!$C$5:$C$110=$B33)*Inputs!$D$5:$D$110*(((Inputs!$G$5:$G$110="moeda")+(Inputs!$G$5:$G$110="acoes"))*Inputs!$B$1+((Inputs!$G$5:$G$110&lt;&gt;"moeda")*(Inputs!$G$5:$G$110&lt;&gt;"acoes")))*INDEX(Inputs!$K$5:$AJ$110,0,MATCH(V$2,Inputs!$K$4:$AJ$4,0)))+SUMPRODUCT((Inputs!$E$5:$E$110=$B33)*Inputs!$F$5:$F$110*(((Inputs!$G$5:$G$110="moeda")+(Inputs!$G$5:$G$110="acoes"))*Inputs!$B$1+((Inputs!$G$5:$G$110&lt;&gt;"moeda")*(Inputs!$G$5:$G$110&lt;&gt;"acoes")))*INDEX(Inputs!$K$5:$AJ$110,0,MATCH(V$2,Inputs!$K$4:$AJ$4,0)))))</f>
        <v>0</v>
      </c>
      <c r="W33" s="3">
        <f>V33</f>
        <v>0</v>
      </c>
      <c r="X33" s="6">
        <f>IF(ISNA(MATCH(X$2,Inputs!$K$4:$AJ$4,0)),NA(),IF(SUMPRODUCT((Inputs!$A$5:$A$110=$B33)*ISNUMBER(INDEX(Inputs!$K$5:$AJ$110,0,MATCH(X$2,Inputs!$K$4:$AJ$4,0))))+SUMPRODUCT((Inputs!$C$5:$C$110=$B33)*ISNUMBER(INDEX(Inputs!$K$5:$AJ$110,0,MATCH(X$2,Inputs!$K$4:$AJ$4,0))))+SUMPRODUCT((Inputs!$E$5:$E$110=$B33)*ISNUMBER(INDEX(Inputs!$K$5:$AJ$110,0,MATCH(X$2,Inputs!$K$4:$AJ$4,0))))=0,NA(),SUMPRODUCT((Inputs!$A$5:$A$110=$B33)*Inputs!$B$5:$B$110*(((Inputs!$G$5:$G$110="moeda")+(Inputs!$G$5:$G$110="acoes"))*Inputs!$B$1+((Inputs!$G$5:$G$110&lt;&gt;"moeda")*(Inputs!$G$5:$G$110&lt;&gt;"acoes")))*INDEX(Inputs!$K$5:$AJ$110,0,MATCH(X$2,Inputs!$K$4:$AJ$4,0)))+SUMPRODUCT((Inputs!$C$5:$C$110=$B33)*Inputs!$D$5:$D$110*(((Inputs!$G$5:$G$110="moeda")+(Inputs!$G$5:$G$110="acoes"))*Inputs!$B$1+((Inputs!$G$5:$G$110&lt;&gt;"moeda")*(Inputs!$G$5:$G$110&lt;&gt;"acoes")))*INDEX(Inputs!$K$5:$AJ$110,0,MATCH(X$2,Inputs!$K$4:$AJ$4,0)))+SUMPRODUCT((Inputs!$E$5:$E$110=$B33)*Inputs!$F$5:$F$110*(((Inputs!$G$5:$G$110="moeda")+(Inputs!$G$5:$G$110="acoes"))*Inputs!$B$1+((Inputs!$G$5:$G$110&lt;&gt;"moeda")*(Inputs!$G$5:$G$110&lt;&gt;"acoes")))*INDEX(Inputs!$K$5:$AJ$110,0,MATCH(X$2,Inputs!$K$4:$AJ$4,0)))))</f>
        <v>0</v>
      </c>
      <c r="Y33" s="6">
        <f>IF(ISNA(MATCH(Y$2,Inputs!$K$4:$AJ$4,0)),NA(),IF(SUMPRODUCT((Inputs!$A$5:$A$110=$B33)*ISNUMBER(INDEX(Inputs!$K$5:$AJ$110,0,MATCH(Y$2,Inputs!$K$4:$AJ$4,0))))+SUMPRODUCT((Inputs!$C$5:$C$110=$B33)*ISNUMBER(INDEX(Inputs!$K$5:$AJ$110,0,MATCH(Y$2,Inputs!$K$4:$AJ$4,0))))+SUMPRODUCT((Inputs!$E$5:$E$110=$B33)*ISNUMBER(INDEX(Inputs!$K$5:$AJ$110,0,MATCH(Y$2,Inputs!$K$4:$AJ$4,0))))=0,NA(),SUMPRODUCT((Inputs!$A$5:$A$110=$B33)*Inputs!$B$5:$B$110*(((Inputs!$G$5:$G$110="moeda")+(Inputs!$G$5:$G$110="acoes"))*Inputs!$B$1+((Inputs!$G$5:$G$110&lt;&gt;"moeda")*(Inputs!$G$5:$G$110&lt;&gt;"acoes")))*INDEX(Inputs!$K$5:$AJ$110,0,MATCH(Y$2,Inputs!$K$4:$AJ$4,0)))+SUMPRODUCT((Inputs!$C$5:$C$110=$B33)*Inputs!$D$5:$D$110*(((Inputs!$G$5:$G$110="moeda")+(Inputs!$G$5:$G$110="acoes"))*Inputs!$B$1+((Inputs!$G$5:$G$110&lt;&gt;"moeda")*(Inputs!$G$5:$G$110&lt;&gt;"acoes")))*INDEX(Inputs!$K$5:$AJ$110,0,MATCH(Y$2,Inputs!$K$4:$AJ$4,0)))+SUMPRODUCT((Inputs!$E$5:$E$110=$B33)*Inputs!$F$5:$F$110*(((Inputs!$G$5:$G$110="moeda")+(Inputs!$G$5:$G$110="acoes"))*Inputs!$B$1+((Inputs!$G$5:$G$110&lt;&gt;"moeda")*(Inputs!$G$5:$G$110&lt;&gt;"acoes")))*INDEX(Inputs!$K$5:$AJ$110,0,MATCH(Y$2,Inputs!$K$4:$AJ$4,0)))))</f>
        <v>0</v>
      </c>
      <c r="Z33" s="6">
        <f>IF(ISNA(MATCH(Z$2,Inputs!$K$4:$AJ$4,0)),NA(),IF(SUMPRODUCT((Inputs!$A$5:$A$110=$B33)*ISNUMBER(INDEX(Inputs!$K$5:$AJ$110,0,MATCH(Z$2,Inputs!$K$4:$AJ$4,0))))+SUMPRODUCT((Inputs!$C$5:$C$110=$B33)*ISNUMBER(INDEX(Inputs!$K$5:$AJ$110,0,MATCH(Z$2,Inputs!$K$4:$AJ$4,0))))+SUMPRODUCT((Inputs!$E$5:$E$110=$B33)*ISNUMBER(INDEX(Inputs!$K$5:$AJ$110,0,MATCH(Z$2,Inputs!$K$4:$AJ$4,0))))=0,NA(),SUMPRODUCT((Inputs!$A$5:$A$110=$B33)*Inputs!$B$5:$B$110*(((Inputs!$G$5:$G$110="moeda")+(Inputs!$G$5:$G$110="acoes"))*Inputs!$B$1+((Inputs!$G$5:$G$110&lt;&gt;"moeda")*(Inputs!$G$5:$G$110&lt;&gt;"acoes")))*INDEX(Inputs!$K$5:$AJ$110,0,MATCH(Z$2,Inputs!$K$4:$AJ$4,0)))+SUMPRODUCT((Inputs!$C$5:$C$110=$B33)*Inputs!$D$5:$D$110*(((Inputs!$G$5:$G$110="moeda")+(Inputs!$G$5:$G$110="acoes"))*Inputs!$B$1+((Inputs!$G$5:$G$110&lt;&gt;"moeda")*(Inputs!$G$5:$G$110&lt;&gt;"acoes")))*INDEX(Inputs!$K$5:$AJ$110,0,MATCH(Z$2,Inputs!$K$4:$AJ$4,0)))+SUMPRODUCT((Inputs!$E$5:$E$110=$B33)*Inputs!$F$5:$F$110*(((Inputs!$G$5:$G$110="moeda")+(Inputs!$G$5:$G$110="acoes"))*Inputs!$B$1+((Inputs!$G$5:$G$110&lt;&gt;"moeda")*(Inputs!$G$5:$G$110&lt;&gt;"acoes")))*INDEX(Inputs!$K$5:$AJ$110,0,MATCH(Z$2,Inputs!$K$4:$AJ$4,0)))))</f>
        <v>0</v>
      </c>
      <c r="AA33" s="6">
        <f>IF(ISNA(MATCH(AA$2,Inputs!$K$4:$AJ$4,0)),NA(),IF(SUMPRODUCT((Inputs!$A$5:$A$110=$B33)*ISNUMBER(INDEX(Inputs!$K$5:$AJ$110,0,MATCH(AA$2,Inputs!$K$4:$AJ$4,0))))+SUMPRODUCT((Inputs!$C$5:$C$110=$B33)*ISNUMBER(INDEX(Inputs!$K$5:$AJ$110,0,MATCH(AA$2,Inputs!$K$4:$AJ$4,0))))+SUMPRODUCT((Inputs!$E$5:$E$110=$B33)*ISNUMBER(INDEX(Inputs!$K$5:$AJ$110,0,MATCH(AA$2,Inputs!$K$4:$AJ$4,0))))=0,NA(),SUMPRODUCT((Inputs!$A$5:$A$110=$B33)*Inputs!$B$5:$B$110*(((Inputs!$G$5:$G$110="moeda")+(Inputs!$G$5:$G$110="acoes"))*Inputs!$B$1+((Inputs!$G$5:$G$110&lt;&gt;"moeda")*(Inputs!$G$5:$G$110&lt;&gt;"acoes")))*INDEX(Inputs!$K$5:$AJ$110,0,MATCH(AA$2,Inputs!$K$4:$AJ$4,0)))+SUMPRODUCT((Inputs!$C$5:$C$110=$B33)*Inputs!$D$5:$D$110*(((Inputs!$G$5:$G$110="moeda")+(Inputs!$G$5:$G$110="acoes"))*Inputs!$B$1+((Inputs!$G$5:$G$110&lt;&gt;"moeda")*(Inputs!$G$5:$G$110&lt;&gt;"acoes")))*INDEX(Inputs!$K$5:$AJ$110,0,MATCH(AA$2,Inputs!$K$4:$AJ$4,0)))+SUMPRODUCT((Inputs!$E$5:$E$110=$B33)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3" s="3">
        <f>AA33</f>
        <v>0</v>
      </c>
      <c r="AC33" s="6">
        <f>IF(ISNA(MATCH(AC$2,Inputs!$K$4:$AJ$4,0)),NA(),IF(SUMPRODUCT((Inputs!$A$5:$A$110=$B33)*ISNUMBER(INDEX(Inputs!$K$5:$AJ$110,0,MATCH(AC$2,Inputs!$K$4:$AJ$4,0))))+SUMPRODUCT((Inputs!$C$5:$C$110=$B33)*ISNUMBER(INDEX(Inputs!$K$5:$AJ$110,0,MATCH(AC$2,Inputs!$K$4:$AJ$4,0))))+SUMPRODUCT((Inputs!$E$5:$E$110=$B33)*ISNUMBER(INDEX(Inputs!$K$5:$AJ$110,0,MATCH(AC$2,Inputs!$K$4:$AJ$4,0))))=0,NA(),SUMPRODUCT((Inputs!$A$5:$A$110=$B33)*Inputs!$B$5:$B$110*(((Inputs!$G$5:$G$110="moeda")+(Inputs!$G$5:$G$110="acoes"))*Inputs!$B$1+((Inputs!$G$5:$G$110&lt;&gt;"moeda")*(Inputs!$G$5:$G$110&lt;&gt;"acoes")))*INDEX(Inputs!$K$5:$AJ$110,0,MATCH(AC$2,Inputs!$K$4:$AJ$4,0)))+SUMPRODUCT((Inputs!$C$5:$C$110=$B33)*Inputs!$D$5:$D$110*(((Inputs!$G$5:$G$110="moeda")+(Inputs!$G$5:$G$110="acoes"))*Inputs!$B$1+((Inputs!$G$5:$G$110&lt;&gt;"moeda")*(Inputs!$G$5:$G$110&lt;&gt;"acoes")))*INDEX(Inputs!$K$5:$AJ$110,0,MATCH(AC$2,Inputs!$K$4:$AJ$4,0)))+SUMPRODUCT((Inputs!$E$5:$E$110=$B33)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3" s="6">
        <f>IF(ISNA(MATCH(AD$2,Inputs!$K$4:$AJ$4,0)),NA(),IF(SUMPRODUCT((Inputs!$A$5:$A$110=$B33)*ISNUMBER(INDEX(Inputs!$K$5:$AJ$110,0,MATCH(AD$2,Inputs!$K$4:$AJ$4,0))))+SUMPRODUCT((Inputs!$C$5:$C$110=$B33)*ISNUMBER(INDEX(Inputs!$K$5:$AJ$110,0,MATCH(AD$2,Inputs!$K$4:$AJ$4,0))))+SUMPRODUCT((Inputs!$E$5:$E$110=$B33)*ISNUMBER(INDEX(Inputs!$K$5:$AJ$110,0,MATCH(AD$2,Inputs!$K$4:$AJ$4,0))))=0,NA(),SUMPRODUCT((Inputs!$A$5:$A$110=$B33)*Inputs!$B$5:$B$110*(((Inputs!$G$5:$G$110="moeda")+(Inputs!$G$5:$G$110="acoes"))*Inputs!$B$1+((Inputs!$G$5:$G$110&lt;&gt;"moeda")*(Inputs!$G$5:$G$110&lt;&gt;"acoes")))*INDEX(Inputs!$K$5:$AJ$110,0,MATCH(AD$2,Inputs!$K$4:$AJ$4,0)))+SUMPRODUCT((Inputs!$C$5:$C$110=$B33)*Inputs!$D$5:$D$110*(((Inputs!$G$5:$G$110="moeda")+(Inputs!$G$5:$G$110="acoes"))*Inputs!$B$1+((Inputs!$G$5:$G$110&lt;&gt;"moeda")*(Inputs!$G$5:$G$110&lt;&gt;"acoes")))*INDEX(Inputs!$K$5:$AJ$110,0,MATCH(AD$2,Inputs!$K$4:$AJ$4,0)))+SUMPRODUCT((Inputs!$E$5:$E$110=$B33)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3" s="6" t="e">
        <f>IF(ISNA(MATCH(AE$2,Inputs!$K$4:$AJ$4,0)),NA(),IF(SUMPRODUCT((Inputs!$A$5:$A$110=$B33)*ISNUMBER(INDEX(Inputs!$K$5:$AJ$110,0,MATCH(AE$2,Inputs!$K$4:$AJ$4,0))))+SUMPRODUCT((Inputs!$C$5:$C$110=$B33)*ISNUMBER(INDEX(Inputs!$K$5:$AJ$110,0,MATCH(AE$2,Inputs!$K$4:$AJ$4,0))))+SUMPRODUCT((Inputs!$E$5:$E$110=$B33)*ISNUMBER(INDEX(Inputs!$K$5:$AJ$110,0,MATCH(AE$2,Inputs!$K$4:$AJ$4,0))))=0,NA(),SUMPRODUCT((Inputs!$A$5:$A$110=$B33)*Inputs!$B$5:$B$110*(((Inputs!$G$5:$G$110="moeda")+(Inputs!$G$5:$G$110="acoes"))*Inputs!$B$1+((Inputs!$G$5:$G$110&lt;&gt;"moeda")*(Inputs!$G$5:$G$110&lt;&gt;"acoes")))*INDEX(Inputs!$K$5:$AJ$110,0,MATCH(AE$2,Inputs!$K$4:$AJ$4,0)))+SUMPRODUCT((Inputs!$C$5:$C$110=$B33)*Inputs!$D$5:$D$110*(((Inputs!$G$5:$G$110="moeda")+(Inputs!$G$5:$G$110="acoes"))*Inputs!$B$1+((Inputs!$G$5:$G$110&lt;&gt;"moeda")*(Inputs!$G$5:$G$110&lt;&gt;"acoes")))*INDEX(Inputs!$K$5:$AJ$110,0,MATCH(AE$2,Inputs!$K$4:$AJ$4,0)))+SUMPRODUCT((Inputs!$E$5:$E$110=$B33)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3" s="6" t="e">
        <f>IF(ISNA(MATCH(AF$2,Inputs!$K$4:$AJ$4,0)),NA(),IF(SUMPRODUCT((Inputs!$A$5:$A$110=$B33)*ISNUMBER(INDEX(Inputs!$K$5:$AJ$110,0,MATCH(AF$2,Inputs!$K$4:$AJ$4,0))))+SUMPRODUCT((Inputs!$C$5:$C$110=$B33)*ISNUMBER(INDEX(Inputs!$K$5:$AJ$110,0,MATCH(AF$2,Inputs!$K$4:$AJ$4,0))))+SUMPRODUCT((Inputs!$E$5:$E$110=$B33)*ISNUMBER(INDEX(Inputs!$K$5:$AJ$110,0,MATCH(AF$2,Inputs!$K$4:$AJ$4,0))))=0,NA(),SUMPRODUCT((Inputs!$A$5:$A$110=$B33)*Inputs!$B$5:$B$110*(((Inputs!$G$5:$G$110="moeda")+(Inputs!$G$5:$G$110="acoes"))*Inputs!$B$1+((Inputs!$G$5:$G$110&lt;&gt;"moeda")*(Inputs!$G$5:$G$110&lt;&gt;"acoes")))*INDEX(Inputs!$K$5:$AJ$110,0,MATCH(AF$2,Inputs!$K$4:$AJ$4,0)))+SUMPRODUCT((Inputs!$C$5:$C$110=$B33)*Inputs!$D$5:$D$110*(((Inputs!$G$5:$G$110="moeda")+(Inputs!$G$5:$G$110="acoes"))*Inputs!$B$1+((Inputs!$G$5:$G$110&lt;&gt;"moeda")*(Inputs!$G$5:$G$110&lt;&gt;"acoes")))*INDEX(Inputs!$K$5:$AJ$110,0,MATCH(AF$2,Inputs!$K$4:$AJ$4,0)))+SUMPRODUCT((Inputs!$E$5:$E$110=$B33)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3" s="3" t="e">
        <f>AF33</f>
        <v>#N/A</v>
      </c>
      <c r="AH33" s="6">
        <f>IF(ISNA(MATCH(AH$2,Inputs!$K$4:$AJ$4,0)),NA(),IF(SUMPRODUCT((Inputs!$A$5:$A$110=$B33)*ISNUMBER(INDEX(Inputs!$K$5:$AJ$110,0,MATCH(AH$2,Inputs!$K$4:$AJ$4,0))))+SUMPRODUCT((Inputs!$C$5:$C$110=$B33)*ISNUMBER(INDEX(Inputs!$K$5:$AJ$110,0,MATCH(AH$2,Inputs!$K$4:$AJ$4,0))))+SUMPRODUCT((Inputs!$E$5:$E$110=$B33)*ISNUMBER(INDEX(Inputs!$K$5:$AJ$110,0,MATCH(AH$2,Inputs!$K$4:$AJ$4,0))))=0,NA(),SUMPRODUCT((Inputs!$A$5:$A$110=$B33)*Inputs!$B$5:$B$110*(((Inputs!$G$5:$G$110="moeda")+(Inputs!$G$5:$G$110="acoes"))*Inputs!$B$1+((Inputs!$G$5:$G$110&lt;&gt;"moeda")*(Inputs!$G$5:$G$110&lt;&gt;"acoes")))*INDEX(Inputs!$K$5:$AJ$110,0,MATCH(AH$2,Inputs!$K$4:$AJ$4,0)))+SUMPRODUCT((Inputs!$C$5:$C$110=$B33)*Inputs!$D$5:$D$110*(((Inputs!$G$5:$G$110="moeda")+(Inputs!$G$5:$G$110="acoes"))*Inputs!$B$1+((Inputs!$G$5:$G$110&lt;&gt;"moeda")*(Inputs!$G$5:$G$110&lt;&gt;"acoes")))*INDEX(Inputs!$K$5:$AJ$110,0,MATCH(AH$2,Inputs!$K$4:$AJ$4,0)))+SUMPRODUCT((Inputs!$E$5:$E$110=$B33)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3" s="6">
        <f>IF(ISNA(MATCH(AI$2,Inputs!$K$4:$AJ$4,0)),NA(),IF(SUMPRODUCT((Inputs!$A$5:$A$110=$B33)*ISNUMBER(INDEX(Inputs!$K$5:$AJ$110,0,MATCH(AI$2,Inputs!$K$4:$AJ$4,0))))+SUMPRODUCT((Inputs!$C$5:$C$110=$B33)*ISNUMBER(INDEX(Inputs!$K$5:$AJ$110,0,MATCH(AI$2,Inputs!$K$4:$AJ$4,0))))+SUMPRODUCT((Inputs!$E$5:$E$110=$B33)*ISNUMBER(INDEX(Inputs!$K$5:$AJ$110,0,MATCH(AI$2,Inputs!$K$4:$AJ$4,0))))=0,NA(),SUMPRODUCT((Inputs!$A$5:$A$110=$B33)*Inputs!$B$5:$B$110*(((Inputs!$G$5:$G$110="moeda")+(Inputs!$G$5:$G$110="acoes"))*Inputs!$B$1+((Inputs!$G$5:$G$110&lt;&gt;"moeda")*(Inputs!$G$5:$G$110&lt;&gt;"acoes")))*INDEX(Inputs!$K$5:$AJ$110,0,MATCH(AI$2,Inputs!$K$4:$AJ$4,0)))+SUMPRODUCT((Inputs!$C$5:$C$110=$B33)*Inputs!$D$5:$D$110*(((Inputs!$G$5:$G$110="moeda")+(Inputs!$G$5:$G$110="acoes"))*Inputs!$B$1+((Inputs!$G$5:$G$110&lt;&gt;"moeda")*(Inputs!$G$5:$G$110&lt;&gt;"acoes")))*INDEX(Inputs!$K$5:$AJ$110,0,MATCH(AI$2,Inputs!$K$4:$AJ$4,0)))+SUMPRODUCT((Inputs!$E$5:$E$110=$B33)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3" s="6">
        <f>IF(ISNA(MATCH(AJ$2,Inputs!$K$4:$AJ$4,0)),NA(),IF(SUMPRODUCT((Inputs!$A$5:$A$110=$B33)*ISNUMBER(INDEX(Inputs!$K$5:$AJ$110,0,MATCH(AJ$2,Inputs!$K$4:$AJ$4,0))))+SUMPRODUCT((Inputs!$C$5:$C$110=$B33)*ISNUMBER(INDEX(Inputs!$K$5:$AJ$110,0,MATCH(AJ$2,Inputs!$K$4:$AJ$4,0))))+SUMPRODUCT((Inputs!$E$5:$E$110=$B33)*ISNUMBER(INDEX(Inputs!$K$5:$AJ$110,0,MATCH(AJ$2,Inputs!$K$4:$AJ$4,0))))=0,NA(),SUMPRODUCT((Inputs!$A$5:$A$110=$B33)*Inputs!$B$5:$B$110*(((Inputs!$G$5:$G$110="moeda")+(Inputs!$G$5:$G$110="acoes"))*Inputs!$B$1+((Inputs!$G$5:$G$110&lt;&gt;"moeda")*(Inputs!$G$5:$G$110&lt;&gt;"acoes")))*INDEX(Inputs!$K$5:$AJ$110,0,MATCH(AJ$2,Inputs!$K$4:$AJ$4,0)))+SUMPRODUCT((Inputs!$C$5:$C$110=$B33)*Inputs!$D$5:$D$110*(((Inputs!$G$5:$G$110="moeda")+(Inputs!$G$5:$G$110="acoes"))*Inputs!$B$1+((Inputs!$G$5:$G$110&lt;&gt;"moeda")*(Inputs!$G$5:$G$110&lt;&gt;"acoes")))*INDEX(Inputs!$K$5:$AJ$110,0,MATCH(AJ$2,Inputs!$K$4:$AJ$4,0)))+SUMPRODUCT((Inputs!$E$5:$E$110=$B33)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3" s="6">
        <f>IF(ISNA(MATCH(AK$2,Inputs!$K$4:$AJ$4,0)),NA(),IF(SUMPRODUCT((Inputs!$A$5:$A$110=$B33)*ISNUMBER(INDEX(Inputs!$K$5:$AJ$110,0,MATCH(AK$2,Inputs!$K$4:$AJ$4,0))))+SUMPRODUCT((Inputs!$C$5:$C$110=$B33)*ISNUMBER(INDEX(Inputs!$K$5:$AJ$110,0,MATCH(AK$2,Inputs!$K$4:$AJ$4,0))))+SUMPRODUCT((Inputs!$E$5:$E$110=$B33)*ISNUMBER(INDEX(Inputs!$K$5:$AJ$110,0,MATCH(AK$2,Inputs!$K$4:$AJ$4,0))))=0,NA(),SUMPRODUCT((Inputs!$A$5:$A$110=$B33)*Inputs!$B$5:$B$110*(((Inputs!$G$5:$G$110="moeda")+(Inputs!$G$5:$G$110="acoes"))*Inputs!$B$1+((Inputs!$G$5:$G$110&lt;&gt;"moeda")*(Inputs!$G$5:$G$110&lt;&gt;"acoes")))*INDEX(Inputs!$K$5:$AJ$110,0,MATCH(AK$2,Inputs!$K$4:$AJ$4,0)))+SUMPRODUCT((Inputs!$C$5:$C$110=$B33)*Inputs!$D$5:$D$110*(((Inputs!$G$5:$G$110="moeda")+(Inputs!$G$5:$G$110="acoes"))*Inputs!$B$1+((Inputs!$G$5:$G$110&lt;&gt;"moeda")*(Inputs!$G$5:$G$110&lt;&gt;"acoes")))*INDEX(Inputs!$K$5:$AJ$110,0,MATCH(AK$2,Inputs!$K$4:$AJ$4,0)))+SUMPRODUCT((Inputs!$E$5:$E$110=$B33)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$110=$B34)*ISNUMBER(INDEX(Inputs!$K$5:$AJ$110,0,MATCH(D$2,Inputs!$K$4:$AJ$4,0))))+SUMPRODUCT((Inputs!$C$5:$C$110=$B34)*ISNUMBER(INDEX(Inputs!$K$5:$AJ$110,0,MATCH(D$2,Inputs!$K$4:$AJ$4,0))))+SUMPRODUCT((Inputs!$E$5:$E$110=$B34)*ISNUMBER(INDEX(Inputs!$K$5:$AJ$110,0,MATCH(D$2,Inputs!$K$4:$AJ$4,0))))=0,NA(),SUMPRODUCT((Inputs!$A$5:$A$110=$B34)*Inputs!$B$5:$B$110*(((Inputs!$G$5:$G$110="moeda")+(Inputs!$G$5:$G$110="acoes"))*Inputs!$B$1+((Inputs!$G$5:$G$110&lt;&gt;"moeda")*(Inputs!$G$5:$G$110&lt;&gt;"acoes")))*INDEX(Inputs!$K$5:$AJ$110,0,MATCH(D$2,Inputs!$K$4:$AJ$4,0)))+SUMPRODUCT((Inputs!$C$5:$C$110=$B34)*Inputs!$D$5:$D$110*(((Inputs!$G$5:$G$110="moeda")+(Inputs!$G$5:$G$110="acoes"))*Inputs!$B$1+((Inputs!$G$5:$G$110&lt;&gt;"moeda")*(Inputs!$G$5:$G$110&lt;&gt;"acoes")))*INDEX(Inputs!$K$5:$AJ$110,0,MATCH(D$2,Inputs!$K$4:$AJ$4,0)))+SUMPRODUCT((Inputs!$E$5:$E$110=$B34)*Inputs!$F$5:$F$110*(((Inputs!$G$5:$G$110="moeda")+(Inputs!$G$5:$G$110="acoes"))*Inputs!$B$1+((Inputs!$G$5:$G$110&lt;&gt;"moeda")*(Inputs!$G$5:$G$110&lt;&gt;"acoes")))*INDEX(Inputs!$K$5:$AJ$110,0,MATCH(D$2,Inputs!$K$4:$AJ$4,0)))))</f>
        <v>0</v>
      </c>
      <c r="E34" s="6">
        <f>IF(ISNA(MATCH(E$2,Inputs!$K$4:$AJ$4,0)),NA(),IF(SUMPRODUCT((Inputs!$A$5:$A$110=$B34)*ISNUMBER(INDEX(Inputs!$K$5:$AJ$110,0,MATCH(E$2,Inputs!$K$4:$AJ$4,0))))+SUMPRODUCT((Inputs!$C$5:$C$110=$B34)*ISNUMBER(INDEX(Inputs!$K$5:$AJ$110,0,MATCH(E$2,Inputs!$K$4:$AJ$4,0))))+SUMPRODUCT((Inputs!$E$5:$E$110=$B34)*ISNUMBER(INDEX(Inputs!$K$5:$AJ$110,0,MATCH(E$2,Inputs!$K$4:$AJ$4,0))))=0,NA(),SUMPRODUCT((Inputs!$A$5:$A$110=$B34)*Inputs!$B$5:$B$110*(((Inputs!$G$5:$G$110="moeda")+(Inputs!$G$5:$G$110="acoes"))*Inputs!$B$1+((Inputs!$G$5:$G$110&lt;&gt;"moeda")*(Inputs!$G$5:$G$110&lt;&gt;"acoes")))*INDEX(Inputs!$K$5:$AJ$110,0,MATCH(E$2,Inputs!$K$4:$AJ$4,0)))+SUMPRODUCT((Inputs!$C$5:$C$110=$B34)*Inputs!$D$5:$D$110*(((Inputs!$G$5:$G$110="moeda")+(Inputs!$G$5:$G$110="acoes"))*Inputs!$B$1+((Inputs!$G$5:$G$110&lt;&gt;"moeda")*(Inputs!$G$5:$G$110&lt;&gt;"acoes")))*INDEX(Inputs!$K$5:$AJ$110,0,MATCH(E$2,Inputs!$K$4:$AJ$4,0)))+SUMPRODUCT((Inputs!$E$5:$E$110=$B34)*Inputs!$F$5:$F$110*(((Inputs!$G$5:$G$110="moeda")+(Inputs!$G$5:$G$110="acoes"))*Inputs!$B$1+((Inputs!$G$5:$G$110&lt;&gt;"moeda")*(Inputs!$G$5:$G$110&lt;&gt;"acoes")))*INDEX(Inputs!$K$5:$AJ$110,0,MATCH(E$2,Inputs!$K$4:$AJ$4,0)))))</f>
        <v>0</v>
      </c>
      <c r="F34" s="6">
        <f>IF(ISNA(MATCH(F$2,Inputs!$K$4:$AJ$4,0)),NA(),IF(SUMPRODUCT((Inputs!$A$5:$A$110=$B34)*ISNUMBER(INDEX(Inputs!$K$5:$AJ$110,0,MATCH(F$2,Inputs!$K$4:$AJ$4,0))))+SUMPRODUCT((Inputs!$C$5:$C$110=$B34)*ISNUMBER(INDEX(Inputs!$K$5:$AJ$110,0,MATCH(F$2,Inputs!$K$4:$AJ$4,0))))+SUMPRODUCT((Inputs!$E$5:$E$110=$B34)*ISNUMBER(INDEX(Inputs!$K$5:$AJ$110,0,MATCH(F$2,Inputs!$K$4:$AJ$4,0))))=0,NA(),SUMPRODUCT((Inputs!$A$5:$A$110=$B34)*Inputs!$B$5:$B$110*(((Inputs!$G$5:$G$110="moeda")+(Inputs!$G$5:$G$110="acoes"))*Inputs!$B$1+((Inputs!$G$5:$G$110&lt;&gt;"moeda")*(Inputs!$G$5:$G$110&lt;&gt;"acoes")))*INDEX(Inputs!$K$5:$AJ$110,0,MATCH(F$2,Inputs!$K$4:$AJ$4,0)))+SUMPRODUCT((Inputs!$C$5:$C$110=$B34)*Inputs!$D$5:$D$110*(((Inputs!$G$5:$G$110="moeda")+(Inputs!$G$5:$G$110="acoes"))*Inputs!$B$1+((Inputs!$G$5:$G$110&lt;&gt;"moeda")*(Inputs!$G$5:$G$110&lt;&gt;"acoes")))*INDEX(Inputs!$K$5:$AJ$110,0,MATCH(F$2,Inputs!$K$4:$AJ$4,0)))+SUMPRODUCT((Inputs!$E$5:$E$110=$B34)*Inputs!$F$5:$F$110*(((Inputs!$G$5:$G$110="moeda")+(Inputs!$G$5:$G$110="acoes"))*Inputs!$B$1+((Inputs!$G$5:$G$110&lt;&gt;"moeda")*(Inputs!$G$5:$G$110&lt;&gt;"acoes")))*INDEX(Inputs!$K$5:$AJ$110,0,MATCH(F$2,Inputs!$K$4:$AJ$4,0)))))</f>
        <v>0</v>
      </c>
      <c r="G34" s="6">
        <f>IF(ISNA(MATCH(G$2,Inputs!$K$4:$AJ$4,0)),NA(),IF(SUMPRODUCT((Inputs!$A$5:$A$110=$B34)*ISNUMBER(INDEX(Inputs!$K$5:$AJ$110,0,MATCH(G$2,Inputs!$K$4:$AJ$4,0))))+SUMPRODUCT((Inputs!$C$5:$C$110=$B34)*ISNUMBER(INDEX(Inputs!$K$5:$AJ$110,0,MATCH(G$2,Inputs!$K$4:$AJ$4,0))))+SUMPRODUCT((Inputs!$E$5:$E$110=$B34)*ISNUMBER(INDEX(Inputs!$K$5:$AJ$110,0,MATCH(G$2,Inputs!$K$4:$AJ$4,0))))=0,NA(),SUMPRODUCT((Inputs!$A$5:$A$110=$B34)*Inputs!$B$5:$B$110*(((Inputs!$G$5:$G$110="moeda")+(Inputs!$G$5:$G$110="acoes"))*Inputs!$B$1+((Inputs!$G$5:$G$110&lt;&gt;"moeda")*(Inputs!$G$5:$G$110&lt;&gt;"acoes")))*INDEX(Inputs!$K$5:$AJ$110,0,MATCH(G$2,Inputs!$K$4:$AJ$4,0)))+SUMPRODUCT((Inputs!$C$5:$C$110=$B34)*Inputs!$D$5:$D$110*(((Inputs!$G$5:$G$110="moeda")+(Inputs!$G$5:$G$110="acoes"))*Inputs!$B$1+((Inputs!$G$5:$G$110&lt;&gt;"moeda")*(Inputs!$G$5:$G$110&lt;&gt;"acoes")))*INDEX(Inputs!$K$5:$AJ$110,0,MATCH(G$2,Inputs!$K$4:$AJ$4,0)))+SUMPRODUCT((Inputs!$E$5:$E$110=$B34)*Inputs!$F$5:$F$110*(((Inputs!$G$5:$G$110="moeda")+(Inputs!$G$5:$G$110="acoes"))*Inputs!$B$1+((Inputs!$G$5:$G$110&lt;&gt;"moeda")*(Inputs!$G$5:$G$110&lt;&gt;"acoes")))*INDEX(Inputs!$K$5:$AJ$110,0,MATCH(G$2,Inputs!$K$4:$AJ$4,0)))))</f>
        <v>0</v>
      </c>
      <c r="H34" s="3">
        <f>G34</f>
        <v>0</v>
      </c>
      <c r="I34" s="6">
        <f>IF(ISNA(MATCH(I$2,Inputs!$K$4:$AJ$4,0)),NA(),IF(SUMPRODUCT((Inputs!$A$5:$A$110=$B34)*ISNUMBER(INDEX(Inputs!$K$5:$AJ$110,0,MATCH(I$2,Inputs!$K$4:$AJ$4,0))))+SUMPRODUCT((Inputs!$C$5:$C$110=$B34)*ISNUMBER(INDEX(Inputs!$K$5:$AJ$110,0,MATCH(I$2,Inputs!$K$4:$AJ$4,0))))+SUMPRODUCT((Inputs!$E$5:$E$110=$B34)*ISNUMBER(INDEX(Inputs!$K$5:$AJ$110,0,MATCH(I$2,Inputs!$K$4:$AJ$4,0))))=0,NA(),SUMPRODUCT((Inputs!$A$5:$A$110=$B34)*Inputs!$B$5:$B$110*(((Inputs!$G$5:$G$110="moeda")+(Inputs!$G$5:$G$110="acoes"))*Inputs!$B$1+((Inputs!$G$5:$G$110&lt;&gt;"moeda")*(Inputs!$G$5:$G$110&lt;&gt;"acoes")))*INDEX(Inputs!$K$5:$AJ$110,0,MATCH(I$2,Inputs!$K$4:$AJ$4,0)))+SUMPRODUCT((Inputs!$C$5:$C$110=$B34)*Inputs!$D$5:$D$110*(((Inputs!$G$5:$G$110="moeda")+(Inputs!$G$5:$G$110="acoes"))*Inputs!$B$1+((Inputs!$G$5:$G$110&lt;&gt;"moeda")*(Inputs!$G$5:$G$110&lt;&gt;"acoes")))*INDEX(Inputs!$K$5:$AJ$110,0,MATCH(I$2,Inputs!$K$4:$AJ$4,0)))+SUMPRODUCT((Inputs!$E$5:$E$110=$B34)*Inputs!$F$5:$F$110*(((Inputs!$G$5:$G$110="moeda")+(Inputs!$G$5:$G$110="acoes"))*Inputs!$B$1+((Inputs!$G$5:$G$110&lt;&gt;"moeda")*(Inputs!$G$5:$G$110&lt;&gt;"acoes")))*INDEX(Inputs!$K$5:$AJ$110,0,MATCH(I$2,Inputs!$K$4:$AJ$4,0)))))</f>
        <v>0</v>
      </c>
      <c r="J34" s="6">
        <f>IF(ISNA(MATCH(J$2,Inputs!$K$4:$AJ$4,0)),NA(),IF(SUMPRODUCT((Inputs!$A$5:$A$110=$B34)*ISNUMBER(INDEX(Inputs!$K$5:$AJ$110,0,MATCH(J$2,Inputs!$K$4:$AJ$4,0))))+SUMPRODUCT((Inputs!$C$5:$C$110=$B34)*ISNUMBER(INDEX(Inputs!$K$5:$AJ$110,0,MATCH(J$2,Inputs!$K$4:$AJ$4,0))))+SUMPRODUCT((Inputs!$E$5:$E$110=$B34)*ISNUMBER(INDEX(Inputs!$K$5:$AJ$110,0,MATCH(J$2,Inputs!$K$4:$AJ$4,0))))=0,NA(),SUMPRODUCT((Inputs!$A$5:$A$110=$B34)*Inputs!$B$5:$B$110*(((Inputs!$G$5:$G$110="moeda")+(Inputs!$G$5:$G$110="acoes"))*Inputs!$B$1+((Inputs!$G$5:$G$110&lt;&gt;"moeda")*(Inputs!$G$5:$G$110&lt;&gt;"acoes")))*INDEX(Inputs!$K$5:$AJ$110,0,MATCH(J$2,Inputs!$K$4:$AJ$4,0)))+SUMPRODUCT((Inputs!$C$5:$C$110=$B34)*Inputs!$D$5:$D$110*(((Inputs!$G$5:$G$110="moeda")+(Inputs!$G$5:$G$110="acoes"))*Inputs!$B$1+((Inputs!$G$5:$G$110&lt;&gt;"moeda")*(Inputs!$G$5:$G$110&lt;&gt;"acoes")))*INDEX(Inputs!$K$5:$AJ$110,0,MATCH(J$2,Inputs!$K$4:$AJ$4,0)))+SUMPRODUCT((Inputs!$E$5:$E$110=$B34)*Inputs!$F$5:$F$110*(((Inputs!$G$5:$G$110="moeda")+(Inputs!$G$5:$G$110="acoes"))*Inputs!$B$1+((Inputs!$G$5:$G$110&lt;&gt;"moeda")*(Inputs!$G$5:$G$110&lt;&gt;"acoes")))*INDEX(Inputs!$K$5:$AJ$110,0,MATCH(J$2,Inputs!$K$4:$AJ$4,0)))))</f>
        <v>0</v>
      </c>
      <c r="K34" s="6">
        <f>IF(ISNA(MATCH(K$2,Inputs!$K$4:$AJ$4,0)),NA(),IF(SUMPRODUCT((Inputs!$A$5:$A$110=$B34)*ISNUMBER(INDEX(Inputs!$K$5:$AJ$110,0,MATCH(K$2,Inputs!$K$4:$AJ$4,0))))+SUMPRODUCT((Inputs!$C$5:$C$110=$B34)*ISNUMBER(INDEX(Inputs!$K$5:$AJ$110,0,MATCH(K$2,Inputs!$K$4:$AJ$4,0))))+SUMPRODUCT((Inputs!$E$5:$E$110=$B34)*ISNUMBER(INDEX(Inputs!$K$5:$AJ$110,0,MATCH(K$2,Inputs!$K$4:$AJ$4,0))))=0,NA(),SUMPRODUCT((Inputs!$A$5:$A$110=$B34)*Inputs!$B$5:$B$110*(((Inputs!$G$5:$G$110="moeda")+(Inputs!$G$5:$G$110="acoes"))*Inputs!$B$1+((Inputs!$G$5:$G$110&lt;&gt;"moeda")*(Inputs!$G$5:$G$110&lt;&gt;"acoes")))*INDEX(Inputs!$K$5:$AJ$110,0,MATCH(K$2,Inputs!$K$4:$AJ$4,0)))+SUMPRODUCT((Inputs!$C$5:$C$110=$B34)*Inputs!$D$5:$D$110*(((Inputs!$G$5:$G$110="moeda")+(Inputs!$G$5:$G$110="acoes"))*Inputs!$B$1+((Inputs!$G$5:$G$110&lt;&gt;"moeda")*(Inputs!$G$5:$G$110&lt;&gt;"acoes")))*INDEX(Inputs!$K$5:$AJ$110,0,MATCH(K$2,Inputs!$K$4:$AJ$4,0)))+SUMPRODUCT((Inputs!$E$5:$E$110=$B34)*Inputs!$F$5:$F$110*(((Inputs!$G$5:$G$110="moeda")+(Inputs!$G$5:$G$110="acoes"))*Inputs!$B$1+((Inputs!$G$5:$G$110&lt;&gt;"moeda")*(Inputs!$G$5:$G$110&lt;&gt;"acoes")))*INDEX(Inputs!$K$5:$AJ$110,0,MATCH(K$2,Inputs!$K$4:$AJ$4,0)))))</f>
        <v>0</v>
      </c>
      <c r="L34" s="6">
        <f>IF(ISNA(MATCH(L$2,Inputs!$K$4:$AJ$4,0)),NA(),IF(SUMPRODUCT((Inputs!$A$5:$A$110=$B34)*ISNUMBER(INDEX(Inputs!$K$5:$AJ$110,0,MATCH(L$2,Inputs!$K$4:$AJ$4,0))))+SUMPRODUCT((Inputs!$C$5:$C$110=$B34)*ISNUMBER(INDEX(Inputs!$K$5:$AJ$110,0,MATCH(L$2,Inputs!$K$4:$AJ$4,0))))+SUMPRODUCT((Inputs!$E$5:$E$110=$B34)*ISNUMBER(INDEX(Inputs!$K$5:$AJ$110,0,MATCH(L$2,Inputs!$K$4:$AJ$4,0))))=0,NA(),SUMPRODUCT((Inputs!$A$5:$A$110=$B34)*Inputs!$B$5:$B$110*(((Inputs!$G$5:$G$110="moeda")+(Inputs!$G$5:$G$110="acoes"))*Inputs!$B$1+((Inputs!$G$5:$G$110&lt;&gt;"moeda")*(Inputs!$G$5:$G$110&lt;&gt;"acoes")))*INDEX(Inputs!$K$5:$AJ$110,0,MATCH(L$2,Inputs!$K$4:$AJ$4,0)))+SUMPRODUCT((Inputs!$C$5:$C$110=$B34)*Inputs!$D$5:$D$110*(((Inputs!$G$5:$G$110="moeda")+(Inputs!$G$5:$G$110="acoes"))*Inputs!$B$1+((Inputs!$G$5:$G$110&lt;&gt;"moeda")*(Inputs!$G$5:$G$110&lt;&gt;"acoes")))*INDEX(Inputs!$K$5:$AJ$110,0,MATCH(L$2,Inputs!$K$4:$AJ$4,0)))+SUMPRODUCT((Inputs!$E$5:$E$110=$B34)*Inputs!$F$5:$F$110*(((Inputs!$G$5:$G$110="moeda")+(Inputs!$G$5:$G$110="acoes"))*Inputs!$B$1+((Inputs!$G$5:$G$110&lt;&gt;"moeda")*(Inputs!$G$5:$G$110&lt;&gt;"acoes")))*INDEX(Inputs!$K$5:$AJ$110,0,MATCH(L$2,Inputs!$K$4:$AJ$4,0)))))</f>
        <v>0</v>
      </c>
      <c r="M34" s="3">
        <f>L34</f>
        <v>0</v>
      </c>
      <c r="N34" s="6">
        <f>IF(ISNA(MATCH(N$2,Inputs!$K$4:$AJ$4,0)),NA(),IF(SUMPRODUCT((Inputs!$A$5:$A$110=$B34)*ISNUMBER(INDEX(Inputs!$K$5:$AJ$110,0,MATCH(N$2,Inputs!$K$4:$AJ$4,0))))+SUMPRODUCT((Inputs!$C$5:$C$110=$B34)*ISNUMBER(INDEX(Inputs!$K$5:$AJ$110,0,MATCH(N$2,Inputs!$K$4:$AJ$4,0))))+SUMPRODUCT((Inputs!$E$5:$E$110=$B34)*ISNUMBER(INDEX(Inputs!$K$5:$AJ$110,0,MATCH(N$2,Inputs!$K$4:$AJ$4,0))))=0,NA(),SUMPRODUCT((Inputs!$A$5:$A$110=$B34)*Inputs!$B$5:$B$110*(((Inputs!$G$5:$G$110="moeda")+(Inputs!$G$5:$G$110="acoes"))*Inputs!$B$1+((Inputs!$G$5:$G$110&lt;&gt;"moeda")*(Inputs!$G$5:$G$110&lt;&gt;"acoes")))*INDEX(Inputs!$K$5:$AJ$110,0,MATCH(N$2,Inputs!$K$4:$AJ$4,0)))+SUMPRODUCT((Inputs!$C$5:$C$110=$B34)*Inputs!$D$5:$D$110*(((Inputs!$G$5:$G$110="moeda")+(Inputs!$G$5:$G$110="acoes"))*Inputs!$B$1+((Inputs!$G$5:$G$110&lt;&gt;"moeda")*(Inputs!$G$5:$G$110&lt;&gt;"acoes")))*INDEX(Inputs!$K$5:$AJ$110,0,MATCH(N$2,Inputs!$K$4:$AJ$4,0)))+SUMPRODUCT((Inputs!$E$5:$E$110=$B34)*Inputs!$F$5:$F$110*(((Inputs!$G$5:$G$110="moeda")+(Inputs!$G$5:$G$110="acoes"))*Inputs!$B$1+((Inputs!$G$5:$G$110&lt;&gt;"moeda")*(Inputs!$G$5:$G$110&lt;&gt;"acoes")))*INDEX(Inputs!$K$5:$AJ$110,0,MATCH(N$2,Inputs!$K$4:$AJ$4,0)))))</f>
        <v>0</v>
      </c>
      <c r="O34" s="6">
        <f>IF(ISNA(MATCH(O$2,Inputs!$K$4:$AJ$4,0)),NA(),IF(SUMPRODUCT((Inputs!$A$5:$A$110=$B34)*ISNUMBER(INDEX(Inputs!$K$5:$AJ$110,0,MATCH(O$2,Inputs!$K$4:$AJ$4,0))))+SUMPRODUCT((Inputs!$C$5:$C$110=$B34)*ISNUMBER(INDEX(Inputs!$K$5:$AJ$110,0,MATCH(O$2,Inputs!$K$4:$AJ$4,0))))+SUMPRODUCT((Inputs!$E$5:$E$110=$B34)*ISNUMBER(INDEX(Inputs!$K$5:$AJ$110,0,MATCH(O$2,Inputs!$K$4:$AJ$4,0))))=0,NA(),SUMPRODUCT((Inputs!$A$5:$A$110=$B34)*Inputs!$B$5:$B$110*(((Inputs!$G$5:$G$110="moeda")+(Inputs!$G$5:$G$110="acoes"))*Inputs!$B$1+((Inputs!$G$5:$G$110&lt;&gt;"moeda")*(Inputs!$G$5:$G$110&lt;&gt;"acoes")))*INDEX(Inputs!$K$5:$AJ$110,0,MATCH(O$2,Inputs!$K$4:$AJ$4,0)))+SUMPRODUCT((Inputs!$C$5:$C$110=$B34)*Inputs!$D$5:$D$110*(((Inputs!$G$5:$G$110="moeda")+(Inputs!$G$5:$G$110="acoes"))*Inputs!$B$1+((Inputs!$G$5:$G$110&lt;&gt;"moeda")*(Inputs!$G$5:$G$110&lt;&gt;"acoes")))*INDEX(Inputs!$K$5:$AJ$110,0,MATCH(O$2,Inputs!$K$4:$AJ$4,0)))+SUMPRODUCT((Inputs!$E$5:$E$110=$B34)*Inputs!$F$5:$F$110*(((Inputs!$G$5:$G$110="moeda")+(Inputs!$G$5:$G$110="acoes"))*Inputs!$B$1+((Inputs!$G$5:$G$110&lt;&gt;"moeda")*(Inputs!$G$5:$G$110&lt;&gt;"acoes")))*INDEX(Inputs!$K$5:$AJ$110,0,MATCH(O$2,Inputs!$K$4:$AJ$4,0)))))</f>
        <v>0</v>
      </c>
      <c r="P34" s="6">
        <f>IF(ISNA(MATCH(P$2,Inputs!$K$4:$AJ$4,0)),NA(),IF(SUMPRODUCT((Inputs!$A$5:$A$110=$B34)*ISNUMBER(INDEX(Inputs!$K$5:$AJ$110,0,MATCH(P$2,Inputs!$K$4:$AJ$4,0))))+SUMPRODUCT((Inputs!$C$5:$C$110=$B34)*ISNUMBER(INDEX(Inputs!$K$5:$AJ$110,0,MATCH(P$2,Inputs!$K$4:$AJ$4,0))))+SUMPRODUCT((Inputs!$E$5:$E$110=$B34)*ISNUMBER(INDEX(Inputs!$K$5:$AJ$110,0,MATCH(P$2,Inputs!$K$4:$AJ$4,0))))=0,NA(),SUMPRODUCT((Inputs!$A$5:$A$110=$B34)*Inputs!$B$5:$B$110*(((Inputs!$G$5:$G$110="moeda")+(Inputs!$G$5:$G$110="acoes"))*Inputs!$B$1+((Inputs!$G$5:$G$110&lt;&gt;"moeda")*(Inputs!$G$5:$G$110&lt;&gt;"acoes")))*INDEX(Inputs!$K$5:$AJ$110,0,MATCH(P$2,Inputs!$K$4:$AJ$4,0)))+SUMPRODUCT((Inputs!$C$5:$C$110=$B34)*Inputs!$D$5:$D$110*(((Inputs!$G$5:$G$110="moeda")+(Inputs!$G$5:$G$110="acoes"))*Inputs!$B$1+((Inputs!$G$5:$G$110&lt;&gt;"moeda")*(Inputs!$G$5:$G$110&lt;&gt;"acoes")))*INDEX(Inputs!$K$5:$AJ$110,0,MATCH(P$2,Inputs!$K$4:$AJ$4,0)))+SUMPRODUCT((Inputs!$E$5:$E$110=$B34)*Inputs!$F$5:$F$110*(((Inputs!$G$5:$G$110="moeda")+(Inputs!$G$5:$G$110="acoes"))*Inputs!$B$1+((Inputs!$G$5:$G$110&lt;&gt;"moeda")*(Inputs!$G$5:$G$110&lt;&gt;"acoes")))*INDEX(Inputs!$K$5:$AJ$110,0,MATCH(P$2,Inputs!$K$4:$AJ$4,0)))))</f>
        <v>0</v>
      </c>
      <c r="Q34" s="6">
        <f>IF(ISNA(MATCH(Q$2,Inputs!$K$4:$AJ$4,0)),NA(),IF(SUMPRODUCT((Inputs!$A$5:$A$110=$B34)*ISNUMBER(INDEX(Inputs!$K$5:$AJ$110,0,MATCH(Q$2,Inputs!$K$4:$AJ$4,0))))+SUMPRODUCT((Inputs!$C$5:$C$110=$B34)*ISNUMBER(INDEX(Inputs!$K$5:$AJ$110,0,MATCH(Q$2,Inputs!$K$4:$AJ$4,0))))+SUMPRODUCT((Inputs!$E$5:$E$110=$B34)*ISNUMBER(INDEX(Inputs!$K$5:$AJ$110,0,MATCH(Q$2,Inputs!$K$4:$AJ$4,0))))=0,NA(),SUMPRODUCT((Inputs!$A$5:$A$110=$B34)*Inputs!$B$5:$B$110*(((Inputs!$G$5:$G$110="moeda")+(Inputs!$G$5:$G$110="acoes"))*Inputs!$B$1+((Inputs!$G$5:$G$110&lt;&gt;"moeda")*(Inputs!$G$5:$G$110&lt;&gt;"acoes")))*INDEX(Inputs!$K$5:$AJ$110,0,MATCH(Q$2,Inputs!$K$4:$AJ$4,0)))+SUMPRODUCT((Inputs!$C$5:$C$110=$B34)*Inputs!$D$5:$D$110*(((Inputs!$G$5:$G$110="moeda")+(Inputs!$G$5:$G$110="acoes"))*Inputs!$B$1+((Inputs!$G$5:$G$110&lt;&gt;"moeda")*(Inputs!$G$5:$G$110&lt;&gt;"acoes")))*INDEX(Inputs!$K$5:$AJ$110,0,MATCH(Q$2,Inputs!$K$4:$AJ$4,0)))+SUMPRODUCT((Inputs!$E$5:$E$110=$B34)*Inputs!$F$5:$F$110*(((Inputs!$G$5:$G$110="moeda")+(Inputs!$G$5:$G$110="acoes"))*Inputs!$B$1+((Inputs!$G$5:$G$110&lt;&gt;"moeda")*(Inputs!$G$5:$G$110&lt;&gt;"acoes")))*INDEX(Inputs!$K$5:$AJ$110,0,MATCH(Q$2,Inputs!$K$4:$AJ$4,0)))))</f>
        <v>0</v>
      </c>
      <c r="R34" s="3">
        <f>Q34</f>
        <v>0</v>
      </c>
      <c r="S34" s="6">
        <f>IF(ISNA(MATCH(S$2,Inputs!$K$4:$AJ$4,0)),NA(),IF(SUMPRODUCT((Inputs!$A$5:$A$110=$B34)*ISNUMBER(INDEX(Inputs!$K$5:$AJ$110,0,MATCH(S$2,Inputs!$K$4:$AJ$4,0))))+SUMPRODUCT((Inputs!$C$5:$C$110=$B34)*ISNUMBER(INDEX(Inputs!$K$5:$AJ$110,0,MATCH(S$2,Inputs!$K$4:$AJ$4,0))))+SUMPRODUCT((Inputs!$E$5:$E$110=$B34)*ISNUMBER(INDEX(Inputs!$K$5:$AJ$110,0,MATCH(S$2,Inputs!$K$4:$AJ$4,0))))=0,NA(),SUMPRODUCT((Inputs!$A$5:$A$110=$B34)*Inputs!$B$5:$B$110*(((Inputs!$G$5:$G$110="moeda")+(Inputs!$G$5:$G$110="acoes"))*Inputs!$B$1+((Inputs!$G$5:$G$110&lt;&gt;"moeda")*(Inputs!$G$5:$G$110&lt;&gt;"acoes")))*INDEX(Inputs!$K$5:$AJ$110,0,MATCH(S$2,Inputs!$K$4:$AJ$4,0)))+SUMPRODUCT((Inputs!$C$5:$C$110=$B34)*Inputs!$D$5:$D$110*(((Inputs!$G$5:$G$110="moeda")+(Inputs!$G$5:$G$110="acoes"))*Inputs!$B$1+((Inputs!$G$5:$G$110&lt;&gt;"moeda")*(Inputs!$G$5:$G$110&lt;&gt;"acoes")))*INDEX(Inputs!$K$5:$AJ$110,0,MATCH(S$2,Inputs!$K$4:$AJ$4,0)))+SUMPRODUCT((Inputs!$E$5:$E$110=$B34)*Inputs!$F$5:$F$110*(((Inputs!$G$5:$G$110="moeda")+(Inputs!$G$5:$G$110="acoes"))*Inputs!$B$1+((Inputs!$G$5:$G$110&lt;&gt;"moeda")*(Inputs!$G$5:$G$110&lt;&gt;"acoes")))*INDEX(Inputs!$K$5:$AJ$110,0,MATCH(S$2,Inputs!$K$4:$AJ$4,0)))))</f>
        <v>0</v>
      </c>
      <c r="T34" s="6">
        <f>IF(ISNA(MATCH(T$2,Inputs!$K$4:$AJ$4,0)),NA(),IF(SUMPRODUCT((Inputs!$A$5:$A$110=$B34)*ISNUMBER(INDEX(Inputs!$K$5:$AJ$110,0,MATCH(T$2,Inputs!$K$4:$AJ$4,0))))+SUMPRODUCT((Inputs!$C$5:$C$110=$B34)*ISNUMBER(INDEX(Inputs!$K$5:$AJ$110,0,MATCH(T$2,Inputs!$K$4:$AJ$4,0))))+SUMPRODUCT((Inputs!$E$5:$E$110=$B34)*ISNUMBER(INDEX(Inputs!$K$5:$AJ$110,0,MATCH(T$2,Inputs!$K$4:$AJ$4,0))))=0,NA(),SUMPRODUCT((Inputs!$A$5:$A$110=$B34)*Inputs!$B$5:$B$110*(((Inputs!$G$5:$G$110="moeda")+(Inputs!$G$5:$G$110="acoes"))*Inputs!$B$1+((Inputs!$G$5:$G$110&lt;&gt;"moeda")*(Inputs!$G$5:$G$110&lt;&gt;"acoes")))*INDEX(Inputs!$K$5:$AJ$110,0,MATCH(T$2,Inputs!$K$4:$AJ$4,0)))+SUMPRODUCT((Inputs!$C$5:$C$110=$B34)*Inputs!$D$5:$D$110*(((Inputs!$G$5:$G$110="moeda")+(Inputs!$G$5:$G$110="acoes"))*Inputs!$B$1+((Inputs!$G$5:$G$110&lt;&gt;"moeda")*(Inputs!$G$5:$G$110&lt;&gt;"acoes")))*INDEX(Inputs!$K$5:$AJ$110,0,MATCH(T$2,Inputs!$K$4:$AJ$4,0)))+SUMPRODUCT((Inputs!$E$5:$E$110=$B34)*Inputs!$F$5:$F$110*(((Inputs!$G$5:$G$110="moeda")+(Inputs!$G$5:$G$110="acoes"))*Inputs!$B$1+((Inputs!$G$5:$G$110&lt;&gt;"moeda")*(Inputs!$G$5:$G$110&lt;&gt;"acoes")))*INDEX(Inputs!$K$5:$AJ$110,0,MATCH(T$2,Inputs!$K$4:$AJ$4,0)))))</f>
        <v>0</v>
      </c>
      <c r="U34" s="6">
        <f>IF(ISNA(MATCH(U$2,Inputs!$K$4:$AJ$4,0)),NA(),IF(SUMPRODUCT((Inputs!$A$5:$A$110=$B34)*ISNUMBER(INDEX(Inputs!$K$5:$AJ$110,0,MATCH(U$2,Inputs!$K$4:$AJ$4,0))))+SUMPRODUCT((Inputs!$C$5:$C$110=$B34)*ISNUMBER(INDEX(Inputs!$K$5:$AJ$110,0,MATCH(U$2,Inputs!$K$4:$AJ$4,0))))+SUMPRODUCT((Inputs!$E$5:$E$110=$B34)*ISNUMBER(INDEX(Inputs!$K$5:$AJ$110,0,MATCH(U$2,Inputs!$K$4:$AJ$4,0))))=0,NA(),SUMPRODUCT((Inputs!$A$5:$A$110=$B34)*Inputs!$B$5:$B$110*(((Inputs!$G$5:$G$110="moeda")+(Inputs!$G$5:$G$110="acoes"))*Inputs!$B$1+((Inputs!$G$5:$G$110&lt;&gt;"moeda")*(Inputs!$G$5:$G$110&lt;&gt;"acoes")))*INDEX(Inputs!$K$5:$AJ$110,0,MATCH(U$2,Inputs!$K$4:$AJ$4,0)))+SUMPRODUCT((Inputs!$C$5:$C$110=$B34)*Inputs!$D$5:$D$110*(((Inputs!$G$5:$G$110="moeda")+(Inputs!$G$5:$G$110="acoes"))*Inputs!$B$1+((Inputs!$G$5:$G$110&lt;&gt;"moeda")*(Inputs!$G$5:$G$110&lt;&gt;"acoes")))*INDEX(Inputs!$K$5:$AJ$110,0,MATCH(U$2,Inputs!$K$4:$AJ$4,0)))+SUMPRODUCT((Inputs!$E$5:$E$110=$B34)*Inputs!$F$5:$F$110*(((Inputs!$G$5:$G$110="moeda")+(Inputs!$G$5:$G$110="acoes"))*Inputs!$B$1+((Inputs!$G$5:$G$110&lt;&gt;"moeda")*(Inputs!$G$5:$G$110&lt;&gt;"acoes")))*INDEX(Inputs!$K$5:$AJ$110,0,MATCH(U$2,Inputs!$K$4:$AJ$4,0)))))</f>
        <v>0</v>
      </c>
      <c r="V34" s="6">
        <f>IF(ISNA(MATCH(V$2,Inputs!$K$4:$AJ$4,0)),NA(),IF(SUMPRODUCT((Inputs!$A$5:$A$110=$B34)*ISNUMBER(INDEX(Inputs!$K$5:$AJ$110,0,MATCH(V$2,Inputs!$K$4:$AJ$4,0))))+SUMPRODUCT((Inputs!$C$5:$C$110=$B34)*ISNUMBER(INDEX(Inputs!$K$5:$AJ$110,0,MATCH(V$2,Inputs!$K$4:$AJ$4,0))))+SUMPRODUCT((Inputs!$E$5:$E$110=$B34)*ISNUMBER(INDEX(Inputs!$K$5:$AJ$110,0,MATCH(V$2,Inputs!$K$4:$AJ$4,0))))=0,NA(),SUMPRODUCT((Inputs!$A$5:$A$110=$B34)*Inputs!$B$5:$B$110*(((Inputs!$G$5:$G$110="moeda")+(Inputs!$G$5:$G$110="acoes"))*Inputs!$B$1+((Inputs!$G$5:$G$110&lt;&gt;"moeda")*(Inputs!$G$5:$G$110&lt;&gt;"acoes")))*INDEX(Inputs!$K$5:$AJ$110,0,MATCH(V$2,Inputs!$K$4:$AJ$4,0)))+SUMPRODUCT((Inputs!$C$5:$C$110=$B34)*Inputs!$D$5:$D$110*(((Inputs!$G$5:$G$110="moeda")+(Inputs!$G$5:$G$110="acoes"))*Inputs!$B$1+((Inputs!$G$5:$G$110&lt;&gt;"moeda")*(Inputs!$G$5:$G$110&lt;&gt;"acoes")))*INDEX(Inputs!$K$5:$AJ$110,0,MATCH(V$2,Inputs!$K$4:$AJ$4,0)))+SUMPRODUCT((Inputs!$E$5:$E$110=$B34)*Inputs!$F$5:$F$110*(((Inputs!$G$5:$G$110="moeda")+(Inputs!$G$5:$G$110="acoes"))*Inputs!$B$1+((Inputs!$G$5:$G$110&lt;&gt;"moeda")*(Inputs!$G$5:$G$110&lt;&gt;"acoes")))*INDEX(Inputs!$K$5:$AJ$110,0,MATCH(V$2,Inputs!$K$4:$AJ$4,0)))))</f>
        <v>0</v>
      </c>
      <c r="W34" s="3">
        <f>V34</f>
        <v>0</v>
      </c>
      <c r="X34" s="6">
        <f>IF(ISNA(MATCH(X$2,Inputs!$K$4:$AJ$4,0)),NA(),IF(SUMPRODUCT((Inputs!$A$5:$A$110=$B34)*ISNUMBER(INDEX(Inputs!$K$5:$AJ$110,0,MATCH(X$2,Inputs!$K$4:$AJ$4,0))))+SUMPRODUCT((Inputs!$C$5:$C$110=$B34)*ISNUMBER(INDEX(Inputs!$K$5:$AJ$110,0,MATCH(X$2,Inputs!$K$4:$AJ$4,0))))+SUMPRODUCT((Inputs!$E$5:$E$110=$B34)*ISNUMBER(INDEX(Inputs!$K$5:$AJ$110,0,MATCH(X$2,Inputs!$K$4:$AJ$4,0))))=0,NA(),SUMPRODUCT((Inputs!$A$5:$A$110=$B34)*Inputs!$B$5:$B$110*(((Inputs!$G$5:$G$110="moeda")+(Inputs!$G$5:$G$110="acoes"))*Inputs!$B$1+((Inputs!$G$5:$G$110&lt;&gt;"moeda")*(Inputs!$G$5:$G$110&lt;&gt;"acoes")))*INDEX(Inputs!$K$5:$AJ$110,0,MATCH(X$2,Inputs!$K$4:$AJ$4,0)))+SUMPRODUCT((Inputs!$C$5:$C$110=$B34)*Inputs!$D$5:$D$110*(((Inputs!$G$5:$G$110="moeda")+(Inputs!$G$5:$G$110="acoes"))*Inputs!$B$1+((Inputs!$G$5:$G$110&lt;&gt;"moeda")*(Inputs!$G$5:$G$110&lt;&gt;"acoes")))*INDEX(Inputs!$K$5:$AJ$110,0,MATCH(X$2,Inputs!$K$4:$AJ$4,0)))+SUMPRODUCT((Inputs!$E$5:$E$110=$B34)*Inputs!$F$5:$F$110*(((Inputs!$G$5:$G$110="moeda")+(Inputs!$G$5:$G$110="acoes"))*Inputs!$B$1+((Inputs!$G$5:$G$110&lt;&gt;"moeda")*(Inputs!$G$5:$G$110&lt;&gt;"acoes")))*INDEX(Inputs!$K$5:$AJ$110,0,MATCH(X$2,Inputs!$K$4:$AJ$4,0)))))</f>
        <v>0</v>
      </c>
      <c r="Y34" s="6">
        <f>IF(ISNA(MATCH(Y$2,Inputs!$K$4:$AJ$4,0)),NA(),IF(SUMPRODUCT((Inputs!$A$5:$A$110=$B34)*ISNUMBER(INDEX(Inputs!$K$5:$AJ$110,0,MATCH(Y$2,Inputs!$K$4:$AJ$4,0))))+SUMPRODUCT((Inputs!$C$5:$C$110=$B34)*ISNUMBER(INDEX(Inputs!$K$5:$AJ$110,0,MATCH(Y$2,Inputs!$K$4:$AJ$4,0))))+SUMPRODUCT((Inputs!$E$5:$E$110=$B34)*ISNUMBER(INDEX(Inputs!$K$5:$AJ$110,0,MATCH(Y$2,Inputs!$K$4:$AJ$4,0))))=0,NA(),SUMPRODUCT((Inputs!$A$5:$A$110=$B34)*Inputs!$B$5:$B$110*(((Inputs!$G$5:$G$110="moeda")+(Inputs!$G$5:$G$110="acoes"))*Inputs!$B$1+((Inputs!$G$5:$G$110&lt;&gt;"moeda")*(Inputs!$G$5:$G$110&lt;&gt;"acoes")))*INDEX(Inputs!$K$5:$AJ$110,0,MATCH(Y$2,Inputs!$K$4:$AJ$4,0)))+SUMPRODUCT((Inputs!$C$5:$C$110=$B34)*Inputs!$D$5:$D$110*(((Inputs!$G$5:$G$110="moeda")+(Inputs!$G$5:$G$110="acoes"))*Inputs!$B$1+((Inputs!$G$5:$G$110&lt;&gt;"moeda")*(Inputs!$G$5:$G$110&lt;&gt;"acoes")))*INDEX(Inputs!$K$5:$AJ$110,0,MATCH(Y$2,Inputs!$K$4:$AJ$4,0)))+SUMPRODUCT((Inputs!$E$5:$E$110=$B34)*Inputs!$F$5:$F$110*(((Inputs!$G$5:$G$110="moeda")+(Inputs!$G$5:$G$110="acoes"))*Inputs!$B$1+((Inputs!$G$5:$G$110&lt;&gt;"moeda")*(Inputs!$G$5:$G$110&lt;&gt;"acoes")))*INDEX(Inputs!$K$5:$AJ$110,0,MATCH(Y$2,Inputs!$K$4:$AJ$4,0)))))</f>
        <v>0</v>
      </c>
      <c r="Z34" s="6">
        <f>IF(ISNA(MATCH(Z$2,Inputs!$K$4:$AJ$4,0)),NA(),IF(SUMPRODUCT((Inputs!$A$5:$A$110=$B34)*ISNUMBER(INDEX(Inputs!$K$5:$AJ$110,0,MATCH(Z$2,Inputs!$K$4:$AJ$4,0))))+SUMPRODUCT((Inputs!$C$5:$C$110=$B34)*ISNUMBER(INDEX(Inputs!$K$5:$AJ$110,0,MATCH(Z$2,Inputs!$K$4:$AJ$4,0))))+SUMPRODUCT((Inputs!$E$5:$E$110=$B34)*ISNUMBER(INDEX(Inputs!$K$5:$AJ$110,0,MATCH(Z$2,Inputs!$K$4:$AJ$4,0))))=0,NA(),SUMPRODUCT((Inputs!$A$5:$A$110=$B34)*Inputs!$B$5:$B$110*(((Inputs!$G$5:$G$110="moeda")+(Inputs!$G$5:$G$110="acoes"))*Inputs!$B$1+((Inputs!$G$5:$G$110&lt;&gt;"moeda")*(Inputs!$G$5:$G$110&lt;&gt;"acoes")))*INDEX(Inputs!$K$5:$AJ$110,0,MATCH(Z$2,Inputs!$K$4:$AJ$4,0)))+SUMPRODUCT((Inputs!$C$5:$C$110=$B34)*Inputs!$D$5:$D$110*(((Inputs!$G$5:$G$110="moeda")+(Inputs!$G$5:$G$110="acoes"))*Inputs!$B$1+((Inputs!$G$5:$G$110&lt;&gt;"moeda")*(Inputs!$G$5:$G$110&lt;&gt;"acoes")))*INDEX(Inputs!$K$5:$AJ$110,0,MATCH(Z$2,Inputs!$K$4:$AJ$4,0)))+SUMPRODUCT((Inputs!$E$5:$E$110=$B34)*Inputs!$F$5:$F$110*(((Inputs!$G$5:$G$110="moeda")+(Inputs!$G$5:$G$110="acoes"))*Inputs!$B$1+((Inputs!$G$5:$G$110&lt;&gt;"moeda")*(Inputs!$G$5:$G$110&lt;&gt;"acoes")))*INDEX(Inputs!$K$5:$AJ$110,0,MATCH(Z$2,Inputs!$K$4:$AJ$4,0)))))</f>
        <v>0</v>
      </c>
      <c r="AA34" s="6">
        <f>IF(ISNA(MATCH(AA$2,Inputs!$K$4:$AJ$4,0)),NA(),IF(SUMPRODUCT((Inputs!$A$5:$A$110=$B34)*ISNUMBER(INDEX(Inputs!$K$5:$AJ$110,0,MATCH(AA$2,Inputs!$K$4:$AJ$4,0))))+SUMPRODUCT((Inputs!$C$5:$C$110=$B34)*ISNUMBER(INDEX(Inputs!$K$5:$AJ$110,0,MATCH(AA$2,Inputs!$K$4:$AJ$4,0))))+SUMPRODUCT((Inputs!$E$5:$E$110=$B34)*ISNUMBER(INDEX(Inputs!$K$5:$AJ$110,0,MATCH(AA$2,Inputs!$K$4:$AJ$4,0))))=0,NA(),SUMPRODUCT((Inputs!$A$5:$A$110=$B34)*Inputs!$B$5:$B$110*(((Inputs!$G$5:$G$110="moeda")+(Inputs!$G$5:$G$110="acoes"))*Inputs!$B$1+((Inputs!$G$5:$G$110&lt;&gt;"moeda")*(Inputs!$G$5:$G$110&lt;&gt;"acoes")))*INDEX(Inputs!$K$5:$AJ$110,0,MATCH(AA$2,Inputs!$K$4:$AJ$4,0)))+SUMPRODUCT((Inputs!$C$5:$C$110=$B34)*Inputs!$D$5:$D$110*(((Inputs!$G$5:$G$110="moeda")+(Inputs!$G$5:$G$110="acoes"))*Inputs!$B$1+((Inputs!$G$5:$G$110&lt;&gt;"moeda")*(Inputs!$G$5:$G$110&lt;&gt;"acoes")))*INDEX(Inputs!$K$5:$AJ$110,0,MATCH(AA$2,Inputs!$K$4:$AJ$4,0)))+SUMPRODUCT((Inputs!$E$5:$E$110=$B34)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4" s="3">
        <f>AA34</f>
        <v>0</v>
      </c>
      <c r="AC34" s="6">
        <f>IF(ISNA(MATCH(AC$2,Inputs!$K$4:$AJ$4,0)),NA(),IF(SUMPRODUCT((Inputs!$A$5:$A$110=$B34)*ISNUMBER(INDEX(Inputs!$K$5:$AJ$110,0,MATCH(AC$2,Inputs!$K$4:$AJ$4,0))))+SUMPRODUCT((Inputs!$C$5:$C$110=$B34)*ISNUMBER(INDEX(Inputs!$K$5:$AJ$110,0,MATCH(AC$2,Inputs!$K$4:$AJ$4,0))))+SUMPRODUCT((Inputs!$E$5:$E$110=$B34)*ISNUMBER(INDEX(Inputs!$K$5:$AJ$110,0,MATCH(AC$2,Inputs!$K$4:$AJ$4,0))))=0,NA(),SUMPRODUCT((Inputs!$A$5:$A$110=$B34)*Inputs!$B$5:$B$110*(((Inputs!$G$5:$G$110="moeda")+(Inputs!$G$5:$G$110="acoes"))*Inputs!$B$1+((Inputs!$G$5:$G$110&lt;&gt;"moeda")*(Inputs!$G$5:$G$110&lt;&gt;"acoes")))*INDEX(Inputs!$K$5:$AJ$110,0,MATCH(AC$2,Inputs!$K$4:$AJ$4,0)))+SUMPRODUCT((Inputs!$C$5:$C$110=$B34)*Inputs!$D$5:$D$110*(((Inputs!$G$5:$G$110="moeda")+(Inputs!$G$5:$G$110="acoes"))*Inputs!$B$1+((Inputs!$G$5:$G$110&lt;&gt;"moeda")*(Inputs!$G$5:$G$110&lt;&gt;"acoes")))*INDEX(Inputs!$K$5:$AJ$110,0,MATCH(AC$2,Inputs!$K$4:$AJ$4,0)))+SUMPRODUCT((Inputs!$E$5:$E$110=$B34)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4" s="6">
        <f>IF(ISNA(MATCH(AD$2,Inputs!$K$4:$AJ$4,0)),NA(),IF(SUMPRODUCT((Inputs!$A$5:$A$110=$B34)*ISNUMBER(INDEX(Inputs!$K$5:$AJ$110,0,MATCH(AD$2,Inputs!$K$4:$AJ$4,0))))+SUMPRODUCT((Inputs!$C$5:$C$110=$B34)*ISNUMBER(INDEX(Inputs!$K$5:$AJ$110,0,MATCH(AD$2,Inputs!$K$4:$AJ$4,0))))+SUMPRODUCT((Inputs!$E$5:$E$110=$B34)*ISNUMBER(INDEX(Inputs!$K$5:$AJ$110,0,MATCH(AD$2,Inputs!$K$4:$AJ$4,0))))=0,NA(),SUMPRODUCT((Inputs!$A$5:$A$110=$B34)*Inputs!$B$5:$B$110*(((Inputs!$G$5:$G$110="moeda")+(Inputs!$G$5:$G$110="acoes"))*Inputs!$B$1+((Inputs!$G$5:$G$110&lt;&gt;"moeda")*(Inputs!$G$5:$G$110&lt;&gt;"acoes")))*INDEX(Inputs!$K$5:$AJ$110,0,MATCH(AD$2,Inputs!$K$4:$AJ$4,0)))+SUMPRODUCT((Inputs!$C$5:$C$110=$B34)*Inputs!$D$5:$D$110*(((Inputs!$G$5:$G$110="moeda")+(Inputs!$G$5:$G$110="acoes"))*Inputs!$B$1+((Inputs!$G$5:$G$110&lt;&gt;"moeda")*(Inputs!$G$5:$G$110&lt;&gt;"acoes")))*INDEX(Inputs!$K$5:$AJ$110,0,MATCH(AD$2,Inputs!$K$4:$AJ$4,0)))+SUMPRODUCT((Inputs!$E$5:$E$110=$B34)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4" s="6" t="e">
        <f>IF(ISNA(MATCH(AE$2,Inputs!$K$4:$AJ$4,0)),NA(),IF(SUMPRODUCT((Inputs!$A$5:$A$110=$B34)*ISNUMBER(INDEX(Inputs!$K$5:$AJ$110,0,MATCH(AE$2,Inputs!$K$4:$AJ$4,0))))+SUMPRODUCT((Inputs!$C$5:$C$110=$B34)*ISNUMBER(INDEX(Inputs!$K$5:$AJ$110,0,MATCH(AE$2,Inputs!$K$4:$AJ$4,0))))+SUMPRODUCT((Inputs!$E$5:$E$110=$B34)*ISNUMBER(INDEX(Inputs!$K$5:$AJ$110,0,MATCH(AE$2,Inputs!$K$4:$AJ$4,0))))=0,NA(),SUMPRODUCT((Inputs!$A$5:$A$110=$B34)*Inputs!$B$5:$B$110*(((Inputs!$G$5:$G$110="moeda")+(Inputs!$G$5:$G$110="acoes"))*Inputs!$B$1+((Inputs!$G$5:$G$110&lt;&gt;"moeda")*(Inputs!$G$5:$G$110&lt;&gt;"acoes")))*INDEX(Inputs!$K$5:$AJ$110,0,MATCH(AE$2,Inputs!$K$4:$AJ$4,0)))+SUMPRODUCT((Inputs!$C$5:$C$110=$B34)*Inputs!$D$5:$D$110*(((Inputs!$G$5:$G$110="moeda")+(Inputs!$G$5:$G$110="acoes"))*Inputs!$B$1+((Inputs!$G$5:$G$110&lt;&gt;"moeda")*(Inputs!$G$5:$G$110&lt;&gt;"acoes")))*INDEX(Inputs!$K$5:$AJ$110,0,MATCH(AE$2,Inputs!$K$4:$AJ$4,0)))+SUMPRODUCT((Inputs!$E$5:$E$110=$B34)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4" s="6" t="e">
        <f>IF(ISNA(MATCH(AF$2,Inputs!$K$4:$AJ$4,0)),NA(),IF(SUMPRODUCT((Inputs!$A$5:$A$110=$B34)*ISNUMBER(INDEX(Inputs!$K$5:$AJ$110,0,MATCH(AF$2,Inputs!$K$4:$AJ$4,0))))+SUMPRODUCT((Inputs!$C$5:$C$110=$B34)*ISNUMBER(INDEX(Inputs!$K$5:$AJ$110,0,MATCH(AF$2,Inputs!$K$4:$AJ$4,0))))+SUMPRODUCT((Inputs!$E$5:$E$110=$B34)*ISNUMBER(INDEX(Inputs!$K$5:$AJ$110,0,MATCH(AF$2,Inputs!$K$4:$AJ$4,0))))=0,NA(),SUMPRODUCT((Inputs!$A$5:$A$110=$B34)*Inputs!$B$5:$B$110*(((Inputs!$G$5:$G$110="moeda")+(Inputs!$G$5:$G$110="acoes"))*Inputs!$B$1+((Inputs!$G$5:$G$110&lt;&gt;"moeda")*(Inputs!$G$5:$G$110&lt;&gt;"acoes")))*INDEX(Inputs!$K$5:$AJ$110,0,MATCH(AF$2,Inputs!$K$4:$AJ$4,0)))+SUMPRODUCT((Inputs!$C$5:$C$110=$B34)*Inputs!$D$5:$D$110*(((Inputs!$G$5:$G$110="moeda")+(Inputs!$G$5:$G$110="acoes"))*Inputs!$B$1+((Inputs!$G$5:$G$110&lt;&gt;"moeda")*(Inputs!$G$5:$G$110&lt;&gt;"acoes")))*INDEX(Inputs!$K$5:$AJ$110,0,MATCH(AF$2,Inputs!$K$4:$AJ$4,0)))+SUMPRODUCT((Inputs!$E$5:$E$110=$B34)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4" s="3" t="e">
        <f>AF34</f>
        <v>#N/A</v>
      </c>
      <c r="AH34" s="6">
        <f>IF(ISNA(MATCH(AH$2,Inputs!$K$4:$AJ$4,0)),NA(),IF(SUMPRODUCT((Inputs!$A$5:$A$110=$B34)*ISNUMBER(INDEX(Inputs!$K$5:$AJ$110,0,MATCH(AH$2,Inputs!$K$4:$AJ$4,0))))+SUMPRODUCT((Inputs!$C$5:$C$110=$B34)*ISNUMBER(INDEX(Inputs!$K$5:$AJ$110,0,MATCH(AH$2,Inputs!$K$4:$AJ$4,0))))+SUMPRODUCT((Inputs!$E$5:$E$110=$B34)*ISNUMBER(INDEX(Inputs!$K$5:$AJ$110,0,MATCH(AH$2,Inputs!$K$4:$AJ$4,0))))=0,NA(),SUMPRODUCT((Inputs!$A$5:$A$110=$B34)*Inputs!$B$5:$B$110*(((Inputs!$G$5:$G$110="moeda")+(Inputs!$G$5:$G$110="acoes"))*Inputs!$B$1+((Inputs!$G$5:$G$110&lt;&gt;"moeda")*(Inputs!$G$5:$G$110&lt;&gt;"acoes")))*INDEX(Inputs!$K$5:$AJ$110,0,MATCH(AH$2,Inputs!$K$4:$AJ$4,0)))+SUMPRODUCT((Inputs!$C$5:$C$110=$B34)*Inputs!$D$5:$D$110*(((Inputs!$G$5:$G$110="moeda")+(Inputs!$G$5:$G$110="acoes"))*Inputs!$B$1+((Inputs!$G$5:$G$110&lt;&gt;"moeda")*(Inputs!$G$5:$G$110&lt;&gt;"acoes")))*INDEX(Inputs!$K$5:$AJ$110,0,MATCH(AH$2,Inputs!$K$4:$AJ$4,0)))+SUMPRODUCT((Inputs!$E$5:$E$110=$B34)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4" s="6">
        <f>IF(ISNA(MATCH(AI$2,Inputs!$K$4:$AJ$4,0)),NA(),IF(SUMPRODUCT((Inputs!$A$5:$A$110=$B34)*ISNUMBER(INDEX(Inputs!$K$5:$AJ$110,0,MATCH(AI$2,Inputs!$K$4:$AJ$4,0))))+SUMPRODUCT((Inputs!$C$5:$C$110=$B34)*ISNUMBER(INDEX(Inputs!$K$5:$AJ$110,0,MATCH(AI$2,Inputs!$K$4:$AJ$4,0))))+SUMPRODUCT((Inputs!$E$5:$E$110=$B34)*ISNUMBER(INDEX(Inputs!$K$5:$AJ$110,0,MATCH(AI$2,Inputs!$K$4:$AJ$4,0))))=0,NA(),SUMPRODUCT((Inputs!$A$5:$A$110=$B34)*Inputs!$B$5:$B$110*(((Inputs!$G$5:$G$110="moeda")+(Inputs!$G$5:$G$110="acoes"))*Inputs!$B$1+((Inputs!$G$5:$G$110&lt;&gt;"moeda")*(Inputs!$G$5:$G$110&lt;&gt;"acoes")))*INDEX(Inputs!$K$5:$AJ$110,0,MATCH(AI$2,Inputs!$K$4:$AJ$4,0)))+SUMPRODUCT((Inputs!$C$5:$C$110=$B34)*Inputs!$D$5:$D$110*(((Inputs!$G$5:$G$110="moeda")+(Inputs!$G$5:$G$110="acoes"))*Inputs!$B$1+((Inputs!$G$5:$G$110&lt;&gt;"moeda")*(Inputs!$G$5:$G$110&lt;&gt;"acoes")))*INDEX(Inputs!$K$5:$AJ$110,0,MATCH(AI$2,Inputs!$K$4:$AJ$4,0)))+SUMPRODUCT((Inputs!$E$5:$E$110=$B34)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4" s="6">
        <f>IF(ISNA(MATCH(AJ$2,Inputs!$K$4:$AJ$4,0)),NA(),IF(SUMPRODUCT((Inputs!$A$5:$A$110=$B34)*ISNUMBER(INDEX(Inputs!$K$5:$AJ$110,0,MATCH(AJ$2,Inputs!$K$4:$AJ$4,0))))+SUMPRODUCT((Inputs!$C$5:$C$110=$B34)*ISNUMBER(INDEX(Inputs!$K$5:$AJ$110,0,MATCH(AJ$2,Inputs!$K$4:$AJ$4,0))))+SUMPRODUCT((Inputs!$E$5:$E$110=$B34)*ISNUMBER(INDEX(Inputs!$K$5:$AJ$110,0,MATCH(AJ$2,Inputs!$K$4:$AJ$4,0))))=0,NA(),SUMPRODUCT((Inputs!$A$5:$A$110=$B34)*Inputs!$B$5:$B$110*(((Inputs!$G$5:$G$110="moeda")+(Inputs!$G$5:$G$110="acoes"))*Inputs!$B$1+((Inputs!$G$5:$G$110&lt;&gt;"moeda")*(Inputs!$G$5:$G$110&lt;&gt;"acoes")))*INDEX(Inputs!$K$5:$AJ$110,0,MATCH(AJ$2,Inputs!$K$4:$AJ$4,0)))+SUMPRODUCT((Inputs!$C$5:$C$110=$B34)*Inputs!$D$5:$D$110*(((Inputs!$G$5:$G$110="moeda")+(Inputs!$G$5:$G$110="acoes"))*Inputs!$B$1+((Inputs!$G$5:$G$110&lt;&gt;"moeda")*(Inputs!$G$5:$G$110&lt;&gt;"acoes")))*INDEX(Inputs!$K$5:$AJ$110,0,MATCH(AJ$2,Inputs!$K$4:$AJ$4,0)))+SUMPRODUCT((Inputs!$E$5:$E$110=$B34)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4" s="6">
        <f>IF(ISNA(MATCH(AK$2,Inputs!$K$4:$AJ$4,0)),NA(),IF(SUMPRODUCT((Inputs!$A$5:$A$110=$B34)*ISNUMBER(INDEX(Inputs!$K$5:$AJ$110,0,MATCH(AK$2,Inputs!$K$4:$AJ$4,0))))+SUMPRODUCT((Inputs!$C$5:$C$110=$B34)*ISNUMBER(INDEX(Inputs!$K$5:$AJ$110,0,MATCH(AK$2,Inputs!$K$4:$AJ$4,0))))+SUMPRODUCT((Inputs!$E$5:$E$110=$B34)*ISNUMBER(INDEX(Inputs!$K$5:$AJ$110,0,MATCH(AK$2,Inputs!$K$4:$AJ$4,0))))=0,NA(),SUMPRODUCT((Inputs!$A$5:$A$110=$B34)*Inputs!$B$5:$B$110*(((Inputs!$G$5:$G$110="moeda")+(Inputs!$G$5:$G$110="acoes"))*Inputs!$B$1+((Inputs!$G$5:$G$110&lt;&gt;"moeda")*(Inputs!$G$5:$G$110&lt;&gt;"acoes")))*INDEX(Inputs!$K$5:$AJ$110,0,MATCH(AK$2,Inputs!$K$4:$AJ$4,0)))+SUMPRODUCT((Inputs!$C$5:$C$110=$B34)*Inputs!$D$5:$D$110*(((Inputs!$G$5:$G$110="moeda")+(Inputs!$G$5:$G$110="acoes"))*Inputs!$B$1+((Inputs!$G$5:$G$110&lt;&gt;"moeda")*(Inputs!$G$5:$G$110&lt;&gt;"acoes")))*INDEX(Inputs!$K$5:$AJ$110,0,MATCH(AK$2,Inputs!$K$4:$AJ$4,0)))+SUMPRODUCT((Inputs!$E$5:$E$110=$B34)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$110=$B35)*ISNUMBER(INDEX(Inputs!$K$5:$AJ$110,0,MATCH(D$2,Inputs!$K$4:$AJ$4,0))))+SUMPRODUCT((Inputs!$C$5:$C$110=$B35)*ISNUMBER(INDEX(Inputs!$K$5:$AJ$110,0,MATCH(D$2,Inputs!$K$4:$AJ$4,0))))+SUMPRODUCT((Inputs!$E$5:$E$110=$B35)*ISNUMBER(INDEX(Inputs!$K$5:$AJ$110,0,MATCH(D$2,Inputs!$K$4:$AJ$4,0))))=0,NA(),SUMPRODUCT((Inputs!$A$5:$A$110=$B35)*Inputs!$B$5:$B$110*(((Inputs!$G$5:$G$110="moeda")+(Inputs!$G$5:$G$110="acoes"))*Inputs!$B$1+((Inputs!$G$5:$G$110&lt;&gt;"moeda")*(Inputs!$G$5:$G$110&lt;&gt;"acoes")))*INDEX(Inputs!$K$5:$AJ$110,0,MATCH(D$2,Inputs!$K$4:$AJ$4,0)))+SUMPRODUCT((Inputs!$C$5:$C$110=$B35)*Inputs!$D$5:$D$110*(((Inputs!$G$5:$G$110="moeda")+(Inputs!$G$5:$G$110="acoes"))*Inputs!$B$1+((Inputs!$G$5:$G$110&lt;&gt;"moeda")*(Inputs!$G$5:$G$110&lt;&gt;"acoes")))*INDEX(Inputs!$K$5:$AJ$110,0,MATCH(D$2,Inputs!$K$4:$AJ$4,0)))+SUMPRODUCT((Inputs!$E$5:$E$110=$B35)*Inputs!$F$5:$F$110*(((Inputs!$G$5:$G$110="moeda")+(Inputs!$G$5:$G$110="acoes"))*Inputs!$B$1+((Inputs!$G$5:$G$110&lt;&gt;"moeda")*(Inputs!$G$5:$G$110&lt;&gt;"acoes")))*INDEX(Inputs!$K$5:$AJ$110,0,MATCH(D$2,Inputs!$K$4:$AJ$4,0)))))</f>
        <v>11657</v>
      </c>
      <c r="E35" s="6">
        <f>IF(ISNA(MATCH(E$2,Inputs!$K$4:$AJ$4,0)),NA(),IF(SUMPRODUCT((Inputs!$A$5:$A$110=$B35)*ISNUMBER(INDEX(Inputs!$K$5:$AJ$110,0,MATCH(E$2,Inputs!$K$4:$AJ$4,0))))+SUMPRODUCT((Inputs!$C$5:$C$110=$B35)*ISNUMBER(INDEX(Inputs!$K$5:$AJ$110,0,MATCH(E$2,Inputs!$K$4:$AJ$4,0))))+SUMPRODUCT((Inputs!$E$5:$E$110=$B35)*ISNUMBER(INDEX(Inputs!$K$5:$AJ$110,0,MATCH(E$2,Inputs!$K$4:$AJ$4,0))))=0,NA(),SUMPRODUCT((Inputs!$A$5:$A$110=$B35)*Inputs!$B$5:$B$110*(((Inputs!$G$5:$G$110="moeda")+(Inputs!$G$5:$G$110="acoes"))*Inputs!$B$1+((Inputs!$G$5:$G$110&lt;&gt;"moeda")*(Inputs!$G$5:$G$110&lt;&gt;"acoes")))*INDEX(Inputs!$K$5:$AJ$110,0,MATCH(E$2,Inputs!$K$4:$AJ$4,0)))+SUMPRODUCT((Inputs!$C$5:$C$110=$B35)*Inputs!$D$5:$D$110*(((Inputs!$G$5:$G$110="moeda")+(Inputs!$G$5:$G$110="acoes"))*Inputs!$B$1+((Inputs!$G$5:$G$110&lt;&gt;"moeda")*(Inputs!$G$5:$G$110&lt;&gt;"acoes")))*INDEX(Inputs!$K$5:$AJ$110,0,MATCH(E$2,Inputs!$K$4:$AJ$4,0)))+SUMPRODUCT((Inputs!$E$5:$E$110=$B35)*Inputs!$F$5:$F$110*(((Inputs!$G$5:$G$110="moeda")+(Inputs!$G$5:$G$110="acoes"))*Inputs!$B$1+((Inputs!$G$5:$G$110&lt;&gt;"moeda")*(Inputs!$G$5:$G$110&lt;&gt;"acoes")))*INDEX(Inputs!$K$5:$AJ$110,0,MATCH(E$2,Inputs!$K$4:$AJ$4,0)))))</f>
        <v>11665</v>
      </c>
      <c r="F35" s="6">
        <f>IF(ISNA(MATCH(F$2,Inputs!$K$4:$AJ$4,0)),NA(),IF(SUMPRODUCT((Inputs!$A$5:$A$110=$B35)*ISNUMBER(INDEX(Inputs!$K$5:$AJ$110,0,MATCH(F$2,Inputs!$K$4:$AJ$4,0))))+SUMPRODUCT((Inputs!$C$5:$C$110=$B35)*ISNUMBER(INDEX(Inputs!$K$5:$AJ$110,0,MATCH(F$2,Inputs!$K$4:$AJ$4,0))))+SUMPRODUCT((Inputs!$E$5:$E$110=$B35)*ISNUMBER(INDEX(Inputs!$K$5:$AJ$110,0,MATCH(F$2,Inputs!$K$4:$AJ$4,0))))=0,NA(),SUMPRODUCT((Inputs!$A$5:$A$110=$B35)*Inputs!$B$5:$B$110*(((Inputs!$G$5:$G$110="moeda")+(Inputs!$G$5:$G$110="acoes"))*Inputs!$B$1+((Inputs!$G$5:$G$110&lt;&gt;"moeda")*(Inputs!$G$5:$G$110&lt;&gt;"acoes")))*INDEX(Inputs!$K$5:$AJ$110,0,MATCH(F$2,Inputs!$K$4:$AJ$4,0)))+SUMPRODUCT((Inputs!$C$5:$C$110=$B35)*Inputs!$D$5:$D$110*(((Inputs!$G$5:$G$110="moeda")+(Inputs!$G$5:$G$110="acoes"))*Inputs!$B$1+((Inputs!$G$5:$G$110&lt;&gt;"moeda")*(Inputs!$G$5:$G$110&lt;&gt;"acoes")))*INDEX(Inputs!$K$5:$AJ$110,0,MATCH(F$2,Inputs!$K$4:$AJ$4,0)))+SUMPRODUCT((Inputs!$E$5:$E$110=$B35)*Inputs!$F$5:$F$110*(((Inputs!$G$5:$G$110="moeda")+(Inputs!$G$5:$G$110="acoes"))*Inputs!$B$1+((Inputs!$G$5:$G$110&lt;&gt;"moeda")*(Inputs!$G$5:$G$110&lt;&gt;"acoes")))*INDEX(Inputs!$K$5:$AJ$110,0,MATCH(F$2,Inputs!$K$4:$AJ$4,0)))))</f>
        <v>11668</v>
      </c>
      <c r="G35" s="6">
        <f>IF(ISNA(MATCH(G$2,Inputs!$K$4:$AJ$4,0)),NA(),IF(SUMPRODUCT((Inputs!$A$5:$A$110=$B35)*ISNUMBER(INDEX(Inputs!$K$5:$AJ$110,0,MATCH(G$2,Inputs!$K$4:$AJ$4,0))))+SUMPRODUCT((Inputs!$C$5:$C$110=$B35)*ISNUMBER(INDEX(Inputs!$K$5:$AJ$110,0,MATCH(G$2,Inputs!$K$4:$AJ$4,0))))+SUMPRODUCT((Inputs!$E$5:$E$110=$B35)*ISNUMBER(INDEX(Inputs!$K$5:$AJ$110,0,MATCH(G$2,Inputs!$K$4:$AJ$4,0))))=0,NA(),SUMPRODUCT((Inputs!$A$5:$A$110=$B35)*Inputs!$B$5:$B$110*(((Inputs!$G$5:$G$110="moeda")+(Inputs!$G$5:$G$110="acoes"))*Inputs!$B$1+((Inputs!$G$5:$G$110&lt;&gt;"moeda")*(Inputs!$G$5:$G$110&lt;&gt;"acoes")))*INDEX(Inputs!$K$5:$AJ$110,0,MATCH(G$2,Inputs!$K$4:$AJ$4,0)))+SUMPRODUCT((Inputs!$C$5:$C$110=$B35)*Inputs!$D$5:$D$110*(((Inputs!$G$5:$G$110="moeda")+(Inputs!$G$5:$G$110="acoes"))*Inputs!$B$1+((Inputs!$G$5:$G$110&lt;&gt;"moeda")*(Inputs!$G$5:$G$110&lt;&gt;"acoes")))*INDEX(Inputs!$K$5:$AJ$110,0,MATCH(G$2,Inputs!$K$4:$AJ$4,0)))+SUMPRODUCT((Inputs!$E$5:$E$110=$B35)*Inputs!$F$5:$F$110*(((Inputs!$G$5:$G$110="moeda")+(Inputs!$G$5:$G$110="acoes"))*Inputs!$B$1+((Inputs!$G$5:$G$110&lt;&gt;"moeda")*(Inputs!$G$5:$G$110&lt;&gt;"acoes")))*INDEX(Inputs!$K$5:$AJ$110,0,MATCH(G$2,Inputs!$K$4:$AJ$4,0)))))</f>
        <v>11670</v>
      </c>
      <c r="H35" s="3">
        <f>G35</f>
        <v>11670</v>
      </c>
      <c r="I35" s="6">
        <f>IF(ISNA(MATCH(I$2,Inputs!$K$4:$AJ$4,0)),NA(),IF(SUMPRODUCT((Inputs!$A$5:$A$110=$B35)*ISNUMBER(INDEX(Inputs!$K$5:$AJ$110,0,MATCH(I$2,Inputs!$K$4:$AJ$4,0))))+SUMPRODUCT((Inputs!$C$5:$C$110=$B35)*ISNUMBER(INDEX(Inputs!$K$5:$AJ$110,0,MATCH(I$2,Inputs!$K$4:$AJ$4,0))))+SUMPRODUCT((Inputs!$E$5:$E$110=$B35)*ISNUMBER(INDEX(Inputs!$K$5:$AJ$110,0,MATCH(I$2,Inputs!$K$4:$AJ$4,0))))=0,NA(),SUMPRODUCT((Inputs!$A$5:$A$110=$B35)*Inputs!$B$5:$B$110*(((Inputs!$G$5:$G$110="moeda")+(Inputs!$G$5:$G$110="acoes"))*Inputs!$B$1+((Inputs!$G$5:$G$110&lt;&gt;"moeda")*(Inputs!$G$5:$G$110&lt;&gt;"acoes")))*INDEX(Inputs!$K$5:$AJ$110,0,MATCH(I$2,Inputs!$K$4:$AJ$4,0)))+SUMPRODUCT((Inputs!$C$5:$C$110=$B35)*Inputs!$D$5:$D$110*(((Inputs!$G$5:$G$110="moeda")+(Inputs!$G$5:$G$110="acoes"))*Inputs!$B$1+((Inputs!$G$5:$G$110&lt;&gt;"moeda")*(Inputs!$G$5:$G$110&lt;&gt;"acoes")))*INDEX(Inputs!$K$5:$AJ$110,0,MATCH(I$2,Inputs!$K$4:$AJ$4,0)))+SUMPRODUCT((Inputs!$E$5:$E$110=$B35)*Inputs!$F$5:$F$110*(((Inputs!$G$5:$G$110="moeda")+(Inputs!$G$5:$G$110="acoes"))*Inputs!$B$1+((Inputs!$G$5:$G$110&lt;&gt;"moeda")*(Inputs!$G$5:$G$110&lt;&gt;"acoes")))*INDEX(Inputs!$K$5:$AJ$110,0,MATCH(I$2,Inputs!$K$4:$AJ$4,0)))))</f>
        <v>11145</v>
      </c>
      <c r="J35" s="6">
        <f>IF(ISNA(MATCH(J$2,Inputs!$K$4:$AJ$4,0)),NA(),IF(SUMPRODUCT((Inputs!$A$5:$A$110=$B35)*ISNUMBER(INDEX(Inputs!$K$5:$AJ$110,0,MATCH(J$2,Inputs!$K$4:$AJ$4,0))))+SUMPRODUCT((Inputs!$C$5:$C$110=$B35)*ISNUMBER(INDEX(Inputs!$K$5:$AJ$110,0,MATCH(J$2,Inputs!$K$4:$AJ$4,0))))+SUMPRODUCT((Inputs!$E$5:$E$110=$B35)*ISNUMBER(INDEX(Inputs!$K$5:$AJ$110,0,MATCH(J$2,Inputs!$K$4:$AJ$4,0))))=0,NA(),SUMPRODUCT((Inputs!$A$5:$A$110=$B35)*Inputs!$B$5:$B$110*(((Inputs!$G$5:$G$110="moeda")+(Inputs!$G$5:$G$110="acoes"))*Inputs!$B$1+((Inputs!$G$5:$G$110&lt;&gt;"moeda")*(Inputs!$G$5:$G$110&lt;&gt;"acoes")))*INDEX(Inputs!$K$5:$AJ$110,0,MATCH(J$2,Inputs!$K$4:$AJ$4,0)))+SUMPRODUCT((Inputs!$C$5:$C$110=$B35)*Inputs!$D$5:$D$110*(((Inputs!$G$5:$G$110="moeda")+(Inputs!$G$5:$G$110="acoes"))*Inputs!$B$1+((Inputs!$G$5:$G$110&lt;&gt;"moeda")*(Inputs!$G$5:$G$110&lt;&gt;"acoes")))*INDEX(Inputs!$K$5:$AJ$110,0,MATCH(J$2,Inputs!$K$4:$AJ$4,0)))+SUMPRODUCT((Inputs!$E$5:$E$110=$B35)*Inputs!$F$5:$F$110*(((Inputs!$G$5:$G$110="moeda")+(Inputs!$G$5:$G$110="acoes"))*Inputs!$B$1+((Inputs!$G$5:$G$110&lt;&gt;"moeda")*(Inputs!$G$5:$G$110&lt;&gt;"acoes")))*INDEX(Inputs!$K$5:$AJ$110,0,MATCH(J$2,Inputs!$K$4:$AJ$4,0)))))</f>
        <v>11644</v>
      </c>
      <c r="K35" s="6">
        <f>IF(ISNA(MATCH(K$2,Inputs!$K$4:$AJ$4,0)),NA(),IF(SUMPRODUCT((Inputs!$A$5:$A$110=$B35)*ISNUMBER(INDEX(Inputs!$K$5:$AJ$110,0,MATCH(K$2,Inputs!$K$4:$AJ$4,0))))+SUMPRODUCT((Inputs!$C$5:$C$110=$B35)*ISNUMBER(INDEX(Inputs!$K$5:$AJ$110,0,MATCH(K$2,Inputs!$K$4:$AJ$4,0))))+SUMPRODUCT((Inputs!$E$5:$E$110=$B35)*ISNUMBER(INDEX(Inputs!$K$5:$AJ$110,0,MATCH(K$2,Inputs!$K$4:$AJ$4,0))))=0,NA(),SUMPRODUCT((Inputs!$A$5:$A$110=$B35)*Inputs!$B$5:$B$110*(((Inputs!$G$5:$G$110="moeda")+(Inputs!$G$5:$G$110="acoes"))*Inputs!$B$1+((Inputs!$G$5:$G$110&lt;&gt;"moeda")*(Inputs!$G$5:$G$110&lt;&gt;"acoes")))*INDEX(Inputs!$K$5:$AJ$110,0,MATCH(K$2,Inputs!$K$4:$AJ$4,0)))+SUMPRODUCT((Inputs!$C$5:$C$110=$B35)*Inputs!$D$5:$D$110*(((Inputs!$G$5:$G$110="moeda")+(Inputs!$G$5:$G$110="acoes"))*Inputs!$B$1+((Inputs!$G$5:$G$110&lt;&gt;"moeda")*(Inputs!$G$5:$G$110&lt;&gt;"acoes")))*INDEX(Inputs!$K$5:$AJ$110,0,MATCH(K$2,Inputs!$K$4:$AJ$4,0)))+SUMPRODUCT((Inputs!$E$5:$E$110=$B35)*Inputs!$F$5:$F$110*(((Inputs!$G$5:$G$110="moeda")+(Inputs!$G$5:$G$110="acoes"))*Inputs!$B$1+((Inputs!$G$5:$G$110&lt;&gt;"moeda")*(Inputs!$G$5:$G$110&lt;&gt;"acoes")))*INDEX(Inputs!$K$5:$AJ$110,0,MATCH(K$2,Inputs!$K$4:$AJ$4,0)))))</f>
        <v>11480</v>
      </c>
      <c r="L35" s="6">
        <f>IF(ISNA(MATCH(L$2,Inputs!$K$4:$AJ$4,0)),NA(),IF(SUMPRODUCT((Inputs!$A$5:$A$110=$B35)*ISNUMBER(INDEX(Inputs!$K$5:$AJ$110,0,MATCH(L$2,Inputs!$K$4:$AJ$4,0))))+SUMPRODUCT((Inputs!$C$5:$C$110=$B35)*ISNUMBER(INDEX(Inputs!$K$5:$AJ$110,0,MATCH(L$2,Inputs!$K$4:$AJ$4,0))))+SUMPRODUCT((Inputs!$E$5:$E$110=$B35)*ISNUMBER(INDEX(Inputs!$K$5:$AJ$110,0,MATCH(L$2,Inputs!$K$4:$AJ$4,0))))=0,NA(),SUMPRODUCT((Inputs!$A$5:$A$110=$B35)*Inputs!$B$5:$B$110*(((Inputs!$G$5:$G$110="moeda")+(Inputs!$G$5:$G$110="acoes"))*Inputs!$B$1+((Inputs!$G$5:$G$110&lt;&gt;"moeda")*(Inputs!$G$5:$G$110&lt;&gt;"acoes")))*INDEX(Inputs!$K$5:$AJ$110,0,MATCH(L$2,Inputs!$K$4:$AJ$4,0)))+SUMPRODUCT((Inputs!$C$5:$C$110=$B35)*Inputs!$D$5:$D$110*(((Inputs!$G$5:$G$110="moeda")+(Inputs!$G$5:$G$110="acoes"))*Inputs!$B$1+((Inputs!$G$5:$G$110&lt;&gt;"moeda")*(Inputs!$G$5:$G$110&lt;&gt;"acoes")))*INDEX(Inputs!$K$5:$AJ$110,0,MATCH(L$2,Inputs!$K$4:$AJ$4,0)))+SUMPRODUCT((Inputs!$E$5:$E$110=$B35)*Inputs!$F$5:$F$110*(((Inputs!$G$5:$G$110="moeda")+(Inputs!$G$5:$G$110="acoes"))*Inputs!$B$1+((Inputs!$G$5:$G$110&lt;&gt;"moeda")*(Inputs!$G$5:$G$110&lt;&gt;"acoes")))*INDEX(Inputs!$K$5:$AJ$110,0,MATCH(L$2,Inputs!$K$4:$AJ$4,0)))))</f>
        <v>15429</v>
      </c>
      <c r="M35" s="3">
        <f>L35</f>
        <v>15429</v>
      </c>
      <c r="N35" s="6">
        <f>IF(ISNA(MATCH(N$2,Inputs!$K$4:$AJ$4,0)),NA(),IF(SUMPRODUCT((Inputs!$A$5:$A$110=$B35)*ISNUMBER(INDEX(Inputs!$K$5:$AJ$110,0,MATCH(N$2,Inputs!$K$4:$AJ$4,0))))+SUMPRODUCT((Inputs!$C$5:$C$110=$B35)*ISNUMBER(INDEX(Inputs!$K$5:$AJ$110,0,MATCH(N$2,Inputs!$K$4:$AJ$4,0))))+SUMPRODUCT((Inputs!$E$5:$E$110=$B35)*ISNUMBER(INDEX(Inputs!$K$5:$AJ$110,0,MATCH(N$2,Inputs!$K$4:$AJ$4,0))))=0,NA(),SUMPRODUCT((Inputs!$A$5:$A$110=$B35)*Inputs!$B$5:$B$110*(((Inputs!$G$5:$G$110="moeda")+(Inputs!$G$5:$G$110="acoes"))*Inputs!$B$1+((Inputs!$G$5:$G$110&lt;&gt;"moeda")*(Inputs!$G$5:$G$110&lt;&gt;"acoes")))*INDEX(Inputs!$K$5:$AJ$110,0,MATCH(N$2,Inputs!$K$4:$AJ$4,0)))+SUMPRODUCT((Inputs!$C$5:$C$110=$B35)*Inputs!$D$5:$D$110*(((Inputs!$G$5:$G$110="moeda")+(Inputs!$G$5:$G$110="acoes"))*Inputs!$B$1+((Inputs!$G$5:$G$110&lt;&gt;"moeda")*(Inputs!$G$5:$G$110&lt;&gt;"acoes")))*INDEX(Inputs!$K$5:$AJ$110,0,MATCH(N$2,Inputs!$K$4:$AJ$4,0)))+SUMPRODUCT((Inputs!$E$5:$E$110=$B35)*Inputs!$F$5:$F$110*(((Inputs!$G$5:$G$110="moeda")+(Inputs!$G$5:$G$110="acoes"))*Inputs!$B$1+((Inputs!$G$5:$G$110&lt;&gt;"moeda")*(Inputs!$G$5:$G$110&lt;&gt;"acoes")))*INDEX(Inputs!$K$5:$AJ$110,0,MATCH(N$2,Inputs!$K$4:$AJ$4,0)))))</f>
        <v>15485</v>
      </c>
      <c r="O35" s="6">
        <f>IF(ISNA(MATCH(O$2,Inputs!$K$4:$AJ$4,0)),NA(),IF(SUMPRODUCT((Inputs!$A$5:$A$110=$B35)*ISNUMBER(INDEX(Inputs!$K$5:$AJ$110,0,MATCH(O$2,Inputs!$K$4:$AJ$4,0))))+SUMPRODUCT((Inputs!$C$5:$C$110=$B35)*ISNUMBER(INDEX(Inputs!$K$5:$AJ$110,0,MATCH(O$2,Inputs!$K$4:$AJ$4,0))))+SUMPRODUCT((Inputs!$E$5:$E$110=$B35)*ISNUMBER(INDEX(Inputs!$K$5:$AJ$110,0,MATCH(O$2,Inputs!$K$4:$AJ$4,0))))=0,NA(),SUMPRODUCT((Inputs!$A$5:$A$110=$B35)*Inputs!$B$5:$B$110*(((Inputs!$G$5:$G$110="moeda")+(Inputs!$G$5:$G$110="acoes"))*Inputs!$B$1+((Inputs!$G$5:$G$110&lt;&gt;"moeda")*(Inputs!$G$5:$G$110&lt;&gt;"acoes")))*INDEX(Inputs!$K$5:$AJ$110,0,MATCH(O$2,Inputs!$K$4:$AJ$4,0)))+SUMPRODUCT((Inputs!$C$5:$C$110=$B35)*Inputs!$D$5:$D$110*(((Inputs!$G$5:$G$110="moeda")+(Inputs!$G$5:$G$110="acoes"))*Inputs!$B$1+((Inputs!$G$5:$G$110&lt;&gt;"moeda")*(Inputs!$G$5:$G$110&lt;&gt;"acoes")))*INDEX(Inputs!$K$5:$AJ$110,0,MATCH(O$2,Inputs!$K$4:$AJ$4,0)))+SUMPRODUCT((Inputs!$E$5:$E$110=$B35)*Inputs!$F$5:$F$110*(((Inputs!$G$5:$G$110="moeda")+(Inputs!$G$5:$G$110="acoes"))*Inputs!$B$1+((Inputs!$G$5:$G$110&lt;&gt;"moeda")*(Inputs!$G$5:$G$110&lt;&gt;"acoes")))*INDEX(Inputs!$K$5:$AJ$110,0,MATCH(O$2,Inputs!$K$4:$AJ$4,0)))))</f>
        <v>17262</v>
      </c>
      <c r="P35" s="6">
        <f>IF(ISNA(MATCH(P$2,Inputs!$K$4:$AJ$4,0)),NA(),IF(SUMPRODUCT((Inputs!$A$5:$A$110=$B35)*ISNUMBER(INDEX(Inputs!$K$5:$AJ$110,0,MATCH(P$2,Inputs!$K$4:$AJ$4,0))))+SUMPRODUCT((Inputs!$C$5:$C$110=$B35)*ISNUMBER(INDEX(Inputs!$K$5:$AJ$110,0,MATCH(P$2,Inputs!$K$4:$AJ$4,0))))+SUMPRODUCT((Inputs!$E$5:$E$110=$B35)*ISNUMBER(INDEX(Inputs!$K$5:$AJ$110,0,MATCH(P$2,Inputs!$K$4:$AJ$4,0))))=0,NA(),SUMPRODUCT((Inputs!$A$5:$A$110=$B35)*Inputs!$B$5:$B$110*(((Inputs!$G$5:$G$110="moeda")+(Inputs!$G$5:$G$110="acoes"))*Inputs!$B$1+((Inputs!$G$5:$G$110&lt;&gt;"moeda")*(Inputs!$G$5:$G$110&lt;&gt;"acoes")))*INDEX(Inputs!$K$5:$AJ$110,0,MATCH(P$2,Inputs!$K$4:$AJ$4,0)))+SUMPRODUCT((Inputs!$C$5:$C$110=$B35)*Inputs!$D$5:$D$110*(((Inputs!$G$5:$G$110="moeda")+(Inputs!$G$5:$G$110="acoes"))*Inputs!$B$1+((Inputs!$G$5:$G$110&lt;&gt;"moeda")*(Inputs!$G$5:$G$110&lt;&gt;"acoes")))*INDEX(Inputs!$K$5:$AJ$110,0,MATCH(P$2,Inputs!$K$4:$AJ$4,0)))+SUMPRODUCT((Inputs!$E$5:$E$110=$B35)*Inputs!$F$5:$F$110*(((Inputs!$G$5:$G$110="moeda")+(Inputs!$G$5:$G$110="acoes"))*Inputs!$B$1+((Inputs!$G$5:$G$110&lt;&gt;"moeda")*(Inputs!$G$5:$G$110&lt;&gt;"acoes")))*INDEX(Inputs!$K$5:$AJ$110,0,MATCH(P$2,Inputs!$K$4:$AJ$4,0)))))</f>
        <v>17221</v>
      </c>
      <c r="Q35" s="6">
        <f>IF(ISNA(MATCH(Q$2,Inputs!$K$4:$AJ$4,0)),NA(),IF(SUMPRODUCT((Inputs!$A$5:$A$110=$B35)*ISNUMBER(INDEX(Inputs!$K$5:$AJ$110,0,MATCH(Q$2,Inputs!$K$4:$AJ$4,0))))+SUMPRODUCT((Inputs!$C$5:$C$110=$B35)*ISNUMBER(INDEX(Inputs!$K$5:$AJ$110,0,MATCH(Q$2,Inputs!$K$4:$AJ$4,0))))+SUMPRODUCT((Inputs!$E$5:$E$110=$B35)*ISNUMBER(INDEX(Inputs!$K$5:$AJ$110,0,MATCH(Q$2,Inputs!$K$4:$AJ$4,0))))=0,NA(),SUMPRODUCT((Inputs!$A$5:$A$110=$B35)*Inputs!$B$5:$B$110*(((Inputs!$G$5:$G$110="moeda")+(Inputs!$G$5:$G$110="acoes"))*Inputs!$B$1+((Inputs!$G$5:$G$110&lt;&gt;"moeda")*(Inputs!$G$5:$G$110&lt;&gt;"acoes")))*INDEX(Inputs!$K$5:$AJ$110,0,MATCH(Q$2,Inputs!$K$4:$AJ$4,0)))+SUMPRODUCT((Inputs!$C$5:$C$110=$B35)*Inputs!$D$5:$D$110*(((Inputs!$G$5:$G$110="moeda")+(Inputs!$G$5:$G$110="acoes"))*Inputs!$B$1+((Inputs!$G$5:$G$110&lt;&gt;"moeda")*(Inputs!$G$5:$G$110&lt;&gt;"acoes")))*INDEX(Inputs!$K$5:$AJ$110,0,MATCH(Q$2,Inputs!$K$4:$AJ$4,0)))+SUMPRODUCT((Inputs!$E$5:$E$110=$B35)*Inputs!$F$5:$F$110*(((Inputs!$G$5:$G$110="moeda")+(Inputs!$G$5:$G$110="acoes"))*Inputs!$B$1+((Inputs!$G$5:$G$110&lt;&gt;"moeda")*(Inputs!$G$5:$G$110&lt;&gt;"acoes")))*INDEX(Inputs!$K$5:$AJ$110,0,MATCH(Q$2,Inputs!$K$4:$AJ$4,0)))))</f>
        <v>17291</v>
      </c>
      <c r="R35" s="3">
        <f>Q35</f>
        <v>17291</v>
      </c>
      <c r="S35" s="6">
        <f>IF(ISNA(MATCH(S$2,Inputs!$K$4:$AJ$4,0)),NA(),IF(SUMPRODUCT((Inputs!$A$5:$A$110=$B35)*ISNUMBER(INDEX(Inputs!$K$5:$AJ$110,0,MATCH(S$2,Inputs!$K$4:$AJ$4,0))))+SUMPRODUCT((Inputs!$C$5:$C$110=$B35)*ISNUMBER(INDEX(Inputs!$K$5:$AJ$110,0,MATCH(S$2,Inputs!$K$4:$AJ$4,0))))+SUMPRODUCT((Inputs!$E$5:$E$110=$B35)*ISNUMBER(INDEX(Inputs!$K$5:$AJ$110,0,MATCH(S$2,Inputs!$K$4:$AJ$4,0))))=0,NA(),SUMPRODUCT((Inputs!$A$5:$A$110=$B35)*Inputs!$B$5:$B$110*(((Inputs!$G$5:$G$110="moeda")+(Inputs!$G$5:$G$110="acoes"))*Inputs!$B$1+((Inputs!$G$5:$G$110&lt;&gt;"moeda")*(Inputs!$G$5:$G$110&lt;&gt;"acoes")))*INDEX(Inputs!$K$5:$AJ$110,0,MATCH(S$2,Inputs!$K$4:$AJ$4,0)))+SUMPRODUCT((Inputs!$C$5:$C$110=$B35)*Inputs!$D$5:$D$110*(((Inputs!$G$5:$G$110="moeda")+(Inputs!$G$5:$G$110="acoes"))*Inputs!$B$1+((Inputs!$G$5:$G$110&lt;&gt;"moeda")*(Inputs!$G$5:$G$110&lt;&gt;"acoes")))*INDEX(Inputs!$K$5:$AJ$110,0,MATCH(S$2,Inputs!$K$4:$AJ$4,0)))+SUMPRODUCT((Inputs!$E$5:$E$110=$B35)*Inputs!$F$5:$F$110*(((Inputs!$G$5:$G$110="moeda")+(Inputs!$G$5:$G$110="acoes"))*Inputs!$B$1+((Inputs!$G$5:$G$110&lt;&gt;"moeda")*(Inputs!$G$5:$G$110&lt;&gt;"acoes")))*INDEX(Inputs!$K$5:$AJ$110,0,MATCH(S$2,Inputs!$K$4:$AJ$4,0)))))</f>
        <v>19250</v>
      </c>
      <c r="T35" s="6">
        <f>IF(ISNA(MATCH(T$2,Inputs!$K$4:$AJ$4,0)),NA(),IF(SUMPRODUCT((Inputs!$A$5:$A$110=$B35)*ISNUMBER(INDEX(Inputs!$K$5:$AJ$110,0,MATCH(T$2,Inputs!$K$4:$AJ$4,0))))+SUMPRODUCT((Inputs!$C$5:$C$110=$B35)*ISNUMBER(INDEX(Inputs!$K$5:$AJ$110,0,MATCH(T$2,Inputs!$K$4:$AJ$4,0))))+SUMPRODUCT((Inputs!$E$5:$E$110=$B35)*ISNUMBER(INDEX(Inputs!$K$5:$AJ$110,0,MATCH(T$2,Inputs!$K$4:$AJ$4,0))))=0,NA(),SUMPRODUCT((Inputs!$A$5:$A$110=$B35)*Inputs!$B$5:$B$110*(((Inputs!$G$5:$G$110="moeda")+(Inputs!$G$5:$G$110="acoes"))*Inputs!$B$1+((Inputs!$G$5:$G$110&lt;&gt;"moeda")*(Inputs!$G$5:$G$110&lt;&gt;"acoes")))*INDEX(Inputs!$K$5:$AJ$110,0,MATCH(T$2,Inputs!$K$4:$AJ$4,0)))+SUMPRODUCT((Inputs!$C$5:$C$110=$B35)*Inputs!$D$5:$D$110*(((Inputs!$G$5:$G$110="moeda")+(Inputs!$G$5:$G$110="acoes"))*Inputs!$B$1+((Inputs!$G$5:$G$110&lt;&gt;"moeda")*(Inputs!$G$5:$G$110&lt;&gt;"acoes")))*INDEX(Inputs!$K$5:$AJ$110,0,MATCH(T$2,Inputs!$K$4:$AJ$4,0)))+SUMPRODUCT((Inputs!$E$5:$E$110=$B35)*Inputs!$F$5:$F$110*(((Inputs!$G$5:$G$110="moeda")+(Inputs!$G$5:$G$110="acoes"))*Inputs!$B$1+((Inputs!$G$5:$G$110&lt;&gt;"moeda")*(Inputs!$G$5:$G$110&lt;&gt;"acoes")))*INDEX(Inputs!$K$5:$AJ$110,0,MATCH(T$2,Inputs!$K$4:$AJ$4,0)))))</f>
        <v>19115</v>
      </c>
      <c r="U35" s="6">
        <f>IF(ISNA(MATCH(U$2,Inputs!$K$4:$AJ$4,0)),NA(),IF(SUMPRODUCT((Inputs!$A$5:$A$110=$B35)*ISNUMBER(INDEX(Inputs!$K$5:$AJ$110,0,MATCH(U$2,Inputs!$K$4:$AJ$4,0))))+SUMPRODUCT((Inputs!$C$5:$C$110=$B35)*ISNUMBER(INDEX(Inputs!$K$5:$AJ$110,0,MATCH(U$2,Inputs!$K$4:$AJ$4,0))))+SUMPRODUCT((Inputs!$E$5:$E$110=$B35)*ISNUMBER(INDEX(Inputs!$K$5:$AJ$110,0,MATCH(U$2,Inputs!$K$4:$AJ$4,0))))=0,NA(),SUMPRODUCT((Inputs!$A$5:$A$110=$B35)*Inputs!$B$5:$B$110*(((Inputs!$G$5:$G$110="moeda")+(Inputs!$G$5:$G$110="acoes"))*Inputs!$B$1+((Inputs!$G$5:$G$110&lt;&gt;"moeda")*(Inputs!$G$5:$G$110&lt;&gt;"acoes")))*INDEX(Inputs!$K$5:$AJ$110,0,MATCH(U$2,Inputs!$K$4:$AJ$4,0)))+SUMPRODUCT((Inputs!$C$5:$C$110=$B35)*Inputs!$D$5:$D$110*(((Inputs!$G$5:$G$110="moeda")+(Inputs!$G$5:$G$110="acoes"))*Inputs!$B$1+((Inputs!$G$5:$G$110&lt;&gt;"moeda")*(Inputs!$G$5:$G$110&lt;&gt;"acoes")))*INDEX(Inputs!$K$5:$AJ$110,0,MATCH(U$2,Inputs!$K$4:$AJ$4,0)))+SUMPRODUCT((Inputs!$E$5:$E$110=$B35)*Inputs!$F$5:$F$110*(((Inputs!$G$5:$G$110="moeda")+(Inputs!$G$5:$G$110="acoes"))*Inputs!$B$1+((Inputs!$G$5:$G$110&lt;&gt;"moeda")*(Inputs!$G$5:$G$110&lt;&gt;"acoes")))*INDEX(Inputs!$K$5:$AJ$110,0,MATCH(U$2,Inputs!$K$4:$AJ$4,0)))))</f>
        <v>19179</v>
      </c>
      <c r="V35" s="6">
        <f>IF(ISNA(MATCH(V$2,Inputs!$K$4:$AJ$4,0)),NA(),IF(SUMPRODUCT((Inputs!$A$5:$A$110=$B35)*ISNUMBER(INDEX(Inputs!$K$5:$AJ$110,0,MATCH(V$2,Inputs!$K$4:$AJ$4,0))))+SUMPRODUCT((Inputs!$C$5:$C$110=$B35)*ISNUMBER(INDEX(Inputs!$K$5:$AJ$110,0,MATCH(V$2,Inputs!$K$4:$AJ$4,0))))+SUMPRODUCT((Inputs!$E$5:$E$110=$B35)*ISNUMBER(INDEX(Inputs!$K$5:$AJ$110,0,MATCH(V$2,Inputs!$K$4:$AJ$4,0))))=0,NA(),SUMPRODUCT((Inputs!$A$5:$A$110=$B35)*Inputs!$B$5:$B$110*(((Inputs!$G$5:$G$110="moeda")+(Inputs!$G$5:$G$110="acoes"))*Inputs!$B$1+((Inputs!$G$5:$G$110&lt;&gt;"moeda")*(Inputs!$G$5:$G$110&lt;&gt;"acoes")))*INDEX(Inputs!$K$5:$AJ$110,0,MATCH(V$2,Inputs!$K$4:$AJ$4,0)))+SUMPRODUCT((Inputs!$C$5:$C$110=$B35)*Inputs!$D$5:$D$110*(((Inputs!$G$5:$G$110="moeda")+(Inputs!$G$5:$G$110="acoes"))*Inputs!$B$1+((Inputs!$G$5:$G$110&lt;&gt;"moeda")*(Inputs!$G$5:$G$110&lt;&gt;"acoes")))*INDEX(Inputs!$K$5:$AJ$110,0,MATCH(V$2,Inputs!$K$4:$AJ$4,0)))+SUMPRODUCT((Inputs!$E$5:$E$110=$B35)*Inputs!$F$5:$F$110*(((Inputs!$G$5:$G$110="moeda")+(Inputs!$G$5:$G$110="acoes"))*Inputs!$B$1+((Inputs!$G$5:$G$110&lt;&gt;"moeda")*(Inputs!$G$5:$G$110&lt;&gt;"acoes")))*INDEX(Inputs!$K$5:$AJ$110,0,MATCH(V$2,Inputs!$K$4:$AJ$4,0)))))</f>
        <v>19627</v>
      </c>
      <c r="W35" s="3">
        <f>V35</f>
        <v>19627</v>
      </c>
      <c r="X35" s="6">
        <f>IF(ISNA(MATCH(X$2,Inputs!$K$4:$AJ$4,0)),NA(),IF(SUMPRODUCT((Inputs!$A$5:$A$110=$B35)*ISNUMBER(INDEX(Inputs!$K$5:$AJ$110,0,MATCH(X$2,Inputs!$K$4:$AJ$4,0))))+SUMPRODUCT((Inputs!$C$5:$C$110=$B35)*ISNUMBER(INDEX(Inputs!$K$5:$AJ$110,0,MATCH(X$2,Inputs!$K$4:$AJ$4,0))))+SUMPRODUCT((Inputs!$E$5:$E$110=$B35)*ISNUMBER(INDEX(Inputs!$K$5:$AJ$110,0,MATCH(X$2,Inputs!$K$4:$AJ$4,0))))=0,NA(),SUMPRODUCT((Inputs!$A$5:$A$110=$B35)*Inputs!$B$5:$B$110*(((Inputs!$G$5:$G$110="moeda")+(Inputs!$G$5:$G$110="acoes"))*Inputs!$B$1+((Inputs!$G$5:$G$110&lt;&gt;"moeda")*(Inputs!$G$5:$G$110&lt;&gt;"acoes")))*INDEX(Inputs!$K$5:$AJ$110,0,MATCH(X$2,Inputs!$K$4:$AJ$4,0)))+SUMPRODUCT((Inputs!$C$5:$C$110=$B35)*Inputs!$D$5:$D$110*(((Inputs!$G$5:$G$110="moeda")+(Inputs!$G$5:$G$110="acoes"))*Inputs!$B$1+((Inputs!$G$5:$G$110&lt;&gt;"moeda")*(Inputs!$G$5:$G$110&lt;&gt;"acoes")))*INDEX(Inputs!$K$5:$AJ$110,0,MATCH(X$2,Inputs!$K$4:$AJ$4,0)))+SUMPRODUCT((Inputs!$E$5:$E$110=$B35)*Inputs!$F$5:$F$110*(((Inputs!$G$5:$G$110="moeda")+(Inputs!$G$5:$G$110="acoes"))*Inputs!$B$1+((Inputs!$G$5:$G$110&lt;&gt;"moeda")*(Inputs!$G$5:$G$110&lt;&gt;"acoes")))*INDEX(Inputs!$K$5:$AJ$110,0,MATCH(X$2,Inputs!$K$4:$AJ$4,0)))))</f>
        <v>18661</v>
      </c>
      <c r="Y35" s="6">
        <f>IF(ISNA(MATCH(Y$2,Inputs!$K$4:$AJ$4,0)),NA(),IF(SUMPRODUCT((Inputs!$A$5:$A$110=$B35)*ISNUMBER(INDEX(Inputs!$K$5:$AJ$110,0,MATCH(Y$2,Inputs!$K$4:$AJ$4,0))))+SUMPRODUCT((Inputs!$C$5:$C$110=$B35)*ISNUMBER(INDEX(Inputs!$K$5:$AJ$110,0,MATCH(Y$2,Inputs!$K$4:$AJ$4,0))))+SUMPRODUCT((Inputs!$E$5:$E$110=$B35)*ISNUMBER(INDEX(Inputs!$K$5:$AJ$110,0,MATCH(Y$2,Inputs!$K$4:$AJ$4,0))))=0,NA(),SUMPRODUCT((Inputs!$A$5:$A$110=$B35)*Inputs!$B$5:$B$110*(((Inputs!$G$5:$G$110="moeda")+(Inputs!$G$5:$G$110="acoes"))*Inputs!$B$1+((Inputs!$G$5:$G$110&lt;&gt;"moeda")*(Inputs!$G$5:$G$110&lt;&gt;"acoes")))*INDEX(Inputs!$K$5:$AJ$110,0,MATCH(Y$2,Inputs!$K$4:$AJ$4,0)))+SUMPRODUCT((Inputs!$C$5:$C$110=$B35)*Inputs!$D$5:$D$110*(((Inputs!$G$5:$G$110="moeda")+(Inputs!$G$5:$G$110="acoes"))*Inputs!$B$1+((Inputs!$G$5:$G$110&lt;&gt;"moeda")*(Inputs!$G$5:$G$110&lt;&gt;"acoes")))*INDEX(Inputs!$K$5:$AJ$110,0,MATCH(Y$2,Inputs!$K$4:$AJ$4,0)))+SUMPRODUCT((Inputs!$E$5:$E$110=$B35)*Inputs!$F$5:$F$110*(((Inputs!$G$5:$G$110="moeda")+(Inputs!$G$5:$G$110="acoes"))*Inputs!$B$1+((Inputs!$G$5:$G$110&lt;&gt;"moeda")*(Inputs!$G$5:$G$110&lt;&gt;"acoes")))*INDEX(Inputs!$K$5:$AJ$110,0,MATCH(Y$2,Inputs!$K$4:$AJ$4,0)))))</f>
        <v>18520</v>
      </c>
      <c r="Z35" s="6">
        <f>IF(ISNA(MATCH(Z$2,Inputs!$K$4:$AJ$4,0)),NA(),IF(SUMPRODUCT((Inputs!$A$5:$A$110=$B35)*ISNUMBER(INDEX(Inputs!$K$5:$AJ$110,0,MATCH(Z$2,Inputs!$K$4:$AJ$4,0))))+SUMPRODUCT((Inputs!$C$5:$C$110=$B35)*ISNUMBER(INDEX(Inputs!$K$5:$AJ$110,0,MATCH(Z$2,Inputs!$K$4:$AJ$4,0))))+SUMPRODUCT((Inputs!$E$5:$E$110=$B35)*ISNUMBER(INDEX(Inputs!$K$5:$AJ$110,0,MATCH(Z$2,Inputs!$K$4:$AJ$4,0))))=0,NA(),SUMPRODUCT((Inputs!$A$5:$A$110=$B35)*Inputs!$B$5:$B$110*(((Inputs!$G$5:$G$110="moeda")+(Inputs!$G$5:$G$110="acoes"))*Inputs!$B$1+((Inputs!$G$5:$G$110&lt;&gt;"moeda")*(Inputs!$G$5:$G$110&lt;&gt;"acoes")))*INDEX(Inputs!$K$5:$AJ$110,0,MATCH(Z$2,Inputs!$K$4:$AJ$4,0)))+SUMPRODUCT((Inputs!$C$5:$C$110=$B35)*Inputs!$D$5:$D$110*(((Inputs!$G$5:$G$110="moeda")+(Inputs!$G$5:$G$110="acoes"))*Inputs!$B$1+((Inputs!$G$5:$G$110&lt;&gt;"moeda")*(Inputs!$G$5:$G$110&lt;&gt;"acoes")))*INDEX(Inputs!$K$5:$AJ$110,0,MATCH(Z$2,Inputs!$K$4:$AJ$4,0)))+SUMPRODUCT((Inputs!$E$5:$E$110=$B35)*Inputs!$F$5:$F$110*(((Inputs!$G$5:$G$110="moeda")+(Inputs!$G$5:$G$110="acoes"))*Inputs!$B$1+((Inputs!$G$5:$G$110&lt;&gt;"moeda")*(Inputs!$G$5:$G$110&lt;&gt;"acoes")))*INDEX(Inputs!$K$5:$AJ$110,0,MATCH(Z$2,Inputs!$K$4:$AJ$4,0)))))</f>
        <v>20520</v>
      </c>
      <c r="AA35" s="6">
        <f>IF(ISNA(MATCH(AA$2,Inputs!$K$4:$AJ$4,0)),NA(),IF(SUMPRODUCT((Inputs!$A$5:$A$110=$B35)*ISNUMBER(INDEX(Inputs!$K$5:$AJ$110,0,MATCH(AA$2,Inputs!$K$4:$AJ$4,0))))+SUMPRODUCT((Inputs!$C$5:$C$110=$B35)*ISNUMBER(INDEX(Inputs!$K$5:$AJ$110,0,MATCH(AA$2,Inputs!$K$4:$AJ$4,0))))+SUMPRODUCT((Inputs!$E$5:$E$110=$B35)*ISNUMBER(INDEX(Inputs!$K$5:$AJ$110,0,MATCH(AA$2,Inputs!$K$4:$AJ$4,0))))=0,NA(),SUMPRODUCT((Inputs!$A$5:$A$110=$B35)*Inputs!$B$5:$B$110*(((Inputs!$G$5:$G$110="moeda")+(Inputs!$G$5:$G$110="acoes"))*Inputs!$B$1+((Inputs!$G$5:$G$110&lt;&gt;"moeda")*(Inputs!$G$5:$G$110&lt;&gt;"acoes")))*INDEX(Inputs!$K$5:$AJ$110,0,MATCH(AA$2,Inputs!$K$4:$AJ$4,0)))+SUMPRODUCT((Inputs!$C$5:$C$110=$B35)*Inputs!$D$5:$D$110*(((Inputs!$G$5:$G$110="moeda")+(Inputs!$G$5:$G$110="acoes"))*Inputs!$B$1+((Inputs!$G$5:$G$110&lt;&gt;"moeda")*(Inputs!$G$5:$G$110&lt;&gt;"acoes")))*INDEX(Inputs!$K$5:$AJ$110,0,MATCH(AA$2,Inputs!$K$4:$AJ$4,0)))+SUMPRODUCT((Inputs!$E$5:$E$110=$B35)*Inputs!$F$5:$F$110*(((Inputs!$G$5:$G$110="moeda")+(Inputs!$G$5:$G$110="acoes"))*Inputs!$B$1+((Inputs!$G$5:$G$110&lt;&gt;"moeda")*(Inputs!$G$5:$G$110&lt;&gt;"acoes")))*INDEX(Inputs!$K$5:$AJ$110,0,MATCH(AA$2,Inputs!$K$4:$AJ$4,0)))))</f>
        <v>20532</v>
      </c>
      <c r="AB35" s="3">
        <f>AA35</f>
        <v>20532</v>
      </c>
      <c r="AC35" s="6">
        <f>IF(ISNA(MATCH(AC$2,Inputs!$K$4:$AJ$4,0)),NA(),IF(SUMPRODUCT((Inputs!$A$5:$A$110=$B35)*ISNUMBER(INDEX(Inputs!$K$5:$AJ$110,0,MATCH(AC$2,Inputs!$K$4:$AJ$4,0))))+SUMPRODUCT((Inputs!$C$5:$C$110=$B35)*ISNUMBER(INDEX(Inputs!$K$5:$AJ$110,0,MATCH(AC$2,Inputs!$K$4:$AJ$4,0))))+SUMPRODUCT((Inputs!$E$5:$E$110=$B35)*ISNUMBER(INDEX(Inputs!$K$5:$AJ$110,0,MATCH(AC$2,Inputs!$K$4:$AJ$4,0))))=0,NA(),SUMPRODUCT((Inputs!$A$5:$A$110=$B35)*Inputs!$B$5:$B$110*(((Inputs!$G$5:$G$110="moeda")+(Inputs!$G$5:$G$110="acoes"))*Inputs!$B$1+((Inputs!$G$5:$G$110&lt;&gt;"moeda")*(Inputs!$G$5:$G$110&lt;&gt;"acoes")))*INDEX(Inputs!$K$5:$AJ$110,0,MATCH(AC$2,Inputs!$K$4:$AJ$4,0)))+SUMPRODUCT((Inputs!$C$5:$C$110=$B35)*Inputs!$D$5:$D$110*(((Inputs!$G$5:$G$110="moeda")+(Inputs!$G$5:$G$110="acoes"))*Inputs!$B$1+((Inputs!$G$5:$G$110&lt;&gt;"moeda")*(Inputs!$G$5:$G$110&lt;&gt;"acoes")))*INDEX(Inputs!$K$5:$AJ$110,0,MATCH(AC$2,Inputs!$K$4:$AJ$4,0)))+SUMPRODUCT((Inputs!$E$5:$E$110=$B35)*Inputs!$F$5:$F$110*(((Inputs!$G$5:$G$110="moeda")+(Inputs!$G$5:$G$110="acoes"))*Inputs!$B$1+((Inputs!$G$5:$G$110&lt;&gt;"moeda")*(Inputs!$G$5:$G$110&lt;&gt;"acoes")))*INDEX(Inputs!$K$5:$AJ$110,0,MATCH(AC$2,Inputs!$K$4:$AJ$4,0)))))</f>
        <v>20529</v>
      </c>
      <c r="AD35" s="6">
        <f>IF(ISNA(MATCH(AD$2,Inputs!$K$4:$AJ$4,0)),NA(),IF(SUMPRODUCT((Inputs!$A$5:$A$110=$B35)*ISNUMBER(INDEX(Inputs!$K$5:$AJ$110,0,MATCH(AD$2,Inputs!$K$4:$AJ$4,0))))+SUMPRODUCT((Inputs!$C$5:$C$110=$B35)*ISNUMBER(INDEX(Inputs!$K$5:$AJ$110,0,MATCH(AD$2,Inputs!$K$4:$AJ$4,0))))+SUMPRODUCT((Inputs!$E$5:$E$110=$B35)*ISNUMBER(INDEX(Inputs!$K$5:$AJ$110,0,MATCH(AD$2,Inputs!$K$4:$AJ$4,0))))=0,NA(),SUMPRODUCT((Inputs!$A$5:$A$110=$B35)*Inputs!$B$5:$B$110*(((Inputs!$G$5:$G$110="moeda")+(Inputs!$G$5:$G$110="acoes"))*Inputs!$B$1+((Inputs!$G$5:$G$110&lt;&gt;"moeda")*(Inputs!$G$5:$G$110&lt;&gt;"acoes")))*INDEX(Inputs!$K$5:$AJ$110,0,MATCH(AD$2,Inputs!$K$4:$AJ$4,0)))+SUMPRODUCT((Inputs!$C$5:$C$110=$B35)*Inputs!$D$5:$D$110*(((Inputs!$G$5:$G$110="moeda")+(Inputs!$G$5:$G$110="acoes"))*Inputs!$B$1+((Inputs!$G$5:$G$110&lt;&gt;"moeda")*(Inputs!$G$5:$G$110&lt;&gt;"acoes")))*INDEX(Inputs!$K$5:$AJ$110,0,MATCH(AD$2,Inputs!$K$4:$AJ$4,0)))+SUMPRODUCT((Inputs!$E$5:$E$110=$B35)*Inputs!$F$5:$F$110*(((Inputs!$G$5:$G$110="moeda")+(Inputs!$G$5:$G$110="acoes"))*Inputs!$B$1+((Inputs!$G$5:$G$110&lt;&gt;"moeda")*(Inputs!$G$5:$G$110&lt;&gt;"acoes")))*INDEX(Inputs!$K$5:$AJ$110,0,MATCH(AD$2,Inputs!$K$4:$AJ$4,0)))))</f>
        <v>20538</v>
      </c>
      <c r="AE35" s="6" t="e">
        <f>IF(ISNA(MATCH(AE$2,Inputs!$K$4:$AJ$4,0)),NA(),IF(SUMPRODUCT((Inputs!$A$5:$A$110=$B35)*ISNUMBER(INDEX(Inputs!$K$5:$AJ$110,0,MATCH(AE$2,Inputs!$K$4:$AJ$4,0))))+SUMPRODUCT((Inputs!$C$5:$C$110=$B35)*ISNUMBER(INDEX(Inputs!$K$5:$AJ$110,0,MATCH(AE$2,Inputs!$K$4:$AJ$4,0))))+SUMPRODUCT((Inputs!$E$5:$E$110=$B35)*ISNUMBER(INDEX(Inputs!$K$5:$AJ$110,0,MATCH(AE$2,Inputs!$K$4:$AJ$4,0))))=0,NA(),SUMPRODUCT((Inputs!$A$5:$A$110=$B35)*Inputs!$B$5:$B$110*(((Inputs!$G$5:$G$110="moeda")+(Inputs!$G$5:$G$110="acoes"))*Inputs!$B$1+((Inputs!$G$5:$G$110&lt;&gt;"moeda")*(Inputs!$G$5:$G$110&lt;&gt;"acoes")))*INDEX(Inputs!$K$5:$AJ$110,0,MATCH(AE$2,Inputs!$K$4:$AJ$4,0)))+SUMPRODUCT((Inputs!$C$5:$C$110=$B35)*Inputs!$D$5:$D$110*(((Inputs!$G$5:$G$110="moeda")+(Inputs!$G$5:$G$110="acoes"))*Inputs!$B$1+((Inputs!$G$5:$G$110&lt;&gt;"moeda")*(Inputs!$G$5:$G$110&lt;&gt;"acoes")))*INDEX(Inputs!$K$5:$AJ$110,0,MATCH(AE$2,Inputs!$K$4:$AJ$4,0)))+SUMPRODUCT((Inputs!$E$5:$E$110=$B35)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5" s="6" t="e">
        <f>IF(ISNA(MATCH(AF$2,Inputs!$K$4:$AJ$4,0)),NA(),IF(SUMPRODUCT((Inputs!$A$5:$A$110=$B35)*ISNUMBER(INDEX(Inputs!$K$5:$AJ$110,0,MATCH(AF$2,Inputs!$K$4:$AJ$4,0))))+SUMPRODUCT((Inputs!$C$5:$C$110=$B35)*ISNUMBER(INDEX(Inputs!$K$5:$AJ$110,0,MATCH(AF$2,Inputs!$K$4:$AJ$4,0))))+SUMPRODUCT((Inputs!$E$5:$E$110=$B35)*ISNUMBER(INDEX(Inputs!$K$5:$AJ$110,0,MATCH(AF$2,Inputs!$K$4:$AJ$4,0))))=0,NA(),SUMPRODUCT((Inputs!$A$5:$A$110=$B35)*Inputs!$B$5:$B$110*(((Inputs!$G$5:$G$110="moeda")+(Inputs!$G$5:$G$110="acoes"))*Inputs!$B$1+((Inputs!$G$5:$G$110&lt;&gt;"moeda")*(Inputs!$G$5:$G$110&lt;&gt;"acoes")))*INDEX(Inputs!$K$5:$AJ$110,0,MATCH(AF$2,Inputs!$K$4:$AJ$4,0)))+SUMPRODUCT((Inputs!$C$5:$C$110=$B35)*Inputs!$D$5:$D$110*(((Inputs!$G$5:$G$110="moeda")+(Inputs!$G$5:$G$110="acoes"))*Inputs!$B$1+((Inputs!$G$5:$G$110&lt;&gt;"moeda")*(Inputs!$G$5:$G$110&lt;&gt;"acoes")))*INDEX(Inputs!$K$5:$AJ$110,0,MATCH(AF$2,Inputs!$K$4:$AJ$4,0)))+SUMPRODUCT((Inputs!$E$5:$E$110=$B35)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5" s="3" t="e">
        <f>AF35</f>
        <v>#N/A</v>
      </c>
      <c r="AH35" s="6">
        <f>IF(ISNA(MATCH(AH$2,Inputs!$K$4:$AJ$4,0)),NA(),IF(SUMPRODUCT((Inputs!$A$5:$A$110=$B35)*ISNUMBER(INDEX(Inputs!$K$5:$AJ$110,0,MATCH(AH$2,Inputs!$K$4:$AJ$4,0))))+SUMPRODUCT((Inputs!$C$5:$C$110=$B35)*ISNUMBER(INDEX(Inputs!$K$5:$AJ$110,0,MATCH(AH$2,Inputs!$K$4:$AJ$4,0))))+SUMPRODUCT((Inputs!$E$5:$E$110=$B35)*ISNUMBER(INDEX(Inputs!$K$5:$AJ$110,0,MATCH(AH$2,Inputs!$K$4:$AJ$4,0))))=0,NA(),SUMPRODUCT((Inputs!$A$5:$A$110=$B35)*Inputs!$B$5:$B$110*(((Inputs!$G$5:$G$110="moeda")+(Inputs!$G$5:$G$110="acoes"))*Inputs!$B$1+((Inputs!$G$5:$G$110&lt;&gt;"moeda")*(Inputs!$G$5:$G$110&lt;&gt;"acoes")))*INDEX(Inputs!$K$5:$AJ$110,0,MATCH(AH$2,Inputs!$K$4:$AJ$4,0)))+SUMPRODUCT((Inputs!$C$5:$C$110=$B35)*Inputs!$D$5:$D$110*(((Inputs!$G$5:$G$110="moeda")+(Inputs!$G$5:$G$110="acoes"))*Inputs!$B$1+((Inputs!$G$5:$G$110&lt;&gt;"moeda")*(Inputs!$G$5:$G$110&lt;&gt;"acoes")))*INDEX(Inputs!$K$5:$AJ$110,0,MATCH(AH$2,Inputs!$K$4:$AJ$4,0)))+SUMPRODUCT((Inputs!$E$5:$E$110=$B35)*Inputs!$F$5:$F$110*(((Inputs!$G$5:$G$110="moeda")+(Inputs!$G$5:$G$110="acoes"))*Inputs!$B$1+((Inputs!$G$5:$G$110&lt;&gt;"moeda")*(Inputs!$G$5:$G$110&lt;&gt;"acoes")))*INDEX(Inputs!$K$5:$AJ$110,0,MATCH(AH$2,Inputs!$K$4:$AJ$4,0)))))</f>
        <v>11439</v>
      </c>
      <c r="AI35" s="6">
        <f>IF(ISNA(MATCH(AI$2,Inputs!$K$4:$AJ$4,0)),NA(),IF(SUMPRODUCT((Inputs!$A$5:$A$110=$B35)*ISNUMBER(INDEX(Inputs!$K$5:$AJ$110,0,MATCH(AI$2,Inputs!$K$4:$AJ$4,0))))+SUMPRODUCT((Inputs!$C$5:$C$110=$B35)*ISNUMBER(INDEX(Inputs!$K$5:$AJ$110,0,MATCH(AI$2,Inputs!$K$4:$AJ$4,0))))+SUMPRODUCT((Inputs!$E$5:$E$110=$B35)*ISNUMBER(INDEX(Inputs!$K$5:$AJ$110,0,MATCH(AI$2,Inputs!$K$4:$AJ$4,0))))=0,NA(),SUMPRODUCT((Inputs!$A$5:$A$110=$B35)*Inputs!$B$5:$B$110*(((Inputs!$G$5:$G$110="moeda")+(Inputs!$G$5:$G$110="acoes"))*Inputs!$B$1+((Inputs!$G$5:$G$110&lt;&gt;"moeda")*(Inputs!$G$5:$G$110&lt;&gt;"acoes")))*INDEX(Inputs!$K$5:$AJ$110,0,MATCH(AI$2,Inputs!$K$4:$AJ$4,0)))+SUMPRODUCT((Inputs!$C$5:$C$110=$B35)*Inputs!$D$5:$D$110*(((Inputs!$G$5:$G$110="moeda")+(Inputs!$G$5:$G$110="acoes"))*Inputs!$B$1+((Inputs!$G$5:$G$110&lt;&gt;"moeda")*(Inputs!$G$5:$G$110&lt;&gt;"acoes")))*INDEX(Inputs!$K$5:$AJ$110,0,MATCH(AI$2,Inputs!$K$4:$AJ$4,0)))+SUMPRODUCT((Inputs!$E$5:$E$110=$B35)*Inputs!$F$5:$F$110*(((Inputs!$G$5:$G$110="moeda")+(Inputs!$G$5:$G$110="acoes"))*Inputs!$B$1+((Inputs!$G$5:$G$110&lt;&gt;"moeda")*(Inputs!$G$5:$G$110&lt;&gt;"acoes")))*INDEX(Inputs!$K$5:$AJ$110,0,MATCH(AI$2,Inputs!$K$4:$AJ$4,0)))))</f>
        <v>12174</v>
      </c>
      <c r="AJ35" s="6">
        <f>IF(ISNA(MATCH(AJ$2,Inputs!$K$4:$AJ$4,0)),NA(),IF(SUMPRODUCT((Inputs!$A$5:$A$110=$B35)*ISNUMBER(INDEX(Inputs!$K$5:$AJ$110,0,MATCH(AJ$2,Inputs!$K$4:$AJ$4,0))))+SUMPRODUCT((Inputs!$C$5:$C$110=$B35)*ISNUMBER(INDEX(Inputs!$K$5:$AJ$110,0,MATCH(AJ$2,Inputs!$K$4:$AJ$4,0))))+SUMPRODUCT((Inputs!$E$5:$E$110=$B35)*ISNUMBER(INDEX(Inputs!$K$5:$AJ$110,0,MATCH(AJ$2,Inputs!$K$4:$AJ$4,0))))=0,NA(),SUMPRODUCT((Inputs!$A$5:$A$110=$B35)*Inputs!$B$5:$B$110*(((Inputs!$G$5:$G$110="moeda")+(Inputs!$G$5:$G$110="acoes"))*Inputs!$B$1+((Inputs!$G$5:$G$110&lt;&gt;"moeda")*(Inputs!$G$5:$G$110&lt;&gt;"acoes")))*INDEX(Inputs!$K$5:$AJ$110,0,MATCH(AJ$2,Inputs!$K$4:$AJ$4,0)))+SUMPRODUCT((Inputs!$C$5:$C$110=$B35)*Inputs!$D$5:$D$110*(((Inputs!$G$5:$G$110="moeda")+(Inputs!$G$5:$G$110="acoes"))*Inputs!$B$1+((Inputs!$G$5:$G$110&lt;&gt;"moeda")*(Inputs!$G$5:$G$110&lt;&gt;"acoes")))*INDEX(Inputs!$K$5:$AJ$110,0,MATCH(AJ$2,Inputs!$K$4:$AJ$4,0)))+SUMPRODUCT((Inputs!$E$5:$E$110=$B35)*Inputs!$F$5:$F$110*(((Inputs!$G$5:$G$110="moeda")+(Inputs!$G$5:$G$110="acoes"))*Inputs!$B$1+((Inputs!$G$5:$G$110&lt;&gt;"moeda")*(Inputs!$G$5:$G$110&lt;&gt;"acoes")))*INDEX(Inputs!$K$5:$AJ$110,0,MATCH(AJ$2,Inputs!$K$4:$AJ$4,0)))))</f>
        <v>11675</v>
      </c>
      <c r="AK35" s="6">
        <f>IF(ISNA(MATCH(AK$2,Inputs!$K$4:$AJ$4,0)),NA(),IF(SUMPRODUCT((Inputs!$A$5:$A$110=$B35)*ISNUMBER(INDEX(Inputs!$K$5:$AJ$110,0,MATCH(AK$2,Inputs!$K$4:$AJ$4,0))))+SUMPRODUCT((Inputs!$C$5:$C$110=$B35)*ISNUMBER(INDEX(Inputs!$K$5:$AJ$110,0,MATCH(AK$2,Inputs!$K$4:$AJ$4,0))))+SUMPRODUCT((Inputs!$E$5:$E$110=$B35)*ISNUMBER(INDEX(Inputs!$K$5:$AJ$110,0,MATCH(AK$2,Inputs!$K$4:$AJ$4,0))))=0,NA(),SUMPRODUCT((Inputs!$A$5:$A$110=$B35)*Inputs!$B$5:$B$110*(((Inputs!$G$5:$G$110="moeda")+(Inputs!$G$5:$G$110="acoes"))*Inputs!$B$1+((Inputs!$G$5:$G$110&lt;&gt;"moeda")*(Inputs!$G$5:$G$110&lt;&gt;"acoes")))*INDEX(Inputs!$K$5:$AJ$110,0,MATCH(AK$2,Inputs!$K$4:$AJ$4,0)))+SUMPRODUCT((Inputs!$C$5:$C$110=$B35)*Inputs!$D$5:$D$110*(((Inputs!$G$5:$G$110="moeda")+(Inputs!$G$5:$G$110="acoes"))*Inputs!$B$1+((Inputs!$G$5:$G$110&lt;&gt;"moeda")*(Inputs!$G$5:$G$110&lt;&gt;"acoes")))*INDEX(Inputs!$K$5:$AJ$110,0,MATCH(AK$2,Inputs!$K$4:$AJ$4,0)))+SUMPRODUCT((Inputs!$E$5:$E$110=$B35)*Inputs!$F$5:$F$110*(((Inputs!$G$5:$G$110="moeda")+(Inputs!$G$5:$G$110="acoes"))*Inputs!$B$1+((Inputs!$G$5:$G$110&lt;&gt;"moeda")*(Inputs!$G$5:$G$110&lt;&gt;"acoes")))*INDEX(Inputs!$K$5:$AJ$110,0,MATCH(AK$2,Inputs!$K$4:$AJ$4,0)))))</f>
        <v>11669</v>
      </c>
      <c r="AL35" s="3">
        <f>AK35</f>
        <v>11669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$110=$B36)*ISNUMBER(INDEX(Inputs!$K$5:$AJ$110,0,MATCH(D$2,Inputs!$K$4:$AJ$4,0))))+SUMPRODUCT((Inputs!$C$5:$C$110=$B36)*ISNUMBER(INDEX(Inputs!$K$5:$AJ$110,0,MATCH(D$2,Inputs!$K$4:$AJ$4,0))))+SUMPRODUCT((Inputs!$E$5:$E$110=$B36)*ISNUMBER(INDEX(Inputs!$K$5:$AJ$110,0,MATCH(D$2,Inputs!$K$4:$AJ$4,0))))=0,NA(),SUMPRODUCT((Inputs!$A$5:$A$110=$B36)*Inputs!$B$5:$B$110*(((Inputs!$G$5:$G$110="moeda")+(Inputs!$G$5:$G$110="acoes"))*Inputs!$B$1+((Inputs!$G$5:$G$110&lt;&gt;"moeda")*(Inputs!$G$5:$G$110&lt;&gt;"acoes")))*INDEX(Inputs!$K$5:$AJ$110,0,MATCH(D$2,Inputs!$K$4:$AJ$4,0)))+SUMPRODUCT((Inputs!$C$5:$C$110=$B36)*Inputs!$D$5:$D$110*(((Inputs!$G$5:$G$110="moeda")+(Inputs!$G$5:$G$110="acoes"))*Inputs!$B$1+((Inputs!$G$5:$G$110&lt;&gt;"moeda")*(Inputs!$G$5:$G$110&lt;&gt;"acoes")))*INDEX(Inputs!$K$5:$AJ$110,0,MATCH(D$2,Inputs!$K$4:$AJ$4,0)))+SUMPRODUCT((Inputs!$E$5:$E$110=$B36)*Inputs!$F$5:$F$110*(((Inputs!$G$5:$G$110="moeda")+(Inputs!$G$5:$G$110="acoes"))*Inputs!$B$1+((Inputs!$G$5:$G$110&lt;&gt;"moeda")*(Inputs!$G$5:$G$110&lt;&gt;"acoes")))*INDEX(Inputs!$K$5:$AJ$110,0,MATCH(D$2,Inputs!$K$4:$AJ$4,0)))))</f>
        <v>0</v>
      </c>
      <c r="E36" s="6">
        <f>IF(ISNA(MATCH(E$2,Inputs!$K$4:$AJ$4,0)),NA(),IF(SUMPRODUCT((Inputs!$A$5:$A$110=$B36)*ISNUMBER(INDEX(Inputs!$K$5:$AJ$110,0,MATCH(E$2,Inputs!$K$4:$AJ$4,0))))+SUMPRODUCT((Inputs!$C$5:$C$110=$B36)*ISNUMBER(INDEX(Inputs!$K$5:$AJ$110,0,MATCH(E$2,Inputs!$K$4:$AJ$4,0))))+SUMPRODUCT((Inputs!$E$5:$E$110=$B36)*ISNUMBER(INDEX(Inputs!$K$5:$AJ$110,0,MATCH(E$2,Inputs!$K$4:$AJ$4,0))))=0,NA(),SUMPRODUCT((Inputs!$A$5:$A$110=$B36)*Inputs!$B$5:$B$110*(((Inputs!$G$5:$G$110="moeda")+(Inputs!$G$5:$G$110="acoes"))*Inputs!$B$1+((Inputs!$G$5:$G$110&lt;&gt;"moeda")*(Inputs!$G$5:$G$110&lt;&gt;"acoes")))*INDEX(Inputs!$K$5:$AJ$110,0,MATCH(E$2,Inputs!$K$4:$AJ$4,0)))+SUMPRODUCT((Inputs!$C$5:$C$110=$B36)*Inputs!$D$5:$D$110*(((Inputs!$G$5:$G$110="moeda")+(Inputs!$G$5:$G$110="acoes"))*Inputs!$B$1+((Inputs!$G$5:$G$110&lt;&gt;"moeda")*(Inputs!$G$5:$G$110&lt;&gt;"acoes")))*INDEX(Inputs!$K$5:$AJ$110,0,MATCH(E$2,Inputs!$K$4:$AJ$4,0)))+SUMPRODUCT((Inputs!$E$5:$E$110=$B36)*Inputs!$F$5:$F$110*(((Inputs!$G$5:$G$110="moeda")+(Inputs!$G$5:$G$110="acoes"))*Inputs!$B$1+((Inputs!$G$5:$G$110&lt;&gt;"moeda")*(Inputs!$G$5:$G$110&lt;&gt;"acoes")))*INDEX(Inputs!$K$5:$AJ$110,0,MATCH(E$2,Inputs!$K$4:$AJ$4,0)))))</f>
        <v>0</v>
      </c>
      <c r="F36" s="6">
        <f>IF(ISNA(MATCH(F$2,Inputs!$K$4:$AJ$4,0)),NA(),IF(SUMPRODUCT((Inputs!$A$5:$A$110=$B36)*ISNUMBER(INDEX(Inputs!$K$5:$AJ$110,0,MATCH(F$2,Inputs!$K$4:$AJ$4,0))))+SUMPRODUCT((Inputs!$C$5:$C$110=$B36)*ISNUMBER(INDEX(Inputs!$K$5:$AJ$110,0,MATCH(F$2,Inputs!$K$4:$AJ$4,0))))+SUMPRODUCT((Inputs!$E$5:$E$110=$B36)*ISNUMBER(INDEX(Inputs!$K$5:$AJ$110,0,MATCH(F$2,Inputs!$K$4:$AJ$4,0))))=0,NA(),SUMPRODUCT((Inputs!$A$5:$A$110=$B36)*Inputs!$B$5:$B$110*(((Inputs!$G$5:$G$110="moeda")+(Inputs!$G$5:$G$110="acoes"))*Inputs!$B$1+((Inputs!$G$5:$G$110&lt;&gt;"moeda")*(Inputs!$G$5:$G$110&lt;&gt;"acoes")))*INDEX(Inputs!$K$5:$AJ$110,0,MATCH(F$2,Inputs!$K$4:$AJ$4,0)))+SUMPRODUCT((Inputs!$C$5:$C$110=$B36)*Inputs!$D$5:$D$110*(((Inputs!$G$5:$G$110="moeda")+(Inputs!$G$5:$G$110="acoes"))*Inputs!$B$1+((Inputs!$G$5:$G$110&lt;&gt;"moeda")*(Inputs!$G$5:$G$110&lt;&gt;"acoes")))*INDEX(Inputs!$K$5:$AJ$110,0,MATCH(F$2,Inputs!$K$4:$AJ$4,0)))+SUMPRODUCT((Inputs!$E$5:$E$110=$B36)*Inputs!$F$5:$F$110*(((Inputs!$G$5:$G$110="moeda")+(Inputs!$G$5:$G$110="acoes"))*Inputs!$B$1+((Inputs!$G$5:$G$110&lt;&gt;"moeda")*(Inputs!$G$5:$G$110&lt;&gt;"acoes")))*INDEX(Inputs!$K$5:$AJ$110,0,MATCH(F$2,Inputs!$K$4:$AJ$4,0)))))</f>
        <v>0</v>
      </c>
      <c r="G36" s="6">
        <f>IF(ISNA(MATCH(G$2,Inputs!$K$4:$AJ$4,0)),NA(),IF(SUMPRODUCT((Inputs!$A$5:$A$110=$B36)*ISNUMBER(INDEX(Inputs!$K$5:$AJ$110,0,MATCH(G$2,Inputs!$K$4:$AJ$4,0))))+SUMPRODUCT((Inputs!$C$5:$C$110=$B36)*ISNUMBER(INDEX(Inputs!$K$5:$AJ$110,0,MATCH(G$2,Inputs!$K$4:$AJ$4,0))))+SUMPRODUCT((Inputs!$E$5:$E$110=$B36)*ISNUMBER(INDEX(Inputs!$K$5:$AJ$110,0,MATCH(G$2,Inputs!$K$4:$AJ$4,0))))=0,NA(),SUMPRODUCT((Inputs!$A$5:$A$110=$B36)*Inputs!$B$5:$B$110*(((Inputs!$G$5:$G$110="moeda")+(Inputs!$G$5:$G$110="acoes"))*Inputs!$B$1+((Inputs!$G$5:$G$110&lt;&gt;"moeda")*(Inputs!$G$5:$G$110&lt;&gt;"acoes")))*INDEX(Inputs!$K$5:$AJ$110,0,MATCH(G$2,Inputs!$K$4:$AJ$4,0)))+SUMPRODUCT((Inputs!$C$5:$C$110=$B36)*Inputs!$D$5:$D$110*(((Inputs!$G$5:$G$110="moeda")+(Inputs!$G$5:$G$110="acoes"))*Inputs!$B$1+((Inputs!$G$5:$G$110&lt;&gt;"moeda")*(Inputs!$G$5:$G$110&lt;&gt;"acoes")))*INDEX(Inputs!$K$5:$AJ$110,0,MATCH(G$2,Inputs!$K$4:$AJ$4,0)))+SUMPRODUCT((Inputs!$E$5:$E$110=$B36)*Inputs!$F$5:$F$110*(((Inputs!$G$5:$G$110="moeda")+(Inputs!$G$5:$G$110="acoes"))*Inputs!$B$1+((Inputs!$G$5:$G$110&lt;&gt;"moeda")*(Inputs!$G$5:$G$110&lt;&gt;"acoes")))*INDEX(Inputs!$K$5:$AJ$110,0,MATCH(G$2,Inputs!$K$4:$AJ$4,0)))))</f>
        <v>0</v>
      </c>
      <c r="H36" s="3">
        <f>G36</f>
        <v>0</v>
      </c>
      <c r="I36" s="6">
        <f>IF(ISNA(MATCH(I$2,Inputs!$K$4:$AJ$4,0)),NA(),IF(SUMPRODUCT((Inputs!$A$5:$A$110=$B36)*ISNUMBER(INDEX(Inputs!$K$5:$AJ$110,0,MATCH(I$2,Inputs!$K$4:$AJ$4,0))))+SUMPRODUCT((Inputs!$C$5:$C$110=$B36)*ISNUMBER(INDEX(Inputs!$K$5:$AJ$110,0,MATCH(I$2,Inputs!$K$4:$AJ$4,0))))+SUMPRODUCT((Inputs!$E$5:$E$110=$B36)*ISNUMBER(INDEX(Inputs!$K$5:$AJ$110,0,MATCH(I$2,Inputs!$K$4:$AJ$4,0))))=0,NA(),SUMPRODUCT((Inputs!$A$5:$A$110=$B36)*Inputs!$B$5:$B$110*(((Inputs!$G$5:$G$110="moeda")+(Inputs!$G$5:$G$110="acoes"))*Inputs!$B$1+((Inputs!$G$5:$G$110&lt;&gt;"moeda")*(Inputs!$G$5:$G$110&lt;&gt;"acoes")))*INDEX(Inputs!$K$5:$AJ$110,0,MATCH(I$2,Inputs!$K$4:$AJ$4,0)))+SUMPRODUCT((Inputs!$C$5:$C$110=$B36)*Inputs!$D$5:$D$110*(((Inputs!$G$5:$G$110="moeda")+(Inputs!$G$5:$G$110="acoes"))*Inputs!$B$1+((Inputs!$G$5:$G$110&lt;&gt;"moeda")*(Inputs!$G$5:$G$110&lt;&gt;"acoes")))*INDEX(Inputs!$K$5:$AJ$110,0,MATCH(I$2,Inputs!$K$4:$AJ$4,0)))+SUMPRODUCT((Inputs!$E$5:$E$110=$B36)*Inputs!$F$5:$F$110*(((Inputs!$G$5:$G$110="moeda")+(Inputs!$G$5:$G$110="acoes"))*Inputs!$B$1+((Inputs!$G$5:$G$110&lt;&gt;"moeda")*(Inputs!$G$5:$G$110&lt;&gt;"acoes")))*INDEX(Inputs!$K$5:$AJ$110,0,MATCH(I$2,Inputs!$K$4:$AJ$4,0)))))</f>
        <v>0</v>
      </c>
      <c r="J36" s="6">
        <f>IF(ISNA(MATCH(J$2,Inputs!$K$4:$AJ$4,0)),NA(),IF(SUMPRODUCT((Inputs!$A$5:$A$110=$B36)*ISNUMBER(INDEX(Inputs!$K$5:$AJ$110,0,MATCH(J$2,Inputs!$K$4:$AJ$4,0))))+SUMPRODUCT((Inputs!$C$5:$C$110=$B36)*ISNUMBER(INDEX(Inputs!$K$5:$AJ$110,0,MATCH(J$2,Inputs!$K$4:$AJ$4,0))))+SUMPRODUCT((Inputs!$E$5:$E$110=$B36)*ISNUMBER(INDEX(Inputs!$K$5:$AJ$110,0,MATCH(J$2,Inputs!$K$4:$AJ$4,0))))=0,NA(),SUMPRODUCT((Inputs!$A$5:$A$110=$B36)*Inputs!$B$5:$B$110*(((Inputs!$G$5:$G$110="moeda")+(Inputs!$G$5:$G$110="acoes"))*Inputs!$B$1+((Inputs!$G$5:$G$110&lt;&gt;"moeda")*(Inputs!$G$5:$G$110&lt;&gt;"acoes")))*INDEX(Inputs!$K$5:$AJ$110,0,MATCH(J$2,Inputs!$K$4:$AJ$4,0)))+SUMPRODUCT((Inputs!$C$5:$C$110=$B36)*Inputs!$D$5:$D$110*(((Inputs!$G$5:$G$110="moeda")+(Inputs!$G$5:$G$110="acoes"))*Inputs!$B$1+((Inputs!$G$5:$G$110&lt;&gt;"moeda")*(Inputs!$G$5:$G$110&lt;&gt;"acoes")))*INDEX(Inputs!$K$5:$AJ$110,0,MATCH(J$2,Inputs!$K$4:$AJ$4,0)))+SUMPRODUCT((Inputs!$E$5:$E$110=$B36)*Inputs!$F$5:$F$110*(((Inputs!$G$5:$G$110="moeda")+(Inputs!$G$5:$G$110="acoes"))*Inputs!$B$1+((Inputs!$G$5:$G$110&lt;&gt;"moeda")*(Inputs!$G$5:$G$110&lt;&gt;"acoes")))*INDEX(Inputs!$K$5:$AJ$110,0,MATCH(J$2,Inputs!$K$4:$AJ$4,0)))))</f>
        <v>0</v>
      </c>
      <c r="K36" s="6">
        <f>IF(ISNA(MATCH(K$2,Inputs!$K$4:$AJ$4,0)),NA(),IF(SUMPRODUCT((Inputs!$A$5:$A$110=$B36)*ISNUMBER(INDEX(Inputs!$K$5:$AJ$110,0,MATCH(K$2,Inputs!$K$4:$AJ$4,0))))+SUMPRODUCT((Inputs!$C$5:$C$110=$B36)*ISNUMBER(INDEX(Inputs!$K$5:$AJ$110,0,MATCH(K$2,Inputs!$K$4:$AJ$4,0))))+SUMPRODUCT((Inputs!$E$5:$E$110=$B36)*ISNUMBER(INDEX(Inputs!$K$5:$AJ$110,0,MATCH(K$2,Inputs!$K$4:$AJ$4,0))))=0,NA(),SUMPRODUCT((Inputs!$A$5:$A$110=$B36)*Inputs!$B$5:$B$110*(((Inputs!$G$5:$G$110="moeda")+(Inputs!$G$5:$G$110="acoes"))*Inputs!$B$1+((Inputs!$G$5:$G$110&lt;&gt;"moeda")*(Inputs!$G$5:$G$110&lt;&gt;"acoes")))*INDEX(Inputs!$K$5:$AJ$110,0,MATCH(K$2,Inputs!$K$4:$AJ$4,0)))+SUMPRODUCT((Inputs!$C$5:$C$110=$B36)*Inputs!$D$5:$D$110*(((Inputs!$G$5:$G$110="moeda")+(Inputs!$G$5:$G$110="acoes"))*Inputs!$B$1+((Inputs!$G$5:$G$110&lt;&gt;"moeda")*(Inputs!$G$5:$G$110&lt;&gt;"acoes")))*INDEX(Inputs!$K$5:$AJ$110,0,MATCH(K$2,Inputs!$K$4:$AJ$4,0)))+SUMPRODUCT((Inputs!$E$5:$E$110=$B36)*Inputs!$F$5:$F$110*(((Inputs!$G$5:$G$110="moeda")+(Inputs!$G$5:$G$110="acoes"))*Inputs!$B$1+((Inputs!$G$5:$G$110&lt;&gt;"moeda")*(Inputs!$G$5:$G$110&lt;&gt;"acoes")))*INDEX(Inputs!$K$5:$AJ$110,0,MATCH(K$2,Inputs!$K$4:$AJ$4,0)))))</f>
        <v>0</v>
      </c>
      <c r="L36" s="6">
        <f>IF(ISNA(MATCH(L$2,Inputs!$K$4:$AJ$4,0)),NA(),IF(SUMPRODUCT((Inputs!$A$5:$A$110=$B36)*ISNUMBER(INDEX(Inputs!$K$5:$AJ$110,0,MATCH(L$2,Inputs!$K$4:$AJ$4,0))))+SUMPRODUCT((Inputs!$C$5:$C$110=$B36)*ISNUMBER(INDEX(Inputs!$K$5:$AJ$110,0,MATCH(L$2,Inputs!$K$4:$AJ$4,0))))+SUMPRODUCT((Inputs!$E$5:$E$110=$B36)*ISNUMBER(INDEX(Inputs!$K$5:$AJ$110,0,MATCH(L$2,Inputs!$K$4:$AJ$4,0))))=0,NA(),SUMPRODUCT((Inputs!$A$5:$A$110=$B36)*Inputs!$B$5:$B$110*(((Inputs!$G$5:$G$110="moeda")+(Inputs!$G$5:$G$110="acoes"))*Inputs!$B$1+((Inputs!$G$5:$G$110&lt;&gt;"moeda")*(Inputs!$G$5:$G$110&lt;&gt;"acoes")))*INDEX(Inputs!$K$5:$AJ$110,0,MATCH(L$2,Inputs!$K$4:$AJ$4,0)))+SUMPRODUCT((Inputs!$C$5:$C$110=$B36)*Inputs!$D$5:$D$110*(((Inputs!$G$5:$G$110="moeda")+(Inputs!$G$5:$G$110="acoes"))*Inputs!$B$1+((Inputs!$G$5:$G$110&lt;&gt;"moeda")*(Inputs!$G$5:$G$110&lt;&gt;"acoes")))*INDEX(Inputs!$K$5:$AJ$110,0,MATCH(L$2,Inputs!$K$4:$AJ$4,0)))+SUMPRODUCT((Inputs!$E$5:$E$110=$B36)*Inputs!$F$5:$F$110*(((Inputs!$G$5:$G$110="moeda")+(Inputs!$G$5:$G$110="acoes"))*Inputs!$B$1+((Inputs!$G$5:$G$110&lt;&gt;"moeda")*(Inputs!$G$5:$G$110&lt;&gt;"acoes")))*INDEX(Inputs!$K$5:$AJ$110,0,MATCH(L$2,Inputs!$K$4:$AJ$4,0)))))</f>
        <v>0</v>
      </c>
      <c r="M36" s="3">
        <f>L36</f>
        <v>0</v>
      </c>
      <c r="N36" s="6">
        <f>IF(ISNA(MATCH(N$2,Inputs!$K$4:$AJ$4,0)),NA(),IF(SUMPRODUCT((Inputs!$A$5:$A$110=$B36)*ISNUMBER(INDEX(Inputs!$K$5:$AJ$110,0,MATCH(N$2,Inputs!$K$4:$AJ$4,0))))+SUMPRODUCT((Inputs!$C$5:$C$110=$B36)*ISNUMBER(INDEX(Inputs!$K$5:$AJ$110,0,MATCH(N$2,Inputs!$K$4:$AJ$4,0))))+SUMPRODUCT((Inputs!$E$5:$E$110=$B36)*ISNUMBER(INDEX(Inputs!$K$5:$AJ$110,0,MATCH(N$2,Inputs!$K$4:$AJ$4,0))))=0,NA(),SUMPRODUCT((Inputs!$A$5:$A$110=$B36)*Inputs!$B$5:$B$110*(((Inputs!$G$5:$G$110="moeda")+(Inputs!$G$5:$G$110="acoes"))*Inputs!$B$1+((Inputs!$G$5:$G$110&lt;&gt;"moeda")*(Inputs!$G$5:$G$110&lt;&gt;"acoes")))*INDEX(Inputs!$K$5:$AJ$110,0,MATCH(N$2,Inputs!$K$4:$AJ$4,0)))+SUMPRODUCT((Inputs!$C$5:$C$110=$B36)*Inputs!$D$5:$D$110*(((Inputs!$G$5:$G$110="moeda")+(Inputs!$G$5:$G$110="acoes"))*Inputs!$B$1+((Inputs!$G$5:$G$110&lt;&gt;"moeda")*(Inputs!$G$5:$G$110&lt;&gt;"acoes")))*INDEX(Inputs!$K$5:$AJ$110,0,MATCH(N$2,Inputs!$K$4:$AJ$4,0)))+SUMPRODUCT((Inputs!$E$5:$E$110=$B36)*Inputs!$F$5:$F$110*(((Inputs!$G$5:$G$110="moeda")+(Inputs!$G$5:$G$110="acoes"))*Inputs!$B$1+((Inputs!$G$5:$G$110&lt;&gt;"moeda")*(Inputs!$G$5:$G$110&lt;&gt;"acoes")))*INDEX(Inputs!$K$5:$AJ$110,0,MATCH(N$2,Inputs!$K$4:$AJ$4,0)))))</f>
        <v>0</v>
      </c>
      <c r="O36" s="6">
        <f>IF(ISNA(MATCH(O$2,Inputs!$K$4:$AJ$4,0)),NA(),IF(SUMPRODUCT((Inputs!$A$5:$A$110=$B36)*ISNUMBER(INDEX(Inputs!$K$5:$AJ$110,0,MATCH(O$2,Inputs!$K$4:$AJ$4,0))))+SUMPRODUCT((Inputs!$C$5:$C$110=$B36)*ISNUMBER(INDEX(Inputs!$K$5:$AJ$110,0,MATCH(O$2,Inputs!$K$4:$AJ$4,0))))+SUMPRODUCT((Inputs!$E$5:$E$110=$B36)*ISNUMBER(INDEX(Inputs!$K$5:$AJ$110,0,MATCH(O$2,Inputs!$K$4:$AJ$4,0))))=0,NA(),SUMPRODUCT((Inputs!$A$5:$A$110=$B36)*Inputs!$B$5:$B$110*(((Inputs!$G$5:$G$110="moeda")+(Inputs!$G$5:$G$110="acoes"))*Inputs!$B$1+((Inputs!$G$5:$G$110&lt;&gt;"moeda")*(Inputs!$G$5:$G$110&lt;&gt;"acoes")))*INDEX(Inputs!$K$5:$AJ$110,0,MATCH(O$2,Inputs!$K$4:$AJ$4,0)))+SUMPRODUCT((Inputs!$C$5:$C$110=$B36)*Inputs!$D$5:$D$110*(((Inputs!$G$5:$G$110="moeda")+(Inputs!$G$5:$G$110="acoes"))*Inputs!$B$1+((Inputs!$G$5:$G$110&lt;&gt;"moeda")*(Inputs!$G$5:$G$110&lt;&gt;"acoes")))*INDEX(Inputs!$K$5:$AJ$110,0,MATCH(O$2,Inputs!$K$4:$AJ$4,0)))+SUMPRODUCT((Inputs!$E$5:$E$110=$B36)*Inputs!$F$5:$F$110*(((Inputs!$G$5:$G$110="moeda")+(Inputs!$G$5:$G$110="acoes"))*Inputs!$B$1+((Inputs!$G$5:$G$110&lt;&gt;"moeda")*(Inputs!$G$5:$G$110&lt;&gt;"acoes")))*INDEX(Inputs!$K$5:$AJ$110,0,MATCH(O$2,Inputs!$K$4:$AJ$4,0)))))</f>
        <v>0</v>
      </c>
      <c r="P36" s="6">
        <f>IF(ISNA(MATCH(P$2,Inputs!$K$4:$AJ$4,0)),NA(),IF(SUMPRODUCT((Inputs!$A$5:$A$110=$B36)*ISNUMBER(INDEX(Inputs!$K$5:$AJ$110,0,MATCH(P$2,Inputs!$K$4:$AJ$4,0))))+SUMPRODUCT((Inputs!$C$5:$C$110=$B36)*ISNUMBER(INDEX(Inputs!$K$5:$AJ$110,0,MATCH(P$2,Inputs!$K$4:$AJ$4,0))))+SUMPRODUCT((Inputs!$E$5:$E$110=$B36)*ISNUMBER(INDEX(Inputs!$K$5:$AJ$110,0,MATCH(P$2,Inputs!$K$4:$AJ$4,0))))=0,NA(),SUMPRODUCT((Inputs!$A$5:$A$110=$B36)*Inputs!$B$5:$B$110*(((Inputs!$G$5:$G$110="moeda")+(Inputs!$G$5:$G$110="acoes"))*Inputs!$B$1+((Inputs!$G$5:$G$110&lt;&gt;"moeda")*(Inputs!$G$5:$G$110&lt;&gt;"acoes")))*INDEX(Inputs!$K$5:$AJ$110,0,MATCH(P$2,Inputs!$K$4:$AJ$4,0)))+SUMPRODUCT((Inputs!$C$5:$C$110=$B36)*Inputs!$D$5:$D$110*(((Inputs!$G$5:$G$110="moeda")+(Inputs!$G$5:$G$110="acoes"))*Inputs!$B$1+((Inputs!$G$5:$G$110&lt;&gt;"moeda")*(Inputs!$G$5:$G$110&lt;&gt;"acoes")))*INDEX(Inputs!$K$5:$AJ$110,0,MATCH(P$2,Inputs!$K$4:$AJ$4,0)))+SUMPRODUCT((Inputs!$E$5:$E$110=$B36)*Inputs!$F$5:$F$110*(((Inputs!$G$5:$G$110="moeda")+(Inputs!$G$5:$G$110="acoes"))*Inputs!$B$1+((Inputs!$G$5:$G$110&lt;&gt;"moeda")*(Inputs!$G$5:$G$110&lt;&gt;"acoes")))*INDEX(Inputs!$K$5:$AJ$110,0,MATCH(P$2,Inputs!$K$4:$AJ$4,0)))))</f>
        <v>0</v>
      </c>
      <c r="Q36" s="6">
        <f>IF(ISNA(MATCH(Q$2,Inputs!$K$4:$AJ$4,0)),NA(),IF(SUMPRODUCT((Inputs!$A$5:$A$110=$B36)*ISNUMBER(INDEX(Inputs!$K$5:$AJ$110,0,MATCH(Q$2,Inputs!$K$4:$AJ$4,0))))+SUMPRODUCT((Inputs!$C$5:$C$110=$B36)*ISNUMBER(INDEX(Inputs!$K$5:$AJ$110,0,MATCH(Q$2,Inputs!$K$4:$AJ$4,0))))+SUMPRODUCT((Inputs!$E$5:$E$110=$B36)*ISNUMBER(INDEX(Inputs!$K$5:$AJ$110,0,MATCH(Q$2,Inputs!$K$4:$AJ$4,0))))=0,NA(),SUMPRODUCT((Inputs!$A$5:$A$110=$B36)*Inputs!$B$5:$B$110*(((Inputs!$G$5:$G$110="moeda")+(Inputs!$G$5:$G$110="acoes"))*Inputs!$B$1+((Inputs!$G$5:$G$110&lt;&gt;"moeda")*(Inputs!$G$5:$G$110&lt;&gt;"acoes")))*INDEX(Inputs!$K$5:$AJ$110,0,MATCH(Q$2,Inputs!$K$4:$AJ$4,0)))+SUMPRODUCT((Inputs!$C$5:$C$110=$B36)*Inputs!$D$5:$D$110*(((Inputs!$G$5:$G$110="moeda")+(Inputs!$G$5:$G$110="acoes"))*Inputs!$B$1+((Inputs!$G$5:$G$110&lt;&gt;"moeda")*(Inputs!$G$5:$G$110&lt;&gt;"acoes")))*INDEX(Inputs!$K$5:$AJ$110,0,MATCH(Q$2,Inputs!$K$4:$AJ$4,0)))+SUMPRODUCT((Inputs!$E$5:$E$110=$B36)*Inputs!$F$5:$F$110*(((Inputs!$G$5:$G$110="moeda")+(Inputs!$G$5:$G$110="acoes"))*Inputs!$B$1+((Inputs!$G$5:$G$110&lt;&gt;"moeda")*(Inputs!$G$5:$G$110&lt;&gt;"acoes")))*INDEX(Inputs!$K$5:$AJ$110,0,MATCH(Q$2,Inputs!$K$4:$AJ$4,0)))))</f>
        <v>0</v>
      </c>
      <c r="R36" s="3">
        <f>Q36</f>
        <v>0</v>
      </c>
      <c r="S36" s="6">
        <f>IF(ISNA(MATCH(S$2,Inputs!$K$4:$AJ$4,0)),NA(),IF(SUMPRODUCT((Inputs!$A$5:$A$110=$B36)*ISNUMBER(INDEX(Inputs!$K$5:$AJ$110,0,MATCH(S$2,Inputs!$K$4:$AJ$4,0))))+SUMPRODUCT((Inputs!$C$5:$C$110=$B36)*ISNUMBER(INDEX(Inputs!$K$5:$AJ$110,0,MATCH(S$2,Inputs!$K$4:$AJ$4,0))))+SUMPRODUCT((Inputs!$E$5:$E$110=$B36)*ISNUMBER(INDEX(Inputs!$K$5:$AJ$110,0,MATCH(S$2,Inputs!$K$4:$AJ$4,0))))=0,NA(),SUMPRODUCT((Inputs!$A$5:$A$110=$B36)*Inputs!$B$5:$B$110*(((Inputs!$G$5:$G$110="moeda")+(Inputs!$G$5:$G$110="acoes"))*Inputs!$B$1+((Inputs!$G$5:$G$110&lt;&gt;"moeda")*(Inputs!$G$5:$G$110&lt;&gt;"acoes")))*INDEX(Inputs!$K$5:$AJ$110,0,MATCH(S$2,Inputs!$K$4:$AJ$4,0)))+SUMPRODUCT((Inputs!$C$5:$C$110=$B36)*Inputs!$D$5:$D$110*(((Inputs!$G$5:$G$110="moeda")+(Inputs!$G$5:$G$110="acoes"))*Inputs!$B$1+((Inputs!$G$5:$G$110&lt;&gt;"moeda")*(Inputs!$G$5:$G$110&lt;&gt;"acoes")))*INDEX(Inputs!$K$5:$AJ$110,0,MATCH(S$2,Inputs!$K$4:$AJ$4,0)))+SUMPRODUCT((Inputs!$E$5:$E$110=$B36)*Inputs!$F$5:$F$110*(((Inputs!$G$5:$G$110="moeda")+(Inputs!$G$5:$G$110="acoes"))*Inputs!$B$1+((Inputs!$G$5:$G$110&lt;&gt;"moeda")*(Inputs!$G$5:$G$110&lt;&gt;"acoes")))*INDEX(Inputs!$K$5:$AJ$110,0,MATCH(S$2,Inputs!$K$4:$AJ$4,0)))))</f>
        <v>0</v>
      </c>
      <c r="T36" s="6">
        <f>IF(ISNA(MATCH(T$2,Inputs!$K$4:$AJ$4,0)),NA(),IF(SUMPRODUCT((Inputs!$A$5:$A$110=$B36)*ISNUMBER(INDEX(Inputs!$K$5:$AJ$110,0,MATCH(T$2,Inputs!$K$4:$AJ$4,0))))+SUMPRODUCT((Inputs!$C$5:$C$110=$B36)*ISNUMBER(INDEX(Inputs!$K$5:$AJ$110,0,MATCH(T$2,Inputs!$K$4:$AJ$4,0))))+SUMPRODUCT((Inputs!$E$5:$E$110=$B36)*ISNUMBER(INDEX(Inputs!$K$5:$AJ$110,0,MATCH(T$2,Inputs!$K$4:$AJ$4,0))))=0,NA(),SUMPRODUCT((Inputs!$A$5:$A$110=$B36)*Inputs!$B$5:$B$110*(((Inputs!$G$5:$G$110="moeda")+(Inputs!$G$5:$G$110="acoes"))*Inputs!$B$1+((Inputs!$G$5:$G$110&lt;&gt;"moeda")*(Inputs!$G$5:$G$110&lt;&gt;"acoes")))*INDEX(Inputs!$K$5:$AJ$110,0,MATCH(T$2,Inputs!$K$4:$AJ$4,0)))+SUMPRODUCT((Inputs!$C$5:$C$110=$B36)*Inputs!$D$5:$D$110*(((Inputs!$G$5:$G$110="moeda")+(Inputs!$G$5:$G$110="acoes"))*Inputs!$B$1+((Inputs!$G$5:$G$110&lt;&gt;"moeda")*(Inputs!$G$5:$G$110&lt;&gt;"acoes")))*INDEX(Inputs!$K$5:$AJ$110,0,MATCH(T$2,Inputs!$K$4:$AJ$4,0)))+SUMPRODUCT((Inputs!$E$5:$E$110=$B36)*Inputs!$F$5:$F$110*(((Inputs!$G$5:$G$110="moeda")+(Inputs!$G$5:$G$110="acoes"))*Inputs!$B$1+((Inputs!$G$5:$G$110&lt;&gt;"moeda")*(Inputs!$G$5:$G$110&lt;&gt;"acoes")))*INDEX(Inputs!$K$5:$AJ$110,0,MATCH(T$2,Inputs!$K$4:$AJ$4,0)))))</f>
        <v>0</v>
      </c>
      <c r="U36" s="6">
        <f>IF(ISNA(MATCH(U$2,Inputs!$K$4:$AJ$4,0)),NA(),IF(SUMPRODUCT((Inputs!$A$5:$A$110=$B36)*ISNUMBER(INDEX(Inputs!$K$5:$AJ$110,0,MATCH(U$2,Inputs!$K$4:$AJ$4,0))))+SUMPRODUCT((Inputs!$C$5:$C$110=$B36)*ISNUMBER(INDEX(Inputs!$K$5:$AJ$110,0,MATCH(U$2,Inputs!$K$4:$AJ$4,0))))+SUMPRODUCT((Inputs!$E$5:$E$110=$B36)*ISNUMBER(INDEX(Inputs!$K$5:$AJ$110,0,MATCH(U$2,Inputs!$K$4:$AJ$4,0))))=0,NA(),SUMPRODUCT((Inputs!$A$5:$A$110=$B36)*Inputs!$B$5:$B$110*(((Inputs!$G$5:$G$110="moeda")+(Inputs!$G$5:$G$110="acoes"))*Inputs!$B$1+((Inputs!$G$5:$G$110&lt;&gt;"moeda")*(Inputs!$G$5:$G$110&lt;&gt;"acoes")))*INDEX(Inputs!$K$5:$AJ$110,0,MATCH(U$2,Inputs!$K$4:$AJ$4,0)))+SUMPRODUCT((Inputs!$C$5:$C$110=$B36)*Inputs!$D$5:$D$110*(((Inputs!$G$5:$G$110="moeda")+(Inputs!$G$5:$G$110="acoes"))*Inputs!$B$1+((Inputs!$G$5:$G$110&lt;&gt;"moeda")*(Inputs!$G$5:$G$110&lt;&gt;"acoes")))*INDEX(Inputs!$K$5:$AJ$110,0,MATCH(U$2,Inputs!$K$4:$AJ$4,0)))+SUMPRODUCT((Inputs!$E$5:$E$110=$B36)*Inputs!$F$5:$F$110*(((Inputs!$G$5:$G$110="moeda")+(Inputs!$G$5:$G$110="acoes"))*Inputs!$B$1+((Inputs!$G$5:$G$110&lt;&gt;"moeda")*(Inputs!$G$5:$G$110&lt;&gt;"acoes")))*INDEX(Inputs!$K$5:$AJ$110,0,MATCH(U$2,Inputs!$K$4:$AJ$4,0)))))</f>
        <v>0</v>
      </c>
      <c r="V36" s="6">
        <f>IF(ISNA(MATCH(V$2,Inputs!$K$4:$AJ$4,0)),NA(),IF(SUMPRODUCT((Inputs!$A$5:$A$110=$B36)*ISNUMBER(INDEX(Inputs!$K$5:$AJ$110,0,MATCH(V$2,Inputs!$K$4:$AJ$4,0))))+SUMPRODUCT((Inputs!$C$5:$C$110=$B36)*ISNUMBER(INDEX(Inputs!$K$5:$AJ$110,0,MATCH(V$2,Inputs!$K$4:$AJ$4,0))))+SUMPRODUCT((Inputs!$E$5:$E$110=$B36)*ISNUMBER(INDEX(Inputs!$K$5:$AJ$110,0,MATCH(V$2,Inputs!$K$4:$AJ$4,0))))=0,NA(),SUMPRODUCT((Inputs!$A$5:$A$110=$B36)*Inputs!$B$5:$B$110*(((Inputs!$G$5:$G$110="moeda")+(Inputs!$G$5:$G$110="acoes"))*Inputs!$B$1+((Inputs!$G$5:$G$110&lt;&gt;"moeda")*(Inputs!$G$5:$G$110&lt;&gt;"acoes")))*INDEX(Inputs!$K$5:$AJ$110,0,MATCH(V$2,Inputs!$K$4:$AJ$4,0)))+SUMPRODUCT((Inputs!$C$5:$C$110=$B36)*Inputs!$D$5:$D$110*(((Inputs!$G$5:$G$110="moeda")+(Inputs!$G$5:$G$110="acoes"))*Inputs!$B$1+((Inputs!$G$5:$G$110&lt;&gt;"moeda")*(Inputs!$G$5:$G$110&lt;&gt;"acoes")))*INDEX(Inputs!$K$5:$AJ$110,0,MATCH(V$2,Inputs!$K$4:$AJ$4,0)))+SUMPRODUCT((Inputs!$E$5:$E$110=$B36)*Inputs!$F$5:$F$110*(((Inputs!$G$5:$G$110="moeda")+(Inputs!$G$5:$G$110="acoes"))*Inputs!$B$1+((Inputs!$G$5:$G$110&lt;&gt;"moeda")*(Inputs!$G$5:$G$110&lt;&gt;"acoes")))*INDEX(Inputs!$K$5:$AJ$110,0,MATCH(V$2,Inputs!$K$4:$AJ$4,0)))))</f>
        <v>0</v>
      </c>
      <c r="W36" s="3">
        <f>V36</f>
        <v>0</v>
      </c>
      <c r="X36" s="6">
        <f>IF(ISNA(MATCH(X$2,Inputs!$K$4:$AJ$4,0)),NA(),IF(SUMPRODUCT((Inputs!$A$5:$A$110=$B36)*ISNUMBER(INDEX(Inputs!$K$5:$AJ$110,0,MATCH(X$2,Inputs!$K$4:$AJ$4,0))))+SUMPRODUCT((Inputs!$C$5:$C$110=$B36)*ISNUMBER(INDEX(Inputs!$K$5:$AJ$110,0,MATCH(X$2,Inputs!$K$4:$AJ$4,0))))+SUMPRODUCT((Inputs!$E$5:$E$110=$B36)*ISNUMBER(INDEX(Inputs!$K$5:$AJ$110,0,MATCH(X$2,Inputs!$K$4:$AJ$4,0))))=0,NA(),SUMPRODUCT((Inputs!$A$5:$A$110=$B36)*Inputs!$B$5:$B$110*(((Inputs!$G$5:$G$110="moeda")+(Inputs!$G$5:$G$110="acoes"))*Inputs!$B$1+((Inputs!$G$5:$G$110&lt;&gt;"moeda")*(Inputs!$G$5:$G$110&lt;&gt;"acoes")))*INDEX(Inputs!$K$5:$AJ$110,0,MATCH(X$2,Inputs!$K$4:$AJ$4,0)))+SUMPRODUCT((Inputs!$C$5:$C$110=$B36)*Inputs!$D$5:$D$110*(((Inputs!$G$5:$G$110="moeda")+(Inputs!$G$5:$G$110="acoes"))*Inputs!$B$1+((Inputs!$G$5:$G$110&lt;&gt;"moeda")*(Inputs!$G$5:$G$110&lt;&gt;"acoes")))*INDEX(Inputs!$K$5:$AJ$110,0,MATCH(X$2,Inputs!$K$4:$AJ$4,0)))+SUMPRODUCT((Inputs!$E$5:$E$110=$B36)*Inputs!$F$5:$F$110*(((Inputs!$G$5:$G$110="moeda")+(Inputs!$G$5:$G$110="acoes"))*Inputs!$B$1+((Inputs!$G$5:$G$110&lt;&gt;"moeda")*(Inputs!$G$5:$G$110&lt;&gt;"acoes")))*INDEX(Inputs!$K$5:$AJ$110,0,MATCH(X$2,Inputs!$K$4:$AJ$4,0)))))</f>
        <v>0</v>
      </c>
      <c r="Y36" s="6">
        <f>IF(ISNA(MATCH(Y$2,Inputs!$K$4:$AJ$4,0)),NA(),IF(SUMPRODUCT((Inputs!$A$5:$A$110=$B36)*ISNUMBER(INDEX(Inputs!$K$5:$AJ$110,0,MATCH(Y$2,Inputs!$K$4:$AJ$4,0))))+SUMPRODUCT((Inputs!$C$5:$C$110=$B36)*ISNUMBER(INDEX(Inputs!$K$5:$AJ$110,0,MATCH(Y$2,Inputs!$K$4:$AJ$4,0))))+SUMPRODUCT((Inputs!$E$5:$E$110=$B36)*ISNUMBER(INDEX(Inputs!$K$5:$AJ$110,0,MATCH(Y$2,Inputs!$K$4:$AJ$4,0))))=0,NA(),SUMPRODUCT((Inputs!$A$5:$A$110=$B36)*Inputs!$B$5:$B$110*(((Inputs!$G$5:$G$110="moeda")+(Inputs!$G$5:$G$110="acoes"))*Inputs!$B$1+((Inputs!$G$5:$G$110&lt;&gt;"moeda")*(Inputs!$G$5:$G$110&lt;&gt;"acoes")))*INDEX(Inputs!$K$5:$AJ$110,0,MATCH(Y$2,Inputs!$K$4:$AJ$4,0)))+SUMPRODUCT((Inputs!$C$5:$C$110=$B36)*Inputs!$D$5:$D$110*(((Inputs!$G$5:$G$110="moeda")+(Inputs!$G$5:$G$110="acoes"))*Inputs!$B$1+((Inputs!$G$5:$G$110&lt;&gt;"moeda")*(Inputs!$G$5:$G$110&lt;&gt;"acoes")))*INDEX(Inputs!$K$5:$AJ$110,0,MATCH(Y$2,Inputs!$K$4:$AJ$4,0)))+SUMPRODUCT((Inputs!$E$5:$E$110=$B36)*Inputs!$F$5:$F$110*(((Inputs!$G$5:$G$110="moeda")+(Inputs!$G$5:$G$110="acoes"))*Inputs!$B$1+((Inputs!$G$5:$G$110&lt;&gt;"moeda")*(Inputs!$G$5:$G$110&lt;&gt;"acoes")))*INDEX(Inputs!$K$5:$AJ$110,0,MATCH(Y$2,Inputs!$K$4:$AJ$4,0)))))</f>
        <v>0</v>
      </c>
      <c r="Z36" s="6">
        <f>IF(ISNA(MATCH(Z$2,Inputs!$K$4:$AJ$4,0)),NA(),IF(SUMPRODUCT((Inputs!$A$5:$A$110=$B36)*ISNUMBER(INDEX(Inputs!$K$5:$AJ$110,0,MATCH(Z$2,Inputs!$K$4:$AJ$4,0))))+SUMPRODUCT((Inputs!$C$5:$C$110=$B36)*ISNUMBER(INDEX(Inputs!$K$5:$AJ$110,0,MATCH(Z$2,Inputs!$K$4:$AJ$4,0))))+SUMPRODUCT((Inputs!$E$5:$E$110=$B36)*ISNUMBER(INDEX(Inputs!$K$5:$AJ$110,0,MATCH(Z$2,Inputs!$K$4:$AJ$4,0))))=0,NA(),SUMPRODUCT((Inputs!$A$5:$A$110=$B36)*Inputs!$B$5:$B$110*(((Inputs!$G$5:$G$110="moeda")+(Inputs!$G$5:$G$110="acoes"))*Inputs!$B$1+((Inputs!$G$5:$G$110&lt;&gt;"moeda")*(Inputs!$G$5:$G$110&lt;&gt;"acoes")))*INDEX(Inputs!$K$5:$AJ$110,0,MATCH(Z$2,Inputs!$K$4:$AJ$4,0)))+SUMPRODUCT((Inputs!$C$5:$C$110=$B36)*Inputs!$D$5:$D$110*(((Inputs!$G$5:$G$110="moeda")+(Inputs!$G$5:$G$110="acoes"))*Inputs!$B$1+((Inputs!$G$5:$G$110&lt;&gt;"moeda")*(Inputs!$G$5:$G$110&lt;&gt;"acoes")))*INDEX(Inputs!$K$5:$AJ$110,0,MATCH(Z$2,Inputs!$K$4:$AJ$4,0)))+SUMPRODUCT((Inputs!$E$5:$E$110=$B36)*Inputs!$F$5:$F$110*(((Inputs!$G$5:$G$110="moeda")+(Inputs!$G$5:$G$110="acoes"))*Inputs!$B$1+((Inputs!$G$5:$G$110&lt;&gt;"moeda")*(Inputs!$G$5:$G$110&lt;&gt;"acoes")))*INDEX(Inputs!$K$5:$AJ$110,0,MATCH(Z$2,Inputs!$K$4:$AJ$4,0)))))</f>
        <v>0</v>
      </c>
      <c r="AA36" s="6">
        <f>IF(ISNA(MATCH(AA$2,Inputs!$K$4:$AJ$4,0)),NA(),IF(SUMPRODUCT((Inputs!$A$5:$A$110=$B36)*ISNUMBER(INDEX(Inputs!$K$5:$AJ$110,0,MATCH(AA$2,Inputs!$K$4:$AJ$4,0))))+SUMPRODUCT((Inputs!$C$5:$C$110=$B36)*ISNUMBER(INDEX(Inputs!$K$5:$AJ$110,0,MATCH(AA$2,Inputs!$K$4:$AJ$4,0))))+SUMPRODUCT((Inputs!$E$5:$E$110=$B36)*ISNUMBER(INDEX(Inputs!$K$5:$AJ$110,0,MATCH(AA$2,Inputs!$K$4:$AJ$4,0))))=0,NA(),SUMPRODUCT((Inputs!$A$5:$A$110=$B36)*Inputs!$B$5:$B$110*(((Inputs!$G$5:$G$110="moeda")+(Inputs!$G$5:$G$110="acoes"))*Inputs!$B$1+((Inputs!$G$5:$G$110&lt;&gt;"moeda")*(Inputs!$G$5:$G$110&lt;&gt;"acoes")))*INDEX(Inputs!$K$5:$AJ$110,0,MATCH(AA$2,Inputs!$K$4:$AJ$4,0)))+SUMPRODUCT((Inputs!$C$5:$C$110=$B36)*Inputs!$D$5:$D$110*(((Inputs!$G$5:$G$110="moeda")+(Inputs!$G$5:$G$110="acoes"))*Inputs!$B$1+((Inputs!$G$5:$G$110&lt;&gt;"moeda")*(Inputs!$G$5:$G$110&lt;&gt;"acoes")))*INDEX(Inputs!$K$5:$AJ$110,0,MATCH(AA$2,Inputs!$K$4:$AJ$4,0)))+SUMPRODUCT((Inputs!$E$5:$E$110=$B36)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6" s="3">
        <f>AA36</f>
        <v>0</v>
      </c>
      <c r="AC36" s="6">
        <f>IF(ISNA(MATCH(AC$2,Inputs!$K$4:$AJ$4,0)),NA(),IF(SUMPRODUCT((Inputs!$A$5:$A$110=$B36)*ISNUMBER(INDEX(Inputs!$K$5:$AJ$110,0,MATCH(AC$2,Inputs!$K$4:$AJ$4,0))))+SUMPRODUCT((Inputs!$C$5:$C$110=$B36)*ISNUMBER(INDEX(Inputs!$K$5:$AJ$110,0,MATCH(AC$2,Inputs!$K$4:$AJ$4,0))))+SUMPRODUCT((Inputs!$E$5:$E$110=$B36)*ISNUMBER(INDEX(Inputs!$K$5:$AJ$110,0,MATCH(AC$2,Inputs!$K$4:$AJ$4,0))))=0,NA(),SUMPRODUCT((Inputs!$A$5:$A$110=$B36)*Inputs!$B$5:$B$110*(((Inputs!$G$5:$G$110="moeda")+(Inputs!$G$5:$G$110="acoes"))*Inputs!$B$1+((Inputs!$G$5:$G$110&lt;&gt;"moeda")*(Inputs!$G$5:$G$110&lt;&gt;"acoes")))*INDEX(Inputs!$K$5:$AJ$110,0,MATCH(AC$2,Inputs!$K$4:$AJ$4,0)))+SUMPRODUCT((Inputs!$C$5:$C$110=$B36)*Inputs!$D$5:$D$110*(((Inputs!$G$5:$G$110="moeda")+(Inputs!$G$5:$G$110="acoes"))*Inputs!$B$1+((Inputs!$G$5:$G$110&lt;&gt;"moeda")*(Inputs!$G$5:$G$110&lt;&gt;"acoes")))*INDEX(Inputs!$K$5:$AJ$110,0,MATCH(AC$2,Inputs!$K$4:$AJ$4,0)))+SUMPRODUCT((Inputs!$E$5:$E$110=$B36)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6" s="6">
        <f>IF(ISNA(MATCH(AD$2,Inputs!$K$4:$AJ$4,0)),NA(),IF(SUMPRODUCT((Inputs!$A$5:$A$110=$B36)*ISNUMBER(INDEX(Inputs!$K$5:$AJ$110,0,MATCH(AD$2,Inputs!$K$4:$AJ$4,0))))+SUMPRODUCT((Inputs!$C$5:$C$110=$B36)*ISNUMBER(INDEX(Inputs!$K$5:$AJ$110,0,MATCH(AD$2,Inputs!$K$4:$AJ$4,0))))+SUMPRODUCT((Inputs!$E$5:$E$110=$B36)*ISNUMBER(INDEX(Inputs!$K$5:$AJ$110,0,MATCH(AD$2,Inputs!$K$4:$AJ$4,0))))=0,NA(),SUMPRODUCT((Inputs!$A$5:$A$110=$B36)*Inputs!$B$5:$B$110*(((Inputs!$G$5:$G$110="moeda")+(Inputs!$G$5:$G$110="acoes"))*Inputs!$B$1+((Inputs!$G$5:$G$110&lt;&gt;"moeda")*(Inputs!$G$5:$G$110&lt;&gt;"acoes")))*INDEX(Inputs!$K$5:$AJ$110,0,MATCH(AD$2,Inputs!$K$4:$AJ$4,0)))+SUMPRODUCT((Inputs!$C$5:$C$110=$B36)*Inputs!$D$5:$D$110*(((Inputs!$G$5:$G$110="moeda")+(Inputs!$G$5:$G$110="acoes"))*Inputs!$B$1+((Inputs!$G$5:$G$110&lt;&gt;"moeda")*(Inputs!$G$5:$G$110&lt;&gt;"acoes")))*INDEX(Inputs!$K$5:$AJ$110,0,MATCH(AD$2,Inputs!$K$4:$AJ$4,0)))+SUMPRODUCT((Inputs!$E$5:$E$110=$B36)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6" s="6" t="e">
        <f>IF(ISNA(MATCH(AE$2,Inputs!$K$4:$AJ$4,0)),NA(),IF(SUMPRODUCT((Inputs!$A$5:$A$110=$B36)*ISNUMBER(INDEX(Inputs!$K$5:$AJ$110,0,MATCH(AE$2,Inputs!$K$4:$AJ$4,0))))+SUMPRODUCT((Inputs!$C$5:$C$110=$B36)*ISNUMBER(INDEX(Inputs!$K$5:$AJ$110,0,MATCH(AE$2,Inputs!$K$4:$AJ$4,0))))+SUMPRODUCT((Inputs!$E$5:$E$110=$B36)*ISNUMBER(INDEX(Inputs!$K$5:$AJ$110,0,MATCH(AE$2,Inputs!$K$4:$AJ$4,0))))=0,NA(),SUMPRODUCT((Inputs!$A$5:$A$110=$B36)*Inputs!$B$5:$B$110*(((Inputs!$G$5:$G$110="moeda")+(Inputs!$G$5:$G$110="acoes"))*Inputs!$B$1+((Inputs!$G$5:$G$110&lt;&gt;"moeda")*(Inputs!$G$5:$G$110&lt;&gt;"acoes")))*INDEX(Inputs!$K$5:$AJ$110,0,MATCH(AE$2,Inputs!$K$4:$AJ$4,0)))+SUMPRODUCT((Inputs!$C$5:$C$110=$B36)*Inputs!$D$5:$D$110*(((Inputs!$G$5:$G$110="moeda")+(Inputs!$G$5:$G$110="acoes"))*Inputs!$B$1+((Inputs!$G$5:$G$110&lt;&gt;"moeda")*(Inputs!$G$5:$G$110&lt;&gt;"acoes")))*INDEX(Inputs!$K$5:$AJ$110,0,MATCH(AE$2,Inputs!$K$4:$AJ$4,0)))+SUMPRODUCT((Inputs!$E$5:$E$110=$B36)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6" s="6" t="e">
        <f>IF(ISNA(MATCH(AF$2,Inputs!$K$4:$AJ$4,0)),NA(),IF(SUMPRODUCT((Inputs!$A$5:$A$110=$B36)*ISNUMBER(INDEX(Inputs!$K$5:$AJ$110,0,MATCH(AF$2,Inputs!$K$4:$AJ$4,0))))+SUMPRODUCT((Inputs!$C$5:$C$110=$B36)*ISNUMBER(INDEX(Inputs!$K$5:$AJ$110,0,MATCH(AF$2,Inputs!$K$4:$AJ$4,0))))+SUMPRODUCT((Inputs!$E$5:$E$110=$B36)*ISNUMBER(INDEX(Inputs!$K$5:$AJ$110,0,MATCH(AF$2,Inputs!$K$4:$AJ$4,0))))=0,NA(),SUMPRODUCT((Inputs!$A$5:$A$110=$B36)*Inputs!$B$5:$B$110*(((Inputs!$G$5:$G$110="moeda")+(Inputs!$G$5:$G$110="acoes"))*Inputs!$B$1+((Inputs!$G$5:$G$110&lt;&gt;"moeda")*(Inputs!$G$5:$G$110&lt;&gt;"acoes")))*INDEX(Inputs!$K$5:$AJ$110,0,MATCH(AF$2,Inputs!$K$4:$AJ$4,0)))+SUMPRODUCT((Inputs!$C$5:$C$110=$B36)*Inputs!$D$5:$D$110*(((Inputs!$G$5:$G$110="moeda")+(Inputs!$G$5:$G$110="acoes"))*Inputs!$B$1+((Inputs!$G$5:$G$110&lt;&gt;"moeda")*(Inputs!$G$5:$G$110&lt;&gt;"acoes")))*INDEX(Inputs!$K$5:$AJ$110,0,MATCH(AF$2,Inputs!$K$4:$AJ$4,0)))+SUMPRODUCT((Inputs!$E$5:$E$110=$B36)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6" s="3" t="e">
        <f>AF36</f>
        <v>#N/A</v>
      </c>
      <c r="AH36" s="6">
        <f>IF(ISNA(MATCH(AH$2,Inputs!$K$4:$AJ$4,0)),NA(),IF(SUMPRODUCT((Inputs!$A$5:$A$110=$B36)*ISNUMBER(INDEX(Inputs!$K$5:$AJ$110,0,MATCH(AH$2,Inputs!$K$4:$AJ$4,0))))+SUMPRODUCT((Inputs!$C$5:$C$110=$B36)*ISNUMBER(INDEX(Inputs!$K$5:$AJ$110,0,MATCH(AH$2,Inputs!$K$4:$AJ$4,0))))+SUMPRODUCT((Inputs!$E$5:$E$110=$B36)*ISNUMBER(INDEX(Inputs!$K$5:$AJ$110,0,MATCH(AH$2,Inputs!$K$4:$AJ$4,0))))=0,NA(),SUMPRODUCT((Inputs!$A$5:$A$110=$B36)*Inputs!$B$5:$B$110*(((Inputs!$G$5:$G$110="moeda")+(Inputs!$G$5:$G$110="acoes"))*Inputs!$B$1+((Inputs!$G$5:$G$110&lt;&gt;"moeda")*(Inputs!$G$5:$G$110&lt;&gt;"acoes")))*INDEX(Inputs!$K$5:$AJ$110,0,MATCH(AH$2,Inputs!$K$4:$AJ$4,0)))+SUMPRODUCT((Inputs!$C$5:$C$110=$B36)*Inputs!$D$5:$D$110*(((Inputs!$G$5:$G$110="moeda")+(Inputs!$G$5:$G$110="acoes"))*Inputs!$B$1+((Inputs!$G$5:$G$110&lt;&gt;"moeda")*(Inputs!$G$5:$G$110&lt;&gt;"acoes")))*INDEX(Inputs!$K$5:$AJ$110,0,MATCH(AH$2,Inputs!$K$4:$AJ$4,0)))+SUMPRODUCT((Inputs!$E$5:$E$110=$B36)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6" s="6">
        <f>IF(ISNA(MATCH(AI$2,Inputs!$K$4:$AJ$4,0)),NA(),IF(SUMPRODUCT((Inputs!$A$5:$A$110=$B36)*ISNUMBER(INDEX(Inputs!$K$5:$AJ$110,0,MATCH(AI$2,Inputs!$K$4:$AJ$4,0))))+SUMPRODUCT((Inputs!$C$5:$C$110=$B36)*ISNUMBER(INDEX(Inputs!$K$5:$AJ$110,0,MATCH(AI$2,Inputs!$K$4:$AJ$4,0))))+SUMPRODUCT((Inputs!$E$5:$E$110=$B36)*ISNUMBER(INDEX(Inputs!$K$5:$AJ$110,0,MATCH(AI$2,Inputs!$K$4:$AJ$4,0))))=0,NA(),SUMPRODUCT((Inputs!$A$5:$A$110=$B36)*Inputs!$B$5:$B$110*(((Inputs!$G$5:$G$110="moeda")+(Inputs!$G$5:$G$110="acoes"))*Inputs!$B$1+((Inputs!$G$5:$G$110&lt;&gt;"moeda")*(Inputs!$G$5:$G$110&lt;&gt;"acoes")))*INDEX(Inputs!$K$5:$AJ$110,0,MATCH(AI$2,Inputs!$K$4:$AJ$4,0)))+SUMPRODUCT((Inputs!$C$5:$C$110=$B36)*Inputs!$D$5:$D$110*(((Inputs!$G$5:$G$110="moeda")+(Inputs!$G$5:$G$110="acoes"))*Inputs!$B$1+((Inputs!$G$5:$G$110&lt;&gt;"moeda")*(Inputs!$G$5:$G$110&lt;&gt;"acoes")))*INDEX(Inputs!$K$5:$AJ$110,0,MATCH(AI$2,Inputs!$K$4:$AJ$4,0)))+SUMPRODUCT((Inputs!$E$5:$E$110=$B36)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6" s="6">
        <f>IF(ISNA(MATCH(AJ$2,Inputs!$K$4:$AJ$4,0)),NA(),IF(SUMPRODUCT((Inputs!$A$5:$A$110=$B36)*ISNUMBER(INDEX(Inputs!$K$5:$AJ$110,0,MATCH(AJ$2,Inputs!$K$4:$AJ$4,0))))+SUMPRODUCT((Inputs!$C$5:$C$110=$B36)*ISNUMBER(INDEX(Inputs!$K$5:$AJ$110,0,MATCH(AJ$2,Inputs!$K$4:$AJ$4,0))))+SUMPRODUCT((Inputs!$E$5:$E$110=$B36)*ISNUMBER(INDEX(Inputs!$K$5:$AJ$110,0,MATCH(AJ$2,Inputs!$K$4:$AJ$4,0))))=0,NA(),SUMPRODUCT((Inputs!$A$5:$A$110=$B36)*Inputs!$B$5:$B$110*(((Inputs!$G$5:$G$110="moeda")+(Inputs!$G$5:$G$110="acoes"))*Inputs!$B$1+((Inputs!$G$5:$G$110&lt;&gt;"moeda")*(Inputs!$G$5:$G$110&lt;&gt;"acoes")))*INDEX(Inputs!$K$5:$AJ$110,0,MATCH(AJ$2,Inputs!$K$4:$AJ$4,0)))+SUMPRODUCT((Inputs!$C$5:$C$110=$B36)*Inputs!$D$5:$D$110*(((Inputs!$G$5:$G$110="moeda")+(Inputs!$G$5:$G$110="acoes"))*Inputs!$B$1+((Inputs!$G$5:$G$110&lt;&gt;"moeda")*(Inputs!$G$5:$G$110&lt;&gt;"acoes")))*INDEX(Inputs!$K$5:$AJ$110,0,MATCH(AJ$2,Inputs!$K$4:$AJ$4,0)))+SUMPRODUCT((Inputs!$E$5:$E$110=$B36)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6" s="6">
        <f>IF(ISNA(MATCH(AK$2,Inputs!$K$4:$AJ$4,0)),NA(),IF(SUMPRODUCT((Inputs!$A$5:$A$110=$B36)*ISNUMBER(INDEX(Inputs!$K$5:$AJ$110,0,MATCH(AK$2,Inputs!$K$4:$AJ$4,0))))+SUMPRODUCT((Inputs!$C$5:$C$110=$B36)*ISNUMBER(INDEX(Inputs!$K$5:$AJ$110,0,MATCH(AK$2,Inputs!$K$4:$AJ$4,0))))+SUMPRODUCT((Inputs!$E$5:$E$110=$B36)*ISNUMBER(INDEX(Inputs!$K$5:$AJ$110,0,MATCH(AK$2,Inputs!$K$4:$AJ$4,0))))=0,NA(),SUMPRODUCT((Inputs!$A$5:$A$110=$B36)*Inputs!$B$5:$B$110*(((Inputs!$G$5:$G$110="moeda")+(Inputs!$G$5:$G$110="acoes"))*Inputs!$B$1+((Inputs!$G$5:$G$110&lt;&gt;"moeda")*(Inputs!$G$5:$G$110&lt;&gt;"acoes")))*INDEX(Inputs!$K$5:$AJ$110,0,MATCH(AK$2,Inputs!$K$4:$AJ$4,0)))+SUMPRODUCT((Inputs!$C$5:$C$110=$B36)*Inputs!$D$5:$D$110*(((Inputs!$G$5:$G$110="moeda")+(Inputs!$G$5:$G$110="acoes"))*Inputs!$B$1+((Inputs!$G$5:$G$110&lt;&gt;"moeda")*(Inputs!$G$5:$G$110&lt;&gt;"acoes")))*INDEX(Inputs!$K$5:$AJ$110,0,MATCH(AK$2,Inputs!$K$4:$AJ$4,0)))+SUMPRODUCT((Inputs!$E$5:$E$110=$B36)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6" s="3">
        <f>AK36</f>
        <v>0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$110=$B37)*ISNUMBER(INDEX(Inputs!$K$5:$AJ$110,0,MATCH(D$2,Inputs!$K$4:$AJ$4,0))))+SUMPRODUCT((Inputs!$C$5:$C$110=$B37)*ISNUMBER(INDEX(Inputs!$K$5:$AJ$110,0,MATCH(D$2,Inputs!$K$4:$AJ$4,0))))+SUMPRODUCT((Inputs!$E$5:$E$110=$B37)*ISNUMBER(INDEX(Inputs!$K$5:$AJ$110,0,MATCH(D$2,Inputs!$K$4:$AJ$4,0))))=0,NA(),SUMPRODUCT((Inputs!$A$5:$A$110=$B37)*Inputs!$B$5:$B$110*(((Inputs!$G$5:$G$110="moeda")+(Inputs!$G$5:$G$110="acoes"))*Inputs!$B$1+((Inputs!$G$5:$G$110&lt;&gt;"moeda")*(Inputs!$G$5:$G$110&lt;&gt;"acoes")))*INDEX(Inputs!$K$5:$AJ$110,0,MATCH(D$2,Inputs!$K$4:$AJ$4,0)))+SUMPRODUCT((Inputs!$C$5:$C$110=$B37)*Inputs!$D$5:$D$110*(((Inputs!$G$5:$G$110="moeda")+(Inputs!$G$5:$G$110="acoes"))*Inputs!$B$1+((Inputs!$G$5:$G$110&lt;&gt;"moeda")*(Inputs!$G$5:$G$110&lt;&gt;"acoes")))*INDEX(Inputs!$K$5:$AJ$110,0,MATCH(D$2,Inputs!$K$4:$AJ$4,0)))+SUMPRODUCT((Inputs!$E$5:$E$110=$B37)*Inputs!$F$5:$F$110*(((Inputs!$G$5:$G$110="moeda")+(Inputs!$G$5:$G$110="acoes"))*Inputs!$B$1+((Inputs!$G$5:$G$110&lt;&gt;"moeda")*(Inputs!$G$5:$G$110&lt;&gt;"acoes")))*INDEX(Inputs!$K$5:$AJ$110,0,MATCH(D$2,Inputs!$K$4:$AJ$4,0)))))</f>
        <v>0</v>
      </c>
      <c r="E37" s="6">
        <f>IF(ISNA(MATCH(E$2,Inputs!$K$4:$AJ$4,0)),NA(),IF(SUMPRODUCT((Inputs!$A$5:$A$110=$B37)*ISNUMBER(INDEX(Inputs!$K$5:$AJ$110,0,MATCH(E$2,Inputs!$K$4:$AJ$4,0))))+SUMPRODUCT((Inputs!$C$5:$C$110=$B37)*ISNUMBER(INDEX(Inputs!$K$5:$AJ$110,0,MATCH(E$2,Inputs!$K$4:$AJ$4,0))))+SUMPRODUCT((Inputs!$E$5:$E$110=$B37)*ISNUMBER(INDEX(Inputs!$K$5:$AJ$110,0,MATCH(E$2,Inputs!$K$4:$AJ$4,0))))=0,NA(),SUMPRODUCT((Inputs!$A$5:$A$110=$B37)*Inputs!$B$5:$B$110*(((Inputs!$G$5:$G$110="moeda")+(Inputs!$G$5:$G$110="acoes"))*Inputs!$B$1+((Inputs!$G$5:$G$110&lt;&gt;"moeda")*(Inputs!$G$5:$G$110&lt;&gt;"acoes")))*INDEX(Inputs!$K$5:$AJ$110,0,MATCH(E$2,Inputs!$K$4:$AJ$4,0)))+SUMPRODUCT((Inputs!$C$5:$C$110=$B37)*Inputs!$D$5:$D$110*(((Inputs!$G$5:$G$110="moeda")+(Inputs!$G$5:$G$110="acoes"))*Inputs!$B$1+((Inputs!$G$5:$G$110&lt;&gt;"moeda")*(Inputs!$G$5:$G$110&lt;&gt;"acoes")))*INDEX(Inputs!$K$5:$AJ$110,0,MATCH(E$2,Inputs!$K$4:$AJ$4,0)))+SUMPRODUCT((Inputs!$E$5:$E$110=$B37)*Inputs!$F$5:$F$110*(((Inputs!$G$5:$G$110="moeda")+(Inputs!$G$5:$G$110="acoes"))*Inputs!$B$1+((Inputs!$G$5:$G$110&lt;&gt;"moeda")*(Inputs!$G$5:$G$110&lt;&gt;"acoes")))*INDEX(Inputs!$K$5:$AJ$110,0,MATCH(E$2,Inputs!$K$4:$AJ$4,0)))))</f>
        <v>0</v>
      </c>
      <c r="F37" s="6">
        <f>IF(ISNA(MATCH(F$2,Inputs!$K$4:$AJ$4,0)),NA(),IF(SUMPRODUCT((Inputs!$A$5:$A$110=$B37)*ISNUMBER(INDEX(Inputs!$K$5:$AJ$110,0,MATCH(F$2,Inputs!$K$4:$AJ$4,0))))+SUMPRODUCT((Inputs!$C$5:$C$110=$B37)*ISNUMBER(INDEX(Inputs!$K$5:$AJ$110,0,MATCH(F$2,Inputs!$K$4:$AJ$4,0))))+SUMPRODUCT((Inputs!$E$5:$E$110=$B37)*ISNUMBER(INDEX(Inputs!$K$5:$AJ$110,0,MATCH(F$2,Inputs!$K$4:$AJ$4,0))))=0,NA(),SUMPRODUCT((Inputs!$A$5:$A$110=$B37)*Inputs!$B$5:$B$110*(((Inputs!$G$5:$G$110="moeda")+(Inputs!$G$5:$G$110="acoes"))*Inputs!$B$1+((Inputs!$G$5:$G$110&lt;&gt;"moeda")*(Inputs!$G$5:$G$110&lt;&gt;"acoes")))*INDEX(Inputs!$K$5:$AJ$110,0,MATCH(F$2,Inputs!$K$4:$AJ$4,0)))+SUMPRODUCT((Inputs!$C$5:$C$110=$B37)*Inputs!$D$5:$D$110*(((Inputs!$G$5:$G$110="moeda")+(Inputs!$G$5:$G$110="acoes"))*Inputs!$B$1+((Inputs!$G$5:$G$110&lt;&gt;"moeda")*(Inputs!$G$5:$G$110&lt;&gt;"acoes")))*INDEX(Inputs!$K$5:$AJ$110,0,MATCH(F$2,Inputs!$K$4:$AJ$4,0)))+SUMPRODUCT((Inputs!$E$5:$E$110=$B37)*Inputs!$F$5:$F$110*(((Inputs!$G$5:$G$110="moeda")+(Inputs!$G$5:$G$110="acoes"))*Inputs!$B$1+((Inputs!$G$5:$G$110&lt;&gt;"moeda")*(Inputs!$G$5:$G$110&lt;&gt;"acoes")))*INDEX(Inputs!$K$5:$AJ$110,0,MATCH(F$2,Inputs!$K$4:$AJ$4,0)))))</f>
        <v>0</v>
      </c>
      <c r="G37" s="6">
        <f>IF(ISNA(MATCH(G$2,Inputs!$K$4:$AJ$4,0)),NA(),IF(SUMPRODUCT((Inputs!$A$5:$A$110=$B37)*ISNUMBER(INDEX(Inputs!$K$5:$AJ$110,0,MATCH(G$2,Inputs!$K$4:$AJ$4,0))))+SUMPRODUCT((Inputs!$C$5:$C$110=$B37)*ISNUMBER(INDEX(Inputs!$K$5:$AJ$110,0,MATCH(G$2,Inputs!$K$4:$AJ$4,0))))+SUMPRODUCT((Inputs!$E$5:$E$110=$B37)*ISNUMBER(INDEX(Inputs!$K$5:$AJ$110,0,MATCH(G$2,Inputs!$K$4:$AJ$4,0))))=0,NA(),SUMPRODUCT((Inputs!$A$5:$A$110=$B37)*Inputs!$B$5:$B$110*(((Inputs!$G$5:$G$110="moeda")+(Inputs!$G$5:$G$110="acoes"))*Inputs!$B$1+((Inputs!$G$5:$G$110&lt;&gt;"moeda")*(Inputs!$G$5:$G$110&lt;&gt;"acoes")))*INDEX(Inputs!$K$5:$AJ$110,0,MATCH(G$2,Inputs!$K$4:$AJ$4,0)))+SUMPRODUCT((Inputs!$C$5:$C$110=$B37)*Inputs!$D$5:$D$110*(((Inputs!$G$5:$G$110="moeda")+(Inputs!$G$5:$G$110="acoes"))*Inputs!$B$1+((Inputs!$G$5:$G$110&lt;&gt;"moeda")*(Inputs!$G$5:$G$110&lt;&gt;"acoes")))*INDEX(Inputs!$K$5:$AJ$110,0,MATCH(G$2,Inputs!$K$4:$AJ$4,0)))+SUMPRODUCT((Inputs!$E$5:$E$110=$B37)*Inputs!$F$5:$F$110*(((Inputs!$G$5:$G$110="moeda")+(Inputs!$G$5:$G$110="acoes"))*Inputs!$B$1+((Inputs!$G$5:$G$110&lt;&gt;"moeda")*(Inputs!$G$5:$G$110&lt;&gt;"acoes")))*INDEX(Inputs!$K$5:$AJ$110,0,MATCH(G$2,Inputs!$K$4:$AJ$4,0)))))</f>
        <v>0</v>
      </c>
      <c r="H37" s="3">
        <f>G37</f>
        <v>0</v>
      </c>
      <c r="I37" s="6">
        <f>IF(ISNA(MATCH(I$2,Inputs!$K$4:$AJ$4,0)),NA(),IF(SUMPRODUCT((Inputs!$A$5:$A$110=$B37)*ISNUMBER(INDEX(Inputs!$K$5:$AJ$110,0,MATCH(I$2,Inputs!$K$4:$AJ$4,0))))+SUMPRODUCT((Inputs!$C$5:$C$110=$B37)*ISNUMBER(INDEX(Inputs!$K$5:$AJ$110,0,MATCH(I$2,Inputs!$K$4:$AJ$4,0))))+SUMPRODUCT((Inputs!$E$5:$E$110=$B37)*ISNUMBER(INDEX(Inputs!$K$5:$AJ$110,0,MATCH(I$2,Inputs!$K$4:$AJ$4,0))))=0,NA(),SUMPRODUCT((Inputs!$A$5:$A$110=$B37)*Inputs!$B$5:$B$110*(((Inputs!$G$5:$G$110="moeda")+(Inputs!$G$5:$G$110="acoes"))*Inputs!$B$1+((Inputs!$G$5:$G$110&lt;&gt;"moeda")*(Inputs!$G$5:$G$110&lt;&gt;"acoes")))*INDEX(Inputs!$K$5:$AJ$110,0,MATCH(I$2,Inputs!$K$4:$AJ$4,0)))+SUMPRODUCT((Inputs!$C$5:$C$110=$B37)*Inputs!$D$5:$D$110*(((Inputs!$G$5:$G$110="moeda")+(Inputs!$G$5:$G$110="acoes"))*Inputs!$B$1+((Inputs!$G$5:$G$110&lt;&gt;"moeda")*(Inputs!$G$5:$G$110&lt;&gt;"acoes")))*INDEX(Inputs!$K$5:$AJ$110,0,MATCH(I$2,Inputs!$K$4:$AJ$4,0)))+SUMPRODUCT((Inputs!$E$5:$E$110=$B37)*Inputs!$F$5:$F$110*(((Inputs!$G$5:$G$110="moeda")+(Inputs!$G$5:$G$110="acoes"))*Inputs!$B$1+((Inputs!$G$5:$G$110&lt;&gt;"moeda")*(Inputs!$G$5:$G$110&lt;&gt;"acoes")))*INDEX(Inputs!$K$5:$AJ$110,0,MATCH(I$2,Inputs!$K$4:$AJ$4,0)))))</f>
        <v>0</v>
      </c>
      <c r="J37" s="6">
        <f>IF(ISNA(MATCH(J$2,Inputs!$K$4:$AJ$4,0)),NA(),IF(SUMPRODUCT((Inputs!$A$5:$A$110=$B37)*ISNUMBER(INDEX(Inputs!$K$5:$AJ$110,0,MATCH(J$2,Inputs!$K$4:$AJ$4,0))))+SUMPRODUCT((Inputs!$C$5:$C$110=$B37)*ISNUMBER(INDEX(Inputs!$K$5:$AJ$110,0,MATCH(J$2,Inputs!$K$4:$AJ$4,0))))+SUMPRODUCT((Inputs!$E$5:$E$110=$B37)*ISNUMBER(INDEX(Inputs!$K$5:$AJ$110,0,MATCH(J$2,Inputs!$K$4:$AJ$4,0))))=0,NA(),SUMPRODUCT((Inputs!$A$5:$A$110=$B37)*Inputs!$B$5:$B$110*(((Inputs!$G$5:$G$110="moeda")+(Inputs!$G$5:$G$110="acoes"))*Inputs!$B$1+((Inputs!$G$5:$G$110&lt;&gt;"moeda")*(Inputs!$G$5:$G$110&lt;&gt;"acoes")))*INDEX(Inputs!$K$5:$AJ$110,0,MATCH(J$2,Inputs!$K$4:$AJ$4,0)))+SUMPRODUCT((Inputs!$C$5:$C$110=$B37)*Inputs!$D$5:$D$110*(((Inputs!$G$5:$G$110="moeda")+(Inputs!$G$5:$G$110="acoes"))*Inputs!$B$1+((Inputs!$G$5:$G$110&lt;&gt;"moeda")*(Inputs!$G$5:$G$110&lt;&gt;"acoes")))*INDEX(Inputs!$K$5:$AJ$110,0,MATCH(J$2,Inputs!$K$4:$AJ$4,0)))+SUMPRODUCT((Inputs!$E$5:$E$110=$B37)*Inputs!$F$5:$F$110*(((Inputs!$G$5:$G$110="moeda")+(Inputs!$G$5:$G$110="acoes"))*Inputs!$B$1+((Inputs!$G$5:$G$110&lt;&gt;"moeda")*(Inputs!$G$5:$G$110&lt;&gt;"acoes")))*INDEX(Inputs!$K$5:$AJ$110,0,MATCH(J$2,Inputs!$K$4:$AJ$4,0)))))</f>
        <v>0</v>
      </c>
      <c r="K37" s="6">
        <f>IF(ISNA(MATCH(K$2,Inputs!$K$4:$AJ$4,0)),NA(),IF(SUMPRODUCT((Inputs!$A$5:$A$110=$B37)*ISNUMBER(INDEX(Inputs!$K$5:$AJ$110,0,MATCH(K$2,Inputs!$K$4:$AJ$4,0))))+SUMPRODUCT((Inputs!$C$5:$C$110=$B37)*ISNUMBER(INDEX(Inputs!$K$5:$AJ$110,0,MATCH(K$2,Inputs!$K$4:$AJ$4,0))))+SUMPRODUCT((Inputs!$E$5:$E$110=$B37)*ISNUMBER(INDEX(Inputs!$K$5:$AJ$110,0,MATCH(K$2,Inputs!$K$4:$AJ$4,0))))=0,NA(),SUMPRODUCT((Inputs!$A$5:$A$110=$B37)*Inputs!$B$5:$B$110*(((Inputs!$G$5:$G$110="moeda")+(Inputs!$G$5:$G$110="acoes"))*Inputs!$B$1+((Inputs!$G$5:$G$110&lt;&gt;"moeda")*(Inputs!$G$5:$G$110&lt;&gt;"acoes")))*INDEX(Inputs!$K$5:$AJ$110,0,MATCH(K$2,Inputs!$K$4:$AJ$4,0)))+SUMPRODUCT((Inputs!$C$5:$C$110=$B37)*Inputs!$D$5:$D$110*(((Inputs!$G$5:$G$110="moeda")+(Inputs!$G$5:$G$110="acoes"))*Inputs!$B$1+((Inputs!$G$5:$G$110&lt;&gt;"moeda")*(Inputs!$G$5:$G$110&lt;&gt;"acoes")))*INDEX(Inputs!$K$5:$AJ$110,0,MATCH(K$2,Inputs!$K$4:$AJ$4,0)))+SUMPRODUCT((Inputs!$E$5:$E$110=$B37)*Inputs!$F$5:$F$110*(((Inputs!$G$5:$G$110="moeda")+(Inputs!$G$5:$G$110="acoes"))*Inputs!$B$1+((Inputs!$G$5:$G$110&lt;&gt;"moeda")*(Inputs!$G$5:$G$110&lt;&gt;"acoes")))*INDEX(Inputs!$K$5:$AJ$110,0,MATCH(K$2,Inputs!$K$4:$AJ$4,0)))))</f>
        <v>0</v>
      </c>
      <c r="L37" s="6">
        <f>IF(ISNA(MATCH(L$2,Inputs!$K$4:$AJ$4,0)),NA(),IF(SUMPRODUCT((Inputs!$A$5:$A$110=$B37)*ISNUMBER(INDEX(Inputs!$K$5:$AJ$110,0,MATCH(L$2,Inputs!$K$4:$AJ$4,0))))+SUMPRODUCT((Inputs!$C$5:$C$110=$B37)*ISNUMBER(INDEX(Inputs!$K$5:$AJ$110,0,MATCH(L$2,Inputs!$K$4:$AJ$4,0))))+SUMPRODUCT((Inputs!$E$5:$E$110=$B37)*ISNUMBER(INDEX(Inputs!$K$5:$AJ$110,0,MATCH(L$2,Inputs!$K$4:$AJ$4,0))))=0,NA(),SUMPRODUCT((Inputs!$A$5:$A$110=$B37)*Inputs!$B$5:$B$110*(((Inputs!$G$5:$G$110="moeda")+(Inputs!$G$5:$G$110="acoes"))*Inputs!$B$1+((Inputs!$G$5:$G$110&lt;&gt;"moeda")*(Inputs!$G$5:$G$110&lt;&gt;"acoes")))*INDEX(Inputs!$K$5:$AJ$110,0,MATCH(L$2,Inputs!$K$4:$AJ$4,0)))+SUMPRODUCT((Inputs!$C$5:$C$110=$B37)*Inputs!$D$5:$D$110*(((Inputs!$G$5:$G$110="moeda")+(Inputs!$G$5:$G$110="acoes"))*Inputs!$B$1+((Inputs!$G$5:$G$110&lt;&gt;"moeda")*(Inputs!$G$5:$G$110&lt;&gt;"acoes")))*INDEX(Inputs!$K$5:$AJ$110,0,MATCH(L$2,Inputs!$K$4:$AJ$4,0)))+SUMPRODUCT((Inputs!$E$5:$E$110=$B37)*Inputs!$F$5:$F$110*(((Inputs!$G$5:$G$110="moeda")+(Inputs!$G$5:$G$110="acoes"))*Inputs!$B$1+((Inputs!$G$5:$G$110&lt;&gt;"moeda")*(Inputs!$G$5:$G$110&lt;&gt;"acoes")))*INDEX(Inputs!$K$5:$AJ$110,0,MATCH(L$2,Inputs!$K$4:$AJ$4,0)))))</f>
        <v>0</v>
      </c>
      <c r="M37" s="3">
        <f>L37</f>
        <v>0</v>
      </c>
      <c r="N37" s="6">
        <f>IF(ISNA(MATCH(N$2,Inputs!$K$4:$AJ$4,0)),NA(),IF(SUMPRODUCT((Inputs!$A$5:$A$110=$B37)*ISNUMBER(INDEX(Inputs!$K$5:$AJ$110,0,MATCH(N$2,Inputs!$K$4:$AJ$4,0))))+SUMPRODUCT((Inputs!$C$5:$C$110=$B37)*ISNUMBER(INDEX(Inputs!$K$5:$AJ$110,0,MATCH(N$2,Inputs!$K$4:$AJ$4,0))))+SUMPRODUCT((Inputs!$E$5:$E$110=$B37)*ISNUMBER(INDEX(Inputs!$K$5:$AJ$110,0,MATCH(N$2,Inputs!$K$4:$AJ$4,0))))=0,NA(),SUMPRODUCT((Inputs!$A$5:$A$110=$B37)*Inputs!$B$5:$B$110*(((Inputs!$G$5:$G$110="moeda")+(Inputs!$G$5:$G$110="acoes"))*Inputs!$B$1+((Inputs!$G$5:$G$110&lt;&gt;"moeda")*(Inputs!$G$5:$G$110&lt;&gt;"acoes")))*INDEX(Inputs!$K$5:$AJ$110,0,MATCH(N$2,Inputs!$K$4:$AJ$4,0)))+SUMPRODUCT((Inputs!$C$5:$C$110=$B37)*Inputs!$D$5:$D$110*(((Inputs!$G$5:$G$110="moeda")+(Inputs!$G$5:$G$110="acoes"))*Inputs!$B$1+((Inputs!$G$5:$G$110&lt;&gt;"moeda")*(Inputs!$G$5:$G$110&lt;&gt;"acoes")))*INDEX(Inputs!$K$5:$AJ$110,0,MATCH(N$2,Inputs!$K$4:$AJ$4,0)))+SUMPRODUCT((Inputs!$E$5:$E$110=$B37)*Inputs!$F$5:$F$110*(((Inputs!$G$5:$G$110="moeda")+(Inputs!$G$5:$G$110="acoes"))*Inputs!$B$1+((Inputs!$G$5:$G$110&lt;&gt;"moeda")*(Inputs!$G$5:$G$110&lt;&gt;"acoes")))*INDEX(Inputs!$K$5:$AJ$110,0,MATCH(N$2,Inputs!$K$4:$AJ$4,0)))))</f>
        <v>0</v>
      </c>
      <c r="O37" s="6">
        <f>IF(ISNA(MATCH(O$2,Inputs!$K$4:$AJ$4,0)),NA(),IF(SUMPRODUCT((Inputs!$A$5:$A$110=$B37)*ISNUMBER(INDEX(Inputs!$K$5:$AJ$110,0,MATCH(O$2,Inputs!$K$4:$AJ$4,0))))+SUMPRODUCT((Inputs!$C$5:$C$110=$B37)*ISNUMBER(INDEX(Inputs!$K$5:$AJ$110,0,MATCH(O$2,Inputs!$K$4:$AJ$4,0))))+SUMPRODUCT((Inputs!$E$5:$E$110=$B37)*ISNUMBER(INDEX(Inputs!$K$5:$AJ$110,0,MATCH(O$2,Inputs!$K$4:$AJ$4,0))))=0,NA(),SUMPRODUCT((Inputs!$A$5:$A$110=$B37)*Inputs!$B$5:$B$110*(((Inputs!$G$5:$G$110="moeda")+(Inputs!$G$5:$G$110="acoes"))*Inputs!$B$1+((Inputs!$G$5:$G$110&lt;&gt;"moeda")*(Inputs!$G$5:$G$110&lt;&gt;"acoes")))*INDEX(Inputs!$K$5:$AJ$110,0,MATCH(O$2,Inputs!$K$4:$AJ$4,0)))+SUMPRODUCT((Inputs!$C$5:$C$110=$B37)*Inputs!$D$5:$D$110*(((Inputs!$G$5:$G$110="moeda")+(Inputs!$G$5:$G$110="acoes"))*Inputs!$B$1+((Inputs!$G$5:$G$110&lt;&gt;"moeda")*(Inputs!$G$5:$G$110&lt;&gt;"acoes")))*INDEX(Inputs!$K$5:$AJ$110,0,MATCH(O$2,Inputs!$K$4:$AJ$4,0)))+SUMPRODUCT((Inputs!$E$5:$E$110=$B37)*Inputs!$F$5:$F$110*(((Inputs!$G$5:$G$110="moeda")+(Inputs!$G$5:$G$110="acoes"))*Inputs!$B$1+((Inputs!$G$5:$G$110&lt;&gt;"moeda")*(Inputs!$G$5:$G$110&lt;&gt;"acoes")))*INDEX(Inputs!$K$5:$AJ$110,0,MATCH(O$2,Inputs!$K$4:$AJ$4,0)))))</f>
        <v>0</v>
      </c>
      <c r="P37" s="6">
        <f>IF(ISNA(MATCH(P$2,Inputs!$K$4:$AJ$4,0)),NA(),IF(SUMPRODUCT((Inputs!$A$5:$A$110=$B37)*ISNUMBER(INDEX(Inputs!$K$5:$AJ$110,0,MATCH(P$2,Inputs!$K$4:$AJ$4,0))))+SUMPRODUCT((Inputs!$C$5:$C$110=$B37)*ISNUMBER(INDEX(Inputs!$K$5:$AJ$110,0,MATCH(P$2,Inputs!$K$4:$AJ$4,0))))+SUMPRODUCT((Inputs!$E$5:$E$110=$B37)*ISNUMBER(INDEX(Inputs!$K$5:$AJ$110,0,MATCH(P$2,Inputs!$K$4:$AJ$4,0))))=0,NA(),SUMPRODUCT((Inputs!$A$5:$A$110=$B37)*Inputs!$B$5:$B$110*(((Inputs!$G$5:$G$110="moeda")+(Inputs!$G$5:$G$110="acoes"))*Inputs!$B$1+((Inputs!$G$5:$G$110&lt;&gt;"moeda")*(Inputs!$G$5:$G$110&lt;&gt;"acoes")))*INDEX(Inputs!$K$5:$AJ$110,0,MATCH(P$2,Inputs!$K$4:$AJ$4,0)))+SUMPRODUCT((Inputs!$C$5:$C$110=$B37)*Inputs!$D$5:$D$110*(((Inputs!$G$5:$G$110="moeda")+(Inputs!$G$5:$G$110="acoes"))*Inputs!$B$1+((Inputs!$G$5:$G$110&lt;&gt;"moeda")*(Inputs!$G$5:$G$110&lt;&gt;"acoes")))*INDEX(Inputs!$K$5:$AJ$110,0,MATCH(P$2,Inputs!$K$4:$AJ$4,0)))+SUMPRODUCT((Inputs!$E$5:$E$110=$B37)*Inputs!$F$5:$F$110*(((Inputs!$G$5:$G$110="moeda")+(Inputs!$G$5:$G$110="acoes"))*Inputs!$B$1+((Inputs!$G$5:$G$110&lt;&gt;"moeda")*(Inputs!$G$5:$G$110&lt;&gt;"acoes")))*INDEX(Inputs!$K$5:$AJ$110,0,MATCH(P$2,Inputs!$K$4:$AJ$4,0)))))</f>
        <v>0</v>
      </c>
      <c r="Q37" s="6">
        <f>IF(ISNA(MATCH(Q$2,Inputs!$K$4:$AJ$4,0)),NA(),IF(SUMPRODUCT((Inputs!$A$5:$A$110=$B37)*ISNUMBER(INDEX(Inputs!$K$5:$AJ$110,0,MATCH(Q$2,Inputs!$K$4:$AJ$4,0))))+SUMPRODUCT((Inputs!$C$5:$C$110=$B37)*ISNUMBER(INDEX(Inputs!$K$5:$AJ$110,0,MATCH(Q$2,Inputs!$K$4:$AJ$4,0))))+SUMPRODUCT((Inputs!$E$5:$E$110=$B37)*ISNUMBER(INDEX(Inputs!$K$5:$AJ$110,0,MATCH(Q$2,Inputs!$K$4:$AJ$4,0))))=0,NA(),SUMPRODUCT((Inputs!$A$5:$A$110=$B37)*Inputs!$B$5:$B$110*(((Inputs!$G$5:$G$110="moeda")+(Inputs!$G$5:$G$110="acoes"))*Inputs!$B$1+((Inputs!$G$5:$G$110&lt;&gt;"moeda")*(Inputs!$G$5:$G$110&lt;&gt;"acoes")))*INDEX(Inputs!$K$5:$AJ$110,0,MATCH(Q$2,Inputs!$K$4:$AJ$4,0)))+SUMPRODUCT((Inputs!$C$5:$C$110=$B37)*Inputs!$D$5:$D$110*(((Inputs!$G$5:$G$110="moeda")+(Inputs!$G$5:$G$110="acoes"))*Inputs!$B$1+((Inputs!$G$5:$G$110&lt;&gt;"moeda")*(Inputs!$G$5:$G$110&lt;&gt;"acoes")))*INDEX(Inputs!$K$5:$AJ$110,0,MATCH(Q$2,Inputs!$K$4:$AJ$4,0)))+SUMPRODUCT((Inputs!$E$5:$E$110=$B37)*Inputs!$F$5:$F$110*(((Inputs!$G$5:$G$110="moeda")+(Inputs!$G$5:$G$110="acoes"))*Inputs!$B$1+((Inputs!$G$5:$G$110&lt;&gt;"moeda")*(Inputs!$G$5:$G$110&lt;&gt;"acoes")))*INDEX(Inputs!$K$5:$AJ$110,0,MATCH(Q$2,Inputs!$K$4:$AJ$4,0)))))</f>
        <v>0</v>
      </c>
      <c r="R37" s="3">
        <f>Q37</f>
        <v>0</v>
      </c>
      <c r="S37" s="6">
        <f>IF(ISNA(MATCH(S$2,Inputs!$K$4:$AJ$4,0)),NA(),IF(SUMPRODUCT((Inputs!$A$5:$A$110=$B37)*ISNUMBER(INDEX(Inputs!$K$5:$AJ$110,0,MATCH(S$2,Inputs!$K$4:$AJ$4,0))))+SUMPRODUCT((Inputs!$C$5:$C$110=$B37)*ISNUMBER(INDEX(Inputs!$K$5:$AJ$110,0,MATCH(S$2,Inputs!$K$4:$AJ$4,0))))+SUMPRODUCT((Inputs!$E$5:$E$110=$B37)*ISNUMBER(INDEX(Inputs!$K$5:$AJ$110,0,MATCH(S$2,Inputs!$K$4:$AJ$4,0))))=0,NA(),SUMPRODUCT((Inputs!$A$5:$A$110=$B37)*Inputs!$B$5:$B$110*(((Inputs!$G$5:$G$110="moeda")+(Inputs!$G$5:$G$110="acoes"))*Inputs!$B$1+((Inputs!$G$5:$G$110&lt;&gt;"moeda")*(Inputs!$G$5:$G$110&lt;&gt;"acoes")))*INDEX(Inputs!$K$5:$AJ$110,0,MATCH(S$2,Inputs!$K$4:$AJ$4,0)))+SUMPRODUCT((Inputs!$C$5:$C$110=$B37)*Inputs!$D$5:$D$110*(((Inputs!$G$5:$G$110="moeda")+(Inputs!$G$5:$G$110="acoes"))*Inputs!$B$1+((Inputs!$G$5:$G$110&lt;&gt;"moeda")*(Inputs!$G$5:$G$110&lt;&gt;"acoes")))*INDEX(Inputs!$K$5:$AJ$110,0,MATCH(S$2,Inputs!$K$4:$AJ$4,0)))+SUMPRODUCT((Inputs!$E$5:$E$110=$B37)*Inputs!$F$5:$F$110*(((Inputs!$G$5:$G$110="moeda")+(Inputs!$G$5:$G$110="acoes"))*Inputs!$B$1+((Inputs!$G$5:$G$110&lt;&gt;"moeda")*(Inputs!$G$5:$G$110&lt;&gt;"acoes")))*INDEX(Inputs!$K$5:$AJ$110,0,MATCH(S$2,Inputs!$K$4:$AJ$4,0)))))</f>
        <v>0</v>
      </c>
      <c r="T37" s="6">
        <f>IF(ISNA(MATCH(T$2,Inputs!$K$4:$AJ$4,0)),NA(),IF(SUMPRODUCT((Inputs!$A$5:$A$110=$B37)*ISNUMBER(INDEX(Inputs!$K$5:$AJ$110,0,MATCH(T$2,Inputs!$K$4:$AJ$4,0))))+SUMPRODUCT((Inputs!$C$5:$C$110=$B37)*ISNUMBER(INDEX(Inputs!$K$5:$AJ$110,0,MATCH(T$2,Inputs!$K$4:$AJ$4,0))))+SUMPRODUCT((Inputs!$E$5:$E$110=$B37)*ISNUMBER(INDEX(Inputs!$K$5:$AJ$110,0,MATCH(T$2,Inputs!$K$4:$AJ$4,0))))=0,NA(),SUMPRODUCT((Inputs!$A$5:$A$110=$B37)*Inputs!$B$5:$B$110*(((Inputs!$G$5:$G$110="moeda")+(Inputs!$G$5:$G$110="acoes"))*Inputs!$B$1+((Inputs!$G$5:$G$110&lt;&gt;"moeda")*(Inputs!$G$5:$G$110&lt;&gt;"acoes")))*INDEX(Inputs!$K$5:$AJ$110,0,MATCH(T$2,Inputs!$K$4:$AJ$4,0)))+SUMPRODUCT((Inputs!$C$5:$C$110=$B37)*Inputs!$D$5:$D$110*(((Inputs!$G$5:$G$110="moeda")+(Inputs!$G$5:$G$110="acoes"))*Inputs!$B$1+((Inputs!$G$5:$G$110&lt;&gt;"moeda")*(Inputs!$G$5:$G$110&lt;&gt;"acoes")))*INDEX(Inputs!$K$5:$AJ$110,0,MATCH(T$2,Inputs!$K$4:$AJ$4,0)))+SUMPRODUCT((Inputs!$E$5:$E$110=$B37)*Inputs!$F$5:$F$110*(((Inputs!$G$5:$G$110="moeda")+(Inputs!$G$5:$G$110="acoes"))*Inputs!$B$1+((Inputs!$G$5:$G$110&lt;&gt;"moeda")*(Inputs!$G$5:$G$110&lt;&gt;"acoes")))*INDEX(Inputs!$K$5:$AJ$110,0,MATCH(T$2,Inputs!$K$4:$AJ$4,0)))))</f>
        <v>0</v>
      </c>
      <c r="U37" s="6">
        <f>IF(ISNA(MATCH(U$2,Inputs!$K$4:$AJ$4,0)),NA(),IF(SUMPRODUCT((Inputs!$A$5:$A$110=$B37)*ISNUMBER(INDEX(Inputs!$K$5:$AJ$110,0,MATCH(U$2,Inputs!$K$4:$AJ$4,0))))+SUMPRODUCT((Inputs!$C$5:$C$110=$B37)*ISNUMBER(INDEX(Inputs!$K$5:$AJ$110,0,MATCH(U$2,Inputs!$K$4:$AJ$4,0))))+SUMPRODUCT((Inputs!$E$5:$E$110=$B37)*ISNUMBER(INDEX(Inputs!$K$5:$AJ$110,0,MATCH(U$2,Inputs!$K$4:$AJ$4,0))))=0,NA(),SUMPRODUCT((Inputs!$A$5:$A$110=$B37)*Inputs!$B$5:$B$110*(((Inputs!$G$5:$G$110="moeda")+(Inputs!$G$5:$G$110="acoes"))*Inputs!$B$1+((Inputs!$G$5:$G$110&lt;&gt;"moeda")*(Inputs!$G$5:$G$110&lt;&gt;"acoes")))*INDEX(Inputs!$K$5:$AJ$110,0,MATCH(U$2,Inputs!$K$4:$AJ$4,0)))+SUMPRODUCT((Inputs!$C$5:$C$110=$B37)*Inputs!$D$5:$D$110*(((Inputs!$G$5:$G$110="moeda")+(Inputs!$G$5:$G$110="acoes"))*Inputs!$B$1+((Inputs!$G$5:$G$110&lt;&gt;"moeda")*(Inputs!$G$5:$G$110&lt;&gt;"acoes")))*INDEX(Inputs!$K$5:$AJ$110,0,MATCH(U$2,Inputs!$K$4:$AJ$4,0)))+SUMPRODUCT((Inputs!$E$5:$E$110=$B37)*Inputs!$F$5:$F$110*(((Inputs!$G$5:$G$110="moeda")+(Inputs!$G$5:$G$110="acoes"))*Inputs!$B$1+((Inputs!$G$5:$G$110&lt;&gt;"moeda")*(Inputs!$G$5:$G$110&lt;&gt;"acoes")))*INDEX(Inputs!$K$5:$AJ$110,0,MATCH(U$2,Inputs!$K$4:$AJ$4,0)))))</f>
        <v>0</v>
      </c>
      <c r="V37" s="6">
        <f>IF(ISNA(MATCH(V$2,Inputs!$K$4:$AJ$4,0)),NA(),IF(SUMPRODUCT((Inputs!$A$5:$A$110=$B37)*ISNUMBER(INDEX(Inputs!$K$5:$AJ$110,0,MATCH(V$2,Inputs!$K$4:$AJ$4,0))))+SUMPRODUCT((Inputs!$C$5:$C$110=$B37)*ISNUMBER(INDEX(Inputs!$K$5:$AJ$110,0,MATCH(V$2,Inputs!$K$4:$AJ$4,0))))+SUMPRODUCT((Inputs!$E$5:$E$110=$B37)*ISNUMBER(INDEX(Inputs!$K$5:$AJ$110,0,MATCH(V$2,Inputs!$K$4:$AJ$4,0))))=0,NA(),SUMPRODUCT((Inputs!$A$5:$A$110=$B37)*Inputs!$B$5:$B$110*(((Inputs!$G$5:$G$110="moeda")+(Inputs!$G$5:$G$110="acoes"))*Inputs!$B$1+((Inputs!$G$5:$G$110&lt;&gt;"moeda")*(Inputs!$G$5:$G$110&lt;&gt;"acoes")))*INDEX(Inputs!$K$5:$AJ$110,0,MATCH(V$2,Inputs!$K$4:$AJ$4,0)))+SUMPRODUCT((Inputs!$C$5:$C$110=$B37)*Inputs!$D$5:$D$110*(((Inputs!$G$5:$G$110="moeda")+(Inputs!$G$5:$G$110="acoes"))*Inputs!$B$1+((Inputs!$G$5:$G$110&lt;&gt;"moeda")*(Inputs!$G$5:$G$110&lt;&gt;"acoes")))*INDEX(Inputs!$K$5:$AJ$110,0,MATCH(V$2,Inputs!$K$4:$AJ$4,0)))+SUMPRODUCT((Inputs!$E$5:$E$110=$B37)*Inputs!$F$5:$F$110*(((Inputs!$G$5:$G$110="moeda")+(Inputs!$G$5:$G$110="acoes"))*Inputs!$B$1+((Inputs!$G$5:$G$110&lt;&gt;"moeda")*(Inputs!$G$5:$G$110&lt;&gt;"acoes")))*INDEX(Inputs!$K$5:$AJ$110,0,MATCH(V$2,Inputs!$K$4:$AJ$4,0)))))</f>
        <v>0</v>
      </c>
      <c r="W37" s="3">
        <f>V37</f>
        <v>0</v>
      </c>
      <c r="X37" s="6">
        <f>IF(ISNA(MATCH(X$2,Inputs!$K$4:$AJ$4,0)),NA(),IF(SUMPRODUCT((Inputs!$A$5:$A$110=$B37)*ISNUMBER(INDEX(Inputs!$K$5:$AJ$110,0,MATCH(X$2,Inputs!$K$4:$AJ$4,0))))+SUMPRODUCT((Inputs!$C$5:$C$110=$B37)*ISNUMBER(INDEX(Inputs!$K$5:$AJ$110,0,MATCH(X$2,Inputs!$K$4:$AJ$4,0))))+SUMPRODUCT((Inputs!$E$5:$E$110=$B37)*ISNUMBER(INDEX(Inputs!$K$5:$AJ$110,0,MATCH(X$2,Inputs!$K$4:$AJ$4,0))))=0,NA(),SUMPRODUCT((Inputs!$A$5:$A$110=$B37)*Inputs!$B$5:$B$110*(((Inputs!$G$5:$G$110="moeda")+(Inputs!$G$5:$G$110="acoes"))*Inputs!$B$1+((Inputs!$G$5:$G$110&lt;&gt;"moeda")*(Inputs!$G$5:$G$110&lt;&gt;"acoes")))*INDEX(Inputs!$K$5:$AJ$110,0,MATCH(X$2,Inputs!$K$4:$AJ$4,0)))+SUMPRODUCT((Inputs!$C$5:$C$110=$B37)*Inputs!$D$5:$D$110*(((Inputs!$G$5:$G$110="moeda")+(Inputs!$G$5:$G$110="acoes"))*Inputs!$B$1+((Inputs!$G$5:$G$110&lt;&gt;"moeda")*(Inputs!$G$5:$G$110&lt;&gt;"acoes")))*INDEX(Inputs!$K$5:$AJ$110,0,MATCH(X$2,Inputs!$K$4:$AJ$4,0)))+SUMPRODUCT((Inputs!$E$5:$E$110=$B37)*Inputs!$F$5:$F$110*(((Inputs!$G$5:$G$110="moeda")+(Inputs!$G$5:$G$110="acoes"))*Inputs!$B$1+((Inputs!$G$5:$G$110&lt;&gt;"moeda")*(Inputs!$G$5:$G$110&lt;&gt;"acoes")))*INDEX(Inputs!$K$5:$AJ$110,0,MATCH(X$2,Inputs!$K$4:$AJ$4,0)))))</f>
        <v>0</v>
      </c>
      <c r="Y37" s="6">
        <f>IF(ISNA(MATCH(Y$2,Inputs!$K$4:$AJ$4,0)),NA(),IF(SUMPRODUCT((Inputs!$A$5:$A$110=$B37)*ISNUMBER(INDEX(Inputs!$K$5:$AJ$110,0,MATCH(Y$2,Inputs!$K$4:$AJ$4,0))))+SUMPRODUCT((Inputs!$C$5:$C$110=$B37)*ISNUMBER(INDEX(Inputs!$K$5:$AJ$110,0,MATCH(Y$2,Inputs!$K$4:$AJ$4,0))))+SUMPRODUCT((Inputs!$E$5:$E$110=$B37)*ISNUMBER(INDEX(Inputs!$K$5:$AJ$110,0,MATCH(Y$2,Inputs!$K$4:$AJ$4,0))))=0,NA(),SUMPRODUCT((Inputs!$A$5:$A$110=$B37)*Inputs!$B$5:$B$110*(((Inputs!$G$5:$G$110="moeda")+(Inputs!$G$5:$G$110="acoes"))*Inputs!$B$1+((Inputs!$G$5:$G$110&lt;&gt;"moeda")*(Inputs!$G$5:$G$110&lt;&gt;"acoes")))*INDEX(Inputs!$K$5:$AJ$110,0,MATCH(Y$2,Inputs!$K$4:$AJ$4,0)))+SUMPRODUCT((Inputs!$C$5:$C$110=$B37)*Inputs!$D$5:$D$110*(((Inputs!$G$5:$G$110="moeda")+(Inputs!$G$5:$G$110="acoes"))*Inputs!$B$1+((Inputs!$G$5:$G$110&lt;&gt;"moeda")*(Inputs!$G$5:$G$110&lt;&gt;"acoes")))*INDEX(Inputs!$K$5:$AJ$110,0,MATCH(Y$2,Inputs!$K$4:$AJ$4,0)))+SUMPRODUCT((Inputs!$E$5:$E$110=$B37)*Inputs!$F$5:$F$110*(((Inputs!$G$5:$G$110="moeda")+(Inputs!$G$5:$G$110="acoes"))*Inputs!$B$1+((Inputs!$G$5:$G$110&lt;&gt;"moeda")*(Inputs!$G$5:$G$110&lt;&gt;"acoes")))*INDEX(Inputs!$K$5:$AJ$110,0,MATCH(Y$2,Inputs!$K$4:$AJ$4,0)))))</f>
        <v>0</v>
      </c>
      <c r="Z37" s="6">
        <f>IF(ISNA(MATCH(Z$2,Inputs!$K$4:$AJ$4,0)),NA(),IF(SUMPRODUCT((Inputs!$A$5:$A$110=$B37)*ISNUMBER(INDEX(Inputs!$K$5:$AJ$110,0,MATCH(Z$2,Inputs!$K$4:$AJ$4,0))))+SUMPRODUCT((Inputs!$C$5:$C$110=$B37)*ISNUMBER(INDEX(Inputs!$K$5:$AJ$110,0,MATCH(Z$2,Inputs!$K$4:$AJ$4,0))))+SUMPRODUCT((Inputs!$E$5:$E$110=$B37)*ISNUMBER(INDEX(Inputs!$K$5:$AJ$110,0,MATCH(Z$2,Inputs!$K$4:$AJ$4,0))))=0,NA(),SUMPRODUCT((Inputs!$A$5:$A$110=$B37)*Inputs!$B$5:$B$110*(((Inputs!$G$5:$G$110="moeda")+(Inputs!$G$5:$G$110="acoes"))*Inputs!$B$1+((Inputs!$G$5:$G$110&lt;&gt;"moeda")*(Inputs!$G$5:$G$110&lt;&gt;"acoes")))*INDEX(Inputs!$K$5:$AJ$110,0,MATCH(Z$2,Inputs!$K$4:$AJ$4,0)))+SUMPRODUCT((Inputs!$C$5:$C$110=$B37)*Inputs!$D$5:$D$110*(((Inputs!$G$5:$G$110="moeda")+(Inputs!$G$5:$G$110="acoes"))*Inputs!$B$1+((Inputs!$G$5:$G$110&lt;&gt;"moeda")*(Inputs!$G$5:$G$110&lt;&gt;"acoes")))*INDEX(Inputs!$K$5:$AJ$110,0,MATCH(Z$2,Inputs!$K$4:$AJ$4,0)))+SUMPRODUCT((Inputs!$E$5:$E$110=$B37)*Inputs!$F$5:$F$110*(((Inputs!$G$5:$G$110="moeda")+(Inputs!$G$5:$G$110="acoes"))*Inputs!$B$1+((Inputs!$G$5:$G$110&lt;&gt;"moeda")*(Inputs!$G$5:$G$110&lt;&gt;"acoes")))*INDEX(Inputs!$K$5:$AJ$110,0,MATCH(Z$2,Inputs!$K$4:$AJ$4,0)))))</f>
        <v>0</v>
      </c>
      <c r="AA37" s="6">
        <f>IF(ISNA(MATCH(AA$2,Inputs!$K$4:$AJ$4,0)),NA(),IF(SUMPRODUCT((Inputs!$A$5:$A$110=$B37)*ISNUMBER(INDEX(Inputs!$K$5:$AJ$110,0,MATCH(AA$2,Inputs!$K$4:$AJ$4,0))))+SUMPRODUCT((Inputs!$C$5:$C$110=$B37)*ISNUMBER(INDEX(Inputs!$K$5:$AJ$110,0,MATCH(AA$2,Inputs!$K$4:$AJ$4,0))))+SUMPRODUCT((Inputs!$E$5:$E$110=$B37)*ISNUMBER(INDEX(Inputs!$K$5:$AJ$110,0,MATCH(AA$2,Inputs!$K$4:$AJ$4,0))))=0,NA(),SUMPRODUCT((Inputs!$A$5:$A$110=$B37)*Inputs!$B$5:$B$110*(((Inputs!$G$5:$G$110="moeda")+(Inputs!$G$5:$G$110="acoes"))*Inputs!$B$1+((Inputs!$G$5:$G$110&lt;&gt;"moeda")*(Inputs!$G$5:$G$110&lt;&gt;"acoes")))*INDEX(Inputs!$K$5:$AJ$110,0,MATCH(AA$2,Inputs!$K$4:$AJ$4,0)))+SUMPRODUCT((Inputs!$C$5:$C$110=$B37)*Inputs!$D$5:$D$110*(((Inputs!$G$5:$G$110="moeda")+(Inputs!$G$5:$G$110="acoes"))*Inputs!$B$1+((Inputs!$G$5:$G$110&lt;&gt;"moeda")*(Inputs!$G$5:$G$110&lt;&gt;"acoes")))*INDEX(Inputs!$K$5:$AJ$110,0,MATCH(AA$2,Inputs!$K$4:$AJ$4,0)))+SUMPRODUCT((Inputs!$E$5:$E$110=$B37)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7" s="3">
        <f>AA37</f>
        <v>0</v>
      </c>
      <c r="AC37" s="6">
        <f>IF(ISNA(MATCH(AC$2,Inputs!$K$4:$AJ$4,0)),NA(),IF(SUMPRODUCT((Inputs!$A$5:$A$110=$B37)*ISNUMBER(INDEX(Inputs!$K$5:$AJ$110,0,MATCH(AC$2,Inputs!$K$4:$AJ$4,0))))+SUMPRODUCT((Inputs!$C$5:$C$110=$B37)*ISNUMBER(INDEX(Inputs!$K$5:$AJ$110,0,MATCH(AC$2,Inputs!$K$4:$AJ$4,0))))+SUMPRODUCT((Inputs!$E$5:$E$110=$B37)*ISNUMBER(INDEX(Inputs!$K$5:$AJ$110,0,MATCH(AC$2,Inputs!$K$4:$AJ$4,0))))=0,NA(),SUMPRODUCT((Inputs!$A$5:$A$110=$B37)*Inputs!$B$5:$B$110*(((Inputs!$G$5:$G$110="moeda")+(Inputs!$G$5:$G$110="acoes"))*Inputs!$B$1+((Inputs!$G$5:$G$110&lt;&gt;"moeda")*(Inputs!$G$5:$G$110&lt;&gt;"acoes")))*INDEX(Inputs!$K$5:$AJ$110,0,MATCH(AC$2,Inputs!$K$4:$AJ$4,0)))+SUMPRODUCT((Inputs!$C$5:$C$110=$B37)*Inputs!$D$5:$D$110*(((Inputs!$G$5:$G$110="moeda")+(Inputs!$G$5:$G$110="acoes"))*Inputs!$B$1+((Inputs!$G$5:$G$110&lt;&gt;"moeda")*(Inputs!$G$5:$G$110&lt;&gt;"acoes")))*INDEX(Inputs!$K$5:$AJ$110,0,MATCH(AC$2,Inputs!$K$4:$AJ$4,0)))+SUMPRODUCT((Inputs!$E$5:$E$110=$B37)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7" s="6">
        <f>IF(ISNA(MATCH(AD$2,Inputs!$K$4:$AJ$4,0)),NA(),IF(SUMPRODUCT((Inputs!$A$5:$A$110=$B37)*ISNUMBER(INDEX(Inputs!$K$5:$AJ$110,0,MATCH(AD$2,Inputs!$K$4:$AJ$4,0))))+SUMPRODUCT((Inputs!$C$5:$C$110=$B37)*ISNUMBER(INDEX(Inputs!$K$5:$AJ$110,0,MATCH(AD$2,Inputs!$K$4:$AJ$4,0))))+SUMPRODUCT((Inputs!$E$5:$E$110=$B37)*ISNUMBER(INDEX(Inputs!$K$5:$AJ$110,0,MATCH(AD$2,Inputs!$K$4:$AJ$4,0))))=0,NA(),SUMPRODUCT((Inputs!$A$5:$A$110=$B37)*Inputs!$B$5:$B$110*(((Inputs!$G$5:$G$110="moeda")+(Inputs!$G$5:$G$110="acoes"))*Inputs!$B$1+((Inputs!$G$5:$G$110&lt;&gt;"moeda")*(Inputs!$G$5:$G$110&lt;&gt;"acoes")))*INDEX(Inputs!$K$5:$AJ$110,0,MATCH(AD$2,Inputs!$K$4:$AJ$4,0)))+SUMPRODUCT((Inputs!$C$5:$C$110=$B37)*Inputs!$D$5:$D$110*(((Inputs!$G$5:$G$110="moeda")+(Inputs!$G$5:$G$110="acoes"))*Inputs!$B$1+((Inputs!$G$5:$G$110&lt;&gt;"moeda")*(Inputs!$G$5:$G$110&lt;&gt;"acoes")))*INDEX(Inputs!$K$5:$AJ$110,0,MATCH(AD$2,Inputs!$K$4:$AJ$4,0)))+SUMPRODUCT((Inputs!$E$5:$E$110=$B37)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7" s="6" t="e">
        <f>IF(ISNA(MATCH(AE$2,Inputs!$K$4:$AJ$4,0)),NA(),IF(SUMPRODUCT((Inputs!$A$5:$A$110=$B37)*ISNUMBER(INDEX(Inputs!$K$5:$AJ$110,0,MATCH(AE$2,Inputs!$K$4:$AJ$4,0))))+SUMPRODUCT((Inputs!$C$5:$C$110=$B37)*ISNUMBER(INDEX(Inputs!$K$5:$AJ$110,0,MATCH(AE$2,Inputs!$K$4:$AJ$4,0))))+SUMPRODUCT((Inputs!$E$5:$E$110=$B37)*ISNUMBER(INDEX(Inputs!$K$5:$AJ$110,0,MATCH(AE$2,Inputs!$K$4:$AJ$4,0))))=0,NA(),SUMPRODUCT((Inputs!$A$5:$A$110=$B37)*Inputs!$B$5:$B$110*(((Inputs!$G$5:$G$110="moeda")+(Inputs!$G$5:$G$110="acoes"))*Inputs!$B$1+((Inputs!$G$5:$G$110&lt;&gt;"moeda")*(Inputs!$G$5:$G$110&lt;&gt;"acoes")))*INDEX(Inputs!$K$5:$AJ$110,0,MATCH(AE$2,Inputs!$K$4:$AJ$4,0)))+SUMPRODUCT((Inputs!$C$5:$C$110=$B37)*Inputs!$D$5:$D$110*(((Inputs!$G$5:$G$110="moeda")+(Inputs!$G$5:$G$110="acoes"))*Inputs!$B$1+((Inputs!$G$5:$G$110&lt;&gt;"moeda")*(Inputs!$G$5:$G$110&lt;&gt;"acoes")))*INDEX(Inputs!$K$5:$AJ$110,0,MATCH(AE$2,Inputs!$K$4:$AJ$4,0)))+SUMPRODUCT((Inputs!$E$5:$E$110=$B37)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7" s="6" t="e">
        <f>IF(ISNA(MATCH(AF$2,Inputs!$K$4:$AJ$4,0)),NA(),IF(SUMPRODUCT((Inputs!$A$5:$A$110=$B37)*ISNUMBER(INDEX(Inputs!$K$5:$AJ$110,0,MATCH(AF$2,Inputs!$K$4:$AJ$4,0))))+SUMPRODUCT((Inputs!$C$5:$C$110=$B37)*ISNUMBER(INDEX(Inputs!$K$5:$AJ$110,0,MATCH(AF$2,Inputs!$K$4:$AJ$4,0))))+SUMPRODUCT((Inputs!$E$5:$E$110=$B37)*ISNUMBER(INDEX(Inputs!$K$5:$AJ$110,0,MATCH(AF$2,Inputs!$K$4:$AJ$4,0))))=0,NA(),SUMPRODUCT((Inputs!$A$5:$A$110=$B37)*Inputs!$B$5:$B$110*(((Inputs!$G$5:$G$110="moeda")+(Inputs!$G$5:$G$110="acoes"))*Inputs!$B$1+((Inputs!$G$5:$G$110&lt;&gt;"moeda")*(Inputs!$G$5:$G$110&lt;&gt;"acoes")))*INDEX(Inputs!$K$5:$AJ$110,0,MATCH(AF$2,Inputs!$K$4:$AJ$4,0)))+SUMPRODUCT((Inputs!$C$5:$C$110=$B37)*Inputs!$D$5:$D$110*(((Inputs!$G$5:$G$110="moeda")+(Inputs!$G$5:$G$110="acoes"))*Inputs!$B$1+((Inputs!$G$5:$G$110&lt;&gt;"moeda")*(Inputs!$G$5:$G$110&lt;&gt;"acoes")))*INDEX(Inputs!$K$5:$AJ$110,0,MATCH(AF$2,Inputs!$K$4:$AJ$4,0)))+SUMPRODUCT((Inputs!$E$5:$E$110=$B37)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7" s="3" t="e">
        <f>AF37</f>
        <v>#N/A</v>
      </c>
      <c r="AH37" s="6">
        <f>IF(ISNA(MATCH(AH$2,Inputs!$K$4:$AJ$4,0)),NA(),IF(SUMPRODUCT((Inputs!$A$5:$A$110=$B37)*ISNUMBER(INDEX(Inputs!$K$5:$AJ$110,0,MATCH(AH$2,Inputs!$K$4:$AJ$4,0))))+SUMPRODUCT((Inputs!$C$5:$C$110=$B37)*ISNUMBER(INDEX(Inputs!$K$5:$AJ$110,0,MATCH(AH$2,Inputs!$K$4:$AJ$4,0))))+SUMPRODUCT((Inputs!$E$5:$E$110=$B37)*ISNUMBER(INDEX(Inputs!$K$5:$AJ$110,0,MATCH(AH$2,Inputs!$K$4:$AJ$4,0))))=0,NA(),SUMPRODUCT((Inputs!$A$5:$A$110=$B37)*Inputs!$B$5:$B$110*(((Inputs!$G$5:$G$110="moeda")+(Inputs!$G$5:$G$110="acoes"))*Inputs!$B$1+((Inputs!$G$5:$G$110&lt;&gt;"moeda")*(Inputs!$G$5:$G$110&lt;&gt;"acoes")))*INDEX(Inputs!$K$5:$AJ$110,0,MATCH(AH$2,Inputs!$K$4:$AJ$4,0)))+SUMPRODUCT((Inputs!$C$5:$C$110=$B37)*Inputs!$D$5:$D$110*(((Inputs!$G$5:$G$110="moeda")+(Inputs!$G$5:$G$110="acoes"))*Inputs!$B$1+((Inputs!$G$5:$G$110&lt;&gt;"moeda")*(Inputs!$G$5:$G$110&lt;&gt;"acoes")))*INDEX(Inputs!$K$5:$AJ$110,0,MATCH(AH$2,Inputs!$K$4:$AJ$4,0)))+SUMPRODUCT((Inputs!$E$5:$E$110=$B37)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7" s="6">
        <f>IF(ISNA(MATCH(AI$2,Inputs!$K$4:$AJ$4,0)),NA(),IF(SUMPRODUCT((Inputs!$A$5:$A$110=$B37)*ISNUMBER(INDEX(Inputs!$K$5:$AJ$110,0,MATCH(AI$2,Inputs!$K$4:$AJ$4,0))))+SUMPRODUCT((Inputs!$C$5:$C$110=$B37)*ISNUMBER(INDEX(Inputs!$K$5:$AJ$110,0,MATCH(AI$2,Inputs!$K$4:$AJ$4,0))))+SUMPRODUCT((Inputs!$E$5:$E$110=$B37)*ISNUMBER(INDEX(Inputs!$K$5:$AJ$110,0,MATCH(AI$2,Inputs!$K$4:$AJ$4,0))))=0,NA(),SUMPRODUCT((Inputs!$A$5:$A$110=$B37)*Inputs!$B$5:$B$110*(((Inputs!$G$5:$G$110="moeda")+(Inputs!$G$5:$G$110="acoes"))*Inputs!$B$1+((Inputs!$G$5:$G$110&lt;&gt;"moeda")*(Inputs!$G$5:$G$110&lt;&gt;"acoes")))*INDEX(Inputs!$K$5:$AJ$110,0,MATCH(AI$2,Inputs!$K$4:$AJ$4,0)))+SUMPRODUCT((Inputs!$C$5:$C$110=$B37)*Inputs!$D$5:$D$110*(((Inputs!$G$5:$G$110="moeda")+(Inputs!$G$5:$G$110="acoes"))*Inputs!$B$1+((Inputs!$G$5:$G$110&lt;&gt;"moeda")*(Inputs!$G$5:$G$110&lt;&gt;"acoes")))*INDEX(Inputs!$K$5:$AJ$110,0,MATCH(AI$2,Inputs!$K$4:$AJ$4,0)))+SUMPRODUCT((Inputs!$E$5:$E$110=$B37)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7" s="6">
        <f>IF(ISNA(MATCH(AJ$2,Inputs!$K$4:$AJ$4,0)),NA(),IF(SUMPRODUCT((Inputs!$A$5:$A$110=$B37)*ISNUMBER(INDEX(Inputs!$K$5:$AJ$110,0,MATCH(AJ$2,Inputs!$K$4:$AJ$4,0))))+SUMPRODUCT((Inputs!$C$5:$C$110=$B37)*ISNUMBER(INDEX(Inputs!$K$5:$AJ$110,0,MATCH(AJ$2,Inputs!$K$4:$AJ$4,0))))+SUMPRODUCT((Inputs!$E$5:$E$110=$B37)*ISNUMBER(INDEX(Inputs!$K$5:$AJ$110,0,MATCH(AJ$2,Inputs!$K$4:$AJ$4,0))))=0,NA(),SUMPRODUCT((Inputs!$A$5:$A$110=$B37)*Inputs!$B$5:$B$110*(((Inputs!$G$5:$G$110="moeda")+(Inputs!$G$5:$G$110="acoes"))*Inputs!$B$1+((Inputs!$G$5:$G$110&lt;&gt;"moeda")*(Inputs!$G$5:$G$110&lt;&gt;"acoes")))*INDEX(Inputs!$K$5:$AJ$110,0,MATCH(AJ$2,Inputs!$K$4:$AJ$4,0)))+SUMPRODUCT((Inputs!$C$5:$C$110=$B37)*Inputs!$D$5:$D$110*(((Inputs!$G$5:$G$110="moeda")+(Inputs!$G$5:$G$110="acoes"))*Inputs!$B$1+((Inputs!$G$5:$G$110&lt;&gt;"moeda")*(Inputs!$G$5:$G$110&lt;&gt;"acoes")))*INDEX(Inputs!$K$5:$AJ$110,0,MATCH(AJ$2,Inputs!$K$4:$AJ$4,0)))+SUMPRODUCT((Inputs!$E$5:$E$110=$B37)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7" s="6">
        <f>IF(ISNA(MATCH(AK$2,Inputs!$K$4:$AJ$4,0)),NA(),IF(SUMPRODUCT((Inputs!$A$5:$A$110=$B37)*ISNUMBER(INDEX(Inputs!$K$5:$AJ$110,0,MATCH(AK$2,Inputs!$K$4:$AJ$4,0))))+SUMPRODUCT((Inputs!$C$5:$C$110=$B37)*ISNUMBER(INDEX(Inputs!$K$5:$AJ$110,0,MATCH(AK$2,Inputs!$K$4:$AJ$4,0))))+SUMPRODUCT((Inputs!$E$5:$E$110=$B37)*ISNUMBER(INDEX(Inputs!$K$5:$AJ$110,0,MATCH(AK$2,Inputs!$K$4:$AJ$4,0))))=0,NA(),SUMPRODUCT((Inputs!$A$5:$A$110=$B37)*Inputs!$B$5:$B$110*(((Inputs!$G$5:$G$110="moeda")+(Inputs!$G$5:$G$110="acoes"))*Inputs!$B$1+((Inputs!$G$5:$G$110&lt;&gt;"moeda")*(Inputs!$G$5:$G$110&lt;&gt;"acoes")))*INDEX(Inputs!$K$5:$AJ$110,0,MATCH(AK$2,Inputs!$K$4:$AJ$4,0)))+SUMPRODUCT((Inputs!$C$5:$C$110=$B37)*Inputs!$D$5:$D$110*(((Inputs!$G$5:$G$110="moeda")+(Inputs!$G$5:$G$110="acoes"))*Inputs!$B$1+((Inputs!$G$5:$G$110&lt;&gt;"moeda")*(Inputs!$G$5:$G$110&lt;&gt;"acoes")))*INDEX(Inputs!$K$5:$AJ$110,0,MATCH(AK$2,Inputs!$K$4:$AJ$4,0)))+SUMPRODUCT((Inputs!$E$5:$E$110=$B37)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$110=$B38)*ISNUMBER(INDEX(Inputs!$K$5:$AJ$110,0,MATCH(D$2,Inputs!$K$4:$AJ$4,0))))+SUMPRODUCT((Inputs!$C$5:$C$110=$B38)*ISNUMBER(INDEX(Inputs!$K$5:$AJ$110,0,MATCH(D$2,Inputs!$K$4:$AJ$4,0))))+SUMPRODUCT((Inputs!$E$5:$E$110=$B38)*ISNUMBER(INDEX(Inputs!$K$5:$AJ$110,0,MATCH(D$2,Inputs!$K$4:$AJ$4,0))))=0,NA(),SUMPRODUCT((Inputs!$A$5:$A$110=$B38)*Inputs!$B$5:$B$110*(((Inputs!$G$5:$G$110="moeda")+(Inputs!$G$5:$G$110="acoes"))*Inputs!$B$1+((Inputs!$G$5:$G$110&lt;&gt;"moeda")*(Inputs!$G$5:$G$110&lt;&gt;"acoes")))*INDEX(Inputs!$K$5:$AJ$110,0,MATCH(D$2,Inputs!$K$4:$AJ$4,0)))+SUMPRODUCT((Inputs!$C$5:$C$110=$B38)*Inputs!$D$5:$D$110*(((Inputs!$G$5:$G$110="moeda")+(Inputs!$G$5:$G$110="acoes"))*Inputs!$B$1+((Inputs!$G$5:$G$110&lt;&gt;"moeda")*(Inputs!$G$5:$G$110&lt;&gt;"acoes")))*INDEX(Inputs!$K$5:$AJ$110,0,MATCH(D$2,Inputs!$K$4:$AJ$4,0)))+SUMPRODUCT((Inputs!$E$5:$E$110=$B38)*Inputs!$F$5:$F$110*(((Inputs!$G$5:$G$110="moeda")+(Inputs!$G$5:$G$110="acoes"))*Inputs!$B$1+((Inputs!$G$5:$G$110&lt;&gt;"moeda")*(Inputs!$G$5:$G$110&lt;&gt;"acoes")))*INDEX(Inputs!$K$5:$AJ$110,0,MATCH(D$2,Inputs!$K$4:$AJ$4,0)))))</f>
        <v>0</v>
      </c>
      <c r="E38" s="6">
        <f>IF(ISNA(MATCH(E$2,Inputs!$K$4:$AJ$4,0)),NA(),IF(SUMPRODUCT((Inputs!$A$5:$A$110=$B38)*ISNUMBER(INDEX(Inputs!$K$5:$AJ$110,0,MATCH(E$2,Inputs!$K$4:$AJ$4,0))))+SUMPRODUCT((Inputs!$C$5:$C$110=$B38)*ISNUMBER(INDEX(Inputs!$K$5:$AJ$110,0,MATCH(E$2,Inputs!$K$4:$AJ$4,0))))+SUMPRODUCT((Inputs!$E$5:$E$110=$B38)*ISNUMBER(INDEX(Inputs!$K$5:$AJ$110,0,MATCH(E$2,Inputs!$K$4:$AJ$4,0))))=0,NA(),SUMPRODUCT((Inputs!$A$5:$A$110=$B38)*Inputs!$B$5:$B$110*(((Inputs!$G$5:$G$110="moeda")+(Inputs!$G$5:$G$110="acoes"))*Inputs!$B$1+((Inputs!$G$5:$G$110&lt;&gt;"moeda")*(Inputs!$G$5:$G$110&lt;&gt;"acoes")))*INDEX(Inputs!$K$5:$AJ$110,0,MATCH(E$2,Inputs!$K$4:$AJ$4,0)))+SUMPRODUCT((Inputs!$C$5:$C$110=$B38)*Inputs!$D$5:$D$110*(((Inputs!$G$5:$G$110="moeda")+(Inputs!$G$5:$G$110="acoes"))*Inputs!$B$1+((Inputs!$G$5:$G$110&lt;&gt;"moeda")*(Inputs!$G$5:$G$110&lt;&gt;"acoes")))*INDEX(Inputs!$K$5:$AJ$110,0,MATCH(E$2,Inputs!$K$4:$AJ$4,0)))+SUMPRODUCT((Inputs!$E$5:$E$110=$B38)*Inputs!$F$5:$F$110*(((Inputs!$G$5:$G$110="moeda")+(Inputs!$G$5:$G$110="acoes"))*Inputs!$B$1+((Inputs!$G$5:$G$110&lt;&gt;"moeda")*(Inputs!$G$5:$G$110&lt;&gt;"acoes")))*INDEX(Inputs!$K$5:$AJ$110,0,MATCH(E$2,Inputs!$K$4:$AJ$4,0)))))</f>
        <v>0</v>
      </c>
      <c r="F38" s="6">
        <f>IF(ISNA(MATCH(F$2,Inputs!$K$4:$AJ$4,0)),NA(),IF(SUMPRODUCT((Inputs!$A$5:$A$110=$B38)*ISNUMBER(INDEX(Inputs!$K$5:$AJ$110,0,MATCH(F$2,Inputs!$K$4:$AJ$4,0))))+SUMPRODUCT((Inputs!$C$5:$C$110=$B38)*ISNUMBER(INDEX(Inputs!$K$5:$AJ$110,0,MATCH(F$2,Inputs!$K$4:$AJ$4,0))))+SUMPRODUCT((Inputs!$E$5:$E$110=$B38)*ISNUMBER(INDEX(Inputs!$K$5:$AJ$110,0,MATCH(F$2,Inputs!$K$4:$AJ$4,0))))=0,NA(),SUMPRODUCT((Inputs!$A$5:$A$110=$B38)*Inputs!$B$5:$B$110*(((Inputs!$G$5:$G$110="moeda")+(Inputs!$G$5:$G$110="acoes"))*Inputs!$B$1+((Inputs!$G$5:$G$110&lt;&gt;"moeda")*(Inputs!$G$5:$G$110&lt;&gt;"acoes")))*INDEX(Inputs!$K$5:$AJ$110,0,MATCH(F$2,Inputs!$K$4:$AJ$4,0)))+SUMPRODUCT((Inputs!$C$5:$C$110=$B38)*Inputs!$D$5:$D$110*(((Inputs!$G$5:$G$110="moeda")+(Inputs!$G$5:$G$110="acoes"))*Inputs!$B$1+((Inputs!$G$5:$G$110&lt;&gt;"moeda")*(Inputs!$G$5:$G$110&lt;&gt;"acoes")))*INDEX(Inputs!$K$5:$AJ$110,0,MATCH(F$2,Inputs!$K$4:$AJ$4,0)))+SUMPRODUCT((Inputs!$E$5:$E$110=$B38)*Inputs!$F$5:$F$110*(((Inputs!$G$5:$G$110="moeda")+(Inputs!$G$5:$G$110="acoes"))*Inputs!$B$1+((Inputs!$G$5:$G$110&lt;&gt;"moeda")*(Inputs!$G$5:$G$110&lt;&gt;"acoes")))*INDEX(Inputs!$K$5:$AJ$110,0,MATCH(F$2,Inputs!$K$4:$AJ$4,0)))))</f>
        <v>0</v>
      </c>
      <c r="G38" s="6">
        <f>IF(ISNA(MATCH(G$2,Inputs!$K$4:$AJ$4,0)),NA(),IF(SUMPRODUCT((Inputs!$A$5:$A$110=$B38)*ISNUMBER(INDEX(Inputs!$K$5:$AJ$110,0,MATCH(G$2,Inputs!$K$4:$AJ$4,0))))+SUMPRODUCT((Inputs!$C$5:$C$110=$B38)*ISNUMBER(INDEX(Inputs!$K$5:$AJ$110,0,MATCH(G$2,Inputs!$K$4:$AJ$4,0))))+SUMPRODUCT((Inputs!$E$5:$E$110=$B38)*ISNUMBER(INDEX(Inputs!$K$5:$AJ$110,0,MATCH(G$2,Inputs!$K$4:$AJ$4,0))))=0,NA(),SUMPRODUCT((Inputs!$A$5:$A$110=$B38)*Inputs!$B$5:$B$110*(((Inputs!$G$5:$G$110="moeda")+(Inputs!$G$5:$G$110="acoes"))*Inputs!$B$1+((Inputs!$G$5:$G$110&lt;&gt;"moeda")*(Inputs!$G$5:$G$110&lt;&gt;"acoes")))*INDEX(Inputs!$K$5:$AJ$110,0,MATCH(G$2,Inputs!$K$4:$AJ$4,0)))+SUMPRODUCT((Inputs!$C$5:$C$110=$B38)*Inputs!$D$5:$D$110*(((Inputs!$G$5:$G$110="moeda")+(Inputs!$G$5:$G$110="acoes"))*Inputs!$B$1+((Inputs!$G$5:$G$110&lt;&gt;"moeda")*(Inputs!$G$5:$G$110&lt;&gt;"acoes")))*INDEX(Inputs!$K$5:$AJ$110,0,MATCH(G$2,Inputs!$K$4:$AJ$4,0)))+SUMPRODUCT((Inputs!$E$5:$E$110=$B38)*Inputs!$F$5:$F$110*(((Inputs!$G$5:$G$110="moeda")+(Inputs!$G$5:$G$110="acoes"))*Inputs!$B$1+((Inputs!$G$5:$G$110&lt;&gt;"moeda")*(Inputs!$G$5:$G$110&lt;&gt;"acoes")))*INDEX(Inputs!$K$5:$AJ$110,0,MATCH(G$2,Inputs!$K$4:$AJ$4,0)))))</f>
        <v>0</v>
      </c>
      <c r="H38" s="3">
        <f>G38</f>
        <v>0</v>
      </c>
      <c r="I38" s="6">
        <f>IF(ISNA(MATCH(I$2,Inputs!$K$4:$AJ$4,0)),NA(),IF(SUMPRODUCT((Inputs!$A$5:$A$110=$B38)*ISNUMBER(INDEX(Inputs!$K$5:$AJ$110,0,MATCH(I$2,Inputs!$K$4:$AJ$4,0))))+SUMPRODUCT((Inputs!$C$5:$C$110=$B38)*ISNUMBER(INDEX(Inputs!$K$5:$AJ$110,0,MATCH(I$2,Inputs!$K$4:$AJ$4,0))))+SUMPRODUCT((Inputs!$E$5:$E$110=$B38)*ISNUMBER(INDEX(Inputs!$K$5:$AJ$110,0,MATCH(I$2,Inputs!$K$4:$AJ$4,0))))=0,NA(),SUMPRODUCT((Inputs!$A$5:$A$110=$B38)*Inputs!$B$5:$B$110*(((Inputs!$G$5:$G$110="moeda")+(Inputs!$G$5:$G$110="acoes"))*Inputs!$B$1+((Inputs!$G$5:$G$110&lt;&gt;"moeda")*(Inputs!$G$5:$G$110&lt;&gt;"acoes")))*INDEX(Inputs!$K$5:$AJ$110,0,MATCH(I$2,Inputs!$K$4:$AJ$4,0)))+SUMPRODUCT((Inputs!$C$5:$C$110=$B38)*Inputs!$D$5:$D$110*(((Inputs!$G$5:$G$110="moeda")+(Inputs!$G$5:$G$110="acoes"))*Inputs!$B$1+((Inputs!$G$5:$G$110&lt;&gt;"moeda")*(Inputs!$G$5:$G$110&lt;&gt;"acoes")))*INDEX(Inputs!$K$5:$AJ$110,0,MATCH(I$2,Inputs!$K$4:$AJ$4,0)))+SUMPRODUCT((Inputs!$E$5:$E$110=$B38)*Inputs!$F$5:$F$110*(((Inputs!$G$5:$G$110="moeda")+(Inputs!$G$5:$G$110="acoes"))*Inputs!$B$1+((Inputs!$G$5:$G$110&lt;&gt;"moeda")*(Inputs!$G$5:$G$110&lt;&gt;"acoes")))*INDEX(Inputs!$K$5:$AJ$110,0,MATCH(I$2,Inputs!$K$4:$AJ$4,0)))))</f>
        <v>0</v>
      </c>
      <c r="J38" s="6">
        <f>IF(ISNA(MATCH(J$2,Inputs!$K$4:$AJ$4,0)),NA(),IF(SUMPRODUCT((Inputs!$A$5:$A$110=$B38)*ISNUMBER(INDEX(Inputs!$K$5:$AJ$110,0,MATCH(J$2,Inputs!$K$4:$AJ$4,0))))+SUMPRODUCT((Inputs!$C$5:$C$110=$B38)*ISNUMBER(INDEX(Inputs!$K$5:$AJ$110,0,MATCH(J$2,Inputs!$K$4:$AJ$4,0))))+SUMPRODUCT((Inputs!$E$5:$E$110=$B38)*ISNUMBER(INDEX(Inputs!$K$5:$AJ$110,0,MATCH(J$2,Inputs!$K$4:$AJ$4,0))))=0,NA(),SUMPRODUCT((Inputs!$A$5:$A$110=$B38)*Inputs!$B$5:$B$110*(((Inputs!$G$5:$G$110="moeda")+(Inputs!$G$5:$G$110="acoes"))*Inputs!$B$1+((Inputs!$G$5:$G$110&lt;&gt;"moeda")*(Inputs!$G$5:$G$110&lt;&gt;"acoes")))*INDEX(Inputs!$K$5:$AJ$110,0,MATCH(J$2,Inputs!$K$4:$AJ$4,0)))+SUMPRODUCT((Inputs!$C$5:$C$110=$B38)*Inputs!$D$5:$D$110*(((Inputs!$G$5:$G$110="moeda")+(Inputs!$G$5:$G$110="acoes"))*Inputs!$B$1+((Inputs!$G$5:$G$110&lt;&gt;"moeda")*(Inputs!$G$5:$G$110&lt;&gt;"acoes")))*INDEX(Inputs!$K$5:$AJ$110,0,MATCH(J$2,Inputs!$K$4:$AJ$4,0)))+SUMPRODUCT((Inputs!$E$5:$E$110=$B38)*Inputs!$F$5:$F$110*(((Inputs!$G$5:$G$110="moeda")+(Inputs!$G$5:$G$110="acoes"))*Inputs!$B$1+((Inputs!$G$5:$G$110&lt;&gt;"moeda")*(Inputs!$G$5:$G$110&lt;&gt;"acoes")))*INDEX(Inputs!$K$5:$AJ$110,0,MATCH(J$2,Inputs!$K$4:$AJ$4,0)))))</f>
        <v>0</v>
      </c>
      <c r="K38" s="6">
        <f>IF(ISNA(MATCH(K$2,Inputs!$K$4:$AJ$4,0)),NA(),IF(SUMPRODUCT((Inputs!$A$5:$A$110=$B38)*ISNUMBER(INDEX(Inputs!$K$5:$AJ$110,0,MATCH(K$2,Inputs!$K$4:$AJ$4,0))))+SUMPRODUCT((Inputs!$C$5:$C$110=$B38)*ISNUMBER(INDEX(Inputs!$K$5:$AJ$110,0,MATCH(K$2,Inputs!$K$4:$AJ$4,0))))+SUMPRODUCT((Inputs!$E$5:$E$110=$B38)*ISNUMBER(INDEX(Inputs!$K$5:$AJ$110,0,MATCH(K$2,Inputs!$K$4:$AJ$4,0))))=0,NA(),SUMPRODUCT((Inputs!$A$5:$A$110=$B38)*Inputs!$B$5:$B$110*(((Inputs!$G$5:$G$110="moeda")+(Inputs!$G$5:$G$110="acoes"))*Inputs!$B$1+((Inputs!$G$5:$G$110&lt;&gt;"moeda")*(Inputs!$G$5:$G$110&lt;&gt;"acoes")))*INDEX(Inputs!$K$5:$AJ$110,0,MATCH(K$2,Inputs!$K$4:$AJ$4,0)))+SUMPRODUCT((Inputs!$C$5:$C$110=$B38)*Inputs!$D$5:$D$110*(((Inputs!$G$5:$G$110="moeda")+(Inputs!$G$5:$G$110="acoes"))*Inputs!$B$1+((Inputs!$G$5:$G$110&lt;&gt;"moeda")*(Inputs!$G$5:$G$110&lt;&gt;"acoes")))*INDEX(Inputs!$K$5:$AJ$110,0,MATCH(K$2,Inputs!$K$4:$AJ$4,0)))+SUMPRODUCT((Inputs!$E$5:$E$110=$B38)*Inputs!$F$5:$F$110*(((Inputs!$G$5:$G$110="moeda")+(Inputs!$G$5:$G$110="acoes"))*Inputs!$B$1+((Inputs!$G$5:$G$110&lt;&gt;"moeda")*(Inputs!$G$5:$G$110&lt;&gt;"acoes")))*INDEX(Inputs!$K$5:$AJ$110,0,MATCH(K$2,Inputs!$K$4:$AJ$4,0)))))</f>
        <v>0</v>
      </c>
      <c r="L38" s="6">
        <f>IF(ISNA(MATCH(L$2,Inputs!$K$4:$AJ$4,0)),NA(),IF(SUMPRODUCT((Inputs!$A$5:$A$110=$B38)*ISNUMBER(INDEX(Inputs!$K$5:$AJ$110,0,MATCH(L$2,Inputs!$K$4:$AJ$4,0))))+SUMPRODUCT((Inputs!$C$5:$C$110=$B38)*ISNUMBER(INDEX(Inputs!$K$5:$AJ$110,0,MATCH(L$2,Inputs!$K$4:$AJ$4,0))))+SUMPRODUCT((Inputs!$E$5:$E$110=$B38)*ISNUMBER(INDEX(Inputs!$K$5:$AJ$110,0,MATCH(L$2,Inputs!$K$4:$AJ$4,0))))=0,NA(),SUMPRODUCT((Inputs!$A$5:$A$110=$B38)*Inputs!$B$5:$B$110*(((Inputs!$G$5:$G$110="moeda")+(Inputs!$G$5:$G$110="acoes"))*Inputs!$B$1+((Inputs!$G$5:$G$110&lt;&gt;"moeda")*(Inputs!$G$5:$G$110&lt;&gt;"acoes")))*INDEX(Inputs!$K$5:$AJ$110,0,MATCH(L$2,Inputs!$K$4:$AJ$4,0)))+SUMPRODUCT((Inputs!$C$5:$C$110=$B38)*Inputs!$D$5:$D$110*(((Inputs!$G$5:$G$110="moeda")+(Inputs!$G$5:$G$110="acoes"))*Inputs!$B$1+((Inputs!$G$5:$G$110&lt;&gt;"moeda")*(Inputs!$G$5:$G$110&lt;&gt;"acoes")))*INDEX(Inputs!$K$5:$AJ$110,0,MATCH(L$2,Inputs!$K$4:$AJ$4,0)))+SUMPRODUCT((Inputs!$E$5:$E$110=$B38)*Inputs!$F$5:$F$110*(((Inputs!$G$5:$G$110="moeda")+(Inputs!$G$5:$G$110="acoes"))*Inputs!$B$1+((Inputs!$G$5:$G$110&lt;&gt;"moeda")*(Inputs!$G$5:$G$110&lt;&gt;"acoes")))*INDEX(Inputs!$K$5:$AJ$110,0,MATCH(L$2,Inputs!$K$4:$AJ$4,0)))))</f>
        <v>0</v>
      </c>
      <c r="M38" s="3">
        <f>L38</f>
        <v>0</v>
      </c>
      <c r="N38" s="6">
        <f>IF(ISNA(MATCH(N$2,Inputs!$K$4:$AJ$4,0)),NA(),IF(SUMPRODUCT((Inputs!$A$5:$A$110=$B38)*ISNUMBER(INDEX(Inputs!$K$5:$AJ$110,0,MATCH(N$2,Inputs!$K$4:$AJ$4,0))))+SUMPRODUCT((Inputs!$C$5:$C$110=$B38)*ISNUMBER(INDEX(Inputs!$K$5:$AJ$110,0,MATCH(N$2,Inputs!$K$4:$AJ$4,0))))+SUMPRODUCT((Inputs!$E$5:$E$110=$B38)*ISNUMBER(INDEX(Inputs!$K$5:$AJ$110,0,MATCH(N$2,Inputs!$K$4:$AJ$4,0))))=0,NA(),SUMPRODUCT((Inputs!$A$5:$A$110=$B38)*Inputs!$B$5:$B$110*(((Inputs!$G$5:$G$110="moeda")+(Inputs!$G$5:$G$110="acoes"))*Inputs!$B$1+((Inputs!$G$5:$G$110&lt;&gt;"moeda")*(Inputs!$G$5:$G$110&lt;&gt;"acoes")))*INDEX(Inputs!$K$5:$AJ$110,0,MATCH(N$2,Inputs!$K$4:$AJ$4,0)))+SUMPRODUCT((Inputs!$C$5:$C$110=$B38)*Inputs!$D$5:$D$110*(((Inputs!$G$5:$G$110="moeda")+(Inputs!$G$5:$G$110="acoes"))*Inputs!$B$1+((Inputs!$G$5:$G$110&lt;&gt;"moeda")*(Inputs!$G$5:$G$110&lt;&gt;"acoes")))*INDEX(Inputs!$K$5:$AJ$110,0,MATCH(N$2,Inputs!$K$4:$AJ$4,0)))+SUMPRODUCT((Inputs!$E$5:$E$110=$B38)*Inputs!$F$5:$F$110*(((Inputs!$G$5:$G$110="moeda")+(Inputs!$G$5:$G$110="acoes"))*Inputs!$B$1+((Inputs!$G$5:$G$110&lt;&gt;"moeda")*(Inputs!$G$5:$G$110&lt;&gt;"acoes")))*INDEX(Inputs!$K$5:$AJ$110,0,MATCH(N$2,Inputs!$K$4:$AJ$4,0)))))</f>
        <v>0</v>
      </c>
      <c r="O38" s="6">
        <f>IF(ISNA(MATCH(O$2,Inputs!$K$4:$AJ$4,0)),NA(),IF(SUMPRODUCT((Inputs!$A$5:$A$110=$B38)*ISNUMBER(INDEX(Inputs!$K$5:$AJ$110,0,MATCH(O$2,Inputs!$K$4:$AJ$4,0))))+SUMPRODUCT((Inputs!$C$5:$C$110=$B38)*ISNUMBER(INDEX(Inputs!$K$5:$AJ$110,0,MATCH(O$2,Inputs!$K$4:$AJ$4,0))))+SUMPRODUCT((Inputs!$E$5:$E$110=$B38)*ISNUMBER(INDEX(Inputs!$K$5:$AJ$110,0,MATCH(O$2,Inputs!$K$4:$AJ$4,0))))=0,NA(),SUMPRODUCT((Inputs!$A$5:$A$110=$B38)*Inputs!$B$5:$B$110*(((Inputs!$G$5:$G$110="moeda")+(Inputs!$G$5:$G$110="acoes"))*Inputs!$B$1+((Inputs!$G$5:$G$110&lt;&gt;"moeda")*(Inputs!$G$5:$G$110&lt;&gt;"acoes")))*INDEX(Inputs!$K$5:$AJ$110,0,MATCH(O$2,Inputs!$K$4:$AJ$4,0)))+SUMPRODUCT((Inputs!$C$5:$C$110=$B38)*Inputs!$D$5:$D$110*(((Inputs!$G$5:$G$110="moeda")+(Inputs!$G$5:$G$110="acoes"))*Inputs!$B$1+((Inputs!$G$5:$G$110&lt;&gt;"moeda")*(Inputs!$G$5:$G$110&lt;&gt;"acoes")))*INDEX(Inputs!$K$5:$AJ$110,0,MATCH(O$2,Inputs!$K$4:$AJ$4,0)))+SUMPRODUCT((Inputs!$E$5:$E$110=$B38)*Inputs!$F$5:$F$110*(((Inputs!$G$5:$G$110="moeda")+(Inputs!$G$5:$G$110="acoes"))*Inputs!$B$1+((Inputs!$G$5:$G$110&lt;&gt;"moeda")*(Inputs!$G$5:$G$110&lt;&gt;"acoes")))*INDEX(Inputs!$K$5:$AJ$110,0,MATCH(O$2,Inputs!$K$4:$AJ$4,0)))))</f>
        <v>0</v>
      </c>
      <c r="P38" s="6">
        <f>IF(ISNA(MATCH(P$2,Inputs!$K$4:$AJ$4,0)),NA(),IF(SUMPRODUCT((Inputs!$A$5:$A$110=$B38)*ISNUMBER(INDEX(Inputs!$K$5:$AJ$110,0,MATCH(P$2,Inputs!$K$4:$AJ$4,0))))+SUMPRODUCT((Inputs!$C$5:$C$110=$B38)*ISNUMBER(INDEX(Inputs!$K$5:$AJ$110,0,MATCH(P$2,Inputs!$K$4:$AJ$4,0))))+SUMPRODUCT((Inputs!$E$5:$E$110=$B38)*ISNUMBER(INDEX(Inputs!$K$5:$AJ$110,0,MATCH(P$2,Inputs!$K$4:$AJ$4,0))))=0,NA(),SUMPRODUCT((Inputs!$A$5:$A$110=$B38)*Inputs!$B$5:$B$110*(((Inputs!$G$5:$G$110="moeda")+(Inputs!$G$5:$G$110="acoes"))*Inputs!$B$1+((Inputs!$G$5:$G$110&lt;&gt;"moeda")*(Inputs!$G$5:$G$110&lt;&gt;"acoes")))*INDEX(Inputs!$K$5:$AJ$110,0,MATCH(P$2,Inputs!$K$4:$AJ$4,0)))+SUMPRODUCT((Inputs!$C$5:$C$110=$B38)*Inputs!$D$5:$D$110*(((Inputs!$G$5:$G$110="moeda")+(Inputs!$G$5:$G$110="acoes"))*Inputs!$B$1+((Inputs!$G$5:$G$110&lt;&gt;"moeda")*(Inputs!$G$5:$G$110&lt;&gt;"acoes")))*INDEX(Inputs!$K$5:$AJ$110,0,MATCH(P$2,Inputs!$K$4:$AJ$4,0)))+SUMPRODUCT((Inputs!$E$5:$E$110=$B38)*Inputs!$F$5:$F$110*(((Inputs!$G$5:$G$110="moeda")+(Inputs!$G$5:$G$110="acoes"))*Inputs!$B$1+((Inputs!$G$5:$G$110&lt;&gt;"moeda")*(Inputs!$G$5:$G$110&lt;&gt;"acoes")))*INDEX(Inputs!$K$5:$AJ$110,0,MATCH(P$2,Inputs!$K$4:$AJ$4,0)))))</f>
        <v>0</v>
      </c>
      <c r="Q38" s="6">
        <f>IF(ISNA(MATCH(Q$2,Inputs!$K$4:$AJ$4,0)),NA(),IF(SUMPRODUCT((Inputs!$A$5:$A$110=$B38)*ISNUMBER(INDEX(Inputs!$K$5:$AJ$110,0,MATCH(Q$2,Inputs!$K$4:$AJ$4,0))))+SUMPRODUCT((Inputs!$C$5:$C$110=$B38)*ISNUMBER(INDEX(Inputs!$K$5:$AJ$110,0,MATCH(Q$2,Inputs!$K$4:$AJ$4,0))))+SUMPRODUCT((Inputs!$E$5:$E$110=$B38)*ISNUMBER(INDEX(Inputs!$K$5:$AJ$110,0,MATCH(Q$2,Inputs!$K$4:$AJ$4,0))))=0,NA(),SUMPRODUCT((Inputs!$A$5:$A$110=$B38)*Inputs!$B$5:$B$110*(((Inputs!$G$5:$G$110="moeda")+(Inputs!$G$5:$G$110="acoes"))*Inputs!$B$1+((Inputs!$G$5:$G$110&lt;&gt;"moeda")*(Inputs!$G$5:$G$110&lt;&gt;"acoes")))*INDEX(Inputs!$K$5:$AJ$110,0,MATCH(Q$2,Inputs!$K$4:$AJ$4,0)))+SUMPRODUCT((Inputs!$C$5:$C$110=$B38)*Inputs!$D$5:$D$110*(((Inputs!$G$5:$G$110="moeda")+(Inputs!$G$5:$G$110="acoes"))*Inputs!$B$1+((Inputs!$G$5:$G$110&lt;&gt;"moeda")*(Inputs!$G$5:$G$110&lt;&gt;"acoes")))*INDEX(Inputs!$K$5:$AJ$110,0,MATCH(Q$2,Inputs!$K$4:$AJ$4,0)))+SUMPRODUCT((Inputs!$E$5:$E$110=$B38)*Inputs!$F$5:$F$110*(((Inputs!$G$5:$G$110="moeda")+(Inputs!$G$5:$G$110="acoes"))*Inputs!$B$1+((Inputs!$G$5:$G$110&lt;&gt;"moeda")*(Inputs!$G$5:$G$110&lt;&gt;"acoes")))*INDEX(Inputs!$K$5:$AJ$110,0,MATCH(Q$2,Inputs!$K$4:$AJ$4,0)))))</f>
        <v>0</v>
      </c>
      <c r="R38" s="3">
        <f>Q38</f>
        <v>0</v>
      </c>
      <c r="S38" s="6">
        <f>IF(ISNA(MATCH(S$2,Inputs!$K$4:$AJ$4,0)),NA(),IF(SUMPRODUCT((Inputs!$A$5:$A$110=$B38)*ISNUMBER(INDEX(Inputs!$K$5:$AJ$110,0,MATCH(S$2,Inputs!$K$4:$AJ$4,0))))+SUMPRODUCT((Inputs!$C$5:$C$110=$B38)*ISNUMBER(INDEX(Inputs!$K$5:$AJ$110,0,MATCH(S$2,Inputs!$K$4:$AJ$4,0))))+SUMPRODUCT((Inputs!$E$5:$E$110=$B38)*ISNUMBER(INDEX(Inputs!$K$5:$AJ$110,0,MATCH(S$2,Inputs!$K$4:$AJ$4,0))))=0,NA(),SUMPRODUCT((Inputs!$A$5:$A$110=$B38)*Inputs!$B$5:$B$110*(((Inputs!$G$5:$G$110="moeda")+(Inputs!$G$5:$G$110="acoes"))*Inputs!$B$1+((Inputs!$G$5:$G$110&lt;&gt;"moeda")*(Inputs!$G$5:$G$110&lt;&gt;"acoes")))*INDEX(Inputs!$K$5:$AJ$110,0,MATCH(S$2,Inputs!$K$4:$AJ$4,0)))+SUMPRODUCT((Inputs!$C$5:$C$110=$B38)*Inputs!$D$5:$D$110*(((Inputs!$G$5:$G$110="moeda")+(Inputs!$G$5:$G$110="acoes"))*Inputs!$B$1+((Inputs!$G$5:$G$110&lt;&gt;"moeda")*(Inputs!$G$5:$G$110&lt;&gt;"acoes")))*INDEX(Inputs!$K$5:$AJ$110,0,MATCH(S$2,Inputs!$K$4:$AJ$4,0)))+SUMPRODUCT((Inputs!$E$5:$E$110=$B38)*Inputs!$F$5:$F$110*(((Inputs!$G$5:$G$110="moeda")+(Inputs!$G$5:$G$110="acoes"))*Inputs!$B$1+((Inputs!$G$5:$G$110&lt;&gt;"moeda")*(Inputs!$G$5:$G$110&lt;&gt;"acoes")))*INDEX(Inputs!$K$5:$AJ$110,0,MATCH(S$2,Inputs!$K$4:$AJ$4,0)))))</f>
        <v>0</v>
      </c>
      <c r="T38" s="6">
        <f>IF(ISNA(MATCH(T$2,Inputs!$K$4:$AJ$4,0)),NA(),IF(SUMPRODUCT((Inputs!$A$5:$A$110=$B38)*ISNUMBER(INDEX(Inputs!$K$5:$AJ$110,0,MATCH(T$2,Inputs!$K$4:$AJ$4,0))))+SUMPRODUCT((Inputs!$C$5:$C$110=$B38)*ISNUMBER(INDEX(Inputs!$K$5:$AJ$110,0,MATCH(T$2,Inputs!$K$4:$AJ$4,0))))+SUMPRODUCT((Inputs!$E$5:$E$110=$B38)*ISNUMBER(INDEX(Inputs!$K$5:$AJ$110,0,MATCH(T$2,Inputs!$K$4:$AJ$4,0))))=0,NA(),SUMPRODUCT((Inputs!$A$5:$A$110=$B38)*Inputs!$B$5:$B$110*(((Inputs!$G$5:$G$110="moeda")+(Inputs!$G$5:$G$110="acoes"))*Inputs!$B$1+((Inputs!$G$5:$G$110&lt;&gt;"moeda")*(Inputs!$G$5:$G$110&lt;&gt;"acoes")))*INDEX(Inputs!$K$5:$AJ$110,0,MATCH(T$2,Inputs!$K$4:$AJ$4,0)))+SUMPRODUCT((Inputs!$C$5:$C$110=$B38)*Inputs!$D$5:$D$110*(((Inputs!$G$5:$G$110="moeda")+(Inputs!$G$5:$G$110="acoes"))*Inputs!$B$1+((Inputs!$G$5:$G$110&lt;&gt;"moeda")*(Inputs!$G$5:$G$110&lt;&gt;"acoes")))*INDEX(Inputs!$K$5:$AJ$110,0,MATCH(T$2,Inputs!$K$4:$AJ$4,0)))+SUMPRODUCT((Inputs!$E$5:$E$110=$B38)*Inputs!$F$5:$F$110*(((Inputs!$G$5:$G$110="moeda")+(Inputs!$G$5:$G$110="acoes"))*Inputs!$B$1+((Inputs!$G$5:$G$110&lt;&gt;"moeda")*(Inputs!$G$5:$G$110&lt;&gt;"acoes")))*INDEX(Inputs!$K$5:$AJ$110,0,MATCH(T$2,Inputs!$K$4:$AJ$4,0)))))</f>
        <v>0</v>
      </c>
      <c r="U38" s="6">
        <f>IF(ISNA(MATCH(U$2,Inputs!$K$4:$AJ$4,0)),NA(),IF(SUMPRODUCT((Inputs!$A$5:$A$110=$B38)*ISNUMBER(INDEX(Inputs!$K$5:$AJ$110,0,MATCH(U$2,Inputs!$K$4:$AJ$4,0))))+SUMPRODUCT((Inputs!$C$5:$C$110=$B38)*ISNUMBER(INDEX(Inputs!$K$5:$AJ$110,0,MATCH(U$2,Inputs!$K$4:$AJ$4,0))))+SUMPRODUCT((Inputs!$E$5:$E$110=$B38)*ISNUMBER(INDEX(Inputs!$K$5:$AJ$110,0,MATCH(U$2,Inputs!$K$4:$AJ$4,0))))=0,NA(),SUMPRODUCT((Inputs!$A$5:$A$110=$B38)*Inputs!$B$5:$B$110*(((Inputs!$G$5:$G$110="moeda")+(Inputs!$G$5:$G$110="acoes"))*Inputs!$B$1+((Inputs!$G$5:$G$110&lt;&gt;"moeda")*(Inputs!$G$5:$G$110&lt;&gt;"acoes")))*INDEX(Inputs!$K$5:$AJ$110,0,MATCH(U$2,Inputs!$K$4:$AJ$4,0)))+SUMPRODUCT((Inputs!$C$5:$C$110=$B38)*Inputs!$D$5:$D$110*(((Inputs!$G$5:$G$110="moeda")+(Inputs!$G$5:$G$110="acoes"))*Inputs!$B$1+((Inputs!$G$5:$G$110&lt;&gt;"moeda")*(Inputs!$G$5:$G$110&lt;&gt;"acoes")))*INDEX(Inputs!$K$5:$AJ$110,0,MATCH(U$2,Inputs!$K$4:$AJ$4,0)))+SUMPRODUCT((Inputs!$E$5:$E$110=$B38)*Inputs!$F$5:$F$110*(((Inputs!$G$5:$G$110="moeda")+(Inputs!$G$5:$G$110="acoes"))*Inputs!$B$1+((Inputs!$G$5:$G$110&lt;&gt;"moeda")*(Inputs!$G$5:$G$110&lt;&gt;"acoes")))*INDEX(Inputs!$K$5:$AJ$110,0,MATCH(U$2,Inputs!$K$4:$AJ$4,0)))))</f>
        <v>0</v>
      </c>
      <c r="V38" s="6">
        <f>IF(ISNA(MATCH(V$2,Inputs!$K$4:$AJ$4,0)),NA(),IF(SUMPRODUCT((Inputs!$A$5:$A$110=$B38)*ISNUMBER(INDEX(Inputs!$K$5:$AJ$110,0,MATCH(V$2,Inputs!$K$4:$AJ$4,0))))+SUMPRODUCT((Inputs!$C$5:$C$110=$B38)*ISNUMBER(INDEX(Inputs!$K$5:$AJ$110,0,MATCH(V$2,Inputs!$K$4:$AJ$4,0))))+SUMPRODUCT((Inputs!$E$5:$E$110=$B38)*ISNUMBER(INDEX(Inputs!$K$5:$AJ$110,0,MATCH(V$2,Inputs!$K$4:$AJ$4,0))))=0,NA(),SUMPRODUCT((Inputs!$A$5:$A$110=$B38)*Inputs!$B$5:$B$110*(((Inputs!$G$5:$G$110="moeda")+(Inputs!$G$5:$G$110="acoes"))*Inputs!$B$1+((Inputs!$G$5:$G$110&lt;&gt;"moeda")*(Inputs!$G$5:$G$110&lt;&gt;"acoes")))*INDEX(Inputs!$K$5:$AJ$110,0,MATCH(V$2,Inputs!$K$4:$AJ$4,0)))+SUMPRODUCT((Inputs!$C$5:$C$110=$B38)*Inputs!$D$5:$D$110*(((Inputs!$G$5:$G$110="moeda")+(Inputs!$G$5:$G$110="acoes"))*Inputs!$B$1+((Inputs!$G$5:$G$110&lt;&gt;"moeda")*(Inputs!$G$5:$G$110&lt;&gt;"acoes")))*INDEX(Inputs!$K$5:$AJ$110,0,MATCH(V$2,Inputs!$K$4:$AJ$4,0)))+SUMPRODUCT((Inputs!$E$5:$E$110=$B38)*Inputs!$F$5:$F$110*(((Inputs!$G$5:$G$110="moeda")+(Inputs!$G$5:$G$110="acoes"))*Inputs!$B$1+((Inputs!$G$5:$G$110&lt;&gt;"moeda")*(Inputs!$G$5:$G$110&lt;&gt;"acoes")))*INDEX(Inputs!$K$5:$AJ$110,0,MATCH(V$2,Inputs!$K$4:$AJ$4,0)))))</f>
        <v>0</v>
      </c>
      <c r="W38" s="3">
        <f>V38</f>
        <v>0</v>
      </c>
      <c r="X38" s="6">
        <f>IF(ISNA(MATCH(X$2,Inputs!$K$4:$AJ$4,0)),NA(),IF(SUMPRODUCT((Inputs!$A$5:$A$110=$B38)*ISNUMBER(INDEX(Inputs!$K$5:$AJ$110,0,MATCH(X$2,Inputs!$K$4:$AJ$4,0))))+SUMPRODUCT((Inputs!$C$5:$C$110=$B38)*ISNUMBER(INDEX(Inputs!$K$5:$AJ$110,0,MATCH(X$2,Inputs!$K$4:$AJ$4,0))))+SUMPRODUCT((Inputs!$E$5:$E$110=$B38)*ISNUMBER(INDEX(Inputs!$K$5:$AJ$110,0,MATCH(X$2,Inputs!$K$4:$AJ$4,0))))=0,NA(),SUMPRODUCT((Inputs!$A$5:$A$110=$B38)*Inputs!$B$5:$B$110*(((Inputs!$G$5:$G$110="moeda")+(Inputs!$G$5:$G$110="acoes"))*Inputs!$B$1+((Inputs!$G$5:$G$110&lt;&gt;"moeda")*(Inputs!$G$5:$G$110&lt;&gt;"acoes")))*INDEX(Inputs!$K$5:$AJ$110,0,MATCH(X$2,Inputs!$K$4:$AJ$4,0)))+SUMPRODUCT((Inputs!$C$5:$C$110=$B38)*Inputs!$D$5:$D$110*(((Inputs!$G$5:$G$110="moeda")+(Inputs!$G$5:$G$110="acoes"))*Inputs!$B$1+((Inputs!$G$5:$G$110&lt;&gt;"moeda")*(Inputs!$G$5:$G$110&lt;&gt;"acoes")))*INDEX(Inputs!$K$5:$AJ$110,0,MATCH(X$2,Inputs!$K$4:$AJ$4,0)))+SUMPRODUCT((Inputs!$E$5:$E$110=$B38)*Inputs!$F$5:$F$110*(((Inputs!$G$5:$G$110="moeda")+(Inputs!$G$5:$G$110="acoes"))*Inputs!$B$1+((Inputs!$G$5:$G$110&lt;&gt;"moeda")*(Inputs!$G$5:$G$110&lt;&gt;"acoes")))*INDEX(Inputs!$K$5:$AJ$110,0,MATCH(X$2,Inputs!$K$4:$AJ$4,0)))))</f>
        <v>0</v>
      </c>
      <c r="Y38" s="6">
        <f>IF(ISNA(MATCH(Y$2,Inputs!$K$4:$AJ$4,0)),NA(),IF(SUMPRODUCT((Inputs!$A$5:$A$110=$B38)*ISNUMBER(INDEX(Inputs!$K$5:$AJ$110,0,MATCH(Y$2,Inputs!$K$4:$AJ$4,0))))+SUMPRODUCT((Inputs!$C$5:$C$110=$B38)*ISNUMBER(INDEX(Inputs!$K$5:$AJ$110,0,MATCH(Y$2,Inputs!$K$4:$AJ$4,0))))+SUMPRODUCT((Inputs!$E$5:$E$110=$B38)*ISNUMBER(INDEX(Inputs!$K$5:$AJ$110,0,MATCH(Y$2,Inputs!$K$4:$AJ$4,0))))=0,NA(),SUMPRODUCT((Inputs!$A$5:$A$110=$B38)*Inputs!$B$5:$B$110*(((Inputs!$G$5:$G$110="moeda")+(Inputs!$G$5:$G$110="acoes"))*Inputs!$B$1+((Inputs!$G$5:$G$110&lt;&gt;"moeda")*(Inputs!$G$5:$G$110&lt;&gt;"acoes")))*INDEX(Inputs!$K$5:$AJ$110,0,MATCH(Y$2,Inputs!$K$4:$AJ$4,0)))+SUMPRODUCT((Inputs!$C$5:$C$110=$B38)*Inputs!$D$5:$D$110*(((Inputs!$G$5:$G$110="moeda")+(Inputs!$G$5:$G$110="acoes"))*Inputs!$B$1+((Inputs!$G$5:$G$110&lt;&gt;"moeda")*(Inputs!$G$5:$G$110&lt;&gt;"acoes")))*INDEX(Inputs!$K$5:$AJ$110,0,MATCH(Y$2,Inputs!$K$4:$AJ$4,0)))+SUMPRODUCT((Inputs!$E$5:$E$110=$B38)*Inputs!$F$5:$F$110*(((Inputs!$G$5:$G$110="moeda")+(Inputs!$G$5:$G$110="acoes"))*Inputs!$B$1+((Inputs!$G$5:$G$110&lt;&gt;"moeda")*(Inputs!$G$5:$G$110&lt;&gt;"acoes")))*INDEX(Inputs!$K$5:$AJ$110,0,MATCH(Y$2,Inputs!$K$4:$AJ$4,0)))))</f>
        <v>0</v>
      </c>
      <c r="Z38" s="6">
        <f>IF(ISNA(MATCH(Z$2,Inputs!$K$4:$AJ$4,0)),NA(),IF(SUMPRODUCT((Inputs!$A$5:$A$110=$B38)*ISNUMBER(INDEX(Inputs!$K$5:$AJ$110,0,MATCH(Z$2,Inputs!$K$4:$AJ$4,0))))+SUMPRODUCT((Inputs!$C$5:$C$110=$B38)*ISNUMBER(INDEX(Inputs!$K$5:$AJ$110,0,MATCH(Z$2,Inputs!$K$4:$AJ$4,0))))+SUMPRODUCT((Inputs!$E$5:$E$110=$B38)*ISNUMBER(INDEX(Inputs!$K$5:$AJ$110,0,MATCH(Z$2,Inputs!$K$4:$AJ$4,0))))=0,NA(),SUMPRODUCT((Inputs!$A$5:$A$110=$B38)*Inputs!$B$5:$B$110*(((Inputs!$G$5:$G$110="moeda")+(Inputs!$G$5:$G$110="acoes"))*Inputs!$B$1+((Inputs!$G$5:$G$110&lt;&gt;"moeda")*(Inputs!$G$5:$G$110&lt;&gt;"acoes")))*INDEX(Inputs!$K$5:$AJ$110,0,MATCH(Z$2,Inputs!$K$4:$AJ$4,0)))+SUMPRODUCT((Inputs!$C$5:$C$110=$B38)*Inputs!$D$5:$D$110*(((Inputs!$G$5:$G$110="moeda")+(Inputs!$G$5:$G$110="acoes"))*Inputs!$B$1+((Inputs!$G$5:$G$110&lt;&gt;"moeda")*(Inputs!$G$5:$G$110&lt;&gt;"acoes")))*INDEX(Inputs!$K$5:$AJ$110,0,MATCH(Z$2,Inputs!$K$4:$AJ$4,0)))+SUMPRODUCT((Inputs!$E$5:$E$110=$B38)*Inputs!$F$5:$F$110*(((Inputs!$G$5:$G$110="moeda")+(Inputs!$G$5:$G$110="acoes"))*Inputs!$B$1+((Inputs!$G$5:$G$110&lt;&gt;"moeda")*(Inputs!$G$5:$G$110&lt;&gt;"acoes")))*INDEX(Inputs!$K$5:$AJ$110,0,MATCH(Z$2,Inputs!$K$4:$AJ$4,0)))))</f>
        <v>0</v>
      </c>
      <c r="AA38" s="6">
        <f>IF(ISNA(MATCH(AA$2,Inputs!$K$4:$AJ$4,0)),NA(),IF(SUMPRODUCT((Inputs!$A$5:$A$110=$B38)*ISNUMBER(INDEX(Inputs!$K$5:$AJ$110,0,MATCH(AA$2,Inputs!$K$4:$AJ$4,0))))+SUMPRODUCT((Inputs!$C$5:$C$110=$B38)*ISNUMBER(INDEX(Inputs!$K$5:$AJ$110,0,MATCH(AA$2,Inputs!$K$4:$AJ$4,0))))+SUMPRODUCT((Inputs!$E$5:$E$110=$B38)*ISNUMBER(INDEX(Inputs!$K$5:$AJ$110,0,MATCH(AA$2,Inputs!$K$4:$AJ$4,0))))=0,NA(),SUMPRODUCT((Inputs!$A$5:$A$110=$B38)*Inputs!$B$5:$B$110*(((Inputs!$G$5:$G$110="moeda")+(Inputs!$G$5:$G$110="acoes"))*Inputs!$B$1+((Inputs!$G$5:$G$110&lt;&gt;"moeda")*(Inputs!$G$5:$G$110&lt;&gt;"acoes")))*INDEX(Inputs!$K$5:$AJ$110,0,MATCH(AA$2,Inputs!$K$4:$AJ$4,0)))+SUMPRODUCT((Inputs!$C$5:$C$110=$B38)*Inputs!$D$5:$D$110*(((Inputs!$G$5:$G$110="moeda")+(Inputs!$G$5:$G$110="acoes"))*Inputs!$B$1+((Inputs!$G$5:$G$110&lt;&gt;"moeda")*(Inputs!$G$5:$G$110&lt;&gt;"acoes")))*INDEX(Inputs!$K$5:$AJ$110,0,MATCH(AA$2,Inputs!$K$4:$AJ$4,0)))+SUMPRODUCT((Inputs!$E$5:$E$110=$B38)*Inputs!$F$5:$F$110*(((Inputs!$G$5:$G$110="moeda")+(Inputs!$G$5:$G$110="acoes"))*Inputs!$B$1+((Inputs!$G$5:$G$110&lt;&gt;"moeda")*(Inputs!$G$5:$G$110&lt;&gt;"acoes")))*INDEX(Inputs!$K$5:$AJ$110,0,MATCH(AA$2,Inputs!$K$4:$AJ$4,0)))))</f>
        <v>0</v>
      </c>
      <c r="AB38" s="3">
        <f>AA38</f>
        <v>0</v>
      </c>
      <c r="AC38" s="6">
        <f>IF(ISNA(MATCH(AC$2,Inputs!$K$4:$AJ$4,0)),NA(),IF(SUMPRODUCT((Inputs!$A$5:$A$110=$B38)*ISNUMBER(INDEX(Inputs!$K$5:$AJ$110,0,MATCH(AC$2,Inputs!$K$4:$AJ$4,0))))+SUMPRODUCT((Inputs!$C$5:$C$110=$B38)*ISNUMBER(INDEX(Inputs!$K$5:$AJ$110,0,MATCH(AC$2,Inputs!$K$4:$AJ$4,0))))+SUMPRODUCT((Inputs!$E$5:$E$110=$B38)*ISNUMBER(INDEX(Inputs!$K$5:$AJ$110,0,MATCH(AC$2,Inputs!$K$4:$AJ$4,0))))=0,NA(),SUMPRODUCT((Inputs!$A$5:$A$110=$B38)*Inputs!$B$5:$B$110*(((Inputs!$G$5:$G$110="moeda")+(Inputs!$G$5:$G$110="acoes"))*Inputs!$B$1+((Inputs!$G$5:$G$110&lt;&gt;"moeda")*(Inputs!$G$5:$G$110&lt;&gt;"acoes")))*INDEX(Inputs!$K$5:$AJ$110,0,MATCH(AC$2,Inputs!$K$4:$AJ$4,0)))+SUMPRODUCT((Inputs!$C$5:$C$110=$B38)*Inputs!$D$5:$D$110*(((Inputs!$G$5:$G$110="moeda")+(Inputs!$G$5:$G$110="acoes"))*Inputs!$B$1+((Inputs!$G$5:$G$110&lt;&gt;"moeda")*(Inputs!$G$5:$G$110&lt;&gt;"acoes")))*INDEX(Inputs!$K$5:$AJ$110,0,MATCH(AC$2,Inputs!$K$4:$AJ$4,0)))+SUMPRODUCT((Inputs!$E$5:$E$110=$B38)*Inputs!$F$5:$F$110*(((Inputs!$G$5:$G$110="moeda")+(Inputs!$G$5:$G$110="acoes"))*Inputs!$B$1+((Inputs!$G$5:$G$110&lt;&gt;"moeda")*(Inputs!$G$5:$G$110&lt;&gt;"acoes")))*INDEX(Inputs!$K$5:$AJ$110,0,MATCH(AC$2,Inputs!$K$4:$AJ$4,0)))))</f>
        <v>0</v>
      </c>
      <c r="AD38" s="6">
        <f>IF(ISNA(MATCH(AD$2,Inputs!$K$4:$AJ$4,0)),NA(),IF(SUMPRODUCT((Inputs!$A$5:$A$110=$B38)*ISNUMBER(INDEX(Inputs!$K$5:$AJ$110,0,MATCH(AD$2,Inputs!$K$4:$AJ$4,0))))+SUMPRODUCT((Inputs!$C$5:$C$110=$B38)*ISNUMBER(INDEX(Inputs!$K$5:$AJ$110,0,MATCH(AD$2,Inputs!$K$4:$AJ$4,0))))+SUMPRODUCT((Inputs!$E$5:$E$110=$B38)*ISNUMBER(INDEX(Inputs!$K$5:$AJ$110,0,MATCH(AD$2,Inputs!$K$4:$AJ$4,0))))=0,NA(),SUMPRODUCT((Inputs!$A$5:$A$110=$B38)*Inputs!$B$5:$B$110*(((Inputs!$G$5:$G$110="moeda")+(Inputs!$G$5:$G$110="acoes"))*Inputs!$B$1+((Inputs!$G$5:$G$110&lt;&gt;"moeda")*(Inputs!$G$5:$G$110&lt;&gt;"acoes")))*INDEX(Inputs!$K$5:$AJ$110,0,MATCH(AD$2,Inputs!$K$4:$AJ$4,0)))+SUMPRODUCT((Inputs!$C$5:$C$110=$B38)*Inputs!$D$5:$D$110*(((Inputs!$G$5:$G$110="moeda")+(Inputs!$G$5:$G$110="acoes"))*Inputs!$B$1+((Inputs!$G$5:$G$110&lt;&gt;"moeda")*(Inputs!$G$5:$G$110&lt;&gt;"acoes")))*INDEX(Inputs!$K$5:$AJ$110,0,MATCH(AD$2,Inputs!$K$4:$AJ$4,0)))+SUMPRODUCT((Inputs!$E$5:$E$110=$B38)*Inputs!$F$5:$F$110*(((Inputs!$G$5:$G$110="moeda")+(Inputs!$G$5:$G$110="acoes"))*Inputs!$B$1+((Inputs!$G$5:$G$110&lt;&gt;"moeda")*(Inputs!$G$5:$G$110&lt;&gt;"acoes")))*INDEX(Inputs!$K$5:$AJ$110,0,MATCH(AD$2,Inputs!$K$4:$AJ$4,0)))))</f>
        <v>0</v>
      </c>
      <c r="AE38" s="6" t="e">
        <f>IF(ISNA(MATCH(AE$2,Inputs!$K$4:$AJ$4,0)),NA(),IF(SUMPRODUCT((Inputs!$A$5:$A$110=$B38)*ISNUMBER(INDEX(Inputs!$K$5:$AJ$110,0,MATCH(AE$2,Inputs!$K$4:$AJ$4,0))))+SUMPRODUCT((Inputs!$C$5:$C$110=$B38)*ISNUMBER(INDEX(Inputs!$K$5:$AJ$110,0,MATCH(AE$2,Inputs!$K$4:$AJ$4,0))))+SUMPRODUCT((Inputs!$E$5:$E$110=$B38)*ISNUMBER(INDEX(Inputs!$K$5:$AJ$110,0,MATCH(AE$2,Inputs!$K$4:$AJ$4,0))))=0,NA(),SUMPRODUCT((Inputs!$A$5:$A$110=$B38)*Inputs!$B$5:$B$110*(((Inputs!$G$5:$G$110="moeda")+(Inputs!$G$5:$G$110="acoes"))*Inputs!$B$1+((Inputs!$G$5:$G$110&lt;&gt;"moeda")*(Inputs!$G$5:$G$110&lt;&gt;"acoes")))*INDEX(Inputs!$K$5:$AJ$110,0,MATCH(AE$2,Inputs!$K$4:$AJ$4,0)))+SUMPRODUCT((Inputs!$C$5:$C$110=$B38)*Inputs!$D$5:$D$110*(((Inputs!$G$5:$G$110="moeda")+(Inputs!$G$5:$G$110="acoes"))*Inputs!$B$1+((Inputs!$G$5:$G$110&lt;&gt;"moeda")*(Inputs!$G$5:$G$110&lt;&gt;"acoes")))*INDEX(Inputs!$K$5:$AJ$110,0,MATCH(AE$2,Inputs!$K$4:$AJ$4,0)))+SUMPRODUCT((Inputs!$E$5:$E$110=$B38)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8" s="6" t="e">
        <f>IF(ISNA(MATCH(AF$2,Inputs!$K$4:$AJ$4,0)),NA(),IF(SUMPRODUCT((Inputs!$A$5:$A$110=$B38)*ISNUMBER(INDEX(Inputs!$K$5:$AJ$110,0,MATCH(AF$2,Inputs!$K$4:$AJ$4,0))))+SUMPRODUCT((Inputs!$C$5:$C$110=$B38)*ISNUMBER(INDEX(Inputs!$K$5:$AJ$110,0,MATCH(AF$2,Inputs!$K$4:$AJ$4,0))))+SUMPRODUCT((Inputs!$E$5:$E$110=$B38)*ISNUMBER(INDEX(Inputs!$K$5:$AJ$110,0,MATCH(AF$2,Inputs!$K$4:$AJ$4,0))))=0,NA(),SUMPRODUCT((Inputs!$A$5:$A$110=$B38)*Inputs!$B$5:$B$110*(((Inputs!$G$5:$G$110="moeda")+(Inputs!$G$5:$G$110="acoes"))*Inputs!$B$1+((Inputs!$G$5:$G$110&lt;&gt;"moeda")*(Inputs!$G$5:$G$110&lt;&gt;"acoes")))*INDEX(Inputs!$K$5:$AJ$110,0,MATCH(AF$2,Inputs!$K$4:$AJ$4,0)))+SUMPRODUCT((Inputs!$C$5:$C$110=$B38)*Inputs!$D$5:$D$110*(((Inputs!$G$5:$G$110="moeda")+(Inputs!$G$5:$G$110="acoes"))*Inputs!$B$1+((Inputs!$G$5:$G$110&lt;&gt;"moeda")*(Inputs!$G$5:$G$110&lt;&gt;"acoes")))*INDEX(Inputs!$K$5:$AJ$110,0,MATCH(AF$2,Inputs!$K$4:$AJ$4,0)))+SUMPRODUCT((Inputs!$E$5:$E$110=$B38)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8" s="3" t="e">
        <f>AF38</f>
        <v>#N/A</v>
      </c>
      <c r="AH38" s="6">
        <f>IF(ISNA(MATCH(AH$2,Inputs!$K$4:$AJ$4,0)),NA(),IF(SUMPRODUCT((Inputs!$A$5:$A$110=$B38)*ISNUMBER(INDEX(Inputs!$K$5:$AJ$110,0,MATCH(AH$2,Inputs!$K$4:$AJ$4,0))))+SUMPRODUCT((Inputs!$C$5:$C$110=$B38)*ISNUMBER(INDEX(Inputs!$K$5:$AJ$110,0,MATCH(AH$2,Inputs!$K$4:$AJ$4,0))))+SUMPRODUCT((Inputs!$E$5:$E$110=$B38)*ISNUMBER(INDEX(Inputs!$K$5:$AJ$110,0,MATCH(AH$2,Inputs!$K$4:$AJ$4,0))))=0,NA(),SUMPRODUCT((Inputs!$A$5:$A$110=$B38)*Inputs!$B$5:$B$110*(((Inputs!$G$5:$G$110="moeda")+(Inputs!$G$5:$G$110="acoes"))*Inputs!$B$1+((Inputs!$G$5:$G$110&lt;&gt;"moeda")*(Inputs!$G$5:$G$110&lt;&gt;"acoes")))*INDEX(Inputs!$K$5:$AJ$110,0,MATCH(AH$2,Inputs!$K$4:$AJ$4,0)))+SUMPRODUCT((Inputs!$C$5:$C$110=$B38)*Inputs!$D$5:$D$110*(((Inputs!$G$5:$G$110="moeda")+(Inputs!$G$5:$G$110="acoes"))*Inputs!$B$1+((Inputs!$G$5:$G$110&lt;&gt;"moeda")*(Inputs!$G$5:$G$110&lt;&gt;"acoes")))*INDEX(Inputs!$K$5:$AJ$110,0,MATCH(AH$2,Inputs!$K$4:$AJ$4,0)))+SUMPRODUCT((Inputs!$E$5:$E$110=$B38)*Inputs!$F$5:$F$110*(((Inputs!$G$5:$G$110="moeda")+(Inputs!$G$5:$G$110="acoes"))*Inputs!$B$1+((Inputs!$G$5:$G$110&lt;&gt;"moeda")*(Inputs!$G$5:$G$110&lt;&gt;"acoes")))*INDEX(Inputs!$K$5:$AJ$110,0,MATCH(AH$2,Inputs!$K$4:$AJ$4,0)))))</f>
        <v>0</v>
      </c>
      <c r="AI38" s="6">
        <f>IF(ISNA(MATCH(AI$2,Inputs!$K$4:$AJ$4,0)),NA(),IF(SUMPRODUCT((Inputs!$A$5:$A$110=$B38)*ISNUMBER(INDEX(Inputs!$K$5:$AJ$110,0,MATCH(AI$2,Inputs!$K$4:$AJ$4,0))))+SUMPRODUCT((Inputs!$C$5:$C$110=$B38)*ISNUMBER(INDEX(Inputs!$K$5:$AJ$110,0,MATCH(AI$2,Inputs!$K$4:$AJ$4,0))))+SUMPRODUCT((Inputs!$E$5:$E$110=$B38)*ISNUMBER(INDEX(Inputs!$K$5:$AJ$110,0,MATCH(AI$2,Inputs!$K$4:$AJ$4,0))))=0,NA(),SUMPRODUCT((Inputs!$A$5:$A$110=$B38)*Inputs!$B$5:$B$110*(((Inputs!$G$5:$G$110="moeda")+(Inputs!$G$5:$G$110="acoes"))*Inputs!$B$1+((Inputs!$G$5:$G$110&lt;&gt;"moeda")*(Inputs!$G$5:$G$110&lt;&gt;"acoes")))*INDEX(Inputs!$K$5:$AJ$110,0,MATCH(AI$2,Inputs!$K$4:$AJ$4,0)))+SUMPRODUCT((Inputs!$C$5:$C$110=$B38)*Inputs!$D$5:$D$110*(((Inputs!$G$5:$G$110="moeda")+(Inputs!$G$5:$G$110="acoes"))*Inputs!$B$1+((Inputs!$G$5:$G$110&lt;&gt;"moeda")*(Inputs!$G$5:$G$110&lt;&gt;"acoes")))*INDEX(Inputs!$K$5:$AJ$110,0,MATCH(AI$2,Inputs!$K$4:$AJ$4,0)))+SUMPRODUCT((Inputs!$E$5:$E$110=$B38)*Inputs!$F$5:$F$110*(((Inputs!$G$5:$G$110="moeda")+(Inputs!$G$5:$G$110="acoes"))*Inputs!$B$1+((Inputs!$G$5:$G$110&lt;&gt;"moeda")*(Inputs!$G$5:$G$110&lt;&gt;"acoes")))*INDEX(Inputs!$K$5:$AJ$110,0,MATCH(AI$2,Inputs!$K$4:$AJ$4,0)))))</f>
        <v>0</v>
      </c>
      <c r="AJ38" s="6">
        <f>IF(ISNA(MATCH(AJ$2,Inputs!$K$4:$AJ$4,0)),NA(),IF(SUMPRODUCT((Inputs!$A$5:$A$110=$B38)*ISNUMBER(INDEX(Inputs!$K$5:$AJ$110,0,MATCH(AJ$2,Inputs!$K$4:$AJ$4,0))))+SUMPRODUCT((Inputs!$C$5:$C$110=$B38)*ISNUMBER(INDEX(Inputs!$K$5:$AJ$110,0,MATCH(AJ$2,Inputs!$K$4:$AJ$4,0))))+SUMPRODUCT((Inputs!$E$5:$E$110=$B38)*ISNUMBER(INDEX(Inputs!$K$5:$AJ$110,0,MATCH(AJ$2,Inputs!$K$4:$AJ$4,0))))=0,NA(),SUMPRODUCT((Inputs!$A$5:$A$110=$B38)*Inputs!$B$5:$B$110*(((Inputs!$G$5:$G$110="moeda")+(Inputs!$G$5:$G$110="acoes"))*Inputs!$B$1+((Inputs!$G$5:$G$110&lt;&gt;"moeda")*(Inputs!$G$5:$G$110&lt;&gt;"acoes")))*INDEX(Inputs!$K$5:$AJ$110,0,MATCH(AJ$2,Inputs!$K$4:$AJ$4,0)))+SUMPRODUCT((Inputs!$C$5:$C$110=$B38)*Inputs!$D$5:$D$110*(((Inputs!$G$5:$G$110="moeda")+(Inputs!$G$5:$G$110="acoes"))*Inputs!$B$1+((Inputs!$G$5:$G$110&lt;&gt;"moeda")*(Inputs!$G$5:$G$110&lt;&gt;"acoes")))*INDEX(Inputs!$K$5:$AJ$110,0,MATCH(AJ$2,Inputs!$K$4:$AJ$4,0)))+SUMPRODUCT((Inputs!$E$5:$E$110=$B38)*Inputs!$F$5:$F$110*(((Inputs!$G$5:$G$110="moeda")+(Inputs!$G$5:$G$110="acoes"))*Inputs!$B$1+((Inputs!$G$5:$G$110&lt;&gt;"moeda")*(Inputs!$G$5:$G$110&lt;&gt;"acoes")))*INDEX(Inputs!$K$5:$AJ$110,0,MATCH(AJ$2,Inputs!$K$4:$AJ$4,0)))))</f>
        <v>0</v>
      </c>
      <c r="AK38" s="6">
        <f>IF(ISNA(MATCH(AK$2,Inputs!$K$4:$AJ$4,0)),NA(),IF(SUMPRODUCT((Inputs!$A$5:$A$110=$B38)*ISNUMBER(INDEX(Inputs!$K$5:$AJ$110,0,MATCH(AK$2,Inputs!$K$4:$AJ$4,0))))+SUMPRODUCT((Inputs!$C$5:$C$110=$B38)*ISNUMBER(INDEX(Inputs!$K$5:$AJ$110,0,MATCH(AK$2,Inputs!$K$4:$AJ$4,0))))+SUMPRODUCT((Inputs!$E$5:$E$110=$B38)*ISNUMBER(INDEX(Inputs!$K$5:$AJ$110,0,MATCH(AK$2,Inputs!$K$4:$AJ$4,0))))=0,NA(),SUMPRODUCT((Inputs!$A$5:$A$110=$B38)*Inputs!$B$5:$B$110*(((Inputs!$G$5:$G$110="moeda")+(Inputs!$G$5:$G$110="acoes"))*Inputs!$B$1+((Inputs!$G$5:$G$110&lt;&gt;"moeda")*(Inputs!$G$5:$G$110&lt;&gt;"acoes")))*INDEX(Inputs!$K$5:$AJ$110,0,MATCH(AK$2,Inputs!$K$4:$AJ$4,0)))+SUMPRODUCT((Inputs!$C$5:$C$110=$B38)*Inputs!$D$5:$D$110*(((Inputs!$G$5:$G$110="moeda")+(Inputs!$G$5:$G$110="acoes"))*Inputs!$B$1+((Inputs!$G$5:$G$110&lt;&gt;"moeda")*(Inputs!$G$5:$G$110&lt;&gt;"acoes")))*INDEX(Inputs!$K$5:$AJ$110,0,MATCH(AK$2,Inputs!$K$4:$AJ$4,0)))+SUMPRODUCT((Inputs!$E$5:$E$110=$B38)*Inputs!$F$5:$F$110*(((Inputs!$G$5:$G$110="moeda")+(Inputs!$G$5:$G$110="acoes"))*Inputs!$B$1+((Inputs!$G$5:$G$110&lt;&gt;"moeda")*(Inputs!$G$5:$G$110&lt;&gt;"acoes")))*INDEX(Inputs!$K$5:$AJ$110,0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$110=$B39)*ISNUMBER(INDEX(Inputs!$K$5:$AJ$110,0,MATCH(D$2,Inputs!$K$4:$AJ$4,0))))+SUMPRODUCT((Inputs!$C$5:$C$110=$B39)*ISNUMBER(INDEX(Inputs!$K$5:$AJ$110,0,MATCH(D$2,Inputs!$K$4:$AJ$4,0))))+SUMPRODUCT((Inputs!$E$5:$E$110=$B39)*ISNUMBER(INDEX(Inputs!$K$5:$AJ$110,0,MATCH(D$2,Inputs!$K$4:$AJ$4,0))))=0,NA(),SUMPRODUCT((Inputs!$A$5:$A$110=$B39)*Inputs!$B$5:$B$110*(((Inputs!$G$5:$G$110="moeda")+(Inputs!$G$5:$G$110="acoes"))*Inputs!$B$1+((Inputs!$G$5:$G$110&lt;&gt;"moeda")*(Inputs!$G$5:$G$110&lt;&gt;"acoes")))*INDEX(Inputs!$K$5:$AJ$110,0,MATCH(D$2,Inputs!$K$4:$AJ$4,0)))+SUMPRODUCT((Inputs!$C$5:$C$110=$B39)*Inputs!$D$5:$D$110*(((Inputs!$G$5:$G$110="moeda")+(Inputs!$G$5:$G$110="acoes"))*Inputs!$B$1+((Inputs!$G$5:$G$110&lt;&gt;"moeda")*(Inputs!$G$5:$G$110&lt;&gt;"acoes")))*INDEX(Inputs!$K$5:$AJ$110,0,MATCH(D$2,Inputs!$K$4:$AJ$4,0)))+SUMPRODUCT((Inputs!$E$5:$E$110=$B39)*Inputs!$F$5:$F$110*(((Inputs!$G$5:$G$110="moeda")+(Inputs!$G$5:$G$110="acoes"))*Inputs!$B$1+((Inputs!$G$5:$G$110&lt;&gt;"moeda")*(Inputs!$G$5:$G$110&lt;&gt;"acoes")))*INDEX(Inputs!$K$5:$AJ$110,0,MATCH(D$2,Inputs!$K$4:$AJ$4,0)))))</f>
        <v>18730</v>
      </c>
      <c r="E39" s="6">
        <f>IF(ISNA(MATCH(E$2,Inputs!$K$4:$AJ$4,0)),NA(),IF(SUMPRODUCT((Inputs!$A$5:$A$110=$B39)*ISNUMBER(INDEX(Inputs!$K$5:$AJ$110,0,MATCH(E$2,Inputs!$K$4:$AJ$4,0))))+SUMPRODUCT((Inputs!$C$5:$C$110=$B39)*ISNUMBER(INDEX(Inputs!$K$5:$AJ$110,0,MATCH(E$2,Inputs!$K$4:$AJ$4,0))))+SUMPRODUCT((Inputs!$E$5:$E$110=$B39)*ISNUMBER(INDEX(Inputs!$K$5:$AJ$110,0,MATCH(E$2,Inputs!$K$4:$AJ$4,0))))=0,NA(),SUMPRODUCT((Inputs!$A$5:$A$110=$B39)*Inputs!$B$5:$B$110*(((Inputs!$G$5:$G$110="moeda")+(Inputs!$G$5:$G$110="acoes"))*Inputs!$B$1+((Inputs!$G$5:$G$110&lt;&gt;"moeda")*(Inputs!$G$5:$G$110&lt;&gt;"acoes")))*INDEX(Inputs!$K$5:$AJ$110,0,MATCH(E$2,Inputs!$K$4:$AJ$4,0)))+SUMPRODUCT((Inputs!$C$5:$C$110=$B39)*Inputs!$D$5:$D$110*(((Inputs!$G$5:$G$110="moeda")+(Inputs!$G$5:$G$110="acoes"))*Inputs!$B$1+((Inputs!$G$5:$G$110&lt;&gt;"moeda")*(Inputs!$G$5:$G$110&lt;&gt;"acoes")))*INDEX(Inputs!$K$5:$AJ$110,0,MATCH(E$2,Inputs!$K$4:$AJ$4,0)))+SUMPRODUCT((Inputs!$E$5:$E$110=$B39)*Inputs!$F$5:$F$110*(((Inputs!$G$5:$G$110="moeda")+(Inputs!$G$5:$G$110="acoes"))*Inputs!$B$1+((Inputs!$G$5:$G$110&lt;&gt;"moeda")*(Inputs!$G$5:$G$110&lt;&gt;"acoes")))*INDEX(Inputs!$K$5:$AJ$110,0,MATCH(E$2,Inputs!$K$4:$AJ$4,0)))))</f>
        <v>18662</v>
      </c>
      <c r="F39" s="6">
        <f>IF(ISNA(MATCH(F$2,Inputs!$K$4:$AJ$4,0)),NA(),IF(SUMPRODUCT((Inputs!$A$5:$A$110=$B39)*ISNUMBER(INDEX(Inputs!$K$5:$AJ$110,0,MATCH(F$2,Inputs!$K$4:$AJ$4,0))))+SUMPRODUCT((Inputs!$C$5:$C$110=$B39)*ISNUMBER(INDEX(Inputs!$K$5:$AJ$110,0,MATCH(F$2,Inputs!$K$4:$AJ$4,0))))+SUMPRODUCT((Inputs!$E$5:$E$110=$B39)*ISNUMBER(INDEX(Inputs!$K$5:$AJ$110,0,MATCH(F$2,Inputs!$K$4:$AJ$4,0))))=0,NA(),SUMPRODUCT((Inputs!$A$5:$A$110=$B39)*Inputs!$B$5:$B$110*(((Inputs!$G$5:$G$110="moeda")+(Inputs!$G$5:$G$110="acoes"))*Inputs!$B$1+((Inputs!$G$5:$G$110&lt;&gt;"moeda")*(Inputs!$G$5:$G$110&lt;&gt;"acoes")))*INDEX(Inputs!$K$5:$AJ$110,0,MATCH(F$2,Inputs!$K$4:$AJ$4,0)))+SUMPRODUCT((Inputs!$C$5:$C$110=$B39)*Inputs!$D$5:$D$110*(((Inputs!$G$5:$G$110="moeda")+(Inputs!$G$5:$G$110="acoes"))*Inputs!$B$1+((Inputs!$G$5:$G$110&lt;&gt;"moeda")*(Inputs!$G$5:$G$110&lt;&gt;"acoes")))*INDEX(Inputs!$K$5:$AJ$110,0,MATCH(F$2,Inputs!$K$4:$AJ$4,0)))+SUMPRODUCT((Inputs!$E$5:$E$110=$B39)*Inputs!$F$5:$F$110*(((Inputs!$G$5:$G$110="moeda")+(Inputs!$G$5:$G$110="acoes"))*Inputs!$B$1+((Inputs!$G$5:$G$110&lt;&gt;"moeda")*(Inputs!$G$5:$G$110&lt;&gt;"acoes")))*INDEX(Inputs!$K$5:$AJ$110,0,MATCH(F$2,Inputs!$K$4:$AJ$4,0)))))</f>
        <v>15518</v>
      </c>
      <c r="G39" s="6">
        <f>IF(ISNA(MATCH(G$2,Inputs!$K$4:$AJ$4,0)),NA(),IF(SUMPRODUCT((Inputs!$A$5:$A$110=$B39)*ISNUMBER(INDEX(Inputs!$K$5:$AJ$110,0,MATCH(G$2,Inputs!$K$4:$AJ$4,0))))+SUMPRODUCT((Inputs!$C$5:$C$110=$B39)*ISNUMBER(INDEX(Inputs!$K$5:$AJ$110,0,MATCH(G$2,Inputs!$K$4:$AJ$4,0))))+SUMPRODUCT((Inputs!$E$5:$E$110=$B39)*ISNUMBER(INDEX(Inputs!$K$5:$AJ$110,0,MATCH(G$2,Inputs!$K$4:$AJ$4,0))))=0,NA(),SUMPRODUCT((Inputs!$A$5:$A$110=$B39)*Inputs!$B$5:$B$110*(((Inputs!$G$5:$G$110="moeda")+(Inputs!$G$5:$G$110="acoes"))*Inputs!$B$1+((Inputs!$G$5:$G$110&lt;&gt;"moeda")*(Inputs!$G$5:$G$110&lt;&gt;"acoes")))*INDEX(Inputs!$K$5:$AJ$110,0,MATCH(G$2,Inputs!$K$4:$AJ$4,0)))+SUMPRODUCT((Inputs!$C$5:$C$110=$B39)*Inputs!$D$5:$D$110*(((Inputs!$G$5:$G$110="moeda")+(Inputs!$G$5:$G$110="acoes"))*Inputs!$B$1+((Inputs!$G$5:$G$110&lt;&gt;"moeda")*(Inputs!$G$5:$G$110&lt;&gt;"acoes")))*INDEX(Inputs!$K$5:$AJ$110,0,MATCH(G$2,Inputs!$K$4:$AJ$4,0)))+SUMPRODUCT((Inputs!$E$5:$E$110=$B39)*Inputs!$F$5:$F$110*(((Inputs!$G$5:$G$110="moeda")+(Inputs!$G$5:$G$110="acoes"))*Inputs!$B$1+((Inputs!$G$5:$G$110&lt;&gt;"moeda")*(Inputs!$G$5:$G$110&lt;&gt;"acoes")))*INDEX(Inputs!$K$5:$AJ$110,0,MATCH(G$2,Inputs!$K$4:$AJ$4,0)))))</f>
        <v>14247</v>
      </c>
      <c r="H39" s="3">
        <f>G39</f>
        <v>14247</v>
      </c>
      <c r="I39" s="6">
        <f>IF(ISNA(MATCH(I$2,Inputs!$K$4:$AJ$4,0)),NA(),IF(SUMPRODUCT((Inputs!$A$5:$A$110=$B39)*ISNUMBER(INDEX(Inputs!$K$5:$AJ$110,0,MATCH(I$2,Inputs!$K$4:$AJ$4,0))))+SUMPRODUCT((Inputs!$C$5:$C$110=$B39)*ISNUMBER(INDEX(Inputs!$K$5:$AJ$110,0,MATCH(I$2,Inputs!$K$4:$AJ$4,0))))+SUMPRODUCT((Inputs!$E$5:$E$110=$B39)*ISNUMBER(INDEX(Inputs!$K$5:$AJ$110,0,MATCH(I$2,Inputs!$K$4:$AJ$4,0))))=0,NA(),SUMPRODUCT((Inputs!$A$5:$A$110=$B39)*Inputs!$B$5:$B$110*(((Inputs!$G$5:$G$110="moeda")+(Inputs!$G$5:$G$110="acoes"))*Inputs!$B$1+((Inputs!$G$5:$G$110&lt;&gt;"moeda")*(Inputs!$G$5:$G$110&lt;&gt;"acoes")))*INDEX(Inputs!$K$5:$AJ$110,0,MATCH(I$2,Inputs!$K$4:$AJ$4,0)))+SUMPRODUCT((Inputs!$C$5:$C$110=$B39)*Inputs!$D$5:$D$110*(((Inputs!$G$5:$G$110="moeda")+(Inputs!$G$5:$G$110="acoes"))*Inputs!$B$1+((Inputs!$G$5:$G$110&lt;&gt;"moeda")*(Inputs!$G$5:$G$110&lt;&gt;"acoes")))*INDEX(Inputs!$K$5:$AJ$110,0,MATCH(I$2,Inputs!$K$4:$AJ$4,0)))+SUMPRODUCT((Inputs!$E$5:$E$110=$B39)*Inputs!$F$5:$F$110*(((Inputs!$G$5:$G$110="moeda")+(Inputs!$G$5:$G$110="acoes"))*Inputs!$B$1+((Inputs!$G$5:$G$110&lt;&gt;"moeda")*(Inputs!$G$5:$G$110&lt;&gt;"acoes")))*INDEX(Inputs!$K$5:$AJ$110,0,MATCH(I$2,Inputs!$K$4:$AJ$4,0)))))</f>
        <v>14316</v>
      </c>
      <c r="J39" s="6">
        <f>IF(ISNA(MATCH(J$2,Inputs!$K$4:$AJ$4,0)),NA(),IF(SUMPRODUCT((Inputs!$A$5:$A$110=$B39)*ISNUMBER(INDEX(Inputs!$K$5:$AJ$110,0,MATCH(J$2,Inputs!$K$4:$AJ$4,0))))+SUMPRODUCT((Inputs!$C$5:$C$110=$B39)*ISNUMBER(INDEX(Inputs!$K$5:$AJ$110,0,MATCH(J$2,Inputs!$K$4:$AJ$4,0))))+SUMPRODUCT((Inputs!$E$5:$E$110=$B39)*ISNUMBER(INDEX(Inputs!$K$5:$AJ$110,0,MATCH(J$2,Inputs!$K$4:$AJ$4,0))))=0,NA(),SUMPRODUCT((Inputs!$A$5:$A$110=$B39)*Inputs!$B$5:$B$110*(((Inputs!$G$5:$G$110="moeda")+(Inputs!$G$5:$G$110="acoes"))*Inputs!$B$1+((Inputs!$G$5:$G$110&lt;&gt;"moeda")*(Inputs!$G$5:$G$110&lt;&gt;"acoes")))*INDEX(Inputs!$K$5:$AJ$110,0,MATCH(J$2,Inputs!$K$4:$AJ$4,0)))+SUMPRODUCT((Inputs!$C$5:$C$110=$B39)*Inputs!$D$5:$D$110*(((Inputs!$G$5:$G$110="moeda")+(Inputs!$G$5:$G$110="acoes"))*Inputs!$B$1+((Inputs!$G$5:$G$110&lt;&gt;"moeda")*(Inputs!$G$5:$G$110&lt;&gt;"acoes")))*INDEX(Inputs!$K$5:$AJ$110,0,MATCH(J$2,Inputs!$K$4:$AJ$4,0)))+SUMPRODUCT((Inputs!$E$5:$E$110=$B39)*Inputs!$F$5:$F$110*(((Inputs!$G$5:$G$110="moeda")+(Inputs!$G$5:$G$110="acoes"))*Inputs!$B$1+((Inputs!$G$5:$G$110&lt;&gt;"moeda")*(Inputs!$G$5:$G$110&lt;&gt;"acoes")))*INDEX(Inputs!$K$5:$AJ$110,0,MATCH(J$2,Inputs!$K$4:$AJ$4,0)))))</f>
        <v>12203</v>
      </c>
      <c r="K39" s="6">
        <f>IF(ISNA(MATCH(K$2,Inputs!$K$4:$AJ$4,0)),NA(),IF(SUMPRODUCT((Inputs!$A$5:$A$110=$B39)*ISNUMBER(INDEX(Inputs!$K$5:$AJ$110,0,MATCH(K$2,Inputs!$K$4:$AJ$4,0))))+SUMPRODUCT((Inputs!$C$5:$C$110=$B39)*ISNUMBER(INDEX(Inputs!$K$5:$AJ$110,0,MATCH(K$2,Inputs!$K$4:$AJ$4,0))))+SUMPRODUCT((Inputs!$E$5:$E$110=$B39)*ISNUMBER(INDEX(Inputs!$K$5:$AJ$110,0,MATCH(K$2,Inputs!$K$4:$AJ$4,0))))=0,NA(),SUMPRODUCT((Inputs!$A$5:$A$110=$B39)*Inputs!$B$5:$B$110*(((Inputs!$G$5:$G$110="moeda")+(Inputs!$G$5:$G$110="acoes"))*Inputs!$B$1+((Inputs!$G$5:$G$110&lt;&gt;"moeda")*(Inputs!$G$5:$G$110&lt;&gt;"acoes")))*INDEX(Inputs!$K$5:$AJ$110,0,MATCH(K$2,Inputs!$K$4:$AJ$4,0)))+SUMPRODUCT((Inputs!$C$5:$C$110=$B39)*Inputs!$D$5:$D$110*(((Inputs!$G$5:$G$110="moeda")+(Inputs!$G$5:$G$110="acoes"))*Inputs!$B$1+((Inputs!$G$5:$G$110&lt;&gt;"moeda")*(Inputs!$G$5:$G$110&lt;&gt;"acoes")))*INDEX(Inputs!$K$5:$AJ$110,0,MATCH(K$2,Inputs!$K$4:$AJ$4,0)))+SUMPRODUCT((Inputs!$E$5:$E$110=$B39)*Inputs!$F$5:$F$110*(((Inputs!$G$5:$G$110="moeda")+(Inputs!$G$5:$G$110="acoes"))*Inputs!$B$1+((Inputs!$G$5:$G$110&lt;&gt;"moeda")*(Inputs!$G$5:$G$110&lt;&gt;"acoes")))*INDEX(Inputs!$K$5:$AJ$110,0,MATCH(K$2,Inputs!$K$4:$AJ$4,0)))))</f>
        <v>12237</v>
      </c>
      <c r="L39" s="6">
        <f>IF(ISNA(MATCH(L$2,Inputs!$K$4:$AJ$4,0)),NA(),IF(SUMPRODUCT((Inputs!$A$5:$A$110=$B39)*ISNUMBER(INDEX(Inputs!$K$5:$AJ$110,0,MATCH(L$2,Inputs!$K$4:$AJ$4,0))))+SUMPRODUCT((Inputs!$C$5:$C$110=$B39)*ISNUMBER(INDEX(Inputs!$K$5:$AJ$110,0,MATCH(L$2,Inputs!$K$4:$AJ$4,0))))+SUMPRODUCT((Inputs!$E$5:$E$110=$B39)*ISNUMBER(INDEX(Inputs!$K$5:$AJ$110,0,MATCH(L$2,Inputs!$K$4:$AJ$4,0))))=0,NA(),SUMPRODUCT((Inputs!$A$5:$A$110=$B39)*Inputs!$B$5:$B$110*(((Inputs!$G$5:$G$110="moeda")+(Inputs!$G$5:$G$110="acoes"))*Inputs!$B$1+((Inputs!$G$5:$G$110&lt;&gt;"moeda")*(Inputs!$G$5:$G$110&lt;&gt;"acoes")))*INDEX(Inputs!$K$5:$AJ$110,0,MATCH(L$2,Inputs!$K$4:$AJ$4,0)))+SUMPRODUCT((Inputs!$C$5:$C$110=$B39)*Inputs!$D$5:$D$110*(((Inputs!$G$5:$G$110="moeda")+(Inputs!$G$5:$G$110="acoes"))*Inputs!$B$1+((Inputs!$G$5:$G$110&lt;&gt;"moeda")*(Inputs!$G$5:$G$110&lt;&gt;"acoes")))*INDEX(Inputs!$K$5:$AJ$110,0,MATCH(L$2,Inputs!$K$4:$AJ$4,0)))+SUMPRODUCT((Inputs!$E$5:$E$110=$B39)*Inputs!$F$5:$F$110*(((Inputs!$G$5:$G$110="moeda")+(Inputs!$G$5:$G$110="acoes"))*Inputs!$B$1+((Inputs!$G$5:$G$110&lt;&gt;"moeda")*(Inputs!$G$5:$G$110&lt;&gt;"acoes")))*INDEX(Inputs!$K$5:$AJ$110,0,MATCH(L$2,Inputs!$K$4:$AJ$4,0)))))</f>
        <v>12298</v>
      </c>
      <c r="M39" s="3">
        <f>L39</f>
        <v>12298</v>
      </c>
      <c r="N39" s="6">
        <f>IF(ISNA(MATCH(N$2,Inputs!$K$4:$AJ$4,0)),NA(),IF(SUMPRODUCT((Inputs!$A$5:$A$110=$B39)*ISNUMBER(INDEX(Inputs!$K$5:$AJ$110,0,MATCH(N$2,Inputs!$K$4:$AJ$4,0))))+SUMPRODUCT((Inputs!$C$5:$C$110=$B39)*ISNUMBER(INDEX(Inputs!$K$5:$AJ$110,0,MATCH(N$2,Inputs!$K$4:$AJ$4,0))))+SUMPRODUCT((Inputs!$E$5:$E$110=$B39)*ISNUMBER(INDEX(Inputs!$K$5:$AJ$110,0,MATCH(N$2,Inputs!$K$4:$AJ$4,0))))=0,NA(),SUMPRODUCT((Inputs!$A$5:$A$110=$B39)*Inputs!$B$5:$B$110*(((Inputs!$G$5:$G$110="moeda")+(Inputs!$G$5:$G$110="acoes"))*Inputs!$B$1+((Inputs!$G$5:$G$110&lt;&gt;"moeda")*(Inputs!$G$5:$G$110&lt;&gt;"acoes")))*INDEX(Inputs!$K$5:$AJ$110,0,MATCH(N$2,Inputs!$K$4:$AJ$4,0)))+SUMPRODUCT((Inputs!$C$5:$C$110=$B39)*Inputs!$D$5:$D$110*(((Inputs!$G$5:$G$110="moeda")+(Inputs!$G$5:$G$110="acoes"))*Inputs!$B$1+((Inputs!$G$5:$G$110&lt;&gt;"moeda")*(Inputs!$G$5:$G$110&lt;&gt;"acoes")))*INDEX(Inputs!$K$5:$AJ$110,0,MATCH(N$2,Inputs!$K$4:$AJ$4,0)))+SUMPRODUCT((Inputs!$E$5:$E$110=$B39)*Inputs!$F$5:$F$110*(((Inputs!$G$5:$G$110="moeda")+(Inputs!$G$5:$G$110="acoes"))*Inputs!$B$1+((Inputs!$G$5:$G$110&lt;&gt;"moeda")*(Inputs!$G$5:$G$110&lt;&gt;"acoes")))*INDEX(Inputs!$K$5:$AJ$110,0,MATCH(N$2,Inputs!$K$4:$AJ$4,0)))))</f>
        <v>12509</v>
      </c>
      <c r="O39" s="6">
        <f>IF(ISNA(MATCH(O$2,Inputs!$K$4:$AJ$4,0)),NA(),IF(SUMPRODUCT((Inputs!$A$5:$A$110=$B39)*ISNUMBER(INDEX(Inputs!$K$5:$AJ$110,0,MATCH(O$2,Inputs!$K$4:$AJ$4,0))))+SUMPRODUCT((Inputs!$C$5:$C$110=$B39)*ISNUMBER(INDEX(Inputs!$K$5:$AJ$110,0,MATCH(O$2,Inputs!$K$4:$AJ$4,0))))+SUMPRODUCT((Inputs!$E$5:$E$110=$B39)*ISNUMBER(INDEX(Inputs!$K$5:$AJ$110,0,MATCH(O$2,Inputs!$K$4:$AJ$4,0))))=0,NA(),SUMPRODUCT((Inputs!$A$5:$A$110=$B39)*Inputs!$B$5:$B$110*(((Inputs!$G$5:$G$110="moeda")+(Inputs!$G$5:$G$110="acoes"))*Inputs!$B$1+((Inputs!$G$5:$G$110&lt;&gt;"moeda")*(Inputs!$G$5:$G$110&lt;&gt;"acoes")))*INDEX(Inputs!$K$5:$AJ$110,0,MATCH(O$2,Inputs!$K$4:$AJ$4,0)))+SUMPRODUCT((Inputs!$C$5:$C$110=$B39)*Inputs!$D$5:$D$110*(((Inputs!$G$5:$G$110="moeda")+(Inputs!$G$5:$G$110="acoes"))*Inputs!$B$1+((Inputs!$G$5:$G$110&lt;&gt;"moeda")*(Inputs!$G$5:$G$110&lt;&gt;"acoes")))*INDEX(Inputs!$K$5:$AJ$110,0,MATCH(O$2,Inputs!$K$4:$AJ$4,0)))+SUMPRODUCT((Inputs!$E$5:$E$110=$B39)*Inputs!$F$5:$F$110*(((Inputs!$G$5:$G$110="moeda")+(Inputs!$G$5:$G$110="acoes"))*Inputs!$B$1+((Inputs!$G$5:$G$110&lt;&gt;"moeda")*(Inputs!$G$5:$G$110&lt;&gt;"acoes")))*INDEX(Inputs!$K$5:$AJ$110,0,MATCH(O$2,Inputs!$K$4:$AJ$4,0)))))</f>
        <v>12772</v>
      </c>
      <c r="P39" s="6">
        <f>IF(ISNA(MATCH(P$2,Inputs!$K$4:$AJ$4,0)),NA(),IF(SUMPRODUCT((Inputs!$A$5:$A$110=$B39)*ISNUMBER(INDEX(Inputs!$K$5:$AJ$110,0,MATCH(P$2,Inputs!$K$4:$AJ$4,0))))+SUMPRODUCT((Inputs!$C$5:$C$110=$B39)*ISNUMBER(INDEX(Inputs!$K$5:$AJ$110,0,MATCH(P$2,Inputs!$K$4:$AJ$4,0))))+SUMPRODUCT((Inputs!$E$5:$E$110=$B39)*ISNUMBER(INDEX(Inputs!$K$5:$AJ$110,0,MATCH(P$2,Inputs!$K$4:$AJ$4,0))))=0,NA(),SUMPRODUCT((Inputs!$A$5:$A$110=$B39)*Inputs!$B$5:$B$110*(((Inputs!$G$5:$G$110="moeda")+(Inputs!$G$5:$G$110="acoes"))*Inputs!$B$1+((Inputs!$G$5:$G$110&lt;&gt;"moeda")*(Inputs!$G$5:$G$110&lt;&gt;"acoes")))*INDEX(Inputs!$K$5:$AJ$110,0,MATCH(P$2,Inputs!$K$4:$AJ$4,0)))+SUMPRODUCT((Inputs!$C$5:$C$110=$B39)*Inputs!$D$5:$D$110*(((Inputs!$G$5:$G$110="moeda")+(Inputs!$G$5:$G$110="acoes"))*Inputs!$B$1+((Inputs!$G$5:$G$110&lt;&gt;"moeda")*(Inputs!$G$5:$G$110&lt;&gt;"acoes")))*INDEX(Inputs!$K$5:$AJ$110,0,MATCH(P$2,Inputs!$K$4:$AJ$4,0)))+SUMPRODUCT((Inputs!$E$5:$E$110=$B39)*Inputs!$F$5:$F$110*(((Inputs!$G$5:$G$110="moeda")+(Inputs!$G$5:$G$110="acoes"))*Inputs!$B$1+((Inputs!$G$5:$G$110&lt;&gt;"moeda")*(Inputs!$G$5:$G$110&lt;&gt;"acoes")))*INDEX(Inputs!$K$5:$AJ$110,0,MATCH(P$2,Inputs!$K$4:$AJ$4,0)))))</f>
        <v>12978</v>
      </c>
      <c r="Q39" s="6">
        <f>IF(ISNA(MATCH(Q$2,Inputs!$K$4:$AJ$4,0)),NA(),IF(SUMPRODUCT((Inputs!$A$5:$A$110=$B39)*ISNUMBER(INDEX(Inputs!$K$5:$AJ$110,0,MATCH(Q$2,Inputs!$K$4:$AJ$4,0))))+SUMPRODUCT((Inputs!$C$5:$C$110=$B39)*ISNUMBER(INDEX(Inputs!$K$5:$AJ$110,0,MATCH(Q$2,Inputs!$K$4:$AJ$4,0))))+SUMPRODUCT((Inputs!$E$5:$E$110=$B39)*ISNUMBER(INDEX(Inputs!$K$5:$AJ$110,0,MATCH(Q$2,Inputs!$K$4:$AJ$4,0))))=0,NA(),SUMPRODUCT((Inputs!$A$5:$A$110=$B39)*Inputs!$B$5:$B$110*(((Inputs!$G$5:$G$110="moeda")+(Inputs!$G$5:$G$110="acoes"))*Inputs!$B$1+((Inputs!$G$5:$G$110&lt;&gt;"moeda")*(Inputs!$G$5:$G$110&lt;&gt;"acoes")))*INDEX(Inputs!$K$5:$AJ$110,0,MATCH(Q$2,Inputs!$K$4:$AJ$4,0)))+SUMPRODUCT((Inputs!$C$5:$C$110=$B39)*Inputs!$D$5:$D$110*(((Inputs!$G$5:$G$110="moeda")+(Inputs!$G$5:$G$110="acoes"))*Inputs!$B$1+((Inputs!$G$5:$G$110&lt;&gt;"moeda")*(Inputs!$G$5:$G$110&lt;&gt;"acoes")))*INDEX(Inputs!$K$5:$AJ$110,0,MATCH(Q$2,Inputs!$K$4:$AJ$4,0)))+SUMPRODUCT((Inputs!$E$5:$E$110=$B39)*Inputs!$F$5:$F$110*(((Inputs!$G$5:$G$110="moeda")+(Inputs!$G$5:$G$110="acoes"))*Inputs!$B$1+((Inputs!$G$5:$G$110&lt;&gt;"moeda")*(Inputs!$G$5:$G$110&lt;&gt;"acoes")))*INDEX(Inputs!$K$5:$AJ$110,0,MATCH(Q$2,Inputs!$K$4:$AJ$4,0)))))</f>
        <v>11393</v>
      </c>
      <c r="R39" s="3">
        <f>Q39</f>
        <v>11393</v>
      </c>
      <c r="S39" s="6">
        <f>IF(ISNA(MATCH(S$2,Inputs!$K$4:$AJ$4,0)),NA(),IF(SUMPRODUCT((Inputs!$A$5:$A$110=$B39)*ISNUMBER(INDEX(Inputs!$K$5:$AJ$110,0,MATCH(S$2,Inputs!$K$4:$AJ$4,0))))+SUMPRODUCT((Inputs!$C$5:$C$110=$B39)*ISNUMBER(INDEX(Inputs!$K$5:$AJ$110,0,MATCH(S$2,Inputs!$K$4:$AJ$4,0))))+SUMPRODUCT((Inputs!$E$5:$E$110=$B39)*ISNUMBER(INDEX(Inputs!$K$5:$AJ$110,0,MATCH(S$2,Inputs!$K$4:$AJ$4,0))))=0,NA(),SUMPRODUCT((Inputs!$A$5:$A$110=$B39)*Inputs!$B$5:$B$110*(((Inputs!$G$5:$G$110="moeda")+(Inputs!$G$5:$G$110="acoes"))*Inputs!$B$1+((Inputs!$G$5:$G$110&lt;&gt;"moeda")*(Inputs!$G$5:$G$110&lt;&gt;"acoes")))*INDEX(Inputs!$K$5:$AJ$110,0,MATCH(S$2,Inputs!$K$4:$AJ$4,0)))+SUMPRODUCT((Inputs!$C$5:$C$110=$B39)*Inputs!$D$5:$D$110*(((Inputs!$G$5:$G$110="moeda")+(Inputs!$G$5:$G$110="acoes"))*Inputs!$B$1+((Inputs!$G$5:$G$110&lt;&gt;"moeda")*(Inputs!$G$5:$G$110&lt;&gt;"acoes")))*INDEX(Inputs!$K$5:$AJ$110,0,MATCH(S$2,Inputs!$K$4:$AJ$4,0)))+SUMPRODUCT((Inputs!$E$5:$E$110=$B39)*Inputs!$F$5:$F$110*(((Inputs!$G$5:$G$110="moeda")+(Inputs!$G$5:$G$110="acoes"))*Inputs!$B$1+((Inputs!$G$5:$G$110&lt;&gt;"moeda")*(Inputs!$G$5:$G$110&lt;&gt;"acoes")))*INDEX(Inputs!$K$5:$AJ$110,0,MATCH(S$2,Inputs!$K$4:$AJ$4,0)))))</f>
        <v>11364</v>
      </c>
      <c r="T39" s="6">
        <f>IF(ISNA(MATCH(T$2,Inputs!$K$4:$AJ$4,0)),NA(),IF(SUMPRODUCT((Inputs!$A$5:$A$110=$B39)*ISNUMBER(INDEX(Inputs!$K$5:$AJ$110,0,MATCH(T$2,Inputs!$K$4:$AJ$4,0))))+SUMPRODUCT((Inputs!$C$5:$C$110=$B39)*ISNUMBER(INDEX(Inputs!$K$5:$AJ$110,0,MATCH(T$2,Inputs!$K$4:$AJ$4,0))))+SUMPRODUCT((Inputs!$E$5:$E$110=$B39)*ISNUMBER(INDEX(Inputs!$K$5:$AJ$110,0,MATCH(T$2,Inputs!$K$4:$AJ$4,0))))=0,NA(),SUMPRODUCT((Inputs!$A$5:$A$110=$B39)*Inputs!$B$5:$B$110*(((Inputs!$G$5:$G$110="moeda")+(Inputs!$G$5:$G$110="acoes"))*Inputs!$B$1+((Inputs!$G$5:$G$110&lt;&gt;"moeda")*(Inputs!$G$5:$G$110&lt;&gt;"acoes")))*INDEX(Inputs!$K$5:$AJ$110,0,MATCH(T$2,Inputs!$K$4:$AJ$4,0)))+SUMPRODUCT((Inputs!$C$5:$C$110=$B39)*Inputs!$D$5:$D$110*(((Inputs!$G$5:$G$110="moeda")+(Inputs!$G$5:$G$110="acoes"))*Inputs!$B$1+((Inputs!$G$5:$G$110&lt;&gt;"moeda")*(Inputs!$G$5:$G$110&lt;&gt;"acoes")))*INDEX(Inputs!$K$5:$AJ$110,0,MATCH(T$2,Inputs!$K$4:$AJ$4,0)))+SUMPRODUCT((Inputs!$E$5:$E$110=$B39)*Inputs!$F$5:$F$110*(((Inputs!$G$5:$G$110="moeda")+(Inputs!$G$5:$G$110="acoes"))*Inputs!$B$1+((Inputs!$G$5:$G$110&lt;&gt;"moeda")*(Inputs!$G$5:$G$110&lt;&gt;"acoes")))*INDEX(Inputs!$K$5:$AJ$110,0,MATCH(T$2,Inputs!$K$4:$AJ$4,0)))))</f>
        <v>11293</v>
      </c>
      <c r="U39" s="6">
        <f>IF(ISNA(MATCH(U$2,Inputs!$K$4:$AJ$4,0)),NA(),IF(SUMPRODUCT((Inputs!$A$5:$A$110=$B39)*ISNUMBER(INDEX(Inputs!$K$5:$AJ$110,0,MATCH(U$2,Inputs!$K$4:$AJ$4,0))))+SUMPRODUCT((Inputs!$C$5:$C$110=$B39)*ISNUMBER(INDEX(Inputs!$K$5:$AJ$110,0,MATCH(U$2,Inputs!$K$4:$AJ$4,0))))+SUMPRODUCT((Inputs!$E$5:$E$110=$B39)*ISNUMBER(INDEX(Inputs!$K$5:$AJ$110,0,MATCH(U$2,Inputs!$K$4:$AJ$4,0))))=0,NA(),SUMPRODUCT((Inputs!$A$5:$A$110=$B39)*Inputs!$B$5:$B$110*(((Inputs!$G$5:$G$110="moeda")+(Inputs!$G$5:$G$110="acoes"))*Inputs!$B$1+((Inputs!$G$5:$G$110&lt;&gt;"moeda")*(Inputs!$G$5:$G$110&lt;&gt;"acoes")))*INDEX(Inputs!$K$5:$AJ$110,0,MATCH(U$2,Inputs!$K$4:$AJ$4,0)))+SUMPRODUCT((Inputs!$C$5:$C$110=$B39)*Inputs!$D$5:$D$110*(((Inputs!$G$5:$G$110="moeda")+(Inputs!$G$5:$G$110="acoes"))*Inputs!$B$1+((Inputs!$G$5:$G$110&lt;&gt;"moeda")*(Inputs!$G$5:$G$110&lt;&gt;"acoes")))*INDEX(Inputs!$K$5:$AJ$110,0,MATCH(U$2,Inputs!$K$4:$AJ$4,0)))+SUMPRODUCT((Inputs!$E$5:$E$110=$B39)*Inputs!$F$5:$F$110*(((Inputs!$G$5:$G$110="moeda")+(Inputs!$G$5:$G$110="acoes"))*Inputs!$B$1+((Inputs!$G$5:$G$110&lt;&gt;"moeda")*(Inputs!$G$5:$G$110&lt;&gt;"acoes")))*INDEX(Inputs!$K$5:$AJ$110,0,MATCH(U$2,Inputs!$K$4:$AJ$4,0)))))</f>
        <v>11331</v>
      </c>
      <c r="V39" s="6">
        <f>IF(ISNA(MATCH(V$2,Inputs!$K$4:$AJ$4,0)),NA(),IF(SUMPRODUCT((Inputs!$A$5:$A$110=$B39)*ISNUMBER(INDEX(Inputs!$K$5:$AJ$110,0,MATCH(V$2,Inputs!$K$4:$AJ$4,0))))+SUMPRODUCT((Inputs!$C$5:$C$110=$B39)*ISNUMBER(INDEX(Inputs!$K$5:$AJ$110,0,MATCH(V$2,Inputs!$K$4:$AJ$4,0))))+SUMPRODUCT((Inputs!$E$5:$E$110=$B39)*ISNUMBER(INDEX(Inputs!$K$5:$AJ$110,0,MATCH(V$2,Inputs!$K$4:$AJ$4,0))))=0,NA(),SUMPRODUCT((Inputs!$A$5:$A$110=$B39)*Inputs!$B$5:$B$110*(((Inputs!$G$5:$G$110="moeda")+(Inputs!$G$5:$G$110="acoes"))*Inputs!$B$1+((Inputs!$G$5:$G$110&lt;&gt;"moeda")*(Inputs!$G$5:$G$110&lt;&gt;"acoes")))*INDEX(Inputs!$K$5:$AJ$110,0,MATCH(V$2,Inputs!$K$4:$AJ$4,0)))+SUMPRODUCT((Inputs!$C$5:$C$110=$B39)*Inputs!$D$5:$D$110*(((Inputs!$G$5:$G$110="moeda")+(Inputs!$G$5:$G$110="acoes"))*Inputs!$B$1+((Inputs!$G$5:$G$110&lt;&gt;"moeda")*(Inputs!$G$5:$G$110&lt;&gt;"acoes")))*INDEX(Inputs!$K$5:$AJ$110,0,MATCH(V$2,Inputs!$K$4:$AJ$4,0)))+SUMPRODUCT((Inputs!$E$5:$E$110=$B39)*Inputs!$F$5:$F$110*(((Inputs!$G$5:$G$110="moeda")+(Inputs!$G$5:$G$110="acoes"))*Inputs!$B$1+((Inputs!$G$5:$G$110&lt;&gt;"moeda")*(Inputs!$G$5:$G$110&lt;&gt;"acoes")))*INDEX(Inputs!$K$5:$AJ$110,0,MATCH(V$2,Inputs!$K$4:$AJ$4,0)))))</f>
        <v>10237</v>
      </c>
      <c r="W39" s="3">
        <f>V39</f>
        <v>10237</v>
      </c>
      <c r="X39" s="6">
        <f>IF(ISNA(MATCH(X$2,Inputs!$K$4:$AJ$4,0)),NA(),IF(SUMPRODUCT((Inputs!$A$5:$A$110=$B39)*ISNUMBER(INDEX(Inputs!$K$5:$AJ$110,0,MATCH(X$2,Inputs!$K$4:$AJ$4,0))))+SUMPRODUCT((Inputs!$C$5:$C$110=$B39)*ISNUMBER(INDEX(Inputs!$K$5:$AJ$110,0,MATCH(X$2,Inputs!$K$4:$AJ$4,0))))+SUMPRODUCT((Inputs!$E$5:$E$110=$B39)*ISNUMBER(INDEX(Inputs!$K$5:$AJ$110,0,MATCH(X$2,Inputs!$K$4:$AJ$4,0))))=0,NA(),SUMPRODUCT((Inputs!$A$5:$A$110=$B39)*Inputs!$B$5:$B$110*(((Inputs!$G$5:$G$110="moeda")+(Inputs!$G$5:$G$110="acoes"))*Inputs!$B$1+((Inputs!$G$5:$G$110&lt;&gt;"moeda")*(Inputs!$G$5:$G$110&lt;&gt;"acoes")))*INDEX(Inputs!$K$5:$AJ$110,0,MATCH(X$2,Inputs!$K$4:$AJ$4,0)))+SUMPRODUCT((Inputs!$C$5:$C$110=$B39)*Inputs!$D$5:$D$110*(((Inputs!$G$5:$G$110="moeda")+(Inputs!$G$5:$G$110="acoes"))*Inputs!$B$1+((Inputs!$G$5:$G$110&lt;&gt;"moeda")*(Inputs!$G$5:$G$110&lt;&gt;"acoes")))*INDEX(Inputs!$K$5:$AJ$110,0,MATCH(X$2,Inputs!$K$4:$AJ$4,0)))+SUMPRODUCT((Inputs!$E$5:$E$110=$B39)*Inputs!$F$5:$F$110*(((Inputs!$G$5:$G$110="moeda")+(Inputs!$G$5:$G$110="acoes"))*Inputs!$B$1+((Inputs!$G$5:$G$110&lt;&gt;"moeda")*(Inputs!$G$5:$G$110&lt;&gt;"acoes")))*INDEX(Inputs!$K$5:$AJ$110,0,MATCH(X$2,Inputs!$K$4:$AJ$4,0)))))</f>
        <v>10138</v>
      </c>
      <c r="Y39" s="6">
        <f>IF(ISNA(MATCH(Y$2,Inputs!$K$4:$AJ$4,0)),NA(),IF(SUMPRODUCT((Inputs!$A$5:$A$110=$B39)*ISNUMBER(INDEX(Inputs!$K$5:$AJ$110,0,MATCH(Y$2,Inputs!$K$4:$AJ$4,0))))+SUMPRODUCT((Inputs!$C$5:$C$110=$B39)*ISNUMBER(INDEX(Inputs!$K$5:$AJ$110,0,MATCH(Y$2,Inputs!$K$4:$AJ$4,0))))+SUMPRODUCT((Inputs!$E$5:$E$110=$B39)*ISNUMBER(INDEX(Inputs!$K$5:$AJ$110,0,MATCH(Y$2,Inputs!$K$4:$AJ$4,0))))=0,NA(),SUMPRODUCT((Inputs!$A$5:$A$110=$B39)*Inputs!$B$5:$B$110*(((Inputs!$G$5:$G$110="moeda")+(Inputs!$G$5:$G$110="acoes"))*Inputs!$B$1+((Inputs!$G$5:$G$110&lt;&gt;"moeda")*(Inputs!$G$5:$G$110&lt;&gt;"acoes")))*INDEX(Inputs!$K$5:$AJ$110,0,MATCH(Y$2,Inputs!$K$4:$AJ$4,0)))+SUMPRODUCT((Inputs!$C$5:$C$110=$B39)*Inputs!$D$5:$D$110*(((Inputs!$G$5:$G$110="moeda")+(Inputs!$G$5:$G$110="acoes"))*Inputs!$B$1+((Inputs!$G$5:$G$110&lt;&gt;"moeda")*(Inputs!$G$5:$G$110&lt;&gt;"acoes")))*INDEX(Inputs!$K$5:$AJ$110,0,MATCH(Y$2,Inputs!$K$4:$AJ$4,0)))+SUMPRODUCT((Inputs!$E$5:$E$110=$B39)*Inputs!$F$5:$F$110*(((Inputs!$G$5:$G$110="moeda")+(Inputs!$G$5:$G$110="acoes"))*Inputs!$B$1+((Inputs!$G$5:$G$110&lt;&gt;"moeda")*(Inputs!$G$5:$G$110&lt;&gt;"acoes")))*INDEX(Inputs!$K$5:$AJ$110,0,MATCH(Y$2,Inputs!$K$4:$AJ$4,0)))))</f>
        <v>10662</v>
      </c>
      <c r="Z39" s="6">
        <f>IF(ISNA(MATCH(Z$2,Inputs!$K$4:$AJ$4,0)),NA(),IF(SUMPRODUCT((Inputs!$A$5:$A$110=$B39)*ISNUMBER(INDEX(Inputs!$K$5:$AJ$110,0,MATCH(Z$2,Inputs!$K$4:$AJ$4,0))))+SUMPRODUCT((Inputs!$C$5:$C$110=$B39)*ISNUMBER(INDEX(Inputs!$K$5:$AJ$110,0,MATCH(Z$2,Inputs!$K$4:$AJ$4,0))))+SUMPRODUCT((Inputs!$E$5:$E$110=$B39)*ISNUMBER(INDEX(Inputs!$K$5:$AJ$110,0,MATCH(Z$2,Inputs!$K$4:$AJ$4,0))))=0,NA(),SUMPRODUCT((Inputs!$A$5:$A$110=$B39)*Inputs!$B$5:$B$110*(((Inputs!$G$5:$G$110="moeda")+(Inputs!$G$5:$G$110="acoes"))*Inputs!$B$1+((Inputs!$G$5:$G$110&lt;&gt;"moeda")*(Inputs!$G$5:$G$110&lt;&gt;"acoes")))*INDEX(Inputs!$K$5:$AJ$110,0,MATCH(Z$2,Inputs!$K$4:$AJ$4,0)))+SUMPRODUCT((Inputs!$C$5:$C$110=$B39)*Inputs!$D$5:$D$110*(((Inputs!$G$5:$G$110="moeda")+(Inputs!$G$5:$G$110="acoes"))*Inputs!$B$1+((Inputs!$G$5:$G$110&lt;&gt;"moeda")*(Inputs!$G$5:$G$110&lt;&gt;"acoes")))*INDEX(Inputs!$K$5:$AJ$110,0,MATCH(Z$2,Inputs!$K$4:$AJ$4,0)))+SUMPRODUCT((Inputs!$E$5:$E$110=$B39)*Inputs!$F$5:$F$110*(((Inputs!$G$5:$G$110="moeda")+(Inputs!$G$5:$G$110="acoes"))*Inputs!$B$1+((Inputs!$G$5:$G$110&lt;&gt;"moeda")*(Inputs!$G$5:$G$110&lt;&gt;"acoes")))*INDEX(Inputs!$K$5:$AJ$110,0,MATCH(Z$2,Inputs!$K$4:$AJ$4,0)))))</f>
        <v>10601</v>
      </c>
      <c r="AA39" s="6">
        <f>IF(ISNA(MATCH(AA$2,Inputs!$K$4:$AJ$4,0)),NA(),IF(SUMPRODUCT((Inputs!$A$5:$A$110=$B39)*ISNUMBER(INDEX(Inputs!$K$5:$AJ$110,0,MATCH(AA$2,Inputs!$K$4:$AJ$4,0))))+SUMPRODUCT((Inputs!$C$5:$C$110=$B39)*ISNUMBER(INDEX(Inputs!$K$5:$AJ$110,0,MATCH(AA$2,Inputs!$K$4:$AJ$4,0))))+SUMPRODUCT((Inputs!$E$5:$E$110=$B39)*ISNUMBER(INDEX(Inputs!$K$5:$AJ$110,0,MATCH(AA$2,Inputs!$K$4:$AJ$4,0))))=0,NA(),SUMPRODUCT((Inputs!$A$5:$A$110=$B39)*Inputs!$B$5:$B$110*(((Inputs!$G$5:$G$110="moeda")+(Inputs!$G$5:$G$110="acoes"))*Inputs!$B$1+((Inputs!$G$5:$G$110&lt;&gt;"moeda")*(Inputs!$G$5:$G$110&lt;&gt;"acoes")))*INDEX(Inputs!$K$5:$AJ$110,0,MATCH(AA$2,Inputs!$K$4:$AJ$4,0)))+SUMPRODUCT((Inputs!$C$5:$C$110=$B39)*Inputs!$D$5:$D$110*(((Inputs!$G$5:$G$110="moeda")+(Inputs!$G$5:$G$110="acoes"))*Inputs!$B$1+((Inputs!$G$5:$G$110&lt;&gt;"moeda")*(Inputs!$G$5:$G$110&lt;&gt;"acoes")))*INDEX(Inputs!$K$5:$AJ$110,0,MATCH(AA$2,Inputs!$K$4:$AJ$4,0)))+SUMPRODUCT((Inputs!$E$5:$E$110=$B39)*Inputs!$F$5:$F$110*(((Inputs!$G$5:$G$110="moeda")+(Inputs!$G$5:$G$110="acoes"))*Inputs!$B$1+((Inputs!$G$5:$G$110&lt;&gt;"moeda")*(Inputs!$G$5:$G$110&lt;&gt;"acoes")))*INDEX(Inputs!$K$5:$AJ$110,0,MATCH(AA$2,Inputs!$K$4:$AJ$4,0)))))</f>
        <v>9252</v>
      </c>
      <c r="AB39" s="3">
        <f>AA39</f>
        <v>9252</v>
      </c>
      <c r="AC39" s="6">
        <f>IF(ISNA(MATCH(AC$2,Inputs!$K$4:$AJ$4,0)),NA(),IF(SUMPRODUCT((Inputs!$A$5:$A$110=$B39)*ISNUMBER(INDEX(Inputs!$K$5:$AJ$110,0,MATCH(AC$2,Inputs!$K$4:$AJ$4,0))))+SUMPRODUCT((Inputs!$C$5:$C$110=$B39)*ISNUMBER(INDEX(Inputs!$K$5:$AJ$110,0,MATCH(AC$2,Inputs!$K$4:$AJ$4,0))))+SUMPRODUCT((Inputs!$E$5:$E$110=$B39)*ISNUMBER(INDEX(Inputs!$K$5:$AJ$110,0,MATCH(AC$2,Inputs!$K$4:$AJ$4,0))))=0,NA(),SUMPRODUCT((Inputs!$A$5:$A$110=$B39)*Inputs!$B$5:$B$110*(((Inputs!$G$5:$G$110="moeda")+(Inputs!$G$5:$G$110="acoes"))*Inputs!$B$1+((Inputs!$G$5:$G$110&lt;&gt;"moeda")*(Inputs!$G$5:$G$110&lt;&gt;"acoes")))*INDEX(Inputs!$K$5:$AJ$110,0,MATCH(AC$2,Inputs!$K$4:$AJ$4,0)))+SUMPRODUCT((Inputs!$C$5:$C$110=$B39)*Inputs!$D$5:$D$110*(((Inputs!$G$5:$G$110="moeda")+(Inputs!$G$5:$G$110="acoes"))*Inputs!$B$1+((Inputs!$G$5:$G$110&lt;&gt;"moeda")*(Inputs!$G$5:$G$110&lt;&gt;"acoes")))*INDEX(Inputs!$K$5:$AJ$110,0,MATCH(AC$2,Inputs!$K$4:$AJ$4,0)))+SUMPRODUCT((Inputs!$E$5:$E$110=$B39)*Inputs!$F$5:$F$110*(((Inputs!$G$5:$G$110="moeda")+(Inputs!$G$5:$G$110="acoes"))*Inputs!$B$1+((Inputs!$G$5:$G$110&lt;&gt;"moeda")*(Inputs!$G$5:$G$110&lt;&gt;"acoes")))*INDEX(Inputs!$K$5:$AJ$110,0,MATCH(AC$2,Inputs!$K$4:$AJ$4,0)))))</f>
        <v>9130</v>
      </c>
      <c r="AD39" s="6">
        <f>IF(ISNA(MATCH(AD$2,Inputs!$K$4:$AJ$4,0)),NA(),IF(SUMPRODUCT((Inputs!$A$5:$A$110=$B39)*ISNUMBER(INDEX(Inputs!$K$5:$AJ$110,0,MATCH(AD$2,Inputs!$K$4:$AJ$4,0))))+SUMPRODUCT((Inputs!$C$5:$C$110=$B39)*ISNUMBER(INDEX(Inputs!$K$5:$AJ$110,0,MATCH(AD$2,Inputs!$K$4:$AJ$4,0))))+SUMPRODUCT((Inputs!$E$5:$E$110=$B39)*ISNUMBER(INDEX(Inputs!$K$5:$AJ$110,0,MATCH(AD$2,Inputs!$K$4:$AJ$4,0))))=0,NA(),SUMPRODUCT((Inputs!$A$5:$A$110=$B39)*Inputs!$B$5:$B$110*(((Inputs!$G$5:$G$110="moeda")+(Inputs!$G$5:$G$110="acoes"))*Inputs!$B$1+((Inputs!$G$5:$G$110&lt;&gt;"moeda")*(Inputs!$G$5:$G$110&lt;&gt;"acoes")))*INDEX(Inputs!$K$5:$AJ$110,0,MATCH(AD$2,Inputs!$K$4:$AJ$4,0)))+SUMPRODUCT((Inputs!$C$5:$C$110=$B39)*Inputs!$D$5:$D$110*(((Inputs!$G$5:$G$110="moeda")+(Inputs!$G$5:$G$110="acoes"))*Inputs!$B$1+((Inputs!$G$5:$G$110&lt;&gt;"moeda")*(Inputs!$G$5:$G$110&lt;&gt;"acoes")))*INDEX(Inputs!$K$5:$AJ$110,0,MATCH(AD$2,Inputs!$K$4:$AJ$4,0)))+SUMPRODUCT((Inputs!$E$5:$E$110=$B39)*Inputs!$F$5:$F$110*(((Inputs!$G$5:$G$110="moeda")+(Inputs!$G$5:$G$110="acoes"))*Inputs!$B$1+((Inputs!$G$5:$G$110&lt;&gt;"moeda")*(Inputs!$G$5:$G$110&lt;&gt;"acoes")))*INDEX(Inputs!$K$5:$AJ$110,0,MATCH(AD$2,Inputs!$K$4:$AJ$4,0)))))</f>
        <v>9335</v>
      </c>
      <c r="AE39" s="6" t="e">
        <f>IF(ISNA(MATCH(AE$2,Inputs!$K$4:$AJ$4,0)),NA(),IF(SUMPRODUCT((Inputs!$A$5:$A$110=$B39)*ISNUMBER(INDEX(Inputs!$K$5:$AJ$110,0,MATCH(AE$2,Inputs!$K$4:$AJ$4,0))))+SUMPRODUCT((Inputs!$C$5:$C$110=$B39)*ISNUMBER(INDEX(Inputs!$K$5:$AJ$110,0,MATCH(AE$2,Inputs!$K$4:$AJ$4,0))))+SUMPRODUCT((Inputs!$E$5:$E$110=$B39)*ISNUMBER(INDEX(Inputs!$K$5:$AJ$110,0,MATCH(AE$2,Inputs!$K$4:$AJ$4,0))))=0,NA(),SUMPRODUCT((Inputs!$A$5:$A$110=$B39)*Inputs!$B$5:$B$110*(((Inputs!$G$5:$G$110="moeda")+(Inputs!$G$5:$G$110="acoes"))*Inputs!$B$1+((Inputs!$G$5:$G$110&lt;&gt;"moeda")*(Inputs!$G$5:$G$110&lt;&gt;"acoes")))*INDEX(Inputs!$K$5:$AJ$110,0,MATCH(AE$2,Inputs!$K$4:$AJ$4,0)))+SUMPRODUCT((Inputs!$C$5:$C$110=$B39)*Inputs!$D$5:$D$110*(((Inputs!$G$5:$G$110="moeda")+(Inputs!$G$5:$G$110="acoes"))*Inputs!$B$1+((Inputs!$G$5:$G$110&lt;&gt;"moeda")*(Inputs!$G$5:$G$110&lt;&gt;"acoes")))*INDEX(Inputs!$K$5:$AJ$110,0,MATCH(AE$2,Inputs!$K$4:$AJ$4,0)))+SUMPRODUCT((Inputs!$E$5:$E$110=$B39)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39" s="6" t="e">
        <f>IF(ISNA(MATCH(AF$2,Inputs!$K$4:$AJ$4,0)),NA(),IF(SUMPRODUCT((Inputs!$A$5:$A$110=$B39)*ISNUMBER(INDEX(Inputs!$K$5:$AJ$110,0,MATCH(AF$2,Inputs!$K$4:$AJ$4,0))))+SUMPRODUCT((Inputs!$C$5:$C$110=$B39)*ISNUMBER(INDEX(Inputs!$K$5:$AJ$110,0,MATCH(AF$2,Inputs!$K$4:$AJ$4,0))))+SUMPRODUCT((Inputs!$E$5:$E$110=$B39)*ISNUMBER(INDEX(Inputs!$K$5:$AJ$110,0,MATCH(AF$2,Inputs!$K$4:$AJ$4,0))))=0,NA(),SUMPRODUCT((Inputs!$A$5:$A$110=$B39)*Inputs!$B$5:$B$110*(((Inputs!$G$5:$G$110="moeda")+(Inputs!$G$5:$G$110="acoes"))*Inputs!$B$1+((Inputs!$G$5:$G$110&lt;&gt;"moeda")*(Inputs!$G$5:$G$110&lt;&gt;"acoes")))*INDEX(Inputs!$K$5:$AJ$110,0,MATCH(AF$2,Inputs!$K$4:$AJ$4,0)))+SUMPRODUCT((Inputs!$C$5:$C$110=$B39)*Inputs!$D$5:$D$110*(((Inputs!$G$5:$G$110="moeda")+(Inputs!$G$5:$G$110="acoes"))*Inputs!$B$1+((Inputs!$G$5:$G$110&lt;&gt;"moeda")*(Inputs!$G$5:$G$110&lt;&gt;"acoes")))*INDEX(Inputs!$K$5:$AJ$110,0,MATCH(AF$2,Inputs!$K$4:$AJ$4,0)))+SUMPRODUCT((Inputs!$E$5:$E$110=$B39)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39" s="3" t="e">
        <f>AF39</f>
        <v>#N/A</v>
      </c>
      <c r="AH39" s="6">
        <f>IF(ISNA(MATCH(AH$2,Inputs!$K$4:$AJ$4,0)),NA(),IF(SUMPRODUCT((Inputs!$A$5:$A$110=$B39)*ISNUMBER(INDEX(Inputs!$K$5:$AJ$110,0,MATCH(AH$2,Inputs!$K$4:$AJ$4,0))))+SUMPRODUCT((Inputs!$C$5:$C$110=$B39)*ISNUMBER(INDEX(Inputs!$K$5:$AJ$110,0,MATCH(AH$2,Inputs!$K$4:$AJ$4,0))))+SUMPRODUCT((Inputs!$E$5:$E$110=$B39)*ISNUMBER(INDEX(Inputs!$K$5:$AJ$110,0,MATCH(AH$2,Inputs!$K$4:$AJ$4,0))))=0,NA(),SUMPRODUCT((Inputs!$A$5:$A$110=$B39)*Inputs!$B$5:$B$110*(((Inputs!$G$5:$G$110="moeda")+(Inputs!$G$5:$G$110="acoes"))*Inputs!$B$1+((Inputs!$G$5:$G$110&lt;&gt;"moeda")*(Inputs!$G$5:$G$110&lt;&gt;"acoes")))*INDEX(Inputs!$K$5:$AJ$110,0,MATCH(AH$2,Inputs!$K$4:$AJ$4,0)))+SUMPRODUCT((Inputs!$C$5:$C$110=$B39)*Inputs!$D$5:$D$110*(((Inputs!$G$5:$G$110="moeda")+(Inputs!$G$5:$G$110="acoes"))*Inputs!$B$1+((Inputs!$G$5:$G$110&lt;&gt;"moeda")*(Inputs!$G$5:$G$110&lt;&gt;"acoes")))*INDEX(Inputs!$K$5:$AJ$110,0,MATCH(AH$2,Inputs!$K$4:$AJ$4,0)))+SUMPRODUCT((Inputs!$E$5:$E$110=$B39)*Inputs!$F$5:$F$110*(((Inputs!$G$5:$G$110="moeda")+(Inputs!$G$5:$G$110="acoes"))*Inputs!$B$1+((Inputs!$G$5:$G$110&lt;&gt;"moeda")*(Inputs!$G$5:$G$110&lt;&gt;"acoes")))*INDEX(Inputs!$K$5:$AJ$110,0,MATCH(AH$2,Inputs!$K$4:$AJ$4,0)))))</f>
        <v>18670</v>
      </c>
      <c r="AI39" s="6">
        <f>IF(ISNA(MATCH(AI$2,Inputs!$K$4:$AJ$4,0)),NA(),IF(SUMPRODUCT((Inputs!$A$5:$A$110=$B39)*ISNUMBER(INDEX(Inputs!$K$5:$AJ$110,0,MATCH(AI$2,Inputs!$K$4:$AJ$4,0))))+SUMPRODUCT((Inputs!$C$5:$C$110=$B39)*ISNUMBER(INDEX(Inputs!$K$5:$AJ$110,0,MATCH(AI$2,Inputs!$K$4:$AJ$4,0))))+SUMPRODUCT((Inputs!$E$5:$E$110=$B39)*ISNUMBER(INDEX(Inputs!$K$5:$AJ$110,0,MATCH(AI$2,Inputs!$K$4:$AJ$4,0))))=0,NA(),SUMPRODUCT((Inputs!$A$5:$A$110=$B39)*Inputs!$B$5:$B$110*(((Inputs!$G$5:$G$110="moeda")+(Inputs!$G$5:$G$110="acoes"))*Inputs!$B$1+((Inputs!$G$5:$G$110&lt;&gt;"moeda")*(Inputs!$G$5:$G$110&lt;&gt;"acoes")))*INDEX(Inputs!$K$5:$AJ$110,0,MATCH(AI$2,Inputs!$K$4:$AJ$4,0)))+SUMPRODUCT((Inputs!$C$5:$C$110=$B39)*Inputs!$D$5:$D$110*(((Inputs!$G$5:$G$110="moeda")+(Inputs!$G$5:$G$110="acoes"))*Inputs!$B$1+((Inputs!$G$5:$G$110&lt;&gt;"moeda")*(Inputs!$G$5:$G$110&lt;&gt;"acoes")))*INDEX(Inputs!$K$5:$AJ$110,0,MATCH(AI$2,Inputs!$K$4:$AJ$4,0)))+SUMPRODUCT((Inputs!$E$5:$E$110=$B39)*Inputs!$F$5:$F$110*(((Inputs!$G$5:$G$110="moeda")+(Inputs!$G$5:$G$110="acoes"))*Inputs!$B$1+((Inputs!$G$5:$G$110&lt;&gt;"moeda")*(Inputs!$G$5:$G$110&lt;&gt;"acoes")))*INDEX(Inputs!$K$5:$AJ$110,0,MATCH(AI$2,Inputs!$K$4:$AJ$4,0)))))</f>
        <v>18755</v>
      </c>
      <c r="AJ39" s="6">
        <f>IF(ISNA(MATCH(AJ$2,Inputs!$K$4:$AJ$4,0)),NA(),IF(SUMPRODUCT((Inputs!$A$5:$A$110=$B39)*ISNUMBER(INDEX(Inputs!$K$5:$AJ$110,0,MATCH(AJ$2,Inputs!$K$4:$AJ$4,0))))+SUMPRODUCT((Inputs!$C$5:$C$110=$B39)*ISNUMBER(INDEX(Inputs!$K$5:$AJ$110,0,MATCH(AJ$2,Inputs!$K$4:$AJ$4,0))))+SUMPRODUCT((Inputs!$E$5:$E$110=$B39)*ISNUMBER(INDEX(Inputs!$K$5:$AJ$110,0,MATCH(AJ$2,Inputs!$K$4:$AJ$4,0))))=0,NA(),SUMPRODUCT((Inputs!$A$5:$A$110=$B39)*Inputs!$B$5:$B$110*(((Inputs!$G$5:$G$110="moeda")+(Inputs!$G$5:$G$110="acoes"))*Inputs!$B$1+((Inputs!$G$5:$G$110&lt;&gt;"moeda")*(Inputs!$G$5:$G$110&lt;&gt;"acoes")))*INDEX(Inputs!$K$5:$AJ$110,0,MATCH(AJ$2,Inputs!$K$4:$AJ$4,0)))+SUMPRODUCT((Inputs!$C$5:$C$110=$B39)*Inputs!$D$5:$D$110*(((Inputs!$G$5:$G$110="moeda")+(Inputs!$G$5:$G$110="acoes"))*Inputs!$B$1+((Inputs!$G$5:$G$110&lt;&gt;"moeda")*(Inputs!$G$5:$G$110&lt;&gt;"acoes")))*INDEX(Inputs!$K$5:$AJ$110,0,MATCH(AJ$2,Inputs!$K$4:$AJ$4,0)))+SUMPRODUCT((Inputs!$E$5:$E$110=$B39)*Inputs!$F$5:$F$110*(((Inputs!$G$5:$G$110="moeda")+(Inputs!$G$5:$G$110="acoes"))*Inputs!$B$1+((Inputs!$G$5:$G$110&lt;&gt;"moeda")*(Inputs!$G$5:$G$110&lt;&gt;"acoes")))*INDEX(Inputs!$K$5:$AJ$110,0,MATCH(AJ$2,Inputs!$K$4:$AJ$4,0)))))</f>
        <v>18911</v>
      </c>
      <c r="AK39" s="6">
        <f>IF(ISNA(MATCH(AK$2,Inputs!$K$4:$AJ$4,0)),NA(),IF(SUMPRODUCT((Inputs!$A$5:$A$110=$B39)*ISNUMBER(INDEX(Inputs!$K$5:$AJ$110,0,MATCH(AK$2,Inputs!$K$4:$AJ$4,0))))+SUMPRODUCT((Inputs!$C$5:$C$110=$B39)*ISNUMBER(INDEX(Inputs!$K$5:$AJ$110,0,MATCH(AK$2,Inputs!$K$4:$AJ$4,0))))+SUMPRODUCT((Inputs!$E$5:$E$110=$B39)*ISNUMBER(INDEX(Inputs!$K$5:$AJ$110,0,MATCH(AK$2,Inputs!$K$4:$AJ$4,0))))=0,NA(),SUMPRODUCT((Inputs!$A$5:$A$110=$B39)*Inputs!$B$5:$B$110*(((Inputs!$G$5:$G$110="moeda")+(Inputs!$G$5:$G$110="acoes"))*Inputs!$B$1+((Inputs!$G$5:$G$110&lt;&gt;"moeda")*(Inputs!$G$5:$G$110&lt;&gt;"acoes")))*INDEX(Inputs!$K$5:$AJ$110,0,MATCH(AK$2,Inputs!$K$4:$AJ$4,0)))+SUMPRODUCT((Inputs!$C$5:$C$110=$B39)*Inputs!$D$5:$D$110*(((Inputs!$G$5:$G$110="moeda")+(Inputs!$G$5:$G$110="acoes"))*Inputs!$B$1+((Inputs!$G$5:$G$110&lt;&gt;"moeda")*(Inputs!$G$5:$G$110&lt;&gt;"acoes")))*INDEX(Inputs!$K$5:$AJ$110,0,MATCH(AK$2,Inputs!$K$4:$AJ$4,0)))+SUMPRODUCT((Inputs!$E$5:$E$110=$B39)*Inputs!$F$5:$F$110*(((Inputs!$G$5:$G$110="moeda")+(Inputs!$G$5:$G$110="acoes"))*Inputs!$B$1+((Inputs!$G$5:$G$110&lt;&gt;"moeda")*(Inputs!$G$5:$G$110&lt;&gt;"acoes")))*INDEX(Inputs!$K$5:$AJ$110,0,MATCH(AK$2,Inputs!$K$4:$AJ$4,0)))))</f>
        <v>19070</v>
      </c>
      <c r="AL39" s="3">
        <f>AK39</f>
        <v>19070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$110=$B41)*ISNUMBER(INDEX(Inputs!$K$5:$AJ$110,0,MATCH(D$2,Inputs!$K$4:$AJ$4,0))))+SUMPRODUCT((Inputs!$C$5:$C$110=$B41)*ISNUMBER(INDEX(Inputs!$K$5:$AJ$110,0,MATCH(D$2,Inputs!$K$4:$AJ$4,0))))+SUMPRODUCT((Inputs!$E$5:$E$110=$B41)*ISNUMBER(INDEX(Inputs!$K$5:$AJ$110,0,MATCH(D$2,Inputs!$K$4:$AJ$4,0))))=0,NA(),SUMPRODUCT((Inputs!$A$5:$A$110=$B41)*Inputs!$B$5:$B$110*(((Inputs!$G$5:$G$110="moeda")+(Inputs!$G$5:$G$110="acoes"))*Inputs!$B$1+((Inputs!$G$5:$G$110&lt;&gt;"moeda")*(Inputs!$G$5:$G$110&lt;&gt;"acoes")))*INDEX(Inputs!$K$5:$AJ$110,0,MATCH(D$2,Inputs!$K$4:$AJ$4,0)))+SUMPRODUCT((Inputs!$C$5:$C$110=$B41)*Inputs!$D$5:$D$110*(((Inputs!$G$5:$G$110="moeda")+(Inputs!$G$5:$G$110="acoes"))*Inputs!$B$1+((Inputs!$G$5:$G$110&lt;&gt;"moeda")*(Inputs!$G$5:$G$110&lt;&gt;"acoes")))*INDEX(Inputs!$K$5:$AJ$110,0,MATCH(D$2,Inputs!$K$4:$AJ$4,0)))+SUMPRODUCT((Inputs!$E$5:$E$110=$B41)*Inputs!$F$5:$F$110*(((Inputs!$G$5:$G$110="moeda")+(Inputs!$G$5:$G$110="acoes"))*Inputs!$B$1+((Inputs!$G$5:$G$110&lt;&gt;"moeda")*(Inputs!$G$5:$G$110&lt;&gt;"acoes")))*INDEX(Inputs!$K$5:$AJ$110,0,MATCH(D$2,Inputs!$K$4:$AJ$4,0)))))</f>
        <v>21</v>
      </c>
      <c r="E41" s="6">
        <f>IF(ISNA(MATCH(E$2,Inputs!$K$4:$AJ$4,0)),NA(),IF(SUMPRODUCT((Inputs!$A$5:$A$110=$B41)*ISNUMBER(INDEX(Inputs!$K$5:$AJ$110,0,MATCH(E$2,Inputs!$K$4:$AJ$4,0))))+SUMPRODUCT((Inputs!$C$5:$C$110=$B41)*ISNUMBER(INDEX(Inputs!$K$5:$AJ$110,0,MATCH(E$2,Inputs!$K$4:$AJ$4,0))))+SUMPRODUCT((Inputs!$E$5:$E$110=$B41)*ISNUMBER(INDEX(Inputs!$K$5:$AJ$110,0,MATCH(E$2,Inputs!$K$4:$AJ$4,0))))=0,NA(),SUMPRODUCT((Inputs!$A$5:$A$110=$B41)*Inputs!$B$5:$B$110*(((Inputs!$G$5:$G$110="moeda")+(Inputs!$G$5:$G$110="acoes"))*Inputs!$B$1+((Inputs!$G$5:$G$110&lt;&gt;"moeda")*(Inputs!$G$5:$G$110&lt;&gt;"acoes")))*INDEX(Inputs!$K$5:$AJ$110,0,MATCH(E$2,Inputs!$K$4:$AJ$4,0)))+SUMPRODUCT((Inputs!$C$5:$C$110=$B41)*Inputs!$D$5:$D$110*(((Inputs!$G$5:$G$110="moeda")+(Inputs!$G$5:$G$110="acoes"))*Inputs!$B$1+((Inputs!$G$5:$G$110&lt;&gt;"moeda")*(Inputs!$G$5:$G$110&lt;&gt;"acoes")))*INDEX(Inputs!$K$5:$AJ$110,0,MATCH(E$2,Inputs!$K$4:$AJ$4,0)))+SUMPRODUCT((Inputs!$E$5:$E$110=$B41)*Inputs!$F$5:$F$110*(((Inputs!$G$5:$G$110="moeda")+(Inputs!$G$5:$G$110="acoes"))*Inputs!$B$1+((Inputs!$G$5:$G$110&lt;&gt;"moeda")*(Inputs!$G$5:$G$110&lt;&gt;"acoes")))*INDEX(Inputs!$K$5:$AJ$110,0,MATCH(E$2,Inputs!$K$4:$AJ$4,0)))))</f>
        <v>8</v>
      </c>
      <c r="F41" s="6">
        <f>IF(ISNA(MATCH(F$2,Inputs!$K$4:$AJ$4,0)),NA(),IF(SUMPRODUCT((Inputs!$A$5:$A$110=$B41)*ISNUMBER(INDEX(Inputs!$K$5:$AJ$110,0,MATCH(F$2,Inputs!$K$4:$AJ$4,0))))+SUMPRODUCT((Inputs!$C$5:$C$110=$B41)*ISNUMBER(INDEX(Inputs!$K$5:$AJ$110,0,MATCH(F$2,Inputs!$K$4:$AJ$4,0))))+SUMPRODUCT((Inputs!$E$5:$E$110=$B41)*ISNUMBER(INDEX(Inputs!$K$5:$AJ$110,0,MATCH(F$2,Inputs!$K$4:$AJ$4,0))))=0,NA(),SUMPRODUCT((Inputs!$A$5:$A$110=$B41)*Inputs!$B$5:$B$110*(((Inputs!$G$5:$G$110="moeda")+(Inputs!$G$5:$G$110="acoes"))*Inputs!$B$1+((Inputs!$G$5:$G$110&lt;&gt;"moeda")*(Inputs!$G$5:$G$110&lt;&gt;"acoes")))*INDEX(Inputs!$K$5:$AJ$110,0,MATCH(F$2,Inputs!$K$4:$AJ$4,0)))+SUMPRODUCT((Inputs!$C$5:$C$110=$B41)*Inputs!$D$5:$D$110*(((Inputs!$G$5:$G$110="moeda")+(Inputs!$G$5:$G$110="acoes"))*Inputs!$B$1+((Inputs!$G$5:$G$110&lt;&gt;"moeda")*(Inputs!$G$5:$G$110&lt;&gt;"acoes")))*INDEX(Inputs!$K$5:$AJ$110,0,MATCH(F$2,Inputs!$K$4:$AJ$4,0)))+SUMPRODUCT((Inputs!$E$5:$E$110=$B41)*Inputs!$F$5:$F$110*(((Inputs!$G$5:$G$110="moeda")+(Inputs!$G$5:$G$110="acoes"))*Inputs!$B$1+((Inputs!$G$5:$G$110&lt;&gt;"moeda")*(Inputs!$G$5:$G$110&lt;&gt;"acoes")))*INDEX(Inputs!$K$5:$AJ$110,0,MATCH(F$2,Inputs!$K$4:$AJ$4,0)))))</f>
        <v>0</v>
      </c>
      <c r="G41" s="6">
        <f>IF(ISNA(MATCH(G$2,Inputs!$K$4:$AJ$4,0)),NA(),IF(SUMPRODUCT((Inputs!$A$5:$A$110=$B41)*ISNUMBER(INDEX(Inputs!$K$5:$AJ$110,0,MATCH(G$2,Inputs!$K$4:$AJ$4,0))))+SUMPRODUCT((Inputs!$C$5:$C$110=$B41)*ISNUMBER(INDEX(Inputs!$K$5:$AJ$110,0,MATCH(G$2,Inputs!$K$4:$AJ$4,0))))+SUMPRODUCT((Inputs!$E$5:$E$110=$B41)*ISNUMBER(INDEX(Inputs!$K$5:$AJ$110,0,MATCH(G$2,Inputs!$K$4:$AJ$4,0))))=0,NA(),SUMPRODUCT((Inputs!$A$5:$A$110=$B41)*Inputs!$B$5:$B$110*(((Inputs!$G$5:$G$110="moeda")+(Inputs!$G$5:$G$110="acoes"))*Inputs!$B$1+((Inputs!$G$5:$G$110&lt;&gt;"moeda")*(Inputs!$G$5:$G$110&lt;&gt;"acoes")))*INDEX(Inputs!$K$5:$AJ$110,0,MATCH(G$2,Inputs!$K$4:$AJ$4,0)))+SUMPRODUCT((Inputs!$C$5:$C$110=$B41)*Inputs!$D$5:$D$110*(((Inputs!$G$5:$G$110="moeda")+(Inputs!$G$5:$G$110="acoes"))*Inputs!$B$1+((Inputs!$G$5:$G$110&lt;&gt;"moeda")*(Inputs!$G$5:$G$110&lt;&gt;"acoes")))*INDEX(Inputs!$K$5:$AJ$110,0,MATCH(G$2,Inputs!$K$4:$AJ$4,0)))+SUMPRODUCT((Inputs!$E$5:$E$110=$B41)*Inputs!$F$5:$F$110*(((Inputs!$G$5:$G$110="moeda")+(Inputs!$G$5:$G$110="acoes"))*Inputs!$B$1+((Inputs!$G$5:$G$110&lt;&gt;"moeda")*(Inputs!$G$5:$G$110&lt;&gt;"acoes")))*INDEX(Inputs!$K$5:$AJ$110,0,MATCH(G$2,Inputs!$K$4:$AJ$4,0)))))</f>
        <v>0</v>
      </c>
      <c r="H41" s="3">
        <f>G41</f>
        <v>0</v>
      </c>
      <c r="I41" s="6">
        <f>IF(ISNA(MATCH(I$2,Inputs!$K$4:$AJ$4,0)),NA(),IF(SUMPRODUCT((Inputs!$A$5:$A$110=$B41)*ISNUMBER(INDEX(Inputs!$K$5:$AJ$110,0,MATCH(I$2,Inputs!$K$4:$AJ$4,0))))+SUMPRODUCT((Inputs!$C$5:$C$110=$B41)*ISNUMBER(INDEX(Inputs!$K$5:$AJ$110,0,MATCH(I$2,Inputs!$K$4:$AJ$4,0))))+SUMPRODUCT((Inputs!$E$5:$E$110=$B41)*ISNUMBER(INDEX(Inputs!$K$5:$AJ$110,0,MATCH(I$2,Inputs!$K$4:$AJ$4,0))))=0,NA(),SUMPRODUCT((Inputs!$A$5:$A$110=$B41)*Inputs!$B$5:$B$110*(((Inputs!$G$5:$G$110="moeda")+(Inputs!$G$5:$G$110="acoes"))*Inputs!$B$1+((Inputs!$G$5:$G$110&lt;&gt;"moeda")*(Inputs!$G$5:$G$110&lt;&gt;"acoes")))*INDEX(Inputs!$K$5:$AJ$110,0,MATCH(I$2,Inputs!$K$4:$AJ$4,0)))+SUMPRODUCT((Inputs!$C$5:$C$110=$B41)*Inputs!$D$5:$D$110*(((Inputs!$G$5:$G$110="moeda")+(Inputs!$G$5:$G$110="acoes"))*Inputs!$B$1+((Inputs!$G$5:$G$110&lt;&gt;"moeda")*(Inputs!$G$5:$G$110&lt;&gt;"acoes")))*INDEX(Inputs!$K$5:$AJ$110,0,MATCH(I$2,Inputs!$K$4:$AJ$4,0)))+SUMPRODUCT((Inputs!$E$5:$E$110=$B41)*Inputs!$F$5:$F$110*(((Inputs!$G$5:$G$110="moeda")+(Inputs!$G$5:$G$110="acoes"))*Inputs!$B$1+((Inputs!$G$5:$G$110&lt;&gt;"moeda")*(Inputs!$G$5:$G$110&lt;&gt;"acoes")))*INDEX(Inputs!$K$5:$AJ$110,0,MATCH(I$2,Inputs!$K$4:$AJ$4,0)))))</f>
        <v>0</v>
      </c>
      <c r="J41" s="6">
        <f>IF(ISNA(MATCH(J$2,Inputs!$K$4:$AJ$4,0)),NA(),IF(SUMPRODUCT((Inputs!$A$5:$A$110=$B41)*ISNUMBER(INDEX(Inputs!$K$5:$AJ$110,0,MATCH(J$2,Inputs!$K$4:$AJ$4,0))))+SUMPRODUCT((Inputs!$C$5:$C$110=$B41)*ISNUMBER(INDEX(Inputs!$K$5:$AJ$110,0,MATCH(J$2,Inputs!$K$4:$AJ$4,0))))+SUMPRODUCT((Inputs!$E$5:$E$110=$B41)*ISNUMBER(INDEX(Inputs!$K$5:$AJ$110,0,MATCH(J$2,Inputs!$K$4:$AJ$4,0))))=0,NA(),SUMPRODUCT((Inputs!$A$5:$A$110=$B41)*Inputs!$B$5:$B$110*(((Inputs!$G$5:$G$110="moeda")+(Inputs!$G$5:$G$110="acoes"))*Inputs!$B$1+((Inputs!$G$5:$G$110&lt;&gt;"moeda")*(Inputs!$G$5:$G$110&lt;&gt;"acoes")))*INDEX(Inputs!$K$5:$AJ$110,0,MATCH(J$2,Inputs!$K$4:$AJ$4,0)))+SUMPRODUCT((Inputs!$C$5:$C$110=$B41)*Inputs!$D$5:$D$110*(((Inputs!$G$5:$G$110="moeda")+(Inputs!$G$5:$G$110="acoes"))*Inputs!$B$1+((Inputs!$G$5:$G$110&lt;&gt;"moeda")*(Inputs!$G$5:$G$110&lt;&gt;"acoes")))*INDEX(Inputs!$K$5:$AJ$110,0,MATCH(J$2,Inputs!$K$4:$AJ$4,0)))+SUMPRODUCT((Inputs!$E$5:$E$110=$B41)*Inputs!$F$5:$F$110*(((Inputs!$G$5:$G$110="moeda")+(Inputs!$G$5:$G$110="acoes"))*Inputs!$B$1+((Inputs!$G$5:$G$110&lt;&gt;"moeda")*(Inputs!$G$5:$G$110&lt;&gt;"acoes")))*INDEX(Inputs!$K$5:$AJ$110,0,MATCH(J$2,Inputs!$K$4:$AJ$4,0)))))</f>
        <v>0</v>
      </c>
      <c r="K41" s="6">
        <f>IF(ISNA(MATCH(K$2,Inputs!$K$4:$AJ$4,0)),NA(),IF(SUMPRODUCT((Inputs!$A$5:$A$110=$B41)*ISNUMBER(INDEX(Inputs!$K$5:$AJ$110,0,MATCH(K$2,Inputs!$K$4:$AJ$4,0))))+SUMPRODUCT((Inputs!$C$5:$C$110=$B41)*ISNUMBER(INDEX(Inputs!$K$5:$AJ$110,0,MATCH(K$2,Inputs!$K$4:$AJ$4,0))))+SUMPRODUCT((Inputs!$E$5:$E$110=$B41)*ISNUMBER(INDEX(Inputs!$K$5:$AJ$110,0,MATCH(K$2,Inputs!$K$4:$AJ$4,0))))=0,NA(),SUMPRODUCT((Inputs!$A$5:$A$110=$B41)*Inputs!$B$5:$B$110*(((Inputs!$G$5:$G$110="moeda")+(Inputs!$G$5:$G$110="acoes"))*Inputs!$B$1+((Inputs!$G$5:$G$110&lt;&gt;"moeda")*(Inputs!$G$5:$G$110&lt;&gt;"acoes")))*INDEX(Inputs!$K$5:$AJ$110,0,MATCH(K$2,Inputs!$K$4:$AJ$4,0)))+SUMPRODUCT((Inputs!$C$5:$C$110=$B41)*Inputs!$D$5:$D$110*(((Inputs!$G$5:$G$110="moeda")+(Inputs!$G$5:$G$110="acoes"))*Inputs!$B$1+((Inputs!$G$5:$G$110&lt;&gt;"moeda")*(Inputs!$G$5:$G$110&lt;&gt;"acoes")))*INDEX(Inputs!$K$5:$AJ$110,0,MATCH(K$2,Inputs!$K$4:$AJ$4,0)))+SUMPRODUCT((Inputs!$E$5:$E$110=$B41)*Inputs!$F$5:$F$110*(((Inputs!$G$5:$G$110="moeda")+(Inputs!$G$5:$G$110="acoes"))*Inputs!$B$1+((Inputs!$G$5:$G$110&lt;&gt;"moeda")*(Inputs!$G$5:$G$110&lt;&gt;"acoes")))*INDEX(Inputs!$K$5:$AJ$110,0,MATCH(K$2,Inputs!$K$4:$AJ$4,0)))))</f>
        <v>0</v>
      </c>
      <c r="L41" s="6">
        <f>IF(ISNA(MATCH(L$2,Inputs!$K$4:$AJ$4,0)),NA(),IF(SUMPRODUCT((Inputs!$A$5:$A$110=$B41)*ISNUMBER(INDEX(Inputs!$K$5:$AJ$110,0,MATCH(L$2,Inputs!$K$4:$AJ$4,0))))+SUMPRODUCT((Inputs!$C$5:$C$110=$B41)*ISNUMBER(INDEX(Inputs!$K$5:$AJ$110,0,MATCH(L$2,Inputs!$K$4:$AJ$4,0))))+SUMPRODUCT((Inputs!$E$5:$E$110=$B41)*ISNUMBER(INDEX(Inputs!$K$5:$AJ$110,0,MATCH(L$2,Inputs!$K$4:$AJ$4,0))))=0,NA(),SUMPRODUCT((Inputs!$A$5:$A$110=$B41)*Inputs!$B$5:$B$110*(((Inputs!$G$5:$G$110="moeda")+(Inputs!$G$5:$G$110="acoes"))*Inputs!$B$1+((Inputs!$G$5:$G$110&lt;&gt;"moeda")*(Inputs!$G$5:$G$110&lt;&gt;"acoes")))*INDEX(Inputs!$K$5:$AJ$110,0,MATCH(L$2,Inputs!$K$4:$AJ$4,0)))+SUMPRODUCT((Inputs!$C$5:$C$110=$B41)*Inputs!$D$5:$D$110*(((Inputs!$G$5:$G$110="moeda")+(Inputs!$G$5:$G$110="acoes"))*Inputs!$B$1+((Inputs!$G$5:$G$110&lt;&gt;"moeda")*(Inputs!$G$5:$G$110&lt;&gt;"acoes")))*INDEX(Inputs!$K$5:$AJ$110,0,MATCH(L$2,Inputs!$K$4:$AJ$4,0)))+SUMPRODUCT((Inputs!$E$5:$E$110=$B41)*Inputs!$F$5:$F$110*(((Inputs!$G$5:$G$110="moeda")+(Inputs!$G$5:$G$110="acoes"))*Inputs!$B$1+((Inputs!$G$5:$G$110&lt;&gt;"moeda")*(Inputs!$G$5:$G$110&lt;&gt;"acoes")))*INDEX(Inputs!$K$5:$AJ$110,0,MATCH(L$2,Inputs!$K$4:$AJ$4,0)))))</f>
        <v>0</v>
      </c>
      <c r="M41" s="3">
        <f>L41</f>
        <v>0</v>
      </c>
      <c r="N41" s="6">
        <f>IF(ISNA(MATCH(N$2,Inputs!$K$4:$AJ$4,0)),NA(),IF(SUMPRODUCT((Inputs!$A$5:$A$110=$B41)*ISNUMBER(INDEX(Inputs!$K$5:$AJ$110,0,MATCH(N$2,Inputs!$K$4:$AJ$4,0))))+SUMPRODUCT((Inputs!$C$5:$C$110=$B41)*ISNUMBER(INDEX(Inputs!$K$5:$AJ$110,0,MATCH(N$2,Inputs!$K$4:$AJ$4,0))))+SUMPRODUCT((Inputs!$E$5:$E$110=$B41)*ISNUMBER(INDEX(Inputs!$K$5:$AJ$110,0,MATCH(N$2,Inputs!$K$4:$AJ$4,0))))=0,NA(),SUMPRODUCT((Inputs!$A$5:$A$110=$B41)*Inputs!$B$5:$B$110*(((Inputs!$G$5:$G$110="moeda")+(Inputs!$G$5:$G$110="acoes"))*Inputs!$B$1+((Inputs!$G$5:$G$110&lt;&gt;"moeda")*(Inputs!$G$5:$G$110&lt;&gt;"acoes")))*INDEX(Inputs!$K$5:$AJ$110,0,MATCH(N$2,Inputs!$K$4:$AJ$4,0)))+SUMPRODUCT((Inputs!$C$5:$C$110=$B41)*Inputs!$D$5:$D$110*(((Inputs!$G$5:$G$110="moeda")+(Inputs!$G$5:$G$110="acoes"))*Inputs!$B$1+((Inputs!$G$5:$G$110&lt;&gt;"moeda")*(Inputs!$G$5:$G$110&lt;&gt;"acoes")))*INDEX(Inputs!$K$5:$AJ$110,0,MATCH(N$2,Inputs!$K$4:$AJ$4,0)))+SUMPRODUCT((Inputs!$E$5:$E$110=$B41)*Inputs!$F$5:$F$110*(((Inputs!$G$5:$G$110="moeda")+(Inputs!$G$5:$G$110="acoes"))*Inputs!$B$1+((Inputs!$G$5:$G$110&lt;&gt;"moeda")*(Inputs!$G$5:$G$110&lt;&gt;"acoes")))*INDEX(Inputs!$K$5:$AJ$110,0,MATCH(N$2,Inputs!$K$4:$AJ$4,0)))))</f>
        <v>0</v>
      </c>
      <c r="O41" s="6">
        <f>IF(ISNA(MATCH(O$2,Inputs!$K$4:$AJ$4,0)),NA(),IF(SUMPRODUCT((Inputs!$A$5:$A$110=$B41)*ISNUMBER(INDEX(Inputs!$K$5:$AJ$110,0,MATCH(O$2,Inputs!$K$4:$AJ$4,0))))+SUMPRODUCT((Inputs!$C$5:$C$110=$B41)*ISNUMBER(INDEX(Inputs!$K$5:$AJ$110,0,MATCH(O$2,Inputs!$K$4:$AJ$4,0))))+SUMPRODUCT((Inputs!$E$5:$E$110=$B41)*ISNUMBER(INDEX(Inputs!$K$5:$AJ$110,0,MATCH(O$2,Inputs!$K$4:$AJ$4,0))))=0,NA(),SUMPRODUCT((Inputs!$A$5:$A$110=$B41)*Inputs!$B$5:$B$110*(((Inputs!$G$5:$G$110="moeda")+(Inputs!$G$5:$G$110="acoes"))*Inputs!$B$1+((Inputs!$G$5:$G$110&lt;&gt;"moeda")*(Inputs!$G$5:$G$110&lt;&gt;"acoes")))*INDEX(Inputs!$K$5:$AJ$110,0,MATCH(O$2,Inputs!$K$4:$AJ$4,0)))+SUMPRODUCT((Inputs!$C$5:$C$110=$B41)*Inputs!$D$5:$D$110*(((Inputs!$G$5:$G$110="moeda")+(Inputs!$G$5:$G$110="acoes"))*Inputs!$B$1+((Inputs!$G$5:$G$110&lt;&gt;"moeda")*(Inputs!$G$5:$G$110&lt;&gt;"acoes")))*INDEX(Inputs!$K$5:$AJ$110,0,MATCH(O$2,Inputs!$K$4:$AJ$4,0)))+SUMPRODUCT((Inputs!$E$5:$E$110=$B41)*Inputs!$F$5:$F$110*(((Inputs!$G$5:$G$110="moeda")+(Inputs!$G$5:$G$110="acoes"))*Inputs!$B$1+((Inputs!$G$5:$G$110&lt;&gt;"moeda")*(Inputs!$G$5:$G$110&lt;&gt;"acoes")))*INDEX(Inputs!$K$5:$AJ$110,0,MATCH(O$2,Inputs!$K$4:$AJ$4,0)))))</f>
        <v>0</v>
      </c>
      <c r="P41" s="6">
        <f>IF(ISNA(MATCH(P$2,Inputs!$K$4:$AJ$4,0)),NA(),IF(SUMPRODUCT((Inputs!$A$5:$A$110=$B41)*ISNUMBER(INDEX(Inputs!$K$5:$AJ$110,0,MATCH(P$2,Inputs!$K$4:$AJ$4,0))))+SUMPRODUCT((Inputs!$C$5:$C$110=$B41)*ISNUMBER(INDEX(Inputs!$K$5:$AJ$110,0,MATCH(P$2,Inputs!$K$4:$AJ$4,0))))+SUMPRODUCT((Inputs!$E$5:$E$110=$B41)*ISNUMBER(INDEX(Inputs!$K$5:$AJ$110,0,MATCH(P$2,Inputs!$K$4:$AJ$4,0))))=0,NA(),SUMPRODUCT((Inputs!$A$5:$A$110=$B41)*Inputs!$B$5:$B$110*(((Inputs!$G$5:$G$110="moeda")+(Inputs!$G$5:$G$110="acoes"))*Inputs!$B$1+((Inputs!$G$5:$G$110&lt;&gt;"moeda")*(Inputs!$G$5:$G$110&lt;&gt;"acoes")))*INDEX(Inputs!$K$5:$AJ$110,0,MATCH(P$2,Inputs!$K$4:$AJ$4,0)))+SUMPRODUCT((Inputs!$C$5:$C$110=$B41)*Inputs!$D$5:$D$110*(((Inputs!$G$5:$G$110="moeda")+(Inputs!$G$5:$G$110="acoes"))*Inputs!$B$1+((Inputs!$G$5:$G$110&lt;&gt;"moeda")*(Inputs!$G$5:$G$110&lt;&gt;"acoes")))*INDEX(Inputs!$K$5:$AJ$110,0,MATCH(P$2,Inputs!$K$4:$AJ$4,0)))+SUMPRODUCT((Inputs!$E$5:$E$110=$B41)*Inputs!$F$5:$F$110*(((Inputs!$G$5:$G$110="moeda")+(Inputs!$G$5:$G$110="acoes"))*Inputs!$B$1+((Inputs!$G$5:$G$110&lt;&gt;"moeda")*(Inputs!$G$5:$G$110&lt;&gt;"acoes")))*INDEX(Inputs!$K$5:$AJ$110,0,MATCH(P$2,Inputs!$K$4:$AJ$4,0)))))</f>
        <v>0</v>
      </c>
      <c r="Q41" s="6">
        <f>IF(ISNA(MATCH(Q$2,Inputs!$K$4:$AJ$4,0)),NA(),IF(SUMPRODUCT((Inputs!$A$5:$A$110=$B41)*ISNUMBER(INDEX(Inputs!$K$5:$AJ$110,0,MATCH(Q$2,Inputs!$K$4:$AJ$4,0))))+SUMPRODUCT((Inputs!$C$5:$C$110=$B41)*ISNUMBER(INDEX(Inputs!$K$5:$AJ$110,0,MATCH(Q$2,Inputs!$K$4:$AJ$4,0))))+SUMPRODUCT((Inputs!$E$5:$E$110=$B41)*ISNUMBER(INDEX(Inputs!$K$5:$AJ$110,0,MATCH(Q$2,Inputs!$K$4:$AJ$4,0))))=0,NA(),SUMPRODUCT((Inputs!$A$5:$A$110=$B41)*Inputs!$B$5:$B$110*(((Inputs!$G$5:$G$110="moeda")+(Inputs!$G$5:$G$110="acoes"))*Inputs!$B$1+((Inputs!$G$5:$G$110&lt;&gt;"moeda")*(Inputs!$G$5:$G$110&lt;&gt;"acoes")))*INDEX(Inputs!$K$5:$AJ$110,0,MATCH(Q$2,Inputs!$K$4:$AJ$4,0)))+SUMPRODUCT((Inputs!$C$5:$C$110=$B41)*Inputs!$D$5:$D$110*(((Inputs!$G$5:$G$110="moeda")+(Inputs!$G$5:$G$110="acoes"))*Inputs!$B$1+((Inputs!$G$5:$G$110&lt;&gt;"moeda")*(Inputs!$G$5:$G$110&lt;&gt;"acoes")))*INDEX(Inputs!$K$5:$AJ$110,0,MATCH(Q$2,Inputs!$K$4:$AJ$4,0)))+SUMPRODUCT((Inputs!$E$5:$E$110=$B41)*Inputs!$F$5:$F$110*(((Inputs!$G$5:$G$110="moeda")+(Inputs!$G$5:$G$110="acoes"))*Inputs!$B$1+((Inputs!$G$5:$G$110&lt;&gt;"moeda")*(Inputs!$G$5:$G$110&lt;&gt;"acoes")))*INDEX(Inputs!$K$5:$AJ$110,0,MATCH(Q$2,Inputs!$K$4:$AJ$4,0)))))</f>
        <v>0</v>
      </c>
      <c r="R41" s="3">
        <f>Q41</f>
        <v>0</v>
      </c>
      <c r="S41" s="6">
        <f>IF(ISNA(MATCH(S$2,Inputs!$K$4:$AJ$4,0)),NA(),IF(SUMPRODUCT((Inputs!$A$5:$A$110=$B41)*ISNUMBER(INDEX(Inputs!$K$5:$AJ$110,0,MATCH(S$2,Inputs!$K$4:$AJ$4,0))))+SUMPRODUCT((Inputs!$C$5:$C$110=$B41)*ISNUMBER(INDEX(Inputs!$K$5:$AJ$110,0,MATCH(S$2,Inputs!$K$4:$AJ$4,0))))+SUMPRODUCT((Inputs!$E$5:$E$110=$B41)*ISNUMBER(INDEX(Inputs!$K$5:$AJ$110,0,MATCH(S$2,Inputs!$K$4:$AJ$4,0))))=0,NA(),SUMPRODUCT((Inputs!$A$5:$A$110=$B41)*Inputs!$B$5:$B$110*(((Inputs!$G$5:$G$110="moeda")+(Inputs!$G$5:$G$110="acoes"))*Inputs!$B$1+((Inputs!$G$5:$G$110&lt;&gt;"moeda")*(Inputs!$G$5:$G$110&lt;&gt;"acoes")))*INDEX(Inputs!$K$5:$AJ$110,0,MATCH(S$2,Inputs!$K$4:$AJ$4,0)))+SUMPRODUCT((Inputs!$C$5:$C$110=$B41)*Inputs!$D$5:$D$110*(((Inputs!$G$5:$G$110="moeda")+(Inputs!$G$5:$G$110="acoes"))*Inputs!$B$1+((Inputs!$G$5:$G$110&lt;&gt;"moeda")*(Inputs!$G$5:$G$110&lt;&gt;"acoes")))*INDEX(Inputs!$K$5:$AJ$110,0,MATCH(S$2,Inputs!$K$4:$AJ$4,0)))+SUMPRODUCT((Inputs!$E$5:$E$110=$B41)*Inputs!$F$5:$F$110*(((Inputs!$G$5:$G$110="moeda")+(Inputs!$G$5:$G$110="acoes"))*Inputs!$B$1+((Inputs!$G$5:$G$110&lt;&gt;"moeda")*(Inputs!$G$5:$G$110&lt;&gt;"acoes")))*INDEX(Inputs!$K$5:$AJ$110,0,MATCH(S$2,Inputs!$K$4:$AJ$4,0)))))</f>
        <v>0</v>
      </c>
      <c r="T41" s="6">
        <f>IF(ISNA(MATCH(T$2,Inputs!$K$4:$AJ$4,0)),NA(),IF(SUMPRODUCT((Inputs!$A$5:$A$110=$B41)*ISNUMBER(INDEX(Inputs!$K$5:$AJ$110,0,MATCH(T$2,Inputs!$K$4:$AJ$4,0))))+SUMPRODUCT((Inputs!$C$5:$C$110=$B41)*ISNUMBER(INDEX(Inputs!$K$5:$AJ$110,0,MATCH(T$2,Inputs!$K$4:$AJ$4,0))))+SUMPRODUCT((Inputs!$E$5:$E$110=$B41)*ISNUMBER(INDEX(Inputs!$K$5:$AJ$110,0,MATCH(T$2,Inputs!$K$4:$AJ$4,0))))=0,NA(),SUMPRODUCT((Inputs!$A$5:$A$110=$B41)*Inputs!$B$5:$B$110*(((Inputs!$G$5:$G$110="moeda")+(Inputs!$G$5:$G$110="acoes"))*Inputs!$B$1+((Inputs!$G$5:$G$110&lt;&gt;"moeda")*(Inputs!$G$5:$G$110&lt;&gt;"acoes")))*INDEX(Inputs!$K$5:$AJ$110,0,MATCH(T$2,Inputs!$K$4:$AJ$4,0)))+SUMPRODUCT((Inputs!$C$5:$C$110=$B41)*Inputs!$D$5:$D$110*(((Inputs!$G$5:$G$110="moeda")+(Inputs!$G$5:$G$110="acoes"))*Inputs!$B$1+((Inputs!$G$5:$G$110&lt;&gt;"moeda")*(Inputs!$G$5:$G$110&lt;&gt;"acoes")))*INDEX(Inputs!$K$5:$AJ$110,0,MATCH(T$2,Inputs!$K$4:$AJ$4,0)))+SUMPRODUCT((Inputs!$E$5:$E$110=$B41)*Inputs!$F$5:$F$110*(((Inputs!$G$5:$G$110="moeda")+(Inputs!$G$5:$G$110="acoes"))*Inputs!$B$1+((Inputs!$G$5:$G$110&lt;&gt;"moeda")*(Inputs!$G$5:$G$110&lt;&gt;"acoes")))*INDEX(Inputs!$K$5:$AJ$110,0,MATCH(T$2,Inputs!$K$4:$AJ$4,0)))))</f>
        <v>0</v>
      </c>
      <c r="U41" s="6">
        <f>IF(ISNA(MATCH(U$2,Inputs!$K$4:$AJ$4,0)),NA(),IF(SUMPRODUCT((Inputs!$A$5:$A$110=$B41)*ISNUMBER(INDEX(Inputs!$K$5:$AJ$110,0,MATCH(U$2,Inputs!$K$4:$AJ$4,0))))+SUMPRODUCT((Inputs!$C$5:$C$110=$B41)*ISNUMBER(INDEX(Inputs!$K$5:$AJ$110,0,MATCH(U$2,Inputs!$K$4:$AJ$4,0))))+SUMPRODUCT((Inputs!$E$5:$E$110=$B41)*ISNUMBER(INDEX(Inputs!$K$5:$AJ$110,0,MATCH(U$2,Inputs!$K$4:$AJ$4,0))))=0,NA(),SUMPRODUCT((Inputs!$A$5:$A$110=$B41)*Inputs!$B$5:$B$110*(((Inputs!$G$5:$G$110="moeda")+(Inputs!$G$5:$G$110="acoes"))*Inputs!$B$1+((Inputs!$G$5:$G$110&lt;&gt;"moeda")*(Inputs!$G$5:$G$110&lt;&gt;"acoes")))*INDEX(Inputs!$K$5:$AJ$110,0,MATCH(U$2,Inputs!$K$4:$AJ$4,0)))+SUMPRODUCT((Inputs!$C$5:$C$110=$B41)*Inputs!$D$5:$D$110*(((Inputs!$G$5:$G$110="moeda")+(Inputs!$G$5:$G$110="acoes"))*Inputs!$B$1+((Inputs!$G$5:$G$110&lt;&gt;"moeda")*(Inputs!$G$5:$G$110&lt;&gt;"acoes")))*INDEX(Inputs!$K$5:$AJ$110,0,MATCH(U$2,Inputs!$K$4:$AJ$4,0)))+SUMPRODUCT((Inputs!$E$5:$E$110=$B41)*Inputs!$F$5:$F$110*(((Inputs!$G$5:$G$110="moeda")+(Inputs!$G$5:$G$110="acoes"))*Inputs!$B$1+((Inputs!$G$5:$G$110&lt;&gt;"moeda")*(Inputs!$G$5:$G$110&lt;&gt;"acoes")))*INDEX(Inputs!$K$5:$AJ$110,0,MATCH(U$2,Inputs!$K$4:$AJ$4,0)))))</f>
        <v>0</v>
      </c>
      <c r="V41" s="6">
        <f>IF(ISNA(MATCH(V$2,Inputs!$K$4:$AJ$4,0)),NA(),IF(SUMPRODUCT((Inputs!$A$5:$A$110=$B41)*ISNUMBER(INDEX(Inputs!$K$5:$AJ$110,0,MATCH(V$2,Inputs!$K$4:$AJ$4,0))))+SUMPRODUCT((Inputs!$C$5:$C$110=$B41)*ISNUMBER(INDEX(Inputs!$K$5:$AJ$110,0,MATCH(V$2,Inputs!$K$4:$AJ$4,0))))+SUMPRODUCT((Inputs!$E$5:$E$110=$B41)*ISNUMBER(INDEX(Inputs!$K$5:$AJ$110,0,MATCH(V$2,Inputs!$K$4:$AJ$4,0))))=0,NA(),SUMPRODUCT((Inputs!$A$5:$A$110=$B41)*Inputs!$B$5:$B$110*(((Inputs!$G$5:$G$110="moeda")+(Inputs!$G$5:$G$110="acoes"))*Inputs!$B$1+((Inputs!$G$5:$G$110&lt;&gt;"moeda")*(Inputs!$G$5:$G$110&lt;&gt;"acoes")))*INDEX(Inputs!$K$5:$AJ$110,0,MATCH(V$2,Inputs!$K$4:$AJ$4,0)))+SUMPRODUCT((Inputs!$C$5:$C$110=$B41)*Inputs!$D$5:$D$110*(((Inputs!$G$5:$G$110="moeda")+(Inputs!$G$5:$G$110="acoes"))*Inputs!$B$1+((Inputs!$G$5:$G$110&lt;&gt;"moeda")*(Inputs!$G$5:$G$110&lt;&gt;"acoes")))*INDEX(Inputs!$K$5:$AJ$110,0,MATCH(V$2,Inputs!$K$4:$AJ$4,0)))+SUMPRODUCT((Inputs!$E$5:$E$110=$B41)*Inputs!$F$5:$F$110*(((Inputs!$G$5:$G$110="moeda")+(Inputs!$G$5:$G$110="acoes"))*Inputs!$B$1+((Inputs!$G$5:$G$110&lt;&gt;"moeda")*(Inputs!$G$5:$G$110&lt;&gt;"acoes")))*INDEX(Inputs!$K$5:$AJ$110,0,MATCH(V$2,Inputs!$K$4:$AJ$4,0)))))</f>
        <v>0</v>
      </c>
      <c r="W41" s="3">
        <f>V41</f>
        <v>0</v>
      </c>
      <c r="X41" s="6">
        <f>IF(ISNA(MATCH(X$2,Inputs!$K$4:$AJ$4,0)),NA(),IF(SUMPRODUCT((Inputs!$A$5:$A$110=$B41)*ISNUMBER(INDEX(Inputs!$K$5:$AJ$110,0,MATCH(X$2,Inputs!$K$4:$AJ$4,0))))+SUMPRODUCT((Inputs!$C$5:$C$110=$B41)*ISNUMBER(INDEX(Inputs!$K$5:$AJ$110,0,MATCH(X$2,Inputs!$K$4:$AJ$4,0))))+SUMPRODUCT((Inputs!$E$5:$E$110=$B41)*ISNUMBER(INDEX(Inputs!$K$5:$AJ$110,0,MATCH(X$2,Inputs!$K$4:$AJ$4,0))))=0,NA(),SUMPRODUCT((Inputs!$A$5:$A$110=$B41)*Inputs!$B$5:$B$110*(((Inputs!$G$5:$G$110="moeda")+(Inputs!$G$5:$G$110="acoes"))*Inputs!$B$1+((Inputs!$G$5:$G$110&lt;&gt;"moeda")*(Inputs!$G$5:$G$110&lt;&gt;"acoes")))*INDEX(Inputs!$K$5:$AJ$110,0,MATCH(X$2,Inputs!$K$4:$AJ$4,0)))+SUMPRODUCT((Inputs!$C$5:$C$110=$B41)*Inputs!$D$5:$D$110*(((Inputs!$G$5:$G$110="moeda")+(Inputs!$G$5:$G$110="acoes"))*Inputs!$B$1+((Inputs!$G$5:$G$110&lt;&gt;"moeda")*(Inputs!$G$5:$G$110&lt;&gt;"acoes")))*INDEX(Inputs!$K$5:$AJ$110,0,MATCH(X$2,Inputs!$K$4:$AJ$4,0)))+SUMPRODUCT((Inputs!$E$5:$E$110=$B41)*Inputs!$F$5:$F$110*(((Inputs!$G$5:$G$110="moeda")+(Inputs!$G$5:$G$110="acoes"))*Inputs!$B$1+((Inputs!$G$5:$G$110&lt;&gt;"moeda")*(Inputs!$G$5:$G$110&lt;&gt;"acoes")))*INDEX(Inputs!$K$5:$AJ$110,0,MATCH(X$2,Inputs!$K$4:$AJ$4,0)))))</f>
        <v>0</v>
      </c>
      <c r="Y41" s="6">
        <f>IF(ISNA(MATCH(Y$2,Inputs!$K$4:$AJ$4,0)),NA(),IF(SUMPRODUCT((Inputs!$A$5:$A$110=$B41)*ISNUMBER(INDEX(Inputs!$K$5:$AJ$110,0,MATCH(Y$2,Inputs!$K$4:$AJ$4,0))))+SUMPRODUCT((Inputs!$C$5:$C$110=$B41)*ISNUMBER(INDEX(Inputs!$K$5:$AJ$110,0,MATCH(Y$2,Inputs!$K$4:$AJ$4,0))))+SUMPRODUCT((Inputs!$E$5:$E$110=$B41)*ISNUMBER(INDEX(Inputs!$K$5:$AJ$110,0,MATCH(Y$2,Inputs!$K$4:$AJ$4,0))))=0,NA(),SUMPRODUCT((Inputs!$A$5:$A$110=$B41)*Inputs!$B$5:$B$110*(((Inputs!$G$5:$G$110="moeda")+(Inputs!$G$5:$G$110="acoes"))*Inputs!$B$1+((Inputs!$G$5:$G$110&lt;&gt;"moeda")*(Inputs!$G$5:$G$110&lt;&gt;"acoes")))*INDEX(Inputs!$K$5:$AJ$110,0,MATCH(Y$2,Inputs!$K$4:$AJ$4,0)))+SUMPRODUCT((Inputs!$C$5:$C$110=$B41)*Inputs!$D$5:$D$110*(((Inputs!$G$5:$G$110="moeda")+(Inputs!$G$5:$G$110="acoes"))*Inputs!$B$1+((Inputs!$G$5:$G$110&lt;&gt;"moeda")*(Inputs!$G$5:$G$110&lt;&gt;"acoes")))*INDEX(Inputs!$K$5:$AJ$110,0,MATCH(Y$2,Inputs!$K$4:$AJ$4,0)))+SUMPRODUCT((Inputs!$E$5:$E$110=$B41)*Inputs!$F$5:$F$110*(((Inputs!$G$5:$G$110="moeda")+(Inputs!$G$5:$G$110="acoes"))*Inputs!$B$1+((Inputs!$G$5:$G$110&lt;&gt;"moeda")*(Inputs!$G$5:$G$110&lt;&gt;"acoes")))*INDEX(Inputs!$K$5:$AJ$110,0,MATCH(Y$2,Inputs!$K$4:$AJ$4,0)))))</f>
        <v>0</v>
      </c>
      <c r="Z41" s="6">
        <f>IF(ISNA(MATCH(Z$2,Inputs!$K$4:$AJ$4,0)),NA(),IF(SUMPRODUCT((Inputs!$A$5:$A$110=$B41)*ISNUMBER(INDEX(Inputs!$K$5:$AJ$110,0,MATCH(Z$2,Inputs!$K$4:$AJ$4,0))))+SUMPRODUCT((Inputs!$C$5:$C$110=$B41)*ISNUMBER(INDEX(Inputs!$K$5:$AJ$110,0,MATCH(Z$2,Inputs!$K$4:$AJ$4,0))))+SUMPRODUCT((Inputs!$E$5:$E$110=$B41)*ISNUMBER(INDEX(Inputs!$K$5:$AJ$110,0,MATCH(Z$2,Inputs!$K$4:$AJ$4,0))))=0,NA(),SUMPRODUCT((Inputs!$A$5:$A$110=$B41)*Inputs!$B$5:$B$110*(((Inputs!$G$5:$G$110="moeda")+(Inputs!$G$5:$G$110="acoes"))*Inputs!$B$1+((Inputs!$G$5:$G$110&lt;&gt;"moeda")*(Inputs!$G$5:$G$110&lt;&gt;"acoes")))*INDEX(Inputs!$K$5:$AJ$110,0,MATCH(Z$2,Inputs!$K$4:$AJ$4,0)))+SUMPRODUCT((Inputs!$C$5:$C$110=$B41)*Inputs!$D$5:$D$110*(((Inputs!$G$5:$G$110="moeda")+(Inputs!$G$5:$G$110="acoes"))*Inputs!$B$1+((Inputs!$G$5:$G$110&lt;&gt;"moeda")*(Inputs!$G$5:$G$110&lt;&gt;"acoes")))*INDEX(Inputs!$K$5:$AJ$110,0,MATCH(Z$2,Inputs!$K$4:$AJ$4,0)))+SUMPRODUCT((Inputs!$E$5:$E$110=$B41)*Inputs!$F$5:$F$110*(((Inputs!$G$5:$G$110="moeda")+(Inputs!$G$5:$G$110="acoes"))*Inputs!$B$1+((Inputs!$G$5:$G$110&lt;&gt;"moeda")*(Inputs!$G$5:$G$110&lt;&gt;"acoes")))*INDEX(Inputs!$K$5:$AJ$110,0,MATCH(Z$2,Inputs!$K$4:$AJ$4,0)))))</f>
        <v>0</v>
      </c>
      <c r="AA41" s="6">
        <f>IF(ISNA(MATCH(AA$2,Inputs!$K$4:$AJ$4,0)),NA(),IF(SUMPRODUCT((Inputs!$A$5:$A$110=$B41)*ISNUMBER(INDEX(Inputs!$K$5:$AJ$110,0,MATCH(AA$2,Inputs!$K$4:$AJ$4,0))))+SUMPRODUCT((Inputs!$C$5:$C$110=$B41)*ISNUMBER(INDEX(Inputs!$K$5:$AJ$110,0,MATCH(AA$2,Inputs!$K$4:$AJ$4,0))))+SUMPRODUCT((Inputs!$E$5:$E$110=$B41)*ISNUMBER(INDEX(Inputs!$K$5:$AJ$110,0,MATCH(AA$2,Inputs!$K$4:$AJ$4,0))))=0,NA(),SUMPRODUCT((Inputs!$A$5:$A$110=$B41)*Inputs!$B$5:$B$110*(((Inputs!$G$5:$G$110="moeda")+(Inputs!$G$5:$G$110="acoes"))*Inputs!$B$1+((Inputs!$G$5:$G$110&lt;&gt;"moeda")*(Inputs!$G$5:$G$110&lt;&gt;"acoes")))*INDEX(Inputs!$K$5:$AJ$110,0,MATCH(AA$2,Inputs!$K$4:$AJ$4,0)))+SUMPRODUCT((Inputs!$C$5:$C$110=$B41)*Inputs!$D$5:$D$110*(((Inputs!$G$5:$G$110="moeda")+(Inputs!$G$5:$G$110="acoes"))*Inputs!$B$1+((Inputs!$G$5:$G$110&lt;&gt;"moeda")*(Inputs!$G$5:$G$110&lt;&gt;"acoes")))*INDEX(Inputs!$K$5:$AJ$110,0,MATCH(AA$2,Inputs!$K$4:$AJ$4,0)))+SUMPRODUCT((Inputs!$E$5:$E$110=$B41)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1" s="3">
        <f>AA41</f>
        <v>0</v>
      </c>
      <c r="AC41" s="6">
        <f>IF(ISNA(MATCH(AC$2,Inputs!$K$4:$AJ$4,0)),NA(),IF(SUMPRODUCT((Inputs!$A$5:$A$110=$B41)*ISNUMBER(INDEX(Inputs!$K$5:$AJ$110,0,MATCH(AC$2,Inputs!$K$4:$AJ$4,0))))+SUMPRODUCT((Inputs!$C$5:$C$110=$B41)*ISNUMBER(INDEX(Inputs!$K$5:$AJ$110,0,MATCH(AC$2,Inputs!$K$4:$AJ$4,0))))+SUMPRODUCT((Inputs!$E$5:$E$110=$B41)*ISNUMBER(INDEX(Inputs!$K$5:$AJ$110,0,MATCH(AC$2,Inputs!$K$4:$AJ$4,0))))=0,NA(),SUMPRODUCT((Inputs!$A$5:$A$110=$B41)*Inputs!$B$5:$B$110*(((Inputs!$G$5:$G$110="moeda")+(Inputs!$G$5:$G$110="acoes"))*Inputs!$B$1+((Inputs!$G$5:$G$110&lt;&gt;"moeda")*(Inputs!$G$5:$G$110&lt;&gt;"acoes")))*INDEX(Inputs!$K$5:$AJ$110,0,MATCH(AC$2,Inputs!$K$4:$AJ$4,0)))+SUMPRODUCT((Inputs!$C$5:$C$110=$B41)*Inputs!$D$5:$D$110*(((Inputs!$G$5:$G$110="moeda")+(Inputs!$G$5:$G$110="acoes"))*Inputs!$B$1+((Inputs!$G$5:$G$110&lt;&gt;"moeda")*(Inputs!$G$5:$G$110&lt;&gt;"acoes")))*INDEX(Inputs!$K$5:$AJ$110,0,MATCH(AC$2,Inputs!$K$4:$AJ$4,0)))+SUMPRODUCT((Inputs!$E$5:$E$110=$B41)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1" s="6">
        <f>IF(ISNA(MATCH(AD$2,Inputs!$K$4:$AJ$4,0)),NA(),IF(SUMPRODUCT((Inputs!$A$5:$A$110=$B41)*ISNUMBER(INDEX(Inputs!$K$5:$AJ$110,0,MATCH(AD$2,Inputs!$K$4:$AJ$4,0))))+SUMPRODUCT((Inputs!$C$5:$C$110=$B41)*ISNUMBER(INDEX(Inputs!$K$5:$AJ$110,0,MATCH(AD$2,Inputs!$K$4:$AJ$4,0))))+SUMPRODUCT((Inputs!$E$5:$E$110=$B41)*ISNUMBER(INDEX(Inputs!$K$5:$AJ$110,0,MATCH(AD$2,Inputs!$K$4:$AJ$4,0))))=0,NA(),SUMPRODUCT((Inputs!$A$5:$A$110=$B41)*Inputs!$B$5:$B$110*(((Inputs!$G$5:$G$110="moeda")+(Inputs!$G$5:$G$110="acoes"))*Inputs!$B$1+((Inputs!$G$5:$G$110&lt;&gt;"moeda")*(Inputs!$G$5:$G$110&lt;&gt;"acoes")))*INDEX(Inputs!$K$5:$AJ$110,0,MATCH(AD$2,Inputs!$K$4:$AJ$4,0)))+SUMPRODUCT((Inputs!$C$5:$C$110=$B41)*Inputs!$D$5:$D$110*(((Inputs!$G$5:$G$110="moeda")+(Inputs!$G$5:$G$110="acoes"))*Inputs!$B$1+((Inputs!$G$5:$G$110&lt;&gt;"moeda")*(Inputs!$G$5:$G$110&lt;&gt;"acoes")))*INDEX(Inputs!$K$5:$AJ$110,0,MATCH(AD$2,Inputs!$K$4:$AJ$4,0)))+SUMPRODUCT((Inputs!$E$5:$E$110=$B41)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1" s="6" t="e">
        <f>IF(ISNA(MATCH(AE$2,Inputs!$K$4:$AJ$4,0)),NA(),IF(SUMPRODUCT((Inputs!$A$5:$A$110=$B41)*ISNUMBER(INDEX(Inputs!$K$5:$AJ$110,0,MATCH(AE$2,Inputs!$K$4:$AJ$4,0))))+SUMPRODUCT((Inputs!$C$5:$C$110=$B41)*ISNUMBER(INDEX(Inputs!$K$5:$AJ$110,0,MATCH(AE$2,Inputs!$K$4:$AJ$4,0))))+SUMPRODUCT((Inputs!$E$5:$E$110=$B41)*ISNUMBER(INDEX(Inputs!$K$5:$AJ$110,0,MATCH(AE$2,Inputs!$K$4:$AJ$4,0))))=0,NA(),SUMPRODUCT((Inputs!$A$5:$A$110=$B41)*Inputs!$B$5:$B$110*(((Inputs!$G$5:$G$110="moeda")+(Inputs!$G$5:$G$110="acoes"))*Inputs!$B$1+((Inputs!$G$5:$G$110&lt;&gt;"moeda")*(Inputs!$G$5:$G$110&lt;&gt;"acoes")))*INDEX(Inputs!$K$5:$AJ$110,0,MATCH(AE$2,Inputs!$K$4:$AJ$4,0)))+SUMPRODUCT((Inputs!$C$5:$C$110=$B41)*Inputs!$D$5:$D$110*(((Inputs!$G$5:$G$110="moeda")+(Inputs!$G$5:$G$110="acoes"))*Inputs!$B$1+((Inputs!$G$5:$G$110&lt;&gt;"moeda")*(Inputs!$G$5:$G$110&lt;&gt;"acoes")))*INDEX(Inputs!$K$5:$AJ$110,0,MATCH(AE$2,Inputs!$K$4:$AJ$4,0)))+SUMPRODUCT((Inputs!$E$5:$E$110=$B41)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1" s="6" t="e">
        <f>IF(ISNA(MATCH(AF$2,Inputs!$K$4:$AJ$4,0)),NA(),IF(SUMPRODUCT((Inputs!$A$5:$A$110=$B41)*ISNUMBER(INDEX(Inputs!$K$5:$AJ$110,0,MATCH(AF$2,Inputs!$K$4:$AJ$4,0))))+SUMPRODUCT((Inputs!$C$5:$C$110=$B41)*ISNUMBER(INDEX(Inputs!$K$5:$AJ$110,0,MATCH(AF$2,Inputs!$K$4:$AJ$4,0))))+SUMPRODUCT((Inputs!$E$5:$E$110=$B41)*ISNUMBER(INDEX(Inputs!$K$5:$AJ$110,0,MATCH(AF$2,Inputs!$K$4:$AJ$4,0))))=0,NA(),SUMPRODUCT((Inputs!$A$5:$A$110=$B41)*Inputs!$B$5:$B$110*(((Inputs!$G$5:$G$110="moeda")+(Inputs!$G$5:$G$110="acoes"))*Inputs!$B$1+((Inputs!$G$5:$G$110&lt;&gt;"moeda")*(Inputs!$G$5:$G$110&lt;&gt;"acoes")))*INDEX(Inputs!$K$5:$AJ$110,0,MATCH(AF$2,Inputs!$K$4:$AJ$4,0)))+SUMPRODUCT((Inputs!$C$5:$C$110=$B41)*Inputs!$D$5:$D$110*(((Inputs!$G$5:$G$110="moeda")+(Inputs!$G$5:$G$110="acoes"))*Inputs!$B$1+((Inputs!$G$5:$G$110&lt;&gt;"moeda")*(Inputs!$G$5:$G$110&lt;&gt;"acoes")))*INDEX(Inputs!$K$5:$AJ$110,0,MATCH(AF$2,Inputs!$K$4:$AJ$4,0)))+SUMPRODUCT((Inputs!$E$5:$E$110=$B41)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1" s="3" t="e">
        <f>AF41</f>
        <v>#N/A</v>
      </c>
      <c r="AH41" s="6">
        <f>IF(ISNA(MATCH(AH$2,Inputs!$K$4:$AJ$4,0)),NA(),IF(SUMPRODUCT((Inputs!$A$5:$A$110=$B41)*ISNUMBER(INDEX(Inputs!$K$5:$AJ$110,0,MATCH(AH$2,Inputs!$K$4:$AJ$4,0))))+SUMPRODUCT((Inputs!$C$5:$C$110=$B41)*ISNUMBER(INDEX(Inputs!$K$5:$AJ$110,0,MATCH(AH$2,Inputs!$K$4:$AJ$4,0))))+SUMPRODUCT((Inputs!$E$5:$E$110=$B41)*ISNUMBER(INDEX(Inputs!$K$5:$AJ$110,0,MATCH(AH$2,Inputs!$K$4:$AJ$4,0))))=0,NA(),SUMPRODUCT((Inputs!$A$5:$A$110=$B41)*Inputs!$B$5:$B$110*(((Inputs!$G$5:$G$110="moeda")+(Inputs!$G$5:$G$110="acoes"))*Inputs!$B$1+((Inputs!$G$5:$G$110&lt;&gt;"moeda")*(Inputs!$G$5:$G$110&lt;&gt;"acoes")))*INDEX(Inputs!$K$5:$AJ$110,0,MATCH(AH$2,Inputs!$K$4:$AJ$4,0)))+SUMPRODUCT((Inputs!$C$5:$C$110=$B41)*Inputs!$D$5:$D$110*(((Inputs!$G$5:$G$110="moeda")+(Inputs!$G$5:$G$110="acoes"))*Inputs!$B$1+((Inputs!$G$5:$G$110&lt;&gt;"moeda")*(Inputs!$G$5:$G$110&lt;&gt;"acoes")))*INDEX(Inputs!$K$5:$AJ$110,0,MATCH(AH$2,Inputs!$K$4:$AJ$4,0)))+SUMPRODUCT((Inputs!$E$5:$E$110=$B41)*Inputs!$F$5:$F$110*(((Inputs!$G$5:$G$110="moeda")+(Inputs!$G$5:$G$110="acoes"))*Inputs!$B$1+((Inputs!$G$5:$G$110&lt;&gt;"moeda")*(Inputs!$G$5:$G$110&lt;&gt;"acoes")))*INDEX(Inputs!$K$5:$AJ$110,0,MATCH(AH$2,Inputs!$K$4:$AJ$4,0)))))</f>
        <v>41</v>
      </c>
      <c r="AI41" s="6">
        <f>IF(ISNA(MATCH(AI$2,Inputs!$K$4:$AJ$4,0)),NA(),IF(SUMPRODUCT((Inputs!$A$5:$A$110=$B41)*ISNUMBER(INDEX(Inputs!$K$5:$AJ$110,0,MATCH(AI$2,Inputs!$K$4:$AJ$4,0))))+SUMPRODUCT((Inputs!$C$5:$C$110=$B41)*ISNUMBER(INDEX(Inputs!$K$5:$AJ$110,0,MATCH(AI$2,Inputs!$K$4:$AJ$4,0))))+SUMPRODUCT((Inputs!$E$5:$E$110=$B41)*ISNUMBER(INDEX(Inputs!$K$5:$AJ$110,0,MATCH(AI$2,Inputs!$K$4:$AJ$4,0))))=0,NA(),SUMPRODUCT((Inputs!$A$5:$A$110=$B41)*Inputs!$B$5:$B$110*(((Inputs!$G$5:$G$110="moeda")+(Inputs!$G$5:$G$110="acoes"))*Inputs!$B$1+((Inputs!$G$5:$G$110&lt;&gt;"moeda")*(Inputs!$G$5:$G$110&lt;&gt;"acoes")))*INDEX(Inputs!$K$5:$AJ$110,0,MATCH(AI$2,Inputs!$K$4:$AJ$4,0)))+SUMPRODUCT((Inputs!$C$5:$C$110=$B41)*Inputs!$D$5:$D$110*(((Inputs!$G$5:$G$110="moeda")+(Inputs!$G$5:$G$110="acoes"))*Inputs!$B$1+((Inputs!$G$5:$G$110&lt;&gt;"moeda")*(Inputs!$G$5:$G$110&lt;&gt;"acoes")))*INDEX(Inputs!$K$5:$AJ$110,0,MATCH(AI$2,Inputs!$K$4:$AJ$4,0)))+SUMPRODUCT((Inputs!$E$5:$E$110=$B41)*Inputs!$F$5:$F$110*(((Inputs!$G$5:$G$110="moeda")+(Inputs!$G$5:$G$110="acoes"))*Inputs!$B$1+((Inputs!$G$5:$G$110&lt;&gt;"moeda")*(Inputs!$G$5:$G$110&lt;&gt;"acoes")))*INDEX(Inputs!$K$5:$AJ$110,0,MATCH(AI$2,Inputs!$K$4:$AJ$4,0)))))</f>
        <v>35</v>
      </c>
      <c r="AJ41" s="6">
        <f>IF(ISNA(MATCH(AJ$2,Inputs!$K$4:$AJ$4,0)),NA(),IF(SUMPRODUCT((Inputs!$A$5:$A$110=$B41)*ISNUMBER(INDEX(Inputs!$K$5:$AJ$110,0,MATCH(AJ$2,Inputs!$K$4:$AJ$4,0))))+SUMPRODUCT((Inputs!$C$5:$C$110=$B41)*ISNUMBER(INDEX(Inputs!$K$5:$AJ$110,0,MATCH(AJ$2,Inputs!$K$4:$AJ$4,0))))+SUMPRODUCT((Inputs!$E$5:$E$110=$B41)*ISNUMBER(INDEX(Inputs!$K$5:$AJ$110,0,MATCH(AJ$2,Inputs!$K$4:$AJ$4,0))))=0,NA(),SUMPRODUCT((Inputs!$A$5:$A$110=$B41)*Inputs!$B$5:$B$110*(((Inputs!$G$5:$G$110="moeda")+(Inputs!$G$5:$G$110="acoes"))*Inputs!$B$1+((Inputs!$G$5:$G$110&lt;&gt;"moeda")*(Inputs!$G$5:$G$110&lt;&gt;"acoes")))*INDEX(Inputs!$K$5:$AJ$110,0,MATCH(AJ$2,Inputs!$K$4:$AJ$4,0)))+SUMPRODUCT((Inputs!$C$5:$C$110=$B41)*Inputs!$D$5:$D$110*(((Inputs!$G$5:$G$110="moeda")+(Inputs!$G$5:$G$110="acoes"))*Inputs!$B$1+((Inputs!$G$5:$G$110&lt;&gt;"moeda")*(Inputs!$G$5:$G$110&lt;&gt;"acoes")))*INDEX(Inputs!$K$5:$AJ$110,0,MATCH(AJ$2,Inputs!$K$4:$AJ$4,0)))+SUMPRODUCT((Inputs!$E$5:$E$110=$B41)*Inputs!$F$5:$F$110*(((Inputs!$G$5:$G$110="moeda")+(Inputs!$G$5:$G$110="acoes"))*Inputs!$B$1+((Inputs!$G$5:$G$110&lt;&gt;"moeda")*(Inputs!$G$5:$G$110&lt;&gt;"acoes")))*INDEX(Inputs!$K$5:$AJ$110,0,MATCH(AJ$2,Inputs!$K$4:$AJ$4,0)))))</f>
        <v>33</v>
      </c>
      <c r="AK41" s="6">
        <f>IF(ISNA(MATCH(AK$2,Inputs!$K$4:$AJ$4,0)),NA(),IF(SUMPRODUCT((Inputs!$A$5:$A$110=$B41)*ISNUMBER(INDEX(Inputs!$K$5:$AJ$110,0,MATCH(AK$2,Inputs!$K$4:$AJ$4,0))))+SUMPRODUCT((Inputs!$C$5:$C$110=$B41)*ISNUMBER(INDEX(Inputs!$K$5:$AJ$110,0,MATCH(AK$2,Inputs!$K$4:$AJ$4,0))))+SUMPRODUCT((Inputs!$E$5:$E$110=$B41)*ISNUMBER(INDEX(Inputs!$K$5:$AJ$110,0,MATCH(AK$2,Inputs!$K$4:$AJ$4,0))))=0,NA(),SUMPRODUCT((Inputs!$A$5:$A$110=$B41)*Inputs!$B$5:$B$110*(((Inputs!$G$5:$G$110="moeda")+(Inputs!$G$5:$G$110="acoes"))*Inputs!$B$1+((Inputs!$G$5:$G$110&lt;&gt;"moeda")*(Inputs!$G$5:$G$110&lt;&gt;"acoes")))*INDEX(Inputs!$K$5:$AJ$110,0,MATCH(AK$2,Inputs!$K$4:$AJ$4,0)))+SUMPRODUCT((Inputs!$C$5:$C$110=$B41)*Inputs!$D$5:$D$110*(((Inputs!$G$5:$G$110="moeda")+(Inputs!$G$5:$G$110="acoes"))*Inputs!$B$1+((Inputs!$G$5:$G$110&lt;&gt;"moeda")*(Inputs!$G$5:$G$110&lt;&gt;"acoes")))*INDEX(Inputs!$K$5:$AJ$110,0,MATCH(AK$2,Inputs!$K$4:$AJ$4,0)))+SUMPRODUCT((Inputs!$E$5:$E$110=$B41)*Inputs!$F$5:$F$110*(((Inputs!$G$5:$G$110="moeda")+(Inputs!$G$5:$G$110="acoes"))*Inputs!$B$1+((Inputs!$G$5:$G$110&lt;&gt;"moeda")*(Inputs!$G$5:$G$110&lt;&gt;"acoes")))*INDEX(Inputs!$K$5:$AJ$110,0,MATCH(AK$2,Inputs!$K$4:$AJ$4,0)))))</f>
        <v>23</v>
      </c>
      <c r="AL41" s="3">
        <f>AK41</f>
        <v>23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$110=$B42)*ISNUMBER(INDEX(Inputs!$K$5:$AJ$110,0,MATCH(D$2,Inputs!$K$4:$AJ$4,0))))+SUMPRODUCT((Inputs!$C$5:$C$110=$B42)*ISNUMBER(INDEX(Inputs!$K$5:$AJ$110,0,MATCH(D$2,Inputs!$K$4:$AJ$4,0))))+SUMPRODUCT((Inputs!$E$5:$E$110=$B42)*ISNUMBER(INDEX(Inputs!$K$5:$AJ$110,0,MATCH(D$2,Inputs!$K$4:$AJ$4,0))))=0,NA(),SUMPRODUCT((Inputs!$A$5:$A$110=$B42)*Inputs!$B$5:$B$110*(((Inputs!$G$5:$G$110="moeda")+(Inputs!$G$5:$G$110="acoes"))*Inputs!$B$1+((Inputs!$G$5:$G$110&lt;&gt;"moeda")*(Inputs!$G$5:$G$110&lt;&gt;"acoes")))*INDEX(Inputs!$K$5:$AJ$110,0,MATCH(D$2,Inputs!$K$4:$AJ$4,0)))+SUMPRODUCT((Inputs!$C$5:$C$110=$B42)*Inputs!$D$5:$D$110*(((Inputs!$G$5:$G$110="moeda")+(Inputs!$G$5:$G$110="acoes"))*Inputs!$B$1+((Inputs!$G$5:$G$110&lt;&gt;"moeda")*(Inputs!$G$5:$G$110&lt;&gt;"acoes")))*INDEX(Inputs!$K$5:$AJ$110,0,MATCH(D$2,Inputs!$K$4:$AJ$4,0)))+SUMPRODUCT((Inputs!$E$5:$E$110=$B42)*Inputs!$F$5:$F$110*(((Inputs!$G$5:$G$110="moeda")+(Inputs!$G$5:$G$110="acoes"))*Inputs!$B$1+((Inputs!$G$5:$G$110&lt;&gt;"moeda")*(Inputs!$G$5:$G$110&lt;&gt;"acoes")))*INDEX(Inputs!$K$5:$AJ$110,0,MATCH(D$2,Inputs!$K$4:$AJ$4,0)))))</f>
        <v>#N/A</v>
      </c>
      <c r="E42" s="6" t="e">
        <f>IF(ISNA(MATCH(E$2,Inputs!$K$4:$AJ$4,0)),NA(),IF(SUMPRODUCT((Inputs!$A$5:$A$110=$B42)*ISNUMBER(INDEX(Inputs!$K$5:$AJ$110,0,MATCH(E$2,Inputs!$K$4:$AJ$4,0))))+SUMPRODUCT((Inputs!$C$5:$C$110=$B42)*ISNUMBER(INDEX(Inputs!$K$5:$AJ$110,0,MATCH(E$2,Inputs!$K$4:$AJ$4,0))))+SUMPRODUCT((Inputs!$E$5:$E$110=$B42)*ISNUMBER(INDEX(Inputs!$K$5:$AJ$110,0,MATCH(E$2,Inputs!$K$4:$AJ$4,0))))=0,NA(),SUMPRODUCT((Inputs!$A$5:$A$110=$B42)*Inputs!$B$5:$B$110*(((Inputs!$G$5:$G$110="moeda")+(Inputs!$G$5:$G$110="acoes"))*Inputs!$B$1+((Inputs!$G$5:$G$110&lt;&gt;"moeda")*(Inputs!$G$5:$G$110&lt;&gt;"acoes")))*INDEX(Inputs!$K$5:$AJ$110,0,MATCH(E$2,Inputs!$K$4:$AJ$4,0)))+SUMPRODUCT((Inputs!$C$5:$C$110=$B42)*Inputs!$D$5:$D$110*(((Inputs!$G$5:$G$110="moeda")+(Inputs!$G$5:$G$110="acoes"))*Inputs!$B$1+((Inputs!$G$5:$G$110&lt;&gt;"moeda")*(Inputs!$G$5:$G$110&lt;&gt;"acoes")))*INDEX(Inputs!$K$5:$AJ$110,0,MATCH(E$2,Inputs!$K$4:$AJ$4,0)))+SUMPRODUCT((Inputs!$E$5:$E$110=$B42)*Inputs!$F$5:$F$110*(((Inputs!$G$5:$G$110="moeda")+(Inputs!$G$5:$G$110="acoes"))*Inputs!$B$1+((Inputs!$G$5:$G$110&lt;&gt;"moeda")*(Inputs!$G$5:$G$110&lt;&gt;"acoes")))*INDEX(Inputs!$K$5:$AJ$110,0,MATCH(E$2,Inputs!$K$4:$AJ$4,0)))))</f>
        <v>#N/A</v>
      </c>
      <c r="F42" s="6" t="e">
        <f>IF(ISNA(MATCH(F$2,Inputs!$K$4:$AJ$4,0)),NA(),IF(SUMPRODUCT((Inputs!$A$5:$A$110=$B42)*ISNUMBER(INDEX(Inputs!$K$5:$AJ$110,0,MATCH(F$2,Inputs!$K$4:$AJ$4,0))))+SUMPRODUCT((Inputs!$C$5:$C$110=$B42)*ISNUMBER(INDEX(Inputs!$K$5:$AJ$110,0,MATCH(F$2,Inputs!$K$4:$AJ$4,0))))+SUMPRODUCT((Inputs!$E$5:$E$110=$B42)*ISNUMBER(INDEX(Inputs!$K$5:$AJ$110,0,MATCH(F$2,Inputs!$K$4:$AJ$4,0))))=0,NA(),SUMPRODUCT((Inputs!$A$5:$A$110=$B42)*Inputs!$B$5:$B$110*(((Inputs!$G$5:$G$110="moeda")+(Inputs!$G$5:$G$110="acoes"))*Inputs!$B$1+((Inputs!$G$5:$G$110&lt;&gt;"moeda")*(Inputs!$G$5:$G$110&lt;&gt;"acoes")))*INDEX(Inputs!$K$5:$AJ$110,0,MATCH(F$2,Inputs!$K$4:$AJ$4,0)))+SUMPRODUCT((Inputs!$C$5:$C$110=$B42)*Inputs!$D$5:$D$110*(((Inputs!$G$5:$G$110="moeda")+(Inputs!$G$5:$G$110="acoes"))*Inputs!$B$1+((Inputs!$G$5:$G$110&lt;&gt;"moeda")*(Inputs!$G$5:$G$110&lt;&gt;"acoes")))*INDEX(Inputs!$K$5:$AJ$110,0,MATCH(F$2,Inputs!$K$4:$AJ$4,0)))+SUMPRODUCT((Inputs!$E$5:$E$110=$B42)*Inputs!$F$5:$F$110*(((Inputs!$G$5:$G$110="moeda")+(Inputs!$G$5:$G$110="acoes"))*Inputs!$B$1+((Inputs!$G$5:$G$110&lt;&gt;"moeda")*(Inputs!$G$5:$G$110&lt;&gt;"acoes")))*INDEX(Inputs!$K$5:$AJ$110,0,MATCH(F$2,Inputs!$K$4:$AJ$4,0)))))</f>
        <v>#N/A</v>
      </c>
      <c r="G42" s="6" t="e">
        <f>IF(ISNA(MATCH(G$2,Inputs!$K$4:$AJ$4,0)),NA(),IF(SUMPRODUCT((Inputs!$A$5:$A$110=$B42)*ISNUMBER(INDEX(Inputs!$K$5:$AJ$110,0,MATCH(G$2,Inputs!$K$4:$AJ$4,0))))+SUMPRODUCT((Inputs!$C$5:$C$110=$B42)*ISNUMBER(INDEX(Inputs!$K$5:$AJ$110,0,MATCH(G$2,Inputs!$K$4:$AJ$4,0))))+SUMPRODUCT((Inputs!$E$5:$E$110=$B42)*ISNUMBER(INDEX(Inputs!$K$5:$AJ$110,0,MATCH(G$2,Inputs!$K$4:$AJ$4,0))))=0,NA(),SUMPRODUCT((Inputs!$A$5:$A$110=$B42)*Inputs!$B$5:$B$110*(((Inputs!$G$5:$G$110="moeda")+(Inputs!$G$5:$G$110="acoes"))*Inputs!$B$1+((Inputs!$G$5:$G$110&lt;&gt;"moeda")*(Inputs!$G$5:$G$110&lt;&gt;"acoes")))*INDEX(Inputs!$K$5:$AJ$110,0,MATCH(G$2,Inputs!$K$4:$AJ$4,0)))+SUMPRODUCT((Inputs!$C$5:$C$110=$B42)*Inputs!$D$5:$D$110*(((Inputs!$G$5:$G$110="moeda")+(Inputs!$G$5:$G$110="acoes"))*Inputs!$B$1+((Inputs!$G$5:$G$110&lt;&gt;"moeda")*(Inputs!$G$5:$G$110&lt;&gt;"acoes")))*INDEX(Inputs!$K$5:$AJ$110,0,MATCH(G$2,Inputs!$K$4:$AJ$4,0)))+SUMPRODUCT((Inputs!$E$5:$E$110=$B42)*Inputs!$F$5:$F$110*(((Inputs!$G$5:$G$110="moeda")+(Inputs!$G$5:$G$110="acoes"))*Inputs!$B$1+((Inputs!$G$5:$G$110&lt;&gt;"moeda")*(Inputs!$G$5:$G$110&lt;&gt;"acoes")))*INDEX(Inputs!$K$5:$AJ$110,0,MATCH(G$2,Inputs!$K$4:$AJ$4,0)))))</f>
        <v>#N/A</v>
      </c>
      <c r="H42" s="3" t="e">
        <f>G42</f>
        <v>#N/A</v>
      </c>
      <c r="I42" s="6" t="e">
        <f>IF(ISNA(MATCH(I$2,Inputs!$K$4:$AJ$4,0)),NA(),IF(SUMPRODUCT((Inputs!$A$5:$A$110=$B42)*ISNUMBER(INDEX(Inputs!$K$5:$AJ$110,0,MATCH(I$2,Inputs!$K$4:$AJ$4,0))))+SUMPRODUCT((Inputs!$C$5:$C$110=$B42)*ISNUMBER(INDEX(Inputs!$K$5:$AJ$110,0,MATCH(I$2,Inputs!$K$4:$AJ$4,0))))+SUMPRODUCT((Inputs!$E$5:$E$110=$B42)*ISNUMBER(INDEX(Inputs!$K$5:$AJ$110,0,MATCH(I$2,Inputs!$K$4:$AJ$4,0))))=0,NA(),SUMPRODUCT((Inputs!$A$5:$A$110=$B42)*Inputs!$B$5:$B$110*(((Inputs!$G$5:$G$110="moeda")+(Inputs!$G$5:$G$110="acoes"))*Inputs!$B$1+((Inputs!$G$5:$G$110&lt;&gt;"moeda")*(Inputs!$G$5:$G$110&lt;&gt;"acoes")))*INDEX(Inputs!$K$5:$AJ$110,0,MATCH(I$2,Inputs!$K$4:$AJ$4,0)))+SUMPRODUCT((Inputs!$C$5:$C$110=$B42)*Inputs!$D$5:$D$110*(((Inputs!$G$5:$G$110="moeda")+(Inputs!$G$5:$G$110="acoes"))*Inputs!$B$1+((Inputs!$G$5:$G$110&lt;&gt;"moeda")*(Inputs!$G$5:$G$110&lt;&gt;"acoes")))*INDEX(Inputs!$K$5:$AJ$110,0,MATCH(I$2,Inputs!$K$4:$AJ$4,0)))+SUMPRODUCT((Inputs!$E$5:$E$110=$B42)*Inputs!$F$5:$F$110*(((Inputs!$G$5:$G$110="moeda")+(Inputs!$G$5:$G$110="acoes"))*Inputs!$B$1+((Inputs!$G$5:$G$110&lt;&gt;"moeda")*(Inputs!$G$5:$G$110&lt;&gt;"acoes")))*INDEX(Inputs!$K$5:$AJ$110,0,MATCH(I$2,Inputs!$K$4:$AJ$4,0)))))</f>
        <v>#N/A</v>
      </c>
      <c r="J42" s="6" t="e">
        <f>IF(ISNA(MATCH(J$2,Inputs!$K$4:$AJ$4,0)),NA(),IF(SUMPRODUCT((Inputs!$A$5:$A$110=$B42)*ISNUMBER(INDEX(Inputs!$K$5:$AJ$110,0,MATCH(J$2,Inputs!$K$4:$AJ$4,0))))+SUMPRODUCT((Inputs!$C$5:$C$110=$B42)*ISNUMBER(INDEX(Inputs!$K$5:$AJ$110,0,MATCH(J$2,Inputs!$K$4:$AJ$4,0))))+SUMPRODUCT((Inputs!$E$5:$E$110=$B42)*ISNUMBER(INDEX(Inputs!$K$5:$AJ$110,0,MATCH(J$2,Inputs!$K$4:$AJ$4,0))))=0,NA(),SUMPRODUCT((Inputs!$A$5:$A$110=$B42)*Inputs!$B$5:$B$110*(((Inputs!$G$5:$G$110="moeda")+(Inputs!$G$5:$G$110="acoes"))*Inputs!$B$1+((Inputs!$G$5:$G$110&lt;&gt;"moeda")*(Inputs!$G$5:$G$110&lt;&gt;"acoes")))*INDEX(Inputs!$K$5:$AJ$110,0,MATCH(J$2,Inputs!$K$4:$AJ$4,0)))+SUMPRODUCT((Inputs!$C$5:$C$110=$B42)*Inputs!$D$5:$D$110*(((Inputs!$G$5:$G$110="moeda")+(Inputs!$G$5:$G$110="acoes"))*Inputs!$B$1+((Inputs!$G$5:$G$110&lt;&gt;"moeda")*(Inputs!$G$5:$G$110&lt;&gt;"acoes")))*INDEX(Inputs!$K$5:$AJ$110,0,MATCH(J$2,Inputs!$K$4:$AJ$4,0)))+SUMPRODUCT((Inputs!$E$5:$E$110=$B42)*Inputs!$F$5:$F$110*(((Inputs!$G$5:$G$110="moeda")+(Inputs!$G$5:$G$110="acoes"))*Inputs!$B$1+((Inputs!$G$5:$G$110&lt;&gt;"moeda")*(Inputs!$G$5:$G$110&lt;&gt;"acoes")))*INDEX(Inputs!$K$5:$AJ$110,0,MATCH(J$2,Inputs!$K$4:$AJ$4,0)))))</f>
        <v>#N/A</v>
      </c>
      <c r="K42" s="6" t="e">
        <f>IF(ISNA(MATCH(K$2,Inputs!$K$4:$AJ$4,0)),NA(),IF(SUMPRODUCT((Inputs!$A$5:$A$110=$B42)*ISNUMBER(INDEX(Inputs!$K$5:$AJ$110,0,MATCH(K$2,Inputs!$K$4:$AJ$4,0))))+SUMPRODUCT((Inputs!$C$5:$C$110=$B42)*ISNUMBER(INDEX(Inputs!$K$5:$AJ$110,0,MATCH(K$2,Inputs!$K$4:$AJ$4,0))))+SUMPRODUCT((Inputs!$E$5:$E$110=$B42)*ISNUMBER(INDEX(Inputs!$K$5:$AJ$110,0,MATCH(K$2,Inputs!$K$4:$AJ$4,0))))=0,NA(),SUMPRODUCT((Inputs!$A$5:$A$110=$B42)*Inputs!$B$5:$B$110*(((Inputs!$G$5:$G$110="moeda")+(Inputs!$G$5:$G$110="acoes"))*Inputs!$B$1+((Inputs!$G$5:$G$110&lt;&gt;"moeda")*(Inputs!$G$5:$G$110&lt;&gt;"acoes")))*INDEX(Inputs!$K$5:$AJ$110,0,MATCH(K$2,Inputs!$K$4:$AJ$4,0)))+SUMPRODUCT((Inputs!$C$5:$C$110=$B42)*Inputs!$D$5:$D$110*(((Inputs!$G$5:$G$110="moeda")+(Inputs!$G$5:$G$110="acoes"))*Inputs!$B$1+((Inputs!$G$5:$G$110&lt;&gt;"moeda")*(Inputs!$G$5:$G$110&lt;&gt;"acoes")))*INDEX(Inputs!$K$5:$AJ$110,0,MATCH(K$2,Inputs!$K$4:$AJ$4,0)))+SUMPRODUCT((Inputs!$E$5:$E$110=$B42)*Inputs!$F$5:$F$110*(((Inputs!$G$5:$G$110="moeda")+(Inputs!$G$5:$G$110="acoes"))*Inputs!$B$1+((Inputs!$G$5:$G$110&lt;&gt;"moeda")*(Inputs!$G$5:$G$110&lt;&gt;"acoes")))*INDEX(Inputs!$K$5:$AJ$110,0,MATCH(K$2,Inputs!$K$4:$AJ$4,0)))))</f>
        <v>#N/A</v>
      </c>
      <c r="L42" s="6" t="e">
        <f>IF(ISNA(MATCH(L$2,Inputs!$K$4:$AJ$4,0)),NA(),IF(SUMPRODUCT((Inputs!$A$5:$A$110=$B42)*ISNUMBER(INDEX(Inputs!$K$5:$AJ$110,0,MATCH(L$2,Inputs!$K$4:$AJ$4,0))))+SUMPRODUCT((Inputs!$C$5:$C$110=$B42)*ISNUMBER(INDEX(Inputs!$K$5:$AJ$110,0,MATCH(L$2,Inputs!$K$4:$AJ$4,0))))+SUMPRODUCT((Inputs!$E$5:$E$110=$B42)*ISNUMBER(INDEX(Inputs!$K$5:$AJ$110,0,MATCH(L$2,Inputs!$K$4:$AJ$4,0))))=0,NA(),SUMPRODUCT((Inputs!$A$5:$A$110=$B42)*Inputs!$B$5:$B$110*(((Inputs!$G$5:$G$110="moeda")+(Inputs!$G$5:$G$110="acoes"))*Inputs!$B$1+((Inputs!$G$5:$G$110&lt;&gt;"moeda")*(Inputs!$G$5:$G$110&lt;&gt;"acoes")))*INDEX(Inputs!$K$5:$AJ$110,0,MATCH(L$2,Inputs!$K$4:$AJ$4,0)))+SUMPRODUCT((Inputs!$C$5:$C$110=$B42)*Inputs!$D$5:$D$110*(((Inputs!$G$5:$G$110="moeda")+(Inputs!$G$5:$G$110="acoes"))*Inputs!$B$1+((Inputs!$G$5:$G$110&lt;&gt;"moeda")*(Inputs!$G$5:$G$110&lt;&gt;"acoes")))*INDEX(Inputs!$K$5:$AJ$110,0,MATCH(L$2,Inputs!$K$4:$AJ$4,0)))+SUMPRODUCT((Inputs!$E$5:$E$110=$B42)*Inputs!$F$5:$F$110*(((Inputs!$G$5:$G$110="moeda")+(Inputs!$G$5:$G$110="acoes"))*Inputs!$B$1+((Inputs!$G$5:$G$110&lt;&gt;"moeda")*(Inputs!$G$5:$G$110&lt;&gt;"acoes")))*INDEX(Inputs!$K$5:$AJ$110,0,MATCH(L$2,Inputs!$K$4:$AJ$4,0)))))</f>
        <v>#N/A</v>
      </c>
      <c r="M42" s="3" t="e">
        <f>L42</f>
        <v>#N/A</v>
      </c>
      <c r="N42" s="6" t="e">
        <f>IF(ISNA(MATCH(N$2,Inputs!$K$4:$AJ$4,0)),NA(),IF(SUMPRODUCT((Inputs!$A$5:$A$110=$B42)*ISNUMBER(INDEX(Inputs!$K$5:$AJ$110,0,MATCH(N$2,Inputs!$K$4:$AJ$4,0))))+SUMPRODUCT((Inputs!$C$5:$C$110=$B42)*ISNUMBER(INDEX(Inputs!$K$5:$AJ$110,0,MATCH(N$2,Inputs!$K$4:$AJ$4,0))))+SUMPRODUCT((Inputs!$E$5:$E$110=$B42)*ISNUMBER(INDEX(Inputs!$K$5:$AJ$110,0,MATCH(N$2,Inputs!$K$4:$AJ$4,0))))=0,NA(),SUMPRODUCT((Inputs!$A$5:$A$110=$B42)*Inputs!$B$5:$B$110*(((Inputs!$G$5:$G$110="moeda")+(Inputs!$G$5:$G$110="acoes"))*Inputs!$B$1+((Inputs!$G$5:$G$110&lt;&gt;"moeda")*(Inputs!$G$5:$G$110&lt;&gt;"acoes")))*INDEX(Inputs!$K$5:$AJ$110,0,MATCH(N$2,Inputs!$K$4:$AJ$4,0)))+SUMPRODUCT((Inputs!$C$5:$C$110=$B42)*Inputs!$D$5:$D$110*(((Inputs!$G$5:$G$110="moeda")+(Inputs!$G$5:$G$110="acoes"))*Inputs!$B$1+((Inputs!$G$5:$G$110&lt;&gt;"moeda")*(Inputs!$G$5:$G$110&lt;&gt;"acoes")))*INDEX(Inputs!$K$5:$AJ$110,0,MATCH(N$2,Inputs!$K$4:$AJ$4,0)))+SUMPRODUCT((Inputs!$E$5:$E$110=$B42)*Inputs!$F$5:$F$110*(((Inputs!$G$5:$G$110="moeda")+(Inputs!$G$5:$G$110="acoes"))*Inputs!$B$1+((Inputs!$G$5:$G$110&lt;&gt;"moeda")*(Inputs!$G$5:$G$110&lt;&gt;"acoes")))*INDEX(Inputs!$K$5:$AJ$110,0,MATCH(N$2,Inputs!$K$4:$AJ$4,0)))))</f>
        <v>#N/A</v>
      </c>
      <c r="O42" s="6" t="e">
        <f>IF(ISNA(MATCH(O$2,Inputs!$K$4:$AJ$4,0)),NA(),IF(SUMPRODUCT((Inputs!$A$5:$A$110=$B42)*ISNUMBER(INDEX(Inputs!$K$5:$AJ$110,0,MATCH(O$2,Inputs!$K$4:$AJ$4,0))))+SUMPRODUCT((Inputs!$C$5:$C$110=$B42)*ISNUMBER(INDEX(Inputs!$K$5:$AJ$110,0,MATCH(O$2,Inputs!$K$4:$AJ$4,0))))+SUMPRODUCT((Inputs!$E$5:$E$110=$B42)*ISNUMBER(INDEX(Inputs!$K$5:$AJ$110,0,MATCH(O$2,Inputs!$K$4:$AJ$4,0))))=0,NA(),SUMPRODUCT((Inputs!$A$5:$A$110=$B42)*Inputs!$B$5:$B$110*(((Inputs!$G$5:$G$110="moeda")+(Inputs!$G$5:$G$110="acoes"))*Inputs!$B$1+((Inputs!$G$5:$G$110&lt;&gt;"moeda")*(Inputs!$G$5:$G$110&lt;&gt;"acoes")))*INDEX(Inputs!$K$5:$AJ$110,0,MATCH(O$2,Inputs!$K$4:$AJ$4,0)))+SUMPRODUCT((Inputs!$C$5:$C$110=$B42)*Inputs!$D$5:$D$110*(((Inputs!$G$5:$G$110="moeda")+(Inputs!$G$5:$G$110="acoes"))*Inputs!$B$1+((Inputs!$G$5:$G$110&lt;&gt;"moeda")*(Inputs!$G$5:$G$110&lt;&gt;"acoes")))*INDEX(Inputs!$K$5:$AJ$110,0,MATCH(O$2,Inputs!$K$4:$AJ$4,0)))+SUMPRODUCT((Inputs!$E$5:$E$110=$B42)*Inputs!$F$5:$F$110*(((Inputs!$G$5:$G$110="moeda")+(Inputs!$G$5:$G$110="acoes"))*Inputs!$B$1+((Inputs!$G$5:$G$110&lt;&gt;"moeda")*(Inputs!$G$5:$G$110&lt;&gt;"acoes")))*INDEX(Inputs!$K$5:$AJ$110,0,MATCH(O$2,Inputs!$K$4:$AJ$4,0)))))</f>
        <v>#N/A</v>
      </c>
      <c r="P42" s="6" t="e">
        <f>IF(ISNA(MATCH(P$2,Inputs!$K$4:$AJ$4,0)),NA(),IF(SUMPRODUCT((Inputs!$A$5:$A$110=$B42)*ISNUMBER(INDEX(Inputs!$K$5:$AJ$110,0,MATCH(P$2,Inputs!$K$4:$AJ$4,0))))+SUMPRODUCT((Inputs!$C$5:$C$110=$B42)*ISNUMBER(INDEX(Inputs!$K$5:$AJ$110,0,MATCH(P$2,Inputs!$K$4:$AJ$4,0))))+SUMPRODUCT((Inputs!$E$5:$E$110=$B42)*ISNUMBER(INDEX(Inputs!$K$5:$AJ$110,0,MATCH(P$2,Inputs!$K$4:$AJ$4,0))))=0,NA(),SUMPRODUCT((Inputs!$A$5:$A$110=$B42)*Inputs!$B$5:$B$110*(((Inputs!$G$5:$G$110="moeda")+(Inputs!$G$5:$G$110="acoes"))*Inputs!$B$1+((Inputs!$G$5:$G$110&lt;&gt;"moeda")*(Inputs!$G$5:$G$110&lt;&gt;"acoes")))*INDEX(Inputs!$K$5:$AJ$110,0,MATCH(P$2,Inputs!$K$4:$AJ$4,0)))+SUMPRODUCT((Inputs!$C$5:$C$110=$B42)*Inputs!$D$5:$D$110*(((Inputs!$G$5:$G$110="moeda")+(Inputs!$G$5:$G$110="acoes"))*Inputs!$B$1+((Inputs!$G$5:$G$110&lt;&gt;"moeda")*(Inputs!$G$5:$G$110&lt;&gt;"acoes")))*INDEX(Inputs!$K$5:$AJ$110,0,MATCH(P$2,Inputs!$K$4:$AJ$4,0)))+SUMPRODUCT((Inputs!$E$5:$E$110=$B42)*Inputs!$F$5:$F$110*(((Inputs!$G$5:$G$110="moeda")+(Inputs!$G$5:$G$110="acoes"))*Inputs!$B$1+((Inputs!$G$5:$G$110&lt;&gt;"moeda")*(Inputs!$G$5:$G$110&lt;&gt;"acoes")))*INDEX(Inputs!$K$5:$AJ$110,0,MATCH(P$2,Inputs!$K$4:$AJ$4,0)))))</f>
        <v>#N/A</v>
      </c>
      <c r="Q42" s="6" t="e">
        <f>IF(ISNA(MATCH(Q$2,Inputs!$K$4:$AJ$4,0)),NA(),IF(SUMPRODUCT((Inputs!$A$5:$A$110=$B42)*ISNUMBER(INDEX(Inputs!$K$5:$AJ$110,0,MATCH(Q$2,Inputs!$K$4:$AJ$4,0))))+SUMPRODUCT((Inputs!$C$5:$C$110=$B42)*ISNUMBER(INDEX(Inputs!$K$5:$AJ$110,0,MATCH(Q$2,Inputs!$K$4:$AJ$4,0))))+SUMPRODUCT((Inputs!$E$5:$E$110=$B42)*ISNUMBER(INDEX(Inputs!$K$5:$AJ$110,0,MATCH(Q$2,Inputs!$K$4:$AJ$4,0))))=0,NA(),SUMPRODUCT((Inputs!$A$5:$A$110=$B42)*Inputs!$B$5:$B$110*(((Inputs!$G$5:$G$110="moeda")+(Inputs!$G$5:$G$110="acoes"))*Inputs!$B$1+((Inputs!$G$5:$G$110&lt;&gt;"moeda")*(Inputs!$G$5:$G$110&lt;&gt;"acoes")))*INDEX(Inputs!$K$5:$AJ$110,0,MATCH(Q$2,Inputs!$K$4:$AJ$4,0)))+SUMPRODUCT((Inputs!$C$5:$C$110=$B42)*Inputs!$D$5:$D$110*(((Inputs!$G$5:$G$110="moeda")+(Inputs!$G$5:$G$110="acoes"))*Inputs!$B$1+((Inputs!$G$5:$G$110&lt;&gt;"moeda")*(Inputs!$G$5:$G$110&lt;&gt;"acoes")))*INDEX(Inputs!$K$5:$AJ$110,0,MATCH(Q$2,Inputs!$K$4:$AJ$4,0)))+SUMPRODUCT((Inputs!$E$5:$E$110=$B42)*Inputs!$F$5:$F$110*(((Inputs!$G$5:$G$110="moeda")+(Inputs!$G$5:$G$110="acoes"))*Inputs!$B$1+((Inputs!$G$5:$G$110&lt;&gt;"moeda")*(Inputs!$G$5:$G$110&lt;&gt;"acoes")))*INDEX(Inputs!$K$5:$AJ$110,0,MATCH(Q$2,Inputs!$K$4:$AJ$4,0)))))</f>
        <v>#N/A</v>
      </c>
      <c r="R42" s="3" t="e">
        <f>Q42</f>
        <v>#N/A</v>
      </c>
      <c r="S42" s="6" t="e">
        <f>IF(ISNA(MATCH(S$2,Inputs!$K$4:$AJ$4,0)),NA(),IF(SUMPRODUCT((Inputs!$A$5:$A$110=$B42)*ISNUMBER(INDEX(Inputs!$K$5:$AJ$110,0,MATCH(S$2,Inputs!$K$4:$AJ$4,0))))+SUMPRODUCT((Inputs!$C$5:$C$110=$B42)*ISNUMBER(INDEX(Inputs!$K$5:$AJ$110,0,MATCH(S$2,Inputs!$K$4:$AJ$4,0))))+SUMPRODUCT((Inputs!$E$5:$E$110=$B42)*ISNUMBER(INDEX(Inputs!$K$5:$AJ$110,0,MATCH(S$2,Inputs!$K$4:$AJ$4,0))))=0,NA(),SUMPRODUCT((Inputs!$A$5:$A$110=$B42)*Inputs!$B$5:$B$110*(((Inputs!$G$5:$G$110="moeda")+(Inputs!$G$5:$G$110="acoes"))*Inputs!$B$1+((Inputs!$G$5:$G$110&lt;&gt;"moeda")*(Inputs!$G$5:$G$110&lt;&gt;"acoes")))*INDEX(Inputs!$K$5:$AJ$110,0,MATCH(S$2,Inputs!$K$4:$AJ$4,0)))+SUMPRODUCT((Inputs!$C$5:$C$110=$B42)*Inputs!$D$5:$D$110*(((Inputs!$G$5:$G$110="moeda")+(Inputs!$G$5:$G$110="acoes"))*Inputs!$B$1+((Inputs!$G$5:$G$110&lt;&gt;"moeda")*(Inputs!$G$5:$G$110&lt;&gt;"acoes")))*INDEX(Inputs!$K$5:$AJ$110,0,MATCH(S$2,Inputs!$K$4:$AJ$4,0)))+SUMPRODUCT((Inputs!$E$5:$E$110=$B42)*Inputs!$F$5:$F$110*(((Inputs!$G$5:$G$110="moeda")+(Inputs!$G$5:$G$110="acoes"))*Inputs!$B$1+((Inputs!$G$5:$G$110&lt;&gt;"moeda")*(Inputs!$G$5:$G$110&lt;&gt;"acoes")))*INDEX(Inputs!$K$5:$AJ$110,0,MATCH(S$2,Inputs!$K$4:$AJ$4,0)))))</f>
        <v>#N/A</v>
      </c>
      <c r="T42" s="6" t="e">
        <f>IF(ISNA(MATCH(T$2,Inputs!$K$4:$AJ$4,0)),NA(),IF(SUMPRODUCT((Inputs!$A$5:$A$110=$B42)*ISNUMBER(INDEX(Inputs!$K$5:$AJ$110,0,MATCH(T$2,Inputs!$K$4:$AJ$4,0))))+SUMPRODUCT((Inputs!$C$5:$C$110=$B42)*ISNUMBER(INDEX(Inputs!$K$5:$AJ$110,0,MATCH(T$2,Inputs!$K$4:$AJ$4,0))))+SUMPRODUCT((Inputs!$E$5:$E$110=$B42)*ISNUMBER(INDEX(Inputs!$K$5:$AJ$110,0,MATCH(T$2,Inputs!$K$4:$AJ$4,0))))=0,NA(),SUMPRODUCT((Inputs!$A$5:$A$110=$B42)*Inputs!$B$5:$B$110*(((Inputs!$G$5:$G$110="moeda")+(Inputs!$G$5:$G$110="acoes"))*Inputs!$B$1+((Inputs!$G$5:$G$110&lt;&gt;"moeda")*(Inputs!$G$5:$G$110&lt;&gt;"acoes")))*INDEX(Inputs!$K$5:$AJ$110,0,MATCH(T$2,Inputs!$K$4:$AJ$4,0)))+SUMPRODUCT((Inputs!$C$5:$C$110=$B42)*Inputs!$D$5:$D$110*(((Inputs!$G$5:$G$110="moeda")+(Inputs!$G$5:$G$110="acoes"))*Inputs!$B$1+((Inputs!$G$5:$G$110&lt;&gt;"moeda")*(Inputs!$G$5:$G$110&lt;&gt;"acoes")))*INDEX(Inputs!$K$5:$AJ$110,0,MATCH(T$2,Inputs!$K$4:$AJ$4,0)))+SUMPRODUCT((Inputs!$E$5:$E$110=$B42)*Inputs!$F$5:$F$110*(((Inputs!$G$5:$G$110="moeda")+(Inputs!$G$5:$G$110="acoes"))*Inputs!$B$1+((Inputs!$G$5:$G$110&lt;&gt;"moeda")*(Inputs!$G$5:$G$110&lt;&gt;"acoes")))*INDEX(Inputs!$K$5:$AJ$110,0,MATCH(T$2,Inputs!$K$4:$AJ$4,0)))))</f>
        <v>#N/A</v>
      </c>
      <c r="U42" s="6" t="e">
        <f>IF(ISNA(MATCH(U$2,Inputs!$K$4:$AJ$4,0)),NA(),IF(SUMPRODUCT((Inputs!$A$5:$A$110=$B42)*ISNUMBER(INDEX(Inputs!$K$5:$AJ$110,0,MATCH(U$2,Inputs!$K$4:$AJ$4,0))))+SUMPRODUCT((Inputs!$C$5:$C$110=$B42)*ISNUMBER(INDEX(Inputs!$K$5:$AJ$110,0,MATCH(U$2,Inputs!$K$4:$AJ$4,0))))+SUMPRODUCT((Inputs!$E$5:$E$110=$B42)*ISNUMBER(INDEX(Inputs!$K$5:$AJ$110,0,MATCH(U$2,Inputs!$K$4:$AJ$4,0))))=0,NA(),SUMPRODUCT((Inputs!$A$5:$A$110=$B42)*Inputs!$B$5:$B$110*(((Inputs!$G$5:$G$110="moeda")+(Inputs!$G$5:$G$110="acoes"))*Inputs!$B$1+((Inputs!$G$5:$G$110&lt;&gt;"moeda")*(Inputs!$G$5:$G$110&lt;&gt;"acoes")))*INDEX(Inputs!$K$5:$AJ$110,0,MATCH(U$2,Inputs!$K$4:$AJ$4,0)))+SUMPRODUCT((Inputs!$C$5:$C$110=$B42)*Inputs!$D$5:$D$110*(((Inputs!$G$5:$G$110="moeda")+(Inputs!$G$5:$G$110="acoes"))*Inputs!$B$1+((Inputs!$G$5:$G$110&lt;&gt;"moeda")*(Inputs!$G$5:$G$110&lt;&gt;"acoes")))*INDEX(Inputs!$K$5:$AJ$110,0,MATCH(U$2,Inputs!$K$4:$AJ$4,0)))+SUMPRODUCT((Inputs!$E$5:$E$110=$B42)*Inputs!$F$5:$F$110*(((Inputs!$G$5:$G$110="moeda")+(Inputs!$G$5:$G$110="acoes"))*Inputs!$B$1+((Inputs!$G$5:$G$110&lt;&gt;"moeda")*(Inputs!$G$5:$G$110&lt;&gt;"acoes")))*INDEX(Inputs!$K$5:$AJ$110,0,MATCH(U$2,Inputs!$K$4:$AJ$4,0)))))</f>
        <v>#N/A</v>
      </c>
      <c r="V42" s="6" t="e">
        <f>IF(ISNA(MATCH(V$2,Inputs!$K$4:$AJ$4,0)),NA(),IF(SUMPRODUCT((Inputs!$A$5:$A$110=$B42)*ISNUMBER(INDEX(Inputs!$K$5:$AJ$110,0,MATCH(V$2,Inputs!$K$4:$AJ$4,0))))+SUMPRODUCT((Inputs!$C$5:$C$110=$B42)*ISNUMBER(INDEX(Inputs!$K$5:$AJ$110,0,MATCH(V$2,Inputs!$K$4:$AJ$4,0))))+SUMPRODUCT((Inputs!$E$5:$E$110=$B42)*ISNUMBER(INDEX(Inputs!$K$5:$AJ$110,0,MATCH(V$2,Inputs!$K$4:$AJ$4,0))))=0,NA(),SUMPRODUCT((Inputs!$A$5:$A$110=$B42)*Inputs!$B$5:$B$110*(((Inputs!$G$5:$G$110="moeda")+(Inputs!$G$5:$G$110="acoes"))*Inputs!$B$1+((Inputs!$G$5:$G$110&lt;&gt;"moeda")*(Inputs!$G$5:$G$110&lt;&gt;"acoes")))*INDEX(Inputs!$K$5:$AJ$110,0,MATCH(V$2,Inputs!$K$4:$AJ$4,0)))+SUMPRODUCT((Inputs!$C$5:$C$110=$B42)*Inputs!$D$5:$D$110*(((Inputs!$G$5:$G$110="moeda")+(Inputs!$G$5:$G$110="acoes"))*Inputs!$B$1+((Inputs!$G$5:$G$110&lt;&gt;"moeda")*(Inputs!$G$5:$G$110&lt;&gt;"acoes")))*INDEX(Inputs!$K$5:$AJ$110,0,MATCH(V$2,Inputs!$K$4:$AJ$4,0)))+SUMPRODUCT((Inputs!$E$5:$E$110=$B42)*Inputs!$F$5:$F$110*(((Inputs!$G$5:$G$110="moeda")+(Inputs!$G$5:$G$110="acoes"))*Inputs!$B$1+((Inputs!$G$5:$G$110&lt;&gt;"moeda")*(Inputs!$G$5:$G$110&lt;&gt;"acoes")))*INDEX(Inputs!$K$5:$AJ$110,0,MATCH(V$2,Inputs!$K$4:$AJ$4,0)))))</f>
        <v>#N/A</v>
      </c>
      <c r="W42" s="3" t="e">
        <f>V42</f>
        <v>#N/A</v>
      </c>
      <c r="X42" s="6" t="e">
        <f>IF(ISNA(MATCH(X$2,Inputs!$K$4:$AJ$4,0)),NA(),IF(SUMPRODUCT((Inputs!$A$5:$A$110=$B42)*ISNUMBER(INDEX(Inputs!$K$5:$AJ$110,0,MATCH(X$2,Inputs!$K$4:$AJ$4,0))))+SUMPRODUCT((Inputs!$C$5:$C$110=$B42)*ISNUMBER(INDEX(Inputs!$K$5:$AJ$110,0,MATCH(X$2,Inputs!$K$4:$AJ$4,0))))+SUMPRODUCT((Inputs!$E$5:$E$110=$B42)*ISNUMBER(INDEX(Inputs!$K$5:$AJ$110,0,MATCH(X$2,Inputs!$K$4:$AJ$4,0))))=0,NA(),SUMPRODUCT((Inputs!$A$5:$A$110=$B42)*Inputs!$B$5:$B$110*(((Inputs!$G$5:$G$110="moeda")+(Inputs!$G$5:$G$110="acoes"))*Inputs!$B$1+((Inputs!$G$5:$G$110&lt;&gt;"moeda")*(Inputs!$G$5:$G$110&lt;&gt;"acoes")))*INDEX(Inputs!$K$5:$AJ$110,0,MATCH(X$2,Inputs!$K$4:$AJ$4,0)))+SUMPRODUCT((Inputs!$C$5:$C$110=$B42)*Inputs!$D$5:$D$110*(((Inputs!$G$5:$G$110="moeda")+(Inputs!$G$5:$G$110="acoes"))*Inputs!$B$1+((Inputs!$G$5:$G$110&lt;&gt;"moeda")*(Inputs!$G$5:$G$110&lt;&gt;"acoes")))*INDEX(Inputs!$K$5:$AJ$110,0,MATCH(X$2,Inputs!$K$4:$AJ$4,0)))+SUMPRODUCT((Inputs!$E$5:$E$110=$B42)*Inputs!$F$5:$F$110*(((Inputs!$G$5:$G$110="moeda")+(Inputs!$G$5:$G$110="acoes"))*Inputs!$B$1+((Inputs!$G$5:$G$110&lt;&gt;"moeda")*(Inputs!$G$5:$G$110&lt;&gt;"acoes")))*INDEX(Inputs!$K$5:$AJ$110,0,MATCH(X$2,Inputs!$K$4:$AJ$4,0)))))</f>
        <v>#N/A</v>
      </c>
      <c r="Y42" s="6" t="e">
        <f>IF(ISNA(MATCH(Y$2,Inputs!$K$4:$AJ$4,0)),NA(),IF(SUMPRODUCT((Inputs!$A$5:$A$110=$B42)*ISNUMBER(INDEX(Inputs!$K$5:$AJ$110,0,MATCH(Y$2,Inputs!$K$4:$AJ$4,0))))+SUMPRODUCT((Inputs!$C$5:$C$110=$B42)*ISNUMBER(INDEX(Inputs!$K$5:$AJ$110,0,MATCH(Y$2,Inputs!$K$4:$AJ$4,0))))+SUMPRODUCT((Inputs!$E$5:$E$110=$B42)*ISNUMBER(INDEX(Inputs!$K$5:$AJ$110,0,MATCH(Y$2,Inputs!$K$4:$AJ$4,0))))=0,NA(),SUMPRODUCT((Inputs!$A$5:$A$110=$B42)*Inputs!$B$5:$B$110*(((Inputs!$G$5:$G$110="moeda")+(Inputs!$G$5:$G$110="acoes"))*Inputs!$B$1+((Inputs!$G$5:$G$110&lt;&gt;"moeda")*(Inputs!$G$5:$G$110&lt;&gt;"acoes")))*INDEX(Inputs!$K$5:$AJ$110,0,MATCH(Y$2,Inputs!$K$4:$AJ$4,0)))+SUMPRODUCT((Inputs!$C$5:$C$110=$B42)*Inputs!$D$5:$D$110*(((Inputs!$G$5:$G$110="moeda")+(Inputs!$G$5:$G$110="acoes"))*Inputs!$B$1+((Inputs!$G$5:$G$110&lt;&gt;"moeda")*(Inputs!$G$5:$G$110&lt;&gt;"acoes")))*INDEX(Inputs!$K$5:$AJ$110,0,MATCH(Y$2,Inputs!$K$4:$AJ$4,0)))+SUMPRODUCT((Inputs!$E$5:$E$110=$B42)*Inputs!$F$5:$F$110*(((Inputs!$G$5:$G$110="moeda")+(Inputs!$G$5:$G$110="acoes"))*Inputs!$B$1+((Inputs!$G$5:$G$110&lt;&gt;"moeda")*(Inputs!$G$5:$G$110&lt;&gt;"acoes")))*INDEX(Inputs!$K$5:$AJ$110,0,MATCH(Y$2,Inputs!$K$4:$AJ$4,0)))))</f>
        <v>#N/A</v>
      </c>
      <c r="Z42" s="6" t="e">
        <f>IF(ISNA(MATCH(Z$2,Inputs!$K$4:$AJ$4,0)),NA(),IF(SUMPRODUCT((Inputs!$A$5:$A$110=$B42)*ISNUMBER(INDEX(Inputs!$K$5:$AJ$110,0,MATCH(Z$2,Inputs!$K$4:$AJ$4,0))))+SUMPRODUCT((Inputs!$C$5:$C$110=$B42)*ISNUMBER(INDEX(Inputs!$K$5:$AJ$110,0,MATCH(Z$2,Inputs!$K$4:$AJ$4,0))))+SUMPRODUCT((Inputs!$E$5:$E$110=$B42)*ISNUMBER(INDEX(Inputs!$K$5:$AJ$110,0,MATCH(Z$2,Inputs!$K$4:$AJ$4,0))))=0,NA(),SUMPRODUCT((Inputs!$A$5:$A$110=$B42)*Inputs!$B$5:$B$110*(((Inputs!$G$5:$G$110="moeda")+(Inputs!$G$5:$G$110="acoes"))*Inputs!$B$1+((Inputs!$G$5:$G$110&lt;&gt;"moeda")*(Inputs!$G$5:$G$110&lt;&gt;"acoes")))*INDEX(Inputs!$K$5:$AJ$110,0,MATCH(Z$2,Inputs!$K$4:$AJ$4,0)))+SUMPRODUCT((Inputs!$C$5:$C$110=$B42)*Inputs!$D$5:$D$110*(((Inputs!$G$5:$G$110="moeda")+(Inputs!$G$5:$G$110="acoes"))*Inputs!$B$1+((Inputs!$G$5:$G$110&lt;&gt;"moeda")*(Inputs!$G$5:$G$110&lt;&gt;"acoes")))*INDEX(Inputs!$K$5:$AJ$110,0,MATCH(Z$2,Inputs!$K$4:$AJ$4,0)))+SUMPRODUCT((Inputs!$E$5:$E$110=$B42)*Inputs!$F$5:$F$110*(((Inputs!$G$5:$G$110="moeda")+(Inputs!$G$5:$G$110="acoes"))*Inputs!$B$1+((Inputs!$G$5:$G$110&lt;&gt;"moeda")*(Inputs!$G$5:$G$110&lt;&gt;"acoes")))*INDEX(Inputs!$K$5:$AJ$110,0,MATCH(Z$2,Inputs!$K$4:$AJ$4,0)))))</f>
        <v>#N/A</v>
      </c>
      <c r="AA42" s="6" t="e">
        <f>IF(ISNA(MATCH(AA$2,Inputs!$K$4:$AJ$4,0)),NA(),IF(SUMPRODUCT((Inputs!$A$5:$A$110=$B42)*ISNUMBER(INDEX(Inputs!$K$5:$AJ$110,0,MATCH(AA$2,Inputs!$K$4:$AJ$4,0))))+SUMPRODUCT((Inputs!$C$5:$C$110=$B42)*ISNUMBER(INDEX(Inputs!$K$5:$AJ$110,0,MATCH(AA$2,Inputs!$K$4:$AJ$4,0))))+SUMPRODUCT((Inputs!$E$5:$E$110=$B42)*ISNUMBER(INDEX(Inputs!$K$5:$AJ$110,0,MATCH(AA$2,Inputs!$K$4:$AJ$4,0))))=0,NA(),SUMPRODUCT((Inputs!$A$5:$A$110=$B42)*Inputs!$B$5:$B$110*(((Inputs!$G$5:$G$110="moeda")+(Inputs!$G$5:$G$110="acoes"))*Inputs!$B$1+((Inputs!$G$5:$G$110&lt;&gt;"moeda")*(Inputs!$G$5:$G$110&lt;&gt;"acoes")))*INDEX(Inputs!$K$5:$AJ$110,0,MATCH(AA$2,Inputs!$K$4:$AJ$4,0)))+SUMPRODUCT((Inputs!$C$5:$C$110=$B42)*Inputs!$D$5:$D$110*(((Inputs!$G$5:$G$110="moeda")+(Inputs!$G$5:$G$110="acoes"))*Inputs!$B$1+((Inputs!$G$5:$G$110&lt;&gt;"moeda")*(Inputs!$G$5:$G$110&lt;&gt;"acoes")))*INDEX(Inputs!$K$5:$AJ$110,0,MATCH(AA$2,Inputs!$K$4:$AJ$4,0)))+SUMPRODUCT((Inputs!$E$5:$E$110=$B42)*Inputs!$F$5:$F$110*(((Inputs!$G$5:$G$110="moeda")+(Inputs!$G$5:$G$110="acoes"))*Inputs!$B$1+((Inputs!$G$5:$G$110&lt;&gt;"moeda")*(Inputs!$G$5:$G$110&lt;&gt;"acoes")))*INDEX(Inputs!$K$5:$AJ$110,0,MATCH(AA$2,Inputs!$K$4:$AJ$4,0)))))</f>
        <v>#N/A</v>
      </c>
      <c r="AB42" s="3" t="e">
        <f>AA42</f>
        <v>#N/A</v>
      </c>
      <c r="AC42" s="6" t="e">
        <f>IF(ISNA(MATCH(AC$2,Inputs!$K$4:$AJ$4,0)),NA(),IF(SUMPRODUCT((Inputs!$A$5:$A$110=$B42)*ISNUMBER(INDEX(Inputs!$K$5:$AJ$110,0,MATCH(AC$2,Inputs!$K$4:$AJ$4,0))))+SUMPRODUCT((Inputs!$C$5:$C$110=$B42)*ISNUMBER(INDEX(Inputs!$K$5:$AJ$110,0,MATCH(AC$2,Inputs!$K$4:$AJ$4,0))))+SUMPRODUCT((Inputs!$E$5:$E$110=$B42)*ISNUMBER(INDEX(Inputs!$K$5:$AJ$110,0,MATCH(AC$2,Inputs!$K$4:$AJ$4,0))))=0,NA(),SUMPRODUCT((Inputs!$A$5:$A$110=$B42)*Inputs!$B$5:$B$110*(((Inputs!$G$5:$G$110="moeda")+(Inputs!$G$5:$G$110="acoes"))*Inputs!$B$1+((Inputs!$G$5:$G$110&lt;&gt;"moeda")*(Inputs!$G$5:$G$110&lt;&gt;"acoes")))*INDEX(Inputs!$K$5:$AJ$110,0,MATCH(AC$2,Inputs!$K$4:$AJ$4,0)))+SUMPRODUCT((Inputs!$C$5:$C$110=$B42)*Inputs!$D$5:$D$110*(((Inputs!$G$5:$G$110="moeda")+(Inputs!$G$5:$G$110="acoes"))*Inputs!$B$1+((Inputs!$G$5:$G$110&lt;&gt;"moeda")*(Inputs!$G$5:$G$110&lt;&gt;"acoes")))*INDEX(Inputs!$K$5:$AJ$110,0,MATCH(AC$2,Inputs!$K$4:$AJ$4,0)))+SUMPRODUCT((Inputs!$E$5:$E$110=$B42)*Inputs!$F$5:$F$110*(((Inputs!$G$5:$G$110="moeda")+(Inputs!$G$5:$G$110="acoes"))*Inputs!$B$1+((Inputs!$G$5:$G$110&lt;&gt;"moeda")*(Inputs!$G$5:$G$110&lt;&gt;"acoes")))*INDEX(Inputs!$K$5:$AJ$110,0,MATCH(AC$2,Inputs!$K$4:$AJ$4,0)))))</f>
        <v>#N/A</v>
      </c>
      <c r="AD42" s="6" t="e">
        <f>IF(ISNA(MATCH(AD$2,Inputs!$K$4:$AJ$4,0)),NA(),IF(SUMPRODUCT((Inputs!$A$5:$A$110=$B42)*ISNUMBER(INDEX(Inputs!$K$5:$AJ$110,0,MATCH(AD$2,Inputs!$K$4:$AJ$4,0))))+SUMPRODUCT((Inputs!$C$5:$C$110=$B42)*ISNUMBER(INDEX(Inputs!$K$5:$AJ$110,0,MATCH(AD$2,Inputs!$K$4:$AJ$4,0))))+SUMPRODUCT((Inputs!$E$5:$E$110=$B42)*ISNUMBER(INDEX(Inputs!$K$5:$AJ$110,0,MATCH(AD$2,Inputs!$K$4:$AJ$4,0))))=0,NA(),SUMPRODUCT((Inputs!$A$5:$A$110=$B42)*Inputs!$B$5:$B$110*(((Inputs!$G$5:$G$110="moeda")+(Inputs!$G$5:$G$110="acoes"))*Inputs!$B$1+((Inputs!$G$5:$G$110&lt;&gt;"moeda")*(Inputs!$G$5:$G$110&lt;&gt;"acoes")))*INDEX(Inputs!$K$5:$AJ$110,0,MATCH(AD$2,Inputs!$K$4:$AJ$4,0)))+SUMPRODUCT((Inputs!$C$5:$C$110=$B42)*Inputs!$D$5:$D$110*(((Inputs!$G$5:$G$110="moeda")+(Inputs!$G$5:$G$110="acoes"))*Inputs!$B$1+((Inputs!$G$5:$G$110&lt;&gt;"moeda")*(Inputs!$G$5:$G$110&lt;&gt;"acoes")))*INDEX(Inputs!$K$5:$AJ$110,0,MATCH(AD$2,Inputs!$K$4:$AJ$4,0)))+SUMPRODUCT((Inputs!$E$5:$E$110=$B42)*Inputs!$F$5:$F$110*(((Inputs!$G$5:$G$110="moeda")+(Inputs!$G$5:$G$110="acoes"))*Inputs!$B$1+((Inputs!$G$5:$G$110&lt;&gt;"moeda")*(Inputs!$G$5:$G$110&lt;&gt;"acoes")))*INDEX(Inputs!$K$5:$AJ$110,0,MATCH(AD$2,Inputs!$K$4:$AJ$4,0)))))</f>
        <v>#N/A</v>
      </c>
      <c r="AE42" s="6" t="e">
        <f>IF(ISNA(MATCH(AE$2,Inputs!$K$4:$AJ$4,0)),NA(),IF(SUMPRODUCT((Inputs!$A$5:$A$110=$B42)*ISNUMBER(INDEX(Inputs!$K$5:$AJ$110,0,MATCH(AE$2,Inputs!$K$4:$AJ$4,0))))+SUMPRODUCT((Inputs!$C$5:$C$110=$B42)*ISNUMBER(INDEX(Inputs!$K$5:$AJ$110,0,MATCH(AE$2,Inputs!$K$4:$AJ$4,0))))+SUMPRODUCT((Inputs!$E$5:$E$110=$B42)*ISNUMBER(INDEX(Inputs!$K$5:$AJ$110,0,MATCH(AE$2,Inputs!$K$4:$AJ$4,0))))=0,NA(),SUMPRODUCT((Inputs!$A$5:$A$110=$B42)*Inputs!$B$5:$B$110*(((Inputs!$G$5:$G$110="moeda")+(Inputs!$G$5:$G$110="acoes"))*Inputs!$B$1+((Inputs!$G$5:$G$110&lt;&gt;"moeda")*(Inputs!$G$5:$G$110&lt;&gt;"acoes")))*INDEX(Inputs!$K$5:$AJ$110,0,MATCH(AE$2,Inputs!$K$4:$AJ$4,0)))+SUMPRODUCT((Inputs!$C$5:$C$110=$B42)*Inputs!$D$5:$D$110*(((Inputs!$G$5:$G$110="moeda")+(Inputs!$G$5:$G$110="acoes"))*Inputs!$B$1+((Inputs!$G$5:$G$110&lt;&gt;"moeda")*(Inputs!$G$5:$G$110&lt;&gt;"acoes")))*INDEX(Inputs!$K$5:$AJ$110,0,MATCH(AE$2,Inputs!$K$4:$AJ$4,0)))+SUMPRODUCT((Inputs!$E$5:$E$110=$B42)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2" s="6" t="e">
        <f>IF(ISNA(MATCH(AF$2,Inputs!$K$4:$AJ$4,0)),NA(),IF(SUMPRODUCT((Inputs!$A$5:$A$110=$B42)*ISNUMBER(INDEX(Inputs!$K$5:$AJ$110,0,MATCH(AF$2,Inputs!$K$4:$AJ$4,0))))+SUMPRODUCT((Inputs!$C$5:$C$110=$B42)*ISNUMBER(INDEX(Inputs!$K$5:$AJ$110,0,MATCH(AF$2,Inputs!$K$4:$AJ$4,0))))+SUMPRODUCT((Inputs!$E$5:$E$110=$B42)*ISNUMBER(INDEX(Inputs!$K$5:$AJ$110,0,MATCH(AF$2,Inputs!$K$4:$AJ$4,0))))=0,NA(),SUMPRODUCT((Inputs!$A$5:$A$110=$B42)*Inputs!$B$5:$B$110*(((Inputs!$G$5:$G$110="moeda")+(Inputs!$G$5:$G$110="acoes"))*Inputs!$B$1+((Inputs!$G$5:$G$110&lt;&gt;"moeda")*(Inputs!$G$5:$G$110&lt;&gt;"acoes")))*INDEX(Inputs!$K$5:$AJ$110,0,MATCH(AF$2,Inputs!$K$4:$AJ$4,0)))+SUMPRODUCT((Inputs!$C$5:$C$110=$B42)*Inputs!$D$5:$D$110*(((Inputs!$G$5:$G$110="moeda")+(Inputs!$G$5:$G$110="acoes"))*Inputs!$B$1+((Inputs!$G$5:$G$110&lt;&gt;"moeda")*(Inputs!$G$5:$G$110&lt;&gt;"acoes")))*INDEX(Inputs!$K$5:$AJ$110,0,MATCH(AF$2,Inputs!$K$4:$AJ$4,0)))+SUMPRODUCT((Inputs!$E$5:$E$110=$B42)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2" s="3" t="e">
        <f>AF42</f>
        <v>#N/A</v>
      </c>
      <c r="AH42" s="6" t="e">
        <f>IF(ISNA(MATCH(AH$2,Inputs!$K$4:$AJ$4,0)),NA(),IF(SUMPRODUCT((Inputs!$A$5:$A$110=$B42)*ISNUMBER(INDEX(Inputs!$K$5:$AJ$110,0,MATCH(AH$2,Inputs!$K$4:$AJ$4,0))))+SUMPRODUCT((Inputs!$C$5:$C$110=$B42)*ISNUMBER(INDEX(Inputs!$K$5:$AJ$110,0,MATCH(AH$2,Inputs!$K$4:$AJ$4,0))))+SUMPRODUCT((Inputs!$E$5:$E$110=$B42)*ISNUMBER(INDEX(Inputs!$K$5:$AJ$110,0,MATCH(AH$2,Inputs!$K$4:$AJ$4,0))))=0,NA(),SUMPRODUCT((Inputs!$A$5:$A$110=$B42)*Inputs!$B$5:$B$110*(((Inputs!$G$5:$G$110="moeda")+(Inputs!$G$5:$G$110="acoes"))*Inputs!$B$1+((Inputs!$G$5:$G$110&lt;&gt;"moeda")*(Inputs!$G$5:$G$110&lt;&gt;"acoes")))*INDEX(Inputs!$K$5:$AJ$110,0,MATCH(AH$2,Inputs!$K$4:$AJ$4,0)))+SUMPRODUCT((Inputs!$C$5:$C$110=$B42)*Inputs!$D$5:$D$110*(((Inputs!$G$5:$G$110="moeda")+(Inputs!$G$5:$G$110="acoes"))*Inputs!$B$1+((Inputs!$G$5:$G$110&lt;&gt;"moeda")*(Inputs!$G$5:$G$110&lt;&gt;"acoes")))*INDEX(Inputs!$K$5:$AJ$110,0,MATCH(AH$2,Inputs!$K$4:$AJ$4,0)))+SUMPRODUCT((Inputs!$E$5:$E$110=$B42)*Inputs!$F$5:$F$110*(((Inputs!$G$5:$G$110="moeda")+(Inputs!$G$5:$G$110="acoes"))*Inputs!$B$1+((Inputs!$G$5:$G$110&lt;&gt;"moeda")*(Inputs!$G$5:$G$110&lt;&gt;"acoes")))*INDEX(Inputs!$K$5:$AJ$110,0,MATCH(AH$2,Inputs!$K$4:$AJ$4,0)))))</f>
        <v>#N/A</v>
      </c>
      <c r="AI42" s="6" t="e">
        <f>IF(ISNA(MATCH(AI$2,Inputs!$K$4:$AJ$4,0)),NA(),IF(SUMPRODUCT((Inputs!$A$5:$A$110=$B42)*ISNUMBER(INDEX(Inputs!$K$5:$AJ$110,0,MATCH(AI$2,Inputs!$K$4:$AJ$4,0))))+SUMPRODUCT((Inputs!$C$5:$C$110=$B42)*ISNUMBER(INDEX(Inputs!$K$5:$AJ$110,0,MATCH(AI$2,Inputs!$K$4:$AJ$4,0))))+SUMPRODUCT((Inputs!$E$5:$E$110=$B42)*ISNUMBER(INDEX(Inputs!$K$5:$AJ$110,0,MATCH(AI$2,Inputs!$K$4:$AJ$4,0))))=0,NA(),SUMPRODUCT((Inputs!$A$5:$A$110=$B42)*Inputs!$B$5:$B$110*(((Inputs!$G$5:$G$110="moeda")+(Inputs!$G$5:$G$110="acoes"))*Inputs!$B$1+((Inputs!$G$5:$G$110&lt;&gt;"moeda")*(Inputs!$G$5:$G$110&lt;&gt;"acoes")))*INDEX(Inputs!$K$5:$AJ$110,0,MATCH(AI$2,Inputs!$K$4:$AJ$4,0)))+SUMPRODUCT((Inputs!$C$5:$C$110=$B42)*Inputs!$D$5:$D$110*(((Inputs!$G$5:$G$110="moeda")+(Inputs!$G$5:$G$110="acoes"))*Inputs!$B$1+((Inputs!$G$5:$G$110&lt;&gt;"moeda")*(Inputs!$G$5:$G$110&lt;&gt;"acoes")))*INDEX(Inputs!$K$5:$AJ$110,0,MATCH(AI$2,Inputs!$K$4:$AJ$4,0)))+SUMPRODUCT((Inputs!$E$5:$E$110=$B42)*Inputs!$F$5:$F$110*(((Inputs!$G$5:$G$110="moeda")+(Inputs!$G$5:$G$110="acoes"))*Inputs!$B$1+((Inputs!$G$5:$G$110&lt;&gt;"moeda")*(Inputs!$G$5:$G$110&lt;&gt;"acoes")))*INDEX(Inputs!$K$5:$AJ$110,0,MATCH(AI$2,Inputs!$K$4:$AJ$4,0)))))</f>
        <v>#N/A</v>
      </c>
      <c r="AJ42" s="6" t="e">
        <f>IF(ISNA(MATCH(AJ$2,Inputs!$K$4:$AJ$4,0)),NA(),IF(SUMPRODUCT((Inputs!$A$5:$A$110=$B42)*ISNUMBER(INDEX(Inputs!$K$5:$AJ$110,0,MATCH(AJ$2,Inputs!$K$4:$AJ$4,0))))+SUMPRODUCT((Inputs!$C$5:$C$110=$B42)*ISNUMBER(INDEX(Inputs!$K$5:$AJ$110,0,MATCH(AJ$2,Inputs!$K$4:$AJ$4,0))))+SUMPRODUCT((Inputs!$E$5:$E$110=$B42)*ISNUMBER(INDEX(Inputs!$K$5:$AJ$110,0,MATCH(AJ$2,Inputs!$K$4:$AJ$4,0))))=0,NA(),SUMPRODUCT((Inputs!$A$5:$A$110=$B42)*Inputs!$B$5:$B$110*(((Inputs!$G$5:$G$110="moeda")+(Inputs!$G$5:$G$110="acoes"))*Inputs!$B$1+((Inputs!$G$5:$G$110&lt;&gt;"moeda")*(Inputs!$G$5:$G$110&lt;&gt;"acoes")))*INDEX(Inputs!$K$5:$AJ$110,0,MATCH(AJ$2,Inputs!$K$4:$AJ$4,0)))+SUMPRODUCT((Inputs!$C$5:$C$110=$B42)*Inputs!$D$5:$D$110*(((Inputs!$G$5:$G$110="moeda")+(Inputs!$G$5:$G$110="acoes"))*Inputs!$B$1+((Inputs!$G$5:$G$110&lt;&gt;"moeda")*(Inputs!$G$5:$G$110&lt;&gt;"acoes")))*INDEX(Inputs!$K$5:$AJ$110,0,MATCH(AJ$2,Inputs!$K$4:$AJ$4,0)))+SUMPRODUCT((Inputs!$E$5:$E$110=$B42)*Inputs!$F$5:$F$110*(((Inputs!$G$5:$G$110="moeda")+(Inputs!$G$5:$G$110="acoes"))*Inputs!$B$1+((Inputs!$G$5:$G$110&lt;&gt;"moeda")*(Inputs!$G$5:$G$110&lt;&gt;"acoes")))*INDEX(Inputs!$K$5:$AJ$110,0,MATCH(AJ$2,Inputs!$K$4:$AJ$4,0)))))</f>
        <v>#N/A</v>
      </c>
      <c r="AK42" s="6" t="e">
        <f>IF(ISNA(MATCH(AK$2,Inputs!$K$4:$AJ$4,0)),NA(),IF(SUMPRODUCT((Inputs!$A$5:$A$110=$B42)*ISNUMBER(INDEX(Inputs!$K$5:$AJ$110,0,MATCH(AK$2,Inputs!$K$4:$AJ$4,0))))+SUMPRODUCT((Inputs!$C$5:$C$110=$B42)*ISNUMBER(INDEX(Inputs!$K$5:$AJ$110,0,MATCH(AK$2,Inputs!$K$4:$AJ$4,0))))+SUMPRODUCT((Inputs!$E$5:$E$110=$B42)*ISNUMBER(INDEX(Inputs!$K$5:$AJ$110,0,MATCH(AK$2,Inputs!$K$4:$AJ$4,0))))=0,NA(),SUMPRODUCT((Inputs!$A$5:$A$110=$B42)*Inputs!$B$5:$B$110*(((Inputs!$G$5:$G$110="moeda")+(Inputs!$G$5:$G$110="acoes"))*Inputs!$B$1+((Inputs!$G$5:$G$110&lt;&gt;"moeda")*(Inputs!$G$5:$G$110&lt;&gt;"acoes")))*INDEX(Inputs!$K$5:$AJ$110,0,MATCH(AK$2,Inputs!$K$4:$AJ$4,0)))+SUMPRODUCT((Inputs!$C$5:$C$110=$B42)*Inputs!$D$5:$D$110*(((Inputs!$G$5:$G$110="moeda")+(Inputs!$G$5:$G$110="acoes"))*Inputs!$B$1+((Inputs!$G$5:$G$110&lt;&gt;"moeda")*(Inputs!$G$5:$G$110&lt;&gt;"acoes")))*INDEX(Inputs!$K$5:$AJ$110,0,MATCH(AK$2,Inputs!$K$4:$AJ$4,0)))+SUMPRODUCT((Inputs!$E$5:$E$110=$B42)*Inputs!$F$5:$F$110*(((Inputs!$G$5:$G$110="moeda")+(Inputs!$G$5:$G$110="acoes"))*Inputs!$B$1+((Inputs!$G$5:$G$110&lt;&gt;"moeda")*(Inputs!$G$5:$G$110&lt;&gt;"acoes")))*INDEX(Inputs!$K$5:$AJ$110,0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$110=$B43)*ISNUMBER(INDEX(Inputs!$K$5:$AJ$110,0,MATCH(D$2,Inputs!$K$4:$AJ$4,0))))+SUMPRODUCT((Inputs!$C$5:$C$110=$B43)*ISNUMBER(INDEX(Inputs!$K$5:$AJ$110,0,MATCH(D$2,Inputs!$K$4:$AJ$4,0))))+SUMPRODUCT((Inputs!$E$5:$E$110=$B43)*ISNUMBER(INDEX(Inputs!$K$5:$AJ$110,0,MATCH(D$2,Inputs!$K$4:$AJ$4,0))))=0,NA(),SUMPRODUCT((Inputs!$A$5:$A$110=$B43)*Inputs!$B$5:$B$110*(((Inputs!$G$5:$G$110="moeda")+(Inputs!$G$5:$G$110="acoes"))*Inputs!$B$1+((Inputs!$G$5:$G$110&lt;&gt;"moeda")*(Inputs!$G$5:$G$110&lt;&gt;"acoes")))*INDEX(Inputs!$K$5:$AJ$110,0,MATCH(D$2,Inputs!$K$4:$AJ$4,0)))+SUMPRODUCT((Inputs!$C$5:$C$110=$B43)*Inputs!$D$5:$D$110*(((Inputs!$G$5:$G$110="moeda")+(Inputs!$G$5:$G$110="acoes"))*Inputs!$B$1+((Inputs!$G$5:$G$110&lt;&gt;"moeda")*(Inputs!$G$5:$G$110&lt;&gt;"acoes")))*INDEX(Inputs!$K$5:$AJ$110,0,MATCH(D$2,Inputs!$K$4:$AJ$4,0)))+SUMPRODUCT((Inputs!$E$5:$E$110=$B43)*Inputs!$F$5:$F$110*(((Inputs!$G$5:$G$110="moeda")+(Inputs!$G$5:$G$110="acoes"))*Inputs!$B$1+((Inputs!$G$5:$G$110&lt;&gt;"moeda")*(Inputs!$G$5:$G$110&lt;&gt;"acoes")))*INDEX(Inputs!$K$5:$AJ$110,0,MATCH(D$2,Inputs!$K$4:$AJ$4,0)))))</f>
        <v>343</v>
      </c>
      <c r="E43" s="6">
        <f>IF(ISNA(MATCH(E$2,Inputs!$K$4:$AJ$4,0)),NA(),IF(SUMPRODUCT((Inputs!$A$5:$A$110=$B43)*ISNUMBER(INDEX(Inputs!$K$5:$AJ$110,0,MATCH(E$2,Inputs!$K$4:$AJ$4,0))))+SUMPRODUCT((Inputs!$C$5:$C$110=$B43)*ISNUMBER(INDEX(Inputs!$K$5:$AJ$110,0,MATCH(E$2,Inputs!$K$4:$AJ$4,0))))+SUMPRODUCT((Inputs!$E$5:$E$110=$B43)*ISNUMBER(INDEX(Inputs!$K$5:$AJ$110,0,MATCH(E$2,Inputs!$K$4:$AJ$4,0))))=0,NA(),SUMPRODUCT((Inputs!$A$5:$A$110=$B43)*Inputs!$B$5:$B$110*(((Inputs!$G$5:$G$110="moeda")+(Inputs!$G$5:$G$110="acoes"))*Inputs!$B$1+((Inputs!$G$5:$G$110&lt;&gt;"moeda")*(Inputs!$G$5:$G$110&lt;&gt;"acoes")))*INDEX(Inputs!$K$5:$AJ$110,0,MATCH(E$2,Inputs!$K$4:$AJ$4,0)))+SUMPRODUCT((Inputs!$C$5:$C$110=$B43)*Inputs!$D$5:$D$110*(((Inputs!$G$5:$G$110="moeda")+(Inputs!$G$5:$G$110="acoes"))*Inputs!$B$1+((Inputs!$G$5:$G$110&lt;&gt;"moeda")*(Inputs!$G$5:$G$110&lt;&gt;"acoes")))*INDEX(Inputs!$K$5:$AJ$110,0,MATCH(E$2,Inputs!$K$4:$AJ$4,0)))+SUMPRODUCT((Inputs!$E$5:$E$110=$B43)*Inputs!$F$5:$F$110*(((Inputs!$G$5:$G$110="moeda")+(Inputs!$G$5:$G$110="acoes"))*Inputs!$B$1+((Inputs!$G$5:$G$110&lt;&gt;"moeda")*(Inputs!$G$5:$G$110&lt;&gt;"acoes")))*INDEX(Inputs!$K$5:$AJ$110,0,MATCH(E$2,Inputs!$K$4:$AJ$4,0)))))</f>
        <v>398</v>
      </c>
      <c r="F43" s="6">
        <f>IF(ISNA(MATCH(F$2,Inputs!$K$4:$AJ$4,0)),NA(),IF(SUMPRODUCT((Inputs!$A$5:$A$110=$B43)*ISNUMBER(INDEX(Inputs!$K$5:$AJ$110,0,MATCH(F$2,Inputs!$K$4:$AJ$4,0))))+SUMPRODUCT((Inputs!$C$5:$C$110=$B43)*ISNUMBER(INDEX(Inputs!$K$5:$AJ$110,0,MATCH(F$2,Inputs!$K$4:$AJ$4,0))))+SUMPRODUCT((Inputs!$E$5:$E$110=$B43)*ISNUMBER(INDEX(Inputs!$K$5:$AJ$110,0,MATCH(F$2,Inputs!$K$4:$AJ$4,0))))=0,NA(),SUMPRODUCT((Inputs!$A$5:$A$110=$B43)*Inputs!$B$5:$B$110*(((Inputs!$G$5:$G$110="moeda")+(Inputs!$G$5:$G$110="acoes"))*Inputs!$B$1+((Inputs!$G$5:$G$110&lt;&gt;"moeda")*(Inputs!$G$5:$G$110&lt;&gt;"acoes")))*INDEX(Inputs!$K$5:$AJ$110,0,MATCH(F$2,Inputs!$K$4:$AJ$4,0)))+SUMPRODUCT((Inputs!$C$5:$C$110=$B43)*Inputs!$D$5:$D$110*(((Inputs!$G$5:$G$110="moeda")+(Inputs!$G$5:$G$110="acoes"))*Inputs!$B$1+((Inputs!$G$5:$G$110&lt;&gt;"moeda")*(Inputs!$G$5:$G$110&lt;&gt;"acoes")))*INDEX(Inputs!$K$5:$AJ$110,0,MATCH(F$2,Inputs!$K$4:$AJ$4,0)))+SUMPRODUCT((Inputs!$E$5:$E$110=$B43)*Inputs!$F$5:$F$110*(((Inputs!$G$5:$G$110="moeda")+(Inputs!$G$5:$G$110="acoes"))*Inputs!$B$1+((Inputs!$G$5:$G$110&lt;&gt;"moeda")*(Inputs!$G$5:$G$110&lt;&gt;"acoes")))*INDEX(Inputs!$K$5:$AJ$110,0,MATCH(F$2,Inputs!$K$4:$AJ$4,0)))))</f>
        <v>372</v>
      </c>
      <c r="G43" s="6">
        <f>IF(ISNA(MATCH(G$2,Inputs!$K$4:$AJ$4,0)),NA(),IF(SUMPRODUCT((Inputs!$A$5:$A$110=$B43)*ISNUMBER(INDEX(Inputs!$K$5:$AJ$110,0,MATCH(G$2,Inputs!$K$4:$AJ$4,0))))+SUMPRODUCT((Inputs!$C$5:$C$110=$B43)*ISNUMBER(INDEX(Inputs!$K$5:$AJ$110,0,MATCH(G$2,Inputs!$K$4:$AJ$4,0))))+SUMPRODUCT((Inputs!$E$5:$E$110=$B43)*ISNUMBER(INDEX(Inputs!$K$5:$AJ$110,0,MATCH(G$2,Inputs!$K$4:$AJ$4,0))))=0,NA(),SUMPRODUCT((Inputs!$A$5:$A$110=$B43)*Inputs!$B$5:$B$110*(((Inputs!$G$5:$G$110="moeda")+(Inputs!$G$5:$G$110="acoes"))*Inputs!$B$1+((Inputs!$G$5:$G$110&lt;&gt;"moeda")*(Inputs!$G$5:$G$110&lt;&gt;"acoes")))*INDEX(Inputs!$K$5:$AJ$110,0,MATCH(G$2,Inputs!$K$4:$AJ$4,0)))+SUMPRODUCT((Inputs!$C$5:$C$110=$B43)*Inputs!$D$5:$D$110*(((Inputs!$G$5:$G$110="moeda")+(Inputs!$G$5:$G$110="acoes"))*Inputs!$B$1+((Inputs!$G$5:$G$110&lt;&gt;"moeda")*(Inputs!$G$5:$G$110&lt;&gt;"acoes")))*INDEX(Inputs!$K$5:$AJ$110,0,MATCH(G$2,Inputs!$K$4:$AJ$4,0)))+SUMPRODUCT((Inputs!$E$5:$E$110=$B43)*Inputs!$F$5:$F$110*(((Inputs!$G$5:$G$110="moeda")+(Inputs!$G$5:$G$110="acoes"))*Inputs!$B$1+((Inputs!$G$5:$G$110&lt;&gt;"moeda")*(Inputs!$G$5:$G$110&lt;&gt;"acoes")))*INDEX(Inputs!$K$5:$AJ$110,0,MATCH(G$2,Inputs!$K$4:$AJ$4,0)))))</f>
        <v>365</v>
      </c>
      <c r="H43" s="3">
        <f>G43</f>
        <v>365</v>
      </c>
      <c r="I43" s="6">
        <f>IF(ISNA(MATCH(I$2,Inputs!$K$4:$AJ$4,0)),NA(),IF(SUMPRODUCT((Inputs!$A$5:$A$110=$B43)*ISNUMBER(INDEX(Inputs!$K$5:$AJ$110,0,MATCH(I$2,Inputs!$K$4:$AJ$4,0))))+SUMPRODUCT((Inputs!$C$5:$C$110=$B43)*ISNUMBER(INDEX(Inputs!$K$5:$AJ$110,0,MATCH(I$2,Inputs!$K$4:$AJ$4,0))))+SUMPRODUCT((Inputs!$E$5:$E$110=$B43)*ISNUMBER(INDEX(Inputs!$K$5:$AJ$110,0,MATCH(I$2,Inputs!$K$4:$AJ$4,0))))=0,NA(),SUMPRODUCT((Inputs!$A$5:$A$110=$B43)*Inputs!$B$5:$B$110*(((Inputs!$G$5:$G$110="moeda")+(Inputs!$G$5:$G$110="acoes"))*Inputs!$B$1+((Inputs!$G$5:$G$110&lt;&gt;"moeda")*(Inputs!$G$5:$G$110&lt;&gt;"acoes")))*INDEX(Inputs!$K$5:$AJ$110,0,MATCH(I$2,Inputs!$K$4:$AJ$4,0)))+SUMPRODUCT((Inputs!$C$5:$C$110=$B43)*Inputs!$D$5:$D$110*(((Inputs!$G$5:$G$110="moeda")+(Inputs!$G$5:$G$110="acoes"))*Inputs!$B$1+((Inputs!$G$5:$G$110&lt;&gt;"moeda")*(Inputs!$G$5:$G$110&lt;&gt;"acoes")))*INDEX(Inputs!$K$5:$AJ$110,0,MATCH(I$2,Inputs!$K$4:$AJ$4,0)))+SUMPRODUCT((Inputs!$E$5:$E$110=$B43)*Inputs!$F$5:$F$110*(((Inputs!$G$5:$G$110="moeda")+(Inputs!$G$5:$G$110="acoes"))*Inputs!$B$1+((Inputs!$G$5:$G$110&lt;&gt;"moeda")*(Inputs!$G$5:$G$110&lt;&gt;"acoes")))*INDEX(Inputs!$K$5:$AJ$110,0,MATCH(I$2,Inputs!$K$4:$AJ$4,0)))))</f>
        <v>265</v>
      </c>
      <c r="J43" s="6">
        <f>IF(ISNA(MATCH(J$2,Inputs!$K$4:$AJ$4,0)),NA(),IF(SUMPRODUCT((Inputs!$A$5:$A$110=$B43)*ISNUMBER(INDEX(Inputs!$K$5:$AJ$110,0,MATCH(J$2,Inputs!$K$4:$AJ$4,0))))+SUMPRODUCT((Inputs!$C$5:$C$110=$B43)*ISNUMBER(INDEX(Inputs!$K$5:$AJ$110,0,MATCH(J$2,Inputs!$K$4:$AJ$4,0))))+SUMPRODUCT((Inputs!$E$5:$E$110=$B43)*ISNUMBER(INDEX(Inputs!$K$5:$AJ$110,0,MATCH(J$2,Inputs!$K$4:$AJ$4,0))))=0,NA(),SUMPRODUCT((Inputs!$A$5:$A$110=$B43)*Inputs!$B$5:$B$110*(((Inputs!$G$5:$G$110="moeda")+(Inputs!$G$5:$G$110="acoes"))*Inputs!$B$1+((Inputs!$G$5:$G$110&lt;&gt;"moeda")*(Inputs!$G$5:$G$110&lt;&gt;"acoes")))*INDEX(Inputs!$K$5:$AJ$110,0,MATCH(J$2,Inputs!$K$4:$AJ$4,0)))+SUMPRODUCT((Inputs!$C$5:$C$110=$B43)*Inputs!$D$5:$D$110*(((Inputs!$G$5:$G$110="moeda")+(Inputs!$G$5:$G$110="acoes"))*Inputs!$B$1+((Inputs!$G$5:$G$110&lt;&gt;"moeda")*(Inputs!$G$5:$G$110&lt;&gt;"acoes")))*INDEX(Inputs!$K$5:$AJ$110,0,MATCH(J$2,Inputs!$K$4:$AJ$4,0)))+SUMPRODUCT((Inputs!$E$5:$E$110=$B43)*Inputs!$F$5:$F$110*(((Inputs!$G$5:$G$110="moeda")+(Inputs!$G$5:$G$110="acoes"))*Inputs!$B$1+((Inputs!$G$5:$G$110&lt;&gt;"moeda")*(Inputs!$G$5:$G$110&lt;&gt;"acoes")))*INDEX(Inputs!$K$5:$AJ$110,0,MATCH(J$2,Inputs!$K$4:$AJ$4,0)))))</f>
        <v>264</v>
      </c>
      <c r="K43" s="6">
        <f>IF(ISNA(MATCH(K$2,Inputs!$K$4:$AJ$4,0)),NA(),IF(SUMPRODUCT((Inputs!$A$5:$A$110=$B43)*ISNUMBER(INDEX(Inputs!$K$5:$AJ$110,0,MATCH(K$2,Inputs!$K$4:$AJ$4,0))))+SUMPRODUCT((Inputs!$C$5:$C$110=$B43)*ISNUMBER(INDEX(Inputs!$K$5:$AJ$110,0,MATCH(K$2,Inputs!$K$4:$AJ$4,0))))+SUMPRODUCT((Inputs!$E$5:$E$110=$B43)*ISNUMBER(INDEX(Inputs!$K$5:$AJ$110,0,MATCH(K$2,Inputs!$K$4:$AJ$4,0))))=0,NA(),SUMPRODUCT((Inputs!$A$5:$A$110=$B43)*Inputs!$B$5:$B$110*(((Inputs!$G$5:$G$110="moeda")+(Inputs!$G$5:$G$110="acoes"))*Inputs!$B$1+((Inputs!$G$5:$G$110&lt;&gt;"moeda")*(Inputs!$G$5:$G$110&lt;&gt;"acoes")))*INDEX(Inputs!$K$5:$AJ$110,0,MATCH(K$2,Inputs!$K$4:$AJ$4,0)))+SUMPRODUCT((Inputs!$C$5:$C$110=$B43)*Inputs!$D$5:$D$110*(((Inputs!$G$5:$G$110="moeda")+(Inputs!$G$5:$G$110="acoes"))*Inputs!$B$1+((Inputs!$G$5:$G$110&lt;&gt;"moeda")*(Inputs!$G$5:$G$110&lt;&gt;"acoes")))*INDEX(Inputs!$K$5:$AJ$110,0,MATCH(K$2,Inputs!$K$4:$AJ$4,0)))+SUMPRODUCT((Inputs!$E$5:$E$110=$B43)*Inputs!$F$5:$F$110*(((Inputs!$G$5:$G$110="moeda")+(Inputs!$G$5:$G$110="acoes"))*Inputs!$B$1+((Inputs!$G$5:$G$110&lt;&gt;"moeda")*(Inputs!$G$5:$G$110&lt;&gt;"acoes")))*INDEX(Inputs!$K$5:$AJ$110,0,MATCH(K$2,Inputs!$K$4:$AJ$4,0)))))</f>
        <v>261</v>
      </c>
      <c r="L43" s="6">
        <f>IF(ISNA(MATCH(L$2,Inputs!$K$4:$AJ$4,0)),NA(),IF(SUMPRODUCT((Inputs!$A$5:$A$110=$B43)*ISNUMBER(INDEX(Inputs!$K$5:$AJ$110,0,MATCH(L$2,Inputs!$K$4:$AJ$4,0))))+SUMPRODUCT((Inputs!$C$5:$C$110=$B43)*ISNUMBER(INDEX(Inputs!$K$5:$AJ$110,0,MATCH(L$2,Inputs!$K$4:$AJ$4,0))))+SUMPRODUCT((Inputs!$E$5:$E$110=$B43)*ISNUMBER(INDEX(Inputs!$K$5:$AJ$110,0,MATCH(L$2,Inputs!$K$4:$AJ$4,0))))=0,NA(),SUMPRODUCT((Inputs!$A$5:$A$110=$B43)*Inputs!$B$5:$B$110*(((Inputs!$G$5:$G$110="moeda")+(Inputs!$G$5:$G$110="acoes"))*Inputs!$B$1+((Inputs!$G$5:$G$110&lt;&gt;"moeda")*(Inputs!$G$5:$G$110&lt;&gt;"acoes")))*INDEX(Inputs!$K$5:$AJ$110,0,MATCH(L$2,Inputs!$K$4:$AJ$4,0)))+SUMPRODUCT((Inputs!$C$5:$C$110=$B43)*Inputs!$D$5:$D$110*(((Inputs!$G$5:$G$110="moeda")+(Inputs!$G$5:$G$110="acoes"))*Inputs!$B$1+((Inputs!$G$5:$G$110&lt;&gt;"moeda")*(Inputs!$G$5:$G$110&lt;&gt;"acoes")))*INDEX(Inputs!$K$5:$AJ$110,0,MATCH(L$2,Inputs!$K$4:$AJ$4,0)))+SUMPRODUCT((Inputs!$E$5:$E$110=$B43)*Inputs!$F$5:$F$110*(((Inputs!$G$5:$G$110="moeda")+(Inputs!$G$5:$G$110="acoes"))*Inputs!$B$1+((Inputs!$G$5:$G$110&lt;&gt;"moeda")*(Inputs!$G$5:$G$110&lt;&gt;"acoes")))*INDEX(Inputs!$K$5:$AJ$110,0,MATCH(L$2,Inputs!$K$4:$AJ$4,0)))))</f>
        <v>346</v>
      </c>
      <c r="M43" s="3">
        <f>L43</f>
        <v>346</v>
      </c>
      <c r="N43" s="6">
        <f>IF(ISNA(MATCH(N$2,Inputs!$K$4:$AJ$4,0)),NA(),IF(SUMPRODUCT((Inputs!$A$5:$A$110=$B43)*ISNUMBER(INDEX(Inputs!$K$5:$AJ$110,0,MATCH(N$2,Inputs!$K$4:$AJ$4,0))))+SUMPRODUCT((Inputs!$C$5:$C$110=$B43)*ISNUMBER(INDEX(Inputs!$K$5:$AJ$110,0,MATCH(N$2,Inputs!$K$4:$AJ$4,0))))+SUMPRODUCT((Inputs!$E$5:$E$110=$B43)*ISNUMBER(INDEX(Inputs!$K$5:$AJ$110,0,MATCH(N$2,Inputs!$K$4:$AJ$4,0))))=0,NA(),SUMPRODUCT((Inputs!$A$5:$A$110=$B43)*Inputs!$B$5:$B$110*(((Inputs!$G$5:$G$110="moeda")+(Inputs!$G$5:$G$110="acoes"))*Inputs!$B$1+((Inputs!$G$5:$G$110&lt;&gt;"moeda")*(Inputs!$G$5:$G$110&lt;&gt;"acoes")))*INDEX(Inputs!$K$5:$AJ$110,0,MATCH(N$2,Inputs!$K$4:$AJ$4,0)))+SUMPRODUCT((Inputs!$C$5:$C$110=$B43)*Inputs!$D$5:$D$110*(((Inputs!$G$5:$G$110="moeda")+(Inputs!$G$5:$G$110="acoes"))*Inputs!$B$1+((Inputs!$G$5:$G$110&lt;&gt;"moeda")*(Inputs!$G$5:$G$110&lt;&gt;"acoes")))*INDEX(Inputs!$K$5:$AJ$110,0,MATCH(N$2,Inputs!$K$4:$AJ$4,0)))+SUMPRODUCT((Inputs!$E$5:$E$110=$B43)*Inputs!$F$5:$F$110*(((Inputs!$G$5:$G$110="moeda")+(Inputs!$G$5:$G$110="acoes"))*Inputs!$B$1+((Inputs!$G$5:$G$110&lt;&gt;"moeda")*(Inputs!$G$5:$G$110&lt;&gt;"acoes")))*INDEX(Inputs!$K$5:$AJ$110,0,MATCH(N$2,Inputs!$K$4:$AJ$4,0)))))</f>
        <v>254</v>
      </c>
      <c r="O43" s="6">
        <f>IF(ISNA(MATCH(O$2,Inputs!$K$4:$AJ$4,0)),NA(),IF(SUMPRODUCT((Inputs!$A$5:$A$110=$B43)*ISNUMBER(INDEX(Inputs!$K$5:$AJ$110,0,MATCH(O$2,Inputs!$K$4:$AJ$4,0))))+SUMPRODUCT((Inputs!$C$5:$C$110=$B43)*ISNUMBER(INDEX(Inputs!$K$5:$AJ$110,0,MATCH(O$2,Inputs!$K$4:$AJ$4,0))))+SUMPRODUCT((Inputs!$E$5:$E$110=$B43)*ISNUMBER(INDEX(Inputs!$K$5:$AJ$110,0,MATCH(O$2,Inputs!$K$4:$AJ$4,0))))=0,NA(),SUMPRODUCT((Inputs!$A$5:$A$110=$B43)*Inputs!$B$5:$B$110*(((Inputs!$G$5:$G$110="moeda")+(Inputs!$G$5:$G$110="acoes"))*Inputs!$B$1+((Inputs!$G$5:$G$110&lt;&gt;"moeda")*(Inputs!$G$5:$G$110&lt;&gt;"acoes")))*INDEX(Inputs!$K$5:$AJ$110,0,MATCH(O$2,Inputs!$K$4:$AJ$4,0)))+SUMPRODUCT((Inputs!$C$5:$C$110=$B43)*Inputs!$D$5:$D$110*(((Inputs!$G$5:$G$110="moeda")+(Inputs!$G$5:$G$110="acoes"))*Inputs!$B$1+((Inputs!$G$5:$G$110&lt;&gt;"moeda")*(Inputs!$G$5:$G$110&lt;&gt;"acoes")))*INDEX(Inputs!$K$5:$AJ$110,0,MATCH(O$2,Inputs!$K$4:$AJ$4,0)))+SUMPRODUCT((Inputs!$E$5:$E$110=$B43)*Inputs!$F$5:$F$110*(((Inputs!$G$5:$G$110="moeda")+(Inputs!$G$5:$G$110="acoes"))*Inputs!$B$1+((Inputs!$G$5:$G$110&lt;&gt;"moeda")*(Inputs!$G$5:$G$110&lt;&gt;"acoes")))*INDEX(Inputs!$K$5:$AJ$110,0,MATCH(O$2,Inputs!$K$4:$AJ$4,0)))))</f>
        <v>251</v>
      </c>
      <c r="P43" s="6">
        <f>IF(ISNA(MATCH(P$2,Inputs!$K$4:$AJ$4,0)),NA(),IF(SUMPRODUCT((Inputs!$A$5:$A$110=$B43)*ISNUMBER(INDEX(Inputs!$K$5:$AJ$110,0,MATCH(P$2,Inputs!$K$4:$AJ$4,0))))+SUMPRODUCT((Inputs!$C$5:$C$110=$B43)*ISNUMBER(INDEX(Inputs!$K$5:$AJ$110,0,MATCH(P$2,Inputs!$K$4:$AJ$4,0))))+SUMPRODUCT((Inputs!$E$5:$E$110=$B43)*ISNUMBER(INDEX(Inputs!$K$5:$AJ$110,0,MATCH(P$2,Inputs!$K$4:$AJ$4,0))))=0,NA(),SUMPRODUCT((Inputs!$A$5:$A$110=$B43)*Inputs!$B$5:$B$110*(((Inputs!$G$5:$G$110="moeda")+(Inputs!$G$5:$G$110="acoes"))*Inputs!$B$1+((Inputs!$G$5:$G$110&lt;&gt;"moeda")*(Inputs!$G$5:$G$110&lt;&gt;"acoes")))*INDEX(Inputs!$K$5:$AJ$110,0,MATCH(P$2,Inputs!$K$4:$AJ$4,0)))+SUMPRODUCT((Inputs!$C$5:$C$110=$B43)*Inputs!$D$5:$D$110*(((Inputs!$G$5:$G$110="moeda")+(Inputs!$G$5:$G$110="acoes"))*Inputs!$B$1+((Inputs!$G$5:$G$110&lt;&gt;"moeda")*(Inputs!$G$5:$G$110&lt;&gt;"acoes")))*INDEX(Inputs!$K$5:$AJ$110,0,MATCH(P$2,Inputs!$K$4:$AJ$4,0)))+SUMPRODUCT((Inputs!$E$5:$E$110=$B43)*Inputs!$F$5:$F$110*(((Inputs!$G$5:$G$110="moeda")+(Inputs!$G$5:$G$110="acoes"))*Inputs!$B$1+((Inputs!$G$5:$G$110&lt;&gt;"moeda")*(Inputs!$G$5:$G$110&lt;&gt;"acoes")))*INDEX(Inputs!$K$5:$AJ$110,0,MATCH(P$2,Inputs!$K$4:$AJ$4,0)))))</f>
        <v>354</v>
      </c>
      <c r="Q43" s="6">
        <f>IF(ISNA(MATCH(Q$2,Inputs!$K$4:$AJ$4,0)),NA(),IF(SUMPRODUCT((Inputs!$A$5:$A$110=$B43)*ISNUMBER(INDEX(Inputs!$K$5:$AJ$110,0,MATCH(Q$2,Inputs!$K$4:$AJ$4,0))))+SUMPRODUCT((Inputs!$C$5:$C$110=$B43)*ISNUMBER(INDEX(Inputs!$K$5:$AJ$110,0,MATCH(Q$2,Inputs!$K$4:$AJ$4,0))))+SUMPRODUCT((Inputs!$E$5:$E$110=$B43)*ISNUMBER(INDEX(Inputs!$K$5:$AJ$110,0,MATCH(Q$2,Inputs!$K$4:$AJ$4,0))))=0,NA(),SUMPRODUCT((Inputs!$A$5:$A$110=$B43)*Inputs!$B$5:$B$110*(((Inputs!$G$5:$G$110="moeda")+(Inputs!$G$5:$G$110="acoes"))*Inputs!$B$1+((Inputs!$G$5:$G$110&lt;&gt;"moeda")*(Inputs!$G$5:$G$110&lt;&gt;"acoes")))*INDEX(Inputs!$K$5:$AJ$110,0,MATCH(Q$2,Inputs!$K$4:$AJ$4,0)))+SUMPRODUCT((Inputs!$C$5:$C$110=$B43)*Inputs!$D$5:$D$110*(((Inputs!$G$5:$G$110="moeda")+(Inputs!$G$5:$G$110="acoes"))*Inputs!$B$1+((Inputs!$G$5:$G$110&lt;&gt;"moeda")*(Inputs!$G$5:$G$110&lt;&gt;"acoes")))*INDEX(Inputs!$K$5:$AJ$110,0,MATCH(Q$2,Inputs!$K$4:$AJ$4,0)))+SUMPRODUCT((Inputs!$E$5:$E$110=$B43)*Inputs!$F$5:$F$110*(((Inputs!$G$5:$G$110="moeda")+(Inputs!$G$5:$G$110="acoes"))*Inputs!$B$1+((Inputs!$G$5:$G$110&lt;&gt;"moeda")*(Inputs!$G$5:$G$110&lt;&gt;"acoes")))*INDEX(Inputs!$K$5:$AJ$110,0,MATCH(Q$2,Inputs!$K$4:$AJ$4,0)))))</f>
        <v>240</v>
      </c>
      <c r="R43" s="3">
        <f>Q43</f>
        <v>240</v>
      </c>
      <c r="S43" s="6">
        <f>IF(ISNA(MATCH(S$2,Inputs!$K$4:$AJ$4,0)),NA(),IF(SUMPRODUCT((Inputs!$A$5:$A$110=$B43)*ISNUMBER(INDEX(Inputs!$K$5:$AJ$110,0,MATCH(S$2,Inputs!$K$4:$AJ$4,0))))+SUMPRODUCT((Inputs!$C$5:$C$110=$B43)*ISNUMBER(INDEX(Inputs!$K$5:$AJ$110,0,MATCH(S$2,Inputs!$K$4:$AJ$4,0))))+SUMPRODUCT((Inputs!$E$5:$E$110=$B43)*ISNUMBER(INDEX(Inputs!$K$5:$AJ$110,0,MATCH(S$2,Inputs!$K$4:$AJ$4,0))))=0,NA(),SUMPRODUCT((Inputs!$A$5:$A$110=$B43)*Inputs!$B$5:$B$110*(((Inputs!$G$5:$G$110="moeda")+(Inputs!$G$5:$G$110="acoes"))*Inputs!$B$1+((Inputs!$G$5:$G$110&lt;&gt;"moeda")*(Inputs!$G$5:$G$110&lt;&gt;"acoes")))*INDEX(Inputs!$K$5:$AJ$110,0,MATCH(S$2,Inputs!$K$4:$AJ$4,0)))+SUMPRODUCT((Inputs!$C$5:$C$110=$B43)*Inputs!$D$5:$D$110*(((Inputs!$G$5:$G$110="moeda")+(Inputs!$G$5:$G$110="acoes"))*Inputs!$B$1+((Inputs!$G$5:$G$110&lt;&gt;"moeda")*(Inputs!$G$5:$G$110&lt;&gt;"acoes")))*INDEX(Inputs!$K$5:$AJ$110,0,MATCH(S$2,Inputs!$K$4:$AJ$4,0)))+SUMPRODUCT((Inputs!$E$5:$E$110=$B43)*Inputs!$F$5:$F$110*(((Inputs!$G$5:$G$110="moeda")+(Inputs!$G$5:$G$110="acoes"))*Inputs!$B$1+((Inputs!$G$5:$G$110&lt;&gt;"moeda")*(Inputs!$G$5:$G$110&lt;&gt;"acoes")))*INDEX(Inputs!$K$5:$AJ$110,0,MATCH(S$2,Inputs!$K$4:$AJ$4,0)))))</f>
        <v>239</v>
      </c>
      <c r="T43" s="6">
        <f>IF(ISNA(MATCH(T$2,Inputs!$K$4:$AJ$4,0)),NA(),IF(SUMPRODUCT((Inputs!$A$5:$A$110=$B43)*ISNUMBER(INDEX(Inputs!$K$5:$AJ$110,0,MATCH(T$2,Inputs!$K$4:$AJ$4,0))))+SUMPRODUCT((Inputs!$C$5:$C$110=$B43)*ISNUMBER(INDEX(Inputs!$K$5:$AJ$110,0,MATCH(T$2,Inputs!$K$4:$AJ$4,0))))+SUMPRODUCT((Inputs!$E$5:$E$110=$B43)*ISNUMBER(INDEX(Inputs!$K$5:$AJ$110,0,MATCH(T$2,Inputs!$K$4:$AJ$4,0))))=0,NA(),SUMPRODUCT((Inputs!$A$5:$A$110=$B43)*Inputs!$B$5:$B$110*(((Inputs!$G$5:$G$110="moeda")+(Inputs!$G$5:$G$110="acoes"))*Inputs!$B$1+((Inputs!$G$5:$G$110&lt;&gt;"moeda")*(Inputs!$G$5:$G$110&lt;&gt;"acoes")))*INDEX(Inputs!$K$5:$AJ$110,0,MATCH(T$2,Inputs!$K$4:$AJ$4,0)))+SUMPRODUCT((Inputs!$C$5:$C$110=$B43)*Inputs!$D$5:$D$110*(((Inputs!$G$5:$G$110="moeda")+(Inputs!$G$5:$G$110="acoes"))*Inputs!$B$1+((Inputs!$G$5:$G$110&lt;&gt;"moeda")*(Inputs!$G$5:$G$110&lt;&gt;"acoes")))*INDEX(Inputs!$K$5:$AJ$110,0,MATCH(T$2,Inputs!$K$4:$AJ$4,0)))+SUMPRODUCT((Inputs!$E$5:$E$110=$B43)*Inputs!$F$5:$F$110*(((Inputs!$G$5:$G$110="moeda")+(Inputs!$G$5:$G$110="acoes"))*Inputs!$B$1+((Inputs!$G$5:$G$110&lt;&gt;"moeda")*(Inputs!$G$5:$G$110&lt;&gt;"acoes")))*INDEX(Inputs!$K$5:$AJ$110,0,MATCH(T$2,Inputs!$K$4:$AJ$4,0)))))</f>
        <v>237</v>
      </c>
      <c r="U43" s="6">
        <f>IF(ISNA(MATCH(U$2,Inputs!$K$4:$AJ$4,0)),NA(),IF(SUMPRODUCT((Inputs!$A$5:$A$110=$B43)*ISNUMBER(INDEX(Inputs!$K$5:$AJ$110,0,MATCH(U$2,Inputs!$K$4:$AJ$4,0))))+SUMPRODUCT((Inputs!$C$5:$C$110=$B43)*ISNUMBER(INDEX(Inputs!$K$5:$AJ$110,0,MATCH(U$2,Inputs!$K$4:$AJ$4,0))))+SUMPRODUCT((Inputs!$E$5:$E$110=$B43)*ISNUMBER(INDEX(Inputs!$K$5:$AJ$110,0,MATCH(U$2,Inputs!$K$4:$AJ$4,0))))=0,NA(),SUMPRODUCT((Inputs!$A$5:$A$110=$B43)*Inputs!$B$5:$B$110*(((Inputs!$G$5:$G$110="moeda")+(Inputs!$G$5:$G$110="acoes"))*Inputs!$B$1+((Inputs!$G$5:$G$110&lt;&gt;"moeda")*(Inputs!$G$5:$G$110&lt;&gt;"acoes")))*INDEX(Inputs!$K$5:$AJ$110,0,MATCH(U$2,Inputs!$K$4:$AJ$4,0)))+SUMPRODUCT((Inputs!$C$5:$C$110=$B43)*Inputs!$D$5:$D$110*(((Inputs!$G$5:$G$110="moeda")+(Inputs!$G$5:$G$110="acoes"))*Inputs!$B$1+((Inputs!$G$5:$G$110&lt;&gt;"moeda")*(Inputs!$G$5:$G$110&lt;&gt;"acoes")))*INDEX(Inputs!$K$5:$AJ$110,0,MATCH(U$2,Inputs!$K$4:$AJ$4,0)))+SUMPRODUCT((Inputs!$E$5:$E$110=$B43)*Inputs!$F$5:$F$110*(((Inputs!$G$5:$G$110="moeda")+(Inputs!$G$5:$G$110="acoes"))*Inputs!$B$1+((Inputs!$G$5:$G$110&lt;&gt;"moeda")*(Inputs!$G$5:$G$110&lt;&gt;"acoes")))*INDEX(Inputs!$K$5:$AJ$110,0,MATCH(U$2,Inputs!$K$4:$AJ$4,0)))))</f>
        <v>236</v>
      </c>
      <c r="V43" s="6">
        <f>IF(ISNA(MATCH(V$2,Inputs!$K$4:$AJ$4,0)),NA(),IF(SUMPRODUCT((Inputs!$A$5:$A$110=$B43)*ISNUMBER(INDEX(Inputs!$K$5:$AJ$110,0,MATCH(V$2,Inputs!$K$4:$AJ$4,0))))+SUMPRODUCT((Inputs!$C$5:$C$110=$B43)*ISNUMBER(INDEX(Inputs!$K$5:$AJ$110,0,MATCH(V$2,Inputs!$K$4:$AJ$4,0))))+SUMPRODUCT((Inputs!$E$5:$E$110=$B43)*ISNUMBER(INDEX(Inputs!$K$5:$AJ$110,0,MATCH(V$2,Inputs!$K$4:$AJ$4,0))))=0,NA(),SUMPRODUCT((Inputs!$A$5:$A$110=$B43)*Inputs!$B$5:$B$110*(((Inputs!$G$5:$G$110="moeda")+(Inputs!$G$5:$G$110="acoes"))*Inputs!$B$1+((Inputs!$G$5:$G$110&lt;&gt;"moeda")*(Inputs!$G$5:$G$110&lt;&gt;"acoes")))*INDEX(Inputs!$K$5:$AJ$110,0,MATCH(V$2,Inputs!$K$4:$AJ$4,0)))+SUMPRODUCT((Inputs!$C$5:$C$110=$B43)*Inputs!$D$5:$D$110*(((Inputs!$G$5:$G$110="moeda")+(Inputs!$G$5:$G$110="acoes"))*Inputs!$B$1+((Inputs!$G$5:$G$110&lt;&gt;"moeda")*(Inputs!$G$5:$G$110&lt;&gt;"acoes")))*INDEX(Inputs!$K$5:$AJ$110,0,MATCH(V$2,Inputs!$K$4:$AJ$4,0)))+SUMPRODUCT((Inputs!$E$5:$E$110=$B43)*Inputs!$F$5:$F$110*(((Inputs!$G$5:$G$110="moeda")+(Inputs!$G$5:$G$110="acoes"))*Inputs!$B$1+((Inputs!$G$5:$G$110&lt;&gt;"moeda")*(Inputs!$G$5:$G$110&lt;&gt;"acoes")))*INDEX(Inputs!$K$5:$AJ$110,0,MATCH(V$2,Inputs!$K$4:$AJ$4,0)))))</f>
        <v>234</v>
      </c>
      <c r="W43" s="3">
        <f>V43</f>
        <v>234</v>
      </c>
      <c r="X43" s="6">
        <f>IF(ISNA(MATCH(X$2,Inputs!$K$4:$AJ$4,0)),NA(),IF(SUMPRODUCT((Inputs!$A$5:$A$110=$B43)*ISNUMBER(INDEX(Inputs!$K$5:$AJ$110,0,MATCH(X$2,Inputs!$K$4:$AJ$4,0))))+SUMPRODUCT((Inputs!$C$5:$C$110=$B43)*ISNUMBER(INDEX(Inputs!$K$5:$AJ$110,0,MATCH(X$2,Inputs!$K$4:$AJ$4,0))))+SUMPRODUCT((Inputs!$E$5:$E$110=$B43)*ISNUMBER(INDEX(Inputs!$K$5:$AJ$110,0,MATCH(X$2,Inputs!$K$4:$AJ$4,0))))=0,NA(),SUMPRODUCT((Inputs!$A$5:$A$110=$B43)*Inputs!$B$5:$B$110*(((Inputs!$G$5:$G$110="moeda")+(Inputs!$G$5:$G$110="acoes"))*Inputs!$B$1+((Inputs!$G$5:$G$110&lt;&gt;"moeda")*(Inputs!$G$5:$G$110&lt;&gt;"acoes")))*INDEX(Inputs!$K$5:$AJ$110,0,MATCH(X$2,Inputs!$K$4:$AJ$4,0)))+SUMPRODUCT((Inputs!$C$5:$C$110=$B43)*Inputs!$D$5:$D$110*(((Inputs!$G$5:$G$110="moeda")+(Inputs!$G$5:$G$110="acoes"))*Inputs!$B$1+((Inputs!$G$5:$G$110&lt;&gt;"moeda")*(Inputs!$G$5:$G$110&lt;&gt;"acoes")))*INDEX(Inputs!$K$5:$AJ$110,0,MATCH(X$2,Inputs!$K$4:$AJ$4,0)))+SUMPRODUCT((Inputs!$E$5:$E$110=$B43)*Inputs!$F$5:$F$110*(((Inputs!$G$5:$G$110="moeda")+(Inputs!$G$5:$G$110="acoes"))*Inputs!$B$1+((Inputs!$G$5:$G$110&lt;&gt;"moeda")*(Inputs!$G$5:$G$110&lt;&gt;"acoes")))*INDEX(Inputs!$K$5:$AJ$110,0,MATCH(X$2,Inputs!$K$4:$AJ$4,0)))))</f>
        <v>233</v>
      </c>
      <c r="Y43" s="6">
        <f>IF(ISNA(MATCH(Y$2,Inputs!$K$4:$AJ$4,0)),NA(),IF(SUMPRODUCT((Inputs!$A$5:$A$110=$B43)*ISNUMBER(INDEX(Inputs!$K$5:$AJ$110,0,MATCH(Y$2,Inputs!$K$4:$AJ$4,0))))+SUMPRODUCT((Inputs!$C$5:$C$110=$B43)*ISNUMBER(INDEX(Inputs!$K$5:$AJ$110,0,MATCH(Y$2,Inputs!$K$4:$AJ$4,0))))+SUMPRODUCT((Inputs!$E$5:$E$110=$B43)*ISNUMBER(INDEX(Inputs!$K$5:$AJ$110,0,MATCH(Y$2,Inputs!$K$4:$AJ$4,0))))=0,NA(),SUMPRODUCT((Inputs!$A$5:$A$110=$B43)*Inputs!$B$5:$B$110*(((Inputs!$G$5:$G$110="moeda")+(Inputs!$G$5:$G$110="acoes"))*Inputs!$B$1+((Inputs!$G$5:$G$110&lt;&gt;"moeda")*(Inputs!$G$5:$G$110&lt;&gt;"acoes")))*INDEX(Inputs!$K$5:$AJ$110,0,MATCH(Y$2,Inputs!$K$4:$AJ$4,0)))+SUMPRODUCT((Inputs!$C$5:$C$110=$B43)*Inputs!$D$5:$D$110*(((Inputs!$G$5:$G$110="moeda")+(Inputs!$G$5:$G$110="acoes"))*Inputs!$B$1+((Inputs!$G$5:$G$110&lt;&gt;"moeda")*(Inputs!$G$5:$G$110&lt;&gt;"acoes")))*INDEX(Inputs!$K$5:$AJ$110,0,MATCH(Y$2,Inputs!$K$4:$AJ$4,0)))+SUMPRODUCT((Inputs!$E$5:$E$110=$B43)*Inputs!$F$5:$F$110*(((Inputs!$G$5:$G$110="moeda")+(Inputs!$G$5:$G$110="acoes"))*Inputs!$B$1+((Inputs!$G$5:$G$110&lt;&gt;"moeda")*(Inputs!$G$5:$G$110&lt;&gt;"acoes")))*INDEX(Inputs!$K$5:$AJ$110,0,MATCH(Y$2,Inputs!$K$4:$AJ$4,0)))))</f>
        <v>232</v>
      </c>
      <c r="Z43" s="6">
        <f>IF(ISNA(MATCH(Z$2,Inputs!$K$4:$AJ$4,0)),NA(),IF(SUMPRODUCT((Inputs!$A$5:$A$110=$B43)*ISNUMBER(INDEX(Inputs!$K$5:$AJ$110,0,MATCH(Z$2,Inputs!$K$4:$AJ$4,0))))+SUMPRODUCT((Inputs!$C$5:$C$110=$B43)*ISNUMBER(INDEX(Inputs!$K$5:$AJ$110,0,MATCH(Z$2,Inputs!$K$4:$AJ$4,0))))+SUMPRODUCT((Inputs!$E$5:$E$110=$B43)*ISNUMBER(INDEX(Inputs!$K$5:$AJ$110,0,MATCH(Z$2,Inputs!$K$4:$AJ$4,0))))=0,NA(),SUMPRODUCT((Inputs!$A$5:$A$110=$B43)*Inputs!$B$5:$B$110*(((Inputs!$G$5:$G$110="moeda")+(Inputs!$G$5:$G$110="acoes"))*Inputs!$B$1+((Inputs!$G$5:$G$110&lt;&gt;"moeda")*(Inputs!$G$5:$G$110&lt;&gt;"acoes")))*INDEX(Inputs!$K$5:$AJ$110,0,MATCH(Z$2,Inputs!$K$4:$AJ$4,0)))+SUMPRODUCT((Inputs!$C$5:$C$110=$B43)*Inputs!$D$5:$D$110*(((Inputs!$G$5:$G$110="moeda")+(Inputs!$G$5:$G$110="acoes"))*Inputs!$B$1+((Inputs!$G$5:$G$110&lt;&gt;"moeda")*(Inputs!$G$5:$G$110&lt;&gt;"acoes")))*INDEX(Inputs!$K$5:$AJ$110,0,MATCH(Z$2,Inputs!$K$4:$AJ$4,0)))+SUMPRODUCT((Inputs!$E$5:$E$110=$B43)*Inputs!$F$5:$F$110*(((Inputs!$G$5:$G$110="moeda")+(Inputs!$G$5:$G$110="acoes"))*Inputs!$B$1+((Inputs!$G$5:$G$110&lt;&gt;"moeda")*(Inputs!$G$5:$G$110&lt;&gt;"acoes")))*INDEX(Inputs!$K$5:$AJ$110,0,MATCH(Z$2,Inputs!$K$4:$AJ$4,0)))))</f>
        <v>230</v>
      </c>
      <c r="AA43" s="6">
        <f>IF(ISNA(MATCH(AA$2,Inputs!$K$4:$AJ$4,0)),NA(),IF(SUMPRODUCT((Inputs!$A$5:$A$110=$B43)*ISNUMBER(INDEX(Inputs!$K$5:$AJ$110,0,MATCH(AA$2,Inputs!$K$4:$AJ$4,0))))+SUMPRODUCT((Inputs!$C$5:$C$110=$B43)*ISNUMBER(INDEX(Inputs!$K$5:$AJ$110,0,MATCH(AA$2,Inputs!$K$4:$AJ$4,0))))+SUMPRODUCT((Inputs!$E$5:$E$110=$B43)*ISNUMBER(INDEX(Inputs!$K$5:$AJ$110,0,MATCH(AA$2,Inputs!$K$4:$AJ$4,0))))=0,NA(),SUMPRODUCT((Inputs!$A$5:$A$110=$B43)*Inputs!$B$5:$B$110*(((Inputs!$G$5:$G$110="moeda")+(Inputs!$G$5:$G$110="acoes"))*Inputs!$B$1+((Inputs!$G$5:$G$110&lt;&gt;"moeda")*(Inputs!$G$5:$G$110&lt;&gt;"acoes")))*INDEX(Inputs!$K$5:$AJ$110,0,MATCH(AA$2,Inputs!$K$4:$AJ$4,0)))+SUMPRODUCT((Inputs!$C$5:$C$110=$B43)*Inputs!$D$5:$D$110*(((Inputs!$G$5:$G$110="moeda")+(Inputs!$G$5:$G$110="acoes"))*Inputs!$B$1+((Inputs!$G$5:$G$110&lt;&gt;"moeda")*(Inputs!$G$5:$G$110&lt;&gt;"acoes")))*INDEX(Inputs!$K$5:$AJ$110,0,MATCH(AA$2,Inputs!$K$4:$AJ$4,0)))+SUMPRODUCT((Inputs!$E$5:$E$110=$B43)*Inputs!$F$5:$F$110*(((Inputs!$G$5:$G$110="moeda")+(Inputs!$G$5:$G$110="acoes"))*Inputs!$B$1+((Inputs!$G$5:$G$110&lt;&gt;"moeda")*(Inputs!$G$5:$G$110&lt;&gt;"acoes")))*INDEX(Inputs!$K$5:$AJ$110,0,MATCH(AA$2,Inputs!$K$4:$AJ$4,0)))))</f>
        <v>229</v>
      </c>
      <c r="AB43" s="3">
        <f>AA43</f>
        <v>229</v>
      </c>
      <c r="AC43" s="6">
        <f>IF(ISNA(MATCH(AC$2,Inputs!$K$4:$AJ$4,0)),NA(),IF(SUMPRODUCT((Inputs!$A$5:$A$110=$B43)*ISNUMBER(INDEX(Inputs!$K$5:$AJ$110,0,MATCH(AC$2,Inputs!$K$4:$AJ$4,0))))+SUMPRODUCT((Inputs!$C$5:$C$110=$B43)*ISNUMBER(INDEX(Inputs!$K$5:$AJ$110,0,MATCH(AC$2,Inputs!$K$4:$AJ$4,0))))+SUMPRODUCT((Inputs!$E$5:$E$110=$B43)*ISNUMBER(INDEX(Inputs!$K$5:$AJ$110,0,MATCH(AC$2,Inputs!$K$4:$AJ$4,0))))=0,NA(),SUMPRODUCT((Inputs!$A$5:$A$110=$B43)*Inputs!$B$5:$B$110*(((Inputs!$G$5:$G$110="moeda")+(Inputs!$G$5:$G$110="acoes"))*Inputs!$B$1+((Inputs!$G$5:$G$110&lt;&gt;"moeda")*(Inputs!$G$5:$G$110&lt;&gt;"acoes")))*INDEX(Inputs!$K$5:$AJ$110,0,MATCH(AC$2,Inputs!$K$4:$AJ$4,0)))+SUMPRODUCT((Inputs!$C$5:$C$110=$B43)*Inputs!$D$5:$D$110*(((Inputs!$G$5:$G$110="moeda")+(Inputs!$G$5:$G$110="acoes"))*Inputs!$B$1+((Inputs!$G$5:$G$110&lt;&gt;"moeda")*(Inputs!$G$5:$G$110&lt;&gt;"acoes")))*INDEX(Inputs!$K$5:$AJ$110,0,MATCH(AC$2,Inputs!$K$4:$AJ$4,0)))+SUMPRODUCT((Inputs!$E$5:$E$110=$B43)*Inputs!$F$5:$F$110*(((Inputs!$G$5:$G$110="moeda")+(Inputs!$G$5:$G$110="acoes"))*Inputs!$B$1+((Inputs!$G$5:$G$110&lt;&gt;"moeda")*(Inputs!$G$5:$G$110&lt;&gt;"acoes")))*INDEX(Inputs!$K$5:$AJ$110,0,MATCH(AC$2,Inputs!$K$4:$AJ$4,0)))))</f>
        <v>262</v>
      </c>
      <c r="AD43" s="6">
        <f>IF(ISNA(MATCH(AD$2,Inputs!$K$4:$AJ$4,0)),NA(),IF(SUMPRODUCT((Inputs!$A$5:$A$110=$B43)*ISNUMBER(INDEX(Inputs!$K$5:$AJ$110,0,MATCH(AD$2,Inputs!$K$4:$AJ$4,0))))+SUMPRODUCT((Inputs!$C$5:$C$110=$B43)*ISNUMBER(INDEX(Inputs!$K$5:$AJ$110,0,MATCH(AD$2,Inputs!$K$4:$AJ$4,0))))+SUMPRODUCT((Inputs!$E$5:$E$110=$B43)*ISNUMBER(INDEX(Inputs!$K$5:$AJ$110,0,MATCH(AD$2,Inputs!$K$4:$AJ$4,0))))=0,NA(),SUMPRODUCT((Inputs!$A$5:$A$110=$B43)*Inputs!$B$5:$B$110*(((Inputs!$G$5:$G$110="moeda")+(Inputs!$G$5:$G$110="acoes"))*Inputs!$B$1+((Inputs!$G$5:$G$110&lt;&gt;"moeda")*(Inputs!$G$5:$G$110&lt;&gt;"acoes")))*INDEX(Inputs!$K$5:$AJ$110,0,MATCH(AD$2,Inputs!$K$4:$AJ$4,0)))+SUMPRODUCT((Inputs!$C$5:$C$110=$B43)*Inputs!$D$5:$D$110*(((Inputs!$G$5:$G$110="moeda")+(Inputs!$G$5:$G$110="acoes"))*Inputs!$B$1+((Inputs!$G$5:$G$110&lt;&gt;"moeda")*(Inputs!$G$5:$G$110&lt;&gt;"acoes")))*INDEX(Inputs!$K$5:$AJ$110,0,MATCH(AD$2,Inputs!$K$4:$AJ$4,0)))+SUMPRODUCT((Inputs!$E$5:$E$110=$B43)*Inputs!$F$5:$F$110*(((Inputs!$G$5:$G$110="moeda")+(Inputs!$G$5:$G$110="acoes"))*Inputs!$B$1+((Inputs!$G$5:$G$110&lt;&gt;"moeda")*(Inputs!$G$5:$G$110&lt;&gt;"acoes")))*INDEX(Inputs!$K$5:$AJ$110,0,MATCH(AD$2,Inputs!$K$4:$AJ$4,0)))))</f>
        <v>477</v>
      </c>
      <c r="AE43" s="6" t="e">
        <f>IF(ISNA(MATCH(AE$2,Inputs!$K$4:$AJ$4,0)),NA(),IF(SUMPRODUCT((Inputs!$A$5:$A$110=$B43)*ISNUMBER(INDEX(Inputs!$K$5:$AJ$110,0,MATCH(AE$2,Inputs!$K$4:$AJ$4,0))))+SUMPRODUCT((Inputs!$C$5:$C$110=$B43)*ISNUMBER(INDEX(Inputs!$K$5:$AJ$110,0,MATCH(AE$2,Inputs!$K$4:$AJ$4,0))))+SUMPRODUCT((Inputs!$E$5:$E$110=$B43)*ISNUMBER(INDEX(Inputs!$K$5:$AJ$110,0,MATCH(AE$2,Inputs!$K$4:$AJ$4,0))))=0,NA(),SUMPRODUCT((Inputs!$A$5:$A$110=$B43)*Inputs!$B$5:$B$110*(((Inputs!$G$5:$G$110="moeda")+(Inputs!$G$5:$G$110="acoes"))*Inputs!$B$1+((Inputs!$G$5:$G$110&lt;&gt;"moeda")*(Inputs!$G$5:$G$110&lt;&gt;"acoes")))*INDEX(Inputs!$K$5:$AJ$110,0,MATCH(AE$2,Inputs!$K$4:$AJ$4,0)))+SUMPRODUCT((Inputs!$C$5:$C$110=$B43)*Inputs!$D$5:$D$110*(((Inputs!$G$5:$G$110="moeda")+(Inputs!$G$5:$G$110="acoes"))*Inputs!$B$1+((Inputs!$G$5:$G$110&lt;&gt;"moeda")*(Inputs!$G$5:$G$110&lt;&gt;"acoes")))*INDEX(Inputs!$K$5:$AJ$110,0,MATCH(AE$2,Inputs!$K$4:$AJ$4,0)))+SUMPRODUCT((Inputs!$E$5:$E$110=$B43)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3" s="6" t="e">
        <f>IF(ISNA(MATCH(AF$2,Inputs!$K$4:$AJ$4,0)),NA(),IF(SUMPRODUCT((Inputs!$A$5:$A$110=$B43)*ISNUMBER(INDEX(Inputs!$K$5:$AJ$110,0,MATCH(AF$2,Inputs!$K$4:$AJ$4,0))))+SUMPRODUCT((Inputs!$C$5:$C$110=$B43)*ISNUMBER(INDEX(Inputs!$K$5:$AJ$110,0,MATCH(AF$2,Inputs!$K$4:$AJ$4,0))))+SUMPRODUCT((Inputs!$E$5:$E$110=$B43)*ISNUMBER(INDEX(Inputs!$K$5:$AJ$110,0,MATCH(AF$2,Inputs!$K$4:$AJ$4,0))))=0,NA(),SUMPRODUCT((Inputs!$A$5:$A$110=$B43)*Inputs!$B$5:$B$110*(((Inputs!$G$5:$G$110="moeda")+(Inputs!$G$5:$G$110="acoes"))*Inputs!$B$1+((Inputs!$G$5:$G$110&lt;&gt;"moeda")*(Inputs!$G$5:$G$110&lt;&gt;"acoes")))*INDEX(Inputs!$K$5:$AJ$110,0,MATCH(AF$2,Inputs!$K$4:$AJ$4,0)))+SUMPRODUCT((Inputs!$C$5:$C$110=$B43)*Inputs!$D$5:$D$110*(((Inputs!$G$5:$G$110="moeda")+(Inputs!$G$5:$G$110="acoes"))*Inputs!$B$1+((Inputs!$G$5:$G$110&lt;&gt;"moeda")*(Inputs!$G$5:$G$110&lt;&gt;"acoes")))*INDEX(Inputs!$K$5:$AJ$110,0,MATCH(AF$2,Inputs!$K$4:$AJ$4,0)))+SUMPRODUCT((Inputs!$E$5:$E$110=$B43)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3" s="3" t="e">
        <f>AF43</f>
        <v>#N/A</v>
      </c>
      <c r="AH43" s="6">
        <f>IF(ISNA(MATCH(AH$2,Inputs!$K$4:$AJ$4,0)),NA(),IF(SUMPRODUCT((Inputs!$A$5:$A$110=$B43)*ISNUMBER(INDEX(Inputs!$K$5:$AJ$110,0,MATCH(AH$2,Inputs!$K$4:$AJ$4,0))))+SUMPRODUCT((Inputs!$C$5:$C$110=$B43)*ISNUMBER(INDEX(Inputs!$K$5:$AJ$110,0,MATCH(AH$2,Inputs!$K$4:$AJ$4,0))))+SUMPRODUCT((Inputs!$E$5:$E$110=$B43)*ISNUMBER(INDEX(Inputs!$K$5:$AJ$110,0,MATCH(AH$2,Inputs!$K$4:$AJ$4,0))))=0,NA(),SUMPRODUCT((Inputs!$A$5:$A$110=$B43)*Inputs!$B$5:$B$110*(((Inputs!$G$5:$G$110="moeda")+(Inputs!$G$5:$G$110="acoes"))*Inputs!$B$1+((Inputs!$G$5:$G$110&lt;&gt;"moeda")*(Inputs!$G$5:$G$110&lt;&gt;"acoes")))*INDEX(Inputs!$K$5:$AJ$110,0,MATCH(AH$2,Inputs!$K$4:$AJ$4,0)))+SUMPRODUCT((Inputs!$C$5:$C$110=$B43)*Inputs!$D$5:$D$110*(((Inputs!$G$5:$G$110="moeda")+(Inputs!$G$5:$G$110="acoes"))*Inputs!$B$1+((Inputs!$G$5:$G$110&lt;&gt;"moeda")*(Inputs!$G$5:$G$110&lt;&gt;"acoes")))*INDEX(Inputs!$K$5:$AJ$110,0,MATCH(AH$2,Inputs!$K$4:$AJ$4,0)))+SUMPRODUCT((Inputs!$E$5:$E$110=$B43)*Inputs!$F$5:$F$110*(((Inputs!$G$5:$G$110="moeda")+(Inputs!$G$5:$G$110="acoes"))*Inputs!$B$1+((Inputs!$G$5:$G$110&lt;&gt;"moeda")*(Inputs!$G$5:$G$110&lt;&gt;"acoes")))*INDEX(Inputs!$K$5:$AJ$110,0,MATCH(AH$2,Inputs!$K$4:$AJ$4,0)))))</f>
        <v>279</v>
      </c>
      <c r="AI43" s="6">
        <f>IF(ISNA(MATCH(AI$2,Inputs!$K$4:$AJ$4,0)),NA(),IF(SUMPRODUCT((Inputs!$A$5:$A$110=$B43)*ISNUMBER(INDEX(Inputs!$K$5:$AJ$110,0,MATCH(AI$2,Inputs!$K$4:$AJ$4,0))))+SUMPRODUCT((Inputs!$C$5:$C$110=$B43)*ISNUMBER(INDEX(Inputs!$K$5:$AJ$110,0,MATCH(AI$2,Inputs!$K$4:$AJ$4,0))))+SUMPRODUCT((Inputs!$E$5:$E$110=$B43)*ISNUMBER(INDEX(Inputs!$K$5:$AJ$110,0,MATCH(AI$2,Inputs!$K$4:$AJ$4,0))))=0,NA(),SUMPRODUCT((Inputs!$A$5:$A$110=$B43)*Inputs!$B$5:$B$110*(((Inputs!$G$5:$G$110="moeda")+(Inputs!$G$5:$G$110="acoes"))*Inputs!$B$1+((Inputs!$G$5:$G$110&lt;&gt;"moeda")*(Inputs!$G$5:$G$110&lt;&gt;"acoes")))*INDEX(Inputs!$K$5:$AJ$110,0,MATCH(AI$2,Inputs!$K$4:$AJ$4,0)))+SUMPRODUCT((Inputs!$C$5:$C$110=$B43)*Inputs!$D$5:$D$110*(((Inputs!$G$5:$G$110="moeda")+(Inputs!$G$5:$G$110="acoes"))*Inputs!$B$1+((Inputs!$G$5:$G$110&lt;&gt;"moeda")*(Inputs!$G$5:$G$110&lt;&gt;"acoes")))*INDEX(Inputs!$K$5:$AJ$110,0,MATCH(AI$2,Inputs!$K$4:$AJ$4,0)))+SUMPRODUCT((Inputs!$E$5:$E$110=$B43)*Inputs!$F$5:$F$110*(((Inputs!$G$5:$G$110="moeda")+(Inputs!$G$5:$G$110="acoes"))*Inputs!$B$1+((Inputs!$G$5:$G$110&lt;&gt;"moeda")*(Inputs!$G$5:$G$110&lt;&gt;"acoes")))*INDEX(Inputs!$K$5:$AJ$110,0,MATCH(AI$2,Inputs!$K$4:$AJ$4,0)))))</f>
        <v>278</v>
      </c>
      <c r="AJ43" s="6">
        <f>IF(ISNA(MATCH(AJ$2,Inputs!$K$4:$AJ$4,0)),NA(),IF(SUMPRODUCT((Inputs!$A$5:$A$110=$B43)*ISNUMBER(INDEX(Inputs!$K$5:$AJ$110,0,MATCH(AJ$2,Inputs!$K$4:$AJ$4,0))))+SUMPRODUCT((Inputs!$C$5:$C$110=$B43)*ISNUMBER(INDEX(Inputs!$K$5:$AJ$110,0,MATCH(AJ$2,Inputs!$K$4:$AJ$4,0))))+SUMPRODUCT((Inputs!$E$5:$E$110=$B43)*ISNUMBER(INDEX(Inputs!$K$5:$AJ$110,0,MATCH(AJ$2,Inputs!$K$4:$AJ$4,0))))=0,NA(),SUMPRODUCT((Inputs!$A$5:$A$110=$B43)*Inputs!$B$5:$B$110*(((Inputs!$G$5:$G$110="moeda")+(Inputs!$G$5:$G$110="acoes"))*Inputs!$B$1+((Inputs!$G$5:$G$110&lt;&gt;"moeda")*(Inputs!$G$5:$G$110&lt;&gt;"acoes")))*INDEX(Inputs!$K$5:$AJ$110,0,MATCH(AJ$2,Inputs!$K$4:$AJ$4,0)))+SUMPRODUCT((Inputs!$C$5:$C$110=$B43)*Inputs!$D$5:$D$110*(((Inputs!$G$5:$G$110="moeda")+(Inputs!$G$5:$G$110="acoes"))*Inputs!$B$1+((Inputs!$G$5:$G$110&lt;&gt;"moeda")*(Inputs!$G$5:$G$110&lt;&gt;"acoes")))*INDEX(Inputs!$K$5:$AJ$110,0,MATCH(AJ$2,Inputs!$K$4:$AJ$4,0)))+SUMPRODUCT((Inputs!$E$5:$E$110=$B43)*Inputs!$F$5:$F$110*(((Inputs!$G$5:$G$110="moeda")+(Inputs!$G$5:$G$110="acoes"))*Inputs!$B$1+((Inputs!$G$5:$G$110&lt;&gt;"moeda")*(Inputs!$G$5:$G$110&lt;&gt;"acoes")))*INDEX(Inputs!$K$5:$AJ$110,0,MATCH(AJ$2,Inputs!$K$4:$AJ$4,0)))))</f>
        <v>368</v>
      </c>
      <c r="AK43" s="6">
        <f>IF(ISNA(MATCH(AK$2,Inputs!$K$4:$AJ$4,0)),NA(),IF(SUMPRODUCT((Inputs!$A$5:$A$110=$B43)*ISNUMBER(INDEX(Inputs!$K$5:$AJ$110,0,MATCH(AK$2,Inputs!$K$4:$AJ$4,0))))+SUMPRODUCT((Inputs!$C$5:$C$110=$B43)*ISNUMBER(INDEX(Inputs!$K$5:$AJ$110,0,MATCH(AK$2,Inputs!$K$4:$AJ$4,0))))+SUMPRODUCT((Inputs!$E$5:$E$110=$B43)*ISNUMBER(INDEX(Inputs!$K$5:$AJ$110,0,MATCH(AK$2,Inputs!$K$4:$AJ$4,0))))=0,NA(),SUMPRODUCT((Inputs!$A$5:$A$110=$B43)*Inputs!$B$5:$B$110*(((Inputs!$G$5:$G$110="moeda")+(Inputs!$G$5:$G$110="acoes"))*Inputs!$B$1+((Inputs!$G$5:$G$110&lt;&gt;"moeda")*(Inputs!$G$5:$G$110&lt;&gt;"acoes")))*INDEX(Inputs!$K$5:$AJ$110,0,MATCH(AK$2,Inputs!$K$4:$AJ$4,0)))+SUMPRODUCT((Inputs!$C$5:$C$110=$B43)*Inputs!$D$5:$D$110*(((Inputs!$G$5:$G$110="moeda")+(Inputs!$G$5:$G$110="acoes"))*Inputs!$B$1+((Inputs!$G$5:$G$110&lt;&gt;"moeda")*(Inputs!$G$5:$G$110&lt;&gt;"acoes")))*INDEX(Inputs!$K$5:$AJ$110,0,MATCH(AK$2,Inputs!$K$4:$AJ$4,0)))+SUMPRODUCT((Inputs!$E$5:$E$110=$B43)*Inputs!$F$5:$F$110*(((Inputs!$G$5:$G$110="moeda")+(Inputs!$G$5:$G$110="acoes"))*Inputs!$B$1+((Inputs!$G$5:$G$110&lt;&gt;"moeda")*(Inputs!$G$5:$G$110&lt;&gt;"acoes")))*INDEX(Inputs!$K$5:$AJ$110,0,MATCH(AK$2,Inputs!$K$4:$AJ$4,0)))))</f>
        <v>500</v>
      </c>
      <c r="AL43" s="3">
        <f>AK43</f>
        <v>500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$110=$B44)*ISNUMBER(INDEX(Inputs!$K$5:$AJ$110,0,MATCH(D$2,Inputs!$K$4:$AJ$4,0))))+SUMPRODUCT((Inputs!$C$5:$C$110=$B44)*ISNUMBER(INDEX(Inputs!$K$5:$AJ$110,0,MATCH(D$2,Inputs!$K$4:$AJ$4,0))))+SUMPRODUCT((Inputs!$E$5:$E$110=$B44)*ISNUMBER(INDEX(Inputs!$K$5:$AJ$110,0,MATCH(D$2,Inputs!$K$4:$AJ$4,0))))=0,NA(),SUMPRODUCT((Inputs!$A$5:$A$110=$B44)*Inputs!$B$5:$B$110*(((Inputs!$G$5:$G$110="moeda")+(Inputs!$G$5:$G$110="acoes"))*Inputs!$B$1+((Inputs!$G$5:$G$110&lt;&gt;"moeda")*(Inputs!$G$5:$G$110&lt;&gt;"acoes")))*INDEX(Inputs!$K$5:$AJ$110,0,MATCH(D$2,Inputs!$K$4:$AJ$4,0)))+SUMPRODUCT((Inputs!$C$5:$C$110=$B44)*Inputs!$D$5:$D$110*(((Inputs!$G$5:$G$110="moeda")+(Inputs!$G$5:$G$110="acoes"))*Inputs!$B$1+((Inputs!$G$5:$G$110&lt;&gt;"moeda")*(Inputs!$G$5:$G$110&lt;&gt;"acoes")))*INDEX(Inputs!$K$5:$AJ$110,0,MATCH(D$2,Inputs!$K$4:$AJ$4,0)))+SUMPRODUCT((Inputs!$E$5:$E$110=$B44)*Inputs!$F$5:$F$110*(((Inputs!$G$5:$G$110="moeda")+(Inputs!$G$5:$G$110="acoes"))*Inputs!$B$1+((Inputs!$G$5:$G$110&lt;&gt;"moeda")*(Inputs!$G$5:$G$110&lt;&gt;"acoes")))*INDEX(Inputs!$K$5:$AJ$110,0,MATCH(D$2,Inputs!$K$4:$AJ$4,0)))))</f>
        <v>0</v>
      </c>
      <c r="E44" s="6">
        <f>IF(ISNA(MATCH(E$2,Inputs!$K$4:$AJ$4,0)),NA(),IF(SUMPRODUCT((Inputs!$A$5:$A$110=$B44)*ISNUMBER(INDEX(Inputs!$K$5:$AJ$110,0,MATCH(E$2,Inputs!$K$4:$AJ$4,0))))+SUMPRODUCT((Inputs!$C$5:$C$110=$B44)*ISNUMBER(INDEX(Inputs!$K$5:$AJ$110,0,MATCH(E$2,Inputs!$K$4:$AJ$4,0))))+SUMPRODUCT((Inputs!$E$5:$E$110=$B44)*ISNUMBER(INDEX(Inputs!$K$5:$AJ$110,0,MATCH(E$2,Inputs!$K$4:$AJ$4,0))))=0,NA(),SUMPRODUCT((Inputs!$A$5:$A$110=$B44)*Inputs!$B$5:$B$110*(((Inputs!$G$5:$G$110="moeda")+(Inputs!$G$5:$G$110="acoes"))*Inputs!$B$1+((Inputs!$G$5:$G$110&lt;&gt;"moeda")*(Inputs!$G$5:$G$110&lt;&gt;"acoes")))*INDEX(Inputs!$K$5:$AJ$110,0,MATCH(E$2,Inputs!$K$4:$AJ$4,0)))+SUMPRODUCT((Inputs!$C$5:$C$110=$B44)*Inputs!$D$5:$D$110*(((Inputs!$G$5:$G$110="moeda")+(Inputs!$G$5:$G$110="acoes"))*Inputs!$B$1+((Inputs!$G$5:$G$110&lt;&gt;"moeda")*(Inputs!$G$5:$G$110&lt;&gt;"acoes")))*INDEX(Inputs!$K$5:$AJ$110,0,MATCH(E$2,Inputs!$K$4:$AJ$4,0)))+SUMPRODUCT((Inputs!$E$5:$E$110=$B44)*Inputs!$F$5:$F$110*(((Inputs!$G$5:$G$110="moeda")+(Inputs!$G$5:$G$110="acoes"))*Inputs!$B$1+((Inputs!$G$5:$G$110&lt;&gt;"moeda")*(Inputs!$G$5:$G$110&lt;&gt;"acoes")))*INDEX(Inputs!$K$5:$AJ$110,0,MATCH(E$2,Inputs!$K$4:$AJ$4,0)))))</f>
        <v>0</v>
      </c>
      <c r="F44" s="6">
        <f>IF(ISNA(MATCH(F$2,Inputs!$K$4:$AJ$4,0)),NA(),IF(SUMPRODUCT((Inputs!$A$5:$A$110=$B44)*ISNUMBER(INDEX(Inputs!$K$5:$AJ$110,0,MATCH(F$2,Inputs!$K$4:$AJ$4,0))))+SUMPRODUCT((Inputs!$C$5:$C$110=$B44)*ISNUMBER(INDEX(Inputs!$K$5:$AJ$110,0,MATCH(F$2,Inputs!$K$4:$AJ$4,0))))+SUMPRODUCT((Inputs!$E$5:$E$110=$B44)*ISNUMBER(INDEX(Inputs!$K$5:$AJ$110,0,MATCH(F$2,Inputs!$K$4:$AJ$4,0))))=0,NA(),SUMPRODUCT((Inputs!$A$5:$A$110=$B44)*Inputs!$B$5:$B$110*(((Inputs!$G$5:$G$110="moeda")+(Inputs!$G$5:$G$110="acoes"))*Inputs!$B$1+((Inputs!$G$5:$G$110&lt;&gt;"moeda")*(Inputs!$G$5:$G$110&lt;&gt;"acoes")))*INDEX(Inputs!$K$5:$AJ$110,0,MATCH(F$2,Inputs!$K$4:$AJ$4,0)))+SUMPRODUCT((Inputs!$C$5:$C$110=$B44)*Inputs!$D$5:$D$110*(((Inputs!$G$5:$G$110="moeda")+(Inputs!$G$5:$G$110="acoes"))*Inputs!$B$1+((Inputs!$G$5:$G$110&lt;&gt;"moeda")*(Inputs!$G$5:$G$110&lt;&gt;"acoes")))*INDEX(Inputs!$K$5:$AJ$110,0,MATCH(F$2,Inputs!$K$4:$AJ$4,0)))+SUMPRODUCT((Inputs!$E$5:$E$110=$B44)*Inputs!$F$5:$F$110*(((Inputs!$G$5:$G$110="moeda")+(Inputs!$G$5:$G$110="acoes"))*Inputs!$B$1+((Inputs!$G$5:$G$110&lt;&gt;"moeda")*(Inputs!$G$5:$G$110&lt;&gt;"acoes")))*INDEX(Inputs!$K$5:$AJ$110,0,MATCH(F$2,Inputs!$K$4:$AJ$4,0)))))</f>
        <v>0</v>
      </c>
      <c r="G44" s="6">
        <f>IF(ISNA(MATCH(G$2,Inputs!$K$4:$AJ$4,0)),NA(),IF(SUMPRODUCT((Inputs!$A$5:$A$110=$B44)*ISNUMBER(INDEX(Inputs!$K$5:$AJ$110,0,MATCH(G$2,Inputs!$K$4:$AJ$4,0))))+SUMPRODUCT((Inputs!$C$5:$C$110=$B44)*ISNUMBER(INDEX(Inputs!$K$5:$AJ$110,0,MATCH(G$2,Inputs!$K$4:$AJ$4,0))))+SUMPRODUCT((Inputs!$E$5:$E$110=$B44)*ISNUMBER(INDEX(Inputs!$K$5:$AJ$110,0,MATCH(G$2,Inputs!$K$4:$AJ$4,0))))=0,NA(),SUMPRODUCT((Inputs!$A$5:$A$110=$B44)*Inputs!$B$5:$B$110*(((Inputs!$G$5:$G$110="moeda")+(Inputs!$G$5:$G$110="acoes"))*Inputs!$B$1+((Inputs!$G$5:$G$110&lt;&gt;"moeda")*(Inputs!$G$5:$G$110&lt;&gt;"acoes")))*INDEX(Inputs!$K$5:$AJ$110,0,MATCH(G$2,Inputs!$K$4:$AJ$4,0)))+SUMPRODUCT((Inputs!$C$5:$C$110=$B44)*Inputs!$D$5:$D$110*(((Inputs!$G$5:$G$110="moeda")+(Inputs!$G$5:$G$110="acoes"))*Inputs!$B$1+((Inputs!$G$5:$G$110&lt;&gt;"moeda")*(Inputs!$G$5:$G$110&lt;&gt;"acoes")))*INDEX(Inputs!$K$5:$AJ$110,0,MATCH(G$2,Inputs!$K$4:$AJ$4,0)))+SUMPRODUCT((Inputs!$E$5:$E$110=$B44)*Inputs!$F$5:$F$110*(((Inputs!$G$5:$G$110="moeda")+(Inputs!$G$5:$G$110="acoes"))*Inputs!$B$1+((Inputs!$G$5:$G$110&lt;&gt;"moeda")*(Inputs!$G$5:$G$110&lt;&gt;"acoes")))*INDEX(Inputs!$K$5:$AJ$110,0,MATCH(G$2,Inputs!$K$4:$AJ$4,0)))))</f>
        <v>0</v>
      </c>
      <c r="H44" s="3">
        <f>G44</f>
        <v>0</v>
      </c>
      <c r="I44" s="6">
        <f>IF(ISNA(MATCH(I$2,Inputs!$K$4:$AJ$4,0)),NA(),IF(SUMPRODUCT((Inputs!$A$5:$A$110=$B44)*ISNUMBER(INDEX(Inputs!$K$5:$AJ$110,0,MATCH(I$2,Inputs!$K$4:$AJ$4,0))))+SUMPRODUCT((Inputs!$C$5:$C$110=$B44)*ISNUMBER(INDEX(Inputs!$K$5:$AJ$110,0,MATCH(I$2,Inputs!$K$4:$AJ$4,0))))+SUMPRODUCT((Inputs!$E$5:$E$110=$B44)*ISNUMBER(INDEX(Inputs!$K$5:$AJ$110,0,MATCH(I$2,Inputs!$K$4:$AJ$4,0))))=0,NA(),SUMPRODUCT((Inputs!$A$5:$A$110=$B44)*Inputs!$B$5:$B$110*(((Inputs!$G$5:$G$110="moeda")+(Inputs!$G$5:$G$110="acoes"))*Inputs!$B$1+((Inputs!$G$5:$G$110&lt;&gt;"moeda")*(Inputs!$G$5:$G$110&lt;&gt;"acoes")))*INDEX(Inputs!$K$5:$AJ$110,0,MATCH(I$2,Inputs!$K$4:$AJ$4,0)))+SUMPRODUCT((Inputs!$C$5:$C$110=$B44)*Inputs!$D$5:$D$110*(((Inputs!$G$5:$G$110="moeda")+(Inputs!$G$5:$G$110="acoes"))*Inputs!$B$1+((Inputs!$G$5:$G$110&lt;&gt;"moeda")*(Inputs!$G$5:$G$110&lt;&gt;"acoes")))*INDEX(Inputs!$K$5:$AJ$110,0,MATCH(I$2,Inputs!$K$4:$AJ$4,0)))+SUMPRODUCT((Inputs!$E$5:$E$110=$B44)*Inputs!$F$5:$F$110*(((Inputs!$G$5:$G$110="moeda")+(Inputs!$G$5:$G$110="acoes"))*Inputs!$B$1+((Inputs!$G$5:$G$110&lt;&gt;"moeda")*(Inputs!$G$5:$G$110&lt;&gt;"acoes")))*INDEX(Inputs!$K$5:$AJ$110,0,MATCH(I$2,Inputs!$K$4:$AJ$4,0)))))</f>
        <v>0</v>
      </c>
      <c r="J44" s="6">
        <f>IF(ISNA(MATCH(J$2,Inputs!$K$4:$AJ$4,0)),NA(),IF(SUMPRODUCT((Inputs!$A$5:$A$110=$B44)*ISNUMBER(INDEX(Inputs!$K$5:$AJ$110,0,MATCH(J$2,Inputs!$K$4:$AJ$4,0))))+SUMPRODUCT((Inputs!$C$5:$C$110=$B44)*ISNUMBER(INDEX(Inputs!$K$5:$AJ$110,0,MATCH(J$2,Inputs!$K$4:$AJ$4,0))))+SUMPRODUCT((Inputs!$E$5:$E$110=$B44)*ISNUMBER(INDEX(Inputs!$K$5:$AJ$110,0,MATCH(J$2,Inputs!$K$4:$AJ$4,0))))=0,NA(),SUMPRODUCT((Inputs!$A$5:$A$110=$B44)*Inputs!$B$5:$B$110*(((Inputs!$G$5:$G$110="moeda")+(Inputs!$G$5:$G$110="acoes"))*Inputs!$B$1+((Inputs!$G$5:$G$110&lt;&gt;"moeda")*(Inputs!$G$5:$G$110&lt;&gt;"acoes")))*INDEX(Inputs!$K$5:$AJ$110,0,MATCH(J$2,Inputs!$K$4:$AJ$4,0)))+SUMPRODUCT((Inputs!$C$5:$C$110=$B44)*Inputs!$D$5:$D$110*(((Inputs!$G$5:$G$110="moeda")+(Inputs!$G$5:$G$110="acoes"))*Inputs!$B$1+((Inputs!$G$5:$G$110&lt;&gt;"moeda")*(Inputs!$G$5:$G$110&lt;&gt;"acoes")))*INDEX(Inputs!$K$5:$AJ$110,0,MATCH(J$2,Inputs!$K$4:$AJ$4,0)))+SUMPRODUCT((Inputs!$E$5:$E$110=$B44)*Inputs!$F$5:$F$110*(((Inputs!$G$5:$G$110="moeda")+(Inputs!$G$5:$G$110="acoes"))*Inputs!$B$1+((Inputs!$G$5:$G$110&lt;&gt;"moeda")*(Inputs!$G$5:$G$110&lt;&gt;"acoes")))*INDEX(Inputs!$K$5:$AJ$110,0,MATCH(J$2,Inputs!$K$4:$AJ$4,0)))))</f>
        <v>0</v>
      </c>
      <c r="K44" s="6">
        <f>IF(ISNA(MATCH(K$2,Inputs!$K$4:$AJ$4,0)),NA(),IF(SUMPRODUCT((Inputs!$A$5:$A$110=$B44)*ISNUMBER(INDEX(Inputs!$K$5:$AJ$110,0,MATCH(K$2,Inputs!$K$4:$AJ$4,0))))+SUMPRODUCT((Inputs!$C$5:$C$110=$B44)*ISNUMBER(INDEX(Inputs!$K$5:$AJ$110,0,MATCH(K$2,Inputs!$K$4:$AJ$4,0))))+SUMPRODUCT((Inputs!$E$5:$E$110=$B44)*ISNUMBER(INDEX(Inputs!$K$5:$AJ$110,0,MATCH(K$2,Inputs!$K$4:$AJ$4,0))))=0,NA(),SUMPRODUCT((Inputs!$A$5:$A$110=$B44)*Inputs!$B$5:$B$110*(((Inputs!$G$5:$G$110="moeda")+(Inputs!$G$5:$G$110="acoes"))*Inputs!$B$1+((Inputs!$G$5:$G$110&lt;&gt;"moeda")*(Inputs!$G$5:$G$110&lt;&gt;"acoes")))*INDEX(Inputs!$K$5:$AJ$110,0,MATCH(K$2,Inputs!$K$4:$AJ$4,0)))+SUMPRODUCT((Inputs!$C$5:$C$110=$B44)*Inputs!$D$5:$D$110*(((Inputs!$G$5:$G$110="moeda")+(Inputs!$G$5:$G$110="acoes"))*Inputs!$B$1+((Inputs!$G$5:$G$110&lt;&gt;"moeda")*(Inputs!$G$5:$G$110&lt;&gt;"acoes")))*INDEX(Inputs!$K$5:$AJ$110,0,MATCH(K$2,Inputs!$K$4:$AJ$4,0)))+SUMPRODUCT((Inputs!$E$5:$E$110=$B44)*Inputs!$F$5:$F$110*(((Inputs!$G$5:$G$110="moeda")+(Inputs!$G$5:$G$110="acoes"))*Inputs!$B$1+((Inputs!$G$5:$G$110&lt;&gt;"moeda")*(Inputs!$G$5:$G$110&lt;&gt;"acoes")))*INDEX(Inputs!$K$5:$AJ$110,0,MATCH(K$2,Inputs!$K$4:$AJ$4,0)))))</f>
        <v>0</v>
      </c>
      <c r="L44" s="6">
        <f>IF(ISNA(MATCH(L$2,Inputs!$K$4:$AJ$4,0)),NA(),IF(SUMPRODUCT((Inputs!$A$5:$A$110=$B44)*ISNUMBER(INDEX(Inputs!$K$5:$AJ$110,0,MATCH(L$2,Inputs!$K$4:$AJ$4,0))))+SUMPRODUCT((Inputs!$C$5:$C$110=$B44)*ISNUMBER(INDEX(Inputs!$K$5:$AJ$110,0,MATCH(L$2,Inputs!$K$4:$AJ$4,0))))+SUMPRODUCT((Inputs!$E$5:$E$110=$B44)*ISNUMBER(INDEX(Inputs!$K$5:$AJ$110,0,MATCH(L$2,Inputs!$K$4:$AJ$4,0))))=0,NA(),SUMPRODUCT((Inputs!$A$5:$A$110=$B44)*Inputs!$B$5:$B$110*(((Inputs!$G$5:$G$110="moeda")+(Inputs!$G$5:$G$110="acoes"))*Inputs!$B$1+((Inputs!$G$5:$G$110&lt;&gt;"moeda")*(Inputs!$G$5:$G$110&lt;&gt;"acoes")))*INDEX(Inputs!$K$5:$AJ$110,0,MATCH(L$2,Inputs!$K$4:$AJ$4,0)))+SUMPRODUCT((Inputs!$C$5:$C$110=$B44)*Inputs!$D$5:$D$110*(((Inputs!$G$5:$G$110="moeda")+(Inputs!$G$5:$G$110="acoes"))*Inputs!$B$1+((Inputs!$G$5:$G$110&lt;&gt;"moeda")*(Inputs!$G$5:$G$110&lt;&gt;"acoes")))*INDEX(Inputs!$K$5:$AJ$110,0,MATCH(L$2,Inputs!$K$4:$AJ$4,0)))+SUMPRODUCT((Inputs!$E$5:$E$110=$B44)*Inputs!$F$5:$F$110*(((Inputs!$G$5:$G$110="moeda")+(Inputs!$G$5:$G$110="acoes"))*Inputs!$B$1+((Inputs!$G$5:$G$110&lt;&gt;"moeda")*(Inputs!$G$5:$G$110&lt;&gt;"acoes")))*INDEX(Inputs!$K$5:$AJ$110,0,MATCH(L$2,Inputs!$K$4:$AJ$4,0)))))</f>
        <v>0</v>
      </c>
      <c r="M44" s="3">
        <f>L44</f>
        <v>0</v>
      </c>
      <c r="N44" s="6">
        <f>IF(ISNA(MATCH(N$2,Inputs!$K$4:$AJ$4,0)),NA(),IF(SUMPRODUCT((Inputs!$A$5:$A$110=$B44)*ISNUMBER(INDEX(Inputs!$K$5:$AJ$110,0,MATCH(N$2,Inputs!$K$4:$AJ$4,0))))+SUMPRODUCT((Inputs!$C$5:$C$110=$B44)*ISNUMBER(INDEX(Inputs!$K$5:$AJ$110,0,MATCH(N$2,Inputs!$K$4:$AJ$4,0))))+SUMPRODUCT((Inputs!$E$5:$E$110=$B44)*ISNUMBER(INDEX(Inputs!$K$5:$AJ$110,0,MATCH(N$2,Inputs!$K$4:$AJ$4,0))))=0,NA(),SUMPRODUCT((Inputs!$A$5:$A$110=$B44)*Inputs!$B$5:$B$110*(((Inputs!$G$5:$G$110="moeda")+(Inputs!$G$5:$G$110="acoes"))*Inputs!$B$1+((Inputs!$G$5:$G$110&lt;&gt;"moeda")*(Inputs!$G$5:$G$110&lt;&gt;"acoes")))*INDEX(Inputs!$K$5:$AJ$110,0,MATCH(N$2,Inputs!$K$4:$AJ$4,0)))+SUMPRODUCT((Inputs!$C$5:$C$110=$B44)*Inputs!$D$5:$D$110*(((Inputs!$G$5:$G$110="moeda")+(Inputs!$G$5:$G$110="acoes"))*Inputs!$B$1+((Inputs!$G$5:$G$110&lt;&gt;"moeda")*(Inputs!$G$5:$G$110&lt;&gt;"acoes")))*INDEX(Inputs!$K$5:$AJ$110,0,MATCH(N$2,Inputs!$K$4:$AJ$4,0)))+SUMPRODUCT((Inputs!$E$5:$E$110=$B44)*Inputs!$F$5:$F$110*(((Inputs!$G$5:$G$110="moeda")+(Inputs!$G$5:$G$110="acoes"))*Inputs!$B$1+((Inputs!$G$5:$G$110&lt;&gt;"moeda")*(Inputs!$G$5:$G$110&lt;&gt;"acoes")))*INDEX(Inputs!$K$5:$AJ$110,0,MATCH(N$2,Inputs!$K$4:$AJ$4,0)))))</f>
        <v>0</v>
      </c>
      <c r="O44" s="6">
        <f>IF(ISNA(MATCH(O$2,Inputs!$K$4:$AJ$4,0)),NA(),IF(SUMPRODUCT((Inputs!$A$5:$A$110=$B44)*ISNUMBER(INDEX(Inputs!$K$5:$AJ$110,0,MATCH(O$2,Inputs!$K$4:$AJ$4,0))))+SUMPRODUCT((Inputs!$C$5:$C$110=$B44)*ISNUMBER(INDEX(Inputs!$K$5:$AJ$110,0,MATCH(O$2,Inputs!$K$4:$AJ$4,0))))+SUMPRODUCT((Inputs!$E$5:$E$110=$B44)*ISNUMBER(INDEX(Inputs!$K$5:$AJ$110,0,MATCH(O$2,Inputs!$K$4:$AJ$4,0))))=0,NA(),SUMPRODUCT((Inputs!$A$5:$A$110=$B44)*Inputs!$B$5:$B$110*(((Inputs!$G$5:$G$110="moeda")+(Inputs!$G$5:$G$110="acoes"))*Inputs!$B$1+((Inputs!$G$5:$G$110&lt;&gt;"moeda")*(Inputs!$G$5:$G$110&lt;&gt;"acoes")))*INDEX(Inputs!$K$5:$AJ$110,0,MATCH(O$2,Inputs!$K$4:$AJ$4,0)))+SUMPRODUCT((Inputs!$C$5:$C$110=$B44)*Inputs!$D$5:$D$110*(((Inputs!$G$5:$G$110="moeda")+(Inputs!$G$5:$G$110="acoes"))*Inputs!$B$1+((Inputs!$G$5:$G$110&lt;&gt;"moeda")*(Inputs!$G$5:$G$110&lt;&gt;"acoes")))*INDEX(Inputs!$K$5:$AJ$110,0,MATCH(O$2,Inputs!$K$4:$AJ$4,0)))+SUMPRODUCT((Inputs!$E$5:$E$110=$B44)*Inputs!$F$5:$F$110*(((Inputs!$G$5:$G$110="moeda")+(Inputs!$G$5:$G$110="acoes"))*Inputs!$B$1+((Inputs!$G$5:$G$110&lt;&gt;"moeda")*(Inputs!$G$5:$G$110&lt;&gt;"acoes")))*INDEX(Inputs!$K$5:$AJ$110,0,MATCH(O$2,Inputs!$K$4:$AJ$4,0)))))</f>
        <v>0</v>
      </c>
      <c r="P44" s="6">
        <f>IF(ISNA(MATCH(P$2,Inputs!$K$4:$AJ$4,0)),NA(),IF(SUMPRODUCT((Inputs!$A$5:$A$110=$B44)*ISNUMBER(INDEX(Inputs!$K$5:$AJ$110,0,MATCH(P$2,Inputs!$K$4:$AJ$4,0))))+SUMPRODUCT((Inputs!$C$5:$C$110=$B44)*ISNUMBER(INDEX(Inputs!$K$5:$AJ$110,0,MATCH(P$2,Inputs!$K$4:$AJ$4,0))))+SUMPRODUCT((Inputs!$E$5:$E$110=$B44)*ISNUMBER(INDEX(Inputs!$K$5:$AJ$110,0,MATCH(P$2,Inputs!$K$4:$AJ$4,0))))=0,NA(),SUMPRODUCT((Inputs!$A$5:$A$110=$B44)*Inputs!$B$5:$B$110*(((Inputs!$G$5:$G$110="moeda")+(Inputs!$G$5:$G$110="acoes"))*Inputs!$B$1+((Inputs!$G$5:$G$110&lt;&gt;"moeda")*(Inputs!$G$5:$G$110&lt;&gt;"acoes")))*INDEX(Inputs!$K$5:$AJ$110,0,MATCH(P$2,Inputs!$K$4:$AJ$4,0)))+SUMPRODUCT((Inputs!$C$5:$C$110=$B44)*Inputs!$D$5:$D$110*(((Inputs!$G$5:$G$110="moeda")+(Inputs!$G$5:$G$110="acoes"))*Inputs!$B$1+((Inputs!$G$5:$G$110&lt;&gt;"moeda")*(Inputs!$G$5:$G$110&lt;&gt;"acoes")))*INDEX(Inputs!$K$5:$AJ$110,0,MATCH(P$2,Inputs!$K$4:$AJ$4,0)))+SUMPRODUCT((Inputs!$E$5:$E$110=$B44)*Inputs!$F$5:$F$110*(((Inputs!$G$5:$G$110="moeda")+(Inputs!$G$5:$G$110="acoes"))*Inputs!$B$1+((Inputs!$G$5:$G$110&lt;&gt;"moeda")*(Inputs!$G$5:$G$110&lt;&gt;"acoes")))*INDEX(Inputs!$K$5:$AJ$110,0,MATCH(P$2,Inputs!$K$4:$AJ$4,0)))))</f>
        <v>0</v>
      </c>
      <c r="Q44" s="6">
        <f>IF(ISNA(MATCH(Q$2,Inputs!$K$4:$AJ$4,0)),NA(),IF(SUMPRODUCT((Inputs!$A$5:$A$110=$B44)*ISNUMBER(INDEX(Inputs!$K$5:$AJ$110,0,MATCH(Q$2,Inputs!$K$4:$AJ$4,0))))+SUMPRODUCT((Inputs!$C$5:$C$110=$B44)*ISNUMBER(INDEX(Inputs!$K$5:$AJ$110,0,MATCH(Q$2,Inputs!$K$4:$AJ$4,0))))+SUMPRODUCT((Inputs!$E$5:$E$110=$B44)*ISNUMBER(INDEX(Inputs!$K$5:$AJ$110,0,MATCH(Q$2,Inputs!$K$4:$AJ$4,0))))=0,NA(),SUMPRODUCT((Inputs!$A$5:$A$110=$B44)*Inputs!$B$5:$B$110*(((Inputs!$G$5:$G$110="moeda")+(Inputs!$G$5:$G$110="acoes"))*Inputs!$B$1+((Inputs!$G$5:$G$110&lt;&gt;"moeda")*(Inputs!$G$5:$G$110&lt;&gt;"acoes")))*INDEX(Inputs!$K$5:$AJ$110,0,MATCH(Q$2,Inputs!$K$4:$AJ$4,0)))+SUMPRODUCT((Inputs!$C$5:$C$110=$B44)*Inputs!$D$5:$D$110*(((Inputs!$G$5:$G$110="moeda")+(Inputs!$G$5:$G$110="acoes"))*Inputs!$B$1+((Inputs!$G$5:$G$110&lt;&gt;"moeda")*(Inputs!$G$5:$G$110&lt;&gt;"acoes")))*INDEX(Inputs!$K$5:$AJ$110,0,MATCH(Q$2,Inputs!$K$4:$AJ$4,0)))+SUMPRODUCT((Inputs!$E$5:$E$110=$B44)*Inputs!$F$5:$F$110*(((Inputs!$G$5:$G$110="moeda")+(Inputs!$G$5:$G$110="acoes"))*Inputs!$B$1+((Inputs!$G$5:$G$110&lt;&gt;"moeda")*(Inputs!$G$5:$G$110&lt;&gt;"acoes")))*INDEX(Inputs!$K$5:$AJ$110,0,MATCH(Q$2,Inputs!$K$4:$AJ$4,0)))))</f>
        <v>0</v>
      </c>
      <c r="R44" s="3">
        <f>Q44</f>
        <v>0</v>
      </c>
      <c r="S44" s="6">
        <f>IF(ISNA(MATCH(S$2,Inputs!$K$4:$AJ$4,0)),NA(),IF(SUMPRODUCT((Inputs!$A$5:$A$110=$B44)*ISNUMBER(INDEX(Inputs!$K$5:$AJ$110,0,MATCH(S$2,Inputs!$K$4:$AJ$4,0))))+SUMPRODUCT((Inputs!$C$5:$C$110=$B44)*ISNUMBER(INDEX(Inputs!$K$5:$AJ$110,0,MATCH(S$2,Inputs!$K$4:$AJ$4,0))))+SUMPRODUCT((Inputs!$E$5:$E$110=$B44)*ISNUMBER(INDEX(Inputs!$K$5:$AJ$110,0,MATCH(S$2,Inputs!$K$4:$AJ$4,0))))=0,NA(),SUMPRODUCT((Inputs!$A$5:$A$110=$B44)*Inputs!$B$5:$B$110*(((Inputs!$G$5:$G$110="moeda")+(Inputs!$G$5:$G$110="acoes"))*Inputs!$B$1+((Inputs!$G$5:$G$110&lt;&gt;"moeda")*(Inputs!$G$5:$G$110&lt;&gt;"acoes")))*INDEX(Inputs!$K$5:$AJ$110,0,MATCH(S$2,Inputs!$K$4:$AJ$4,0)))+SUMPRODUCT((Inputs!$C$5:$C$110=$B44)*Inputs!$D$5:$D$110*(((Inputs!$G$5:$G$110="moeda")+(Inputs!$G$5:$G$110="acoes"))*Inputs!$B$1+((Inputs!$G$5:$G$110&lt;&gt;"moeda")*(Inputs!$G$5:$G$110&lt;&gt;"acoes")))*INDEX(Inputs!$K$5:$AJ$110,0,MATCH(S$2,Inputs!$K$4:$AJ$4,0)))+SUMPRODUCT((Inputs!$E$5:$E$110=$B44)*Inputs!$F$5:$F$110*(((Inputs!$G$5:$G$110="moeda")+(Inputs!$G$5:$G$110="acoes"))*Inputs!$B$1+((Inputs!$G$5:$G$110&lt;&gt;"moeda")*(Inputs!$G$5:$G$110&lt;&gt;"acoes")))*INDEX(Inputs!$K$5:$AJ$110,0,MATCH(S$2,Inputs!$K$4:$AJ$4,0)))))</f>
        <v>0</v>
      </c>
      <c r="T44" s="6">
        <f>IF(ISNA(MATCH(T$2,Inputs!$K$4:$AJ$4,0)),NA(),IF(SUMPRODUCT((Inputs!$A$5:$A$110=$B44)*ISNUMBER(INDEX(Inputs!$K$5:$AJ$110,0,MATCH(T$2,Inputs!$K$4:$AJ$4,0))))+SUMPRODUCT((Inputs!$C$5:$C$110=$B44)*ISNUMBER(INDEX(Inputs!$K$5:$AJ$110,0,MATCH(T$2,Inputs!$K$4:$AJ$4,0))))+SUMPRODUCT((Inputs!$E$5:$E$110=$B44)*ISNUMBER(INDEX(Inputs!$K$5:$AJ$110,0,MATCH(T$2,Inputs!$K$4:$AJ$4,0))))=0,NA(),SUMPRODUCT((Inputs!$A$5:$A$110=$B44)*Inputs!$B$5:$B$110*(((Inputs!$G$5:$G$110="moeda")+(Inputs!$G$5:$G$110="acoes"))*Inputs!$B$1+((Inputs!$G$5:$G$110&lt;&gt;"moeda")*(Inputs!$G$5:$G$110&lt;&gt;"acoes")))*INDEX(Inputs!$K$5:$AJ$110,0,MATCH(T$2,Inputs!$K$4:$AJ$4,0)))+SUMPRODUCT((Inputs!$C$5:$C$110=$B44)*Inputs!$D$5:$D$110*(((Inputs!$G$5:$G$110="moeda")+(Inputs!$G$5:$G$110="acoes"))*Inputs!$B$1+((Inputs!$G$5:$G$110&lt;&gt;"moeda")*(Inputs!$G$5:$G$110&lt;&gt;"acoes")))*INDEX(Inputs!$K$5:$AJ$110,0,MATCH(T$2,Inputs!$K$4:$AJ$4,0)))+SUMPRODUCT((Inputs!$E$5:$E$110=$B44)*Inputs!$F$5:$F$110*(((Inputs!$G$5:$G$110="moeda")+(Inputs!$G$5:$G$110="acoes"))*Inputs!$B$1+((Inputs!$G$5:$G$110&lt;&gt;"moeda")*(Inputs!$G$5:$G$110&lt;&gt;"acoes")))*INDEX(Inputs!$K$5:$AJ$110,0,MATCH(T$2,Inputs!$K$4:$AJ$4,0)))))</f>
        <v>0</v>
      </c>
      <c r="U44" s="6">
        <f>IF(ISNA(MATCH(U$2,Inputs!$K$4:$AJ$4,0)),NA(),IF(SUMPRODUCT((Inputs!$A$5:$A$110=$B44)*ISNUMBER(INDEX(Inputs!$K$5:$AJ$110,0,MATCH(U$2,Inputs!$K$4:$AJ$4,0))))+SUMPRODUCT((Inputs!$C$5:$C$110=$B44)*ISNUMBER(INDEX(Inputs!$K$5:$AJ$110,0,MATCH(U$2,Inputs!$K$4:$AJ$4,0))))+SUMPRODUCT((Inputs!$E$5:$E$110=$B44)*ISNUMBER(INDEX(Inputs!$K$5:$AJ$110,0,MATCH(U$2,Inputs!$K$4:$AJ$4,0))))=0,NA(),SUMPRODUCT((Inputs!$A$5:$A$110=$B44)*Inputs!$B$5:$B$110*(((Inputs!$G$5:$G$110="moeda")+(Inputs!$G$5:$G$110="acoes"))*Inputs!$B$1+((Inputs!$G$5:$G$110&lt;&gt;"moeda")*(Inputs!$G$5:$G$110&lt;&gt;"acoes")))*INDEX(Inputs!$K$5:$AJ$110,0,MATCH(U$2,Inputs!$K$4:$AJ$4,0)))+SUMPRODUCT((Inputs!$C$5:$C$110=$B44)*Inputs!$D$5:$D$110*(((Inputs!$G$5:$G$110="moeda")+(Inputs!$G$5:$G$110="acoes"))*Inputs!$B$1+((Inputs!$G$5:$G$110&lt;&gt;"moeda")*(Inputs!$G$5:$G$110&lt;&gt;"acoes")))*INDEX(Inputs!$K$5:$AJ$110,0,MATCH(U$2,Inputs!$K$4:$AJ$4,0)))+SUMPRODUCT((Inputs!$E$5:$E$110=$B44)*Inputs!$F$5:$F$110*(((Inputs!$G$5:$G$110="moeda")+(Inputs!$G$5:$G$110="acoes"))*Inputs!$B$1+((Inputs!$G$5:$G$110&lt;&gt;"moeda")*(Inputs!$G$5:$G$110&lt;&gt;"acoes")))*INDEX(Inputs!$K$5:$AJ$110,0,MATCH(U$2,Inputs!$K$4:$AJ$4,0)))))</f>
        <v>0</v>
      </c>
      <c r="V44" s="6">
        <f>IF(ISNA(MATCH(V$2,Inputs!$K$4:$AJ$4,0)),NA(),IF(SUMPRODUCT((Inputs!$A$5:$A$110=$B44)*ISNUMBER(INDEX(Inputs!$K$5:$AJ$110,0,MATCH(V$2,Inputs!$K$4:$AJ$4,0))))+SUMPRODUCT((Inputs!$C$5:$C$110=$B44)*ISNUMBER(INDEX(Inputs!$K$5:$AJ$110,0,MATCH(V$2,Inputs!$K$4:$AJ$4,0))))+SUMPRODUCT((Inputs!$E$5:$E$110=$B44)*ISNUMBER(INDEX(Inputs!$K$5:$AJ$110,0,MATCH(V$2,Inputs!$K$4:$AJ$4,0))))=0,NA(),SUMPRODUCT((Inputs!$A$5:$A$110=$B44)*Inputs!$B$5:$B$110*(((Inputs!$G$5:$G$110="moeda")+(Inputs!$G$5:$G$110="acoes"))*Inputs!$B$1+((Inputs!$G$5:$G$110&lt;&gt;"moeda")*(Inputs!$G$5:$G$110&lt;&gt;"acoes")))*INDEX(Inputs!$K$5:$AJ$110,0,MATCH(V$2,Inputs!$K$4:$AJ$4,0)))+SUMPRODUCT((Inputs!$C$5:$C$110=$B44)*Inputs!$D$5:$D$110*(((Inputs!$G$5:$G$110="moeda")+(Inputs!$G$5:$G$110="acoes"))*Inputs!$B$1+((Inputs!$G$5:$G$110&lt;&gt;"moeda")*(Inputs!$G$5:$G$110&lt;&gt;"acoes")))*INDEX(Inputs!$K$5:$AJ$110,0,MATCH(V$2,Inputs!$K$4:$AJ$4,0)))+SUMPRODUCT((Inputs!$E$5:$E$110=$B44)*Inputs!$F$5:$F$110*(((Inputs!$G$5:$G$110="moeda")+(Inputs!$G$5:$G$110="acoes"))*Inputs!$B$1+((Inputs!$G$5:$G$110&lt;&gt;"moeda")*(Inputs!$G$5:$G$110&lt;&gt;"acoes")))*INDEX(Inputs!$K$5:$AJ$110,0,MATCH(V$2,Inputs!$K$4:$AJ$4,0)))))</f>
        <v>0</v>
      </c>
      <c r="W44" s="3">
        <f>V44</f>
        <v>0</v>
      </c>
      <c r="X44" s="6">
        <f>IF(ISNA(MATCH(X$2,Inputs!$K$4:$AJ$4,0)),NA(),IF(SUMPRODUCT((Inputs!$A$5:$A$110=$B44)*ISNUMBER(INDEX(Inputs!$K$5:$AJ$110,0,MATCH(X$2,Inputs!$K$4:$AJ$4,0))))+SUMPRODUCT((Inputs!$C$5:$C$110=$B44)*ISNUMBER(INDEX(Inputs!$K$5:$AJ$110,0,MATCH(X$2,Inputs!$K$4:$AJ$4,0))))+SUMPRODUCT((Inputs!$E$5:$E$110=$B44)*ISNUMBER(INDEX(Inputs!$K$5:$AJ$110,0,MATCH(X$2,Inputs!$K$4:$AJ$4,0))))=0,NA(),SUMPRODUCT((Inputs!$A$5:$A$110=$B44)*Inputs!$B$5:$B$110*(((Inputs!$G$5:$G$110="moeda")+(Inputs!$G$5:$G$110="acoes"))*Inputs!$B$1+((Inputs!$G$5:$G$110&lt;&gt;"moeda")*(Inputs!$G$5:$G$110&lt;&gt;"acoes")))*INDEX(Inputs!$K$5:$AJ$110,0,MATCH(X$2,Inputs!$K$4:$AJ$4,0)))+SUMPRODUCT((Inputs!$C$5:$C$110=$B44)*Inputs!$D$5:$D$110*(((Inputs!$G$5:$G$110="moeda")+(Inputs!$G$5:$G$110="acoes"))*Inputs!$B$1+((Inputs!$G$5:$G$110&lt;&gt;"moeda")*(Inputs!$G$5:$G$110&lt;&gt;"acoes")))*INDEX(Inputs!$K$5:$AJ$110,0,MATCH(X$2,Inputs!$K$4:$AJ$4,0)))+SUMPRODUCT((Inputs!$E$5:$E$110=$B44)*Inputs!$F$5:$F$110*(((Inputs!$G$5:$G$110="moeda")+(Inputs!$G$5:$G$110="acoes"))*Inputs!$B$1+((Inputs!$G$5:$G$110&lt;&gt;"moeda")*(Inputs!$G$5:$G$110&lt;&gt;"acoes")))*INDEX(Inputs!$K$5:$AJ$110,0,MATCH(X$2,Inputs!$K$4:$AJ$4,0)))))</f>
        <v>0</v>
      </c>
      <c r="Y44" s="6">
        <f>IF(ISNA(MATCH(Y$2,Inputs!$K$4:$AJ$4,0)),NA(),IF(SUMPRODUCT((Inputs!$A$5:$A$110=$B44)*ISNUMBER(INDEX(Inputs!$K$5:$AJ$110,0,MATCH(Y$2,Inputs!$K$4:$AJ$4,0))))+SUMPRODUCT((Inputs!$C$5:$C$110=$B44)*ISNUMBER(INDEX(Inputs!$K$5:$AJ$110,0,MATCH(Y$2,Inputs!$K$4:$AJ$4,0))))+SUMPRODUCT((Inputs!$E$5:$E$110=$B44)*ISNUMBER(INDEX(Inputs!$K$5:$AJ$110,0,MATCH(Y$2,Inputs!$K$4:$AJ$4,0))))=0,NA(),SUMPRODUCT((Inputs!$A$5:$A$110=$B44)*Inputs!$B$5:$B$110*(((Inputs!$G$5:$G$110="moeda")+(Inputs!$G$5:$G$110="acoes"))*Inputs!$B$1+((Inputs!$G$5:$G$110&lt;&gt;"moeda")*(Inputs!$G$5:$G$110&lt;&gt;"acoes")))*INDEX(Inputs!$K$5:$AJ$110,0,MATCH(Y$2,Inputs!$K$4:$AJ$4,0)))+SUMPRODUCT((Inputs!$C$5:$C$110=$B44)*Inputs!$D$5:$D$110*(((Inputs!$G$5:$G$110="moeda")+(Inputs!$G$5:$G$110="acoes"))*Inputs!$B$1+((Inputs!$G$5:$G$110&lt;&gt;"moeda")*(Inputs!$G$5:$G$110&lt;&gt;"acoes")))*INDEX(Inputs!$K$5:$AJ$110,0,MATCH(Y$2,Inputs!$K$4:$AJ$4,0)))+SUMPRODUCT((Inputs!$E$5:$E$110=$B44)*Inputs!$F$5:$F$110*(((Inputs!$G$5:$G$110="moeda")+(Inputs!$G$5:$G$110="acoes"))*Inputs!$B$1+((Inputs!$G$5:$G$110&lt;&gt;"moeda")*(Inputs!$G$5:$G$110&lt;&gt;"acoes")))*INDEX(Inputs!$K$5:$AJ$110,0,MATCH(Y$2,Inputs!$K$4:$AJ$4,0)))))</f>
        <v>0</v>
      </c>
      <c r="Z44" s="6">
        <f>IF(ISNA(MATCH(Z$2,Inputs!$K$4:$AJ$4,0)),NA(),IF(SUMPRODUCT((Inputs!$A$5:$A$110=$B44)*ISNUMBER(INDEX(Inputs!$K$5:$AJ$110,0,MATCH(Z$2,Inputs!$K$4:$AJ$4,0))))+SUMPRODUCT((Inputs!$C$5:$C$110=$B44)*ISNUMBER(INDEX(Inputs!$K$5:$AJ$110,0,MATCH(Z$2,Inputs!$K$4:$AJ$4,0))))+SUMPRODUCT((Inputs!$E$5:$E$110=$B44)*ISNUMBER(INDEX(Inputs!$K$5:$AJ$110,0,MATCH(Z$2,Inputs!$K$4:$AJ$4,0))))=0,NA(),SUMPRODUCT((Inputs!$A$5:$A$110=$B44)*Inputs!$B$5:$B$110*(((Inputs!$G$5:$G$110="moeda")+(Inputs!$G$5:$G$110="acoes"))*Inputs!$B$1+((Inputs!$G$5:$G$110&lt;&gt;"moeda")*(Inputs!$G$5:$G$110&lt;&gt;"acoes")))*INDEX(Inputs!$K$5:$AJ$110,0,MATCH(Z$2,Inputs!$K$4:$AJ$4,0)))+SUMPRODUCT((Inputs!$C$5:$C$110=$B44)*Inputs!$D$5:$D$110*(((Inputs!$G$5:$G$110="moeda")+(Inputs!$G$5:$G$110="acoes"))*Inputs!$B$1+((Inputs!$G$5:$G$110&lt;&gt;"moeda")*(Inputs!$G$5:$G$110&lt;&gt;"acoes")))*INDEX(Inputs!$K$5:$AJ$110,0,MATCH(Z$2,Inputs!$K$4:$AJ$4,0)))+SUMPRODUCT((Inputs!$E$5:$E$110=$B44)*Inputs!$F$5:$F$110*(((Inputs!$G$5:$G$110="moeda")+(Inputs!$G$5:$G$110="acoes"))*Inputs!$B$1+((Inputs!$G$5:$G$110&lt;&gt;"moeda")*(Inputs!$G$5:$G$110&lt;&gt;"acoes")))*INDEX(Inputs!$K$5:$AJ$110,0,MATCH(Z$2,Inputs!$K$4:$AJ$4,0)))))</f>
        <v>0</v>
      </c>
      <c r="AA44" s="6">
        <f>IF(ISNA(MATCH(AA$2,Inputs!$K$4:$AJ$4,0)),NA(),IF(SUMPRODUCT((Inputs!$A$5:$A$110=$B44)*ISNUMBER(INDEX(Inputs!$K$5:$AJ$110,0,MATCH(AA$2,Inputs!$K$4:$AJ$4,0))))+SUMPRODUCT((Inputs!$C$5:$C$110=$B44)*ISNUMBER(INDEX(Inputs!$K$5:$AJ$110,0,MATCH(AA$2,Inputs!$K$4:$AJ$4,0))))+SUMPRODUCT((Inputs!$E$5:$E$110=$B44)*ISNUMBER(INDEX(Inputs!$K$5:$AJ$110,0,MATCH(AA$2,Inputs!$K$4:$AJ$4,0))))=0,NA(),SUMPRODUCT((Inputs!$A$5:$A$110=$B44)*Inputs!$B$5:$B$110*(((Inputs!$G$5:$G$110="moeda")+(Inputs!$G$5:$G$110="acoes"))*Inputs!$B$1+((Inputs!$G$5:$G$110&lt;&gt;"moeda")*(Inputs!$G$5:$G$110&lt;&gt;"acoes")))*INDEX(Inputs!$K$5:$AJ$110,0,MATCH(AA$2,Inputs!$K$4:$AJ$4,0)))+SUMPRODUCT((Inputs!$C$5:$C$110=$B44)*Inputs!$D$5:$D$110*(((Inputs!$G$5:$G$110="moeda")+(Inputs!$G$5:$G$110="acoes"))*Inputs!$B$1+((Inputs!$G$5:$G$110&lt;&gt;"moeda")*(Inputs!$G$5:$G$110&lt;&gt;"acoes")))*INDEX(Inputs!$K$5:$AJ$110,0,MATCH(AA$2,Inputs!$K$4:$AJ$4,0)))+SUMPRODUCT((Inputs!$E$5:$E$110=$B44)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4" s="3">
        <f>AA44</f>
        <v>0</v>
      </c>
      <c r="AC44" s="6">
        <f>IF(ISNA(MATCH(AC$2,Inputs!$K$4:$AJ$4,0)),NA(),IF(SUMPRODUCT((Inputs!$A$5:$A$110=$B44)*ISNUMBER(INDEX(Inputs!$K$5:$AJ$110,0,MATCH(AC$2,Inputs!$K$4:$AJ$4,0))))+SUMPRODUCT((Inputs!$C$5:$C$110=$B44)*ISNUMBER(INDEX(Inputs!$K$5:$AJ$110,0,MATCH(AC$2,Inputs!$K$4:$AJ$4,0))))+SUMPRODUCT((Inputs!$E$5:$E$110=$B44)*ISNUMBER(INDEX(Inputs!$K$5:$AJ$110,0,MATCH(AC$2,Inputs!$K$4:$AJ$4,0))))=0,NA(),SUMPRODUCT((Inputs!$A$5:$A$110=$B44)*Inputs!$B$5:$B$110*(((Inputs!$G$5:$G$110="moeda")+(Inputs!$G$5:$G$110="acoes"))*Inputs!$B$1+((Inputs!$G$5:$G$110&lt;&gt;"moeda")*(Inputs!$G$5:$G$110&lt;&gt;"acoes")))*INDEX(Inputs!$K$5:$AJ$110,0,MATCH(AC$2,Inputs!$K$4:$AJ$4,0)))+SUMPRODUCT((Inputs!$C$5:$C$110=$B44)*Inputs!$D$5:$D$110*(((Inputs!$G$5:$G$110="moeda")+(Inputs!$G$5:$G$110="acoes"))*Inputs!$B$1+((Inputs!$G$5:$G$110&lt;&gt;"moeda")*(Inputs!$G$5:$G$110&lt;&gt;"acoes")))*INDEX(Inputs!$K$5:$AJ$110,0,MATCH(AC$2,Inputs!$K$4:$AJ$4,0)))+SUMPRODUCT((Inputs!$E$5:$E$110=$B44)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4" s="6">
        <f>IF(ISNA(MATCH(AD$2,Inputs!$K$4:$AJ$4,0)),NA(),IF(SUMPRODUCT((Inputs!$A$5:$A$110=$B44)*ISNUMBER(INDEX(Inputs!$K$5:$AJ$110,0,MATCH(AD$2,Inputs!$K$4:$AJ$4,0))))+SUMPRODUCT((Inputs!$C$5:$C$110=$B44)*ISNUMBER(INDEX(Inputs!$K$5:$AJ$110,0,MATCH(AD$2,Inputs!$K$4:$AJ$4,0))))+SUMPRODUCT((Inputs!$E$5:$E$110=$B44)*ISNUMBER(INDEX(Inputs!$K$5:$AJ$110,0,MATCH(AD$2,Inputs!$K$4:$AJ$4,0))))=0,NA(),SUMPRODUCT((Inputs!$A$5:$A$110=$B44)*Inputs!$B$5:$B$110*(((Inputs!$G$5:$G$110="moeda")+(Inputs!$G$5:$G$110="acoes"))*Inputs!$B$1+((Inputs!$G$5:$G$110&lt;&gt;"moeda")*(Inputs!$G$5:$G$110&lt;&gt;"acoes")))*INDEX(Inputs!$K$5:$AJ$110,0,MATCH(AD$2,Inputs!$K$4:$AJ$4,0)))+SUMPRODUCT((Inputs!$C$5:$C$110=$B44)*Inputs!$D$5:$D$110*(((Inputs!$G$5:$G$110="moeda")+(Inputs!$G$5:$G$110="acoes"))*Inputs!$B$1+((Inputs!$G$5:$G$110&lt;&gt;"moeda")*(Inputs!$G$5:$G$110&lt;&gt;"acoes")))*INDEX(Inputs!$K$5:$AJ$110,0,MATCH(AD$2,Inputs!$K$4:$AJ$4,0)))+SUMPRODUCT((Inputs!$E$5:$E$110=$B44)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4" s="6" t="e">
        <f>IF(ISNA(MATCH(AE$2,Inputs!$K$4:$AJ$4,0)),NA(),IF(SUMPRODUCT((Inputs!$A$5:$A$110=$B44)*ISNUMBER(INDEX(Inputs!$K$5:$AJ$110,0,MATCH(AE$2,Inputs!$K$4:$AJ$4,0))))+SUMPRODUCT((Inputs!$C$5:$C$110=$B44)*ISNUMBER(INDEX(Inputs!$K$5:$AJ$110,0,MATCH(AE$2,Inputs!$K$4:$AJ$4,0))))+SUMPRODUCT((Inputs!$E$5:$E$110=$B44)*ISNUMBER(INDEX(Inputs!$K$5:$AJ$110,0,MATCH(AE$2,Inputs!$K$4:$AJ$4,0))))=0,NA(),SUMPRODUCT((Inputs!$A$5:$A$110=$B44)*Inputs!$B$5:$B$110*(((Inputs!$G$5:$G$110="moeda")+(Inputs!$G$5:$G$110="acoes"))*Inputs!$B$1+((Inputs!$G$5:$G$110&lt;&gt;"moeda")*(Inputs!$G$5:$G$110&lt;&gt;"acoes")))*INDEX(Inputs!$K$5:$AJ$110,0,MATCH(AE$2,Inputs!$K$4:$AJ$4,0)))+SUMPRODUCT((Inputs!$C$5:$C$110=$B44)*Inputs!$D$5:$D$110*(((Inputs!$G$5:$G$110="moeda")+(Inputs!$G$5:$G$110="acoes"))*Inputs!$B$1+((Inputs!$G$5:$G$110&lt;&gt;"moeda")*(Inputs!$G$5:$G$110&lt;&gt;"acoes")))*INDEX(Inputs!$K$5:$AJ$110,0,MATCH(AE$2,Inputs!$K$4:$AJ$4,0)))+SUMPRODUCT((Inputs!$E$5:$E$110=$B44)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4" s="6" t="e">
        <f>IF(ISNA(MATCH(AF$2,Inputs!$K$4:$AJ$4,0)),NA(),IF(SUMPRODUCT((Inputs!$A$5:$A$110=$B44)*ISNUMBER(INDEX(Inputs!$K$5:$AJ$110,0,MATCH(AF$2,Inputs!$K$4:$AJ$4,0))))+SUMPRODUCT((Inputs!$C$5:$C$110=$B44)*ISNUMBER(INDEX(Inputs!$K$5:$AJ$110,0,MATCH(AF$2,Inputs!$K$4:$AJ$4,0))))+SUMPRODUCT((Inputs!$E$5:$E$110=$B44)*ISNUMBER(INDEX(Inputs!$K$5:$AJ$110,0,MATCH(AF$2,Inputs!$K$4:$AJ$4,0))))=0,NA(),SUMPRODUCT((Inputs!$A$5:$A$110=$B44)*Inputs!$B$5:$B$110*(((Inputs!$G$5:$G$110="moeda")+(Inputs!$G$5:$G$110="acoes"))*Inputs!$B$1+((Inputs!$G$5:$G$110&lt;&gt;"moeda")*(Inputs!$G$5:$G$110&lt;&gt;"acoes")))*INDEX(Inputs!$K$5:$AJ$110,0,MATCH(AF$2,Inputs!$K$4:$AJ$4,0)))+SUMPRODUCT((Inputs!$C$5:$C$110=$B44)*Inputs!$D$5:$D$110*(((Inputs!$G$5:$G$110="moeda")+(Inputs!$G$5:$G$110="acoes"))*Inputs!$B$1+((Inputs!$G$5:$G$110&lt;&gt;"moeda")*(Inputs!$G$5:$G$110&lt;&gt;"acoes")))*INDEX(Inputs!$K$5:$AJ$110,0,MATCH(AF$2,Inputs!$K$4:$AJ$4,0)))+SUMPRODUCT((Inputs!$E$5:$E$110=$B44)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4" s="3" t="e">
        <f>AF44</f>
        <v>#N/A</v>
      </c>
      <c r="AH44" s="6">
        <f>IF(ISNA(MATCH(AH$2,Inputs!$K$4:$AJ$4,0)),NA(),IF(SUMPRODUCT((Inputs!$A$5:$A$110=$B44)*ISNUMBER(INDEX(Inputs!$K$5:$AJ$110,0,MATCH(AH$2,Inputs!$K$4:$AJ$4,0))))+SUMPRODUCT((Inputs!$C$5:$C$110=$B44)*ISNUMBER(INDEX(Inputs!$K$5:$AJ$110,0,MATCH(AH$2,Inputs!$K$4:$AJ$4,0))))+SUMPRODUCT((Inputs!$E$5:$E$110=$B44)*ISNUMBER(INDEX(Inputs!$K$5:$AJ$110,0,MATCH(AH$2,Inputs!$K$4:$AJ$4,0))))=0,NA(),SUMPRODUCT((Inputs!$A$5:$A$110=$B44)*Inputs!$B$5:$B$110*(((Inputs!$G$5:$G$110="moeda")+(Inputs!$G$5:$G$110="acoes"))*Inputs!$B$1+((Inputs!$G$5:$G$110&lt;&gt;"moeda")*(Inputs!$G$5:$G$110&lt;&gt;"acoes")))*INDEX(Inputs!$K$5:$AJ$110,0,MATCH(AH$2,Inputs!$K$4:$AJ$4,0)))+SUMPRODUCT((Inputs!$C$5:$C$110=$B44)*Inputs!$D$5:$D$110*(((Inputs!$G$5:$G$110="moeda")+(Inputs!$G$5:$G$110="acoes"))*Inputs!$B$1+((Inputs!$G$5:$G$110&lt;&gt;"moeda")*(Inputs!$G$5:$G$110&lt;&gt;"acoes")))*INDEX(Inputs!$K$5:$AJ$110,0,MATCH(AH$2,Inputs!$K$4:$AJ$4,0)))+SUMPRODUCT((Inputs!$E$5:$E$110=$B44)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4" s="6">
        <f>IF(ISNA(MATCH(AI$2,Inputs!$K$4:$AJ$4,0)),NA(),IF(SUMPRODUCT((Inputs!$A$5:$A$110=$B44)*ISNUMBER(INDEX(Inputs!$K$5:$AJ$110,0,MATCH(AI$2,Inputs!$K$4:$AJ$4,0))))+SUMPRODUCT((Inputs!$C$5:$C$110=$B44)*ISNUMBER(INDEX(Inputs!$K$5:$AJ$110,0,MATCH(AI$2,Inputs!$K$4:$AJ$4,0))))+SUMPRODUCT((Inputs!$E$5:$E$110=$B44)*ISNUMBER(INDEX(Inputs!$K$5:$AJ$110,0,MATCH(AI$2,Inputs!$K$4:$AJ$4,0))))=0,NA(),SUMPRODUCT((Inputs!$A$5:$A$110=$B44)*Inputs!$B$5:$B$110*(((Inputs!$G$5:$G$110="moeda")+(Inputs!$G$5:$G$110="acoes"))*Inputs!$B$1+((Inputs!$G$5:$G$110&lt;&gt;"moeda")*(Inputs!$G$5:$G$110&lt;&gt;"acoes")))*INDEX(Inputs!$K$5:$AJ$110,0,MATCH(AI$2,Inputs!$K$4:$AJ$4,0)))+SUMPRODUCT((Inputs!$C$5:$C$110=$B44)*Inputs!$D$5:$D$110*(((Inputs!$G$5:$G$110="moeda")+(Inputs!$G$5:$G$110="acoes"))*Inputs!$B$1+((Inputs!$G$5:$G$110&lt;&gt;"moeda")*(Inputs!$G$5:$G$110&lt;&gt;"acoes")))*INDEX(Inputs!$K$5:$AJ$110,0,MATCH(AI$2,Inputs!$K$4:$AJ$4,0)))+SUMPRODUCT((Inputs!$E$5:$E$110=$B44)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4" s="6">
        <f>IF(ISNA(MATCH(AJ$2,Inputs!$K$4:$AJ$4,0)),NA(),IF(SUMPRODUCT((Inputs!$A$5:$A$110=$B44)*ISNUMBER(INDEX(Inputs!$K$5:$AJ$110,0,MATCH(AJ$2,Inputs!$K$4:$AJ$4,0))))+SUMPRODUCT((Inputs!$C$5:$C$110=$B44)*ISNUMBER(INDEX(Inputs!$K$5:$AJ$110,0,MATCH(AJ$2,Inputs!$K$4:$AJ$4,0))))+SUMPRODUCT((Inputs!$E$5:$E$110=$B44)*ISNUMBER(INDEX(Inputs!$K$5:$AJ$110,0,MATCH(AJ$2,Inputs!$K$4:$AJ$4,0))))=0,NA(),SUMPRODUCT((Inputs!$A$5:$A$110=$B44)*Inputs!$B$5:$B$110*(((Inputs!$G$5:$G$110="moeda")+(Inputs!$G$5:$G$110="acoes"))*Inputs!$B$1+((Inputs!$G$5:$G$110&lt;&gt;"moeda")*(Inputs!$G$5:$G$110&lt;&gt;"acoes")))*INDEX(Inputs!$K$5:$AJ$110,0,MATCH(AJ$2,Inputs!$K$4:$AJ$4,0)))+SUMPRODUCT((Inputs!$C$5:$C$110=$B44)*Inputs!$D$5:$D$110*(((Inputs!$G$5:$G$110="moeda")+(Inputs!$G$5:$G$110="acoes"))*Inputs!$B$1+((Inputs!$G$5:$G$110&lt;&gt;"moeda")*(Inputs!$G$5:$G$110&lt;&gt;"acoes")))*INDEX(Inputs!$K$5:$AJ$110,0,MATCH(AJ$2,Inputs!$K$4:$AJ$4,0)))+SUMPRODUCT((Inputs!$E$5:$E$110=$B44)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4" s="6">
        <f>IF(ISNA(MATCH(AK$2,Inputs!$K$4:$AJ$4,0)),NA(),IF(SUMPRODUCT((Inputs!$A$5:$A$110=$B44)*ISNUMBER(INDEX(Inputs!$K$5:$AJ$110,0,MATCH(AK$2,Inputs!$K$4:$AJ$4,0))))+SUMPRODUCT((Inputs!$C$5:$C$110=$B44)*ISNUMBER(INDEX(Inputs!$K$5:$AJ$110,0,MATCH(AK$2,Inputs!$K$4:$AJ$4,0))))+SUMPRODUCT((Inputs!$E$5:$E$110=$B44)*ISNUMBER(INDEX(Inputs!$K$5:$AJ$110,0,MATCH(AK$2,Inputs!$K$4:$AJ$4,0))))=0,NA(),SUMPRODUCT((Inputs!$A$5:$A$110=$B44)*Inputs!$B$5:$B$110*(((Inputs!$G$5:$G$110="moeda")+(Inputs!$G$5:$G$110="acoes"))*Inputs!$B$1+((Inputs!$G$5:$G$110&lt;&gt;"moeda")*(Inputs!$G$5:$G$110&lt;&gt;"acoes")))*INDEX(Inputs!$K$5:$AJ$110,0,MATCH(AK$2,Inputs!$K$4:$AJ$4,0)))+SUMPRODUCT((Inputs!$C$5:$C$110=$B44)*Inputs!$D$5:$D$110*(((Inputs!$G$5:$G$110="moeda")+(Inputs!$G$5:$G$110="acoes"))*Inputs!$B$1+((Inputs!$G$5:$G$110&lt;&gt;"moeda")*(Inputs!$G$5:$G$110&lt;&gt;"acoes")))*INDEX(Inputs!$K$5:$AJ$110,0,MATCH(AK$2,Inputs!$K$4:$AJ$4,0)))+SUMPRODUCT((Inputs!$E$5:$E$110=$B44)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4" s="3">
        <f>AK44</f>
        <v>0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$110=$B45)*ISNUMBER(INDEX(Inputs!$K$5:$AJ$110,0,MATCH(D$2,Inputs!$K$4:$AJ$4,0))))+SUMPRODUCT((Inputs!$C$5:$C$110=$B45)*ISNUMBER(INDEX(Inputs!$K$5:$AJ$110,0,MATCH(D$2,Inputs!$K$4:$AJ$4,0))))+SUMPRODUCT((Inputs!$E$5:$E$110=$B45)*ISNUMBER(INDEX(Inputs!$K$5:$AJ$110,0,MATCH(D$2,Inputs!$K$4:$AJ$4,0))))=0,NA(),SUMPRODUCT((Inputs!$A$5:$A$110=$B45)*Inputs!$B$5:$B$110*(((Inputs!$G$5:$G$110="moeda")+(Inputs!$G$5:$G$110="acoes"))*Inputs!$B$1+((Inputs!$G$5:$G$110&lt;&gt;"moeda")*(Inputs!$G$5:$G$110&lt;&gt;"acoes")))*INDEX(Inputs!$K$5:$AJ$110,0,MATCH(D$2,Inputs!$K$4:$AJ$4,0)))+SUMPRODUCT((Inputs!$C$5:$C$110=$B45)*Inputs!$D$5:$D$110*(((Inputs!$G$5:$G$110="moeda")+(Inputs!$G$5:$G$110="acoes"))*Inputs!$B$1+((Inputs!$G$5:$G$110&lt;&gt;"moeda")*(Inputs!$G$5:$G$110&lt;&gt;"acoes")))*INDEX(Inputs!$K$5:$AJ$110,0,MATCH(D$2,Inputs!$K$4:$AJ$4,0)))+SUMPRODUCT((Inputs!$E$5:$E$110=$B45)*Inputs!$F$5:$F$110*(((Inputs!$G$5:$G$110="moeda")+(Inputs!$G$5:$G$110="acoes"))*Inputs!$B$1+((Inputs!$G$5:$G$110&lt;&gt;"moeda")*(Inputs!$G$5:$G$110&lt;&gt;"acoes")))*INDEX(Inputs!$K$5:$AJ$110,0,MATCH(D$2,Inputs!$K$4:$AJ$4,0)))))</f>
        <v>-16008</v>
      </c>
      <c r="E45" s="6">
        <f>IF(ISNA(MATCH(E$2,Inputs!$K$4:$AJ$4,0)),NA(),IF(SUMPRODUCT((Inputs!$A$5:$A$110=$B45)*ISNUMBER(INDEX(Inputs!$K$5:$AJ$110,0,MATCH(E$2,Inputs!$K$4:$AJ$4,0))))+SUMPRODUCT((Inputs!$C$5:$C$110=$B45)*ISNUMBER(INDEX(Inputs!$K$5:$AJ$110,0,MATCH(E$2,Inputs!$K$4:$AJ$4,0))))+SUMPRODUCT((Inputs!$E$5:$E$110=$B45)*ISNUMBER(INDEX(Inputs!$K$5:$AJ$110,0,MATCH(E$2,Inputs!$K$4:$AJ$4,0))))=0,NA(),SUMPRODUCT((Inputs!$A$5:$A$110=$B45)*Inputs!$B$5:$B$110*(((Inputs!$G$5:$G$110="moeda")+(Inputs!$G$5:$G$110="acoes"))*Inputs!$B$1+((Inputs!$G$5:$G$110&lt;&gt;"moeda")*(Inputs!$G$5:$G$110&lt;&gt;"acoes")))*INDEX(Inputs!$K$5:$AJ$110,0,MATCH(E$2,Inputs!$K$4:$AJ$4,0)))+SUMPRODUCT((Inputs!$C$5:$C$110=$B45)*Inputs!$D$5:$D$110*(((Inputs!$G$5:$G$110="moeda")+(Inputs!$G$5:$G$110="acoes"))*Inputs!$B$1+((Inputs!$G$5:$G$110&lt;&gt;"moeda")*(Inputs!$G$5:$G$110&lt;&gt;"acoes")))*INDEX(Inputs!$K$5:$AJ$110,0,MATCH(E$2,Inputs!$K$4:$AJ$4,0)))+SUMPRODUCT((Inputs!$E$5:$E$110=$B45)*Inputs!$F$5:$F$110*(((Inputs!$G$5:$G$110="moeda")+(Inputs!$G$5:$G$110="acoes"))*Inputs!$B$1+((Inputs!$G$5:$G$110&lt;&gt;"moeda")*(Inputs!$G$5:$G$110&lt;&gt;"acoes")))*INDEX(Inputs!$K$5:$AJ$110,0,MATCH(E$2,Inputs!$K$4:$AJ$4,0)))))</f>
        <v>-15837</v>
      </c>
      <c r="F45" s="6">
        <f>IF(ISNA(MATCH(F$2,Inputs!$K$4:$AJ$4,0)),NA(),IF(SUMPRODUCT((Inputs!$A$5:$A$110=$B45)*ISNUMBER(INDEX(Inputs!$K$5:$AJ$110,0,MATCH(F$2,Inputs!$K$4:$AJ$4,0))))+SUMPRODUCT((Inputs!$C$5:$C$110=$B45)*ISNUMBER(INDEX(Inputs!$K$5:$AJ$110,0,MATCH(F$2,Inputs!$K$4:$AJ$4,0))))+SUMPRODUCT((Inputs!$E$5:$E$110=$B45)*ISNUMBER(INDEX(Inputs!$K$5:$AJ$110,0,MATCH(F$2,Inputs!$K$4:$AJ$4,0))))=0,NA(),SUMPRODUCT((Inputs!$A$5:$A$110=$B45)*Inputs!$B$5:$B$110*(((Inputs!$G$5:$G$110="moeda")+(Inputs!$G$5:$G$110="acoes"))*Inputs!$B$1+((Inputs!$G$5:$G$110&lt;&gt;"moeda")*(Inputs!$G$5:$G$110&lt;&gt;"acoes")))*INDEX(Inputs!$K$5:$AJ$110,0,MATCH(F$2,Inputs!$K$4:$AJ$4,0)))+SUMPRODUCT((Inputs!$C$5:$C$110=$B45)*Inputs!$D$5:$D$110*(((Inputs!$G$5:$G$110="moeda")+(Inputs!$G$5:$G$110="acoes"))*Inputs!$B$1+((Inputs!$G$5:$G$110&lt;&gt;"moeda")*(Inputs!$G$5:$G$110&lt;&gt;"acoes")))*INDEX(Inputs!$K$5:$AJ$110,0,MATCH(F$2,Inputs!$K$4:$AJ$4,0)))+SUMPRODUCT((Inputs!$E$5:$E$110=$B45)*Inputs!$F$5:$F$110*(((Inputs!$G$5:$G$110="moeda")+(Inputs!$G$5:$G$110="acoes"))*Inputs!$B$1+((Inputs!$G$5:$G$110&lt;&gt;"moeda")*(Inputs!$G$5:$G$110&lt;&gt;"acoes")))*INDEX(Inputs!$K$5:$AJ$110,0,MATCH(F$2,Inputs!$K$4:$AJ$4,0)))))</f>
        <v>-12217</v>
      </c>
      <c r="G45" s="6">
        <f>IF(ISNA(MATCH(G$2,Inputs!$K$4:$AJ$4,0)),NA(),IF(SUMPRODUCT((Inputs!$A$5:$A$110=$B45)*ISNUMBER(INDEX(Inputs!$K$5:$AJ$110,0,MATCH(G$2,Inputs!$K$4:$AJ$4,0))))+SUMPRODUCT((Inputs!$C$5:$C$110=$B45)*ISNUMBER(INDEX(Inputs!$K$5:$AJ$110,0,MATCH(G$2,Inputs!$K$4:$AJ$4,0))))+SUMPRODUCT((Inputs!$E$5:$E$110=$B45)*ISNUMBER(INDEX(Inputs!$K$5:$AJ$110,0,MATCH(G$2,Inputs!$K$4:$AJ$4,0))))=0,NA(),SUMPRODUCT((Inputs!$A$5:$A$110=$B45)*Inputs!$B$5:$B$110*(((Inputs!$G$5:$G$110="moeda")+(Inputs!$G$5:$G$110="acoes"))*Inputs!$B$1+((Inputs!$G$5:$G$110&lt;&gt;"moeda")*(Inputs!$G$5:$G$110&lt;&gt;"acoes")))*INDEX(Inputs!$K$5:$AJ$110,0,MATCH(G$2,Inputs!$K$4:$AJ$4,0)))+SUMPRODUCT((Inputs!$C$5:$C$110=$B45)*Inputs!$D$5:$D$110*(((Inputs!$G$5:$G$110="moeda")+(Inputs!$G$5:$G$110="acoes"))*Inputs!$B$1+((Inputs!$G$5:$G$110&lt;&gt;"moeda")*(Inputs!$G$5:$G$110&lt;&gt;"acoes")))*INDEX(Inputs!$K$5:$AJ$110,0,MATCH(G$2,Inputs!$K$4:$AJ$4,0)))+SUMPRODUCT((Inputs!$E$5:$E$110=$B45)*Inputs!$F$5:$F$110*(((Inputs!$G$5:$G$110="moeda")+(Inputs!$G$5:$G$110="acoes"))*Inputs!$B$1+((Inputs!$G$5:$G$110&lt;&gt;"moeda")*(Inputs!$G$5:$G$110&lt;&gt;"acoes")))*INDEX(Inputs!$K$5:$AJ$110,0,MATCH(G$2,Inputs!$K$4:$AJ$4,0)))))</f>
        <v>-11006</v>
      </c>
      <c r="H45" s="3">
        <f>G45</f>
        <v>-11006</v>
      </c>
      <c r="I45" s="6">
        <f>IF(ISNA(MATCH(I$2,Inputs!$K$4:$AJ$4,0)),NA(),IF(SUMPRODUCT((Inputs!$A$5:$A$110=$B45)*ISNUMBER(INDEX(Inputs!$K$5:$AJ$110,0,MATCH(I$2,Inputs!$K$4:$AJ$4,0))))+SUMPRODUCT((Inputs!$C$5:$C$110=$B45)*ISNUMBER(INDEX(Inputs!$K$5:$AJ$110,0,MATCH(I$2,Inputs!$K$4:$AJ$4,0))))+SUMPRODUCT((Inputs!$E$5:$E$110=$B45)*ISNUMBER(INDEX(Inputs!$K$5:$AJ$110,0,MATCH(I$2,Inputs!$K$4:$AJ$4,0))))=0,NA(),SUMPRODUCT((Inputs!$A$5:$A$110=$B45)*Inputs!$B$5:$B$110*(((Inputs!$G$5:$G$110="moeda")+(Inputs!$G$5:$G$110="acoes"))*Inputs!$B$1+((Inputs!$G$5:$G$110&lt;&gt;"moeda")*(Inputs!$G$5:$G$110&lt;&gt;"acoes")))*INDEX(Inputs!$K$5:$AJ$110,0,MATCH(I$2,Inputs!$K$4:$AJ$4,0)))+SUMPRODUCT((Inputs!$C$5:$C$110=$B45)*Inputs!$D$5:$D$110*(((Inputs!$G$5:$G$110="moeda")+(Inputs!$G$5:$G$110="acoes"))*Inputs!$B$1+((Inputs!$G$5:$G$110&lt;&gt;"moeda")*(Inputs!$G$5:$G$110&lt;&gt;"acoes")))*INDEX(Inputs!$K$5:$AJ$110,0,MATCH(I$2,Inputs!$K$4:$AJ$4,0)))+SUMPRODUCT((Inputs!$E$5:$E$110=$B45)*Inputs!$F$5:$F$110*(((Inputs!$G$5:$G$110="moeda")+(Inputs!$G$5:$G$110="acoes"))*Inputs!$B$1+((Inputs!$G$5:$G$110&lt;&gt;"moeda")*(Inputs!$G$5:$G$110&lt;&gt;"acoes")))*INDEX(Inputs!$K$5:$AJ$110,0,MATCH(I$2,Inputs!$K$4:$AJ$4,0)))))</f>
        <v>-10979</v>
      </c>
      <c r="J45" s="6">
        <f>IF(ISNA(MATCH(J$2,Inputs!$K$4:$AJ$4,0)),NA(),IF(SUMPRODUCT((Inputs!$A$5:$A$110=$B45)*ISNUMBER(INDEX(Inputs!$K$5:$AJ$110,0,MATCH(J$2,Inputs!$K$4:$AJ$4,0))))+SUMPRODUCT((Inputs!$C$5:$C$110=$B45)*ISNUMBER(INDEX(Inputs!$K$5:$AJ$110,0,MATCH(J$2,Inputs!$K$4:$AJ$4,0))))+SUMPRODUCT((Inputs!$E$5:$E$110=$B45)*ISNUMBER(INDEX(Inputs!$K$5:$AJ$110,0,MATCH(J$2,Inputs!$K$4:$AJ$4,0))))=0,NA(),SUMPRODUCT((Inputs!$A$5:$A$110=$B45)*Inputs!$B$5:$B$110*(((Inputs!$G$5:$G$110="moeda")+(Inputs!$G$5:$G$110="acoes"))*Inputs!$B$1+((Inputs!$G$5:$G$110&lt;&gt;"moeda")*(Inputs!$G$5:$G$110&lt;&gt;"acoes")))*INDEX(Inputs!$K$5:$AJ$110,0,MATCH(J$2,Inputs!$K$4:$AJ$4,0)))+SUMPRODUCT((Inputs!$C$5:$C$110=$B45)*Inputs!$D$5:$D$110*(((Inputs!$G$5:$G$110="moeda")+(Inputs!$G$5:$G$110="acoes"))*Inputs!$B$1+((Inputs!$G$5:$G$110&lt;&gt;"moeda")*(Inputs!$G$5:$G$110&lt;&gt;"acoes")))*INDEX(Inputs!$K$5:$AJ$110,0,MATCH(J$2,Inputs!$K$4:$AJ$4,0)))+SUMPRODUCT((Inputs!$E$5:$E$110=$B45)*Inputs!$F$5:$F$110*(((Inputs!$G$5:$G$110="moeda")+(Inputs!$G$5:$G$110="acoes"))*Inputs!$B$1+((Inputs!$G$5:$G$110&lt;&gt;"moeda")*(Inputs!$G$5:$G$110&lt;&gt;"acoes")))*INDEX(Inputs!$K$5:$AJ$110,0,MATCH(J$2,Inputs!$K$4:$AJ$4,0)))))</f>
        <v>-8168</v>
      </c>
      <c r="K45" s="6">
        <f>IF(ISNA(MATCH(K$2,Inputs!$K$4:$AJ$4,0)),NA(),IF(SUMPRODUCT((Inputs!$A$5:$A$110=$B45)*ISNUMBER(INDEX(Inputs!$K$5:$AJ$110,0,MATCH(K$2,Inputs!$K$4:$AJ$4,0))))+SUMPRODUCT((Inputs!$C$5:$C$110=$B45)*ISNUMBER(INDEX(Inputs!$K$5:$AJ$110,0,MATCH(K$2,Inputs!$K$4:$AJ$4,0))))+SUMPRODUCT((Inputs!$E$5:$E$110=$B45)*ISNUMBER(INDEX(Inputs!$K$5:$AJ$110,0,MATCH(K$2,Inputs!$K$4:$AJ$4,0))))=0,NA(),SUMPRODUCT((Inputs!$A$5:$A$110=$B45)*Inputs!$B$5:$B$110*(((Inputs!$G$5:$G$110="moeda")+(Inputs!$G$5:$G$110="acoes"))*Inputs!$B$1+((Inputs!$G$5:$G$110&lt;&gt;"moeda")*(Inputs!$G$5:$G$110&lt;&gt;"acoes")))*INDEX(Inputs!$K$5:$AJ$110,0,MATCH(K$2,Inputs!$K$4:$AJ$4,0)))+SUMPRODUCT((Inputs!$C$5:$C$110=$B45)*Inputs!$D$5:$D$110*(((Inputs!$G$5:$G$110="moeda")+(Inputs!$G$5:$G$110="acoes"))*Inputs!$B$1+((Inputs!$G$5:$G$110&lt;&gt;"moeda")*(Inputs!$G$5:$G$110&lt;&gt;"acoes")))*INDEX(Inputs!$K$5:$AJ$110,0,MATCH(K$2,Inputs!$K$4:$AJ$4,0)))+SUMPRODUCT((Inputs!$E$5:$E$110=$B45)*Inputs!$F$5:$F$110*(((Inputs!$G$5:$G$110="moeda")+(Inputs!$G$5:$G$110="acoes"))*Inputs!$B$1+((Inputs!$G$5:$G$110&lt;&gt;"moeda")*(Inputs!$G$5:$G$110&lt;&gt;"acoes")))*INDEX(Inputs!$K$5:$AJ$110,0,MATCH(K$2,Inputs!$K$4:$AJ$4,0)))))</f>
        <v>-8134</v>
      </c>
      <c r="L45" s="6">
        <f>IF(ISNA(MATCH(L$2,Inputs!$K$4:$AJ$4,0)),NA(),IF(SUMPRODUCT((Inputs!$A$5:$A$110=$B45)*ISNUMBER(INDEX(Inputs!$K$5:$AJ$110,0,MATCH(L$2,Inputs!$K$4:$AJ$4,0))))+SUMPRODUCT((Inputs!$C$5:$C$110=$B45)*ISNUMBER(INDEX(Inputs!$K$5:$AJ$110,0,MATCH(L$2,Inputs!$K$4:$AJ$4,0))))+SUMPRODUCT((Inputs!$E$5:$E$110=$B45)*ISNUMBER(INDEX(Inputs!$K$5:$AJ$110,0,MATCH(L$2,Inputs!$K$4:$AJ$4,0))))=0,NA(),SUMPRODUCT((Inputs!$A$5:$A$110=$B45)*Inputs!$B$5:$B$110*(((Inputs!$G$5:$G$110="moeda")+(Inputs!$G$5:$G$110="acoes"))*Inputs!$B$1+((Inputs!$G$5:$G$110&lt;&gt;"moeda")*(Inputs!$G$5:$G$110&lt;&gt;"acoes")))*INDEX(Inputs!$K$5:$AJ$110,0,MATCH(L$2,Inputs!$K$4:$AJ$4,0)))+SUMPRODUCT((Inputs!$C$5:$C$110=$B45)*Inputs!$D$5:$D$110*(((Inputs!$G$5:$G$110="moeda")+(Inputs!$G$5:$G$110="acoes"))*Inputs!$B$1+((Inputs!$G$5:$G$110&lt;&gt;"moeda")*(Inputs!$G$5:$G$110&lt;&gt;"acoes")))*INDEX(Inputs!$K$5:$AJ$110,0,MATCH(L$2,Inputs!$K$4:$AJ$4,0)))+SUMPRODUCT((Inputs!$E$5:$E$110=$B45)*Inputs!$F$5:$F$110*(((Inputs!$G$5:$G$110="moeda")+(Inputs!$G$5:$G$110="acoes"))*Inputs!$B$1+((Inputs!$G$5:$G$110&lt;&gt;"moeda")*(Inputs!$G$5:$G$110&lt;&gt;"acoes")))*INDEX(Inputs!$K$5:$AJ$110,0,MATCH(L$2,Inputs!$K$4:$AJ$4,0)))))</f>
        <v>-8023</v>
      </c>
      <c r="M45" s="3">
        <f>L45</f>
        <v>-8023</v>
      </c>
      <c r="N45" s="6">
        <f>IF(ISNA(MATCH(N$2,Inputs!$K$4:$AJ$4,0)),NA(),IF(SUMPRODUCT((Inputs!$A$5:$A$110=$B45)*ISNUMBER(INDEX(Inputs!$K$5:$AJ$110,0,MATCH(N$2,Inputs!$K$4:$AJ$4,0))))+SUMPRODUCT((Inputs!$C$5:$C$110=$B45)*ISNUMBER(INDEX(Inputs!$K$5:$AJ$110,0,MATCH(N$2,Inputs!$K$4:$AJ$4,0))))+SUMPRODUCT((Inputs!$E$5:$E$110=$B45)*ISNUMBER(INDEX(Inputs!$K$5:$AJ$110,0,MATCH(N$2,Inputs!$K$4:$AJ$4,0))))=0,NA(),SUMPRODUCT((Inputs!$A$5:$A$110=$B45)*Inputs!$B$5:$B$110*(((Inputs!$G$5:$G$110="moeda")+(Inputs!$G$5:$G$110="acoes"))*Inputs!$B$1+((Inputs!$G$5:$G$110&lt;&gt;"moeda")*(Inputs!$G$5:$G$110&lt;&gt;"acoes")))*INDEX(Inputs!$K$5:$AJ$110,0,MATCH(N$2,Inputs!$K$4:$AJ$4,0)))+SUMPRODUCT((Inputs!$C$5:$C$110=$B45)*Inputs!$D$5:$D$110*(((Inputs!$G$5:$G$110="moeda")+(Inputs!$G$5:$G$110="acoes"))*Inputs!$B$1+((Inputs!$G$5:$G$110&lt;&gt;"moeda")*(Inputs!$G$5:$G$110&lt;&gt;"acoes")))*INDEX(Inputs!$K$5:$AJ$110,0,MATCH(N$2,Inputs!$K$4:$AJ$4,0)))+SUMPRODUCT((Inputs!$E$5:$E$110=$B45)*Inputs!$F$5:$F$110*(((Inputs!$G$5:$G$110="moeda")+(Inputs!$G$5:$G$110="acoes"))*Inputs!$B$1+((Inputs!$G$5:$G$110&lt;&gt;"moeda")*(Inputs!$G$5:$G$110&lt;&gt;"acoes")))*INDEX(Inputs!$K$5:$AJ$110,0,MATCH(N$2,Inputs!$K$4:$AJ$4,0)))))</f>
        <v>-8086</v>
      </c>
      <c r="O45" s="6">
        <f>IF(ISNA(MATCH(O$2,Inputs!$K$4:$AJ$4,0)),NA(),IF(SUMPRODUCT((Inputs!$A$5:$A$110=$B45)*ISNUMBER(INDEX(Inputs!$K$5:$AJ$110,0,MATCH(O$2,Inputs!$K$4:$AJ$4,0))))+SUMPRODUCT((Inputs!$C$5:$C$110=$B45)*ISNUMBER(INDEX(Inputs!$K$5:$AJ$110,0,MATCH(O$2,Inputs!$K$4:$AJ$4,0))))+SUMPRODUCT((Inputs!$E$5:$E$110=$B45)*ISNUMBER(INDEX(Inputs!$K$5:$AJ$110,0,MATCH(O$2,Inputs!$K$4:$AJ$4,0))))=0,NA(),SUMPRODUCT((Inputs!$A$5:$A$110=$B45)*Inputs!$B$5:$B$110*(((Inputs!$G$5:$G$110="moeda")+(Inputs!$G$5:$G$110="acoes"))*Inputs!$B$1+((Inputs!$G$5:$G$110&lt;&gt;"moeda")*(Inputs!$G$5:$G$110&lt;&gt;"acoes")))*INDEX(Inputs!$K$5:$AJ$110,0,MATCH(O$2,Inputs!$K$4:$AJ$4,0)))+SUMPRODUCT((Inputs!$C$5:$C$110=$B45)*Inputs!$D$5:$D$110*(((Inputs!$G$5:$G$110="moeda")+(Inputs!$G$5:$G$110="acoes"))*Inputs!$B$1+((Inputs!$G$5:$G$110&lt;&gt;"moeda")*(Inputs!$G$5:$G$110&lt;&gt;"acoes")))*INDEX(Inputs!$K$5:$AJ$110,0,MATCH(O$2,Inputs!$K$4:$AJ$4,0)))+SUMPRODUCT((Inputs!$E$5:$E$110=$B45)*Inputs!$F$5:$F$110*(((Inputs!$G$5:$G$110="moeda")+(Inputs!$G$5:$G$110="acoes"))*Inputs!$B$1+((Inputs!$G$5:$G$110&lt;&gt;"moeda")*(Inputs!$G$5:$G$110&lt;&gt;"acoes")))*INDEX(Inputs!$K$5:$AJ$110,0,MATCH(O$2,Inputs!$K$4:$AJ$4,0)))))</f>
        <v>-8079</v>
      </c>
      <c r="P45" s="6">
        <f>IF(ISNA(MATCH(P$2,Inputs!$K$4:$AJ$4,0)),NA(),IF(SUMPRODUCT((Inputs!$A$5:$A$110=$B45)*ISNUMBER(INDEX(Inputs!$K$5:$AJ$110,0,MATCH(P$2,Inputs!$K$4:$AJ$4,0))))+SUMPRODUCT((Inputs!$C$5:$C$110=$B45)*ISNUMBER(INDEX(Inputs!$K$5:$AJ$110,0,MATCH(P$2,Inputs!$K$4:$AJ$4,0))))+SUMPRODUCT((Inputs!$E$5:$E$110=$B45)*ISNUMBER(INDEX(Inputs!$K$5:$AJ$110,0,MATCH(P$2,Inputs!$K$4:$AJ$4,0))))=0,NA(),SUMPRODUCT((Inputs!$A$5:$A$110=$B45)*Inputs!$B$5:$B$110*(((Inputs!$G$5:$G$110="moeda")+(Inputs!$G$5:$G$110="acoes"))*Inputs!$B$1+((Inputs!$G$5:$G$110&lt;&gt;"moeda")*(Inputs!$G$5:$G$110&lt;&gt;"acoes")))*INDEX(Inputs!$K$5:$AJ$110,0,MATCH(P$2,Inputs!$K$4:$AJ$4,0)))+SUMPRODUCT((Inputs!$C$5:$C$110=$B45)*Inputs!$D$5:$D$110*(((Inputs!$G$5:$G$110="moeda")+(Inputs!$G$5:$G$110="acoes"))*Inputs!$B$1+((Inputs!$G$5:$G$110&lt;&gt;"moeda")*(Inputs!$G$5:$G$110&lt;&gt;"acoes")))*INDEX(Inputs!$K$5:$AJ$110,0,MATCH(P$2,Inputs!$K$4:$AJ$4,0)))+SUMPRODUCT((Inputs!$E$5:$E$110=$B45)*Inputs!$F$5:$F$110*(((Inputs!$G$5:$G$110="moeda")+(Inputs!$G$5:$G$110="acoes"))*Inputs!$B$1+((Inputs!$G$5:$G$110&lt;&gt;"moeda")*(Inputs!$G$5:$G$110&lt;&gt;"acoes")))*INDEX(Inputs!$K$5:$AJ$110,0,MATCH(P$2,Inputs!$K$4:$AJ$4,0)))))</f>
        <v>-8146</v>
      </c>
      <c r="Q45" s="6">
        <f>IF(ISNA(MATCH(Q$2,Inputs!$K$4:$AJ$4,0)),NA(),IF(SUMPRODUCT((Inputs!$A$5:$A$110=$B45)*ISNUMBER(INDEX(Inputs!$K$5:$AJ$110,0,MATCH(Q$2,Inputs!$K$4:$AJ$4,0))))+SUMPRODUCT((Inputs!$C$5:$C$110=$B45)*ISNUMBER(INDEX(Inputs!$K$5:$AJ$110,0,MATCH(Q$2,Inputs!$K$4:$AJ$4,0))))+SUMPRODUCT((Inputs!$E$5:$E$110=$B45)*ISNUMBER(INDEX(Inputs!$K$5:$AJ$110,0,MATCH(Q$2,Inputs!$K$4:$AJ$4,0))))=0,NA(),SUMPRODUCT((Inputs!$A$5:$A$110=$B45)*Inputs!$B$5:$B$110*(((Inputs!$G$5:$G$110="moeda")+(Inputs!$G$5:$G$110="acoes"))*Inputs!$B$1+((Inputs!$G$5:$G$110&lt;&gt;"moeda")*(Inputs!$G$5:$G$110&lt;&gt;"acoes")))*INDEX(Inputs!$K$5:$AJ$110,0,MATCH(Q$2,Inputs!$K$4:$AJ$4,0)))+SUMPRODUCT((Inputs!$C$5:$C$110=$B45)*Inputs!$D$5:$D$110*(((Inputs!$G$5:$G$110="moeda")+(Inputs!$G$5:$G$110="acoes"))*Inputs!$B$1+((Inputs!$G$5:$G$110&lt;&gt;"moeda")*(Inputs!$G$5:$G$110&lt;&gt;"acoes")))*INDEX(Inputs!$K$5:$AJ$110,0,MATCH(Q$2,Inputs!$K$4:$AJ$4,0)))+SUMPRODUCT((Inputs!$E$5:$E$110=$B45)*Inputs!$F$5:$F$110*(((Inputs!$G$5:$G$110="moeda")+(Inputs!$G$5:$G$110="acoes"))*Inputs!$B$1+((Inputs!$G$5:$G$110&lt;&gt;"moeda")*(Inputs!$G$5:$G$110&lt;&gt;"acoes")))*INDEX(Inputs!$K$5:$AJ$110,0,MATCH(Q$2,Inputs!$K$4:$AJ$4,0)))))</f>
        <v>-8803</v>
      </c>
      <c r="R45" s="3">
        <f>Q45</f>
        <v>-8803</v>
      </c>
      <c r="S45" s="6">
        <f>IF(ISNA(MATCH(S$2,Inputs!$K$4:$AJ$4,0)),NA(),IF(SUMPRODUCT((Inputs!$A$5:$A$110=$B45)*ISNUMBER(INDEX(Inputs!$K$5:$AJ$110,0,MATCH(S$2,Inputs!$K$4:$AJ$4,0))))+SUMPRODUCT((Inputs!$C$5:$C$110=$B45)*ISNUMBER(INDEX(Inputs!$K$5:$AJ$110,0,MATCH(S$2,Inputs!$K$4:$AJ$4,0))))+SUMPRODUCT((Inputs!$E$5:$E$110=$B45)*ISNUMBER(INDEX(Inputs!$K$5:$AJ$110,0,MATCH(S$2,Inputs!$K$4:$AJ$4,0))))=0,NA(),SUMPRODUCT((Inputs!$A$5:$A$110=$B45)*Inputs!$B$5:$B$110*(((Inputs!$G$5:$G$110="moeda")+(Inputs!$G$5:$G$110="acoes"))*Inputs!$B$1+((Inputs!$G$5:$G$110&lt;&gt;"moeda")*(Inputs!$G$5:$G$110&lt;&gt;"acoes")))*INDEX(Inputs!$K$5:$AJ$110,0,MATCH(S$2,Inputs!$K$4:$AJ$4,0)))+SUMPRODUCT((Inputs!$C$5:$C$110=$B45)*Inputs!$D$5:$D$110*(((Inputs!$G$5:$G$110="moeda")+(Inputs!$G$5:$G$110="acoes"))*Inputs!$B$1+((Inputs!$G$5:$G$110&lt;&gt;"moeda")*(Inputs!$G$5:$G$110&lt;&gt;"acoes")))*INDEX(Inputs!$K$5:$AJ$110,0,MATCH(S$2,Inputs!$K$4:$AJ$4,0)))+SUMPRODUCT((Inputs!$E$5:$E$110=$B45)*Inputs!$F$5:$F$110*(((Inputs!$G$5:$G$110="moeda")+(Inputs!$G$5:$G$110="acoes"))*Inputs!$B$1+((Inputs!$G$5:$G$110&lt;&gt;"moeda")*(Inputs!$G$5:$G$110&lt;&gt;"acoes")))*INDEX(Inputs!$K$5:$AJ$110,0,MATCH(S$2,Inputs!$K$4:$AJ$4,0)))))</f>
        <v>-8811</v>
      </c>
      <c r="T45" s="6">
        <f>IF(ISNA(MATCH(T$2,Inputs!$K$4:$AJ$4,0)),NA(),IF(SUMPRODUCT((Inputs!$A$5:$A$110=$B45)*ISNUMBER(INDEX(Inputs!$K$5:$AJ$110,0,MATCH(T$2,Inputs!$K$4:$AJ$4,0))))+SUMPRODUCT((Inputs!$C$5:$C$110=$B45)*ISNUMBER(INDEX(Inputs!$K$5:$AJ$110,0,MATCH(T$2,Inputs!$K$4:$AJ$4,0))))+SUMPRODUCT((Inputs!$E$5:$E$110=$B45)*ISNUMBER(INDEX(Inputs!$K$5:$AJ$110,0,MATCH(T$2,Inputs!$K$4:$AJ$4,0))))=0,NA(),SUMPRODUCT((Inputs!$A$5:$A$110=$B45)*Inputs!$B$5:$B$110*(((Inputs!$G$5:$G$110="moeda")+(Inputs!$G$5:$G$110="acoes"))*Inputs!$B$1+((Inputs!$G$5:$G$110&lt;&gt;"moeda")*(Inputs!$G$5:$G$110&lt;&gt;"acoes")))*INDEX(Inputs!$K$5:$AJ$110,0,MATCH(T$2,Inputs!$K$4:$AJ$4,0)))+SUMPRODUCT((Inputs!$C$5:$C$110=$B45)*Inputs!$D$5:$D$110*(((Inputs!$G$5:$G$110="moeda")+(Inputs!$G$5:$G$110="acoes"))*Inputs!$B$1+((Inputs!$G$5:$G$110&lt;&gt;"moeda")*(Inputs!$G$5:$G$110&lt;&gt;"acoes")))*INDEX(Inputs!$K$5:$AJ$110,0,MATCH(T$2,Inputs!$K$4:$AJ$4,0)))+SUMPRODUCT((Inputs!$E$5:$E$110=$B45)*Inputs!$F$5:$F$110*(((Inputs!$G$5:$G$110="moeda")+(Inputs!$G$5:$G$110="acoes"))*Inputs!$B$1+((Inputs!$G$5:$G$110&lt;&gt;"moeda")*(Inputs!$G$5:$G$110&lt;&gt;"acoes")))*INDEX(Inputs!$K$5:$AJ$110,0,MATCH(T$2,Inputs!$K$4:$AJ$4,0)))))</f>
        <v>-8769</v>
      </c>
      <c r="U45" s="6">
        <f>IF(ISNA(MATCH(U$2,Inputs!$K$4:$AJ$4,0)),NA(),IF(SUMPRODUCT((Inputs!$A$5:$A$110=$B45)*ISNUMBER(INDEX(Inputs!$K$5:$AJ$110,0,MATCH(U$2,Inputs!$K$4:$AJ$4,0))))+SUMPRODUCT((Inputs!$C$5:$C$110=$B45)*ISNUMBER(INDEX(Inputs!$K$5:$AJ$110,0,MATCH(U$2,Inputs!$K$4:$AJ$4,0))))+SUMPRODUCT((Inputs!$E$5:$E$110=$B45)*ISNUMBER(INDEX(Inputs!$K$5:$AJ$110,0,MATCH(U$2,Inputs!$K$4:$AJ$4,0))))=0,NA(),SUMPRODUCT((Inputs!$A$5:$A$110=$B45)*Inputs!$B$5:$B$110*(((Inputs!$G$5:$G$110="moeda")+(Inputs!$G$5:$G$110="acoes"))*Inputs!$B$1+((Inputs!$G$5:$G$110&lt;&gt;"moeda")*(Inputs!$G$5:$G$110&lt;&gt;"acoes")))*INDEX(Inputs!$K$5:$AJ$110,0,MATCH(U$2,Inputs!$K$4:$AJ$4,0)))+SUMPRODUCT((Inputs!$C$5:$C$110=$B45)*Inputs!$D$5:$D$110*(((Inputs!$G$5:$G$110="moeda")+(Inputs!$G$5:$G$110="acoes"))*Inputs!$B$1+((Inputs!$G$5:$G$110&lt;&gt;"moeda")*(Inputs!$G$5:$G$110&lt;&gt;"acoes")))*INDEX(Inputs!$K$5:$AJ$110,0,MATCH(U$2,Inputs!$K$4:$AJ$4,0)))+SUMPRODUCT((Inputs!$E$5:$E$110=$B45)*Inputs!$F$5:$F$110*(((Inputs!$G$5:$G$110="moeda")+(Inputs!$G$5:$G$110="acoes"))*Inputs!$B$1+((Inputs!$G$5:$G$110&lt;&gt;"moeda")*(Inputs!$G$5:$G$110&lt;&gt;"acoes")))*INDEX(Inputs!$K$5:$AJ$110,0,MATCH(U$2,Inputs!$K$4:$AJ$4,0)))))</f>
        <v>-8693</v>
      </c>
      <c r="V45" s="6">
        <f>IF(ISNA(MATCH(V$2,Inputs!$K$4:$AJ$4,0)),NA(),IF(SUMPRODUCT((Inputs!$A$5:$A$110=$B45)*ISNUMBER(INDEX(Inputs!$K$5:$AJ$110,0,MATCH(V$2,Inputs!$K$4:$AJ$4,0))))+SUMPRODUCT((Inputs!$C$5:$C$110=$B45)*ISNUMBER(INDEX(Inputs!$K$5:$AJ$110,0,MATCH(V$2,Inputs!$K$4:$AJ$4,0))))+SUMPRODUCT((Inputs!$E$5:$E$110=$B45)*ISNUMBER(INDEX(Inputs!$K$5:$AJ$110,0,MATCH(V$2,Inputs!$K$4:$AJ$4,0))))=0,NA(),SUMPRODUCT((Inputs!$A$5:$A$110=$B45)*Inputs!$B$5:$B$110*(((Inputs!$G$5:$G$110="moeda")+(Inputs!$G$5:$G$110="acoes"))*Inputs!$B$1+((Inputs!$G$5:$G$110&lt;&gt;"moeda")*(Inputs!$G$5:$G$110&lt;&gt;"acoes")))*INDEX(Inputs!$K$5:$AJ$110,0,MATCH(V$2,Inputs!$K$4:$AJ$4,0)))+SUMPRODUCT((Inputs!$C$5:$C$110=$B45)*Inputs!$D$5:$D$110*(((Inputs!$G$5:$G$110="moeda")+(Inputs!$G$5:$G$110="acoes"))*Inputs!$B$1+((Inputs!$G$5:$G$110&lt;&gt;"moeda")*(Inputs!$G$5:$G$110&lt;&gt;"acoes")))*INDEX(Inputs!$K$5:$AJ$110,0,MATCH(V$2,Inputs!$K$4:$AJ$4,0)))+SUMPRODUCT((Inputs!$E$5:$E$110=$B45)*Inputs!$F$5:$F$110*(((Inputs!$G$5:$G$110="moeda")+(Inputs!$G$5:$G$110="acoes"))*Inputs!$B$1+((Inputs!$G$5:$G$110&lt;&gt;"moeda")*(Inputs!$G$5:$G$110&lt;&gt;"acoes")))*INDEX(Inputs!$K$5:$AJ$110,0,MATCH(V$2,Inputs!$K$4:$AJ$4,0)))))</f>
        <v>-8452</v>
      </c>
      <c r="W45" s="3">
        <f>V45</f>
        <v>-8452</v>
      </c>
      <c r="X45" s="6">
        <f>IF(ISNA(MATCH(X$2,Inputs!$K$4:$AJ$4,0)),NA(),IF(SUMPRODUCT((Inputs!$A$5:$A$110=$B45)*ISNUMBER(INDEX(Inputs!$K$5:$AJ$110,0,MATCH(X$2,Inputs!$K$4:$AJ$4,0))))+SUMPRODUCT((Inputs!$C$5:$C$110=$B45)*ISNUMBER(INDEX(Inputs!$K$5:$AJ$110,0,MATCH(X$2,Inputs!$K$4:$AJ$4,0))))+SUMPRODUCT((Inputs!$E$5:$E$110=$B45)*ISNUMBER(INDEX(Inputs!$K$5:$AJ$110,0,MATCH(X$2,Inputs!$K$4:$AJ$4,0))))=0,NA(),SUMPRODUCT((Inputs!$A$5:$A$110=$B45)*Inputs!$B$5:$B$110*(((Inputs!$G$5:$G$110="moeda")+(Inputs!$G$5:$G$110="acoes"))*Inputs!$B$1+((Inputs!$G$5:$G$110&lt;&gt;"moeda")*(Inputs!$G$5:$G$110&lt;&gt;"acoes")))*INDEX(Inputs!$K$5:$AJ$110,0,MATCH(X$2,Inputs!$K$4:$AJ$4,0)))+SUMPRODUCT((Inputs!$C$5:$C$110=$B45)*Inputs!$D$5:$D$110*(((Inputs!$G$5:$G$110="moeda")+(Inputs!$G$5:$G$110="acoes"))*Inputs!$B$1+((Inputs!$G$5:$G$110&lt;&gt;"moeda")*(Inputs!$G$5:$G$110&lt;&gt;"acoes")))*INDEX(Inputs!$K$5:$AJ$110,0,MATCH(X$2,Inputs!$K$4:$AJ$4,0)))+SUMPRODUCT((Inputs!$E$5:$E$110=$B45)*Inputs!$F$5:$F$110*(((Inputs!$G$5:$G$110="moeda")+(Inputs!$G$5:$G$110="acoes"))*Inputs!$B$1+((Inputs!$G$5:$G$110&lt;&gt;"moeda")*(Inputs!$G$5:$G$110&lt;&gt;"acoes")))*INDEX(Inputs!$K$5:$AJ$110,0,MATCH(X$2,Inputs!$K$4:$AJ$4,0)))))</f>
        <v>-8323</v>
      </c>
      <c r="Y45" s="6">
        <f>IF(ISNA(MATCH(Y$2,Inputs!$K$4:$AJ$4,0)),NA(),IF(SUMPRODUCT((Inputs!$A$5:$A$110=$B45)*ISNUMBER(INDEX(Inputs!$K$5:$AJ$110,0,MATCH(Y$2,Inputs!$K$4:$AJ$4,0))))+SUMPRODUCT((Inputs!$C$5:$C$110=$B45)*ISNUMBER(INDEX(Inputs!$K$5:$AJ$110,0,MATCH(Y$2,Inputs!$K$4:$AJ$4,0))))+SUMPRODUCT((Inputs!$E$5:$E$110=$B45)*ISNUMBER(INDEX(Inputs!$K$5:$AJ$110,0,MATCH(Y$2,Inputs!$K$4:$AJ$4,0))))=0,NA(),SUMPRODUCT((Inputs!$A$5:$A$110=$B45)*Inputs!$B$5:$B$110*(((Inputs!$G$5:$G$110="moeda")+(Inputs!$G$5:$G$110="acoes"))*Inputs!$B$1+((Inputs!$G$5:$G$110&lt;&gt;"moeda")*(Inputs!$G$5:$G$110&lt;&gt;"acoes")))*INDEX(Inputs!$K$5:$AJ$110,0,MATCH(Y$2,Inputs!$K$4:$AJ$4,0)))+SUMPRODUCT((Inputs!$C$5:$C$110=$B45)*Inputs!$D$5:$D$110*(((Inputs!$G$5:$G$110="moeda")+(Inputs!$G$5:$G$110="acoes"))*Inputs!$B$1+((Inputs!$G$5:$G$110&lt;&gt;"moeda")*(Inputs!$G$5:$G$110&lt;&gt;"acoes")))*INDEX(Inputs!$K$5:$AJ$110,0,MATCH(Y$2,Inputs!$K$4:$AJ$4,0)))+SUMPRODUCT((Inputs!$E$5:$E$110=$B45)*Inputs!$F$5:$F$110*(((Inputs!$G$5:$G$110="moeda")+(Inputs!$G$5:$G$110="acoes"))*Inputs!$B$1+((Inputs!$G$5:$G$110&lt;&gt;"moeda")*(Inputs!$G$5:$G$110&lt;&gt;"acoes")))*INDEX(Inputs!$K$5:$AJ$110,0,MATCH(Y$2,Inputs!$K$4:$AJ$4,0)))))</f>
        <v>-8157</v>
      </c>
      <c r="Z45" s="6">
        <f>IF(ISNA(MATCH(Z$2,Inputs!$K$4:$AJ$4,0)),NA(),IF(SUMPRODUCT((Inputs!$A$5:$A$110=$B45)*ISNUMBER(INDEX(Inputs!$K$5:$AJ$110,0,MATCH(Z$2,Inputs!$K$4:$AJ$4,0))))+SUMPRODUCT((Inputs!$C$5:$C$110=$B45)*ISNUMBER(INDEX(Inputs!$K$5:$AJ$110,0,MATCH(Z$2,Inputs!$K$4:$AJ$4,0))))+SUMPRODUCT((Inputs!$E$5:$E$110=$B45)*ISNUMBER(INDEX(Inputs!$K$5:$AJ$110,0,MATCH(Z$2,Inputs!$K$4:$AJ$4,0))))=0,NA(),SUMPRODUCT((Inputs!$A$5:$A$110=$B45)*Inputs!$B$5:$B$110*(((Inputs!$G$5:$G$110="moeda")+(Inputs!$G$5:$G$110="acoes"))*Inputs!$B$1+((Inputs!$G$5:$G$110&lt;&gt;"moeda")*(Inputs!$G$5:$G$110&lt;&gt;"acoes")))*INDEX(Inputs!$K$5:$AJ$110,0,MATCH(Z$2,Inputs!$K$4:$AJ$4,0)))+SUMPRODUCT((Inputs!$C$5:$C$110=$B45)*Inputs!$D$5:$D$110*(((Inputs!$G$5:$G$110="moeda")+(Inputs!$G$5:$G$110="acoes"))*Inputs!$B$1+((Inputs!$G$5:$G$110&lt;&gt;"moeda")*(Inputs!$G$5:$G$110&lt;&gt;"acoes")))*INDEX(Inputs!$K$5:$AJ$110,0,MATCH(Z$2,Inputs!$K$4:$AJ$4,0)))+SUMPRODUCT((Inputs!$E$5:$E$110=$B45)*Inputs!$F$5:$F$110*(((Inputs!$G$5:$G$110="moeda")+(Inputs!$G$5:$G$110="acoes"))*Inputs!$B$1+((Inputs!$G$5:$G$110&lt;&gt;"moeda")*(Inputs!$G$5:$G$110&lt;&gt;"acoes")))*INDEX(Inputs!$K$5:$AJ$110,0,MATCH(Z$2,Inputs!$K$4:$AJ$4,0)))))</f>
        <v>-8102</v>
      </c>
      <c r="AA45" s="6">
        <f>IF(ISNA(MATCH(AA$2,Inputs!$K$4:$AJ$4,0)),NA(),IF(SUMPRODUCT((Inputs!$A$5:$A$110=$B45)*ISNUMBER(INDEX(Inputs!$K$5:$AJ$110,0,MATCH(AA$2,Inputs!$K$4:$AJ$4,0))))+SUMPRODUCT((Inputs!$C$5:$C$110=$B45)*ISNUMBER(INDEX(Inputs!$K$5:$AJ$110,0,MATCH(AA$2,Inputs!$K$4:$AJ$4,0))))+SUMPRODUCT((Inputs!$E$5:$E$110=$B45)*ISNUMBER(INDEX(Inputs!$K$5:$AJ$110,0,MATCH(AA$2,Inputs!$K$4:$AJ$4,0))))=0,NA(),SUMPRODUCT((Inputs!$A$5:$A$110=$B45)*Inputs!$B$5:$B$110*(((Inputs!$G$5:$G$110="moeda")+(Inputs!$G$5:$G$110="acoes"))*Inputs!$B$1+((Inputs!$G$5:$G$110&lt;&gt;"moeda")*(Inputs!$G$5:$G$110&lt;&gt;"acoes")))*INDEX(Inputs!$K$5:$AJ$110,0,MATCH(AA$2,Inputs!$K$4:$AJ$4,0)))+SUMPRODUCT((Inputs!$C$5:$C$110=$B45)*Inputs!$D$5:$D$110*(((Inputs!$G$5:$G$110="moeda")+(Inputs!$G$5:$G$110="acoes"))*Inputs!$B$1+((Inputs!$G$5:$G$110&lt;&gt;"moeda")*(Inputs!$G$5:$G$110&lt;&gt;"acoes")))*INDEX(Inputs!$K$5:$AJ$110,0,MATCH(AA$2,Inputs!$K$4:$AJ$4,0)))+SUMPRODUCT((Inputs!$E$5:$E$110=$B45)*Inputs!$F$5:$F$110*(((Inputs!$G$5:$G$110="moeda")+(Inputs!$G$5:$G$110="acoes"))*Inputs!$B$1+((Inputs!$G$5:$G$110&lt;&gt;"moeda")*(Inputs!$G$5:$G$110&lt;&gt;"acoes")))*INDEX(Inputs!$K$5:$AJ$110,0,MATCH(AA$2,Inputs!$K$4:$AJ$4,0)))))</f>
        <v>-7542</v>
      </c>
      <c r="AB45" s="3">
        <f>AA45</f>
        <v>-7542</v>
      </c>
      <c r="AC45" s="6">
        <f>IF(ISNA(MATCH(AC$2,Inputs!$K$4:$AJ$4,0)),NA(),IF(SUMPRODUCT((Inputs!$A$5:$A$110=$B45)*ISNUMBER(INDEX(Inputs!$K$5:$AJ$110,0,MATCH(AC$2,Inputs!$K$4:$AJ$4,0))))+SUMPRODUCT((Inputs!$C$5:$C$110=$B45)*ISNUMBER(INDEX(Inputs!$K$5:$AJ$110,0,MATCH(AC$2,Inputs!$K$4:$AJ$4,0))))+SUMPRODUCT((Inputs!$E$5:$E$110=$B45)*ISNUMBER(INDEX(Inputs!$K$5:$AJ$110,0,MATCH(AC$2,Inputs!$K$4:$AJ$4,0))))=0,NA(),SUMPRODUCT((Inputs!$A$5:$A$110=$B45)*Inputs!$B$5:$B$110*(((Inputs!$G$5:$G$110="moeda")+(Inputs!$G$5:$G$110="acoes"))*Inputs!$B$1+((Inputs!$G$5:$G$110&lt;&gt;"moeda")*(Inputs!$G$5:$G$110&lt;&gt;"acoes")))*INDEX(Inputs!$K$5:$AJ$110,0,MATCH(AC$2,Inputs!$K$4:$AJ$4,0)))+SUMPRODUCT((Inputs!$C$5:$C$110=$B45)*Inputs!$D$5:$D$110*(((Inputs!$G$5:$G$110="moeda")+(Inputs!$G$5:$G$110="acoes"))*Inputs!$B$1+((Inputs!$G$5:$G$110&lt;&gt;"moeda")*(Inputs!$G$5:$G$110&lt;&gt;"acoes")))*INDEX(Inputs!$K$5:$AJ$110,0,MATCH(AC$2,Inputs!$K$4:$AJ$4,0)))+SUMPRODUCT((Inputs!$E$5:$E$110=$B45)*Inputs!$F$5:$F$110*(((Inputs!$G$5:$G$110="moeda")+(Inputs!$G$5:$G$110="acoes"))*Inputs!$B$1+((Inputs!$G$5:$G$110&lt;&gt;"moeda")*(Inputs!$G$5:$G$110&lt;&gt;"acoes")))*INDEX(Inputs!$K$5:$AJ$110,0,MATCH(AC$2,Inputs!$K$4:$AJ$4,0)))))</f>
        <v>-7496</v>
      </c>
      <c r="AD45" s="6">
        <f>IF(ISNA(MATCH(AD$2,Inputs!$K$4:$AJ$4,0)),NA(),IF(SUMPRODUCT((Inputs!$A$5:$A$110=$B45)*ISNUMBER(INDEX(Inputs!$K$5:$AJ$110,0,MATCH(AD$2,Inputs!$K$4:$AJ$4,0))))+SUMPRODUCT((Inputs!$C$5:$C$110=$B45)*ISNUMBER(INDEX(Inputs!$K$5:$AJ$110,0,MATCH(AD$2,Inputs!$K$4:$AJ$4,0))))+SUMPRODUCT((Inputs!$E$5:$E$110=$B45)*ISNUMBER(INDEX(Inputs!$K$5:$AJ$110,0,MATCH(AD$2,Inputs!$K$4:$AJ$4,0))))=0,NA(),SUMPRODUCT((Inputs!$A$5:$A$110=$B45)*Inputs!$B$5:$B$110*(((Inputs!$G$5:$G$110="moeda")+(Inputs!$G$5:$G$110="acoes"))*Inputs!$B$1+((Inputs!$G$5:$G$110&lt;&gt;"moeda")*(Inputs!$G$5:$G$110&lt;&gt;"acoes")))*INDEX(Inputs!$K$5:$AJ$110,0,MATCH(AD$2,Inputs!$K$4:$AJ$4,0)))+SUMPRODUCT((Inputs!$C$5:$C$110=$B45)*Inputs!$D$5:$D$110*(((Inputs!$G$5:$G$110="moeda")+(Inputs!$G$5:$G$110="acoes"))*Inputs!$B$1+((Inputs!$G$5:$G$110&lt;&gt;"moeda")*(Inputs!$G$5:$G$110&lt;&gt;"acoes")))*INDEX(Inputs!$K$5:$AJ$110,0,MATCH(AD$2,Inputs!$K$4:$AJ$4,0)))+SUMPRODUCT((Inputs!$E$5:$E$110=$B45)*Inputs!$F$5:$F$110*(((Inputs!$G$5:$G$110="moeda")+(Inputs!$G$5:$G$110="acoes"))*Inputs!$B$1+((Inputs!$G$5:$G$110&lt;&gt;"moeda")*(Inputs!$G$5:$G$110&lt;&gt;"acoes")))*INDEX(Inputs!$K$5:$AJ$110,0,MATCH(AD$2,Inputs!$K$4:$AJ$4,0)))))</f>
        <v>-7468</v>
      </c>
      <c r="AE45" s="6" t="e">
        <f>IF(ISNA(MATCH(AE$2,Inputs!$K$4:$AJ$4,0)),NA(),IF(SUMPRODUCT((Inputs!$A$5:$A$110=$B45)*ISNUMBER(INDEX(Inputs!$K$5:$AJ$110,0,MATCH(AE$2,Inputs!$K$4:$AJ$4,0))))+SUMPRODUCT((Inputs!$C$5:$C$110=$B45)*ISNUMBER(INDEX(Inputs!$K$5:$AJ$110,0,MATCH(AE$2,Inputs!$K$4:$AJ$4,0))))+SUMPRODUCT((Inputs!$E$5:$E$110=$B45)*ISNUMBER(INDEX(Inputs!$K$5:$AJ$110,0,MATCH(AE$2,Inputs!$K$4:$AJ$4,0))))=0,NA(),SUMPRODUCT((Inputs!$A$5:$A$110=$B45)*Inputs!$B$5:$B$110*(((Inputs!$G$5:$G$110="moeda")+(Inputs!$G$5:$G$110="acoes"))*Inputs!$B$1+((Inputs!$G$5:$G$110&lt;&gt;"moeda")*(Inputs!$G$5:$G$110&lt;&gt;"acoes")))*INDEX(Inputs!$K$5:$AJ$110,0,MATCH(AE$2,Inputs!$K$4:$AJ$4,0)))+SUMPRODUCT((Inputs!$C$5:$C$110=$B45)*Inputs!$D$5:$D$110*(((Inputs!$G$5:$G$110="moeda")+(Inputs!$G$5:$G$110="acoes"))*Inputs!$B$1+((Inputs!$G$5:$G$110&lt;&gt;"moeda")*(Inputs!$G$5:$G$110&lt;&gt;"acoes")))*INDEX(Inputs!$K$5:$AJ$110,0,MATCH(AE$2,Inputs!$K$4:$AJ$4,0)))+SUMPRODUCT((Inputs!$E$5:$E$110=$B45)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5" s="6" t="e">
        <f>IF(ISNA(MATCH(AF$2,Inputs!$K$4:$AJ$4,0)),NA(),IF(SUMPRODUCT((Inputs!$A$5:$A$110=$B45)*ISNUMBER(INDEX(Inputs!$K$5:$AJ$110,0,MATCH(AF$2,Inputs!$K$4:$AJ$4,0))))+SUMPRODUCT((Inputs!$C$5:$C$110=$B45)*ISNUMBER(INDEX(Inputs!$K$5:$AJ$110,0,MATCH(AF$2,Inputs!$K$4:$AJ$4,0))))+SUMPRODUCT((Inputs!$E$5:$E$110=$B45)*ISNUMBER(INDEX(Inputs!$K$5:$AJ$110,0,MATCH(AF$2,Inputs!$K$4:$AJ$4,0))))=0,NA(),SUMPRODUCT((Inputs!$A$5:$A$110=$B45)*Inputs!$B$5:$B$110*(((Inputs!$G$5:$G$110="moeda")+(Inputs!$G$5:$G$110="acoes"))*Inputs!$B$1+((Inputs!$G$5:$G$110&lt;&gt;"moeda")*(Inputs!$G$5:$G$110&lt;&gt;"acoes")))*INDEX(Inputs!$K$5:$AJ$110,0,MATCH(AF$2,Inputs!$K$4:$AJ$4,0)))+SUMPRODUCT((Inputs!$C$5:$C$110=$B45)*Inputs!$D$5:$D$110*(((Inputs!$G$5:$G$110="moeda")+(Inputs!$G$5:$G$110="acoes"))*Inputs!$B$1+((Inputs!$G$5:$G$110&lt;&gt;"moeda")*(Inputs!$G$5:$G$110&lt;&gt;"acoes")))*INDEX(Inputs!$K$5:$AJ$110,0,MATCH(AF$2,Inputs!$K$4:$AJ$4,0)))+SUMPRODUCT((Inputs!$E$5:$E$110=$B45)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5" s="3" t="e">
        <f>AF45</f>
        <v>#N/A</v>
      </c>
      <c r="AH45" s="6">
        <f>IF(ISNA(MATCH(AH$2,Inputs!$K$4:$AJ$4,0)),NA(),IF(SUMPRODUCT((Inputs!$A$5:$A$110=$B45)*ISNUMBER(INDEX(Inputs!$K$5:$AJ$110,0,MATCH(AH$2,Inputs!$K$4:$AJ$4,0))))+SUMPRODUCT((Inputs!$C$5:$C$110=$B45)*ISNUMBER(INDEX(Inputs!$K$5:$AJ$110,0,MATCH(AH$2,Inputs!$K$4:$AJ$4,0))))+SUMPRODUCT((Inputs!$E$5:$E$110=$B45)*ISNUMBER(INDEX(Inputs!$K$5:$AJ$110,0,MATCH(AH$2,Inputs!$K$4:$AJ$4,0))))=0,NA(),SUMPRODUCT((Inputs!$A$5:$A$110=$B45)*Inputs!$B$5:$B$110*(((Inputs!$G$5:$G$110="moeda")+(Inputs!$G$5:$G$110="acoes"))*Inputs!$B$1+((Inputs!$G$5:$G$110&lt;&gt;"moeda")*(Inputs!$G$5:$G$110&lt;&gt;"acoes")))*INDEX(Inputs!$K$5:$AJ$110,0,MATCH(AH$2,Inputs!$K$4:$AJ$4,0)))+SUMPRODUCT((Inputs!$C$5:$C$110=$B45)*Inputs!$D$5:$D$110*(((Inputs!$G$5:$G$110="moeda")+(Inputs!$G$5:$G$110="acoes"))*Inputs!$B$1+((Inputs!$G$5:$G$110&lt;&gt;"moeda")*(Inputs!$G$5:$G$110&lt;&gt;"acoes")))*INDEX(Inputs!$K$5:$AJ$110,0,MATCH(AH$2,Inputs!$K$4:$AJ$4,0)))+SUMPRODUCT((Inputs!$E$5:$E$110=$B45)*Inputs!$F$5:$F$110*(((Inputs!$G$5:$G$110="moeda")+(Inputs!$G$5:$G$110="acoes"))*Inputs!$B$1+((Inputs!$G$5:$G$110&lt;&gt;"moeda")*(Inputs!$G$5:$G$110&lt;&gt;"acoes")))*INDEX(Inputs!$K$5:$AJ$110,0,MATCH(AH$2,Inputs!$K$4:$AJ$4,0)))))</f>
        <v>-15541</v>
      </c>
      <c r="AI45" s="6">
        <f>IF(ISNA(MATCH(AI$2,Inputs!$K$4:$AJ$4,0)),NA(),IF(SUMPRODUCT((Inputs!$A$5:$A$110=$B45)*ISNUMBER(INDEX(Inputs!$K$5:$AJ$110,0,MATCH(AI$2,Inputs!$K$4:$AJ$4,0))))+SUMPRODUCT((Inputs!$C$5:$C$110=$B45)*ISNUMBER(INDEX(Inputs!$K$5:$AJ$110,0,MATCH(AI$2,Inputs!$K$4:$AJ$4,0))))+SUMPRODUCT((Inputs!$E$5:$E$110=$B45)*ISNUMBER(INDEX(Inputs!$K$5:$AJ$110,0,MATCH(AI$2,Inputs!$K$4:$AJ$4,0))))=0,NA(),SUMPRODUCT((Inputs!$A$5:$A$110=$B45)*Inputs!$B$5:$B$110*(((Inputs!$G$5:$G$110="moeda")+(Inputs!$G$5:$G$110="acoes"))*Inputs!$B$1+((Inputs!$G$5:$G$110&lt;&gt;"moeda")*(Inputs!$G$5:$G$110&lt;&gt;"acoes")))*INDEX(Inputs!$K$5:$AJ$110,0,MATCH(AI$2,Inputs!$K$4:$AJ$4,0)))+SUMPRODUCT((Inputs!$C$5:$C$110=$B45)*Inputs!$D$5:$D$110*(((Inputs!$G$5:$G$110="moeda")+(Inputs!$G$5:$G$110="acoes"))*Inputs!$B$1+((Inputs!$G$5:$G$110&lt;&gt;"moeda")*(Inputs!$G$5:$G$110&lt;&gt;"acoes")))*INDEX(Inputs!$K$5:$AJ$110,0,MATCH(AI$2,Inputs!$K$4:$AJ$4,0)))+SUMPRODUCT((Inputs!$E$5:$E$110=$B45)*Inputs!$F$5:$F$110*(((Inputs!$G$5:$G$110="moeda")+(Inputs!$G$5:$G$110="acoes"))*Inputs!$B$1+((Inputs!$G$5:$G$110&lt;&gt;"moeda")*(Inputs!$G$5:$G$110&lt;&gt;"acoes")))*INDEX(Inputs!$K$5:$AJ$110,0,MATCH(AI$2,Inputs!$K$4:$AJ$4,0)))))</f>
        <v>-15403</v>
      </c>
      <c r="AJ45" s="6">
        <f>IF(ISNA(MATCH(AJ$2,Inputs!$K$4:$AJ$4,0)),NA(),IF(SUMPRODUCT((Inputs!$A$5:$A$110=$B45)*ISNUMBER(INDEX(Inputs!$K$5:$AJ$110,0,MATCH(AJ$2,Inputs!$K$4:$AJ$4,0))))+SUMPRODUCT((Inputs!$C$5:$C$110=$B45)*ISNUMBER(INDEX(Inputs!$K$5:$AJ$110,0,MATCH(AJ$2,Inputs!$K$4:$AJ$4,0))))+SUMPRODUCT((Inputs!$E$5:$E$110=$B45)*ISNUMBER(INDEX(Inputs!$K$5:$AJ$110,0,MATCH(AJ$2,Inputs!$K$4:$AJ$4,0))))=0,NA(),SUMPRODUCT((Inputs!$A$5:$A$110=$B45)*Inputs!$B$5:$B$110*(((Inputs!$G$5:$G$110="moeda")+(Inputs!$G$5:$G$110="acoes"))*Inputs!$B$1+((Inputs!$G$5:$G$110&lt;&gt;"moeda")*(Inputs!$G$5:$G$110&lt;&gt;"acoes")))*INDEX(Inputs!$K$5:$AJ$110,0,MATCH(AJ$2,Inputs!$K$4:$AJ$4,0)))+SUMPRODUCT((Inputs!$C$5:$C$110=$B45)*Inputs!$D$5:$D$110*(((Inputs!$G$5:$G$110="moeda")+(Inputs!$G$5:$G$110="acoes"))*Inputs!$B$1+((Inputs!$G$5:$G$110&lt;&gt;"moeda")*(Inputs!$G$5:$G$110&lt;&gt;"acoes")))*INDEX(Inputs!$K$5:$AJ$110,0,MATCH(AJ$2,Inputs!$K$4:$AJ$4,0)))+SUMPRODUCT((Inputs!$E$5:$E$110=$B45)*Inputs!$F$5:$F$110*(((Inputs!$G$5:$G$110="moeda")+(Inputs!$G$5:$G$110="acoes"))*Inputs!$B$1+((Inputs!$G$5:$G$110&lt;&gt;"moeda")*(Inputs!$G$5:$G$110&lt;&gt;"acoes")))*INDEX(Inputs!$K$5:$AJ$110,0,MATCH(AJ$2,Inputs!$K$4:$AJ$4,0)))))</f>
        <v>-15259</v>
      </c>
      <c r="AK45" s="6">
        <f>IF(ISNA(MATCH(AK$2,Inputs!$K$4:$AJ$4,0)),NA(),IF(SUMPRODUCT((Inputs!$A$5:$A$110=$B45)*ISNUMBER(INDEX(Inputs!$K$5:$AJ$110,0,MATCH(AK$2,Inputs!$K$4:$AJ$4,0))))+SUMPRODUCT((Inputs!$C$5:$C$110=$B45)*ISNUMBER(INDEX(Inputs!$K$5:$AJ$110,0,MATCH(AK$2,Inputs!$K$4:$AJ$4,0))))+SUMPRODUCT((Inputs!$E$5:$E$110=$B45)*ISNUMBER(INDEX(Inputs!$K$5:$AJ$110,0,MATCH(AK$2,Inputs!$K$4:$AJ$4,0))))=0,NA(),SUMPRODUCT((Inputs!$A$5:$A$110=$B45)*Inputs!$B$5:$B$110*(((Inputs!$G$5:$G$110="moeda")+(Inputs!$G$5:$G$110="acoes"))*Inputs!$B$1+((Inputs!$G$5:$G$110&lt;&gt;"moeda")*(Inputs!$G$5:$G$110&lt;&gt;"acoes")))*INDEX(Inputs!$K$5:$AJ$110,0,MATCH(AK$2,Inputs!$K$4:$AJ$4,0)))+SUMPRODUCT((Inputs!$C$5:$C$110=$B45)*Inputs!$D$5:$D$110*(((Inputs!$G$5:$G$110="moeda")+(Inputs!$G$5:$G$110="acoes"))*Inputs!$B$1+((Inputs!$G$5:$G$110&lt;&gt;"moeda")*(Inputs!$G$5:$G$110&lt;&gt;"acoes")))*INDEX(Inputs!$K$5:$AJ$110,0,MATCH(AK$2,Inputs!$K$4:$AJ$4,0)))+SUMPRODUCT((Inputs!$E$5:$E$110=$B45)*Inputs!$F$5:$F$110*(((Inputs!$G$5:$G$110="moeda")+(Inputs!$G$5:$G$110="acoes"))*Inputs!$B$1+((Inputs!$G$5:$G$110&lt;&gt;"moeda")*(Inputs!$G$5:$G$110&lt;&gt;"acoes")))*INDEX(Inputs!$K$5:$AJ$110,0,MATCH(AK$2,Inputs!$K$4:$AJ$4,0)))))</f>
        <v>-16121</v>
      </c>
      <c r="AL45" s="3">
        <f>AK45</f>
        <v>-16121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$110=$B46)*ISNUMBER(INDEX(Inputs!$K$5:$AJ$110,0,MATCH(D$2,Inputs!$K$4:$AJ$4,0))))+SUMPRODUCT((Inputs!$C$5:$C$110=$B46)*ISNUMBER(INDEX(Inputs!$K$5:$AJ$110,0,MATCH(D$2,Inputs!$K$4:$AJ$4,0))))+SUMPRODUCT((Inputs!$E$5:$E$110=$B46)*ISNUMBER(INDEX(Inputs!$K$5:$AJ$110,0,MATCH(D$2,Inputs!$K$4:$AJ$4,0))))=0,NA(),SUMPRODUCT((Inputs!$A$5:$A$110=$B46)*Inputs!$B$5:$B$110*(((Inputs!$G$5:$G$110="moeda")+(Inputs!$G$5:$G$110="acoes"))*Inputs!$B$1+((Inputs!$G$5:$G$110&lt;&gt;"moeda")*(Inputs!$G$5:$G$110&lt;&gt;"acoes")))*INDEX(Inputs!$K$5:$AJ$110,0,MATCH(D$2,Inputs!$K$4:$AJ$4,0)))+SUMPRODUCT((Inputs!$C$5:$C$110=$B46)*Inputs!$D$5:$D$110*(((Inputs!$G$5:$G$110="moeda")+(Inputs!$G$5:$G$110="acoes"))*Inputs!$B$1+((Inputs!$G$5:$G$110&lt;&gt;"moeda")*(Inputs!$G$5:$G$110&lt;&gt;"acoes")))*INDEX(Inputs!$K$5:$AJ$110,0,MATCH(D$2,Inputs!$K$4:$AJ$4,0)))+SUMPRODUCT((Inputs!$E$5:$E$110=$B46)*Inputs!$F$5:$F$110*(((Inputs!$G$5:$G$110="moeda")+(Inputs!$G$5:$G$110="acoes"))*Inputs!$B$1+((Inputs!$G$5:$G$110&lt;&gt;"moeda")*(Inputs!$G$5:$G$110&lt;&gt;"acoes")))*INDEX(Inputs!$K$5:$AJ$110,0,MATCH(D$2,Inputs!$K$4:$AJ$4,0)))))</f>
        <v>0</v>
      </c>
      <c r="E46" s="6">
        <f>IF(ISNA(MATCH(E$2,Inputs!$K$4:$AJ$4,0)),NA(),IF(SUMPRODUCT((Inputs!$A$5:$A$110=$B46)*ISNUMBER(INDEX(Inputs!$K$5:$AJ$110,0,MATCH(E$2,Inputs!$K$4:$AJ$4,0))))+SUMPRODUCT((Inputs!$C$5:$C$110=$B46)*ISNUMBER(INDEX(Inputs!$K$5:$AJ$110,0,MATCH(E$2,Inputs!$K$4:$AJ$4,0))))+SUMPRODUCT((Inputs!$E$5:$E$110=$B46)*ISNUMBER(INDEX(Inputs!$K$5:$AJ$110,0,MATCH(E$2,Inputs!$K$4:$AJ$4,0))))=0,NA(),SUMPRODUCT((Inputs!$A$5:$A$110=$B46)*Inputs!$B$5:$B$110*(((Inputs!$G$5:$G$110="moeda")+(Inputs!$G$5:$G$110="acoes"))*Inputs!$B$1+((Inputs!$G$5:$G$110&lt;&gt;"moeda")*(Inputs!$G$5:$G$110&lt;&gt;"acoes")))*INDEX(Inputs!$K$5:$AJ$110,0,MATCH(E$2,Inputs!$K$4:$AJ$4,0)))+SUMPRODUCT((Inputs!$C$5:$C$110=$B46)*Inputs!$D$5:$D$110*(((Inputs!$G$5:$G$110="moeda")+(Inputs!$G$5:$G$110="acoes"))*Inputs!$B$1+((Inputs!$G$5:$G$110&lt;&gt;"moeda")*(Inputs!$G$5:$G$110&lt;&gt;"acoes")))*INDEX(Inputs!$K$5:$AJ$110,0,MATCH(E$2,Inputs!$K$4:$AJ$4,0)))+SUMPRODUCT((Inputs!$E$5:$E$110=$B46)*Inputs!$F$5:$F$110*(((Inputs!$G$5:$G$110="moeda")+(Inputs!$G$5:$G$110="acoes"))*Inputs!$B$1+((Inputs!$G$5:$G$110&lt;&gt;"moeda")*(Inputs!$G$5:$G$110&lt;&gt;"acoes")))*INDEX(Inputs!$K$5:$AJ$110,0,MATCH(E$2,Inputs!$K$4:$AJ$4,0)))))</f>
        <v>0</v>
      </c>
      <c r="F46" s="6">
        <f>IF(ISNA(MATCH(F$2,Inputs!$K$4:$AJ$4,0)),NA(),IF(SUMPRODUCT((Inputs!$A$5:$A$110=$B46)*ISNUMBER(INDEX(Inputs!$K$5:$AJ$110,0,MATCH(F$2,Inputs!$K$4:$AJ$4,0))))+SUMPRODUCT((Inputs!$C$5:$C$110=$B46)*ISNUMBER(INDEX(Inputs!$K$5:$AJ$110,0,MATCH(F$2,Inputs!$K$4:$AJ$4,0))))+SUMPRODUCT((Inputs!$E$5:$E$110=$B46)*ISNUMBER(INDEX(Inputs!$K$5:$AJ$110,0,MATCH(F$2,Inputs!$K$4:$AJ$4,0))))=0,NA(),SUMPRODUCT((Inputs!$A$5:$A$110=$B46)*Inputs!$B$5:$B$110*(((Inputs!$G$5:$G$110="moeda")+(Inputs!$G$5:$G$110="acoes"))*Inputs!$B$1+((Inputs!$G$5:$G$110&lt;&gt;"moeda")*(Inputs!$G$5:$G$110&lt;&gt;"acoes")))*INDEX(Inputs!$K$5:$AJ$110,0,MATCH(F$2,Inputs!$K$4:$AJ$4,0)))+SUMPRODUCT((Inputs!$C$5:$C$110=$B46)*Inputs!$D$5:$D$110*(((Inputs!$G$5:$G$110="moeda")+(Inputs!$G$5:$G$110="acoes"))*Inputs!$B$1+((Inputs!$G$5:$G$110&lt;&gt;"moeda")*(Inputs!$G$5:$G$110&lt;&gt;"acoes")))*INDEX(Inputs!$K$5:$AJ$110,0,MATCH(F$2,Inputs!$K$4:$AJ$4,0)))+SUMPRODUCT((Inputs!$E$5:$E$110=$B46)*Inputs!$F$5:$F$110*(((Inputs!$G$5:$G$110="moeda")+(Inputs!$G$5:$G$110="acoes"))*Inputs!$B$1+((Inputs!$G$5:$G$110&lt;&gt;"moeda")*(Inputs!$G$5:$G$110&lt;&gt;"acoes")))*INDEX(Inputs!$K$5:$AJ$110,0,MATCH(F$2,Inputs!$K$4:$AJ$4,0)))))</f>
        <v>0</v>
      </c>
      <c r="G46" s="6">
        <f>IF(ISNA(MATCH(G$2,Inputs!$K$4:$AJ$4,0)),NA(),IF(SUMPRODUCT((Inputs!$A$5:$A$110=$B46)*ISNUMBER(INDEX(Inputs!$K$5:$AJ$110,0,MATCH(G$2,Inputs!$K$4:$AJ$4,0))))+SUMPRODUCT((Inputs!$C$5:$C$110=$B46)*ISNUMBER(INDEX(Inputs!$K$5:$AJ$110,0,MATCH(G$2,Inputs!$K$4:$AJ$4,0))))+SUMPRODUCT((Inputs!$E$5:$E$110=$B46)*ISNUMBER(INDEX(Inputs!$K$5:$AJ$110,0,MATCH(G$2,Inputs!$K$4:$AJ$4,0))))=0,NA(),SUMPRODUCT((Inputs!$A$5:$A$110=$B46)*Inputs!$B$5:$B$110*(((Inputs!$G$5:$G$110="moeda")+(Inputs!$G$5:$G$110="acoes"))*Inputs!$B$1+((Inputs!$G$5:$G$110&lt;&gt;"moeda")*(Inputs!$G$5:$G$110&lt;&gt;"acoes")))*INDEX(Inputs!$K$5:$AJ$110,0,MATCH(G$2,Inputs!$K$4:$AJ$4,0)))+SUMPRODUCT((Inputs!$C$5:$C$110=$B46)*Inputs!$D$5:$D$110*(((Inputs!$G$5:$G$110="moeda")+(Inputs!$G$5:$G$110="acoes"))*Inputs!$B$1+((Inputs!$G$5:$G$110&lt;&gt;"moeda")*(Inputs!$G$5:$G$110&lt;&gt;"acoes")))*INDEX(Inputs!$K$5:$AJ$110,0,MATCH(G$2,Inputs!$K$4:$AJ$4,0)))+SUMPRODUCT((Inputs!$E$5:$E$110=$B46)*Inputs!$F$5:$F$110*(((Inputs!$G$5:$G$110="moeda")+(Inputs!$G$5:$G$110="acoes"))*Inputs!$B$1+((Inputs!$G$5:$G$110&lt;&gt;"moeda")*(Inputs!$G$5:$G$110&lt;&gt;"acoes")))*INDEX(Inputs!$K$5:$AJ$110,0,MATCH(G$2,Inputs!$K$4:$AJ$4,0)))))</f>
        <v>0</v>
      </c>
      <c r="H46" s="3">
        <f>G46</f>
        <v>0</v>
      </c>
      <c r="I46" s="6">
        <f>IF(ISNA(MATCH(I$2,Inputs!$K$4:$AJ$4,0)),NA(),IF(SUMPRODUCT((Inputs!$A$5:$A$110=$B46)*ISNUMBER(INDEX(Inputs!$K$5:$AJ$110,0,MATCH(I$2,Inputs!$K$4:$AJ$4,0))))+SUMPRODUCT((Inputs!$C$5:$C$110=$B46)*ISNUMBER(INDEX(Inputs!$K$5:$AJ$110,0,MATCH(I$2,Inputs!$K$4:$AJ$4,0))))+SUMPRODUCT((Inputs!$E$5:$E$110=$B46)*ISNUMBER(INDEX(Inputs!$K$5:$AJ$110,0,MATCH(I$2,Inputs!$K$4:$AJ$4,0))))=0,NA(),SUMPRODUCT((Inputs!$A$5:$A$110=$B46)*Inputs!$B$5:$B$110*(((Inputs!$G$5:$G$110="moeda")+(Inputs!$G$5:$G$110="acoes"))*Inputs!$B$1+((Inputs!$G$5:$G$110&lt;&gt;"moeda")*(Inputs!$G$5:$G$110&lt;&gt;"acoes")))*INDEX(Inputs!$K$5:$AJ$110,0,MATCH(I$2,Inputs!$K$4:$AJ$4,0)))+SUMPRODUCT((Inputs!$C$5:$C$110=$B46)*Inputs!$D$5:$D$110*(((Inputs!$G$5:$G$110="moeda")+(Inputs!$G$5:$G$110="acoes"))*Inputs!$B$1+((Inputs!$G$5:$G$110&lt;&gt;"moeda")*(Inputs!$G$5:$G$110&lt;&gt;"acoes")))*INDEX(Inputs!$K$5:$AJ$110,0,MATCH(I$2,Inputs!$K$4:$AJ$4,0)))+SUMPRODUCT((Inputs!$E$5:$E$110=$B46)*Inputs!$F$5:$F$110*(((Inputs!$G$5:$G$110="moeda")+(Inputs!$G$5:$G$110="acoes"))*Inputs!$B$1+((Inputs!$G$5:$G$110&lt;&gt;"moeda")*(Inputs!$G$5:$G$110&lt;&gt;"acoes")))*INDEX(Inputs!$K$5:$AJ$110,0,MATCH(I$2,Inputs!$K$4:$AJ$4,0)))))</f>
        <v>0</v>
      </c>
      <c r="J46" s="6">
        <f>IF(ISNA(MATCH(J$2,Inputs!$K$4:$AJ$4,0)),NA(),IF(SUMPRODUCT((Inputs!$A$5:$A$110=$B46)*ISNUMBER(INDEX(Inputs!$K$5:$AJ$110,0,MATCH(J$2,Inputs!$K$4:$AJ$4,0))))+SUMPRODUCT((Inputs!$C$5:$C$110=$B46)*ISNUMBER(INDEX(Inputs!$K$5:$AJ$110,0,MATCH(J$2,Inputs!$K$4:$AJ$4,0))))+SUMPRODUCT((Inputs!$E$5:$E$110=$B46)*ISNUMBER(INDEX(Inputs!$K$5:$AJ$110,0,MATCH(J$2,Inputs!$K$4:$AJ$4,0))))=0,NA(),SUMPRODUCT((Inputs!$A$5:$A$110=$B46)*Inputs!$B$5:$B$110*(((Inputs!$G$5:$G$110="moeda")+(Inputs!$G$5:$G$110="acoes"))*Inputs!$B$1+((Inputs!$G$5:$G$110&lt;&gt;"moeda")*(Inputs!$G$5:$G$110&lt;&gt;"acoes")))*INDEX(Inputs!$K$5:$AJ$110,0,MATCH(J$2,Inputs!$K$4:$AJ$4,0)))+SUMPRODUCT((Inputs!$C$5:$C$110=$B46)*Inputs!$D$5:$D$110*(((Inputs!$G$5:$G$110="moeda")+(Inputs!$G$5:$G$110="acoes"))*Inputs!$B$1+((Inputs!$G$5:$G$110&lt;&gt;"moeda")*(Inputs!$G$5:$G$110&lt;&gt;"acoes")))*INDEX(Inputs!$K$5:$AJ$110,0,MATCH(J$2,Inputs!$K$4:$AJ$4,0)))+SUMPRODUCT((Inputs!$E$5:$E$110=$B46)*Inputs!$F$5:$F$110*(((Inputs!$G$5:$G$110="moeda")+(Inputs!$G$5:$G$110="acoes"))*Inputs!$B$1+((Inputs!$G$5:$G$110&lt;&gt;"moeda")*(Inputs!$G$5:$G$110&lt;&gt;"acoes")))*INDEX(Inputs!$K$5:$AJ$110,0,MATCH(J$2,Inputs!$K$4:$AJ$4,0)))))</f>
        <v>0</v>
      </c>
      <c r="K46" s="6">
        <f>IF(ISNA(MATCH(K$2,Inputs!$K$4:$AJ$4,0)),NA(),IF(SUMPRODUCT((Inputs!$A$5:$A$110=$B46)*ISNUMBER(INDEX(Inputs!$K$5:$AJ$110,0,MATCH(K$2,Inputs!$K$4:$AJ$4,0))))+SUMPRODUCT((Inputs!$C$5:$C$110=$B46)*ISNUMBER(INDEX(Inputs!$K$5:$AJ$110,0,MATCH(K$2,Inputs!$K$4:$AJ$4,0))))+SUMPRODUCT((Inputs!$E$5:$E$110=$B46)*ISNUMBER(INDEX(Inputs!$K$5:$AJ$110,0,MATCH(K$2,Inputs!$K$4:$AJ$4,0))))=0,NA(),SUMPRODUCT((Inputs!$A$5:$A$110=$B46)*Inputs!$B$5:$B$110*(((Inputs!$G$5:$G$110="moeda")+(Inputs!$G$5:$G$110="acoes"))*Inputs!$B$1+((Inputs!$G$5:$G$110&lt;&gt;"moeda")*(Inputs!$G$5:$G$110&lt;&gt;"acoes")))*INDEX(Inputs!$K$5:$AJ$110,0,MATCH(K$2,Inputs!$K$4:$AJ$4,0)))+SUMPRODUCT((Inputs!$C$5:$C$110=$B46)*Inputs!$D$5:$D$110*(((Inputs!$G$5:$G$110="moeda")+(Inputs!$G$5:$G$110="acoes"))*Inputs!$B$1+((Inputs!$G$5:$G$110&lt;&gt;"moeda")*(Inputs!$G$5:$G$110&lt;&gt;"acoes")))*INDEX(Inputs!$K$5:$AJ$110,0,MATCH(K$2,Inputs!$K$4:$AJ$4,0)))+SUMPRODUCT((Inputs!$E$5:$E$110=$B46)*Inputs!$F$5:$F$110*(((Inputs!$G$5:$G$110="moeda")+(Inputs!$G$5:$G$110="acoes"))*Inputs!$B$1+((Inputs!$G$5:$G$110&lt;&gt;"moeda")*(Inputs!$G$5:$G$110&lt;&gt;"acoes")))*INDEX(Inputs!$K$5:$AJ$110,0,MATCH(K$2,Inputs!$K$4:$AJ$4,0)))))</f>
        <v>0</v>
      </c>
      <c r="L46" s="6">
        <f>IF(ISNA(MATCH(L$2,Inputs!$K$4:$AJ$4,0)),NA(),IF(SUMPRODUCT((Inputs!$A$5:$A$110=$B46)*ISNUMBER(INDEX(Inputs!$K$5:$AJ$110,0,MATCH(L$2,Inputs!$K$4:$AJ$4,0))))+SUMPRODUCT((Inputs!$C$5:$C$110=$B46)*ISNUMBER(INDEX(Inputs!$K$5:$AJ$110,0,MATCH(L$2,Inputs!$K$4:$AJ$4,0))))+SUMPRODUCT((Inputs!$E$5:$E$110=$B46)*ISNUMBER(INDEX(Inputs!$K$5:$AJ$110,0,MATCH(L$2,Inputs!$K$4:$AJ$4,0))))=0,NA(),SUMPRODUCT((Inputs!$A$5:$A$110=$B46)*Inputs!$B$5:$B$110*(((Inputs!$G$5:$G$110="moeda")+(Inputs!$G$5:$G$110="acoes"))*Inputs!$B$1+((Inputs!$G$5:$G$110&lt;&gt;"moeda")*(Inputs!$G$5:$G$110&lt;&gt;"acoes")))*INDEX(Inputs!$K$5:$AJ$110,0,MATCH(L$2,Inputs!$K$4:$AJ$4,0)))+SUMPRODUCT((Inputs!$C$5:$C$110=$B46)*Inputs!$D$5:$D$110*(((Inputs!$G$5:$G$110="moeda")+(Inputs!$G$5:$G$110="acoes"))*Inputs!$B$1+((Inputs!$G$5:$G$110&lt;&gt;"moeda")*(Inputs!$G$5:$G$110&lt;&gt;"acoes")))*INDEX(Inputs!$K$5:$AJ$110,0,MATCH(L$2,Inputs!$K$4:$AJ$4,0)))+SUMPRODUCT((Inputs!$E$5:$E$110=$B46)*Inputs!$F$5:$F$110*(((Inputs!$G$5:$G$110="moeda")+(Inputs!$G$5:$G$110="acoes"))*Inputs!$B$1+((Inputs!$G$5:$G$110&lt;&gt;"moeda")*(Inputs!$G$5:$G$110&lt;&gt;"acoes")))*INDEX(Inputs!$K$5:$AJ$110,0,MATCH(L$2,Inputs!$K$4:$AJ$4,0)))))</f>
        <v>0</v>
      </c>
      <c r="M46" s="3">
        <f>L46</f>
        <v>0</v>
      </c>
      <c r="N46" s="6">
        <f>IF(ISNA(MATCH(N$2,Inputs!$K$4:$AJ$4,0)),NA(),IF(SUMPRODUCT((Inputs!$A$5:$A$110=$B46)*ISNUMBER(INDEX(Inputs!$K$5:$AJ$110,0,MATCH(N$2,Inputs!$K$4:$AJ$4,0))))+SUMPRODUCT((Inputs!$C$5:$C$110=$B46)*ISNUMBER(INDEX(Inputs!$K$5:$AJ$110,0,MATCH(N$2,Inputs!$K$4:$AJ$4,0))))+SUMPRODUCT((Inputs!$E$5:$E$110=$B46)*ISNUMBER(INDEX(Inputs!$K$5:$AJ$110,0,MATCH(N$2,Inputs!$K$4:$AJ$4,0))))=0,NA(),SUMPRODUCT((Inputs!$A$5:$A$110=$B46)*Inputs!$B$5:$B$110*(((Inputs!$G$5:$G$110="moeda")+(Inputs!$G$5:$G$110="acoes"))*Inputs!$B$1+((Inputs!$G$5:$G$110&lt;&gt;"moeda")*(Inputs!$G$5:$G$110&lt;&gt;"acoes")))*INDEX(Inputs!$K$5:$AJ$110,0,MATCH(N$2,Inputs!$K$4:$AJ$4,0)))+SUMPRODUCT((Inputs!$C$5:$C$110=$B46)*Inputs!$D$5:$D$110*(((Inputs!$G$5:$G$110="moeda")+(Inputs!$G$5:$G$110="acoes"))*Inputs!$B$1+((Inputs!$G$5:$G$110&lt;&gt;"moeda")*(Inputs!$G$5:$G$110&lt;&gt;"acoes")))*INDEX(Inputs!$K$5:$AJ$110,0,MATCH(N$2,Inputs!$K$4:$AJ$4,0)))+SUMPRODUCT((Inputs!$E$5:$E$110=$B46)*Inputs!$F$5:$F$110*(((Inputs!$G$5:$G$110="moeda")+(Inputs!$G$5:$G$110="acoes"))*Inputs!$B$1+((Inputs!$G$5:$G$110&lt;&gt;"moeda")*(Inputs!$G$5:$G$110&lt;&gt;"acoes")))*INDEX(Inputs!$K$5:$AJ$110,0,MATCH(N$2,Inputs!$K$4:$AJ$4,0)))))</f>
        <v>0</v>
      </c>
      <c r="O46" s="6">
        <f>IF(ISNA(MATCH(O$2,Inputs!$K$4:$AJ$4,0)),NA(),IF(SUMPRODUCT((Inputs!$A$5:$A$110=$B46)*ISNUMBER(INDEX(Inputs!$K$5:$AJ$110,0,MATCH(O$2,Inputs!$K$4:$AJ$4,0))))+SUMPRODUCT((Inputs!$C$5:$C$110=$B46)*ISNUMBER(INDEX(Inputs!$K$5:$AJ$110,0,MATCH(O$2,Inputs!$K$4:$AJ$4,0))))+SUMPRODUCT((Inputs!$E$5:$E$110=$B46)*ISNUMBER(INDEX(Inputs!$K$5:$AJ$110,0,MATCH(O$2,Inputs!$K$4:$AJ$4,0))))=0,NA(),SUMPRODUCT((Inputs!$A$5:$A$110=$B46)*Inputs!$B$5:$B$110*(((Inputs!$G$5:$G$110="moeda")+(Inputs!$G$5:$G$110="acoes"))*Inputs!$B$1+((Inputs!$G$5:$G$110&lt;&gt;"moeda")*(Inputs!$G$5:$G$110&lt;&gt;"acoes")))*INDEX(Inputs!$K$5:$AJ$110,0,MATCH(O$2,Inputs!$K$4:$AJ$4,0)))+SUMPRODUCT((Inputs!$C$5:$C$110=$B46)*Inputs!$D$5:$D$110*(((Inputs!$G$5:$G$110="moeda")+(Inputs!$G$5:$G$110="acoes"))*Inputs!$B$1+((Inputs!$G$5:$G$110&lt;&gt;"moeda")*(Inputs!$G$5:$G$110&lt;&gt;"acoes")))*INDEX(Inputs!$K$5:$AJ$110,0,MATCH(O$2,Inputs!$K$4:$AJ$4,0)))+SUMPRODUCT((Inputs!$E$5:$E$110=$B46)*Inputs!$F$5:$F$110*(((Inputs!$G$5:$G$110="moeda")+(Inputs!$G$5:$G$110="acoes"))*Inputs!$B$1+((Inputs!$G$5:$G$110&lt;&gt;"moeda")*(Inputs!$G$5:$G$110&lt;&gt;"acoes")))*INDEX(Inputs!$K$5:$AJ$110,0,MATCH(O$2,Inputs!$K$4:$AJ$4,0)))))</f>
        <v>0</v>
      </c>
      <c r="P46" s="6">
        <f>IF(ISNA(MATCH(P$2,Inputs!$K$4:$AJ$4,0)),NA(),IF(SUMPRODUCT((Inputs!$A$5:$A$110=$B46)*ISNUMBER(INDEX(Inputs!$K$5:$AJ$110,0,MATCH(P$2,Inputs!$K$4:$AJ$4,0))))+SUMPRODUCT((Inputs!$C$5:$C$110=$B46)*ISNUMBER(INDEX(Inputs!$K$5:$AJ$110,0,MATCH(P$2,Inputs!$K$4:$AJ$4,0))))+SUMPRODUCT((Inputs!$E$5:$E$110=$B46)*ISNUMBER(INDEX(Inputs!$K$5:$AJ$110,0,MATCH(P$2,Inputs!$K$4:$AJ$4,0))))=0,NA(),SUMPRODUCT((Inputs!$A$5:$A$110=$B46)*Inputs!$B$5:$B$110*(((Inputs!$G$5:$G$110="moeda")+(Inputs!$G$5:$G$110="acoes"))*Inputs!$B$1+((Inputs!$G$5:$G$110&lt;&gt;"moeda")*(Inputs!$G$5:$G$110&lt;&gt;"acoes")))*INDEX(Inputs!$K$5:$AJ$110,0,MATCH(P$2,Inputs!$K$4:$AJ$4,0)))+SUMPRODUCT((Inputs!$C$5:$C$110=$B46)*Inputs!$D$5:$D$110*(((Inputs!$G$5:$G$110="moeda")+(Inputs!$G$5:$G$110="acoes"))*Inputs!$B$1+((Inputs!$G$5:$G$110&lt;&gt;"moeda")*(Inputs!$G$5:$G$110&lt;&gt;"acoes")))*INDEX(Inputs!$K$5:$AJ$110,0,MATCH(P$2,Inputs!$K$4:$AJ$4,0)))+SUMPRODUCT((Inputs!$E$5:$E$110=$B46)*Inputs!$F$5:$F$110*(((Inputs!$G$5:$G$110="moeda")+(Inputs!$G$5:$G$110="acoes"))*Inputs!$B$1+((Inputs!$G$5:$G$110&lt;&gt;"moeda")*(Inputs!$G$5:$G$110&lt;&gt;"acoes")))*INDEX(Inputs!$K$5:$AJ$110,0,MATCH(P$2,Inputs!$K$4:$AJ$4,0)))))</f>
        <v>0</v>
      </c>
      <c r="Q46" s="6">
        <f>IF(ISNA(MATCH(Q$2,Inputs!$K$4:$AJ$4,0)),NA(),IF(SUMPRODUCT((Inputs!$A$5:$A$110=$B46)*ISNUMBER(INDEX(Inputs!$K$5:$AJ$110,0,MATCH(Q$2,Inputs!$K$4:$AJ$4,0))))+SUMPRODUCT((Inputs!$C$5:$C$110=$B46)*ISNUMBER(INDEX(Inputs!$K$5:$AJ$110,0,MATCH(Q$2,Inputs!$K$4:$AJ$4,0))))+SUMPRODUCT((Inputs!$E$5:$E$110=$B46)*ISNUMBER(INDEX(Inputs!$K$5:$AJ$110,0,MATCH(Q$2,Inputs!$K$4:$AJ$4,0))))=0,NA(),SUMPRODUCT((Inputs!$A$5:$A$110=$B46)*Inputs!$B$5:$B$110*(((Inputs!$G$5:$G$110="moeda")+(Inputs!$G$5:$G$110="acoes"))*Inputs!$B$1+((Inputs!$G$5:$G$110&lt;&gt;"moeda")*(Inputs!$G$5:$G$110&lt;&gt;"acoes")))*INDEX(Inputs!$K$5:$AJ$110,0,MATCH(Q$2,Inputs!$K$4:$AJ$4,0)))+SUMPRODUCT((Inputs!$C$5:$C$110=$B46)*Inputs!$D$5:$D$110*(((Inputs!$G$5:$G$110="moeda")+(Inputs!$G$5:$G$110="acoes"))*Inputs!$B$1+((Inputs!$G$5:$G$110&lt;&gt;"moeda")*(Inputs!$G$5:$G$110&lt;&gt;"acoes")))*INDEX(Inputs!$K$5:$AJ$110,0,MATCH(Q$2,Inputs!$K$4:$AJ$4,0)))+SUMPRODUCT((Inputs!$E$5:$E$110=$B46)*Inputs!$F$5:$F$110*(((Inputs!$G$5:$G$110="moeda")+(Inputs!$G$5:$G$110="acoes"))*Inputs!$B$1+((Inputs!$G$5:$G$110&lt;&gt;"moeda")*(Inputs!$G$5:$G$110&lt;&gt;"acoes")))*INDEX(Inputs!$K$5:$AJ$110,0,MATCH(Q$2,Inputs!$K$4:$AJ$4,0)))))</f>
        <v>0</v>
      </c>
      <c r="R46" s="3">
        <f>Q46</f>
        <v>0</v>
      </c>
      <c r="S46" s="6">
        <f>IF(ISNA(MATCH(S$2,Inputs!$K$4:$AJ$4,0)),NA(),IF(SUMPRODUCT((Inputs!$A$5:$A$110=$B46)*ISNUMBER(INDEX(Inputs!$K$5:$AJ$110,0,MATCH(S$2,Inputs!$K$4:$AJ$4,0))))+SUMPRODUCT((Inputs!$C$5:$C$110=$B46)*ISNUMBER(INDEX(Inputs!$K$5:$AJ$110,0,MATCH(S$2,Inputs!$K$4:$AJ$4,0))))+SUMPRODUCT((Inputs!$E$5:$E$110=$B46)*ISNUMBER(INDEX(Inputs!$K$5:$AJ$110,0,MATCH(S$2,Inputs!$K$4:$AJ$4,0))))=0,NA(),SUMPRODUCT((Inputs!$A$5:$A$110=$B46)*Inputs!$B$5:$B$110*(((Inputs!$G$5:$G$110="moeda")+(Inputs!$G$5:$G$110="acoes"))*Inputs!$B$1+((Inputs!$G$5:$G$110&lt;&gt;"moeda")*(Inputs!$G$5:$G$110&lt;&gt;"acoes")))*INDEX(Inputs!$K$5:$AJ$110,0,MATCH(S$2,Inputs!$K$4:$AJ$4,0)))+SUMPRODUCT((Inputs!$C$5:$C$110=$B46)*Inputs!$D$5:$D$110*(((Inputs!$G$5:$G$110="moeda")+(Inputs!$G$5:$G$110="acoes"))*Inputs!$B$1+((Inputs!$G$5:$G$110&lt;&gt;"moeda")*(Inputs!$G$5:$G$110&lt;&gt;"acoes")))*INDEX(Inputs!$K$5:$AJ$110,0,MATCH(S$2,Inputs!$K$4:$AJ$4,0)))+SUMPRODUCT((Inputs!$E$5:$E$110=$B46)*Inputs!$F$5:$F$110*(((Inputs!$G$5:$G$110="moeda")+(Inputs!$G$5:$G$110="acoes"))*Inputs!$B$1+((Inputs!$G$5:$G$110&lt;&gt;"moeda")*(Inputs!$G$5:$G$110&lt;&gt;"acoes")))*INDEX(Inputs!$K$5:$AJ$110,0,MATCH(S$2,Inputs!$K$4:$AJ$4,0)))))</f>
        <v>0</v>
      </c>
      <c r="T46" s="6">
        <f>IF(ISNA(MATCH(T$2,Inputs!$K$4:$AJ$4,0)),NA(),IF(SUMPRODUCT((Inputs!$A$5:$A$110=$B46)*ISNUMBER(INDEX(Inputs!$K$5:$AJ$110,0,MATCH(T$2,Inputs!$K$4:$AJ$4,0))))+SUMPRODUCT((Inputs!$C$5:$C$110=$B46)*ISNUMBER(INDEX(Inputs!$K$5:$AJ$110,0,MATCH(T$2,Inputs!$K$4:$AJ$4,0))))+SUMPRODUCT((Inputs!$E$5:$E$110=$B46)*ISNUMBER(INDEX(Inputs!$K$5:$AJ$110,0,MATCH(T$2,Inputs!$K$4:$AJ$4,0))))=0,NA(),SUMPRODUCT((Inputs!$A$5:$A$110=$B46)*Inputs!$B$5:$B$110*(((Inputs!$G$5:$G$110="moeda")+(Inputs!$G$5:$G$110="acoes"))*Inputs!$B$1+((Inputs!$G$5:$G$110&lt;&gt;"moeda")*(Inputs!$G$5:$G$110&lt;&gt;"acoes")))*INDEX(Inputs!$K$5:$AJ$110,0,MATCH(T$2,Inputs!$K$4:$AJ$4,0)))+SUMPRODUCT((Inputs!$C$5:$C$110=$B46)*Inputs!$D$5:$D$110*(((Inputs!$G$5:$G$110="moeda")+(Inputs!$G$5:$G$110="acoes"))*Inputs!$B$1+((Inputs!$G$5:$G$110&lt;&gt;"moeda")*(Inputs!$G$5:$G$110&lt;&gt;"acoes")))*INDEX(Inputs!$K$5:$AJ$110,0,MATCH(T$2,Inputs!$K$4:$AJ$4,0)))+SUMPRODUCT((Inputs!$E$5:$E$110=$B46)*Inputs!$F$5:$F$110*(((Inputs!$G$5:$G$110="moeda")+(Inputs!$G$5:$G$110="acoes"))*Inputs!$B$1+((Inputs!$G$5:$G$110&lt;&gt;"moeda")*(Inputs!$G$5:$G$110&lt;&gt;"acoes")))*INDEX(Inputs!$K$5:$AJ$110,0,MATCH(T$2,Inputs!$K$4:$AJ$4,0)))))</f>
        <v>0</v>
      </c>
      <c r="U46" s="6">
        <f>IF(ISNA(MATCH(U$2,Inputs!$K$4:$AJ$4,0)),NA(),IF(SUMPRODUCT((Inputs!$A$5:$A$110=$B46)*ISNUMBER(INDEX(Inputs!$K$5:$AJ$110,0,MATCH(U$2,Inputs!$K$4:$AJ$4,0))))+SUMPRODUCT((Inputs!$C$5:$C$110=$B46)*ISNUMBER(INDEX(Inputs!$K$5:$AJ$110,0,MATCH(U$2,Inputs!$K$4:$AJ$4,0))))+SUMPRODUCT((Inputs!$E$5:$E$110=$B46)*ISNUMBER(INDEX(Inputs!$K$5:$AJ$110,0,MATCH(U$2,Inputs!$K$4:$AJ$4,0))))=0,NA(),SUMPRODUCT((Inputs!$A$5:$A$110=$B46)*Inputs!$B$5:$B$110*(((Inputs!$G$5:$G$110="moeda")+(Inputs!$G$5:$G$110="acoes"))*Inputs!$B$1+((Inputs!$G$5:$G$110&lt;&gt;"moeda")*(Inputs!$G$5:$G$110&lt;&gt;"acoes")))*INDEX(Inputs!$K$5:$AJ$110,0,MATCH(U$2,Inputs!$K$4:$AJ$4,0)))+SUMPRODUCT((Inputs!$C$5:$C$110=$B46)*Inputs!$D$5:$D$110*(((Inputs!$G$5:$G$110="moeda")+(Inputs!$G$5:$G$110="acoes"))*Inputs!$B$1+((Inputs!$G$5:$G$110&lt;&gt;"moeda")*(Inputs!$G$5:$G$110&lt;&gt;"acoes")))*INDEX(Inputs!$K$5:$AJ$110,0,MATCH(U$2,Inputs!$K$4:$AJ$4,0)))+SUMPRODUCT((Inputs!$E$5:$E$110=$B46)*Inputs!$F$5:$F$110*(((Inputs!$G$5:$G$110="moeda")+(Inputs!$G$5:$G$110="acoes"))*Inputs!$B$1+((Inputs!$G$5:$G$110&lt;&gt;"moeda")*(Inputs!$G$5:$G$110&lt;&gt;"acoes")))*INDEX(Inputs!$K$5:$AJ$110,0,MATCH(U$2,Inputs!$K$4:$AJ$4,0)))))</f>
        <v>0</v>
      </c>
      <c r="V46" s="6">
        <f>IF(ISNA(MATCH(V$2,Inputs!$K$4:$AJ$4,0)),NA(),IF(SUMPRODUCT((Inputs!$A$5:$A$110=$B46)*ISNUMBER(INDEX(Inputs!$K$5:$AJ$110,0,MATCH(V$2,Inputs!$K$4:$AJ$4,0))))+SUMPRODUCT((Inputs!$C$5:$C$110=$B46)*ISNUMBER(INDEX(Inputs!$K$5:$AJ$110,0,MATCH(V$2,Inputs!$K$4:$AJ$4,0))))+SUMPRODUCT((Inputs!$E$5:$E$110=$B46)*ISNUMBER(INDEX(Inputs!$K$5:$AJ$110,0,MATCH(V$2,Inputs!$K$4:$AJ$4,0))))=0,NA(),SUMPRODUCT((Inputs!$A$5:$A$110=$B46)*Inputs!$B$5:$B$110*(((Inputs!$G$5:$G$110="moeda")+(Inputs!$G$5:$G$110="acoes"))*Inputs!$B$1+((Inputs!$G$5:$G$110&lt;&gt;"moeda")*(Inputs!$G$5:$G$110&lt;&gt;"acoes")))*INDEX(Inputs!$K$5:$AJ$110,0,MATCH(V$2,Inputs!$K$4:$AJ$4,0)))+SUMPRODUCT((Inputs!$C$5:$C$110=$B46)*Inputs!$D$5:$D$110*(((Inputs!$G$5:$G$110="moeda")+(Inputs!$G$5:$G$110="acoes"))*Inputs!$B$1+((Inputs!$G$5:$G$110&lt;&gt;"moeda")*(Inputs!$G$5:$G$110&lt;&gt;"acoes")))*INDEX(Inputs!$K$5:$AJ$110,0,MATCH(V$2,Inputs!$K$4:$AJ$4,0)))+SUMPRODUCT((Inputs!$E$5:$E$110=$B46)*Inputs!$F$5:$F$110*(((Inputs!$G$5:$G$110="moeda")+(Inputs!$G$5:$G$110="acoes"))*Inputs!$B$1+((Inputs!$G$5:$G$110&lt;&gt;"moeda")*(Inputs!$G$5:$G$110&lt;&gt;"acoes")))*INDEX(Inputs!$K$5:$AJ$110,0,MATCH(V$2,Inputs!$K$4:$AJ$4,0)))))</f>
        <v>0</v>
      </c>
      <c r="W46" s="3">
        <f>V46</f>
        <v>0</v>
      </c>
      <c r="X46" s="6">
        <f>IF(ISNA(MATCH(X$2,Inputs!$K$4:$AJ$4,0)),NA(),IF(SUMPRODUCT((Inputs!$A$5:$A$110=$B46)*ISNUMBER(INDEX(Inputs!$K$5:$AJ$110,0,MATCH(X$2,Inputs!$K$4:$AJ$4,0))))+SUMPRODUCT((Inputs!$C$5:$C$110=$B46)*ISNUMBER(INDEX(Inputs!$K$5:$AJ$110,0,MATCH(X$2,Inputs!$K$4:$AJ$4,0))))+SUMPRODUCT((Inputs!$E$5:$E$110=$B46)*ISNUMBER(INDEX(Inputs!$K$5:$AJ$110,0,MATCH(X$2,Inputs!$K$4:$AJ$4,0))))=0,NA(),SUMPRODUCT((Inputs!$A$5:$A$110=$B46)*Inputs!$B$5:$B$110*(((Inputs!$G$5:$G$110="moeda")+(Inputs!$G$5:$G$110="acoes"))*Inputs!$B$1+((Inputs!$G$5:$G$110&lt;&gt;"moeda")*(Inputs!$G$5:$G$110&lt;&gt;"acoes")))*INDEX(Inputs!$K$5:$AJ$110,0,MATCH(X$2,Inputs!$K$4:$AJ$4,0)))+SUMPRODUCT((Inputs!$C$5:$C$110=$B46)*Inputs!$D$5:$D$110*(((Inputs!$G$5:$G$110="moeda")+(Inputs!$G$5:$G$110="acoes"))*Inputs!$B$1+((Inputs!$G$5:$G$110&lt;&gt;"moeda")*(Inputs!$G$5:$G$110&lt;&gt;"acoes")))*INDEX(Inputs!$K$5:$AJ$110,0,MATCH(X$2,Inputs!$K$4:$AJ$4,0)))+SUMPRODUCT((Inputs!$E$5:$E$110=$B46)*Inputs!$F$5:$F$110*(((Inputs!$G$5:$G$110="moeda")+(Inputs!$G$5:$G$110="acoes"))*Inputs!$B$1+((Inputs!$G$5:$G$110&lt;&gt;"moeda")*(Inputs!$G$5:$G$110&lt;&gt;"acoes")))*INDEX(Inputs!$K$5:$AJ$110,0,MATCH(X$2,Inputs!$K$4:$AJ$4,0)))))</f>
        <v>0</v>
      </c>
      <c r="Y46" s="6">
        <f>IF(ISNA(MATCH(Y$2,Inputs!$K$4:$AJ$4,0)),NA(),IF(SUMPRODUCT((Inputs!$A$5:$A$110=$B46)*ISNUMBER(INDEX(Inputs!$K$5:$AJ$110,0,MATCH(Y$2,Inputs!$K$4:$AJ$4,0))))+SUMPRODUCT((Inputs!$C$5:$C$110=$B46)*ISNUMBER(INDEX(Inputs!$K$5:$AJ$110,0,MATCH(Y$2,Inputs!$K$4:$AJ$4,0))))+SUMPRODUCT((Inputs!$E$5:$E$110=$B46)*ISNUMBER(INDEX(Inputs!$K$5:$AJ$110,0,MATCH(Y$2,Inputs!$K$4:$AJ$4,0))))=0,NA(),SUMPRODUCT((Inputs!$A$5:$A$110=$B46)*Inputs!$B$5:$B$110*(((Inputs!$G$5:$G$110="moeda")+(Inputs!$G$5:$G$110="acoes"))*Inputs!$B$1+((Inputs!$G$5:$G$110&lt;&gt;"moeda")*(Inputs!$G$5:$G$110&lt;&gt;"acoes")))*INDEX(Inputs!$K$5:$AJ$110,0,MATCH(Y$2,Inputs!$K$4:$AJ$4,0)))+SUMPRODUCT((Inputs!$C$5:$C$110=$B46)*Inputs!$D$5:$D$110*(((Inputs!$G$5:$G$110="moeda")+(Inputs!$G$5:$G$110="acoes"))*Inputs!$B$1+((Inputs!$G$5:$G$110&lt;&gt;"moeda")*(Inputs!$G$5:$G$110&lt;&gt;"acoes")))*INDEX(Inputs!$K$5:$AJ$110,0,MATCH(Y$2,Inputs!$K$4:$AJ$4,0)))+SUMPRODUCT((Inputs!$E$5:$E$110=$B46)*Inputs!$F$5:$F$110*(((Inputs!$G$5:$G$110="moeda")+(Inputs!$G$5:$G$110="acoes"))*Inputs!$B$1+((Inputs!$G$5:$G$110&lt;&gt;"moeda")*(Inputs!$G$5:$G$110&lt;&gt;"acoes")))*INDEX(Inputs!$K$5:$AJ$110,0,MATCH(Y$2,Inputs!$K$4:$AJ$4,0)))))</f>
        <v>0</v>
      </c>
      <c r="Z46" s="6">
        <f>IF(ISNA(MATCH(Z$2,Inputs!$K$4:$AJ$4,0)),NA(),IF(SUMPRODUCT((Inputs!$A$5:$A$110=$B46)*ISNUMBER(INDEX(Inputs!$K$5:$AJ$110,0,MATCH(Z$2,Inputs!$K$4:$AJ$4,0))))+SUMPRODUCT((Inputs!$C$5:$C$110=$B46)*ISNUMBER(INDEX(Inputs!$K$5:$AJ$110,0,MATCH(Z$2,Inputs!$K$4:$AJ$4,0))))+SUMPRODUCT((Inputs!$E$5:$E$110=$B46)*ISNUMBER(INDEX(Inputs!$K$5:$AJ$110,0,MATCH(Z$2,Inputs!$K$4:$AJ$4,0))))=0,NA(),SUMPRODUCT((Inputs!$A$5:$A$110=$B46)*Inputs!$B$5:$B$110*(((Inputs!$G$5:$G$110="moeda")+(Inputs!$G$5:$G$110="acoes"))*Inputs!$B$1+((Inputs!$G$5:$G$110&lt;&gt;"moeda")*(Inputs!$G$5:$G$110&lt;&gt;"acoes")))*INDEX(Inputs!$K$5:$AJ$110,0,MATCH(Z$2,Inputs!$K$4:$AJ$4,0)))+SUMPRODUCT((Inputs!$C$5:$C$110=$B46)*Inputs!$D$5:$D$110*(((Inputs!$G$5:$G$110="moeda")+(Inputs!$G$5:$G$110="acoes"))*Inputs!$B$1+((Inputs!$G$5:$G$110&lt;&gt;"moeda")*(Inputs!$G$5:$G$110&lt;&gt;"acoes")))*INDEX(Inputs!$K$5:$AJ$110,0,MATCH(Z$2,Inputs!$K$4:$AJ$4,0)))+SUMPRODUCT((Inputs!$E$5:$E$110=$B46)*Inputs!$F$5:$F$110*(((Inputs!$G$5:$G$110="moeda")+(Inputs!$G$5:$G$110="acoes"))*Inputs!$B$1+((Inputs!$G$5:$G$110&lt;&gt;"moeda")*(Inputs!$G$5:$G$110&lt;&gt;"acoes")))*INDEX(Inputs!$K$5:$AJ$110,0,MATCH(Z$2,Inputs!$K$4:$AJ$4,0)))))</f>
        <v>0</v>
      </c>
      <c r="AA46" s="6">
        <f>IF(ISNA(MATCH(AA$2,Inputs!$K$4:$AJ$4,0)),NA(),IF(SUMPRODUCT((Inputs!$A$5:$A$110=$B46)*ISNUMBER(INDEX(Inputs!$K$5:$AJ$110,0,MATCH(AA$2,Inputs!$K$4:$AJ$4,0))))+SUMPRODUCT((Inputs!$C$5:$C$110=$B46)*ISNUMBER(INDEX(Inputs!$K$5:$AJ$110,0,MATCH(AA$2,Inputs!$K$4:$AJ$4,0))))+SUMPRODUCT((Inputs!$E$5:$E$110=$B46)*ISNUMBER(INDEX(Inputs!$K$5:$AJ$110,0,MATCH(AA$2,Inputs!$K$4:$AJ$4,0))))=0,NA(),SUMPRODUCT((Inputs!$A$5:$A$110=$B46)*Inputs!$B$5:$B$110*(((Inputs!$G$5:$G$110="moeda")+(Inputs!$G$5:$G$110="acoes"))*Inputs!$B$1+((Inputs!$G$5:$G$110&lt;&gt;"moeda")*(Inputs!$G$5:$G$110&lt;&gt;"acoes")))*INDEX(Inputs!$K$5:$AJ$110,0,MATCH(AA$2,Inputs!$K$4:$AJ$4,0)))+SUMPRODUCT((Inputs!$C$5:$C$110=$B46)*Inputs!$D$5:$D$110*(((Inputs!$G$5:$G$110="moeda")+(Inputs!$G$5:$G$110="acoes"))*Inputs!$B$1+((Inputs!$G$5:$G$110&lt;&gt;"moeda")*(Inputs!$G$5:$G$110&lt;&gt;"acoes")))*INDEX(Inputs!$K$5:$AJ$110,0,MATCH(AA$2,Inputs!$K$4:$AJ$4,0)))+SUMPRODUCT((Inputs!$E$5:$E$110=$B46)*Inputs!$F$5:$F$110*(((Inputs!$G$5:$G$110="moeda")+(Inputs!$G$5:$G$110="acoes"))*Inputs!$B$1+((Inputs!$G$5:$G$110&lt;&gt;"moeda")*(Inputs!$G$5:$G$110&lt;&gt;"acoes")))*INDEX(Inputs!$K$5:$AJ$110,0,MATCH(AA$2,Inputs!$K$4:$AJ$4,0)))))</f>
        <v>0</v>
      </c>
      <c r="AB46" s="3">
        <f>AA46</f>
        <v>0</v>
      </c>
      <c r="AC46" s="6">
        <f>IF(ISNA(MATCH(AC$2,Inputs!$K$4:$AJ$4,0)),NA(),IF(SUMPRODUCT((Inputs!$A$5:$A$110=$B46)*ISNUMBER(INDEX(Inputs!$K$5:$AJ$110,0,MATCH(AC$2,Inputs!$K$4:$AJ$4,0))))+SUMPRODUCT((Inputs!$C$5:$C$110=$B46)*ISNUMBER(INDEX(Inputs!$K$5:$AJ$110,0,MATCH(AC$2,Inputs!$K$4:$AJ$4,0))))+SUMPRODUCT((Inputs!$E$5:$E$110=$B46)*ISNUMBER(INDEX(Inputs!$K$5:$AJ$110,0,MATCH(AC$2,Inputs!$K$4:$AJ$4,0))))=0,NA(),SUMPRODUCT((Inputs!$A$5:$A$110=$B46)*Inputs!$B$5:$B$110*(((Inputs!$G$5:$G$110="moeda")+(Inputs!$G$5:$G$110="acoes"))*Inputs!$B$1+((Inputs!$G$5:$G$110&lt;&gt;"moeda")*(Inputs!$G$5:$G$110&lt;&gt;"acoes")))*INDEX(Inputs!$K$5:$AJ$110,0,MATCH(AC$2,Inputs!$K$4:$AJ$4,0)))+SUMPRODUCT((Inputs!$C$5:$C$110=$B46)*Inputs!$D$5:$D$110*(((Inputs!$G$5:$G$110="moeda")+(Inputs!$G$5:$G$110="acoes"))*Inputs!$B$1+((Inputs!$G$5:$G$110&lt;&gt;"moeda")*(Inputs!$G$5:$G$110&lt;&gt;"acoes")))*INDEX(Inputs!$K$5:$AJ$110,0,MATCH(AC$2,Inputs!$K$4:$AJ$4,0)))+SUMPRODUCT((Inputs!$E$5:$E$110=$B46)*Inputs!$F$5:$F$110*(((Inputs!$G$5:$G$110="moeda")+(Inputs!$G$5:$G$110="acoes"))*Inputs!$B$1+((Inputs!$G$5:$G$110&lt;&gt;"moeda")*(Inputs!$G$5:$G$110&lt;&gt;"acoes")))*INDEX(Inputs!$K$5:$AJ$110,0,MATCH(AC$2,Inputs!$K$4:$AJ$4,0)))))</f>
        <v>0</v>
      </c>
      <c r="AD46" s="6">
        <f>IF(ISNA(MATCH(AD$2,Inputs!$K$4:$AJ$4,0)),NA(),IF(SUMPRODUCT((Inputs!$A$5:$A$110=$B46)*ISNUMBER(INDEX(Inputs!$K$5:$AJ$110,0,MATCH(AD$2,Inputs!$K$4:$AJ$4,0))))+SUMPRODUCT((Inputs!$C$5:$C$110=$B46)*ISNUMBER(INDEX(Inputs!$K$5:$AJ$110,0,MATCH(AD$2,Inputs!$K$4:$AJ$4,0))))+SUMPRODUCT((Inputs!$E$5:$E$110=$B46)*ISNUMBER(INDEX(Inputs!$K$5:$AJ$110,0,MATCH(AD$2,Inputs!$K$4:$AJ$4,0))))=0,NA(),SUMPRODUCT((Inputs!$A$5:$A$110=$B46)*Inputs!$B$5:$B$110*(((Inputs!$G$5:$G$110="moeda")+(Inputs!$G$5:$G$110="acoes"))*Inputs!$B$1+((Inputs!$G$5:$G$110&lt;&gt;"moeda")*(Inputs!$G$5:$G$110&lt;&gt;"acoes")))*INDEX(Inputs!$K$5:$AJ$110,0,MATCH(AD$2,Inputs!$K$4:$AJ$4,0)))+SUMPRODUCT((Inputs!$C$5:$C$110=$B46)*Inputs!$D$5:$D$110*(((Inputs!$G$5:$G$110="moeda")+(Inputs!$G$5:$G$110="acoes"))*Inputs!$B$1+((Inputs!$G$5:$G$110&lt;&gt;"moeda")*(Inputs!$G$5:$G$110&lt;&gt;"acoes")))*INDEX(Inputs!$K$5:$AJ$110,0,MATCH(AD$2,Inputs!$K$4:$AJ$4,0)))+SUMPRODUCT((Inputs!$E$5:$E$110=$B46)*Inputs!$F$5:$F$110*(((Inputs!$G$5:$G$110="moeda")+(Inputs!$G$5:$G$110="acoes"))*Inputs!$B$1+((Inputs!$G$5:$G$110&lt;&gt;"moeda")*(Inputs!$G$5:$G$110&lt;&gt;"acoes")))*INDEX(Inputs!$K$5:$AJ$110,0,MATCH(AD$2,Inputs!$K$4:$AJ$4,0)))))</f>
        <v>0</v>
      </c>
      <c r="AE46" s="6" t="e">
        <f>IF(ISNA(MATCH(AE$2,Inputs!$K$4:$AJ$4,0)),NA(),IF(SUMPRODUCT((Inputs!$A$5:$A$110=$B46)*ISNUMBER(INDEX(Inputs!$K$5:$AJ$110,0,MATCH(AE$2,Inputs!$K$4:$AJ$4,0))))+SUMPRODUCT((Inputs!$C$5:$C$110=$B46)*ISNUMBER(INDEX(Inputs!$K$5:$AJ$110,0,MATCH(AE$2,Inputs!$K$4:$AJ$4,0))))+SUMPRODUCT((Inputs!$E$5:$E$110=$B46)*ISNUMBER(INDEX(Inputs!$K$5:$AJ$110,0,MATCH(AE$2,Inputs!$K$4:$AJ$4,0))))=0,NA(),SUMPRODUCT((Inputs!$A$5:$A$110=$B46)*Inputs!$B$5:$B$110*(((Inputs!$G$5:$G$110="moeda")+(Inputs!$G$5:$G$110="acoes"))*Inputs!$B$1+((Inputs!$G$5:$G$110&lt;&gt;"moeda")*(Inputs!$G$5:$G$110&lt;&gt;"acoes")))*INDEX(Inputs!$K$5:$AJ$110,0,MATCH(AE$2,Inputs!$K$4:$AJ$4,0)))+SUMPRODUCT((Inputs!$C$5:$C$110=$B46)*Inputs!$D$5:$D$110*(((Inputs!$G$5:$G$110="moeda")+(Inputs!$G$5:$G$110="acoes"))*Inputs!$B$1+((Inputs!$G$5:$G$110&lt;&gt;"moeda")*(Inputs!$G$5:$G$110&lt;&gt;"acoes")))*INDEX(Inputs!$K$5:$AJ$110,0,MATCH(AE$2,Inputs!$K$4:$AJ$4,0)))+SUMPRODUCT((Inputs!$E$5:$E$110=$B46)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6" s="6" t="e">
        <f>IF(ISNA(MATCH(AF$2,Inputs!$K$4:$AJ$4,0)),NA(),IF(SUMPRODUCT((Inputs!$A$5:$A$110=$B46)*ISNUMBER(INDEX(Inputs!$K$5:$AJ$110,0,MATCH(AF$2,Inputs!$K$4:$AJ$4,0))))+SUMPRODUCT((Inputs!$C$5:$C$110=$B46)*ISNUMBER(INDEX(Inputs!$K$5:$AJ$110,0,MATCH(AF$2,Inputs!$K$4:$AJ$4,0))))+SUMPRODUCT((Inputs!$E$5:$E$110=$B46)*ISNUMBER(INDEX(Inputs!$K$5:$AJ$110,0,MATCH(AF$2,Inputs!$K$4:$AJ$4,0))))=0,NA(),SUMPRODUCT((Inputs!$A$5:$A$110=$B46)*Inputs!$B$5:$B$110*(((Inputs!$G$5:$G$110="moeda")+(Inputs!$G$5:$G$110="acoes"))*Inputs!$B$1+((Inputs!$G$5:$G$110&lt;&gt;"moeda")*(Inputs!$G$5:$G$110&lt;&gt;"acoes")))*INDEX(Inputs!$K$5:$AJ$110,0,MATCH(AF$2,Inputs!$K$4:$AJ$4,0)))+SUMPRODUCT((Inputs!$C$5:$C$110=$B46)*Inputs!$D$5:$D$110*(((Inputs!$G$5:$G$110="moeda")+(Inputs!$G$5:$G$110="acoes"))*Inputs!$B$1+((Inputs!$G$5:$G$110&lt;&gt;"moeda")*(Inputs!$G$5:$G$110&lt;&gt;"acoes")))*INDEX(Inputs!$K$5:$AJ$110,0,MATCH(AF$2,Inputs!$K$4:$AJ$4,0)))+SUMPRODUCT((Inputs!$E$5:$E$110=$B46)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6" s="3" t="e">
        <f>AF46</f>
        <v>#N/A</v>
      </c>
      <c r="AH46" s="6">
        <f>IF(ISNA(MATCH(AH$2,Inputs!$K$4:$AJ$4,0)),NA(),IF(SUMPRODUCT((Inputs!$A$5:$A$110=$B46)*ISNUMBER(INDEX(Inputs!$K$5:$AJ$110,0,MATCH(AH$2,Inputs!$K$4:$AJ$4,0))))+SUMPRODUCT((Inputs!$C$5:$C$110=$B46)*ISNUMBER(INDEX(Inputs!$K$5:$AJ$110,0,MATCH(AH$2,Inputs!$K$4:$AJ$4,0))))+SUMPRODUCT((Inputs!$E$5:$E$110=$B46)*ISNUMBER(INDEX(Inputs!$K$5:$AJ$110,0,MATCH(AH$2,Inputs!$K$4:$AJ$4,0))))=0,NA(),SUMPRODUCT((Inputs!$A$5:$A$110=$B46)*Inputs!$B$5:$B$110*(((Inputs!$G$5:$G$110="moeda")+(Inputs!$G$5:$G$110="acoes"))*Inputs!$B$1+((Inputs!$G$5:$G$110&lt;&gt;"moeda")*(Inputs!$G$5:$G$110&lt;&gt;"acoes")))*INDEX(Inputs!$K$5:$AJ$110,0,MATCH(AH$2,Inputs!$K$4:$AJ$4,0)))+SUMPRODUCT((Inputs!$C$5:$C$110=$B46)*Inputs!$D$5:$D$110*(((Inputs!$G$5:$G$110="moeda")+(Inputs!$G$5:$G$110="acoes"))*Inputs!$B$1+((Inputs!$G$5:$G$110&lt;&gt;"moeda")*(Inputs!$G$5:$G$110&lt;&gt;"acoes")))*INDEX(Inputs!$K$5:$AJ$110,0,MATCH(AH$2,Inputs!$K$4:$AJ$4,0)))+SUMPRODUCT((Inputs!$E$5:$E$110=$B46)*Inputs!$F$5:$F$110*(((Inputs!$G$5:$G$110="moeda")+(Inputs!$G$5:$G$110="acoes"))*Inputs!$B$1+((Inputs!$G$5:$G$110&lt;&gt;"moeda")*(Inputs!$G$5:$G$110&lt;&gt;"acoes")))*INDEX(Inputs!$K$5:$AJ$110,0,MATCH(AH$2,Inputs!$K$4:$AJ$4,0)))))</f>
        <v>0</v>
      </c>
      <c r="AI46" s="6">
        <f>IF(ISNA(MATCH(AI$2,Inputs!$K$4:$AJ$4,0)),NA(),IF(SUMPRODUCT((Inputs!$A$5:$A$110=$B46)*ISNUMBER(INDEX(Inputs!$K$5:$AJ$110,0,MATCH(AI$2,Inputs!$K$4:$AJ$4,0))))+SUMPRODUCT((Inputs!$C$5:$C$110=$B46)*ISNUMBER(INDEX(Inputs!$K$5:$AJ$110,0,MATCH(AI$2,Inputs!$K$4:$AJ$4,0))))+SUMPRODUCT((Inputs!$E$5:$E$110=$B46)*ISNUMBER(INDEX(Inputs!$K$5:$AJ$110,0,MATCH(AI$2,Inputs!$K$4:$AJ$4,0))))=0,NA(),SUMPRODUCT((Inputs!$A$5:$A$110=$B46)*Inputs!$B$5:$B$110*(((Inputs!$G$5:$G$110="moeda")+(Inputs!$G$5:$G$110="acoes"))*Inputs!$B$1+((Inputs!$G$5:$G$110&lt;&gt;"moeda")*(Inputs!$G$5:$G$110&lt;&gt;"acoes")))*INDEX(Inputs!$K$5:$AJ$110,0,MATCH(AI$2,Inputs!$K$4:$AJ$4,0)))+SUMPRODUCT((Inputs!$C$5:$C$110=$B46)*Inputs!$D$5:$D$110*(((Inputs!$G$5:$G$110="moeda")+(Inputs!$G$5:$G$110="acoes"))*Inputs!$B$1+((Inputs!$G$5:$G$110&lt;&gt;"moeda")*(Inputs!$G$5:$G$110&lt;&gt;"acoes")))*INDEX(Inputs!$K$5:$AJ$110,0,MATCH(AI$2,Inputs!$K$4:$AJ$4,0)))+SUMPRODUCT((Inputs!$E$5:$E$110=$B46)*Inputs!$F$5:$F$110*(((Inputs!$G$5:$G$110="moeda")+(Inputs!$G$5:$G$110="acoes"))*Inputs!$B$1+((Inputs!$G$5:$G$110&lt;&gt;"moeda")*(Inputs!$G$5:$G$110&lt;&gt;"acoes")))*INDEX(Inputs!$K$5:$AJ$110,0,MATCH(AI$2,Inputs!$K$4:$AJ$4,0)))))</f>
        <v>0</v>
      </c>
      <c r="AJ46" s="6">
        <f>IF(ISNA(MATCH(AJ$2,Inputs!$K$4:$AJ$4,0)),NA(),IF(SUMPRODUCT((Inputs!$A$5:$A$110=$B46)*ISNUMBER(INDEX(Inputs!$K$5:$AJ$110,0,MATCH(AJ$2,Inputs!$K$4:$AJ$4,0))))+SUMPRODUCT((Inputs!$C$5:$C$110=$B46)*ISNUMBER(INDEX(Inputs!$K$5:$AJ$110,0,MATCH(AJ$2,Inputs!$K$4:$AJ$4,0))))+SUMPRODUCT((Inputs!$E$5:$E$110=$B46)*ISNUMBER(INDEX(Inputs!$K$5:$AJ$110,0,MATCH(AJ$2,Inputs!$K$4:$AJ$4,0))))=0,NA(),SUMPRODUCT((Inputs!$A$5:$A$110=$B46)*Inputs!$B$5:$B$110*(((Inputs!$G$5:$G$110="moeda")+(Inputs!$G$5:$G$110="acoes"))*Inputs!$B$1+((Inputs!$G$5:$G$110&lt;&gt;"moeda")*(Inputs!$G$5:$G$110&lt;&gt;"acoes")))*INDEX(Inputs!$K$5:$AJ$110,0,MATCH(AJ$2,Inputs!$K$4:$AJ$4,0)))+SUMPRODUCT((Inputs!$C$5:$C$110=$B46)*Inputs!$D$5:$D$110*(((Inputs!$G$5:$G$110="moeda")+(Inputs!$G$5:$G$110="acoes"))*Inputs!$B$1+((Inputs!$G$5:$G$110&lt;&gt;"moeda")*(Inputs!$G$5:$G$110&lt;&gt;"acoes")))*INDEX(Inputs!$K$5:$AJ$110,0,MATCH(AJ$2,Inputs!$K$4:$AJ$4,0)))+SUMPRODUCT((Inputs!$E$5:$E$110=$B46)*Inputs!$F$5:$F$110*(((Inputs!$G$5:$G$110="moeda")+(Inputs!$G$5:$G$110="acoes"))*Inputs!$B$1+((Inputs!$G$5:$G$110&lt;&gt;"moeda")*(Inputs!$G$5:$G$110&lt;&gt;"acoes")))*INDEX(Inputs!$K$5:$AJ$110,0,MATCH(AJ$2,Inputs!$K$4:$AJ$4,0)))))</f>
        <v>0</v>
      </c>
      <c r="AK46" s="6">
        <f>IF(ISNA(MATCH(AK$2,Inputs!$K$4:$AJ$4,0)),NA(),IF(SUMPRODUCT((Inputs!$A$5:$A$110=$B46)*ISNUMBER(INDEX(Inputs!$K$5:$AJ$110,0,MATCH(AK$2,Inputs!$K$4:$AJ$4,0))))+SUMPRODUCT((Inputs!$C$5:$C$110=$B46)*ISNUMBER(INDEX(Inputs!$K$5:$AJ$110,0,MATCH(AK$2,Inputs!$K$4:$AJ$4,0))))+SUMPRODUCT((Inputs!$E$5:$E$110=$B46)*ISNUMBER(INDEX(Inputs!$K$5:$AJ$110,0,MATCH(AK$2,Inputs!$K$4:$AJ$4,0))))=0,NA(),SUMPRODUCT((Inputs!$A$5:$A$110=$B46)*Inputs!$B$5:$B$110*(((Inputs!$G$5:$G$110="moeda")+(Inputs!$G$5:$G$110="acoes"))*Inputs!$B$1+((Inputs!$G$5:$G$110&lt;&gt;"moeda")*(Inputs!$G$5:$G$110&lt;&gt;"acoes")))*INDEX(Inputs!$K$5:$AJ$110,0,MATCH(AK$2,Inputs!$K$4:$AJ$4,0)))+SUMPRODUCT((Inputs!$C$5:$C$110=$B46)*Inputs!$D$5:$D$110*(((Inputs!$G$5:$G$110="moeda")+(Inputs!$G$5:$G$110="acoes"))*Inputs!$B$1+((Inputs!$G$5:$G$110&lt;&gt;"moeda")*(Inputs!$G$5:$G$110&lt;&gt;"acoes")))*INDEX(Inputs!$K$5:$AJ$110,0,MATCH(AK$2,Inputs!$K$4:$AJ$4,0)))+SUMPRODUCT((Inputs!$E$5:$E$110=$B46)*Inputs!$F$5:$F$110*(((Inputs!$G$5:$G$110="moeda")+(Inputs!$G$5:$G$110="acoes"))*Inputs!$B$1+((Inputs!$G$5:$G$110&lt;&gt;"moeda")*(Inputs!$G$5:$G$110&lt;&gt;"acoes")))*INDEX(Inputs!$K$5:$AJ$110,0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$110=$B47)*ISNUMBER(INDEX(Inputs!$K$5:$AJ$110,0,MATCH(D$2,Inputs!$K$4:$AJ$4,0))))+SUMPRODUCT((Inputs!$C$5:$C$110=$B47)*ISNUMBER(INDEX(Inputs!$K$5:$AJ$110,0,MATCH(D$2,Inputs!$K$4:$AJ$4,0))))+SUMPRODUCT((Inputs!$E$5:$E$110=$B47)*ISNUMBER(INDEX(Inputs!$K$5:$AJ$110,0,MATCH(D$2,Inputs!$K$4:$AJ$4,0))))=0,NA(),SUMPRODUCT((Inputs!$A$5:$A$110=$B47)*Inputs!$B$5:$B$110*(((Inputs!$G$5:$G$110="moeda")+(Inputs!$G$5:$G$110="acoes"))*Inputs!$B$1+((Inputs!$G$5:$G$110&lt;&gt;"moeda")*(Inputs!$G$5:$G$110&lt;&gt;"acoes")))*INDEX(Inputs!$K$5:$AJ$110,0,MATCH(D$2,Inputs!$K$4:$AJ$4,0)))+SUMPRODUCT((Inputs!$C$5:$C$110=$B47)*Inputs!$D$5:$D$110*(((Inputs!$G$5:$G$110="moeda")+(Inputs!$G$5:$G$110="acoes"))*Inputs!$B$1+((Inputs!$G$5:$G$110&lt;&gt;"moeda")*(Inputs!$G$5:$G$110&lt;&gt;"acoes")))*INDEX(Inputs!$K$5:$AJ$110,0,MATCH(D$2,Inputs!$K$4:$AJ$4,0)))+SUMPRODUCT((Inputs!$E$5:$E$110=$B47)*Inputs!$F$5:$F$110*(((Inputs!$G$5:$G$110="moeda")+(Inputs!$G$5:$G$110="acoes"))*Inputs!$B$1+((Inputs!$G$5:$G$110&lt;&gt;"moeda")*(Inputs!$G$5:$G$110&lt;&gt;"acoes")))*INDEX(Inputs!$K$5:$AJ$110,0,MATCH(D$2,Inputs!$K$4:$AJ$4,0)))))</f>
        <v>21977</v>
      </c>
      <c r="E47" s="6">
        <f>IF(ISNA(MATCH(E$2,Inputs!$K$4:$AJ$4,0)),NA(),IF(SUMPRODUCT((Inputs!$A$5:$A$110=$B47)*ISNUMBER(INDEX(Inputs!$K$5:$AJ$110,0,MATCH(E$2,Inputs!$K$4:$AJ$4,0))))+SUMPRODUCT((Inputs!$C$5:$C$110=$B47)*ISNUMBER(INDEX(Inputs!$K$5:$AJ$110,0,MATCH(E$2,Inputs!$K$4:$AJ$4,0))))+SUMPRODUCT((Inputs!$E$5:$E$110=$B47)*ISNUMBER(INDEX(Inputs!$K$5:$AJ$110,0,MATCH(E$2,Inputs!$K$4:$AJ$4,0))))=0,NA(),SUMPRODUCT((Inputs!$A$5:$A$110=$B47)*Inputs!$B$5:$B$110*(((Inputs!$G$5:$G$110="moeda")+(Inputs!$G$5:$G$110="acoes"))*Inputs!$B$1+((Inputs!$G$5:$G$110&lt;&gt;"moeda")*(Inputs!$G$5:$G$110&lt;&gt;"acoes")))*INDEX(Inputs!$K$5:$AJ$110,0,MATCH(E$2,Inputs!$K$4:$AJ$4,0)))+SUMPRODUCT((Inputs!$C$5:$C$110=$B47)*Inputs!$D$5:$D$110*(((Inputs!$G$5:$G$110="moeda")+(Inputs!$G$5:$G$110="acoes"))*Inputs!$B$1+((Inputs!$G$5:$G$110&lt;&gt;"moeda")*(Inputs!$G$5:$G$110&lt;&gt;"acoes")))*INDEX(Inputs!$K$5:$AJ$110,0,MATCH(E$2,Inputs!$K$4:$AJ$4,0)))+SUMPRODUCT((Inputs!$E$5:$E$110=$B47)*Inputs!$F$5:$F$110*(((Inputs!$G$5:$G$110="moeda")+(Inputs!$G$5:$G$110="acoes"))*Inputs!$B$1+((Inputs!$G$5:$G$110&lt;&gt;"moeda")*(Inputs!$G$5:$G$110&lt;&gt;"acoes")))*INDEX(Inputs!$K$5:$AJ$110,0,MATCH(E$2,Inputs!$K$4:$AJ$4,0)))))</f>
        <v>21961</v>
      </c>
      <c r="F47" s="6">
        <f>IF(ISNA(MATCH(F$2,Inputs!$K$4:$AJ$4,0)),NA(),IF(SUMPRODUCT((Inputs!$A$5:$A$110=$B47)*ISNUMBER(INDEX(Inputs!$K$5:$AJ$110,0,MATCH(F$2,Inputs!$K$4:$AJ$4,0))))+SUMPRODUCT((Inputs!$C$5:$C$110=$B47)*ISNUMBER(INDEX(Inputs!$K$5:$AJ$110,0,MATCH(F$2,Inputs!$K$4:$AJ$4,0))))+SUMPRODUCT((Inputs!$E$5:$E$110=$B47)*ISNUMBER(INDEX(Inputs!$K$5:$AJ$110,0,MATCH(F$2,Inputs!$K$4:$AJ$4,0))))=0,NA(),SUMPRODUCT((Inputs!$A$5:$A$110=$B47)*Inputs!$B$5:$B$110*(((Inputs!$G$5:$G$110="moeda")+(Inputs!$G$5:$G$110="acoes"))*Inputs!$B$1+((Inputs!$G$5:$G$110&lt;&gt;"moeda")*(Inputs!$G$5:$G$110&lt;&gt;"acoes")))*INDEX(Inputs!$K$5:$AJ$110,0,MATCH(F$2,Inputs!$K$4:$AJ$4,0)))+SUMPRODUCT((Inputs!$C$5:$C$110=$B47)*Inputs!$D$5:$D$110*(((Inputs!$G$5:$G$110="moeda")+(Inputs!$G$5:$G$110="acoes"))*Inputs!$B$1+((Inputs!$G$5:$G$110&lt;&gt;"moeda")*(Inputs!$G$5:$G$110&lt;&gt;"acoes")))*INDEX(Inputs!$K$5:$AJ$110,0,MATCH(F$2,Inputs!$K$4:$AJ$4,0)))+SUMPRODUCT((Inputs!$E$5:$E$110=$B47)*Inputs!$F$5:$F$110*(((Inputs!$G$5:$G$110="moeda")+(Inputs!$G$5:$G$110="acoes"))*Inputs!$B$1+((Inputs!$G$5:$G$110&lt;&gt;"moeda")*(Inputs!$G$5:$G$110&lt;&gt;"acoes")))*INDEX(Inputs!$K$5:$AJ$110,0,MATCH(F$2,Inputs!$K$4:$AJ$4,0)))))</f>
        <v>21476</v>
      </c>
      <c r="G47" s="6">
        <f>IF(ISNA(MATCH(G$2,Inputs!$K$4:$AJ$4,0)),NA(),IF(SUMPRODUCT((Inputs!$A$5:$A$110=$B47)*ISNUMBER(INDEX(Inputs!$K$5:$AJ$110,0,MATCH(G$2,Inputs!$K$4:$AJ$4,0))))+SUMPRODUCT((Inputs!$C$5:$C$110=$B47)*ISNUMBER(INDEX(Inputs!$K$5:$AJ$110,0,MATCH(G$2,Inputs!$K$4:$AJ$4,0))))+SUMPRODUCT((Inputs!$E$5:$E$110=$B47)*ISNUMBER(INDEX(Inputs!$K$5:$AJ$110,0,MATCH(G$2,Inputs!$K$4:$AJ$4,0))))=0,NA(),SUMPRODUCT((Inputs!$A$5:$A$110=$B47)*Inputs!$B$5:$B$110*(((Inputs!$G$5:$G$110="moeda")+(Inputs!$G$5:$G$110="acoes"))*Inputs!$B$1+((Inputs!$G$5:$G$110&lt;&gt;"moeda")*(Inputs!$G$5:$G$110&lt;&gt;"acoes")))*INDEX(Inputs!$K$5:$AJ$110,0,MATCH(G$2,Inputs!$K$4:$AJ$4,0)))+SUMPRODUCT((Inputs!$C$5:$C$110=$B47)*Inputs!$D$5:$D$110*(((Inputs!$G$5:$G$110="moeda")+(Inputs!$G$5:$G$110="acoes"))*Inputs!$B$1+((Inputs!$G$5:$G$110&lt;&gt;"moeda")*(Inputs!$G$5:$G$110&lt;&gt;"acoes")))*INDEX(Inputs!$K$5:$AJ$110,0,MATCH(G$2,Inputs!$K$4:$AJ$4,0)))+SUMPRODUCT((Inputs!$E$5:$E$110=$B47)*Inputs!$F$5:$F$110*(((Inputs!$G$5:$G$110="moeda")+(Inputs!$G$5:$G$110="acoes"))*Inputs!$B$1+((Inputs!$G$5:$G$110&lt;&gt;"moeda")*(Inputs!$G$5:$G$110&lt;&gt;"acoes")))*INDEX(Inputs!$K$5:$AJ$110,0,MATCH(G$2,Inputs!$K$4:$AJ$4,0)))))</f>
        <v>21600</v>
      </c>
      <c r="H47" s="3">
        <f>G47</f>
        <v>21600</v>
      </c>
      <c r="I47" s="6">
        <f>IF(ISNA(MATCH(I$2,Inputs!$K$4:$AJ$4,0)),NA(),IF(SUMPRODUCT((Inputs!$A$5:$A$110=$B47)*ISNUMBER(INDEX(Inputs!$K$5:$AJ$110,0,MATCH(I$2,Inputs!$K$4:$AJ$4,0))))+SUMPRODUCT((Inputs!$C$5:$C$110=$B47)*ISNUMBER(INDEX(Inputs!$K$5:$AJ$110,0,MATCH(I$2,Inputs!$K$4:$AJ$4,0))))+SUMPRODUCT((Inputs!$E$5:$E$110=$B47)*ISNUMBER(INDEX(Inputs!$K$5:$AJ$110,0,MATCH(I$2,Inputs!$K$4:$AJ$4,0))))=0,NA(),SUMPRODUCT((Inputs!$A$5:$A$110=$B47)*Inputs!$B$5:$B$110*(((Inputs!$G$5:$G$110="moeda")+(Inputs!$G$5:$G$110="acoes"))*Inputs!$B$1+((Inputs!$G$5:$G$110&lt;&gt;"moeda")*(Inputs!$G$5:$G$110&lt;&gt;"acoes")))*INDEX(Inputs!$K$5:$AJ$110,0,MATCH(I$2,Inputs!$K$4:$AJ$4,0)))+SUMPRODUCT((Inputs!$C$5:$C$110=$B47)*Inputs!$D$5:$D$110*(((Inputs!$G$5:$G$110="moeda")+(Inputs!$G$5:$G$110="acoes"))*Inputs!$B$1+((Inputs!$G$5:$G$110&lt;&gt;"moeda")*(Inputs!$G$5:$G$110&lt;&gt;"acoes")))*INDEX(Inputs!$K$5:$AJ$110,0,MATCH(I$2,Inputs!$K$4:$AJ$4,0)))+SUMPRODUCT((Inputs!$E$5:$E$110=$B47)*Inputs!$F$5:$F$110*(((Inputs!$G$5:$G$110="moeda")+(Inputs!$G$5:$G$110="acoes"))*Inputs!$B$1+((Inputs!$G$5:$G$110&lt;&gt;"moeda")*(Inputs!$G$5:$G$110&lt;&gt;"acoes")))*INDEX(Inputs!$K$5:$AJ$110,0,MATCH(I$2,Inputs!$K$4:$AJ$4,0)))))</f>
        <v>20716</v>
      </c>
      <c r="J47" s="6">
        <f>IF(ISNA(MATCH(J$2,Inputs!$K$4:$AJ$4,0)),NA(),IF(SUMPRODUCT((Inputs!$A$5:$A$110=$B47)*ISNUMBER(INDEX(Inputs!$K$5:$AJ$110,0,MATCH(J$2,Inputs!$K$4:$AJ$4,0))))+SUMPRODUCT((Inputs!$C$5:$C$110=$B47)*ISNUMBER(INDEX(Inputs!$K$5:$AJ$110,0,MATCH(J$2,Inputs!$K$4:$AJ$4,0))))+SUMPRODUCT((Inputs!$E$5:$E$110=$B47)*ISNUMBER(INDEX(Inputs!$K$5:$AJ$110,0,MATCH(J$2,Inputs!$K$4:$AJ$4,0))))=0,NA(),SUMPRODUCT((Inputs!$A$5:$A$110=$B47)*Inputs!$B$5:$B$110*(((Inputs!$G$5:$G$110="moeda")+(Inputs!$G$5:$G$110="acoes"))*Inputs!$B$1+((Inputs!$G$5:$G$110&lt;&gt;"moeda")*(Inputs!$G$5:$G$110&lt;&gt;"acoes")))*INDEX(Inputs!$K$5:$AJ$110,0,MATCH(J$2,Inputs!$K$4:$AJ$4,0)))+SUMPRODUCT((Inputs!$C$5:$C$110=$B47)*Inputs!$D$5:$D$110*(((Inputs!$G$5:$G$110="moeda")+(Inputs!$G$5:$G$110="acoes"))*Inputs!$B$1+((Inputs!$G$5:$G$110&lt;&gt;"moeda")*(Inputs!$G$5:$G$110&lt;&gt;"acoes")))*INDEX(Inputs!$K$5:$AJ$110,0,MATCH(J$2,Inputs!$K$4:$AJ$4,0)))+SUMPRODUCT((Inputs!$E$5:$E$110=$B47)*Inputs!$F$5:$F$110*(((Inputs!$G$5:$G$110="moeda")+(Inputs!$G$5:$G$110="acoes"))*Inputs!$B$1+((Inputs!$G$5:$G$110&lt;&gt;"moeda")*(Inputs!$G$5:$G$110&lt;&gt;"acoes")))*INDEX(Inputs!$K$5:$AJ$110,0,MATCH(J$2,Inputs!$K$4:$AJ$4,0)))))</f>
        <v>19336</v>
      </c>
      <c r="K47" s="6">
        <f>IF(ISNA(MATCH(K$2,Inputs!$K$4:$AJ$4,0)),NA(),IF(SUMPRODUCT((Inputs!$A$5:$A$110=$B47)*ISNUMBER(INDEX(Inputs!$K$5:$AJ$110,0,MATCH(K$2,Inputs!$K$4:$AJ$4,0))))+SUMPRODUCT((Inputs!$C$5:$C$110=$B47)*ISNUMBER(INDEX(Inputs!$K$5:$AJ$110,0,MATCH(K$2,Inputs!$K$4:$AJ$4,0))))+SUMPRODUCT((Inputs!$E$5:$E$110=$B47)*ISNUMBER(INDEX(Inputs!$K$5:$AJ$110,0,MATCH(K$2,Inputs!$K$4:$AJ$4,0))))=0,NA(),SUMPRODUCT((Inputs!$A$5:$A$110=$B47)*Inputs!$B$5:$B$110*(((Inputs!$G$5:$G$110="moeda")+(Inputs!$G$5:$G$110="acoes"))*Inputs!$B$1+((Inputs!$G$5:$G$110&lt;&gt;"moeda")*(Inputs!$G$5:$G$110&lt;&gt;"acoes")))*INDEX(Inputs!$K$5:$AJ$110,0,MATCH(K$2,Inputs!$K$4:$AJ$4,0)))+SUMPRODUCT((Inputs!$C$5:$C$110=$B47)*Inputs!$D$5:$D$110*(((Inputs!$G$5:$G$110="moeda")+(Inputs!$G$5:$G$110="acoes"))*Inputs!$B$1+((Inputs!$G$5:$G$110&lt;&gt;"moeda")*(Inputs!$G$5:$G$110&lt;&gt;"acoes")))*INDEX(Inputs!$K$5:$AJ$110,0,MATCH(K$2,Inputs!$K$4:$AJ$4,0)))+SUMPRODUCT((Inputs!$E$5:$E$110=$B47)*Inputs!$F$5:$F$110*(((Inputs!$G$5:$G$110="moeda")+(Inputs!$G$5:$G$110="acoes"))*Inputs!$B$1+((Inputs!$G$5:$G$110&lt;&gt;"moeda")*(Inputs!$G$5:$G$110&lt;&gt;"acoes")))*INDEX(Inputs!$K$5:$AJ$110,0,MATCH(K$2,Inputs!$K$4:$AJ$4,0)))))</f>
        <v>19839</v>
      </c>
      <c r="L47" s="6">
        <f>IF(ISNA(MATCH(L$2,Inputs!$K$4:$AJ$4,0)),NA(),IF(SUMPRODUCT((Inputs!$A$5:$A$110=$B47)*ISNUMBER(INDEX(Inputs!$K$5:$AJ$110,0,MATCH(L$2,Inputs!$K$4:$AJ$4,0))))+SUMPRODUCT((Inputs!$C$5:$C$110=$B47)*ISNUMBER(INDEX(Inputs!$K$5:$AJ$110,0,MATCH(L$2,Inputs!$K$4:$AJ$4,0))))+SUMPRODUCT((Inputs!$E$5:$E$110=$B47)*ISNUMBER(INDEX(Inputs!$K$5:$AJ$110,0,MATCH(L$2,Inputs!$K$4:$AJ$4,0))))=0,NA(),SUMPRODUCT((Inputs!$A$5:$A$110=$B47)*Inputs!$B$5:$B$110*(((Inputs!$G$5:$G$110="moeda")+(Inputs!$G$5:$G$110="acoes"))*Inputs!$B$1+((Inputs!$G$5:$G$110&lt;&gt;"moeda")*(Inputs!$G$5:$G$110&lt;&gt;"acoes")))*INDEX(Inputs!$K$5:$AJ$110,0,MATCH(L$2,Inputs!$K$4:$AJ$4,0)))+SUMPRODUCT((Inputs!$C$5:$C$110=$B47)*Inputs!$D$5:$D$110*(((Inputs!$G$5:$G$110="moeda")+(Inputs!$G$5:$G$110="acoes"))*Inputs!$B$1+((Inputs!$G$5:$G$110&lt;&gt;"moeda")*(Inputs!$G$5:$G$110&lt;&gt;"acoes")))*INDEX(Inputs!$K$5:$AJ$110,0,MATCH(L$2,Inputs!$K$4:$AJ$4,0)))+SUMPRODUCT((Inputs!$E$5:$E$110=$B47)*Inputs!$F$5:$F$110*(((Inputs!$G$5:$G$110="moeda")+(Inputs!$G$5:$G$110="acoes"))*Inputs!$B$1+((Inputs!$G$5:$G$110&lt;&gt;"moeda")*(Inputs!$G$5:$G$110&lt;&gt;"acoes")))*INDEX(Inputs!$K$5:$AJ$110,0,MATCH(L$2,Inputs!$K$4:$AJ$4,0)))))</f>
        <v>16943</v>
      </c>
      <c r="M47" s="3">
        <f>L47</f>
        <v>16943</v>
      </c>
      <c r="N47" s="6">
        <f>IF(ISNA(MATCH(N$2,Inputs!$K$4:$AJ$4,0)),NA(),IF(SUMPRODUCT((Inputs!$A$5:$A$110=$B47)*ISNUMBER(INDEX(Inputs!$K$5:$AJ$110,0,MATCH(N$2,Inputs!$K$4:$AJ$4,0))))+SUMPRODUCT((Inputs!$C$5:$C$110=$B47)*ISNUMBER(INDEX(Inputs!$K$5:$AJ$110,0,MATCH(N$2,Inputs!$K$4:$AJ$4,0))))+SUMPRODUCT((Inputs!$E$5:$E$110=$B47)*ISNUMBER(INDEX(Inputs!$K$5:$AJ$110,0,MATCH(N$2,Inputs!$K$4:$AJ$4,0))))=0,NA(),SUMPRODUCT((Inputs!$A$5:$A$110=$B47)*Inputs!$B$5:$B$110*(((Inputs!$G$5:$G$110="moeda")+(Inputs!$G$5:$G$110="acoes"))*Inputs!$B$1+((Inputs!$G$5:$G$110&lt;&gt;"moeda")*(Inputs!$G$5:$G$110&lt;&gt;"acoes")))*INDEX(Inputs!$K$5:$AJ$110,0,MATCH(N$2,Inputs!$K$4:$AJ$4,0)))+SUMPRODUCT((Inputs!$C$5:$C$110=$B47)*Inputs!$D$5:$D$110*(((Inputs!$G$5:$G$110="moeda")+(Inputs!$G$5:$G$110="acoes"))*Inputs!$B$1+((Inputs!$G$5:$G$110&lt;&gt;"moeda")*(Inputs!$G$5:$G$110&lt;&gt;"acoes")))*INDEX(Inputs!$K$5:$AJ$110,0,MATCH(N$2,Inputs!$K$4:$AJ$4,0)))+SUMPRODUCT((Inputs!$E$5:$E$110=$B47)*Inputs!$F$5:$F$110*(((Inputs!$G$5:$G$110="moeda")+(Inputs!$G$5:$G$110="acoes"))*Inputs!$B$1+((Inputs!$G$5:$G$110&lt;&gt;"moeda")*(Inputs!$G$5:$G$110&lt;&gt;"acoes")))*INDEX(Inputs!$K$5:$AJ$110,0,MATCH(N$2,Inputs!$K$4:$AJ$4,0)))))</f>
        <v>17478</v>
      </c>
      <c r="O47" s="6">
        <f>IF(ISNA(MATCH(O$2,Inputs!$K$4:$AJ$4,0)),NA(),IF(SUMPRODUCT((Inputs!$A$5:$A$110=$B47)*ISNUMBER(INDEX(Inputs!$K$5:$AJ$110,0,MATCH(O$2,Inputs!$K$4:$AJ$4,0))))+SUMPRODUCT((Inputs!$C$5:$C$110=$B47)*ISNUMBER(INDEX(Inputs!$K$5:$AJ$110,0,MATCH(O$2,Inputs!$K$4:$AJ$4,0))))+SUMPRODUCT((Inputs!$E$5:$E$110=$B47)*ISNUMBER(INDEX(Inputs!$K$5:$AJ$110,0,MATCH(O$2,Inputs!$K$4:$AJ$4,0))))=0,NA(),SUMPRODUCT((Inputs!$A$5:$A$110=$B47)*Inputs!$B$5:$B$110*(((Inputs!$G$5:$G$110="moeda")+(Inputs!$G$5:$G$110="acoes"))*Inputs!$B$1+((Inputs!$G$5:$G$110&lt;&gt;"moeda")*(Inputs!$G$5:$G$110&lt;&gt;"acoes")))*INDEX(Inputs!$K$5:$AJ$110,0,MATCH(O$2,Inputs!$K$4:$AJ$4,0)))+SUMPRODUCT((Inputs!$C$5:$C$110=$B47)*Inputs!$D$5:$D$110*(((Inputs!$G$5:$G$110="moeda")+(Inputs!$G$5:$G$110="acoes"))*Inputs!$B$1+((Inputs!$G$5:$G$110&lt;&gt;"moeda")*(Inputs!$G$5:$G$110&lt;&gt;"acoes")))*INDEX(Inputs!$K$5:$AJ$110,0,MATCH(O$2,Inputs!$K$4:$AJ$4,0)))+SUMPRODUCT((Inputs!$E$5:$E$110=$B47)*Inputs!$F$5:$F$110*(((Inputs!$G$5:$G$110="moeda")+(Inputs!$G$5:$G$110="acoes"))*Inputs!$B$1+((Inputs!$G$5:$G$110&lt;&gt;"moeda")*(Inputs!$G$5:$G$110&lt;&gt;"acoes")))*INDEX(Inputs!$K$5:$AJ$110,0,MATCH(O$2,Inputs!$K$4:$AJ$4,0)))))</f>
        <v>17068</v>
      </c>
      <c r="P47" s="6">
        <f>IF(ISNA(MATCH(P$2,Inputs!$K$4:$AJ$4,0)),NA(),IF(SUMPRODUCT((Inputs!$A$5:$A$110=$B47)*ISNUMBER(INDEX(Inputs!$K$5:$AJ$110,0,MATCH(P$2,Inputs!$K$4:$AJ$4,0))))+SUMPRODUCT((Inputs!$C$5:$C$110=$B47)*ISNUMBER(INDEX(Inputs!$K$5:$AJ$110,0,MATCH(P$2,Inputs!$K$4:$AJ$4,0))))+SUMPRODUCT((Inputs!$E$5:$E$110=$B47)*ISNUMBER(INDEX(Inputs!$K$5:$AJ$110,0,MATCH(P$2,Inputs!$K$4:$AJ$4,0))))=0,NA(),SUMPRODUCT((Inputs!$A$5:$A$110=$B47)*Inputs!$B$5:$B$110*(((Inputs!$G$5:$G$110="moeda")+(Inputs!$G$5:$G$110="acoes"))*Inputs!$B$1+((Inputs!$G$5:$G$110&lt;&gt;"moeda")*(Inputs!$G$5:$G$110&lt;&gt;"acoes")))*INDEX(Inputs!$K$5:$AJ$110,0,MATCH(P$2,Inputs!$K$4:$AJ$4,0)))+SUMPRODUCT((Inputs!$C$5:$C$110=$B47)*Inputs!$D$5:$D$110*(((Inputs!$G$5:$G$110="moeda")+(Inputs!$G$5:$G$110="acoes"))*Inputs!$B$1+((Inputs!$G$5:$G$110&lt;&gt;"moeda")*(Inputs!$G$5:$G$110&lt;&gt;"acoes")))*INDEX(Inputs!$K$5:$AJ$110,0,MATCH(P$2,Inputs!$K$4:$AJ$4,0)))+SUMPRODUCT((Inputs!$E$5:$E$110=$B47)*Inputs!$F$5:$F$110*(((Inputs!$G$5:$G$110="moeda")+(Inputs!$G$5:$G$110="acoes"))*Inputs!$B$1+((Inputs!$G$5:$G$110&lt;&gt;"moeda")*(Inputs!$G$5:$G$110&lt;&gt;"acoes")))*INDEX(Inputs!$K$5:$AJ$110,0,MATCH(P$2,Inputs!$K$4:$AJ$4,0)))))</f>
        <v>17066</v>
      </c>
      <c r="Q47" s="6">
        <f>IF(ISNA(MATCH(Q$2,Inputs!$K$4:$AJ$4,0)),NA(),IF(SUMPRODUCT((Inputs!$A$5:$A$110=$B47)*ISNUMBER(INDEX(Inputs!$K$5:$AJ$110,0,MATCH(Q$2,Inputs!$K$4:$AJ$4,0))))+SUMPRODUCT((Inputs!$C$5:$C$110=$B47)*ISNUMBER(INDEX(Inputs!$K$5:$AJ$110,0,MATCH(Q$2,Inputs!$K$4:$AJ$4,0))))+SUMPRODUCT((Inputs!$E$5:$E$110=$B47)*ISNUMBER(INDEX(Inputs!$K$5:$AJ$110,0,MATCH(Q$2,Inputs!$K$4:$AJ$4,0))))=0,NA(),SUMPRODUCT((Inputs!$A$5:$A$110=$B47)*Inputs!$B$5:$B$110*(((Inputs!$G$5:$G$110="moeda")+(Inputs!$G$5:$G$110="acoes"))*Inputs!$B$1+((Inputs!$G$5:$G$110&lt;&gt;"moeda")*(Inputs!$G$5:$G$110&lt;&gt;"acoes")))*INDEX(Inputs!$K$5:$AJ$110,0,MATCH(Q$2,Inputs!$K$4:$AJ$4,0)))+SUMPRODUCT((Inputs!$C$5:$C$110=$B47)*Inputs!$D$5:$D$110*(((Inputs!$G$5:$G$110="moeda")+(Inputs!$G$5:$G$110="acoes"))*Inputs!$B$1+((Inputs!$G$5:$G$110&lt;&gt;"moeda")*(Inputs!$G$5:$G$110&lt;&gt;"acoes")))*INDEX(Inputs!$K$5:$AJ$110,0,MATCH(Q$2,Inputs!$K$4:$AJ$4,0)))+SUMPRODUCT((Inputs!$E$5:$E$110=$B47)*Inputs!$F$5:$F$110*(((Inputs!$G$5:$G$110="moeda")+(Inputs!$G$5:$G$110="acoes"))*Inputs!$B$1+((Inputs!$G$5:$G$110&lt;&gt;"moeda")*(Inputs!$G$5:$G$110&lt;&gt;"acoes")))*INDEX(Inputs!$K$5:$AJ$110,0,MATCH(Q$2,Inputs!$K$4:$AJ$4,0)))))</f>
        <v>15398</v>
      </c>
      <c r="R47" s="3">
        <f>Q47</f>
        <v>15398</v>
      </c>
      <c r="S47" s="6">
        <f>IF(ISNA(MATCH(S$2,Inputs!$K$4:$AJ$4,0)),NA(),IF(SUMPRODUCT((Inputs!$A$5:$A$110=$B47)*ISNUMBER(INDEX(Inputs!$K$5:$AJ$110,0,MATCH(S$2,Inputs!$K$4:$AJ$4,0))))+SUMPRODUCT((Inputs!$C$5:$C$110=$B47)*ISNUMBER(INDEX(Inputs!$K$5:$AJ$110,0,MATCH(S$2,Inputs!$K$4:$AJ$4,0))))+SUMPRODUCT((Inputs!$E$5:$E$110=$B47)*ISNUMBER(INDEX(Inputs!$K$5:$AJ$110,0,MATCH(S$2,Inputs!$K$4:$AJ$4,0))))=0,NA(),SUMPRODUCT((Inputs!$A$5:$A$110=$B47)*Inputs!$B$5:$B$110*(((Inputs!$G$5:$G$110="moeda")+(Inputs!$G$5:$G$110="acoes"))*Inputs!$B$1+((Inputs!$G$5:$G$110&lt;&gt;"moeda")*(Inputs!$G$5:$G$110&lt;&gt;"acoes")))*INDEX(Inputs!$K$5:$AJ$110,0,MATCH(S$2,Inputs!$K$4:$AJ$4,0)))+SUMPRODUCT((Inputs!$C$5:$C$110=$B47)*Inputs!$D$5:$D$110*(((Inputs!$G$5:$G$110="moeda")+(Inputs!$G$5:$G$110="acoes"))*Inputs!$B$1+((Inputs!$G$5:$G$110&lt;&gt;"moeda")*(Inputs!$G$5:$G$110&lt;&gt;"acoes")))*INDEX(Inputs!$K$5:$AJ$110,0,MATCH(S$2,Inputs!$K$4:$AJ$4,0)))+SUMPRODUCT((Inputs!$E$5:$E$110=$B47)*Inputs!$F$5:$F$110*(((Inputs!$G$5:$G$110="moeda")+(Inputs!$G$5:$G$110="acoes"))*Inputs!$B$1+((Inputs!$G$5:$G$110&lt;&gt;"moeda")*(Inputs!$G$5:$G$110&lt;&gt;"acoes")))*INDEX(Inputs!$K$5:$AJ$110,0,MATCH(S$2,Inputs!$K$4:$AJ$4,0)))))</f>
        <v>15222</v>
      </c>
      <c r="T47" s="6">
        <f>IF(ISNA(MATCH(T$2,Inputs!$K$4:$AJ$4,0)),NA(),IF(SUMPRODUCT((Inputs!$A$5:$A$110=$B47)*ISNUMBER(INDEX(Inputs!$K$5:$AJ$110,0,MATCH(T$2,Inputs!$K$4:$AJ$4,0))))+SUMPRODUCT((Inputs!$C$5:$C$110=$B47)*ISNUMBER(INDEX(Inputs!$K$5:$AJ$110,0,MATCH(T$2,Inputs!$K$4:$AJ$4,0))))+SUMPRODUCT((Inputs!$E$5:$E$110=$B47)*ISNUMBER(INDEX(Inputs!$K$5:$AJ$110,0,MATCH(T$2,Inputs!$K$4:$AJ$4,0))))=0,NA(),SUMPRODUCT((Inputs!$A$5:$A$110=$B47)*Inputs!$B$5:$B$110*(((Inputs!$G$5:$G$110="moeda")+(Inputs!$G$5:$G$110="acoes"))*Inputs!$B$1+((Inputs!$G$5:$G$110&lt;&gt;"moeda")*(Inputs!$G$5:$G$110&lt;&gt;"acoes")))*INDEX(Inputs!$K$5:$AJ$110,0,MATCH(T$2,Inputs!$K$4:$AJ$4,0)))+SUMPRODUCT((Inputs!$C$5:$C$110=$B47)*Inputs!$D$5:$D$110*(((Inputs!$G$5:$G$110="moeda")+(Inputs!$G$5:$G$110="acoes"))*Inputs!$B$1+((Inputs!$G$5:$G$110&lt;&gt;"moeda")*(Inputs!$G$5:$G$110&lt;&gt;"acoes")))*INDEX(Inputs!$K$5:$AJ$110,0,MATCH(T$2,Inputs!$K$4:$AJ$4,0)))+SUMPRODUCT((Inputs!$E$5:$E$110=$B47)*Inputs!$F$5:$F$110*(((Inputs!$G$5:$G$110="moeda")+(Inputs!$G$5:$G$110="acoes"))*Inputs!$B$1+((Inputs!$G$5:$G$110&lt;&gt;"moeda")*(Inputs!$G$5:$G$110&lt;&gt;"acoes")))*INDEX(Inputs!$K$5:$AJ$110,0,MATCH(T$2,Inputs!$K$4:$AJ$4,0)))))</f>
        <v>14707</v>
      </c>
      <c r="U47" s="6">
        <f>IF(ISNA(MATCH(U$2,Inputs!$K$4:$AJ$4,0)),NA(),IF(SUMPRODUCT((Inputs!$A$5:$A$110=$B47)*ISNUMBER(INDEX(Inputs!$K$5:$AJ$110,0,MATCH(U$2,Inputs!$K$4:$AJ$4,0))))+SUMPRODUCT((Inputs!$C$5:$C$110=$B47)*ISNUMBER(INDEX(Inputs!$K$5:$AJ$110,0,MATCH(U$2,Inputs!$K$4:$AJ$4,0))))+SUMPRODUCT((Inputs!$E$5:$E$110=$B47)*ISNUMBER(INDEX(Inputs!$K$5:$AJ$110,0,MATCH(U$2,Inputs!$K$4:$AJ$4,0))))=0,NA(),SUMPRODUCT((Inputs!$A$5:$A$110=$B47)*Inputs!$B$5:$B$110*(((Inputs!$G$5:$G$110="moeda")+(Inputs!$G$5:$G$110="acoes"))*Inputs!$B$1+((Inputs!$G$5:$G$110&lt;&gt;"moeda")*(Inputs!$G$5:$G$110&lt;&gt;"acoes")))*INDEX(Inputs!$K$5:$AJ$110,0,MATCH(U$2,Inputs!$K$4:$AJ$4,0)))+SUMPRODUCT((Inputs!$C$5:$C$110=$B47)*Inputs!$D$5:$D$110*(((Inputs!$G$5:$G$110="moeda")+(Inputs!$G$5:$G$110="acoes"))*Inputs!$B$1+((Inputs!$G$5:$G$110&lt;&gt;"moeda")*(Inputs!$G$5:$G$110&lt;&gt;"acoes")))*INDEX(Inputs!$K$5:$AJ$110,0,MATCH(U$2,Inputs!$K$4:$AJ$4,0)))+SUMPRODUCT((Inputs!$E$5:$E$110=$B47)*Inputs!$F$5:$F$110*(((Inputs!$G$5:$G$110="moeda")+(Inputs!$G$5:$G$110="acoes"))*Inputs!$B$1+((Inputs!$G$5:$G$110&lt;&gt;"moeda")*(Inputs!$G$5:$G$110&lt;&gt;"acoes")))*INDEX(Inputs!$K$5:$AJ$110,0,MATCH(U$2,Inputs!$K$4:$AJ$4,0)))))</f>
        <v>15657</v>
      </c>
      <c r="V47" s="6">
        <f>IF(ISNA(MATCH(V$2,Inputs!$K$4:$AJ$4,0)),NA(),IF(SUMPRODUCT((Inputs!$A$5:$A$110=$B47)*ISNUMBER(INDEX(Inputs!$K$5:$AJ$110,0,MATCH(V$2,Inputs!$K$4:$AJ$4,0))))+SUMPRODUCT((Inputs!$C$5:$C$110=$B47)*ISNUMBER(INDEX(Inputs!$K$5:$AJ$110,0,MATCH(V$2,Inputs!$K$4:$AJ$4,0))))+SUMPRODUCT((Inputs!$E$5:$E$110=$B47)*ISNUMBER(INDEX(Inputs!$K$5:$AJ$110,0,MATCH(V$2,Inputs!$K$4:$AJ$4,0))))=0,NA(),SUMPRODUCT((Inputs!$A$5:$A$110=$B47)*Inputs!$B$5:$B$110*(((Inputs!$G$5:$G$110="moeda")+(Inputs!$G$5:$G$110="acoes"))*Inputs!$B$1+((Inputs!$G$5:$G$110&lt;&gt;"moeda")*(Inputs!$G$5:$G$110&lt;&gt;"acoes")))*INDEX(Inputs!$K$5:$AJ$110,0,MATCH(V$2,Inputs!$K$4:$AJ$4,0)))+SUMPRODUCT((Inputs!$C$5:$C$110=$B47)*Inputs!$D$5:$D$110*(((Inputs!$G$5:$G$110="moeda")+(Inputs!$G$5:$G$110="acoes"))*Inputs!$B$1+((Inputs!$G$5:$G$110&lt;&gt;"moeda")*(Inputs!$G$5:$G$110&lt;&gt;"acoes")))*INDEX(Inputs!$K$5:$AJ$110,0,MATCH(V$2,Inputs!$K$4:$AJ$4,0)))+SUMPRODUCT((Inputs!$E$5:$E$110=$B47)*Inputs!$F$5:$F$110*(((Inputs!$G$5:$G$110="moeda")+(Inputs!$G$5:$G$110="acoes"))*Inputs!$B$1+((Inputs!$G$5:$G$110&lt;&gt;"moeda")*(Inputs!$G$5:$G$110&lt;&gt;"acoes")))*INDEX(Inputs!$K$5:$AJ$110,0,MATCH(V$2,Inputs!$K$4:$AJ$4,0)))))</f>
        <v>14551</v>
      </c>
      <c r="W47" s="3">
        <f>V47</f>
        <v>14551</v>
      </c>
      <c r="X47" s="6">
        <f>IF(ISNA(MATCH(X$2,Inputs!$K$4:$AJ$4,0)),NA(),IF(SUMPRODUCT((Inputs!$A$5:$A$110=$B47)*ISNUMBER(INDEX(Inputs!$K$5:$AJ$110,0,MATCH(X$2,Inputs!$K$4:$AJ$4,0))))+SUMPRODUCT((Inputs!$C$5:$C$110=$B47)*ISNUMBER(INDEX(Inputs!$K$5:$AJ$110,0,MATCH(X$2,Inputs!$K$4:$AJ$4,0))))+SUMPRODUCT((Inputs!$E$5:$E$110=$B47)*ISNUMBER(INDEX(Inputs!$K$5:$AJ$110,0,MATCH(X$2,Inputs!$K$4:$AJ$4,0))))=0,NA(),SUMPRODUCT((Inputs!$A$5:$A$110=$B47)*Inputs!$B$5:$B$110*(((Inputs!$G$5:$G$110="moeda")+(Inputs!$G$5:$G$110="acoes"))*Inputs!$B$1+((Inputs!$G$5:$G$110&lt;&gt;"moeda")*(Inputs!$G$5:$G$110&lt;&gt;"acoes")))*INDEX(Inputs!$K$5:$AJ$110,0,MATCH(X$2,Inputs!$K$4:$AJ$4,0)))+SUMPRODUCT((Inputs!$C$5:$C$110=$B47)*Inputs!$D$5:$D$110*(((Inputs!$G$5:$G$110="moeda")+(Inputs!$G$5:$G$110="acoes"))*Inputs!$B$1+((Inputs!$G$5:$G$110&lt;&gt;"moeda")*(Inputs!$G$5:$G$110&lt;&gt;"acoes")))*INDEX(Inputs!$K$5:$AJ$110,0,MATCH(X$2,Inputs!$K$4:$AJ$4,0)))+SUMPRODUCT((Inputs!$E$5:$E$110=$B47)*Inputs!$F$5:$F$110*(((Inputs!$G$5:$G$110="moeda")+(Inputs!$G$5:$G$110="acoes"))*Inputs!$B$1+((Inputs!$G$5:$G$110&lt;&gt;"moeda")*(Inputs!$G$5:$G$110&lt;&gt;"acoes")))*INDEX(Inputs!$K$5:$AJ$110,0,MATCH(X$2,Inputs!$K$4:$AJ$4,0)))))</f>
        <v>14773</v>
      </c>
      <c r="Y47" s="6">
        <f>IF(ISNA(MATCH(Y$2,Inputs!$K$4:$AJ$4,0)),NA(),IF(SUMPRODUCT((Inputs!$A$5:$A$110=$B47)*ISNUMBER(INDEX(Inputs!$K$5:$AJ$110,0,MATCH(Y$2,Inputs!$K$4:$AJ$4,0))))+SUMPRODUCT((Inputs!$C$5:$C$110=$B47)*ISNUMBER(INDEX(Inputs!$K$5:$AJ$110,0,MATCH(Y$2,Inputs!$K$4:$AJ$4,0))))+SUMPRODUCT((Inputs!$E$5:$E$110=$B47)*ISNUMBER(INDEX(Inputs!$K$5:$AJ$110,0,MATCH(Y$2,Inputs!$K$4:$AJ$4,0))))=0,NA(),SUMPRODUCT((Inputs!$A$5:$A$110=$B47)*Inputs!$B$5:$B$110*(((Inputs!$G$5:$G$110="moeda")+(Inputs!$G$5:$G$110="acoes"))*Inputs!$B$1+((Inputs!$G$5:$G$110&lt;&gt;"moeda")*(Inputs!$G$5:$G$110&lt;&gt;"acoes")))*INDEX(Inputs!$K$5:$AJ$110,0,MATCH(Y$2,Inputs!$K$4:$AJ$4,0)))+SUMPRODUCT((Inputs!$C$5:$C$110=$B47)*Inputs!$D$5:$D$110*(((Inputs!$G$5:$G$110="moeda")+(Inputs!$G$5:$G$110="acoes"))*Inputs!$B$1+((Inputs!$G$5:$G$110&lt;&gt;"moeda")*(Inputs!$G$5:$G$110&lt;&gt;"acoes")))*INDEX(Inputs!$K$5:$AJ$110,0,MATCH(Y$2,Inputs!$K$4:$AJ$4,0)))+SUMPRODUCT((Inputs!$E$5:$E$110=$B47)*Inputs!$F$5:$F$110*(((Inputs!$G$5:$G$110="moeda")+(Inputs!$G$5:$G$110="acoes"))*Inputs!$B$1+((Inputs!$G$5:$G$110&lt;&gt;"moeda")*(Inputs!$G$5:$G$110&lt;&gt;"acoes")))*INDEX(Inputs!$K$5:$AJ$110,0,MATCH(Y$2,Inputs!$K$4:$AJ$4,0)))))</f>
        <v>13259</v>
      </c>
      <c r="Z47" s="6">
        <f>IF(ISNA(MATCH(Z$2,Inputs!$K$4:$AJ$4,0)),NA(),IF(SUMPRODUCT((Inputs!$A$5:$A$110=$B47)*ISNUMBER(INDEX(Inputs!$K$5:$AJ$110,0,MATCH(Z$2,Inputs!$K$4:$AJ$4,0))))+SUMPRODUCT((Inputs!$C$5:$C$110=$B47)*ISNUMBER(INDEX(Inputs!$K$5:$AJ$110,0,MATCH(Z$2,Inputs!$K$4:$AJ$4,0))))+SUMPRODUCT((Inputs!$E$5:$E$110=$B47)*ISNUMBER(INDEX(Inputs!$K$5:$AJ$110,0,MATCH(Z$2,Inputs!$K$4:$AJ$4,0))))=0,NA(),SUMPRODUCT((Inputs!$A$5:$A$110=$B47)*Inputs!$B$5:$B$110*(((Inputs!$G$5:$G$110="moeda")+(Inputs!$G$5:$G$110="acoes"))*Inputs!$B$1+((Inputs!$G$5:$G$110&lt;&gt;"moeda")*(Inputs!$G$5:$G$110&lt;&gt;"acoes")))*INDEX(Inputs!$K$5:$AJ$110,0,MATCH(Z$2,Inputs!$K$4:$AJ$4,0)))+SUMPRODUCT((Inputs!$C$5:$C$110=$B47)*Inputs!$D$5:$D$110*(((Inputs!$G$5:$G$110="moeda")+(Inputs!$G$5:$G$110="acoes"))*Inputs!$B$1+((Inputs!$G$5:$G$110&lt;&gt;"moeda")*(Inputs!$G$5:$G$110&lt;&gt;"acoes")))*INDEX(Inputs!$K$5:$AJ$110,0,MATCH(Z$2,Inputs!$K$4:$AJ$4,0)))+SUMPRODUCT((Inputs!$E$5:$E$110=$B47)*Inputs!$F$5:$F$110*(((Inputs!$G$5:$G$110="moeda")+(Inputs!$G$5:$G$110="acoes"))*Inputs!$B$1+((Inputs!$G$5:$G$110&lt;&gt;"moeda")*(Inputs!$G$5:$G$110&lt;&gt;"acoes")))*INDEX(Inputs!$K$5:$AJ$110,0,MATCH(Z$2,Inputs!$K$4:$AJ$4,0)))))</f>
        <v>14053</v>
      </c>
      <c r="AA47" s="6">
        <f>IF(ISNA(MATCH(AA$2,Inputs!$K$4:$AJ$4,0)),NA(),IF(SUMPRODUCT((Inputs!$A$5:$A$110=$B47)*ISNUMBER(INDEX(Inputs!$K$5:$AJ$110,0,MATCH(AA$2,Inputs!$K$4:$AJ$4,0))))+SUMPRODUCT((Inputs!$C$5:$C$110=$B47)*ISNUMBER(INDEX(Inputs!$K$5:$AJ$110,0,MATCH(AA$2,Inputs!$K$4:$AJ$4,0))))+SUMPRODUCT((Inputs!$E$5:$E$110=$B47)*ISNUMBER(INDEX(Inputs!$K$5:$AJ$110,0,MATCH(AA$2,Inputs!$K$4:$AJ$4,0))))=0,NA(),SUMPRODUCT((Inputs!$A$5:$A$110=$B47)*Inputs!$B$5:$B$110*(((Inputs!$G$5:$G$110="moeda")+(Inputs!$G$5:$G$110="acoes"))*Inputs!$B$1+((Inputs!$G$5:$G$110&lt;&gt;"moeda")*(Inputs!$G$5:$G$110&lt;&gt;"acoes")))*INDEX(Inputs!$K$5:$AJ$110,0,MATCH(AA$2,Inputs!$K$4:$AJ$4,0)))+SUMPRODUCT((Inputs!$C$5:$C$110=$B47)*Inputs!$D$5:$D$110*(((Inputs!$G$5:$G$110="moeda")+(Inputs!$G$5:$G$110="acoes"))*Inputs!$B$1+((Inputs!$G$5:$G$110&lt;&gt;"moeda")*(Inputs!$G$5:$G$110&lt;&gt;"acoes")))*INDEX(Inputs!$K$5:$AJ$110,0,MATCH(AA$2,Inputs!$K$4:$AJ$4,0)))+SUMPRODUCT((Inputs!$E$5:$E$110=$B47)*Inputs!$F$5:$F$110*(((Inputs!$G$5:$G$110="moeda")+(Inputs!$G$5:$G$110="acoes"))*Inputs!$B$1+((Inputs!$G$5:$G$110&lt;&gt;"moeda")*(Inputs!$G$5:$G$110&lt;&gt;"acoes")))*INDEX(Inputs!$K$5:$AJ$110,0,MATCH(AA$2,Inputs!$K$4:$AJ$4,0)))))</f>
        <v>14034</v>
      </c>
      <c r="AB47" s="3">
        <f>AA47</f>
        <v>14034</v>
      </c>
      <c r="AC47" s="6">
        <f>IF(ISNA(MATCH(AC$2,Inputs!$K$4:$AJ$4,0)),NA(),IF(SUMPRODUCT((Inputs!$A$5:$A$110=$B47)*ISNUMBER(INDEX(Inputs!$K$5:$AJ$110,0,MATCH(AC$2,Inputs!$K$4:$AJ$4,0))))+SUMPRODUCT((Inputs!$C$5:$C$110=$B47)*ISNUMBER(INDEX(Inputs!$K$5:$AJ$110,0,MATCH(AC$2,Inputs!$K$4:$AJ$4,0))))+SUMPRODUCT((Inputs!$E$5:$E$110=$B47)*ISNUMBER(INDEX(Inputs!$K$5:$AJ$110,0,MATCH(AC$2,Inputs!$K$4:$AJ$4,0))))=0,NA(),SUMPRODUCT((Inputs!$A$5:$A$110=$B47)*Inputs!$B$5:$B$110*(((Inputs!$G$5:$G$110="moeda")+(Inputs!$G$5:$G$110="acoes"))*Inputs!$B$1+((Inputs!$G$5:$G$110&lt;&gt;"moeda")*(Inputs!$G$5:$G$110&lt;&gt;"acoes")))*INDEX(Inputs!$K$5:$AJ$110,0,MATCH(AC$2,Inputs!$K$4:$AJ$4,0)))+SUMPRODUCT((Inputs!$C$5:$C$110=$B47)*Inputs!$D$5:$D$110*(((Inputs!$G$5:$G$110="moeda")+(Inputs!$G$5:$G$110="acoes"))*Inputs!$B$1+((Inputs!$G$5:$G$110&lt;&gt;"moeda")*(Inputs!$G$5:$G$110&lt;&gt;"acoes")))*INDEX(Inputs!$K$5:$AJ$110,0,MATCH(AC$2,Inputs!$K$4:$AJ$4,0)))+SUMPRODUCT((Inputs!$E$5:$E$110=$B47)*Inputs!$F$5:$F$110*(((Inputs!$G$5:$G$110="moeda")+(Inputs!$G$5:$G$110="acoes"))*Inputs!$B$1+((Inputs!$G$5:$G$110&lt;&gt;"moeda")*(Inputs!$G$5:$G$110&lt;&gt;"acoes")))*INDEX(Inputs!$K$5:$AJ$110,0,MATCH(AC$2,Inputs!$K$4:$AJ$4,0)))))</f>
        <v>14723</v>
      </c>
      <c r="AD47" s="6">
        <f>IF(ISNA(MATCH(AD$2,Inputs!$K$4:$AJ$4,0)),NA(),IF(SUMPRODUCT((Inputs!$A$5:$A$110=$B47)*ISNUMBER(INDEX(Inputs!$K$5:$AJ$110,0,MATCH(AD$2,Inputs!$K$4:$AJ$4,0))))+SUMPRODUCT((Inputs!$C$5:$C$110=$B47)*ISNUMBER(INDEX(Inputs!$K$5:$AJ$110,0,MATCH(AD$2,Inputs!$K$4:$AJ$4,0))))+SUMPRODUCT((Inputs!$E$5:$E$110=$B47)*ISNUMBER(INDEX(Inputs!$K$5:$AJ$110,0,MATCH(AD$2,Inputs!$K$4:$AJ$4,0))))=0,NA(),SUMPRODUCT((Inputs!$A$5:$A$110=$B47)*Inputs!$B$5:$B$110*(((Inputs!$G$5:$G$110="moeda")+(Inputs!$G$5:$G$110="acoes"))*Inputs!$B$1+((Inputs!$G$5:$G$110&lt;&gt;"moeda")*(Inputs!$G$5:$G$110&lt;&gt;"acoes")))*INDEX(Inputs!$K$5:$AJ$110,0,MATCH(AD$2,Inputs!$K$4:$AJ$4,0)))+SUMPRODUCT((Inputs!$C$5:$C$110=$B47)*Inputs!$D$5:$D$110*(((Inputs!$G$5:$G$110="moeda")+(Inputs!$G$5:$G$110="acoes"))*Inputs!$B$1+((Inputs!$G$5:$G$110&lt;&gt;"moeda")*(Inputs!$G$5:$G$110&lt;&gt;"acoes")))*INDEX(Inputs!$K$5:$AJ$110,0,MATCH(AD$2,Inputs!$K$4:$AJ$4,0)))+SUMPRODUCT((Inputs!$E$5:$E$110=$B47)*Inputs!$F$5:$F$110*(((Inputs!$G$5:$G$110="moeda")+(Inputs!$G$5:$G$110="acoes"))*Inputs!$B$1+((Inputs!$G$5:$G$110&lt;&gt;"moeda")*(Inputs!$G$5:$G$110&lt;&gt;"acoes")))*INDEX(Inputs!$K$5:$AJ$110,0,MATCH(AD$2,Inputs!$K$4:$AJ$4,0)))))</f>
        <v>15759</v>
      </c>
      <c r="AE47" s="6" t="e">
        <f>IF(ISNA(MATCH(AE$2,Inputs!$K$4:$AJ$4,0)),NA(),IF(SUMPRODUCT((Inputs!$A$5:$A$110=$B47)*ISNUMBER(INDEX(Inputs!$K$5:$AJ$110,0,MATCH(AE$2,Inputs!$K$4:$AJ$4,0))))+SUMPRODUCT((Inputs!$C$5:$C$110=$B47)*ISNUMBER(INDEX(Inputs!$K$5:$AJ$110,0,MATCH(AE$2,Inputs!$K$4:$AJ$4,0))))+SUMPRODUCT((Inputs!$E$5:$E$110=$B47)*ISNUMBER(INDEX(Inputs!$K$5:$AJ$110,0,MATCH(AE$2,Inputs!$K$4:$AJ$4,0))))=0,NA(),SUMPRODUCT((Inputs!$A$5:$A$110=$B47)*Inputs!$B$5:$B$110*(((Inputs!$G$5:$G$110="moeda")+(Inputs!$G$5:$G$110="acoes"))*Inputs!$B$1+((Inputs!$G$5:$G$110&lt;&gt;"moeda")*(Inputs!$G$5:$G$110&lt;&gt;"acoes")))*INDEX(Inputs!$K$5:$AJ$110,0,MATCH(AE$2,Inputs!$K$4:$AJ$4,0)))+SUMPRODUCT((Inputs!$C$5:$C$110=$B47)*Inputs!$D$5:$D$110*(((Inputs!$G$5:$G$110="moeda")+(Inputs!$G$5:$G$110="acoes"))*Inputs!$B$1+((Inputs!$G$5:$G$110&lt;&gt;"moeda")*(Inputs!$G$5:$G$110&lt;&gt;"acoes")))*INDEX(Inputs!$K$5:$AJ$110,0,MATCH(AE$2,Inputs!$K$4:$AJ$4,0)))+SUMPRODUCT((Inputs!$E$5:$E$110=$B47)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47" s="6" t="e">
        <f>IF(ISNA(MATCH(AF$2,Inputs!$K$4:$AJ$4,0)),NA(),IF(SUMPRODUCT((Inputs!$A$5:$A$110=$B47)*ISNUMBER(INDEX(Inputs!$K$5:$AJ$110,0,MATCH(AF$2,Inputs!$K$4:$AJ$4,0))))+SUMPRODUCT((Inputs!$C$5:$C$110=$B47)*ISNUMBER(INDEX(Inputs!$K$5:$AJ$110,0,MATCH(AF$2,Inputs!$K$4:$AJ$4,0))))+SUMPRODUCT((Inputs!$E$5:$E$110=$B47)*ISNUMBER(INDEX(Inputs!$K$5:$AJ$110,0,MATCH(AF$2,Inputs!$K$4:$AJ$4,0))))=0,NA(),SUMPRODUCT((Inputs!$A$5:$A$110=$B47)*Inputs!$B$5:$B$110*(((Inputs!$G$5:$G$110="moeda")+(Inputs!$G$5:$G$110="acoes"))*Inputs!$B$1+((Inputs!$G$5:$G$110&lt;&gt;"moeda")*(Inputs!$G$5:$G$110&lt;&gt;"acoes")))*INDEX(Inputs!$K$5:$AJ$110,0,MATCH(AF$2,Inputs!$K$4:$AJ$4,0)))+SUMPRODUCT((Inputs!$C$5:$C$110=$B47)*Inputs!$D$5:$D$110*(((Inputs!$G$5:$G$110="moeda")+(Inputs!$G$5:$G$110="acoes"))*Inputs!$B$1+((Inputs!$G$5:$G$110&lt;&gt;"moeda")*(Inputs!$G$5:$G$110&lt;&gt;"acoes")))*INDEX(Inputs!$K$5:$AJ$110,0,MATCH(AF$2,Inputs!$K$4:$AJ$4,0)))+SUMPRODUCT((Inputs!$E$5:$E$110=$B47)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47" s="3" t="e">
        <f>AF47</f>
        <v>#N/A</v>
      </c>
      <c r="AH47" s="6">
        <f>IF(ISNA(MATCH(AH$2,Inputs!$K$4:$AJ$4,0)),NA(),IF(SUMPRODUCT((Inputs!$A$5:$A$110=$B47)*ISNUMBER(INDEX(Inputs!$K$5:$AJ$110,0,MATCH(AH$2,Inputs!$K$4:$AJ$4,0))))+SUMPRODUCT((Inputs!$C$5:$C$110=$B47)*ISNUMBER(INDEX(Inputs!$K$5:$AJ$110,0,MATCH(AH$2,Inputs!$K$4:$AJ$4,0))))+SUMPRODUCT((Inputs!$E$5:$E$110=$B47)*ISNUMBER(INDEX(Inputs!$K$5:$AJ$110,0,MATCH(AH$2,Inputs!$K$4:$AJ$4,0))))=0,NA(),SUMPRODUCT((Inputs!$A$5:$A$110=$B47)*Inputs!$B$5:$B$110*(((Inputs!$G$5:$G$110="moeda")+(Inputs!$G$5:$G$110="acoes"))*Inputs!$B$1+((Inputs!$G$5:$G$110&lt;&gt;"moeda")*(Inputs!$G$5:$G$110&lt;&gt;"acoes")))*INDEX(Inputs!$K$5:$AJ$110,0,MATCH(AH$2,Inputs!$K$4:$AJ$4,0)))+SUMPRODUCT((Inputs!$C$5:$C$110=$B47)*Inputs!$D$5:$D$110*(((Inputs!$G$5:$G$110="moeda")+(Inputs!$G$5:$G$110="acoes"))*Inputs!$B$1+((Inputs!$G$5:$G$110&lt;&gt;"moeda")*(Inputs!$G$5:$G$110&lt;&gt;"acoes")))*INDEX(Inputs!$K$5:$AJ$110,0,MATCH(AH$2,Inputs!$K$4:$AJ$4,0)))+SUMPRODUCT((Inputs!$E$5:$E$110=$B47)*Inputs!$F$5:$F$110*(((Inputs!$G$5:$G$110="moeda")+(Inputs!$G$5:$G$110="acoes"))*Inputs!$B$1+((Inputs!$G$5:$G$110&lt;&gt;"moeda")*(Inputs!$G$5:$G$110&lt;&gt;"acoes")))*INDEX(Inputs!$K$5:$AJ$110,0,MATCH(AH$2,Inputs!$K$4:$AJ$4,0)))))</f>
        <v>18708</v>
      </c>
      <c r="AI47" s="6">
        <f>IF(ISNA(MATCH(AI$2,Inputs!$K$4:$AJ$4,0)),NA(),IF(SUMPRODUCT((Inputs!$A$5:$A$110=$B47)*ISNUMBER(INDEX(Inputs!$K$5:$AJ$110,0,MATCH(AI$2,Inputs!$K$4:$AJ$4,0))))+SUMPRODUCT((Inputs!$C$5:$C$110=$B47)*ISNUMBER(INDEX(Inputs!$K$5:$AJ$110,0,MATCH(AI$2,Inputs!$K$4:$AJ$4,0))))+SUMPRODUCT((Inputs!$E$5:$E$110=$B47)*ISNUMBER(INDEX(Inputs!$K$5:$AJ$110,0,MATCH(AI$2,Inputs!$K$4:$AJ$4,0))))=0,NA(),SUMPRODUCT((Inputs!$A$5:$A$110=$B47)*Inputs!$B$5:$B$110*(((Inputs!$G$5:$G$110="moeda")+(Inputs!$G$5:$G$110="acoes"))*Inputs!$B$1+((Inputs!$G$5:$G$110&lt;&gt;"moeda")*(Inputs!$G$5:$G$110&lt;&gt;"acoes")))*INDEX(Inputs!$K$5:$AJ$110,0,MATCH(AI$2,Inputs!$K$4:$AJ$4,0)))+SUMPRODUCT((Inputs!$C$5:$C$110=$B47)*Inputs!$D$5:$D$110*(((Inputs!$G$5:$G$110="moeda")+(Inputs!$G$5:$G$110="acoes"))*Inputs!$B$1+((Inputs!$G$5:$G$110&lt;&gt;"moeda")*(Inputs!$G$5:$G$110&lt;&gt;"acoes")))*INDEX(Inputs!$K$5:$AJ$110,0,MATCH(AI$2,Inputs!$K$4:$AJ$4,0)))+SUMPRODUCT((Inputs!$E$5:$E$110=$B47)*Inputs!$F$5:$F$110*(((Inputs!$G$5:$G$110="moeda")+(Inputs!$G$5:$G$110="acoes"))*Inputs!$B$1+((Inputs!$G$5:$G$110&lt;&gt;"moeda")*(Inputs!$G$5:$G$110&lt;&gt;"acoes")))*INDEX(Inputs!$K$5:$AJ$110,0,MATCH(AI$2,Inputs!$K$4:$AJ$4,0)))))</f>
        <v>18876</v>
      </c>
      <c r="AJ47" s="6">
        <f>IF(ISNA(MATCH(AJ$2,Inputs!$K$4:$AJ$4,0)),NA(),IF(SUMPRODUCT((Inputs!$A$5:$A$110=$B47)*ISNUMBER(INDEX(Inputs!$K$5:$AJ$110,0,MATCH(AJ$2,Inputs!$K$4:$AJ$4,0))))+SUMPRODUCT((Inputs!$C$5:$C$110=$B47)*ISNUMBER(INDEX(Inputs!$K$5:$AJ$110,0,MATCH(AJ$2,Inputs!$K$4:$AJ$4,0))))+SUMPRODUCT((Inputs!$E$5:$E$110=$B47)*ISNUMBER(INDEX(Inputs!$K$5:$AJ$110,0,MATCH(AJ$2,Inputs!$K$4:$AJ$4,0))))=0,NA(),SUMPRODUCT((Inputs!$A$5:$A$110=$B47)*Inputs!$B$5:$B$110*(((Inputs!$G$5:$G$110="moeda")+(Inputs!$G$5:$G$110="acoes"))*Inputs!$B$1+((Inputs!$G$5:$G$110&lt;&gt;"moeda")*(Inputs!$G$5:$G$110&lt;&gt;"acoes")))*INDEX(Inputs!$K$5:$AJ$110,0,MATCH(AJ$2,Inputs!$K$4:$AJ$4,0)))+SUMPRODUCT((Inputs!$C$5:$C$110=$B47)*Inputs!$D$5:$D$110*(((Inputs!$G$5:$G$110="moeda")+(Inputs!$G$5:$G$110="acoes"))*Inputs!$B$1+((Inputs!$G$5:$G$110&lt;&gt;"moeda")*(Inputs!$G$5:$G$110&lt;&gt;"acoes")))*INDEX(Inputs!$K$5:$AJ$110,0,MATCH(AJ$2,Inputs!$K$4:$AJ$4,0)))+SUMPRODUCT((Inputs!$E$5:$E$110=$B47)*Inputs!$F$5:$F$110*(((Inputs!$G$5:$G$110="moeda")+(Inputs!$G$5:$G$110="acoes"))*Inputs!$B$1+((Inputs!$G$5:$G$110&lt;&gt;"moeda")*(Inputs!$G$5:$G$110&lt;&gt;"acoes")))*INDEX(Inputs!$K$5:$AJ$110,0,MATCH(AJ$2,Inputs!$K$4:$AJ$4,0)))))</f>
        <v>19844</v>
      </c>
      <c r="AK47" s="6">
        <f>IF(ISNA(MATCH(AK$2,Inputs!$K$4:$AJ$4,0)),NA(),IF(SUMPRODUCT((Inputs!$A$5:$A$110=$B47)*ISNUMBER(INDEX(Inputs!$K$5:$AJ$110,0,MATCH(AK$2,Inputs!$K$4:$AJ$4,0))))+SUMPRODUCT((Inputs!$C$5:$C$110=$B47)*ISNUMBER(INDEX(Inputs!$K$5:$AJ$110,0,MATCH(AK$2,Inputs!$K$4:$AJ$4,0))))+SUMPRODUCT((Inputs!$E$5:$E$110=$B47)*ISNUMBER(INDEX(Inputs!$K$5:$AJ$110,0,MATCH(AK$2,Inputs!$K$4:$AJ$4,0))))=0,NA(),SUMPRODUCT((Inputs!$A$5:$A$110=$B47)*Inputs!$B$5:$B$110*(((Inputs!$G$5:$G$110="moeda")+(Inputs!$G$5:$G$110="acoes"))*Inputs!$B$1+((Inputs!$G$5:$G$110&lt;&gt;"moeda")*(Inputs!$G$5:$G$110&lt;&gt;"acoes")))*INDEX(Inputs!$K$5:$AJ$110,0,MATCH(AK$2,Inputs!$K$4:$AJ$4,0)))+SUMPRODUCT((Inputs!$C$5:$C$110=$B47)*Inputs!$D$5:$D$110*(((Inputs!$G$5:$G$110="moeda")+(Inputs!$G$5:$G$110="acoes"))*Inputs!$B$1+((Inputs!$G$5:$G$110&lt;&gt;"moeda")*(Inputs!$G$5:$G$110&lt;&gt;"acoes")))*INDEX(Inputs!$K$5:$AJ$110,0,MATCH(AK$2,Inputs!$K$4:$AJ$4,0)))+SUMPRODUCT((Inputs!$E$5:$E$110=$B47)*Inputs!$F$5:$F$110*(((Inputs!$G$5:$G$110="moeda")+(Inputs!$G$5:$G$110="acoes"))*Inputs!$B$1+((Inputs!$G$5:$G$110&lt;&gt;"moeda")*(Inputs!$G$5:$G$110&lt;&gt;"acoes")))*INDEX(Inputs!$K$5:$AJ$110,0,MATCH(AK$2,Inputs!$K$4:$AJ$4,0)))))</f>
        <v>21636</v>
      </c>
      <c r="AL47" s="3">
        <f>AK47</f>
        <v>21636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$110=$B50)*ISNUMBER(INDEX(Inputs!$K$5:$AJ$110,0,MATCH(D$2,Inputs!$K$4:$AJ$4,0))))+SUMPRODUCT((Inputs!$C$5:$C$110=$B50)*ISNUMBER(INDEX(Inputs!$K$5:$AJ$110,0,MATCH(D$2,Inputs!$K$4:$AJ$4,0))))+SUMPRODUCT((Inputs!$E$5:$E$110=$B50)*ISNUMBER(INDEX(Inputs!$K$5:$AJ$110,0,MATCH(D$2,Inputs!$K$4:$AJ$4,0))))=0,NA(),SUMPRODUCT((Inputs!$A$5:$A$110=$B50)*Inputs!$B$5:$B$110*(((Inputs!$G$5:$G$110="moeda")+(Inputs!$G$5:$G$110="acoes"))*Inputs!$B$1+((Inputs!$G$5:$G$110&lt;&gt;"moeda")*(Inputs!$G$5:$G$110&lt;&gt;"acoes")))*INDEX(Inputs!$K$5:$AJ$110,0,MATCH(D$2,Inputs!$K$4:$AJ$4,0)))+SUMPRODUCT((Inputs!$C$5:$C$110=$B50)*Inputs!$D$5:$D$110*(((Inputs!$G$5:$G$110="moeda")+(Inputs!$G$5:$G$110="acoes"))*Inputs!$B$1+((Inputs!$G$5:$G$110&lt;&gt;"moeda")*(Inputs!$G$5:$G$110&lt;&gt;"acoes")))*INDEX(Inputs!$K$5:$AJ$110,0,MATCH(D$2,Inputs!$K$4:$AJ$4,0)))+SUMPRODUCT((Inputs!$E$5:$E$110=$B50)*Inputs!$F$5:$F$110*(((Inputs!$G$5:$G$110="moeda")+(Inputs!$G$5:$G$110="acoes"))*Inputs!$B$1+((Inputs!$G$5:$G$110&lt;&gt;"moeda")*(Inputs!$G$5:$G$110&lt;&gt;"acoes")))*INDEX(Inputs!$K$5:$AJ$110,0,MATCH(D$2,Inputs!$K$4:$AJ$4,0)))))</f>
        <v>1837</v>
      </c>
      <c r="E50" s="6">
        <f>IF(ISNA(MATCH(E$2,Inputs!$K$4:$AJ$4,0)),NA(),IF(SUMPRODUCT((Inputs!$A$5:$A$110=$B50)*ISNUMBER(INDEX(Inputs!$K$5:$AJ$110,0,MATCH(E$2,Inputs!$K$4:$AJ$4,0))))+SUMPRODUCT((Inputs!$C$5:$C$110=$B50)*ISNUMBER(INDEX(Inputs!$K$5:$AJ$110,0,MATCH(E$2,Inputs!$K$4:$AJ$4,0))))+SUMPRODUCT((Inputs!$E$5:$E$110=$B50)*ISNUMBER(INDEX(Inputs!$K$5:$AJ$110,0,MATCH(E$2,Inputs!$K$4:$AJ$4,0))))=0,NA(),SUMPRODUCT((Inputs!$A$5:$A$110=$B50)*Inputs!$B$5:$B$110*(((Inputs!$G$5:$G$110="moeda")+(Inputs!$G$5:$G$110="acoes"))*Inputs!$B$1+((Inputs!$G$5:$G$110&lt;&gt;"moeda")*(Inputs!$G$5:$G$110&lt;&gt;"acoes")))*INDEX(Inputs!$K$5:$AJ$110,0,MATCH(E$2,Inputs!$K$4:$AJ$4,0)))+SUMPRODUCT((Inputs!$C$5:$C$110=$B50)*Inputs!$D$5:$D$110*(((Inputs!$G$5:$G$110="moeda")+(Inputs!$G$5:$G$110="acoes"))*Inputs!$B$1+((Inputs!$G$5:$G$110&lt;&gt;"moeda")*(Inputs!$G$5:$G$110&lt;&gt;"acoes")))*INDEX(Inputs!$K$5:$AJ$110,0,MATCH(E$2,Inputs!$K$4:$AJ$4,0)))+SUMPRODUCT((Inputs!$E$5:$E$110=$B50)*Inputs!$F$5:$F$110*(((Inputs!$G$5:$G$110="moeda")+(Inputs!$G$5:$G$110="acoes"))*Inputs!$B$1+((Inputs!$G$5:$G$110&lt;&gt;"moeda")*(Inputs!$G$5:$G$110&lt;&gt;"acoes")))*INDEX(Inputs!$K$5:$AJ$110,0,MATCH(E$2,Inputs!$K$4:$AJ$4,0)))))</f>
        <v>1815</v>
      </c>
      <c r="F50" s="6">
        <f>IF(ISNA(MATCH(F$2,Inputs!$K$4:$AJ$4,0)),NA(),IF(SUMPRODUCT((Inputs!$A$5:$A$110=$B50)*ISNUMBER(INDEX(Inputs!$K$5:$AJ$110,0,MATCH(F$2,Inputs!$K$4:$AJ$4,0))))+SUMPRODUCT((Inputs!$C$5:$C$110=$B50)*ISNUMBER(INDEX(Inputs!$K$5:$AJ$110,0,MATCH(F$2,Inputs!$K$4:$AJ$4,0))))+SUMPRODUCT((Inputs!$E$5:$E$110=$B50)*ISNUMBER(INDEX(Inputs!$K$5:$AJ$110,0,MATCH(F$2,Inputs!$K$4:$AJ$4,0))))=0,NA(),SUMPRODUCT((Inputs!$A$5:$A$110=$B50)*Inputs!$B$5:$B$110*(((Inputs!$G$5:$G$110="moeda")+(Inputs!$G$5:$G$110="acoes"))*Inputs!$B$1+((Inputs!$G$5:$G$110&lt;&gt;"moeda")*(Inputs!$G$5:$G$110&lt;&gt;"acoes")))*INDEX(Inputs!$K$5:$AJ$110,0,MATCH(F$2,Inputs!$K$4:$AJ$4,0)))+SUMPRODUCT((Inputs!$C$5:$C$110=$B50)*Inputs!$D$5:$D$110*(((Inputs!$G$5:$G$110="moeda")+(Inputs!$G$5:$G$110="acoes"))*Inputs!$B$1+((Inputs!$G$5:$G$110&lt;&gt;"moeda")*(Inputs!$G$5:$G$110&lt;&gt;"acoes")))*INDEX(Inputs!$K$5:$AJ$110,0,MATCH(F$2,Inputs!$K$4:$AJ$4,0)))+SUMPRODUCT((Inputs!$E$5:$E$110=$B50)*Inputs!$F$5:$F$110*(((Inputs!$G$5:$G$110="moeda")+(Inputs!$G$5:$G$110="acoes"))*Inputs!$B$1+((Inputs!$G$5:$G$110&lt;&gt;"moeda")*(Inputs!$G$5:$G$110&lt;&gt;"acoes")))*INDEX(Inputs!$K$5:$AJ$110,0,MATCH(F$2,Inputs!$K$4:$AJ$4,0)))))</f>
        <v>614</v>
      </c>
      <c r="G50" s="6">
        <f>IF(ISNA(MATCH(G$2,Inputs!$K$4:$AJ$4,0)),NA(),IF(SUMPRODUCT((Inputs!$A$5:$A$110=$B50)*ISNUMBER(INDEX(Inputs!$K$5:$AJ$110,0,MATCH(G$2,Inputs!$K$4:$AJ$4,0))))+SUMPRODUCT((Inputs!$C$5:$C$110=$B50)*ISNUMBER(INDEX(Inputs!$K$5:$AJ$110,0,MATCH(G$2,Inputs!$K$4:$AJ$4,0))))+SUMPRODUCT((Inputs!$E$5:$E$110=$B50)*ISNUMBER(INDEX(Inputs!$K$5:$AJ$110,0,MATCH(G$2,Inputs!$K$4:$AJ$4,0))))=0,NA(),SUMPRODUCT((Inputs!$A$5:$A$110=$B50)*Inputs!$B$5:$B$110*(((Inputs!$G$5:$G$110="moeda")+(Inputs!$G$5:$G$110="acoes"))*Inputs!$B$1+((Inputs!$G$5:$G$110&lt;&gt;"moeda")*(Inputs!$G$5:$G$110&lt;&gt;"acoes")))*INDEX(Inputs!$K$5:$AJ$110,0,MATCH(G$2,Inputs!$K$4:$AJ$4,0)))+SUMPRODUCT((Inputs!$C$5:$C$110=$B50)*Inputs!$D$5:$D$110*(((Inputs!$G$5:$G$110="moeda")+(Inputs!$G$5:$G$110="acoes"))*Inputs!$B$1+((Inputs!$G$5:$G$110&lt;&gt;"moeda")*(Inputs!$G$5:$G$110&lt;&gt;"acoes")))*INDEX(Inputs!$K$5:$AJ$110,0,MATCH(G$2,Inputs!$K$4:$AJ$4,0)))+SUMPRODUCT((Inputs!$E$5:$E$110=$B50)*Inputs!$F$5:$F$110*(((Inputs!$G$5:$G$110="moeda")+(Inputs!$G$5:$G$110="acoes"))*Inputs!$B$1+((Inputs!$G$5:$G$110&lt;&gt;"moeda")*(Inputs!$G$5:$G$110&lt;&gt;"acoes")))*INDEX(Inputs!$K$5:$AJ$110,0,MATCH(G$2,Inputs!$K$4:$AJ$4,0)))))</f>
        <v>2049</v>
      </c>
      <c r="H50" s="3">
        <f>SUM(D50:G50)</f>
        <v>6315</v>
      </c>
      <c r="I50" s="6">
        <f>IF(ISNA(MATCH(I$2,Inputs!$K$4:$AJ$4,0)),NA(),IF(SUMPRODUCT((Inputs!$A$5:$A$110=$B50)*ISNUMBER(INDEX(Inputs!$K$5:$AJ$110,0,MATCH(I$2,Inputs!$K$4:$AJ$4,0))))+SUMPRODUCT((Inputs!$C$5:$C$110=$B50)*ISNUMBER(INDEX(Inputs!$K$5:$AJ$110,0,MATCH(I$2,Inputs!$K$4:$AJ$4,0))))+SUMPRODUCT((Inputs!$E$5:$E$110=$B50)*ISNUMBER(INDEX(Inputs!$K$5:$AJ$110,0,MATCH(I$2,Inputs!$K$4:$AJ$4,0))))=0,NA(),SUMPRODUCT((Inputs!$A$5:$A$110=$B50)*Inputs!$B$5:$B$110*(((Inputs!$G$5:$G$110="moeda")+(Inputs!$G$5:$G$110="acoes"))*Inputs!$B$1+((Inputs!$G$5:$G$110&lt;&gt;"moeda")*(Inputs!$G$5:$G$110&lt;&gt;"acoes")))*INDEX(Inputs!$K$5:$AJ$110,0,MATCH(I$2,Inputs!$K$4:$AJ$4,0)))+SUMPRODUCT((Inputs!$C$5:$C$110=$B50)*Inputs!$D$5:$D$110*(((Inputs!$G$5:$G$110="moeda")+(Inputs!$G$5:$G$110="acoes"))*Inputs!$B$1+((Inputs!$G$5:$G$110&lt;&gt;"moeda")*(Inputs!$G$5:$G$110&lt;&gt;"acoes")))*INDEX(Inputs!$K$5:$AJ$110,0,MATCH(I$2,Inputs!$K$4:$AJ$4,0)))+SUMPRODUCT((Inputs!$E$5:$E$110=$B50)*Inputs!$F$5:$F$110*(((Inputs!$G$5:$G$110="moeda")+(Inputs!$G$5:$G$110="acoes"))*Inputs!$B$1+((Inputs!$G$5:$G$110&lt;&gt;"moeda")*(Inputs!$G$5:$G$110&lt;&gt;"acoes")))*INDEX(Inputs!$K$5:$AJ$110,0,MATCH(I$2,Inputs!$K$4:$AJ$4,0)))))</f>
        <v>1733</v>
      </c>
      <c r="J50" s="6">
        <f>IF(ISNA(MATCH(J$2,Inputs!$K$4:$AJ$4,0)),NA(),IF(SUMPRODUCT((Inputs!$A$5:$A$110=$B50)*ISNUMBER(INDEX(Inputs!$K$5:$AJ$110,0,MATCH(J$2,Inputs!$K$4:$AJ$4,0))))+SUMPRODUCT((Inputs!$C$5:$C$110=$B50)*ISNUMBER(INDEX(Inputs!$K$5:$AJ$110,0,MATCH(J$2,Inputs!$K$4:$AJ$4,0))))+SUMPRODUCT((Inputs!$E$5:$E$110=$B50)*ISNUMBER(INDEX(Inputs!$K$5:$AJ$110,0,MATCH(J$2,Inputs!$K$4:$AJ$4,0))))=0,NA(),SUMPRODUCT((Inputs!$A$5:$A$110=$B50)*Inputs!$B$5:$B$110*(((Inputs!$G$5:$G$110="moeda")+(Inputs!$G$5:$G$110="acoes"))*Inputs!$B$1+((Inputs!$G$5:$G$110&lt;&gt;"moeda")*(Inputs!$G$5:$G$110&lt;&gt;"acoes")))*INDEX(Inputs!$K$5:$AJ$110,0,MATCH(J$2,Inputs!$K$4:$AJ$4,0)))+SUMPRODUCT((Inputs!$C$5:$C$110=$B50)*Inputs!$D$5:$D$110*(((Inputs!$G$5:$G$110="moeda")+(Inputs!$G$5:$G$110="acoes"))*Inputs!$B$1+((Inputs!$G$5:$G$110&lt;&gt;"moeda")*(Inputs!$G$5:$G$110&lt;&gt;"acoes")))*INDEX(Inputs!$K$5:$AJ$110,0,MATCH(J$2,Inputs!$K$4:$AJ$4,0)))+SUMPRODUCT((Inputs!$E$5:$E$110=$B50)*Inputs!$F$5:$F$110*(((Inputs!$G$5:$G$110="moeda")+(Inputs!$G$5:$G$110="acoes"))*Inputs!$B$1+((Inputs!$G$5:$G$110&lt;&gt;"moeda")*(Inputs!$G$5:$G$110&lt;&gt;"acoes")))*INDEX(Inputs!$K$5:$AJ$110,0,MATCH(J$2,Inputs!$K$4:$AJ$4,0)))))</f>
        <v>309</v>
      </c>
      <c r="K50" s="6">
        <f>IF(ISNA(MATCH(K$2,Inputs!$K$4:$AJ$4,0)),NA(),IF(SUMPRODUCT((Inputs!$A$5:$A$110=$B50)*ISNUMBER(INDEX(Inputs!$K$5:$AJ$110,0,MATCH(K$2,Inputs!$K$4:$AJ$4,0))))+SUMPRODUCT((Inputs!$C$5:$C$110=$B50)*ISNUMBER(INDEX(Inputs!$K$5:$AJ$110,0,MATCH(K$2,Inputs!$K$4:$AJ$4,0))))+SUMPRODUCT((Inputs!$E$5:$E$110=$B50)*ISNUMBER(INDEX(Inputs!$K$5:$AJ$110,0,MATCH(K$2,Inputs!$K$4:$AJ$4,0))))=0,NA(),SUMPRODUCT((Inputs!$A$5:$A$110=$B50)*Inputs!$B$5:$B$110*(((Inputs!$G$5:$G$110="moeda")+(Inputs!$G$5:$G$110="acoes"))*Inputs!$B$1+((Inputs!$G$5:$G$110&lt;&gt;"moeda")*(Inputs!$G$5:$G$110&lt;&gt;"acoes")))*INDEX(Inputs!$K$5:$AJ$110,0,MATCH(K$2,Inputs!$K$4:$AJ$4,0)))+SUMPRODUCT((Inputs!$C$5:$C$110=$B50)*Inputs!$D$5:$D$110*(((Inputs!$G$5:$G$110="moeda")+(Inputs!$G$5:$G$110="acoes"))*Inputs!$B$1+((Inputs!$G$5:$G$110&lt;&gt;"moeda")*(Inputs!$G$5:$G$110&lt;&gt;"acoes")))*INDEX(Inputs!$K$5:$AJ$110,0,MATCH(K$2,Inputs!$K$4:$AJ$4,0)))+SUMPRODUCT((Inputs!$E$5:$E$110=$B50)*Inputs!$F$5:$F$110*(((Inputs!$G$5:$G$110="moeda")+(Inputs!$G$5:$G$110="acoes"))*Inputs!$B$1+((Inputs!$G$5:$G$110&lt;&gt;"moeda")*(Inputs!$G$5:$G$110&lt;&gt;"acoes")))*INDEX(Inputs!$K$5:$AJ$110,0,MATCH(K$2,Inputs!$K$4:$AJ$4,0)))))</f>
        <v>1778</v>
      </c>
      <c r="L50" s="6">
        <f>IF(ISNA(MATCH(L$2,Inputs!$K$4:$AJ$4,0)),NA(),IF(SUMPRODUCT((Inputs!$A$5:$A$110=$B50)*ISNUMBER(INDEX(Inputs!$K$5:$AJ$110,0,MATCH(L$2,Inputs!$K$4:$AJ$4,0))))+SUMPRODUCT((Inputs!$C$5:$C$110=$B50)*ISNUMBER(INDEX(Inputs!$K$5:$AJ$110,0,MATCH(L$2,Inputs!$K$4:$AJ$4,0))))+SUMPRODUCT((Inputs!$E$5:$E$110=$B50)*ISNUMBER(INDEX(Inputs!$K$5:$AJ$110,0,MATCH(L$2,Inputs!$K$4:$AJ$4,0))))=0,NA(),SUMPRODUCT((Inputs!$A$5:$A$110=$B50)*Inputs!$B$5:$B$110*(((Inputs!$G$5:$G$110="moeda")+(Inputs!$G$5:$G$110="acoes"))*Inputs!$B$1+((Inputs!$G$5:$G$110&lt;&gt;"moeda")*(Inputs!$G$5:$G$110&lt;&gt;"acoes")))*INDEX(Inputs!$K$5:$AJ$110,0,MATCH(L$2,Inputs!$K$4:$AJ$4,0)))+SUMPRODUCT((Inputs!$C$5:$C$110=$B50)*Inputs!$D$5:$D$110*(((Inputs!$G$5:$G$110="moeda")+(Inputs!$G$5:$G$110="acoes"))*Inputs!$B$1+((Inputs!$G$5:$G$110&lt;&gt;"moeda")*(Inputs!$G$5:$G$110&lt;&gt;"acoes")))*INDEX(Inputs!$K$5:$AJ$110,0,MATCH(L$2,Inputs!$K$4:$AJ$4,0)))+SUMPRODUCT((Inputs!$E$5:$E$110=$B50)*Inputs!$F$5:$F$110*(((Inputs!$G$5:$G$110="moeda")+(Inputs!$G$5:$G$110="acoes"))*Inputs!$B$1+((Inputs!$G$5:$G$110&lt;&gt;"moeda")*(Inputs!$G$5:$G$110&lt;&gt;"acoes")))*INDEX(Inputs!$K$5:$AJ$110,0,MATCH(L$2,Inputs!$K$4:$AJ$4,0)))))</f>
        <v>1912</v>
      </c>
      <c r="M50" s="3">
        <f>SUM(I50:L50)</f>
        <v>5732</v>
      </c>
      <c r="N50" s="6">
        <f>IF(ISNA(MATCH(N$2,Inputs!$K$4:$AJ$4,0)),NA(),IF(SUMPRODUCT((Inputs!$A$5:$A$110=$B50)*ISNUMBER(INDEX(Inputs!$K$5:$AJ$110,0,MATCH(N$2,Inputs!$K$4:$AJ$4,0))))+SUMPRODUCT((Inputs!$C$5:$C$110=$B50)*ISNUMBER(INDEX(Inputs!$K$5:$AJ$110,0,MATCH(N$2,Inputs!$K$4:$AJ$4,0))))+SUMPRODUCT((Inputs!$E$5:$E$110=$B50)*ISNUMBER(INDEX(Inputs!$K$5:$AJ$110,0,MATCH(N$2,Inputs!$K$4:$AJ$4,0))))=0,NA(),SUMPRODUCT((Inputs!$A$5:$A$110=$B50)*Inputs!$B$5:$B$110*(((Inputs!$G$5:$G$110="moeda")+(Inputs!$G$5:$G$110="acoes"))*Inputs!$B$1+((Inputs!$G$5:$G$110&lt;&gt;"moeda")*(Inputs!$G$5:$G$110&lt;&gt;"acoes")))*INDEX(Inputs!$K$5:$AJ$110,0,MATCH(N$2,Inputs!$K$4:$AJ$4,0)))+SUMPRODUCT((Inputs!$C$5:$C$110=$B50)*Inputs!$D$5:$D$110*(((Inputs!$G$5:$G$110="moeda")+(Inputs!$G$5:$G$110="acoes"))*Inputs!$B$1+((Inputs!$G$5:$G$110&lt;&gt;"moeda")*(Inputs!$G$5:$G$110&lt;&gt;"acoes")))*INDEX(Inputs!$K$5:$AJ$110,0,MATCH(N$2,Inputs!$K$4:$AJ$4,0)))+SUMPRODUCT((Inputs!$E$5:$E$110=$B50)*Inputs!$F$5:$F$110*(((Inputs!$G$5:$G$110="moeda")+(Inputs!$G$5:$G$110="acoes"))*Inputs!$B$1+((Inputs!$G$5:$G$110&lt;&gt;"moeda")*(Inputs!$G$5:$G$110&lt;&gt;"acoes")))*INDEX(Inputs!$K$5:$AJ$110,0,MATCH(N$2,Inputs!$K$4:$AJ$4,0)))))</f>
        <v>1689</v>
      </c>
      <c r="O50" s="6">
        <f>IF(ISNA(MATCH(O$2,Inputs!$K$4:$AJ$4,0)),NA(),IF(SUMPRODUCT((Inputs!$A$5:$A$110=$B50)*ISNUMBER(INDEX(Inputs!$K$5:$AJ$110,0,MATCH(O$2,Inputs!$K$4:$AJ$4,0))))+SUMPRODUCT((Inputs!$C$5:$C$110=$B50)*ISNUMBER(INDEX(Inputs!$K$5:$AJ$110,0,MATCH(O$2,Inputs!$K$4:$AJ$4,0))))+SUMPRODUCT((Inputs!$E$5:$E$110=$B50)*ISNUMBER(INDEX(Inputs!$K$5:$AJ$110,0,MATCH(O$2,Inputs!$K$4:$AJ$4,0))))=0,NA(),SUMPRODUCT((Inputs!$A$5:$A$110=$B50)*Inputs!$B$5:$B$110*(((Inputs!$G$5:$G$110="moeda")+(Inputs!$G$5:$G$110="acoes"))*Inputs!$B$1+((Inputs!$G$5:$G$110&lt;&gt;"moeda")*(Inputs!$G$5:$G$110&lt;&gt;"acoes")))*INDEX(Inputs!$K$5:$AJ$110,0,MATCH(O$2,Inputs!$K$4:$AJ$4,0)))+SUMPRODUCT((Inputs!$C$5:$C$110=$B50)*Inputs!$D$5:$D$110*(((Inputs!$G$5:$G$110="moeda")+(Inputs!$G$5:$G$110="acoes"))*Inputs!$B$1+((Inputs!$G$5:$G$110&lt;&gt;"moeda")*(Inputs!$G$5:$G$110&lt;&gt;"acoes")))*INDEX(Inputs!$K$5:$AJ$110,0,MATCH(O$2,Inputs!$K$4:$AJ$4,0)))+SUMPRODUCT((Inputs!$E$5:$E$110=$B50)*Inputs!$F$5:$F$110*(((Inputs!$G$5:$G$110="moeda")+(Inputs!$G$5:$G$110="acoes"))*Inputs!$B$1+((Inputs!$G$5:$G$110&lt;&gt;"moeda")*(Inputs!$G$5:$G$110&lt;&gt;"acoes")))*INDEX(Inputs!$K$5:$AJ$110,0,MATCH(O$2,Inputs!$K$4:$AJ$4,0)))))</f>
        <v>1681</v>
      </c>
      <c r="P50" s="6">
        <f>IF(ISNA(MATCH(P$2,Inputs!$K$4:$AJ$4,0)),NA(),IF(SUMPRODUCT((Inputs!$A$5:$A$110=$B50)*ISNUMBER(INDEX(Inputs!$K$5:$AJ$110,0,MATCH(P$2,Inputs!$K$4:$AJ$4,0))))+SUMPRODUCT((Inputs!$C$5:$C$110=$B50)*ISNUMBER(INDEX(Inputs!$K$5:$AJ$110,0,MATCH(P$2,Inputs!$K$4:$AJ$4,0))))+SUMPRODUCT((Inputs!$E$5:$E$110=$B50)*ISNUMBER(INDEX(Inputs!$K$5:$AJ$110,0,MATCH(P$2,Inputs!$K$4:$AJ$4,0))))=0,NA(),SUMPRODUCT((Inputs!$A$5:$A$110=$B50)*Inputs!$B$5:$B$110*(((Inputs!$G$5:$G$110="moeda")+(Inputs!$G$5:$G$110="acoes"))*Inputs!$B$1+((Inputs!$G$5:$G$110&lt;&gt;"moeda")*(Inputs!$G$5:$G$110&lt;&gt;"acoes")))*INDEX(Inputs!$K$5:$AJ$110,0,MATCH(P$2,Inputs!$K$4:$AJ$4,0)))+SUMPRODUCT((Inputs!$C$5:$C$110=$B50)*Inputs!$D$5:$D$110*(((Inputs!$G$5:$G$110="moeda")+(Inputs!$G$5:$G$110="acoes"))*Inputs!$B$1+((Inputs!$G$5:$G$110&lt;&gt;"moeda")*(Inputs!$G$5:$G$110&lt;&gt;"acoes")))*INDEX(Inputs!$K$5:$AJ$110,0,MATCH(P$2,Inputs!$K$4:$AJ$4,0)))+SUMPRODUCT((Inputs!$E$5:$E$110=$B50)*Inputs!$F$5:$F$110*(((Inputs!$G$5:$G$110="moeda")+(Inputs!$G$5:$G$110="acoes"))*Inputs!$B$1+((Inputs!$G$5:$G$110&lt;&gt;"moeda")*(Inputs!$G$5:$G$110&lt;&gt;"acoes")))*INDEX(Inputs!$K$5:$AJ$110,0,MATCH(P$2,Inputs!$K$4:$AJ$4,0)))))</f>
        <v>1684</v>
      </c>
      <c r="Q50" s="6">
        <f>IF(ISNA(MATCH(Q$2,Inputs!$K$4:$AJ$4,0)),NA(),IF(SUMPRODUCT((Inputs!$A$5:$A$110=$B50)*ISNUMBER(INDEX(Inputs!$K$5:$AJ$110,0,MATCH(Q$2,Inputs!$K$4:$AJ$4,0))))+SUMPRODUCT((Inputs!$C$5:$C$110=$B50)*ISNUMBER(INDEX(Inputs!$K$5:$AJ$110,0,MATCH(Q$2,Inputs!$K$4:$AJ$4,0))))+SUMPRODUCT((Inputs!$E$5:$E$110=$B50)*ISNUMBER(INDEX(Inputs!$K$5:$AJ$110,0,MATCH(Q$2,Inputs!$K$4:$AJ$4,0))))=0,NA(),SUMPRODUCT((Inputs!$A$5:$A$110=$B50)*Inputs!$B$5:$B$110*(((Inputs!$G$5:$G$110="moeda")+(Inputs!$G$5:$G$110="acoes"))*Inputs!$B$1+((Inputs!$G$5:$G$110&lt;&gt;"moeda")*(Inputs!$G$5:$G$110&lt;&gt;"acoes")))*INDEX(Inputs!$K$5:$AJ$110,0,MATCH(Q$2,Inputs!$K$4:$AJ$4,0)))+SUMPRODUCT((Inputs!$C$5:$C$110=$B50)*Inputs!$D$5:$D$110*(((Inputs!$G$5:$G$110="moeda")+(Inputs!$G$5:$G$110="acoes"))*Inputs!$B$1+((Inputs!$G$5:$G$110&lt;&gt;"moeda")*(Inputs!$G$5:$G$110&lt;&gt;"acoes")))*INDEX(Inputs!$K$5:$AJ$110,0,MATCH(Q$2,Inputs!$K$4:$AJ$4,0)))+SUMPRODUCT((Inputs!$E$5:$E$110=$B50)*Inputs!$F$5:$F$110*(((Inputs!$G$5:$G$110="moeda")+(Inputs!$G$5:$G$110="acoes"))*Inputs!$B$1+((Inputs!$G$5:$G$110&lt;&gt;"moeda")*(Inputs!$G$5:$G$110&lt;&gt;"acoes")))*INDEX(Inputs!$K$5:$AJ$110,0,MATCH(Q$2,Inputs!$K$4:$AJ$4,0)))))</f>
        <v>1866</v>
      </c>
      <c r="R50" s="3">
        <f>SUM(N50:Q50)</f>
        <v>6920</v>
      </c>
      <c r="S50" s="6">
        <f>IF(ISNA(MATCH(S$2,Inputs!$K$4:$AJ$4,0)),NA(),IF(SUMPRODUCT((Inputs!$A$5:$A$110=$B50)*ISNUMBER(INDEX(Inputs!$K$5:$AJ$110,0,MATCH(S$2,Inputs!$K$4:$AJ$4,0))))+SUMPRODUCT((Inputs!$C$5:$C$110=$B50)*ISNUMBER(INDEX(Inputs!$K$5:$AJ$110,0,MATCH(S$2,Inputs!$K$4:$AJ$4,0))))+SUMPRODUCT((Inputs!$E$5:$E$110=$B50)*ISNUMBER(INDEX(Inputs!$K$5:$AJ$110,0,MATCH(S$2,Inputs!$K$4:$AJ$4,0))))=0,NA(),SUMPRODUCT((Inputs!$A$5:$A$110=$B50)*Inputs!$B$5:$B$110*(((Inputs!$G$5:$G$110="moeda")+(Inputs!$G$5:$G$110="acoes"))*Inputs!$B$1+((Inputs!$G$5:$G$110&lt;&gt;"moeda")*(Inputs!$G$5:$G$110&lt;&gt;"acoes")))*INDEX(Inputs!$K$5:$AJ$110,0,MATCH(S$2,Inputs!$K$4:$AJ$4,0)))+SUMPRODUCT((Inputs!$C$5:$C$110=$B50)*Inputs!$D$5:$D$110*(((Inputs!$G$5:$G$110="moeda")+(Inputs!$G$5:$G$110="acoes"))*Inputs!$B$1+((Inputs!$G$5:$G$110&lt;&gt;"moeda")*(Inputs!$G$5:$G$110&lt;&gt;"acoes")))*INDEX(Inputs!$K$5:$AJ$110,0,MATCH(S$2,Inputs!$K$4:$AJ$4,0)))+SUMPRODUCT((Inputs!$E$5:$E$110=$B50)*Inputs!$F$5:$F$110*(((Inputs!$G$5:$G$110="moeda")+(Inputs!$G$5:$G$110="acoes"))*Inputs!$B$1+((Inputs!$G$5:$G$110&lt;&gt;"moeda")*(Inputs!$G$5:$G$110&lt;&gt;"acoes")))*INDEX(Inputs!$K$5:$AJ$110,0,MATCH(S$2,Inputs!$K$4:$AJ$4,0)))))</f>
        <v>1545</v>
      </c>
      <c r="T50" s="6">
        <f>IF(ISNA(MATCH(T$2,Inputs!$K$4:$AJ$4,0)),NA(),IF(SUMPRODUCT((Inputs!$A$5:$A$110=$B50)*ISNUMBER(INDEX(Inputs!$K$5:$AJ$110,0,MATCH(T$2,Inputs!$K$4:$AJ$4,0))))+SUMPRODUCT((Inputs!$C$5:$C$110=$B50)*ISNUMBER(INDEX(Inputs!$K$5:$AJ$110,0,MATCH(T$2,Inputs!$K$4:$AJ$4,0))))+SUMPRODUCT((Inputs!$E$5:$E$110=$B50)*ISNUMBER(INDEX(Inputs!$K$5:$AJ$110,0,MATCH(T$2,Inputs!$K$4:$AJ$4,0))))=0,NA(),SUMPRODUCT((Inputs!$A$5:$A$110=$B50)*Inputs!$B$5:$B$110*(((Inputs!$G$5:$G$110="moeda")+(Inputs!$G$5:$G$110="acoes"))*Inputs!$B$1+((Inputs!$G$5:$G$110&lt;&gt;"moeda")*(Inputs!$G$5:$G$110&lt;&gt;"acoes")))*INDEX(Inputs!$K$5:$AJ$110,0,MATCH(T$2,Inputs!$K$4:$AJ$4,0)))+SUMPRODUCT((Inputs!$C$5:$C$110=$B50)*Inputs!$D$5:$D$110*(((Inputs!$G$5:$G$110="moeda")+(Inputs!$G$5:$G$110="acoes"))*Inputs!$B$1+((Inputs!$G$5:$G$110&lt;&gt;"moeda")*(Inputs!$G$5:$G$110&lt;&gt;"acoes")))*INDEX(Inputs!$K$5:$AJ$110,0,MATCH(T$2,Inputs!$K$4:$AJ$4,0)))+SUMPRODUCT((Inputs!$E$5:$E$110=$B50)*Inputs!$F$5:$F$110*(((Inputs!$G$5:$G$110="moeda")+(Inputs!$G$5:$G$110="acoes"))*Inputs!$B$1+((Inputs!$G$5:$G$110&lt;&gt;"moeda")*(Inputs!$G$5:$G$110&lt;&gt;"acoes")))*INDEX(Inputs!$K$5:$AJ$110,0,MATCH(T$2,Inputs!$K$4:$AJ$4,0)))))</f>
        <v>1641</v>
      </c>
      <c r="U50" s="6">
        <f>IF(ISNA(MATCH(U$2,Inputs!$K$4:$AJ$4,0)),NA(),IF(SUMPRODUCT((Inputs!$A$5:$A$110=$B50)*ISNUMBER(INDEX(Inputs!$K$5:$AJ$110,0,MATCH(U$2,Inputs!$K$4:$AJ$4,0))))+SUMPRODUCT((Inputs!$C$5:$C$110=$B50)*ISNUMBER(INDEX(Inputs!$K$5:$AJ$110,0,MATCH(U$2,Inputs!$K$4:$AJ$4,0))))+SUMPRODUCT((Inputs!$E$5:$E$110=$B50)*ISNUMBER(INDEX(Inputs!$K$5:$AJ$110,0,MATCH(U$2,Inputs!$K$4:$AJ$4,0))))=0,NA(),SUMPRODUCT((Inputs!$A$5:$A$110=$B50)*Inputs!$B$5:$B$110*(((Inputs!$G$5:$G$110="moeda")+(Inputs!$G$5:$G$110="acoes"))*Inputs!$B$1+((Inputs!$G$5:$G$110&lt;&gt;"moeda")*(Inputs!$G$5:$G$110&lt;&gt;"acoes")))*INDEX(Inputs!$K$5:$AJ$110,0,MATCH(U$2,Inputs!$K$4:$AJ$4,0)))+SUMPRODUCT((Inputs!$C$5:$C$110=$B50)*Inputs!$D$5:$D$110*(((Inputs!$G$5:$G$110="moeda")+(Inputs!$G$5:$G$110="acoes"))*Inputs!$B$1+((Inputs!$G$5:$G$110&lt;&gt;"moeda")*(Inputs!$G$5:$G$110&lt;&gt;"acoes")))*INDEX(Inputs!$K$5:$AJ$110,0,MATCH(U$2,Inputs!$K$4:$AJ$4,0)))+SUMPRODUCT((Inputs!$E$5:$E$110=$B50)*Inputs!$F$5:$F$110*(((Inputs!$G$5:$G$110="moeda")+(Inputs!$G$5:$G$110="acoes"))*Inputs!$B$1+((Inputs!$G$5:$G$110&lt;&gt;"moeda")*(Inputs!$G$5:$G$110&lt;&gt;"acoes")))*INDEX(Inputs!$K$5:$AJ$110,0,MATCH(U$2,Inputs!$K$4:$AJ$4,0)))))</f>
        <v>1623</v>
      </c>
      <c r="V50" s="6">
        <f>IF(ISNA(MATCH(V$2,Inputs!$K$4:$AJ$4,0)),NA(),IF(SUMPRODUCT((Inputs!$A$5:$A$110=$B50)*ISNUMBER(INDEX(Inputs!$K$5:$AJ$110,0,MATCH(V$2,Inputs!$K$4:$AJ$4,0))))+SUMPRODUCT((Inputs!$C$5:$C$110=$B50)*ISNUMBER(INDEX(Inputs!$K$5:$AJ$110,0,MATCH(V$2,Inputs!$K$4:$AJ$4,0))))+SUMPRODUCT((Inputs!$E$5:$E$110=$B50)*ISNUMBER(INDEX(Inputs!$K$5:$AJ$110,0,MATCH(V$2,Inputs!$K$4:$AJ$4,0))))=0,NA(),SUMPRODUCT((Inputs!$A$5:$A$110=$B50)*Inputs!$B$5:$B$110*(((Inputs!$G$5:$G$110="moeda")+(Inputs!$G$5:$G$110="acoes"))*Inputs!$B$1+((Inputs!$G$5:$G$110&lt;&gt;"moeda")*(Inputs!$G$5:$G$110&lt;&gt;"acoes")))*INDEX(Inputs!$K$5:$AJ$110,0,MATCH(V$2,Inputs!$K$4:$AJ$4,0)))+SUMPRODUCT((Inputs!$C$5:$C$110=$B50)*Inputs!$D$5:$D$110*(((Inputs!$G$5:$G$110="moeda")+(Inputs!$G$5:$G$110="acoes"))*Inputs!$B$1+((Inputs!$G$5:$G$110&lt;&gt;"moeda")*(Inputs!$G$5:$G$110&lt;&gt;"acoes")))*INDEX(Inputs!$K$5:$AJ$110,0,MATCH(V$2,Inputs!$K$4:$AJ$4,0)))+SUMPRODUCT((Inputs!$E$5:$E$110=$B50)*Inputs!$F$5:$F$110*(((Inputs!$G$5:$G$110="moeda")+(Inputs!$G$5:$G$110="acoes"))*Inputs!$B$1+((Inputs!$G$5:$G$110&lt;&gt;"moeda")*(Inputs!$G$5:$G$110&lt;&gt;"acoes")))*INDEX(Inputs!$K$5:$AJ$110,0,MATCH(V$2,Inputs!$K$4:$AJ$4,0)))))</f>
        <v>527</v>
      </c>
      <c r="W50" s="3">
        <f>SUM(S50:V50)</f>
        <v>5336</v>
      </c>
      <c r="X50" s="6">
        <f>IF(ISNA(MATCH(X$2,Inputs!$K$4:$AJ$4,0)),NA(),IF(SUMPRODUCT((Inputs!$A$5:$A$110=$B50)*ISNUMBER(INDEX(Inputs!$K$5:$AJ$110,0,MATCH(X$2,Inputs!$K$4:$AJ$4,0))))+SUMPRODUCT((Inputs!$C$5:$C$110=$B50)*ISNUMBER(INDEX(Inputs!$K$5:$AJ$110,0,MATCH(X$2,Inputs!$K$4:$AJ$4,0))))+SUMPRODUCT((Inputs!$E$5:$E$110=$B50)*ISNUMBER(INDEX(Inputs!$K$5:$AJ$110,0,MATCH(X$2,Inputs!$K$4:$AJ$4,0))))=0,NA(),SUMPRODUCT((Inputs!$A$5:$A$110=$B50)*Inputs!$B$5:$B$110*(((Inputs!$G$5:$G$110="moeda")+(Inputs!$G$5:$G$110="acoes"))*Inputs!$B$1+((Inputs!$G$5:$G$110&lt;&gt;"moeda")*(Inputs!$G$5:$G$110&lt;&gt;"acoes")))*INDEX(Inputs!$K$5:$AJ$110,0,MATCH(X$2,Inputs!$K$4:$AJ$4,0)))+SUMPRODUCT((Inputs!$C$5:$C$110=$B50)*Inputs!$D$5:$D$110*(((Inputs!$G$5:$G$110="moeda")+(Inputs!$G$5:$G$110="acoes"))*Inputs!$B$1+((Inputs!$G$5:$G$110&lt;&gt;"moeda")*(Inputs!$G$5:$G$110&lt;&gt;"acoes")))*INDEX(Inputs!$K$5:$AJ$110,0,MATCH(X$2,Inputs!$K$4:$AJ$4,0)))+SUMPRODUCT((Inputs!$E$5:$E$110=$B50)*Inputs!$F$5:$F$110*(((Inputs!$G$5:$G$110="moeda")+(Inputs!$G$5:$G$110="acoes"))*Inputs!$B$1+((Inputs!$G$5:$G$110&lt;&gt;"moeda")*(Inputs!$G$5:$G$110&lt;&gt;"acoes")))*INDEX(Inputs!$K$5:$AJ$110,0,MATCH(X$2,Inputs!$K$4:$AJ$4,0)))))</f>
        <v>1712</v>
      </c>
      <c r="Y50" s="6">
        <f>IF(ISNA(MATCH(Y$2,Inputs!$K$4:$AJ$4,0)),NA(),IF(SUMPRODUCT((Inputs!$A$5:$A$110=$B50)*ISNUMBER(INDEX(Inputs!$K$5:$AJ$110,0,MATCH(Y$2,Inputs!$K$4:$AJ$4,0))))+SUMPRODUCT((Inputs!$C$5:$C$110=$B50)*ISNUMBER(INDEX(Inputs!$K$5:$AJ$110,0,MATCH(Y$2,Inputs!$K$4:$AJ$4,0))))+SUMPRODUCT((Inputs!$E$5:$E$110=$B50)*ISNUMBER(INDEX(Inputs!$K$5:$AJ$110,0,MATCH(Y$2,Inputs!$K$4:$AJ$4,0))))=0,NA(),SUMPRODUCT((Inputs!$A$5:$A$110=$B50)*Inputs!$B$5:$B$110*(((Inputs!$G$5:$G$110="moeda")+(Inputs!$G$5:$G$110="acoes"))*Inputs!$B$1+((Inputs!$G$5:$G$110&lt;&gt;"moeda")*(Inputs!$G$5:$G$110&lt;&gt;"acoes")))*INDEX(Inputs!$K$5:$AJ$110,0,MATCH(Y$2,Inputs!$K$4:$AJ$4,0)))+SUMPRODUCT((Inputs!$C$5:$C$110=$B50)*Inputs!$D$5:$D$110*(((Inputs!$G$5:$G$110="moeda")+(Inputs!$G$5:$G$110="acoes"))*Inputs!$B$1+((Inputs!$G$5:$G$110&lt;&gt;"moeda")*(Inputs!$G$5:$G$110&lt;&gt;"acoes")))*INDEX(Inputs!$K$5:$AJ$110,0,MATCH(Y$2,Inputs!$K$4:$AJ$4,0)))+SUMPRODUCT((Inputs!$E$5:$E$110=$B50)*Inputs!$F$5:$F$110*(((Inputs!$G$5:$G$110="moeda")+(Inputs!$G$5:$G$110="acoes"))*Inputs!$B$1+((Inputs!$G$5:$G$110&lt;&gt;"moeda")*(Inputs!$G$5:$G$110&lt;&gt;"acoes")))*INDEX(Inputs!$K$5:$AJ$110,0,MATCH(Y$2,Inputs!$K$4:$AJ$4,0)))))</f>
        <v>342</v>
      </c>
      <c r="Z50" s="6">
        <f>IF(ISNA(MATCH(Z$2,Inputs!$K$4:$AJ$4,0)),NA(),IF(SUMPRODUCT((Inputs!$A$5:$A$110=$B50)*ISNUMBER(INDEX(Inputs!$K$5:$AJ$110,0,MATCH(Z$2,Inputs!$K$4:$AJ$4,0))))+SUMPRODUCT((Inputs!$C$5:$C$110=$B50)*ISNUMBER(INDEX(Inputs!$K$5:$AJ$110,0,MATCH(Z$2,Inputs!$K$4:$AJ$4,0))))+SUMPRODUCT((Inputs!$E$5:$E$110=$B50)*ISNUMBER(INDEX(Inputs!$K$5:$AJ$110,0,MATCH(Z$2,Inputs!$K$4:$AJ$4,0))))=0,NA(),SUMPRODUCT((Inputs!$A$5:$A$110=$B50)*Inputs!$B$5:$B$110*(((Inputs!$G$5:$G$110="moeda")+(Inputs!$G$5:$G$110="acoes"))*Inputs!$B$1+((Inputs!$G$5:$G$110&lt;&gt;"moeda")*(Inputs!$G$5:$G$110&lt;&gt;"acoes")))*INDEX(Inputs!$K$5:$AJ$110,0,MATCH(Z$2,Inputs!$K$4:$AJ$4,0)))+SUMPRODUCT((Inputs!$C$5:$C$110=$B50)*Inputs!$D$5:$D$110*(((Inputs!$G$5:$G$110="moeda")+(Inputs!$G$5:$G$110="acoes"))*Inputs!$B$1+((Inputs!$G$5:$G$110&lt;&gt;"moeda")*(Inputs!$G$5:$G$110&lt;&gt;"acoes")))*INDEX(Inputs!$K$5:$AJ$110,0,MATCH(Z$2,Inputs!$K$4:$AJ$4,0)))+SUMPRODUCT((Inputs!$E$5:$E$110=$B50)*Inputs!$F$5:$F$110*(((Inputs!$G$5:$G$110="moeda")+(Inputs!$G$5:$G$110="acoes"))*Inputs!$B$1+((Inputs!$G$5:$G$110&lt;&gt;"moeda")*(Inputs!$G$5:$G$110&lt;&gt;"acoes")))*INDEX(Inputs!$K$5:$AJ$110,0,MATCH(Z$2,Inputs!$K$4:$AJ$4,0)))))</f>
        <v>1619</v>
      </c>
      <c r="AA50" s="6">
        <f>IF(ISNA(MATCH(AA$2,Inputs!$K$4:$AJ$4,0)),NA(),IF(SUMPRODUCT((Inputs!$A$5:$A$110=$B50)*ISNUMBER(INDEX(Inputs!$K$5:$AJ$110,0,MATCH(AA$2,Inputs!$K$4:$AJ$4,0))))+SUMPRODUCT((Inputs!$C$5:$C$110=$B50)*ISNUMBER(INDEX(Inputs!$K$5:$AJ$110,0,MATCH(AA$2,Inputs!$K$4:$AJ$4,0))))+SUMPRODUCT((Inputs!$E$5:$E$110=$B50)*ISNUMBER(INDEX(Inputs!$K$5:$AJ$110,0,MATCH(AA$2,Inputs!$K$4:$AJ$4,0))))=0,NA(),SUMPRODUCT((Inputs!$A$5:$A$110=$B50)*Inputs!$B$5:$B$110*(((Inputs!$G$5:$G$110="moeda")+(Inputs!$G$5:$G$110="acoes"))*Inputs!$B$1+((Inputs!$G$5:$G$110&lt;&gt;"moeda")*(Inputs!$G$5:$G$110&lt;&gt;"acoes")))*INDEX(Inputs!$K$5:$AJ$110,0,MATCH(AA$2,Inputs!$K$4:$AJ$4,0)))+SUMPRODUCT((Inputs!$C$5:$C$110=$B50)*Inputs!$D$5:$D$110*(((Inputs!$G$5:$G$110="moeda")+(Inputs!$G$5:$G$110="acoes"))*Inputs!$B$1+((Inputs!$G$5:$G$110&lt;&gt;"moeda")*(Inputs!$G$5:$G$110&lt;&gt;"acoes")))*INDEX(Inputs!$K$5:$AJ$110,0,MATCH(AA$2,Inputs!$K$4:$AJ$4,0)))+SUMPRODUCT((Inputs!$E$5:$E$110=$B50)*Inputs!$F$5:$F$110*(((Inputs!$G$5:$G$110="moeda")+(Inputs!$G$5:$G$110="acoes"))*Inputs!$B$1+((Inputs!$G$5:$G$110&lt;&gt;"moeda")*(Inputs!$G$5:$G$110&lt;&gt;"acoes")))*INDEX(Inputs!$K$5:$AJ$110,0,MATCH(AA$2,Inputs!$K$4:$AJ$4,0)))))</f>
        <v>1344</v>
      </c>
      <c r="AB50" s="3">
        <f>SUM(X50:AA50)</f>
        <v>5017</v>
      </c>
      <c r="AC50" s="6">
        <f>IF(ISNA(MATCH(AC$2,Inputs!$K$4:$AJ$4,0)),NA(),IF(SUMPRODUCT((Inputs!$A$5:$A$110=$B50)*ISNUMBER(INDEX(Inputs!$K$5:$AJ$110,0,MATCH(AC$2,Inputs!$K$4:$AJ$4,0))))+SUMPRODUCT((Inputs!$C$5:$C$110=$B50)*ISNUMBER(INDEX(Inputs!$K$5:$AJ$110,0,MATCH(AC$2,Inputs!$K$4:$AJ$4,0))))+SUMPRODUCT((Inputs!$E$5:$E$110=$B50)*ISNUMBER(INDEX(Inputs!$K$5:$AJ$110,0,MATCH(AC$2,Inputs!$K$4:$AJ$4,0))))=0,NA(),SUMPRODUCT((Inputs!$A$5:$A$110=$B50)*Inputs!$B$5:$B$110*(((Inputs!$G$5:$G$110="moeda")+(Inputs!$G$5:$G$110="acoes"))*Inputs!$B$1+((Inputs!$G$5:$G$110&lt;&gt;"moeda")*(Inputs!$G$5:$G$110&lt;&gt;"acoes")))*INDEX(Inputs!$K$5:$AJ$110,0,MATCH(AC$2,Inputs!$K$4:$AJ$4,0)))+SUMPRODUCT((Inputs!$C$5:$C$110=$B50)*Inputs!$D$5:$D$110*(((Inputs!$G$5:$G$110="moeda")+(Inputs!$G$5:$G$110="acoes"))*Inputs!$B$1+((Inputs!$G$5:$G$110&lt;&gt;"moeda")*(Inputs!$G$5:$G$110&lt;&gt;"acoes")))*INDEX(Inputs!$K$5:$AJ$110,0,MATCH(AC$2,Inputs!$K$4:$AJ$4,0)))+SUMPRODUCT((Inputs!$E$5:$E$110=$B50)*Inputs!$F$5:$F$110*(((Inputs!$G$5:$G$110="moeda")+(Inputs!$G$5:$G$110="acoes"))*Inputs!$B$1+((Inputs!$G$5:$G$110&lt;&gt;"moeda")*(Inputs!$G$5:$G$110&lt;&gt;"acoes")))*INDEX(Inputs!$K$5:$AJ$110,0,MATCH(AC$2,Inputs!$K$4:$AJ$4,0)))))</f>
        <v>1488</v>
      </c>
      <c r="AD50" s="6">
        <f>IF(ISNA(MATCH(AD$2,Inputs!$K$4:$AJ$4,0)),NA(),IF(SUMPRODUCT((Inputs!$A$5:$A$110=$B50)*ISNUMBER(INDEX(Inputs!$K$5:$AJ$110,0,MATCH(AD$2,Inputs!$K$4:$AJ$4,0))))+SUMPRODUCT((Inputs!$C$5:$C$110=$B50)*ISNUMBER(INDEX(Inputs!$K$5:$AJ$110,0,MATCH(AD$2,Inputs!$K$4:$AJ$4,0))))+SUMPRODUCT((Inputs!$E$5:$E$110=$B50)*ISNUMBER(INDEX(Inputs!$K$5:$AJ$110,0,MATCH(AD$2,Inputs!$K$4:$AJ$4,0))))=0,NA(),SUMPRODUCT((Inputs!$A$5:$A$110=$B50)*Inputs!$B$5:$B$110*(((Inputs!$G$5:$G$110="moeda")+(Inputs!$G$5:$G$110="acoes"))*Inputs!$B$1+((Inputs!$G$5:$G$110&lt;&gt;"moeda")*(Inputs!$G$5:$G$110&lt;&gt;"acoes")))*INDEX(Inputs!$K$5:$AJ$110,0,MATCH(AD$2,Inputs!$K$4:$AJ$4,0)))+SUMPRODUCT((Inputs!$C$5:$C$110=$B50)*Inputs!$D$5:$D$110*(((Inputs!$G$5:$G$110="moeda")+(Inputs!$G$5:$G$110="acoes"))*Inputs!$B$1+((Inputs!$G$5:$G$110&lt;&gt;"moeda")*(Inputs!$G$5:$G$110&lt;&gt;"acoes")))*INDEX(Inputs!$K$5:$AJ$110,0,MATCH(AD$2,Inputs!$K$4:$AJ$4,0)))+SUMPRODUCT((Inputs!$E$5:$E$110=$B50)*Inputs!$F$5:$F$110*(((Inputs!$G$5:$G$110="moeda")+(Inputs!$G$5:$G$110="acoes"))*Inputs!$B$1+((Inputs!$G$5:$G$110&lt;&gt;"moeda")*(Inputs!$G$5:$G$110&lt;&gt;"acoes")))*INDEX(Inputs!$K$5:$AJ$110,0,MATCH(AD$2,Inputs!$K$4:$AJ$4,0)))))</f>
        <v>1836</v>
      </c>
      <c r="AE50" s="6" t="e">
        <f>IF(ISNA(MATCH(AE$2,Inputs!$K$4:$AJ$4,0)),NA(),IF(SUMPRODUCT((Inputs!$A$5:$A$110=$B50)*ISNUMBER(INDEX(Inputs!$K$5:$AJ$110,0,MATCH(AE$2,Inputs!$K$4:$AJ$4,0))))+SUMPRODUCT((Inputs!$C$5:$C$110=$B50)*ISNUMBER(INDEX(Inputs!$K$5:$AJ$110,0,MATCH(AE$2,Inputs!$K$4:$AJ$4,0))))+SUMPRODUCT((Inputs!$E$5:$E$110=$B50)*ISNUMBER(INDEX(Inputs!$K$5:$AJ$110,0,MATCH(AE$2,Inputs!$K$4:$AJ$4,0))))=0,NA(),SUMPRODUCT((Inputs!$A$5:$A$110=$B50)*Inputs!$B$5:$B$110*(((Inputs!$G$5:$G$110="moeda")+(Inputs!$G$5:$G$110="acoes"))*Inputs!$B$1+((Inputs!$G$5:$G$110&lt;&gt;"moeda")*(Inputs!$G$5:$G$110&lt;&gt;"acoes")))*INDEX(Inputs!$K$5:$AJ$110,0,MATCH(AE$2,Inputs!$K$4:$AJ$4,0)))+SUMPRODUCT((Inputs!$C$5:$C$110=$B50)*Inputs!$D$5:$D$110*(((Inputs!$G$5:$G$110="moeda")+(Inputs!$G$5:$G$110="acoes"))*Inputs!$B$1+((Inputs!$G$5:$G$110&lt;&gt;"moeda")*(Inputs!$G$5:$G$110&lt;&gt;"acoes")))*INDEX(Inputs!$K$5:$AJ$110,0,MATCH(AE$2,Inputs!$K$4:$AJ$4,0)))+SUMPRODUCT((Inputs!$E$5:$E$110=$B50)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0" s="6" t="e">
        <f>IF(ISNA(MATCH(AF$2,Inputs!$K$4:$AJ$4,0)),NA(),IF(SUMPRODUCT((Inputs!$A$5:$A$110=$B50)*ISNUMBER(INDEX(Inputs!$K$5:$AJ$110,0,MATCH(AF$2,Inputs!$K$4:$AJ$4,0))))+SUMPRODUCT((Inputs!$C$5:$C$110=$B50)*ISNUMBER(INDEX(Inputs!$K$5:$AJ$110,0,MATCH(AF$2,Inputs!$K$4:$AJ$4,0))))+SUMPRODUCT((Inputs!$E$5:$E$110=$B50)*ISNUMBER(INDEX(Inputs!$K$5:$AJ$110,0,MATCH(AF$2,Inputs!$K$4:$AJ$4,0))))=0,NA(),SUMPRODUCT((Inputs!$A$5:$A$110=$B50)*Inputs!$B$5:$B$110*(((Inputs!$G$5:$G$110="moeda")+(Inputs!$G$5:$G$110="acoes"))*Inputs!$B$1+((Inputs!$G$5:$G$110&lt;&gt;"moeda")*(Inputs!$G$5:$G$110&lt;&gt;"acoes")))*INDEX(Inputs!$K$5:$AJ$110,0,MATCH(AF$2,Inputs!$K$4:$AJ$4,0)))+SUMPRODUCT((Inputs!$C$5:$C$110=$B50)*Inputs!$D$5:$D$110*(((Inputs!$G$5:$G$110="moeda")+(Inputs!$G$5:$G$110="acoes"))*Inputs!$B$1+((Inputs!$G$5:$G$110&lt;&gt;"moeda")*(Inputs!$G$5:$G$110&lt;&gt;"acoes")))*INDEX(Inputs!$K$5:$AJ$110,0,MATCH(AF$2,Inputs!$K$4:$AJ$4,0)))+SUMPRODUCT((Inputs!$E$5:$E$110=$B50)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0" s="3" t="e">
        <f>SUM(AC50:AF50)</f>
        <v>#N/A</v>
      </c>
      <c r="AH50">
        <f>IF(ISNA(MATCH(AH$2,Inputs!$K$4:$AJ$4,0)),NA(),IF(SUMPRODUCT((Inputs!$A$5:$A$110=$B50)*ISNUMBER(INDEX(Inputs!$K$5:$AJ$110,0,MATCH(AH$2,Inputs!$K$4:$AJ$4,0))))+SUMPRODUCT((Inputs!$C$5:$C$110=$B50)*ISNUMBER(INDEX(Inputs!$K$5:$AJ$110,0,MATCH(AH$2,Inputs!$K$4:$AJ$4,0))))+SUMPRODUCT((Inputs!$E$5:$E$110=$B50)*ISNUMBER(INDEX(Inputs!$K$5:$AJ$110,0,MATCH(AH$2,Inputs!$K$4:$AJ$4,0))))=0,NA(),SUMPRODUCT((Inputs!$A$5:$A$110=$B50)*Inputs!$B$5:$B$110*(((Inputs!$G$5:$G$110="moeda")+(Inputs!$G$5:$G$110="acoes"))*Inputs!$B$1+((Inputs!$G$5:$G$110&lt;&gt;"moeda")*(Inputs!$G$5:$G$110&lt;&gt;"acoes")))*INDEX(Inputs!$K$5:$AJ$110,0,MATCH(AH$2,Inputs!$K$4:$AJ$4,0)))+SUMPRODUCT((Inputs!$C$5:$C$110=$B50)*Inputs!$D$5:$D$110*(((Inputs!$G$5:$G$110="moeda")+(Inputs!$G$5:$G$110="acoes"))*Inputs!$B$1+((Inputs!$G$5:$G$110&lt;&gt;"moeda")*(Inputs!$G$5:$G$110&lt;&gt;"acoes")))*INDEX(Inputs!$K$5:$AJ$110,0,MATCH(AH$2,Inputs!$K$4:$AJ$4,0)))+SUMPRODUCT((Inputs!$E$5:$E$110=$B50)*Inputs!$F$5:$F$110*(((Inputs!$G$5:$G$110="moeda")+(Inputs!$G$5:$G$110="acoes"))*Inputs!$B$1+((Inputs!$G$5:$G$110&lt;&gt;"moeda")*(Inputs!$G$5:$G$110&lt;&gt;"acoes")))*INDEX(Inputs!$K$5:$AJ$110,0,MATCH(AH$2,Inputs!$K$4:$AJ$4,0)))))</f>
        <v>1717</v>
      </c>
      <c r="AI50">
        <f>IF(ISNA(MATCH(AI$2,Inputs!$K$4:$AJ$4,0)),NA(),IF(SUMPRODUCT((Inputs!$A$5:$A$110=$B50)*ISNUMBER(INDEX(Inputs!$K$5:$AJ$110,0,MATCH(AI$2,Inputs!$K$4:$AJ$4,0))))+SUMPRODUCT((Inputs!$C$5:$C$110=$B50)*ISNUMBER(INDEX(Inputs!$K$5:$AJ$110,0,MATCH(AI$2,Inputs!$K$4:$AJ$4,0))))+SUMPRODUCT((Inputs!$E$5:$E$110=$B50)*ISNUMBER(INDEX(Inputs!$K$5:$AJ$110,0,MATCH(AI$2,Inputs!$K$4:$AJ$4,0))))=0,NA(),SUMPRODUCT((Inputs!$A$5:$A$110=$B50)*Inputs!$B$5:$B$110*(((Inputs!$G$5:$G$110="moeda")+(Inputs!$G$5:$G$110="acoes"))*Inputs!$B$1+((Inputs!$G$5:$G$110&lt;&gt;"moeda")*(Inputs!$G$5:$G$110&lt;&gt;"acoes")))*INDEX(Inputs!$K$5:$AJ$110,0,MATCH(AI$2,Inputs!$K$4:$AJ$4,0)))+SUMPRODUCT((Inputs!$C$5:$C$110=$B50)*Inputs!$D$5:$D$110*(((Inputs!$G$5:$G$110="moeda")+(Inputs!$G$5:$G$110="acoes"))*Inputs!$B$1+((Inputs!$G$5:$G$110&lt;&gt;"moeda")*(Inputs!$G$5:$G$110&lt;&gt;"acoes")))*INDEX(Inputs!$K$5:$AJ$110,0,MATCH(AI$2,Inputs!$K$4:$AJ$4,0)))+SUMPRODUCT((Inputs!$E$5:$E$110=$B50)*Inputs!$F$5:$F$110*(((Inputs!$G$5:$G$110="moeda")+(Inputs!$G$5:$G$110="acoes"))*Inputs!$B$1+((Inputs!$G$5:$G$110&lt;&gt;"moeda")*(Inputs!$G$5:$G$110&lt;&gt;"acoes")))*INDEX(Inputs!$K$5:$AJ$110,0,MATCH(AI$2,Inputs!$K$4:$AJ$4,0)))))</f>
        <v>1626</v>
      </c>
      <c r="AJ50">
        <f>IF(ISNA(MATCH(AJ$2,Inputs!$K$4:$AJ$4,0)),NA(),IF(SUMPRODUCT((Inputs!$A$5:$A$110=$B50)*ISNUMBER(INDEX(Inputs!$K$5:$AJ$110,0,MATCH(AJ$2,Inputs!$K$4:$AJ$4,0))))+SUMPRODUCT((Inputs!$C$5:$C$110=$B50)*ISNUMBER(INDEX(Inputs!$K$5:$AJ$110,0,MATCH(AJ$2,Inputs!$K$4:$AJ$4,0))))+SUMPRODUCT((Inputs!$E$5:$E$110=$B50)*ISNUMBER(INDEX(Inputs!$K$5:$AJ$110,0,MATCH(AJ$2,Inputs!$K$4:$AJ$4,0))))=0,NA(),SUMPRODUCT((Inputs!$A$5:$A$110=$B50)*Inputs!$B$5:$B$110*(((Inputs!$G$5:$G$110="moeda")+(Inputs!$G$5:$G$110="acoes"))*Inputs!$B$1+((Inputs!$G$5:$G$110&lt;&gt;"moeda")*(Inputs!$G$5:$G$110&lt;&gt;"acoes")))*INDEX(Inputs!$K$5:$AJ$110,0,MATCH(AJ$2,Inputs!$K$4:$AJ$4,0)))+SUMPRODUCT((Inputs!$C$5:$C$110=$B50)*Inputs!$D$5:$D$110*(((Inputs!$G$5:$G$110="moeda")+(Inputs!$G$5:$G$110="acoes"))*Inputs!$B$1+((Inputs!$G$5:$G$110&lt;&gt;"moeda")*(Inputs!$G$5:$G$110&lt;&gt;"acoes")))*INDEX(Inputs!$K$5:$AJ$110,0,MATCH(AJ$2,Inputs!$K$4:$AJ$4,0)))+SUMPRODUCT((Inputs!$E$5:$E$110=$B50)*Inputs!$F$5:$F$110*(((Inputs!$G$5:$G$110="moeda")+(Inputs!$G$5:$G$110="acoes"))*Inputs!$B$1+((Inputs!$G$5:$G$110&lt;&gt;"moeda")*(Inputs!$G$5:$G$110&lt;&gt;"acoes")))*INDEX(Inputs!$K$5:$AJ$110,0,MATCH(AJ$2,Inputs!$K$4:$AJ$4,0)))))</f>
        <v>1698</v>
      </c>
      <c r="AK50">
        <f>IF(ISNA(MATCH(AK$2,Inputs!$K$4:$AJ$4,0)),NA(),IF(SUMPRODUCT((Inputs!$A$5:$A$110=$B50)*ISNUMBER(INDEX(Inputs!$K$5:$AJ$110,0,MATCH(AK$2,Inputs!$K$4:$AJ$4,0))))+SUMPRODUCT((Inputs!$C$5:$C$110=$B50)*ISNUMBER(INDEX(Inputs!$K$5:$AJ$110,0,MATCH(AK$2,Inputs!$K$4:$AJ$4,0))))+SUMPRODUCT((Inputs!$E$5:$E$110=$B50)*ISNUMBER(INDEX(Inputs!$K$5:$AJ$110,0,MATCH(AK$2,Inputs!$K$4:$AJ$4,0))))=0,NA(),SUMPRODUCT((Inputs!$A$5:$A$110=$B50)*Inputs!$B$5:$B$110*(((Inputs!$G$5:$G$110="moeda")+(Inputs!$G$5:$G$110="acoes"))*Inputs!$B$1+((Inputs!$G$5:$G$110&lt;&gt;"moeda")*(Inputs!$G$5:$G$110&lt;&gt;"acoes")))*INDEX(Inputs!$K$5:$AJ$110,0,MATCH(AK$2,Inputs!$K$4:$AJ$4,0)))+SUMPRODUCT((Inputs!$C$5:$C$110=$B50)*Inputs!$D$5:$D$110*(((Inputs!$G$5:$G$110="moeda")+(Inputs!$G$5:$G$110="acoes"))*Inputs!$B$1+((Inputs!$G$5:$G$110&lt;&gt;"moeda")*(Inputs!$G$5:$G$110&lt;&gt;"acoes")))*INDEX(Inputs!$K$5:$AJ$110,0,MATCH(AK$2,Inputs!$K$4:$AJ$4,0)))+SUMPRODUCT((Inputs!$E$5:$E$110=$B50)*Inputs!$F$5:$F$110*(((Inputs!$G$5:$G$110="moeda")+(Inputs!$G$5:$G$110="acoes"))*Inputs!$B$1+((Inputs!$G$5:$G$110&lt;&gt;"moeda")*(Inputs!$G$5:$G$110&lt;&gt;"acoes")))*INDEX(Inputs!$K$5:$AJ$110,0,MATCH(AK$2,Inputs!$K$4:$AJ$4,0)))))</f>
        <v>1792</v>
      </c>
      <c r="AL50">
        <f>SUM(AH50:AK50)</f>
        <v>6833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Aeronautics - receita (USD)</t>
        </is>
      </c>
      <c r="D53" s="263">
        <f>IF(ISNA(MATCH(D$2,Inputs!$K$4:$AJ$4,0)),NA(),IF(SUMPRODUCT((Inputs!$A$5:$A$110=$B53)*ISNUMBER(INDEX(Inputs!$K$5:$AJ$110,0,MATCH(D$2,Inputs!$K$4:$AJ$4,0))))+SUMPRODUCT((Inputs!$C$5:$C$110=$B53)*ISNUMBER(INDEX(Inputs!$K$5:$AJ$110,0,MATCH(D$2,Inputs!$K$4:$AJ$4,0))))+SUMPRODUCT((Inputs!$E$5:$E$110=$B53)*ISNUMBER(INDEX(Inputs!$K$5:$AJ$110,0,MATCH(D$2,Inputs!$K$4:$AJ$4,0))))=0,NA(),SUMPRODUCT((Inputs!$A$5:$A$110=$B53)*Inputs!$B$5:$B$110*(((Inputs!$G$5:$G$110="moeda")+(Inputs!$G$5:$G$110="acoes"))*Inputs!$B$1+((Inputs!$G$5:$G$110&lt;&gt;"moeda")*(Inputs!$G$5:$G$110&lt;&gt;"acoes")))*INDEX(Inputs!$K$5:$AJ$110,0,MATCH(D$2,Inputs!$K$4:$AJ$4,0)))+SUMPRODUCT((Inputs!$C$5:$C$110=$B53)*Inputs!$D$5:$D$110*(((Inputs!$G$5:$G$110="moeda")+(Inputs!$G$5:$G$110="acoes"))*Inputs!$B$1+((Inputs!$G$5:$G$110&lt;&gt;"moeda")*(Inputs!$G$5:$G$110&lt;&gt;"acoes")))*INDEX(Inputs!$K$5:$AJ$110,0,MATCH(D$2,Inputs!$K$4:$AJ$4,0)))+SUMPRODUCT((Inputs!$E$5:$E$110=$B53)*Inputs!$F$5:$F$110*(((Inputs!$G$5:$G$110="moeda")+(Inputs!$G$5:$G$110="acoes"))*Inputs!$B$1+((Inputs!$G$5:$G$110&lt;&gt;"moeda")*(Inputs!$G$5:$G$110&lt;&gt;"acoes")))*INDEX(Inputs!$K$5:$AJ$110,0,MATCH(D$2,Inputs!$K$4:$AJ$4,0)))))</f>
        <v>6387</v>
      </c>
      <c r="E53" s="263">
        <f>IF(ISNA(MATCH(E$2,Inputs!$K$4:$AJ$4,0)),NA(),IF(SUMPRODUCT((Inputs!$A$5:$A$110=$B53)*ISNUMBER(INDEX(Inputs!$K$5:$AJ$110,0,MATCH(E$2,Inputs!$K$4:$AJ$4,0))))+SUMPRODUCT((Inputs!$C$5:$C$110=$B53)*ISNUMBER(INDEX(Inputs!$K$5:$AJ$110,0,MATCH(E$2,Inputs!$K$4:$AJ$4,0))))+SUMPRODUCT((Inputs!$E$5:$E$110=$B53)*ISNUMBER(INDEX(Inputs!$K$5:$AJ$110,0,MATCH(E$2,Inputs!$K$4:$AJ$4,0))))=0,NA(),SUMPRODUCT((Inputs!$A$5:$A$110=$B53)*Inputs!$B$5:$B$110*(((Inputs!$G$5:$G$110="moeda")+(Inputs!$G$5:$G$110="acoes"))*Inputs!$B$1+((Inputs!$G$5:$G$110&lt;&gt;"moeda")*(Inputs!$G$5:$G$110&lt;&gt;"acoes")))*INDEX(Inputs!$K$5:$AJ$110,0,MATCH(E$2,Inputs!$K$4:$AJ$4,0)))+SUMPRODUCT((Inputs!$C$5:$C$110=$B53)*Inputs!$D$5:$D$110*(((Inputs!$G$5:$G$110="moeda")+(Inputs!$G$5:$G$110="acoes"))*Inputs!$B$1+((Inputs!$G$5:$G$110&lt;&gt;"moeda")*(Inputs!$G$5:$G$110&lt;&gt;"acoes")))*INDEX(Inputs!$K$5:$AJ$110,0,MATCH(E$2,Inputs!$K$4:$AJ$4,0)))+SUMPRODUCT((Inputs!$E$5:$E$110=$B53)*Inputs!$F$5:$F$110*(((Inputs!$G$5:$G$110="moeda")+(Inputs!$G$5:$G$110="acoes"))*Inputs!$B$1+((Inputs!$G$5:$G$110&lt;&gt;"moeda")*(Inputs!$G$5:$G$110&lt;&gt;"acoes")))*INDEX(Inputs!$K$5:$AJ$110,0,MATCH(E$2,Inputs!$K$4:$AJ$4,0)))))</f>
        <v>6666</v>
      </c>
      <c r="F53" s="263">
        <f>IF(ISNA(MATCH(F$2,Inputs!$K$4:$AJ$4,0)),NA(),IF(SUMPRODUCT((Inputs!$A$5:$A$110=$B53)*ISNUMBER(INDEX(Inputs!$K$5:$AJ$110,0,MATCH(F$2,Inputs!$K$4:$AJ$4,0))))+SUMPRODUCT((Inputs!$C$5:$C$110=$B53)*ISNUMBER(INDEX(Inputs!$K$5:$AJ$110,0,MATCH(F$2,Inputs!$K$4:$AJ$4,0))))+SUMPRODUCT((Inputs!$E$5:$E$110=$B53)*ISNUMBER(INDEX(Inputs!$K$5:$AJ$110,0,MATCH(F$2,Inputs!$K$4:$AJ$4,0))))=0,NA(),SUMPRODUCT((Inputs!$A$5:$A$110=$B53)*Inputs!$B$5:$B$110*(((Inputs!$G$5:$G$110="moeda")+(Inputs!$G$5:$G$110="acoes"))*Inputs!$B$1+((Inputs!$G$5:$G$110&lt;&gt;"moeda")*(Inputs!$G$5:$G$110&lt;&gt;"acoes")))*INDEX(Inputs!$K$5:$AJ$110,0,MATCH(F$2,Inputs!$K$4:$AJ$4,0)))+SUMPRODUCT((Inputs!$C$5:$C$110=$B53)*Inputs!$D$5:$D$110*(((Inputs!$G$5:$G$110="moeda")+(Inputs!$G$5:$G$110="acoes"))*Inputs!$B$1+((Inputs!$G$5:$G$110&lt;&gt;"moeda")*(Inputs!$G$5:$G$110&lt;&gt;"acoes")))*INDEX(Inputs!$K$5:$AJ$110,0,MATCH(F$2,Inputs!$K$4:$AJ$4,0)))+SUMPRODUCT((Inputs!$E$5:$E$110=$B53)*Inputs!$F$5:$F$110*(((Inputs!$G$5:$G$110="moeda")+(Inputs!$G$5:$G$110="acoes"))*Inputs!$B$1+((Inputs!$G$5:$G$110&lt;&gt;"moeda")*(Inputs!$G$5:$G$110&lt;&gt;"acoes")))*INDEX(Inputs!$K$5:$AJ$110,0,MATCH(F$2,Inputs!$K$4:$AJ$4,0)))))</f>
        <v>6568</v>
      </c>
      <c r="G53" s="263">
        <f>IF(ISNA(MATCH(G$2,Inputs!$K$4:$AJ$4,0)),NA(),IF(SUMPRODUCT((Inputs!$A$5:$A$110=$B53)*ISNUMBER(INDEX(Inputs!$K$5:$AJ$110,0,MATCH(G$2,Inputs!$K$4:$AJ$4,0))))+SUMPRODUCT((Inputs!$C$5:$C$110=$B53)*ISNUMBER(INDEX(Inputs!$K$5:$AJ$110,0,MATCH(G$2,Inputs!$K$4:$AJ$4,0))))+SUMPRODUCT((Inputs!$E$5:$E$110=$B53)*ISNUMBER(INDEX(Inputs!$K$5:$AJ$110,0,MATCH(G$2,Inputs!$K$4:$AJ$4,0))))=0,NA(),SUMPRODUCT((Inputs!$A$5:$A$110=$B53)*Inputs!$B$5:$B$110*(((Inputs!$G$5:$G$110="moeda")+(Inputs!$G$5:$G$110="acoes"))*Inputs!$B$1+((Inputs!$G$5:$G$110&lt;&gt;"moeda")*(Inputs!$G$5:$G$110&lt;&gt;"acoes")))*INDEX(Inputs!$K$5:$AJ$110,0,MATCH(G$2,Inputs!$K$4:$AJ$4,0)))+SUMPRODUCT((Inputs!$C$5:$C$110=$B53)*Inputs!$D$5:$D$110*(((Inputs!$G$5:$G$110="moeda")+(Inputs!$G$5:$G$110="acoes"))*Inputs!$B$1+((Inputs!$G$5:$G$110&lt;&gt;"moeda")*(Inputs!$G$5:$G$110&lt;&gt;"acoes")))*INDEX(Inputs!$K$5:$AJ$110,0,MATCH(G$2,Inputs!$K$4:$AJ$4,0)))+SUMPRODUCT((Inputs!$E$5:$E$110=$B53)*Inputs!$F$5:$F$110*(((Inputs!$G$5:$G$110="moeda")+(Inputs!$G$5:$G$110="acoes"))*Inputs!$B$1+((Inputs!$G$5:$G$110&lt;&gt;"moeda")*(Inputs!$G$5:$G$110&lt;&gt;"acoes")))*INDEX(Inputs!$K$5:$AJ$110,0,MATCH(G$2,Inputs!$K$4:$AJ$4,0)))))</f>
        <v>7127</v>
      </c>
      <c r="H53" s="264">
        <f>SUM(D53:G53)</f>
        <v>26748</v>
      </c>
      <c r="I53" s="263">
        <f>IF(ISNA(MATCH(I$2,Inputs!$K$4:$AJ$4,0)),NA(),IF(SUMPRODUCT((Inputs!$A$5:$A$110=$B53)*ISNUMBER(INDEX(Inputs!$K$5:$AJ$110,0,MATCH(I$2,Inputs!$K$4:$AJ$4,0))))+SUMPRODUCT((Inputs!$C$5:$C$110=$B53)*ISNUMBER(INDEX(Inputs!$K$5:$AJ$110,0,MATCH(I$2,Inputs!$K$4:$AJ$4,0))))+SUMPRODUCT((Inputs!$E$5:$E$110=$B53)*ISNUMBER(INDEX(Inputs!$K$5:$AJ$110,0,MATCH(I$2,Inputs!$K$4:$AJ$4,0))))=0,NA(),SUMPRODUCT((Inputs!$A$5:$A$110=$B53)*Inputs!$B$5:$B$110*(((Inputs!$G$5:$G$110="moeda")+(Inputs!$G$5:$G$110="acoes"))*Inputs!$B$1+((Inputs!$G$5:$G$110&lt;&gt;"moeda")*(Inputs!$G$5:$G$110&lt;&gt;"acoes")))*INDEX(Inputs!$K$5:$AJ$110,0,MATCH(I$2,Inputs!$K$4:$AJ$4,0)))+SUMPRODUCT((Inputs!$C$5:$C$110=$B53)*Inputs!$D$5:$D$110*(((Inputs!$G$5:$G$110="moeda")+(Inputs!$G$5:$G$110="acoes"))*Inputs!$B$1+((Inputs!$G$5:$G$110&lt;&gt;"moeda")*(Inputs!$G$5:$G$110&lt;&gt;"acoes")))*INDEX(Inputs!$K$5:$AJ$110,0,MATCH(I$2,Inputs!$K$4:$AJ$4,0)))+SUMPRODUCT((Inputs!$E$5:$E$110=$B53)*Inputs!$F$5:$F$110*(((Inputs!$G$5:$G$110="moeda")+(Inputs!$G$5:$G$110="acoes"))*Inputs!$B$1+((Inputs!$G$5:$G$110&lt;&gt;"moeda")*(Inputs!$G$5:$G$110&lt;&gt;"acoes")))*INDEX(Inputs!$K$5:$AJ$110,0,MATCH(I$2,Inputs!$K$4:$AJ$4,0)))))</f>
        <v>6401</v>
      </c>
      <c r="J53" s="263">
        <f>IF(ISNA(MATCH(J$2,Inputs!$K$4:$AJ$4,0)),NA(),IF(SUMPRODUCT((Inputs!$A$5:$A$110=$B53)*ISNUMBER(INDEX(Inputs!$K$5:$AJ$110,0,MATCH(J$2,Inputs!$K$4:$AJ$4,0))))+SUMPRODUCT((Inputs!$C$5:$C$110=$B53)*ISNUMBER(INDEX(Inputs!$K$5:$AJ$110,0,MATCH(J$2,Inputs!$K$4:$AJ$4,0))))+SUMPRODUCT((Inputs!$E$5:$E$110=$B53)*ISNUMBER(INDEX(Inputs!$K$5:$AJ$110,0,MATCH(J$2,Inputs!$K$4:$AJ$4,0))))=0,NA(),SUMPRODUCT((Inputs!$A$5:$A$110=$B53)*Inputs!$B$5:$B$110*(((Inputs!$G$5:$G$110="moeda")+(Inputs!$G$5:$G$110="acoes"))*Inputs!$B$1+((Inputs!$G$5:$G$110&lt;&gt;"moeda")*(Inputs!$G$5:$G$110&lt;&gt;"acoes")))*INDEX(Inputs!$K$5:$AJ$110,0,MATCH(J$2,Inputs!$K$4:$AJ$4,0)))+SUMPRODUCT((Inputs!$C$5:$C$110=$B53)*Inputs!$D$5:$D$110*(((Inputs!$G$5:$G$110="moeda")+(Inputs!$G$5:$G$110="acoes"))*Inputs!$B$1+((Inputs!$G$5:$G$110&lt;&gt;"moeda")*(Inputs!$G$5:$G$110&lt;&gt;"acoes")))*INDEX(Inputs!$K$5:$AJ$110,0,MATCH(J$2,Inputs!$K$4:$AJ$4,0)))+SUMPRODUCT((Inputs!$E$5:$E$110=$B53)*Inputs!$F$5:$F$110*(((Inputs!$G$5:$G$110="moeda")+(Inputs!$G$5:$G$110="acoes"))*Inputs!$B$1+((Inputs!$G$5:$G$110&lt;&gt;"moeda")*(Inputs!$G$5:$G$110&lt;&gt;"acoes")))*INDEX(Inputs!$K$5:$AJ$110,0,MATCH(J$2,Inputs!$K$4:$AJ$4,0)))))</f>
        <v>5862</v>
      </c>
      <c r="K53" s="263">
        <f>IF(ISNA(MATCH(K$2,Inputs!$K$4:$AJ$4,0)),NA(),IF(SUMPRODUCT((Inputs!$A$5:$A$110=$B53)*ISNUMBER(INDEX(Inputs!$K$5:$AJ$110,0,MATCH(K$2,Inputs!$K$4:$AJ$4,0))))+SUMPRODUCT((Inputs!$C$5:$C$110=$B53)*ISNUMBER(INDEX(Inputs!$K$5:$AJ$110,0,MATCH(K$2,Inputs!$K$4:$AJ$4,0))))+SUMPRODUCT((Inputs!$E$5:$E$110=$B53)*ISNUMBER(INDEX(Inputs!$K$5:$AJ$110,0,MATCH(K$2,Inputs!$K$4:$AJ$4,0))))=0,NA(),SUMPRODUCT((Inputs!$A$5:$A$110=$B53)*Inputs!$B$5:$B$110*(((Inputs!$G$5:$G$110="moeda")+(Inputs!$G$5:$G$110="acoes"))*Inputs!$B$1+((Inputs!$G$5:$G$110&lt;&gt;"moeda")*(Inputs!$G$5:$G$110&lt;&gt;"acoes")))*INDEX(Inputs!$K$5:$AJ$110,0,MATCH(K$2,Inputs!$K$4:$AJ$4,0)))+SUMPRODUCT((Inputs!$C$5:$C$110=$B53)*Inputs!$D$5:$D$110*(((Inputs!$G$5:$G$110="moeda")+(Inputs!$G$5:$G$110="acoes"))*Inputs!$B$1+((Inputs!$G$5:$G$110&lt;&gt;"moeda")*(Inputs!$G$5:$G$110&lt;&gt;"acoes")))*INDEX(Inputs!$K$5:$AJ$110,0,MATCH(K$2,Inputs!$K$4:$AJ$4,0)))+SUMPRODUCT((Inputs!$E$5:$E$110=$B53)*Inputs!$F$5:$F$110*(((Inputs!$G$5:$G$110="moeda")+(Inputs!$G$5:$G$110="acoes"))*Inputs!$B$1+((Inputs!$G$5:$G$110&lt;&gt;"moeda")*(Inputs!$G$5:$G$110&lt;&gt;"acoes")))*INDEX(Inputs!$K$5:$AJ$110,0,MATCH(K$2,Inputs!$K$4:$AJ$4,0)))))</f>
        <v>7089</v>
      </c>
      <c r="L53" s="263">
        <f>IF(ISNA(MATCH(L$2,Inputs!$K$4:$AJ$4,0)),NA(),IF(SUMPRODUCT((Inputs!$A$5:$A$110=$B53)*ISNUMBER(INDEX(Inputs!$K$5:$AJ$110,0,MATCH(L$2,Inputs!$K$4:$AJ$4,0))))+SUMPRODUCT((Inputs!$C$5:$C$110=$B53)*ISNUMBER(INDEX(Inputs!$K$5:$AJ$110,0,MATCH(L$2,Inputs!$K$4:$AJ$4,0))))+SUMPRODUCT((Inputs!$E$5:$E$110=$B53)*ISNUMBER(INDEX(Inputs!$K$5:$AJ$110,0,MATCH(L$2,Inputs!$K$4:$AJ$4,0))))=0,NA(),SUMPRODUCT((Inputs!$A$5:$A$110=$B53)*Inputs!$B$5:$B$110*(((Inputs!$G$5:$G$110="moeda")+(Inputs!$G$5:$G$110="acoes"))*Inputs!$B$1+((Inputs!$G$5:$G$110&lt;&gt;"moeda")*(Inputs!$G$5:$G$110&lt;&gt;"acoes")))*INDEX(Inputs!$K$5:$AJ$110,0,MATCH(L$2,Inputs!$K$4:$AJ$4,0)))+SUMPRODUCT((Inputs!$C$5:$C$110=$B53)*Inputs!$D$5:$D$110*(((Inputs!$G$5:$G$110="moeda")+(Inputs!$G$5:$G$110="acoes"))*Inputs!$B$1+((Inputs!$G$5:$G$110&lt;&gt;"moeda")*(Inputs!$G$5:$G$110&lt;&gt;"acoes")))*INDEX(Inputs!$K$5:$AJ$110,0,MATCH(L$2,Inputs!$K$4:$AJ$4,0)))+SUMPRODUCT((Inputs!$E$5:$E$110=$B53)*Inputs!$F$5:$F$110*(((Inputs!$G$5:$G$110="moeda")+(Inputs!$G$5:$G$110="acoes"))*Inputs!$B$1+((Inputs!$G$5:$G$110&lt;&gt;"moeda")*(Inputs!$G$5:$G$110&lt;&gt;"acoes")))*INDEX(Inputs!$K$5:$AJ$110,0,MATCH(L$2,Inputs!$K$4:$AJ$4,0)))))</f>
        <v>7635</v>
      </c>
      <c r="M53" s="264">
        <f>SUM(I53:L53)</f>
        <v>26987</v>
      </c>
      <c r="N53" s="263">
        <f>IF(ISNA(MATCH(N$2,Inputs!$K$4:$AJ$4,0)),NA(),IF(SUMPRODUCT((Inputs!$A$5:$A$110=$B53)*ISNUMBER(INDEX(Inputs!$K$5:$AJ$110,0,MATCH(N$2,Inputs!$K$4:$AJ$4,0))))+SUMPRODUCT((Inputs!$C$5:$C$110=$B53)*ISNUMBER(INDEX(Inputs!$K$5:$AJ$110,0,MATCH(N$2,Inputs!$K$4:$AJ$4,0))))+SUMPRODUCT((Inputs!$E$5:$E$110=$B53)*ISNUMBER(INDEX(Inputs!$K$5:$AJ$110,0,MATCH(N$2,Inputs!$K$4:$AJ$4,0))))=0,NA(),SUMPRODUCT((Inputs!$A$5:$A$110=$B53)*Inputs!$B$5:$B$110*(((Inputs!$G$5:$G$110="moeda")+(Inputs!$G$5:$G$110="acoes"))*Inputs!$B$1+((Inputs!$G$5:$G$110&lt;&gt;"moeda")*(Inputs!$G$5:$G$110&lt;&gt;"acoes")))*INDEX(Inputs!$K$5:$AJ$110,0,MATCH(N$2,Inputs!$K$4:$AJ$4,0)))+SUMPRODUCT((Inputs!$C$5:$C$110=$B53)*Inputs!$D$5:$D$110*(((Inputs!$G$5:$G$110="moeda")+(Inputs!$G$5:$G$110="acoes"))*Inputs!$B$1+((Inputs!$G$5:$G$110&lt;&gt;"moeda")*(Inputs!$G$5:$G$110&lt;&gt;"acoes")))*INDEX(Inputs!$K$5:$AJ$110,0,MATCH(N$2,Inputs!$K$4:$AJ$4,0)))+SUMPRODUCT((Inputs!$E$5:$E$110=$B53)*Inputs!$F$5:$F$110*(((Inputs!$G$5:$G$110="moeda")+(Inputs!$G$5:$G$110="acoes"))*Inputs!$B$1+((Inputs!$G$5:$G$110&lt;&gt;"moeda")*(Inputs!$G$5:$G$110&lt;&gt;"acoes")))*INDEX(Inputs!$K$5:$AJ$110,0,MATCH(N$2,Inputs!$K$4:$AJ$4,0)))))</f>
        <v>6269</v>
      </c>
      <c r="O53" s="263">
        <f>IF(ISNA(MATCH(O$2,Inputs!$K$4:$AJ$4,0)),NA(),IF(SUMPRODUCT((Inputs!$A$5:$A$110=$B53)*ISNUMBER(INDEX(Inputs!$K$5:$AJ$110,0,MATCH(O$2,Inputs!$K$4:$AJ$4,0))))+SUMPRODUCT((Inputs!$C$5:$C$110=$B53)*ISNUMBER(INDEX(Inputs!$K$5:$AJ$110,0,MATCH(O$2,Inputs!$K$4:$AJ$4,0))))+SUMPRODUCT((Inputs!$E$5:$E$110=$B53)*ISNUMBER(INDEX(Inputs!$K$5:$AJ$110,0,MATCH(O$2,Inputs!$K$4:$AJ$4,0))))=0,NA(),SUMPRODUCT((Inputs!$A$5:$A$110=$B53)*Inputs!$B$5:$B$110*(((Inputs!$G$5:$G$110="moeda")+(Inputs!$G$5:$G$110="acoes"))*Inputs!$B$1+((Inputs!$G$5:$G$110&lt;&gt;"moeda")*(Inputs!$G$5:$G$110&lt;&gt;"acoes")))*INDEX(Inputs!$K$5:$AJ$110,0,MATCH(O$2,Inputs!$K$4:$AJ$4,0)))+SUMPRODUCT((Inputs!$C$5:$C$110=$B53)*Inputs!$D$5:$D$110*(((Inputs!$G$5:$G$110="moeda")+(Inputs!$G$5:$G$110="acoes"))*Inputs!$B$1+((Inputs!$G$5:$G$110&lt;&gt;"moeda")*(Inputs!$G$5:$G$110&lt;&gt;"acoes")))*INDEX(Inputs!$K$5:$AJ$110,0,MATCH(O$2,Inputs!$K$4:$AJ$4,0)))+SUMPRODUCT((Inputs!$E$5:$E$110=$B53)*Inputs!$F$5:$F$110*(((Inputs!$G$5:$G$110="moeda")+(Inputs!$G$5:$G$110="acoes"))*Inputs!$B$1+((Inputs!$G$5:$G$110&lt;&gt;"moeda")*(Inputs!$G$5:$G$110&lt;&gt;"acoes")))*INDEX(Inputs!$K$5:$AJ$110,0,MATCH(O$2,Inputs!$K$4:$AJ$4,0)))))</f>
        <v>6875</v>
      </c>
      <c r="P53" s="263">
        <f>IF(ISNA(MATCH(P$2,Inputs!$K$4:$AJ$4,0)),NA(),IF(SUMPRODUCT((Inputs!$A$5:$A$110=$B53)*ISNUMBER(INDEX(Inputs!$K$5:$AJ$110,0,MATCH(P$2,Inputs!$K$4:$AJ$4,0))))+SUMPRODUCT((Inputs!$C$5:$C$110=$B53)*ISNUMBER(INDEX(Inputs!$K$5:$AJ$110,0,MATCH(P$2,Inputs!$K$4:$AJ$4,0))))+SUMPRODUCT((Inputs!$E$5:$E$110=$B53)*ISNUMBER(INDEX(Inputs!$K$5:$AJ$110,0,MATCH(P$2,Inputs!$K$4:$AJ$4,0))))=0,NA(),SUMPRODUCT((Inputs!$A$5:$A$110=$B53)*Inputs!$B$5:$B$110*(((Inputs!$G$5:$G$110="moeda")+(Inputs!$G$5:$G$110="acoes"))*Inputs!$B$1+((Inputs!$G$5:$G$110&lt;&gt;"moeda")*(Inputs!$G$5:$G$110&lt;&gt;"acoes")))*INDEX(Inputs!$K$5:$AJ$110,0,MATCH(P$2,Inputs!$K$4:$AJ$4,0)))+SUMPRODUCT((Inputs!$C$5:$C$110=$B53)*Inputs!$D$5:$D$110*(((Inputs!$G$5:$G$110="moeda")+(Inputs!$G$5:$G$110="acoes"))*Inputs!$B$1+((Inputs!$G$5:$G$110&lt;&gt;"moeda")*(Inputs!$G$5:$G$110&lt;&gt;"acoes")))*INDEX(Inputs!$K$5:$AJ$110,0,MATCH(P$2,Inputs!$K$4:$AJ$4,0)))+SUMPRODUCT((Inputs!$E$5:$E$110=$B53)*Inputs!$F$5:$F$110*(((Inputs!$G$5:$G$110="moeda")+(Inputs!$G$5:$G$110="acoes"))*Inputs!$B$1+((Inputs!$G$5:$G$110&lt;&gt;"moeda")*(Inputs!$G$5:$G$110&lt;&gt;"acoes")))*INDEX(Inputs!$K$5:$AJ$110,0,MATCH(P$2,Inputs!$K$4:$AJ$4,0)))))</f>
        <v>6717</v>
      </c>
      <c r="Q53" s="263">
        <f>IF(ISNA(MATCH(Q$2,Inputs!$K$4:$AJ$4,0)),NA(),IF(SUMPRODUCT((Inputs!$A$5:$A$110=$B53)*ISNUMBER(INDEX(Inputs!$K$5:$AJ$110,0,MATCH(Q$2,Inputs!$K$4:$AJ$4,0))))+SUMPRODUCT((Inputs!$C$5:$C$110=$B53)*ISNUMBER(INDEX(Inputs!$K$5:$AJ$110,0,MATCH(Q$2,Inputs!$K$4:$AJ$4,0))))+SUMPRODUCT((Inputs!$E$5:$E$110=$B53)*ISNUMBER(INDEX(Inputs!$K$5:$AJ$110,0,MATCH(Q$2,Inputs!$K$4:$AJ$4,0))))=0,NA(),SUMPRODUCT((Inputs!$A$5:$A$110=$B53)*Inputs!$B$5:$B$110*(((Inputs!$G$5:$G$110="moeda")+(Inputs!$G$5:$G$110="acoes"))*Inputs!$B$1+((Inputs!$G$5:$G$110&lt;&gt;"moeda")*(Inputs!$G$5:$G$110&lt;&gt;"acoes")))*INDEX(Inputs!$K$5:$AJ$110,0,MATCH(Q$2,Inputs!$K$4:$AJ$4,0)))+SUMPRODUCT((Inputs!$C$5:$C$110=$B53)*Inputs!$D$5:$D$110*(((Inputs!$G$5:$G$110="moeda")+(Inputs!$G$5:$G$110="acoes"))*Inputs!$B$1+((Inputs!$G$5:$G$110&lt;&gt;"moeda")*(Inputs!$G$5:$G$110&lt;&gt;"acoes")))*INDEX(Inputs!$K$5:$AJ$110,0,MATCH(Q$2,Inputs!$K$4:$AJ$4,0)))+SUMPRODUCT((Inputs!$E$5:$E$110=$B53)*Inputs!$F$5:$F$110*(((Inputs!$G$5:$G$110="moeda")+(Inputs!$G$5:$G$110="acoes"))*Inputs!$B$1+((Inputs!$G$5:$G$110&lt;&gt;"moeda")*(Inputs!$G$5:$G$110&lt;&gt;"acoes")))*INDEX(Inputs!$K$5:$AJ$110,0,MATCH(Q$2,Inputs!$K$4:$AJ$4,0)))))</f>
        <v>7613</v>
      </c>
      <c r="R53" s="264">
        <f>SUM(N53:Q53)</f>
        <v>27474</v>
      </c>
      <c r="S53" s="263">
        <f>IF(ISNA(MATCH(S$2,Inputs!$K$4:$AJ$4,0)),NA(),IF(SUMPRODUCT((Inputs!$A$5:$A$110=$B53)*ISNUMBER(INDEX(Inputs!$K$5:$AJ$110,0,MATCH(S$2,Inputs!$K$4:$AJ$4,0))))+SUMPRODUCT((Inputs!$C$5:$C$110=$B53)*ISNUMBER(INDEX(Inputs!$K$5:$AJ$110,0,MATCH(S$2,Inputs!$K$4:$AJ$4,0))))+SUMPRODUCT((Inputs!$E$5:$E$110=$B53)*ISNUMBER(INDEX(Inputs!$K$5:$AJ$110,0,MATCH(S$2,Inputs!$K$4:$AJ$4,0))))=0,NA(),SUMPRODUCT((Inputs!$A$5:$A$110=$B53)*Inputs!$B$5:$B$110*(((Inputs!$G$5:$G$110="moeda")+(Inputs!$G$5:$G$110="acoes"))*Inputs!$B$1+((Inputs!$G$5:$G$110&lt;&gt;"moeda")*(Inputs!$G$5:$G$110&lt;&gt;"acoes")))*INDEX(Inputs!$K$5:$AJ$110,0,MATCH(S$2,Inputs!$K$4:$AJ$4,0)))+SUMPRODUCT((Inputs!$C$5:$C$110=$B53)*Inputs!$D$5:$D$110*(((Inputs!$G$5:$G$110="moeda")+(Inputs!$G$5:$G$110="acoes"))*Inputs!$B$1+((Inputs!$G$5:$G$110&lt;&gt;"moeda")*(Inputs!$G$5:$G$110&lt;&gt;"acoes")))*INDEX(Inputs!$K$5:$AJ$110,0,MATCH(S$2,Inputs!$K$4:$AJ$4,0)))+SUMPRODUCT((Inputs!$E$5:$E$110=$B53)*Inputs!$F$5:$F$110*(((Inputs!$G$5:$G$110="moeda")+(Inputs!$G$5:$G$110="acoes"))*Inputs!$B$1+((Inputs!$G$5:$G$110&lt;&gt;"moeda")*(Inputs!$G$5:$G$110&lt;&gt;"acoes")))*INDEX(Inputs!$K$5:$AJ$110,0,MATCH(S$2,Inputs!$K$4:$AJ$4,0)))))</f>
        <v>6845</v>
      </c>
      <c r="T53" s="263">
        <f>IF(ISNA(MATCH(T$2,Inputs!$K$4:$AJ$4,0)),NA(),IF(SUMPRODUCT((Inputs!$A$5:$A$110=$B53)*ISNUMBER(INDEX(Inputs!$K$5:$AJ$110,0,MATCH(T$2,Inputs!$K$4:$AJ$4,0))))+SUMPRODUCT((Inputs!$C$5:$C$110=$B53)*ISNUMBER(INDEX(Inputs!$K$5:$AJ$110,0,MATCH(T$2,Inputs!$K$4:$AJ$4,0))))+SUMPRODUCT((Inputs!$E$5:$E$110=$B53)*ISNUMBER(INDEX(Inputs!$K$5:$AJ$110,0,MATCH(T$2,Inputs!$K$4:$AJ$4,0))))=0,NA(),SUMPRODUCT((Inputs!$A$5:$A$110=$B53)*Inputs!$B$5:$B$110*(((Inputs!$G$5:$G$110="moeda")+(Inputs!$G$5:$G$110="acoes"))*Inputs!$B$1+((Inputs!$G$5:$G$110&lt;&gt;"moeda")*(Inputs!$G$5:$G$110&lt;&gt;"acoes")))*INDEX(Inputs!$K$5:$AJ$110,0,MATCH(T$2,Inputs!$K$4:$AJ$4,0)))+SUMPRODUCT((Inputs!$C$5:$C$110=$B53)*Inputs!$D$5:$D$110*(((Inputs!$G$5:$G$110="moeda")+(Inputs!$G$5:$G$110="acoes"))*Inputs!$B$1+((Inputs!$G$5:$G$110&lt;&gt;"moeda")*(Inputs!$G$5:$G$110&lt;&gt;"acoes")))*INDEX(Inputs!$K$5:$AJ$110,0,MATCH(T$2,Inputs!$K$4:$AJ$4,0)))+SUMPRODUCT((Inputs!$E$5:$E$110=$B53)*Inputs!$F$5:$F$110*(((Inputs!$G$5:$G$110="moeda")+(Inputs!$G$5:$G$110="acoes"))*Inputs!$B$1+((Inputs!$G$5:$G$110&lt;&gt;"moeda")*(Inputs!$G$5:$G$110&lt;&gt;"acoes")))*INDEX(Inputs!$K$5:$AJ$110,0,MATCH(T$2,Inputs!$K$4:$AJ$4,0)))))</f>
        <v>7277</v>
      </c>
      <c r="U53" s="263">
        <f>IF(ISNA(MATCH(U$2,Inputs!$K$4:$AJ$4,0)),NA(),IF(SUMPRODUCT((Inputs!$A$5:$A$110=$B53)*ISNUMBER(INDEX(Inputs!$K$5:$AJ$110,0,MATCH(U$2,Inputs!$K$4:$AJ$4,0))))+SUMPRODUCT((Inputs!$C$5:$C$110=$B53)*ISNUMBER(INDEX(Inputs!$K$5:$AJ$110,0,MATCH(U$2,Inputs!$K$4:$AJ$4,0))))+SUMPRODUCT((Inputs!$E$5:$E$110=$B53)*ISNUMBER(INDEX(Inputs!$K$5:$AJ$110,0,MATCH(U$2,Inputs!$K$4:$AJ$4,0))))=0,NA(),SUMPRODUCT((Inputs!$A$5:$A$110=$B53)*Inputs!$B$5:$B$110*(((Inputs!$G$5:$G$110="moeda")+(Inputs!$G$5:$G$110="acoes"))*Inputs!$B$1+((Inputs!$G$5:$G$110&lt;&gt;"moeda")*(Inputs!$G$5:$G$110&lt;&gt;"acoes")))*INDEX(Inputs!$K$5:$AJ$110,0,MATCH(U$2,Inputs!$K$4:$AJ$4,0)))+SUMPRODUCT((Inputs!$C$5:$C$110=$B53)*Inputs!$D$5:$D$110*(((Inputs!$G$5:$G$110="moeda")+(Inputs!$G$5:$G$110="acoes"))*Inputs!$B$1+((Inputs!$G$5:$G$110&lt;&gt;"moeda")*(Inputs!$G$5:$G$110&lt;&gt;"acoes")))*INDEX(Inputs!$K$5:$AJ$110,0,MATCH(U$2,Inputs!$K$4:$AJ$4,0)))+SUMPRODUCT((Inputs!$E$5:$E$110=$B53)*Inputs!$F$5:$F$110*(((Inputs!$G$5:$G$110="moeda")+(Inputs!$G$5:$G$110="acoes"))*Inputs!$B$1+((Inputs!$G$5:$G$110&lt;&gt;"moeda")*(Inputs!$G$5:$G$110&lt;&gt;"acoes")))*INDEX(Inputs!$K$5:$AJ$110,0,MATCH(U$2,Inputs!$K$4:$AJ$4,0)))))</f>
        <v>6487</v>
      </c>
      <c r="V53" s="263">
        <f>IF(ISNA(MATCH(V$2,Inputs!$K$4:$AJ$4,0)),NA(),IF(SUMPRODUCT((Inputs!$A$5:$A$110=$B53)*ISNUMBER(INDEX(Inputs!$K$5:$AJ$110,0,MATCH(V$2,Inputs!$K$4:$AJ$4,0))))+SUMPRODUCT((Inputs!$C$5:$C$110=$B53)*ISNUMBER(INDEX(Inputs!$K$5:$AJ$110,0,MATCH(V$2,Inputs!$K$4:$AJ$4,0))))+SUMPRODUCT((Inputs!$E$5:$E$110=$B53)*ISNUMBER(INDEX(Inputs!$K$5:$AJ$110,0,MATCH(V$2,Inputs!$K$4:$AJ$4,0))))=0,NA(),SUMPRODUCT((Inputs!$A$5:$A$110=$B53)*Inputs!$B$5:$B$110*(((Inputs!$G$5:$G$110="moeda")+(Inputs!$G$5:$G$110="acoes"))*Inputs!$B$1+((Inputs!$G$5:$G$110&lt;&gt;"moeda")*(Inputs!$G$5:$G$110&lt;&gt;"acoes")))*INDEX(Inputs!$K$5:$AJ$110,0,MATCH(V$2,Inputs!$K$4:$AJ$4,0)))+SUMPRODUCT((Inputs!$C$5:$C$110=$B53)*Inputs!$D$5:$D$110*(((Inputs!$G$5:$G$110="moeda")+(Inputs!$G$5:$G$110="acoes"))*Inputs!$B$1+((Inputs!$G$5:$G$110&lt;&gt;"moeda")*(Inputs!$G$5:$G$110&lt;&gt;"acoes")))*INDEX(Inputs!$K$5:$AJ$110,0,MATCH(V$2,Inputs!$K$4:$AJ$4,0)))+SUMPRODUCT((Inputs!$E$5:$E$110=$B53)*Inputs!$F$5:$F$110*(((Inputs!$G$5:$G$110="moeda")+(Inputs!$G$5:$G$110="acoes"))*Inputs!$B$1+((Inputs!$G$5:$G$110&lt;&gt;"moeda")*(Inputs!$G$5:$G$110&lt;&gt;"acoes")))*INDEX(Inputs!$K$5:$AJ$110,0,MATCH(V$2,Inputs!$K$4:$AJ$4,0)))))</f>
        <v>8009</v>
      </c>
      <c r="W53" s="264">
        <f>SUM(S53:V53)</f>
        <v>28618</v>
      </c>
      <c r="X53" s="263">
        <f>IF(ISNA(MATCH(X$2,Inputs!$K$4:$AJ$4,0)),NA(),IF(SUMPRODUCT((Inputs!$A$5:$A$110=$B53)*ISNUMBER(INDEX(Inputs!$K$5:$AJ$110,0,MATCH(X$2,Inputs!$K$4:$AJ$4,0))))+SUMPRODUCT((Inputs!$C$5:$C$110=$B53)*ISNUMBER(INDEX(Inputs!$K$5:$AJ$110,0,MATCH(X$2,Inputs!$K$4:$AJ$4,0))))+SUMPRODUCT((Inputs!$E$5:$E$110=$B53)*ISNUMBER(INDEX(Inputs!$K$5:$AJ$110,0,MATCH(X$2,Inputs!$K$4:$AJ$4,0))))=0,NA(),SUMPRODUCT((Inputs!$A$5:$A$110=$B53)*Inputs!$B$5:$B$110*(((Inputs!$G$5:$G$110="moeda")+(Inputs!$G$5:$G$110="acoes"))*Inputs!$B$1+((Inputs!$G$5:$G$110&lt;&gt;"moeda")*(Inputs!$G$5:$G$110&lt;&gt;"acoes")))*INDEX(Inputs!$K$5:$AJ$110,0,MATCH(X$2,Inputs!$K$4:$AJ$4,0)))+SUMPRODUCT((Inputs!$C$5:$C$110=$B53)*Inputs!$D$5:$D$110*(((Inputs!$G$5:$G$110="moeda")+(Inputs!$G$5:$G$110="acoes"))*Inputs!$B$1+((Inputs!$G$5:$G$110&lt;&gt;"moeda")*(Inputs!$G$5:$G$110&lt;&gt;"acoes")))*INDEX(Inputs!$K$5:$AJ$110,0,MATCH(X$2,Inputs!$K$4:$AJ$4,0)))+SUMPRODUCT((Inputs!$E$5:$E$110=$B53)*Inputs!$F$5:$F$110*(((Inputs!$G$5:$G$110="moeda")+(Inputs!$G$5:$G$110="acoes"))*Inputs!$B$1+((Inputs!$G$5:$G$110&lt;&gt;"moeda")*(Inputs!$G$5:$G$110&lt;&gt;"acoes")))*INDEX(Inputs!$K$5:$AJ$110,0,MATCH(X$2,Inputs!$K$4:$AJ$4,0)))))</f>
        <v>7057</v>
      </c>
      <c r="Y53" s="263">
        <f>IF(ISNA(MATCH(Y$2,Inputs!$K$4:$AJ$4,0)),NA(),IF(SUMPRODUCT((Inputs!$A$5:$A$110=$B53)*ISNUMBER(INDEX(Inputs!$K$5:$AJ$110,0,MATCH(Y$2,Inputs!$K$4:$AJ$4,0))))+SUMPRODUCT((Inputs!$C$5:$C$110=$B53)*ISNUMBER(INDEX(Inputs!$K$5:$AJ$110,0,MATCH(Y$2,Inputs!$K$4:$AJ$4,0))))+SUMPRODUCT((Inputs!$E$5:$E$110=$B53)*ISNUMBER(INDEX(Inputs!$K$5:$AJ$110,0,MATCH(Y$2,Inputs!$K$4:$AJ$4,0))))=0,NA(),SUMPRODUCT((Inputs!$A$5:$A$110=$B53)*Inputs!$B$5:$B$110*(((Inputs!$G$5:$G$110="moeda")+(Inputs!$G$5:$G$110="acoes"))*Inputs!$B$1+((Inputs!$G$5:$G$110&lt;&gt;"moeda")*(Inputs!$G$5:$G$110&lt;&gt;"acoes")))*INDEX(Inputs!$K$5:$AJ$110,0,MATCH(Y$2,Inputs!$K$4:$AJ$4,0)))+SUMPRODUCT((Inputs!$C$5:$C$110=$B53)*Inputs!$D$5:$D$110*(((Inputs!$G$5:$G$110="moeda")+(Inputs!$G$5:$G$110="acoes"))*Inputs!$B$1+((Inputs!$G$5:$G$110&lt;&gt;"moeda")*(Inputs!$G$5:$G$110&lt;&gt;"acoes")))*INDEX(Inputs!$K$5:$AJ$110,0,MATCH(Y$2,Inputs!$K$4:$AJ$4,0)))+SUMPRODUCT((Inputs!$E$5:$E$110=$B53)*Inputs!$F$5:$F$110*(((Inputs!$G$5:$G$110="moeda")+(Inputs!$G$5:$G$110="acoes"))*Inputs!$B$1+((Inputs!$G$5:$G$110&lt;&gt;"moeda")*(Inputs!$G$5:$G$110&lt;&gt;"acoes")))*INDEX(Inputs!$K$5:$AJ$110,0,MATCH(Y$2,Inputs!$K$4:$AJ$4,0)))))</f>
        <v>7420</v>
      </c>
      <c r="Z53" s="263">
        <f>IF(ISNA(MATCH(Z$2,Inputs!$K$4:$AJ$4,0)),NA(),IF(SUMPRODUCT((Inputs!$A$5:$A$110=$B53)*ISNUMBER(INDEX(Inputs!$K$5:$AJ$110,0,MATCH(Z$2,Inputs!$K$4:$AJ$4,0))))+SUMPRODUCT((Inputs!$C$5:$C$110=$B53)*ISNUMBER(INDEX(Inputs!$K$5:$AJ$110,0,MATCH(Z$2,Inputs!$K$4:$AJ$4,0))))+SUMPRODUCT((Inputs!$E$5:$E$110=$B53)*ISNUMBER(INDEX(Inputs!$K$5:$AJ$110,0,MATCH(Z$2,Inputs!$K$4:$AJ$4,0))))=0,NA(),SUMPRODUCT((Inputs!$A$5:$A$110=$B53)*Inputs!$B$5:$B$110*(((Inputs!$G$5:$G$110="moeda")+(Inputs!$G$5:$G$110="acoes"))*Inputs!$B$1+((Inputs!$G$5:$G$110&lt;&gt;"moeda")*(Inputs!$G$5:$G$110&lt;&gt;"acoes")))*INDEX(Inputs!$K$5:$AJ$110,0,MATCH(Z$2,Inputs!$K$4:$AJ$4,0)))+SUMPRODUCT((Inputs!$C$5:$C$110=$B53)*Inputs!$D$5:$D$110*(((Inputs!$G$5:$G$110="moeda")+(Inputs!$G$5:$G$110="acoes"))*Inputs!$B$1+((Inputs!$G$5:$G$110&lt;&gt;"moeda")*(Inputs!$G$5:$G$110&lt;&gt;"acoes")))*INDEX(Inputs!$K$5:$AJ$110,0,MATCH(Z$2,Inputs!$K$4:$AJ$4,0)))+SUMPRODUCT((Inputs!$E$5:$E$110=$B53)*Inputs!$F$5:$F$110*(((Inputs!$G$5:$G$110="moeda")+(Inputs!$G$5:$G$110="acoes"))*Inputs!$B$1+((Inputs!$G$5:$G$110&lt;&gt;"moeda")*(Inputs!$G$5:$G$110&lt;&gt;"acoes")))*INDEX(Inputs!$K$5:$AJ$110,0,MATCH(Z$2,Inputs!$K$4:$AJ$4,0)))))</f>
        <v>7256</v>
      </c>
      <c r="AA53" s="263">
        <f>IF(ISNA(MATCH(AA$2,Inputs!$K$4:$AJ$4,0)),NA(),IF(SUMPRODUCT((Inputs!$A$5:$A$110=$B53)*ISNUMBER(INDEX(Inputs!$K$5:$AJ$110,0,MATCH(AA$2,Inputs!$K$4:$AJ$4,0))))+SUMPRODUCT((Inputs!$C$5:$C$110=$B53)*ISNUMBER(INDEX(Inputs!$K$5:$AJ$110,0,MATCH(AA$2,Inputs!$K$4:$AJ$4,0))))+SUMPRODUCT((Inputs!$E$5:$E$110=$B53)*ISNUMBER(INDEX(Inputs!$K$5:$AJ$110,0,MATCH(AA$2,Inputs!$K$4:$AJ$4,0))))=0,NA(),SUMPRODUCT((Inputs!$A$5:$A$110=$B53)*Inputs!$B$5:$B$110*(((Inputs!$G$5:$G$110="moeda")+(Inputs!$G$5:$G$110="acoes"))*Inputs!$B$1+((Inputs!$G$5:$G$110&lt;&gt;"moeda")*(Inputs!$G$5:$G$110&lt;&gt;"acoes")))*INDEX(Inputs!$K$5:$AJ$110,0,MATCH(AA$2,Inputs!$K$4:$AJ$4,0)))+SUMPRODUCT((Inputs!$C$5:$C$110=$B53)*Inputs!$D$5:$D$110*(((Inputs!$G$5:$G$110="moeda")+(Inputs!$G$5:$G$110="acoes"))*Inputs!$B$1+((Inputs!$G$5:$G$110&lt;&gt;"moeda")*(Inputs!$G$5:$G$110&lt;&gt;"acoes")))*INDEX(Inputs!$K$5:$AJ$110,0,MATCH(AA$2,Inputs!$K$4:$AJ$4,0)))+SUMPRODUCT((Inputs!$E$5:$E$110=$B53)*Inputs!$F$5:$F$110*(((Inputs!$G$5:$G$110="moeda")+(Inputs!$G$5:$G$110="acoes"))*Inputs!$B$1+((Inputs!$G$5:$G$110&lt;&gt;"moeda")*(Inputs!$G$5:$G$110&lt;&gt;"acoes")))*INDEX(Inputs!$K$5:$AJ$110,0,MATCH(AA$2,Inputs!$K$4:$AJ$4,0)))))</f>
        <v>8524</v>
      </c>
      <c r="AB53" s="264">
        <f>SUM(X53:AA53)</f>
        <v>30257</v>
      </c>
      <c r="AC53" s="263">
        <f>IF(ISNA(MATCH(AC$2,Inputs!$K$4:$AJ$4,0)),NA(),IF(SUMPRODUCT((Inputs!$A$5:$A$110=$B53)*ISNUMBER(INDEX(Inputs!$K$5:$AJ$110,0,MATCH(AC$2,Inputs!$K$4:$AJ$4,0))))+SUMPRODUCT((Inputs!$C$5:$C$110=$B53)*ISNUMBER(INDEX(Inputs!$K$5:$AJ$110,0,MATCH(AC$2,Inputs!$K$4:$AJ$4,0))))+SUMPRODUCT((Inputs!$E$5:$E$110=$B53)*ISNUMBER(INDEX(Inputs!$K$5:$AJ$110,0,MATCH(AC$2,Inputs!$K$4:$AJ$4,0))))=0,NA(),SUMPRODUCT((Inputs!$A$5:$A$110=$B53)*Inputs!$B$5:$B$110*(((Inputs!$G$5:$G$110="moeda")+(Inputs!$G$5:$G$110="acoes"))*Inputs!$B$1+((Inputs!$G$5:$G$110&lt;&gt;"moeda")*(Inputs!$G$5:$G$110&lt;&gt;"acoes")))*INDEX(Inputs!$K$5:$AJ$110,0,MATCH(AC$2,Inputs!$K$4:$AJ$4,0)))+SUMPRODUCT((Inputs!$C$5:$C$110=$B53)*Inputs!$D$5:$D$110*(((Inputs!$G$5:$G$110="moeda")+(Inputs!$G$5:$G$110="acoes"))*Inputs!$B$1+((Inputs!$G$5:$G$110&lt;&gt;"moeda")*(Inputs!$G$5:$G$110&lt;&gt;"acoes")))*INDEX(Inputs!$K$5:$AJ$110,0,MATCH(AC$2,Inputs!$K$4:$AJ$4,0)))+SUMPRODUCT((Inputs!$E$5:$E$110=$B53)*Inputs!$F$5:$F$110*(((Inputs!$G$5:$G$110="moeda")+(Inputs!$G$5:$G$110="acoes"))*Inputs!$B$1+((Inputs!$G$5:$G$110&lt;&gt;"moeda")*(Inputs!$G$5:$G$110&lt;&gt;"acoes")))*INDEX(Inputs!$K$5:$AJ$110,0,MATCH(AC$2,Inputs!$K$4:$AJ$4,0)))))</f>
        <v>6953</v>
      </c>
      <c r="AD53" s="263">
        <f>IF(ISNA(MATCH(AD$2,Inputs!$K$4:$AJ$4,0)),NA(),IF(SUMPRODUCT((Inputs!$A$5:$A$110=$B53)*ISNUMBER(INDEX(Inputs!$K$5:$AJ$110,0,MATCH(AD$2,Inputs!$K$4:$AJ$4,0))))+SUMPRODUCT((Inputs!$C$5:$C$110=$B53)*ISNUMBER(INDEX(Inputs!$K$5:$AJ$110,0,MATCH(AD$2,Inputs!$K$4:$AJ$4,0))))+SUMPRODUCT((Inputs!$E$5:$E$110=$B53)*ISNUMBER(INDEX(Inputs!$K$5:$AJ$110,0,MATCH(AD$2,Inputs!$K$4:$AJ$4,0))))=0,NA(),SUMPRODUCT((Inputs!$A$5:$A$110=$B53)*Inputs!$B$5:$B$110*(((Inputs!$G$5:$G$110="moeda")+(Inputs!$G$5:$G$110="acoes"))*Inputs!$B$1+((Inputs!$G$5:$G$110&lt;&gt;"moeda")*(Inputs!$G$5:$G$110&lt;&gt;"acoes")))*INDEX(Inputs!$K$5:$AJ$110,0,MATCH(AD$2,Inputs!$K$4:$AJ$4,0)))+SUMPRODUCT((Inputs!$C$5:$C$110=$B53)*Inputs!$D$5:$D$110*(((Inputs!$G$5:$G$110="moeda")+(Inputs!$G$5:$G$110="acoes"))*Inputs!$B$1+((Inputs!$G$5:$G$110&lt;&gt;"moeda")*(Inputs!$G$5:$G$110&lt;&gt;"acoes")))*INDEX(Inputs!$K$5:$AJ$110,0,MATCH(AD$2,Inputs!$K$4:$AJ$4,0)))+SUMPRODUCT((Inputs!$E$5:$E$110=$B53)*Inputs!$F$5:$F$110*(((Inputs!$G$5:$G$110="moeda")+(Inputs!$G$5:$G$110="acoes"))*Inputs!$B$1+((Inputs!$G$5:$G$110&lt;&gt;"moeda")*(Inputs!$G$5:$G$110&lt;&gt;"acoes")))*INDEX(Inputs!$K$5:$AJ$110,0,MATCH(AD$2,Inputs!$K$4:$AJ$4,0)))))</f>
        <v>8112</v>
      </c>
      <c r="AE53" s="263" t="e">
        <f>IF(ISNA(MATCH(AE$2,Inputs!$K$4:$AJ$4,0)),NA(),IF(SUMPRODUCT((Inputs!$A$5:$A$110=$B53)*ISNUMBER(INDEX(Inputs!$K$5:$AJ$110,0,MATCH(AE$2,Inputs!$K$4:$AJ$4,0))))+SUMPRODUCT((Inputs!$C$5:$C$110=$B53)*ISNUMBER(INDEX(Inputs!$K$5:$AJ$110,0,MATCH(AE$2,Inputs!$K$4:$AJ$4,0))))+SUMPRODUCT((Inputs!$E$5:$E$110=$B53)*ISNUMBER(INDEX(Inputs!$K$5:$AJ$110,0,MATCH(AE$2,Inputs!$K$4:$AJ$4,0))))=0,NA(),SUMPRODUCT((Inputs!$A$5:$A$110=$B53)*Inputs!$B$5:$B$110*(((Inputs!$G$5:$G$110="moeda")+(Inputs!$G$5:$G$110="acoes"))*Inputs!$B$1+((Inputs!$G$5:$G$110&lt;&gt;"moeda")*(Inputs!$G$5:$G$110&lt;&gt;"acoes")))*INDEX(Inputs!$K$5:$AJ$110,0,MATCH(AE$2,Inputs!$K$4:$AJ$4,0)))+SUMPRODUCT((Inputs!$C$5:$C$110=$B53)*Inputs!$D$5:$D$110*(((Inputs!$G$5:$G$110="moeda")+(Inputs!$G$5:$G$110="acoes"))*Inputs!$B$1+((Inputs!$G$5:$G$110&lt;&gt;"moeda")*(Inputs!$G$5:$G$110&lt;&gt;"acoes")))*INDEX(Inputs!$K$5:$AJ$110,0,MATCH(AE$2,Inputs!$K$4:$AJ$4,0)))+SUMPRODUCT((Inputs!$E$5:$E$110=$B53)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3" s="263" t="e">
        <f>IF(ISNA(MATCH(AF$2,Inputs!$K$4:$AJ$4,0)),NA(),IF(SUMPRODUCT((Inputs!$A$5:$A$110=$B53)*ISNUMBER(INDEX(Inputs!$K$5:$AJ$110,0,MATCH(AF$2,Inputs!$K$4:$AJ$4,0))))+SUMPRODUCT((Inputs!$C$5:$C$110=$B53)*ISNUMBER(INDEX(Inputs!$K$5:$AJ$110,0,MATCH(AF$2,Inputs!$K$4:$AJ$4,0))))+SUMPRODUCT((Inputs!$E$5:$E$110=$B53)*ISNUMBER(INDEX(Inputs!$K$5:$AJ$110,0,MATCH(AF$2,Inputs!$K$4:$AJ$4,0))))=0,NA(),SUMPRODUCT((Inputs!$A$5:$A$110=$B53)*Inputs!$B$5:$B$110*(((Inputs!$G$5:$G$110="moeda")+(Inputs!$G$5:$G$110="acoes"))*Inputs!$B$1+((Inputs!$G$5:$G$110&lt;&gt;"moeda")*(Inputs!$G$5:$G$110&lt;&gt;"acoes")))*INDEX(Inputs!$K$5:$AJ$110,0,MATCH(AF$2,Inputs!$K$4:$AJ$4,0)))+SUMPRODUCT((Inputs!$C$5:$C$110=$B53)*Inputs!$D$5:$D$110*(((Inputs!$G$5:$G$110="moeda")+(Inputs!$G$5:$G$110="acoes"))*Inputs!$B$1+((Inputs!$G$5:$G$110&lt;&gt;"moeda")*(Inputs!$G$5:$G$110&lt;&gt;"acoes")))*INDEX(Inputs!$K$5:$AJ$110,0,MATCH(AF$2,Inputs!$K$4:$AJ$4,0)))+SUMPRODUCT((Inputs!$E$5:$E$110=$B53)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$110=$B53)*ISNUMBER(INDEX(Inputs!$K$5:$AJ$110,0,MATCH(AH$2,Inputs!$K$4:$AJ$4,0))))+SUMPRODUCT((Inputs!$C$5:$C$110=$B53)*ISNUMBER(INDEX(Inputs!$K$5:$AJ$110,0,MATCH(AH$2,Inputs!$K$4:$AJ$4,0))))+SUMPRODUCT((Inputs!$E$5:$E$110=$B53)*ISNUMBER(INDEX(Inputs!$K$5:$AJ$110,0,MATCH(AH$2,Inputs!$K$4:$AJ$4,0))))=0,NA(),SUMPRODUCT((Inputs!$A$5:$A$110=$B53)*Inputs!$B$5:$B$110*(((Inputs!$G$5:$G$110="moeda")+(Inputs!$G$5:$G$110="acoes"))*Inputs!$B$1+((Inputs!$G$5:$G$110&lt;&gt;"moeda")*(Inputs!$G$5:$G$110&lt;&gt;"acoes")))*INDEX(Inputs!$K$5:$AJ$110,0,MATCH(AH$2,Inputs!$K$4:$AJ$4,0)))+SUMPRODUCT((Inputs!$C$5:$C$110=$B53)*Inputs!$D$5:$D$110*(((Inputs!$G$5:$G$110="moeda")+(Inputs!$G$5:$G$110="acoes"))*Inputs!$B$1+((Inputs!$G$5:$G$110&lt;&gt;"moeda")*(Inputs!$G$5:$G$110&lt;&gt;"acoes")))*INDEX(Inputs!$K$5:$AJ$110,0,MATCH(AH$2,Inputs!$K$4:$AJ$4,0)))+SUMPRODUCT((Inputs!$E$5:$E$110=$B53)*Inputs!$F$5:$F$110*(((Inputs!$G$5:$G$110="moeda")+(Inputs!$G$5:$G$110="acoes"))*Inputs!$B$1+((Inputs!$G$5:$G$110&lt;&gt;"moeda")*(Inputs!$G$5:$G$110&lt;&gt;"acoes")))*INDEX(Inputs!$K$5:$AJ$110,0,MATCH(AH$2,Inputs!$K$4:$AJ$4,0)))))</f>
        <v>6369</v>
      </c>
      <c r="AI53" s="263">
        <f>IF(ISNA(MATCH(AI$2,Inputs!$K$4:$AJ$4,0)),NA(),IF(SUMPRODUCT((Inputs!$A$5:$A$110=$B53)*ISNUMBER(INDEX(Inputs!$K$5:$AJ$110,0,MATCH(AI$2,Inputs!$K$4:$AJ$4,0))))+SUMPRODUCT((Inputs!$C$5:$C$110=$B53)*ISNUMBER(INDEX(Inputs!$K$5:$AJ$110,0,MATCH(AI$2,Inputs!$K$4:$AJ$4,0))))+SUMPRODUCT((Inputs!$E$5:$E$110=$B53)*ISNUMBER(INDEX(Inputs!$K$5:$AJ$110,0,MATCH(AI$2,Inputs!$K$4:$AJ$4,0))))=0,NA(),SUMPRODUCT((Inputs!$A$5:$A$110=$B53)*Inputs!$B$5:$B$110*(((Inputs!$G$5:$G$110="moeda")+(Inputs!$G$5:$G$110="acoes"))*Inputs!$B$1+((Inputs!$G$5:$G$110&lt;&gt;"moeda")*(Inputs!$G$5:$G$110&lt;&gt;"acoes")))*INDEX(Inputs!$K$5:$AJ$110,0,MATCH(AI$2,Inputs!$K$4:$AJ$4,0)))+SUMPRODUCT((Inputs!$C$5:$C$110=$B53)*Inputs!$D$5:$D$110*(((Inputs!$G$5:$G$110="moeda")+(Inputs!$G$5:$G$110="acoes"))*Inputs!$B$1+((Inputs!$G$5:$G$110&lt;&gt;"moeda")*(Inputs!$G$5:$G$110&lt;&gt;"acoes")))*INDEX(Inputs!$K$5:$AJ$110,0,MATCH(AI$2,Inputs!$K$4:$AJ$4,0)))+SUMPRODUCT((Inputs!$E$5:$E$110=$B53)*Inputs!$F$5:$F$110*(((Inputs!$G$5:$G$110="moeda")+(Inputs!$G$5:$G$110="acoes"))*Inputs!$B$1+((Inputs!$G$5:$G$110&lt;&gt;"moeda")*(Inputs!$G$5:$G$110&lt;&gt;"acoes")))*INDEX(Inputs!$K$5:$AJ$110,0,MATCH(AI$2,Inputs!$K$4:$AJ$4,0)))))</f>
        <v>6503</v>
      </c>
      <c r="AJ53" s="263">
        <f>IF(ISNA(MATCH(AJ$2,Inputs!$K$4:$AJ$4,0)),NA(),IF(SUMPRODUCT((Inputs!$A$5:$A$110=$B53)*ISNUMBER(INDEX(Inputs!$K$5:$AJ$110,0,MATCH(AJ$2,Inputs!$K$4:$AJ$4,0))))+SUMPRODUCT((Inputs!$C$5:$C$110=$B53)*ISNUMBER(INDEX(Inputs!$K$5:$AJ$110,0,MATCH(AJ$2,Inputs!$K$4:$AJ$4,0))))+SUMPRODUCT((Inputs!$E$5:$E$110=$B53)*ISNUMBER(INDEX(Inputs!$K$5:$AJ$110,0,MATCH(AJ$2,Inputs!$K$4:$AJ$4,0))))=0,NA(),SUMPRODUCT((Inputs!$A$5:$A$110=$B53)*Inputs!$B$5:$B$110*(((Inputs!$G$5:$G$110="moeda")+(Inputs!$G$5:$G$110="acoes"))*Inputs!$B$1+((Inputs!$G$5:$G$110&lt;&gt;"moeda")*(Inputs!$G$5:$G$110&lt;&gt;"acoes")))*INDEX(Inputs!$K$5:$AJ$110,0,MATCH(AJ$2,Inputs!$K$4:$AJ$4,0)))+SUMPRODUCT((Inputs!$C$5:$C$110=$B53)*Inputs!$D$5:$D$110*(((Inputs!$G$5:$G$110="moeda")+(Inputs!$G$5:$G$110="acoes"))*Inputs!$B$1+((Inputs!$G$5:$G$110&lt;&gt;"moeda")*(Inputs!$G$5:$G$110&lt;&gt;"acoes")))*INDEX(Inputs!$K$5:$AJ$110,0,MATCH(AJ$2,Inputs!$K$4:$AJ$4,0)))+SUMPRODUCT((Inputs!$E$5:$E$110=$B53)*Inputs!$F$5:$F$110*(((Inputs!$G$5:$G$110="moeda")+(Inputs!$G$5:$G$110="acoes"))*Inputs!$B$1+((Inputs!$G$5:$G$110&lt;&gt;"moeda")*(Inputs!$G$5:$G$110&lt;&gt;"acoes")))*INDEX(Inputs!$K$5:$AJ$110,0,MATCH(AJ$2,Inputs!$K$4:$AJ$4,0)))))</f>
        <v>6680</v>
      </c>
      <c r="AK53" s="263">
        <f>IF(ISNA(MATCH(AK$2,Inputs!$K$4:$AJ$4,0)),NA(),IF(SUMPRODUCT((Inputs!$A$5:$A$110=$B53)*ISNUMBER(INDEX(Inputs!$K$5:$AJ$110,0,MATCH(AK$2,Inputs!$K$4:$AJ$4,0))))+SUMPRODUCT((Inputs!$C$5:$C$110=$B53)*ISNUMBER(INDEX(Inputs!$K$5:$AJ$110,0,MATCH(AK$2,Inputs!$K$4:$AJ$4,0))))+SUMPRODUCT((Inputs!$E$5:$E$110=$B53)*ISNUMBER(INDEX(Inputs!$K$5:$AJ$110,0,MATCH(AK$2,Inputs!$K$4:$AJ$4,0))))=0,NA(),SUMPRODUCT((Inputs!$A$5:$A$110=$B53)*Inputs!$B$5:$B$110*(((Inputs!$G$5:$G$110="moeda")+(Inputs!$G$5:$G$110="acoes"))*Inputs!$B$1+((Inputs!$G$5:$G$110&lt;&gt;"moeda")*(Inputs!$G$5:$G$110&lt;&gt;"acoes")))*INDEX(Inputs!$K$5:$AJ$110,0,MATCH(AK$2,Inputs!$K$4:$AJ$4,0)))+SUMPRODUCT((Inputs!$C$5:$C$110=$B53)*Inputs!$D$5:$D$110*(((Inputs!$G$5:$G$110="moeda")+(Inputs!$G$5:$G$110="acoes"))*Inputs!$B$1+((Inputs!$G$5:$G$110&lt;&gt;"moeda")*(Inputs!$G$5:$G$110&lt;&gt;"acoes")))*INDEX(Inputs!$K$5:$AJ$110,0,MATCH(AK$2,Inputs!$K$4:$AJ$4,0)))+SUMPRODUCT((Inputs!$E$5:$E$110=$B53)*Inputs!$F$5:$F$110*(((Inputs!$G$5:$G$110="moeda")+(Inputs!$G$5:$G$110="acoes"))*Inputs!$B$1+((Inputs!$G$5:$G$110&lt;&gt;"moeda")*(Inputs!$G$5:$G$110&lt;&gt;"acoes")))*INDEX(Inputs!$K$5:$AJ$110,0,MATCH(AK$2,Inputs!$K$4:$AJ$4,0)))))</f>
        <v>6714</v>
      </c>
      <c r="AL53" s="264">
        <f>SUM(AH53:AK53)</f>
        <v>26266</v>
      </c>
    </row>
    <row r="54">
      <c r="B54" s="46" t="n">
        <v>46</v>
      </c>
      <c r="C54" s="29" t="inlineStr">
        <is>
          <t>Aeronautics - lucro do segmento (USD)</t>
        </is>
      </c>
      <c r="D54" s="263">
        <f>IF(ISNA(MATCH(D$2,Inputs!$K$4:$AJ$4,0)),NA(),IF(SUMPRODUCT((Inputs!$A$5:$A$110=$B54)*ISNUMBER(INDEX(Inputs!$K$5:$AJ$110,0,MATCH(D$2,Inputs!$K$4:$AJ$4,0))))+SUMPRODUCT((Inputs!$C$5:$C$110=$B54)*ISNUMBER(INDEX(Inputs!$K$5:$AJ$110,0,MATCH(D$2,Inputs!$K$4:$AJ$4,0))))+SUMPRODUCT((Inputs!$E$5:$E$110=$B54)*ISNUMBER(INDEX(Inputs!$K$5:$AJ$110,0,MATCH(D$2,Inputs!$K$4:$AJ$4,0))))=0,NA(),SUMPRODUCT((Inputs!$A$5:$A$110=$B54)*Inputs!$B$5:$B$110*(((Inputs!$G$5:$G$110="moeda")+(Inputs!$G$5:$G$110="acoes"))*Inputs!$B$1+((Inputs!$G$5:$G$110&lt;&gt;"moeda")*(Inputs!$G$5:$G$110&lt;&gt;"acoes")))*INDEX(Inputs!$K$5:$AJ$110,0,MATCH(D$2,Inputs!$K$4:$AJ$4,0)))+SUMPRODUCT((Inputs!$C$5:$C$110=$B54)*Inputs!$D$5:$D$110*(((Inputs!$G$5:$G$110="moeda")+(Inputs!$G$5:$G$110="acoes"))*Inputs!$B$1+((Inputs!$G$5:$G$110&lt;&gt;"moeda")*(Inputs!$G$5:$G$110&lt;&gt;"acoes")))*INDEX(Inputs!$K$5:$AJ$110,0,MATCH(D$2,Inputs!$K$4:$AJ$4,0)))+SUMPRODUCT((Inputs!$E$5:$E$110=$B54)*Inputs!$F$5:$F$110*(((Inputs!$G$5:$G$110="moeda")+(Inputs!$G$5:$G$110="acoes"))*Inputs!$B$1+((Inputs!$G$5:$G$110&lt;&gt;"moeda")*(Inputs!$G$5:$G$110&lt;&gt;"acoes")))*INDEX(Inputs!$K$5:$AJ$110,0,MATCH(D$2,Inputs!$K$4:$AJ$4,0)))))</f>
        <v>693</v>
      </c>
      <c r="E54" s="263">
        <f>IF(ISNA(MATCH(E$2,Inputs!$K$4:$AJ$4,0)),NA(),IF(SUMPRODUCT((Inputs!$A$5:$A$110=$B54)*ISNUMBER(INDEX(Inputs!$K$5:$AJ$110,0,MATCH(E$2,Inputs!$K$4:$AJ$4,0))))+SUMPRODUCT((Inputs!$C$5:$C$110=$B54)*ISNUMBER(INDEX(Inputs!$K$5:$AJ$110,0,MATCH(E$2,Inputs!$K$4:$AJ$4,0))))+SUMPRODUCT((Inputs!$E$5:$E$110=$B54)*ISNUMBER(INDEX(Inputs!$K$5:$AJ$110,0,MATCH(E$2,Inputs!$K$4:$AJ$4,0))))=0,NA(),SUMPRODUCT((Inputs!$A$5:$A$110=$B54)*Inputs!$B$5:$B$110*(((Inputs!$G$5:$G$110="moeda")+(Inputs!$G$5:$G$110="acoes"))*Inputs!$B$1+((Inputs!$G$5:$G$110&lt;&gt;"moeda")*(Inputs!$G$5:$G$110&lt;&gt;"acoes")))*INDEX(Inputs!$K$5:$AJ$110,0,MATCH(E$2,Inputs!$K$4:$AJ$4,0)))+SUMPRODUCT((Inputs!$C$5:$C$110=$B54)*Inputs!$D$5:$D$110*(((Inputs!$G$5:$G$110="moeda")+(Inputs!$G$5:$G$110="acoes"))*Inputs!$B$1+((Inputs!$G$5:$G$110&lt;&gt;"moeda")*(Inputs!$G$5:$G$110&lt;&gt;"acoes")))*INDEX(Inputs!$K$5:$AJ$110,0,MATCH(E$2,Inputs!$K$4:$AJ$4,0)))+SUMPRODUCT((Inputs!$E$5:$E$110=$B54)*Inputs!$F$5:$F$110*(((Inputs!$G$5:$G$110="moeda")+(Inputs!$G$5:$G$110="acoes"))*Inputs!$B$1+((Inputs!$G$5:$G$110&lt;&gt;"moeda")*(Inputs!$G$5:$G$110&lt;&gt;"acoes")))*INDEX(Inputs!$K$5:$AJ$110,0,MATCH(E$2,Inputs!$K$4:$AJ$4,0)))))</f>
        <v>572</v>
      </c>
      <c r="F54" s="263">
        <f>IF(ISNA(MATCH(F$2,Inputs!$K$4:$AJ$4,0)),NA(),IF(SUMPRODUCT((Inputs!$A$5:$A$110=$B54)*ISNUMBER(INDEX(Inputs!$K$5:$AJ$110,0,MATCH(F$2,Inputs!$K$4:$AJ$4,0))))+SUMPRODUCT((Inputs!$C$5:$C$110=$B54)*ISNUMBER(INDEX(Inputs!$K$5:$AJ$110,0,MATCH(F$2,Inputs!$K$4:$AJ$4,0))))+SUMPRODUCT((Inputs!$E$5:$E$110=$B54)*ISNUMBER(INDEX(Inputs!$K$5:$AJ$110,0,MATCH(F$2,Inputs!$K$4:$AJ$4,0))))=0,NA(),SUMPRODUCT((Inputs!$A$5:$A$110=$B54)*Inputs!$B$5:$B$110*(((Inputs!$G$5:$G$110="moeda")+(Inputs!$G$5:$G$110="acoes"))*Inputs!$B$1+((Inputs!$G$5:$G$110&lt;&gt;"moeda")*(Inputs!$G$5:$G$110&lt;&gt;"acoes")))*INDEX(Inputs!$K$5:$AJ$110,0,MATCH(F$2,Inputs!$K$4:$AJ$4,0)))+SUMPRODUCT((Inputs!$C$5:$C$110=$B54)*Inputs!$D$5:$D$110*(((Inputs!$G$5:$G$110="moeda")+(Inputs!$G$5:$G$110="acoes"))*Inputs!$B$1+((Inputs!$G$5:$G$110&lt;&gt;"moeda")*(Inputs!$G$5:$G$110&lt;&gt;"acoes")))*INDEX(Inputs!$K$5:$AJ$110,0,MATCH(F$2,Inputs!$K$4:$AJ$4,0)))+SUMPRODUCT((Inputs!$E$5:$E$110=$B54)*Inputs!$F$5:$F$110*(((Inputs!$G$5:$G$110="moeda")+(Inputs!$G$5:$G$110="acoes"))*Inputs!$B$1+((Inputs!$G$5:$G$110&lt;&gt;"moeda")*(Inputs!$G$5:$G$110&lt;&gt;"acoes")))*INDEX(Inputs!$K$5:$AJ$110,0,MATCH(F$2,Inputs!$K$4:$AJ$4,0)))))</f>
        <v>714</v>
      </c>
      <c r="G54" s="263">
        <f>IF(ISNA(MATCH(G$2,Inputs!$K$4:$AJ$4,0)),NA(),IF(SUMPRODUCT((Inputs!$A$5:$A$110=$B54)*ISNUMBER(INDEX(Inputs!$K$5:$AJ$110,0,MATCH(G$2,Inputs!$K$4:$AJ$4,0))))+SUMPRODUCT((Inputs!$C$5:$C$110=$B54)*ISNUMBER(INDEX(Inputs!$K$5:$AJ$110,0,MATCH(G$2,Inputs!$K$4:$AJ$4,0))))+SUMPRODUCT((Inputs!$E$5:$E$110=$B54)*ISNUMBER(INDEX(Inputs!$K$5:$AJ$110,0,MATCH(G$2,Inputs!$K$4:$AJ$4,0))))=0,NA(),SUMPRODUCT((Inputs!$A$5:$A$110=$B54)*Inputs!$B$5:$B$110*(((Inputs!$G$5:$G$110="moeda")+(Inputs!$G$5:$G$110="acoes"))*Inputs!$B$1+((Inputs!$G$5:$G$110&lt;&gt;"moeda")*(Inputs!$G$5:$G$110&lt;&gt;"acoes")))*INDEX(Inputs!$K$5:$AJ$110,0,MATCH(G$2,Inputs!$K$4:$AJ$4,0)))+SUMPRODUCT((Inputs!$C$5:$C$110=$B54)*Inputs!$D$5:$D$110*(((Inputs!$G$5:$G$110="moeda")+(Inputs!$G$5:$G$110="acoes"))*Inputs!$B$1+((Inputs!$G$5:$G$110&lt;&gt;"moeda")*(Inputs!$G$5:$G$110&lt;&gt;"acoes")))*INDEX(Inputs!$K$5:$AJ$110,0,MATCH(G$2,Inputs!$K$4:$AJ$4,0)))+SUMPRODUCT((Inputs!$E$5:$E$110=$B54)*Inputs!$F$5:$F$110*(((Inputs!$G$5:$G$110="moeda")+(Inputs!$G$5:$G$110="acoes"))*Inputs!$B$1+((Inputs!$G$5:$G$110&lt;&gt;"moeda")*(Inputs!$G$5:$G$110&lt;&gt;"acoes")))*INDEX(Inputs!$K$5:$AJ$110,0,MATCH(G$2,Inputs!$K$4:$AJ$4,0)))))</f>
        <v>820</v>
      </c>
      <c r="H54" s="264">
        <f>SUM(D54:G54)</f>
        <v>2799</v>
      </c>
      <c r="I54" s="263">
        <f>IF(ISNA(MATCH(I$2,Inputs!$K$4:$AJ$4,0)),NA(),IF(SUMPRODUCT((Inputs!$A$5:$A$110=$B54)*ISNUMBER(INDEX(Inputs!$K$5:$AJ$110,0,MATCH(I$2,Inputs!$K$4:$AJ$4,0))))+SUMPRODUCT((Inputs!$C$5:$C$110=$B54)*ISNUMBER(INDEX(Inputs!$K$5:$AJ$110,0,MATCH(I$2,Inputs!$K$4:$AJ$4,0))))+SUMPRODUCT((Inputs!$E$5:$E$110=$B54)*ISNUMBER(INDEX(Inputs!$K$5:$AJ$110,0,MATCH(I$2,Inputs!$K$4:$AJ$4,0))))=0,NA(),SUMPRODUCT((Inputs!$A$5:$A$110=$B54)*Inputs!$B$5:$B$110*(((Inputs!$G$5:$G$110="moeda")+(Inputs!$G$5:$G$110="acoes"))*Inputs!$B$1+((Inputs!$G$5:$G$110&lt;&gt;"moeda")*(Inputs!$G$5:$G$110&lt;&gt;"acoes")))*INDEX(Inputs!$K$5:$AJ$110,0,MATCH(I$2,Inputs!$K$4:$AJ$4,0)))+SUMPRODUCT((Inputs!$C$5:$C$110=$B54)*Inputs!$D$5:$D$110*(((Inputs!$G$5:$G$110="moeda")+(Inputs!$G$5:$G$110="acoes"))*Inputs!$B$1+((Inputs!$G$5:$G$110&lt;&gt;"moeda")*(Inputs!$G$5:$G$110&lt;&gt;"acoes")))*INDEX(Inputs!$K$5:$AJ$110,0,MATCH(I$2,Inputs!$K$4:$AJ$4,0)))+SUMPRODUCT((Inputs!$E$5:$E$110=$B54)*Inputs!$F$5:$F$110*(((Inputs!$G$5:$G$110="moeda")+(Inputs!$G$5:$G$110="acoes"))*Inputs!$B$1+((Inputs!$G$5:$G$110&lt;&gt;"moeda")*(Inputs!$G$5:$G$110&lt;&gt;"acoes")))*INDEX(Inputs!$K$5:$AJ$110,0,MATCH(I$2,Inputs!$K$4:$AJ$4,0)))))</f>
        <v>679</v>
      </c>
      <c r="J54" s="263">
        <f>IF(ISNA(MATCH(J$2,Inputs!$K$4:$AJ$4,0)),NA(),IF(SUMPRODUCT((Inputs!$A$5:$A$110=$B54)*ISNUMBER(INDEX(Inputs!$K$5:$AJ$110,0,MATCH(J$2,Inputs!$K$4:$AJ$4,0))))+SUMPRODUCT((Inputs!$C$5:$C$110=$B54)*ISNUMBER(INDEX(Inputs!$K$5:$AJ$110,0,MATCH(J$2,Inputs!$K$4:$AJ$4,0))))+SUMPRODUCT((Inputs!$E$5:$E$110=$B54)*ISNUMBER(INDEX(Inputs!$K$5:$AJ$110,0,MATCH(J$2,Inputs!$K$4:$AJ$4,0))))=0,NA(),SUMPRODUCT((Inputs!$A$5:$A$110=$B54)*Inputs!$B$5:$B$110*(((Inputs!$G$5:$G$110="moeda")+(Inputs!$G$5:$G$110="acoes"))*Inputs!$B$1+((Inputs!$G$5:$G$110&lt;&gt;"moeda")*(Inputs!$G$5:$G$110&lt;&gt;"acoes")))*INDEX(Inputs!$K$5:$AJ$110,0,MATCH(J$2,Inputs!$K$4:$AJ$4,0)))+SUMPRODUCT((Inputs!$C$5:$C$110=$B54)*Inputs!$D$5:$D$110*(((Inputs!$G$5:$G$110="moeda")+(Inputs!$G$5:$G$110="acoes"))*Inputs!$B$1+((Inputs!$G$5:$G$110&lt;&gt;"moeda")*(Inputs!$G$5:$G$110&lt;&gt;"acoes")))*INDEX(Inputs!$K$5:$AJ$110,0,MATCH(J$2,Inputs!$K$4:$AJ$4,0)))+SUMPRODUCT((Inputs!$E$5:$E$110=$B54)*Inputs!$F$5:$F$110*(((Inputs!$G$5:$G$110="moeda")+(Inputs!$G$5:$G$110="acoes"))*Inputs!$B$1+((Inputs!$G$5:$G$110&lt;&gt;"moeda")*(Inputs!$G$5:$G$110&lt;&gt;"acoes")))*INDEX(Inputs!$K$5:$AJ$110,0,MATCH(J$2,Inputs!$K$4:$AJ$4,0)))))</f>
        <v>613</v>
      </c>
      <c r="K54" s="263">
        <f>IF(ISNA(MATCH(K$2,Inputs!$K$4:$AJ$4,0)),NA(),IF(SUMPRODUCT((Inputs!$A$5:$A$110=$B54)*ISNUMBER(INDEX(Inputs!$K$5:$AJ$110,0,MATCH(K$2,Inputs!$K$4:$AJ$4,0))))+SUMPRODUCT((Inputs!$C$5:$C$110=$B54)*ISNUMBER(INDEX(Inputs!$K$5:$AJ$110,0,MATCH(K$2,Inputs!$K$4:$AJ$4,0))))+SUMPRODUCT((Inputs!$E$5:$E$110=$B54)*ISNUMBER(INDEX(Inputs!$K$5:$AJ$110,0,MATCH(K$2,Inputs!$K$4:$AJ$4,0))))=0,NA(),SUMPRODUCT((Inputs!$A$5:$A$110=$B54)*Inputs!$B$5:$B$110*(((Inputs!$G$5:$G$110="moeda")+(Inputs!$G$5:$G$110="acoes"))*Inputs!$B$1+((Inputs!$G$5:$G$110&lt;&gt;"moeda")*(Inputs!$G$5:$G$110&lt;&gt;"acoes")))*INDEX(Inputs!$K$5:$AJ$110,0,MATCH(K$2,Inputs!$K$4:$AJ$4,0)))+SUMPRODUCT((Inputs!$C$5:$C$110=$B54)*Inputs!$D$5:$D$110*(((Inputs!$G$5:$G$110="moeda")+(Inputs!$G$5:$G$110="acoes"))*Inputs!$B$1+((Inputs!$G$5:$G$110&lt;&gt;"moeda")*(Inputs!$G$5:$G$110&lt;&gt;"acoes")))*INDEX(Inputs!$K$5:$AJ$110,0,MATCH(K$2,Inputs!$K$4:$AJ$4,0)))+SUMPRODUCT((Inputs!$E$5:$E$110=$B54)*Inputs!$F$5:$F$110*(((Inputs!$G$5:$G$110="moeda")+(Inputs!$G$5:$G$110="acoes"))*Inputs!$B$1+((Inputs!$G$5:$G$110&lt;&gt;"moeda")*(Inputs!$G$5:$G$110&lt;&gt;"acoes")))*INDEX(Inputs!$K$5:$AJ$110,0,MATCH(K$2,Inputs!$K$4:$AJ$4,0)))))</f>
        <v>759</v>
      </c>
      <c r="L54" s="263">
        <f>IF(ISNA(MATCH(L$2,Inputs!$K$4:$AJ$4,0)),NA(),IF(SUMPRODUCT((Inputs!$A$5:$A$110=$B54)*ISNUMBER(INDEX(Inputs!$K$5:$AJ$110,0,MATCH(L$2,Inputs!$K$4:$AJ$4,0))))+SUMPRODUCT((Inputs!$C$5:$C$110=$B54)*ISNUMBER(INDEX(Inputs!$K$5:$AJ$110,0,MATCH(L$2,Inputs!$K$4:$AJ$4,0))))+SUMPRODUCT((Inputs!$E$5:$E$110=$B54)*ISNUMBER(INDEX(Inputs!$K$5:$AJ$110,0,MATCH(L$2,Inputs!$K$4:$AJ$4,0))))=0,NA(),SUMPRODUCT((Inputs!$A$5:$A$110=$B54)*Inputs!$B$5:$B$110*(((Inputs!$G$5:$G$110="moeda")+(Inputs!$G$5:$G$110="acoes"))*Inputs!$B$1+((Inputs!$G$5:$G$110&lt;&gt;"moeda")*(Inputs!$G$5:$G$110&lt;&gt;"acoes")))*INDEX(Inputs!$K$5:$AJ$110,0,MATCH(L$2,Inputs!$K$4:$AJ$4,0)))+SUMPRODUCT((Inputs!$C$5:$C$110=$B54)*Inputs!$D$5:$D$110*(((Inputs!$G$5:$G$110="moeda")+(Inputs!$G$5:$G$110="acoes"))*Inputs!$B$1+((Inputs!$G$5:$G$110&lt;&gt;"moeda")*(Inputs!$G$5:$G$110&lt;&gt;"acoes")))*INDEX(Inputs!$K$5:$AJ$110,0,MATCH(L$2,Inputs!$K$4:$AJ$4,0)))+SUMPRODUCT((Inputs!$E$5:$E$110=$B54)*Inputs!$F$5:$F$110*(((Inputs!$G$5:$G$110="moeda")+(Inputs!$G$5:$G$110="acoes"))*Inputs!$B$1+((Inputs!$G$5:$G$110&lt;&gt;"moeda")*(Inputs!$G$5:$G$110&lt;&gt;"acoes")))*INDEX(Inputs!$K$5:$AJ$110,0,MATCH(L$2,Inputs!$K$4:$AJ$4,0)))))</f>
        <v>816</v>
      </c>
      <c r="M54" s="264">
        <f>SUM(I54:L54)</f>
        <v>2867</v>
      </c>
      <c r="N54" s="263">
        <f>IF(ISNA(MATCH(N$2,Inputs!$K$4:$AJ$4,0)),NA(),IF(SUMPRODUCT((Inputs!$A$5:$A$110=$B54)*ISNUMBER(INDEX(Inputs!$K$5:$AJ$110,0,MATCH(N$2,Inputs!$K$4:$AJ$4,0))))+SUMPRODUCT((Inputs!$C$5:$C$110=$B54)*ISNUMBER(INDEX(Inputs!$K$5:$AJ$110,0,MATCH(N$2,Inputs!$K$4:$AJ$4,0))))+SUMPRODUCT((Inputs!$E$5:$E$110=$B54)*ISNUMBER(INDEX(Inputs!$K$5:$AJ$110,0,MATCH(N$2,Inputs!$K$4:$AJ$4,0))))=0,NA(),SUMPRODUCT((Inputs!$A$5:$A$110=$B54)*Inputs!$B$5:$B$110*(((Inputs!$G$5:$G$110="moeda")+(Inputs!$G$5:$G$110="acoes"))*Inputs!$B$1+((Inputs!$G$5:$G$110&lt;&gt;"moeda")*(Inputs!$G$5:$G$110&lt;&gt;"acoes")))*INDEX(Inputs!$K$5:$AJ$110,0,MATCH(N$2,Inputs!$K$4:$AJ$4,0)))+SUMPRODUCT((Inputs!$C$5:$C$110=$B54)*Inputs!$D$5:$D$110*(((Inputs!$G$5:$G$110="moeda")+(Inputs!$G$5:$G$110="acoes"))*Inputs!$B$1+((Inputs!$G$5:$G$110&lt;&gt;"moeda")*(Inputs!$G$5:$G$110&lt;&gt;"acoes")))*INDEX(Inputs!$K$5:$AJ$110,0,MATCH(N$2,Inputs!$K$4:$AJ$4,0)))+SUMPRODUCT((Inputs!$E$5:$E$110=$B54)*Inputs!$F$5:$F$110*(((Inputs!$G$5:$G$110="moeda")+(Inputs!$G$5:$G$110="acoes"))*Inputs!$B$1+((Inputs!$G$5:$G$110&lt;&gt;"moeda")*(Inputs!$G$5:$G$110&lt;&gt;"acoes")))*INDEX(Inputs!$K$5:$AJ$110,0,MATCH(N$2,Inputs!$K$4:$AJ$4,0)))))</f>
        <v>675</v>
      </c>
      <c r="O54" s="263">
        <f>IF(ISNA(MATCH(O$2,Inputs!$K$4:$AJ$4,0)),NA(),IF(SUMPRODUCT((Inputs!$A$5:$A$110=$B54)*ISNUMBER(INDEX(Inputs!$K$5:$AJ$110,0,MATCH(O$2,Inputs!$K$4:$AJ$4,0))))+SUMPRODUCT((Inputs!$C$5:$C$110=$B54)*ISNUMBER(INDEX(Inputs!$K$5:$AJ$110,0,MATCH(O$2,Inputs!$K$4:$AJ$4,0))))+SUMPRODUCT((Inputs!$E$5:$E$110=$B54)*ISNUMBER(INDEX(Inputs!$K$5:$AJ$110,0,MATCH(O$2,Inputs!$K$4:$AJ$4,0))))=0,NA(),SUMPRODUCT((Inputs!$A$5:$A$110=$B54)*Inputs!$B$5:$B$110*(((Inputs!$G$5:$G$110="moeda")+(Inputs!$G$5:$G$110="acoes"))*Inputs!$B$1+((Inputs!$G$5:$G$110&lt;&gt;"moeda")*(Inputs!$G$5:$G$110&lt;&gt;"acoes")))*INDEX(Inputs!$K$5:$AJ$110,0,MATCH(O$2,Inputs!$K$4:$AJ$4,0)))+SUMPRODUCT((Inputs!$C$5:$C$110=$B54)*Inputs!$D$5:$D$110*(((Inputs!$G$5:$G$110="moeda")+(Inputs!$G$5:$G$110="acoes"))*Inputs!$B$1+((Inputs!$G$5:$G$110&lt;&gt;"moeda")*(Inputs!$G$5:$G$110&lt;&gt;"acoes")))*INDEX(Inputs!$K$5:$AJ$110,0,MATCH(O$2,Inputs!$K$4:$AJ$4,0)))+SUMPRODUCT((Inputs!$E$5:$E$110=$B54)*Inputs!$F$5:$F$110*(((Inputs!$G$5:$G$110="moeda")+(Inputs!$G$5:$G$110="acoes"))*Inputs!$B$1+((Inputs!$G$5:$G$110&lt;&gt;"moeda")*(Inputs!$G$5:$G$110&lt;&gt;"acoes")))*INDEX(Inputs!$K$5:$AJ$110,0,MATCH(O$2,Inputs!$K$4:$AJ$4,0)))))</f>
        <v>718</v>
      </c>
      <c r="P54" s="263">
        <f>IF(ISNA(MATCH(P$2,Inputs!$K$4:$AJ$4,0)),NA(),IF(SUMPRODUCT((Inputs!$A$5:$A$110=$B54)*ISNUMBER(INDEX(Inputs!$K$5:$AJ$110,0,MATCH(P$2,Inputs!$K$4:$AJ$4,0))))+SUMPRODUCT((Inputs!$C$5:$C$110=$B54)*ISNUMBER(INDEX(Inputs!$K$5:$AJ$110,0,MATCH(P$2,Inputs!$K$4:$AJ$4,0))))+SUMPRODUCT((Inputs!$E$5:$E$110=$B54)*ISNUMBER(INDEX(Inputs!$K$5:$AJ$110,0,MATCH(P$2,Inputs!$K$4:$AJ$4,0))))=0,NA(),SUMPRODUCT((Inputs!$A$5:$A$110=$B54)*Inputs!$B$5:$B$110*(((Inputs!$G$5:$G$110="moeda")+(Inputs!$G$5:$G$110="acoes"))*Inputs!$B$1+((Inputs!$G$5:$G$110&lt;&gt;"moeda")*(Inputs!$G$5:$G$110&lt;&gt;"acoes")))*INDEX(Inputs!$K$5:$AJ$110,0,MATCH(P$2,Inputs!$K$4:$AJ$4,0)))+SUMPRODUCT((Inputs!$C$5:$C$110=$B54)*Inputs!$D$5:$D$110*(((Inputs!$G$5:$G$110="moeda")+(Inputs!$G$5:$G$110="acoes"))*Inputs!$B$1+((Inputs!$G$5:$G$110&lt;&gt;"moeda")*(Inputs!$G$5:$G$110&lt;&gt;"acoes")))*INDEX(Inputs!$K$5:$AJ$110,0,MATCH(P$2,Inputs!$K$4:$AJ$4,0)))+SUMPRODUCT((Inputs!$E$5:$E$110=$B54)*Inputs!$F$5:$F$110*(((Inputs!$G$5:$G$110="moeda")+(Inputs!$G$5:$G$110="acoes"))*Inputs!$B$1+((Inputs!$G$5:$G$110&lt;&gt;"moeda")*(Inputs!$G$5:$G$110&lt;&gt;"acoes")))*INDEX(Inputs!$K$5:$AJ$110,0,MATCH(P$2,Inputs!$K$4:$AJ$4,0)))))</f>
        <v>671</v>
      </c>
      <c r="Q54" s="263">
        <f>IF(ISNA(MATCH(Q$2,Inputs!$K$4:$AJ$4,0)),NA(),IF(SUMPRODUCT((Inputs!$A$5:$A$110=$B54)*ISNUMBER(INDEX(Inputs!$K$5:$AJ$110,0,MATCH(Q$2,Inputs!$K$4:$AJ$4,0))))+SUMPRODUCT((Inputs!$C$5:$C$110=$B54)*ISNUMBER(INDEX(Inputs!$K$5:$AJ$110,0,MATCH(Q$2,Inputs!$K$4:$AJ$4,0))))+SUMPRODUCT((Inputs!$E$5:$E$110=$B54)*ISNUMBER(INDEX(Inputs!$K$5:$AJ$110,0,MATCH(Q$2,Inputs!$K$4:$AJ$4,0))))=0,NA(),SUMPRODUCT((Inputs!$A$5:$A$110=$B54)*Inputs!$B$5:$B$110*(((Inputs!$G$5:$G$110="moeda")+(Inputs!$G$5:$G$110="acoes"))*Inputs!$B$1+((Inputs!$G$5:$G$110&lt;&gt;"moeda")*(Inputs!$G$5:$G$110&lt;&gt;"acoes")))*INDEX(Inputs!$K$5:$AJ$110,0,MATCH(Q$2,Inputs!$K$4:$AJ$4,0)))+SUMPRODUCT((Inputs!$C$5:$C$110=$B54)*Inputs!$D$5:$D$110*(((Inputs!$G$5:$G$110="moeda")+(Inputs!$G$5:$G$110="acoes"))*Inputs!$B$1+((Inputs!$G$5:$G$110&lt;&gt;"moeda")*(Inputs!$G$5:$G$110&lt;&gt;"acoes")))*INDEX(Inputs!$K$5:$AJ$110,0,MATCH(Q$2,Inputs!$K$4:$AJ$4,0)))+SUMPRODUCT((Inputs!$E$5:$E$110=$B54)*Inputs!$F$5:$F$110*(((Inputs!$G$5:$G$110="moeda")+(Inputs!$G$5:$G$110="acoes"))*Inputs!$B$1+((Inputs!$G$5:$G$110&lt;&gt;"moeda")*(Inputs!$G$5:$G$110&lt;&gt;"acoes")))*INDEX(Inputs!$K$5:$AJ$110,0,MATCH(Q$2,Inputs!$K$4:$AJ$4,0)))))</f>
        <v>761</v>
      </c>
      <c r="R54" s="264">
        <f>SUM(N54:Q54)</f>
        <v>2825</v>
      </c>
      <c r="S54" s="263">
        <f>IF(ISNA(MATCH(S$2,Inputs!$K$4:$AJ$4,0)),NA(),IF(SUMPRODUCT((Inputs!$A$5:$A$110=$B54)*ISNUMBER(INDEX(Inputs!$K$5:$AJ$110,0,MATCH(S$2,Inputs!$K$4:$AJ$4,0))))+SUMPRODUCT((Inputs!$C$5:$C$110=$B54)*ISNUMBER(INDEX(Inputs!$K$5:$AJ$110,0,MATCH(S$2,Inputs!$K$4:$AJ$4,0))))+SUMPRODUCT((Inputs!$E$5:$E$110=$B54)*ISNUMBER(INDEX(Inputs!$K$5:$AJ$110,0,MATCH(S$2,Inputs!$K$4:$AJ$4,0))))=0,NA(),SUMPRODUCT((Inputs!$A$5:$A$110=$B54)*Inputs!$B$5:$B$110*(((Inputs!$G$5:$G$110="moeda")+(Inputs!$G$5:$G$110="acoes"))*Inputs!$B$1+((Inputs!$G$5:$G$110&lt;&gt;"moeda")*(Inputs!$G$5:$G$110&lt;&gt;"acoes")))*INDEX(Inputs!$K$5:$AJ$110,0,MATCH(S$2,Inputs!$K$4:$AJ$4,0)))+SUMPRODUCT((Inputs!$C$5:$C$110=$B54)*Inputs!$D$5:$D$110*(((Inputs!$G$5:$G$110="moeda")+(Inputs!$G$5:$G$110="acoes"))*Inputs!$B$1+((Inputs!$G$5:$G$110&lt;&gt;"moeda")*(Inputs!$G$5:$G$110&lt;&gt;"acoes")))*INDEX(Inputs!$K$5:$AJ$110,0,MATCH(S$2,Inputs!$K$4:$AJ$4,0)))+SUMPRODUCT((Inputs!$E$5:$E$110=$B54)*Inputs!$F$5:$F$110*(((Inputs!$G$5:$G$110="moeda")+(Inputs!$G$5:$G$110="acoes"))*Inputs!$B$1+((Inputs!$G$5:$G$110&lt;&gt;"moeda")*(Inputs!$G$5:$G$110&lt;&gt;"acoes")))*INDEX(Inputs!$K$5:$AJ$110,0,MATCH(S$2,Inputs!$K$4:$AJ$4,0)))))</f>
        <v>679</v>
      </c>
      <c r="T54" s="263">
        <f>IF(ISNA(MATCH(T$2,Inputs!$K$4:$AJ$4,0)),NA(),IF(SUMPRODUCT((Inputs!$A$5:$A$110=$B54)*ISNUMBER(INDEX(Inputs!$K$5:$AJ$110,0,MATCH(T$2,Inputs!$K$4:$AJ$4,0))))+SUMPRODUCT((Inputs!$C$5:$C$110=$B54)*ISNUMBER(INDEX(Inputs!$K$5:$AJ$110,0,MATCH(T$2,Inputs!$K$4:$AJ$4,0))))+SUMPRODUCT((Inputs!$E$5:$E$110=$B54)*ISNUMBER(INDEX(Inputs!$K$5:$AJ$110,0,MATCH(T$2,Inputs!$K$4:$AJ$4,0))))=0,NA(),SUMPRODUCT((Inputs!$A$5:$A$110=$B54)*Inputs!$B$5:$B$110*(((Inputs!$G$5:$G$110="moeda")+(Inputs!$G$5:$G$110="acoes"))*Inputs!$B$1+((Inputs!$G$5:$G$110&lt;&gt;"moeda")*(Inputs!$G$5:$G$110&lt;&gt;"acoes")))*INDEX(Inputs!$K$5:$AJ$110,0,MATCH(T$2,Inputs!$K$4:$AJ$4,0)))+SUMPRODUCT((Inputs!$C$5:$C$110=$B54)*Inputs!$D$5:$D$110*(((Inputs!$G$5:$G$110="moeda")+(Inputs!$G$5:$G$110="acoes"))*Inputs!$B$1+((Inputs!$G$5:$G$110&lt;&gt;"moeda")*(Inputs!$G$5:$G$110&lt;&gt;"acoes")))*INDEX(Inputs!$K$5:$AJ$110,0,MATCH(T$2,Inputs!$K$4:$AJ$4,0)))+SUMPRODUCT((Inputs!$E$5:$E$110=$B54)*Inputs!$F$5:$F$110*(((Inputs!$G$5:$G$110="moeda")+(Inputs!$G$5:$G$110="acoes"))*Inputs!$B$1+((Inputs!$G$5:$G$110&lt;&gt;"moeda")*(Inputs!$G$5:$G$110&lt;&gt;"acoes")))*INDEX(Inputs!$K$5:$AJ$110,0,MATCH(T$2,Inputs!$K$4:$AJ$4,0)))))</f>
        <v>751</v>
      </c>
      <c r="U54" s="263">
        <f>IF(ISNA(MATCH(U$2,Inputs!$K$4:$AJ$4,0)),NA(),IF(SUMPRODUCT((Inputs!$A$5:$A$110=$B54)*ISNUMBER(INDEX(Inputs!$K$5:$AJ$110,0,MATCH(U$2,Inputs!$K$4:$AJ$4,0))))+SUMPRODUCT((Inputs!$C$5:$C$110=$B54)*ISNUMBER(INDEX(Inputs!$K$5:$AJ$110,0,MATCH(U$2,Inputs!$K$4:$AJ$4,0))))+SUMPRODUCT((Inputs!$E$5:$E$110=$B54)*ISNUMBER(INDEX(Inputs!$K$5:$AJ$110,0,MATCH(U$2,Inputs!$K$4:$AJ$4,0))))=0,NA(),SUMPRODUCT((Inputs!$A$5:$A$110=$B54)*Inputs!$B$5:$B$110*(((Inputs!$G$5:$G$110="moeda")+(Inputs!$G$5:$G$110="acoes"))*Inputs!$B$1+((Inputs!$G$5:$G$110&lt;&gt;"moeda")*(Inputs!$G$5:$G$110&lt;&gt;"acoes")))*INDEX(Inputs!$K$5:$AJ$110,0,MATCH(U$2,Inputs!$K$4:$AJ$4,0)))+SUMPRODUCT((Inputs!$C$5:$C$110=$B54)*Inputs!$D$5:$D$110*(((Inputs!$G$5:$G$110="moeda")+(Inputs!$G$5:$G$110="acoes"))*Inputs!$B$1+((Inputs!$G$5:$G$110&lt;&gt;"moeda")*(Inputs!$G$5:$G$110&lt;&gt;"acoes")))*INDEX(Inputs!$K$5:$AJ$110,0,MATCH(U$2,Inputs!$K$4:$AJ$4,0)))+SUMPRODUCT((Inputs!$E$5:$E$110=$B54)*Inputs!$F$5:$F$110*(((Inputs!$G$5:$G$110="moeda")+(Inputs!$G$5:$G$110="acoes"))*Inputs!$B$1+((Inputs!$G$5:$G$110&lt;&gt;"moeda")*(Inputs!$G$5:$G$110&lt;&gt;"acoes")))*INDEX(Inputs!$K$5:$AJ$110,0,MATCH(U$2,Inputs!$K$4:$AJ$4,0)))))</f>
        <v>659</v>
      </c>
      <c r="V54" s="263">
        <f>IF(ISNA(MATCH(V$2,Inputs!$K$4:$AJ$4,0)),NA(),IF(SUMPRODUCT((Inputs!$A$5:$A$110=$B54)*ISNUMBER(INDEX(Inputs!$K$5:$AJ$110,0,MATCH(V$2,Inputs!$K$4:$AJ$4,0))))+SUMPRODUCT((Inputs!$C$5:$C$110=$B54)*ISNUMBER(INDEX(Inputs!$K$5:$AJ$110,0,MATCH(V$2,Inputs!$K$4:$AJ$4,0))))+SUMPRODUCT((Inputs!$E$5:$E$110=$B54)*ISNUMBER(INDEX(Inputs!$K$5:$AJ$110,0,MATCH(V$2,Inputs!$K$4:$AJ$4,0))))=0,NA(),SUMPRODUCT((Inputs!$A$5:$A$110=$B54)*Inputs!$B$5:$B$110*(((Inputs!$G$5:$G$110="moeda")+(Inputs!$G$5:$G$110="acoes"))*Inputs!$B$1+((Inputs!$G$5:$G$110&lt;&gt;"moeda")*(Inputs!$G$5:$G$110&lt;&gt;"acoes")))*INDEX(Inputs!$K$5:$AJ$110,0,MATCH(V$2,Inputs!$K$4:$AJ$4,0)))+SUMPRODUCT((Inputs!$C$5:$C$110=$B54)*Inputs!$D$5:$D$110*(((Inputs!$G$5:$G$110="moeda")+(Inputs!$G$5:$G$110="acoes"))*Inputs!$B$1+((Inputs!$G$5:$G$110&lt;&gt;"moeda")*(Inputs!$G$5:$G$110&lt;&gt;"acoes")))*INDEX(Inputs!$K$5:$AJ$110,0,MATCH(V$2,Inputs!$K$4:$AJ$4,0)))+SUMPRODUCT((Inputs!$E$5:$E$110=$B54)*Inputs!$F$5:$F$110*(((Inputs!$G$5:$G$110="moeda")+(Inputs!$G$5:$G$110="acoes"))*Inputs!$B$1+((Inputs!$G$5:$G$110&lt;&gt;"moeda")*(Inputs!$G$5:$G$110&lt;&gt;"acoes")))*INDEX(Inputs!$K$5:$AJ$110,0,MATCH(V$2,Inputs!$K$4:$AJ$4,0)))))</f>
        <v>434</v>
      </c>
      <c r="W54" s="264">
        <f>SUM(S54:V54)</f>
        <v>2523</v>
      </c>
      <c r="X54" s="263">
        <f>IF(ISNA(MATCH(X$2,Inputs!$K$4:$AJ$4,0)),NA(),IF(SUMPRODUCT((Inputs!$A$5:$A$110=$B54)*ISNUMBER(INDEX(Inputs!$K$5:$AJ$110,0,MATCH(X$2,Inputs!$K$4:$AJ$4,0))))+SUMPRODUCT((Inputs!$C$5:$C$110=$B54)*ISNUMBER(INDEX(Inputs!$K$5:$AJ$110,0,MATCH(X$2,Inputs!$K$4:$AJ$4,0))))+SUMPRODUCT((Inputs!$E$5:$E$110=$B54)*ISNUMBER(INDEX(Inputs!$K$5:$AJ$110,0,MATCH(X$2,Inputs!$K$4:$AJ$4,0))))=0,NA(),SUMPRODUCT((Inputs!$A$5:$A$110=$B54)*Inputs!$B$5:$B$110*(((Inputs!$G$5:$G$110="moeda")+(Inputs!$G$5:$G$110="acoes"))*Inputs!$B$1+((Inputs!$G$5:$G$110&lt;&gt;"moeda")*(Inputs!$G$5:$G$110&lt;&gt;"acoes")))*INDEX(Inputs!$K$5:$AJ$110,0,MATCH(X$2,Inputs!$K$4:$AJ$4,0)))+SUMPRODUCT((Inputs!$C$5:$C$110=$B54)*Inputs!$D$5:$D$110*(((Inputs!$G$5:$G$110="moeda")+(Inputs!$G$5:$G$110="acoes"))*Inputs!$B$1+((Inputs!$G$5:$G$110&lt;&gt;"moeda")*(Inputs!$G$5:$G$110&lt;&gt;"acoes")))*INDEX(Inputs!$K$5:$AJ$110,0,MATCH(X$2,Inputs!$K$4:$AJ$4,0)))+SUMPRODUCT((Inputs!$E$5:$E$110=$B54)*Inputs!$F$5:$F$110*(((Inputs!$G$5:$G$110="moeda")+(Inputs!$G$5:$G$110="acoes"))*Inputs!$B$1+((Inputs!$G$5:$G$110&lt;&gt;"moeda")*(Inputs!$G$5:$G$110&lt;&gt;"acoes")))*INDEX(Inputs!$K$5:$AJ$110,0,MATCH(X$2,Inputs!$K$4:$AJ$4,0)))))</f>
        <v>720</v>
      </c>
      <c r="Y54" s="263">
        <f>IF(ISNA(MATCH(Y$2,Inputs!$K$4:$AJ$4,0)),NA(),IF(SUMPRODUCT((Inputs!$A$5:$A$110=$B54)*ISNUMBER(INDEX(Inputs!$K$5:$AJ$110,0,MATCH(Y$2,Inputs!$K$4:$AJ$4,0))))+SUMPRODUCT((Inputs!$C$5:$C$110=$B54)*ISNUMBER(INDEX(Inputs!$K$5:$AJ$110,0,MATCH(Y$2,Inputs!$K$4:$AJ$4,0))))+SUMPRODUCT((Inputs!$E$5:$E$110=$B54)*ISNUMBER(INDEX(Inputs!$K$5:$AJ$110,0,MATCH(Y$2,Inputs!$K$4:$AJ$4,0))))=0,NA(),SUMPRODUCT((Inputs!$A$5:$A$110=$B54)*Inputs!$B$5:$B$110*(((Inputs!$G$5:$G$110="moeda")+(Inputs!$G$5:$G$110="acoes"))*Inputs!$B$1+((Inputs!$G$5:$G$110&lt;&gt;"moeda")*(Inputs!$G$5:$G$110&lt;&gt;"acoes")))*INDEX(Inputs!$K$5:$AJ$110,0,MATCH(Y$2,Inputs!$K$4:$AJ$4,0)))+SUMPRODUCT((Inputs!$C$5:$C$110=$B54)*Inputs!$D$5:$D$110*(((Inputs!$G$5:$G$110="moeda")+(Inputs!$G$5:$G$110="acoes"))*Inputs!$B$1+((Inputs!$G$5:$G$110&lt;&gt;"moeda")*(Inputs!$G$5:$G$110&lt;&gt;"acoes")))*INDEX(Inputs!$K$5:$AJ$110,0,MATCH(Y$2,Inputs!$K$4:$AJ$4,0)))+SUMPRODUCT((Inputs!$E$5:$E$110=$B54)*Inputs!$F$5:$F$110*(((Inputs!$G$5:$G$110="moeda")+(Inputs!$G$5:$G$110="acoes"))*Inputs!$B$1+((Inputs!$G$5:$G$110&lt;&gt;"moeda")*(Inputs!$G$5:$G$110&lt;&gt;"acoes")))*INDEX(Inputs!$K$5:$AJ$110,0,MATCH(Y$2,Inputs!$K$4:$AJ$4,0)))))</f>
        <v>-98</v>
      </c>
      <c r="Z54" s="263">
        <f>IF(ISNA(MATCH(Z$2,Inputs!$K$4:$AJ$4,0)),NA(),IF(SUMPRODUCT((Inputs!$A$5:$A$110=$B54)*ISNUMBER(INDEX(Inputs!$K$5:$AJ$110,0,MATCH(Z$2,Inputs!$K$4:$AJ$4,0))))+SUMPRODUCT((Inputs!$C$5:$C$110=$B54)*ISNUMBER(INDEX(Inputs!$K$5:$AJ$110,0,MATCH(Z$2,Inputs!$K$4:$AJ$4,0))))+SUMPRODUCT((Inputs!$E$5:$E$110=$B54)*ISNUMBER(INDEX(Inputs!$K$5:$AJ$110,0,MATCH(Z$2,Inputs!$K$4:$AJ$4,0))))=0,NA(),SUMPRODUCT((Inputs!$A$5:$A$110=$B54)*Inputs!$B$5:$B$110*(((Inputs!$G$5:$G$110="moeda")+(Inputs!$G$5:$G$110="acoes"))*Inputs!$B$1+((Inputs!$G$5:$G$110&lt;&gt;"moeda")*(Inputs!$G$5:$G$110&lt;&gt;"acoes")))*INDEX(Inputs!$K$5:$AJ$110,0,MATCH(Z$2,Inputs!$K$4:$AJ$4,0)))+SUMPRODUCT((Inputs!$C$5:$C$110=$B54)*Inputs!$D$5:$D$110*(((Inputs!$G$5:$G$110="moeda")+(Inputs!$G$5:$G$110="acoes"))*Inputs!$B$1+((Inputs!$G$5:$G$110&lt;&gt;"moeda")*(Inputs!$G$5:$G$110&lt;&gt;"acoes")))*INDEX(Inputs!$K$5:$AJ$110,0,MATCH(Z$2,Inputs!$K$4:$AJ$4,0)))+SUMPRODUCT((Inputs!$E$5:$E$110=$B54)*Inputs!$F$5:$F$110*(((Inputs!$G$5:$G$110="moeda")+(Inputs!$G$5:$G$110="acoes"))*Inputs!$B$1+((Inputs!$G$5:$G$110&lt;&gt;"moeda")*(Inputs!$G$5:$G$110&lt;&gt;"acoes")))*INDEX(Inputs!$K$5:$AJ$110,0,MATCH(Z$2,Inputs!$K$4:$AJ$4,0)))))</f>
        <v>682</v>
      </c>
      <c r="AA54" s="263">
        <f>IF(ISNA(MATCH(AA$2,Inputs!$K$4:$AJ$4,0)),NA(),IF(SUMPRODUCT((Inputs!$A$5:$A$110=$B54)*ISNUMBER(INDEX(Inputs!$K$5:$AJ$110,0,MATCH(AA$2,Inputs!$K$4:$AJ$4,0))))+SUMPRODUCT((Inputs!$C$5:$C$110=$B54)*ISNUMBER(INDEX(Inputs!$K$5:$AJ$110,0,MATCH(AA$2,Inputs!$K$4:$AJ$4,0))))+SUMPRODUCT((Inputs!$E$5:$E$110=$B54)*ISNUMBER(INDEX(Inputs!$K$5:$AJ$110,0,MATCH(AA$2,Inputs!$K$4:$AJ$4,0))))=0,NA(),SUMPRODUCT((Inputs!$A$5:$A$110=$B54)*Inputs!$B$5:$B$110*(((Inputs!$G$5:$G$110="moeda")+(Inputs!$G$5:$G$110="acoes"))*Inputs!$B$1+((Inputs!$G$5:$G$110&lt;&gt;"moeda")*(Inputs!$G$5:$G$110&lt;&gt;"acoes")))*INDEX(Inputs!$K$5:$AJ$110,0,MATCH(AA$2,Inputs!$K$4:$AJ$4,0)))+SUMPRODUCT((Inputs!$C$5:$C$110=$B54)*Inputs!$D$5:$D$110*(((Inputs!$G$5:$G$110="moeda")+(Inputs!$G$5:$G$110="acoes"))*Inputs!$B$1+((Inputs!$G$5:$G$110&lt;&gt;"moeda")*(Inputs!$G$5:$G$110&lt;&gt;"acoes")))*INDEX(Inputs!$K$5:$AJ$110,0,MATCH(AA$2,Inputs!$K$4:$AJ$4,0)))+SUMPRODUCT((Inputs!$E$5:$E$110=$B54)*Inputs!$F$5:$F$110*(((Inputs!$G$5:$G$110="moeda")+(Inputs!$G$5:$G$110="acoes"))*Inputs!$B$1+((Inputs!$G$5:$G$110&lt;&gt;"moeda")*(Inputs!$G$5:$G$110&lt;&gt;"acoes")))*INDEX(Inputs!$K$5:$AJ$110,0,MATCH(AA$2,Inputs!$K$4:$AJ$4,0)))))</f>
        <v>782</v>
      </c>
      <c r="AB54" s="264">
        <f>SUM(X54:AA54)</f>
        <v>2086</v>
      </c>
      <c r="AC54" s="263">
        <f>IF(ISNA(MATCH(AC$2,Inputs!$K$4:$AJ$4,0)),NA(),IF(SUMPRODUCT((Inputs!$A$5:$A$110=$B54)*ISNUMBER(INDEX(Inputs!$K$5:$AJ$110,0,MATCH(AC$2,Inputs!$K$4:$AJ$4,0))))+SUMPRODUCT((Inputs!$C$5:$C$110=$B54)*ISNUMBER(INDEX(Inputs!$K$5:$AJ$110,0,MATCH(AC$2,Inputs!$K$4:$AJ$4,0))))+SUMPRODUCT((Inputs!$E$5:$E$110=$B54)*ISNUMBER(INDEX(Inputs!$K$5:$AJ$110,0,MATCH(AC$2,Inputs!$K$4:$AJ$4,0))))=0,NA(),SUMPRODUCT((Inputs!$A$5:$A$110=$B54)*Inputs!$B$5:$B$110*(((Inputs!$G$5:$G$110="moeda")+(Inputs!$G$5:$G$110="acoes"))*Inputs!$B$1+((Inputs!$G$5:$G$110&lt;&gt;"moeda")*(Inputs!$G$5:$G$110&lt;&gt;"acoes")))*INDEX(Inputs!$K$5:$AJ$110,0,MATCH(AC$2,Inputs!$K$4:$AJ$4,0)))+SUMPRODUCT((Inputs!$C$5:$C$110=$B54)*Inputs!$D$5:$D$110*(((Inputs!$G$5:$G$110="moeda")+(Inputs!$G$5:$G$110="acoes"))*Inputs!$B$1+((Inputs!$G$5:$G$110&lt;&gt;"moeda")*(Inputs!$G$5:$G$110&lt;&gt;"acoes")))*INDEX(Inputs!$K$5:$AJ$110,0,MATCH(AC$2,Inputs!$K$4:$AJ$4,0)))+SUMPRODUCT((Inputs!$E$5:$E$110=$B54)*Inputs!$F$5:$F$110*(((Inputs!$G$5:$G$110="moeda")+(Inputs!$G$5:$G$110="acoes"))*Inputs!$B$1+((Inputs!$G$5:$G$110&lt;&gt;"moeda")*(Inputs!$G$5:$G$110&lt;&gt;"acoes")))*INDEX(Inputs!$K$5:$AJ$110,0,MATCH(AC$2,Inputs!$K$4:$AJ$4,0)))))</f>
        <v>619</v>
      </c>
      <c r="AD54" s="263">
        <f>IF(ISNA(MATCH(AD$2,Inputs!$K$4:$AJ$4,0)),NA(),IF(SUMPRODUCT((Inputs!$A$5:$A$110=$B54)*ISNUMBER(INDEX(Inputs!$K$5:$AJ$110,0,MATCH(AD$2,Inputs!$K$4:$AJ$4,0))))+SUMPRODUCT((Inputs!$C$5:$C$110=$B54)*ISNUMBER(INDEX(Inputs!$K$5:$AJ$110,0,MATCH(AD$2,Inputs!$K$4:$AJ$4,0))))+SUMPRODUCT((Inputs!$E$5:$E$110=$B54)*ISNUMBER(INDEX(Inputs!$K$5:$AJ$110,0,MATCH(AD$2,Inputs!$K$4:$AJ$4,0))))=0,NA(),SUMPRODUCT((Inputs!$A$5:$A$110=$B54)*Inputs!$B$5:$B$110*(((Inputs!$G$5:$G$110="moeda")+(Inputs!$G$5:$G$110="acoes"))*Inputs!$B$1+((Inputs!$G$5:$G$110&lt;&gt;"moeda")*(Inputs!$G$5:$G$110&lt;&gt;"acoes")))*INDEX(Inputs!$K$5:$AJ$110,0,MATCH(AD$2,Inputs!$K$4:$AJ$4,0)))+SUMPRODUCT((Inputs!$C$5:$C$110=$B54)*Inputs!$D$5:$D$110*(((Inputs!$G$5:$G$110="moeda")+(Inputs!$G$5:$G$110="acoes"))*Inputs!$B$1+((Inputs!$G$5:$G$110&lt;&gt;"moeda")*(Inputs!$G$5:$G$110&lt;&gt;"acoes")))*INDEX(Inputs!$K$5:$AJ$110,0,MATCH(AD$2,Inputs!$K$4:$AJ$4,0)))+SUMPRODUCT((Inputs!$E$5:$E$110=$B54)*Inputs!$F$5:$F$110*(((Inputs!$G$5:$G$110="moeda")+(Inputs!$G$5:$G$110="acoes"))*Inputs!$B$1+((Inputs!$G$5:$G$110&lt;&gt;"moeda")*(Inputs!$G$5:$G$110&lt;&gt;"acoes")))*INDEX(Inputs!$K$5:$AJ$110,0,MATCH(AD$2,Inputs!$K$4:$AJ$4,0)))))</f>
        <v>760</v>
      </c>
      <c r="AE54" s="263" t="e">
        <f>IF(ISNA(MATCH(AE$2,Inputs!$K$4:$AJ$4,0)),NA(),IF(SUMPRODUCT((Inputs!$A$5:$A$110=$B54)*ISNUMBER(INDEX(Inputs!$K$5:$AJ$110,0,MATCH(AE$2,Inputs!$K$4:$AJ$4,0))))+SUMPRODUCT((Inputs!$C$5:$C$110=$B54)*ISNUMBER(INDEX(Inputs!$K$5:$AJ$110,0,MATCH(AE$2,Inputs!$K$4:$AJ$4,0))))+SUMPRODUCT((Inputs!$E$5:$E$110=$B54)*ISNUMBER(INDEX(Inputs!$K$5:$AJ$110,0,MATCH(AE$2,Inputs!$K$4:$AJ$4,0))))=0,NA(),SUMPRODUCT((Inputs!$A$5:$A$110=$B54)*Inputs!$B$5:$B$110*(((Inputs!$G$5:$G$110="moeda")+(Inputs!$G$5:$G$110="acoes"))*Inputs!$B$1+((Inputs!$G$5:$G$110&lt;&gt;"moeda")*(Inputs!$G$5:$G$110&lt;&gt;"acoes")))*INDEX(Inputs!$K$5:$AJ$110,0,MATCH(AE$2,Inputs!$K$4:$AJ$4,0)))+SUMPRODUCT((Inputs!$C$5:$C$110=$B54)*Inputs!$D$5:$D$110*(((Inputs!$G$5:$G$110="moeda")+(Inputs!$G$5:$G$110="acoes"))*Inputs!$B$1+((Inputs!$G$5:$G$110&lt;&gt;"moeda")*(Inputs!$G$5:$G$110&lt;&gt;"acoes")))*INDEX(Inputs!$K$5:$AJ$110,0,MATCH(AE$2,Inputs!$K$4:$AJ$4,0)))+SUMPRODUCT((Inputs!$E$5:$E$110=$B54)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4" s="263" t="e">
        <f>IF(ISNA(MATCH(AF$2,Inputs!$K$4:$AJ$4,0)),NA(),IF(SUMPRODUCT((Inputs!$A$5:$A$110=$B54)*ISNUMBER(INDEX(Inputs!$K$5:$AJ$110,0,MATCH(AF$2,Inputs!$K$4:$AJ$4,0))))+SUMPRODUCT((Inputs!$C$5:$C$110=$B54)*ISNUMBER(INDEX(Inputs!$K$5:$AJ$110,0,MATCH(AF$2,Inputs!$K$4:$AJ$4,0))))+SUMPRODUCT((Inputs!$E$5:$E$110=$B54)*ISNUMBER(INDEX(Inputs!$K$5:$AJ$110,0,MATCH(AF$2,Inputs!$K$4:$AJ$4,0))))=0,NA(),SUMPRODUCT((Inputs!$A$5:$A$110=$B54)*Inputs!$B$5:$B$110*(((Inputs!$G$5:$G$110="moeda")+(Inputs!$G$5:$G$110="acoes"))*Inputs!$B$1+((Inputs!$G$5:$G$110&lt;&gt;"moeda")*(Inputs!$G$5:$G$110&lt;&gt;"acoes")))*INDEX(Inputs!$K$5:$AJ$110,0,MATCH(AF$2,Inputs!$K$4:$AJ$4,0)))+SUMPRODUCT((Inputs!$C$5:$C$110=$B54)*Inputs!$D$5:$D$110*(((Inputs!$G$5:$G$110="moeda")+(Inputs!$G$5:$G$110="acoes"))*Inputs!$B$1+((Inputs!$G$5:$G$110&lt;&gt;"moeda")*(Inputs!$G$5:$G$110&lt;&gt;"acoes")))*INDEX(Inputs!$K$5:$AJ$110,0,MATCH(AF$2,Inputs!$K$4:$AJ$4,0)))+SUMPRODUCT((Inputs!$E$5:$E$110=$B54)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$110=$B54)*ISNUMBER(INDEX(Inputs!$K$5:$AJ$110,0,MATCH(AH$2,Inputs!$K$4:$AJ$4,0))))+SUMPRODUCT((Inputs!$C$5:$C$110=$B54)*ISNUMBER(INDEX(Inputs!$K$5:$AJ$110,0,MATCH(AH$2,Inputs!$K$4:$AJ$4,0))))+SUMPRODUCT((Inputs!$E$5:$E$110=$B54)*ISNUMBER(INDEX(Inputs!$K$5:$AJ$110,0,MATCH(AH$2,Inputs!$K$4:$AJ$4,0))))=0,NA(),SUMPRODUCT((Inputs!$A$5:$A$110=$B54)*Inputs!$B$5:$B$110*(((Inputs!$G$5:$G$110="moeda")+(Inputs!$G$5:$G$110="acoes"))*Inputs!$B$1+((Inputs!$G$5:$G$110&lt;&gt;"moeda")*(Inputs!$G$5:$G$110&lt;&gt;"acoes")))*INDEX(Inputs!$K$5:$AJ$110,0,MATCH(AH$2,Inputs!$K$4:$AJ$4,0)))+SUMPRODUCT((Inputs!$C$5:$C$110=$B54)*Inputs!$D$5:$D$110*(((Inputs!$G$5:$G$110="moeda")+(Inputs!$G$5:$G$110="acoes"))*Inputs!$B$1+((Inputs!$G$5:$G$110&lt;&gt;"moeda")*(Inputs!$G$5:$G$110&lt;&gt;"acoes")))*INDEX(Inputs!$K$5:$AJ$110,0,MATCH(AH$2,Inputs!$K$4:$AJ$4,0)))+SUMPRODUCT((Inputs!$E$5:$E$110=$B54)*Inputs!$F$5:$F$110*(((Inputs!$G$5:$G$110="moeda")+(Inputs!$G$5:$G$110="acoes"))*Inputs!$B$1+((Inputs!$G$5:$G$110&lt;&gt;"moeda")*(Inputs!$G$5:$G$110&lt;&gt;"acoes")))*INDEX(Inputs!$K$5:$AJ$110,0,MATCH(AH$2,Inputs!$K$4:$AJ$4,0)))))</f>
        <v>672</v>
      </c>
      <c r="AI54" s="263">
        <f>IF(ISNA(MATCH(AI$2,Inputs!$K$4:$AJ$4,0)),NA(),IF(SUMPRODUCT((Inputs!$A$5:$A$110=$B54)*ISNUMBER(INDEX(Inputs!$K$5:$AJ$110,0,MATCH(AI$2,Inputs!$K$4:$AJ$4,0))))+SUMPRODUCT((Inputs!$C$5:$C$110=$B54)*ISNUMBER(INDEX(Inputs!$K$5:$AJ$110,0,MATCH(AI$2,Inputs!$K$4:$AJ$4,0))))+SUMPRODUCT((Inputs!$E$5:$E$110=$B54)*ISNUMBER(INDEX(Inputs!$K$5:$AJ$110,0,MATCH(AI$2,Inputs!$K$4:$AJ$4,0))))=0,NA(),SUMPRODUCT((Inputs!$A$5:$A$110=$B54)*Inputs!$B$5:$B$110*(((Inputs!$G$5:$G$110="moeda")+(Inputs!$G$5:$G$110="acoes"))*Inputs!$B$1+((Inputs!$G$5:$G$110&lt;&gt;"moeda")*(Inputs!$G$5:$G$110&lt;&gt;"acoes")))*INDEX(Inputs!$K$5:$AJ$110,0,MATCH(AI$2,Inputs!$K$4:$AJ$4,0)))+SUMPRODUCT((Inputs!$C$5:$C$110=$B54)*Inputs!$D$5:$D$110*(((Inputs!$G$5:$G$110="moeda")+(Inputs!$G$5:$G$110="acoes"))*Inputs!$B$1+((Inputs!$G$5:$G$110&lt;&gt;"moeda")*(Inputs!$G$5:$G$110&lt;&gt;"acoes")))*INDEX(Inputs!$K$5:$AJ$110,0,MATCH(AI$2,Inputs!$K$4:$AJ$4,0)))+SUMPRODUCT((Inputs!$E$5:$E$110=$B54)*Inputs!$F$5:$F$110*(((Inputs!$G$5:$G$110="moeda")+(Inputs!$G$5:$G$110="acoes"))*Inputs!$B$1+((Inputs!$G$5:$G$110&lt;&gt;"moeda")*(Inputs!$G$5:$G$110&lt;&gt;"acoes")))*INDEX(Inputs!$K$5:$AJ$110,0,MATCH(AI$2,Inputs!$K$4:$AJ$4,0)))))</f>
        <v>739</v>
      </c>
      <c r="AJ54" s="263">
        <f>IF(ISNA(MATCH(AJ$2,Inputs!$K$4:$AJ$4,0)),NA(),IF(SUMPRODUCT((Inputs!$A$5:$A$110=$B54)*ISNUMBER(INDEX(Inputs!$K$5:$AJ$110,0,MATCH(AJ$2,Inputs!$K$4:$AJ$4,0))))+SUMPRODUCT((Inputs!$C$5:$C$110=$B54)*ISNUMBER(INDEX(Inputs!$K$5:$AJ$110,0,MATCH(AJ$2,Inputs!$K$4:$AJ$4,0))))+SUMPRODUCT((Inputs!$E$5:$E$110=$B54)*ISNUMBER(INDEX(Inputs!$K$5:$AJ$110,0,MATCH(AJ$2,Inputs!$K$4:$AJ$4,0))))=0,NA(),SUMPRODUCT((Inputs!$A$5:$A$110=$B54)*Inputs!$B$5:$B$110*(((Inputs!$G$5:$G$110="moeda")+(Inputs!$G$5:$G$110="acoes"))*Inputs!$B$1+((Inputs!$G$5:$G$110&lt;&gt;"moeda")*(Inputs!$G$5:$G$110&lt;&gt;"acoes")))*INDEX(Inputs!$K$5:$AJ$110,0,MATCH(AJ$2,Inputs!$K$4:$AJ$4,0)))+SUMPRODUCT((Inputs!$C$5:$C$110=$B54)*Inputs!$D$5:$D$110*(((Inputs!$G$5:$G$110="moeda")+(Inputs!$G$5:$G$110="acoes"))*Inputs!$B$1+((Inputs!$G$5:$G$110&lt;&gt;"moeda")*(Inputs!$G$5:$G$110&lt;&gt;"acoes")))*INDEX(Inputs!$K$5:$AJ$110,0,MATCH(AJ$2,Inputs!$K$4:$AJ$4,0)))+SUMPRODUCT((Inputs!$E$5:$E$110=$B54)*Inputs!$F$5:$F$110*(((Inputs!$G$5:$G$110="moeda")+(Inputs!$G$5:$G$110="acoes"))*Inputs!$B$1+((Inputs!$G$5:$G$110&lt;&gt;"moeda")*(Inputs!$G$5:$G$110&lt;&gt;"acoes")))*INDEX(Inputs!$K$5:$AJ$110,0,MATCH(AJ$2,Inputs!$K$4:$AJ$4,0)))))</f>
        <v>705</v>
      </c>
      <c r="AK54" s="263">
        <f>IF(ISNA(MATCH(AK$2,Inputs!$K$4:$AJ$4,0)),NA(),IF(SUMPRODUCT((Inputs!$A$5:$A$110=$B54)*ISNUMBER(INDEX(Inputs!$K$5:$AJ$110,0,MATCH(AK$2,Inputs!$K$4:$AJ$4,0))))+SUMPRODUCT((Inputs!$C$5:$C$110=$B54)*ISNUMBER(INDEX(Inputs!$K$5:$AJ$110,0,MATCH(AK$2,Inputs!$K$4:$AJ$4,0))))+SUMPRODUCT((Inputs!$E$5:$E$110=$B54)*ISNUMBER(INDEX(Inputs!$K$5:$AJ$110,0,MATCH(AK$2,Inputs!$K$4:$AJ$4,0))))=0,NA(),SUMPRODUCT((Inputs!$A$5:$A$110=$B54)*Inputs!$B$5:$B$110*(((Inputs!$G$5:$G$110="moeda")+(Inputs!$G$5:$G$110="acoes"))*Inputs!$B$1+((Inputs!$G$5:$G$110&lt;&gt;"moeda")*(Inputs!$G$5:$G$110&lt;&gt;"acoes")))*INDEX(Inputs!$K$5:$AJ$110,0,MATCH(AK$2,Inputs!$K$4:$AJ$4,0)))+SUMPRODUCT((Inputs!$C$5:$C$110=$B54)*Inputs!$D$5:$D$110*(((Inputs!$G$5:$G$110="moeda")+(Inputs!$G$5:$G$110="acoes"))*Inputs!$B$1+((Inputs!$G$5:$G$110&lt;&gt;"moeda")*(Inputs!$G$5:$G$110&lt;&gt;"acoes")))*INDEX(Inputs!$K$5:$AJ$110,0,MATCH(AK$2,Inputs!$K$4:$AJ$4,0)))+SUMPRODUCT((Inputs!$E$5:$E$110=$B54)*Inputs!$F$5:$F$110*(((Inputs!$G$5:$G$110="moeda")+(Inputs!$G$5:$G$110="acoes"))*Inputs!$B$1+((Inputs!$G$5:$G$110&lt;&gt;"moeda")*(Inputs!$G$5:$G$110&lt;&gt;"acoes")))*INDEX(Inputs!$K$5:$AJ$110,0,MATCH(AK$2,Inputs!$K$4:$AJ$4,0)))))</f>
        <v>727</v>
      </c>
      <c r="AL54" s="264">
        <f>SUM(AH54:AK54)</f>
        <v>2843</v>
      </c>
    </row>
    <row r="55">
      <c r="B55" s="46" t="n">
        <v>47</v>
      </c>
      <c r="C55" s="29" t="inlineStr">
        <is>
          <t>Missiles and Fire Control - receita (USD)</t>
        </is>
      </c>
      <c r="D55" s="263">
        <f>IF(ISNA(MATCH(D$2,Inputs!$K$4:$AJ$4,0)),NA(),IF(SUMPRODUCT((Inputs!$A$5:$A$110=$B55)*ISNUMBER(INDEX(Inputs!$K$5:$AJ$110,0,MATCH(D$2,Inputs!$K$4:$AJ$4,0))))+SUMPRODUCT((Inputs!$C$5:$C$110=$B55)*ISNUMBER(INDEX(Inputs!$K$5:$AJ$110,0,MATCH(D$2,Inputs!$K$4:$AJ$4,0))))+SUMPRODUCT((Inputs!$E$5:$E$110=$B55)*ISNUMBER(INDEX(Inputs!$K$5:$AJ$110,0,MATCH(D$2,Inputs!$K$4:$AJ$4,0))))=0,NA(),SUMPRODUCT((Inputs!$A$5:$A$110=$B55)*Inputs!$B$5:$B$110*(((Inputs!$G$5:$G$110="moeda")+(Inputs!$G$5:$G$110="acoes"))*Inputs!$B$1+((Inputs!$G$5:$G$110&lt;&gt;"moeda")*(Inputs!$G$5:$G$110&lt;&gt;"acoes")))*INDEX(Inputs!$K$5:$AJ$110,0,MATCH(D$2,Inputs!$K$4:$AJ$4,0)))+SUMPRODUCT((Inputs!$C$5:$C$110=$B55)*Inputs!$D$5:$D$110*(((Inputs!$G$5:$G$110="moeda")+(Inputs!$G$5:$G$110="acoes"))*Inputs!$B$1+((Inputs!$G$5:$G$110&lt;&gt;"moeda")*(Inputs!$G$5:$G$110&lt;&gt;"acoes")))*INDEX(Inputs!$K$5:$AJ$110,0,MATCH(D$2,Inputs!$K$4:$AJ$4,0)))+SUMPRODUCT((Inputs!$E$5:$E$110=$B55)*Inputs!$F$5:$F$110*(((Inputs!$G$5:$G$110="moeda")+(Inputs!$G$5:$G$110="acoes"))*Inputs!$B$1+((Inputs!$G$5:$G$110&lt;&gt;"moeda")*(Inputs!$G$5:$G$110&lt;&gt;"acoes")))*INDEX(Inputs!$K$5:$AJ$110,0,MATCH(D$2,Inputs!$K$4:$AJ$4,0)))))</f>
        <v>2749</v>
      </c>
      <c r="E55" s="263">
        <f>IF(ISNA(MATCH(E$2,Inputs!$K$4:$AJ$4,0)),NA(),IF(SUMPRODUCT((Inputs!$A$5:$A$110=$B55)*ISNUMBER(INDEX(Inputs!$K$5:$AJ$110,0,MATCH(E$2,Inputs!$K$4:$AJ$4,0))))+SUMPRODUCT((Inputs!$C$5:$C$110=$B55)*ISNUMBER(INDEX(Inputs!$K$5:$AJ$110,0,MATCH(E$2,Inputs!$K$4:$AJ$4,0))))+SUMPRODUCT((Inputs!$E$5:$E$110=$B55)*ISNUMBER(INDEX(Inputs!$K$5:$AJ$110,0,MATCH(E$2,Inputs!$K$4:$AJ$4,0))))=0,NA(),SUMPRODUCT((Inputs!$A$5:$A$110=$B55)*Inputs!$B$5:$B$110*(((Inputs!$G$5:$G$110="moeda")+(Inputs!$G$5:$G$110="acoes"))*Inputs!$B$1+((Inputs!$G$5:$G$110&lt;&gt;"moeda")*(Inputs!$G$5:$G$110&lt;&gt;"acoes")))*INDEX(Inputs!$K$5:$AJ$110,0,MATCH(E$2,Inputs!$K$4:$AJ$4,0)))+SUMPRODUCT((Inputs!$C$5:$C$110=$B55)*Inputs!$D$5:$D$110*(((Inputs!$G$5:$G$110="moeda")+(Inputs!$G$5:$G$110="acoes"))*Inputs!$B$1+((Inputs!$G$5:$G$110&lt;&gt;"moeda")*(Inputs!$G$5:$G$110&lt;&gt;"acoes")))*INDEX(Inputs!$K$5:$AJ$110,0,MATCH(E$2,Inputs!$K$4:$AJ$4,0)))+SUMPRODUCT((Inputs!$E$5:$E$110=$B55)*Inputs!$F$5:$F$110*(((Inputs!$G$5:$G$110="moeda")+(Inputs!$G$5:$G$110="acoes"))*Inputs!$B$1+((Inputs!$G$5:$G$110&lt;&gt;"moeda")*(Inputs!$G$5:$G$110&lt;&gt;"acoes")))*INDEX(Inputs!$K$5:$AJ$110,0,MATCH(E$2,Inputs!$K$4:$AJ$4,0)))))</f>
        <v>2944</v>
      </c>
      <c r="F55" s="263">
        <f>IF(ISNA(MATCH(F$2,Inputs!$K$4:$AJ$4,0)),NA(),IF(SUMPRODUCT((Inputs!$A$5:$A$110=$B55)*ISNUMBER(INDEX(Inputs!$K$5:$AJ$110,0,MATCH(F$2,Inputs!$K$4:$AJ$4,0))))+SUMPRODUCT((Inputs!$C$5:$C$110=$B55)*ISNUMBER(INDEX(Inputs!$K$5:$AJ$110,0,MATCH(F$2,Inputs!$K$4:$AJ$4,0))))+SUMPRODUCT((Inputs!$E$5:$E$110=$B55)*ISNUMBER(INDEX(Inputs!$K$5:$AJ$110,0,MATCH(F$2,Inputs!$K$4:$AJ$4,0))))=0,NA(),SUMPRODUCT((Inputs!$A$5:$A$110=$B55)*Inputs!$B$5:$B$110*(((Inputs!$G$5:$G$110="moeda")+(Inputs!$G$5:$G$110="acoes"))*Inputs!$B$1+((Inputs!$G$5:$G$110&lt;&gt;"moeda")*(Inputs!$G$5:$G$110&lt;&gt;"acoes")))*INDEX(Inputs!$K$5:$AJ$110,0,MATCH(F$2,Inputs!$K$4:$AJ$4,0)))+SUMPRODUCT((Inputs!$C$5:$C$110=$B55)*Inputs!$D$5:$D$110*(((Inputs!$G$5:$G$110="moeda")+(Inputs!$G$5:$G$110="acoes"))*Inputs!$B$1+((Inputs!$G$5:$G$110&lt;&gt;"moeda")*(Inputs!$G$5:$G$110&lt;&gt;"acoes")))*INDEX(Inputs!$K$5:$AJ$110,0,MATCH(F$2,Inputs!$K$4:$AJ$4,0)))+SUMPRODUCT((Inputs!$E$5:$E$110=$B55)*Inputs!$F$5:$F$110*(((Inputs!$G$5:$G$110="moeda")+(Inputs!$G$5:$G$110="acoes"))*Inputs!$B$1+((Inputs!$G$5:$G$110&lt;&gt;"moeda")*(Inputs!$G$5:$G$110&lt;&gt;"acoes")))*INDEX(Inputs!$K$5:$AJ$110,0,MATCH(F$2,Inputs!$K$4:$AJ$4,0)))))</f>
        <v>2781</v>
      </c>
      <c r="G55" s="263">
        <f>IF(ISNA(MATCH(G$2,Inputs!$K$4:$AJ$4,0)),NA(),IF(SUMPRODUCT((Inputs!$A$5:$A$110=$B55)*ISNUMBER(INDEX(Inputs!$K$5:$AJ$110,0,MATCH(G$2,Inputs!$K$4:$AJ$4,0))))+SUMPRODUCT((Inputs!$C$5:$C$110=$B55)*ISNUMBER(INDEX(Inputs!$K$5:$AJ$110,0,MATCH(G$2,Inputs!$K$4:$AJ$4,0))))+SUMPRODUCT((Inputs!$E$5:$E$110=$B55)*ISNUMBER(INDEX(Inputs!$K$5:$AJ$110,0,MATCH(G$2,Inputs!$K$4:$AJ$4,0))))=0,NA(),SUMPRODUCT((Inputs!$A$5:$A$110=$B55)*Inputs!$B$5:$B$110*(((Inputs!$G$5:$G$110="moeda")+(Inputs!$G$5:$G$110="acoes"))*Inputs!$B$1+((Inputs!$G$5:$G$110&lt;&gt;"moeda")*(Inputs!$G$5:$G$110&lt;&gt;"acoes")))*INDEX(Inputs!$K$5:$AJ$110,0,MATCH(G$2,Inputs!$K$4:$AJ$4,0)))+SUMPRODUCT((Inputs!$C$5:$C$110=$B55)*Inputs!$D$5:$D$110*(((Inputs!$G$5:$G$110="moeda")+(Inputs!$G$5:$G$110="acoes"))*Inputs!$B$1+((Inputs!$G$5:$G$110&lt;&gt;"moeda")*(Inputs!$G$5:$G$110&lt;&gt;"acoes")))*INDEX(Inputs!$K$5:$AJ$110,0,MATCH(G$2,Inputs!$K$4:$AJ$4,0)))+SUMPRODUCT((Inputs!$E$5:$E$110=$B55)*Inputs!$F$5:$F$110*(((Inputs!$G$5:$G$110="moeda")+(Inputs!$G$5:$G$110="acoes"))*Inputs!$B$1+((Inputs!$G$5:$G$110&lt;&gt;"moeda")*(Inputs!$G$5:$G$110&lt;&gt;"acoes")))*INDEX(Inputs!$K$5:$AJ$110,0,MATCH(G$2,Inputs!$K$4:$AJ$4,0)))))</f>
        <v>3219</v>
      </c>
      <c r="H55" s="264">
        <f>SUM(D55:G55)</f>
        <v>11693</v>
      </c>
      <c r="I55" s="263">
        <f>IF(ISNA(MATCH(I$2,Inputs!$K$4:$AJ$4,0)),NA(),IF(SUMPRODUCT((Inputs!$A$5:$A$110=$B55)*ISNUMBER(INDEX(Inputs!$K$5:$AJ$110,0,MATCH(I$2,Inputs!$K$4:$AJ$4,0))))+SUMPRODUCT((Inputs!$C$5:$C$110=$B55)*ISNUMBER(INDEX(Inputs!$K$5:$AJ$110,0,MATCH(I$2,Inputs!$K$4:$AJ$4,0))))+SUMPRODUCT((Inputs!$E$5:$E$110=$B55)*ISNUMBER(INDEX(Inputs!$K$5:$AJ$110,0,MATCH(I$2,Inputs!$K$4:$AJ$4,0))))=0,NA(),SUMPRODUCT((Inputs!$A$5:$A$110=$B55)*Inputs!$B$5:$B$110*(((Inputs!$G$5:$G$110="moeda")+(Inputs!$G$5:$G$110="acoes"))*Inputs!$B$1+((Inputs!$G$5:$G$110&lt;&gt;"moeda")*(Inputs!$G$5:$G$110&lt;&gt;"acoes")))*INDEX(Inputs!$K$5:$AJ$110,0,MATCH(I$2,Inputs!$K$4:$AJ$4,0)))+SUMPRODUCT((Inputs!$C$5:$C$110=$B55)*Inputs!$D$5:$D$110*(((Inputs!$G$5:$G$110="moeda")+(Inputs!$G$5:$G$110="acoes"))*Inputs!$B$1+((Inputs!$G$5:$G$110&lt;&gt;"moeda")*(Inputs!$G$5:$G$110&lt;&gt;"acoes")))*INDEX(Inputs!$K$5:$AJ$110,0,MATCH(I$2,Inputs!$K$4:$AJ$4,0)))+SUMPRODUCT((Inputs!$E$5:$E$110=$B55)*Inputs!$F$5:$F$110*(((Inputs!$G$5:$G$110="moeda")+(Inputs!$G$5:$G$110="acoes"))*Inputs!$B$1+((Inputs!$G$5:$G$110&lt;&gt;"moeda")*(Inputs!$G$5:$G$110&lt;&gt;"acoes")))*INDEX(Inputs!$K$5:$AJ$110,0,MATCH(I$2,Inputs!$K$4:$AJ$4,0)))))</f>
        <v>2452</v>
      </c>
      <c r="J55" s="263">
        <f>IF(ISNA(MATCH(J$2,Inputs!$K$4:$AJ$4,0)),NA(),IF(SUMPRODUCT((Inputs!$A$5:$A$110=$B55)*ISNUMBER(INDEX(Inputs!$K$5:$AJ$110,0,MATCH(J$2,Inputs!$K$4:$AJ$4,0))))+SUMPRODUCT((Inputs!$C$5:$C$110=$B55)*ISNUMBER(INDEX(Inputs!$K$5:$AJ$110,0,MATCH(J$2,Inputs!$K$4:$AJ$4,0))))+SUMPRODUCT((Inputs!$E$5:$E$110=$B55)*ISNUMBER(INDEX(Inputs!$K$5:$AJ$110,0,MATCH(J$2,Inputs!$K$4:$AJ$4,0))))=0,NA(),SUMPRODUCT((Inputs!$A$5:$A$110=$B55)*Inputs!$B$5:$B$110*(((Inputs!$G$5:$G$110="moeda")+(Inputs!$G$5:$G$110="acoes"))*Inputs!$B$1+((Inputs!$G$5:$G$110&lt;&gt;"moeda")*(Inputs!$G$5:$G$110&lt;&gt;"acoes")))*INDEX(Inputs!$K$5:$AJ$110,0,MATCH(J$2,Inputs!$K$4:$AJ$4,0)))+SUMPRODUCT((Inputs!$C$5:$C$110=$B55)*Inputs!$D$5:$D$110*(((Inputs!$G$5:$G$110="moeda")+(Inputs!$G$5:$G$110="acoes"))*Inputs!$B$1+((Inputs!$G$5:$G$110&lt;&gt;"moeda")*(Inputs!$G$5:$G$110&lt;&gt;"acoes")))*INDEX(Inputs!$K$5:$AJ$110,0,MATCH(J$2,Inputs!$K$4:$AJ$4,0)))+SUMPRODUCT((Inputs!$E$5:$E$110=$B55)*Inputs!$F$5:$F$110*(((Inputs!$G$5:$G$110="moeda")+(Inputs!$G$5:$G$110="acoes"))*Inputs!$B$1+((Inputs!$G$5:$G$110&lt;&gt;"moeda")*(Inputs!$G$5:$G$110&lt;&gt;"acoes")))*INDEX(Inputs!$K$5:$AJ$110,0,MATCH(J$2,Inputs!$K$4:$AJ$4,0)))))</f>
        <v>2747</v>
      </c>
      <c r="K55" s="263">
        <f>IF(ISNA(MATCH(K$2,Inputs!$K$4:$AJ$4,0)),NA(),IF(SUMPRODUCT((Inputs!$A$5:$A$110=$B55)*ISNUMBER(INDEX(Inputs!$K$5:$AJ$110,0,MATCH(K$2,Inputs!$K$4:$AJ$4,0))))+SUMPRODUCT((Inputs!$C$5:$C$110=$B55)*ISNUMBER(INDEX(Inputs!$K$5:$AJ$110,0,MATCH(K$2,Inputs!$K$4:$AJ$4,0))))+SUMPRODUCT((Inputs!$E$5:$E$110=$B55)*ISNUMBER(INDEX(Inputs!$K$5:$AJ$110,0,MATCH(K$2,Inputs!$K$4:$AJ$4,0))))=0,NA(),SUMPRODUCT((Inputs!$A$5:$A$110=$B55)*Inputs!$B$5:$B$110*(((Inputs!$G$5:$G$110="moeda")+(Inputs!$G$5:$G$110="acoes"))*Inputs!$B$1+((Inputs!$G$5:$G$110&lt;&gt;"moeda")*(Inputs!$G$5:$G$110&lt;&gt;"acoes")))*INDEX(Inputs!$K$5:$AJ$110,0,MATCH(K$2,Inputs!$K$4:$AJ$4,0)))+SUMPRODUCT((Inputs!$C$5:$C$110=$B55)*Inputs!$D$5:$D$110*(((Inputs!$G$5:$G$110="moeda")+(Inputs!$G$5:$G$110="acoes"))*Inputs!$B$1+((Inputs!$G$5:$G$110&lt;&gt;"moeda")*(Inputs!$G$5:$G$110&lt;&gt;"acoes")))*INDEX(Inputs!$K$5:$AJ$110,0,MATCH(K$2,Inputs!$K$4:$AJ$4,0)))+SUMPRODUCT((Inputs!$E$5:$E$110=$B55)*Inputs!$F$5:$F$110*(((Inputs!$G$5:$G$110="moeda")+(Inputs!$G$5:$G$110="acoes"))*Inputs!$B$1+((Inputs!$G$5:$G$110&lt;&gt;"moeda")*(Inputs!$G$5:$G$110&lt;&gt;"acoes")))*INDEX(Inputs!$K$5:$AJ$110,0,MATCH(K$2,Inputs!$K$4:$AJ$4,0)))))</f>
        <v>2831</v>
      </c>
      <c r="L55" s="263">
        <f>IF(ISNA(MATCH(L$2,Inputs!$K$4:$AJ$4,0)),NA(),IF(SUMPRODUCT((Inputs!$A$5:$A$110=$B55)*ISNUMBER(INDEX(Inputs!$K$5:$AJ$110,0,MATCH(L$2,Inputs!$K$4:$AJ$4,0))))+SUMPRODUCT((Inputs!$C$5:$C$110=$B55)*ISNUMBER(INDEX(Inputs!$K$5:$AJ$110,0,MATCH(L$2,Inputs!$K$4:$AJ$4,0))))+SUMPRODUCT((Inputs!$E$5:$E$110=$B55)*ISNUMBER(INDEX(Inputs!$K$5:$AJ$110,0,MATCH(L$2,Inputs!$K$4:$AJ$4,0))))=0,NA(),SUMPRODUCT((Inputs!$A$5:$A$110=$B55)*Inputs!$B$5:$B$110*(((Inputs!$G$5:$G$110="moeda")+(Inputs!$G$5:$G$110="acoes"))*Inputs!$B$1+((Inputs!$G$5:$G$110&lt;&gt;"moeda")*(Inputs!$G$5:$G$110&lt;&gt;"acoes")))*INDEX(Inputs!$K$5:$AJ$110,0,MATCH(L$2,Inputs!$K$4:$AJ$4,0)))+SUMPRODUCT((Inputs!$C$5:$C$110=$B55)*Inputs!$D$5:$D$110*(((Inputs!$G$5:$G$110="moeda")+(Inputs!$G$5:$G$110="acoes"))*Inputs!$B$1+((Inputs!$G$5:$G$110&lt;&gt;"moeda")*(Inputs!$G$5:$G$110&lt;&gt;"acoes")))*INDEX(Inputs!$K$5:$AJ$110,0,MATCH(L$2,Inputs!$K$4:$AJ$4,0)))+SUMPRODUCT((Inputs!$E$5:$E$110=$B55)*Inputs!$F$5:$F$110*(((Inputs!$G$5:$G$110="moeda")+(Inputs!$G$5:$G$110="acoes"))*Inputs!$B$1+((Inputs!$G$5:$G$110&lt;&gt;"moeda")*(Inputs!$G$5:$G$110&lt;&gt;"acoes")))*INDEX(Inputs!$K$5:$AJ$110,0,MATCH(L$2,Inputs!$K$4:$AJ$4,0)))))</f>
        <v>3287</v>
      </c>
      <c r="M55" s="264">
        <f>SUM(I55:L55)</f>
        <v>11317</v>
      </c>
      <c r="N55" s="263">
        <f>IF(ISNA(MATCH(N$2,Inputs!$K$4:$AJ$4,0)),NA(),IF(SUMPRODUCT((Inputs!$A$5:$A$110=$B55)*ISNUMBER(INDEX(Inputs!$K$5:$AJ$110,0,MATCH(N$2,Inputs!$K$4:$AJ$4,0))))+SUMPRODUCT((Inputs!$C$5:$C$110=$B55)*ISNUMBER(INDEX(Inputs!$K$5:$AJ$110,0,MATCH(N$2,Inputs!$K$4:$AJ$4,0))))+SUMPRODUCT((Inputs!$E$5:$E$110=$B55)*ISNUMBER(INDEX(Inputs!$K$5:$AJ$110,0,MATCH(N$2,Inputs!$K$4:$AJ$4,0))))=0,NA(),SUMPRODUCT((Inputs!$A$5:$A$110=$B55)*Inputs!$B$5:$B$110*(((Inputs!$G$5:$G$110="moeda")+(Inputs!$G$5:$G$110="acoes"))*Inputs!$B$1+((Inputs!$G$5:$G$110&lt;&gt;"moeda")*(Inputs!$G$5:$G$110&lt;&gt;"acoes")))*INDEX(Inputs!$K$5:$AJ$110,0,MATCH(N$2,Inputs!$K$4:$AJ$4,0)))+SUMPRODUCT((Inputs!$C$5:$C$110=$B55)*Inputs!$D$5:$D$110*(((Inputs!$G$5:$G$110="moeda")+(Inputs!$G$5:$G$110="acoes"))*Inputs!$B$1+((Inputs!$G$5:$G$110&lt;&gt;"moeda")*(Inputs!$G$5:$G$110&lt;&gt;"acoes")))*INDEX(Inputs!$K$5:$AJ$110,0,MATCH(N$2,Inputs!$K$4:$AJ$4,0)))+SUMPRODUCT((Inputs!$E$5:$E$110=$B55)*Inputs!$F$5:$F$110*(((Inputs!$G$5:$G$110="moeda")+(Inputs!$G$5:$G$110="acoes"))*Inputs!$B$1+((Inputs!$G$5:$G$110&lt;&gt;"moeda")*(Inputs!$G$5:$G$110&lt;&gt;"acoes")))*INDEX(Inputs!$K$5:$AJ$110,0,MATCH(N$2,Inputs!$K$4:$AJ$4,0)))))</f>
        <v>2388</v>
      </c>
      <c r="O55" s="263">
        <f>IF(ISNA(MATCH(O$2,Inputs!$K$4:$AJ$4,0)),NA(),IF(SUMPRODUCT((Inputs!$A$5:$A$110=$B55)*ISNUMBER(INDEX(Inputs!$K$5:$AJ$110,0,MATCH(O$2,Inputs!$K$4:$AJ$4,0))))+SUMPRODUCT((Inputs!$C$5:$C$110=$B55)*ISNUMBER(INDEX(Inputs!$K$5:$AJ$110,0,MATCH(O$2,Inputs!$K$4:$AJ$4,0))))+SUMPRODUCT((Inputs!$E$5:$E$110=$B55)*ISNUMBER(INDEX(Inputs!$K$5:$AJ$110,0,MATCH(O$2,Inputs!$K$4:$AJ$4,0))))=0,NA(),SUMPRODUCT((Inputs!$A$5:$A$110=$B55)*Inputs!$B$5:$B$110*(((Inputs!$G$5:$G$110="moeda")+(Inputs!$G$5:$G$110="acoes"))*Inputs!$B$1+((Inputs!$G$5:$G$110&lt;&gt;"moeda")*(Inputs!$G$5:$G$110&lt;&gt;"acoes")))*INDEX(Inputs!$K$5:$AJ$110,0,MATCH(O$2,Inputs!$K$4:$AJ$4,0)))+SUMPRODUCT((Inputs!$C$5:$C$110=$B55)*Inputs!$D$5:$D$110*(((Inputs!$G$5:$G$110="moeda")+(Inputs!$G$5:$G$110="acoes"))*Inputs!$B$1+((Inputs!$G$5:$G$110&lt;&gt;"moeda")*(Inputs!$G$5:$G$110&lt;&gt;"acoes")))*INDEX(Inputs!$K$5:$AJ$110,0,MATCH(O$2,Inputs!$K$4:$AJ$4,0)))+SUMPRODUCT((Inputs!$E$5:$E$110=$B55)*Inputs!$F$5:$F$110*(((Inputs!$G$5:$G$110="moeda")+(Inputs!$G$5:$G$110="acoes"))*Inputs!$B$1+((Inputs!$G$5:$G$110&lt;&gt;"moeda")*(Inputs!$G$5:$G$110&lt;&gt;"acoes")))*INDEX(Inputs!$K$5:$AJ$110,0,MATCH(O$2,Inputs!$K$4:$AJ$4,0)))))</f>
        <v>2755</v>
      </c>
      <c r="P55" s="263">
        <f>IF(ISNA(MATCH(P$2,Inputs!$K$4:$AJ$4,0)),NA(),IF(SUMPRODUCT((Inputs!$A$5:$A$110=$B55)*ISNUMBER(INDEX(Inputs!$K$5:$AJ$110,0,MATCH(P$2,Inputs!$K$4:$AJ$4,0))))+SUMPRODUCT((Inputs!$C$5:$C$110=$B55)*ISNUMBER(INDEX(Inputs!$K$5:$AJ$110,0,MATCH(P$2,Inputs!$K$4:$AJ$4,0))))+SUMPRODUCT((Inputs!$E$5:$E$110=$B55)*ISNUMBER(INDEX(Inputs!$K$5:$AJ$110,0,MATCH(P$2,Inputs!$K$4:$AJ$4,0))))=0,NA(),SUMPRODUCT((Inputs!$A$5:$A$110=$B55)*Inputs!$B$5:$B$110*(((Inputs!$G$5:$G$110="moeda")+(Inputs!$G$5:$G$110="acoes"))*Inputs!$B$1+((Inputs!$G$5:$G$110&lt;&gt;"moeda")*(Inputs!$G$5:$G$110&lt;&gt;"acoes")))*INDEX(Inputs!$K$5:$AJ$110,0,MATCH(P$2,Inputs!$K$4:$AJ$4,0)))+SUMPRODUCT((Inputs!$C$5:$C$110=$B55)*Inputs!$D$5:$D$110*(((Inputs!$G$5:$G$110="moeda")+(Inputs!$G$5:$G$110="acoes"))*Inputs!$B$1+((Inputs!$G$5:$G$110&lt;&gt;"moeda")*(Inputs!$G$5:$G$110&lt;&gt;"acoes")))*INDEX(Inputs!$K$5:$AJ$110,0,MATCH(P$2,Inputs!$K$4:$AJ$4,0)))+SUMPRODUCT((Inputs!$E$5:$E$110=$B55)*Inputs!$F$5:$F$110*(((Inputs!$G$5:$G$110="moeda")+(Inputs!$G$5:$G$110="acoes"))*Inputs!$B$1+((Inputs!$G$5:$G$110&lt;&gt;"moeda")*(Inputs!$G$5:$G$110&lt;&gt;"acoes")))*INDEX(Inputs!$K$5:$AJ$110,0,MATCH(P$2,Inputs!$K$4:$AJ$4,0)))))</f>
        <v>2939</v>
      </c>
      <c r="Q55" s="263">
        <f>IF(ISNA(MATCH(Q$2,Inputs!$K$4:$AJ$4,0)),NA(),IF(SUMPRODUCT((Inputs!$A$5:$A$110=$B55)*ISNUMBER(INDEX(Inputs!$K$5:$AJ$110,0,MATCH(Q$2,Inputs!$K$4:$AJ$4,0))))+SUMPRODUCT((Inputs!$C$5:$C$110=$B55)*ISNUMBER(INDEX(Inputs!$K$5:$AJ$110,0,MATCH(Q$2,Inputs!$K$4:$AJ$4,0))))+SUMPRODUCT((Inputs!$E$5:$E$110=$B55)*ISNUMBER(INDEX(Inputs!$K$5:$AJ$110,0,MATCH(Q$2,Inputs!$K$4:$AJ$4,0))))=0,NA(),SUMPRODUCT((Inputs!$A$5:$A$110=$B55)*Inputs!$B$5:$B$110*(((Inputs!$G$5:$G$110="moeda")+(Inputs!$G$5:$G$110="acoes"))*Inputs!$B$1+((Inputs!$G$5:$G$110&lt;&gt;"moeda")*(Inputs!$G$5:$G$110&lt;&gt;"acoes")))*INDEX(Inputs!$K$5:$AJ$110,0,MATCH(Q$2,Inputs!$K$4:$AJ$4,0)))+SUMPRODUCT((Inputs!$C$5:$C$110=$B55)*Inputs!$D$5:$D$110*(((Inputs!$G$5:$G$110="moeda")+(Inputs!$G$5:$G$110="acoes"))*Inputs!$B$1+((Inputs!$G$5:$G$110&lt;&gt;"moeda")*(Inputs!$G$5:$G$110&lt;&gt;"acoes")))*INDEX(Inputs!$K$5:$AJ$110,0,MATCH(Q$2,Inputs!$K$4:$AJ$4,0)))+SUMPRODUCT((Inputs!$E$5:$E$110=$B55)*Inputs!$F$5:$F$110*(((Inputs!$G$5:$G$110="moeda")+(Inputs!$G$5:$G$110="acoes"))*Inputs!$B$1+((Inputs!$G$5:$G$110&lt;&gt;"moeda")*(Inputs!$G$5:$G$110&lt;&gt;"acoes")))*INDEX(Inputs!$K$5:$AJ$110,0,MATCH(Q$2,Inputs!$K$4:$AJ$4,0)))))</f>
        <v>3171</v>
      </c>
      <c r="R55" s="264">
        <f>SUM(N55:Q55)</f>
        <v>11253</v>
      </c>
      <c r="S55" s="263">
        <f>IF(ISNA(MATCH(S$2,Inputs!$K$4:$AJ$4,0)),NA(),IF(SUMPRODUCT((Inputs!$A$5:$A$110=$B55)*ISNUMBER(INDEX(Inputs!$K$5:$AJ$110,0,MATCH(S$2,Inputs!$K$4:$AJ$4,0))))+SUMPRODUCT((Inputs!$C$5:$C$110=$B55)*ISNUMBER(INDEX(Inputs!$K$5:$AJ$110,0,MATCH(S$2,Inputs!$K$4:$AJ$4,0))))+SUMPRODUCT((Inputs!$E$5:$E$110=$B55)*ISNUMBER(INDEX(Inputs!$K$5:$AJ$110,0,MATCH(S$2,Inputs!$K$4:$AJ$4,0))))=0,NA(),SUMPRODUCT((Inputs!$A$5:$A$110=$B55)*Inputs!$B$5:$B$110*(((Inputs!$G$5:$G$110="moeda")+(Inputs!$G$5:$G$110="acoes"))*Inputs!$B$1+((Inputs!$G$5:$G$110&lt;&gt;"moeda")*(Inputs!$G$5:$G$110&lt;&gt;"acoes")))*INDEX(Inputs!$K$5:$AJ$110,0,MATCH(S$2,Inputs!$K$4:$AJ$4,0)))+SUMPRODUCT((Inputs!$C$5:$C$110=$B55)*Inputs!$D$5:$D$110*(((Inputs!$G$5:$G$110="moeda")+(Inputs!$G$5:$G$110="acoes"))*Inputs!$B$1+((Inputs!$G$5:$G$110&lt;&gt;"moeda")*(Inputs!$G$5:$G$110&lt;&gt;"acoes")))*INDEX(Inputs!$K$5:$AJ$110,0,MATCH(S$2,Inputs!$K$4:$AJ$4,0)))+SUMPRODUCT((Inputs!$E$5:$E$110=$B55)*Inputs!$F$5:$F$110*(((Inputs!$G$5:$G$110="moeda")+(Inputs!$G$5:$G$110="acoes"))*Inputs!$B$1+((Inputs!$G$5:$G$110&lt;&gt;"moeda")*(Inputs!$G$5:$G$110&lt;&gt;"acoes")))*INDEX(Inputs!$K$5:$AJ$110,0,MATCH(S$2,Inputs!$K$4:$AJ$4,0)))))</f>
        <v>2993</v>
      </c>
      <c r="T55" s="263">
        <f>IF(ISNA(MATCH(T$2,Inputs!$K$4:$AJ$4,0)),NA(),IF(SUMPRODUCT((Inputs!$A$5:$A$110=$B55)*ISNUMBER(INDEX(Inputs!$K$5:$AJ$110,0,MATCH(T$2,Inputs!$K$4:$AJ$4,0))))+SUMPRODUCT((Inputs!$C$5:$C$110=$B55)*ISNUMBER(INDEX(Inputs!$K$5:$AJ$110,0,MATCH(T$2,Inputs!$K$4:$AJ$4,0))))+SUMPRODUCT((Inputs!$E$5:$E$110=$B55)*ISNUMBER(INDEX(Inputs!$K$5:$AJ$110,0,MATCH(T$2,Inputs!$K$4:$AJ$4,0))))=0,NA(),SUMPRODUCT((Inputs!$A$5:$A$110=$B55)*Inputs!$B$5:$B$110*(((Inputs!$G$5:$G$110="moeda")+(Inputs!$G$5:$G$110="acoes"))*Inputs!$B$1+((Inputs!$G$5:$G$110&lt;&gt;"moeda")*(Inputs!$G$5:$G$110&lt;&gt;"acoes")))*INDEX(Inputs!$K$5:$AJ$110,0,MATCH(T$2,Inputs!$K$4:$AJ$4,0)))+SUMPRODUCT((Inputs!$C$5:$C$110=$B55)*Inputs!$D$5:$D$110*(((Inputs!$G$5:$G$110="moeda")+(Inputs!$G$5:$G$110="acoes"))*Inputs!$B$1+((Inputs!$G$5:$G$110&lt;&gt;"moeda")*(Inputs!$G$5:$G$110&lt;&gt;"acoes")))*INDEX(Inputs!$K$5:$AJ$110,0,MATCH(T$2,Inputs!$K$4:$AJ$4,0)))+SUMPRODUCT((Inputs!$E$5:$E$110=$B55)*Inputs!$F$5:$F$110*(((Inputs!$G$5:$G$110="moeda")+(Inputs!$G$5:$G$110="acoes"))*Inputs!$B$1+((Inputs!$G$5:$G$110&lt;&gt;"moeda")*(Inputs!$G$5:$G$110&lt;&gt;"acoes")))*INDEX(Inputs!$K$5:$AJ$110,0,MATCH(T$2,Inputs!$K$4:$AJ$4,0)))))</f>
        <v>3102</v>
      </c>
      <c r="U55" s="263">
        <f>IF(ISNA(MATCH(U$2,Inputs!$K$4:$AJ$4,0)),NA(),IF(SUMPRODUCT((Inputs!$A$5:$A$110=$B55)*ISNUMBER(INDEX(Inputs!$K$5:$AJ$110,0,MATCH(U$2,Inputs!$K$4:$AJ$4,0))))+SUMPRODUCT((Inputs!$C$5:$C$110=$B55)*ISNUMBER(INDEX(Inputs!$K$5:$AJ$110,0,MATCH(U$2,Inputs!$K$4:$AJ$4,0))))+SUMPRODUCT((Inputs!$E$5:$E$110=$B55)*ISNUMBER(INDEX(Inputs!$K$5:$AJ$110,0,MATCH(U$2,Inputs!$K$4:$AJ$4,0))))=0,NA(),SUMPRODUCT((Inputs!$A$5:$A$110=$B55)*Inputs!$B$5:$B$110*(((Inputs!$G$5:$G$110="moeda")+(Inputs!$G$5:$G$110="acoes"))*Inputs!$B$1+((Inputs!$G$5:$G$110&lt;&gt;"moeda")*(Inputs!$G$5:$G$110&lt;&gt;"acoes")))*INDEX(Inputs!$K$5:$AJ$110,0,MATCH(U$2,Inputs!$K$4:$AJ$4,0)))+SUMPRODUCT((Inputs!$C$5:$C$110=$B55)*Inputs!$D$5:$D$110*(((Inputs!$G$5:$G$110="moeda")+(Inputs!$G$5:$G$110="acoes"))*Inputs!$B$1+((Inputs!$G$5:$G$110&lt;&gt;"moeda")*(Inputs!$G$5:$G$110&lt;&gt;"acoes")))*INDEX(Inputs!$K$5:$AJ$110,0,MATCH(U$2,Inputs!$K$4:$AJ$4,0)))+SUMPRODUCT((Inputs!$E$5:$E$110=$B55)*Inputs!$F$5:$F$110*(((Inputs!$G$5:$G$110="moeda")+(Inputs!$G$5:$G$110="acoes"))*Inputs!$B$1+((Inputs!$G$5:$G$110&lt;&gt;"moeda")*(Inputs!$G$5:$G$110&lt;&gt;"acoes")))*INDEX(Inputs!$K$5:$AJ$110,0,MATCH(U$2,Inputs!$K$4:$AJ$4,0)))))</f>
        <v>3175</v>
      </c>
      <c r="V55" s="263">
        <f>IF(ISNA(MATCH(V$2,Inputs!$K$4:$AJ$4,0)),NA(),IF(SUMPRODUCT((Inputs!$A$5:$A$110=$B55)*ISNUMBER(INDEX(Inputs!$K$5:$AJ$110,0,MATCH(V$2,Inputs!$K$4:$AJ$4,0))))+SUMPRODUCT((Inputs!$C$5:$C$110=$B55)*ISNUMBER(INDEX(Inputs!$K$5:$AJ$110,0,MATCH(V$2,Inputs!$K$4:$AJ$4,0))))+SUMPRODUCT((Inputs!$E$5:$E$110=$B55)*ISNUMBER(INDEX(Inputs!$K$5:$AJ$110,0,MATCH(V$2,Inputs!$K$4:$AJ$4,0))))=0,NA(),SUMPRODUCT((Inputs!$A$5:$A$110=$B55)*Inputs!$B$5:$B$110*(((Inputs!$G$5:$G$110="moeda")+(Inputs!$G$5:$G$110="acoes"))*Inputs!$B$1+((Inputs!$G$5:$G$110&lt;&gt;"moeda")*(Inputs!$G$5:$G$110&lt;&gt;"acoes")))*INDEX(Inputs!$K$5:$AJ$110,0,MATCH(V$2,Inputs!$K$4:$AJ$4,0)))+SUMPRODUCT((Inputs!$C$5:$C$110=$B55)*Inputs!$D$5:$D$110*(((Inputs!$G$5:$G$110="moeda")+(Inputs!$G$5:$G$110="acoes"))*Inputs!$B$1+((Inputs!$G$5:$G$110&lt;&gt;"moeda")*(Inputs!$G$5:$G$110&lt;&gt;"acoes")))*INDEX(Inputs!$K$5:$AJ$110,0,MATCH(V$2,Inputs!$K$4:$AJ$4,0)))+SUMPRODUCT((Inputs!$E$5:$E$110=$B55)*Inputs!$F$5:$F$110*(((Inputs!$G$5:$G$110="moeda")+(Inputs!$G$5:$G$110="acoes"))*Inputs!$B$1+((Inputs!$G$5:$G$110&lt;&gt;"moeda")*(Inputs!$G$5:$G$110&lt;&gt;"acoes")))*INDEX(Inputs!$K$5:$AJ$110,0,MATCH(V$2,Inputs!$K$4:$AJ$4,0)))))</f>
        <v>3412</v>
      </c>
      <c r="W55" s="264">
        <f>SUM(S55:V55)</f>
        <v>12682</v>
      </c>
      <c r="X55" s="263">
        <f>IF(ISNA(MATCH(X$2,Inputs!$K$4:$AJ$4,0)),NA(),IF(SUMPRODUCT((Inputs!$A$5:$A$110=$B55)*ISNUMBER(INDEX(Inputs!$K$5:$AJ$110,0,MATCH(X$2,Inputs!$K$4:$AJ$4,0))))+SUMPRODUCT((Inputs!$C$5:$C$110=$B55)*ISNUMBER(INDEX(Inputs!$K$5:$AJ$110,0,MATCH(X$2,Inputs!$K$4:$AJ$4,0))))+SUMPRODUCT((Inputs!$E$5:$E$110=$B55)*ISNUMBER(INDEX(Inputs!$K$5:$AJ$110,0,MATCH(X$2,Inputs!$K$4:$AJ$4,0))))=0,NA(),SUMPRODUCT((Inputs!$A$5:$A$110=$B55)*Inputs!$B$5:$B$110*(((Inputs!$G$5:$G$110="moeda")+(Inputs!$G$5:$G$110="acoes"))*Inputs!$B$1+((Inputs!$G$5:$G$110&lt;&gt;"moeda")*(Inputs!$G$5:$G$110&lt;&gt;"acoes")))*INDEX(Inputs!$K$5:$AJ$110,0,MATCH(X$2,Inputs!$K$4:$AJ$4,0)))+SUMPRODUCT((Inputs!$C$5:$C$110=$B55)*Inputs!$D$5:$D$110*(((Inputs!$G$5:$G$110="moeda")+(Inputs!$G$5:$G$110="acoes"))*Inputs!$B$1+((Inputs!$G$5:$G$110&lt;&gt;"moeda")*(Inputs!$G$5:$G$110&lt;&gt;"acoes")))*INDEX(Inputs!$K$5:$AJ$110,0,MATCH(X$2,Inputs!$K$4:$AJ$4,0)))+SUMPRODUCT((Inputs!$E$5:$E$110=$B55)*Inputs!$F$5:$F$110*(((Inputs!$G$5:$G$110="moeda")+(Inputs!$G$5:$G$110="acoes"))*Inputs!$B$1+((Inputs!$G$5:$G$110&lt;&gt;"moeda")*(Inputs!$G$5:$G$110&lt;&gt;"acoes")))*INDEX(Inputs!$K$5:$AJ$110,0,MATCH(X$2,Inputs!$K$4:$AJ$4,0)))))</f>
        <v>3373</v>
      </c>
      <c r="Y55" s="263">
        <f>IF(ISNA(MATCH(Y$2,Inputs!$K$4:$AJ$4,0)),NA(),IF(SUMPRODUCT((Inputs!$A$5:$A$110=$B55)*ISNUMBER(INDEX(Inputs!$K$5:$AJ$110,0,MATCH(Y$2,Inputs!$K$4:$AJ$4,0))))+SUMPRODUCT((Inputs!$C$5:$C$110=$B55)*ISNUMBER(INDEX(Inputs!$K$5:$AJ$110,0,MATCH(Y$2,Inputs!$K$4:$AJ$4,0))))+SUMPRODUCT((Inputs!$E$5:$E$110=$B55)*ISNUMBER(INDEX(Inputs!$K$5:$AJ$110,0,MATCH(Y$2,Inputs!$K$4:$AJ$4,0))))=0,NA(),SUMPRODUCT((Inputs!$A$5:$A$110=$B55)*Inputs!$B$5:$B$110*(((Inputs!$G$5:$G$110="moeda")+(Inputs!$G$5:$G$110="acoes"))*Inputs!$B$1+((Inputs!$G$5:$G$110&lt;&gt;"moeda")*(Inputs!$G$5:$G$110&lt;&gt;"acoes")))*INDEX(Inputs!$K$5:$AJ$110,0,MATCH(Y$2,Inputs!$K$4:$AJ$4,0)))+SUMPRODUCT((Inputs!$C$5:$C$110=$B55)*Inputs!$D$5:$D$110*(((Inputs!$G$5:$G$110="moeda")+(Inputs!$G$5:$G$110="acoes"))*Inputs!$B$1+((Inputs!$G$5:$G$110&lt;&gt;"moeda")*(Inputs!$G$5:$G$110&lt;&gt;"acoes")))*INDEX(Inputs!$K$5:$AJ$110,0,MATCH(Y$2,Inputs!$K$4:$AJ$4,0)))+SUMPRODUCT((Inputs!$E$5:$E$110=$B55)*Inputs!$F$5:$F$110*(((Inputs!$G$5:$G$110="moeda")+(Inputs!$G$5:$G$110="acoes"))*Inputs!$B$1+((Inputs!$G$5:$G$110&lt;&gt;"moeda")*(Inputs!$G$5:$G$110&lt;&gt;"acoes")))*INDEX(Inputs!$K$5:$AJ$110,0,MATCH(Y$2,Inputs!$K$4:$AJ$4,0)))))</f>
        <v>3433</v>
      </c>
      <c r="Z55" s="263">
        <f>IF(ISNA(MATCH(Z$2,Inputs!$K$4:$AJ$4,0)),NA(),IF(SUMPRODUCT((Inputs!$A$5:$A$110=$B55)*ISNUMBER(INDEX(Inputs!$K$5:$AJ$110,0,MATCH(Z$2,Inputs!$K$4:$AJ$4,0))))+SUMPRODUCT((Inputs!$C$5:$C$110=$B55)*ISNUMBER(INDEX(Inputs!$K$5:$AJ$110,0,MATCH(Z$2,Inputs!$K$4:$AJ$4,0))))+SUMPRODUCT((Inputs!$E$5:$E$110=$B55)*ISNUMBER(INDEX(Inputs!$K$5:$AJ$110,0,MATCH(Z$2,Inputs!$K$4:$AJ$4,0))))=0,NA(),SUMPRODUCT((Inputs!$A$5:$A$110=$B55)*Inputs!$B$5:$B$110*(((Inputs!$G$5:$G$110="moeda")+(Inputs!$G$5:$G$110="acoes"))*Inputs!$B$1+((Inputs!$G$5:$G$110&lt;&gt;"moeda")*(Inputs!$G$5:$G$110&lt;&gt;"acoes")))*INDEX(Inputs!$K$5:$AJ$110,0,MATCH(Z$2,Inputs!$K$4:$AJ$4,0)))+SUMPRODUCT((Inputs!$C$5:$C$110=$B55)*Inputs!$D$5:$D$110*(((Inputs!$G$5:$G$110="moeda")+(Inputs!$G$5:$G$110="acoes"))*Inputs!$B$1+((Inputs!$G$5:$G$110&lt;&gt;"moeda")*(Inputs!$G$5:$G$110&lt;&gt;"acoes")))*INDEX(Inputs!$K$5:$AJ$110,0,MATCH(Z$2,Inputs!$K$4:$AJ$4,0)))+SUMPRODUCT((Inputs!$E$5:$E$110=$B55)*Inputs!$F$5:$F$110*(((Inputs!$G$5:$G$110="moeda")+(Inputs!$G$5:$G$110="acoes"))*Inputs!$B$1+((Inputs!$G$5:$G$110&lt;&gt;"moeda")*(Inputs!$G$5:$G$110&lt;&gt;"acoes")))*INDEX(Inputs!$K$5:$AJ$110,0,MATCH(Z$2,Inputs!$K$4:$AJ$4,0)))))</f>
        <v>3624</v>
      </c>
      <c r="AA55" s="263">
        <f>IF(ISNA(MATCH(AA$2,Inputs!$K$4:$AJ$4,0)),NA(),IF(SUMPRODUCT((Inputs!$A$5:$A$110=$B55)*ISNUMBER(INDEX(Inputs!$K$5:$AJ$110,0,MATCH(AA$2,Inputs!$K$4:$AJ$4,0))))+SUMPRODUCT((Inputs!$C$5:$C$110=$B55)*ISNUMBER(INDEX(Inputs!$K$5:$AJ$110,0,MATCH(AA$2,Inputs!$K$4:$AJ$4,0))))+SUMPRODUCT((Inputs!$E$5:$E$110=$B55)*ISNUMBER(INDEX(Inputs!$K$5:$AJ$110,0,MATCH(AA$2,Inputs!$K$4:$AJ$4,0))))=0,NA(),SUMPRODUCT((Inputs!$A$5:$A$110=$B55)*Inputs!$B$5:$B$110*(((Inputs!$G$5:$G$110="moeda")+(Inputs!$G$5:$G$110="acoes"))*Inputs!$B$1+((Inputs!$G$5:$G$110&lt;&gt;"moeda")*(Inputs!$G$5:$G$110&lt;&gt;"acoes")))*INDEX(Inputs!$K$5:$AJ$110,0,MATCH(AA$2,Inputs!$K$4:$AJ$4,0)))+SUMPRODUCT((Inputs!$C$5:$C$110=$B55)*Inputs!$D$5:$D$110*(((Inputs!$G$5:$G$110="moeda")+(Inputs!$G$5:$G$110="acoes"))*Inputs!$B$1+((Inputs!$G$5:$G$110&lt;&gt;"moeda")*(Inputs!$G$5:$G$110&lt;&gt;"acoes")))*INDEX(Inputs!$K$5:$AJ$110,0,MATCH(AA$2,Inputs!$K$4:$AJ$4,0)))+SUMPRODUCT((Inputs!$E$5:$E$110=$B55)*Inputs!$F$5:$F$110*(((Inputs!$G$5:$G$110="moeda")+(Inputs!$G$5:$G$110="acoes"))*Inputs!$B$1+((Inputs!$G$5:$G$110&lt;&gt;"moeda")*(Inputs!$G$5:$G$110&lt;&gt;"acoes")))*INDEX(Inputs!$K$5:$AJ$110,0,MATCH(AA$2,Inputs!$K$4:$AJ$4,0)))))</f>
        <v>4020</v>
      </c>
      <c r="AB55" s="264">
        <f>SUM(X55:AA55)</f>
        <v>14450</v>
      </c>
      <c r="AC55" s="263">
        <f>IF(ISNA(MATCH(AC$2,Inputs!$K$4:$AJ$4,0)),NA(),IF(SUMPRODUCT((Inputs!$A$5:$A$110=$B55)*ISNUMBER(INDEX(Inputs!$K$5:$AJ$110,0,MATCH(AC$2,Inputs!$K$4:$AJ$4,0))))+SUMPRODUCT((Inputs!$C$5:$C$110=$B55)*ISNUMBER(INDEX(Inputs!$K$5:$AJ$110,0,MATCH(AC$2,Inputs!$K$4:$AJ$4,0))))+SUMPRODUCT((Inputs!$E$5:$E$110=$B55)*ISNUMBER(INDEX(Inputs!$K$5:$AJ$110,0,MATCH(AC$2,Inputs!$K$4:$AJ$4,0))))=0,NA(),SUMPRODUCT((Inputs!$A$5:$A$110=$B55)*Inputs!$B$5:$B$110*(((Inputs!$G$5:$G$110="moeda")+(Inputs!$G$5:$G$110="acoes"))*Inputs!$B$1+((Inputs!$G$5:$G$110&lt;&gt;"moeda")*(Inputs!$G$5:$G$110&lt;&gt;"acoes")))*INDEX(Inputs!$K$5:$AJ$110,0,MATCH(AC$2,Inputs!$K$4:$AJ$4,0)))+SUMPRODUCT((Inputs!$C$5:$C$110=$B55)*Inputs!$D$5:$D$110*(((Inputs!$G$5:$G$110="moeda")+(Inputs!$G$5:$G$110="acoes"))*Inputs!$B$1+((Inputs!$G$5:$G$110&lt;&gt;"moeda")*(Inputs!$G$5:$G$110&lt;&gt;"acoes")))*INDEX(Inputs!$K$5:$AJ$110,0,MATCH(AC$2,Inputs!$K$4:$AJ$4,0)))+SUMPRODUCT((Inputs!$E$5:$E$110=$B55)*Inputs!$F$5:$F$110*(((Inputs!$G$5:$G$110="moeda")+(Inputs!$G$5:$G$110="acoes"))*Inputs!$B$1+((Inputs!$G$5:$G$110&lt;&gt;"moeda")*(Inputs!$G$5:$G$110&lt;&gt;"acoes")))*INDEX(Inputs!$K$5:$AJ$110,0,MATCH(AC$2,Inputs!$K$4:$AJ$4,0)))))</f>
        <v>3649</v>
      </c>
      <c r="AD55" s="263">
        <f>IF(ISNA(MATCH(AD$2,Inputs!$K$4:$AJ$4,0)),NA(),IF(SUMPRODUCT((Inputs!$A$5:$A$110=$B55)*ISNUMBER(INDEX(Inputs!$K$5:$AJ$110,0,MATCH(AD$2,Inputs!$K$4:$AJ$4,0))))+SUMPRODUCT((Inputs!$C$5:$C$110=$B55)*ISNUMBER(INDEX(Inputs!$K$5:$AJ$110,0,MATCH(AD$2,Inputs!$K$4:$AJ$4,0))))+SUMPRODUCT((Inputs!$E$5:$E$110=$B55)*ISNUMBER(INDEX(Inputs!$K$5:$AJ$110,0,MATCH(AD$2,Inputs!$K$4:$AJ$4,0))))=0,NA(),SUMPRODUCT((Inputs!$A$5:$A$110=$B55)*Inputs!$B$5:$B$110*(((Inputs!$G$5:$G$110="moeda")+(Inputs!$G$5:$G$110="acoes"))*Inputs!$B$1+((Inputs!$G$5:$G$110&lt;&gt;"moeda")*(Inputs!$G$5:$G$110&lt;&gt;"acoes")))*INDEX(Inputs!$K$5:$AJ$110,0,MATCH(AD$2,Inputs!$K$4:$AJ$4,0)))+SUMPRODUCT((Inputs!$C$5:$C$110=$B55)*Inputs!$D$5:$D$110*(((Inputs!$G$5:$G$110="moeda")+(Inputs!$G$5:$G$110="acoes"))*Inputs!$B$1+((Inputs!$G$5:$G$110&lt;&gt;"moeda")*(Inputs!$G$5:$G$110&lt;&gt;"acoes")))*INDEX(Inputs!$K$5:$AJ$110,0,MATCH(AD$2,Inputs!$K$4:$AJ$4,0)))+SUMPRODUCT((Inputs!$E$5:$E$110=$B55)*Inputs!$F$5:$F$110*(((Inputs!$G$5:$G$110="moeda")+(Inputs!$G$5:$G$110="acoes"))*Inputs!$B$1+((Inputs!$G$5:$G$110&lt;&gt;"moeda")*(Inputs!$G$5:$G$110&lt;&gt;"acoes")))*INDEX(Inputs!$K$5:$AJ$110,0,MATCH(AD$2,Inputs!$K$4:$AJ$4,0)))))</f>
        <v>4101</v>
      </c>
      <c r="AE55" s="263" t="e">
        <f>IF(ISNA(MATCH(AE$2,Inputs!$K$4:$AJ$4,0)),NA(),IF(SUMPRODUCT((Inputs!$A$5:$A$110=$B55)*ISNUMBER(INDEX(Inputs!$K$5:$AJ$110,0,MATCH(AE$2,Inputs!$K$4:$AJ$4,0))))+SUMPRODUCT((Inputs!$C$5:$C$110=$B55)*ISNUMBER(INDEX(Inputs!$K$5:$AJ$110,0,MATCH(AE$2,Inputs!$K$4:$AJ$4,0))))+SUMPRODUCT((Inputs!$E$5:$E$110=$B55)*ISNUMBER(INDEX(Inputs!$K$5:$AJ$110,0,MATCH(AE$2,Inputs!$K$4:$AJ$4,0))))=0,NA(),SUMPRODUCT((Inputs!$A$5:$A$110=$B55)*Inputs!$B$5:$B$110*(((Inputs!$G$5:$G$110="moeda")+(Inputs!$G$5:$G$110="acoes"))*Inputs!$B$1+((Inputs!$G$5:$G$110&lt;&gt;"moeda")*(Inputs!$G$5:$G$110&lt;&gt;"acoes")))*INDEX(Inputs!$K$5:$AJ$110,0,MATCH(AE$2,Inputs!$K$4:$AJ$4,0)))+SUMPRODUCT((Inputs!$C$5:$C$110=$B55)*Inputs!$D$5:$D$110*(((Inputs!$G$5:$G$110="moeda")+(Inputs!$G$5:$G$110="acoes"))*Inputs!$B$1+((Inputs!$G$5:$G$110&lt;&gt;"moeda")*(Inputs!$G$5:$G$110&lt;&gt;"acoes")))*INDEX(Inputs!$K$5:$AJ$110,0,MATCH(AE$2,Inputs!$K$4:$AJ$4,0)))+SUMPRODUCT((Inputs!$E$5:$E$110=$B55)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5" s="263" t="e">
        <f>IF(ISNA(MATCH(AF$2,Inputs!$K$4:$AJ$4,0)),NA(),IF(SUMPRODUCT((Inputs!$A$5:$A$110=$B55)*ISNUMBER(INDEX(Inputs!$K$5:$AJ$110,0,MATCH(AF$2,Inputs!$K$4:$AJ$4,0))))+SUMPRODUCT((Inputs!$C$5:$C$110=$B55)*ISNUMBER(INDEX(Inputs!$K$5:$AJ$110,0,MATCH(AF$2,Inputs!$K$4:$AJ$4,0))))+SUMPRODUCT((Inputs!$E$5:$E$110=$B55)*ISNUMBER(INDEX(Inputs!$K$5:$AJ$110,0,MATCH(AF$2,Inputs!$K$4:$AJ$4,0))))=0,NA(),SUMPRODUCT((Inputs!$A$5:$A$110=$B55)*Inputs!$B$5:$B$110*(((Inputs!$G$5:$G$110="moeda")+(Inputs!$G$5:$G$110="acoes"))*Inputs!$B$1+((Inputs!$G$5:$G$110&lt;&gt;"moeda")*(Inputs!$G$5:$G$110&lt;&gt;"acoes")))*INDEX(Inputs!$K$5:$AJ$110,0,MATCH(AF$2,Inputs!$K$4:$AJ$4,0)))+SUMPRODUCT((Inputs!$C$5:$C$110=$B55)*Inputs!$D$5:$D$110*(((Inputs!$G$5:$G$110="moeda")+(Inputs!$G$5:$G$110="acoes"))*Inputs!$B$1+((Inputs!$G$5:$G$110&lt;&gt;"moeda")*(Inputs!$G$5:$G$110&lt;&gt;"acoes")))*INDEX(Inputs!$K$5:$AJ$110,0,MATCH(AF$2,Inputs!$K$4:$AJ$4,0)))+SUMPRODUCT((Inputs!$E$5:$E$110=$B55)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$110=$B55)*ISNUMBER(INDEX(Inputs!$K$5:$AJ$110,0,MATCH(AH$2,Inputs!$K$4:$AJ$4,0))))+SUMPRODUCT((Inputs!$C$5:$C$110=$B55)*ISNUMBER(INDEX(Inputs!$K$5:$AJ$110,0,MATCH(AH$2,Inputs!$K$4:$AJ$4,0))))+SUMPRODUCT((Inputs!$E$5:$E$110=$B55)*ISNUMBER(INDEX(Inputs!$K$5:$AJ$110,0,MATCH(AH$2,Inputs!$K$4:$AJ$4,0))))=0,NA(),SUMPRODUCT((Inputs!$A$5:$A$110=$B55)*Inputs!$B$5:$B$110*(((Inputs!$G$5:$G$110="moeda")+(Inputs!$G$5:$G$110="acoes"))*Inputs!$B$1+((Inputs!$G$5:$G$110&lt;&gt;"moeda")*(Inputs!$G$5:$G$110&lt;&gt;"acoes")))*INDEX(Inputs!$K$5:$AJ$110,0,MATCH(AH$2,Inputs!$K$4:$AJ$4,0)))+SUMPRODUCT((Inputs!$C$5:$C$110=$B55)*Inputs!$D$5:$D$110*(((Inputs!$G$5:$G$110="moeda")+(Inputs!$G$5:$G$110="acoes"))*Inputs!$B$1+((Inputs!$G$5:$G$110&lt;&gt;"moeda")*(Inputs!$G$5:$G$110&lt;&gt;"acoes")))*INDEX(Inputs!$K$5:$AJ$110,0,MATCH(AH$2,Inputs!$K$4:$AJ$4,0)))+SUMPRODUCT((Inputs!$E$5:$E$110=$B55)*Inputs!$F$5:$F$110*(((Inputs!$G$5:$G$110="moeda")+(Inputs!$G$5:$G$110="acoes"))*Inputs!$B$1+((Inputs!$G$5:$G$110&lt;&gt;"moeda")*(Inputs!$G$5:$G$110&lt;&gt;"acoes")))*INDEX(Inputs!$K$5:$AJ$110,0,MATCH(AH$2,Inputs!$K$4:$AJ$4,0)))))</f>
        <v>2619</v>
      </c>
      <c r="AI55" s="263">
        <f>IF(ISNA(MATCH(AI$2,Inputs!$K$4:$AJ$4,0)),NA(),IF(SUMPRODUCT((Inputs!$A$5:$A$110=$B55)*ISNUMBER(INDEX(Inputs!$K$5:$AJ$110,0,MATCH(AI$2,Inputs!$K$4:$AJ$4,0))))+SUMPRODUCT((Inputs!$C$5:$C$110=$B55)*ISNUMBER(INDEX(Inputs!$K$5:$AJ$110,0,MATCH(AI$2,Inputs!$K$4:$AJ$4,0))))+SUMPRODUCT((Inputs!$E$5:$E$110=$B55)*ISNUMBER(INDEX(Inputs!$K$5:$AJ$110,0,MATCH(AI$2,Inputs!$K$4:$AJ$4,0))))=0,NA(),SUMPRODUCT((Inputs!$A$5:$A$110=$B55)*Inputs!$B$5:$B$110*(((Inputs!$G$5:$G$110="moeda")+(Inputs!$G$5:$G$110="acoes"))*Inputs!$B$1+((Inputs!$G$5:$G$110&lt;&gt;"moeda")*(Inputs!$G$5:$G$110&lt;&gt;"acoes")))*INDEX(Inputs!$K$5:$AJ$110,0,MATCH(AI$2,Inputs!$K$4:$AJ$4,0)))+SUMPRODUCT((Inputs!$C$5:$C$110=$B55)*Inputs!$D$5:$D$110*(((Inputs!$G$5:$G$110="moeda")+(Inputs!$G$5:$G$110="acoes"))*Inputs!$B$1+((Inputs!$G$5:$G$110&lt;&gt;"moeda")*(Inputs!$G$5:$G$110&lt;&gt;"acoes")))*INDEX(Inputs!$K$5:$AJ$110,0,MATCH(AI$2,Inputs!$K$4:$AJ$4,0)))+SUMPRODUCT((Inputs!$E$5:$E$110=$B55)*Inputs!$F$5:$F$110*(((Inputs!$G$5:$G$110="moeda")+(Inputs!$G$5:$G$110="acoes"))*Inputs!$B$1+((Inputs!$G$5:$G$110&lt;&gt;"moeda")*(Inputs!$G$5:$G$110&lt;&gt;"acoes")))*INDEX(Inputs!$K$5:$AJ$110,0,MATCH(AI$2,Inputs!$K$4:$AJ$4,0)))))</f>
        <v>2801</v>
      </c>
      <c r="AJ55" s="263">
        <f>IF(ISNA(MATCH(AJ$2,Inputs!$K$4:$AJ$4,0)),NA(),IF(SUMPRODUCT((Inputs!$A$5:$A$110=$B55)*ISNUMBER(INDEX(Inputs!$K$5:$AJ$110,0,MATCH(AJ$2,Inputs!$K$4:$AJ$4,0))))+SUMPRODUCT((Inputs!$C$5:$C$110=$B55)*ISNUMBER(INDEX(Inputs!$K$5:$AJ$110,0,MATCH(AJ$2,Inputs!$K$4:$AJ$4,0))))+SUMPRODUCT((Inputs!$E$5:$E$110=$B55)*ISNUMBER(INDEX(Inputs!$K$5:$AJ$110,0,MATCH(AJ$2,Inputs!$K$4:$AJ$4,0))))=0,NA(),SUMPRODUCT((Inputs!$A$5:$A$110=$B55)*Inputs!$B$5:$B$110*(((Inputs!$G$5:$G$110="moeda")+(Inputs!$G$5:$G$110="acoes"))*Inputs!$B$1+((Inputs!$G$5:$G$110&lt;&gt;"moeda")*(Inputs!$G$5:$G$110&lt;&gt;"acoes")))*INDEX(Inputs!$K$5:$AJ$110,0,MATCH(AJ$2,Inputs!$K$4:$AJ$4,0)))+SUMPRODUCT((Inputs!$C$5:$C$110=$B55)*Inputs!$D$5:$D$110*(((Inputs!$G$5:$G$110="moeda")+(Inputs!$G$5:$G$110="acoes"))*Inputs!$B$1+((Inputs!$G$5:$G$110&lt;&gt;"moeda")*(Inputs!$G$5:$G$110&lt;&gt;"acoes")))*INDEX(Inputs!$K$5:$AJ$110,0,MATCH(AJ$2,Inputs!$K$4:$AJ$4,0)))+SUMPRODUCT((Inputs!$E$5:$E$110=$B55)*Inputs!$F$5:$F$110*(((Inputs!$G$5:$G$110="moeda")+(Inputs!$G$5:$G$110="acoes"))*Inputs!$B$1+((Inputs!$G$5:$G$110&lt;&gt;"moeda")*(Inputs!$G$5:$G$110&lt;&gt;"acoes")))*INDEX(Inputs!$K$5:$AJ$110,0,MATCH(AJ$2,Inputs!$K$4:$AJ$4,0)))))</f>
        <v>2971</v>
      </c>
      <c r="AK55" s="263">
        <f>IF(ISNA(MATCH(AK$2,Inputs!$K$4:$AJ$4,0)),NA(),IF(SUMPRODUCT((Inputs!$A$5:$A$110=$B55)*ISNUMBER(INDEX(Inputs!$K$5:$AJ$110,0,MATCH(AK$2,Inputs!$K$4:$AJ$4,0))))+SUMPRODUCT((Inputs!$C$5:$C$110=$B55)*ISNUMBER(INDEX(Inputs!$K$5:$AJ$110,0,MATCH(AK$2,Inputs!$K$4:$AJ$4,0))))+SUMPRODUCT((Inputs!$E$5:$E$110=$B55)*ISNUMBER(INDEX(Inputs!$K$5:$AJ$110,0,MATCH(AK$2,Inputs!$K$4:$AJ$4,0))))=0,NA(),SUMPRODUCT((Inputs!$A$5:$A$110=$B55)*Inputs!$B$5:$B$110*(((Inputs!$G$5:$G$110="moeda")+(Inputs!$G$5:$G$110="acoes"))*Inputs!$B$1+((Inputs!$G$5:$G$110&lt;&gt;"moeda")*(Inputs!$G$5:$G$110&lt;&gt;"acoes")))*INDEX(Inputs!$K$5:$AJ$110,0,MATCH(AK$2,Inputs!$K$4:$AJ$4,0)))+SUMPRODUCT((Inputs!$C$5:$C$110=$B55)*Inputs!$D$5:$D$110*(((Inputs!$G$5:$G$110="moeda")+(Inputs!$G$5:$G$110="acoes"))*Inputs!$B$1+((Inputs!$G$5:$G$110&lt;&gt;"moeda")*(Inputs!$G$5:$G$110&lt;&gt;"acoes")))*INDEX(Inputs!$K$5:$AJ$110,0,MATCH(AK$2,Inputs!$K$4:$AJ$4,0)))+SUMPRODUCT((Inputs!$E$5:$E$110=$B55)*Inputs!$F$5:$F$110*(((Inputs!$G$5:$G$110="moeda")+(Inputs!$G$5:$G$110="acoes"))*Inputs!$B$1+((Inputs!$G$5:$G$110&lt;&gt;"moeda")*(Inputs!$G$5:$G$110&lt;&gt;"acoes")))*INDEX(Inputs!$K$5:$AJ$110,0,MATCH(AK$2,Inputs!$K$4:$AJ$4,0)))))</f>
        <v>2866</v>
      </c>
      <c r="AL55" s="264">
        <f>SUM(AH55:AK55)</f>
        <v>11257</v>
      </c>
    </row>
    <row r="56">
      <c r="B56" s="46" t="n">
        <v>48</v>
      </c>
      <c r="C56" s="29" t="inlineStr">
        <is>
          <t>Missiles and Fire Control - lucro do segmento (USD)</t>
        </is>
      </c>
      <c r="D56" s="263">
        <f>IF(ISNA(MATCH(D$2,Inputs!$K$4:$AJ$4,0)),NA(),IF(SUMPRODUCT((Inputs!$A$5:$A$110=$B56)*ISNUMBER(INDEX(Inputs!$K$5:$AJ$110,0,MATCH(D$2,Inputs!$K$4:$AJ$4,0))))+SUMPRODUCT((Inputs!$C$5:$C$110=$B56)*ISNUMBER(INDEX(Inputs!$K$5:$AJ$110,0,MATCH(D$2,Inputs!$K$4:$AJ$4,0))))+SUMPRODUCT((Inputs!$E$5:$E$110=$B56)*ISNUMBER(INDEX(Inputs!$K$5:$AJ$110,0,MATCH(D$2,Inputs!$K$4:$AJ$4,0))))=0,NA(),SUMPRODUCT((Inputs!$A$5:$A$110=$B56)*Inputs!$B$5:$B$110*(((Inputs!$G$5:$G$110="moeda")+(Inputs!$G$5:$G$110="acoes"))*Inputs!$B$1+((Inputs!$G$5:$G$110&lt;&gt;"moeda")*(Inputs!$G$5:$G$110&lt;&gt;"acoes")))*INDEX(Inputs!$K$5:$AJ$110,0,MATCH(D$2,Inputs!$K$4:$AJ$4,0)))+SUMPRODUCT((Inputs!$C$5:$C$110=$B56)*Inputs!$D$5:$D$110*(((Inputs!$G$5:$G$110="moeda")+(Inputs!$G$5:$G$110="acoes"))*Inputs!$B$1+((Inputs!$G$5:$G$110&lt;&gt;"moeda")*(Inputs!$G$5:$G$110&lt;&gt;"acoes")))*INDEX(Inputs!$K$5:$AJ$110,0,MATCH(D$2,Inputs!$K$4:$AJ$4,0)))+SUMPRODUCT((Inputs!$E$5:$E$110=$B56)*Inputs!$F$5:$F$110*(((Inputs!$G$5:$G$110="moeda")+(Inputs!$G$5:$G$110="acoes"))*Inputs!$B$1+((Inputs!$G$5:$G$110&lt;&gt;"moeda")*(Inputs!$G$5:$G$110&lt;&gt;"acoes")))*INDEX(Inputs!$K$5:$AJ$110,0,MATCH(D$2,Inputs!$K$4:$AJ$4,0)))))</f>
        <v>396</v>
      </c>
      <c r="E56" s="263">
        <f>IF(ISNA(MATCH(E$2,Inputs!$K$4:$AJ$4,0)),NA(),IF(SUMPRODUCT((Inputs!$A$5:$A$110=$B56)*ISNUMBER(INDEX(Inputs!$K$5:$AJ$110,0,MATCH(E$2,Inputs!$K$4:$AJ$4,0))))+SUMPRODUCT((Inputs!$C$5:$C$110=$B56)*ISNUMBER(INDEX(Inputs!$K$5:$AJ$110,0,MATCH(E$2,Inputs!$K$4:$AJ$4,0))))+SUMPRODUCT((Inputs!$E$5:$E$110=$B56)*ISNUMBER(INDEX(Inputs!$K$5:$AJ$110,0,MATCH(E$2,Inputs!$K$4:$AJ$4,0))))=0,NA(),SUMPRODUCT((Inputs!$A$5:$A$110=$B56)*Inputs!$B$5:$B$110*(((Inputs!$G$5:$G$110="moeda")+(Inputs!$G$5:$G$110="acoes"))*Inputs!$B$1+((Inputs!$G$5:$G$110&lt;&gt;"moeda")*(Inputs!$G$5:$G$110&lt;&gt;"acoes")))*INDEX(Inputs!$K$5:$AJ$110,0,MATCH(E$2,Inputs!$K$4:$AJ$4,0)))+SUMPRODUCT((Inputs!$C$5:$C$110=$B56)*Inputs!$D$5:$D$110*(((Inputs!$G$5:$G$110="moeda")+(Inputs!$G$5:$G$110="acoes"))*Inputs!$B$1+((Inputs!$G$5:$G$110&lt;&gt;"moeda")*(Inputs!$G$5:$G$110&lt;&gt;"acoes")))*INDEX(Inputs!$K$5:$AJ$110,0,MATCH(E$2,Inputs!$K$4:$AJ$4,0)))+SUMPRODUCT((Inputs!$E$5:$E$110=$B56)*Inputs!$F$5:$F$110*(((Inputs!$G$5:$G$110="moeda")+(Inputs!$G$5:$G$110="acoes"))*Inputs!$B$1+((Inputs!$G$5:$G$110&lt;&gt;"moeda")*(Inputs!$G$5:$G$110&lt;&gt;"acoes")))*INDEX(Inputs!$K$5:$AJ$110,0,MATCH(E$2,Inputs!$K$4:$AJ$4,0)))))</f>
        <v>401</v>
      </c>
      <c r="F56" s="263">
        <f>IF(ISNA(MATCH(F$2,Inputs!$K$4:$AJ$4,0)),NA(),IF(SUMPRODUCT((Inputs!$A$5:$A$110=$B56)*ISNUMBER(INDEX(Inputs!$K$5:$AJ$110,0,MATCH(F$2,Inputs!$K$4:$AJ$4,0))))+SUMPRODUCT((Inputs!$C$5:$C$110=$B56)*ISNUMBER(INDEX(Inputs!$K$5:$AJ$110,0,MATCH(F$2,Inputs!$K$4:$AJ$4,0))))+SUMPRODUCT((Inputs!$E$5:$E$110=$B56)*ISNUMBER(INDEX(Inputs!$K$5:$AJ$110,0,MATCH(F$2,Inputs!$K$4:$AJ$4,0))))=0,NA(),SUMPRODUCT((Inputs!$A$5:$A$110=$B56)*Inputs!$B$5:$B$110*(((Inputs!$G$5:$G$110="moeda")+(Inputs!$G$5:$G$110="acoes"))*Inputs!$B$1+((Inputs!$G$5:$G$110&lt;&gt;"moeda")*(Inputs!$G$5:$G$110&lt;&gt;"acoes")))*INDEX(Inputs!$K$5:$AJ$110,0,MATCH(F$2,Inputs!$K$4:$AJ$4,0)))+SUMPRODUCT((Inputs!$C$5:$C$110=$B56)*Inputs!$D$5:$D$110*(((Inputs!$G$5:$G$110="moeda")+(Inputs!$G$5:$G$110="acoes"))*Inputs!$B$1+((Inputs!$G$5:$G$110&lt;&gt;"moeda")*(Inputs!$G$5:$G$110&lt;&gt;"acoes")))*INDEX(Inputs!$K$5:$AJ$110,0,MATCH(F$2,Inputs!$K$4:$AJ$4,0)))+SUMPRODUCT((Inputs!$E$5:$E$110=$B56)*Inputs!$F$5:$F$110*(((Inputs!$G$5:$G$110="moeda")+(Inputs!$G$5:$G$110="acoes"))*Inputs!$B$1+((Inputs!$G$5:$G$110&lt;&gt;"moeda")*(Inputs!$G$5:$G$110&lt;&gt;"acoes")))*INDEX(Inputs!$K$5:$AJ$110,0,MATCH(F$2,Inputs!$K$4:$AJ$4,0)))))</f>
        <v>413</v>
      </c>
      <c r="G56" s="263">
        <f>IF(ISNA(MATCH(G$2,Inputs!$K$4:$AJ$4,0)),NA(),IF(SUMPRODUCT((Inputs!$A$5:$A$110=$B56)*ISNUMBER(INDEX(Inputs!$K$5:$AJ$110,0,MATCH(G$2,Inputs!$K$4:$AJ$4,0))))+SUMPRODUCT((Inputs!$C$5:$C$110=$B56)*ISNUMBER(INDEX(Inputs!$K$5:$AJ$110,0,MATCH(G$2,Inputs!$K$4:$AJ$4,0))))+SUMPRODUCT((Inputs!$E$5:$E$110=$B56)*ISNUMBER(INDEX(Inputs!$K$5:$AJ$110,0,MATCH(G$2,Inputs!$K$4:$AJ$4,0))))=0,NA(),SUMPRODUCT((Inputs!$A$5:$A$110=$B56)*Inputs!$B$5:$B$110*(((Inputs!$G$5:$G$110="moeda")+(Inputs!$G$5:$G$110="acoes"))*Inputs!$B$1+((Inputs!$G$5:$G$110&lt;&gt;"moeda")*(Inputs!$G$5:$G$110&lt;&gt;"acoes")))*INDEX(Inputs!$K$5:$AJ$110,0,MATCH(G$2,Inputs!$K$4:$AJ$4,0)))+SUMPRODUCT((Inputs!$C$5:$C$110=$B56)*Inputs!$D$5:$D$110*(((Inputs!$G$5:$G$110="moeda")+(Inputs!$G$5:$G$110="acoes"))*Inputs!$B$1+((Inputs!$G$5:$G$110&lt;&gt;"moeda")*(Inputs!$G$5:$G$110&lt;&gt;"acoes")))*INDEX(Inputs!$K$5:$AJ$110,0,MATCH(G$2,Inputs!$K$4:$AJ$4,0)))+SUMPRODUCT((Inputs!$E$5:$E$110=$B56)*Inputs!$F$5:$F$110*(((Inputs!$G$5:$G$110="moeda")+(Inputs!$G$5:$G$110="acoes"))*Inputs!$B$1+((Inputs!$G$5:$G$110&lt;&gt;"moeda")*(Inputs!$G$5:$G$110&lt;&gt;"acoes")))*INDEX(Inputs!$K$5:$AJ$110,0,MATCH(G$2,Inputs!$K$4:$AJ$4,0)))))</f>
        <v>438</v>
      </c>
      <c r="H56" s="264">
        <f>SUM(D56:G56)</f>
        <v>1648</v>
      </c>
      <c r="I56" s="263">
        <f>IF(ISNA(MATCH(I$2,Inputs!$K$4:$AJ$4,0)),NA(),IF(SUMPRODUCT((Inputs!$A$5:$A$110=$B56)*ISNUMBER(INDEX(Inputs!$K$5:$AJ$110,0,MATCH(I$2,Inputs!$K$4:$AJ$4,0))))+SUMPRODUCT((Inputs!$C$5:$C$110=$B56)*ISNUMBER(INDEX(Inputs!$K$5:$AJ$110,0,MATCH(I$2,Inputs!$K$4:$AJ$4,0))))+SUMPRODUCT((Inputs!$E$5:$E$110=$B56)*ISNUMBER(INDEX(Inputs!$K$5:$AJ$110,0,MATCH(I$2,Inputs!$K$4:$AJ$4,0))))=0,NA(),SUMPRODUCT((Inputs!$A$5:$A$110=$B56)*Inputs!$B$5:$B$110*(((Inputs!$G$5:$G$110="moeda")+(Inputs!$G$5:$G$110="acoes"))*Inputs!$B$1+((Inputs!$G$5:$G$110&lt;&gt;"moeda")*(Inputs!$G$5:$G$110&lt;&gt;"acoes")))*INDEX(Inputs!$K$5:$AJ$110,0,MATCH(I$2,Inputs!$K$4:$AJ$4,0)))+SUMPRODUCT((Inputs!$C$5:$C$110=$B56)*Inputs!$D$5:$D$110*(((Inputs!$G$5:$G$110="moeda")+(Inputs!$G$5:$G$110="acoes"))*Inputs!$B$1+((Inputs!$G$5:$G$110&lt;&gt;"moeda")*(Inputs!$G$5:$G$110&lt;&gt;"acoes")))*INDEX(Inputs!$K$5:$AJ$110,0,MATCH(I$2,Inputs!$K$4:$AJ$4,0)))+SUMPRODUCT((Inputs!$E$5:$E$110=$B56)*Inputs!$F$5:$F$110*(((Inputs!$G$5:$G$110="moeda")+(Inputs!$G$5:$G$110="acoes"))*Inputs!$B$1+((Inputs!$G$5:$G$110&lt;&gt;"moeda")*(Inputs!$G$5:$G$110&lt;&gt;"acoes")))*INDEX(Inputs!$K$5:$AJ$110,0,MATCH(I$2,Inputs!$K$4:$AJ$4,0)))))</f>
        <v>385</v>
      </c>
      <c r="J56" s="263">
        <f>IF(ISNA(MATCH(J$2,Inputs!$K$4:$AJ$4,0)),NA(),IF(SUMPRODUCT((Inputs!$A$5:$A$110=$B56)*ISNUMBER(INDEX(Inputs!$K$5:$AJ$110,0,MATCH(J$2,Inputs!$K$4:$AJ$4,0))))+SUMPRODUCT((Inputs!$C$5:$C$110=$B56)*ISNUMBER(INDEX(Inputs!$K$5:$AJ$110,0,MATCH(J$2,Inputs!$K$4:$AJ$4,0))))+SUMPRODUCT((Inputs!$E$5:$E$110=$B56)*ISNUMBER(INDEX(Inputs!$K$5:$AJ$110,0,MATCH(J$2,Inputs!$K$4:$AJ$4,0))))=0,NA(),SUMPRODUCT((Inputs!$A$5:$A$110=$B56)*Inputs!$B$5:$B$110*(((Inputs!$G$5:$G$110="moeda")+(Inputs!$G$5:$G$110="acoes"))*Inputs!$B$1+((Inputs!$G$5:$G$110&lt;&gt;"moeda")*(Inputs!$G$5:$G$110&lt;&gt;"acoes")))*INDEX(Inputs!$K$5:$AJ$110,0,MATCH(J$2,Inputs!$K$4:$AJ$4,0)))+SUMPRODUCT((Inputs!$C$5:$C$110=$B56)*Inputs!$D$5:$D$110*(((Inputs!$G$5:$G$110="moeda")+(Inputs!$G$5:$G$110="acoes"))*Inputs!$B$1+((Inputs!$G$5:$G$110&lt;&gt;"moeda")*(Inputs!$G$5:$G$110&lt;&gt;"acoes")))*INDEX(Inputs!$K$5:$AJ$110,0,MATCH(J$2,Inputs!$K$4:$AJ$4,0)))+SUMPRODUCT((Inputs!$E$5:$E$110=$B56)*Inputs!$F$5:$F$110*(((Inputs!$G$5:$G$110="moeda")+(Inputs!$G$5:$G$110="acoes"))*Inputs!$B$1+((Inputs!$G$5:$G$110&lt;&gt;"moeda")*(Inputs!$G$5:$G$110&lt;&gt;"acoes")))*INDEX(Inputs!$K$5:$AJ$110,0,MATCH(J$2,Inputs!$K$4:$AJ$4,0)))))</f>
        <v>418</v>
      </c>
      <c r="K56" s="263">
        <f>IF(ISNA(MATCH(K$2,Inputs!$K$4:$AJ$4,0)),NA(),IF(SUMPRODUCT((Inputs!$A$5:$A$110=$B56)*ISNUMBER(INDEX(Inputs!$K$5:$AJ$110,0,MATCH(K$2,Inputs!$K$4:$AJ$4,0))))+SUMPRODUCT((Inputs!$C$5:$C$110=$B56)*ISNUMBER(INDEX(Inputs!$K$5:$AJ$110,0,MATCH(K$2,Inputs!$K$4:$AJ$4,0))))+SUMPRODUCT((Inputs!$E$5:$E$110=$B56)*ISNUMBER(INDEX(Inputs!$K$5:$AJ$110,0,MATCH(K$2,Inputs!$K$4:$AJ$4,0))))=0,NA(),SUMPRODUCT((Inputs!$A$5:$A$110=$B56)*Inputs!$B$5:$B$110*(((Inputs!$G$5:$G$110="moeda")+(Inputs!$G$5:$G$110="acoes"))*Inputs!$B$1+((Inputs!$G$5:$G$110&lt;&gt;"moeda")*(Inputs!$G$5:$G$110&lt;&gt;"acoes")))*INDEX(Inputs!$K$5:$AJ$110,0,MATCH(K$2,Inputs!$K$4:$AJ$4,0)))+SUMPRODUCT((Inputs!$C$5:$C$110=$B56)*Inputs!$D$5:$D$110*(((Inputs!$G$5:$G$110="moeda")+(Inputs!$G$5:$G$110="acoes"))*Inputs!$B$1+((Inputs!$G$5:$G$110&lt;&gt;"moeda")*(Inputs!$G$5:$G$110&lt;&gt;"acoes")))*INDEX(Inputs!$K$5:$AJ$110,0,MATCH(K$2,Inputs!$K$4:$AJ$4,0)))+SUMPRODUCT((Inputs!$E$5:$E$110=$B56)*Inputs!$F$5:$F$110*(((Inputs!$G$5:$G$110="moeda")+(Inputs!$G$5:$G$110="acoes"))*Inputs!$B$1+((Inputs!$G$5:$G$110&lt;&gt;"moeda")*(Inputs!$G$5:$G$110&lt;&gt;"acoes")))*INDEX(Inputs!$K$5:$AJ$110,0,MATCH(K$2,Inputs!$K$4:$AJ$4,0)))))</f>
        <v>383</v>
      </c>
      <c r="L56" s="263">
        <f>IF(ISNA(MATCH(L$2,Inputs!$K$4:$AJ$4,0)),NA(),IF(SUMPRODUCT((Inputs!$A$5:$A$110=$B56)*ISNUMBER(INDEX(Inputs!$K$5:$AJ$110,0,MATCH(L$2,Inputs!$K$4:$AJ$4,0))))+SUMPRODUCT((Inputs!$C$5:$C$110=$B56)*ISNUMBER(INDEX(Inputs!$K$5:$AJ$110,0,MATCH(L$2,Inputs!$K$4:$AJ$4,0))))+SUMPRODUCT((Inputs!$E$5:$E$110=$B56)*ISNUMBER(INDEX(Inputs!$K$5:$AJ$110,0,MATCH(L$2,Inputs!$K$4:$AJ$4,0))))=0,NA(),SUMPRODUCT((Inputs!$A$5:$A$110=$B56)*Inputs!$B$5:$B$110*(((Inputs!$G$5:$G$110="moeda")+(Inputs!$G$5:$G$110="acoes"))*Inputs!$B$1+((Inputs!$G$5:$G$110&lt;&gt;"moeda")*(Inputs!$G$5:$G$110&lt;&gt;"acoes")))*INDEX(Inputs!$K$5:$AJ$110,0,MATCH(L$2,Inputs!$K$4:$AJ$4,0)))+SUMPRODUCT((Inputs!$C$5:$C$110=$B56)*Inputs!$D$5:$D$110*(((Inputs!$G$5:$G$110="moeda")+(Inputs!$G$5:$G$110="acoes"))*Inputs!$B$1+((Inputs!$G$5:$G$110&lt;&gt;"moeda")*(Inputs!$G$5:$G$110&lt;&gt;"acoes")))*INDEX(Inputs!$K$5:$AJ$110,0,MATCH(L$2,Inputs!$K$4:$AJ$4,0)))+SUMPRODUCT((Inputs!$E$5:$E$110=$B56)*Inputs!$F$5:$F$110*(((Inputs!$G$5:$G$110="moeda")+(Inputs!$G$5:$G$110="acoes"))*Inputs!$B$1+((Inputs!$G$5:$G$110&lt;&gt;"moeda")*(Inputs!$G$5:$G$110&lt;&gt;"acoes")))*INDEX(Inputs!$K$5:$AJ$110,0,MATCH(L$2,Inputs!$K$4:$AJ$4,0)))))</f>
        <v>451</v>
      </c>
      <c r="M56" s="264">
        <f>SUM(I56:L56)</f>
        <v>1637</v>
      </c>
      <c r="N56" s="263">
        <f>IF(ISNA(MATCH(N$2,Inputs!$K$4:$AJ$4,0)),NA(),IF(SUMPRODUCT((Inputs!$A$5:$A$110=$B56)*ISNUMBER(INDEX(Inputs!$K$5:$AJ$110,0,MATCH(N$2,Inputs!$K$4:$AJ$4,0))))+SUMPRODUCT((Inputs!$C$5:$C$110=$B56)*ISNUMBER(INDEX(Inputs!$K$5:$AJ$110,0,MATCH(N$2,Inputs!$K$4:$AJ$4,0))))+SUMPRODUCT((Inputs!$E$5:$E$110=$B56)*ISNUMBER(INDEX(Inputs!$K$5:$AJ$110,0,MATCH(N$2,Inputs!$K$4:$AJ$4,0))))=0,NA(),SUMPRODUCT((Inputs!$A$5:$A$110=$B56)*Inputs!$B$5:$B$110*(((Inputs!$G$5:$G$110="moeda")+(Inputs!$G$5:$G$110="acoes"))*Inputs!$B$1+((Inputs!$G$5:$G$110&lt;&gt;"moeda")*(Inputs!$G$5:$G$110&lt;&gt;"acoes")))*INDEX(Inputs!$K$5:$AJ$110,0,MATCH(N$2,Inputs!$K$4:$AJ$4,0)))+SUMPRODUCT((Inputs!$C$5:$C$110=$B56)*Inputs!$D$5:$D$110*(((Inputs!$G$5:$G$110="moeda")+(Inputs!$G$5:$G$110="acoes"))*Inputs!$B$1+((Inputs!$G$5:$G$110&lt;&gt;"moeda")*(Inputs!$G$5:$G$110&lt;&gt;"acoes")))*INDEX(Inputs!$K$5:$AJ$110,0,MATCH(N$2,Inputs!$K$4:$AJ$4,0)))+SUMPRODUCT((Inputs!$E$5:$E$110=$B56)*Inputs!$F$5:$F$110*(((Inputs!$G$5:$G$110="moeda")+(Inputs!$G$5:$G$110="acoes"))*Inputs!$B$1+((Inputs!$G$5:$G$110&lt;&gt;"moeda")*(Inputs!$G$5:$G$110&lt;&gt;"acoes")))*INDEX(Inputs!$K$5:$AJ$110,0,MATCH(N$2,Inputs!$K$4:$AJ$4,0)))))</f>
        <v>377</v>
      </c>
      <c r="O56" s="263">
        <f>IF(ISNA(MATCH(O$2,Inputs!$K$4:$AJ$4,0)),NA(),IF(SUMPRODUCT((Inputs!$A$5:$A$110=$B56)*ISNUMBER(INDEX(Inputs!$K$5:$AJ$110,0,MATCH(O$2,Inputs!$K$4:$AJ$4,0))))+SUMPRODUCT((Inputs!$C$5:$C$110=$B56)*ISNUMBER(INDEX(Inputs!$K$5:$AJ$110,0,MATCH(O$2,Inputs!$K$4:$AJ$4,0))))+SUMPRODUCT((Inputs!$E$5:$E$110=$B56)*ISNUMBER(INDEX(Inputs!$K$5:$AJ$110,0,MATCH(O$2,Inputs!$K$4:$AJ$4,0))))=0,NA(),SUMPRODUCT((Inputs!$A$5:$A$110=$B56)*Inputs!$B$5:$B$110*(((Inputs!$G$5:$G$110="moeda")+(Inputs!$G$5:$G$110="acoes"))*Inputs!$B$1+((Inputs!$G$5:$G$110&lt;&gt;"moeda")*(Inputs!$G$5:$G$110&lt;&gt;"acoes")))*INDEX(Inputs!$K$5:$AJ$110,0,MATCH(O$2,Inputs!$K$4:$AJ$4,0)))+SUMPRODUCT((Inputs!$C$5:$C$110=$B56)*Inputs!$D$5:$D$110*(((Inputs!$G$5:$G$110="moeda")+(Inputs!$G$5:$G$110="acoes"))*Inputs!$B$1+((Inputs!$G$5:$G$110&lt;&gt;"moeda")*(Inputs!$G$5:$G$110&lt;&gt;"acoes")))*INDEX(Inputs!$K$5:$AJ$110,0,MATCH(O$2,Inputs!$K$4:$AJ$4,0)))+SUMPRODUCT((Inputs!$E$5:$E$110=$B56)*Inputs!$F$5:$F$110*(((Inputs!$G$5:$G$110="moeda")+(Inputs!$G$5:$G$110="acoes"))*Inputs!$B$1+((Inputs!$G$5:$G$110&lt;&gt;"moeda")*(Inputs!$G$5:$G$110&lt;&gt;"acoes")))*INDEX(Inputs!$K$5:$AJ$110,0,MATCH(O$2,Inputs!$K$4:$AJ$4,0)))))</f>
        <v>371</v>
      </c>
      <c r="P56" s="263">
        <f>IF(ISNA(MATCH(P$2,Inputs!$K$4:$AJ$4,0)),NA(),IF(SUMPRODUCT((Inputs!$A$5:$A$110=$B56)*ISNUMBER(INDEX(Inputs!$K$5:$AJ$110,0,MATCH(P$2,Inputs!$K$4:$AJ$4,0))))+SUMPRODUCT((Inputs!$C$5:$C$110=$B56)*ISNUMBER(INDEX(Inputs!$K$5:$AJ$110,0,MATCH(P$2,Inputs!$K$4:$AJ$4,0))))+SUMPRODUCT((Inputs!$E$5:$E$110=$B56)*ISNUMBER(INDEX(Inputs!$K$5:$AJ$110,0,MATCH(P$2,Inputs!$K$4:$AJ$4,0))))=0,NA(),SUMPRODUCT((Inputs!$A$5:$A$110=$B56)*Inputs!$B$5:$B$110*(((Inputs!$G$5:$G$110="moeda")+(Inputs!$G$5:$G$110="acoes"))*Inputs!$B$1+((Inputs!$G$5:$G$110&lt;&gt;"moeda")*(Inputs!$G$5:$G$110&lt;&gt;"acoes")))*INDEX(Inputs!$K$5:$AJ$110,0,MATCH(P$2,Inputs!$K$4:$AJ$4,0)))+SUMPRODUCT((Inputs!$C$5:$C$110=$B56)*Inputs!$D$5:$D$110*(((Inputs!$G$5:$G$110="moeda")+(Inputs!$G$5:$G$110="acoes"))*Inputs!$B$1+((Inputs!$G$5:$G$110&lt;&gt;"moeda")*(Inputs!$G$5:$G$110&lt;&gt;"acoes")))*INDEX(Inputs!$K$5:$AJ$110,0,MATCH(P$2,Inputs!$K$4:$AJ$4,0)))+SUMPRODUCT((Inputs!$E$5:$E$110=$B56)*Inputs!$F$5:$F$110*(((Inputs!$G$5:$G$110="moeda")+(Inputs!$G$5:$G$110="acoes"))*Inputs!$B$1+((Inputs!$G$5:$G$110&lt;&gt;"moeda")*(Inputs!$G$5:$G$110&lt;&gt;"acoes")))*INDEX(Inputs!$K$5:$AJ$110,0,MATCH(P$2,Inputs!$K$4:$AJ$4,0)))))</f>
        <v>398</v>
      </c>
      <c r="Q56" s="263">
        <f>IF(ISNA(MATCH(Q$2,Inputs!$K$4:$AJ$4,0)),NA(),IF(SUMPRODUCT((Inputs!$A$5:$A$110=$B56)*ISNUMBER(INDEX(Inputs!$K$5:$AJ$110,0,MATCH(Q$2,Inputs!$K$4:$AJ$4,0))))+SUMPRODUCT((Inputs!$C$5:$C$110=$B56)*ISNUMBER(INDEX(Inputs!$K$5:$AJ$110,0,MATCH(Q$2,Inputs!$K$4:$AJ$4,0))))+SUMPRODUCT((Inputs!$E$5:$E$110=$B56)*ISNUMBER(INDEX(Inputs!$K$5:$AJ$110,0,MATCH(Q$2,Inputs!$K$4:$AJ$4,0))))=0,NA(),SUMPRODUCT((Inputs!$A$5:$A$110=$B56)*Inputs!$B$5:$B$110*(((Inputs!$G$5:$G$110="moeda")+(Inputs!$G$5:$G$110="acoes"))*Inputs!$B$1+((Inputs!$G$5:$G$110&lt;&gt;"moeda")*(Inputs!$G$5:$G$110&lt;&gt;"acoes")))*INDEX(Inputs!$K$5:$AJ$110,0,MATCH(Q$2,Inputs!$K$4:$AJ$4,0)))+SUMPRODUCT((Inputs!$C$5:$C$110=$B56)*Inputs!$D$5:$D$110*(((Inputs!$G$5:$G$110="moeda")+(Inputs!$G$5:$G$110="acoes"))*Inputs!$B$1+((Inputs!$G$5:$G$110&lt;&gt;"moeda")*(Inputs!$G$5:$G$110&lt;&gt;"acoes")))*INDEX(Inputs!$K$5:$AJ$110,0,MATCH(Q$2,Inputs!$K$4:$AJ$4,0)))+SUMPRODUCT((Inputs!$E$5:$E$110=$B56)*Inputs!$F$5:$F$110*(((Inputs!$G$5:$G$110="moeda")+(Inputs!$G$5:$G$110="acoes"))*Inputs!$B$1+((Inputs!$G$5:$G$110&lt;&gt;"moeda")*(Inputs!$G$5:$G$110&lt;&gt;"acoes")))*INDEX(Inputs!$K$5:$AJ$110,0,MATCH(Q$2,Inputs!$K$4:$AJ$4,0)))))</f>
        <v>395</v>
      </c>
      <c r="R56" s="264">
        <f>SUM(N56:Q56)</f>
        <v>1541</v>
      </c>
      <c r="S56" s="263">
        <f>IF(ISNA(MATCH(S$2,Inputs!$K$4:$AJ$4,0)),NA(),IF(SUMPRODUCT((Inputs!$A$5:$A$110=$B56)*ISNUMBER(INDEX(Inputs!$K$5:$AJ$110,0,MATCH(S$2,Inputs!$K$4:$AJ$4,0))))+SUMPRODUCT((Inputs!$C$5:$C$110=$B56)*ISNUMBER(INDEX(Inputs!$K$5:$AJ$110,0,MATCH(S$2,Inputs!$K$4:$AJ$4,0))))+SUMPRODUCT((Inputs!$E$5:$E$110=$B56)*ISNUMBER(INDEX(Inputs!$K$5:$AJ$110,0,MATCH(S$2,Inputs!$K$4:$AJ$4,0))))=0,NA(),SUMPRODUCT((Inputs!$A$5:$A$110=$B56)*Inputs!$B$5:$B$110*(((Inputs!$G$5:$G$110="moeda")+(Inputs!$G$5:$G$110="acoes"))*Inputs!$B$1+((Inputs!$G$5:$G$110&lt;&gt;"moeda")*(Inputs!$G$5:$G$110&lt;&gt;"acoes")))*INDEX(Inputs!$K$5:$AJ$110,0,MATCH(S$2,Inputs!$K$4:$AJ$4,0)))+SUMPRODUCT((Inputs!$C$5:$C$110=$B56)*Inputs!$D$5:$D$110*(((Inputs!$G$5:$G$110="moeda")+(Inputs!$G$5:$G$110="acoes"))*Inputs!$B$1+((Inputs!$G$5:$G$110&lt;&gt;"moeda")*(Inputs!$G$5:$G$110&lt;&gt;"acoes")))*INDEX(Inputs!$K$5:$AJ$110,0,MATCH(S$2,Inputs!$K$4:$AJ$4,0)))+SUMPRODUCT((Inputs!$E$5:$E$110=$B56)*Inputs!$F$5:$F$110*(((Inputs!$G$5:$G$110="moeda")+(Inputs!$G$5:$G$110="acoes"))*Inputs!$B$1+((Inputs!$G$5:$G$110&lt;&gt;"moeda")*(Inputs!$G$5:$G$110&lt;&gt;"acoes")))*INDEX(Inputs!$K$5:$AJ$110,0,MATCH(S$2,Inputs!$K$4:$AJ$4,0)))))</f>
        <v>311</v>
      </c>
      <c r="T56" s="263">
        <f>IF(ISNA(MATCH(T$2,Inputs!$K$4:$AJ$4,0)),NA(),IF(SUMPRODUCT((Inputs!$A$5:$A$110=$B56)*ISNUMBER(INDEX(Inputs!$K$5:$AJ$110,0,MATCH(T$2,Inputs!$K$4:$AJ$4,0))))+SUMPRODUCT((Inputs!$C$5:$C$110=$B56)*ISNUMBER(INDEX(Inputs!$K$5:$AJ$110,0,MATCH(T$2,Inputs!$K$4:$AJ$4,0))))+SUMPRODUCT((Inputs!$E$5:$E$110=$B56)*ISNUMBER(INDEX(Inputs!$K$5:$AJ$110,0,MATCH(T$2,Inputs!$K$4:$AJ$4,0))))=0,NA(),SUMPRODUCT((Inputs!$A$5:$A$110=$B56)*Inputs!$B$5:$B$110*(((Inputs!$G$5:$G$110="moeda")+(Inputs!$G$5:$G$110="acoes"))*Inputs!$B$1+((Inputs!$G$5:$G$110&lt;&gt;"moeda")*(Inputs!$G$5:$G$110&lt;&gt;"acoes")))*INDEX(Inputs!$K$5:$AJ$110,0,MATCH(T$2,Inputs!$K$4:$AJ$4,0)))+SUMPRODUCT((Inputs!$C$5:$C$110=$B56)*Inputs!$D$5:$D$110*(((Inputs!$G$5:$G$110="moeda")+(Inputs!$G$5:$G$110="acoes"))*Inputs!$B$1+((Inputs!$G$5:$G$110&lt;&gt;"moeda")*(Inputs!$G$5:$G$110&lt;&gt;"acoes")))*INDEX(Inputs!$K$5:$AJ$110,0,MATCH(T$2,Inputs!$K$4:$AJ$4,0)))+SUMPRODUCT((Inputs!$E$5:$E$110=$B56)*Inputs!$F$5:$F$110*(((Inputs!$G$5:$G$110="moeda")+(Inputs!$G$5:$G$110="acoes"))*Inputs!$B$1+((Inputs!$G$5:$G$110&lt;&gt;"moeda")*(Inputs!$G$5:$G$110&lt;&gt;"acoes")))*INDEX(Inputs!$K$5:$AJ$110,0,MATCH(T$2,Inputs!$K$4:$AJ$4,0)))))</f>
        <v>450</v>
      </c>
      <c r="U56" s="263">
        <f>IF(ISNA(MATCH(U$2,Inputs!$K$4:$AJ$4,0)),NA(),IF(SUMPRODUCT((Inputs!$A$5:$A$110=$B56)*ISNUMBER(INDEX(Inputs!$K$5:$AJ$110,0,MATCH(U$2,Inputs!$K$4:$AJ$4,0))))+SUMPRODUCT((Inputs!$C$5:$C$110=$B56)*ISNUMBER(INDEX(Inputs!$K$5:$AJ$110,0,MATCH(U$2,Inputs!$K$4:$AJ$4,0))))+SUMPRODUCT((Inputs!$E$5:$E$110=$B56)*ISNUMBER(INDEX(Inputs!$K$5:$AJ$110,0,MATCH(U$2,Inputs!$K$4:$AJ$4,0))))=0,NA(),SUMPRODUCT((Inputs!$A$5:$A$110=$B56)*Inputs!$B$5:$B$110*(((Inputs!$G$5:$G$110="moeda")+(Inputs!$G$5:$G$110="acoes"))*Inputs!$B$1+((Inputs!$G$5:$G$110&lt;&gt;"moeda")*(Inputs!$G$5:$G$110&lt;&gt;"acoes")))*INDEX(Inputs!$K$5:$AJ$110,0,MATCH(U$2,Inputs!$K$4:$AJ$4,0)))+SUMPRODUCT((Inputs!$C$5:$C$110=$B56)*Inputs!$D$5:$D$110*(((Inputs!$G$5:$G$110="moeda")+(Inputs!$G$5:$G$110="acoes"))*Inputs!$B$1+((Inputs!$G$5:$G$110&lt;&gt;"moeda")*(Inputs!$G$5:$G$110&lt;&gt;"acoes")))*INDEX(Inputs!$K$5:$AJ$110,0,MATCH(U$2,Inputs!$K$4:$AJ$4,0)))+SUMPRODUCT((Inputs!$E$5:$E$110=$B56)*Inputs!$F$5:$F$110*(((Inputs!$G$5:$G$110="moeda")+(Inputs!$G$5:$G$110="acoes"))*Inputs!$B$1+((Inputs!$G$5:$G$110&lt;&gt;"moeda")*(Inputs!$G$5:$G$110&lt;&gt;"acoes")))*INDEX(Inputs!$K$5:$AJ$110,0,MATCH(U$2,Inputs!$K$4:$AJ$4,0)))))</f>
        <v>456</v>
      </c>
      <c r="V56" s="263">
        <f>IF(ISNA(MATCH(V$2,Inputs!$K$4:$AJ$4,0)),NA(),IF(SUMPRODUCT((Inputs!$A$5:$A$110=$B56)*ISNUMBER(INDEX(Inputs!$K$5:$AJ$110,0,MATCH(V$2,Inputs!$K$4:$AJ$4,0))))+SUMPRODUCT((Inputs!$C$5:$C$110=$B56)*ISNUMBER(INDEX(Inputs!$K$5:$AJ$110,0,MATCH(V$2,Inputs!$K$4:$AJ$4,0))))+SUMPRODUCT((Inputs!$E$5:$E$110=$B56)*ISNUMBER(INDEX(Inputs!$K$5:$AJ$110,0,MATCH(V$2,Inputs!$K$4:$AJ$4,0))))=0,NA(),SUMPRODUCT((Inputs!$A$5:$A$110=$B56)*Inputs!$B$5:$B$110*(((Inputs!$G$5:$G$110="moeda")+(Inputs!$G$5:$G$110="acoes"))*Inputs!$B$1+((Inputs!$G$5:$G$110&lt;&gt;"moeda")*(Inputs!$G$5:$G$110&lt;&gt;"acoes")))*INDEX(Inputs!$K$5:$AJ$110,0,MATCH(V$2,Inputs!$K$4:$AJ$4,0)))+SUMPRODUCT((Inputs!$C$5:$C$110=$B56)*Inputs!$D$5:$D$110*(((Inputs!$G$5:$G$110="moeda")+(Inputs!$G$5:$G$110="acoes"))*Inputs!$B$1+((Inputs!$G$5:$G$110&lt;&gt;"moeda")*(Inputs!$G$5:$G$110&lt;&gt;"acoes")))*INDEX(Inputs!$K$5:$AJ$110,0,MATCH(V$2,Inputs!$K$4:$AJ$4,0)))+SUMPRODUCT((Inputs!$E$5:$E$110=$B56)*Inputs!$F$5:$F$110*(((Inputs!$G$5:$G$110="moeda")+(Inputs!$G$5:$G$110="acoes"))*Inputs!$B$1+((Inputs!$G$5:$G$110&lt;&gt;"moeda")*(Inputs!$G$5:$G$110&lt;&gt;"acoes")))*INDEX(Inputs!$K$5:$AJ$110,0,MATCH(V$2,Inputs!$K$4:$AJ$4,0)))))</f>
        <v>-804</v>
      </c>
      <c r="W56" s="264">
        <f>SUM(S56:V56)</f>
        <v>413</v>
      </c>
      <c r="X56" s="263">
        <f>IF(ISNA(MATCH(X$2,Inputs!$K$4:$AJ$4,0)),NA(),IF(SUMPRODUCT((Inputs!$A$5:$A$110=$B56)*ISNUMBER(INDEX(Inputs!$K$5:$AJ$110,0,MATCH(X$2,Inputs!$K$4:$AJ$4,0))))+SUMPRODUCT((Inputs!$C$5:$C$110=$B56)*ISNUMBER(INDEX(Inputs!$K$5:$AJ$110,0,MATCH(X$2,Inputs!$K$4:$AJ$4,0))))+SUMPRODUCT((Inputs!$E$5:$E$110=$B56)*ISNUMBER(INDEX(Inputs!$K$5:$AJ$110,0,MATCH(X$2,Inputs!$K$4:$AJ$4,0))))=0,NA(),SUMPRODUCT((Inputs!$A$5:$A$110=$B56)*Inputs!$B$5:$B$110*(((Inputs!$G$5:$G$110="moeda")+(Inputs!$G$5:$G$110="acoes"))*Inputs!$B$1+((Inputs!$G$5:$G$110&lt;&gt;"moeda")*(Inputs!$G$5:$G$110&lt;&gt;"acoes")))*INDEX(Inputs!$K$5:$AJ$110,0,MATCH(X$2,Inputs!$K$4:$AJ$4,0)))+SUMPRODUCT((Inputs!$C$5:$C$110=$B56)*Inputs!$D$5:$D$110*(((Inputs!$G$5:$G$110="moeda")+(Inputs!$G$5:$G$110="acoes"))*Inputs!$B$1+((Inputs!$G$5:$G$110&lt;&gt;"moeda")*(Inputs!$G$5:$G$110&lt;&gt;"acoes")))*INDEX(Inputs!$K$5:$AJ$110,0,MATCH(X$2,Inputs!$K$4:$AJ$4,0)))+SUMPRODUCT((Inputs!$E$5:$E$110=$B56)*Inputs!$F$5:$F$110*(((Inputs!$G$5:$G$110="moeda")+(Inputs!$G$5:$G$110="acoes"))*Inputs!$B$1+((Inputs!$G$5:$G$110&lt;&gt;"moeda")*(Inputs!$G$5:$G$110&lt;&gt;"acoes")))*INDEX(Inputs!$K$5:$AJ$110,0,MATCH(X$2,Inputs!$K$4:$AJ$4,0)))))</f>
        <v>465</v>
      </c>
      <c r="Y56" s="263">
        <f>IF(ISNA(MATCH(Y$2,Inputs!$K$4:$AJ$4,0)),NA(),IF(SUMPRODUCT((Inputs!$A$5:$A$110=$B56)*ISNUMBER(INDEX(Inputs!$K$5:$AJ$110,0,MATCH(Y$2,Inputs!$K$4:$AJ$4,0))))+SUMPRODUCT((Inputs!$C$5:$C$110=$B56)*ISNUMBER(INDEX(Inputs!$K$5:$AJ$110,0,MATCH(Y$2,Inputs!$K$4:$AJ$4,0))))+SUMPRODUCT((Inputs!$E$5:$E$110=$B56)*ISNUMBER(INDEX(Inputs!$K$5:$AJ$110,0,MATCH(Y$2,Inputs!$K$4:$AJ$4,0))))=0,NA(),SUMPRODUCT((Inputs!$A$5:$A$110=$B56)*Inputs!$B$5:$B$110*(((Inputs!$G$5:$G$110="moeda")+(Inputs!$G$5:$G$110="acoes"))*Inputs!$B$1+((Inputs!$G$5:$G$110&lt;&gt;"moeda")*(Inputs!$G$5:$G$110&lt;&gt;"acoes")))*INDEX(Inputs!$K$5:$AJ$110,0,MATCH(Y$2,Inputs!$K$4:$AJ$4,0)))+SUMPRODUCT((Inputs!$C$5:$C$110=$B56)*Inputs!$D$5:$D$110*(((Inputs!$G$5:$G$110="moeda")+(Inputs!$G$5:$G$110="acoes"))*Inputs!$B$1+((Inputs!$G$5:$G$110&lt;&gt;"moeda")*(Inputs!$G$5:$G$110&lt;&gt;"acoes")))*INDEX(Inputs!$K$5:$AJ$110,0,MATCH(Y$2,Inputs!$K$4:$AJ$4,0)))+SUMPRODUCT((Inputs!$E$5:$E$110=$B56)*Inputs!$F$5:$F$110*(((Inputs!$G$5:$G$110="moeda")+(Inputs!$G$5:$G$110="acoes"))*Inputs!$B$1+((Inputs!$G$5:$G$110&lt;&gt;"moeda")*(Inputs!$G$5:$G$110&lt;&gt;"acoes")))*INDEX(Inputs!$K$5:$AJ$110,0,MATCH(Y$2,Inputs!$K$4:$AJ$4,0)))))</f>
        <v>479</v>
      </c>
      <c r="Z56" s="263">
        <f>IF(ISNA(MATCH(Z$2,Inputs!$K$4:$AJ$4,0)),NA(),IF(SUMPRODUCT((Inputs!$A$5:$A$110=$B56)*ISNUMBER(INDEX(Inputs!$K$5:$AJ$110,0,MATCH(Z$2,Inputs!$K$4:$AJ$4,0))))+SUMPRODUCT((Inputs!$C$5:$C$110=$B56)*ISNUMBER(INDEX(Inputs!$K$5:$AJ$110,0,MATCH(Z$2,Inputs!$K$4:$AJ$4,0))))+SUMPRODUCT((Inputs!$E$5:$E$110=$B56)*ISNUMBER(INDEX(Inputs!$K$5:$AJ$110,0,MATCH(Z$2,Inputs!$K$4:$AJ$4,0))))=0,NA(),SUMPRODUCT((Inputs!$A$5:$A$110=$B56)*Inputs!$B$5:$B$110*(((Inputs!$G$5:$G$110="moeda")+(Inputs!$G$5:$G$110="acoes"))*Inputs!$B$1+((Inputs!$G$5:$G$110&lt;&gt;"moeda")*(Inputs!$G$5:$G$110&lt;&gt;"acoes")))*INDEX(Inputs!$K$5:$AJ$110,0,MATCH(Z$2,Inputs!$K$4:$AJ$4,0)))+SUMPRODUCT((Inputs!$C$5:$C$110=$B56)*Inputs!$D$5:$D$110*(((Inputs!$G$5:$G$110="moeda")+(Inputs!$G$5:$G$110="acoes"))*Inputs!$B$1+((Inputs!$G$5:$G$110&lt;&gt;"moeda")*(Inputs!$G$5:$G$110&lt;&gt;"acoes")))*INDEX(Inputs!$K$5:$AJ$110,0,MATCH(Z$2,Inputs!$K$4:$AJ$4,0)))+SUMPRODUCT((Inputs!$E$5:$E$110=$B56)*Inputs!$F$5:$F$110*(((Inputs!$G$5:$G$110="moeda")+(Inputs!$G$5:$G$110="acoes"))*Inputs!$B$1+((Inputs!$G$5:$G$110&lt;&gt;"moeda")*(Inputs!$G$5:$G$110&lt;&gt;"acoes")))*INDEX(Inputs!$K$5:$AJ$110,0,MATCH(Z$2,Inputs!$K$4:$AJ$4,0)))))</f>
        <v>510</v>
      </c>
      <c r="AA56" s="263">
        <f>IF(ISNA(MATCH(AA$2,Inputs!$K$4:$AJ$4,0)),NA(),IF(SUMPRODUCT((Inputs!$A$5:$A$110=$B56)*ISNUMBER(INDEX(Inputs!$K$5:$AJ$110,0,MATCH(AA$2,Inputs!$K$4:$AJ$4,0))))+SUMPRODUCT((Inputs!$C$5:$C$110=$B56)*ISNUMBER(INDEX(Inputs!$K$5:$AJ$110,0,MATCH(AA$2,Inputs!$K$4:$AJ$4,0))))+SUMPRODUCT((Inputs!$E$5:$E$110=$B56)*ISNUMBER(INDEX(Inputs!$K$5:$AJ$110,0,MATCH(AA$2,Inputs!$K$4:$AJ$4,0))))=0,NA(),SUMPRODUCT((Inputs!$A$5:$A$110=$B56)*Inputs!$B$5:$B$110*(((Inputs!$G$5:$G$110="moeda")+(Inputs!$G$5:$G$110="acoes"))*Inputs!$B$1+((Inputs!$G$5:$G$110&lt;&gt;"moeda")*(Inputs!$G$5:$G$110&lt;&gt;"acoes")))*INDEX(Inputs!$K$5:$AJ$110,0,MATCH(AA$2,Inputs!$K$4:$AJ$4,0)))+SUMPRODUCT((Inputs!$C$5:$C$110=$B56)*Inputs!$D$5:$D$110*(((Inputs!$G$5:$G$110="moeda")+(Inputs!$G$5:$G$110="acoes"))*Inputs!$B$1+((Inputs!$G$5:$G$110&lt;&gt;"moeda")*(Inputs!$G$5:$G$110&lt;&gt;"acoes")))*INDEX(Inputs!$K$5:$AJ$110,0,MATCH(AA$2,Inputs!$K$4:$AJ$4,0)))+SUMPRODUCT((Inputs!$E$5:$E$110=$B56)*Inputs!$F$5:$F$110*(((Inputs!$G$5:$G$110="moeda")+(Inputs!$G$5:$G$110="acoes"))*Inputs!$B$1+((Inputs!$G$5:$G$110&lt;&gt;"moeda")*(Inputs!$G$5:$G$110&lt;&gt;"acoes")))*INDEX(Inputs!$K$5:$AJ$110,0,MATCH(AA$2,Inputs!$K$4:$AJ$4,0)))))</f>
        <v>535</v>
      </c>
      <c r="AB56" s="264">
        <f>SUM(X56:AA56)</f>
        <v>1989</v>
      </c>
      <c r="AC56" s="263">
        <f>IF(ISNA(MATCH(AC$2,Inputs!$K$4:$AJ$4,0)),NA(),IF(SUMPRODUCT((Inputs!$A$5:$A$110=$B56)*ISNUMBER(INDEX(Inputs!$K$5:$AJ$110,0,MATCH(AC$2,Inputs!$K$4:$AJ$4,0))))+SUMPRODUCT((Inputs!$C$5:$C$110=$B56)*ISNUMBER(INDEX(Inputs!$K$5:$AJ$110,0,MATCH(AC$2,Inputs!$K$4:$AJ$4,0))))+SUMPRODUCT((Inputs!$E$5:$E$110=$B56)*ISNUMBER(INDEX(Inputs!$K$5:$AJ$110,0,MATCH(AC$2,Inputs!$K$4:$AJ$4,0))))=0,NA(),SUMPRODUCT((Inputs!$A$5:$A$110=$B56)*Inputs!$B$5:$B$110*(((Inputs!$G$5:$G$110="moeda")+(Inputs!$G$5:$G$110="acoes"))*Inputs!$B$1+((Inputs!$G$5:$G$110&lt;&gt;"moeda")*(Inputs!$G$5:$G$110&lt;&gt;"acoes")))*INDEX(Inputs!$K$5:$AJ$110,0,MATCH(AC$2,Inputs!$K$4:$AJ$4,0)))+SUMPRODUCT((Inputs!$C$5:$C$110=$B56)*Inputs!$D$5:$D$110*(((Inputs!$G$5:$G$110="moeda")+(Inputs!$G$5:$G$110="acoes"))*Inputs!$B$1+((Inputs!$G$5:$G$110&lt;&gt;"moeda")*(Inputs!$G$5:$G$110&lt;&gt;"acoes")))*INDEX(Inputs!$K$5:$AJ$110,0,MATCH(AC$2,Inputs!$K$4:$AJ$4,0)))+SUMPRODUCT((Inputs!$E$5:$E$110=$B56)*Inputs!$F$5:$F$110*(((Inputs!$G$5:$G$110="moeda")+(Inputs!$G$5:$G$110="acoes"))*Inputs!$B$1+((Inputs!$G$5:$G$110&lt;&gt;"moeda")*(Inputs!$G$5:$G$110&lt;&gt;"acoes")))*INDEX(Inputs!$K$5:$AJ$110,0,MATCH(AC$2,Inputs!$K$4:$AJ$4,0)))))</f>
        <v>500</v>
      </c>
      <c r="AD56" s="263">
        <f>IF(ISNA(MATCH(AD$2,Inputs!$K$4:$AJ$4,0)),NA(),IF(SUMPRODUCT((Inputs!$A$5:$A$110=$B56)*ISNUMBER(INDEX(Inputs!$K$5:$AJ$110,0,MATCH(AD$2,Inputs!$K$4:$AJ$4,0))))+SUMPRODUCT((Inputs!$C$5:$C$110=$B56)*ISNUMBER(INDEX(Inputs!$K$5:$AJ$110,0,MATCH(AD$2,Inputs!$K$4:$AJ$4,0))))+SUMPRODUCT((Inputs!$E$5:$E$110=$B56)*ISNUMBER(INDEX(Inputs!$K$5:$AJ$110,0,MATCH(AD$2,Inputs!$K$4:$AJ$4,0))))=0,NA(),SUMPRODUCT((Inputs!$A$5:$A$110=$B56)*Inputs!$B$5:$B$110*(((Inputs!$G$5:$G$110="moeda")+(Inputs!$G$5:$G$110="acoes"))*Inputs!$B$1+((Inputs!$G$5:$G$110&lt;&gt;"moeda")*(Inputs!$G$5:$G$110&lt;&gt;"acoes")))*INDEX(Inputs!$K$5:$AJ$110,0,MATCH(AD$2,Inputs!$K$4:$AJ$4,0)))+SUMPRODUCT((Inputs!$C$5:$C$110=$B56)*Inputs!$D$5:$D$110*(((Inputs!$G$5:$G$110="moeda")+(Inputs!$G$5:$G$110="acoes"))*Inputs!$B$1+((Inputs!$G$5:$G$110&lt;&gt;"moeda")*(Inputs!$G$5:$G$110&lt;&gt;"acoes")))*INDEX(Inputs!$K$5:$AJ$110,0,MATCH(AD$2,Inputs!$K$4:$AJ$4,0)))+SUMPRODUCT((Inputs!$E$5:$E$110=$B56)*Inputs!$F$5:$F$110*(((Inputs!$G$5:$G$110="moeda")+(Inputs!$G$5:$G$110="acoes"))*Inputs!$B$1+((Inputs!$G$5:$G$110&lt;&gt;"moeda")*(Inputs!$G$5:$G$110&lt;&gt;"acoes")))*INDEX(Inputs!$K$5:$AJ$110,0,MATCH(AD$2,Inputs!$K$4:$AJ$4,0)))))</f>
        <v>594</v>
      </c>
      <c r="AE56" s="263" t="e">
        <f>IF(ISNA(MATCH(AE$2,Inputs!$K$4:$AJ$4,0)),NA(),IF(SUMPRODUCT((Inputs!$A$5:$A$110=$B56)*ISNUMBER(INDEX(Inputs!$K$5:$AJ$110,0,MATCH(AE$2,Inputs!$K$4:$AJ$4,0))))+SUMPRODUCT((Inputs!$C$5:$C$110=$B56)*ISNUMBER(INDEX(Inputs!$K$5:$AJ$110,0,MATCH(AE$2,Inputs!$K$4:$AJ$4,0))))+SUMPRODUCT((Inputs!$E$5:$E$110=$B56)*ISNUMBER(INDEX(Inputs!$K$5:$AJ$110,0,MATCH(AE$2,Inputs!$K$4:$AJ$4,0))))=0,NA(),SUMPRODUCT((Inputs!$A$5:$A$110=$B56)*Inputs!$B$5:$B$110*(((Inputs!$G$5:$G$110="moeda")+(Inputs!$G$5:$G$110="acoes"))*Inputs!$B$1+((Inputs!$G$5:$G$110&lt;&gt;"moeda")*(Inputs!$G$5:$G$110&lt;&gt;"acoes")))*INDEX(Inputs!$K$5:$AJ$110,0,MATCH(AE$2,Inputs!$K$4:$AJ$4,0)))+SUMPRODUCT((Inputs!$C$5:$C$110=$B56)*Inputs!$D$5:$D$110*(((Inputs!$G$5:$G$110="moeda")+(Inputs!$G$5:$G$110="acoes"))*Inputs!$B$1+((Inputs!$G$5:$G$110&lt;&gt;"moeda")*(Inputs!$G$5:$G$110&lt;&gt;"acoes")))*INDEX(Inputs!$K$5:$AJ$110,0,MATCH(AE$2,Inputs!$K$4:$AJ$4,0)))+SUMPRODUCT((Inputs!$E$5:$E$110=$B56)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6" s="263" t="e">
        <f>IF(ISNA(MATCH(AF$2,Inputs!$K$4:$AJ$4,0)),NA(),IF(SUMPRODUCT((Inputs!$A$5:$A$110=$B56)*ISNUMBER(INDEX(Inputs!$K$5:$AJ$110,0,MATCH(AF$2,Inputs!$K$4:$AJ$4,0))))+SUMPRODUCT((Inputs!$C$5:$C$110=$B56)*ISNUMBER(INDEX(Inputs!$K$5:$AJ$110,0,MATCH(AF$2,Inputs!$K$4:$AJ$4,0))))+SUMPRODUCT((Inputs!$E$5:$E$110=$B56)*ISNUMBER(INDEX(Inputs!$K$5:$AJ$110,0,MATCH(AF$2,Inputs!$K$4:$AJ$4,0))))=0,NA(),SUMPRODUCT((Inputs!$A$5:$A$110=$B56)*Inputs!$B$5:$B$110*(((Inputs!$G$5:$G$110="moeda")+(Inputs!$G$5:$G$110="acoes"))*Inputs!$B$1+((Inputs!$G$5:$G$110&lt;&gt;"moeda")*(Inputs!$G$5:$G$110&lt;&gt;"acoes")))*INDEX(Inputs!$K$5:$AJ$110,0,MATCH(AF$2,Inputs!$K$4:$AJ$4,0)))+SUMPRODUCT((Inputs!$C$5:$C$110=$B56)*Inputs!$D$5:$D$110*(((Inputs!$G$5:$G$110="moeda")+(Inputs!$G$5:$G$110="acoes"))*Inputs!$B$1+((Inputs!$G$5:$G$110&lt;&gt;"moeda")*(Inputs!$G$5:$G$110&lt;&gt;"acoes")))*INDEX(Inputs!$K$5:$AJ$110,0,MATCH(AF$2,Inputs!$K$4:$AJ$4,0)))+SUMPRODUCT((Inputs!$E$5:$E$110=$B56)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$110=$B56)*ISNUMBER(INDEX(Inputs!$K$5:$AJ$110,0,MATCH(AH$2,Inputs!$K$4:$AJ$4,0))))+SUMPRODUCT((Inputs!$C$5:$C$110=$B56)*ISNUMBER(INDEX(Inputs!$K$5:$AJ$110,0,MATCH(AH$2,Inputs!$K$4:$AJ$4,0))))+SUMPRODUCT((Inputs!$E$5:$E$110=$B56)*ISNUMBER(INDEX(Inputs!$K$5:$AJ$110,0,MATCH(AH$2,Inputs!$K$4:$AJ$4,0))))=0,NA(),SUMPRODUCT((Inputs!$A$5:$A$110=$B56)*Inputs!$B$5:$B$110*(((Inputs!$G$5:$G$110="moeda")+(Inputs!$G$5:$G$110="acoes"))*Inputs!$B$1+((Inputs!$G$5:$G$110&lt;&gt;"moeda")*(Inputs!$G$5:$G$110&lt;&gt;"acoes")))*INDEX(Inputs!$K$5:$AJ$110,0,MATCH(AH$2,Inputs!$K$4:$AJ$4,0)))+SUMPRODUCT((Inputs!$C$5:$C$110=$B56)*Inputs!$D$5:$D$110*(((Inputs!$G$5:$G$110="moeda")+(Inputs!$G$5:$G$110="acoes"))*Inputs!$B$1+((Inputs!$G$5:$G$110&lt;&gt;"moeda")*(Inputs!$G$5:$G$110&lt;&gt;"acoes")))*INDEX(Inputs!$K$5:$AJ$110,0,MATCH(AH$2,Inputs!$K$4:$AJ$4,0)))+SUMPRODUCT((Inputs!$E$5:$E$110=$B56)*Inputs!$F$5:$F$110*(((Inputs!$G$5:$G$110="moeda")+(Inputs!$G$5:$G$110="acoes"))*Inputs!$B$1+((Inputs!$G$5:$G$110&lt;&gt;"moeda")*(Inputs!$G$5:$G$110&lt;&gt;"acoes")))*INDEX(Inputs!$K$5:$AJ$110,0,MATCH(AH$2,Inputs!$K$4:$AJ$4,0)))))</f>
        <v>396</v>
      </c>
      <c r="AI56" s="263">
        <f>IF(ISNA(MATCH(AI$2,Inputs!$K$4:$AJ$4,0)),NA(),IF(SUMPRODUCT((Inputs!$A$5:$A$110=$B56)*ISNUMBER(INDEX(Inputs!$K$5:$AJ$110,0,MATCH(AI$2,Inputs!$K$4:$AJ$4,0))))+SUMPRODUCT((Inputs!$C$5:$C$110=$B56)*ISNUMBER(INDEX(Inputs!$K$5:$AJ$110,0,MATCH(AI$2,Inputs!$K$4:$AJ$4,0))))+SUMPRODUCT((Inputs!$E$5:$E$110=$B56)*ISNUMBER(INDEX(Inputs!$K$5:$AJ$110,0,MATCH(AI$2,Inputs!$K$4:$AJ$4,0))))=0,NA(),SUMPRODUCT((Inputs!$A$5:$A$110=$B56)*Inputs!$B$5:$B$110*(((Inputs!$G$5:$G$110="moeda")+(Inputs!$G$5:$G$110="acoes"))*Inputs!$B$1+((Inputs!$G$5:$G$110&lt;&gt;"moeda")*(Inputs!$G$5:$G$110&lt;&gt;"acoes")))*INDEX(Inputs!$K$5:$AJ$110,0,MATCH(AI$2,Inputs!$K$4:$AJ$4,0)))+SUMPRODUCT((Inputs!$C$5:$C$110=$B56)*Inputs!$D$5:$D$110*(((Inputs!$G$5:$G$110="moeda")+(Inputs!$G$5:$G$110="acoes"))*Inputs!$B$1+((Inputs!$G$5:$G$110&lt;&gt;"moeda")*(Inputs!$G$5:$G$110&lt;&gt;"acoes")))*INDEX(Inputs!$K$5:$AJ$110,0,MATCH(AI$2,Inputs!$K$4:$AJ$4,0)))+SUMPRODUCT((Inputs!$E$5:$E$110=$B56)*Inputs!$F$5:$F$110*(((Inputs!$G$5:$G$110="moeda")+(Inputs!$G$5:$G$110="acoes"))*Inputs!$B$1+((Inputs!$G$5:$G$110&lt;&gt;"moeda")*(Inputs!$G$5:$G$110&lt;&gt;"acoes")))*INDEX(Inputs!$K$5:$AJ$110,0,MATCH(AI$2,Inputs!$K$4:$AJ$4,0)))))</f>
        <v>370</v>
      </c>
      <c r="AJ56" s="263">
        <f>IF(ISNA(MATCH(AJ$2,Inputs!$K$4:$AJ$4,0)),NA(),IF(SUMPRODUCT((Inputs!$A$5:$A$110=$B56)*ISNUMBER(INDEX(Inputs!$K$5:$AJ$110,0,MATCH(AJ$2,Inputs!$K$4:$AJ$4,0))))+SUMPRODUCT((Inputs!$C$5:$C$110=$B56)*ISNUMBER(INDEX(Inputs!$K$5:$AJ$110,0,MATCH(AJ$2,Inputs!$K$4:$AJ$4,0))))+SUMPRODUCT((Inputs!$E$5:$E$110=$B56)*ISNUMBER(INDEX(Inputs!$K$5:$AJ$110,0,MATCH(AJ$2,Inputs!$K$4:$AJ$4,0))))=0,NA(),SUMPRODUCT((Inputs!$A$5:$A$110=$B56)*Inputs!$B$5:$B$110*(((Inputs!$G$5:$G$110="moeda")+(Inputs!$G$5:$G$110="acoes"))*Inputs!$B$1+((Inputs!$G$5:$G$110&lt;&gt;"moeda")*(Inputs!$G$5:$G$110&lt;&gt;"acoes")))*INDEX(Inputs!$K$5:$AJ$110,0,MATCH(AJ$2,Inputs!$K$4:$AJ$4,0)))+SUMPRODUCT((Inputs!$C$5:$C$110=$B56)*Inputs!$D$5:$D$110*(((Inputs!$G$5:$G$110="moeda")+(Inputs!$G$5:$G$110="acoes"))*Inputs!$B$1+((Inputs!$G$5:$G$110&lt;&gt;"moeda")*(Inputs!$G$5:$G$110&lt;&gt;"acoes")))*INDEX(Inputs!$K$5:$AJ$110,0,MATCH(AJ$2,Inputs!$K$4:$AJ$4,0)))+SUMPRODUCT((Inputs!$E$5:$E$110=$B56)*Inputs!$F$5:$F$110*(((Inputs!$G$5:$G$110="moeda")+(Inputs!$G$5:$G$110="acoes"))*Inputs!$B$1+((Inputs!$G$5:$G$110&lt;&gt;"moeda")*(Inputs!$G$5:$G$110&lt;&gt;"acoes")))*INDEX(Inputs!$K$5:$AJ$110,0,MATCH(AJ$2,Inputs!$K$4:$AJ$4,0)))))</f>
        <v>405</v>
      </c>
      <c r="AK56" s="263">
        <f>IF(ISNA(MATCH(AK$2,Inputs!$K$4:$AJ$4,0)),NA(),IF(SUMPRODUCT((Inputs!$A$5:$A$110=$B56)*ISNUMBER(INDEX(Inputs!$K$5:$AJ$110,0,MATCH(AK$2,Inputs!$K$4:$AJ$4,0))))+SUMPRODUCT((Inputs!$C$5:$C$110=$B56)*ISNUMBER(INDEX(Inputs!$K$5:$AJ$110,0,MATCH(AK$2,Inputs!$K$4:$AJ$4,0))))+SUMPRODUCT((Inputs!$E$5:$E$110=$B56)*ISNUMBER(INDEX(Inputs!$K$5:$AJ$110,0,MATCH(AK$2,Inputs!$K$4:$AJ$4,0))))=0,NA(),SUMPRODUCT((Inputs!$A$5:$A$110=$B56)*Inputs!$B$5:$B$110*(((Inputs!$G$5:$G$110="moeda")+(Inputs!$G$5:$G$110="acoes"))*Inputs!$B$1+((Inputs!$G$5:$G$110&lt;&gt;"moeda")*(Inputs!$G$5:$G$110&lt;&gt;"acoes")))*INDEX(Inputs!$K$5:$AJ$110,0,MATCH(AK$2,Inputs!$K$4:$AJ$4,0)))+SUMPRODUCT((Inputs!$C$5:$C$110=$B56)*Inputs!$D$5:$D$110*(((Inputs!$G$5:$G$110="moeda")+(Inputs!$G$5:$G$110="acoes"))*Inputs!$B$1+((Inputs!$G$5:$G$110&lt;&gt;"moeda")*(Inputs!$G$5:$G$110&lt;&gt;"acoes")))*INDEX(Inputs!$K$5:$AJ$110,0,MATCH(AK$2,Inputs!$K$4:$AJ$4,0)))+SUMPRODUCT((Inputs!$E$5:$E$110=$B56)*Inputs!$F$5:$F$110*(((Inputs!$G$5:$G$110="moeda")+(Inputs!$G$5:$G$110="acoes"))*Inputs!$B$1+((Inputs!$G$5:$G$110&lt;&gt;"moeda")*(Inputs!$G$5:$G$110&lt;&gt;"acoes")))*INDEX(Inputs!$K$5:$AJ$110,0,MATCH(AK$2,Inputs!$K$4:$AJ$4,0)))))</f>
        <v>374</v>
      </c>
      <c r="AL56" s="264">
        <f>SUM(AH56:AK56)</f>
        <v>1545</v>
      </c>
    </row>
    <row r="57">
      <c r="B57" s="46" t="n">
        <v>49</v>
      </c>
      <c r="C57" s="29" t="inlineStr">
        <is>
          <t>Rotary and Mission Systems - receita (USD)</t>
        </is>
      </c>
      <c r="D57" s="263">
        <f>IF(ISNA(MATCH(D$2,Inputs!$K$4:$AJ$4,0)),NA(),IF(SUMPRODUCT((Inputs!$A$5:$A$110=$B57)*ISNUMBER(INDEX(Inputs!$K$5:$AJ$110,0,MATCH(D$2,Inputs!$K$4:$AJ$4,0))))+SUMPRODUCT((Inputs!$C$5:$C$110=$B57)*ISNUMBER(INDEX(Inputs!$K$5:$AJ$110,0,MATCH(D$2,Inputs!$K$4:$AJ$4,0))))+SUMPRODUCT((Inputs!$E$5:$E$110=$B57)*ISNUMBER(INDEX(Inputs!$K$5:$AJ$110,0,MATCH(D$2,Inputs!$K$4:$AJ$4,0))))=0,NA(),SUMPRODUCT((Inputs!$A$5:$A$110=$B57)*Inputs!$B$5:$B$110*(((Inputs!$G$5:$G$110="moeda")+(Inputs!$G$5:$G$110="acoes"))*Inputs!$B$1+((Inputs!$G$5:$G$110&lt;&gt;"moeda")*(Inputs!$G$5:$G$110&lt;&gt;"acoes")))*INDEX(Inputs!$K$5:$AJ$110,0,MATCH(D$2,Inputs!$K$4:$AJ$4,0)))+SUMPRODUCT((Inputs!$C$5:$C$110=$B57)*Inputs!$D$5:$D$110*(((Inputs!$G$5:$G$110="moeda")+(Inputs!$G$5:$G$110="acoes"))*Inputs!$B$1+((Inputs!$G$5:$G$110&lt;&gt;"moeda")*(Inputs!$G$5:$G$110&lt;&gt;"acoes")))*INDEX(Inputs!$K$5:$AJ$110,0,MATCH(D$2,Inputs!$K$4:$AJ$4,0)))+SUMPRODUCT((Inputs!$E$5:$E$110=$B57)*Inputs!$F$5:$F$110*(((Inputs!$G$5:$G$110="moeda")+(Inputs!$G$5:$G$110="acoes"))*Inputs!$B$1+((Inputs!$G$5:$G$110&lt;&gt;"moeda")*(Inputs!$G$5:$G$110&lt;&gt;"acoes")))*INDEX(Inputs!$K$5:$AJ$110,0,MATCH(D$2,Inputs!$K$4:$AJ$4,0)))))</f>
        <v>4107</v>
      </c>
      <c r="E57" s="263">
        <f>IF(ISNA(MATCH(E$2,Inputs!$K$4:$AJ$4,0)),NA(),IF(SUMPRODUCT((Inputs!$A$5:$A$110=$B57)*ISNUMBER(INDEX(Inputs!$K$5:$AJ$110,0,MATCH(E$2,Inputs!$K$4:$AJ$4,0))))+SUMPRODUCT((Inputs!$C$5:$C$110=$B57)*ISNUMBER(INDEX(Inputs!$K$5:$AJ$110,0,MATCH(E$2,Inputs!$K$4:$AJ$4,0))))+SUMPRODUCT((Inputs!$E$5:$E$110=$B57)*ISNUMBER(INDEX(Inputs!$K$5:$AJ$110,0,MATCH(E$2,Inputs!$K$4:$AJ$4,0))))=0,NA(),SUMPRODUCT((Inputs!$A$5:$A$110=$B57)*Inputs!$B$5:$B$110*(((Inputs!$G$5:$G$110="moeda")+(Inputs!$G$5:$G$110="acoes"))*Inputs!$B$1+((Inputs!$G$5:$G$110&lt;&gt;"moeda")*(Inputs!$G$5:$G$110&lt;&gt;"acoes")))*INDEX(Inputs!$K$5:$AJ$110,0,MATCH(E$2,Inputs!$K$4:$AJ$4,0)))+SUMPRODUCT((Inputs!$C$5:$C$110=$B57)*Inputs!$D$5:$D$110*(((Inputs!$G$5:$G$110="moeda")+(Inputs!$G$5:$G$110="acoes"))*Inputs!$B$1+((Inputs!$G$5:$G$110&lt;&gt;"moeda")*(Inputs!$G$5:$G$110&lt;&gt;"acoes")))*INDEX(Inputs!$K$5:$AJ$110,0,MATCH(E$2,Inputs!$K$4:$AJ$4,0)))+SUMPRODUCT((Inputs!$E$5:$E$110=$B57)*Inputs!$F$5:$F$110*(((Inputs!$G$5:$G$110="moeda")+(Inputs!$G$5:$G$110="acoes"))*Inputs!$B$1+((Inputs!$G$5:$G$110&lt;&gt;"moeda")*(Inputs!$G$5:$G$110&lt;&gt;"acoes")))*INDEX(Inputs!$K$5:$AJ$110,0,MATCH(E$2,Inputs!$K$4:$AJ$4,0)))))</f>
        <v>4242</v>
      </c>
      <c r="F57" s="263">
        <f>IF(ISNA(MATCH(F$2,Inputs!$K$4:$AJ$4,0)),NA(),IF(SUMPRODUCT((Inputs!$A$5:$A$110=$B57)*ISNUMBER(INDEX(Inputs!$K$5:$AJ$110,0,MATCH(F$2,Inputs!$K$4:$AJ$4,0))))+SUMPRODUCT((Inputs!$C$5:$C$110=$B57)*ISNUMBER(INDEX(Inputs!$K$5:$AJ$110,0,MATCH(F$2,Inputs!$K$4:$AJ$4,0))))+SUMPRODUCT((Inputs!$E$5:$E$110=$B57)*ISNUMBER(INDEX(Inputs!$K$5:$AJ$110,0,MATCH(F$2,Inputs!$K$4:$AJ$4,0))))=0,NA(),SUMPRODUCT((Inputs!$A$5:$A$110=$B57)*Inputs!$B$5:$B$110*(((Inputs!$G$5:$G$110="moeda")+(Inputs!$G$5:$G$110="acoes"))*Inputs!$B$1+((Inputs!$G$5:$G$110&lt;&gt;"moeda")*(Inputs!$G$5:$G$110&lt;&gt;"acoes")))*INDEX(Inputs!$K$5:$AJ$110,0,MATCH(F$2,Inputs!$K$4:$AJ$4,0)))+SUMPRODUCT((Inputs!$C$5:$C$110=$B57)*Inputs!$D$5:$D$110*(((Inputs!$G$5:$G$110="moeda")+(Inputs!$G$5:$G$110="acoes"))*Inputs!$B$1+((Inputs!$G$5:$G$110&lt;&gt;"moeda")*(Inputs!$G$5:$G$110&lt;&gt;"acoes")))*INDEX(Inputs!$K$5:$AJ$110,0,MATCH(F$2,Inputs!$K$4:$AJ$4,0)))+SUMPRODUCT((Inputs!$E$5:$E$110=$B57)*Inputs!$F$5:$F$110*(((Inputs!$G$5:$G$110="moeda")+(Inputs!$G$5:$G$110="acoes"))*Inputs!$B$1+((Inputs!$G$5:$G$110&lt;&gt;"moeda")*(Inputs!$G$5:$G$110&lt;&gt;"acoes")))*INDEX(Inputs!$K$5:$AJ$110,0,MATCH(F$2,Inputs!$K$4:$AJ$4,0)))))</f>
        <v>3980</v>
      </c>
      <c r="G57" s="263">
        <f>IF(ISNA(MATCH(G$2,Inputs!$K$4:$AJ$4,0)),NA(),IF(SUMPRODUCT((Inputs!$A$5:$A$110=$B57)*ISNUMBER(INDEX(Inputs!$K$5:$AJ$110,0,MATCH(G$2,Inputs!$K$4:$AJ$4,0))))+SUMPRODUCT((Inputs!$C$5:$C$110=$B57)*ISNUMBER(INDEX(Inputs!$K$5:$AJ$110,0,MATCH(G$2,Inputs!$K$4:$AJ$4,0))))+SUMPRODUCT((Inputs!$E$5:$E$110=$B57)*ISNUMBER(INDEX(Inputs!$K$5:$AJ$110,0,MATCH(G$2,Inputs!$K$4:$AJ$4,0))))=0,NA(),SUMPRODUCT((Inputs!$A$5:$A$110=$B57)*Inputs!$B$5:$B$110*(((Inputs!$G$5:$G$110="moeda")+(Inputs!$G$5:$G$110="acoes"))*Inputs!$B$1+((Inputs!$G$5:$G$110&lt;&gt;"moeda")*(Inputs!$G$5:$G$110&lt;&gt;"acoes")))*INDEX(Inputs!$K$5:$AJ$110,0,MATCH(G$2,Inputs!$K$4:$AJ$4,0)))+SUMPRODUCT((Inputs!$C$5:$C$110=$B57)*Inputs!$D$5:$D$110*(((Inputs!$G$5:$G$110="moeda")+(Inputs!$G$5:$G$110="acoes"))*Inputs!$B$1+((Inputs!$G$5:$G$110&lt;&gt;"moeda")*(Inputs!$G$5:$G$110&lt;&gt;"acoes")))*INDEX(Inputs!$K$5:$AJ$110,0,MATCH(G$2,Inputs!$K$4:$AJ$4,0)))+SUMPRODUCT((Inputs!$E$5:$E$110=$B57)*Inputs!$F$5:$F$110*(((Inputs!$G$5:$G$110="moeda")+(Inputs!$G$5:$G$110="acoes"))*Inputs!$B$1+((Inputs!$G$5:$G$110&lt;&gt;"moeda")*(Inputs!$G$5:$G$110&lt;&gt;"acoes")))*INDEX(Inputs!$K$5:$AJ$110,0,MATCH(G$2,Inputs!$K$4:$AJ$4,0)))))</f>
        <v>4460</v>
      </c>
      <c r="H57" s="264">
        <f>SUM(D57:G57)</f>
        <v>16789</v>
      </c>
      <c r="I57" s="263">
        <f>IF(ISNA(MATCH(I$2,Inputs!$K$4:$AJ$4,0)),NA(),IF(SUMPRODUCT((Inputs!$A$5:$A$110=$B57)*ISNUMBER(INDEX(Inputs!$K$5:$AJ$110,0,MATCH(I$2,Inputs!$K$4:$AJ$4,0))))+SUMPRODUCT((Inputs!$C$5:$C$110=$B57)*ISNUMBER(INDEX(Inputs!$K$5:$AJ$110,0,MATCH(I$2,Inputs!$K$4:$AJ$4,0))))+SUMPRODUCT((Inputs!$E$5:$E$110=$B57)*ISNUMBER(INDEX(Inputs!$K$5:$AJ$110,0,MATCH(I$2,Inputs!$K$4:$AJ$4,0))))=0,NA(),SUMPRODUCT((Inputs!$A$5:$A$110=$B57)*Inputs!$B$5:$B$110*(((Inputs!$G$5:$G$110="moeda")+(Inputs!$G$5:$G$110="acoes"))*Inputs!$B$1+((Inputs!$G$5:$G$110&lt;&gt;"moeda")*(Inputs!$G$5:$G$110&lt;&gt;"acoes")))*INDEX(Inputs!$K$5:$AJ$110,0,MATCH(I$2,Inputs!$K$4:$AJ$4,0)))+SUMPRODUCT((Inputs!$C$5:$C$110=$B57)*Inputs!$D$5:$D$110*(((Inputs!$G$5:$G$110="moeda")+(Inputs!$G$5:$G$110="acoes"))*Inputs!$B$1+((Inputs!$G$5:$G$110&lt;&gt;"moeda")*(Inputs!$G$5:$G$110&lt;&gt;"acoes")))*INDEX(Inputs!$K$5:$AJ$110,0,MATCH(I$2,Inputs!$K$4:$AJ$4,0)))+SUMPRODUCT((Inputs!$E$5:$E$110=$B57)*Inputs!$F$5:$F$110*(((Inputs!$G$5:$G$110="moeda")+(Inputs!$G$5:$G$110="acoes"))*Inputs!$B$1+((Inputs!$G$5:$G$110&lt;&gt;"moeda")*(Inputs!$G$5:$G$110&lt;&gt;"acoes")))*INDEX(Inputs!$K$5:$AJ$110,0,MATCH(I$2,Inputs!$K$4:$AJ$4,0)))))</f>
        <v>3552</v>
      </c>
      <c r="J57" s="263">
        <f>IF(ISNA(MATCH(J$2,Inputs!$K$4:$AJ$4,0)),NA(),IF(SUMPRODUCT((Inputs!$A$5:$A$110=$B57)*ISNUMBER(INDEX(Inputs!$K$5:$AJ$110,0,MATCH(J$2,Inputs!$K$4:$AJ$4,0))))+SUMPRODUCT((Inputs!$C$5:$C$110=$B57)*ISNUMBER(INDEX(Inputs!$K$5:$AJ$110,0,MATCH(J$2,Inputs!$K$4:$AJ$4,0))))+SUMPRODUCT((Inputs!$E$5:$E$110=$B57)*ISNUMBER(INDEX(Inputs!$K$5:$AJ$110,0,MATCH(J$2,Inputs!$K$4:$AJ$4,0))))=0,NA(),SUMPRODUCT((Inputs!$A$5:$A$110=$B57)*Inputs!$B$5:$B$110*(((Inputs!$G$5:$G$110="moeda")+(Inputs!$G$5:$G$110="acoes"))*Inputs!$B$1+((Inputs!$G$5:$G$110&lt;&gt;"moeda")*(Inputs!$G$5:$G$110&lt;&gt;"acoes")))*INDEX(Inputs!$K$5:$AJ$110,0,MATCH(J$2,Inputs!$K$4:$AJ$4,0)))+SUMPRODUCT((Inputs!$C$5:$C$110=$B57)*Inputs!$D$5:$D$110*(((Inputs!$G$5:$G$110="moeda")+(Inputs!$G$5:$G$110="acoes"))*Inputs!$B$1+((Inputs!$G$5:$G$110&lt;&gt;"moeda")*(Inputs!$G$5:$G$110&lt;&gt;"acoes")))*INDEX(Inputs!$K$5:$AJ$110,0,MATCH(J$2,Inputs!$K$4:$AJ$4,0)))+SUMPRODUCT((Inputs!$E$5:$E$110=$B57)*Inputs!$F$5:$F$110*(((Inputs!$G$5:$G$110="moeda")+(Inputs!$G$5:$G$110="acoes"))*Inputs!$B$1+((Inputs!$G$5:$G$110&lt;&gt;"moeda")*(Inputs!$G$5:$G$110&lt;&gt;"acoes")))*INDEX(Inputs!$K$5:$AJ$110,0,MATCH(J$2,Inputs!$K$4:$AJ$4,0)))))</f>
        <v>4012</v>
      </c>
      <c r="K57" s="263">
        <f>IF(ISNA(MATCH(K$2,Inputs!$K$4:$AJ$4,0)),NA(),IF(SUMPRODUCT((Inputs!$A$5:$A$110=$B57)*ISNUMBER(INDEX(Inputs!$K$5:$AJ$110,0,MATCH(K$2,Inputs!$K$4:$AJ$4,0))))+SUMPRODUCT((Inputs!$C$5:$C$110=$B57)*ISNUMBER(INDEX(Inputs!$K$5:$AJ$110,0,MATCH(K$2,Inputs!$K$4:$AJ$4,0))))+SUMPRODUCT((Inputs!$E$5:$E$110=$B57)*ISNUMBER(INDEX(Inputs!$K$5:$AJ$110,0,MATCH(K$2,Inputs!$K$4:$AJ$4,0))))=0,NA(),SUMPRODUCT((Inputs!$A$5:$A$110=$B57)*Inputs!$B$5:$B$110*(((Inputs!$G$5:$G$110="moeda")+(Inputs!$G$5:$G$110="acoes"))*Inputs!$B$1+((Inputs!$G$5:$G$110&lt;&gt;"moeda")*(Inputs!$G$5:$G$110&lt;&gt;"acoes")))*INDEX(Inputs!$K$5:$AJ$110,0,MATCH(K$2,Inputs!$K$4:$AJ$4,0)))+SUMPRODUCT((Inputs!$C$5:$C$110=$B57)*Inputs!$D$5:$D$110*(((Inputs!$G$5:$G$110="moeda")+(Inputs!$G$5:$G$110="acoes"))*Inputs!$B$1+((Inputs!$G$5:$G$110&lt;&gt;"moeda")*(Inputs!$G$5:$G$110&lt;&gt;"acoes")))*INDEX(Inputs!$K$5:$AJ$110,0,MATCH(K$2,Inputs!$K$4:$AJ$4,0)))+SUMPRODUCT((Inputs!$E$5:$E$110=$B57)*Inputs!$F$5:$F$110*(((Inputs!$G$5:$G$110="moeda")+(Inputs!$G$5:$G$110="acoes"))*Inputs!$B$1+((Inputs!$G$5:$G$110&lt;&gt;"moeda")*(Inputs!$G$5:$G$110&lt;&gt;"acoes")))*INDEX(Inputs!$K$5:$AJ$110,0,MATCH(K$2,Inputs!$K$4:$AJ$4,0)))))</f>
        <v>3781</v>
      </c>
      <c r="L57" s="263">
        <f>IF(ISNA(MATCH(L$2,Inputs!$K$4:$AJ$4,0)),NA(),IF(SUMPRODUCT((Inputs!$A$5:$A$110=$B57)*ISNUMBER(INDEX(Inputs!$K$5:$AJ$110,0,MATCH(L$2,Inputs!$K$4:$AJ$4,0))))+SUMPRODUCT((Inputs!$C$5:$C$110=$B57)*ISNUMBER(INDEX(Inputs!$K$5:$AJ$110,0,MATCH(L$2,Inputs!$K$4:$AJ$4,0))))+SUMPRODUCT((Inputs!$E$5:$E$110=$B57)*ISNUMBER(INDEX(Inputs!$K$5:$AJ$110,0,MATCH(L$2,Inputs!$K$4:$AJ$4,0))))=0,NA(),SUMPRODUCT((Inputs!$A$5:$A$110=$B57)*Inputs!$B$5:$B$110*(((Inputs!$G$5:$G$110="moeda")+(Inputs!$G$5:$G$110="acoes"))*Inputs!$B$1+((Inputs!$G$5:$G$110&lt;&gt;"moeda")*(Inputs!$G$5:$G$110&lt;&gt;"acoes")))*INDEX(Inputs!$K$5:$AJ$110,0,MATCH(L$2,Inputs!$K$4:$AJ$4,0)))+SUMPRODUCT((Inputs!$C$5:$C$110=$B57)*Inputs!$D$5:$D$110*(((Inputs!$G$5:$G$110="moeda")+(Inputs!$G$5:$G$110="acoes"))*Inputs!$B$1+((Inputs!$G$5:$G$110&lt;&gt;"moeda")*(Inputs!$G$5:$G$110&lt;&gt;"acoes")))*INDEX(Inputs!$K$5:$AJ$110,0,MATCH(L$2,Inputs!$K$4:$AJ$4,0)))+SUMPRODUCT((Inputs!$E$5:$E$110=$B57)*Inputs!$F$5:$F$110*(((Inputs!$G$5:$G$110="moeda")+(Inputs!$G$5:$G$110="acoes"))*Inputs!$B$1+((Inputs!$G$5:$G$110&lt;&gt;"moeda")*(Inputs!$G$5:$G$110&lt;&gt;"acoes")))*INDEX(Inputs!$K$5:$AJ$110,0,MATCH(L$2,Inputs!$K$4:$AJ$4,0)))))</f>
        <v>4803</v>
      </c>
      <c r="M57" s="264">
        <f>SUM(I57:L57)</f>
        <v>16148</v>
      </c>
      <c r="N57" s="263">
        <f>IF(ISNA(MATCH(N$2,Inputs!$K$4:$AJ$4,0)),NA(),IF(SUMPRODUCT((Inputs!$A$5:$A$110=$B57)*ISNUMBER(INDEX(Inputs!$K$5:$AJ$110,0,MATCH(N$2,Inputs!$K$4:$AJ$4,0))))+SUMPRODUCT((Inputs!$C$5:$C$110=$B57)*ISNUMBER(INDEX(Inputs!$K$5:$AJ$110,0,MATCH(N$2,Inputs!$K$4:$AJ$4,0))))+SUMPRODUCT((Inputs!$E$5:$E$110=$B57)*ISNUMBER(INDEX(Inputs!$K$5:$AJ$110,0,MATCH(N$2,Inputs!$K$4:$AJ$4,0))))=0,NA(),SUMPRODUCT((Inputs!$A$5:$A$110=$B57)*Inputs!$B$5:$B$110*(((Inputs!$G$5:$G$110="moeda")+(Inputs!$G$5:$G$110="acoes"))*Inputs!$B$1+((Inputs!$G$5:$G$110&lt;&gt;"moeda")*(Inputs!$G$5:$G$110&lt;&gt;"acoes")))*INDEX(Inputs!$K$5:$AJ$110,0,MATCH(N$2,Inputs!$K$4:$AJ$4,0)))+SUMPRODUCT((Inputs!$C$5:$C$110=$B57)*Inputs!$D$5:$D$110*(((Inputs!$G$5:$G$110="moeda")+(Inputs!$G$5:$G$110="acoes"))*Inputs!$B$1+((Inputs!$G$5:$G$110&lt;&gt;"moeda")*(Inputs!$G$5:$G$110&lt;&gt;"acoes")))*INDEX(Inputs!$K$5:$AJ$110,0,MATCH(N$2,Inputs!$K$4:$AJ$4,0)))+SUMPRODUCT((Inputs!$E$5:$E$110=$B57)*Inputs!$F$5:$F$110*(((Inputs!$G$5:$G$110="moeda")+(Inputs!$G$5:$G$110="acoes"))*Inputs!$B$1+((Inputs!$G$5:$G$110&lt;&gt;"moeda")*(Inputs!$G$5:$G$110&lt;&gt;"acoes")))*INDEX(Inputs!$K$5:$AJ$110,0,MATCH(N$2,Inputs!$K$4:$AJ$4,0)))))</f>
        <v>3510</v>
      </c>
      <c r="O57" s="263">
        <f>IF(ISNA(MATCH(O$2,Inputs!$K$4:$AJ$4,0)),NA(),IF(SUMPRODUCT((Inputs!$A$5:$A$110=$B57)*ISNUMBER(INDEX(Inputs!$K$5:$AJ$110,0,MATCH(O$2,Inputs!$K$4:$AJ$4,0))))+SUMPRODUCT((Inputs!$C$5:$C$110=$B57)*ISNUMBER(INDEX(Inputs!$K$5:$AJ$110,0,MATCH(O$2,Inputs!$K$4:$AJ$4,0))))+SUMPRODUCT((Inputs!$E$5:$E$110=$B57)*ISNUMBER(INDEX(Inputs!$K$5:$AJ$110,0,MATCH(O$2,Inputs!$K$4:$AJ$4,0))))=0,NA(),SUMPRODUCT((Inputs!$A$5:$A$110=$B57)*Inputs!$B$5:$B$110*(((Inputs!$G$5:$G$110="moeda")+(Inputs!$G$5:$G$110="acoes"))*Inputs!$B$1+((Inputs!$G$5:$G$110&lt;&gt;"moeda")*(Inputs!$G$5:$G$110&lt;&gt;"acoes")))*INDEX(Inputs!$K$5:$AJ$110,0,MATCH(O$2,Inputs!$K$4:$AJ$4,0)))+SUMPRODUCT((Inputs!$C$5:$C$110=$B57)*Inputs!$D$5:$D$110*(((Inputs!$G$5:$G$110="moeda")+(Inputs!$G$5:$G$110="acoes"))*Inputs!$B$1+((Inputs!$G$5:$G$110&lt;&gt;"moeda")*(Inputs!$G$5:$G$110&lt;&gt;"acoes")))*INDEX(Inputs!$K$5:$AJ$110,0,MATCH(O$2,Inputs!$K$4:$AJ$4,0)))+SUMPRODUCT((Inputs!$E$5:$E$110=$B57)*Inputs!$F$5:$F$110*(((Inputs!$G$5:$G$110="moeda")+(Inputs!$G$5:$G$110="acoes"))*Inputs!$B$1+((Inputs!$G$5:$G$110&lt;&gt;"moeda")*(Inputs!$G$5:$G$110&lt;&gt;"acoes")))*INDEX(Inputs!$K$5:$AJ$110,0,MATCH(O$2,Inputs!$K$4:$AJ$4,0)))))</f>
        <v>3897</v>
      </c>
      <c r="P57" s="263">
        <f>IF(ISNA(MATCH(P$2,Inputs!$K$4:$AJ$4,0)),NA(),IF(SUMPRODUCT((Inputs!$A$5:$A$110=$B57)*ISNUMBER(INDEX(Inputs!$K$5:$AJ$110,0,MATCH(P$2,Inputs!$K$4:$AJ$4,0))))+SUMPRODUCT((Inputs!$C$5:$C$110=$B57)*ISNUMBER(INDEX(Inputs!$K$5:$AJ$110,0,MATCH(P$2,Inputs!$K$4:$AJ$4,0))))+SUMPRODUCT((Inputs!$E$5:$E$110=$B57)*ISNUMBER(INDEX(Inputs!$K$5:$AJ$110,0,MATCH(P$2,Inputs!$K$4:$AJ$4,0))))=0,NA(),SUMPRODUCT((Inputs!$A$5:$A$110=$B57)*Inputs!$B$5:$B$110*(((Inputs!$G$5:$G$110="moeda")+(Inputs!$G$5:$G$110="acoes"))*Inputs!$B$1+((Inputs!$G$5:$G$110&lt;&gt;"moeda")*(Inputs!$G$5:$G$110&lt;&gt;"acoes")))*INDEX(Inputs!$K$5:$AJ$110,0,MATCH(P$2,Inputs!$K$4:$AJ$4,0)))+SUMPRODUCT((Inputs!$C$5:$C$110=$B57)*Inputs!$D$5:$D$110*(((Inputs!$G$5:$G$110="moeda")+(Inputs!$G$5:$G$110="acoes"))*Inputs!$B$1+((Inputs!$G$5:$G$110&lt;&gt;"moeda")*(Inputs!$G$5:$G$110&lt;&gt;"acoes")))*INDEX(Inputs!$K$5:$AJ$110,0,MATCH(P$2,Inputs!$K$4:$AJ$4,0)))+SUMPRODUCT((Inputs!$E$5:$E$110=$B57)*Inputs!$F$5:$F$110*(((Inputs!$G$5:$G$110="moeda")+(Inputs!$G$5:$G$110="acoes"))*Inputs!$B$1+((Inputs!$G$5:$G$110&lt;&gt;"moeda")*(Inputs!$G$5:$G$110&lt;&gt;"acoes")))*INDEX(Inputs!$K$5:$AJ$110,0,MATCH(P$2,Inputs!$K$4:$AJ$4,0)))))</f>
        <v>4121</v>
      </c>
      <c r="Q57" s="263">
        <f>IF(ISNA(MATCH(Q$2,Inputs!$K$4:$AJ$4,0)),NA(),IF(SUMPRODUCT((Inputs!$A$5:$A$110=$B57)*ISNUMBER(INDEX(Inputs!$K$5:$AJ$110,0,MATCH(Q$2,Inputs!$K$4:$AJ$4,0))))+SUMPRODUCT((Inputs!$C$5:$C$110=$B57)*ISNUMBER(INDEX(Inputs!$K$5:$AJ$110,0,MATCH(Q$2,Inputs!$K$4:$AJ$4,0))))+SUMPRODUCT((Inputs!$E$5:$E$110=$B57)*ISNUMBER(INDEX(Inputs!$K$5:$AJ$110,0,MATCH(Q$2,Inputs!$K$4:$AJ$4,0))))=0,NA(),SUMPRODUCT((Inputs!$A$5:$A$110=$B57)*Inputs!$B$5:$B$110*(((Inputs!$G$5:$G$110="moeda")+(Inputs!$G$5:$G$110="acoes"))*Inputs!$B$1+((Inputs!$G$5:$G$110&lt;&gt;"moeda")*(Inputs!$G$5:$G$110&lt;&gt;"acoes")))*INDEX(Inputs!$K$5:$AJ$110,0,MATCH(Q$2,Inputs!$K$4:$AJ$4,0)))+SUMPRODUCT((Inputs!$C$5:$C$110=$B57)*Inputs!$D$5:$D$110*(((Inputs!$G$5:$G$110="moeda")+(Inputs!$G$5:$G$110="acoes"))*Inputs!$B$1+((Inputs!$G$5:$G$110&lt;&gt;"moeda")*(Inputs!$G$5:$G$110&lt;&gt;"acoes")))*INDEX(Inputs!$K$5:$AJ$110,0,MATCH(Q$2,Inputs!$K$4:$AJ$4,0)))+SUMPRODUCT((Inputs!$E$5:$E$110=$B57)*Inputs!$F$5:$F$110*(((Inputs!$G$5:$G$110="moeda")+(Inputs!$G$5:$G$110="acoes"))*Inputs!$B$1+((Inputs!$G$5:$G$110&lt;&gt;"moeda")*(Inputs!$G$5:$G$110&lt;&gt;"acoes")))*INDEX(Inputs!$K$5:$AJ$110,0,MATCH(Q$2,Inputs!$K$4:$AJ$4,0)))))</f>
        <v>4711</v>
      </c>
      <c r="R57" s="264">
        <f>SUM(N57:Q57)</f>
        <v>16239</v>
      </c>
      <c r="S57" s="263">
        <f>IF(ISNA(MATCH(S$2,Inputs!$K$4:$AJ$4,0)),NA(),IF(SUMPRODUCT((Inputs!$A$5:$A$110=$B57)*ISNUMBER(INDEX(Inputs!$K$5:$AJ$110,0,MATCH(S$2,Inputs!$K$4:$AJ$4,0))))+SUMPRODUCT((Inputs!$C$5:$C$110=$B57)*ISNUMBER(INDEX(Inputs!$K$5:$AJ$110,0,MATCH(S$2,Inputs!$K$4:$AJ$4,0))))+SUMPRODUCT((Inputs!$E$5:$E$110=$B57)*ISNUMBER(INDEX(Inputs!$K$5:$AJ$110,0,MATCH(S$2,Inputs!$K$4:$AJ$4,0))))=0,NA(),SUMPRODUCT((Inputs!$A$5:$A$110=$B57)*Inputs!$B$5:$B$110*(((Inputs!$G$5:$G$110="moeda")+(Inputs!$G$5:$G$110="acoes"))*Inputs!$B$1+((Inputs!$G$5:$G$110&lt;&gt;"moeda")*(Inputs!$G$5:$G$110&lt;&gt;"acoes")))*INDEX(Inputs!$K$5:$AJ$110,0,MATCH(S$2,Inputs!$K$4:$AJ$4,0)))+SUMPRODUCT((Inputs!$C$5:$C$110=$B57)*Inputs!$D$5:$D$110*(((Inputs!$G$5:$G$110="moeda")+(Inputs!$G$5:$G$110="acoes"))*Inputs!$B$1+((Inputs!$G$5:$G$110&lt;&gt;"moeda")*(Inputs!$G$5:$G$110&lt;&gt;"acoes")))*INDEX(Inputs!$K$5:$AJ$110,0,MATCH(S$2,Inputs!$K$4:$AJ$4,0)))+SUMPRODUCT((Inputs!$E$5:$E$110=$B57)*Inputs!$F$5:$F$110*(((Inputs!$G$5:$G$110="moeda")+(Inputs!$G$5:$G$110="acoes"))*Inputs!$B$1+((Inputs!$G$5:$G$110&lt;&gt;"moeda")*(Inputs!$G$5:$G$110&lt;&gt;"acoes")))*INDEX(Inputs!$K$5:$AJ$110,0,MATCH(S$2,Inputs!$K$4:$AJ$4,0)))))</f>
        <v>4088</v>
      </c>
      <c r="T57" s="263">
        <f>IF(ISNA(MATCH(T$2,Inputs!$K$4:$AJ$4,0)),NA(),IF(SUMPRODUCT((Inputs!$A$5:$A$110=$B57)*ISNUMBER(INDEX(Inputs!$K$5:$AJ$110,0,MATCH(T$2,Inputs!$K$4:$AJ$4,0))))+SUMPRODUCT((Inputs!$C$5:$C$110=$B57)*ISNUMBER(INDEX(Inputs!$K$5:$AJ$110,0,MATCH(T$2,Inputs!$K$4:$AJ$4,0))))+SUMPRODUCT((Inputs!$E$5:$E$110=$B57)*ISNUMBER(INDEX(Inputs!$K$5:$AJ$110,0,MATCH(T$2,Inputs!$K$4:$AJ$4,0))))=0,NA(),SUMPRODUCT((Inputs!$A$5:$A$110=$B57)*Inputs!$B$5:$B$110*(((Inputs!$G$5:$G$110="moeda")+(Inputs!$G$5:$G$110="acoes"))*Inputs!$B$1+((Inputs!$G$5:$G$110&lt;&gt;"moeda")*(Inputs!$G$5:$G$110&lt;&gt;"acoes")))*INDEX(Inputs!$K$5:$AJ$110,0,MATCH(T$2,Inputs!$K$4:$AJ$4,0)))+SUMPRODUCT((Inputs!$C$5:$C$110=$B57)*Inputs!$D$5:$D$110*(((Inputs!$G$5:$G$110="moeda")+(Inputs!$G$5:$G$110="acoes"))*Inputs!$B$1+((Inputs!$G$5:$G$110&lt;&gt;"moeda")*(Inputs!$G$5:$G$110&lt;&gt;"acoes")))*INDEX(Inputs!$K$5:$AJ$110,0,MATCH(T$2,Inputs!$K$4:$AJ$4,0)))+SUMPRODUCT((Inputs!$E$5:$E$110=$B57)*Inputs!$F$5:$F$110*(((Inputs!$G$5:$G$110="moeda")+(Inputs!$G$5:$G$110="acoes"))*Inputs!$B$1+((Inputs!$G$5:$G$110&lt;&gt;"moeda")*(Inputs!$G$5:$G$110&lt;&gt;"acoes")))*INDEX(Inputs!$K$5:$AJ$110,0,MATCH(T$2,Inputs!$K$4:$AJ$4,0)))))</f>
        <v>4548</v>
      </c>
      <c r="U57" s="263">
        <f>IF(ISNA(MATCH(U$2,Inputs!$K$4:$AJ$4,0)),NA(),IF(SUMPRODUCT((Inputs!$A$5:$A$110=$B57)*ISNUMBER(INDEX(Inputs!$K$5:$AJ$110,0,MATCH(U$2,Inputs!$K$4:$AJ$4,0))))+SUMPRODUCT((Inputs!$C$5:$C$110=$B57)*ISNUMBER(INDEX(Inputs!$K$5:$AJ$110,0,MATCH(U$2,Inputs!$K$4:$AJ$4,0))))+SUMPRODUCT((Inputs!$E$5:$E$110=$B57)*ISNUMBER(INDEX(Inputs!$K$5:$AJ$110,0,MATCH(U$2,Inputs!$K$4:$AJ$4,0))))=0,NA(),SUMPRODUCT((Inputs!$A$5:$A$110=$B57)*Inputs!$B$5:$B$110*(((Inputs!$G$5:$G$110="moeda")+(Inputs!$G$5:$G$110="acoes"))*Inputs!$B$1+((Inputs!$G$5:$G$110&lt;&gt;"moeda")*(Inputs!$G$5:$G$110&lt;&gt;"acoes")))*INDEX(Inputs!$K$5:$AJ$110,0,MATCH(U$2,Inputs!$K$4:$AJ$4,0)))+SUMPRODUCT((Inputs!$C$5:$C$110=$B57)*Inputs!$D$5:$D$110*(((Inputs!$G$5:$G$110="moeda")+(Inputs!$G$5:$G$110="acoes"))*Inputs!$B$1+((Inputs!$G$5:$G$110&lt;&gt;"moeda")*(Inputs!$G$5:$G$110&lt;&gt;"acoes")))*INDEX(Inputs!$K$5:$AJ$110,0,MATCH(U$2,Inputs!$K$4:$AJ$4,0)))+SUMPRODUCT((Inputs!$E$5:$E$110=$B57)*Inputs!$F$5:$F$110*(((Inputs!$G$5:$G$110="moeda")+(Inputs!$G$5:$G$110="acoes"))*Inputs!$B$1+((Inputs!$G$5:$G$110&lt;&gt;"moeda")*(Inputs!$G$5:$G$110&lt;&gt;"acoes")))*INDEX(Inputs!$K$5:$AJ$110,0,MATCH(U$2,Inputs!$K$4:$AJ$4,0)))))</f>
        <v>4367</v>
      </c>
      <c r="V57" s="263">
        <f>IF(ISNA(MATCH(V$2,Inputs!$K$4:$AJ$4,0)),NA(),IF(SUMPRODUCT((Inputs!$A$5:$A$110=$B57)*ISNUMBER(INDEX(Inputs!$K$5:$AJ$110,0,MATCH(V$2,Inputs!$K$4:$AJ$4,0))))+SUMPRODUCT((Inputs!$C$5:$C$110=$B57)*ISNUMBER(INDEX(Inputs!$K$5:$AJ$110,0,MATCH(V$2,Inputs!$K$4:$AJ$4,0))))+SUMPRODUCT((Inputs!$E$5:$E$110=$B57)*ISNUMBER(INDEX(Inputs!$K$5:$AJ$110,0,MATCH(V$2,Inputs!$K$4:$AJ$4,0))))=0,NA(),SUMPRODUCT((Inputs!$A$5:$A$110=$B57)*Inputs!$B$5:$B$110*(((Inputs!$G$5:$G$110="moeda")+(Inputs!$G$5:$G$110="acoes"))*Inputs!$B$1+((Inputs!$G$5:$G$110&lt;&gt;"moeda")*(Inputs!$G$5:$G$110&lt;&gt;"acoes")))*INDEX(Inputs!$K$5:$AJ$110,0,MATCH(V$2,Inputs!$K$4:$AJ$4,0)))+SUMPRODUCT((Inputs!$C$5:$C$110=$B57)*Inputs!$D$5:$D$110*(((Inputs!$G$5:$G$110="moeda")+(Inputs!$G$5:$G$110="acoes"))*Inputs!$B$1+((Inputs!$G$5:$G$110&lt;&gt;"moeda")*(Inputs!$G$5:$G$110&lt;&gt;"acoes")))*INDEX(Inputs!$K$5:$AJ$110,0,MATCH(V$2,Inputs!$K$4:$AJ$4,0)))+SUMPRODUCT((Inputs!$E$5:$E$110=$B57)*Inputs!$F$5:$F$110*(((Inputs!$G$5:$G$110="moeda")+(Inputs!$G$5:$G$110="acoes"))*Inputs!$B$1+((Inputs!$G$5:$G$110&lt;&gt;"moeda")*(Inputs!$G$5:$G$110&lt;&gt;"acoes")))*INDEX(Inputs!$K$5:$AJ$110,0,MATCH(V$2,Inputs!$K$4:$AJ$4,0)))))</f>
        <v>4261</v>
      </c>
      <c r="W57" s="264">
        <f>SUM(S57:V57)</f>
        <v>17264</v>
      </c>
      <c r="X57" s="263">
        <f>IF(ISNA(MATCH(X$2,Inputs!$K$4:$AJ$4,0)),NA(),IF(SUMPRODUCT((Inputs!$A$5:$A$110=$B57)*ISNUMBER(INDEX(Inputs!$K$5:$AJ$110,0,MATCH(X$2,Inputs!$K$4:$AJ$4,0))))+SUMPRODUCT((Inputs!$C$5:$C$110=$B57)*ISNUMBER(INDEX(Inputs!$K$5:$AJ$110,0,MATCH(X$2,Inputs!$K$4:$AJ$4,0))))+SUMPRODUCT((Inputs!$E$5:$E$110=$B57)*ISNUMBER(INDEX(Inputs!$K$5:$AJ$110,0,MATCH(X$2,Inputs!$K$4:$AJ$4,0))))=0,NA(),SUMPRODUCT((Inputs!$A$5:$A$110=$B57)*Inputs!$B$5:$B$110*(((Inputs!$G$5:$G$110="moeda")+(Inputs!$G$5:$G$110="acoes"))*Inputs!$B$1+((Inputs!$G$5:$G$110&lt;&gt;"moeda")*(Inputs!$G$5:$G$110&lt;&gt;"acoes")))*INDEX(Inputs!$K$5:$AJ$110,0,MATCH(X$2,Inputs!$K$4:$AJ$4,0)))+SUMPRODUCT((Inputs!$C$5:$C$110=$B57)*Inputs!$D$5:$D$110*(((Inputs!$G$5:$G$110="moeda")+(Inputs!$G$5:$G$110="acoes"))*Inputs!$B$1+((Inputs!$G$5:$G$110&lt;&gt;"moeda")*(Inputs!$G$5:$G$110&lt;&gt;"acoes")))*INDEX(Inputs!$K$5:$AJ$110,0,MATCH(X$2,Inputs!$K$4:$AJ$4,0)))+SUMPRODUCT((Inputs!$E$5:$E$110=$B57)*Inputs!$F$5:$F$110*(((Inputs!$G$5:$G$110="moeda")+(Inputs!$G$5:$G$110="acoes"))*Inputs!$B$1+((Inputs!$G$5:$G$110&lt;&gt;"moeda")*(Inputs!$G$5:$G$110&lt;&gt;"acoes")))*INDEX(Inputs!$K$5:$AJ$110,0,MATCH(X$2,Inputs!$K$4:$AJ$4,0)))))</f>
        <v>4328</v>
      </c>
      <c r="Y57" s="263">
        <f>IF(ISNA(MATCH(Y$2,Inputs!$K$4:$AJ$4,0)),NA(),IF(SUMPRODUCT((Inputs!$A$5:$A$110=$B57)*ISNUMBER(INDEX(Inputs!$K$5:$AJ$110,0,MATCH(Y$2,Inputs!$K$4:$AJ$4,0))))+SUMPRODUCT((Inputs!$C$5:$C$110=$B57)*ISNUMBER(INDEX(Inputs!$K$5:$AJ$110,0,MATCH(Y$2,Inputs!$K$4:$AJ$4,0))))+SUMPRODUCT((Inputs!$E$5:$E$110=$B57)*ISNUMBER(INDEX(Inputs!$K$5:$AJ$110,0,MATCH(Y$2,Inputs!$K$4:$AJ$4,0))))=0,NA(),SUMPRODUCT((Inputs!$A$5:$A$110=$B57)*Inputs!$B$5:$B$110*(((Inputs!$G$5:$G$110="moeda")+(Inputs!$G$5:$G$110="acoes"))*Inputs!$B$1+((Inputs!$G$5:$G$110&lt;&gt;"moeda")*(Inputs!$G$5:$G$110&lt;&gt;"acoes")))*INDEX(Inputs!$K$5:$AJ$110,0,MATCH(Y$2,Inputs!$K$4:$AJ$4,0)))+SUMPRODUCT((Inputs!$C$5:$C$110=$B57)*Inputs!$D$5:$D$110*(((Inputs!$G$5:$G$110="moeda")+(Inputs!$G$5:$G$110="acoes"))*Inputs!$B$1+((Inputs!$G$5:$G$110&lt;&gt;"moeda")*(Inputs!$G$5:$G$110&lt;&gt;"acoes")))*INDEX(Inputs!$K$5:$AJ$110,0,MATCH(Y$2,Inputs!$K$4:$AJ$4,0)))+SUMPRODUCT((Inputs!$E$5:$E$110=$B57)*Inputs!$F$5:$F$110*(((Inputs!$G$5:$G$110="moeda")+(Inputs!$G$5:$G$110="acoes"))*Inputs!$B$1+((Inputs!$G$5:$G$110&lt;&gt;"moeda")*(Inputs!$G$5:$G$110&lt;&gt;"acoes")))*INDEX(Inputs!$K$5:$AJ$110,0,MATCH(Y$2,Inputs!$K$4:$AJ$4,0)))))</f>
        <v>3995</v>
      </c>
      <c r="Z57" s="263">
        <f>IF(ISNA(MATCH(Z$2,Inputs!$K$4:$AJ$4,0)),NA(),IF(SUMPRODUCT((Inputs!$A$5:$A$110=$B57)*ISNUMBER(INDEX(Inputs!$K$5:$AJ$110,0,MATCH(Z$2,Inputs!$K$4:$AJ$4,0))))+SUMPRODUCT((Inputs!$C$5:$C$110=$B57)*ISNUMBER(INDEX(Inputs!$K$5:$AJ$110,0,MATCH(Z$2,Inputs!$K$4:$AJ$4,0))))+SUMPRODUCT((Inputs!$E$5:$E$110=$B57)*ISNUMBER(INDEX(Inputs!$K$5:$AJ$110,0,MATCH(Z$2,Inputs!$K$4:$AJ$4,0))))=0,NA(),SUMPRODUCT((Inputs!$A$5:$A$110=$B57)*Inputs!$B$5:$B$110*(((Inputs!$G$5:$G$110="moeda")+(Inputs!$G$5:$G$110="acoes"))*Inputs!$B$1+((Inputs!$G$5:$G$110&lt;&gt;"moeda")*(Inputs!$G$5:$G$110&lt;&gt;"acoes")))*INDEX(Inputs!$K$5:$AJ$110,0,MATCH(Z$2,Inputs!$K$4:$AJ$4,0)))+SUMPRODUCT((Inputs!$C$5:$C$110=$B57)*Inputs!$D$5:$D$110*(((Inputs!$G$5:$G$110="moeda")+(Inputs!$G$5:$G$110="acoes"))*Inputs!$B$1+((Inputs!$G$5:$G$110&lt;&gt;"moeda")*(Inputs!$G$5:$G$110&lt;&gt;"acoes")))*INDEX(Inputs!$K$5:$AJ$110,0,MATCH(Z$2,Inputs!$K$4:$AJ$4,0)))+SUMPRODUCT((Inputs!$E$5:$E$110=$B57)*Inputs!$F$5:$F$110*(((Inputs!$G$5:$G$110="moeda")+(Inputs!$G$5:$G$110="acoes"))*Inputs!$B$1+((Inputs!$G$5:$G$110&lt;&gt;"moeda")*(Inputs!$G$5:$G$110&lt;&gt;"acoes")))*INDEX(Inputs!$K$5:$AJ$110,0,MATCH(Z$2,Inputs!$K$4:$AJ$4,0)))))</f>
        <v>4373</v>
      </c>
      <c r="AA57" s="263">
        <f>IF(ISNA(MATCH(AA$2,Inputs!$K$4:$AJ$4,0)),NA(),IF(SUMPRODUCT((Inputs!$A$5:$A$110=$B57)*ISNUMBER(INDEX(Inputs!$K$5:$AJ$110,0,MATCH(AA$2,Inputs!$K$4:$AJ$4,0))))+SUMPRODUCT((Inputs!$C$5:$C$110=$B57)*ISNUMBER(INDEX(Inputs!$K$5:$AJ$110,0,MATCH(AA$2,Inputs!$K$4:$AJ$4,0))))+SUMPRODUCT((Inputs!$E$5:$E$110=$B57)*ISNUMBER(INDEX(Inputs!$K$5:$AJ$110,0,MATCH(AA$2,Inputs!$K$4:$AJ$4,0))))=0,NA(),SUMPRODUCT((Inputs!$A$5:$A$110=$B57)*Inputs!$B$5:$B$110*(((Inputs!$G$5:$G$110="moeda")+(Inputs!$G$5:$G$110="acoes"))*Inputs!$B$1+((Inputs!$G$5:$G$110&lt;&gt;"moeda")*(Inputs!$G$5:$G$110&lt;&gt;"acoes")))*INDEX(Inputs!$K$5:$AJ$110,0,MATCH(AA$2,Inputs!$K$4:$AJ$4,0)))+SUMPRODUCT((Inputs!$C$5:$C$110=$B57)*Inputs!$D$5:$D$110*(((Inputs!$G$5:$G$110="moeda")+(Inputs!$G$5:$G$110="acoes"))*Inputs!$B$1+((Inputs!$G$5:$G$110&lt;&gt;"moeda")*(Inputs!$G$5:$G$110&lt;&gt;"acoes")))*INDEX(Inputs!$K$5:$AJ$110,0,MATCH(AA$2,Inputs!$K$4:$AJ$4,0)))+SUMPRODUCT((Inputs!$E$5:$E$110=$B57)*Inputs!$F$5:$F$110*(((Inputs!$G$5:$G$110="moeda")+(Inputs!$G$5:$G$110="acoes"))*Inputs!$B$1+((Inputs!$G$5:$G$110&lt;&gt;"moeda")*(Inputs!$G$5:$G$110&lt;&gt;"acoes")))*INDEX(Inputs!$K$5:$AJ$110,0,MATCH(AA$2,Inputs!$K$4:$AJ$4,0)))))</f>
        <v>4616</v>
      </c>
      <c r="AB57" s="264">
        <f>SUM(X57:AA57)</f>
        <v>17312</v>
      </c>
      <c r="AC57" s="263">
        <f>IF(ISNA(MATCH(AC$2,Inputs!$K$4:$AJ$4,0)),NA(),IF(SUMPRODUCT((Inputs!$A$5:$A$110=$B57)*ISNUMBER(INDEX(Inputs!$K$5:$AJ$110,0,MATCH(AC$2,Inputs!$K$4:$AJ$4,0))))+SUMPRODUCT((Inputs!$C$5:$C$110=$B57)*ISNUMBER(INDEX(Inputs!$K$5:$AJ$110,0,MATCH(AC$2,Inputs!$K$4:$AJ$4,0))))+SUMPRODUCT((Inputs!$E$5:$E$110=$B57)*ISNUMBER(INDEX(Inputs!$K$5:$AJ$110,0,MATCH(AC$2,Inputs!$K$4:$AJ$4,0))))=0,NA(),SUMPRODUCT((Inputs!$A$5:$A$110=$B57)*Inputs!$B$5:$B$110*(((Inputs!$G$5:$G$110="moeda")+(Inputs!$G$5:$G$110="acoes"))*Inputs!$B$1+((Inputs!$G$5:$G$110&lt;&gt;"moeda")*(Inputs!$G$5:$G$110&lt;&gt;"acoes")))*INDEX(Inputs!$K$5:$AJ$110,0,MATCH(AC$2,Inputs!$K$4:$AJ$4,0)))+SUMPRODUCT((Inputs!$C$5:$C$110=$B57)*Inputs!$D$5:$D$110*(((Inputs!$G$5:$G$110="moeda")+(Inputs!$G$5:$G$110="acoes"))*Inputs!$B$1+((Inputs!$G$5:$G$110&lt;&gt;"moeda")*(Inputs!$G$5:$G$110&lt;&gt;"acoes")))*INDEX(Inputs!$K$5:$AJ$110,0,MATCH(AC$2,Inputs!$K$4:$AJ$4,0)))+SUMPRODUCT((Inputs!$E$5:$E$110=$B57)*Inputs!$F$5:$F$110*(((Inputs!$G$5:$G$110="moeda")+(Inputs!$G$5:$G$110="acoes"))*Inputs!$B$1+((Inputs!$G$5:$G$110&lt;&gt;"moeda")*(Inputs!$G$5:$G$110&lt;&gt;"acoes")))*INDEX(Inputs!$K$5:$AJ$110,0,MATCH(AC$2,Inputs!$K$4:$AJ$4,0)))))</f>
        <v>3991</v>
      </c>
      <c r="AD57" s="263">
        <f>IF(ISNA(MATCH(AD$2,Inputs!$K$4:$AJ$4,0)),NA(),IF(SUMPRODUCT((Inputs!$A$5:$A$110=$B57)*ISNUMBER(INDEX(Inputs!$K$5:$AJ$110,0,MATCH(AD$2,Inputs!$K$4:$AJ$4,0))))+SUMPRODUCT((Inputs!$C$5:$C$110=$B57)*ISNUMBER(INDEX(Inputs!$K$5:$AJ$110,0,MATCH(AD$2,Inputs!$K$4:$AJ$4,0))))+SUMPRODUCT((Inputs!$E$5:$E$110=$B57)*ISNUMBER(INDEX(Inputs!$K$5:$AJ$110,0,MATCH(AD$2,Inputs!$K$4:$AJ$4,0))))=0,NA(),SUMPRODUCT((Inputs!$A$5:$A$110=$B57)*Inputs!$B$5:$B$110*(((Inputs!$G$5:$G$110="moeda")+(Inputs!$G$5:$G$110="acoes"))*Inputs!$B$1+((Inputs!$G$5:$G$110&lt;&gt;"moeda")*(Inputs!$G$5:$G$110&lt;&gt;"acoes")))*INDEX(Inputs!$K$5:$AJ$110,0,MATCH(AD$2,Inputs!$K$4:$AJ$4,0)))+SUMPRODUCT((Inputs!$C$5:$C$110=$B57)*Inputs!$D$5:$D$110*(((Inputs!$G$5:$G$110="moeda")+(Inputs!$G$5:$G$110="acoes"))*Inputs!$B$1+((Inputs!$G$5:$G$110&lt;&gt;"moeda")*(Inputs!$G$5:$G$110&lt;&gt;"acoes")))*INDEX(Inputs!$K$5:$AJ$110,0,MATCH(AD$2,Inputs!$K$4:$AJ$4,0)))+SUMPRODUCT((Inputs!$E$5:$E$110=$B57)*Inputs!$F$5:$F$110*(((Inputs!$G$5:$G$110="moeda")+(Inputs!$G$5:$G$110="acoes"))*Inputs!$B$1+((Inputs!$G$5:$G$110&lt;&gt;"moeda")*(Inputs!$G$5:$G$110&lt;&gt;"acoes")))*INDEX(Inputs!$K$5:$AJ$110,0,MATCH(AD$2,Inputs!$K$4:$AJ$4,0)))))</f>
        <v>4354</v>
      </c>
      <c r="AE57" s="263" t="e">
        <f>IF(ISNA(MATCH(AE$2,Inputs!$K$4:$AJ$4,0)),NA(),IF(SUMPRODUCT((Inputs!$A$5:$A$110=$B57)*ISNUMBER(INDEX(Inputs!$K$5:$AJ$110,0,MATCH(AE$2,Inputs!$K$4:$AJ$4,0))))+SUMPRODUCT((Inputs!$C$5:$C$110=$B57)*ISNUMBER(INDEX(Inputs!$K$5:$AJ$110,0,MATCH(AE$2,Inputs!$K$4:$AJ$4,0))))+SUMPRODUCT((Inputs!$E$5:$E$110=$B57)*ISNUMBER(INDEX(Inputs!$K$5:$AJ$110,0,MATCH(AE$2,Inputs!$K$4:$AJ$4,0))))=0,NA(),SUMPRODUCT((Inputs!$A$5:$A$110=$B57)*Inputs!$B$5:$B$110*(((Inputs!$G$5:$G$110="moeda")+(Inputs!$G$5:$G$110="acoes"))*Inputs!$B$1+((Inputs!$G$5:$G$110&lt;&gt;"moeda")*(Inputs!$G$5:$G$110&lt;&gt;"acoes")))*INDEX(Inputs!$K$5:$AJ$110,0,MATCH(AE$2,Inputs!$K$4:$AJ$4,0)))+SUMPRODUCT((Inputs!$C$5:$C$110=$B57)*Inputs!$D$5:$D$110*(((Inputs!$G$5:$G$110="moeda")+(Inputs!$G$5:$G$110="acoes"))*Inputs!$B$1+((Inputs!$G$5:$G$110&lt;&gt;"moeda")*(Inputs!$G$5:$G$110&lt;&gt;"acoes")))*INDEX(Inputs!$K$5:$AJ$110,0,MATCH(AE$2,Inputs!$K$4:$AJ$4,0)))+SUMPRODUCT((Inputs!$E$5:$E$110=$B57)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7" s="263" t="e">
        <f>IF(ISNA(MATCH(AF$2,Inputs!$K$4:$AJ$4,0)),NA(),IF(SUMPRODUCT((Inputs!$A$5:$A$110=$B57)*ISNUMBER(INDEX(Inputs!$K$5:$AJ$110,0,MATCH(AF$2,Inputs!$K$4:$AJ$4,0))))+SUMPRODUCT((Inputs!$C$5:$C$110=$B57)*ISNUMBER(INDEX(Inputs!$K$5:$AJ$110,0,MATCH(AF$2,Inputs!$K$4:$AJ$4,0))))+SUMPRODUCT((Inputs!$E$5:$E$110=$B57)*ISNUMBER(INDEX(Inputs!$K$5:$AJ$110,0,MATCH(AF$2,Inputs!$K$4:$AJ$4,0))))=0,NA(),SUMPRODUCT((Inputs!$A$5:$A$110=$B57)*Inputs!$B$5:$B$110*(((Inputs!$G$5:$G$110="moeda")+(Inputs!$G$5:$G$110="acoes"))*Inputs!$B$1+((Inputs!$G$5:$G$110&lt;&gt;"moeda")*(Inputs!$G$5:$G$110&lt;&gt;"acoes")))*INDEX(Inputs!$K$5:$AJ$110,0,MATCH(AF$2,Inputs!$K$4:$AJ$4,0)))+SUMPRODUCT((Inputs!$C$5:$C$110=$B57)*Inputs!$D$5:$D$110*(((Inputs!$G$5:$G$110="moeda")+(Inputs!$G$5:$G$110="acoes"))*Inputs!$B$1+((Inputs!$G$5:$G$110&lt;&gt;"moeda")*(Inputs!$G$5:$G$110&lt;&gt;"acoes")))*INDEX(Inputs!$K$5:$AJ$110,0,MATCH(AF$2,Inputs!$K$4:$AJ$4,0)))+SUMPRODUCT((Inputs!$E$5:$E$110=$B57)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$110=$B57)*ISNUMBER(INDEX(Inputs!$K$5:$AJ$110,0,MATCH(AH$2,Inputs!$K$4:$AJ$4,0))))+SUMPRODUCT((Inputs!$C$5:$C$110=$B57)*ISNUMBER(INDEX(Inputs!$K$5:$AJ$110,0,MATCH(AH$2,Inputs!$K$4:$AJ$4,0))))+SUMPRODUCT((Inputs!$E$5:$E$110=$B57)*ISNUMBER(INDEX(Inputs!$K$5:$AJ$110,0,MATCH(AH$2,Inputs!$K$4:$AJ$4,0))))=0,NA(),SUMPRODUCT((Inputs!$A$5:$A$110=$B57)*Inputs!$B$5:$B$110*(((Inputs!$G$5:$G$110="moeda")+(Inputs!$G$5:$G$110="acoes"))*Inputs!$B$1+((Inputs!$G$5:$G$110&lt;&gt;"moeda")*(Inputs!$G$5:$G$110&lt;&gt;"acoes")))*INDEX(Inputs!$K$5:$AJ$110,0,MATCH(AH$2,Inputs!$K$4:$AJ$4,0)))+SUMPRODUCT((Inputs!$C$5:$C$110=$B57)*Inputs!$D$5:$D$110*(((Inputs!$G$5:$G$110="moeda")+(Inputs!$G$5:$G$110="acoes"))*Inputs!$B$1+((Inputs!$G$5:$G$110&lt;&gt;"moeda")*(Inputs!$G$5:$G$110&lt;&gt;"acoes")))*INDEX(Inputs!$K$5:$AJ$110,0,MATCH(AH$2,Inputs!$K$4:$AJ$4,0)))+SUMPRODUCT((Inputs!$E$5:$E$110=$B57)*Inputs!$F$5:$F$110*(((Inputs!$G$5:$G$110="moeda")+(Inputs!$G$5:$G$110="acoes"))*Inputs!$B$1+((Inputs!$G$5:$G$110&lt;&gt;"moeda")*(Inputs!$G$5:$G$110&lt;&gt;"acoes")))*INDEX(Inputs!$K$5:$AJ$110,0,MATCH(AH$2,Inputs!$K$4:$AJ$4,0)))))</f>
        <v>3746</v>
      </c>
      <c r="AI57" s="263">
        <f>IF(ISNA(MATCH(AI$2,Inputs!$K$4:$AJ$4,0)),NA(),IF(SUMPRODUCT((Inputs!$A$5:$A$110=$B57)*ISNUMBER(INDEX(Inputs!$K$5:$AJ$110,0,MATCH(AI$2,Inputs!$K$4:$AJ$4,0))))+SUMPRODUCT((Inputs!$C$5:$C$110=$B57)*ISNUMBER(INDEX(Inputs!$K$5:$AJ$110,0,MATCH(AI$2,Inputs!$K$4:$AJ$4,0))))+SUMPRODUCT((Inputs!$E$5:$E$110=$B57)*ISNUMBER(INDEX(Inputs!$K$5:$AJ$110,0,MATCH(AI$2,Inputs!$K$4:$AJ$4,0))))=0,NA(),SUMPRODUCT((Inputs!$A$5:$A$110=$B57)*Inputs!$B$5:$B$110*(((Inputs!$G$5:$G$110="moeda")+(Inputs!$G$5:$G$110="acoes"))*Inputs!$B$1+((Inputs!$G$5:$G$110&lt;&gt;"moeda")*(Inputs!$G$5:$G$110&lt;&gt;"acoes")))*INDEX(Inputs!$K$5:$AJ$110,0,MATCH(AI$2,Inputs!$K$4:$AJ$4,0)))+SUMPRODUCT((Inputs!$C$5:$C$110=$B57)*Inputs!$D$5:$D$110*(((Inputs!$G$5:$G$110="moeda")+(Inputs!$G$5:$G$110="acoes"))*Inputs!$B$1+((Inputs!$G$5:$G$110&lt;&gt;"moeda")*(Inputs!$G$5:$G$110&lt;&gt;"acoes")))*INDEX(Inputs!$K$5:$AJ$110,0,MATCH(AI$2,Inputs!$K$4:$AJ$4,0)))+SUMPRODUCT((Inputs!$E$5:$E$110=$B57)*Inputs!$F$5:$F$110*(((Inputs!$G$5:$G$110="moeda")+(Inputs!$G$5:$G$110="acoes"))*Inputs!$B$1+((Inputs!$G$5:$G$110&lt;&gt;"moeda")*(Inputs!$G$5:$G$110&lt;&gt;"acoes")))*INDEX(Inputs!$K$5:$AJ$110,0,MATCH(AI$2,Inputs!$K$4:$AJ$4,0)))))</f>
        <v>4039</v>
      </c>
      <c r="AJ57" s="263">
        <f>IF(ISNA(MATCH(AJ$2,Inputs!$K$4:$AJ$4,0)),NA(),IF(SUMPRODUCT((Inputs!$A$5:$A$110=$B57)*ISNUMBER(INDEX(Inputs!$K$5:$AJ$110,0,MATCH(AJ$2,Inputs!$K$4:$AJ$4,0))))+SUMPRODUCT((Inputs!$C$5:$C$110=$B57)*ISNUMBER(INDEX(Inputs!$K$5:$AJ$110,0,MATCH(AJ$2,Inputs!$K$4:$AJ$4,0))))+SUMPRODUCT((Inputs!$E$5:$E$110=$B57)*ISNUMBER(INDEX(Inputs!$K$5:$AJ$110,0,MATCH(AJ$2,Inputs!$K$4:$AJ$4,0))))=0,NA(),SUMPRODUCT((Inputs!$A$5:$A$110=$B57)*Inputs!$B$5:$B$110*(((Inputs!$G$5:$G$110="moeda")+(Inputs!$G$5:$G$110="acoes"))*Inputs!$B$1+((Inputs!$G$5:$G$110&lt;&gt;"moeda")*(Inputs!$G$5:$G$110&lt;&gt;"acoes")))*INDEX(Inputs!$K$5:$AJ$110,0,MATCH(AJ$2,Inputs!$K$4:$AJ$4,0)))+SUMPRODUCT((Inputs!$C$5:$C$110=$B57)*Inputs!$D$5:$D$110*(((Inputs!$G$5:$G$110="moeda")+(Inputs!$G$5:$G$110="acoes"))*Inputs!$B$1+((Inputs!$G$5:$G$110&lt;&gt;"moeda")*(Inputs!$G$5:$G$110&lt;&gt;"acoes")))*INDEX(Inputs!$K$5:$AJ$110,0,MATCH(AJ$2,Inputs!$K$4:$AJ$4,0)))+SUMPRODUCT((Inputs!$E$5:$E$110=$B57)*Inputs!$F$5:$F$110*(((Inputs!$G$5:$G$110="moeda")+(Inputs!$G$5:$G$110="acoes"))*Inputs!$B$1+((Inputs!$G$5:$G$110&lt;&gt;"moeda")*(Inputs!$G$5:$G$110&lt;&gt;"acoes")))*INDEX(Inputs!$K$5:$AJ$110,0,MATCH(AJ$2,Inputs!$K$4:$AJ$4,0)))))</f>
        <v>3998</v>
      </c>
      <c r="AK57" s="263">
        <f>IF(ISNA(MATCH(AK$2,Inputs!$K$4:$AJ$4,0)),NA(),IF(SUMPRODUCT((Inputs!$A$5:$A$110=$B57)*ISNUMBER(INDEX(Inputs!$K$5:$AJ$110,0,MATCH(AK$2,Inputs!$K$4:$AJ$4,0))))+SUMPRODUCT((Inputs!$C$5:$C$110=$B57)*ISNUMBER(INDEX(Inputs!$K$5:$AJ$110,0,MATCH(AK$2,Inputs!$K$4:$AJ$4,0))))+SUMPRODUCT((Inputs!$E$5:$E$110=$B57)*ISNUMBER(INDEX(Inputs!$K$5:$AJ$110,0,MATCH(AK$2,Inputs!$K$4:$AJ$4,0))))=0,NA(),SUMPRODUCT((Inputs!$A$5:$A$110=$B57)*Inputs!$B$5:$B$110*(((Inputs!$G$5:$G$110="moeda")+(Inputs!$G$5:$G$110="acoes"))*Inputs!$B$1+((Inputs!$G$5:$G$110&lt;&gt;"moeda")*(Inputs!$G$5:$G$110&lt;&gt;"acoes")))*INDEX(Inputs!$K$5:$AJ$110,0,MATCH(AK$2,Inputs!$K$4:$AJ$4,0)))+SUMPRODUCT((Inputs!$C$5:$C$110=$B57)*Inputs!$D$5:$D$110*(((Inputs!$G$5:$G$110="moeda")+(Inputs!$G$5:$G$110="acoes"))*Inputs!$B$1+((Inputs!$G$5:$G$110&lt;&gt;"moeda")*(Inputs!$G$5:$G$110&lt;&gt;"acoes")))*INDEX(Inputs!$K$5:$AJ$110,0,MATCH(AK$2,Inputs!$K$4:$AJ$4,0)))+SUMPRODUCT((Inputs!$E$5:$E$110=$B57)*Inputs!$F$5:$F$110*(((Inputs!$G$5:$G$110="moeda")+(Inputs!$G$5:$G$110="acoes"))*Inputs!$B$1+((Inputs!$G$5:$G$110&lt;&gt;"moeda")*(Inputs!$G$5:$G$110&lt;&gt;"acoes")))*INDEX(Inputs!$K$5:$AJ$110,0,MATCH(AK$2,Inputs!$K$4:$AJ$4,0)))))</f>
        <v>4212</v>
      </c>
      <c r="AL57" s="264">
        <f>SUM(AH57:AK57)</f>
        <v>15995</v>
      </c>
    </row>
    <row r="58">
      <c r="B58" s="46" t="n">
        <v>50</v>
      </c>
      <c r="C58" s="29" t="inlineStr">
        <is>
          <t>Rotary and Mission Systems - lucro do segmento (USD)</t>
        </is>
      </c>
      <c r="D58" s="263">
        <f>IF(ISNA(MATCH(D$2,Inputs!$K$4:$AJ$4,0)),NA(),IF(SUMPRODUCT((Inputs!$A$5:$A$110=$B58)*ISNUMBER(INDEX(Inputs!$K$5:$AJ$110,0,MATCH(D$2,Inputs!$K$4:$AJ$4,0))))+SUMPRODUCT((Inputs!$C$5:$C$110=$B58)*ISNUMBER(INDEX(Inputs!$K$5:$AJ$110,0,MATCH(D$2,Inputs!$K$4:$AJ$4,0))))+SUMPRODUCT((Inputs!$E$5:$E$110=$B58)*ISNUMBER(INDEX(Inputs!$K$5:$AJ$110,0,MATCH(D$2,Inputs!$K$4:$AJ$4,0))))=0,NA(),SUMPRODUCT((Inputs!$A$5:$A$110=$B58)*Inputs!$B$5:$B$110*(((Inputs!$G$5:$G$110="moeda")+(Inputs!$G$5:$G$110="acoes"))*Inputs!$B$1+((Inputs!$G$5:$G$110&lt;&gt;"moeda")*(Inputs!$G$5:$G$110&lt;&gt;"acoes")))*INDEX(Inputs!$K$5:$AJ$110,0,MATCH(D$2,Inputs!$K$4:$AJ$4,0)))+SUMPRODUCT((Inputs!$C$5:$C$110=$B58)*Inputs!$D$5:$D$110*(((Inputs!$G$5:$G$110="moeda")+(Inputs!$G$5:$G$110="acoes"))*Inputs!$B$1+((Inputs!$G$5:$G$110&lt;&gt;"moeda")*(Inputs!$G$5:$G$110&lt;&gt;"acoes")))*INDEX(Inputs!$K$5:$AJ$110,0,MATCH(D$2,Inputs!$K$4:$AJ$4,0)))+SUMPRODUCT((Inputs!$E$5:$E$110=$B58)*Inputs!$F$5:$F$110*(((Inputs!$G$5:$G$110="moeda")+(Inputs!$G$5:$G$110="acoes"))*Inputs!$B$1+((Inputs!$G$5:$G$110&lt;&gt;"moeda")*(Inputs!$G$5:$G$110&lt;&gt;"acoes")))*INDEX(Inputs!$K$5:$AJ$110,0,MATCH(D$2,Inputs!$K$4:$AJ$4,0)))))</f>
        <v>433</v>
      </c>
      <c r="E58" s="263">
        <f>IF(ISNA(MATCH(E$2,Inputs!$K$4:$AJ$4,0)),NA(),IF(SUMPRODUCT((Inputs!$A$5:$A$110=$B58)*ISNUMBER(INDEX(Inputs!$K$5:$AJ$110,0,MATCH(E$2,Inputs!$K$4:$AJ$4,0))))+SUMPRODUCT((Inputs!$C$5:$C$110=$B58)*ISNUMBER(INDEX(Inputs!$K$5:$AJ$110,0,MATCH(E$2,Inputs!$K$4:$AJ$4,0))))+SUMPRODUCT((Inputs!$E$5:$E$110=$B58)*ISNUMBER(INDEX(Inputs!$K$5:$AJ$110,0,MATCH(E$2,Inputs!$K$4:$AJ$4,0))))=0,NA(),SUMPRODUCT((Inputs!$A$5:$A$110=$B58)*Inputs!$B$5:$B$110*(((Inputs!$G$5:$G$110="moeda")+(Inputs!$G$5:$G$110="acoes"))*Inputs!$B$1+((Inputs!$G$5:$G$110&lt;&gt;"moeda")*(Inputs!$G$5:$G$110&lt;&gt;"acoes")))*INDEX(Inputs!$K$5:$AJ$110,0,MATCH(E$2,Inputs!$K$4:$AJ$4,0)))+SUMPRODUCT((Inputs!$C$5:$C$110=$B58)*Inputs!$D$5:$D$110*(((Inputs!$G$5:$G$110="moeda")+(Inputs!$G$5:$G$110="acoes"))*Inputs!$B$1+((Inputs!$G$5:$G$110&lt;&gt;"moeda")*(Inputs!$G$5:$G$110&lt;&gt;"acoes")))*INDEX(Inputs!$K$5:$AJ$110,0,MATCH(E$2,Inputs!$K$4:$AJ$4,0)))+SUMPRODUCT((Inputs!$E$5:$E$110=$B58)*Inputs!$F$5:$F$110*(((Inputs!$G$5:$G$110="moeda")+(Inputs!$G$5:$G$110="acoes"))*Inputs!$B$1+((Inputs!$G$5:$G$110&lt;&gt;"moeda")*(Inputs!$G$5:$G$110&lt;&gt;"acoes")))*INDEX(Inputs!$K$5:$AJ$110,0,MATCH(E$2,Inputs!$K$4:$AJ$4,0)))))</f>
        <v>458</v>
      </c>
      <c r="F58" s="263">
        <f>IF(ISNA(MATCH(F$2,Inputs!$K$4:$AJ$4,0)),NA(),IF(SUMPRODUCT((Inputs!$A$5:$A$110=$B58)*ISNUMBER(INDEX(Inputs!$K$5:$AJ$110,0,MATCH(F$2,Inputs!$K$4:$AJ$4,0))))+SUMPRODUCT((Inputs!$C$5:$C$110=$B58)*ISNUMBER(INDEX(Inputs!$K$5:$AJ$110,0,MATCH(F$2,Inputs!$K$4:$AJ$4,0))))+SUMPRODUCT((Inputs!$E$5:$E$110=$B58)*ISNUMBER(INDEX(Inputs!$K$5:$AJ$110,0,MATCH(F$2,Inputs!$K$4:$AJ$4,0))))=0,NA(),SUMPRODUCT((Inputs!$A$5:$A$110=$B58)*Inputs!$B$5:$B$110*(((Inputs!$G$5:$G$110="moeda")+(Inputs!$G$5:$G$110="acoes"))*Inputs!$B$1+((Inputs!$G$5:$G$110&lt;&gt;"moeda")*(Inputs!$G$5:$G$110&lt;&gt;"acoes")))*INDEX(Inputs!$K$5:$AJ$110,0,MATCH(F$2,Inputs!$K$4:$AJ$4,0)))+SUMPRODUCT((Inputs!$C$5:$C$110=$B58)*Inputs!$D$5:$D$110*(((Inputs!$G$5:$G$110="moeda")+(Inputs!$G$5:$G$110="acoes"))*Inputs!$B$1+((Inputs!$G$5:$G$110&lt;&gt;"moeda")*(Inputs!$G$5:$G$110&lt;&gt;"acoes")))*INDEX(Inputs!$K$5:$AJ$110,0,MATCH(F$2,Inputs!$K$4:$AJ$4,0)))+SUMPRODUCT((Inputs!$E$5:$E$110=$B58)*Inputs!$F$5:$F$110*(((Inputs!$G$5:$G$110="moeda")+(Inputs!$G$5:$G$110="acoes"))*Inputs!$B$1+((Inputs!$G$5:$G$110&lt;&gt;"moeda")*(Inputs!$G$5:$G$110&lt;&gt;"acoes")))*INDEX(Inputs!$K$5:$AJ$110,0,MATCH(F$2,Inputs!$K$4:$AJ$4,0)))))</f>
        <v>459</v>
      </c>
      <c r="G58" s="263">
        <f>IF(ISNA(MATCH(G$2,Inputs!$K$4:$AJ$4,0)),NA(),IF(SUMPRODUCT((Inputs!$A$5:$A$110=$B58)*ISNUMBER(INDEX(Inputs!$K$5:$AJ$110,0,MATCH(G$2,Inputs!$K$4:$AJ$4,0))))+SUMPRODUCT((Inputs!$C$5:$C$110=$B58)*ISNUMBER(INDEX(Inputs!$K$5:$AJ$110,0,MATCH(G$2,Inputs!$K$4:$AJ$4,0))))+SUMPRODUCT((Inputs!$E$5:$E$110=$B58)*ISNUMBER(INDEX(Inputs!$K$5:$AJ$110,0,MATCH(G$2,Inputs!$K$4:$AJ$4,0))))=0,NA(),SUMPRODUCT((Inputs!$A$5:$A$110=$B58)*Inputs!$B$5:$B$110*(((Inputs!$G$5:$G$110="moeda")+(Inputs!$G$5:$G$110="acoes"))*Inputs!$B$1+((Inputs!$G$5:$G$110&lt;&gt;"moeda")*(Inputs!$G$5:$G$110&lt;&gt;"acoes")))*INDEX(Inputs!$K$5:$AJ$110,0,MATCH(G$2,Inputs!$K$4:$AJ$4,0)))+SUMPRODUCT((Inputs!$C$5:$C$110=$B58)*Inputs!$D$5:$D$110*(((Inputs!$G$5:$G$110="moeda")+(Inputs!$G$5:$G$110="acoes"))*Inputs!$B$1+((Inputs!$G$5:$G$110&lt;&gt;"moeda")*(Inputs!$G$5:$G$110&lt;&gt;"acoes")))*INDEX(Inputs!$K$5:$AJ$110,0,MATCH(G$2,Inputs!$K$4:$AJ$4,0)))+SUMPRODUCT((Inputs!$E$5:$E$110=$B58)*Inputs!$F$5:$F$110*(((Inputs!$G$5:$G$110="moeda")+(Inputs!$G$5:$G$110="acoes"))*Inputs!$B$1+((Inputs!$G$5:$G$110&lt;&gt;"moeda")*(Inputs!$G$5:$G$110&lt;&gt;"acoes")))*INDEX(Inputs!$K$5:$AJ$110,0,MATCH(G$2,Inputs!$K$4:$AJ$4,0)))))</f>
        <v>448</v>
      </c>
      <c r="H58" s="264">
        <f>SUM(D58:G58)</f>
        <v>1798</v>
      </c>
      <c r="I58" s="263">
        <f>IF(ISNA(MATCH(I$2,Inputs!$K$4:$AJ$4,0)),NA(),IF(SUMPRODUCT((Inputs!$A$5:$A$110=$B58)*ISNUMBER(INDEX(Inputs!$K$5:$AJ$110,0,MATCH(I$2,Inputs!$K$4:$AJ$4,0))))+SUMPRODUCT((Inputs!$C$5:$C$110=$B58)*ISNUMBER(INDEX(Inputs!$K$5:$AJ$110,0,MATCH(I$2,Inputs!$K$4:$AJ$4,0))))+SUMPRODUCT((Inputs!$E$5:$E$110=$B58)*ISNUMBER(INDEX(Inputs!$K$5:$AJ$110,0,MATCH(I$2,Inputs!$K$4:$AJ$4,0))))=0,NA(),SUMPRODUCT((Inputs!$A$5:$A$110=$B58)*Inputs!$B$5:$B$110*(((Inputs!$G$5:$G$110="moeda")+(Inputs!$G$5:$G$110="acoes"))*Inputs!$B$1+((Inputs!$G$5:$G$110&lt;&gt;"moeda")*(Inputs!$G$5:$G$110&lt;&gt;"acoes")))*INDEX(Inputs!$K$5:$AJ$110,0,MATCH(I$2,Inputs!$K$4:$AJ$4,0)))+SUMPRODUCT((Inputs!$C$5:$C$110=$B58)*Inputs!$D$5:$D$110*(((Inputs!$G$5:$G$110="moeda")+(Inputs!$G$5:$G$110="acoes"))*Inputs!$B$1+((Inputs!$G$5:$G$110&lt;&gt;"moeda")*(Inputs!$G$5:$G$110&lt;&gt;"acoes")))*INDEX(Inputs!$K$5:$AJ$110,0,MATCH(I$2,Inputs!$K$4:$AJ$4,0)))+SUMPRODUCT((Inputs!$E$5:$E$110=$B58)*Inputs!$F$5:$F$110*(((Inputs!$G$5:$G$110="moeda")+(Inputs!$G$5:$G$110="acoes"))*Inputs!$B$1+((Inputs!$G$5:$G$110&lt;&gt;"moeda")*(Inputs!$G$5:$G$110&lt;&gt;"acoes")))*INDEX(Inputs!$K$5:$AJ$110,0,MATCH(I$2,Inputs!$K$4:$AJ$4,0)))))</f>
        <v>406</v>
      </c>
      <c r="J58" s="263">
        <f>IF(ISNA(MATCH(J$2,Inputs!$K$4:$AJ$4,0)),NA(),IF(SUMPRODUCT((Inputs!$A$5:$A$110=$B58)*ISNUMBER(INDEX(Inputs!$K$5:$AJ$110,0,MATCH(J$2,Inputs!$K$4:$AJ$4,0))))+SUMPRODUCT((Inputs!$C$5:$C$110=$B58)*ISNUMBER(INDEX(Inputs!$K$5:$AJ$110,0,MATCH(J$2,Inputs!$K$4:$AJ$4,0))))+SUMPRODUCT((Inputs!$E$5:$E$110=$B58)*ISNUMBER(INDEX(Inputs!$K$5:$AJ$110,0,MATCH(J$2,Inputs!$K$4:$AJ$4,0))))=0,NA(),SUMPRODUCT((Inputs!$A$5:$A$110=$B58)*Inputs!$B$5:$B$110*(((Inputs!$G$5:$G$110="moeda")+(Inputs!$G$5:$G$110="acoes"))*Inputs!$B$1+((Inputs!$G$5:$G$110&lt;&gt;"moeda")*(Inputs!$G$5:$G$110&lt;&gt;"acoes")))*INDEX(Inputs!$K$5:$AJ$110,0,MATCH(J$2,Inputs!$K$4:$AJ$4,0)))+SUMPRODUCT((Inputs!$C$5:$C$110=$B58)*Inputs!$D$5:$D$110*(((Inputs!$G$5:$G$110="moeda")+(Inputs!$G$5:$G$110="acoes"))*Inputs!$B$1+((Inputs!$G$5:$G$110&lt;&gt;"moeda")*(Inputs!$G$5:$G$110&lt;&gt;"acoes")))*INDEX(Inputs!$K$5:$AJ$110,0,MATCH(J$2,Inputs!$K$4:$AJ$4,0)))+SUMPRODUCT((Inputs!$E$5:$E$110=$B58)*Inputs!$F$5:$F$110*(((Inputs!$G$5:$G$110="moeda")+(Inputs!$G$5:$G$110="acoes"))*Inputs!$B$1+((Inputs!$G$5:$G$110&lt;&gt;"moeda")*(Inputs!$G$5:$G$110&lt;&gt;"acoes")))*INDEX(Inputs!$K$5:$AJ$110,0,MATCH(J$2,Inputs!$K$4:$AJ$4,0)))))</f>
        <v>461</v>
      </c>
      <c r="K58" s="263">
        <f>IF(ISNA(MATCH(K$2,Inputs!$K$4:$AJ$4,0)),NA(),IF(SUMPRODUCT((Inputs!$A$5:$A$110=$B58)*ISNUMBER(INDEX(Inputs!$K$5:$AJ$110,0,MATCH(K$2,Inputs!$K$4:$AJ$4,0))))+SUMPRODUCT((Inputs!$C$5:$C$110=$B58)*ISNUMBER(INDEX(Inputs!$K$5:$AJ$110,0,MATCH(K$2,Inputs!$K$4:$AJ$4,0))))+SUMPRODUCT((Inputs!$E$5:$E$110=$B58)*ISNUMBER(INDEX(Inputs!$K$5:$AJ$110,0,MATCH(K$2,Inputs!$K$4:$AJ$4,0))))=0,NA(),SUMPRODUCT((Inputs!$A$5:$A$110=$B58)*Inputs!$B$5:$B$110*(((Inputs!$G$5:$G$110="moeda")+(Inputs!$G$5:$G$110="acoes"))*Inputs!$B$1+((Inputs!$G$5:$G$110&lt;&gt;"moeda")*(Inputs!$G$5:$G$110&lt;&gt;"acoes")))*INDEX(Inputs!$K$5:$AJ$110,0,MATCH(K$2,Inputs!$K$4:$AJ$4,0)))+SUMPRODUCT((Inputs!$C$5:$C$110=$B58)*Inputs!$D$5:$D$110*(((Inputs!$G$5:$G$110="moeda")+(Inputs!$G$5:$G$110="acoes"))*Inputs!$B$1+((Inputs!$G$5:$G$110&lt;&gt;"moeda")*(Inputs!$G$5:$G$110&lt;&gt;"acoes")))*INDEX(Inputs!$K$5:$AJ$110,0,MATCH(K$2,Inputs!$K$4:$AJ$4,0)))+SUMPRODUCT((Inputs!$E$5:$E$110=$B58)*Inputs!$F$5:$F$110*(((Inputs!$G$5:$G$110="moeda")+(Inputs!$G$5:$G$110="acoes"))*Inputs!$B$1+((Inputs!$G$5:$G$110&lt;&gt;"moeda")*(Inputs!$G$5:$G$110&lt;&gt;"acoes")))*INDEX(Inputs!$K$5:$AJ$110,0,MATCH(K$2,Inputs!$K$4:$AJ$4,0)))))</f>
        <v>472</v>
      </c>
      <c r="L58" s="263">
        <f>IF(ISNA(MATCH(L$2,Inputs!$K$4:$AJ$4,0)),NA(),IF(SUMPRODUCT((Inputs!$A$5:$A$110=$B58)*ISNUMBER(INDEX(Inputs!$K$5:$AJ$110,0,MATCH(L$2,Inputs!$K$4:$AJ$4,0))))+SUMPRODUCT((Inputs!$C$5:$C$110=$B58)*ISNUMBER(INDEX(Inputs!$K$5:$AJ$110,0,MATCH(L$2,Inputs!$K$4:$AJ$4,0))))+SUMPRODUCT((Inputs!$E$5:$E$110=$B58)*ISNUMBER(INDEX(Inputs!$K$5:$AJ$110,0,MATCH(L$2,Inputs!$K$4:$AJ$4,0))))=0,NA(),SUMPRODUCT((Inputs!$A$5:$A$110=$B58)*Inputs!$B$5:$B$110*(((Inputs!$G$5:$G$110="moeda")+(Inputs!$G$5:$G$110="acoes"))*Inputs!$B$1+((Inputs!$G$5:$G$110&lt;&gt;"moeda")*(Inputs!$G$5:$G$110&lt;&gt;"acoes")))*INDEX(Inputs!$K$5:$AJ$110,0,MATCH(L$2,Inputs!$K$4:$AJ$4,0)))+SUMPRODUCT((Inputs!$C$5:$C$110=$B58)*Inputs!$D$5:$D$110*(((Inputs!$G$5:$G$110="moeda")+(Inputs!$G$5:$G$110="acoes"))*Inputs!$B$1+((Inputs!$G$5:$G$110&lt;&gt;"moeda")*(Inputs!$G$5:$G$110&lt;&gt;"acoes")))*INDEX(Inputs!$K$5:$AJ$110,0,MATCH(L$2,Inputs!$K$4:$AJ$4,0)))+SUMPRODUCT((Inputs!$E$5:$E$110=$B58)*Inputs!$F$5:$F$110*(((Inputs!$G$5:$G$110="moeda")+(Inputs!$G$5:$G$110="acoes"))*Inputs!$B$1+((Inputs!$G$5:$G$110&lt;&gt;"moeda")*(Inputs!$G$5:$G$110&lt;&gt;"acoes")))*INDEX(Inputs!$K$5:$AJ$110,0,MATCH(L$2,Inputs!$K$4:$AJ$4,0)))))</f>
        <v>508</v>
      </c>
      <c r="M58" s="264">
        <f>SUM(I58:L58)</f>
        <v>1847</v>
      </c>
      <c r="N58" s="263">
        <f>IF(ISNA(MATCH(N$2,Inputs!$K$4:$AJ$4,0)),NA(),IF(SUMPRODUCT((Inputs!$A$5:$A$110=$B58)*ISNUMBER(INDEX(Inputs!$K$5:$AJ$110,0,MATCH(N$2,Inputs!$K$4:$AJ$4,0))))+SUMPRODUCT((Inputs!$C$5:$C$110=$B58)*ISNUMBER(INDEX(Inputs!$K$5:$AJ$110,0,MATCH(N$2,Inputs!$K$4:$AJ$4,0))))+SUMPRODUCT((Inputs!$E$5:$E$110=$B58)*ISNUMBER(INDEX(Inputs!$K$5:$AJ$110,0,MATCH(N$2,Inputs!$K$4:$AJ$4,0))))=0,NA(),SUMPRODUCT((Inputs!$A$5:$A$110=$B58)*Inputs!$B$5:$B$110*(((Inputs!$G$5:$G$110="moeda")+(Inputs!$G$5:$G$110="acoes"))*Inputs!$B$1+((Inputs!$G$5:$G$110&lt;&gt;"moeda")*(Inputs!$G$5:$G$110&lt;&gt;"acoes")))*INDEX(Inputs!$K$5:$AJ$110,0,MATCH(N$2,Inputs!$K$4:$AJ$4,0)))+SUMPRODUCT((Inputs!$C$5:$C$110=$B58)*Inputs!$D$5:$D$110*(((Inputs!$G$5:$G$110="moeda")+(Inputs!$G$5:$G$110="acoes"))*Inputs!$B$1+((Inputs!$G$5:$G$110&lt;&gt;"moeda")*(Inputs!$G$5:$G$110&lt;&gt;"acoes")))*INDEX(Inputs!$K$5:$AJ$110,0,MATCH(N$2,Inputs!$K$4:$AJ$4,0)))+SUMPRODUCT((Inputs!$E$5:$E$110=$B58)*Inputs!$F$5:$F$110*(((Inputs!$G$5:$G$110="moeda")+(Inputs!$G$5:$G$110="acoes"))*Inputs!$B$1+((Inputs!$G$5:$G$110&lt;&gt;"moeda")*(Inputs!$G$5:$G$110&lt;&gt;"acoes")))*INDEX(Inputs!$K$5:$AJ$110,0,MATCH(N$2,Inputs!$K$4:$AJ$4,0)))))</f>
        <v>350</v>
      </c>
      <c r="O58" s="263">
        <f>IF(ISNA(MATCH(O$2,Inputs!$K$4:$AJ$4,0)),NA(),IF(SUMPRODUCT((Inputs!$A$5:$A$110=$B58)*ISNUMBER(INDEX(Inputs!$K$5:$AJ$110,0,MATCH(O$2,Inputs!$K$4:$AJ$4,0))))+SUMPRODUCT((Inputs!$C$5:$C$110=$B58)*ISNUMBER(INDEX(Inputs!$K$5:$AJ$110,0,MATCH(O$2,Inputs!$K$4:$AJ$4,0))))+SUMPRODUCT((Inputs!$E$5:$E$110=$B58)*ISNUMBER(INDEX(Inputs!$K$5:$AJ$110,0,MATCH(O$2,Inputs!$K$4:$AJ$4,0))))=0,NA(),SUMPRODUCT((Inputs!$A$5:$A$110=$B58)*Inputs!$B$5:$B$110*(((Inputs!$G$5:$G$110="moeda")+(Inputs!$G$5:$G$110="acoes"))*Inputs!$B$1+((Inputs!$G$5:$G$110&lt;&gt;"moeda")*(Inputs!$G$5:$G$110&lt;&gt;"acoes")))*INDEX(Inputs!$K$5:$AJ$110,0,MATCH(O$2,Inputs!$K$4:$AJ$4,0)))+SUMPRODUCT((Inputs!$C$5:$C$110=$B58)*Inputs!$D$5:$D$110*(((Inputs!$G$5:$G$110="moeda")+(Inputs!$G$5:$G$110="acoes"))*Inputs!$B$1+((Inputs!$G$5:$G$110&lt;&gt;"moeda")*(Inputs!$G$5:$G$110&lt;&gt;"acoes")))*INDEX(Inputs!$K$5:$AJ$110,0,MATCH(O$2,Inputs!$K$4:$AJ$4,0)))+SUMPRODUCT((Inputs!$E$5:$E$110=$B58)*Inputs!$F$5:$F$110*(((Inputs!$G$5:$G$110="moeda")+(Inputs!$G$5:$G$110="acoes"))*Inputs!$B$1+((Inputs!$G$5:$G$110&lt;&gt;"moeda")*(Inputs!$G$5:$G$110&lt;&gt;"acoes")))*INDEX(Inputs!$K$5:$AJ$110,0,MATCH(O$2,Inputs!$K$4:$AJ$4,0)))))</f>
        <v>454</v>
      </c>
      <c r="P58" s="263">
        <f>IF(ISNA(MATCH(P$2,Inputs!$K$4:$AJ$4,0)),NA(),IF(SUMPRODUCT((Inputs!$A$5:$A$110=$B58)*ISNUMBER(INDEX(Inputs!$K$5:$AJ$110,0,MATCH(P$2,Inputs!$K$4:$AJ$4,0))))+SUMPRODUCT((Inputs!$C$5:$C$110=$B58)*ISNUMBER(INDEX(Inputs!$K$5:$AJ$110,0,MATCH(P$2,Inputs!$K$4:$AJ$4,0))))+SUMPRODUCT((Inputs!$E$5:$E$110=$B58)*ISNUMBER(INDEX(Inputs!$K$5:$AJ$110,0,MATCH(P$2,Inputs!$K$4:$AJ$4,0))))=0,NA(),SUMPRODUCT((Inputs!$A$5:$A$110=$B58)*Inputs!$B$5:$B$110*(((Inputs!$G$5:$G$110="moeda")+(Inputs!$G$5:$G$110="acoes"))*Inputs!$B$1+((Inputs!$G$5:$G$110&lt;&gt;"moeda")*(Inputs!$G$5:$G$110&lt;&gt;"acoes")))*INDEX(Inputs!$K$5:$AJ$110,0,MATCH(P$2,Inputs!$K$4:$AJ$4,0)))+SUMPRODUCT((Inputs!$C$5:$C$110=$B58)*Inputs!$D$5:$D$110*(((Inputs!$G$5:$G$110="moeda")+(Inputs!$G$5:$G$110="acoes"))*Inputs!$B$1+((Inputs!$G$5:$G$110&lt;&gt;"moeda")*(Inputs!$G$5:$G$110&lt;&gt;"acoes")))*INDEX(Inputs!$K$5:$AJ$110,0,MATCH(P$2,Inputs!$K$4:$AJ$4,0)))+SUMPRODUCT((Inputs!$E$5:$E$110=$B58)*Inputs!$F$5:$F$110*(((Inputs!$G$5:$G$110="moeda")+(Inputs!$G$5:$G$110="acoes"))*Inputs!$B$1+((Inputs!$G$5:$G$110&lt;&gt;"moeda")*(Inputs!$G$5:$G$110&lt;&gt;"acoes")))*INDEX(Inputs!$K$5:$AJ$110,0,MATCH(P$2,Inputs!$K$4:$AJ$4,0)))))</f>
        <v>482</v>
      </c>
      <c r="Q58" s="263">
        <f>IF(ISNA(MATCH(Q$2,Inputs!$K$4:$AJ$4,0)),NA(),IF(SUMPRODUCT((Inputs!$A$5:$A$110=$B58)*ISNUMBER(INDEX(Inputs!$K$5:$AJ$110,0,MATCH(Q$2,Inputs!$K$4:$AJ$4,0))))+SUMPRODUCT((Inputs!$C$5:$C$110=$B58)*ISNUMBER(INDEX(Inputs!$K$5:$AJ$110,0,MATCH(Q$2,Inputs!$K$4:$AJ$4,0))))+SUMPRODUCT((Inputs!$E$5:$E$110=$B58)*ISNUMBER(INDEX(Inputs!$K$5:$AJ$110,0,MATCH(Q$2,Inputs!$K$4:$AJ$4,0))))=0,NA(),SUMPRODUCT((Inputs!$A$5:$A$110=$B58)*Inputs!$B$5:$B$110*(((Inputs!$G$5:$G$110="moeda")+(Inputs!$G$5:$G$110="acoes"))*Inputs!$B$1+((Inputs!$G$5:$G$110&lt;&gt;"moeda")*(Inputs!$G$5:$G$110&lt;&gt;"acoes")))*INDEX(Inputs!$K$5:$AJ$110,0,MATCH(Q$2,Inputs!$K$4:$AJ$4,0)))+SUMPRODUCT((Inputs!$C$5:$C$110=$B58)*Inputs!$D$5:$D$110*(((Inputs!$G$5:$G$110="moeda")+(Inputs!$G$5:$G$110="acoes"))*Inputs!$B$1+((Inputs!$G$5:$G$110&lt;&gt;"moeda")*(Inputs!$G$5:$G$110&lt;&gt;"acoes")))*INDEX(Inputs!$K$5:$AJ$110,0,MATCH(Q$2,Inputs!$K$4:$AJ$4,0)))+SUMPRODUCT((Inputs!$E$5:$E$110=$B58)*Inputs!$F$5:$F$110*(((Inputs!$G$5:$G$110="moeda")+(Inputs!$G$5:$G$110="acoes"))*Inputs!$B$1+((Inputs!$G$5:$G$110&lt;&gt;"moeda")*(Inputs!$G$5:$G$110&lt;&gt;"acoes")))*INDEX(Inputs!$K$5:$AJ$110,0,MATCH(Q$2,Inputs!$K$4:$AJ$4,0)))))</f>
        <v>579</v>
      </c>
      <c r="R58" s="264">
        <f>SUM(N58:Q58)</f>
        <v>1865</v>
      </c>
      <c r="S58" s="263">
        <f>IF(ISNA(MATCH(S$2,Inputs!$K$4:$AJ$4,0)),NA(),IF(SUMPRODUCT((Inputs!$A$5:$A$110=$B58)*ISNUMBER(INDEX(Inputs!$K$5:$AJ$110,0,MATCH(S$2,Inputs!$K$4:$AJ$4,0))))+SUMPRODUCT((Inputs!$C$5:$C$110=$B58)*ISNUMBER(INDEX(Inputs!$K$5:$AJ$110,0,MATCH(S$2,Inputs!$K$4:$AJ$4,0))))+SUMPRODUCT((Inputs!$E$5:$E$110=$B58)*ISNUMBER(INDEX(Inputs!$K$5:$AJ$110,0,MATCH(S$2,Inputs!$K$4:$AJ$4,0))))=0,NA(),SUMPRODUCT((Inputs!$A$5:$A$110=$B58)*Inputs!$B$5:$B$110*(((Inputs!$G$5:$G$110="moeda")+(Inputs!$G$5:$G$110="acoes"))*Inputs!$B$1+((Inputs!$G$5:$G$110&lt;&gt;"moeda")*(Inputs!$G$5:$G$110&lt;&gt;"acoes")))*INDEX(Inputs!$K$5:$AJ$110,0,MATCH(S$2,Inputs!$K$4:$AJ$4,0)))+SUMPRODUCT((Inputs!$C$5:$C$110=$B58)*Inputs!$D$5:$D$110*(((Inputs!$G$5:$G$110="moeda")+(Inputs!$G$5:$G$110="acoes"))*Inputs!$B$1+((Inputs!$G$5:$G$110&lt;&gt;"moeda")*(Inputs!$G$5:$G$110&lt;&gt;"acoes")))*INDEX(Inputs!$K$5:$AJ$110,0,MATCH(S$2,Inputs!$K$4:$AJ$4,0)))+SUMPRODUCT((Inputs!$E$5:$E$110=$B58)*Inputs!$F$5:$F$110*(((Inputs!$G$5:$G$110="moeda")+(Inputs!$G$5:$G$110="acoes"))*Inputs!$B$1+((Inputs!$G$5:$G$110&lt;&gt;"moeda")*(Inputs!$G$5:$G$110&lt;&gt;"acoes")))*INDEX(Inputs!$K$5:$AJ$110,0,MATCH(S$2,Inputs!$K$4:$AJ$4,0)))))</f>
        <v>430</v>
      </c>
      <c r="T58" s="263">
        <f>IF(ISNA(MATCH(T$2,Inputs!$K$4:$AJ$4,0)),NA(),IF(SUMPRODUCT((Inputs!$A$5:$A$110=$B58)*ISNUMBER(INDEX(Inputs!$K$5:$AJ$110,0,MATCH(T$2,Inputs!$K$4:$AJ$4,0))))+SUMPRODUCT((Inputs!$C$5:$C$110=$B58)*ISNUMBER(INDEX(Inputs!$K$5:$AJ$110,0,MATCH(T$2,Inputs!$K$4:$AJ$4,0))))+SUMPRODUCT((Inputs!$E$5:$E$110=$B58)*ISNUMBER(INDEX(Inputs!$K$5:$AJ$110,0,MATCH(T$2,Inputs!$K$4:$AJ$4,0))))=0,NA(),SUMPRODUCT((Inputs!$A$5:$A$110=$B58)*Inputs!$B$5:$B$110*(((Inputs!$G$5:$G$110="moeda")+(Inputs!$G$5:$G$110="acoes"))*Inputs!$B$1+((Inputs!$G$5:$G$110&lt;&gt;"moeda")*(Inputs!$G$5:$G$110&lt;&gt;"acoes")))*INDEX(Inputs!$K$5:$AJ$110,0,MATCH(T$2,Inputs!$K$4:$AJ$4,0)))+SUMPRODUCT((Inputs!$C$5:$C$110=$B58)*Inputs!$D$5:$D$110*(((Inputs!$G$5:$G$110="moeda")+(Inputs!$G$5:$G$110="acoes"))*Inputs!$B$1+((Inputs!$G$5:$G$110&lt;&gt;"moeda")*(Inputs!$G$5:$G$110&lt;&gt;"acoes")))*INDEX(Inputs!$K$5:$AJ$110,0,MATCH(T$2,Inputs!$K$4:$AJ$4,0)))+SUMPRODUCT((Inputs!$E$5:$E$110=$B58)*Inputs!$F$5:$F$110*(((Inputs!$G$5:$G$110="moeda")+(Inputs!$G$5:$G$110="acoes"))*Inputs!$B$1+((Inputs!$G$5:$G$110&lt;&gt;"moeda")*(Inputs!$G$5:$G$110&lt;&gt;"acoes")))*INDEX(Inputs!$K$5:$AJ$110,0,MATCH(T$2,Inputs!$K$4:$AJ$4,0)))))</f>
        <v>495</v>
      </c>
      <c r="U58" s="263">
        <f>IF(ISNA(MATCH(U$2,Inputs!$K$4:$AJ$4,0)),NA(),IF(SUMPRODUCT((Inputs!$A$5:$A$110=$B58)*ISNUMBER(INDEX(Inputs!$K$5:$AJ$110,0,MATCH(U$2,Inputs!$K$4:$AJ$4,0))))+SUMPRODUCT((Inputs!$C$5:$C$110=$B58)*ISNUMBER(INDEX(Inputs!$K$5:$AJ$110,0,MATCH(U$2,Inputs!$K$4:$AJ$4,0))))+SUMPRODUCT((Inputs!$E$5:$E$110=$B58)*ISNUMBER(INDEX(Inputs!$K$5:$AJ$110,0,MATCH(U$2,Inputs!$K$4:$AJ$4,0))))=0,NA(),SUMPRODUCT((Inputs!$A$5:$A$110=$B58)*Inputs!$B$5:$B$110*(((Inputs!$G$5:$G$110="moeda")+(Inputs!$G$5:$G$110="acoes"))*Inputs!$B$1+((Inputs!$G$5:$G$110&lt;&gt;"moeda")*(Inputs!$G$5:$G$110&lt;&gt;"acoes")))*INDEX(Inputs!$K$5:$AJ$110,0,MATCH(U$2,Inputs!$K$4:$AJ$4,0)))+SUMPRODUCT((Inputs!$C$5:$C$110=$B58)*Inputs!$D$5:$D$110*(((Inputs!$G$5:$G$110="moeda")+(Inputs!$G$5:$G$110="acoes"))*Inputs!$B$1+((Inputs!$G$5:$G$110&lt;&gt;"moeda")*(Inputs!$G$5:$G$110&lt;&gt;"acoes")))*INDEX(Inputs!$K$5:$AJ$110,0,MATCH(U$2,Inputs!$K$4:$AJ$4,0)))+SUMPRODUCT((Inputs!$E$5:$E$110=$B58)*Inputs!$F$5:$F$110*(((Inputs!$G$5:$G$110="moeda")+(Inputs!$G$5:$G$110="acoes"))*Inputs!$B$1+((Inputs!$G$5:$G$110&lt;&gt;"moeda")*(Inputs!$G$5:$G$110&lt;&gt;"acoes")))*INDEX(Inputs!$K$5:$AJ$110,0,MATCH(U$2,Inputs!$K$4:$AJ$4,0)))))</f>
        <v>483</v>
      </c>
      <c r="V58" s="263">
        <f>IF(ISNA(MATCH(V$2,Inputs!$K$4:$AJ$4,0)),NA(),IF(SUMPRODUCT((Inputs!$A$5:$A$110=$B58)*ISNUMBER(INDEX(Inputs!$K$5:$AJ$110,0,MATCH(V$2,Inputs!$K$4:$AJ$4,0))))+SUMPRODUCT((Inputs!$C$5:$C$110=$B58)*ISNUMBER(INDEX(Inputs!$K$5:$AJ$110,0,MATCH(V$2,Inputs!$K$4:$AJ$4,0))))+SUMPRODUCT((Inputs!$E$5:$E$110=$B58)*ISNUMBER(INDEX(Inputs!$K$5:$AJ$110,0,MATCH(V$2,Inputs!$K$4:$AJ$4,0))))=0,NA(),SUMPRODUCT((Inputs!$A$5:$A$110=$B58)*Inputs!$B$5:$B$110*(((Inputs!$G$5:$G$110="moeda")+(Inputs!$G$5:$G$110="acoes"))*Inputs!$B$1+((Inputs!$G$5:$G$110&lt;&gt;"moeda")*(Inputs!$G$5:$G$110&lt;&gt;"acoes")))*INDEX(Inputs!$K$5:$AJ$110,0,MATCH(V$2,Inputs!$K$4:$AJ$4,0)))+SUMPRODUCT((Inputs!$C$5:$C$110=$B58)*Inputs!$D$5:$D$110*(((Inputs!$G$5:$G$110="moeda")+(Inputs!$G$5:$G$110="acoes"))*Inputs!$B$1+((Inputs!$G$5:$G$110&lt;&gt;"moeda")*(Inputs!$G$5:$G$110&lt;&gt;"acoes")))*INDEX(Inputs!$K$5:$AJ$110,0,MATCH(V$2,Inputs!$K$4:$AJ$4,0)))+SUMPRODUCT((Inputs!$E$5:$E$110=$B58)*Inputs!$F$5:$F$110*(((Inputs!$G$5:$G$110="moeda")+(Inputs!$G$5:$G$110="acoes"))*Inputs!$B$1+((Inputs!$G$5:$G$110&lt;&gt;"moeda")*(Inputs!$G$5:$G$110&lt;&gt;"acoes")))*INDEX(Inputs!$K$5:$AJ$110,0,MATCH(V$2,Inputs!$K$4:$AJ$4,0)))))</f>
        <v>513</v>
      </c>
      <c r="W58" s="264">
        <f>SUM(S58:V58)</f>
        <v>1921</v>
      </c>
      <c r="X58" s="263">
        <f>IF(ISNA(MATCH(X$2,Inputs!$K$4:$AJ$4,0)),NA(),IF(SUMPRODUCT((Inputs!$A$5:$A$110=$B58)*ISNUMBER(INDEX(Inputs!$K$5:$AJ$110,0,MATCH(X$2,Inputs!$K$4:$AJ$4,0))))+SUMPRODUCT((Inputs!$C$5:$C$110=$B58)*ISNUMBER(INDEX(Inputs!$K$5:$AJ$110,0,MATCH(X$2,Inputs!$K$4:$AJ$4,0))))+SUMPRODUCT((Inputs!$E$5:$E$110=$B58)*ISNUMBER(INDEX(Inputs!$K$5:$AJ$110,0,MATCH(X$2,Inputs!$K$4:$AJ$4,0))))=0,NA(),SUMPRODUCT((Inputs!$A$5:$A$110=$B58)*Inputs!$B$5:$B$110*(((Inputs!$G$5:$G$110="moeda")+(Inputs!$G$5:$G$110="acoes"))*Inputs!$B$1+((Inputs!$G$5:$G$110&lt;&gt;"moeda")*(Inputs!$G$5:$G$110&lt;&gt;"acoes")))*INDEX(Inputs!$K$5:$AJ$110,0,MATCH(X$2,Inputs!$K$4:$AJ$4,0)))+SUMPRODUCT((Inputs!$C$5:$C$110=$B58)*Inputs!$D$5:$D$110*(((Inputs!$G$5:$G$110="moeda")+(Inputs!$G$5:$G$110="acoes"))*Inputs!$B$1+((Inputs!$G$5:$G$110&lt;&gt;"moeda")*(Inputs!$G$5:$G$110&lt;&gt;"acoes")))*INDEX(Inputs!$K$5:$AJ$110,0,MATCH(X$2,Inputs!$K$4:$AJ$4,0)))+SUMPRODUCT((Inputs!$E$5:$E$110=$B58)*Inputs!$F$5:$F$110*(((Inputs!$G$5:$G$110="moeda")+(Inputs!$G$5:$G$110="acoes"))*Inputs!$B$1+((Inputs!$G$5:$G$110&lt;&gt;"moeda")*(Inputs!$G$5:$G$110&lt;&gt;"acoes")))*INDEX(Inputs!$K$5:$AJ$110,0,MATCH(X$2,Inputs!$K$4:$AJ$4,0)))))</f>
        <v>521</v>
      </c>
      <c r="Y58" s="263">
        <f>IF(ISNA(MATCH(Y$2,Inputs!$K$4:$AJ$4,0)),NA(),IF(SUMPRODUCT((Inputs!$A$5:$A$110=$B58)*ISNUMBER(INDEX(Inputs!$K$5:$AJ$110,0,MATCH(Y$2,Inputs!$K$4:$AJ$4,0))))+SUMPRODUCT((Inputs!$C$5:$C$110=$B58)*ISNUMBER(INDEX(Inputs!$K$5:$AJ$110,0,MATCH(Y$2,Inputs!$K$4:$AJ$4,0))))+SUMPRODUCT((Inputs!$E$5:$E$110=$B58)*ISNUMBER(INDEX(Inputs!$K$5:$AJ$110,0,MATCH(Y$2,Inputs!$K$4:$AJ$4,0))))=0,NA(),SUMPRODUCT((Inputs!$A$5:$A$110=$B58)*Inputs!$B$5:$B$110*(((Inputs!$G$5:$G$110="moeda")+(Inputs!$G$5:$G$110="acoes"))*Inputs!$B$1+((Inputs!$G$5:$G$110&lt;&gt;"moeda")*(Inputs!$G$5:$G$110&lt;&gt;"acoes")))*INDEX(Inputs!$K$5:$AJ$110,0,MATCH(Y$2,Inputs!$K$4:$AJ$4,0)))+SUMPRODUCT((Inputs!$C$5:$C$110=$B58)*Inputs!$D$5:$D$110*(((Inputs!$G$5:$G$110="moeda")+(Inputs!$G$5:$G$110="acoes"))*Inputs!$B$1+((Inputs!$G$5:$G$110&lt;&gt;"moeda")*(Inputs!$G$5:$G$110&lt;&gt;"acoes")))*INDEX(Inputs!$K$5:$AJ$110,0,MATCH(Y$2,Inputs!$K$4:$AJ$4,0)))+SUMPRODUCT((Inputs!$E$5:$E$110=$B58)*Inputs!$F$5:$F$110*(((Inputs!$G$5:$G$110="moeda")+(Inputs!$G$5:$G$110="acoes"))*Inputs!$B$1+((Inputs!$G$5:$G$110&lt;&gt;"moeda")*(Inputs!$G$5:$G$110&lt;&gt;"acoes")))*INDEX(Inputs!$K$5:$AJ$110,0,MATCH(Y$2,Inputs!$K$4:$AJ$4,0)))))</f>
        <v>-172</v>
      </c>
      <c r="Z58" s="263">
        <f>IF(ISNA(MATCH(Z$2,Inputs!$K$4:$AJ$4,0)),NA(),IF(SUMPRODUCT((Inputs!$A$5:$A$110=$B58)*ISNUMBER(INDEX(Inputs!$K$5:$AJ$110,0,MATCH(Z$2,Inputs!$K$4:$AJ$4,0))))+SUMPRODUCT((Inputs!$C$5:$C$110=$B58)*ISNUMBER(INDEX(Inputs!$K$5:$AJ$110,0,MATCH(Z$2,Inputs!$K$4:$AJ$4,0))))+SUMPRODUCT((Inputs!$E$5:$E$110=$B58)*ISNUMBER(INDEX(Inputs!$K$5:$AJ$110,0,MATCH(Z$2,Inputs!$K$4:$AJ$4,0))))=0,NA(),SUMPRODUCT((Inputs!$A$5:$A$110=$B58)*Inputs!$B$5:$B$110*(((Inputs!$G$5:$G$110="moeda")+(Inputs!$G$5:$G$110="acoes"))*Inputs!$B$1+((Inputs!$G$5:$G$110&lt;&gt;"moeda")*(Inputs!$G$5:$G$110&lt;&gt;"acoes")))*INDEX(Inputs!$K$5:$AJ$110,0,MATCH(Z$2,Inputs!$K$4:$AJ$4,0)))+SUMPRODUCT((Inputs!$C$5:$C$110=$B58)*Inputs!$D$5:$D$110*(((Inputs!$G$5:$G$110="moeda")+(Inputs!$G$5:$G$110="acoes"))*Inputs!$B$1+((Inputs!$G$5:$G$110&lt;&gt;"moeda")*(Inputs!$G$5:$G$110&lt;&gt;"acoes")))*INDEX(Inputs!$K$5:$AJ$110,0,MATCH(Z$2,Inputs!$K$4:$AJ$4,0)))+SUMPRODUCT((Inputs!$E$5:$E$110=$B58)*Inputs!$F$5:$F$110*(((Inputs!$G$5:$G$110="moeda")+(Inputs!$G$5:$G$110="acoes"))*Inputs!$B$1+((Inputs!$G$5:$G$110&lt;&gt;"moeda")*(Inputs!$G$5:$G$110&lt;&gt;"acoes")))*INDEX(Inputs!$K$5:$AJ$110,0,MATCH(Z$2,Inputs!$K$4:$AJ$4,0)))))</f>
        <v>506</v>
      </c>
      <c r="AA58" s="263">
        <f>IF(ISNA(MATCH(AA$2,Inputs!$K$4:$AJ$4,0)),NA(),IF(SUMPRODUCT((Inputs!$A$5:$A$110=$B58)*ISNUMBER(INDEX(Inputs!$K$5:$AJ$110,0,MATCH(AA$2,Inputs!$K$4:$AJ$4,0))))+SUMPRODUCT((Inputs!$C$5:$C$110=$B58)*ISNUMBER(INDEX(Inputs!$K$5:$AJ$110,0,MATCH(AA$2,Inputs!$K$4:$AJ$4,0))))+SUMPRODUCT((Inputs!$E$5:$E$110=$B58)*ISNUMBER(INDEX(Inputs!$K$5:$AJ$110,0,MATCH(AA$2,Inputs!$K$4:$AJ$4,0))))=0,NA(),SUMPRODUCT((Inputs!$A$5:$A$110=$B58)*Inputs!$B$5:$B$110*(((Inputs!$G$5:$G$110="moeda")+(Inputs!$G$5:$G$110="acoes"))*Inputs!$B$1+((Inputs!$G$5:$G$110&lt;&gt;"moeda")*(Inputs!$G$5:$G$110&lt;&gt;"acoes")))*INDEX(Inputs!$K$5:$AJ$110,0,MATCH(AA$2,Inputs!$K$4:$AJ$4,0)))+SUMPRODUCT((Inputs!$C$5:$C$110=$B58)*Inputs!$D$5:$D$110*(((Inputs!$G$5:$G$110="moeda")+(Inputs!$G$5:$G$110="acoes"))*Inputs!$B$1+((Inputs!$G$5:$G$110&lt;&gt;"moeda")*(Inputs!$G$5:$G$110&lt;&gt;"acoes")))*INDEX(Inputs!$K$5:$AJ$110,0,MATCH(AA$2,Inputs!$K$4:$AJ$4,0)))+SUMPRODUCT((Inputs!$E$5:$E$110=$B58)*Inputs!$F$5:$F$110*(((Inputs!$G$5:$G$110="moeda")+(Inputs!$G$5:$G$110="acoes"))*Inputs!$B$1+((Inputs!$G$5:$G$110&lt;&gt;"moeda")*(Inputs!$G$5:$G$110&lt;&gt;"acoes")))*INDEX(Inputs!$K$5:$AJ$110,0,MATCH(AA$2,Inputs!$K$4:$AJ$4,0)))))</f>
        <v>468</v>
      </c>
      <c r="AB58" s="264">
        <f>SUM(X58:AA58)</f>
        <v>1323</v>
      </c>
      <c r="AC58" s="263">
        <f>IF(ISNA(MATCH(AC$2,Inputs!$K$4:$AJ$4,0)),NA(),IF(SUMPRODUCT((Inputs!$A$5:$A$110=$B58)*ISNUMBER(INDEX(Inputs!$K$5:$AJ$110,0,MATCH(AC$2,Inputs!$K$4:$AJ$4,0))))+SUMPRODUCT((Inputs!$C$5:$C$110=$B58)*ISNUMBER(INDEX(Inputs!$K$5:$AJ$110,0,MATCH(AC$2,Inputs!$K$4:$AJ$4,0))))+SUMPRODUCT((Inputs!$E$5:$E$110=$B58)*ISNUMBER(INDEX(Inputs!$K$5:$AJ$110,0,MATCH(AC$2,Inputs!$K$4:$AJ$4,0))))=0,NA(),SUMPRODUCT((Inputs!$A$5:$A$110=$B58)*Inputs!$B$5:$B$110*(((Inputs!$G$5:$G$110="moeda")+(Inputs!$G$5:$G$110="acoes"))*Inputs!$B$1+((Inputs!$G$5:$G$110&lt;&gt;"moeda")*(Inputs!$G$5:$G$110&lt;&gt;"acoes")))*INDEX(Inputs!$K$5:$AJ$110,0,MATCH(AC$2,Inputs!$K$4:$AJ$4,0)))+SUMPRODUCT((Inputs!$C$5:$C$110=$B58)*Inputs!$D$5:$D$110*(((Inputs!$G$5:$G$110="moeda")+(Inputs!$G$5:$G$110="acoes"))*Inputs!$B$1+((Inputs!$G$5:$G$110&lt;&gt;"moeda")*(Inputs!$G$5:$G$110&lt;&gt;"acoes")))*INDEX(Inputs!$K$5:$AJ$110,0,MATCH(AC$2,Inputs!$K$4:$AJ$4,0)))+SUMPRODUCT((Inputs!$E$5:$E$110=$B58)*Inputs!$F$5:$F$110*(((Inputs!$G$5:$G$110="moeda")+(Inputs!$G$5:$G$110="acoes"))*Inputs!$B$1+((Inputs!$G$5:$G$110&lt;&gt;"moeda")*(Inputs!$G$5:$G$110&lt;&gt;"acoes")))*INDEX(Inputs!$K$5:$AJ$110,0,MATCH(AC$2,Inputs!$K$4:$AJ$4,0)))))</f>
        <v>423</v>
      </c>
      <c r="AD58" s="263">
        <f>IF(ISNA(MATCH(AD$2,Inputs!$K$4:$AJ$4,0)),NA(),IF(SUMPRODUCT((Inputs!$A$5:$A$110=$B58)*ISNUMBER(INDEX(Inputs!$K$5:$AJ$110,0,MATCH(AD$2,Inputs!$K$4:$AJ$4,0))))+SUMPRODUCT((Inputs!$C$5:$C$110=$B58)*ISNUMBER(INDEX(Inputs!$K$5:$AJ$110,0,MATCH(AD$2,Inputs!$K$4:$AJ$4,0))))+SUMPRODUCT((Inputs!$E$5:$E$110=$B58)*ISNUMBER(INDEX(Inputs!$K$5:$AJ$110,0,MATCH(AD$2,Inputs!$K$4:$AJ$4,0))))=0,NA(),SUMPRODUCT((Inputs!$A$5:$A$110=$B58)*Inputs!$B$5:$B$110*(((Inputs!$G$5:$G$110="moeda")+(Inputs!$G$5:$G$110="acoes"))*Inputs!$B$1+((Inputs!$G$5:$G$110&lt;&gt;"moeda")*(Inputs!$G$5:$G$110&lt;&gt;"acoes")))*INDEX(Inputs!$K$5:$AJ$110,0,MATCH(AD$2,Inputs!$K$4:$AJ$4,0)))+SUMPRODUCT((Inputs!$C$5:$C$110=$B58)*Inputs!$D$5:$D$110*(((Inputs!$G$5:$G$110="moeda")+(Inputs!$G$5:$G$110="acoes"))*Inputs!$B$1+((Inputs!$G$5:$G$110&lt;&gt;"moeda")*(Inputs!$G$5:$G$110&lt;&gt;"acoes")))*INDEX(Inputs!$K$5:$AJ$110,0,MATCH(AD$2,Inputs!$K$4:$AJ$4,0)))+SUMPRODUCT((Inputs!$E$5:$E$110=$B58)*Inputs!$F$5:$F$110*(((Inputs!$G$5:$G$110="moeda")+(Inputs!$G$5:$G$110="acoes"))*Inputs!$B$1+((Inputs!$G$5:$G$110&lt;&gt;"moeda")*(Inputs!$G$5:$G$110&lt;&gt;"acoes")))*INDEX(Inputs!$K$5:$AJ$110,0,MATCH(AD$2,Inputs!$K$4:$AJ$4,0)))))</f>
        <v>437</v>
      </c>
      <c r="AE58" s="263" t="e">
        <f>IF(ISNA(MATCH(AE$2,Inputs!$K$4:$AJ$4,0)),NA(),IF(SUMPRODUCT((Inputs!$A$5:$A$110=$B58)*ISNUMBER(INDEX(Inputs!$K$5:$AJ$110,0,MATCH(AE$2,Inputs!$K$4:$AJ$4,0))))+SUMPRODUCT((Inputs!$C$5:$C$110=$B58)*ISNUMBER(INDEX(Inputs!$K$5:$AJ$110,0,MATCH(AE$2,Inputs!$K$4:$AJ$4,0))))+SUMPRODUCT((Inputs!$E$5:$E$110=$B58)*ISNUMBER(INDEX(Inputs!$K$5:$AJ$110,0,MATCH(AE$2,Inputs!$K$4:$AJ$4,0))))=0,NA(),SUMPRODUCT((Inputs!$A$5:$A$110=$B58)*Inputs!$B$5:$B$110*(((Inputs!$G$5:$G$110="moeda")+(Inputs!$G$5:$G$110="acoes"))*Inputs!$B$1+((Inputs!$G$5:$G$110&lt;&gt;"moeda")*(Inputs!$G$5:$G$110&lt;&gt;"acoes")))*INDEX(Inputs!$K$5:$AJ$110,0,MATCH(AE$2,Inputs!$K$4:$AJ$4,0)))+SUMPRODUCT((Inputs!$C$5:$C$110=$B58)*Inputs!$D$5:$D$110*(((Inputs!$G$5:$G$110="moeda")+(Inputs!$G$5:$G$110="acoes"))*Inputs!$B$1+((Inputs!$G$5:$G$110&lt;&gt;"moeda")*(Inputs!$G$5:$G$110&lt;&gt;"acoes")))*INDEX(Inputs!$K$5:$AJ$110,0,MATCH(AE$2,Inputs!$K$4:$AJ$4,0)))+SUMPRODUCT((Inputs!$E$5:$E$110=$B58)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8" s="263" t="e">
        <f>IF(ISNA(MATCH(AF$2,Inputs!$K$4:$AJ$4,0)),NA(),IF(SUMPRODUCT((Inputs!$A$5:$A$110=$B58)*ISNUMBER(INDEX(Inputs!$K$5:$AJ$110,0,MATCH(AF$2,Inputs!$K$4:$AJ$4,0))))+SUMPRODUCT((Inputs!$C$5:$C$110=$B58)*ISNUMBER(INDEX(Inputs!$K$5:$AJ$110,0,MATCH(AF$2,Inputs!$K$4:$AJ$4,0))))+SUMPRODUCT((Inputs!$E$5:$E$110=$B58)*ISNUMBER(INDEX(Inputs!$K$5:$AJ$110,0,MATCH(AF$2,Inputs!$K$4:$AJ$4,0))))=0,NA(),SUMPRODUCT((Inputs!$A$5:$A$110=$B58)*Inputs!$B$5:$B$110*(((Inputs!$G$5:$G$110="moeda")+(Inputs!$G$5:$G$110="acoes"))*Inputs!$B$1+((Inputs!$G$5:$G$110&lt;&gt;"moeda")*(Inputs!$G$5:$G$110&lt;&gt;"acoes")))*INDEX(Inputs!$K$5:$AJ$110,0,MATCH(AF$2,Inputs!$K$4:$AJ$4,0)))+SUMPRODUCT((Inputs!$C$5:$C$110=$B58)*Inputs!$D$5:$D$110*(((Inputs!$G$5:$G$110="moeda")+(Inputs!$G$5:$G$110="acoes"))*Inputs!$B$1+((Inputs!$G$5:$G$110&lt;&gt;"moeda")*(Inputs!$G$5:$G$110&lt;&gt;"acoes")))*INDEX(Inputs!$K$5:$AJ$110,0,MATCH(AF$2,Inputs!$K$4:$AJ$4,0)))+SUMPRODUCT((Inputs!$E$5:$E$110=$B58)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$110=$B58)*ISNUMBER(INDEX(Inputs!$K$5:$AJ$110,0,MATCH(AH$2,Inputs!$K$4:$AJ$4,0))))+SUMPRODUCT((Inputs!$C$5:$C$110=$B58)*ISNUMBER(INDEX(Inputs!$K$5:$AJ$110,0,MATCH(AH$2,Inputs!$K$4:$AJ$4,0))))+SUMPRODUCT((Inputs!$E$5:$E$110=$B58)*ISNUMBER(INDEX(Inputs!$K$5:$AJ$110,0,MATCH(AH$2,Inputs!$K$4:$AJ$4,0))))=0,NA(),SUMPRODUCT((Inputs!$A$5:$A$110=$B58)*Inputs!$B$5:$B$110*(((Inputs!$G$5:$G$110="moeda")+(Inputs!$G$5:$G$110="acoes"))*Inputs!$B$1+((Inputs!$G$5:$G$110&lt;&gt;"moeda")*(Inputs!$G$5:$G$110&lt;&gt;"acoes")))*INDEX(Inputs!$K$5:$AJ$110,0,MATCH(AH$2,Inputs!$K$4:$AJ$4,0)))+SUMPRODUCT((Inputs!$C$5:$C$110=$B58)*Inputs!$D$5:$D$110*(((Inputs!$G$5:$G$110="moeda")+(Inputs!$G$5:$G$110="acoes"))*Inputs!$B$1+((Inputs!$G$5:$G$110&lt;&gt;"moeda")*(Inputs!$G$5:$G$110&lt;&gt;"acoes")))*INDEX(Inputs!$K$5:$AJ$110,0,MATCH(AH$2,Inputs!$K$4:$AJ$4,0)))+SUMPRODUCT((Inputs!$E$5:$E$110=$B58)*Inputs!$F$5:$F$110*(((Inputs!$G$5:$G$110="moeda")+(Inputs!$G$5:$G$110="acoes"))*Inputs!$B$1+((Inputs!$G$5:$G$110&lt;&gt;"moeda")*(Inputs!$G$5:$G$110&lt;&gt;"acoes")))*INDEX(Inputs!$K$5:$AJ$110,0,MATCH(AH$2,Inputs!$K$4:$AJ$4,0)))))</f>
        <v>376</v>
      </c>
      <c r="AI58" s="263">
        <f>IF(ISNA(MATCH(AI$2,Inputs!$K$4:$AJ$4,0)),NA(),IF(SUMPRODUCT((Inputs!$A$5:$A$110=$B58)*ISNUMBER(INDEX(Inputs!$K$5:$AJ$110,0,MATCH(AI$2,Inputs!$K$4:$AJ$4,0))))+SUMPRODUCT((Inputs!$C$5:$C$110=$B58)*ISNUMBER(INDEX(Inputs!$K$5:$AJ$110,0,MATCH(AI$2,Inputs!$K$4:$AJ$4,0))))+SUMPRODUCT((Inputs!$E$5:$E$110=$B58)*ISNUMBER(INDEX(Inputs!$K$5:$AJ$110,0,MATCH(AI$2,Inputs!$K$4:$AJ$4,0))))=0,NA(),SUMPRODUCT((Inputs!$A$5:$A$110=$B58)*Inputs!$B$5:$B$110*(((Inputs!$G$5:$G$110="moeda")+(Inputs!$G$5:$G$110="acoes"))*Inputs!$B$1+((Inputs!$G$5:$G$110&lt;&gt;"moeda")*(Inputs!$G$5:$G$110&lt;&gt;"acoes")))*INDEX(Inputs!$K$5:$AJ$110,0,MATCH(AI$2,Inputs!$K$4:$AJ$4,0)))+SUMPRODUCT((Inputs!$C$5:$C$110=$B58)*Inputs!$D$5:$D$110*(((Inputs!$G$5:$G$110="moeda")+(Inputs!$G$5:$G$110="acoes"))*Inputs!$B$1+((Inputs!$G$5:$G$110&lt;&gt;"moeda")*(Inputs!$G$5:$G$110&lt;&gt;"acoes")))*INDEX(Inputs!$K$5:$AJ$110,0,MATCH(AI$2,Inputs!$K$4:$AJ$4,0)))+SUMPRODUCT((Inputs!$E$5:$E$110=$B58)*Inputs!$F$5:$F$110*(((Inputs!$G$5:$G$110="moeda")+(Inputs!$G$5:$G$110="acoes"))*Inputs!$B$1+((Inputs!$G$5:$G$110&lt;&gt;"moeda")*(Inputs!$G$5:$G$110&lt;&gt;"acoes")))*INDEX(Inputs!$K$5:$AJ$110,0,MATCH(AI$2,Inputs!$K$4:$AJ$4,0)))))</f>
        <v>429</v>
      </c>
      <c r="AJ58" s="263">
        <f>IF(ISNA(MATCH(AJ$2,Inputs!$K$4:$AJ$4,0)),NA(),IF(SUMPRODUCT((Inputs!$A$5:$A$110=$B58)*ISNUMBER(INDEX(Inputs!$K$5:$AJ$110,0,MATCH(AJ$2,Inputs!$K$4:$AJ$4,0))))+SUMPRODUCT((Inputs!$C$5:$C$110=$B58)*ISNUMBER(INDEX(Inputs!$K$5:$AJ$110,0,MATCH(AJ$2,Inputs!$K$4:$AJ$4,0))))+SUMPRODUCT((Inputs!$E$5:$E$110=$B58)*ISNUMBER(INDEX(Inputs!$K$5:$AJ$110,0,MATCH(AJ$2,Inputs!$K$4:$AJ$4,0))))=0,NA(),SUMPRODUCT((Inputs!$A$5:$A$110=$B58)*Inputs!$B$5:$B$110*(((Inputs!$G$5:$G$110="moeda")+(Inputs!$G$5:$G$110="acoes"))*Inputs!$B$1+((Inputs!$G$5:$G$110&lt;&gt;"moeda")*(Inputs!$G$5:$G$110&lt;&gt;"acoes")))*INDEX(Inputs!$K$5:$AJ$110,0,MATCH(AJ$2,Inputs!$K$4:$AJ$4,0)))+SUMPRODUCT((Inputs!$C$5:$C$110=$B58)*Inputs!$D$5:$D$110*(((Inputs!$G$5:$G$110="moeda")+(Inputs!$G$5:$G$110="acoes"))*Inputs!$B$1+((Inputs!$G$5:$G$110&lt;&gt;"moeda")*(Inputs!$G$5:$G$110&lt;&gt;"acoes")))*INDEX(Inputs!$K$5:$AJ$110,0,MATCH(AJ$2,Inputs!$K$4:$AJ$4,0)))+SUMPRODUCT((Inputs!$E$5:$E$110=$B58)*Inputs!$F$5:$F$110*(((Inputs!$G$5:$G$110="moeda")+(Inputs!$G$5:$G$110="acoes"))*Inputs!$B$1+((Inputs!$G$5:$G$110&lt;&gt;"moeda")*(Inputs!$G$5:$G$110&lt;&gt;"acoes")))*INDEX(Inputs!$K$5:$AJ$110,0,MATCH(AJ$2,Inputs!$K$4:$AJ$4,0)))))</f>
        <v>404</v>
      </c>
      <c r="AK58" s="263">
        <f>IF(ISNA(MATCH(AK$2,Inputs!$K$4:$AJ$4,0)),NA(),IF(SUMPRODUCT((Inputs!$A$5:$A$110=$B58)*ISNUMBER(INDEX(Inputs!$K$5:$AJ$110,0,MATCH(AK$2,Inputs!$K$4:$AJ$4,0))))+SUMPRODUCT((Inputs!$C$5:$C$110=$B58)*ISNUMBER(INDEX(Inputs!$K$5:$AJ$110,0,MATCH(AK$2,Inputs!$K$4:$AJ$4,0))))+SUMPRODUCT((Inputs!$E$5:$E$110=$B58)*ISNUMBER(INDEX(Inputs!$K$5:$AJ$110,0,MATCH(AK$2,Inputs!$K$4:$AJ$4,0))))=0,NA(),SUMPRODUCT((Inputs!$A$5:$A$110=$B58)*Inputs!$B$5:$B$110*(((Inputs!$G$5:$G$110="moeda")+(Inputs!$G$5:$G$110="acoes"))*Inputs!$B$1+((Inputs!$G$5:$G$110&lt;&gt;"moeda")*(Inputs!$G$5:$G$110&lt;&gt;"acoes")))*INDEX(Inputs!$K$5:$AJ$110,0,MATCH(AK$2,Inputs!$K$4:$AJ$4,0)))+SUMPRODUCT((Inputs!$C$5:$C$110=$B58)*Inputs!$D$5:$D$110*(((Inputs!$G$5:$G$110="moeda")+(Inputs!$G$5:$G$110="acoes"))*Inputs!$B$1+((Inputs!$G$5:$G$110&lt;&gt;"moeda")*(Inputs!$G$5:$G$110&lt;&gt;"acoes")))*INDEX(Inputs!$K$5:$AJ$110,0,MATCH(AK$2,Inputs!$K$4:$AJ$4,0)))+SUMPRODUCT((Inputs!$E$5:$E$110=$B58)*Inputs!$F$5:$F$110*(((Inputs!$G$5:$G$110="moeda")+(Inputs!$G$5:$G$110="acoes"))*Inputs!$B$1+((Inputs!$G$5:$G$110&lt;&gt;"moeda")*(Inputs!$G$5:$G$110&lt;&gt;"acoes")))*INDEX(Inputs!$K$5:$AJ$110,0,MATCH(AK$2,Inputs!$K$4:$AJ$4,0)))))</f>
        <v>406</v>
      </c>
      <c r="AL58" s="264">
        <f>SUM(AH58:AK58)</f>
        <v>1615</v>
      </c>
    </row>
    <row r="59">
      <c r="B59" s="46" t="n">
        <v>51</v>
      </c>
      <c r="C59" s="29" t="inlineStr">
        <is>
          <t>Space - receita (USD)</t>
        </is>
      </c>
      <c r="D59" s="263">
        <f>IF(ISNA(MATCH(D$2,Inputs!$K$4:$AJ$4,0)),NA(),IF(SUMPRODUCT((Inputs!$A$5:$A$110=$B59)*ISNUMBER(INDEX(Inputs!$K$5:$AJ$110,0,MATCH(D$2,Inputs!$K$4:$AJ$4,0))))+SUMPRODUCT((Inputs!$C$5:$C$110=$B59)*ISNUMBER(INDEX(Inputs!$K$5:$AJ$110,0,MATCH(D$2,Inputs!$K$4:$AJ$4,0))))+SUMPRODUCT((Inputs!$E$5:$E$110=$B59)*ISNUMBER(INDEX(Inputs!$K$5:$AJ$110,0,MATCH(D$2,Inputs!$K$4:$AJ$4,0))))=0,NA(),SUMPRODUCT((Inputs!$A$5:$A$110=$B59)*Inputs!$B$5:$B$110*(((Inputs!$G$5:$G$110="moeda")+(Inputs!$G$5:$G$110="acoes"))*Inputs!$B$1+((Inputs!$G$5:$G$110&lt;&gt;"moeda")*(Inputs!$G$5:$G$110&lt;&gt;"acoes")))*INDEX(Inputs!$K$5:$AJ$110,0,MATCH(D$2,Inputs!$K$4:$AJ$4,0)))+SUMPRODUCT((Inputs!$C$5:$C$110=$B59)*Inputs!$D$5:$D$110*(((Inputs!$G$5:$G$110="moeda")+(Inputs!$G$5:$G$110="acoes"))*Inputs!$B$1+((Inputs!$G$5:$G$110&lt;&gt;"moeda")*(Inputs!$G$5:$G$110&lt;&gt;"acoes")))*INDEX(Inputs!$K$5:$AJ$110,0,MATCH(D$2,Inputs!$K$4:$AJ$4,0)))+SUMPRODUCT((Inputs!$E$5:$E$110=$B59)*Inputs!$F$5:$F$110*(((Inputs!$G$5:$G$110="moeda")+(Inputs!$G$5:$G$110="acoes"))*Inputs!$B$1+((Inputs!$G$5:$G$110&lt;&gt;"moeda")*(Inputs!$G$5:$G$110&lt;&gt;"acoes")))*INDEX(Inputs!$K$5:$AJ$110,0,MATCH(D$2,Inputs!$K$4:$AJ$4,0)))))</f>
        <v>3015</v>
      </c>
      <c r="E59" s="263">
        <f>IF(ISNA(MATCH(E$2,Inputs!$K$4:$AJ$4,0)),NA(),IF(SUMPRODUCT((Inputs!$A$5:$A$110=$B59)*ISNUMBER(INDEX(Inputs!$K$5:$AJ$110,0,MATCH(E$2,Inputs!$K$4:$AJ$4,0))))+SUMPRODUCT((Inputs!$C$5:$C$110=$B59)*ISNUMBER(INDEX(Inputs!$K$5:$AJ$110,0,MATCH(E$2,Inputs!$K$4:$AJ$4,0))))+SUMPRODUCT((Inputs!$E$5:$E$110=$B59)*ISNUMBER(INDEX(Inputs!$K$5:$AJ$110,0,MATCH(E$2,Inputs!$K$4:$AJ$4,0))))=0,NA(),SUMPRODUCT((Inputs!$A$5:$A$110=$B59)*Inputs!$B$5:$B$110*(((Inputs!$G$5:$G$110="moeda")+(Inputs!$G$5:$G$110="acoes"))*Inputs!$B$1+((Inputs!$G$5:$G$110&lt;&gt;"moeda")*(Inputs!$G$5:$G$110&lt;&gt;"acoes")))*INDEX(Inputs!$K$5:$AJ$110,0,MATCH(E$2,Inputs!$K$4:$AJ$4,0)))+SUMPRODUCT((Inputs!$C$5:$C$110=$B59)*Inputs!$D$5:$D$110*(((Inputs!$G$5:$G$110="moeda")+(Inputs!$G$5:$G$110="acoes"))*Inputs!$B$1+((Inputs!$G$5:$G$110&lt;&gt;"moeda")*(Inputs!$G$5:$G$110&lt;&gt;"acoes")))*INDEX(Inputs!$K$5:$AJ$110,0,MATCH(E$2,Inputs!$K$4:$AJ$4,0)))+SUMPRODUCT((Inputs!$E$5:$E$110=$B59)*Inputs!$F$5:$F$110*(((Inputs!$G$5:$G$110="moeda")+(Inputs!$G$5:$G$110="acoes"))*Inputs!$B$1+((Inputs!$G$5:$G$110&lt;&gt;"moeda")*(Inputs!$G$5:$G$110&lt;&gt;"acoes")))*INDEX(Inputs!$K$5:$AJ$110,0,MATCH(E$2,Inputs!$K$4:$AJ$4,0)))))</f>
        <v>3177</v>
      </c>
      <c r="F59" s="263">
        <f>IF(ISNA(MATCH(F$2,Inputs!$K$4:$AJ$4,0)),NA(),IF(SUMPRODUCT((Inputs!$A$5:$A$110=$B59)*ISNUMBER(INDEX(Inputs!$K$5:$AJ$110,0,MATCH(F$2,Inputs!$K$4:$AJ$4,0))))+SUMPRODUCT((Inputs!$C$5:$C$110=$B59)*ISNUMBER(INDEX(Inputs!$K$5:$AJ$110,0,MATCH(F$2,Inputs!$K$4:$AJ$4,0))))+SUMPRODUCT((Inputs!$E$5:$E$110=$B59)*ISNUMBER(INDEX(Inputs!$K$5:$AJ$110,0,MATCH(F$2,Inputs!$K$4:$AJ$4,0))))=0,NA(),SUMPRODUCT((Inputs!$A$5:$A$110=$B59)*Inputs!$B$5:$B$110*(((Inputs!$G$5:$G$110="moeda")+(Inputs!$G$5:$G$110="acoes"))*Inputs!$B$1+((Inputs!$G$5:$G$110&lt;&gt;"moeda")*(Inputs!$G$5:$G$110&lt;&gt;"acoes")))*INDEX(Inputs!$K$5:$AJ$110,0,MATCH(F$2,Inputs!$K$4:$AJ$4,0)))+SUMPRODUCT((Inputs!$C$5:$C$110=$B59)*Inputs!$D$5:$D$110*(((Inputs!$G$5:$G$110="moeda")+(Inputs!$G$5:$G$110="acoes"))*Inputs!$B$1+((Inputs!$G$5:$G$110&lt;&gt;"moeda")*(Inputs!$G$5:$G$110&lt;&gt;"acoes")))*INDEX(Inputs!$K$5:$AJ$110,0,MATCH(F$2,Inputs!$K$4:$AJ$4,0)))+SUMPRODUCT((Inputs!$E$5:$E$110=$B59)*Inputs!$F$5:$F$110*(((Inputs!$G$5:$G$110="moeda")+(Inputs!$G$5:$G$110="acoes"))*Inputs!$B$1+((Inputs!$G$5:$G$110&lt;&gt;"moeda")*(Inputs!$G$5:$G$110&lt;&gt;"acoes")))*INDEX(Inputs!$K$5:$AJ$110,0,MATCH(F$2,Inputs!$K$4:$AJ$4,0)))))</f>
        <v>2699</v>
      </c>
      <c r="G59" s="263">
        <f>IF(ISNA(MATCH(G$2,Inputs!$K$4:$AJ$4,0)),NA(),IF(SUMPRODUCT((Inputs!$A$5:$A$110=$B59)*ISNUMBER(INDEX(Inputs!$K$5:$AJ$110,0,MATCH(G$2,Inputs!$K$4:$AJ$4,0))))+SUMPRODUCT((Inputs!$C$5:$C$110=$B59)*ISNUMBER(INDEX(Inputs!$K$5:$AJ$110,0,MATCH(G$2,Inputs!$K$4:$AJ$4,0))))+SUMPRODUCT((Inputs!$E$5:$E$110=$B59)*ISNUMBER(INDEX(Inputs!$K$5:$AJ$110,0,MATCH(G$2,Inputs!$K$4:$AJ$4,0))))=0,NA(),SUMPRODUCT((Inputs!$A$5:$A$110=$B59)*Inputs!$B$5:$B$110*(((Inputs!$G$5:$G$110="moeda")+(Inputs!$G$5:$G$110="acoes"))*Inputs!$B$1+((Inputs!$G$5:$G$110&lt;&gt;"moeda")*(Inputs!$G$5:$G$110&lt;&gt;"acoes")))*INDEX(Inputs!$K$5:$AJ$110,0,MATCH(G$2,Inputs!$K$4:$AJ$4,0)))+SUMPRODUCT((Inputs!$C$5:$C$110=$B59)*Inputs!$D$5:$D$110*(((Inputs!$G$5:$G$110="moeda")+(Inputs!$G$5:$G$110="acoes"))*Inputs!$B$1+((Inputs!$G$5:$G$110&lt;&gt;"moeda")*(Inputs!$G$5:$G$110&lt;&gt;"acoes")))*INDEX(Inputs!$K$5:$AJ$110,0,MATCH(G$2,Inputs!$K$4:$AJ$4,0)))+SUMPRODUCT((Inputs!$E$5:$E$110=$B59)*Inputs!$F$5:$F$110*(((Inputs!$G$5:$G$110="moeda")+(Inputs!$G$5:$G$110="acoes"))*Inputs!$B$1+((Inputs!$G$5:$G$110&lt;&gt;"moeda")*(Inputs!$G$5:$G$110&lt;&gt;"acoes")))*INDEX(Inputs!$K$5:$AJ$110,0,MATCH(G$2,Inputs!$K$4:$AJ$4,0)))))</f>
        <v>2923</v>
      </c>
      <c r="H59" s="264">
        <f>SUM(D59:G59)</f>
        <v>11814</v>
      </c>
      <c r="I59" s="263">
        <f>IF(ISNA(MATCH(I$2,Inputs!$K$4:$AJ$4,0)),NA(),IF(SUMPRODUCT((Inputs!$A$5:$A$110=$B59)*ISNUMBER(INDEX(Inputs!$K$5:$AJ$110,0,MATCH(I$2,Inputs!$K$4:$AJ$4,0))))+SUMPRODUCT((Inputs!$C$5:$C$110=$B59)*ISNUMBER(INDEX(Inputs!$K$5:$AJ$110,0,MATCH(I$2,Inputs!$K$4:$AJ$4,0))))+SUMPRODUCT((Inputs!$E$5:$E$110=$B59)*ISNUMBER(INDEX(Inputs!$K$5:$AJ$110,0,MATCH(I$2,Inputs!$K$4:$AJ$4,0))))=0,NA(),SUMPRODUCT((Inputs!$A$5:$A$110=$B59)*Inputs!$B$5:$B$110*(((Inputs!$G$5:$G$110="moeda")+(Inputs!$G$5:$G$110="acoes"))*Inputs!$B$1+((Inputs!$G$5:$G$110&lt;&gt;"moeda")*(Inputs!$G$5:$G$110&lt;&gt;"acoes")))*INDEX(Inputs!$K$5:$AJ$110,0,MATCH(I$2,Inputs!$K$4:$AJ$4,0)))+SUMPRODUCT((Inputs!$C$5:$C$110=$B59)*Inputs!$D$5:$D$110*(((Inputs!$G$5:$G$110="moeda")+(Inputs!$G$5:$G$110="acoes"))*Inputs!$B$1+((Inputs!$G$5:$G$110&lt;&gt;"moeda")*(Inputs!$G$5:$G$110&lt;&gt;"acoes")))*INDEX(Inputs!$K$5:$AJ$110,0,MATCH(I$2,Inputs!$K$4:$AJ$4,0)))+SUMPRODUCT((Inputs!$E$5:$E$110=$B59)*Inputs!$F$5:$F$110*(((Inputs!$G$5:$G$110="moeda")+(Inputs!$G$5:$G$110="acoes"))*Inputs!$B$1+((Inputs!$G$5:$G$110&lt;&gt;"moeda")*(Inputs!$G$5:$G$110&lt;&gt;"acoes")))*INDEX(Inputs!$K$5:$AJ$110,0,MATCH(I$2,Inputs!$K$4:$AJ$4,0)))))</f>
        <v>2559</v>
      </c>
      <c r="J59" s="263">
        <f>IF(ISNA(MATCH(J$2,Inputs!$K$4:$AJ$4,0)),NA(),IF(SUMPRODUCT((Inputs!$A$5:$A$110=$B59)*ISNUMBER(INDEX(Inputs!$K$5:$AJ$110,0,MATCH(J$2,Inputs!$K$4:$AJ$4,0))))+SUMPRODUCT((Inputs!$C$5:$C$110=$B59)*ISNUMBER(INDEX(Inputs!$K$5:$AJ$110,0,MATCH(J$2,Inputs!$K$4:$AJ$4,0))))+SUMPRODUCT((Inputs!$E$5:$E$110=$B59)*ISNUMBER(INDEX(Inputs!$K$5:$AJ$110,0,MATCH(J$2,Inputs!$K$4:$AJ$4,0))))=0,NA(),SUMPRODUCT((Inputs!$A$5:$A$110=$B59)*Inputs!$B$5:$B$110*(((Inputs!$G$5:$G$110="moeda")+(Inputs!$G$5:$G$110="acoes"))*Inputs!$B$1+((Inputs!$G$5:$G$110&lt;&gt;"moeda")*(Inputs!$G$5:$G$110&lt;&gt;"acoes")))*INDEX(Inputs!$K$5:$AJ$110,0,MATCH(J$2,Inputs!$K$4:$AJ$4,0)))+SUMPRODUCT((Inputs!$C$5:$C$110=$B59)*Inputs!$D$5:$D$110*(((Inputs!$G$5:$G$110="moeda")+(Inputs!$G$5:$G$110="acoes"))*Inputs!$B$1+((Inputs!$G$5:$G$110&lt;&gt;"moeda")*(Inputs!$G$5:$G$110&lt;&gt;"acoes")))*INDEX(Inputs!$K$5:$AJ$110,0,MATCH(J$2,Inputs!$K$4:$AJ$4,0)))+SUMPRODUCT((Inputs!$E$5:$E$110=$B59)*Inputs!$F$5:$F$110*(((Inputs!$G$5:$G$110="moeda")+(Inputs!$G$5:$G$110="acoes"))*Inputs!$B$1+((Inputs!$G$5:$G$110&lt;&gt;"moeda")*(Inputs!$G$5:$G$110&lt;&gt;"acoes")))*INDEX(Inputs!$K$5:$AJ$110,0,MATCH(J$2,Inputs!$K$4:$AJ$4,0)))))</f>
        <v>2825</v>
      </c>
      <c r="K59" s="263">
        <f>IF(ISNA(MATCH(K$2,Inputs!$K$4:$AJ$4,0)),NA(),IF(SUMPRODUCT((Inputs!$A$5:$A$110=$B59)*ISNUMBER(INDEX(Inputs!$K$5:$AJ$110,0,MATCH(K$2,Inputs!$K$4:$AJ$4,0))))+SUMPRODUCT((Inputs!$C$5:$C$110=$B59)*ISNUMBER(INDEX(Inputs!$K$5:$AJ$110,0,MATCH(K$2,Inputs!$K$4:$AJ$4,0))))+SUMPRODUCT((Inputs!$E$5:$E$110=$B59)*ISNUMBER(INDEX(Inputs!$K$5:$AJ$110,0,MATCH(K$2,Inputs!$K$4:$AJ$4,0))))=0,NA(),SUMPRODUCT((Inputs!$A$5:$A$110=$B59)*Inputs!$B$5:$B$110*(((Inputs!$G$5:$G$110="moeda")+(Inputs!$G$5:$G$110="acoes"))*Inputs!$B$1+((Inputs!$G$5:$G$110&lt;&gt;"moeda")*(Inputs!$G$5:$G$110&lt;&gt;"acoes")))*INDEX(Inputs!$K$5:$AJ$110,0,MATCH(K$2,Inputs!$K$4:$AJ$4,0)))+SUMPRODUCT((Inputs!$C$5:$C$110=$B59)*Inputs!$D$5:$D$110*(((Inputs!$G$5:$G$110="moeda")+(Inputs!$G$5:$G$110="acoes"))*Inputs!$B$1+((Inputs!$G$5:$G$110&lt;&gt;"moeda")*(Inputs!$G$5:$G$110&lt;&gt;"acoes")))*INDEX(Inputs!$K$5:$AJ$110,0,MATCH(K$2,Inputs!$K$4:$AJ$4,0)))+SUMPRODUCT((Inputs!$E$5:$E$110=$B59)*Inputs!$F$5:$F$110*(((Inputs!$G$5:$G$110="moeda")+(Inputs!$G$5:$G$110="acoes"))*Inputs!$B$1+((Inputs!$G$5:$G$110&lt;&gt;"moeda")*(Inputs!$G$5:$G$110&lt;&gt;"acoes")))*INDEX(Inputs!$K$5:$AJ$110,0,MATCH(K$2,Inputs!$K$4:$AJ$4,0)))))</f>
        <v>2882</v>
      </c>
      <c r="L59" s="263">
        <f>IF(ISNA(MATCH(L$2,Inputs!$K$4:$AJ$4,0)),NA(),IF(SUMPRODUCT((Inputs!$A$5:$A$110=$B59)*ISNUMBER(INDEX(Inputs!$K$5:$AJ$110,0,MATCH(L$2,Inputs!$K$4:$AJ$4,0))))+SUMPRODUCT((Inputs!$C$5:$C$110=$B59)*ISNUMBER(INDEX(Inputs!$K$5:$AJ$110,0,MATCH(L$2,Inputs!$K$4:$AJ$4,0))))+SUMPRODUCT((Inputs!$E$5:$E$110=$B59)*ISNUMBER(INDEX(Inputs!$K$5:$AJ$110,0,MATCH(L$2,Inputs!$K$4:$AJ$4,0))))=0,NA(),SUMPRODUCT((Inputs!$A$5:$A$110=$B59)*Inputs!$B$5:$B$110*(((Inputs!$G$5:$G$110="moeda")+(Inputs!$G$5:$G$110="acoes"))*Inputs!$B$1+((Inputs!$G$5:$G$110&lt;&gt;"moeda")*(Inputs!$G$5:$G$110&lt;&gt;"acoes")))*INDEX(Inputs!$K$5:$AJ$110,0,MATCH(L$2,Inputs!$K$4:$AJ$4,0)))+SUMPRODUCT((Inputs!$C$5:$C$110=$B59)*Inputs!$D$5:$D$110*(((Inputs!$G$5:$G$110="moeda")+(Inputs!$G$5:$G$110="acoes"))*Inputs!$B$1+((Inputs!$G$5:$G$110&lt;&gt;"moeda")*(Inputs!$G$5:$G$110&lt;&gt;"acoes")))*INDEX(Inputs!$K$5:$AJ$110,0,MATCH(L$2,Inputs!$K$4:$AJ$4,0)))+SUMPRODUCT((Inputs!$E$5:$E$110=$B59)*Inputs!$F$5:$F$110*(((Inputs!$G$5:$G$110="moeda")+(Inputs!$G$5:$G$110="acoes"))*Inputs!$B$1+((Inputs!$G$5:$G$110&lt;&gt;"moeda")*(Inputs!$G$5:$G$110&lt;&gt;"acoes")))*INDEX(Inputs!$K$5:$AJ$110,0,MATCH(L$2,Inputs!$K$4:$AJ$4,0)))))</f>
        <v>3266</v>
      </c>
      <c r="M59" s="264">
        <f>SUM(I59:L59)</f>
        <v>11532</v>
      </c>
      <c r="N59" s="263">
        <f>IF(ISNA(MATCH(N$2,Inputs!$K$4:$AJ$4,0)),NA(),IF(SUMPRODUCT((Inputs!$A$5:$A$110=$B59)*ISNUMBER(INDEX(Inputs!$K$5:$AJ$110,0,MATCH(N$2,Inputs!$K$4:$AJ$4,0))))+SUMPRODUCT((Inputs!$C$5:$C$110=$B59)*ISNUMBER(INDEX(Inputs!$K$5:$AJ$110,0,MATCH(N$2,Inputs!$K$4:$AJ$4,0))))+SUMPRODUCT((Inputs!$E$5:$E$110=$B59)*ISNUMBER(INDEX(Inputs!$K$5:$AJ$110,0,MATCH(N$2,Inputs!$K$4:$AJ$4,0))))=0,NA(),SUMPRODUCT((Inputs!$A$5:$A$110=$B59)*Inputs!$B$5:$B$110*(((Inputs!$G$5:$G$110="moeda")+(Inputs!$G$5:$G$110="acoes"))*Inputs!$B$1+((Inputs!$G$5:$G$110&lt;&gt;"moeda")*(Inputs!$G$5:$G$110&lt;&gt;"acoes")))*INDEX(Inputs!$K$5:$AJ$110,0,MATCH(N$2,Inputs!$K$4:$AJ$4,0)))+SUMPRODUCT((Inputs!$C$5:$C$110=$B59)*Inputs!$D$5:$D$110*(((Inputs!$G$5:$G$110="moeda")+(Inputs!$G$5:$G$110="acoes"))*Inputs!$B$1+((Inputs!$G$5:$G$110&lt;&gt;"moeda")*(Inputs!$G$5:$G$110&lt;&gt;"acoes")))*INDEX(Inputs!$K$5:$AJ$110,0,MATCH(N$2,Inputs!$K$4:$AJ$4,0)))+SUMPRODUCT((Inputs!$E$5:$E$110=$B59)*Inputs!$F$5:$F$110*(((Inputs!$G$5:$G$110="moeda")+(Inputs!$G$5:$G$110="acoes"))*Inputs!$B$1+((Inputs!$G$5:$G$110&lt;&gt;"moeda")*(Inputs!$G$5:$G$110&lt;&gt;"acoes")))*INDEX(Inputs!$K$5:$AJ$110,0,MATCH(N$2,Inputs!$K$4:$AJ$4,0)))))</f>
        <v>2959</v>
      </c>
      <c r="O59" s="263">
        <f>IF(ISNA(MATCH(O$2,Inputs!$K$4:$AJ$4,0)),NA(),IF(SUMPRODUCT((Inputs!$A$5:$A$110=$B59)*ISNUMBER(INDEX(Inputs!$K$5:$AJ$110,0,MATCH(O$2,Inputs!$K$4:$AJ$4,0))))+SUMPRODUCT((Inputs!$C$5:$C$110=$B59)*ISNUMBER(INDEX(Inputs!$K$5:$AJ$110,0,MATCH(O$2,Inputs!$K$4:$AJ$4,0))))+SUMPRODUCT((Inputs!$E$5:$E$110=$B59)*ISNUMBER(INDEX(Inputs!$K$5:$AJ$110,0,MATCH(O$2,Inputs!$K$4:$AJ$4,0))))=0,NA(),SUMPRODUCT((Inputs!$A$5:$A$110=$B59)*Inputs!$B$5:$B$110*(((Inputs!$G$5:$G$110="moeda")+(Inputs!$G$5:$G$110="acoes"))*Inputs!$B$1+((Inputs!$G$5:$G$110&lt;&gt;"moeda")*(Inputs!$G$5:$G$110&lt;&gt;"acoes")))*INDEX(Inputs!$K$5:$AJ$110,0,MATCH(O$2,Inputs!$K$4:$AJ$4,0)))+SUMPRODUCT((Inputs!$C$5:$C$110=$B59)*Inputs!$D$5:$D$110*(((Inputs!$G$5:$G$110="moeda")+(Inputs!$G$5:$G$110="acoes"))*Inputs!$B$1+((Inputs!$G$5:$G$110&lt;&gt;"moeda")*(Inputs!$G$5:$G$110&lt;&gt;"acoes")))*INDEX(Inputs!$K$5:$AJ$110,0,MATCH(O$2,Inputs!$K$4:$AJ$4,0)))+SUMPRODUCT((Inputs!$E$5:$E$110=$B59)*Inputs!$F$5:$F$110*(((Inputs!$G$5:$G$110="moeda")+(Inputs!$G$5:$G$110="acoes"))*Inputs!$B$1+((Inputs!$G$5:$G$110&lt;&gt;"moeda")*(Inputs!$G$5:$G$110&lt;&gt;"acoes")))*INDEX(Inputs!$K$5:$AJ$110,0,MATCH(O$2,Inputs!$K$4:$AJ$4,0)))))</f>
        <v>3166</v>
      </c>
      <c r="P59" s="263">
        <f>IF(ISNA(MATCH(P$2,Inputs!$K$4:$AJ$4,0)),NA(),IF(SUMPRODUCT((Inputs!$A$5:$A$110=$B59)*ISNUMBER(INDEX(Inputs!$K$5:$AJ$110,0,MATCH(P$2,Inputs!$K$4:$AJ$4,0))))+SUMPRODUCT((Inputs!$C$5:$C$110=$B59)*ISNUMBER(INDEX(Inputs!$K$5:$AJ$110,0,MATCH(P$2,Inputs!$K$4:$AJ$4,0))))+SUMPRODUCT((Inputs!$E$5:$E$110=$B59)*ISNUMBER(INDEX(Inputs!$K$5:$AJ$110,0,MATCH(P$2,Inputs!$K$4:$AJ$4,0))))=0,NA(),SUMPRODUCT((Inputs!$A$5:$A$110=$B59)*Inputs!$B$5:$B$110*(((Inputs!$G$5:$G$110="moeda")+(Inputs!$G$5:$G$110="acoes"))*Inputs!$B$1+((Inputs!$G$5:$G$110&lt;&gt;"moeda")*(Inputs!$G$5:$G$110&lt;&gt;"acoes")))*INDEX(Inputs!$K$5:$AJ$110,0,MATCH(P$2,Inputs!$K$4:$AJ$4,0)))+SUMPRODUCT((Inputs!$C$5:$C$110=$B59)*Inputs!$D$5:$D$110*(((Inputs!$G$5:$G$110="moeda")+(Inputs!$G$5:$G$110="acoes"))*Inputs!$B$1+((Inputs!$G$5:$G$110&lt;&gt;"moeda")*(Inputs!$G$5:$G$110&lt;&gt;"acoes")))*INDEX(Inputs!$K$5:$AJ$110,0,MATCH(P$2,Inputs!$K$4:$AJ$4,0)))+SUMPRODUCT((Inputs!$E$5:$E$110=$B59)*Inputs!$F$5:$F$110*(((Inputs!$G$5:$G$110="moeda")+(Inputs!$G$5:$G$110="acoes"))*Inputs!$B$1+((Inputs!$G$5:$G$110&lt;&gt;"moeda")*(Inputs!$G$5:$G$110&lt;&gt;"acoes")))*INDEX(Inputs!$K$5:$AJ$110,0,MATCH(P$2,Inputs!$K$4:$AJ$4,0)))))</f>
        <v>3101</v>
      </c>
      <c r="Q59" s="263">
        <f>IF(ISNA(MATCH(Q$2,Inputs!$K$4:$AJ$4,0)),NA(),IF(SUMPRODUCT((Inputs!$A$5:$A$110=$B59)*ISNUMBER(INDEX(Inputs!$K$5:$AJ$110,0,MATCH(Q$2,Inputs!$K$4:$AJ$4,0))))+SUMPRODUCT((Inputs!$C$5:$C$110=$B59)*ISNUMBER(INDEX(Inputs!$K$5:$AJ$110,0,MATCH(Q$2,Inputs!$K$4:$AJ$4,0))))+SUMPRODUCT((Inputs!$E$5:$E$110=$B59)*ISNUMBER(INDEX(Inputs!$K$5:$AJ$110,0,MATCH(Q$2,Inputs!$K$4:$AJ$4,0))))=0,NA(),SUMPRODUCT((Inputs!$A$5:$A$110=$B59)*Inputs!$B$5:$B$110*(((Inputs!$G$5:$G$110="moeda")+(Inputs!$G$5:$G$110="acoes"))*Inputs!$B$1+((Inputs!$G$5:$G$110&lt;&gt;"moeda")*(Inputs!$G$5:$G$110&lt;&gt;"acoes")))*INDEX(Inputs!$K$5:$AJ$110,0,MATCH(Q$2,Inputs!$K$4:$AJ$4,0)))+SUMPRODUCT((Inputs!$C$5:$C$110=$B59)*Inputs!$D$5:$D$110*(((Inputs!$G$5:$G$110="moeda")+(Inputs!$G$5:$G$110="acoes"))*Inputs!$B$1+((Inputs!$G$5:$G$110&lt;&gt;"moeda")*(Inputs!$G$5:$G$110&lt;&gt;"acoes")))*INDEX(Inputs!$K$5:$AJ$110,0,MATCH(Q$2,Inputs!$K$4:$AJ$4,0)))+SUMPRODUCT((Inputs!$E$5:$E$110=$B59)*Inputs!$F$5:$F$110*(((Inputs!$G$5:$G$110="moeda")+(Inputs!$G$5:$G$110="acoes"))*Inputs!$B$1+((Inputs!$G$5:$G$110&lt;&gt;"moeda")*(Inputs!$G$5:$G$110&lt;&gt;"acoes")))*INDEX(Inputs!$K$5:$AJ$110,0,MATCH(Q$2,Inputs!$K$4:$AJ$4,0)))))</f>
        <v>3379</v>
      </c>
      <c r="R59" s="264">
        <f>SUM(N59:Q59)</f>
        <v>12605</v>
      </c>
      <c r="S59" s="263">
        <f>IF(ISNA(MATCH(S$2,Inputs!$K$4:$AJ$4,0)),NA(),IF(SUMPRODUCT((Inputs!$A$5:$A$110=$B59)*ISNUMBER(INDEX(Inputs!$K$5:$AJ$110,0,MATCH(S$2,Inputs!$K$4:$AJ$4,0))))+SUMPRODUCT((Inputs!$C$5:$C$110=$B59)*ISNUMBER(INDEX(Inputs!$K$5:$AJ$110,0,MATCH(S$2,Inputs!$K$4:$AJ$4,0))))+SUMPRODUCT((Inputs!$E$5:$E$110=$B59)*ISNUMBER(INDEX(Inputs!$K$5:$AJ$110,0,MATCH(S$2,Inputs!$K$4:$AJ$4,0))))=0,NA(),SUMPRODUCT((Inputs!$A$5:$A$110=$B59)*Inputs!$B$5:$B$110*(((Inputs!$G$5:$G$110="moeda")+(Inputs!$G$5:$G$110="acoes"))*Inputs!$B$1+((Inputs!$G$5:$G$110&lt;&gt;"moeda")*(Inputs!$G$5:$G$110&lt;&gt;"acoes")))*INDEX(Inputs!$K$5:$AJ$110,0,MATCH(S$2,Inputs!$K$4:$AJ$4,0)))+SUMPRODUCT((Inputs!$C$5:$C$110=$B59)*Inputs!$D$5:$D$110*(((Inputs!$G$5:$G$110="moeda")+(Inputs!$G$5:$G$110="acoes"))*Inputs!$B$1+((Inputs!$G$5:$G$110&lt;&gt;"moeda")*(Inputs!$G$5:$G$110&lt;&gt;"acoes")))*INDEX(Inputs!$K$5:$AJ$110,0,MATCH(S$2,Inputs!$K$4:$AJ$4,0)))+SUMPRODUCT((Inputs!$E$5:$E$110=$B59)*Inputs!$F$5:$F$110*(((Inputs!$G$5:$G$110="moeda")+(Inputs!$G$5:$G$110="acoes"))*Inputs!$B$1+((Inputs!$G$5:$G$110&lt;&gt;"moeda")*(Inputs!$G$5:$G$110&lt;&gt;"acoes")))*INDEX(Inputs!$K$5:$AJ$110,0,MATCH(S$2,Inputs!$K$4:$AJ$4,0)))))</f>
        <v>3269</v>
      </c>
      <c r="T59" s="263">
        <f>IF(ISNA(MATCH(T$2,Inputs!$K$4:$AJ$4,0)),NA(),IF(SUMPRODUCT((Inputs!$A$5:$A$110=$B59)*ISNUMBER(INDEX(Inputs!$K$5:$AJ$110,0,MATCH(T$2,Inputs!$K$4:$AJ$4,0))))+SUMPRODUCT((Inputs!$C$5:$C$110=$B59)*ISNUMBER(INDEX(Inputs!$K$5:$AJ$110,0,MATCH(T$2,Inputs!$K$4:$AJ$4,0))))+SUMPRODUCT((Inputs!$E$5:$E$110=$B59)*ISNUMBER(INDEX(Inputs!$K$5:$AJ$110,0,MATCH(T$2,Inputs!$K$4:$AJ$4,0))))=0,NA(),SUMPRODUCT((Inputs!$A$5:$A$110=$B59)*Inputs!$B$5:$B$110*(((Inputs!$G$5:$G$110="moeda")+(Inputs!$G$5:$G$110="acoes"))*Inputs!$B$1+((Inputs!$G$5:$G$110&lt;&gt;"moeda")*(Inputs!$G$5:$G$110&lt;&gt;"acoes")))*INDEX(Inputs!$K$5:$AJ$110,0,MATCH(T$2,Inputs!$K$4:$AJ$4,0)))+SUMPRODUCT((Inputs!$C$5:$C$110=$B59)*Inputs!$D$5:$D$110*(((Inputs!$G$5:$G$110="moeda")+(Inputs!$G$5:$G$110="acoes"))*Inputs!$B$1+((Inputs!$G$5:$G$110&lt;&gt;"moeda")*(Inputs!$G$5:$G$110&lt;&gt;"acoes")))*INDEX(Inputs!$K$5:$AJ$110,0,MATCH(T$2,Inputs!$K$4:$AJ$4,0)))+SUMPRODUCT((Inputs!$E$5:$E$110=$B59)*Inputs!$F$5:$F$110*(((Inputs!$G$5:$G$110="moeda")+(Inputs!$G$5:$G$110="acoes"))*Inputs!$B$1+((Inputs!$G$5:$G$110&lt;&gt;"moeda")*(Inputs!$G$5:$G$110&lt;&gt;"acoes")))*INDEX(Inputs!$K$5:$AJ$110,0,MATCH(T$2,Inputs!$K$4:$AJ$4,0)))))</f>
        <v>3195</v>
      </c>
      <c r="U59" s="263">
        <f>IF(ISNA(MATCH(U$2,Inputs!$K$4:$AJ$4,0)),NA(),IF(SUMPRODUCT((Inputs!$A$5:$A$110=$B59)*ISNUMBER(INDEX(Inputs!$K$5:$AJ$110,0,MATCH(U$2,Inputs!$K$4:$AJ$4,0))))+SUMPRODUCT((Inputs!$C$5:$C$110=$B59)*ISNUMBER(INDEX(Inputs!$K$5:$AJ$110,0,MATCH(U$2,Inputs!$K$4:$AJ$4,0))))+SUMPRODUCT((Inputs!$E$5:$E$110=$B59)*ISNUMBER(INDEX(Inputs!$K$5:$AJ$110,0,MATCH(U$2,Inputs!$K$4:$AJ$4,0))))=0,NA(),SUMPRODUCT((Inputs!$A$5:$A$110=$B59)*Inputs!$B$5:$B$110*(((Inputs!$G$5:$G$110="moeda")+(Inputs!$G$5:$G$110="acoes"))*Inputs!$B$1+((Inputs!$G$5:$G$110&lt;&gt;"moeda")*(Inputs!$G$5:$G$110&lt;&gt;"acoes")))*INDEX(Inputs!$K$5:$AJ$110,0,MATCH(U$2,Inputs!$K$4:$AJ$4,0)))+SUMPRODUCT((Inputs!$C$5:$C$110=$B59)*Inputs!$D$5:$D$110*(((Inputs!$G$5:$G$110="moeda")+(Inputs!$G$5:$G$110="acoes"))*Inputs!$B$1+((Inputs!$G$5:$G$110&lt;&gt;"moeda")*(Inputs!$G$5:$G$110&lt;&gt;"acoes")))*INDEX(Inputs!$K$5:$AJ$110,0,MATCH(U$2,Inputs!$K$4:$AJ$4,0)))+SUMPRODUCT((Inputs!$E$5:$E$110=$B59)*Inputs!$F$5:$F$110*(((Inputs!$G$5:$G$110="moeda")+(Inputs!$G$5:$G$110="acoes"))*Inputs!$B$1+((Inputs!$G$5:$G$110&lt;&gt;"moeda")*(Inputs!$G$5:$G$110&lt;&gt;"acoes")))*INDEX(Inputs!$K$5:$AJ$110,0,MATCH(U$2,Inputs!$K$4:$AJ$4,0)))))</f>
        <v>3075</v>
      </c>
      <c r="V59" s="263">
        <f>IF(ISNA(MATCH(V$2,Inputs!$K$4:$AJ$4,0)),NA(),IF(SUMPRODUCT((Inputs!$A$5:$A$110=$B59)*ISNUMBER(INDEX(Inputs!$K$5:$AJ$110,0,MATCH(V$2,Inputs!$K$4:$AJ$4,0))))+SUMPRODUCT((Inputs!$C$5:$C$110=$B59)*ISNUMBER(INDEX(Inputs!$K$5:$AJ$110,0,MATCH(V$2,Inputs!$K$4:$AJ$4,0))))+SUMPRODUCT((Inputs!$E$5:$E$110=$B59)*ISNUMBER(INDEX(Inputs!$K$5:$AJ$110,0,MATCH(V$2,Inputs!$K$4:$AJ$4,0))))=0,NA(),SUMPRODUCT((Inputs!$A$5:$A$110=$B59)*Inputs!$B$5:$B$110*(((Inputs!$G$5:$G$110="moeda")+(Inputs!$G$5:$G$110="acoes"))*Inputs!$B$1+((Inputs!$G$5:$G$110&lt;&gt;"moeda")*(Inputs!$G$5:$G$110&lt;&gt;"acoes")))*INDEX(Inputs!$K$5:$AJ$110,0,MATCH(V$2,Inputs!$K$4:$AJ$4,0)))+SUMPRODUCT((Inputs!$C$5:$C$110=$B59)*Inputs!$D$5:$D$110*(((Inputs!$G$5:$G$110="moeda")+(Inputs!$G$5:$G$110="acoes"))*Inputs!$B$1+((Inputs!$G$5:$G$110&lt;&gt;"moeda")*(Inputs!$G$5:$G$110&lt;&gt;"acoes")))*INDEX(Inputs!$K$5:$AJ$110,0,MATCH(V$2,Inputs!$K$4:$AJ$4,0)))+SUMPRODUCT((Inputs!$E$5:$E$110=$B59)*Inputs!$F$5:$F$110*(((Inputs!$G$5:$G$110="moeda")+(Inputs!$G$5:$G$110="acoes"))*Inputs!$B$1+((Inputs!$G$5:$G$110&lt;&gt;"moeda")*(Inputs!$G$5:$G$110&lt;&gt;"acoes")))*INDEX(Inputs!$K$5:$AJ$110,0,MATCH(V$2,Inputs!$K$4:$AJ$4,0)))))</f>
        <v>2940</v>
      </c>
      <c r="W59" s="264">
        <f>SUM(S59:V59)</f>
        <v>12479</v>
      </c>
      <c r="X59" s="263">
        <f>IF(ISNA(MATCH(X$2,Inputs!$K$4:$AJ$4,0)),NA(),IF(SUMPRODUCT((Inputs!$A$5:$A$110=$B59)*ISNUMBER(INDEX(Inputs!$K$5:$AJ$110,0,MATCH(X$2,Inputs!$K$4:$AJ$4,0))))+SUMPRODUCT((Inputs!$C$5:$C$110=$B59)*ISNUMBER(INDEX(Inputs!$K$5:$AJ$110,0,MATCH(X$2,Inputs!$K$4:$AJ$4,0))))+SUMPRODUCT((Inputs!$E$5:$E$110=$B59)*ISNUMBER(INDEX(Inputs!$K$5:$AJ$110,0,MATCH(X$2,Inputs!$K$4:$AJ$4,0))))=0,NA(),SUMPRODUCT((Inputs!$A$5:$A$110=$B59)*Inputs!$B$5:$B$110*(((Inputs!$G$5:$G$110="moeda")+(Inputs!$G$5:$G$110="acoes"))*Inputs!$B$1+((Inputs!$G$5:$G$110&lt;&gt;"moeda")*(Inputs!$G$5:$G$110&lt;&gt;"acoes")))*INDEX(Inputs!$K$5:$AJ$110,0,MATCH(X$2,Inputs!$K$4:$AJ$4,0)))+SUMPRODUCT((Inputs!$C$5:$C$110=$B59)*Inputs!$D$5:$D$110*(((Inputs!$G$5:$G$110="moeda")+(Inputs!$G$5:$G$110="acoes"))*Inputs!$B$1+((Inputs!$G$5:$G$110&lt;&gt;"moeda")*(Inputs!$G$5:$G$110&lt;&gt;"acoes")))*INDEX(Inputs!$K$5:$AJ$110,0,MATCH(X$2,Inputs!$K$4:$AJ$4,0)))+SUMPRODUCT((Inputs!$E$5:$E$110=$B59)*Inputs!$F$5:$F$110*(((Inputs!$G$5:$G$110="moeda")+(Inputs!$G$5:$G$110="acoes"))*Inputs!$B$1+((Inputs!$G$5:$G$110&lt;&gt;"moeda")*(Inputs!$G$5:$G$110&lt;&gt;"acoes")))*INDEX(Inputs!$K$5:$AJ$110,0,MATCH(X$2,Inputs!$K$4:$AJ$4,0)))))</f>
        <v>3205</v>
      </c>
      <c r="Y59" s="263">
        <f>IF(ISNA(MATCH(Y$2,Inputs!$K$4:$AJ$4,0)),NA(),IF(SUMPRODUCT((Inputs!$A$5:$A$110=$B59)*ISNUMBER(INDEX(Inputs!$K$5:$AJ$110,0,MATCH(Y$2,Inputs!$K$4:$AJ$4,0))))+SUMPRODUCT((Inputs!$C$5:$C$110=$B59)*ISNUMBER(INDEX(Inputs!$K$5:$AJ$110,0,MATCH(Y$2,Inputs!$K$4:$AJ$4,0))))+SUMPRODUCT((Inputs!$E$5:$E$110=$B59)*ISNUMBER(INDEX(Inputs!$K$5:$AJ$110,0,MATCH(Y$2,Inputs!$K$4:$AJ$4,0))))=0,NA(),SUMPRODUCT((Inputs!$A$5:$A$110=$B59)*Inputs!$B$5:$B$110*(((Inputs!$G$5:$G$110="moeda")+(Inputs!$G$5:$G$110="acoes"))*Inputs!$B$1+((Inputs!$G$5:$G$110&lt;&gt;"moeda")*(Inputs!$G$5:$G$110&lt;&gt;"acoes")))*INDEX(Inputs!$K$5:$AJ$110,0,MATCH(Y$2,Inputs!$K$4:$AJ$4,0)))+SUMPRODUCT((Inputs!$C$5:$C$110=$B59)*Inputs!$D$5:$D$110*(((Inputs!$G$5:$G$110="moeda")+(Inputs!$G$5:$G$110="acoes"))*Inputs!$B$1+((Inputs!$G$5:$G$110&lt;&gt;"moeda")*(Inputs!$G$5:$G$110&lt;&gt;"acoes")))*INDEX(Inputs!$K$5:$AJ$110,0,MATCH(Y$2,Inputs!$K$4:$AJ$4,0)))+SUMPRODUCT((Inputs!$E$5:$E$110=$B59)*Inputs!$F$5:$F$110*(((Inputs!$G$5:$G$110="moeda")+(Inputs!$G$5:$G$110="acoes"))*Inputs!$B$1+((Inputs!$G$5:$G$110&lt;&gt;"moeda")*(Inputs!$G$5:$G$110&lt;&gt;"acoes")))*INDEX(Inputs!$K$5:$AJ$110,0,MATCH(Y$2,Inputs!$K$4:$AJ$4,0)))))</f>
        <v>3307</v>
      </c>
      <c r="Z59" s="263">
        <f>IF(ISNA(MATCH(Z$2,Inputs!$K$4:$AJ$4,0)),NA(),IF(SUMPRODUCT((Inputs!$A$5:$A$110=$B59)*ISNUMBER(INDEX(Inputs!$K$5:$AJ$110,0,MATCH(Z$2,Inputs!$K$4:$AJ$4,0))))+SUMPRODUCT((Inputs!$C$5:$C$110=$B59)*ISNUMBER(INDEX(Inputs!$K$5:$AJ$110,0,MATCH(Z$2,Inputs!$K$4:$AJ$4,0))))+SUMPRODUCT((Inputs!$E$5:$E$110=$B59)*ISNUMBER(INDEX(Inputs!$K$5:$AJ$110,0,MATCH(Z$2,Inputs!$K$4:$AJ$4,0))))=0,NA(),SUMPRODUCT((Inputs!$A$5:$A$110=$B59)*Inputs!$B$5:$B$110*(((Inputs!$G$5:$G$110="moeda")+(Inputs!$G$5:$G$110="acoes"))*Inputs!$B$1+((Inputs!$G$5:$G$110&lt;&gt;"moeda")*(Inputs!$G$5:$G$110&lt;&gt;"acoes")))*INDEX(Inputs!$K$5:$AJ$110,0,MATCH(Z$2,Inputs!$K$4:$AJ$4,0)))+SUMPRODUCT((Inputs!$C$5:$C$110=$B59)*Inputs!$D$5:$D$110*(((Inputs!$G$5:$G$110="moeda")+(Inputs!$G$5:$G$110="acoes"))*Inputs!$B$1+((Inputs!$G$5:$G$110&lt;&gt;"moeda")*(Inputs!$G$5:$G$110&lt;&gt;"acoes")))*INDEX(Inputs!$K$5:$AJ$110,0,MATCH(Z$2,Inputs!$K$4:$AJ$4,0)))+SUMPRODUCT((Inputs!$E$5:$E$110=$B59)*Inputs!$F$5:$F$110*(((Inputs!$G$5:$G$110="moeda")+(Inputs!$G$5:$G$110="acoes"))*Inputs!$B$1+((Inputs!$G$5:$G$110&lt;&gt;"moeda")*(Inputs!$G$5:$G$110&lt;&gt;"acoes")))*INDEX(Inputs!$K$5:$AJ$110,0,MATCH(Z$2,Inputs!$K$4:$AJ$4,0)))))</f>
        <v>3356</v>
      </c>
      <c r="AA59" s="263">
        <f>IF(ISNA(MATCH(AA$2,Inputs!$K$4:$AJ$4,0)),NA(),IF(SUMPRODUCT((Inputs!$A$5:$A$110=$B59)*ISNUMBER(INDEX(Inputs!$K$5:$AJ$110,0,MATCH(AA$2,Inputs!$K$4:$AJ$4,0))))+SUMPRODUCT((Inputs!$C$5:$C$110=$B59)*ISNUMBER(INDEX(Inputs!$K$5:$AJ$110,0,MATCH(AA$2,Inputs!$K$4:$AJ$4,0))))+SUMPRODUCT((Inputs!$E$5:$E$110=$B59)*ISNUMBER(INDEX(Inputs!$K$5:$AJ$110,0,MATCH(AA$2,Inputs!$K$4:$AJ$4,0))))=0,NA(),SUMPRODUCT((Inputs!$A$5:$A$110=$B59)*Inputs!$B$5:$B$110*(((Inputs!$G$5:$G$110="moeda")+(Inputs!$G$5:$G$110="acoes"))*Inputs!$B$1+((Inputs!$G$5:$G$110&lt;&gt;"moeda")*(Inputs!$G$5:$G$110&lt;&gt;"acoes")))*INDEX(Inputs!$K$5:$AJ$110,0,MATCH(AA$2,Inputs!$K$4:$AJ$4,0)))+SUMPRODUCT((Inputs!$C$5:$C$110=$B59)*Inputs!$D$5:$D$110*(((Inputs!$G$5:$G$110="moeda")+(Inputs!$G$5:$G$110="acoes"))*Inputs!$B$1+((Inputs!$G$5:$G$110&lt;&gt;"moeda")*(Inputs!$G$5:$G$110&lt;&gt;"acoes")))*INDEX(Inputs!$K$5:$AJ$110,0,MATCH(AA$2,Inputs!$K$4:$AJ$4,0)))+SUMPRODUCT((Inputs!$E$5:$E$110=$B59)*Inputs!$F$5:$F$110*(((Inputs!$G$5:$G$110="moeda")+(Inputs!$G$5:$G$110="acoes"))*Inputs!$B$1+((Inputs!$G$5:$G$110&lt;&gt;"moeda")*(Inputs!$G$5:$G$110&lt;&gt;"acoes")))*INDEX(Inputs!$K$5:$AJ$110,0,MATCH(AA$2,Inputs!$K$4:$AJ$4,0)))))</f>
        <v>3161</v>
      </c>
      <c r="AB59" s="264">
        <f>SUM(X59:AA59)</f>
        <v>13029</v>
      </c>
      <c r="AC59" s="263">
        <f>IF(ISNA(MATCH(AC$2,Inputs!$K$4:$AJ$4,0)),NA(),IF(SUMPRODUCT((Inputs!$A$5:$A$110=$B59)*ISNUMBER(INDEX(Inputs!$K$5:$AJ$110,0,MATCH(AC$2,Inputs!$K$4:$AJ$4,0))))+SUMPRODUCT((Inputs!$C$5:$C$110=$B59)*ISNUMBER(INDEX(Inputs!$K$5:$AJ$110,0,MATCH(AC$2,Inputs!$K$4:$AJ$4,0))))+SUMPRODUCT((Inputs!$E$5:$E$110=$B59)*ISNUMBER(INDEX(Inputs!$K$5:$AJ$110,0,MATCH(AC$2,Inputs!$K$4:$AJ$4,0))))=0,NA(),SUMPRODUCT((Inputs!$A$5:$A$110=$B59)*Inputs!$B$5:$B$110*(((Inputs!$G$5:$G$110="moeda")+(Inputs!$G$5:$G$110="acoes"))*Inputs!$B$1+((Inputs!$G$5:$G$110&lt;&gt;"moeda")*(Inputs!$G$5:$G$110&lt;&gt;"acoes")))*INDEX(Inputs!$K$5:$AJ$110,0,MATCH(AC$2,Inputs!$K$4:$AJ$4,0)))+SUMPRODUCT((Inputs!$C$5:$C$110=$B59)*Inputs!$D$5:$D$110*(((Inputs!$G$5:$G$110="moeda")+(Inputs!$G$5:$G$110="acoes"))*Inputs!$B$1+((Inputs!$G$5:$G$110&lt;&gt;"moeda")*(Inputs!$G$5:$G$110&lt;&gt;"acoes")))*INDEX(Inputs!$K$5:$AJ$110,0,MATCH(AC$2,Inputs!$K$4:$AJ$4,0)))+SUMPRODUCT((Inputs!$E$5:$E$110=$B59)*Inputs!$F$5:$F$110*(((Inputs!$G$5:$G$110="moeda")+(Inputs!$G$5:$G$110="acoes"))*Inputs!$B$1+((Inputs!$G$5:$G$110&lt;&gt;"moeda")*(Inputs!$G$5:$G$110&lt;&gt;"acoes")))*INDEX(Inputs!$K$5:$AJ$110,0,MATCH(AC$2,Inputs!$K$4:$AJ$4,0)))))</f>
        <v>3428</v>
      </c>
      <c r="AD59" s="263">
        <f>IF(ISNA(MATCH(AD$2,Inputs!$K$4:$AJ$4,0)),NA(),IF(SUMPRODUCT((Inputs!$A$5:$A$110=$B59)*ISNUMBER(INDEX(Inputs!$K$5:$AJ$110,0,MATCH(AD$2,Inputs!$K$4:$AJ$4,0))))+SUMPRODUCT((Inputs!$C$5:$C$110=$B59)*ISNUMBER(INDEX(Inputs!$K$5:$AJ$110,0,MATCH(AD$2,Inputs!$K$4:$AJ$4,0))))+SUMPRODUCT((Inputs!$E$5:$E$110=$B59)*ISNUMBER(INDEX(Inputs!$K$5:$AJ$110,0,MATCH(AD$2,Inputs!$K$4:$AJ$4,0))))=0,NA(),SUMPRODUCT((Inputs!$A$5:$A$110=$B59)*Inputs!$B$5:$B$110*(((Inputs!$G$5:$G$110="moeda")+(Inputs!$G$5:$G$110="acoes"))*Inputs!$B$1+((Inputs!$G$5:$G$110&lt;&gt;"moeda")*(Inputs!$G$5:$G$110&lt;&gt;"acoes")))*INDEX(Inputs!$K$5:$AJ$110,0,MATCH(AD$2,Inputs!$K$4:$AJ$4,0)))+SUMPRODUCT((Inputs!$C$5:$C$110=$B59)*Inputs!$D$5:$D$110*(((Inputs!$G$5:$G$110="moeda")+(Inputs!$G$5:$G$110="acoes"))*Inputs!$B$1+((Inputs!$G$5:$G$110&lt;&gt;"moeda")*(Inputs!$G$5:$G$110&lt;&gt;"acoes")))*INDEX(Inputs!$K$5:$AJ$110,0,MATCH(AD$2,Inputs!$K$4:$AJ$4,0)))+SUMPRODUCT((Inputs!$E$5:$E$110=$B59)*Inputs!$F$5:$F$110*(((Inputs!$G$5:$G$110="moeda")+(Inputs!$G$5:$G$110="acoes"))*Inputs!$B$1+((Inputs!$G$5:$G$110&lt;&gt;"moeda")*(Inputs!$G$5:$G$110&lt;&gt;"acoes")))*INDEX(Inputs!$K$5:$AJ$110,0,MATCH(AD$2,Inputs!$K$4:$AJ$4,0)))))</f>
        <v>3496</v>
      </c>
      <c r="AE59" s="263" t="e">
        <f>IF(ISNA(MATCH(AE$2,Inputs!$K$4:$AJ$4,0)),NA(),IF(SUMPRODUCT((Inputs!$A$5:$A$110=$B59)*ISNUMBER(INDEX(Inputs!$K$5:$AJ$110,0,MATCH(AE$2,Inputs!$K$4:$AJ$4,0))))+SUMPRODUCT((Inputs!$C$5:$C$110=$B59)*ISNUMBER(INDEX(Inputs!$K$5:$AJ$110,0,MATCH(AE$2,Inputs!$K$4:$AJ$4,0))))+SUMPRODUCT((Inputs!$E$5:$E$110=$B59)*ISNUMBER(INDEX(Inputs!$K$5:$AJ$110,0,MATCH(AE$2,Inputs!$K$4:$AJ$4,0))))=0,NA(),SUMPRODUCT((Inputs!$A$5:$A$110=$B59)*Inputs!$B$5:$B$110*(((Inputs!$G$5:$G$110="moeda")+(Inputs!$G$5:$G$110="acoes"))*Inputs!$B$1+((Inputs!$G$5:$G$110&lt;&gt;"moeda")*(Inputs!$G$5:$G$110&lt;&gt;"acoes")))*INDEX(Inputs!$K$5:$AJ$110,0,MATCH(AE$2,Inputs!$K$4:$AJ$4,0)))+SUMPRODUCT((Inputs!$C$5:$C$110=$B59)*Inputs!$D$5:$D$110*(((Inputs!$G$5:$G$110="moeda")+(Inputs!$G$5:$G$110="acoes"))*Inputs!$B$1+((Inputs!$G$5:$G$110&lt;&gt;"moeda")*(Inputs!$G$5:$G$110&lt;&gt;"acoes")))*INDEX(Inputs!$K$5:$AJ$110,0,MATCH(AE$2,Inputs!$K$4:$AJ$4,0)))+SUMPRODUCT((Inputs!$E$5:$E$110=$B59)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59" s="263" t="e">
        <f>IF(ISNA(MATCH(AF$2,Inputs!$K$4:$AJ$4,0)),NA(),IF(SUMPRODUCT((Inputs!$A$5:$A$110=$B59)*ISNUMBER(INDEX(Inputs!$K$5:$AJ$110,0,MATCH(AF$2,Inputs!$K$4:$AJ$4,0))))+SUMPRODUCT((Inputs!$C$5:$C$110=$B59)*ISNUMBER(INDEX(Inputs!$K$5:$AJ$110,0,MATCH(AF$2,Inputs!$K$4:$AJ$4,0))))+SUMPRODUCT((Inputs!$E$5:$E$110=$B59)*ISNUMBER(INDEX(Inputs!$K$5:$AJ$110,0,MATCH(AF$2,Inputs!$K$4:$AJ$4,0))))=0,NA(),SUMPRODUCT((Inputs!$A$5:$A$110=$B59)*Inputs!$B$5:$B$110*(((Inputs!$G$5:$G$110="moeda")+(Inputs!$G$5:$G$110="acoes"))*Inputs!$B$1+((Inputs!$G$5:$G$110&lt;&gt;"moeda")*(Inputs!$G$5:$G$110&lt;&gt;"acoes")))*INDEX(Inputs!$K$5:$AJ$110,0,MATCH(AF$2,Inputs!$K$4:$AJ$4,0)))+SUMPRODUCT((Inputs!$C$5:$C$110=$B59)*Inputs!$D$5:$D$110*(((Inputs!$G$5:$G$110="moeda")+(Inputs!$G$5:$G$110="acoes"))*Inputs!$B$1+((Inputs!$G$5:$G$110&lt;&gt;"moeda")*(Inputs!$G$5:$G$110&lt;&gt;"acoes")))*INDEX(Inputs!$K$5:$AJ$110,0,MATCH(AF$2,Inputs!$K$4:$AJ$4,0)))+SUMPRODUCT((Inputs!$E$5:$E$110=$B59)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$110=$B59)*ISNUMBER(INDEX(Inputs!$K$5:$AJ$110,0,MATCH(AH$2,Inputs!$K$4:$AJ$4,0))))+SUMPRODUCT((Inputs!$C$5:$C$110=$B59)*ISNUMBER(INDEX(Inputs!$K$5:$AJ$110,0,MATCH(AH$2,Inputs!$K$4:$AJ$4,0))))+SUMPRODUCT((Inputs!$E$5:$E$110=$B59)*ISNUMBER(INDEX(Inputs!$K$5:$AJ$110,0,MATCH(AH$2,Inputs!$K$4:$AJ$4,0))))=0,NA(),SUMPRODUCT((Inputs!$A$5:$A$110=$B59)*Inputs!$B$5:$B$110*(((Inputs!$G$5:$G$110="moeda")+(Inputs!$G$5:$G$110="acoes"))*Inputs!$B$1+((Inputs!$G$5:$G$110&lt;&gt;"moeda")*(Inputs!$G$5:$G$110&lt;&gt;"acoes")))*INDEX(Inputs!$K$5:$AJ$110,0,MATCH(AH$2,Inputs!$K$4:$AJ$4,0)))+SUMPRODUCT((Inputs!$C$5:$C$110=$B59)*Inputs!$D$5:$D$110*(((Inputs!$G$5:$G$110="moeda")+(Inputs!$G$5:$G$110="acoes"))*Inputs!$B$1+((Inputs!$G$5:$G$110&lt;&gt;"moeda")*(Inputs!$G$5:$G$110&lt;&gt;"acoes")))*INDEX(Inputs!$K$5:$AJ$110,0,MATCH(AH$2,Inputs!$K$4:$AJ$4,0)))+SUMPRODUCT((Inputs!$E$5:$E$110=$B59)*Inputs!$F$5:$F$110*(((Inputs!$G$5:$G$110="moeda")+(Inputs!$G$5:$G$110="acoes"))*Inputs!$B$1+((Inputs!$G$5:$G$110&lt;&gt;"moeda")*(Inputs!$G$5:$G$110&lt;&gt;"acoes")))*INDEX(Inputs!$K$5:$AJ$110,0,MATCH(AH$2,Inputs!$K$4:$AJ$4,0)))))</f>
        <v>2917</v>
      </c>
      <c r="AI59" s="263">
        <f>IF(ISNA(MATCH(AI$2,Inputs!$K$4:$AJ$4,0)),NA(),IF(SUMPRODUCT((Inputs!$A$5:$A$110=$B59)*ISNUMBER(INDEX(Inputs!$K$5:$AJ$110,0,MATCH(AI$2,Inputs!$K$4:$AJ$4,0))))+SUMPRODUCT((Inputs!$C$5:$C$110=$B59)*ISNUMBER(INDEX(Inputs!$K$5:$AJ$110,0,MATCH(AI$2,Inputs!$K$4:$AJ$4,0))))+SUMPRODUCT((Inputs!$E$5:$E$110=$B59)*ISNUMBER(INDEX(Inputs!$K$5:$AJ$110,0,MATCH(AI$2,Inputs!$K$4:$AJ$4,0))))=0,NA(),SUMPRODUCT((Inputs!$A$5:$A$110=$B59)*Inputs!$B$5:$B$110*(((Inputs!$G$5:$G$110="moeda")+(Inputs!$G$5:$G$110="acoes"))*Inputs!$B$1+((Inputs!$G$5:$G$110&lt;&gt;"moeda")*(Inputs!$G$5:$G$110&lt;&gt;"acoes")))*INDEX(Inputs!$K$5:$AJ$110,0,MATCH(AI$2,Inputs!$K$4:$AJ$4,0)))+SUMPRODUCT((Inputs!$C$5:$C$110=$B59)*Inputs!$D$5:$D$110*(((Inputs!$G$5:$G$110="moeda")+(Inputs!$G$5:$G$110="acoes"))*Inputs!$B$1+((Inputs!$G$5:$G$110&lt;&gt;"moeda")*(Inputs!$G$5:$G$110&lt;&gt;"acoes")))*INDEX(Inputs!$K$5:$AJ$110,0,MATCH(AI$2,Inputs!$K$4:$AJ$4,0)))+SUMPRODUCT((Inputs!$E$5:$E$110=$B59)*Inputs!$F$5:$F$110*(((Inputs!$G$5:$G$110="moeda")+(Inputs!$G$5:$G$110="acoes"))*Inputs!$B$1+((Inputs!$G$5:$G$110&lt;&gt;"moeda")*(Inputs!$G$5:$G$110&lt;&gt;"acoes")))*INDEX(Inputs!$K$5:$AJ$110,0,MATCH(AI$2,Inputs!$K$4:$AJ$4,0)))))</f>
        <v>2877</v>
      </c>
      <c r="AJ59" s="263">
        <f>IF(ISNA(MATCH(AJ$2,Inputs!$K$4:$AJ$4,0)),NA(),IF(SUMPRODUCT((Inputs!$A$5:$A$110=$B59)*ISNUMBER(INDEX(Inputs!$K$5:$AJ$110,0,MATCH(AJ$2,Inputs!$K$4:$AJ$4,0))))+SUMPRODUCT((Inputs!$C$5:$C$110=$B59)*ISNUMBER(INDEX(Inputs!$K$5:$AJ$110,0,MATCH(AJ$2,Inputs!$K$4:$AJ$4,0))))+SUMPRODUCT((Inputs!$E$5:$E$110=$B59)*ISNUMBER(INDEX(Inputs!$K$5:$AJ$110,0,MATCH(AJ$2,Inputs!$K$4:$AJ$4,0))))=0,NA(),SUMPRODUCT((Inputs!$A$5:$A$110=$B59)*Inputs!$B$5:$B$110*(((Inputs!$G$5:$G$110="moeda")+(Inputs!$G$5:$G$110="acoes"))*Inputs!$B$1+((Inputs!$G$5:$G$110&lt;&gt;"moeda")*(Inputs!$G$5:$G$110&lt;&gt;"acoes")))*INDEX(Inputs!$K$5:$AJ$110,0,MATCH(AJ$2,Inputs!$K$4:$AJ$4,0)))+SUMPRODUCT((Inputs!$C$5:$C$110=$B59)*Inputs!$D$5:$D$110*(((Inputs!$G$5:$G$110="moeda")+(Inputs!$G$5:$G$110="acoes"))*Inputs!$B$1+((Inputs!$G$5:$G$110&lt;&gt;"moeda")*(Inputs!$G$5:$G$110&lt;&gt;"acoes")))*INDEX(Inputs!$K$5:$AJ$110,0,MATCH(AJ$2,Inputs!$K$4:$AJ$4,0)))+SUMPRODUCT((Inputs!$E$5:$E$110=$B59)*Inputs!$F$5:$F$110*(((Inputs!$G$5:$G$110="moeda")+(Inputs!$G$5:$G$110="acoes"))*Inputs!$B$1+((Inputs!$G$5:$G$110&lt;&gt;"moeda")*(Inputs!$G$5:$G$110&lt;&gt;"acoes")))*INDEX(Inputs!$K$5:$AJ$110,0,MATCH(AJ$2,Inputs!$K$4:$AJ$4,0)))))</f>
        <v>2846</v>
      </c>
      <c r="AK59" s="263">
        <f>IF(ISNA(MATCH(AK$2,Inputs!$K$4:$AJ$4,0)),NA(),IF(SUMPRODUCT((Inputs!$A$5:$A$110=$B59)*ISNUMBER(INDEX(Inputs!$K$5:$AJ$110,0,MATCH(AK$2,Inputs!$K$4:$AJ$4,0))))+SUMPRODUCT((Inputs!$C$5:$C$110=$B59)*ISNUMBER(INDEX(Inputs!$K$5:$AJ$110,0,MATCH(AK$2,Inputs!$K$4:$AJ$4,0))))+SUMPRODUCT((Inputs!$E$5:$E$110=$B59)*ISNUMBER(INDEX(Inputs!$K$5:$AJ$110,0,MATCH(AK$2,Inputs!$K$4:$AJ$4,0))))=0,NA(),SUMPRODUCT((Inputs!$A$5:$A$110=$B59)*Inputs!$B$5:$B$110*(((Inputs!$G$5:$G$110="moeda")+(Inputs!$G$5:$G$110="acoes"))*Inputs!$B$1+((Inputs!$G$5:$G$110&lt;&gt;"moeda")*(Inputs!$G$5:$G$110&lt;&gt;"acoes")))*INDEX(Inputs!$K$5:$AJ$110,0,MATCH(AK$2,Inputs!$K$4:$AJ$4,0)))+SUMPRODUCT((Inputs!$C$5:$C$110=$B59)*Inputs!$D$5:$D$110*(((Inputs!$G$5:$G$110="moeda")+(Inputs!$G$5:$G$110="acoes"))*Inputs!$B$1+((Inputs!$G$5:$G$110&lt;&gt;"moeda")*(Inputs!$G$5:$G$110&lt;&gt;"acoes")))*INDEX(Inputs!$K$5:$AJ$110,0,MATCH(AK$2,Inputs!$K$4:$AJ$4,0)))+SUMPRODUCT((Inputs!$E$5:$E$110=$B59)*Inputs!$F$5:$F$110*(((Inputs!$G$5:$G$110="moeda")+(Inputs!$G$5:$G$110="acoes"))*Inputs!$B$1+((Inputs!$G$5:$G$110&lt;&gt;"moeda")*(Inputs!$G$5:$G$110&lt;&gt;"acoes")))*INDEX(Inputs!$K$5:$AJ$110,0,MATCH(AK$2,Inputs!$K$4:$AJ$4,0)))))</f>
        <v>3240</v>
      </c>
      <c r="AL59" s="264">
        <f>SUM(AH59:AK59)</f>
        <v>11880</v>
      </c>
    </row>
    <row r="60">
      <c r="B60" s="46" t="n">
        <v>52</v>
      </c>
      <c r="C60" s="29" t="inlineStr">
        <is>
          <t>Space - lucro do segmento (USD)</t>
        </is>
      </c>
      <c r="D60" s="263">
        <f>IF(ISNA(MATCH(D$2,Inputs!$K$4:$AJ$4,0)),NA(),IF(SUMPRODUCT((Inputs!$A$5:$A$110=$B60)*ISNUMBER(INDEX(Inputs!$K$5:$AJ$110,0,MATCH(D$2,Inputs!$K$4:$AJ$4,0))))+SUMPRODUCT((Inputs!$C$5:$C$110=$B60)*ISNUMBER(INDEX(Inputs!$K$5:$AJ$110,0,MATCH(D$2,Inputs!$K$4:$AJ$4,0))))+SUMPRODUCT((Inputs!$E$5:$E$110=$B60)*ISNUMBER(INDEX(Inputs!$K$5:$AJ$110,0,MATCH(D$2,Inputs!$K$4:$AJ$4,0))))=0,NA(),SUMPRODUCT((Inputs!$A$5:$A$110=$B60)*Inputs!$B$5:$B$110*(((Inputs!$G$5:$G$110="moeda")+(Inputs!$G$5:$G$110="acoes"))*Inputs!$B$1+((Inputs!$G$5:$G$110&lt;&gt;"moeda")*(Inputs!$G$5:$G$110&lt;&gt;"acoes")))*INDEX(Inputs!$K$5:$AJ$110,0,MATCH(D$2,Inputs!$K$4:$AJ$4,0)))+SUMPRODUCT((Inputs!$C$5:$C$110=$B60)*Inputs!$D$5:$D$110*(((Inputs!$G$5:$G$110="moeda")+(Inputs!$G$5:$G$110="acoes"))*Inputs!$B$1+((Inputs!$G$5:$G$110&lt;&gt;"moeda")*(Inputs!$G$5:$G$110&lt;&gt;"acoes")))*INDEX(Inputs!$K$5:$AJ$110,0,MATCH(D$2,Inputs!$K$4:$AJ$4,0)))+SUMPRODUCT((Inputs!$E$5:$E$110=$B60)*Inputs!$F$5:$F$110*(((Inputs!$G$5:$G$110="moeda")+(Inputs!$G$5:$G$110="acoes"))*Inputs!$B$1+((Inputs!$G$5:$G$110&lt;&gt;"moeda")*(Inputs!$G$5:$G$110&lt;&gt;"acoes")))*INDEX(Inputs!$K$5:$AJ$110,0,MATCH(D$2,Inputs!$K$4:$AJ$4,0)))))</f>
        <v>227</v>
      </c>
      <c r="E60" s="263">
        <f>IF(ISNA(MATCH(E$2,Inputs!$K$4:$AJ$4,0)),NA(),IF(SUMPRODUCT((Inputs!$A$5:$A$110=$B60)*ISNUMBER(INDEX(Inputs!$K$5:$AJ$110,0,MATCH(E$2,Inputs!$K$4:$AJ$4,0))))+SUMPRODUCT((Inputs!$C$5:$C$110=$B60)*ISNUMBER(INDEX(Inputs!$K$5:$AJ$110,0,MATCH(E$2,Inputs!$K$4:$AJ$4,0))))+SUMPRODUCT((Inputs!$E$5:$E$110=$B60)*ISNUMBER(INDEX(Inputs!$K$5:$AJ$110,0,MATCH(E$2,Inputs!$K$4:$AJ$4,0))))=0,NA(),SUMPRODUCT((Inputs!$A$5:$A$110=$B60)*Inputs!$B$5:$B$110*(((Inputs!$G$5:$G$110="moeda")+(Inputs!$G$5:$G$110="acoes"))*Inputs!$B$1+((Inputs!$G$5:$G$110&lt;&gt;"moeda")*(Inputs!$G$5:$G$110&lt;&gt;"acoes")))*INDEX(Inputs!$K$5:$AJ$110,0,MATCH(E$2,Inputs!$K$4:$AJ$4,0)))+SUMPRODUCT((Inputs!$C$5:$C$110=$B60)*Inputs!$D$5:$D$110*(((Inputs!$G$5:$G$110="moeda")+(Inputs!$G$5:$G$110="acoes"))*Inputs!$B$1+((Inputs!$G$5:$G$110&lt;&gt;"moeda")*(Inputs!$G$5:$G$110&lt;&gt;"acoes")))*INDEX(Inputs!$K$5:$AJ$110,0,MATCH(E$2,Inputs!$K$4:$AJ$4,0)))+SUMPRODUCT((Inputs!$E$5:$E$110=$B60)*Inputs!$F$5:$F$110*(((Inputs!$G$5:$G$110="moeda")+(Inputs!$G$5:$G$110="acoes"))*Inputs!$B$1+((Inputs!$G$5:$G$110&lt;&gt;"moeda")*(Inputs!$G$5:$G$110&lt;&gt;"acoes")))*INDEX(Inputs!$K$5:$AJ$110,0,MATCH(E$2,Inputs!$K$4:$AJ$4,0)))))</f>
        <v>335</v>
      </c>
      <c r="F60" s="263">
        <f>IF(ISNA(MATCH(F$2,Inputs!$K$4:$AJ$4,0)),NA(),IF(SUMPRODUCT((Inputs!$A$5:$A$110=$B60)*ISNUMBER(INDEX(Inputs!$K$5:$AJ$110,0,MATCH(F$2,Inputs!$K$4:$AJ$4,0))))+SUMPRODUCT((Inputs!$C$5:$C$110=$B60)*ISNUMBER(INDEX(Inputs!$K$5:$AJ$110,0,MATCH(F$2,Inputs!$K$4:$AJ$4,0))))+SUMPRODUCT((Inputs!$E$5:$E$110=$B60)*ISNUMBER(INDEX(Inputs!$K$5:$AJ$110,0,MATCH(F$2,Inputs!$K$4:$AJ$4,0))))=0,NA(),SUMPRODUCT((Inputs!$A$5:$A$110=$B60)*Inputs!$B$5:$B$110*(((Inputs!$G$5:$G$110="moeda")+(Inputs!$G$5:$G$110="acoes"))*Inputs!$B$1+((Inputs!$G$5:$G$110&lt;&gt;"moeda")*(Inputs!$G$5:$G$110&lt;&gt;"acoes")))*INDEX(Inputs!$K$5:$AJ$110,0,MATCH(F$2,Inputs!$K$4:$AJ$4,0)))+SUMPRODUCT((Inputs!$C$5:$C$110=$B60)*Inputs!$D$5:$D$110*(((Inputs!$G$5:$G$110="moeda")+(Inputs!$G$5:$G$110="acoes"))*Inputs!$B$1+((Inputs!$G$5:$G$110&lt;&gt;"moeda")*(Inputs!$G$5:$G$110&lt;&gt;"acoes")))*INDEX(Inputs!$K$5:$AJ$110,0,MATCH(F$2,Inputs!$K$4:$AJ$4,0)))+SUMPRODUCT((Inputs!$E$5:$E$110=$B60)*Inputs!$F$5:$F$110*(((Inputs!$G$5:$G$110="moeda")+(Inputs!$G$5:$G$110="acoes"))*Inputs!$B$1+((Inputs!$G$5:$G$110&lt;&gt;"moeda")*(Inputs!$G$5:$G$110&lt;&gt;"acoes")))*INDEX(Inputs!$K$5:$AJ$110,0,MATCH(F$2,Inputs!$K$4:$AJ$4,0)))))</f>
        <v>264</v>
      </c>
      <c r="G60" s="263">
        <f>IF(ISNA(MATCH(G$2,Inputs!$K$4:$AJ$4,0)),NA(),IF(SUMPRODUCT((Inputs!$A$5:$A$110=$B60)*ISNUMBER(INDEX(Inputs!$K$5:$AJ$110,0,MATCH(G$2,Inputs!$K$4:$AJ$4,0))))+SUMPRODUCT((Inputs!$C$5:$C$110=$B60)*ISNUMBER(INDEX(Inputs!$K$5:$AJ$110,0,MATCH(G$2,Inputs!$K$4:$AJ$4,0))))+SUMPRODUCT((Inputs!$E$5:$E$110=$B60)*ISNUMBER(INDEX(Inputs!$K$5:$AJ$110,0,MATCH(G$2,Inputs!$K$4:$AJ$4,0))))=0,NA(),SUMPRODUCT((Inputs!$A$5:$A$110=$B60)*Inputs!$B$5:$B$110*(((Inputs!$G$5:$G$110="moeda")+(Inputs!$G$5:$G$110="acoes"))*Inputs!$B$1+((Inputs!$G$5:$G$110&lt;&gt;"moeda")*(Inputs!$G$5:$G$110&lt;&gt;"acoes")))*INDEX(Inputs!$K$5:$AJ$110,0,MATCH(G$2,Inputs!$K$4:$AJ$4,0)))+SUMPRODUCT((Inputs!$C$5:$C$110=$B60)*Inputs!$D$5:$D$110*(((Inputs!$G$5:$G$110="moeda")+(Inputs!$G$5:$G$110="acoes"))*Inputs!$B$1+((Inputs!$G$5:$G$110&lt;&gt;"moeda")*(Inputs!$G$5:$G$110&lt;&gt;"acoes")))*INDEX(Inputs!$K$5:$AJ$110,0,MATCH(G$2,Inputs!$K$4:$AJ$4,0)))+SUMPRODUCT((Inputs!$E$5:$E$110=$B60)*Inputs!$F$5:$F$110*(((Inputs!$G$5:$G$110="moeda")+(Inputs!$G$5:$G$110="acoes"))*Inputs!$B$1+((Inputs!$G$5:$G$110&lt;&gt;"moeda")*(Inputs!$G$5:$G$110&lt;&gt;"acoes")))*INDEX(Inputs!$K$5:$AJ$110,0,MATCH(G$2,Inputs!$K$4:$AJ$4,0)))))</f>
        <v>308</v>
      </c>
      <c r="H60" s="264">
        <f>SUM(D60:G60)</f>
        <v>1134</v>
      </c>
      <c r="I60" s="263">
        <f>IF(ISNA(MATCH(I$2,Inputs!$K$4:$AJ$4,0)),NA(),IF(SUMPRODUCT((Inputs!$A$5:$A$110=$B60)*ISNUMBER(INDEX(Inputs!$K$5:$AJ$110,0,MATCH(I$2,Inputs!$K$4:$AJ$4,0))))+SUMPRODUCT((Inputs!$C$5:$C$110=$B60)*ISNUMBER(INDEX(Inputs!$K$5:$AJ$110,0,MATCH(I$2,Inputs!$K$4:$AJ$4,0))))+SUMPRODUCT((Inputs!$E$5:$E$110=$B60)*ISNUMBER(INDEX(Inputs!$K$5:$AJ$110,0,MATCH(I$2,Inputs!$K$4:$AJ$4,0))))=0,NA(),SUMPRODUCT((Inputs!$A$5:$A$110=$B60)*Inputs!$B$5:$B$110*(((Inputs!$G$5:$G$110="moeda")+(Inputs!$G$5:$G$110="acoes"))*Inputs!$B$1+((Inputs!$G$5:$G$110&lt;&gt;"moeda")*(Inputs!$G$5:$G$110&lt;&gt;"acoes")))*INDEX(Inputs!$K$5:$AJ$110,0,MATCH(I$2,Inputs!$K$4:$AJ$4,0)))+SUMPRODUCT((Inputs!$C$5:$C$110=$B60)*Inputs!$D$5:$D$110*(((Inputs!$G$5:$G$110="moeda")+(Inputs!$G$5:$G$110="acoes"))*Inputs!$B$1+((Inputs!$G$5:$G$110&lt;&gt;"moeda")*(Inputs!$G$5:$G$110&lt;&gt;"acoes")))*INDEX(Inputs!$K$5:$AJ$110,0,MATCH(I$2,Inputs!$K$4:$AJ$4,0)))+SUMPRODUCT((Inputs!$E$5:$E$110=$B60)*Inputs!$F$5:$F$110*(((Inputs!$G$5:$G$110="moeda")+(Inputs!$G$5:$G$110="acoes"))*Inputs!$B$1+((Inputs!$G$5:$G$110&lt;&gt;"moeda")*(Inputs!$G$5:$G$110&lt;&gt;"acoes")))*INDEX(Inputs!$K$5:$AJ$110,0,MATCH(I$2,Inputs!$K$4:$AJ$4,0)))))</f>
        <v>248</v>
      </c>
      <c r="J60" s="263">
        <f>IF(ISNA(MATCH(J$2,Inputs!$K$4:$AJ$4,0)),NA(),IF(SUMPRODUCT((Inputs!$A$5:$A$110=$B60)*ISNUMBER(INDEX(Inputs!$K$5:$AJ$110,0,MATCH(J$2,Inputs!$K$4:$AJ$4,0))))+SUMPRODUCT((Inputs!$C$5:$C$110=$B60)*ISNUMBER(INDEX(Inputs!$K$5:$AJ$110,0,MATCH(J$2,Inputs!$K$4:$AJ$4,0))))+SUMPRODUCT((Inputs!$E$5:$E$110=$B60)*ISNUMBER(INDEX(Inputs!$K$5:$AJ$110,0,MATCH(J$2,Inputs!$K$4:$AJ$4,0))))=0,NA(),SUMPRODUCT((Inputs!$A$5:$A$110=$B60)*Inputs!$B$5:$B$110*(((Inputs!$G$5:$G$110="moeda")+(Inputs!$G$5:$G$110="acoes"))*Inputs!$B$1+((Inputs!$G$5:$G$110&lt;&gt;"moeda")*(Inputs!$G$5:$G$110&lt;&gt;"acoes")))*INDEX(Inputs!$K$5:$AJ$110,0,MATCH(J$2,Inputs!$K$4:$AJ$4,0)))+SUMPRODUCT((Inputs!$C$5:$C$110=$B60)*Inputs!$D$5:$D$110*(((Inputs!$G$5:$G$110="moeda")+(Inputs!$G$5:$G$110="acoes"))*Inputs!$B$1+((Inputs!$G$5:$G$110&lt;&gt;"moeda")*(Inputs!$G$5:$G$110&lt;&gt;"acoes")))*INDEX(Inputs!$K$5:$AJ$110,0,MATCH(J$2,Inputs!$K$4:$AJ$4,0)))+SUMPRODUCT((Inputs!$E$5:$E$110=$B60)*Inputs!$F$5:$F$110*(((Inputs!$G$5:$G$110="moeda")+(Inputs!$G$5:$G$110="acoes"))*Inputs!$B$1+((Inputs!$G$5:$G$110&lt;&gt;"moeda")*(Inputs!$G$5:$G$110&lt;&gt;"acoes")))*INDEX(Inputs!$K$5:$AJ$110,0,MATCH(J$2,Inputs!$K$4:$AJ$4,0)))))</f>
        <v>271</v>
      </c>
      <c r="K60" s="263">
        <f>IF(ISNA(MATCH(K$2,Inputs!$K$4:$AJ$4,0)),NA(),IF(SUMPRODUCT((Inputs!$A$5:$A$110=$B60)*ISNUMBER(INDEX(Inputs!$K$5:$AJ$110,0,MATCH(K$2,Inputs!$K$4:$AJ$4,0))))+SUMPRODUCT((Inputs!$C$5:$C$110=$B60)*ISNUMBER(INDEX(Inputs!$K$5:$AJ$110,0,MATCH(K$2,Inputs!$K$4:$AJ$4,0))))+SUMPRODUCT((Inputs!$E$5:$E$110=$B60)*ISNUMBER(INDEX(Inputs!$K$5:$AJ$110,0,MATCH(K$2,Inputs!$K$4:$AJ$4,0))))=0,NA(),SUMPRODUCT((Inputs!$A$5:$A$110=$B60)*Inputs!$B$5:$B$110*(((Inputs!$G$5:$G$110="moeda")+(Inputs!$G$5:$G$110="acoes"))*Inputs!$B$1+((Inputs!$G$5:$G$110&lt;&gt;"moeda")*(Inputs!$G$5:$G$110&lt;&gt;"acoes")))*INDEX(Inputs!$K$5:$AJ$110,0,MATCH(K$2,Inputs!$K$4:$AJ$4,0)))+SUMPRODUCT((Inputs!$C$5:$C$110=$B60)*Inputs!$D$5:$D$110*(((Inputs!$G$5:$G$110="moeda")+(Inputs!$G$5:$G$110="acoes"))*Inputs!$B$1+((Inputs!$G$5:$G$110&lt;&gt;"moeda")*(Inputs!$G$5:$G$110&lt;&gt;"acoes")))*INDEX(Inputs!$K$5:$AJ$110,0,MATCH(K$2,Inputs!$K$4:$AJ$4,0)))+SUMPRODUCT((Inputs!$E$5:$E$110=$B60)*Inputs!$F$5:$F$110*(((Inputs!$G$5:$G$110="moeda")+(Inputs!$G$5:$G$110="acoes"))*Inputs!$B$1+((Inputs!$G$5:$G$110&lt;&gt;"moeda")*(Inputs!$G$5:$G$110&lt;&gt;"acoes")))*INDEX(Inputs!$K$5:$AJ$110,0,MATCH(K$2,Inputs!$K$4:$AJ$4,0)))))</f>
        <v>304</v>
      </c>
      <c r="L60" s="263">
        <f>IF(ISNA(MATCH(L$2,Inputs!$K$4:$AJ$4,0)),NA(),IF(SUMPRODUCT((Inputs!$A$5:$A$110=$B60)*ISNUMBER(INDEX(Inputs!$K$5:$AJ$110,0,MATCH(L$2,Inputs!$K$4:$AJ$4,0))))+SUMPRODUCT((Inputs!$C$5:$C$110=$B60)*ISNUMBER(INDEX(Inputs!$K$5:$AJ$110,0,MATCH(L$2,Inputs!$K$4:$AJ$4,0))))+SUMPRODUCT((Inputs!$E$5:$E$110=$B60)*ISNUMBER(INDEX(Inputs!$K$5:$AJ$110,0,MATCH(L$2,Inputs!$K$4:$AJ$4,0))))=0,NA(),SUMPRODUCT((Inputs!$A$5:$A$110=$B60)*Inputs!$B$5:$B$110*(((Inputs!$G$5:$G$110="moeda")+(Inputs!$G$5:$G$110="acoes"))*Inputs!$B$1+((Inputs!$G$5:$G$110&lt;&gt;"moeda")*(Inputs!$G$5:$G$110&lt;&gt;"acoes")))*INDEX(Inputs!$K$5:$AJ$110,0,MATCH(L$2,Inputs!$K$4:$AJ$4,0)))+SUMPRODUCT((Inputs!$C$5:$C$110=$B60)*Inputs!$D$5:$D$110*(((Inputs!$G$5:$G$110="moeda")+(Inputs!$G$5:$G$110="acoes"))*Inputs!$B$1+((Inputs!$G$5:$G$110&lt;&gt;"moeda")*(Inputs!$G$5:$G$110&lt;&gt;"acoes")))*INDEX(Inputs!$K$5:$AJ$110,0,MATCH(L$2,Inputs!$K$4:$AJ$4,0)))+SUMPRODUCT((Inputs!$E$5:$E$110=$B60)*Inputs!$F$5:$F$110*(((Inputs!$G$5:$G$110="moeda")+(Inputs!$G$5:$G$110="acoes"))*Inputs!$B$1+((Inputs!$G$5:$G$110&lt;&gt;"moeda")*(Inputs!$G$5:$G$110&lt;&gt;"acoes")))*INDEX(Inputs!$K$5:$AJ$110,0,MATCH(L$2,Inputs!$K$4:$AJ$4,0)))))</f>
        <v>231</v>
      </c>
      <c r="M60" s="264">
        <f>SUM(I60:L60)</f>
        <v>1054</v>
      </c>
      <c r="N60" s="263">
        <f>IF(ISNA(MATCH(N$2,Inputs!$K$4:$AJ$4,0)),NA(),IF(SUMPRODUCT((Inputs!$A$5:$A$110=$B60)*ISNUMBER(INDEX(Inputs!$K$5:$AJ$110,0,MATCH(N$2,Inputs!$K$4:$AJ$4,0))))+SUMPRODUCT((Inputs!$C$5:$C$110=$B60)*ISNUMBER(INDEX(Inputs!$K$5:$AJ$110,0,MATCH(N$2,Inputs!$K$4:$AJ$4,0))))+SUMPRODUCT((Inputs!$E$5:$E$110=$B60)*ISNUMBER(INDEX(Inputs!$K$5:$AJ$110,0,MATCH(N$2,Inputs!$K$4:$AJ$4,0))))=0,NA(),SUMPRODUCT((Inputs!$A$5:$A$110=$B60)*Inputs!$B$5:$B$110*(((Inputs!$G$5:$G$110="moeda")+(Inputs!$G$5:$G$110="acoes"))*Inputs!$B$1+((Inputs!$G$5:$G$110&lt;&gt;"moeda")*(Inputs!$G$5:$G$110&lt;&gt;"acoes")))*INDEX(Inputs!$K$5:$AJ$110,0,MATCH(N$2,Inputs!$K$4:$AJ$4,0)))+SUMPRODUCT((Inputs!$C$5:$C$110=$B60)*Inputs!$D$5:$D$110*(((Inputs!$G$5:$G$110="moeda")+(Inputs!$G$5:$G$110="acoes"))*Inputs!$B$1+((Inputs!$G$5:$G$110&lt;&gt;"moeda")*(Inputs!$G$5:$G$110&lt;&gt;"acoes")))*INDEX(Inputs!$K$5:$AJ$110,0,MATCH(N$2,Inputs!$K$4:$AJ$4,0)))+SUMPRODUCT((Inputs!$E$5:$E$110=$B60)*Inputs!$F$5:$F$110*(((Inputs!$G$5:$G$110="moeda")+(Inputs!$G$5:$G$110="acoes"))*Inputs!$B$1+((Inputs!$G$5:$G$110&lt;&gt;"moeda")*(Inputs!$G$5:$G$110&lt;&gt;"acoes")))*INDEX(Inputs!$K$5:$AJ$110,0,MATCH(N$2,Inputs!$K$4:$AJ$4,0)))))</f>
        <v>280</v>
      </c>
      <c r="O60" s="263">
        <f>IF(ISNA(MATCH(O$2,Inputs!$K$4:$AJ$4,0)),NA(),IF(SUMPRODUCT((Inputs!$A$5:$A$110=$B60)*ISNUMBER(INDEX(Inputs!$K$5:$AJ$110,0,MATCH(O$2,Inputs!$K$4:$AJ$4,0))))+SUMPRODUCT((Inputs!$C$5:$C$110=$B60)*ISNUMBER(INDEX(Inputs!$K$5:$AJ$110,0,MATCH(O$2,Inputs!$K$4:$AJ$4,0))))+SUMPRODUCT((Inputs!$E$5:$E$110=$B60)*ISNUMBER(INDEX(Inputs!$K$5:$AJ$110,0,MATCH(O$2,Inputs!$K$4:$AJ$4,0))))=0,NA(),SUMPRODUCT((Inputs!$A$5:$A$110=$B60)*Inputs!$B$5:$B$110*(((Inputs!$G$5:$G$110="moeda")+(Inputs!$G$5:$G$110="acoes"))*Inputs!$B$1+((Inputs!$G$5:$G$110&lt;&gt;"moeda")*(Inputs!$G$5:$G$110&lt;&gt;"acoes")))*INDEX(Inputs!$K$5:$AJ$110,0,MATCH(O$2,Inputs!$K$4:$AJ$4,0)))+SUMPRODUCT((Inputs!$C$5:$C$110=$B60)*Inputs!$D$5:$D$110*(((Inputs!$G$5:$G$110="moeda")+(Inputs!$G$5:$G$110="acoes"))*Inputs!$B$1+((Inputs!$G$5:$G$110&lt;&gt;"moeda")*(Inputs!$G$5:$G$110&lt;&gt;"acoes")))*INDEX(Inputs!$K$5:$AJ$110,0,MATCH(O$2,Inputs!$K$4:$AJ$4,0)))+SUMPRODUCT((Inputs!$E$5:$E$110=$B60)*Inputs!$F$5:$F$110*(((Inputs!$G$5:$G$110="moeda")+(Inputs!$G$5:$G$110="acoes"))*Inputs!$B$1+((Inputs!$G$5:$G$110&lt;&gt;"moeda")*(Inputs!$G$5:$G$110&lt;&gt;"acoes")))*INDEX(Inputs!$K$5:$AJ$110,0,MATCH(O$2,Inputs!$K$4:$AJ$4,0)))))</f>
        <v>312</v>
      </c>
      <c r="P60" s="263">
        <f>IF(ISNA(MATCH(P$2,Inputs!$K$4:$AJ$4,0)),NA(),IF(SUMPRODUCT((Inputs!$A$5:$A$110=$B60)*ISNUMBER(INDEX(Inputs!$K$5:$AJ$110,0,MATCH(P$2,Inputs!$K$4:$AJ$4,0))))+SUMPRODUCT((Inputs!$C$5:$C$110=$B60)*ISNUMBER(INDEX(Inputs!$K$5:$AJ$110,0,MATCH(P$2,Inputs!$K$4:$AJ$4,0))))+SUMPRODUCT((Inputs!$E$5:$E$110=$B60)*ISNUMBER(INDEX(Inputs!$K$5:$AJ$110,0,MATCH(P$2,Inputs!$K$4:$AJ$4,0))))=0,NA(),SUMPRODUCT((Inputs!$A$5:$A$110=$B60)*Inputs!$B$5:$B$110*(((Inputs!$G$5:$G$110="moeda")+(Inputs!$G$5:$G$110="acoes"))*Inputs!$B$1+((Inputs!$G$5:$G$110&lt;&gt;"moeda")*(Inputs!$G$5:$G$110&lt;&gt;"acoes")))*INDEX(Inputs!$K$5:$AJ$110,0,MATCH(P$2,Inputs!$K$4:$AJ$4,0)))+SUMPRODUCT((Inputs!$C$5:$C$110=$B60)*Inputs!$D$5:$D$110*(((Inputs!$G$5:$G$110="moeda")+(Inputs!$G$5:$G$110="acoes"))*Inputs!$B$1+((Inputs!$G$5:$G$110&lt;&gt;"moeda")*(Inputs!$G$5:$G$110&lt;&gt;"acoes")))*INDEX(Inputs!$K$5:$AJ$110,0,MATCH(P$2,Inputs!$K$4:$AJ$4,0)))+SUMPRODUCT((Inputs!$E$5:$E$110=$B60)*Inputs!$F$5:$F$110*(((Inputs!$G$5:$G$110="moeda")+(Inputs!$G$5:$G$110="acoes"))*Inputs!$B$1+((Inputs!$G$5:$G$110&lt;&gt;"moeda")*(Inputs!$G$5:$G$110&lt;&gt;"acoes")))*INDEX(Inputs!$K$5:$AJ$110,0,MATCH(P$2,Inputs!$K$4:$AJ$4,0)))))</f>
        <v>259</v>
      </c>
      <c r="Q60" s="263">
        <f>IF(ISNA(MATCH(Q$2,Inputs!$K$4:$AJ$4,0)),NA(),IF(SUMPRODUCT((Inputs!$A$5:$A$110=$B60)*ISNUMBER(INDEX(Inputs!$K$5:$AJ$110,0,MATCH(Q$2,Inputs!$K$4:$AJ$4,0))))+SUMPRODUCT((Inputs!$C$5:$C$110=$B60)*ISNUMBER(INDEX(Inputs!$K$5:$AJ$110,0,MATCH(Q$2,Inputs!$K$4:$AJ$4,0))))+SUMPRODUCT((Inputs!$E$5:$E$110=$B60)*ISNUMBER(INDEX(Inputs!$K$5:$AJ$110,0,MATCH(Q$2,Inputs!$K$4:$AJ$4,0))))=0,NA(),SUMPRODUCT((Inputs!$A$5:$A$110=$B60)*Inputs!$B$5:$B$110*(((Inputs!$G$5:$G$110="moeda")+(Inputs!$G$5:$G$110="acoes"))*Inputs!$B$1+((Inputs!$G$5:$G$110&lt;&gt;"moeda")*(Inputs!$G$5:$G$110&lt;&gt;"acoes")))*INDEX(Inputs!$K$5:$AJ$110,0,MATCH(Q$2,Inputs!$K$4:$AJ$4,0)))+SUMPRODUCT((Inputs!$C$5:$C$110=$B60)*Inputs!$D$5:$D$110*(((Inputs!$G$5:$G$110="moeda")+(Inputs!$G$5:$G$110="acoes"))*Inputs!$B$1+((Inputs!$G$5:$G$110&lt;&gt;"moeda")*(Inputs!$G$5:$G$110&lt;&gt;"acoes")))*INDEX(Inputs!$K$5:$AJ$110,0,MATCH(Q$2,Inputs!$K$4:$AJ$4,0)))+SUMPRODUCT((Inputs!$E$5:$E$110=$B60)*Inputs!$F$5:$F$110*(((Inputs!$G$5:$G$110="moeda")+(Inputs!$G$5:$G$110="acoes"))*Inputs!$B$1+((Inputs!$G$5:$G$110&lt;&gt;"moeda")*(Inputs!$G$5:$G$110&lt;&gt;"acoes")))*INDEX(Inputs!$K$5:$AJ$110,0,MATCH(Q$2,Inputs!$K$4:$AJ$4,0)))))</f>
        <v>307</v>
      </c>
      <c r="R60" s="264">
        <f>SUM(N60:Q60)</f>
        <v>1158</v>
      </c>
      <c r="S60" s="263">
        <f>IF(ISNA(MATCH(S$2,Inputs!$K$4:$AJ$4,0)),NA(),IF(SUMPRODUCT((Inputs!$A$5:$A$110=$B60)*ISNUMBER(INDEX(Inputs!$K$5:$AJ$110,0,MATCH(S$2,Inputs!$K$4:$AJ$4,0))))+SUMPRODUCT((Inputs!$C$5:$C$110=$B60)*ISNUMBER(INDEX(Inputs!$K$5:$AJ$110,0,MATCH(S$2,Inputs!$K$4:$AJ$4,0))))+SUMPRODUCT((Inputs!$E$5:$E$110=$B60)*ISNUMBER(INDEX(Inputs!$K$5:$AJ$110,0,MATCH(S$2,Inputs!$K$4:$AJ$4,0))))=0,NA(),SUMPRODUCT((Inputs!$A$5:$A$110=$B60)*Inputs!$B$5:$B$110*(((Inputs!$G$5:$G$110="moeda")+(Inputs!$G$5:$G$110="acoes"))*Inputs!$B$1+((Inputs!$G$5:$G$110&lt;&gt;"moeda")*(Inputs!$G$5:$G$110&lt;&gt;"acoes")))*INDEX(Inputs!$K$5:$AJ$110,0,MATCH(S$2,Inputs!$K$4:$AJ$4,0)))+SUMPRODUCT((Inputs!$C$5:$C$110=$B60)*Inputs!$D$5:$D$110*(((Inputs!$G$5:$G$110="moeda")+(Inputs!$G$5:$G$110="acoes"))*Inputs!$B$1+((Inputs!$G$5:$G$110&lt;&gt;"moeda")*(Inputs!$G$5:$G$110&lt;&gt;"acoes")))*INDEX(Inputs!$K$5:$AJ$110,0,MATCH(S$2,Inputs!$K$4:$AJ$4,0)))+SUMPRODUCT((Inputs!$E$5:$E$110=$B60)*Inputs!$F$5:$F$110*(((Inputs!$G$5:$G$110="moeda")+(Inputs!$G$5:$G$110="acoes"))*Inputs!$B$1+((Inputs!$G$5:$G$110&lt;&gt;"moeda")*(Inputs!$G$5:$G$110&lt;&gt;"acoes")))*INDEX(Inputs!$K$5:$AJ$110,0,MATCH(S$2,Inputs!$K$4:$AJ$4,0)))))</f>
        <v>325</v>
      </c>
      <c r="T60" s="263">
        <f>IF(ISNA(MATCH(T$2,Inputs!$K$4:$AJ$4,0)),NA(),IF(SUMPRODUCT((Inputs!$A$5:$A$110=$B60)*ISNUMBER(INDEX(Inputs!$K$5:$AJ$110,0,MATCH(T$2,Inputs!$K$4:$AJ$4,0))))+SUMPRODUCT((Inputs!$C$5:$C$110=$B60)*ISNUMBER(INDEX(Inputs!$K$5:$AJ$110,0,MATCH(T$2,Inputs!$K$4:$AJ$4,0))))+SUMPRODUCT((Inputs!$E$5:$E$110=$B60)*ISNUMBER(INDEX(Inputs!$K$5:$AJ$110,0,MATCH(T$2,Inputs!$K$4:$AJ$4,0))))=0,NA(),SUMPRODUCT((Inputs!$A$5:$A$110=$B60)*Inputs!$B$5:$B$110*(((Inputs!$G$5:$G$110="moeda")+(Inputs!$G$5:$G$110="acoes"))*Inputs!$B$1+((Inputs!$G$5:$G$110&lt;&gt;"moeda")*(Inputs!$G$5:$G$110&lt;&gt;"acoes")))*INDEX(Inputs!$K$5:$AJ$110,0,MATCH(T$2,Inputs!$K$4:$AJ$4,0)))+SUMPRODUCT((Inputs!$C$5:$C$110=$B60)*Inputs!$D$5:$D$110*(((Inputs!$G$5:$G$110="moeda")+(Inputs!$G$5:$G$110="acoes"))*Inputs!$B$1+((Inputs!$G$5:$G$110&lt;&gt;"moeda")*(Inputs!$G$5:$G$110&lt;&gt;"acoes")))*INDEX(Inputs!$K$5:$AJ$110,0,MATCH(T$2,Inputs!$K$4:$AJ$4,0)))+SUMPRODUCT((Inputs!$E$5:$E$110=$B60)*Inputs!$F$5:$F$110*(((Inputs!$G$5:$G$110="moeda")+(Inputs!$G$5:$G$110="acoes"))*Inputs!$B$1+((Inputs!$G$5:$G$110&lt;&gt;"moeda")*(Inputs!$G$5:$G$110&lt;&gt;"acoes")))*INDEX(Inputs!$K$5:$AJ$110,0,MATCH(T$2,Inputs!$K$4:$AJ$4,0)))))</f>
        <v>346</v>
      </c>
      <c r="U60" s="263">
        <f>IF(ISNA(MATCH(U$2,Inputs!$K$4:$AJ$4,0)),NA(),IF(SUMPRODUCT((Inputs!$A$5:$A$110=$B60)*ISNUMBER(INDEX(Inputs!$K$5:$AJ$110,0,MATCH(U$2,Inputs!$K$4:$AJ$4,0))))+SUMPRODUCT((Inputs!$C$5:$C$110=$B60)*ISNUMBER(INDEX(Inputs!$K$5:$AJ$110,0,MATCH(U$2,Inputs!$K$4:$AJ$4,0))))+SUMPRODUCT((Inputs!$E$5:$E$110=$B60)*ISNUMBER(INDEX(Inputs!$K$5:$AJ$110,0,MATCH(U$2,Inputs!$K$4:$AJ$4,0))))=0,NA(),SUMPRODUCT((Inputs!$A$5:$A$110=$B60)*Inputs!$B$5:$B$110*(((Inputs!$G$5:$G$110="moeda")+(Inputs!$G$5:$G$110="acoes"))*Inputs!$B$1+((Inputs!$G$5:$G$110&lt;&gt;"moeda")*(Inputs!$G$5:$G$110&lt;&gt;"acoes")))*INDEX(Inputs!$K$5:$AJ$110,0,MATCH(U$2,Inputs!$K$4:$AJ$4,0)))+SUMPRODUCT((Inputs!$C$5:$C$110=$B60)*Inputs!$D$5:$D$110*(((Inputs!$G$5:$G$110="moeda")+(Inputs!$G$5:$G$110="acoes"))*Inputs!$B$1+((Inputs!$G$5:$G$110&lt;&gt;"moeda")*(Inputs!$G$5:$G$110&lt;&gt;"acoes")))*INDEX(Inputs!$K$5:$AJ$110,0,MATCH(U$2,Inputs!$K$4:$AJ$4,0)))+SUMPRODUCT((Inputs!$E$5:$E$110=$B60)*Inputs!$F$5:$F$110*(((Inputs!$G$5:$G$110="moeda")+(Inputs!$G$5:$G$110="acoes"))*Inputs!$B$1+((Inputs!$G$5:$G$110&lt;&gt;"moeda")*(Inputs!$G$5:$G$110&lt;&gt;"acoes")))*INDEX(Inputs!$K$5:$AJ$110,0,MATCH(U$2,Inputs!$K$4:$AJ$4,0)))))</f>
        <v>272</v>
      </c>
      <c r="V60" s="263">
        <f>IF(ISNA(MATCH(V$2,Inputs!$K$4:$AJ$4,0)),NA(),IF(SUMPRODUCT((Inputs!$A$5:$A$110=$B60)*ISNUMBER(INDEX(Inputs!$K$5:$AJ$110,0,MATCH(V$2,Inputs!$K$4:$AJ$4,0))))+SUMPRODUCT((Inputs!$C$5:$C$110=$B60)*ISNUMBER(INDEX(Inputs!$K$5:$AJ$110,0,MATCH(V$2,Inputs!$K$4:$AJ$4,0))))+SUMPRODUCT((Inputs!$E$5:$E$110=$B60)*ISNUMBER(INDEX(Inputs!$K$5:$AJ$110,0,MATCH(V$2,Inputs!$K$4:$AJ$4,0))))=0,NA(),SUMPRODUCT((Inputs!$A$5:$A$110=$B60)*Inputs!$B$5:$B$110*(((Inputs!$G$5:$G$110="moeda")+(Inputs!$G$5:$G$110="acoes"))*Inputs!$B$1+((Inputs!$G$5:$G$110&lt;&gt;"moeda")*(Inputs!$G$5:$G$110&lt;&gt;"acoes")))*INDEX(Inputs!$K$5:$AJ$110,0,MATCH(V$2,Inputs!$K$4:$AJ$4,0)))+SUMPRODUCT((Inputs!$C$5:$C$110=$B60)*Inputs!$D$5:$D$110*(((Inputs!$G$5:$G$110="moeda")+(Inputs!$G$5:$G$110="acoes"))*Inputs!$B$1+((Inputs!$G$5:$G$110&lt;&gt;"moeda")*(Inputs!$G$5:$G$110&lt;&gt;"acoes")))*INDEX(Inputs!$K$5:$AJ$110,0,MATCH(V$2,Inputs!$K$4:$AJ$4,0)))+SUMPRODUCT((Inputs!$E$5:$E$110=$B60)*Inputs!$F$5:$F$110*(((Inputs!$G$5:$G$110="moeda")+(Inputs!$G$5:$G$110="acoes"))*Inputs!$B$1+((Inputs!$G$5:$G$110&lt;&gt;"moeda")*(Inputs!$G$5:$G$110&lt;&gt;"acoes")))*INDEX(Inputs!$K$5:$AJ$110,0,MATCH(V$2,Inputs!$K$4:$AJ$4,0)))))</f>
        <v>283</v>
      </c>
      <c r="W60" s="264">
        <f>SUM(S60:V60)</f>
        <v>1226</v>
      </c>
      <c r="X60" s="263">
        <f>IF(ISNA(MATCH(X$2,Inputs!$K$4:$AJ$4,0)),NA(),IF(SUMPRODUCT((Inputs!$A$5:$A$110=$B60)*ISNUMBER(INDEX(Inputs!$K$5:$AJ$110,0,MATCH(X$2,Inputs!$K$4:$AJ$4,0))))+SUMPRODUCT((Inputs!$C$5:$C$110=$B60)*ISNUMBER(INDEX(Inputs!$K$5:$AJ$110,0,MATCH(X$2,Inputs!$K$4:$AJ$4,0))))+SUMPRODUCT((Inputs!$E$5:$E$110=$B60)*ISNUMBER(INDEX(Inputs!$K$5:$AJ$110,0,MATCH(X$2,Inputs!$K$4:$AJ$4,0))))=0,NA(),SUMPRODUCT((Inputs!$A$5:$A$110=$B60)*Inputs!$B$5:$B$110*(((Inputs!$G$5:$G$110="moeda")+(Inputs!$G$5:$G$110="acoes"))*Inputs!$B$1+((Inputs!$G$5:$G$110&lt;&gt;"moeda")*(Inputs!$G$5:$G$110&lt;&gt;"acoes")))*INDEX(Inputs!$K$5:$AJ$110,0,MATCH(X$2,Inputs!$K$4:$AJ$4,0)))+SUMPRODUCT((Inputs!$C$5:$C$110=$B60)*Inputs!$D$5:$D$110*(((Inputs!$G$5:$G$110="moeda")+(Inputs!$G$5:$G$110="acoes"))*Inputs!$B$1+((Inputs!$G$5:$G$110&lt;&gt;"moeda")*(Inputs!$G$5:$G$110&lt;&gt;"acoes")))*INDEX(Inputs!$K$5:$AJ$110,0,MATCH(X$2,Inputs!$K$4:$AJ$4,0)))+SUMPRODUCT((Inputs!$E$5:$E$110=$B60)*Inputs!$F$5:$F$110*(((Inputs!$G$5:$G$110="moeda")+(Inputs!$G$5:$G$110="acoes"))*Inputs!$B$1+((Inputs!$G$5:$G$110&lt;&gt;"moeda")*(Inputs!$G$5:$G$110&lt;&gt;"acoes")))*INDEX(Inputs!$K$5:$AJ$110,0,MATCH(X$2,Inputs!$K$4:$AJ$4,0)))))</f>
        <v>379</v>
      </c>
      <c r="Y60" s="263">
        <f>IF(ISNA(MATCH(Y$2,Inputs!$K$4:$AJ$4,0)),NA(),IF(SUMPRODUCT((Inputs!$A$5:$A$110=$B60)*ISNUMBER(INDEX(Inputs!$K$5:$AJ$110,0,MATCH(Y$2,Inputs!$K$4:$AJ$4,0))))+SUMPRODUCT((Inputs!$C$5:$C$110=$B60)*ISNUMBER(INDEX(Inputs!$K$5:$AJ$110,0,MATCH(Y$2,Inputs!$K$4:$AJ$4,0))))+SUMPRODUCT((Inputs!$E$5:$E$110=$B60)*ISNUMBER(INDEX(Inputs!$K$5:$AJ$110,0,MATCH(Y$2,Inputs!$K$4:$AJ$4,0))))=0,NA(),SUMPRODUCT((Inputs!$A$5:$A$110=$B60)*Inputs!$B$5:$B$110*(((Inputs!$G$5:$G$110="moeda")+(Inputs!$G$5:$G$110="acoes"))*Inputs!$B$1+((Inputs!$G$5:$G$110&lt;&gt;"moeda")*(Inputs!$G$5:$G$110&lt;&gt;"acoes")))*INDEX(Inputs!$K$5:$AJ$110,0,MATCH(Y$2,Inputs!$K$4:$AJ$4,0)))+SUMPRODUCT((Inputs!$C$5:$C$110=$B60)*Inputs!$D$5:$D$110*(((Inputs!$G$5:$G$110="moeda")+(Inputs!$G$5:$G$110="acoes"))*Inputs!$B$1+((Inputs!$G$5:$G$110&lt;&gt;"moeda")*(Inputs!$G$5:$G$110&lt;&gt;"acoes")))*INDEX(Inputs!$K$5:$AJ$110,0,MATCH(Y$2,Inputs!$K$4:$AJ$4,0)))+SUMPRODUCT((Inputs!$E$5:$E$110=$B60)*Inputs!$F$5:$F$110*(((Inputs!$G$5:$G$110="moeda")+(Inputs!$G$5:$G$110="acoes"))*Inputs!$B$1+((Inputs!$G$5:$G$110&lt;&gt;"moeda")*(Inputs!$G$5:$G$110&lt;&gt;"acoes")))*INDEX(Inputs!$K$5:$AJ$110,0,MATCH(Y$2,Inputs!$K$4:$AJ$4,0)))))</f>
        <v>362</v>
      </c>
      <c r="Z60" s="263">
        <f>IF(ISNA(MATCH(Z$2,Inputs!$K$4:$AJ$4,0)),NA(),IF(SUMPRODUCT((Inputs!$A$5:$A$110=$B60)*ISNUMBER(INDEX(Inputs!$K$5:$AJ$110,0,MATCH(Z$2,Inputs!$K$4:$AJ$4,0))))+SUMPRODUCT((Inputs!$C$5:$C$110=$B60)*ISNUMBER(INDEX(Inputs!$K$5:$AJ$110,0,MATCH(Z$2,Inputs!$K$4:$AJ$4,0))))+SUMPRODUCT((Inputs!$E$5:$E$110=$B60)*ISNUMBER(INDEX(Inputs!$K$5:$AJ$110,0,MATCH(Z$2,Inputs!$K$4:$AJ$4,0))))=0,NA(),SUMPRODUCT((Inputs!$A$5:$A$110=$B60)*Inputs!$B$5:$B$110*(((Inputs!$G$5:$G$110="moeda")+(Inputs!$G$5:$G$110="acoes"))*Inputs!$B$1+((Inputs!$G$5:$G$110&lt;&gt;"moeda")*(Inputs!$G$5:$G$110&lt;&gt;"acoes")))*INDEX(Inputs!$K$5:$AJ$110,0,MATCH(Z$2,Inputs!$K$4:$AJ$4,0)))+SUMPRODUCT((Inputs!$C$5:$C$110=$B60)*Inputs!$D$5:$D$110*(((Inputs!$G$5:$G$110="moeda")+(Inputs!$G$5:$G$110="acoes"))*Inputs!$B$1+((Inputs!$G$5:$G$110&lt;&gt;"moeda")*(Inputs!$G$5:$G$110&lt;&gt;"acoes")))*INDEX(Inputs!$K$5:$AJ$110,0,MATCH(Z$2,Inputs!$K$4:$AJ$4,0)))+SUMPRODUCT((Inputs!$E$5:$E$110=$B60)*Inputs!$F$5:$F$110*(((Inputs!$G$5:$G$110="moeda")+(Inputs!$G$5:$G$110="acoes"))*Inputs!$B$1+((Inputs!$G$5:$G$110&lt;&gt;"moeda")*(Inputs!$G$5:$G$110&lt;&gt;"acoes")))*INDEX(Inputs!$K$5:$AJ$110,0,MATCH(Z$2,Inputs!$K$4:$AJ$4,0)))))</f>
        <v>331</v>
      </c>
      <c r="AA60" s="263">
        <f>IF(ISNA(MATCH(AA$2,Inputs!$K$4:$AJ$4,0)),NA(),IF(SUMPRODUCT((Inputs!$A$5:$A$110=$B60)*ISNUMBER(INDEX(Inputs!$K$5:$AJ$110,0,MATCH(AA$2,Inputs!$K$4:$AJ$4,0))))+SUMPRODUCT((Inputs!$C$5:$C$110=$B60)*ISNUMBER(INDEX(Inputs!$K$5:$AJ$110,0,MATCH(AA$2,Inputs!$K$4:$AJ$4,0))))+SUMPRODUCT((Inputs!$E$5:$E$110=$B60)*ISNUMBER(INDEX(Inputs!$K$5:$AJ$110,0,MATCH(AA$2,Inputs!$K$4:$AJ$4,0))))=0,NA(),SUMPRODUCT((Inputs!$A$5:$A$110=$B60)*Inputs!$B$5:$B$110*(((Inputs!$G$5:$G$110="moeda")+(Inputs!$G$5:$G$110="acoes"))*Inputs!$B$1+((Inputs!$G$5:$G$110&lt;&gt;"moeda")*(Inputs!$G$5:$G$110&lt;&gt;"acoes")))*INDEX(Inputs!$K$5:$AJ$110,0,MATCH(AA$2,Inputs!$K$4:$AJ$4,0)))+SUMPRODUCT((Inputs!$C$5:$C$110=$B60)*Inputs!$D$5:$D$110*(((Inputs!$G$5:$G$110="moeda")+(Inputs!$G$5:$G$110="acoes"))*Inputs!$B$1+((Inputs!$G$5:$G$110&lt;&gt;"moeda")*(Inputs!$G$5:$G$110&lt;&gt;"acoes")))*INDEX(Inputs!$K$5:$AJ$110,0,MATCH(AA$2,Inputs!$K$4:$AJ$4,0)))+SUMPRODUCT((Inputs!$E$5:$E$110=$B60)*Inputs!$F$5:$F$110*(((Inputs!$G$5:$G$110="moeda")+(Inputs!$G$5:$G$110="acoes"))*Inputs!$B$1+((Inputs!$G$5:$G$110&lt;&gt;"moeda")*(Inputs!$G$5:$G$110&lt;&gt;"acoes")))*INDEX(Inputs!$K$5:$AJ$110,0,MATCH(AA$2,Inputs!$K$4:$AJ$4,0)))))</f>
        <v>273</v>
      </c>
      <c r="AB60" s="264">
        <f>SUM(X60:AA60)</f>
        <v>1345</v>
      </c>
      <c r="AC60" s="263">
        <f>IF(ISNA(MATCH(AC$2,Inputs!$K$4:$AJ$4,0)),NA(),IF(SUMPRODUCT((Inputs!$A$5:$A$110=$B60)*ISNUMBER(INDEX(Inputs!$K$5:$AJ$110,0,MATCH(AC$2,Inputs!$K$4:$AJ$4,0))))+SUMPRODUCT((Inputs!$C$5:$C$110=$B60)*ISNUMBER(INDEX(Inputs!$K$5:$AJ$110,0,MATCH(AC$2,Inputs!$K$4:$AJ$4,0))))+SUMPRODUCT((Inputs!$E$5:$E$110=$B60)*ISNUMBER(INDEX(Inputs!$K$5:$AJ$110,0,MATCH(AC$2,Inputs!$K$4:$AJ$4,0))))=0,NA(),SUMPRODUCT((Inputs!$A$5:$A$110=$B60)*Inputs!$B$5:$B$110*(((Inputs!$G$5:$G$110="moeda")+(Inputs!$G$5:$G$110="acoes"))*Inputs!$B$1+((Inputs!$G$5:$G$110&lt;&gt;"moeda")*(Inputs!$G$5:$G$110&lt;&gt;"acoes")))*INDEX(Inputs!$K$5:$AJ$110,0,MATCH(AC$2,Inputs!$K$4:$AJ$4,0)))+SUMPRODUCT((Inputs!$C$5:$C$110=$B60)*Inputs!$D$5:$D$110*(((Inputs!$G$5:$G$110="moeda")+(Inputs!$G$5:$G$110="acoes"))*Inputs!$B$1+((Inputs!$G$5:$G$110&lt;&gt;"moeda")*(Inputs!$G$5:$G$110&lt;&gt;"acoes")))*INDEX(Inputs!$K$5:$AJ$110,0,MATCH(AC$2,Inputs!$K$4:$AJ$4,0)))+SUMPRODUCT((Inputs!$E$5:$E$110=$B60)*Inputs!$F$5:$F$110*(((Inputs!$G$5:$G$110="moeda")+(Inputs!$G$5:$G$110="acoes"))*Inputs!$B$1+((Inputs!$G$5:$G$110&lt;&gt;"moeda")*(Inputs!$G$5:$G$110&lt;&gt;"acoes")))*INDEX(Inputs!$K$5:$AJ$110,0,MATCH(AC$2,Inputs!$K$4:$AJ$4,0)))))</f>
        <v>281</v>
      </c>
      <c r="AD60" s="263">
        <f>IF(ISNA(MATCH(AD$2,Inputs!$K$4:$AJ$4,0)),NA(),IF(SUMPRODUCT((Inputs!$A$5:$A$110=$B60)*ISNUMBER(INDEX(Inputs!$K$5:$AJ$110,0,MATCH(AD$2,Inputs!$K$4:$AJ$4,0))))+SUMPRODUCT((Inputs!$C$5:$C$110=$B60)*ISNUMBER(INDEX(Inputs!$K$5:$AJ$110,0,MATCH(AD$2,Inputs!$K$4:$AJ$4,0))))+SUMPRODUCT((Inputs!$E$5:$E$110=$B60)*ISNUMBER(INDEX(Inputs!$K$5:$AJ$110,0,MATCH(AD$2,Inputs!$K$4:$AJ$4,0))))=0,NA(),SUMPRODUCT((Inputs!$A$5:$A$110=$B60)*Inputs!$B$5:$B$110*(((Inputs!$G$5:$G$110="moeda")+(Inputs!$G$5:$G$110="acoes"))*Inputs!$B$1+((Inputs!$G$5:$G$110&lt;&gt;"moeda")*(Inputs!$G$5:$G$110&lt;&gt;"acoes")))*INDEX(Inputs!$K$5:$AJ$110,0,MATCH(AD$2,Inputs!$K$4:$AJ$4,0)))+SUMPRODUCT((Inputs!$C$5:$C$110=$B60)*Inputs!$D$5:$D$110*(((Inputs!$G$5:$G$110="moeda")+(Inputs!$G$5:$G$110="acoes"))*Inputs!$B$1+((Inputs!$G$5:$G$110&lt;&gt;"moeda")*(Inputs!$G$5:$G$110&lt;&gt;"acoes")))*INDEX(Inputs!$K$5:$AJ$110,0,MATCH(AD$2,Inputs!$K$4:$AJ$4,0)))+SUMPRODUCT((Inputs!$E$5:$E$110=$B60)*Inputs!$F$5:$F$110*(((Inputs!$G$5:$G$110="moeda")+(Inputs!$G$5:$G$110="acoes"))*Inputs!$B$1+((Inputs!$G$5:$G$110&lt;&gt;"moeda")*(Inputs!$G$5:$G$110&lt;&gt;"acoes")))*INDEX(Inputs!$K$5:$AJ$110,0,MATCH(AD$2,Inputs!$K$4:$AJ$4,0)))))</f>
        <v>371</v>
      </c>
      <c r="AE60" s="263" t="e">
        <f>IF(ISNA(MATCH(AE$2,Inputs!$K$4:$AJ$4,0)),NA(),IF(SUMPRODUCT((Inputs!$A$5:$A$110=$B60)*ISNUMBER(INDEX(Inputs!$K$5:$AJ$110,0,MATCH(AE$2,Inputs!$K$4:$AJ$4,0))))+SUMPRODUCT((Inputs!$C$5:$C$110=$B60)*ISNUMBER(INDEX(Inputs!$K$5:$AJ$110,0,MATCH(AE$2,Inputs!$K$4:$AJ$4,0))))+SUMPRODUCT((Inputs!$E$5:$E$110=$B60)*ISNUMBER(INDEX(Inputs!$K$5:$AJ$110,0,MATCH(AE$2,Inputs!$K$4:$AJ$4,0))))=0,NA(),SUMPRODUCT((Inputs!$A$5:$A$110=$B60)*Inputs!$B$5:$B$110*(((Inputs!$G$5:$G$110="moeda")+(Inputs!$G$5:$G$110="acoes"))*Inputs!$B$1+((Inputs!$G$5:$G$110&lt;&gt;"moeda")*(Inputs!$G$5:$G$110&lt;&gt;"acoes")))*INDEX(Inputs!$K$5:$AJ$110,0,MATCH(AE$2,Inputs!$K$4:$AJ$4,0)))+SUMPRODUCT((Inputs!$C$5:$C$110=$B60)*Inputs!$D$5:$D$110*(((Inputs!$G$5:$G$110="moeda")+(Inputs!$G$5:$G$110="acoes"))*Inputs!$B$1+((Inputs!$G$5:$G$110&lt;&gt;"moeda")*(Inputs!$G$5:$G$110&lt;&gt;"acoes")))*INDEX(Inputs!$K$5:$AJ$110,0,MATCH(AE$2,Inputs!$K$4:$AJ$4,0)))+SUMPRODUCT((Inputs!$E$5:$E$110=$B60)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0" s="263" t="e">
        <f>IF(ISNA(MATCH(AF$2,Inputs!$K$4:$AJ$4,0)),NA(),IF(SUMPRODUCT((Inputs!$A$5:$A$110=$B60)*ISNUMBER(INDEX(Inputs!$K$5:$AJ$110,0,MATCH(AF$2,Inputs!$K$4:$AJ$4,0))))+SUMPRODUCT((Inputs!$C$5:$C$110=$B60)*ISNUMBER(INDEX(Inputs!$K$5:$AJ$110,0,MATCH(AF$2,Inputs!$K$4:$AJ$4,0))))+SUMPRODUCT((Inputs!$E$5:$E$110=$B60)*ISNUMBER(INDEX(Inputs!$K$5:$AJ$110,0,MATCH(AF$2,Inputs!$K$4:$AJ$4,0))))=0,NA(),SUMPRODUCT((Inputs!$A$5:$A$110=$B60)*Inputs!$B$5:$B$110*(((Inputs!$G$5:$G$110="moeda")+(Inputs!$G$5:$G$110="acoes"))*Inputs!$B$1+((Inputs!$G$5:$G$110&lt;&gt;"moeda")*(Inputs!$G$5:$G$110&lt;&gt;"acoes")))*INDEX(Inputs!$K$5:$AJ$110,0,MATCH(AF$2,Inputs!$K$4:$AJ$4,0)))+SUMPRODUCT((Inputs!$C$5:$C$110=$B60)*Inputs!$D$5:$D$110*(((Inputs!$G$5:$G$110="moeda")+(Inputs!$G$5:$G$110="acoes"))*Inputs!$B$1+((Inputs!$G$5:$G$110&lt;&gt;"moeda")*(Inputs!$G$5:$G$110&lt;&gt;"acoes")))*INDEX(Inputs!$K$5:$AJ$110,0,MATCH(AF$2,Inputs!$K$4:$AJ$4,0)))+SUMPRODUCT((Inputs!$E$5:$E$110=$B60)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$110=$B60)*ISNUMBER(INDEX(Inputs!$K$5:$AJ$110,0,MATCH(AH$2,Inputs!$K$4:$AJ$4,0))))+SUMPRODUCT((Inputs!$C$5:$C$110=$B60)*ISNUMBER(INDEX(Inputs!$K$5:$AJ$110,0,MATCH(AH$2,Inputs!$K$4:$AJ$4,0))))+SUMPRODUCT((Inputs!$E$5:$E$110=$B60)*ISNUMBER(INDEX(Inputs!$K$5:$AJ$110,0,MATCH(AH$2,Inputs!$K$4:$AJ$4,0))))=0,NA(),SUMPRODUCT((Inputs!$A$5:$A$110=$B60)*Inputs!$B$5:$B$110*(((Inputs!$G$5:$G$110="moeda")+(Inputs!$G$5:$G$110="acoes"))*Inputs!$B$1+((Inputs!$G$5:$G$110&lt;&gt;"moeda")*(Inputs!$G$5:$G$110&lt;&gt;"acoes")))*INDEX(Inputs!$K$5:$AJ$110,0,MATCH(AH$2,Inputs!$K$4:$AJ$4,0)))+SUMPRODUCT((Inputs!$C$5:$C$110=$B60)*Inputs!$D$5:$D$110*(((Inputs!$G$5:$G$110="moeda")+(Inputs!$G$5:$G$110="acoes"))*Inputs!$B$1+((Inputs!$G$5:$G$110&lt;&gt;"moeda")*(Inputs!$G$5:$G$110&lt;&gt;"acoes")))*INDEX(Inputs!$K$5:$AJ$110,0,MATCH(AH$2,Inputs!$K$4:$AJ$4,0)))+SUMPRODUCT((Inputs!$E$5:$E$110=$B60)*Inputs!$F$5:$F$110*(((Inputs!$G$5:$G$110="moeda")+(Inputs!$G$5:$G$110="acoes"))*Inputs!$B$1+((Inputs!$G$5:$G$110&lt;&gt;"moeda")*(Inputs!$G$5:$G$110&lt;&gt;"acoes")))*INDEX(Inputs!$K$5:$AJ$110,0,MATCH(AH$2,Inputs!$K$4:$AJ$4,0)))))</f>
        <v>281</v>
      </c>
      <c r="AI60" s="263">
        <f>IF(ISNA(MATCH(AI$2,Inputs!$K$4:$AJ$4,0)),NA(),IF(SUMPRODUCT((Inputs!$A$5:$A$110=$B60)*ISNUMBER(INDEX(Inputs!$K$5:$AJ$110,0,MATCH(AI$2,Inputs!$K$4:$AJ$4,0))))+SUMPRODUCT((Inputs!$C$5:$C$110=$B60)*ISNUMBER(INDEX(Inputs!$K$5:$AJ$110,0,MATCH(AI$2,Inputs!$K$4:$AJ$4,0))))+SUMPRODUCT((Inputs!$E$5:$E$110=$B60)*ISNUMBER(INDEX(Inputs!$K$5:$AJ$110,0,MATCH(AI$2,Inputs!$K$4:$AJ$4,0))))=0,NA(),SUMPRODUCT((Inputs!$A$5:$A$110=$B60)*Inputs!$B$5:$B$110*(((Inputs!$G$5:$G$110="moeda")+(Inputs!$G$5:$G$110="acoes"))*Inputs!$B$1+((Inputs!$G$5:$G$110&lt;&gt;"moeda")*(Inputs!$G$5:$G$110&lt;&gt;"acoes")))*INDEX(Inputs!$K$5:$AJ$110,0,MATCH(AI$2,Inputs!$K$4:$AJ$4,0)))+SUMPRODUCT((Inputs!$C$5:$C$110=$B60)*Inputs!$D$5:$D$110*(((Inputs!$G$5:$G$110="moeda")+(Inputs!$G$5:$G$110="acoes"))*Inputs!$B$1+((Inputs!$G$5:$G$110&lt;&gt;"moeda")*(Inputs!$G$5:$G$110&lt;&gt;"acoes")))*INDEX(Inputs!$K$5:$AJ$110,0,MATCH(AI$2,Inputs!$K$4:$AJ$4,0)))+SUMPRODUCT((Inputs!$E$5:$E$110=$B60)*Inputs!$F$5:$F$110*(((Inputs!$G$5:$G$110="moeda")+(Inputs!$G$5:$G$110="acoes"))*Inputs!$B$1+((Inputs!$G$5:$G$110&lt;&gt;"moeda")*(Inputs!$G$5:$G$110&lt;&gt;"acoes")))*INDEX(Inputs!$K$5:$AJ$110,0,MATCH(AI$2,Inputs!$K$4:$AJ$4,0)))))</f>
        <v>252</v>
      </c>
      <c r="AJ60" s="263">
        <f>IF(ISNA(MATCH(AJ$2,Inputs!$K$4:$AJ$4,0)),NA(),IF(SUMPRODUCT((Inputs!$A$5:$A$110=$B60)*ISNUMBER(INDEX(Inputs!$K$5:$AJ$110,0,MATCH(AJ$2,Inputs!$K$4:$AJ$4,0))))+SUMPRODUCT((Inputs!$C$5:$C$110=$B60)*ISNUMBER(INDEX(Inputs!$K$5:$AJ$110,0,MATCH(AJ$2,Inputs!$K$4:$AJ$4,0))))+SUMPRODUCT((Inputs!$E$5:$E$110=$B60)*ISNUMBER(INDEX(Inputs!$K$5:$AJ$110,0,MATCH(AJ$2,Inputs!$K$4:$AJ$4,0))))=0,NA(),SUMPRODUCT((Inputs!$A$5:$A$110=$B60)*Inputs!$B$5:$B$110*(((Inputs!$G$5:$G$110="moeda")+(Inputs!$G$5:$G$110="acoes"))*Inputs!$B$1+((Inputs!$G$5:$G$110&lt;&gt;"moeda")*(Inputs!$G$5:$G$110&lt;&gt;"acoes")))*INDEX(Inputs!$K$5:$AJ$110,0,MATCH(AJ$2,Inputs!$K$4:$AJ$4,0)))+SUMPRODUCT((Inputs!$C$5:$C$110=$B60)*Inputs!$D$5:$D$110*(((Inputs!$G$5:$G$110="moeda")+(Inputs!$G$5:$G$110="acoes"))*Inputs!$B$1+((Inputs!$G$5:$G$110&lt;&gt;"moeda")*(Inputs!$G$5:$G$110&lt;&gt;"acoes")))*INDEX(Inputs!$K$5:$AJ$110,0,MATCH(AJ$2,Inputs!$K$4:$AJ$4,0)))+SUMPRODUCT((Inputs!$E$5:$E$110=$B60)*Inputs!$F$5:$F$110*(((Inputs!$G$5:$G$110="moeda")+(Inputs!$G$5:$G$110="acoes"))*Inputs!$B$1+((Inputs!$G$5:$G$110&lt;&gt;"moeda")*(Inputs!$G$5:$G$110&lt;&gt;"acoes")))*INDEX(Inputs!$K$5:$AJ$110,0,MATCH(AJ$2,Inputs!$K$4:$AJ$4,0)))))</f>
        <v>248</v>
      </c>
      <c r="AK60" s="263">
        <f>IF(ISNA(MATCH(AK$2,Inputs!$K$4:$AJ$4,0)),NA(),IF(SUMPRODUCT((Inputs!$A$5:$A$110=$B60)*ISNUMBER(INDEX(Inputs!$K$5:$AJ$110,0,MATCH(AK$2,Inputs!$K$4:$AJ$4,0))))+SUMPRODUCT((Inputs!$C$5:$C$110=$B60)*ISNUMBER(INDEX(Inputs!$K$5:$AJ$110,0,MATCH(AK$2,Inputs!$K$4:$AJ$4,0))))+SUMPRODUCT((Inputs!$E$5:$E$110=$B60)*ISNUMBER(INDEX(Inputs!$K$5:$AJ$110,0,MATCH(AK$2,Inputs!$K$4:$AJ$4,0))))=0,NA(),SUMPRODUCT((Inputs!$A$5:$A$110=$B60)*Inputs!$B$5:$B$110*(((Inputs!$G$5:$G$110="moeda")+(Inputs!$G$5:$G$110="acoes"))*Inputs!$B$1+((Inputs!$G$5:$G$110&lt;&gt;"moeda")*(Inputs!$G$5:$G$110&lt;&gt;"acoes")))*INDEX(Inputs!$K$5:$AJ$110,0,MATCH(AK$2,Inputs!$K$4:$AJ$4,0)))+SUMPRODUCT((Inputs!$C$5:$C$110=$B60)*Inputs!$D$5:$D$110*(((Inputs!$G$5:$G$110="moeda")+(Inputs!$G$5:$G$110="acoes"))*Inputs!$B$1+((Inputs!$G$5:$G$110&lt;&gt;"moeda")*(Inputs!$G$5:$G$110&lt;&gt;"acoes")))*INDEX(Inputs!$K$5:$AJ$110,0,MATCH(AK$2,Inputs!$K$4:$AJ$4,0)))+SUMPRODUCT((Inputs!$E$5:$E$110=$B60)*Inputs!$F$5:$F$110*(((Inputs!$G$5:$G$110="moeda")+(Inputs!$G$5:$G$110="acoes"))*Inputs!$B$1+((Inputs!$G$5:$G$110&lt;&gt;"moeda")*(Inputs!$G$5:$G$110&lt;&gt;"acoes")))*INDEX(Inputs!$K$5:$AJ$110,0,MATCH(AK$2,Inputs!$K$4:$AJ$4,0)))))</f>
        <v>368</v>
      </c>
      <c r="AL60" s="264">
        <f>SUM(AH60:AK60)</f>
        <v>1149</v>
      </c>
    </row>
    <row r="61">
      <c r="B61" s="46" t="n">
        <v>53</v>
      </c>
      <c r="C61" s="29" t="inlineStr">
        <is>
          <t>Receita de produtos (USD)</t>
        </is>
      </c>
      <c r="D61" s="263">
        <f>IF(ISNA(MATCH(D$2,Inputs!$K$4:$AJ$4,0)),NA(),IF(SUMPRODUCT((Inputs!$A$5:$A$110=$B61)*ISNUMBER(INDEX(Inputs!$K$5:$AJ$110,0,MATCH(D$2,Inputs!$K$4:$AJ$4,0))))+SUMPRODUCT((Inputs!$C$5:$C$110=$B61)*ISNUMBER(INDEX(Inputs!$K$5:$AJ$110,0,MATCH(D$2,Inputs!$K$4:$AJ$4,0))))+SUMPRODUCT((Inputs!$E$5:$E$110=$B61)*ISNUMBER(INDEX(Inputs!$K$5:$AJ$110,0,MATCH(D$2,Inputs!$K$4:$AJ$4,0))))=0,NA(),SUMPRODUCT((Inputs!$A$5:$A$110=$B61)*Inputs!$B$5:$B$110*(((Inputs!$G$5:$G$110="moeda")+(Inputs!$G$5:$G$110="acoes"))*Inputs!$B$1+((Inputs!$G$5:$G$110&lt;&gt;"moeda")*(Inputs!$G$5:$G$110&lt;&gt;"acoes")))*INDEX(Inputs!$K$5:$AJ$110,0,MATCH(D$2,Inputs!$K$4:$AJ$4,0)))+SUMPRODUCT((Inputs!$C$5:$C$110=$B61)*Inputs!$D$5:$D$110*(((Inputs!$G$5:$G$110="moeda")+(Inputs!$G$5:$G$110="acoes"))*Inputs!$B$1+((Inputs!$G$5:$G$110&lt;&gt;"moeda")*(Inputs!$G$5:$G$110&lt;&gt;"acoes")))*INDEX(Inputs!$K$5:$AJ$110,0,MATCH(D$2,Inputs!$K$4:$AJ$4,0)))+SUMPRODUCT((Inputs!$E$5:$E$110=$B61)*Inputs!$F$5:$F$110*(((Inputs!$G$5:$G$110="moeda")+(Inputs!$G$5:$G$110="acoes"))*Inputs!$B$1+((Inputs!$G$5:$G$110&lt;&gt;"moeda")*(Inputs!$G$5:$G$110&lt;&gt;"acoes")))*INDEX(Inputs!$K$5:$AJ$110,0,MATCH(D$2,Inputs!$K$4:$AJ$4,0)))))</f>
        <v>13753</v>
      </c>
      <c r="E61" s="263">
        <f>IF(ISNA(MATCH(E$2,Inputs!$K$4:$AJ$4,0)),NA(),IF(SUMPRODUCT((Inputs!$A$5:$A$110=$B61)*ISNUMBER(INDEX(Inputs!$K$5:$AJ$110,0,MATCH(E$2,Inputs!$K$4:$AJ$4,0))))+SUMPRODUCT((Inputs!$C$5:$C$110=$B61)*ISNUMBER(INDEX(Inputs!$K$5:$AJ$110,0,MATCH(E$2,Inputs!$K$4:$AJ$4,0))))+SUMPRODUCT((Inputs!$E$5:$E$110=$B61)*ISNUMBER(INDEX(Inputs!$K$5:$AJ$110,0,MATCH(E$2,Inputs!$K$4:$AJ$4,0))))=0,NA(),SUMPRODUCT((Inputs!$A$5:$A$110=$B61)*Inputs!$B$5:$B$110*(((Inputs!$G$5:$G$110="moeda")+(Inputs!$G$5:$G$110="acoes"))*Inputs!$B$1+((Inputs!$G$5:$G$110&lt;&gt;"moeda")*(Inputs!$G$5:$G$110&lt;&gt;"acoes")))*INDEX(Inputs!$K$5:$AJ$110,0,MATCH(E$2,Inputs!$K$4:$AJ$4,0)))+SUMPRODUCT((Inputs!$C$5:$C$110=$B61)*Inputs!$D$5:$D$110*(((Inputs!$G$5:$G$110="moeda")+(Inputs!$G$5:$G$110="acoes"))*Inputs!$B$1+((Inputs!$G$5:$G$110&lt;&gt;"moeda")*(Inputs!$G$5:$G$110&lt;&gt;"acoes")))*INDEX(Inputs!$K$5:$AJ$110,0,MATCH(E$2,Inputs!$K$4:$AJ$4,0)))+SUMPRODUCT((Inputs!$E$5:$E$110=$B61)*Inputs!$F$5:$F$110*(((Inputs!$G$5:$G$110="moeda")+(Inputs!$G$5:$G$110="acoes"))*Inputs!$B$1+((Inputs!$G$5:$G$110&lt;&gt;"moeda")*(Inputs!$G$5:$G$110&lt;&gt;"acoes")))*INDEX(Inputs!$K$5:$AJ$110,0,MATCH(E$2,Inputs!$K$4:$AJ$4,0)))))</f>
        <v>14258</v>
      </c>
      <c r="F61" s="263">
        <f>IF(ISNA(MATCH(F$2,Inputs!$K$4:$AJ$4,0)),NA(),IF(SUMPRODUCT((Inputs!$A$5:$A$110=$B61)*ISNUMBER(INDEX(Inputs!$K$5:$AJ$110,0,MATCH(F$2,Inputs!$K$4:$AJ$4,0))))+SUMPRODUCT((Inputs!$C$5:$C$110=$B61)*ISNUMBER(INDEX(Inputs!$K$5:$AJ$110,0,MATCH(F$2,Inputs!$K$4:$AJ$4,0))))+SUMPRODUCT((Inputs!$E$5:$E$110=$B61)*ISNUMBER(INDEX(Inputs!$K$5:$AJ$110,0,MATCH(F$2,Inputs!$K$4:$AJ$4,0))))=0,NA(),SUMPRODUCT((Inputs!$A$5:$A$110=$B61)*Inputs!$B$5:$B$110*(((Inputs!$G$5:$G$110="moeda")+(Inputs!$G$5:$G$110="acoes"))*Inputs!$B$1+((Inputs!$G$5:$G$110&lt;&gt;"moeda")*(Inputs!$G$5:$G$110&lt;&gt;"acoes")))*INDEX(Inputs!$K$5:$AJ$110,0,MATCH(F$2,Inputs!$K$4:$AJ$4,0)))+SUMPRODUCT((Inputs!$C$5:$C$110=$B61)*Inputs!$D$5:$D$110*(((Inputs!$G$5:$G$110="moeda")+(Inputs!$G$5:$G$110="acoes"))*Inputs!$B$1+((Inputs!$G$5:$G$110&lt;&gt;"moeda")*(Inputs!$G$5:$G$110&lt;&gt;"acoes")))*INDEX(Inputs!$K$5:$AJ$110,0,MATCH(F$2,Inputs!$K$4:$AJ$4,0)))+SUMPRODUCT((Inputs!$E$5:$E$110=$B61)*Inputs!$F$5:$F$110*(((Inputs!$G$5:$G$110="moeda")+(Inputs!$G$5:$G$110="acoes"))*Inputs!$B$1+((Inputs!$G$5:$G$110&lt;&gt;"moeda")*(Inputs!$G$5:$G$110&lt;&gt;"acoes")))*INDEX(Inputs!$K$5:$AJ$110,0,MATCH(F$2,Inputs!$K$4:$AJ$4,0)))))</f>
        <v>13475</v>
      </c>
      <c r="G61" s="263">
        <f>IF(ISNA(MATCH(G$2,Inputs!$K$4:$AJ$4,0)),NA(),IF(SUMPRODUCT((Inputs!$A$5:$A$110=$B61)*ISNUMBER(INDEX(Inputs!$K$5:$AJ$110,0,MATCH(G$2,Inputs!$K$4:$AJ$4,0))))+SUMPRODUCT((Inputs!$C$5:$C$110=$B61)*ISNUMBER(INDEX(Inputs!$K$5:$AJ$110,0,MATCH(G$2,Inputs!$K$4:$AJ$4,0))))+SUMPRODUCT((Inputs!$E$5:$E$110=$B61)*ISNUMBER(INDEX(Inputs!$K$5:$AJ$110,0,MATCH(G$2,Inputs!$K$4:$AJ$4,0))))=0,NA(),SUMPRODUCT((Inputs!$A$5:$A$110=$B61)*Inputs!$B$5:$B$110*(((Inputs!$G$5:$G$110="moeda")+(Inputs!$G$5:$G$110="acoes"))*Inputs!$B$1+((Inputs!$G$5:$G$110&lt;&gt;"moeda")*(Inputs!$G$5:$G$110&lt;&gt;"acoes")))*INDEX(Inputs!$K$5:$AJ$110,0,MATCH(G$2,Inputs!$K$4:$AJ$4,0)))+SUMPRODUCT((Inputs!$C$5:$C$110=$B61)*Inputs!$D$5:$D$110*(((Inputs!$G$5:$G$110="moeda")+(Inputs!$G$5:$G$110="acoes"))*Inputs!$B$1+((Inputs!$G$5:$G$110&lt;&gt;"moeda")*(Inputs!$G$5:$G$110&lt;&gt;"acoes")))*INDEX(Inputs!$K$5:$AJ$110,0,MATCH(G$2,Inputs!$K$4:$AJ$4,0)))+SUMPRODUCT((Inputs!$E$5:$E$110=$B61)*Inputs!$F$5:$F$110*(((Inputs!$G$5:$G$110="moeda")+(Inputs!$G$5:$G$110="acoes"))*Inputs!$B$1+((Inputs!$G$5:$G$110&lt;&gt;"moeda")*(Inputs!$G$5:$G$110&lt;&gt;"acoes")))*INDEX(Inputs!$K$5:$AJ$110,0,MATCH(G$2,Inputs!$K$4:$AJ$4,0)))))</f>
        <v>14949</v>
      </c>
      <c r="H61" s="264">
        <f>SUM(D61:G61)</f>
        <v>56435</v>
      </c>
      <c r="I61" s="263">
        <f>IF(ISNA(MATCH(I$2,Inputs!$K$4:$AJ$4,0)),NA(),IF(SUMPRODUCT((Inputs!$A$5:$A$110=$B61)*ISNUMBER(INDEX(Inputs!$K$5:$AJ$110,0,MATCH(I$2,Inputs!$K$4:$AJ$4,0))))+SUMPRODUCT((Inputs!$C$5:$C$110=$B61)*ISNUMBER(INDEX(Inputs!$K$5:$AJ$110,0,MATCH(I$2,Inputs!$K$4:$AJ$4,0))))+SUMPRODUCT((Inputs!$E$5:$E$110=$B61)*ISNUMBER(INDEX(Inputs!$K$5:$AJ$110,0,MATCH(I$2,Inputs!$K$4:$AJ$4,0))))=0,NA(),SUMPRODUCT((Inputs!$A$5:$A$110=$B61)*Inputs!$B$5:$B$110*(((Inputs!$G$5:$G$110="moeda")+(Inputs!$G$5:$G$110="acoes"))*Inputs!$B$1+((Inputs!$G$5:$G$110&lt;&gt;"moeda")*(Inputs!$G$5:$G$110&lt;&gt;"acoes")))*INDEX(Inputs!$K$5:$AJ$110,0,MATCH(I$2,Inputs!$K$4:$AJ$4,0)))+SUMPRODUCT((Inputs!$C$5:$C$110=$B61)*Inputs!$D$5:$D$110*(((Inputs!$G$5:$G$110="moeda")+(Inputs!$G$5:$G$110="acoes"))*Inputs!$B$1+((Inputs!$G$5:$G$110&lt;&gt;"moeda")*(Inputs!$G$5:$G$110&lt;&gt;"acoes")))*INDEX(Inputs!$K$5:$AJ$110,0,MATCH(I$2,Inputs!$K$4:$AJ$4,0)))+SUMPRODUCT((Inputs!$E$5:$E$110=$B61)*Inputs!$F$5:$F$110*(((Inputs!$G$5:$G$110="moeda")+(Inputs!$G$5:$G$110="acoes"))*Inputs!$B$1+((Inputs!$G$5:$G$110&lt;&gt;"moeda")*(Inputs!$G$5:$G$110&lt;&gt;"acoes")))*INDEX(Inputs!$K$5:$AJ$110,0,MATCH(I$2,Inputs!$K$4:$AJ$4,0)))))</f>
        <v>12494</v>
      </c>
      <c r="J61" s="263">
        <f>IF(ISNA(MATCH(J$2,Inputs!$K$4:$AJ$4,0)),NA(),IF(SUMPRODUCT((Inputs!$A$5:$A$110=$B61)*ISNUMBER(INDEX(Inputs!$K$5:$AJ$110,0,MATCH(J$2,Inputs!$K$4:$AJ$4,0))))+SUMPRODUCT((Inputs!$C$5:$C$110=$B61)*ISNUMBER(INDEX(Inputs!$K$5:$AJ$110,0,MATCH(J$2,Inputs!$K$4:$AJ$4,0))))+SUMPRODUCT((Inputs!$E$5:$E$110=$B61)*ISNUMBER(INDEX(Inputs!$K$5:$AJ$110,0,MATCH(J$2,Inputs!$K$4:$AJ$4,0))))=0,NA(),SUMPRODUCT((Inputs!$A$5:$A$110=$B61)*Inputs!$B$5:$B$110*(((Inputs!$G$5:$G$110="moeda")+(Inputs!$G$5:$G$110="acoes"))*Inputs!$B$1+((Inputs!$G$5:$G$110&lt;&gt;"moeda")*(Inputs!$G$5:$G$110&lt;&gt;"acoes")))*INDEX(Inputs!$K$5:$AJ$110,0,MATCH(J$2,Inputs!$K$4:$AJ$4,0)))+SUMPRODUCT((Inputs!$C$5:$C$110=$B61)*Inputs!$D$5:$D$110*(((Inputs!$G$5:$G$110="moeda")+(Inputs!$G$5:$G$110="acoes"))*Inputs!$B$1+((Inputs!$G$5:$G$110&lt;&gt;"moeda")*(Inputs!$G$5:$G$110&lt;&gt;"acoes")))*INDEX(Inputs!$K$5:$AJ$110,0,MATCH(J$2,Inputs!$K$4:$AJ$4,0)))+SUMPRODUCT((Inputs!$E$5:$E$110=$B61)*Inputs!$F$5:$F$110*(((Inputs!$G$5:$G$110="moeda")+(Inputs!$G$5:$G$110="acoes"))*Inputs!$B$1+((Inputs!$G$5:$G$110&lt;&gt;"moeda")*(Inputs!$G$5:$G$110&lt;&gt;"acoes")))*INDEX(Inputs!$K$5:$AJ$110,0,MATCH(J$2,Inputs!$K$4:$AJ$4,0)))))</f>
        <v>12761</v>
      </c>
      <c r="K61" s="263">
        <f>IF(ISNA(MATCH(K$2,Inputs!$K$4:$AJ$4,0)),NA(),IF(SUMPRODUCT((Inputs!$A$5:$A$110=$B61)*ISNUMBER(INDEX(Inputs!$K$5:$AJ$110,0,MATCH(K$2,Inputs!$K$4:$AJ$4,0))))+SUMPRODUCT((Inputs!$C$5:$C$110=$B61)*ISNUMBER(INDEX(Inputs!$K$5:$AJ$110,0,MATCH(K$2,Inputs!$K$4:$AJ$4,0))))+SUMPRODUCT((Inputs!$E$5:$E$110=$B61)*ISNUMBER(INDEX(Inputs!$K$5:$AJ$110,0,MATCH(K$2,Inputs!$K$4:$AJ$4,0))))=0,NA(),SUMPRODUCT((Inputs!$A$5:$A$110=$B61)*Inputs!$B$5:$B$110*(((Inputs!$G$5:$G$110="moeda")+(Inputs!$G$5:$G$110="acoes"))*Inputs!$B$1+((Inputs!$G$5:$G$110&lt;&gt;"moeda")*(Inputs!$G$5:$G$110&lt;&gt;"acoes")))*INDEX(Inputs!$K$5:$AJ$110,0,MATCH(K$2,Inputs!$K$4:$AJ$4,0)))+SUMPRODUCT((Inputs!$C$5:$C$110=$B61)*Inputs!$D$5:$D$110*(((Inputs!$G$5:$G$110="moeda")+(Inputs!$G$5:$G$110="acoes"))*Inputs!$B$1+((Inputs!$G$5:$G$110&lt;&gt;"moeda")*(Inputs!$G$5:$G$110&lt;&gt;"acoes")))*INDEX(Inputs!$K$5:$AJ$110,0,MATCH(K$2,Inputs!$K$4:$AJ$4,0)))+SUMPRODUCT((Inputs!$E$5:$E$110=$B61)*Inputs!$F$5:$F$110*(((Inputs!$G$5:$G$110="moeda")+(Inputs!$G$5:$G$110="acoes"))*Inputs!$B$1+((Inputs!$G$5:$G$110&lt;&gt;"moeda")*(Inputs!$G$5:$G$110&lt;&gt;"acoes")))*INDEX(Inputs!$K$5:$AJ$110,0,MATCH(K$2,Inputs!$K$4:$AJ$4,0)))))</f>
        <v>14011</v>
      </c>
      <c r="L61" s="263">
        <f>IF(ISNA(MATCH(L$2,Inputs!$K$4:$AJ$4,0)),NA(),IF(SUMPRODUCT((Inputs!$A$5:$A$110=$B61)*ISNUMBER(INDEX(Inputs!$K$5:$AJ$110,0,MATCH(L$2,Inputs!$K$4:$AJ$4,0))))+SUMPRODUCT((Inputs!$C$5:$C$110=$B61)*ISNUMBER(INDEX(Inputs!$K$5:$AJ$110,0,MATCH(L$2,Inputs!$K$4:$AJ$4,0))))+SUMPRODUCT((Inputs!$E$5:$E$110=$B61)*ISNUMBER(INDEX(Inputs!$K$5:$AJ$110,0,MATCH(L$2,Inputs!$K$4:$AJ$4,0))))=0,NA(),SUMPRODUCT((Inputs!$A$5:$A$110=$B61)*Inputs!$B$5:$B$110*(((Inputs!$G$5:$G$110="moeda")+(Inputs!$G$5:$G$110="acoes"))*Inputs!$B$1+((Inputs!$G$5:$G$110&lt;&gt;"moeda")*(Inputs!$G$5:$G$110&lt;&gt;"acoes")))*INDEX(Inputs!$K$5:$AJ$110,0,MATCH(L$2,Inputs!$K$4:$AJ$4,0)))+SUMPRODUCT((Inputs!$C$5:$C$110=$B61)*Inputs!$D$5:$D$110*(((Inputs!$G$5:$G$110="moeda")+(Inputs!$G$5:$G$110="acoes"))*Inputs!$B$1+((Inputs!$G$5:$G$110&lt;&gt;"moeda")*(Inputs!$G$5:$G$110&lt;&gt;"acoes")))*INDEX(Inputs!$K$5:$AJ$110,0,MATCH(L$2,Inputs!$K$4:$AJ$4,0)))+SUMPRODUCT((Inputs!$E$5:$E$110=$B61)*Inputs!$F$5:$F$110*(((Inputs!$G$5:$G$110="moeda")+(Inputs!$G$5:$G$110="acoes"))*Inputs!$B$1+((Inputs!$G$5:$G$110&lt;&gt;"moeda")*(Inputs!$G$5:$G$110&lt;&gt;"acoes")))*INDEX(Inputs!$K$5:$AJ$110,0,MATCH(L$2,Inputs!$K$4:$AJ$4,0)))))</f>
        <v>16200</v>
      </c>
      <c r="M61" s="264">
        <f>SUM(I61:L61)</f>
        <v>55466</v>
      </c>
      <c r="N61" s="263">
        <f>IF(ISNA(MATCH(N$2,Inputs!$K$4:$AJ$4,0)),NA(),IF(SUMPRODUCT((Inputs!$A$5:$A$110=$B61)*ISNUMBER(INDEX(Inputs!$K$5:$AJ$110,0,MATCH(N$2,Inputs!$K$4:$AJ$4,0))))+SUMPRODUCT((Inputs!$C$5:$C$110=$B61)*ISNUMBER(INDEX(Inputs!$K$5:$AJ$110,0,MATCH(N$2,Inputs!$K$4:$AJ$4,0))))+SUMPRODUCT((Inputs!$E$5:$E$110=$B61)*ISNUMBER(INDEX(Inputs!$K$5:$AJ$110,0,MATCH(N$2,Inputs!$K$4:$AJ$4,0))))=0,NA(),SUMPRODUCT((Inputs!$A$5:$A$110=$B61)*Inputs!$B$5:$B$110*(((Inputs!$G$5:$G$110="moeda")+(Inputs!$G$5:$G$110="acoes"))*Inputs!$B$1+((Inputs!$G$5:$G$110&lt;&gt;"moeda")*(Inputs!$G$5:$G$110&lt;&gt;"acoes")))*INDEX(Inputs!$K$5:$AJ$110,0,MATCH(N$2,Inputs!$K$4:$AJ$4,0)))+SUMPRODUCT((Inputs!$C$5:$C$110=$B61)*Inputs!$D$5:$D$110*(((Inputs!$G$5:$G$110="moeda")+(Inputs!$G$5:$G$110="acoes"))*Inputs!$B$1+((Inputs!$G$5:$G$110&lt;&gt;"moeda")*(Inputs!$G$5:$G$110&lt;&gt;"acoes")))*INDEX(Inputs!$K$5:$AJ$110,0,MATCH(N$2,Inputs!$K$4:$AJ$4,0)))+SUMPRODUCT((Inputs!$E$5:$E$110=$B61)*Inputs!$F$5:$F$110*(((Inputs!$G$5:$G$110="moeda")+(Inputs!$G$5:$G$110="acoes"))*Inputs!$B$1+((Inputs!$G$5:$G$110&lt;&gt;"moeda")*(Inputs!$G$5:$G$110&lt;&gt;"acoes")))*INDEX(Inputs!$K$5:$AJ$110,0,MATCH(N$2,Inputs!$K$4:$AJ$4,0)))))</f>
        <v>12526</v>
      </c>
      <c r="O61" s="263">
        <f>IF(ISNA(MATCH(O$2,Inputs!$K$4:$AJ$4,0)),NA(),IF(SUMPRODUCT((Inputs!$A$5:$A$110=$B61)*ISNUMBER(INDEX(Inputs!$K$5:$AJ$110,0,MATCH(O$2,Inputs!$K$4:$AJ$4,0))))+SUMPRODUCT((Inputs!$C$5:$C$110=$B61)*ISNUMBER(INDEX(Inputs!$K$5:$AJ$110,0,MATCH(O$2,Inputs!$K$4:$AJ$4,0))))+SUMPRODUCT((Inputs!$E$5:$E$110=$B61)*ISNUMBER(INDEX(Inputs!$K$5:$AJ$110,0,MATCH(O$2,Inputs!$K$4:$AJ$4,0))))=0,NA(),SUMPRODUCT((Inputs!$A$5:$A$110=$B61)*Inputs!$B$5:$B$110*(((Inputs!$G$5:$G$110="moeda")+(Inputs!$G$5:$G$110="acoes"))*Inputs!$B$1+((Inputs!$G$5:$G$110&lt;&gt;"moeda")*(Inputs!$G$5:$G$110&lt;&gt;"acoes")))*INDEX(Inputs!$K$5:$AJ$110,0,MATCH(O$2,Inputs!$K$4:$AJ$4,0)))+SUMPRODUCT((Inputs!$C$5:$C$110=$B61)*Inputs!$D$5:$D$110*(((Inputs!$G$5:$G$110="moeda")+(Inputs!$G$5:$G$110="acoes"))*Inputs!$B$1+((Inputs!$G$5:$G$110&lt;&gt;"moeda")*(Inputs!$G$5:$G$110&lt;&gt;"acoes")))*INDEX(Inputs!$K$5:$AJ$110,0,MATCH(O$2,Inputs!$K$4:$AJ$4,0)))+SUMPRODUCT((Inputs!$E$5:$E$110=$B61)*Inputs!$F$5:$F$110*(((Inputs!$G$5:$G$110="moeda")+(Inputs!$G$5:$G$110="acoes"))*Inputs!$B$1+((Inputs!$G$5:$G$110&lt;&gt;"moeda")*(Inputs!$G$5:$G$110&lt;&gt;"acoes")))*INDEX(Inputs!$K$5:$AJ$110,0,MATCH(O$2,Inputs!$K$4:$AJ$4,0)))))</f>
        <v>13758</v>
      </c>
      <c r="P61" s="263">
        <f>IF(ISNA(MATCH(P$2,Inputs!$K$4:$AJ$4,0)),NA(),IF(SUMPRODUCT((Inputs!$A$5:$A$110=$B61)*ISNUMBER(INDEX(Inputs!$K$5:$AJ$110,0,MATCH(P$2,Inputs!$K$4:$AJ$4,0))))+SUMPRODUCT((Inputs!$C$5:$C$110=$B61)*ISNUMBER(INDEX(Inputs!$K$5:$AJ$110,0,MATCH(P$2,Inputs!$K$4:$AJ$4,0))))+SUMPRODUCT((Inputs!$E$5:$E$110=$B61)*ISNUMBER(INDEX(Inputs!$K$5:$AJ$110,0,MATCH(P$2,Inputs!$K$4:$AJ$4,0))))=0,NA(),SUMPRODUCT((Inputs!$A$5:$A$110=$B61)*Inputs!$B$5:$B$110*(((Inputs!$G$5:$G$110="moeda")+(Inputs!$G$5:$G$110="acoes"))*Inputs!$B$1+((Inputs!$G$5:$G$110&lt;&gt;"moeda")*(Inputs!$G$5:$G$110&lt;&gt;"acoes")))*INDEX(Inputs!$K$5:$AJ$110,0,MATCH(P$2,Inputs!$K$4:$AJ$4,0)))+SUMPRODUCT((Inputs!$C$5:$C$110=$B61)*Inputs!$D$5:$D$110*(((Inputs!$G$5:$G$110="moeda")+(Inputs!$G$5:$G$110="acoes"))*Inputs!$B$1+((Inputs!$G$5:$G$110&lt;&gt;"moeda")*(Inputs!$G$5:$G$110&lt;&gt;"acoes")))*INDEX(Inputs!$K$5:$AJ$110,0,MATCH(P$2,Inputs!$K$4:$AJ$4,0)))+SUMPRODUCT((Inputs!$E$5:$E$110=$B61)*Inputs!$F$5:$F$110*(((Inputs!$G$5:$G$110="moeda")+(Inputs!$G$5:$G$110="acoes"))*Inputs!$B$1+((Inputs!$G$5:$G$110&lt;&gt;"moeda")*(Inputs!$G$5:$G$110&lt;&gt;"acoes")))*INDEX(Inputs!$K$5:$AJ$110,0,MATCH(P$2,Inputs!$K$4:$AJ$4,0)))))</f>
        <v>14014</v>
      </c>
      <c r="Q61" s="263">
        <f>IF(ISNA(MATCH(Q$2,Inputs!$K$4:$AJ$4,0)),NA(),IF(SUMPRODUCT((Inputs!$A$5:$A$110=$B61)*ISNUMBER(INDEX(Inputs!$K$5:$AJ$110,0,MATCH(Q$2,Inputs!$K$4:$AJ$4,0))))+SUMPRODUCT((Inputs!$C$5:$C$110=$B61)*ISNUMBER(INDEX(Inputs!$K$5:$AJ$110,0,MATCH(Q$2,Inputs!$K$4:$AJ$4,0))))+SUMPRODUCT((Inputs!$E$5:$E$110=$B61)*ISNUMBER(INDEX(Inputs!$K$5:$AJ$110,0,MATCH(Q$2,Inputs!$K$4:$AJ$4,0))))=0,NA(),SUMPRODUCT((Inputs!$A$5:$A$110=$B61)*Inputs!$B$5:$B$110*(((Inputs!$G$5:$G$110="moeda")+(Inputs!$G$5:$G$110="acoes"))*Inputs!$B$1+((Inputs!$G$5:$G$110&lt;&gt;"moeda")*(Inputs!$G$5:$G$110&lt;&gt;"acoes")))*INDEX(Inputs!$K$5:$AJ$110,0,MATCH(Q$2,Inputs!$K$4:$AJ$4,0)))+SUMPRODUCT((Inputs!$C$5:$C$110=$B61)*Inputs!$D$5:$D$110*(((Inputs!$G$5:$G$110="moeda")+(Inputs!$G$5:$G$110="acoes"))*Inputs!$B$1+((Inputs!$G$5:$G$110&lt;&gt;"moeda")*(Inputs!$G$5:$G$110&lt;&gt;"acoes")))*INDEX(Inputs!$K$5:$AJ$110,0,MATCH(Q$2,Inputs!$K$4:$AJ$4,0)))+SUMPRODUCT((Inputs!$E$5:$E$110=$B61)*Inputs!$F$5:$F$110*(((Inputs!$G$5:$G$110="moeda")+(Inputs!$G$5:$G$110="acoes"))*Inputs!$B$1+((Inputs!$G$5:$G$110&lt;&gt;"moeda")*(Inputs!$G$5:$G$110&lt;&gt;"acoes")))*INDEX(Inputs!$K$5:$AJ$110,0,MATCH(Q$2,Inputs!$K$4:$AJ$4,0)))))</f>
        <v>15967</v>
      </c>
      <c r="R61" s="264">
        <f>SUM(N61:Q61)</f>
        <v>56265</v>
      </c>
      <c r="S61" s="263">
        <f>IF(ISNA(MATCH(S$2,Inputs!$K$4:$AJ$4,0)),NA(),IF(SUMPRODUCT((Inputs!$A$5:$A$110=$B61)*ISNUMBER(INDEX(Inputs!$K$5:$AJ$110,0,MATCH(S$2,Inputs!$K$4:$AJ$4,0))))+SUMPRODUCT((Inputs!$C$5:$C$110=$B61)*ISNUMBER(INDEX(Inputs!$K$5:$AJ$110,0,MATCH(S$2,Inputs!$K$4:$AJ$4,0))))+SUMPRODUCT((Inputs!$E$5:$E$110=$B61)*ISNUMBER(INDEX(Inputs!$K$5:$AJ$110,0,MATCH(S$2,Inputs!$K$4:$AJ$4,0))))=0,NA(),SUMPRODUCT((Inputs!$A$5:$A$110=$B61)*Inputs!$B$5:$B$110*(((Inputs!$G$5:$G$110="moeda")+(Inputs!$G$5:$G$110="acoes"))*Inputs!$B$1+((Inputs!$G$5:$G$110&lt;&gt;"moeda")*(Inputs!$G$5:$G$110&lt;&gt;"acoes")))*INDEX(Inputs!$K$5:$AJ$110,0,MATCH(S$2,Inputs!$K$4:$AJ$4,0)))+SUMPRODUCT((Inputs!$C$5:$C$110=$B61)*Inputs!$D$5:$D$110*(((Inputs!$G$5:$G$110="moeda")+(Inputs!$G$5:$G$110="acoes"))*Inputs!$B$1+((Inputs!$G$5:$G$110&lt;&gt;"moeda")*(Inputs!$G$5:$G$110&lt;&gt;"acoes")))*INDEX(Inputs!$K$5:$AJ$110,0,MATCH(S$2,Inputs!$K$4:$AJ$4,0)))+SUMPRODUCT((Inputs!$E$5:$E$110=$B61)*Inputs!$F$5:$F$110*(((Inputs!$G$5:$G$110="moeda")+(Inputs!$G$5:$G$110="acoes"))*Inputs!$B$1+((Inputs!$G$5:$G$110&lt;&gt;"moeda")*(Inputs!$G$5:$G$110&lt;&gt;"acoes")))*INDEX(Inputs!$K$5:$AJ$110,0,MATCH(S$2,Inputs!$K$4:$AJ$4,0)))))</f>
        <v>14196</v>
      </c>
      <c r="T61" s="263">
        <f>IF(ISNA(MATCH(T$2,Inputs!$K$4:$AJ$4,0)),NA(),IF(SUMPRODUCT((Inputs!$A$5:$A$110=$B61)*ISNUMBER(INDEX(Inputs!$K$5:$AJ$110,0,MATCH(T$2,Inputs!$K$4:$AJ$4,0))))+SUMPRODUCT((Inputs!$C$5:$C$110=$B61)*ISNUMBER(INDEX(Inputs!$K$5:$AJ$110,0,MATCH(T$2,Inputs!$K$4:$AJ$4,0))))+SUMPRODUCT((Inputs!$E$5:$E$110=$B61)*ISNUMBER(INDEX(Inputs!$K$5:$AJ$110,0,MATCH(T$2,Inputs!$K$4:$AJ$4,0))))=0,NA(),SUMPRODUCT((Inputs!$A$5:$A$110=$B61)*Inputs!$B$5:$B$110*(((Inputs!$G$5:$G$110="moeda")+(Inputs!$G$5:$G$110="acoes"))*Inputs!$B$1+((Inputs!$G$5:$G$110&lt;&gt;"moeda")*(Inputs!$G$5:$G$110&lt;&gt;"acoes")))*INDEX(Inputs!$K$5:$AJ$110,0,MATCH(T$2,Inputs!$K$4:$AJ$4,0)))+SUMPRODUCT((Inputs!$C$5:$C$110=$B61)*Inputs!$D$5:$D$110*(((Inputs!$G$5:$G$110="moeda")+(Inputs!$G$5:$G$110="acoes"))*Inputs!$B$1+((Inputs!$G$5:$G$110&lt;&gt;"moeda")*(Inputs!$G$5:$G$110&lt;&gt;"acoes")))*INDEX(Inputs!$K$5:$AJ$110,0,MATCH(T$2,Inputs!$K$4:$AJ$4,0)))+SUMPRODUCT((Inputs!$E$5:$E$110=$B61)*Inputs!$F$5:$F$110*(((Inputs!$G$5:$G$110="moeda")+(Inputs!$G$5:$G$110="acoes"))*Inputs!$B$1+((Inputs!$G$5:$G$110&lt;&gt;"moeda")*(Inputs!$G$5:$G$110&lt;&gt;"acoes")))*INDEX(Inputs!$K$5:$AJ$110,0,MATCH(T$2,Inputs!$K$4:$AJ$4,0)))))</f>
        <v>15109</v>
      </c>
      <c r="U61" s="263">
        <f>IF(ISNA(MATCH(U$2,Inputs!$K$4:$AJ$4,0)),NA(),IF(SUMPRODUCT((Inputs!$A$5:$A$110=$B61)*ISNUMBER(INDEX(Inputs!$K$5:$AJ$110,0,MATCH(U$2,Inputs!$K$4:$AJ$4,0))))+SUMPRODUCT((Inputs!$C$5:$C$110=$B61)*ISNUMBER(INDEX(Inputs!$K$5:$AJ$110,0,MATCH(U$2,Inputs!$K$4:$AJ$4,0))))+SUMPRODUCT((Inputs!$E$5:$E$110=$B61)*ISNUMBER(INDEX(Inputs!$K$5:$AJ$110,0,MATCH(U$2,Inputs!$K$4:$AJ$4,0))))=0,NA(),SUMPRODUCT((Inputs!$A$5:$A$110=$B61)*Inputs!$B$5:$B$110*(((Inputs!$G$5:$G$110="moeda")+(Inputs!$G$5:$G$110="acoes"))*Inputs!$B$1+((Inputs!$G$5:$G$110&lt;&gt;"moeda")*(Inputs!$G$5:$G$110&lt;&gt;"acoes")))*INDEX(Inputs!$K$5:$AJ$110,0,MATCH(U$2,Inputs!$K$4:$AJ$4,0)))+SUMPRODUCT((Inputs!$C$5:$C$110=$B61)*Inputs!$D$5:$D$110*(((Inputs!$G$5:$G$110="moeda")+(Inputs!$G$5:$G$110="acoes"))*Inputs!$B$1+((Inputs!$G$5:$G$110&lt;&gt;"moeda")*(Inputs!$G$5:$G$110&lt;&gt;"acoes")))*INDEX(Inputs!$K$5:$AJ$110,0,MATCH(U$2,Inputs!$K$4:$AJ$4,0)))+SUMPRODUCT((Inputs!$E$5:$E$110=$B61)*Inputs!$F$5:$F$110*(((Inputs!$G$5:$G$110="moeda")+(Inputs!$G$5:$G$110="acoes"))*Inputs!$B$1+((Inputs!$G$5:$G$110&lt;&gt;"moeda")*(Inputs!$G$5:$G$110&lt;&gt;"acoes")))*INDEX(Inputs!$K$5:$AJ$110,0,MATCH(U$2,Inputs!$K$4:$AJ$4,0)))))</f>
        <v>14472</v>
      </c>
      <c r="V61" s="263">
        <f>IF(ISNA(MATCH(V$2,Inputs!$K$4:$AJ$4,0)),NA(),IF(SUMPRODUCT((Inputs!$A$5:$A$110=$B61)*ISNUMBER(INDEX(Inputs!$K$5:$AJ$110,0,MATCH(V$2,Inputs!$K$4:$AJ$4,0))))+SUMPRODUCT((Inputs!$C$5:$C$110=$B61)*ISNUMBER(INDEX(Inputs!$K$5:$AJ$110,0,MATCH(V$2,Inputs!$K$4:$AJ$4,0))))+SUMPRODUCT((Inputs!$E$5:$E$110=$B61)*ISNUMBER(INDEX(Inputs!$K$5:$AJ$110,0,MATCH(V$2,Inputs!$K$4:$AJ$4,0))))=0,NA(),SUMPRODUCT((Inputs!$A$5:$A$110=$B61)*Inputs!$B$5:$B$110*(((Inputs!$G$5:$G$110="moeda")+(Inputs!$G$5:$G$110="acoes"))*Inputs!$B$1+((Inputs!$G$5:$G$110&lt;&gt;"moeda")*(Inputs!$G$5:$G$110&lt;&gt;"acoes")))*INDEX(Inputs!$K$5:$AJ$110,0,MATCH(V$2,Inputs!$K$4:$AJ$4,0)))+SUMPRODUCT((Inputs!$C$5:$C$110=$B61)*Inputs!$D$5:$D$110*(((Inputs!$G$5:$G$110="moeda")+(Inputs!$G$5:$G$110="acoes"))*Inputs!$B$1+((Inputs!$G$5:$G$110&lt;&gt;"moeda")*(Inputs!$G$5:$G$110&lt;&gt;"acoes")))*INDEX(Inputs!$K$5:$AJ$110,0,MATCH(V$2,Inputs!$K$4:$AJ$4,0)))+SUMPRODUCT((Inputs!$E$5:$E$110=$B61)*Inputs!$F$5:$F$110*(((Inputs!$G$5:$G$110="moeda")+(Inputs!$G$5:$G$110="acoes"))*Inputs!$B$1+((Inputs!$G$5:$G$110&lt;&gt;"moeda")*(Inputs!$G$5:$G$110&lt;&gt;"acoes")))*INDEX(Inputs!$K$5:$AJ$110,0,MATCH(V$2,Inputs!$K$4:$AJ$4,0)))))</f>
        <v>15500</v>
      </c>
      <c r="W61" s="264">
        <f>SUM(S61:V61)</f>
        <v>59277</v>
      </c>
      <c r="X61" s="263">
        <f>IF(ISNA(MATCH(X$2,Inputs!$K$4:$AJ$4,0)),NA(),IF(SUMPRODUCT((Inputs!$A$5:$A$110=$B61)*ISNUMBER(INDEX(Inputs!$K$5:$AJ$110,0,MATCH(X$2,Inputs!$K$4:$AJ$4,0))))+SUMPRODUCT((Inputs!$C$5:$C$110=$B61)*ISNUMBER(INDEX(Inputs!$K$5:$AJ$110,0,MATCH(X$2,Inputs!$K$4:$AJ$4,0))))+SUMPRODUCT((Inputs!$E$5:$E$110=$B61)*ISNUMBER(INDEX(Inputs!$K$5:$AJ$110,0,MATCH(X$2,Inputs!$K$4:$AJ$4,0))))=0,NA(),SUMPRODUCT((Inputs!$A$5:$A$110=$B61)*Inputs!$B$5:$B$110*(((Inputs!$G$5:$G$110="moeda")+(Inputs!$G$5:$G$110="acoes"))*Inputs!$B$1+((Inputs!$G$5:$G$110&lt;&gt;"moeda")*(Inputs!$G$5:$G$110&lt;&gt;"acoes")))*INDEX(Inputs!$K$5:$AJ$110,0,MATCH(X$2,Inputs!$K$4:$AJ$4,0)))+SUMPRODUCT((Inputs!$C$5:$C$110=$B61)*Inputs!$D$5:$D$110*(((Inputs!$G$5:$G$110="moeda")+(Inputs!$G$5:$G$110="acoes"))*Inputs!$B$1+((Inputs!$G$5:$G$110&lt;&gt;"moeda")*(Inputs!$G$5:$G$110&lt;&gt;"acoes")))*INDEX(Inputs!$K$5:$AJ$110,0,MATCH(X$2,Inputs!$K$4:$AJ$4,0)))+SUMPRODUCT((Inputs!$E$5:$E$110=$B61)*Inputs!$F$5:$F$110*(((Inputs!$G$5:$G$110="moeda")+(Inputs!$G$5:$G$110="acoes"))*Inputs!$B$1+((Inputs!$G$5:$G$110&lt;&gt;"moeda")*(Inputs!$G$5:$G$110&lt;&gt;"acoes")))*INDEX(Inputs!$K$5:$AJ$110,0,MATCH(X$2,Inputs!$K$4:$AJ$4,0)))))</f>
        <v>14936</v>
      </c>
      <c r="Y61" s="263">
        <f>IF(ISNA(MATCH(Y$2,Inputs!$K$4:$AJ$4,0)),NA(),IF(SUMPRODUCT((Inputs!$A$5:$A$110=$B61)*ISNUMBER(INDEX(Inputs!$K$5:$AJ$110,0,MATCH(Y$2,Inputs!$K$4:$AJ$4,0))))+SUMPRODUCT((Inputs!$C$5:$C$110=$B61)*ISNUMBER(INDEX(Inputs!$K$5:$AJ$110,0,MATCH(Y$2,Inputs!$K$4:$AJ$4,0))))+SUMPRODUCT((Inputs!$E$5:$E$110=$B61)*ISNUMBER(INDEX(Inputs!$K$5:$AJ$110,0,MATCH(Y$2,Inputs!$K$4:$AJ$4,0))))=0,NA(),SUMPRODUCT((Inputs!$A$5:$A$110=$B61)*Inputs!$B$5:$B$110*(((Inputs!$G$5:$G$110="moeda")+(Inputs!$G$5:$G$110="acoes"))*Inputs!$B$1+((Inputs!$G$5:$G$110&lt;&gt;"moeda")*(Inputs!$G$5:$G$110&lt;&gt;"acoes")))*INDEX(Inputs!$K$5:$AJ$110,0,MATCH(Y$2,Inputs!$K$4:$AJ$4,0)))+SUMPRODUCT((Inputs!$C$5:$C$110=$B61)*Inputs!$D$5:$D$110*(((Inputs!$G$5:$G$110="moeda")+(Inputs!$G$5:$G$110="acoes"))*Inputs!$B$1+((Inputs!$G$5:$G$110&lt;&gt;"moeda")*(Inputs!$G$5:$G$110&lt;&gt;"acoes")))*INDEX(Inputs!$K$5:$AJ$110,0,MATCH(Y$2,Inputs!$K$4:$AJ$4,0)))+SUMPRODUCT((Inputs!$E$5:$E$110=$B61)*Inputs!$F$5:$F$110*(((Inputs!$G$5:$G$110="moeda")+(Inputs!$G$5:$G$110="acoes"))*Inputs!$B$1+((Inputs!$G$5:$G$110&lt;&gt;"moeda")*(Inputs!$G$5:$G$110&lt;&gt;"acoes")))*INDEX(Inputs!$K$5:$AJ$110,0,MATCH(Y$2,Inputs!$K$4:$AJ$4,0)))))</f>
        <v>15149</v>
      </c>
      <c r="Z61" s="263">
        <f>IF(ISNA(MATCH(Z$2,Inputs!$K$4:$AJ$4,0)),NA(),IF(SUMPRODUCT((Inputs!$A$5:$A$110=$B61)*ISNUMBER(INDEX(Inputs!$K$5:$AJ$110,0,MATCH(Z$2,Inputs!$K$4:$AJ$4,0))))+SUMPRODUCT((Inputs!$C$5:$C$110=$B61)*ISNUMBER(INDEX(Inputs!$K$5:$AJ$110,0,MATCH(Z$2,Inputs!$K$4:$AJ$4,0))))+SUMPRODUCT((Inputs!$E$5:$E$110=$B61)*ISNUMBER(INDEX(Inputs!$K$5:$AJ$110,0,MATCH(Z$2,Inputs!$K$4:$AJ$4,0))))=0,NA(),SUMPRODUCT((Inputs!$A$5:$A$110=$B61)*Inputs!$B$5:$B$110*(((Inputs!$G$5:$G$110="moeda")+(Inputs!$G$5:$G$110="acoes"))*Inputs!$B$1+((Inputs!$G$5:$G$110&lt;&gt;"moeda")*(Inputs!$G$5:$G$110&lt;&gt;"acoes")))*INDEX(Inputs!$K$5:$AJ$110,0,MATCH(Z$2,Inputs!$K$4:$AJ$4,0)))+SUMPRODUCT((Inputs!$C$5:$C$110=$B61)*Inputs!$D$5:$D$110*(((Inputs!$G$5:$G$110="moeda")+(Inputs!$G$5:$G$110="acoes"))*Inputs!$B$1+((Inputs!$G$5:$G$110&lt;&gt;"moeda")*(Inputs!$G$5:$G$110&lt;&gt;"acoes")))*INDEX(Inputs!$K$5:$AJ$110,0,MATCH(Z$2,Inputs!$K$4:$AJ$4,0)))+SUMPRODUCT((Inputs!$E$5:$E$110=$B61)*Inputs!$F$5:$F$110*(((Inputs!$G$5:$G$110="moeda")+(Inputs!$G$5:$G$110="acoes"))*Inputs!$B$1+((Inputs!$G$5:$G$110&lt;&gt;"moeda")*(Inputs!$G$5:$G$110&lt;&gt;"acoes")))*INDEX(Inputs!$K$5:$AJ$110,0,MATCH(Z$2,Inputs!$K$4:$AJ$4,0)))))</f>
        <v>15311</v>
      </c>
      <c r="AA61" s="263">
        <f>IF(ISNA(MATCH(AA$2,Inputs!$K$4:$AJ$4,0)),NA(),IF(SUMPRODUCT((Inputs!$A$5:$A$110=$B61)*ISNUMBER(INDEX(Inputs!$K$5:$AJ$110,0,MATCH(AA$2,Inputs!$K$4:$AJ$4,0))))+SUMPRODUCT((Inputs!$C$5:$C$110=$B61)*ISNUMBER(INDEX(Inputs!$K$5:$AJ$110,0,MATCH(AA$2,Inputs!$K$4:$AJ$4,0))))+SUMPRODUCT((Inputs!$E$5:$E$110=$B61)*ISNUMBER(INDEX(Inputs!$K$5:$AJ$110,0,MATCH(AA$2,Inputs!$K$4:$AJ$4,0))))=0,NA(),SUMPRODUCT((Inputs!$A$5:$A$110=$B61)*Inputs!$B$5:$B$110*(((Inputs!$G$5:$G$110="moeda")+(Inputs!$G$5:$G$110="acoes"))*Inputs!$B$1+((Inputs!$G$5:$G$110&lt;&gt;"moeda")*(Inputs!$G$5:$G$110&lt;&gt;"acoes")))*INDEX(Inputs!$K$5:$AJ$110,0,MATCH(AA$2,Inputs!$K$4:$AJ$4,0)))+SUMPRODUCT((Inputs!$C$5:$C$110=$B61)*Inputs!$D$5:$D$110*(((Inputs!$G$5:$G$110="moeda")+(Inputs!$G$5:$G$110="acoes"))*Inputs!$B$1+((Inputs!$G$5:$G$110&lt;&gt;"moeda")*(Inputs!$G$5:$G$110&lt;&gt;"acoes")))*INDEX(Inputs!$K$5:$AJ$110,0,MATCH(AA$2,Inputs!$K$4:$AJ$4,0)))+SUMPRODUCT((Inputs!$E$5:$E$110=$B61)*Inputs!$F$5:$F$110*(((Inputs!$G$5:$G$110="moeda")+(Inputs!$G$5:$G$110="acoes"))*Inputs!$B$1+((Inputs!$G$5:$G$110&lt;&gt;"moeda")*(Inputs!$G$5:$G$110&lt;&gt;"acoes")))*INDEX(Inputs!$K$5:$AJ$110,0,MATCH(AA$2,Inputs!$K$4:$AJ$4,0)))))</f>
        <v>17258</v>
      </c>
      <c r="AB61" s="264">
        <f>SUM(X61:AA61)</f>
        <v>62654</v>
      </c>
      <c r="AC61" s="263">
        <f>IF(ISNA(MATCH(AC$2,Inputs!$K$4:$AJ$4,0)),NA(),IF(SUMPRODUCT((Inputs!$A$5:$A$110=$B61)*ISNUMBER(INDEX(Inputs!$K$5:$AJ$110,0,MATCH(AC$2,Inputs!$K$4:$AJ$4,0))))+SUMPRODUCT((Inputs!$C$5:$C$110=$B61)*ISNUMBER(INDEX(Inputs!$K$5:$AJ$110,0,MATCH(AC$2,Inputs!$K$4:$AJ$4,0))))+SUMPRODUCT((Inputs!$E$5:$E$110=$B61)*ISNUMBER(INDEX(Inputs!$K$5:$AJ$110,0,MATCH(AC$2,Inputs!$K$4:$AJ$4,0))))=0,NA(),SUMPRODUCT((Inputs!$A$5:$A$110=$B61)*Inputs!$B$5:$B$110*(((Inputs!$G$5:$G$110="moeda")+(Inputs!$G$5:$G$110="acoes"))*Inputs!$B$1+((Inputs!$G$5:$G$110&lt;&gt;"moeda")*(Inputs!$G$5:$G$110&lt;&gt;"acoes")))*INDEX(Inputs!$K$5:$AJ$110,0,MATCH(AC$2,Inputs!$K$4:$AJ$4,0)))+SUMPRODUCT((Inputs!$C$5:$C$110=$B61)*Inputs!$D$5:$D$110*(((Inputs!$G$5:$G$110="moeda")+(Inputs!$G$5:$G$110="acoes"))*Inputs!$B$1+((Inputs!$G$5:$G$110&lt;&gt;"moeda")*(Inputs!$G$5:$G$110&lt;&gt;"acoes")))*INDEX(Inputs!$K$5:$AJ$110,0,MATCH(AC$2,Inputs!$K$4:$AJ$4,0)))+SUMPRODUCT((Inputs!$E$5:$E$110=$B61)*Inputs!$F$5:$F$110*(((Inputs!$G$5:$G$110="moeda")+(Inputs!$G$5:$G$110="acoes"))*Inputs!$B$1+((Inputs!$G$5:$G$110&lt;&gt;"moeda")*(Inputs!$G$5:$G$110&lt;&gt;"acoes")))*INDEX(Inputs!$K$5:$AJ$110,0,MATCH(AC$2,Inputs!$K$4:$AJ$4,0)))))</f>
        <v>14831</v>
      </c>
      <c r="AD61" s="263">
        <f>IF(ISNA(MATCH(AD$2,Inputs!$K$4:$AJ$4,0)),NA(),IF(SUMPRODUCT((Inputs!$A$5:$A$110=$B61)*ISNUMBER(INDEX(Inputs!$K$5:$AJ$110,0,MATCH(AD$2,Inputs!$K$4:$AJ$4,0))))+SUMPRODUCT((Inputs!$C$5:$C$110=$B61)*ISNUMBER(INDEX(Inputs!$K$5:$AJ$110,0,MATCH(AD$2,Inputs!$K$4:$AJ$4,0))))+SUMPRODUCT((Inputs!$E$5:$E$110=$B61)*ISNUMBER(INDEX(Inputs!$K$5:$AJ$110,0,MATCH(AD$2,Inputs!$K$4:$AJ$4,0))))=0,NA(),SUMPRODUCT((Inputs!$A$5:$A$110=$B61)*Inputs!$B$5:$B$110*(((Inputs!$G$5:$G$110="moeda")+(Inputs!$G$5:$G$110="acoes"))*Inputs!$B$1+((Inputs!$G$5:$G$110&lt;&gt;"moeda")*(Inputs!$G$5:$G$110&lt;&gt;"acoes")))*INDEX(Inputs!$K$5:$AJ$110,0,MATCH(AD$2,Inputs!$K$4:$AJ$4,0)))+SUMPRODUCT((Inputs!$C$5:$C$110=$B61)*Inputs!$D$5:$D$110*(((Inputs!$G$5:$G$110="moeda")+(Inputs!$G$5:$G$110="acoes"))*Inputs!$B$1+((Inputs!$G$5:$G$110&lt;&gt;"moeda")*(Inputs!$G$5:$G$110&lt;&gt;"acoes")))*INDEX(Inputs!$K$5:$AJ$110,0,MATCH(AD$2,Inputs!$K$4:$AJ$4,0)))+SUMPRODUCT((Inputs!$E$5:$E$110=$B61)*Inputs!$F$5:$F$110*(((Inputs!$G$5:$G$110="moeda")+(Inputs!$G$5:$G$110="acoes"))*Inputs!$B$1+((Inputs!$G$5:$G$110&lt;&gt;"moeda")*(Inputs!$G$5:$G$110&lt;&gt;"acoes")))*INDEX(Inputs!$K$5:$AJ$110,0,MATCH(AD$2,Inputs!$K$4:$AJ$4,0)))))</f>
        <v>16783</v>
      </c>
      <c r="AE61" s="263" t="e">
        <f>IF(ISNA(MATCH(AE$2,Inputs!$K$4:$AJ$4,0)),NA(),IF(SUMPRODUCT((Inputs!$A$5:$A$110=$B61)*ISNUMBER(INDEX(Inputs!$K$5:$AJ$110,0,MATCH(AE$2,Inputs!$K$4:$AJ$4,0))))+SUMPRODUCT((Inputs!$C$5:$C$110=$B61)*ISNUMBER(INDEX(Inputs!$K$5:$AJ$110,0,MATCH(AE$2,Inputs!$K$4:$AJ$4,0))))+SUMPRODUCT((Inputs!$E$5:$E$110=$B61)*ISNUMBER(INDEX(Inputs!$K$5:$AJ$110,0,MATCH(AE$2,Inputs!$K$4:$AJ$4,0))))=0,NA(),SUMPRODUCT((Inputs!$A$5:$A$110=$B61)*Inputs!$B$5:$B$110*(((Inputs!$G$5:$G$110="moeda")+(Inputs!$G$5:$G$110="acoes"))*Inputs!$B$1+((Inputs!$G$5:$G$110&lt;&gt;"moeda")*(Inputs!$G$5:$G$110&lt;&gt;"acoes")))*INDEX(Inputs!$K$5:$AJ$110,0,MATCH(AE$2,Inputs!$K$4:$AJ$4,0)))+SUMPRODUCT((Inputs!$C$5:$C$110=$B61)*Inputs!$D$5:$D$110*(((Inputs!$G$5:$G$110="moeda")+(Inputs!$G$5:$G$110="acoes"))*Inputs!$B$1+((Inputs!$G$5:$G$110&lt;&gt;"moeda")*(Inputs!$G$5:$G$110&lt;&gt;"acoes")))*INDEX(Inputs!$K$5:$AJ$110,0,MATCH(AE$2,Inputs!$K$4:$AJ$4,0)))+SUMPRODUCT((Inputs!$E$5:$E$110=$B61)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1" s="263" t="e">
        <f>IF(ISNA(MATCH(AF$2,Inputs!$K$4:$AJ$4,0)),NA(),IF(SUMPRODUCT((Inputs!$A$5:$A$110=$B61)*ISNUMBER(INDEX(Inputs!$K$5:$AJ$110,0,MATCH(AF$2,Inputs!$K$4:$AJ$4,0))))+SUMPRODUCT((Inputs!$C$5:$C$110=$B61)*ISNUMBER(INDEX(Inputs!$K$5:$AJ$110,0,MATCH(AF$2,Inputs!$K$4:$AJ$4,0))))+SUMPRODUCT((Inputs!$E$5:$E$110=$B61)*ISNUMBER(INDEX(Inputs!$K$5:$AJ$110,0,MATCH(AF$2,Inputs!$K$4:$AJ$4,0))))=0,NA(),SUMPRODUCT((Inputs!$A$5:$A$110=$B61)*Inputs!$B$5:$B$110*(((Inputs!$G$5:$G$110="moeda")+(Inputs!$G$5:$G$110="acoes"))*Inputs!$B$1+((Inputs!$G$5:$G$110&lt;&gt;"moeda")*(Inputs!$G$5:$G$110&lt;&gt;"acoes")))*INDEX(Inputs!$K$5:$AJ$110,0,MATCH(AF$2,Inputs!$K$4:$AJ$4,0)))+SUMPRODUCT((Inputs!$C$5:$C$110=$B61)*Inputs!$D$5:$D$110*(((Inputs!$G$5:$G$110="moeda")+(Inputs!$G$5:$G$110="acoes"))*Inputs!$B$1+((Inputs!$G$5:$G$110&lt;&gt;"moeda")*(Inputs!$G$5:$G$110&lt;&gt;"acoes")))*INDEX(Inputs!$K$5:$AJ$110,0,MATCH(AF$2,Inputs!$K$4:$AJ$4,0)))+SUMPRODUCT((Inputs!$E$5:$E$110=$B61)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$110=$B61)*ISNUMBER(INDEX(Inputs!$K$5:$AJ$110,0,MATCH(AH$2,Inputs!$K$4:$AJ$4,0))))+SUMPRODUCT((Inputs!$C$5:$C$110=$B61)*ISNUMBER(INDEX(Inputs!$K$5:$AJ$110,0,MATCH(AH$2,Inputs!$K$4:$AJ$4,0))))+SUMPRODUCT((Inputs!$E$5:$E$110=$B61)*ISNUMBER(INDEX(Inputs!$K$5:$AJ$110,0,MATCH(AH$2,Inputs!$K$4:$AJ$4,0))))=0,NA(),SUMPRODUCT((Inputs!$A$5:$A$110=$B61)*Inputs!$B$5:$B$110*(((Inputs!$G$5:$G$110="moeda")+(Inputs!$G$5:$G$110="acoes"))*Inputs!$B$1+((Inputs!$G$5:$G$110&lt;&gt;"moeda")*(Inputs!$G$5:$G$110&lt;&gt;"acoes")))*INDEX(Inputs!$K$5:$AJ$110,0,MATCH(AH$2,Inputs!$K$4:$AJ$4,0)))+SUMPRODUCT((Inputs!$C$5:$C$110=$B61)*Inputs!$D$5:$D$110*(((Inputs!$G$5:$G$110="moeda")+(Inputs!$G$5:$G$110="acoes"))*Inputs!$B$1+((Inputs!$G$5:$G$110&lt;&gt;"moeda")*(Inputs!$G$5:$G$110&lt;&gt;"acoes")))*INDEX(Inputs!$K$5:$AJ$110,0,MATCH(AH$2,Inputs!$K$4:$AJ$4,0)))+SUMPRODUCT((Inputs!$E$5:$E$110=$B61)*Inputs!$F$5:$F$110*(((Inputs!$G$5:$G$110="moeda")+(Inputs!$G$5:$G$110="acoes"))*Inputs!$B$1+((Inputs!$G$5:$G$110&lt;&gt;"moeda")*(Inputs!$G$5:$G$110&lt;&gt;"acoes")))*INDEX(Inputs!$K$5:$AJ$110,0,MATCH(AH$2,Inputs!$K$4:$AJ$4,0)))))</f>
        <v>13166</v>
      </c>
      <c r="AI61" s="263">
        <f>IF(ISNA(MATCH(AI$2,Inputs!$K$4:$AJ$4,0)),NA(),IF(SUMPRODUCT((Inputs!$A$5:$A$110=$B61)*ISNUMBER(INDEX(Inputs!$K$5:$AJ$110,0,MATCH(AI$2,Inputs!$K$4:$AJ$4,0))))+SUMPRODUCT((Inputs!$C$5:$C$110=$B61)*ISNUMBER(INDEX(Inputs!$K$5:$AJ$110,0,MATCH(AI$2,Inputs!$K$4:$AJ$4,0))))+SUMPRODUCT((Inputs!$E$5:$E$110=$B61)*ISNUMBER(INDEX(Inputs!$K$5:$AJ$110,0,MATCH(AI$2,Inputs!$K$4:$AJ$4,0))))=0,NA(),SUMPRODUCT((Inputs!$A$5:$A$110=$B61)*Inputs!$B$5:$B$110*(((Inputs!$G$5:$G$110="moeda")+(Inputs!$G$5:$G$110="acoes"))*Inputs!$B$1+((Inputs!$G$5:$G$110&lt;&gt;"moeda")*(Inputs!$G$5:$G$110&lt;&gt;"acoes")))*INDEX(Inputs!$K$5:$AJ$110,0,MATCH(AI$2,Inputs!$K$4:$AJ$4,0)))+SUMPRODUCT((Inputs!$C$5:$C$110=$B61)*Inputs!$D$5:$D$110*(((Inputs!$G$5:$G$110="moeda")+(Inputs!$G$5:$G$110="acoes"))*Inputs!$B$1+((Inputs!$G$5:$G$110&lt;&gt;"moeda")*(Inputs!$G$5:$G$110&lt;&gt;"acoes")))*INDEX(Inputs!$K$5:$AJ$110,0,MATCH(AI$2,Inputs!$K$4:$AJ$4,0)))+SUMPRODUCT((Inputs!$E$5:$E$110=$B61)*Inputs!$F$5:$F$110*(((Inputs!$G$5:$G$110="moeda")+(Inputs!$G$5:$G$110="acoes"))*Inputs!$B$1+((Inputs!$G$5:$G$110&lt;&gt;"moeda")*(Inputs!$G$5:$G$110&lt;&gt;"acoes")))*INDEX(Inputs!$K$5:$AJ$110,0,MATCH(AI$2,Inputs!$K$4:$AJ$4,0)))))</f>
        <v>13572</v>
      </c>
      <c r="AJ61" s="263">
        <f>IF(ISNA(MATCH(AJ$2,Inputs!$K$4:$AJ$4,0)),NA(),IF(SUMPRODUCT((Inputs!$A$5:$A$110=$B61)*ISNUMBER(INDEX(Inputs!$K$5:$AJ$110,0,MATCH(AJ$2,Inputs!$K$4:$AJ$4,0))))+SUMPRODUCT((Inputs!$C$5:$C$110=$B61)*ISNUMBER(INDEX(Inputs!$K$5:$AJ$110,0,MATCH(AJ$2,Inputs!$K$4:$AJ$4,0))))+SUMPRODUCT((Inputs!$E$5:$E$110=$B61)*ISNUMBER(INDEX(Inputs!$K$5:$AJ$110,0,MATCH(AJ$2,Inputs!$K$4:$AJ$4,0))))=0,NA(),SUMPRODUCT((Inputs!$A$5:$A$110=$B61)*Inputs!$B$5:$B$110*(((Inputs!$G$5:$G$110="moeda")+(Inputs!$G$5:$G$110="acoes"))*Inputs!$B$1+((Inputs!$G$5:$G$110&lt;&gt;"moeda")*(Inputs!$G$5:$G$110&lt;&gt;"acoes")))*INDEX(Inputs!$K$5:$AJ$110,0,MATCH(AJ$2,Inputs!$K$4:$AJ$4,0)))+SUMPRODUCT((Inputs!$C$5:$C$110=$B61)*Inputs!$D$5:$D$110*(((Inputs!$G$5:$G$110="moeda")+(Inputs!$G$5:$G$110="acoes"))*Inputs!$B$1+((Inputs!$G$5:$G$110&lt;&gt;"moeda")*(Inputs!$G$5:$G$110&lt;&gt;"acoes")))*INDEX(Inputs!$K$5:$AJ$110,0,MATCH(AJ$2,Inputs!$K$4:$AJ$4,0)))+SUMPRODUCT((Inputs!$E$5:$E$110=$B61)*Inputs!$F$5:$F$110*(((Inputs!$G$5:$G$110="moeda")+(Inputs!$G$5:$G$110="acoes"))*Inputs!$B$1+((Inputs!$G$5:$G$110&lt;&gt;"moeda")*(Inputs!$G$5:$G$110&lt;&gt;"acoes")))*INDEX(Inputs!$K$5:$AJ$110,0,MATCH(AJ$2,Inputs!$K$4:$AJ$4,0)))))</f>
        <v>13869</v>
      </c>
      <c r="AK61" s="263">
        <f>IF(ISNA(MATCH(AK$2,Inputs!$K$4:$AJ$4,0)),NA(),IF(SUMPRODUCT((Inputs!$A$5:$A$110=$B61)*ISNUMBER(INDEX(Inputs!$K$5:$AJ$110,0,MATCH(AK$2,Inputs!$K$4:$AJ$4,0))))+SUMPRODUCT((Inputs!$C$5:$C$110=$B61)*ISNUMBER(INDEX(Inputs!$K$5:$AJ$110,0,MATCH(AK$2,Inputs!$K$4:$AJ$4,0))))+SUMPRODUCT((Inputs!$E$5:$E$110=$B61)*ISNUMBER(INDEX(Inputs!$K$5:$AJ$110,0,MATCH(AK$2,Inputs!$K$4:$AJ$4,0))))=0,NA(),SUMPRODUCT((Inputs!$A$5:$A$110=$B61)*Inputs!$B$5:$B$110*(((Inputs!$G$5:$G$110="moeda")+(Inputs!$G$5:$G$110="acoes"))*Inputs!$B$1+((Inputs!$G$5:$G$110&lt;&gt;"moeda")*(Inputs!$G$5:$G$110&lt;&gt;"acoes")))*INDEX(Inputs!$K$5:$AJ$110,0,MATCH(AK$2,Inputs!$K$4:$AJ$4,0)))+SUMPRODUCT((Inputs!$C$5:$C$110=$B61)*Inputs!$D$5:$D$110*(((Inputs!$G$5:$G$110="moeda")+(Inputs!$G$5:$G$110="acoes"))*Inputs!$B$1+((Inputs!$G$5:$G$110&lt;&gt;"moeda")*(Inputs!$G$5:$G$110&lt;&gt;"acoes")))*INDEX(Inputs!$K$5:$AJ$110,0,MATCH(AK$2,Inputs!$K$4:$AJ$4,0)))+SUMPRODUCT((Inputs!$E$5:$E$110=$B61)*Inputs!$F$5:$F$110*(((Inputs!$G$5:$G$110="moeda")+(Inputs!$G$5:$G$110="acoes"))*Inputs!$B$1+((Inputs!$G$5:$G$110&lt;&gt;"moeda")*(Inputs!$G$5:$G$110&lt;&gt;"acoes")))*INDEX(Inputs!$K$5:$AJ$110,0,MATCH(AK$2,Inputs!$K$4:$AJ$4,0)))))</f>
        <v>14321</v>
      </c>
      <c r="AL61" s="264">
        <f>SUM(AH61:AK61)</f>
        <v>54928</v>
      </c>
    </row>
    <row r="62">
      <c r="B62" s="46" t="n">
        <v>54</v>
      </c>
      <c r="C62" s="29" t="inlineStr">
        <is>
          <t>Receita de serviços (USD)</t>
        </is>
      </c>
      <c r="D62" s="263">
        <f>IF(ISNA(MATCH(D$2,Inputs!$K$4:$AJ$4,0)),NA(),IF(SUMPRODUCT((Inputs!$A$5:$A$110=$B62)*ISNUMBER(INDEX(Inputs!$K$5:$AJ$110,0,MATCH(D$2,Inputs!$K$4:$AJ$4,0))))+SUMPRODUCT((Inputs!$C$5:$C$110=$B62)*ISNUMBER(INDEX(Inputs!$K$5:$AJ$110,0,MATCH(D$2,Inputs!$K$4:$AJ$4,0))))+SUMPRODUCT((Inputs!$E$5:$E$110=$B62)*ISNUMBER(INDEX(Inputs!$K$5:$AJ$110,0,MATCH(D$2,Inputs!$K$4:$AJ$4,0))))=0,NA(),SUMPRODUCT((Inputs!$A$5:$A$110=$B62)*Inputs!$B$5:$B$110*(((Inputs!$G$5:$G$110="moeda")+(Inputs!$G$5:$G$110="acoes"))*Inputs!$B$1+((Inputs!$G$5:$G$110&lt;&gt;"moeda")*(Inputs!$G$5:$G$110&lt;&gt;"acoes")))*INDEX(Inputs!$K$5:$AJ$110,0,MATCH(D$2,Inputs!$K$4:$AJ$4,0)))+SUMPRODUCT((Inputs!$C$5:$C$110=$B62)*Inputs!$D$5:$D$110*(((Inputs!$G$5:$G$110="moeda")+(Inputs!$G$5:$G$110="acoes"))*Inputs!$B$1+((Inputs!$G$5:$G$110&lt;&gt;"moeda")*(Inputs!$G$5:$G$110&lt;&gt;"acoes")))*INDEX(Inputs!$K$5:$AJ$110,0,MATCH(D$2,Inputs!$K$4:$AJ$4,0)))+SUMPRODUCT((Inputs!$E$5:$E$110=$B62)*Inputs!$F$5:$F$110*(((Inputs!$G$5:$G$110="moeda")+(Inputs!$G$5:$G$110="acoes"))*Inputs!$B$1+((Inputs!$G$5:$G$110&lt;&gt;"moeda")*(Inputs!$G$5:$G$110&lt;&gt;"acoes")))*INDEX(Inputs!$K$5:$AJ$110,0,MATCH(D$2,Inputs!$K$4:$AJ$4,0)))))</f>
        <v>2505</v>
      </c>
      <c r="E62" s="263">
        <f>IF(ISNA(MATCH(E$2,Inputs!$K$4:$AJ$4,0)),NA(),IF(SUMPRODUCT((Inputs!$A$5:$A$110=$B62)*ISNUMBER(INDEX(Inputs!$K$5:$AJ$110,0,MATCH(E$2,Inputs!$K$4:$AJ$4,0))))+SUMPRODUCT((Inputs!$C$5:$C$110=$B62)*ISNUMBER(INDEX(Inputs!$K$5:$AJ$110,0,MATCH(E$2,Inputs!$K$4:$AJ$4,0))))+SUMPRODUCT((Inputs!$E$5:$E$110=$B62)*ISNUMBER(INDEX(Inputs!$K$5:$AJ$110,0,MATCH(E$2,Inputs!$K$4:$AJ$4,0))))=0,NA(),SUMPRODUCT((Inputs!$A$5:$A$110=$B62)*Inputs!$B$5:$B$110*(((Inputs!$G$5:$G$110="moeda")+(Inputs!$G$5:$G$110="acoes"))*Inputs!$B$1+((Inputs!$G$5:$G$110&lt;&gt;"moeda")*(Inputs!$G$5:$G$110&lt;&gt;"acoes")))*INDEX(Inputs!$K$5:$AJ$110,0,MATCH(E$2,Inputs!$K$4:$AJ$4,0)))+SUMPRODUCT((Inputs!$C$5:$C$110=$B62)*Inputs!$D$5:$D$110*(((Inputs!$G$5:$G$110="moeda")+(Inputs!$G$5:$G$110="acoes"))*Inputs!$B$1+((Inputs!$G$5:$G$110&lt;&gt;"moeda")*(Inputs!$G$5:$G$110&lt;&gt;"acoes")))*INDEX(Inputs!$K$5:$AJ$110,0,MATCH(E$2,Inputs!$K$4:$AJ$4,0)))+SUMPRODUCT((Inputs!$E$5:$E$110=$B62)*Inputs!$F$5:$F$110*(((Inputs!$G$5:$G$110="moeda")+(Inputs!$G$5:$G$110="acoes"))*Inputs!$B$1+((Inputs!$G$5:$G$110&lt;&gt;"moeda")*(Inputs!$G$5:$G$110&lt;&gt;"acoes")))*INDEX(Inputs!$K$5:$AJ$110,0,MATCH(E$2,Inputs!$K$4:$AJ$4,0)))))</f>
        <v>2771</v>
      </c>
      <c r="F62" s="263">
        <f>IF(ISNA(MATCH(F$2,Inputs!$K$4:$AJ$4,0)),NA(),IF(SUMPRODUCT((Inputs!$A$5:$A$110=$B62)*ISNUMBER(INDEX(Inputs!$K$5:$AJ$110,0,MATCH(F$2,Inputs!$K$4:$AJ$4,0))))+SUMPRODUCT((Inputs!$C$5:$C$110=$B62)*ISNUMBER(INDEX(Inputs!$K$5:$AJ$110,0,MATCH(F$2,Inputs!$K$4:$AJ$4,0))))+SUMPRODUCT((Inputs!$E$5:$E$110=$B62)*ISNUMBER(INDEX(Inputs!$K$5:$AJ$110,0,MATCH(F$2,Inputs!$K$4:$AJ$4,0))))=0,NA(),SUMPRODUCT((Inputs!$A$5:$A$110=$B62)*Inputs!$B$5:$B$110*(((Inputs!$G$5:$G$110="moeda")+(Inputs!$G$5:$G$110="acoes"))*Inputs!$B$1+((Inputs!$G$5:$G$110&lt;&gt;"moeda")*(Inputs!$G$5:$G$110&lt;&gt;"acoes")))*INDEX(Inputs!$K$5:$AJ$110,0,MATCH(F$2,Inputs!$K$4:$AJ$4,0)))+SUMPRODUCT((Inputs!$C$5:$C$110=$B62)*Inputs!$D$5:$D$110*(((Inputs!$G$5:$G$110="moeda")+(Inputs!$G$5:$G$110="acoes"))*Inputs!$B$1+((Inputs!$G$5:$G$110&lt;&gt;"moeda")*(Inputs!$G$5:$G$110&lt;&gt;"acoes")))*INDEX(Inputs!$K$5:$AJ$110,0,MATCH(F$2,Inputs!$K$4:$AJ$4,0)))+SUMPRODUCT((Inputs!$E$5:$E$110=$B62)*Inputs!$F$5:$F$110*(((Inputs!$G$5:$G$110="moeda")+(Inputs!$G$5:$G$110="acoes"))*Inputs!$B$1+((Inputs!$G$5:$G$110&lt;&gt;"moeda")*(Inputs!$G$5:$G$110&lt;&gt;"acoes")))*INDEX(Inputs!$K$5:$AJ$110,0,MATCH(F$2,Inputs!$K$4:$AJ$4,0)))))</f>
        <v>2553</v>
      </c>
      <c r="G62" s="263">
        <f>IF(ISNA(MATCH(G$2,Inputs!$K$4:$AJ$4,0)),NA(),IF(SUMPRODUCT((Inputs!$A$5:$A$110=$B62)*ISNUMBER(INDEX(Inputs!$K$5:$AJ$110,0,MATCH(G$2,Inputs!$K$4:$AJ$4,0))))+SUMPRODUCT((Inputs!$C$5:$C$110=$B62)*ISNUMBER(INDEX(Inputs!$K$5:$AJ$110,0,MATCH(G$2,Inputs!$K$4:$AJ$4,0))))+SUMPRODUCT((Inputs!$E$5:$E$110=$B62)*ISNUMBER(INDEX(Inputs!$K$5:$AJ$110,0,MATCH(G$2,Inputs!$K$4:$AJ$4,0))))=0,NA(),SUMPRODUCT((Inputs!$A$5:$A$110=$B62)*Inputs!$B$5:$B$110*(((Inputs!$G$5:$G$110="moeda")+(Inputs!$G$5:$G$110="acoes"))*Inputs!$B$1+((Inputs!$G$5:$G$110&lt;&gt;"moeda")*(Inputs!$G$5:$G$110&lt;&gt;"acoes")))*INDEX(Inputs!$K$5:$AJ$110,0,MATCH(G$2,Inputs!$K$4:$AJ$4,0)))+SUMPRODUCT((Inputs!$C$5:$C$110=$B62)*Inputs!$D$5:$D$110*(((Inputs!$G$5:$G$110="moeda")+(Inputs!$G$5:$G$110="acoes"))*Inputs!$B$1+((Inputs!$G$5:$G$110&lt;&gt;"moeda")*(Inputs!$G$5:$G$110&lt;&gt;"acoes")))*INDEX(Inputs!$K$5:$AJ$110,0,MATCH(G$2,Inputs!$K$4:$AJ$4,0)))+SUMPRODUCT((Inputs!$E$5:$E$110=$B62)*Inputs!$F$5:$F$110*(((Inputs!$G$5:$G$110="moeda")+(Inputs!$G$5:$G$110="acoes"))*Inputs!$B$1+((Inputs!$G$5:$G$110&lt;&gt;"moeda")*(Inputs!$G$5:$G$110&lt;&gt;"acoes")))*INDEX(Inputs!$K$5:$AJ$110,0,MATCH(G$2,Inputs!$K$4:$AJ$4,0)))))</f>
        <v>2780</v>
      </c>
      <c r="H62" s="264">
        <f>SUM(D62:G62)</f>
        <v>10609</v>
      </c>
      <c r="I62" s="263">
        <f>IF(ISNA(MATCH(I$2,Inputs!$K$4:$AJ$4,0)),NA(),IF(SUMPRODUCT((Inputs!$A$5:$A$110=$B62)*ISNUMBER(INDEX(Inputs!$K$5:$AJ$110,0,MATCH(I$2,Inputs!$K$4:$AJ$4,0))))+SUMPRODUCT((Inputs!$C$5:$C$110=$B62)*ISNUMBER(INDEX(Inputs!$K$5:$AJ$110,0,MATCH(I$2,Inputs!$K$4:$AJ$4,0))))+SUMPRODUCT((Inputs!$E$5:$E$110=$B62)*ISNUMBER(INDEX(Inputs!$K$5:$AJ$110,0,MATCH(I$2,Inputs!$K$4:$AJ$4,0))))=0,NA(),SUMPRODUCT((Inputs!$A$5:$A$110=$B62)*Inputs!$B$5:$B$110*(((Inputs!$G$5:$G$110="moeda")+(Inputs!$G$5:$G$110="acoes"))*Inputs!$B$1+((Inputs!$G$5:$G$110&lt;&gt;"moeda")*(Inputs!$G$5:$G$110&lt;&gt;"acoes")))*INDEX(Inputs!$K$5:$AJ$110,0,MATCH(I$2,Inputs!$K$4:$AJ$4,0)))+SUMPRODUCT((Inputs!$C$5:$C$110=$B62)*Inputs!$D$5:$D$110*(((Inputs!$G$5:$G$110="moeda")+(Inputs!$G$5:$G$110="acoes"))*Inputs!$B$1+((Inputs!$G$5:$G$110&lt;&gt;"moeda")*(Inputs!$G$5:$G$110&lt;&gt;"acoes")))*INDEX(Inputs!$K$5:$AJ$110,0,MATCH(I$2,Inputs!$K$4:$AJ$4,0)))+SUMPRODUCT((Inputs!$E$5:$E$110=$B62)*Inputs!$F$5:$F$110*(((Inputs!$G$5:$G$110="moeda")+(Inputs!$G$5:$G$110="acoes"))*Inputs!$B$1+((Inputs!$G$5:$G$110&lt;&gt;"moeda")*(Inputs!$G$5:$G$110&lt;&gt;"acoes")))*INDEX(Inputs!$K$5:$AJ$110,0,MATCH(I$2,Inputs!$K$4:$AJ$4,0)))))</f>
        <v>2470</v>
      </c>
      <c r="J62" s="263">
        <f>IF(ISNA(MATCH(J$2,Inputs!$K$4:$AJ$4,0)),NA(),IF(SUMPRODUCT((Inputs!$A$5:$A$110=$B62)*ISNUMBER(INDEX(Inputs!$K$5:$AJ$110,0,MATCH(J$2,Inputs!$K$4:$AJ$4,0))))+SUMPRODUCT((Inputs!$C$5:$C$110=$B62)*ISNUMBER(INDEX(Inputs!$K$5:$AJ$110,0,MATCH(J$2,Inputs!$K$4:$AJ$4,0))))+SUMPRODUCT((Inputs!$E$5:$E$110=$B62)*ISNUMBER(INDEX(Inputs!$K$5:$AJ$110,0,MATCH(J$2,Inputs!$K$4:$AJ$4,0))))=0,NA(),SUMPRODUCT((Inputs!$A$5:$A$110=$B62)*Inputs!$B$5:$B$110*(((Inputs!$G$5:$G$110="moeda")+(Inputs!$G$5:$G$110="acoes"))*Inputs!$B$1+((Inputs!$G$5:$G$110&lt;&gt;"moeda")*(Inputs!$G$5:$G$110&lt;&gt;"acoes")))*INDEX(Inputs!$K$5:$AJ$110,0,MATCH(J$2,Inputs!$K$4:$AJ$4,0)))+SUMPRODUCT((Inputs!$C$5:$C$110=$B62)*Inputs!$D$5:$D$110*(((Inputs!$G$5:$G$110="moeda")+(Inputs!$G$5:$G$110="acoes"))*Inputs!$B$1+((Inputs!$G$5:$G$110&lt;&gt;"moeda")*(Inputs!$G$5:$G$110&lt;&gt;"acoes")))*INDEX(Inputs!$K$5:$AJ$110,0,MATCH(J$2,Inputs!$K$4:$AJ$4,0)))+SUMPRODUCT((Inputs!$E$5:$E$110=$B62)*Inputs!$F$5:$F$110*(((Inputs!$G$5:$G$110="moeda")+(Inputs!$G$5:$G$110="acoes"))*Inputs!$B$1+((Inputs!$G$5:$G$110&lt;&gt;"moeda")*(Inputs!$G$5:$G$110&lt;&gt;"acoes")))*INDEX(Inputs!$K$5:$AJ$110,0,MATCH(J$2,Inputs!$K$4:$AJ$4,0)))))</f>
        <v>2685</v>
      </c>
      <c r="K62" s="263">
        <f>IF(ISNA(MATCH(K$2,Inputs!$K$4:$AJ$4,0)),NA(),IF(SUMPRODUCT((Inputs!$A$5:$A$110=$B62)*ISNUMBER(INDEX(Inputs!$K$5:$AJ$110,0,MATCH(K$2,Inputs!$K$4:$AJ$4,0))))+SUMPRODUCT((Inputs!$C$5:$C$110=$B62)*ISNUMBER(INDEX(Inputs!$K$5:$AJ$110,0,MATCH(K$2,Inputs!$K$4:$AJ$4,0))))+SUMPRODUCT((Inputs!$E$5:$E$110=$B62)*ISNUMBER(INDEX(Inputs!$K$5:$AJ$110,0,MATCH(K$2,Inputs!$K$4:$AJ$4,0))))=0,NA(),SUMPRODUCT((Inputs!$A$5:$A$110=$B62)*Inputs!$B$5:$B$110*(((Inputs!$G$5:$G$110="moeda")+(Inputs!$G$5:$G$110="acoes"))*Inputs!$B$1+((Inputs!$G$5:$G$110&lt;&gt;"moeda")*(Inputs!$G$5:$G$110&lt;&gt;"acoes")))*INDEX(Inputs!$K$5:$AJ$110,0,MATCH(K$2,Inputs!$K$4:$AJ$4,0)))+SUMPRODUCT((Inputs!$C$5:$C$110=$B62)*Inputs!$D$5:$D$110*(((Inputs!$G$5:$G$110="moeda")+(Inputs!$G$5:$G$110="acoes"))*Inputs!$B$1+((Inputs!$G$5:$G$110&lt;&gt;"moeda")*(Inputs!$G$5:$G$110&lt;&gt;"acoes")))*INDEX(Inputs!$K$5:$AJ$110,0,MATCH(K$2,Inputs!$K$4:$AJ$4,0)))+SUMPRODUCT((Inputs!$E$5:$E$110=$B62)*Inputs!$F$5:$F$110*(((Inputs!$G$5:$G$110="moeda")+(Inputs!$G$5:$G$110="acoes"))*Inputs!$B$1+((Inputs!$G$5:$G$110&lt;&gt;"moeda")*(Inputs!$G$5:$G$110&lt;&gt;"acoes")))*INDEX(Inputs!$K$5:$AJ$110,0,MATCH(K$2,Inputs!$K$4:$AJ$4,0)))))</f>
        <v>2572</v>
      </c>
      <c r="L62" s="263">
        <f>IF(ISNA(MATCH(L$2,Inputs!$K$4:$AJ$4,0)),NA(),IF(SUMPRODUCT((Inputs!$A$5:$A$110=$B62)*ISNUMBER(INDEX(Inputs!$K$5:$AJ$110,0,MATCH(L$2,Inputs!$K$4:$AJ$4,0))))+SUMPRODUCT((Inputs!$C$5:$C$110=$B62)*ISNUMBER(INDEX(Inputs!$K$5:$AJ$110,0,MATCH(L$2,Inputs!$K$4:$AJ$4,0))))+SUMPRODUCT((Inputs!$E$5:$E$110=$B62)*ISNUMBER(INDEX(Inputs!$K$5:$AJ$110,0,MATCH(L$2,Inputs!$K$4:$AJ$4,0))))=0,NA(),SUMPRODUCT((Inputs!$A$5:$A$110=$B62)*Inputs!$B$5:$B$110*(((Inputs!$G$5:$G$110="moeda")+(Inputs!$G$5:$G$110="acoes"))*Inputs!$B$1+((Inputs!$G$5:$G$110&lt;&gt;"moeda")*(Inputs!$G$5:$G$110&lt;&gt;"acoes")))*INDEX(Inputs!$K$5:$AJ$110,0,MATCH(L$2,Inputs!$K$4:$AJ$4,0)))+SUMPRODUCT((Inputs!$C$5:$C$110=$B62)*Inputs!$D$5:$D$110*(((Inputs!$G$5:$G$110="moeda")+(Inputs!$G$5:$G$110="acoes"))*Inputs!$B$1+((Inputs!$G$5:$G$110&lt;&gt;"moeda")*(Inputs!$G$5:$G$110&lt;&gt;"acoes")))*INDEX(Inputs!$K$5:$AJ$110,0,MATCH(L$2,Inputs!$K$4:$AJ$4,0)))+SUMPRODUCT((Inputs!$E$5:$E$110=$B62)*Inputs!$F$5:$F$110*(((Inputs!$G$5:$G$110="moeda")+(Inputs!$G$5:$G$110="acoes"))*Inputs!$B$1+((Inputs!$G$5:$G$110&lt;&gt;"moeda")*(Inputs!$G$5:$G$110&lt;&gt;"acoes")))*INDEX(Inputs!$K$5:$AJ$110,0,MATCH(L$2,Inputs!$K$4:$AJ$4,0)))))</f>
        <v>2791</v>
      </c>
      <c r="M62" s="264">
        <f>SUM(I62:L62)</f>
        <v>10518</v>
      </c>
      <c r="N62" s="263">
        <f>IF(ISNA(MATCH(N$2,Inputs!$K$4:$AJ$4,0)),NA(),IF(SUMPRODUCT((Inputs!$A$5:$A$110=$B62)*ISNUMBER(INDEX(Inputs!$K$5:$AJ$110,0,MATCH(N$2,Inputs!$K$4:$AJ$4,0))))+SUMPRODUCT((Inputs!$C$5:$C$110=$B62)*ISNUMBER(INDEX(Inputs!$K$5:$AJ$110,0,MATCH(N$2,Inputs!$K$4:$AJ$4,0))))+SUMPRODUCT((Inputs!$E$5:$E$110=$B62)*ISNUMBER(INDEX(Inputs!$K$5:$AJ$110,0,MATCH(N$2,Inputs!$K$4:$AJ$4,0))))=0,NA(),SUMPRODUCT((Inputs!$A$5:$A$110=$B62)*Inputs!$B$5:$B$110*(((Inputs!$G$5:$G$110="moeda")+(Inputs!$G$5:$G$110="acoes"))*Inputs!$B$1+((Inputs!$G$5:$G$110&lt;&gt;"moeda")*(Inputs!$G$5:$G$110&lt;&gt;"acoes")))*INDEX(Inputs!$K$5:$AJ$110,0,MATCH(N$2,Inputs!$K$4:$AJ$4,0)))+SUMPRODUCT((Inputs!$C$5:$C$110=$B62)*Inputs!$D$5:$D$110*(((Inputs!$G$5:$G$110="moeda")+(Inputs!$G$5:$G$110="acoes"))*Inputs!$B$1+((Inputs!$G$5:$G$110&lt;&gt;"moeda")*(Inputs!$G$5:$G$110&lt;&gt;"acoes")))*INDEX(Inputs!$K$5:$AJ$110,0,MATCH(N$2,Inputs!$K$4:$AJ$4,0)))+SUMPRODUCT((Inputs!$E$5:$E$110=$B62)*Inputs!$F$5:$F$110*(((Inputs!$G$5:$G$110="moeda")+(Inputs!$G$5:$G$110="acoes"))*Inputs!$B$1+((Inputs!$G$5:$G$110&lt;&gt;"moeda")*(Inputs!$G$5:$G$110&lt;&gt;"acoes")))*INDEX(Inputs!$K$5:$AJ$110,0,MATCH(N$2,Inputs!$K$4:$AJ$4,0)))))</f>
        <v>2600</v>
      </c>
      <c r="O62" s="263">
        <f>IF(ISNA(MATCH(O$2,Inputs!$K$4:$AJ$4,0)),NA(),IF(SUMPRODUCT((Inputs!$A$5:$A$110=$B62)*ISNUMBER(INDEX(Inputs!$K$5:$AJ$110,0,MATCH(O$2,Inputs!$K$4:$AJ$4,0))))+SUMPRODUCT((Inputs!$C$5:$C$110=$B62)*ISNUMBER(INDEX(Inputs!$K$5:$AJ$110,0,MATCH(O$2,Inputs!$K$4:$AJ$4,0))))+SUMPRODUCT((Inputs!$E$5:$E$110=$B62)*ISNUMBER(INDEX(Inputs!$K$5:$AJ$110,0,MATCH(O$2,Inputs!$K$4:$AJ$4,0))))=0,NA(),SUMPRODUCT((Inputs!$A$5:$A$110=$B62)*Inputs!$B$5:$B$110*(((Inputs!$G$5:$G$110="moeda")+(Inputs!$G$5:$G$110="acoes"))*Inputs!$B$1+((Inputs!$G$5:$G$110&lt;&gt;"moeda")*(Inputs!$G$5:$G$110&lt;&gt;"acoes")))*INDEX(Inputs!$K$5:$AJ$110,0,MATCH(O$2,Inputs!$K$4:$AJ$4,0)))+SUMPRODUCT((Inputs!$C$5:$C$110=$B62)*Inputs!$D$5:$D$110*(((Inputs!$G$5:$G$110="moeda")+(Inputs!$G$5:$G$110="acoes"))*Inputs!$B$1+((Inputs!$G$5:$G$110&lt;&gt;"moeda")*(Inputs!$G$5:$G$110&lt;&gt;"acoes")))*INDEX(Inputs!$K$5:$AJ$110,0,MATCH(O$2,Inputs!$K$4:$AJ$4,0)))+SUMPRODUCT((Inputs!$E$5:$E$110=$B62)*Inputs!$F$5:$F$110*(((Inputs!$G$5:$G$110="moeda")+(Inputs!$G$5:$G$110="acoes"))*Inputs!$B$1+((Inputs!$G$5:$G$110&lt;&gt;"moeda")*(Inputs!$G$5:$G$110&lt;&gt;"acoes")))*INDEX(Inputs!$K$5:$AJ$110,0,MATCH(O$2,Inputs!$K$4:$AJ$4,0)))))</f>
        <v>2935</v>
      </c>
      <c r="P62" s="263">
        <f>IF(ISNA(MATCH(P$2,Inputs!$K$4:$AJ$4,0)),NA(),IF(SUMPRODUCT((Inputs!$A$5:$A$110=$B62)*ISNUMBER(INDEX(Inputs!$K$5:$AJ$110,0,MATCH(P$2,Inputs!$K$4:$AJ$4,0))))+SUMPRODUCT((Inputs!$C$5:$C$110=$B62)*ISNUMBER(INDEX(Inputs!$K$5:$AJ$110,0,MATCH(P$2,Inputs!$K$4:$AJ$4,0))))+SUMPRODUCT((Inputs!$E$5:$E$110=$B62)*ISNUMBER(INDEX(Inputs!$K$5:$AJ$110,0,MATCH(P$2,Inputs!$K$4:$AJ$4,0))))=0,NA(),SUMPRODUCT((Inputs!$A$5:$A$110=$B62)*Inputs!$B$5:$B$110*(((Inputs!$G$5:$G$110="moeda")+(Inputs!$G$5:$G$110="acoes"))*Inputs!$B$1+((Inputs!$G$5:$G$110&lt;&gt;"moeda")*(Inputs!$G$5:$G$110&lt;&gt;"acoes")))*INDEX(Inputs!$K$5:$AJ$110,0,MATCH(P$2,Inputs!$K$4:$AJ$4,0)))+SUMPRODUCT((Inputs!$C$5:$C$110=$B62)*Inputs!$D$5:$D$110*(((Inputs!$G$5:$G$110="moeda")+(Inputs!$G$5:$G$110="acoes"))*Inputs!$B$1+((Inputs!$G$5:$G$110&lt;&gt;"moeda")*(Inputs!$G$5:$G$110&lt;&gt;"acoes")))*INDEX(Inputs!$K$5:$AJ$110,0,MATCH(P$2,Inputs!$K$4:$AJ$4,0)))+SUMPRODUCT((Inputs!$E$5:$E$110=$B62)*Inputs!$F$5:$F$110*(((Inputs!$G$5:$G$110="moeda")+(Inputs!$G$5:$G$110="acoes"))*Inputs!$B$1+((Inputs!$G$5:$G$110&lt;&gt;"moeda")*(Inputs!$G$5:$G$110&lt;&gt;"acoes")))*INDEX(Inputs!$K$5:$AJ$110,0,MATCH(P$2,Inputs!$K$4:$AJ$4,0)))))</f>
        <v>2864</v>
      </c>
      <c r="Q62" s="263">
        <f>IF(ISNA(MATCH(Q$2,Inputs!$K$4:$AJ$4,0)),NA(),IF(SUMPRODUCT((Inputs!$A$5:$A$110=$B62)*ISNUMBER(INDEX(Inputs!$K$5:$AJ$110,0,MATCH(Q$2,Inputs!$K$4:$AJ$4,0))))+SUMPRODUCT((Inputs!$C$5:$C$110=$B62)*ISNUMBER(INDEX(Inputs!$K$5:$AJ$110,0,MATCH(Q$2,Inputs!$K$4:$AJ$4,0))))+SUMPRODUCT((Inputs!$E$5:$E$110=$B62)*ISNUMBER(INDEX(Inputs!$K$5:$AJ$110,0,MATCH(Q$2,Inputs!$K$4:$AJ$4,0))))=0,NA(),SUMPRODUCT((Inputs!$A$5:$A$110=$B62)*Inputs!$B$5:$B$110*(((Inputs!$G$5:$G$110="moeda")+(Inputs!$G$5:$G$110="acoes"))*Inputs!$B$1+((Inputs!$G$5:$G$110&lt;&gt;"moeda")*(Inputs!$G$5:$G$110&lt;&gt;"acoes")))*INDEX(Inputs!$K$5:$AJ$110,0,MATCH(Q$2,Inputs!$K$4:$AJ$4,0)))+SUMPRODUCT((Inputs!$C$5:$C$110=$B62)*Inputs!$D$5:$D$110*(((Inputs!$G$5:$G$110="moeda")+(Inputs!$G$5:$G$110="acoes"))*Inputs!$B$1+((Inputs!$G$5:$G$110&lt;&gt;"moeda")*(Inputs!$G$5:$G$110&lt;&gt;"acoes")))*INDEX(Inputs!$K$5:$AJ$110,0,MATCH(Q$2,Inputs!$K$4:$AJ$4,0)))+SUMPRODUCT((Inputs!$E$5:$E$110=$B62)*Inputs!$F$5:$F$110*(((Inputs!$G$5:$G$110="moeda")+(Inputs!$G$5:$G$110="acoes"))*Inputs!$B$1+((Inputs!$G$5:$G$110&lt;&gt;"moeda")*(Inputs!$G$5:$G$110&lt;&gt;"acoes")))*INDEX(Inputs!$K$5:$AJ$110,0,MATCH(Q$2,Inputs!$K$4:$AJ$4,0)))))</f>
        <v>2907</v>
      </c>
      <c r="R62" s="264">
        <f>SUM(N62:Q62)</f>
        <v>11306</v>
      </c>
      <c r="S62" s="263">
        <f>IF(ISNA(MATCH(S$2,Inputs!$K$4:$AJ$4,0)),NA(),IF(SUMPRODUCT((Inputs!$A$5:$A$110=$B62)*ISNUMBER(INDEX(Inputs!$K$5:$AJ$110,0,MATCH(S$2,Inputs!$K$4:$AJ$4,0))))+SUMPRODUCT((Inputs!$C$5:$C$110=$B62)*ISNUMBER(INDEX(Inputs!$K$5:$AJ$110,0,MATCH(S$2,Inputs!$K$4:$AJ$4,0))))+SUMPRODUCT((Inputs!$E$5:$E$110=$B62)*ISNUMBER(INDEX(Inputs!$K$5:$AJ$110,0,MATCH(S$2,Inputs!$K$4:$AJ$4,0))))=0,NA(),SUMPRODUCT((Inputs!$A$5:$A$110=$B62)*Inputs!$B$5:$B$110*(((Inputs!$G$5:$G$110="moeda")+(Inputs!$G$5:$G$110="acoes"))*Inputs!$B$1+((Inputs!$G$5:$G$110&lt;&gt;"moeda")*(Inputs!$G$5:$G$110&lt;&gt;"acoes")))*INDEX(Inputs!$K$5:$AJ$110,0,MATCH(S$2,Inputs!$K$4:$AJ$4,0)))+SUMPRODUCT((Inputs!$C$5:$C$110=$B62)*Inputs!$D$5:$D$110*(((Inputs!$G$5:$G$110="moeda")+(Inputs!$G$5:$G$110="acoes"))*Inputs!$B$1+((Inputs!$G$5:$G$110&lt;&gt;"moeda")*(Inputs!$G$5:$G$110&lt;&gt;"acoes")))*INDEX(Inputs!$K$5:$AJ$110,0,MATCH(S$2,Inputs!$K$4:$AJ$4,0)))+SUMPRODUCT((Inputs!$E$5:$E$110=$B62)*Inputs!$F$5:$F$110*(((Inputs!$G$5:$G$110="moeda")+(Inputs!$G$5:$G$110="acoes"))*Inputs!$B$1+((Inputs!$G$5:$G$110&lt;&gt;"moeda")*(Inputs!$G$5:$G$110&lt;&gt;"acoes")))*INDEX(Inputs!$K$5:$AJ$110,0,MATCH(S$2,Inputs!$K$4:$AJ$4,0)))))</f>
        <v>2999</v>
      </c>
      <c r="T62" s="263">
        <f>IF(ISNA(MATCH(T$2,Inputs!$K$4:$AJ$4,0)),NA(),IF(SUMPRODUCT((Inputs!$A$5:$A$110=$B62)*ISNUMBER(INDEX(Inputs!$K$5:$AJ$110,0,MATCH(T$2,Inputs!$K$4:$AJ$4,0))))+SUMPRODUCT((Inputs!$C$5:$C$110=$B62)*ISNUMBER(INDEX(Inputs!$K$5:$AJ$110,0,MATCH(T$2,Inputs!$K$4:$AJ$4,0))))+SUMPRODUCT((Inputs!$E$5:$E$110=$B62)*ISNUMBER(INDEX(Inputs!$K$5:$AJ$110,0,MATCH(T$2,Inputs!$K$4:$AJ$4,0))))=0,NA(),SUMPRODUCT((Inputs!$A$5:$A$110=$B62)*Inputs!$B$5:$B$110*(((Inputs!$G$5:$G$110="moeda")+(Inputs!$G$5:$G$110="acoes"))*Inputs!$B$1+((Inputs!$G$5:$G$110&lt;&gt;"moeda")*(Inputs!$G$5:$G$110&lt;&gt;"acoes")))*INDEX(Inputs!$K$5:$AJ$110,0,MATCH(T$2,Inputs!$K$4:$AJ$4,0)))+SUMPRODUCT((Inputs!$C$5:$C$110=$B62)*Inputs!$D$5:$D$110*(((Inputs!$G$5:$G$110="moeda")+(Inputs!$G$5:$G$110="acoes"))*Inputs!$B$1+((Inputs!$G$5:$G$110&lt;&gt;"moeda")*(Inputs!$G$5:$G$110&lt;&gt;"acoes")))*INDEX(Inputs!$K$5:$AJ$110,0,MATCH(T$2,Inputs!$K$4:$AJ$4,0)))+SUMPRODUCT((Inputs!$E$5:$E$110=$B62)*Inputs!$F$5:$F$110*(((Inputs!$G$5:$G$110="moeda")+(Inputs!$G$5:$G$110="acoes"))*Inputs!$B$1+((Inputs!$G$5:$G$110&lt;&gt;"moeda")*(Inputs!$G$5:$G$110&lt;&gt;"acoes")))*INDEX(Inputs!$K$5:$AJ$110,0,MATCH(T$2,Inputs!$K$4:$AJ$4,0)))))</f>
        <v>3013</v>
      </c>
      <c r="U62" s="263">
        <f>IF(ISNA(MATCH(U$2,Inputs!$K$4:$AJ$4,0)),NA(),IF(SUMPRODUCT((Inputs!$A$5:$A$110=$B62)*ISNUMBER(INDEX(Inputs!$K$5:$AJ$110,0,MATCH(U$2,Inputs!$K$4:$AJ$4,0))))+SUMPRODUCT((Inputs!$C$5:$C$110=$B62)*ISNUMBER(INDEX(Inputs!$K$5:$AJ$110,0,MATCH(U$2,Inputs!$K$4:$AJ$4,0))))+SUMPRODUCT((Inputs!$E$5:$E$110=$B62)*ISNUMBER(INDEX(Inputs!$K$5:$AJ$110,0,MATCH(U$2,Inputs!$K$4:$AJ$4,0))))=0,NA(),SUMPRODUCT((Inputs!$A$5:$A$110=$B62)*Inputs!$B$5:$B$110*(((Inputs!$G$5:$G$110="moeda")+(Inputs!$G$5:$G$110="acoes"))*Inputs!$B$1+((Inputs!$G$5:$G$110&lt;&gt;"moeda")*(Inputs!$G$5:$G$110&lt;&gt;"acoes")))*INDEX(Inputs!$K$5:$AJ$110,0,MATCH(U$2,Inputs!$K$4:$AJ$4,0)))+SUMPRODUCT((Inputs!$C$5:$C$110=$B62)*Inputs!$D$5:$D$110*(((Inputs!$G$5:$G$110="moeda")+(Inputs!$G$5:$G$110="acoes"))*Inputs!$B$1+((Inputs!$G$5:$G$110&lt;&gt;"moeda")*(Inputs!$G$5:$G$110&lt;&gt;"acoes")))*INDEX(Inputs!$K$5:$AJ$110,0,MATCH(U$2,Inputs!$K$4:$AJ$4,0)))+SUMPRODUCT((Inputs!$E$5:$E$110=$B62)*Inputs!$F$5:$F$110*(((Inputs!$G$5:$G$110="moeda")+(Inputs!$G$5:$G$110="acoes"))*Inputs!$B$1+((Inputs!$G$5:$G$110&lt;&gt;"moeda")*(Inputs!$G$5:$G$110&lt;&gt;"acoes")))*INDEX(Inputs!$K$5:$AJ$110,0,MATCH(U$2,Inputs!$K$4:$AJ$4,0)))))</f>
        <v>2632</v>
      </c>
      <c r="V62" s="263">
        <f>IF(ISNA(MATCH(V$2,Inputs!$K$4:$AJ$4,0)),NA(),IF(SUMPRODUCT((Inputs!$A$5:$A$110=$B62)*ISNUMBER(INDEX(Inputs!$K$5:$AJ$110,0,MATCH(V$2,Inputs!$K$4:$AJ$4,0))))+SUMPRODUCT((Inputs!$C$5:$C$110=$B62)*ISNUMBER(INDEX(Inputs!$K$5:$AJ$110,0,MATCH(V$2,Inputs!$K$4:$AJ$4,0))))+SUMPRODUCT((Inputs!$E$5:$E$110=$B62)*ISNUMBER(INDEX(Inputs!$K$5:$AJ$110,0,MATCH(V$2,Inputs!$K$4:$AJ$4,0))))=0,NA(),SUMPRODUCT((Inputs!$A$5:$A$110=$B62)*Inputs!$B$5:$B$110*(((Inputs!$G$5:$G$110="moeda")+(Inputs!$G$5:$G$110="acoes"))*Inputs!$B$1+((Inputs!$G$5:$G$110&lt;&gt;"moeda")*(Inputs!$G$5:$G$110&lt;&gt;"acoes")))*INDEX(Inputs!$K$5:$AJ$110,0,MATCH(V$2,Inputs!$K$4:$AJ$4,0)))+SUMPRODUCT((Inputs!$C$5:$C$110=$B62)*Inputs!$D$5:$D$110*(((Inputs!$G$5:$G$110="moeda")+(Inputs!$G$5:$G$110="acoes"))*Inputs!$B$1+((Inputs!$G$5:$G$110&lt;&gt;"moeda")*(Inputs!$G$5:$G$110&lt;&gt;"acoes")))*INDEX(Inputs!$K$5:$AJ$110,0,MATCH(V$2,Inputs!$K$4:$AJ$4,0)))+SUMPRODUCT((Inputs!$E$5:$E$110=$B62)*Inputs!$F$5:$F$110*(((Inputs!$G$5:$G$110="moeda")+(Inputs!$G$5:$G$110="acoes"))*Inputs!$B$1+((Inputs!$G$5:$G$110&lt;&gt;"moeda")*(Inputs!$G$5:$G$110&lt;&gt;"acoes")))*INDEX(Inputs!$K$5:$AJ$110,0,MATCH(V$2,Inputs!$K$4:$AJ$4,0)))))</f>
        <v>3122</v>
      </c>
      <c r="W62" s="264">
        <f>SUM(S62:V62)</f>
        <v>11766</v>
      </c>
      <c r="X62" s="263">
        <f>IF(ISNA(MATCH(X$2,Inputs!$K$4:$AJ$4,0)),NA(),IF(SUMPRODUCT((Inputs!$A$5:$A$110=$B62)*ISNUMBER(INDEX(Inputs!$K$5:$AJ$110,0,MATCH(X$2,Inputs!$K$4:$AJ$4,0))))+SUMPRODUCT((Inputs!$C$5:$C$110=$B62)*ISNUMBER(INDEX(Inputs!$K$5:$AJ$110,0,MATCH(X$2,Inputs!$K$4:$AJ$4,0))))+SUMPRODUCT((Inputs!$E$5:$E$110=$B62)*ISNUMBER(INDEX(Inputs!$K$5:$AJ$110,0,MATCH(X$2,Inputs!$K$4:$AJ$4,0))))=0,NA(),SUMPRODUCT((Inputs!$A$5:$A$110=$B62)*Inputs!$B$5:$B$110*(((Inputs!$G$5:$G$110="moeda")+(Inputs!$G$5:$G$110="acoes"))*Inputs!$B$1+((Inputs!$G$5:$G$110&lt;&gt;"moeda")*(Inputs!$G$5:$G$110&lt;&gt;"acoes")))*INDEX(Inputs!$K$5:$AJ$110,0,MATCH(X$2,Inputs!$K$4:$AJ$4,0)))+SUMPRODUCT((Inputs!$C$5:$C$110=$B62)*Inputs!$D$5:$D$110*(((Inputs!$G$5:$G$110="moeda")+(Inputs!$G$5:$G$110="acoes"))*Inputs!$B$1+((Inputs!$G$5:$G$110&lt;&gt;"moeda")*(Inputs!$G$5:$G$110&lt;&gt;"acoes")))*INDEX(Inputs!$K$5:$AJ$110,0,MATCH(X$2,Inputs!$K$4:$AJ$4,0)))+SUMPRODUCT((Inputs!$E$5:$E$110=$B62)*Inputs!$F$5:$F$110*(((Inputs!$G$5:$G$110="moeda")+(Inputs!$G$5:$G$110="acoes"))*Inputs!$B$1+((Inputs!$G$5:$G$110&lt;&gt;"moeda")*(Inputs!$G$5:$G$110&lt;&gt;"acoes")))*INDEX(Inputs!$K$5:$AJ$110,0,MATCH(X$2,Inputs!$K$4:$AJ$4,0)))))</f>
        <v>3027</v>
      </c>
      <c r="Y62" s="263">
        <f>IF(ISNA(MATCH(Y$2,Inputs!$K$4:$AJ$4,0)),NA(),IF(SUMPRODUCT((Inputs!$A$5:$A$110=$B62)*ISNUMBER(INDEX(Inputs!$K$5:$AJ$110,0,MATCH(Y$2,Inputs!$K$4:$AJ$4,0))))+SUMPRODUCT((Inputs!$C$5:$C$110=$B62)*ISNUMBER(INDEX(Inputs!$K$5:$AJ$110,0,MATCH(Y$2,Inputs!$K$4:$AJ$4,0))))+SUMPRODUCT((Inputs!$E$5:$E$110=$B62)*ISNUMBER(INDEX(Inputs!$K$5:$AJ$110,0,MATCH(Y$2,Inputs!$K$4:$AJ$4,0))))=0,NA(),SUMPRODUCT((Inputs!$A$5:$A$110=$B62)*Inputs!$B$5:$B$110*(((Inputs!$G$5:$G$110="moeda")+(Inputs!$G$5:$G$110="acoes"))*Inputs!$B$1+((Inputs!$G$5:$G$110&lt;&gt;"moeda")*(Inputs!$G$5:$G$110&lt;&gt;"acoes")))*INDEX(Inputs!$K$5:$AJ$110,0,MATCH(Y$2,Inputs!$K$4:$AJ$4,0)))+SUMPRODUCT((Inputs!$C$5:$C$110=$B62)*Inputs!$D$5:$D$110*(((Inputs!$G$5:$G$110="moeda")+(Inputs!$G$5:$G$110="acoes"))*Inputs!$B$1+((Inputs!$G$5:$G$110&lt;&gt;"moeda")*(Inputs!$G$5:$G$110&lt;&gt;"acoes")))*INDEX(Inputs!$K$5:$AJ$110,0,MATCH(Y$2,Inputs!$K$4:$AJ$4,0)))+SUMPRODUCT((Inputs!$E$5:$E$110=$B62)*Inputs!$F$5:$F$110*(((Inputs!$G$5:$G$110="moeda")+(Inputs!$G$5:$G$110="acoes"))*Inputs!$B$1+((Inputs!$G$5:$G$110&lt;&gt;"moeda")*(Inputs!$G$5:$G$110&lt;&gt;"acoes")))*INDEX(Inputs!$K$5:$AJ$110,0,MATCH(Y$2,Inputs!$K$4:$AJ$4,0)))))</f>
        <v>3006</v>
      </c>
      <c r="Z62" s="263">
        <f>IF(ISNA(MATCH(Z$2,Inputs!$K$4:$AJ$4,0)),NA(),IF(SUMPRODUCT((Inputs!$A$5:$A$110=$B62)*ISNUMBER(INDEX(Inputs!$K$5:$AJ$110,0,MATCH(Z$2,Inputs!$K$4:$AJ$4,0))))+SUMPRODUCT((Inputs!$C$5:$C$110=$B62)*ISNUMBER(INDEX(Inputs!$K$5:$AJ$110,0,MATCH(Z$2,Inputs!$K$4:$AJ$4,0))))+SUMPRODUCT((Inputs!$E$5:$E$110=$B62)*ISNUMBER(INDEX(Inputs!$K$5:$AJ$110,0,MATCH(Z$2,Inputs!$K$4:$AJ$4,0))))=0,NA(),SUMPRODUCT((Inputs!$A$5:$A$110=$B62)*Inputs!$B$5:$B$110*(((Inputs!$G$5:$G$110="moeda")+(Inputs!$G$5:$G$110="acoes"))*Inputs!$B$1+((Inputs!$G$5:$G$110&lt;&gt;"moeda")*(Inputs!$G$5:$G$110&lt;&gt;"acoes")))*INDEX(Inputs!$K$5:$AJ$110,0,MATCH(Z$2,Inputs!$K$4:$AJ$4,0)))+SUMPRODUCT((Inputs!$C$5:$C$110=$B62)*Inputs!$D$5:$D$110*(((Inputs!$G$5:$G$110="moeda")+(Inputs!$G$5:$G$110="acoes"))*Inputs!$B$1+((Inputs!$G$5:$G$110&lt;&gt;"moeda")*(Inputs!$G$5:$G$110&lt;&gt;"acoes")))*INDEX(Inputs!$K$5:$AJ$110,0,MATCH(Z$2,Inputs!$K$4:$AJ$4,0)))+SUMPRODUCT((Inputs!$E$5:$E$110=$B62)*Inputs!$F$5:$F$110*(((Inputs!$G$5:$G$110="moeda")+(Inputs!$G$5:$G$110="acoes"))*Inputs!$B$1+((Inputs!$G$5:$G$110&lt;&gt;"moeda")*(Inputs!$G$5:$G$110&lt;&gt;"acoes")))*INDEX(Inputs!$K$5:$AJ$110,0,MATCH(Z$2,Inputs!$K$4:$AJ$4,0)))))</f>
        <v>3298</v>
      </c>
      <c r="AA62" s="263">
        <f>IF(ISNA(MATCH(AA$2,Inputs!$K$4:$AJ$4,0)),NA(),IF(SUMPRODUCT((Inputs!$A$5:$A$110=$B62)*ISNUMBER(INDEX(Inputs!$K$5:$AJ$110,0,MATCH(AA$2,Inputs!$K$4:$AJ$4,0))))+SUMPRODUCT((Inputs!$C$5:$C$110=$B62)*ISNUMBER(INDEX(Inputs!$K$5:$AJ$110,0,MATCH(AA$2,Inputs!$K$4:$AJ$4,0))))+SUMPRODUCT((Inputs!$E$5:$E$110=$B62)*ISNUMBER(INDEX(Inputs!$K$5:$AJ$110,0,MATCH(AA$2,Inputs!$K$4:$AJ$4,0))))=0,NA(),SUMPRODUCT((Inputs!$A$5:$A$110=$B62)*Inputs!$B$5:$B$110*(((Inputs!$G$5:$G$110="moeda")+(Inputs!$G$5:$G$110="acoes"))*Inputs!$B$1+((Inputs!$G$5:$G$110&lt;&gt;"moeda")*(Inputs!$G$5:$G$110&lt;&gt;"acoes")))*INDEX(Inputs!$K$5:$AJ$110,0,MATCH(AA$2,Inputs!$K$4:$AJ$4,0)))+SUMPRODUCT((Inputs!$C$5:$C$110=$B62)*Inputs!$D$5:$D$110*(((Inputs!$G$5:$G$110="moeda")+(Inputs!$G$5:$G$110="acoes"))*Inputs!$B$1+((Inputs!$G$5:$G$110&lt;&gt;"moeda")*(Inputs!$G$5:$G$110&lt;&gt;"acoes")))*INDEX(Inputs!$K$5:$AJ$110,0,MATCH(AA$2,Inputs!$K$4:$AJ$4,0)))+SUMPRODUCT((Inputs!$E$5:$E$110=$B62)*Inputs!$F$5:$F$110*(((Inputs!$G$5:$G$110="moeda")+(Inputs!$G$5:$G$110="acoes"))*Inputs!$B$1+((Inputs!$G$5:$G$110&lt;&gt;"moeda")*(Inputs!$G$5:$G$110&lt;&gt;"acoes")))*INDEX(Inputs!$K$5:$AJ$110,0,MATCH(AA$2,Inputs!$K$4:$AJ$4,0)))))</f>
        <v>3063</v>
      </c>
      <c r="AB62" s="264">
        <f>SUM(X62:AA62)</f>
        <v>12394</v>
      </c>
      <c r="AC62" s="263">
        <f>IF(ISNA(MATCH(AC$2,Inputs!$K$4:$AJ$4,0)),NA(),IF(SUMPRODUCT((Inputs!$A$5:$A$110=$B62)*ISNUMBER(INDEX(Inputs!$K$5:$AJ$110,0,MATCH(AC$2,Inputs!$K$4:$AJ$4,0))))+SUMPRODUCT((Inputs!$C$5:$C$110=$B62)*ISNUMBER(INDEX(Inputs!$K$5:$AJ$110,0,MATCH(AC$2,Inputs!$K$4:$AJ$4,0))))+SUMPRODUCT((Inputs!$E$5:$E$110=$B62)*ISNUMBER(INDEX(Inputs!$K$5:$AJ$110,0,MATCH(AC$2,Inputs!$K$4:$AJ$4,0))))=0,NA(),SUMPRODUCT((Inputs!$A$5:$A$110=$B62)*Inputs!$B$5:$B$110*(((Inputs!$G$5:$G$110="moeda")+(Inputs!$G$5:$G$110="acoes"))*Inputs!$B$1+((Inputs!$G$5:$G$110&lt;&gt;"moeda")*(Inputs!$G$5:$G$110&lt;&gt;"acoes")))*INDEX(Inputs!$K$5:$AJ$110,0,MATCH(AC$2,Inputs!$K$4:$AJ$4,0)))+SUMPRODUCT((Inputs!$C$5:$C$110=$B62)*Inputs!$D$5:$D$110*(((Inputs!$G$5:$G$110="moeda")+(Inputs!$G$5:$G$110="acoes"))*Inputs!$B$1+((Inputs!$G$5:$G$110&lt;&gt;"moeda")*(Inputs!$G$5:$G$110&lt;&gt;"acoes")))*INDEX(Inputs!$K$5:$AJ$110,0,MATCH(AC$2,Inputs!$K$4:$AJ$4,0)))+SUMPRODUCT((Inputs!$E$5:$E$110=$B62)*Inputs!$F$5:$F$110*(((Inputs!$G$5:$G$110="moeda")+(Inputs!$G$5:$G$110="acoes"))*Inputs!$B$1+((Inputs!$G$5:$G$110&lt;&gt;"moeda")*(Inputs!$G$5:$G$110&lt;&gt;"acoes")))*INDEX(Inputs!$K$5:$AJ$110,0,MATCH(AC$2,Inputs!$K$4:$AJ$4,0)))))</f>
        <v>3190</v>
      </c>
      <c r="AD62" s="263">
        <f>IF(ISNA(MATCH(AD$2,Inputs!$K$4:$AJ$4,0)),NA(),IF(SUMPRODUCT((Inputs!$A$5:$A$110=$B62)*ISNUMBER(INDEX(Inputs!$K$5:$AJ$110,0,MATCH(AD$2,Inputs!$K$4:$AJ$4,0))))+SUMPRODUCT((Inputs!$C$5:$C$110=$B62)*ISNUMBER(INDEX(Inputs!$K$5:$AJ$110,0,MATCH(AD$2,Inputs!$K$4:$AJ$4,0))))+SUMPRODUCT((Inputs!$E$5:$E$110=$B62)*ISNUMBER(INDEX(Inputs!$K$5:$AJ$110,0,MATCH(AD$2,Inputs!$K$4:$AJ$4,0))))=0,NA(),SUMPRODUCT((Inputs!$A$5:$A$110=$B62)*Inputs!$B$5:$B$110*(((Inputs!$G$5:$G$110="moeda")+(Inputs!$G$5:$G$110="acoes"))*Inputs!$B$1+((Inputs!$G$5:$G$110&lt;&gt;"moeda")*(Inputs!$G$5:$G$110&lt;&gt;"acoes")))*INDEX(Inputs!$K$5:$AJ$110,0,MATCH(AD$2,Inputs!$K$4:$AJ$4,0)))+SUMPRODUCT((Inputs!$C$5:$C$110=$B62)*Inputs!$D$5:$D$110*(((Inputs!$G$5:$G$110="moeda")+(Inputs!$G$5:$G$110="acoes"))*Inputs!$B$1+((Inputs!$G$5:$G$110&lt;&gt;"moeda")*(Inputs!$G$5:$G$110&lt;&gt;"acoes")))*INDEX(Inputs!$K$5:$AJ$110,0,MATCH(AD$2,Inputs!$K$4:$AJ$4,0)))+SUMPRODUCT((Inputs!$E$5:$E$110=$B62)*Inputs!$F$5:$F$110*(((Inputs!$G$5:$G$110="moeda")+(Inputs!$G$5:$G$110="acoes"))*Inputs!$B$1+((Inputs!$G$5:$G$110&lt;&gt;"moeda")*(Inputs!$G$5:$G$110&lt;&gt;"acoes")))*INDEX(Inputs!$K$5:$AJ$110,0,MATCH(AD$2,Inputs!$K$4:$AJ$4,0)))))</f>
        <v>3280</v>
      </c>
      <c r="AE62" s="263" t="e">
        <f>IF(ISNA(MATCH(AE$2,Inputs!$K$4:$AJ$4,0)),NA(),IF(SUMPRODUCT((Inputs!$A$5:$A$110=$B62)*ISNUMBER(INDEX(Inputs!$K$5:$AJ$110,0,MATCH(AE$2,Inputs!$K$4:$AJ$4,0))))+SUMPRODUCT((Inputs!$C$5:$C$110=$B62)*ISNUMBER(INDEX(Inputs!$K$5:$AJ$110,0,MATCH(AE$2,Inputs!$K$4:$AJ$4,0))))+SUMPRODUCT((Inputs!$E$5:$E$110=$B62)*ISNUMBER(INDEX(Inputs!$K$5:$AJ$110,0,MATCH(AE$2,Inputs!$K$4:$AJ$4,0))))=0,NA(),SUMPRODUCT((Inputs!$A$5:$A$110=$B62)*Inputs!$B$5:$B$110*(((Inputs!$G$5:$G$110="moeda")+(Inputs!$G$5:$G$110="acoes"))*Inputs!$B$1+((Inputs!$G$5:$G$110&lt;&gt;"moeda")*(Inputs!$G$5:$G$110&lt;&gt;"acoes")))*INDEX(Inputs!$K$5:$AJ$110,0,MATCH(AE$2,Inputs!$K$4:$AJ$4,0)))+SUMPRODUCT((Inputs!$C$5:$C$110=$B62)*Inputs!$D$5:$D$110*(((Inputs!$G$5:$G$110="moeda")+(Inputs!$G$5:$G$110="acoes"))*Inputs!$B$1+((Inputs!$G$5:$G$110&lt;&gt;"moeda")*(Inputs!$G$5:$G$110&lt;&gt;"acoes")))*INDEX(Inputs!$K$5:$AJ$110,0,MATCH(AE$2,Inputs!$K$4:$AJ$4,0)))+SUMPRODUCT((Inputs!$E$5:$E$110=$B62)*Inputs!$F$5:$F$110*(((Inputs!$G$5:$G$110="moeda")+(Inputs!$G$5:$G$110="acoes"))*Inputs!$B$1+((Inputs!$G$5:$G$110&lt;&gt;"moeda")*(Inputs!$G$5:$G$110&lt;&gt;"acoes")))*INDEX(Inputs!$K$5:$AJ$110,0,MATCH(AE$2,Inputs!$K$4:$AJ$4,0)))))</f>
        <v>#N/A</v>
      </c>
      <c r="AF62" s="263" t="e">
        <f>IF(ISNA(MATCH(AF$2,Inputs!$K$4:$AJ$4,0)),NA(),IF(SUMPRODUCT((Inputs!$A$5:$A$110=$B62)*ISNUMBER(INDEX(Inputs!$K$5:$AJ$110,0,MATCH(AF$2,Inputs!$K$4:$AJ$4,0))))+SUMPRODUCT((Inputs!$C$5:$C$110=$B62)*ISNUMBER(INDEX(Inputs!$K$5:$AJ$110,0,MATCH(AF$2,Inputs!$K$4:$AJ$4,0))))+SUMPRODUCT((Inputs!$E$5:$E$110=$B62)*ISNUMBER(INDEX(Inputs!$K$5:$AJ$110,0,MATCH(AF$2,Inputs!$K$4:$AJ$4,0))))=0,NA(),SUMPRODUCT((Inputs!$A$5:$A$110=$B62)*Inputs!$B$5:$B$110*(((Inputs!$G$5:$G$110="moeda")+(Inputs!$G$5:$G$110="acoes"))*Inputs!$B$1+((Inputs!$G$5:$G$110&lt;&gt;"moeda")*(Inputs!$G$5:$G$110&lt;&gt;"acoes")))*INDEX(Inputs!$K$5:$AJ$110,0,MATCH(AF$2,Inputs!$K$4:$AJ$4,0)))+SUMPRODUCT((Inputs!$C$5:$C$110=$B62)*Inputs!$D$5:$D$110*(((Inputs!$G$5:$G$110="moeda")+(Inputs!$G$5:$G$110="acoes"))*Inputs!$B$1+((Inputs!$G$5:$G$110&lt;&gt;"moeda")*(Inputs!$G$5:$G$110&lt;&gt;"acoes")))*INDEX(Inputs!$K$5:$AJ$110,0,MATCH(AF$2,Inputs!$K$4:$AJ$4,0)))+SUMPRODUCT((Inputs!$E$5:$E$110=$B62)*Inputs!$F$5:$F$110*(((Inputs!$G$5:$G$110="moeda")+(Inputs!$G$5:$G$110="acoes"))*Inputs!$B$1+((Inputs!$G$5:$G$110&lt;&gt;"moeda")*(Inputs!$G$5:$G$110&lt;&gt;"acoes")))*INDEX(Inputs!$K$5:$AJ$110,0,MATCH(AF$2,Inputs!$K$4:$AJ$4,0)))))</f>
        <v>#N/A</v>
      </c>
      <c r="AG62" s="264" t="e">
        <f>SUM(AC62:AF62)</f>
        <v>#N/A</v>
      </c>
      <c r="AH62" s="263">
        <f>IF(ISNA(MATCH(AH$2,Inputs!$K$4:$AJ$4,0)),NA(),IF(SUMPRODUCT((Inputs!$A$5:$A$110=$B62)*ISNUMBER(INDEX(Inputs!$K$5:$AJ$110,0,MATCH(AH$2,Inputs!$K$4:$AJ$4,0))))+SUMPRODUCT((Inputs!$C$5:$C$110=$B62)*ISNUMBER(INDEX(Inputs!$K$5:$AJ$110,0,MATCH(AH$2,Inputs!$K$4:$AJ$4,0))))+SUMPRODUCT((Inputs!$E$5:$E$110=$B62)*ISNUMBER(INDEX(Inputs!$K$5:$AJ$110,0,MATCH(AH$2,Inputs!$K$4:$AJ$4,0))))=0,NA(),SUMPRODUCT((Inputs!$A$5:$A$110=$B62)*Inputs!$B$5:$B$110*(((Inputs!$G$5:$G$110="moeda")+(Inputs!$G$5:$G$110="acoes"))*Inputs!$B$1+((Inputs!$G$5:$G$110&lt;&gt;"moeda")*(Inputs!$G$5:$G$110&lt;&gt;"acoes")))*INDEX(Inputs!$K$5:$AJ$110,0,MATCH(AH$2,Inputs!$K$4:$AJ$4,0)))+SUMPRODUCT((Inputs!$C$5:$C$110=$B62)*Inputs!$D$5:$D$110*(((Inputs!$G$5:$G$110="moeda")+(Inputs!$G$5:$G$110="acoes"))*Inputs!$B$1+((Inputs!$G$5:$G$110&lt;&gt;"moeda")*(Inputs!$G$5:$G$110&lt;&gt;"acoes")))*INDEX(Inputs!$K$5:$AJ$110,0,MATCH(AH$2,Inputs!$K$4:$AJ$4,0)))+SUMPRODUCT((Inputs!$E$5:$E$110=$B62)*Inputs!$F$5:$F$110*(((Inputs!$G$5:$G$110="moeda")+(Inputs!$G$5:$G$110="acoes"))*Inputs!$B$1+((Inputs!$G$5:$G$110&lt;&gt;"moeda")*(Inputs!$G$5:$G$110&lt;&gt;"acoes")))*INDEX(Inputs!$K$5:$AJ$110,0,MATCH(AH$2,Inputs!$K$4:$AJ$4,0)))))</f>
        <v>2485</v>
      </c>
      <c r="AI62" s="263">
        <f>IF(ISNA(MATCH(AI$2,Inputs!$K$4:$AJ$4,0)),NA(),IF(SUMPRODUCT((Inputs!$A$5:$A$110=$B62)*ISNUMBER(INDEX(Inputs!$K$5:$AJ$110,0,MATCH(AI$2,Inputs!$K$4:$AJ$4,0))))+SUMPRODUCT((Inputs!$C$5:$C$110=$B62)*ISNUMBER(INDEX(Inputs!$K$5:$AJ$110,0,MATCH(AI$2,Inputs!$K$4:$AJ$4,0))))+SUMPRODUCT((Inputs!$E$5:$E$110=$B62)*ISNUMBER(INDEX(Inputs!$K$5:$AJ$110,0,MATCH(AI$2,Inputs!$K$4:$AJ$4,0))))=0,NA(),SUMPRODUCT((Inputs!$A$5:$A$110=$B62)*Inputs!$B$5:$B$110*(((Inputs!$G$5:$G$110="moeda")+(Inputs!$G$5:$G$110="acoes"))*Inputs!$B$1+((Inputs!$G$5:$G$110&lt;&gt;"moeda")*(Inputs!$G$5:$G$110&lt;&gt;"acoes")))*INDEX(Inputs!$K$5:$AJ$110,0,MATCH(AI$2,Inputs!$K$4:$AJ$4,0)))+SUMPRODUCT((Inputs!$C$5:$C$110=$B62)*Inputs!$D$5:$D$110*(((Inputs!$G$5:$G$110="moeda")+(Inputs!$G$5:$G$110="acoes"))*Inputs!$B$1+((Inputs!$G$5:$G$110&lt;&gt;"moeda")*(Inputs!$G$5:$G$110&lt;&gt;"acoes")))*INDEX(Inputs!$K$5:$AJ$110,0,MATCH(AI$2,Inputs!$K$4:$AJ$4,0)))+SUMPRODUCT((Inputs!$E$5:$E$110=$B62)*Inputs!$F$5:$F$110*(((Inputs!$G$5:$G$110="moeda")+(Inputs!$G$5:$G$110="acoes"))*Inputs!$B$1+((Inputs!$G$5:$G$110&lt;&gt;"moeda")*(Inputs!$G$5:$G$110&lt;&gt;"acoes")))*INDEX(Inputs!$K$5:$AJ$110,0,MATCH(AI$2,Inputs!$K$4:$AJ$4,0)))))</f>
        <v>2648</v>
      </c>
      <c r="AJ62" s="263">
        <f>IF(ISNA(MATCH(AJ$2,Inputs!$K$4:$AJ$4,0)),NA(),IF(SUMPRODUCT((Inputs!$A$5:$A$110=$B62)*ISNUMBER(INDEX(Inputs!$K$5:$AJ$110,0,MATCH(AJ$2,Inputs!$K$4:$AJ$4,0))))+SUMPRODUCT((Inputs!$C$5:$C$110=$B62)*ISNUMBER(INDEX(Inputs!$K$5:$AJ$110,0,MATCH(AJ$2,Inputs!$K$4:$AJ$4,0))))+SUMPRODUCT((Inputs!$E$5:$E$110=$B62)*ISNUMBER(INDEX(Inputs!$K$5:$AJ$110,0,MATCH(AJ$2,Inputs!$K$4:$AJ$4,0))))=0,NA(),SUMPRODUCT((Inputs!$A$5:$A$110=$B62)*Inputs!$B$5:$B$110*(((Inputs!$G$5:$G$110="moeda")+(Inputs!$G$5:$G$110="acoes"))*Inputs!$B$1+((Inputs!$G$5:$G$110&lt;&gt;"moeda")*(Inputs!$G$5:$G$110&lt;&gt;"acoes")))*INDEX(Inputs!$K$5:$AJ$110,0,MATCH(AJ$2,Inputs!$K$4:$AJ$4,0)))+SUMPRODUCT((Inputs!$C$5:$C$110=$B62)*Inputs!$D$5:$D$110*(((Inputs!$G$5:$G$110="moeda")+(Inputs!$G$5:$G$110="acoes"))*Inputs!$B$1+((Inputs!$G$5:$G$110&lt;&gt;"moeda")*(Inputs!$G$5:$G$110&lt;&gt;"acoes")))*INDEX(Inputs!$K$5:$AJ$110,0,MATCH(AJ$2,Inputs!$K$4:$AJ$4,0)))+SUMPRODUCT((Inputs!$E$5:$E$110=$B62)*Inputs!$F$5:$F$110*(((Inputs!$G$5:$G$110="moeda")+(Inputs!$G$5:$G$110="acoes"))*Inputs!$B$1+((Inputs!$G$5:$G$110&lt;&gt;"moeda")*(Inputs!$G$5:$G$110&lt;&gt;"acoes")))*INDEX(Inputs!$K$5:$AJ$110,0,MATCH(AJ$2,Inputs!$K$4:$AJ$4,0)))))</f>
        <v>2626</v>
      </c>
      <c r="AK62" s="263">
        <f>IF(ISNA(MATCH(AK$2,Inputs!$K$4:$AJ$4,0)),NA(),IF(SUMPRODUCT((Inputs!$A$5:$A$110=$B62)*ISNUMBER(INDEX(Inputs!$K$5:$AJ$110,0,MATCH(AK$2,Inputs!$K$4:$AJ$4,0))))+SUMPRODUCT((Inputs!$C$5:$C$110=$B62)*ISNUMBER(INDEX(Inputs!$K$5:$AJ$110,0,MATCH(AK$2,Inputs!$K$4:$AJ$4,0))))+SUMPRODUCT((Inputs!$E$5:$E$110=$B62)*ISNUMBER(INDEX(Inputs!$K$5:$AJ$110,0,MATCH(AK$2,Inputs!$K$4:$AJ$4,0))))=0,NA(),SUMPRODUCT((Inputs!$A$5:$A$110=$B62)*Inputs!$B$5:$B$110*(((Inputs!$G$5:$G$110="moeda")+(Inputs!$G$5:$G$110="acoes"))*Inputs!$B$1+((Inputs!$G$5:$G$110&lt;&gt;"moeda")*(Inputs!$G$5:$G$110&lt;&gt;"acoes")))*INDEX(Inputs!$K$5:$AJ$110,0,MATCH(AK$2,Inputs!$K$4:$AJ$4,0)))+SUMPRODUCT((Inputs!$C$5:$C$110=$B62)*Inputs!$D$5:$D$110*(((Inputs!$G$5:$G$110="moeda")+(Inputs!$G$5:$G$110="acoes"))*Inputs!$B$1+((Inputs!$G$5:$G$110&lt;&gt;"moeda")*(Inputs!$G$5:$G$110&lt;&gt;"acoes")))*INDEX(Inputs!$K$5:$AJ$110,0,MATCH(AK$2,Inputs!$K$4:$AJ$4,0)))+SUMPRODUCT((Inputs!$E$5:$E$110=$B62)*Inputs!$F$5:$F$110*(((Inputs!$G$5:$G$110="moeda")+(Inputs!$G$5:$G$110="acoes"))*Inputs!$B$1+((Inputs!$G$5:$G$110&lt;&gt;"moeda")*(Inputs!$G$5:$G$110&lt;&gt;"acoes")))*INDEX(Inputs!$K$5:$AJ$110,0,MATCH(AK$2,Inputs!$K$4:$AJ$4,0)))))</f>
        <v>2711</v>
      </c>
      <c r="AL62" s="264">
        <f>SUM(AH62:AK62)</f>
        <v>10470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3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ABS(D188-D264)</f>
        <v>0</v>
      </c>
      <c r="E2" s="3">
        <f>ABS(E188-E264)</f>
        <v>0</v>
      </c>
      <c r="F2" s="3">
        <f>ABS(F188-F264)</f>
        <v>0</v>
      </c>
      <c r="G2" s="3">
        <f>ABS(G188-G264)</f>
        <v>0</v>
      </c>
      <c r="H2" s="3">
        <f>ABS(H188-H264)</f>
        <v>0</v>
      </c>
      <c r="I2" s="3">
        <f>ABS(I188-I264)</f>
        <v>0</v>
      </c>
      <c r="J2" s="3">
        <f>ABS(J188-J264)</f>
        <v>0</v>
      </c>
      <c r="K2" s="3">
        <f>ABS(K188-K264)</f>
        <v>0</v>
      </c>
      <c r="L2" s="3">
        <f>ABS(L188-L264)</f>
        <v>0</v>
      </c>
      <c r="M2" s="3">
        <f>ABS(M188-M264)</f>
        <v>0</v>
      </c>
      <c r="N2" s="3">
        <f>ABS(N188-N264)</f>
        <v>0</v>
      </c>
      <c r="O2" s="3">
        <f>ABS(O188-O264)</f>
        <v>0</v>
      </c>
      <c r="P2" s="3">
        <f>ABS(P188-P264)</f>
        <v>0</v>
      </c>
      <c r="Q2" s="3">
        <f>ABS(Q188-Q264)</f>
        <v>0</v>
      </c>
      <c r="R2" s="3">
        <f>ABS(R188-R264)</f>
        <v>0</v>
      </c>
      <c r="S2" s="3">
        <f>ABS(S188-S264)</f>
        <v>0</v>
      </c>
      <c r="T2" s="3">
        <f>ABS(T188-T264)</f>
        <v>0</v>
      </c>
      <c r="U2" s="3">
        <f>ABS(U188-U264)</f>
        <v>0</v>
      </c>
      <c r="V2" s="3">
        <f>ABS(V188-V264)</f>
        <v>0</v>
      </c>
      <c r="W2" s="3">
        <f>ABS(W188-W264)</f>
        <v>0</v>
      </c>
      <c r="X2" s="3">
        <f>ABS(X188-X264)</f>
        <v>0</v>
      </c>
      <c r="Y2" s="3">
        <f>ABS(Y188-Y264)</f>
        <v>0</v>
      </c>
      <c r="Z2" s="3">
        <f>ABS(Z188-Z264)</f>
        <v>0</v>
      </c>
      <c r="AA2" s="3">
        <f>ABS(AA188-AA264)</f>
        <v>0</v>
      </c>
      <c r="AB2" s="3">
        <f>ABS(AB188-AB264)</f>
        <v>0</v>
      </c>
      <c r="AC2" s="3">
        <f>ABS(AC188-AC264)</f>
        <v>0</v>
      </c>
      <c r="AD2" s="3">
        <f>ABS(AD188-AD264)</f>
        <v>0</v>
      </c>
      <c r="AE2" s="3">
        <f>ABS(AE188-AE264)</f>
        <v>0</v>
      </c>
      <c r="AF2" s="3">
        <f>ABS(AF188-AF264)</f>
        <v>0</v>
      </c>
      <c r="AG2" s="3">
        <f>ABS(AG188-AG264)</f>
        <v>0</v>
      </c>
      <c r="AH2" s="3">
        <f>ABS(AH188-AH264)</f>
        <v>0</v>
      </c>
      <c r="AI2" s="3">
        <f>ABS(AI188-AI264)</f>
        <v>0</v>
      </c>
      <c r="AJ2" s="3">
        <f>ABS(AJ188-AJ264)</f>
        <v>0</v>
      </c>
      <c r="AK2" s="3">
        <f>ABS(AK188-AK264)</f>
        <v>0</v>
      </c>
      <c r="AL2" s="3">
        <f>ABS(AL188-AL264)</f>
        <v>0</v>
      </c>
      <c r="AM2" s="3" t="e">
        <f>ABS(AM188-AM264)</f>
        <v>#DIV/0!</v>
      </c>
      <c r="AN2" s="3" t="e">
        <f>ABS(AN188-AN264)</f>
        <v>#DIV/0!</v>
      </c>
      <c r="AO2" s="3" t="e">
        <f>ABS(AO188-AO264)</f>
        <v>#DIV/0!</v>
      </c>
      <c r="AP2" s="3" t="e">
        <f>ABS(AP188-AP264)</f>
        <v>#DIV/0!</v>
      </c>
      <c r="AQ2" s="3" t="e">
        <f>ABS(AQ188-AQ264)</f>
        <v>#DIV/0!</v>
      </c>
      <c r="AR2" s="3" t="e">
        <f>ABS(AR188-AR264)</f>
        <v>#DIV/0!</v>
      </c>
      <c r="AS2" s="3" t="e">
        <f>ABS(AS188-AS264)</f>
        <v>#DIV/0!</v>
      </c>
      <c r="AT2" s="3" t="e">
        <f>ABS(AT188-AT264)</f>
        <v>#DIV/0!</v>
      </c>
      <c r="AU2" s="3" t="e">
        <f>ABS(AU188-AU264)</f>
        <v>#DIV/0!</v>
      </c>
      <c r="AV2" s="3" t="e">
        <f>ABS(AV188-AV264)</f>
        <v>#DIV/0!</v>
      </c>
      <c r="AW2" s="3" t="e">
        <f>ABS(AW188-AW264)</f>
        <v>#DIV/0!</v>
      </c>
      <c r="AX2" s="3" t="e">
        <f>ABS(AX188-AX264)</f>
        <v>#DIV/0!</v>
      </c>
      <c r="AY2" s="3" t="e">
        <f>ABS(AY188-AY264)</f>
        <v>#DIV/0!</v>
      </c>
      <c r="AZ2" s="3" t="e">
        <f>ABS(AZ188-AZ264)</f>
        <v>#DIV/0!</v>
      </c>
      <c r="BA2" s="3" t="e">
        <f>ABS(BA188-BA264)</f>
        <v>#DIV/0!</v>
      </c>
      <c r="BB2" s="3" t="e">
        <f>ABS(BB188-BB264)</f>
        <v>#DIV/0!</v>
      </c>
      <c r="BC2" s="3" t="e">
        <f>ABS(BC188-BC264)</f>
        <v>#DIV/0!</v>
      </c>
      <c r="BD2" s="3" t="e">
        <f>ABS(BD188-BD264)</f>
        <v>#DIV/0!</v>
      </c>
      <c r="BE2" s="3" t="e">
        <f>ABS(BE188-BE264)</f>
        <v>#DIV/0!</v>
      </c>
      <c r="BF2" s="3" t="e">
        <f>ABS(BF188-BF264)</f>
        <v>#DIV/0!</v>
      </c>
      <c r="BG2" s="3" t="e">
        <f>ABS(BG188-BG264)</f>
        <v>#DIV/0!</v>
      </c>
      <c r="BH2" s="3" t="e">
        <f>ABS(BH188-BH264)</f>
        <v>#DIV/0!</v>
      </c>
      <c r="BI2" s="3" t="e">
        <f>ABS(BI188-BI264)</f>
        <v>#DIV/0!</v>
      </c>
      <c r="BJ2" s="3" t="e">
        <f>ABS(BJ188-BJ264)</f>
        <v>#DIV/0!</v>
      </c>
      <c r="BK2" s="3" t="e">
        <f>ABS(BK188-BK264)</f>
        <v>#DIV/0!</v>
      </c>
      <c r="BL2" s="3" t="e">
        <f>ABS(BL188-BL264)</f>
        <v>#DIV/0!</v>
      </c>
      <c r="BM2" s="3" t="e">
        <f>ABS(BM188-BM264)</f>
        <v>#DIV/0!</v>
      </c>
      <c r="BN2" s="3" t="e">
        <f>ABS(BN188-BN264)</f>
        <v>#DIV/0!</v>
      </c>
      <c r="BO2" s="3" t="e">
        <f>ABS(BO188-BO264)</f>
        <v>#DIV/0!</v>
      </c>
      <c r="BP2" s="3" t="e">
        <f>ABS(BP188-BP264)</f>
        <v>#DIV/0!</v>
      </c>
      <c r="BQ2" s="3" t="e">
        <f>ABS(BQ188-BQ264)</f>
        <v>#DIV/0!</v>
      </c>
      <c r="BR2" s="3" t="e">
        <f>ABS(BR188-BR264)</f>
        <v>#DIV/0!</v>
      </c>
      <c r="BS2" s="3" t="e">
        <f>ABS(BS188-BS264)</f>
        <v>#DIV/0!</v>
      </c>
      <c r="BT2" s="3" t="e">
        <f>ABS(BT188-BT264)</f>
        <v>#DIV/0!</v>
      </c>
      <c r="BU2" s="3" t="e">
        <f>ABS(BU188-BU264)</f>
        <v>#DIV/0!</v>
      </c>
      <c r="BV2" s="3" t="e">
        <f>ABS(BV188-BV264)</f>
        <v>#DIV/0!</v>
      </c>
      <c r="BW2" s="3" t="e">
        <f>ABS(BW188-BW264)</f>
        <v>#DIV/0!</v>
      </c>
      <c r="BX2" s="3" t="e">
        <f>ABS(BX188-BX264)</f>
        <v>#DIV/0!</v>
      </c>
      <c r="BY2" s="3" t="e">
        <f>ABS(BY188-BY264)</f>
        <v>#DIV/0!</v>
      </c>
      <c r="BZ2" s="3" t="e">
        <f>ABS(BZ188-BZ264)</f>
        <v>#DIV/0!</v>
      </c>
      <c r="CA2" s="3" t="e">
        <f>ABS(CA188-CA264)</f>
        <v>#DIV/0!</v>
      </c>
      <c r="CB2" s="3" t="e">
        <f>ABS(CB188-CB264)</f>
        <v>#DIV/0!</v>
      </c>
      <c r="CC2" s="3" t="e">
        <f>ABS(CC188-CC264)</f>
        <v>#DIV/0!</v>
      </c>
      <c r="CD2" s="3" t="e">
        <f>ABS(CD188-CD264)</f>
        <v>#DIV/0!</v>
      </c>
      <c r="CE2" s="3" t="e">
        <f>ABS(CE188-CE264)</f>
        <v>#DIV/0!</v>
      </c>
      <c r="CF2" s="3" t="e">
        <f>ABS(CF188-CF264)</f>
        <v>#DIV/0!</v>
      </c>
      <c r="CG2" s="3" t="e">
        <f>ABS(CG188-CG264)</f>
        <v>#DIV/0!</v>
      </c>
      <c r="CH2" s="3" t="e">
        <f>ABS(CH188-CH264)</f>
        <v>#DIV/0!</v>
      </c>
      <c r="CI2" s="3" t="e">
        <f>ABS(CI188-CI264)</f>
        <v>#DIV/0!</v>
      </c>
      <c r="CJ2" s="3" t="e">
        <f>ABS(CJ188-CJ264)</f>
        <v>#DIV/0!</v>
      </c>
      <c r="CK2" s="3" t="e">
        <f>ABS(CK188-CK264)</f>
        <v>#DIV/0!</v>
      </c>
      <c r="CL2" s="3" t="e">
        <f>ABS(CL188-CL264)</f>
        <v>#DIV/0!</v>
      </c>
      <c r="CM2" s="3" t="e">
        <f>ABS(CM188-CM264)</f>
        <v>#DIV/0!</v>
      </c>
      <c r="CN2" s="3" t="e">
        <f>ABS(CN188-CN264)</f>
        <v>#DIV/0!</v>
      </c>
      <c r="CO2" s="3" t="e">
        <f>ABS(CO188-CO264)</f>
        <v>#DIV/0!</v>
      </c>
      <c r="CP2" s="3" t="e">
        <f>ABS(CP188-CP264)</f>
        <v>#DIV/0!</v>
      </c>
      <c r="CQ2" s="3" t="e">
        <f>ABS(CQ188-CQ264)</f>
        <v>#DIV/0!</v>
      </c>
      <c r="CR2" s="3" t="e">
        <f>ABS(CR188-CR264)</f>
        <v>#DIV/0!</v>
      </c>
      <c r="CS2" s="3" t="e">
        <f>ABS(CS188-CS264)</f>
        <v>#DIV/0!</v>
      </c>
      <c r="CT2" s="3" t="e">
        <f>ABS(CT188-CT264)</f>
        <v>#DIV/0!</v>
      </c>
      <c r="CU2" s="3" t="e">
        <f>ABS(CU188-CU264)</f>
        <v>#DIV/0!</v>
      </c>
      <c r="CV2" s="3" t="e">
        <f>ABS(CV188-CV264)</f>
        <v>#DIV/0!</v>
      </c>
      <c r="CW2" s="3" t="e">
        <f>ABS(CW188-CW264)</f>
        <v>#DIV/0!</v>
      </c>
      <c r="CX2" s="3" t="e">
        <f>ABS(CX188-CX264)</f>
        <v>#DIV/0!</v>
      </c>
      <c r="CY2" s="3" t="e">
        <f>ABS(CY188-CY264)</f>
        <v>#DIV/0!</v>
      </c>
    </row>
    <row r="3" outlineLevel="1">
      <c r="C3" s="5" t="inlineStr">
        <is>
          <t>IS</t>
        </is>
      </c>
      <c r="D3" s="3">
        <f>IF(COUNT(D4)=0,"",ABS(D128-D4))</f>
        <v>0</v>
      </c>
      <c r="E3" s="3">
        <f>IF(COUNT(E4)=0,"",ABS(E128-E4))</f>
        <v>0</v>
      </c>
      <c r="F3" s="3">
        <f>IF(COUNT(F4)=0,"",ABS(F128-F4))</f>
        <v>0</v>
      </c>
      <c r="G3" s="3">
        <f>IF(COUNT(G4)=0,"",ABS(G128-G4))</f>
        <v>0</v>
      </c>
      <c r="H3" s="3">
        <f>IF(COUNT(H4)=0,"",ABS(H128-H4))</f>
        <v>0</v>
      </c>
      <c r="I3" s="3">
        <f>IF(COUNT(I4)=0,"",ABS(I128-I4))</f>
        <v>0</v>
      </c>
      <c r="J3" s="3">
        <f>IF(COUNT(J4)=0,"",ABS(J128-J4))</f>
        <v>0</v>
      </c>
      <c r="K3" s="3">
        <f>IF(COUNT(K4)=0,"",ABS(K128-K4))</f>
        <v>0</v>
      </c>
      <c r="L3" s="3">
        <f>IF(COUNT(L4)=0,"",ABS(L128-L4))</f>
        <v>0</v>
      </c>
      <c r="M3" s="3">
        <f>IF(COUNT(M4)=0,"",ABS(M128-M4))</f>
        <v>0</v>
      </c>
      <c r="N3" s="3">
        <f>IF(COUNT(N4)=0,"",ABS(N128-N4))</f>
        <v>0</v>
      </c>
      <c r="O3" s="3">
        <f>IF(COUNT(O4)=0,"",ABS(O128-O4))</f>
        <v>0</v>
      </c>
      <c r="P3" s="3">
        <f>IF(COUNT(P4)=0,"",ABS(P128-P4))</f>
        <v>0</v>
      </c>
      <c r="Q3" s="3">
        <f>IF(COUNT(Q4)=0,"",ABS(Q128-Q4))</f>
        <v>0</v>
      </c>
      <c r="R3" s="3">
        <f>IF(COUNT(R4)=0,"",ABS(R128-R4))</f>
        <v>0</v>
      </c>
      <c r="S3" s="3">
        <f>IF(COUNT(S4)=0,"",ABS(S128-S4))</f>
        <v>0</v>
      </c>
      <c r="T3" s="3">
        <f>IF(COUNT(T4)=0,"",ABS(T128-T4))</f>
        <v>0</v>
      </c>
      <c r="U3" s="3">
        <f>IF(COUNT(U4)=0,"",ABS(U128-U4))</f>
        <v>0</v>
      </c>
      <c r="V3" s="3">
        <f>IF(COUNT(V4)=0,"",ABS(V128-V4))</f>
        <v>0</v>
      </c>
      <c r="W3" s="3">
        <f>IF(COUNT(W4)=0,"",ABS(W128-W4))</f>
        <v>0</v>
      </c>
      <c r="X3" s="3">
        <f>IF(COUNT(X4)=0,"",ABS(X128-X4))</f>
        <v>0</v>
      </c>
      <c r="Y3" s="3">
        <f>IF(COUNT(Y4)=0,"",ABS(Y128-Y4))</f>
        <v>0</v>
      </c>
      <c r="Z3" s="3">
        <f>IF(COUNT(Z4)=0,"",ABS(Z128-Z4))</f>
        <v>0</v>
      </c>
      <c r="AA3" s="3">
        <f>IF(COUNT(AA4)=0,"",ABS(AA128-AA4))</f>
        <v>0</v>
      </c>
      <c r="AB3" s="3">
        <f>IF(COUNT(AB4)=0,"",ABS(AB128-AB4))</f>
        <v>0</v>
      </c>
      <c r="AC3" s="3">
        <f>IF(COUNT(AC4)=0,"",ABS(AC128-AC4))</f>
        <v>0</v>
      </c>
      <c r="AD3" s="3">
        <f>IF(COUNT(AD4)=0,"",ABS(AD128-AD4))</f>
        <v>0</v>
      </c>
      <c r="AE3" s="3">
        <f>IF(COUNT(AE4)=0,"",ABS(AE128-AE4))</f>
        <v>0</v>
      </c>
      <c r="AF3" s="3">
        <f>IF(COUNT(AF4)=0,"",ABS(AF128-AF4))</f>
        <v>0</v>
      </c>
      <c r="AG3" s="3">
        <f>IF(COUNT(AG4)=0,"",ABS(AG128-AG4))</f>
        <v>0</v>
      </c>
      <c r="AH3" s="3">
        <f>IF(COUNT(AH4)=0,"",ABS(AH128-AH4))</f>
        <v>0</v>
      </c>
      <c r="AI3" s="3">
        <f>IF(COUNT(AI4)=0,"",ABS(AI128-AI4))</f>
        <v>0</v>
      </c>
      <c r="AJ3" s="3" t="str">
        <f>IF(COUNT(AJ4)=0,"",ABS(AJ128-AJ4))</f>
        <v/>
      </c>
      <c r="AK3" s="3" t="str">
        <f>IF(COUNT(AK4)=0,"",ABS(AK128-AK4))</f>
        <v/>
      </c>
      <c r="AL3" s="3" t="str">
        <f>IF(COUNT(AL4)=0,"",ABS(AL128-AL4))</f>
        <v/>
      </c>
      <c r="AM3" s="3" t="str">
        <f>IF(COUNT(AM4)=0,"",ABS(AM128-AM4))</f>
        <v/>
      </c>
      <c r="AN3" s="3" t="str">
        <f>IF(COUNT(AN4)=0,"",ABS(AN128-AN4))</f>
        <v/>
      </c>
      <c r="AO3" s="3" t="str">
        <f>IF(COUNT(AO4)=0,"",ABS(AO128-AO4))</f>
        <v/>
      </c>
      <c r="AP3" s="3" t="str">
        <f>IF(COUNT(AP4)=0,"",ABS(AP128-AP4))</f>
        <v/>
      </c>
      <c r="AQ3" s="3" t="str">
        <f>IF(COUNT(AQ4)=0,"",ABS(AQ128-AQ4))</f>
        <v/>
      </c>
      <c r="AR3" s="3" t="str">
        <f>IF(COUNT(AR4)=0,"",ABS(AR128-AR4))</f>
        <v/>
      </c>
      <c r="AS3" s="3" t="str">
        <f>IF(COUNT(AS4)=0,"",ABS(AS128-AS4))</f>
        <v/>
      </c>
      <c r="AT3" s="3" t="str">
        <f>IF(COUNT(AT4)=0,"",ABS(AT128-AT4))</f>
        <v/>
      </c>
      <c r="AU3" s="3" t="str">
        <f>IF(COUNT(AU4)=0,"",ABS(AU128-AU4))</f>
        <v/>
      </c>
      <c r="AV3" s="3" t="str">
        <f>IF(COUNT(AV4)=0,"",ABS(AV128-AV4))</f>
        <v/>
      </c>
      <c r="AW3" s="3" t="str">
        <f>IF(COUNT(AW4)=0,"",ABS(AW128-AW4))</f>
        <v/>
      </c>
      <c r="AX3" s="3" t="str">
        <f>IF(COUNT(AX4)=0,"",ABS(AX128-AX4))</f>
        <v/>
      </c>
      <c r="AY3" s="3" t="str">
        <f>IF(COUNT(AY4)=0,"",ABS(AY128-AY4))</f>
        <v/>
      </c>
      <c r="AZ3" s="3" t="str">
        <f>IF(COUNT(AZ4)=0,"",ABS(AZ128-AZ4))</f>
        <v/>
      </c>
      <c r="BA3" s="3" t="str">
        <f>IF(COUNT(BA4)=0,"",ABS(BA128-BA4))</f>
        <v/>
      </c>
      <c r="BB3" s="3" t="str">
        <f>IF(COUNT(BB4)=0,"",ABS(BB128-BB4))</f>
        <v/>
      </c>
      <c r="BC3" s="3" t="str">
        <f>IF(COUNT(BC4)=0,"",ABS(BC128-BC4))</f>
        <v/>
      </c>
      <c r="BD3" s="3" t="str">
        <f>IF(COUNT(BD4)=0,"",ABS(BD128-BD4))</f>
        <v/>
      </c>
      <c r="BE3" s="3" t="str">
        <f>IF(COUNT(BE4)=0,"",ABS(BE128-BE4))</f>
        <v/>
      </c>
      <c r="BF3" s="3" t="str">
        <f>IF(COUNT(BF4)=0,"",ABS(BF128-BF4))</f>
        <v/>
      </c>
      <c r="BG3" s="3" t="str">
        <f>IF(COUNT(BG4)=0,"",ABS(BG128-BG4))</f>
        <v/>
      </c>
      <c r="BH3" s="3" t="str">
        <f>IF(COUNT(BH4)=0,"",ABS(BH128-BH4))</f>
        <v/>
      </c>
      <c r="BI3" s="3" t="str">
        <f>IF(COUNT(BI4)=0,"",ABS(BI128-BI4))</f>
        <v/>
      </c>
      <c r="BJ3" s="3" t="str">
        <f>IF(COUNT(BJ4)=0,"",ABS(BJ128-BJ4))</f>
        <v/>
      </c>
      <c r="BK3" s="3" t="str">
        <f>IF(COUNT(BK4)=0,"",ABS(BK128-BK4))</f>
        <v/>
      </c>
      <c r="BL3" s="3" t="str">
        <f>IF(COUNT(BL4)=0,"",ABS(BL128-BL4))</f>
        <v/>
      </c>
      <c r="BM3" s="3" t="str">
        <f>IF(COUNT(BM4)=0,"",ABS(BM128-BM4))</f>
        <v/>
      </c>
      <c r="BN3" s="3" t="str">
        <f>IF(COUNT(BN4)=0,"",ABS(BN128-BN4))</f>
        <v/>
      </c>
      <c r="BO3" s="3" t="str">
        <f>IF(COUNT(BO4)=0,"",ABS(BO128-BO4))</f>
        <v/>
      </c>
      <c r="BP3" s="3" t="str">
        <f>IF(COUNT(BP4)=0,"",ABS(BP128-BP4))</f>
        <v/>
      </c>
      <c r="BQ3" s="3" t="str">
        <f>IF(COUNT(BQ4)=0,"",ABS(BQ128-BQ4))</f>
        <v/>
      </c>
      <c r="BR3" s="3" t="str">
        <f>IF(COUNT(BR4)=0,"",ABS(BR128-BR4))</f>
        <v/>
      </c>
      <c r="BS3" s="3" t="str">
        <f>IF(COUNT(BS4)=0,"",ABS(BS128-BS4))</f>
        <v/>
      </c>
      <c r="BT3" s="3" t="str">
        <f>IF(COUNT(BT4)=0,"",ABS(BT128-BT4))</f>
        <v/>
      </c>
      <c r="BU3" s="3" t="str">
        <f>IF(COUNT(BU4)=0,"",ABS(BU128-BU4))</f>
        <v/>
      </c>
      <c r="BV3" s="3" t="str">
        <f>IF(COUNT(BV4)=0,"",ABS(BV128-BV4))</f>
        <v/>
      </c>
      <c r="BW3" s="3" t="str">
        <f>IF(COUNT(BW4)=0,"",ABS(BW128-BW4))</f>
        <v/>
      </c>
      <c r="BX3" s="3" t="str">
        <f>IF(COUNT(BX4)=0,"",ABS(BX128-BX4))</f>
        <v/>
      </c>
      <c r="BY3" s="3" t="str">
        <f>IF(COUNT(BY4)=0,"",ABS(BY128-BY4))</f>
        <v/>
      </c>
      <c r="BZ3" s="3" t="str">
        <f>IF(COUNT(BZ4)=0,"",ABS(BZ128-BZ4))</f>
        <v/>
      </c>
      <c r="CA3" s="3" t="str">
        <f>IF(COUNT(CA4)=0,"",ABS(CA128-CA4))</f>
        <v/>
      </c>
      <c r="CB3" s="3" t="str">
        <f>IF(COUNT(CB4)=0,"",ABS(CB128-CB4))</f>
        <v/>
      </c>
      <c r="CC3" s="3" t="str">
        <f>IF(COUNT(CC4)=0,"",ABS(CC128-CC4))</f>
        <v/>
      </c>
      <c r="CD3" s="3" t="str">
        <f>IF(COUNT(CD4)=0,"",ABS(CD128-CD4))</f>
        <v/>
      </c>
      <c r="CE3" s="3" t="str">
        <f>IF(COUNT(CE4)=0,"",ABS(CE128-CE4))</f>
        <v/>
      </c>
      <c r="CF3" s="3" t="str">
        <f>IF(COUNT(CF4)=0,"",ABS(CF128-CF4))</f>
        <v/>
      </c>
      <c r="CG3" s="3" t="str">
        <f>IF(COUNT(CG4)=0,"",ABS(CG128-CG4))</f>
        <v/>
      </c>
      <c r="CH3" s="3" t="str">
        <f>IF(COUNT(CH4)=0,"",ABS(CH128-CH4))</f>
        <v/>
      </c>
      <c r="CI3" s="3" t="str">
        <f>IF(COUNT(CI4)=0,"",ABS(CI128-CI4))</f>
        <v/>
      </c>
      <c r="CJ3" s="3" t="str">
        <f>IF(COUNT(CJ4)=0,"",ABS(CJ128-CJ4))</f>
        <v/>
      </c>
      <c r="CK3" s="3" t="str">
        <f>IF(COUNT(CK4)=0,"",ABS(CK128-CK4))</f>
        <v/>
      </c>
      <c r="CL3" s="3" t="str">
        <f>IF(COUNT(CL4)=0,"",ABS(CL128-CL4))</f>
        <v/>
      </c>
      <c r="CM3" s="3" t="str">
        <f>IF(COUNT(CM4)=0,"",ABS(CM128-CM4))</f>
        <v/>
      </c>
      <c r="CN3" s="3" t="str">
        <f>IF(COUNT(CN4)=0,"",ABS(CN128-CN4))</f>
        <v/>
      </c>
      <c r="CO3" s="3" t="str">
        <f>IF(COUNT(CO4)=0,"",ABS(CO128-CO4))</f>
        <v/>
      </c>
      <c r="CP3" s="3" t="str">
        <f>IF(COUNT(CP4)=0,"",ABS(CP128-CP4))</f>
        <v/>
      </c>
      <c r="CQ3" s="3" t="str">
        <f>IF(COUNT(CQ4)=0,"",ABS(CQ128-CQ4))</f>
        <v/>
      </c>
      <c r="CR3" s="3" t="str">
        <f>IF(COUNT(CR4)=0,"",ABS(CR128-CR4))</f>
        <v/>
      </c>
      <c r="CS3" s="3" t="str">
        <f>IF(COUNT(CS4)=0,"",ABS(CS128-CS4))</f>
        <v/>
      </c>
      <c r="CT3" s="3" t="str">
        <f>IF(COUNT(CT4)=0,"",ABS(CT128-CT4))</f>
        <v/>
      </c>
      <c r="CU3" s="3" t="str">
        <f>IF(COUNT(CU4)=0,"",ABS(CU128-CU4))</f>
        <v/>
      </c>
      <c r="CV3" s="3" t="str">
        <f>IF(COUNT(CV4)=0,"",ABS(CV128-CV4))</f>
        <v/>
      </c>
      <c r="CW3" s="3" t="str">
        <f>IF(COUNT(CW4)=0,"",ABS(CW128-CW4))</f>
        <v/>
      </c>
      <c r="CX3" s="3" t="str">
        <f>IF(COUNT(CX4)=0,"",ABS(CX128-CX4))</f>
        <v/>
      </c>
      <c r="CY3" s="3" t="str">
        <f>IF(COUNT(CY4)=0,"",ABS(CY128-CY4))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1717</v>
      </c>
      <c r="E4" s="16">
        <f>INDEX('Inputs (2)'!$D$50:$AL$50,MATCH(E$7,'Inputs (2)'!$D$2:$AL$2,0))</f>
        <v>1626</v>
      </c>
      <c r="F4" s="16">
        <f>INDEX('Inputs (2)'!$D$50:$AL$50,MATCH(F$7,'Inputs (2)'!$D$2:$AL$2,0))</f>
        <v>1698</v>
      </c>
      <c r="G4" s="16">
        <f>INDEX('Inputs (2)'!$D$50:$AL$50,MATCH(G$7,'Inputs (2)'!$D$2:$AL$2,0))</f>
        <v>1792</v>
      </c>
      <c r="H4" s="16">
        <f>IF(COUNT(D4:G4)=4,SUM(D4:G4),"")</f>
        <v>6833</v>
      </c>
      <c r="I4" s="16">
        <f>INDEX('Inputs (2)'!$D$50:$AL$50,MATCH(I$7,'Inputs (2)'!$D$2:$AL$2,0))</f>
        <v>1837</v>
      </c>
      <c r="J4" s="16">
        <f>INDEX('Inputs (2)'!$D$50:$AL$50,MATCH(J$7,'Inputs (2)'!$D$2:$AL$2,0))</f>
        <v>1815</v>
      </c>
      <c r="K4" s="16">
        <f>INDEX('Inputs (2)'!$D$50:$AL$50,MATCH(K$7,'Inputs (2)'!$D$2:$AL$2,0))</f>
        <v>614</v>
      </c>
      <c r="L4" s="16">
        <f>INDEX('Inputs (2)'!$D$50:$AL$50,MATCH(L$7,'Inputs (2)'!$D$2:$AL$2,0))</f>
        <v>2049</v>
      </c>
      <c r="M4" s="16">
        <f>IF(COUNT(I4:L4)=4,SUM(I4:L4),"")</f>
        <v>6315</v>
      </c>
      <c r="N4" s="16">
        <f>INDEX('Inputs (2)'!$D$50:$AL$50,MATCH(N$7,'Inputs (2)'!$D$2:$AL$2,0))</f>
        <v>1733</v>
      </c>
      <c r="O4" s="16">
        <f>INDEX('Inputs (2)'!$D$50:$AL$50,MATCH(O$7,'Inputs (2)'!$D$2:$AL$2,0))</f>
        <v>309</v>
      </c>
      <c r="P4" s="16">
        <f>INDEX('Inputs (2)'!$D$50:$AL$50,MATCH(P$7,'Inputs (2)'!$D$2:$AL$2,0))</f>
        <v>1778</v>
      </c>
      <c r="Q4" s="16">
        <f>INDEX('Inputs (2)'!$D$50:$AL$50,MATCH(Q$7,'Inputs (2)'!$D$2:$AL$2,0))</f>
        <v>1912</v>
      </c>
      <c r="R4" s="16">
        <f>IF(COUNT(N4:Q4)=4,SUM(N4:Q4),"")</f>
        <v>5732</v>
      </c>
      <c r="S4" s="16">
        <f>INDEX('Inputs (2)'!$D$50:$AL$50,MATCH(S$7,'Inputs (2)'!$D$2:$AL$2,0))</f>
        <v>1689</v>
      </c>
      <c r="T4" s="16">
        <f>INDEX('Inputs (2)'!$D$50:$AL$50,MATCH(T$7,'Inputs (2)'!$D$2:$AL$2,0))</f>
        <v>1681</v>
      </c>
      <c r="U4" s="16">
        <f>INDEX('Inputs (2)'!$D$50:$AL$50,MATCH(U$7,'Inputs (2)'!$D$2:$AL$2,0))</f>
        <v>1684</v>
      </c>
      <c r="V4" s="16">
        <f>INDEX('Inputs (2)'!$D$50:$AL$50,MATCH(V$7,'Inputs (2)'!$D$2:$AL$2,0))</f>
        <v>1866</v>
      </c>
      <c r="W4" s="16">
        <f>IF(COUNT(S4:V4)=4,SUM(S4:V4),"")</f>
        <v>6920</v>
      </c>
      <c r="X4" s="16">
        <f>INDEX('Inputs (2)'!$D$50:$AL$50,MATCH(X$7,'Inputs (2)'!$D$2:$AL$2,0))</f>
        <v>1545</v>
      </c>
      <c r="Y4" s="16">
        <f>INDEX('Inputs (2)'!$D$50:$AL$50,MATCH(Y$7,'Inputs (2)'!$D$2:$AL$2,0))</f>
        <v>1641</v>
      </c>
      <c r="Z4" s="16">
        <f>INDEX('Inputs (2)'!$D$50:$AL$50,MATCH(Z$7,'Inputs (2)'!$D$2:$AL$2,0))</f>
        <v>1623</v>
      </c>
      <c r="AA4" s="16">
        <f>INDEX('Inputs (2)'!$D$50:$AL$50,MATCH(AA$7,'Inputs (2)'!$D$2:$AL$2,0))</f>
        <v>527</v>
      </c>
      <c r="AB4" s="16">
        <f>IF(COUNT(X4:AA4)=4,SUM(X4:AA4),"")</f>
        <v>5336</v>
      </c>
      <c r="AC4" s="16">
        <f>INDEX('Inputs (2)'!$D$50:$AL$50,MATCH(AC$7,'Inputs (2)'!$D$2:$AL$2,0))</f>
        <v>1712</v>
      </c>
      <c r="AD4" s="16">
        <f>INDEX('Inputs (2)'!$D$50:$AL$50,MATCH(AD$7,'Inputs (2)'!$D$2:$AL$2,0))</f>
        <v>342</v>
      </c>
      <c r="AE4" s="16">
        <f>INDEX('Inputs (2)'!$D$50:$AL$50,MATCH(AE$7,'Inputs (2)'!$D$2:$AL$2,0))</f>
        <v>1619</v>
      </c>
      <c r="AF4" s="16">
        <f>INDEX('Inputs (2)'!$D$50:$AL$50,MATCH(AF$7,'Inputs (2)'!$D$2:$AL$2,0))</f>
        <v>1344</v>
      </c>
      <c r="AG4" s="16">
        <f>IF(COUNT(AC4:AF4)=4,SUM(AC4:AF4),"")</f>
        <v>5017</v>
      </c>
      <c r="AH4" s="6">
        <f>INDEX('Inputs (2)'!$D$50:$AL$50,MATCH(AH$7,'Inputs (2)'!$D$2:$AL$2,0))</f>
        <v>1488</v>
      </c>
      <c r="AI4" s="6">
        <f>INDEX('Inputs (2)'!$D$50:$AL$50,MATCH(AI$7,'Inputs (2)'!$D$2:$AL$2,0))</f>
        <v>1836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15651</v>
      </c>
      <c r="E15" s="15">
        <f>INDEX('Inputs (2)'!$D$4:$AL$4,MATCH(E$7,'Inputs (2)'!$D$2:$AL$2,0))</f>
        <v>16220</v>
      </c>
      <c r="F15" s="15">
        <f>INDEX('Inputs (2)'!$D$4:$AL$4,MATCH(F$7,'Inputs (2)'!$D$2:$AL$2,0))</f>
        <v>16495</v>
      </c>
      <c r="G15" s="15">
        <f>INDEX('Inputs (2)'!$D$4:$AL$4,MATCH(G$7,'Inputs (2)'!$D$2:$AL$2,0))</f>
        <v>17032</v>
      </c>
      <c r="H15" s="16">
        <f>SUM(D15:G15)</f>
        <v>65398</v>
      </c>
      <c r="I15" s="15">
        <f>INDEX('Inputs (2)'!$D$4:$AL$4,MATCH(I$7,'Inputs (2)'!$D$2:$AL$2,0))</f>
        <v>16258</v>
      </c>
      <c r="J15" s="15">
        <f>INDEX('Inputs (2)'!$D$4:$AL$4,MATCH(J$7,'Inputs (2)'!$D$2:$AL$2,0))</f>
        <v>17029</v>
      </c>
      <c r="K15" s="15">
        <f>INDEX('Inputs (2)'!$D$4:$AL$4,MATCH(K$7,'Inputs (2)'!$D$2:$AL$2,0))</f>
        <v>16028</v>
      </c>
      <c r="L15" s="15">
        <f>INDEX('Inputs (2)'!$D$4:$AL$4,MATCH(L$7,'Inputs (2)'!$D$2:$AL$2,0))</f>
        <v>17729</v>
      </c>
      <c r="M15" s="16">
        <f>SUM(I15:L15)</f>
        <v>67044</v>
      </c>
      <c r="N15" s="15">
        <f>INDEX('Inputs (2)'!$D$4:$AL$4,MATCH(N$7,'Inputs (2)'!$D$2:$AL$2,0))</f>
        <v>14964</v>
      </c>
      <c r="O15" s="15">
        <f>INDEX('Inputs (2)'!$D$4:$AL$4,MATCH(O$7,'Inputs (2)'!$D$2:$AL$2,0))</f>
        <v>15446</v>
      </c>
      <c r="P15" s="15">
        <f>INDEX('Inputs (2)'!$D$4:$AL$4,MATCH(P$7,'Inputs (2)'!$D$2:$AL$2,0))</f>
        <v>16583</v>
      </c>
      <c r="Q15" s="15">
        <f>INDEX('Inputs (2)'!$D$4:$AL$4,MATCH(Q$7,'Inputs (2)'!$D$2:$AL$2,0))</f>
        <v>18991</v>
      </c>
      <c r="R15" s="16">
        <f>SUM(N15:Q15)</f>
        <v>65984</v>
      </c>
      <c r="S15" s="15">
        <f>INDEX('Inputs (2)'!$D$4:$AL$4,MATCH(S$7,'Inputs (2)'!$D$2:$AL$2,0))</f>
        <v>15126</v>
      </c>
      <c r="T15" s="15">
        <f>INDEX('Inputs (2)'!$D$4:$AL$4,MATCH(T$7,'Inputs (2)'!$D$2:$AL$2,0))</f>
        <v>16693</v>
      </c>
      <c r="U15" s="15">
        <f>INDEX('Inputs (2)'!$D$4:$AL$4,MATCH(U$7,'Inputs (2)'!$D$2:$AL$2,0))</f>
        <v>16878</v>
      </c>
      <c r="V15" s="15">
        <f>INDEX('Inputs (2)'!$D$4:$AL$4,MATCH(V$7,'Inputs (2)'!$D$2:$AL$2,0))</f>
        <v>18874</v>
      </c>
      <c r="W15" s="16">
        <f>SUM(S15:V15)</f>
        <v>67571</v>
      </c>
      <c r="X15" s="15">
        <f>INDEX('Inputs (2)'!$D$4:$AL$4,MATCH(X$7,'Inputs (2)'!$D$2:$AL$2,0))</f>
        <v>17195</v>
      </c>
      <c r="Y15" s="15">
        <f>INDEX('Inputs (2)'!$D$4:$AL$4,MATCH(Y$7,'Inputs (2)'!$D$2:$AL$2,0))</f>
        <v>18122</v>
      </c>
      <c r="Z15" s="15">
        <f>INDEX('Inputs (2)'!$D$4:$AL$4,MATCH(Z$7,'Inputs (2)'!$D$2:$AL$2,0))</f>
        <v>17104</v>
      </c>
      <c r="AA15" s="15">
        <f>INDEX('Inputs (2)'!$D$4:$AL$4,MATCH(AA$7,'Inputs (2)'!$D$2:$AL$2,0))</f>
        <v>18622</v>
      </c>
      <c r="AB15" s="16">
        <f>SUM(X15:AA15)</f>
        <v>71043</v>
      </c>
      <c r="AC15" s="15">
        <f>INDEX('Inputs (2)'!$D$4:$AL$4,MATCH(AC$7,'Inputs (2)'!$D$2:$AL$2,0))</f>
        <v>17963</v>
      </c>
      <c r="AD15" s="15">
        <f>INDEX('Inputs (2)'!$D$4:$AL$4,MATCH(AD$7,'Inputs (2)'!$D$2:$AL$2,0))</f>
        <v>18155</v>
      </c>
      <c r="AE15" s="15">
        <f>INDEX('Inputs (2)'!$D$4:$AL$4,MATCH(AE$7,'Inputs (2)'!$D$2:$AL$2,0))</f>
        <v>18609</v>
      </c>
      <c r="AF15" s="15">
        <f>INDEX('Inputs (2)'!$D$4:$AL$4,MATCH(AF$7,'Inputs (2)'!$D$2:$AL$2,0))</f>
        <v>20321</v>
      </c>
      <c r="AG15" s="16">
        <f>SUM(AC15:AF15)</f>
        <v>75048</v>
      </c>
      <c r="AH15" s="16">
        <f>INDEX('Inputs (2)'!$D$4:$AL$4,MATCH(AH$7,'Inputs (2)'!$D$2:$AL$2,0))</f>
        <v>18021</v>
      </c>
      <c r="AI15" s="16">
        <f>INDEX('Inputs (2)'!$D$4:$AL$4,MATCH(AI$7,'Inputs (2)'!$D$2:$AL$2,0))</f>
        <v>20063</v>
      </c>
      <c r="AJ15" s="16">
        <f>AE15*(1+AJ16)</f>
        <v>18609</v>
      </c>
      <c r="AK15" s="16">
        <f>AF15*(1+AK16)</f>
        <v>20321</v>
      </c>
      <c r="AL15" s="16">
        <f>SUM(AH15:AK15)</f>
        <v>77014</v>
      </c>
      <c r="AM15" s="16">
        <f>AH15*(1+AM16)</f>
        <v>18021</v>
      </c>
      <c r="AN15" s="16">
        <f>AI15*(1+AN16)</f>
        <v>20063</v>
      </c>
      <c r="AO15" s="16">
        <f>AJ15*(1+AO16)</f>
        <v>18609</v>
      </c>
      <c r="AP15" s="16">
        <f>AK15*(1+AP16)</f>
        <v>20321</v>
      </c>
      <c r="AQ15" s="16">
        <f>SUM(AM15:AP15)</f>
        <v>77014</v>
      </c>
      <c r="AR15" s="16">
        <f>AM15*(1+AR16)</f>
        <v>18021</v>
      </c>
      <c r="AS15" s="16">
        <f>AN15*(1+AS16)</f>
        <v>20063</v>
      </c>
      <c r="AT15" s="16">
        <f>AO15*(1+AT16)</f>
        <v>18609</v>
      </c>
      <c r="AU15" s="16">
        <f>AP15*(1+AU16)</f>
        <v>20321</v>
      </c>
      <c r="AV15" s="16">
        <f>SUM(AR15:AU15)</f>
        <v>77014</v>
      </c>
      <c r="AW15" s="16">
        <f>AR15*(1+AW16)</f>
        <v>18021</v>
      </c>
      <c r="AX15" s="16">
        <f>AS15*(1+AX16)</f>
        <v>20063</v>
      </c>
      <c r="AY15" s="16">
        <f>AT15*(1+AY16)</f>
        <v>18609</v>
      </c>
      <c r="AZ15" s="16">
        <f>AU15*(1+AZ16)</f>
        <v>20321</v>
      </c>
      <c r="BA15" s="16">
        <f>SUM(AW15:AZ15)</f>
        <v>77014</v>
      </c>
      <c r="BB15" s="16">
        <f>AW15*(1+BB16)</f>
        <v>18021</v>
      </c>
      <c r="BC15" s="16">
        <f>AX15*(1+BC16)</f>
        <v>20063</v>
      </c>
      <c r="BD15" s="16">
        <f>AY15*(1+BD16)</f>
        <v>18609</v>
      </c>
      <c r="BE15" s="16">
        <f>AZ15*(1+BE16)</f>
        <v>20321</v>
      </c>
      <c r="BF15" s="16">
        <f>SUM(BB15:BE15)</f>
        <v>77014</v>
      </c>
      <c r="BG15" s="16">
        <f>BB15*(1+BG16)</f>
        <v>18021</v>
      </c>
      <c r="BH15" s="16">
        <f>BC15*(1+BH16)</f>
        <v>20063</v>
      </c>
      <c r="BI15" s="16">
        <f>BD15*(1+BI16)</f>
        <v>18609</v>
      </c>
      <c r="BJ15" s="16">
        <f>BE15*(1+BJ16)</f>
        <v>20321</v>
      </c>
      <c r="BK15" s="16">
        <f>SUM(BG15:BJ15)</f>
        <v>77014</v>
      </c>
      <c r="BL15" s="16">
        <f>BG15*(1+BL16)</f>
        <v>18021</v>
      </c>
      <c r="BM15" s="16">
        <f>BH15*(1+BM16)</f>
        <v>20063</v>
      </c>
      <c r="BN15" s="16">
        <f>BI15*(1+BN16)</f>
        <v>18609</v>
      </c>
      <c r="BO15" s="16">
        <f>BJ15*(1+BO16)</f>
        <v>20321</v>
      </c>
      <c r="BP15" s="16">
        <f>SUM(BL15:BO15)</f>
        <v>77014</v>
      </c>
      <c r="BQ15" s="16">
        <f>BL15*(1+BQ16)</f>
        <v>18021</v>
      </c>
      <c r="BR15" s="16">
        <f>BM15*(1+BR16)</f>
        <v>20063</v>
      </c>
      <c r="BS15" s="16">
        <f>BN15*(1+BS16)</f>
        <v>18609</v>
      </c>
      <c r="BT15" s="16">
        <f>BO15*(1+BT16)</f>
        <v>20321</v>
      </c>
      <c r="BU15" s="16">
        <f>SUM(BQ15:BT15)</f>
        <v>77014</v>
      </c>
      <c r="BV15" s="16">
        <f>BQ15*(1+BV16)</f>
        <v>18021</v>
      </c>
      <c r="BW15" s="16">
        <f>BR15*(1+BW16)</f>
        <v>20063</v>
      </c>
      <c r="BX15" s="16">
        <f>BS15*(1+BX16)</f>
        <v>18609</v>
      </c>
      <c r="BY15" s="16">
        <f>BT15*(1+BY16)</f>
        <v>20321</v>
      </c>
      <c r="BZ15" s="16">
        <f>SUM(BV15:BY15)</f>
        <v>77014</v>
      </c>
      <c r="CA15" s="16">
        <f>BV15*(1+CA16)</f>
        <v>18021</v>
      </c>
      <c r="CB15" s="16">
        <f>BW15*(1+CB16)</f>
        <v>20063</v>
      </c>
      <c r="CC15" s="16">
        <f>BX15*(1+CC16)</f>
        <v>18609</v>
      </c>
      <c r="CD15" s="16">
        <f>BY15*(1+CD16)</f>
        <v>20321</v>
      </c>
      <c r="CE15" s="16">
        <f>SUM(CA15:CD15)</f>
        <v>77014</v>
      </c>
      <c r="CF15" s="16">
        <f>CA15*(1+CF16)</f>
        <v>18021</v>
      </c>
      <c r="CG15" s="16">
        <f>CB15*(1+CG16)</f>
        <v>20063</v>
      </c>
      <c r="CH15" s="16">
        <f>CC15*(1+CH16)</f>
        <v>18609</v>
      </c>
      <c r="CI15" s="16">
        <f>CD15*(1+CI16)</f>
        <v>20321</v>
      </c>
      <c r="CJ15" s="16">
        <f>SUM(CF15:CI15)</f>
        <v>77014</v>
      </c>
      <c r="CK15" s="16">
        <f>CF15*(1+CK16)</f>
        <v>18021</v>
      </c>
      <c r="CL15" s="16">
        <f>CG15*(1+CL16)</f>
        <v>20063</v>
      </c>
      <c r="CM15" s="16">
        <f>CH15*(1+CM16)</f>
        <v>18609</v>
      </c>
      <c r="CN15" s="16">
        <f>CI15*(1+CN16)</f>
        <v>20321</v>
      </c>
      <c r="CO15" s="16">
        <f>SUM(CK15:CN15)</f>
        <v>77014</v>
      </c>
      <c r="CP15" s="16">
        <f>CK15*(1+CP16)</f>
        <v>18021</v>
      </c>
      <c r="CQ15" s="16">
        <f>CL15*(1+CQ16)</f>
        <v>20063</v>
      </c>
      <c r="CR15" s="16">
        <f>CM15*(1+CR16)</f>
        <v>18609</v>
      </c>
      <c r="CS15" s="16">
        <f>CN15*(1+CS16)</f>
        <v>20321</v>
      </c>
      <c r="CT15" s="16">
        <f>SUM(CP15:CS15)</f>
        <v>77014</v>
      </c>
      <c r="CU15" s="16">
        <f>CP15*(1+CU16)</f>
        <v>18021</v>
      </c>
      <c r="CV15" s="16">
        <f>CQ15*(1+CV16)</f>
        <v>20063</v>
      </c>
      <c r="CW15" s="16">
        <f>CR15*(1+CW16)</f>
        <v>18609</v>
      </c>
      <c r="CX15" s="16">
        <f>CS15*(1+CX16)</f>
        <v>20321</v>
      </c>
      <c r="CY15" s="16">
        <f>SUM(CU15:CX15)</f>
        <v>77014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-0.0795915856808955</v>
      </c>
      <c r="O16" s="47">
        <f>O15/J15-1</f>
        <v>-0.0929590698220683</v>
      </c>
      <c r="P16" s="47">
        <f>P15/K15-1</f>
        <v>0.0346269029198902</v>
      </c>
      <c r="Q16" s="47">
        <f>Q15/L15-1</f>
        <v>0.0711828078289807</v>
      </c>
      <c r="R16" s="47">
        <f>R15/M15-1</f>
        <v>-0.0158105124992542</v>
      </c>
      <c r="S16" s="47">
        <f>S15/N15-1</f>
        <v>0.0108259823576584</v>
      </c>
      <c r="T16" s="47">
        <f>T15/O15-1</f>
        <v>0.0807328758254564</v>
      </c>
      <c r="U16" s="47">
        <f>U15/P15-1</f>
        <v>0.0177893022975337</v>
      </c>
      <c r="V16" s="47">
        <f>V15/Q15-1</f>
        <v>-0.00616081301669214</v>
      </c>
      <c r="W16" s="47">
        <f>W15/R15-1</f>
        <v>0.0240512851600387</v>
      </c>
      <c r="X16" s="47">
        <f>X15/S15-1</f>
        <v>0.136784344836705</v>
      </c>
      <c r="Y16" s="47">
        <f>Y15/T15-1</f>
        <v>0.0856047445036843</v>
      </c>
      <c r="Z16" s="47">
        <f>Z15/U15-1</f>
        <v>0.0133902121104397</v>
      </c>
      <c r="AA16" s="47">
        <f>AA15/V15-1</f>
        <v>-0.0133517007523577</v>
      </c>
      <c r="AB16" s="47">
        <f>AB15/W15-1</f>
        <v>0.0513829897441209</v>
      </c>
      <c r="AC16" s="47">
        <f>AC15/X15-1</f>
        <v>0.0446641465542308</v>
      </c>
      <c r="AD16" s="47">
        <f>AD15/Y15-1</f>
        <v>0.00182099106058931</v>
      </c>
      <c r="AE16" s="47">
        <f>AE15/Z15-1</f>
        <v>0.0879911131898972</v>
      </c>
      <c r="AF16" s="44">
        <f>AF15/AA15-1</f>
        <v>0.0912361722693589</v>
      </c>
      <c r="AG16" s="47">
        <f>AG15/AB15-1</f>
        <v>0.0563743085173769</v>
      </c>
      <c r="AH16" s="44">
        <f>AH15/AC15-1</f>
        <v>0.00322885932193961</v>
      </c>
      <c r="AI16" s="44">
        <f>AI15/AD15-1</f>
        <v>0.105095015147342</v>
      </c>
      <c r="AJ16" s="44" t="n"/>
      <c r="AK16" s="44" t="n"/>
      <c r="AL16" s="22">
        <f>AL15/AG15-1</f>
        <v>0.0261965675301141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dos segmentos)</t>
        </is>
      </c>
      <c r="D17" s="15">
        <f>IF(COUNT(D24)=0,"",D24)</f>
        <v>0</v>
      </c>
      <c r="E17" s="15">
        <f>IF(COUNT(E24)=0,"",E24)</f>
        <v>0</v>
      </c>
      <c r="F17" s="15">
        <f>IF(COUNT(F24)=0,"",F24)</f>
        <v>0</v>
      </c>
      <c r="G17" s="15">
        <f>IF(COUNT(G24)=0,"",G24)</f>
        <v>0</v>
      </c>
      <c r="H17" s="16">
        <f>IF(COUNT(H24)=0,"",H24)</f>
        <v>0</v>
      </c>
      <c r="I17" s="15">
        <f>IF(COUNT(I24)=0,"",I24)</f>
        <v>0</v>
      </c>
      <c r="J17" s="15">
        <f>IF(COUNT(J24)=0,"",J24)</f>
        <v>0</v>
      </c>
      <c r="K17" s="15">
        <f>IF(COUNT(K24)=0,"",K24)</f>
        <v>0</v>
      </c>
      <c r="L17" s="15">
        <f>IF(COUNT(L24)=0,"",L24)</f>
        <v>0</v>
      </c>
      <c r="M17" s="16">
        <f>IF(COUNT(M24)=0,"",M24)</f>
        <v>0</v>
      </c>
      <c r="N17" s="15">
        <f>IF(COUNT(N24)=0,"",N24)</f>
        <v>0</v>
      </c>
      <c r="O17" s="15">
        <f>IF(COUNT(O24)=0,"",O24)</f>
        <v>0</v>
      </c>
      <c r="P17" s="15">
        <f>IF(COUNT(P24)=0,"",P24)</f>
        <v>0</v>
      </c>
      <c r="Q17" s="15">
        <f>IF(COUNT(Q24)=0,"",Q24)</f>
        <v>0</v>
      </c>
      <c r="R17" s="16">
        <f>IF(COUNT(R24)=0,"",R24)</f>
        <v>0</v>
      </c>
      <c r="S17" s="15">
        <f>IF(COUNT(S24)=0,"",S24)</f>
        <v>0</v>
      </c>
      <c r="T17" s="15">
        <f>IF(COUNT(T24)=0,"",T24)</f>
        <v>0</v>
      </c>
      <c r="U17" s="15">
        <f>IF(COUNT(U24)=0,"",U24)</f>
        <v>0</v>
      </c>
      <c r="V17" s="15">
        <f>IF(COUNT(V24)=0,"",V24)</f>
        <v>0</v>
      </c>
      <c r="W17" s="16">
        <f>IF(COUNT(W24)=0,"",W24)</f>
        <v>0</v>
      </c>
      <c r="X17" s="15">
        <f>IF(COUNT(X24)=0,"",X24)</f>
        <v>0</v>
      </c>
      <c r="Y17" s="15">
        <f>IF(COUNT(Y24)=0,"",Y24)</f>
        <v>0</v>
      </c>
      <c r="Z17" s="15">
        <f>IF(COUNT(Z24)=0,"",Z24)</f>
        <v>0</v>
      </c>
      <c r="AA17" s="15">
        <f>IF(COUNT(AA24)=0,"",AA24)</f>
        <v>0</v>
      </c>
      <c r="AB17" s="16">
        <f>IF(COUNT(AB24)=0,"",AB24)</f>
        <v>0</v>
      </c>
      <c r="AC17" s="15">
        <f>IF(COUNT(AC24)=0,"",AC24)</f>
        <v>0</v>
      </c>
      <c r="AD17" s="15">
        <f>IF(COUNT(AD24)=0,"",AD24)</f>
        <v>0</v>
      </c>
      <c r="AE17" s="15">
        <f>IF(COUNT(AE24)=0,"",AE24)</f>
        <v>0</v>
      </c>
      <c r="AF17" s="15">
        <f>IF(COUNT(AF24)=0,"",AF24)</f>
        <v>0</v>
      </c>
      <c r="AG17" s="16">
        <f>IF(COUNT(AG24)=0,"",AG24)</f>
        <v>0</v>
      </c>
      <c r="AH17" s="16">
        <f>IF(COUNT(AH24)=0,"",AH24)</f>
        <v>0</v>
      </c>
      <c r="AI17" s="16">
        <f>IF(COUNT(AI24)=0,"",AI24)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Segmentos - receita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Aeronautics</t>
        </is>
      </c>
      <c r="D19" s="265">
        <f>IFERROR(INDEX('Inputs (2)'!$D$53:$AL$53,MATCH(D$7,'Inputs (2)'!$D$2:$AL$2,0)),"")</f>
        <v>6369</v>
      </c>
      <c r="E19" s="265">
        <f>IFERROR(INDEX('Inputs (2)'!$D$53:$AL$53,MATCH(E$7,'Inputs (2)'!$D$2:$AL$2,0)),"")</f>
        <v>6503</v>
      </c>
      <c r="F19" s="265">
        <f>IFERROR(INDEX('Inputs (2)'!$D$53:$AL$53,MATCH(F$7,'Inputs (2)'!$D$2:$AL$2,0)),"")</f>
        <v>6680</v>
      </c>
      <c r="G19" s="265">
        <f>IFERROR(INDEX('Inputs (2)'!$D$53:$AL$53,MATCH(G$7,'Inputs (2)'!$D$2:$AL$2,0)),"")</f>
        <v>6714</v>
      </c>
      <c r="H19" s="266">
        <f>IF(COUNT(D19:G19)=4,SUM(D19:G19),"")</f>
        <v>26266</v>
      </c>
      <c r="I19" s="265">
        <f>IFERROR(INDEX('Inputs (2)'!$D$53:$AL$53,MATCH(I$7,'Inputs (2)'!$D$2:$AL$2,0)),"")</f>
        <v>6387</v>
      </c>
      <c r="J19" s="265">
        <f>IFERROR(INDEX('Inputs (2)'!$D$53:$AL$53,MATCH(J$7,'Inputs (2)'!$D$2:$AL$2,0)),"")</f>
        <v>6666</v>
      </c>
      <c r="K19" s="265">
        <f>IFERROR(INDEX('Inputs (2)'!$D$53:$AL$53,MATCH(K$7,'Inputs (2)'!$D$2:$AL$2,0)),"")</f>
        <v>6568</v>
      </c>
      <c r="L19" s="265">
        <f>IFERROR(INDEX('Inputs (2)'!$D$53:$AL$53,MATCH(L$7,'Inputs (2)'!$D$2:$AL$2,0)),"")</f>
        <v>7127</v>
      </c>
      <c r="M19" s="266">
        <f>IF(COUNT(I19:L19)=4,SUM(I19:L19),"")</f>
        <v>26748</v>
      </c>
      <c r="N19" s="265">
        <f>IFERROR(INDEX('Inputs (2)'!$D$53:$AL$53,MATCH(N$7,'Inputs (2)'!$D$2:$AL$2,0)),"")</f>
        <v>6401</v>
      </c>
      <c r="O19" s="265">
        <f>IFERROR(INDEX('Inputs (2)'!$D$53:$AL$53,MATCH(O$7,'Inputs (2)'!$D$2:$AL$2,0)),"")</f>
        <v>5862</v>
      </c>
      <c r="P19" s="265">
        <f>IFERROR(INDEX('Inputs (2)'!$D$53:$AL$53,MATCH(P$7,'Inputs (2)'!$D$2:$AL$2,0)),"")</f>
        <v>7089</v>
      </c>
      <c r="Q19" s="265">
        <f>IFERROR(INDEX('Inputs (2)'!$D$53:$AL$53,MATCH(Q$7,'Inputs (2)'!$D$2:$AL$2,0)),"")</f>
        <v>7635</v>
      </c>
      <c r="R19" s="266">
        <f>IF(COUNT(N19:Q19)=4,SUM(N19:Q19),"")</f>
        <v>26987</v>
      </c>
      <c r="S19" s="265">
        <f>IFERROR(INDEX('Inputs (2)'!$D$53:$AL$53,MATCH(S$7,'Inputs (2)'!$D$2:$AL$2,0)),"")</f>
        <v>6269</v>
      </c>
      <c r="T19" s="265">
        <f>IFERROR(INDEX('Inputs (2)'!$D$53:$AL$53,MATCH(T$7,'Inputs (2)'!$D$2:$AL$2,0)),"")</f>
        <v>6875</v>
      </c>
      <c r="U19" s="265">
        <f>IFERROR(INDEX('Inputs (2)'!$D$53:$AL$53,MATCH(U$7,'Inputs (2)'!$D$2:$AL$2,0)),"")</f>
        <v>6717</v>
      </c>
      <c r="V19" s="265">
        <f>IFERROR(INDEX('Inputs (2)'!$D$53:$AL$53,MATCH(V$7,'Inputs (2)'!$D$2:$AL$2,0)),"")</f>
        <v>7613</v>
      </c>
      <c r="W19" s="266">
        <f>IF(COUNT(S19:V19)=4,SUM(S19:V19),"")</f>
        <v>27474</v>
      </c>
      <c r="X19" s="265">
        <f>IFERROR(INDEX('Inputs (2)'!$D$53:$AL$53,MATCH(X$7,'Inputs (2)'!$D$2:$AL$2,0)),"")</f>
        <v>6845</v>
      </c>
      <c r="Y19" s="265">
        <f>IFERROR(INDEX('Inputs (2)'!$D$53:$AL$53,MATCH(Y$7,'Inputs (2)'!$D$2:$AL$2,0)),"")</f>
        <v>7277</v>
      </c>
      <c r="Z19" s="265">
        <f>IFERROR(INDEX('Inputs (2)'!$D$53:$AL$53,MATCH(Z$7,'Inputs (2)'!$D$2:$AL$2,0)),"")</f>
        <v>6487</v>
      </c>
      <c r="AA19" s="265">
        <f>IFERROR(INDEX('Inputs (2)'!$D$53:$AL$53,MATCH(AA$7,'Inputs (2)'!$D$2:$AL$2,0)),"")</f>
        <v>8009</v>
      </c>
      <c r="AB19" s="266">
        <f>IF(COUNT(X19:AA19)=4,SUM(X19:AA19),"")</f>
        <v>28618</v>
      </c>
      <c r="AC19" s="265">
        <f>IFERROR(INDEX('Inputs (2)'!$D$53:$AL$53,MATCH(AC$7,'Inputs (2)'!$D$2:$AL$2,0)),"")</f>
        <v>7057</v>
      </c>
      <c r="AD19" s="265">
        <f>IFERROR(INDEX('Inputs (2)'!$D$53:$AL$53,MATCH(AD$7,'Inputs (2)'!$D$2:$AL$2,0)),"")</f>
        <v>7420</v>
      </c>
      <c r="AE19" s="265">
        <f>IFERROR(INDEX('Inputs (2)'!$D$53:$AL$53,MATCH(AE$7,'Inputs (2)'!$D$2:$AL$2,0)),"")</f>
        <v>7256</v>
      </c>
      <c r="AF19" s="265">
        <f>IFERROR(INDEX('Inputs (2)'!$D$53:$AL$53,MATCH(AF$7,'Inputs (2)'!$D$2:$AL$2,0)),"")</f>
        <v>8524</v>
      </c>
      <c r="AG19" s="266">
        <f>IF(COUNT(AC19:AF19)=4,SUM(AC19:AF19),"")</f>
        <v>30257</v>
      </c>
      <c r="AH19" s="266">
        <f>IFERROR(INDEX('Inputs (2)'!$D$53:$AL$53,MATCH(AH$7,'Inputs (2)'!$D$2:$AL$2,0)),"")</f>
        <v>6953</v>
      </c>
      <c r="AI19" s="266">
        <f>IFERROR(INDEX('Inputs (2)'!$D$53:$AL$53,MATCH(AI$7,'Inputs (2)'!$D$2:$AL$2,0)),"")</f>
        <v>8112</v>
      </c>
    </row>
    <row r="20">
      <c r="C20" s="14" t="inlineStr">
        <is>
          <t xml:space="preserve">   Missiles and Fire Control</t>
        </is>
      </c>
      <c r="D20" s="265">
        <f>IFERROR(INDEX('Inputs (2)'!$D$55:$AL$55,MATCH(D$7,'Inputs (2)'!$D$2:$AL$2,0)),"")</f>
        <v>2619</v>
      </c>
      <c r="E20" s="265">
        <f>IFERROR(INDEX('Inputs (2)'!$D$55:$AL$55,MATCH(E$7,'Inputs (2)'!$D$2:$AL$2,0)),"")</f>
        <v>2801</v>
      </c>
      <c r="F20" s="265">
        <f>IFERROR(INDEX('Inputs (2)'!$D$55:$AL$55,MATCH(F$7,'Inputs (2)'!$D$2:$AL$2,0)),"")</f>
        <v>2971</v>
      </c>
      <c r="G20" s="265">
        <f>IFERROR(INDEX('Inputs (2)'!$D$55:$AL$55,MATCH(G$7,'Inputs (2)'!$D$2:$AL$2,0)),"")</f>
        <v>2866</v>
      </c>
      <c r="H20" s="266">
        <f>IF(COUNT(D20:G20)=4,SUM(D20:G20),"")</f>
        <v>11257</v>
      </c>
      <c r="I20" s="265">
        <f>IFERROR(INDEX('Inputs (2)'!$D$55:$AL$55,MATCH(I$7,'Inputs (2)'!$D$2:$AL$2,0)),"")</f>
        <v>2749</v>
      </c>
      <c r="J20" s="265">
        <f>IFERROR(INDEX('Inputs (2)'!$D$55:$AL$55,MATCH(J$7,'Inputs (2)'!$D$2:$AL$2,0)),"")</f>
        <v>2944</v>
      </c>
      <c r="K20" s="265">
        <f>IFERROR(INDEX('Inputs (2)'!$D$55:$AL$55,MATCH(K$7,'Inputs (2)'!$D$2:$AL$2,0)),"")</f>
        <v>2781</v>
      </c>
      <c r="L20" s="265">
        <f>IFERROR(INDEX('Inputs (2)'!$D$55:$AL$55,MATCH(L$7,'Inputs (2)'!$D$2:$AL$2,0)),"")</f>
        <v>3219</v>
      </c>
      <c r="M20" s="266">
        <f>IF(COUNT(I20:L20)=4,SUM(I20:L20),"")</f>
        <v>11693</v>
      </c>
      <c r="N20" s="265">
        <f>IFERROR(INDEX('Inputs (2)'!$D$55:$AL$55,MATCH(N$7,'Inputs (2)'!$D$2:$AL$2,0)),"")</f>
        <v>2452</v>
      </c>
      <c r="O20" s="265">
        <f>IFERROR(INDEX('Inputs (2)'!$D$55:$AL$55,MATCH(O$7,'Inputs (2)'!$D$2:$AL$2,0)),"")</f>
        <v>2747</v>
      </c>
      <c r="P20" s="265">
        <f>IFERROR(INDEX('Inputs (2)'!$D$55:$AL$55,MATCH(P$7,'Inputs (2)'!$D$2:$AL$2,0)),"")</f>
        <v>2831</v>
      </c>
      <c r="Q20" s="265">
        <f>IFERROR(INDEX('Inputs (2)'!$D$55:$AL$55,MATCH(Q$7,'Inputs (2)'!$D$2:$AL$2,0)),"")</f>
        <v>3287</v>
      </c>
      <c r="R20" s="266">
        <f>IF(COUNT(N20:Q20)=4,SUM(N20:Q20),"")</f>
        <v>11317</v>
      </c>
      <c r="S20" s="265">
        <f>IFERROR(INDEX('Inputs (2)'!$D$55:$AL$55,MATCH(S$7,'Inputs (2)'!$D$2:$AL$2,0)),"")</f>
        <v>2388</v>
      </c>
      <c r="T20" s="265">
        <f>IFERROR(INDEX('Inputs (2)'!$D$55:$AL$55,MATCH(T$7,'Inputs (2)'!$D$2:$AL$2,0)),"")</f>
        <v>2755</v>
      </c>
      <c r="U20" s="265">
        <f>IFERROR(INDEX('Inputs (2)'!$D$55:$AL$55,MATCH(U$7,'Inputs (2)'!$D$2:$AL$2,0)),"")</f>
        <v>2939</v>
      </c>
      <c r="V20" s="265">
        <f>IFERROR(INDEX('Inputs (2)'!$D$55:$AL$55,MATCH(V$7,'Inputs (2)'!$D$2:$AL$2,0)),"")</f>
        <v>3171</v>
      </c>
      <c r="W20" s="266">
        <f>IF(COUNT(S20:V20)=4,SUM(S20:V20),"")</f>
        <v>11253</v>
      </c>
      <c r="X20" s="265">
        <f>IFERROR(INDEX('Inputs (2)'!$D$55:$AL$55,MATCH(X$7,'Inputs (2)'!$D$2:$AL$2,0)),"")</f>
        <v>2993</v>
      </c>
      <c r="Y20" s="265">
        <f>IFERROR(INDEX('Inputs (2)'!$D$55:$AL$55,MATCH(Y$7,'Inputs (2)'!$D$2:$AL$2,0)),"")</f>
        <v>3102</v>
      </c>
      <c r="Z20" s="265">
        <f>IFERROR(INDEX('Inputs (2)'!$D$55:$AL$55,MATCH(Z$7,'Inputs (2)'!$D$2:$AL$2,0)),"")</f>
        <v>3175</v>
      </c>
      <c r="AA20" s="265">
        <f>IFERROR(INDEX('Inputs (2)'!$D$55:$AL$55,MATCH(AA$7,'Inputs (2)'!$D$2:$AL$2,0)),"")</f>
        <v>3412</v>
      </c>
      <c r="AB20" s="266">
        <f>IF(COUNT(X20:AA20)=4,SUM(X20:AA20),"")</f>
        <v>12682</v>
      </c>
      <c r="AC20" s="265">
        <f>IFERROR(INDEX('Inputs (2)'!$D$55:$AL$55,MATCH(AC$7,'Inputs (2)'!$D$2:$AL$2,0)),"")</f>
        <v>3373</v>
      </c>
      <c r="AD20" s="265">
        <f>IFERROR(INDEX('Inputs (2)'!$D$55:$AL$55,MATCH(AD$7,'Inputs (2)'!$D$2:$AL$2,0)),"")</f>
        <v>3433</v>
      </c>
      <c r="AE20" s="265">
        <f>IFERROR(INDEX('Inputs (2)'!$D$55:$AL$55,MATCH(AE$7,'Inputs (2)'!$D$2:$AL$2,0)),"")</f>
        <v>3624</v>
      </c>
      <c r="AF20" s="265">
        <f>IFERROR(INDEX('Inputs (2)'!$D$55:$AL$55,MATCH(AF$7,'Inputs (2)'!$D$2:$AL$2,0)),"")</f>
        <v>4020</v>
      </c>
      <c r="AG20" s="266">
        <f>IF(COUNT(AC20:AF20)=4,SUM(AC20:AF20),"")</f>
        <v>14450</v>
      </c>
      <c r="AH20" s="266">
        <f>IFERROR(INDEX('Inputs (2)'!$D$55:$AL$55,MATCH(AH$7,'Inputs (2)'!$D$2:$AL$2,0)),"")</f>
        <v>3649</v>
      </c>
      <c r="AI20" s="266">
        <f>IFERROR(INDEX('Inputs (2)'!$D$55:$AL$55,MATCH(AI$7,'Inputs (2)'!$D$2:$AL$2,0)),"")</f>
        <v>4101</v>
      </c>
    </row>
    <row r="21">
      <c r="C21" s="14" t="inlineStr">
        <is>
          <t xml:space="preserve">   Rotary and Mission Systems</t>
        </is>
      </c>
      <c r="D21" s="265">
        <f>IFERROR(INDEX('Inputs (2)'!$D$57:$AL$57,MATCH(D$7,'Inputs (2)'!$D$2:$AL$2,0)),"")</f>
        <v>3746</v>
      </c>
      <c r="E21" s="265">
        <f>IFERROR(INDEX('Inputs (2)'!$D$57:$AL$57,MATCH(E$7,'Inputs (2)'!$D$2:$AL$2,0)),"")</f>
        <v>4039</v>
      </c>
      <c r="F21" s="265">
        <f>IFERROR(INDEX('Inputs (2)'!$D$57:$AL$57,MATCH(F$7,'Inputs (2)'!$D$2:$AL$2,0)),"")</f>
        <v>3998</v>
      </c>
      <c r="G21" s="265">
        <f>IFERROR(INDEX('Inputs (2)'!$D$57:$AL$57,MATCH(G$7,'Inputs (2)'!$D$2:$AL$2,0)),"")</f>
        <v>4212</v>
      </c>
      <c r="H21" s="266">
        <f>IF(COUNT(D21:G21)=4,SUM(D21:G21),"")</f>
        <v>15995</v>
      </c>
      <c r="I21" s="265">
        <f>IFERROR(INDEX('Inputs (2)'!$D$57:$AL$57,MATCH(I$7,'Inputs (2)'!$D$2:$AL$2,0)),"")</f>
        <v>4107</v>
      </c>
      <c r="J21" s="265">
        <f>IFERROR(INDEX('Inputs (2)'!$D$57:$AL$57,MATCH(J$7,'Inputs (2)'!$D$2:$AL$2,0)),"")</f>
        <v>4242</v>
      </c>
      <c r="K21" s="265">
        <f>IFERROR(INDEX('Inputs (2)'!$D$57:$AL$57,MATCH(K$7,'Inputs (2)'!$D$2:$AL$2,0)),"")</f>
        <v>3980</v>
      </c>
      <c r="L21" s="265">
        <f>IFERROR(INDEX('Inputs (2)'!$D$57:$AL$57,MATCH(L$7,'Inputs (2)'!$D$2:$AL$2,0)),"")</f>
        <v>4460</v>
      </c>
      <c r="M21" s="266">
        <f>IF(COUNT(I21:L21)=4,SUM(I21:L21),"")</f>
        <v>16789</v>
      </c>
      <c r="N21" s="265">
        <f>IFERROR(INDEX('Inputs (2)'!$D$57:$AL$57,MATCH(N$7,'Inputs (2)'!$D$2:$AL$2,0)),"")</f>
        <v>3552</v>
      </c>
      <c r="O21" s="265">
        <f>IFERROR(INDEX('Inputs (2)'!$D$57:$AL$57,MATCH(O$7,'Inputs (2)'!$D$2:$AL$2,0)),"")</f>
        <v>4012</v>
      </c>
      <c r="P21" s="265">
        <f>IFERROR(INDEX('Inputs (2)'!$D$57:$AL$57,MATCH(P$7,'Inputs (2)'!$D$2:$AL$2,0)),"")</f>
        <v>3781</v>
      </c>
      <c r="Q21" s="265">
        <f>IFERROR(INDEX('Inputs (2)'!$D$57:$AL$57,MATCH(Q$7,'Inputs (2)'!$D$2:$AL$2,0)),"")</f>
        <v>4803</v>
      </c>
      <c r="R21" s="266">
        <f>IF(COUNT(N21:Q21)=4,SUM(N21:Q21),"")</f>
        <v>16148</v>
      </c>
      <c r="S21" s="265">
        <f>IFERROR(INDEX('Inputs (2)'!$D$57:$AL$57,MATCH(S$7,'Inputs (2)'!$D$2:$AL$2,0)),"")</f>
        <v>3510</v>
      </c>
      <c r="T21" s="265">
        <f>IFERROR(INDEX('Inputs (2)'!$D$57:$AL$57,MATCH(T$7,'Inputs (2)'!$D$2:$AL$2,0)),"")</f>
        <v>3897</v>
      </c>
      <c r="U21" s="265">
        <f>IFERROR(INDEX('Inputs (2)'!$D$57:$AL$57,MATCH(U$7,'Inputs (2)'!$D$2:$AL$2,0)),"")</f>
        <v>4121</v>
      </c>
      <c r="V21" s="265">
        <f>IFERROR(INDEX('Inputs (2)'!$D$57:$AL$57,MATCH(V$7,'Inputs (2)'!$D$2:$AL$2,0)),"")</f>
        <v>4711</v>
      </c>
      <c r="W21" s="266">
        <f>IF(COUNT(S21:V21)=4,SUM(S21:V21),"")</f>
        <v>16239</v>
      </c>
      <c r="X21" s="265">
        <f>IFERROR(INDEX('Inputs (2)'!$D$57:$AL$57,MATCH(X$7,'Inputs (2)'!$D$2:$AL$2,0)),"")</f>
        <v>4088</v>
      </c>
      <c r="Y21" s="265">
        <f>IFERROR(INDEX('Inputs (2)'!$D$57:$AL$57,MATCH(Y$7,'Inputs (2)'!$D$2:$AL$2,0)),"")</f>
        <v>4548</v>
      </c>
      <c r="Z21" s="265">
        <f>IFERROR(INDEX('Inputs (2)'!$D$57:$AL$57,MATCH(Z$7,'Inputs (2)'!$D$2:$AL$2,0)),"")</f>
        <v>4367</v>
      </c>
      <c r="AA21" s="265">
        <f>IFERROR(INDEX('Inputs (2)'!$D$57:$AL$57,MATCH(AA$7,'Inputs (2)'!$D$2:$AL$2,0)),"")</f>
        <v>4261</v>
      </c>
      <c r="AB21" s="266">
        <f>IF(COUNT(X21:AA21)=4,SUM(X21:AA21),"")</f>
        <v>17264</v>
      </c>
      <c r="AC21" s="265">
        <f>IFERROR(INDEX('Inputs (2)'!$D$57:$AL$57,MATCH(AC$7,'Inputs (2)'!$D$2:$AL$2,0)),"")</f>
        <v>4328</v>
      </c>
      <c r="AD21" s="265">
        <f>IFERROR(INDEX('Inputs (2)'!$D$57:$AL$57,MATCH(AD$7,'Inputs (2)'!$D$2:$AL$2,0)),"")</f>
        <v>3995</v>
      </c>
      <c r="AE21" s="265">
        <f>IFERROR(INDEX('Inputs (2)'!$D$57:$AL$57,MATCH(AE$7,'Inputs (2)'!$D$2:$AL$2,0)),"")</f>
        <v>4373</v>
      </c>
      <c r="AF21" s="265">
        <f>IFERROR(INDEX('Inputs (2)'!$D$57:$AL$57,MATCH(AF$7,'Inputs (2)'!$D$2:$AL$2,0)),"")</f>
        <v>4616</v>
      </c>
      <c r="AG21" s="266">
        <f>IF(COUNT(AC21:AF21)=4,SUM(AC21:AF21),"")</f>
        <v>17312</v>
      </c>
      <c r="AH21" s="266">
        <f>IFERROR(INDEX('Inputs (2)'!$D$57:$AL$57,MATCH(AH$7,'Inputs (2)'!$D$2:$AL$2,0)),"")</f>
        <v>3991</v>
      </c>
      <c r="AI21" s="266">
        <f>IFERROR(INDEX('Inputs (2)'!$D$57:$AL$57,MATCH(AI$7,'Inputs (2)'!$D$2:$AL$2,0)),"")</f>
        <v>4354</v>
      </c>
    </row>
    <row r="22">
      <c r="C22" s="14" t="inlineStr">
        <is>
          <t xml:space="preserve">   Space</t>
        </is>
      </c>
      <c r="D22" s="265">
        <f>IFERROR(INDEX('Inputs (2)'!$D$59:$AL$59,MATCH(D$7,'Inputs (2)'!$D$2:$AL$2,0)),"")</f>
        <v>2917</v>
      </c>
      <c r="E22" s="265">
        <f>IFERROR(INDEX('Inputs (2)'!$D$59:$AL$59,MATCH(E$7,'Inputs (2)'!$D$2:$AL$2,0)),"")</f>
        <v>2877</v>
      </c>
      <c r="F22" s="265">
        <f>IFERROR(INDEX('Inputs (2)'!$D$59:$AL$59,MATCH(F$7,'Inputs (2)'!$D$2:$AL$2,0)),"")</f>
        <v>2846</v>
      </c>
      <c r="G22" s="265">
        <f>IFERROR(INDEX('Inputs (2)'!$D$59:$AL$59,MATCH(G$7,'Inputs (2)'!$D$2:$AL$2,0)),"")</f>
        <v>3240</v>
      </c>
      <c r="H22" s="266">
        <f>IF(COUNT(D22:G22)=4,SUM(D22:G22),"")</f>
        <v>11880</v>
      </c>
      <c r="I22" s="265">
        <f>IFERROR(INDEX('Inputs (2)'!$D$59:$AL$59,MATCH(I$7,'Inputs (2)'!$D$2:$AL$2,0)),"")</f>
        <v>3015</v>
      </c>
      <c r="J22" s="265">
        <f>IFERROR(INDEX('Inputs (2)'!$D$59:$AL$59,MATCH(J$7,'Inputs (2)'!$D$2:$AL$2,0)),"")</f>
        <v>3177</v>
      </c>
      <c r="K22" s="265">
        <f>IFERROR(INDEX('Inputs (2)'!$D$59:$AL$59,MATCH(K$7,'Inputs (2)'!$D$2:$AL$2,0)),"")</f>
        <v>2699</v>
      </c>
      <c r="L22" s="265">
        <f>IFERROR(INDEX('Inputs (2)'!$D$59:$AL$59,MATCH(L$7,'Inputs (2)'!$D$2:$AL$2,0)),"")</f>
        <v>2923</v>
      </c>
      <c r="M22" s="266">
        <f>IF(COUNT(I22:L22)=4,SUM(I22:L22),"")</f>
        <v>11814</v>
      </c>
      <c r="N22" s="265">
        <f>IFERROR(INDEX('Inputs (2)'!$D$59:$AL$59,MATCH(N$7,'Inputs (2)'!$D$2:$AL$2,0)),"")</f>
        <v>2559</v>
      </c>
      <c r="O22" s="265">
        <f>IFERROR(INDEX('Inputs (2)'!$D$59:$AL$59,MATCH(O$7,'Inputs (2)'!$D$2:$AL$2,0)),"")</f>
        <v>2825</v>
      </c>
      <c r="P22" s="265">
        <f>IFERROR(INDEX('Inputs (2)'!$D$59:$AL$59,MATCH(P$7,'Inputs (2)'!$D$2:$AL$2,0)),"")</f>
        <v>2882</v>
      </c>
      <c r="Q22" s="265">
        <f>IFERROR(INDEX('Inputs (2)'!$D$59:$AL$59,MATCH(Q$7,'Inputs (2)'!$D$2:$AL$2,0)),"")</f>
        <v>3266</v>
      </c>
      <c r="R22" s="266">
        <f>IF(COUNT(N22:Q22)=4,SUM(N22:Q22),"")</f>
        <v>11532</v>
      </c>
      <c r="S22" s="265">
        <f>IFERROR(INDEX('Inputs (2)'!$D$59:$AL$59,MATCH(S$7,'Inputs (2)'!$D$2:$AL$2,0)),"")</f>
        <v>2959</v>
      </c>
      <c r="T22" s="265">
        <f>IFERROR(INDEX('Inputs (2)'!$D$59:$AL$59,MATCH(T$7,'Inputs (2)'!$D$2:$AL$2,0)),"")</f>
        <v>3166</v>
      </c>
      <c r="U22" s="265">
        <f>IFERROR(INDEX('Inputs (2)'!$D$59:$AL$59,MATCH(U$7,'Inputs (2)'!$D$2:$AL$2,0)),"")</f>
        <v>3101</v>
      </c>
      <c r="V22" s="265">
        <f>IFERROR(INDEX('Inputs (2)'!$D$59:$AL$59,MATCH(V$7,'Inputs (2)'!$D$2:$AL$2,0)),"")</f>
        <v>3379</v>
      </c>
      <c r="W22" s="266">
        <f>IF(COUNT(S22:V22)=4,SUM(S22:V22),"")</f>
        <v>12605</v>
      </c>
      <c r="X22" s="265">
        <f>IFERROR(INDEX('Inputs (2)'!$D$59:$AL$59,MATCH(X$7,'Inputs (2)'!$D$2:$AL$2,0)),"")</f>
        <v>3269</v>
      </c>
      <c r="Y22" s="265">
        <f>IFERROR(INDEX('Inputs (2)'!$D$59:$AL$59,MATCH(Y$7,'Inputs (2)'!$D$2:$AL$2,0)),"")</f>
        <v>3195</v>
      </c>
      <c r="Z22" s="265">
        <f>IFERROR(INDEX('Inputs (2)'!$D$59:$AL$59,MATCH(Z$7,'Inputs (2)'!$D$2:$AL$2,0)),"")</f>
        <v>3075</v>
      </c>
      <c r="AA22" s="265">
        <f>IFERROR(INDEX('Inputs (2)'!$D$59:$AL$59,MATCH(AA$7,'Inputs (2)'!$D$2:$AL$2,0)),"")</f>
        <v>2940</v>
      </c>
      <c r="AB22" s="266">
        <f>IF(COUNT(X22:AA22)=4,SUM(X22:AA22),"")</f>
        <v>12479</v>
      </c>
      <c r="AC22" s="265">
        <f>IFERROR(INDEX('Inputs (2)'!$D$59:$AL$59,MATCH(AC$7,'Inputs (2)'!$D$2:$AL$2,0)),"")</f>
        <v>3205</v>
      </c>
      <c r="AD22" s="265">
        <f>IFERROR(INDEX('Inputs (2)'!$D$59:$AL$59,MATCH(AD$7,'Inputs (2)'!$D$2:$AL$2,0)),"")</f>
        <v>3307</v>
      </c>
      <c r="AE22" s="265">
        <f>IFERROR(INDEX('Inputs (2)'!$D$59:$AL$59,MATCH(AE$7,'Inputs (2)'!$D$2:$AL$2,0)),"")</f>
        <v>3356</v>
      </c>
      <c r="AF22" s="265">
        <f>IFERROR(INDEX('Inputs (2)'!$D$59:$AL$59,MATCH(AF$7,'Inputs (2)'!$D$2:$AL$2,0)),"")</f>
        <v>3161</v>
      </c>
      <c r="AG22" s="266">
        <f>IF(COUNT(AC22:AF22)=4,SUM(AC22:AF22),"")</f>
        <v>13029</v>
      </c>
      <c r="AH22" s="266">
        <f>IFERROR(INDEX('Inputs (2)'!$D$59:$AL$59,MATCH(AH$7,'Inputs (2)'!$D$2:$AL$2,0)),"")</f>
        <v>3428</v>
      </c>
      <c r="AI22" s="266">
        <f>IFERROR(INDEX('Inputs (2)'!$D$59:$AL$59,MATCH(AI$7,'Inputs (2)'!$D$2:$AL$2,0)),"")</f>
        <v>3496</v>
      </c>
    </row>
    <row r="23">
      <c r="C23" s="267" t="inlineStr">
        <is>
          <t>Receita (soma dos segmentos)</t>
        </is>
      </c>
      <c r="D23" s="265">
        <f>IF(COUNT(D19,D20,D21,D22)=0,"",N(D19)+N(D20)+N(D21)+N(D22))</f>
        <v>15651</v>
      </c>
      <c r="E23" s="265">
        <f>IF(COUNT(E19,E20,E21,E22)=0,"",N(E19)+N(E20)+N(E21)+N(E22))</f>
        <v>16220</v>
      </c>
      <c r="F23" s="265">
        <f>IF(COUNT(F19,F20,F21,F22)=0,"",N(F19)+N(F20)+N(F21)+N(F22))</f>
        <v>16495</v>
      </c>
      <c r="G23" s="265">
        <f>IF(COUNT(G19,G20,G21,G22)=0,"",N(G19)+N(G20)+N(G21)+N(G22))</f>
        <v>17032</v>
      </c>
      <c r="H23" s="266">
        <f>IF(COUNT(H19,H20,H21,H22)=0,"",N(H19)+N(H20)+N(H21)+N(H22))</f>
        <v>65398</v>
      </c>
      <c r="I23" s="265">
        <f>IF(COUNT(I19,I20,I21,I22)=0,"",N(I19)+N(I20)+N(I21)+N(I22))</f>
        <v>16258</v>
      </c>
      <c r="J23" s="265">
        <f>IF(COUNT(J19,J20,J21,J22)=0,"",N(J19)+N(J20)+N(J21)+N(J22))</f>
        <v>17029</v>
      </c>
      <c r="K23" s="265">
        <f>IF(COUNT(K19,K20,K21,K22)=0,"",N(K19)+N(K20)+N(K21)+N(K22))</f>
        <v>16028</v>
      </c>
      <c r="L23" s="265">
        <f>IF(COUNT(L19,L20,L21,L22)=0,"",N(L19)+N(L20)+N(L21)+N(L22))</f>
        <v>17729</v>
      </c>
      <c r="M23" s="266">
        <f>IF(COUNT(M19,M20,M21,M22)=0,"",N(M19)+N(M20)+N(M21)+N(M22))</f>
        <v>67044</v>
      </c>
      <c r="N23" s="265">
        <f>IF(COUNT(N19,N20,N21,N22)=0,"",N(N19)+N(N20)+N(N21)+N(N22))</f>
        <v>14964</v>
      </c>
      <c r="O23" s="265">
        <f>IF(COUNT(O19,O20,O21,O22)=0,"",N(O19)+N(O20)+N(O21)+N(O22))</f>
        <v>15446</v>
      </c>
      <c r="P23" s="265">
        <f>IF(COUNT(P19,P20,P21,P22)=0,"",N(P19)+N(P20)+N(P21)+N(P22))</f>
        <v>16583</v>
      </c>
      <c r="Q23" s="265">
        <f>IF(COUNT(Q19,Q20,Q21,Q22)=0,"",N(Q19)+N(Q20)+N(Q21)+N(Q22))</f>
        <v>18991</v>
      </c>
      <c r="R23" s="266">
        <f>IF(COUNT(R19,R20,R21,R22)=0,"",N(R19)+N(R20)+N(R21)+N(R22))</f>
        <v>65984</v>
      </c>
      <c r="S23" s="265">
        <f>IF(COUNT(S19,S20,S21,S22)=0,"",N(S19)+N(S20)+N(S21)+N(S22))</f>
        <v>15126</v>
      </c>
      <c r="T23" s="265">
        <f>IF(COUNT(T19,T20,T21,T22)=0,"",N(T19)+N(T20)+N(T21)+N(T22))</f>
        <v>16693</v>
      </c>
      <c r="U23" s="265">
        <f>IF(COUNT(U19,U20,U21,U22)=0,"",N(U19)+N(U20)+N(U21)+N(U22))</f>
        <v>16878</v>
      </c>
      <c r="V23" s="265">
        <f>IF(COUNT(V19,V20,V21,V22)=0,"",N(V19)+N(V20)+N(V21)+N(V22))</f>
        <v>18874</v>
      </c>
      <c r="W23" s="266">
        <f>IF(COUNT(W19,W20,W21,W22)=0,"",N(W19)+N(W20)+N(W21)+N(W22))</f>
        <v>67571</v>
      </c>
      <c r="X23" s="265">
        <f>IF(COUNT(X19,X20,X21,X22)=0,"",N(X19)+N(X20)+N(X21)+N(X22))</f>
        <v>17195</v>
      </c>
      <c r="Y23" s="265">
        <f>IF(COUNT(Y19,Y20,Y21,Y22)=0,"",N(Y19)+N(Y20)+N(Y21)+N(Y22))</f>
        <v>18122</v>
      </c>
      <c r="Z23" s="265">
        <f>IF(COUNT(Z19,Z20,Z21,Z22)=0,"",N(Z19)+N(Z20)+N(Z21)+N(Z22))</f>
        <v>17104</v>
      </c>
      <c r="AA23" s="265">
        <f>IF(COUNT(AA19,AA20,AA21,AA22)=0,"",N(AA19)+N(AA20)+N(AA21)+N(AA22))</f>
        <v>18622</v>
      </c>
      <c r="AB23" s="266">
        <f>IF(COUNT(AB19,AB20,AB21,AB22)=0,"",N(AB19)+N(AB20)+N(AB21)+N(AB22))</f>
        <v>71043</v>
      </c>
      <c r="AC23" s="265">
        <f>IF(COUNT(AC19,AC20,AC21,AC22)=0,"",N(AC19)+N(AC20)+N(AC21)+N(AC22))</f>
        <v>17963</v>
      </c>
      <c r="AD23" s="265">
        <f>IF(COUNT(AD19,AD20,AD21,AD22)=0,"",N(AD19)+N(AD20)+N(AD21)+N(AD22))</f>
        <v>18155</v>
      </c>
      <c r="AE23" s="265">
        <f>IF(COUNT(AE19,AE20,AE21,AE22)=0,"",N(AE19)+N(AE20)+N(AE21)+N(AE22))</f>
        <v>18609</v>
      </c>
      <c r="AF23" s="265">
        <f>IF(COUNT(AF19,AF20,AF21,AF22)=0,"",N(AF19)+N(AF20)+N(AF21)+N(AF22))</f>
        <v>20321</v>
      </c>
      <c r="AG23" s="266">
        <f>IF(COUNT(AG19,AG20,AG21,AG22)=0,"",N(AG19)+N(AG20)+N(AG21)+N(AG22))</f>
        <v>75048</v>
      </c>
      <c r="AH23" s="266">
        <f>IF(COUNT(AH19,AH20,AH21,AH22)=0,"",N(AH19)+N(AH20)+N(AH21)+N(AH22))</f>
        <v>18021</v>
      </c>
      <c r="AI23" s="266">
        <f>IF(COUNT(AI19,AI20,AI21,AI22)=0,"",N(AI19)+N(AI20)+N(AI21)+N(AI22))</f>
        <v>20063</v>
      </c>
    </row>
    <row r="24">
      <c r="C24" s="14" t="inlineStr">
        <is>
          <t>Check Receita (linha 15 - soma dos segmentos)</t>
        </is>
      </c>
      <c r="D24" s="265">
        <f>IF(COUNT(D23)=0,"",ROUND(D15-D23,1))</f>
        <v>0</v>
      </c>
      <c r="E24" s="265">
        <f>IF(COUNT(E23)=0,"",ROUND(E15-E23,1))</f>
        <v>0</v>
      </c>
      <c r="F24" s="265">
        <f>IF(COUNT(F23)=0,"",ROUND(F15-F23,1))</f>
        <v>0</v>
      </c>
      <c r="G24" s="265">
        <f>IF(COUNT(G23)=0,"",ROUND(G15-G23,1))</f>
        <v>0</v>
      </c>
      <c r="H24" s="266">
        <f>IF(COUNT(H23)=0,"",ROUND(H15-H23,1))</f>
        <v>0</v>
      </c>
      <c r="I24" s="265">
        <f>IF(COUNT(I23)=0,"",ROUND(I15-I23,1))</f>
        <v>0</v>
      </c>
      <c r="J24" s="265">
        <f>IF(COUNT(J23)=0,"",ROUND(J15-J23,1))</f>
        <v>0</v>
      </c>
      <c r="K24" s="265">
        <f>IF(COUNT(K23)=0,"",ROUND(K15-K23,1))</f>
        <v>0</v>
      </c>
      <c r="L24" s="265">
        <f>IF(COUNT(L23)=0,"",ROUND(L15-L23,1))</f>
        <v>0</v>
      </c>
      <c r="M24" s="266">
        <f>IF(COUNT(M23)=0,"",ROUND(M15-M23,1))</f>
        <v>0</v>
      </c>
      <c r="N24" s="265">
        <f>IF(COUNT(N23)=0,"",ROUND(N15-N23,1))</f>
        <v>0</v>
      </c>
      <c r="O24" s="265">
        <f>IF(COUNT(O23)=0,"",ROUND(O15-O23,1))</f>
        <v>0</v>
      </c>
      <c r="P24" s="265">
        <f>IF(COUNT(P23)=0,"",ROUND(P15-P23,1))</f>
        <v>0</v>
      </c>
      <c r="Q24" s="265">
        <f>IF(COUNT(Q23)=0,"",ROUND(Q15-Q23,1))</f>
        <v>0</v>
      </c>
      <c r="R24" s="266">
        <f>IF(COUNT(R23)=0,"",ROUND(R15-R23,1))</f>
        <v>0</v>
      </c>
      <c r="S24" s="265">
        <f>IF(COUNT(S23)=0,"",ROUND(S15-S23,1))</f>
        <v>0</v>
      </c>
      <c r="T24" s="265">
        <f>IF(COUNT(T23)=0,"",ROUND(T15-T23,1))</f>
        <v>0</v>
      </c>
      <c r="U24" s="265">
        <f>IF(COUNT(U23)=0,"",ROUND(U15-U23,1))</f>
        <v>0</v>
      </c>
      <c r="V24" s="265">
        <f>IF(COUNT(V23)=0,"",ROUND(V15-V23,1))</f>
        <v>0</v>
      </c>
      <c r="W24" s="266">
        <f>IF(COUNT(W23)=0,"",ROUND(W15-W23,1))</f>
        <v>0</v>
      </c>
      <c r="X24" s="265">
        <f>IF(COUNT(X23)=0,"",ROUND(X15-X23,1))</f>
        <v>0</v>
      </c>
      <c r="Y24" s="265">
        <f>IF(COUNT(Y23)=0,"",ROUND(Y15-Y23,1))</f>
        <v>0</v>
      </c>
      <c r="Z24" s="265">
        <f>IF(COUNT(Z23)=0,"",ROUND(Z15-Z23,1))</f>
        <v>0</v>
      </c>
      <c r="AA24" s="265">
        <f>IF(COUNT(AA23)=0,"",ROUND(AA15-AA23,1))</f>
        <v>0</v>
      </c>
      <c r="AB24" s="266">
        <f>IF(COUNT(AB23)=0,"",ROUND(AB15-AB23,1))</f>
        <v>0</v>
      </c>
      <c r="AC24" s="265">
        <f>IF(COUNT(AC23)=0,"",ROUND(AC15-AC23,1))</f>
        <v>0</v>
      </c>
      <c r="AD24" s="265">
        <f>IF(COUNT(AD23)=0,"",ROUND(AD15-AD23,1))</f>
        <v>0</v>
      </c>
      <c r="AE24" s="265">
        <f>IF(COUNT(AE23)=0,"",ROUND(AE15-AE23,1))</f>
        <v>0</v>
      </c>
      <c r="AF24" s="265">
        <f>IF(COUNT(AF23)=0,"",ROUND(AF15-AF23,1))</f>
        <v>0</v>
      </c>
      <c r="AG24" s="266">
        <f>IF(COUNT(AG23)=0,"",ROUND(AG15-AG23,1))</f>
        <v>0</v>
      </c>
      <c r="AH24" s="266">
        <f>IF(COUNT(AH23)=0,"",ROUND(AH15-AH23,1))</f>
        <v>0</v>
      </c>
      <c r="AI24" s="266">
        <f>IF(COUNT(AI23)=0,"",ROUND(AI15-AI23,1))</f>
        <v>0</v>
      </c>
    </row>
    <row r="25">
      <c r="C25" s="14" t="inlineStr">
        <is>
          <t xml:space="preserve">   % YoY Aeronautics</t>
        </is>
      </c>
      <c r="D25" s="268" t="str">
        <f>""</f>
        <v/>
      </c>
      <c r="E25" s="268" t="str">
        <f>""</f>
        <v/>
      </c>
      <c r="F25" s="268" t="str">
        <f>""</f>
        <v/>
      </c>
      <c r="G25" s="268" t="str">
        <f>""</f>
        <v/>
      </c>
      <c r="H25" s="269" t="str">
        <f>""</f>
        <v/>
      </c>
      <c r="I25" s="268">
        <f>IFERROR(I19/D19-1,"")</f>
        <v>0.00282618935468681</v>
      </c>
      <c r="J25" s="268">
        <f>IFERROR(J19/E19-1,"")</f>
        <v>0.0250653544517916</v>
      </c>
      <c r="K25" s="268">
        <f>IFERROR(K19/F19-1,"")</f>
        <v>-0.0167664670658683</v>
      </c>
      <c r="L25" s="268">
        <f>IFERROR(L19/G19-1,"")</f>
        <v>0.061513255883229</v>
      </c>
      <c r="M25" s="269">
        <f>IFERROR(M19/H19-1,"")</f>
        <v>0.0183507195614101</v>
      </c>
      <c r="N25" s="268">
        <f>IFERROR(N19/I19-1,"")</f>
        <v>0.00219195240331915</v>
      </c>
      <c r="O25" s="268">
        <f>IFERROR(O19/J19-1,"")</f>
        <v>-0.120612061206121</v>
      </c>
      <c r="P25" s="268">
        <f>IFERROR(P19/K19-1,"")</f>
        <v>0.0793239951278928</v>
      </c>
      <c r="Q25" s="268">
        <f>IFERROR(Q19/L19-1,"")</f>
        <v>0.0712782376876666</v>
      </c>
      <c r="R25" s="269">
        <f>IFERROR(R19/M19-1,"")</f>
        <v>0.00893524749513985</v>
      </c>
      <c r="S25" s="268">
        <f>IFERROR(S19/N19-1,"")</f>
        <v>-0.0206217778472114</v>
      </c>
      <c r="T25" s="268">
        <f>IFERROR(T19/O19-1,"")</f>
        <v>0.17280791538724</v>
      </c>
      <c r="U25" s="268">
        <f>IFERROR(U19/P19-1,"")</f>
        <v>-0.0524756665256031</v>
      </c>
      <c r="V25" s="268">
        <f>IFERROR(V19/Q19-1,"")</f>
        <v>-0.00288146692861824</v>
      </c>
      <c r="W25" s="269">
        <f>IFERROR(W19/R19-1,"")</f>
        <v>0.018045725719791</v>
      </c>
      <c r="X25" s="268">
        <f>IFERROR(X19/S19-1,"")</f>
        <v>0.0918806827245176</v>
      </c>
      <c r="Y25" s="268">
        <f>IFERROR(Y19/T19-1,"")</f>
        <v>0.0584727272727272</v>
      </c>
      <c r="Z25" s="268">
        <f>IFERROR(Z19/U19-1,"")</f>
        <v>-0.0342414768497842</v>
      </c>
      <c r="AA25" s="268">
        <f>IFERROR(AA19/V19-1,"")</f>
        <v>0.0520162879285433</v>
      </c>
      <c r="AB25" s="269">
        <f>IFERROR(AB19/W19-1,"")</f>
        <v>0.0416393681298684</v>
      </c>
      <c r="AC25" s="268">
        <f>IFERROR(AC19/X19-1,"")</f>
        <v>0.0309715120525931</v>
      </c>
      <c r="AD25" s="268">
        <f>IFERROR(AD19/Y19-1,"")</f>
        <v>0.0196509550638999</v>
      </c>
      <c r="AE25" s="268">
        <f>IFERROR(AE19/Z19-1,"")</f>
        <v>0.118544781871435</v>
      </c>
      <c r="AF25" s="268">
        <f>IFERROR(AF19/AA19-1,"")</f>
        <v>0.0643026595080534</v>
      </c>
      <c r="AG25" s="269">
        <f>IFERROR(AG19/AB19-1,"")</f>
        <v>0.0572716472150394</v>
      </c>
      <c r="AH25" s="269">
        <f>IFERROR(AH19/AC19-1,"")</f>
        <v>-0.0147371404279439</v>
      </c>
      <c r="AI25" s="269">
        <f>IFERROR(AI19/AD19-1,"")</f>
        <v>0.0932614555256064</v>
      </c>
    </row>
    <row r="26">
      <c r="C26" s="14" t="inlineStr">
        <is>
          <t xml:space="preserve">   % YoY Missiles and Fire Control</t>
        </is>
      </c>
      <c r="D26" s="268" t="str">
        <f>""</f>
        <v/>
      </c>
      <c r="E26" s="268" t="str">
        <f>""</f>
        <v/>
      </c>
      <c r="F26" s="268" t="str">
        <f>""</f>
        <v/>
      </c>
      <c r="G26" s="268" t="str">
        <f>""</f>
        <v/>
      </c>
      <c r="H26" s="269" t="str">
        <f>""</f>
        <v/>
      </c>
      <c r="I26" s="268">
        <f>IFERROR(I20/D20-1,"")</f>
        <v>0.0496372661321114</v>
      </c>
      <c r="J26" s="268">
        <f>IFERROR(J20/E20-1,"")</f>
        <v>0.0510531952873974</v>
      </c>
      <c r="K26" s="268">
        <f>IFERROR(K20/F20-1,"")</f>
        <v>-0.0639515314708852</v>
      </c>
      <c r="L26" s="268">
        <f>IFERROR(L20/G20-1,"")</f>
        <v>0.123168178646197</v>
      </c>
      <c r="M26" s="269">
        <f>IFERROR(M20/H20-1,"")</f>
        <v>0.0387314559829439</v>
      </c>
      <c r="N26" s="268">
        <f>IFERROR(N20/I20-1,"")</f>
        <v>-0.108039287013459</v>
      </c>
      <c r="O26" s="268">
        <f>IFERROR(O20/J20-1,"")</f>
        <v>-0.0669157608695652</v>
      </c>
      <c r="P26" s="268">
        <f>IFERROR(P20/K20-1,"")</f>
        <v>0.0179791441927364</v>
      </c>
      <c r="Q26" s="268">
        <f>IFERROR(Q20/L20-1,"")</f>
        <v>0.0211245728487108</v>
      </c>
      <c r="R26" s="269">
        <f>IFERROR(R20/M20-1,"")</f>
        <v>-0.0321559907637048</v>
      </c>
      <c r="S26" s="268">
        <f>IFERROR(S20/N20-1,"")</f>
        <v>-0.0261011419249593</v>
      </c>
      <c r="T26" s="268">
        <f>IFERROR(T20/O20-1,"")</f>
        <v>0.00291226792864951</v>
      </c>
      <c r="U26" s="268">
        <f>IFERROR(U20/P20-1,"")</f>
        <v>0.0381490639350053</v>
      </c>
      <c r="V26" s="268">
        <f>IFERROR(V20/Q20-1,"")</f>
        <v>-0.0352905384849407</v>
      </c>
      <c r="W26" s="269">
        <f>IFERROR(W20/R20-1,"")</f>
        <v>-0.00565520897764427</v>
      </c>
      <c r="X26" s="268">
        <f>IFERROR(X20/S20-1,"")</f>
        <v>0.253350083752094</v>
      </c>
      <c r="Y26" s="268">
        <f>IFERROR(Y20/T20-1,"")</f>
        <v>0.125952813067151</v>
      </c>
      <c r="Z26" s="268">
        <f>IFERROR(Z20/U20-1,"")</f>
        <v>0.0802994215719632</v>
      </c>
      <c r="AA26" s="268">
        <f>IFERROR(AA20/V20-1,"")</f>
        <v>0.0760012614317249</v>
      </c>
      <c r="AB26" s="269">
        <f>IFERROR(AB20/W20-1,"")</f>
        <v>0.126988358659913</v>
      </c>
      <c r="AC26" s="268">
        <f>IFERROR(AC20/X20-1,"")</f>
        <v>0.126962913464751</v>
      </c>
      <c r="AD26" s="268">
        <f>IFERROR(AD20/Y20-1,"")</f>
        <v>0.106705351386202</v>
      </c>
      <c r="AE26" s="268">
        <f>IFERROR(AE20/Z20-1,"")</f>
        <v>0.141417322834646</v>
      </c>
      <c r="AF26" s="268">
        <f>IFERROR(AF20/AA20-1,"")</f>
        <v>0.178194607268464</v>
      </c>
      <c r="AG26" s="269">
        <f>IFERROR(AG20/AB20-1,"")</f>
        <v>0.13941018766756</v>
      </c>
      <c r="AH26" s="269">
        <f>IFERROR(AH20/AC20-1,"")</f>
        <v>0.081826267417729</v>
      </c>
      <c r="AI26" s="269">
        <f>IFERROR(AI20/AD20-1,"")</f>
        <v>0.194581998252257</v>
      </c>
    </row>
    <row r="27">
      <c r="C27" s="14" t="inlineStr">
        <is>
          <t xml:space="preserve">   % YoY Rotary and Mission Systems</t>
        </is>
      </c>
      <c r="D27" s="268" t="str">
        <f>""</f>
        <v/>
      </c>
      <c r="E27" s="268" t="str">
        <f>""</f>
        <v/>
      </c>
      <c r="F27" s="268" t="str">
        <f>""</f>
        <v/>
      </c>
      <c r="G27" s="268" t="str">
        <f>""</f>
        <v/>
      </c>
      <c r="H27" s="269" t="str">
        <f>""</f>
        <v/>
      </c>
      <c r="I27" s="268">
        <f>IFERROR(I21/D21-1,"")</f>
        <v>0.096369460758142</v>
      </c>
      <c r="J27" s="268">
        <f>IFERROR(J21/E21-1,"")</f>
        <v>0.050259965337955</v>
      </c>
      <c r="K27" s="268">
        <f>IFERROR(K21/F21-1,"")</f>
        <v>-0.0045022511255628</v>
      </c>
      <c r="L27" s="268">
        <f>IFERROR(L21/G21-1,"")</f>
        <v>0.0588793922127255</v>
      </c>
      <c r="M27" s="269">
        <f>IFERROR(M21/H21-1,"")</f>
        <v>0.0496405126602064</v>
      </c>
      <c r="N27" s="268">
        <f>IFERROR(N21/I21-1,"")</f>
        <v>-0.135135135135135</v>
      </c>
      <c r="O27" s="268">
        <f>IFERROR(O21/J21-1,"")</f>
        <v>-0.0542197076850542</v>
      </c>
      <c r="P27" s="268">
        <f>IFERROR(P21/K21-1,"")</f>
        <v>-0.05</v>
      </c>
      <c r="Q27" s="268">
        <f>IFERROR(Q21/L21-1,"")</f>
        <v>0.0769058295964125</v>
      </c>
      <c r="R27" s="269">
        <f>IFERROR(R21/M21-1,"")</f>
        <v>-0.0381797605575079</v>
      </c>
      <c r="S27" s="268">
        <f>IFERROR(S21/N21-1,"")</f>
        <v>-0.0118243243243243</v>
      </c>
      <c r="T27" s="268">
        <f>IFERROR(T21/O21-1,"")</f>
        <v>-0.0286640079760718</v>
      </c>
      <c r="U27" s="268">
        <f>IFERROR(U21/P21-1,"")</f>
        <v>0.0899233007140967</v>
      </c>
      <c r="V27" s="268">
        <f>IFERROR(V21/Q21-1,"")</f>
        <v>-0.0191546949823027</v>
      </c>
      <c r="W27" s="269">
        <f>IFERROR(W21/R21-1,"")</f>
        <v>0.00563537280158544</v>
      </c>
      <c r="X27" s="268">
        <f>IFERROR(X21/S21-1,"")</f>
        <v>0.164672364672365</v>
      </c>
      <c r="Y27" s="268">
        <f>IFERROR(Y21/T21-1,"")</f>
        <v>0.167051578137029</v>
      </c>
      <c r="Z27" s="268">
        <f>IFERROR(Z21/U21-1,"")</f>
        <v>0.0596942489686969</v>
      </c>
      <c r="AA27" s="268">
        <f>IFERROR(AA21/V21-1,"")</f>
        <v>-0.0955211207811505</v>
      </c>
      <c r="AB27" s="269">
        <f>IFERROR(AB21/W21-1,"")</f>
        <v>0.0631196502247675</v>
      </c>
      <c r="AC27" s="268">
        <f>IFERROR(AC21/X21-1,"")</f>
        <v>0.0587084148727985</v>
      </c>
      <c r="AD27" s="268">
        <f>IFERROR(AD21/Y21-1,"")</f>
        <v>-0.121591908531222</v>
      </c>
      <c r="AE27" s="268">
        <f>IFERROR(AE21/Z21-1,"")</f>
        <v>0.00137394092054044</v>
      </c>
      <c r="AF27" s="268">
        <f>IFERROR(AF21/AA21-1,"")</f>
        <v>0.0833137761088947</v>
      </c>
      <c r="AG27" s="269">
        <f>IFERROR(AG21/AB21-1,"")</f>
        <v>0.00278035217794259</v>
      </c>
      <c r="AH27" s="269">
        <f>IFERROR(AH21/AC21-1,"")</f>
        <v>-0.0778650646950092</v>
      </c>
      <c r="AI27" s="269">
        <f>IFERROR(AI21/AD21-1,"")</f>
        <v>0.0898623279098874</v>
      </c>
    </row>
    <row r="28"/>
    <row r="29">
      <c r="C29" s="12" t="inlineStr">
        <is>
          <t>Segmentos - lucro e margem (USD milhões)</t>
        </is>
      </c>
      <c r="D29" s="12" t="str">
        <f>D7</f>
        <v>1Q20</v>
      </c>
      <c r="E29" s="12" t="str">
        <f>E7</f>
        <v>2Q20</v>
      </c>
      <c r="F29" s="12" t="str">
        <f>F7</f>
        <v>3Q20</v>
      </c>
      <c r="G29" s="12" t="str">
        <f>G7</f>
        <v>4Q20</v>
      </c>
      <c r="H29" s="12">
        <f>H7</f>
        <v>2020</v>
      </c>
      <c r="I29" s="12" t="str">
        <f>I7</f>
        <v>1Q21</v>
      </c>
      <c r="J29" s="12" t="str">
        <f>J7</f>
        <v>2Q21</v>
      </c>
      <c r="K29" s="12" t="str">
        <f>K7</f>
        <v>3Q21</v>
      </c>
      <c r="L29" s="12" t="str">
        <f>L7</f>
        <v>4Q21</v>
      </c>
      <c r="M29" s="12">
        <f>M7</f>
        <v>2021</v>
      </c>
      <c r="N29" s="12" t="str">
        <f>N7</f>
        <v>1Q22</v>
      </c>
      <c r="O29" s="12" t="str">
        <f>O7</f>
        <v>2Q22</v>
      </c>
      <c r="P29" s="12" t="str">
        <f>P7</f>
        <v>3Q22</v>
      </c>
      <c r="Q29" s="12" t="str">
        <f>Q7</f>
        <v>4Q22</v>
      </c>
      <c r="R29" s="12">
        <f>R7</f>
        <v>2022</v>
      </c>
      <c r="S29" s="12" t="str">
        <f>S7</f>
        <v>1Q23</v>
      </c>
      <c r="T29" s="12" t="str">
        <f>T7</f>
        <v>2Q23</v>
      </c>
      <c r="U29" s="12" t="str">
        <f>U7</f>
        <v>3Q23</v>
      </c>
      <c r="V29" s="12" t="str">
        <f>V7</f>
        <v>4Q23</v>
      </c>
      <c r="W29" s="12">
        <f>W7</f>
        <v>2023</v>
      </c>
      <c r="X29" s="12" t="str">
        <f>X7</f>
        <v>1Q24</v>
      </c>
      <c r="Y29" s="12" t="str">
        <f>Y7</f>
        <v>2Q24</v>
      </c>
      <c r="Z29" s="12" t="str">
        <f>Z7</f>
        <v>3Q24</v>
      </c>
      <c r="AA29" s="12" t="str">
        <f>AA7</f>
        <v>4Q24</v>
      </c>
      <c r="AB29" s="12">
        <f>AB7</f>
        <v>2024</v>
      </c>
      <c r="AC29" s="12" t="str">
        <f>AC7</f>
        <v>1Q25</v>
      </c>
      <c r="AD29" s="12" t="str">
        <f>AD7</f>
        <v>2Q25</v>
      </c>
      <c r="AE29" s="12" t="str">
        <f>AE7</f>
        <v>3Q25</v>
      </c>
      <c r="AF29" s="12" t="str">
        <f>AF7</f>
        <v>4Q25</v>
      </c>
      <c r="AG29" s="12">
        <f>AG7</f>
        <v>2025</v>
      </c>
      <c r="AH29" s="12" t="str">
        <f>AH7</f>
        <v>1Q26</v>
      </c>
      <c r="AI29" s="12" t="str">
        <f>AI7</f>
        <v>2Q26</v>
      </c>
    </row>
    <row r="30">
      <c r="C30" s="14" t="inlineStr">
        <is>
          <t xml:space="preserve">   Aeronautics</t>
        </is>
      </c>
      <c r="D30" s="265">
        <f>IFERROR(INDEX('Inputs (2)'!$D$54:$AL$54,MATCH(D$7,'Inputs (2)'!$D$2:$AL$2,0)),"")</f>
        <v>672</v>
      </c>
      <c r="E30" s="265">
        <f>IFERROR(INDEX('Inputs (2)'!$D$54:$AL$54,MATCH(E$7,'Inputs (2)'!$D$2:$AL$2,0)),"")</f>
        <v>739</v>
      </c>
      <c r="F30" s="265">
        <f>IFERROR(INDEX('Inputs (2)'!$D$54:$AL$54,MATCH(F$7,'Inputs (2)'!$D$2:$AL$2,0)),"")</f>
        <v>705</v>
      </c>
      <c r="G30" s="265">
        <f>IFERROR(INDEX('Inputs (2)'!$D$54:$AL$54,MATCH(G$7,'Inputs (2)'!$D$2:$AL$2,0)),"")</f>
        <v>727</v>
      </c>
      <c r="H30" s="266">
        <f>IF(COUNT(D30:G30)=4,SUM(D30:G30),"")</f>
        <v>2843</v>
      </c>
      <c r="I30" s="265">
        <f>IFERROR(INDEX('Inputs (2)'!$D$54:$AL$54,MATCH(I$7,'Inputs (2)'!$D$2:$AL$2,0)),"")</f>
        <v>693</v>
      </c>
      <c r="J30" s="265">
        <f>IFERROR(INDEX('Inputs (2)'!$D$54:$AL$54,MATCH(J$7,'Inputs (2)'!$D$2:$AL$2,0)),"")</f>
        <v>572</v>
      </c>
      <c r="K30" s="265">
        <f>IFERROR(INDEX('Inputs (2)'!$D$54:$AL$54,MATCH(K$7,'Inputs (2)'!$D$2:$AL$2,0)),"")</f>
        <v>714</v>
      </c>
      <c r="L30" s="265">
        <f>IFERROR(INDEX('Inputs (2)'!$D$54:$AL$54,MATCH(L$7,'Inputs (2)'!$D$2:$AL$2,0)),"")</f>
        <v>820</v>
      </c>
      <c r="M30" s="266">
        <f>IF(COUNT(I30:L30)=4,SUM(I30:L30),"")</f>
        <v>2799</v>
      </c>
      <c r="N30" s="265">
        <f>IFERROR(INDEX('Inputs (2)'!$D$54:$AL$54,MATCH(N$7,'Inputs (2)'!$D$2:$AL$2,0)),"")</f>
        <v>679</v>
      </c>
      <c r="O30" s="265">
        <f>IFERROR(INDEX('Inputs (2)'!$D$54:$AL$54,MATCH(O$7,'Inputs (2)'!$D$2:$AL$2,0)),"")</f>
        <v>613</v>
      </c>
      <c r="P30" s="265">
        <f>IFERROR(INDEX('Inputs (2)'!$D$54:$AL$54,MATCH(P$7,'Inputs (2)'!$D$2:$AL$2,0)),"")</f>
        <v>759</v>
      </c>
      <c r="Q30" s="265">
        <f>IFERROR(INDEX('Inputs (2)'!$D$54:$AL$54,MATCH(Q$7,'Inputs (2)'!$D$2:$AL$2,0)),"")</f>
        <v>816</v>
      </c>
      <c r="R30" s="266">
        <f>IF(COUNT(N30:Q30)=4,SUM(N30:Q30),"")</f>
        <v>2867</v>
      </c>
      <c r="S30" s="265">
        <f>IFERROR(INDEX('Inputs (2)'!$D$54:$AL$54,MATCH(S$7,'Inputs (2)'!$D$2:$AL$2,0)),"")</f>
        <v>675</v>
      </c>
      <c r="T30" s="265">
        <f>IFERROR(INDEX('Inputs (2)'!$D$54:$AL$54,MATCH(T$7,'Inputs (2)'!$D$2:$AL$2,0)),"")</f>
        <v>718</v>
      </c>
      <c r="U30" s="265">
        <f>IFERROR(INDEX('Inputs (2)'!$D$54:$AL$54,MATCH(U$7,'Inputs (2)'!$D$2:$AL$2,0)),"")</f>
        <v>671</v>
      </c>
      <c r="V30" s="265">
        <f>IFERROR(INDEX('Inputs (2)'!$D$54:$AL$54,MATCH(V$7,'Inputs (2)'!$D$2:$AL$2,0)),"")</f>
        <v>761</v>
      </c>
      <c r="W30" s="266">
        <f>IF(COUNT(S30:V30)=4,SUM(S30:V30),"")</f>
        <v>2825</v>
      </c>
      <c r="X30" s="265">
        <f>IFERROR(INDEX('Inputs (2)'!$D$54:$AL$54,MATCH(X$7,'Inputs (2)'!$D$2:$AL$2,0)),"")</f>
        <v>679</v>
      </c>
      <c r="Y30" s="265">
        <f>IFERROR(INDEX('Inputs (2)'!$D$54:$AL$54,MATCH(Y$7,'Inputs (2)'!$D$2:$AL$2,0)),"")</f>
        <v>751</v>
      </c>
      <c r="Z30" s="265">
        <f>IFERROR(INDEX('Inputs (2)'!$D$54:$AL$54,MATCH(Z$7,'Inputs (2)'!$D$2:$AL$2,0)),"")</f>
        <v>659</v>
      </c>
      <c r="AA30" s="265">
        <f>IFERROR(INDEX('Inputs (2)'!$D$54:$AL$54,MATCH(AA$7,'Inputs (2)'!$D$2:$AL$2,0)),"")</f>
        <v>434</v>
      </c>
      <c r="AB30" s="266">
        <f>IF(COUNT(X30:AA30)=4,SUM(X30:AA30),"")</f>
        <v>2523</v>
      </c>
      <c r="AC30" s="265">
        <f>IFERROR(INDEX('Inputs (2)'!$D$54:$AL$54,MATCH(AC$7,'Inputs (2)'!$D$2:$AL$2,0)),"")</f>
        <v>720</v>
      </c>
      <c r="AD30" s="265">
        <f>IFERROR(INDEX('Inputs (2)'!$D$54:$AL$54,MATCH(AD$7,'Inputs (2)'!$D$2:$AL$2,0)),"")</f>
        <v>-98</v>
      </c>
      <c r="AE30" s="265">
        <f>IFERROR(INDEX('Inputs (2)'!$D$54:$AL$54,MATCH(AE$7,'Inputs (2)'!$D$2:$AL$2,0)),"")</f>
        <v>682</v>
      </c>
      <c r="AF30" s="265">
        <f>IFERROR(INDEX('Inputs (2)'!$D$54:$AL$54,MATCH(AF$7,'Inputs (2)'!$D$2:$AL$2,0)),"")</f>
        <v>782</v>
      </c>
      <c r="AG30" s="266">
        <f>IF(COUNT(AC30:AF30)=4,SUM(AC30:AF30),"")</f>
        <v>2086</v>
      </c>
      <c r="AH30" s="266">
        <f>IFERROR(INDEX('Inputs (2)'!$D$54:$AL$54,MATCH(AH$7,'Inputs (2)'!$D$2:$AL$2,0)),"")</f>
        <v>619</v>
      </c>
      <c r="AI30" s="266">
        <f>IFERROR(INDEX('Inputs (2)'!$D$54:$AL$54,MATCH(AI$7,'Inputs (2)'!$D$2:$AL$2,0)),"")</f>
        <v>760</v>
      </c>
    </row>
    <row r="31">
      <c r="C31" s="14" t="inlineStr">
        <is>
          <t xml:space="preserve">   Missiles and Fire Control</t>
        </is>
      </c>
      <c r="D31" s="265">
        <f>IFERROR(INDEX('Inputs (2)'!$D$56:$AL$56,MATCH(D$7,'Inputs (2)'!$D$2:$AL$2,0)),"")</f>
        <v>396</v>
      </c>
      <c r="E31" s="265">
        <f>IFERROR(INDEX('Inputs (2)'!$D$56:$AL$56,MATCH(E$7,'Inputs (2)'!$D$2:$AL$2,0)),"")</f>
        <v>370</v>
      </c>
      <c r="F31" s="265">
        <f>IFERROR(INDEX('Inputs (2)'!$D$56:$AL$56,MATCH(F$7,'Inputs (2)'!$D$2:$AL$2,0)),"")</f>
        <v>405</v>
      </c>
      <c r="G31" s="265">
        <f>IFERROR(INDEX('Inputs (2)'!$D$56:$AL$56,MATCH(G$7,'Inputs (2)'!$D$2:$AL$2,0)),"")</f>
        <v>374</v>
      </c>
      <c r="H31" s="266">
        <f>IF(COUNT(D31:G31)=4,SUM(D31:G31),"")</f>
        <v>1545</v>
      </c>
      <c r="I31" s="265">
        <f>IFERROR(INDEX('Inputs (2)'!$D$56:$AL$56,MATCH(I$7,'Inputs (2)'!$D$2:$AL$2,0)),"")</f>
        <v>396</v>
      </c>
      <c r="J31" s="265">
        <f>IFERROR(INDEX('Inputs (2)'!$D$56:$AL$56,MATCH(J$7,'Inputs (2)'!$D$2:$AL$2,0)),"")</f>
        <v>401</v>
      </c>
      <c r="K31" s="265">
        <f>IFERROR(INDEX('Inputs (2)'!$D$56:$AL$56,MATCH(K$7,'Inputs (2)'!$D$2:$AL$2,0)),"")</f>
        <v>413</v>
      </c>
      <c r="L31" s="265">
        <f>IFERROR(INDEX('Inputs (2)'!$D$56:$AL$56,MATCH(L$7,'Inputs (2)'!$D$2:$AL$2,0)),"")</f>
        <v>438</v>
      </c>
      <c r="M31" s="266">
        <f>IF(COUNT(I31:L31)=4,SUM(I31:L31),"")</f>
        <v>1648</v>
      </c>
      <c r="N31" s="265">
        <f>IFERROR(INDEX('Inputs (2)'!$D$56:$AL$56,MATCH(N$7,'Inputs (2)'!$D$2:$AL$2,0)),"")</f>
        <v>385</v>
      </c>
      <c r="O31" s="265">
        <f>IFERROR(INDEX('Inputs (2)'!$D$56:$AL$56,MATCH(O$7,'Inputs (2)'!$D$2:$AL$2,0)),"")</f>
        <v>418</v>
      </c>
      <c r="P31" s="265">
        <f>IFERROR(INDEX('Inputs (2)'!$D$56:$AL$56,MATCH(P$7,'Inputs (2)'!$D$2:$AL$2,0)),"")</f>
        <v>383</v>
      </c>
      <c r="Q31" s="265">
        <f>IFERROR(INDEX('Inputs (2)'!$D$56:$AL$56,MATCH(Q$7,'Inputs (2)'!$D$2:$AL$2,0)),"")</f>
        <v>451</v>
      </c>
      <c r="R31" s="266">
        <f>IF(COUNT(N31:Q31)=4,SUM(N31:Q31),"")</f>
        <v>1637</v>
      </c>
      <c r="S31" s="265">
        <f>IFERROR(INDEX('Inputs (2)'!$D$56:$AL$56,MATCH(S$7,'Inputs (2)'!$D$2:$AL$2,0)),"")</f>
        <v>377</v>
      </c>
      <c r="T31" s="265">
        <f>IFERROR(INDEX('Inputs (2)'!$D$56:$AL$56,MATCH(T$7,'Inputs (2)'!$D$2:$AL$2,0)),"")</f>
        <v>371</v>
      </c>
      <c r="U31" s="265">
        <f>IFERROR(INDEX('Inputs (2)'!$D$56:$AL$56,MATCH(U$7,'Inputs (2)'!$D$2:$AL$2,0)),"")</f>
        <v>398</v>
      </c>
      <c r="V31" s="265">
        <f>IFERROR(INDEX('Inputs (2)'!$D$56:$AL$56,MATCH(V$7,'Inputs (2)'!$D$2:$AL$2,0)),"")</f>
        <v>395</v>
      </c>
      <c r="W31" s="266">
        <f>IF(COUNT(S31:V31)=4,SUM(S31:V31),"")</f>
        <v>1541</v>
      </c>
      <c r="X31" s="265">
        <f>IFERROR(INDEX('Inputs (2)'!$D$56:$AL$56,MATCH(X$7,'Inputs (2)'!$D$2:$AL$2,0)),"")</f>
        <v>311</v>
      </c>
      <c r="Y31" s="265">
        <f>IFERROR(INDEX('Inputs (2)'!$D$56:$AL$56,MATCH(Y$7,'Inputs (2)'!$D$2:$AL$2,0)),"")</f>
        <v>450</v>
      </c>
      <c r="Z31" s="265">
        <f>IFERROR(INDEX('Inputs (2)'!$D$56:$AL$56,MATCH(Z$7,'Inputs (2)'!$D$2:$AL$2,0)),"")</f>
        <v>456</v>
      </c>
      <c r="AA31" s="265">
        <f>IFERROR(INDEX('Inputs (2)'!$D$56:$AL$56,MATCH(AA$7,'Inputs (2)'!$D$2:$AL$2,0)),"")</f>
        <v>-804</v>
      </c>
      <c r="AB31" s="266">
        <f>IF(COUNT(X31:AA31)=4,SUM(X31:AA31),"")</f>
        <v>413</v>
      </c>
      <c r="AC31" s="265">
        <f>IFERROR(INDEX('Inputs (2)'!$D$56:$AL$56,MATCH(AC$7,'Inputs (2)'!$D$2:$AL$2,0)),"")</f>
        <v>465</v>
      </c>
      <c r="AD31" s="265">
        <f>IFERROR(INDEX('Inputs (2)'!$D$56:$AL$56,MATCH(AD$7,'Inputs (2)'!$D$2:$AL$2,0)),"")</f>
        <v>479</v>
      </c>
      <c r="AE31" s="265">
        <f>IFERROR(INDEX('Inputs (2)'!$D$56:$AL$56,MATCH(AE$7,'Inputs (2)'!$D$2:$AL$2,0)),"")</f>
        <v>510</v>
      </c>
      <c r="AF31" s="265">
        <f>IFERROR(INDEX('Inputs (2)'!$D$56:$AL$56,MATCH(AF$7,'Inputs (2)'!$D$2:$AL$2,0)),"")</f>
        <v>535</v>
      </c>
      <c r="AG31" s="266">
        <f>IF(COUNT(AC31:AF31)=4,SUM(AC31:AF31),"")</f>
        <v>1989</v>
      </c>
      <c r="AH31" s="266">
        <f>IFERROR(INDEX('Inputs (2)'!$D$56:$AL$56,MATCH(AH$7,'Inputs (2)'!$D$2:$AL$2,0)),"")</f>
        <v>500</v>
      </c>
      <c r="AI31" s="266">
        <f>IFERROR(INDEX('Inputs (2)'!$D$56:$AL$56,MATCH(AI$7,'Inputs (2)'!$D$2:$AL$2,0)),"")</f>
        <v>594</v>
      </c>
    </row>
    <row r="32">
      <c r="C32" s="14" t="inlineStr">
        <is>
          <t xml:space="preserve">   Rotary and Mission Systems</t>
        </is>
      </c>
      <c r="D32" s="265">
        <f>IFERROR(INDEX('Inputs (2)'!$D$58:$AL$58,MATCH(D$7,'Inputs (2)'!$D$2:$AL$2,0)),"")</f>
        <v>376</v>
      </c>
      <c r="E32" s="265">
        <f>IFERROR(INDEX('Inputs (2)'!$D$58:$AL$58,MATCH(E$7,'Inputs (2)'!$D$2:$AL$2,0)),"")</f>
        <v>429</v>
      </c>
      <c r="F32" s="265">
        <f>IFERROR(INDEX('Inputs (2)'!$D$58:$AL$58,MATCH(F$7,'Inputs (2)'!$D$2:$AL$2,0)),"")</f>
        <v>404</v>
      </c>
      <c r="G32" s="265">
        <f>IFERROR(INDEX('Inputs (2)'!$D$58:$AL$58,MATCH(G$7,'Inputs (2)'!$D$2:$AL$2,0)),"")</f>
        <v>406</v>
      </c>
      <c r="H32" s="266">
        <f>IF(COUNT(D32:G32)=4,SUM(D32:G32),"")</f>
        <v>1615</v>
      </c>
      <c r="I32" s="265">
        <f>IFERROR(INDEX('Inputs (2)'!$D$58:$AL$58,MATCH(I$7,'Inputs (2)'!$D$2:$AL$2,0)),"")</f>
        <v>433</v>
      </c>
      <c r="J32" s="265">
        <f>IFERROR(INDEX('Inputs (2)'!$D$58:$AL$58,MATCH(J$7,'Inputs (2)'!$D$2:$AL$2,0)),"")</f>
        <v>458</v>
      </c>
      <c r="K32" s="265">
        <f>IFERROR(INDEX('Inputs (2)'!$D$58:$AL$58,MATCH(K$7,'Inputs (2)'!$D$2:$AL$2,0)),"")</f>
        <v>459</v>
      </c>
      <c r="L32" s="265">
        <f>IFERROR(INDEX('Inputs (2)'!$D$58:$AL$58,MATCH(L$7,'Inputs (2)'!$D$2:$AL$2,0)),"")</f>
        <v>448</v>
      </c>
      <c r="M32" s="266">
        <f>IF(COUNT(I32:L32)=4,SUM(I32:L32),"")</f>
        <v>1798</v>
      </c>
      <c r="N32" s="265">
        <f>IFERROR(INDEX('Inputs (2)'!$D$58:$AL$58,MATCH(N$7,'Inputs (2)'!$D$2:$AL$2,0)),"")</f>
        <v>406</v>
      </c>
      <c r="O32" s="265">
        <f>IFERROR(INDEX('Inputs (2)'!$D$58:$AL$58,MATCH(O$7,'Inputs (2)'!$D$2:$AL$2,0)),"")</f>
        <v>461</v>
      </c>
      <c r="P32" s="265">
        <f>IFERROR(INDEX('Inputs (2)'!$D$58:$AL$58,MATCH(P$7,'Inputs (2)'!$D$2:$AL$2,0)),"")</f>
        <v>472</v>
      </c>
      <c r="Q32" s="265">
        <f>IFERROR(INDEX('Inputs (2)'!$D$58:$AL$58,MATCH(Q$7,'Inputs (2)'!$D$2:$AL$2,0)),"")</f>
        <v>508</v>
      </c>
      <c r="R32" s="266">
        <f>IF(COUNT(N32:Q32)=4,SUM(N32:Q32),"")</f>
        <v>1847</v>
      </c>
      <c r="S32" s="265">
        <f>IFERROR(INDEX('Inputs (2)'!$D$58:$AL$58,MATCH(S$7,'Inputs (2)'!$D$2:$AL$2,0)),"")</f>
        <v>350</v>
      </c>
      <c r="T32" s="265">
        <f>IFERROR(INDEX('Inputs (2)'!$D$58:$AL$58,MATCH(T$7,'Inputs (2)'!$D$2:$AL$2,0)),"")</f>
        <v>454</v>
      </c>
      <c r="U32" s="265">
        <f>IFERROR(INDEX('Inputs (2)'!$D$58:$AL$58,MATCH(U$7,'Inputs (2)'!$D$2:$AL$2,0)),"")</f>
        <v>482</v>
      </c>
      <c r="V32" s="265">
        <f>IFERROR(INDEX('Inputs (2)'!$D$58:$AL$58,MATCH(V$7,'Inputs (2)'!$D$2:$AL$2,0)),"")</f>
        <v>579</v>
      </c>
      <c r="W32" s="266">
        <f>IF(COUNT(S32:V32)=4,SUM(S32:V32),"")</f>
        <v>1865</v>
      </c>
      <c r="X32" s="265">
        <f>IFERROR(INDEX('Inputs (2)'!$D$58:$AL$58,MATCH(X$7,'Inputs (2)'!$D$2:$AL$2,0)),"")</f>
        <v>430</v>
      </c>
      <c r="Y32" s="265">
        <f>IFERROR(INDEX('Inputs (2)'!$D$58:$AL$58,MATCH(Y$7,'Inputs (2)'!$D$2:$AL$2,0)),"")</f>
        <v>495</v>
      </c>
      <c r="Z32" s="265">
        <f>IFERROR(INDEX('Inputs (2)'!$D$58:$AL$58,MATCH(Z$7,'Inputs (2)'!$D$2:$AL$2,0)),"")</f>
        <v>483</v>
      </c>
      <c r="AA32" s="265">
        <f>IFERROR(INDEX('Inputs (2)'!$D$58:$AL$58,MATCH(AA$7,'Inputs (2)'!$D$2:$AL$2,0)),"")</f>
        <v>513</v>
      </c>
      <c r="AB32" s="266">
        <f>IF(COUNT(X32:AA32)=4,SUM(X32:AA32),"")</f>
        <v>1921</v>
      </c>
      <c r="AC32" s="265">
        <f>IFERROR(INDEX('Inputs (2)'!$D$58:$AL$58,MATCH(AC$7,'Inputs (2)'!$D$2:$AL$2,0)),"")</f>
        <v>521</v>
      </c>
      <c r="AD32" s="265">
        <f>IFERROR(INDEX('Inputs (2)'!$D$58:$AL$58,MATCH(AD$7,'Inputs (2)'!$D$2:$AL$2,0)),"")</f>
        <v>-172</v>
      </c>
      <c r="AE32" s="265">
        <f>IFERROR(INDEX('Inputs (2)'!$D$58:$AL$58,MATCH(AE$7,'Inputs (2)'!$D$2:$AL$2,0)),"")</f>
        <v>506</v>
      </c>
      <c r="AF32" s="265">
        <f>IFERROR(INDEX('Inputs (2)'!$D$58:$AL$58,MATCH(AF$7,'Inputs (2)'!$D$2:$AL$2,0)),"")</f>
        <v>468</v>
      </c>
      <c r="AG32" s="266">
        <f>IF(COUNT(AC32:AF32)=4,SUM(AC32:AF32),"")</f>
        <v>1323</v>
      </c>
      <c r="AH32" s="266">
        <f>IFERROR(INDEX('Inputs (2)'!$D$58:$AL$58,MATCH(AH$7,'Inputs (2)'!$D$2:$AL$2,0)),"")</f>
        <v>423</v>
      </c>
      <c r="AI32" s="266">
        <f>IFERROR(INDEX('Inputs (2)'!$D$58:$AL$58,MATCH(AI$7,'Inputs (2)'!$D$2:$AL$2,0)),"")</f>
        <v>437</v>
      </c>
    </row>
    <row r="33">
      <c r="C33" s="14" t="inlineStr">
        <is>
          <t xml:space="preserve">   Space</t>
        </is>
      </c>
      <c r="D33" s="265">
        <f>IFERROR(INDEX('Inputs (2)'!$D$60:$AL$60,MATCH(D$7,'Inputs (2)'!$D$2:$AL$2,0)),"")</f>
        <v>281</v>
      </c>
      <c r="E33" s="265">
        <f>IFERROR(INDEX('Inputs (2)'!$D$60:$AL$60,MATCH(E$7,'Inputs (2)'!$D$2:$AL$2,0)),"")</f>
        <v>252</v>
      </c>
      <c r="F33" s="265">
        <f>IFERROR(INDEX('Inputs (2)'!$D$60:$AL$60,MATCH(F$7,'Inputs (2)'!$D$2:$AL$2,0)),"")</f>
        <v>248</v>
      </c>
      <c r="G33" s="265">
        <f>IFERROR(INDEX('Inputs (2)'!$D$60:$AL$60,MATCH(G$7,'Inputs (2)'!$D$2:$AL$2,0)),"")</f>
        <v>368</v>
      </c>
      <c r="H33" s="266">
        <f>IF(COUNT(D33:G33)=4,SUM(D33:G33),"")</f>
        <v>1149</v>
      </c>
      <c r="I33" s="265">
        <f>IFERROR(INDEX('Inputs (2)'!$D$60:$AL$60,MATCH(I$7,'Inputs (2)'!$D$2:$AL$2,0)),"")</f>
        <v>227</v>
      </c>
      <c r="J33" s="265">
        <f>IFERROR(INDEX('Inputs (2)'!$D$60:$AL$60,MATCH(J$7,'Inputs (2)'!$D$2:$AL$2,0)),"")</f>
        <v>335</v>
      </c>
      <c r="K33" s="265">
        <f>IFERROR(INDEX('Inputs (2)'!$D$60:$AL$60,MATCH(K$7,'Inputs (2)'!$D$2:$AL$2,0)),"")</f>
        <v>264</v>
      </c>
      <c r="L33" s="265">
        <f>IFERROR(INDEX('Inputs (2)'!$D$60:$AL$60,MATCH(L$7,'Inputs (2)'!$D$2:$AL$2,0)),"")</f>
        <v>308</v>
      </c>
      <c r="M33" s="266">
        <f>IF(COUNT(I33:L33)=4,SUM(I33:L33),"")</f>
        <v>1134</v>
      </c>
      <c r="N33" s="265">
        <f>IFERROR(INDEX('Inputs (2)'!$D$60:$AL$60,MATCH(N$7,'Inputs (2)'!$D$2:$AL$2,0)),"")</f>
        <v>248</v>
      </c>
      <c r="O33" s="265">
        <f>IFERROR(INDEX('Inputs (2)'!$D$60:$AL$60,MATCH(O$7,'Inputs (2)'!$D$2:$AL$2,0)),"")</f>
        <v>271</v>
      </c>
      <c r="P33" s="265">
        <f>IFERROR(INDEX('Inputs (2)'!$D$60:$AL$60,MATCH(P$7,'Inputs (2)'!$D$2:$AL$2,0)),"")</f>
        <v>304</v>
      </c>
      <c r="Q33" s="265">
        <f>IFERROR(INDEX('Inputs (2)'!$D$60:$AL$60,MATCH(Q$7,'Inputs (2)'!$D$2:$AL$2,0)),"")</f>
        <v>231</v>
      </c>
      <c r="R33" s="266">
        <f>IF(COUNT(N33:Q33)=4,SUM(N33:Q33),"")</f>
        <v>1054</v>
      </c>
      <c r="S33" s="265">
        <f>IFERROR(INDEX('Inputs (2)'!$D$60:$AL$60,MATCH(S$7,'Inputs (2)'!$D$2:$AL$2,0)),"")</f>
        <v>280</v>
      </c>
      <c r="T33" s="265">
        <f>IFERROR(INDEX('Inputs (2)'!$D$60:$AL$60,MATCH(T$7,'Inputs (2)'!$D$2:$AL$2,0)),"")</f>
        <v>312</v>
      </c>
      <c r="U33" s="265">
        <f>IFERROR(INDEX('Inputs (2)'!$D$60:$AL$60,MATCH(U$7,'Inputs (2)'!$D$2:$AL$2,0)),"")</f>
        <v>259</v>
      </c>
      <c r="V33" s="265">
        <f>IFERROR(INDEX('Inputs (2)'!$D$60:$AL$60,MATCH(V$7,'Inputs (2)'!$D$2:$AL$2,0)),"")</f>
        <v>307</v>
      </c>
      <c r="W33" s="266">
        <f>IF(COUNT(S33:V33)=4,SUM(S33:V33),"")</f>
        <v>1158</v>
      </c>
      <c r="X33" s="265">
        <f>IFERROR(INDEX('Inputs (2)'!$D$60:$AL$60,MATCH(X$7,'Inputs (2)'!$D$2:$AL$2,0)),"")</f>
        <v>325</v>
      </c>
      <c r="Y33" s="265">
        <f>IFERROR(INDEX('Inputs (2)'!$D$60:$AL$60,MATCH(Y$7,'Inputs (2)'!$D$2:$AL$2,0)),"")</f>
        <v>346</v>
      </c>
      <c r="Z33" s="265">
        <f>IFERROR(INDEX('Inputs (2)'!$D$60:$AL$60,MATCH(Z$7,'Inputs (2)'!$D$2:$AL$2,0)),"")</f>
        <v>272</v>
      </c>
      <c r="AA33" s="265">
        <f>IFERROR(INDEX('Inputs (2)'!$D$60:$AL$60,MATCH(AA$7,'Inputs (2)'!$D$2:$AL$2,0)),"")</f>
        <v>283</v>
      </c>
      <c r="AB33" s="266">
        <f>IF(COUNT(X33:AA33)=4,SUM(X33:AA33),"")</f>
        <v>1226</v>
      </c>
      <c r="AC33" s="265">
        <f>IFERROR(INDEX('Inputs (2)'!$D$60:$AL$60,MATCH(AC$7,'Inputs (2)'!$D$2:$AL$2,0)),"")</f>
        <v>379</v>
      </c>
      <c r="AD33" s="265">
        <f>IFERROR(INDEX('Inputs (2)'!$D$60:$AL$60,MATCH(AD$7,'Inputs (2)'!$D$2:$AL$2,0)),"")</f>
        <v>362</v>
      </c>
      <c r="AE33" s="265">
        <f>IFERROR(INDEX('Inputs (2)'!$D$60:$AL$60,MATCH(AE$7,'Inputs (2)'!$D$2:$AL$2,0)),"")</f>
        <v>331</v>
      </c>
      <c r="AF33" s="265">
        <f>IFERROR(INDEX('Inputs (2)'!$D$60:$AL$60,MATCH(AF$7,'Inputs (2)'!$D$2:$AL$2,0)),"")</f>
        <v>273</v>
      </c>
      <c r="AG33" s="266">
        <f>IF(COUNT(AC33:AF33)=4,SUM(AC33:AF33),"")</f>
        <v>1345</v>
      </c>
      <c r="AH33" s="266">
        <f>IFERROR(INDEX('Inputs (2)'!$D$60:$AL$60,MATCH(AH$7,'Inputs (2)'!$D$2:$AL$2,0)),"")</f>
        <v>281</v>
      </c>
      <c r="AI33" s="266">
        <f>IFERROR(INDEX('Inputs (2)'!$D$60:$AL$60,MATCH(AI$7,'Inputs (2)'!$D$2:$AL$2,0)),"")</f>
        <v>371</v>
      </c>
    </row>
    <row r="34">
      <c r="C34" s="14" t="inlineStr">
        <is>
          <t xml:space="preserve">   Margem Aeronautics</t>
        </is>
      </c>
      <c r="D34" s="268">
        <f>IFERROR(D30/D19,"")</f>
        <v>0.105511069241639</v>
      </c>
      <c r="E34" s="268">
        <f>IFERROR(E30/E19,"")</f>
        <v>0.113639858526834</v>
      </c>
      <c r="F34" s="268">
        <f>IFERROR(F30/F19,"")</f>
        <v>0.105538922155689</v>
      </c>
      <c r="G34" s="268">
        <f>IFERROR(G30/G19,"")</f>
        <v>0.108281203455466</v>
      </c>
      <c r="H34" s="269">
        <f>IFERROR(H30/H19,"")</f>
        <v>0.108238787786492</v>
      </c>
      <c r="I34" s="268">
        <f>IFERROR(I30/I19,"")</f>
        <v>0.108501643964303</v>
      </c>
      <c r="J34" s="268">
        <f>IFERROR(J30/J19,"")</f>
        <v>0.0858085808580858</v>
      </c>
      <c r="K34" s="268">
        <f>IFERROR(K30/K19,"")</f>
        <v>0.108708891595615</v>
      </c>
      <c r="L34" s="268">
        <f>IFERROR(L30/L19,"")</f>
        <v>0.115055423039147</v>
      </c>
      <c r="M34" s="269">
        <f>IFERROR(M30/M19,"")</f>
        <v>0.10464333781965</v>
      </c>
      <c r="N34" s="268">
        <f>IFERROR(N30/N19,"")</f>
        <v>0.106077175441337</v>
      </c>
      <c r="O34" s="268">
        <f>IFERROR(O30/O19,"")</f>
        <v>0.104571818491982</v>
      </c>
      <c r="P34" s="268">
        <f>IFERROR(P30/P19,"")</f>
        <v>0.107067287346593</v>
      </c>
      <c r="Q34" s="268">
        <f>IFERROR(Q30/Q19,"")</f>
        <v>0.106876227897839</v>
      </c>
      <c r="R34" s="269">
        <f>IFERROR(R30/R19,"")</f>
        <v>0.106236336013636</v>
      </c>
      <c r="S34" s="268">
        <f>IFERROR(S30/S19,"")</f>
        <v>0.107672675067794</v>
      </c>
      <c r="T34" s="268">
        <f>IFERROR(T30/T19,"")</f>
        <v>0.104436363636364</v>
      </c>
      <c r="U34" s="268">
        <f>IFERROR(U30/U19,"")</f>
        <v>0.0998957868095876</v>
      </c>
      <c r="V34" s="268">
        <f>IFERROR(V30/V19,"")</f>
        <v>0.0999605937212663</v>
      </c>
      <c r="W34" s="269">
        <f>IFERROR(W30/W19,"")</f>
        <v>0.102824488607411</v>
      </c>
      <c r="X34" s="268">
        <f>IFERROR(X30/X19,"")</f>
        <v>0.0991964937910884</v>
      </c>
      <c r="Y34" s="268">
        <f>IFERROR(Y30/Y19,"")</f>
        <v>0.10320186890202</v>
      </c>
      <c r="Z34" s="268">
        <f>IFERROR(Z30/Z19,"")</f>
        <v>0.101587790966548</v>
      </c>
      <c r="AA34" s="268">
        <f>IFERROR(AA30/AA19,"")</f>
        <v>0.0541890373330004</v>
      </c>
      <c r="AB34" s="269">
        <f>IFERROR(AB30/AB19,"")</f>
        <v>0.0881612970857502</v>
      </c>
      <c r="AC34" s="268">
        <f>IFERROR(AC30/AC19,"")</f>
        <v>0.102026356808842</v>
      </c>
      <c r="AD34" s="268">
        <f>IFERROR(AD30/AD19,"")</f>
        <v>-0.0132075471698113</v>
      </c>
      <c r="AE34" s="268">
        <f>IFERROR(AE30/AE19,"")</f>
        <v>0.0939911797133407</v>
      </c>
      <c r="AF34" s="268">
        <f>IFERROR(AF30/AF19,"")</f>
        <v>0.0917409666823088</v>
      </c>
      <c r="AG34" s="269">
        <f>IFERROR(AG30/AG19,"")</f>
        <v>0.0689427239977526</v>
      </c>
      <c r="AH34" s="269">
        <f>IFERROR(AH30/AH19,"")</f>
        <v>0.0890263195742845</v>
      </c>
      <c r="AI34" s="269">
        <f>IFERROR(AI30/AI19,"")</f>
        <v>0.0936883629191322</v>
      </c>
    </row>
    <row r="35">
      <c r="C35" s="14" t="inlineStr">
        <is>
          <t xml:space="preserve">   Margem Missiles and Fire Control</t>
        </is>
      </c>
      <c r="D35" s="268">
        <f>IFERROR(D31/D20,"")</f>
        <v>0.151202749140893</v>
      </c>
      <c r="E35" s="268">
        <f>IFERROR(E31/E20,"")</f>
        <v>0.132095680114245</v>
      </c>
      <c r="F35" s="268">
        <f>IFERROR(F31/F20,"")</f>
        <v>0.136317738135308</v>
      </c>
      <c r="G35" s="268">
        <f>IFERROR(G31/G20,"")</f>
        <v>0.13049546406141</v>
      </c>
      <c r="H35" s="269">
        <f>IFERROR(H31/H20,"")</f>
        <v>0.13724793461846</v>
      </c>
      <c r="I35" s="268">
        <f>IFERROR(I31/I20,"")</f>
        <v>0.144052382684613</v>
      </c>
      <c r="J35" s="268">
        <f>IFERROR(J31/J20,"")</f>
        <v>0.136209239130435</v>
      </c>
      <c r="K35" s="268">
        <f>IFERROR(K31/K20,"")</f>
        <v>0.148507731032003</v>
      </c>
      <c r="L35" s="268">
        <f>IFERROR(L31/L20,"")</f>
        <v>0.136067101584343</v>
      </c>
      <c r="M35" s="269">
        <f>IFERROR(M31/M20,"")</f>
        <v>0.140939023347302</v>
      </c>
      <c r="N35" s="268">
        <f>IFERROR(N31/N20,"")</f>
        <v>0.157014681892333</v>
      </c>
      <c r="O35" s="268">
        <f>IFERROR(O31/O20,"")</f>
        <v>0.152165999271933</v>
      </c>
      <c r="P35" s="268">
        <f>IFERROR(P31/P20,"")</f>
        <v>0.13528788413988</v>
      </c>
      <c r="Q35" s="268">
        <f>IFERROR(Q31/Q20,"")</f>
        <v>0.137207179799209</v>
      </c>
      <c r="R35" s="269">
        <f>IFERROR(R31/R20,"")</f>
        <v>0.144649642131307</v>
      </c>
      <c r="S35" s="268">
        <f>IFERROR(S31/S20,"")</f>
        <v>0.15787269681742</v>
      </c>
      <c r="T35" s="268">
        <f>IFERROR(T31/T20,"")</f>
        <v>0.134664246823956</v>
      </c>
      <c r="U35" s="268">
        <f>IFERROR(U31/U20,"")</f>
        <v>0.135420210956108</v>
      </c>
      <c r="V35" s="268">
        <f>IFERROR(V31/V20,"")</f>
        <v>0.124566382844529</v>
      </c>
      <c r="W35" s="269">
        <f>IFERROR(W31/W20,"")</f>
        <v>0.136941260108416</v>
      </c>
      <c r="X35" s="268">
        <f>IFERROR(X31/X20,"")</f>
        <v>0.103909121282994</v>
      </c>
      <c r="Y35" s="268">
        <f>IFERROR(Y31/Y20,"")</f>
        <v>0.145067698259188</v>
      </c>
      <c r="Z35" s="268">
        <f>IFERROR(Z31/Z20,"")</f>
        <v>0.143622047244095</v>
      </c>
      <c r="AA35" s="268">
        <f>IFERROR(AA31/AA20,"")</f>
        <v>-0.235638921453693</v>
      </c>
      <c r="AB35" s="269">
        <f>IFERROR(AB31/AB20,"")</f>
        <v>0.0325658413499448</v>
      </c>
      <c r="AC35" s="268">
        <f>IFERROR(AC31/AC20,"")</f>
        <v>0.13785947227987</v>
      </c>
      <c r="AD35" s="268">
        <f>IFERROR(AD31/AD20,"")</f>
        <v>0.139528109525197</v>
      </c>
      <c r="AE35" s="268">
        <f>IFERROR(AE31/AE20,"")</f>
        <v>0.140728476821192</v>
      </c>
      <c r="AF35" s="268">
        <f>IFERROR(AF31/AF20,"")</f>
        <v>0.133084577114428</v>
      </c>
      <c r="AG35" s="269">
        <f>IFERROR(AG31/AG20,"")</f>
        <v>0.137647058823529</v>
      </c>
      <c r="AH35" s="269">
        <f>IFERROR(AH31/AH20,"")</f>
        <v>0.137023842148534</v>
      </c>
      <c r="AI35" s="269">
        <f>IFERROR(AI31/AI20,"")</f>
        <v>0.144842721287491</v>
      </c>
    </row>
    <row r="36">
      <c r="C36" s="14" t="inlineStr">
        <is>
          <t xml:space="preserve">   Margem Rotary and Mission Systems</t>
        </is>
      </c>
      <c r="D36" s="268">
        <f>IFERROR(D32/D21,"")</f>
        <v>0.10037373198078</v>
      </c>
      <c r="E36" s="268">
        <f>IFERROR(E32/E21,"")</f>
        <v>0.106214409507304</v>
      </c>
      <c r="F36" s="268">
        <f>IFERROR(F32/F21,"")</f>
        <v>0.101050525262631</v>
      </c>
      <c r="G36" s="268">
        <f>IFERROR(G32/G21,"")</f>
        <v>0.0963912630579297</v>
      </c>
      <c r="H36" s="269">
        <f>IFERROR(H32/H21,"")</f>
        <v>0.100969052829009</v>
      </c>
      <c r="I36" s="268">
        <f>IFERROR(I32/I21,"")</f>
        <v>0.105429754078403</v>
      </c>
      <c r="J36" s="268">
        <f>IFERROR(J32/J21,"")</f>
        <v>0.107967939651108</v>
      </c>
      <c r="K36" s="268">
        <f>IFERROR(K32/K21,"")</f>
        <v>0.115326633165829</v>
      </c>
      <c r="L36" s="268">
        <f>IFERROR(L32/L21,"")</f>
        <v>0.100448430493274</v>
      </c>
      <c r="M36" s="269">
        <f>IFERROR(M32/M21,"")</f>
        <v>0.107093930549765</v>
      </c>
      <c r="N36" s="268">
        <f>IFERROR(N32/N21,"")</f>
        <v>0.114301801801802</v>
      </c>
      <c r="O36" s="268">
        <f>IFERROR(O32/O21,"")</f>
        <v>0.114905284147557</v>
      </c>
      <c r="P36" s="268">
        <f>IFERROR(P32/P21,"")</f>
        <v>0.124834699814864</v>
      </c>
      <c r="Q36" s="268">
        <f>IFERROR(Q32/Q21,"")</f>
        <v>0.105767228815324</v>
      </c>
      <c r="R36" s="269">
        <f>IFERROR(R32/R21,"")</f>
        <v>0.114379489720089</v>
      </c>
      <c r="S36" s="268">
        <f>IFERROR(S32/S21,"")</f>
        <v>0.0997150997150997</v>
      </c>
      <c r="T36" s="268">
        <f>IFERROR(T32/T21,"")</f>
        <v>0.116499871696177</v>
      </c>
      <c r="U36" s="268">
        <f>IFERROR(U32/U21,"")</f>
        <v>0.116961902450861</v>
      </c>
      <c r="V36" s="268">
        <f>IFERROR(V32/V21,"")</f>
        <v>0.122903842071747</v>
      </c>
      <c r="W36" s="269">
        <f>IFERROR(W32/W21,"")</f>
        <v>0.114846973335797</v>
      </c>
      <c r="X36" s="268">
        <f>IFERROR(X32/X21,"")</f>
        <v>0.105185909980431</v>
      </c>
      <c r="Y36" s="268">
        <f>IFERROR(Y32/Y21,"")</f>
        <v>0.108839050131926</v>
      </c>
      <c r="Z36" s="268">
        <f>IFERROR(Z32/Z21,"")</f>
        <v>0.110602244103504</v>
      </c>
      <c r="AA36" s="268">
        <f>IFERROR(AA32/AA21,"")</f>
        <v>0.120394273644684</v>
      </c>
      <c r="AB36" s="269">
        <f>IFERROR(AB32/AB21,"")</f>
        <v>0.111272011121409</v>
      </c>
      <c r="AC36" s="268">
        <f>IFERROR(AC32/AC21,"")</f>
        <v>0.120378927911275</v>
      </c>
      <c r="AD36" s="268">
        <f>IFERROR(AD32/AD21,"")</f>
        <v>-0.0430538172715895</v>
      </c>
      <c r="AE36" s="268">
        <f>IFERROR(AE32/AE21,"")</f>
        <v>0.115710038874914</v>
      </c>
      <c r="AF36" s="268">
        <f>IFERROR(AF32/AF21,"")</f>
        <v>0.101386481802426</v>
      </c>
      <c r="AG36" s="269">
        <f>IFERROR(AG32/AG21,"")</f>
        <v>0.0764209796672828</v>
      </c>
      <c r="AH36" s="269">
        <f>IFERROR(AH32/AH21,"")</f>
        <v>0.10598847406665</v>
      </c>
      <c r="AI36" s="269">
        <f>IFERROR(AI32/AI21,"")</f>
        <v>0.100367478180983</v>
      </c>
    </row>
    <row r="37">
      <c r="C37" s="14" t="inlineStr">
        <is>
          <t xml:space="preserve">   Margem Space</t>
        </is>
      </c>
      <c r="D37" s="268">
        <f>IFERROR(D33/D22,"")</f>
        <v>0.0963318477888241</v>
      </c>
      <c r="E37" s="268">
        <f>IFERROR(E33/E22,"")</f>
        <v>0.0875912408759124</v>
      </c>
      <c r="F37" s="268">
        <f>IFERROR(F33/F22,"")</f>
        <v>0.0871398453970485</v>
      </c>
      <c r="G37" s="268">
        <f>IFERROR(G33/G22,"")</f>
        <v>0.11358024691358</v>
      </c>
      <c r="H37" s="269">
        <f>IFERROR(H33/H22,"")</f>
        <v>0.0967171717171717</v>
      </c>
      <c r="I37" s="268">
        <f>IFERROR(I33/I22,"")</f>
        <v>0.0752902155887231</v>
      </c>
      <c r="J37" s="268">
        <f>IFERROR(J33/J22,"")</f>
        <v>0.105445388731508</v>
      </c>
      <c r="K37" s="268">
        <f>IFERROR(K33/K22,"")</f>
        <v>0.0978140051871063</v>
      </c>
      <c r="L37" s="268">
        <f>IFERROR(L33/L22,"")</f>
        <v>0.105371193978789</v>
      </c>
      <c r="M37" s="269">
        <f>IFERROR(M33/M22,"")</f>
        <v>0.09598781107161</v>
      </c>
      <c r="N37" s="268">
        <f>IFERROR(N33/N22,"")</f>
        <v>0.0969128565846034</v>
      </c>
      <c r="O37" s="268">
        <f>IFERROR(O33/O22,"")</f>
        <v>0.095929203539823</v>
      </c>
      <c r="P37" s="268">
        <f>IFERROR(P33/P22,"")</f>
        <v>0.105482303955586</v>
      </c>
      <c r="Q37" s="268">
        <f>IFERROR(Q33/Q22,"")</f>
        <v>0.0707287201469688</v>
      </c>
      <c r="R37" s="269">
        <f>IFERROR(R33/R22,"")</f>
        <v>0.0913978494623656</v>
      </c>
      <c r="S37" s="268">
        <f>IFERROR(S33/S22,"")</f>
        <v>0.09462656302805</v>
      </c>
      <c r="T37" s="268">
        <f>IFERROR(T33/T22,"")</f>
        <v>0.098547062539482</v>
      </c>
      <c r="U37" s="268">
        <f>IFERROR(U33/U22,"")</f>
        <v>0.0835214446952596</v>
      </c>
      <c r="V37" s="268">
        <f>IFERROR(V33/V22,"")</f>
        <v>0.0908552826279964</v>
      </c>
      <c r="W37" s="269">
        <f>IFERROR(W33/W22,"")</f>
        <v>0.0918683062276874</v>
      </c>
      <c r="X37" s="268">
        <f>IFERROR(X33/X22,"")</f>
        <v>0.0994187825022943</v>
      </c>
      <c r="Y37" s="268">
        <f>IFERROR(Y33/Y22,"")</f>
        <v>0.10829420970266</v>
      </c>
      <c r="Z37" s="268">
        <f>IFERROR(Z33/Z22,"")</f>
        <v>0.0884552845528455</v>
      </c>
      <c r="AA37" s="268">
        <f>IFERROR(AA33/AA22,"")</f>
        <v>0.0962585034013605</v>
      </c>
      <c r="AB37" s="269">
        <f>IFERROR(AB33/AB22,"")</f>
        <v>0.0982450516868339</v>
      </c>
      <c r="AC37" s="268">
        <f>IFERROR(AC33/AC22,"")</f>
        <v>0.118252730109204</v>
      </c>
      <c r="AD37" s="268">
        <f>IFERROR(AD33/AD22,"")</f>
        <v>0.109464771696402</v>
      </c>
      <c r="AE37" s="268">
        <f>IFERROR(AE33/AE22,"")</f>
        <v>0.0986293206197855</v>
      </c>
      <c r="AF37" s="268">
        <f>IFERROR(AF33/AF22,"")</f>
        <v>0.0863650743435622</v>
      </c>
      <c r="AG37" s="269">
        <f>IFERROR(AG33/AG22,"")</f>
        <v>0.103231253357894</v>
      </c>
      <c r="AH37" s="269">
        <f>IFERROR(AH33/AH22,"")</f>
        <v>0.0819719953325554</v>
      </c>
      <c r="AI37" s="269">
        <f>IFERROR(AI33/AI22,"")</f>
        <v>0.106121281464531</v>
      </c>
    </row>
    <row r="38"/>
    <row r="39">
      <c r="C39" s="12" t="inlineStr">
        <is>
          <t>Outras aberturas (USD milhões)</t>
        </is>
      </c>
      <c r="D39" s="12" t="str">
        <f>D7</f>
        <v>1Q20</v>
      </c>
      <c r="E39" s="12" t="str">
        <f>E7</f>
        <v>2Q20</v>
      </c>
      <c r="F39" s="12" t="str">
        <f>F7</f>
        <v>3Q20</v>
      </c>
      <c r="G39" s="12" t="str">
        <f>G7</f>
        <v>4Q20</v>
      </c>
      <c r="H39" s="12">
        <f>H7</f>
        <v>2020</v>
      </c>
      <c r="I39" s="12" t="str">
        <f>I7</f>
        <v>1Q21</v>
      </c>
      <c r="J39" s="12" t="str">
        <f>J7</f>
        <v>2Q21</v>
      </c>
      <c r="K39" s="12" t="str">
        <f>K7</f>
        <v>3Q21</v>
      </c>
      <c r="L39" s="12" t="str">
        <f>L7</f>
        <v>4Q21</v>
      </c>
      <c r="M39" s="12">
        <f>M7</f>
        <v>2021</v>
      </c>
      <c r="N39" s="12" t="str">
        <f>N7</f>
        <v>1Q22</v>
      </c>
      <c r="O39" s="12" t="str">
        <f>O7</f>
        <v>2Q22</v>
      </c>
      <c r="P39" s="12" t="str">
        <f>P7</f>
        <v>3Q22</v>
      </c>
      <c r="Q39" s="12" t="str">
        <f>Q7</f>
        <v>4Q22</v>
      </c>
      <c r="R39" s="12">
        <f>R7</f>
        <v>2022</v>
      </c>
      <c r="S39" s="12" t="str">
        <f>S7</f>
        <v>1Q23</v>
      </c>
      <c r="T39" s="12" t="str">
        <f>T7</f>
        <v>2Q23</v>
      </c>
      <c r="U39" s="12" t="str">
        <f>U7</f>
        <v>3Q23</v>
      </c>
      <c r="V39" s="12" t="str">
        <f>V7</f>
        <v>4Q23</v>
      </c>
      <c r="W39" s="12">
        <f>W7</f>
        <v>2023</v>
      </c>
      <c r="X39" s="12" t="str">
        <f>X7</f>
        <v>1Q24</v>
      </c>
      <c r="Y39" s="12" t="str">
        <f>Y7</f>
        <v>2Q24</v>
      </c>
      <c r="Z39" s="12" t="str">
        <f>Z7</f>
        <v>3Q24</v>
      </c>
      <c r="AA39" s="12" t="str">
        <f>AA7</f>
        <v>4Q24</v>
      </c>
      <c r="AB39" s="12">
        <f>AB7</f>
        <v>2024</v>
      </c>
      <c r="AC39" s="12" t="str">
        <f>AC7</f>
        <v>1Q25</v>
      </c>
      <c r="AD39" s="12" t="str">
        <f>AD7</f>
        <v>2Q25</v>
      </c>
      <c r="AE39" s="12" t="str">
        <f>AE7</f>
        <v>3Q25</v>
      </c>
      <c r="AF39" s="12" t="str">
        <f>AF7</f>
        <v>4Q25</v>
      </c>
      <c r="AG39" s="12">
        <f>AG7</f>
        <v>2025</v>
      </c>
      <c r="AH39" s="12" t="str">
        <f>AH7</f>
        <v>1Q26</v>
      </c>
      <c r="AI39" s="12" t="str">
        <f>AI7</f>
        <v>2Q26</v>
      </c>
    </row>
    <row r="40">
      <c r="C40" s="14" t="inlineStr">
        <is>
          <t xml:space="preserve">   Receita de produtos</t>
        </is>
      </c>
      <c r="D40" s="265">
        <f>IFERROR(INDEX('Inputs (2)'!$D$61:$AL$61,MATCH(D$7,'Inputs (2)'!$D$2:$AL$2,0)),"")</f>
        <v>13166</v>
      </c>
      <c r="E40" s="265">
        <f>IFERROR(INDEX('Inputs (2)'!$D$61:$AL$61,MATCH(E$7,'Inputs (2)'!$D$2:$AL$2,0)),"")</f>
        <v>13572</v>
      </c>
      <c r="F40" s="265">
        <f>IFERROR(INDEX('Inputs (2)'!$D$61:$AL$61,MATCH(F$7,'Inputs (2)'!$D$2:$AL$2,0)),"")</f>
        <v>13869</v>
      </c>
      <c r="G40" s="265">
        <f>IFERROR(INDEX('Inputs (2)'!$D$61:$AL$61,MATCH(G$7,'Inputs (2)'!$D$2:$AL$2,0)),"")</f>
        <v>14321</v>
      </c>
      <c r="H40" s="266">
        <f>IF(COUNT(D40:G40)=4,SUM(D40:G40),"")</f>
        <v>54928</v>
      </c>
      <c r="I40" s="265">
        <f>IFERROR(INDEX('Inputs (2)'!$D$61:$AL$61,MATCH(I$7,'Inputs (2)'!$D$2:$AL$2,0)),"")</f>
        <v>13753</v>
      </c>
      <c r="J40" s="265">
        <f>IFERROR(INDEX('Inputs (2)'!$D$61:$AL$61,MATCH(J$7,'Inputs (2)'!$D$2:$AL$2,0)),"")</f>
        <v>14258</v>
      </c>
      <c r="K40" s="265">
        <f>IFERROR(INDEX('Inputs (2)'!$D$61:$AL$61,MATCH(K$7,'Inputs (2)'!$D$2:$AL$2,0)),"")</f>
        <v>13475</v>
      </c>
      <c r="L40" s="265">
        <f>IFERROR(INDEX('Inputs (2)'!$D$61:$AL$61,MATCH(L$7,'Inputs (2)'!$D$2:$AL$2,0)),"")</f>
        <v>14949</v>
      </c>
      <c r="M40" s="266">
        <f>IF(COUNT(I40:L40)=4,SUM(I40:L40),"")</f>
        <v>56435</v>
      </c>
      <c r="N40" s="265">
        <f>IFERROR(INDEX('Inputs (2)'!$D$61:$AL$61,MATCH(N$7,'Inputs (2)'!$D$2:$AL$2,0)),"")</f>
        <v>12494</v>
      </c>
      <c r="O40" s="265">
        <f>IFERROR(INDEX('Inputs (2)'!$D$61:$AL$61,MATCH(O$7,'Inputs (2)'!$D$2:$AL$2,0)),"")</f>
        <v>12761</v>
      </c>
      <c r="P40" s="265">
        <f>IFERROR(INDEX('Inputs (2)'!$D$61:$AL$61,MATCH(P$7,'Inputs (2)'!$D$2:$AL$2,0)),"")</f>
        <v>14011</v>
      </c>
      <c r="Q40" s="265">
        <f>IFERROR(INDEX('Inputs (2)'!$D$61:$AL$61,MATCH(Q$7,'Inputs (2)'!$D$2:$AL$2,0)),"")</f>
        <v>16200</v>
      </c>
      <c r="R40" s="266">
        <f>IF(COUNT(N40:Q40)=4,SUM(N40:Q40),"")</f>
        <v>55466</v>
      </c>
      <c r="S40" s="265">
        <f>IFERROR(INDEX('Inputs (2)'!$D$61:$AL$61,MATCH(S$7,'Inputs (2)'!$D$2:$AL$2,0)),"")</f>
        <v>12526</v>
      </c>
      <c r="T40" s="265">
        <f>IFERROR(INDEX('Inputs (2)'!$D$61:$AL$61,MATCH(T$7,'Inputs (2)'!$D$2:$AL$2,0)),"")</f>
        <v>13758</v>
      </c>
      <c r="U40" s="265">
        <f>IFERROR(INDEX('Inputs (2)'!$D$61:$AL$61,MATCH(U$7,'Inputs (2)'!$D$2:$AL$2,0)),"")</f>
        <v>14014</v>
      </c>
      <c r="V40" s="265">
        <f>IFERROR(INDEX('Inputs (2)'!$D$61:$AL$61,MATCH(V$7,'Inputs (2)'!$D$2:$AL$2,0)),"")</f>
        <v>15967</v>
      </c>
      <c r="W40" s="266">
        <f>IF(COUNT(S40:V40)=4,SUM(S40:V40),"")</f>
        <v>56265</v>
      </c>
      <c r="X40" s="265">
        <f>IFERROR(INDEX('Inputs (2)'!$D$61:$AL$61,MATCH(X$7,'Inputs (2)'!$D$2:$AL$2,0)),"")</f>
        <v>14196</v>
      </c>
      <c r="Y40" s="265">
        <f>IFERROR(INDEX('Inputs (2)'!$D$61:$AL$61,MATCH(Y$7,'Inputs (2)'!$D$2:$AL$2,0)),"")</f>
        <v>15109</v>
      </c>
      <c r="Z40" s="265">
        <f>IFERROR(INDEX('Inputs (2)'!$D$61:$AL$61,MATCH(Z$7,'Inputs (2)'!$D$2:$AL$2,0)),"")</f>
        <v>14472</v>
      </c>
      <c r="AA40" s="265">
        <f>IFERROR(INDEX('Inputs (2)'!$D$61:$AL$61,MATCH(AA$7,'Inputs (2)'!$D$2:$AL$2,0)),"")</f>
        <v>15500</v>
      </c>
      <c r="AB40" s="266">
        <f>IF(COUNT(X40:AA40)=4,SUM(X40:AA40),"")</f>
        <v>59277</v>
      </c>
      <c r="AC40" s="265">
        <f>IFERROR(INDEX('Inputs (2)'!$D$61:$AL$61,MATCH(AC$7,'Inputs (2)'!$D$2:$AL$2,0)),"")</f>
        <v>14936</v>
      </c>
      <c r="AD40" s="265">
        <f>IFERROR(INDEX('Inputs (2)'!$D$61:$AL$61,MATCH(AD$7,'Inputs (2)'!$D$2:$AL$2,0)),"")</f>
        <v>15149</v>
      </c>
      <c r="AE40" s="265">
        <f>IFERROR(INDEX('Inputs (2)'!$D$61:$AL$61,MATCH(AE$7,'Inputs (2)'!$D$2:$AL$2,0)),"")</f>
        <v>15311</v>
      </c>
      <c r="AF40" s="265">
        <f>IFERROR(INDEX('Inputs (2)'!$D$61:$AL$61,MATCH(AF$7,'Inputs (2)'!$D$2:$AL$2,0)),"")</f>
        <v>17258</v>
      </c>
      <c r="AG40" s="266">
        <f>IF(COUNT(AC40:AF40)=4,SUM(AC40:AF40),"")</f>
        <v>62654</v>
      </c>
      <c r="AH40" s="266">
        <f>IFERROR(INDEX('Inputs (2)'!$D$61:$AL$61,MATCH(AH$7,'Inputs (2)'!$D$2:$AL$2,0)),"")</f>
        <v>14831</v>
      </c>
      <c r="AI40" s="266">
        <f>IFERROR(INDEX('Inputs (2)'!$D$61:$AL$61,MATCH(AI$7,'Inputs (2)'!$D$2:$AL$2,0)),"")</f>
        <v>16783</v>
      </c>
    </row>
    <row r="41">
      <c r="C41" s="14" t="inlineStr">
        <is>
          <t xml:space="preserve">   Receita de serviços</t>
        </is>
      </c>
      <c r="D41" s="265">
        <f>IFERROR(INDEX('Inputs (2)'!$D$62:$AL$62,MATCH(D$7,'Inputs (2)'!$D$2:$AL$2,0)),"")</f>
        <v>2485</v>
      </c>
      <c r="E41" s="265">
        <f>IFERROR(INDEX('Inputs (2)'!$D$62:$AL$62,MATCH(E$7,'Inputs (2)'!$D$2:$AL$2,0)),"")</f>
        <v>2648</v>
      </c>
      <c r="F41" s="265">
        <f>IFERROR(INDEX('Inputs (2)'!$D$62:$AL$62,MATCH(F$7,'Inputs (2)'!$D$2:$AL$2,0)),"")</f>
        <v>2626</v>
      </c>
      <c r="G41" s="265">
        <f>IFERROR(INDEX('Inputs (2)'!$D$62:$AL$62,MATCH(G$7,'Inputs (2)'!$D$2:$AL$2,0)),"")</f>
        <v>2711</v>
      </c>
      <c r="H41" s="266">
        <f>IF(COUNT(D41:G41)=4,SUM(D41:G41),"")</f>
        <v>10470</v>
      </c>
      <c r="I41" s="265">
        <f>IFERROR(INDEX('Inputs (2)'!$D$62:$AL$62,MATCH(I$7,'Inputs (2)'!$D$2:$AL$2,0)),"")</f>
        <v>2505</v>
      </c>
      <c r="J41" s="265">
        <f>IFERROR(INDEX('Inputs (2)'!$D$62:$AL$62,MATCH(J$7,'Inputs (2)'!$D$2:$AL$2,0)),"")</f>
        <v>2771</v>
      </c>
      <c r="K41" s="265">
        <f>IFERROR(INDEX('Inputs (2)'!$D$62:$AL$62,MATCH(K$7,'Inputs (2)'!$D$2:$AL$2,0)),"")</f>
        <v>2553</v>
      </c>
      <c r="L41" s="265">
        <f>IFERROR(INDEX('Inputs (2)'!$D$62:$AL$62,MATCH(L$7,'Inputs (2)'!$D$2:$AL$2,0)),"")</f>
        <v>2780</v>
      </c>
      <c r="M41" s="266">
        <f>IF(COUNT(I41:L41)=4,SUM(I41:L41),"")</f>
        <v>10609</v>
      </c>
      <c r="N41" s="265">
        <f>IFERROR(INDEX('Inputs (2)'!$D$62:$AL$62,MATCH(N$7,'Inputs (2)'!$D$2:$AL$2,0)),"")</f>
        <v>2470</v>
      </c>
      <c r="O41" s="265">
        <f>IFERROR(INDEX('Inputs (2)'!$D$62:$AL$62,MATCH(O$7,'Inputs (2)'!$D$2:$AL$2,0)),"")</f>
        <v>2685</v>
      </c>
      <c r="P41" s="265">
        <f>IFERROR(INDEX('Inputs (2)'!$D$62:$AL$62,MATCH(P$7,'Inputs (2)'!$D$2:$AL$2,0)),"")</f>
        <v>2572</v>
      </c>
      <c r="Q41" s="265">
        <f>IFERROR(INDEX('Inputs (2)'!$D$62:$AL$62,MATCH(Q$7,'Inputs (2)'!$D$2:$AL$2,0)),"")</f>
        <v>2791</v>
      </c>
      <c r="R41" s="266">
        <f>IF(COUNT(N41:Q41)=4,SUM(N41:Q41),"")</f>
        <v>10518</v>
      </c>
      <c r="S41" s="265">
        <f>IFERROR(INDEX('Inputs (2)'!$D$62:$AL$62,MATCH(S$7,'Inputs (2)'!$D$2:$AL$2,0)),"")</f>
        <v>2600</v>
      </c>
      <c r="T41" s="265">
        <f>IFERROR(INDEX('Inputs (2)'!$D$62:$AL$62,MATCH(T$7,'Inputs (2)'!$D$2:$AL$2,0)),"")</f>
        <v>2935</v>
      </c>
      <c r="U41" s="265">
        <f>IFERROR(INDEX('Inputs (2)'!$D$62:$AL$62,MATCH(U$7,'Inputs (2)'!$D$2:$AL$2,0)),"")</f>
        <v>2864</v>
      </c>
      <c r="V41" s="265">
        <f>IFERROR(INDEX('Inputs (2)'!$D$62:$AL$62,MATCH(V$7,'Inputs (2)'!$D$2:$AL$2,0)),"")</f>
        <v>2907</v>
      </c>
      <c r="W41" s="266">
        <f>IF(COUNT(S41:V41)=4,SUM(S41:V41),"")</f>
        <v>11306</v>
      </c>
      <c r="X41" s="265">
        <f>IFERROR(INDEX('Inputs (2)'!$D$62:$AL$62,MATCH(X$7,'Inputs (2)'!$D$2:$AL$2,0)),"")</f>
        <v>2999</v>
      </c>
      <c r="Y41" s="265">
        <f>IFERROR(INDEX('Inputs (2)'!$D$62:$AL$62,MATCH(Y$7,'Inputs (2)'!$D$2:$AL$2,0)),"")</f>
        <v>3013</v>
      </c>
      <c r="Z41" s="265">
        <f>IFERROR(INDEX('Inputs (2)'!$D$62:$AL$62,MATCH(Z$7,'Inputs (2)'!$D$2:$AL$2,0)),"")</f>
        <v>2632</v>
      </c>
      <c r="AA41" s="265">
        <f>IFERROR(INDEX('Inputs (2)'!$D$62:$AL$62,MATCH(AA$7,'Inputs (2)'!$D$2:$AL$2,0)),"")</f>
        <v>3122</v>
      </c>
      <c r="AB41" s="266">
        <f>IF(COUNT(X41:AA41)=4,SUM(X41:AA41),"")</f>
        <v>11766</v>
      </c>
      <c r="AC41" s="265">
        <f>IFERROR(INDEX('Inputs (2)'!$D$62:$AL$62,MATCH(AC$7,'Inputs (2)'!$D$2:$AL$2,0)),"")</f>
        <v>3027</v>
      </c>
      <c r="AD41" s="265">
        <f>IFERROR(INDEX('Inputs (2)'!$D$62:$AL$62,MATCH(AD$7,'Inputs (2)'!$D$2:$AL$2,0)),"")</f>
        <v>3006</v>
      </c>
      <c r="AE41" s="265">
        <f>IFERROR(INDEX('Inputs (2)'!$D$62:$AL$62,MATCH(AE$7,'Inputs (2)'!$D$2:$AL$2,0)),"")</f>
        <v>3298</v>
      </c>
      <c r="AF41" s="265">
        <f>IFERROR(INDEX('Inputs (2)'!$D$62:$AL$62,MATCH(AF$7,'Inputs (2)'!$D$2:$AL$2,0)),"")</f>
        <v>3063</v>
      </c>
      <c r="AG41" s="266">
        <f>IF(COUNT(AC41:AF41)=4,SUM(AC41:AF41),"")</f>
        <v>12394</v>
      </c>
      <c r="AH41" s="266">
        <f>IFERROR(INDEX('Inputs (2)'!$D$62:$AL$62,MATCH(AH$7,'Inputs (2)'!$D$2:$AL$2,0)),"")</f>
        <v>3190</v>
      </c>
      <c r="AI41" s="266">
        <f>IFERROR(INDEX('Inputs (2)'!$D$62:$AL$62,MATCH(AI$7,'Inputs (2)'!$D$2:$AL$2,0)),"")</f>
        <v>3280</v>
      </c>
    </row>
    <row r="42"/>
    <row r="43" hidden="1" outlineLevel="1" customFormat="1" s="23">
      <c r="A43" s="18" t="n"/>
      <c r="B43" s="19" t="n"/>
      <c r="C43" s="20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</row>
    <row r="44" hidden="1" outlineLevel="1" customFormat="1" s="23">
      <c r="A44" s="18" t="n"/>
      <c r="B44" s="19" t="n"/>
      <c r="C44" s="20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  <c r="CA44" s="21" t="n"/>
      <c r="CB44" s="21" t="n"/>
      <c r="CC44" s="21" t="n"/>
      <c r="CD44" s="21" t="n"/>
      <c r="CE44" s="21" t="n"/>
      <c r="CF44" s="21" t="n"/>
      <c r="CG44" s="21" t="n"/>
      <c r="CH44" s="21" t="n"/>
      <c r="CI44" s="21" t="n"/>
      <c r="CJ44" s="21" t="n"/>
      <c r="CK44" s="21" t="n"/>
      <c r="CL44" s="21" t="n"/>
      <c r="CM44" s="21" t="n"/>
      <c r="CN44" s="21" t="n"/>
      <c r="CO44" s="21" t="n"/>
      <c r="CP44" s="21" t="n"/>
      <c r="CQ44" s="21" t="n"/>
      <c r="CR44" s="21" t="n"/>
      <c r="CS44" s="21" t="n"/>
      <c r="CT44" s="21" t="n"/>
      <c r="CU44" s="21" t="n"/>
      <c r="CV44" s="21" t="n"/>
      <c r="CW44" s="21" t="n"/>
      <c r="CX44" s="21" t="n"/>
      <c r="CY44" s="21" t="n"/>
    </row>
    <row r="45" collapsed="1">
      <c r="C45" s="24" t="inlineStr">
        <is>
          <t>COGS (cash)</t>
        </is>
      </c>
      <c r="D45" s="25">
        <f>INDEX('Inputs (2)'!$D$5:$AL$5,MATCH(D$7,'Inputs (2)'!$D$2:$AL$2,0))</f>
        <v>-13560</v>
      </c>
      <c r="E45" s="25">
        <f>INDEX('Inputs (2)'!$D$5:$AL$5,MATCH(E$7,'Inputs (2)'!$D$2:$AL$2,0))</f>
        <v>-14007</v>
      </c>
      <c r="F45" s="25">
        <f>INDEX('Inputs (2)'!$D$5:$AL$5,MATCH(F$7,'Inputs (2)'!$D$2:$AL$2,0))</f>
        <v>-14359</v>
      </c>
      <c r="G45" s="25">
        <f>INDEX('Inputs (2)'!$D$5:$AL$5,MATCH(G$7,'Inputs (2)'!$D$2:$AL$2,0))</f>
        <v>-14818</v>
      </c>
      <c r="H45" s="3">
        <f>SUM(D45:G45)</f>
        <v>-56744</v>
      </c>
      <c r="I45" s="25">
        <f>INDEX('Inputs (2)'!$D$5:$AL$5,MATCH(I$7,'Inputs (2)'!$D$2:$AL$2,0))</f>
        <v>-14072</v>
      </c>
      <c r="J45" s="25">
        <f>INDEX('Inputs (2)'!$D$5:$AL$5,MATCH(J$7,'Inputs (2)'!$D$2:$AL$2,0))</f>
        <v>-14878</v>
      </c>
      <c r="K45" s="25">
        <f>INDEX('Inputs (2)'!$D$5:$AL$5,MATCH(K$7,'Inputs (2)'!$D$2:$AL$2,0))</f>
        <v>-13726</v>
      </c>
      <c r="L45" s="25">
        <f>INDEX('Inputs (2)'!$D$5:$AL$5,MATCH(L$7,'Inputs (2)'!$D$2:$AL$2,0))</f>
        <v>-15307</v>
      </c>
      <c r="M45" s="3">
        <f>SUM(I45:L45)</f>
        <v>-57983</v>
      </c>
      <c r="N45" s="25">
        <f>INDEX('Inputs (2)'!$D$5:$AL$5,MATCH(N$7,'Inputs (2)'!$D$2:$AL$2,0))</f>
        <v>-13055</v>
      </c>
      <c r="O45" s="25">
        <f>INDEX('Inputs (2)'!$D$5:$AL$5,MATCH(O$7,'Inputs (2)'!$D$2:$AL$2,0))</f>
        <v>-13490</v>
      </c>
      <c r="P45" s="25">
        <f>INDEX('Inputs (2)'!$D$5:$AL$5,MATCH(P$7,'Inputs (2)'!$D$2:$AL$2,0))</f>
        <v>-14463</v>
      </c>
      <c r="Q45" s="25">
        <f>INDEX('Inputs (2)'!$D$5:$AL$5,MATCH(Q$7,'Inputs (2)'!$D$2:$AL$2,0))</f>
        <v>-16689</v>
      </c>
      <c r="R45" s="3">
        <f>SUM(N45:Q45)</f>
        <v>-57697</v>
      </c>
      <c r="S45" s="25">
        <f>INDEX('Inputs (2)'!$D$5:$AL$5,MATCH(S$7,'Inputs (2)'!$D$2:$AL$2,0))</f>
        <v>-13080</v>
      </c>
      <c r="T45" s="25">
        <f>INDEX('Inputs (2)'!$D$5:$AL$5,MATCH(T$7,'Inputs (2)'!$D$2:$AL$2,0))</f>
        <v>-14603</v>
      </c>
      <c r="U45" s="25">
        <f>INDEX('Inputs (2)'!$D$5:$AL$5,MATCH(U$7,'Inputs (2)'!$D$2:$AL$2,0))</f>
        <v>-14830</v>
      </c>
      <c r="V45" s="25">
        <f>INDEX('Inputs (2)'!$D$5:$AL$5,MATCH(V$7,'Inputs (2)'!$D$2:$AL$2,0))</f>
        <v>-16579</v>
      </c>
      <c r="W45" s="3">
        <f>SUM(S45:V45)</f>
        <v>-59092</v>
      </c>
      <c r="X45" s="25">
        <f>INDEX('Inputs (2)'!$D$5:$AL$5,MATCH(X$7,'Inputs (2)'!$D$2:$AL$2,0))</f>
        <v>-15202</v>
      </c>
      <c r="Y45" s="25">
        <f>INDEX('Inputs (2)'!$D$5:$AL$5,MATCH(Y$7,'Inputs (2)'!$D$2:$AL$2,0))</f>
        <v>-15992</v>
      </c>
      <c r="Z45" s="25">
        <f>INDEX('Inputs (2)'!$D$5:$AL$5,MATCH(Z$7,'Inputs (2)'!$D$2:$AL$2,0))</f>
        <v>-14987</v>
      </c>
      <c r="AA45" s="25">
        <f>INDEX('Inputs (2)'!$D$5:$AL$5,MATCH(AA$7,'Inputs (2)'!$D$2:$AL$2,0))</f>
        <v>-17932</v>
      </c>
      <c r="AB45" s="3">
        <f>SUM(X45:AA45)</f>
        <v>-64113</v>
      </c>
      <c r="AC45" s="25">
        <f>INDEX('Inputs (2)'!$D$5:$AL$5,MATCH(AC$7,'Inputs (2)'!$D$2:$AL$2,0))</f>
        <v>-15640</v>
      </c>
      <c r="AD45" s="25">
        <f>INDEX('Inputs (2)'!$D$5:$AL$5,MATCH(AD$7,'Inputs (2)'!$D$2:$AL$2,0))</f>
        <v>-17421</v>
      </c>
      <c r="AE45" s="25">
        <f>INDEX('Inputs (2)'!$D$5:$AL$5,MATCH(AE$7,'Inputs (2)'!$D$2:$AL$2,0))</f>
        <v>-16369</v>
      </c>
      <c r="AF45" s="25">
        <f>INDEX('Inputs (2)'!$D$5:$AL$5,MATCH(AF$7,'Inputs (2)'!$D$2:$AL$2,0))</f>
        <v>-17999</v>
      </c>
      <c r="AG45" s="3">
        <f>SUM(AC45:AF45)</f>
        <v>-67429</v>
      </c>
      <c r="AH45" s="3">
        <f>INDEX('Inputs (2)'!$D$5:$AL$5,MATCH(AH$7,'Inputs (2)'!$D$2:$AL$2,0))</f>
        <v>-15943</v>
      </c>
      <c r="AI45" s="3">
        <f>INDEX('Inputs (2)'!$D$5:$AL$5,MATCH(AI$7,'Inputs (2)'!$D$2:$AL$2,0))</f>
        <v>-17617</v>
      </c>
      <c r="AJ45" s="3">
        <f>(100%-AJ46)*-AJ15</f>
        <v>-18609</v>
      </c>
      <c r="AK45" s="3">
        <f>(100%-AK46)*-AK15</f>
        <v>-20321</v>
      </c>
      <c r="AL45" s="3">
        <f>SUM(AH45:AK45)</f>
        <v>-72490</v>
      </c>
      <c r="AM45" s="3">
        <f>(100%-AM46)*-AM15</f>
        <v>-18021</v>
      </c>
      <c r="AN45" s="3">
        <f>(100%-AN46)*-AN15</f>
        <v>-20063</v>
      </c>
      <c r="AO45" s="3">
        <f>(100%-AO46)*-AO15</f>
        <v>-18609</v>
      </c>
      <c r="AP45" s="3">
        <f>(100%-AP46)*-AP15</f>
        <v>-20321</v>
      </c>
      <c r="AQ45" s="3">
        <f>SUM(AM45:AP45)</f>
        <v>-77014</v>
      </c>
      <c r="AR45" s="3">
        <f>(100%-AR46)*-AR15</f>
        <v>-18021</v>
      </c>
      <c r="AS45" s="3">
        <f>(100%-AS46)*-AS15</f>
        <v>-20063</v>
      </c>
      <c r="AT45" s="3">
        <f>(100%-AT46)*-AT15</f>
        <v>-18609</v>
      </c>
      <c r="AU45" s="3">
        <f>(100%-AU46)*-AU15</f>
        <v>-20321</v>
      </c>
      <c r="AV45" s="3">
        <f>SUM(AR45:AU45)</f>
        <v>-77014</v>
      </c>
      <c r="AW45" s="3">
        <f>(100%-AW46)*-AW15</f>
        <v>-18021</v>
      </c>
      <c r="AX45" s="3">
        <f>(100%-AX46)*-AX15</f>
        <v>-20063</v>
      </c>
      <c r="AY45" s="3">
        <f>(100%-AY46)*-AY15</f>
        <v>-18609</v>
      </c>
      <c r="AZ45" s="3">
        <f>(100%-AZ46)*-AZ15</f>
        <v>-20321</v>
      </c>
      <c r="BA45" s="3">
        <f>SUM(AW45:AZ45)</f>
        <v>-77014</v>
      </c>
      <c r="BB45" s="3">
        <f>(100%-BB46)*-BB15</f>
        <v>-18021</v>
      </c>
      <c r="BC45" s="3">
        <f>(100%-BC46)*-BC15</f>
        <v>-20063</v>
      </c>
      <c r="BD45" s="3">
        <f>(100%-BD46)*-BD15</f>
        <v>-18609</v>
      </c>
      <c r="BE45" s="3">
        <f>(100%-BE46)*-BE15</f>
        <v>-20321</v>
      </c>
      <c r="BF45" s="3">
        <f>SUM(BB45:BE45)</f>
        <v>-77014</v>
      </c>
      <c r="BG45" s="3">
        <f>(100%-BG46)*-BG15</f>
        <v>-18021</v>
      </c>
      <c r="BH45" s="3">
        <f>(100%-BH46)*-BH15</f>
        <v>-20063</v>
      </c>
      <c r="BI45" s="3">
        <f>(100%-BI46)*-BI15</f>
        <v>-18609</v>
      </c>
      <c r="BJ45" s="3">
        <f>(100%-BJ46)*-BJ15</f>
        <v>-20321</v>
      </c>
      <c r="BK45" s="3">
        <f>SUM(BG45:BJ45)</f>
        <v>-77014</v>
      </c>
      <c r="BL45" s="3">
        <f>(100%-BL46)*-BL15</f>
        <v>-18021</v>
      </c>
      <c r="BM45" s="3">
        <f>(100%-BM46)*-BM15</f>
        <v>-20063</v>
      </c>
      <c r="BN45" s="3">
        <f>(100%-BN46)*-BN15</f>
        <v>-18609</v>
      </c>
      <c r="BO45" s="3">
        <f>(100%-BO46)*-BO15</f>
        <v>-20321</v>
      </c>
      <c r="BP45" s="3">
        <f>SUM(BL45:BO45)</f>
        <v>-77014</v>
      </c>
      <c r="BQ45" s="3">
        <f>(100%-BQ46)*-BQ15</f>
        <v>-18021</v>
      </c>
      <c r="BR45" s="3">
        <f>(100%-BR46)*-BR15</f>
        <v>-20063</v>
      </c>
      <c r="BS45" s="3">
        <f>(100%-BS46)*-BS15</f>
        <v>-18609</v>
      </c>
      <c r="BT45" s="3">
        <f>(100%-BT46)*-BT15</f>
        <v>-20321</v>
      </c>
      <c r="BU45" s="3">
        <f>SUM(BQ45:BT45)</f>
        <v>-77014</v>
      </c>
      <c r="BV45" s="3">
        <f>(100%-BV46)*-BV15</f>
        <v>-18021</v>
      </c>
      <c r="BW45" s="3">
        <f>(100%-BW46)*-BW15</f>
        <v>-20063</v>
      </c>
      <c r="BX45" s="3">
        <f>(100%-BX46)*-BX15</f>
        <v>-18609</v>
      </c>
      <c r="BY45" s="3">
        <f>(100%-BY46)*-BY15</f>
        <v>-20321</v>
      </c>
      <c r="BZ45" s="3">
        <f>SUM(BV45:BY45)</f>
        <v>-77014</v>
      </c>
      <c r="CA45" s="3">
        <f>(100%-CA46)*-CA15</f>
        <v>-18021</v>
      </c>
      <c r="CB45" s="3">
        <f>(100%-CB46)*-CB15</f>
        <v>-20063</v>
      </c>
      <c r="CC45" s="3">
        <f>(100%-CC46)*-CC15</f>
        <v>-18609</v>
      </c>
      <c r="CD45" s="3">
        <f>(100%-CD46)*-CD15</f>
        <v>-20321</v>
      </c>
      <c r="CE45" s="3">
        <f>SUM(CA45:CD45)</f>
        <v>-77014</v>
      </c>
      <c r="CF45" s="3">
        <f>(100%-CF46)*-CF15</f>
        <v>-18021</v>
      </c>
      <c r="CG45" s="3">
        <f>(100%-CG46)*-CG15</f>
        <v>-20063</v>
      </c>
      <c r="CH45" s="3">
        <f>(100%-CH46)*-CH15</f>
        <v>-18609</v>
      </c>
      <c r="CI45" s="3">
        <f>(100%-CI46)*-CI15</f>
        <v>-20321</v>
      </c>
      <c r="CJ45" s="3">
        <f>SUM(CF45:CI45)</f>
        <v>-77014</v>
      </c>
      <c r="CK45" s="3">
        <f>(100%-CK46)*-CK15</f>
        <v>-18021</v>
      </c>
      <c r="CL45" s="3">
        <f>(100%-CL46)*-CL15</f>
        <v>-20063</v>
      </c>
      <c r="CM45" s="3">
        <f>(100%-CM46)*-CM15</f>
        <v>-18609</v>
      </c>
      <c r="CN45" s="3">
        <f>(100%-CN46)*-CN15</f>
        <v>-20321</v>
      </c>
      <c r="CO45" s="3">
        <f>SUM(CK45:CN45)</f>
        <v>-77014</v>
      </c>
      <c r="CP45" s="3">
        <f>(100%-CP46)*-CP15</f>
        <v>-18021</v>
      </c>
      <c r="CQ45" s="3">
        <f>(100%-CQ46)*-CQ15</f>
        <v>-20063</v>
      </c>
      <c r="CR45" s="3">
        <f>(100%-CR46)*-CR15</f>
        <v>-18609</v>
      </c>
      <c r="CS45" s="3">
        <f>(100%-CS46)*-CS15</f>
        <v>-20321</v>
      </c>
      <c r="CT45" s="3">
        <f>SUM(CP45:CS45)</f>
        <v>-77014</v>
      </c>
      <c r="CU45" s="3">
        <f>(100%-CU46)*-CU15</f>
        <v>-18021</v>
      </c>
      <c r="CV45" s="3">
        <f>(100%-CV46)*-CV15</f>
        <v>-20063</v>
      </c>
      <c r="CW45" s="3">
        <f>(100%-CW46)*-CW15</f>
        <v>-18609</v>
      </c>
      <c r="CX45" s="3">
        <f>(100%-CX46)*-CX15</f>
        <v>-20321</v>
      </c>
      <c r="CY45" s="3">
        <f>SUM(CU45:CX45)</f>
        <v>-77014</v>
      </c>
    </row>
    <row r="46" hidden="1" outlineLevel="1" customFormat="1" s="1">
      <c r="C46" s="57" t="inlineStr">
        <is>
          <t>% Gross Margin</t>
        </is>
      </c>
      <c r="D46" s="54">
        <f>(D15+D45)/D$15</f>
        <v>0.133601686793176</v>
      </c>
      <c r="E46" s="54">
        <f>(E15+E45)/E$15</f>
        <v>0.136436498150432</v>
      </c>
      <c r="F46" s="54">
        <f>(F15+F45)/F$15</f>
        <v>0.129493785995756</v>
      </c>
      <c r="G46" s="54">
        <f>(G15+G45)/G$15</f>
        <v>0.129990605918272</v>
      </c>
      <c r="H46" s="54">
        <f>(H15+H45)/H$15</f>
        <v>0.132328205755528</v>
      </c>
      <c r="I46" s="54">
        <f>(I15+I45)/I$15</f>
        <v>0.134456882765408</v>
      </c>
      <c r="J46" s="54">
        <f>(J15+J45)/J$15</f>
        <v>0.12631393505197</v>
      </c>
      <c r="K46" s="54">
        <f>(K15+K45)/K$15</f>
        <v>0.143623658597454</v>
      </c>
      <c r="L46" s="54">
        <f>(L15+L45)/L$15</f>
        <v>0.136612330080659</v>
      </c>
      <c r="M46" s="54">
        <f>(M15+M45)/M$15</f>
        <v>0.135150050712965</v>
      </c>
      <c r="N46" s="54">
        <f>(N15+N45)/N$15</f>
        <v>0.127572841486234</v>
      </c>
      <c r="O46" s="54">
        <f>(O15+O45)/O$15</f>
        <v>0.126634727437524</v>
      </c>
      <c r="P46" s="54">
        <f>(P15+P45)/P$15</f>
        <v>0.127841765663631</v>
      </c>
      <c r="Q46" s="54">
        <f>(Q15+Q45)/Q$15</f>
        <v>0.121215312516455</v>
      </c>
      <c r="R46" s="54">
        <f>(R15+R45)/R$15</f>
        <v>0.125591052376334</v>
      </c>
      <c r="S46" s="54">
        <f>(S15+S45)/S$15</f>
        <v>0.135263784212614</v>
      </c>
      <c r="T46" s="54">
        <f>(T15+T45)/T$15</f>
        <v>0.125202180554724</v>
      </c>
      <c r="U46" s="54">
        <f>(U15+U45)/U$15</f>
        <v>0.12134139116009</v>
      </c>
      <c r="V46" s="54">
        <f>(V15+V45)/V$15</f>
        <v>0.121595846137544</v>
      </c>
      <c r="W46" s="54">
        <f>(W15+W45)/W$15</f>
        <v>0.125482825472466</v>
      </c>
      <c r="X46" s="54">
        <f>(X15+X45)/X$15</f>
        <v>0.115905786565862</v>
      </c>
      <c r="Y46" s="54">
        <f>(Y15+Y45)/Y$15</f>
        <v>0.117536695728948</v>
      </c>
      <c r="Z46" s="54">
        <f>(Z15+Z45)/Z$15</f>
        <v>0.123772217025257</v>
      </c>
      <c r="AA46" s="54">
        <f>(AA15+AA45)/AA$15</f>
        <v>0.0370529481258726</v>
      </c>
      <c r="AB46" s="54">
        <f>(AB15+AB45)/AB$15</f>
        <v>0.0975465563109666</v>
      </c>
      <c r="AC46" s="54">
        <f>(AC15+AC45)/AC$15</f>
        <v>0.12932138284251</v>
      </c>
      <c r="AD46" s="54">
        <f>(AD15+AD45)/AD$15</f>
        <v>0.0404296337097218</v>
      </c>
      <c r="AE46" s="54">
        <f>(AE15+AE45)/AE$15</f>
        <v>0.120371863077006</v>
      </c>
      <c r="AF46" s="44">
        <f>(AF15+AF45)/AF$15</f>
        <v>0.114266030215048</v>
      </c>
      <c r="AG46" s="54">
        <f>(AG15+AG45)/AG$15</f>
        <v>0.101521692783285</v>
      </c>
      <c r="AH46" s="55">
        <f>(AH15+AH45)/AH$15</f>
        <v>0.115309916208867</v>
      </c>
      <c r="AI46" s="55">
        <f>(AI15+AI45)/AI$15</f>
        <v>0.12191596471116</v>
      </c>
      <c r="AJ46" s="55" t="n"/>
      <c r="AK46" s="55" t="n"/>
      <c r="AL46" s="54">
        <f>(AL15+AL45)/AL$15</f>
        <v>0.0587425662866492</v>
      </c>
      <c r="AM46" s="55" t="n"/>
      <c r="AN46" s="55" t="n"/>
      <c r="AO46" s="55" t="n"/>
      <c r="AP46" s="55" t="n"/>
      <c r="AQ46" s="54">
        <f>(AQ15+AQ45)/AQ$15</f>
        <v>0</v>
      </c>
      <c r="AR46" s="55" t="n"/>
      <c r="AS46" s="55" t="n"/>
      <c r="AT46" s="55" t="n"/>
      <c r="AU46" s="55" t="n"/>
      <c r="AV46" s="54">
        <f>(AV15+AV45)/AV$15</f>
        <v>0</v>
      </c>
      <c r="AW46" s="55" t="n"/>
      <c r="AX46" s="55" t="n"/>
      <c r="AY46" s="55" t="n"/>
      <c r="AZ46" s="55" t="n"/>
      <c r="BA46" s="54">
        <f>(BA15+BA45)/BA$15</f>
        <v>0</v>
      </c>
      <c r="BB46" s="55" t="n"/>
      <c r="BC46" s="55" t="n"/>
      <c r="BD46" s="55" t="n"/>
      <c r="BE46" s="55" t="n"/>
      <c r="BF46" s="54">
        <f>(BF15+BF45)/BF$15</f>
        <v>0</v>
      </c>
      <c r="BG46" s="55" t="n"/>
      <c r="BH46" s="55" t="n"/>
      <c r="BI46" s="55" t="n"/>
      <c r="BJ46" s="55" t="n"/>
      <c r="BK46" s="54">
        <f>(BK15+BK45)/BK$15</f>
        <v>0</v>
      </c>
      <c r="BL46" s="55" t="n"/>
      <c r="BM46" s="55" t="n"/>
      <c r="BN46" s="55" t="n"/>
      <c r="BO46" s="55" t="n"/>
      <c r="BP46" s="54">
        <f>(BP15+BP45)/BP$15</f>
        <v>0</v>
      </c>
      <c r="BQ46" s="55" t="n"/>
      <c r="BR46" s="55" t="n"/>
      <c r="BS46" s="55" t="n"/>
      <c r="BT46" s="55" t="n"/>
      <c r="BU46" s="54">
        <f>(BU15+BU45)/BU$15</f>
        <v>0</v>
      </c>
      <c r="BV46" s="55" t="n"/>
      <c r="BW46" s="55" t="n"/>
      <c r="BX46" s="55" t="n"/>
      <c r="BY46" s="55" t="n"/>
      <c r="BZ46" s="54">
        <f>(BZ15+BZ45)/BZ$15</f>
        <v>0</v>
      </c>
      <c r="CA46" s="55" t="n"/>
      <c r="CB46" s="55" t="n"/>
      <c r="CC46" s="55" t="n"/>
      <c r="CD46" s="55" t="n"/>
      <c r="CE46" s="54">
        <f>(CE15+CE45)/CE$15</f>
        <v>0</v>
      </c>
      <c r="CF46" s="55" t="n"/>
      <c r="CG46" s="55" t="n"/>
      <c r="CH46" s="55" t="n"/>
      <c r="CI46" s="55" t="n"/>
      <c r="CJ46" s="54">
        <f>(CJ15+CJ45)/CJ$15</f>
        <v>0</v>
      </c>
      <c r="CK46" s="55" t="n"/>
      <c r="CL46" s="55" t="n"/>
      <c r="CM46" s="55" t="n"/>
      <c r="CN46" s="55" t="n"/>
      <c r="CO46" s="54">
        <f>(CO15+CO45)/CO$15</f>
        <v>0</v>
      </c>
      <c r="CP46" s="55" t="n"/>
      <c r="CQ46" s="55" t="n"/>
      <c r="CR46" s="55" t="n"/>
      <c r="CS46" s="55" t="n"/>
      <c r="CT46" s="54">
        <f>(CT15+CT45)/CT$15</f>
        <v>0</v>
      </c>
      <c r="CU46" s="55" t="n"/>
      <c r="CV46" s="55" t="n"/>
      <c r="CW46" s="55" t="n"/>
      <c r="CX46" s="55" t="n"/>
      <c r="CY46" s="54">
        <f>(CY15+CY45)/CY$15</f>
        <v>0</v>
      </c>
    </row>
    <row r="47" hidden="1" outlineLevel="1"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  <c r="CU47" s="32" t="n"/>
      <c r="CV47" s="32" t="n"/>
      <c r="CW47" s="32" t="n"/>
      <c r="CX47" s="32" t="n"/>
      <c r="CY47" s="32" t="n"/>
    </row>
    <row r="48" hidden="1" outlineLevel="1"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  <c r="CU48" s="32" t="n"/>
      <c r="CV48" s="32" t="n"/>
      <c r="CW48" s="32" t="n"/>
      <c r="CX48" s="32" t="n"/>
      <c r="CY48" s="32" t="n"/>
    </row>
    <row r="49" collapsed="1">
      <c r="C49" s="24" t="inlineStr">
        <is>
          <t>SG&amp;A and Other (cash)</t>
        </is>
      </c>
      <c r="D49" s="25">
        <f>INDEX('Inputs (2)'!$D$6:$AL$6,MATCH(D$7,'Inputs (2)'!$D$2:$AL$2,0))</f>
        <v>332</v>
      </c>
      <c r="E49" s="25">
        <f>INDEX('Inputs (2)'!$D$6:$AL$6,MATCH(E$7,'Inputs (2)'!$D$2:$AL$2,0))</f>
        <v>180</v>
      </c>
      <c r="F49" s="25">
        <f>INDEX('Inputs (2)'!$D$6:$AL$6,MATCH(F$7,'Inputs (2)'!$D$2:$AL$2,0))</f>
        <v>330</v>
      </c>
      <c r="G49" s="25">
        <f>INDEX('Inputs (2)'!$D$6:$AL$6,MATCH(G$7,'Inputs (2)'!$D$2:$AL$2,0))</f>
        <v>438</v>
      </c>
      <c r="H49" s="3">
        <f>SUM(D49:G49)</f>
        <v>1280</v>
      </c>
      <c r="I49" s="25">
        <f>INDEX('Inputs (2)'!$D$6:$AL$6,MATCH(I$7,'Inputs (2)'!$D$2:$AL$2,0))</f>
        <v>332</v>
      </c>
      <c r="J49" s="25">
        <f>INDEX('Inputs (2)'!$D$6:$AL$6,MATCH(J$7,'Inputs (2)'!$D$2:$AL$2,0))</f>
        <v>375</v>
      </c>
      <c r="K49" s="25">
        <f>INDEX('Inputs (2)'!$D$6:$AL$6,MATCH(K$7,'Inputs (2)'!$D$2:$AL$2,0))</f>
        <v>321</v>
      </c>
      <c r="L49" s="25">
        <f>INDEX('Inputs (2)'!$D$6:$AL$6,MATCH(L$7,'Inputs (2)'!$D$2:$AL$2,0))</f>
        <v>398</v>
      </c>
      <c r="M49" s="3">
        <f>SUM(I49:L49)</f>
        <v>1426</v>
      </c>
      <c r="N49" s="25">
        <f>INDEX('Inputs (2)'!$D$6:$AL$6,MATCH(N$7,'Inputs (2)'!$D$2:$AL$2,0))</f>
        <v>353</v>
      </c>
      <c r="O49" s="25">
        <f>INDEX('Inputs (2)'!$D$6:$AL$6,MATCH(O$7,'Inputs (2)'!$D$2:$AL$2,0))</f>
        <v>350</v>
      </c>
      <c r="P49" s="25">
        <f>INDEX('Inputs (2)'!$D$6:$AL$6,MATCH(P$7,'Inputs (2)'!$D$2:$AL$2,0))</f>
        <v>332</v>
      </c>
      <c r="Q49" s="25">
        <f>INDEX('Inputs (2)'!$D$6:$AL$6,MATCH(Q$7,'Inputs (2)'!$D$2:$AL$2,0))</f>
        <v>430</v>
      </c>
      <c r="R49" s="3">
        <f>SUM(N49:Q49)</f>
        <v>1465</v>
      </c>
      <c r="S49" s="25">
        <f>INDEX('Inputs (2)'!$D$6:$AL$6,MATCH(S$7,'Inputs (2)'!$D$2:$AL$2,0))</f>
        <v>316</v>
      </c>
      <c r="T49" s="25">
        <f>INDEX('Inputs (2)'!$D$6:$AL$6,MATCH(T$7,'Inputs (2)'!$D$2:$AL$2,0))</f>
        <v>379</v>
      </c>
      <c r="U49" s="25">
        <f>INDEX('Inputs (2)'!$D$6:$AL$6,MATCH(U$7,'Inputs (2)'!$D$2:$AL$2,0))</f>
        <v>344</v>
      </c>
      <c r="V49" s="25">
        <f>INDEX('Inputs (2)'!$D$6:$AL$6,MATCH(V$7,'Inputs (2)'!$D$2:$AL$2,0))</f>
        <v>419</v>
      </c>
      <c r="W49" s="3">
        <f>SUM(S49:V49)</f>
        <v>1458</v>
      </c>
      <c r="X49" s="25">
        <f>INDEX('Inputs (2)'!$D$6:$AL$6,MATCH(X$7,'Inputs (2)'!$D$2:$AL$2,0))</f>
        <v>387</v>
      </c>
      <c r="Y49" s="25">
        <f>INDEX('Inputs (2)'!$D$6:$AL$6,MATCH(Y$7,'Inputs (2)'!$D$2:$AL$2,0))</f>
        <v>377</v>
      </c>
      <c r="Z49" s="25">
        <f>INDEX('Inputs (2)'!$D$6:$AL$6,MATCH(Z$7,'Inputs (2)'!$D$2:$AL$2,0))</f>
        <v>413</v>
      </c>
      <c r="AA49" s="25">
        <f>INDEX('Inputs (2)'!$D$6:$AL$6,MATCH(AA$7,'Inputs (2)'!$D$2:$AL$2,0))</f>
        <v>465</v>
      </c>
      <c r="AB49" s="3">
        <f>SUM(X49:AA49)</f>
        <v>1642</v>
      </c>
      <c r="AC49" s="25">
        <f>INDEX('Inputs (2)'!$D$6:$AL$6,MATCH(AC$7,'Inputs (2)'!$D$2:$AL$2,0))</f>
        <v>446</v>
      </c>
      <c r="AD49" s="25">
        <f>INDEX('Inputs (2)'!$D$6:$AL$6,MATCH(AD$7,'Inputs (2)'!$D$2:$AL$2,0))</f>
        <v>413</v>
      </c>
      <c r="AE49" s="25">
        <f>INDEX('Inputs (2)'!$D$6:$AL$6,MATCH(AE$7,'Inputs (2)'!$D$2:$AL$2,0))</f>
        <v>468</v>
      </c>
      <c r="AF49" s="25">
        <f>INDEX('Inputs (2)'!$D$6:$AL$6,MATCH(AF$7,'Inputs (2)'!$D$2:$AL$2,0))</f>
        <v>472</v>
      </c>
      <c r="AG49" s="3">
        <f>SUM(AC49:AF49)</f>
        <v>1799</v>
      </c>
      <c r="AH49" s="3">
        <f>INDEX('Inputs (2)'!$D$6:$AL$6,MATCH(AH$7,'Inputs (2)'!$D$2:$AL$2,0))</f>
        <v>383</v>
      </c>
      <c r="AI49" s="3">
        <f>INDEX('Inputs (2)'!$D$6:$AL$6,MATCH(AI$7,'Inputs (2)'!$D$2:$AL$2,0))</f>
        <v>433</v>
      </c>
      <c r="AJ49" s="3">
        <f>-AJ15*AJ50</f>
        <v>0</v>
      </c>
      <c r="AK49" s="3">
        <f>-AK15*AK50</f>
        <v>0</v>
      </c>
      <c r="AL49" s="3">
        <f>SUM(AH49:AK49)</f>
        <v>816</v>
      </c>
      <c r="AM49" s="3">
        <f>-AM15*AM50</f>
        <v>0</v>
      </c>
      <c r="AN49" s="3">
        <f>-AN15*AN50</f>
        <v>0</v>
      </c>
      <c r="AO49" s="3">
        <f>-AO15*AO50</f>
        <v>0</v>
      </c>
      <c r="AP49" s="3">
        <f>-AP15*AP50</f>
        <v>0</v>
      </c>
      <c r="AQ49" s="3">
        <f>SUM(AM49:AP49)</f>
        <v>0</v>
      </c>
      <c r="AR49" s="3">
        <f>-AR15*AR50</f>
        <v>0</v>
      </c>
      <c r="AS49" s="3">
        <f>-AS15*AS50</f>
        <v>0</v>
      </c>
      <c r="AT49" s="3">
        <f>-AT15*AT50</f>
        <v>0</v>
      </c>
      <c r="AU49" s="3">
        <f>-AU15*AU50</f>
        <v>0</v>
      </c>
      <c r="AV49" s="3">
        <f>SUM(AR49:AU49)</f>
        <v>0</v>
      </c>
      <c r="AW49" s="3">
        <f>-AW15*AW50</f>
        <v>0</v>
      </c>
      <c r="AX49" s="3">
        <f>-AX15*AX50</f>
        <v>0</v>
      </c>
      <c r="AY49" s="3">
        <f>-AY15*AY50</f>
        <v>0</v>
      </c>
      <c r="AZ49" s="3">
        <f>-AZ15*AZ50</f>
        <v>0</v>
      </c>
      <c r="BA49" s="3">
        <f>SUM(AW49:AZ49)</f>
        <v>0</v>
      </c>
      <c r="BB49" s="3">
        <f>-BB15*BB50</f>
        <v>0</v>
      </c>
      <c r="BC49" s="3">
        <f>-BC15*BC50</f>
        <v>0</v>
      </c>
      <c r="BD49" s="3">
        <f>-BD15*BD50</f>
        <v>0</v>
      </c>
      <c r="BE49" s="3">
        <f>-BE15*BE50</f>
        <v>0</v>
      </c>
      <c r="BF49" s="3">
        <f>SUM(BB49:BE49)</f>
        <v>0</v>
      </c>
      <c r="BG49" s="3">
        <f>-BG15*BG50</f>
        <v>0</v>
      </c>
      <c r="BH49" s="3">
        <f>-BH15*BH50</f>
        <v>0</v>
      </c>
      <c r="BI49" s="3">
        <f>-BI15*BI50</f>
        <v>0</v>
      </c>
      <c r="BJ49" s="3">
        <f>-BJ15*BJ50</f>
        <v>0</v>
      </c>
      <c r="BK49" s="3">
        <f>SUM(BG49:BJ49)</f>
        <v>0</v>
      </c>
      <c r="BL49" s="3">
        <f>-BL15*BL50</f>
        <v>0</v>
      </c>
      <c r="BM49" s="3">
        <f>-BM15*BM50</f>
        <v>0</v>
      </c>
      <c r="BN49" s="3">
        <f>-BN15*BN50</f>
        <v>0</v>
      </c>
      <c r="BO49" s="3">
        <f>-BO15*BO50</f>
        <v>0</v>
      </c>
      <c r="BP49" s="3">
        <f>SUM(BL49:BO49)</f>
        <v>0</v>
      </c>
      <c r="BQ49" s="3">
        <f>-BQ15*BQ50</f>
        <v>0</v>
      </c>
      <c r="BR49" s="3">
        <f>-BR15*BR50</f>
        <v>0</v>
      </c>
      <c r="BS49" s="3">
        <f>-BS15*BS50</f>
        <v>0</v>
      </c>
      <c r="BT49" s="3">
        <f>-BT15*BT50</f>
        <v>0</v>
      </c>
      <c r="BU49" s="3">
        <f>SUM(BQ49:BT49)</f>
        <v>0</v>
      </c>
      <c r="BV49" s="3">
        <f>-BV15*BV50</f>
        <v>0</v>
      </c>
      <c r="BW49" s="3">
        <f>-BW15*BW50</f>
        <v>0</v>
      </c>
      <c r="BX49" s="3">
        <f>-BX15*BX50</f>
        <v>0</v>
      </c>
      <c r="BY49" s="3">
        <f>-BY15*BY50</f>
        <v>0</v>
      </c>
      <c r="BZ49" s="3">
        <f>SUM(BV49:BY49)</f>
        <v>0</v>
      </c>
      <c r="CA49" s="3">
        <f>-CA15*CA50</f>
        <v>0</v>
      </c>
      <c r="CB49" s="3">
        <f>-CB15*CB50</f>
        <v>0</v>
      </c>
      <c r="CC49" s="3">
        <f>-CC15*CC50</f>
        <v>0</v>
      </c>
      <c r="CD49" s="3">
        <f>-CD15*CD50</f>
        <v>0</v>
      </c>
      <c r="CE49" s="3">
        <f>SUM(CA49:CD49)</f>
        <v>0</v>
      </c>
      <c r="CF49" s="3">
        <f>-CF15*CF50</f>
        <v>0</v>
      </c>
      <c r="CG49" s="3">
        <f>-CG15*CG50</f>
        <v>0</v>
      </c>
      <c r="CH49" s="3">
        <f>-CH15*CH50</f>
        <v>0</v>
      </c>
      <c r="CI49" s="3">
        <f>-CI15*CI50</f>
        <v>0</v>
      </c>
      <c r="CJ49" s="3">
        <f>SUM(CF49:CI49)</f>
        <v>0</v>
      </c>
      <c r="CK49" s="3">
        <f>-CK15*CK50</f>
        <v>0</v>
      </c>
      <c r="CL49" s="3">
        <f>-CL15*CL50</f>
        <v>0</v>
      </c>
      <c r="CM49" s="3">
        <f>-CM15*CM50</f>
        <v>0</v>
      </c>
      <c r="CN49" s="3">
        <f>-CN15*CN50</f>
        <v>0</v>
      </c>
      <c r="CO49" s="3">
        <f>SUM(CK49:CN49)</f>
        <v>0</v>
      </c>
      <c r="CP49" s="3">
        <f>-CP15*CP50</f>
        <v>0</v>
      </c>
      <c r="CQ49" s="3">
        <f>-CQ15*CQ50</f>
        <v>0</v>
      </c>
      <c r="CR49" s="3">
        <f>-CR15*CR50</f>
        <v>0</v>
      </c>
      <c r="CS49" s="3">
        <f>-CS15*CS50</f>
        <v>0</v>
      </c>
      <c r="CT49" s="3">
        <f>SUM(CP49:CS49)</f>
        <v>0</v>
      </c>
      <c r="CU49" s="3">
        <f>-CU15*CU50</f>
        <v>0</v>
      </c>
      <c r="CV49" s="3">
        <f>-CV15*CV50</f>
        <v>0</v>
      </c>
      <c r="CW49" s="3">
        <f>-CW15*CW50</f>
        <v>0</v>
      </c>
      <c r="CX49" s="3">
        <f>-CX15*CX50</f>
        <v>0</v>
      </c>
      <c r="CY49" s="3">
        <f>SUM(CU49:CX49)</f>
        <v>0</v>
      </c>
    </row>
    <row r="50" hidden="1" outlineLevel="1">
      <c r="C50" s="33" t="inlineStr">
        <is>
          <t>% SG&amp;A and Other Margin</t>
        </is>
      </c>
      <c r="D50" s="56">
        <f>-(D49/D$15)</f>
        <v>-0.0212127020637659</v>
      </c>
      <c r="E50" s="56">
        <f>-(E49/E$15)</f>
        <v>-0.0110974106041924</v>
      </c>
      <c r="F50" s="56">
        <f>-(F49/F$15)</f>
        <v>-0.0200060624431646</v>
      </c>
      <c r="G50" s="56">
        <f>-(G49/G$15)</f>
        <v>-0.025716298731799</v>
      </c>
      <c r="H50" s="56">
        <f>-(H49/H$15)</f>
        <v>-0.0195724639897245</v>
      </c>
      <c r="I50" s="56">
        <f>-(I49/I$15)</f>
        <v>-0.020420715955222</v>
      </c>
      <c r="J50" s="56">
        <f>-(J49/J$15)</f>
        <v>-0.0220212578542486</v>
      </c>
      <c r="K50" s="56">
        <f>-(K49/K$15)</f>
        <v>-0.0200274519590716</v>
      </c>
      <c r="L50" s="56">
        <f>-(L49/L$15)</f>
        <v>-0.022449094703593</v>
      </c>
      <c r="M50" s="56">
        <f>-(M49/M$15)</f>
        <v>-0.0212696139848458</v>
      </c>
      <c r="N50" s="56">
        <f>-(N49/N$15)</f>
        <v>-0.0235899492114408</v>
      </c>
      <c r="O50" s="56">
        <f>-(O49/O$15)</f>
        <v>-0.0226595882429108</v>
      </c>
      <c r="P50" s="56">
        <f>-(P49/P$15)</f>
        <v>-0.0200205029246819</v>
      </c>
      <c r="Q50" s="56">
        <f>-(Q49/Q$15)</f>
        <v>-0.0226423042493813</v>
      </c>
      <c r="R50" s="56">
        <f>-(R49/R$15)</f>
        <v>-0.022202352085354</v>
      </c>
      <c r="S50" s="56">
        <f>-(S49/S$15)</f>
        <v>-0.0208911807483803</v>
      </c>
      <c r="T50" s="56">
        <f>-(T49/T$15)</f>
        <v>-0.0227041274785838</v>
      </c>
      <c r="U50" s="56">
        <f>-(U49/U$15)</f>
        <v>-0.0203815617964214</v>
      </c>
      <c r="V50" s="56">
        <f>-(V49/V$15)</f>
        <v>-0.0221998516477694</v>
      </c>
      <c r="W50" s="56">
        <f>-(W49/W$15)</f>
        <v>-0.0215773038729633</v>
      </c>
      <c r="X50" s="56">
        <f>-(X49/X$15)</f>
        <v>-0.0225065425995929</v>
      </c>
      <c r="Y50" s="56">
        <f>-(Y49/Y$15)</f>
        <v>-0.0208034433285509</v>
      </c>
      <c r="Z50" s="56">
        <f>-(Z49/Z$15)</f>
        <v>-0.0241463985032741</v>
      </c>
      <c r="AA50" s="56">
        <f>-(AA49/AA$15)</f>
        <v>-0.0249704650413489</v>
      </c>
      <c r="AB50" s="56">
        <f>-(AB49/AB$15)</f>
        <v>-0.0231127626930169</v>
      </c>
      <c r="AC50" s="56">
        <f>-(AC49/AC$15)</f>
        <v>-0.0248288147859489</v>
      </c>
      <c r="AD50" s="56">
        <f>-(AD49/AD$15)</f>
        <v>-0.0227485541173231</v>
      </c>
      <c r="AE50" s="56">
        <f>-(AE49/AE$15)</f>
        <v>-0.0251491213928744</v>
      </c>
      <c r="AF50" s="44">
        <f>-(AF49/AF$15)</f>
        <v>-0.0232272033856602</v>
      </c>
      <c r="AG50" s="56">
        <f>-(AG49/AG$15)</f>
        <v>-0.0239713250186547</v>
      </c>
      <c r="AH50" s="45">
        <f>-(AH49/AH$15)</f>
        <v>-0.0212529826313745</v>
      </c>
      <c r="AI50" s="45">
        <f>-(AI49/AI$15)</f>
        <v>-0.0215820166475602</v>
      </c>
      <c r="AJ50" s="45" t="n"/>
      <c r="AK50" s="45" t="n"/>
      <c r="AL50" s="56">
        <f>-(AL49/AL$15)</f>
        <v>-0.010595476147194</v>
      </c>
      <c r="AM50" s="45" t="n"/>
      <c r="AN50" s="45" t="n"/>
      <c r="AO50" s="45" t="n"/>
      <c r="AP50" s="45" t="n"/>
      <c r="AQ50" s="56">
        <f>-(AQ49/AQ$15)</f>
        <v>0</v>
      </c>
      <c r="AR50" s="45" t="n"/>
      <c r="AS50" s="45" t="n"/>
      <c r="AT50" s="45" t="n"/>
      <c r="AU50" s="45" t="n"/>
      <c r="AV50" s="56">
        <f>-(AV49/AV$15)</f>
        <v>0</v>
      </c>
      <c r="AW50" s="45" t="n"/>
      <c r="AX50" s="45" t="n"/>
      <c r="AY50" s="45" t="n"/>
      <c r="AZ50" s="45" t="n"/>
      <c r="BA50" s="56">
        <f>-(BA49/BA$15)</f>
        <v>0</v>
      </c>
      <c r="BB50" s="45" t="n"/>
      <c r="BC50" s="45" t="n"/>
      <c r="BD50" s="45" t="n"/>
      <c r="BE50" s="45" t="n"/>
      <c r="BF50" s="56">
        <f>-(BF49/BF$15)</f>
        <v>0</v>
      </c>
      <c r="BG50" s="45" t="n"/>
      <c r="BH50" s="45" t="n"/>
      <c r="BI50" s="45" t="n"/>
      <c r="BJ50" s="45" t="n"/>
      <c r="BK50" s="56">
        <f>-(BK49/BK$15)</f>
        <v>0</v>
      </c>
      <c r="BL50" s="45" t="n"/>
      <c r="BM50" s="45" t="n"/>
      <c r="BN50" s="45" t="n"/>
      <c r="BO50" s="45" t="n"/>
      <c r="BP50" s="56">
        <f>-(BP49/BP$15)</f>
        <v>0</v>
      </c>
      <c r="BQ50" s="45" t="n"/>
      <c r="BR50" s="45" t="n"/>
      <c r="BS50" s="45" t="n"/>
      <c r="BT50" s="45" t="n"/>
      <c r="BU50" s="56">
        <f>-(BU49/BU$15)</f>
        <v>0</v>
      </c>
      <c r="BV50" s="45" t="n"/>
      <c r="BW50" s="45" t="n"/>
      <c r="BX50" s="45" t="n"/>
      <c r="BY50" s="45" t="n"/>
      <c r="BZ50" s="56">
        <f>-(BZ49/BZ$15)</f>
        <v>0</v>
      </c>
      <c r="CA50" s="45" t="n"/>
      <c r="CB50" s="45" t="n"/>
      <c r="CC50" s="45" t="n"/>
      <c r="CD50" s="45" t="n"/>
      <c r="CE50" s="56">
        <f>-(CE49/CE$15)</f>
        <v>0</v>
      </c>
      <c r="CF50" s="45" t="n"/>
      <c r="CG50" s="45" t="n"/>
      <c r="CH50" s="45" t="n"/>
      <c r="CI50" s="45" t="n"/>
      <c r="CJ50" s="56">
        <f>-(CJ49/CJ$15)</f>
        <v>0</v>
      </c>
      <c r="CK50" s="45" t="n"/>
      <c r="CL50" s="45" t="n"/>
      <c r="CM50" s="45" t="n"/>
      <c r="CN50" s="45" t="n"/>
      <c r="CO50" s="56">
        <f>-(CO49/CO$15)</f>
        <v>0</v>
      </c>
      <c r="CP50" s="45" t="n"/>
      <c r="CQ50" s="45" t="n"/>
      <c r="CR50" s="45" t="n"/>
      <c r="CS50" s="45" t="n"/>
      <c r="CT50" s="56">
        <f>-(CT49/CT$15)</f>
        <v>0</v>
      </c>
      <c r="CU50" s="45" t="n"/>
      <c r="CV50" s="45" t="n"/>
      <c r="CW50" s="45" t="n"/>
      <c r="CX50" s="45" t="n"/>
      <c r="CY50" s="56">
        <f>-(CY49/CY$15)</f>
        <v>0</v>
      </c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hidden="1" outlineLevel="1">
      <c r="C52" s="32" t="inlineStr">
        <is>
          <t>Com Vendas</t>
        </is>
      </c>
      <c r="D52" s="6" t="n"/>
      <c r="E52" s="6" t="n"/>
      <c r="F52" s="6" t="n"/>
      <c r="G52" s="6" t="n"/>
      <c r="H52" s="32" t="n"/>
      <c r="I52" s="6" t="n"/>
      <c r="J52" s="6" t="n"/>
      <c r="K52" s="6" t="n"/>
      <c r="L52" s="6" t="n"/>
      <c r="M52" s="32" t="n"/>
      <c r="N52" s="6" t="n"/>
      <c r="O52" s="6" t="n"/>
      <c r="P52" s="6" t="n"/>
      <c r="Q52" s="6" t="n"/>
      <c r="R52" s="32" t="n"/>
      <c r="S52" s="6" t="n"/>
      <c r="T52" s="6" t="n"/>
      <c r="U52" s="6" t="n"/>
      <c r="V52" s="6" t="n"/>
      <c r="W52" s="32" t="n"/>
      <c r="X52" s="6" t="n"/>
      <c r="Y52" s="6" t="n"/>
      <c r="Z52" s="6" t="n"/>
      <c r="AA52" s="6" t="n"/>
      <c r="AB52" s="32" t="n"/>
      <c r="AC52" s="6" t="n"/>
      <c r="AD52" s="6" t="n"/>
      <c r="AE52" s="6" t="n"/>
      <c r="AF52" s="6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  <c r="CO52" s="32" t="n"/>
      <c r="CP52" s="32" t="n"/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</row>
    <row r="53" hidden="1" outlineLevel="1">
      <c r="C53" s="32" t="inlineStr">
        <is>
          <t>Gerais &amp; Administrativas</t>
        </is>
      </c>
      <c r="D53" s="6" t="n"/>
      <c r="E53" s="6" t="n"/>
      <c r="F53" s="6" t="n"/>
      <c r="G53" s="6" t="n"/>
      <c r="H53" s="32" t="n"/>
      <c r="I53" s="6" t="n"/>
      <c r="J53" s="6" t="n"/>
      <c r="K53" s="6" t="n"/>
      <c r="L53" s="6" t="n"/>
      <c r="M53" s="32" t="n"/>
      <c r="N53" s="6" t="n"/>
      <c r="O53" s="6" t="n"/>
      <c r="P53" s="6" t="n"/>
      <c r="Q53" s="6" t="n"/>
      <c r="R53" s="32" t="n"/>
      <c r="S53" s="6" t="n"/>
      <c r="T53" s="6" t="n"/>
      <c r="U53" s="6" t="n"/>
      <c r="V53" s="6" t="n"/>
      <c r="W53" s="32" t="n"/>
      <c r="X53" s="6" t="n"/>
      <c r="Y53" s="6" t="n"/>
      <c r="Z53" s="6" t="n"/>
      <c r="AA53" s="6" t="n"/>
      <c r="AB53" s="32" t="n"/>
      <c r="AC53" s="6" t="n"/>
      <c r="AD53" s="6" t="n"/>
      <c r="AE53" s="6" t="n"/>
      <c r="AF53" s="6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2" t="n"/>
      <c r="CN53" s="32" t="n"/>
      <c r="CO53" s="32" t="n"/>
      <c r="CP53" s="32" t="n"/>
      <c r="CQ53" s="32" t="n"/>
      <c r="CR53" s="32" t="n"/>
      <c r="CS53" s="32" t="n"/>
      <c r="CT53" s="32" t="n"/>
      <c r="CU53" s="32" t="n"/>
      <c r="CV53" s="32" t="n"/>
      <c r="CW53" s="32" t="n"/>
      <c r="CX53" s="32" t="n"/>
      <c r="CY53" s="32" t="n"/>
    </row>
    <row r="54" hidden="1" outlineLevel="1">
      <c r="C54" s="32" t="inlineStr">
        <is>
          <t>Outras Receitas (Despesas) Operacionais, Líquidas</t>
        </is>
      </c>
      <c r="D54" s="6" t="n"/>
      <c r="E54" s="6" t="n"/>
      <c r="F54" s="6" t="n"/>
      <c r="G54" s="6" t="n"/>
      <c r="H54" s="32" t="n"/>
      <c r="I54" s="6" t="n"/>
      <c r="J54" s="6" t="n"/>
      <c r="K54" s="6" t="n"/>
      <c r="L54" s="6" t="n"/>
      <c r="M54" s="32" t="n"/>
      <c r="N54" s="6" t="n"/>
      <c r="O54" s="6" t="n"/>
      <c r="P54" s="6" t="n"/>
      <c r="Q54" s="6" t="n"/>
      <c r="R54" s="32" t="n"/>
      <c r="S54" s="6" t="n"/>
      <c r="T54" s="6" t="n"/>
      <c r="U54" s="6" t="n"/>
      <c r="V54" s="6" t="n"/>
      <c r="W54" s="32" t="n"/>
      <c r="X54" s="6" t="n"/>
      <c r="Y54" s="6" t="n"/>
      <c r="Z54" s="6" t="n"/>
      <c r="AA54" s="6" t="n"/>
      <c r="AB54" s="32" t="n"/>
      <c r="AC54" s="6" t="n"/>
      <c r="AD54" s="6" t="n"/>
      <c r="AE54" s="6" t="n"/>
      <c r="AF54" s="6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s="32" t="n"/>
      <c r="BM54" s="32" t="n"/>
      <c r="BN54" s="32" t="n"/>
      <c r="BO54" s="32" t="n"/>
      <c r="BP54" s="32" t="n"/>
      <c r="BQ54" s="32" t="n"/>
      <c r="BR54" s="32" t="n"/>
      <c r="BS54" s="32" t="n"/>
      <c r="BT54" s="32" t="n"/>
      <c r="BU54" s="32" t="n"/>
      <c r="BV54" s="32" t="n"/>
      <c r="BW54" s="32" t="n"/>
      <c r="BX54" s="32" t="n"/>
      <c r="BY54" s="32" t="n"/>
      <c r="BZ54" s="32" t="n"/>
      <c r="CA54" s="32" t="n"/>
      <c r="CB54" s="32" t="n"/>
      <c r="CC54" s="32" t="n"/>
      <c r="CD54" s="32" t="n"/>
      <c r="CE54" s="32" t="n"/>
      <c r="CF54" s="32" t="n"/>
      <c r="CG54" s="32" t="n"/>
      <c r="CH54" s="32" t="n"/>
      <c r="CI54" s="32" t="n"/>
      <c r="CJ54" s="32" t="n"/>
      <c r="CK54" s="32" t="n"/>
      <c r="CL54" s="32" t="n"/>
      <c r="CM54" s="32" t="n"/>
      <c r="CN54" s="32" t="n"/>
      <c r="CO54" s="32" t="n"/>
      <c r="CP54" s="32" t="n"/>
      <c r="CQ54" s="32" t="n"/>
      <c r="CR54" s="32" t="n"/>
      <c r="CS54" s="32" t="n"/>
      <c r="CT54" s="32" t="n"/>
      <c r="CU54" s="32" t="n"/>
      <c r="CV54" s="32" t="n"/>
      <c r="CW54" s="32" t="n"/>
      <c r="CX54" s="32" t="n"/>
      <c r="CY54" s="32" t="n"/>
    </row>
    <row r="55" hidden="1" outlineLevel="1"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</row>
    <row r="56" hidden="1" outlineLevel="1">
      <c r="C56" s="32" t="inlineStr">
        <is>
          <t>Com Vendas (%)</t>
        </is>
      </c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inlineStr">
        <is>
          <t>Gerais &amp; Administrativas (%)</t>
        </is>
      </c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hidden="1" outlineLevel="1">
      <c r="C58" s="32" t="inlineStr">
        <is>
          <t>Outras Receitas (Despesas) Operacionais, Líquidas (%)</t>
        </is>
      </c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collapsed="1" customFormat="1" s="17">
      <c r="A60" s="13" t="n"/>
      <c r="B60" s="1" t="n"/>
      <c r="C60" s="14" t="inlineStr">
        <is>
          <t>EBITDA</t>
        </is>
      </c>
      <c r="D60" s="16">
        <f>SUM(D15,D45,D49)</f>
        <v>2423</v>
      </c>
      <c r="E60" s="16">
        <f>SUM(E15,E45,E49)</f>
        <v>2393</v>
      </c>
      <c r="F60" s="16">
        <f>SUM(F15,F45,F49)</f>
        <v>2466</v>
      </c>
      <c r="G60" s="16">
        <f>SUM(G15,G45,G49)</f>
        <v>2652</v>
      </c>
      <c r="H60" s="16">
        <f>SUM(D60:G60)</f>
        <v>9934</v>
      </c>
      <c r="I60" s="16">
        <f>SUM(I15,I45,I49)</f>
        <v>2518</v>
      </c>
      <c r="J60" s="16">
        <f>SUM(J15,J45,J49)</f>
        <v>2526</v>
      </c>
      <c r="K60" s="16">
        <f>SUM(K15,K45,K49)</f>
        <v>2623</v>
      </c>
      <c r="L60" s="16">
        <f>SUM(L15,L45,L49)</f>
        <v>2820</v>
      </c>
      <c r="M60" s="16">
        <f>SUM(I60:L60)</f>
        <v>10487</v>
      </c>
      <c r="N60" s="16">
        <f>SUM(N15,N45,N49)</f>
        <v>2262</v>
      </c>
      <c r="O60" s="16">
        <f>SUM(O15,O45,O49)</f>
        <v>2306</v>
      </c>
      <c r="P60" s="16">
        <f>SUM(P15,P45,P49)</f>
        <v>2452</v>
      </c>
      <c r="Q60" s="16">
        <f>SUM(Q15,Q45,Q49)</f>
        <v>2732</v>
      </c>
      <c r="R60" s="16">
        <f>SUM(N60:Q60)</f>
        <v>9752</v>
      </c>
      <c r="S60" s="16">
        <f>SUM(S15,S45,S49)</f>
        <v>2362</v>
      </c>
      <c r="T60" s="16">
        <f>SUM(T15,T45,T49)</f>
        <v>2469</v>
      </c>
      <c r="U60" s="16">
        <f>SUM(U15,U45,U49)</f>
        <v>2392</v>
      </c>
      <c r="V60" s="16">
        <f>SUM(V15,V45,V49)</f>
        <v>2714</v>
      </c>
      <c r="W60" s="16">
        <f>SUM(S60:V60)</f>
        <v>9937</v>
      </c>
      <c r="X60" s="16">
        <f>SUM(X15,X45,X49)</f>
        <v>2380</v>
      </c>
      <c r="Y60" s="16">
        <f>SUM(Y15,Y45,Y49)</f>
        <v>2507</v>
      </c>
      <c r="Z60" s="16">
        <f>SUM(Z15,Z45,Z49)</f>
        <v>2530</v>
      </c>
      <c r="AA60" s="16">
        <f>SUM(AA15,AA45,AA49)</f>
        <v>1155</v>
      </c>
      <c r="AB60" s="16">
        <f>SUM(X60:AA60)</f>
        <v>8572</v>
      </c>
      <c r="AC60" s="16">
        <f>SUM(AC15,AC45,AC49)</f>
        <v>2769</v>
      </c>
      <c r="AD60" s="16">
        <f>SUM(AD15,AD45,AD49)</f>
        <v>1147</v>
      </c>
      <c r="AE60" s="16">
        <f>SUM(AE15,AE45,AE49)</f>
        <v>2708</v>
      </c>
      <c r="AF60" s="16">
        <f>SUM(AF15,AF45,AF49)</f>
        <v>2794</v>
      </c>
      <c r="AG60" s="16">
        <f>SUM(AC60:AF60)</f>
        <v>9418</v>
      </c>
      <c r="AH60" s="16">
        <f>SUM(AH15,AH45,AH49)</f>
        <v>2461</v>
      </c>
      <c r="AI60" s="16">
        <f>SUM(AI15,AI45,AI49)</f>
        <v>2879</v>
      </c>
      <c r="AJ60" s="16">
        <f>SUM(AJ15,AJ45,AJ49)</f>
        <v>0</v>
      </c>
      <c r="AK60" s="16">
        <f>SUM(AK15,AK45,AK49)</f>
        <v>0</v>
      </c>
      <c r="AL60" s="16">
        <f>SUM(AH60:AK60)</f>
        <v>5340</v>
      </c>
      <c r="AM60" s="16">
        <f>SUM(AM15,AM45,AM49)</f>
        <v>0</v>
      </c>
      <c r="AN60" s="16">
        <f>SUM(AN15,AN45,AN49)</f>
        <v>0</v>
      </c>
      <c r="AO60" s="16">
        <f>SUM(AO15,AO45,AO49)</f>
        <v>0</v>
      </c>
      <c r="AP60" s="16">
        <f>SUM(AP15,AP45,AP49)</f>
        <v>0</v>
      </c>
      <c r="AQ60" s="16">
        <f>SUM(AM60:AP60)</f>
        <v>0</v>
      </c>
      <c r="AR60" s="16">
        <f>SUM(AR15,AR45,AR49)</f>
        <v>0</v>
      </c>
      <c r="AS60" s="16">
        <f>SUM(AS15,AS45,AS49)</f>
        <v>0</v>
      </c>
      <c r="AT60" s="16">
        <f>SUM(AT15,AT45,AT49)</f>
        <v>0</v>
      </c>
      <c r="AU60" s="16">
        <f>SUM(AU15,AU45,AU49)</f>
        <v>0</v>
      </c>
      <c r="AV60" s="16">
        <f>SUM(AR60:AU60)</f>
        <v>0</v>
      </c>
      <c r="AW60" s="16">
        <f>SUM(AW15,AW45,AW49)</f>
        <v>0</v>
      </c>
      <c r="AX60" s="16">
        <f>SUM(AX15,AX45,AX49)</f>
        <v>0</v>
      </c>
      <c r="AY60" s="16">
        <f>SUM(AY15,AY45,AY49)</f>
        <v>0</v>
      </c>
      <c r="AZ60" s="16">
        <f>SUM(AZ15,AZ45,AZ49)</f>
        <v>0</v>
      </c>
      <c r="BA60" s="16">
        <f>SUM(AW60:AZ60)</f>
        <v>0</v>
      </c>
      <c r="BB60" s="16">
        <f>SUM(BB15,BB45,BB49)</f>
        <v>0</v>
      </c>
      <c r="BC60" s="16">
        <f>SUM(BC15,BC45,BC49)</f>
        <v>0</v>
      </c>
      <c r="BD60" s="16">
        <f>SUM(BD15,BD45,BD49)</f>
        <v>0</v>
      </c>
      <c r="BE60" s="16">
        <f>SUM(BE15,BE45,BE49)</f>
        <v>0</v>
      </c>
      <c r="BF60" s="16">
        <f>SUM(BB60:BE60)</f>
        <v>0</v>
      </c>
      <c r="BG60" s="16">
        <f>SUM(BG15,BG45,BG49)</f>
        <v>0</v>
      </c>
      <c r="BH60" s="16">
        <f>SUM(BH15,BH45,BH49)</f>
        <v>0</v>
      </c>
      <c r="BI60" s="16">
        <f>SUM(BI15,BI45,BI49)</f>
        <v>0</v>
      </c>
      <c r="BJ60" s="16">
        <f>SUM(BJ15,BJ45,BJ49)</f>
        <v>0</v>
      </c>
      <c r="BK60" s="16">
        <f>SUM(BG60:BJ60)</f>
        <v>0</v>
      </c>
      <c r="BL60" s="16">
        <f>SUM(BL15,BL45,BL49)</f>
        <v>0</v>
      </c>
      <c r="BM60" s="16">
        <f>SUM(BM15,BM45,BM49)</f>
        <v>0</v>
      </c>
      <c r="BN60" s="16">
        <f>SUM(BN15,BN45,BN49)</f>
        <v>0</v>
      </c>
      <c r="BO60" s="16">
        <f>SUM(BO15,BO45,BO49)</f>
        <v>0</v>
      </c>
      <c r="BP60" s="16">
        <f>SUM(BL60:BO60)</f>
        <v>0</v>
      </c>
      <c r="BQ60" s="16">
        <f>SUM(BQ15,BQ45,BQ49)</f>
        <v>0</v>
      </c>
      <c r="BR60" s="16">
        <f>SUM(BR15,BR45,BR49)</f>
        <v>0</v>
      </c>
      <c r="BS60" s="16">
        <f>SUM(BS15,BS45,BS49)</f>
        <v>0</v>
      </c>
      <c r="BT60" s="16">
        <f>SUM(BT15,BT45,BT49)</f>
        <v>0</v>
      </c>
      <c r="BU60" s="16">
        <f>SUM(BQ60:BT60)</f>
        <v>0</v>
      </c>
      <c r="BV60" s="16">
        <f>SUM(BV15,BV45,BV49)</f>
        <v>0</v>
      </c>
      <c r="BW60" s="16">
        <f>SUM(BW15,BW45,BW49)</f>
        <v>0</v>
      </c>
      <c r="BX60" s="16">
        <f>SUM(BX15,BX45,BX49)</f>
        <v>0</v>
      </c>
      <c r="BY60" s="16">
        <f>SUM(BY15,BY45,BY49)</f>
        <v>0</v>
      </c>
      <c r="BZ60" s="16">
        <f>SUM(BV60:BY60)</f>
        <v>0</v>
      </c>
      <c r="CA60" s="16">
        <f>SUM(CA15,CA45,CA49)</f>
        <v>0</v>
      </c>
      <c r="CB60" s="16">
        <f>SUM(CB15,CB45,CB49)</f>
        <v>0</v>
      </c>
      <c r="CC60" s="16">
        <f>SUM(CC15,CC45,CC49)</f>
        <v>0</v>
      </c>
      <c r="CD60" s="16">
        <f>SUM(CD15,CD45,CD49)</f>
        <v>0</v>
      </c>
      <c r="CE60" s="16">
        <f>SUM(CA60:CD60)</f>
        <v>0</v>
      </c>
      <c r="CF60" s="16">
        <f>SUM(CF15,CF45,CF49)</f>
        <v>0</v>
      </c>
      <c r="CG60" s="16">
        <f>SUM(CG15,CG45,CG49)</f>
        <v>0</v>
      </c>
      <c r="CH60" s="16">
        <f>SUM(CH15,CH45,CH49)</f>
        <v>0</v>
      </c>
      <c r="CI60" s="16">
        <f>SUM(CI15,CI45,CI49)</f>
        <v>0</v>
      </c>
      <c r="CJ60" s="16">
        <f>SUM(CF60:CI60)</f>
        <v>0</v>
      </c>
      <c r="CK60" s="16">
        <f>SUM(CK15,CK45,CK49)</f>
        <v>0</v>
      </c>
      <c r="CL60" s="16">
        <f>SUM(CL15,CL45,CL49)</f>
        <v>0</v>
      </c>
      <c r="CM60" s="16">
        <f>SUM(CM15,CM45,CM49)</f>
        <v>0</v>
      </c>
      <c r="CN60" s="16">
        <f>SUM(CN15,CN45,CN49)</f>
        <v>0</v>
      </c>
      <c r="CO60" s="16">
        <f>SUM(CK60:CN60)</f>
        <v>0</v>
      </c>
      <c r="CP60" s="16">
        <f>SUM(CP15,CP45,CP49)</f>
        <v>0</v>
      </c>
      <c r="CQ60" s="16">
        <f>SUM(CQ15,CQ45,CQ49)</f>
        <v>0</v>
      </c>
      <c r="CR60" s="16">
        <f>SUM(CR15,CR45,CR49)</f>
        <v>0</v>
      </c>
      <c r="CS60" s="16">
        <f>SUM(CS15,CS45,CS49)</f>
        <v>0</v>
      </c>
      <c r="CT60" s="16">
        <f>SUM(CP60:CS60)</f>
        <v>0</v>
      </c>
      <c r="CU60" s="16">
        <f>SUM(CU15,CU45,CU49)</f>
        <v>0</v>
      </c>
      <c r="CV60" s="16">
        <f>SUM(CV15,CV45,CV49)</f>
        <v>0</v>
      </c>
      <c r="CW60" s="16">
        <f>SUM(CW15,CW45,CW49)</f>
        <v>0</v>
      </c>
      <c r="CX60" s="16">
        <f>SUM(CX15,CX45,CX49)</f>
        <v>0</v>
      </c>
      <c r="CY60" s="16">
        <f>SUM(CU60:CX60)</f>
        <v>0</v>
      </c>
    </row>
    <row r="61" ht="13.5" customHeight="1">
      <c r="C61" s="24" t="inlineStr">
        <is>
          <t>D&amp;A</t>
        </is>
      </c>
      <c r="D61" s="25">
        <f>INDEX('Inputs (2)'!$D$7:$AL$7,MATCH(D$7,'Inputs (2)'!$D$2:$AL$2,0))</f>
        <v>-301</v>
      </c>
      <c r="E61" s="25">
        <f>INDEX('Inputs (2)'!$D$7:$AL$7,MATCH(E$7,'Inputs (2)'!$D$2:$AL$2,0))</f>
        <v>-307</v>
      </c>
      <c r="F61" s="25">
        <f>INDEX('Inputs (2)'!$D$7:$AL$7,MATCH(F$7,'Inputs (2)'!$D$2:$AL$2,0))</f>
        <v>-319</v>
      </c>
      <c r="G61" s="25">
        <f>INDEX('Inputs (2)'!$D$7:$AL$7,MATCH(G$7,'Inputs (2)'!$D$2:$AL$2,0))</f>
        <v>-363</v>
      </c>
      <c r="H61" s="3">
        <f>SUM(D61:G61)</f>
        <v>-1290</v>
      </c>
      <c r="I61" s="25">
        <f>INDEX('Inputs (2)'!$D$7:$AL$7,MATCH(I$7,'Inputs (2)'!$D$2:$AL$2,0))</f>
        <v>-336</v>
      </c>
      <c r="J61" s="25">
        <f>INDEX('Inputs (2)'!$D$7:$AL$7,MATCH(J$7,'Inputs (2)'!$D$2:$AL$2,0))</f>
        <v>-334</v>
      </c>
      <c r="K61" s="25">
        <f>INDEX('Inputs (2)'!$D$7:$AL$7,MATCH(K$7,'Inputs (2)'!$D$2:$AL$2,0))</f>
        <v>-329</v>
      </c>
      <c r="L61" s="25">
        <f>INDEX('Inputs (2)'!$D$7:$AL$7,MATCH(L$7,'Inputs (2)'!$D$2:$AL$2,0))</f>
        <v>-365</v>
      </c>
      <c r="M61" s="3">
        <f>SUM(I61:L61)</f>
        <v>-1364</v>
      </c>
      <c r="N61" s="25">
        <f>INDEX('Inputs (2)'!$D$7:$AL$7,MATCH(N$7,'Inputs (2)'!$D$2:$AL$2,0))</f>
        <v>-329</v>
      </c>
      <c r="O61" s="25">
        <f>INDEX('Inputs (2)'!$D$7:$AL$7,MATCH(O$7,'Inputs (2)'!$D$2:$AL$2,0))</f>
        <v>-343</v>
      </c>
      <c r="P61" s="25">
        <f>INDEX('Inputs (2)'!$D$7:$AL$7,MATCH(P$7,'Inputs (2)'!$D$2:$AL$2,0))</f>
        <v>-293</v>
      </c>
      <c r="Q61" s="25">
        <f>INDEX('Inputs (2)'!$D$7:$AL$7,MATCH(Q$7,'Inputs (2)'!$D$2:$AL$2,0))</f>
        <v>-439</v>
      </c>
      <c r="R61" s="3">
        <f>SUM(N61:Q61)</f>
        <v>-1404</v>
      </c>
      <c r="S61" s="25">
        <f>INDEX('Inputs (2)'!$D$7:$AL$7,MATCH(S$7,'Inputs (2)'!$D$2:$AL$2,0))</f>
        <v>-325</v>
      </c>
      <c r="T61" s="25">
        <f>INDEX('Inputs (2)'!$D$7:$AL$7,MATCH(T$7,'Inputs (2)'!$D$2:$AL$2,0))</f>
        <v>-334</v>
      </c>
      <c r="U61" s="25">
        <f>INDEX('Inputs (2)'!$D$7:$AL$7,MATCH(U$7,'Inputs (2)'!$D$2:$AL$2,0))</f>
        <v>-350</v>
      </c>
      <c r="V61" s="25">
        <f>INDEX('Inputs (2)'!$D$7:$AL$7,MATCH(V$7,'Inputs (2)'!$D$2:$AL$2,0))</f>
        <v>-421</v>
      </c>
      <c r="W61" s="3">
        <f>SUM(S61:V61)</f>
        <v>-1430</v>
      </c>
      <c r="X61" s="25">
        <f>INDEX('Inputs (2)'!$D$7:$AL$7,MATCH(X$7,'Inputs (2)'!$D$2:$AL$2,0))</f>
        <v>-351</v>
      </c>
      <c r="Y61" s="25">
        <f>INDEX('Inputs (2)'!$D$7:$AL$7,MATCH(Y$7,'Inputs (2)'!$D$2:$AL$2,0))</f>
        <v>-359</v>
      </c>
      <c r="Z61" s="25">
        <f>INDEX('Inputs (2)'!$D$7:$AL$7,MATCH(Z$7,'Inputs (2)'!$D$2:$AL$2,0))</f>
        <v>-390</v>
      </c>
      <c r="AA61" s="25">
        <f>INDEX('Inputs (2)'!$D$7:$AL$7,MATCH(AA$7,'Inputs (2)'!$D$2:$AL$2,0))</f>
        <v>-459</v>
      </c>
      <c r="AB61" s="3">
        <f>SUM(X61:AA61)</f>
        <v>-1559</v>
      </c>
      <c r="AC61" s="25">
        <f>INDEX('Inputs (2)'!$D$7:$AL$7,MATCH(AC$7,'Inputs (2)'!$D$2:$AL$2,0))</f>
        <v>-397</v>
      </c>
      <c r="AD61" s="25">
        <f>INDEX('Inputs (2)'!$D$7:$AL$7,MATCH(AD$7,'Inputs (2)'!$D$2:$AL$2,0))</f>
        <v>-399</v>
      </c>
      <c r="AE61" s="25">
        <f>INDEX('Inputs (2)'!$D$7:$AL$7,MATCH(AE$7,'Inputs (2)'!$D$2:$AL$2,0))</f>
        <v>-428</v>
      </c>
      <c r="AF61" s="25">
        <f>INDEX('Inputs (2)'!$D$7:$AL$7,MATCH(AF$7,'Inputs (2)'!$D$2:$AL$2,0))</f>
        <v>-463</v>
      </c>
      <c r="AG61" s="3">
        <f>SUM(AC61:AF61)</f>
        <v>-1687</v>
      </c>
      <c r="AH61" s="3">
        <f>INDEX('Inputs (2)'!$D$7:$AL$7,MATCH(AH$7,'Inputs (2)'!$D$2:$AL$2,0))</f>
        <v>-398</v>
      </c>
      <c r="AI61" s="3">
        <f>INDEX('Inputs (2)'!$D$7:$AL$7,MATCH(AI$7,'Inputs (2)'!$D$2:$AL$2,0))</f>
        <v>-400</v>
      </c>
      <c r="AJ61" s="3">
        <f>-AJ62*AJ15</f>
        <v>0</v>
      </c>
      <c r="AK61" s="3">
        <f>-AK62*AK15</f>
        <v>0</v>
      </c>
      <c r="AL61" s="3">
        <f>SUM(AH61:AK61)</f>
        <v>-798</v>
      </c>
      <c r="AM61" s="3">
        <f>-AM62*AM15</f>
        <v>0</v>
      </c>
      <c r="AN61" s="3">
        <f>-AN62*AN15</f>
        <v>0</v>
      </c>
      <c r="AO61" s="3">
        <f>-AO62*AO15</f>
        <v>0</v>
      </c>
      <c r="AP61" s="3">
        <f>-AP62*AP15</f>
        <v>0</v>
      </c>
      <c r="AQ61" s="3">
        <f>SUM(AM61:AP61)</f>
        <v>0</v>
      </c>
      <c r="AR61" s="3">
        <f>-AR62*AR15</f>
        <v>0</v>
      </c>
      <c r="AS61" s="3">
        <f>-AS62*AS15</f>
        <v>0</v>
      </c>
      <c r="AT61" s="3">
        <f>-AT62*AT15</f>
        <v>0</v>
      </c>
      <c r="AU61" s="3">
        <f>-AU62*AU15</f>
        <v>0</v>
      </c>
      <c r="AV61" s="3">
        <f>SUM(AR61:AU61)</f>
        <v>0</v>
      </c>
      <c r="AW61" s="3">
        <f>-AW62*AW15</f>
        <v>0</v>
      </c>
      <c r="AX61" s="3">
        <f>-AX62*AX15</f>
        <v>0</v>
      </c>
      <c r="AY61" s="3">
        <f>-AY62*AY15</f>
        <v>0</v>
      </c>
      <c r="AZ61" s="3">
        <f>-AZ62*AZ15</f>
        <v>0</v>
      </c>
      <c r="BA61" s="3">
        <f>SUM(AW61:AZ61)</f>
        <v>0</v>
      </c>
      <c r="BB61" s="3">
        <f>-BB62*BB15</f>
        <v>0</v>
      </c>
      <c r="BC61" s="3">
        <f>-BC62*BC15</f>
        <v>0</v>
      </c>
      <c r="BD61" s="3">
        <f>-BD62*BD15</f>
        <v>0</v>
      </c>
      <c r="BE61" s="3">
        <f>-BE62*BE15</f>
        <v>0</v>
      </c>
      <c r="BF61" s="3">
        <f>SUM(BB61:BE61)</f>
        <v>0</v>
      </c>
      <c r="BG61" s="3">
        <f>-BG62*BG15</f>
        <v>0</v>
      </c>
      <c r="BH61" s="3">
        <f>-BH62*BH15</f>
        <v>0</v>
      </c>
      <c r="BI61" s="3">
        <f>-BI62*BI15</f>
        <v>0</v>
      </c>
      <c r="BJ61" s="3">
        <f>-BJ62*BJ15</f>
        <v>0</v>
      </c>
      <c r="BK61" s="3">
        <f>SUM(BG61:BJ61)</f>
        <v>0</v>
      </c>
      <c r="BL61" s="3">
        <f>-BL62*BL15</f>
        <v>0</v>
      </c>
      <c r="BM61" s="3">
        <f>-BM62*BM15</f>
        <v>0</v>
      </c>
      <c r="BN61" s="3">
        <f>-BN62*BN15</f>
        <v>0</v>
      </c>
      <c r="BO61" s="3">
        <f>-BO62*BO15</f>
        <v>0</v>
      </c>
      <c r="BP61" s="3">
        <f>SUM(BL61:BO61)</f>
        <v>0</v>
      </c>
      <c r="BQ61" s="3">
        <f>-BQ62*BQ15</f>
        <v>0</v>
      </c>
      <c r="BR61" s="3">
        <f>-BR62*BR15</f>
        <v>0</v>
      </c>
      <c r="BS61" s="3">
        <f>-BS62*BS15</f>
        <v>0</v>
      </c>
      <c r="BT61" s="3">
        <f>-BT62*BT15</f>
        <v>0</v>
      </c>
      <c r="BU61" s="3">
        <f>SUM(BQ61:BT61)</f>
        <v>0</v>
      </c>
      <c r="BV61" s="3">
        <f>-BV62*BV15</f>
        <v>0</v>
      </c>
      <c r="BW61" s="3">
        <f>-BW62*BW15</f>
        <v>0</v>
      </c>
      <c r="BX61" s="3">
        <f>-BX62*BX15</f>
        <v>0</v>
      </c>
      <c r="BY61" s="3">
        <f>-BY62*BY15</f>
        <v>0</v>
      </c>
      <c r="BZ61" s="3">
        <f>SUM(BV61:BY61)</f>
        <v>0</v>
      </c>
      <c r="CA61" s="3">
        <f>-CA62*CA15</f>
        <v>0</v>
      </c>
      <c r="CB61" s="3">
        <f>-CB62*CB15</f>
        <v>0</v>
      </c>
      <c r="CC61" s="3">
        <f>-CC62*CC15</f>
        <v>0</v>
      </c>
      <c r="CD61" s="3">
        <f>-CD62*CD15</f>
        <v>0</v>
      </c>
      <c r="CE61" s="3">
        <f>SUM(CA61:CD61)</f>
        <v>0</v>
      </c>
      <c r="CF61" s="3">
        <f>-CF62*CF15</f>
        <v>0</v>
      </c>
      <c r="CG61" s="3">
        <f>-CG62*CG15</f>
        <v>0</v>
      </c>
      <c r="CH61" s="3">
        <f>-CH62*CH15</f>
        <v>0</v>
      </c>
      <c r="CI61" s="3">
        <f>-CI62*CI15</f>
        <v>0</v>
      </c>
      <c r="CJ61" s="3">
        <f>SUM(CF61:CI61)</f>
        <v>0</v>
      </c>
      <c r="CK61" s="3">
        <f>-CK62*CK15</f>
        <v>0</v>
      </c>
      <c r="CL61" s="3">
        <f>-CL62*CL15</f>
        <v>0</v>
      </c>
      <c r="CM61" s="3">
        <f>-CM62*CM15</f>
        <v>0</v>
      </c>
      <c r="CN61" s="3">
        <f>-CN62*CN15</f>
        <v>0</v>
      </c>
      <c r="CO61" s="3">
        <f>SUM(CK61:CN61)</f>
        <v>0</v>
      </c>
      <c r="CP61" s="3">
        <f>-CP62*CP15</f>
        <v>0</v>
      </c>
      <c r="CQ61" s="3">
        <f>-CQ62*CQ15</f>
        <v>0</v>
      </c>
      <c r="CR61" s="3">
        <f>-CR62*CR15</f>
        <v>0</v>
      </c>
      <c r="CS61" s="3">
        <f>-CS62*CS15</f>
        <v>0</v>
      </c>
      <c r="CT61" s="3">
        <f>SUM(CP61:CS61)</f>
        <v>0</v>
      </c>
      <c r="CU61" s="3">
        <f>-CU62*CU15</f>
        <v>0</v>
      </c>
      <c r="CV61" s="3">
        <f>-CV62*CV15</f>
        <v>0</v>
      </c>
      <c r="CW61" s="3">
        <f>-CW62*CW15</f>
        <v>0</v>
      </c>
      <c r="CX61" s="3">
        <f>-CX62*CX15</f>
        <v>0</v>
      </c>
      <c r="CY61" s="3">
        <f>SUM(CU61:CX61)</f>
        <v>0</v>
      </c>
    </row>
    <row r="62" hidden="1" outlineLevel="1" customFormat="1" s="247">
      <c r="A62" s="48" t="n"/>
      <c r="B62" s="48" t="n"/>
      <c r="C62" s="246" t="inlineStr">
        <is>
          <t>% of Revenue</t>
        </is>
      </c>
      <c r="D62" s="48">
        <f>-D61/D15</f>
        <v>0.0192319979554022</v>
      </c>
      <c r="E62" s="48">
        <f>-E61/E15</f>
        <v>0.0189272503082614</v>
      </c>
      <c r="F62" s="48">
        <f>-F61/F15</f>
        <v>0.0193391936950591</v>
      </c>
      <c r="G62" s="48">
        <f>-G61/G15</f>
        <v>0.0213128229215594</v>
      </c>
      <c r="H62" s="48" t="n"/>
      <c r="I62" s="48">
        <f>-I61/I15</f>
        <v>0.0206667486775741</v>
      </c>
      <c r="J62" s="48">
        <f>-J61/J15</f>
        <v>0.0196136003288508</v>
      </c>
      <c r="K62" s="48">
        <f>-K61/K15</f>
        <v>0.0205265784876466</v>
      </c>
      <c r="L62" s="48">
        <f>-L61/L15</f>
        <v>0.0205877376050539</v>
      </c>
      <c r="M62" s="48" t="n"/>
      <c r="N62" s="48">
        <f>-N61/N15</f>
        <v>0.0219860999732692</v>
      </c>
      <c r="O62" s="48">
        <f>-O61/O15</f>
        <v>0.0222063964780526</v>
      </c>
      <c r="P62" s="48">
        <f>-P61/P15</f>
        <v>0.0176686968582283</v>
      </c>
      <c r="Q62" s="48">
        <f>-Q61/Q15</f>
        <v>0.023116212942973</v>
      </c>
      <c r="R62" s="48" t="n"/>
      <c r="S62" s="48">
        <f>-S61/S15</f>
        <v>0.0214861827317202</v>
      </c>
      <c r="T62" s="48">
        <f>-T61/T15</f>
        <v>0.0200083867489367</v>
      </c>
      <c r="U62" s="48">
        <f>-U61/U15</f>
        <v>0.0207370541533357</v>
      </c>
      <c r="V62" s="48">
        <f>-V61/V15</f>
        <v>0.0223058175267564</v>
      </c>
      <c r="W62" s="48" t="n"/>
      <c r="X62" s="48">
        <f>-X61/X15</f>
        <v>0.0204129107298633</v>
      </c>
      <c r="Y62" s="48">
        <f>-Y61/Y15</f>
        <v>0.0198101754773204</v>
      </c>
      <c r="Z62" s="48">
        <f>-Z61/Z15</f>
        <v>0.0228016838166511</v>
      </c>
      <c r="AA62" s="48">
        <f>-AA61/AA15</f>
        <v>0.0246482654924283</v>
      </c>
      <c r="AB62" s="48" t="n"/>
      <c r="AC62" s="48">
        <f>-AC61/AC15</f>
        <v>0.0221009853587931</v>
      </c>
      <c r="AD62" s="48">
        <f>-AD61/AD15</f>
        <v>0.0219774166896172</v>
      </c>
      <c r="AE62" s="48">
        <f>-AE61/AE15</f>
        <v>0.0229996238379279</v>
      </c>
      <c r="AF62" s="218">
        <f>-AF61/AF15</f>
        <v>0.0227843117956793</v>
      </c>
      <c r="AG62" s="48" t="n"/>
      <c r="AH62" s="218">
        <f>-AH61/AH15</f>
        <v>0.0220853448754231</v>
      </c>
      <c r="AI62" s="218">
        <f>-AI61/AI15</f>
        <v>0.0199371978268454</v>
      </c>
      <c r="AJ62" s="218" t="n"/>
      <c r="AK62" s="218" t="n"/>
      <c r="AL62" s="48" t="n"/>
      <c r="AM62" s="218" t="n"/>
      <c r="AN62" s="218" t="n"/>
      <c r="AO62" s="218" t="n"/>
      <c r="AP62" s="218" t="n"/>
      <c r="AQ62" s="48" t="n"/>
      <c r="AR62" s="218" t="n"/>
      <c r="AS62" s="218" t="n"/>
      <c r="AT62" s="218" t="n"/>
      <c r="AU62" s="218" t="n"/>
      <c r="AV62" s="48" t="n"/>
      <c r="AW62" s="218" t="n"/>
      <c r="AX62" s="218" t="n"/>
      <c r="AY62" s="218" t="n"/>
      <c r="AZ62" s="218" t="n"/>
      <c r="BA62" s="48" t="n"/>
      <c r="BB62" s="218" t="n"/>
      <c r="BC62" s="218" t="n"/>
      <c r="BD62" s="218" t="n"/>
      <c r="BE62" s="218" t="n"/>
      <c r="BF62" s="48" t="n"/>
      <c r="BG62" s="218" t="n"/>
      <c r="BH62" s="218" t="n"/>
      <c r="BI62" s="218" t="n"/>
      <c r="BJ62" s="218" t="n"/>
      <c r="BK62" s="48" t="n"/>
      <c r="BL62" s="218" t="n"/>
      <c r="BM62" s="218" t="n"/>
      <c r="BN62" s="218" t="n"/>
      <c r="BO62" s="218" t="n"/>
      <c r="BP62" s="48" t="n"/>
      <c r="BQ62" s="218" t="n"/>
      <c r="BR62" s="218" t="n"/>
      <c r="BS62" s="218" t="n"/>
      <c r="BT62" s="218" t="n"/>
      <c r="BU62" s="48" t="n"/>
      <c r="BV62" s="218" t="n"/>
      <c r="BW62" s="218" t="n"/>
      <c r="BX62" s="218" t="n"/>
      <c r="BY62" s="218" t="n"/>
      <c r="BZ62" s="48" t="n"/>
      <c r="CA62" s="218" t="n"/>
      <c r="CB62" s="218" t="n"/>
      <c r="CC62" s="218" t="n"/>
      <c r="CD62" s="218" t="n"/>
      <c r="CE62" s="48" t="n"/>
      <c r="CF62" s="218" t="n"/>
      <c r="CG62" s="218" t="n"/>
      <c r="CH62" s="218" t="n"/>
      <c r="CI62" s="218" t="n"/>
      <c r="CJ62" s="48" t="n"/>
      <c r="CK62" s="218" t="n"/>
      <c r="CL62" s="218" t="n"/>
      <c r="CM62" s="218" t="n"/>
      <c r="CN62" s="218" t="n"/>
      <c r="CO62" s="48" t="n"/>
      <c r="CP62" s="218" t="n"/>
      <c r="CQ62" s="218" t="n"/>
      <c r="CR62" s="218" t="n"/>
      <c r="CS62" s="218" t="n"/>
      <c r="CT62" s="48" t="n"/>
      <c r="CU62" s="218" t="n"/>
      <c r="CV62" s="218" t="n"/>
      <c r="CW62" s="218" t="n"/>
      <c r="CX62" s="218" t="n"/>
      <c r="CY62" s="48" t="n"/>
    </row>
    <row r="63" hidden="1" outlineLevel="1">
      <c r="C63" s="32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</row>
    <row r="64" collapsed="1" customFormat="1" s="17">
      <c r="A64" s="13" t="n"/>
      <c r="B64" s="1" t="n"/>
      <c r="C64" s="14" t="inlineStr">
        <is>
          <t>Operating Profit - EBIT</t>
        </is>
      </c>
      <c r="D64" s="16">
        <f>SUM(D60,D61)</f>
        <v>2122</v>
      </c>
      <c r="E64" s="16">
        <f>SUM(E60,E61)</f>
        <v>2086</v>
      </c>
      <c r="F64" s="16">
        <f>SUM(F60,F61)</f>
        <v>2147</v>
      </c>
      <c r="G64" s="16">
        <f>SUM(G60,G61)</f>
        <v>2289</v>
      </c>
      <c r="H64" s="16">
        <f>SUM(D64:G64)</f>
        <v>8644</v>
      </c>
      <c r="I64" s="16">
        <f>SUM(I60,I61)</f>
        <v>2182</v>
      </c>
      <c r="J64" s="16">
        <f>SUM(J60,J61)</f>
        <v>2192</v>
      </c>
      <c r="K64" s="16">
        <f>SUM(K60,K61)</f>
        <v>2294</v>
      </c>
      <c r="L64" s="16">
        <f>SUM(L60,L61)</f>
        <v>2455</v>
      </c>
      <c r="M64" s="16">
        <f>SUM(I64:L64)</f>
        <v>9123</v>
      </c>
      <c r="N64" s="16">
        <f>SUM(N60,N61)</f>
        <v>1933</v>
      </c>
      <c r="O64" s="16">
        <f>SUM(O60,O61)</f>
        <v>1963</v>
      </c>
      <c r="P64" s="16">
        <f>SUM(P60,P61)</f>
        <v>2159</v>
      </c>
      <c r="Q64" s="16">
        <f>SUM(Q60,Q61)</f>
        <v>2293</v>
      </c>
      <c r="R64" s="16">
        <f>SUM(N64:Q64)</f>
        <v>8348</v>
      </c>
      <c r="S64" s="16">
        <f>SUM(S60,S61)</f>
        <v>2037</v>
      </c>
      <c r="T64" s="16">
        <f>SUM(T60,T61)</f>
        <v>2135</v>
      </c>
      <c r="U64" s="16">
        <f>SUM(U60,U61)</f>
        <v>2042</v>
      </c>
      <c r="V64" s="16">
        <f>SUM(V60,V61)</f>
        <v>2293</v>
      </c>
      <c r="W64" s="16">
        <f>SUM(S64:V64)</f>
        <v>8507</v>
      </c>
      <c r="X64" s="16">
        <f>SUM(X60,X61)</f>
        <v>2029</v>
      </c>
      <c r="Y64" s="16">
        <f>SUM(Y60,Y61)</f>
        <v>2148</v>
      </c>
      <c r="Z64" s="16">
        <f>SUM(Z60,Z61)</f>
        <v>2140</v>
      </c>
      <c r="AA64" s="16">
        <f>SUM(AA60,AA61)</f>
        <v>696</v>
      </c>
      <c r="AB64" s="16">
        <f>SUM(X64:AA64)</f>
        <v>7013</v>
      </c>
      <c r="AC64" s="16">
        <f>SUM(AC60,AC61)</f>
        <v>2372</v>
      </c>
      <c r="AD64" s="16">
        <f>SUM(AD60,AD61)</f>
        <v>748</v>
      </c>
      <c r="AE64" s="16">
        <f>SUM(AE60,AE61)</f>
        <v>2280</v>
      </c>
      <c r="AF64" s="16">
        <f>SUM(AF60,AF61)</f>
        <v>2331</v>
      </c>
      <c r="AG64" s="16">
        <f>SUM(AC64:AF64)</f>
        <v>7731</v>
      </c>
      <c r="AH64" s="16">
        <f>SUM(AH60,AH61)</f>
        <v>2063</v>
      </c>
      <c r="AI64" s="16">
        <f>SUM(AI60,AI61)</f>
        <v>2479</v>
      </c>
      <c r="AJ64" s="16">
        <f>SUM(AJ60,AJ61)</f>
        <v>0</v>
      </c>
      <c r="AK64" s="16">
        <f>SUM(AK60,AK61)</f>
        <v>0</v>
      </c>
      <c r="AL64" s="16">
        <f>SUM(AL60,AL61)</f>
        <v>4542</v>
      </c>
      <c r="AM64" s="16">
        <f>SUM(AM60,AM61)</f>
        <v>0</v>
      </c>
      <c r="AN64" s="16">
        <f>SUM(AN60,AN61)</f>
        <v>0</v>
      </c>
      <c r="AO64" s="16">
        <f>SUM(AO60,AO61)</f>
        <v>0</v>
      </c>
      <c r="AP64" s="16">
        <f>SUM(AP60,AP61)</f>
        <v>0</v>
      </c>
      <c r="AQ64" s="16">
        <f>SUM(AQ60,AQ61)</f>
        <v>0</v>
      </c>
      <c r="AR64" s="16">
        <f>SUM(AR60,AR61)</f>
        <v>0</v>
      </c>
      <c r="AS64" s="16">
        <f>SUM(AS60,AS61)</f>
        <v>0</v>
      </c>
      <c r="AT64" s="16">
        <f>SUM(AT60,AT61)</f>
        <v>0</v>
      </c>
      <c r="AU64" s="16">
        <f>SUM(AU60,AU61)</f>
        <v>0</v>
      </c>
      <c r="AV64" s="16">
        <f>SUM(AV60,AV61)</f>
        <v>0</v>
      </c>
      <c r="AW64" s="16">
        <f>SUM(AW60,AW61)</f>
        <v>0</v>
      </c>
      <c r="AX64" s="16">
        <f>SUM(AX60,AX61)</f>
        <v>0</v>
      </c>
      <c r="AY64" s="16">
        <f>SUM(AY60,AY61)</f>
        <v>0</v>
      </c>
      <c r="AZ64" s="16">
        <f>SUM(AZ60,AZ61)</f>
        <v>0</v>
      </c>
      <c r="BA64" s="16">
        <f>SUM(BA60,BA61)</f>
        <v>0</v>
      </c>
      <c r="BB64" s="16">
        <f>SUM(BB60,BB61)</f>
        <v>0</v>
      </c>
      <c r="BC64" s="16">
        <f>SUM(BC60,BC61)</f>
        <v>0</v>
      </c>
      <c r="BD64" s="16">
        <f>SUM(BD60,BD61)</f>
        <v>0</v>
      </c>
      <c r="BE64" s="16">
        <f>SUM(BE60,BE61)</f>
        <v>0</v>
      </c>
      <c r="BF64" s="16">
        <f>SUM(BF60,BF61)</f>
        <v>0</v>
      </c>
      <c r="BG64" s="16">
        <f>SUM(BG60,BG61)</f>
        <v>0</v>
      </c>
      <c r="BH64" s="16">
        <f>SUM(BH60,BH61)</f>
        <v>0</v>
      </c>
      <c r="BI64" s="16">
        <f>SUM(BI60,BI61)</f>
        <v>0</v>
      </c>
      <c r="BJ64" s="16">
        <f>SUM(BJ60,BJ61)</f>
        <v>0</v>
      </c>
      <c r="BK64" s="16">
        <f>SUM(BK60,BK61)</f>
        <v>0</v>
      </c>
      <c r="BL64" s="16">
        <f>SUM(BL60,BL61)</f>
        <v>0</v>
      </c>
      <c r="BM64" s="16">
        <f>SUM(BM60,BM61)</f>
        <v>0</v>
      </c>
      <c r="BN64" s="16">
        <f>SUM(BN60,BN61)</f>
        <v>0</v>
      </c>
      <c r="BO64" s="16">
        <f>SUM(BO60,BO61)</f>
        <v>0</v>
      </c>
      <c r="BP64" s="16">
        <f>SUM(BP60,BP61)</f>
        <v>0</v>
      </c>
      <c r="BQ64" s="16">
        <f>SUM(BQ60,BQ61)</f>
        <v>0</v>
      </c>
      <c r="BR64" s="16">
        <f>SUM(BR60,BR61)</f>
        <v>0</v>
      </c>
      <c r="BS64" s="16">
        <f>SUM(BS60,BS61)</f>
        <v>0</v>
      </c>
      <c r="BT64" s="16">
        <f>SUM(BT60,BT61)</f>
        <v>0</v>
      </c>
      <c r="BU64" s="16">
        <f>SUM(BU60,BU61)</f>
        <v>0</v>
      </c>
      <c r="BV64" s="16">
        <f>SUM(BV60,BV61)</f>
        <v>0</v>
      </c>
      <c r="BW64" s="16">
        <f>SUM(BW60,BW61)</f>
        <v>0</v>
      </c>
      <c r="BX64" s="16">
        <f>SUM(BX60,BX61)</f>
        <v>0</v>
      </c>
      <c r="BY64" s="16">
        <f>SUM(BY60,BY61)</f>
        <v>0</v>
      </c>
      <c r="BZ64" s="16">
        <f>SUM(BZ60,BZ61)</f>
        <v>0</v>
      </c>
      <c r="CA64" s="16">
        <f>SUM(CA60,CA61)</f>
        <v>0</v>
      </c>
      <c r="CB64" s="16">
        <f>SUM(CB60,CB61)</f>
        <v>0</v>
      </c>
      <c r="CC64" s="16">
        <f>SUM(CC60,CC61)</f>
        <v>0</v>
      </c>
      <c r="CD64" s="16">
        <f>SUM(CD60,CD61)</f>
        <v>0</v>
      </c>
      <c r="CE64" s="16">
        <f>SUM(CE60,CE61)</f>
        <v>0</v>
      </c>
      <c r="CF64" s="16">
        <f>SUM(CF60,CF61)</f>
        <v>0</v>
      </c>
      <c r="CG64" s="16">
        <f>SUM(CG60,CG61)</f>
        <v>0</v>
      </c>
      <c r="CH64" s="16">
        <f>SUM(CH60,CH61)</f>
        <v>0</v>
      </c>
      <c r="CI64" s="16">
        <f>SUM(CI60,CI61)</f>
        <v>0</v>
      </c>
      <c r="CJ64" s="16">
        <f>SUM(CJ60,CJ61)</f>
        <v>0</v>
      </c>
      <c r="CK64" s="16">
        <f>SUM(CK60,CK61)</f>
        <v>0</v>
      </c>
      <c r="CL64" s="16">
        <f>SUM(CL60,CL61)</f>
        <v>0</v>
      </c>
      <c r="CM64" s="16">
        <f>SUM(CM60,CM61)</f>
        <v>0</v>
      </c>
      <c r="CN64" s="16">
        <f>SUM(CN60,CN61)</f>
        <v>0</v>
      </c>
      <c r="CO64" s="16">
        <f>SUM(CO60,CO61)</f>
        <v>0</v>
      </c>
      <c r="CP64" s="16">
        <f>SUM(CP60,CP61)</f>
        <v>0</v>
      </c>
      <c r="CQ64" s="16">
        <f>SUM(CQ60,CQ61)</f>
        <v>0</v>
      </c>
      <c r="CR64" s="16">
        <f>SUM(CR60,CR61)</f>
        <v>0</v>
      </c>
      <c r="CS64" s="16">
        <f>SUM(CS60,CS61)</f>
        <v>0</v>
      </c>
      <c r="CT64" s="16">
        <f>SUM(CT60,CT61)</f>
        <v>0</v>
      </c>
      <c r="CU64" s="16">
        <f>SUM(CU60,CU61)</f>
        <v>0</v>
      </c>
      <c r="CV64" s="16">
        <f>SUM(CV60,CV61)</f>
        <v>0</v>
      </c>
      <c r="CW64" s="16">
        <f>SUM(CW60,CW61)</f>
        <v>0</v>
      </c>
      <c r="CX64" s="16">
        <f>SUM(CX60,CX61)</f>
        <v>0</v>
      </c>
      <c r="CY64" s="16">
        <f>SUM(CY60,CY61)</f>
        <v>0</v>
      </c>
    </row>
    <row r="65">
      <c r="C65" s="26" t="inlineStr">
        <is>
          <t>Interest Expense</t>
        </is>
      </c>
      <c r="D65" s="25">
        <f>INDEX('Inputs (2)'!$D$8:$AL$8,MATCH(D$7,'Inputs (2)'!$D$2:$AL$2,0))</f>
        <v>-148</v>
      </c>
      <c r="E65" s="25">
        <f>INDEX('Inputs (2)'!$D$8:$AL$8,MATCH(E$7,'Inputs (2)'!$D$2:$AL$2,0))</f>
        <v>-149</v>
      </c>
      <c r="F65" s="25">
        <f>INDEX('Inputs (2)'!$D$8:$AL$8,MATCH(F$7,'Inputs (2)'!$D$2:$AL$2,0))</f>
        <v>-145</v>
      </c>
      <c r="G65" s="25">
        <f>INDEX('Inputs (2)'!$D$8:$AL$8,MATCH(G$7,'Inputs (2)'!$D$2:$AL$2,0))</f>
        <v>-149</v>
      </c>
      <c r="H65" s="3">
        <f>SUM(D65:G65)</f>
        <v>-591</v>
      </c>
      <c r="I65" s="25">
        <f>INDEX('Inputs (2)'!$D$8:$AL$8,MATCH(I$7,'Inputs (2)'!$D$2:$AL$2,0))</f>
        <v>-140</v>
      </c>
      <c r="J65" s="25">
        <f>INDEX('Inputs (2)'!$D$8:$AL$8,MATCH(J$7,'Inputs (2)'!$D$2:$AL$2,0))</f>
        <v>-142</v>
      </c>
      <c r="K65" s="25">
        <f>INDEX('Inputs (2)'!$D$8:$AL$8,MATCH(K$7,'Inputs (2)'!$D$2:$AL$2,0))</f>
        <v>-141</v>
      </c>
      <c r="L65" s="25">
        <f>INDEX('Inputs (2)'!$D$8:$AL$8,MATCH(L$7,'Inputs (2)'!$D$2:$AL$2,0))</f>
        <v>-146</v>
      </c>
      <c r="M65" s="3">
        <f>SUM(I65:L65)</f>
        <v>-569</v>
      </c>
      <c r="N65" s="25">
        <f>INDEX('Inputs (2)'!$D$8:$AL$8,MATCH(N$7,'Inputs (2)'!$D$2:$AL$2,0))</f>
        <v>-135</v>
      </c>
      <c r="O65" s="25">
        <f>INDEX('Inputs (2)'!$D$8:$AL$8,MATCH(O$7,'Inputs (2)'!$D$2:$AL$2,0))</f>
        <v>-141</v>
      </c>
      <c r="P65" s="25">
        <f>INDEX('Inputs (2)'!$D$8:$AL$8,MATCH(P$7,'Inputs (2)'!$D$2:$AL$2,0))</f>
        <v>-145</v>
      </c>
      <c r="Q65" s="25">
        <f>INDEX('Inputs (2)'!$D$8:$AL$8,MATCH(Q$7,'Inputs (2)'!$D$2:$AL$2,0))</f>
        <v>-202</v>
      </c>
      <c r="R65" s="3">
        <f>SUM(N65:Q65)</f>
        <v>-623</v>
      </c>
      <c r="S65" s="25">
        <f>INDEX('Inputs (2)'!$D$8:$AL$8,MATCH(S$7,'Inputs (2)'!$D$2:$AL$2,0))</f>
        <v>-202</v>
      </c>
      <c r="T65" s="25">
        <f>INDEX('Inputs (2)'!$D$8:$AL$8,MATCH(T$7,'Inputs (2)'!$D$2:$AL$2,0))</f>
        <v>-223</v>
      </c>
      <c r="U65" s="25">
        <f>INDEX('Inputs (2)'!$D$8:$AL$8,MATCH(U$7,'Inputs (2)'!$D$2:$AL$2,0))</f>
        <v>-237</v>
      </c>
      <c r="V65" s="25">
        <f>INDEX('Inputs (2)'!$D$8:$AL$8,MATCH(V$7,'Inputs (2)'!$D$2:$AL$2,0))</f>
        <v>-254</v>
      </c>
      <c r="W65" s="3">
        <f>SUM(S65:V65)</f>
        <v>-916</v>
      </c>
      <c r="X65" s="25">
        <f>INDEX('Inputs (2)'!$D$8:$AL$8,MATCH(X$7,'Inputs (2)'!$D$2:$AL$2,0))</f>
        <v>-255</v>
      </c>
      <c r="Y65" s="25">
        <f>INDEX('Inputs (2)'!$D$8:$AL$8,MATCH(Y$7,'Inputs (2)'!$D$2:$AL$2,0))</f>
        <v>-261</v>
      </c>
      <c r="Z65" s="25">
        <f>INDEX('Inputs (2)'!$D$8:$AL$8,MATCH(Z$7,'Inputs (2)'!$D$2:$AL$2,0))</f>
        <v>-256</v>
      </c>
      <c r="AA65" s="25">
        <f>INDEX('Inputs (2)'!$D$8:$AL$8,MATCH(AA$7,'Inputs (2)'!$D$2:$AL$2,0))</f>
        <v>-264</v>
      </c>
      <c r="AB65" s="3">
        <f>SUM(X65:AA65)</f>
        <v>-1036</v>
      </c>
      <c r="AC65" s="25">
        <f>INDEX('Inputs (2)'!$D$8:$AL$8,MATCH(AC$7,'Inputs (2)'!$D$2:$AL$2,0))</f>
        <v>-268</v>
      </c>
      <c r="AD65" s="25">
        <f>INDEX('Inputs (2)'!$D$8:$AL$8,MATCH(AD$7,'Inputs (2)'!$D$2:$AL$2,0))</f>
        <v>-274</v>
      </c>
      <c r="AE65" s="25">
        <f>INDEX('Inputs (2)'!$D$8:$AL$8,MATCH(AE$7,'Inputs (2)'!$D$2:$AL$2,0))</f>
        <v>-286</v>
      </c>
      <c r="AF65" s="25">
        <f>INDEX('Inputs (2)'!$D$8:$AL$8,MATCH(AF$7,'Inputs (2)'!$D$2:$AL$2,0))</f>
        <v>-290</v>
      </c>
      <c r="AG65" s="3">
        <f>SUM(AC65:AF65)</f>
        <v>-1118</v>
      </c>
      <c r="AH65" s="3">
        <f>INDEX('Inputs (2)'!$D$8:$AL$8,MATCH(AH$7,'Inputs (2)'!$D$2:$AL$2,0))</f>
        <v>-269</v>
      </c>
      <c r="AI65" s="3">
        <f>INDEX('Inputs (2)'!$D$8:$AL$8,MATCH(AI$7,'Inputs (2)'!$D$2:$AL$2,0))</f>
        <v>-266</v>
      </c>
      <c r="AJ65" s="3" t="n"/>
      <c r="AK65" s="3" t="n"/>
      <c r="AL65" s="3">
        <f>SUM(AH65:AK65)</f>
        <v>-535</v>
      </c>
      <c r="AM65" s="3" t="n"/>
      <c r="AN65" s="3" t="n"/>
      <c r="AO65" s="3" t="n"/>
      <c r="AP65" s="3" t="n"/>
      <c r="AQ65" s="3">
        <f>SUM(AM65:AP65)</f>
        <v>0</v>
      </c>
      <c r="AR65" s="3" t="n"/>
      <c r="AS65" s="3" t="n"/>
      <c r="AT65" s="3" t="n"/>
      <c r="AU65" s="3" t="n"/>
      <c r="AV65" s="3">
        <f>SUM(AR65:AU65)</f>
        <v>0</v>
      </c>
      <c r="AW65" s="3" t="n"/>
      <c r="AX65" s="3" t="n"/>
      <c r="AY65" s="3" t="n"/>
      <c r="AZ65" s="3" t="n"/>
      <c r="BA65" s="3">
        <f>SUM(AW65:AZ65)</f>
        <v>0</v>
      </c>
      <c r="BB65" s="3" t="n"/>
      <c r="BC65" s="3" t="n"/>
      <c r="BD65" s="3" t="n"/>
      <c r="BE65" s="3" t="n"/>
      <c r="BF65" s="3">
        <f>SUM(BB65:BE65)</f>
        <v>0</v>
      </c>
      <c r="BG65" s="3" t="n"/>
      <c r="BH65" s="3" t="n"/>
      <c r="BI65" s="3" t="n"/>
      <c r="BJ65" s="3" t="n"/>
      <c r="BK65" s="3">
        <f>SUM(BG65:BJ65)</f>
        <v>0</v>
      </c>
      <c r="BL65" s="3" t="n"/>
      <c r="BM65" s="3" t="n"/>
      <c r="BN65" s="3" t="n"/>
      <c r="BO65" s="3" t="n"/>
      <c r="BP65" s="3">
        <f>SUM(BL65:BO65)</f>
        <v>0</v>
      </c>
      <c r="BQ65" s="3" t="n"/>
      <c r="BR65" s="3" t="n"/>
      <c r="BS65" s="3" t="n"/>
      <c r="BT65" s="3" t="n"/>
      <c r="BU65" s="3">
        <f>SUM(BQ65:BT65)</f>
        <v>0</v>
      </c>
      <c r="BV65" s="3" t="n"/>
      <c r="BW65" s="3" t="n"/>
      <c r="BX65" s="3" t="n"/>
      <c r="BY65" s="3" t="n"/>
      <c r="BZ65" s="3">
        <f>SUM(BV65:BY65)</f>
        <v>0</v>
      </c>
      <c r="CA65" s="3" t="n"/>
      <c r="CB65" s="3" t="n"/>
      <c r="CC65" s="3" t="n"/>
      <c r="CD65" s="3" t="n"/>
      <c r="CE65" s="3">
        <f>SUM(CA65:CD65)</f>
        <v>0</v>
      </c>
      <c r="CF65" s="3" t="n"/>
      <c r="CG65" s="3" t="n"/>
      <c r="CH65" s="3" t="n"/>
      <c r="CI65" s="3" t="n"/>
      <c r="CJ65" s="3">
        <f>SUM(CF65:CI65)</f>
        <v>0</v>
      </c>
      <c r="CK65" s="3" t="n"/>
      <c r="CL65" s="3" t="n"/>
      <c r="CM65" s="3" t="n"/>
      <c r="CN65" s="3" t="n"/>
      <c r="CO65" s="3">
        <f>SUM(CK65:CN65)</f>
        <v>0</v>
      </c>
      <c r="CP65" s="3" t="n"/>
      <c r="CQ65" s="3" t="n"/>
      <c r="CR65" s="3" t="n"/>
      <c r="CS65" s="3" t="n"/>
      <c r="CT65" s="3">
        <f>SUM(CP65:CS65)</f>
        <v>0</v>
      </c>
      <c r="CU65" s="3" t="n"/>
      <c r="CV65" s="3" t="n"/>
      <c r="CW65" s="3" t="n"/>
      <c r="CX65" s="3" t="n"/>
      <c r="CY65" s="3">
        <f>SUM(CU65:CX65)</f>
        <v>0</v>
      </c>
    </row>
    <row r="66" hidden="1" outlineLevel="1">
      <c r="C66" s="32" t="inlineStr">
        <is>
          <t>% of Debt</t>
        </is>
      </c>
      <c r="D66" s="48">
        <f>IFERROR(-D65/SUM(D203+D208),0)</f>
        <v>0.0116636456773583</v>
      </c>
      <c r="E66" s="48">
        <f>IFERROR(-E65/SUM(E203+E208),0)</f>
        <v>0.0117563515859239</v>
      </c>
      <c r="F66" s="48">
        <f>IFERROR(-F65/SUM(F203+F208),0)</f>
        <v>0.011439842209073</v>
      </c>
      <c r="G66" s="48">
        <f>IFERROR(-G65/SUM(G203+G208),0)</f>
        <v>0.0122442271345221</v>
      </c>
      <c r="H66" s="3" t="n"/>
      <c r="I66" s="48">
        <f>IFERROR(-I65/SUM(I203+I208),0)</f>
        <v>0.0115103181780811</v>
      </c>
      <c r="J66" s="48">
        <f>IFERROR(-J65/SUM(J203+J208),0)</f>
        <v>0.011667077479254</v>
      </c>
      <c r="K66" s="48">
        <f>IFERROR(-K65/SUM(K203+K208),0)</f>
        <v>0.0120781223231112</v>
      </c>
      <c r="L66" s="48">
        <f>IFERROR(-L65/SUM(L203+L208),0)</f>
        <v>0.012504282288455</v>
      </c>
      <c r="M66" s="3" t="n"/>
      <c r="N66" s="48">
        <f>IFERROR(-N65/SUM(N203+N208),0)</f>
        <v>0.0115929583512237</v>
      </c>
      <c r="O66" s="48">
        <f>IFERROR(-O65/SUM(O203+O208),0)</f>
        <v>0.012109240810718</v>
      </c>
      <c r="P66" s="48">
        <f>IFERROR(-P65/SUM(P203+P208),0)</f>
        <v>0.0126306620209059</v>
      </c>
      <c r="Q66" s="48">
        <f>IFERROR(-Q65/SUM(Q203+Q208),0)</f>
        <v>0.013092228919567</v>
      </c>
      <c r="R66" s="3" t="n"/>
      <c r="S66" s="48">
        <f>IFERROR(-S65/SUM(S203+S208),0)</f>
        <v>0.0129487179487179</v>
      </c>
      <c r="T66" s="48">
        <f>IFERROR(-T65/SUM(T203+T208),0)</f>
        <v>0.0127101738387005</v>
      </c>
      <c r="U66" s="48">
        <f>IFERROR(-U65/SUM(U203+U208),0)</f>
        <v>0.0136293058830295</v>
      </c>
      <c r="V66" s="48">
        <f>IFERROR(-V65/SUM(V203+V208),0)</f>
        <v>0.0145483704679535</v>
      </c>
      <c r="W66" s="3" t="n"/>
      <c r="X66" s="48">
        <f>IFERROR(-X65/SUM(X203+X208),0)</f>
        <v>0.0131321454320733</v>
      </c>
      <c r="Y66" s="48">
        <f>IFERROR(-Y65/SUM(Y203+Y208),0)</f>
        <v>0.0135535130082567</v>
      </c>
      <c r="Z66" s="48">
        <f>IFERROR(-Z65/SUM(Z203+Z208),0)</f>
        <v>0.0132498317892449</v>
      </c>
      <c r="AA66" s="48">
        <f>IFERROR(-AA65/SUM(AA203+AA208),0)</f>
        <v>0.0130241736556487</v>
      </c>
      <c r="AB66" s="3" t="n"/>
      <c r="AC66" s="48">
        <f>IFERROR(-AC65/SUM(AC203+AC208),0)</f>
        <v>0.0131993695823483</v>
      </c>
      <c r="AD66" s="48">
        <f>IFERROR(-AD65/SUM(AD203+AD208),0)</f>
        <v>0.0126629078473057</v>
      </c>
      <c r="AE66" s="48">
        <f>IFERROR(-AE65/SUM(AE203+AE208),0)</f>
        <v>0.0128892694578395</v>
      </c>
      <c r="AF66" s="231">
        <f>IFERROR(-AF65/SUM(AF203+AF208),0)</f>
        <v>0.0133640552995392</v>
      </c>
      <c r="AG66" s="3" t="n"/>
      <c r="AH66" s="6">
        <f>IFERROR(-AH65/SUM(AH203+AH208),0)</f>
        <v>0.0129970527129536</v>
      </c>
      <c r="AI66" s="6">
        <f>IFERROR(-AI65/SUM(AI203+AI208),0)</f>
        <v>0.0129516019086571</v>
      </c>
      <c r="AJ66" s="6" t="n"/>
      <c r="AK66" s="6" t="n"/>
      <c r="AL66" s="3" t="n"/>
      <c r="AM66" s="6" t="n"/>
      <c r="AN66" s="6" t="n"/>
      <c r="AO66" s="6" t="n"/>
      <c r="AP66" s="6" t="n"/>
      <c r="AQ66" s="3" t="n"/>
      <c r="AR66" s="6" t="n"/>
      <c r="AS66" s="6" t="n"/>
      <c r="AT66" s="6" t="n"/>
      <c r="AU66" s="6" t="n"/>
      <c r="AV66" s="3" t="n"/>
      <c r="AW66" s="6" t="n"/>
      <c r="AX66" s="6" t="n"/>
      <c r="AY66" s="6" t="n"/>
      <c r="AZ66" s="6" t="n"/>
      <c r="BA66" s="3" t="n"/>
      <c r="BB66" s="6" t="n"/>
      <c r="BC66" s="6" t="n"/>
      <c r="BD66" s="6" t="n"/>
      <c r="BE66" s="6" t="n"/>
      <c r="BF66" s="3" t="n"/>
      <c r="BG66" s="6" t="n"/>
      <c r="BH66" s="6" t="n"/>
      <c r="BI66" s="6" t="n"/>
      <c r="BJ66" s="6" t="n"/>
      <c r="BK66" s="3" t="n"/>
      <c r="BL66" s="6" t="n"/>
      <c r="BM66" s="6" t="n"/>
      <c r="BN66" s="6" t="n"/>
      <c r="BO66" s="6" t="n"/>
      <c r="BP66" s="3" t="n"/>
      <c r="BQ66" s="6" t="n"/>
      <c r="BR66" s="6" t="n"/>
      <c r="BS66" s="6" t="n"/>
      <c r="BT66" s="6" t="n"/>
      <c r="BU66" s="3" t="n"/>
      <c r="BV66" s="6" t="n"/>
      <c r="BW66" s="6" t="n"/>
      <c r="BX66" s="6" t="n"/>
      <c r="BY66" s="6" t="n"/>
      <c r="BZ66" s="3" t="n"/>
      <c r="CA66" s="6" t="n"/>
      <c r="CB66" s="6" t="n"/>
      <c r="CC66" s="6" t="n"/>
      <c r="CD66" s="6" t="n"/>
      <c r="CE66" s="3" t="n"/>
      <c r="CF66" s="6" t="n"/>
      <c r="CG66" s="6" t="n"/>
      <c r="CH66" s="6" t="n"/>
      <c r="CI66" s="6" t="n"/>
      <c r="CJ66" s="3" t="n"/>
      <c r="CK66" s="6" t="n"/>
      <c r="CL66" s="6" t="n"/>
      <c r="CM66" s="6" t="n"/>
      <c r="CN66" s="6" t="n"/>
      <c r="CO66" s="3" t="n"/>
      <c r="CP66" s="6" t="n"/>
      <c r="CQ66" s="6" t="n"/>
      <c r="CR66" s="6" t="n"/>
      <c r="CS66" s="6" t="n"/>
      <c r="CT66" s="3" t="n"/>
      <c r="CU66" s="6" t="n"/>
      <c r="CV66" s="6" t="n"/>
      <c r="CW66" s="6" t="n"/>
      <c r="CX66" s="6" t="n"/>
      <c r="CY66" s="3" t="n"/>
    </row>
    <row r="67" hidden="1" outlineLevel="1">
      <c r="C67" s="32" t="inlineStr">
        <is>
          <t>%CDI</t>
        </is>
      </c>
      <c r="D67" s="6" t="n"/>
      <c r="E67" s="6" t="n"/>
      <c r="F67" s="6" t="n"/>
      <c r="G67" s="6" t="n"/>
      <c r="H67" s="3" t="n"/>
      <c r="I67" s="6" t="n"/>
      <c r="J67" s="6" t="n"/>
      <c r="K67" s="6" t="n"/>
      <c r="L67" s="6" t="n"/>
      <c r="M67" s="3" t="n"/>
      <c r="N67" s="6" t="n"/>
      <c r="O67" s="6" t="n"/>
      <c r="P67" s="6" t="n"/>
      <c r="Q67" s="6" t="n"/>
      <c r="R67" s="3" t="n"/>
      <c r="S67" s="6" t="n"/>
      <c r="T67" s="6" t="n"/>
      <c r="U67" s="6" t="n"/>
      <c r="V67" s="6" t="n"/>
      <c r="W67" s="3" t="n"/>
      <c r="X67" s="6" t="n"/>
      <c r="Y67" s="6" t="n"/>
      <c r="Z67" s="6" t="n"/>
      <c r="AA67" s="6" t="n"/>
      <c r="AB67" s="3" t="n"/>
      <c r="AC67" s="6" t="n"/>
      <c r="AD67" s="6" t="n"/>
      <c r="AE67" s="6" t="n"/>
      <c r="AF67" s="6" t="n"/>
      <c r="AG67" s="3" t="n"/>
      <c r="AH67" s="6" t="n"/>
      <c r="AI67" s="6" t="n"/>
      <c r="AJ67" s="6" t="n"/>
      <c r="AK67" s="6" t="n"/>
      <c r="AL67" s="3" t="n"/>
      <c r="AM67" s="6" t="n"/>
      <c r="AN67" s="6" t="n"/>
      <c r="AO67" s="6" t="n"/>
      <c r="AP67" s="6" t="n"/>
      <c r="AQ67" s="3" t="n"/>
      <c r="AR67" s="6" t="n"/>
      <c r="AS67" s="6" t="n"/>
      <c r="AT67" s="6" t="n"/>
      <c r="AU67" s="6" t="n"/>
      <c r="AV67" s="3" t="n"/>
      <c r="AW67" s="6" t="n"/>
      <c r="AX67" s="6" t="n"/>
      <c r="AY67" s="6" t="n"/>
      <c r="AZ67" s="6" t="n"/>
      <c r="BA67" s="3" t="n"/>
      <c r="BB67" s="6" t="n"/>
      <c r="BC67" s="6" t="n"/>
      <c r="BD67" s="6" t="n"/>
      <c r="BE67" s="6" t="n"/>
      <c r="BF67" s="3" t="n"/>
      <c r="BG67" s="6" t="n"/>
      <c r="BH67" s="6" t="n"/>
      <c r="BI67" s="6" t="n"/>
      <c r="BJ67" s="6" t="n"/>
      <c r="BK67" s="3" t="n"/>
      <c r="BL67" s="6" t="n"/>
      <c r="BM67" s="6" t="n"/>
      <c r="BN67" s="6" t="n"/>
      <c r="BO67" s="6" t="n"/>
      <c r="BP67" s="3" t="n"/>
      <c r="BQ67" s="6" t="n"/>
      <c r="BR67" s="6" t="n"/>
      <c r="BS67" s="6" t="n"/>
      <c r="BT67" s="6" t="n"/>
      <c r="BU67" s="3" t="n"/>
      <c r="BV67" s="6" t="n"/>
      <c r="BW67" s="6" t="n"/>
      <c r="BX67" s="6" t="n"/>
      <c r="BY67" s="6" t="n"/>
      <c r="BZ67" s="3" t="n"/>
      <c r="CA67" s="6" t="n"/>
      <c r="CB67" s="6" t="n"/>
      <c r="CC67" s="6" t="n"/>
      <c r="CD67" s="6" t="n"/>
      <c r="CE67" s="3" t="n"/>
      <c r="CF67" s="6" t="n"/>
      <c r="CG67" s="6" t="n"/>
      <c r="CH67" s="6" t="n"/>
      <c r="CI67" s="6" t="n"/>
      <c r="CJ67" s="3" t="n"/>
      <c r="CK67" s="6" t="n"/>
      <c r="CL67" s="6" t="n"/>
      <c r="CM67" s="6" t="n"/>
      <c r="CN67" s="6" t="n"/>
      <c r="CO67" s="3" t="n"/>
      <c r="CP67" s="6" t="n"/>
      <c r="CQ67" s="6" t="n"/>
      <c r="CR67" s="6" t="n"/>
      <c r="CS67" s="6" t="n"/>
      <c r="CT67" s="3" t="n"/>
      <c r="CU67" s="6" t="n"/>
      <c r="CV67" s="6" t="n"/>
      <c r="CW67" s="6" t="n"/>
      <c r="CX67" s="6" t="n"/>
      <c r="CY67" s="3" t="n"/>
    </row>
    <row r="68" hidden="1" outlineLevel="1">
      <c r="C68" s="34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inlineStr">
        <is>
          <t>RECEITA FINANCEIRA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DESPESA FINANCEIRA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OUTROS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Cash and equivalents (inc. investment securities)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Interest on cash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Average interest rate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% CDI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Current portion of long-term debt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Short term debt (Revolving credit facility)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Long term debt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Convertible debt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Total debt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Interest expense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Average interest rate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Stake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PRE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CDI+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Spread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PRE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CDI+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RECEITAS FINANCEIRAS - Rendimentos de aplicações financeiras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RECEITAS FINANCEIRAS - Variação cambial ativa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RECEITAS FINANCEIRAS - Atualização de contas a pagar por aquisição de empresas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RECEITAS FINANCEIRAS - Resultado positivo com instrumentos derivativos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RECEITAS FINANCEIRAS - Descontos obtidos de fornecedores por antecipação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RECEITAS FINANCEIRAS - Atualização monetária sobre Exclusão ICMS da base de PIS/COFINS (nota explicativa nº 7)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RECEITAS FINANCEIRAS - Outras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DESPESAS FINANCEIRAS - Encargos sobre empréstimos, financiamentos e debêntures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DESPESAS FINANCEIRAS - Variação cambial passiva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DESPESAS FINANCEIRAS - Resultado negativo com instrumentos derivativos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DESPESAS FINANCEIRAS - Juros sobre arrendamento - IFRS16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DESPESAS FINANCEIRAS - Despesas bancárias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DESPESAS FINANCEIRAS - Despesas com obtenção de empréstimos e financiamentos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DESPESAS FINANCEIRAS - Atualização de contas a pagar por aquisição de empresas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DESPESAS FINANCEIRAS - Outras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CHECK [EX IFRS-16]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collapsed="1">
      <c r="C114" s="26" t="inlineStr">
        <is>
          <t>Nonoperating Income / (Loss)</t>
        </is>
      </c>
      <c r="D114" s="25">
        <f>INDEX('Inputs (2)'!$D$9:$AL$9,MATCH(D$7,'Inputs (2)'!$D$2:$AL$2,0))</f>
        <v>56</v>
      </c>
      <c r="E114" s="25">
        <f>INDEX('Inputs (2)'!$D$9:$AL$9,MATCH(E$7,'Inputs (2)'!$D$2:$AL$2,0))</f>
        <v>25</v>
      </c>
      <c r="F114" s="25">
        <f>INDEX('Inputs (2)'!$D$9:$AL$9,MATCH(F$7,'Inputs (2)'!$D$2:$AL$2,0))</f>
        <v>54</v>
      </c>
      <c r="G114" s="25">
        <f>INDEX('Inputs (2)'!$D$9:$AL$9,MATCH(G$7,'Inputs (2)'!$D$2:$AL$2,0))</f>
        <v>47</v>
      </c>
      <c r="H114" s="3">
        <f>SUM(D114:G114)</f>
        <v>182</v>
      </c>
      <c r="I114" s="25">
        <f>INDEX('Inputs (2)'!$D$9:$AL$9,MATCH(I$7,'Inputs (2)'!$D$2:$AL$2,0))</f>
        <v>169</v>
      </c>
      <c r="J114" s="25">
        <f>INDEX('Inputs (2)'!$D$9:$AL$9,MATCH(J$7,'Inputs (2)'!$D$2:$AL$2,0))</f>
        <v>120</v>
      </c>
      <c r="K114" s="25">
        <f>INDEX('Inputs (2)'!$D$9:$AL$9,MATCH(K$7,'Inputs (2)'!$D$2:$AL$2,0))</f>
        <v>-1474</v>
      </c>
      <c r="L114" s="25">
        <f>INDEX('Inputs (2)'!$D$9:$AL$9,MATCH(L$7,'Inputs (2)'!$D$2:$AL$2,0))</f>
        <v>181</v>
      </c>
      <c r="M114" s="3">
        <f>SUM(I114:L114)</f>
        <v>-1004</v>
      </c>
      <c r="N114" s="25">
        <f>INDEX('Inputs (2)'!$D$9:$AL$9,MATCH(N$7,'Inputs (2)'!$D$2:$AL$2,0))</f>
        <v>263</v>
      </c>
      <c r="O114" s="25">
        <f>INDEX('Inputs (2)'!$D$9:$AL$9,MATCH(O$7,'Inputs (2)'!$D$2:$AL$2,0))</f>
        <v>-1492</v>
      </c>
      <c r="P114" s="25">
        <f>INDEX('Inputs (2)'!$D$9:$AL$9,MATCH(P$7,'Inputs (2)'!$D$2:$AL$2,0))</f>
        <v>85</v>
      </c>
      <c r="Q114" s="25">
        <f>INDEX('Inputs (2)'!$D$9:$AL$9,MATCH(Q$7,'Inputs (2)'!$D$2:$AL$2,0))</f>
        <v>99</v>
      </c>
      <c r="R114" s="3">
        <f>SUM(N114:Q114)</f>
        <v>-1045</v>
      </c>
      <c r="S114" s="25">
        <f>INDEX('Inputs (2)'!$D$9:$AL$9,MATCH(S$7,'Inputs (2)'!$D$2:$AL$2,0))</f>
        <v>159</v>
      </c>
      <c r="T114" s="25">
        <f>INDEX('Inputs (2)'!$D$9:$AL$9,MATCH(T$7,'Inputs (2)'!$D$2:$AL$2,0))</f>
        <v>94</v>
      </c>
      <c r="U114" s="25">
        <f>INDEX('Inputs (2)'!$D$9:$AL$9,MATCH(U$7,'Inputs (2)'!$D$2:$AL$2,0))</f>
        <v>148</v>
      </c>
      <c r="V114" s="25">
        <f>INDEX('Inputs (2)'!$D$9:$AL$9,MATCH(V$7,'Inputs (2)'!$D$2:$AL$2,0))</f>
        <v>106</v>
      </c>
      <c r="W114" s="3">
        <f>SUM(S114:V114)</f>
        <v>507</v>
      </c>
      <c r="X114" s="25">
        <f>INDEX('Inputs (2)'!$D$9:$AL$9,MATCH(X$7,'Inputs (2)'!$D$2:$AL$2,0))</f>
        <v>61</v>
      </c>
      <c r="Y114" s="25">
        <f>INDEX('Inputs (2)'!$D$9:$AL$9,MATCH(Y$7,'Inputs (2)'!$D$2:$AL$2,0))</f>
        <v>61</v>
      </c>
      <c r="Z114" s="25">
        <f>INDEX('Inputs (2)'!$D$9:$AL$9,MATCH(Z$7,'Inputs (2)'!$D$2:$AL$2,0))</f>
        <v>34</v>
      </c>
      <c r="AA114" s="25">
        <f>INDEX('Inputs (2)'!$D$9:$AL$9,MATCH(AA$7,'Inputs (2)'!$D$2:$AL$2,0))</f>
        <v>87</v>
      </c>
      <c r="AB114" s="3">
        <f>SUM(X114:AA114)</f>
        <v>243</v>
      </c>
      <c r="AC114" s="25">
        <f>INDEX('Inputs (2)'!$D$9:$AL$9,MATCH(AC$7,'Inputs (2)'!$D$2:$AL$2,0))</f>
        <v>-68</v>
      </c>
      <c r="AD114" s="25">
        <f>INDEX('Inputs (2)'!$D$9:$AL$9,MATCH(AD$7,'Inputs (2)'!$D$2:$AL$2,0))</f>
        <v>-57</v>
      </c>
      <c r="AE114" s="25">
        <f>INDEX('Inputs (2)'!$D$9:$AL$9,MATCH(AE$7,'Inputs (2)'!$D$2:$AL$2,0))</f>
        <v>-56</v>
      </c>
      <c r="AF114" s="25">
        <f>INDEX('Inputs (2)'!$D$9:$AL$9,MATCH(AF$7,'Inputs (2)'!$D$2:$AL$2,0))</f>
        <v>-510</v>
      </c>
      <c r="AG114" s="3">
        <f>SUM(AC114:AF114)</f>
        <v>-691</v>
      </c>
      <c r="AH114" s="3">
        <f>INDEX('Inputs (2)'!$D$9:$AL$9,MATCH(AH$7,'Inputs (2)'!$D$2:$AL$2,0))</f>
        <v>-20</v>
      </c>
      <c r="AI114" s="3">
        <f>INDEX('Inputs (2)'!$D$9:$AL$9,MATCH(AI$7,'Inputs (2)'!$D$2:$AL$2,0))</f>
        <v>-35</v>
      </c>
      <c r="AJ114" s="3">
        <f>AH114</f>
        <v>-20</v>
      </c>
      <c r="AK114" s="3">
        <f>AI114</f>
        <v>-35</v>
      </c>
      <c r="AL114" s="3">
        <f>SUM(AH114:AK114)</f>
        <v>-110</v>
      </c>
      <c r="AM114" s="3">
        <f>AK114</f>
        <v>-35</v>
      </c>
      <c r="AN114" s="3">
        <f>AL114</f>
        <v>-110</v>
      </c>
      <c r="AO114" s="3">
        <f>AM114</f>
        <v>-35</v>
      </c>
      <c r="AP114" s="3">
        <f>AN114</f>
        <v>-110</v>
      </c>
      <c r="AQ114" s="3">
        <f>SUM(AM114:AP114)</f>
        <v>-290</v>
      </c>
      <c r="AR114" s="3">
        <f>AP114</f>
        <v>-110</v>
      </c>
      <c r="AS114" s="3">
        <f>AQ114</f>
        <v>-290</v>
      </c>
      <c r="AT114" s="3">
        <f>AR114</f>
        <v>-110</v>
      </c>
      <c r="AU114" s="3">
        <f>AS114</f>
        <v>-290</v>
      </c>
      <c r="AV114" s="3">
        <f>SUM(AR114:AU114)</f>
        <v>-800</v>
      </c>
      <c r="AW114" s="3">
        <f>AU114</f>
        <v>-290</v>
      </c>
      <c r="AX114" s="3">
        <f>AV114</f>
        <v>-800</v>
      </c>
      <c r="AY114" s="3">
        <f>AW114</f>
        <v>-290</v>
      </c>
      <c r="AZ114" s="3">
        <f>AX114</f>
        <v>-800</v>
      </c>
      <c r="BA114" s="3">
        <f>SUM(AW114:AZ114)</f>
        <v>-2180</v>
      </c>
      <c r="BB114" s="3">
        <f>AZ114</f>
        <v>-800</v>
      </c>
      <c r="BC114" s="3">
        <f>BA114</f>
        <v>-2180</v>
      </c>
      <c r="BD114" s="3">
        <f>BB114</f>
        <v>-800</v>
      </c>
      <c r="BE114" s="3">
        <f>BC114</f>
        <v>-2180</v>
      </c>
      <c r="BF114" s="3">
        <f>SUM(BB114:BE114)</f>
        <v>-5960</v>
      </c>
      <c r="BG114" s="3">
        <f>BE114</f>
        <v>-2180</v>
      </c>
      <c r="BH114" s="3">
        <f>BF114</f>
        <v>-5960</v>
      </c>
      <c r="BI114" s="3">
        <f>BG114</f>
        <v>-2180</v>
      </c>
      <c r="BJ114" s="3">
        <f>BH114</f>
        <v>-5960</v>
      </c>
      <c r="BK114" s="3">
        <f>SUM(BG114:BJ114)</f>
        <v>-16280</v>
      </c>
      <c r="BL114" s="3">
        <f>BJ114</f>
        <v>-5960</v>
      </c>
      <c r="BM114" s="3">
        <f>BK114</f>
        <v>-16280</v>
      </c>
      <c r="BN114" s="3">
        <f>BL114</f>
        <v>-5960</v>
      </c>
      <c r="BO114" s="3">
        <f>BM114</f>
        <v>-16280</v>
      </c>
      <c r="BP114" s="3">
        <f>SUM(BL114:BO114)</f>
        <v>-44480</v>
      </c>
      <c r="BQ114" s="3">
        <f>BO114</f>
        <v>-16280</v>
      </c>
      <c r="BR114" s="3">
        <f>BP114</f>
        <v>-44480</v>
      </c>
      <c r="BS114" s="3">
        <f>BQ114</f>
        <v>-16280</v>
      </c>
      <c r="BT114" s="3">
        <f>BR114</f>
        <v>-44480</v>
      </c>
      <c r="BU114" s="3">
        <f>SUM(BQ114:BT114)</f>
        <v>-121520</v>
      </c>
      <c r="BV114" s="3">
        <f>BT114</f>
        <v>-44480</v>
      </c>
      <c r="BW114" s="3">
        <f>BU114</f>
        <v>-121520</v>
      </c>
      <c r="BX114" s="3">
        <f>BV114</f>
        <v>-44480</v>
      </c>
      <c r="BY114" s="3">
        <f>BW114</f>
        <v>-121520</v>
      </c>
      <c r="BZ114" s="3">
        <f>SUM(BV114:BY114)</f>
        <v>-332000</v>
      </c>
      <c r="CA114" s="3">
        <f>BY114</f>
        <v>-121520</v>
      </c>
      <c r="CB114" s="3">
        <f>BZ114</f>
        <v>-332000</v>
      </c>
      <c r="CC114" s="3">
        <f>CA114</f>
        <v>-121520</v>
      </c>
      <c r="CD114" s="3">
        <f>CB114</f>
        <v>-332000</v>
      </c>
      <c r="CE114" s="3">
        <f>SUM(CA114:CD114)</f>
        <v>-907040</v>
      </c>
      <c r="CF114" s="3">
        <f>CD114</f>
        <v>-332000</v>
      </c>
      <c r="CG114" s="3">
        <f>CE114</f>
        <v>-907040</v>
      </c>
      <c r="CH114" s="3">
        <f>CF114</f>
        <v>-332000</v>
      </c>
      <c r="CI114" s="3">
        <f>CG114</f>
        <v>-907040</v>
      </c>
      <c r="CJ114" s="3">
        <f>SUM(CF114:CI114)</f>
        <v>-2478080</v>
      </c>
      <c r="CK114" s="3">
        <f>CI114</f>
        <v>-907040</v>
      </c>
      <c r="CL114" s="3">
        <f>CJ114</f>
        <v>-2478080</v>
      </c>
      <c r="CM114" s="3">
        <f>CK114</f>
        <v>-907040</v>
      </c>
      <c r="CN114" s="3">
        <f>CL114</f>
        <v>-2478080</v>
      </c>
      <c r="CO114" s="3">
        <f>SUM(CK114:CN114)</f>
        <v>-6770240</v>
      </c>
      <c r="CP114" s="3">
        <f>CN114</f>
        <v>-2478080</v>
      </c>
      <c r="CQ114" s="3">
        <f>CO114</f>
        <v>-6770240</v>
      </c>
      <c r="CR114" s="3">
        <f>CP114</f>
        <v>-2478080</v>
      </c>
      <c r="CS114" s="3">
        <f>CQ114</f>
        <v>-6770240</v>
      </c>
      <c r="CT114" s="3">
        <f>SUM(CP114:CS114)</f>
        <v>-18496640</v>
      </c>
      <c r="CU114" s="3">
        <f>CS114</f>
        <v>-6770240</v>
      </c>
      <c r="CV114" s="3">
        <f>CT114</f>
        <v>-18496640</v>
      </c>
      <c r="CW114" s="3">
        <f>CU114</f>
        <v>-6770240</v>
      </c>
      <c r="CX114" s="3">
        <f>CV114</f>
        <v>-18496640</v>
      </c>
      <c r="CY114" s="3">
        <f>SUM(CU114:CX114)</f>
        <v>-50533760</v>
      </c>
    </row>
    <row r="115" hidden="1" outlineLevel="1">
      <c r="C115" s="34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2" t="inlineStr">
        <is>
          <t>Resultado Não Recorrente</t>
        </is>
      </c>
      <c r="D116" s="6" t="n"/>
      <c r="E116" s="6" t="n"/>
      <c r="F116" s="6" t="n"/>
      <c r="G116" s="6" t="n"/>
      <c r="H116" s="3" t="n"/>
      <c r="I116" s="6" t="n"/>
      <c r="J116" s="6" t="n"/>
      <c r="K116" s="6" t="n"/>
      <c r="L116" s="6" t="n"/>
      <c r="M116" s="3" t="n"/>
      <c r="N116" s="6" t="n"/>
      <c r="O116" s="6" t="n"/>
      <c r="P116" s="6" t="n"/>
      <c r="Q116" s="6" t="n"/>
      <c r="R116" s="3" t="n"/>
      <c r="S116" s="6" t="n"/>
      <c r="T116" s="6" t="n"/>
      <c r="U116" s="6" t="n"/>
      <c r="V116" s="6" t="n"/>
      <c r="W116" s="3" t="n"/>
      <c r="X116" s="6" t="n"/>
      <c r="Y116" s="6" t="n"/>
      <c r="Z116" s="6" t="n"/>
      <c r="AA116" s="6" t="n"/>
      <c r="AB116" s="3" t="n"/>
      <c r="AC116" s="6" t="n"/>
      <c r="AD116" s="6" t="n"/>
      <c r="AE116" s="6" t="n"/>
      <c r="AF116" s="6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2" t="inlineStr">
        <is>
          <t>Plano de Opção de Compra de Ações</t>
        </is>
      </c>
      <c r="D117" s="6" t="n"/>
      <c r="E117" s="6" t="n"/>
      <c r="F117" s="6" t="n"/>
      <c r="G117" s="6" t="n"/>
      <c r="H117" s="3" t="n"/>
      <c r="I117" s="6" t="n"/>
      <c r="J117" s="6" t="n"/>
      <c r="K117" s="6" t="n"/>
      <c r="L117" s="6" t="n"/>
      <c r="M117" s="3" t="n"/>
      <c r="N117" s="6" t="n"/>
      <c r="O117" s="6" t="n"/>
      <c r="P117" s="6" t="n"/>
      <c r="Q117" s="6" t="n"/>
      <c r="R117" s="3" t="n"/>
      <c r="S117" s="6" t="n"/>
      <c r="T117" s="6" t="n"/>
      <c r="U117" s="6" t="n"/>
      <c r="V117" s="6" t="n"/>
      <c r="W117" s="3" t="n"/>
      <c r="X117" s="6" t="n"/>
      <c r="Y117" s="6" t="n"/>
      <c r="Z117" s="6" t="n"/>
      <c r="AA117" s="6" t="n"/>
      <c r="AB117" s="3" t="n"/>
      <c r="AC117" s="6" t="n"/>
      <c r="AD117" s="6" t="n"/>
      <c r="AE117" s="6" t="n"/>
      <c r="AF117" s="6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2" t="inlineStr">
        <is>
          <t>Baixa Imobilizado</t>
        </is>
      </c>
      <c r="D118" s="6" t="n"/>
      <c r="E118" s="6" t="n"/>
      <c r="F118" s="6" t="n"/>
      <c r="G118" s="6" t="n"/>
      <c r="H118" s="3" t="n"/>
      <c r="I118" s="6" t="n"/>
      <c r="J118" s="6" t="n"/>
      <c r="K118" s="6" t="n"/>
      <c r="L118" s="6" t="n"/>
      <c r="M118" s="3" t="n"/>
      <c r="N118" s="6" t="n"/>
      <c r="O118" s="6" t="n"/>
      <c r="P118" s="6" t="n"/>
      <c r="Q118" s="6" t="n"/>
      <c r="R118" s="3" t="n"/>
      <c r="S118" s="6" t="n"/>
      <c r="T118" s="6" t="n"/>
      <c r="U118" s="6" t="n"/>
      <c r="V118" s="6" t="n"/>
      <c r="W118" s="3" t="n"/>
      <c r="X118" s="6" t="n"/>
      <c r="Y118" s="6" t="n"/>
      <c r="Z118" s="6" t="n"/>
      <c r="AA118" s="6" t="n"/>
      <c r="AB118" s="3" t="n"/>
      <c r="AC118" s="6" t="n"/>
      <c r="AD118" s="6" t="n"/>
      <c r="AE118" s="6" t="n"/>
      <c r="AF118" s="6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collapsed="1" customFormat="1" s="17">
      <c r="A121" s="13" t="n"/>
      <c r="B121" s="1" t="n"/>
      <c r="C121" s="14" t="inlineStr">
        <is>
          <t>Pretax Income - EBT</t>
        </is>
      </c>
      <c r="D121" s="16">
        <f>SUM(D64,D65,D114)</f>
        <v>2030</v>
      </c>
      <c r="E121" s="16">
        <f>SUM(E64,E65,E114)</f>
        <v>1962</v>
      </c>
      <c r="F121" s="16">
        <f>SUM(F64,F65,F114)</f>
        <v>2056</v>
      </c>
      <c r="G121" s="16">
        <f>SUM(G64,G65,G114)</f>
        <v>2187</v>
      </c>
      <c r="H121" s="16">
        <f>SUM(D121:G121)</f>
        <v>8235</v>
      </c>
      <c r="I121" s="16">
        <f>SUM(I64,I65,I114)</f>
        <v>2211</v>
      </c>
      <c r="J121" s="16">
        <f>SUM(J64,J65,J114)</f>
        <v>2170</v>
      </c>
      <c r="K121" s="16">
        <f>SUM(K64,K65,K114)</f>
        <v>679</v>
      </c>
      <c r="L121" s="16">
        <f>SUM(L64,L65,L114)</f>
        <v>2490</v>
      </c>
      <c r="M121" s="16">
        <f>SUM(I121:L121)</f>
        <v>7550</v>
      </c>
      <c r="N121" s="16">
        <f>SUM(N64,N65,N114)</f>
        <v>2061</v>
      </c>
      <c r="O121" s="16">
        <f>SUM(O64,O65,O114)</f>
        <v>330</v>
      </c>
      <c r="P121" s="16">
        <f>SUM(P64,P65,P114)</f>
        <v>2099</v>
      </c>
      <c r="Q121" s="16">
        <f>SUM(Q64,Q65,Q114)</f>
        <v>2190</v>
      </c>
      <c r="R121" s="16">
        <f>SUM(N121:Q121)</f>
        <v>6680</v>
      </c>
      <c r="S121" s="16">
        <f>SUM(S64,S65,S114)</f>
        <v>1994</v>
      </c>
      <c r="T121" s="16">
        <f>SUM(T64,T65,T114)</f>
        <v>2006</v>
      </c>
      <c r="U121" s="16">
        <f>SUM(U64,U65,U114)</f>
        <v>1953</v>
      </c>
      <c r="V121" s="16">
        <f>SUM(V64,V65,V114)</f>
        <v>2145</v>
      </c>
      <c r="W121" s="16">
        <f>SUM(S121:V121)</f>
        <v>8098</v>
      </c>
      <c r="X121" s="16">
        <f>SUM(X64,X65,X114)</f>
        <v>1835</v>
      </c>
      <c r="Y121" s="16">
        <f>SUM(Y64,Y65,Y114)</f>
        <v>1948</v>
      </c>
      <c r="Z121" s="16">
        <f>SUM(Z64,Z65,Z114)</f>
        <v>1918</v>
      </c>
      <c r="AA121" s="16">
        <f>SUM(AA64,AA65,AA114)</f>
        <v>519</v>
      </c>
      <c r="AB121" s="16">
        <f>SUM(X121:AA121)</f>
        <v>6220</v>
      </c>
      <c r="AC121" s="16">
        <f>SUM(AC64,AC65,AC114)</f>
        <v>2036</v>
      </c>
      <c r="AD121" s="16">
        <f>SUM(AD64,AD65,AD114)</f>
        <v>417</v>
      </c>
      <c r="AE121" s="16">
        <f>SUM(AE64,AE65,AE114)</f>
        <v>1938</v>
      </c>
      <c r="AF121" s="16">
        <f>SUM(AF64,AF65,AF114)</f>
        <v>1531</v>
      </c>
      <c r="AG121" s="16">
        <f>SUM(AC121:AF121)</f>
        <v>5922</v>
      </c>
      <c r="AH121" s="16">
        <f>SUM(AH64,AH65,AH114)</f>
        <v>1774</v>
      </c>
      <c r="AI121" s="16">
        <f>SUM(AI64,AI65,AI114)</f>
        <v>2178</v>
      </c>
      <c r="AJ121" s="16">
        <f>SUM(AJ64,AJ65,AJ114)</f>
        <v>-20</v>
      </c>
      <c r="AK121" s="16">
        <f>SUM(AK64,AK65,AK114)</f>
        <v>-35</v>
      </c>
      <c r="AL121" s="16">
        <f>SUM(AH121:AK121)</f>
        <v>3897</v>
      </c>
      <c r="AM121" s="16">
        <f>SUM(AM64,AM65,AM114)</f>
        <v>-35</v>
      </c>
      <c r="AN121" s="16">
        <f>SUM(AN64,AN65,AN114)</f>
        <v>-110</v>
      </c>
      <c r="AO121" s="16">
        <f>SUM(AO64,AO65,AO114)</f>
        <v>-35</v>
      </c>
      <c r="AP121" s="16">
        <f>SUM(AP64,AP65,AP114)</f>
        <v>-110</v>
      </c>
      <c r="AQ121" s="16">
        <f>SUM(AM121:AP121)</f>
        <v>-290</v>
      </c>
      <c r="AR121" s="16">
        <f>SUM(AR64,AR65,AR114)</f>
        <v>-110</v>
      </c>
      <c r="AS121" s="16">
        <f>SUM(AS64,AS65,AS114)</f>
        <v>-290</v>
      </c>
      <c r="AT121" s="16">
        <f>SUM(AT64,AT65,AT114)</f>
        <v>-110</v>
      </c>
      <c r="AU121" s="16">
        <f>SUM(AU64,AU65,AU114)</f>
        <v>-290</v>
      </c>
      <c r="AV121" s="16">
        <f>SUM(AR121:AU121)</f>
        <v>-800</v>
      </c>
      <c r="AW121" s="16">
        <f>SUM(AW64,AW65,AW114)</f>
        <v>-290</v>
      </c>
      <c r="AX121" s="16">
        <f>SUM(AX64,AX65,AX114)</f>
        <v>-800</v>
      </c>
      <c r="AY121" s="16">
        <f>SUM(AY64,AY65,AY114)</f>
        <v>-290</v>
      </c>
      <c r="AZ121" s="16">
        <f>SUM(AZ64,AZ65,AZ114)</f>
        <v>-800</v>
      </c>
      <c r="BA121" s="16">
        <f>SUM(AW121:AZ121)</f>
        <v>-2180</v>
      </c>
      <c r="BB121" s="16">
        <f>SUM(BB64,BB65,BB114)</f>
        <v>-800</v>
      </c>
      <c r="BC121" s="16">
        <f>SUM(BC64,BC65,BC114)</f>
        <v>-2180</v>
      </c>
      <c r="BD121" s="16">
        <f>SUM(BD64,BD65,BD114)</f>
        <v>-800</v>
      </c>
      <c r="BE121" s="16">
        <f>SUM(BE64,BE65,BE114)</f>
        <v>-2180</v>
      </c>
      <c r="BF121" s="16">
        <f>SUM(BB121:BE121)</f>
        <v>-5960</v>
      </c>
      <c r="BG121" s="16">
        <f>SUM(BG64,BG65,BG114)</f>
        <v>-2180</v>
      </c>
      <c r="BH121" s="16">
        <f>SUM(BH64,BH65,BH114)</f>
        <v>-5960</v>
      </c>
      <c r="BI121" s="16">
        <f>SUM(BI64,BI65,BI114)</f>
        <v>-2180</v>
      </c>
      <c r="BJ121" s="16">
        <f>SUM(BJ64,BJ65,BJ114)</f>
        <v>-5960</v>
      </c>
      <c r="BK121" s="16">
        <f>SUM(BG121:BJ121)</f>
        <v>-16280</v>
      </c>
      <c r="BL121" s="16">
        <f>SUM(BL64,BL65,BL114)</f>
        <v>-5960</v>
      </c>
      <c r="BM121" s="16">
        <f>SUM(BM64,BM65,BM114)</f>
        <v>-16280</v>
      </c>
      <c r="BN121" s="16">
        <f>SUM(BN64,BN65,BN114)</f>
        <v>-5960</v>
      </c>
      <c r="BO121" s="16">
        <f>SUM(BO64,BO65,BO114)</f>
        <v>-16280</v>
      </c>
      <c r="BP121" s="16">
        <f>SUM(BL121:BO121)</f>
        <v>-44480</v>
      </c>
      <c r="BQ121" s="16">
        <f>SUM(BQ64,BQ65,BQ114)</f>
        <v>-16280</v>
      </c>
      <c r="BR121" s="16">
        <f>SUM(BR64,BR65,BR114)</f>
        <v>-44480</v>
      </c>
      <c r="BS121" s="16">
        <f>SUM(BS64,BS65,BS114)</f>
        <v>-16280</v>
      </c>
      <c r="BT121" s="16">
        <f>SUM(BT64,BT65,BT114)</f>
        <v>-44480</v>
      </c>
      <c r="BU121" s="16">
        <f>SUM(BQ121:BT121)</f>
        <v>-121520</v>
      </c>
      <c r="BV121" s="16">
        <f>SUM(BV64,BV65,BV114)</f>
        <v>-44480</v>
      </c>
      <c r="BW121" s="16">
        <f>SUM(BW64,BW65,BW114)</f>
        <v>-121520</v>
      </c>
      <c r="BX121" s="16">
        <f>SUM(BX64,BX65,BX114)</f>
        <v>-44480</v>
      </c>
      <c r="BY121" s="16">
        <f>SUM(BY64,BY65,BY114)</f>
        <v>-121520</v>
      </c>
      <c r="BZ121" s="16">
        <f>SUM(BV121:BY121)</f>
        <v>-332000</v>
      </c>
      <c r="CA121" s="16">
        <f>SUM(CA64,CA65,CA114)</f>
        <v>-121520</v>
      </c>
      <c r="CB121" s="16">
        <f>SUM(CB64,CB65,CB114)</f>
        <v>-332000</v>
      </c>
      <c r="CC121" s="16">
        <f>SUM(CC64,CC65,CC114)</f>
        <v>-121520</v>
      </c>
      <c r="CD121" s="16">
        <f>SUM(CD64,CD65,CD114)</f>
        <v>-332000</v>
      </c>
      <c r="CE121" s="16">
        <f>SUM(CA121:CD121)</f>
        <v>-907040</v>
      </c>
      <c r="CF121" s="16">
        <f>SUM(CF64,CF65,CF114)</f>
        <v>-332000</v>
      </c>
      <c r="CG121" s="16">
        <f>SUM(CG64,CG65,CG114)</f>
        <v>-907040</v>
      </c>
      <c r="CH121" s="16">
        <f>SUM(CH64,CH65,CH114)</f>
        <v>-332000</v>
      </c>
      <c r="CI121" s="16">
        <f>SUM(CI64,CI65,CI114)</f>
        <v>-907040</v>
      </c>
      <c r="CJ121" s="16">
        <f>SUM(CF121:CI121)</f>
        <v>-2478080</v>
      </c>
      <c r="CK121" s="16">
        <f>SUM(CK64,CK65,CK114)</f>
        <v>-907040</v>
      </c>
      <c r="CL121" s="16">
        <f>SUM(CL64,CL65,CL114)</f>
        <v>-2478080</v>
      </c>
      <c r="CM121" s="16">
        <f>SUM(CM64,CM65,CM114)</f>
        <v>-907040</v>
      </c>
      <c r="CN121" s="16">
        <f>SUM(CN64,CN65,CN114)</f>
        <v>-2478080</v>
      </c>
      <c r="CO121" s="16">
        <f>SUM(CK121:CN121)</f>
        <v>-6770240</v>
      </c>
      <c r="CP121" s="16">
        <f>SUM(CP64,CP65,CP114)</f>
        <v>-2478080</v>
      </c>
      <c r="CQ121" s="16">
        <f>SUM(CQ64,CQ65,CQ114)</f>
        <v>-6770240</v>
      </c>
      <c r="CR121" s="16">
        <f>SUM(CR64,CR65,CR114)</f>
        <v>-2478080</v>
      </c>
      <c r="CS121" s="16">
        <f>SUM(CS64,CS65,CS114)</f>
        <v>-6770240</v>
      </c>
      <c r="CT121" s="16">
        <f>SUM(CP121:CS121)</f>
        <v>-18496640</v>
      </c>
      <c r="CU121" s="16">
        <f>SUM(CU64,CU65,CU114)</f>
        <v>-6770240</v>
      </c>
      <c r="CV121" s="16">
        <f>SUM(CV64,CV65,CV114)</f>
        <v>-18496640</v>
      </c>
      <c r="CW121" s="16">
        <f>SUM(CW64,CW65,CW114)</f>
        <v>-6770240</v>
      </c>
      <c r="CX121" s="16">
        <f>SUM(CX64,CX65,CX114)</f>
        <v>-18496640</v>
      </c>
      <c r="CY121" s="16">
        <f>SUM(CU121:CX121)</f>
        <v>-50533760</v>
      </c>
    </row>
    <row r="122">
      <c r="C122" s="26" t="inlineStr">
        <is>
          <t>Taxes</t>
        </is>
      </c>
      <c r="D122" s="25">
        <f>INDEX('Inputs (2)'!$D$10:$AL$10,MATCH(D$7,'Inputs (2)'!$D$2:$AL$2,0))</f>
        <v>-313</v>
      </c>
      <c r="E122" s="25">
        <f>INDEX('Inputs (2)'!$D$10:$AL$10,MATCH(E$7,'Inputs (2)'!$D$2:$AL$2,0))</f>
        <v>-336</v>
      </c>
      <c r="F122" s="25">
        <f>INDEX('Inputs (2)'!$D$10:$AL$10,MATCH(F$7,'Inputs (2)'!$D$2:$AL$2,0))</f>
        <v>-303</v>
      </c>
      <c r="G122" s="25">
        <f>INDEX('Inputs (2)'!$D$10:$AL$10,MATCH(G$7,'Inputs (2)'!$D$2:$AL$2,0))</f>
        <v>-395</v>
      </c>
      <c r="H122" s="3">
        <f>SUM(D122:G122)</f>
        <v>-1347</v>
      </c>
      <c r="I122" s="25">
        <f>INDEX('Inputs (2)'!$D$10:$AL$10,MATCH(I$7,'Inputs (2)'!$D$2:$AL$2,0))</f>
        <v>-374</v>
      </c>
      <c r="J122" s="25">
        <f>INDEX('Inputs (2)'!$D$10:$AL$10,MATCH(J$7,'Inputs (2)'!$D$2:$AL$2,0))</f>
        <v>-355</v>
      </c>
      <c r="K122" s="25">
        <f>INDEX('Inputs (2)'!$D$10:$AL$10,MATCH(K$7,'Inputs (2)'!$D$2:$AL$2,0))</f>
        <v>-65</v>
      </c>
      <c r="L122" s="25">
        <f>INDEX('Inputs (2)'!$D$10:$AL$10,MATCH(L$7,'Inputs (2)'!$D$2:$AL$2,0))</f>
        <v>-441</v>
      </c>
      <c r="M122" s="3">
        <f>SUM(I122:L122)</f>
        <v>-1235</v>
      </c>
      <c r="N122" s="25">
        <f>INDEX('Inputs (2)'!$D$10:$AL$10,MATCH(N$7,'Inputs (2)'!$D$2:$AL$2,0))</f>
        <v>-328</v>
      </c>
      <c r="O122" s="25">
        <f>INDEX('Inputs (2)'!$D$10:$AL$10,MATCH(O$7,'Inputs (2)'!$D$2:$AL$2,0))</f>
        <v>-21</v>
      </c>
      <c r="P122" s="25">
        <f>INDEX('Inputs (2)'!$D$10:$AL$10,MATCH(P$7,'Inputs (2)'!$D$2:$AL$2,0))</f>
        <v>-321</v>
      </c>
      <c r="Q122" s="25">
        <f>INDEX('Inputs (2)'!$D$10:$AL$10,MATCH(Q$7,'Inputs (2)'!$D$2:$AL$2,0))</f>
        <v>-278</v>
      </c>
      <c r="R122" s="3">
        <f>SUM(N122:Q122)</f>
        <v>-948</v>
      </c>
      <c r="S122" s="25">
        <f>INDEX('Inputs (2)'!$D$10:$AL$10,MATCH(S$7,'Inputs (2)'!$D$2:$AL$2,0))</f>
        <v>-305</v>
      </c>
      <c r="T122" s="25">
        <f>INDEX('Inputs (2)'!$D$10:$AL$10,MATCH(T$7,'Inputs (2)'!$D$2:$AL$2,0))</f>
        <v>-325</v>
      </c>
      <c r="U122" s="25">
        <f>INDEX('Inputs (2)'!$D$10:$AL$10,MATCH(U$7,'Inputs (2)'!$D$2:$AL$2,0))</f>
        <v>-269</v>
      </c>
      <c r="V122" s="25">
        <f>INDEX('Inputs (2)'!$D$10:$AL$10,MATCH(V$7,'Inputs (2)'!$D$2:$AL$2,0))</f>
        <v>-279</v>
      </c>
      <c r="W122" s="3">
        <f>SUM(S122:V122)</f>
        <v>-1178</v>
      </c>
      <c r="X122" s="25">
        <f>INDEX('Inputs (2)'!$D$10:$AL$10,MATCH(X$7,'Inputs (2)'!$D$2:$AL$2,0))</f>
        <v>-290</v>
      </c>
      <c r="Y122" s="25">
        <f>INDEX('Inputs (2)'!$D$10:$AL$10,MATCH(Y$7,'Inputs (2)'!$D$2:$AL$2,0))</f>
        <v>-307</v>
      </c>
      <c r="Z122" s="25">
        <f>INDEX('Inputs (2)'!$D$10:$AL$10,MATCH(Z$7,'Inputs (2)'!$D$2:$AL$2,0))</f>
        <v>-295</v>
      </c>
      <c r="AA122" s="25">
        <f>INDEX('Inputs (2)'!$D$10:$AL$10,MATCH(AA$7,'Inputs (2)'!$D$2:$AL$2,0))</f>
        <v>8</v>
      </c>
      <c r="AB122" s="3">
        <f>SUM(X122:AA122)</f>
        <v>-884</v>
      </c>
      <c r="AC122" s="25">
        <f>INDEX('Inputs (2)'!$D$10:$AL$10,MATCH(AC$7,'Inputs (2)'!$D$2:$AL$2,0))</f>
        <v>-324</v>
      </c>
      <c r="AD122" s="25">
        <f>INDEX('Inputs (2)'!$D$10:$AL$10,MATCH(AD$7,'Inputs (2)'!$D$2:$AL$2,0))</f>
        <v>-75</v>
      </c>
      <c r="AE122" s="25">
        <f>INDEX('Inputs (2)'!$D$10:$AL$10,MATCH(AE$7,'Inputs (2)'!$D$2:$AL$2,0))</f>
        <v>-319</v>
      </c>
      <c r="AF122" s="25">
        <f>INDEX('Inputs (2)'!$D$10:$AL$10,MATCH(AF$7,'Inputs (2)'!$D$2:$AL$2,0))</f>
        <v>-187</v>
      </c>
      <c r="AG122" s="3">
        <f>SUM(AC122:AF122)</f>
        <v>-905</v>
      </c>
      <c r="AH122" s="3">
        <f>INDEX('Inputs (2)'!$D$10:$AL$10,MATCH(AH$7,'Inputs (2)'!$D$2:$AL$2,0))</f>
        <v>-286</v>
      </c>
      <c r="AI122" s="3">
        <f>INDEX('Inputs (2)'!$D$10:$AL$10,MATCH(AI$7,'Inputs (2)'!$D$2:$AL$2,0))</f>
        <v>-342</v>
      </c>
      <c r="AJ122" s="3">
        <f>AJ123*-AJ121</f>
        <v>0</v>
      </c>
      <c r="AK122" s="3">
        <f>AK123*-AK121</f>
        <v>0</v>
      </c>
      <c r="AL122" s="3">
        <f>SUM(AH122:AK122)</f>
        <v>-628</v>
      </c>
      <c r="AM122" s="3">
        <f>AM123*-AM121</f>
        <v>0</v>
      </c>
      <c r="AN122" s="3">
        <f>AN123*-AN121</f>
        <v>0</v>
      </c>
      <c r="AO122" s="3">
        <f>AO123*-AO121</f>
        <v>0</v>
      </c>
      <c r="AP122" s="3">
        <f>AP123*-AP121</f>
        <v>0</v>
      </c>
      <c r="AQ122" s="3">
        <f>SUM(AM122:AP122)</f>
        <v>0</v>
      </c>
      <c r="AR122" s="3">
        <f>AR123*-AR121</f>
        <v>0</v>
      </c>
      <c r="AS122" s="3">
        <f>AS123*-AS121</f>
        <v>0</v>
      </c>
      <c r="AT122" s="3">
        <f>AT123*-AT121</f>
        <v>0</v>
      </c>
      <c r="AU122" s="3">
        <f>AU123*-AU121</f>
        <v>0</v>
      </c>
      <c r="AV122" s="3">
        <f>SUM(AR122:AU122)</f>
        <v>0</v>
      </c>
      <c r="AW122" s="3">
        <f>AW123*-AW121</f>
        <v>0</v>
      </c>
      <c r="AX122" s="3">
        <f>AX123*-AX121</f>
        <v>0</v>
      </c>
      <c r="AY122" s="3">
        <f>AY123*-AY121</f>
        <v>0</v>
      </c>
      <c r="AZ122" s="3">
        <f>AZ123*-AZ121</f>
        <v>0</v>
      </c>
      <c r="BA122" s="3">
        <f>SUM(AW122:AZ122)</f>
        <v>0</v>
      </c>
      <c r="BB122" s="3">
        <f>BB123*-BB121</f>
        <v>0</v>
      </c>
      <c r="BC122" s="3">
        <f>BC123*-BC121</f>
        <v>0</v>
      </c>
      <c r="BD122" s="3">
        <f>BD123*-BD121</f>
        <v>0</v>
      </c>
      <c r="BE122" s="3">
        <f>BE123*-BE121</f>
        <v>0</v>
      </c>
      <c r="BF122" s="3">
        <f>SUM(BB122:BE122)</f>
        <v>0</v>
      </c>
      <c r="BG122" s="3">
        <f>BG123*-BG121</f>
        <v>0</v>
      </c>
      <c r="BH122" s="3">
        <f>BH123*-BH121</f>
        <v>0</v>
      </c>
      <c r="BI122" s="3">
        <f>BI123*-BI121</f>
        <v>0</v>
      </c>
      <c r="BJ122" s="3">
        <f>BJ123*-BJ121</f>
        <v>0</v>
      </c>
      <c r="BK122" s="3">
        <f>SUM(BG122:BJ122)</f>
        <v>0</v>
      </c>
      <c r="BL122" s="3">
        <f>BL123*-BL121</f>
        <v>0</v>
      </c>
      <c r="BM122" s="3">
        <f>BM123*-BM121</f>
        <v>0</v>
      </c>
      <c r="BN122" s="3">
        <f>BN123*-BN121</f>
        <v>0</v>
      </c>
      <c r="BO122" s="3">
        <f>BO123*-BO121</f>
        <v>0</v>
      </c>
      <c r="BP122" s="3">
        <f>SUM(BL122:BO122)</f>
        <v>0</v>
      </c>
      <c r="BQ122" s="3">
        <f>BQ123*-BQ121</f>
        <v>0</v>
      </c>
      <c r="BR122" s="3">
        <f>BR123*-BR121</f>
        <v>0</v>
      </c>
      <c r="BS122" s="3">
        <f>BS123*-BS121</f>
        <v>0</v>
      </c>
      <c r="BT122" s="3">
        <f>BT123*-BT121</f>
        <v>0</v>
      </c>
      <c r="BU122" s="3">
        <f>SUM(BQ122:BT122)</f>
        <v>0</v>
      </c>
      <c r="BV122" s="3">
        <f>BV123*-BV121</f>
        <v>0</v>
      </c>
      <c r="BW122" s="3">
        <f>BW123*-BW121</f>
        <v>0</v>
      </c>
      <c r="BX122" s="3">
        <f>BX123*-BX121</f>
        <v>0</v>
      </c>
      <c r="BY122" s="3">
        <f>BY123*-BY121</f>
        <v>0</v>
      </c>
      <c r="BZ122" s="3">
        <f>SUM(BV122:BY122)</f>
        <v>0</v>
      </c>
      <c r="CA122" s="3">
        <f>CA123*-CA121</f>
        <v>0</v>
      </c>
      <c r="CB122" s="3">
        <f>CB123*-CB121</f>
        <v>0</v>
      </c>
      <c r="CC122" s="3">
        <f>CC123*-CC121</f>
        <v>0</v>
      </c>
      <c r="CD122" s="3">
        <f>CD123*-CD121</f>
        <v>0</v>
      </c>
      <c r="CE122" s="3">
        <f>SUM(CA122:CD122)</f>
        <v>0</v>
      </c>
      <c r="CF122" s="3">
        <f>CF123*-CF121</f>
        <v>0</v>
      </c>
      <c r="CG122" s="3">
        <f>CG123*-CG121</f>
        <v>0</v>
      </c>
      <c r="CH122" s="3">
        <f>CH123*-CH121</f>
        <v>0</v>
      </c>
      <c r="CI122" s="3">
        <f>CI123*-CI121</f>
        <v>0</v>
      </c>
      <c r="CJ122" s="3">
        <f>SUM(CF122:CI122)</f>
        <v>0</v>
      </c>
      <c r="CK122" s="3">
        <f>CK123*-CK121</f>
        <v>0</v>
      </c>
      <c r="CL122" s="3">
        <f>CL123*-CL121</f>
        <v>0</v>
      </c>
      <c r="CM122" s="3">
        <f>CM123*-CM121</f>
        <v>0</v>
      </c>
      <c r="CN122" s="3">
        <f>CN123*-CN121</f>
        <v>0</v>
      </c>
      <c r="CO122" s="3">
        <f>SUM(CK122:CN122)</f>
        <v>0</v>
      </c>
      <c r="CP122" s="3">
        <f>CP123*-CP121</f>
        <v>0</v>
      </c>
      <c r="CQ122" s="3">
        <f>CQ123*-CQ121</f>
        <v>0</v>
      </c>
      <c r="CR122" s="3">
        <f>CR123*-CR121</f>
        <v>0</v>
      </c>
      <c r="CS122" s="3">
        <f>CS123*-CS121</f>
        <v>0</v>
      </c>
      <c r="CT122" s="3">
        <f>SUM(CP122:CS122)</f>
        <v>0</v>
      </c>
      <c r="CU122" s="3">
        <f>CU123*-CU121</f>
        <v>0</v>
      </c>
      <c r="CV122" s="3">
        <f>CV123*-CV121</f>
        <v>0</v>
      </c>
      <c r="CW122" s="3">
        <f>CW123*-CW121</f>
        <v>0</v>
      </c>
      <c r="CX122" s="3">
        <f>CX123*-CX121</f>
        <v>0</v>
      </c>
      <c r="CY122" s="3">
        <f>SUM(CU122:CX122)</f>
        <v>0</v>
      </c>
    </row>
    <row r="123" hidden="1" outlineLevel="1">
      <c r="C123" s="34" t="inlineStr">
        <is>
          <t>% ETR</t>
        </is>
      </c>
      <c r="D123" s="48">
        <f>-D122/D121</f>
        <v>0.154187192118227</v>
      </c>
      <c r="E123" s="48">
        <f>-E122/E121</f>
        <v>0.171253822629969</v>
      </c>
      <c r="F123" s="48">
        <f>-F122/F121</f>
        <v>0.147373540856031</v>
      </c>
      <c r="G123" s="48">
        <f>-G122/G121</f>
        <v>0.180612711476909</v>
      </c>
      <c r="H123" s="48">
        <f>-H122/H121</f>
        <v>0.163570127504554</v>
      </c>
      <c r="I123" s="48">
        <f>-I122/I121</f>
        <v>0.169154228855721</v>
      </c>
      <c r="J123" s="48">
        <f>-J122/J121</f>
        <v>0.163594470046083</v>
      </c>
      <c r="K123" s="48">
        <f>-K122/K121</f>
        <v>0.0957290132547865</v>
      </c>
      <c r="L123" s="48">
        <f>-L122/L121</f>
        <v>0.17710843373494</v>
      </c>
      <c r="M123" s="48">
        <f>-M122/M121</f>
        <v>0.163576158940397</v>
      </c>
      <c r="N123" s="48">
        <f>-N122/N121</f>
        <v>0.159146045608928</v>
      </c>
      <c r="O123" s="48">
        <f>-O122/O121</f>
        <v>0.0636363636363636</v>
      </c>
      <c r="P123" s="48">
        <f>-P122/P121</f>
        <v>0.152929966650786</v>
      </c>
      <c r="Q123" s="48">
        <f>-Q122/Q121</f>
        <v>0.126940639269406</v>
      </c>
      <c r="R123" s="48">
        <f>-R122/R121</f>
        <v>0.141916167664671</v>
      </c>
      <c r="S123" s="48">
        <f>-S122/S121</f>
        <v>0.15295887662989</v>
      </c>
      <c r="T123" s="48">
        <f>-T122/T121</f>
        <v>0.162013958125623</v>
      </c>
      <c r="U123" s="48">
        <f>-U122/U121</f>
        <v>0.13773681515617</v>
      </c>
      <c r="V123" s="48">
        <f>-V122/V121</f>
        <v>0.13006993006993</v>
      </c>
      <c r="W123" s="48">
        <f>-W122/W121</f>
        <v>0.14546801679427</v>
      </c>
      <c r="X123" s="48">
        <f>-X122/X121</f>
        <v>0.158038147138965</v>
      </c>
      <c r="Y123" s="48">
        <f>-Y122/Y121</f>
        <v>0.157597535934292</v>
      </c>
      <c r="Z123" s="48">
        <f>-Z122/Z121</f>
        <v>0.153806047966632</v>
      </c>
      <c r="AA123" s="48">
        <f>-AA122/AA121</f>
        <v>-0.0154142581888247</v>
      </c>
      <c r="AB123" s="48">
        <f>-AB122/AB121</f>
        <v>0.142122186495177</v>
      </c>
      <c r="AC123" s="48">
        <f>-AC122/AC121</f>
        <v>0.159135559921415</v>
      </c>
      <c r="AD123" s="48">
        <f>-AD122/AD121</f>
        <v>0.179856115107914</v>
      </c>
      <c r="AE123" s="48">
        <f>-AE122/AE121</f>
        <v>0.164602683178535</v>
      </c>
      <c r="AF123" s="44">
        <f>-AF122/AF121</f>
        <v>0.122142390594383</v>
      </c>
      <c r="AG123" s="48">
        <f>-AG122/AG121</f>
        <v>0.152819993245525</v>
      </c>
      <c r="AH123" s="44">
        <f>-AH122/AH121</f>
        <v>0.161217587373168</v>
      </c>
      <c r="AI123" s="44">
        <f>-AI122/AI121</f>
        <v>0.15702479338843</v>
      </c>
      <c r="AJ123" s="44" t="n"/>
      <c r="AK123" s="44" t="n"/>
      <c r="AL123" s="48">
        <f>-AL122/AL121</f>
        <v>0.161149602258147</v>
      </c>
      <c r="AM123" s="44" t="n"/>
      <c r="AN123" s="44" t="n"/>
      <c r="AO123" s="44" t="n"/>
      <c r="AP123" s="44" t="n"/>
      <c r="AQ123" s="48">
        <f>-AQ122/AQ121</f>
        <v>0</v>
      </c>
      <c r="AR123" s="44" t="n"/>
      <c r="AS123" s="44" t="n"/>
      <c r="AT123" s="44" t="n"/>
      <c r="AU123" s="44" t="n"/>
      <c r="AV123" s="48">
        <f>-AV122/AV121</f>
        <v>0</v>
      </c>
      <c r="AW123" s="44" t="n"/>
      <c r="AX123" s="44" t="n"/>
      <c r="AY123" s="44" t="n"/>
      <c r="AZ123" s="44" t="n"/>
      <c r="BA123" s="48">
        <f>-BA122/BA121</f>
        <v>0</v>
      </c>
      <c r="BB123" s="44" t="n"/>
      <c r="BC123" s="44" t="n"/>
      <c r="BD123" s="44" t="n"/>
      <c r="BE123" s="44" t="n"/>
      <c r="BF123" s="48">
        <f>-BF122/BF121</f>
        <v>0</v>
      </c>
      <c r="BG123" s="44" t="n"/>
      <c r="BH123" s="44" t="n"/>
      <c r="BI123" s="44" t="n"/>
      <c r="BJ123" s="44" t="n"/>
      <c r="BK123" s="48">
        <f>-BK122/BK121</f>
        <v>0</v>
      </c>
      <c r="BL123" s="44" t="n"/>
      <c r="BM123" s="44" t="n"/>
      <c r="BN123" s="44" t="n"/>
      <c r="BO123" s="44" t="n"/>
      <c r="BP123" s="48">
        <f>-BP122/BP121</f>
        <v>0</v>
      </c>
      <c r="BQ123" s="44" t="n"/>
      <c r="BR123" s="44" t="n"/>
      <c r="BS123" s="44" t="n"/>
      <c r="BT123" s="44" t="n"/>
      <c r="BU123" s="48">
        <f>-BU122/BU121</f>
        <v>0</v>
      </c>
      <c r="BV123" s="44" t="n"/>
      <c r="BW123" s="44" t="n"/>
      <c r="BX123" s="44" t="n"/>
      <c r="BY123" s="44" t="n"/>
      <c r="BZ123" s="48">
        <f>-BZ122/BZ121</f>
        <v>0</v>
      </c>
      <c r="CA123" s="44" t="n"/>
      <c r="CB123" s="44" t="n"/>
      <c r="CC123" s="44" t="n"/>
      <c r="CD123" s="44" t="n"/>
      <c r="CE123" s="48">
        <f>-CE122/CE121</f>
        <v>0</v>
      </c>
      <c r="CF123" s="44" t="n"/>
      <c r="CG123" s="44" t="n"/>
      <c r="CH123" s="44" t="n"/>
      <c r="CI123" s="44" t="n"/>
      <c r="CJ123" s="48">
        <f>-CJ122/CJ121</f>
        <v>0</v>
      </c>
      <c r="CK123" s="44" t="n"/>
      <c r="CL123" s="44" t="n"/>
      <c r="CM123" s="44" t="n"/>
      <c r="CN123" s="44" t="n"/>
      <c r="CO123" s="48">
        <f>-CO122/CO121</f>
        <v>0</v>
      </c>
      <c r="CP123" s="44" t="n"/>
      <c r="CQ123" s="44" t="n"/>
      <c r="CR123" s="44" t="n"/>
      <c r="CS123" s="44" t="n"/>
      <c r="CT123" s="48">
        <f>-CT122/CT121</f>
        <v>0</v>
      </c>
      <c r="CU123" s="44" t="n"/>
      <c r="CV123" s="44" t="n"/>
      <c r="CW123" s="44" t="n"/>
      <c r="CX123" s="44" t="n"/>
      <c r="CY123" s="48">
        <f>-CY122/CY121</f>
        <v>0</v>
      </c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4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collapsed="1">
      <c r="C126" s="26" t="inlineStr">
        <is>
          <t>Equity in Income of Affiliates, after tax (enter as +)</t>
        </is>
      </c>
      <c r="D126" s="25">
        <f>INDEX('Inputs (2)'!$D$11:$AL$11,MATCH(D$7,'Inputs (2)'!$D$2:$AL$2,0))</f>
        <v>0</v>
      </c>
      <c r="E126" s="25">
        <f>INDEX('Inputs (2)'!$D$11:$AL$11,MATCH(E$7,'Inputs (2)'!$D$2:$AL$2,0))</f>
        <v>0</v>
      </c>
      <c r="F126" s="25">
        <f>INDEX('Inputs (2)'!$D$11:$AL$11,MATCH(F$7,'Inputs (2)'!$D$2:$AL$2,0))</f>
        <v>-55</v>
      </c>
      <c r="G126" s="25">
        <f>INDEX('Inputs (2)'!$D$11:$AL$11,MATCH(G$7,'Inputs (2)'!$D$2:$AL$2,0))</f>
        <v>0</v>
      </c>
      <c r="H126" s="3">
        <f>SUM(D126:G126)</f>
        <v>-55</v>
      </c>
      <c r="I126" s="25">
        <f>INDEX('Inputs (2)'!$D$11:$AL$11,MATCH(I$7,'Inputs (2)'!$D$2:$AL$2,0))</f>
        <v>0</v>
      </c>
      <c r="J126" s="25">
        <f>INDEX('Inputs (2)'!$D$11:$AL$11,MATCH(J$7,'Inputs (2)'!$D$2:$AL$2,0))</f>
        <v>0</v>
      </c>
      <c r="K126" s="25">
        <f>INDEX('Inputs (2)'!$D$11:$AL$11,MATCH(K$7,'Inputs (2)'!$D$2:$AL$2,0))</f>
        <v>0</v>
      </c>
      <c r="L126" s="25">
        <f>INDEX('Inputs (2)'!$D$11:$AL$11,MATCH(L$7,'Inputs (2)'!$D$2:$AL$2,0))</f>
        <v>0</v>
      </c>
      <c r="M126" s="3">
        <f>SUM(I126:L126)</f>
        <v>0</v>
      </c>
      <c r="N126" s="25">
        <f>INDEX('Inputs (2)'!$D$11:$AL$11,MATCH(N$7,'Inputs (2)'!$D$2:$AL$2,0))</f>
        <v>0</v>
      </c>
      <c r="O126" s="25">
        <f>INDEX('Inputs (2)'!$D$11:$AL$11,MATCH(O$7,'Inputs (2)'!$D$2:$AL$2,0))</f>
        <v>0</v>
      </c>
      <c r="P126" s="25">
        <f>INDEX('Inputs (2)'!$D$11:$AL$11,MATCH(P$7,'Inputs (2)'!$D$2:$AL$2,0))</f>
        <v>0</v>
      </c>
      <c r="Q126" s="25">
        <f>INDEX('Inputs (2)'!$D$11:$AL$11,MATCH(Q$7,'Inputs (2)'!$D$2:$AL$2,0))</f>
        <v>0</v>
      </c>
      <c r="R126" s="3">
        <f>SUM(N126:Q126)</f>
        <v>0</v>
      </c>
      <c r="S126" s="25">
        <f>INDEX('Inputs (2)'!$D$11:$AL$11,MATCH(S$7,'Inputs (2)'!$D$2:$AL$2,0))</f>
        <v>0</v>
      </c>
      <c r="T126" s="25">
        <f>INDEX('Inputs (2)'!$D$11:$AL$11,MATCH(T$7,'Inputs (2)'!$D$2:$AL$2,0))</f>
        <v>0</v>
      </c>
      <c r="U126" s="25">
        <f>INDEX('Inputs (2)'!$D$11:$AL$11,MATCH(U$7,'Inputs (2)'!$D$2:$AL$2,0))</f>
        <v>0</v>
      </c>
      <c r="V126" s="25">
        <f>INDEX('Inputs (2)'!$D$11:$AL$11,MATCH(V$7,'Inputs (2)'!$D$2:$AL$2,0))</f>
        <v>0</v>
      </c>
      <c r="W126" s="3">
        <f>SUM(S126:V126)</f>
        <v>0</v>
      </c>
      <c r="X126" s="25">
        <f>INDEX('Inputs (2)'!$D$11:$AL$11,MATCH(X$7,'Inputs (2)'!$D$2:$AL$2,0))</f>
        <v>0</v>
      </c>
      <c r="Y126" s="25">
        <f>INDEX('Inputs (2)'!$D$11:$AL$11,MATCH(Y$7,'Inputs (2)'!$D$2:$AL$2,0))</f>
        <v>0</v>
      </c>
      <c r="Z126" s="25">
        <f>INDEX('Inputs (2)'!$D$11:$AL$11,MATCH(Z$7,'Inputs (2)'!$D$2:$AL$2,0))</f>
        <v>0</v>
      </c>
      <c r="AA126" s="25">
        <f>INDEX('Inputs (2)'!$D$11:$AL$11,MATCH(AA$7,'Inputs (2)'!$D$2:$AL$2,0))</f>
        <v>0</v>
      </c>
      <c r="AB126" s="3">
        <f>SUM(X126:AA126)</f>
        <v>0</v>
      </c>
      <c r="AC126" s="25">
        <f>INDEX('Inputs (2)'!$D$11:$AL$11,MATCH(AC$7,'Inputs (2)'!$D$2:$AL$2,0))</f>
        <v>0</v>
      </c>
      <c r="AD126" s="25">
        <f>INDEX('Inputs (2)'!$D$11:$AL$11,MATCH(AD$7,'Inputs (2)'!$D$2:$AL$2,0))</f>
        <v>0</v>
      </c>
      <c r="AE126" s="25">
        <f>INDEX('Inputs (2)'!$D$11:$AL$11,MATCH(AE$7,'Inputs (2)'!$D$2:$AL$2,0))</f>
        <v>0</v>
      </c>
      <c r="AF126" s="25">
        <f>INDEX('Inputs (2)'!$D$11:$AL$11,MATCH(AF$7,'Inputs (2)'!$D$2:$AL$2,0))</f>
        <v>0</v>
      </c>
      <c r="AG126" s="3">
        <f>SUM(AC126:AF126)</f>
        <v>0</v>
      </c>
      <c r="AH126" s="3">
        <f>INDEX('Inputs (2)'!$D$11:$AL$11,MATCH(AH$7,'Inputs (2)'!$D$2:$AL$2,0))</f>
        <v>0</v>
      </c>
      <c r="AI126" s="3">
        <f>INDEX('Inputs (2)'!$D$11:$AL$11,MATCH(AI$7,'Inputs (2)'!$D$2:$AL$2,0))</f>
        <v>0</v>
      </c>
      <c r="AJ126" s="3">
        <f>AE126*(1+AJ154)</f>
        <v>0</v>
      </c>
      <c r="AK126" s="3">
        <f>AF126*(1+AK154)</f>
        <v>0</v>
      </c>
      <c r="AL126" s="3">
        <f>SUM(AH126:AK126)</f>
        <v>0</v>
      </c>
      <c r="AM126" s="3">
        <f>AH126*(1+AM154)</f>
        <v>0</v>
      </c>
      <c r="AN126" s="3">
        <f>AI126*(1+AN154)</f>
        <v>0</v>
      </c>
      <c r="AO126" s="3">
        <f>AJ126*(1+AO154)</f>
        <v>0</v>
      </c>
      <c r="AP126" s="3">
        <f>AK126*(1+AP154)</f>
        <v>0</v>
      </c>
      <c r="AQ126" s="3">
        <f>SUM(AM126:AP126)</f>
        <v>0</v>
      </c>
      <c r="AR126" s="3">
        <f>AM126*(1+AR154)</f>
        <v>0</v>
      </c>
      <c r="AS126" s="3">
        <f>AN126*(1+AS154)</f>
        <v>0</v>
      </c>
      <c r="AT126" s="3">
        <f>AO126*(1+AT154)</f>
        <v>0</v>
      </c>
      <c r="AU126" s="3">
        <f>AP126*(1+AU154)</f>
        <v>0</v>
      </c>
      <c r="AV126" s="3">
        <f>SUM(AR126:AU126)</f>
        <v>0</v>
      </c>
      <c r="AW126" s="3">
        <f>AR126*(1+AW154)</f>
        <v>0</v>
      </c>
      <c r="AX126" s="3">
        <f>AS126*(1+AX154)</f>
        <v>0</v>
      </c>
      <c r="AY126" s="3">
        <f>AT126*(1+AY154)</f>
        <v>0</v>
      </c>
      <c r="AZ126" s="3">
        <f>AU126*(1+AZ154)</f>
        <v>0</v>
      </c>
      <c r="BA126" s="3">
        <f>SUM(AW126:AZ126)</f>
        <v>0</v>
      </c>
      <c r="BB126" s="3">
        <f>AW126*(1+BB154)</f>
        <v>0</v>
      </c>
      <c r="BC126" s="3">
        <f>AX126*(1+BC154)</f>
        <v>0</v>
      </c>
      <c r="BD126" s="3">
        <f>AY126*(1+BD154)</f>
        <v>0</v>
      </c>
      <c r="BE126" s="3">
        <f>AZ126*(1+BE154)</f>
        <v>0</v>
      </c>
      <c r="BF126" s="3">
        <f>SUM(BB126:BE126)</f>
        <v>0</v>
      </c>
      <c r="BG126" s="3">
        <f>BB126*(1+BG154)</f>
        <v>0</v>
      </c>
      <c r="BH126" s="3">
        <f>BC126*(1+BH154)</f>
        <v>0</v>
      </c>
      <c r="BI126" s="3">
        <f>BD126*(1+BI154)</f>
        <v>0</v>
      </c>
      <c r="BJ126" s="3">
        <f>BE126*(1+BJ154)</f>
        <v>0</v>
      </c>
      <c r="BK126" s="3">
        <f>SUM(BG126:BJ126)</f>
        <v>0</v>
      </c>
      <c r="BL126" s="3">
        <f>BG126*(1+BL154)</f>
        <v>0</v>
      </c>
      <c r="BM126" s="3">
        <f>BH126*(1+BM154)</f>
        <v>0</v>
      </c>
      <c r="BN126" s="3">
        <f>BI126*(1+BN154)</f>
        <v>0</v>
      </c>
      <c r="BO126" s="3">
        <f>BJ126*(1+BO154)</f>
        <v>0</v>
      </c>
      <c r="BP126" s="3">
        <f>SUM(BL126:BO126)</f>
        <v>0</v>
      </c>
      <c r="BQ126" s="3">
        <f>BL126*(1+BQ154)</f>
        <v>0</v>
      </c>
      <c r="BR126" s="3">
        <f>BM126*(1+BR154)</f>
        <v>0</v>
      </c>
      <c r="BS126" s="3">
        <f>BN126*(1+BS154)</f>
        <v>0</v>
      </c>
      <c r="BT126" s="3">
        <f>BO126*(1+BT154)</f>
        <v>0</v>
      </c>
      <c r="BU126" s="3">
        <f>SUM(BQ126:BT126)</f>
        <v>0</v>
      </c>
      <c r="BV126" s="3">
        <f>BQ126*(1+BV154)</f>
        <v>0</v>
      </c>
      <c r="BW126" s="3">
        <f>BR126*(1+BW154)</f>
        <v>0</v>
      </c>
      <c r="BX126" s="3">
        <f>BS126*(1+BX154)</f>
        <v>0</v>
      </c>
      <c r="BY126" s="3">
        <f>BT126*(1+BY154)</f>
        <v>0</v>
      </c>
      <c r="BZ126" s="3">
        <f>SUM(BV126:BY126)</f>
        <v>0</v>
      </c>
      <c r="CA126" s="3">
        <f>BV126*(1+CA154)</f>
        <v>0</v>
      </c>
      <c r="CB126" s="3">
        <f>BW126*(1+CB154)</f>
        <v>0</v>
      </c>
      <c r="CC126" s="3">
        <f>BX126*(1+CC154)</f>
        <v>0</v>
      </c>
      <c r="CD126" s="3">
        <f>BY126*(1+CD154)</f>
        <v>0</v>
      </c>
      <c r="CE126" s="3">
        <f>SUM(CA126:CD126)</f>
        <v>0</v>
      </c>
      <c r="CF126" s="3">
        <f>CA126*(1+CF154)</f>
        <v>0</v>
      </c>
      <c r="CG126" s="3">
        <f>CB126*(1+CG154)</f>
        <v>0</v>
      </c>
      <c r="CH126" s="3">
        <f>CC126*(1+CH154)</f>
        <v>0</v>
      </c>
      <c r="CI126" s="3">
        <f>CD126*(1+CI154)</f>
        <v>0</v>
      </c>
      <c r="CJ126" s="3">
        <f>SUM(CF126:CI126)</f>
        <v>0</v>
      </c>
      <c r="CK126" s="3">
        <f>CF126*(1+CK154)</f>
        <v>0</v>
      </c>
      <c r="CL126" s="3">
        <f>CG126*(1+CL154)</f>
        <v>0</v>
      </c>
      <c r="CM126" s="3">
        <f>CH126*(1+CM154)</f>
        <v>0</v>
      </c>
      <c r="CN126" s="3">
        <f>CI126*(1+CN154)</f>
        <v>0</v>
      </c>
      <c r="CO126" s="3">
        <f>SUM(CK126:CN126)</f>
        <v>0</v>
      </c>
      <c r="CP126" s="3">
        <f>CK126*(1+CP154)</f>
        <v>0</v>
      </c>
      <c r="CQ126" s="3">
        <f>CL126*(1+CQ154)</f>
        <v>0</v>
      </c>
      <c r="CR126" s="3">
        <f>CM126*(1+CR154)</f>
        <v>0</v>
      </c>
      <c r="CS126" s="3">
        <f>CN126*(1+CS154)</f>
        <v>0</v>
      </c>
      <c r="CT126" s="3">
        <f>SUM(CP126:CS126)</f>
        <v>0</v>
      </c>
      <c r="CU126" s="3">
        <f>CP126*(1+CU154)</f>
        <v>0</v>
      </c>
      <c r="CV126" s="3">
        <f>CQ126*(1+CV154)</f>
        <v>0</v>
      </c>
      <c r="CW126" s="3">
        <f>CR126*(1+CW154)</f>
        <v>0</v>
      </c>
      <c r="CX126" s="3">
        <f>CS126*(1+CX154)</f>
        <v>0</v>
      </c>
      <c r="CY126" s="3">
        <f>SUM(CU126:CX126)</f>
        <v>0</v>
      </c>
    </row>
    <row r="127">
      <c r="C127" s="26" t="inlineStr">
        <is>
          <t>Minority Interest Expense, after tax (enter as - )</t>
        </is>
      </c>
      <c r="D127" s="25">
        <f>INDEX('Inputs (2)'!$D$12:$AL$12,MATCH(D$7,'Inputs (2)'!$D$2:$AL$2,0))</f>
        <v>0</v>
      </c>
      <c r="E127" s="25">
        <f>INDEX('Inputs (2)'!$D$12:$AL$12,MATCH(E$7,'Inputs (2)'!$D$2:$AL$2,0))</f>
        <v>0</v>
      </c>
      <c r="F127" s="25">
        <f>INDEX('Inputs (2)'!$D$12:$AL$12,MATCH(F$7,'Inputs (2)'!$D$2:$AL$2,0))</f>
        <v>0</v>
      </c>
      <c r="G127" s="25">
        <f>INDEX('Inputs (2)'!$D$12:$AL$12,MATCH(G$7,'Inputs (2)'!$D$2:$AL$2,0))</f>
        <v>0</v>
      </c>
      <c r="H127" s="3">
        <f>SUM(D127:G127)</f>
        <v>0</v>
      </c>
      <c r="I127" s="25">
        <f>INDEX('Inputs (2)'!$D$12:$AL$12,MATCH(I$7,'Inputs (2)'!$D$2:$AL$2,0))</f>
        <v>0</v>
      </c>
      <c r="J127" s="25">
        <f>INDEX('Inputs (2)'!$D$12:$AL$12,MATCH(J$7,'Inputs (2)'!$D$2:$AL$2,0))</f>
        <v>0</v>
      </c>
      <c r="K127" s="25">
        <f>INDEX('Inputs (2)'!$D$12:$AL$12,MATCH(K$7,'Inputs (2)'!$D$2:$AL$2,0))</f>
        <v>0</v>
      </c>
      <c r="L127" s="25">
        <f>INDEX('Inputs (2)'!$D$12:$AL$12,MATCH(L$7,'Inputs (2)'!$D$2:$AL$2,0))</f>
        <v>0</v>
      </c>
      <c r="M127" s="3">
        <f>SUM(I127:L127)</f>
        <v>0</v>
      </c>
      <c r="N127" s="25">
        <f>INDEX('Inputs (2)'!$D$12:$AL$12,MATCH(N$7,'Inputs (2)'!$D$2:$AL$2,0))</f>
        <v>0</v>
      </c>
      <c r="O127" s="25">
        <f>INDEX('Inputs (2)'!$D$12:$AL$12,MATCH(O$7,'Inputs (2)'!$D$2:$AL$2,0))</f>
        <v>0</v>
      </c>
      <c r="P127" s="25">
        <f>INDEX('Inputs (2)'!$D$12:$AL$12,MATCH(P$7,'Inputs (2)'!$D$2:$AL$2,0))</f>
        <v>0</v>
      </c>
      <c r="Q127" s="25">
        <f>INDEX('Inputs (2)'!$D$12:$AL$12,MATCH(Q$7,'Inputs (2)'!$D$2:$AL$2,0))</f>
        <v>0</v>
      </c>
      <c r="R127" s="3">
        <f>SUM(N127:Q127)</f>
        <v>0</v>
      </c>
      <c r="S127" s="25">
        <f>INDEX('Inputs (2)'!$D$12:$AL$12,MATCH(S$7,'Inputs (2)'!$D$2:$AL$2,0))</f>
        <v>0</v>
      </c>
      <c r="T127" s="25">
        <f>INDEX('Inputs (2)'!$D$12:$AL$12,MATCH(T$7,'Inputs (2)'!$D$2:$AL$2,0))</f>
        <v>0</v>
      </c>
      <c r="U127" s="25">
        <f>INDEX('Inputs (2)'!$D$12:$AL$12,MATCH(U$7,'Inputs (2)'!$D$2:$AL$2,0))</f>
        <v>0</v>
      </c>
      <c r="V127" s="25">
        <f>INDEX('Inputs (2)'!$D$12:$AL$12,MATCH(V$7,'Inputs (2)'!$D$2:$AL$2,0))</f>
        <v>0</v>
      </c>
      <c r="W127" s="3">
        <f>SUM(S127:V127)</f>
        <v>0</v>
      </c>
      <c r="X127" s="25">
        <f>INDEX('Inputs (2)'!$D$12:$AL$12,MATCH(X$7,'Inputs (2)'!$D$2:$AL$2,0))</f>
        <v>0</v>
      </c>
      <c r="Y127" s="25">
        <f>INDEX('Inputs (2)'!$D$12:$AL$12,MATCH(Y$7,'Inputs (2)'!$D$2:$AL$2,0))</f>
        <v>0</v>
      </c>
      <c r="Z127" s="25">
        <f>INDEX('Inputs (2)'!$D$12:$AL$12,MATCH(Z$7,'Inputs (2)'!$D$2:$AL$2,0))</f>
        <v>0</v>
      </c>
      <c r="AA127" s="25">
        <f>INDEX('Inputs (2)'!$D$12:$AL$12,MATCH(AA$7,'Inputs (2)'!$D$2:$AL$2,0))</f>
        <v>0</v>
      </c>
      <c r="AB127" s="3">
        <f>SUM(X127:AA127)</f>
        <v>0</v>
      </c>
      <c r="AC127" s="25">
        <f>INDEX('Inputs (2)'!$D$12:$AL$12,MATCH(AC$7,'Inputs (2)'!$D$2:$AL$2,0))</f>
        <v>0</v>
      </c>
      <c r="AD127" s="25">
        <f>INDEX('Inputs (2)'!$D$12:$AL$12,MATCH(AD$7,'Inputs (2)'!$D$2:$AL$2,0))</f>
        <v>0</v>
      </c>
      <c r="AE127" s="25">
        <f>INDEX('Inputs (2)'!$D$12:$AL$12,MATCH(AE$7,'Inputs (2)'!$D$2:$AL$2,0))</f>
        <v>0</v>
      </c>
      <c r="AF127" s="25">
        <f>INDEX('Inputs (2)'!$D$12:$AL$12,MATCH(AF$7,'Inputs (2)'!$D$2:$AL$2,0))</f>
        <v>0</v>
      </c>
      <c r="AG127" s="3">
        <f>SUM(AC127:AF127)</f>
        <v>0</v>
      </c>
      <c r="AH127" s="3">
        <f>INDEX('Inputs (2)'!$D$12:$AL$12,MATCH(AH$7,'Inputs (2)'!$D$2:$AL$2,0))</f>
        <v>0</v>
      </c>
      <c r="AI127" s="3">
        <f>INDEX('Inputs (2)'!$D$12:$AL$12,MATCH(AI$7,'Inputs (2)'!$D$2:$AL$2,0))</f>
        <v>0</v>
      </c>
      <c r="AJ127" s="3">
        <f>AE127*(1+AJ241)</f>
        <v>0</v>
      </c>
      <c r="AK127" s="3">
        <f>AF127*(1+AK241)</f>
        <v>0</v>
      </c>
      <c r="AL127" s="3">
        <f>SUM(AH127:AK127)</f>
        <v>0</v>
      </c>
      <c r="AM127" s="3">
        <f>AH127*(1+AM241)</f>
        <v>0</v>
      </c>
      <c r="AN127" s="3">
        <f>AI127*(1+AN241)</f>
        <v>0</v>
      </c>
      <c r="AO127" s="3">
        <f>AJ127*(1+AO241)</f>
        <v>0</v>
      </c>
      <c r="AP127" s="3">
        <f>AK127*(1+AP241)</f>
        <v>0</v>
      </c>
      <c r="AQ127" s="3">
        <f>SUM(AM127:AP127)</f>
        <v>0</v>
      </c>
      <c r="AR127" s="3">
        <f>AM127*(1+AR241)</f>
        <v>0</v>
      </c>
      <c r="AS127" s="3">
        <f>AN127*(1+AS241)</f>
        <v>0</v>
      </c>
      <c r="AT127" s="3">
        <f>AO127*(1+AT241)</f>
        <v>0</v>
      </c>
      <c r="AU127" s="3">
        <f>AP127*(1+AU241)</f>
        <v>0</v>
      </c>
      <c r="AV127" s="3">
        <f>SUM(AR127:AU127)</f>
        <v>0</v>
      </c>
      <c r="AW127" s="3">
        <f>AR127*(1+AW241)</f>
        <v>0</v>
      </c>
      <c r="AX127" s="3">
        <f>AS127*(1+AX241)</f>
        <v>0</v>
      </c>
      <c r="AY127" s="3">
        <f>AT127*(1+AY241)</f>
        <v>0</v>
      </c>
      <c r="AZ127" s="3">
        <f>AU127*(1+AZ241)</f>
        <v>0</v>
      </c>
      <c r="BA127" s="3">
        <f>SUM(AW127:AZ127)</f>
        <v>0</v>
      </c>
      <c r="BB127" s="3">
        <f>AW127*(1+BB241)</f>
        <v>0</v>
      </c>
      <c r="BC127" s="3">
        <f>AX127*(1+BC241)</f>
        <v>0</v>
      </c>
      <c r="BD127" s="3">
        <f>AY127*(1+BD241)</f>
        <v>0</v>
      </c>
      <c r="BE127" s="3">
        <f>AZ127*(1+BE241)</f>
        <v>0</v>
      </c>
      <c r="BF127" s="3">
        <f>SUM(BB127:BE127)</f>
        <v>0</v>
      </c>
      <c r="BG127" s="3">
        <f>BB127*(1+BG241)</f>
        <v>0</v>
      </c>
      <c r="BH127" s="3">
        <f>BC127*(1+BH241)</f>
        <v>0</v>
      </c>
      <c r="BI127" s="3">
        <f>BD127*(1+BI241)</f>
        <v>0</v>
      </c>
      <c r="BJ127" s="3">
        <f>BE127*(1+BJ241)</f>
        <v>0</v>
      </c>
      <c r="BK127" s="3">
        <f>SUM(BG127:BJ127)</f>
        <v>0</v>
      </c>
      <c r="BL127" s="3">
        <f>BG127*(1+BL241)</f>
        <v>0</v>
      </c>
      <c r="BM127" s="3">
        <f>BH127*(1+BM241)</f>
        <v>0</v>
      </c>
      <c r="BN127" s="3">
        <f>BI127*(1+BN241)</f>
        <v>0</v>
      </c>
      <c r="BO127" s="3">
        <f>BJ127*(1+BO241)</f>
        <v>0</v>
      </c>
      <c r="BP127" s="3">
        <f>SUM(BL127:BO127)</f>
        <v>0</v>
      </c>
      <c r="BQ127" s="3">
        <f>BL127*(1+BQ241)</f>
        <v>0</v>
      </c>
      <c r="BR127" s="3">
        <f>BM127*(1+BR241)</f>
        <v>0</v>
      </c>
      <c r="BS127" s="3">
        <f>BN127*(1+BS241)</f>
        <v>0</v>
      </c>
      <c r="BT127" s="3">
        <f>BO127*(1+BT241)</f>
        <v>0</v>
      </c>
      <c r="BU127" s="3">
        <f>SUM(BQ127:BT127)</f>
        <v>0</v>
      </c>
      <c r="BV127" s="3">
        <f>BQ127*(1+BV241)</f>
        <v>0</v>
      </c>
      <c r="BW127" s="3">
        <f>BR127*(1+BW241)</f>
        <v>0</v>
      </c>
      <c r="BX127" s="3">
        <f>BS127*(1+BX241)</f>
        <v>0</v>
      </c>
      <c r="BY127" s="3">
        <f>BT127*(1+BY241)</f>
        <v>0</v>
      </c>
      <c r="BZ127" s="3">
        <f>SUM(BV127:BY127)</f>
        <v>0</v>
      </c>
      <c r="CA127" s="3">
        <f>BV127*(1+CA241)</f>
        <v>0</v>
      </c>
      <c r="CB127" s="3">
        <f>BW127*(1+CB241)</f>
        <v>0</v>
      </c>
      <c r="CC127" s="3">
        <f>BX127*(1+CC241)</f>
        <v>0</v>
      </c>
      <c r="CD127" s="3">
        <f>BY127*(1+CD241)</f>
        <v>0</v>
      </c>
      <c r="CE127" s="3">
        <f>SUM(CA127:CD127)</f>
        <v>0</v>
      </c>
      <c r="CF127" s="3">
        <f>CA127*(1+CF241)</f>
        <v>0</v>
      </c>
      <c r="CG127" s="3">
        <f>CB127*(1+CG241)</f>
        <v>0</v>
      </c>
      <c r="CH127" s="3">
        <f>CC127*(1+CH241)</f>
        <v>0</v>
      </c>
      <c r="CI127" s="3">
        <f>CD127*(1+CI241)</f>
        <v>0</v>
      </c>
      <c r="CJ127" s="3">
        <f>SUM(CF127:CI127)</f>
        <v>0</v>
      </c>
      <c r="CK127" s="3">
        <f>CF127*(1+CK241)</f>
        <v>0</v>
      </c>
      <c r="CL127" s="3">
        <f>CG127*(1+CL241)</f>
        <v>0</v>
      </c>
      <c r="CM127" s="3">
        <f>CH127*(1+CM241)</f>
        <v>0</v>
      </c>
      <c r="CN127" s="3">
        <f>CI127*(1+CN241)</f>
        <v>0</v>
      </c>
      <c r="CO127" s="3">
        <f>SUM(CK127:CN127)</f>
        <v>0</v>
      </c>
      <c r="CP127" s="3">
        <f>CK127*(1+CP241)</f>
        <v>0</v>
      </c>
      <c r="CQ127" s="3">
        <f>CL127*(1+CQ241)</f>
        <v>0</v>
      </c>
      <c r="CR127" s="3">
        <f>CM127*(1+CR241)</f>
        <v>0</v>
      </c>
      <c r="CS127" s="3">
        <f>CN127*(1+CS241)</f>
        <v>0</v>
      </c>
      <c r="CT127" s="3">
        <f>SUM(CP127:CS127)</f>
        <v>0</v>
      </c>
      <c r="CU127" s="3">
        <f>CP127*(1+CU241)</f>
        <v>0</v>
      </c>
      <c r="CV127" s="3">
        <f>CQ127*(1+CV241)</f>
        <v>0</v>
      </c>
      <c r="CW127" s="3">
        <f>CR127*(1+CW241)</f>
        <v>0</v>
      </c>
      <c r="CX127" s="3">
        <f>CS127*(1+CX241)</f>
        <v>0</v>
      </c>
      <c r="CY127" s="3">
        <f>SUM(CU127:CX127)</f>
        <v>0</v>
      </c>
    </row>
    <row r="128" customFormat="1" s="17">
      <c r="A128" s="13" t="n"/>
      <c r="B128" s="1" t="n"/>
      <c r="C128" s="14" t="inlineStr">
        <is>
          <t>Net Income</t>
        </is>
      </c>
      <c r="D128" s="16">
        <f>SUM(D121,D122,D126,D127)</f>
        <v>1717</v>
      </c>
      <c r="E128" s="16">
        <f>SUM(E121,E122,E126,E127)</f>
        <v>1626</v>
      </c>
      <c r="F128" s="16">
        <f>SUM(F121,F122,F126,F127)</f>
        <v>1698</v>
      </c>
      <c r="G128" s="16">
        <f>SUM(G121,G122,G126,G127)</f>
        <v>1792</v>
      </c>
      <c r="H128" s="16">
        <f>SUM(D128:G128)</f>
        <v>6833</v>
      </c>
      <c r="I128" s="16">
        <f>SUM(I121,I122,I126,I127)</f>
        <v>1837</v>
      </c>
      <c r="J128" s="16">
        <f>SUM(J121,J122,J126,J127)</f>
        <v>1815</v>
      </c>
      <c r="K128" s="16">
        <f>SUM(K121,K122,K126,K127)</f>
        <v>614</v>
      </c>
      <c r="L128" s="16">
        <f>SUM(L121,L122,L126,L127)</f>
        <v>2049</v>
      </c>
      <c r="M128" s="16">
        <f>SUM(I128:L128)</f>
        <v>6315</v>
      </c>
      <c r="N128" s="16">
        <f>SUM(N121,N122,N126,N127)</f>
        <v>1733</v>
      </c>
      <c r="O128" s="16">
        <f>SUM(O121,O122,O126,O127)</f>
        <v>309</v>
      </c>
      <c r="P128" s="16">
        <f>SUM(P121,P122,P126,P127)</f>
        <v>1778</v>
      </c>
      <c r="Q128" s="16">
        <f>SUM(Q121,Q122,Q126,Q127)</f>
        <v>1912</v>
      </c>
      <c r="R128" s="16">
        <f>SUM(N128:Q128)</f>
        <v>5732</v>
      </c>
      <c r="S128" s="16">
        <f>SUM(S121,S122,S126,S127)</f>
        <v>1689</v>
      </c>
      <c r="T128" s="16">
        <f>SUM(T121,T122,T126,T127)</f>
        <v>1681</v>
      </c>
      <c r="U128" s="16">
        <f>SUM(U121,U122,U126,U127)</f>
        <v>1684</v>
      </c>
      <c r="V128" s="16">
        <f>SUM(V121,V122,V126,V127)</f>
        <v>1866</v>
      </c>
      <c r="W128" s="16">
        <f>SUM(S128:V128)</f>
        <v>6920</v>
      </c>
      <c r="X128" s="16">
        <f>SUM(X121,X122,X126,X127)</f>
        <v>1545</v>
      </c>
      <c r="Y128" s="16">
        <f>SUM(Y121,Y122,Y126,Y127)</f>
        <v>1641</v>
      </c>
      <c r="Z128" s="16">
        <f>SUM(Z121,Z122,Z126,Z127)</f>
        <v>1623</v>
      </c>
      <c r="AA128" s="16">
        <f>SUM(AA121,AA122,AA126,AA127)</f>
        <v>527</v>
      </c>
      <c r="AB128" s="16">
        <f>SUM(X128:AA128)</f>
        <v>5336</v>
      </c>
      <c r="AC128" s="16">
        <f>SUM(AC121,AC122,AC126,AC127)</f>
        <v>1712</v>
      </c>
      <c r="AD128" s="16">
        <f>SUM(AD121,AD122,AD126,AD127)</f>
        <v>342</v>
      </c>
      <c r="AE128" s="16">
        <f>SUM(AE121,AE122,AE126,AE127)</f>
        <v>1619</v>
      </c>
      <c r="AF128" s="16">
        <f>SUM(AF121,AF122,AF126,AF127)</f>
        <v>1344</v>
      </c>
      <c r="AG128" s="16">
        <f>SUM(AC128:AF128)</f>
        <v>5017</v>
      </c>
      <c r="AH128" s="16">
        <f>SUM(AH121,AH122,AH126,AH127)</f>
        <v>1488</v>
      </c>
      <c r="AI128" s="16">
        <f>SUM(AI121,AI122,AI126,AI127)</f>
        <v>1836</v>
      </c>
      <c r="AJ128" s="16">
        <f>SUM(AJ121,AJ122,AJ126,AJ127)</f>
        <v>-20</v>
      </c>
      <c r="AK128" s="16">
        <f>SUM(AK121,AK122,AK126,AK127)</f>
        <v>-35</v>
      </c>
      <c r="AL128" s="16">
        <f>SUM(AH128:AK128)</f>
        <v>3269</v>
      </c>
      <c r="AM128" s="16">
        <f>SUM(AM121,AM122,AM126,AM127)</f>
        <v>-35</v>
      </c>
      <c r="AN128" s="16">
        <f>SUM(AN121,AN122,AN126,AN127)</f>
        <v>-110</v>
      </c>
      <c r="AO128" s="16">
        <f>SUM(AO121,AO122,AO126,AO127)</f>
        <v>-35</v>
      </c>
      <c r="AP128" s="16">
        <f>SUM(AP121,AP122,AP126,AP127)</f>
        <v>-110</v>
      </c>
      <c r="AQ128" s="16">
        <f>SUM(AM128:AP128)</f>
        <v>-290</v>
      </c>
      <c r="AR128" s="16">
        <f>SUM(AR121,AR122,AR126,AR127)</f>
        <v>-110</v>
      </c>
      <c r="AS128" s="16">
        <f>SUM(AS121,AS122,AS126,AS127)</f>
        <v>-290</v>
      </c>
      <c r="AT128" s="16">
        <f>SUM(AT121,AT122,AT126,AT127)</f>
        <v>-110</v>
      </c>
      <c r="AU128" s="16">
        <f>SUM(AU121,AU122,AU126,AU127)</f>
        <v>-290</v>
      </c>
      <c r="AV128" s="16">
        <f>SUM(AR128:AU128)</f>
        <v>-800</v>
      </c>
      <c r="AW128" s="16">
        <f>SUM(AW121,AW122,AW126,AW127)</f>
        <v>-290</v>
      </c>
      <c r="AX128" s="16">
        <f>SUM(AX121,AX122,AX126,AX127)</f>
        <v>-800</v>
      </c>
      <c r="AY128" s="16">
        <f>SUM(AY121,AY122,AY126,AY127)</f>
        <v>-290</v>
      </c>
      <c r="AZ128" s="16">
        <f>SUM(AZ121,AZ122,AZ126,AZ127)</f>
        <v>-800</v>
      </c>
      <c r="BA128" s="16">
        <f>SUM(AW128:AZ128)</f>
        <v>-2180</v>
      </c>
      <c r="BB128" s="16">
        <f>SUM(BB121,BB122,BB126,BB127)</f>
        <v>-800</v>
      </c>
      <c r="BC128" s="16">
        <f>SUM(BC121,BC122,BC126,BC127)</f>
        <v>-2180</v>
      </c>
      <c r="BD128" s="16">
        <f>SUM(BD121,BD122,BD126,BD127)</f>
        <v>-800</v>
      </c>
      <c r="BE128" s="16">
        <f>SUM(BE121,BE122,BE126,BE127)</f>
        <v>-2180</v>
      </c>
      <c r="BF128" s="16">
        <f>SUM(BB128:BE128)</f>
        <v>-5960</v>
      </c>
      <c r="BG128" s="16">
        <f>SUM(BG121,BG122,BG126,BG127)</f>
        <v>-2180</v>
      </c>
      <c r="BH128" s="16">
        <f>SUM(BH121,BH122,BH126,BH127)</f>
        <v>-5960</v>
      </c>
      <c r="BI128" s="16">
        <f>SUM(BI121,BI122,BI126,BI127)</f>
        <v>-2180</v>
      </c>
      <c r="BJ128" s="16">
        <f>SUM(BJ121,BJ122,BJ126,BJ127)</f>
        <v>-5960</v>
      </c>
      <c r="BK128" s="16">
        <f>SUM(BG128:BJ128)</f>
        <v>-16280</v>
      </c>
      <c r="BL128" s="16">
        <f>SUM(BL121,BL122,BL126,BL127)</f>
        <v>-5960</v>
      </c>
      <c r="BM128" s="16">
        <f>SUM(BM121,BM122,BM126,BM127)</f>
        <v>-16280</v>
      </c>
      <c r="BN128" s="16">
        <f>SUM(BN121,BN122,BN126,BN127)</f>
        <v>-5960</v>
      </c>
      <c r="BO128" s="16">
        <f>SUM(BO121,BO122,BO126,BO127)</f>
        <v>-16280</v>
      </c>
      <c r="BP128" s="16">
        <f>SUM(BL128:BO128)</f>
        <v>-44480</v>
      </c>
      <c r="BQ128" s="16">
        <f>SUM(BQ121,BQ122,BQ126,BQ127)</f>
        <v>-16280</v>
      </c>
      <c r="BR128" s="16">
        <f>SUM(BR121,BR122,BR126,BR127)</f>
        <v>-44480</v>
      </c>
      <c r="BS128" s="16">
        <f>SUM(BS121,BS122,BS126,BS127)</f>
        <v>-16280</v>
      </c>
      <c r="BT128" s="16">
        <f>SUM(BT121,BT122,BT126,BT127)</f>
        <v>-44480</v>
      </c>
      <c r="BU128" s="16">
        <f>SUM(BQ128:BT128)</f>
        <v>-121520</v>
      </c>
      <c r="BV128" s="16">
        <f>SUM(BV121,BV122,BV126,BV127)</f>
        <v>-44480</v>
      </c>
      <c r="BW128" s="16">
        <f>SUM(BW121,BW122,BW126,BW127)</f>
        <v>-121520</v>
      </c>
      <c r="BX128" s="16">
        <f>SUM(BX121,BX122,BX126,BX127)</f>
        <v>-44480</v>
      </c>
      <c r="BY128" s="16">
        <f>SUM(BY121,BY122,BY126,BY127)</f>
        <v>-121520</v>
      </c>
      <c r="BZ128" s="16">
        <f>SUM(BV128:BY128)</f>
        <v>-332000</v>
      </c>
      <c r="CA128" s="16">
        <f>SUM(CA121,CA122,CA126,CA127)</f>
        <v>-121520</v>
      </c>
      <c r="CB128" s="16">
        <f>SUM(CB121,CB122,CB126,CB127)</f>
        <v>-332000</v>
      </c>
      <c r="CC128" s="16">
        <f>SUM(CC121,CC122,CC126,CC127)</f>
        <v>-121520</v>
      </c>
      <c r="CD128" s="16">
        <f>SUM(CD121,CD122,CD126,CD127)</f>
        <v>-332000</v>
      </c>
      <c r="CE128" s="16">
        <f>SUM(CA128:CD128)</f>
        <v>-907040</v>
      </c>
      <c r="CF128" s="16">
        <f>SUM(CF121,CF122,CF126,CF127)</f>
        <v>-332000</v>
      </c>
      <c r="CG128" s="16">
        <f>SUM(CG121,CG122,CG126,CG127)</f>
        <v>-907040</v>
      </c>
      <c r="CH128" s="16">
        <f>SUM(CH121,CH122,CH126,CH127)</f>
        <v>-332000</v>
      </c>
      <c r="CI128" s="16">
        <f>SUM(CI121,CI122,CI126,CI127)</f>
        <v>-907040</v>
      </c>
      <c r="CJ128" s="16">
        <f>SUM(CF128:CI128)</f>
        <v>-2478080</v>
      </c>
      <c r="CK128" s="16">
        <f>SUM(CK121,CK122,CK126,CK127)</f>
        <v>-907040</v>
      </c>
      <c r="CL128" s="16">
        <f>SUM(CL121,CL122,CL126,CL127)</f>
        <v>-2478080</v>
      </c>
      <c r="CM128" s="16">
        <f>SUM(CM121,CM122,CM126,CM127)</f>
        <v>-907040</v>
      </c>
      <c r="CN128" s="16">
        <f>SUM(CN121,CN122,CN126,CN127)</f>
        <v>-2478080</v>
      </c>
      <c r="CO128" s="16">
        <f>SUM(CK128:CN128)</f>
        <v>-6770240</v>
      </c>
      <c r="CP128" s="16">
        <f>SUM(CP121,CP122,CP126,CP127)</f>
        <v>-2478080</v>
      </c>
      <c r="CQ128" s="16">
        <f>SUM(CQ121,CQ122,CQ126,CQ127)</f>
        <v>-6770240</v>
      </c>
      <c r="CR128" s="16">
        <f>SUM(CR121,CR122,CR126,CR127)</f>
        <v>-2478080</v>
      </c>
      <c r="CS128" s="16">
        <f>SUM(CS121,CS122,CS126,CS127)</f>
        <v>-6770240</v>
      </c>
      <c r="CT128" s="16">
        <f>SUM(CP128:CS128)</f>
        <v>-18496640</v>
      </c>
      <c r="CU128" s="16">
        <f>SUM(CU121,CU122,CU126,CU127)</f>
        <v>-6770240</v>
      </c>
      <c r="CV128" s="16">
        <f>SUM(CV121,CV122,CV126,CV127)</f>
        <v>-18496640</v>
      </c>
      <c r="CW128" s="16">
        <f>SUM(CW121,CW122,CW126,CW127)</f>
        <v>-6770240</v>
      </c>
      <c r="CX128" s="16">
        <f>SUM(CX121,CX122,CX126,CX127)</f>
        <v>-18496640</v>
      </c>
      <c r="CY128" s="16">
        <f>SUM(CU128:CX128)</f>
        <v>-50533760</v>
      </c>
    </row>
    <row r="129">
      <c r="C129" s="24" t="inlineStr">
        <is>
          <t>Common Dividends</t>
        </is>
      </c>
      <c r="D129" s="25">
        <f>INDEX('Inputs (2)'!$D$13:$AL$13,MATCH(D$7,'Inputs (2)'!$D$2:$AL$2,0))</f>
        <v>-693</v>
      </c>
      <c r="E129" s="25">
        <f>INDEX('Inputs (2)'!$D$13:$AL$13,MATCH(E$7,'Inputs (2)'!$D$2:$AL$2,0))</f>
        <v>-671</v>
      </c>
      <c r="F129" s="25">
        <f>INDEX('Inputs (2)'!$D$13:$AL$13,MATCH(F$7,'Inputs (2)'!$D$2:$AL$2,0))</f>
        <v>-672</v>
      </c>
      <c r="G129" s="25">
        <f>INDEX('Inputs (2)'!$D$13:$AL$13,MATCH(G$7,'Inputs (2)'!$D$2:$AL$2,0))</f>
        <v>-728</v>
      </c>
      <c r="H129" s="3">
        <f>SUM(D129:G129)</f>
        <v>-2764</v>
      </c>
      <c r="I129" s="25">
        <f>INDEX('Inputs (2)'!$D$13:$AL$13,MATCH(I$7,'Inputs (2)'!$D$2:$AL$2,0))</f>
        <v>-739</v>
      </c>
      <c r="J129" s="25">
        <f>INDEX('Inputs (2)'!$D$13:$AL$13,MATCH(J$7,'Inputs (2)'!$D$2:$AL$2,0))</f>
        <v>-721</v>
      </c>
      <c r="K129" s="25">
        <f>INDEX('Inputs (2)'!$D$13:$AL$13,MATCH(K$7,'Inputs (2)'!$D$2:$AL$2,0))</f>
        <v>-718</v>
      </c>
      <c r="L129" s="25">
        <f>INDEX('Inputs (2)'!$D$13:$AL$13,MATCH(L$7,'Inputs (2)'!$D$2:$AL$2,0))</f>
        <v>-762</v>
      </c>
      <c r="M129" s="3">
        <f>SUM(I129:L129)</f>
        <v>-2940</v>
      </c>
      <c r="N129" s="25">
        <f>INDEX('Inputs (2)'!$D$13:$AL$13,MATCH(N$7,'Inputs (2)'!$D$2:$AL$2,0))</f>
        <v>-767</v>
      </c>
      <c r="O129" s="25">
        <f>INDEX('Inputs (2)'!$D$13:$AL$13,MATCH(O$7,'Inputs (2)'!$D$2:$AL$2,0))</f>
        <v>-744</v>
      </c>
      <c r="P129" s="25">
        <f>INDEX('Inputs (2)'!$D$13:$AL$13,MATCH(P$7,'Inputs (2)'!$D$2:$AL$2,0))</f>
        <v>-739</v>
      </c>
      <c r="Q129" s="25">
        <f>INDEX('Inputs (2)'!$D$13:$AL$13,MATCH(Q$7,'Inputs (2)'!$D$2:$AL$2,0))</f>
        <v>-766</v>
      </c>
      <c r="R129" s="3">
        <f>SUM(N129:Q129)</f>
        <v>-3016</v>
      </c>
      <c r="S129" s="25">
        <f>INDEX('Inputs (2)'!$D$13:$AL$13,MATCH(S$7,'Inputs (2)'!$D$2:$AL$2,0))</f>
        <v>-784</v>
      </c>
      <c r="T129" s="25">
        <f>INDEX('Inputs (2)'!$D$13:$AL$13,MATCH(T$7,'Inputs (2)'!$D$2:$AL$2,0))</f>
        <v>-758</v>
      </c>
      <c r="U129" s="25">
        <f>INDEX('Inputs (2)'!$D$13:$AL$13,MATCH(U$7,'Inputs (2)'!$D$2:$AL$2,0))</f>
        <v>-747</v>
      </c>
      <c r="V129" s="25">
        <f>INDEX('Inputs (2)'!$D$13:$AL$13,MATCH(V$7,'Inputs (2)'!$D$2:$AL$2,0))</f>
        <v>-767</v>
      </c>
      <c r="W129" s="3">
        <f>SUM(S129:V129)</f>
        <v>-3056</v>
      </c>
      <c r="X129" s="25">
        <f>INDEX('Inputs (2)'!$D$13:$AL$13,MATCH(X$7,'Inputs (2)'!$D$2:$AL$2,0))</f>
        <v>-780</v>
      </c>
      <c r="Y129" s="25">
        <f>INDEX('Inputs (2)'!$D$13:$AL$13,MATCH(Y$7,'Inputs (2)'!$D$2:$AL$2,0))</f>
        <v>-752</v>
      </c>
      <c r="Z129" s="25">
        <f>INDEX('Inputs (2)'!$D$13:$AL$13,MATCH(Z$7,'Inputs (2)'!$D$2:$AL$2,0))</f>
        <v>-749</v>
      </c>
      <c r="AA129" s="25">
        <f>INDEX('Inputs (2)'!$D$13:$AL$13,MATCH(AA$7,'Inputs (2)'!$D$2:$AL$2,0))</f>
        <v>-778</v>
      </c>
      <c r="AB129" s="3">
        <f>SUM(X129:AA129)</f>
        <v>-3059</v>
      </c>
      <c r="AC129" s="25">
        <f>INDEX('Inputs (2)'!$D$13:$AL$13,MATCH(AC$7,'Inputs (2)'!$D$2:$AL$2,0))</f>
        <v>-796</v>
      </c>
      <c r="AD129" s="25">
        <f>INDEX('Inputs (2)'!$D$13:$AL$13,MATCH(AD$7,'Inputs (2)'!$D$2:$AL$2,0))</f>
        <v>-771</v>
      </c>
      <c r="AE129" s="25">
        <f>INDEX('Inputs (2)'!$D$13:$AL$13,MATCH(AE$7,'Inputs (2)'!$D$2:$AL$2,0))</f>
        <v>-765</v>
      </c>
      <c r="AF129" s="25">
        <f>INDEX('Inputs (2)'!$D$13:$AL$13,MATCH(AF$7,'Inputs (2)'!$D$2:$AL$2,0))</f>
        <v>-799</v>
      </c>
      <c r="AG129" s="3">
        <f>SUM(AC129:AF129)</f>
        <v>-3131</v>
      </c>
      <c r="AH129" s="3">
        <f>INDEX('Inputs (2)'!$D$13:$AL$13,MATCH(AH$7,'Inputs (2)'!$D$2:$AL$2,0))</f>
        <v>-816</v>
      </c>
      <c r="AI129" s="3">
        <f>INDEX('Inputs (2)'!$D$13:$AL$13,MATCH(AI$7,'Inputs (2)'!$D$2:$AL$2,0))</f>
        <v>-796</v>
      </c>
      <c r="AJ129" s="3" t="n"/>
      <c r="AK129" s="3" t="n"/>
      <c r="AL129" s="3">
        <f>SUM(AH129:AK129)</f>
        <v>-1612</v>
      </c>
      <c r="AM129" s="3" t="n"/>
      <c r="AN129" s="3" t="n"/>
      <c r="AO129" s="3" t="n"/>
      <c r="AP129" s="3" t="n"/>
      <c r="AQ129" s="3">
        <f>SUM(AM129:AP129)</f>
        <v>0</v>
      </c>
      <c r="AR129" s="3" t="n"/>
      <c r="AS129" s="3" t="n"/>
      <c r="AT129" s="3" t="n"/>
      <c r="AU129" s="3" t="n"/>
      <c r="AV129" s="3">
        <f>SUM(AR129:AU129)</f>
        <v>0</v>
      </c>
      <c r="AW129" s="3" t="n"/>
      <c r="AX129" s="3" t="n"/>
      <c r="AY129" s="3" t="n"/>
      <c r="AZ129" s="3" t="n"/>
      <c r="BA129" s="3">
        <f>SUM(AW129:AZ129)</f>
        <v>0</v>
      </c>
      <c r="BB129" s="3" t="n"/>
      <c r="BC129" s="3" t="n"/>
      <c r="BD129" s="3" t="n"/>
      <c r="BE129" s="3" t="n"/>
      <c r="BF129" s="3">
        <f>SUM(BB129:BE129)</f>
        <v>0</v>
      </c>
      <c r="BG129" s="3" t="n"/>
      <c r="BH129" s="3" t="n"/>
      <c r="BI129" s="3" t="n"/>
      <c r="BJ129" s="3" t="n"/>
      <c r="BK129" s="3">
        <f>SUM(BG129:BJ129)</f>
        <v>0</v>
      </c>
      <c r="BL129" s="3" t="n"/>
      <c r="BM129" s="3" t="n"/>
      <c r="BN129" s="3" t="n"/>
      <c r="BO129" s="3" t="n"/>
      <c r="BP129" s="3">
        <f>SUM(BL129:BO129)</f>
        <v>0</v>
      </c>
      <c r="BQ129" s="3" t="n"/>
      <c r="BR129" s="3" t="n"/>
      <c r="BS129" s="3" t="n"/>
      <c r="BT129" s="3" t="n"/>
      <c r="BU129" s="3">
        <f>SUM(BQ129:BT129)</f>
        <v>0</v>
      </c>
      <c r="BV129" s="3" t="n"/>
      <c r="BW129" s="3" t="n"/>
      <c r="BX129" s="3" t="n"/>
      <c r="BY129" s="3" t="n"/>
      <c r="BZ129" s="3">
        <f>SUM(BV129:BY129)</f>
        <v>0</v>
      </c>
      <c r="CA129" s="3" t="n"/>
      <c r="CB129" s="3" t="n"/>
      <c r="CC129" s="3" t="n"/>
      <c r="CD129" s="3" t="n"/>
      <c r="CE129" s="3">
        <f>SUM(CA129:CD129)</f>
        <v>0</v>
      </c>
      <c r="CF129" s="3" t="n"/>
      <c r="CG129" s="3" t="n"/>
      <c r="CH129" s="3" t="n"/>
      <c r="CI129" s="3" t="n"/>
      <c r="CJ129" s="3">
        <f>SUM(CF129:CI129)</f>
        <v>0</v>
      </c>
      <c r="CK129" s="3" t="n"/>
      <c r="CL129" s="3" t="n"/>
      <c r="CM129" s="3" t="n"/>
      <c r="CN129" s="3" t="n"/>
      <c r="CO129" s="3">
        <f>SUM(CK129:CN129)</f>
        <v>0</v>
      </c>
      <c r="CP129" s="3" t="n"/>
      <c r="CQ129" s="3" t="n"/>
      <c r="CR129" s="3" t="n"/>
      <c r="CS129" s="3" t="n"/>
      <c r="CT129" s="3">
        <f>SUM(CP129:CS129)</f>
        <v>0</v>
      </c>
      <c r="CU129" s="3" t="n"/>
      <c r="CV129" s="3" t="n"/>
      <c r="CW129" s="3" t="n"/>
      <c r="CX129" s="3" t="n"/>
      <c r="CY129" s="3">
        <f>SUM(CU129:CX129)</f>
        <v>0</v>
      </c>
    </row>
    <row r="130" hidden="1" outlineLevel="1">
      <c r="C130" s="32" t="inlineStr">
        <is>
          <t>% DVD Payout</t>
        </is>
      </c>
      <c r="D130" s="40">
        <f>-D129/D128</f>
        <v>0.403610949330227</v>
      </c>
      <c r="E130" s="40">
        <f>-E129/E128</f>
        <v>0.412669126691267</v>
      </c>
      <c r="F130" s="40">
        <f>-F129/F128</f>
        <v>0.395759717314488</v>
      </c>
      <c r="G130" s="40">
        <f>-G129/G128</f>
        <v>0.40625</v>
      </c>
      <c r="H130" s="40">
        <f>-H129/H128</f>
        <v>0.404507536953022</v>
      </c>
      <c r="I130" s="40">
        <f>-I129/I128</f>
        <v>0.402286336418073</v>
      </c>
      <c r="J130" s="40">
        <f>-J129/J128</f>
        <v>0.397245179063361</v>
      </c>
      <c r="K130" s="40">
        <f>-K129/K128</f>
        <v>1.16938110749186</v>
      </c>
      <c r="L130" s="40">
        <f>-L129/L128</f>
        <v>0.371888726207906</v>
      </c>
      <c r="M130" s="40">
        <f>-M129/M128</f>
        <v>0.465558194774347</v>
      </c>
      <c r="N130" s="40">
        <f>-N129/N128</f>
        <v>0.442585112521639</v>
      </c>
      <c r="O130" s="40">
        <f>-O129/O128</f>
        <v>2.40776699029126</v>
      </c>
      <c r="P130" s="40">
        <f>-P129/P128</f>
        <v>0.415635545556805</v>
      </c>
      <c r="Q130" s="40">
        <f>-Q129/Q128</f>
        <v>0.400627615062762</v>
      </c>
      <c r="R130" s="40">
        <f>-R129/R128</f>
        <v>0.526168876482903</v>
      </c>
      <c r="S130" s="40">
        <f>-S129/S128</f>
        <v>0.464179988158674</v>
      </c>
      <c r="T130" s="40">
        <f>-T129/T128</f>
        <v>0.450922070196312</v>
      </c>
      <c r="U130" s="40">
        <f>-U129/U128</f>
        <v>0.443586698337292</v>
      </c>
      <c r="V130" s="40">
        <f>-V129/V128</f>
        <v>0.411039657020364</v>
      </c>
      <c r="W130" s="40">
        <f>-W129/W128</f>
        <v>0.441618497109827</v>
      </c>
      <c r="X130" s="40">
        <f>-X129/X128</f>
        <v>0.504854368932039</v>
      </c>
      <c r="Y130" s="40">
        <f>-Y129/Y128</f>
        <v>0.458257160268129</v>
      </c>
      <c r="Z130" s="40">
        <f>-Z129/Z128</f>
        <v>0.461491065927295</v>
      </c>
      <c r="AA130" s="40">
        <f>-AA129/AA128</f>
        <v>1.47628083491461</v>
      </c>
      <c r="AB130" s="40">
        <f>-AB129/AB128</f>
        <v>0.573275862068966</v>
      </c>
      <c r="AC130" s="40">
        <f>-AC129/AC128</f>
        <v>0.464953271028037</v>
      </c>
      <c r="AD130" s="40">
        <f>-AD129/AD128</f>
        <v>2.25438596491228</v>
      </c>
      <c r="AE130" s="40">
        <f>-AE129/AE128</f>
        <v>0.472513897467573</v>
      </c>
      <c r="AF130" s="44">
        <f>-AF129/AF128</f>
        <v>0.594494047619048</v>
      </c>
      <c r="AG130" s="3" t="n"/>
      <c r="AH130" s="44">
        <f>-AH129/AH128</f>
        <v>0.548387096774194</v>
      </c>
      <c r="AI130" s="44">
        <f>-AI129/AI128</f>
        <v>0.433551198257081</v>
      </c>
      <c r="AJ130" s="44" t="n"/>
      <c r="AK130" s="44" t="n"/>
      <c r="AL130" s="3">
        <f>-AL129/AL128</f>
        <v>0.49311716121138</v>
      </c>
      <c r="AM130" s="44" t="n"/>
      <c r="AN130" s="44" t="n"/>
      <c r="AO130" s="44" t="n"/>
      <c r="AP130" s="44" t="n"/>
      <c r="AQ130" s="3">
        <f>-AQ129/AQ128</f>
        <v>0</v>
      </c>
      <c r="AR130" s="44" t="n"/>
      <c r="AS130" s="44" t="n"/>
      <c r="AT130" s="44" t="n"/>
      <c r="AU130" s="44" t="n"/>
      <c r="AV130" s="3">
        <f>-AV129/AV128</f>
        <v>0</v>
      </c>
      <c r="AW130" s="44" t="n"/>
      <c r="AX130" s="44" t="n"/>
      <c r="AY130" s="44" t="n"/>
      <c r="AZ130" s="44" t="n"/>
      <c r="BA130" s="3">
        <f>-BA129/BA128</f>
        <v>0</v>
      </c>
      <c r="BB130" s="44" t="n"/>
      <c r="BC130" s="44" t="n"/>
      <c r="BD130" s="44" t="n"/>
      <c r="BE130" s="44" t="n"/>
      <c r="BF130" s="3">
        <f>-BF129/BF128</f>
        <v>0</v>
      </c>
      <c r="BG130" s="44" t="n"/>
      <c r="BH130" s="44" t="n"/>
      <c r="BI130" s="44" t="n"/>
      <c r="BJ130" s="44" t="n"/>
      <c r="BK130" s="3">
        <f>-BK129/BK128</f>
        <v>0</v>
      </c>
      <c r="BL130" s="44" t="n"/>
      <c r="BM130" s="44" t="n"/>
      <c r="BN130" s="44" t="n"/>
      <c r="BO130" s="44" t="n"/>
      <c r="BP130" s="3">
        <f>-BP129/BP128</f>
        <v>0</v>
      </c>
      <c r="BQ130" s="44" t="n"/>
      <c r="BR130" s="44" t="n"/>
      <c r="BS130" s="44" t="n"/>
      <c r="BT130" s="44" t="n"/>
      <c r="BU130" s="3">
        <f>-BU129/BU128</f>
        <v>0</v>
      </c>
      <c r="BV130" s="44" t="n"/>
      <c r="BW130" s="44" t="n"/>
      <c r="BX130" s="44" t="n"/>
      <c r="BY130" s="44" t="n"/>
      <c r="BZ130" s="3">
        <f>-BZ129/BZ128</f>
        <v>0</v>
      </c>
      <c r="CA130" s="44" t="n"/>
      <c r="CB130" s="44" t="n"/>
      <c r="CC130" s="44" t="n"/>
      <c r="CD130" s="44" t="n"/>
      <c r="CE130" s="3">
        <f>-CE129/CE128</f>
        <v>0</v>
      </c>
      <c r="CF130" s="44" t="n"/>
      <c r="CG130" s="44" t="n"/>
      <c r="CH130" s="44" t="n"/>
      <c r="CI130" s="44" t="n"/>
      <c r="CJ130" s="3">
        <f>-CJ129/CJ128</f>
        <v>0</v>
      </c>
      <c r="CK130" s="44" t="n"/>
      <c r="CL130" s="44" t="n"/>
      <c r="CM130" s="44" t="n"/>
      <c r="CN130" s="44" t="n"/>
      <c r="CO130" s="3">
        <f>-CO129/CO128</f>
        <v>0</v>
      </c>
      <c r="CP130" s="44" t="n"/>
      <c r="CQ130" s="44" t="n"/>
      <c r="CR130" s="44" t="n"/>
      <c r="CS130" s="44" t="n"/>
      <c r="CT130" s="3">
        <f>-CT129/CT128</f>
        <v>0</v>
      </c>
      <c r="CU130" s="44" t="n"/>
      <c r="CV130" s="44" t="n"/>
      <c r="CW130" s="44" t="n"/>
      <c r="CX130" s="44" t="n"/>
      <c r="CY130" s="3">
        <f>-CY129/CY128</f>
        <v>0</v>
      </c>
    </row>
    <row r="131" hidden="1" outlineLevel="1">
      <c r="C131" s="5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</row>
    <row r="132" hidden="1" outlineLevel="1">
      <c r="C132" s="5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</row>
    <row r="133" collapsed="1" ht="11.25" customHeight="1">
      <c r="C133" s="12" t="inlineStr">
        <is>
          <t>Balance Sheet</t>
        </is>
      </c>
      <c r="D133" s="12" t="str">
        <f>D13</f>
        <v>1Q20</v>
      </c>
      <c r="E133" s="12" t="str">
        <f>E13</f>
        <v>2Q20</v>
      </c>
      <c r="F133" s="12" t="str">
        <f>F13</f>
        <v>3Q20</v>
      </c>
      <c r="G133" s="12" t="str">
        <f>G13</f>
        <v>4Q20</v>
      </c>
      <c r="H133" s="12">
        <f>H13</f>
        <v>2020</v>
      </c>
      <c r="I133" s="12" t="str">
        <f>I13</f>
        <v>1Q21</v>
      </c>
      <c r="J133" s="12" t="str">
        <f>J13</f>
        <v>2Q21</v>
      </c>
      <c r="K133" s="12" t="str">
        <f>K13</f>
        <v>3Q21</v>
      </c>
      <c r="L133" s="12" t="str">
        <f>L13</f>
        <v>4Q21</v>
      </c>
      <c r="M133" s="12">
        <f>M13</f>
        <v>2021</v>
      </c>
      <c r="N133" s="12" t="str">
        <f>N13</f>
        <v>1Q22</v>
      </c>
      <c r="O133" s="12" t="str">
        <f>O13</f>
        <v>2Q22</v>
      </c>
      <c r="P133" s="12" t="str">
        <f>P13</f>
        <v>3Q22</v>
      </c>
      <c r="Q133" s="12" t="str">
        <f>Q13</f>
        <v>4Q22</v>
      </c>
      <c r="R133" s="12">
        <f>R13</f>
        <v>2022</v>
      </c>
      <c r="S133" s="12" t="str">
        <f>S13</f>
        <v>1Q23</v>
      </c>
      <c r="T133" s="12" t="str">
        <f>T13</f>
        <v>2Q23</v>
      </c>
      <c r="U133" s="12" t="str">
        <f>U13</f>
        <v>3Q23</v>
      </c>
      <c r="V133" s="12" t="str">
        <f>V13</f>
        <v>4Q23</v>
      </c>
      <c r="W133" s="12">
        <f>W13</f>
        <v>2023</v>
      </c>
      <c r="X133" s="12" t="str">
        <f>X13</f>
        <v>1Q24</v>
      </c>
      <c r="Y133" s="12" t="str">
        <f>Y13</f>
        <v>2Q24</v>
      </c>
      <c r="Z133" s="12" t="str">
        <f>Z13</f>
        <v>3Q24</v>
      </c>
      <c r="AA133" s="12" t="str">
        <f>AA13</f>
        <v>4Q24</v>
      </c>
      <c r="AB133" s="12">
        <f>AB13</f>
        <v>2024</v>
      </c>
      <c r="AC133" s="12" t="str">
        <f>AC13</f>
        <v>1Q25</v>
      </c>
      <c r="AD133" s="12" t="str">
        <f>AD13</f>
        <v>2Q25</v>
      </c>
      <c r="AE133" s="12" t="str">
        <f>AE13</f>
        <v>3Q25</v>
      </c>
      <c r="AF133" s="12" t="str">
        <f>AF13</f>
        <v>4Q25</v>
      </c>
      <c r="AG133" s="12">
        <f>AG13</f>
        <v>2025</v>
      </c>
      <c r="AH133" s="12" t="str">
        <f>AH13</f>
        <v>1Q26</v>
      </c>
      <c r="AI133" s="12" t="str">
        <f>AI13</f>
        <v>2Q26</v>
      </c>
      <c r="AJ133" s="12" t="str">
        <f>AJ13</f>
        <v>3Q26</v>
      </c>
      <c r="AK133" s="12" t="str">
        <f>AK13</f>
        <v>4Q26</v>
      </c>
      <c r="AL133" s="12">
        <f>AL13</f>
        <v>2026</v>
      </c>
      <c r="AM133" s="12" t="str">
        <f>AM13</f>
        <v>1Q27</v>
      </c>
      <c r="AN133" s="12" t="str">
        <f>AN13</f>
        <v>2Q27</v>
      </c>
      <c r="AO133" s="12" t="str">
        <f>AO13</f>
        <v>3Q27</v>
      </c>
      <c r="AP133" s="12" t="str">
        <f>AP13</f>
        <v>4Q27</v>
      </c>
      <c r="AQ133" s="12">
        <f>AQ13</f>
        <v>2027</v>
      </c>
      <c r="AR133" s="12" t="str">
        <f>AR13</f>
        <v>1Q28</v>
      </c>
      <c r="AS133" s="12" t="str">
        <f>AS13</f>
        <v>2Q28</v>
      </c>
      <c r="AT133" s="12" t="str">
        <f>AT13</f>
        <v>3Q28</v>
      </c>
      <c r="AU133" s="12" t="str">
        <f>AU13</f>
        <v>4Q28</v>
      </c>
      <c r="AV133" s="12">
        <f>AV13</f>
        <v>2028</v>
      </c>
      <c r="AW133" s="12" t="str">
        <f>AW13</f>
        <v>1Q29</v>
      </c>
      <c r="AX133" s="12" t="str">
        <f>AX13</f>
        <v>2Q29</v>
      </c>
      <c r="AY133" s="12" t="str">
        <f>AY13</f>
        <v>3Q29</v>
      </c>
      <c r="AZ133" s="12" t="str">
        <f>AZ13</f>
        <v>4Q29</v>
      </c>
      <c r="BA133" s="12">
        <f>BA13</f>
        <v>2029</v>
      </c>
      <c r="BB133" s="12" t="str">
        <f>BB13</f>
        <v>1Q30</v>
      </c>
      <c r="BC133" s="12" t="str">
        <f>BC13</f>
        <v>2Q30</v>
      </c>
      <c r="BD133" s="12" t="str">
        <f>BD13</f>
        <v>3Q30</v>
      </c>
      <c r="BE133" s="12" t="str">
        <f>BE13</f>
        <v>4Q30</v>
      </c>
      <c r="BF133" s="12">
        <f>BF13</f>
        <v>2030</v>
      </c>
      <c r="BG133" s="12" t="str">
        <f>BG13</f>
        <v>1Q31</v>
      </c>
      <c r="BH133" s="12" t="str">
        <f>BH13</f>
        <v>2Q31</v>
      </c>
      <c r="BI133" s="12" t="str">
        <f>BI13</f>
        <v>3Q31</v>
      </c>
      <c r="BJ133" s="12" t="str">
        <f>BJ13</f>
        <v>4Q31</v>
      </c>
      <c r="BK133" s="12">
        <f>BK13</f>
        <v>2031</v>
      </c>
      <c r="BL133" s="12" t="str">
        <f>BL13</f>
        <v>1Q32</v>
      </c>
      <c r="BM133" s="12" t="str">
        <f>BM13</f>
        <v>2Q32</v>
      </c>
      <c r="BN133" s="12" t="str">
        <f>BN13</f>
        <v>3Q32</v>
      </c>
      <c r="BO133" s="12" t="str">
        <f>BO13</f>
        <v>4Q32</v>
      </c>
      <c r="BP133" s="12">
        <f>BP13</f>
        <v>2032</v>
      </c>
      <c r="BQ133" s="12" t="str">
        <f>BQ13</f>
        <v>1Q33</v>
      </c>
      <c r="BR133" s="12" t="str">
        <f>BR13</f>
        <v>2Q33</v>
      </c>
      <c r="BS133" s="12" t="str">
        <f>BS13</f>
        <v>3Q33</v>
      </c>
      <c r="BT133" s="12" t="str">
        <f>BT13</f>
        <v>4Q33</v>
      </c>
      <c r="BU133" s="12">
        <f>BU13</f>
        <v>2033</v>
      </c>
      <c r="BV133" s="12" t="str">
        <f>BV13</f>
        <v>1Q34</v>
      </c>
      <c r="BW133" s="12" t="str">
        <f>BW13</f>
        <v>2Q34</v>
      </c>
      <c r="BX133" s="12" t="str">
        <f>BX13</f>
        <v>3Q34</v>
      </c>
      <c r="BY133" s="12" t="str">
        <f>BY13</f>
        <v>4Q34</v>
      </c>
      <c r="BZ133" s="12">
        <f>BZ13</f>
        <v>2034</v>
      </c>
      <c r="CA133" s="12" t="str">
        <f>CA13</f>
        <v>1Q35</v>
      </c>
      <c r="CB133" s="12" t="str">
        <f>CB13</f>
        <v>2Q35</v>
      </c>
      <c r="CC133" s="12" t="str">
        <f>CC13</f>
        <v>3Q35</v>
      </c>
      <c r="CD133" s="12" t="str">
        <f>CD13</f>
        <v>4Q35</v>
      </c>
      <c r="CE133" s="12">
        <f>CE13</f>
        <v>2035</v>
      </c>
      <c r="CF133" s="12" t="str">
        <f>CF13</f>
        <v>1Q36</v>
      </c>
      <c r="CG133" s="12" t="str">
        <f>CG13</f>
        <v>2Q36</v>
      </c>
      <c r="CH133" s="12" t="str">
        <f>CH13</f>
        <v>3Q36</v>
      </c>
      <c r="CI133" s="12" t="str">
        <f>CI13</f>
        <v>4Q36</v>
      </c>
      <c r="CJ133" s="12">
        <f>CJ13</f>
        <v>2036</v>
      </c>
      <c r="CK133" s="12" t="str">
        <f>CK13</f>
        <v>1Q37</v>
      </c>
      <c r="CL133" s="12" t="str">
        <f>CL13</f>
        <v>2Q37</v>
      </c>
      <c r="CM133" s="12" t="str">
        <f>CM13</f>
        <v>3Q37</v>
      </c>
      <c r="CN133" s="12" t="str">
        <f>CN13</f>
        <v>4Q37</v>
      </c>
      <c r="CO133" s="12">
        <f>CO13</f>
        <v>2037</v>
      </c>
      <c r="CP133" s="12" t="str">
        <f>CP13</f>
        <v>1Q38</v>
      </c>
      <c r="CQ133" s="12" t="str">
        <f>CQ13</f>
        <v>2Q38</v>
      </c>
      <c r="CR133" s="12" t="str">
        <f>CR13</f>
        <v>3Q38</v>
      </c>
      <c r="CS133" s="12" t="str">
        <f>CS13</f>
        <v>4Q38</v>
      </c>
      <c r="CT133" s="12">
        <f>CT13</f>
        <v>2038</v>
      </c>
      <c r="CU133" s="12" t="str">
        <f>CU13</f>
        <v>1Q39</v>
      </c>
      <c r="CV133" s="12" t="str">
        <f>CV13</f>
        <v>2Q39</v>
      </c>
      <c r="CW133" s="12" t="str">
        <f>CW13</f>
        <v>3Q39</v>
      </c>
      <c r="CX133" s="12" t="str">
        <f>CX13</f>
        <v>4Q39</v>
      </c>
      <c r="CY133" s="12">
        <f>CY13</f>
        <v>2039</v>
      </c>
    </row>
    <row r="134">
      <c r="C134" s="5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</row>
    <row r="135">
      <c r="C135" s="24" t="inlineStr">
        <is>
          <t>Cash and equivalents (inc. investment securities)</t>
        </is>
      </c>
      <c r="D135" s="25">
        <f>INDEX('Inputs (2)'!$D$15:$AL$15,MATCH(D$7,'Inputs (2)'!$D$2:$AL$2,0))</f>
        <v>1988</v>
      </c>
      <c r="E135" s="25">
        <f>INDEX('Inputs (2)'!$D$15:$AL$15,MATCH(E$7,'Inputs (2)'!$D$2:$AL$2,0))</f>
        <v>2855</v>
      </c>
      <c r="F135" s="25">
        <f>INDEX('Inputs (2)'!$D$15:$AL$15,MATCH(F$7,'Inputs (2)'!$D$2:$AL$2,0))</f>
        <v>3585</v>
      </c>
      <c r="G135" s="25">
        <f>INDEX('Inputs (2)'!$D$15:$AL$15,MATCH(G$7,'Inputs (2)'!$D$2:$AL$2,0))</f>
        <v>3160</v>
      </c>
      <c r="H135" s="3">
        <f>G135</f>
        <v>3160</v>
      </c>
      <c r="I135" s="25">
        <f>INDEX('Inputs (2)'!$D$15:$AL$15,MATCH(I$7,'Inputs (2)'!$D$2:$AL$2,0))</f>
        <v>2933</v>
      </c>
      <c r="J135" s="25">
        <f>INDEX('Inputs (2)'!$D$15:$AL$15,MATCH(J$7,'Inputs (2)'!$D$2:$AL$2,0))</f>
        <v>2745</v>
      </c>
      <c r="K135" s="25">
        <f>INDEX('Inputs (2)'!$D$15:$AL$15,MATCH(K$7,'Inputs (2)'!$D$2:$AL$2,0))</f>
        <v>2727</v>
      </c>
      <c r="L135" s="25">
        <f>INDEX('Inputs (2)'!$D$15:$AL$15,MATCH(L$7,'Inputs (2)'!$D$2:$AL$2,0))</f>
        <v>3604</v>
      </c>
      <c r="M135" s="3">
        <f>L135</f>
        <v>3604</v>
      </c>
      <c r="N135" s="25">
        <f>INDEX('Inputs (2)'!$D$15:$AL$15,MATCH(N$7,'Inputs (2)'!$D$2:$AL$2,0))</f>
        <v>1883</v>
      </c>
      <c r="O135" s="25">
        <f>INDEX('Inputs (2)'!$D$15:$AL$15,MATCH(O$7,'Inputs (2)'!$D$2:$AL$2,0))</f>
        <v>1775</v>
      </c>
      <c r="P135" s="25">
        <f>INDEX('Inputs (2)'!$D$15:$AL$15,MATCH(P$7,'Inputs (2)'!$D$2:$AL$2,0))</f>
        <v>2430</v>
      </c>
      <c r="Q135" s="25">
        <f>INDEX('Inputs (2)'!$D$15:$AL$15,MATCH(Q$7,'Inputs (2)'!$D$2:$AL$2,0))</f>
        <v>2547</v>
      </c>
      <c r="R135" s="3">
        <f>Q135</f>
        <v>2547</v>
      </c>
      <c r="S135" s="25">
        <f>INDEX('Inputs (2)'!$D$15:$AL$15,MATCH(S$7,'Inputs (2)'!$D$2:$AL$2,0))</f>
        <v>2440</v>
      </c>
      <c r="T135" s="25">
        <f>INDEX('Inputs (2)'!$D$15:$AL$15,MATCH(T$7,'Inputs (2)'!$D$2:$AL$2,0))</f>
        <v>3673</v>
      </c>
      <c r="U135" s="25">
        <f>INDEX('Inputs (2)'!$D$15:$AL$15,MATCH(U$7,'Inputs (2)'!$D$2:$AL$2,0))</f>
        <v>3551</v>
      </c>
      <c r="V135" s="25">
        <f>INDEX('Inputs (2)'!$D$15:$AL$15,MATCH(V$7,'Inputs (2)'!$D$2:$AL$2,0))</f>
        <v>1442</v>
      </c>
      <c r="W135" s="3">
        <f>V135</f>
        <v>1442</v>
      </c>
      <c r="X135" s="25">
        <f>INDEX('Inputs (2)'!$D$15:$AL$15,MATCH(X$7,'Inputs (2)'!$D$2:$AL$2,0))</f>
        <v>2790</v>
      </c>
      <c r="Y135" s="25">
        <f>INDEX('Inputs (2)'!$D$15:$AL$15,MATCH(Y$7,'Inputs (2)'!$D$2:$AL$2,0))</f>
        <v>2523</v>
      </c>
      <c r="Z135" s="25">
        <f>INDEX('Inputs (2)'!$D$15:$AL$15,MATCH(Z$7,'Inputs (2)'!$D$2:$AL$2,0))</f>
        <v>3151</v>
      </c>
      <c r="AA135" s="25">
        <f>INDEX('Inputs (2)'!$D$15:$AL$15,MATCH(AA$7,'Inputs (2)'!$D$2:$AL$2,0))</f>
        <v>2483</v>
      </c>
      <c r="AB135" s="3">
        <f>AA135</f>
        <v>2483</v>
      </c>
      <c r="AC135" s="25">
        <f>INDEX('Inputs (2)'!$D$15:$AL$15,MATCH(AC$7,'Inputs (2)'!$D$2:$AL$2,0))</f>
        <v>1803</v>
      </c>
      <c r="AD135" s="25">
        <f>INDEX('Inputs (2)'!$D$15:$AL$15,MATCH(AD$7,'Inputs (2)'!$D$2:$AL$2,0))</f>
        <v>1293</v>
      </c>
      <c r="AE135" s="25">
        <f>INDEX('Inputs (2)'!$D$15:$AL$15,MATCH(AE$7,'Inputs (2)'!$D$2:$AL$2,0))</f>
        <v>3470</v>
      </c>
      <c r="AF135" s="25">
        <f>INDEX('Inputs (2)'!$D$15:$AL$15,MATCH(AF$7,'Inputs (2)'!$D$2:$AL$2,0))</f>
        <v>4121</v>
      </c>
      <c r="AG135" s="3">
        <f>AF135</f>
        <v>4121</v>
      </c>
      <c r="AH135" s="3">
        <f>INDEX('Inputs (2)'!$D$15:$AL$15,MATCH(AH$7,'Inputs (2)'!$D$2:$AL$2,0))</f>
        <v>1894</v>
      </c>
      <c r="AI135" s="3">
        <f>INDEX('Inputs (2)'!$D$15:$AL$15,MATCH(AI$7,'Inputs (2)'!$D$2:$AL$2,0))</f>
        <v>3791</v>
      </c>
      <c r="AJ135" s="3">
        <f>AI135+AJ305</f>
        <v>5407</v>
      </c>
      <c r="AK135" s="3">
        <f>AJ135+AK305</f>
        <v>5372</v>
      </c>
      <c r="AL135" s="3">
        <f>AK135</f>
        <v>5372</v>
      </c>
      <c r="AM135" s="3" t="e">
        <f>AL135+AM305</f>
        <v>#DIV/0!</v>
      </c>
      <c r="AN135" s="3" t="e">
        <f>AM135+AN305</f>
        <v>#DIV/0!</v>
      </c>
      <c r="AO135" s="3" t="e">
        <f>AN135+AO305</f>
        <v>#DIV/0!</v>
      </c>
      <c r="AP135" s="3" t="e">
        <f>AO135+AP305</f>
        <v>#DIV/0!</v>
      </c>
      <c r="AQ135" s="3" t="e">
        <f>AP135</f>
        <v>#DIV/0!</v>
      </c>
      <c r="AR135" s="3" t="e">
        <f>AQ135+AR305</f>
        <v>#DIV/0!</v>
      </c>
      <c r="AS135" s="3" t="e">
        <f>AR135+AS305</f>
        <v>#DIV/0!</v>
      </c>
      <c r="AT135" s="3" t="e">
        <f>AS135+AT305</f>
        <v>#DIV/0!</v>
      </c>
      <c r="AU135" s="3" t="e">
        <f>AT135+AU305</f>
        <v>#DIV/0!</v>
      </c>
      <c r="AV135" s="3" t="e">
        <f>AU135</f>
        <v>#DIV/0!</v>
      </c>
      <c r="AW135" s="3" t="e">
        <f>AV135+AW305</f>
        <v>#DIV/0!</v>
      </c>
      <c r="AX135" s="3" t="e">
        <f>AW135+AX305</f>
        <v>#DIV/0!</v>
      </c>
      <c r="AY135" s="3" t="e">
        <f>AX135+AY305</f>
        <v>#DIV/0!</v>
      </c>
      <c r="AZ135" s="3" t="e">
        <f>AY135+AZ305</f>
        <v>#DIV/0!</v>
      </c>
      <c r="BA135" s="3" t="e">
        <f>AZ135</f>
        <v>#DIV/0!</v>
      </c>
      <c r="BB135" s="3" t="e">
        <f>BA135+BB305</f>
        <v>#DIV/0!</v>
      </c>
      <c r="BC135" s="3" t="e">
        <f>BB135+BC305</f>
        <v>#DIV/0!</v>
      </c>
      <c r="BD135" s="3" t="e">
        <f>BC135+BD305</f>
        <v>#DIV/0!</v>
      </c>
      <c r="BE135" s="3" t="e">
        <f>BD135+BE305</f>
        <v>#DIV/0!</v>
      </c>
      <c r="BF135" s="3" t="e">
        <f>BE135</f>
        <v>#DIV/0!</v>
      </c>
      <c r="BG135" s="3" t="e">
        <f>BF135+BG305</f>
        <v>#DIV/0!</v>
      </c>
      <c r="BH135" s="3" t="e">
        <f>BG135+BH305</f>
        <v>#DIV/0!</v>
      </c>
      <c r="BI135" s="3" t="e">
        <f>BH135+BI305</f>
        <v>#DIV/0!</v>
      </c>
      <c r="BJ135" s="3" t="e">
        <f>BI135+BJ305</f>
        <v>#DIV/0!</v>
      </c>
      <c r="BK135" s="3" t="e">
        <f>BJ135</f>
        <v>#DIV/0!</v>
      </c>
      <c r="BL135" s="3" t="e">
        <f>BK135+BL305</f>
        <v>#DIV/0!</v>
      </c>
      <c r="BM135" s="3" t="e">
        <f>BL135+BM305</f>
        <v>#DIV/0!</v>
      </c>
      <c r="BN135" s="3" t="e">
        <f>BM135+BN305</f>
        <v>#DIV/0!</v>
      </c>
      <c r="BO135" s="3" t="e">
        <f>BN135+BO305</f>
        <v>#DIV/0!</v>
      </c>
      <c r="BP135" s="3" t="e">
        <f>BO135</f>
        <v>#DIV/0!</v>
      </c>
      <c r="BQ135" s="3" t="e">
        <f>BP135+BQ305</f>
        <v>#DIV/0!</v>
      </c>
      <c r="BR135" s="3" t="e">
        <f>BQ135+BR305</f>
        <v>#DIV/0!</v>
      </c>
      <c r="BS135" s="3" t="e">
        <f>BR135+BS305</f>
        <v>#DIV/0!</v>
      </c>
      <c r="BT135" s="3" t="e">
        <f>BS135+BT305</f>
        <v>#DIV/0!</v>
      </c>
      <c r="BU135" s="3" t="e">
        <f>BT135</f>
        <v>#DIV/0!</v>
      </c>
      <c r="BV135" s="3" t="e">
        <f>BU135+BV305</f>
        <v>#DIV/0!</v>
      </c>
      <c r="BW135" s="3" t="e">
        <f>BV135+BW305</f>
        <v>#DIV/0!</v>
      </c>
      <c r="BX135" s="3" t="e">
        <f>BW135+BX305</f>
        <v>#DIV/0!</v>
      </c>
      <c r="BY135" s="3" t="e">
        <f>BX135+BY305</f>
        <v>#DIV/0!</v>
      </c>
      <c r="BZ135" s="3" t="e">
        <f>BY135</f>
        <v>#DIV/0!</v>
      </c>
      <c r="CA135" s="3" t="e">
        <f>BZ135+CA305</f>
        <v>#DIV/0!</v>
      </c>
      <c r="CB135" s="3" t="e">
        <f>CA135+CB305</f>
        <v>#DIV/0!</v>
      </c>
      <c r="CC135" s="3" t="e">
        <f>CB135+CC305</f>
        <v>#DIV/0!</v>
      </c>
      <c r="CD135" s="3" t="e">
        <f>CC135+CD305</f>
        <v>#DIV/0!</v>
      </c>
      <c r="CE135" s="3" t="e">
        <f>CD135</f>
        <v>#DIV/0!</v>
      </c>
      <c r="CF135" s="3" t="e">
        <f>CE135+CF305</f>
        <v>#DIV/0!</v>
      </c>
      <c r="CG135" s="3" t="e">
        <f>CF135+CG305</f>
        <v>#DIV/0!</v>
      </c>
      <c r="CH135" s="3" t="e">
        <f>CG135+CH305</f>
        <v>#DIV/0!</v>
      </c>
      <c r="CI135" s="3" t="e">
        <f>CH135+CI305</f>
        <v>#DIV/0!</v>
      </c>
      <c r="CJ135" s="3" t="e">
        <f>CI135</f>
        <v>#DIV/0!</v>
      </c>
      <c r="CK135" s="3" t="e">
        <f>CJ135+CK305</f>
        <v>#DIV/0!</v>
      </c>
      <c r="CL135" s="3" t="e">
        <f>CK135+CL305</f>
        <v>#DIV/0!</v>
      </c>
      <c r="CM135" s="3" t="e">
        <f>CL135+CM305</f>
        <v>#DIV/0!</v>
      </c>
      <c r="CN135" s="3" t="e">
        <f>CM135+CN305</f>
        <v>#DIV/0!</v>
      </c>
      <c r="CO135" s="3" t="e">
        <f>CN135</f>
        <v>#DIV/0!</v>
      </c>
      <c r="CP135" s="3" t="e">
        <f>CO135+CP305</f>
        <v>#DIV/0!</v>
      </c>
      <c r="CQ135" s="3" t="e">
        <f>CP135+CQ305</f>
        <v>#DIV/0!</v>
      </c>
      <c r="CR135" s="3" t="e">
        <f>CQ135+CR305</f>
        <v>#DIV/0!</v>
      </c>
      <c r="CS135" s="3" t="e">
        <f>CR135+CS305</f>
        <v>#DIV/0!</v>
      </c>
      <c r="CT135" s="3" t="e">
        <f>CS135</f>
        <v>#DIV/0!</v>
      </c>
      <c r="CU135" s="3" t="e">
        <f>CT135+CU305</f>
        <v>#DIV/0!</v>
      </c>
      <c r="CV135" s="3" t="e">
        <f>CU135+CV305</f>
        <v>#DIV/0!</v>
      </c>
      <c r="CW135" s="3" t="e">
        <f>CV135+CW305</f>
        <v>#DIV/0!</v>
      </c>
      <c r="CX135" s="3" t="e">
        <f>CW135+CX305</f>
        <v>#DIV/0!</v>
      </c>
      <c r="CY135" s="3" t="e">
        <f>CX135</f>
        <v>#DIV/0!</v>
      </c>
    </row>
    <row r="136">
      <c r="C136" s="26" t="inlineStr">
        <is>
          <t>Accounts receivable</t>
        </is>
      </c>
      <c r="D136" s="25">
        <f>INDEX('Inputs (2)'!$D$16:$AL$16,MATCH(D$7,'Inputs (2)'!$D$2:$AL$2,0))</f>
        <v>2892</v>
      </c>
      <c r="E136" s="25">
        <f>INDEX('Inputs (2)'!$D$16:$AL$16,MATCH(E$7,'Inputs (2)'!$D$2:$AL$2,0))</f>
        <v>2835</v>
      </c>
      <c r="F136" s="25">
        <f>INDEX('Inputs (2)'!$D$16:$AL$16,MATCH(F$7,'Inputs (2)'!$D$2:$AL$2,0))</f>
        <v>2480</v>
      </c>
      <c r="G136" s="25">
        <f>INDEX('Inputs (2)'!$D$16:$AL$16,MATCH(G$7,'Inputs (2)'!$D$2:$AL$2,0))</f>
        <v>1978</v>
      </c>
      <c r="H136" s="3">
        <f>G136</f>
        <v>1978</v>
      </c>
      <c r="I136" s="25">
        <f>INDEX('Inputs (2)'!$D$16:$AL$16,MATCH(I$7,'Inputs (2)'!$D$2:$AL$2,0))</f>
        <v>2214</v>
      </c>
      <c r="J136" s="25">
        <f>INDEX('Inputs (2)'!$D$16:$AL$16,MATCH(J$7,'Inputs (2)'!$D$2:$AL$2,0))</f>
        <v>2611</v>
      </c>
      <c r="K136" s="25">
        <f>INDEX('Inputs (2)'!$D$16:$AL$16,MATCH(K$7,'Inputs (2)'!$D$2:$AL$2,0))</f>
        <v>2267</v>
      </c>
      <c r="L136" s="25">
        <f>INDEX('Inputs (2)'!$D$16:$AL$16,MATCH(L$7,'Inputs (2)'!$D$2:$AL$2,0))</f>
        <v>1963</v>
      </c>
      <c r="M136" s="3">
        <f>L136</f>
        <v>1963</v>
      </c>
      <c r="N136" s="25">
        <f>INDEX('Inputs (2)'!$D$16:$AL$16,MATCH(N$7,'Inputs (2)'!$D$2:$AL$2,0))</f>
        <v>2527</v>
      </c>
      <c r="O136" s="25">
        <f>INDEX('Inputs (2)'!$D$16:$AL$16,MATCH(O$7,'Inputs (2)'!$D$2:$AL$2,0))</f>
        <v>3401</v>
      </c>
      <c r="P136" s="25">
        <f>INDEX('Inputs (2)'!$D$16:$AL$16,MATCH(P$7,'Inputs (2)'!$D$2:$AL$2,0))</f>
        <v>2484</v>
      </c>
      <c r="Q136" s="25">
        <f>INDEX('Inputs (2)'!$D$16:$AL$16,MATCH(Q$7,'Inputs (2)'!$D$2:$AL$2,0))</f>
        <v>2505</v>
      </c>
      <c r="R136" s="3">
        <f>Q136</f>
        <v>2505</v>
      </c>
      <c r="S136" s="25">
        <f>INDEX('Inputs (2)'!$D$16:$AL$16,MATCH(S$7,'Inputs (2)'!$D$2:$AL$2,0))</f>
        <v>2583</v>
      </c>
      <c r="T136" s="25">
        <f>INDEX('Inputs (2)'!$D$16:$AL$16,MATCH(T$7,'Inputs (2)'!$D$2:$AL$2,0))</f>
        <v>3427</v>
      </c>
      <c r="U136" s="25">
        <f>INDEX('Inputs (2)'!$D$16:$AL$16,MATCH(U$7,'Inputs (2)'!$D$2:$AL$2,0))</f>
        <v>2405</v>
      </c>
      <c r="V136" s="25">
        <f>INDEX('Inputs (2)'!$D$16:$AL$16,MATCH(V$7,'Inputs (2)'!$D$2:$AL$2,0))</f>
        <v>2132</v>
      </c>
      <c r="W136" s="3">
        <f>V136</f>
        <v>2132</v>
      </c>
      <c r="X136" s="25">
        <f>INDEX('Inputs (2)'!$D$16:$AL$16,MATCH(X$7,'Inputs (2)'!$D$2:$AL$2,0))</f>
        <v>2257</v>
      </c>
      <c r="Y136" s="25">
        <f>INDEX('Inputs (2)'!$D$16:$AL$16,MATCH(Y$7,'Inputs (2)'!$D$2:$AL$2,0))</f>
        <v>2930</v>
      </c>
      <c r="Z136" s="25">
        <f>INDEX('Inputs (2)'!$D$16:$AL$16,MATCH(Z$7,'Inputs (2)'!$D$2:$AL$2,0))</f>
        <v>2141</v>
      </c>
      <c r="AA136" s="25">
        <f>INDEX('Inputs (2)'!$D$16:$AL$16,MATCH(AA$7,'Inputs (2)'!$D$2:$AL$2,0))</f>
        <v>2351</v>
      </c>
      <c r="AB136" s="3">
        <f>AA136</f>
        <v>2351</v>
      </c>
      <c r="AC136" s="25">
        <f>INDEX('Inputs (2)'!$D$16:$AL$16,MATCH(AC$7,'Inputs (2)'!$D$2:$AL$2,0))</f>
        <v>2024</v>
      </c>
      <c r="AD136" s="25">
        <f>INDEX('Inputs (2)'!$D$16:$AL$16,MATCH(AD$7,'Inputs (2)'!$D$2:$AL$2,0))</f>
        <v>3306</v>
      </c>
      <c r="AE136" s="25">
        <f>INDEX('Inputs (2)'!$D$16:$AL$16,MATCH(AE$7,'Inputs (2)'!$D$2:$AL$2,0))</f>
        <v>3844</v>
      </c>
      <c r="AF136" s="25">
        <f>INDEX('Inputs (2)'!$D$16:$AL$16,MATCH(AF$7,'Inputs (2)'!$D$2:$AL$2,0))</f>
        <v>3901</v>
      </c>
      <c r="AG136" s="3">
        <f>AF136</f>
        <v>3901</v>
      </c>
      <c r="AH136" s="3">
        <f>INDEX('Inputs (2)'!$D$16:$AL$16,MATCH(AH$7,'Inputs (2)'!$D$2:$AL$2,0))</f>
        <v>2322</v>
      </c>
      <c r="AI136" s="3">
        <f>INDEX('Inputs (2)'!$D$16:$AL$16,MATCH(AI$7,'Inputs (2)'!$D$2:$AL$2,0))</f>
        <v>3356</v>
      </c>
      <c r="AJ136" s="3">
        <f>(AJ137/(AJ$5-AI$5))*AJ$15</f>
        <v>0</v>
      </c>
      <c r="AK136" s="3">
        <f>(AK137/(AK$5-AJ$5))*AK$15</f>
        <v>0</v>
      </c>
      <c r="AL136" s="3">
        <f>AK136</f>
        <v>0</v>
      </c>
      <c r="AM136" s="3">
        <f>(AM137/(AM$5-AL$5))*AM$15</f>
        <v>0</v>
      </c>
      <c r="AN136" s="3">
        <f>(AN137/(AN$5-AM$5))*AN$15</f>
        <v>0</v>
      </c>
      <c r="AO136" s="3">
        <f>(AO137/(AO$5-AN$5))*AO$15</f>
        <v>0</v>
      </c>
      <c r="AP136" s="3">
        <f>(AP137/(AP$5-AO$5))*AP$15</f>
        <v>0</v>
      </c>
      <c r="AQ136" s="3">
        <f>AP136</f>
        <v>0</v>
      </c>
      <c r="AR136" s="3">
        <f>(AR137/(AR$5-AQ$5))*AR$15</f>
        <v>0</v>
      </c>
      <c r="AS136" s="3">
        <f>(AS137/(AS$5-AR$5))*AS$15</f>
        <v>0</v>
      </c>
      <c r="AT136" s="3">
        <f>(AT137/(AT$5-AS$5))*AT$15</f>
        <v>0</v>
      </c>
      <c r="AU136" s="3">
        <f>(AU137/(AU$5-AT$5))*AU$15</f>
        <v>0</v>
      </c>
      <c r="AV136" s="3">
        <f>AU136</f>
        <v>0</v>
      </c>
      <c r="AW136" s="3">
        <f>(AW137/(AW$5-AV$5))*AW$15</f>
        <v>0</v>
      </c>
      <c r="AX136" s="3">
        <f>(AX137/(AX$5-AW$5))*AX$15</f>
        <v>0</v>
      </c>
      <c r="AY136" s="3">
        <f>(AY137/(AY$5-AX$5))*AY$15</f>
        <v>0</v>
      </c>
      <c r="AZ136" s="3">
        <f>(AZ137/(AZ$5-AY$5))*AZ$15</f>
        <v>0</v>
      </c>
      <c r="BA136" s="3">
        <f>AZ136</f>
        <v>0</v>
      </c>
      <c r="BB136" s="3">
        <f>(BB137/(BB$5-BA$5))*BB$15</f>
        <v>0</v>
      </c>
      <c r="BC136" s="3">
        <f>(BC137/(BC$5-BB$5))*BC$15</f>
        <v>0</v>
      </c>
      <c r="BD136" s="3">
        <f>(BD137/(BD$5-BC$5))*BD$15</f>
        <v>0</v>
      </c>
      <c r="BE136" s="3">
        <f>(BE137/(BE$5-BD$5))*BE$15</f>
        <v>0</v>
      </c>
      <c r="BF136" s="3">
        <f>BE136</f>
        <v>0</v>
      </c>
      <c r="BG136" s="3">
        <f>(BG137/(BG$5-BF$5))*BG$15</f>
        <v>0</v>
      </c>
      <c r="BH136" s="3">
        <f>(BH137/(BH$5-BG$5))*BH$15</f>
        <v>0</v>
      </c>
      <c r="BI136" s="3">
        <f>(BI137/(BI$5-BH$5))*BI$15</f>
        <v>0</v>
      </c>
      <c r="BJ136" s="3">
        <f>(BJ137/(BJ$5-BI$5))*BJ$15</f>
        <v>0</v>
      </c>
      <c r="BK136" s="3">
        <f>BJ136</f>
        <v>0</v>
      </c>
      <c r="BL136" s="3">
        <f>(BL137/(BL$5-BK$5))*BL$15</f>
        <v>0</v>
      </c>
      <c r="BM136" s="3">
        <f>(BM137/(BM$5-BL$5))*BM$15</f>
        <v>0</v>
      </c>
      <c r="BN136" s="3">
        <f>(BN137/(BN$5-BM$5))*BN$15</f>
        <v>0</v>
      </c>
      <c r="BO136" s="3">
        <f>(BO137/(BO$5-BN$5))*BO$15</f>
        <v>0</v>
      </c>
      <c r="BP136" s="3">
        <f>BO136</f>
        <v>0</v>
      </c>
      <c r="BQ136" s="3">
        <f>(BQ137/(BQ$5-BP$5))*BQ$15</f>
        <v>0</v>
      </c>
      <c r="BR136" s="3">
        <f>(BR137/(BR$5-BQ$5))*BR$15</f>
        <v>0</v>
      </c>
      <c r="BS136" s="3">
        <f>(BS137/(BS$5-BR$5))*BS$15</f>
        <v>0</v>
      </c>
      <c r="BT136" s="3">
        <f>(BT137/(BT$5-BS$5))*BT$15</f>
        <v>0</v>
      </c>
      <c r="BU136" s="3">
        <f>BT136</f>
        <v>0</v>
      </c>
      <c r="BV136" s="3">
        <f>(BV137/(BV$5-BU$5))*BV$15</f>
        <v>0</v>
      </c>
      <c r="BW136" s="3">
        <f>(BW137/(BW$5-BV$5))*BW$15</f>
        <v>0</v>
      </c>
      <c r="BX136" s="3">
        <f>(BX137/(BX$5-BW$5))*BX$15</f>
        <v>0</v>
      </c>
      <c r="BY136" s="3">
        <f>(BY137/(BY$5-BX$5))*BY$15</f>
        <v>0</v>
      </c>
      <c r="BZ136" s="3">
        <f>BY136</f>
        <v>0</v>
      </c>
      <c r="CA136" s="3">
        <f>(CA137/(CA$5-BZ$5))*CA$15</f>
        <v>0</v>
      </c>
      <c r="CB136" s="3">
        <f>(CB137/(CB$5-CA$5))*CB$15</f>
        <v>0</v>
      </c>
      <c r="CC136" s="3">
        <f>(CC137/(CC$5-CB$5))*CC$15</f>
        <v>0</v>
      </c>
      <c r="CD136" s="3">
        <f>(CD137/(CD$5-CC$5))*CD$15</f>
        <v>0</v>
      </c>
      <c r="CE136" s="3">
        <f>CD136</f>
        <v>0</v>
      </c>
      <c r="CF136" s="3">
        <f>(CF137/(CF$5-CE$5))*CF$15</f>
        <v>0</v>
      </c>
      <c r="CG136" s="3">
        <f>(CG137/(CG$5-CF$5))*CG$15</f>
        <v>0</v>
      </c>
      <c r="CH136" s="3">
        <f>(CH137/(CH$5-CG$5))*CH$15</f>
        <v>0</v>
      </c>
      <c r="CI136" s="3">
        <f>(CI137/(CI$5-CH$5))*CI$15</f>
        <v>0</v>
      </c>
      <c r="CJ136" s="3">
        <f>CI136</f>
        <v>0</v>
      </c>
      <c r="CK136" s="3">
        <f>(CK137/(CK$5-CJ$5))*CK$15</f>
        <v>0</v>
      </c>
      <c r="CL136" s="3">
        <f>(CL137/(CL$5-CK$5))*CL$15</f>
        <v>0</v>
      </c>
      <c r="CM136" s="3">
        <f>(CM137/(CM$5-CL$5))*CM$15</f>
        <v>0</v>
      </c>
      <c r="CN136" s="3">
        <f>(CN137/(CN$5-CM$5))*CN$15</f>
        <v>0</v>
      </c>
      <c r="CO136" s="3">
        <f>CN136</f>
        <v>0</v>
      </c>
      <c r="CP136" s="3">
        <f>(CP137/(CP$5-CO$5))*CP$15</f>
        <v>0</v>
      </c>
      <c r="CQ136" s="3">
        <f>(CQ137/(CQ$5-CP$5))*CQ$15</f>
        <v>0</v>
      </c>
      <c r="CR136" s="3">
        <f>(CR137/(CR$5-CQ$5))*CR$15</f>
        <v>0</v>
      </c>
      <c r="CS136" s="3">
        <f>(CS137/(CS$5-CR$5))*CS$15</f>
        <v>0</v>
      </c>
      <c r="CT136" s="3">
        <f>CS136</f>
        <v>0</v>
      </c>
      <c r="CU136" s="3">
        <f>(CU137/(CU$5-CT$5))*CU$15</f>
        <v>0</v>
      </c>
      <c r="CV136" s="3">
        <f>(CV137/(CV$5-CU$5))*CV$15</f>
        <v>0</v>
      </c>
      <c r="CW136" s="3">
        <f>(CW137/(CW$5-CV$5))*CW$15</f>
        <v>0</v>
      </c>
      <c r="CX136" s="3">
        <f>(CX137/(CX$5-CW$5))*CX$15</f>
        <v>0</v>
      </c>
      <c r="CY136" s="3">
        <f>CX136</f>
        <v>0</v>
      </c>
    </row>
    <row r="137" hidden="1" outlineLevel="1">
      <c r="C137" s="34" t="inlineStr">
        <is>
          <t>DSO</t>
        </is>
      </c>
      <c r="D137" s="3" t="n"/>
      <c r="E137" s="3">
        <f>(E136/E$15)*(E$5-D$5)</f>
        <v>15.9053637484587</v>
      </c>
      <c r="F137" s="3">
        <f>(F136/F$15)*(F$5-E$5)</f>
        <v>13.8320703243407</v>
      </c>
      <c r="G137" s="3">
        <f>(G136/G$15)*(G$5-F$5)</f>
        <v>10.684358853922</v>
      </c>
      <c r="H137" s="3" t="n"/>
      <c r="I137" s="3">
        <f>(I136/I$15)*(I$5-H$5)</f>
        <v>12.2561200639685</v>
      </c>
      <c r="J137" s="3">
        <f>(J136/J$15)*(J$5-I$5)</f>
        <v>13.9527276998062</v>
      </c>
      <c r="K137" s="3">
        <f>(K136/K$15)*(K$5-J$5)</f>
        <v>13.0124781632144</v>
      </c>
      <c r="L137" s="3">
        <f>(L136/L$15)*(L$5-K$5)</f>
        <v>10.1864741384173</v>
      </c>
      <c r="M137" s="3" t="n"/>
      <c r="N137" s="3">
        <f>(N136/N$15)*(N$5-M$5)</f>
        <v>15.1984763432237</v>
      </c>
      <c r="O137" s="3">
        <f>(O136/O$15)*(O$5-N$5)</f>
        <v>20.0369674996763</v>
      </c>
      <c r="P137" s="3">
        <f>(P136/P$15)*(P$5-O$5)</f>
        <v>13.7808599167822</v>
      </c>
      <c r="Q137" s="3">
        <f>(Q136/Q$15)*(Q$5-P$5)</f>
        <v>12.1352219472382</v>
      </c>
      <c r="R137" s="3" t="n"/>
      <c r="S137" s="3">
        <f>(S136/S$15)*(S$5-R$5)</f>
        <v>15.3689012296708</v>
      </c>
      <c r="T137" s="3">
        <f>(T136/T$15)*(T$5-S$5)</f>
        <v>18.6819025939016</v>
      </c>
      <c r="U137" s="3">
        <f>(U136/U$15)*(U$5-T$5)</f>
        <v>13.1093731484773</v>
      </c>
      <c r="V137" s="3">
        <f>(V136/V$15)*(V$5-U$5)</f>
        <v>10.3922856840098</v>
      </c>
      <c r="W137" s="3" t="n"/>
      <c r="X137" s="3">
        <f>(X136/X$15)*(X$5-W$5)</f>
        <v>11.944576911893</v>
      </c>
      <c r="Y137" s="3">
        <f>(Y136/Y$15)*(Y$5-X$5)</f>
        <v>14.713055954089</v>
      </c>
      <c r="Z137" s="3">
        <f>(Z136/Z$15)*(Z$5-Y$5)</f>
        <v>11.5161365762395</v>
      </c>
      <c r="AA137" s="3">
        <f>(AA136/AA$15)*(AA$5-Z$5)</f>
        <v>11.6148641391902</v>
      </c>
      <c r="AB137" s="3" t="n"/>
      <c r="AC137" s="3">
        <f>(AC136/AC$15)*(AC$5-AB$5)</f>
        <v>10.1408450704225</v>
      </c>
      <c r="AD137" s="3">
        <f>(AD136/AD$15)*(AD$5-AC$5)</f>
        <v>16.5709721839714</v>
      </c>
      <c r="AE137" s="3">
        <f>(AE136/AE$15)*(AE$5-AD$5)</f>
        <v>19.0041377827933</v>
      </c>
      <c r="AF137" s="6">
        <f>(AF136/AF$15)*(AF$5-AE$5)</f>
        <v>17.661138723488</v>
      </c>
      <c r="AG137" s="3" t="n"/>
      <c r="AH137" s="6">
        <f>(AH136/AH$15)*(AH$5-AG$5)</f>
        <v>11.5964707840852</v>
      </c>
      <c r="AI137" s="6">
        <f>(AI136/AI$15)*(AI$5-AH$5)</f>
        <v>15.2218511688182</v>
      </c>
      <c r="AJ137" s="6" t="n"/>
      <c r="AK137" s="6" t="n"/>
      <c r="AL137" s="3" t="n"/>
      <c r="AM137" s="6" t="n"/>
      <c r="AN137" s="6" t="n"/>
      <c r="AO137" s="6" t="n"/>
      <c r="AP137" s="6" t="n"/>
      <c r="AQ137" s="3" t="n"/>
      <c r="AR137" s="6" t="n"/>
      <c r="AS137" s="6" t="n"/>
      <c r="AT137" s="6" t="n"/>
      <c r="AU137" s="6" t="n"/>
      <c r="AV137" s="3" t="n"/>
      <c r="AW137" s="6" t="n"/>
      <c r="AX137" s="6" t="n"/>
      <c r="AY137" s="6" t="n"/>
      <c r="AZ137" s="6" t="n"/>
      <c r="BA137" s="3" t="n"/>
      <c r="BB137" s="6" t="n"/>
      <c r="BC137" s="6" t="n"/>
      <c r="BD137" s="6" t="n"/>
      <c r="BE137" s="6" t="n"/>
      <c r="BF137" s="3" t="n"/>
      <c r="BG137" s="6" t="n"/>
      <c r="BH137" s="6" t="n"/>
      <c r="BI137" s="6" t="n"/>
      <c r="BJ137" s="6" t="n"/>
      <c r="BK137" s="3" t="n"/>
      <c r="BL137" s="6" t="n"/>
      <c r="BM137" s="6" t="n"/>
      <c r="BN137" s="6" t="n"/>
      <c r="BO137" s="6" t="n"/>
      <c r="BP137" s="3" t="n"/>
      <c r="BQ137" s="6" t="n"/>
      <c r="BR137" s="6" t="n"/>
      <c r="BS137" s="6" t="n"/>
      <c r="BT137" s="6" t="n"/>
      <c r="BU137" s="3" t="n"/>
      <c r="BV137" s="6" t="n"/>
      <c r="BW137" s="6" t="n"/>
      <c r="BX137" s="6" t="n"/>
      <c r="BY137" s="6" t="n"/>
      <c r="BZ137" s="3" t="n"/>
      <c r="CA137" s="6" t="n"/>
      <c r="CB137" s="6" t="n"/>
      <c r="CC137" s="6" t="n"/>
      <c r="CD137" s="6" t="n"/>
      <c r="CE137" s="3" t="n"/>
      <c r="CF137" s="6" t="n"/>
      <c r="CG137" s="6" t="n"/>
      <c r="CH137" s="6" t="n"/>
      <c r="CI137" s="6" t="n"/>
      <c r="CJ137" s="3" t="n"/>
      <c r="CK137" s="6" t="n"/>
      <c r="CL137" s="6" t="n"/>
      <c r="CM137" s="6" t="n"/>
      <c r="CN137" s="6" t="n"/>
      <c r="CO137" s="3" t="n"/>
      <c r="CP137" s="6" t="n"/>
      <c r="CQ137" s="6" t="n"/>
      <c r="CR137" s="6" t="n"/>
      <c r="CS137" s="6" t="n"/>
      <c r="CT137" s="3" t="n"/>
      <c r="CU137" s="6" t="n"/>
      <c r="CV137" s="6" t="n"/>
      <c r="CW137" s="6" t="n"/>
      <c r="CX137" s="6" t="n"/>
      <c r="CY137" s="3" t="n"/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4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collapsed="1">
      <c r="C140" s="26" t="inlineStr">
        <is>
          <t>Inventories</t>
        </is>
      </c>
      <c r="D140" s="25">
        <f>INDEX('Inputs (2)'!$D$17:$AL$17,MATCH(D$7,'Inputs (2)'!$D$2:$AL$2,0))</f>
        <v>0</v>
      </c>
      <c r="E140" s="25">
        <f>INDEX('Inputs (2)'!$D$17:$AL$17,MATCH(E$7,'Inputs (2)'!$D$2:$AL$2,0))</f>
        <v>0</v>
      </c>
      <c r="F140" s="25">
        <f>INDEX('Inputs (2)'!$D$17:$AL$17,MATCH(F$7,'Inputs (2)'!$D$2:$AL$2,0))</f>
        <v>0</v>
      </c>
      <c r="G140" s="25">
        <f>INDEX('Inputs (2)'!$D$17:$AL$17,MATCH(G$7,'Inputs (2)'!$D$2:$AL$2,0))</f>
        <v>0</v>
      </c>
      <c r="H140" s="3">
        <f>G140</f>
        <v>0</v>
      </c>
      <c r="I140" s="25">
        <f>INDEX('Inputs (2)'!$D$17:$AL$17,MATCH(I$7,'Inputs (2)'!$D$2:$AL$2,0))</f>
        <v>0</v>
      </c>
      <c r="J140" s="25">
        <f>INDEX('Inputs (2)'!$D$17:$AL$17,MATCH(J$7,'Inputs (2)'!$D$2:$AL$2,0))</f>
        <v>0</v>
      </c>
      <c r="K140" s="25">
        <f>INDEX('Inputs (2)'!$D$17:$AL$17,MATCH(K$7,'Inputs (2)'!$D$2:$AL$2,0))</f>
        <v>0</v>
      </c>
      <c r="L140" s="25">
        <f>INDEX('Inputs (2)'!$D$17:$AL$17,MATCH(L$7,'Inputs (2)'!$D$2:$AL$2,0))</f>
        <v>0</v>
      </c>
      <c r="M140" s="3">
        <f>L140</f>
        <v>0</v>
      </c>
      <c r="N140" s="25">
        <f>INDEX('Inputs (2)'!$D$17:$AL$17,MATCH(N$7,'Inputs (2)'!$D$2:$AL$2,0))</f>
        <v>0</v>
      </c>
      <c r="O140" s="25">
        <f>INDEX('Inputs (2)'!$D$17:$AL$17,MATCH(O$7,'Inputs (2)'!$D$2:$AL$2,0))</f>
        <v>0</v>
      </c>
      <c r="P140" s="25">
        <f>INDEX('Inputs (2)'!$D$17:$AL$17,MATCH(P$7,'Inputs (2)'!$D$2:$AL$2,0))</f>
        <v>0</v>
      </c>
      <c r="Q140" s="25">
        <f>INDEX('Inputs (2)'!$D$17:$AL$17,MATCH(Q$7,'Inputs (2)'!$D$2:$AL$2,0))</f>
        <v>0</v>
      </c>
      <c r="R140" s="3">
        <f>Q140</f>
        <v>0</v>
      </c>
      <c r="S140" s="25">
        <f>INDEX('Inputs (2)'!$D$17:$AL$17,MATCH(S$7,'Inputs (2)'!$D$2:$AL$2,0))</f>
        <v>0</v>
      </c>
      <c r="T140" s="25">
        <f>INDEX('Inputs (2)'!$D$17:$AL$17,MATCH(T$7,'Inputs (2)'!$D$2:$AL$2,0))</f>
        <v>0</v>
      </c>
      <c r="U140" s="25">
        <f>INDEX('Inputs (2)'!$D$17:$AL$17,MATCH(U$7,'Inputs (2)'!$D$2:$AL$2,0))</f>
        <v>0</v>
      </c>
      <c r="V140" s="25">
        <f>INDEX('Inputs (2)'!$D$17:$AL$17,MATCH(V$7,'Inputs (2)'!$D$2:$AL$2,0))</f>
        <v>0</v>
      </c>
      <c r="W140" s="3">
        <f>V140</f>
        <v>0</v>
      </c>
      <c r="X140" s="25">
        <f>INDEX('Inputs (2)'!$D$17:$AL$17,MATCH(X$7,'Inputs (2)'!$D$2:$AL$2,0))</f>
        <v>0</v>
      </c>
      <c r="Y140" s="25">
        <f>INDEX('Inputs (2)'!$D$17:$AL$17,MATCH(Y$7,'Inputs (2)'!$D$2:$AL$2,0))</f>
        <v>0</v>
      </c>
      <c r="Z140" s="25">
        <f>INDEX('Inputs (2)'!$D$17:$AL$17,MATCH(Z$7,'Inputs (2)'!$D$2:$AL$2,0))</f>
        <v>0</v>
      </c>
      <c r="AA140" s="25">
        <f>INDEX('Inputs (2)'!$D$17:$AL$17,MATCH(AA$7,'Inputs (2)'!$D$2:$AL$2,0))</f>
        <v>0</v>
      </c>
      <c r="AB140" s="3">
        <f>AA140</f>
        <v>0</v>
      </c>
      <c r="AC140" s="25">
        <f>INDEX('Inputs (2)'!$D$17:$AL$17,MATCH(AC$7,'Inputs (2)'!$D$2:$AL$2,0))</f>
        <v>0</v>
      </c>
      <c r="AD140" s="25">
        <f>INDEX('Inputs (2)'!$D$17:$AL$17,MATCH(AD$7,'Inputs (2)'!$D$2:$AL$2,0))</f>
        <v>0</v>
      </c>
      <c r="AE140" s="25">
        <f>INDEX('Inputs (2)'!$D$17:$AL$17,MATCH(AE$7,'Inputs (2)'!$D$2:$AL$2,0))</f>
        <v>0</v>
      </c>
      <c r="AF140" s="25">
        <f>INDEX('Inputs (2)'!$D$17:$AL$17,MATCH(AF$7,'Inputs (2)'!$D$2:$AL$2,0))</f>
        <v>0</v>
      </c>
      <c r="AG140" s="3">
        <f>AF140</f>
        <v>0</v>
      </c>
      <c r="AH140" s="3">
        <f>INDEX('Inputs (2)'!$D$17:$AL$17,MATCH(AH$7,'Inputs (2)'!$D$2:$AL$2,0))</f>
        <v>4251</v>
      </c>
      <c r="AI140" s="3">
        <f>INDEX('Inputs (2)'!$D$17:$AL$17,MATCH(AI$7,'Inputs (2)'!$D$2:$AL$2,0))</f>
        <v>4411</v>
      </c>
      <c r="AJ140" s="3">
        <f>(AJ141/(AJ$5-AI$5))*-AJ$45</f>
        <v>0</v>
      </c>
      <c r="AK140" s="3">
        <f>(AK141/(AK$5-AJ$5))*-AK$45</f>
        <v>0</v>
      </c>
      <c r="AL140" s="3">
        <f>AK140</f>
        <v>0</v>
      </c>
      <c r="AM140" s="3">
        <f>(AM141/(AM$5-AL$5))*-AM$45</f>
        <v>0</v>
      </c>
      <c r="AN140" s="3">
        <f>(AN141/(AN$5-AM$5))*-AN$45</f>
        <v>0</v>
      </c>
      <c r="AO140" s="3">
        <f>(AO141/(AO$5-AN$5))*-AO$45</f>
        <v>0</v>
      </c>
      <c r="AP140" s="3">
        <f>(AP141/(AP$5-AO$5))*-AP$45</f>
        <v>0</v>
      </c>
      <c r="AQ140" s="3">
        <f>AP140</f>
        <v>0</v>
      </c>
      <c r="AR140" s="3">
        <f>(AR141/(AR$5-AQ$5))*-AR$45</f>
        <v>0</v>
      </c>
      <c r="AS140" s="3">
        <f>(AS141/(AS$5-AR$5))*-AS$45</f>
        <v>0</v>
      </c>
      <c r="AT140" s="3">
        <f>(AT141/(AT$5-AS$5))*-AT$45</f>
        <v>0</v>
      </c>
      <c r="AU140" s="3">
        <f>(AU141/(AU$5-AT$5))*-AU$45</f>
        <v>0</v>
      </c>
      <c r="AV140" s="3">
        <f>AU140</f>
        <v>0</v>
      </c>
      <c r="AW140" s="3">
        <f>(AW141/(AW$5-AV$5))*-AW$45</f>
        <v>0</v>
      </c>
      <c r="AX140" s="3">
        <f>(AX141/(AX$5-AW$5))*-AX$45</f>
        <v>0</v>
      </c>
      <c r="AY140" s="3">
        <f>(AY141/(AY$5-AX$5))*-AY$45</f>
        <v>0</v>
      </c>
      <c r="AZ140" s="3">
        <f>(AZ141/(AZ$5-AY$5))*-AZ$45</f>
        <v>0</v>
      </c>
      <c r="BA140" s="3">
        <f>AZ140</f>
        <v>0</v>
      </c>
      <c r="BB140" s="3">
        <f>(BB141/(BB$5-BA$5))*-BB$45</f>
        <v>0</v>
      </c>
      <c r="BC140" s="3">
        <f>(BC141/(BC$5-BB$5))*-BC$45</f>
        <v>0</v>
      </c>
      <c r="BD140" s="3">
        <f>(BD141/(BD$5-BC$5))*-BD$45</f>
        <v>0</v>
      </c>
      <c r="BE140" s="3">
        <f>(BE141/(BE$5-BD$5))*-BE$45</f>
        <v>0</v>
      </c>
      <c r="BF140" s="3">
        <f>BE140</f>
        <v>0</v>
      </c>
      <c r="BG140" s="3">
        <f>(BG141/(BG$5-BF$5))*-BG$45</f>
        <v>0</v>
      </c>
      <c r="BH140" s="3">
        <f>(BH141/(BH$5-BG$5))*-BH$45</f>
        <v>0</v>
      </c>
      <c r="BI140" s="3">
        <f>(BI141/(BI$5-BH$5))*-BI$45</f>
        <v>0</v>
      </c>
      <c r="BJ140" s="3">
        <f>(BJ141/(BJ$5-BI$5))*-BJ$45</f>
        <v>0</v>
      </c>
      <c r="BK140" s="3">
        <f>BJ140</f>
        <v>0</v>
      </c>
      <c r="BL140" s="3">
        <f>(BL141/(BL$5-BK$5))*-BL$45</f>
        <v>0</v>
      </c>
      <c r="BM140" s="3">
        <f>(BM141/(BM$5-BL$5))*-BM$45</f>
        <v>0</v>
      </c>
      <c r="BN140" s="3">
        <f>(BN141/(BN$5-BM$5))*-BN$45</f>
        <v>0</v>
      </c>
      <c r="BO140" s="3">
        <f>(BO141/(BO$5-BN$5))*-BO$45</f>
        <v>0</v>
      </c>
      <c r="BP140" s="3">
        <f>BO140</f>
        <v>0</v>
      </c>
      <c r="BQ140" s="3">
        <f>(BQ141/(BQ$5-BP$5))*-BQ$45</f>
        <v>0</v>
      </c>
      <c r="BR140" s="3">
        <f>(BR141/(BR$5-BQ$5))*-BR$45</f>
        <v>0</v>
      </c>
      <c r="BS140" s="3">
        <f>(BS141/(BS$5-BR$5))*-BS$45</f>
        <v>0</v>
      </c>
      <c r="BT140" s="3">
        <f>(BT141/(BT$5-BS$5))*-BT$45</f>
        <v>0</v>
      </c>
      <c r="BU140" s="3">
        <f>BT140</f>
        <v>0</v>
      </c>
      <c r="BV140" s="3">
        <f>(BV141/(BV$5-BU$5))*-BV$45</f>
        <v>0</v>
      </c>
      <c r="BW140" s="3">
        <f>(BW141/(BW$5-BV$5))*-BW$45</f>
        <v>0</v>
      </c>
      <c r="BX140" s="3">
        <f>(BX141/(BX$5-BW$5))*-BX$45</f>
        <v>0</v>
      </c>
      <c r="BY140" s="3">
        <f>(BY141/(BY$5-BX$5))*-BY$45</f>
        <v>0</v>
      </c>
      <c r="BZ140" s="3">
        <f>BY140</f>
        <v>0</v>
      </c>
      <c r="CA140" s="3">
        <f>(CA141/(CA$5-BZ$5))*-CA$45</f>
        <v>0</v>
      </c>
      <c r="CB140" s="3">
        <f>(CB141/(CB$5-CA$5))*-CB$45</f>
        <v>0</v>
      </c>
      <c r="CC140" s="3">
        <f>(CC141/(CC$5-CB$5))*-CC$45</f>
        <v>0</v>
      </c>
      <c r="CD140" s="3">
        <f>(CD141/(CD$5-CC$5))*-CD$45</f>
        <v>0</v>
      </c>
      <c r="CE140" s="3">
        <f>CD140</f>
        <v>0</v>
      </c>
      <c r="CF140" s="3">
        <f>(CF141/(CF$5-CE$5))*-CF$45</f>
        <v>0</v>
      </c>
      <c r="CG140" s="3">
        <f>(CG141/(CG$5-CF$5))*-CG$45</f>
        <v>0</v>
      </c>
      <c r="CH140" s="3">
        <f>(CH141/(CH$5-CG$5))*-CH$45</f>
        <v>0</v>
      </c>
      <c r="CI140" s="3">
        <f>(CI141/(CI$5-CH$5))*-CI$45</f>
        <v>0</v>
      </c>
      <c r="CJ140" s="3">
        <f>CI140</f>
        <v>0</v>
      </c>
      <c r="CK140" s="3">
        <f>(CK141/(CK$5-CJ$5))*-CK$45</f>
        <v>0</v>
      </c>
      <c r="CL140" s="3">
        <f>(CL141/(CL$5-CK$5))*-CL$45</f>
        <v>0</v>
      </c>
      <c r="CM140" s="3">
        <f>(CM141/(CM$5-CL$5))*-CM$45</f>
        <v>0</v>
      </c>
      <c r="CN140" s="3">
        <f>(CN141/(CN$5-CM$5))*-CN$45</f>
        <v>0</v>
      </c>
      <c r="CO140" s="3">
        <f>CN140</f>
        <v>0</v>
      </c>
      <c r="CP140" s="3">
        <f>(CP141/(CP$5-CO$5))*-CP$45</f>
        <v>0</v>
      </c>
      <c r="CQ140" s="3">
        <f>(CQ141/(CQ$5-CP$5))*-CQ$45</f>
        <v>0</v>
      </c>
      <c r="CR140" s="3">
        <f>(CR141/(CR$5-CQ$5))*-CR$45</f>
        <v>0</v>
      </c>
      <c r="CS140" s="3">
        <f>(CS141/(CS$5-CR$5))*-CS$45</f>
        <v>0</v>
      </c>
      <c r="CT140" s="3">
        <f>CS140</f>
        <v>0</v>
      </c>
      <c r="CU140" s="3">
        <f>(CU141/(CU$5-CT$5))*-CU$45</f>
        <v>0</v>
      </c>
      <c r="CV140" s="3">
        <f>(CV141/(CV$5-CU$5))*-CV$45</f>
        <v>0</v>
      </c>
      <c r="CW140" s="3">
        <f>(CW141/(CW$5-CV$5))*-CW$45</f>
        <v>0</v>
      </c>
      <c r="CX140" s="3">
        <f>(CX141/(CX$5-CW$5))*-CX$45</f>
        <v>0</v>
      </c>
      <c r="CY140" s="3">
        <f>CX140</f>
        <v>0</v>
      </c>
    </row>
    <row r="141" hidden="1" outlineLevel="1">
      <c r="C141" s="34" t="inlineStr">
        <is>
          <t>DIO</t>
        </is>
      </c>
      <c r="D141" s="3" t="n"/>
      <c r="E141" s="3">
        <f>((E140/E$45)*(E$5-D$5))*-1</f>
        <v>0</v>
      </c>
      <c r="F141" s="3">
        <f>((F140/F$45)*(F$5-E$5))*-1</f>
        <v>0</v>
      </c>
      <c r="G141" s="3">
        <f>((G140/G$45)*(G$5-F$5))*-1</f>
        <v>0</v>
      </c>
      <c r="H141" s="3" t="n"/>
      <c r="I141" s="3">
        <f>((I140/I$45)*(I$5-H$5))*-1</f>
        <v>0</v>
      </c>
      <c r="J141" s="3">
        <f>((J140/J$45)*(J$5-I$5))*-1</f>
        <v>0</v>
      </c>
      <c r="K141" s="3">
        <f>((K140/K$45)*(K$5-J$5))*-1</f>
        <v>0</v>
      </c>
      <c r="L141" s="3">
        <f>((L140/L$45)*(L$5-K$5))*-1</f>
        <v>0</v>
      </c>
      <c r="M141" s="3" t="n"/>
      <c r="N141" s="3">
        <f>((N140/N$45)*(N$5-M$5))*-1</f>
        <v>0</v>
      </c>
      <c r="O141" s="3">
        <f>((O140/O$45)*(O$5-N$5))*-1</f>
        <v>0</v>
      </c>
      <c r="P141" s="3">
        <f>((P140/P$45)*(P$5-O$5))*-1</f>
        <v>0</v>
      </c>
      <c r="Q141" s="3">
        <f>((Q140/Q$45)*(Q$5-P$5))*-1</f>
        <v>0</v>
      </c>
      <c r="R141" s="3" t="n"/>
      <c r="S141" s="3">
        <f>((S140/S$45)*(S$5-R$5))*-1</f>
        <v>0</v>
      </c>
      <c r="T141" s="3">
        <f>((T140/T$45)*(T$5-S$5))*-1</f>
        <v>0</v>
      </c>
      <c r="U141" s="3">
        <f>((U140/U$45)*(U$5-T$5))*-1</f>
        <v>0</v>
      </c>
      <c r="V141" s="3">
        <f>((V140/V$45)*(V$5-U$5))*-1</f>
        <v>0</v>
      </c>
      <c r="W141" s="3" t="n"/>
      <c r="X141" s="3">
        <f>((X140/X$45)*(X$5-W$5))*-1</f>
        <v>0</v>
      </c>
      <c r="Y141" s="3">
        <f>((Y140/Y$45)*(Y$5-X$5))*-1</f>
        <v>0</v>
      </c>
      <c r="Z141" s="3">
        <f>((Z140/Z$45)*(Z$5-Y$5))*-1</f>
        <v>0</v>
      </c>
      <c r="AA141" s="3">
        <f>((AA140/AA$45)*(AA$5-Z$5))*-1</f>
        <v>0</v>
      </c>
      <c r="AB141" s="3" t="n"/>
      <c r="AC141" s="3">
        <f>((AC140/AC$45)*(AC$5-AB$5))*-1</f>
        <v>0</v>
      </c>
      <c r="AD141" s="3">
        <f>((AD140/AD$45)*(AD$5-AC$5))*-1</f>
        <v>0</v>
      </c>
      <c r="AE141" s="3">
        <f>((AE140/AE$45)*(AE$5-AD$5))*-1</f>
        <v>0</v>
      </c>
      <c r="AF141" s="6">
        <f>((AF140/AF$45)*(AF$5-AE$5))*-1</f>
        <v>0</v>
      </c>
      <c r="AG141" s="3" t="n"/>
      <c r="AH141" s="6">
        <f>((AH140/AH$45)*(AH$5-AG$5))*-1</f>
        <v>23.9973656150034</v>
      </c>
      <c r="AI141" s="6">
        <f>((AI140/AI$45)*(AI$5-AH$5))*-1</f>
        <v>22.7848668899359</v>
      </c>
      <c r="AJ141" s="6" t="n"/>
      <c r="AK141" s="6" t="n"/>
      <c r="AL141" s="3" t="n"/>
      <c r="AM141" s="6" t="n"/>
      <c r="AN141" s="6" t="n"/>
      <c r="AO141" s="6" t="n"/>
      <c r="AP141" s="6" t="n"/>
      <c r="AQ141" s="3" t="n"/>
      <c r="AR141" s="6" t="n"/>
      <c r="AS141" s="6" t="n"/>
      <c r="AT141" s="6" t="n"/>
      <c r="AU141" s="6" t="n"/>
      <c r="AV141" s="3" t="n"/>
      <c r="AW141" s="6" t="n"/>
      <c r="AX141" s="6" t="n"/>
      <c r="AY141" s="6" t="n"/>
      <c r="AZ141" s="6" t="n"/>
      <c r="BA141" s="3" t="n"/>
      <c r="BB141" s="6" t="n"/>
      <c r="BC141" s="6" t="n"/>
      <c r="BD141" s="6" t="n"/>
      <c r="BE141" s="6" t="n"/>
      <c r="BF141" s="3" t="n"/>
      <c r="BG141" s="6" t="n"/>
      <c r="BH141" s="6" t="n"/>
      <c r="BI141" s="6" t="n"/>
      <c r="BJ141" s="6" t="n"/>
      <c r="BK141" s="3" t="n"/>
      <c r="BL141" s="6" t="n"/>
      <c r="BM141" s="6" t="n"/>
      <c r="BN141" s="6" t="n"/>
      <c r="BO141" s="6" t="n"/>
      <c r="BP141" s="3" t="n"/>
      <c r="BQ141" s="6" t="n"/>
      <c r="BR141" s="6" t="n"/>
      <c r="BS141" s="6" t="n"/>
      <c r="BT141" s="6" t="n"/>
      <c r="BU141" s="3" t="n"/>
      <c r="BV141" s="6" t="n"/>
      <c r="BW141" s="6" t="n"/>
      <c r="BX141" s="6" t="n"/>
      <c r="BY141" s="6" t="n"/>
      <c r="BZ141" s="3" t="n"/>
      <c r="CA141" s="6" t="n"/>
      <c r="CB141" s="6" t="n"/>
      <c r="CC141" s="6" t="n"/>
      <c r="CD141" s="6" t="n"/>
      <c r="CE141" s="3" t="n"/>
      <c r="CF141" s="6" t="n"/>
      <c r="CG141" s="6" t="n"/>
      <c r="CH141" s="6" t="n"/>
      <c r="CI141" s="6" t="n"/>
      <c r="CJ141" s="3" t="n"/>
      <c r="CK141" s="6" t="n"/>
      <c r="CL141" s="6" t="n"/>
      <c r="CM141" s="6" t="n"/>
      <c r="CN141" s="6" t="n"/>
      <c r="CO141" s="3" t="n"/>
      <c r="CP141" s="6" t="n"/>
      <c r="CQ141" s="6" t="n"/>
      <c r="CR141" s="6" t="n"/>
      <c r="CS141" s="6" t="n"/>
      <c r="CT141" s="3" t="n"/>
      <c r="CU141" s="6" t="n"/>
      <c r="CV141" s="6" t="n"/>
      <c r="CW141" s="6" t="n"/>
      <c r="CX141" s="6" t="n"/>
      <c r="CY141" s="3" t="n"/>
    </row>
    <row r="142" hidden="1" outlineLevel="1">
      <c r="C142" s="3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collapsed="1">
      <c r="C144" s="26" t="inlineStr">
        <is>
          <t>Deferred income taxes</t>
        </is>
      </c>
      <c r="D144" s="25">
        <f>INDEX('Inputs (2)'!$D$18:$AL$18,MATCH(D$7,'Inputs (2)'!$D$2:$AL$2,0))</f>
        <v>3164</v>
      </c>
      <c r="E144" s="25">
        <f>INDEX('Inputs (2)'!$D$18:$AL$18,MATCH(E$7,'Inputs (2)'!$D$2:$AL$2,0))</f>
        <v>3127</v>
      </c>
      <c r="F144" s="25">
        <f>INDEX('Inputs (2)'!$D$18:$AL$18,MATCH(F$7,'Inputs (2)'!$D$2:$AL$2,0))</f>
        <v>3198</v>
      </c>
      <c r="G144" s="25">
        <f>INDEX('Inputs (2)'!$D$18:$AL$18,MATCH(G$7,'Inputs (2)'!$D$2:$AL$2,0))</f>
        <v>3475</v>
      </c>
      <c r="H144" s="3">
        <f>G144</f>
        <v>3475</v>
      </c>
      <c r="I144" s="25">
        <f>INDEX('Inputs (2)'!$D$18:$AL$18,MATCH(I$7,'Inputs (2)'!$D$2:$AL$2,0))</f>
        <v>3375</v>
      </c>
      <c r="J144" s="25">
        <f>INDEX('Inputs (2)'!$D$18:$AL$18,MATCH(J$7,'Inputs (2)'!$D$2:$AL$2,0))</f>
        <v>3377</v>
      </c>
      <c r="K144" s="25">
        <f>INDEX('Inputs (2)'!$D$18:$AL$18,MATCH(K$7,'Inputs (2)'!$D$2:$AL$2,0))</f>
        <v>2664</v>
      </c>
      <c r="L144" s="25">
        <f>INDEX('Inputs (2)'!$D$18:$AL$18,MATCH(L$7,'Inputs (2)'!$D$2:$AL$2,0))</f>
        <v>2290</v>
      </c>
      <c r="M144" s="3">
        <f>L144</f>
        <v>2290</v>
      </c>
      <c r="N144" s="25">
        <f>INDEX('Inputs (2)'!$D$18:$AL$18,MATCH(N$7,'Inputs (2)'!$D$2:$AL$2,0))</f>
        <v>2688</v>
      </c>
      <c r="O144" s="25">
        <f>INDEX('Inputs (2)'!$D$18:$AL$18,MATCH(O$7,'Inputs (2)'!$D$2:$AL$2,0))</f>
        <v>2680</v>
      </c>
      <c r="P144" s="25">
        <f>INDEX('Inputs (2)'!$D$18:$AL$18,MATCH(P$7,'Inputs (2)'!$D$2:$AL$2,0))</f>
        <v>3116</v>
      </c>
      <c r="Q144" s="25">
        <f>INDEX('Inputs (2)'!$D$18:$AL$18,MATCH(Q$7,'Inputs (2)'!$D$2:$AL$2,0))</f>
        <v>3744</v>
      </c>
      <c r="R144" s="3">
        <f>Q144</f>
        <v>3744</v>
      </c>
      <c r="S144" s="25">
        <f>INDEX('Inputs (2)'!$D$18:$AL$18,MATCH(S$7,'Inputs (2)'!$D$2:$AL$2,0))</f>
        <v>4175</v>
      </c>
      <c r="T144" s="25">
        <f>INDEX('Inputs (2)'!$D$18:$AL$18,MATCH(T$7,'Inputs (2)'!$D$2:$AL$2,0))</f>
        <v>4518</v>
      </c>
      <c r="U144" s="25">
        <f>INDEX('Inputs (2)'!$D$18:$AL$18,MATCH(U$7,'Inputs (2)'!$D$2:$AL$2,0))</f>
        <v>4873</v>
      </c>
      <c r="V144" s="25">
        <f>INDEX('Inputs (2)'!$D$18:$AL$18,MATCH(V$7,'Inputs (2)'!$D$2:$AL$2,0))</f>
        <v>2953</v>
      </c>
      <c r="W144" s="3">
        <f>V144</f>
        <v>2953</v>
      </c>
      <c r="X144" s="25">
        <f>INDEX('Inputs (2)'!$D$18:$AL$18,MATCH(X$7,'Inputs (2)'!$D$2:$AL$2,0))</f>
        <v>3024</v>
      </c>
      <c r="Y144" s="25">
        <f>INDEX('Inputs (2)'!$D$18:$AL$18,MATCH(Y$7,'Inputs (2)'!$D$2:$AL$2,0))</f>
        <v>3080</v>
      </c>
      <c r="Z144" s="25">
        <f>INDEX('Inputs (2)'!$D$18:$AL$18,MATCH(Z$7,'Inputs (2)'!$D$2:$AL$2,0))</f>
        <v>3105</v>
      </c>
      <c r="AA144" s="25">
        <f>INDEX('Inputs (2)'!$D$18:$AL$18,MATCH(AA$7,'Inputs (2)'!$D$2:$AL$2,0))</f>
        <v>3557</v>
      </c>
      <c r="AB144" s="3">
        <f>AA144</f>
        <v>3557</v>
      </c>
      <c r="AC144" s="25">
        <f>INDEX('Inputs (2)'!$D$18:$AL$18,MATCH(AC$7,'Inputs (2)'!$D$2:$AL$2,0))</f>
        <v>3568</v>
      </c>
      <c r="AD144" s="25">
        <f>INDEX('Inputs (2)'!$D$18:$AL$18,MATCH(AD$7,'Inputs (2)'!$D$2:$AL$2,0))</f>
        <v>4070</v>
      </c>
      <c r="AE144" s="25">
        <f>INDEX('Inputs (2)'!$D$18:$AL$18,MATCH(AE$7,'Inputs (2)'!$D$2:$AL$2,0))</f>
        <v>3413</v>
      </c>
      <c r="AF144" s="25">
        <f>INDEX('Inputs (2)'!$D$18:$AL$18,MATCH(AF$7,'Inputs (2)'!$D$2:$AL$2,0))</f>
        <v>2975</v>
      </c>
      <c r="AG144" s="3">
        <f>AF144</f>
        <v>2975</v>
      </c>
      <c r="AH144" s="3">
        <f>INDEX('Inputs (2)'!$D$18:$AL$18,MATCH(AH$7,'Inputs (2)'!$D$2:$AL$2,0))</f>
        <v>2802</v>
      </c>
      <c r="AI144" s="3">
        <f>INDEX('Inputs (2)'!$D$18:$AL$18,MATCH(AI$7,'Inputs (2)'!$D$2:$AL$2,0))</f>
        <v>2414</v>
      </c>
      <c r="AJ144" s="3">
        <f>AI144</f>
        <v>2414</v>
      </c>
      <c r="AK144" s="3">
        <f>AJ144</f>
        <v>2414</v>
      </c>
      <c r="AL144" s="3">
        <f>AK144</f>
        <v>2414</v>
      </c>
      <c r="AM144" s="3">
        <f>AL144</f>
        <v>2414</v>
      </c>
      <c r="AN144" s="3">
        <f>AM144</f>
        <v>2414</v>
      </c>
      <c r="AO144" s="3">
        <f>AN144</f>
        <v>2414</v>
      </c>
      <c r="AP144" s="3">
        <f>AO144</f>
        <v>2414</v>
      </c>
      <c r="AQ144" s="3">
        <f>AP144</f>
        <v>2414</v>
      </c>
      <c r="AR144" s="3">
        <f>AQ144</f>
        <v>2414</v>
      </c>
      <c r="AS144" s="3">
        <f>AR144</f>
        <v>2414</v>
      </c>
      <c r="AT144" s="3">
        <f>AS144</f>
        <v>2414</v>
      </c>
      <c r="AU144" s="3">
        <f>AT144</f>
        <v>2414</v>
      </c>
      <c r="AV144" s="3">
        <f>AU144</f>
        <v>2414</v>
      </c>
      <c r="AW144" s="3">
        <f>AV144</f>
        <v>2414</v>
      </c>
      <c r="AX144" s="3">
        <f>AW144</f>
        <v>2414</v>
      </c>
      <c r="AY144" s="3">
        <f>AX144</f>
        <v>2414</v>
      </c>
      <c r="AZ144" s="3">
        <f>AY144</f>
        <v>2414</v>
      </c>
      <c r="BA144" s="3">
        <f>AZ144</f>
        <v>2414</v>
      </c>
      <c r="BB144" s="3">
        <f>BA144</f>
        <v>2414</v>
      </c>
      <c r="BC144" s="3">
        <f>BB144</f>
        <v>2414</v>
      </c>
      <c r="BD144" s="3">
        <f>BC144</f>
        <v>2414</v>
      </c>
      <c r="BE144" s="3">
        <f>BD144</f>
        <v>2414</v>
      </c>
      <c r="BF144" s="3">
        <f>BE144</f>
        <v>2414</v>
      </c>
      <c r="BG144" s="3">
        <f>BF144</f>
        <v>2414</v>
      </c>
      <c r="BH144" s="3">
        <f>BG144</f>
        <v>2414</v>
      </c>
      <c r="BI144" s="3">
        <f>BH144</f>
        <v>2414</v>
      </c>
      <c r="BJ144" s="3">
        <f>BI144</f>
        <v>2414</v>
      </c>
      <c r="BK144" s="3">
        <f>BJ144</f>
        <v>2414</v>
      </c>
      <c r="BL144" s="3">
        <f>BK144</f>
        <v>2414</v>
      </c>
      <c r="BM144" s="3">
        <f>BL144</f>
        <v>2414</v>
      </c>
      <c r="BN144" s="3">
        <f>BM144</f>
        <v>2414</v>
      </c>
      <c r="BO144" s="3">
        <f>BN144</f>
        <v>2414</v>
      </c>
      <c r="BP144" s="3">
        <f>BO144</f>
        <v>2414</v>
      </c>
      <c r="BQ144" s="3">
        <f>BP144</f>
        <v>2414</v>
      </c>
      <c r="BR144" s="3">
        <f>BQ144</f>
        <v>2414</v>
      </c>
      <c r="BS144" s="3">
        <f>BR144</f>
        <v>2414</v>
      </c>
      <c r="BT144" s="3">
        <f>BS144</f>
        <v>2414</v>
      </c>
      <c r="BU144" s="3">
        <f>BT144</f>
        <v>2414</v>
      </c>
      <c r="BV144" s="3">
        <f>BU144</f>
        <v>2414</v>
      </c>
      <c r="BW144" s="3">
        <f>BV144</f>
        <v>2414</v>
      </c>
      <c r="BX144" s="3">
        <f>BW144</f>
        <v>2414</v>
      </c>
      <c r="BY144" s="3">
        <f>BX144</f>
        <v>2414</v>
      </c>
      <c r="BZ144" s="3">
        <f>BY144</f>
        <v>2414</v>
      </c>
      <c r="CA144" s="3">
        <f>BZ144</f>
        <v>2414</v>
      </c>
      <c r="CB144" s="3">
        <f>CA144</f>
        <v>2414</v>
      </c>
      <c r="CC144" s="3">
        <f>CB144</f>
        <v>2414</v>
      </c>
      <c r="CD144" s="3">
        <f>CC144</f>
        <v>2414</v>
      </c>
      <c r="CE144" s="3">
        <f>CD144</f>
        <v>2414</v>
      </c>
      <c r="CF144" s="3">
        <f>CE144</f>
        <v>2414</v>
      </c>
      <c r="CG144" s="3">
        <f>CF144</f>
        <v>2414</v>
      </c>
      <c r="CH144" s="3">
        <f>CG144</f>
        <v>2414</v>
      </c>
      <c r="CI144" s="3">
        <f>CH144</f>
        <v>2414</v>
      </c>
      <c r="CJ144" s="3">
        <f>CI144</f>
        <v>2414</v>
      </c>
      <c r="CK144" s="3">
        <f>CJ144</f>
        <v>2414</v>
      </c>
      <c r="CL144" s="3">
        <f>CK144</f>
        <v>2414</v>
      </c>
      <c r="CM144" s="3">
        <f>CL144</f>
        <v>2414</v>
      </c>
      <c r="CN144" s="3">
        <f>CM144</f>
        <v>2414</v>
      </c>
      <c r="CO144" s="3">
        <f>CN144</f>
        <v>2414</v>
      </c>
      <c r="CP144" s="3">
        <f>CO144</f>
        <v>2414</v>
      </c>
      <c r="CQ144" s="3">
        <f>CP144</f>
        <v>2414</v>
      </c>
      <c r="CR144" s="3">
        <f>CQ144</f>
        <v>2414</v>
      </c>
      <c r="CS144" s="3">
        <f>CR144</f>
        <v>2414</v>
      </c>
      <c r="CT144" s="3">
        <f>CS144</f>
        <v>2414</v>
      </c>
      <c r="CU144" s="3">
        <f>CT144</f>
        <v>2414</v>
      </c>
      <c r="CV144" s="3">
        <f>CU144</f>
        <v>2414</v>
      </c>
      <c r="CW144" s="3">
        <f>CV144</f>
        <v>2414</v>
      </c>
      <c r="CX144" s="3">
        <f>CW144</f>
        <v>2414</v>
      </c>
      <c r="CY144" s="3">
        <f>CX144</f>
        <v>2414</v>
      </c>
    </row>
    <row r="145">
      <c r="C145" s="26" t="inlineStr">
        <is>
          <t>Prepaid expenses</t>
        </is>
      </c>
      <c r="D145" s="25">
        <f>INDEX('Inputs (2)'!$D$19:$AL$19,MATCH(D$7,'Inputs (2)'!$D$2:$AL$2,0))</f>
        <v>0</v>
      </c>
      <c r="E145" s="25">
        <f>INDEX('Inputs (2)'!$D$19:$AL$19,MATCH(E$7,'Inputs (2)'!$D$2:$AL$2,0))</f>
        <v>0</v>
      </c>
      <c r="F145" s="25">
        <f>INDEX('Inputs (2)'!$D$19:$AL$19,MATCH(F$7,'Inputs (2)'!$D$2:$AL$2,0))</f>
        <v>0</v>
      </c>
      <c r="G145" s="25">
        <f>INDEX('Inputs (2)'!$D$19:$AL$19,MATCH(G$7,'Inputs (2)'!$D$2:$AL$2,0))</f>
        <v>0</v>
      </c>
      <c r="H145" s="3">
        <f>G145</f>
        <v>0</v>
      </c>
      <c r="I145" s="25">
        <f>INDEX('Inputs (2)'!$D$19:$AL$19,MATCH(I$7,'Inputs (2)'!$D$2:$AL$2,0))</f>
        <v>0</v>
      </c>
      <c r="J145" s="25">
        <f>INDEX('Inputs (2)'!$D$19:$AL$19,MATCH(J$7,'Inputs (2)'!$D$2:$AL$2,0))</f>
        <v>0</v>
      </c>
      <c r="K145" s="25">
        <f>INDEX('Inputs (2)'!$D$19:$AL$19,MATCH(K$7,'Inputs (2)'!$D$2:$AL$2,0))</f>
        <v>0</v>
      </c>
      <c r="L145" s="25">
        <f>INDEX('Inputs (2)'!$D$19:$AL$19,MATCH(L$7,'Inputs (2)'!$D$2:$AL$2,0))</f>
        <v>0</v>
      </c>
      <c r="M145" s="3">
        <f>L145</f>
        <v>0</v>
      </c>
      <c r="N145" s="25">
        <f>INDEX('Inputs (2)'!$D$19:$AL$19,MATCH(N$7,'Inputs (2)'!$D$2:$AL$2,0))</f>
        <v>0</v>
      </c>
      <c r="O145" s="25">
        <f>INDEX('Inputs (2)'!$D$19:$AL$19,MATCH(O$7,'Inputs (2)'!$D$2:$AL$2,0))</f>
        <v>0</v>
      </c>
      <c r="P145" s="25">
        <f>INDEX('Inputs (2)'!$D$19:$AL$19,MATCH(P$7,'Inputs (2)'!$D$2:$AL$2,0))</f>
        <v>0</v>
      </c>
      <c r="Q145" s="25">
        <f>INDEX('Inputs (2)'!$D$19:$AL$19,MATCH(Q$7,'Inputs (2)'!$D$2:$AL$2,0))</f>
        <v>0</v>
      </c>
      <c r="R145" s="3">
        <f>Q145</f>
        <v>0</v>
      </c>
      <c r="S145" s="25">
        <f>INDEX('Inputs (2)'!$D$19:$AL$19,MATCH(S$7,'Inputs (2)'!$D$2:$AL$2,0))</f>
        <v>0</v>
      </c>
      <c r="T145" s="25">
        <f>INDEX('Inputs (2)'!$D$19:$AL$19,MATCH(T$7,'Inputs (2)'!$D$2:$AL$2,0))</f>
        <v>0</v>
      </c>
      <c r="U145" s="25">
        <f>INDEX('Inputs (2)'!$D$19:$AL$19,MATCH(U$7,'Inputs (2)'!$D$2:$AL$2,0))</f>
        <v>0</v>
      </c>
      <c r="V145" s="25">
        <f>INDEX('Inputs (2)'!$D$19:$AL$19,MATCH(V$7,'Inputs (2)'!$D$2:$AL$2,0))</f>
        <v>0</v>
      </c>
      <c r="W145" s="3">
        <f>V145</f>
        <v>0</v>
      </c>
      <c r="X145" s="25">
        <f>INDEX('Inputs (2)'!$D$19:$AL$19,MATCH(X$7,'Inputs (2)'!$D$2:$AL$2,0))</f>
        <v>0</v>
      </c>
      <c r="Y145" s="25">
        <f>INDEX('Inputs (2)'!$D$19:$AL$19,MATCH(Y$7,'Inputs (2)'!$D$2:$AL$2,0))</f>
        <v>0</v>
      </c>
      <c r="Z145" s="25">
        <f>INDEX('Inputs (2)'!$D$19:$AL$19,MATCH(Z$7,'Inputs (2)'!$D$2:$AL$2,0))</f>
        <v>0</v>
      </c>
      <c r="AA145" s="25">
        <f>INDEX('Inputs (2)'!$D$19:$AL$19,MATCH(AA$7,'Inputs (2)'!$D$2:$AL$2,0))</f>
        <v>0</v>
      </c>
      <c r="AB145" s="3">
        <f>AA145</f>
        <v>0</v>
      </c>
      <c r="AC145" s="25">
        <f>INDEX('Inputs (2)'!$D$19:$AL$19,MATCH(AC$7,'Inputs (2)'!$D$2:$AL$2,0))</f>
        <v>0</v>
      </c>
      <c r="AD145" s="25">
        <f>INDEX('Inputs (2)'!$D$19:$AL$19,MATCH(AD$7,'Inputs (2)'!$D$2:$AL$2,0))</f>
        <v>0</v>
      </c>
      <c r="AE145" s="25">
        <f>INDEX('Inputs (2)'!$D$19:$AL$19,MATCH(AE$7,'Inputs (2)'!$D$2:$AL$2,0))</f>
        <v>0</v>
      </c>
      <c r="AF145" s="25">
        <f>INDEX('Inputs (2)'!$D$19:$AL$19,MATCH(AF$7,'Inputs (2)'!$D$2:$AL$2,0))</f>
        <v>0</v>
      </c>
      <c r="AG145" s="3">
        <f>AF145</f>
        <v>0</v>
      </c>
      <c r="AH145" s="3">
        <f>INDEX('Inputs (2)'!$D$19:$AL$19,MATCH(AH$7,'Inputs (2)'!$D$2:$AL$2,0))</f>
        <v>0</v>
      </c>
      <c r="AI145" s="3">
        <f>INDEX('Inputs (2)'!$D$19:$AL$19,MATCH(AI$7,'Inputs (2)'!$D$2:$AL$2,0))</f>
        <v>0</v>
      </c>
      <c r="AJ145" s="3">
        <f>AI145</f>
        <v>0</v>
      </c>
      <c r="AK145" s="3">
        <f>AJ145</f>
        <v>0</v>
      </c>
      <c r="AL145" s="3">
        <f>AK145</f>
        <v>0</v>
      </c>
      <c r="AM145" s="3">
        <f>AL145</f>
        <v>0</v>
      </c>
      <c r="AN145" s="3">
        <f>AM145</f>
        <v>0</v>
      </c>
      <c r="AO145" s="3">
        <f>AN145</f>
        <v>0</v>
      </c>
      <c r="AP145" s="3">
        <f>AO145</f>
        <v>0</v>
      </c>
      <c r="AQ145" s="3">
        <f>AP145</f>
        <v>0</v>
      </c>
      <c r="AR145" s="3">
        <f>AQ145</f>
        <v>0</v>
      </c>
      <c r="AS145" s="3">
        <f>AR145</f>
        <v>0</v>
      </c>
      <c r="AT145" s="3">
        <f>AS145</f>
        <v>0</v>
      </c>
      <c r="AU145" s="3">
        <f>AT145</f>
        <v>0</v>
      </c>
      <c r="AV145" s="3">
        <f>AU145</f>
        <v>0</v>
      </c>
      <c r="AW145" s="3">
        <f>AV145</f>
        <v>0</v>
      </c>
      <c r="AX145" s="3">
        <f>AW145</f>
        <v>0</v>
      </c>
      <c r="AY145" s="3">
        <f>AX145</f>
        <v>0</v>
      </c>
      <c r="AZ145" s="3">
        <f>AY145</f>
        <v>0</v>
      </c>
      <c r="BA145" s="3">
        <f>AZ145</f>
        <v>0</v>
      </c>
      <c r="BB145" s="3">
        <f>BA145</f>
        <v>0</v>
      </c>
      <c r="BC145" s="3">
        <f>BB145</f>
        <v>0</v>
      </c>
      <c r="BD145" s="3">
        <f>BC145</f>
        <v>0</v>
      </c>
      <c r="BE145" s="3">
        <f>BD145</f>
        <v>0</v>
      </c>
      <c r="BF145" s="3">
        <f>BE145</f>
        <v>0</v>
      </c>
      <c r="BG145" s="3">
        <f>BF145</f>
        <v>0</v>
      </c>
      <c r="BH145" s="3">
        <f>BG145</f>
        <v>0</v>
      </c>
      <c r="BI145" s="3">
        <f>BH145</f>
        <v>0</v>
      </c>
      <c r="BJ145" s="3">
        <f>BI145</f>
        <v>0</v>
      </c>
      <c r="BK145" s="3">
        <f>BJ145</f>
        <v>0</v>
      </c>
      <c r="BL145" s="3">
        <f>BK145</f>
        <v>0</v>
      </c>
      <c r="BM145" s="3">
        <f>BL145</f>
        <v>0</v>
      </c>
      <c r="BN145" s="3">
        <f>BM145</f>
        <v>0</v>
      </c>
      <c r="BO145" s="3">
        <f>BN145</f>
        <v>0</v>
      </c>
      <c r="BP145" s="3">
        <f>BO145</f>
        <v>0</v>
      </c>
      <c r="BQ145" s="3">
        <f>BP145</f>
        <v>0</v>
      </c>
      <c r="BR145" s="3">
        <f>BQ145</f>
        <v>0</v>
      </c>
      <c r="BS145" s="3">
        <f>BR145</f>
        <v>0</v>
      </c>
      <c r="BT145" s="3">
        <f>BS145</f>
        <v>0</v>
      </c>
      <c r="BU145" s="3">
        <f>BT145</f>
        <v>0</v>
      </c>
      <c r="BV145" s="3">
        <f>BU145</f>
        <v>0</v>
      </c>
      <c r="BW145" s="3">
        <f>BV145</f>
        <v>0</v>
      </c>
      <c r="BX145" s="3">
        <f>BW145</f>
        <v>0</v>
      </c>
      <c r="BY145" s="3">
        <f>BX145</f>
        <v>0</v>
      </c>
      <c r="BZ145" s="3">
        <f>BY145</f>
        <v>0</v>
      </c>
      <c r="CA145" s="3">
        <f>BZ145</f>
        <v>0</v>
      </c>
      <c r="CB145" s="3">
        <f>CA145</f>
        <v>0</v>
      </c>
      <c r="CC145" s="3">
        <f>CB145</f>
        <v>0</v>
      </c>
      <c r="CD145" s="3">
        <f>CC145</f>
        <v>0</v>
      </c>
      <c r="CE145" s="3">
        <f>CD145</f>
        <v>0</v>
      </c>
      <c r="CF145" s="3">
        <f>CE145</f>
        <v>0</v>
      </c>
      <c r="CG145" s="3">
        <f>CF145</f>
        <v>0</v>
      </c>
      <c r="CH145" s="3">
        <f>CG145</f>
        <v>0</v>
      </c>
      <c r="CI145" s="3">
        <f>CH145</f>
        <v>0</v>
      </c>
      <c r="CJ145" s="3">
        <f>CI145</f>
        <v>0</v>
      </c>
      <c r="CK145" s="3">
        <f>CJ145</f>
        <v>0</v>
      </c>
      <c r="CL145" s="3">
        <f>CK145</f>
        <v>0</v>
      </c>
      <c r="CM145" s="3">
        <f>CL145</f>
        <v>0</v>
      </c>
      <c r="CN145" s="3">
        <f>CM145</f>
        <v>0</v>
      </c>
      <c r="CO145" s="3">
        <f>CN145</f>
        <v>0</v>
      </c>
      <c r="CP145" s="3">
        <f>CO145</f>
        <v>0</v>
      </c>
      <c r="CQ145" s="3">
        <f>CP145</f>
        <v>0</v>
      </c>
      <c r="CR145" s="3">
        <f>CQ145</f>
        <v>0</v>
      </c>
      <c r="CS145" s="3">
        <f>CR145</f>
        <v>0</v>
      </c>
      <c r="CT145" s="3">
        <f>CS145</f>
        <v>0</v>
      </c>
      <c r="CU145" s="3">
        <f>CT145</f>
        <v>0</v>
      </c>
      <c r="CV145" s="3">
        <f>CU145</f>
        <v>0</v>
      </c>
      <c r="CW145" s="3">
        <f>CV145</f>
        <v>0</v>
      </c>
      <c r="CX145" s="3">
        <f>CW145</f>
        <v>0</v>
      </c>
      <c r="CY145" s="3">
        <f>CX145</f>
        <v>0</v>
      </c>
    </row>
    <row r="146">
      <c r="C146" s="26" t="inlineStr">
        <is>
          <t>Other current assets</t>
        </is>
      </c>
      <c r="D146" s="25">
        <f>INDEX('Inputs (2)'!$D$20:$AL$20,MATCH(D$7,'Inputs (2)'!$D$2:$AL$2,0))</f>
        <v>14342</v>
      </c>
      <c r="E146" s="25">
        <f>INDEX('Inputs (2)'!$D$20:$AL$20,MATCH(E$7,'Inputs (2)'!$D$2:$AL$2,0))</f>
        <v>13880</v>
      </c>
      <c r="F146" s="25">
        <f>INDEX('Inputs (2)'!$D$20:$AL$20,MATCH(F$7,'Inputs (2)'!$D$2:$AL$2,0))</f>
        <v>14225</v>
      </c>
      <c r="G146" s="25">
        <f>INDEX('Inputs (2)'!$D$20:$AL$20,MATCH(G$7,'Inputs (2)'!$D$2:$AL$2,0))</f>
        <v>14240</v>
      </c>
      <c r="H146" s="3">
        <f>G146</f>
        <v>14240</v>
      </c>
      <c r="I146" s="25">
        <f>INDEX('Inputs (2)'!$D$20:$AL$20,MATCH(I$7,'Inputs (2)'!$D$2:$AL$2,0))</f>
        <v>15105</v>
      </c>
      <c r="J146" s="25">
        <f>INDEX('Inputs (2)'!$D$20:$AL$20,MATCH(J$7,'Inputs (2)'!$D$2:$AL$2,0))</f>
        <v>15318</v>
      </c>
      <c r="K146" s="25">
        <f>INDEX('Inputs (2)'!$D$20:$AL$20,MATCH(K$7,'Inputs (2)'!$D$2:$AL$2,0))</f>
        <v>16363</v>
      </c>
      <c r="L146" s="25">
        <f>INDEX('Inputs (2)'!$D$20:$AL$20,MATCH(L$7,'Inputs (2)'!$D$2:$AL$2,0))</f>
        <v>14248</v>
      </c>
      <c r="M146" s="3">
        <f>L146</f>
        <v>14248</v>
      </c>
      <c r="N146" s="25">
        <f>INDEX('Inputs (2)'!$D$20:$AL$20,MATCH(N$7,'Inputs (2)'!$D$2:$AL$2,0))</f>
        <v>15980</v>
      </c>
      <c r="O146" s="25">
        <f>INDEX('Inputs (2)'!$D$20:$AL$20,MATCH(O$7,'Inputs (2)'!$D$2:$AL$2,0))</f>
        <v>15797</v>
      </c>
      <c r="P146" s="25">
        <f>INDEX('Inputs (2)'!$D$20:$AL$20,MATCH(P$7,'Inputs (2)'!$D$2:$AL$2,0))</f>
        <v>16046</v>
      </c>
      <c r="Q146" s="25">
        <f>INDEX('Inputs (2)'!$D$20:$AL$20,MATCH(Q$7,'Inputs (2)'!$D$2:$AL$2,0))</f>
        <v>15939</v>
      </c>
      <c r="R146" s="3">
        <f>Q146</f>
        <v>15939</v>
      </c>
      <c r="S146" s="25">
        <f>INDEX('Inputs (2)'!$D$20:$AL$20,MATCH(S$7,'Inputs (2)'!$D$2:$AL$2,0))</f>
        <v>17121</v>
      </c>
      <c r="T146" s="25">
        <f>INDEX('Inputs (2)'!$D$20:$AL$20,MATCH(T$7,'Inputs (2)'!$D$2:$AL$2,0))</f>
        <v>16987</v>
      </c>
      <c r="U146" s="25">
        <f>INDEX('Inputs (2)'!$D$20:$AL$20,MATCH(U$7,'Inputs (2)'!$D$2:$AL$2,0))</f>
        <v>17366</v>
      </c>
      <c r="V146" s="25">
        <f>INDEX('Inputs (2)'!$D$20:$AL$20,MATCH(V$7,'Inputs (2)'!$D$2:$AL$2,0))</f>
        <v>16947</v>
      </c>
      <c r="W146" s="3">
        <f>V146</f>
        <v>16947</v>
      </c>
      <c r="X146" s="25">
        <f>INDEX('Inputs (2)'!$D$20:$AL$20,MATCH(X$7,'Inputs (2)'!$D$2:$AL$2,0))</f>
        <v>17911</v>
      </c>
      <c r="Y146" s="25">
        <f>INDEX('Inputs (2)'!$D$20:$AL$20,MATCH(Y$7,'Inputs (2)'!$D$2:$AL$2,0))</f>
        <v>17514</v>
      </c>
      <c r="Z146" s="25">
        <f>INDEX('Inputs (2)'!$D$20:$AL$20,MATCH(Z$7,'Inputs (2)'!$D$2:$AL$2,0))</f>
        <v>17919</v>
      </c>
      <c r="AA146" s="25">
        <f>INDEX('Inputs (2)'!$D$20:$AL$20,MATCH(AA$7,'Inputs (2)'!$D$2:$AL$2,0))</f>
        <v>17015</v>
      </c>
      <c r="AB146" s="3">
        <f>AA146</f>
        <v>17015</v>
      </c>
      <c r="AC146" s="25">
        <f>INDEX('Inputs (2)'!$D$20:$AL$20,MATCH(AC$7,'Inputs (2)'!$D$2:$AL$2,0))</f>
        <v>18974</v>
      </c>
      <c r="AD146" s="25">
        <f>INDEX('Inputs (2)'!$D$20:$AL$20,MATCH(AD$7,'Inputs (2)'!$D$2:$AL$2,0))</f>
        <v>19389</v>
      </c>
      <c r="AE146" s="25">
        <f>INDEX('Inputs (2)'!$D$20:$AL$20,MATCH(AE$7,'Inputs (2)'!$D$2:$AL$2,0))</f>
        <v>18622</v>
      </c>
      <c r="AF146" s="25">
        <f>INDEX('Inputs (2)'!$D$20:$AL$20,MATCH(AF$7,'Inputs (2)'!$D$2:$AL$2,0))</f>
        <v>17340</v>
      </c>
      <c r="AG146" s="3">
        <f>AF146</f>
        <v>17340</v>
      </c>
      <c r="AH146" s="3">
        <f>INDEX('Inputs (2)'!$D$20:$AL$20,MATCH(AH$7,'Inputs (2)'!$D$2:$AL$2,0))</f>
        <v>16613</v>
      </c>
      <c r="AI146" s="3">
        <f>INDEX('Inputs (2)'!$D$20:$AL$20,MATCH(AI$7,'Inputs (2)'!$D$2:$AL$2,0))</f>
        <v>16843</v>
      </c>
      <c r="AJ146" s="3">
        <f>AI146</f>
        <v>16843</v>
      </c>
      <c r="AK146" s="3">
        <f>AJ146</f>
        <v>16843</v>
      </c>
      <c r="AL146" s="3">
        <f>AK146</f>
        <v>16843</v>
      </c>
      <c r="AM146" s="3">
        <f>AL146</f>
        <v>16843</v>
      </c>
      <c r="AN146" s="3">
        <f>AM146</f>
        <v>16843</v>
      </c>
      <c r="AO146" s="3">
        <f>AN146</f>
        <v>16843</v>
      </c>
      <c r="AP146" s="3">
        <f>AO146</f>
        <v>16843</v>
      </c>
      <c r="AQ146" s="3">
        <f>AP146</f>
        <v>16843</v>
      </c>
      <c r="AR146" s="3">
        <f>AQ146</f>
        <v>16843</v>
      </c>
      <c r="AS146" s="3">
        <f>AR146</f>
        <v>16843</v>
      </c>
      <c r="AT146" s="3">
        <f>AS146</f>
        <v>16843</v>
      </c>
      <c r="AU146" s="3">
        <f>AT146</f>
        <v>16843</v>
      </c>
      <c r="AV146" s="3">
        <f>AU146</f>
        <v>16843</v>
      </c>
      <c r="AW146" s="3">
        <f>AV146</f>
        <v>16843</v>
      </c>
      <c r="AX146" s="3">
        <f>AW146</f>
        <v>16843</v>
      </c>
      <c r="AY146" s="3">
        <f>AX146</f>
        <v>16843</v>
      </c>
      <c r="AZ146" s="3">
        <f>AY146</f>
        <v>16843</v>
      </c>
      <c r="BA146" s="3">
        <f>AZ146</f>
        <v>16843</v>
      </c>
      <c r="BB146" s="3">
        <f>BA146</f>
        <v>16843</v>
      </c>
      <c r="BC146" s="3">
        <f>BB146</f>
        <v>16843</v>
      </c>
      <c r="BD146" s="3">
        <f>BC146</f>
        <v>16843</v>
      </c>
      <c r="BE146" s="3">
        <f>BD146</f>
        <v>16843</v>
      </c>
      <c r="BF146" s="3">
        <f>BE146</f>
        <v>16843</v>
      </c>
      <c r="BG146" s="3">
        <f>BF146</f>
        <v>16843</v>
      </c>
      <c r="BH146" s="3">
        <f>BG146</f>
        <v>16843</v>
      </c>
      <c r="BI146" s="3">
        <f>BH146</f>
        <v>16843</v>
      </c>
      <c r="BJ146" s="3">
        <f>BI146</f>
        <v>16843</v>
      </c>
      <c r="BK146" s="3">
        <f>BJ146</f>
        <v>16843</v>
      </c>
      <c r="BL146" s="3">
        <f>BK146</f>
        <v>16843</v>
      </c>
      <c r="BM146" s="3">
        <f>BL146</f>
        <v>16843</v>
      </c>
      <c r="BN146" s="3">
        <f>BM146</f>
        <v>16843</v>
      </c>
      <c r="BO146" s="3">
        <f>BN146</f>
        <v>16843</v>
      </c>
      <c r="BP146" s="3">
        <f>BO146</f>
        <v>16843</v>
      </c>
      <c r="BQ146" s="3">
        <f>BP146</f>
        <v>16843</v>
      </c>
      <c r="BR146" s="3">
        <f>BQ146</f>
        <v>16843</v>
      </c>
      <c r="BS146" s="3">
        <f>BR146</f>
        <v>16843</v>
      </c>
      <c r="BT146" s="3">
        <f>BS146</f>
        <v>16843</v>
      </c>
      <c r="BU146" s="3">
        <f>BT146</f>
        <v>16843</v>
      </c>
      <c r="BV146" s="3">
        <f>BU146</f>
        <v>16843</v>
      </c>
      <c r="BW146" s="3">
        <f>BV146</f>
        <v>16843</v>
      </c>
      <c r="BX146" s="3">
        <f>BW146</f>
        <v>16843</v>
      </c>
      <c r="BY146" s="3">
        <f>BX146</f>
        <v>16843</v>
      </c>
      <c r="BZ146" s="3">
        <f>BY146</f>
        <v>16843</v>
      </c>
      <c r="CA146" s="3">
        <f>BZ146</f>
        <v>16843</v>
      </c>
      <c r="CB146" s="3">
        <f>CA146</f>
        <v>16843</v>
      </c>
      <c r="CC146" s="3">
        <f>CB146</f>
        <v>16843</v>
      </c>
      <c r="CD146" s="3">
        <f>CC146</f>
        <v>16843</v>
      </c>
      <c r="CE146" s="3">
        <f>CD146</f>
        <v>16843</v>
      </c>
      <c r="CF146" s="3">
        <f>CE146</f>
        <v>16843</v>
      </c>
      <c r="CG146" s="3">
        <f>CF146</f>
        <v>16843</v>
      </c>
      <c r="CH146" s="3">
        <f>CG146</f>
        <v>16843</v>
      </c>
      <c r="CI146" s="3">
        <f>CH146</f>
        <v>16843</v>
      </c>
      <c r="CJ146" s="3">
        <f>CI146</f>
        <v>16843</v>
      </c>
      <c r="CK146" s="3">
        <f>CJ146</f>
        <v>16843</v>
      </c>
      <c r="CL146" s="3">
        <f>CK146</f>
        <v>16843</v>
      </c>
      <c r="CM146" s="3">
        <f>CL146</f>
        <v>16843</v>
      </c>
      <c r="CN146" s="3">
        <f>CM146</f>
        <v>16843</v>
      </c>
      <c r="CO146" s="3">
        <f>CN146</f>
        <v>16843</v>
      </c>
      <c r="CP146" s="3">
        <f>CO146</f>
        <v>16843</v>
      </c>
      <c r="CQ146" s="3">
        <f>CP146</f>
        <v>16843</v>
      </c>
      <c r="CR146" s="3">
        <f>CQ146</f>
        <v>16843</v>
      </c>
      <c r="CS146" s="3">
        <f>CR146</f>
        <v>16843</v>
      </c>
      <c r="CT146" s="3">
        <f>CS146</f>
        <v>16843</v>
      </c>
      <c r="CU146" s="3">
        <f>CT146</f>
        <v>16843</v>
      </c>
      <c r="CV146" s="3">
        <f>CU146</f>
        <v>16843</v>
      </c>
      <c r="CW146" s="3">
        <f>CV146</f>
        <v>16843</v>
      </c>
      <c r="CX146" s="3">
        <f>CW146</f>
        <v>16843</v>
      </c>
      <c r="CY146" s="3">
        <f>CX146</f>
        <v>16843</v>
      </c>
    </row>
    <row r="147" hidden="1" outlineLevel="1">
      <c r="C147" s="38" t="inlineStr">
        <is>
          <t>%(Var.)</t>
        </is>
      </c>
      <c r="D147" s="3" t="n"/>
      <c r="E147" s="47">
        <f>(E146-D146)/D146</f>
        <v>-0.0322130804629759</v>
      </c>
      <c r="F147" s="47">
        <f>(F146-E146)/E146</f>
        <v>0.0248559077809798</v>
      </c>
      <c r="G147" s="47">
        <f>(G146-F146)/F146</f>
        <v>0.00105448154657294</v>
      </c>
      <c r="H147" s="3" t="n"/>
      <c r="I147" s="47">
        <f>(I146-H146)/H146</f>
        <v>0.0607443820224719</v>
      </c>
      <c r="J147" s="47">
        <f>(J146-I146)/I146</f>
        <v>0.0141012909632572</v>
      </c>
      <c r="K147" s="47">
        <f>(K146-J146)/J146</f>
        <v>0.0682203943073508</v>
      </c>
      <c r="L147" s="47">
        <f>(L146-K146)/K146</f>
        <v>-0.129255026584367</v>
      </c>
      <c r="M147" s="3" t="n"/>
      <c r="N147" s="47">
        <f>(N146-M146)/M146</f>
        <v>0.121560920830994</v>
      </c>
      <c r="O147" s="47">
        <f>(O146-N146)/N146</f>
        <v>-0.0114518147684606</v>
      </c>
      <c r="P147" s="47">
        <f>(P146-O146)/O146</f>
        <v>0.0157624865480787</v>
      </c>
      <c r="Q147" s="47">
        <f>(Q146-P146)/P146</f>
        <v>-0.00666832855540322</v>
      </c>
      <c r="R147" s="3" t="n"/>
      <c r="S147" s="47">
        <f>(S146-R146)/R146</f>
        <v>0.0741577263316394</v>
      </c>
      <c r="T147" s="47">
        <f>(T146-S146)/S146</f>
        <v>-0.00782664563985749</v>
      </c>
      <c r="U147" s="47">
        <f>(U146-T146)/T146</f>
        <v>0.0223111791369871</v>
      </c>
      <c r="V147" s="47">
        <f>(V146-U146)/U146</f>
        <v>-0.0241276056662444</v>
      </c>
      <c r="W147" s="3" t="n"/>
      <c r="X147" s="47">
        <f>(X146-W146)/W146</f>
        <v>0.0568832241694695</v>
      </c>
      <c r="Y147" s="47">
        <f>(Y146-X146)/X146</f>
        <v>-0.0221651499078778</v>
      </c>
      <c r="Z147" s="47">
        <f>(Z146-Y146)/Y146</f>
        <v>0.0231243576567318</v>
      </c>
      <c r="AA147" s="47">
        <f>(AA146-Z146)/Z146</f>
        <v>-0.0504492438194096</v>
      </c>
      <c r="AB147" s="3" t="n"/>
      <c r="AC147" s="47">
        <f>(AC146-AB146)/AB146</f>
        <v>0.115133705553923</v>
      </c>
      <c r="AD147" s="47">
        <f>(AD146-AC146)/AC146</f>
        <v>0.0218720354168863</v>
      </c>
      <c r="AE147" s="47">
        <f>(AE146-AD146)/AD146</f>
        <v>-0.0395585125586673</v>
      </c>
      <c r="AF147" s="218">
        <f>(AF146-AE146)/AE146</f>
        <v>-0.0688433036193749</v>
      </c>
      <c r="AG147" s="3" t="n"/>
      <c r="AH147" s="3">
        <f>(AH146-AG146)/AG146</f>
        <v>-0.0419261822376009</v>
      </c>
      <c r="AI147" s="3">
        <f>(AI146-AH146)/AH146</f>
        <v>0.0138445795461386</v>
      </c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n"/>
      <c r="D148" s="3" t="n"/>
      <c r="E148" s="47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hidden="1" outlineLevel="1">
      <c r="C149" s="52" t="inlineStr">
        <is>
          <t xml:space="preserve">Impostos e Contribuições a Recuperar </t>
        </is>
      </c>
      <c r="D149" s="6" t="n"/>
      <c r="E149" s="6" t="n"/>
      <c r="F149" s="6" t="n"/>
      <c r="G149" s="6" t="n"/>
      <c r="H149" s="3" t="n"/>
      <c r="I149" s="6" t="n"/>
      <c r="J149" s="6" t="n"/>
      <c r="K149" s="6" t="n"/>
      <c r="L149" s="6" t="n"/>
      <c r="M149" s="3" t="n"/>
      <c r="N149" s="6" t="n"/>
      <c r="O149" s="6" t="n"/>
      <c r="P149" s="6" t="n"/>
      <c r="Q149" s="6" t="n"/>
      <c r="R149" s="3" t="n"/>
      <c r="S149" s="6" t="n"/>
      <c r="T149" s="6" t="n"/>
      <c r="U149" s="6" t="n"/>
      <c r="V149" s="6" t="n"/>
      <c r="W149" s="3" t="n"/>
      <c r="X149" s="6" t="n"/>
      <c r="Y149" s="6" t="n"/>
      <c r="Z149" s="6" t="n"/>
      <c r="AA149" s="6" t="n"/>
      <c r="AB149" s="3" t="n"/>
      <c r="AC149" s="6" t="n"/>
      <c r="AD149" s="6" t="n"/>
      <c r="AE149" s="6" t="n"/>
      <c r="AF149" s="6" t="n"/>
      <c r="AG149" s="3">
        <f>AF149</f>
        <v>0</v>
      </c>
      <c r="AH149" s="216">
        <f>AG149*AH15/AG15</f>
        <v>0</v>
      </c>
      <c r="AI149" s="216">
        <f>AH149*AI15/AH15</f>
        <v>0</v>
      </c>
      <c r="AJ149" s="216">
        <f>AI149*AJ15/AI15</f>
        <v>0</v>
      </c>
      <c r="AK149" s="216">
        <f>AJ149*AK15/AJ15</f>
        <v>0</v>
      </c>
      <c r="AL149" s="3">
        <f>AK149</f>
        <v>0</v>
      </c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</row>
    <row r="150" hidden="1" outlineLevel="1">
      <c r="C150" s="52" t="inlineStr">
        <is>
          <t>Outros Créditos</t>
        </is>
      </c>
      <c r="D150" s="6" t="n"/>
      <c r="E150" s="6" t="n"/>
      <c r="F150" s="6" t="n"/>
      <c r="G150" s="6" t="n"/>
      <c r="H150" s="3" t="n"/>
      <c r="I150" s="6" t="n"/>
      <c r="J150" s="6" t="n"/>
      <c r="K150" s="6" t="n"/>
      <c r="L150" s="6" t="n"/>
      <c r="M150" s="3" t="n"/>
      <c r="N150" s="6" t="n"/>
      <c r="O150" s="6" t="n"/>
      <c r="P150" s="6" t="n"/>
      <c r="Q150" s="6" t="n"/>
      <c r="R150" s="3" t="n"/>
      <c r="S150" s="6" t="n"/>
      <c r="T150" s="6" t="n"/>
      <c r="U150" s="6" t="n"/>
      <c r="V150" s="6" t="n"/>
      <c r="W150" s="3" t="n"/>
      <c r="X150" s="6" t="n"/>
      <c r="Y150" s="6" t="n"/>
      <c r="Z150" s="6" t="n"/>
      <c r="AA150" s="6" t="n"/>
      <c r="AB150" s="3" t="n"/>
      <c r="AC150" s="6" t="n"/>
      <c r="AD150" s="6" t="n"/>
      <c r="AE150" s="6" t="n"/>
      <c r="AF150" s="6" t="n"/>
      <c r="AG150" s="3">
        <f>AF150</f>
        <v>0</v>
      </c>
      <c r="AH150" s="3">
        <f>AG150</f>
        <v>0</v>
      </c>
      <c r="AI150" s="3">
        <f>AH150</f>
        <v>0</v>
      </c>
      <c r="AJ150" s="3">
        <f>AI150</f>
        <v>0</v>
      </c>
      <c r="AK150" s="3">
        <f>AJ150</f>
        <v>0</v>
      </c>
      <c r="AL150" s="3">
        <f>AK150</f>
        <v>0</v>
      </c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hidden="1" outlineLevel="1">
      <c r="C151" s="3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collapsed="1">
      <c r="C152" s="26" t="inlineStr">
        <is>
          <t>Equity in affiliates</t>
        </is>
      </c>
      <c r="D152" s="25">
        <f>INDEX('Inputs (2)'!$D$21:$AL$21,MATCH(D$7,'Inputs (2)'!$D$2:$AL$2,0))</f>
        <v>0</v>
      </c>
      <c r="E152" s="25">
        <f>INDEX('Inputs (2)'!$D$21:$AL$21,MATCH(E$7,'Inputs (2)'!$D$2:$AL$2,0))</f>
        <v>0</v>
      </c>
      <c r="F152" s="25">
        <f>INDEX('Inputs (2)'!$D$21:$AL$21,MATCH(F$7,'Inputs (2)'!$D$2:$AL$2,0))</f>
        <v>0</v>
      </c>
      <c r="G152" s="25">
        <f>INDEX('Inputs (2)'!$D$21:$AL$21,MATCH(G$7,'Inputs (2)'!$D$2:$AL$2,0))</f>
        <v>0</v>
      </c>
      <c r="H152" s="3">
        <f>G152</f>
        <v>0</v>
      </c>
      <c r="I152" s="25">
        <f>INDEX('Inputs (2)'!$D$21:$AL$21,MATCH(I$7,'Inputs (2)'!$D$2:$AL$2,0))</f>
        <v>0</v>
      </c>
      <c r="J152" s="25">
        <f>INDEX('Inputs (2)'!$D$21:$AL$21,MATCH(J$7,'Inputs (2)'!$D$2:$AL$2,0))</f>
        <v>0</v>
      </c>
      <c r="K152" s="25">
        <f>INDEX('Inputs (2)'!$D$21:$AL$21,MATCH(K$7,'Inputs (2)'!$D$2:$AL$2,0))</f>
        <v>0</v>
      </c>
      <c r="L152" s="25">
        <f>INDEX('Inputs (2)'!$D$21:$AL$21,MATCH(L$7,'Inputs (2)'!$D$2:$AL$2,0))</f>
        <v>0</v>
      </c>
      <c r="M152" s="3">
        <f>L152</f>
        <v>0</v>
      </c>
      <c r="N152" s="25">
        <f>INDEX('Inputs (2)'!$D$21:$AL$21,MATCH(N$7,'Inputs (2)'!$D$2:$AL$2,0))</f>
        <v>0</v>
      </c>
      <c r="O152" s="25">
        <f>INDEX('Inputs (2)'!$D$21:$AL$21,MATCH(O$7,'Inputs (2)'!$D$2:$AL$2,0))</f>
        <v>0</v>
      </c>
      <c r="P152" s="25">
        <f>INDEX('Inputs (2)'!$D$21:$AL$21,MATCH(P$7,'Inputs (2)'!$D$2:$AL$2,0))</f>
        <v>0</v>
      </c>
      <c r="Q152" s="25">
        <f>INDEX('Inputs (2)'!$D$21:$AL$21,MATCH(Q$7,'Inputs (2)'!$D$2:$AL$2,0))</f>
        <v>0</v>
      </c>
      <c r="R152" s="3">
        <f>Q152</f>
        <v>0</v>
      </c>
      <c r="S152" s="25">
        <f>INDEX('Inputs (2)'!$D$21:$AL$21,MATCH(S$7,'Inputs (2)'!$D$2:$AL$2,0))</f>
        <v>0</v>
      </c>
      <c r="T152" s="25">
        <f>INDEX('Inputs (2)'!$D$21:$AL$21,MATCH(T$7,'Inputs (2)'!$D$2:$AL$2,0))</f>
        <v>0</v>
      </c>
      <c r="U152" s="25">
        <f>INDEX('Inputs (2)'!$D$21:$AL$21,MATCH(U$7,'Inputs (2)'!$D$2:$AL$2,0))</f>
        <v>0</v>
      </c>
      <c r="V152" s="25">
        <f>INDEX('Inputs (2)'!$D$21:$AL$21,MATCH(V$7,'Inputs (2)'!$D$2:$AL$2,0))</f>
        <v>0</v>
      </c>
      <c r="W152" s="3">
        <f>V152</f>
        <v>0</v>
      </c>
      <c r="X152" s="25">
        <f>INDEX('Inputs (2)'!$D$21:$AL$21,MATCH(X$7,'Inputs (2)'!$D$2:$AL$2,0))</f>
        <v>0</v>
      </c>
      <c r="Y152" s="25">
        <f>INDEX('Inputs (2)'!$D$21:$AL$21,MATCH(Y$7,'Inputs (2)'!$D$2:$AL$2,0))</f>
        <v>0</v>
      </c>
      <c r="Z152" s="25">
        <f>INDEX('Inputs (2)'!$D$21:$AL$21,MATCH(Z$7,'Inputs (2)'!$D$2:$AL$2,0))</f>
        <v>0</v>
      </c>
      <c r="AA152" s="25">
        <f>INDEX('Inputs (2)'!$D$21:$AL$21,MATCH(AA$7,'Inputs (2)'!$D$2:$AL$2,0))</f>
        <v>0</v>
      </c>
      <c r="AB152" s="3">
        <f>AA152</f>
        <v>0</v>
      </c>
      <c r="AC152" s="25">
        <f>INDEX('Inputs (2)'!$D$21:$AL$21,MATCH(AC$7,'Inputs (2)'!$D$2:$AL$2,0))</f>
        <v>0</v>
      </c>
      <c r="AD152" s="25">
        <f>INDEX('Inputs (2)'!$D$21:$AL$21,MATCH(AD$7,'Inputs (2)'!$D$2:$AL$2,0))</f>
        <v>0</v>
      </c>
      <c r="AE152" s="25">
        <f>INDEX('Inputs (2)'!$D$21:$AL$21,MATCH(AE$7,'Inputs (2)'!$D$2:$AL$2,0))</f>
        <v>0</v>
      </c>
      <c r="AF152" s="25">
        <f>INDEX('Inputs (2)'!$D$21:$AL$21,MATCH(AF$7,'Inputs (2)'!$D$2:$AL$2,0))</f>
        <v>0</v>
      </c>
      <c r="AG152" s="3">
        <f>AF152</f>
        <v>0</v>
      </c>
      <c r="AH152" s="3">
        <f>INDEX('Inputs (2)'!$D$21:$AL$21,MATCH(AH$7,'Inputs (2)'!$D$2:$AL$2,0))</f>
        <v>0</v>
      </c>
      <c r="AI152" s="3">
        <f>INDEX('Inputs (2)'!$D$21:$AL$21,MATCH(AI$7,'Inputs (2)'!$D$2:$AL$2,0))</f>
        <v>0</v>
      </c>
      <c r="AJ152" s="3">
        <f>AI152+AJ126+AJ155</f>
        <v>0</v>
      </c>
      <c r="AK152" s="3">
        <f>AJ152+AK126+AK155</f>
        <v>0</v>
      </c>
      <c r="AL152" s="3">
        <f>AK152</f>
        <v>0</v>
      </c>
      <c r="AM152" s="3">
        <f>AL152+AM126+AM155</f>
        <v>0</v>
      </c>
      <c r="AN152" s="3">
        <f>AM152+AN126+AN155</f>
        <v>0</v>
      </c>
      <c r="AO152" s="3">
        <f>AN152+AO126+AO155</f>
        <v>0</v>
      </c>
      <c r="AP152" s="3">
        <f>AO152+AP126+AP155</f>
        <v>0</v>
      </c>
      <c r="AQ152" s="3">
        <f>AP152</f>
        <v>0</v>
      </c>
      <c r="AR152" s="3">
        <f>AQ152+AR126+AR155</f>
        <v>0</v>
      </c>
      <c r="AS152" s="3">
        <f>AR152+AS126+AS155</f>
        <v>0</v>
      </c>
      <c r="AT152" s="3">
        <f>AS152+AT126+AT155</f>
        <v>0</v>
      </c>
      <c r="AU152" s="3">
        <f>AT152+AU126+AU155</f>
        <v>0</v>
      </c>
      <c r="AV152" s="3">
        <f>AU152</f>
        <v>0</v>
      </c>
      <c r="AW152" s="3">
        <f>AV152+AW126+AW155</f>
        <v>0</v>
      </c>
      <c r="AX152" s="3">
        <f>AW152+AX126+AX155</f>
        <v>0</v>
      </c>
      <c r="AY152" s="3">
        <f>AX152+AY126+AY155</f>
        <v>0</v>
      </c>
      <c r="AZ152" s="3">
        <f>AY152+AZ126+AZ155</f>
        <v>0</v>
      </c>
      <c r="BA152" s="3">
        <f>AZ152</f>
        <v>0</v>
      </c>
      <c r="BB152" s="3">
        <f>BA152+BB126+BB155</f>
        <v>0</v>
      </c>
      <c r="BC152" s="3">
        <f>BB152+BC126+BC155</f>
        <v>0</v>
      </c>
      <c r="BD152" s="3">
        <f>BC152+BD126+BD155</f>
        <v>0</v>
      </c>
      <c r="BE152" s="3">
        <f>BD152+BE126+BE155</f>
        <v>0</v>
      </c>
      <c r="BF152" s="3">
        <f>BE152</f>
        <v>0</v>
      </c>
      <c r="BG152" s="3">
        <f>BF152+BG126+BG155</f>
        <v>0</v>
      </c>
      <c r="BH152" s="3">
        <f>BG152+BH126+BH155</f>
        <v>0</v>
      </c>
      <c r="BI152" s="3">
        <f>BH152+BI126+BI155</f>
        <v>0</v>
      </c>
      <c r="BJ152" s="3">
        <f>BI152+BJ126+BJ155</f>
        <v>0</v>
      </c>
      <c r="BK152" s="3">
        <f>BJ152</f>
        <v>0</v>
      </c>
      <c r="BL152" s="3">
        <f>BK152+BL126+BL155</f>
        <v>0</v>
      </c>
      <c r="BM152" s="3">
        <f>BL152+BM126+BM155</f>
        <v>0</v>
      </c>
      <c r="BN152" s="3">
        <f>BM152+BN126+BN155</f>
        <v>0</v>
      </c>
      <c r="BO152" s="3">
        <f>BN152+BO126+BO155</f>
        <v>0</v>
      </c>
      <c r="BP152" s="3">
        <f>BO152</f>
        <v>0</v>
      </c>
      <c r="BQ152" s="3">
        <f>BP152+BQ126+BQ155</f>
        <v>0</v>
      </c>
      <c r="BR152" s="3">
        <f>BQ152+BR126+BR155</f>
        <v>0</v>
      </c>
      <c r="BS152" s="3">
        <f>BR152+BS126+BS155</f>
        <v>0</v>
      </c>
      <c r="BT152" s="3">
        <f>BS152+BT126+BT155</f>
        <v>0</v>
      </c>
      <c r="BU152" s="3">
        <f>BT152</f>
        <v>0</v>
      </c>
      <c r="BV152" s="3">
        <f>BU152+BV126+BV155</f>
        <v>0</v>
      </c>
      <c r="BW152" s="3">
        <f>BV152+BW126+BW155</f>
        <v>0</v>
      </c>
      <c r="BX152" s="3">
        <f>BW152+BX126+BX155</f>
        <v>0</v>
      </c>
      <c r="BY152" s="3">
        <f>BX152+BY126+BY155</f>
        <v>0</v>
      </c>
      <c r="BZ152" s="3">
        <f>BY152</f>
        <v>0</v>
      </c>
      <c r="CA152" s="3">
        <f>BZ152+CA126+CA155</f>
        <v>0</v>
      </c>
      <c r="CB152" s="3">
        <f>CA152+CB126+CB155</f>
        <v>0</v>
      </c>
      <c r="CC152" s="3">
        <f>CB152+CC126+CC155</f>
        <v>0</v>
      </c>
      <c r="CD152" s="3">
        <f>CC152+CD126+CD155</f>
        <v>0</v>
      </c>
      <c r="CE152" s="3">
        <f>CD152</f>
        <v>0</v>
      </c>
      <c r="CF152" s="3">
        <f>CE152+CF126+CF155</f>
        <v>0</v>
      </c>
      <c r="CG152" s="3">
        <f>CF152+CG126+CG155</f>
        <v>0</v>
      </c>
      <c r="CH152" s="3">
        <f>CG152+CH126+CH155</f>
        <v>0</v>
      </c>
      <c r="CI152" s="3">
        <f>CH152+CI126+CI155</f>
        <v>0</v>
      </c>
      <c r="CJ152" s="3">
        <f>CI152</f>
        <v>0</v>
      </c>
      <c r="CK152" s="3">
        <f>CJ152+CK126+CK155</f>
        <v>0</v>
      </c>
      <c r="CL152" s="3">
        <f>CK152+CL126+CL155</f>
        <v>0</v>
      </c>
      <c r="CM152" s="3">
        <f>CL152+CM126+CM155</f>
        <v>0</v>
      </c>
      <c r="CN152" s="3">
        <f>CM152+CN126+CN155</f>
        <v>0</v>
      </c>
      <c r="CO152" s="3">
        <f>CN152</f>
        <v>0</v>
      </c>
      <c r="CP152" s="3">
        <f>CO152+CP126+CP155</f>
        <v>0</v>
      </c>
      <c r="CQ152" s="3">
        <f>CP152+CQ126+CQ155</f>
        <v>0</v>
      </c>
      <c r="CR152" s="3">
        <f>CQ152+CR126+CR155</f>
        <v>0</v>
      </c>
      <c r="CS152" s="3">
        <f>CR152+CS126+CS155</f>
        <v>0</v>
      </c>
      <c r="CT152" s="3">
        <f>CS152</f>
        <v>0</v>
      </c>
      <c r="CU152" s="3">
        <f>CT152+CU126+CU155</f>
        <v>0</v>
      </c>
      <c r="CV152" s="3">
        <f>CU152+CV126+CV155</f>
        <v>0</v>
      </c>
      <c r="CW152" s="3">
        <f>CV152+CW126+CW155</f>
        <v>0</v>
      </c>
      <c r="CX152" s="3">
        <f>CW152+CX126+CX155</f>
        <v>0</v>
      </c>
      <c r="CY152" s="3">
        <f>CX152</f>
        <v>0</v>
      </c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inlineStr">
        <is>
          <t>Equity in Income - % YoY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>
        <f>IF(I126=0,0,N126/I126-1)</f>
        <v>0</v>
      </c>
      <c r="O154" s="3">
        <f>IF(J126=0,0,O126/J126-1)</f>
        <v>0</v>
      </c>
      <c r="P154" s="3">
        <f>IF(K126=0,0,P126/K126-1)</f>
        <v>0</v>
      </c>
      <c r="Q154" s="3">
        <f>IF(L126=0,0,Q126/L126-1)</f>
        <v>0</v>
      </c>
      <c r="R154" s="3" t="n"/>
      <c r="S154" s="3">
        <f>IF(N126=0,0,S126/N126-1)</f>
        <v>0</v>
      </c>
      <c r="T154" s="3">
        <f>IF(O126=0,0,T126/O126-1)</f>
        <v>0</v>
      </c>
      <c r="U154" s="3">
        <f>IF(P126=0,0,U126/P126-1)</f>
        <v>0</v>
      </c>
      <c r="V154" s="3">
        <f>IF(Q126=0,0,V126/Q126-1)</f>
        <v>0</v>
      </c>
      <c r="W154" s="3" t="n"/>
      <c r="X154" s="3">
        <f>IF(S126=0,0,X126/S126-1)</f>
        <v>0</v>
      </c>
      <c r="Y154" s="3">
        <f>IF(T126=0,0,Y126/T126-1)</f>
        <v>0</v>
      </c>
      <c r="Z154" s="3">
        <f>IF(U126=0,0,Z126/U126-1)</f>
        <v>0</v>
      </c>
      <c r="AA154" s="3">
        <f>IF(V126=0,0,AA126/V126-1)</f>
        <v>0</v>
      </c>
      <c r="AB154" s="3" t="n"/>
      <c r="AC154" s="3">
        <f>IF(X126=0,0,AC126/X126-1)</f>
        <v>0</v>
      </c>
      <c r="AD154" s="3">
        <f>IF(Y126=0,0,AD126/Y126-1)</f>
        <v>0</v>
      </c>
      <c r="AE154" s="3">
        <f>IF(Z126=0,0,AE126/Z126-1)</f>
        <v>0</v>
      </c>
      <c r="AF154" s="3">
        <f>IF(AA126=0,0,AF126/AA126-1)</f>
        <v>0</v>
      </c>
      <c r="AG154" s="3" t="n"/>
      <c r="AH154" s="6">
        <f>IF(AC126=0,0,AH126/AC126-1)</f>
        <v>0</v>
      </c>
      <c r="AI154" s="6">
        <f>IF(AD126=0,0,AI126/AD126-1)</f>
        <v>0</v>
      </c>
      <c r="AJ154" s="6" t="n"/>
      <c r="AK154" s="6" t="n"/>
      <c r="AL154" s="3" t="n"/>
      <c r="AM154" s="6" t="n"/>
      <c r="AN154" s="6" t="n"/>
      <c r="AO154" s="6" t="n"/>
      <c r="AP154" s="6" t="n"/>
      <c r="AQ154" s="3" t="n"/>
      <c r="AR154" s="6" t="n"/>
      <c r="AS154" s="6" t="n"/>
      <c r="AT154" s="6" t="n"/>
      <c r="AU154" s="6" t="n"/>
      <c r="AV154" s="3" t="n"/>
      <c r="AW154" s="6" t="n"/>
      <c r="AX154" s="6" t="n"/>
      <c r="AY154" s="6" t="n"/>
      <c r="AZ154" s="6" t="n"/>
      <c r="BA154" s="3" t="n"/>
      <c r="BB154" s="6" t="n"/>
      <c r="BC154" s="6" t="n"/>
      <c r="BD154" s="6" t="n"/>
      <c r="BE154" s="6" t="n"/>
      <c r="BF154" s="3" t="n"/>
      <c r="BG154" s="6" t="n"/>
      <c r="BH154" s="6" t="n"/>
      <c r="BI154" s="6" t="n"/>
      <c r="BJ154" s="6" t="n"/>
      <c r="BK154" s="3" t="n"/>
      <c r="BL154" s="6" t="n"/>
      <c r="BM154" s="6" t="n"/>
      <c r="BN154" s="6" t="n"/>
      <c r="BO154" s="6" t="n"/>
      <c r="BP154" s="3" t="n"/>
      <c r="BQ154" s="6" t="n"/>
      <c r="BR154" s="6" t="n"/>
      <c r="BS154" s="6" t="n"/>
      <c r="BT154" s="6" t="n"/>
      <c r="BU154" s="3" t="n"/>
      <c r="BV154" s="6" t="n"/>
      <c r="BW154" s="6" t="n"/>
      <c r="BX154" s="6" t="n"/>
      <c r="BY154" s="6" t="n"/>
      <c r="BZ154" s="3" t="n"/>
      <c r="CA154" s="6" t="n"/>
      <c r="CB154" s="6" t="n"/>
      <c r="CC154" s="6" t="n"/>
      <c r="CD154" s="6" t="n"/>
      <c r="CE154" s="3" t="n"/>
      <c r="CF154" s="6" t="n"/>
      <c r="CG154" s="6" t="n"/>
      <c r="CH154" s="6" t="n"/>
      <c r="CI154" s="6" t="n"/>
      <c r="CJ154" s="3" t="n"/>
      <c r="CK154" s="6" t="n"/>
      <c r="CL154" s="6" t="n"/>
      <c r="CM154" s="6" t="n"/>
      <c r="CN154" s="6" t="n"/>
      <c r="CO154" s="3" t="n"/>
      <c r="CP154" s="6" t="n"/>
      <c r="CQ154" s="6" t="n"/>
      <c r="CR154" s="6" t="n"/>
      <c r="CS154" s="6" t="n"/>
      <c r="CT154" s="3" t="n"/>
      <c r="CU154" s="6" t="n"/>
      <c r="CV154" s="6" t="n"/>
      <c r="CW154" s="6" t="n"/>
      <c r="CX154" s="6" t="n"/>
      <c r="CY154" s="3" t="n"/>
    </row>
    <row r="155" hidden="1" outlineLevel="1">
      <c r="C155" s="34" t="inlineStr">
        <is>
          <t>Dividends (enter as -)</t>
        </is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6" t="n"/>
      <c r="AI155" s="6" t="n"/>
      <c r="AJ155" s="6" t="n"/>
      <c r="AK155" s="6" t="n"/>
      <c r="AL155" s="3" t="n"/>
      <c r="AM155" s="6" t="n"/>
      <c r="AN155" s="6" t="n"/>
      <c r="AO155" s="6" t="n"/>
      <c r="AP155" s="6" t="n"/>
      <c r="AQ155" s="3" t="n"/>
      <c r="AR155" s="6" t="n"/>
      <c r="AS155" s="6" t="n"/>
      <c r="AT155" s="6" t="n"/>
      <c r="AU155" s="6" t="n"/>
      <c r="AV155" s="3" t="n"/>
      <c r="AW155" s="6" t="n"/>
      <c r="AX155" s="6" t="n"/>
      <c r="AY155" s="6" t="n"/>
      <c r="AZ155" s="6" t="n"/>
      <c r="BA155" s="3" t="n"/>
      <c r="BB155" s="6" t="n"/>
      <c r="BC155" s="6" t="n"/>
      <c r="BD155" s="6" t="n"/>
      <c r="BE155" s="6" t="n"/>
      <c r="BF155" s="3" t="n"/>
      <c r="BG155" s="6" t="n"/>
      <c r="BH155" s="6" t="n"/>
      <c r="BI155" s="6" t="n"/>
      <c r="BJ155" s="6" t="n"/>
      <c r="BK155" s="3" t="n"/>
      <c r="BL155" s="6" t="n"/>
      <c r="BM155" s="6" t="n"/>
      <c r="BN155" s="6" t="n"/>
      <c r="BO155" s="6" t="n"/>
      <c r="BP155" s="3" t="n"/>
      <c r="BQ155" s="6" t="n"/>
      <c r="BR155" s="6" t="n"/>
      <c r="BS155" s="6" t="n"/>
      <c r="BT155" s="6" t="n"/>
      <c r="BU155" s="3" t="n"/>
      <c r="BV155" s="6" t="n"/>
      <c r="BW155" s="6" t="n"/>
      <c r="BX155" s="6" t="n"/>
      <c r="BY155" s="6" t="n"/>
      <c r="BZ155" s="3" t="n"/>
      <c r="CA155" s="6" t="n"/>
      <c r="CB155" s="6" t="n"/>
      <c r="CC155" s="6" t="n"/>
      <c r="CD155" s="6" t="n"/>
      <c r="CE155" s="3" t="n"/>
      <c r="CF155" s="6" t="n"/>
      <c r="CG155" s="6" t="n"/>
      <c r="CH155" s="6" t="n"/>
      <c r="CI155" s="6" t="n"/>
      <c r="CJ155" s="3" t="n"/>
      <c r="CK155" s="6" t="n"/>
      <c r="CL155" s="6" t="n"/>
      <c r="CM155" s="6" t="n"/>
      <c r="CN155" s="6" t="n"/>
      <c r="CO155" s="3" t="n"/>
      <c r="CP155" s="6" t="n"/>
      <c r="CQ155" s="6" t="n"/>
      <c r="CR155" s="6" t="n"/>
      <c r="CS155" s="6" t="n"/>
      <c r="CT155" s="3" t="n"/>
      <c r="CU155" s="6" t="n"/>
      <c r="CV155" s="6" t="n"/>
      <c r="CW155" s="6" t="n"/>
      <c r="CX155" s="6" t="n"/>
      <c r="CY155" s="3" t="n"/>
    </row>
    <row r="156" hidden="1" outlineLevel="1">
      <c r="C156" s="3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collapsed="1">
      <c r="C157" s="26" t="inlineStr">
        <is>
          <t>PP&amp;E</t>
        </is>
      </c>
      <c r="D157" s="25">
        <f>INDEX('Inputs (2)'!$D$22:$AL$22,MATCH(D$7,'Inputs (2)'!$D$2:$AL$2,0))</f>
        <v>6605</v>
      </c>
      <c r="E157" s="25">
        <f>INDEX('Inputs (2)'!$D$22:$AL$22,MATCH(E$7,'Inputs (2)'!$D$2:$AL$2,0))</f>
        <v>6663</v>
      </c>
      <c r="F157" s="25">
        <f>INDEX('Inputs (2)'!$D$22:$AL$22,MATCH(F$7,'Inputs (2)'!$D$2:$AL$2,0))</f>
        <v>6803</v>
      </c>
      <c r="G157" s="25">
        <f>INDEX('Inputs (2)'!$D$22:$AL$22,MATCH(G$7,'Inputs (2)'!$D$2:$AL$2,0))</f>
        <v>7213</v>
      </c>
      <c r="H157" s="3">
        <f>G157</f>
        <v>7213</v>
      </c>
      <c r="I157" s="25">
        <f>INDEX('Inputs (2)'!$D$22:$AL$22,MATCH(I$7,'Inputs (2)'!$D$2:$AL$2,0))</f>
        <v>7213</v>
      </c>
      <c r="J157" s="25">
        <f>INDEX('Inputs (2)'!$D$22:$AL$22,MATCH(J$7,'Inputs (2)'!$D$2:$AL$2,0))</f>
        <v>7290</v>
      </c>
      <c r="K157" s="25">
        <f>INDEX('Inputs (2)'!$D$22:$AL$22,MATCH(K$7,'Inputs (2)'!$D$2:$AL$2,0))</f>
        <v>7332</v>
      </c>
      <c r="L157" s="25">
        <f>INDEX('Inputs (2)'!$D$22:$AL$22,MATCH(L$7,'Inputs (2)'!$D$2:$AL$2,0))</f>
        <v>7597</v>
      </c>
      <c r="M157" s="3">
        <f>L157</f>
        <v>7597</v>
      </c>
      <c r="N157" s="25">
        <f>INDEX('Inputs (2)'!$D$22:$AL$22,MATCH(N$7,'Inputs (2)'!$D$2:$AL$2,0))</f>
        <v>7561</v>
      </c>
      <c r="O157" s="25">
        <f>INDEX('Inputs (2)'!$D$22:$AL$22,MATCH(O$7,'Inputs (2)'!$D$2:$AL$2,0))</f>
        <v>7569</v>
      </c>
      <c r="P157" s="25">
        <f>INDEX('Inputs (2)'!$D$22:$AL$22,MATCH(P$7,'Inputs (2)'!$D$2:$AL$2,0))</f>
        <v>7629</v>
      </c>
      <c r="Q157" s="25">
        <f>INDEX('Inputs (2)'!$D$22:$AL$22,MATCH(Q$7,'Inputs (2)'!$D$2:$AL$2,0))</f>
        <v>7975</v>
      </c>
      <c r="R157" s="3">
        <f>Q157</f>
        <v>7975</v>
      </c>
      <c r="S157" s="25">
        <f>INDEX('Inputs (2)'!$D$22:$AL$22,MATCH(S$7,'Inputs (2)'!$D$2:$AL$2,0))</f>
        <v>7938</v>
      </c>
      <c r="T157" s="25">
        <f>INDEX('Inputs (2)'!$D$22:$AL$22,MATCH(T$7,'Inputs (2)'!$D$2:$AL$2,0))</f>
        <v>7966</v>
      </c>
      <c r="U157" s="25">
        <f>INDEX('Inputs (2)'!$D$22:$AL$22,MATCH(U$7,'Inputs (2)'!$D$2:$AL$2,0))</f>
        <v>8046</v>
      </c>
      <c r="V157" s="25">
        <f>INDEX('Inputs (2)'!$D$22:$AL$22,MATCH(V$7,'Inputs (2)'!$D$2:$AL$2,0))</f>
        <v>8370</v>
      </c>
      <c r="W157" s="3">
        <f>V157</f>
        <v>8370</v>
      </c>
      <c r="X157" s="25">
        <f>INDEX('Inputs (2)'!$D$22:$AL$22,MATCH(X$7,'Inputs (2)'!$D$2:$AL$2,0))</f>
        <v>8354</v>
      </c>
      <c r="Y157" s="25">
        <f>INDEX('Inputs (2)'!$D$22:$AL$22,MATCH(Y$7,'Inputs (2)'!$D$2:$AL$2,0))</f>
        <v>8394</v>
      </c>
      <c r="Z157" s="25">
        <f>INDEX('Inputs (2)'!$D$22:$AL$22,MATCH(Z$7,'Inputs (2)'!$D$2:$AL$2,0))</f>
        <v>8454</v>
      </c>
      <c r="AA157" s="25">
        <f>INDEX('Inputs (2)'!$D$22:$AL$22,MATCH(AA$7,'Inputs (2)'!$D$2:$AL$2,0))</f>
        <v>8726</v>
      </c>
      <c r="AB157" s="3">
        <f>AA157</f>
        <v>8726</v>
      </c>
      <c r="AC157" s="25">
        <f>INDEX('Inputs (2)'!$D$22:$AL$22,MATCH(AC$7,'Inputs (2)'!$D$2:$AL$2,0))</f>
        <v>8713</v>
      </c>
      <c r="AD157" s="25">
        <f>INDEX('Inputs (2)'!$D$22:$AL$22,MATCH(AD$7,'Inputs (2)'!$D$2:$AL$2,0))</f>
        <v>8670</v>
      </c>
      <c r="AE157" s="25">
        <f>INDEX('Inputs (2)'!$D$22:$AL$22,MATCH(AE$7,'Inputs (2)'!$D$2:$AL$2,0))</f>
        <v>8722</v>
      </c>
      <c r="AF157" s="25">
        <f>INDEX('Inputs (2)'!$D$22:$AL$22,MATCH(AF$7,'Inputs (2)'!$D$2:$AL$2,0))</f>
        <v>8875</v>
      </c>
      <c r="AG157" s="3">
        <f>AF157</f>
        <v>8875</v>
      </c>
      <c r="AH157" s="3">
        <f>INDEX('Inputs (2)'!$D$22:$AL$22,MATCH(AH$7,'Inputs (2)'!$D$2:$AL$2,0))</f>
        <v>11283</v>
      </c>
      <c r="AI157" s="3">
        <f>INDEX('Inputs (2)'!$D$22:$AL$22,MATCH(AI$7,'Inputs (2)'!$D$2:$AL$2,0))</f>
        <v>11390</v>
      </c>
      <c r="AJ157" s="3">
        <f>AJ162</f>
        <v>11390</v>
      </c>
      <c r="AK157" s="3">
        <f>AK162</f>
        <v>11390</v>
      </c>
      <c r="AL157" s="3">
        <f>AK157</f>
        <v>11390</v>
      </c>
      <c r="AM157" s="3">
        <f>AM162</f>
        <v>11390</v>
      </c>
      <c r="AN157" s="3">
        <f>AN162</f>
        <v>11390</v>
      </c>
      <c r="AO157" s="3">
        <f>AO162</f>
        <v>11390</v>
      </c>
      <c r="AP157" s="3">
        <f>AP162</f>
        <v>11390</v>
      </c>
      <c r="AQ157" s="3">
        <f>AP157</f>
        <v>11390</v>
      </c>
      <c r="AR157" s="3">
        <f>AR162</f>
        <v>11390</v>
      </c>
      <c r="AS157" s="3">
        <f>AS162</f>
        <v>11390</v>
      </c>
      <c r="AT157" s="3">
        <f>AT162</f>
        <v>11390</v>
      </c>
      <c r="AU157" s="3">
        <f>AU162</f>
        <v>11390</v>
      </c>
      <c r="AV157" s="3">
        <f>AU157</f>
        <v>11390</v>
      </c>
      <c r="AW157" s="3">
        <f>AW162</f>
        <v>11390</v>
      </c>
      <c r="AX157" s="3">
        <f>AX162</f>
        <v>11390</v>
      </c>
      <c r="AY157" s="3">
        <f>AY162</f>
        <v>11390</v>
      </c>
      <c r="AZ157" s="3">
        <f>AZ162</f>
        <v>11390</v>
      </c>
      <c r="BA157" s="3">
        <f>AZ157</f>
        <v>11390</v>
      </c>
      <c r="BB157" s="3">
        <f>BB162</f>
        <v>11390</v>
      </c>
      <c r="BC157" s="3">
        <f>BC162</f>
        <v>11390</v>
      </c>
      <c r="BD157" s="3">
        <f>BD162</f>
        <v>11390</v>
      </c>
      <c r="BE157" s="3">
        <f>BE162</f>
        <v>11390</v>
      </c>
      <c r="BF157" s="3">
        <f>BE157</f>
        <v>11390</v>
      </c>
      <c r="BG157" s="3">
        <f>BG162</f>
        <v>11390</v>
      </c>
      <c r="BH157" s="3">
        <f>BH162</f>
        <v>11390</v>
      </c>
      <c r="BI157" s="3">
        <f>BI162</f>
        <v>11390</v>
      </c>
      <c r="BJ157" s="3">
        <f>BJ162</f>
        <v>11390</v>
      </c>
      <c r="BK157" s="3">
        <f>BJ157</f>
        <v>11390</v>
      </c>
      <c r="BL157" s="3">
        <f>BL162</f>
        <v>11390</v>
      </c>
      <c r="BM157" s="3">
        <f>BM162</f>
        <v>11390</v>
      </c>
      <c r="BN157" s="3">
        <f>BN162</f>
        <v>11390</v>
      </c>
      <c r="BO157" s="3">
        <f>BO162</f>
        <v>11390</v>
      </c>
      <c r="BP157" s="3">
        <f>BO157</f>
        <v>11390</v>
      </c>
      <c r="BQ157" s="3">
        <f>BQ162</f>
        <v>11390</v>
      </c>
      <c r="BR157" s="3">
        <f>BR162</f>
        <v>11390</v>
      </c>
      <c r="BS157" s="3">
        <f>BS162</f>
        <v>11390</v>
      </c>
      <c r="BT157" s="3">
        <f>BT162</f>
        <v>11390</v>
      </c>
      <c r="BU157" s="3">
        <f>BT157</f>
        <v>11390</v>
      </c>
      <c r="BV157" s="3">
        <f>BV162</f>
        <v>11390</v>
      </c>
      <c r="BW157" s="3">
        <f>BW162</f>
        <v>11390</v>
      </c>
      <c r="BX157" s="3">
        <f>BX162</f>
        <v>11390</v>
      </c>
      <c r="BY157" s="3">
        <f>BY162</f>
        <v>11390</v>
      </c>
      <c r="BZ157" s="3">
        <f>BY157</f>
        <v>11390</v>
      </c>
      <c r="CA157" s="3">
        <f>CA162</f>
        <v>11390</v>
      </c>
      <c r="CB157" s="3">
        <f>CB162</f>
        <v>11390</v>
      </c>
      <c r="CC157" s="3">
        <f>CC162</f>
        <v>11390</v>
      </c>
      <c r="CD157" s="3">
        <f>CD162</f>
        <v>11390</v>
      </c>
      <c r="CE157" s="3">
        <f>CD157</f>
        <v>11390</v>
      </c>
      <c r="CF157" s="3">
        <f>CF162</f>
        <v>11390</v>
      </c>
      <c r="CG157" s="3">
        <f>CG162</f>
        <v>11390</v>
      </c>
      <c r="CH157" s="3">
        <f>CH162</f>
        <v>11390</v>
      </c>
      <c r="CI157" s="3">
        <f>CI162</f>
        <v>11390</v>
      </c>
      <c r="CJ157" s="3">
        <f>CI157</f>
        <v>11390</v>
      </c>
      <c r="CK157" s="3">
        <f>CK162</f>
        <v>11390</v>
      </c>
      <c r="CL157" s="3">
        <f>CL162</f>
        <v>11390</v>
      </c>
      <c r="CM157" s="3">
        <f>CM162</f>
        <v>11390</v>
      </c>
      <c r="CN157" s="3">
        <f>CN162</f>
        <v>11390</v>
      </c>
      <c r="CO157" s="3">
        <f>CN157</f>
        <v>11390</v>
      </c>
      <c r="CP157" s="3">
        <f>CP162</f>
        <v>11390</v>
      </c>
      <c r="CQ157" s="3">
        <f>CQ162</f>
        <v>11390</v>
      </c>
      <c r="CR157" s="3">
        <f>CR162</f>
        <v>11390</v>
      </c>
      <c r="CS157" s="3">
        <f>CS162</f>
        <v>11390</v>
      </c>
      <c r="CT157" s="3">
        <f>CS157</f>
        <v>11390</v>
      </c>
      <c r="CU157" s="3">
        <f>CU162</f>
        <v>11390</v>
      </c>
      <c r="CV157" s="3">
        <f>CV162</f>
        <v>11390</v>
      </c>
      <c r="CW157" s="3">
        <f>CW162</f>
        <v>11390</v>
      </c>
      <c r="CX157" s="3">
        <f>CX162</f>
        <v>11390</v>
      </c>
      <c r="CY157" s="3">
        <f>CX157</f>
        <v>11390</v>
      </c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inlineStr">
        <is>
          <t>Capital expenditures</t>
        </is>
      </c>
      <c r="D159" s="3" t="n"/>
      <c r="E159" s="3">
        <f>E157-D157-E61</f>
        <v>365</v>
      </c>
      <c r="F159" s="3">
        <f>F157-E157-F61</f>
        <v>459</v>
      </c>
      <c r="G159" s="3">
        <f>G157-F157-G61</f>
        <v>773</v>
      </c>
      <c r="H159" s="3" t="n"/>
      <c r="I159" s="3">
        <f>I157-H157-I61</f>
        <v>336</v>
      </c>
      <c r="J159" s="3">
        <f>J157-I157-J61</f>
        <v>411</v>
      </c>
      <c r="K159" s="3">
        <f>K157-J157-K61</f>
        <v>371</v>
      </c>
      <c r="L159" s="3">
        <f>L157-K157-L61</f>
        <v>630</v>
      </c>
      <c r="M159" s="3" t="n"/>
      <c r="N159" s="3">
        <f>N157-M157-N61</f>
        <v>293</v>
      </c>
      <c r="O159" s="3">
        <f>O157-N157-O61</f>
        <v>351</v>
      </c>
      <c r="P159" s="3">
        <f>P157-O157-P61</f>
        <v>353</v>
      </c>
      <c r="Q159" s="3">
        <f>Q157-P157-Q61</f>
        <v>785</v>
      </c>
      <c r="R159" s="3" t="n"/>
      <c r="S159" s="3">
        <f>S157-R157-S61</f>
        <v>288</v>
      </c>
      <c r="T159" s="3">
        <f>T157-S157-T61</f>
        <v>362</v>
      </c>
      <c r="U159" s="3">
        <f>U157-T157-U61</f>
        <v>430</v>
      </c>
      <c r="V159" s="3">
        <f>V157-U157-V61</f>
        <v>745</v>
      </c>
      <c r="W159" s="3" t="n"/>
      <c r="X159" s="3">
        <f>X157-W157-X61</f>
        <v>335</v>
      </c>
      <c r="Y159" s="3">
        <f>Y157-X157-Y61</f>
        <v>399</v>
      </c>
      <c r="Z159" s="3">
        <f>Z157-Y157-Z61</f>
        <v>450</v>
      </c>
      <c r="AA159" s="3">
        <f>AA157-Z157-AA61</f>
        <v>731</v>
      </c>
      <c r="AB159" s="3" t="n"/>
      <c r="AC159" s="3">
        <f>AC157-AB157-AC61</f>
        <v>384</v>
      </c>
      <c r="AD159" s="3">
        <f>AD157-AC157-AD61</f>
        <v>356</v>
      </c>
      <c r="AE159" s="3">
        <f>AE157-AD157-AE61</f>
        <v>480</v>
      </c>
      <c r="AF159" s="6">
        <f>AF157-AE157-AF61</f>
        <v>616</v>
      </c>
      <c r="AG159" s="3">
        <f>SUM(AC159:AF159)</f>
        <v>1836</v>
      </c>
      <c r="AH159" s="6">
        <f>AH157-AG157-AH61</f>
        <v>2806</v>
      </c>
      <c r="AI159" s="6">
        <f>AI157-AH157-AI61</f>
        <v>507</v>
      </c>
      <c r="AJ159" s="6" t="n"/>
      <c r="AK159" s="6" t="n"/>
      <c r="AL159" s="3" t="n"/>
      <c r="AM159" s="6" t="n"/>
      <c r="AN159" s="6" t="n"/>
      <c r="AO159" s="6" t="n"/>
      <c r="AP159" s="6" t="n"/>
      <c r="AQ159" s="3" t="n"/>
      <c r="AR159" s="6" t="n"/>
      <c r="AS159" s="6" t="n"/>
      <c r="AT159" s="6" t="n"/>
      <c r="AU159" s="6" t="n"/>
      <c r="AV159" s="3" t="n"/>
      <c r="AW159" s="6" t="n"/>
      <c r="AX159" s="6" t="n"/>
      <c r="AY159" s="6" t="n"/>
      <c r="AZ159" s="6" t="n"/>
      <c r="BA159" s="3" t="n"/>
      <c r="BB159" s="6" t="n"/>
      <c r="BC159" s="6" t="n"/>
      <c r="BD159" s="6" t="n"/>
      <c r="BE159" s="6" t="n"/>
      <c r="BF159" s="3" t="n"/>
      <c r="BG159" s="6" t="n"/>
      <c r="BH159" s="6" t="n"/>
      <c r="BI159" s="6" t="n"/>
      <c r="BJ159" s="6" t="n"/>
      <c r="BK159" s="3" t="n"/>
      <c r="BL159" s="6" t="n"/>
      <c r="BM159" s="6" t="n"/>
      <c r="BN159" s="6" t="n"/>
      <c r="BO159" s="6" t="n"/>
      <c r="BP159" s="3" t="n"/>
      <c r="BQ159" s="6" t="n"/>
      <c r="BR159" s="6" t="n"/>
      <c r="BS159" s="6" t="n"/>
      <c r="BT159" s="6" t="n"/>
      <c r="BU159" s="3" t="n"/>
      <c r="BV159" s="6" t="n"/>
      <c r="BW159" s="6" t="n"/>
      <c r="BX159" s="6" t="n"/>
      <c r="BY159" s="6" t="n"/>
      <c r="BZ159" s="3" t="n"/>
      <c r="CA159" s="6" t="n"/>
      <c r="CB159" s="6" t="n"/>
      <c r="CC159" s="6" t="n"/>
      <c r="CD159" s="6" t="n"/>
      <c r="CE159" s="3" t="n"/>
      <c r="CF159" s="6" t="n"/>
      <c r="CG159" s="6" t="n"/>
      <c r="CH159" s="6" t="n"/>
      <c r="CI159" s="6" t="n"/>
      <c r="CJ159" s="3" t="n"/>
      <c r="CK159" s="6" t="n"/>
      <c r="CL159" s="6" t="n"/>
      <c r="CM159" s="6" t="n"/>
      <c r="CN159" s="6" t="n"/>
      <c r="CO159" s="3" t="n"/>
      <c r="CP159" s="6" t="n"/>
      <c r="CQ159" s="6" t="n"/>
      <c r="CR159" s="6" t="n"/>
      <c r="CS159" s="6" t="n"/>
      <c r="CT159" s="3" t="n"/>
      <c r="CU159" s="6" t="n"/>
      <c r="CV159" s="6" t="n"/>
      <c r="CW159" s="6" t="n"/>
      <c r="CX159" s="6" t="n"/>
      <c r="CY159" s="3" t="n"/>
    </row>
    <row r="160" hidden="1" outlineLevel="1">
      <c r="C160" s="34" t="inlineStr">
        <is>
          <t>Recurring asset sales (enter as -)</t>
        </is>
      </c>
      <c r="D160" s="3" t="n"/>
      <c r="E160" s="3" t="n"/>
      <c r="F160" s="3" t="n"/>
      <c r="G160" s="3" t="n"/>
      <c r="H160" s="3">
        <f>SUM(D160:G160)</f>
        <v>0</v>
      </c>
      <c r="I160" s="3" t="n"/>
      <c r="J160" s="3" t="n"/>
      <c r="K160" s="3" t="n"/>
      <c r="L160" s="3" t="n"/>
      <c r="M160" s="3">
        <f>SUM(I160:L160)</f>
        <v>0</v>
      </c>
      <c r="N160" s="3" t="n"/>
      <c r="O160" s="3" t="n"/>
      <c r="P160" s="3" t="n"/>
      <c r="Q160" s="3" t="n"/>
      <c r="R160" s="3">
        <f>SUM(N160:Q160)</f>
        <v>0</v>
      </c>
      <c r="S160" s="3" t="n"/>
      <c r="T160" s="3" t="n"/>
      <c r="U160" s="3" t="n"/>
      <c r="V160" s="3" t="n"/>
      <c r="W160" s="3">
        <f>SUM(S160:V160)</f>
        <v>0</v>
      </c>
      <c r="X160" s="3" t="n"/>
      <c r="Y160" s="3" t="n"/>
      <c r="Z160" s="3" t="n"/>
      <c r="AA160" s="3" t="n"/>
      <c r="AB160" s="3">
        <f>SUM(X160:AA160)</f>
        <v>0</v>
      </c>
      <c r="AC160" s="3" t="n"/>
      <c r="AD160" s="3" t="n"/>
      <c r="AE160" s="3" t="n"/>
      <c r="AF160" s="6" t="n"/>
      <c r="AG160" s="3" t="n"/>
      <c r="AH160" s="6" t="n"/>
      <c r="AI160" s="6" t="n"/>
      <c r="AJ160" s="6" t="n"/>
      <c r="AK160" s="6" t="n"/>
      <c r="AL160" s="3" t="n"/>
      <c r="AM160" s="6" t="n"/>
      <c r="AN160" s="6" t="n"/>
      <c r="AO160" s="6" t="n"/>
      <c r="AP160" s="6" t="n"/>
      <c r="AQ160" s="3" t="n"/>
      <c r="AR160" s="6" t="n"/>
      <c r="AS160" s="6" t="n"/>
      <c r="AT160" s="6" t="n"/>
      <c r="AU160" s="6" t="n"/>
      <c r="AV160" s="3" t="n"/>
      <c r="AW160" s="6" t="n"/>
      <c r="AX160" s="6" t="n"/>
      <c r="AY160" s="6" t="n"/>
      <c r="AZ160" s="6" t="n"/>
      <c r="BA160" s="3" t="n"/>
      <c r="BB160" s="6" t="n"/>
      <c r="BC160" s="6" t="n"/>
      <c r="BD160" s="6" t="n"/>
      <c r="BE160" s="6" t="n"/>
      <c r="BF160" s="3" t="n"/>
      <c r="BG160" s="6" t="n"/>
      <c r="BH160" s="6" t="n"/>
      <c r="BI160" s="6" t="n"/>
      <c r="BJ160" s="6" t="n"/>
      <c r="BK160" s="3" t="n"/>
      <c r="BL160" s="6" t="n"/>
      <c r="BM160" s="6" t="n"/>
      <c r="BN160" s="6" t="n"/>
      <c r="BO160" s="6" t="n"/>
      <c r="BP160" s="3" t="n"/>
      <c r="BQ160" s="6" t="n"/>
      <c r="BR160" s="6" t="n"/>
      <c r="BS160" s="6" t="n"/>
      <c r="BT160" s="6" t="n"/>
      <c r="BU160" s="3" t="n"/>
      <c r="BV160" s="6" t="n"/>
      <c r="BW160" s="6" t="n"/>
      <c r="BX160" s="6" t="n"/>
      <c r="BY160" s="6" t="n"/>
      <c r="BZ160" s="3" t="n"/>
      <c r="CA160" s="6" t="n"/>
      <c r="CB160" s="6" t="n"/>
      <c r="CC160" s="6" t="n"/>
      <c r="CD160" s="6" t="n"/>
      <c r="CE160" s="3" t="n"/>
      <c r="CF160" s="6" t="n"/>
      <c r="CG160" s="6" t="n"/>
      <c r="CH160" s="6" t="n"/>
      <c r="CI160" s="6" t="n"/>
      <c r="CJ160" s="3" t="n"/>
      <c r="CK160" s="6" t="n"/>
      <c r="CL160" s="6" t="n"/>
      <c r="CM160" s="6" t="n"/>
      <c r="CN160" s="6" t="n"/>
      <c r="CO160" s="3" t="n"/>
      <c r="CP160" s="6" t="n"/>
      <c r="CQ160" s="6" t="n"/>
      <c r="CR160" s="6" t="n"/>
      <c r="CS160" s="6" t="n"/>
      <c r="CT160" s="3" t="n"/>
      <c r="CU160" s="6" t="n"/>
      <c r="CV160" s="6" t="n"/>
      <c r="CW160" s="6" t="n"/>
      <c r="CX160" s="6" t="n"/>
      <c r="CY160" s="3" t="n"/>
    </row>
    <row r="161" hidden="1" outlineLevel="1">
      <c r="C161" s="34" t="inlineStr">
        <is>
          <t>Depreciation</t>
        </is>
      </c>
      <c r="D161" s="3">
        <f>D61</f>
        <v>-301</v>
      </c>
      <c r="E161" s="3">
        <f>E61</f>
        <v>-307</v>
      </c>
      <c r="F161" s="3">
        <f>F61</f>
        <v>-319</v>
      </c>
      <c r="G161" s="3">
        <f>G61</f>
        <v>-363</v>
      </c>
      <c r="H161" s="3" t="n"/>
      <c r="I161" s="3">
        <f>I61</f>
        <v>-336</v>
      </c>
      <c r="J161" s="3">
        <f>J61</f>
        <v>-334</v>
      </c>
      <c r="K161" s="3">
        <f>K61</f>
        <v>-329</v>
      </c>
      <c r="L161" s="3">
        <f>L61</f>
        <v>-365</v>
      </c>
      <c r="M161" s="3" t="n"/>
      <c r="N161" s="3">
        <f>N61</f>
        <v>-329</v>
      </c>
      <c r="O161" s="3">
        <f>O61</f>
        <v>-343</v>
      </c>
      <c r="P161" s="3">
        <f>P61</f>
        <v>-293</v>
      </c>
      <c r="Q161" s="3">
        <f>Q61</f>
        <v>-439</v>
      </c>
      <c r="R161" s="3" t="n"/>
      <c r="S161" s="3">
        <f>S61</f>
        <v>-325</v>
      </c>
      <c r="T161" s="3">
        <f>T61</f>
        <v>-334</v>
      </c>
      <c r="U161" s="3">
        <f>U61</f>
        <v>-350</v>
      </c>
      <c r="V161" s="3">
        <f>V61</f>
        <v>-421</v>
      </c>
      <c r="W161" s="3" t="n"/>
      <c r="X161" s="3">
        <f>X61</f>
        <v>-351</v>
      </c>
      <c r="Y161" s="3">
        <f>Y61</f>
        <v>-359</v>
      </c>
      <c r="Z161" s="3">
        <f>Z61</f>
        <v>-390</v>
      </c>
      <c r="AA161" s="3">
        <f>AA61</f>
        <v>-459</v>
      </c>
      <c r="AB161" s="3" t="n"/>
      <c r="AC161" s="3">
        <f>AC61</f>
        <v>-397</v>
      </c>
      <c r="AD161" s="3">
        <f>AD61</f>
        <v>-399</v>
      </c>
      <c r="AE161" s="3">
        <f>AE61</f>
        <v>-428</v>
      </c>
      <c r="AF161" s="3">
        <f>AF61</f>
        <v>-463</v>
      </c>
      <c r="AG161" s="3" t="n"/>
      <c r="AH161" s="3">
        <f>AH61</f>
        <v>-398</v>
      </c>
      <c r="AI161" s="3">
        <f>AI61</f>
        <v>-400</v>
      </c>
      <c r="AJ161" s="3">
        <f>AJ61</f>
        <v>0</v>
      </c>
      <c r="AK161" s="3">
        <f>AK61</f>
        <v>0</v>
      </c>
      <c r="AL161" s="3" t="n"/>
      <c r="AM161" s="3">
        <f>AM61</f>
        <v>0</v>
      </c>
      <c r="AN161" s="3">
        <f>AN61</f>
        <v>0</v>
      </c>
      <c r="AO161" s="3">
        <f>AO61</f>
        <v>0</v>
      </c>
      <c r="AP161" s="3">
        <f>AP61</f>
        <v>0</v>
      </c>
      <c r="AQ161" s="3" t="n"/>
      <c r="AR161" s="3">
        <f>AR61</f>
        <v>0</v>
      </c>
      <c r="AS161" s="3">
        <f>AS61</f>
        <v>0</v>
      </c>
      <c r="AT161" s="3">
        <f>AT61</f>
        <v>0</v>
      </c>
      <c r="AU161" s="3">
        <f>AU61</f>
        <v>0</v>
      </c>
      <c r="AV161" s="3" t="n"/>
      <c r="AW161" s="3">
        <f>AW61</f>
        <v>0</v>
      </c>
      <c r="AX161" s="3">
        <f>AX61</f>
        <v>0</v>
      </c>
      <c r="AY161" s="3">
        <f>AY61</f>
        <v>0</v>
      </c>
      <c r="AZ161" s="3">
        <f>AZ61</f>
        <v>0</v>
      </c>
      <c r="BA161" s="3" t="n"/>
      <c r="BB161" s="3">
        <f>BB61</f>
        <v>0</v>
      </c>
      <c r="BC161" s="3">
        <f>BC61</f>
        <v>0</v>
      </c>
      <c r="BD161" s="3">
        <f>BD61</f>
        <v>0</v>
      </c>
      <c r="BE161" s="3">
        <f>BE61</f>
        <v>0</v>
      </c>
      <c r="BF161" s="3" t="n"/>
      <c r="BG161" s="3">
        <f>BG61</f>
        <v>0</v>
      </c>
      <c r="BH161" s="3">
        <f>BH61</f>
        <v>0</v>
      </c>
      <c r="BI161" s="3">
        <f>BI61</f>
        <v>0</v>
      </c>
      <c r="BJ161" s="3">
        <f>BJ61</f>
        <v>0</v>
      </c>
      <c r="BK161" s="3" t="n"/>
      <c r="BL161" s="3">
        <f>BL61</f>
        <v>0</v>
      </c>
      <c r="BM161" s="3">
        <f>BM61</f>
        <v>0</v>
      </c>
      <c r="BN161" s="3">
        <f>BN61</f>
        <v>0</v>
      </c>
      <c r="BO161" s="3">
        <f>BO61</f>
        <v>0</v>
      </c>
      <c r="BP161" s="3" t="n"/>
      <c r="BQ161" s="3">
        <f>BQ61</f>
        <v>0</v>
      </c>
      <c r="BR161" s="3">
        <f>BR61</f>
        <v>0</v>
      </c>
      <c r="BS161" s="3">
        <f>BS61</f>
        <v>0</v>
      </c>
      <c r="BT161" s="3">
        <f>BT61</f>
        <v>0</v>
      </c>
      <c r="BU161" s="3" t="n"/>
      <c r="BV161" s="3">
        <f>BV61</f>
        <v>0</v>
      </c>
      <c r="BW161" s="3">
        <f>BW61</f>
        <v>0</v>
      </c>
      <c r="BX161" s="3">
        <f>BX61</f>
        <v>0</v>
      </c>
      <c r="BY161" s="3">
        <f>BY61</f>
        <v>0</v>
      </c>
      <c r="BZ161" s="3" t="n"/>
      <c r="CA161" s="3">
        <f>CA61</f>
        <v>0</v>
      </c>
      <c r="CB161" s="3">
        <f>CB61</f>
        <v>0</v>
      </c>
      <c r="CC161" s="3">
        <f>CC61</f>
        <v>0</v>
      </c>
      <c r="CD161" s="3">
        <f>CD61</f>
        <v>0</v>
      </c>
      <c r="CE161" s="3" t="n"/>
      <c r="CF161" s="3">
        <f>CF61</f>
        <v>0</v>
      </c>
      <c r="CG161" s="3">
        <f>CG61</f>
        <v>0</v>
      </c>
      <c r="CH161" s="3">
        <f>CH61</f>
        <v>0</v>
      </c>
      <c r="CI161" s="3">
        <f>CI61</f>
        <v>0</v>
      </c>
      <c r="CJ161" s="3" t="n"/>
      <c r="CK161" s="3">
        <f>CK61</f>
        <v>0</v>
      </c>
      <c r="CL161" s="3">
        <f>CL61</f>
        <v>0</v>
      </c>
      <c r="CM161" s="3">
        <f>CM61</f>
        <v>0</v>
      </c>
      <c r="CN161" s="3">
        <f>CN61</f>
        <v>0</v>
      </c>
      <c r="CO161" s="3" t="n"/>
      <c r="CP161" s="3">
        <f>CP61</f>
        <v>0</v>
      </c>
      <c r="CQ161" s="3">
        <f>CQ61</f>
        <v>0</v>
      </c>
      <c r="CR161" s="3">
        <f>CR61</f>
        <v>0</v>
      </c>
      <c r="CS161" s="3">
        <f>CS61</f>
        <v>0</v>
      </c>
      <c r="CT161" s="3" t="n"/>
      <c r="CU161" s="3">
        <f>CU61</f>
        <v>0</v>
      </c>
      <c r="CV161" s="3">
        <f>CV61</f>
        <v>0</v>
      </c>
      <c r="CW161" s="3">
        <f>CW61</f>
        <v>0</v>
      </c>
      <c r="CX161" s="3">
        <f>CX61</f>
        <v>0</v>
      </c>
      <c r="CY161" s="3" t="n"/>
    </row>
    <row r="162" hidden="1" outlineLevel="1">
      <c r="C162" s="34" t="inlineStr">
        <is>
          <t>PP&amp;E</t>
        </is>
      </c>
      <c r="D162" s="3">
        <f>D157</f>
        <v>6605</v>
      </c>
      <c r="E162" s="3">
        <f>E157</f>
        <v>6663</v>
      </c>
      <c r="F162" s="3">
        <f>F157</f>
        <v>6803</v>
      </c>
      <c r="G162" s="3">
        <f>G157</f>
        <v>7213</v>
      </c>
      <c r="H162" s="3" t="n"/>
      <c r="I162" s="3">
        <f>I157</f>
        <v>7213</v>
      </c>
      <c r="J162" s="3">
        <f>J157</f>
        <v>7290</v>
      </c>
      <c r="K162" s="3">
        <f>K157</f>
        <v>7332</v>
      </c>
      <c r="L162" s="3">
        <f>L157</f>
        <v>7597</v>
      </c>
      <c r="M162" s="3" t="n"/>
      <c r="N162" s="3">
        <f>N157</f>
        <v>7561</v>
      </c>
      <c r="O162" s="3">
        <f>O157</f>
        <v>7569</v>
      </c>
      <c r="P162" s="3">
        <f>P157</f>
        <v>7629</v>
      </c>
      <c r="Q162" s="3">
        <f>Q157</f>
        <v>7975</v>
      </c>
      <c r="R162" s="3" t="n"/>
      <c r="S162" s="3">
        <f>S157</f>
        <v>7938</v>
      </c>
      <c r="T162" s="3">
        <f>T157</f>
        <v>7966</v>
      </c>
      <c r="U162" s="3">
        <f>U157</f>
        <v>8046</v>
      </c>
      <c r="V162" s="3">
        <f>V157</f>
        <v>8370</v>
      </c>
      <c r="W162" s="3" t="n"/>
      <c r="X162" s="3">
        <f>X157</f>
        <v>8354</v>
      </c>
      <c r="Y162" s="3">
        <f>Y157</f>
        <v>8394</v>
      </c>
      <c r="Z162" s="3">
        <f>Z157</f>
        <v>8454</v>
      </c>
      <c r="AA162" s="3">
        <f>Y162+SUM(AA159:AA161)</f>
        <v>8666</v>
      </c>
      <c r="AB162" s="3" t="n"/>
      <c r="AC162" s="3">
        <f>AC157</f>
        <v>8713</v>
      </c>
      <c r="AD162" s="3">
        <f>AD157</f>
        <v>8670</v>
      </c>
      <c r="AE162" s="3">
        <f>AE157</f>
        <v>8722</v>
      </c>
      <c r="AF162" s="3">
        <f>AE162+SUM(AF159:AF161)</f>
        <v>8875</v>
      </c>
      <c r="AG162" s="3" t="n"/>
      <c r="AH162" s="3">
        <f>AH157</f>
        <v>11283</v>
      </c>
      <c r="AI162" s="3">
        <f>AI157</f>
        <v>11390</v>
      </c>
      <c r="AJ162" s="3">
        <f>AI162+SUM(AJ159:AJ161)</f>
        <v>11390</v>
      </c>
      <c r="AK162" s="3">
        <f>AJ162+SUM(AK159:AK161)</f>
        <v>11390</v>
      </c>
      <c r="AL162" s="3" t="n"/>
      <c r="AM162" s="3">
        <f>AK162+SUM(AM159:AM161)</f>
        <v>11390</v>
      </c>
      <c r="AN162" s="3">
        <f>AM162+SUM(AN159:AN161)</f>
        <v>11390</v>
      </c>
      <c r="AO162" s="3">
        <f>AN162+SUM(AO159:AO161)</f>
        <v>11390</v>
      </c>
      <c r="AP162" s="3">
        <f>AO162+SUM(AP159:AP161)</f>
        <v>11390</v>
      </c>
      <c r="AQ162" s="3" t="n"/>
      <c r="AR162" s="3">
        <f>AP162+SUM(AR159:AR161)</f>
        <v>11390</v>
      </c>
      <c r="AS162" s="3">
        <f>AR162+SUM(AS159:AS161)</f>
        <v>11390</v>
      </c>
      <c r="AT162" s="3">
        <f>AS162+SUM(AT159:AT161)</f>
        <v>11390</v>
      </c>
      <c r="AU162" s="3">
        <f>AT162+SUM(AU159:AU161)</f>
        <v>11390</v>
      </c>
      <c r="AV162" s="3" t="n"/>
      <c r="AW162" s="3">
        <f>AU162+SUM(AW159:AW161)</f>
        <v>11390</v>
      </c>
      <c r="AX162" s="3">
        <f>AW162+SUM(AX159:AX161)</f>
        <v>11390</v>
      </c>
      <c r="AY162" s="3">
        <f>AX162+SUM(AY159:AY161)</f>
        <v>11390</v>
      </c>
      <c r="AZ162" s="3">
        <f>AY162+SUM(AZ159:AZ161)</f>
        <v>11390</v>
      </c>
      <c r="BA162" s="3" t="n"/>
      <c r="BB162" s="3">
        <f>AZ162+SUM(BB159:BB161)</f>
        <v>11390</v>
      </c>
      <c r="BC162" s="3">
        <f>BB162+SUM(BC159:BC161)</f>
        <v>11390</v>
      </c>
      <c r="BD162" s="3">
        <f>BC162+SUM(BD159:BD161)</f>
        <v>11390</v>
      </c>
      <c r="BE162" s="3">
        <f>BD162+SUM(BE159:BE161)</f>
        <v>11390</v>
      </c>
      <c r="BF162" s="3" t="n"/>
      <c r="BG162" s="3">
        <f>BE162+SUM(BG159:BG161)</f>
        <v>11390</v>
      </c>
      <c r="BH162" s="3">
        <f>BG162+SUM(BH159:BH161)</f>
        <v>11390</v>
      </c>
      <c r="BI162" s="3">
        <f>BH162+SUM(BI159:BI161)</f>
        <v>11390</v>
      </c>
      <c r="BJ162" s="3">
        <f>BI162+SUM(BJ159:BJ161)</f>
        <v>11390</v>
      </c>
      <c r="BK162" s="3" t="n"/>
      <c r="BL162" s="3">
        <f>BJ162+SUM(BL159:BL161)</f>
        <v>11390</v>
      </c>
      <c r="BM162" s="3">
        <f>BL162+SUM(BM159:BM161)</f>
        <v>11390</v>
      </c>
      <c r="BN162" s="3">
        <f>BM162+SUM(BN159:BN161)</f>
        <v>11390</v>
      </c>
      <c r="BO162" s="3">
        <f>BN162+SUM(BO159:BO161)</f>
        <v>11390</v>
      </c>
      <c r="BP162" s="3" t="n"/>
      <c r="BQ162" s="3">
        <f>BO162+SUM(BQ159:BQ161)</f>
        <v>11390</v>
      </c>
      <c r="BR162" s="3">
        <f>BQ162+SUM(BR159:BR161)</f>
        <v>11390</v>
      </c>
      <c r="BS162" s="3">
        <f>BR162+SUM(BS159:BS161)</f>
        <v>11390</v>
      </c>
      <c r="BT162" s="3">
        <f>BS162+SUM(BT159:BT161)</f>
        <v>11390</v>
      </c>
      <c r="BU162" s="3" t="n"/>
      <c r="BV162" s="3">
        <f>BT162+SUM(BV159:BV161)</f>
        <v>11390</v>
      </c>
      <c r="BW162" s="3">
        <f>BV162+SUM(BW159:BW161)</f>
        <v>11390</v>
      </c>
      <c r="BX162" s="3">
        <f>BW162+SUM(BX159:BX161)</f>
        <v>11390</v>
      </c>
      <c r="BY162" s="3">
        <f>BX162+SUM(BY159:BY161)</f>
        <v>11390</v>
      </c>
      <c r="BZ162" s="3" t="n"/>
      <c r="CA162" s="3">
        <f>BY162+SUM(CA159:CA161)</f>
        <v>11390</v>
      </c>
      <c r="CB162" s="3">
        <f>CA162+SUM(CB159:CB161)</f>
        <v>11390</v>
      </c>
      <c r="CC162" s="3">
        <f>CB162+SUM(CC159:CC161)</f>
        <v>11390</v>
      </c>
      <c r="CD162" s="3">
        <f>CC162+SUM(CD159:CD161)</f>
        <v>11390</v>
      </c>
      <c r="CE162" s="3" t="n"/>
      <c r="CF162" s="3">
        <f>CD162+SUM(CF159:CF161)</f>
        <v>11390</v>
      </c>
      <c r="CG162" s="3">
        <f>CF162+SUM(CG159:CG161)</f>
        <v>11390</v>
      </c>
      <c r="CH162" s="3">
        <f>CG162+SUM(CH159:CH161)</f>
        <v>11390</v>
      </c>
      <c r="CI162" s="3">
        <f>CH162+SUM(CI159:CI161)</f>
        <v>11390</v>
      </c>
      <c r="CJ162" s="3" t="n"/>
      <c r="CK162" s="3">
        <f>CI162+SUM(CK159:CK161)</f>
        <v>11390</v>
      </c>
      <c r="CL162" s="3">
        <f>CK162+SUM(CL159:CL161)</f>
        <v>11390</v>
      </c>
      <c r="CM162" s="3">
        <f>CL162+SUM(CM159:CM161)</f>
        <v>11390</v>
      </c>
      <c r="CN162" s="3">
        <f>CM162+SUM(CN159:CN161)</f>
        <v>11390</v>
      </c>
      <c r="CO162" s="3" t="n"/>
      <c r="CP162" s="3">
        <f>CN162+SUM(CP159:CP161)</f>
        <v>11390</v>
      </c>
      <c r="CQ162" s="3">
        <f>CP162+SUM(CQ159:CQ161)</f>
        <v>11390</v>
      </c>
      <c r="CR162" s="3">
        <f>CQ162+SUM(CR159:CR161)</f>
        <v>11390</v>
      </c>
      <c r="CS162" s="3">
        <f>CR162+SUM(CS159:CS161)</f>
        <v>11390</v>
      </c>
      <c r="CT162" s="3" t="n"/>
      <c r="CU162" s="3">
        <f>CS162+SUM(CU159:CU161)</f>
        <v>11390</v>
      </c>
      <c r="CV162" s="3">
        <f>CU162+SUM(CV159:CV161)</f>
        <v>11390</v>
      </c>
      <c r="CW162" s="3">
        <f>CV162+SUM(CW159:CW161)</f>
        <v>11390</v>
      </c>
      <c r="CX162" s="3">
        <f>CW162+SUM(CX159:CX161)</f>
        <v>11390</v>
      </c>
      <c r="CY162" s="3" t="n"/>
      <c r="CZ162">
        <f>CX162+SUM(CZ159:CZ161)</f>
        <v>11390</v>
      </c>
      <c r="DA162">
        <f>CZ162+SUM(DA159:DA161)</f>
        <v>11390</v>
      </c>
      <c r="DB162">
        <f>DA162+SUM(DB159:DB161)</f>
        <v>11390</v>
      </c>
      <c r="DC162">
        <f>DB162+SUM(DC159:DC161)</f>
        <v>11390</v>
      </c>
    </row>
    <row r="163" hidden="1" outlineLevel="1">
      <c r="C163" s="34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  <c r="CU163" s="3" t="n"/>
      <c r="CV163" s="3" t="n"/>
      <c r="CW163" s="3" t="n"/>
      <c r="CX163" s="3" t="n"/>
      <c r="CY163" s="3" t="n"/>
    </row>
    <row r="164" hidden="1" outlineLevel="1">
      <c r="C164" s="34" t="inlineStr">
        <is>
          <t>Capital expenditures (% Net Revenues)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40">
        <f>AF159/AF15</f>
        <v>0.0303134688253531</v>
      </c>
      <c r="AG164" s="40">
        <f>AG159/AG15</f>
        <v>0.0244643428205948</v>
      </c>
      <c r="AH164" s="40">
        <f>AH159/AH15</f>
        <v>0.15570723045336</v>
      </c>
      <c r="AI164" s="40">
        <f>AI159/AI15</f>
        <v>0.0252703982455266</v>
      </c>
      <c r="AJ164" s="40">
        <f>AJ159/AJ15</f>
        <v>0</v>
      </c>
      <c r="AK164" s="40">
        <f>AK159/AK15</f>
        <v>0</v>
      </c>
      <c r="AL164" s="40">
        <f>AL159/AL15</f>
        <v>0</v>
      </c>
      <c r="AM164" s="40">
        <f>AM159/AM15</f>
        <v>0</v>
      </c>
      <c r="AN164" s="40">
        <f>AN159/AN15</f>
        <v>0</v>
      </c>
      <c r="AO164" s="40">
        <f>AO159/AO15</f>
        <v>0</v>
      </c>
      <c r="AP164" s="40">
        <f>AP159/AP15</f>
        <v>0</v>
      </c>
      <c r="AQ164" s="40">
        <f>AQ159/AQ15</f>
        <v>0</v>
      </c>
      <c r="AR164" s="40">
        <f>AR159/AR15</f>
        <v>0</v>
      </c>
      <c r="AS164" s="40">
        <f>AS159/AS15</f>
        <v>0</v>
      </c>
      <c r="AT164" s="40">
        <f>AT159/AT15</f>
        <v>0</v>
      </c>
      <c r="AU164" s="40">
        <f>AU159/AU15</f>
        <v>0</v>
      </c>
      <c r="AV164" s="40">
        <f>AV159/AV15</f>
        <v>0</v>
      </c>
      <c r="AW164" s="40">
        <f>AW159/AW15</f>
        <v>0</v>
      </c>
      <c r="AX164" s="40">
        <f>AX159/AX15</f>
        <v>0</v>
      </c>
      <c r="AY164" s="40">
        <f>AY159/AY15</f>
        <v>0</v>
      </c>
      <c r="AZ164" s="40">
        <f>AZ159/AZ15</f>
        <v>0</v>
      </c>
      <c r="BA164" s="40">
        <f>BA159/BA15</f>
        <v>0</v>
      </c>
      <c r="BB164" s="40">
        <f>BB159/BB15</f>
        <v>0</v>
      </c>
      <c r="BC164" s="40">
        <f>BC159/BC15</f>
        <v>0</v>
      </c>
      <c r="BD164" s="40">
        <f>BD159/BD15</f>
        <v>0</v>
      </c>
      <c r="BE164" s="40">
        <f>BE159/BE15</f>
        <v>0</v>
      </c>
      <c r="BF164" s="40">
        <f>BF159/BF15</f>
        <v>0</v>
      </c>
      <c r="BG164" s="40">
        <f>BG159/BG15</f>
        <v>0</v>
      </c>
      <c r="BH164" s="40">
        <f>BH159/BH15</f>
        <v>0</v>
      </c>
      <c r="BI164" s="40">
        <f>BI159/BI15</f>
        <v>0</v>
      </c>
      <c r="BJ164" s="40">
        <f>BJ159/BJ15</f>
        <v>0</v>
      </c>
      <c r="BK164" s="40">
        <f>BK159/BK15</f>
        <v>0</v>
      </c>
      <c r="BL164" s="40">
        <f>BL159/BL15</f>
        <v>0</v>
      </c>
      <c r="BM164" s="40">
        <f>BM159/BM15</f>
        <v>0</v>
      </c>
      <c r="BN164" s="40">
        <f>BN159/BN15</f>
        <v>0</v>
      </c>
      <c r="BO164" s="40">
        <f>BO159/BO15</f>
        <v>0</v>
      </c>
      <c r="BP164" s="40">
        <f>BP159/BP15</f>
        <v>0</v>
      </c>
      <c r="BQ164" s="40">
        <f>BQ159/BQ15</f>
        <v>0</v>
      </c>
      <c r="BR164" s="40">
        <f>BR159/BR15</f>
        <v>0</v>
      </c>
      <c r="BS164" s="40">
        <f>BS159/BS15</f>
        <v>0</v>
      </c>
      <c r="BT164" s="40">
        <f>BT159/BT15</f>
        <v>0</v>
      </c>
      <c r="BU164" s="40">
        <f>BU159/BU15</f>
        <v>0</v>
      </c>
      <c r="BV164" s="40">
        <f>BV159/BV15</f>
        <v>0</v>
      </c>
      <c r="BW164" s="40">
        <f>BW159/BW15</f>
        <v>0</v>
      </c>
      <c r="BX164" s="40">
        <f>BX159/BX15</f>
        <v>0</v>
      </c>
      <c r="BY164" s="40">
        <f>BY159/BY15</f>
        <v>0</v>
      </c>
      <c r="BZ164" s="40">
        <f>BZ159/BZ15</f>
        <v>0</v>
      </c>
      <c r="CA164" s="40">
        <f>CA159/CA15</f>
        <v>0</v>
      </c>
      <c r="CB164" s="40">
        <f>CB159/CB15</f>
        <v>0</v>
      </c>
      <c r="CC164" s="40">
        <f>CC159/CC15</f>
        <v>0</v>
      </c>
      <c r="CD164" s="40">
        <f>CD159/CD15</f>
        <v>0</v>
      </c>
      <c r="CE164" s="40">
        <f>CE159/CE15</f>
        <v>0</v>
      </c>
      <c r="CF164" s="40">
        <f>CF159/CF15</f>
        <v>0</v>
      </c>
      <c r="CG164" s="40">
        <f>CG159/CG15</f>
        <v>0</v>
      </c>
      <c r="CH164" s="40">
        <f>CH159/CH15</f>
        <v>0</v>
      </c>
      <c r="CI164" s="40">
        <f>CI159/CI15</f>
        <v>0</v>
      </c>
      <c r="CJ164" s="40">
        <f>CJ159/CJ15</f>
        <v>0</v>
      </c>
      <c r="CK164" s="40">
        <f>CK159/CK15</f>
        <v>0</v>
      </c>
      <c r="CL164" s="40">
        <f>CL159/CL15</f>
        <v>0</v>
      </c>
      <c r="CM164" s="40">
        <f>CM159/CM15</f>
        <v>0</v>
      </c>
      <c r="CN164" s="40">
        <f>CN159/CN15</f>
        <v>0</v>
      </c>
      <c r="CO164" s="40">
        <f>CO159/CO15</f>
        <v>0</v>
      </c>
      <c r="CP164" s="40">
        <f>CP159/CP15</f>
        <v>0</v>
      </c>
      <c r="CQ164" s="40">
        <f>CQ159/CQ15</f>
        <v>0</v>
      </c>
      <c r="CR164" s="40">
        <f>CR159/CR15</f>
        <v>0</v>
      </c>
      <c r="CS164" s="40">
        <f>CS159/CS15</f>
        <v>0</v>
      </c>
      <c r="CT164" s="40">
        <f>CT159/CT15</f>
        <v>0</v>
      </c>
      <c r="CU164" s="40">
        <f>CU159/CU15</f>
        <v>0</v>
      </c>
      <c r="CV164" s="40">
        <f>CV159/CV15</f>
        <v>0</v>
      </c>
      <c r="CW164" s="40">
        <f>CW159/CW15</f>
        <v>0</v>
      </c>
      <c r="CX164" s="40">
        <f>CX159/CX15</f>
        <v>0</v>
      </c>
      <c r="CY164" s="40">
        <f>CY159/CY15</f>
        <v>0</v>
      </c>
    </row>
    <row r="165" hidden="1" outlineLevel="1">
      <c r="C165" s="3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  <c r="CU165" s="3" t="n"/>
      <c r="CV165" s="3" t="n"/>
      <c r="CW165" s="3" t="n"/>
      <c r="CX165" s="3" t="n"/>
      <c r="CY165" s="3" t="n"/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collapsed="1">
      <c r="C167" s="26" t="inlineStr">
        <is>
          <t>Right-of-use-assets</t>
        </is>
      </c>
      <c r="D167" s="25">
        <f>INDEX('Inputs (2)'!$D$23:$AL$23,MATCH(D$7,'Inputs (2)'!$D$2:$AL$2,0))</f>
        <v>0</v>
      </c>
      <c r="E167" s="25">
        <f>INDEX('Inputs (2)'!$D$23:$AL$23,MATCH(E$7,'Inputs (2)'!$D$2:$AL$2,0))</f>
        <v>0</v>
      </c>
      <c r="F167" s="25">
        <f>INDEX('Inputs (2)'!$D$23:$AL$23,MATCH(F$7,'Inputs (2)'!$D$2:$AL$2,0))</f>
        <v>0</v>
      </c>
      <c r="G167" s="25">
        <f>INDEX('Inputs (2)'!$D$23:$AL$23,MATCH(G$7,'Inputs (2)'!$D$2:$AL$2,0))</f>
        <v>0</v>
      </c>
      <c r="H167" s="3">
        <f>G167</f>
        <v>0</v>
      </c>
      <c r="I167" s="25">
        <f>INDEX('Inputs (2)'!$D$23:$AL$23,MATCH(I$7,'Inputs (2)'!$D$2:$AL$2,0))</f>
        <v>0</v>
      </c>
      <c r="J167" s="25">
        <f>INDEX('Inputs (2)'!$D$23:$AL$23,MATCH(J$7,'Inputs (2)'!$D$2:$AL$2,0))</f>
        <v>0</v>
      </c>
      <c r="K167" s="25">
        <f>INDEX('Inputs (2)'!$D$23:$AL$23,MATCH(K$7,'Inputs (2)'!$D$2:$AL$2,0))</f>
        <v>0</v>
      </c>
      <c r="L167" s="25">
        <f>INDEX('Inputs (2)'!$D$23:$AL$23,MATCH(L$7,'Inputs (2)'!$D$2:$AL$2,0))</f>
        <v>0</v>
      </c>
      <c r="M167" s="3">
        <f>L167</f>
        <v>0</v>
      </c>
      <c r="N167" s="25">
        <f>INDEX('Inputs (2)'!$D$23:$AL$23,MATCH(N$7,'Inputs (2)'!$D$2:$AL$2,0))</f>
        <v>0</v>
      </c>
      <c r="O167" s="25">
        <f>INDEX('Inputs (2)'!$D$23:$AL$23,MATCH(O$7,'Inputs (2)'!$D$2:$AL$2,0))</f>
        <v>0</v>
      </c>
      <c r="P167" s="25">
        <f>INDEX('Inputs (2)'!$D$23:$AL$23,MATCH(P$7,'Inputs (2)'!$D$2:$AL$2,0))</f>
        <v>0</v>
      </c>
      <c r="Q167" s="25">
        <f>INDEX('Inputs (2)'!$D$23:$AL$23,MATCH(Q$7,'Inputs (2)'!$D$2:$AL$2,0))</f>
        <v>0</v>
      </c>
      <c r="R167" s="3">
        <f>Q167</f>
        <v>0</v>
      </c>
      <c r="S167" s="25">
        <f>INDEX('Inputs (2)'!$D$23:$AL$23,MATCH(S$7,'Inputs (2)'!$D$2:$AL$2,0))</f>
        <v>0</v>
      </c>
      <c r="T167" s="25">
        <f>INDEX('Inputs (2)'!$D$23:$AL$23,MATCH(T$7,'Inputs (2)'!$D$2:$AL$2,0))</f>
        <v>0</v>
      </c>
      <c r="U167" s="25">
        <f>INDEX('Inputs (2)'!$D$23:$AL$23,MATCH(U$7,'Inputs (2)'!$D$2:$AL$2,0))</f>
        <v>0</v>
      </c>
      <c r="V167" s="25">
        <f>INDEX('Inputs (2)'!$D$23:$AL$23,MATCH(V$7,'Inputs (2)'!$D$2:$AL$2,0))</f>
        <v>0</v>
      </c>
      <c r="W167" s="3">
        <f>V167</f>
        <v>0</v>
      </c>
      <c r="X167" s="25">
        <f>INDEX('Inputs (2)'!$D$23:$AL$23,MATCH(X$7,'Inputs (2)'!$D$2:$AL$2,0))</f>
        <v>0</v>
      </c>
      <c r="Y167" s="25">
        <f>INDEX('Inputs (2)'!$D$23:$AL$23,MATCH(Y$7,'Inputs (2)'!$D$2:$AL$2,0))</f>
        <v>0</v>
      </c>
      <c r="Z167" s="25">
        <f>INDEX('Inputs (2)'!$D$23:$AL$23,MATCH(Z$7,'Inputs (2)'!$D$2:$AL$2,0))</f>
        <v>0</v>
      </c>
      <c r="AA167" s="25">
        <f>INDEX('Inputs (2)'!$D$23:$AL$23,MATCH(AA$7,'Inputs (2)'!$D$2:$AL$2,0))</f>
        <v>0</v>
      </c>
      <c r="AB167" s="3">
        <f>AA167</f>
        <v>0</v>
      </c>
      <c r="AC167" s="25">
        <f>INDEX('Inputs (2)'!$D$23:$AL$23,MATCH(AC$7,'Inputs (2)'!$D$2:$AL$2,0))</f>
        <v>0</v>
      </c>
      <c r="AD167" s="25">
        <f>INDEX('Inputs (2)'!$D$23:$AL$23,MATCH(AD$7,'Inputs (2)'!$D$2:$AL$2,0))</f>
        <v>0</v>
      </c>
      <c r="AE167" s="25">
        <f>INDEX('Inputs (2)'!$D$23:$AL$23,MATCH(AE$7,'Inputs (2)'!$D$2:$AL$2,0))</f>
        <v>0</v>
      </c>
      <c r="AF167" s="25">
        <f>INDEX('Inputs (2)'!$D$23:$AL$23,MATCH(AF$7,'Inputs (2)'!$D$2:$AL$2,0))</f>
        <v>0</v>
      </c>
      <c r="AG167" s="3">
        <f>AF167</f>
        <v>0</v>
      </c>
      <c r="AH167" s="3">
        <f>INDEX('Inputs (2)'!$D$23:$AL$23,MATCH(AH$7,'Inputs (2)'!$D$2:$AL$2,0))</f>
        <v>0</v>
      </c>
      <c r="AI167" s="3">
        <f>INDEX('Inputs (2)'!$D$23:$AL$23,MATCH(AI$7,'Inputs (2)'!$D$2:$AL$2,0))</f>
        <v>0</v>
      </c>
      <c r="AJ167" s="3">
        <f>AI167</f>
        <v>0</v>
      </c>
      <c r="AK167" s="3">
        <f>AJ167</f>
        <v>0</v>
      </c>
      <c r="AL167" s="3">
        <f>AK167</f>
        <v>0</v>
      </c>
      <c r="AM167" s="3">
        <f>AL167</f>
        <v>0</v>
      </c>
      <c r="AN167" s="3">
        <f>AM167</f>
        <v>0</v>
      </c>
      <c r="AO167" s="3">
        <f>AN167</f>
        <v>0</v>
      </c>
      <c r="AP167" s="3">
        <f>AO167</f>
        <v>0</v>
      </c>
      <c r="AQ167" s="3">
        <f>AP167</f>
        <v>0</v>
      </c>
      <c r="AR167" s="3">
        <f>AQ167</f>
        <v>0</v>
      </c>
      <c r="AS167" s="3">
        <f>AR167</f>
        <v>0</v>
      </c>
      <c r="AT167" s="3">
        <f>AS167</f>
        <v>0</v>
      </c>
      <c r="AU167" s="3">
        <f>AT167</f>
        <v>0</v>
      </c>
      <c r="AV167" s="3">
        <f>AU167</f>
        <v>0</v>
      </c>
      <c r="AW167" s="3">
        <f>AV167</f>
        <v>0</v>
      </c>
      <c r="AX167" s="3">
        <f>AW167</f>
        <v>0</v>
      </c>
      <c r="AY167" s="3">
        <f>AX167</f>
        <v>0</v>
      </c>
      <c r="AZ167" s="3">
        <f>AY167</f>
        <v>0</v>
      </c>
      <c r="BA167" s="3">
        <f>AZ167</f>
        <v>0</v>
      </c>
      <c r="BB167" s="3">
        <f>BA167</f>
        <v>0</v>
      </c>
      <c r="BC167" s="3">
        <f>BB167</f>
        <v>0</v>
      </c>
      <c r="BD167" s="3">
        <f>BC167</f>
        <v>0</v>
      </c>
      <c r="BE167" s="3">
        <f>BD167</f>
        <v>0</v>
      </c>
      <c r="BF167" s="3">
        <f>BE167</f>
        <v>0</v>
      </c>
      <c r="BG167" s="3">
        <f>BF167</f>
        <v>0</v>
      </c>
      <c r="BH167" s="3">
        <f>BG167</f>
        <v>0</v>
      </c>
      <c r="BI167" s="3">
        <f>BH167</f>
        <v>0</v>
      </c>
      <c r="BJ167" s="3">
        <f>BI167</f>
        <v>0</v>
      </c>
      <c r="BK167" s="3">
        <f>BJ167</f>
        <v>0</v>
      </c>
      <c r="BL167" s="3">
        <f>BK167</f>
        <v>0</v>
      </c>
      <c r="BM167" s="3">
        <f>BL167</f>
        <v>0</v>
      </c>
      <c r="BN167" s="3">
        <f>BM167</f>
        <v>0</v>
      </c>
      <c r="BO167" s="3">
        <f>BN167</f>
        <v>0</v>
      </c>
      <c r="BP167" s="3">
        <f>BO167</f>
        <v>0</v>
      </c>
      <c r="BQ167" s="3">
        <f>BP167</f>
        <v>0</v>
      </c>
      <c r="BR167" s="3">
        <f>BQ167</f>
        <v>0</v>
      </c>
      <c r="BS167" s="3">
        <f>BR167</f>
        <v>0</v>
      </c>
      <c r="BT167" s="3">
        <f>BS167</f>
        <v>0</v>
      </c>
      <c r="BU167" s="3">
        <f>BT167</f>
        <v>0</v>
      </c>
      <c r="BV167" s="3">
        <f>BU167</f>
        <v>0</v>
      </c>
      <c r="BW167" s="3">
        <f>BV167</f>
        <v>0</v>
      </c>
      <c r="BX167" s="3">
        <f>BW167</f>
        <v>0</v>
      </c>
      <c r="BY167" s="3">
        <f>BX167</f>
        <v>0</v>
      </c>
      <c r="BZ167" s="3">
        <f>BY167</f>
        <v>0</v>
      </c>
      <c r="CA167" s="3">
        <f>BZ167</f>
        <v>0</v>
      </c>
      <c r="CB167" s="3">
        <f>CA167</f>
        <v>0</v>
      </c>
      <c r="CC167" s="3">
        <f>CB167</f>
        <v>0</v>
      </c>
      <c r="CD167" s="3">
        <f>CC167</f>
        <v>0</v>
      </c>
      <c r="CE167" s="3">
        <f>CD167</f>
        <v>0</v>
      </c>
      <c r="CF167" s="3">
        <f>CE167</f>
        <v>0</v>
      </c>
      <c r="CG167" s="3">
        <f>CF167</f>
        <v>0</v>
      </c>
      <c r="CH167" s="3">
        <f>CG167</f>
        <v>0</v>
      </c>
      <c r="CI167" s="3">
        <f>CH167</f>
        <v>0</v>
      </c>
      <c r="CJ167" s="3">
        <f>CI167</f>
        <v>0</v>
      </c>
      <c r="CK167" s="3">
        <f>CJ167</f>
        <v>0</v>
      </c>
      <c r="CL167" s="3">
        <f>CK167</f>
        <v>0</v>
      </c>
      <c r="CM167" s="3">
        <f>CL167</f>
        <v>0</v>
      </c>
      <c r="CN167" s="3">
        <f>CM167</f>
        <v>0</v>
      </c>
      <c r="CO167" s="3">
        <f>CN167</f>
        <v>0</v>
      </c>
      <c r="CP167" s="3">
        <f>CO167</f>
        <v>0</v>
      </c>
      <c r="CQ167" s="3">
        <f>CP167</f>
        <v>0</v>
      </c>
      <c r="CR167" s="3">
        <f>CQ167</f>
        <v>0</v>
      </c>
      <c r="CS167" s="3">
        <f>CR167</f>
        <v>0</v>
      </c>
      <c r="CT167" s="3">
        <f>CS167</f>
        <v>0</v>
      </c>
      <c r="CU167" s="3">
        <f>CT167</f>
        <v>0</v>
      </c>
      <c r="CV167" s="3">
        <f>CU167</f>
        <v>0</v>
      </c>
      <c r="CW167" s="3">
        <f>CV167</f>
        <v>0</v>
      </c>
      <c r="CX167" s="3">
        <f>CW167</f>
        <v>0</v>
      </c>
      <c r="CY167" s="3">
        <f>CX167</f>
        <v>0</v>
      </c>
    </row>
    <row r="168" hidden="1" outlineLevel="1">
      <c r="C168" s="38" t="inlineStr">
        <is>
          <t>%(Var.)</t>
        </is>
      </c>
      <c r="D168" s="3" t="n"/>
      <c r="E168" s="47">
        <f>IFERROR((E167-D167)/D167,0)</f>
        <v>0</v>
      </c>
      <c r="F168" s="47">
        <f>IFERROR((F167-E167)/E167,0)</f>
        <v>0</v>
      </c>
      <c r="G168" s="47">
        <f>IFERROR((G167-F167)/F167,0)</f>
        <v>0</v>
      </c>
      <c r="H168" s="3" t="n"/>
      <c r="I168" s="47">
        <f>IFERROR((I167-H167)/H167,0)</f>
        <v>0</v>
      </c>
      <c r="J168" s="47">
        <f>IFERROR((J167-I167)/I167,0)</f>
        <v>0</v>
      </c>
      <c r="K168" s="47">
        <f>IFERROR((K167-J167)/J167,0)</f>
        <v>0</v>
      </c>
      <c r="L168" s="47">
        <f>IFERROR((L167-K167)/K167,0)</f>
        <v>0</v>
      </c>
      <c r="M168" s="3" t="n"/>
      <c r="N168" s="47">
        <f>IFERROR((N167-M167)/M167,0)</f>
        <v>0</v>
      </c>
      <c r="O168" s="47">
        <f>IFERROR((O167-N167)/N167,0)</f>
        <v>0</v>
      </c>
      <c r="P168" s="47">
        <f>IFERROR((P167-O167)/O167,0)</f>
        <v>0</v>
      </c>
      <c r="Q168" s="47">
        <f>IFERROR((Q167-P167)/P167,0)</f>
        <v>0</v>
      </c>
      <c r="R168" s="3" t="n"/>
      <c r="S168" s="47">
        <f>IFERROR((S167-R167)/R167,0)</f>
        <v>0</v>
      </c>
      <c r="T168" s="47">
        <f>IFERROR((T167-S167)/S167,0)</f>
        <v>0</v>
      </c>
      <c r="U168" s="47">
        <f>IFERROR((U167-T167)/T167,0)</f>
        <v>0</v>
      </c>
      <c r="V168" s="47">
        <f>IFERROR((V167-U167)/U167,0)</f>
        <v>0</v>
      </c>
      <c r="W168" s="3" t="n"/>
      <c r="X168" s="47">
        <f>IFERROR((X167-W167)/W167,0)</f>
        <v>0</v>
      </c>
      <c r="Y168" s="47">
        <f>IFERROR((Y167-X167)/X167,0)</f>
        <v>0</v>
      </c>
      <c r="Z168" s="47">
        <f>IFERROR((Z167-Y167)/Y167,0)</f>
        <v>0</v>
      </c>
      <c r="AA168" s="47">
        <f>IFERROR((AA167-Z167)/Z167,0)</f>
        <v>0</v>
      </c>
      <c r="AB168" s="3" t="n"/>
      <c r="AC168" s="47">
        <f>IFERROR((AC167-AB167)/AB167,0)</f>
        <v>0</v>
      </c>
      <c r="AD168" s="47">
        <f>IFERROR((AD167-AC167)/AC167,0)</f>
        <v>0</v>
      </c>
      <c r="AE168" s="47">
        <f>IFERROR((AE167-AD167)/AD167,0)</f>
        <v>0</v>
      </c>
      <c r="AF168" s="218">
        <f>IFERROR((AF167-AE167)/AE167,0)</f>
        <v>0</v>
      </c>
      <c r="AG168" s="3" t="n"/>
      <c r="AH168" s="218">
        <f>IFERROR((AH167-AG167)/AG167,0)</f>
        <v>0</v>
      </c>
      <c r="AI168" s="218">
        <f>IFERROR((AI167-AH167)/AH167,0)</f>
        <v>0</v>
      </c>
      <c r="AJ168" s="218" t="n"/>
      <c r="AK168" s="218" t="n"/>
      <c r="AL168" s="3" t="n"/>
      <c r="AM168" s="218" t="n"/>
      <c r="AN168" s="218" t="n"/>
      <c r="AO168" s="218" t="n"/>
      <c r="AP168" s="218" t="n"/>
      <c r="AQ168" s="3" t="n"/>
      <c r="AR168" s="218" t="n"/>
      <c r="AS168" s="218" t="n"/>
      <c r="AT168" s="218" t="n"/>
      <c r="AU168" s="218" t="n"/>
      <c r="AV168" s="3" t="n"/>
      <c r="AW168" s="218" t="n"/>
      <c r="AX168" s="218" t="n"/>
      <c r="AY168" s="218" t="n"/>
      <c r="AZ168" s="218" t="n"/>
      <c r="BA168" s="3" t="n"/>
      <c r="BB168" s="218" t="n"/>
      <c r="BC168" s="218" t="n"/>
      <c r="BD168" s="218" t="n"/>
      <c r="BE168" s="218" t="n"/>
      <c r="BF168" s="3" t="n"/>
      <c r="BG168" s="218" t="n"/>
      <c r="BH168" s="218" t="n"/>
      <c r="BI168" s="218" t="n"/>
      <c r="BJ168" s="218" t="n"/>
      <c r="BK168" s="3" t="n"/>
      <c r="BL168" s="218" t="n"/>
      <c r="BM168" s="218" t="n"/>
      <c r="BN168" s="218" t="n"/>
      <c r="BO168" s="218" t="n"/>
      <c r="BP168" s="3" t="n"/>
      <c r="BQ168" s="218" t="n"/>
      <c r="BR168" s="218" t="n"/>
      <c r="BS168" s="218" t="n"/>
      <c r="BT168" s="218" t="n"/>
      <c r="BU168" s="3" t="n"/>
      <c r="BV168" s="218" t="n"/>
      <c r="BW168" s="218" t="n"/>
      <c r="BX168" s="218" t="n"/>
      <c r="BY168" s="218" t="n"/>
      <c r="BZ168" s="3" t="n"/>
      <c r="CA168" s="218" t="n"/>
      <c r="CB168" s="218" t="n"/>
      <c r="CC168" s="218" t="n"/>
      <c r="CD168" s="218" t="n"/>
      <c r="CE168" s="3" t="n"/>
      <c r="CF168" s="218" t="n"/>
      <c r="CG168" s="218" t="n"/>
      <c r="CH168" s="218" t="n"/>
      <c r="CI168" s="218" t="n"/>
      <c r="CJ168" s="3" t="n"/>
      <c r="CK168" s="218" t="n"/>
      <c r="CL168" s="218" t="n"/>
      <c r="CM168" s="218" t="n"/>
      <c r="CN168" s="218" t="n"/>
      <c r="CO168" s="3" t="n"/>
      <c r="CP168" s="218" t="n"/>
      <c r="CQ168" s="218" t="n"/>
      <c r="CR168" s="218" t="n"/>
      <c r="CS168" s="218" t="n"/>
      <c r="CT168" s="3" t="n"/>
      <c r="CU168" s="218" t="n"/>
      <c r="CV168" s="218" t="n"/>
      <c r="CW168" s="218" t="n"/>
      <c r="CX168" s="218" t="n"/>
      <c r="CY168" s="3" t="n"/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collapsed="1">
      <c r="C170" s="26" t="inlineStr">
        <is>
          <t>Goodwill</t>
        </is>
      </c>
      <c r="D170" s="25">
        <f>INDEX('Inputs (2)'!$D$24:$AL$24,MATCH(D$7,'Inputs (2)'!$D$2:$AL$2,0))</f>
        <v>10565</v>
      </c>
      <c r="E170" s="25">
        <f>INDEX('Inputs (2)'!$D$24:$AL$24,MATCH(E$7,'Inputs (2)'!$D$2:$AL$2,0))</f>
        <v>10579</v>
      </c>
      <c r="F170" s="25">
        <f>INDEX('Inputs (2)'!$D$24:$AL$24,MATCH(F$7,'Inputs (2)'!$D$2:$AL$2,0))</f>
        <v>10589</v>
      </c>
      <c r="G170" s="25">
        <f>INDEX('Inputs (2)'!$D$24:$AL$24,MATCH(G$7,'Inputs (2)'!$D$2:$AL$2,0))</f>
        <v>10806</v>
      </c>
      <c r="H170" s="3">
        <f>G170</f>
        <v>10806</v>
      </c>
      <c r="I170" s="25">
        <f>INDEX('Inputs (2)'!$D$24:$AL$24,MATCH(I$7,'Inputs (2)'!$D$2:$AL$2,0))</f>
        <v>10799</v>
      </c>
      <c r="J170" s="25">
        <f>INDEX('Inputs (2)'!$D$24:$AL$24,MATCH(J$7,'Inputs (2)'!$D$2:$AL$2,0))</f>
        <v>10810</v>
      </c>
      <c r="K170" s="25">
        <f>INDEX('Inputs (2)'!$D$24:$AL$24,MATCH(K$7,'Inputs (2)'!$D$2:$AL$2,0))</f>
        <v>10815</v>
      </c>
      <c r="L170" s="25">
        <f>INDEX('Inputs (2)'!$D$24:$AL$24,MATCH(L$7,'Inputs (2)'!$D$2:$AL$2,0))</f>
        <v>10813</v>
      </c>
      <c r="M170" s="3">
        <f>L170</f>
        <v>10813</v>
      </c>
      <c r="N170" s="25">
        <f>INDEX('Inputs (2)'!$D$24:$AL$24,MATCH(N$7,'Inputs (2)'!$D$2:$AL$2,0))</f>
        <v>10811</v>
      </c>
      <c r="O170" s="25">
        <f>INDEX('Inputs (2)'!$D$24:$AL$24,MATCH(O$7,'Inputs (2)'!$D$2:$AL$2,0))</f>
        <v>10794</v>
      </c>
      <c r="P170" s="25">
        <f>INDEX('Inputs (2)'!$D$24:$AL$24,MATCH(P$7,'Inputs (2)'!$D$2:$AL$2,0))</f>
        <v>10764</v>
      </c>
      <c r="Q170" s="25">
        <f>INDEX('Inputs (2)'!$D$24:$AL$24,MATCH(Q$7,'Inputs (2)'!$D$2:$AL$2,0))</f>
        <v>10780</v>
      </c>
      <c r="R170" s="3">
        <f>Q170</f>
        <v>10780</v>
      </c>
      <c r="S170" s="25">
        <f>INDEX('Inputs (2)'!$D$24:$AL$24,MATCH(S$7,'Inputs (2)'!$D$2:$AL$2,0))</f>
        <v>10776</v>
      </c>
      <c r="T170" s="25">
        <f>INDEX('Inputs (2)'!$D$24:$AL$24,MATCH(T$7,'Inputs (2)'!$D$2:$AL$2,0))</f>
        <v>10795</v>
      </c>
      <c r="U170" s="25">
        <f>INDEX('Inputs (2)'!$D$24:$AL$24,MATCH(U$7,'Inputs (2)'!$D$2:$AL$2,0))</f>
        <v>10782</v>
      </c>
      <c r="V170" s="25">
        <f>INDEX('Inputs (2)'!$D$24:$AL$24,MATCH(V$7,'Inputs (2)'!$D$2:$AL$2,0))</f>
        <v>10799</v>
      </c>
      <c r="W170" s="3">
        <f>V170</f>
        <v>10799</v>
      </c>
      <c r="X170" s="25">
        <f>INDEX('Inputs (2)'!$D$24:$AL$24,MATCH(X$7,'Inputs (2)'!$D$2:$AL$2,0))</f>
        <v>10789</v>
      </c>
      <c r="Y170" s="25">
        <f>INDEX('Inputs (2)'!$D$24:$AL$24,MATCH(Y$7,'Inputs (2)'!$D$2:$AL$2,0))</f>
        <v>10787</v>
      </c>
      <c r="Z170" s="25">
        <f>INDEX('Inputs (2)'!$D$24:$AL$24,MATCH(Z$7,'Inputs (2)'!$D$2:$AL$2,0))</f>
        <v>10800</v>
      </c>
      <c r="AA170" s="25">
        <f>INDEX('Inputs (2)'!$D$24:$AL$24,MATCH(AA$7,'Inputs (2)'!$D$2:$AL$2,0))</f>
        <v>11067</v>
      </c>
      <c r="AB170" s="3">
        <f>AA170</f>
        <v>11067</v>
      </c>
      <c r="AC170" s="25">
        <f>INDEX('Inputs (2)'!$D$24:$AL$24,MATCH(AC$7,'Inputs (2)'!$D$2:$AL$2,0))</f>
        <v>11076</v>
      </c>
      <c r="AD170" s="25">
        <f>INDEX('Inputs (2)'!$D$24:$AL$24,MATCH(AD$7,'Inputs (2)'!$D$2:$AL$2,0))</f>
        <v>11309</v>
      </c>
      <c r="AE170" s="25">
        <f>INDEX('Inputs (2)'!$D$24:$AL$24,MATCH(AE$7,'Inputs (2)'!$D$2:$AL$2,0))</f>
        <v>11313</v>
      </c>
      <c r="AF170" s="25">
        <f>INDEX('Inputs (2)'!$D$24:$AL$24,MATCH(AF$7,'Inputs (2)'!$D$2:$AL$2,0))</f>
        <v>11314</v>
      </c>
      <c r="AG170" s="3">
        <f>AF170</f>
        <v>11314</v>
      </c>
      <c r="AH170" s="3">
        <f>INDEX('Inputs (2)'!$D$24:$AL$24,MATCH(AH$7,'Inputs (2)'!$D$2:$AL$2,0))</f>
        <v>11306</v>
      </c>
      <c r="AI170" s="3">
        <f>INDEX('Inputs (2)'!$D$24:$AL$24,MATCH(AI$7,'Inputs (2)'!$D$2:$AL$2,0))</f>
        <v>11298</v>
      </c>
      <c r="AJ170" s="3">
        <f>AI170</f>
        <v>11298</v>
      </c>
      <c r="AK170" s="3">
        <f>AJ170</f>
        <v>11298</v>
      </c>
      <c r="AL170" s="3">
        <f>AK170</f>
        <v>11298</v>
      </c>
      <c r="AM170" s="3">
        <f>AL170</f>
        <v>11298</v>
      </c>
      <c r="AN170" s="3">
        <f>AM170</f>
        <v>11298</v>
      </c>
      <c r="AO170" s="3">
        <f>AN170</f>
        <v>11298</v>
      </c>
      <c r="AP170" s="3">
        <f>AO170</f>
        <v>11298</v>
      </c>
      <c r="AQ170" s="3">
        <f>AP170</f>
        <v>11298</v>
      </c>
      <c r="AR170" s="3">
        <f>AQ170</f>
        <v>11298</v>
      </c>
      <c r="AS170" s="3">
        <f>AR170</f>
        <v>11298</v>
      </c>
      <c r="AT170" s="3">
        <f>AS170</f>
        <v>11298</v>
      </c>
      <c r="AU170" s="3">
        <f>AT170</f>
        <v>11298</v>
      </c>
      <c r="AV170" s="3">
        <f>AU170</f>
        <v>11298</v>
      </c>
      <c r="AW170" s="3">
        <f>AV170</f>
        <v>11298</v>
      </c>
      <c r="AX170" s="3">
        <f>AW170</f>
        <v>11298</v>
      </c>
      <c r="AY170" s="3">
        <f>AX170</f>
        <v>11298</v>
      </c>
      <c r="AZ170" s="3">
        <f>AY170</f>
        <v>11298</v>
      </c>
      <c r="BA170" s="3">
        <f>AZ170</f>
        <v>11298</v>
      </c>
      <c r="BB170" s="3">
        <f>BA170</f>
        <v>11298</v>
      </c>
      <c r="BC170" s="3">
        <f>BB170</f>
        <v>11298</v>
      </c>
      <c r="BD170" s="3">
        <f>BC170</f>
        <v>11298</v>
      </c>
      <c r="BE170" s="3">
        <f>BD170</f>
        <v>11298</v>
      </c>
      <c r="BF170" s="3">
        <f>BE170</f>
        <v>11298</v>
      </c>
      <c r="BG170" s="3">
        <f>BF170</f>
        <v>11298</v>
      </c>
      <c r="BH170" s="3">
        <f>BG170</f>
        <v>11298</v>
      </c>
      <c r="BI170" s="3">
        <f>BH170</f>
        <v>11298</v>
      </c>
      <c r="BJ170" s="3">
        <f>BI170</f>
        <v>11298</v>
      </c>
      <c r="BK170" s="3">
        <f>BJ170</f>
        <v>11298</v>
      </c>
      <c r="BL170" s="3">
        <f>BK170</f>
        <v>11298</v>
      </c>
      <c r="BM170" s="3">
        <f>BL170</f>
        <v>11298</v>
      </c>
      <c r="BN170" s="3">
        <f>BM170</f>
        <v>11298</v>
      </c>
      <c r="BO170" s="3">
        <f>BN170</f>
        <v>11298</v>
      </c>
      <c r="BP170" s="3">
        <f>BO170</f>
        <v>11298</v>
      </c>
      <c r="BQ170" s="3">
        <f>BP170</f>
        <v>11298</v>
      </c>
      <c r="BR170" s="3">
        <f>BQ170</f>
        <v>11298</v>
      </c>
      <c r="BS170" s="3">
        <f>BR170</f>
        <v>11298</v>
      </c>
      <c r="BT170" s="3">
        <f>BS170</f>
        <v>11298</v>
      </c>
      <c r="BU170" s="3">
        <f>BT170</f>
        <v>11298</v>
      </c>
      <c r="BV170" s="3">
        <f>BU170</f>
        <v>11298</v>
      </c>
      <c r="BW170" s="3">
        <f>BV170</f>
        <v>11298</v>
      </c>
      <c r="BX170" s="3">
        <f>BW170</f>
        <v>11298</v>
      </c>
      <c r="BY170" s="3">
        <f>BX170</f>
        <v>11298</v>
      </c>
      <c r="BZ170" s="3">
        <f>BY170</f>
        <v>11298</v>
      </c>
      <c r="CA170" s="3">
        <f>BZ170</f>
        <v>11298</v>
      </c>
      <c r="CB170" s="3">
        <f>CA170</f>
        <v>11298</v>
      </c>
      <c r="CC170" s="3">
        <f>CB170</f>
        <v>11298</v>
      </c>
      <c r="CD170" s="3">
        <f>CC170</f>
        <v>11298</v>
      </c>
      <c r="CE170" s="3">
        <f>CD170</f>
        <v>11298</v>
      </c>
      <c r="CF170" s="3">
        <f>CE170</f>
        <v>11298</v>
      </c>
      <c r="CG170" s="3">
        <f>CF170</f>
        <v>11298</v>
      </c>
      <c r="CH170" s="3">
        <f>CG170</f>
        <v>11298</v>
      </c>
      <c r="CI170" s="3">
        <f>CH170</f>
        <v>11298</v>
      </c>
      <c r="CJ170" s="3">
        <f>CI170</f>
        <v>11298</v>
      </c>
      <c r="CK170" s="3">
        <f>CJ170</f>
        <v>11298</v>
      </c>
      <c r="CL170" s="3">
        <f>CK170</f>
        <v>11298</v>
      </c>
      <c r="CM170" s="3">
        <f>CL170</f>
        <v>11298</v>
      </c>
      <c r="CN170" s="3">
        <f>CM170</f>
        <v>11298</v>
      </c>
      <c r="CO170" s="3">
        <f>CN170</f>
        <v>11298</v>
      </c>
      <c r="CP170" s="3">
        <f>CO170</f>
        <v>11298</v>
      </c>
      <c r="CQ170" s="3">
        <f>CP170</f>
        <v>11298</v>
      </c>
      <c r="CR170" s="3">
        <f>CQ170</f>
        <v>11298</v>
      </c>
      <c r="CS170" s="3">
        <f>CR170</f>
        <v>11298</v>
      </c>
      <c r="CT170" s="3">
        <f>CS170</f>
        <v>11298</v>
      </c>
      <c r="CU170" s="3">
        <f>CT170</f>
        <v>11298</v>
      </c>
      <c r="CV170" s="3">
        <f>CU170</f>
        <v>11298</v>
      </c>
      <c r="CW170" s="3">
        <f>CV170</f>
        <v>11298</v>
      </c>
      <c r="CX170" s="3">
        <f>CW170</f>
        <v>11298</v>
      </c>
      <c r="CY170" s="3">
        <f>CX170</f>
        <v>11298</v>
      </c>
    </row>
    <row r="171">
      <c r="C171" s="26" t="inlineStr">
        <is>
          <t>Intangibles</t>
        </is>
      </c>
      <c r="D171" s="25">
        <f>INDEX('Inputs (2)'!$D$25:$AL$25,MATCH(D$7,'Inputs (2)'!$D$2:$AL$2,0))</f>
        <v>3142</v>
      </c>
      <c r="E171" s="25">
        <f>INDEX('Inputs (2)'!$D$25:$AL$25,MATCH(E$7,'Inputs (2)'!$D$2:$AL$2,0))</f>
        <v>3077</v>
      </c>
      <c r="F171" s="25">
        <f>INDEX('Inputs (2)'!$D$25:$AL$25,MATCH(F$7,'Inputs (2)'!$D$2:$AL$2,0))</f>
        <v>3013</v>
      </c>
      <c r="G171" s="25">
        <f>INDEX('Inputs (2)'!$D$25:$AL$25,MATCH(G$7,'Inputs (2)'!$D$2:$AL$2,0))</f>
        <v>3012</v>
      </c>
      <c r="H171" s="3">
        <f>G171</f>
        <v>3012</v>
      </c>
      <c r="I171" s="25">
        <f>INDEX('Inputs (2)'!$D$25:$AL$25,MATCH(I$7,'Inputs (2)'!$D$2:$AL$2,0))</f>
        <v>2930</v>
      </c>
      <c r="J171" s="25">
        <f>INDEX('Inputs (2)'!$D$25:$AL$25,MATCH(J$7,'Inputs (2)'!$D$2:$AL$2,0))</f>
        <v>2849</v>
      </c>
      <c r="K171" s="25">
        <f>INDEX('Inputs (2)'!$D$25:$AL$25,MATCH(K$7,'Inputs (2)'!$D$2:$AL$2,0))</f>
        <v>2768</v>
      </c>
      <c r="L171" s="25">
        <f>INDEX('Inputs (2)'!$D$25:$AL$25,MATCH(L$7,'Inputs (2)'!$D$2:$AL$2,0))</f>
        <v>2706</v>
      </c>
      <c r="M171" s="3">
        <f>L171</f>
        <v>2706</v>
      </c>
      <c r="N171" s="25">
        <f>INDEX('Inputs (2)'!$D$25:$AL$25,MATCH(N$7,'Inputs (2)'!$D$2:$AL$2,0))</f>
        <v>2644</v>
      </c>
      <c r="O171" s="25">
        <f>INDEX('Inputs (2)'!$D$25:$AL$25,MATCH(O$7,'Inputs (2)'!$D$2:$AL$2,0))</f>
        <v>2584</v>
      </c>
      <c r="P171" s="25">
        <f>INDEX('Inputs (2)'!$D$25:$AL$25,MATCH(P$7,'Inputs (2)'!$D$2:$AL$2,0))</f>
        <v>2521</v>
      </c>
      <c r="Q171" s="25">
        <f>INDEX('Inputs (2)'!$D$25:$AL$25,MATCH(Q$7,'Inputs (2)'!$D$2:$AL$2,0))</f>
        <v>2459</v>
      </c>
      <c r="R171" s="3">
        <f>Q171</f>
        <v>2459</v>
      </c>
      <c r="S171" s="25">
        <f>INDEX('Inputs (2)'!$D$25:$AL$25,MATCH(S$7,'Inputs (2)'!$D$2:$AL$2,0))</f>
        <v>2397</v>
      </c>
      <c r="T171" s="25">
        <f>INDEX('Inputs (2)'!$D$25:$AL$25,MATCH(T$7,'Inputs (2)'!$D$2:$AL$2,0))</f>
        <v>2336</v>
      </c>
      <c r="U171" s="25">
        <f>INDEX('Inputs (2)'!$D$25:$AL$25,MATCH(U$7,'Inputs (2)'!$D$2:$AL$2,0))</f>
        <v>2274</v>
      </c>
      <c r="V171" s="25">
        <f>INDEX('Inputs (2)'!$D$25:$AL$25,MATCH(V$7,'Inputs (2)'!$D$2:$AL$2,0))</f>
        <v>2212</v>
      </c>
      <c r="W171" s="3">
        <f>V171</f>
        <v>2212</v>
      </c>
      <c r="X171" s="25">
        <f>INDEX('Inputs (2)'!$D$25:$AL$25,MATCH(X$7,'Inputs (2)'!$D$2:$AL$2,0))</f>
        <v>2151</v>
      </c>
      <c r="Y171" s="25">
        <f>INDEX('Inputs (2)'!$D$25:$AL$25,MATCH(Y$7,'Inputs (2)'!$D$2:$AL$2,0))</f>
        <v>2040</v>
      </c>
      <c r="Z171" s="25">
        <f>INDEX('Inputs (2)'!$D$25:$AL$25,MATCH(Z$7,'Inputs (2)'!$D$2:$AL$2,0))</f>
        <v>1979</v>
      </c>
      <c r="AA171" s="25">
        <f>INDEX('Inputs (2)'!$D$25:$AL$25,MATCH(AA$7,'Inputs (2)'!$D$2:$AL$2,0))</f>
        <v>2015</v>
      </c>
      <c r="AB171" s="3">
        <f>AA171</f>
        <v>2015</v>
      </c>
      <c r="AC171" s="25">
        <f>INDEX('Inputs (2)'!$D$25:$AL$25,MATCH(AC$7,'Inputs (2)'!$D$2:$AL$2,0))</f>
        <v>1952</v>
      </c>
      <c r="AD171" s="25">
        <f>INDEX('Inputs (2)'!$D$25:$AL$25,MATCH(AD$7,'Inputs (2)'!$D$2:$AL$2,0))</f>
        <v>2013</v>
      </c>
      <c r="AE171" s="25">
        <f>INDEX('Inputs (2)'!$D$25:$AL$25,MATCH(AE$7,'Inputs (2)'!$D$2:$AL$2,0))</f>
        <v>1943</v>
      </c>
      <c r="AF171" s="25">
        <f>INDEX('Inputs (2)'!$D$25:$AL$25,MATCH(AF$7,'Inputs (2)'!$D$2:$AL$2,0))</f>
        <v>1887</v>
      </c>
      <c r="AG171" s="3">
        <f>AF171</f>
        <v>1887</v>
      </c>
      <c r="AH171" s="3">
        <f>INDEX('Inputs (2)'!$D$25:$AL$25,MATCH(AH$7,'Inputs (2)'!$D$2:$AL$2,0))</f>
        <v>1837</v>
      </c>
      <c r="AI171" s="3">
        <f>INDEX('Inputs (2)'!$D$25:$AL$25,MATCH(AI$7,'Inputs (2)'!$D$2:$AL$2,0))</f>
        <v>1787</v>
      </c>
      <c r="AJ171" s="3" t="n"/>
      <c r="AK171" s="3" t="n"/>
      <c r="AL171" s="3">
        <f>AK171</f>
        <v>0</v>
      </c>
      <c r="AN171" s="3" t="n"/>
      <c r="AO171" s="3" t="n"/>
      <c r="AP171" s="3" t="n"/>
      <c r="AQ171" s="3">
        <f>AP171</f>
        <v>0</v>
      </c>
      <c r="AS171" s="3" t="n"/>
      <c r="AT171" s="3" t="n"/>
      <c r="AU171" s="3" t="n"/>
      <c r="AV171" s="3">
        <f>AU171</f>
        <v>0</v>
      </c>
      <c r="AX171" s="3" t="n"/>
      <c r="AY171" s="3" t="n"/>
      <c r="AZ171" s="3" t="n"/>
      <c r="BA171" s="3">
        <f>AZ171</f>
        <v>0</v>
      </c>
      <c r="BC171" s="3" t="n"/>
      <c r="BD171" s="3" t="n"/>
      <c r="BE171" s="3" t="n"/>
      <c r="BF171" s="3">
        <f>BE171</f>
        <v>0</v>
      </c>
      <c r="BH171" s="3" t="n"/>
      <c r="BI171" s="3" t="n"/>
      <c r="BJ171" s="3" t="n"/>
      <c r="BK171" s="3">
        <f>BJ171</f>
        <v>0</v>
      </c>
      <c r="BM171" s="3" t="n"/>
      <c r="BN171" s="3" t="n"/>
      <c r="BO171" s="3" t="n"/>
      <c r="BP171" s="3">
        <f>BO171</f>
        <v>0</v>
      </c>
      <c r="BR171" s="3" t="n"/>
      <c r="BS171" s="3" t="n"/>
      <c r="BT171" s="3" t="n"/>
      <c r="BU171" s="3">
        <f>BT171</f>
        <v>0</v>
      </c>
      <c r="BW171" s="3" t="n"/>
      <c r="BX171" s="3" t="n"/>
      <c r="BY171" s="3" t="n"/>
      <c r="BZ171" s="3">
        <f>BY171</f>
        <v>0</v>
      </c>
      <c r="CB171" s="3" t="n"/>
      <c r="CC171" s="3" t="n"/>
      <c r="CD171" s="3" t="n"/>
      <c r="CE171" s="3">
        <f>CD171</f>
        <v>0</v>
      </c>
      <c r="CG171" s="3" t="n"/>
      <c r="CH171" s="3" t="n"/>
      <c r="CI171" s="3" t="n"/>
      <c r="CJ171" s="3">
        <f>CI171</f>
        <v>0</v>
      </c>
      <c r="CL171" s="3" t="n"/>
      <c r="CM171" s="3" t="n"/>
      <c r="CN171" s="3" t="n"/>
      <c r="CO171" s="3">
        <f>CN171</f>
        <v>0</v>
      </c>
      <c r="CQ171" s="3" t="n"/>
      <c r="CR171" s="3" t="n"/>
      <c r="CS171" s="3" t="n"/>
      <c r="CT171" s="3">
        <f>CS171</f>
        <v>0</v>
      </c>
      <c r="CV171" s="3" t="n"/>
      <c r="CW171" s="3" t="n"/>
      <c r="CX171" s="3" t="n"/>
      <c r="CY171" s="3">
        <f>CX171</f>
        <v>0</v>
      </c>
    </row>
    <row r="172" hidden="1" outlineLevel="1">
      <c r="C172" s="3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hidden="1" outlineLevel="1">
      <c r="C173" s="34" t="inlineStr">
        <is>
          <t>Purchase of intangible assets</t>
        </is>
      </c>
      <c r="D173" s="3" t="n"/>
      <c r="E173" s="3">
        <f>E171-D171-E75</f>
        <v>-65</v>
      </c>
      <c r="F173" s="3">
        <f>F171-E171-F75</f>
        <v>-64</v>
      </c>
      <c r="G173" s="3">
        <f>G171-F171-G75</f>
        <v>-1</v>
      </c>
      <c r="H173" s="3" t="n"/>
      <c r="I173" s="3">
        <f>I171-H171-I75</f>
        <v>-82</v>
      </c>
      <c r="J173" s="3">
        <f>J171-I171-J75</f>
        <v>-81</v>
      </c>
      <c r="K173" s="3">
        <f>K171-J171-K75</f>
        <v>-81</v>
      </c>
      <c r="L173" s="3">
        <f>L171-K171-L75</f>
        <v>-62</v>
      </c>
      <c r="M173" s="3" t="n"/>
      <c r="N173" s="3">
        <f>N171-M171-N75</f>
        <v>-62</v>
      </c>
      <c r="O173" s="3">
        <f>O171-N171-O75</f>
        <v>-60</v>
      </c>
      <c r="P173" s="3">
        <f>P171-O171-P75</f>
        <v>-63</v>
      </c>
      <c r="Q173" s="3">
        <f>Q171-P171-Q75</f>
        <v>-62</v>
      </c>
      <c r="R173" s="3" t="n"/>
      <c r="S173" s="3">
        <f>S171-R171-S75</f>
        <v>-62</v>
      </c>
      <c r="T173" s="3">
        <f>T171-S171-T75</f>
        <v>-61</v>
      </c>
      <c r="U173" s="3">
        <f>U171-T171-U75</f>
        <v>-62</v>
      </c>
      <c r="V173" s="3">
        <f>V171-U171-V75</f>
        <v>-62</v>
      </c>
      <c r="W173" s="3" t="n"/>
      <c r="X173" s="3">
        <f>X171-W171-X75</f>
        <v>-61</v>
      </c>
      <c r="Y173" s="3">
        <f>Y171-X171-Y75</f>
        <v>-111</v>
      </c>
      <c r="Z173" s="3">
        <f>Z171-Y171-Z75</f>
        <v>-61</v>
      </c>
      <c r="AA173" s="3">
        <f>AA171-Z171-AA75</f>
        <v>36</v>
      </c>
      <c r="AB173" s="3" t="n"/>
      <c r="AC173" s="3">
        <f>AC171-AB171-AC75</f>
        <v>-63</v>
      </c>
      <c r="AD173" s="3">
        <f>AD171-AC171-AD75</f>
        <v>61</v>
      </c>
      <c r="AE173" s="3">
        <f>AE171-AD171-AE75</f>
        <v>-70</v>
      </c>
      <c r="AF173" s="3" t="n"/>
      <c r="AG173" s="3" t="n"/>
      <c r="AH173" s="6">
        <f>AH171-AG171-AH75</f>
        <v>-50</v>
      </c>
      <c r="AI173" s="6">
        <f>AI171-AH171-AI75</f>
        <v>-50</v>
      </c>
      <c r="AJ173" s="6" t="n"/>
      <c r="AK173" s="6" t="n"/>
      <c r="AL173" s="3" t="n"/>
      <c r="AM173" s="6" t="n"/>
      <c r="AN173" s="6" t="n"/>
      <c r="AO173" s="6" t="n"/>
      <c r="AP173" s="6" t="n"/>
      <c r="AQ173" s="3" t="n"/>
      <c r="AR173" s="6" t="n"/>
      <c r="AS173" s="6" t="n"/>
      <c r="AT173" s="6" t="n"/>
      <c r="AU173" s="6" t="n"/>
      <c r="AV173" s="3" t="n"/>
      <c r="AW173" s="6" t="n"/>
      <c r="AX173" s="6" t="n"/>
      <c r="AY173" s="6" t="n"/>
      <c r="AZ173" s="6" t="n"/>
      <c r="BA173" s="3" t="n"/>
      <c r="BB173" s="6" t="n"/>
      <c r="BC173" s="6" t="n"/>
      <c r="BD173" s="6" t="n"/>
      <c r="BE173" s="6" t="n"/>
      <c r="BF173" s="3" t="n"/>
      <c r="BG173" s="6" t="n"/>
      <c r="BH173" s="6" t="n"/>
      <c r="BI173" s="6" t="n"/>
      <c r="BJ173" s="6" t="n"/>
      <c r="BK173" s="3" t="n"/>
      <c r="BL173" s="6" t="n"/>
      <c r="BM173" s="6" t="n"/>
      <c r="BN173" s="6" t="n"/>
      <c r="BO173" s="6" t="n"/>
      <c r="BP173" s="3" t="n"/>
      <c r="BQ173" s="6" t="n"/>
      <c r="BR173" s="6" t="n"/>
      <c r="BS173" s="6" t="n"/>
      <c r="BT173" s="6" t="n"/>
      <c r="BU173" s="3" t="n"/>
      <c r="BV173" s="6" t="n"/>
      <c r="BW173" s="6" t="n"/>
      <c r="BX173" s="6" t="n"/>
      <c r="BY173" s="6" t="n"/>
      <c r="BZ173" s="3" t="n"/>
      <c r="CA173" s="6" t="n"/>
      <c r="CB173" s="6" t="n"/>
      <c r="CC173" s="6" t="n"/>
      <c r="CD173" s="6" t="n"/>
      <c r="CE173" s="3" t="n"/>
      <c r="CF173" s="6" t="n"/>
      <c r="CG173" s="6" t="n"/>
      <c r="CH173" s="6" t="n"/>
      <c r="CI173" s="6" t="n"/>
      <c r="CJ173" s="3" t="n"/>
      <c r="CK173" s="6" t="n"/>
      <c r="CL173" s="6" t="n"/>
      <c r="CM173" s="6" t="n"/>
      <c r="CN173" s="6" t="n"/>
      <c r="CO173" s="3" t="n"/>
      <c r="CP173" s="6" t="n"/>
      <c r="CQ173" s="6" t="n"/>
      <c r="CR173" s="6" t="n"/>
      <c r="CS173" s="6" t="n"/>
      <c r="CT173" s="3" t="n"/>
      <c r="CU173" s="6" t="n"/>
      <c r="CV173" s="6" t="n"/>
      <c r="CW173" s="6" t="n"/>
      <c r="CX173" s="6" t="n"/>
      <c r="CY173" s="3" t="n"/>
    </row>
    <row r="174" hidden="1" outlineLevel="1">
      <c r="C174" s="34" t="inlineStr">
        <is>
          <t>Amortization (enter as -)</t>
        </is>
      </c>
      <c r="D174" s="3" t="n"/>
      <c r="E174" s="3">
        <f>E74</f>
        <v>0</v>
      </c>
      <c r="F174" s="3">
        <f>F74</f>
        <v>0</v>
      </c>
      <c r="G174" s="3">
        <f>G74</f>
        <v>0</v>
      </c>
      <c r="H174" s="3" t="n"/>
      <c r="I174" s="3">
        <f>I74</f>
        <v>0</v>
      </c>
      <c r="J174" s="3">
        <f>J74</f>
        <v>0</v>
      </c>
      <c r="K174" s="3">
        <f>K74</f>
        <v>0</v>
      </c>
      <c r="L174" s="3">
        <f>L74</f>
        <v>0</v>
      </c>
      <c r="M174" s="3" t="n"/>
      <c r="N174" s="3">
        <f>N74</f>
        <v>0</v>
      </c>
      <c r="O174" s="3">
        <f>O74</f>
        <v>0</v>
      </c>
      <c r="P174" s="3">
        <f>P74</f>
        <v>0</v>
      </c>
      <c r="Q174" s="3">
        <f>Q74</f>
        <v>0</v>
      </c>
      <c r="R174" s="3" t="n"/>
      <c r="S174" s="3">
        <f>S74</f>
        <v>0</v>
      </c>
      <c r="T174" s="3">
        <f>T74</f>
        <v>0</v>
      </c>
      <c r="U174" s="3">
        <f>U74</f>
        <v>0</v>
      </c>
      <c r="V174" s="3">
        <f>V74</f>
        <v>0</v>
      </c>
      <c r="W174" s="3" t="n"/>
      <c r="X174" s="3">
        <f>X74</f>
        <v>0</v>
      </c>
      <c r="Y174" s="3">
        <f>Y74</f>
        <v>0</v>
      </c>
      <c r="Z174" s="3">
        <f>Z74</f>
        <v>0</v>
      </c>
      <c r="AA174" s="3">
        <f>AA74</f>
        <v>0</v>
      </c>
      <c r="AB174" s="3" t="n"/>
      <c r="AC174" s="3">
        <f>AC74</f>
        <v>0</v>
      </c>
      <c r="AD174" s="3">
        <f>AD74</f>
        <v>0</v>
      </c>
      <c r="AE174" s="3">
        <f>AE74</f>
        <v>0</v>
      </c>
      <c r="AF174" s="3" t="n"/>
      <c r="AG174" s="3" t="n"/>
      <c r="AH174" s="3">
        <f>AH74</f>
        <v>0</v>
      </c>
      <c r="AI174" s="6">
        <f>AI74</f>
        <v>0</v>
      </c>
      <c r="AJ174" s="6" t="n"/>
      <c r="AK174" s="6" t="n"/>
      <c r="AL174" s="3" t="n"/>
      <c r="AM174" s="6" t="n"/>
      <c r="AN174" s="6" t="n"/>
      <c r="AO174" s="6" t="n"/>
      <c r="AP174" s="6" t="n"/>
      <c r="AQ174" s="3" t="n"/>
      <c r="AR174" s="6" t="n"/>
      <c r="AS174" s="6" t="n"/>
      <c r="AT174" s="6" t="n"/>
      <c r="AU174" s="6" t="n"/>
      <c r="AV174" s="3" t="n"/>
      <c r="AW174" s="6" t="n"/>
      <c r="AX174" s="6" t="n"/>
      <c r="AY174" s="6" t="n"/>
      <c r="AZ174" s="6" t="n"/>
      <c r="BA174" s="3" t="n"/>
      <c r="BB174" s="6" t="n"/>
      <c r="BC174" s="6" t="n"/>
      <c r="BD174" s="6" t="n"/>
      <c r="BE174" s="6" t="n"/>
      <c r="BF174" s="3" t="n"/>
      <c r="BG174" s="6" t="n"/>
      <c r="BH174" s="6" t="n"/>
      <c r="BI174" s="6" t="n"/>
      <c r="BJ174" s="6" t="n"/>
      <c r="BK174" s="3" t="n"/>
      <c r="BL174" s="6" t="n"/>
      <c r="BM174" s="6" t="n"/>
      <c r="BN174" s="6" t="n"/>
      <c r="BO174" s="6" t="n"/>
      <c r="BP174" s="3" t="n"/>
      <c r="BQ174" s="6" t="n"/>
      <c r="BR174" s="6" t="n"/>
      <c r="BS174" s="6" t="n"/>
      <c r="BT174" s="6" t="n"/>
      <c r="BU174" s="3" t="n"/>
      <c r="BV174" s="6" t="n"/>
      <c r="BW174" s="6" t="n"/>
      <c r="BX174" s="6" t="n"/>
      <c r="BY174" s="6" t="n"/>
      <c r="BZ174" s="3" t="n"/>
      <c r="CA174" s="6" t="n"/>
      <c r="CB174" s="6" t="n"/>
      <c r="CC174" s="6" t="n"/>
      <c r="CD174" s="6" t="n"/>
      <c r="CE174" s="3" t="n"/>
      <c r="CF174" s="6" t="n"/>
      <c r="CG174" s="6" t="n"/>
      <c r="CH174" s="6" t="n"/>
      <c r="CI174" s="6" t="n"/>
      <c r="CJ174" s="3" t="n"/>
      <c r="CK174" s="6" t="n"/>
      <c r="CL174" s="6" t="n"/>
      <c r="CM174" s="6" t="n"/>
      <c r="CN174" s="6" t="n"/>
      <c r="CO174" s="3" t="n"/>
      <c r="CP174" s="6" t="n"/>
      <c r="CQ174" s="6" t="n"/>
      <c r="CR174" s="6" t="n"/>
      <c r="CS174" s="6" t="n"/>
      <c r="CT174" s="3" t="n"/>
      <c r="CU174" s="6" t="n"/>
      <c r="CV174" s="6" t="n"/>
      <c r="CW174" s="6" t="n"/>
      <c r="CX174" s="6" t="n"/>
      <c r="CY174" s="3" t="n"/>
    </row>
    <row r="175" hidden="1" outlineLevel="1">
      <c r="C175" s="34" t="inlineStr">
        <is>
          <t>Intangibles</t>
        </is>
      </c>
      <c r="D175" s="3" t="n"/>
      <c r="E175" s="3">
        <f>E171</f>
        <v>3077</v>
      </c>
      <c r="F175" s="3">
        <f>F171</f>
        <v>3013</v>
      </c>
      <c r="G175" s="3">
        <f>G171</f>
        <v>3012</v>
      </c>
      <c r="H175" s="3" t="n"/>
      <c r="I175" s="3">
        <f>I171</f>
        <v>2930</v>
      </c>
      <c r="J175" s="3">
        <f>J171</f>
        <v>2849</v>
      </c>
      <c r="K175" s="3">
        <f>K171</f>
        <v>2768</v>
      </c>
      <c r="L175" s="3">
        <f>L171</f>
        <v>2706</v>
      </c>
      <c r="M175" s="3" t="n"/>
      <c r="N175" s="3">
        <f>N171</f>
        <v>2644</v>
      </c>
      <c r="O175" s="3">
        <f>O171</f>
        <v>2584</v>
      </c>
      <c r="P175" s="3">
        <f>P171</f>
        <v>2521</v>
      </c>
      <c r="Q175" s="3">
        <f>Q171</f>
        <v>2459</v>
      </c>
      <c r="R175" s="3" t="n"/>
      <c r="S175" s="3">
        <f>S171</f>
        <v>2397</v>
      </c>
      <c r="T175" s="3">
        <f>T171</f>
        <v>2336</v>
      </c>
      <c r="U175" s="3">
        <f>U171</f>
        <v>2274</v>
      </c>
      <c r="V175" s="3">
        <f>V171</f>
        <v>2212</v>
      </c>
      <c r="W175" s="3" t="n"/>
      <c r="X175" s="3">
        <f>X171</f>
        <v>2151</v>
      </c>
      <c r="Y175" s="3">
        <f>Y171</f>
        <v>2040</v>
      </c>
      <c r="Z175" s="3">
        <f>Z171</f>
        <v>1979</v>
      </c>
      <c r="AA175" s="3">
        <f>AA171</f>
        <v>2015</v>
      </c>
      <c r="AB175" s="3" t="n"/>
      <c r="AC175" s="3">
        <f>AC171</f>
        <v>1952</v>
      </c>
      <c r="AD175" s="3">
        <f>AD171</f>
        <v>2013</v>
      </c>
      <c r="AE175" s="3">
        <f>AE171</f>
        <v>1943</v>
      </c>
      <c r="AF175" s="3">
        <f>AF171</f>
        <v>1887</v>
      </c>
      <c r="AG175" s="3" t="n"/>
      <c r="AH175" s="3">
        <f>AH171</f>
        <v>1837</v>
      </c>
      <c r="AI175" s="3">
        <f>AI171</f>
        <v>1787</v>
      </c>
      <c r="AJ175" s="3">
        <f>AI175+SUM(AJ173:AJ174)</f>
        <v>1787</v>
      </c>
      <c r="AK175" s="3">
        <f>AJ175+SUM(AK173:AK174)</f>
        <v>1787</v>
      </c>
      <c r="AL175" s="3" t="n"/>
      <c r="AM175" s="3">
        <f>AK175+SUM(AM173:AM174)</f>
        <v>1787</v>
      </c>
      <c r="AN175" s="3">
        <f>AM175+SUM(AN173:AN174)</f>
        <v>1787</v>
      </c>
      <c r="AO175" s="3">
        <f>AN175+SUM(AO173:AO174)</f>
        <v>1787</v>
      </c>
      <c r="AP175" s="3">
        <f>AO175+SUM(AP173:AP174)</f>
        <v>1787</v>
      </c>
      <c r="AQ175" s="3" t="n"/>
      <c r="AR175" s="3">
        <f>AP175+SUM(AR173:AR174)</f>
        <v>1787</v>
      </c>
      <c r="AS175" s="3">
        <f>AR175+SUM(AS173:AS174)</f>
        <v>1787</v>
      </c>
      <c r="AT175" s="3">
        <f>AS175+SUM(AT173:AT174)</f>
        <v>1787</v>
      </c>
      <c r="AU175" s="3">
        <f>AT175+SUM(AU173:AU174)</f>
        <v>1787</v>
      </c>
      <c r="AV175" s="3" t="n"/>
      <c r="AW175" s="3">
        <f>AU175+SUM(AW173:AW174)</f>
        <v>1787</v>
      </c>
      <c r="AX175" s="3">
        <f>AW175+SUM(AX173:AX174)</f>
        <v>1787</v>
      </c>
      <c r="AY175" s="3">
        <f>AX175+SUM(AY173:AY174)</f>
        <v>1787</v>
      </c>
      <c r="AZ175" s="3">
        <f>AY175+SUM(AZ173:AZ174)</f>
        <v>1787</v>
      </c>
      <c r="BA175" s="3" t="n"/>
      <c r="BB175" s="3">
        <f>AZ175+SUM(BB173:BB174)</f>
        <v>1787</v>
      </c>
      <c r="BC175" s="3">
        <f>BB175+SUM(BC173:BC174)</f>
        <v>1787</v>
      </c>
      <c r="BD175" s="3">
        <f>BC175+SUM(BD173:BD174)</f>
        <v>1787</v>
      </c>
      <c r="BE175" s="3">
        <f>BD175+SUM(BE173:BE174)</f>
        <v>1787</v>
      </c>
      <c r="BF175" s="3" t="n"/>
      <c r="BG175" s="3">
        <f>BE175+SUM(BG173:BG174)</f>
        <v>1787</v>
      </c>
      <c r="BH175" s="3">
        <f>BG175+SUM(BH173:BH174)</f>
        <v>1787</v>
      </c>
      <c r="BI175" s="3">
        <f>BH175+SUM(BI173:BI174)</f>
        <v>1787</v>
      </c>
      <c r="BJ175" s="3">
        <f>BI175+SUM(BJ173:BJ174)</f>
        <v>1787</v>
      </c>
      <c r="BK175" s="3" t="n"/>
      <c r="BL175" s="3">
        <f>BJ175+SUM(BL173:BL174)</f>
        <v>1787</v>
      </c>
      <c r="BM175" s="3">
        <f>BL175+SUM(BM173:BM174)</f>
        <v>1787</v>
      </c>
      <c r="BN175" s="3">
        <f>BM175+SUM(BN173:BN174)</f>
        <v>1787</v>
      </c>
      <c r="BO175" s="3">
        <f>BN175+SUM(BO173:BO174)</f>
        <v>1787</v>
      </c>
      <c r="BP175" s="3" t="n"/>
      <c r="BQ175" s="3">
        <f>BO175+SUM(BQ173:BQ174)</f>
        <v>1787</v>
      </c>
      <c r="BR175" s="3">
        <f>BQ175+SUM(BR173:BR174)</f>
        <v>1787</v>
      </c>
      <c r="BS175" s="3">
        <f>BR175+SUM(BS173:BS174)</f>
        <v>1787</v>
      </c>
      <c r="BT175" s="3">
        <f>BS175+SUM(BT173:BT174)</f>
        <v>1787</v>
      </c>
      <c r="BU175" s="3" t="n"/>
      <c r="BV175" s="3">
        <f>BT175+SUM(BV173:BV174)</f>
        <v>1787</v>
      </c>
      <c r="BW175" s="3">
        <f>BV175+SUM(BW173:BW174)</f>
        <v>1787</v>
      </c>
      <c r="BX175" s="3">
        <f>BW175+SUM(BX173:BX174)</f>
        <v>1787</v>
      </c>
      <c r="BY175" s="3">
        <f>BX175+SUM(BY173:BY174)</f>
        <v>1787</v>
      </c>
      <c r="BZ175" s="3" t="n"/>
      <c r="CA175" s="3">
        <f>BY175+SUM(CA173:CA174)</f>
        <v>1787</v>
      </c>
      <c r="CB175" s="3">
        <f>CA175+SUM(CB173:CB174)</f>
        <v>1787</v>
      </c>
      <c r="CC175" s="3">
        <f>CB175+SUM(CC173:CC174)</f>
        <v>1787</v>
      </c>
      <c r="CD175" s="3">
        <f>CC175+SUM(CD173:CD174)</f>
        <v>1787</v>
      </c>
      <c r="CE175" s="3" t="n"/>
      <c r="CF175" s="3">
        <f>CD175+SUM(CF173:CF174)</f>
        <v>1787</v>
      </c>
      <c r="CG175" s="3">
        <f>CF175+SUM(CG173:CG174)</f>
        <v>1787</v>
      </c>
      <c r="CH175" s="3">
        <f>CG175+SUM(CH173:CH174)</f>
        <v>1787</v>
      </c>
      <c r="CI175" s="3">
        <f>CH175+SUM(CI173:CI174)</f>
        <v>1787</v>
      </c>
      <c r="CJ175" s="3" t="n"/>
      <c r="CK175" s="3">
        <f>CI175+SUM(CK173:CK174)</f>
        <v>1787</v>
      </c>
      <c r="CL175" s="3">
        <f>CK175+SUM(CL173:CL174)</f>
        <v>1787</v>
      </c>
      <c r="CM175" s="3">
        <f>CL175+SUM(CM173:CM174)</f>
        <v>1787</v>
      </c>
      <c r="CN175" s="3">
        <f>CM175+SUM(CN173:CN174)</f>
        <v>1787</v>
      </c>
      <c r="CO175" s="3" t="n"/>
      <c r="CP175" s="3">
        <f>CN175+SUM(CP173:CP174)</f>
        <v>1787</v>
      </c>
      <c r="CQ175" s="3">
        <f>CP175+SUM(CQ173:CQ174)</f>
        <v>1787</v>
      </c>
      <c r="CR175" s="3">
        <f>CQ175+SUM(CR173:CR174)</f>
        <v>1787</v>
      </c>
      <c r="CS175" s="3">
        <f>CR175+SUM(CS173:CS174)</f>
        <v>1787</v>
      </c>
      <c r="CT175" s="3" t="n"/>
      <c r="CU175" s="3">
        <f>CS175+SUM(CU173:CU174)</f>
        <v>1787</v>
      </c>
      <c r="CV175" s="3">
        <f>CU175+SUM(CV173:CV174)</f>
        <v>1787</v>
      </c>
      <c r="CW175" s="3">
        <f>CV175+SUM(CW173:CW174)</f>
        <v>1787</v>
      </c>
      <c r="CX175" s="3">
        <f>CW175+SUM(CX173:CX174)</f>
        <v>1787</v>
      </c>
      <c r="CY175" s="3" t="n"/>
      <c r="CZ175">
        <f>CX175+SUM(CZ173:CZ174)</f>
        <v>1787</v>
      </c>
      <c r="DA175">
        <f>CZ175+SUM(DA173:DA174)</f>
        <v>1787</v>
      </c>
      <c r="DB175">
        <f>DA175+SUM(DB173:DB174)</f>
        <v>1787</v>
      </c>
      <c r="DC175">
        <f>DB175+SUM(DC173:DC174)</f>
        <v>1787</v>
      </c>
    </row>
    <row r="176" hidden="1" outlineLevel="1">
      <c r="C176" s="3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inlineStr">
        <is>
          <t>Definir % do D&amp;A No PPE and Intagibles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34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collapsed="1">
      <c r="C180" s="26" t="inlineStr">
        <is>
          <t>Other non-current assets</t>
        </is>
      </c>
      <c r="D180" s="25">
        <f>INDEX('Inputs (2)'!$D$26:$AL$26,MATCH(D$7,'Inputs (2)'!$D$2:$AL$2,0))</f>
        <v>6550</v>
      </c>
      <c r="E180" s="25">
        <f>INDEX('Inputs (2)'!$D$26:$AL$26,MATCH(E$7,'Inputs (2)'!$D$2:$AL$2,0))</f>
        <v>6587</v>
      </c>
      <c r="F180" s="25">
        <f>INDEX('Inputs (2)'!$D$26:$AL$26,MATCH(F$7,'Inputs (2)'!$D$2:$AL$2,0))</f>
        <v>6880</v>
      </c>
      <c r="G180" s="25">
        <f>INDEX('Inputs (2)'!$D$26:$AL$26,MATCH(G$7,'Inputs (2)'!$D$2:$AL$2,0))</f>
        <v>6826</v>
      </c>
      <c r="H180" s="3">
        <f>G180</f>
        <v>6826</v>
      </c>
      <c r="I180" s="25">
        <f>INDEX('Inputs (2)'!$D$26:$AL$26,MATCH(I$7,'Inputs (2)'!$D$2:$AL$2,0))</f>
        <v>6868</v>
      </c>
      <c r="J180" s="25">
        <f>INDEX('Inputs (2)'!$D$26:$AL$26,MATCH(J$7,'Inputs (2)'!$D$2:$AL$2,0))</f>
        <v>7099</v>
      </c>
      <c r="K180" s="25">
        <f>INDEX('Inputs (2)'!$D$26:$AL$26,MATCH(K$7,'Inputs (2)'!$D$2:$AL$2,0))</f>
        <v>6907</v>
      </c>
      <c r="L180" s="25">
        <f>INDEX('Inputs (2)'!$D$26:$AL$26,MATCH(L$7,'Inputs (2)'!$D$2:$AL$2,0))</f>
        <v>7652</v>
      </c>
      <c r="M180" s="3">
        <f>L180</f>
        <v>7652</v>
      </c>
      <c r="N180" s="25">
        <f>INDEX('Inputs (2)'!$D$26:$AL$26,MATCH(N$7,'Inputs (2)'!$D$2:$AL$2,0))</f>
        <v>7416</v>
      </c>
      <c r="O180" s="25">
        <f>INDEX('Inputs (2)'!$D$26:$AL$26,MATCH(O$7,'Inputs (2)'!$D$2:$AL$2,0))</f>
        <v>7158</v>
      </c>
      <c r="P180" s="25">
        <f>INDEX('Inputs (2)'!$D$26:$AL$26,MATCH(P$7,'Inputs (2)'!$D$2:$AL$2,0))</f>
        <v>7040</v>
      </c>
      <c r="Q180" s="25">
        <f>INDEX('Inputs (2)'!$D$26:$AL$26,MATCH(Q$7,'Inputs (2)'!$D$2:$AL$2,0))</f>
        <v>6931</v>
      </c>
      <c r="R180" s="3">
        <f>Q180</f>
        <v>6931</v>
      </c>
      <c r="S180" s="25">
        <f>INDEX('Inputs (2)'!$D$26:$AL$26,MATCH(S$7,'Inputs (2)'!$D$2:$AL$2,0))</f>
        <v>7192</v>
      </c>
      <c r="T180" s="25">
        <f>INDEX('Inputs (2)'!$D$26:$AL$26,MATCH(T$7,'Inputs (2)'!$D$2:$AL$2,0))</f>
        <v>7276</v>
      </c>
      <c r="U180" s="25">
        <f>INDEX('Inputs (2)'!$D$26:$AL$26,MATCH(U$7,'Inputs (2)'!$D$2:$AL$2,0))</f>
        <v>7369</v>
      </c>
      <c r="V180" s="25">
        <f>INDEX('Inputs (2)'!$D$26:$AL$26,MATCH(V$7,'Inputs (2)'!$D$2:$AL$2,0))</f>
        <v>7601</v>
      </c>
      <c r="W180" s="3">
        <f>V180</f>
        <v>7601</v>
      </c>
      <c r="X180" s="25">
        <f>INDEX('Inputs (2)'!$D$26:$AL$26,MATCH(X$7,'Inputs (2)'!$D$2:$AL$2,0))</f>
        <v>7687</v>
      </c>
      <c r="Y180" s="25">
        <f>INDEX('Inputs (2)'!$D$26:$AL$26,MATCH(Y$7,'Inputs (2)'!$D$2:$AL$2,0))</f>
        <v>7808</v>
      </c>
      <c r="Z180" s="25">
        <f>INDEX('Inputs (2)'!$D$26:$AL$26,MATCH(Z$7,'Inputs (2)'!$D$2:$AL$2,0))</f>
        <v>7971</v>
      </c>
      <c r="AA180" s="25">
        <f>INDEX('Inputs (2)'!$D$26:$AL$26,MATCH(AA$7,'Inputs (2)'!$D$2:$AL$2,0))</f>
        <v>8403</v>
      </c>
      <c r="AB180" s="3">
        <f>AA180</f>
        <v>8403</v>
      </c>
      <c r="AC180" s="25">
        <f>INDEX('Inputs (2)'!$D$26:$AL$26,MATCH(AC$7,'Inputs (2)'!$D$2:$AL$2,0))</f>
        <v>8559</v>
      </c>
      <c r="AD180" s="25">
        <f>INDEX('Inputs (2)'!$D$26:$AL$26,MATCH(AD$7,'Inputs (2)'!$D$2:$AL$2,0))</f>
        <v>8820</v>
      </c>
      <c r="AE180" s="25">
        <f>INDEX('Inputs (2)'!$D$26:$AL$26,MATCH(AE$7,'Inputs (2)'!$D$2:$AL$2,0))</f>
        <v>8949</v>
      </c>
      <c r="AF180" s="25">
        <f>INDEX('Inputs (2)'!$D$26:$AL$26,MATCH(AF$7,'Inputs (2)'!$D$2:$AL$2,0))</f>
        <v>9427</v>
      </c>
      <c r="AG180" s="3">
        <f>AF180</f>
        <v>9427</v>
      </c>
      <c r="AH180" s="3">
        <f>INDEX('Inputs (2)'!$D$26:$AL$26,MATCH(AH$7,'Inputs (2)'!$D$2:$AL$2,0))</f>
        <v>6930</v>
      </c>
      <c r="AI180" s="3">
        <f>INDEX('Inputs (2)'!$D$26:$AL$26,MATCH(AI$7,'Inputs (2)'!$D$2:$AL$2,0))</f>
        <v>7160</v>
      </c>
      <c r="AJ180" s="3">
        <f>AI180</f>
        <v>7160</v>
      </c>
      <c r="AK180" s="3">
        <f>AJ180</f>
        <v>7160</v>
      </c>
      <c r="AL180" s="3">
        <f>AK180</f>
        <v>7160</v>
      </c>
      <c r="AM180" s="3">
        <f>AL180</f>
        <v>7160</v>
      </c>
      <c r="AN180" s="3">
        <f>AM180</f>
        <v>7160</v>
      </c>
      <c r="AO180" s="3">
        <f>AN180</f>
        <v>7160</v>
      </c>
      <c r="AP180" s="3">
        <f>AO180</f>
        <v>7160</v>
      </c>
      <c r="AQ180" s="3">
        <f>AP180</f>
        <v>7160</v>
      </c>
      <c r="AR180" s="3">
        <f>AQ180</f>
        <v>7160</v>
      </c>
      <c r="AS180" s="3">
        <f>AR180</f>
        <v>7160</v>
      </c>
      <c r="AT180" s="3">
        <f>AS180</f>
        <v>7160</v>
      </c>
      <c r="AU180" s="3">
        <f>AT180</f>
        <v>7160</v>
      </c>
      <c r="AV180" s="3">
        <f>AU180</f>
        <v>7160</v>
      </c>
      <c r="AW180" s="3">
        <f>AV180</f>
        <v>7160</v>
      </c>
      <c r="AX180" s="3">
        <f>AW180</f>
        <v>7160</v>
      </c>
      <c r="AY180" s="3">
        <f>AX180</f>
        <v>7160</v>
      </c>
      <c r="AZ180" s="3">
        <f>AY180</f>
        <v>7160</v>
      </c>
      <c r="BA180" s="3">
        <f>AZ180</f>
        <v>7160</v>
      </c>
      <c r="BB180" s="3">
        <f>BA180</f>
        <v>7160</v>
      </c>
      <c r="BC180" s="3">
        <f>BB180</f>
        <v>7160</v>
      </c>
      <c r="BD180" s="3">
        <f>BC180</f>
        <v>7160</v>
      </c>
      <c r="BE180" s="3">
        <f>BD180</f>
        <v>7160</v>
      </c>
      <c r="BF180" s="3">
        <f>BE180</f>
        <v>7160</v>
      </c>
      <c r="BG180" s="3">
        <f>BF180</f>
        <v>7160</v>
      </c>
      <c r="BH180" s="3">
        <f>BG180</f>
        <v>7160</v>
      </c>
      <c r="BI180" s="3">
        <f>BH180</f>
        <v>7160</v>
      </c>
      <c r="BJ180" s="3">
        <f>BI180</f>
        <v>7160</v>
      </c>
      <c r="BK180" s="3">
        <f>BJ180</f>
        <v>7160</v>
      </c>
      <c r="BL180" s="3">
        <f>BK180</f>
        <v>7160</v>
      </c>
      <c r="BM180" s="3">
        <f>BL180</f>
        <v>7160</v>
      </c>
      <c r="BN180" s="3">
        <f>BM180</f>
        <v>7160</v>
      </c>
      <c r="BO180" s="3">
        <f>BN180</f>
        <v>7160</v>
      </c>
      <c r="BP180" s="3">
        <f>BO180</f>
        <v>7160</v>
      </c>
      <c r="BQ180" s="3">
        <f>BP180</f>
        <v>7160</v>
      </c>
      <c r="BR180" s="3">
        <f>BQ180</f>
        <v>7160</v>
      </c>
      <c r="BS180" s="3">
        <f>BR180</f>
        <v>7160</v>
      </c>
      <c r="BT180" s="3">
        <f>BS180</f>
        <v>7160</v>
      </c>
      <c r="BU180" s="3">
        <f>BT180</f>
        <v>7160</v>
      </c>
      <c r="BV180" s="3">
        <f>BU180</f>
        <v>7160</v>
      </c>
      <c r="BW180" s="3">
        <f>BV180</f>
        <v>7160</v>
      </c>
      <c r="BX180" s="3">
        <f>BW180</f>
        <v>7160</v>
      </c>
      <c r="BY180" s="3">
        <f>BX180</f>
        <v>7160</v>
      </c>
      <c r="BZ180" s="3">
        <f>BY180</f>
        <v>7160</v>
      </c>
      <c r="CA180" s="3">
        <f>BZ180</f>
        <v>7160</v>
      </c>
      <c r="CB180" s="3">
        <f>CA180</f>
        <v>7160</v>
      </c>
      <c r="CC180" s="3">
        <f>CB180</f>
        <v>7160</v>
      </c>
      <c r="CD180" s="3">
        <f>CC180</f>
        <v>7160</v>
      </c>
      <c r="CE180" s="3">
        <f>CD180</f>
        <v>7160</v>
      </c>
      <c r="CF180" s="3">
        <f>CE180</f>
        <v>7160</v>
      </c>
      <c r="CG180" s="3">
        <f>CF180</f>
        <v>7160</v>
      </c>
      <c r="CH180" s="3">
        <f>CG180</f>
        <v>7160</v>
      </c>
      <c r="CI180" s="3">
        <f>CH180</f>
        <v>7160</v>
      </c>
      <c r="CJ180" s="3">
        <f>CI180</f>
        <v>7160</v>
      </c>
      <c r="CK180" s="3">
        <f>CJ180</f>
        <v>7160</v>
      </c>
      <c r="CL180" s="3">
        <f>CK180</f>
        <v>7160</v>
      </c>
      <c r="CM180" s="3">
        <f>CL180</f>
        <v>7160</v>
      </c>
      <c r="CN180" s="3">
        <f>CM180</f>
        <v>7160</v>
      </c>
      <c r="CO180" s="3">
        <f>CN180</f>
        <v>7160</v>
      </c>
      <c r="CP180" s="3">
        <f>CO180</f>
        <v>7160</v>
      </c>
      <c r="CQ180" s="3">
        <f>CP180</f>
        <v>7160</v>
      </c>
      <c r="CR180" s="3">
        <f>CQ180</f>
        <v>7160</v>
      </c>
      <c r="CS180" s="3">
        <f>CR180</f>
        <v>7160</v>
      </c>
      <c r="CT180" s="3">
        <f>CS180</f>
        <v>7160</v>
      </c>
      <c r="CU180" s="3">
        <f>CT180</f>
        <v>7160</v>
      </c>
      <c r="CV180" s="3">
        <f>CU180</f>
        <v>7160</v>
      </c>
      <c r="CW180" s="3">
        <f>CV180</f>
        <v>7160</v>
      </c>
      <c r="CX180" s="3">
        <f>CW180</f>
        <v>7160</v>
      </c>
      <c r="CY180" s="3">
        <f>CX180</f>
        <v>7160</v>
      </c>
    </row>
    <row r="181" hidden="1" outlineLevel="1">
      <c r="C181" s="38" t="inlineStr">
        <is>
          <t>%(Var.)</t>
        </is>
      </c>
      <c r="D181" s="3" t="n"/>
      <c r="E181" s="47">
        <f>(E180-D180)/D180</f>
        <v>0.00564885496183206</v>
      </c>
      <c r="F181" s="47">
        <f>(F180-E180)/E180</f>
        <v>0.0444815545771975</v>
      </c>
      <c r="G181" s="47">
        <f>(G180-F180)/F180</f>
        <v>-0.00784883720930233</v>
      </c>
      <c r="H181" s="3" t="n"/>
      <c r="I181" s="47">
        <f>(I180-H180)/H180</f>
        <v>0.00615294462349839</v>
      </c>
      <c r="J181" s="47">
        <f>(J180-I180)/I180</f>
        <v>0.0336342457775189</v>
      </c>
      <c r="K181" s="47">
        <f>(K180-J180)/J180</f>
        <v>-0.0270460628257501</v>
      </c>
      <c r="L181" s="47">
        <f>(L180-K180)/K180</f>
        <v>0.107861589691617</v>
      </c>
      <c r="M181" s="3" t="n"/>
      <c r="N181" s="47">
        <f>(N180-M180)/M180</f>
        <v>-0.0308416100365917</v>
      </c>
      <c r="O181" s="47">
        <f>(O180-N180)/N180</f>
        <v>-0.034789644012945</v>
      </c>
      <c r="P181" s="47">
        <f>(P180-O180)/O180</f>
        <v>-0.0164850516904163</v>
      </c>
      <c r="Q181" s="47">
        <f>(Q180-P180)/P180</f>
        <v>-0.0154829545454545</v>
      </c>
      <c r="R181" s="3" t="n"/>
      <c r="S181" s="47">
        <f>(S180-R180)/R180</f>
        <v>0.0376569037656904</v>
      </c>
      <c r="T181" s="47">
        <f>(T180-S180)/S180</f>
        <v>0.0116796440489433</v>
      </c>
      <c r="U181" s="47">
        <f>(U180-T180)/T180</f>
        <v>0.012781748213304</v>
      </c>
      <c r="V181" s="47">
        <f>(V180-U180)/U180</f>
        <v>0.0314832406025241</v>
      </c>
      <c r="W181" s="3" t="n"/>
      <c r="X181" s="47">
        <f>(X180-W180)/W180</f>
        <v>0.0113143007499013</v>
      </c>
      <c r="Y181" s="47">
        <f>(Y180-X180)/X180</f>
        <v>0.015740861194224</v>
      </c>
      <c r="Z181" s="47">
        <f>(Z180-Y180)/Y180</f>
        <v>0.0208760245901639</v>
      </c>
      <c r="AA181" s="47">
        <f>(AA180-Z180)/Z180</f>
        <v>0.0541964621753858</v>
      </c>
      <c r="AB181" s="3" t="n"/>
      <c r="AC181" s="47">
        <f>(AC180-AB180)/AB180</f>
        <v>0.0185647982863263</v>
      </c>
      <c r="AD181" s="47">
        <f>(AD180-AC180)/AC180</f>
        <v>0.0304942166140904</v>
      </c>
      <c r="AE181" s="47">
        <f>(AE180-AD180)/AD180</f>
        <v>0.0146258503401361</v>
      </c>
      <c r="AF181" s="218">
        <f>(AF180-AE180)/AE180</f>
        <v>0.0534137892501956</v>
      </c>
      <c r="AG181" s="3" t="n"/>
      <c r="AH181" s="218">
        <f>(AH180-AG180)/AG180</f>
        <v>-0.26487747957993</v>
      </c>
      <c r="AI181" s="218">
        <f>(AI180-AH180)/AH180</f>
        <v>0.0331890331890332</v>
      </c>
      <c r="AJ181" s="218" t="n"/>
      <c r="AK181" s="218" t="n"/>
      <c r="AL181" s="3" t="n"/>
      <c r="AM181" s="218" t="n"/>
      <c r="AN181" s="218" t="n"/>
      <c r="AO181" s="218" t="n"/>
      <c r="AP181" s="218" t="n"/>
      <c r="AQ181" s="3" t="n"/>
      <c r="AR181" s="218" t="n"/>
      <c r="AS181" s="218" t="n"/>
      <c r="AT181" s="218" t="n"/>
      <c r="AU181" s="218" t="n"/>
      <c r="AV181" s="3" t="n"/>
      <c r="AW181" s="218" t="n"/>
      <c r="AX181" s="218" t="n"/>
      <c r="AY181" s="218" t="n"/>
      <c r="AZ181" s="218" t="n"/>
      <c r="BA181" s="3" t="n"/>
      <c r="BB181" s="218" t="n"/>
      <c r="BC181" s="218" t="n"/>
      <c r="BD181" s="218" t="n"/>
      <c r="BE181" s="218" t="n"/>
      <c r="BF181" s="3" t="n"/>
      <c r="BG181" s="218" t="n"/>
      <c r="BH181" s="218" t="n"/>
      <c r="BI181" s="218" t="n"/>
      <c r="BJ181" s="218" t="n"/>
      <c r="BK181" s="3" t="n"/>
      <c r="BL181" s="218" t="n"/>
      <c r="BM181" s="218" t="n"/>
      <c r="BN181" s="218" t="n"/>
      <c r="BO181" s="218" t="n"/>
      <c r="BP181" s="3" t="n"/>
      <c r="BQ181" s="218" t="n"/>
      <c r="BR181" s="218" t="n"/>
      <c r="BS181" s="218" t="n"/>
      <c r="BT181" s="218" t="n"/>
      <c r="BU181" s="3" t="n"/>
      <c r="BV181" s="218" t="n"/>
      <c r="BW181" s="218" t="n"/>
      <c r="BX181" s="218" t="n"/>
      <c r="BY181" s="218" t="n"/>
      <c r="BZ181" s="3" t="n"/>
      <c r="CA181" s="218" t="n"/>
      <c r="CB181" s="218" t="n"/>
      <c r="CC181" s="218" t="n"/>
      <c r="CD181" s="218" t="n"/>
      <c r="CE181" s="3" t="n"/>
      <c r="CF181" s="218" t="n"/>
      <c r="CG181" s="218" t="n"/>
      <c r="CH181" s="218" t="n"/>
      <c r="CI181" s="218" t="n"/>
      <c r="CJ181" s="3" t="n"/>
      <c r="CK181" s="218" t="n"/>
      <c r="CL181" s="218" t="n"/>
      <c r="CM181" s="218" t="n"/>
      <c r="CN181" s="218" t="n"/>
      <c r="CO181" s="3" t="n"/>
      <c r="CP181" s="218" t="n"/>
      <c r="CQ181" s="218" t="n"/>
      <c r="CR181" s="218" t="n"/>
      <c r="CS181" s="218" t="n"/>
      <c r="CT181" s="3" t="n"/>
      <c r="CU181" s="218" t="n"/>
      <c r="CV181" s="218" t="n"/>
      <c r="CW181" s="218" t="n"/>
      <c r="CX181" s="218" t="n"/>
      <c r="CY181" s="3" t="n"/>
    </row>
    <row r="182" hidden="1" outlineLevel="1">
      <c r="C182" s="34" t="n"/>
      <c r="D182" s="3" t="n"/>
      <c r="E182" s="47" t="n"/>
      <c r="F182" s="47" t="n"/>
      <c r="G182" s="47" t="n"/>
      <c r="H182" s="3" t="n"/>
      <c r="I182" s="47" t="n"/>
      <c r="J182" s="47" t="n"/>
      <c r="K182" s="47" t="n"/>
      <c r="L182" s="47" t="n"/>
      <c r="M182" s="3" t="n"/>
      <c r="N182" s="47" t="n"/>
      <c r="O182" s="47" t="n"/>
      <c r="P182" s="47" t="n"/>
      <c r="Q182" s="47" t="n"/>
      <c r="R182" s="3" t="n"/>
      <c r="S182" s="47" t="n"/>
      <c r="T182" s="47" t="n"/>
      <c r="U182" s="47" t="n"/>
      <c r="V182" s="47" t="n"/>
      <c r="W182" s="3" t="n"/>
      <c r="X182" s="47" t="n"/>
      <c r="Y182" s="47" t="n"/>
      <c r="Z182" s="47" t="n"/>
      <c r="AA182" s="47" t="n"/>
      <c r="AB182" s="3" t="n"/>
      <c r="AC182" s="47" t="n"/>
      <c r="AD182" s="47" t="n"/>
      <c r="AE182" s="47" t="n"/>
      <c r="AF182" s="218" t="n"/>
      <c r="AG182" s="3" t="n"/>
      <c r="AH182" s="218" t="n"/>
      <c r="AI182" s="218" t="n"/>
      <c r="AJ182" s="218" t="n"/>
      <c r="AK182" s="218" t="n"/>
      <c r="AL182" s="3" t="n"/>
      <c r="AM182" s="218" t="n"/>
      <c r="AN182" s="218" t="n"/>
      <c r="AO182" s="218" t="n"/>
      <c r="AP182" s="218" t="n"/>
      <c r="AQ182" s="3" t="n"/>
      <c r="AR182" s="218" t="n"/>
      <c r="AS182" s="218" t="n"/>
      <c r="AT182" s="218" t="n"/>
      <c r="AU182" s="218" t="n"/>
      <c r="AV182" s="3" t="n"/>
      <c r="AW182" s="218" t="n"/>
      <c r="AX182" s="218" t="n"/>
      <c r="AY182" s="218" t="n"/>
      <c r="AZ182" s="218" t="n"/>
      <c r="BA182" s="3" t="n"/>
      <c r="BB182" s="218" t="n"/>
      <c r="BC182" s="218" t="n"/>
      <c r="BD182" s="218" t="n"/>
      <c r="BE182" s="218" t="n"/>
      <c r="BF182" s="3" t="n"/>
      <c r="BG182" s="218" t="n"/>
      <c r="BH182" s="218" t="n"/>
      <c r="BI182" s="218" t="n"/>
      <c r="BJ182" s="218" t="n"/>
      <c r="BK182" s="3" t="n"/>
      <c r="BL182" s="218" t="n"/>
      <c r="BM182" s="218" t="n"/>
      <c r="BN182" s="218" t="n"/>
      <c r="BO182" s="218" t="n"/>
      <c r="BP182" s="3" t="n"/>
      <c r="BQ182" s="218" t="n"/>
      <c r="BR182" s="218" t="n"/>
      <c r="BS182" s="218" t="n"/>
      <c r="BT182" s="218" t="n"/>
      <c r="BU182" s="3" t="n"/>
      <c r="BV182" s="218" t="n"/>
      <c r="BW182" s="218" t="n"/>
      <c r="BX182" s="218" t="n"/>
      <c r="BY182" s="218" t="n"/>
      <c r="BZ182" s="3" t="n"/>
      <c r="CA182" s="218" t="n"/>
      <c r="CB182" s="218" t="n"/>
      <c r="CC182" s="218" t="n"/>
      <c r="CD182" s="218" t="n"/>
      <c r="CE182" s="3" t="n"/>
      <c r="CF182" s="218" t="n"/>
      <c r="CG182" s="218" t="n"/>
      <c r="CH182" s="218" t="n"/>
      <c r="CI182" s="218" t="n"/>
      <c r="CJ182" s="3" t="n"/>
      <c r="CK182" s="218" t="n"/>
      <c r="CL182" s="218" t="n"/>
      <c r="CM182" s="218" t="n"/>
      <c r="CN182" s="218" t="n"/>
      <c r="CO182" s="3" t="n"/>
      <c r="CP182" s="218" t="n"/>
      <c r="CQ182" s="218" t="n"/>
      <c r="CR182" s="218" t="n"/>
      <c r="CS182" s="218" t="n"/>
      <c r="CT182" s="3" t="n"/>
      <c r="CU182" s="218" t="n"/>
      <c r="CV182" s="218" t="n"/>
      <c r="CW182" s="218" t="n"/>
      <c r="CX182" s="218" t="n"/>
      <c r="CY182" s="3" t="n"/>
    </row>
    <row r="183" hidden="1" outlineLevel="1">
      <c r="C183" s="52" t="inlineStr">
        <is>
          <t>Outros Créditos - LP</t>
        </is>
      </c>
      <c r="D183" s="6" t="n"/>
      <c r="E183" s="6" t="n"/>
      <c r="F183" s="6" t="n"/>
      <c r="G183" s="6" t="n"/>
      <c r="H183" s="3" t="n"/>
      <c r="I183" s="6" t="n"/>
      <c r="J183" s="6" t="n"/>
      <c r="K183" s="6" t="n"/>
      <c r="L183" s="6" t="n"/>
      <c r="M183" s="3" t="n"/>
      <c r="N183" s="6" t="n"/>
      <c r="O183" s="6" t="n"/>
      <c r="P183" s="6" t="n"/>
      <c r="Q183" s="6" t="n"/>
      <c r="R183" s="3" t="n"/>
      <c r="S183" s="6" t="n"/>
      <c r="T183" s="6" t="n"/>
      <c r="U183" s="6" t="n"/>
      <c r="V183" s="6" t="n"/>
      <c r="W183" s="3" t="n"/>
      <c r="X183" s="6" t="n"/>
      <c r="Y183" s="6" t="n"/>
      <c r="Z183" s="6" t="n"/>
      <c r="AA183" s="6" t="n"/>
      <c r="AB183" s="3" t="n"/>
      <c r="AC183" s="6" t="n"/>
      <c r="AD183" s="6" t="n"/>
      <c r="AE183" s="6" t="n"/>
      <c r="AF183" s="6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52" t="inlineStr">
        <is>
          <t xml:space="preserve">Impostos e Contribuições a Recuperar </t>
        </is>
      </c>
      <c r="D184" s="6" t="n"/>
      <c r="E184" s="6" t="n"/>
      <c r="F184" s="6" t="n"/>
      <c r="G184" s="6" t="n"/>
      <c r="H184" s="3" t="n"/>
      <c r="I184" s="6" t="n"/>
      <c r="J184" s="6" t="n"/>
      <c r="K184" s="6" t="n"/>
      <c r="L184" s="6" t="n"/>
      <c r="M184" s="3" t="n"/>
      <c r="N184" s="6" t="n"/>
      <c r="O184" s="6" t="n"/>
      <c r="P184" s="6" t="n"/>
      <c r="Q184" s="6" t="n"/>
      <c r="R184" s="3" t="n"/>
      <c r="S184" s="6" t="n"/>
      <c r="T184" s="6" t="n"/>
      <c r="U184" s="6" t="n"/>
      <c r="V184" s="6" t="n"/>
      <c r="W184" s="3" t="n"/>
      <c r="X184" s="6" t="n"/>
      <c r="Y184" s="6" t="n"/>
      <c r="Z184" s="6" t="n"/>
      <c r="AA184" s="6" t="n"/>
      <c r="AB184" s="3" t="n"/>
      <c r="AC184" s="6" t="n"/>
      <c r="AD184" s="6" t="n"/>
      <c r="AE184" s="6" t="n"/>
      <c r="AF184" s="6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52" t="inlineStr">
        <is>
          <t xml:space="preserve">Imposto de Renda e Contribuição Social Diferidos </t>
        </is>
      </c>
      <c r="D185" s="6" t="n"/>
      <c r="E185" s="6" t="n"/>
      <c r="F185" s="6" t="n"/>
      <c r="G185" s="6" t="n"/>
      <c r="H185" s="3" t="n"/>
      <c r="I185" s="6" t="n"/>
      <c r="J185" s="6" t="n"/>
      <c r="K185" s="6" t="n"/>
      <c r="L185" s="6" t="n"/>
      <c r="M185" s="3" t="n"/>
      <c r="N185" s="6" t="n"/>
      <c r="O185" s="6" t="n"/>
      <c r="P185" s="6" t="n"/>
      <c r="Q185" s="6" t="n"/>
      <c r="R185" s="3" t="n"/>
      <c r="S185" s="6" t="n"/>
      <c r="T185" s="6" t="n"/>
      <c r="U185" s="6" t="n"/>
      <c r="V185" s="6" t="n"/>
      <c r="W185" s="3" t="n"/>
      <c r="X185" s="6" t="n"/>
      <c r="Y185" s="6" t="n"/>
      <c r="Z185" s="6" t="n"/>
      <c r="AA185" s="6" t="n"/>
      <c r="AB185" s="3" t="n"/>
      <c r="AC185" s="6" t="n"/>
      <c r="AD185" s="6" t="n"/>
      <c r="AE185" s="6" t="n"/>
      <c r="AF185" s="6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  <c r="CU185" s="3" t="n"/>
      <c r="CV185" s="3" t="n"/>
      <c r="CW185" s="3" t="n"/>
      <c r="CX185" s="3" t="n"/>
      <c r="CY185" s="3" t="n"/>
    </row>
    <row r="186" hidden="1" outlineLevel="1">
      <c r="C186" s="52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collapsed="1" customFormat="1" s="17">
      <c r="A188" s="13" t="n"/>
      <c r="B188" s="1" t="n"/>
      <c r="C188" s="14" t="inlineStr">
        <is>
          <t>Total Assets</t>
        </is>
      </c>
      <c r="D188" s="16">
        <f>(D135+D136+D140+D144+D145+D146+D152+D157+D167+D170+D171+D180)</f>
        <v>49248</v>
      </c>
      <c r="E188" s="16">
        <f>(E135+E136+E140+E144+E145+E146+E152+E157+E167+E170+E171+E180)</f>
        <v>49603</v>
      </c>
      <c r="F188" s="16">
        <f>(F135+F136+F140+F144+F145+F146+F152+F157+F167+F170+F171+F180)</f>
        <v>50773</v>
      </c>
      <c r="G188" s="16">
        <f>(G135+G136+G140+G144+G145+G146+G152+G157+G167+G170+G171+G180)</f>
        <v>50710</v>
      </c>
      <c r="H188" s="16">
        <f>SUM(H135,H136,H140,H144,H145,H146,H152,H167,H170,H171,H180,H157)</f>
        <v>50710</v>
      </c>
      <c r="I188" s="16">
        <f>(I135+I136+I140+I144+I145+I146+I152+I157+I167+I170+I171+I180)</f>
        <v>51437</v>
      </c>
      <c r="J188" s="16">
        <f>(J135+J136+J140+J144+J145+J146+J152+J157+J167+J170+J171+J180)</f>
        <v>52099</v>
      </c>
      <c r="K188" s="16">
        <f>(K135+K136+K140+K144+K145+K146+K152+K157+K167+K170+K171+K180)</f>
        <v>51843</v>
      </c>
      <c r="L188" s="16">
        <f>(L135+L136+L140+L144+L145+L146+L152+L157+L167+L170+L171+L180)</f>
        <v>50873</v>
      </c>
      <c r="M188" s="16">
        <f>SUM(M135,M136,M140,M144,M145,M146,M152,M167,M170,M171,M180,M157)</f>
        <v>50873</v>
      </c>
      <c r="N188" s="16">
        <f>(N135+N136+N140+N144+N145+N146+N152+N157+N167+N170+N171+N180)</f>
        <v>51510</v>
      </c>
      <c r="O188" s="16">
        <f>(O135+O136+O140+O144+O145+O146+O152+O157+O167+O170+O171+O180)</f>
        <v>51758</v>
      </c>
      <c r="P188" s="16">
        <f>(P135+P136+P140+P144+P145+P146+P152+P157+P167+P170+P171+P180)</f>
        <v>52030</v>
      </c>
      <c r="Q188" s="16">
        <f>(Q135+Q136+Q140+Q144+Q145+Q146+Q152+Q157+Q167+Q170+Q171+Q180)</f>
        <v>52880</v>
      </c>
      <c r="R188" s="16">
        <f>SUM(R135,R136,R140,R144,R145,R146,R152,R167,R170,R171,R180,R157)</f>
        <v>52880</v>
      </c>
      <c r="S188" s="16">
        <f>(S135+S136+S140+S144+S145+S146+S152+S157+S167+S170+S171+S180)</f>
        <v>54622</v>
      </c>
      <c r="T188" s="16">
        <f>(T135+T136+T140+T144+T145+T146+T152+T157+T167+T170+T171+T180)</f>
        <v>56978</v>
      </c>
      <c r="U188" s="16">
        <f>(U135+U136+U140+U144+U145+U146+U152+U157+U167+U170+U171+U180)</f>
        <v>56666</v>
      </c>
      <c r="V188" s="16">
        <f>(V135+V136+V140+V144+V145+V146+V152+V157+V167+V170+V171+V180)</f>
        <v>52456</v>
      </c>
      <c r="W188" s="16">
        <f>SUM(W135,W136,W140,W144,W145,W146,W152,W167,W170,W171,W180,W157)</f>
        <v>52456</v>
      </c>
      <c r="X188" s="16">
        <f>(X135+X136+X140+X144+X145+X146+X152+X157+X167+X170+X171+X180)</f>
        <v>54963</v>
      </c>
      <c r="Y188" s="16">
        <f>(Y135+Y136+Y140+Y144+Y145+Y146+Y152+Y157+Y167+Y170+Y171+Y180)</f>
        <v>55076</v>
      </c>
      <c r="Z188" s="16">
        <f>(Z135+Z136+Z140+Z144+Z145+Z146+Z152+Z157+Z167+Z170+Z171+Z180)</f>
        <v>55520</v>
      </c>
      <c r="AA188" s="16">
        <f>(AA135+AA136+AA140+AA144+AA145+AA146+AA152+AA157+AA167+AA170+AA171+AA180)</f>
        <v>55617</v>
      </c>
      <c r="AB188" s="16">
        <f>SUM(AB135,AB136,AB140,AB144,AB145,AB146,AB152,AB167,AB170,AB171,AB180,AB157)</f>
        <v>55617</v>
      </c>
      <c r="AC188" s="16">
        <f>(AC135+AC136+AC140+AC144+AC145+AC146+AC152+AC157+AC167+AC170+AC171+AC180)</f>
        <v>56669</v>
      </c>
      <c r="AD188" s="16">
        <f>(AD135+AD136+AD140+AD144+AD145+AD146+AD152+AD157+AD167+AD170+AD171+AD180)</f>
        <v>58870</v>
      </c>
      <c r="AE188" s="16">
        <f>(AE135+AE136+AE140+AE144+AE145+AE146+AE152+AE157+AE167+AE170+AE171+AE180)</f>
        <v>60276</v>
      </c>
      <c r="AF188" s="16">
        <f>(AF135+AF136+AF140+AF144+AF145+AF146+AF152+AF157+AF167+AF170+AF171+AF180)</f>
        <v>59840</v>
      </c>
      <c r="AG188" s="16">
        <f>SUM(AG135,AG136,AG140,AG144,AG145,AG146,AG152,AG167,AG170,AG171,AG180,AG157)</f>
        <v>59840</v>
      </c>
      <c r="AH188" s="16">
        <f>(AH135+AH136+AH140+AH144+AH145+AH146+AH152+AH157+AH167+AH170+AH171+AH180)</f>
        <v>59238</v>
      </c>
      <c r="AI188" s="16">
        <f>(AI135+AI136+AI140+AI144+AI145+AI146+AI152+AI157+AI167+AI170+AI171+AI180)</f>
        <v>62450</v>
      </c>
      <c r="AJ188" s="16">
        <f>(AJ135+AJ136+AJ140+AJ144+AJ145+AJ146+AJ152+AJ157+AJ167+AJ170+AJ171+AJ180)</f>
        <v>54512</v>
      </c>
      <c r="AK188" s="16">
        <f>(AK135+AK136+AK140+AK144+AK145+AK146+AK152+AK157+AK167+AK170+AK171+AK180)</f>
        <v>54477</v>
      </c>
      <c r="AL188" s="16">
        <f>SUM(AL135,AL136,AL140,AL144,AL145,AL146,AL152,AL167,AL170,AL171,AL180,AL157)</f>
        <v>54477</v>
      </c>
      <c r="AM188" s="16" t="e">
        <f>(AM135+AM136+AM140+AM144+AM145+AM146+AM152+AM157+AM167+AM170+AM171+AM180)</f>
        <v>#DIV/0!</v>
      </c>
      <c r="AN188" s="16" t="e">
        <f>(AN135+AN136+AN140+AN144+AN145+AN146+AN152+AN157+AN167+AN170+AN171+AN180)</f>
        <v>#DIV/0!</v>
      </c>
      <c r="AO188" s="16" t="e">
        <f>(AO135+AO136+AO140+AO144+AO145+AO146+AO152+AO157+AO167+AO170+AO171+AO180)</f>
        <v>#DIV/0!</v>
      </c>
      <c r="AP188" s="16" t="e">
        <f>(AP135+AP136+AP140+AP144+AP145+AP146+AP152+AP157+AP167+AP170+AP171+AP180)</f>
        <v>#DIV/0!</v>
      </c>
      <c r="AQ188" s="16" t="e">
        <f>SUM(AQ135,AQ136,AQ140,AQ144,AQ145,AQ146,AQ152,AQ167,AQ170,AQ171,AQ180,AQ157)</f>
        <v>#DIV/0!</v>
      </c>
      <c r="AR188" s="16" t="e">
        <f>(AR135+AR136+AR140+AR144+AR145+AR146+AR152+AR157+AR167+AR170+AR171+AR180)</f>
        <v>#DIV/0!</v>
      </c>
      <c r="AS188" s="16" t="e">
        <f>(AS135+AS136+AS140+AS144+AS145+AS146+AS152+AS157+AS167+AS170+AS171+AS180)</f>
        <v>#DIV/0!</v>
      </c>
      <c r="AT188" s="16" t="e">
        <f>(AT135+AT136+AT140+AT144+AT145+AT146+AT152+AT157+AT167+AT170+AT171+AT180)</f>
        <v>#DIV/0!</v>
      </c>
      <c r="AU188" s="16" t="e">
        <f>(AU135+AU136+AU140+AU144+AU145+AU146+AU152+AU157+AU167+AU170+AU171+AU180)</f>
        <v>#DIV/0!</v>
      </c>
      <c r="AV188" s="16" t="e">
        <f>SUM(AV135,AV136,AV140,AV144,AV145,AV146,AV152,AV167,AV170,AV171,AV180,AV157)</f>
        <v>#DIV/0!</v>
      </c>
      <c r="AW188" s="16" t="e">
        <f>(AW135+AW136+AW140+AW144+AW145+AW146+AW152+AW157+AW167+AW170+AW171+AW180)</f>
        <v>#DIV/0!</v>
      </c>
      <c r="AX188" s="16" t="e">
        <f>(AX135+AX136+AX140+AX144+AX145+AX146+AX152+AX157+AX167+AX170+AX171+AX180)</f>
        <v>#DIV/0!</v>
      </c>
      <c r="AY188" s="16" t="e">
        <f>(AY135+AY136+AY140+AY144+AY145+AY146+AY152+AY157+AY167+AY170+AY171+AY180)</f>
        <v>#DIV/0!</v>
      </c>
      <c r="AZ188" s="16" t="e">
        <f>(AZ135+AZ136+AZ140+AZ144+AZ145+AZ146+AZ152+AZ157+AZ167+AZ170+AZ171+AZ180)</f>
        <v>#DIV/0!</v>
      </c>
      <c r="BA188" s="16" t="e">
        <f>SUM(BA135,BA136,BA140,BA144,BA145,BA146,BA152,BA167,BA170,BA171,BA180,BA157)</f>
        <v>#DIV/0!</v>
      </c>
      <c r="BB188" s="16" t="e">
        <f>(BB135+BB136+BB140+BB144+BB145+BB146+BB152+BB157+BB167+BB170+BB171+BB180)</f>
        <v>#DIV/0!</v>
      </c>
      <c r="BC188" s="16" t="e">
        <f>(BC135+BC136+BC140+BC144+BC145+BC146+BC152+BC157+BC167+BC170+BC171+BC180)</f>
        <v>#DIV/0!</v>
      </c>
      <c r="BD188" s="16" t="e">
        <f>(BD135+BD136+BD140+BD144+BD145+BD146+BD152+BD157+BD167+BD170+BD171+BD180)</f>
        <v>#DIV/0!</v>
      </c>
      <c r="BE188" s="16" t="e">
        <f>(BE135+BE136+BE140+BE144+BE145+BE146+BE152+BE157+BE167+BE170+BE171+BE180)</f>
        <v>#DIV/0!</v>
      </c>
      <c r="BF188" s="16" t="e">
        <f>SUM(BF135,BF136,BF140,BF144,BF145,BF146,BF152,BF167,BF170,BF171,BF180,BF157)</f>
        <v>#DIV/0!</v>
      </c>
      <c r="BG188" s="16" t="e">
        <f>(BG135+BG136+BG140+BG144+BG145+BG146+BG152+BG157+BG167+BG170+BG171+BG180)</f>
        <v>#DIV/0!</v>
      </c>
      <c r="BH188" s="16" t="e">
        <f>(BH135+BH136+BH140+BH144+BH145+BH146+BH152+BH157+BH167+BH170+BH171+BH180)</f>
        <v>#DIV/0!</v>
      </c>
      <c r="BI188" s="16" t="e">
        <f>(BI135+BI136+BI140+BI144+BI145+BI146+BI152+BI157+BI167+BI170+BI171+BI180)</f>
        <v>#DIV/0!</v>
      </c>
      <c r="BJ188" s="16" t="e">
        <f>(BJ135+BJ136+BJ140+BJ144+BJ145+BJ146+BJ152+BJ157+BJ167+BJ170+BJ171+BJ180)</f>
        <v>#DIV/0!</v>
      </c>
      <c r="BK188" s="16" t="e">
        <f>SUM(BK135,BK136,BK140,BK144,BK145,BK146,BK152,BK167,BK170,BK171,BK180,BK157)</f>
        <v>#DIV/0!</v>
      </c>
      <c r="BL188" s="16" t="e">
        <f>(BL135+BL136+BL140+BL144+BL145+BL146+BL152+BL157+BL167+BL170+BL171+BL180)</f>
        <v>#DIV/0!</v>
      </c>
      <c r="BM188" s="16" t="e">
        <f>(BM135+BM136+BM140+BM144+BM145+BM146+BM152+BM157+BM167+BM170+BM171+BM180)</f>
        <v>#DIV/0!</v>
      </c>
      <c r="BN188" s="16" t="e">
        <f>(BN135+BN136+BN140+BN144+BN145+BN146+BN152+BN157+BN167+BN170+BN171+BN180)</f>
        <v>#DIV/0!</v>
      </c>
      <c r="BO188" s="16" t="e">
        <f>(BO135+BO136+BO140+BO144+BO145+BO146+BO152+BO157+BO167+BO170+BO171+BO180)</f>
        <v>#DIV/0!</v>
      </c>
      <c r="BP188" s="16" t="e">
        <f>SUM(BP135,BP136,BP140,BP144,BP145,BP146,BP152,BP167,BP170,BP171,BP180,BP157)</f>
        <v>#DIV/0!</v>
      </c>
      <c r="BQ188" s="16" t="e">
        <f>(BQ135+BQ136+BQ140+BQ144+BQ145+BQ146+BQ152+BQ157+BQ167+BQ170+BQ171+BQ180)</f>
        <v>#DIV/0!</v>
      </c>
      <c r="BR188" s="16" t="e">
        <f>(BR135+BR136+BR140+BR144+BR145+BR146+BR152+BR157+BR167+BR170+BR171+BR180)</f>
        <v>#DIV/0!</v>
      </c>
      <c r="BS188" s="16" t="e">
        <f>(BS135+BS136+BS140+BS144+BS145+BS146+BS152+BS157+BS167+BS170+BS171+BS180)</f>
        <v>#DIV/0!</v>
      </c>
      <c r="BT188" s="16" t="e">
        <f>(BT135+BT136+BT140+BT144+BT145+BT146+BT152+BT157+BT167+BT170+BT171+BT180)</f>
        <v>#DIV/0!</v>
      </c>
      <c r="BU188" s="16" t="e">
        <f>SUM(BU135,BU136,BU140,BU144,BU145,BU146,BU152,BU167,BU170,BU171,BU180,BU157)</f>
        <v>#DIV/0!</v>
      </c>
      <c r="BV188" s="16" t="e">
        <f>(BV135+BV136+BV140+BV144+BV145+BV146+BV152+BV157+BV167+BV170+BV171+BV180)</f>
        <v>#DIV/0!</v>
      </c>
      <c r="BW188" s="16" t="e">
        <f>(BW135+BW136+BW140+BW144+BW145+BW146+BW152+BW157+BW167+BW170+BW171+BW180)</f>
        <v>#DIV/0!</v>
      </c>
      <c r="BX188" s="16" t="e">
        <f>(BX135+BX136+BX140+BX144+BX145+BX146+BX152+BX157+BX167+BX170+BX171+BX180)</f>
        <v>#DIV/0!</v>
      </c>
      <c r="BY188" s="16" t="e">
        <f>(BY135+BY136+BY140+BY144+BY145+BY146+BY152+BY157+BY167+BY170+BY171+BY180)</f>
        <v>#DIV/0!</v>
      </c>
      <c r="BZ188" s="16" t="e">
        <f>SUM(BZ135,BZ136,BZ140,BZ144,BZ145,BZ146,BZ152,BZ167,BZ170,BZ171,BZ180,BZ157)</f>
        <v>#DIV/0!</v>
      </c>
      <c r="CA188" s="16" t="e">
        <f>(CA135+CA136+CA140+CA144+CA145+CA146+CA152+CA157+CA167+CA170+CA171+CA180)</f>
        <v>#DIV/0!</v>
      </c>
      <c r="CB188" s="16" t="e">
        <f>(CB135+CB136+CB140+CB144+CB145+CB146+CB152+CB157+CB167+CB170+CB171+CB180)</f>
        <v>#DIV/0!</v>
      </c>
      <c r="CC188" s="16" t="e">
        <f>(CC135+CC136+CC140+CC144+CC145+CC146+CC152+CC157+CC167+CC170+CC171+CC180)</f>
        <v>#DIV/0!</v>
      </c>
      <c r="CD188" s="16" t="e">
        <f>(CD135+CD136+CD140+CD144+CD145+CD146+CD152+CD157+CD167+CD170+CD171+CD180)</f>
        <v>#DIV/0!</v>
      </c>
      <c r="CE188" s="16" t="e">
        <f>SUM(CE135,CE136,CE140,CE144,CE145,CE146,CE152,CE167,CE170,CE171,CE180,CE157)</f>
        <v>#DIV/0!</v>
      </c>
      <c r="CF188" s="16" t="e">
        <f>(CF135+CF136+CF140+CF144+CF145+CF146+CF152+CF157+CF167+CF170+CF171+CF180)</f>
        <v>#DIV/0!</v>
      </c>
      <c r="CG188" s="16" t="e">
        <f>(CG135+CG136+CG140+CG144+CG145+CG146+CG152+CG157+CG167+CG170+CG171+CG180)</f>
        <v>#DIV/0!</v>
      </c>
      <c r="CH188" s="16" t="e">
        <f>(CH135+CH136+CH140+CH144+CH145+CH146+CH152+CH157+CH167+CH170+CH171+CH180)</f>
        <v>#DIV/0!</v>
      </c>
      <c r="CI188" s="16" t="e">
        <f>(CI135+CI136+CI140+CI144+CI145+CI146+CI152+CI157+CI167+CI170+CI171+CI180)</f>
        <v>#DIV/0!</v>
      </c>
      <c r="CJ188" s="16" t="e">
        <f>SUM(CJ135,CJ136,CJ140,CJ144,CJ145,CJ146,CJ152,CJ167,CJ170,CJ171,CJ180,CJ157)</f>
        <v>#DIV/0!</v>
      </c>
      <c r="CK188" s="16" t="e">
        <f>(CK135+CK136+CK140+CK144+CK145+CK146+CK152+CK157+CK167+CK170+CK171+CK180)</f>
        <v>#DIV/0!</v>
      </c>
      <c r="CL188" s="16" t="e">
        <f>(CL135+CL136+CL140+CL144+CL145+CL146+CL152+CL157+CL167+CL170+CL171+CL180)</f>
        <v>#DIV/0!</v>
      </c>
      <c r="CM188" s="16" t="e">
        <f>(CM135+CM136+CM140+CM144+CM145+CM146+CM152+CM157+CM167+CM170+CM171+CM180)</f>
        <v>#DIV/0!</v>
      </c>
      <c r="CN188" s="16" t="e">
        <f>(CN135+CN136+CN140+CN144+CN145+CN146+CN152+CN157+CN167+CN170+CN171+CN180)</f>
        <v>#DIV/0!</v>
      </c>
      <c r="CO188" s="16" t="e">
        <f>SUM(CO135,CO136,CO140,CO144,CO145,CO146,CO152,CO167,CO170,CO171,CO180,CO157)</f>
        <v>#DIV/0!</v>
      </c>
      <c r="CP188" s="16" t="e">
        <f>(CP135+CP136+CP140+CP144+CP145+CP146+CP152+CP157+CP167+CP170+CP171+CP180)</f>
        <v>#DIV/0!</v>
      </c>
      <c r="CQ188" s="16" t="e">
        <f>(CQ135+CQ136+CQ140+CQ144+CQ145+CQ146+CQ152+CQ157+CQ167+CQ170+CQ171+CQ180)</f>
        <v>#DIV/0!</v>
      </c>
      <c r="CR188" s="16" t="e">
        <f>(CR135+CR136+CR140+CR144+CR145+CR146+CR152+CR157+CR167+CR170+CR171+CR180)</f>
        <v>#DIV/0!</v>
      </c>
      <c r="CS188" s="16" t="e">
        <f>(CS135+CS136+CS140+CS144+CS145+CS146+CS152+CS157+CS167+CS170+CS171+CS180)</f>
        <v>#DIV/0!</v>
      </c>
      <c r="CT188" s="16" t="e">
        <f>SUM(CT135,CT136,CT140,CT144,CT145,CT146,CT152,CT167,CT170,CT171,CT180,CT157)</f>
        <v>#DIV/0!</v>
      </c>
      <c r="CU188" s="16" t="e">
        <f>(CU135+CU136+CU140+CU144+CU145+CU146+CU152+CU157+CU167+CU170+CU171+CU180)</f>
        <v>#DIV/0!</v>
      </c>
      <c r="CV188" s="16" t="e">
        <f>(CV135+CV136+CV140+CV144+CV145+CV146+CV152+CV157+CV167+CV170+CV171+CV180)</f>
        <v>#DIV/0!</v>
      </c>
      <c r="CW188" s="16" t="e">
        <f>(CW135+CW136+CW140+CW144+CW145+CW146+CW152+CW157+CW167+CW170+CW171+CW180)</f>
        <v>#DIV/0!</v>
      </c>
      <c r="CX188" s="16" t="e">
        <f>(CX135+CX136+CX140+CX144+CX145+CX146+CX152+CX157+CX167+CX170+CX171+CX180)</f>
        <v>#DIV/0!</v>
      </c>
      <c r="CY188" s="16" t="e">
        <f>SUM(CY135,CY136,CY140,CY144,CY145,CY146,CY152,CY167,CY170,CY171,CY180,CY157)</f>
        <v>#DIV/0!</v>
      </c>
    </row>
    <row r="189">
      <c r="C189" s="26" t="inlineStr">
        <is>
          <t>Accounts payable</t>
        </is>
      </c>
      <c r="D189" s="25">
        <f>INDEX('Inputs (2)'!$D$28:$AL$28,MATCH(D$7,'Inputs (2)'!$D$2:$AL$2,0))</f>
        <v>3166</v>
      </c>
      <c r="E189" s="25">
        <f>INDEX('Inputs (2)'!$D$28:$AL$28,MATCH(E$7,'Inputs (2)'!$D$2:$AL$2,0))</f>
        <v>1453</v>
      </c>
      <c r="F189" s="25">
        <f>INDEX('Inputs (2)'!$D$28:$AL$28,MATCH(F$7,'Inputs (2)'!$D$2:$AL$2,0))</f>
        <v>1491</v>
      </c>
      <c r="G189" s="25">
        <f>INDEX('Inputs (2)'!$D$28:$AL$28,MATCH(G$7,'Inputs (2)'!$D$2:$AL$2,0))</f>
        <v>880</v>
      </c>
      <c r="H189" s="3">
        <f>G189</f>
        <v>880</v>
      </c>
      <c r="I189" s="25">
        <f>INDEX('Inputs (2)'!$D$28:$AL$28,MATCH(I$7,'Inputs (2)'!$D$2:$AL$2,0))</f>
        <v>1889</v>
      </c>
      <c r="J189" s="25">
        <f>INDEX('Inputs (2)'!$D$28:$AL$28,MATCH(J$7,'Inputs (2)'!$D$2:$AL$2,0))</f>
        <v>1608</v>
      </c>
      <c r="K189" s="25">
        <f>INDEX('Inputs (2)'!$D$28:$AL$28,MATCH(K$7,'Inputs (2)'!$D$2:$AL$2,0))</f>
        <v>1520</v>
      </c>
      <c r="L189" s="25">
        <f>INDEX('Inputs (2)'!$D$28:$AL$28,MATCH(L$7,'Inputs (2)'!$D$2:$AL$2,0))</f>
        <v>780</v>
      </c>
      <c r="M189" s="3">
        <f>L189</f>
        <v>780</v>
      </c>
      <c r="N189" s="25">
        <f>INDEX('Inputs (2)'!$D$28:$AL$28,MATCH(N$7,'Inputs (2)'!$D$2:$AL$2,0))</f>
        <v>2599</v>
      </c>
      <c r="O189" s="25">
        <f>INDEX('Inputs (2)'!$D$28:$AL$28,MATCH(O$7,'Inputs (2)'!$D$2:$AL$2,0))</f>
        <v>2309</v>
      </c>
      <c r="P189" s="25">
        <f>INDEX('Inputs (2)'!$D$28:$AL$28,MATCH(P$7,'Inputs (2)'!$D$2:$AL$2,0))</f>
        <v>2622</v>
      </c>
      <c r="Q189" s="25">
        <f>INDEX('Inputs (2)'!$D$28:$AL$28,MATCH(Q$7,'Inputs (2)'!$D$2:$AL$2,0))</f>
        <v>2117</v>
      </c>
      <c r="R189" s="3">
        <f>Q189</f>
        <v>2117</v>
      </c>
      <c r="S189" s="25">
        <f>INDEX('Inputs (2)'!$D$28:$AL$28,MATCH(S$7,'Inputs (2)'!$D$2:$AL$2,0))</f>
        <v>3271</v>
      </c>
      <c r="T189" s="25">
        <f>INDEX('Inputs (2)'!$D$28:$AL$28,MATCH(T$7,'Inputs (2)'!$D$2:$AL$2,0))</f>
        <v>3466</v>
      </c>
      <c r="U189" s="25">
        <f>INDEX('Inputs (2)'!$D$28:$AL$28,MATCH(U$7,'Inputs (2)'!$D$2:$AL$2,0))</f>
        <v>3817</v>
      </c>
      <c r="V189" s="25">
        <f>INDEX('Inputs (2)'!$D$28:$AL$28,MATCH(V$7,'Inputs (2)'!$D$2:$AL$2,0))</f>
        <v>2312</v>
      </c>
      <c r="W189" s="3">
        <f>V189</f>
        <v>2312</v>
      </c>
      <c r="X189" s="25">
        <f>INDEX('Inputs (2)'!$D$28:$AL$28,MATCH(X$7,'Inputs (2)'!$D$2:$AL$2,0))</f>
        <v>3523</v>
      </c>
      <c r="Y189" s="25">
        <f>INDEX('Inputs (2)'!$D$28:$AL$28,MATCH(Y$7,'Inputs (2)'!$D$2:$AL$2,0))</f>
        <v>3282</v>
      </c>
      <c r="Z189" s="25">
        <f>INDEX('Inputs (2)'!$D$28:$AL$28,MATCH(Z$7,'Inputs (2)'!$D$2:$AL$2,0))</f>
        <v>3221</v>
      </c>
      <c r="AA189" s="25">
        <f>INDEX('Inputs (2)'!$D$28:$AL$28,MATCH(AA$7,'Inputs (2)'!$D$2:$AL$2,0))</f>
        <v>2222</v>
      </c>
      <c r="AB189" s="3">
        <f>AA189</f>
        <v>2222</v>
      </c>
      <c r="AC189" s="25">
        <f>INDEX('Inputs (2)'!$D$28:$AL$28,MATCH(AC$7,'Inputs (2)'!$D$2:$AL$2,0))</f>
        <v>3821</v>
      </c>
      <c r="AD189" s="25">
        <f>INDEX('Inputs (2)'!$D$28:$AL$28,MATCH(AD$7,'Inputs (2)'!$D$2:$AL$2,0))</f>
        <v>3653</v>
      </c>
      <c r="AE189" s="25">
        <f>INDEX('Inputs (2)'!$D$28:$AL$28,MATCH(AE$7,'Inputs (2)'!$D$2:$AL$2,0))</f>
        <v>3834</v>
      </c>
      <c r="AF189" s="25">
        <f>INDEX('Inputs (2)'!$D$28:$AL$28,MATCH(AF$7,'Inputs (2)'!$D$2:$AL$2,0))</f>
        <v>3630</v>
      </c>
      <c r="AG189" s="3">
        <f>AF189</f>
        <v>3630</v>
      </c>
      <c r="AH189" s="3">
        <f>INDEX('Inputs (2)'!$D$28:$AL$28,MATCH(AH$7,'Inputs (2)'!$D$2:$AL$2,0))</f>
        <v>4707</v>
      </c>
      <c r="AI189" s="3">
        <f>INDEX('Inputs (2)'!$D$28:$AL$28,MATCH(AI$7,'Inputs (2)'!$D$2:$AL$2,0))</f>
        <v>4915</v>
      </c>
      <c r="AJ189" s="3">
        <f>(AJ190/(AJ$5-AI$5))*-AJ45</f>
        <v>0</v>
      </c>
      <c r="AK189" s="3">
        <f>(AK190/(AK$5-AJ$5))*-AK45</f>
        <v>0</v>
      </c>
      <c r="AL189" s="3">
        <f>AK189</f>
        <v>0</v>
      </c>
      <c r="AM189" s="3">
        <f>(AM190/(AM$5-AL$5))*-AM45</f>
        <v>0</v>
      </c>
      <c r="AN189" s="3">
        <f>(AN190/(AN$5-AM$5))*-AN45</f>
        <v>0</v>
      </c>
      <c r="AO189" s="3">
        <f>(AO190/(AO$5-AN$5))*-AO45</f>
        <v>0</v>
      </c>
      <c r="AP189" s="3">
        <f>(AP190/(AP$5-AO$5))*-AP45</f>
        <v>0</v>
      </c>
      <c r="AQ189" s="3">
        <f>AP189</f>
        <v>0</v>
      </c>
      <c r="AR189" s="3">
        <f>(AR190/(AR$5-AQ$5))*-AR45</f>
        <v>0</v>
      </c>
      <c r="AS189" s="3">
        <f>(AS190/(AS$5-AR$5))*-AS45</f>
        <v>0</v>
      </c>
      <c r="AT189" s="3">
        <f>(AT190/(AT$5-AS$5))*-AT45</f>
        <v>0</v>
      </c>
      <c r="AU189" s="3">
        <f>(AU190/(AU$5-AT$5))*-AU45</f>
        <v>0</v>
      </c>
      <c r="AV189" s="3">
        <f>AU189</f>
        <v>0</v>
      </c>
      <c r="AW189" s="3">
        <f>(AW190/(AW$5-AV$5))*-AW45</f>
        <v>0</v>
      </c>
      <c r="AX189" s="3">
        <f>(AX190/(AX$5-AW$5))*-AX45</f>
        <v>0</v>
      </c>
      <c r="AY189" s="3">
        <f>(AY190/(AY$5-AX$5))*-AY45</f>
        <v>0</v>
      </c>
      <c r="AZ189" s="3">
        <f>(AZ190/(AZ$5-AY$5))*-AZ45</f>
        <v>0</v>
      </c>
      <c r="BA189" s="3">
        <f>AZ189</f>
        <v>0</v>
      </c>
      <c r="BB189" s="3">
        <f>(BB190/(BB$5-BA$5))*-BB45</f>
        <v>0</v>
      </c>
      <c r="BC189" s="3">
        <f>(BC190/(BC$5-BB$5))*-BC45</f>
        <v>0</v>
      </c>
      <c r="BD189" s="3">
        <f>(BD190/(BD$5-BC$5))*-BD45</f>
        <v>0</v>
      </c>
      <c r="BE189" s="3">
        <f>(BE190/(BE$5-BD$5))*-BE45</f>
        <v>0</v>
      </c>
      <c r="BF189" s="3">
        <f>BE189</f>
        <v>0</v>
      </c>
      <c r="BG189" s="3">
        <f>(BG190/(BG$5-BF$5))*-BG45</f>
        <v>0</v>
      </c>
      <c r="BH189" s="3">
        <f>(BH190/(BH$5-BG$5))*-BH45</f>
        <v>0</v>
      </c>
      <c r="BI189" s="3">
        <f>(BI190/(BI$5-BH$5))*-BI45</f>
        <v>0</v>
      </c>
      <c r="BJ189" s="3">
        <f>(BJ190/(BJ$5-BI$5))*-BJ45</f>
        <v>0</v>
      </c>
      <c r="BK189" s="3">
        <f>BJ189</f>
        <v>0</v>
      </c>
      <c r="BL189" s="3">
        <f>(BL190/(BL$5-BK$5))*-BL45</f>
        <v>0</v>
      </c>
      <c r="BM189" s="3">
        <f>(BM190/(BM$5-BL$5))*-BM45</f>
        <v>0</v>
      </c>
      <c r="BN189" s="3">
        <f>(BN190/(BN$5-BM$5))*-BN45</f>
        <v>0</v>
      </c>
      <c r="BO189" s="3">
        <f>(BO190/(BO$5-BN$5))*-BO45</f>
        <v>0</v>
      </c>
      <c r="BP189" s="3">
        <f>BO189</f>
        <v>0</v>
      </c>
      <c r="BQ189" s="3">
        <f>(BQ190/(BQ$5-BP$5))*-BQ45</f>
        <v>0</v>
      </c>
      <c r="BR189" s="3">
        <f>(BR190/(BR$5-BQ$5))*-BR45</f>
        <v>0</v>
      </c>
      <c r="BS189" s="3">
        <f>(BS190/(BS$5-BR$5))*-BS45</f>
        <v>0</v>
      </c>
      <c r="BT189" s="3">
        <f>(BT190/(BT$5-BS$5))*-BT45</f>
        <v>0</v>
      </c>
      <c r="BU189" s="3">
        <f>BT189</f>
        <v>0</v>
      </c>
      <c r="BV189" s="3">
        <f>(BV190/(BV$5-BU$5))*-BV45</f>
        <v>0</v>
      </c>
      <c r="BW189" s="3">
        <f>(BW190/(BW$5-BV$5))*-BW45</f>
        <v>0</v>
      </c>
      <c r="BX189" s="3">
        <f>(BX190/(BX$5-BW$5))*-BX45</f>
        <v>0</v>
      </c>
      <c r="BY189" s="3">
        <f>(BY190/(BY$5-BX$5))*-BY45</f>
        <v>0</v>
      </c>
      <c r="BZ189" s="3">
        <f>BY189</f>
        <v>0</v>
      </c>
      <c r="CA189" s="3">
        <f>(CA190/(CA$5-BZ$5))*-CA45</f>
        <v>0</v>
      </c>
      <c r="CB189" s="3">
        <f>(CB190/(CB$5-CA$5))*-CB45</f>
        <v>0</v>
      </c>
      <c r="CC189" s="3">
        <f>(CC190/(CC$5-CB$5))*-CC45</f>
        <v>0</v>
      </c>
      <c r="CD189" s="3">
        <f>(CD190/(CD$5-CC$5))*-CD45</f>
        <v>0</v>
      </c>
      <c r="CE189" s="3">
        <f>CD189</f>
        <v>0</v>
      </c>
      <c r="CF189" s="3">
        <f>(CF190/(CF$5-CE$5))*-CF45</f>
        <v>0</v>
      </c>
      <c r="CG189" s="3">
        <f>(CG190/(CG$5-CF$5))*-CG45</f>
        <v>0</v>
      </c>
      <c r="CH189" s="3">
        <f>(CH190/(CH$5-CG$5))*-CH45</f>
        <v>0</v>
      </c>
      <c r="CI189" s="3">
        <f>(CI190/(CI$5-CH$5))*-CI45</f>
        <v>0</v>
      </c>
      <c r="CJ189" s="3">
        <f>CI189</f>
        <v>0</v>
      </c>
      <c r="CK189" s="3">
        <f>(CK190/(CK$5-CJ$5))*-CK45</f>
        <v>0</v>
      </c>
      <c r="CL189" s="3">
        <f>(CL190/(CL$5-CK$5))*-CL45</f>
        <v>0</v>
      </c>
      <c r="CM189" s="3">
        <f>(CM190/(CM$5-CL$5))*-CM45</f>
        <v>0</v>
      </c>
      <c r="CN189" s="3">
        <f>(CN190/(CN$5-CM$5))*-CN45</f>
        <v>0</v>
      </c>
      <c r="CO189" s="3">
        <f>CN189</f>
        <v>0</v>
      </c>
      <c r="CP189" s="3">
        <f>(CP190/(CP$5-CO$5))*-CP45</f>
        <v>0</v>
      </c>
      <c r="CQ189" s="3">
        <f>(CQ190/(CQ$5-CP$5))*-CQ45</f>
        <v>0</v>
      </c>
      <c r="CR189" s="3">
        <f>(CR190/(CR$5-CQ$5))*-CR45</f>
        <v>0</v>
      </c>
      <c r="CS189" s="3">
        <f>(CS190/(CS$5-CR$5))*-CS45</f>
        <v>0</v>
      </c>
      <c r="CT189" s="3">
        <f>CS189</f>
        <v>0</v>
      </c>
      <c r="CU189" s="3">
        <f>(CU190/(CU$5-CT$5))*-CU45</f>
        <v>0</v>
      </c>
      <c r="CV189" s="3">
        <f>(CV190/(CV$5-CU$5))*-CV45</f>
        <v>0</v>
      </c>
      <c r="CW189" s="3">
        <f>(CW190/(CW$5-CV$5))*-CW45</f>
        <v>0</v>
      </c>
      <c r="CX189" s="3">
        <f>(CX190/(CX$5-CW$5))*-CX45</f>
        <v>0</v>
      </c>
      <c r="CY189" s="3">
        <f>CX189</f>
        <v>0</v>
      </c>
    </row>
    <row r="190" hidden="1" outlineLevel="1">
      <c r="C190" s="34" t="inlineStr">
        <is>
          <t>DPO</t>
        </is>
      </c>
      <c r="D190" s="3" t="n"/>
      <c r="E190" s="3">
        <f>-(E189/E$45)*(E$5-D$5)</f>
        <v>9.43978010994503</v>
      </c>
      <c r="F190" s="3">
        <f>-(F189/F$45)*(F$5-E$5)</f>
        <v>9.55303294101261</v>
      </c>
      <c r="G190" s="3">
        <f>-(G189/G$45)*(G$5-F$5)</f>
        <v>5.46362532055608</v>
      </c>
      <c r="H190" s="3" t="n"/>
      <c r="I190" s="3">
        <f>-(I189/I$45)*(I$5-H$5)</f>
        <v>12.0814383172257</v>
      </c>
      <c r="J190" s="3">
        <f>-(J189/J$45)*(J$5-I$5)</f>
        <v>9.83519290227181</v>
      </c>
      <c r="K190" s="3">
        <f>-(K189/K$45)*(K$5-J$5)</f>
        <v>10.1879644470348</v>
      </c>
      <c r="L190" s="3">
        <f>-(L189/L$45)*(L$5-K$5)</f>
        <v>4.68805121839681</v>
      </c>
      <c r="M190" s="3" t="n"/>
      <c r="N190" s="3">
        <f>-(N189/N$45)*(N$5-M$5)</f>
        <v>17.91727307545</v>
      </c>
      <c r="O190" s="3">
        <f>-(O189/O$45)*(O$5-N$5)</f>
        <v>15.5759080800593</v>
      </c>
      <c r="P190" s="3">
        <f>-(P189/P$45)*(P$5-O$5)</f>
        <v>16.6786973656918</v>
      </c>
      <c r="Q190" s="3">
        <f>-(Q189/Q$45)*(Q$5-P$5)</f>
        <v>11.6702019294146</v>
      </c>
      <c r="R190" s="3" t="n"/>
      <c r="S190" s="3">
        <f>-(S189/S$45)*(S$5-R$5)</f>
        <v>22.506880733945</v>
      </c>
      <c r="T190" s="3">
        <f>-(T189/T$45)*(T$5-S$5)</f>
        <v>21.5987125933027</v>
      </c>
      <c r="U190" s="3">
        <f>-(U189/U$45)*(U$5-T$5)</f>
        <v>23.6792987188132</v>
      </c>
      <c r="V190" s="3">
        <f>-(V189/V$45)*(V$5-U$5)</f>
        <v>12.8297243500814</v>
      </c>
      <c r="W190" s="3" t="n"/>
      <c r="X190" s="3">
        <f>-(X189/X$45)*(X$5-W$5)</f>
        <v>21.0888698855414</v>
      </c>
      <c r="Y190" s="3">
        <f>-(Y189/Y$45)*(Y$5-X$5)</f>
        <v>18.6757128564282</v>
      </c>
      <c r="Z190" s="3">
        <f>-(Z189/Z$45)*(Z$5-Y$5)</f>
        <v>19.7726029225329</v>
      </c>
      <c r="AA190" s="3">
        <f>-(AA189/AA$45)*(AA$5-Z$5)</f>
        <v>11.3999553870176</v>
      </c>
      <c r="AB190" s="3" t="n"/>
      <c r="AC190" s="3">
        <f>-(AC189/AC$45)*(AC$5-AB$5)</f>
        <v>21.9878516624041</v>
      </c>
      <c r="AD190" s="3">
        <f>-(AD189/AD$45)*(AD$5-AC$5)</f>
        <v>19.0817404282188</v>
      </c>
      <c r="AE190" s="3">
        <f>-(AE189/AE$45)*(AE$5-AD$5)</f>
        <v>21.5485368684709</v>
      </c>
      <c r="AF190" s="6">
        <f>-(AF189/AF$45)*(AF$5-AE$5)</f>
        <v>18.5543641313406</v>
      </c>
      <c r="AG190" s="3" t="n"/>
      <c r="AH190" s="6">
        <f>-(AH189/AH$45)*(AH$5-AG$5)</f>
        <v>26.5715360973468</v>
      </c>
      <c r="AI190" s="6">
        <f>-(AI189/AI$45)*(AI$5-AH$5)</f>
        <v>25.3882613384799</v>
      </c>
      <c r="AJ190" s="6" t="n"/>
      <c r="AK190" s="6" t="n"/>
      <c r="AL190" s="3" t="n"/>
      <c r="AM190" s="6" t="n"/>
      <c r="AN190" s="6" t="n"/>
      <c r="AO190" s="6" t="n"/>
      <c r="AP190" s="6" t="n"/>
      <c r="AQ190" s="3" t="n"/>
      <c r="AR190" s="6" t="n"/>
      <c r="AS190" s="6" t="n"/>
      <c r="AT190" s="6" t="n"/>
      <c r="AU190" s="6" t="n"/>
      <c r="AV190" s="3" t="n"/>
      <c r="AW190" s="6" t="n"/>
      <c r="AX190" s="6" t="n"/>
      <c r="AY190" s="6" t="n"/>
      <c r="AZ190" s="6" t="n"/>
      <c r="BA190" s="3" t="n"/>
      <c r="BB190" s="6" t="n"/>
      <c r="BC190" s="6" t="n"/>
      <c r="BD190" s="6" t="n"/>
      <c r="BE190" s="6" t="n"/>
      <c r="BF190" s="3" t="n"/>
      <c r="BG190" s="6" t="n"/>
      <c r="BH190" s="6" t="n"/>
      <c r="BI190" s="6" t="n"/>
      <c r="BJ190" s="6" t="n"/>
      <c r="BK190" s="3" t="n"/>
      <c r="BL190" s="6" t="n"/>
      <c r="BM190" s="6" t="n"/>
      <c r="BN190" s="6" t="n"/>
      <c r="BO190" s="6" t="n"/>
      <c r="BP190" s="3" t="n"/>
      <c r="BQ190" s="6" t="n"/>
      <c r="BR190" s="6" t="n"/>
      <c r="BS190" s="6" t="n"/>
      <c r="BT190" s="6" t="n"/>
      <c r="BU190" s="3" t="n"/>
      <c r="BV190" s="6" t="n"/>
      <c r="BW190" s="6" t="n"/>
      <c r="BX190" s="6" t="n"/>
      <c r="BY190" s="6" t="n"/>
      <c r="BZ190" s="3" t="n"/>
      <c r="CA190" s="6" t="n"/>
      <c r="CB190" s="6" t="n"/>
      <c r="CC190" s="6" t="n"/>
      <c r="CD190" s="6" t="n"/>
      <c r="CE190" s="3" t="n"/>
      <c r="CF190" s="6" t="n"/>
      <c r="CG190" s="6" t="n"/>
      <c r="CH190" s="6" t="n"/>
      <c r="CI190" s="6" t="n"/>
      <c r="CJ190" s="3" t="n"/>
      <c r="CK190" s="6" t="n"/>
      <c r="CL190" s="6" t="n"/>
      <c r="CM190" s="6" t="n"/>
      <c r="CN190" s="6" t="n"/>
      <c r="CO190" s="3" t="n"/>
      <c r="CP190" s="6" t="n"/>
      <c r="CQ190" s="6" t="n"/>
      <c r="CR190" s="6" t="n"/>
      <c r="CS190" s="6" t="n"/>
      <c r="CT190" s="3" t="n"/>
      <c r="CU190" s="6" t="n"/>
      <c r="CV190" s="6" t="n"/>
      <c r="CW190" s="6" t="n"/>
      <c r="CX190" s="6" t="n"/>
      <c r="CY190" s="3" t="n"/>
    </row>
    <row r="191" hidden="1" outlineLevel="1">
      <c r="C191" s="34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3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collapsed="1">
      <c r="C193" s="26" t="inlineStr">
        <is>
          <t>Accrued expenses</t>
        </is>
      </c>
      <c r="D193" s="25">
        <f>INDEX('Inputs (2)'!$D$29:$AL$29,MATCH(D$7,'Inputs (2)'!$D$2:$AL$2,0))</f>
        <v>2022</v>
      </c>
      <c r="E193" s="25">
        <f>INDEX('Inputs (2)'!$D$29:$AL$29,MATCH(E$7,'Inputs (2)'!$D$2:$AL$2,0))</f>
        <v>2488</v>
      </c>
      <c r="F193" s="25">
        <f>INDEX('Inputs (2)'!$D$29:$AL$29,MATCH(F$7,'Inputs (2)'!$D$2:$AL$2,0))</f>
        <v>2818</v>
      </c>
      <c r="G193" s="25">
        <f>INDEX('Inputs (2)'!$D$29:$AL$29,MATCH(G$7,'Inputs (2)'!$D$2:$AL$2,0))</f>
        <v>3163</v>
      </c>
      <c r="H193" s="3">
        <f>G193</f>
        <v>3163</v>
      </c>
      <c r="I193" s="25">
        <f>INDEX('Inputs (2)'!$D$29:$AL$29,MATCH(I$7,'Inputs (2)'!$D$2:$AL$2,0))</f>
        <v>2794</v>
      </c>
      <c r="J193" s="25">
        <f>INDEX('Inputs (2)'!$D$29:$AL$29,MATCH(J$7,'Inputs (2)'!$D$2:$AL$2,0))</f>
        <v>3029</v>
      </c>
      <c r="K193" s="25">
        <f>INDEX('Inputs (2)'!$D$29:$AL$29,MATCH(K$7,'Inputs (2)'!$D$2:$AL$2,0))</f>
        <v>3122</v>
      </c>
      <c r="L193" s="25">
        <f>INDEX('Inputs (2)'!$D$29:$AL$29,MATCH(L$7,'Inputs (2)'!$D$2:$AL$2,0))</f>
        <v>3108</v>
      </c>
      <c r="M193" s="3">
        <f>L193</f>
        <v>3108</v>
      </c>
      <c r="N193" s="25">
        <f>INDEX('Inputs (2)'!$D$29:$AL$29,MATCH(N$7,'Inputs (2)'!$D$2:$AL$2,0))</f>
        <v>2671</v>
      </c>
      <c r="O193" s="25">
        <f>INDEX('Inputs (2)'!$D$29:$AL$29,MATCH(O$7,'Inputs (2)'!$D$2:$AL$2,0))</f>
        <v>2935</v>
      </c>
      <c r="P193" s="25">
        <f>INDEX('Inputs (2)'!$D$29:$AL$29,MATCH(P$7,'Inputs (2)'!$D$2:$AL$2,0))</f>
        <v>3151</v>
      </c>
      <c r="Q193" s="25">
        <f>INDEX('Inputs (2)'!$D$29:$AL$29,MATCH(Q$7,'Inputs (2)'!$D$2:$AL$2,0))</f>
        <v>3075</v>
      </c>
      <c r="R193" s="3">
        <f>Q193</f>
        <v>3075</v>
      </c>
      <c r="S193" s="25">
        <f>INDEX('Inputs (2)'!$D$29:$AL$29,MATCH(S$7,'Inputs (2)'!$D$2:$AL$2,0))</f>
        <v>2634</v>
      </c>
      <c r="T193" s="25">
        <f>INDEX('Inputs (2)'!$D$29:$AL$29,MATCH(T$7,'Inputs (2)'!$D$2:$AL$2,0))</f>
        <v>2896</v>
      </c>
      <c r="U193" s="25">
        <f>INDEX('Inputs (2)'!$D$29:$AL$29,MATCH(U$7,'Inputs (2)'!$D$2:$AL$2,0))</f>
        <v>3139</v>
      </c>
      <c r="V193" s="25">
        <f>INDEX('Inputs (2)'!$D$29:$AL$29,MATCH(V$7,'Inputs (2)'!$D$2:$AL$2,0))</f>
        <v>3133</v>
      </c>
      <c r="W193" s="3">
        <f>V193</f>
        <v>3133</v>
      </c>
      <c r="X193" s="25">
        <f>INDEX('Inputs (2)'!$D$29:$AL$29,MATCH(X$7,'Inputs (2)'!$D$2:$AL$2,0))</f>
        <v>2679</v>
      </c>
      <c r="Y193" s="25">
        <f>INDEX('Inputs (2)'!$D$29:$AL$29,MATCH(Y$7,'Inputs (2)'!$D$2:$AL$2,0))</f>
        <v>2871</v>
      </c>
      <c r="Z193" s="25">
        <f>INDEX('Inputs (2)'!$D$29:$AL$29,MATCH(Z$7,'Inputs (2)'!$D$2:$AL$2,0))</f>
        <v>3076</v>
      </c>
      <c r="AA193" s="25">
        <f>INDEX('Inputs (2)'!$D$29:$AL$29,MATCH(AA$7,'Inputs (2)'!$D$2:$AL$2,0))</f>
        <v>3125</v>
      </c>
      <c r="AB193" s="3">
        <f>AA193</f>
        <v>3125</v>
      </c>
      <c r="AC193" s="25">
        <f>INDEX('Inputs (2)'!$D$29:$AL$29,MATCH(AC$7,'Inputs (2)'!$D$2:$AL$2,0))</f>
        <v>2391</v>
      </c>
      <c r="AD193" s="25">
        <f>INDEX('Inputs (2)'!$D$29:$AL$29,MATCH(AD$7,'Inputs (2)'!$D$2:$AL$2,0))</f>
        <v>2761</v>
      </c>
      <c r="AE193" s="25">
        <f>INDEX('Inputs (2)'!$D$29:$AL$29,MATCH(AE$7,'Inputs (2)'!$D$2:$AL$2,0))</f>
        <v>3065</v>
      </c>
      <c r="AF193" s="25">
        <f>INDEX('Inputs (2)'!$D$29:$AL$29,MATCH(AF$7,'Inputs (2)'!$D$2:$AL$2,0))</f>
        <v>3184</v>
      </c>
      <c r="AG193" s="3">
        <f>AF193</f>
        <v>3184</v>
      </c>
      <c r="AH193" s="3">
        <f>INDEX('Inputs (2)'!$D$29:$AL$29,MATCH(AH$7,'Inputs (2)'!$D$2:$AL$2,0))</f>
        <v>2676</v>
      </c>
      <c r="AI193" s="3">
        <f>INDEX('Inputs (2)'!$D$29:$AL$29,MATCH(AI$7,'Inputs (2)'!$D$2:$AL$2,0))</f>
        <v>3003</v>
      </c>
      <c r="AJ193" s="3">
        <f>AH193*AJ49/AH49</f>
        <v>0</v>
      </c>
      <c r="AK193" s="3">
        <f>AI193*AK49/AI49</f>
        <v>0</v>
      </c>
      <c r="AL193" s="3">
        <f>AK193</f>
        <v>0</v>
      </c>
      <c r="AM193" s="3" t="e">
        <f>AK193*AM49/AK49</f>
        <v>#DIV/0!</v>
      </c>
      <c r="AN193" s="3">
        <f>AL193*AN49/AL49</f>
        <v>0</v>
      </c>
      <c r="AO193" s="3" t="e">
        <f>AM193*AO49/AM49</f>
        <v>#DIV/0!</v>
      </c>
      <c r="AP193" s="3" t="e">
        <f>AN193*AP49/AN49</f>
        <v>#DIV/0!</v>
      </c>
      <c r="AQ193" s="3" t="e">
        <f>AP193</f>
        <v>#DIV/0!</v>
      </c>
      <c r="AR193" s="3" t="e">
        <f>AP193*AR49/AP49</f>
        <v>#DIV/0!</v>
      </c>
      <c r="AS193" s="3" t="e">
        <f>AQ193*AS49/AQ49</f>
        <v>#DIV/0!</v>
      </c>
      <c r="AT193" s="3" t="e">
        <f>AR193*AT49/AR49</f>
        <v>#DIV/0!</v>
      </c>
      <c r="AU193" s="3" t="e">
        <f>AS193*AU49/AS49</f>
        <v>#DIV/0!</v>
      </c>
      <c r="AV193" s="3" t="e">
        <f>AU193</f>
        <v>#DIV/0!</v>
      </c>
      <c r="AW193" s="3" t="e">
        <f>AU193*AW49/AU49</f>
        <v>#DIV/0!</v>
      </c>
      <c r="AX193" s="3" t="e">
        <f>AV193*AX49/AV49</f>
        <v>#DIV/0!</v>
      </c>
      <c r="AY193" s="3" t="e">
        <f>AW193*AY49/AW49</f>
        <v>#DIV/0!</v>
      </c>
      <c r="AZ193" s="3" t="e">
        <f>AX193*AZ49/AX49</f>
        <v>#DIV/0!</v>
      </c>
      <c r="BA193" s="3" t="e">
        <f>AZ193</f>
        <v>#DIV/0!</v>
      </c>
      <c r="BB193" s="3" t="e">
        <f>AZ193*BB49/AZ49</f>
        <v>#DIV/0!</v>
      </c>
      <c r="BC193" s="3" t="e">
        <f>BA193*BC49/BA49</f>
        <v>#DIV/0!</v>
      </c>
      <c r="BD193" s="3" t="e">
        <f>BB193*BD49/BB49</f>
        <v>#DIV/0!</v>
      </c>
      <c r="BE193" s="3" t="e">
        <f>BC193*BE49/BC49</f>
        <v>#DIV/0!</v>
      </c>
      <c r="BF193" s="3" t="e">
        <f>BE193</f>
        <v>#DIV/0!</v>
      </c>
      <c r="BG193" s="3" t="e">
        <f>BE193*BG49/BE49</f>
        <v>#DIV/0!</v>
      </c>
      <c r="BH193" s="3" t="e">
        <f>BF193*BH49/BF49</f>
        <v>#DIV/0!</v>
      </c>
      <c r="BI193" s="3" t="e">
        <f>BG193*BI49/BG49</f>
        <v>#DIV/0!</v>
      </c>
      <c r="BJ193" s="3" t="e">
        <f>BH193*BJ49/BH49</f>
        <v>#DIV/0!</v>
      </c>
      <c r="BK193" s="3" t="e">
        <f>BJ193</f>
        <v>#DIV/0!</v>
      </c>
      <c r="BL193" s="3" t="e">
        <f>BJ193*BL49/BJ49</f>
        <v>#DIV/0!</v>
      </c>
      <c r="BM193" s="3" t="e">
        <f>BK193*BM49/BK49</f>
        <v>#DIV/0!</v>
      </c>
      <c r="BN193" s="3" t="e">
        <f>BL193*BN49/BL49</f>
        <v>#DIV/0!</v>
      </c>
      <c r="BO193" s="3" t="e">
        <f>BM193*BO49/BM49</f>
        <v>#DIV/0!</v>
      </c>
      <c r="BP193" s="3" t="e">
        <f>BO193</f>
        <v>#DIV/0!</v>
      </c>
      <c r="BQ193" s="3" t="e">
        <f>BO193*BQ49/BO49</f>
        <v>#DIV/0!</v>
      </c>
      <c r="BR193" s="3" t="e">
        <f>BP193*BR49/BP49</f>
        <v>#DIV/0!</v>
      </c>
      <c r="BS193" s="3" t="e">
        <f>BQ193*BS49/BQ49</f>
        <v>#DIV/0!</v>
      </c>
      <c r="BT193" s="3" t="e">
        <f>BR193*BT49/BR49</f>
        <v>#DIV/0!</v>
      </c>
      <c r="BU193" s="3" t="e">
        <f>BT193</f>
        <v>#DIV/0!</v>
      </c>
      <c r="BV193" s="3" t="e">
        <f>BT193*BV49/BT49</f>
        <v>#DIV/0!</v>
      </c>
      <c r="BW193" s="3" t="e">
        <f>BU193*BW49/BU49</f>
        <v>#DIV/0!</v>
      </c>
      <c r="BX193" s="3" t="e">
        <f>BV193*BX49/BV49</f>
        <v>#DIV/0!</v>
      </c>
      <c r="BY193" s="3" t="e">
        <f>BW193*BY49/BW49</f>
        <v>#DIV/0!</v>
      </c>
      <c r="BZ193" s="3" t="e">
        <f>BY193</f>
        <v>#DIV/0!</v>
      </c>
      <c r="CA193" s="3" t="e">
        <f>BY193*CA49/BY49</f>
        <v>#DIV/0!</v>
      </c>
      <c r="CB193" s="3" t="e">
        <f>BZ193*CB49/BZ49</f>
        <v>#DIV/0!</v>
      </c>
      <c r="CC193" s="3" t="e">
        <f>CA193*CC49/CA49</f>
        <v>#DIV/0!</v>
      </c>
      <c r="CD193" s="3" t="e">
        <f>CB193*CD49/CB49</f>
        <v>#DIV/0!</v>
      </c>
      <c r="CE193" s="3" t="e">
        <f>CD193</f>
        <v>#DIV/0!</v>
      </c>
      <c r="CF193" s="3" t="e">
        <f>CD193*CF49/CD49</f>
        <v>#DIV/0!</v>
      </c>
      <c r="CG193" s="3" t="e">
        <f>CE193*CG49/CE49</f>
        <v>#DIV/0!</v>
      </c>
      <c r="CH193" s="3" t="e">
        <f>CF193*CH49/CF49</f>
        <v>#DIV/0!</v>
      </c>
      <c r="CI193" s="3" t="e">
        <f>CG193*CI49/CG49</f>
        <v>#DIV/0!</v>
      </c>
      <c r="CJ193" s="3" t="e">
        <f>CI193</f>
        <v>#DIV/0!</v>
      </c>
      <c r="CK193" s="3" t="e">
        <f>CI193*CK49/CI49</f>
        <v>#DIV/0!</v>
      </c>
      <c r="CL193" s="3" t="e">
        <f>CJ193*CL49/CJ49</f>
        <v>#DIV/0!</v>
      </c>
      <c r="CM193" s="3" t="e">
        <f>CK193*CM49/CK49</f>
        <v>#DIV/0!</v>
      </c>
      <c r="CN193" s="3" t="e">
        <f>CL193*CN49/CL49</f>
        <v>#DIV/0!</v>
      </c>
      <c r="CO193" s="3" t="e">
        <f>CN193</f>
        <v>#DIV/0!</v>
      </c>
      <c r="CP193" s="3" t="e">
        <f>CN193*CP49/CN49</f>
        <v>#DIV/0!</v>
      </c>
      <c r="CQ193" s="3" t="e">
        <f>CO193*CQ49/CO49</f>
        <v>#DIV/0!</v>
      </c>
      <c r="CR193" s="3" t="e">
        <f>CP193*CR49/CP49</f>
        <v>#DIV/0!</v>
      </c>
      <c r="CS193" s="3" t="e">
        <f>CQ193*CS49/CQ49</f>
        <v>#DIV/0!</v>
      </c>
      <c r="CT193" s="3" t="e">
        <f>CS193</f>
        <v>#DIV/0!</v>
      </c>
      <c r="CU193" s="3" t="e">
        <f>CS193*CU49/CS49</f>
        <v>#DIV/0!</v>
      </c>
      <c r="CV193" s="3" t="e">
        <f>CT193*CV49/CT49</f>
        <v>#DIV/0!</v>
      </c>
      <c r="CW193" s="3" t="e">
        <f>CU193*CW49/CU49</f>
        <v>#DIV/0!</v>
      </c>
      <c r="CX193" s="3" t="e">
        <f>CV193*CX49/CV49</f>
        <v>#DIV/0!</v>
      </c>
      <c r="CY193" s="3" t="e">
        <f>CX193</f>
        <v>#DIV/0!</v>
      </c>
    </row>
    <row r="194" hidden="1" outlineLevel="1">
      <c r="C194" s="38" t="inlineStr">
        <is>
          <t>%(Var.)</t>
        </is>
      </c>
      <c r="D194" s="3" t="n"/>
      <c r="E194" s="47">
        <f>(E193-D193)/D193</f>
        <v>0.230464886251236</v>
      </c>
      <c r="F194" s="47">
        <f>(F193-E193)/E193</f>
        <v>0.132636655948553</v>
      </c>
      <c r="G194" s="47">
        <f>(G193-F193)/F193</f>
        <v>0.122427253371185</v>
      </c>
      <c r="H194" s="3" t="n"/>
      <c r="I194" s="47">
        <f>(I193-H193)/H193</f>
        <v>-0.116661397407525</v>
      </c>
      <c r="J194" s="47">
        <f>(J193-I193)/I193</f>
        <v>0.0841088045812455</v>
      </c>
      <c r="K194" s="47">
        <f>(K193-J193)/J193</f>
        <v>0.0307032023770221</v>
      </c>
      <c r="L194" s="47">
        <f>(L193-K193)/K193</f>
        <v>-0.00448430493273543</v>
      </c>
      <c r="M194" s="3" t="n"/>
      <c r="N194" s="47">
        <f>(N193-M193)/M193</f>
        <v>-0.140604890604891</v>
      </c>
      <c r="O194" s="47">
        <f>(O193-N193)/N193</f>
        <v>0.0988393859977537</v>
      </c>
      <c r="P194" s="47">
        <f>(P193-O193)/O193</f>
        <v>0.0735945485519591</v>
      </c>
      <c r="Q194" s="47">
        <f>(Q193-P193)/P193</f>
        <v>-0.024119327197715</v>
      </c>
      <c r="R194" s="3" t="n"/>
      <c r="S194" s="47">
        <f>(S193-R193)/R193</f>
        <v>-0.143414634146341</v>
      </c>
      <c r="T194" s="47">
        <f>(T193-S193)/S193</f>
        <v>0.0994684889901291</v>
      </c>
      <c r="U194" s="47">
        <f>(U193-T193)/T193</f>
        <v>0.0839088397790055</v>
      </c>
      <c r="V194" s="47">
        <f>(V193-U193)/U193</f>
        <v>-0.00191143676330041</v>
      </c>
      <c r="W194" s="3" t="n"/>
      <c r="X194" s="47">
        <f>(X193-W193)/W193</f>
        <v>-0.144909032875838</v>
      </c>
      <c r="Y194" s="47">
        <f>(Y193-X193)/X193</f>
        <v>0.0716685330347145</v>
      </c>
      <c r="Z194" s="47">
        <f>(Z193-Y193)/Y193</f>
        <v>0.0714036920933473</v>
      </c>
      <c r="AA194" s="47">
        <f>(AA193-Z193)/Z193</f>
        <v>0.0159297789336801</v>
      </c>
      <c r="AB194" s="3" t="n"/>
      <c r="AC194" s="47">
        <f>(AC193-AB193)/AB193</f>
        <v>-0.23488</v>
      </c>
      <c r="AD194" s="47">
        <f>(AD193-AC193)/AC193</f>
        <v>0.154746967795901</v>
      </c>
      <c r="AE194" s="47">
        <f>(AE193-AD193)/AD193</f>
        <v>0.110105034407823</v>
      </c>
      <c r="AF194" s="218">
        <f>(AF193-AE193)/AE193</f>
        <v>0.0388254486133768</v>
      </c>
      <c r="AG194" s="3" t="n"/>
      <c r="AH194" s="218">
        <f>(AH193-AG193)/AG193</f>
        <v>-0.159547738693467</v>
      </c>
      <c r="AI194" s="218">
        <f>(AI193-AH193)/AH193</f>
        <v>0.12219730941704</v>
      </c>
      <c r="AJ194" s="218" t="n"/>
      <c r="AK194" s="218" t="n"/>
      <c r="AL194" s="3" t="n"/>
      <c r="AM194" s="218" t="n"/>
      <c r="AN194" s="218" t="n"/>
      <c r="AO194" s="218" t="n"/>
      <c r="AP194" s="218" t="n"/>
      <c r="AQ194" s="3" t="n"/>
      <c r="AR194" s="218" t="n"/>
      <c r="AS194" s="218" t="n"/>
      <c r="AT194" s="218" t="n"/>
      <c r="AU194" s="218" t="n"/>
      <c r="AV194" s="3" t="n"/>
      <c r="AW194" s="218" t="n"/>
      <c r="AX194" s="218" t="n"/>
      <c r="AY194" s="218" t="n"/>
      <c r="AZ194" s="218" t="n"/>
      <c r="BA194" s="3" t="n"/>
      <c r="BB194" s="218" t="n"/>
      <c r="BC194" s="218" t="n"/>
      <c r="BD194" s="218" t="n"/>
      <c r="BE194" s="218" t="n"/>
      <c r="BF194" s="3" t="n"/>
      <c r="BG194" s="218" t="n"/>
      <c r="BH194" s="218" t="n"/>
      <c r="BI194" s="218" t="n"/>
      <c r="BJ194" s="218" t="n"/>
      <c r="BK194" s="3" t="n"/>
      <c r="BL194" s="218" t="n"/>
      <c r="BM194" s="218" t="n"/>
      <c r="BN194" s="218" t="n"/>
      <c r="BO194" s="218" t="n"/>
      <c r="BP194" s="3" t="n"/>
      <c r="BQ194" s="218" t="n"/>
      <c r="BR194" s="218" t="n"/>
      <c r="BS194" s="218" t="n"/>
      <c r="BT194" s="218" t="n"/>
      <c r="BU194" s="3" t="n"/>
      <c r="BV194" s="218" t="n"/>
      <c r="BW194" s="218" t="n"/>
      <c r="BX194" s="218" t="n"/>
      <c r="BY194" s="218" t="n"/>
      <c r="BZ194" s="3" t="n"/>
      <c r="CA194" s="218" t="n"/>
      <c r="CB194" s="218" t="n"/>
      <c r="CC194" s="218" t="n"/>
      <c r="CD194" s="218" t="n"/>
      <c r="CE194" s="3" t="n"/>
      <c r="CF194" s="218" t="n"/>
      <c r="CG194" s="218" t="n"/>
      <c r="CH194" s="218" t="n"/>
      <c r="CI194" s="218" t="n"/>
      <c r="CJ194" s="3" t="n"/>
      <c r="CK194" s="218" t="n"/>
      <c r="CL194" s="218" t="n"/>
      <c r="CM194" s="218" t="n"/>
      <c r="CN194" s="218" t="n"/>
      <c r="CO194" s="3" t="n"/>
      <c r="CP194" s="218" t="n"/>
      <c r="CQ194" s="218" t="n"/>
      <c r="CR194" s="218" t="n"/>
      <c r="CS194" s="218" t="n"/>
      <c r="CT194" s="3" t="n"/>
      <c r="CU194" s="218" t="n"/>
      <c r="CV194" s="218" t="n"/>
      <c r="CW194" s="218" t="n"/>
      <c r="CX194" s="218" t="n"/>
      <c r="CY194" s="3" t="n"/>
    </row>
    <row r="195" collapsed="1">
      <c r="C195" s="26" t="inlineStr">
        <is>
          <t>Taxes payable</t>
        </is>
      </c>
      <c r="D195" s="25">
        <f>INDEX('Inputs (2)'!$D$30:$AL$30,MATCH(D$7,'Inputs (2)'!$D$2:$AL$2,0))</f>
        <v>0</v>
      </c>
      <c r="E195" s="25">
        <f>INDEX('Inputs (2)'!$D$30:$AL$30,MATCH(E$7,'Inputs (2)'!$D$2:$AL$2,0))</f>
        <v>0</v>
      </c>
      <c r="F195" s="25">
        <f>INDEX('Inputs (2)'!$D$30:$AL$30,MATCH(F$7,'Inputs (2)'!$D$2:$AL$2,0))</f>
        <v>0</v>
      </c>
      <c r="G195" s="25">
        <f>INDEX('Inputs (2)'!$D$30:$AL$30,MATCH(G$7,'Inputs (2)'!$D$2:$AL$2,0))</f>
        <v>0</v>
      </c>
      <c r="H195" s="3">
        <f>G195</f>
        <v>0</v>
      </c>
      <c r="I195" s="25">
        <f>INDEX('Inputs (2)'!$D$30:$AL$30,MATCH(I$7,'Inputs (2)'!$D$2:$AL$2,0))</f>
        <v>0</v>
      </c>
      <c r="J195" s="25">
        <f>INDEX('Inputs (2)'!$D$30:$AL$30,MATCH(J$7,'Inputs (2)'!$D$2:$AL$2,0))</f>
        <v>0</v>
      </c>
      <c r="K195" s="25">
        <f>INDEX('Inputs (2)'!$D$30:$AL$30,MATCH(K$7,'Inputs (2)'!$D$2:$AL$2,0))</f>
        <v>0</v>
      </c>
      <c r="L195" s="25">
        <f>INDEX('Inputs (2)'!$D$30:$AL$30,MATCH(L$7,'Inputs (2)'!$D$2:$AL$2,0))</f>
        <v>0</v>
      </c>
      <c r="M195" s="3">
        <f>L195</f>
        <v>0</v>
      </c>
      <c r="N195" s="25">
        <f>INDEX('Inputs (2)'!$D$30:$AL$30,MATCH(N$7,'Inputs (2)'!$D$2:$AL$2,0))</f>
        <v>0</v>
      </c>
      <c r="O195" s="25">
        <f>INDEX('Inputs (2)'!$D$30:$AL$30,MATCH(O$7,'Inputs (2)'!$D$2:$AL$2,0))</f>
        <v>0</v>
      </c>
      <c r="P195" s="25">
        <f>INDEX('Inputs (2)'!$D$30:$AL$30,MATCH(P$7,'Inputs (2)'!$D$2:$AL$2,0))</f>
        <v>0</v>
      </c>
      <c r="Q195" s="25">
        <f>INDEX('Inputs (2)'!$D$30:$AL$30,MATCH(Q$7,'Inputs (2)'!$D$2:$AL$2,0))</f>
        <v>0</v>
      </c>
      <c r="R195" s="3">
        <f>Q195</f>
        <v>0</v>
      </c>
      <c r="S195" s="25">
        <f>INDEX('Inputs (2)'!$D$30:$AL$30,MATCH(S$7,'Inputs (2)'!$D$2:$AL$2,0))</f>
        <v>0</v>
      </c>
      <c r="T195" s="25">
        <f>INDEX('Inputs (2)'!$D$30:$AL$30,MATCH(T$7,'Inputs (2)'!$D$2:$AL$2,0))</f>
        <v>0</v>
      </c>
      <c r="U195" s="25">
        <f>INDEX('Inputs (2)'!$D$30:$AL$30,MATCH(U$7,'Inputs (2)'!$D$2:$AL$2,0))</f>
        <v>0</v>
      </c>
      <c r="V195" s="25">
        <f>INDEX('Inputs (2)'!$D$30:$AL$30,MATCH(V$7,'Inputs (2)'!$D$2:$AL$2,0))</f>
        <v>0</v>
      </c>
      <c r="W195" s="3">
        <f>V195</f>
        <v>0</v>
      </c>
      <c r="X195" s="25">
        <f>INDEX('Inputs (2)'!$D$30:$AL$30,MATCH(X$7,'Inputs (2)'!$D$2:$AL$2,0))</f>
        <v>0</v>
      </c>
      <c r="Y195" s="25">
        <f>INDEX('Inputs (2)'!$D$30:$AL$30,MATCH(Y$7,'Inputs (2)'!$D$2:$AL$2,0))</f>
        <v>0</v>
      </c>
      <c r="Z195" s="25">
        <f>INDEX('Inputs (2)'!$D$30:$AL$30,MATCH(Z$7,'Inputs (2)'!$D$2:$AL$2,0))</f>
        <v>0</v>
      </c>
      <c r="AA195" s="25">
        <f>INDEX('Inputs (2)'!$D$30:$AL$30,MATCH(AA$7,'Inputs (2)'!$D$2:$AL$2,0))</f>
        <v>0</v>
      </c>
      <c r="AB195" s="3">
        <f>AA195</f>
        <v>0</v>
      </c>
      <c r="AC195" s="25">
        <f>INDEX('Inputs (2)'!$D$30:$AL$30,MATCH(AC$7,'Inputs (2)'!$D$2:$AL$2,0))</f>
        <v>0</v>
      </c>
      <c r="AD195" s="25">
        <f>INDEX('Inputs (2)'!$D$30:$AL$30,MATCH(AD$7,'Inputs (2)'!$D$2:$AL$2,0))</f>
        <v>0</v>
      </c>
      <c r="AE195" s="25">
        <f>INDEX('Inputs (2)'!$D$30:$AL$30,MATCH(AE$7,'Inputs (2)'!$D$2:$AL$2,0))</f>
        <v>0</v>
      </c>
      <c r="AF195" s="25">
        <f>INDEX('Inputs (2)'!$D$30:$AL$30,MATCH(AF$7,'Inputs (2)'!$D$2:$AL$2,0))</f>
        <v>0</v>
      </c>
      <c r="AG195" s="3">
        <f>AF195</f>
        <v>0</v>
      </c>
      <c r="AH195" s="3">
        <f>INDEX('Inputs (2)'!$D$30:$AL$30,MATCH(AH$7,'Inputs (2)'!$D$2:$AL$2,0))</f>
        <v>0</v>
      </c>
      <c r="AI195" s="3">
        <f>INDEX('Inputs (2)'!$D$30:$AL$30,MATCH(AI$7,'Inputs (2)'!$D$2:$AL$2,0))</f>
        <v>0</v>
      </c>
      <c r="AJ195" s="3">
        <f>AH195*AJ122/AH122</f>
        <v>0</v>
      </c>
      <c r="AK195" s="3">
        <f>AI195*AK122/AI122</f>
        <v>0</v>
      </c>
      <c r="AL195" s="3">
        <f>AK195</f>
        <v>0</v>
      </c>
      <c r="AM195" s="3" t="e">
        <f>AK195*AM122/AK122</f>
        <v>#DIV/0!</v>
      </c>
      <c r="AN195" s="3">
        <f>AL195*AN122/AL122</f>
        <v>0</v>
      </c>
      <c r="AO195" s="3" t="e">
        <f>AM195*AO122/AM122</f>
        <v>#DIV/0!</v>
      </c>
      <c r="AP195" s="3" t="e">
        <f>AN195*AP122/AN122</f>
        <v>#DIV/0!</v>
      </c>
      <c r="AQ195" s="3" t="e">
        <f>AP195</f>
        <v>#DIV/0!</v>
      </c>
      <c r="AR195" s="3" t="e">
        <f>AP195*AR122/AP122</f>
        <v>#DIV/0!</v>
      </c>
      <c r="AS195" s="3" t="e">
        <f>AQ195*AS122/AQ122</f>
        <v>#DIV/0!</v>
      </c>
      <c r="AT195" s="3" t="e">
        <f>AR195*AT122/AR122</f>
        <v>#DIV/0!</v>
      </c>
      <c r="AU195" s="3" t="e">
        <f>AS195*AU122/AS122</f>
        <v>#DIV/0!</v>
      </c>
      <c r="AV195" s="3" t="e">
        <f>AU195</f>
        <v>#DIV/0!</v>
      </c>
      <c r="AW195" s="3" t="e">
        <f>AU195*AW122/AU122</f>
        <v>#DIV/0!</v>
      </c>
      <c r="AX195" s="3" t="e">
        <f>AV195*AX122/AV122</f>
        <v>#DIV/0!</v>
      </c>
      <c r="AY195" s="3" t="e">
        <f>AW195*AY122/AW122</f>
        <v>#DIV/0!</v>
      </c>
      <c r="AZ195" s="3" t="e">
        <f>AX195*AZ122/AX122</f>
        <v>#DIV/0!</v>
      </c>
      <c r="BA195" s="3" t="e">
        <f>AZ195</f>
        <v>#DIV/0!</v>
      </c>
      <c r="BB195" s="3" t="e">
        <f>AZ195*BB122/AZ122</f>
        <v>#DIV/0!</v>
      </c>
      <c r="BC195" s="3" t="e">
        <f>BA195*BC122/BA122</f>
        <v>#DIV/0!</v>
      </c>
      <c r="BD195" s="3" t="e">
        <f>BB195*BD122/BB122</f>
        <v>#DIV/0!</v>
      </c>
      <c r="BE195" s="3" t="e">
        <f>BC195*BE122/BC122</f>
        <v>#DIV/0!</v>
      </c>
      <c r="BF195" s="3" t="e">
        <f>BE195</f>
        <v>#DIV/0!</v>
      </c>
      <c r="BG195" s="3" t="e">
        <f>BE195*BG122/BE122</f>
        <v>#DIV/0!</v>
      </c>
      <c r="BH195" s="3" t="e">
        <f>BF195*BH122/BF122</f>
        <v>#DIV/0!</v>
      </c>
      <c r="BI195" s="3" t="e">
        <f>BG195*BI122/BG122</f>
        <v>#DIV/0!</v>
      </c>
      <c r="BJ195" s="3" t="e">
        <f>BH195*BJ122/BH122</f>
        <v>#DIV/0!</v>
      </c>
      <c r="BK195" s="3" t="e">
        <f>BJ195</f>
        <v>#DIV/0!</v>
      </c>
      <c r="BL195" s="3" t="e">
        <f>BJ195*BL122/BJ122</f>
        <v>#DIV/0!</v>
      </c>
      <c r="BM195" s="3" t="e">
        <f>BK195*BM122/BK122</f>
        <v>#DIV/0!</v>
      </c>
      <c r="BN195" s="3" t="e">
        <f>BL195*BN122/BL122</f>
        <v>#DIV/0!</v>
      </c>
      <c r="BO195" s="3" t="e">
        <f>BM195*BO122/BM122</f>
        <v>#DIV/0!</v>
      </c>
      <c r="BP195" s="3" t="e">
        <f>BO195</f>
        <v>#DIV/0!</v>
      </c>
      <c r="BQ195" s="3" t="e">
        <f>BO195*BQ122/BO122</f>
        <v>#DIV/0!</v>
      </c>
      <c r="BR195" s="3" t="e">
        <f>BP195*BR122/BP122</f>
        <v>#DIV/0!</v>
      </c>
      <c r="BS195" s="3" t="e">
        <f>BQ195*BS122/BQ122</f>
        <v>#DIV/0!</v>
      </c>
      <c r="BT195" s="3" t="e">
        <f>BR195*BT122/BR122</f>
        <v>#DIV/0!</v>
      </c>
      <c r="BU195" s="3" t="e">
        <f>BT195</f>
        <v>#DIV/0!</v>
      </c>
      <c r="BV195" s="3" t="e">
        <f>BT195*BV122/BT122</f>
        <v>#DIV/0!</v>
      </c>
      <c r="BW195" s="3" t="e">
        <f>BU195*BW122/BU122</f>
        <v>#DIV/0!</v>
      </c>
      <c r="BX195" s="3" t="e">
        <f>BV195*BX122/BV122</f>
        <v>#DIV/0!</v>
      </c>
      <c r="BY195" s="3" t="e">
        <f>BW195*BY122/BW122</f>
        <v>#DIV/0!</v>
      </c>
      <c r="BZ195" s="3" t="e">
        <f>BY195</f>
        <v>#DIV/0!</v>
      </c>
      <c r="CA195" s="3" t="e">
        <f>BY195*CA122/BY122</f>
        <v>#DIV/0!</v>
      </c>
      <c r="CB195" s="3" t="e">
        <f>BZ195*CB122/BZ122</f>
        <v>#DIV/0!</v>
      </c>
      <c r="CC195" s="3" t="e">
        <f>CA195*CC122/CA122</f>
        <v>#DIV/0!</v>
      </c>
      <c r="CD195" s="3" t="e">
        <f>CB195*CD122/CB122</f>
        <v>#DIV/0!</v>
      </c>
      <c r="CE195" s="3" t="e">
        <f>CD195</f>
        <v>#DIV/0!</v>
      </c>
      <c r="CF195" s="3" t="e">
        <f>CD195*CF122/CD122</f>
        <v>#DIV/0!</v>
      </c>
      <c r="CG195" s="3" t="e">
        <f>CE195*CG122/CE122</f>
        <v>#DIV/0!</v>
      </c>
      <c r="CH195" s="3" t="e">
        <f>CF195*CH122/CF122</f>
        <v>#DIV/0!</v>
      </c>
      <c r="CI195" s="3" t="e">
        <f>CG195*CI122/CG122</f>
        <v>#DIV/0!</v>
      </c>
      <c r="CJ195" s="3" t="e">
        <f>CI195</f>
        <v>#DIV/0!</v>
      </c>
      <c r="CK195" s="3" t="e">
        <f>CI195*CK122/CI122</f>
        <v>#DIV/0!</v>
      </c>
      <c r="CL195" s="3" t="e">
        <f>CJ195*CL122/CJ122</f>
        <v>#DIV/0!</v>
      </c>
      <c r="CM195" s="3" t="e">
        <f>CK195*CM122/CK122</f>
        <v>#DIV/0!</v>
      </c>
      <c r="CN195" s="3" t="e">
        <f>CL195*CN122/CL122</f>
        <v>#DIV/0!</v>
      </c>
      <c r="CO195" s="3" t="e">
        <f>CN195</f>
        <v>#DIV/0!</v>
      </c>
      <c r="CP195" s="3" t="e">
        <f>CN195*CP122/CN122</f>
        <v>#DIV/0!</v>
      </c>
      <c r="CQ195" s="3" t="e">
        <f>CO195*CQ122/CO122</f>
        <v>#DIV/0!</v>
      </c>
      <c r="CR195" s="3" t="e">
        <f>CP195*CR122/CP122</f>
        <v>#DIV/0!</v>
      </c>
      <c r="CS195" s="3" t="e">
        <f>CQ195*CS122/CQ122</f>
        <v>#DIV/0!</v>
      </c>
      <c r="CT195" s="3" t="e">
        <f>CS195</f>
        <v>#DIV/0!</v>
      </c>
      <c r="CU195" s="3" t="e">
        <f>CS195*CU122/CS122</f>
        <v>#DIV/0!</v>
      </c>
      <c r="CV195" s="3" t="e">
        <f>CT195*CV122/CT122</f>
        <v>#DIV/0!</v>
      </c>
      <c r="CW195" s="3" t="e">
        <f>CU195*CW122/CU122</f>
        <v>#DIV/0!</v>
      </c>
      <c r="CX195" s="3" t="e">
        <f>CV195*CX122/CV122</f>
        <v>#DIV/0!</v>
      </c>
      <c r="CY195" s="3" t="e">
        <f>CX195</f>
        <v>#DIV/0!</v>
      </c>
    </row>
    <row r="196">
      <c r="C196" s="26" t="inlineStr">
        <is>
          <t>Other current liabilities (non-debt)</t>
        </is>
      </c>
      <c r="D196" s="25">
        <f>INDEX('Inputs (2)'!$D$31:$AL$31,MATCH(D$7,'Inputs (2)'!$D$2:$AL$2,0))</f>
        <v>9214</v>
      </c>
      <c r="E196" s="25">
        <f>INDEX('Inputs (2)'!$D$31:$AL$31,MATCH(E$7,'Inputs (2)'!$D$2:$AL$2,0))</f>
        <v>10447</v>
      </c>
      <c r="F196" s="25">
        <f>INDEX('Inputs (2)'!$D$31:$AL$31,MATCH(F$7,'Inputs (2)'!$D$2:$AL$2,0))</f>
        <v>9892</v>
      </c>
      <c r="G196" s="25">
        <f>INDEX('Inputs (2)'!$D$31:$AL$31,MATCH(G$7,'Inputs (2)'!$D$2:$AL$2,0))</f>
        <v>9390</v>
      </c>
      <c r="H196" s="3">
        <f>G196</f>
        <v>9390</v>
      </c>
      <c r="I196" s="25">
        <f>INDEX('Inputs (2)'!$D$31:$AL$31,MATCH(I$7,'Inputs (2)'!$D$2:$AL$2,0))</f>
        <v>9528</v>
      </c>
      <c r="J196" s="25">
        <f>INDEX('Inputs (2)'!$D$31:$AL$31,MATCH(J$7,'Inputs (2)'!$D$2:$AL$2,0))</f>
        <v>10099</v>
      </c>
      <c r="K196" s="25">
        <f>INDEX('Inputs (2)'!$D$31:$AL$31,MATCH(K$7,'Inputs (2)'!$D$2:$AL$2,0))</f>
        <v>10378</v>
      </c>
      <c r="L196" s="25">
        <f>INDEX('Inputs (2)'!$D$31:$AL$31,MATCH(L$7,'Inputs (2)'!$D$2:$AL$2,0))</f>
        <v>10103</v>
      </c>
      <c r="M196" s="3">
        <f>L196</f>
        <v>10103</v>
      </c>
      <c r="N196" s="25">
        <f>INDEX('Inputs (2)'!$D$31:$AL$31,MATCH(N$7,'Inputs (2)'!$D$2:$AL$2,0))</f>
        <v>10277</v>
      </c>
      <c r="O196" s="25">
        <f>INDEX('Inputs (2)'!$D$31:$AL$31,MATCH(O$7,'Inputs (2)'!$D$2:$AL$2,0))</f>
        <v>11235</v>
      </c>
      <c r="P196" s="25">
        <f>INDEX('Inputs (2)'!$D$31:$AL$31,MATCH(P$7,'Inputs (2)'!$D$2:$AL$2,0))</f>
        <v>10574</v>
      </c>
      <c r="Q196" s="25">
        <f>INDEX('Inputs (2)'!$D$31:$AL$31,MATCH(Q$7,'Inputs (2)'!$D$2:$AL$2,0))</f>
        <v>10695</v>
      </c>
      <c r="R196" s="3">
        <f>Q196</f>
        <v>10695</v>
      </c>
      <c r="S196" s="25">
        <f>INDEX('Inputs (2)'!$D$31:$AL$31,MATCH(S$7,'Inputs (2)'!$D$2:$AL$2,0))</f>
        <v>10962</v>
      </c>
      <c r="T196" s="25">
        <f>INDEX('Inputs (2)'!$D$31:$AL$31,MATCH(T$7,'Inputs (2)'!$D$2:$AL$2,0))</f>
        <v>11059</v>
      </c>
      <c r="U196" s="25">
        <f>INDEX('Inputs (2)'!$D$31:$AL$31,MATCH(U$7,'Inputs (2)'!$D$2:$AL$2,0))</f>
        <v>10069</v>
      </c>
      <c r="V196" s="25">
        <f>INDEX('Inputs (2)'!$D$31:$AL$31,MATCH(V$7,'Inputs (2)'!$D$2:$AL$2,0))</f>
        <v>11324</v>
      </c>
      <c r="W196" s="3">
        <f>V196</f>
        <v>11324</v>
      </c>
      <c r="X196" s="25">
        <f>INDEX('Inputs (2)'!$D$31:$AL$31,MATCH(X$7,'Inputs (2)'!$D$2:$AL$2,0))</f>
        <v>11329</v>
      </c>
      <c r="Y196" s="25">
        <f>INDEX('Inputs (2)'!$D$31:$AL$31,MATCH(Y$7,'Inputs (2)'!$D$2:$AL$2,0))</f>
        <v>12198</v>
      </c>
      <c r="Z196" s="25">
        <f>INDEX('Inputs (2)'!$D$31:$AL$31,MATCH(Z$7,'Inputs (2)'!$D$2:$AL$2,0))</f>
        <v>11371</v>
      </c>
      <c r="AA196" s="25">
        <f>INDEX('Inputs (2)'!$D$31:$AL$31,MATCH(AA$7,'Inputs (2)'!$D$2:$AL$2,0))</f>
        <v>13430</v>
      </c>
      <c r="AB196" s="3">
        <f>AA196</f>
        <v>13430</v>
      </c>
      <c r="AC196" s="25">
        <f>INDEX('Inputs (2)'!$D$31:$AL$31,MATCH(AC$7,'Inputs (2)'!$D$2:$AL$2,0))</f>
        <v>13332</v>
      </c>
      <c r="AD196" s="25">
        <f>INDEX('Inputs (2)'!$D$31:$AL$31,MATCH(AD$7,'Inputs (2)'!$D$2:$AL$2,0))</f>
        <v>14822</v>
      </c>
      <c r="AE196" s="25">
        <f>INDEX('Inputs (2)'!$D$31:$AL$31,MATCH(AE$7,'Inputs (2)'!$D$2:$AL$2,0))</f>
        <v>14406</v>
      </c>
      <c r="AF196" s="25">
        <f>INDEX('Inputs (2)'!$D$31:$AL$31,MATCH(AF$7,'Inputs (2)'!$D$2:$AL$2,0))</f>
        <v>15353</v>
      </c>
      <c r="AG196" s="3">
        <f>AF196</f>
        <v>15353</v>
      </c>
      <c r="AH196" s="3">
        <f>INDEX('Inputs (2)'!$D$31:$AL$31,MATCH(AH$7,'Inputs (2)'!$D$2:$AL$2,0))</f>
        <v>14539</v>
      </c>
      <c r="AI196" s="3">
        <f>INDEX('Inputs (2)'!$D$31:$AL$31,MATCH(AI$7,'Inputs (2)'!$D$2:$AL$2,0))</f>
        <v>15891</v>
      </c>
      <c r="AJ196" s="3">
        <f>AI196</f>
        <v>15891</v>
      </c>
      <c r="AK196" s="3">
        <f>AJ196</f>
        <v>15891</v>
      </c>
      <c r="AL196" s="3">
        <f>AK196</f>
        <v>15891</v>
      </c>
      <c r="AM196" s="3">
        <f>AL196</f>
        <v>15891</v>
      </c>
      <c r="AN196" s="3">
        <f>AM196</f>
        <v>15891</v>
      </c>
      <c r="AO196" s="3">
        <f>AN196</f>
        <v>15891</v>
      </c>
      <c r="AP196" s="3">
        <f>AO196</f>
        <v>15891</v>
      </c>
      <c r="AQ196" s="3">
        <f>AP196</f>
        <v>15891</v>
      </c>
      <c r="AR196" s="3">
        <f>AQ196</f>
        <v>15891</v>
      </c>
      <c r="AS196" s="3">
        <f>AR196</f>
        <v>15891</v>
      </c>
      <c r="AT196" s="3">
        <f>AS196</f>
        <v>15891</v>
      </c>
      <c r="AU196" s="3">
        <f>AT196</f>
        <v>15891</v>
      </c>
      <c r="AV196" s="3">
        <f>AU196</f>
        <v>15891</v>
      </c>
      <c r="AW196" s="3">
        <f>AV196</f>
        <v>15891</v>
      </c>
      <c r="AX196" s="3">
        <f>AW196</f>
        <v>15891</v>
      </c>
      <c r="AY196" s="3">
        <f>AX196</f>
        <v>15891</v>
      </c>
      <c r="AZ196" s="3">
        <f>AY196</f>
        <v>15891</v>
      </c>
      <c r="BA196" s="3">
        <f>AZ196</f>
        <v>15891</v>
      </c>
      <c r="BB196" s="3">
        <f>BA196</f>
        <v>15891</v>
      </c>
      <c r="BC196" s="3">
        <f>BB196</f>
        <v>15891</v>
      </c>
      <c r="BD196" s="3">
        <f>BC196</f>
        <v>15891</v>
      </c>
      <c r="BE196" s="3">
        <f>BD196</f>
        <v>15891</v>
      </c>
      <c r="BF196" s="3">
        <f>BE196</f>
        <v>15891</v>
      </c>
      <c r="BG196" s="3">
        <f>BF196</f>
        <v>15891</v>
      </c>
      <c r="BH196" s="3">
        <f>BG196</f>
        <v>15891</v>
      </c>
      <c r="BI196" s="3">
        <f>BH196</f>
        <v>15891</v>
      </c>
      <c r="BJ196" s="3">
        <f>BI196</f>
        <v>15891</v>
      </c>
      <c r="BK196" s="3">
        <f>BJ196</f>
        <v>15891</v>
      </c>
      <c r="BL196" s="3">
        <f>BK196</f>
        <v>15891</v>
      </c>
      <c r="BM196" s="3">
        <f>BL196</f>
        <v>15891</v>
      </c>
      <c r="BN196" s="3">
        <f>BM196</f>
        <v>15891</v>
      </c>
      <c r="BO196" s="3">
        <f>BN196</f>
        <v>15891</v>
      </c>
      <c r="BP196" s="3">
        <f>BO196</f>
        <v>15891</v>
      </c>
      <c r="BQ196" s="3">
        <f>BP196</f>
        <v>15891</v>
      </c>
      <c r="BR196" s="3">
        <f>BQ196</f>
        <v>15891</v>
      </c>
      <c r="BS196" s="3">
        <f>BR196</f>
        <v>15891</v>
      </c>
      <c r="BT196" s="3">
        <f>BS196</f>
        <v>15891</v>
      </c>
      <c r="BU196" s="3">
        <f>BT196</f>
        <v>15891</v>
      </c>
      <c r="BV196" s="3">
        <f>BU196</f>
        <v>15891</v>
      </c>
      <c r="BW196" s="3">
        <f>BV196</f>
        <v>15891</v>
      </c>
      <c r="BX196" s="3">
        <f>BW196</f>
        <v>15891</v>
      </c>
      <c r="BY196" s="3">
        <f>BX196</f>
        <v>15891</v>
      </c>
      <c r="BZ196" s="3">
        <f>BY196</f>
        <v>15891</v>
      </c>
      <c r="CA196" s="3">
        <f>BZ196</f>
        <v>15891</v>
      </c>
      <c r="CB196" s="3">
        <f>CA196</f>
        <v>15891</v>
      </c>
      <c r="CC196" s="3">
        <f>CB196</f>
        <v>15891</v>
      </c>
      <c r="CD196" s="3">
        <f>CC196</f>
        <v>15891</v>
      </c>
      <c r="CE196" s="3">
        <f>CD196</f>
        <v>15891</v>
      </c>
      <c r="CF196" s="3">
        <f>CE196</f>
        <v>15891</v>
      </c>
      <c r="CG196" s="3">
        <f>CF196</f>
        <v>15891</v>
      </c>
      <c r="CH196" s="3">
        <f>CG196</f>
        <v>15891</v>
      </c>
      <c r="CI196" s="3">
        <f>CH196</f>
        <v>15891</v>
      </c>
      <c r="CJ196" s="3">
        <f>CI196</f>
        <v>15891</v>
      </c>
      <c r="CK196" s="3">
        <f>CJ196</f>
        <v>15891</v>
      </c>
      <c r="CL196" s="3">
        <f>CK196</f>
        <v>15891</v>
      </c>
      <c r="CM196" s="3">
        <f>CL196</f>
        <v>15891</v>
      </c>
      <c r="CN196" s="3">
        <f>CM196</f>
        <v>15891</v>
      </c>
      <c r="CO196" s="3">
        <f>CN196</f>
        <v>15891</v>
      </c>
      <c r="CP196" s="3">
        <f>CO196</f>
        <v>15891</v>
      </c>
      <c r="CQ196" s="3">
        <f>CP196</f>
        <v>15891</v>
      </c>
      <c r="CR196" s="3">
        <f>CQ196</f>
        <v>15891</v>
      </c>
      <c r="CS196" s="3">
        <f>CR196</f>
        <v>15891</v>
      </c>
      <c r="CT196" s="3">
        <f>CS196</f>
        <v>15891</v>
      </c>
      <c r="CU196" s="3">
        <f>CT196</f>
        <v>15891</v>
      </c>
      <c r="CV196" s="3">
        <f>CU196</f>
        <v>15891</v>
      </c>
      <c r="CW196" s="3">
        <f>CV196</f>
        <v>15891</v>
      </c>
      <c r="CX196" s="3">
        <f>CW196</f>
        <v>15891</v>
      </c>
      <c r="CY196" s="3">
        <f>CX196</f>
        <v>15891</v>
      </c>
    </row>
    <row r="197" hidden="1" outlineLevel="1">
      <c r="C197" s="38" t="inlineStr">
        <is>
          <t>%(Var.)</t>
        </is>
      </c>
      <c r="D197" s="3" t="n"/>
      <c r="E197" s="47">
        <f>(E196-D196)/D196</f>
        <v>0.133818102886911</v>
      </c>
      <c r="F197" s="47">
        <f>(F196-E196)/E196</f>
        <v>-0.0531252991289365</v>
      </c>
      <c r="G197" s="47">
        <f>(G196-F196)/F196</f>
        <v>-0.0507480792559644</v>
      </c>
      <c r="H197" s="3" t="n"/>
      <c r="I197" s="47">
        <f>(I196-H196)/H196</f>
        <v>0.0146964856230032</v>
      </c>
      <c r="J197" s="47">
        <f>(J196-I196)/I196</f>
        <v>0.059928631402183</v>
      </c>
      <c r="K197" s="47">
        <f>(K196-J196)/J196</f>
        <v>0.0276264976730369</v>
      </c>
      <c r="L197" s="47">
        <f>(L196-K196)/K196</f>
        <v>-0.026498361919445</v>
      </c>
      <c r="M197" s="3" t="n"/>
      <c r="N197" s="47">
        <f>(N196-M196)/M196</f>
        <v>0.0172226071463922</v>
      </c>
      <c r="O197" s="47">
        <f>(O196-N196)/N196</f>
        <v>0.09321786513574</v>
      </c>
      <c r="P197" s="47">
        <f>(P196-O196)/O196</f>
        <v>-0.0588340008900757</v>
      </c>
      <c r="Q197" s="47">
        <f>(Q196-P196)/P196</f>
        <v>0.0114431624739928</v>
      </c>
      <c r="R197" s="3" t="n"/>
      <c r="S197" s="47">
        <f>(S196-R196)/R196</f>
        <v>0.0249649368863955</v>
      </c>
      <c r="T197" s="47">
        <f>(T196-S196)/S196</f>
        <v>0.00884875022806057</v>
      </c>
      <c r="U197" s="47">
        <f>(U196-T196)/T196</f>
        <v>-0.0895198480875305</v>
      </c>
      <c r="V197" s="47">
        <f>(V196-U196)/U196</f>
        <v>0.124639984109643</v>
      </c>
      <c r="W197" s="3" t="n"/>
      <c r="X197" s="47">
        <f>(X196-W196)/W196</f>
        <v>0.000441540091840339</v>
      </c>
      <c r="Y197" s="47">
        <f>(Y196-X196)/X196</f>
        <v>0.0767057992761938</v>
      </c>
      <c r="Z197" s="47">
        <f>(Z196-Y196)/Y196</f>
        <v>-0.0677979996720774</v>
      </c>
      <c r="AA197" s="47">
        <f>(AA196-Z196)/Z196</f>
        <v>0.181074663617976</v>
      </c>
      <c r="AB197" s="3" t="n"/>
      <c r="AC197" s="47">
        <f>(AC196-AB196)/AB196</f>
        <v>-0.00729709605361132</v>
      </c>
      <c r="AD197" s="47">
        <f>(AD196-AC196)/AC196</f>
        <v>0.111761176117612</v>
      </c>
      <c r="AE197" s="47">
        <f>(AE196-AD196)/AD196</f>
        <v>-0.0280663878019161</v>
      </c>
      <c r="AF197" s="218">
        <f>(AF196-AE196)/AE196</f>
        <v>0.0657364986811051</v>
      </c>
      <c r="AG197" s="3" t="n"/>
      <c r="AH197" s="218">
        <f>(AH196-AG196)/AG196</f>
        <v>-0.053018953950368</v>
      </c>
      <c r="AI197" s="218">
        <f>(AI196-AH196)/AH196</f>
        <v>0.0929912648737877</v>
      </c>
      <c r="AJ197" s="218" t="n"/>
      <c r="AK197" s="218" t="n"/>
      <c r="AL197" s="3" t="n"/>
      <c r="AM197" s="218" t="n"/>
      <c r="AN197" s="218" t="n"/>
      <c r="AO197" s="218" t="n"/>
      <c r="AP197" s="218" t="n"/>
      <c r="AQ197" s="3" t="n"/>
      <c r="AR197" s="218" t="n"/>
      <c r="AS197" s="218" t="n"/>
      <c r="AT197" s="218" t="n"/>
      <c r="AU197" s="218" t="n"/>
      <c r="AV197" s="3" t="n"/>
      <c r="AW197" s="218" t="n"/>
      <c r="AX197" s="218" t="n"/>
      <c r="AY197" s="218" t="n"/>
      <c r="AZ197" s="218" t="n"/>
      <c r="BA197" s="3" t="n"/>
      <c r="BB197" s="218" t="n"/>
      <c r="BC197" s="218" t="n"/>
      <c r="BD197" s="218" t="n"/>
      <c r="BE197" s="218" t="n"/>
      <c r="BF197" s="3" t="n"/>
      <c r="BG197" s="218" t="n"/>
      <c r="BH197" s="218" t="n"/>
      <c r="BI197" s="218" t="n"/>
      <c r="BJ197" s="218" t="n"/>
      <c r="BK197" s="3" t="n"/>
      <c r="BL197" s="218" t="n"/>
      <c r="BM197" s="218" t="n"/>
      <c r="BN197" s="218" t="n"/>
      <c r="BO197" s="218" t="n"/>
      <c r="BP197" s="3" t="n"/>
      <c r="BQ197" s="218" t="n"/>
      <c r="BR197" s="218" t="n"/>
      <c r="BS197" s="218" t="n"/>
      <c r="BT197" s="218" t="n"/>
      <c r="BU197" s="3" t="n"/>
      <c r="BV197" s="218" t="n"/>
      <c r="BW197" s="218" t="n"/>
      <c r="BX197" s="218" t="n"/>
      <c r="BY197" s="218" t="n"/>
      <c r="BZ197" s="3" t="n"/>
      <c r="CA197" s="218" t="n"/>
      <c r="CB197" s="218" t="n"/>
      <c r="CC197" s="218" t="n"/>
      <c r="CD197" s="218" t="n"/>
      <c r="CE197" s="3" t="n"/>
      <c r="CF197" s="218" t="n"/>
      <c r="CG197" s="218" t="n"/>
      <c r="CH197" s="218" t="n"/>
      <c r="CI197" s="218" t="n"/>
      <c r="CJ197" s="3" t="n"/>
      <c r="CK197" s="218" t="n"/>
      <c r="CL197" s="218" t="n"/>
      <c r="CM197" s="218" t="n"/>
      <c r="CN197" s="218" t="n"/>
      <c r="CO197" s="3" t="n"/>
      <c r="CP197" s="218" t="n"/>
      <c r="CQ197" s="218" t="n"/>
      <c r="CR197" s="218" t="n"/>
      <c r="CS197" s="218" t="n"/>
      <c r="CT197" s="3" t="n"/>
      <c r="CU197" s="218" t="n"/>
      <c r="CV197" s="218" t="n"/>
      <c r="CW197" s="218" t="n"/>
      <c r="CX197" s="218" t="n"/>
      <c r="CY197" s="3" t="n"/>
    </row>
    <row r="198" hidden="1" outlineLevel="1">
      <c r="C198" s="34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  <c r="CI198" s="3" t="n"/>
      <c r="CJ198" s="3" t="n"/>
      <c r="CK198" s="3" t="n"/>
      <c r="CL198" s="3" t="n"/>
      <c r="CM198" s="3" t="n"/>
      <c r="CN198" s="3" t="n"/>
      <c r="CO198" s="3" t="n"/>
      <c r="CP198" s="3" t="n"/>
      <c r="CQ198" s="3" t="n"/>
      <c r="CR198" s="3" t="n"/>
      <c r="CS198" s="3" t="n"/>
      <c r="CT198" s="3" t="n"/>
      <c r="CU198" s="3" t="n"/>
      <c r="CV198" s="3" t="n"/>
      <c r="CW198" s="3" t="n"/>
      <c r="CX198" s="3" t="n"/>
      <c r="CY198" s="3" t="n"/>
    </row>
    <row r="199" hidden="1" outlineLevel="1">
      <c r="C199" s="34" t="inlineStr">
        <is>
          <t xml:space="preserve">Dividendos a Pagar </t>
        </is>
      </c>
      <c r="D199" s="6" t="n"/>
      <c r="E199" s="6" t="n"/>
      <c r="F199" s="6" t="n"/>
      <c r="G199" s="6" t="n"/>
      <c r="H199" s="3" t="n"/>
      <c r="I199" s="6" t="n"/>
      <c r="J199" s="6" t="n"/>
      <c r="K199" s="6" t="n"/>
      <c r="L199" s="6" t="n"/>
      <c r="M199" s="3" t="n"/>
      <c r="N199" s="6" t="n"/>
      <c r="O199" s="6" t="n"/>
      <c r="P199" s="6" t="n"/>
      <c r="Q199" s="6" t="n"/>
      <c r="R199" s="3" t="n"/>
      <c r="S199" s="6" t="n"/>
      <c r="T199" s="6" t="n"/>
      <c r="U199" s="6" t="n"/>
      <c r="V199" s="6" t="n"/>
      <c r="W199" s="3" t="n"/>
      <c r="X199" s="6" t="n"/>
      <c r="Y199" s="6" t="n"/>
      <c r="Z199" s="6" t="n"/>
      <c r="AA199" s="6" t="n"/>
      <c r="AB199" s="3" t="n"/>
      <c r="AC199" s="6" t="n"/>
      <c r="AD199" s="6" t="n"/>
      <c r="AE199" s="6" t="n"/>
      <c r="AF199" s="6" t="n"/>
      <c r="AG199" s="3" t="n"/>
      <c r="AH199" s="6" t="n"/>
      <c r="AI199" s="6" t="n"/>
      <c r="AJ199" s="6" t="n"/>
      <c r="AK199" s="6" t="n"/>
      <c r="AL199" s="3" t="n"/>
      <c r="AM199" s="6" t="n"/>
      <c r="AN199" s="6" t="n"/>
      <c r="AO199" s="6" t="n"/>
      <c r="AP199" s="6" t="n"/>
      <c r="AQ199" s="3" t="n"/>
      <c r="AR199" s="6" t="n"/>
      <c r="AS199" s="6" t="n"/>
      <c r="AT199" s="6" t="n"/>
      <c r="AU199" s="6" t="n"/>
      <c r="AV199" s="3" t="n"/>
      <c r="AW199" s="6" t="n"/>
      <c r="AX199" s="6" t="n"/>
      <c r="AY199" s="6" t="n"/>
      <c r="AZ199" s="6" t="n"/>
      <c r="BA199" s="3" t="n"/>
      <c r="BB199" s="6" t="n"/>
      <c r="BC199" s="6" t="n"/>
      <c r="BD199" s="6" t="n"/>
      <c r="BE199" s="6" t="n"/>
      <c r="BF199" s="3" t="n"/>
      <c r="BG199" s="6" t="n"/>
      <c r="BH199" s="6" t="n"/>
      <c r="BI199" s="6" t="n"/>
      <c r="BJ199" s="6" t="n"/>
      <c r="BK199" s="3" t="n"/>
      <c r="BL199" s="6" t="n"/>
      <c r="BM199" s="6" t="n"/>
      <c r="BN199" s="6" t="n"/>
      <c r="BO199" s="6" t="n"/>
      <c r="BP199" s="3" t="n"/>
      <c r="BQ199" s="6" t="n"/>
      <c r="BR199" s="6" t="n"/>
      <c r="BS199" s="6" t="n"/>
      <c r="BT199" s="6" t="n"/>
      <c r="BU199" s="3" t="n"/>
      <c r="BV199" s="6" t="n"/>
      <c r="BW199" s="6" t="n"/>
      <c r="BX199" s="6" t="n"/>
      <c r="BY199" s="6" t="n"/>
      <c r="BZ199" s="3" t="n"/>
      <c r="CA199" s="6" t="n"/>
      <c r="CB199" s="6" t="n"/>
      <c r="CC199" s="6" t="n"/>
      <c r="CD199" s="6" t="n"/>
      <c r="CE199" s="3" t="n"/>
      <c r="CF199" s="6" t="n"/>
      <c r="CG199" s="6" t="n"/>
      <c r="CH199" s="6" t="n"/>
      <c r="CI199" s="6" t="n"/>
      <c r="CJ199" s="3" t="n"/>
      <c r="CK199" s="6" t="n"/>
      <c r="CL199" s="6" t="n"/>
      <c r="CM199" s="6" t="n"/>
      <c r="CN199" s="6" t="n"/>
      <c r="CO199" s="3" t="n"/>
      <c r="CP199" s="6" t="n"/>
      <c r="CQ199" s="6" t="n"/>
      <c r="CR199" s="6" t="n"/>
      <c r="CS199" s="6" t="n"/>
      <c r="CT199" s="3" t="n"/>
      <c r="CU199" s="6" t="n"/>
      <c r="CV199" s="6" t="n"/>
      <c r="CW199" s="6" t="n"/>
      <c r="CX199" s="6" t="n"/>
      <c r="CY199" s="3" t="n"/>
    </row>
    <row r="200" hidden="1" outlineLevel="1">
      <c r="C200" s="34" t="inlineStr">
        <is>
          <t>Contas a pagar pela aquisição de controladas</t>
        </is>
      </c>
      <c r="D200" s="6" t="n"/>
      <c r="E200" s="6" t="n"/>
      <c r="F200" s="6" t="n"/>
      <c r="G200" s="6" t="n"/>
      <c r="H200" s="3" t="n"/>
      <c r="I200" s="6" t="n"/>
      <c r="J200" s="6" t="n"/>
      <c r="K200" s="6" t="n"/>
      <c r="L200" s="6" t="n"/>
      <c r="M200" s="3" t="n"/>
      <c r="N200" s="6" t="n"/>
      <c r="O200" s="6" t="n"/>
      <c r="P200" s="6" t="n"/>
      <c r="Q200" s="6" t="n"/>
      <c r="R200" s="3" t="n"/>
      <c r="S200" s="6" t="n"/>
      <c r="T200" s="6" t="n"/>
      <c r="U200" s="6" t="n"/>
      <c r="V200" s="6" t="n"/>
      <c r="W200" s="3" t="n"/>
      <c r="X200" s="6" t="n"/>
      <c r="Y200" s="6" t="n"/>
      <c r="Z200" s="6" t="n"/>
      <c r="AA200" s="6" t="n"/>
      <c r="AB200" s="3" t="n"/>
      <c r="AC200" s="6" t="n"/>
      <c r="AD200" s="6" t="n"/>
      <c r="AE200" s="6" t="n"/>
      <c r="AF200" s="6" t="n"/>
      <c r="AG200" s="3" t="n"/>
      <c r="AH200" s="6" t="n"/>
      <c r="AI200" s="6" t="n"/>
      <c r="AJ200" s="6" t="n"/>
      <c r="AK200" s="6" t="n"/>
      <c r="AL200" s="3" t="n"/>
      <c r="AM200" s="6" t="n"/>
      <c r="AN200" s="6" t="n"/>
      <c r="AO200" s="6" t="n"/>
      <c r="AP200" s="6" t="n"/>
      <c r="AQ200" s="3" t="n"/>
      <c r="AR200" s="6" t="n"/>
      <c r="AS200" s="6" t="n"/>
      <c r="AT200" s="6" t="n"/>
      <c r="AU200" s="6" t="n"/>
      <c r="AV200" s="3" t="n"/>
      <c r="AW200" s="6" t="n"/>
      <c r="AX200" s="6" t="n"/>
      <c r="AY200" s="6" t="n"/>
      <c r="AZ200" s="6" t="n"/>
      <c r="BA200" s="3" t="n"/>
      <c r="BB200" s="6" t="n"/>
      <c r="BC200" s="6" t="n"/>
      <c r="BD200" s="6" t="n"/>
      <c r="BE200" s="6" t="n"/>
      <c r="BF200" s="3" t="n"/>
      <c r="BG200" s="6" t="n"/>
      <c r="BH200" s="6" t="n"/>
      <c r="BI200" s="6" t="n"/>
      <c r="BJ200" s="6" t="n"/>
      <c r="BK200" s="3" t="n"/>
      <c r="BL200" s="6" t="n"/>
      <c r="BM200" s="6" t="n"/>
      <c r="BN200" s="6" t="n"/>
      <c r="BO200" s="6" t="n"/>
      <c r="BP200" s="3" t="n"/>
      <c r="BQ200" s="6" t="n"/>
      <c r="BR200" s="6" t="n"/>
      <c r="BS200" s="6" t="n"/>
      <c r="BT200" s="6" t="n"/>
      <c r="BU200" s="3" t="n"/>
      <c r="BV200" s="6" t="n"/>
      <c r="BW200" s="6" t="n"/>
      <c r="BX200" s="6" t="n"/>
      <c r="BY200" s="6" t="n"/>
      <c r="BZ200" s="3" t="n"/>
      <c r="CA200" s="6" t="n"/>
      <c r="CB200" s="6" t="n"/>
      <c r="CC200" s="6" t="n"/>
      <c r="CD200" s="6" t="n"/>
      <c r="CE200" s="3" t="n"/>
      <c r="CF200" s="6" t="n"/>
      <c r="CG200" s="6" t="n"/>
      <c r="CH200" s="6" t="n"/>
      <c r="CI200" s="6" t="n"/>
      <c r="CJ200" s="3" t="n"/>
      <c r="CK200" s="6" t="n"/>
      <c r="CL200" s="6" t="n"/>
      <c r="CM200" s="6" t="n"/>
      <c r="CN200" s="6" t="n"/>
      <c r="CO200" s="3" t="n"/>
      <c r="CP200" s="6" t="n"/>
      <c r="CQ200" s="6" t="n"/>
      <c r="CR200" s="6" t="n"/>
      <c r="CS200" s="6" t="n"/>
      <c r="CT200" s="3" t="n"/>
      <c r="CU200" s="6" t="n"/>
      <c r="CV200" s="6" t="n"/>
      <c r="CW200" s="6" t="n"/>
      <c r="CX200" s="6" t="n"/>
      <c r="CY200" s="3" t="n"/>
    </row>
    <row r="201" hidden="1" outlineLevel="1">
      <c r="C201" s="34" t="inlineStr">
        <is>
          <t>Outros</t>
        </is>
      </c>
      <c r="D201" s="6" t="n"/>
      <c r="E201" s="6" t="n"/>
      <c r="F201" s="6" t="n"/>
      <c r="G201" s="6" t="n"/>
      <c r="H201" s="3" t="n"/>
      <c r="I201" s="6" t="n"/>
      <c r="J201" s="6" t="n"/>
      <c r="K201" s="6" t="n"/>
      <c r="L201" s="6" t="n"/>
      <c r="M201" s="3" t="n"/>
      <c r="N201" s="6" t="n"/>
      <c r="O201" s="6" t="n"/>
      <c r="P201" s="6" t="n"/>
      <c r="Q201" s="6" t="n"/>
      <c r="R201" s="3" t="n"/>
      <c r="S201" s="6" t="n"/>
      <c r="T201" s="6" t="n"/>
      <c r="U201" s="6" t="n"/>
      <c r="V201" s="6" t="n"/>
      <c r="W201" s="3" t="n"/>
      <c r="X201" s="6" t="n"/>
      <c r="Y201" s="6" t="n"/>
      <c r="Z201" s="6" t="n"/>
      <c r="AA201" s="6" t="n"/>
      <c r="AB201" s="3" t="n"/>
      <c r="AC201" s="6" t="n"/>
      <c r="AD201" s="6" t="n"/>
      <c r="AE201" s="6" t="n"/>
      <c r="AF201" s="6" t="n"/>
      <c r="AG201" s="3" t="n"/>
      <c r="AH201" s="6" t="n"/>
      <c r="AI201" s="6" t="n"/>
      <c r="AJ201" s="6" t="n"/>
      <c r="AK201" s="6" t="n"/>
      <c r="AL201" s="3" t="n"/>
      <c r="AM201" s="6" t="n"/>
      <c r="AN201" s="6" t="n"/>
      <c r="AO201" s="6" t="n"/>
      <c r="AP201" s="6" t="n"/>
      <c r="AQ201" s="3" t="n"/>
      <c r="AR201" s="6" t="n"/>
      <c r="AS201" s="6" t="n"/>
      <c r="AT201" s="6" t="n"/>
      <c r="AU201" s="6" t="n"/>
      <c r="AV201" s="3" t="n"/>
      <c r="AW201" s="6" t="n"/>
      <c r="AX201" s="6" t="n"/>
      <c r="AY201" s="6" t="n"/>
      <c r="AZ201" s="6" t="n"/>
      <c r="BA201" s="3" t="n"/>
      <c r="BB201" s="6" t="n"/>
      <c r="BC201" s="6" t="n"/>
      <c r="BD201" s="6" t="n"/>
      <c r="BE201" s="6" t="n"/>
      <c r="BF201" s="3" t="n"/>
      <c r="BG201" s="6" t="n"/>
      <c r="BH201" s="6" t="n"/>
      <c r="BI201" s="6" t="n"/>
      <c r="BJ201" s="6" t="n"/>
      <c r="BK201" s="3" t="n"/>
      <c r="BL201" s="6" t="n"/>
      <c r="BM201" s="6" t="n"/>
      <c r="BN201" s="6" t="n"/>
      <c r="BO201" s="6" t="n"/>
      <c r="BP201" s="3" t="n"/>
      <c r="BQ201" s="6" t="n"/>
      <c r="BR201" s="6" t="n"/>
      <c r="BS201" s="6" t="n"/>
      <c r="BT201" s="6" t="n"/>
      <c r="BU201" s="3" t="n"/>
      <c r="BV201" s="6" t="n"/>
      <c r="BW201" s="6" t="n"/>
      <c r="BX201" s="6" t="n"/>
      <c r="BY201" s="6" t="n"/>
      <c r="BZ201" s="3" t="n"/>
      <c r="CA201" s="6" t="n"/>
      <c r="CB201" s="6" t="n"/>
      <c r="CC201" s="6" t="n"/>
      <c r="CD201" s="6" t="n"/>
      <c r="CE201" s="3" t="n"/>
      <c r="CF201" s="6" t="n"/>
      <c r="CG201" s="6" t="n"/>
      <c r="CH201" s="6" t="n"/>
      <c r="CI201" s="6" t="n"/>
      <c r="CJ201" s="3" t="n"/>
      <c r="CK201" s="6" t="n"/>
      <c r="CL201" s="6" t="n"/>
      <c r="CM201" s="6" t="n"/>
      <c r="CN201" s="6" t="n"/>
      <c r="CO201" s="3" t="n"/>
      <c r="CP201" s="6" t="n"/>
      <c r="CQ201" s="6" t="n"/>
      <c r="CR201" s="6" t="n"/>
      <c r="CS201" s="6" t="n"/>
      <c r="CT201" s="3" t="n"/>
      <c r="CU201" s="6" t="n"/>
      <c r="CV201" s="6" t="n"/>
      <c r="CW201" s="6" t="n"/>
      <c r="CX201" s="6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collapsed="1">
      <c r="C203" s="26" t="inlineStr">
        <is>
          <t>Current portion of long-term debt</t>
        </is>
      </c>
      <c r="D203" s="25">
        <f>INDEX('Inputs (2)'!$D$32:$AL$32,MATCH(D$7,'Inputs (2)'!$D$2:$AL$2,0))</f>
        <v>1250</v>
      </c>
      <c r="E203" s="25">
        <f>INDEX('Inputs (2)'!$D$32:$AL$32,MATCH(E$7,'Inputs (2)'!$D$2:$AL$2,0))</f>
        <v>500</v>
      </c>
      <c r="F203" s="25">
        <f>INDEX('Inputs (2)'!$D$32:$AL$32,MATCH(F$7,'Inputs (2)'!$D$2:$AL$2,0))</f>
        <v>1000</v>
      </c>
      <c r="G203" s="25">
        <f>INDEX('Inputs (2)'!$D$32:$AL$32,MATCH(G$7,'Inputs (2)'!$D$2:$AL$2,0))</f>
        <v>500</v>
      </c>
      <c r="H203" s="3">
        <f>G203</f>
        <v>500</v>
      </c>
      <c r="I203" s="25">
        <f>INDEX('Inputs (2)'!$D$32:$AL$32,MATCH(I$7,'Inputs (2)'!$D$2:$AL$2,0))</f>
        <v>506</v>
      </c>
      <c r="J203" s="25">
        <f>INDEX('Inputs (2)'!$D$32:$AL$32,MATCH(J$7,'Inputs (2)'!$D$2:$AL$2,0))</f>
        <v>506</v>
      </c>
      <c r="K203" s="25">
        <f>INDEX('Inputs (2)'!$D$32:$AL$32,MATCH(K$7,'Inputs (2)'!$D$2:$AL$2,0))</f>
        <v>6</v>
      </c>
      <c r="L203" s="25">
        <f>INDEX('Inputs (2)'!$D$32:$AL$32,MATCH(L$7,'Inputs (2)'!$D$2:$AL$2,0))</f>
        <v>6</v>
      </c>
      <c r="M203" s="3">
        <f>L203</f>
        <v>6</v>
      </c>
      <c r="N203" s="25">
        <f>INDEX('Inputs (2)'!$D$32:$AL$32,MATCH(N$7,'Inputs (2)'!$D$2:$AL$2,0))</f>
        <v>500</v>
      </c>
      <c r="O203" s="25">
        <f>INDEX('Inputs (2)'!$D$32:$AL$32,MATCH(O$7,'Inputs (2)'!$D$2:$AL$2,0))</f>
        <v>0</v>
      </c>
      <c r="P203" s="25">
        <f>INDEX('Inputs (2)'!$D$32:$AL$32,MATCH(P$7,'Inputs (2)'!$D$2:$AL$2,0))</f>
        <v>0</v>
      </c>
      <c r="Q203" s="25">
        <f>INDEX('Inputs (2)'!$D$32:$AL$32,MATCH(Q$7,'Inputs (2)'!$D$2:$AL$2,0))</f>
        <v>0</v>
      </c>
      <c r="R203" s="3">
        <f>Q203</f>
        <v>0</v>
      </c>
      <c r="S203" s="25">
        <f>INDEX('Inputs (2)'!$D$32:$AL$32,MATCH(S$7,'Inputs (2)'!$D$2:$AL$2,0))</f>
        <v>115</v>
      </c>
      <c r="T203" s="25">
        <f>INDEX('Inputs (2)'!$D$32:$AL$32,MATCH(T$7,'Inputs (2)'!$D$2:$AL$2,0))</f>
        <v>283</v>
      </c>
      <c r="U203" s="25">
        <f>INDEX('Inputs (2)'!$D$32:$AL$32,MATCH(U$7,'Inputs (2)'!$D$2:$AL$2,0))</f>
        <v>168</v>
      </c>
      <c r="V203" s="25">
        <f>INDEX('Inputs (2)'!$D$32:$AL$32,MATCH(V$7,'Inputs (2)'!$D$2:$AL$2,0))</f>
        <v>168</v>
      </c>
      <c r="W203" s="3">
        <f>V203</f>
        <v>168</v>
      </c>
      <c r="X203" s="25">
        <f>INDEX('Inputs (2)'!$D$32:$AL$32,MATCH(X$7,'Inputs (2)'!$D$2:$AL$2,0))</f>
        <v>168</v>
      </c>
      <c r="Y203" s="25">
        <f>INDEX('Inputs (2)'!$D$32:$AL$32,MATCH(Y$7,'Inputs (2)'!$D$2:$AL$2,0))</f>
        <v>142</v>
      </c>
      <c r="Z203" s="25">
        <f>INDEX('Inputs (2)'!$D$32:$AL$32,MATCH(Z$7,'Inputs (2)'!$D$2:$AL$2,0))</f>
        <v>142</v>
      </c>
      <c r="AA203" s="25">
        <f>INDEX('Inputs (2)'!$D$32:$AL$32,MATCH(AA$7,'Inputs (2)'!$D$2:$AL$2,0))</f>
        <v>643</v>
      </c>
      <c r="AB203" s="3">
        <f>AA203</f>
        <v>643</v>
      </c>
      <c r="AC203" s="25">
        <f>INDEX('Inputs (2)'!$D$32:$AL$32,MATCH(AC$7,'Inputs (2)'!$D$2:$AL$2,0))</f>
        <v>1643</v>
      </c>
      <c r="AD203" s="25">
        <f>INDEX('Inputs (2)'!$D$32:$AL$32,MATCH(AD$7,'Inputs (2)'!$D$2:$AL$2,0))</f>
        <v>3118</v>
      </c>
      <c r="AE203" s="25">
        <f>INDEX('Inputs (2)'!$D$32:$AL$32,MATCH(AE$7,'Inputs (2)'!$D$2:$AL$2,0))</f>
        <v>1669</v>
      </c>
      <c r="AF203" s="25">
        <f>INDEX('Inputs (2)'!$D$32:$AL$32,MATCH(AF$7,'Inputs (2)'!$D$2:$AL$2,0))</f>
        <v>1168</v>
      </c>
      <c r="AG203" s="3">
        <f>AF203</f>
        <v>1168</v>
      </c>
      <c r="AH203" s="3">
        <f>INDEX('Inputs (2)'!$D$32:$AL$32,MATCH(AH$7,'Inputs (2)'!$D$2:$AL$2,0))</f>
        <v>168</v>
      </c>
      <c r="AI203" s="3">
        <f>INDEX('Inputs (2)'!$D$32:$AL$32,MATCH(AI$7,'Inputs (2)'!$D$2:$AL$2,0))</f>
        <v>0</v>
      </c>
      <c r="AJ203" s="3">
        <f>AI203</f>
        <v>0</v>
      </c>
      <c r="AK203" s="3">
        <f>AJ203</f>
        <v>0</v>
      </c>
      <c r="AL203" s="3">
        <f>AK203</f>
        <v>0</v>
      </c>
      <c r="AM203" s="3">
        <f>AL203</f>
        <v>0</v>
      </c>
      <c r="AN203" s="3">
        <f>AM203</f>
        <v>0</v>
      </c>
      <c r="AO203" s="3">
        <f>AN203</f>
        <v>0</v>
      </c>
      <c r="AP203" s="3">
        <f>AO203</f>
        <v>0</v>
      </c>
      <c r="AQ203" s="3">
        <f>AP203</f>
        <v>0</v>
      </c>
      <c r="AR203" s="3">
        <f>AQ203</f>
        <v>0</v>
      </c>
      <c r="AS203" s="3">
        <f>AR203</f>
        <v>0</v>
      </c>
      <c r="AT203" s="3">
        <f>AS203</f>
        <v>0</v>
      </c>
      <c r="AU203" s="3">
        <f>AT203</f>
        <v>0</v>
      </c>
      <c r="AV203" s="3">
        <f>AU203</f>
        <v>0</v>
      </c>
      <c r="AW203" s="3">
        <f>AV203</f>
        <v>0</v>
      </c>
      <c r="AX203" s="3">
        <f>AW203</f>
        <v>0</v>
      </c>
      <c r="AY203" s="3">
        <f>AX203</f>
        <v>0</v>
      </c>
      <c r="AZ203" s="3">
        <f>AY203</f>
        <v>0</v>
      </c>
      <c r="BA203" s="3">
        <f>AZ203</f>
        <v>0</v>
      </c>
      <c r="BB203" s="3">
        <f>BA203</f>
        <v>0</v>
      </c>
      <c r="BC203" s="3">
        <f>BB203</f>
        <v>0</v>
      </c>
      <c r="BD203" s="3">
        <f>BC203</f>
        <v>0</v>
      </c>
      <c r="BE203" s="3">
        <f>BD203</f>
        <v>0</v>
      </c>
      <c r="BF203" s="3">
        <f>BE203</f>
        <v>0</v>
      </c>
      <c r="BG203" s="3">
        <f>BF203</f>
        <v>0</v>
      </c>
      <c r="BH203" s="3">
        <f>BG203</f>
        <v>0</v>
      </c>
      <c r="BI203" s="3">
        <f>BH203</f>
        <v>0</v>
      </c>
      <c r="BJ203" s="3">
        <f>BI203</f>
        <v>0</v>
      </c>
      <c r="BK203" s="3">
        <f>BJ203</f>
        <v>0</v>
      </c>
      <c r="BL203" s="3">
        <f>BK203</f>
        <v>0</v>
      </c>
      <c r="BM203" s="3">
        <f>BL203</f>
        <v>0</v>
      </c>
      <c r="BN203" s="3">
        <f>BM203</f>
        <v>0</v>
      </c>
      <c r="BO203" s="3">
        <f>BN203</f>
        <v>0</v>
      </c>
      <c r="BP203" s="3">
        <f>BO203</f>
        <v>0</v>
      </c>
      <c r="BQ203" s="3">
        <f>BP203</f>
        <v>0</v>
      </c>
      <c r="BR203" s="3">
        <f>BQ203</f>
        <v>0</v>
      </c>
      <c r="BS203" s="3">
        <f>BR203</f>
        <v>0</v>
      </c>
      <c r="BT203" s="3">
        <f>BS203</f>
        <v>0</v>
      </c>
      <c r="BU203" s="3">
        <f>BT203</f>
        <v>0</v>
      </c>
      <c r="BV203" s="3">
        <f>BU203</f>
        <v>0</v>
      </c>
      <c r="BW203" s="3">
        <f>BV203</f>
        <v>0</v>
      </c>
      <c r="BX203" s="3">
        <f>BW203</f>
        <v>0</v>
      </c>
      <c r="BY203" s="3">
        <f>BX203</f>
        <v>0</v>
      </c>
      <c r="BZ203" s="3">
        <f>BY203</f>
        <v>0</v>
      </c>
      <c r="CA203" s="3">
        <f>BZ203</f>
        <v>0</v>
      </c>
      <c r="CB203" s="3">
        <f>CA203</f>
        <v>0</v>
      </c>
      <c r="CC203" s="3">
        <f>CB203</f>
        <v>0</v>
      </c>
      <c r="CD203" s="3">
        <f>CC203</f>
        <v>0</v>
      </c>
      <c r="CE203" s="3">
        <f>CD203</f>
        <v>0</v>
      </c>
      <c r="CF203" s="3">
        <f>CE203</f>
        <v>0</v>
      </c>
      <c r="CG203" s="3">
        <f>CF203</f>
        <v>0</v>
      </c>
      <c r="CH203" s="3">
        <f>CG203</f>
        <v>0</v>
      </c>
      <c r="CI203" s="3">
        <f>CH203</f>
        <v>0</v>
      </c>
      <c r="CJ203" s="3">
        <f>CI203</f>
        <v>0</v>
      </c>
      <c r="CK203" s="3">
        <f>CJ203</f>
        <v>0</v>
      </c>
      <c r="CL203" s="3">
        <f>CK203</f>
        <v>0</v>
      </c>
      <c r="CM203" s="3">
        <f>CL203</f>
        <v>0</v>
      </c>
      <c r="CN203" s="3">
        <f>CM203</f>
        <v>0</v>
      </c>
      <c r="CO203" s="3">
        <f>CN203</f>
        <v>0</v>
      </c>
      <c r="CP203" s="3">
        <f>CO203</f>
        <v>0</v>
      </c>
      <c r="CQ203" s="3">
        <f>CP203</f>
        <v>0</v>
      </c>
      <c r="CR203" s="3">
        <f>CQ203</f>
        <v>0</v>
      </c>
      <c r="CS203" s="3">
        <f>CR203</f>
        <v>0</v>
      </c>
      <c r="CT203" s="3">
        <f>CS203</f>
        <v>0</v>
      </c>
      <c r="CU203" s="3">
        <f>CT203</f>
        <v>0</v>
      </c>
      <c r="CV203" s="3">
        <f>CU203</f>
        <v>0</v>
      </c>
      <c r="CW203" s="3">
        <f>CV203</f>
        <v>0</v>
      </c>
      <c r="CX203" s="3">
        <f>CW203</f>
        <v>0</v>
      </c>
      <c r="CY203" s="3">
        <f>CX203</f>
        <v>0</v>
      </c>
    </row>
    <row r="204">
      <c r="C204" s="26" t="inlineStr">
        <is>
          <t>Short term debt (Revolving credit facility)</t>
        </is>
      </c>
      <c r="D204" s="25">
        <f>INDEX('Inputs (2)'!$D$33:$AL$33,MATCH(D$7,'Inputs (2)'!$D$2:$AL$2,0))</f>
        <v>0</v>
      </c>
      <c r="E204" s="25">
        <f>INDEX('Inputs (2)'!$D$33:$AL$33,MATCH(E$7,'Inputs (2)'!$D$2:$AL$2,0))</f>
        <v>0</v>
      </c>
      <c r="F204" s="25">
        <f>INDEX('Inputs (2)'!$D$33:$AL$33,MATCH(F$7,'Inputs (2)'!$D$2:$AL$2,0))</f>
        <v>0</v>
      </c>
      <c r="G204" s="25">
        <f>INDEX('Inputs (2)'!$D$33:$AL$33,MATCH(G$7,'Inputs (2)'!$D$2:$AL$2,0))</f>
        <v>0</v>
      </c>
      <c r="H204" s="3">
        <f>G204</f>
        <v>0</v>
      </c>
      <c r="I204" s="25">
        <f>INDEX('Inputs (2)'!$D$33:$AL$33,MATCH(I$7,'Inputs (2)'!$D$2:$AL$2,0))</f>
        <v>0</v>
      </c>
      <c r="J204" s="25">
        <f>INDEX('Inputs (2)'!$D$33:$AL$33,MATCH(J$7,'Inputs (2)'!$D$2:$AL$2,0))</f>
        <v>0</v>
      </c>
      <c r="K204" s="25">
        <f>INDEX('Inputs (2)'!$D$33:$AL$33,MATCH(K$7,'Inputs (2)'!$D$2:$AL$2,0))</f>
        <v>0</v>
      </c>
      <c r="L204" s="25">
        <f>INDEX('Inputs (2)'!$D$33:$AL$33,MATCH(L$7,'Inputs (2)'!$D$2:$AL$2,0))</f>
        <v>0</v>
      </c>
      <c r="M204" s="3">
        <f>L204</f>
        <v>0</v>
      </c>
      <c r="N204" s="25">
        <f>INDEX('Inputs (2)'!$D$33:$AL$33,MATCH(N$7,'Inputs (2)'!$D$2:$AL$2,0))</f>
        <v>0</v>
      </c>
      <c r="O204" s="25">
        <f>INDEX('Inputs (2)'!$D$33:$AL$33,MATCH(O$7,'Inputs (2)'!$D$2:$AL$2,0))</f>
        <v>0</v>
      </c>
      <c r="P204" s="25">
        <f>INDEX('Inputs (2)'!$D$33:$AL$33,MATCH(P$7,'Inputs (2)'!$D$2:$AL$2,0))</f>
        <v>0</v>
      </c>
      <c r="Q204" s="25">
        <f>INDEX('Inputs (2)'!$D$33:$AL$33,MATCH(Q$7,'Inputs (2)'!$D$2:$AL$2,0))</f>
        <v>0</v>
      </c>
      <c r="R204" s="3">
        <f>Q204</f>
        <v>0</v>
      </c>
      <c r="S204" s="25">
        <f>INDEX('Inputs (2)'!$D$33:$AL$33,MATCH(S$7,'Inputs (2)'!$D$2:$AL$2,0))</f>
        <v>0</v>
      </c>
      <c r="T204" s="25">
        <f>INDEX('Inputs (2)'!$D$33:$AL$33,MATCH(T$7,'Inputs (2)'!$D$2:$AL$2,0))</f>
        <v>0</v>
      </c>
      <c r="U204" s="25">
        <f>INDEX('Inputs (2)'!$D$33:$AL$33,MATCH(U$7,'Inputs (2)'!$D$2:$AL$2,0))</f>
        <v>0</v>
      </c>
      <c r="V204" s="25">
        <f>INDEX('Inputs (2)'!$D$33:$AL$33,MATCH(V$7,'Inputs (2)'!$D$2:$AL$2,0))</f>
        <v>0</v>
      </c>
      <c r="W204" s="3">
        <f>V204</f>
        <v>0</v>
      </c>
      <c r="X204" s="25">
        <f>INDEX('Inputs (2)'!$D$33:$AL$33,MATCH(X$7,'Inputs (2)'!$D$2:$AL$2,0))</f>
        <v>0</v>
      </c>
      <c r="Y204" s="25">
        <f>INDEX('Inputs (2)'!$D$33:$AL$33,MATCH(Y$7,'Inputs (2)'!$D$2:$AL$2,0))</f>
        <v>0</v>
      </c>
      <c r="Z204" s="25">
        <f>INDEX('Inputs (2)'!$D$33:$AL$33,MATCH(Z$7,'Inputs (2)'!$D$2:$AL$2,0))</f>
        <v>0</v>
      </c>
      <c r="AA204" s="25">
        <f>INDEX('Inputs (2)'!$D$33:$AL$33,MATCH(AA$7,'Inputs (2)'!$D$2:$AL$2,0))</f>
        <v>0</v>
      </c>
      <c r="AB204" s="3">
        <f>AA204</f>
        <v>0</v>
      </c>
      <c r="AC204" s="25">
        <f>INDEX('Inputs (2)'!$D$33:$AL$33,MATCH(AC$7,'Inputs (2)'!$D$2:$AL$2,0))</f>
        <v>0</v>
      </c>
      <c r="AD204" s="25">
        <f>INDEX('Inputs (2)'!$D$33:$AL$33,MATCH(AD$7,'Inputs (2)'!$D$2:$AL$2,0))</f>
        <v>0</v>
      </c>
      <c r="AE204" s="25">
        <f>INDEX('Inputs (2)'!$D$33:$AL$33,MATCH(AE$7,'Inputs (2)'!$D$2:$AL$2,0))</f>
        <v>0</v>
      </c>
      <c r="AF204" s="25">
        <f>INDEX('Inputs (2)'!$D$33:$AL$33,MATCH(AF$7,'Inputs (2)'!$D$2:$AL$2,0))</f>
        <v>0</v>
      </c>
      <c r="AG204" s="3">
        <f>AF204</f>
        <v>0</v>
      </c>
      <c r="AH204" s="3">
        <f>INDEX('Inputs (2)'!$D$33:$AL$33,MATCH(AH$7,'Inputs (2)'!$D$2:$AL$2,0))</f>
        <v>0</v>
      </c>
      <c r="AI204" s="3">
        <f>INDEX('Inputs (2)'!$D$33:$AL$33,MATCH(AI$7,'Inputs (2)'!$D$2:$AL$2,0))</f>
        <v>0</v>
      </c>
      <c r="AJ204" s="3">
        <f>AI204</f>
        <v>0</v>
      </c>
      <c r="AK204" s="3">
        <f>AJ204</f>
        <v>0</v>
      </c>
      <c r="AL204" s="3">
        <f>AK204</f>
        <v>0</v>
      </c>
      <c r="AM204" s="3">
        <f>AL204</f>
        <v>0</v>
      </c>
      <c r="AN204" s="3">
        <f>AM204</f>
        <v>0</v>
      </c>
      <c r="AO204" s="3">
        <f>AN204</f>
        <v>0</v>
      </c>
      <c r="AP204" s="3">
        <f>AO204</f>
        <v>0</v>
      </c>
      <c r="AQ204" s="3">
        <f>AP204</f>
        <v>0</v>
      </c>
      <c r="AR204" s="3">
        <f>AQ204</f>
        <v>0</v>
      </c>
      <c r="AS204" s="3">
        <f>AR204</f>
        <v>0</v>
      </c>
      <c r="AT204" s="3">
        <f>AS204</f>
        <v>0</v>
      </c>
      <c r="AU204" s="3">
        <f>AT204</f>
        <v>0</v>
      </c>
      <c r="AV204" s="3">
        <f>AU204</f>
        <v>0</v>
      </c>
      <c r="AW204" s="3">
        <f>AV204</f>
        <v>0</v>
      </c>
      <c r="AX204" s="3">
        <f>AW204</f>
        <v>0</v>
      </c>
      <c r="AY204" s="3">
        <f>AX204</f>
        <v>0</v>
      </c>
      <c r="AZ204" s="3">
        <f>AY204</f>
        <v>0</v>
      </c>
      <c r="BA204" s="3">
        <f>AZ204</f>
        <v>0</v>
      </c>
      <c r="BB204" s="3">
        <f>BA204</f>
        <v>0</v>
      </c>
      <c r="BC204" s="3">
        <f>BB204</f>
        <v>0</v>
      </c>
      <c r="BD204" s="3">
        <f>BC204</f>
        <v>0</v>
      </c>
      <c r="BE204" s="3">
        <f>BD204</f>
        <v>0</v>
      </c>
      <c r="BF204" s="3">
        <f>BE204</f>
        <v>0</v>
      </c>
      <c r="BG204" s="3">
        <f>BF204</f>
        <v>0</v>
      </c>
      <c r="BH204" s="3">
        <f>BG204</f>
        <v>0</v>
      </c>
      <c r="BI204" s="3">
        <f>BH204</f>
        <v>0</v>
      </c>
      <c r="BJ204" s="3">
        <f>BI204</f>
        <v>0</v>
      </c>
      <c r="BK204" s="3">
        <f>BJ204</f>
        <v>0</v>
      </c>
      <c r="BL204" s="3">
        <f>BK204</f>
        <v>0</v>
      </c>
      <c r="BM204" s="3">
        <f>BL204</f>
        <v>0</v>
      </c>
      <c r="BN204" s="3">
        <f>BM204</f>
        <v>0</v>
      </c>
      <c r="BO204" s="3">
        <f>BN204</f>
        <v>0</v>
      </c>
      <c r="BP204" s="3">
        <f>BO204</f>
        <v>0</v>
      </c>
      <c r="BQ204" s="3">
        <f>BP204</f>
        <v>0</v>
      </c>
      <c r="BR204" s="3">
        <f>BQ204</f>
        <v>0</v>
      </c>
      <c r="BS204" s="3">
        <f>BR204</f>
        <v>0</v>
      </c>
      <c r="BT204" s="3">
        <f>BS204</f>
        <v>0</v>
      </c>
      <c r="BU204" s="3">
        <f>BT204</f>
        <v>0</v>
      </c>
      <c r="BV204" s="3">
        <f>BU204</f>
        <v>0</v>
      </c>
      <c r="BW204" s="3">
        <f>BV204</f>
        <v>0</v>
      </c>
      <c r="BX204" s="3">
        <f>BW204</f>
        <v>0</v>
      </c>
      <c r="BY204" s="3">
        <f>BX204</f>
        <v>0</v>
      </c>
      <c r="BZ204" s="3">
        <f>BY204</f>
        <v>0</v>
      </c>
      <c r="CA204" s="3">
        <f>BZ204</f>
        <v>0</v>
      </c>
      <c r="CB204" s="3">
        <f>CA204</f>
        <v>0</v>
      </c>
      <c r="CC204" s="3">
        <f>CB204</f>
        <v>0</v>
      </c>
      <c r="CD204" s="3">
        <f>CC204</f>
        <v>0</v>
      </c>
      <c r="CE204" s="3">
        <f>CD204</f>
        <v>0</v>
      </c>
      <c r="CF204" s="3">
        <f>CE204</f>
        <v>0</v>
      </c>
      <c r="CG204" s="3">
        <f>CF204</f>
        <v>0</v>
      </c>
      <c r="CH204" s="3">
        <f>CG204</f>
        <v>0</v>
      </c>
      <c r="CI204" s="3">
        <f>CH204</f>
        <v>0</v>
      </c>
      <c r="CJ204" s="3">
        <f>CI204</f>
        <v>0</v>
      </c>
      <c r="CK204" s="3">
        <f>CJ204</f>
        <v>0</v>
      </c>
      <c r="CL204" s="3">
        <f>CK204</f>
        <v>0</v>
      </c>
      <c r="CM204" s="3">
        <f>CL204</f>
        <v>0</v>
      </c>
      <c r="CN204" s="3">
        <f>CM204</f>
        <v>0</v>
      </c>
      <c r="CO204" s="3">
        <f>CN204</f>
        <v>0</v>
      </c>
      <c r="CP204" s="3">
        <f>CO204</f>
        <v>0</v>
      </c>
      <c r="CQ204" s="3">
        <f>CP204</f>
        <v>0</v>
      </c>
      <c r="CR204" s="3">
        <f>CQ204</f>
        <v>0</v>
      </c>
      <c r="CS204" s="3">
        <f>CR204</f>
        <v>0</v>
      </c>
      <c r="CT204" s="3">
        <f>CS204</f>
        <v>0</v>
      </c>
      <c r="CU204" s="3">
        <f>CT204</f>
        <v>0</v>
      </c>
      <c r="CV204" s="3">
        <f>CU204</f>
        <v>0</v>
      </c>
      <c r="CW204" s="3">
        <f>CV204</f>
        <v>0</v>
      </c>
      <c r="CX204" s="3">
        <f>CW204</f>
        <v>0</v>
      </c>
      <c r="CY204" s="3">
        <f>CX204</f>
        <v>0</v>
      </c>
    </row>
    <row r="205">
      <c r="C205" s="26" t="inlineStr">
        <is>
          <t>Short term operating leases</t>
        </is>
      </c>
      <c r="D205" s="25">
        <f>INDEX('Inputs (2)'!$D$34:$AL$34,MATCH(D$7,'Inputs (2)'!$D$2:$AL$2,0))</f>
        <v>0</v>
      </c>
      <c r="E205" s="25">
        <f>INDEX('Inputs (2)'!$D$34:$AL$34,MATCH(E$7,'Inputs (2)'!$D$2:$AL$2,0))</f>
        <v>0</v>
      </c>
      <c r="F205" s="25">
        <f>INDEX('Inputs (2)'!$D$34:$AL$34,MATCH(F$7,'Inputs (2)'!$D$2:$AL$2,0))</f>
        <v>0</v>
      </c>
      <c r="G205" s="25">
        <f>INDEX('Inputs (2)'!$D$34:$AL$34,MATCH(G$7,'Inputs (2)'!$D$2:$AL$2,0))</f>
        <v>0</v>
      </c>
      <c r="H205" s="3">
        <f>G205</f>
        <v>0</v>
      </c>
      <c r="I205" s="25">
        <f>INDEX('Inputs (2)'!$D$34:$AL$34,MATCH(I$7,'Inputs (2)'!$D$2:$AL$2,0))</f>
        <v>0</v>
      </c>
      <c r="J205" s="25">
        <f>INDEX('Inputs (2)'!$D$34:$AL$34,MATCH(J$7,'Inputs (2)'!$D$2:$AL$2,0))</f>
        <v>0</v>
      </c>
      <c r="K205" s="25">
        <f>INDEX('Inputs (2)'!$D$34:$AL$34,MATCH(K$7,'Inputs (2)'!$D$2:$AL$2,0))</f>
        <v>0</v>
      </c>
      <c r="L205" s="25">
        <f>INDEX('Inputs (2)'!$D$34:$AL$34,MATCH(L$7,'Inputs (2)'!$D$2:$AL$2,0))</f>
        <v>0</v>
      </c>
      <c r="M205" s="3">
        <f>L205</f>
        <v>0</v>
      </c>
      <c r="N205" s="25">
        <f>INDEX('Inputs (2)'!$D$34:$AL$34,MATCH(N$7,'Inputs (2)'!$D$2:$AL$2,0))</f>
        <v>0</v>
      </c>
      <c r="O205" s="25">
        <f>INDEX('Inputs (2)'!$D$34:$AL$34,MATCH(O$7,'Inputs (2)'!$D$2:$AL$2,0))</f>
        <v>0</v>
      </c>
      <c r="P205" s="25">
        <f>INDEX('Inputs (2)'!$D$34:$AL$34,MATCH(P$7,'Inputs (2)'!$D$2:$AL$2,0))</f>
        <v>0</v>
      </c>
      <c r="Q205" s="25">
        <f>INDEX('Inputs (2)'!$D$34:$AL$34,MATCH(Q$7,'Inputs (2)'!$D$2:$AL$2,0))</f>
        <v>0</v>
      </c>
      <c r="R205" s="3">
        <f>Q205</f>
        <v>0</v>
      </c>
      <c r="S205" s="25">
        <f>INDEX('Inputs (2)'!$D$34:$AL$34,MATCH(S$7,'Inputs (2)'!$D$2:$AL$2,0))</f>
        <v>0</v>
      </c>
      <c r="T205" s="25">
        <f>INDEX('Inputs (2)'!$D$34:$AL$34,MATCH(T$7,'Inputs (2)'!$D$2:$AL$2,0))</f>
        <v>0</v>
      </c>
      <c r="U205" s="25">
        <f>INDEX('Inputs (2)'!$D$34:$AL$34,MATCH(U$7,'Inputs (2)'!$D$2:$AL$2,0))</f>
        <v>0</v>
      </c>
      <c r="V205" s="25">
        <f>INDEX('Inputs (2)'!$D$34:$AL$34,MATCH(V$7,'Inputs (2)'!$D$2:$AL$2,0))</f>
        <v>0</v>
      </c>
      <c r="W205" s="3">
        <f>V205</f>
        <v>0</v>
      </c>
      <c r="X205" s="25">
        <f>INDEX('Inputs (2)'!$D$34:$AL$34,MATCH(X$7,'Inputs (2)'!$D$2:$AL$2,0))</f>
        <v>0</v>
      </c>
      <c r="Y205" s="25">
        <f>INDEX('Inputs (2)'!$D$34:$AL$34,MATCH(Y$7,'Inputs (2)'!$D$2:$AL$2,0))</f>
        <v>0</v>
      </c>
      <c r="Z205" s="25">
        <f>INDEX('Inputs (2)'!$D$34:$AL$34,MATCH(Z$7,'Inputs (2)'!$D$2:$AL$2,0))</f>
        <v>0</v>
      </c>
      <c r="AA205" s="25">
        <f>INDEX('Inputs (2)'!$D$34:$AL$34,MATCH(AA$7,'Inputs (2)'!$D$2:$AL$2,0))</f>
        <v>0</v>
      </c>
      <c r="AB205" s="3">
        <f>AA205</f>
        <v>0</v>
      </c>
      <c r="AC205" s="25">
        <f>INDEX('Inputs (2)'!$D$34:$AL$34,MATCH(AC$7,'Inputs (2)'!$D$2:$AL$2,0))</f>
        <v>0</v>
      </c>
      <c r="AD205" s="25">
        <f>INDEX('Inputs (2)'!$D$34:$AL$34,MATCH(AD$7,'Inputs (2)'!$D$2:$AL$2,0))</f>
        <v>0</v>
      </c>
      <c r="AE205" s="25">
        <f>INDEX('Inputs (2)'!$D$34:$AL$34,MATCH(AE$7,'Inputs (2)'!$D$2:$AL$2,0))</f>
        <v>0</v>
      </c>
      <c r="AF205" s="25">
        <f>INDEX('Inputs (2)'!$D$34:$AL$34,MATCH(AF$7,'Inputs (2)'!$D$2:$AL$2,0))</f>
        <v>0</v>
      </c>
      <c r="AG205" s="3">
        <f>AF205</f>
        <v>0</v>
      </c>
      <c r="AH205" s="3">
        <f>INDEX('Inputs (2)'!$D$34:$AL$34,MATCH(AH$7,'Inputs (2)'!$D$2:$AL$2,0))</f>
        <v>0</v>
      </c>
      <c r="AI205" s="3">
        <f>INDEX('Inputs (2)'!$D$34:$AL$34,MATCH(AI$7,'Inputs (2)'!$D$2:$AL$2,0))</f>
        <v>0</v>
      </c>
      <c r="AJ205" s="3">
        <f>AI205</f>
        <v>0</v>
      </c>
      <c r="AK205" s="3">
        <f>AJ205</f>
        <v>0</v>
      </c>
      <c r="AL205" s="3">
        <f>AK205</f>
        <v>0</v>
      </c>
      <c r="AM205" s="3">
        <f>AL205</f>
        <v>0</v>
      </c>
      <c r="AN205" s="3">
        <f>AM205</f>
        <v>0</v>
      </c>
      <c r="AO205" s="3">
        <f>AN205</f>
        <v>0</v>
      </c>
      <c r="AP205" s="3">
        <f>AO205</f>
        <v>0</v>
      </c>
      <c r="AQ205" s="3">
        <f>AP205</f>
        <v>0</v>
      </c>
      <c r="AR205" s="3">
        <f>AQ205</f>
        <v>0</v>
      </c>
      <c r="AS205" s="3">
        <f>AR205</f>
        <v>0</v>
      </c>
      <c r="AT205" s="3">
        <f>AS205</f>
        <v>0</v>
      </c>
      <c r="AU205" s="3">
        <f>AT205</f>
        <v>0</v>
      </c>
      <c r="AV205" s="3">
        <f>AU205</f>
        <v>0</v>
      </c>
      <c r="AW205" s="3">
        <f>AV205</f>
        <v>0</v>
      </c>
      <c r="AX205" s="3">
        <f>AW205</f>
        <v>0</v>
      </c>
      <c r="AY205" s="3">
        <f>AX205</f>
        <v>0</v>
      </c>
      <c r="AZ205" s="3">
        <f>AY205</f>
        <v>0</v>
      </c>
      <c r="BA205" s="3">
        <f>AZ205</f>
        <v>0</v>
      </c>
      <c r="BB205" s="3">
        <f>BA205</f>
        <v>0</v>
      </c>
      <c r="BC205" s="3">
        <f>BB205</f>
        <v>0</v>
      </c>
      <c r="BD205" s="3">
        <f>BC205</f>
        <v>0</v>
      </c>
      <c r="BE205" s="3">
        <f>BD205</f>
        <v>0</v>
      </c>
      <c r="BF205" s="3">
        <f>BE205</f>
        <v>0</v>
      </c>
      <c r="BG205" s="3">
        <f>BF205</f>
        <v>0</v>
      </c>
      <c r="BH205" s="3">
        <f>BG205</f>
        <v>0</v>
      </c>
      <c r="BI205" s="3">
        <f>BH205</f>
        <v>0</v>
      </c>
      <c r="BJ205" s="3">
        <f>BI205</f>
        <v>0</v>
      </c>
      <c r="BK205" s="3">
        <f>BJ205</f>
        <v>0</v>
      </c>
      <c r="BL205" s="3">
        <f>BK205</f>
        <v>0</v>
      </c>
      <c r="BM205" s="3">
        <f>BL205</f>
        <v>0</v>
      </c>
      <c r="BN205" s="3">
        <f>BM205</f>
        <v>0</v>
      </c>
      <c r="BO205" s="3">
        <f>BN205</f>
        <v>0</v>
      </c>
      <c r="BP205" s="3">
        <f>BO205</f>
        <v>0</v>
      </c>
      <c r="BQ205" s="3">
        <f>BP205</f>
        <v>0</v>
      </c>
      <c r="BR205" s="3">
        <f>BQ205</f>
        <v>0</v>
      </c>
      <c r="BS205" s="3">
        <f>BR205</f>
        <v>0</v>
      </c>
      <c r="BT205" s="3">
        <f>BS205</f>
        <v>0</v>
      </c>
      <c r="BU205" s="3">
        <f>BT205</f>
        <v>0</v>
      </c>
      <c r="BV205" s="3">
        <f>BU205</f>
        <v>0</v>
      </c>
      <c r="BW205" s="3">
        <f>BV205</f>
        <v>0</v>
      </c>
      <c r="BX205" s="3">
        <f>BW205</f>
        <v>0</v>
      </c>
      <c r="BY205" s="3">
        <f>BX205</f>
        <v>0</v>
      </c>
      <c r="BZ205" s="3">
        <f>BY205</f>
        <v>0</v>
      </c>
      <c r="CA205" s="3">
        <f>BZ205</f>
        <v>0</v>
      </c>
      <c r="CB205" s="3">
        <f>CA205</f>
        <v>0</v>
      </c>
      <c r="CC205" s="3">
        <f>CB205</f>
        <v>0</v>
      </c>
      <c r="CD205" s="3">
        <f>CC205</f>
        <v>0</v>
      </c>
      <c r="CE205" s="3">
        <f>CD205</f>
        <v>0</v>
      </c>
      <c r="CF205" s="3">
        <f>CE205</f>
        <v>0</v>
      </c>
      <c r="CG205" s="3">
        <f>CF205</f>
        <v>0</v>
      </c>
      <c r="CH205" s="3">
        <f>CG205</f>
        <v>0</v>
      </c>
      <c r="CI205" s="3">
        <f>CH205</f>
        <v>0</v>
      </c>
      <c r="CJ205" s="3">
        <f>CI205</f>
        <v>0</v>
      </c>
      <c r="CK205" s="3">
        <f>CJ205</f>
        <v>0</v>
      </c>
      <c r="CL205" s="3">
        <f>CK205</f>
        <v>0</v>
      </c>
      <c r="CM205" s="3">
        <f>CL205</f>
        <v>0</v>
      </c>
      <c r="CN205" s="3">
        <f>CM205</f>
        <v>0</v>
      </c>
      <c r="CO205" s="3">
        <f>CN205</f>
        <v>0</v>
      </c>
      <c r="CP205" s="3">
        <f>CO205</f>
        <v>0</v>
      </c>
      <c r="CQ205" s="3">
        <f>CP205</f>
        <v>0</v>
      </c>
      <c r="CR205" s="3">
        <f>CQ205</f>
        <v>0</v>
      </c>
      <c r="CS205" s="3">
        <f>CR205</f>
        <v>0</v>
      </c>
      <c r="CT205" s="3">
        <f>CS205</f>
        <v>0</v>
      </c>
      <c r="CU205" s="3">
        <f>CT205</f>
        <v>0</v>
      </c>
      <c r="CV205" s="3">
        <f>CU205</f>
        <v>0</v>
      </c>
      <c r="CW205" s="3">
        <f>CV205</f>
        <v>0</v>
      </c>
      <c r="CX205" s="3">
        <f>CW205</f>
        <v>0</v>
      </c>
      <c r="CY205" s="3">
        <f>CX205</f>
        <v>0</v>
      </c>
    </row>
    <row r="206" hidden="1" outlineLevel="1">
      <c r="C206" s="38" t="inlineStr">
        <is>
          <t>%(Var.)</t>
        </is>
      </c>
      <c r="D206" s="3" t="n"/>
      <c r="E206" s="47">
        <f>IFERROR((E205-D205)/D205,0)</f>
        <v>0</v>
      </c>
      <c r="F206" s="47">
        <f>IFERROR((F205-E205)/E205,0)</f>
        <v>0</v>
      </c>
      <c r="G206" s="47">
        <f>IFERROR((G205-F205)/F205,0)</f>
        <v>0</v>
      </c>
      <c r="H206" s="3" t="n"/>
      <c r="I206" s="47">
        <f>IFERROR((I205-H205)/H205,0)</f>
        <v>0</v>
      </c>
      <c r="J206" s="47">
        <f>IFERROR((J205-I205)/I205,0)</f>
        <v>0</v>
      </c>
      <c r="K206" s="47">
        <f>IFERROR((K205-J205)/J205,0)</f>
        <v>0</v>
      </c>
      <c r="L206" s="47">
        <f>IFERROR((L205-K205)/K205,0)</f>
        <v>0</v>
      </c>
      <c r="M206" s="3" t="n"/>
      <c r="N206" s="47">
        <f>IFERROR((N205-M205)/M205,0)</f>
        <v>0</v>
      </c>
      <c r="O206" s="47">
        <f>IFERROR((O205-N205)/N205,0)</f>
        <v>0</v>
      </c>
      <c r="P206" s="47">
        <f>IFERROR((P205-O205)/O205,0)</f>
        <v>0</v>
      </c>
      <c r="Q206" s="47">
        <f>IFERROR((Q205-P205)/P205,0)</f>
        <v>0</v>
      </c>
      <c r="R206" s="3" t="n"/>
      <c r="S206" s="47">
        <f>IFERROR((S205-R205)/R205,0)</f>
        <v>0</v>
      </c>
      <c r="T206" s="47">
        <f>IFERROR((T205-S205)/S205,0)</f>
        <v>0</v>
      </c>
      <c r="U206" s="47">
        <f>IFERROR((U205-T205)/T205,0)</f>
        <v>0</v>
      </c>
      <c r="V206" s="47">
        <f>IFERROR((V205-U205)/U205,0)</f>
        <v>0</v>
      </c>
      <c r="W206" s="3" t="n"/>
      <c r="X206" s="47">
        <f>IFERROR((X205-W205)/W205,0)</f>
        <v>0</v>
      </c>
      <c r="Y206" s="47">
        <f>IFERROR((Y205-X205)/X205,0)</f>
        <v>0</v>
      </c>
      <c r="Z206" s="47">
        <f>IFERROR((Z205-Y205)/Y205,0)</f>
        <v>0</v>
      </c>
      <c r="AA206" s="47">
        <f>IFERROR((AA205-Z205)/Z205,0)</f>
        <v>0</v>
      </c>
      <c r="AB206" s="3" t="n"/>
      <c r="AC206" s="47">
        <f>IFERROR((AC205-AB205)/AB205,0)</f>
        <v>0</v>
      </c>
      <c r="AD206" s="47">
        <f>IFERROR((AD205-AC205)/AC205,0)</f>
        <v>0</v>
      </c>
      <c r="AE206" s="47">
        <f>IFERROR((AE205-AD205)/AD205,0)</f>
        <v>0</v>
      </c>
      <c r="AF206" s="6">
        <f>IFERROR((AF205-AE205)/AE205,0)</f>
        <v>0</v>
      </c>
      <c r="AG206" s="3" t="n"/>
      <c r="AH206" s="6">
        <f>IFERROR((AH205-AG205)/AG205,0)</f>
        <v>0</v>
      </c>
      <c r="AI206" s="6">
        <f>IFERROR((AI205-AH205)/AH205,0)</f>
        <v>0</v>
      </c>
      <c r="AJ206" s="6" t="n"/>
      <c r="AK206" s="6" t="n"/>
      <c r="AL206" s="3" t="n"/>
      <c r="AM206" s="6" t="n"/>
      <c r="AN206" s="6" t="n"/>
      <c r="AO206" s="6" t="n"/>
      <c r="AP206" s="6" t="n"/>
      <c r="AQ206" s="3" t="n"/>
      <c r="AR206" s="6" t="n"/>
      <c r="AS206" s="6" t="n"/>
      <c r="AT206" s="6" t="n"/>
      <c r="AU206" s="6" t="n"/>
      <c r="AV206" s="3" t="n"/>
      <c r="AW206" s="6" t="n"/>
      <c r="AX206" s="6" t="n"/>
      <c r="AY206" s="6" t="n"/>
      <c r="AZ206" s="6" t="n"/>
      <c r="BA206" s="3" t="n"/>
      <c r="BB206" s="6" t="n"/>
      <c r="BC206" s="6" t="n"/>
      <c r="BD206" s="6" t="n"/>
      <c r="BE206" s="6" t="n"/>
      <c r="BF206" s="3" t="n"/>
      <c r="BG206" s="6" t="n"/>
      <c r="BH206" s="6" t="n"/>
      <c r="BI206" s="6" t="n"/>
      <c r="BJ206" s="6" t="n"/>
      <c r="BK206" s="3" t="n"/>
      <c r="BL206" s="6" t="n"/>
      <c r="BM206" s="6" t="n"/>
      <c r="BN206" s="6" t="n"/>
      <c r="BO206" s="6" t="n"/>
      <c r="BP206" s="3" t="n"/>
      <c r="BQ206" s="6" t="n"/>
      <c r="BR206" s="6" t="n"/>
      <c r="BS206" s="6" t="n"/>
      <c r="BT206" s="6" t="n"/>
      <c r="BU206" s="3" t="n"/>
      <c r="BV206" s="6" t="n"/>
      <c r="BW206" s="6" t="n"/>
      <c r="BX206" s="6" t="n"/>
      <c r="BY206" s="6" t="n"/>
      <c r="BZ206" s="3" t="n"/>
      <c r="CA206" s="6" t="n"/>
      <c r="CB206" s="6" t="n"/>
      <c r="CC206" s="6" t="n"/>
      <c r="CD206" s="6" t="n"/>
      <c r="CE206" s="3" t="n"/>
      <c r="CF206" s="6" t="n"/>
      <c r="CG206" s="6" t="n"/>
      <c r="CH206" s="6" t="n"/>
      <c r="CI206" s="6" t="n"/>
      <c r="CJ206" s="3" t="n"/>
      <c r="CK206" s="6" t="n"/>
      <c r="CL206" s="6" t="n"/>
      <c r="CM206" s="6" t="n"/>
      <c r="CN206" s="6" t="n"/>
      <c r="CO206" s="3" t="n"/>
      <c r="CP206" s="6" t="n"/>
      <c r="CQ206" s="6" t="n"/>
      <c r="CR206" s="6" t="n"/>
      <c r="CS206" s="6" t="n"/>
      <c r="CT206" s="3" t="n"/>
      <c r="CU206" s="6" t="n"/>
      <c r="CV206" s="6" t="n"/>
      <c r="CW206" s="6" t="n"/>
      <c r="CX206" s="6" t="n"/>
      <c r="CY206" s="3" t="n"/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collapsed="1">
      <c r="C208" s="26" t="inlineStr">
        <is>
          <t>Long term debt</t>
        </is>
      </c>
      <c r="D208" s="25">
        <f>INDEX('Inputs (2)'!$D$35:$AL$35,MATCH(D$7,'Inputs (2)'!$D$2:$AL$2,0))</f>
        <v>11439</v>
      </c>
      <c r="E208" s="25">
        <f>INDEX('Inputs (2)'!$D$35:$AL$35,MATCH(E$7,'Inputs (2)'!$D$2:$AL$2,0))</f>
        <v>12174</v>
      </c>
      <c r="F208" s="25">
        <f>INDEX('Inputs (2)'!$D$35:$AL$35,MATCH(F$7,'Inputs (2)'!$D$2:$AL$2,0))</f>
        <v>11675</v>
      </c>
      <c r="G208" s="25">
        <f>INDEX('Inputs (2)'!$D$35:$AL$35,MATCH(G$7,'Inputs (2)'!$D$2:$AL$2,0))</f>
        <v>11669</v>
      </c>
      <c r="H208" s="3">
        <f>G208</f>
        <v>11669</v>
      </c>
      <c r="I208" s="25">
        <f>INDEX('Inputs (2)'!$D$35:$AL$35,MATCH(I$7,'Inputs (2)'!$D$2:$AL$2,0))</f>
        <v>11657</v>
      </c>
      <c r="J208" s="25">
        <f>INDEX('Inputs (2)'!$D$35:$AL$35,MATCH(J$7,'Inputs (2)'!$D$2:$AL$2,0))</f>
        <v>11665</v>
      </c>
      <c r="K208" s="25">
        <f>INDEX('Inputs (2)'!$D$35:$AL$35,MATCH(K$7,'Inputs (2)'!$D$2:$AL$2,0))</f>
        <v>11668</v>
      </c>
      <c r="L208" s="25">
        <f>INDEX('Inputs (2)'!$D$35:$AL$35,MATCH(L$7,'Inputs (2)'!$D$2:$AL$2,0))</f>
        <v>11670</v>
      </c>
      <c r="M208" s="3">
        <f>L208</f>
        <v>11670</v>
      </c>
      <c r="N208" s="25">
        <f>INDEX('Inputs (2)'!$D$35:$AL$35,MATCH(N$7,'Inputs (2)'!$D$2:$AL$2,0))</f>
        <v>11145</v>
      </c>
      <c r="O208" s="25">
        <f>INDEX('Inputs (2)'!$D$35:$AL$35,MATCH(O$7,'Inputs (2)'!$D$2:$AL$2,0))</f>
        <v>11644</v>
      </c>
      <c r="P208" s="25">
        <f>INDEX('Inputs (2)'!$D$35:$AL$35,MATCH(P$7,'Inputs (2)'!$D$2:$AL$2,0))</f>
        <v>11480</v>
      </c>
      <c r="Q208" s="25">
        <f>INDEX('Inputs (2)'!$D$35:$AL$35,MATCH(Q$7,'Inputs (2)'!$D$2:$AL$2,0))</f>
        <v>15429</v>
      </c>
      <c r="R208" s="3">
        <f>Q208</f>
        <v>15429</v>
      </c>
      <c r="S208" s="25">
        <f>INDEX('Inputs (2)'!$D$35:$AL$35,MATCH(S$7,'Inputs (2)'!$D$2:$AL$2,0))</f>
        <v>15485</v>
      </c>
      <c r="T208" s="25">
        <f>INDEX('Inputs (2)'!$D$35:$AL$35,MATCH(T$7,'Inputs (2)'!$D$2:$AL$2,0))</f>
        <v>17262</v>
      </c>
      <c r="U208" s="25">
        <f>INDEX('Inputs (2)'!$D$35:$AL$35,MATCH(U$7,'Inputs (2)'!$D$2:$AL$2,0))</f>
        <v>17221</v>
      </c>
      <c r="V208" s="25">
        <f>INDEX('Inputs (2)'!$D$35:$AL$35,MATCH(V$7,'Inputs (2)'!$D$2:$AL$2,0))</f>
        <v>17291</v>
      </c>
      <c r="W208" s="3">
        <f>V208</f>
        <v>17291</v>
      </c>
      <c r="X208" s="25">
        <f>INDEX('Inputs (2)'!$D$35:$AL$35,MATCH(X$7,'Inputs (2)'!$D$2:$AL$2,0))</f>
        <v>19250</v>
      </c>
      <c r="Y208" s="25">
        <f>INDEX('Inputs (2)'!$D$35:$AL$35,MATCH(Y$7,'Inputs (2)'!$D$2:$AL$2,0))</f>
        <v>19115</v>
      </c>
      <c r="Z208" s="25">
        <f>INDEX('Inputs (2)'!$D$35:$AL$35,MATCH(Z$7,'Inputs (2)'!$D$2:$AL$2,0))</f>
        <v>19179</v>
      </c>
      <c r="AA208" s="25">
        <f>INDEX('Inputs (2)'!$D$35:$AL$35,MATCH(AA$7,'Inputs (2)'!$D$2:$AL$2,0))</f>
        <v>19627</v>
      </c>
      <c r="AB208" s="3">
        <f>AA208</f>
        <v>19627</v>
      </c>
      <c r="AC208" s="25">
        <f>INDEX('Inputs (2)'!$D$35:$AL$35,MATCH(AC$7,'Inputs (2)'!$D$2:$AL$2,0))</f>
        <v>18661</v>
      </c>
      <c r="AD208" s="25">
        <f>INDEX('Inputs (2)'!$D$35:$AL$35,MATCH(AD$7,'Inputs (2)'!$D$2:$AL$2,0))</f>
        <v>18520</v>
      </c>
      <c r="AE208" s="25">
        <f>INDEX('Inputs (2)'!$D$35:$AL$35,MATCH(AE$7,'Inputs (2)'!$D$2:$AL$2,0))</f>
        <v>20520</v>
      </c>
      <c r="AF208" s="25">
        <f>INDEX('Inputs (2)'!$D$35:$AL$35,MATCH(AF$7,'Inputs (2)'!$D$2:$AL$2,0))</f>
        <v>20532</v>
      </c>
      <c r="AG208" s="3">
        <f>AF208</f>
        <v>20532</v>
      </c>
      <c r="AH208" s="3">
        <f>INDEX('Inputs (2)'!$D$35:$AL$35,MATCH(AH$7,'Inputs (2)'!$D$2:$AL$2,0))</f>
        <v>20529</v>
      </c>
      <c r="AI208" s="3">
        <f>INDEX('Inputs (2)'!$D$35:$AL$35,MATCH(AI$7,'Inputs (2)'!$D$2:$AL$2,0))</f>
        <v>20538</v>
      </c>
      <c r="AJ208" s="3">
        <f>AJ214</f>
        <v>20538</v>
      </c>
      <c r="AK208" s="3">
        <f>AK214</f>
        <v>20538</v>
      </c>
      <c r="AL208" s="3">
        <f>AK208</f>
        <v>20538</v>
      </c>
      <c r="AM208" s="3">
        <f>AM214</f>
        <v>20538</v>
      </c>
      <c r="AN208" s="3">
        <f>AN214</f>
        <v>20538</v>
      </c>
      <c r="AO208" s="3">
        <f>AO214</f>
        <v>20538</v>
      </c>
      <c r="AP208" s="3">
        <f>AP214</f>
        <v>20538</v>
      </c>
      <c r="AQ208" s="3">
        <f>AP208</f>
        <v>20538</v>
      </c>
      <c r="AR208" s="3">
        <f>AR214</f>
        <v>20538</v>
      </c>
      <c r="AS208" s="3">
        <f>AS214</f>
        <v>20538</v>
      </c>
      <c r="AT208" s="3">
        <f>AT214</f>
        <v>20538</v>
      </c>
      <c r="AU208" s="3">
        <f>AU214</f>
        <v>20538</v>
      </c>
      <c r="AV208" s="3">
        <f>AU208</f>
        <v>20538</v>
      </c>
      <c r="AW208" s="3">
        <f>AW214</f>
        <v>20538</v>
      </c>
      <c r="AX208" s="3">
        <f>AX214</f>
        <v>20538</v>
      </c>
      <c r="AY208" s="3">
        <f>AY214</f>
        <v>20538</v>
      </c>
      <c r="AZ208" s="3">
        <f>AZ214</f>
        <v>20538</v>
      </c>
      <c r="BA208" s="3">
        <f>AZ208</f>
        <v>20538</v>
      </c>
      <c r="BB208" s="3">
        <f>BB214</f>
        <v>20538</v>
      </c>
      <c r="BC208" s="3">
        <f>BC214</f>
        <v>20538</v>
      </c>
      <c r="BD208" s="3">
        <f>BD214</f>
        <v>20538</v>
      </c>
      <c r="BE208" s="3">
        <f>BE214</f>
        <v>20538</v>
      </c>
      <c r="BF208" s="3">
        <f>BE208</f>
        <v>20538</v>
      </c>
      <c r="BG208" s="3">
        <f>BG214</f>
        <v>20538</v>
      </c>
      <c r="BH208" s="3">
        <f>BH214</f>
        <v>20538</v>
      </c>
      <c r="BI208" s="3">
        <f>BI214</f>
        <v>20538</v>
      </c>
      <c r="BJ208" s="3">
        <f>BJ214</f>
        <v>20538</v>
      </c>
      <c r="BK208" s="3">
        <f>BJ208</f>
        <v>20538</v>
      </c>
      <c r="BL208" s="3">
        <f>BL214</f>
        <v>20538</v>
      </c>
      <c r="BM208" s="3">
        <f>BM214</f>
        <v>20538</v>
      </c>
      <c r="BN208" s="3">
        <f>BN214</f>
        <v>20538</v>
      </c>
      <c r="BO208" s="3">
        <f>BO214</f>
        <v>20538</v>
      </c>
      <c r="BP208" s="3">
        <f>BO208</f>
        <v>20538</v>
      </c>
      <c r="BQ208" s="3">
        <f>BQ214</f>
        <v>20538</v>
      </c>
      <c r="BR208" s="3">
        <f>BR214</f>
        <v>20538</v>
      </c>
      <c r="BS208" s="3">
        <f>BS214</f>
        <v>20538</v>
      </c>
      <c r="BT208" s="3">
        <f>BT214</f>
        <v>20538</v>
      </c>
      <c r="BU208" s="3">
        <f>BT208</f>
        <v>20538</v>
      </c>
      <c r="BV208" s="3">
        <f>BV214</f>
        <v>20538</v>
      </c>
      <c r="BW208" s="3">
        <f>BW214</f>
        <v>20538</v>
      </c>
      <c r="BX208" s="3">
        <f>BX214</f>
        <v>20538</v>
      </c>
      <c r="BY208" s="3">
        <f>BY214</f>
        <v>20538</v>
      </c>
      <c r="BZ208" s="3">
        <f>BY208</f>
        <v>20538</v>
      </c>
      <c r="CA208" s="3">
        <f>CA214</f>
        <v>20538</v>
      </c>
      <c r="CB208" s="3">
        <f>CB214</f>
        <v>20538</v>
      </c>
      <c r="CC208" s="3">
        <f>CC214</f>
        <v>20538</v>
      </c>
      <c r="CD208" s="3">
        <f>CD214</f>
        <v>20538</v>
      </c>
      <c r="CE208" s="3">
        <f>CD208</f>
        <v>20538</v>
      </c>
      <c r="CF208" s="3">
        <f>CF214</f>
        <v>20538</v>
      </c>
      <c r="CG208" s="3">
        <f>CG214</f>
        <v>20538</v>
      </c>
      <c r="CH208" s="3">
        <f>CH214</f>
        <v>20538</v>
      </c>
      <c r="CI208" s="3">
        <f>CI214</f>
        <v>20538</v>
      </c>
      <c r="CJ208" s="3">
        <f>CI208</f>
        <v>20538</v>
      </c>
      <c r="CK208" s="3">
        <f>CK214</f>
        <v>20538</v>
      </c>
      <c r="CL208" s="3">
        <f>CL214</f>
        <v>20538</v>
      </c>
      <c r="CM208" s="3">
        <f>CM214</f>
        <v>20538</v>
      </c>
      <c r="CN208" s="3">
        <f>CN214</f>
        <v>20538</v>
      </c>
      <c r="CO208" s="3">
        <f>CN208</f>
        <v>20538</v>
      </c>
      <c r="CP208" s="3">
        <f>CP214</f>
        <v>20538</v>
      </c>
      <c r="CQ208" s="3">
        <f>CQ214</f>
        <v>20538</v>
      </c>
      <c r="CR208" s="3">
        <f>CR214</f>
        <v>20538</v>
      </c>
      <c r="CS208" s="3">
        <f>CS214</f>
        <v>20538</v>
      </c>
      <c r="CT208" s="3">
        <f>CS208</f>
        <v>20538</v>
      </c>
      <c r="CU208" s="3">
        <f>CU214</f>
        <v>20538</v>
      </c>
      <c r="CV208" s="3">
        <f>CV214</f>
        <v>20538</v>
      </c>
      <c r="CW208" s="3">
        <f>CW214</f>
        <v>20538</v>
      </c>
      <c r="CX208" s="3">
        <f>CX214</f>
        <v>20538</v>
      </c>
      <c r="CY208" s="3">
        <f>CX208</f>
        <v>20538</v>
      </c>
    </row>
    <row r="209" hidden="1" outlineLevel="1">
      <c r="C209" s="34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>Current portion of LTD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>
        <f>AF203</f>
        <v>1168</v>
      </c>
      <c r="AI210" s="35" t="n"/>
      <c r="AJ210" s="35" t="n"/>
      <c r="AK210" s="35" t="n"/>
      <c r="AL210" s="3" t="n"/>
      <c r="AM210" s="3">
        <f>AK203</f>
        <v>0</v>
      </c>
      <c r="AN210" s="35" t="n"/>
      <c r="AO210" s="35" t="n"/>
      <c r="AP210" s="35" t="n"/>
      <c r="AQ210" s="3" t="n"/>
      <c r="AR210" s="3">
        <f>AP203</f>
        <v>0</v>
      </c>
      <c r="AS210" s="35" t="n"/>
      <c r="AT210" s="35" t="n"/>
      <c r="AU210" s="35" t="n"/>
      <c r="AV210" s="3" t="n"/>
      <c r="AW210" s="3">
        <f>AU203</f>
        <v>0</v>
      </c>
      <c r="AX210" s="35" t="n"/>
      <c r="AY210" s="35" t="n"/>
      <c r="AZ210" s="35" t="n"/>
      <c r="BA210" s="3" t="n"/>
      <c r="BB210" s="3">
        <f>AZ203</f>
        <v>0</v>
      </c>
      <c r="BC210" s="35" t="n"/>
      <c r="BD210" s="35" t="n"/>
      <c r="BE210" s="35" t="n"/>
      <c r="BF210" s="3" t="n"/>
      <c r="BG210" s="3">
        <f>BE203</f>
        <v>0</v>
      </c>
      <c r="BH210" s="35" t="n"/>
      <c r="BI210" s="35" t="n"/>
      <c r="BJ210" s="35" t="n"/>
      <c r="BK210" s="3" t="n"/>
      <c r="BL210" s="3">
        <f>BJ203</f>
        <v>0</v>
      </c>
      <c r="BM210" s="35" t="n"/>
      <c r="BN210" s="35" t="n"/>
      <c r="BO210" s="35" t="n"/>
      <c r="BP210" s="3" t="n"/>
      <c r="BQ210" s="3">
        <f>BO203</f>
        <v>0</v>
      </c>
      <c r="BR210" s="35" t="n"/>
      <c r="BS210" s="35" t="n"/>
      <c r="BT210" s="35" t="n"/>
      <c r="BU210" s="3" t="n"/>
      <c r="BV210" s="3">
        <f>BT203</f>
        <v>0</v>
      </c>
      <c r="BW210" s="35" t="n"/>
      <c r="BX210" s="35" t="n"/>
      <c r="BY210" s="35" t="n"/>
      <c r="BZ210" s="3" t="n"/>
      <c r="CA210" s="3">
        <f>BY203</f>
        <v>0</v>
      </c>
      <c r="CB210" s="35" t="n"/>
      <c r="CC210" s="35" t="n"/>
      <c r="CD210" s="35" t="n"/>
      <c r="CE210" s="3" t="n"/>
      <c r="CF210" s="3">
        <f>CD203</f>
        <v>0</v>
      </c>
      <c r="CG210" s="35" t="n"/>
      <c r="CH210" s="35" t="n"/>
      <c r="CI210" s="35" t="n"/>
      <c r="CJ210" s="3" t="n"/>
      <c r="CK210" s="3">
        <f>CI203</f>
        <v>0</v>
      </c>
      <c r="CL210" s="35" t="n"/>
      <c r="CM210" s="35" t="n"/>
      <c r="CN210" s="35" t="n"/>
      <c r="CO210" s="3" t="n"/>
      <c r="CP210" s="3">
        <f>CN203</f>
        <v>0</v>
      </c>
      <c r="CQ210" s="35" t="n"/>
      <c r="CR210" s="35" t="n"/>
      <c r="CS210" s="35" t="n"/>
      <c r="CT210" s="3" t="n"/>
      <c r="CU210" s="3">
        <f>CS203</f>
        <v>0</v>
      </c>
      <c r="CV210" s="35" t="n"/>
      <c r="CW210" s="35" t="n"/>
      <c r="CX210" s="35" t="n"/>
      <c r="CY210" s="3" t="n"/>
    </row>
    <row r="211" hidden="1" outlineLevel="1">
      <c r="C211" s="3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inlineStr">
        <is>
          <t>Reclassification of LTD to CP of LTD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>
        <f>-AI210</f>
        <v>0</v>
      </c>
      <c r="AJ212" s="3">
        <f>-AJ210</f>
        <v>0</v>
      </c>
      <c r="AK212" s="3">
        <f>-AK210</f>
        <v>0</v>
      </c>
      <c r="AL212" s="3" t="n"/>
      <c r="AM212" s="3" t="n"/>
      <c r="AN212" s="3">
        <f>-AN210</f>
        <v>0</v>
      </c>
      <c r="AO212" s="3">
        <f>-AO210</f>
        <v>0</v>
      </c>
      <c r="AP212" s="3">
        <f>-AP210</f>
        <v>0</v>
      </c>
      <c r="AQ212" s="3" t="n"/>
      <c r="AR212" s="3" t="n"/>
      <c r="AS212" s="3">
        <f>-AS210</f>
        <v>0</v>
      </c>
      <c r="AT212" s="3">
        <f>-AT210</f>
        <v>0</v>
      </c>
      <c r="AU212" s="3">
        <f>-AU210</f>
        <v>0</v>
      </c>
      <c r="AV212" s="3" t="n"/>
      <c r="AW212" s="3" t="n"/>
      <c r="AX212" s="3">
        <f>-AX210</f>
        <v>0</v>
      </c>
      <c r="AY212" s="3">
        <f>-AY210</f>
        <v>0</v>
      </c>
      <c r="AZ212" s="3">
        <f>-AZ210</f>
        <v>0</v>
      </c>
      <c r="BA212" s="3" t="n"/>
      <c r="BB212" s="3" t="n"/>
      <c r="BC212" s="3">
        <f>-BC210</f>
        <v>0</v>
      </c>
      <c r="BD212" s="3">
        <f>-BD210</f>
        <v>0</v>
      </c>
      <c r="BE212" s="3">
        <f>-BE210</f>
        <v>0</v>
      </c>
      <c r="BF212" s="3" t="n"/>
      <c r="BG212" s="3" t="n"/>
      <c r="BH212" s="3">
        <f>-BH210</f>
        <v>0</v>
      </c>
      <c r="BI212" s="3">
        <f>-BI210</f>
        <v>0</v>
      </c>
      <c r="BJ212" s="3">
        <f>-BJ210</f>
        <v>0</v>
      </c>
      <c r="BK212" s="3" t="n"/>
      <c r="BL212" s="3" t="n"/>
      <c r="BM212" s="3">
        <f>-BM210</f>
        <v>0</v>
      </c>
      <c r="BN212" s="3">
        <f>-BN210</f>
        <v>0</v>
      </c>
      <c r="BO212" s="3">
        <f>-BO210</f>
        <v>0</v>
      </c>
      <c r="BP212" s="3" t="n"/>
      <c r="BQ212" s="3" t="n"/>
      <c r="BR212" s="3">
        <f>-BR210</f>
        <v>0</v>
      </c>
      <c r="BS212" s="3">
        <f>-BS210</f>
        <v>0</v>
      </c>
      <c r="BT212" s="3">
        <f>-BT210</f>
        <v>0</v>
      </c>
      <c r="BU212" s="3" t="n"/>
      <c r="BV212" s="3" t="n"/>
      <c r="BW212" s="3">
        <f>-BW210</f>
        <v>0</v>
      </c>
      <c r="BX212" s="3">
        <f>-BX210</f>
        <v>0</v>
      </c>
      <c r="BY212" s="3">
        <f>-BY210</f>
        <v>0</v>
      </c>
      <c r="BZ212" s="3" t="n"/>
      <c r="CA212" s="3" t="n"/>
      <c r="CB212" s="3">
        <f>-CB210</f>
        <v>0</v>
      </c>
      <c r="CC212" s="3">
        <f>-CC210</f>
        <v>0</v>
      </c>
      <c r="CD212" s="3">
        <f>-CD210</f>
        <v>0</v>
      </c>
      <c r="CE212" s="3" t="n"/>
      <c r="CF212" s="3" t="n"/>
      <c r="CG212" s="3">
        <f>-CG210</f>
        <v>0</v>
      </c>
      <c r="CH212" s="3">
        <f>-CH210</f>
        <v>0</v>
      </c>
      <c r="CI212" s="3">
        <f>-CI210</f>
        <v>0</v>
      </c>
      <c r="CJ212" s="3" t="n"/>
      <c r="CK212" s="3" t="n"/>
      <c r="CL212" s="3">
        <f>-CL210</f>
        <v>0</v>
      </c>
      <c r="CM212" s="3">
        <f>-CM210</f>
        <v>0</v>
      </c>
      <c r="CN212" s="3">
        <f>-CN210</f>
        <v>0</v>
      </c>
      <c r="CO212" s="3" t="n"/>
      <c r="CP212" s="3" t="n"/>
      <c r="CQ212" s="3">
        <f>-CQ210</f>
        <v>0</v>
      </c>
      <c r="CR212" s="3">
        <f>-CR210</f>
        <v>0</v>
      </c>
      <c r="CS212" s="3">
        <f>-CS210</f>
        <v>0</v>
      </c>
      <c r="CT212" s="3" t="n"/>
      <c r="CU212" s="3" t="n"/>
      <c r="CV212" s="3">
        <f>-CV210</f>
        <v>0</v>
      </c>
      <c r="CW212" s="3">
        <f>-CW210</f>
        <v>0</v>
      </c>
      <c r="CX212" s="3">
        <f>-CX210</f>
        <v>0</v>
      </c>
      <c r="CY212" s="3" t="n"/>
    </row>
    <row r="213" hidden="1" outlineLevel="1">
      <c r="C213" s="34" t="inlineStr">
        <is>
          <t>Discretionary (paydown)/borrowing of long term debt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5" t="n"/>
      <c r="AI213" s="35" t="n"/>
      <c r="AJ213" s="35" t="n"/>
      <c r="AK213" s="35" t="n"/>
      <c r="AL213" s="3" t="n"/>
      <c r="AM213" s="35" t="n"/>
      <c r="AN213" s="35" t="n"/>
      <c r="AO213" s="35" t="n"/>
      <c r="AP213" s="35" t="n"/>
      <c r="AQ213" s="3" t="n"/>
      <c r="AR213" s="35" t="n"/>
      <c r="AS213" s="35" t="n"/>
      <c r="AT213" s="35" t="n"/>
      <c r="AU213" s="35" t="n"/>
      <c r="AV213" s="3" t="n"/>
      <c r="AW213" s="35" t="n"/>
      <c r="AX213" s="35" t="n"/>
      <c r="AY213" s="35" t="n"/>
      <c r="AZ213" s="35" t="n"/>
      <c r="BA213" s="3" t="n"/>
      <c r="BB213" s="35" t="n"/>
      <c r="BC213" s="35" t="n"/>
      <c r="BD213" s="35" t="n"/>
      <c r="BE213" s="35" t="n"/>
      <c r="BF213" s="3" t="n"/>
      <c r="BG213" s="35" t="n"/>
      <c r="BH213" s="35" t="n"/>
      <c r="BI213" s="35" t="n"/>
      <c r="BJ213" s="35" t="n"/>
      <c r="BK213" s="3" t="n"/>
      <c r="BL213" s="35" t="n"/>
      <c r="BM213" s="35" t="n"/>
      <c r="BN213" s="35" t="n"/>
      <c r="BO213" s="35" t="n"/>
      <c r="BP213" s="3" t="n"/>
      <c r="BQ213" s="35" t="n"/>
      <c r="BR213" s="35" t="n"/>
      <c r="BS213" s="35" t="n"/>
      <c r="BT213" s="35" t="n"/>
      <c r="BU213" s="3" t="n"/>
      <c r="BV213" s="35" t="n"/>
      <c r="BW213" s="35" t="n"/>
      <c r="BX213" s="35" t="n"/>
      <c r="BY213" s="35" t="n"/>
      <c r="BZ213" s="3" t="n"/>
      <c r="CA213" s="35" t="n"/>
      <c r="CB213" s="35" t="n"/>
      <c r="CC213" s="35" t="n"/>
      <c r="CD213" s="35" t="n"/>
      <c r="CE213" s="3" t="n"/>
      <c r="CF213" s="35" t="n"/>
      <c r="CG213" s="35" t="n"/>
      <c r="CH213" s="35" t="n"/>
      <c r="CI213" s="35" t="n"/>
      <c r="CJ213" s="3" t="n"/>
      <c r="CK213" s="35" t="n"/>
      <c r="CL213" s="35" t="n"/>
      <c r="CM213" s="35" t="n"/>
      <c r="CN213" s="35" t="n"/>
      <c r="CO213" s="3" t="n"/>
      <c r="CP213" s="35" t="n"/>
      <c r="CQ213" s="35" t="n"/>
      <c r="CR213" s="35" t="n"/>
      <c r="CS213" s="35" t="n"/>
      <c r="CT213" s="3" t="n"/>
      <c r="CU213" s="35" t="n"/>
      <c r="CV213" s="35" t="n"/>
      <c r="CW213" s="35" t="n"/>
      <c r="CX213" s="35" t="n"/>
      <c r="CY213" s="3" t="n"/>
    </row>
    <row r="214" hidden="1" outlineLevel="1">
      <c r="C214" s="34" t="inlineStr">
        <is>
          <t>Long term debt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>
        <f>AF208+SUM(AH212:AH213)</f>
        <v>20532</v>
      </c>
      <c r="AI214" s="3">
        <f>AH214+SUM(AI212:AI213)</f>
        <v>20532</v>
      </c>
      <c r="AJ214" s="3">
        <f>AI208+SUM(AJ212:AJ213)</f>
        <v>20538</v>
      </c>
      <c r="AK214" s="3">
        <f>AJ214+SUM(AK212:AK213)</f>
        <v>20538</v>
      </c>
      <c r="AL214" s="3" t="n"/>
      <c r="AM214" s="3">
        <f>AK214+SUM(AM212:AM213)</f>
        <v>20538</v>
      </c>
      <c r="AN214" s="3">
        <f>AM214+SUM(AN212:AN213)</f>
        <v>20538</v>
      </c>
      <c r="AO214" s="3">
        <f>AN214+SUM(AO212:AO213)</f>
        <v>20538</v>
      </c>
      <c r="AP214" s="3">
        <f>AO214+SUM(AP212:AP213)</f>
        <v>20538</v>
      </c>
      <c r="AQ214" s="3" t="n"/>
      <c r="AR214" s="3">
        <f>AP214+SUM(AR212:AR213)</f>
        <v>20538</v>
      </c>
      <c r="AS214" s="3">
        <f>AR214+SUM(AS212:AS213)</f>
        <v>20538</v>
      </c>
      <c r="AT214" s="3">
        <f>AS214+SUM(AT212:AT213)</f>
        <v>20538</v>
      </c>
      <c r="AU214" s="3">
        <f>AT214+SUM(AU212:AU213)</f>
        <v>20538</v>
      </c>
      <c r="AV214" s="3" t="n"/>
      <c r="AW214" s="3">
        <f>AU214+SUM(AW212:AW213)</f>
        <v>20538</v>
      </c>
      <c r="AX214" s="3">
        <f>AW214+SUM(AX212:AX213)</f>
        <v>20538</v>
      </c>
      <c r="AY214" s="3">
        <f>AX214+SUM(AY212:AY213)</f>
        <v>20538</v>
      </c>
      <c r="AZ214" s="3">
        <f>AY214+SUM(AZ212:AZ213)</f>
        <v>20538</v>
      </c>
      <c r="BA214" s="3" t="n"/>
      <c r="BB214" s="3">
        <f>AZ214+SUM(BB212:BB213)</f>
        <v>20538</v>
      </c>
      <c r="BC214" s="3">
        <f>BB214+SUM(BC212:BC213)</f>
        <v>20538</v>
      </c>
      <c r="BD214" s="3">
        <f>BC214+SUM(BD212:BD213)</f>
        <v>20538</v>
      </c>
      <c r="BE214" s="3">
        <f>BD214+SUM(BE212:BE213)</f>
        <v>20538</v>
      </c>
      <c r="BF214" s="3" t="n"/>
      <c r="BG214" s="3">
        <f>BE214+SUM(BG212:BG213)</f>
        <v>20538</v>
      </c>
      <c r="BH214" s="3">
        <f>BG214+SUM(BH212:BH213)</f>
        <v>20538</v>
      </c>
      <c r="BI214" s="3">
        <f>BH214+SUM(BI212:BI213)</f>
        <v>20538</v>
      </c>
      <c r="BJ214" s="3">
        <f>BI214+SUM(BJ212:BJ213)</f>
        <v>20538</v>
      </c>
      <c r="BK214" s="3" t="n"/>
      <c r="BL214" s="3">
        <f>BJ214+SUM(BL212:BL213)</f>
        <v>20538</v>
      </c>
      <c r="BM214" s="3">
        <f>BL214+SUM(BM212:BM213)</f>
        <v>20538</v>
      </c>
      <c r="BN214" s="3">
        <f>BM214+SUM(BN212:BN213)</f>
        <v>20538</v>
      </c>
      <c r="BO214" s="3">
        <f>BN214+SUM(BO212:BO213)</f>
        <v>20538</v>
      </c>
      <c r="BP214" s="3" t="n"/>
      <c r="BQ214" s="3">
        <f>BO214+SUM(BQ212:BQ213)</f>
        <v>20538</v>
      </c>
      <c r="BR214" s="3">
        <f>BQ214+SUM(BR212:BR213)</f>
        <v>20538</v>
      </c>
      <c r="BS214" s="3">
        <f>BR214+SUM(BS212:BS213)</f>
        <v>20538</v>
      </c>
      <c r="BT214" s="3">
        <f>BS214+SUM(BT212:BT213)</f>
        <v>20538</v>
      </c>
      <c r="BU214" s="3" t="n"/>
      <c r="BV214" s="3">
        <f>BT214+SUM(BV212:BV213)</f>
        <v>20538</v>
      </c>
      <c r="BW214" s="3">
        <f>BV214+SUM(BW212:BW213)</f>
        <v>20538</v>
      </c>
      <c r="BX214" s="3">
        <f>BW214+SUM(BX212:BX213)</f>
        <v>20538</v>
      </c>
      <c r="BY214" s="3">
        <f>BX214+SUM(BY212:BY213)</f>
        <v>20538</v>
      </c>
      <c r="BZ214" s="3" t="n"/>
      <c r="CA214" s="3">
        <f>BY214+SUM(CA212:CA213)</f>
        <v>20538</v>
      </c>
      <c r="CB214" s="3">
        <f>CA214+SUM(CB212:CB213)</f>
        <v>20538</v>
      </c>
      <c r="CC214" s="3">
        <f>CB214+SUM(CC212:CC213)</f>
        <v>20538</v>
      </c>
      <c r="CD214" s="3">
        <f>CC214+SUM(CD212:CD213)</f>
        <v>20538</v>
      </c>
      <c r="CE214" s="3" t="n"/>
      <c r="CF214" s="3">
        <f>CD214+SUM(CF212:CF213)</f>
        <v>20538</v>
      </c>
      <c r="CG214" s="3">
        <f>CF214+SUM(CG212:CG213)</f>
        <v>20538</v>
      </c>
      <c r="CH214" s="3">
        <f>CG214+SUM(CH212:CH213)</f>
        <v>20538</v>
      </c>
      <c r="CI214" s="3">
        <f>CH214+SUM(CI212:CI213)</f>
        <v>20538</v>
      </c>
      <c r="CJ214" s="3" t="n"/>
      <c r="CK214" s="3">
        <f>CI214+SUM(CK212:CK213)</f>
        <v>20538</v>
      </c>
      <c r="CL214" s="3">
        <f>CK214+SUM(CL212:CL213)</f>
        <v>20538</v>
      </c>
      <c r="CM214" s="3">
        <f>CL214+SUM(CM212:CM213)</f>
        <v>20538</v>
      </c>
      <c r="CN214" s="3">
        <f>CM214+SUM(CN212:CN213)</f>
        <v>20538</v>
      </c>
      <c r="CO214" s="3" t="n"/>
      <c r="CP214" s="3">
        <f>CN214+SUM(CP212:CP213)</f>
        <v>20538</v>
      </c>
      <c r="CQ214" s="3">
        <f>CP214+SUM(CQ212:CQ213)</f>
        <v>20538</v>
      </c>
      <c r="CR214" s="3">
        <f>CQ214+SUM(CR212:CR213)</f>
        <v>20538</v>
      </c>
      <c r="CS214" s="3">
        <f>CR214+SUM(CS212:CS213)</f>
        <v>20538</v>
      </c>
      <c r="CT214" s="3" t="n"/>
      <c r="CU214" s="3">
        <f>CS214+SUM(CU212:CU213)</f>
        <v>20538</v>
      </c>
      <c r="CV214" s="3">
        <f>CU214+SUM(CV212:CV213)</f>
        <v>20538</v>
      </c>
      <c r="CW214" s="3">
        <f>CV214+SUM(CW212:CW213)</f>
        <v>20538</v>
      </c>
      <c r="CX214" s="3">
        <f>CW214+SUM(CX212:CX213)</f>
        <v>20538</v>
      </c>
      <c r="CY214" s="3" t="n"/>
      <c r="CZ214">
        <f>CX214+SUM(CZ212:CZ213)</f>
        <v>20538</v>
      </c>
      <c r="DA214">
        <f>CZ214+SUM(DA212:DA213)</f>
        <v>20538</v>
      </c>
      <c r="DB214">
        <f>DA214+SUM(DB212:DB213)</f>
        <v>20538</v>
      </c>
      <c r="DC214">
        <f>DB214+SUM(DC212:DC213)</f>
        <v>20538</v>
      </c>
    </row>
    <row r="215" hidden="1" outlineLevel="1">
      <c r="C215" s="3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</row>
    <row r="216" hidden="1" outlineLevel="1">
      <c r="C216" s="34" t="inlineStr">
        <is>
          <t>Discretionary (paydown)/borrowing of convertible debt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5" t="n"/>
      <c r="AI216" s="35" t="n"/>
      <c r="AJ216" s="35" t="n"/>
      <c r="AK216" s="35" t="n"/>
      <c r="AL216" s="3" t="n"/>
      <c r="AM216" s="35" t="n"/>
      <c r="AN216" s="35" t="n"/>
      <c r="AO216" s="35" t="n"/>
      <c r="AP216" s="35" t="n"/>
      <c r="AQ216" s="3" t="n"/>
      <c r="AR216" s="35" t="n"/>
      <c r="AS216" s="35" t="n"/>
      <c r="AT216" s="35" t="n"/>
      <c r="AU216" s="35" t="n"/>
      <c r="AV216" s="3" t="n"/>
      <c r="AW216" s="35" t="n"/>
      <c r="AX216" s="35" t="n"/>
      <c r="AY216" s="35" t="n"/>
      <c r="AZ216" s="35" t="n"/>
      <c r="BA216" s="3" t="n"/>
      <c r="BB216" s="35" t="n"/>
      <c r="BC216" s="35" t="n"/>
      <c r="BD216" s="35" t="n"/>
      <c r="BE216" s="35" t="n"/>
      <c r="BF216" s="3" t="n"/>
      <c r="BG216" s="35" t="n"/>
      <c r="BH216" s="35" t="n"/>
      <c r="BI216" s="35" t="n"/>
      <c r="BJ216" s="35" t="n"/>
      <c r="BK216" s="3" t="n"/>
      <c r="BL216" s="35" t="n"/>
      <c r="BM216" s="35" t="n"/>
      <c r="BN216" s="35" t="n"/>
      <c r="BO216" s="35" t="n"/>
      <c r="BP216" s="3" t="n"/>
      <c r="BQ216" s="35" t="n"/>
      <c r="BR216" s="35" t="n"/>
      <c r="BS216" s="35" t="n"/>
      <c r="BT216" s="35" t="n"/>
      <c r="BU216" s="3" t="n"/>
      <c r="BV216" s="35" t="n"/>
      <c r="BW216" s="35" t="n"/>
      <c r="BX216" s="35" t="n"/>
      <c r="BY216" s="35" t="n"/>
      <c r="BZ216" s="3" t="n"/>
      <c r="CA216" s="35" t="n"/>
      <c r="CB216" s="35" t="n"/>
      <c r="CC216" s="35" t="n"/>
      <c r="CD216" s="35" t="n"/>
      <c r="CE216" s="3" t="n"/>
      <c r="CF216" s="35" t="n"/>
      <c r="CG216" s="35" t="n"/>
      <c r="CH216" s="35" t="n"/>
      <c r="CI216" s="35" t="n"/>
      <c r="CJ216" s="3" t="n"/>
      <c r="CK216" s="35" t="n"/>
      <c r="CL216" s="35" t="n"/>
      <c r="CM216" s="35" t="n"/>
      <c r="CN216" s="35" t="n"/>
      <c r="CO216" s="3" t="n"/>
      <c r="CP216" s="35" t="n"/>
      <c r="CQ216" s="35" t="n"/>
      <c r="CR216" s="35" t="n"/>
      <c r="CS216" s="35" t="n"/>
      <c r="CT216" s="3" t="n"/>
      <c r="CU216" s="35" t="n"/>
      <c r="CV216" s="35" t="n"/>
      <c r="CW216" s="35" t="n"/>
      <c r="CX216" s="35" t="n"/>
      <c r="CY216" s="3" t="n"/>
    </row>
    <row r="217" hidden="1" outlineLevel="1">
      <c r="C217" s="34" t="inlineStr">
        <is>
          <t>Convertible debt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>
        <f>AH229</f>
        <v>0</v>
      </c>
      <c r="AI217" s="3">
        <f>AH217+SUM(AI216)</f>
        <v>0</v>
      </c>
      <c r="AJ217" s="3">
        <f>AI217+SUM(AJ216)</f>
        <v>0</v>
      </c>
      <c r="AK217" s="3">
        <f>AJ217+SUM(AK216)</f>
        <v>0</v>
      </c>
      <c r="AL217" s="3" t="n"/>
      <c r="AM217" s="3">
        <f>AM229</f>
        <v>0</v>
      </c>
      <c r="AN217" s="3">
        <f>AM217+SUM(AN216)</f>
        <v>0</v>
      </c>
      <c r="AO217" s="3">
        <f>AN217+SUM(AO216)</f>
        <v>0</v>
      </c>
      <c r="AP217" s="3">
        <f>AO217+SUM(AP216)</f>
        <v>0</v>
      </c>
      <c r="AQ217" s="3" t="n"/>
      <c r="AR217" s="3">
        <f>AR229</f>
        <v>0</v>
      </c>
      <c r="AS217" s="3">
        <f>AR217+SUM(AS216)</f>
        <v>0</v>
      </c>
      <c r="AT217" s="3">
        <f>AS217+SUM(AT216)</f>
        <v>0</v>
      </c>
      <c r="AU217" s="3">
        <f>AT217+SUM(AU216)</f>
        <v>0</v>
      </c>
      <c r="AV217" s="3" t="n"/>
      <c r="AW217" s="3">
        <f>AW229</f>
        <v>0</v>
      </c>
      <c r="AX217" s="3">
        <f>AW217+SUM(AX216)</f>
        <v>0</v>
      </c>
      <c r="AY217" s="3">
        <f>AX217+SUM(AY216)</f>
        <v>0</v>
      </c>
      <c r="AZ217" s="3">
        <f>AY217+SUM(AZ216)</f>
        <v>0</v>
      </c>
      <c r="BA217" s="3" t="n"/>
      <c r="BB217" s="3">
        <f>BB229</f>
        <v>0</v>
      </c>
      <c r="BC217" s="3">
        <f>BB217+SUM(BC216)</f>
        <v>0</v>
      </c>
      <c r="BD217" s="3">
        <f>BC217+SUM(BD216)</f>
        <v>0</v>
      </c>
      <c r="BE217" s="3">
        <f>BD217+SUM(BE216)</f>
        <v>0</v>
      </c>
      <c r="BF217" s="3" t="n"/>
      <c r="BG217" s="3">
        <f>BG229</f>
        <v>0</v>
      </c>
      <c r="BH217" s="3">
        <f>BG217+SUM(BH216)</f>
        <v>0</v>
      </c>
      <c r="BI217" s="3">
        <f>BH217+SUM(BI216)</f>
        <v>0</v>
      </c>
      <c r="BJ217" s="3">
        <f>BI217+SUM(BJ216)</f>
        <v>0</v>
      </c>
      <c r="BK217" s="3" t="n"/>
      <c r="BL217" s="3">
        <f>BL229</f>
        <v>0</v>
      </c>
      <c r="BM217" s="3">
        <f>BL217+SUM(BM216)</f>
        <v>0</v>
      </c>
      <c r="BN217" s="3">
        <f>BM217+SUM(BN216)</f>
        <v>0</v>
      </c>
      <c r="BO217" s="3">
        <f>BN217+SUM(BO216)</f>
        <v>0</v>
      </c>
      <c r="BP217" s="3" t="n"/>
      <c r="BQ217" s="3">
        <f>BQ229</f>
        <v>0</v>
      </c>
      <c r="BR217" s="3">
        <f>BQ217+SUM(BR216)</f>
        <v>0</v>
      </c>
      <c r="BS217" s="3">
        <f>BR217+SUM(BS216)</f>
        <v>0</v>
      </c>
      <c r="BT217" s="3">
        <f>BS217+SUM(BT216)</f>
        <v>0</v>
      </c>
      <c r="BU217" s="3" t="n"/>
      <c r="BV217" s="3">
        <f>BV229</f>
        <v>0</v>
      </c>
      <c r="BW217" s="3">
        <f>BV217+SUM(BW216)</f>
        <v>0</v>
      </c>
      <c r="BX217" s="3">
        <f>BW217+SUM(BX216)</f>
        <v>0</v>
      </c>
      <c r="BY217" s="3">
        <f>BX217+SUM(BY216)</f>
        <v>0</v>
      </c>
      <c r="BZ217" s="3" t="n"/>
      <c r="CA217" s="3">
        <f>CA229</f>
        <v>0</v>
      </c>
      <c r="CB217" s="3">
        <f>CA217+SUM(CB216)</f>
        <v>0</v>
      </c>
      <c r="CC217" s="3">
        <f>CB217+SUM(CC216)</f>
        <v>0</v>
      </c>
      <c r="CD217" s="3">
        <f>CC217+SUM(CD216)</f>
        <v>0</v>
      </c>
      <c r="CE217" s="3" t="n"/>
      <c r="CF217" s="3">
        <f>CF229</f>
        <v>0</v>
      </c>
      <c r="CG217" s="3">
        <f>CF217+SUM(CG216)</f>
        <v>0</v>
      </c>
      <c r="CH217" s="3">
        <f>CG217+SUM(CH216)</f>
        <v>0</v>
      </c>
      <c r="CI217" s="3">
        <f>CH217+SUM(CI216)</f>
        <v>0</v>
      </c>
      <c r="CJ217" s="3" t="n"/>
      <c r="CK217" s="3">
        <f>CK229</f>
        <v>0</v>
      </c>
      <c r="CL217" s="3">
        <f>CK217+SUM(CL216)</f>
        <v>0</v>
      </c>
      <c r="CM217" s="3">
        <f>CL217+SUM(CM216)</f>
        <v>0</v>
      </c>
      <c r="CN217" s="3">
        <f>CM217+SUM(CN216)</f>
        <v>0</v>
      </c>
      <c r="CO217" s="3" t="n"/>
      <c r="CP217" s="3">
        <f>CP229</f>
        <v>0</v>
      </c>
      <c r="CQ217" s="3">
        <f>CP217+SUM(CQ216)</f>
        <v>0</v>
      </c>
      <c r="CR217" s="3">
        <f>CQ217+SUM(CR216)</f>
        <v>0</v>
      </c>
      <c r="CS217" s="3">
        <f>CR217+SUM(CS216)</f>
        <v>0</v>
      </c>
      <c r="CT217" s="3" t="n"/>
      <c r="CU217" s="3">
        <f>CU229</f>
        <v>0</v>
      </c>
      <c r="CV217" s="3">
        <f>CU217+SUM(CV216)</f>
        <v>0</v>
      </c>
      <c r="CW217" s="3">
        <f>CV217+SUM(CW216)</f>
        <v>0</v>
      </c>
      <c r="CX217" s="3">
        <f>CW217+SUM(CX216)</f>
        <v>0</v>
      </c>
      <c r="CY217" s="3" t="n"/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I218" s="3" t="n"/>
      <c r="AJ218" s="3" t="n"/>
      <c r="AK218" s="3" t="n"/>
      <c r="AL218" s="3" t="n"/>
      <c r="AN218" s="3" t="n"/>
      <c r="AO218" s="3" t="n"/>
      <c r="AP218" s="3" t="n"/>
      <c r="AQ218" s="3" t="n"/>
      <c r="AS218" s="3" t="n"/>
      <c r="AT218" s="3" t="n"/>
      <c r="AU218" s="3" t="n"/>
      <c r="AV218" s="3" t="n"/>
      <c r="AX218" s="3" t="n"/>
      <c r="AY218" s="3" t="n"/>
      <c r="AZ218" s="3" t="n"/>
      <c r="BA218" s="3" t="n"/>
      <c r="BC218" s="3" t="n"/>
      <c r="BD218" s="3" t="n"/>
      <c r="BE218" s="3" t="n"/>
      <c r="BF218" s="3" t="n"/>
      <c r="BH218" s="3" t="n"/>
      <c r="BI218" s="3" t="n"/>
      <c r="BJ218" s="3" t="n"/>
      <c r="BK218" s="3" t="n"/>
      <c r="BM218" s="3" t="n"/>
      <c r="BN218" s="3" t="n"/>
      <c r="BO218" s="3" t="n"/>
      <c r="BP218" s="3" t="n"/>
      <c r="BR218" s="3" t="n"/>
      <c r="BS218" s="3" t="n"/>
      <c r="BT218" s="3" t="n"/>
      <c r="BU218" s="3" t="n"/>
      <c r="BW218" s="3" t="n"/>
      <c r="BX218" s="3" t="n"/>
      <c r="BY218" s="3" t="n"/>
      <c r="BZ218" s="3" t="n"/>
      <c r="CB218" s="3" t="n"/>
      <c r="CC218" s="3" t="n"/>
      <c r="CD218" s="3" t="n"/>
      <c r="CE218" s="3" t="n"/>
      <c r="CG218" s="3" t="n"/>
      <c r="CH218" s="3" t="n"/>
      <c r="CI218" s="3" t="n"/>
      <c r="CJ218" s="3" t="n"/>
      <c r="CL218" s="3" t="n"/>
      <c r="CM218" s="3" t="n"/>
      <c r="CN218" s="3" t="n"/>
      <c r="CO218" s="3" t="n"/>
      <c r="CQ218" s="3" t="n"/>
      <c r="CR218" s="3" t="n"/>
      <c r="CS218" s="3" t="n"/>
      <c r="CT218" s="3" t="n"/>
      <c r="CV218" s="3" t="n"/>
      <c r="CW218" s="3" t="n"/>
      <c r="CX218" s="3" t="n"/>
      <c r="CY218" s="3" t="n"/>
    </row>
    <row r="219" hidden="1" outlineLevel="1">
      <c r="C219" s="34" t="inlineStr">
        <is>
          <t>Calculation of short term debt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  <c r="CU219" s="3" t="n"/>
      <c r="CV219" s="3" t="n"/>
      <c r="CW219" s="3" t="n"/>
      <c r="CX219" s="3" t="n"/>
      <c r="CY219" s="3" t="n"/>
    </row>
    <row r="220" hidden="1" outlineLevel="1">
      <c r="C220" s="34" t="inlineStr">
        <is>
          <t>Cash @ beginning of the period (end of last period)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6">
        <f>AG135</f>
        <v>4121</v>
      </c>
      <c r="AI220" s="3" t="n"/>
      <c r="AJ220" s="3" t="n"/>
      <c r="AK220" s="3" t="n"/>
      <c r="AL220" s="3" t="n"/>
      <c r="AM220" s="36">
        <f>AL135</f>
        <v>5372</v>
      </c>
      <c r="AN220" s="3" t="n"/>
      <c r="AO220" s="3" t="n"/>
      <c r="AP220" s="3" t="n"/>
      <c r="AQ220" s="3" t="n"/>
      <c r="AR220" s="36" t="e">
        <f>AQ135</f>
        <v>#DIV/0!</v>
      </c>
      <c r="AS220" s="3" t="n"/>
      <c r="AT220" s="3" t="n"/>
      <c r="AU220" s="3" t="n"/>
      <c r="AV220" s="3" t="n"/>
      <c r="AW220" s="36" t="e">
        <f>AV135</f>
        <v>#DIV/0!</v>
      </c>
      <c r="AX220" s="3" t="n"/>
      <c r="AY220" s="3" t="n"/>
      <c r="AZ220" s="3" t="n"/>
      <c r="BA220" s="3" t="n"/>
      <c r="BB220" s="36" t="e">
        <f>BA135</f>
        <v>#DIV/0!</v>
      </c>
      <c r="BC220" s="3" t="n"/>
      <c r="BD220" s="3" t="n"/>
      <c r="BE220" s="3" t="n"/>
      <c r="BF220" s="3" t="n"/>
      <c r="BG220" s="36" t="e">
        <f>BF135</f>
        <v>#DIV/0!</v>
      </c>
      <c r="BH220" s="3" t="n"/>
      <c r="BI220" s="3" t="n"/>
      <c r="BJ220" s="3" t="n"/>
      <c r="BK220" s="3" t="n"/>
      <c r="BL220" s="36" t="e">
        <f>BK135</f>
        <v>#DIV/0!</v>
      </c>
      <c r="BM220" s="3" t="n"/>
      <c r="BN220" s="3" t="n"/>
      <c r="BO220" s="3" t="n"/>
      <c r="BP220" s="3" t="n"/>
      <c r="BQ220" s="36" t="e">
        <f>BP135</f>
        <v>#DIV/0!</v>
      </c>
      <c r="BR220" s="3" t="n"/>
      <c r="BS220" s="3" t="n"/>
      <c r="BT220" s="3" t="n"/>
      <c r="BU220" s="3" t="n"/>
      <c r="BV220" s="36" t="e">
        <f>BU135</f>
        <v>#DIV/0!</v>
      </c>
      <c r="BW220" s="3" t="n"/>
      <c r="BX220" s="3" t="n"/>
      <c r="BY220" s="3" t="n"/>
      <c r="BZ220" s="3" t="n"/>
      <c r="CA220" s="36" t="e">
        <f>BZ135</f>
        <v>#DIV/0!</v>
      </c>
      <c r="CB220" s="3" t="n"/>
      <c r="CC220" s="3" t="n"/>
      <c r="CD220" s="3" t="n"/>
      <c r="CE220" s="3" t="n"/>
      <c r="CF220" s="36" t="e">
        <f>CE135</f>
        <v>#DIV/0!</v>
      </c>
      <c r="CG220" s="3" t="n"/>
      <c r="CH220" s="3" t="n"/>
      <c r="CI220" s="3" t="n"/>
      <c r="CJ220" s="3" t="n"/>
      <c r="CK220" s="36" t="e">
        <f>CJ135</f>
        <v>#DIV/0!</v>
      </c>
      <c r="CL220" s="3" t="n"/>
      <c r="CM220" s="3" t="n"/>
      <c r="CN220" s="3" t="n"/>
      <c r="CO220" s="3" t="n"/>
      <c r="CP220" s="36" t="e">
        <f>CO135</f>
        <v>#DIV/0!</v>
      </c>
      <c r="CQ220" s="3" t="n"/>
      <c r="CR220" s="3" t="n"/>
      <c r="CS220" s="3" t="n"/>
      <c r="CT220" s="3" t="n"/>
      <c r="CU220" s="36" t="e">
        <f>CT135</f>
        <v>#DIV/0!</v>
      </c>
      <c r="CV220" s="3" t="n"/>
      <c r="CW220" s="3" t="n"/>
      <c r="CX220" s="3" t="n"/>
      <c r="CY220" s="3" t="n"/>
    </row>
    <row r="221" hidden="1" outlineLevel="1">
      <c r="C221" s="34" t="inlineStr">
        <is>
          <t>Plus: Free cash flows prior to debt during period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inlineStr">
        <is>
          <t>% of sales</t>
        </is>
      </c>
      <c r="AH221" s="37">
        <f>SUM(AH284,AH291)+SUM(AH293:AH299)</f>
        <v>-1224</v>
      </c>
      <c r="AI221" s="37">
        <f>SUM(AI284,AI291)+SUM(AI293:AI299)</f>
        <v>2056</v>
      </c>
      <c r="AJ221" s="37">
        <f>SUM(AJ284,AJ291)+SUM(AJ293:AJ299)</f>
        <v>1616</v>
      </c>
      <c r="AK221" s="37">
        <f>SUM(AK284,AK291)+SUM(AK293:AK299)</f>
        <v>-35</v>
      </c>
      <c r="AL221" s="3" t="n"/>
      <c r="AM221" s="37" t="e">
        <f>SUM(AM284,AM291)+SUM(AM293:AM299)</f>
        <v>#DIV/0!</v>
      </c>
      <c r="AN221" s="37" t="e">
        <f>SUM(AN284,AN291)+SUM(AN293:AN299)</f>
        <v>#DIV/0!</v>
      </c>
      <c r="AO221" s="37" t="e">
        <f>SUM(AO284,AO291)+SUM(AO293:AO299)</f>
        <v>#DIV/0!</v>
      </c>
      <c r="AP221" s="37" t="e">
        <f>SUM(AP284,AP291)+SUM(AP293:AP299)</f>
        <v>#DIV/0!</v>
      </c>
      <c r="AQ221" s="3" t="n"/>
      <c r="AR221" s="37" t="e">
        <f>SUM(AR284,AR291)+SUM(AR293:AR299)</f>
        <v>#DIV/0!</v>
      </c>
      <c r="AS221" s="37" t="e">
        <f>SUM(AS284,AS291)+SUM(AS293:AS299)</f>
        <v>#DIV/0!</v>
      </c>
      <c r="AT221" s="37" t="e">
        <f>SUM(AT284,AT291)+SUM(AT293:AT299)</f>
        <v>#DIV/0!</v>
      </c>
      <c r="AU221" s="37" t="e">
        <f>SUM(AU284,AU291)+SUM(AU293:AU299)</f>
        <v>#DIV/0!</v>
      </c>
      <c r="AV221" s="3" t="n"/>
      <c r="AW221" s="37" t="e">
        <f>SUM(AW284,AW291)+SUM(AW293:AW299)</f>
        <v>#DIV/0!</v>
      </c>
      <c r="AX221" s="37" t="e">
        <f>SUM(AX284,AX291)+SUM(AX293:AX299)</f>
        <v>#DIV/0!</v>
      </c>
      <c r="AY221" s="37" t="e">
        <f>SUM(AY284,AY291)+SUM(AY293:AY299)</f>
        <v>#DIV/0!</v>
      </c>
      <c r="AZ221" s="37" t="e">
        <f>SUM(AZ284,AZ291)+SUM(AZ293:AZ299)</f>
        <v>#DIV/0!</v>
      </c>
      <c r="BA221" s="3" t="n"/>
      <c r="BB221" s="37" t="e">
        <f>SUM(BB284,BB291)+SUM(BB293:BB299)</f>
        <v>#DIV/0!</v>
      </c>
      <c r="BC221" s="37" t="e">
        <f>SUM(BC284,BC291)+SUM(BC293:BC299)</f>
        <v>#DIV/0!</v>
      </c>
      <c r="BD221" s="37" t="e">
        <f>SUM(BD284,BD291)+SUM(BD293:BD299)</f>
        <v>#DIV/0!</v>
      </c>
      <c r="BE221" s="37" t="e">
        <f>SUM(BE284,BE291)+SUM(BE293:BE299)</f>
        <v>#DIV/0!</v>
      </c>
      <c r="BF221" s="3" t="n"/>
      <c r="BG221" s="37" t="e">
        <f>SUM(BG284,BG291)+SUM(BG293:BG299)</f>
        <v>#DIV/0!</v>
      </c>
      <c r="BH221" s="37" t="e">
        <f>SUM(BH284,BH291)+SUM(BH293:BH299)</f>
        <v>#DIV/0!</v>
      </c>
      <c r="BI221" s="37" t="e">
        <f>SUM(BI284,BI291)+SUM(BI293:BI299)</f>
        <v>#DIV/0!</v>
      </c>
      <c r="BJ221" s="37" t="e">
        <f>SUM(BJ284,BJ291)+SUM(BJ293:BJ299)</f>
        <v>#DIV/0!</v>
      </c>
      <c r="BK221" s="3" t="n"/>
      <c r="BL221" s="37" t="e">
        <f>SUM(BL284,BL291)+SUM(BL293:BL299)</f>
        <v>#DIV/0!</v>
      </c>
      <c r="BM221" s="37" t="e">
        <f>SUM(BM284,BM291)+SUM(BM293:BM299)</f>
        <v>#DIV/0!</v>
      </c>
      <c r="BN221" s="37" t="e">
        <f>SUM(BN284,BN291)+SUM(BN293:BN299)</f>
        <v>#DIV/0!</v>
      </c>
      <c r="BO221" s="37" t="e">
        <f>SUM(BO284,BO291)+SUM(BO293:BO299)</f>
        <v>#DIV/0!</v>
      </c>
      <c r="BP221" s="3" t="n"/>
      <c r="BQ221" s="37" t="e">
        <f>SUM(BQ284,BQ291)+SUM(BQ293:BQ299)</f>
        <v>#DIV/0!</v>
      </c>
      <c r="BR221" s="37" t="e">
        <f>SUM(BR284,BR291)+SUM(BR293:BR299)</f>
        <v>#DIV/0!</v>
      </c>
      <c r="BS221" s="37" t="e">
        <f>SUM(BS284,BS291)+SUM(BS293:BS299)</f>
        <v>#DIV/0!</v>
      </c>
      <c r="BT221" s="37" t="e">
        <f>SUM(BT284,BT291)+SUM(BT293:BT299)</f>
        <v>#DIV/0!</v>
      </c>
      <c r="BU221" s="3" t="n"/>
      <c r="BV221" s="37" t="e">
        <f>SUM(BV284,BV291)+SUM(BV293:BV299)</f>
        <v>#DIV/0!</v>
      </c>
      <c r="BW221" s="37" t="e">
        <f>SUM(BW284,BW291)+SUM(BW293:BW299)</f>
        <v>#DIV/0!</v>
      </c>
      <c r="BX221" s="37" t="e">
        <f>SUM(BX284,BX291)+SUM(BX293:BX299)</f>
        <v>#DIV/0!</v>
      </c>
      <c r="BY221" s="37" t="e">
        <f>SUM(BY284,BY291)+SUM(BY293:BY299)</f>
        <v>#DIV/0!</v>
      </c>
      <c r="BZ221" s="3" t="n"/>
      <c r="CA221" s="37" t="e">
        <f>SUM(CA284,CA291)+SUM(CA293:CA299)</f>
        <v>#DIV/0!</v>
      </c>
      <c r="CB221" s="37" t="e">
        <f>SUM(CB284,CB291)+SUM(CB293:CB299)</f>
        <v>#DIV/0!</v>
      </c>
      <c r="CC221" s="37" t="e">
        <f>SUM(CC284,CC291)+SUM(CC293:CC299)</f>
        <v>#DIV/0!</v>
      </c>
      <c r="CD221" s="37" t="e">
        <f>SUM(CD284,CD291)+SUM(CD293:CD299)</f>
        <v>#DIV/0!</v>
      </c>
      <c r="CE221" s="3" t="n"/>
      <c r="CF221" s="37" t="e">
        <f>SUM(CF284,CF291)+SUM(CF293:CF299)</f>
        <v>#DIV/0!</v>
      </c>
      <c r="CG221" s="37" t="e">
        <f>SUM(CG284,CG291)+SUM(CG293:CG299)</f>
        <v>#DIV/0!</v>
      </c>
      <c r="CH221" s="37" t="e">
        <f>SUM(CH284,CH291)+SUM(CH293:CH299)</f>
        <v>#DIV/0!</v>
      </c>
      <c r="CI221" s="37" t="e">
        <f>SUM(CI284,CI291)+SUM(CI293:CI299)</f>
        <v>#DIV/0!</v>
      </c>
      <c r="CJ221" s="3" t="n"/>
      <c r="CK221" s="37" t="e">
        <f>SUM(CK284,CK291)+SUM(CK293:CK299)</f>
        <v>#DIV/0!</v>
      </c>
      <c r="CL221" s="37" t="e">
        <f>SUM(CL284,CL291)+SUM(CL293:CL299)</f>
        <v>#DIV/0!</v>
      </c>
      <c r="CM221" s="37" t="e">
        <f>SUM(CM284,CM291)+SUM(CM293:CM299)</f>
        <v>#DIV/0!</v>
      </c>
      <c r="CN221" s="37" t="e">
        <f>SUM(CN284,CN291)+SUM(CN293:CN299)</f>
        <v>#DIV/0!</v>
      </c>
      <c r="CO221" s="3" t="n"/>
      <c r="CP221" s="37" t="e">
        <f>SUM(CP284,CP291)+SUM(CP293:CP299)</f>
        <v>#DIV/0!</v>
      </c>
      <c r="CQ221" s="37" t="e">
        <f>SUM(CQ284,CQ291)+SUM(CQ293:CQ299)</f>
        <v>#DIV/0!</v>
      </c>
      <c r="CR221" s="37" t="e">
        <f>SUM(CR284,CR291)+SUM(CR293:CR299)</f>
        <v>#DIV/0!</v>
      </c>
      <c r="CS221" s="37" t="e">
        <f>SUM(CS284,CS291)+SUM(CS293:CS299)</f>
        <v>#DIV/0!</v>
      </c>
      <c r="CT221" s="3" t="n"/>
      <c r="CU221" s="37" t="e">
        <f>SUM(CU284,CU291)+SUM(CU293:CU299)</f>
        <v>#DIV/0!</v>
      </c>
      <c r="CV221" s="37" t="e">
        <f>SUM(CV284,CV291)+SUM(CV293:CV299)</f>
        <v>#DIV/0!</v>
      </c>
      <c r="CW221" s="37" t="e">
        <f>SUM(CW284,CW291)+SUM(CW293:CW299)</f>
        <v>#DIV/0!</v>
      </c>
      <c r="CX221" s="37" t="e">
        <f>SUM(CX284,CX291)+SUM(CX293:CX299)</f>
        <v>#DIV/0!</v>
      </c>
      <c r="CY221" s="3" t="n"/>
    </row>
    <row r="222" hidden="1" outlineLevel="1">
      <c r="C222" s="34" t="inlineStr">
        <is>
          <t>Less: Minimum cash balance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250" t="n"/>
      <c r="AH222" s="3">
        <f>($AG$222*AH15)</f>
        <v>0</v>
      </c>
      <c r="AI222" s="3">
        <f>($AG$222*AI15)</f>
        <v>0</v>
      </c>
      <c r="AJ222" s="3">
        <f>($AG$222*AJ15)</f>
        <v>0</v>
      </c>
      <c r="AK222" s="3">
        <f>($AG$222*AK15)</f>
        <v>0</v>
      </c>
      <c r="AL222" s="3" t="n"/>
      <c r="AM222" s="3">
        <f>($AG$222*AM15)</f>
        <v>0</v>
      </c>
      <c r="AN222" s="3">
        <f>($AG$222*AN15)</f>
        <v>0</v>
      </c>
      <c r="AO222" s="3">
        <f>($AG$222*AO15)</f>
        <v>0</v>
      </c>
      <c r="AP222" s="3">
        <f>($AG$222*AP15)</f>
        <v>0</v>
      </c>
      <c r="AQ222" s="3" t="n"/>
      <c r="AR222" s="3">
        <f>($AG$222*AR15)</f>
        <v>0</v>
      </c>
      <c r="AS222" s="3">
        <f>($AG$222*AS15)</f>
        <v>0</v>
      </c>
      <c r="AT222" s="3">
        <f>($AG$222*AT15)</f>
        <v>0</v>
      </c>
      <c r="AU222" s="3">
        <f>($AG$222*AU15)</f>
        <v>0</v>
      </c>
      <c r="AV222" s="3" t="n"/>
      <c r="AW222" s="3">
        <f>($AG$222*AW15)</f>
        <v>0</v>
      </c>
      <c r="AX222" s="3">
        <f>($AG$222*AX15)</f>
        <v>0</v>
      </c>
      <c r="AY222" s="3">
        <f>($AG$222*AY15)</f>
        <v>0</v>
      </c>
      <c r="AZ222" s="3">
        <f>($AG$222*AZ15)</f>
        <v>0</v>
      </c>
      <c r="BA222" s="3" t="n"/>
      <c r="BB222" s="3">
        <f>($AG$222*BB15)</f>
        <v>0</v>
      </c>
      <c r="BC222" s="3">
        <f>($AG$222*BC15)</f>
        <v>0</v>
      </c>
      <c r="BD222" s="3">
        <f>($AG$222*BD15)</f>
        <v>0</v>
      </c>
      <c r="BE222" s="3">
        <f>($AG$222*BE15)</f>
        <v>0</v>
      </c>
      <c r="BF222" s="3" t="n"/>
      <c r="BG222" s="3">
        <f>($AG$222*BG15)</f>
        <v>0</v>
      </c>
      <c r="BH222" s="3">
        <f>($AG$222*BH15)</f>
        <v>0</v>
      </c>
      <c r="BI222" s="3">
        <f>($AG$222*BI15)</f>
        <v>0</v>
      </c>
      <c r="BJ222" s="3">
        <f>($AG$222*BJ15)</f>
        <v>0</v>
      </c>
      <c r="BK222" s="3" t="n"/>
      <c r="BL222" s="3">
        <f>($AG$222*BL15)</f>
        <v>0</v>
      </c>
      <c r="BM222" s="3">
        <f>($AG$222*BM15)</f>
        <v>0</v>
      </c>
      <c r="BN222" s="3">
        <f>($AG$222*BN15)</f>
        <v>0</v>
      </c>
      <c r="BO222" s="3">
        <f>($AG$222*BO15)</f>
        <v>0</v>
      </c>
      <c r="BP222" s="3" t="n"/>
      <c r="BQ222" s="3">
        <f>($AG$222*BQ15)</f>
        <v>0</v>
      </c>
      <c r="BR222" s="3">
        <f>($AG$222*BR15)</f>
        <v>0</v>
      </c>
      <c r="BS222" s="3">
        <f>($AG$222*BS15)</f>
        <v>0</v>
      </c>
      <c r="BT222" s="3">
        <f>($AG$222*BT15)</f>
        <v>0</v>
      </c>
      <c r="BU222" s="3" t="n"/>
      <c r="BV222" s="3">
        <f>($AG$222*BV15)</f>
        <v>0</v>
      </c>
      <c r="BW222" s="3">
        <f>($AG$222*BW15)</f>
        <v>0</v>
      </c>
      <c r="BX222" s="3">
        <f>($AG$222*BX15)</f>
        <v>0</v>
      </c>
      <c r="BY222" s="3">
        <f>($AG$222*BY15)</f>
        <v>0</v>
      </c>
      <c r="BZ222" s="3" t="n"/>
      <c r="CA222" s="3">
        <f>($AG$222*CA15)</f>
        <v>0</v>
      </c>
      <c r="CB222" s="3">
        <f>($AG$222*CB15)</f>
        <v>0</v>
      </c>
      <c r="CC222" s="3">
        <f>($AG$222*CC15)</f>
        <v>0</v>
      </c>
      <c r="CD222" s="3">
        <f>($AG$222*CD15)</f>
        <v>0</v>
      </c>
      <c r="CE222" s="3" t="n"/>
      <c r="CF222" s="3">
        <f>($AG$222*CF15)</f>
        <v>0</v>
      </c>
      <c r="CG222" s="3">
        <f>($AG$222*CG15)</f>
        <v>0</v>
      </c>
      <c r="CH222" s="3">
        <f>($AG$222*CH15)</f>
        <v>0</v>
      </c>
      <c r="CI222" s="3">
        <f>($AG$222*CI15)</f>
        <v>0</v>
      </c>
      <c r="CJ222" s="3" t="n"/>
      <c r="CK222" s="3">
        <f>($AG$222*CK15)</f>
        <v>0</v>
      </c>
      <c r="CL222" s="3">
        <f>($AG$222*CL15)</f>
        <v>0</v>
      </c>
      <c r="CM222" s="3">
        <f>($AG$222*CM15)</f>
        <v>0</v>
      </c>
      <c r="CN222" s="3">
        <f>($AG$222*CN15)</f>
        <v>0</v>
      </c>
      <c r="CO222" s="3" t="n"/>
      <c r="CP222" s="3">
        <f>($AG$222*CP15)</f>
        <v>0</v>
      </c>
      <c r="CQ222" s="3">
        <f>($AG$222*CQ15)</f>
        <v>0</v>
      </c>
      <c r="CR222" s="3">
        <f>($AG$222*CR15)</f>
        <v>0</v>
      </c>
      <c r="CS222" s="3">
        <f>($AG$222*CS15)</f>
        <v>0</v>
      </c>
      <c r="CT222" s="3" t="n"/>
      <c r="CU222" s="3">
        <f>($AG$222*CU15)</f>
        <v>0</v>
      </c>
      <c r="CV222" s="3">
        <f>($AG$222*CV15)</f>
        <v>0</v>
      </c>
      <c r="CW222" s="3">
        <f>($AG$222*CW15)</f>
        <v>0</v>
      </c>
      <c r="CX222" s="3">
        <f>($AG$222*CX15)</f>
        <v>0</v>
      </c>
      <c r="CY222" s="3" t="n"/>
    </row>
    <row r="223" hidden="1" outlineLevel="1">
      <c r="C223" s="34" t="inlineStr">
        <is>
          <t>Total cash available / (debt required) for short term debt paydown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1">
        <f>AH220+AH221-AH222-AF210+AH212+AH216</f>
        <v>2897</v>
      </c>
      <c r="AI223" s="1">
        <f>AI220+AI221-AI222-AG210+AI212+AI216</f>
        <v>2056</v>
      </c>
      <c r="AJ223" s="1">
        <f>AJ220+AJ221-AJ222-AH210+AJ212+AJ216</f>
        <v>448</v>
      </c>
      <c r="AK223" s="1">
        <f>AK220+AK221-AK222-AI210+AK212+AK216</f>
        <v>-35</v>
      </c>
      <c r="AL223" s="3" t="n"/>
      <c r="AM223" s="1" t="e">
        <f>AM220+AM221-AM222-AK210+AM212+AM216</f>
        <v>#DIV/0!</v>
      </c>
      <c r="AN223" s="1" t="e">
        <f>AN220+AN221-AN222-AL210+AN212+AN216</f>
        <v>#DIV/0!</v>
      </c>
      <c r="AO223" s="1" t="e">
        <f>AO220+AO221-AO222-AM210+AO212+AO216</f>
        <v>#DIV/0!</v>
      </c>
      <c r="AP223" s="1" t="e">
        <f>AP220+AP221-AP222-AN210+AP212+AP216</f>
        <v>#DIV/0!</v>
      </c>
      <c r="AQ223" s="3" t="n"/>
      <c r="AR223" s="1" t="e">
        <f>AR220+AR221-AR222-AP210+AR212+AR216</f>
        <v>#DIV/0!</v>
      </c>
      <c r="AS223" s="1" t="e">
        <f>AS220+AS221-AS222-AQ210+AS212+AS216</f>
        <v>#DIV/0!</v>
      </c>
      <c r="AT223" s="1" t="e">
        <f>AT220+AT221-AT222-AR210+AT212+AT216</f>
        <v>#DIV/0!</v>
      </c>
      <c r="AU223" s="1" t="e">
        <f>AU220+AU221-AU222-AS210+AU212+AU216</f>
        <v>#DIV/0!</v>
      </c>
      <c r="AV223" s="3" t="n"/>
      <c r="AW223" s="1" t="e">
        <f>AW220+AW221-AW222-AU210+AW212+AW216</f>
        <v>#DIV/0!</v>
      </c>
      <c r="AX223" s="1" t="e">
        <f>AX220+AX221-AX222-AV210+AX212+AX216</f>
        <v>#DIV/0!</v>
      </c>
      <c r="AY223" s="1" t="e">
        <f>AY220+AY221-AY222-AW210+AY212+AY216</f>
        <v>#DIV/0!</v>
      </c>
      <c r="AZ223" s="1" t="e">
        <f>AZ220+AZ221-AZ222-AX210+AZ212+AZ216</f>
        <v>#DIV/0!</v>
      </c>
      <c r="BA223" s="3" t="n"/>
      <c r="BB223" s="1" t="e">
        <f>BB220+BB221-BB222-AZ210+BB212+BB216</f>
        <v>#DIV/0!</v>
      </c>
      <c r="BC223" s="1" t="e">
        <f>BC220+BC221-BC222-BA210+BC212+BC216</f>
        <v>#DIV/0!</v>
      </c>
      <c r="BD223" s="1" t="e">
        <f>BD220+BD221-BD222-BB210+BD212+BD216</f>
        <v>#DIV/0!</v>
      </c>
      <c r="BE223" s="1" t="e">
        <f>BE220+BE221-BE222-BC210+BE212+BE216</f>
        <v>#DIV/0!</v>
      </c>
      <c r="BF223" s="3" t="n"/>
      <c r="BG223" s="1" t="e">
        <f>BG220+BG221-BG222-BE210+BG212+BG216</f>
        <v>#DIV/0!</v>
      </c>
      <c r="BH223" s="1" t="e">
        <f>BH220+BH221-BH222-BF210+BH212+BH216</f>
        <v>#DIV/0!</v>
      </c>
      <c r="BI223" s="1" t="e">
        <f>BI220+BI221-BI222-BG210+BI212+BI216</f>
        <v>#DIV/0!</v>
      </c>
      <c r="BJ223" s="1" t="e">
        <f>BJ220+BJ221-BJ222-BH210+BJ212+BJ216</f>
        <v>#DIV/0!</v>
      </c>
      <c r="BK223" s="3" t="n"/>
      <c r="BL223" s="1" t="e">
        <f>BL220+BL221-BL222-BJ210+BL212+BL216</f>
        <v>#DIV/0!</v>
      </c>
      <c r="BM223" s="1" t="e">
        <f>BM220+BM221-BM222-BK210+BM212+BM216</f>
        <v>#DIV/0!</v>
      </c>
      <c r="BN223" s="1" t="e">
        <f>BN220+BN221-BN222-BL210+BN212+BN216</f>
        <v>#DIV/0!</v>
      </c>
      <c r="BO223" s="1" t="e">
        <f>BO220+BO221-BO222-BM210+BO212+BO216</f>
        <v>#DIV/0!</v>
      </c>
      <c r="BP223" s="3" t="n"/>
      <c r="BQ223" s="1" t="e">
        <f>BQ220+BQ221-BQ222-BO210+BQ212+BQ216</f>
        <v>#DIV/0!</v>
      </c>
      <c r="BR223" s="1" t="e">
        <f>BR220+BR221-BR222-BP210+BR212+BR216</f>
        <v>#DIV/0!</v>
      </c>
      <c r="BS223" s="1" t="e">
        <f>BS220+BS221-BS222-BQ210+BS212+BS216</f>
        <v>#DIV/0!</v>
      </c>
      <c r="BT223" s="1" t="e">
        <f>BT220+BT221-BT222-BR210+BT212+BT216</f>
        <v>#DIV/0!</v>
      </c>
      <c r="BU223" s="3" t="n"/>
      <c r="BV223" s="1" t="e">
        <f>BV220+BV221-BV222-BT210+BV212+BV216</f>
        <v>#DIV/0!</v>
      </c>
      <c r="BW223" s="1" t="e">
        <f>BW220+BW221-BW222-BU210+BW212+BW216</f>
        <v>#DIV/0!</v>
      </c>
      <c r="BX223" s="1" t="e">
        <f>BX220+BX221-BX222-BV210+BX212+BX216</f>
        <v>#DIV/0!</v>
      </c>
      <c r="BY223" s="1" t="e">
        <f>BY220+BY221-BY222-BW210+BY212+BY216</f>
        <v>#DIV/0!</v>
      </c>
      <c r="BZ223" s="3" t="n"/>
      <c r="CA223" s="1" t="e">
        <f>CA220+CA221-CA222-BY210+CA212+CA216</f>
        <v>#DIV/0!</v>
      </c>
      <c r="CB223" s="1" t="e">
        <f>CB220+CB221-CB222-BZ210+CB212+CB216</f>
        <v>#DIV/0!</v>
      </c>
      <c r="CC223" s="1" t="e">
        <f>CC220+CC221-CC222-CA210+CC212+CC216</f>
        <v>#DIV/0!</v>
      </c>
      <c r="CD223" s="1" t="e">
        <f>CD220+CD221-CD222-CB210+CD212+CD216</f>
        <v>#DIV/0!</v>
      </c>
      <c r="CE223" s="3" t="n"/>
      <c r="CF223" s="1" t="e">
        <f>CF220+CF221-CF222-CD210+CF212+CF216</f>
        <v>#DIV/0!</v>
      </c>
      <c r="CG223" s="1" t="e">
        <f>CG220+CG221-CG222-CE210+CG212+CG216</f>
        <v>#DIV/0!</v>
      </c>
      <c r="CH223" s="1" t="e">
        <f>CH220+CH221-CH222-CF210+CH212+CH216</f>
        <v>#DIV/0!</v>
      </c>
      <c r="CI223" s="1" t="e">
        <f>CI220+CI221-CI222-CG210+CI212+CI216</f>
        <v>#DIV/0!</v>
      </c>
      <c r="CJ223" s="3" t="n"/>
      <c r="CK223" s="1" t="e">
        <f>CK220+CK221-CK222-CI210+CK212+CK216</f>
        <v>#DIV/0!</v>
      </c>
      <c r="CL223" s="1" t="e">
        <f>CL220+CL221-CL222-CJ210+CL212+CL216</f>
        <v>#DIV/0!</v>
      </c>
      <c r="CM223" s="1" t="e">
        <f>CM220+CM221-CM222-CK210+CM212+CM216</f>
        <v>#DIV/0!</v>
      </c>
      <c r="CN223" s="1" t="e">
        <f>CN220+CN221-CN222-CL210+CN212+CN216</f>
        <v>#DIV/0!</v>
      </c>
      <c r="CO223" s="3" t="n"/>
      <c r="CP223" s="1" t="e">
        <f>CP220+CP221-CP222-CN210+CP212+CP216</f>
        <v>#DIV/0!</v>
      </c>
      <c r="CQ223" s="1" t="e">
        <f>CQ220+CQ221-CQ222-CO210+CQ212+CQ216</f>
        <v>#DIV/0!</v>
      </c>
      <c r="CR223" s="1" t="e">
        <f>CR220+CR221-CR222-CP210+CR212+CR216</f>
        <v>#DIV/0!</v>
      </c>
      <c r="CS223" s="1" t="e">
        <f>CS220+CS221-CS222-CQ210+CS212+CS216</f>
        <v>#DIV/0!</v>
      </c>
      <c r="CT223" s="3" t="n"/>
      <c r="CU223" s="1" t="e">
        <f>CU220+CU221-CU222-CS210+CU212+CU216</f>
        <v>#DIV/0!</v>
      </c>
      <c r="CV223" s="1" t="e">
        <f>CV220+CV221-CV222-CT210+CV212+CV216</f>
        <v>#DIV/0!</v>
      </c>
      <c r="CW223" s="1" t="e">
        <f>CW220+CW221-CW222-CU210+CW212+CW216</f>
        <v>#DIV/0!</v>
      </c>
      <c r="CX223" s="1" t="e">
        <f>CX220+CX221-CX222-CV210+CX212+CX216</f>
        <v>#DIV/0!</v>
      </c>
      <c r="CY223" s="3" t="n"/>
    </row>
    <row r="224" hidden="1" outlineLevel="1">
      <c r="C224" s="34" t="inlineStr">
        <is>
          <t>Short term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>
        <f>AH204</f>
        <v>0</v>
      </c>
      <c r="AI224" s="3">
        <f>MAX(0,AH224-AI223)</f>
        <v>0</v>
      </c>
      <c r="AJ224" s="3">
        <f>MAX(0,AI224-AJ223)</f>
        <v>0</v>
      </c>
      <c r="AK224" s="3">
        <f>MAX(0,AJ224-AK223)</f>
        <v>35</v>
      </c>
      <c r="AL224" s="3" t="n"/>
      <c r="AM224" s="3">
        <f>AM204</f>
        <v>0</v>
      </c>
      <c r="AN224" s="3" t="e">
        <f>MAX(0,AM224-AN223)</f>
        <v>#DIV/0!</v>
      </c>
      <c r="AO224" s="3" t="e">
        <f>MAX(0,AN224-AO223)</f>
        <v>#DIV/0!</v>
      </c>
      <c r="AP224" s="3" t="e">
        <f>MAX(0,AO224-AP223)</f>
        <v>#DIV/0!</v>
      </c>
      <c r="AQ224" s="3" t="n"/>
      <c r="AR224" s="3">
        <f>AR204</f>
        <v>0</v>
      </c>
      <c r="AS224" s="3" t="e">
        <f>MAX(0,AR224-AS223)</f>
        <v>#DIV/0!</v>
      </c>
      <c r="AT224" s="3" t="e">
        <f>MAX(0,AS224-AT223)</f>
        <v>#DIV/0!</v>
      </c>
      <c r="AU224" s="3" t="e">
        <f>MAX(0,AT224-AU223)</f>
        <v>#DIV/0!</v>
      </c>
      <c r="AV224" s="3" t="n"/>
      <c r="AW224" s="3">
        <f>AW204</f>
        <v>0</v>
      </c>
      <c r="AX224" s="3" t="e">
        <f>MAX(0,AW224-AX223)</f>
        <v>#DIV/0!</v>
      </c>
      <c r="AY224" s="3" t="e">
        <f>MAX(0,AX224-AY223)</f>
        <v>#DIV/0!</v>
      </c>
      <c r="AZ224" s="3" t="e">
        <f>MAX(0,AY224-AZ223)</f>
        <v>#DIV/0!</v>
      </c>
      <c r="BA224" s="3" t="n"/>
      <c r="BB224" s="3">
        <f>BB204</f>
        <v>0</v>
      </c>
      <c r="BC224" s="3" t="e">
        <f>MAX(0,BB224-BC223)</f>
        <v>#DIV/0!</v>
      </c>
      <c r="BD224" s="3" t="e">
        <f>MAX(0,BC224-BD223)</f>
        <v>#DIV/0!</v>
      </c>
      <c r="BE224" s="3" t="e">
        <f>MAX(0,BD224-BE223)</f>
        <v>#DIV/0!</v>
      </c>
      <c r="BF224" s="3" t="n"/>
      <c r="BG224" s="3">
        <f>BG204</f>
        <v>0</v>
      </c>
      <c r="BH224" s="3" t="e">
        <f>MAX(0,BG224-BH223)</f>
        <v>#DIV/0!</v>
      </c>
      <c r="BI224" s="3" t="e">
        <f>MAX(0,BH224-BI223)</f>
        <v>#DIV/0!</v>
      </c>
      <c r="BJ224" s="3" t="e">
        <f>MAX(0,BI224-BJ223)</f>
        <v>#DIV/0!</v>
      </c>
      <c r="BK224" s="3" t="n"/>
      <c r="BL224" s="3">
        <f>BL204</f>
        <v>0</v>
      </c>
      <c r="BM224" s="3" t="e">
        <f>MAX(0,BL224-BM223)</f>
        <v>#DIV/0!</v>
      </c>
      <c r="BN224" s="3" t="e">
        <f>MAX(0,BM224-BN223)</f>
        <v>#DIV/0!</v>
      </c>
      <c r="BO224" s="3" t="e">
        <f>MAX(0,BN224-BO223)</f>
        <v>#DIV/0!</v>
      </c>
      <c r="BP224" s="3" t="n"/>
      <c r="BQ224" s="3">
        <f>BQ204</f>
        <v>0</v>
      </c>
      <c r="BR224" s="3" t="e">
        <f>MAX(0,BQ224-BR223)</f>
        <v>#DIV/0!</v>
      </c>
      <c r="BS224" s="3" t="e">
        <f>MAX(0,BR224-BS223)</f>
        <v>#DIV/0!</v>
      </c>
      <c r="BT224" s="3" t="e">
        <f>MAX(0,BS224-BT223)</f>
        <v>#DIV/0!</v>
      </c>
      <c r="BU224" s="3" t="n"/>
      <c r="BV224" s="3">
        <f>BV204</f>
        <v>0</v>
      </c>
      <c r="BW224" s="3" t="e">
        <f>MAX(0,BV224-BW223)</f>
        <v>#DIV/0!</v>
      </c>
      <c r="BX224" s="3" t="e">
        <f>MAX(0,BW224-BX223)</f>
        <v>#DIV/0!</v>
      </c>
      <c r="BY224" s="3" t="e">
        <f>MAX(0,BX224-BY223)</f>
        <v>#DIV/0!</v>
      </c>
      <c r="BZ224" s="3" t="n"/>
      <c r="CA224" s="3">
        <f>CA204</f>
        <v>0</v>
      </c>
      <c r="CB224" s="3" t="e">
        <f>MAX(0,CA224-CB223)</f>
        <v>#DIV/0!</v>
      </c>
      <c r="CC224" s="3" t="e">
        <f>MAX(0,CB224-CC223)</f>
        <v>#DIV/0!</v>
      </c>
      <c r="CD224" s="3" t="e">
        <f>MAX(0,CC224-CD223)</f>
        <v>#DIV/0!</v>
      </c>
      <c r="CE224" s="3" t="n"/>
      <c r="CF224" s="3">
        <f>CF204</f>
        <v>0</v>
      </c>
      <c r="CG224" s="3" t="e">
        <f>MAX(0,CF224-CG223)</f>
        <v>#DIV/0!</v>
      </c>
      <c r="CH224" s="3" t="e">
        <f>MAX(0,CG224-CH223)</f>
        <v>#DIV/0!</v>
      </c>
      <c r="CI224" s="3" t="e">
        <f>MAX(0,CH224-CI223)</f>
        <v>#DIV/0!</v>
      </c>
      <c r="CJ224" s="3" t="n"/>
      <c r="CK224" s="3">
        <f>CK204</f>
        <v>0</v>
      </c>
      <c r="CL224" s="3" t="e">
        <f>MAX(0,CK224-CL223)</f>
        <v>#DIV/0!</v>
      </c>
      <c r="CM224" s="3" t="e">
        <f>MAX(0,CL224-CM223)</f>
        <v>#DIV/0!</v>
      </c>
      <c r="CN224" s="3" t="e">
        <f>MAX(0,CM224-CN223)</f>
        <v>#DIV/0!</v>
      </c>
      <c r="CO224" s="3" t="n"/>
      <c r="CP224" s="3">
        <f>CP204</f>
        <v>0</v>
      </c>
      <c r="CQ224" s="3" t="e">
        <f>MAX(0,CP224-CQ223)</f>
        <v>#DIV/0!</v>
      </c>
      <c r="CR224" s="3" t="e">
        <f>MAX(0,CQ224-CR223)</f>
        <v>#DIV/0!</v>
      </c>
      <c r="CS224" s="3" t="e">
        <f>MAX(0,CR224-CS223)</f>
        <v>#DIV/0!</v>
      </c>
      <c r="CT224" s="3" t="n"/>
      <c r="CU224" s="3">
        <f>CU204</f>
        <v>0</v>
      </c>
      <c r="CV224" s="3" t="e">
        <f>MAX(0,CU224-CV223)</f>
        <v>#DIV/0!</v>
      </c>
      <c r="CW224" s="3" t="e">
        <f>MAX(0,CV224-CW223)</f>
        <v>#DIV/0!</v>
      </c>
      <c r="CX224" s="3" t="e">
        <f>MAX(0,CW224-CX223)</f>
        <v>#DIV/0!</v>
      </c>
      <c r="CY224" s="3" t="n"/>
    </row>
    <row r="225" hidden="1" outlineLevel="1">
      <c r="C225" s="34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  <c r="CU225" s="3" t="n"/>
      <c r="CV225" s="3" t="n"/>
      <c r="CW225" s="3" t="n"/>
      <c r="CX225" s="3" t="n"/>
      <c r="CY225" s="3" t="n"/>
    </row>
    <row r="226" collapsed="1">
      <c r="C226" s="26" t="inlineStr">
        <is>
          <t>Long term operating leases</t>
        </is>
      </c>
      <c r="D226" s="25">
        <f>INDEX('Inputs (2)'!$D$36:$AL$36,MATCH(D$7,'Inputs (2)'!$D$2:$AL$2,0))</f>
        <v>0</v>
      </c>
      <c r="E226" s="25">
        <f>INDEX('Inputs (2)'!$D$36:$AL$36,MATCH(E$7,'Inputs (2)'!$D$2:$AL$2,0))</f>
        <v>0</v>
      </c>
      <c r="F226" s="25">
        <f>INDEX('Inputs (2)'!$D$36:$AL$36,MATCH(F$7,'Inputs (2)'!$D$2:$AL$2,0))</f>
        <v>0</v>
      </c>
      <c r="G226" s="25">
        <f>INDEX('Inputs (2)'!$D$36:$AL$36,MATCH(G$7,'Inputs (2)'!$D$2:$AL$2,0))</f>
        <v>0</v>
      </c>
      <c r="H226" s="3">
        <f>G226</f>
        <v>0</v>
      </c>
      <c r="I226" s="25">
        <f>INDEX('Inputs (2)'!$D$36:$AL$36,MATCH(I$7,'Inputs (2)'!$D$2:$AL$2,0))</f>
        <v>0</v>
      </c>
      <c r="J226" s="25">
        <f>INDEX('Inputs (2)'!$D$36:$AL$36,MATCH(J$7,'Inputs (2)'!$D$2:$AL$2,0))</f>
        <v>0</v>
      </c>
      <c r="K226" s="25">
        <f>INDEX('Inputs (2)'!$D$36:$AL$36,MATCH(K$7,'Inputs (2)'!$D$2:$AL$2,0))</f>
        <v>0</v>
      </c>
      <c r="L226" s="25">
        <f>INDEX('Inputs (2)'!$D$36:$AL$36,MATCH(L$7,'Inputs (2)'!$D$2:$AL$2,0))</f>
        <v>0</v>
      </c>
      <c r="M226" s="3">
        <f>L226</f>
        <v>0</v>
      </c>
      <c r="N226" s="25">
        <f>INDEX('Inputs (2)'!$D$36:$AL$36,MATCH(N$7,'Inputs (2)'!$D$2:$AL$2,0))</f>
        <v>0</v>
      </c>
      <c r="O226" s="25">
        <f>INDEX('Inputs (2)'!$D$36:$AL$36,MATCH(O$7,'Inputs (2)'!$D$2:$AL$2,0))</f>
        <v>0</v>
      </c>
      <c r="P226" s="25">
        <f>INDEX('Inputs (2)'!$D$36:$AL$36,MATCH(P$7,'Inputs (2)'!$D$2:$AL$2,0))</f>
        <v>0</v>
      </c>
      <c r="Q226" s="25">
        <f>INDEX('Inputs (2)'!$D$36:$AL$36,MATCH(Q$7,'Inputs (2)'!$D$2:$AL$2,0))</f>
        <v>0</v>
      </c>
      <c r="R226" s="3">
        <f>Q226</f>
        <v>0</v>
      </c>
      <c r="S226" s="25">
        <f>INDEX('Inputs (2)'!$D$36:$AL$36,MATCH(S$7,'Inputs (2)'!$D$2:$AL$2,0))</f>
        <v>0</v>
      </c>
      <c r="T226" s="25">
        <f>INDEX('Inputs (2)'!$D$36:$AL$36,MATCH(T$7,'Inputs (2)'!$D$2:$AL$2,0))</f>
        <v>0</v>
      </c>
      <c r="U226" s="25">
        <f>INDEX('Inputs (2)'!$D$36:$AL$36,MATCH(U$7,'Inputs (2)'!$D$2:$AL$2,0))</f>
        <v>0</v>
      </c>
      <c r="V226" s="25">
        <f>INDEX('Inputs (2)'!$D$36:$AL$36,MATCH(V$7,'Inputs (2)'!$D$2:$AL$2,0))</f>
        <v>0</v>
      </c>
      <c r="W226" s="3">
        <f>V226</f>
        <v>0</v>
      </c>
      <c r="X226" s="25">
        <f>INDEX('Inputs (2)'!$D$36:$AL$36,MATCH(X$7,'Inputs (2)'!$D$2:$AL$2,0))</f>
        <v>0</v>
      </c>
      <c r="Y226" s="25">
        <f>INDEX('Inputs (2)'!$D$36:$AL$36,MATCH(Y$7,'Inputs (2)'!$D$2:$AL$2,0))</f>
        <v>0</v>
      </c>
      <c r="Z226" s="25">
        <f>INDEX('Inputs (2)'!$D$36:$AL$36,MATCH(Z$7,'Inputs (2)'!$D$2:$AL$2,0))</f>
        <v>0</v>
      </c>
      <c r="AA226" s="25">
        <f>INDEX('Inputs (2)'!$D$36:$AL$36,MATCH(AA$7,'Inputs (2)'!$D$2:$AL$2,0))</f>
        <v>0</v>
      </c>
      <c r="AB226" s="3">
        <f>AA226</f>
        <v>0</v>
      </c>
      <c r="AC226" s="25">
        <f>INDEX('Inputs (2)'!$D$36:$AL$36,MATCH(AC$7,'Inputs (2)'!$D$2:$AL$2,0))</f>
        <v>0</v>
      </c>
      <c r="AD226" s="25">
        <f>INDEX('Inputs (2)'!$D$36:$AL$36,MATCH(AD$7,'Inputs (2)'!$D$2:$AL$2,0))</f>
        <v>0</v>
      </c>
      <c r="AE226" s="25">
        <f>INDEX('Inputs (2)'!$D$36:$AL$36,MATCH(AE$7,'Inputs (2)'!$D$2:$AL$2,0))</f>
        <v>0</v>
      </c>
      <c r="AF226" s="25">
        <f>INDEX('Inputs (2)'!$D$36:$AL$36,MATCH(AF$7,'Inputs (2)'!$D$2:$AL$2,0))</f>
        <v>0</v>
      </c>
      <c r="AG226" s="3">
        <f>AF226</f>
        <v>0</v>
      </c>
      <c r="AH226" s="3">
        <f>INDEX('Inputs (2)'!$D$36:$AL$36,MATCH(AH$7,'Inputs (2)'!$D$2:$AL$2,0))</f>
        <v>0</v>
      </c>
      <c r="AI226" s="3">
        <f>INDEX('Inputs (2)'!$D$36:$AL$36,MATCH(AI$7,'Inputs (2)'!$D$2:$AL$2,0))</f>
        <v>0</v>
      </c>
      <c r="AJ226" s="3">
        <f>AI226</f>
        <v>0</v>
      </c>
      <c r="AK226" s="3">
        <f>AJ226</f>
        <v>0</v>
      </c>
      <c r="AL226" s="3">
        <f>AK226</f>
        <v>0</v>
      </c>
      <c r="AM226" s="3">
        <f>AL226</f>
        <v>0</v>
      </c>
      <c r="AN226" s="3">
        <f>AM226</f>
        <v>0</v>
      </c>
      <c r="AO226" s="3">
        <f>AN226</f>
        <v>0</v>
      </c>
      <c r="AP226" s="3">
        <f>AO226</f>
        <v>0</v>
      </c>
      <c r="AQ226" s="3">
        <f>AP226</f>
        <v>0</v>
      </c>
      <c r="AR226" s="3">
        <f>AQ226</f>
        <v>0</v>
      </c>
      <c r="AS226" s="3">
        <f>AR226</f>
        <v>0</v>
      </c>
      <c r="AT226" s="3">
        <f>AS226</f>
        <v>0</v>
      </c>
      <c r="AU226" s="3">
        <f>AT226</f>
        <v>0</v>
      </c>
      <c r="AV226" s="3">
        <f>AU226</f>
        <v>0</v>
      </c>
      <c r="AW226" s="3">
        <f>AV226</f>
        <v>0</v>
      </c>
      <c r="AX226" s="3">
        <f>AW226</f>
        <v>0</v>
      </c>
      <c r="AY226" s="3">
        <f>AX226</f>
        <v>0</v>
      </c>
      <c r="AZ226" s="3">
        <f>AY226</f>
        <v>0</v>
      </c>
      <c r="BA226" s="3">
        <f>AZ226</f>
        <v>0</v>
      </c>
      <c r="BB226" s="3">
        <f>BA226</f>
        <v>0</v>
      </c>
      <c r="BC226" s="3">
        <f>BB226</f>
        <v>0</v>
      </c>
      <c r="BD226" s="3">
        <f>BC226</f>
        <v>0</v>
      </c>
      <c r="BE226" s="3">
        <f>BD226</f>
        <v>0</v>
      </c>
      <c r="BF226" s="3">
        <f>BE226</f>
        <v>0</v>
      </c>
      <c r="BG226" s="3">
        <f>BF226</f>
        <v>0</v>
      </c>
      <c r="BH226" s="3">
        <f>BG226</f>
        <v>0</v>
      </c>
      <c r="BI226" s="3">
        <f>BH226</f>
        <v>0</v>
      </c>
      <c r="BJ226" s="3">
        <f>BI226</f>
        <v>0</v>
      </c>
      <c r="BK226" s="3">
        <f>BJ226</f>
        <v>0</v>
      </c>
      <c r="BL226" s="3">
        <f>BK226</f>
        <v>0</v>
      </c>
      <c r="BM226" s="3">
        <f>BL226</f>
        <v>0</v>
      </c>
      <c r="BN226" s="3">
        <f>BM226</f>
        <v>0</v>
      </c>
      <c r="BO226" s="3">
        <f>BN226</f>
        <v>0</v>
      </c>
      <c r="BP226" s="3">
        <f>BO226</f>
        <v>0</v>
      </c>
      <c r="BQ226" s="3">
        <f>BP226</f>
        <v>0</v>
      </c>
      <c r="BR226" s="3">
        <f>BQ226</f>
        <v>0</v>
      </c>
      <c r="BS226" s="3">
        <f>BR226</f>
        <v>0</v>
      </c>
      <c r="BT226" s="3">
        <f>BS226</f>
        <v>0</v>
      </c>
      <c r="BU226" s="3">
        <f>BT226</f>
        <v>0</v>
      </c>
      <c r="BV226" s="3">
        <f>BU226</f>
        <v>0</v>
      </c>
      <c r="BW226" s="3">
        <f>BV226</f>
        <v>0</v>
      </c>
      <c r="BX226" s="3">
        <f>BW226</f>
        <v>0</v>
      </c>
      <c r="BY226" s="3">
        <f>BX226</f>
        <v>0</v>
      </c>
      <c r="BZ226" s="3">
        <f>BY226</f>
        <v>0</v>
      </c>
      <c r="CA226" s="3">
        <f>BZ226</f>
        <v>0</v>
      </c>
      <c r="CB226" s="3">
        <f>CA226</f>
        <v>0</v>
      </c>
      <c r="CC226" s="3">
        <f>CB226</f>
        <v>0</v>
      </c>
      <c r="CD226" s="3">
        <f>CC226</f>
        <v>0</v>
      </c>
      <c r="CE226" s="3">
        <f>CD226</f>
        <v>0</v>
      </c>
      <c r="CF226" s="3">
        <f>CE226</f>
        <v>0</v>
      </c>
      <c r="CG226" s="3">
        <f>CF226</f>
        <v>0</v>
      </c>
      <c r="CH226" s="3">
        <f>CG226</f>
        <v>0</v>
      </c>
      <c r="CI226" s="3">
        <f>CH226</f>
        <v>0</v>
      </c>
      <c r="CJ226" s="3">
        <f>CI226</f>
        <v>0</v>
      </c>
      <c r="CK226" s="3">
        <f>CJ226</f>
        <v>0</v>
      </c>
      <c r="CL226" s="3">
        <f>CK226</f>
        <v>0</v>
      </c>
      <c r="CM226" s="3">
        <f>CL226</f>
        <v>0</v>
      </c>
      <c r="CN226" s="3">
        <f>CM226</f>
        <v>0</v>
      </c>
      <c r="CO226" s="3">
        <f>CN226</f>
        <v>0</v>
      </c>
      <c r="CP226" s="3">
        <f>CO226</f>
        <v>0</v>
      </c>
      <c r="CQ226" s="3">
        <f>CP226</f>
        <v>0</v>
      </c>
      <c r="CR226" s="3">
        <f>CQ226</f>
        <v>0</v>
      </c>
      <c r="CS226" s="3">
        <f>CR226</f>
        <v>0</v>
      </c>
      <c r="CT226" s="3">
        <f>CS226</f>
        <v>0</v>
      </c>
      <c r="CU226" s="3">
        <f>CT226</f>
        <v>0</v>
      </c>
      <c r="CV226" s="3">
        <f>CU226</f>
        <v>0</v>
      </c>
      <c r="CW226" s="3">
        <f>CV226</f>
        <v>0</v>
      </c>
      <c r="CX226" s="3">
        <f>CW226</f>
        <v>0</v>
      </c>
      <c r="CY226" s="3">
        <f>CX226</f>
        <v>0</v>
      </c>
    </row>
    <row r="227" hidden="1" outlineLevel="1">
      <c r="C227" s="38" t="inlineStr">
        <is>
          <t>%(Var.)</t>
        </is>
      </c>
      <c r="D227" s="3" t="n"/>
      <c r="E227" s="47">
        <f>IFERROR((E226-D226)/D226,0)</f>
        <v>0</v>
      </c>
      <c r="F227" s="47">
        <f>IFERROR((F226-E226)/E226,0)</f>
        <v>0</v>
      </c>
      <c r="G227" s="47">
        <f>IFERROR((G226-F226)/F226,0)</f>
        <v>0</v>
      </c>
      <c r="H227" s="3" t="n"/>
      <c r="I227" s="47">
        <f>IFERROR((I226-H226)/H226,0)</f>
        <v>0</v>
      </c>
      <c r="J227" s="47">
        <f>IFERROR((J226-I226)/I226,0)</f>
        <v>0</v>
      </c>
      <c r="K227" s="47">
        <f>IFERROR((K226-J226)/J226,0)</f>
        <v>0</v>
      </c>
      <c r="L227" s="47">
        <f>IFERROR((L226-K226)/K226,0)</f>
        <v>0</v>
      </c>
      <c r="M227" s="3" t="n"/>
      <c r="N227" s="47">
        <f>IFERROR((N226-M226)/M226,0)</f>
        <v>0</v>
      </c>
      <c r="O227" s="47">
        <f>IFERROR((O226-N226)/N226,0)</f>
        <v>0</v>
      </c>
      <c r="P227" s="47">
        <f>IFERROR((P226-O226)/O226,0)</f>
        <v>0</v>
      </c>
      <c r="Q227" s="47">
        <f>IFERROR((Q226-P226)/P226,0)</f>
        <v>0</v>
      </c>
      <c r="R227" s="3" t="n"/>
      <c r="S227" s="47">
        <f>IFERROR((S226-R226)/R226,0)</f>
        <v>0</v>
      </c>
      <c r="T227" s="47">
        <f>IFERROR((T226-S226)/S226,0)</f>
        <v>0</v>
      </c>
      <c r="U227" s="47">
        <f>IFERROR((U226-T226)/T226,0)</f>
        <v>0</v>
      </c>
      <c r="V227" s="47">
        <f>IFERROR((V226-U226)/U226,0)</f>
        <v>0</v>
      </c>
      <c r="W227" s="3" t="n"/>
      <c r="X227" s="47">
        <f>IFERROR((X226-W226)/W226,0)</f>
        <v>0</v>
      </c>
      <c r="Y227" s="47">
        <f>IFERROR((Y226-X226)/X226,0)</f>
        <v>0</v>
      </c>
      <c r="Z227" s="47">
        <f>IFERROR((Z226-Y226)/Y226,0)</f>
        <v>0</v>
      </c>
      <c r="AA227" s="47">
        <f>IFERROR((AA226-Z226)/Z226,0)</f>
        <v>0</v>
      </c>
      <c r="AB227" s="3" t="n"/>
      <c r="AC227" s="47">
        <f>IFERROR((AC226-AB226)/AB226,0)</f>
        <v>0</v>
      </c>
      <c r="AD227" s="47">
        <f>IFERROR((AD226-AC226)/AC226,0)</f>
        <v>0</v>
      </c>
      <c r="AE227" s="47">
        <f>IFERROR((AE226-AD226)/AD226,0)</f>
        <v>0</v>
      </c>
      <c r="AF227" s="230">
        <f>IFERROR((AF226-AE226)/AE226,0)</f>
        <v>0</v>
      </c>
      <c r="AG227" s="3" t="n"/>
      <c r="AH227" s="6">
        <f>IFERROR((AH226-AG226)/AG226,0)</f>
        <v>0</v>
      </c>
      <c r="AI227" s="6">
        <f>IFERROR((AI226-AH226)/AH226,0)</f>
        <v>0</v>
      </c>
      <c r="AJ227" s="6" t="n"/>
      <c r="AK227" s="6" t="n"/>
      <c r="AL227" s="3" t="n"/>
      <c r="AM227" s="6" t="n"/>
      <c r="AN227" s="6" t="n"/>
      <c r="AO227" s="6" t="n"/>
      <c r="AP227" s="6" t="n"/>
      <c r="AQ227" s="3" t="n"/>
      <c r="AR227" s="6" t="n"/>
      <c r="AS227" s="6" t="n"/>
      <c r="AT227" s="6" t="n"/>
      <c r="AU227" s="6" t="n"/>
      <c r="AV227" s="3" t="n"/>
      <c r="AW227" s="6" t="n"/>
      <c r="AX227" s="6" t="n"/>
      <c r="AY227" s="6" t="n"/>
      <c r="AZ227" s="6" t="n"/>
      <c r="BA227" s="3" t="n"/>
      <c r="BB227" s="6" t="n"/>
      <c r="BC227" s="6" t="n"/>
      <c r="BD227" s="6" t="n"/>
      <c r="BE227" s="6" t="n"/>
      <c r="BF227" s="3" t="n"/>
      <c r="BG227" s="6" t="n"/>
      <c r="BH227" s="6" t="n"/>
      <c r="BI227" s="6" t="n"/>
      <c r="BJ227" s="6" t="n"/>
      <c r="BK227" s="3" t="n"/>
      <c r="BL227" s="6" t="n"/>
      <c r="BM227" s="6" t="n"/>
      <c r="BN227" s="6" t="n"/>
      <c r="BO227" s="6" t="n"/>
      <c r="BP227" s="3" t="n"/>
      <c r="BQ227" s="6" t="n"/>
      <c r="BR227" s="6" t="n"/>
      <c r="BS227" s="6" t="n"/>
      <c r="BT227" s="6" t="n"/>
      <c r="BU227" s="3" t="n"/>
      <c r="BV227" s="6" t="n"/>
      <c r="BW227" s="6" t="n"/>
      <c r="BX227" s="6" t="n"/>
      <c r="BY227" s="6" t="n"/>
      <c r="BZ227" s="3" t="n"/>
      <c r="CA227" s="6" t="n"/>
      <c r="CB227" s="6" t="n"/>
      <c r="CC227" s="6" t="n"/>
      <c r="CD227" s="6" t="n"/>
      <c r="CE227" s="3" t="n"/>
      <c r="CF227" s="6" t="n"/>
      <c r="CG227" s="6" t="n"/>
      <c r="CH227" s="6" t="n"/>
      <c r="CI227" s="6" t="n"/>
      <c r="CJ227" s="3" t="n"/>
      <c r="CK227" s="6" t="n"/>
      <c r="CL227" s="6" t="n"/>
      <c r="CM227" s="6" t="n"/>
      <c r="CN227" s="6" t="n"/>
      <c r="CO227" s="3" t="n"/>
      <c r="CP227" s="6" t="n"/>
      <c r="CQ227" s="6" t="n"/>
      <c r="CR227" s="6" t="n"/>
      <c r="CS227" s="6" t="n"/>
      <c r="CT227" s="3" t="n"/>
      <c r="CU227" s="6" t="n"/>
      <c r="CV227" s="6" t="n"/>
      <c r="CW227" s="6" t="n"/>
      <c r="CX227" s="6" t="n"/>
      <c r="CY227" s="3" t="n"/>
    </row>
    <row r="228" hidden="1" outlineLevel="1">
      <c r="C228" s="34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collapsed="1">
      <c r="C229" s="26" t="inlineStr">
        <is>
          <t>Convertible debt</t>
        </is>
      </c>
      <c r="D229" s="25">
        <f>INDEX('Inputs (2)'!$D$37:$AL$37,MATCH(D$7,'Inputs (2)'!$D$2:$AL$2,0))</f>
        <v>0</v>
      </c>
      <c r="E229" s="25">
        <f>INDEX('Inputs (2)'!$D$37:$AL$37,MATCH(E$7,'Inputs (2)'!$D$2:$AL$2,0))</f>
        <v>0</v>
      </c>
      <c r="F229" s="25">
        <f>INDEX('Inputs (2)'!$D$37:$AL$37,MATCH(F$7,'Inputs (2)'!$D$2:$AL$2,0))</f>
        <v>0</v>
      </c>
      <c r="G229" s="25">
        <f>INDEX('Inputs (2)'!$D$37:$AL$37,MATCH(G$7,'Inputs (2)'!$D$2:$AL$2,0))</f>
        <v>0</v>
      </c>
      <c r="H229" s="3">
        <f>G229</f>
        <v>0</v>
      </c>
      <c r="I229" s="25">
        <f>INDEX('Inputs (2)'!$D$37:$AL$37,MATCH(I$7,'Inputs (2)'!$D$2:$AL$2,0))</f>
        <v>0</v>
      </c>
      <c r="J229" s="25">
        <f>INDEX('Inputs (2)'!$D$37:$AL$37,MATCH(J$7,'Inputs (2)'!$D$2:$AL$2,0))</f>
        <v>0</v>
      </c>
      <c r="K229" s="25">
        <f>INDEX('Inputs (2)'!$D$37:$AL$37,MATCH(K$7,'Inputs (2)'!$D$2:$AL$2,0))</f>
        <v>0</v>
      </c>
      <c r="L229" s="25">
        <f>INDEX('Inputs (2)'!$D$37:$AL$37,MATCH(L$7,'Inputs (2)'!$D$2:$AL$2,0))</f>
        <v>0</v>
      </c>
      <c r="M229" s="3">
        <f>L229</f>
        <v>0</v>
      </c>
      <c r="N229" s="25">
        <f>INDEX('Inputs (2)'!$D$37:$AL$37,MATCH(N$7,'Inputs (2)'!$D$2:$AL$2,0))</f>
        <v>0</v>
      </c>
      <c r="O229" s="25">
        <f>INDEX('Inputs (2)'!$D$37:$AL$37,MATCH(O$7,'Inputs (2)'!$D$2:$AL$2,0))</f>
        <v>0</v>
      </c>
      <c r="P229" s="25">
        <f>INDEX('Inputs (2)'!$D$37:$AL$37,MATCH(P$7,'Inputs (2)'!$D$2:$AL$2,0))</f>
        <v>0</v>
      </c>
      <c r="Q229" s="25">
        <f>INDEX('Inputs (2)'!$D$37:$AL$37,MATCH(Q$7,'Inputs (2)'!$D$2:$AL$2,0))</f>
        <v>0</v>
      </c>
      <c r="R229" s="3">
        <f>Q229</f>
        <v>0</v>
      </c>
      <c r="S229" s="25">
        <f>INDEX('Inputs (2)'!$D$37:$AL$37,MATCH(S$7,'Inputs (2)'!$D$2:$AL$2,0))</f>
        <v>0</v>
      </c>
      <c r="T229" s="25">
        <f>INDEX('Inputs (2)'!$D$37:$AL$37,MATCH(T$7,'Inputs (2)'!$D$2:$AL$2,0))</f>
        <v>0</v>
      </c>
      <c r="U229" s="25">
        <f>INDEX('Inputs (2)'!$D$37:$AL$37,MATCH(U$7,'Inputs (2)'!$D$2:$AL$2,0))</f>
        <v>0</v>
      </c>
      <c r="V229" s="25">
        <f>INDEX('Inputs (2)'!$D$37:$AL$37,MATCH(V$7,'Inputs (2)'!$D$2:$AL$2,0))</f>
        <v>0</v>
      </c>
      <c r="W229" s="3">
        <f>V229</f>
        <v>0</v>
      </c>
      <c r="X229" s="25">
        <f>INDEX('Inputs (2)'!$D$37:$AL$37,MATCH(X$7,'Inputs (2)'!$D$2:$AL$2,0))</f>
        <v>0</v>
      </c>
      <c r="Y229" s="25">
        <f>INDEX('Inputs (2)'!$D$37:$AL$37,MATCH(Y$7,'Inputs (2)'!$D$2:$AL$2,0))</f>
        <v>0</v>
      </c>
      <c r="Z229" s="25">
        <f>INDEX('Inputs (2)'!$D$37:$AL$37,MATCH(Z$7,'Inputs (2)'!$D$2:$AL$2,0))</f>
        <v>0</v>
      </c>
      <c r="AA229" s="25">
        <f>INDEX('Inputs (2)'!$D$37:$AL$37,MATCH(AA$7,'Inputs (2)'!$D$2:$AL$2,0))</f>
        <v>0</v>
      </c>
      <c r="AB229" s="3">
        <f>AA229</f>
        <v>0</v>
      </c>
      <c r="AC229" s="25">
        <f>INDEX('Inputs (2)'!$D$37:$AL$37,MATCH(AC$7,'Inputs (2)'!$D$2:$AL$2,0))</f>
        <v>0</v>
      </c>
      <c r="AD229" s="25">
        <f>INDEX('Inputs (2)'!$D$37:$AL$37,MATCH(AD$7,'Inputs (2)'!$D$2:$AL$2,0))</f>
        <v>0</v>
      </c>
      <c r="AE229" s="25">
        <f>INDEX('Inputs (2)'!$D$37:$AL$37,MATCH(AE$7,'Inputs (2)'!$D$2:$AL$2,0))</f>
        <v>0</v>
      </c>
      <c r="AF229" s="25">
        <f>INDEX('Inputs (2)'!$D$37:$AL$37,MATCH(AF$7,'Inputs (2)'!$D$2:$AL$2,0))</f>
        <v>0</v>
      </c>
      <c r="AG229" s="3">
        <f>AF229</f>
        <v>0</v>
      </c>
      <c r="AH229" s="3">
        <f>INDEX('Inputs (2)'!$D$37:$AL$37,MATCH(AH$7,'Inputs (2)'!$D$2:$AL$2,0))</f>
        <v>0</v>
      </c>
      <c r="AI229" s="3">
        <f>INDEX('Inputs (2)'!$D$37:$AL$37,MATCH(AI$7,'Inputs (2)'!$D$2:$AL$2,0))</f>
        <v>0</v>
      </c>
      <c r="AJ229" s="3">
        <f>AI229</f>
        <v>0</v>
      </c>
      <c r="AK229" s="3">
        <f>AJ229</f>
        <v>0</v>
      </c>
      <c r="AL229" s="3">
        <f>AK229</f>
        <v>0</v>
      </c>
      <c r="AM229" s="3">
        <f>AL229</f>
        <v>0</v>
      </c>
      <c r="AN229" s="3">
        <f>AM229</f>
        <v>0</v>
      </c>
      <c r="AO229" s="3">
        <f>AN229</f>
        <v>0</v>
      </c>
      <c r="AP229" s="3">
        <f>AO229</f>
        <v>0</v>
      </c>
      <c r="AQ229" s="3">
        <f>AP229</f>
        <v>0</v>
      </c>
      <c r="AR229" s="3">
        <f>AQ229</f>
        <v>0</v>
      </c>
      <c r="AS229" s="3">
        <f>AR229</f>
        <v>0</v>
      </c>
      <c r="AT229" s="3">
        <f>AS229</f>
        <v>0</v>
      </c>
      <c r="AU229" s="3">
        <f>AT229</f>
        <v>0</v>
      </c>
      <c r="AV229" s="3">
        <f>AU229</f>
        <v>0</v>
      </c>
      <c r="AW229" s="3">
        <f>AV229</f>
        <v>0</v>
      </c>
      <c r="AX229" s="3">
        <f>AW229</f>
        <v>0</v>
      </c>
      <c r="AY229" s="3">
        <f>AX229</f>
        <v>0</v>
      </c>
      <c r="AZ229" s="3">
        <f>AY229</f>
        <v>0</v>
      </c>
      <c r="BA229" s="3">
        <f>AZ229</f>
        <v>0</v>
      </c>
      <c r="BB229" s="3">
        <f>BA229</f>
        <v>0</v>
      </c>
      <c r="BC229" s="3">
        <f>BB229</f>
        <v>0</v>
      </c>
      <c r="BD229" s="3">
        <f>BC229</f>
        <v>0</v>
      </c>
      <c r="BE229" s="3">
        <f>BD229</f>
        <v>0</v>
      </c>
      <c r="BF229" s="3">
        <f>BE229</f>
        <v>0</v>
      </c>
      <c r="BG229" s="3">
        <f>BF229</f>
        <v>0</v>
      </c>
      <c r="BH229" s="3">
        <f>BG229</f>
        <v>0</v>
      </c>
      <c r="BI229" s="3">
        <f>BH229</f>
        <v>0</v>
      </c>
      <c r="BJ229" s="3">
        <f>BI229</f>
        <v>0</v>
      </c>
      <c r="BK229" s="3">
        <f>BJ229</f>
        <v>0</v>
      </c>
      <c r="BL229" s="3">
        <f>BK229</f>
        <v>0</v>
      </c>
      <c r="BM229" s="3">
        <f>BL229</f>
        <v>0</v>
      </c>
      <c r="BN229" s="3">
        <f>BM229</f>
        <v>0</v>
      </c>
      <c r="BO229" s="3">
        <f>BN229</f>
        <v>0</v>
      </c>
      <c r="BP229" s="3">
        <f>BO229</f>
        <v>0</v>
      </c>
      <c r="BQ229" s="3">
        <f>BP229</f>
        <v>0</v>
      </c>
      <c r="BR229" s="3">
        <f>BQ229</f>
        <v>0</v>
      </c>
      <c r="BS229" s="3">
        <f>BR229</f>
        <v>0</v>
      </c>
      <c r="BT229" s="3">
        <f>BS229</f>
        <v>0</v>
      </c>
      <c r="BU229" s="3">
        <f>BT229</f>
        <v>0</v>
      </c>
      <c r="BV229" s="3">
        <f>BU229</f>
        <v>0</v>
      </c>
      <c r="BW229" s="3">
        <f>BV229</f>
        <v>0</v>
      </c>
      <c r="BX229" s="3">
        <f>BW229</f>
        <v>0</v>
      </c>
      <c r="BY229" s="3">
        <f>BX229</f>
        <v>0</v>
      </c>
      <c r="BZ229" s="3">
        <f>BY229</f>
        <v>0</v>
      </c>
      <c r="CA229" s="3">
        <f>BZ229</f>
        <v>0</v>
      </c>
      <c r="CB229" s="3">
        <f>CA229</f>
        <v>0</v>
      </c>
      <c r="CC229" s="3">
        <f>CB229</f>
        <v>0</v>
      </c>
      <c r="CD229" s="3">
        <f>CC229</f>
        <v>0</v>
      </c>
      <c r="CE229" s="3">
        <f>CD229</f>
        <v>0</v>
      </c>
      <c r="CF229" s="3">
        <f>CE229</f>
        <v>0</v>
      </c>
      <c r="CG229" s="3">
        <f>CF229</f>
        <v>0</v>
      </c>
      <c r="CH229" s="3">
        <f>CG229</f>
        <v>0</v>
      </c>
      <c r="CI229" s="3">
        <f>CH229</f>
        <v>0</v>
      </c>
      <c r="CJ229" s="3">
        <f>CI229</f>
        <v>0</v>
      </c>
      <c r="CK229" s="3">
        <f>CJ229</f>
        <v>0</v>
      </c>
      <c r="CL229" s="3">
        <f>CK229</f>
        <v>0</v>
      </c>
      <c r="CM229" s="3">
        <f>CL229</f>
        <v>0</v>
      </c>
      <c r="CN229" s="3">
        <f>CM229</f>
        <v>0</v>
      </c>
      <c r="CO229" s="3">
        <f>CN229</f>
        <v>0</v>
      </c>
      <c r="CP229" s="3">
        <f>CO229</f>
        <v>0</v>
      </c>
      <c r="CQ229" s="3">
        <f>CP229</f>
        <v>0</v>
      </c>
      <c r="CR229" s="3">
        <f>CQ229</f>
        <v>0</v>
      </c>
      <c r="CS229" s="3">
        <f>CR229</f>
        <v>0</v>
      </c>
      <c r="CT229" s="3">
        <f>CS229</f>
        <v>0</v>
      </c>
      <c r="CU229" s="3">
        <f>CT229</f>
        <v>0</v>
      </c>
      <c r="CV229" s="3">
        <f>CU229</f>
        <v>0</v>
      </c>
      <c r="CW229" s="3">
        <f>CV229</f>
        <v>0</v>
      </c>
      <c r="CX229" s="3">
        <f>CW229</f>
        <v>0</v>
      </c>
      <c r="CY229" s="3">
        <f>CX229</f>
        <v>0</v>
      </c>
    </row>
    <row r="230">
      <c r="C230" s="26" t="inlineStr">
        <is>
          <t>Deferred income taxes</t>
        </is>
      </c>
      <c r="D230" s="25">
        <f>INDEX('Inputs (2)'!$D$38:$AL$38,MATCH(D$7,'Inputs (2)'!$D$2:$AL$2,0))</f>
        <v>0</v>
      </c>
      <c r="E230" s="25">
        <f>INDEX('Inputs (2)'!$D$38:$AL$38,MATCH(E$7,'Inputs (2)'!$D$2:$AL$2,0))</f>
        <v>0</v>
      </c>
      <c r="F230" s="25">
        <f>INDEX('Inputs (2)'!$D$38:$AL$38,MATCH(F$7,'Inputs (2)'!$D$2:$AL$2,0))</f>
        <v>0</v>
      </c>
      <c r="G230" s="25">
        <f>INDEX('Inputs (2)'!$D$38:$AL$38,MATCH(G$7,'Inputs (2)'!$D$2:$AL$2,0))</f>
        <v>0</v>
      </c>
      <c r="H230" s="3">
        <f>G230</f>
        <v>0</v>
      </c>
      <c r="I230" s="25">
        <f>INDEX('Inputs (2)'!$D$38:$AL$38,MATCH(I$7,'Inputs (2)'!$D$2:$AL$2,0))</f>
        <v>0</v>
      </c>
      <c r="J230" s="25">
        <f>INDEX('Inputs (2)'!$D$38:$AL$38,MATCH(J$7,'Inputs (2)'!$D$2:$AL$2,0))</f>
        <v>0</v>
      </c>
      <c r="K230" s="25">
        <f>INDEX('Inputs (2)'!$D$38:$AL$38,MATCH(K$7,'Inputs (2)'!$D$2:$AL$2,0))</f>
        <v>0</v>
      </c>
      <c r="L230" s="25">
        <f>INDEX('Inputs (2)'!$D$38:$AL$38,MATCH(L$7,'Inputs (2)'!$D$2:$AL$2,0))</f>
        <v>0</v>
      </c>
      <c r="M230" s="3">
        <f>L230</f>
        <v>0</v>
      </c>
      <c r="N230" s="25">
        <f>INDEX('Inputs (2)'!$D$38:$AL$38,MATCH(N$7,'Inputs (2)'!$D$2:$AL$2,0))</f>
        <v>0</v>
      </c>
      <c r="O230" s="25">
        <f>INDEX('Inputs (2)'!$D$38:$AL$38,MATCH(O$7,'Inputs (2)'!$D$2:$AL$2,0))</f>
        <v>0</v>
      </c>
      <c r="P230" s="25">
        <f>INDEX('Inputs (2)'!$D$38:$AL$38,MATCH(P$7,'Inputs (2)'!$D$2:$AL$2,0))</f>
        <v>0</v>
      </c>
      <c r="Q230" s="25">
        <f>INDEX('Inputs (2)'!$D$38:$AL$38,MATCH(Q$7,'Inputs (2)'!$D$2:$AL$2,0))</f>
        <v>0</v>
      </c>
      <c r="R230" s="3">
        <f>Q230</f>
        <v>0</v>
      </c>
      <c r="S230" s="25">
        <f>INDEX('Inputs (2)'!$D$38:$AL$38,MATCH(S$7,'Inputs (2)'!$D$2:$AL$2,0))</f>
        <v>0</v>
      </c>
      <c r="T230" s="25">
        <f>INDEX('Inputs (2)'!$D$38:$AL$38,MATCH(T$7,'Inputs (2)'!$D$2:$AL$2,0))</f>
        <v>0</v>
      </c>
      <c r="U230" s="25">
        <f>INDEX('Inputs (2)'!$D$38:$AL$38,MATCH(U$7,'Inputs (2)'!$D$2:$AL$2,0))</f>
        <v>0</v>
      </c>
      <c r="V230" s="25">
        <f>INDEX('Inputs (2)'!$D$38:$AL$38,MATCH(V$7,'Inputs (2)'!$D$2:$AL$2,0))</f>
        <v>0</v>
      </c>
      <c r="W230" s="3">
        <f>V230</f>
        <v>0</v>
      </c>
      <c r="X230" s="25">
        <f>INDEX('Inputs (2)'!$D$38:$AL$38,MATCH(X$7,'Inputs (2)'!$D$2:$AL$2,0))</f>
        <v>0</v>
      </c>
      <c r="Y230" s="25">
        <f>INDEX('Inputs (2)'!$D$38:$AL$38,MATCH(Y$7,'Inputs (2)'!$D$2:$AL$2,0))</f>
        <v>0</v>
      </c>
      <c r="Z230" s="25">
        <f>INDEX('Inputs (2)'!$D$38:$AL$38,MATCH(Z$7,'Inputs (2)'!$D$2:$AL$2,0))</f>
        <v>0</v>
      </c>
      <c r="AA230" s="25">
        <f>INDEX('Inputs (2)'!$D$38:$AL$38,MATCH(AA$7,'Inputs (2)'!$D$2:$AL$2,0))</f>
        <v>0</v>
      </c>
      <c r="AB230" s="3">
        <f>AA230</f>
        <v>0</v>
      </c>
      <c r="AC230" s="25">
        <f>INDEX('Inputs (2)'!$D$38:$AL$38,MATCH(AC$7,'Inputs (2)'!$D$2:$AL$2,0))</f>
        <v>0</v>
      </c>
      <c r="AD230" s="25">
        <f>INDEX('Inputs (2)'!$D$38:$AL$38,MATCH(AD$7,'Inputs (2)'!$D$2:$AL$2,0))</f>
        <v>0</v>
      </c>
      <c r="AE230" s="25">
        <f>INDEX('Inputs (2)'!$D$38:$AL$38,MATCH(AE$7,'Inputs (2)'!$D$2:$AL$2,0))</f>
        <v>0</v>
      </c>
      <c r="AF230" s="25">
        <f>INDEX('Inputs (2)'!$D$38:$AL$38,MATCH(AF$7,'Inputs (2)'!$D$2:$AL$2,0))</f>
        <v>0</v>
      </c>
      <c r="AG230" s="3">
        <f>AF230</f>
        <v>0</v>
      </c>
      <c r="AH230" s="3">
        <f>INDEX('Inputs (2)'!$D$38:$AL$38,MATCH(AH$7,'Inputs (2)'!$D$2:$AL$2,0))</f>
        <v>0</v>
      </c>
      <c r="AI230" s="3">
        <f>INDEX('Inputs (2)'!$D$38:$AL$38,MATCH(AI$7,'Inputs (2)'!$D$2:$AL$2,0))</f>
        <v>0</v>
      </c>
      <c r="AJ230" s="3">
        <f>AI230</f>
        <v>0</v>
      </c>
      <c r="AK230" s="3">
        <f>AJ230</f>
        <v>0</v>
      </c>
      <c r="AL230" s="3">
        <f>AK230</f>
        <v>0</v>
      </c>
      <c r="AM230" s="3">
        <f>AL230</f>
        <v>0</v>
      </c>
      <c r="AN230" s="3">
        <f>AM230</f>
        <v>0</v>
      </c>
      <c r="AO230" s="3">
        <f>AN230</f>
        <v>0</v>
      </c>
      <c r="AP230" s="3">
        <f>AO230</f>
        <v>0</v>
      </c>
      <c r="AQ230" s="3">
        <f>AP230</f>
        <v>0</v>
      </c>
      <c r="AR230" s="3">
        <f>AQ230</f>
        <v>0</v>
      </c>
      <c r="AS230" s="3">
        <f>AR230</f>
        <v>0</v>
      </c>
      <c r="AT230" s="3">
        <f>AS230</f>
        <v>0</v>
      </c>
      <c r="AU230" s="3">
        <f>AT230</f>
        <v>0</v>
      </c>
      <c r="AV230" s="3">
        <f>AU230</f>
        <v>0</v>
      </c>
      <c r="AW230" s="3">
        <f>AV230</f>
        <v>0</v>
      </c>
      <c r="AX230" s="3">
        <f>AW230</f>
        <v>0</v>
      </c>
      <c r="AY230" s="3">
        <f>AX230</f>
        <v>0</v>
      </c>
      <c r="AZ230" s="3">
        <f>AY230</f>
        <v>0</v>
      </c>
      <c r="BA230" s="3">
        <f>AZ230</f>
        <v>0</v>
      </c>
      <c r="BB230" s="3">
        <f>BA230</f>
        <v>0</v>
      </c>
      <c r="BC230" s="3">
        <f>BB230</f>
        <v>0</v>
      </c>
      <c r="BD230" s="3">
        <f>BC230</f>
        <v>0</v>
      </c>
      <c r="BE230" s="3">
        <f>BD230</f>
        <v>0</v>
      </c>
      <c r="BF230" s="3">
        <f>BE230</f>
        <v>0</v>
      </c>
      <c r="BG230" s="3">
        <f>BF230</f>
        <v>0</v>
      </c>
      <c r="BH230" s="3">
        <f>BG230</f>
        <v>0</v>
      </c>
      <c r="BI230" s="3">
        <f>BH230</f>
        <v>0</v>
      </c>
      <c r="BJ230" s="3">
        <f>BI230</f>
        <v>0</v>
      </c>
      <c r="BK230" s="3">
        <f>BJ230</f>
        <v>0</v>
      </c>
      <c r="BL230" s="3">
        <f>BK230</f>
        <v>0</v>
      </c>
      <c r="BM230" s="3">
        <f>BL230</f>
        <v>0</v>
      </c>
      <c r="BN230" s="3">
        <f>BM230</f>
        <v>0</v>
      </c>
      <c r="BO230" s="3">
        <f>BN230</f>
        <v>0</v>
      </c>
      <c r="BP230" s="3">
        <f>BO230</f>
        <v>0</v>
      </c>
      <c r="BQ230" s="3">
        <f>BP230</f>
        <v>0</v>
      </c>
      <c r="BR230" s="3">
        <f>BQ230</f>
        <v>0</v>
      </c>
      <c r="BS230" s="3">
        <f>BR230</f>
        <v>0</v>
      </c>
      <c r="BT230" s="3">
        <f>BS230</f>
        <v>0</v>
      </c>
      <c r="BU230" s="3">
        <f>BT230</f>
        <v>0</v>
      </c>
      <c r="BV230" s="3">
        <f>BU230</f>
        <v>0</v>
      </c>
      <c r="BW230" s="3">
        <f>BV230</f>
        <v>0</v>
      </c>
      <c r="BX230" s="3">
        <f>BW230</f>
        <v>0</v>
      </c>
      <c r="BY230" s="3">
        <f>BX230</f>
        <v>0</v>
      </c>
      <c r="BZ230" s="3">
        <f>BY230</f>
        <v>0</v>
      </c>
      <c r="CA230" s="3">
        <f>BZ230</f>
        <v>0</v>
      </c>
      <c r="CB230" s="3">
        <f>CA230</f>
        <v>0</v>
      </c>
      <c r="CC230" s="3">
        <f>CB230</f>
        <v>0</v>
      </c>
      <c r="CD230" s="3">
        <f>CC230</f>
        <v>0</v>
      </c>
      <c r="CE230" s="3">
        <f>CD230</f>
        <v>0</v>
      </c>
      <c r="CF230" s="3">
        <f>CE230</f>
        <v>0</v>
      </c>
      <c r="CG230" s="3">
        <f>CF230</f>
        <v>0</v>
      </c>
      <c r="CH230" s="3">
        <f>CG230</f>
        <v>0</v>
      </c>
      <c r="CI230" s="3">
        <f>CH230</f>
        <v>0</v>
      </c>
      <c r="CJ230" s="3">
        <f>CI230</f>
        <v>0</v>
      </c>
      <c r="CK230" s="3">
        <f>CJ230</f>
        <v>0</v>
      </c>
      <c r="CL230" s="3">
        <f>CK230</f>
        <v>0</v>
      </c>
      <c r="CM230" s="3">
        <f>CL230</f>
        <v>0</v>
      </c>
      <c r="CN230" s="3">
        <f>CM230</f>
        <v>0</v>
      </c>
      <c r="CO230" s="3">
        <f>CN230</f>
        <v>0</v>
      </c>
      <c r="CP230" s="3">
        <f>CO230</f>
        <v>0</v>
      </c>
      <c r="CQ230" s="3">
        <f>CP230</f>
        <v>0</v>
      </c>
      <c r="CR230" s="3">
        <f>CQ230</f>
        <v>0</v>
      </c>
      <c r="CS230" s="3">
        <f>CR230</f>
        <v>0</v>
      </c>
      <c r="CT230" s="3">
        <f>CS230</f>
        <v>0</v>
      </c>
      <c r="CU230" s="3">
        <f>CT230</f>
        <v>0</v>
      </c>
      <c r="CV230" s="3">
        <f>CU230</f>
        <v>0</v>
      </c>
      <c r="CW230" s="3">
        <f>CV230</f>
        <v>0</v>
      </c>
      <c r="CX230" s="3">
        <f>CW230</f>
        <v>0</v>
      </c>
      <c r="CY230" s="3">
        <f>CX230</f>
        <v>0</v>
      </c>
    </row>
    <row r="231">
      <c r="C231" s="26" t="inlineStr">
        <is>
          <t>Other non-current liabilities</t>
        </is>
      </c>
      <c r="D231" s="25">
        <f>INDEX('Inputs (2)'!$D$39:$AL$39,MATCH(D$7,'Inputs (2)'!$D$2:$AL$2,0))</f>
        <v>18670</v>
      </c>
      <c r="E231" s="25">
        <f>INDEX('Inputs (2)'!$D$39:$AL$39,MATCH(E$7,'Inputs (2)'!$D$2:$AL$2,0))</f>
        <v>18755</v>
      </c>
      <c r="F231" s="25">
        <f>INDEX('Inputs (2)'!$D$39:$AL$39,MATCH(F$7,'Inputs (2)'!$D$2:$AL$2,0))</f>
        <v>18911</v>
      </c>
      <c r="G231" s="25">
        <f>INDEX('Inputs (2)'!$D$39:$AL$39,MATCH(G$7,'Inputs (2)'!$D$2:$AL$2,0))</f>
        <v>19070</v>
      </c>
      <c r="H231" s="3">
        <f>G231</f>
        <v>19070</v>
      </c>
      <c r="I231" s="25">
        <f>INDEX('Inputs (2)'!$D$39:$AL$39,MATCH(I$7,'Inputs (2)'!$D$2:$AL$2,0))</f>
        <v>18730</v>
      </c>
      <c r="J231" s="25">
        <f>INDEX('Inputs (2)'!$D$39:$AL$39,MATCH(J$7,'Inputs (2)'!$D$2:$AL$2,0))</f>
        <v>18662</v>
      </c>
      <c r="K231" s="25">
        <f>INDEX('Inputs (2)'!$D$39:$AL$39,MATCH(K$7,'Inputs (2)'!$D$2:$AL$2,0))</f>
        <v>15518</v>
      </c>
      <c r="L231" s="25">
        <f>INDEX('Inputs (2)'!$D$39:$AL$39,MATCH(L$7,'Inputs (2)'!$D$2:$AL$2,0))</f>
        <v>14247</v>
      </c>
      <c r="M231" s="3">
        <f>L231</f>
        <v>14247</v>
      </c>
      <c r="N231" s="25">
        <f>INDEX('Inputs (2)'!$D$39:$AL$39,MATCH(N$7,'Inputs (2)'!$D$2:$AL$2,0))</f>
        <v>14316</v>
      </c>
      <c r="O231" s="25">
        <f>INDEX('Inputs (2)'!$D$39:$AL$39,MATCH(O$7,'Inputs (2)'!$D$2:$AL$2,0))</f>
        <v>12203</v>
      </c>
      <c r="P231" s="25">
        <f>INDEX('Inputs (2)'!$D$39:$AL$39,MATCH(P$7,'Inputs (2)'!$D$2:$AL$2,0))</f>
        <v>12237</v>
      </c>
      <c r="Q231" s="25">
        <f>INDEX('Inputs (2)'!$D$39:$AL$39,MATCH(Q$7,'Inputs (2)'!$D$2:$AL$2,0))</f>
        <v>12298</v>
      </c>
      <c r="R231" s="3">
        <f>Q231</f>
        <v>12298</v>
      </c>
      <c r="S231" s="25">
        <f>INDEX('Inputs (2)'!$D$39:$AL$39,MATCH(S$7,'Inputs (2)'!$D$2:$AL$2,0))</f>
        <v>12509</v>
      </c>
      <c r="T231" s="25">
        <f>INDEX('Inputs (2)'!$D$39:$AL$39,MATCH(T$7,'Inputs (2)'!$D$2:$AL$2,0))</f>
        <v>12772</v>
      </c>
      <c r="U231" s="25">
        <f>INDEX('Inputs (2)'!$D$39:$AL$39,MATCH(U$7,'Inputs (2)'!$D$2:$AL$2,0))</f>
        <v>12978</v>
      </c>
      <c r="V231" s="25">
        <f>INDEX('Inputs (2)'!$D$39:$AL$39,MATCH(V$7,'Inputs (2)'!$D$2:$AL$2,0))</f>
        <v>11393</v>
      </c>
      <c r="W231" s="3">
        <f>V231</f>
        <v>11393</v>
      </c>
      <c r="X231" s="25">
        <f>INDEX('Inputs (2)'!$D$39:$AL$39,MATCH(X$7,'Inputs (2)'!$D$2:$AL$2,0))</f>
        <v>11364</v>
      </c>
      <c r="Y231" s="25">
        <f>INDEX('Inputs (2)'!$D$39:$AL$39,MATCH(Y$7,'Inputs (2)'!$D$2:$AL$2,0))</f>
        <v>11293</v>
      </c>
      <c r="Z231" s="25">
        <f>INDEX('Inputs (2)'!$D$39:$AL$39,MATCH(Z$7,'Inputs (2)'!$D$2:$AL$2,0))</f>
        <v>11331</v>
      </c>
      <c r="AA231" s="25">
        <f>INDEX('Inputs (2)'!$D$39:$AL$39,MATCH(AA$7,'Inputs (2)'!$D$2:$AL$2,0))</f>
        <v>10237</v>
      </c>
      <c r="AB231" s="3">
        <f>AA231</f>
        <v>10237</v>
      </c>
      <c r="AC231" s="25">
        <f>INDEX('Inputs (2)'!$D$39:$AL$39,MATCH(AC$7,'Inputs (2)'!$D$2:$AL$2,0))</f>
        <v>10138</v>
      </c>
      <c r="AD231" s="25">
        <f>INDEX('Inputs (2)'!$D$39:$AL$39,MATCH(AD$7,'Inputs (2)'!$D$2:$AL$2,0))</f>
        <v>10662</v>
      </c>
      <c r="AE231" s="25">
        <f>INDEX('Inputs (2)'!$D$39:$AL$39,MATCH(AE$7,'Inputs (2)'!$D$2:$AL$2,0))</f>
        <v>10601</v>
      </c>
      <c r="AF231" s="25">
        <f>INDEX('Inputs (2)'!$D$39:$AL$39,MATCH(AF$7,'Inputs (2)'!$D$2:$AL$2,0))</f>
        <v>9252</v>
      </c>
      <c r="AG231" s="3">
        <f>AF231</f>
        <v>9252</v>
      </c>
      <c r="AH231" s="3">
        <f>INDEX('Inputs (2)'!$D$39:$AL$39,MATCH(AH$7,'Inputs (2)'!$D$2:$AL$2,0))</f>
        <v>9130</v>
      </c>
      <c r="AI231" s="3">
        <f>INDEX('Inputs (2)'!$D$39:$AL$39,MATCH(AI$7,'Inputs (2)'!$D$2:$AL$2,0))</f>
        <v>9335</v>
      </c>
      <c r="AJ231" s="3">
        <f>AI231</f>
        <v>9335</v>
      </c>
      <c r="AK231" s="3">
        <f>AJ231</f>
        <v>9335</v>
      </c>
      <c r="AL231" s="3">
        <f>AK231</f>
        <v>9335</v>
      </c>
      <c r="AM231" s="3">
        <f>AL231</f>
        <v>9335</v>
      </c>
      <c r="AN231" s="3">
        <f>AM231</f>
        <v>9335</v>
      </c>
      <c r="AO231" s="3">
        <f>AN231</f>
        <v>9335</v>
      </c>
      <c r="AP231" s="3">
        <f>AO231</f>
        <v>9335</v>
      </c>
      <c r="AQ231" s="3">
        <f>AP231</f>
        <v>9335</v>
      </c>
      <c r="AR231" s="3">
        <f>AQ231</f>
        <v>9335</v>
      </c>
      <c r="AS231" s="3">
        <f>AR231</f>
        <v>9335</v>
      </c>
      <c r="AT231" s="3">
        <f>AS231</f>
        <v>9335</v>
      </c>
      <c r="AU231" s="3">
        <f>AT231</f>
        <v>9335</v>
      </c>
      <c r="AV231" s="3">
        <f>AU231</f>
        <v>9335</v>
      </c>
      <c r="AW231" s="3">
        <f>AV231</f>
        <v>9335</v>
      </c>
      <c r="AX231" s="3">
        <f>AW231</f>
        <v>9335</v>
      </c>
      <c r="AY231" s="3">
        <f>AX231</f>
        <v>9335</v>
      </c>
      <c r="AZ231" s="3">
        <f>AY231</f>
        <v>9335</v>
      </c>
      <c r="BA231" s="3">
        <f>AZ231</f>
        <v>9335</v>
      </c>
      <c r="BB231" s="3">
        <f>BA231</f>
        <v>9335</v>
      </c>
      <c r="BC231" s="3">
        <f>BB231</f>
        <v>9335</v>
      </c>
      <c r="BD231" s="3">
        <f>BC231</f>
        <v>9335</v>
      </c>
      <c r="BE231" s="3">
        <f>BD231</f>
        <v>9335</v>
      </c>
      <c r="BF231" s="3">
        <f>BE231</f>
        <v>9335</v>
      </c>
      <c r="BG231" s="3">
        <f>BF231</f>
        <v>9335</v>
      </c>
      <c r="BH231" s="3">
        <f>BG231</f>
        <v>9335</v>
      </c>
      <c r="BI231" s="3">
        <f>BH231</f>
        <v>9335</v>
      </c>
      <c r="BJ231" s="3">
        <f>BI231</f>
        <v>9335</v>
      </c>
      <c r="BK231" s="3">
        <f>BJ231</f>
        <v>9335</v>
      </c>
      <c r="BL231" s="3">
        <f>BK231</f>
        <v>9335</v>
      </c>
      <c r="BM231" s="3">
        <f>BL231</f>
        <v>9335</v>
      </c>
      <c r="BN231" s="3">
        <f>BM231</f>
        <v>9335</v>
      </c>
      <c r="BO231" s="3">
        <f>BN231</f>
        <v>9335</v>
      </c>
      <c r="BP231" s="3">
        <f>BO231</f>
        <v>9335</v>
      </c>
      <c r="BQ231" s="3">
        <f>BP231</f>
        <v>9335</v>
      </c>
      <c r="BR231" s="3">
        <f>BQ231</f>
        <v>9335</v>
      </c>
      <c r="BS231" s="3">
        <f>BR231</f>
        <v>9335</v>
      </c>
      <c r="BT231" s="3">
        <f>BS231</f>
        <v>9335</v>
      </c>
      <c r="BU231" s="3">
        <f>BT231</f>
        <v>9335</v>
      </c>
      <c r="BV231" s="3">
        <f>BU231</f>
        <v>9335</v>
      </c>
      <c r="BW231" s="3">
        <f>BV231</f>
        <v>9335</v>
      </c>
      <c r="BX231" s="3">
        <f>BW231</f>
        <v>9335</v>
      </c>
      <c r="BY231" s="3">
        <f>BX231</f>
        <v>9335</v>
      </c>
      <c r="BZ231" s="3">
        <f>BY231</f>
        <v>9335</v>
      </c>
      <c r="CA231" s="3">
        <f>BZ231</f>
        <v>9335</v>
      </c>
      <c r="CB231" s="3">
        <f>CA231</f>
        <v>9335</v>
      </c>
      <c r="CC231" s="3">
        <f>CB231</f>
        <v>9335</v>
      </c>
      <c r="CD231" s="3">
        <f>CC231</f>
        <v>9335</v>
      </c>
      <c r="CE231" s="3">
        <f>CD231</f>
        <v>9335</v>
      </c>
      <c r="CF231" s="3">
        <f>CE231</f>
        <v>9335</v>
      </c>
      <c r="CG231" s="3">
        <f>CF231</f>
        <v>9335</v>
      </c>
      <c r="CH231" s="3">
        <f>CG231</f>
        <v>9335</v>
      </c>
      <c r="CI231" s="3">
        <f>CH231</f>
        <v>9335</v>
      </c>
      <c r="CJ231" s="3">
        <f>CI231</f>
        <v>9335</v>
      </c>
      <c r="CK231" s="3">
        <f>CJ231</f>
        <v>9335</v>
      </c>
      <c r="CL231" s="3">
        <f>CK231</f>
        <v>9335</v>
      </c>
      <c r="CM231" s="3">
        <f>CL231</f>
        <v>9335</v>
      </c>
      <c r="CN231" s="3">
        <f>CM231</f>
        <v>9335</v>
      </c>
      <c r="CO231" s="3">
        <f>CN231</f>
        <v>9335</v>
      </c>
      <c r="CP231" s="3">
        <f>CO231</f>
        <v>9335</v>
      </c>
      <c r="CQ231" s="3">
        <f>CP231</f>
        <v>9335</v>
      </c>
      <c r="CR231" s="3">
        <f>CQ231</f>
        <v>9335</v>
      </c>
      <c r="CS231" s="3">
        <f>CR231</f>
        <v>9335</v>
      </c>
      <c r="CT231" s="3">
        <f>CS231</f>
        <v>9335</v>
      </c>
      <c r="CU231" s="3">
        <f>CT231</f>
        <v>9335</v>
      </c>
      <c r="CV231" s="3">
        <f>CU231</f>
        <v>9335</v>
      </c>
      <c r="CW231" s="3">
        <f>CV231</f>
        <v>9335</v>
      </c>
      <c r="CX231" s="3">
        <f>CW231</f>
        <v>9335</v>
      </c>
      <c r="CY231" s="3">
        <f>CX231</f>
        <v>9335</v>
      </c>
    </row>
    <row r="232" hidden="1" outlineLevel="1" ht="12" customHeight="1">
      <c r="C232" s="38" t="inlineStr">
        <is>
          <t>%(Var.)</t>
        </is>
      </c>
      <c r="D232" s="3" t="n"/>
      <c r="E232" s="47">
        <f>(E231-D231)/D231</f>
        <v>0.00455275843599357</v>
      </c>
      <c r="F232" s="47">
        <f>(F231-E231)/E231</f>
        <v>0.00831778192482005</v>
      </c>
      <c r="G232" s="47">
        <f>(G231-F231)/F231</f>
        <v>0.00840780498122786</v>
      </c>
      <c r="H232" s="3" t="n"/>
      <c r="I232" s="47">
        <f>(I231-H231)/H231</f>
        <v>-0.0178290508652334</v>
      </c>
      <c r="J232" s="47">
        <f>(J231-I231)/I231</f>
        <v>-0.00363053924185798</v>
      </c>
      <c r="K232" s="47">
        <f>(K231-J231)/J231</f>
        <v>-0.168470689100847</v>
      </c>
      <c r="L232" s="47">
        <f>(L231-K231)/K231</f>
        <v>-0.0819048846500838</v>
      </c>
      <c r="M232" s="3" t="n"/>
      <c r="N232" s="47">
        <f>(N231-M231)/M231</f>
        <v>0.00484312486839335</v>
      </c>
      <c r="O232" s="47">
        <f>(O231-N231)/N231</f>
        <v>-0.14759709416038</v>
      </c>
      <c r="P232" s="47">
        <f>(P231-O231)/O231</f>
        <v>0.00278620011472589</v>
      </c>
      <c r="Q232" s="47">
        <f>(Q231-P231)/P231</f>
        <v>0.00498488191550217</v>
      </c>
      <c r="R232" s="3" t="n"/>
      <c r="S232" s="47">
        <f>(S231-R231)/R231</f>
        <v>0.0171572613433079</v>
      </c>
      <c r="T232" s="47">
        <f>(T231-S231)/S231</f>
        <v>0.0210248620992885</v>
      </c>
      <c r="U232" s="47">
        <f>(U231-T231)/T231</f>
        <v>0.0161290322580645</v>
      </c>
      <c r="V232" s="47">
        <f>(V231-U231)/U231</f>
        <v>-0.122129758052088</v>
      </c>
      <c r="W232" s="3" t="n"/>
      <c r="X232" s="47">
        <f>(X231-W231)/W231</f>
        <v>-0.00254542262792943</v>
      </c>
      <c r="Y232" s="47">
        <f>(Y231-X231)/X231</f>
        <v>-0.00624780007039775</v>
      </c>
      <c r="Z232" s="47">
        <f>(Z231-Y231)/Y231</f>
        <v>0.00336491631984415</v>
      </c>
      <c r="AA232" s="47">
        <f>(AA231-Z231)/Z231</f>
        <v>-0.0965492895596152</v>
      </c>
      <c r="AB232" s="3" t="n"/>
      <c r="AC232" s="47">
        <f>(AC231-AB231)/AB231</f>
        <v>-0.00967080199277132</v>
      </c>
      <c r="AD232" s="47">
        <f>(AD231-AC231)/AC231</f>
        <v>0.0516867232195699</v>
      </c>
      <c r="AE232" s="47">
        <f>(AE231-AD231)/AD231</f>
        <v>-0.00572125304820859</v>
      </c>
      <c r="AF232" s="230">
        <f>(AF231-AE231)/AE231</f>
        <v>-0.12725214602396</v>
      </c>
      <c r="AG232" s="3" t="n"/>
      <c r="AH232" s="230">
        <f>(AH231-AG231)/AG231</f>
        <v>-0.0131863380890618</v>
      </c>
      <c r="AI232" s="230">
        <f>(AI231-AH231)/AH231</f>
        <v>0.0224534501642935</v>
      </c>
      <c r="AJ232" s="230" t="n"/>
      <c r="AK232" s="230" t="n"/>
      <c r="AL232" s="3" t="n"/>
      <c r="AM232" s="230" t="n"/>
      <c r="AN232" s="230" t="n"/>
      <c r="AO232" s="230" t="n"/>
      <c r="AP232" s="230" t="n"/>
      <c r="AQ232" s="3" t="n"/>
      <c r="AR232" s="230" t="n"/>
      <c r="AS232" s="230" t="n"/>
      <c r="AT232" s="230" t="n"/>
      <c r="AU232" s="230" t="n"/>
      <c r="AV232" s="3" t="n"/>
      <c r="AW232" s="230" t="n"/>
      <c r="AX232" s="230" t="n"/>
      <c r="AY232" s="230" t="n"/>
      <c r="AZ232" s="230" t="n"/>
      <c r="BA232" s="3" t="n"/>
      <c r="BB232" s="230" t="n"/>
      <c r="BC232" s="230" t="n"/>
      <c r="BD232" s="230" t="n"/>
      <c r="BE232" s="230" t="n"/>
      <c r="BF232" s="3" t="n"/>
      <c r="BG232" s="230" t="n"/>
      <c r="BH232" s="230" t="n"/>
      <c r="BI232" s="230" t="n"/>
      <c r="BJ232" s="230" t="n"/>
      <c r="BK232" s="3" t="n"/>
      <c r="BL232" s="230" t="n"/>
      <c r="BM232" s="230" t="n"/>
      <c r="BN232" s="230" t="n"/>
      <c r="BO232" s="230" t="n"/>
      <c r="BP232" s="3" t="n"/>
      <c r="BQ232" s="230" t="n"/>
      <c r="BR232" s="230" t="n"/>
      <c r="BS232" s="230" t="n"/>
      <c r="BT232" s="230" t="n"/>
      <c r="BU232" s="3" t="n"/>
      <c r="BV232" s="230" t="n"/>
      <c r="BW232" s="230" t="n"/>
      <c r="BX232" s="230" t="n"/>
      <c r="BY232" s="230" t="n"/>
      <c r="BZ232" s="3" t="n"/>
      <c r="CA232" s="230" t="n"/>
      <c r="CB232" s="230" t="n"/>
      <c r="CC232" s="230" t="n"/>
      <c r="CD232" s="230" t="n"/>
      <c r="CE232" s="3" t="n"/>
      <c r="CF232" s="230" t="n"/>
      <c r="CG232" s="230" t="n"/>
      <c r="CH232" s="230" t="n"/>
      <c r="CI232" s="230" t="n"/>
      <c r="CJ232" s="3" t="n"/>
      <c r="CK232" s="230" t="n"/>
      <c r="CL232" s="230" t="n"/>
      <c r="CM232" s="230" t="n"/>
      <c r="CN232" s="230" t="n"/>
      <c r="CO232" s="3" t="n"/>
      <c r="CP232" s="230" t="n"/>
      <c r="CQ232" s="230" t="n"/>
      <c r="CR232" s="230" t="n"/>
      <c r="CS232" s="230" t="n"/>
      <c r="CT232" s="3" t="n"/>
      <c r="CU232" s="230" t="n"/>
      <c r="CV232" s="230" t="n"/>
      <c r="CW232" s="230" t="n"/>
      <c r="CX232" s="230" t="n"/>
      <c r="CY232" s="3" t="n"/>
    </row>
    <row r="233" hidden="1" outlineLevel="1" ht="12" customHeight="1">
      <c r="C233" s="38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  <c r="CU233" s="3" t="n"/>
      <c r="CV233" s="3" t="n"/>
      <c r="CW233" s="3" t="n"/>
      <c r="CX233" s="3" t="n"/>
      <c r="CY233" s="3" t="n"/>
    </row>
    <row r="234" hidden="1" outlineLevel="1">
      <c r="C234" s="34" t="inlineStr">
        <is>
          <t>Contas a pagar pela aquisição de controladas</t>
        </is>
      </c>
      <c r="D234" s="6" t="n"/>
      <c r="E234" s="6" t="n"/>
      <c r="F234" s="6" t="n"/>
      <c r="G234" s="6" t="n"/>
      <c r="H234" s="3" t="n"/>
      <c r="I234" s="6" t="n"/>
      <c r="J234" s="6" t="n"/>
      <c r="K234" s="6" t="n"/>
      <c r="L234" s="6" t="n"/>
      <c r="M234" s="3" t="n"/>
      <c r="N234" s="6" t="n"/>
      <c r="O234" s="6" t="n"/>
      <c r="P234" s="6" t="n"/>
      <c r="Q234" s="6" t="n"/>
      <c r="R234" s="3" t="n"/>
      <c r="S234" s="6" t="n"/>
      <c r="T234" s="6" t="n"/>
      <c r="U234" s="6" t="n"/>
      <c r="V234" s="6" t="n"/>
      <c r="W234" s="3" t="n"/>
      <c r="X234" s="6" t="n"/>
      <c r="Y234" s="6" t="n"/>
      <c r="Z234" s="6" t="n"/>
      <c r="AA234" s="6" t="n"/>
      <c r="AB234" s="3" t="n"/>
      <c r="AC234" s="6" t="n"/>
      <c r="AD234" s="6" t="n"/>
      <c r="AE234" s="6" t="n"/>
      <c r="AF234" s="6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n"/>
      <c r="CC234" s="3" t="n"/>
      <c r="CD234" s="3" t="n"/>
      <c r="CE234" s="3" t="n"/>
      <c r="CF234" s="3" t="n"/>
      <c r="CG234" s="3" t="n"/>
      <c r="CH234" s="3" t="n"/>
      <c r="CI234" s="3" t="n"/>
      <c r="CJ234" s="3" t="n"/>
      <c r="CK234" s="3" t="n"/>
      <c r="CL234" s="3" t="n"/>
      <c r="CM234" s="3" t="n"/>
      <c r="CN234" s="3" t="n"/>
      <c r="CO234" s="3" t="n"/>
      <c r="CP234" s="3" t="n"/>
      <c r="CQ234" s="3" t="n"/>
      <c r="CR234" s="3" t="n"/>
      <c r="CS234" s="3" t="n"/>
      <c r="CT234" s="3" t="n"/>
      <c r="CU234" s="3" t="n"/>
      <c r="CV234" s="3" t="n"/>
      <c r="CW234" s="3" t="n"/>
      <c r="CX234" s="3" t="n"/>
      <c r="CY234" s="3" t="n"/>
    </row>
    <row r="235" hidden="1" outlineLevel="1">
      <c r="C235" s="34" t="inlineStr">
        <is>
          <t xml:space="preserve">Outras Obrigações </t>
        </is>
      </c>
      <c r="D235" s="6" t="n"/>
      <c r="E235" s="6" t="n"/>
      <c r="F235" s="6" t="n"/>
      <c r="G235" s="6" t="n"/>
      <c r="H235" s="3" t="n"/>
      <c r="I235" s="6" t="n"/>
      <c r="J235" s="6" t="n"/>
      <c r="K235" s="6" t="n"/>
      <c r="L235" s="6" t="n"/>
      <c r="M235" s="3" t="n"/>
      <c r="N235" s="6" t="n"/>
      <c r="O235" s="6" t="n"/>
      <c r="P235" s="6" t="n"/>
      <c r="Q235" s="6" t="n"/>
      <c r="R235" s="3" t="n"/>
      <c r="S235" s="6" t="n"/>
      <c r="T235" s="6" t="n"/>
      <c r="U235" s="6" t="n"/>
      <c r="V235" s="6" t="n"/>
      <c r="W235" s="3" t="n"/>
      <c r="X235" s="6" t="n"/>
      <c r="Y235" s="6" t="n"/>
      <c r="Z235" s="6" t="n"/>
      <c r="AA235" s="6" t="n"/>
      <c r="AB235" s="3" t="n"/>
      <c r="AC235" s="6" t="n"/>
      <c r="AD235" s="6" t="n"/>
      <c r="AE235" s="6" t="n"/>
      <c r="AF235" s="6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n"/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/>
      <c r="CB235" s="3" t="n"/>
      <c r="CC235" s="3" t="n"/>
      <c r="CD235" s="3" t="n"/>
      <c r="CE235" s="3" t="n"/>
      <c r="CF235" s="3" t="n"/>
      <c r="CG235" s="3" t="n"/>
      <c r="CH235" s="3" t="n"/>
      <c r="CI235" s="3" t="n"/>
      <c r="CJ235" s="3" t="n"/>
      <c r="CK235" s="3" t="n"/>
      <c r="CL235" s="3" t="n"/>
      <c r="CM235" s="3" t="n"/>
      <c r="CN235" s="3" t="n"/>
      <c r="CO235" s="3" t="n"/>
      <c r="CP235" s="3" t="n"/>
      <c r="CQ235" s="3" t="n"/>
      <c r="CR235" s="3" t="n"/>
      <c r="CS235" s="3" t="n"/>
      <c r="CT235" s="3" t="n"/>
      <c r="CU235" s="3" t="n"/>
      <c r="CV235" s="3" t="n"/>
      <c r="CW235" s="3" t="n"/>
      <c r="CX235" s="3" t="n"/>
      <c r="CY235" s="3" t="n"/>
    </row>
    <row r="236" hidden="1" outlineLevel="1">
      <c r="C236" s="34" t="inlineStr">
        <is>
          <t xml:space="preserve">Provisão de Risco Cíveis, Trabalhistas e Tributários </t>
        </is>
      </c>
      <c r="D236" s="6" t="n"/>
      <c r="E236" s="6" t="n"/>
      <c r="F236" s="6" t="n"/>
      <c r="G236" s="6" t="n"/>
      <c r="H236" s="3" t="n"/>
      <c r="I236" s="6" t="n"/>
      <c r="J236" s="6" t="n"/>
      <c r="K236" s="6" t="n"/>
      <c r="L236" s="6" t="n"/>
      <c r="M236" s="3" t="n"/>
      <c r="N236" s="6" t="n"/>
      <c r="O236" s="6" t="n"/>
      <c r="P236" s="6" t="n"/>
      <c r="Q236" s="6" t="n"/>
      <c r="R236" s="3" t="n"/>
      <c r="S236" s="6" t="n"/>
      <c r="T236" s="6" t="n"/>
      <c r="U236" s="6" t="n"/>
      <c r="V236" s="6" t="n"/>
      <c r="W236" s="3" t="n"/>
      <c r="X236" s="6" t="n"/>
      <c r="Y236" s="6" t="n"/>
      <c r="Z236" s="6" t="n"/>
      <c r="AA236" s="6" t="n"/>
      <c r="AB236" s="3" t="n"/>
      <c r="AC236" s="6" t="n"/>
      <c r="AD236" s="6" t="n"/>
      <c r="AE236" s="6" t="n"/>
      <c r="AF236" s="6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hidden="1" outlineLevel="1">
      <c r="C237" s="34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  <c r="CU237" s="3" t="n"/>
      <c r="CV237" s="3" t="n"/>
      <c r="CW237" s="3" t="n"/>
      <c r="CX237" s="3" t="n"/>
      <c r="CY237" s="3" t="n"/>
    </row>
    <row r="238" collapsed="1" customFormat="1" s="17">
      <c r="A238" s="13" t="n"/>
      <c r="B238" s="13" t="n"/>
      <c r="C238" s="27" t="inlineStr">
        <is>
          <t>Total Liabilities</t>
        </is>
      </c>
      <c r="D238" s="16">
        <f>SUM(D189+D193+D195+D196+D203+D204+D205+D208+D226+D229+D230+D231)</f>
        <v>45761</v>
      </c>
      <c r="E238" s="16">
        <f>SUM(E189+E193+E195+E196+E203+E204+E205+E208+E226+E229+E230+E231)</f>
        <v>45817</v>
      </c>
      <c r="F238" s="16">
        <f>SUM(F189+F193+F195+F196+F203+F204+F205+F208+F226+F229+F230+F231)</f>
        <v>45787</v>
      </c>
      <c r="G238" s="16">
        <f>SUM(G189+G193+G195+G196+G203+G204+G205+G208+G226+G229+G230+G231)</f>
        <v>44672</v>
      </c>
      <c r="H238" s="16">
        <f>SUM(H189,H193,H195,H196,H203,H204,H208,H205,H226,H229,H230,H231)</f>
        <v>44672</v>
      </c>
      <c r="I238" s="16">
        <f>SUM(I189+I193+I195+I196+I203+I204+I205+I208+I226+I229+I230+I231)</f>
        <v>45104</v>
      </c>
      <c r="J238" s="16">
        <f>SUM(J189+J193+J195+J196+J203+J204+J205+J208+J226+J229+J230+J231)</f>
        <v>45569</v>
      </c>
      <c r="K238" s="16">
        <f>SUM(K189+K193+K195+K196+K203+K204+K205+K208+K226+K229+K230+K231)</f>
        <v>42212</v>
      </c>
      <c r="L238" s="16">
        <f>SUM(L189+L193+L195+L196+L203+L204+L205+L208+L226+L229+L230+L231)</f>
        <v>39914</v>
      </c>
      <c r="M238" s="16">
        <f>SUM(M189,M193,M195,M196,M203,M204,M208,M205,M226,M229,M230,M231)</f>
        <v>39914</v>
      </c>
      <c r="N238" s="16">
        <f>SUM(N189+N193+N195+N196+N203+N204+N205+N208+N226+N229+N230+N231)</f>
        <v>41508</v>
      </c>
      <c r="O238" s="16">
        <f>SUM(O189+O193+O195+O196+O203+O204+O205+O208+O226+O229+O230+O231)</f>
        <v>40326</v>
      </c>
      <c r="P238" s="16">
        <f>SUM(P189+P193+P195+P196+P203+P204+P205+P208+P226+P229+P230+P231)</f>
        <v>40064</v>
      </c>
      <c r="Q238" s="16">
        <f>SUM(Q189+Q193+Q195+Q196+Q203+Q204+Q205+Q208+Q226+Q229+Q230+Q231)</f>
        <v>43614</v>
      </c>
      <c r="R238" s="16">
        <f>SUM(R189,R193,R195,R196,R203,R204,R208,R205,R226,R229,R230,R231)</f>
        <v>43614</v>
      </c>
      <c r="S238" s="16">
        <f>SUM(S189+S193+S195+S196+S203+S204+S205+S208+S226+S229+S230+S231)</f>
        <v>44976</v>
      </c>
      <c r="T238" s="16">
        <f>SUM(T189+T193+T195+T196+T203+T204+T205+T208+T226+T229+T230+T231)</f>
        <v>47738</v>
      </c>
      <c r="U238" s="16">
        <f>SUM(U189+U193+U195+U196+U203+U204+U205+U208+U226+U229+U230+U231)</f>
        <v>47392</v>
      </c>
      <c r="V238" s="16">
        <f>SUM(V189+V193+V195+V196+V203+V204+V205+V208+V226+V229+V230+V231)</f>
        <v>45621</v>
      </c>
      <c r="W238" s="16">
        <f>SUM(W189,W193,W195,W196,W203,W204,W208,W205,W226,W229,W230,W231)</f>
        <v>45621</v>
      </c>
      <c r="X238" s="16">
        <f>SUM(X189+X193+X195+X196+X203+X204+X205+X208+X226+X229+X230+X231)</f>
        <v>48313</v>
      </c>
      <c r="Y238" s="16">
        <f>SUM(Y189+Y193+Y195+Y196+Y203+Y204+Y205+Y208+Y226+Y229+Y230+Y231)</f>
        <v>48901</v>
      </c>
      <c r="Z238" s="16">
        <f>SUM(Z189+Z193+Z195+Z196+Z203+Z204+Z205+Z208+Z226+Z229+Z230+Z231)</f>
        <v>48320</v>
      </c>
      <c r="AA238" s="16">
        <f>SUM(AA189+AA193+AA195+AA196+AA203+AA204+AA205+AA208+AA226+AA229+AA230+AA231)</f>
        <v>49284</v>
      </c>
      <c r="AB238" s="16">
        <f>SUM(AB189,AB193,AB195,AB196,AB203,AB204,AB208,AB205,AB226,AB229,AB230,AB231)</f>
        <v>49284</v>
      </c>
      <c r="AC238" s="16">
        <f>SUM(AC189+AC193+AC195+AC196+AC203+AC204+AC205+AC208+AC226+AC229+AC230+AC231)</f>
        <v>49986</v>
      </c>
      <c r="AD238" s="16">
        <f>SUM(AD189+AD193+AD195+AD196+AD203+AD204+AD205+AD208+AD226+AD229+AD230+AD231)</f>
        <v>53536</v>
      </c>
      <c r="AE238" s="16">
        <f>SUM(AE189+AE193+AE195+AE196+AE203+AE204+AE205+AE208+AE226+AE229+AE230+AE231)</f>
        <v>54095</v>
      </c>
      <c r="AF238" s="16">
        <f>SUM(AF189+AF193+AF195+AF196+AF203+AF204+AF205+AF208+AF226+AF229+AF230+AF231)</f>
        <v>53119</v>
      </c>
      <c r="AG238" s="16">
        <f>SUM(AG189,AG193,AG195,AG196,AG203,AG204,AG208,AG205,AG226,AG229,AG230,AG231)</f>
        <v>53119</v>
      </c>
      <c r="AH238" s="16">
        <f>SUM(AH189+AH193+AH195+AH196+AH203+AH204+AH205+AH208+AH226+AH229+AH230+AH231)</f>
        <v>51749</v>
      </c>
      <c r="AI238" s="16">
        <f>SUM(AI189+AI193+AI195+AI196+AI203+AI204+AI205+AI208+AI226+AI229+AI230+AI231)</f>
        <v>53682</v>
      </c>
      <c r="AJ238" s="16">
        <f>SUM(AJ189+AJ193+AJ195+AJ196+AJ203+AJ204+AJ205+AJ208+AJ226+AJ229+AJ230+AJ231)</f>
        <v>45764</v>
      </c>
      <c r="AK238" s="16">
        <f>SUM(AK189+AK193+AK195+AK196+AK203+AK204+AK205+AK208+AK226+AK229+AK230+AK231)</f>
        <v>45764</v>
      </c>
      <c r="AL238" s="16">
        <f>SUM(AL189,AL193,AL195,AL196,AL203,AL204,AL208,AL205,AL226,AL229,AL230,AL231)</f>
        <v>45764</v>
      </c>
      <c r="AM238" s="16" t="e">
        <f>SUM(AM189+AM193+AM195+AM196+AM203+AM204+AM205+AM208+AM226+AM229+AM230+AM231)</f>
        <v>#DIV/0!</v>
      </c>
      <c r="AN238" s="16">
        <f>SUM(AN189+AN193+AN195+AN196+AN203+AN204+AN205+AN208+AN226+AN229+AN230+AN231)</f>
        <v>45764</v>
      </c>
      <c r="AO238" s="16" t="e">
        <f>SUM(AO189+AO193+AO195+AO196+AO203+AO204+AO205+AO208+AO226+AO229+AO230+AO231)</f>
        <v>#DIV/0!</v>
      </c>
      <c r="AP238" s="16" t="e">
        <f>SUM(AP189+AP193+AP195+AP196+AP203+AP204+AP205+AP208+AP226+AP229+AP230+AP231)</f>
        <v>#DIV/0!</v>
      </c>
      <c r="AQ238" s="16" t="e">
        <f>SUM(AQ189,AQ193,AQ195,AQ196,AQ203,AQ204,AQ208,AQ205,AQ226,AQ229,AQ230,AQ231)</f>
        <v>#DIV/0!</v>
      </c>
      <c r="AR238" s="16" t="e">
        <f>SUM(AR189+AR193+AR195+AR196+AR203+AR204+AR205+AR208+AR226+AR229+AR230+AR231)</f>
        <v>#DIV/0!</v>
      </c>
      <c r="AS238" s="16" t="e">
        <f>SUM(AS189+AS193+AS195+AS196+AS203+AS204+AS205+AS208+AS226+AS229+AS230+AS231)</f>
        <v>#DIV/0!</v>
      </c>
      <c r="AT238" s="16" t="e">
        <f>SUM(AT189+AT193+AT195+AT196+AT203+AT204+AT205+AT208+AT226+AT229+AT230+AT231)</f>
        <v>#DIV/0!</v>
      </c>
      <c r="AU238" s="16" t="e">
        <f>SUM(AU189+AU193+AU195+AU196+AU203+AU204+AU205+AU208+AU226+AU229+AU230+AU231)</f>
        <v>#DIV/0!</v>
      </c>
      <c r="AV238" s="16" t="e">
        <f>SUM(AV189,AV193,AV195,AV196,AV203,AV204,AV208,AV205,AV226,AV229,AV230,AV231)</f>
        <v>#DIV/0!</v>
      </c>
      <c r="AW238" s="16" t="e">
        <f>SUM(AW189+AW193+AW195+AW196+AW203+AW204+AW205+AW208+AW226+AW229+AW230+AW231)</f>
        <v>#DIV/0!</v>
      </c>
      <c r="AX238" s="16" t="e">
        <f>SUM(AX189+AX193+AX195+AX196+AX203+AX204+AX205+AX208+AX226+AX229+AX230+AX231)</f>
        <v>#DIV/0!</v>
      </c>
      <c r="AY238" s="16" t="e">
        <f>SUM(AY189+AY193+AY195+AY196+AY203+AY204+AY205+AY208+AY226+AY229+AY230+AY231)</f>
        <v>#DIV/0!</v>
      </c>
      <c r="AZ238" s="16" t="e">
        <f>SUM(AZ189+AZ193+AZ195+AZ196+AZ203+AZ204+AZ205+AZ208+AZ226+AZ229+AZ230+AZ231)</f>
        <v>#DIV/0!</v>
      </c>
      <c r="BA238" s="16" t="e">
        <f>SUM(BA189,BA193,BA195,BA196,BA203,BA204,BA208,BA205,BA226,BA229,BA230,BA231)</f>
        <v>#DIV/0!</v>
      </c>
      <c r="BB238" s="16" t="e">
        <f>SUM(BB189+BB193+BB195+BB196+BB203+BB204+BB205+BB208+BB226+BB229+BB230+BB231)</f>
        <v>#DIV/0!</v>
      </c>
      <c r="BC238" s="16" t="e">
        <f>SUM(BC189+BC193+BC195+BC196+BC203+BC204+BC205+BC208+BC226+BC229+BC230+BC231)</f>
        <v>#DIV/0!</v>
      </c>
      <c r="BD238" s="16" t="e">
        <f>SUM(BD189+BD193+BD195+BD196+BD203+BD204+BD205+BD208+BD226+BD229+BD230+BD231)</f>
        <v>#DIV/0!</v>
      </c>
      <c r="BE238" s="16" t="e">
        <f>SUM(BE189+BE193+BE195+BE196+BE203+BE204+BE205+BE208+BE226+BE229+BE230+BE231)</f>
        <v>#DIV/0!</v>
      </c>
      <c r="BF238" s="16" t="e">
        <f>SUM(BF189,BF193,BF195,BF196,BF203,BF204,BF208,BF205,BF226,BF229,BF230,BF231)</f>
        <v>#DIV/0!</v>
      </c>
      <c r="BG238" s="16" t="e">
        <f>SUM(BG189+BG193+BG195+BG196+BG203+BG204+BG205+BG208+BG226+BG229+BG230+BG231)</f>
        <v>#DIV/0!</v>
      </c>
      <c r="BH238" s="16" t="e">
        <f>SUM(BH189+BH193+BH195+BH196+BH203+BH204+BH205+BH208+BH226+BH229+BH230+BH231)</f>
        <v>#DIV/0!</v>
      </c>
      <c r="BI238" s="16" t="e">
        <f>SUM(BI189+BI193+BI195+BI196+BI203+BI204+BI205+BI208+BI226+BI229+BI230+BI231)</f>
        <v>#DIV/0!</v>
      </c>
      <c r="BJ238" s="16" t="e">
        <f>SUM(BJ189+BJ193+BJ195+BJ196+BJ203+BJ204+BJ205+BJ208+BJ226+BJ229+BJ230+BJ231)</f>
        <v>#DIV/0!</v>
      </c>
      <c r="BK238" s="16" t="e">
        <f>SUM(BK189,BK193,BK195,BK196,BK203,BK204,BK208,BK205,BK226,BK229,BK230,BK231)</f>
        <v>#DIV/0!</v>
      </c>
      <c r="BL238" s="16" t="e">
        <f>SUM(BL189+BL193+BL195+BL196+BL203+BL204+BL205+BL208+BL226+BL229+BL230+BL231)</f>
        <v>#DIV/0!</v>
      </c>
      <c r="BM238" s="16" t="e">
        <f>SUM(BM189+BM193+BM195+BM196+BM203+BM204+BM205+BM208+BM226+BM229+BM230+BM231)</f>
        <v>#DIV/0!</v>
      </c>
      <c r="BN238" s="16" t="e">
        <f>SUM(BN189+BN193+BN195+BN196+BN203+BN204+BN205+BN208+BN226+BN229+BN230+BN231)</f>
        <v>#DIV/0!</v>
      </c>
      <c r="BO238" s="16" t="e">
        <f>SUM(BO189+BO193+BO195+BO196+BO203+BO204+BO205+BO208+BO226+BO229+BO230+BO231)</f>
        <v>#DIV/0!</v>
      </c>
      <c r="BP238" s="16" t="e">
        <f>SUM(BP189,BP193,BP195,BP196,BP203,BP204,BP208,BP205,BP226,BP229,BP230,BP231)</f>
        <v>#DIV/0!</v>
      </c>
      <c r="BQ238" s="16" t="e">
        <f>SUM(BQ189+BQ193+BQ195+BQ196+BQ203+BQ204+BQ205+BQ208+BQ226+BQ229+BQ230+BQ231)</f>
        <v>#DIV/0!</v>
      </c>
      <c r="BR238" s="16" t="e">
        <f>SUM(BR189+BR193+BR195+BR196+BR203+BR204+BR205+BR208+BR226+BR229+BR230+BR231)</f>
        <v>#DIV/0!</v>
      </c>
      <c r="BS238" s="16" t="e">
        <f>SUM(BS189+BS193+BS195+BS196+BS203+BS204+BS205+BS208+BS226+BS229+BS230+BS231)</f>
        <v>#DIV/0!</v>
      </c>
      <c r="BT238" s="16" t="e">
        <f>SUM(BT189+BT193+BT195+BT196+BT203+BT204+BT205+BT208+BT226+BT229+BT230+BT231)</f>
        <v>#DIV/0!</v>
      </c>
      <c r="BU238" s="16" t="e">
        <f>SUM(BU189,BU193,BU195,BU196,BU203,BU204,BU208,BU205,BU226,BU229,BU230,BU231)</f>
        <v>#DIV/0!</v>
      </c>
      <c r="BV238" s="16" t="e">
        <f>SUM(BV189+BV193+BV195+BV196+BV203+BV204+BV205+BV208+BV226+BV229+BV230+BV231)</f>
        <v>#DIV/0!</v>
      </c>
      <c r="BW238" s="16" t="e">
        <f>SUM(BW189+BW193+BW195+BW196+BW203+BW204+BW205+BW208+BW226+BW229+BW230+BW231)</f>
        <v>#DIV/0!</v>
      </c>
      <c r="BX238" s="16" t="e">
        <f>SUM(BX189+BX193+BX195+BX196+BX203+BX204+BX205+BX208+BX226+BX229+BX230+BX231)</f>
        <v>#DIV/0!</v>
      </c>
      <c r="BY238" s="16" t="e">
        <f>SUM(BY189+BY193+BY195+BY196+BY203+BY204+BY205+BY208+BY226+BY229+BY230+BY231)</f>
        <v>#DIV/0!</v>
      </c>
      <c r="BZ238" s="16" t="e">
        <f>SUM(BZ189,BZ193,BZ195,BZ196,BZ203,BZ204,BZ208,BZ205,BZ226,BZ229,BZ230,BZ231)</f>
        <v>#DIV/0!</v>
      </c>
      <c r="CA238" s="16" t="e">
        <f>SUM(CA189+CA193+CA195+CA196+CA203+CA204+CA205+CA208+CA226+CA229+CA230+CA231)</f>
        <v>#DIV/0!</v>
      </c>
      <c r="CB238" s="16" t="e">
        <f>SUM(CB189+CB193+CB195+CB196+CB203+CB204+CB205+CB208+CB226+CB229+CB230+CB231)</f>
        <v>#DIV/0!</v>
      </c>
      <c r="CC238" s="16" t="e">
        <f>SUM(CC189+CC193+CC195+CC196+CC203+CC204+CC205+CC208+CC226+CC229+CC230+CC231)</f>
        <v>#DIV/0!</v>
      </c>
      <c r="CD238" s="16" t="e">
        <f>SUM(CD189+CD193+CD195+CD196+CD203+CD204+CD205+CD208+CD226+CD229+CD230+CD231)</f>
        <v>#DIV/0!</v>
      </c>
      <c r="CE238" s="16" t="e">
        <f>SUM(CE189,CE193,CE195,CE196,CE203,CE204,CE208,CE205,CE226,CE229,CE230,CE231)</f>
        <v>#DIV/0!</v>
      </c>
      <c r="CF238" s="16" t="e">
        <f>SUM(CF189+CF193+CF195+CF196+CF203+CF204+CF205+CF208+CF226+CF229+CF230+CF231)</f>
        <v>#DIV/0!</v>
      </c>
      <c r="CG238" s="16" t="e">
        <f>SUM(CG189+CG193+CG195+CG196+CG203+CG204+CG205+CG208+CG226+CG229+CG230+CG231)</f>
        <v>#DIV/0!</v>
      </c>
      <c r="CH238" s="16" t="e">
        <f>SUM(CH189+CH193+CH195+CH196+CH203+CH204+CH205+CH208+CH226+CH229+CH230+CH231)</f>
        <v>#DIV/0!</v>
      </c>
      <c r="CI238" s="16" t="e">
        <f>SUM(CI189+CI193+CI195+CI196+CI203+CI204+CI205+CI208+CI226+CI229+CI230+CI231)</f>
        <v>#DIV/0!</v>
      </c>
      <c r="CJ238" s="16" t="e">
        <f>SUM(CJ189,CJ193,CJ195,CJ196,CJ203,CJ204,CJ208,CJ205,CJ226,CJ229,CJ230,CJ231)</f>
        <v>#DIV/0!</v>
      </c>
      <c r="CK238" s="16" t="e">
        <f>SUM(CK189+CK193+CK195+CK196+CK203+CK204+CK205+CK208+CK226+CK229+CK230+CK231)</f>
        <v>#DIV/0!</v>
      </c>
      <c r="CL238" s="16" t="e">
        <f>SUM(CL189+CL193+CL195+CL196+CL203+CL204+CL205+CL208+CL226+CL229+CL230+CL231)</f>
        <v>#DIV/0!</v>
      </c>
      <c r="CM238" s="16" t="e">
        <f>SUM(CM189+CM193+CM195+CM196+CM203+CM204+CM205+CM208+CM226+CM229+CM230+CM231)</f>
        <v>#DIV/0!</v>
      </c>
      <c r="CN238" s="16" t="e">
        <f>SUM(CN189+CN193+CN195+CN196+CN203+CN204+CN205+CN208+CN226+CN229+CN230+CN231)</f>
        <v>#DIV/0!</v>
      </c>
      <c r="CO238" s="16" t="e">
        <f>SUM(CO189,CO193,CO195,CO196,CO203,CO204,CO208,CO205,CO226,CO229,CO230,CO231)</f>
        <v>#DIV/0!</v>
      </c>
      <c r="CP238" s="16" t="e">
        <f>SUM(CP189+CP193+CP195+CP196+CP203+CP204+CP205+CP208+CP226+CP229+CP230+CP231)</f>
        <v>#DIV/0!</v>
      </c>
      <c r="CQ238" s="16" t="e">
        <f>SUM(CQ189+CQ193+CQ195+CQ196+CQ203+CQ204+CQ205+CQ208+CQ226+CQ229+CQ230+CQ231)</f>
        <v>#DIV/0!</v>
      </c>
      <c r="CR238" s="16" t="e">
        <f>SUM(CR189+CR193+CR195+CR196+CR203+CR204+CR205+CR208+CR226+CR229+CR230+CR231)</f>
        <v>#DIV/0!</v>
      </c>
      <c r="CS238" s="16" t="e">
        <f>SUM(CS189+CS193+CS195+CS196+CS203+CS204+CS205+CS208+CS226+CS229+CS230+CS231)</f>
        <v>#DIV/0!</v>
      </c>
      <c r="CT238" s="16" t="e">
        <f>SUM(CT189,CT193,CT195,CT196,CT203,CT204,CT208,CT205,CT226,CT229,CT230,CT231)</f>
        <v>#DIV/0!</v>
      </c>
      <c r="CU238" s="16" t="e">
        <f>SUM(CU189+CU193+CU195+CU196+CU203+CU204+CU205+CU208+CU226+CU229+CU230+CU231)</f>
        <v>#DIV/0!</v>
      </c>
      <c r="CV238" s="16" t="e">
        <f>SUM(CV189+CV193+CV195+CV196+CV203+CV204+CV205+CV208+CV226+CV229+CV230+CV231)</f>
        <v>#DIV/0!</v>
      </c>
      <c r="CW238" s="16" t="e">
        <f>SUM(CW189+CW193+CW195+CW196+CW203+CW204+CW205+CW208+CW226+CW229+CW230+CW231)</f>
        <v>#DIV/0!</v>
      </c>
      <c r="CX238" s="16" t="e">
        <f>SUM(CX189+CX193+CX195+CX196+CX203+CX204+CX205+CX208+CX226+CX229+CX230+CX231)</f>
        <v>#DIV/0!</v>
      </c>
      <c r="CY238" s="16" t="e">
        <f>SUM(CY189,CY193,CY195,CY196,CY203,CY204,CY208,CY205,CY226,CY229,CY230,CY231)</f>
        <v>#DIV/0!</v>
      </c>
    </row>
    <row r="239">
      <c r="C239" s="26" t="inlineStr">
        <is>
          <t>Minority interest</t>
        </is>
      </c>
      <c r="D239" s="25">
        <f>INDEX('Inputs (2)'!$D$41:$AL$41,MATCH(D$7,'Inputs (2)'!$D$2:$AL$2,0))</f>
        <v>41</v>
      </c>
      <c r="E239" s="25">
        <f>INDEX('Inputs (2)'!$D$41:$AL$41,MATCH(E$7,'Inputs (2)'!$D$2:$AL$2,0))</f>
        <v>35</v>
      </c>
      <c r="F239" s="25">
        <f>INDEX('Inputs (2)'!$D$41:$AL$41,MATCH(F$7,'Inputs (2)'!$D$2:$AL$2,0))</f>
        <v>33</v>
      </c>
      <c r="G239" s="25">
        <f>INDEX('Inputs (2)'!$D$41:$AL$41,MATCH(G$7,'Inputs (2)'!$D$2:$AL$2,0))</f>
        <v>23</v>
      </c>
      <c r="H239" s="3">
        <f>G239</f>
        <v>23</v>
      </c>
      <c r="I239" s="25">
        <f>INDEX('Inputs (2)'!$D$41:$AL$41,MATCH(I$7,'Inputs (2)'!$D$2:$AL$2,0))</f>
        <v>21</v>
      </c>
      <c r="J239" s="25">
        <f>INDEX('Inputs (2)'!$D$41:$AL$41,MATCH(J$7,'Inputs (2)'!$D$2:$AL$2,0))</f>
        <v>8</v>
      </c>
      <c r="K239" s="25">
        <f>INDEX('Inputs (2)'!$D$41:$AL$41,MATCH(K$7,'Inputs (2)'!$D$2:$AL$2,0))</f>
        <v>0</v>
      </c>
      <c r="L239" s="25">
        <f>INDEX('Inputs (2)'!$D$41:$AL$41,MATCH(L$7,'Inputs (2)'!$D$2:$AL$2,0))</f>
        <v>0</v>
      </c>
      <c r="M239" s="3">
        <f>L239</f>
        <v>0</v>
      </c>
      <c r="N239" s="25">
        <f>INDEX('Inputs (2)'!$D$41:$AL$41,MATCH(N$7,'Inputs (2)'!$D$2:$AL$2,0))</f>
        <v>0</v>
      </c>
      <c r="O239" s="25">
        <f>INDEX('Inputs (2)'!$D$41:$AL$41,MATCH(O$7,'Inputs (2)'!$D$2:$AL$2,0))</f>
        <v>0</v>
      </c>
      <c r="P239" s="25">
        <f>INDEX('Inputs (2)'!$D$41:$AL$41,MATCH(P$7,'Inputs (2)'!$D$2:$AL$2,0))</f>
        <v>0</v>
      </c>
      <c r="Q239" s="25">
        <f>INDEX('Inputs (2)'!$D$41:$AL$41,MATCH(Q$7,'Inputs (2)'!$D$2:$AL$2,0))</f>
        <v>0</v>
      </c>
      <c r="R239" s="3">
        <f>Q239</f>
        <v>0</v>
      </c>
      <c r="S239" s="25">
        <f>INDEX('Inputs (2)'!$D$41:$AL$41,MATCH(S$7,'Inputs (2)'!$D$2:$AL$2,0))</f>
        <v>0</v>
      </c>
      <c r="T239" s="25">
        <f>INDEX('Inputs (2)'!$D$41:$AL$41,MATCH(T$7,'Inputs (2)'!$D$2:$AL$2,0))</f>
        <v>0</v>
      </c>
      <c r="U239" s="25">
        <f>INDEX('Inputs (2)'!$D$41:$AL$41,MATCH(U$7,'Inputs (2)'!$D$2:$AL$2,0))</f>
        <v>0</v>
      </c>
      <c r="V239" s="25">
        <f>INDEX('Inputs (2)'!$D$41:$AL$41,MATCH(V$7,'Inputs (2)'!$D$2:$AL$2,0))</f>
        <v>0</v>
      </c>
      <c r="W239" s="3">
        <f>V239</f>
        <v>0</v>
      </c>
      <c r="X239" s="25">
        <f>INDEX('Inputs (2)'!$D$41:$AL$41,MATCH(X$7,'Inputs (2)'!$D$2:$AL$2,0))</f>
        <v>0</v>
      </c>
      <c r="Y239" s="25">
        <f>INDEX('Inputs (2)'!$D$41:$AL$41,MATCH(Y$7,'Inputs (2)'!$D$2:$AL$2,0))</f>
        <v>0</v>
      </c>
      <c r="Z239" s="25">
        <f>INDEX('Inputs (2)'!$D$41:$AL$41,MATCH(Z$7,'Inputs (2)'!$D$2:$AL$2,0))</f>
        <v>0</v>
      </c>
      <c r="AA239" s="25">
        <f>INDEX('Inputs (2)'!$D$41:$AL$41,MATCH(AA$7,'Inputs (2)'!$D$2:$AL$2,0))</f>
        <v>0</v>
      </c>
      <c r="AB239" s="3">
        <f>AA239</f>
        <v>0</v>
      </c>
      <c r="AC239" s="25">
        <f>INDEX('Inputs (2)'!$D$41:$AL$41,MATCH(AC$7,'Inputs (2)'!$D$2:$AL$2,0))</f>
        <v>0</v>
      </c>
      <c r="AD239" s="25">
        <f>INDEX('Inputs (2)'!$D$41:$AL$41,MATCH(AD$7,'Inputs (2)'!$D$2:$AL$2,0))</f>
        <v>0</v>
      </c>
      <c r="AE239" s="25">
        <f>INDEX('Inputs (2)'!$D$41:$AL$41,MATCH(AE$7,'Inputs (2)'!$D$2:$AL$2,0))</f>
        <v>0</v>
      </c>
      <c r="AF239" s="25">
        <f>INDEX('Inputs (2)'!$D$41:$AL$41,MATCH(AF$7,'Inputs (2)'!$D$2:$AL$2,0))</f>
        <v>0</v>
      </c>
      <c r="AG239" s="3">
        <f>AF239</f>
        <v>0</v>
      </c>
      <c r="AH239" s="3">
        <f>INDEX('Inputs (2)'!$D$41:$AL$41,MATCH(AH$7,'Inputs (2)'!$D$2:$AL$2,0))</f>
        <v>0</v>
      </c>
      <c r="AI239" s="3">
        <f>INDEX('Inputs (2)'!$D$41:$AL$41,MATCH(AI$7,'Inputs (2)'!$D$2:$AL$2,0))</f>
        <v>0</v>
      </c>
      <c r="AJ239" s="3">
        <f>AI239-AJ127+AJ242</f>
        <v>0</v>
      </c>
      <c r="AK239" s="3">
        <f>AJ239-AK127+AK242</f>
        <v>0</v>
      </c>
      <c r="AL239" s="3">
        <f>AK239</f>
        <v>0</v>
      </c>
      <c r="AM239" s="3">
        <f>AL239-AM127+AM242</f>
        <v>0</v>
      </c>
      <c r="AN239" s="3">
        <f>AM239-AN127+AN242</f>
        <v>0</v>
      </c>
      <c r="AO239" s="3">
        <f>AN239-AO127+AO242</f>
        <v>0</v>
      </c>
      <c r="AP239" s="3">
        <f>AO239-AP127+AP242</f>
        <v>0</v>
      </c>
      <c r="AQ239" s="3">
        <f>AP239</f>
        <v>0</v>
      </c>
      <c r="AR239" s="3">
        <f>AQ239-AR127+AR242</f>
        <v>0</v>
      </c>
      <c r="AS239" s="3">
        <f>AR239-AS127+AS242</f>
        <v>0</v>
      </c>
      <c r="AT239" s="3">
        <f>AS239-AT127+AT242</f>
        <v>0</v>
      </c>
      <c r="AU239" s="3">
        <f>AT239-AU127+AU242</f>
        <v>0</v>
      </c>
      <c r="AV239" s="3">
        <f>AU239</f>
        <v>0</v>
      </c>
      <c r="AW239" s="3">
        <f>AV239-AW127+AW242</f>
        <v>0</v>
      </c>
      <c r="AX239" s="3">
        <f>AW239-AX127+AX242</f>
        <v>0</v>
      </c>
      <c r="AY239" s="3">
        <f>AX239-AY127+AY242</f>
        <v>0</v>
      </c>
      <c r="AZ239" s="3">
        <f>AY239-AZ127+AZ242</f>
        <v>0</v>
      </c>
      <c r="BA239" s="3">
        <f>AZ239</f>
        <v>0</v>
      </c>
      <c r="BB239" s="3">
        <f>BA239-BB127+BB242</f>
        <v>0</v>
      </c>
      <c r="BC239" s="3">
        <f>BB239-BC127+BC242</f>
        <v>0</v>
      </c>
      <c r="BD239" s="3">
        <f>BC239-BD127+BD242</f>
        <v>0</v>
      </c>
      <c r="BE239" s="3">
        <f>BD239-BE127+BE242</f>
        <v>0</v>
      </c>
      <c r="BF239" s="3">
        <f>BE239</f>
        <v>0</v>
      </c>
      <c r="BG239" s="3">
        <f>BF239-BG127+BG242</f>
        <v>0</v>
      </c>
      <c r="BH239" s="3">
        <f>BG239-BH127+BH242</f>
        <v>0</v>
      </c>
      <c r="BI239" s="3">
        <f>BH239-BI127+BI242</f>
        <v>0</v>
      </c>
      <c r="BJ239" s="3">
        <f>BI239-BJ127+BJ242</f>
        <v>0</v>
      </c>
      <c r="BK239" s="3">
        <f>BJ239</f>
        <v>0</v>
      </c>
      <c r="BL239" s="3">
        <f>BK239-BL127+BL242</f>
        <v>0</v>
      </c>
      <c r="BM239" s="3">
        <f>BL239-BM127+BM242</f>
        <v>0</v>
      </c>
      <c r="BN239" s="3">
        <f>BM239-BN127+BN242</f>
        <v>0</v>
      </c>
      <c r="BO239" s="3">
        <f>BN239-BO127+BO242</f>
        <v>0</v>
      </c>
      <c r="BP239" s="3">
        <f>BO239</f>
        <v>0</v>
      </c>
      <c r="BQ239" s="3">
        <f>BP239-BQ127+BQ242</f>
        <v>0</v>
      </c>
      <c r="BR239" s="3">
        <f>BQ239-BR127+BR242</f>
        <v>0</v>
      </c>
      <c r="BS239" s="3">
        <f>BR239-BS127+BS242</f>
        <v>0</v>
      </c>
      <c r="BT239" s="3">
        <f>BS239-BT127+BT242</f>
        <v>0</v>
      </c>
      <c r="BU239" s="3">
        <f>BT239</f>
        <v>0</v>
      </c>
      <c r="BV239" s="3">
        <f>BU239-BV127+BV242</f>
        <v>0</v>
      </c>
      <c r="BW239" s="3">
        <f>BV239-BW127+BW242</f>
        <v>0</v>
      </c>
      <c r="BX239" s="3">
        <f>BW239-BX127+BX242</f>
        <v>0</v>
      </c>
      <c r="BY239" s="3">
        <f>BX239-BY127+BY242</f>
        <v>0</v>
      </c>
      <c r="BZ239" s="3">
        <f>BY239</f>
        <v>0</v>
      </c>
      <c r="CA239" s="3">
        <f>BZ239-CA127+CA242</f>
        <v>0</v>
      </c>
      <c r="CB239" s="3">
        <f>CA239-CB127+CB242</f>
        <v>0</v>
      </c>
      <c r="CC239" s="3">
        <f>CB239-CC127+CC242</f>
        <v>0</v>
      </c>
      <c r="CD239" s="3">
        <f>CC239-CD127+CD242</f>
        <v>0</v>
      </c>
      <c r="CE239" s="3">
        <f>CD239</f>
        <v>0</v>
      </c>
      <c r="CF239" s="3">
        <f>CE239-CF127+CF242</f>
        <v>0</v>
      </c>
      <c r="CG239" s="3">
        <f>CF239-CG127+CG242</f>
        <v>0</v>
      </c>
      <c r="CH239" s="3">
        <f>CG239-CH127+CH242</f>
        <v>0</v>
      </c>
      <c r="CI239" s="3">
        <f>CH239-CI127+CI242</f>
        <v>0</v>
      </c>
      <c r="CJ239" s="3">
        <f>CI239</f>
        <v>0</v>
      </c>
      <c r="CK239" s="3">
        <f>CJ239-CK127+CK242</f>
        <v>0</v>
      </c>
      <c r="CL239" s="3">
        <f>CK239-CL127+CL242</f>
        <v>0</v>
      </c>
      <c r="CM239" s="3">
        <f>CL239-CM127+CM242</f>
        <v>0</v>
      </c>
      <c r="CN239" s="3">
        <f>CM239-CN127+CN242</f>
        <v>0</v>
      </c>
      <c r="CO239" s="3">
        <f>CN239</f>
        <v>0</v>
      </c>
      <c r="CP239" s="3">
        <f>CO239-CP127+CP242</f>
        <v>0</v>
      </c>
      <c r="CQ239" s="3">
        <f>CP239-CQ127+CQ242</f>
        <v>0</v>
      </c>
      <c r="CR239" s="3">
        <f>CQ239-CR127+CR242</f>
        <v>0</v>
      </c>
      <c r="CS239" s="3">
        <f>CR239-CS127+CS242</f>
        <v>0</v>
      </c>
      <c r="CT239" s="3">
        <f>CS239</f>
        <v>0</v>
      </c>
      <c r="CU239" s="3">
        <f>CT239-CU127+CU242</f>
        <v>0</v>
      </c>
      <c r="CV239" s="3">
        <f>CU239-CV127+CV242</f>
        <v>0</v>
      </c>
      <c r="CW239" s="3">
        <f>CV239-CW127+CW242</f>
        <v>0</v>
      </c>
      <c r="CX239" s="3">
        <f>CW239-CX127+CX242</f>
        <v>0</v>
      </c>
      <c r="CY239" s="3">
        <f>CX239</f>
        <v>0</v>
      </c>
    </row>
    <row r="240" hidden="1" outlineLevel="1" customFormat="1" s="39">
      <c r="A240" s="19" t="n"/>
      <c r="B240" s="19" t="n"/>
      <c r="C240" s="38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</row>
    <row r="241" hidden="1" outlineLevel="1" customFormat="1" s="39">
      <c r="A241" s="19" t="n"/>
      <c r="B241" s="19" t="n"/>
      <c r="C241" s="34" t="inlineStr">
        <is>
          <t>Minority Interest Expense - % YoY</t>
        </is>
      </c>
      <c r="D241" s="22" t="n"/>
      <c r="E241" s="40">
        <f>IF(D126=0,0,E126/D126-1)</f>
        <v>0</v>
      </c>
      <c r="F241" s="22" t="n"/>
      <c r="G241" s="22" t="n"/>
      <c r="H241" s="40" t="n"/>
      <c r="I241" s="22" t="n"/>
      <c r="J241" s="40">
        <f>IF(I126=0,0,J126/I126-1)</f>
        <v>0</v>
      </c>
      <c r="K241" s="22" t="n"/>
      <c r="L241" s="22" t="n"/>
      <c r="M241" s="40" t="n"/>
      <c r="N241" s="40">
        <f>IF(I126=0,0,N126/I126-1)</f>
        <v>0</v>
      </c>
      <c r="O241" s="40">
        <f>IF(J126=0,0,O126/J126-1)</f>
        <v>0</v>
      </c>
      <c r="P241" s="40">
        <f>IF(K126=0,0,P126/K126-1)</f>
        <v>0</v>
      </c>
      <c r="Q241" s="40">
        <f>IF(L126=0,0,Q126/L126-1)</f>
        <v>0</v>
      </c>
      <c r="R241" s="40" t="n"/>
      <c r="S241" s="40">
        <f>IF(N126=0,0,S126/N126-1)</f>
        <v>0</v>
      </c>
      <c r="T241" s="40">
        <f>IF(O126=0,0,T126/O126-1)</f>
        <v>0</v>
      </c>
      <c r="U241" s="40">
        <f>IF(P126=0,0,U126/P126-1)</f>
        <v>0</v>
      </c>
      <c r="V241" s="40">
        <f>IF(Q126=0,0,V126/Q126-1)</f>
        <v>0</v>
      </c>
      <c r="W241" s="40">
        <f>IF(R127=0,0,W127/R127-1)</f>
        <v>0</v>
      </c>
      <c r="X241" s="40">
        <f>IF(S126=0,0,X126/S126-1)</f>
        <v>0</v>
      </c>
      <c r="Y241" s="40">
        <f>IF(T126=0,0,Y126/T126-1)</f>
        <v>0</v>
      </c>
      <c r="Z241" s="40">
        <f>IF(U126=0,0,Z126/U126-1)</f>
        <v>0</v>
      </c>
      <c r="AA241" s="40">
        <f>IF(V126=0,0,AA126/V126-1)</f>
        <v>0</v>
      </c>
      <c r="AB241" s="40">
        <f>IF(W127=0,0,AB127/W127-1)</f>
        <v>0</v>
      </c>
      <c r="AC241" s="40">
        <f>IF(X126=0,0,AC126/X126-1)</f>
        <v>0</v>
      </c>
      <c r="AD241" s="40">
        <f>IF(Y126=0,0,AD126/Y126-1)</f>
        <v>0</v>
      </c>
      <c r="AE241" s="40">
        <f>IF(Z126=0,0,AE126/Z126-1)</f>
        <v>0</v>
      </c>
      <c r="AF241" s="40">
        <f>IF(AA126=0,0,AF126/AA126-1)</f>
        <v>0</v>
      </c>
      <c r="AG241" s="40">
        <f>IF(AB127=0,0,AG127/AB127-1)</f>
        <v>0</v>
      </c>
      <c r="AH241" s="35">
        <f>IF(AC126=0,0,AH126/AC126-1)</f>
        <v>0</v>
      </c>
      <c r="AI241" s="35">
        <f>IF(AD126=0,0,AI126/AD126-1)</f>
        <v>0</v>
      </c>
      <c r="AJ241" s="35" t="n"/>
      <c r="AK241" s="35" t="n"/>
      <c r="AL241" s="40">
        <f>IF(AG127=0,0,AL127/AG127-1)</f>
        <v>0</v>
      </c>
      <c r="AM241" s="35" t="n"/>
      <c r="AN241" s="35" t="n"/>
      <c r="AO241" s="35" t="n"/>
      <c r="AP241" s="35" t="n"/>
      <c r="AQ241" s="40">
        <f>IF(AL127=0,0,AQ127/AL127-1)</f>
        <v>0</v>
      </c>
      <c r="AR241" s="35" t="n"/>
      <c r="AS241" s="35" t="n"/>
      <c r="AT241" s="35" t="n"/>
      <c r="AU241" s="35" t="n"/>
      <c r="AV241" s="40">
        <f>IF(AQ127=0,0,AV127/AQ127-1)</f>
        <v>0</v>
      </c>
      <c r="AW241" s="35" t="n"/>
      <c r="AX241" s="35" t="n"/>
      <c r="AY241" s="35" t="n"/>
      <c r="AZ241" s="35" t="n"/>
      <c r="BA241" s="40">
        <f>IF(AV127=0,0,BA127/AV127-1)</f>
        <v>0</v>
      </c>
      <c r="BB241" s="35" t="n"/>
      <c r="BC241" s="35" t="n"/>
      <c r="BD241" s="35" t="n"/>
      <c r="BE241" s="35" t="n"/>
      <c r="BF241" s="40">
        <f>IF(BA127=0,0,BF127/BA127-1)</f>
        <v>0</v>
      </c>
      <c r="BG241" s="35" t="n"/>
      <c r="BH241" s="35" t="n"/>
      <c r="BI241" s="35" t="n"/>
      <c r="BJ241" s="35" t="n"/>
      <c r="BK241" s="40">
        <f>IF(BF127=0,0,BK127/BF127-1)</f>
        <v>0</v>
      </c>
      <c r="BL241" s="35" t="n"/>
      <c r="BM241" s="35" t="n"/>
      <c r="BN241" s="35" t="n"/>
      <c r="BO241" s="35" t="n"/>
      <c r="BP241" s="40">
        <f>IF(BK127=0,0,BP127/BK127-1)</f>
        <v>0</v>
      </c>
      <c r="BQ241" s="35" t="n"/>
      <c r="BR241" s="35" t="n"/>
      <c r="BS241" s="35" t="n"/>
      <c r="BT241" s="35" t="n"/>
      <c r="BU241" s="40">
        <f>IF(BP127=0,0,BU127/BP127-1)</f>
        <v>0</v>
      </c>
      <c r="BV241" s="35" t="n"/>
      <c r="BW241" s="35" t="n"/>
      <c r="BX241" s="35" t="n"/>
      <c r="BY241" s="35" t="n"/>
      <c r="BZ241" s="40">
        <f>IF(BU127=0,0,BZ127/BU127-1)</f>
        <v>0</v>
      </c>
      <c r="CA241" s="35" t="n"/>
      <c r="CB241" s="35" t="n"/>
      <c r="CC241" s="35" t="n"/>
      <c r="CD241" s="35" t="n"/>
      <c r="CE241" s="40">
        <f>IF(BZ127=0,0,CE127/BZ127-1)</f>
        <v>0</v>
      </c>
      <c r="CF241" s="35" t="n"/>
      <c r="CG241" s="35" t="n"/>
      <c r="CH241" s="35" t="n"/>
      <c r="CI241" s="35" t="n"/>
      <c r="CJ241" s="40">
        <f>IF(CE127=0,0,CJ127/CE127-1)</f>
        <v>0</v>
      </c>
      <c r="CK241" s="35" t="n"/>
      <c r="CL241" s="35" t="n"/>
      <c r="CM241" s="35" t="n"/>
      <c r="CN241" s="35" t="n"/>
      <c r="CO241" s="40">
        <f>IF(CJ127=0,0,CO127/CJ127-1)</f>
        <v>0</v>
      </c>
      <c r="CP241" s="35" t="n"/>
      <c r="CQ241" s="35" t="n"/>
      <c r="CR241" s="35" t="n"/>
      <c r="CS241" s="35" t="n"/>
      <c r="CT241" s="40">
        <f>IF(CO127=0,0,CT127/CO127-1)</f>
        <v>0</v>
      </c>
      <c r="CU241" s="35" t="n"/>
      <c r="CV241" s="35" t="n"/>
      <c r="CW241" s="35" t="n"/>
      <c r="CX241" s="35" t="n"/>
      <c r="CY241" s="40">
        <f>IF(CT127=0,0,CY127/CT127-1)</f>
        <v>0</v>
      </c>
    </row>
    <row r="242" hidden="1" outlineLevel="1" customFormat="1" s="39">
      <c r="A242" s="19" t="n"/>
      <c r="B242" s="19" t="n"/>
      <c r="C242" s="34" t="inlineStr">
        <is>
          <t>Dividends (enter as -)</t>
        </is>
      </c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35" t="n"/>
      <c r="AI242" s="35" t="n"/>
      <c r="AJ242" s="35" t="n"/>
      <c r="AK242" s="35" t="n"/>
      <c r="AL242" s="22" t="n"/>
      <c r="AM242" s="35" t="n"/>
      <c r="AN242" s="35" t="n"/>
      <c r="AO242" s="35" t="n"/>
      <c r="AP242" s="35" t="n"/>
      <c r="AQ242" s="22" t="n"/>
      <c r="AR242" s="35" t="n"/>
      <c r="AS242" s="35" t="n"/>
      <c r="AT242" s="35" t="n"/>
      <c r="AU242" s="35" t="n"/>
      <c r="AV242" s="22" t="n"/>
      <c r="AW242" s="35" t="n"/>
      <c r="AX242" s="35" t="n"/>
      <c r="AY242" s="35" t="n"/>
      <c r="AZ242" s="35" t="n"/>
      <c r="BA242" s="22" t="n"/>
      <c r="BB242" s="35" t="n"/>
      <c r="BC242" s="35" t="n"/>
      <c r="BD242" s="35" t="n"/>
      <c r="BE242" s="35" t="n"/>
      <c r="BF242" s="22" t="n"/>
      <c r="BG242" s="35" t="n"/>
      <c r="BH242" s="35" t="n"/>
      <c r="BI242" s="35" t="n"/>
      <c r="BJ242" s="35" t="n"/>
      <c r="BK242" s="22" t="n"/>
      <c r="BL242" s="35" t="n"/>
      <c r="BM242" s="35" t="n"/>
      <c r="BN242" s="35" t="n"/>
      <c r="BO242" s="35" t="n"/>
      <c r="BP242" s="22" t="n"/>
      <c r="BQ242" s="35" t="n"/>
      <c r="BR242" s="35" t="n"/>
      <c r="BS242" s="35" t="n"/>
      <c r="BT242" s="35" t="n"/>
      <c r="BU242" s="22" t="n"/>
      <c r="BV242" s="35" t="n"/>
      <c r="BW242" s="35" t="n"/>
      <c r="BX242" s="35" t="n"/>
      <c r="BY242" s="35" t="n"/>
      <c r="BZ242" s="22" t="n"/>
      <c r="CA242" s="35" t="n"/>
      <c r="CB242" s="35" t="n"/>
      <c r="CC242" s="35" t="n"/>
      <c r="CD242" s="35" t="n"/>
      <c r="CE242" s="22" t="n"/>
      <c r="CF242" s="35" t="n"/>
      <c r="CG242" s="35" t="n"/>
      <c r="CH242" s="35" t="n"/>
      <c r="CI242" s="35" t="n"/>
      <c r="CJ242" s="22" t="n"/>
      <c r="CK242" s="35" t="n"/>
      <c r="CL242" s="35" t="n"/>
      <c r="CM242" s="35" t="n"/>
      <c r="CN242" s="35" t="n"/>
      <c r="CO242" s="22" t="n"/>
      <c r="CP242" s="35" t="n"/>
      <c r="CQ242" s="35" t="n"/>
      <c r="CR242" s="35" t="n"/>
      <c r="CS242" s="35" t="n"/>
      <c r="CT242" s="22" t="n"/>
      <c r="CU242" s="35" t="n"/>
      <c r="CV242" s="35" t="n"/>
      <c r="CW242" s="35" t="n"/>
      <c r="CX242" s="35" t="n"/>
      <c r="CY242" s="22" t="n"/>
    </row>
    <row r="243" hidden="1" outlineLevel="1" customFormat="1" s="39">
      <c r="A243" s="19" t="n"/>
      <c r="B243" s="19" t="n"/>
      <c r="C243" s="38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</row>
    <row r="244" collapsed="1">
      <c r="C244" s="26" t="inlineStr">
        <is>
          <t>Convertible Preferred Stock</t>
        </is>
      </c>
      <c r="D244" s="25" t="n"/>
      <c r="E244" s="25" t="n"/>
      <c r="F244" s="25" t="n"/>
      <c r="G244" s="25" t="n"/>
      <c r="H244" s="3">
        <f>G244</f>
        <v>0</v>
      </c>
      <c r="I244" s="25" t="n"/>
      <c r="J244" s="25" t="n"/>
      <c r="K244" s="25" t="n"/>
      <c r="L244" s="25" t="n"/>
      <c r="M244" s="3">
        <f>L244</f>
        <v>0</v>
      </c>
      <c r="N244" s="25" t="n"/>
      <c r="O244" s="25" t="n"/>
      <c r="P244" s="25" t="n"/>
      <c r="Q244" s="25" t="n"/>
      <c r="R244" s="3">
        <f>Q244</f>
        <v>0</v>
      </c>
      <c r="S244" s="25" t="n"/>
      <c r="T244" s="25" t="n"/>
      <c r="U244" s="25" t="n"/>
      <c r="V244" s="25" t="n"/>
      <c r="W244" s="3">
        <f>V244</f>
        <v>0</v>
      </c>
      <c r="X244" s="25" t="n"/>
      <c r="Y244" s="25" t="n"/>
      <c r="Z244" s="25" t="n"/>
      <c r="AA244" s="25" t="n"/>
      <c r="AB244" s="3">
        <f>AA244</f>
        <v>0</v>
      </c>
      <c r="AC244" s="25" t="n"/>
      <c r="AD244" s="25" t="n"/>
      <c r="AE244" s="25" t="n"/>
      <c r="AF244" s="25" t="n"/>
      <c r="AG244" s="3">
        <f>AF244</f>
        <v>0</v>
      </c>
      <c r="AH244" s="3">
        <f>AG244</f>
        <v>0</v>
      </c>
      <c r="AI244" s="3">
        <f>AH244</f>
        <v>0</v>
      </c>
      <c r="AJ244" s="3">
        <f>AI244</f>
        <v>0</v>
      </c>
      <c r="AK244" s="3">
        <f>AJ244</f>
        <v>0</v>
      </c>
      <c r="AL244" s="3">
        <f>AK244</f>
        <v>0</v>
      </c>
      <c r="AM244" s="3">
        <f>AL244</f>
        <v>0</v>
      </c>
      <c r="AN244" s="3">
        <f>AM244</f>
        <v>0</v>
      </c>
      <c r="AO244" s="3">
        <f>AN244</f>
        <v>0</v>
      </c>
      <c r="AP244" s="3">
        <f>AO244</f>
        <v>0</v>
      </c>
      <c r="AQ244" s="3">
        <f>AP244</f>
        <v>0</v>
      </c>
      <c r="AR244" s="3">
        <f>AQ244</f>
        <v>0</v>
      </c>
      <c r="AS244" s="3">
        <f>AR244</f>
        <v>0</v>
      </c>
      <c r="AT244" s="3">
        <f>AS244</f>
        <v>0</v>
      </c>
      <c r="AU244" s="3">
        <f>AT244</f>
        <v>0</v>
      </c>
      <c r="AV244" s="3">
        <f>AU244</f>
        <v>0</v>
      </c>
      <c r="AW244" s="3">
        <f>AV244</f>
        <v>0</v>
      </c>
      <c r="AX244" s="3">
        <f>AW244</f>
        <v>0</v>
      </c>
      <c r="AY244" s="3">
        <f>AX244</f>
        <v>0</v>
      </c>
      <c r="AZ244" s="3">
        <f>AY244</f>
        <v>0</v>
      </c>
      <c r="BA244" s="3">
        <f>AZ244</f>
        <v>0</v>
      </c>
      <c r="BB244" s="3">
        <f>BA244</f>
        <v>0</v>
      </c>
      <c r="BC244" s="3">
        <f>BB244</f>
        <v>0</v>
      </c>
      <c r="BD244" s="3">
        <f>BC244</f>
        <v>0</v>
      </c>
      <c r="BE244" s="3">
        <f>BD244</f>
        <v>0</v>
      </c>
      <c r="BF244" s="3">
        <f>BE244</f>
        <v>0</v>
      </c>
      <c r="BG244" s="3">
        <f>BF244</f>
        <v>0</v>
      </c>
      <c r="BH244" s="3">
        <f>BG244</f>
        <v>0</v>
      </c>
      <c r="BI244" s="3">
        <f>BH244</f>
        <v>0</v>
      </c>
      <c r="BJ244" s="3">
        <f>BI244</f>
        <v>0</v>
      </c>
      <c r="BK244" s="3">
        <f>BJ244</f>
        <v>0</v>
      </c>
      <c r="BL244" s="3">
        <f>BK244</f>
        <v>0</v>
      </c>
      <c r="BM244" s="3">
        <f>BL244</f>
        <v>0</v>
      </c>
      <c r="BN244" s="3">
        <f>BM244</f>
        <v>0</v>
      </c>
      <c r="BO244" s="3">
        <f>BN244</f>
        <v>0</v>
      </c>
      <c r="BP244" s="3">
        <f>BO244</f>
        <v>0</v>
      </c>
      <c r="BQ244" s="3">
        <f>BP244</f>
        <v>0</v>
      </c>
      <c r="BR244" s="3">
        <f>BQ244</f>
        <v>0</v>
      </c>
      <c r="BS244" s="3">
        <f>BR244</f>
        <v>0</v>
      </c>
      <c r="BT244" s="3">
        <f>BS244</f>
        <v>0</v>
      </c>
      <c r="BU244" s="3">
        <f>BT244</f>
        <v>0</v>
      </c>
      <c r="BV244" s="3">
        <f>BU244</f>
        <v>0</v>
      </c>
      <c r="BW244" s="3">
        <f>BV244</f>
        <v>0</v>
      </c>
      <c r="BX244" s="3">
        <f>BW244</f>
        <v>0</v>
      </c>
      <c r="BY244" s="3">
        <f>BX244</f>
        <v>0</v>
      </c>
      <c r="BZ244" s="3">
        <f>BY244</f>
        <v>0</v>
      </c>
      <c r="CA244" s="3">
        <f>BZ244</f>
        <v>0</v>
      </c>
      <c r="CB244" s="3">
        <f>CA244</f>
        <v>0</v>
      </c>
      <c r="CC244" s="3">
        <f>CB244</f>
        <v>0</v>
      </c>
      <c r="CD244" s="3">
        <f>CC244</f>
        <v>0</v>
      </c>
      <c r="CE244" s="3">
        <f>CD244</f>
        <v>0</v>
      </c>
      <c r="CF244" s="3">
        <f>CE244</f>
        <v>0</v>
      </c>
      <c r="CG244" s="3">
        <f>CF244</f>
        <v>0</v>
      </c>
      <c r="CH244" s="3">
        <f>CG244</f>
        <v>0</v>
      </c>
      <c r="CI244" s="3">
        <f>CH244</f>
        <v>0</v>
      </c>
      <c r="CJ244" s="3">
        <f>CI244</f>
        <v>0</v>
      </c>
      <c r="CK244" s="3">
        <f>CJ244</f>
        <v>0</v>
      </c>
      <c r="CL244" s="3">
        <f>CK244</f>
        <v>0</v>
      </c>
      <c r="CM244" s="3">
        <f>CL244</f>
        <v>0</v>
      </c>
      <c r="CN244" s="3">
        <f>CM244</f>
        <v>0</v>
      </c>
      <c r="CO244" s="3">
        <f>CN244</f>
        <v>0</v>
      </c>
      <c r="CP244" s="3">
        <f>CO244</f>
        <v>0</v>
      </c>
      <c r="CQ244" s="3">
        <f>CP244</f>
        <v>0</v>
      </c>
      <c r="CR244" s="3">
        <f>CQ244</f>
        <v>0</v>
      </c>
      <c r="CS244" s="3">
        <f>CR244</f>
        <v>0</v>
      </c>
      <c r="CT244" s="3">
        <f>CS244</f>
        <v>0</v>
      </c>
      <c r="CU244" s="3">
        <f>CT244</f>
        <v>0</v>
      </c>
      <c r="CV244" s="3">
        <f>CU244</f>
        <v>0</v>
      </c>
      <c r="CW244" s="3">
        <f>CV244</f>
        <v>0</v>
      </c>
      <c r="CX244" s="3">
        <f>CW244</f>
        <v>0</v>
      </c>
      <c r="CY244" s="3">
        <f>CX244</f>
        <v>0</v>
      </c>
    </row>
    <row r="245">
      <c r="C245" s="24" t="inlineStr">
        <is>
          <t>Common Stock and APIC</t>
        </is>
      </c>
      <c r="D245" s="25">
        <f>INDEX('Inputs (2)'!$D$43:$AL$43,MATCH(D$7,'Inputs (2)'!$D$2:$AL$2,0))</f>
        <v>279</v>
      </c>
      <c r="E245" s="25">
        <f>INDEX('Inputs (2)'!$D$43:$AL$43,MATCH(E$7,'Inputs (2)'!$D$2:$AL$2,0))</f>
        <v>278</v>
      </c>
      <c r="F245" s="25">
        <f>INDEX('Inputs (2)'!$D$43:$AL$43,MATCH(F$7,'Inputs (2)'!$D$2:$AL$2,0))</f>
        <v>368</v>
      </c>
      <c r="G245" s="25">
        <f>INDEX('Inputs (2)'!$D$43:$AL$43,MATCH(G$7,'Inputs (2)'!$D$2:$AL$2,0))</f>
        <v>500</v>
      </c>
      <c r="H245" s="3">
        <f>G245</f>
        <v>500</v>
      </c>
      <c r="I245" s="25">
        <f>INDEX('Inputs (2)'!$D$43:$AL$43,MATCH(I$7,'Inputs (2)'!$D$2:$AL$2,0))</f>
        <v>343</v>
      </c>
      <c r="J245" s="25">
        <f>INDEX('Inputs (2)'!$D$43:$AL$43,MATCH(J$7,'Inputs (2)'!$D$2:$AL$2,0))</f>
        <v>398</v>
      </c>
      <c r="K245" s="25">
        <f>INDEX('Inputs (2)'!$D$43:$AL$43,MATCH(K$7,'Inputs (2)'!$D$2:$AL$2,0))</f>
        <v>372</v>
      </c>
      <c r="L245" s="25">
        <f>INDEX('Inputs (2)'!$D$43:$AL$43,MATCH(L$7,'Inputs (2)'!$D$2:$AL$2,0))</f>
        <v>365</v>
      </c>
      <c r="M245" s="3">
        <f>L245</f>
        <v>365</v>
      </c>
      <c r="N245" s="25">
        <f>INDEX('Inputs (2)'!$D$43:$AL$43,MATCH(N$7,'Inputs (2)'!$D$2:$AL$2,0))</f>
        <v>265</v>
      </c>
      <c r="O245" s="25">
        <f>INDEX('Inputs (2)'!$D$43:$AL$43,MATCH(O$7,'Inputs (2)'!$D$2:$AL$2,0))</f>
        <v>264</v>
      </c>
      <c r="P245" s="25">
        <f>INDEX('Inputs (2)'!$D$43:$AL$43,MATCH(P$7,'Inputs (2)'!$D$2:$AL$2,0))</f>
        <v>261</v>
      </c>
      <c r="Q245" s="25">
        <f>INDEX('Inputs (2)'!$D$43:$AL$43,MATCH(Q$7,'Inputs (2)'!$D$2:$AL$2,0))</f>
        <v>346</v>
      </c>
      <c r="R245" s="3">
        <f>Q245</f>
        <v>346</v>
      </c>
      <c r="S245" s="25">
        <f>INDEX('Inputs (2)'!$D$43:$AL$43,MATCH(S$7,'Inputs (2)'!$D$2:$AL$2,0))</f>
        <v>254</v>
      </c>
      <c r="T245" s="25">
        <f>INDEX('Inputs (2)'!$D$43:$AL$43,MATCH(T$7,'Inputs (2)'!$D$2:$AL$2,0))</f>
        <v>251</v>
      </c>
      <c r="U245" s="25">
        <f>INDEX('Inputs (2)'!$D$43:$AL$43,MATCH(U$7,'Inputs (2)'!$D$2:$AL$2,0))</f>
        <v>354</v>
      </c>
      <c r="V245" s="25">
        <f>INDEX('Inputs (2)'!$D$43:$AL$43,MATCH(V$7,'Inputs (2)'!$D$2:$AL$2,0))</f>
        <v>240</v>
      </c>
      <c r="W245" s="3">
        <f>V245</f>
        <v>240</v>
      </c>
      <c r="X245" s="25">
        <f>INDEX('Inputs (2)'!$D$43:$AL$43,MATCH(X$7,'Inputs (2)'!$D$2:$AL$2,0))</f>
        <v>239</v>
      </c>
      <c r="Y245" s="25">
        <f>INDEX('Inputs (2)'!$D$43:$AL$43,MATCH(Y$7,'Inputs (2)'!$D$2:$AL$2,0))</f>
        <v>237</v>
      </c>
      <c r="Z245" s="25">
        <f>INDEX('Inputs (2)'!$D$43:$AL$43,MATCH(Z$7,'Inputs (2)'!$D$2:$AL$2,0))</f>
        <v>236</v>
      </c>
      <c r="AA245" s="25">
        <f>INDEX('Inputs (2)'!$D$43:$AL$43,MATCH(AA$7,'Inputs (2)'!$D$2:$AL$2,0))</f>
        <v>234</v>
      </c>
      <c r="AB245" s="3">
        <f>AA245</f>
        <v>234</v>
      </c>
      <c r="AC245" s="25">
        <f>INDEX('Inputs (2)'!$D$43:$AL$43,MATCH(AC$7,'Inputs (2)'!$D$2:$AL$2,0))</f>
        <v>233</v>
      </c>
      <c r="AD245" s="25">
        <f>INDEX('Inputs (2)'!$D$43:$AL$43,MATCH(AD$7,'Inputs (2)'!$D$2:$AL$2,0))</f>
        <v>232</v>
      </c>
      <c r="AE245" s="25">
        <f>INDEX('Inputs (2)'!$D$43:$AL$43,MATCH(AE$7,'Inputs (2)'!$D$2:$AL$2,0))</f>
        <v>230</v>
      </c>
      <c r="AF245" s="25">
        <f>INDEX('Inputs (2)'!$D$43:$AL$43,MATCH(AF$7,'Inputs (2)'!$D$2:$AL$2,0))</f>
        <v>229</v>
      </c>
      <c r="AG245" s="3">
        <f>AF245</f>
        <v>229</v>
      </c>
      <c r="AH245" s="3">
        <f>INDEX('Inputs (2)'!$D$43:$AL$43,MATCH(AH$7,'Inputs (2)'!$D$2:$AL$2,0))</f>
        <v>262</v>
      </c>
      <c r="AI245" s="3">
        <f>INDEX('Inputs (2)'!$D$43:$AL$43,MATCH(AI$7,'Inputs (2)'!$D$2:$AL$2,0))</f>
        <v>477</v>
      </c>
      <c r="AJ245" s="3">
        <f>AI245+AJ249</f>
        <v>477</v>
      </c>
      <c r="AK245" s="3">
        <f>AJ245+AK249</f>
        <v>477</v>
      </c>
      <c r="AL245" s="3">
        <f>AK245</f>
        <v>477</v>
      </c>
      <c r="AM245" s="3">
        <f>AL245+AM249</f>
        <v>477</v>
      </c>
      <c r="AN245" s="3">
        <f>AM245+AN249</f>
        <v>477</v>
      </c>
      <c r="AO245" s="3">
        <f>AN245+AO249</f>
        <v>477</v>
      </c>
      <c r="AP245" s="3">
        <f>AO245+AP249</f>
        <v>477</v>
      </c>
      <c r="AQ245" s="3">
        <f>AP245</f>
        <v>477</v>
      </c>
      <c r="AR245" s="3">
        <f>AQ245+AR249</f>
        <v>477</v>
      </c>
      <c r="AS245" s="3">
        <f>AR245+AS249</f>
        <v>477</v>
      </c>
      <c r="AT245" s="3">
        <f>AS245+AT249</f>
        <v>477</v>
      </c>
      <c r="AU245" s="3">
        <f>AT245+AU249</f>
        <v>477</v>
      </c>
      <c r="AV245" s="3">
        <f>AU245</f>
        <v>477</v>
      </c>
      <c r="AW245" s="3">
        <f>AV245+AW249</f>
        <v>477</v>
      </c>
      <c r="AX245" s="3">
        <f>AW245+AX249</f>
        <v>477</v>
      </c>
      <c r="AY245" s="3">
        <f>AX245+AY249</f>
        <v>477</v>
      </c>
      <c r="AZ245" s="3">
        <f>AY245+AZ249</f>
        <v>477</v>
      </c>
      <c r="BA245" s="3">
        <f>AZ245</f>
        <v>477</v>
      </c>
      <c r="BB245" s="3">
        <f>BA245+BB249</f>
        <v>477</v>
      </c>
      <c r="BC245" s="3">
        <f>BB245+BC249</f>
        <v>477</v>
      </c>
      <c r="BD245" s="3">
        <f>BC245+BD249</f>
        <v>477</v>
      </c>
      <c r="BE245" s="3">
        <f>BD245+BE249</f>
        <v>477</v>
      </c>
      <c r="BF245" s="3">
        <f>BE245</f>
        <v>477</v>
      </c>
      <c r="BG245" s="3">
        <f>BF245+BG249</f>
        <v>477</v>
      </c>
      <c r="BH245" s="3">
        <f>BG245+BH249</f>
        <v>477</v>
      </c>
      <c r="BI245" s="3">
        <f>BH245+BI249</f>
        <v>477</v>
      </c>
      <c r="BJ245" s="3">
        <f>BI245+BJ249</f>
        <v>477</v>
      </c>
      <c r="BK245" s="3">
        <f>BJ245</f>
        <v>477</v>
      </c>
      <c r="BL245" s="3">
        <f>BK245+BL249</f>
        <v>477</v>
      </c>
      <c r="BM245" s="3">
        <f>BL245+BM249</f>
        <v>477</v>
      </c>
      <c r="BN245" s="3">
        <f>BM245+BN249</f>
        <v>477</v>
      </c>
      <c r="BO245" s="3">
        <f>BN245+BO249</f>
        <v>477</v>
      </c>
      <c r="BP245" s="3">
        <f>BO245</f>
        <v>477</v>
      </c>
      <c r="BQ245" s="3">
        <f>BP245+BQ249</f>
        <v>477</v>
      </c>
      <c r="BR245" s="3">
        <f>BQ245+BR249</f>
        <v>477</v>
      </c>
      <c r="BS245" s="3">
        <f>BR245+BS249</f>
        <v>477</v>
      </c>
      <c r="BT245" s="3">
        <f>BS245+BT249</f>
        <v>477</v>
      </c>
      <c r="BU245" s="3">
        <f>BT245</f>
        <v>477</v>
      </c>
      <c r="BV245" s="3">
        <f>BU245+BV249</f>
        <v>477</v>
      </c>
      <c r="BW245" s="3">
        <f>BV245+BW249</f>
        <v>477</v>
      </c>
      <c r="BX245" s="3">
        <f>BW245+BX249</f>
        <v>477</v>
      </c>
      <c r="BY245" s="3">
        <f>BX245+BY249</f>
        <v>477</v>
      </c>
      <c r="BZ245" s="3">
        <f>BY245</f>
        <v>477</v>
      </c>
      <c r="CA245" s="3">
        <f>BZ245+CA249</f>
        <v>477</v>
      </c>
      <c r="CB245" s="3">
        <f>CA245+CB249</f>
        <v>477</v>
      </c>
      <c r="CC245" s="3">
        <f>CB245+CC249</f>
        <v>477</v>
      </c>
      <c r="CD245" s="3">
        <f>CC245+CD249</f>
        <v>477</v>
      </c>
      <c r="CE245" s="3">
        <f>CD245</f>
        <v>477</v>
      </c>
      <c r="CF245" s="3">
        <f>CE245+CF249</f>
        <v>477</v>
      </c>
      <c r="CG245" s="3">
        <f>CF245+CG249</f>
        <v>477</v>
      </c>
      <c r="CH245" s="3">
        <f>CG245+CH249</f>
        <v>477</v>
      </c>
      <c r="CI245" s="3">
        <f>CH245+CI249</f>
        <v>477</v>
      </c>
      <c r="CJ245" s="3">
        <f>CI245</f>
        <v>477</v>
      </c>
      <c r="CK245" s="3">
        <f>CJ245+CK249</f>
        <v>477</v>
      </c>
      <c r="CL245" s="3">
        <f>CK245+CL249</f>
        <v>477</v>
      </c>
      <c r="CM245" s="3">
        <f>CL245+CM249</f>
        <v>477</v>
      </c>
      <c r="CN245" s="3">
        <f>CM245+CN249</f>
        <v>477</v>
      </c>
      <c r="CO245" s="3">
        <f>CN245</f>
        <v>477</v>
      </c>
      <c r="CP245" s="3">
        <f>CO245+CP249</f>
        <v>477</v>
      </c>
      <c r="CQ245" s="3">
        <f>CP245+CQ249</f>
        <v>477</v>
      </c>
      <c r="CR245" s="3">
        <f>CQ245+CR249</f>
        <v>477</v>
      </c>
      <c r="CS245" s="3">
        <f>CR245+CS249</f>
        <v>477</v>
      </c>
      <c r="CT245" s="3">
        <f>CS245</f>
        <v>477</v>
      </c>
      <c r="CU245" s="3">
        <f>CT245+CU249</f>
        <v>477</v>
      </c>
      <c r="CV245" s="3">
        <f>CU245+CV249</f>
        <v>477</v>
      </c>
      <c r="CW245" s="3">
        <f>CV245+CW249</f>
        <v>477</v>
      </c>
      <c r="CX245" s="3">
        <f>CW245+CX249</f>
        <v>477</v>
      </c>
      <c r="CY245" s="3">
        <f>CX245</f>
        <v>477</v>
      </c>
    </row>
    <row r="246" hidden="1" outlineLevel="1" customFormat="1" s="39">
      <c r="A246" s="19" t="n"/>
      <c r="B246" s="19" t="n"/>
      <c r="C246" s="41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</row>
    <row r="247" hidden="1" outlineLevel="1" customFormat="1" s="39">
      <c r="A247" s="19" t="n"/>
      <c r="B247" s="19" t="n"/>
      <c r="C247" s="41" t="inlineStr">
        <is>
          <t>Diluted Shares outstanding</t>
        </is>
      </c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</row>
    <row r="248" hidden="1" outlineLevel="1" customFormat="1" s="39">
      <c r="A248" s="19" t="n"/>
      <c r="B248" s="19" t="n"/>
      <c r="C248" s="41" t="inlineStr">
        <is>
          <t>Treasury share $ repurchases</t>
        </is>
      </c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6" t="n"/>
      <c r="AI248" s="6" t="n"/>
      <c r="AJ248" s="6" t="n"/>
      <c r="AK248" s="6" t="n"/>
      <c r="AL248" s="22" t="n"/>
      <c r="AM248" s="6" t="n"/>
      <c r="AN248" s="6" t="n"/>
      <c r="AO248" s="6" t="n"/>
      <c r="AP248" s="6" t="n"/>
      <c r="AQ248" s="22" t="n"/>
      <c r="AR248" s="6" t="n"/>
      <c r="AS248" s="6" t="n"/>
      <c r="AT248" s="6" t="n"/>
      <c r="AU248" s="6" t="n"/>
      <c r="AV248" s="22" t="n"/>
      <c r="AW248" s="6" t="n"/>
      <c r="AX248" s="6" t="n"/>
      <c r="AY248" s="6" t="n"/>
      <c r="AZ248" s="6" t="n"/>
      <c r="BA248" s="22" t="n"/>
      <c r="BB248" s="6" t="n"/>
      <c r="BC248" s="6" t="n"/>
      <c r="BD248" s="6" t="n"/>
      <c r="BE248" s="6" t="n"/>
      <c r="BF248" s="22" t="n"/>
      <c r="BG248" s="6" t="n"/>
      <c r="BH248" s="6" t="n"/>
      <c r="BI248" s="6" t="n"/>
      <c r="BJ248" s="6" t="n"/>
      <c r="BK248" s="22" t="n"/>
      <c r="BL248" s="6" t="n"/>
      <c r="BM248" s="6" t="n"/>
      <c r="BN248" s="6" t="n"/>
      <c r="BO248" s="6" t="n"/>
      <c r="BP248" s="22" t="n"/>
      <c r="BQ248" s="6" t="n"/>
      <c r="BR248" s="6" t="n"/>
      <c r="BS248" s="6" t="n"/>
      <c r="BT248" s="6" t="n"/>
      <c r="BU248" s="22" t="n"/>
      <c r="BV248" s="6" t="n"/>
      <c r="BW248" s="6" t="n"/>
      <c r="BX248" s="6" t="n"/>
      <c r="BY248" s="6" t="n"/>
      <c r="BZ248" s="22" t="n"/>
      <c r="CA248" s="6" t="n"/>
      <c r="CB248" s="6" t="n"/>
      <c r="CC248" s="6" t="n"/>
      <c r="CD248" s="6" t="n"/>
      <c r="CE248" s="22" t="n"/>
      <c r="CF248" s="6" t="n"/>
      <c r="CG248" s="6" t="n"/>
      <c r="CH248" s="6" t="n"/>
      <c r="CI248" s="6" t="n"/>
      <c r="CJ248" s="22" t="n"/>
      <c r="CK248" s="6" t="n"/>
      <c r="CL248" s="6" t="n"/>
      <c r="CM248" s="6" t="n"/>
      <c r="CN248" s="6" t="n"/>
      <c r="CO248" s="22" t="n"/>
      <c r="CP248" s="6" t="n"/>
      <c r="CQ248" s="6" t="n"/>
      <c r="CR248" s="6" t="n"/>
      <c r="CS248" s="6" t="n"/>
      <c r="CT248" s="22" t="n"/>
      <c r="CU248" s="6" t="n"/>
      <c r="CV248" s="6" t="n"/>
      <c r="CW248" s="6" t="n"/>
      <c r="CX248" s="6" t="n"/>
      <c r="CY248" s="22" t="n"/>
    </row>
    <row r="249" hidden="1" outlineLevel="1" customFormat="1" s="39">
      <c r="A249" s="19" t="n"/>
      <c r="B249" s="19" t="n"/>
      <c r="C249" s="41" t="inlineStr">
        <is>
          <t>Value of shares issued</t>
        </is>
      </c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6" t="n"/>
      <c r="AI249" s="6" t="n"/>
      <c r="AJ249" s="6" t="n"/>
      <c r="AK249" s="6" t="n"/>
      <c r="AL249" s="22" t="n"/>
      <c r="AM249" s="6" t="n"/>
      <c r="AN249" s="6" t="n"/>
      <c r="AO249" s="6" t="n"/>
      <c r="AP249" s="6" t="n"/>
      <c r="AQ249" s="22" t="n"/>
      <c r="AR249" s="6" t="n"/>
      <c r="AS249" s="6" t="n"/>
      <c r="AT249" s="6" t="n"/>
      <c r="AU249" s="6" t="n"/>
      <c r="AV249" s="22" t="n"/>
      <c r="AW249" s="6" t="n"/>
      <c r="AX249" s="6" t="n"/>
      <c r="AY249" s="6" t="n"/>
      <c r="AZ249" s="6" t="n"/>
      <c r="BA249" s="22" t="n"/>
      <c r="BB249" s="6" t="n"/>
      <c r="BC249" s="6" t="n"/>
      <c r="BD249" s="6" t="n"/>
      <c r="BE249" s="6" t="n"/>
      <c r="BF249" s="22" t="n"/>
      <c r="BG249" s="6" t="n"/>
      <c r="BH249" s="6" t="n"/>
      <c r="BI249" s="6" t="n"/>
      <c r="BJ249" s="6" t="n"/>
      <c r="BK249" s="22" t="n"/>
      <c r="BL249" s="6" t="n"/>
      <c r="BM249" s="6" t="n"/>
      <c r="BN249" s="6" t="n"/>
      <c r="BO249" s="6" t="n"/>
      <c r="BP249" s="22" t="n"/>
      <c r="BQ249" s="6" t="n"/>
      <c r="BR249" s="6" t="n"/>
      <c r="BS249" s="6" t="n"/>
      <c r="BT249" s="6" t="n"/>
      <c r="BU249" s="22" t="n"/>
      <c r="BV249" s="6" t="n"/>
      <c r="BW249" s="6" t="n"/>
      <c r="BX249" s="6" t="n"/>
      <c r="BY249" s="6" t="n"/>
      <c r="BZ249" s="22" t="n"/>
      <c r="CA249" s="6" t="n"/>
      <c r="CB249" s="6" t="n"/>
      <c r="CC249" s="6" t="n"/>
      <c r="CD249" s="6" t="n"/>
      <c r="CE249" s="22" t="n"/>
      <c r="CF249" s="6" t="n"/>
      <c r="CG249" s="6" t="n"/>
      <c r="CH249" s="6" t="n"/>
      <c r="CI249" s="6" t="n"/>
      <c r="CJ249" s="22" t="n"/>
      <c r="CK249" s="6" t="n"/>
      <c r="CL249" s="6" t="n"/>
      <c r="CM249" s="6" t="n"/>
      <c r="CN249" s="6" t="n"/>
      <c r="CO249" s="22" t="n"/>
      <c r="CP249" s="6" t="n"/>
      <c r="CQ249" s="6" t="n"/>
      <c r="CR249" s="6" t="n"/>
      <c r="CS249" s="6" t="n"/>
      <c r="CT249" s="22" t="n"/>
      <c r="CU249" s="6" t="n"/>
      <c r="CV249" s="6" t="n"/>
      <c r="CW249" s="6" t="n"/>
      <c r="CX249" s="6" t="n"/>
      <c r="CY249" s="22" t="n"/>
    </row>
    <row r="250" hidden="1" outlineLevel="1" customFormat="1" s="39">
      <c r="A250" s="19" t="n"/>
      <c r="B250" s="19" t="n"/>
      <c r="C250" s="41" t="inlineStr">
        <is>
          <t>Expected average share price</t>
        </is>
      </c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51" t="n"/>
      <c r="AH250" s="42">
        <f>AG250*(1+AH251)</f>
        <v>0</v>
      </c>
      <c r="AI250" s="42">
        <f>AH250*(1+AI251)</f>
        <v>0</v>
      </c>
      <c r="AJ250" s="42">
        <f>AI250*(1+AJ251)</f>
        <v>0</v>
      </c>
      <c r="AK250" s="42">
        <f>AJ250*(1+AK251)</f>
        <v>0</v>
      </c>
      <c r="AL250" s="22" t="n"/>
      <c r="AM250" s="42">
        <f>AK250*(1+AM251)</f>
        <v>0</v>
      </c>
      <c r="AN250" s="42">
        <f>AM250*(1+AN251)</f>
        <v>0</v>
      </c>
      <c r="AO250" s="42">
        <f>AN250*(1+AO251)</f>
        <v>0</v>
      </c>
      <c r="AP250" s="42">
        <f>AO250*(1+AP251)</f>
        <v>0</v>
      </c>
      <c r="AQ250" s="22" t="n"/>
      <c r="AR250" s="42">
        <f>AP250*(1+AR251)</f>
        <v>0</v>
      </c>
      <c r="AS250" s="42">
        <f>AR250*(1+AS251)</f>
        <v>0</v>
      </c>
      <c r="AT250" s="42">
        <f>AS250*(1+AT251)</f>
        <v>0</v>
      </c>
      <c r="AU250" s="42">
        <f>AT250*(1+AU251)</f>
        <v>0</v>
      </c>
      <c r="AV250" s="22" t="n"/>
      <c r="AW250" s="42">
        <f>AU250*(1+AW251)</f>
        <v>0</v>
      </c>
      <c r="AX250" s="42">
        <f>AW250*(1+AX251)</f>
        <v>0</v>
      </c>
      <c r="AY250" s="42">
        <f>AX250*(1+AY251)</f>
        <v>0</v>
      </c>
      <c r="AZ250" s="42">
        <f>AY250*(1+AZ251)</f>
        <v>0</v>
      </c>
      <c r="BA250" s="22" t="n"/>
      <c r="BB250" s="42">
        <f>AZ250*(1+BB251)</f>
        <v>0</v>
      </c>
      <c r="BC250" s="42">
        <f>BB250*(1+BC251)</f>
        <v>0</v>
      </c>
      <c r="BD250" s="42">
        <f>BC250*(1+BD251)</f>
        <v>0</v>
      </c>
      <c r="BE250" s="42">
        <f>BD250*(1+BE251)</f>
        <v>0</v>
      </c>
      <c r="BF250" s="22" t="n"/>
      <c r="BG250" s="42">
        <f>BE250*(1+BG251)</f>
        <v>0</v>
      </c>
      <c r="BH250" s="42">
        <f>BG250*(1+BH251)</f>
        <v>0</v>
      </c>
      <c r="BI250" s="42">
        <f>BH250*(1+BI251)</f>
        <v>0</v>
      </c>
      <c r="BJ250" s="42">
        <f>BI250*(1+BJ251)</f>
        <v>0</v>
      </c>
      <c r="BK250" s="22" t="n"/>
      <c r="BL250" s="42">
        <f>BJ250*(1+BL251)</f>
        <v>0</v>
      </c>
      <c r="BM250" s="42">
        <f>BL250*(1+BM251)</f>
        <v>0</v>
      </c>
      <c r="BN250" s="42">
        <f>BM250*(1+BN251)</f>
        <v>0</v>
      </c>
      <c r="BO250" s="42">
        <f>BN250*(1+BO251)</f>
        <v>0</v>
      </c>
      <c r="BP250" s="22" t="n"/>
      <c r="BQ250" s="42">
        <f>BO250*(1+BQ251)</f>
        <v>0</v>
      </c>
      <c r="BR250" s="42">
        <f>BQ250*(1+BR251)</f>
        <v>0</v>
      </c>
      <c r="BS250" s="42">
        <f>BR250*(1+BS251)</f>
        <v>0</v>
      </c>
      <c r="BT250" s="42">
        <f>BS250*(1+BT251)</f>
        <v>0</v>
      </c>
      <c r="BU250" s="22" t="n"/>
      <c r="BV250" s="42">
        <f>BT250*(1+BV251)</f>
        <v>0</v>
      </c>
      <c r="BW250" s="42">
        <f>BV250*(1+BW251)</f>
        <v>0</v>
      </c>
      <c r="BX250" s="42">
        <f>BW250*(1+BX251)</f>
        <v>0</v>
      </c>
      <c r="BY250" s="42">
        <f>BX250*(1+BY251)</f>
        <v>0</v>
      </c>
      <c r="BZ250" s="22" t="n"/>
      <c r="CA250" s="42">
        <f>BY250*(1+CA251)</f>
        <v>0</v>
      </c>
      <c r="CB250" s="42">
        <f>CA250*(1+CB251)</f>
        <v>0</v>
      </c>
      <c r="CC250" s="42">
        <f>CB250*(1+CC251)</f>
        <v>0</v>
      </c>
      <c r="CD250" s="42">
        <f>CC250*(1+CD251)</f>
        <v>0</v>
      </c>
      <c r="CE250" s="22" t="n"/>
      <c r="CF250" s="42">
        <f>CD250*(1+CF251)</f>
        <v>0</v>
      </c>
      <c r="CG250" s="42">
        <f>CF250*(1+CG251)</f>
        <v>0</v>
      </c>
      <c r="CH250" s="42">
        <f>CG250*(1+CH251)</f>
        <v>0</v>
      </c>
      <c r="CI250" s="42">
        <f>CH250*(1+CI251)</f>
        <v>0</v>
      </c>
      <c r="CJ250" s="22" t="n"/>
      <c r="CK250" s="42">
        <f>CI250*(1+CK251)</f>
        <v>0</v>
      </c>
      <c r="CL250" s="42">
        <f>CK250*(1+CL251)</f>
        <v>0</v>
      </c>
      <c r="CM250" s="42">
        <f>CL250*(1+CM251)</f>
        <v>0</v>
      </c>
      <c r="CN250" s="42">
        <f>CM250*(1+CN251)</f>
        <v>0</v>
      </c>
      <c r="CO250" s="22" t="n"/>
      <c r="CP250" s="42">
        <f>CN250*(1+CP251)</f>
        <v>0</v>
      </c>
      <c r="CQ250" s="42">
        <f>CP250*(1+CQ251)</f>
        <v>0</v>
      </c>
      <c r="CR250" s="42">
        <f>CQ250*(1+CR251)</f>
        <v>0</v>
      </c>
      <c r="CS250" s="42">
        <f>CR250*(1+CS251)</f>
        <v>0</v>
      </c>
      <c r="CT250" s="22" t="n"/>
      <c r="CU250" s="42">
        <f>CS250*(1+CU251)</f>
        <v>0</v>
      </c>
      <c r="CV250" s="42">
        <f>CU250*(1+CV251)</f>
        <v>0</v>
      </c>
      <c r="CW250" s="42">
        <f>CV250*(1+CW251)</f>
        <v>0</v>
      </c>
      <c r="CX250" s="42">
        <f>CW250*(1+CX251)</f>
        <v>0</v>
      </c>
      <c r="CY250" s="22" t="n"/>
      <c r="CZ250">
        <f>CX250*(1+CZ251)</f>
        <v>0</v>
      </c>
      <c r="DA250">
        <f>CZ250*(1+DA251)</f>
        <v>0</v>
      </c>
      <c r="DB250">
        <f>DA250*(1+DB251)</f>
        <v>0</v>
      </c>
      <c r="DC250">
        <f>DB250*(1+DC251)</f>
        <v>0</v>
      </c>
    </row>
    <row r="251" hidden="1" outlineLevel="1" customFormat="1" s="39">
      <c r="A251" s="19" t="n"/>
      <c r="B251" s="19" t="n"/>
      <c r="C251" s="41" t="inlineStr">
        <is>
          <t>Consensus EPS growth</t>
        </is>
      </c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40">
        <f>$AL$256</f>
        <v>0</v>
      </c>
      <c r="AI251" s="40">
        <f>$AL$256</f>
        <v>0</v>
      </c>
      <c r="AJ251" s="40">
        <f>$AL$256</f>
        <v>0</v>
      </c>
      <c r="AK251" s="40">
        <f>$AL$256</f>
        <v>0</v>
      </c>
      <c r="AL251" s="22" t="n"/>
      <c r="AM251" s="40">
        <f>$AL$256</f>
        <v>0</v>
      </c>
      <c r="AN251" s="40">
        <f>$AL$256</f>
        <v>0</v>
      </c>
      <c r="AO251" s="40">
        <f>$AL$256</f>
        <v>0</v>
      </c>
      <c r="AP251" s="40">
        <f>$AL$256</f>
        <v>0</v>
      </c>
      <c r="AQ251" s="22" t="n"/>
      <c r="AR251" s="40">
        <f>$AL$256</f>
        <v>0</v>
      </c>
      <c r="AS251" s="40">
        <f>$AL$256</f>
        <v>0</v>
      </c>
      <c r="AT251" s="40">
        <f>$AL$256</f>
        <v>0</v>
      </c>
      <c r="AU251" s="40">
        <f>$AL$256</f>
        <v>0</v>
      </c>
      <c r="AV251" s="22" t="n"/>
      <c r="AW251" s="40">
        <f>$AL$256</f>
        <v>0</v>
      </c>
      <c r="AX251" s="40">
        <f>$AL$256</f>
        <v>0</v>
      </c>
      <c r="AY251" s="40">
        <f>$AL$256</f>
        <v>0</v>
      </c>
      <c r="AZ251" s="40">
        <f>$AL$256</f>
        <v>0</v>
      </c>
      <c r="BA251" s="22" t="n"/>
      <c r="BB251" s="40">
        <f>$AL$256</f>
        <v>0</v>
      </c>
      <c r="BC251" s="40">
        <f>$AL$256</f>
        <v>0</v>
      </c>
      <c r="BD251" s="40">
        <f>$AL$256</f>
        <v>0</v>
      </c>
      <c r="BE251" s="40">
        <f>$AL$256</f>
        <v>0</v>
      </c>
      <c r="BF251" s="22" t="n"/>
      <c r="BG251" s="40">
        <f>$AL$256</f>
        <v>0</v>
      </c>
      <c r="BH251" s="40">
        <f>$AL$256</f>
        <v>0</v>
      </c>
      <c r="BI251" s="40">
        <f>$AL$256</f>
        <v>0</v>
      </c>
      <c r="BJ251" s="40">
        <f>$AL$256</f>
        <v>0</v>
      </c>
      <c r="BK251" s="22" t="n"/>
      <c r="BL251" s="40">
        <f>$AL$256</f>
        <v>0</v>
      </c>
      <c r="BM251" s="40">
        <f>$AL$256</f>
        <v>0</v>
      </c>
      <c r="BN251" s="40">
        <f>$AL$256</f>
        <v>0</v>
      </c>
      <c r="BO251" s="40">
        <f>$AL$256</f>
        <v>0</v>
      </c>
      <c r="BP251" s="22" t="n"/>
      <c r="BQ251" s="40">
        <f>$AL$256</f>
        <v>0</v>
      </c>
      <c r="BR251" s="40">
        <f>$AL$256</f>
        <v>0</v>
      </c>
      <c r="BS251" s="40">
        <f>$AL$256</f>
        <v>0</v>
      </c>
      <c r="BT251" s="40">
        <f>$AL$256</f>
        <v>0</v>
      </c>
      <c r="BU251" s="22" t="n"/>
      <c r="BV251" s="40">
        <f>$AL$256</f>
        <v>0</v>
      </c>
      <c r="BW251" s="40">
        <f>$AL$256</f>
        <v>0</v>
      </c>
      <c r="BX251" s="40">
        <f>$AL$256</f>
        <v>0</v>
      </c>
      <c r="BY251" s="40">
        <f>$AL$256</f>
        <v>0</v>
      </c>
      <c r="BZ251" s="22" t="n"/>
      <c r="CA251" s="40">
        <f>$AL$256</f>
        <v>0</v>
      </c>
      <c r="CB251" s="40">
        <f>$AL$256</f>
        <v>0</v>
      </c>
      <c r="CC251" s="40">
        <f>$AL$256</f>
        <v>0</v>
      </c>
      <c r="CD251" s="40">
        <f>$AL$256</f>
        <v>0</v>
      </c>
      <c r="CE251" s="22" t="n"/>
      <c r="CF251" s="40">
        <f>$AL$256</f>
        <v>0</v>
      </c>
      <c r="CG251" s="40">
        <f>$AL$256</f>
        <v>0</v>
      </c>
      <c r="CH251" s="40">
        <f>$AL$256</f>
        <v>0</v>
      </c>
      <c r="CI251" s="40">
        <f>$AL$256</f>
        <v>0</v>
      </c>
      <c r="CJ251" s="22" t="n"/>
      <c r="CK251" s="40">
        <f>$AL$256</f>
        <v>0</v>
      </c>
      <c r="CL251" s="40">
        <f>$AL$256</f>
        <v>0</v>
      </c>
      <c r="CM251" s="40">
        <f>$AL$256</f>
        <v>0</v>
      </c>
      <c r="CN251" s="40">
        <f>$AL$256</f>
        <v>0</v>
      </c>
      <c r="CO251" s="22" t="n"/>
      <c r="CP251" s="40">
        <f>$AL$256</f>
        <v>0</v>
      </c>
      <c r="CQ251" s="40">
        <f>$AL$256</f>
        <v>0</v>
      </c>
      <c r="CR251" s="40">
        <f>$AL$256</f>
        <v>0</v>
      </c>
      <c r="CS251" s="40">
        <f>$AL$256</f>
        <v>0</v>
      </c>
      <c r="CT251" s="22" t="n"/>
      <c r="CU251" s="40">
        <f>$AL$256</f>
        <v>0</v>
      </c>
      <c r="CV251" s="40">
        <f>$AL$256</f>
        <v>0</v>
      </c>
      <c r="CW251" s="40">
        <f>$AL$256</f>
        <v>0</v>
      </c>
      <c r="CX251" s="40">
        <f>$AL$256</f>
        <v>0</v>
      </c>
      <c r="CY251" s="22" t="n"/>
    </row>
    <row r="252" hidden="1" outlineLevel="1" customFormat="1" s="39">
      <c r="A252" s="19" t="n"/>
      <c r="B252" s="19" t="n"/>
      <c r="C252" s="41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3" t="n"/>
      <c r="AI252" s="3" t="n"/>
      <c r="AJ252" s="3" t="n"/>
      <c r="AK252" s="3" t="n"/>
      <c r="AL252" s="22" t="n"/>
      <c r="AM252" s="3" t="n"/>
      <c r="AN252" s="3" t="n"/>
      <c r="AO252" s="3" t="n"/>
      <c r="AP252" s="3" t="n"/>
      <c r="AQ252" s="22" t="n"/>
      <c r="AR252" s="3" t="n"/>
      <c r="AS252" s="3" t="n"/>
      <c r="AT252" s="3" t="n"/>
      <c r="AU252" s="3" t="n"/>
      <c r="AV252" s="22" t="n"/>
      <c r="AW252" s="3" t="n"/>
      <c r="AX252" s="3" t="n"/>
      <c r="AY252" s="3" t="n"/>
      <c r="AZ252" s="3" t="n"/>
      <c r="BA252" s="22" t="n"/>
      <c r="BB252" s="3" t="n"/>
      <c r="BC252" s="3" t="n"/>
      <c r="BD252" s="3" t="n"/>
      <c r="BE252" s="3" t="n"/>
      <c r="BF252" s="22" t="n"/>
      <c r="BG252" s="3" t="n"/>
      <c r="BH252" s="3" t="n"/>
      <c r="BI252" s="3" t="n"/>
      <c r="BJ252" s="3" t="n"/>
      <c r="BK252" s="22" t="n"/>
      <c r="BL252" s="3" t="n"/>
      <c r="BM252" s="3" t="n"/>
      <c r="BN252" s="3" t="n"/>
      <c r="BO252" s="3" t="n"/>
      <c r="BP252" s="22" t="n"/>
      <c r="BQ252" s="3" t="n"/>
      <c r="BR252" s="3" t="n"/>
      <c r="BS252" s="3" t="n"/>
      <c r="BT252" s="3" t="n"/>
      <c r="BU252" s="22" t="n"/>
      <c r="BV252" s="3" t="n"/>
      <c r="BW252" s="3" t="n"/>
      <c r="BX252" s="3" t="n"/>
      <c r="BY252" s="3" t="n"/>
      <c r="BZ252" s="22" t="n"/>
      <c r="CA252" s="3" t="n"/>
      <c r="CB252" s="3" t="n"/>
      <c r="CC252" s="3" t="n"/>
      <c r="CD252" s="3" t="n"/>
      <c r="CE252" s="22" t="n"/>
      <c r="CF252" s="3" t="n"/>
      <c r="CG252" s="3" t="n"/>
      <c r="CH252" s="3" t="n"/>
      <c r="CI252" s="3" t="n"/>
      <c r="CJ252" s="22" t="n"/>
      <c r="CK252" s="3" t="n"/>
      <c r="CL252" s="3" t="n"/>
      <c r="CM252" s="3" t="n"/>
      <c r="CN252" s="3" t="n"/>
      <c r="CO252" s="22" t="n"/>
      <c r="CP252" s="3" t="n"/>
      <c r="CQ252" s="3" t="n"/>
      <c r="CR252" s="3" t="n"/>
      <c r="CS252" s="3" t="n"/>
      <c r="CT252" s="22" t="n"/>
      <c r="CU252" s="3" t="n"/>
      <c r="CV252" s="3" t="n"/>
      <c r="CW252" s="3" t="n"/>
      <c r="CX252" s="3" t="n"/>
      <c r="CY252" s="22" t="n"/>
    </row>
    <row r="253" hidden="1" outlineLevel="1" customFormat="1" s="39">
      <c r="A253" s="19" t="n"/>
      <c r="B253" s="19" t="n"/>
      <c r="C253" s="41" t="inlineStr">
        <is>
          <t>Shares repurchased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43" t="n"/>
      <c r="AI253" s="43" t="n"/>
      <c r="AJ253" s="43" t="e">
        <f>-AJ248/AJ250</f>
        <v>#DIV/0!</v>
      </c>
      <c r="AK253" s="43" t="e">
        <f>-AK248/AK250</f>
        <v>#DIV/0!</v>
      </c>
      <c r="AL253" s="22" t="n"/>
      <c r="AM253" s="43" t="e">
        <f>-AM248/AM250</f>
        <v>#DIV/0!</v>
      </c>
      <c r="AN253" s="43" t="e">
        <f>-AN248/AN250</f>
        <v>#DIV/0!</v>
      </c>
      <c r="AO253" s="43" t="e">
        <f>-AO248/AO250</f>
        <v>#DIV/0!</v>
      </c>
      <c r="AP253" s="43" t="e">
        <f>-AP248/AP250</f>
        <v>#DIV/0!</v>
      </c>
      <c r="AQ253" s="22" t="n"/>
      <c r="AR253" s="43" t="e">
        <f>-AR248/AR250</f>
        <v>#DIV/0!</v>
      </c>
      <c r="AS253" s="43" t="e">
        <f>-AS248/AS250</f>
        <v>#DIV/0!</v>
      </c>
      <c r="AT253" s="43" t="e">
        <f>-AT248/AT250</f>
        <v>#DIV/0!</v>
      </c>
      <c r="AU253" s="43" t="e">
        <f>-AU248/AU250</f>
        <v>#DIV/0!</v>
      </c>
      <c r="AV253" s="22" t="n"/>
      <c r="AW253" s="43" t="e">
        <f>-AW248/AW250</f>
        <v>#DIV/0!</v>
      </c>
      <c r="AX253" s="43" t="e">
        <f>-AX248/AX250</f>
        <v>#DIV/0!</v>
      </c>
      <c r="AY253" s="43" t="e">
        <f>-AY248/AY250</f>
        <v>#DIV/0!</v>
      </c>
      <c r="AZ253" s="43" t="e">
        <f>-AZ248/AZ250</f>
        <v>#DIV/0!</v>
      </c>
      <c r="BA253" s="22" t="n"/>
      <c r="BB253" s="43" t="e">
        <f>-BB248/BB250</f>
        <v>#DIV/0!</v>
      </c>
      <c r="BC253" s="43" t="e">
        <f>-BC248/BC250</f>
        <v>#DIV/0!</v>
      </c>
      <c r="BD253" s="43" t="e">
        <f>-BD248/BD250</f>
        <v>#DIV/0!</v>
      </c>
      <c r="BE253" s="43" t="e">
        <f>-BE248/BE250</f>
        <v>#DIV/0!</v>
      </c>
      <c r="BF253" s="22" t="n"/>
      <c r="BG253" s="43" t="e">
        <f>-BG248/BG250</f>
        <v>#DIV/0!</v>
      </c>
      <c r="BH253" s="43" t="e">
        <f>-BH248/BH250</f>
        <v>#DIV/0!</v>
      </c>
      <c r="BI253" s="43" t="e">
        <f>-BI248/BI250</f>
        <v>#DIV/0!</v>
      </c>
      <c r="BJ253" s="43" t="e">
        <f>-BJ248/BJ250</f>
        <v>#DIV/0!</v>
      </c>
      <c r="BK253" s="22" t="n"/>
      <c r="BL253" s="43" t="e">
        <f>-BL248/BL250</f>
        <v>#DIV/0!</v>
      </c>
      <c r="BM253" s="43" t="e">
        <f>-BM248/BM250</f>
        <v>#DIV/0!</v>
      </c>
      <c r="BN253" s="43" t="e">
        <f>-BN248/BN250</f>
        <v>#DIV/0!</v>
      </c>
      <c r="BO253" s="43" t="e">
        <f>-BO248/BO250</f>
        <v>#DIV/0!</v>
      </c>
      <c r="BP253" s="22" t="n"/>
      <c r="BQ253" s="43" t="e">
        <f>-BQ248/BQ250</f>
        <v>#DIV/0!</v>
      </c>
      <c r="BR253" s="43" t="e">
        <f>-BR248/BR250</f>
        <v>#DIV/0!</v>
      </c>
      <c r="BS253" s="43" t="e">
        <f>-BS248/BS250</f>
        <v>#DIV/0!</v>
      </c>
      <c r="BT253" s="43" t="e">
        <f>-BT248/BT250</f>
        <v>#DIV/0!</v>
      </c>
      <c r="BU253" s="22" t="n"/>
      <c r="BV253" s="43" t="e">
        <f>-BV248/BV250</f>
        <v>#DIV/0!</v>
      </c>
      <c r="BW253" s="43" t="e">
        <f>-BW248/BW250</f>
        <v>#DIV/0!</v>
      </c>
      <c r="BX253" s="43" t="e">
        <f>-BX248/BX250</f>
        <v>#DIV/0!</v>
      </c>
      <c r="BY253" s="43" t="e">
        <f>-BY248/BY250</f>
        <v>#DIV/0!</v>
      </c>
      <c r="BZ253" s="22" t="n"/>
      <c r="CA253" s="43" t="e">
        <f>-CA248/CA250</f>
        <v>#DIV/0!</v>
      </c>
      <c r="CB253" s="43" t="e">
        <f>-CB248/CB250</f>
        <v>#DIV/0!</v>
      </c>
      <c r="CC253" s="43" t="e">
        <f>-CC248/CC250</f>
        <v>#DIV/0!</v>
      </c>
      <c r="CD253" s="43" t="e">
        <f>-CD248/CD250</f>
        <v>#DIV/0!</v>
      </c>
      <c r="CE253" s="22" t="n"/>
      <c r="CF253" s="43" t="e">
        <f>-CF248/CF250</f>
        <v>#DIV/0!</v>
      </c>
      <c r="CG253" s="43" t="e">
        <f>-CG248/CG250</f>
        <v>#DIV/0!</v>
      </c>
      <c r="CH253" s="43" t="e">
        <f>-CH248/CH250</f>
        <v>#DIV/0!</v>
      </c>
      <c r="CI253" s="43" t="e">
        <f>-CI248/CI250</f>
        <v>#DIV/0!</v>
      </c>
      <c r="CJ253" s="22" t="n"/>
      <c r="CK253" s="43" t="e">
        <f>-CK248/CK250</f>
        <v>#DIV/0!</v>
      </c>
      <c r="CL253" s="43" t="e">
        <f>-CL248/CL250</f>
        <v>#DIV/0!</v>
      </c>
      <c r="CM253" s="43" t="e">
        <f>-CM248/CM250</f>
        <v>#DIV/0!</v>
      </c>
      <c r="CN253" s="43" t="e">
        <f>-CN248/CN250</f>
        <v>#DIV/0!</v>
      </c>
      <c r="CO253" s="22" t="n"/>
      <c r="CP253" s="43" t="e">
        <f>-CP248/CP250</f>
        <v>#DIV/0!</v>
      </c>
      <c r="CQ253" s="43" t="e">
        <f>-CQ248/CQ250</f>
        <v>#DIV/0!</v>
      </c>
      <c r="CR253" s="43" t="e">
        <f>-CR248/CR250</f>
        <v>#DIV/0!</v>
      </c>
      <c r="CS253" s="43" t="e">
        <f>-CS248/CS250</f>
        <v>#DIV/0!</v>
      </c>
      <c r="CT253" s="22" t="n"/>
      <c r="CU253" s="43" t="e">
        <f>-CU248/CU250</f>
        <v>#DIV/0!</v>
      </c>
      <c r="CV253" s="43" t="e">
        <f>-CV248/CV250</f>
        <v>#DIV/0!</v>
      </c>
      <c r="CW253" s="43" t="e">
        <f>-CW248/CW250</f>
        <v>#DIV/0!</v>
      </c>
      <c r="CX253" s="43" t="e">
        <f>-CX248/CX250</f>
        <v>#DIV/0!</v>
      </c>
      <c r="CY253" s="22" t="n"/>
    </row>
    <row r="254" hidden="1" outlineLevel="1" customFormat="1" s="39">
      <c r="A254" s="19" t="n"/>
      <c r="B254" s="19" t="n"/>
      <c r="C254" s="41" t="inlineStr">
        <is>
          <t>Shares issued</t>
        </is>
      </c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46" t="n"/>
      <c r="AG254" s="22" t="n"/>
      <c r="AH254" s="43" t="n"/>
      <c r="AI254" s="43" t="n"/>
      <c r="AJ254" s="43" t="e">
        <f>AJ249/AJ250</f>
        <v>#DIV/0!</v>
      </c>
      <c r="AK254" s="43" t="e">
        <f>AK249/AK250</f>
        <v>#DIV/0!</v>
      </c>
      <c r="AL254" s="22" t="n"/>
      <c r="AM254" s="43" t="e">
        <f>AM249/AM250</f>
        <v>#DIV/0!</v>
      </c>
      <c r="AN254" s="43" t="e">
        <f>AN249/AN250</f>
        <v>#DIV/0!</v>
      </c>
      <c r="AO254" s="43" t="e">
        <f>AO249/AO250</f>
        <v>#DIV/0!</v>
      </c>
      <c r="AP254" s="43" t="e">
        <f>AP249/AP250</f>
        <v>#DIV/0!</v>
      </c>
      <c r="AQ254" s="22" t="n"/>
      <c r="AR254" s="43" t="e">
        <f>AR249/AR250</f>
        <v>#DIV/0!</v>
      </c>
      <c r="AS254" s="43" t="e">
        <f>AS249/AS250</f>
        <v>#DIV/0!</v>
      </c>
      <c r="AT254" s="43" t="e">
        <f>AT249/AT250</f>
        <v>#DIV/0!</v>
      </c>
      <c r="AU254" s="43" t="e">
        <f>AU249/AU250</f>
        <v>#DIV/0!</v>
      </c>
      <c r="AV254" s="22" t="n"/>
      <c r="AW254" s="43" t="e">
        <f>AW249/AW250</f>
        <v>#DIV/0!</v>
      </c>
      <c r="AX254" s="43" t="e">
        <f>AX249/AX250</f>
        <v>#DIV/0!</v>
      </c>
      <c r="AY254" s="43" t="e">
        <f>AY249/AY250</f>
        <v>#DIV/0!</v>
      </c>
      <c r="AZ254" s="43" t="e">
        <f>AZ249/AZ250</f>
        <v>#DIV/0!</v>
      </c>
      <c r="BA254" s="22" t="n"/>
      <c r="BB254" s="43" t="e">
        <f>BB249/BB250</f>
        <v>#DIV/0!</v>
      </c>
      <c r="BC254" s="43" t="e">
        <f>BC249/BC250</f>
        <v>#DIV/0!</v>
      </c>
      <c r="BD254" s="43" t="e">
        <f>BD249/BD250</f>
        <v>#DIV/0!</v>
      </c>
      <c r="BE254" s="43" t="e">
        <f>BE249/BE250</f>
        <v>#DIV/0!</v>
      </c>
      <c r="BF254" s="22" t="n"/>
      <c r="BG254" s="43" t="e">
        <f>BG249/BG250</f>
        <v>#DIV/0!</v>
      </c>
      <c r="BH254" s="43" t="e">
        <f>BH249/BH250</f>
        <v>#DIV/0!</v>
      </c>
      <c r="BI254" s="43" t="e">
        <f>BI249/BI250</f>
        <v>#DIV/0!</v>
      </c>
      <c r="BJ254" s="43" t="e">
        <f>BJ249/BJ250</f>
        <v>#DIV/0!</v>
      </c>
      <c r="BK254" s="22" t="n"/>
      <c r="BL254" s="43" t="e">
        <f>BL249/BL250</f>
        <v>#DIV/0!</v>
      </c>
      <c r="BM254" s="43" t="e">
        <f>BM249/BM250</f>
        <v>#DIV/0!</v>
      </c>
      <c r="BN254" s="43" t="e">
        <f>BN249/BN250</f>
        <v>#DIV/0!</v>
      </c>
      <c r="BO254" s="43" t="e">
        <f>BO249/BO250</f>
        <v>#DIV/0!</v>
      </c>
      <c r="BP254" s="22" t="n"/>
      <c r="BQ254" s="43" t="e">
        <f>BQ249/BQ250</f>
        <v>#DIV/0!</v>
      </c>
      <c r="BR254" s="43" t="e">
        <f>BR249/BR250</f>
        <v>#DIV/0!</v>
      </c>
      <c r="BS254" s="43" t="e">
        <f>BS249/BS250</f>
        <v>#DIV/0!</v>
      </c>
      <c r="BT254" s="43" t="e">
        <f>BT249/BT250</f>
        <v>#DIV/0!</v>
      </c>
      <c r="BU254" s="22" t="n"/>
      <c r="BV254" s="43" t="e">
        <f>BV249/BV250</f>
        <v>#DIV/0!</v>
      </c>
      <c r="BW254" s="43" t="e">
        <f>BW249/BW250</f>
        <v>#DIV/0!</v>
      </c>
      <c r="BX254" s="43" t="e">
        <f>BX249/BX250</f>
        <v>#DIV/0!</v>
      </c>
      <c r="BY254" s="43" t="e">
        <f>BY249/BY250</f>
        <v>#DIV/0!</v>
      </c>
      <c r="BZ254" s="22" t="n"/>
      <c r="CA254" s="43" t="e">
        <f>CA249/CA250</f>
        <v>#DIV/0!</v>
      </c>
      <c r="CB254" s="43" t="e">
        <f>CB249/CB250</f>
        <v>#DIV/0!</v>
      </c>
      <c r="CC254" s="43" t="e">
        <f>CC249/CC250</f>
        <v>#DIV/0!</v>
      </c>
      <c r="CD254" s="43" t="e">
        <f>CD249/CD250</f>
        <v>#DIV/0!</v>
      </c>
      <c r="CE254" s="22" t="n"/>
      <c r="CF254" s="43" t="e">
        <f>CF249/CF250</f>
        <v>#DIV/0!</v>
      </c>
      <c r="CG254" s="43" t="e">
        <f>CG249/CG250</f>
        <v>#DIV/0!</v>
      </c>
      <c r="CH254" s="43" t="e">
        <f>CH249/CH250</f>
        <v>#DIV/0!</v>
      </c>
      <c r="CI254" s="43" t="e">
        <f>CI249/CI250</f>
        <v>#DIV/0!</v>
      </c>
      <c r="CJ254" s="22" t="n"/>
      <c r="CK254" s="43" t="e">
        <f>CK249/CK250</f>
        <v>#DIV/0!</v>
      </c>
      <c r="CL254" s="43" t="e">
        <f>CL249/CL250</f>
        <v>#DIV/0!</v>
      </c>
      <c r="CM254" s="43" t="e">
        <f>CM249/CM250</f>
        <v>#DIV/0!</v>
      </c>
      <c r="CN254" s="43" t="e">
        <f>CN249/CN250</f>
        <v>#DIV/0!</v>
      </c>
      <c r="CO254" s="22" t="n"/>
      <c r="CP254" s="43" t="e">
        <f>CP249/CP250</f>
        <v>#DIV/0!</v>
      </c>
      <c r="CQ254" s="43" t="e">
        <f>CQ249/CQ250</f>
        <v>#DIV/0!</v>
      </c>
      <c r="CR254" s="43" t="e">
        <f>CR249/CR250</f>
        <v>#DIV/0!</v>
      </c>
      <c r="CS254" s="43" t="e">
        <f>CS249/CS250</f>
        <v>#DIV/0!</v>
      </c>
      <c r="CT254" s="22" t="n"/>
      <c r="CU254" s="43" t="e">
        <f>CU249/CU250</f>
        <v>#DIV/0!</v>
      </c>
      <c r="CV254" s="43" t="e">
        <f>CV249/CV250</f>
        <v>#DIV/0!</v>
      </c>
      <c r="CW254" s="43" t="e">
        <f>CW249/CW250</f>
        <v>#DIV/0!</v>
      </c>
      <c r="CX254" s="43" t="e">
        <f>CX249/CX250</f>
        <v>#DIV/0!</v>
      </c>
      <c r="CY254" s="22" t="n"/>
    </row>
    <row r="255" hidden="1" outlineLevel="1" customFormat="1" s="39">
      <c r="A255" s="19" t="n"/>
      <c r="B255" s="19" t="n"/>
      <c r="C255" s="41" t="inlineStr">
        <is>
          <t>End of period basic shares outstanding</t>
        </is>
      </c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51" t="n"/>
      <c r="AH255" s="1">
        <f>AG255+AH254-AH253</f>
        <v>0</v>
      </c>
      <c r="AI255" s="1">
        <f>AH255+AI254-AI253</f>
        <v>0</v>
      </c>
      <c r="AJ255" s="43" t="e">
        <f>AI255+AJ254-AJ253</f>
        <v>#DIV/0!</v>
      </c>
      <c r="AK255" s="43" t="e">
        <f>AJ255+AK254-AK253</f>
        <v>#DIV/0!</v>
      </c>
      <c r="AL255" s="22" t="n"/>
      <c r="AM255" s="1" t="e">
        <f>AK255+AM254-AM253</f>
        <v>#DIV/0!</v>
      </c>
      <c r="AN255" s="1" t="e">
        <f>AM255+AN254-AN253</f>
        <v>#DIV/0!</v>
      </c>
      <c r="AO255" s="43" t="e">
        <f>AN255+AO254-AO253</f>
        <v>#DIV/0!</v>
      </c>
      <c r="AP255" s="43" t="e">
        <f>AO255+AP254-AP253</f>
        <v>#DIV/0!</v>
      </c>
      <c r="AQ255" s="22" t="n"/>
      <c r="AR255" s="1" t="e">
        <f>AP255+AR254-AR253</f>
        <v>#DIV/0!</v>
      </c>
      <c r="AS255" s="1" t="e">
        <f>AR255+AS254-AS253</f>
        <v>#DIV/0!</v>
      </c>
      <c r="AT255" s="43" t="e">
        <f>AS255+AT254-AT253</f>
        <v>#DIV/0!</v>
      </c>
      <c r="AU255" s="43" t="e">
        <f>AT255+AU254-AU253</f>
        <v>#DIV/0!</v>
      </c>
      <c r="AV255" s="22" t="n"/>
      <c r="AW255" s="1" t="e">
        <f>AU255+AW254-AW253</f>
        <v>#DIV/0!</v>
      </c>
      <c r="AX255" s="1" t="e">
        <f>AW255+AX254-AX253</f>
        <v>#DIV/0!</v>
      </c>
      <c r="AY255" s="43" t="e">
        <f>AX255+AY254-AY253</f>
        <v>#DIV/0!</v>
      </c>
      <c r="AZ255" s="43" t="e">
        <f>AY255+AZ254-AZ253</f>
        <v>#DIV/0!</v>
      </c>
      <c r="BA255" s="22" t="n"/>
      <c r="BB255" s="1" t="e">
        <f>AZ255+BB254-BB253</f>
        <v>#DIV/0!</v>
      </c>
      <c r="BC255" s="1" t="e">
        <f>BB255+BC254-BC253</f>
        <v>#DIV/0!</v>
      </c>
      <c r="BD255" s="43" t="e">
        <f>BC255+BD254-BD253</f>
        <v>#DIV/0!</v>
      </c>
      <c r="BE255" s="43" t="e">
        <f>BD255+BE254-BE253</f>
        <v>#DIV/0!</v>
      </c>
      <c r="BF255" s="22" t="n"/>
      <c r="BG255" s="1" t="e">
        <f>BE255+BG254-BG253</f>
        <v>#DIV/0!</v>
      </c>
      <c r="BH255" s="1" t="e">
        <f>BG255+BH254-BH253</f>
        <v>#DIV/0!</v>
      </c>
      <c r="BI255" s="43" t="e">
        <f>BH255+BI254-BI253</f>
        <v>#DIV/0!</v>
      </c>
      <c r="BJ255" s="43" t="e">
        <f>BI255+BJ254-BJ253</f>
        <v>#DIV/0!</v>
      </c>
      <c r="BK255" s="22" t="n"/>
      <c r="BL255" s="1" t="e">
        <f>BJ255+BL254-BL253</f>
        <v>#DIV/0!</v>
      </c>
      <c r="BM255" s="1" t="e">
        <f>BL255+BM254-BM253</f>
        <v>#DIV/0!</v>
      </c>
      <c r="BN255" s="43" t="e">
        <f>BM255+BN254-BN253</f>
        <v>#DIV/0!</v>
      </c>
      <c r="BO255" s="43" t="e">
        <f>BN255+BO254-BO253</f>
        <v>#DIV/0!</v>
      </c>
      <c r="BP255" s="22" t="n"/>
      <c r="BQ255" s="1" t="e">
        <f>BO255+BQ254-BQ253</f>
        <v>#DIV/0!</v>
      </c>
      <c r="BR255" s="1" t="e">
        <f>BQ255+BR254-BR253</f>
        <v>#DIV/0!</v>
      </c>
      <c r="BS255" s="43" t="e">
        <f>BR255+BS254-BS253</f>
        <v>#DIV/0!</v>
      </c>
      <c r="BT255" s="43" t="e">
        <f>BS255+BT254-BT253</f>
        <v>#DIV/0!</v>
      </c>
      <c r="BU255" s="22" t="n"/>
      <c r="BV255" s="1" t="e">
        <f>BT255+BV254-BV253</f>
        <v>#DIV/0!</v>
      </c>
      <c r="BW255" s="1" t="e">
        <f>BV255+BW254-BW253</f>
        <v>#DIV/0!</v>
      </c>
      <c r="BX255" s="43" t="e">
        <f>BW255+BX254-BX253</f>
        <v>#DIV/0!</v>
      </c>
      <c r="BY255" s="43" t="e">
        <f>BX255+BY254-BY253</f>
        <v>#DIV/0!</v>
      </c>
      <c r="BZ255" s="22" t="n"/>
      <c r="CA255" s="1" t="e">
        <f>BY255+CA254-CA253</f>
        <v>#DIV/0!</v>
      </c>
      <c r="CB255" s="1" t="e">
        <f>CA255+CB254-CB253</f>
        <v>#DIV/0!</v>
      </c>
      <c r="CC255" s="43" t="e">
        <f>CB255+CC254-CC253</f>
        <v>#DIV/0!</v>
      </c>
      <c r="CD255" s="43" t="e">
        <f>CC255+CD254-CD253</f>
        <v>#DIV/0!</v>
      </c>
      <c r="CE255" s="22" t="n"/>
      <c r="CF255" s="1" t="e">
        <f>CD255+CF254-CF253</f>
        <v>#DIV/0!</v>
      </c>
      <c r="CG255" s="1" t="e">
        <f>CF255+CG254-CG253</f>
        <v>#DIV/0!</v>
      </c>
      <c r="CH255" s="43" t="e">
        <f>CG255+CH254-CH253</f>
        <v>#DIV/0!</v>
      </c>
      <c r="CI255" s="43" t="e">
        <f>CH255+CI254-CI253</f>
        <v>#DIV/0!</v>
      </c>
      <c r="CJ255" s="22" t="n"/>
      <c r="CK255" s="1" t="e">
        <f>CI255+CK254-CK253</f>
        <v>#DIV/0!</v>
      </c>
      <c r="CL255" s="1" t="e">
        <f>CK255+CL254-CL253</f>
        <v>#DIV/0!</v>
      </c>
      <c r="CM255" s="43" t="e">
        <f>CL255+CM254-CM253</f>
        <v>#DIV/0!</v>
      </c>
      <c r="CN255" s="43" t="e">
        <f>CM255+CN254-CN253</f>
        <v>#DIV/0!</v>
      </c>
      <c r="CO255" s="22" t="n"/>
      <c r="CP255" s="1" t="e">
        <f>CN255+CP254-CP253</f>
        <v>#DIV/0!</v>
      </c>
      <c r="CQ255" s="1" t="e">
        <f>CP255+CQ254-CQ253</f>
        <v>#DIV/0!</v>
      </c>
      <c r="CR255" s="43" t="e">
        <f>CQ255+CR254-CR253</f>
        <v>#DIV/0!</v>
      </c>
      <c r="CS255" s="43" t="e">
        <f>CR255+CS254-CS253</f>
        <v>#DIV/0!</v>
      </c>
      <c r="CT255" s="22" t="n"/>
      <c r="CU255" s="1" t="e">
        <f>CS255+CU254-CU253</f>
        <v>#DIV/0!</v>
      </c>
      <c r="CV255" s="1" t="e">
        <f>CU255+CV254-CV253</f>
        <v>#DIV/0!</v>
      </c>
      <c r="CW255" s="43" t="e">
        <f>CV255+CW254-CW253</f>
        <v>#DIV/0!</v>
      </c>
      <c r="CX255" s="43" t="e">
        <f>CW255+CX254-CX253</f>
        <v>#DIV/0!</v>
      </c>
      <c r="CY255" s="22" t="n"/>
      <c r="CZ255" t="e">
        <f>CX255+CZ254-CZ253</f>
        <v>#DIV/0!</v>
      </c>
      <c r="DA255" t="e">
        <f>CZ255+DA254-DA253</f>
        <v>#DIV/0!</v>
      </c>
      <c r="DB255" t="e">
        <f>DA255+DB254-DB253</f>
        <v>#DIV/0!</v>
      </c>
      <c r="DC255" t="e">
        <f>DB255+DC254-DC253</f>
        <v>#DIV/0!</v>
      </c>
    </row>
    <row r="256" hidden="1" outlineLevel="1" customFormat="1" s="39">
      <c r="A256" s="19" t="n"/>
      <c r="B256" s="19" t="n"/>
      <c r="C256" s="41" t="inlineStr">
        <is>
          <t>Weighted average basic shares outstanding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43">
        <f>AVERAGE(AG255,AH255)</f>
        <v>0</v>
      </c>
      <c r="AI256" s="43">
        <f>AVERAGE(AH255,AI255)</f>
        <v>0</v>
      </c>
      <c r="AJ256" s="43" t="e">
        <f>AVERAGE(AI255,AJ255)</f>
        <v>#DIV/0!</v>
      </c>
      <c r="AK256" s="43" t="e">
        <f>AVERAGE(AJ255,AK255)</f>
        <v>#DIV/0!</v>
      </c>
      <c r="AL256" s="22" t="n"/>
      <c r="AM256" s="43" t="e">
        <f>AVERAGE(AK255,AM255)</f>
        <v>#DIV/0!</v>
      </c>
      <c r="AN256" s="43" t="e">
        <f>AVERAGE(AM255,AN255)</f>
        <v>#DIV/0!</v>
      </c>
      <c r="AO256" s="43" t="e">
        <f>AVERAGE(AN255,AO255)</f>
        <v>#DIV/0!</v>
      </c>
      <c r="AP256" s="43" t="e">
        <f>AVERAGE(AO255,AP255)</f>
        <v>#DIV/0!</v>
      </c>
      <c r="AQ256" s="22" t="n"/>
      <c r="AR256" s="43" t="e">
        <f>AVERAGE(AP255,AR255)</f>
        <v>#DIV/0!</v>
      </c>
      <c r="AS256" s="43" t="e">
        <f>AVERAGE(AR255,AS255)</f>
        <v>#DIV/0!</v>
      </c>
      <c r="AT256" s="43" t="e">
        <f>AVERAGE(AS255,AT255)</f>
        <v>#DIV/0!</v>
      </c>
      <c r="AU256" s="43" t="e">
        <f>AVERAGE(AT255,AU255)</f>
        <v>#DIV/0!</v>
      </c>
      <c r="AV256" s="22" t="n"/>
      <c r="AW256" s="43" t="e">
        <f>AVERAGE(AU255,AW255)</f>
        <v>#DIV/0!</v>
      </c>
      <c r="AX256" s="43" t="e">
        <f>AVERAGE(AW255,AX255)</f>
        <v>#DIV/0!</v>
      </c>
      <c r="AY256" s="43" t="e">
        <f>AVERAGE(AX255,AY255)</f>
        <v>#DIV/0!</v>
      </c>
      <c r="AZ256" s="43" t="e">
        <f>AVERAGE(AY255,AZ255)</f>
        <v>#DIV/0!</v>
      </c>
      <c r="BA256" s="22" t="n"/>
      <c r="BB256" s="43" t="e">
        <f>AVERAGE(AZ255,BB255)</f>
        <v>#DIV/0!</v>
      </c>
      <c r="BC256" s="43" t="e">
        <f>AVERAGE(BB255,BC255)</f>
        <v>#DIV/0!</v>
      </c>
      <c r="BD256" s="43" t="e">
        <f>AVERAGE(BC255,BD255)</f>
        <v>#DIV/0!</v>
      </c>
      <c r="BE256" s="43" t="e">
        <f>AVERAGE(BD255,BE255)</f>
        <v>#DIV/0!</v>
      </c>
      <c r="BF256" s="22" t="n"/>
      <c r="BG256" s="43" t="e">
        <f>AVERAGE(BE255,BG255)</f>
        <v>#DIV/0!</v>
      </c>
      <c r="BH256" s="43" t="e">
        <f>AVERAGE(BG255,BH255)</f>
        <v>#DIV/0!</v>
      </c>
      <c r="BI256" s="43" t="e">
        <f>AVERAGE(BH255,BI255)</f>
        <v>#DIV/0!</v>
      </c>
      <c r="BJ256" s="43" t="e">
        <f>AVERAGE(BI255,BJ255)</f>
        <v>#DIV/0!</v>
      </c>
      <c r="BK256" s="22" t="n"/>
      <c r="BL256" s="43" t="e">
        <f>AVERAGE(BJ255,BL255)</f>
        <v>#DIV/0!</v>
      </c>
      <c r="BM256" s="43" t="e">
        <f>AVERAGE(BL255,BM255)</f>
        <v>#DIV/0!</v>
      </c>
      <c r="BN256" s="43" t="e">
        <f>AVERAGE(BM255,BN255)</f>
        <v>#DIV/0!</v>
      </c>
      <c r="BO256" s="43" t="e">
        <f>AVERAGE(BN255,BO255)</f>
        <v>#DIV/0!</v>
      </c>
      <c r="BP256" s="22" t="n"/>
      <c r="BQ256" s="43" t="e">
        <f>AVERAGE(BO255,BQ255)</f>
        <v>#DIV/0!</v>
      </c>
      <c r="BR256" s="43" t="e">
        <f>AVERAGE(BQ255,BR255)</f>
        <v>#DIV/0!</v>
      </c>
      <c r="BS256" s="43" t="e">
        <f>AVERAGE(BR255,BS255)</f>
        <v>#DIV/0!</v>
      </c>
      <c r="BT256" s="43" t="e">
        <f>AVERAGE(BS255,BT255)</f>
        <v>#DIV/0!</v>
      </c>
      <c r="BU256" s="22" t="n"/>
      <c r="BV256" s="43" t="e">
        <f>AVERAGE(BT255,BV255)</f>
        <v>#DIV/0!</v>
      </c>
      <c r="BW256" s="43" t="e">
        <f>AVERAGE(BV255,BW255)</f>
        <v>#DIV/0!</v>
      </c>
      <c r="BX256" s="43" t="e">
        <f>AVERAGE(BW255,BX255)</f>
        <v>#DIV/0!</v>
      </c>
      <c r="BY256" s="43" t="e">
        <f>AVERAGE(BX255,BY255)</f>
        <v>#DIV/0!</v>
      </c>
      <c r="BZ256" s="22" t="n"/>
      <c r="CA256" s="43" t="e">
        <f>AVERAGE(BY255,CA255)</f>
        <v>#DIV/0!</v>
      </c>
      <c r="CB256" s="43" t="e">
        <f>AVERAGE(CA255,CB255)</f>
        <v>#DIV/0!</v>
      </c>
      <c r="CC256" s="43" t="e">
        <f>AVERAGE(CB255,CC255)</f>
        <v>#DIV/0!</v>
      </c>
      <c r="CD256" s="43" t="e">
        <f>AVERAGE(CC255,CD255)</f>
        <v>#DIV/0!</v>
      </c>
      <c r="CE256" s="22" t="n"/>
      <c r="CF256" s="43" t="e">
        <f>AVERAGE(CD255,CF255)</f>
        <v>#DIV/0!</v>
      </c>
      <c r="CG256" s="43" t="e">
        <f>AVERAGE(CF255,CG255)</f>
        <v>#DIV/0!</v>
      </c>
      <c r="CH256" s="43" t="e">
        <f>AVERAGE(CG255,CH255)</f>
        <v>#DIV/0!</v>
      </c>
      <c r="CI256" s="43" t="e">
        <f>AVERAGE(CH255,CI255)</f>
        <v>#DIV/0!</v>
      </c>
      <c r="CJ256" s="22" t="n"/>
      <c r="CK256" s="43" t="e">
        <f>AVERAGE(CI255,CK255)</f>
        <v>#DIV/0!</v>
      </c>
      <c r="CL256" s="43" t="e">
        <f>AVERAGE(CK255,CL255)</f>
        <v>#DIV/0!</v>
      </c>
      <c r="CM256" s="43" t="e">
        <f>AVERAGE(CL255,CM255)</f>
        <v>#DIV/0!</v>
      </c>
      <c r="CN256" s="43" t="e">
        <f>AVERAGE(CM255,CN255)</f>
        <v>#DIV/0!</v>
      </c>
      <c r="CO256" s="22" t="n"/>
      <c r="CP256" s="43" t="e">
        <f>AVERAGE(CN255,CP255)</f>
        <v>#DIV/0!</v>
      </c>
      <c r="CQ256" s="43" t="e">
        <f>AVERAGE(CP255,CQ255)</f>
        <v>#DIV/0!</v>
      </c>
      <c r="CR256" s="43" t="e">
        <f>AVERAGE(CQ255,CR255)</f>
        <v>#DIV/0!</v>
      </c>
      <c r="CS256" s="43" t="e">
        <f>AVERAGE(CR255,CS255)</f>
        <v>#DIV/0!</v>
      </c>
      <c r="CT256" s="22" t="n"/>
      <c r="CU256" s="43" t="e">
        <f>AVERAGE(CS255,CU255)</f>
        <v>#DIV/0!</v>
      </c>
      <c r="CV256" s="43" t="e">
        <f>AVERAGE(CU255,CV255)</f>
        <v>#DIV/0!</v>
      </c>
      <c r="CW256" s="43" t="e">
        <f>AVERAGE(CV255,CW255)</f>
        <v>#DIV/0!</v>
      </c>
      <c r="CX256" s="43" t="e">
        <f>AVERAGE(CW255,CX255)</f>
        <v>#DIV/0!</v>
      </c>
      <c r="CY256" s="22" t="n"/>
      <c r="CZ256" t="e">
        <f>AVERAGE(CX255,CZ255)</f>
        <v>#DIV/0!</v>
      </c>
      <c r="DA256" t="e">
        <f>AVERAGE(CZ255,DA255)</f>
        <v>#DIV/0!</v>
      </c>
      <c r="DB256" t="e">
        <f>AVERAGE(DA255,DB255)</f>
        <v>#DIV/0!</v>
      </c>
      <c r="DC256" t="e">
        <f>AVERAGE(DB255,DC255)</f>
        <v>#DIV/0!</v>
      </c>
    </row>
    <row r="257" hidden="1" outlineLevel="1" customFormat="1" s="39">
      <c r="A257" s="19" t="n"/>
      <c r="B257" s="19" t="n"/>
      <c r="C257" s="41" t="n"/>
      <c r="D257" s="22" t="n"/>
      <c r="E257" s="22" t="n"/>
      <c r="F257" s="22" t="n"/>
      <c r="G257" s="22" t="n"/>
      <c r="H257" s="3" t="n"/>
      <c r="I257" s="22" t="n"/>
      <c r="J257" s="22" t="n"/>
      <c r="K257" s="22" t="n"/>
      <c r="L257" s="22" t="n"/>
      <c r="M257" s="3" t="n"/>
      <c r="N257" s="22" t="n"/>
      <c r="O257" s="22" t="n"/>
      <c r="P257" s="22" t="n"/>
      <c r="Q257" s="22" t="n"/>
      <c r="R257" s="3" t="n"/>
      <c r="S257" s="22" t="n"/>
      <c r="T257" s="22" t="n"/>
      <c r="U257" s="22" t="n"/>
      <c r="V257" s="22" t="n"/>
      <c r="W257" s="3" t="n"/>
      <c r="X257" s="22" t="n"/>
      <c r="Y257" s="22" t="n"/>
      <c r="Z257" s="22" t="n"/>
      <c r="AA257" s="22" t="n"/>
      <c r="AB257" s="3" t="n"/>
      <c r="AC257" s="22" t="n"/>
      <c r="AD257" s="22" t="n"/>
      <c r="AE257" s="22" t="n"/>
      <c r="AF257" s="22" t="n"/>
      <c r="AG257" s="3" t="n"/>
      <c r="AH257" s="22" t="n"/>
      <c r="AI257" s="22" t="n"/>
      <c r="AJ257" s="22" t="n"/>
      <c r="AK257" s="22" t="n"/>
      <c r="AL257" s="3" t="n"/>
      <c r="AM257" s="22" t="n"/>
      <c r="AN257" s="22" t="n"/>
      <c r="AO257" s="22" t="n"/>
      <c r="AP257" s="22" t="n"/>
      <c r="AQ257" s="3" t="n"/>
      <c r="AR257" s="22" t="n"/>
      <c r="AS257" s="22" t="n"/>
      <c r="AT257" s="22" t="n"/>
      <c r="AU257" s="22" t="n"/>
      <c r="AV257" s="3" t="n"/>
      <c r="AW257" s="22" t="n"/>
      <c r="AX257" s="22" t="n"/>
      <c r="AY257" s="22" t="n"/>
      <c r="AZ257" s="22" t="n"/>
      <c r="BA257" s="3" t="n"/>
      <c r="BB257" s="22" t="n"/>
      <c r="BC257" s="22" t="n"/>
      <c r="BD257" s="22" t="n"/>
      <c r="BE257" s="22" t="n"/>
      <c r="BF257" s="3" t="n"/>
      <c r="BG257" s="22" t="n"/>
      <c r="BH257" s="22" t="n"/>
      <c r="BI257" s="22" t="n"/>
      <c r="BJ257" s="22" t="n"/>
      <c r="BK257" s="3" t="n"/>
      <c r="BL257" s="22" t="n"/>
      <c r="BM257" s="22" t="n"/>
      <c r="BN257" s="22" t="n"/>
      <c r="BO257" s="22" t="n"/>
      <c r="BP257" s="3" t="n"/>
      <c r="BQ257" s="22" t="n"/>
      <c r="BR257" s="22" t="n"/>
      <c r="BS257" s="22" t="n"/>
      <c r="BT257" s="22" t="n"/>
      <c r="BU257" s="3" t="n"/>
      <c r="BV257" s="22" t="n"/>
      <c r="BW257" s="22" t="n"/>
      <c r="BX257" s="22" t="n"/>
      <c r="BY257" s="22" t="n"/>
      <c r="BZ257" s="3" t="n"/>
      <c r="CA257" s="22" t="n"/>
      <c r="CB257" s="22" t="n"/>
      <c r="CC257" s="22" t="n"/>
      <c r="CD257" s="22" t="n"/>
      <c r="CE257" s="3" t="n"/>
      <c r="CF257" s="22" t="n"/>
      <c r="CG257" s="22" t="n"/>
      <c r="CH257" s="22" t="n"/>
      <c r="CI257" s="22" t="n"/>
      <c r="CJ257" s="3" t="n"/>
      <c r="CK257" s="22" t="n"/>
      <c r="CL257" s="22" t="n"/>
      <c r="CM257" s="22" t="n"/>
      <c r="CN257" s="22" t="n"/>
      <c r="CO257" s="3" t="n"/>
      <c r="CP257" s="22" t="n"/>
      <c r="CQ257" s="22" t="n"/>
      <c r="CR257" s="22" t="n"/>
      <c r="CS257" s="22" t="n"/>
      <c r="CT257" s="3" t="n"/>
      <c r="CU257" s="22" t="n"/>
      <c r="CV257" s="22" t="n"/>
      <c r="CW257" s="22" t="n"/>
      <c r="CX257" s="22" t="n"/>
      <c r="CY257" s="3" t="n"/>
    </row>
    <row r="258" collapsed="1">
      <c r="C258" s="26" t="inlineStr">
        <is>
          <t>Treasury stock (contra account)</t>
        </is>
      </c>
      <c r="D258" s="25">
        <f>INDEX('Inputs (2)'!$D$44:$AL$44,MATCH(D$7,'Inputs (2)'!$D$2:$AL$2,0))</f>
        <v>0</v>
      </c>
      <c r="E258" s="25">
        <f>INDEX('Inputs (2)'!$D$44:$AL$44,MATCH(E$7,'Inputs (2)'!$D$2:$AL$2,0))</f>
        <v>0</v>
      </c>
      <c r="F258" s="25">
        <f>INDEX('Inputs (2)'!$D$44:$AL$44,MATCH(F$7,'Inputs (2)'!$D$2:$AL$2,0))</f>
        <v>0</v>
      </c>
      <c r="G258" s="25">
        <f>INDEX('Inputs (2)'!$D$44:$AL$44,MATCH(G$7,'Inputs (2)'!$D$2:$AL$2,0))</f>
        <v>0</v>
      </c>
      <c r="H258" s="3">
        <f>G258</f>
        <v>0</v>
      </c>
      <c r="I258" s="25">
        <f>INDEX('Inputs (2)'!$D$44:$AL$44,MATCH(I$7,'Inputs (2)'!$D$2:$AL$2,0))</f>
        <v>0</v>
      </c>
      <c r="J258" s="25">
        <f>INDEX('Inputs (2)'!$D$44:$AL$44,MATCH(J$7,'Inputs (2)'!$D$2:$AL$2,0))</f>
        <v>0</v>
      </c>
      <c r="K258" s="25">
        <f>INDEX('Inputs (2)'!$D$44:$AL$44,MATCH(K$7,'Inputs (2)'!$D$2:$AL$2,0))</f>
        <v>0</v>
      </c>
      <c r="L258" s="25">
        <f>INDEX('Inputs (2)'!$D$44:$AL$44,MATCH(L$7,'Inputs (2)'!$D$2:$AL$2,0))</f>
        <v>0</v>
      </c>
      <c r="M258" s="3">
        <f>L258</f>
        <v>0</v>
      </c>
      <c r="N258" s="25">
        <f>INDEX('Inputs (2)'!$D$44:$AL$44,MATCH(N$7,'Inputs (2)'!$D$2:$AL$2,0))</f>
        <v>0</v>
      </c>
      <c r="O258" s="25">
        <f>INDEX('Inputs (2)'!$D$44:$AL$44,MATCH(O$7,'Inputs (2)'!$D$2:$AL$2,0))</f>
        <v>0</v>
      </c>
      <c r="P258" s="25">
        <f>INDEX('Inputs (2)'!$D$44:$AL$44,MATCH(P$7,'Inputs (2)'!$D$2:$AL$2,0))</f>
        <v>0</v>
      </c>
      <c r="Q258" s="25">
        <f>INDEX('Inputs (2)'!$D$44:$AL$44,MATCH(Q$7,'Inputs (2)'!$D$2:$AL$2,0))</f>
        <v>0</v>
      </c>
      <c r="R258" s="3">
        <f>Q258</f>
        <v>0</v>
      </c>
      <c r="S258" s="25">
        <f>INDEX('Inputs (2)'!$D$44:$AL$44,MATCH(S$7,'Inputs (2)'!$D$2:$AL$2,0))</f>
        <v>0</v>
      </c>
      <c r="T258" s="25">
        <f>INDEX('Inputs (2)'!$D$44:$AL$44,MATCH(T$7,'Inputs (2)'!$D$2:$AL$2,0))</f>
        <v>0</v>
      </c>
      <c r="U258" s="25">
        <f>INDEX('Inputs (2)'!$D$44:$AL$44,MATCH(U$7,'Inputs (2)'!$D$2:$AL$2,0))</f>
        <v>0</v>
      </c>
      <c r="V258" s="25">
        <f>INDEX('Inputs (2)'!$D$44:$AL$44,MATCH(V$7,'Inputs (2)'!$D$2:$AL$2,0))</f>
        <v>0</v>
      </c>
      <c r="W258" s="3">
        <f>V258</f>
        <v>0</v>
      </c>
      <c r="X258" s="25">
        <f>INDEX('Inputs (2)'!$D$44:$AL$44,MATCH(X$7,'Inputs (2)'!$D$2:$AL$2,0))</f>
        <v>0</v>
      </c>
      <c r="Y258" s="25">
        <f>INDEX('Inputs (2)'!$D$44:$AL$44,MATCH(Y$7,'Inputs (2)'!$D$2:$AL$2,0))</f>
        <v>0</v>
      </c>
      <c r="Z258" s="25">
        <f>INDEX('Inputs (2)'!$D$44:$AL$44,MATCH(Z$7,'Inputs (2)'!$D$2:$AL$2,0))</f>
        <v>0</v>
      </c>
      <c r="AA258" s="25">
        <f>INDEX('Inputs (2)'!$D$44:$AL$44,MATCH(AA$7,'Inputs (2)'!$D$2:$AL$2,0))</f>
        <v>0</v>
      </c>
      <c r="AB258" s="3">
        <f>AA258</f>
        <v>0</v>
      </c>
      <c r="AC258" s="25">
        <f>INDEX('Inputs (2)'!$D$44:$AL$44,MATCH(AC$7,'Inputs (2)'!$D$2:$AL$2,0))</f>
        <v>0</v>
      </c>
      <c r="AD258" s="25">
        <f>INDEX('Inputs (2)'!$D$44:$AL$44,MATCH(AD$7,'Inputs (2)'!$D$2:$AL$2,0))</f>
        <v>0</v>
      </c>
      <c r="AE258" s="25">
        <f>INDEX('Inputs (2)'!$D$44:$AL$44,MATCH(AE$7,'Inputs (2)'!$D$2:$AL$2,0))</f>
        <v>0</v>
      </c>
      <c r="AF258" s="25">
        <f>INDEX('Inputs (2)'!$D$44:$AL$44,MATCH(AF$7,'Inputs (2)'!$D$2:$AL$2,0))</f>
        <v>0</v>
      </c>
      <c r="AG258" s="3">
        <f>AF258</f>
        <v>0</v>
      </c>
      <c r="AH258" s="3">
        <f>INDEX('Inputs (2)'!$D$44:$AL$44,MATCH(AH$7,'Inputs (2)'!$D$2:$AL$2,0))</f>
        <v>0</v>
      </c>
      <c r="AI258" s="3">
        <f>INDEX('Inputs (2)'!$D$44:$AL$44,MATCH(AI$7,'Inputs (2)'!$D$2:$AL$2,0))</f>
        <v>0</v>
      </c>
      <c r="AJ258" s="3">
        <f>AI258+AJ248</f>
        <v>0</v>
      </c>
      <c r="AK258" s="3">
        <f>AJ258+AK248</f>
        <v>0</v>
      </c>
      <c r="AL258" s="3">
        <f>AK258</f>
        <v>0</v>
      </c>
      <c r="AM258" s="3">
        <f>AL258+AM248</f>
        <v>0</v>
      </c>
      <c r="AN258" s="3">
        <f>AM258+AN248</f>
        <v>0</v>
      </c>
      <c r="AO258" s="3">
        <f>AN258+AO248</f>
        <v>0</v>
      </c>
      <c r="AP258" s="3">
        <f>AO258+AP248</f>
        <v>0</v>
      </c>
      <c r="AQ258" s="3">
        <f>AP258</f>
        <v>0</v>
      </c>
      <c r="AR258" s="3">
        <f>AQ258+AR248</f>
        <v>0</v>
      </c>
      <c r="AS258" s="3">
        <f>AR258+AS248</f>
        <v>0</v>
      </c>
      <c r="AT258" s="3">
        <f>AS258+AT248</f>
        <v>0</v>
      </c>
      <c r="AU258" s="3">
        <f>AT258+AU248</f>
        <v>0</v>
      </c>
      <c r="AV258" s="3">
        <f>AU258</f>
        <v>0</v>
      </c>
      <c r="AW258" s="3">
        <f>AV258+AW248</f>
        <v>0</v>
      </c>
      <c r="AX258" s="3">
        <f>AW258+AX248</f>
        <v>0</v>
      </c>
      <c r="AY258" s="3">
        <f>AX258+AY248</f>
        <v>0</v>
      </c>
      <c r="AZ258" s="3">
        <f>AY258+AZ248</f>
        <v>0</v>
      </c>
      <c r="BA258" s="3">
        <f>AZ258</f>
        <v>0</v>
      </c>
      <c r="BB258" s="3">
        <f>BA258+BB248</f>
        <v>0</v>
      </c>
      <c r="BC258" s="3">
        <f>BB258+BC248</f>
        <v>0</v>
      </c>
      <c r="BD258" s="3">
        <f>BC258+BD248</f>
        <v>0</v>
      </c>
      <c r="BE258" s="3">
        <f>BD258+BE248</f>
        <v>0</v>
      </c>
      <c r="BF258" s="3">
        <f>BE258</f>
        <v>0</v>
      </c>
      <c r="BG258" s="3">
        <f>BF258+BG248</f>
        <v>0</v>
      </c>
      <c r="BH258" s="3">
        <f>BG258+BH248</f>
        <v>0</v>
      </c>
      <c r="BI258" s="3">
        <f>BH258+BI248</f>
        <v>0</v>
      </c>
      <c r="BJ258" s="3">
        <f>BI258+BJ248</f>
        <v>0</v>
      </c>
      <c r="BK258" s="3">
        <f>BJ258</f>
        <v>0</v>
      </c>
      <c r="BL258" s="3">
        <f>BK258+BL248</f>
        <v>0</v>
      </c>
      <c r="BM258" s="3">
        <f>BL258+BM248</f>
        <v>0</v>
      </c>
      <c r="BN258" s="3">
        <f>BM258+BN248</f>
        <v>0</v>
      </c>
      <c r="BO258" s="3">
        <f>BN258+BO248</f>
        <v>0</v>
      </c>
      <c r="BP258" s="3">
        <f>BO258</f>
        <v>0</v>
      </c>
      <c r="BQ258" s="3">
        <f>BP258+BQ248</f>
        <v>0</v>
      </c>
      <c r="BR258" s="3">
        <f>BQ258+BR248</f>
        <v>0</v>
      </c>
      <c r="BS258" s="3">
        <f>BR258+BS248</f>
        <v>0</v>
      </c>
      <c r="BT258" s="3">
        <f>BS258+BT248</f>
        <v>0</v>
      </c>
      <c r="BU258" s="3">
        <f>BT258</f>
        <v>0</v>
      </c>
      <c r="BV258" s="3">
        <f>BU258+BV248</f>
        <v>0</v>
      </c>
      <c r="BW258" s="3">
        <f>BV258+BW248</f>
        <v>0</v>
      </c>
      <c r="BX258" s="3">
        <f>BW258+BX248</f>
        <v>0</v>
      </c>
      <c r="BY258" s="3">
        <f>BX258+BY248</f>
        <v>0</v>
      </c>
      <c r="BZ258" s="3">
        <f>BY258</f>
        <v>0</v>
      </c>
      <c r="CA258" s="3">
        <f>BZ258+CA248</f>
        <v>0</v>
      </c>
      <c r="CB258" s="3">
        <f>CA258+CB248</f>
        <v>0</v>
      </c>
      <c r="CC258" s="3">
        <f>CB258+CC248</f>
        <v>0</v>
      </c>
      <c r="CD258" s="3">
        <f>CC258+CD248</f>
        <v>0</v>
      </c>
      <c r="CE258" s="3">
        <f>CD258</f>
        <v>0</v>
      </c>
      <c r="CF258" s="3">
        <f>CE258+CF248</f>
        <v>0</v>
      </c>
      <c r="CG258" s="3">
        <f>CF258+CG248</f>
        <v>0</v>
      </c>
      <c r="CH258" s="3">
        <f>CG258+CH248</f>
        <v>0</v>
      </c>
      <c r="CI258" s="3">
        <f>CH258+CI248</f>
        <v>0</v>
      </c>
      <c r="CJ258" s="3">
        <f>CI258</f>
        <v>0</v>
      </c>
      <c r="CK258" s="3">
        <f>CJ258+CK248</f>
        <v>0</v>
      </c>
      <c r="CL258" s="3">
        <f>CK258+CL248</f>
        <v>0</v>
      </c>
      <c r="CM258" s="3">
        <f>CL258+CM248</f>
        <v>0</v>
      </c>
      <c r="CN258" s="3">
        <f>CM258+CN248</f>
        <v>0</v>
      </c>
      <c r="CO258" s="3">
        <f>CN258</f>
        <v>0</v>
      </c>
      <c r="CP258" s="3">
        <f>CO258+CP248</f>
        <v>0</v>
      </c>
      <c r="CQ258" s="3">
        <f>CP258+CQ248</f>
        <v>0</v>
      </c>
      <c r="CR258" s="3">
        <f>CQ258+CR248</f>
        <v>0</v>
      </c>
      <c r="CS258" s="3">
        <f>CR258+CS248</f>
        <v>0</v>
      </c>
      <c r="CT258" s="3">
        <f>CS258</f>
        <v>0</v>
      </c>
      <c r="CU258" s="3">
        <f>CT258+CU248</f>
        <v>0</v>
      </c>
      <c r="CV258" s="3">
        <f>CU258+CV248</f>
        <v>0</v>
      </c>
      <c r="CW258" s="3">
        <f>CV258+CW248</f>
        <v>0</v>
      </c>
      <c r="CX258" s="3">
        <f>CW258+CX248</f>
        <v>0</v>
      </c>
      <c r="CY258" s="3">
        <f>CX258</f>
        <v>0</v>
      </c>
    </row>
    <row r="259">
      <c r="C259" s="26" t="inlineStr">
        <is>
          <t>Comprehensive (accumulated) loss</t>
        </is>
      </c>
      <c r="D259" s="25">
        <f>INDEX('Inputs (2)'!$D$45:$AL$45,MATCH(D$7,'Inputs (2)'!$D$2:$AL$2,0))</f>
        <v>-15541</v>
      </c>
      <c r="E259" s="25">
        <f>INDEX('Inputs (2)'!$D$45:$AL$45,MATCH(E$7,'Inputs (2)'!$D$2:$AL$2,0))</f>
        <v>-15403</v>
      </c>
      <c r="F259" s="25">
        <f>INDEX('Inputs (2)'!$D$45:$AL$45,MATCH(F$7,'Inputs (2)'!$D$2:$AL$2,0))</f>
        <v>-15259</v>
      </c>
      <c r="G259" s="25">
        <f>INDEX('Inputs (2)'!$D$45:$AL$45,MATCH(G$7,'Inputs (2)'!$D$2:$AL$2,0))</f>
        <v>-16121</v>
      </c>
      <c r="H259" s="3">
        <f>G259</f>
        <v>-16121</v>
      </c>
      <c r="I259" s="25">
        <f>INDEX('Inputs (2)'!$D$45:$AL$45,MATCH(I$7,'Inputs (2)'!$D$2:$AL$2,0))</f>
        <v>-16008</v>
      </c>
      <c r="J259" s="25">
        <f>INDEX('Inputs (2)'!$D$45:$AL$45,MATCH(J$7,'Inputs (2)'!$D$2:$AL$2,0))</f>
        <v>-15837</v>
      </c>
      <c r="K259" s="25">
        <f>INDEX('Inputs (2)'!$D$45:$AL$45,MATCH(K$7,'Inputs (2)'!$D$2:$AL$2,0))</f>
        <v>-12217</v>
      </c>
      <c r="L259" s="25">
        <f>INDEX('Inputs (2)'!$D$45:$AL$45,MATCH(L$7,'Inputs (2)'!$D$2:$AL$2,0))</f>
        <v>-11006</v>
      </c>
      <c r="M259" s="3">
        <f>L259</f>
        <v>-11006</v>
      </c>
      <c r="N259" s="25">
        <f>INDEX('Inputs (2)'!$D$45:$AL$45,MATCH(N$7,'Inputs (2)'!$D$2:$AL$2,0))</f>
        <v>-10979</v>
      </c>
      <c r="O259" s="25">
        <f>INDEX('Inputs (2)'!$D$45:$AL$45,MATCH(O$7,'Inputs (2)'!$D$2:$AL$2,0))</f>
        <v>-8168</v>
      </c>
      <c r="P259" s="25">
        <f>INDEX('Inputs (2)'!$D$45:$AL$45,MATCH(P$7,'Inputs (2)'!$D$2:$AL$2,0))</f>
        <v>-8134</v>
      </c>
      <c r="Q259" s="25">
        <f>INDEX('Inputs (2)'!$D$45:$AL$45,MATCH(Q$7,'Inputs (2)'!$D$2:$AL$2,0))</f>
        <v>-8023</v>
      </c>
      <c r="R259" s="3">
        <f>Q259</f>
        <v>-8023</v>
      </c>
      <c r="S259" s="25">
        <f>INDEX('Inputs (2)'!$D$45:$AL$45,MATCH(S$7,'Inputs (2)'!$D$2:$AL$2,0))</f>
        <v>-8086</v>
      </c>
      <c r="T259" s="25">
        <f>INDEX('Inputs (2)'!$D$45:$AL$45,MATCH(T$7,'Inputs (2)'!$D$2:$AL$2,0))</f>
        <v>-8079</v>
      </c>
      <c r="U259" s="25">
        <f>INDEX('Inputs (2)'!$D$45:$AL$45,MATCH(U$7,'Inputs (2)'!$D$2:$AL$2,0))</f>
        <v>-8146</v>
      </c>
      <c r="V259" s="25">
        <f>INDEX('Inputs (2)'!$D$45:$AL$45,MATCH(V$7,'Inputs (2)'!$D$2:$AL$2,0))</f>
        <v>-8803</v>
      </c>
      <c r="W259" s="3">
        <f>V259</f>
        <v>-8803</v>
      </c>
      <c r="X259" s="25">
        <f>INDEX('Inputs (2)'!$D$45:$AL$45,MATCH(X$7,'Inputs (2)'!$D$2:$AL$2,0))</f>
        <v>-8811</v>
      </c>
      <c r="Y259" s="25">
        <f>INDEX('Inputs (2)'!$D$45:$AL$45,MATCH(Y$7,'Inputs (2)'!$D$2:$AL$2,0))</f>
        <v>-8769</v>
      </c>
      <c r="Z259" s="25">
        <f>INDEX('Inputs (2)'!$D$45:$AL$45,MATCH(Z$7,'Inputs (2)'!$D$2:$AL$2,0))</f>
        <v>-8693</v>
      </c>
      <c r="AA259" s="25">
        <f>INDEX('Inputs (2)'!$D$45:$AL$45,MATCH(AA$7,'Inputs (2)'!$D$2:$AL$2,0))</f>
        <v>-8452</v>
      </c>
      <c r="AB259" s="3">
        <f>AA259</f>
        <v>-8452</v>
      </c>
      <c r="AC259" s="25">
        <f>INDEX('Inputs (2)'!$D$45:$AL$45,MATCH(AC$7,'Inputs (2)'!$D$2:$AL$2,0))</f>
        <v>-8323</v>
      </c>
      <c r="AD259" s="25">
        <f>INDEX('Inputs (2)'!$D$45:$AL$45,MATCH(AD$7,'Inputs (2)'!$D$2:$AL$2,0))</f>
        <v>-8157</v>
      </c>
      <c r="AE259" s="25">
        <f>INDEX('Inputs (2)'!$D$45:$AL$45,MATCH(AE$7,'Inputs (2)'!$D$2:$AL$2,0))</f>
        <v>-8102</v>
      </c>
      <c r="AF259" s="25">
        <f>INDEX('Inputs (2)'!$D$45:$AL$45,MATCH(AF$7,'Inputs (2)'!$D$2:$AL$2,0))</f>
        <v>-7542</v>
      </c>
      <c r="AG259" s="3">
        <f>AF259</f>
        <v>-7542</v>
      </c>
      <c r="AH259" s="3">
        <f>INDEX('Inputs (2)'!$D$45:$AL$45,MATCH(AH$7,'Inputs (2)'!$D$2:$AL$2,0))</f>
        <v>-7496</v>
      </c>
      <c r="AI259" s="3">
        <f>INDEX('Inputs (2)'!$D$45:$AL$45,MATCH(AI$7,'Inputs (2)'!$D$2:$AL$2,0))</f>
        <v>-7468</v>
      </c>
      <c r="AJ259" s="3">
        <f>AI259</f>
        <v>-7468</v>
      </c>
      <c r="AK259" s="3">
        <f>AJ259</f>
        <v>-7468</v>
      </c>
      <c r="AL259" s="3">
        <f>AK259</f>
        <v>-7468</v>
      </c>
      <c r="AM259" s="3">
        <f>AL259</f>
        <v>-7468</v>
      </c>
      <c r="AN259" s="3">
        <f>AM259</f>
        <v>-7468</v>
      </c>
      <c r="AO259" s="3">
        <f>AN259</f>
        <v>-7468</v>
      </c>
      <c r="AP259" s="3">
        <f>AO259</f>
        <v>-7468</v>
      </c>
      <c r="AQ259" s="3">
        <f>AP259</f>
        <v>-7468</v>
      </c>
      <c r="AR259" s="3">
        <f>AQ259</f>
        <v>-7468</v>
      </c>
      <c r="AS259" s="3">
        <f>AR259</f>
        <v>-7468</v>
      </c>
      <c r="AT259" s="3">
        <f>AS259</f>
        <v>-7468</v>
      </c>
      <c r="AU259" s="3">
        <f>AT259</f>
        <v>-7468</v>
      </c>
      <c r="AV259" s="3">
        <f>AU259</f>
        <v>-7468</v>
      </c>
      <c r="AW259" s="3">
        <f>AV259</f>
        <v>-7468</v>
      </c>
      <c r="AX259" s="3">
        <f>AW259</f>
        <v>-7468</v>
      </c>
      <c r="AY259" s="3">
        <f>AX259</f>
        <v>-7468</v>
      </c>
      <c r="AZ259" s="3">
        <f>AY259</f>
        <v>-7468</v>
      </c>
      <c r="BA259" s="3">
        <f>AZ259</f>
        <v>-7468</v>
      </c>
      <c r="BB259" s="3">
        <f>BA259</f>
        <v>-7468</v>
      </c>
      <c r="BC259" s="3">
        <f>BB259</f>
        <v>-7468</v>
      </c>
      <c r="BD259" s="3">
        <f>BC259</f>
        <v>-7468</v>
      </c>
      <c r="BE259" s="3">
        <f>BD259</f>
        <v>-7468</v>
      </c>
      <c r="BF259" s="3">
        <f>BE259</f>
        <v>-7468</v>
      </c>
      <c r="BG259" s="3">
        <f>BF259</f>
        <v>-7468</v>
      </c>
      <c r="BH259" s="3">
        <f>BG259</f>
        <v>-7468</v>
      </c>
      <c r="BI259" s="3">
        <f>BH259</f>
        <v>-7468</v>
      </c>
      <c r="BJ259" s="3">
        <f>BI259</f>
        <v>-7468</v>
      </c>
      <c r="BK259" s="3">
        <f>BJ259</f>
        <v>-7468</v>
      </c>
      <c r="BL259" s="3">
        <f>BK259</f>
        <v>-7468</v>
      </c>
      <c r="BM259" s="3">
        <f>BL259</f>
        <v>-7468</v>
      </c>
      <c r="BN259" s="3">
        <f>BM259</f>
        <v>-7468</v>
      </c>
      <c r="BO259" s="3">
        <f>BN259</f>
        <v>-7468</v>
      </c>
      <c r="BP259" s="3">
        <f>BO259</f>
        <v>-7468</v>
      </c>
      <c r="BQ259" s="3">
        <f>BP259</f>
        <v>-7468</v>
      </c>
      <c r="BR259" s="3">
        <f>BQ259</f>
        <v>-7468</v>
      </c>
      <c r="BS259" s="3">
        <f>BR259</f>
        <v>-7468</v>
      </c>
      <c r="BT259" s="3">
        <f>BS259</f>
        <v>-7468</v>
      </c>
      <c r="BU259" s="3">
        <f>BT259</f>
        <v>-7468</v>
      </c>
      <c r="BV259" s="3">
        <f>BU259</f>
        <v>-7468</v>
      </c>
      <c r="BW259" s="3">
        <f>BV259</f>
        <v>-7468</v>
      </c>
      <c r="BX259" s="3">
        <f>BW259</f>
        <v>-7468</v>
      </c>
      <c r="BY259" s="3">
        <f>BX259</f>
        <v>-7468</v>
      </c>
      <c r="BZ259" s="3">
        <f>BY259</f>
        <v>-7468</v>
      </c>
      <c r="CA259" s="3">
        <f>BZ259</f>
        <v>-7468</v>
      </c>
      <c r="CB259" s="3">
        <f>CA259</f>
        <v>-7468</v>
      </c>
      <c r="CC259" s="3">
        <f>CB259</f>
        <v>-7468</v>
      </c>
      <c r="CD259" s="3">
        <f>CC259</f>
        <v>-7468</v>
      </c>
      <c r="CE259" s="3">
        <f>CD259</f>
        <v>-7468</v>
      </c>
      <c r="CF259" s="3">
        <f>CE259</f>
        <v>-7468</v>
      </c>
      <c r="CG259" s="3">
        <f>CF259</f>
        <v>-7468</v>
      </c>
      <c r="CH259" s="3">
        <f>CG259</f>
        <v>-7468</v>
      </c>
      <c r="CI259" s="3">
        <f>CH259</f>
        <v>-7468</v>
      </c>
      <c r="CJ259" s="3">
        <f>CI259</f>
        <v>-7468</v>
      </c>
      <c r="CK259" s="3">
        <f>CJ259</f>
        <v>-7468</v>
      </c>
      <c r="CL259" s="3">
        <f>CK259</f>
        <v>-7468</v>
      </c>
      <c r="CM259" s="3">
        <f>CL259</f>
        <v>-7468</v>
      </c>
      <c r="CN259" s="3">
        <f>CM259</f>
        <v>-7468</v>
      </c>
      <c r="CO259" s="3">
        <f>CN259</f>
        <v>-7468</v>
      </c>
      <c r="CP259" s="3">
        <f>CO259</f>
        <v>-7468</v>
      </c>
      <c r="CQ259" s="3">
        <f>CP259</f>
        <v>-7468</v>
      </c>
      <c r="CR259" s="3">
        <f>CQ259</f>
        <v>-7468</v>
      </c>
      <c r="CS259" s="3">
        <f>CR259</f>
        <v>-7468</v>
      </c>
      <c r="CT259" s="3">
        <f>CS259</f>
        <v>-7468</v>
      </c>
      <c r="CU259" s="3">
        <f>CT259</f>
        <v>-7468</v>
      </c>
      <c r="CV259" s="3">
        <f>CU259</f>
        <v>-7468</v>
      </c>
      <c r="CW259" s="3">
        <f>CV259</f>
        <v>-7468</v>
      </c>
      <c r="CX259" s="3">
        <f>CW259</f>
        <v>-7468</v>
      </c>
      <c r="CY259" s="3">
        <f>CX259</f>
        <v>-7468</v>
      </c>
    </row>
    <row r="260">
      <c r="C260" s="26" t="inlineStr">
        <is>
          <t>Other equity account</t>
        </is>
      </c>
      <c r="D260" s="25">
        <f>INDEX('Inputs (2)'!$D$46:$AL$46,MATCH(D$7,'Inputs (2)'!$D$2:$AL$2,0))</f>
        <v>0</v>
      </c>
      <c r="E260" s="25">
        <f>INDEX('Inputs (2)'!$D$46:$AL$46,MATCH(E$7,'Inputs (2)'!$D$2:$AL$2,0))</f>
        <v>0</v>
      </c>
      <c r="F260" s="25">
        <f>INDEX('Inputs (2)'!$D$46:$AL$46,MATCH(F$7,'Inputs (2)'!$D$2:$AL$2,0))</f>
        <v>0</v>
      </c>
      <c r="G260" s="25">
        <f>INDEX('Inputs (2)'!$D$46:$AL$46,MATCH(G$7,'Inputs (2)'!$D$2:$AL$2,0))</f>
        <v>0</v>
      </c>
      <c r="H260" s="3">
        <f>G260</f>
        <v>0</v>
      </c>
      <c r="I260" s="25">
        <f>INDEX('Inputs (2)'!$D$46:$AL$46,MATCH(I$7,'Inputs (2)'!$D$2:$AL$2,0))</f>
        <v>0</v>
      </c>
      <c r="J260" s="25">
        <f>INDEX('Inputs (2)'!$D$46:$AL$46,MATCH(J$7,'Inputs (2)'!$D$2:$AL$2,0))</f>
        <v>0</v>
      </c>
      <c r="K260" s="25">
        <f>INDEX('Inputs (2)'!$D$46:$AL$46,MATCH(K$7,'Inputs (2)'!$D$2:$AL$2,0))</f>
        <v>0</v>
      </c>
      <c r="L260" s="25">
        <f>INDEX('Inputs (2)'!$D$46:$AL$46,MATCH(L$7,'Inputs (2)'!$D$2:$AL$2,0))</f>
        <v>0</v>
      </c>
      <c r="M260" s="3">
        <f>L260</f>
        <v>0</v>
      </c>
      <c r="N260" s="25">
        <f>INDEX('Inputs (2)'!$D$46:$AL$46,MATCH(N$7,'Inputs (2)'!$D$2:$AL$2,0))</f>
        <v>0</v>
      </c>
      <c r="O260" s="25">
        <f>INDEX('Inputs (2)'!$D$46:$AL$46,MATCH(O$7,'Inputs (2)'!$D$2:$AL$2,0))</f>
        <v>0</v>
      </c>
      <c r="P260" s="25">
        <f>INDEX('Inputs (2)'!$D$46:$AL$46,MATCH(P$7,'Inputs (2)'!$D$2:$AL$2,0))</f>
        <v>0</v>
      </c>
      <c r="Q260" s="25">
        <f>INDEX('Inputs (2)'!$D$46:$AL$46,MATCH(Q$7,'Inputs (2)'!$D$2:$AL$2,0))</f>
        <v>0</v>
      </c>
      <c r="R260" s="3">
        <f>Q260</f>
        <v>0</v>
      </c>
      <c r="S260" s="25">
        <f>INDEX('Inputs (2)'!$D$46:$AL$46,MATCH(S$7,'Inputs (2)'!$D$2:$AL$2,0))</f>
        <v>0</v>
      </c>
      <c r="T260" s="25">
        <f>INDEX('Inputs (2)'!$D$46:$AL$46,MATCH(T$7,'Inputs (2)'!$D$2:$AL$2,0))</f>
        <v>0</v>
      </c>
      <c r="U260" s="25">
        <f>INDEX('Inputs (2)'!$D$46:$AL$46,MATCH(U$7,'Inputs (2)'!$D$2:$AL$2,0))</f>
        <v>0</v>
      </c>
      <c r="V260" s="25">
        <f>INDEX('Inputs (2)'!$D$46:$AL$46,MATCH(V$7,'Inputs (2)'!$D$2:$AL$2,0))</f>
        <v>0</v>
      </c>
      <c r="W260" s="3">
        <f>V260</f>
        <v>0</v>
      </c>
      <c r="X260" s="25">
        <f>INDEX('Inputs (2)'!$D$46:$AL$46,MATCH(X$7,'Inputs (2)'!$D$2:$AL$2,0))</f>
        <v>0</v>
      </c>
      <c r="Y260" s="25">
        <f>INDEX('Inputs (2)'!$D$46:$AL$46,MATCH(Y$7,'Inputs (2)'!$D$2:$AL$2,0))</f>
        <v>0</v>
      </c>
      <c r="Z260" s="25">
        <f>INDEX('Inputs (2)'!$D$46:$AL$46,MATCH(Z$7,'Inputs (2)'!$D$2:$AL$2,0))</f>
        <v>0</v>
      </c>
      <c r="AA260" s="25">
        <f>INDEX('Inputs (2)'!$D$46:$AL$46,MATCH(AA$7,'Inputs (2)'!$D$2:$AL$2,0))</f>
        <v>0</v>
      </c>
      <c r="AB260" s="3">
        <f>AA260</f>
        <v>0</v>
      </c>
      <c r="AC260" s="25">
        <f>INDEX('Inputs (2)'!$D$46:$AL$46,MATCH(AC$7,'Inputs (2)'!$D$2:$AL$2,0))</f>
        <v>0</v>
      </c>
      <c r="AD260" s="25">
        <f>INDEX('Inputs (2)'!$D$46:$AL$46,MATCH(AD$7,'Inputs (2)'!$D$2:$AL$2,0))</f>
        <v>0</v>
      </c>
      <c r="AE260" s="25">
        <f>INDEX('Inputs (2)'!$D$46:$AL$46,MATCH(AE$7,'Inputs (2)'!$D$2:$AL$2,0))</f>
        <v>0</v>
      </c>
      <c r="AF260" s="25">
        <f>INDEX('Inputs (2)'!$D$46:$AL$46,MATCH(AF$7,'Inputs (2)'!$D$2:$AL$2,0))</f>
        <v>0</v>
      </c>
      <c r="AG260" s="3">
        <f>AF260</f>
        <v>0</v>
      </c>
      <c r="AH260" s="3">
        <f>INDEX('Inputs (2)'!$D$46:$AL$46,MATCH(AH$7,'Inputs (2)'!$D$2:$AL$2,0))</f>
        <v>0</v>
      </c>
      <c r="AI260" s="3">
        <f>INDEX('Inputs (2)'!$D$46:$AL$46,MATCH(AI$7,'Inputs (2)'!$D$2:$AL$2,0))</f>
        <v>0</v>
      </c>
      <c r="AJ260" s="3">
        <f>AI260</f>
        <v>0</v>
      </c>
      <c r="AK260" s="3">
        <f>AJ260</f>
        <v>0</v>
      </c>
      <c r="AL260" s="3">
        <f>AK260</f>
        <v>0</v>
      </c>
      <c r="AM260" s="3">
        <f>AL260</f>
        <v>0</v>
      </c>
      <c r="AN260" s="3">
        <f>AM260</f>
        <v>0</v>
      </c>
      <c r="AO260" s="3">
        <f>AN260</f>
        <v>0</v>
      </c>
      <c r="AP260" s="3">
        <f>AO260</f>
        <v>0</v>
      </c>
      <c r="AQ260" s="3">
        <f>AP260</f>
        <v>0</v>
      </c>
      <c r="AR260" s="3">
        <f>AQ260</f>
        <v>0</v>
      </c>
      <c r="AS260" s="3">
        <f>AR260</f>
        <v>0</v>
      </c>
      <c r="AT260" s="3">
        <f>AS260</f>
        <v>0</v>
      </c>
      <c r="AU260" s="3">
        <f>AT260</f>
        <v>0</v>
      </c>
      <c r="AV260" s="3">
        <f>AU260</f>
        <v>0</v>
      </c>
      <c r="AW260" s="3">
        <f>AV260</f>
        <v>0</v>
      </c>
      <c r="AX260" s="3">
        <f>AW260</f>
        <v>0</v>
      </c>
      <c r="AY260" s="3">
        <f>AX260</f>
        <v>0</v>
      </c>
      <c r="AZ260" s="3">
        <f>AY260</f>
        <v>0</v>
      </c>
      <c r="BA260" s="3">
        <f>AZ260</f>
        <v>0</v>
      </c>
      <c r="BB260" s="3">
        <f>BA260</f>
        <v>0</v>
      </c>
      <c r="BC260" s="3">
        <f>BB260</f>
        <v>0</v>
      </c>
      <c r="BD260" s="3">
        <f>BC260</f>
        <v>0</v>
      </c>
      <c r="BE260" s="3">
        <f>BD260</f>
        <v>0</v>
      </c>
      <c r="BF260" s="3">
        <f>BE260</f>
        <v>0</v>
      </c>
      <c r="BG260" s="3">
        <f>BF260</f>
        <v>0</v>
      </c>
      <c r="BH260" s="3">
        <f>BG260</f>
        <v>0</v>
      </c>
      <c r="BI260" s="3">
        <f>BH260</f>
        <v>0</v>
      </c>
      <c r="BJ260" s="3">
        <f>BI260</f>
        <v>0</v>
      </c>
      <c r="BK260" s="3">
        <f>BJ260</f>
        <v>0</v>
      </c>
      <c r="BL260" s="3">
        <f>BK260</f>
        <v>0</v>
      </c>
      <c r="BM260" s="3">
        <f>BL260</f>
        <v>0</v>
      </c>
      <c r="BN260" s="3">
        <f>BM260</f>
        <v>0</v>
      </c>
      <c r="BO260" s="3">
        <f>BN260</f>
        <v>0</v>
      </c>
      <c r="BP260" s="3">
        <f>BO260</f>
        <v>0</v>
      </c>
      <c r="BQ260" s="3">
        <f>BP260</f>
        <v>0</v>
      </c>
      <c r="BR260" s="3">
        <f>BQ260</f>
        <v>0</v>
      </c>
      <c r="BS260" s="3">
        <f>BR260</f>
        <v>0</v>
      </c>
      <c r="BT260" s="3">
        <f>BS260</f>
        <v>0</v>
      </c>
      <c r="BU260" s="3">
        <f>BT260</f>
        <v>0</v>
      </c>
      <c r="BV260" s="3">
        <f>BU260</f>
        <v>0</v>
      </c>
      <c r="BW260" s="3">
        <f>BV260</f>
        <v>0</v>
      </c>
      <c r="BX260" s="3">
        <f>BW260</f>
        <v>0</v>
      </c>
      <c r="BY260" s="3">
        <f>BX260</f>
        <v>0</v>
      </c>
      <c r="BZ260" s="3">
        <f>BY260</f>
        <v>0</v>
      </c>
      <c r="CA260" s="3">
        <f>BZ260</f>
        <v>0</v>
      </c>
      <c r="CB260" s="3">
        <f>CA260</f>
        <v>0</v>
      </c>
      <c r="CC260" s="3">
        <f>CB260</f>
        <v>0</v>
      </c>
      <c r="CD260" s="3">
        <f>CC260</f>
        <v>0</v>
      </c>
      <c r="CE260" s="3">
        <f>CD260</f>
        <v>0</v>
      </c>
      <c r="CF260" s="3">
        <f>CE260</f>
        <v>0</v>
      </c>
      <c r="CG260" s="3">
        <f>CF260</f>
        <v>0</v>
      </c>
      <c r="CH260" s="3">
        <f>CG260</f>
        <v>0</v>
      </c>
      <c r="CI260" s="3">
        <f>CH260</f>
        <v>0</v>
      </c>
      <c r="CJ260" s="3">
        <f>CI260</f>
        <v>0</v>
      </c>
      <c r="CK260" s="3">
        <f>CJ260</f>
        <v>0</v>
      </c>
      <c r="CL260" s="3">
        <f>CK260</f>
        <v>0</v>
      </c>
      <c r="CM260" s="3">
        <f>CL260</f>
        <v>0</v>
      </c>
      <c r="CN260" s="3">
        <f>CM260</f>
        <v>0</v>
      </c>
      <c r="CO260" s="3">
        <f>CN260</f>
        <v>0</v>
      </c>
      <c r="CP260" s="3">
        <f>CO260</f>
        <v>0</v>
      </c>
      <c r="CQ260" s="3">
        <f>CP260</f>
        <v>0</v>
      </c>
      <c r="CR260" s="3">
        <f>CQ260</f>
        <v>0</v>
      </c>
      <c r="CS260" s="3">
        <f>CR260</f>
        <v>0</v>
      </c>
      <c r="CT260" s="3">
        <f>CS260</f>
        <v>0</v>
      </c>
      <c r="CU260" s="3">
        <f>CT260</f>
        <v>0</v>
      </c>
      <c r="CV260" s="3">
        <f>CU260</f>
        <v>0</v>
      </c>
      <c r="CW260" s="3">
        <f>CV260</f>
        <v>0</v>
      </c>
      <c r="CX260" s="3">
        <f>CW260</f>
        <v>0</v>
      </c>
      <c r="CY260" s="3">
        <f>CX260</f>
        <v>0</v>
      </c>
    </row>
    <row r="261">
      <c r="C261" s="28" t="inlineStr">
        <is>
          <t>Retained earnings</t>
        </is>
      </c>
      <c r="D261" s="25">
        <f>INDEX('Inputs (2)'!$D$47:$AL$47,MATCH(D$7,'Inputs (2)'!$D$2:$AL$2,0))</f>
        <v>18708</v>
      </c>
      <c r="E261" s="25">
        <f>INDEX('Inputs (2)'!$D$47:$AL$47,MATCH(E$7,'Inputs (2)'!$D$2:$AL$2,0))</f>
        <v>18876</v>
      </c>
      <c r="F261" s="25">
        <f>INDEX('Inputs (2)'!$D$47:$AL$47,MATCH(F$7,'Inputs (2)'!$D$2:$AL$2,0))</f>
        <v>19844</v>
      </c>
      <c r="G261" s="25">
        <f>INDEX('Inputs (2)'!$D$47:$AL$47,MATCH(G$7,'Inputs (2)'!$D$2:$AL$2,0))</f>
        <v>21636</v>
      </c>
      <c r="H261" s="3">
        <f>G261</f>
        <v>21636</v>
      </c>
      <c r="I261" s="25">
        <f>INDEX('Inputs (2)'!$D$47:$AL$47,MATCH(I$7,'Inputs (2)'!$D$2:$AL$2,0))</f>
        <v>21977</v>
      </c>
      <c r="J261" s="25">
        <f>INDEX('Inputs (2)'!$D$47:$AL$47,MATCH(J$7,'Inputs (2)'!$D$2:$AL$2,0))</f>
        <v>21961</v>
      </c>
      <c r="K261" s="25">
        <f>INDEX('Inputs (2)'!$D$47:$AL$47,MATCH(K$7,'Inputs (2)'!$D$2:$AL$2,0))</f>
        <v>21476</v>
      </c>
      <c r="L261" s="25">
        <f>INDEX('Inputs (2)'!$D$47:$AL$47,MATCH(L$7,'Inputs (2)'!$D$2:$AL$2,0))</f>
        <v>21600</v>
      </c>
      <c r="M261" s="3">
        <f>L261</f>
        <v>21600</v>
      </c>
      <c r="N261" s="25">
        <f>INDEX('Inputs (2)'!$D$47:$AL$47,MATCH(N$7,'Inputs (2)'!$D$2:$AL$2,0))</f>
        <v>20716</v>
      </c>
      <c r="O261" s="25">
        <f>INDEX('Inputs (2)'!$D$47:$AL$47,MATCH(O$7,'Inputs (2)'!$D$2:$AL$2,0))</f>
        <v>19336</v>
      </c>
      <c r="P261" s="25">
        <f>INDEX('Inputs (2)'!$D$47:$AL$47,MATCH(P$7,'Inputs (2)'!$D$2:$AL$2,0))</f>
        <v>19839</v>
      </c>
      <c r="Q261" s="25">
        <f>INDEX('Inputs (2)'!$D$47:$AL$47,MATCH(Q$7,'Inputs (2)'!$D$2:$AL$2,0))</f>
        <v>16943</v>
      </c>
      <c r="R261" s="3">
        <f>Q261</f>
        <v>16943</v>
      </c>
      <c r="S261" s="25">
        <f>INDEX('Inputs (2)'!$D$47:$AL$47,MATCH(S$7,'Inputs (2)'!$D$2:$AL$2,0))</f>
        <v>17478</v>
      </c>
      <c r="T261" s="25">
        <f>INDEX('Inputs (2)'!$D$47:$AL$47,MATCH(T$7,'Inputs (2)'!$D$2:$AL$2,0))</f>
        <v>17068</v>
      </c>
      <c r="U261" s="25">
        <f>INDEX('Inputs (2)'!$D$47:$AL$47,MATCH(U$7,'Inputs (2)'!$D$2:$AL$2,0))</f>
        <v>17066</v>
      </c>
      <c r="V261" s="25">
        <f>INDEX('Inputs (2)'!$D$47:$AL$47,MATCH(V$7,'Inputs (2)'!$D$2:$AL$2,0))</f>
        <v>15398</v>
      </c>
      <c r="W261" s="3">
        <f>V261</f>
        <v>15398</v>
      </c>
      <c r="X261" s="25">
        <f>INDEX('Inputs (2)'!$D$47:$AL$47,MATCH(X$7,'Inputs (2)'!$D$2:$AL$2,0))</f>
        <v>15222</v>
      </c>
      <c r="Y261" s="25">
        <f>INDEX('Inputs (2)'!$D$47:$AL$47,MATCH(Y$7,'Inputs (2)'!$D$2:$AL$2,0))</f>
        <v>14707</v>
      </c>
      <c r="Z261" s="25">
        <f>INDEX('Inputs (2)'!$D$47:$AL$47,MATCH(Z$7,'Inputs (2)'!$D$2:$AL$2,0))</f>
        <v>15657</v>
      </c>
      <c r="AA261" s="25">
        <f>INDEX('Inputs (2)'!$D$47:$AL$47,MATCH(AA$7,'Inputs (2)'!$D$2:$AL$2,0))</f>
        <v>14551</v>
      </c>
      <c r="AB261" s="3">
        <f>AA261</f>
        <v>14551</v>
      </c>
      <c r="AC261" s="25">
        <f>INDEX('Inputs (2)'!$D$47:$AL$47,MATCH(AC$7,'Inputs (2)'!$D$2:$AL$2,0))</f>
        <v>14773</v>
      </c>
      <c r="AD261" s="25">
        <f>INDEX('Inputs (2)'!$D$47:$AL$47,MATCH(AD$7,'Inputs (2)'!$D$2:$AL$2,0))</f>
        <v>13259</v>
      </c>
      <c r="AE261" s="25">
        <f>INDEX('Inputs (2)'!$D$47:$AL$47,MATCH(AE$7,'Inputs (2)'!$D$2:$AL$2,0))</f>
        <v>14053</v>
      </c>
      <c r="AF261" s="25">
        <f>INDEX('Inputs (2)'!$D$47:$AL$47,MATCH(AF$7,'Inputs (2)'!$D$2:$AL$2,0))</f>
        <v>14034</v>
      </c>
      <c r="AG261" s="3">
        <f>AF261</f>
        <v>14034</v>
      </c>
      <c r="AH261" s="3">
        <f>INDEX('Inputs (2)'!$D$47:$AL$47,MATCH(AH$7,'Inputs (2)'!$D$2:$AL$2,0))</f>
        <v>14723</v>
      </c>
      <c r="AI261" s="3">
        <f>INDEX('Inputs (2)'!$D$47:$AL$47,MATCH(AI$7,'Inputs (2)'!$D$2:$AL$2,0))</f>
        <v>15759</v>
      </c>
      <c r="AJ261" s="3">
        <f>AI261+AJ128+AJ129</f>
        <v>15739</v>
      </c>
      <c r="AK261" s="3">
        <f>AJ261+AK128+AK129</f>
        <v>15704</v>
      </c>
      <c r="AL261" s="3">
        <f>AK261</f>
        <v>15704</v>
      </c>
      <c r="AM261" s="3">
        <f>AL261+AM128+AM129</f>
        <v>15669</v>
      </c>
      <c r="AN261" s="3">
        <f>AM261+AN128+AN129</f>
        <v>15559</v>
      </c>
      <c r="AO261" s="3">
        <f>AN261+AO128+AO129</f>
        <v>15524</v>
      </c>
      <c r="AP261" s="3">
        <f>AO261+AP128+AP129</f>
        <v>15414</v>
      </c>
      <c r="AQ261" s="3">
        <f>AP261</f>
        <v>15414</v>
      </c>
      <c r="AR261" s="3">
        <f>AQ261+AR128+AR129</f>
        <v>15304</v>
      </c>
      <c r="AS261" s="3">
        <f>AR261+AS128+AS129</f>
        <v>15014</v>
      </c>
      <c r="AT261" s="3">
        <f>AS261+AT128+AT129</f>
        <v>14904</v>
      </c>
      <c r="AU261" s="3">
        <f>AT261+AU128+AU129</f>
        <v>14614</v>
      </c>
      <c r="AV261" s="3">
        <f>AU261</f>
        <v>14614</v>
      </c>
      <c r="AW261" s="3">
        <f>AV261+AW128+AW129</f>
        <v>14324</v>
      </c>
      <c r="AX261" s="3">
        <f>AW261+AX128+AX129</f>
        <v>13524</v>
      </c>
      <c r="AY261" s="3">
        <f>AX261+AY128+AY129</f>
        <v>13234</v>
      </c>
      <c r="AZ261" s="3">
        <f>AY261+AZ128+AZ129</f>
        <v>12434</v>
      </c>
      <c r="BA261" s="3">
        <f>AZ261</f>
        <v>12434</v>
      </c>
      <c r="BB261" s="3">
        <f>BA261+BB128+BB129</f>
        <v>11634</v>
      </c>
      <c r="BC261" s="3">
        <f>BB261+BC128+BC129</f>
        <v>9454</v>
      </c>
      <c r="BD261" s="3">
        <f>BC261+BD128+BD129</f>
        <v>8654</v>
      </c>
      <c r="BE261" s="3">
        <f>BD261+BE128+BE129</f>
        <v>6474</v>
      </c>
      <c r="BF261" s="3">
        <f>BE261</f>
        <v>6474</v>
      </c>
      <c r="BG261" s="3">
        <f>BF261+BG128+BG129</f>
        <v>4294</v>
      </c>
      <c r="BH261" s="3">
        <f>BG261+BH128+BH129</f>
        <v>-1666</v>
      </c>
      <c r="BI261" s="3">
        <f>BH261+BI128+BI129</f>
        <v>-3846</v>
      </c>
      <c r="BJ261" s="3">
        <f>BI261+BJ128+BJ129</f>
        <v>-9806</v>
      </c>
      <c r="BK261" s="3">
        <f>BJ261</f>
        <v>-9806</v>
      </c>
      <c r="BL261" s="3">
        <f>BK261+BL128+BL129</f>
        <v>-15766</v>
      </c>
      <c r="BM261" s="3">
        <f>BL261+BM128+BM129</f>
        <v>-32046</v>
      </c>
      <c r="BN261" s="3">
        <f>BM261+BN128+BN129</f>
        <v>-38006</v>
      </c>
      <c r="BO261" s="3">
        <f>BN261+BO128+BO129</f>
        <v>-54286</v>
      </c>
      <c r="BP261" s="3">
        <f>BO261</f>
        <v>-54286</v>
      </c>
      <c r="BQ261" s="3">
        <f>BP261+BQ128+BQ129</f>
        <v>-70566</v>
      </c>
      <c r="BR261" s="3">
        <f>BQ261+BR128+BR129</f>
        <v>-115046</v>
      </c>
      <c r="BS261" s="3">
        <f>BR261+BS128+BS129</f>
        <v>-131326</v>
      </c>
      <c r="BT261" s="3">
        <f>BS261+BT128+BT129</f>
        <v>-175806</v>
      </c>
      <c r="BU261" s="3">
        <f>BT261</f>
        <v>-175806</v>
      </c>
      <c r="BV261" s="3">
        <f>BU261+BV128+BV129</f>
        <v>-220286</v>
      </c>
      <c r="BW261" s="3">
        <f>BV261+BW128+BW129</f>
        <v>-341806</v>
      </c>
      <c r="BX261" s="3">
        <f>BW261+BX128+BX129</f>
        <v>-386286</v>
      </c>
      <c r="BY261" s="3">
        <f>BX261+BY128+BY129</f>
        <v>-507806</v>
      </c>
      <c r="BZ261" s="3">
        <f>BY261</f>
        <v>-507806</v>
      </c>
      <c r="CA261" s="3">
        <f>BZ261+CA128+CA129</f>
        <v>-629326</v>
      </c>
      <c r="CB261" s="3">
        <f>CA261+CB128+CB129</f>
        <v>-961326</v>
      </c>
      <c r="CC261" s="3">
        <f>CB261+CC128+CC129</f>
        <v>-1082846</v>
      </c>
      <c r="CD261" s="3">
        <f>CC261+CD128+CD129</f>
        <v>-1414846</v>
      </c>
      <c r="CE261" s="3">
        <f>CD261</f>
        <v>-1414846</v>
      </c>
      <c r="CF261" s="3">
        <f>CE261+CF128+CF129</f>
        <v>-1746846</v>
      </c>
      <c r="CG261" s="3">
        <f>CF261+CG128+CG129</f>
        <v>-2653886</v>
      </c>
      <c r="CH261" s="3">
        <f>CG261+CH128+CH129</f>
        <v>-2985886</v>
      </c>
      <c r="CI261" s="3">
        <f>CH261+CI128+CI129</f>
        <v>-3892926</v>
      </c>
      <c r="CJ261" s="3">
        <f>CI261</f>
        <v>-3892926</v>
      </c>
      <c r="CK261" s="3">
        <f>CJ261+CK128+CK129</f>
        <v>-4799966</v>
      </c>
      <c r="CL261" s="3">
        <f>CK261+CL128+CL129</f>
        <v>-7278046</v>
      </c>
      <c r="CM261" s="3">
        <f>CL261+CM128+CM129</f>
        <v>-8185086</v>
      </c>
      <c r="CN261" s="3">
        <f>CM261+CN128+CN129</f>
        <v>-10663166</v>
      </c>
      <c r="CO261" s="3">
        <f>CN261</f>
        <v>-10663166</v>
      </c>
      <c r="CP261" s="3">
        <f>CO261+CP128+CP129</f>
        <v>-13141246</v>
      </c>
      <c r="CQ261" s="3">
        <f>CP261+CQ128+CQ129</f>
        <v>-19911486</v>
      </c>
      <c r="CR261" s="3">
        <f>CQ261+CR128+CR129</f>
        <v>-22389566</v>
      </c>
      <c r="CS261" s="3">
        <f>CR261+CS128+CS129</f>
        <v>-29159806</v>
      </c>
      <c r="CT261" s="3">
        <f>CS261</f>
        <v>-29159806</v>
      </c>
      <c r="CU261" s="3">
        <f>CT261+CU128+CU129</f>
        <v>-35930046</v>
      </c>
      <c r="CV261" s="3">
        <f>CU261+CV128+CV129</f>
        <v>-54426686</v>
      </c>
      <c r="CW261" s="3">
        <f>CV261+CW128+CW129</f>
        <v>-61196926</v>
      </c>
      <c r="CX261" s="3">
        <f>CW261+CX128+CX129</f>
        <v>-79693566</v>
      </c>
      <c r="CY261" s="3">
        <f>CX261</f>
        <v>-79693566</v>
      </c>
    </row>
    <row r="262" customFormat="1" s="17">
      <c r="A262" s="13" t="inlineStr">
        <is>
          <t xml:space="preserve"> </t>
        </is>
      </c>
      <c r="B262" s="13" t="n"/>
      <c r="C262" s="27" t="inlineStr">
        <is>
          <t>Total Shareholders' Equity</t>
        </is>
      </c>
      <c r="D262" s="16">
        <f>SUM(D239+D244+D245+D258+D259+D260+D261)</f>
        <v>3487</v>
      </c>
      <c r="E262" s="16">
        <f>SUM(E239+E244+E245+E258+E259+E260+E261)</f>
        <v>3786</v>
      </c>
      <c r="F262" s="16">
        <f>SUM(F239+F244+F245+F258+F259+F260+F261)</f>
        <v>4986</v>
      </c>
      <c r="G262" s="16">
        <f>SUM(G239+G244+G245+G258+G259+G260+G261)</f>
        <v>6038</v>
      </c>
      <c r="H262" s="16">
        <f>SUM(H239,H244,H245,H258,H259,H260,H261)</f>
        <v>6038</v>
      </c>
      <c r="I262" s="16">
        <f>SUM(I239+I244+I245+I258+I259+I260+I261)</f>
        <v>6333</v>
      </c>
      <c r="J262" s="16">
        <f>SUM(J239+J244+J245+J258+J259+J260+J261)</f>
        <v>6530</v>
      </c>
      <c r="K262" s="16">
        <f>SUM(K239+K244+K245+K258+K259+K260+K261)</f>
        <v>9631</v>
      </c>
      <c r="L262" s="16">
        <f>SUM(L239+L244+L245+L258+L259+L260+L261)</f>
        <v>10959</v>
      </c>
      <c r="M262" s="16">
        <f>SUM(M239,M244,M245,M258,M259,M260,M261)</f>
        <v>10959</v>
      </c>
      <c r="N262" s="16">
        <f>SUM(N239+N244+N245+N258+N259+N260+N261)</f>
        <v>10002</v>
      </c>
      <c r="O262" s="16">
        <f>SUM(O239+O244+O245+O258+O259+O260+O261)</f>
        <v>11432</v>
      </c>
      <c r="P262" s="16">
        <f>SUM(P239+P244+P245+P258+P259+P260+P261)</f>
        <v>11966</v>
      </c>
      <c r="Q262" s="16">
        <f>SUM(Q239+Q244+Q245+Q258+Q259+Q260+Q261)</f>
        <v>9266</v>
      </c>
      <c r="R262" s="16">
        <f>SUM(R239,R244,R245,R258,R259,R260,R261)</f>
        <v>9266</v>
      </c>
      <c r="S262" s="16">
        <f>SUM(S239+S244+S245+S258+S259+S260+S261)</f>
        <v>9646</v>
      </c>
      <c r="T262" s="16">
        <f>SUM(T239+T244+T245+T258+T259+T260+T261)</f>
        <v>9240</v>
      </c>
      <c r="U262" s="16">
        <f>SUM(U239+U244+U245+U258+U259+U260+U261)</f>
        <v>9274</v>
      </c>
      <c r="V262" s="16">
        <f>SUM(V239+V244+V245+V258+V259+V260+V261)</f>
        <v>6835</v>
      </c>
      <c r="W262" s="16">
        <f>SUM(W239,W244,W245,W258,W259,W260,W261)</f>
        <v>6835</v>
      </c>
      <c r="X262" s="16">
        <f>SUM(X239+X244+X245+X258+X259+X260+X261)</f>
        <v>6650</v>
      </c>
      <c r="Y262" s="16">
        <f>SUM(Y239+Y244+Y245+Y258+Y259+Y260+Y261)</f>
        <v>6175</v>
      </c>
      <c r="Z262" s="16">
        <f>SUM(Z239+Z244+Z245+Z258+Z259+Z260+Z261)</f>
        <v>7200</v>
      </c>
      <c r="AA262" s="16">
        <f>SUM(AA239+AA244+AA245+AA258+AA259+AA260+AA261)</f>
        <v>6333</v>
      </c>
      <c r="AB262" s="16">
        <f>SUM(AB239,AB244,AB245,AB258,AB259,AB260,AB261)</f>
        <v>6333</v>
      </c>
      <c r="AC262" s="16">
        <f>SUM(AC239+AC244+AC245+AC258+AC259+AC260+AC261)</f>
        <v>6683</v>
      </c>
      <c r="AD262" s="16">
        <f>SUM(AD239+AD244+AD245+AD258+AD259+AD260+AD261)</f>
        <v>5334</v>
      </c>
      <c r="AE262" s="16">
        <f>SUM(AE239+AE244+AE245+AE258+AE259+AE260+AE261)</f>
        <v>6181</v>
      </c>
      <c r="AF262" s="16">
        <f>SUM(AF239+AF244+AF245+AF258+AF259+AF260+AF261)</f>
        <v>6721</v>
      </c>
      <c r="AG262" s="16">
        <f>SUM(AG239,AG244,AG245,AG258,AG259,AG260,AG261)</f>
        <v>6721</v>
      </c>
      <c r="AH262" s="16">
        <f>SUM(AH239+AH244+AH245+AH258+AH259+AH260+AH261)</f>
        <v>7489</v>
      </c>
      <c r="AI262" s="16">
        <f>SUM(AI239+AI244+AI245+AI258+AI259+AI260+AI261)</f>
        <v>8768</v>
      </c>
      <c r="AJ262" s="16">
        <f>SUM(AJ239+AJ244+AJ245+AJ258+AJ259+AJ260+AJ261)</f>
        <v>8748</v>
      </c>
      <c r="AK262" s="16">
        <f>SUM(AK239+AK244+AK245+AK258+AK259+AK260+AK261)</f>
        <v>8713</v>
      </c>
      <c r="AL262" s="16">
        <f>SUM(AL239,AL244,AL245,AL258,AL259,AL260,AL261)</f>
        <v>8713</v>
      </c>
      <c r="AM262" s="16">
        <f>SUM(AM239+AM244+AM245+AM258+AM259+AM260+AM261)</f>
        <v>8678</v>
      </c>
      <c r="AN262" s="16">
        <f>SUM(AN239+AN244+AN245+AN258+AN259+AN260+AN261)</f>
        <v>8568</v>
      </c>
      <c r="AO262" s="16">
        <f>SUM(AO239+AO244+AO245+AO258+AO259+AO260+AO261)</f>
        <v>8533</v>
      </c>
      <c r="AP262" s="16">
        <f>SUM(AP239+AP244+AP245+AP258+AP259+AP260+AP261)</f>
        <v>8423</v>
      </c>
      <c r="AQ262" s="16">
        <f>SUM(AQ239,AQ244,AQ245,AQ258,AQ259,AQ260,AQ261)</f>
        <v>8423</v>
      </c>
      <c r="AR262" s="16">
        <f>SUM(AR239+AR244+AR245+AR258+AR259+AR260+AR261)</f>
        <v>8313</v>
      </c>
      <c r="AS262" s="16">
        <f>SUM(AS239+AS244+AS245+AS258+AS259+AS260+AS261)</f>
        <v>8023</v>
      </c>
      <c r="AT262" s="16">
        <f>SUM(AT239+AT244+AT245+AT258+AT259+AT260+AT261)</f>
        <v>7913</v>
      </c>
      <c r="AU262" s="16">
        <f>SUM(AU239+AU244+AU245+AU258+AU259+AU260+AU261)</f>
        <v>7623</v>
      </c>
      <c r="AV262" s="16">
        <f>SUM(AV239,AV244,AV245,AV258,AV259,AV260,AV261)</f>
        <v>7623</v>
      </c>
      <c r="AW262" s="16">
        <f>SUM(AW239+AW244+AW245+AW258+AW259+AW260+AW261)</f>
        <v>7333</v>
      </c>
      <c r="AX262" s="16">
        <f>SUM(AX239+AX244+AX245+AX258+AX259+AX260+AX261)</f>
        <v>6533</v>
      </c>
      <c r="AY262" s="16">
        <f>SUM(AY239+AY244+AY245+AY258+AY259+AY260+AY261)</f>
        <v>6243</v>
      </c>
      <c r="AZ262" s="16">
        <f>SUM(AZ239+AZ244+AZ245+AZ258+AZ259+AZ260+AZ261)</f>
        <v>5443</v>
      </c>
      <c r="BA262" s="16">
        <f>SUM(BA239,BA244,BA245,BA258,BA259,BA260,BA261)</f>
        <v>5443</v>
      </c>
      <c r="BB262" s="16">
        <f>SUM(BB239+BB244+BB245+BB258+BB259+BB260+BB261)</f>
        <v>4643</v>
      </c>
      <c r="BC262" s="16">
        <f>SUM(BC239+BC244+BC245+BC258+BC259+BC260+BC261)</f>
        <v>2463</v>
      </c>
      <c r="BD262" s="16">
        <f>SUM(BD239+BD244+BD245+BD258+BD259+BD260+BD261)</f>
        <v>1663</v>
      </c>
      <c r="BE262" s="16">
        <f>SUM(BE239+BE244+BE245+BE258+BE259+BE260+BE261)</f>
        <v>-517</v>
      </c>
      <c r="BF262" s="16">
        <f>SUM(BF239,BF244,BF245,BF258,BF259,BF260,BF261)</f>
        <v>-517</v>
      </c>
      <c r="BG262" s="16">
        <f>SUM(BG239+BG244+BG245+BG258+BG259+BG260+BG261)</f>
        <v>-2697</v>
      </c>
      <c r="BH262" s="16">
        <f>SUM(BH239+BH244+BH245+BH258+BH259+BH260+BH261)</f>
        <v>-8657</v>
      </c>
      <c r="BI262" s="16">
        <f>SUM(BI239+BI244+BI245+BI258+BI259+BI260+BI261)</f>
        <v>-10837</v>
      </c>
      <c r="BJ262" s="16">
        <f>SUM(BJ239+BJ244+BJ245+BJ258+BJ259+BJ260+BJ261)</f>
        <v>-16797</v>
      </c>
      <c r="BK262" s="16">
        <f>SUM(BK239,BK244,BK245,BK258,BK259,BK260,BK261)</f>
        <v>-16797</v>
      </c>
      <c r="BL262" s="16">
        <f>SUM(BL239+BL244+BL245+BL258+BL259+BL260+BL261)</f>
        <v>-22757</v>
      </c>
      <c r="BM262" s="16">
        <f>SUM(BM239+BM244+BM245+BM258+BM259+BM260+BM261)</f>
        <v>-39037</v>
      </c>
      <c r="BN262" s="16">
        <f>SUM(BN239+BN244+BN245+BN258+BN259+BN260+BN261)</f>
        <v>-44997</v>
      </c>
      <c r="BO262" s="16">
        <f>SUM(BO239+BO244+BO245+BO258+BO259+BO260+BO261)</f>
        <v>-61277</v>
      </c>
      <c r="BP262" s="16">
        <f>SUM(BP239,BP244,BP245,BP258,BP259,BP260,BP261)</f>
        <v>-61277</v>
      </c>
      <c r="BQ262" s="16">
        <f>SUM(BQ239+BQ244+BQ245+BQ258+BQ259+BQ260+BQ261)</f>
        <v>-77557</v>
      </c>
      <c r="BR262" s="16">
        <f>SUM(BR239+BR244+BR245+BR258+BR259+BR260+BR261)</f>
        <v>-122037</v>
      </c>
      <c r="BS262" s="16">
        <f>SUM(BS239+BS244+BS245+BS258+BS259+BS260+BS261)</f>
        <v>-138317</v>
      </c>
      <c r="BT262" s="16">
        <f>SUM(BT239+BT244+BT245+BT258+BT259+BT260+BT261)</f>
        <v>-182797</v>
      </c>
      <c r="BU262" s="16">
        <f>SUM(BU239,BU244,BU245,BU258,BU259,BU260,BU261)</f>
        <v>-182797</v>
      </c>
      <c r="BV262" s="16">
        <f>SUM(BV239+BV244+BV245+BV258+BV259+BV260+BV261)</f>
        <v>-227277</v>
      </c>
      <c r="BW262" s="16">
        <f>SUM(BW239+BW244+BW245+BW258+BW259+BW260+BW261)</f>
        <v>-348797</v>
      </c>
      <c r="BX262" s="16">
        <f>SUM(BX239+BX244+BX245+BX258+BX259+BX260+BX261)</f>
        <v>-393277</v>
      </c>
      <c r="BY262" s="16">
        <f>SUM(BY239+BY244+BY245+BY258+BY259+BY260+BY261)</f>
        <v>-514797</v>
      </c>
      <c r="BZ262" s="16">
        <f>SUM(BZ239,BZ244,BZ245,BZ258,BZ259,BZ260,BZ261)</f>
        <v>-514797</v>
      </c>
      <c r="CA262" s="16">
        <f>SUM(CA239+CA244+CA245+CA258+CA259+CA260+CA261)</f>
        <v>-636317</v>
      </c>
      <c r="CB262" s="16">
        <f>SUM(CB239+CB244+CB245+CB258+CB259+CB260+CB261)</f>
        <v>-968317</v>
      </c>
      <c r="CC262" s="16">
        <f>SUM(CC239+CC244+CC245+CC258+CC259+CC260+CC261)</f>
        <v>-1089837</v>
      </c>
      <c r="CD262" s="16">
        <f>SUM(CD239+CD244+CD245+CD258+CD259+CD260+CD261)</f>
        <v>-1421837</v>
      </c>
      <c r="CE262" s="16">
        <f>SUM(CE239,CE244,CE245,CE258,CE259,CE260,CE261)</f>
        <v>-1421837</v>
      </c>
      <c r="CF262" s="16">
        <f>SUM(CF239+CF244+CF245+CF258+CF259+CF260+CF261)</f>
        <v>-1753837</v>
      </c>
      <c r="CG262" s="16">
        <f>SUM(CG239+CG244+CG245+CG258+CG259+CG260+CG261)</f>
        <v>-2660877</v>
      </c>
      <c r="CH262" s="16">
        <f>SUM(CH239+CH244+CH245+CH258+CH259+CH260+CH261)</f>
        <v>-2992877</v>
      </c>
      <c r="CI262" s="16">
        <f>SUM(CI239+CI244+CI245+CI258+CI259+CI260+CI261)</f>
        <v>-3899917</v>
      </c>
      <c r="CJ262" s="16">
        <f>SUM(CJ239,CJ244,CJ245,CJ258,CJ259,CJ260,CJ261)</f>
        <v>-3899917</v>
      </c>
      <c r="CK262" s="16">
        <f>SUM(CK239+CK244+CK245+CK258+CK259+CK260+CK261)</f>
        <v>-4806957</v>
      </c>
      <c r="CL262" s="16">
        <f>SUM(CL239+CL244+CL245+CL258+CL259+CL260+CL261)</f>
        <v>-7285037</v>
      </c>
      <c r="CM262" s="16">
        <f>SUM(CM239+CM244+CM245+CM258+CM259+CM260+CM261)</f>
        <v>-8192077</v>
      </c>
      <c r="CN262" s="16">
        <f>SUM(CN239+CN244+CN245+CN258+CN259+CN260+CN261)</f>
        <v>-10670157</v>
      </c>
      <c r="CO262" s="16">
        <f>SUM(CO239,CO244,CO245,CO258,CO259,CO260,CO261)</f>
        <v>-10670157</v>
      </c>
      <c r="CP262" s="16">
        <f>SUM(CP239+CP244+CP245+CP258+CP259+CP260+CP261)</f>
        <v>-13148237</v>
      </c>
      <c r="CQ262" s="16">
        <f>SUM(CQ239+CQ244+CQ245+CQ258+CQ259+CQ260+CQ261)</f>
        <v>-19918477</v>
      </c>
      <c r="CR262" s="16">
        <f>SUM(CR239+CR244+CR245+CR258+CR259+CR260+CR261)</f>
        <v>-22396557</v>
      </c>
      <c r="CS262" s="16">
        <f>SUM(CS239+CS244+CS245+CS258+CS259+CS260+CS261)</f>
        <v>-29166797</v>
      </c>
      <c r="CT262" s="16">
        <f>SUM(CT239,CT244,CT245,CT258,CT259,CT260,CT261)</f>
        <v>-29166797</v>
      </c>
      <c r="CU262" s="16">
        <f>SUM(CU239+CU244+CU245+CU258+CU259+CU260+CU261)</f>
        <v>-35937037</v>
      </c>
      <c r="CV262" s="16">
        <f>SUM(CV239+CV244+CV245+CV258+CV259+CV260+CV261)</f>
        <v>-54433677</v>
      </c>
      <c r="CW262" s="16">
        <f>SUM(CW239+CW244+CW245+CW258+CW259+CW260+CW261)</f>
        <v>-61203917</v>
      </c>
      <c r="CX262" s="16">
        <f>SUM(CX239+CX244+CX245+CX258+CX259+CX260+CX261)</f>
        <v>-79700557</v>
      </c>
      <c r="CY262" s="16">
        <f>SUM(CY239,CY244,CY245,CY258,CY259,CY260,CY261)</f>
        <v>-79700557</v>
      </c>
    </row>
    <row r="263">
      <c r="C263" s="29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n"/>
      <c r="CF263" s="3" t="n"/>
      <c r="CG263" s="3" t="n"/>
      <c r="CH263" s="3" t="n"/>
      <c r="CI263" s="3" t="n"/>
      <c r="CJ263" s="3" t="n"/>
      <c r="CK263" s="3" t="n"/>
      <c r="CL263" s="3" t="n"/>
      <c r="CM263" s="3" t="n"/>
      <c r="CN263" s="3" t="n"/>
      <c r="CO263" s="3" t="n"/>
      <c r="CP263" s="3" t="n"/>
      <c r="CQ263" s="3" t="n"/>
      <c r="CR263" s="3" t="n"/>
      <c r="CS263" s="3" t="n"/>
      <c r="CT263" s="3" t="n"/>
      <c r="CU263" s="3" t="n"/>
      <c r="CV263" s="3" t="n"/>
      <c r="CW263" s="3" t="n"/>
      <c r="CX263" s="3" t="n"/>
      <c r="CY263" s="3" t="n"/>
    </row>
    <row r="264" customFormat="1" s="17">
      <c r="A264" s="13" t="n"/>
      <c r="B264" s="1" t="n"/>
      <c r="C264" s="14" t="inlineStr">
        <is>
          <t>Total Liabilities + Shareholders' Equity</t>
        </is>
      </c>
      <c r="D264" s="16">
        <f>D262+D238</f>
        <v>49248</v>
      </c>
      <c r="E264" s="16">
        <f>E262+E238</f>
        <v>49603</v>
      </c>
      <c r="F264" s="16">
        <f>F262+F238</f>
        <v>50773</v>
      </c>
      <c r="G264" s="16">
        <f>G262+G238</f>
        <v>50710</v>
      </c>
      <c r="H264" s="16">
        <f>H262+H238</f>
        <v>50710</v>
      </c>
      <c r="I264" s="16">
        <f>I262+I238</f>
        <v>51437</v>
      </c>
      <c r="J264" s="16">
        <f>J262+J238</f>
        <v>52099</v>
      </c>
      <c r="K264" s="16">
        <f>K262+K238</f>
        <v>51843</v>
      </c>
      <c r="L264" s="16">
        <f>L262+L238</f>
        <v>50873</v>
      </c>
      <c r="M264" s="16">
        <f>M262+M238</f>
        <v>50873</v>
      </c>
      <c r="N264" s="16">
        <f>N262+N238</f>
        <v>51510</v>
      </c>
      <c r="O264" s="16">
        <f>O262+O238</f>
        <v>51758</v>
      </c>
      <c r="P264" s="16">
        <f>P262+P238</f>
        <v>52030</v>
      </c>
      <c r="Q264" s="16">
        <f>Q262+Q238</f>
        <v>52880</v>
      </c>
      <c r="R264" s="16">
        <f>R262+R238</f>
        <v>52880</v>
      </c>
      <c r="S264" s="16">
        <f>S262+S238</f>
        <v>54622</v>
      </c>
      <c r="T264" s="16">
        <f>T262+T238</f>
        <v>56978</v>
      </c>
      <c r="U264" s="16">
        <f>U262+U238</f>
        <v>56666</v>
      </c>
      <c r="V264" s="16">
        <f>V262+V238</f>
        <v>52456</v>
      </c>
      <c r="W264" s="16">
        <f>W262+W238</f>
        <v>52456</v>
      </c>
      <c r="X264" s="16">
        <f>X262+X238</f>
        <v>54963</v>
      </c>
      <c r="Y264" s="16">
        <f>Y262+Y238</f>
        <v>55076</v>
      </c>
      <c r="Z264" s="16">
        <f>Z262+Z238</f>
        <v>55520</v>
      </c>
      <c r="AA264" s="16">
        <f>AA262+AA238</f>
        <v>55617</v>
      </c>
      <c r="AB264" s="16">
        <f>AB262+AB238</f>
        <v>55617</v>
      </c>
      <c r="AC264" s="16">
        <f>AC262+AC238</f>
        <v>56669</v>
      </c>
      <c r="AD264" s="16">
        <f>AD262+AD238</f>
        <v>58870</v>
      </c>
      <c r="AE264" s="16">
        <f>AE262+AE238</f>
        <v>60276</v>
      </c>
      <c r="AF264" s="16">
        <f>AF262+AF238</f>
        <v>59840</v>
      </c>
      <c r="AG264" s="16">
        <f>AG262+AG238</f>
        <v>59840</v>
      </c>
      <c r="AH264" s="16">
        <f>AH262+AH238</f>
        <v>59238</v>
      </c>
      <c r="AI264" s="16">
        <f>AI262+AI238</f>
        <v>62450</v>
      </c>
      <c r="AJ264" s="16">
        <f>AJ262+AJ238</f>
        <v>54512</v>
      </c>
      <c r="AK264" s="16">
        <f>AK262+AK238</f>
        <v>54477</v>
      </c>
      <c r="AL264" s="16">
        <f>AL262+AL238</f>
        <v>54477</v>
      </c>
      <c r="AM264" s="16" t="e">
        <f>AM262+AM238</f>
        <v>#DIV/0!</v>
      </c>
      <c r="AN264" s="16">
        <f>AN262+AN238</f>
        <v>54332</v>
      </c>
      <c r="AO264" s="16" t="e">
        <f>AO262+AO238</f>
        <v>#DIV/0!</v>
      </c>
      <c r="AP264" s="16" t="e">
        <f>AP262+AP238</f>
        <v>#DIV/0!</v>
      </c>
      <c r="AQ264" s="16" t="e">
        <f>AQ262+AQ238</f>
        <v>#DIV/0!</v>
      </c>
      <c r="AR264" s="16" t="e">
        <f>AR262+AR238</f>
        <v>#DIV/0!</v>
      </c>
      <c r="AS264" s="16" t="e">
        <f>AS262+AS238</f>
        <v>#DIV/0!</v>
      </c>
      <c r="AT264" s="16" t="e">
        <f>AT262+AT238</f>
        <v>#DIV/0!</v>
      </c>
      <c r="AU264" s="16" t="e">
        <f>AU262+AU238</f>
        <v>#DIV/0!</v>
      </c>
      <c r="AV264" s="16" t="e">
        <f>AV262+AV238</f>
        <v>#DIV/0!</v>
      </c>
      <c r="AW264" s="16" t="e">
        <f>AW262+AW238</f>
        <v>#DIV/0!</v>
      </c>
      <c r="AX264" s="16" t="e">
        <f>AX262+AX238</f>
        <v>#DIV/0!</v>
      </c>
      <c r="AY264" s="16" t="e">
        <f>AY262+AY238</f>
        <v>#DIV/0!</v>
      </c>
      <c r="AZ264" s="16" t="e">
        <f>AZ262+AZ238</f>
        <v>#DIV/0!</v>
      </c>
      <c r="BA264" s="16" t="e">
        <f>BA262+BA238</f>
        <v>#DIV/0!</v>
      </c>
      <c r="BB264" s="16" t="e">
        <f>BB262+BB238</f>
        <v>#DIV/0!</v>
      </c>
      <c r="BC264" s="16" t="e">
        <f>BC262+BC238</f>
        <v>#DIV/0!</v>
      </c>
      <c r="BD264" s="16" t="e">
        <f>BD262+BD238</f>
        <v>#DIV/0!</v>
      </c>
      <c r="BE264" s="16" t="e">
        <f>BE262+BE238</f>
        <v>#DIV/0!</v>
      </c>
      <c r="BF264" s="16" t="e">
        <f>BF262+BF238</f>
        <v>#DIV/0!</v>
      </c>
      <c r="BG264" s="16" t="e">
        <f>BG262+BG238</f>
        <v>#DIV/0!</v>
      </c>
      <c r="BH264" s="16" t="e">
        <f>BH262+BH238</f>
        <v>#DIV/0!</v>
      </c>
      <c r="BI264" s="16" t="e">
        <f>BI262+BI238</f>
        <v>#DIV/0!</v>
      </c>
      <c r="BJ264" s="16" t="e">
        <f>BJ262+BJ238</f>
        <v>#DIV/0!</v>
      </c>
      <c r="BK264" s="16" t="e">
        <f>BK262+BK238</f>
        <v>#DIV/0!</v>
      </c>
      <c r="BL264" s="16" t="e">
        <f>BL262+BL238</f>
        <v>#DIV/0!</v>
      </c>
      <c r="BM264" s="16" t="e">
        <f>BM262+BM238</f>
        <v>#DIV/0!</v>
      </c>
      <c r="BN264" s="16" t="e">
        <f>BN262+BN238</f>
        <v>#DIV/0!</v>
      </c>
      <c r="BO264" s="16" t="e">
        <f>BO262+BO238</f>
        <v>#DIV/0!</v>
      </c>
      <c r="BP264" s="16" t="e">
        <f>BP262+BP238</f>
        <v>#DIV/0!</v>
      </c>
      <c r="BQ264" s="16" t="e">
        <f>BQ262+BQ238</f>
        <v>#DIV/0!</v>
      </c>
      <c r="BR264" s="16" t="e">
        <f>BR262+BR238</f>
        <v>#DIV/0!</v>
      </c>
      <c r="BS264" s="16" t="e">
        <f>BS262+BS238</f>
        <v>#DIV/0!</v>
      </c>
      <c r="BT264" s="16" t="e">
        <f>BT262+BT238</f>
        <v>#DIV/0!</v>
      </c>
      <c r="BU264" s="16" t="e">
        <f>BU262+BU238</f>
        <v>#DIV/0!</v>
      </c>
      <c r="BV264" s="16" t="e">
        <f>BV262+BV238</f>
        <v>#DIV/0!</v>
      </c>
      <c r="BW264" s="16" t="e">
        <f>BW262+BW238</f>
        <v>#DIV/0!</v>
      </c>
      <c r="BX264" s="16" t="e">
        <f>BX262+BX238</f>
        <v>#DIV/0!</v>
      </c>
      <c r="BY264" s="16" t="e">
        <f>BY262+BY238</f>
        <v>#DIV/0!</v>
      </c>
      <c r="BZ264" s="16" t="e">
        <f>BZ262+BZ238</f>
        <v>#DIV/0!</v>
      </c>
      <c r="CA264" s="16" t="e">
        <f>CA262+CA238</f>
        <v>#DIV/0!</v>
      </c>
      <c r="CB264" s="16" t="e">
        <f>CB262+CB238</f>
        <v>#DIV/0!</v>
      </c>
      <c r="CC264" s="16" t="e">
        <f>CC262+CC238</f>
        <v>#DIV/0!</v>
      </c>
      <c r="CD264" s="16" t="e">
        <f>CD262+CD238</f>
        <v>#DIV/0!</v>
      </c>
      <c r="CE264" s="16" t="e">
        <f>CE262+CE238</f>
        <v>#DIV/0!</v>
      </c>
      <c r="CF264" s="16" t="e">
        <f>CF262+CF238</f>
        <v>#DIV/0!</v>
      </c>
      <c r="CG264" s="16" t="e">
        <f>CG262+CG238</f>
        <v>#DIV/0!</v>
      </c>
      <c r="CH264" s="16" t="e">
        <f>CH262+CH238</f>
        <v>#DIV/0!</v>
      </c>
      <c r="CI264" s="16" t="e">
        <f>CI262+CI238</f>
        <v>#DIV/0!</v>
      </c>
      <c r="CJ264" s="16" t="e">
        <f>CJ262+CJ238</f>
        <v>#DIV/0!</v>
      </c>
      <c r="CK264" s="16" t="e">
        <f>CK262+CK238</f>
        <v>#DIV/0!</v>
      </c>
      <c r="CL264" s="16" t="e">
        <f>CL262+CL238</f>
        <v>#DIV/0!</v>
      </c>
      <c r="CM264" s="16" t="e">
        <f>CM262+CM238</f>
        <v>#DIV/0!</v>
      </c>
      <c r="CN264" s="16" t="e">
        <f>CN262+CN238</f>
        <v>#DIV/0!</v>
      </c>
      <c r="CO264" s="16" t="e">
        <f>CO262+CO238</f>
        <v>#DIV/0!</v>
      </c>
      <c r="CP264" s="16" t="e">
        <f>CP262+CP238</f>
        <v>#DIV/0!</v>
      </c>
      <c r="CQ264" s="16" t="e">
        <f>CQ262+CQ238</f>
        <v>#DIV/0!</v>
      </c>
      <c r="CR264" s="16" t="e">
        <f>CR262+CR238</f>
        <v>#DIV/0!</v>
      </c>
      <c r="CS264" s="16" t="e">
        <f>CS262+CS238</f>
        <v>#DIV/0!</v>
      </c>
      <c r="CT264" s="16" t="e">
        <f>CT262+CT238</f>
        <v>#DIV/0!</v>
      </c>
      <c r="CU264" s="16" t="e">
        <f>CU262+CU238</f>
        <v>#DIV/0!</v>
      </c>
      <c r="CV264" s="16" t="e">
        <f>CV262+CV238</f>
        <v>#DIV/0!</v>
      </c>
      <c r="CW264" s="16" t="e">
        <f>CW262+CW238</f>
        <v>#DIV/0!</v>
      </c>
      <c r="CX264" s="16" t="e">
        <f>CX262+CX238</f>
        <v>#DIV/0!</v>
      </c>
      <c r="CY264" s="16" t="e">
        <f>CY262+CY238</f>
        <v>#DIV/0!</v>
      </c>
    </row>
    <row r="265">
      <c r="C265" s="5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1" t="n"/>
      <c r="CB265" s="1" t="n"/>
      <c r="CC265" s="1" t="n"/>
      <c r="CD265" s="1" t="n"/>
      <c r="CE265" s="1" t="n"/>
      <c r="CF265" s="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</row>
    <row r="266" customFormat="1" s="17">
      <c r="A266" s="13" t="n"/>
      <c r="B266" s="13" t="n"/>
      <c r="C266" s="12" t="inlineStr">
        <is>
          <t>Cash Flow Statement</t>
        </is>
      </c>
      <c r="D266" s="232" t="str">
        <f>D133</f>
        <v>1Q20</v>
      </c>
      <c r="E266" s="232" t="str">
        <f>E133</f>
        <v>2Q20</v>
      </c>
      <c r="F266" s="232" t="str">
        <f>F133</f>
        <v>3Q20</v>
      </c>
      <c r="G266" s="232" t="str">
        <f>G133</f>
        <v>4Q20</v>
      </c>
      <c r="H266" s="232">
        <f>H133</f>
        <v>2020</v>
      </c>
      <c r="I266" s="232" t="str">
        <f>I133</f>
        <v>1Q21</v>
      </c>
      <c r="J266" s="232" t="str">
        <f>J133</f>
        <v>2Q21</v>
      </c>
      <c r="K266" s="232" t="str">
        <f>K133</f>
        <v>3Q21</v>
      </c>
      <c r="L266" s="232" t="str">
        <f>L133</f>
        <v>4Q21</v>
      </c>
      <c r="M266" s="232">
        <f>M133</f>
        <v>2021</v>
      </c>
      <c r="N266" s="232" t="str">
        <f>N133</f>
        <v>1Q22</v>
      </c>
      <c r="O266" s="232" t="str">
        <f>O133</f>
        <v>2Q22</v>
      </c>
      <c r="P266" s="232" t="str">
        <f>P133</f>
        <v>3Q22</v>
      </c>
      <c r="Q266" s="232" t="str">
        <f>Q133</f>
        <v>4Q22</v>
      </c>
      <c r="R266" s="232">
        <f>R133</f>
        <v>2022</v>
      </c>
      <c r="S266" s="232" t="str">
        <f>S133</f>
        <v>1Q23</v>
      </c>
      <c r="T266" s="232" t="str">
        <f>T133</f>
        <v>2Q23</v>
      </c>
      <c r="U266" s="232" t="str">
        <f>U133</f>
        <v>3Q23</v>
      </c>
      <c r="V266" s="232" t="str">
        <f>V133</f>
        <v>4Q23</v>
      </c>
      <c r="W266" s="232">
        <f>W133</f>
        <v>2023</v>
      </c>
      <c r="X266" s="232" t="str">
        <f>X133</f>
        <v>1Q24</v>
      </c>
      <c r="Y266" s="232" t="str">
        <f>Y133</f>
        <v>2Q24</v>
      </c>
      <c r="Z266" s="232" t="str">
        <f>Z133</f>
        <v>3Q24</v>
      </c>
      <c r="AA266" s="232" t="str">
        <f>AA133</f>
        <v>4Q24</v>
      </c>
      <c r="AB266" s="232">
        <f>AB133</f>
        <v>2024</v>
      </c>
      <c r="AC266" s="232" t="str">
        <f>AC133</f>
        <v>1Q25</v>
      </c>
      <c r="AD266" s="232" t="str">
        <f>AD133</f>
        <v>2Q25</v>
      </c>
      <c r="AE266" s="232" t="str">
        <f>AE133</f>
        <v>3Q25</v>
      </c>
      <c r="AF266" s="232" t="str">
        <f>AF133</f>
        <v>4Q25</v>
      </c>
      <c r="AG266" s="232">
        <f>AG133</f>
        <v>2025</v>
      </c>
      <c r="AH266" s="232" t="str">
        <f>AH133</f>
        <v>1Q26</v>
      </c>
      <c r="AI266" s="232" t="str">
        <f>AI133</f>
        <v>2Q26</v>
      </c>
      <c r="AJ266" s="232" t="str">
        <f>AJ133</f>
        <v>3Q26</v>
      </c>
      <c r="AK266" s="232" t="str">
        <f>AK133</f>
        <v>4Q26</v>
      </c>
      <c r="AL266" s="232">
        <f>AL133</f>
        <v>2026</v>
      </c>
      <c r="AM266" s="232" t="str">
        <f>AM133</f>
        <v>1Q27</v>
      </c>
      <c r="AN266" s="232" t="str">
        <f>AN133</f>
        <v>2Q27</v>
      </c>
      <c r="AO266" s="232" t="str">
        <f>AO133</f>
        <v>3Q27</v>
      </c>
      <c r="AP266" s="232" t="str">
        <f>AP133</f>
        <v>4Q27</v>
      </c>
      <c r="AQ266" s="232">
        <f>AQ133</f>
        <v>2027</v>
      </c>
      <c r="AR266" s="232" t="str">
        <f>AR133</f>
        <v>1Q28</v>
      </c>
      <c r="AS266" s="232" t="str">
        <f>AS133</f>
        <v>2Q28</v>
      </c>
      <c r="AT266" s="232" t="str">
        <f>AT133</f>
        <v>3Q28</v>
      </c>
      <c r="AU266" s="232" t="str">
        <f>AU133</f>
        <v>4Q28</v>
      </c>
      <c r="AV266" s="232">
        <f>AV133</f>
        <v>2028</v>
      </c>
      <c r="AW266" s="232" t="str">
        <f>AW133</f>
        <v>1Q29</v>
      </c>
      <c r="AX266" s="232" t="str">
        <f>AX133</f>
        <v>2Q29</v>
      </c>
      <c r="AY266" s="232" t="str">
        <f>AY133</f>
        <v>3Q29</v>
      </c>
      <c r="AZ266" s="232" t="str">
        <f>AZ133</f>
        <v>4Q29</v>
      </c>
      <c r="BA266" s="232">
        <f>BA133</f>
        <v>2029</v>
      </c>
      <c r="BB266" s="232" t="str">
        <f>BB133</f>
        <v>1Q30</v>
      </c>
      <c r="BC266" s="232" t="str">
        <f>BC133</f>
        <v>2Q30</v>
      </c>
      <c r="BD266" s="232" t="str">
        <f>BD133</f>
        <v>3Q30</v>
      </c>
      <c r="BE266" s="232" t="str">
        <f>BE133</f>
        <v>4Q30</v>
      </c>
      <c r="BF266" s="232">
        <f>BF133</f>
        <v>2030</v>
      </c>
      <c r="BG266" s="232" t="str">
        <f>BG133</f>
        <v>1Q31</v>
      </c>
      <c r="BH266" s="232" t="str">
        <f>BH133</f>
        <v>2Q31</v>
      </c>
      <c r="BI266" s="232" t="str">
        <f>BI133</f>
        <v>3Q31</v>
      </c>
      <c r="BJ266" s="232" t="str">
        <f>BJ133</f>
        <v>4Q31</v>
      </c>
      <c r="BK266" s="232">
        <f>BK133</f>
        <v>2031</v>
      </c>
      <c r="BL266" s="232" t="str">
        <f>BL133</f>
        <v>1Q32</v>
      </c>
      <c r="BM266" s="232" t="str">
        <f>BM133</f>
        <v>2Q32</v>
      </c>
      <c r="BN266" s="232" t="str">
        <f>BN133</f>
        <v>3Q32</v>
      </c>
      <c r="BO266" s="232" t="str">
        <f>BO133</f>
        <v>4Q32</v>
      </c>
      <c r="BP266" s="232">
        <f>BP133</f>
        <v>2032</v>
      </c>
      <c r="BQ266" s="232" t="str">
        <f>BQ133</f>
        <v>1Q33</v>
      </c>
      <c r="BR266" s="232" t="str">
        <f>BR133</f>
        <v>2Q33</v>
      </c>
      <c r="BS266" s="232" t="str">
        <f>BS133</f>
        <v>3Q33</v>
      </c>
      <c r="BT266" s="232" t="str">
        <f>BT133</f>
        <v>4Q33</v>
      </c>
      <c r="BU266" s="232">
        <f>BU133</f>
        <v>2033</v>
      </c>
      <c r="BV266" s="232" t="str">
        <f>BV133</f>
        <v>1Q34</v>
      </c>
      <c r="BW266" s="232" t="str">
        <f>BW133</f>
        <v>2Q34</v>
      </c>
      <c r="BX266" s="232" t="str">
        <f>BX133</f>
        <v>3Q34</v>
      </c>
      <c r="BY266" s="232" t="str">
        <f>BY133</f>
        <v>4Q34</v>
      </c>
      <c r="BZ266" s="232">
        <f>BZ133</f>
        <v>2034</v>
      </c>
      <c r="CA266" s="232" t="str">
        <f>CA133</f>
        <v>1Q35</v>
      </c>
      <c r="CB266" s="232" t="str">
        <f>CB133</f>
        <v>2Q35</v>
      </c>
      <c r="CC266" s="232" t="str">
        <f>CC133</f>
        <v>3Q35</v>
      </c>
      <c r="CD266" s="232" t="str">
        <f>CD133</f>
        <v>4Q35</v>
      </c>
      <c r="CE266" s="232">
        <f>CE133</f>
        <v>2035</v>
      </c>
      <c r="CF266" s="232" t="str">
        <f>CF133</f>
        <v>1Q36</v>
      </c>
      <c r="CG266" s="232" t="str">
        <f>CG133</f>
        <v>2Q36</v>
      </c>
      <c r="CH266" s="232" t="str">
        <f>CH133</f>
        <v>3Q36</v>
      </c>
      <c r="CI266" s="232" t="str">
        <f>CI133</f>
        <v>4Q36</v>
      </c>
      <c r="CJ266" s="232">
        <f>CJ133</f>
        <v>2036</v>
      </c>
      <c r="CK266" s="232" t="str">
        <f>CK133</f>
        <v>1Q37</v>
      </c>
      <c r="CL266" s="232" t="str">
        <f>CL133</f>
        <v>2Q37</v>
      </c>
      <c r="CM266" s="232" t="str">
        <f>CM133</f>
        <v>3Q37</v>
      </c>
      <c r="CN266" s="232" t="str">
        <f>CN133</f>
        <v>4Q37</v>
      </c>
      <c r="CO266" s="232">
        <f>CO133</f>
        <v>2037</v>
      </c>
      <c r="CP266" s="232" t="str">
        <f>CP133</f>
        <v>1Q38</v>
      </c>
      <c r="CQ266" s="232" t="str">
        <f>CQ133</f>
        <v>2Q38</v>
      </c>
      <c r="CR266" s="232" t="str">
        <f>CR133</f>
        <v>3Q38</v>
      </c>
      <c r="CS266" s="232" t="str">
        <f>CS133</f>
        <v>4Q38</v>
      </c>
      <c r="CT266" s="232">
        <f>CT133</f>
        <v>2038</v>
      </c>
      <c r="CU266" s="232" t="str">
        <f>CU133</f>
        <v>1Q39</v>
      </c>
      <c r="CV266" s="232" t="str">
        <f>CV133</f>
        <v>2Q39</v>
      </c>
      <c r="CW266" s="232" t="str">
        <f>CW133</f>
        <v>3Q39</v>
      </c>
      <c r="CX266" s="232" t="str">
        <f>CX133</f>
        <v>4Q39</v>
      </c>
      <c r="CY266" s="232">
        <f>CY133</f>
        <v>2039</v>
      </c>
    </row>
    <row r="267">
      <c r="C267" s="5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1" t="n"/>
      <c r="CB267" s="1" t="n"/>
      <c r="CC267" s="1" t="n"/>
      <c r="CD267" s="1" t="n"/>
      <c r="CE267" s="1" t="n"/>
      <c r="CF267" s="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</row>
    <row r="268">
      <c r="C268" s="29" t="inlineStr">
        <is>
          <t>Net Income</t>
        </is>
      </c>
      <c r="D268" s="3" t="n"/>
      <c r="E268" s="3">
        <f>E128</f>
        <v>1626</v>
      </c>
      <c r="F268" s="3">
        <f>F128</f>
        <v>1698</v>
      </c>
      <c r="G268" s="3">
        <f>G128</f>
        <v>1792</v>
      </c>
      <c r="H268" s="3">
        <f>SUM(D268:G268)</f>
        <v>5116</v>
      </c>
      <c r="I268" s="3">
        <f>I128</f>
        <v>1837</v>
      </c>
      <c r="J268" s="3">
        <f>J128</f>
        <v>1815</v>
      </c>
      <c r="K268" s="3">
        <f>K128</f>
        <v>614</v>
      </c>
      <c r="L268" s="3">
        <f>L128</f>
        <v>2049</v>
      </c>
      <c r="M268" s="3">
        <f>SUM(I268:L268)</f>
        <v>6315</v>
      </c>
      <c r="N268" s="3">
        <f>N128</f>
        <v>1733</v>
      </c>
      <c r="O268" s="3">
        <f>O128</f>
        <v>309</v>
      </c>
      <c r="P268" s="3">
        <f>P128</f>
        <v>1778</v>
      </c>
      <c r="Q268" s="3">
        <f>Q128</f>
        <v>1912</v>
      </c>
      <c r="R268" s="3">
        <f>SUM(N268:Q268)</f>
        <v>5732</v>
      </c>
      <c r="S268" s="3">
        <f>S128</f>
        <v>1689</v>
      </c>
      <c r="T268" s="3">
        <f>T128</f>
        <v>1681</v>
      </c>
      <c r="U268" s="3">
        <f>U128</f>
        <v>1684</v>
      </c>
      <c r="V268" s="3">
        <f>V128</f>
        <v>1866</v>
      </c>
      <c r="W268" s="3">
        <f>SUM(S268:V268)</f>
        <v>6920</v>
      </c>
      <c r="X268" s="3">
        <f>X128</f>
        <v>1545</v>
      </c>
      <c r="Y268" s="3">
        <f>Y128</f>
        <v>1641</v>
      </c>
      <c r="Z268" s="3">
        <f>Z128</f>
        <v>1623</v>
      </c>
      <c r="AA268" s="3">
        <f>AA128</f>
        <v>527</v>
      </c>
      <c r="AB268" s="3">
        <f>SUM(X268:AA268)</f>
        <v>5336</v>
      </c>
      <c r="AC268" s="3">
        <f>AC128</f>
        <v>1712</v>
      </c>
      <c r="AD268" s="3">
        <f>AD128</f>
        <v>342</v>
      </c>
      <c r="AE268" s="3">
        <f>AE128</f>
        <v>1619</v>
      </c>
      <c r="AF268" s="3">
        <f>AF128</f>
        <v>1344</v>
      </c>
      <c r="AG268" s="3">
        <f>SUM(AC268:AF268)</f>
        <v>5017</v>
      </c>
      <c r="AH268" s="3">
        <f>AH128</f>
        <v>1488</v>
      </c>
      <c r="AI268" s="3">
        <f>AI128</f>
        <v>1836</v>
      </c>
      <c r="AJ268" s="3">
        <f>AJ128</f>
        <v>-20</v>
      </c>
      <c r="AK268" s="3">
        <f>AK128</f>
        <v>-35</v>
      </c>
      <c r="AL268" s="3">
        <f>SUM(AH268:AK268)</f>
        <v>3269</v>
      </c>
      <c r="AM268" s="3">
        <f>AM128</f>
        <v>-35</v>
      </c>
      <c r="AN268" s="3">
        <f>AN128</f>
        <v>-110</v>
      </c>
      <c r="AO268" s="3">
        <f>AO128</f>
        <v>-35</v>
      </c>
      <c r="AP268" s="3">
        <f>AP128</f>
        <v>-110</v>
      </c>
      <c r="AQ268" s="3">
        <f>SUM(AM268:AP268)</f>
        <v>-290</v>
      </c>
      <c r="AR268" s="3">
        <f>AR128</f>
        <v>-110</v>
      </c>
      <c r="AS268" s="3">
        <f>AS128</f>
        <v>-290</v>
      </c>
      <c r="AT268" s="3">
        <f>AT128</f>
        <v>-110</v>
      </c>
      <c r="AU268" s="3">
        <f>AU128</f>
        <v>-290</v>
      </c>
      <c r="AV268" s="3">
        <f>SUM(AR268:AU268)</f>
        <v>-800</v>
      </c>
      <c r="AW268" s="3">
        <f>AW128</f>
        <v>-290</v>
      </c>
      <c r="AX268" s="3">
        <f>AX128</f>
        <v>-800</v>
      </c>
      <c r="AY268" s="3">
        <f>AY128</f>
        <v>-290</v>
      </c>
      <c r="AZ268" s="3">
        <f>AZ128</f>
        <v>-800</v>
      </c>
      <c r="BA268" s="3">
        <f>SUM(AW268:AZ268)</f>
        <v>-2180</v>
      </c>
      <c r="BB268" s="3">
        <f>BB128</f>
        <v>-800</v>
      </c>
      <c r="BC268" s="3">
        <f>BC128</f>
        <v>-2180</v>
      </c>
      <c r="BD268" s="3">
        <f>BD128</f>
        <v>-800</v>
      </c>
      <c r="BE268" s="3">
        <f>BE128</f>
        <v>-2180</v>
      </c>
      <c r="BF268" s="3">
        <f>SUM(BB268:BE268)</f>
        <v>-5960</v>
      </c>
      <c r="BG268" s="3">
        <f>BG128</f>
        <v>-2180</v>
      </c>
      <c r="BH268" s="3">
        <f>BH128</f>
        <v>-5960</v>
      </c>
      <c r="BI268" s="3">
        <f>BI128</f>
        <v>-2180</v>
      </c>
      <c r="BJ268" s="3">
        <f>BJ128</f>
        <v>-5960</v>
      </c>
      <c r="BK268" s="3">
        <f>SUM(BG268:BJ268)</f>
        <v>-16280</v>
      </c>
      <c r="BL268" s="3">
        <f>BL128</f>
        <v>-5960</v>
      </c>
      <c r="BM268" s="3">
        <f>BM128</f>
        <v>-16280</v>
      </c>
      <c r="BN268" s="3">
        <f>BN128</f>
        <v>-5960</v>
      </c>
      <c r="BO268" s="3">
        <f>BO128</f>
        <v>-16280</v>
      </c>
      <c r="BP268" s="3">
        <f>SUM(BL268:BO268)</f>
        <v>-44480</v>
      </c>
      <c r="BQ268" s="3">
        <f>BQ128</f>
        <v>-16280</v>
      </c>
      <c r="BR268" s="3">
        <f>BR128</f>
        <v>-44480</v>
      </c>
      <c r="BS268" s="3">
        <f>BS128</f>
        <v>-16280</v>
      </c>
      <c r="BT268" s="3">
        <f>BT128</f>
        <v>-44480</v>
      </c>
      <c r="BU268" s="3">
        <f>SUM(BQ268:BT268)</f>
        <v>-121520</v>
      </c>
      <c r="BV268" s="3">
        <f>BV128</f>
        <v>-44480</v>
      </c>
      <c r="BW268" s="3">
        <f>BW128</f>
        <v>-121520</v>
      </c>
      <c r="BX268" s="3">
        <f>BX128</f>
        <v>-44480</v>
      </c>
      <c r="BY268" s="3">
        <f>BY128</f>
        <v>-121520</v>
      </c>
      <c r="BZ268" s="3">
        <f>SUM(BV268:BY268)</f>
        <v>-332000</v>
      </c>
      <c r="CA268" s="3">
        <f>CA128</f>
        <v>-121520</v>
      </c>
      <c r="CB268" s="3">
        <f>CB128</f>
        <v>-332000</v>
      </c>
      <c r="CC268" s="3">
        <f>CC128</f>
        <v>-121520</v>
      </c>
      <c r="CD268" s="3">
        <f>CD128</f>
        <v>-332000</v>
      </c>
      <c r="CE268" s="3">
        <f>SUM(CA268:CD268)</f>
        <v>-907040</v>
      </c>
      <c r="CF268" s="3">
        <f>CF128</f>
        <v>-332000</v>
      </c>
      <c r="CG268" s="3">
        <f>CG128</f>
        <v>-907040</v>
      </c>
      <c r="CH268" s="3">
        <f>CH128</f>
        <v>-332000</v>
      </c>
      <c r="CI268" s="3">
        <f>CI128</f>
        <v>-907040</v>
      </c>
      <c r="CJ268" s="3">
        <f>SUM(CF268:CI268)</f>
        <v>-2478080</v>
      </c>
      <c r="CK268" s="3">
        <f>CK128</f>
        <v>-907040</v>
      </c>
      <c r="CL268" s="3">
        <f>CL128</f>
        <v>-2478080</v>
      </c>
      <c r="CM268" s="3">
        <f>CM128</f>
        <v>-907040</v>
      </c>
      <c r="CN268" s="3">
        <f>CN128</f>
        <v>-2478080</v>
      </c>
      <c r="CO268" s="3">
        <f>SUM(CK268:CN268)</f>
        <v>-6770240</v>
      </c>
      <c r="CP268" s="3">
        <f>CP128</f>
        <v>-2478080</v>
      </c>
      <c r="CQ268" s="3">
        <f>CQ128</f>
        <v>-6770240</v>
      </c>
      <c r="CR268" s="3">
        <f>CR128</f>
        <v>-2478080</v>
      </c>
      <c r="CS268" s="3">
        <f>CS128</f>
        <v>-6770240</v>
      </c>
      <c r="CT268" s="3">
        <f>SUM(CP268:CS268)</f>
        <v>-18496640</v>
      </c>
      <c r="CU268" s="3">
        <f>CU128</f>
        <v>-6770240</v>
      </c>
      <c r="CV268" s="3">
        <f>CV128</f>
        <v>-18496640</v>
      </c>
      <c r="CW268" s="3">
        <f>CW128</f>
        <v>-6770240</v>
      </c>
      <c r="CX268" s="3">
        <f>CX128</f>
        <v>-18496640</v>
      </c>
      <c r="CY268" s="3">
        <f>SUM(CU268:CX268)</f>
        <v>-50533760</v>
      </c>
    </row>
    <row r="269">
      <c r="C269" s="29" t="inlineStr">
        <is>
          <t>Depreciation &amp; amortization</t>
        </is>
      </c>
      <c r="D269" s="3" t="n"/>
      <c r="E269" s="3">
        <f>-E61</f>
        <v>307</v>
      </c>
      <c r="F269" s="3">
        <f>-F61</f>
        <v>319</v>
      </c>
      <c r="G269" s="3">
        <f>-G61</f>
        <v>363</v>
      </c>
      <c r="H269" s="3">
        <f>SUM(D269:G269)</f>
        <v>989</v>
      </c>
      <c r="I269" s="3">
        <f>-I61</f>
        <v>336</v>
      </c>
      <c r="J269" s="3">
        <f>-J61</f>
        <v>334</v>
      </c>
      <c r="K269" s="3">
        <f>-K61</f>
        <v>329</v>
      </c>
      <c r="L269" s="3">
        <f>-L61</f>
        <v>365</v>
      </c>
      <c r="M269" s="3">
        <f>SUM(I269:L269)</f>
        <v>1364</v>
      </c>
      <c r="N269" s="3">
        <f>-N61</f>
        <v>329</v>
      </c>
      <c r="O269" s="3">
        <f>-O61</f>
        <v>343</v>
      </c>
      <c r="P269" s="3">
        <f>-P61</f>
        <v>293</v>
      </c>
      <c r="Q269" s="3">
        <f>-Q61</f>
        <v>439</v>
      </c>
      <c r="R269" s="3">
        <f>SUM(N269:Q269)</f>
        <v>1404</v>
      </c>
      <c r="S269" s="3">
        <f>-S61</f>
        <v>325</v>
      </c>
      <c r="T269" s="3">
        <f>-T61</f>
        <v>334</v>
      </c>
      <c r="U269" s="3">
        <f>-U61</f>
        <v>350</v>
      </c>
      <c r="V269" s="3">
        <f>-V61</f>
        <v>421</v>
      </c>
      <c r="W269" s="3">
        <f>SUM(S269:V269)</f>
        <v>1430</v>
      </c>
      <c r="X269" s="3">
        <f>-X61</f>
        <v>351</v>
      </c>
      <c r="Y269" s="3">
        <f>-Y61</f>
        <v>359</v>
      </c>
      <c r="Z269" s="3">
        <f>-Z61</f>
        <v>390</v>
      </c>
      <c r="AA269" s="3">
        <f>-AA61</f>
        <v>459</v>
      </c>
      <c r="AB269" s="3">
        <f>SUM(X269:AA269)</f>
        <v>1559</v>
      </c>
      <c r="AC269" s="3">
        <f>-AC61</f>
        <v>397</v>
      </c>
      <c r="AD269" s="3">
        <f>-AD61</f>
        <v>399</v>
      </c>
      <c r="AE269" s="3">
        <f>-AE61</f>
        <v>428</v>
      </c>
      <c r="AF269" s="3">
        <f>-AF61</f>
        <v>463</v>
      </c>
      <c r="AG269" s="3">
        <f>SUM(AC269:AF269)</f>
        <v>1687</v>
      </c>
      <c r="AH269" s="3">
        <f>-AH61</f>
        <v>398</v>
      </c>
      <c r="AI269" s="3">
        <f>-AI61</f>
        <v>400</v>
      </c>
      <c r="AJ269" s="3">
        <f>-AJ61</f>
        <v>0</v>
      </c>
      <c r="AK269" s="3">
        <f>-AK61</f>
        <v>0</v>
      </c>
      <c r="AL269" s="3">
        <f>SUM(AH269:AK269)</f>
        <v>798</v>
      </c>
      <c r="AM269" s="3">
        <f>-AM61</f>
        <v>0</v>
      </c>
      <c r="AN269" s="3">
        <f>-AN61</f>
        <v>0</v>
      </c>
      <c r="AO269" s="3">
        <f>-AO61</f>
        <v>0</v>
      </c>
      <c r="AP269" s="3">
        <f>-AP61</f>
        <v>0</v>
      </c>
      <c r="AQ269" s="3">
        <f>SUM(AM269:AP269)</f>
        <v>0</v>
      </c>
      <c r="AR269" s="3">
        <f>-AR61</f>
        <v>0</v>
      </c>
      <c r="AS269" s="3">
        <f>-AS61</f>
        <v>0</v>
      </c>
      <c r="AT269" s="3">
        <f>-AT61</f>
        <v>0</v>
      </c>
      <c r="AU269" s="3">
        <f>-AU61</f>
        <v>0</v>
      </c>
      <c r="AV269" s="3">
        <f>SUM(AR269:AU269)</f>
        <v>0</v>
      </c>
      <c r="AW269" s="3">
        <f>-AW61</f>
        <v>0</v>
      </c>
      <c r="AX269" s="3">
        <f>-AX61</f>
        <v>0</v>
      </c>
      <c r="AY269" s="3">
        <f>-AY61</f>
        <v>0</v>
      </c>
      <c r="AZ269" s="3">
        <f>-AZ61</f>
        <v>0</v>
      </c>
      <c r="BA269" s="3">
        <f>SUM(AW269:AZ269)</f>
        <v>0</v>
      </c>
      <c r="BB269" s="3">
        <f>-BB61</f>
        <v>0</v>
      </c>
      <c r="BC269" s="3">
        <f>-BC61</f>
        <v>0</v>
      </c>
      <c r="BD269" s="3">
        <f>-BD61</f>
        <v>0</v>
      </c>
      <c r="BE269" s="3">
        <f>-BE61</f>
        <v>0</v>
      </c>
      <c r="BF269" s="3">
        <f>SUM(BB269:BE269)</f>
        <v>0</v>
      </c>
      <c r="BG269" s="3">
        <f>-BG61</f>
        <v>0</v>
      </c>
      <c r="BH269" s="3">
        <f>-BH61</f>
        <v>0</v>
      </c>
      <c r="BI269" s="3">
        <f>-BI61</f>
        <v>0</v>
      </c>
      <c r="BJ269" s="3">
        <f>-BJ61</f>
        <v>0</v>
      </c>
      <c r="BK269" s="3">
        <f>SUM(BG269:BJ269)</f>
        <v>0</v>
      </c>
      <c r="BL269" s="3">
        <f>-BL61</f>
        <v>0</v>
      </c>
      <c r="BM269" s="3">
        <f>-BM61</f>
        <v>0</v>
      </c>
      <c r="BN269" s="3">
        <f>-BN61</f>
        <v>0</v>
      </c>
      <c r="BO269" s="3">
        <f>-BO61</f>
        <v>0</v>
      </c>
      <c r="BP269" s="3">
        <f>SUM(BL269:BO269)</f>
        <v>0</v>
      </c>
      <c r="BQ269" s="3">
        <f>-BQ61</f>
        <v>0</v>
      </c>
      <c r="BR269" s="3">
        <f>-BR61</f>
        <v>0</v>
      </c>
      <c r="BS269" s="3">
        <f>-BS61</f>
        <v>0</v>
      </c>
      <c r="BT269" s="3">
        <f>-BT61</f>
        <v>0</v>
      </c>
      <c r="BU269" s="3">
        <f>SUM(BQ269:BT269)</f>
        <v>0</v>
      </c>
      <c r="BV269" s="3">
        <f>-BV61</f>
        <v>0</v>
      </c>
      <c r="BW269" s="3">
        <f>-BW61</f>
        <v>0</v>
      </c>
      <c r="BX269" s="3">
        <f>-BX61</f>
        <v>0</v>
      </c>
      <c r="BY269" s="3">
        <f>-BY61</f>
        <v>0</v>
      </c>
      <c r="BZ269" s="3">
        <f>SUM(BV269:BY269)</f>
        <v>0</v>
      </c>
      <c r="CA269" s="3">
        <f>-CA61</f>
        <v>0</v>
      </c>
      <c r="CB269" s="3">
        <f>-CB61</f>
        <v>0</v>
      </c>
      <c r="CC269" s="3">
        <f>-CC61</f>
        <v>0</v>
      </c>
      <c r="CD269" s="3">
        <f>-CD61</f>
        <v>0</v>
      </c>
      <c r="CE269" s="3">
        <f>SUM(CA269:CD269)</f>
        <v>0</v>
      </c>
      <c r="CF269" s="3">
        <f>-CF61</f>
        <v>0</v>
      </c>
      <c r="CG269" s="3">
        <f>-CG61</f>
        <v>0</v>
      </c>
      <c r="CH269" s="3">
        <f>-CH61</f>
        <v>0</v>
      </c>
      <c r="CI269" s="3">
        <f>-CI61</f>
        <v>0</v>
      </c>
      <c r="CJ269" s="3">
        <f>SUM(CF269:CI269)</f>
        <v>0</v>
      </c>
      <c r="CK269" s="3">
        <f>-CK61</f>
        <v>0</v>
      </c>
      <c r="CL269" s="3">
        <f>-CL61</f>
        <v>0</v>
      </c>
      <c r="CM269" s="3">
        <f>-CM61</f>
        <v>0</v>
      </c>
      <c r="CN269" s="3">
        <f>-CN61</f>
        <v>0</v>
      </c>
      <c r="CO269" s="3">
        <f>SUM(CK269:CN269)</f>
        <v>0</v>
      </c>
      <c r="CP269" s="3">
        <f>-CP61</f>
        <v>0</v>
      </c>
      <c r="CQ269" s="3">
        <f>-CQ61</f>
        <v>0</v>
      </c>
      <c r="CR269" s="3">
        <f>-CR61</f>
        <v>0</v>
      </c>
      <c r="CS269" s="3">
        <f>-CS61</f>
        <v>0</v>
      </c>
      <c r="CT269" s="3">
        <f>SUM(CP269:CS269)</f>
        <v>0</v>
      </c>
      <c r="CU269" s="3">
        <f>-CU61</f>
        <v>0</v>
      </c>
      <c r="CV269" s="3">
        <f>-CV61</f>
        <v>0</v>
      </c>
      <c r="CW269" s="3">
        <f>-CW61</f>
        <v>0</v>
      </c>
      <c r="CX269" s="3">
        <f>-CX61</f>
        <v>0</v>
      </c>
      <c r="CY269" s="3">
        <f>SUM(CU269:CX269)</f>
        <v>0</v>
      </c>
    </row>
    <row r="270">
      <c r="C270" s="29" t="inlineStr">
        <is>
          <t xml:space="preserve">Changes in working capital </t>
        </is>
      </c>
      <c r="D270" s="3" t="n"/>
      <c r="E270" s="3">
        <f>SUM(E271:E280)</f>
        <v>542</v>
      </c>
      <c r="F270" s="3">
        <f>SUM(F271:F280)</f>
        <v>-248</v>
      </c>
      <c r="G270" s="3">
        <f>SUM(G271:G280)</f>
        <v>-558</v>
      </c>
      <c r="H270" s="3">
        <f>SUM(D270:G270)</f>
        <v>-264</v>
      </c>
      <c r="I270" s="3">
        <f>SUM(I271:I280)</f>
        <v>-223</v>
      </c>
      <c r="J270" s="3">
        <f>SUM(J271:J280)</f>
        <v>-87</v>
      </c>
      <c r="K270" s="3">
        <f>SUM(K271:K280)</f>
        <v>296</v>
      </c>
      <c r="L270" s="3">
        <f>SUM(L271:L280)</f>
        <v>1764</v>
      </c>
      <c r="M270" s="3">
        <f>SUM(I270:L270)</f>
        <v>1750</v>
      </c>
      <c r="N270" s="3">
        <f>SUM(N271:N280)</f>
        <v>-1138</v>
      </c>
      <c r="O270" s="3">
        <f>SUM(O271:O280)</f>
        <v>249</v>
      </c>
      <c r="P270" s="3">
        <f>SUM(P271:P280)</f>
        <v>100</v>
      </c>
      <c r="Q270" s="3">
        <f>SUM(Q271:Q280)</f>
        <v>-1002</v>
      </c>
      <c r="R270" s="3">
        <f>SUM(N270:Q270)</f>
        <v>-1791</v>
      </c>
      <c r="S270" s="3">
        <f>SUM(S271:S280)</f>
        <v>-711</v>
      </c>
      <c r="T270" s="3">
        <f>SUM(T271:T280)</f>
        <v>-499</v>
      </c>
      <c r="U270" s="3">
        <f>SUM(U271:U280)</f>
        <v>-108</v>
      </c>
      <c r="V270" s="3">
        <f>SUM(V271:V280)</f>
        <v>2356</v>
      </c>
      <c r="W270" s="3">
        <f>SUM(S270:V270)</f>
        <v>1038</v>
      </c>
      <c r="X270" s="3">
        <f>SUM(X271:X280)</f>
        <v>-398</v>
      </c>
      <c r="Y270" s="3">
        <f>SUM(Y271:Y280)</f>
        <v>488</v>
      </c>
      <c r="Z270" s="3">
        <f>SUM(Z271:Z280)</f>
        <v>-324</v>
      </c>
      <c r="AA270" s="3">
        <f>SUM(AA271:AA280)</f>
        <v>1351</v>
      </c>
      <c r="AB270" s="3">
        <f>SUM(X270:AA270)</f>
        <v>1117</v>
      </c>
      <c r="AC270" s="3">
        <f>SUM(AC271:AC280)</f>
        <v>-876</v>
      </c>
      <c r="AD270" s="3">
        <f>SUM(AD271:AD280)</f>
        <v>-507</v>
      </c>
      <c r="AE270" s="3">
        <f>SUM(AE271:AE280)</f>
        <v>955</v>
      </c>
      <c r="AF270" s="3">
        <f>SUM(AF271:AF280)</f>
        <v>2525</v>
      </c>
      <c r="AG270" s="3">
        <f>SUM(AC270:AF270)</f>
        <v>2097</v>
      </c>
      <c r="AH270" s="3">
        <f>SUM(AH271:AH280)</f>
        <v>-2017</v>
      </c>
      <c r="AI270" s="3">
        <f>SUM(AI271:AI280)</f>
        <v>851</v>
      </c>
      <c r="AJ270" s="3">
        <f>SUM(AJ271:AJ280)</f>
        <v>-151</v>
      </c>
      <c r="AK270" s="3">
        <f>SUM(AK271:AK280)</f>
        <v>0</v>
      </c>
      <c r="AL270" s="3">
        <f>SUM(AH270:AK270)</f>
        <v>-1317</v>
      </c>
      <c r="AM270" s="3" t="e">
        <f>SUM(AM271:AM280)</f>
        <v>#DIV/0!</v>
      </c>
      <c r="AN270" s="3" t="e">
        <f>SUM(AN271:AN280)</f>
        <v>#DIV/0!</v>
      </c>
      <c r="AO270" s="3" t="e">
        <f>SUM(AO271:AO280)</f>
        <v>#DIV/0!</v>
      </c>
      <c r="AP270" s="3" t="e">
        <f>SUM(AP271:AP280)</f>
        <v>#DIV/0!</v>
      </c>
      <c r="AQ270" s="3" t="e">
        <f>SUM(AM270:AP270)</f>
        <v>#DIV/0!</v>
      </c>
      <c r="AR270" s="3" t="e">
        <f>SUM(AR271:AR280)</f>
        <v>#DIV/0!</v>
      </c>
      <c r="AS270" s="3" t="e">
        <f>SUM(AS271:AS280)</f>
        <v>#DIV/0!</v>
      </c>
      <c r="AT270" s="3" t="e">
        <f>SUM(AT271:AT280)</f>
        <v>#DIV/0!</v>
      </c>
      <c r="AU270" s="3" t="e">
        <f>SUM(AU271:AU280)</f>
        <v>#DIV/0!</v>
      </c>
      <c r="AV270" s="3" t="e">
        <f>SUM(AR270:AU270)</f>
        <v>#DIV/0!</v>
      </c>
      <c r="AW270" s="3" t="e">
        <f>SUM(AW271:AW280)</f>
        <v>#DIV/0!</v>
      </c>
      <c r="AX270" s="3" t="e">
        <f>SUM(AX271:AX280)</f>
        <v>#DIV/0!</v>
      </c>
      <c r="AY270" s="3" t="e">
        <f>SUM(AY271:AY280)</f>
        <v>#DIV/0!</v>
      </c>
      <c r="AZ270" s="3" t="e">
        <f>SUM(AZ271:AZ280)</f>
        <v>#DIV/0!</v>
      </c>
      <c r="BA270" s="3" t="e">
        <f>SUM(AW270:AZ270)</f>
        <v>#DIV/0!</v>
      </c>
      <c r="BB270" s="3" t="e">
        <f>SUM(BB271:BB280)</f>
        <v>#DIV/0!</v>
      </c>
      <c r="BC270" s="3" t="e">
        <f>SUM(BC271:BC280)</f>
        <v>#DIV/0!</v>
      </c>
      <c r="BD270" s="3" t="e">
        <f>SUM(BD271:BD280)</f>
        <v>#DIV/0!</v>
      </c>
      <c r="BE270" s="3" t="e">
        <f>SUM(BE271:BE280)</f>
        <v>#DIV/0!</v>
      </c>
      <c r="BF270" s="3" t="e">
        <f>SUM(BB270:BE270)</f>
        <v>#DIV/0!</v>
      </c>
      <c r="BG270" s="3" t="e">
        <f>SUM(BG271:BG280)</f>
        <v>#DIV/0!</v>
      </c>
      <c r="BH270" s="3" t="e">
        <f>SUM(BH271:BH280)</f>
        <v>#DIV/0!</v>
      </c>
      <c r="BI270" s="3" t="e">
        <f>SUM(BI271:BI280)</f>
        <v>#DIV/0!</v>
      </c>
      <c r="BJ270" s="3" t="e">
        <f>SUM(BJ271:BJ280)</f>
        <v>#DIV/0!</v>
      </c>
      <c r="BK270" s="3" t="e">
        <f>SUM(BG270:BJ270)</f>
        <v>#DIV/0!</v>
      </c>
      <c r="BL270" s="3" t="e">
        <f>SUM(BL271:BL280)</f>
        <v>#DIV/0!</v>
      </c>
      <c r="BM270" s="3" t="e">
        <f>SUM(BM271:BM280)</f>
        <v>#DIV/0!</v>
      </c>
      <c r="BN270" s="3" t="e">
        <f>SUM(BN271:BN280)</f>
        <v>#DIV/0!</v>
      </c>
      <c r="BO270" s="3" t="e">
        <f>SUM(BO271:BO280)</f>
        <v>#DIV/0!</v>
      </c>
      <c r="BP270" s="3" t="e">
        <f>SUM(BL270:BO270)</f>
        <v>#DIV/0!</v>
      </c>
      <c r="BQ270" s="3" t="e">
        <f>SUM(BQ271:BQ280)</f>
        <v>#DIV/0!</v>
      </c>
      <c r="BR270" s="3" t="e">
        <f>SUM(BR271:BR280)</f>
        <v>#DIV/0!</v>
      </c>
      <c r="BS270" s="3" t="e">
        <f>SUM(BS271:BS280)</f>
        <v>#DIV/0!</v>
      </c>
      <c r="BT270" s="3" t="e">
        <f>SUM(BT271:BT280)</f>
        <v>#DIV/0!</v>
      </c>
      <c r="BU270" s="3" t="e">
        <f>SUM(BQ270:BT270)</f>
        <v>#DIV/0!</v>
      </c>
      <c r="BV270" s="3" t="e">
        <f>SUM(BV271:BV280)</f>
        <v>#DIV/0!</v>
      </c>
      <c r="BW270" s="3" t="e">
        <f>SUM(BW271:BW280)</f>
        <v>#DIV/0!</v>
      </c>
      <c r="BX270" s="3" t="e">
        <f>SUM(BX271:BX280)</f>
        <v>#DIV/0!</v>
      </c>
      <c r="BY270" s="3" t="e">
        <f>SUM(BY271:BY280)</f>
        <v>#DIV/0!</v>
      </c>
      <c r="BZ270" s="3" t="e">
        <f>SUM(BV270:BY270)</f>
        <v>#DIV/0!</v>
      </c>
      <c r="CA270" s="3" t="e">
        <f>SUM(CA271:CA280)</f>
        <v>#DIV/0!</v>
      </c>
      <c r="CB270" s="3" t="e">
        <f>SUM(CB271:CB280)</f>
        <v>#DIV/0!</v>
      </c>
      <c r="CC270" s="3" t="e">
        <f>SUM(CC271:CC280)</f>
        <v>#DIV/0!</v>
      </c>
      <c r="CD270" s="3" t="e">
        <f>SUM(CD271:CD280)</f>
        <v>#DIV/0!</v>
      </c>
      <c r="CE270" s="3" t="e">
        <f>SUM(CA270:CD270)</f>
        <v>#DIV/0!</v>
      </c>
      <c r="CF270" s="3" t="e">
        <f>SUM(CF271:CF280)</f>
        <v>#DIV/0!</v>
      </c>
      <c r="CG270" s="3" t="e">
        <f>SUM(CG271:CG280)</f>
        <v>#DIV/0!</v>
      </c>
      <c r="CH270" s="3" t="e">
        <f>SUM(CH271:CH280)</f>
        <v>#DIV/0!</v>
      </c>
      <c r="CI270" s="3" t="e">
        <f>SUM(CI271:CI280)</f>
        <v>#DIV/0!</v>
      </c>
      <c r="CJ270" s="3" t="e">
        <f>SUM(CF270:CI270)</f>
        <v>#DIV/0!</v>
      </c>
      <c r="CK270" s="3" t="e">
        <f>SUM(CK271:CK280)</f>
        <v>#DIV/0!</v>
      </c>
      <c r="CL270" s="3" t="e">
        <f>SUM(CL271:CL280)</f>
        <v>#DIV/0!</v>
      </c>
      <c r="CM270" s="3" t="e">
        <f>SUM(CM271:CM280)</f>
        <v>#DIV/0!</v>
      </c>
      <c r="CN270" s="3" t="e">
        <f>SUM(CN271:CN280)</f>
        <v>#DIV/0!</v>
      </c>
      <c r="CO270" s="3" t="e">
        <f>SUM(CK270:CN270)</f>
        <v>#DIV/0!</v>
      </c>
      <c r="CP270" s="3" t="e">
        <f>SUM(CP271:CP280)</f>
        <v>#DIV/0!</v>
      </c>
      <c r="CQ270" s="3" t="e">
        <f>SUM(CQ271:CQ280)</f>
        <v>#DIV/0!</v>
      </c>
      <c r="CR270" s="3" t="e">
        <f>SUM(CR271:CR280)</f>
        <v>#DIV/0!</v>
      </c>
      <c r="CS270" s="3" t="e">
        <f>SUM(CS271:CS280)</f>
        <v>#DIV/0!</v>
      </c>
      <c r="CT270" s="3" t="e">
        <f>SUM(CP270:CS270)</f>
        <v>#DIV/0!</v>
      </c>
      <c r="CU270" s="3" t="e">
        <f>SUM(CU271:CU280)</f>
        <v>#DIV/0!</v>
      </c>
      <c r="CV270" s="3" t="e">
        <f>SUM(CV271:CV280)</f>
        <v>#DIV/0!</v>
      </c>
      <c r="CW270" s="3" t="e">
        <f>SUM(CW271:CW280)</f>
        <v>#DIV/0!</v>
      </c>
      <c r="CX270" s="3" t="e">
        <f>SUM(CX271:CX280)</f>
        <v>#DIV/0!</v>
      </c>
      <c r="CY270" s="3" t="e">
        <f>SUM(CU270:CX270)</f>
        <v>#DIV/0!</v>
      </c>
    </row>
    <row r="271" hidden="1" outlineLevel="1">
      <c r="C271" s="29" t="inlineStr">
        <is>
          <t>Accounts receivable</t>
        </is>
      </c>
      <c r="D271" s="3" t="n"/>
      <c r="E271" s="3">
        <f>(E136-D136)*-1</f>
        <v>57</v>
      </c>
      <c r="F271" s="3">
        <f>(F136-E136)*-1</f>
        <v>355</v>
      </c>
      <c r="G271" s="3">
        <f>(G136-F136)*-1</f>
        <v>502</v>
      </c>
      <c r="H271" s="3">
        <f>SUM(D271:G271)</f>
        <v>914</v>
      </c>
      <c r="I271" s="3">
        <f>(I136-H136)*-1</f>
        <v>-236</v>
      </c>
      <c r="J271" s="3">
        <f>(J136-I136)*-1</f>
        <v>-397</v>
      </c>
      <c r="K271" s="3">
        <f>(K136-J136)*-1</f>
        <v>344</v>
      </c>
      <c r="L271" s="3">
        <f>(L136-K136)*-1</f>
        <v>304</v>
      </c>
      <c r="M271" s="3">
        <f>SUM(I271:L271)</f>
        <v>15</v>
      </c>
      <c r="N271" s="3">
        <f>(N136-M136)*-1</f>
        <v>-564</v>
      </c>
      <c r="O271" s="3">
        <f>(O136-N136)*-1</f>
        <v>-874</v>
      </c>
      <c r="P271" s="3">
        <f>(P136-O136)*-1</f>
        <v>917</v>
      </c>
      <c r="Q271" s="3">
        <f>(Q136-P136)*-1</f>
        <v>-21</v>
      </c>
      <c r="R271" s="3">
        <f>SUM(N271:Q271)</f>
        <v>-542</v>
      </c>
      <c r="S271" s="3">
        <f>(S136-R136)*-1</f>
        <v>-78</v>
      </c>
      <c r="T271" s="3">
        <f>(T136-S136)*-1</f>
        <v>-844</v>
      </c>
      <c r="U271" s="3">
        <f>(U136-T136)*-1</f>
        <v>1022</v>
      </c>
      <c r="V271" s="3">
        <f>(V136-U136)*-1</f>
        <v>273</v>
      </c>
      <c r="W271" s="3">
        <f>SUM(S271:V271)</f>
        <v>373</v>
      </c>
      <c r="X271" s="3">
        <f>(X136-W136)*-1</f>
        <v>-125</v>
      </c>
      <c r="Y271" s="3">
        <f>(Y136-X136)*-1</f>
        <v>-673</v>
      </c>
      <c r="Z271" s="3">
        <f>(Z136-Y136)*-1</f>
        <v>789</v>
      </c>
      <c r="AA271" s="3">
        <f>(AA136-Z136)*-1</f>
        <v>-210</v>
      </c>
      <c r="AB271" s="3">
        <f>SUM(X271:AA271)</f>
        <v>-219</v>
      </c>
      <c r="AC271" s="3">
        <f>(AC136-AB136)*-1</f>
        <v>327</v>
      </c>
      <c r="AD271" s="3">
        <f>(AD136-AC136)*-1</f>
        <v>-1282</v>
      </c>
      <c r="AE271" s="3">
        <f>(AE136-AD136)*-1</f>
        <v>-538</v>
      </c>
      <c r="AF271" s="3">
        <f>(AF136-AE136)*-1</f>
        <v>-57</v>
      </c>
      <c r="AG271" s="3">
        <f>SUM(AC271:AF271)</f>
        <v>-1550</v>
      </c>
      <c r="AH271" s="3">
        <f>(AH136-AG136)*-1</f>
        <v>1579</v>
      </c>
      <c r="AI271" s="3">
        <f>(AI136-AH136)*-1</f>
        <v>-1034</v>
      </c>
      <c r="AJ271" s="3">
        <f>(AJ136-AI136)*-1</f>
        <v>3356</v>
      </c>
      <c r="AK271" s="3">
        <f>(AK136-AJ136)*-1</f>
        <v>0</v>
      </c>
      <c r="AL271" s="3">
        <f>SUM(AH271:AK271)</f>
        <v>3901</v>
      </c>
      <c r="AM271" s="3">
        <f>(AM136-AL136)*-1</f>
        <v>0</v>
      </c>
      <c r="AN271" s="3">
        <f>(AN136-AM136)*-1</f>
        <v>0</v>
      </c>
      <c r="AO271" s="3">
        <f>(AO136-AN136)*-1</f>
        <v>0</v>
      </c>
      <c r="AP271" s="3">
        <f>(AP136-AO136)*-1</f>
        <v>0</v>
      </c>
      <c r="AQ271" s="3">
        <f>SUM(AM271:AP271)</f>
        <v>0</v>
      </c>
      <c r="AR271" s="3">
        <f>(AR136-AQ136)*-1</f>
        <v>0</v>
      </c>
      <c r="AS271" s="3">
        <f>(AS136-AR136)*-1</f>
        <v>0</v>
      </c>
      <c r="AT271" s="3">
        <f>(AT136-AS136)*-1</f>
        <v>0</v>
      </c>
      <c r="AU271" s="3">
        <f>(AU136-AT136)*-1</f>
        <v>0</v>
      </c>
      <c r="AV271" s="3">
        <f>SUM(AR271:AU271)</f>
        <v>0</v>
      </c>
      <c r="AW271" s="3">
        <f>(AW136-AV136)*-1</f>
        <v>0</v>
      </c>
      <c r="AX271" s="3">
        <f>(AX136-AW136)*-1</f>
        <v>0</v>
      </c>
      <c r="AY271" s="3">
        <f>(AY136-AX136)*-1</f>
        <v>0</v>
      </c>
      <c r="AZ271" s="3">
        <f>(AZ136-AY136)*-1</f>
        <v>0</v>
      </c>
      <c r="BA271" s="3">
        <f>SUM(AW271:AZ271)</f>
        <v>0</v>
      </c>
      <c r="BB271" s="3">
        <f>(BB136-BA136)*-1</f>
        <v>0</v>
      </c>
      <c r="BC271" s="3">
        <f>(BC136-BB136)*-1</f>
        <v>0</v>
      </c>
      <c r="BD271" s="3">
        <f>(BD136-BC136)*-1</f>
        <v>0</v>
      </c>
      <c r="BE271" s="3">
        <f>(BE136-BD136)*-1</f>
        <v>0</v>
      </c>
      <c r="BF271" s="3">
        <f>SUM(BB271:BE271)</f>
        <v>0</v>
      </c>
      <c r="BG271" s="3">
        <f>(BG136-BF136)*-1</f>
        <v>0</v>
      </c>
      <c r="BH271" s="3">
        <f>(BH136-BG136)*-1</f>
        <v>0</v>
      </c>
      <c r="BI271" s="3">
        <f>(BI136-BH136)*-1</f>
        <v>0</v>
      </c>
      <c r="BJ271" s="3">
        <f>(BJ136-BI136)*-1</f>
        <v>0</v>
      </c>
      <c r="BK271" s="3">
        <f>SUM(BG271:BJ271)</f>
        <v>0</v>
      </c>
      <c r="BL271" s="3">
        <f>(BL136-BK136)*-1</f>
        <v>0</v>
      </c>
      <c r="BM271" s="3">
        <f>(BM136-BL136)*-1</f>
        <v>0</v>
      </c>
      <c r="BN271" s="3">
        <f>(BN136-BM136)*-1</f>
        <v>0</v>
      </c>
      <c r="BO271" s="3">
        <f>(BO136-BN136)*-1</f>
        <v>0</v>
      </c>
      <c r="BP271" s="3">
        <f>SUM(BL271:BO271)</f>
        <v>0</v>
      </c>
      <c r="BQ271" s="3">
        <f>(BQ136-BP136)*-1</f>
        <v>0</v>
      </c>
      <c r="BR271" s="3">
        <f>(BR136-BQ136)*-1</f>
        <v>0</v>
      </c>
      <c r="BS271" s="3">
        <f>(BS136-BR136)*-1</f>
        <v>0</v>
      </c>
      <c r="BT271" s="3">
        <f>(BT136-BS136)*-1</f>
        <v>0</v>
      </c>
      <c r="BU271" s="3">
        <f>SUM(BQ271:BT271)</f>
        <v>0</v>
      </c>
      <c r="BV271" s="3">
        <f>(BV136-BU136)*-1</f>
        <v>0</v>
      </c>
      <c r="BW271" s="3">
        <f>(BW136-BV136)*-1</f>
        <v>0</v>
      </c>
      <c r="BX271" s="3">
        <f>(BX136-BW136)*-1</f>
        <v>0</v>
      </c>
      <c r="BY271" s="3">
        <f>(BY136-BX136)*-1</f>
        <v>0</v>
      </c>
      <c r="BZ271" s="3">
        <f>SUM(BV271:BY271)</f>
        <v>0</v>
      </c>
      <c r="CA271" s="3">
        <f>(CA136-BZ136)*-1</f>
        <v>0</v>
      </c>
      <c r="CB271" s="3">
        <f>(CB136-CA136)*-1</f>
        <v>0</v>
      </c>
      <c r="CC271" s="3">
        <f>(CC136-CB136)*-1</f>
        <v>0</v>
      </c>
      <c r="CD271" s="3">
        <f>(CD136-CC136)*-1</f>
        <v>0</v>
      </c>
      <c r="CE271" s="3">
        <f>SUM(CA271:CD271)</f>
        <v>0</v>
      </c>
      <c r="CF271" s="3">
        <f>(CF136-CE136)*-1</f>
        <v>0</v>
      </c>
      <c r="CG271" s="3">
        <f>(CG136-CF136)*-1</f>
        <v>0</v>
      </c>
      <c r="CH271" s="3">
        <f>(CH136-CG136)*-1</f>
        <v>0</v>
      </c>
      <c r="CI271" s="3">
        <f>(CI136-CH136)*-1</f>
        <v>0</v>
      </c>
      <c r="CJ271" s="3">
        <f>SUM(CF271:CI271)</f>
        <v>0</v>
      </c>
      <c r="CK271" s="3">
        <f>(CK136-CJ136)*-1</f>
        <v>0</v>
      </c>
      <c r="CL271" s="3">
        <f>(CL136-CK136)*-1</f>
        <v>0</v>
      </c>
      <c r="CM271" s="3">
        <f>(CM136-CL136)*-1</f>
        <v>0</v>
      </c>
      <c r="CN271" s="3">
        <f>(CN136-CM136)*-1</f>
        <v>0</v>
      </c>
      <c r="CO271" s="3">
        <f>SUM(CK271:CN271)</f>
        <v>0</v>
      </c>
      <c r="CP271" s="3">
        <f>(CP136-CO136)*-1</f>
        <v>0</v>
      </c>
      <c r="CQ271" s="3">
        <f>(CQ136-CP136)*-1</f>
        <v>0</v>
      </c>
      <c r="CR271" s="3">
        <f>(CR136-CQ136)*-1</f>
        <v>0</v>
      </c>
      <c r="CS271" s="3">
        <f>(CS136-CR136)*-1</f>
        <v>0</v>
      </c>
      <c r="CT271" s="3">
        <f>SUM(CP271:CS271)</f>
        <v>0</v>
      </c>
      <c r="CU271" s="3">
        <f>(CU136-CT136)*-1</f>
        <v>0</v>
      </c>
      <c r="CV271" s="3">
        <f>(CV136-CU136)*-1</f>
        <v>0</v>
      </c>
      <c r="CW271" s="3">
        <f>(CW136-CV136)*-1</f>
        <v>0</v>
      </c>
      <c r="CX271" s="3">
        <f>(CX136-CW136)*-1</f>
        <v>0</v>
      </c>
      <c r="CY271" s="3">
        <f>SUM(CU271:CX271)</f>
        <v>0</v>
      </c>
    </row>
    <row r="272" hidden="1" outlineLevel="1">
      <c r="C272" s="29" t="inlineStr">
        <is>
          <t>Inventories</t>
        </is>
      </c>
      <c r="D272" s="3" t="n"/>
      <c r="E272" s="3">
        <f>(E140-D140)*-1</f>
        <v>0</v>
      </c>
      <c r="F272" s="3">
        <f>(F140-E140)*-1</f>
        <v>0</v>
      </c>
      <c r="G272" s="3">
        <f>(G140-F140)*-1</f>
        <v>0</v>
      </c>
      <c r="H272" s="3">
        <f>SUM(D272:G272)</f>
        <v>0</v>
      </c>
      <c r="I272" s="3">
        <f>(I140-H140)*-1</f>
        <v>0</v>
      </c>
      <c r="J272" s="3">
        <f>(J140-I140)*-1</f>
        <v>0</v>
      </c>
      <c r="K272" s="3">
        <f>(K140-J140)*-1</f>
        <v>0</v>
      </c>
      <c r="L272" s="3">
        <f>(L140-K140)*-1</f>
        <v>0</v>
      </c>
      <c r="M272" s="3">
        <f>SUM(I272:L272)</f>
        <v>0</v>
      </c>
      <c r="N272" s="3">
        <f>(N140-M140)*-1</f>
        <v>0</v>
      </c>
      <c r="O272" s="3">
        <f>(O140-N140)*-1</f>
        <v>0</v>
      </c>
      <c r="P272" s="3">
        <f>(P140-O140)*-1</f>
        <v>0</v>
      </c>
      <c r="Q272" s="3">
        <f>(Q140-P140)*-1</f>
        <v>0</v>
      </c>
      <c r="R272" s="3">
        <f>SUM(N272:Q272)</f>
        <v>0</v>
      </c>
      <c r="S272" s="3">
        <f>(S140-R140)*-1</f>
        <v>0</v>
      </c>
      <c r="T272" s="3">
        <f>(T140-S140)*-1</f>
        <v>0</v>
      </c>
      <c r="U272" s="3">
        <f>(U140-T140)*-1</f>
        <v>0</v>
      </c>
      <c r="V272" s="3">
        <f>(V140-U140)*-1</f>
        <v>0</v>
      </c>
      <c r="W272" s="3">
        <f>SUM(S272:V272)</f>
        <v>0</v>
      </c>
      <c r="X272" s="3">
        <f>(X140-W140)*-1</f>
        <v>0</v>
      </c>
      <c r="Y272" s="3">
        <f>(Y140-X140)*-1</f>
        <v>0</v>
      </c>
      <c r="Z272" s="3">
        <f>(Z140-Y140)*-1</f>
        <v>0</v>
      </c>
      <c r="AA272" s="3">
        <f>(AA140-Z140)*-1</f>
        <v>0</v>
      </c>
      <c r="AB272" s="3">
        <f>SUM(X272:AA272)</f>
        <v>0</v>
      </c>
      <c r="AC272" s="3">
        <f>(AC140-AB140)*-1</f>
        <v>0</v>
      </c>
      <c r="AD272" s="3">
        <f>(AD140-AC140)*-1</f>
        <v>0</v>
      </c>
      <c r="AE272" s="3">
        <f>(AE140-AD140)*-1</f>
        <v>0</v>
      </c>
      <c r="AF272" s="3">
        <f>(AF140-AE140)*-1</f>
        <v>0</v>
      </c>
      <c r="AG272" s="3">
        <f>SUM(AC272:AF272)</f>
        <v>0</v>
      </c>
      <c r="AH272" s="3">
        <f>(AH140-AG140)*-1</f>
        <v>-4251</v>
      </c>
      <c r="AI272" s="3">
        <f>(AI140-AH140)*-1</f>
        <v>-160</v>
      </c>
      <c r="AJ272" s="3">
        <f>(AJ140-AI140)*-1</f>
        <v>4411</v>
      </c>
      <c r="AK272" s="3">
        <f>(AK140-AJ140)*-1</f>
        <v>0</v>
      </c>
      <c r="AL272" s="3">
        <f>SUM(AH272:AK272)</f>
        <v>0</v>
      </c>
      <c r="AM272" s="3">
        <f>(AM140-AL140)*-1</f>
        <v>0</v>
      </c>
      <c r="AN272" s="3">
        <f>(AN140-AM140)*-1</f>
        <v>0</v>
      </c>
      <c r="AO272" s="3">
        <f>(AO140-AN140)*-1</f>
        <v>0</v>
      </c>
      <c r="AP272" s="3">
        <f>(AP140-AO140)*-1</f>
        <v>0</v>
      </c>
      <c r="AQ272" s="3">
        <f>SUM(AM272:AP272)</f>
        <v>0</v>
      </c>
      <c r="AR272" s="3">
        <f>(AR140-AQ140)*-1</f>
        <v>0</v>
      </c>
      <c r="AS272" s="3">
        <f>(AS140-AR140)*-1</f>
        <v>0</v>
      </c>
      <c r="AT272" s="3">
        <f>(AT140-AS140)*-1</f>
        <v>0</v>
      </c>
      <c r="AU272" s="3">
        <f>(AU140-AT140)*-1</f>
        <v>0</v>
      </c>
      <c r="AV272" s="3">
        <f>SUM(AR272:AU272)</f>
        <v>0</v>
      </c>
      <c r="AW272" s="3">
        <f>(AW140-AV140)*-1</f>
        <v>0</v>
      </c>
      <c r="AX272" s="3">
        <f>(AX140-AW140)*-1</f>
        <v>0</v>
      </c>
      <c r="AY272" s="3">
        <f>(AY140-AX140)*-1</f>
        <v>0</v>
      </c>
      <c r="AZ272" s="3">
        <f>(AZ140-AY140)*-1</f>
        <v>0</v>
      </c>
      <c r="BA272" s="3">
        <f>SUM(AW272:AZ272)</f>
        <v>0</v>
      </c>
      <c r="BB272" s="3">
        <f>(BB140-BA140)*-1</f>
        <v>0</v>
      </c>
      <c r="BC272" s="3">
        <f>(BC140-BB140)*-1</f>
        <v>0</v>
      </c>
      <c r="BD272" s="3">
        <f>(BD140-BC140)*-1</f>
        <v>0</v>
      </c>
      <c r="BE272" s="3">
        <f>(BE140-BD140)*-1</f>
        <v>0</v>
      </c>
      <c r="BF272" s="3">
        <f>SUM(BB272:BE272)</f>
        <v>0</v>
      </c>
      <c r="BG272" s="3">
        <f>(BG140-BF140)*-1</f>
        <v>0</v>
      </c>
      <c r="BH272" s="3">
        <f>(BH140-BG140)*-1</f>
        <v>0</v>
      </c>
      <c r="BI272" s="3">
        <f>(BI140-BH140)*-1</f>
        <v>0</v>
      </c>
      <c r="BJ272" s="3">
        <f>(BJ140-BI140)*-1</f>
        <v>0</v>
      </c>
      <c r="BK272" s="3">
        <f>SUM(BG272:BJ272)</f>
        <v>0</v>
      </c>
      <c r="BL272" s="3">
        <f>(BL140-BK140)*-1</f>
        <v>0</v>
      </c>
      <c r="BM272" s="3">
        <f>(BM140-BL140)*-1</f>
        <v>0</v>
      </c>
      <c r="BN272" s="3">
        <f>(BN140-BM140)*-1</f>
        <v>0</v>
      </c>
      <c r="BO272" s="3">
        <f>(BO140-BN140)*-1</f>
        <v>0</v>
      </c>
      <c r="BP272" s="3">
        <f>SUM(BL272:BO272)</f>
        <v>0</v>
      </c>
      <c r="BQ272" s="3">
        <f>(BQ140-BP140)*-1</f>
        <v>0</v>
      </c>
      <c r="BR272" s="3">
        <f>(BR140-BQ140)*-1</f>
        <v>0</v>
      </c>
      <c r="BS272" s="3">
        <f>(BS140-BR140)*-1</f>
        <v>0</v>
      </c>
      <c r="BT272" s="3">
        <f>(BT140-BS140)*-1</f>
        <v>0</v>
      </c>
      <c r="BU272" s="3">
        <f>SUM(BQ272:BT272)</f>
        <v>0</v>
      </c>
      <c r="BV272" s="3">
        <f>(BV140-BU140)*-1</f>
        <v>0</v>
      </c>
      <c r="BW272" s="3">
        <f>(BW140-BV140)*-1</f>
        <v>0</v>
      </c>
      <c r="BX272" s="3">
        <f>(BX140-BW140)*-1</f>
        <v>0</v>
      </c>
      <c r="BY272" s="3">
        <f>(BY140-BX140)*-1</f>
        <v>0</v>
      </c>
      <c r="BZ272" s="3">
        <f>SUM(BV272:BY272)</f>
        <v>0</v>
      </c>
      <c r="CA272" s="3">
        <f>(CA140-BZ140)*-1</f>
        <v>0</v>
      </c>
      <c r="CB272" s="3">
        <f>(CB140-CA140)*-1</f>
        <v>0</v>
      </c>
      <c r="CC272" s="3">
        <f>(CC140-CB140)*-1</f>
        <v>0</v>
      </c>
      <c r="CD272" s="3">
        <f>(CD140-CC140)*-1</f>
        <v>0</v>
      </c>
      <c r="CE272" s="3">
        <f>SUM(CA272:CD272)</f>
        <v>0</v>
      </c>
      <c r="CF272" s="3">
        <f>(CF140-CE140)*-1</f>
        <v>0</v>
      </c>
      <c r="CG272" s="3">
        <f>(CG140-CF140)*-1</f>
        <v>0</v>
      </c>
      <c r="CH272" s="3">
        <f>(CH140-CG140)*-1</f>
        <v>0</v>
      </c>
      <c r="CI272" s="3">
        <f>(CI140-CH140)*-1</f>
        <v>0</v>
      </c>
      <c r="CJ272" s="3">
        <f>SUM(CF272:CI272)</f>
        <v>0</v>
      </c>
      <c r="CK272" s="3">
        <f>(CK140-CJ140)*-1</f>
        <v>0</v>
      </c>
      <c r="CL272" s="3">
        <f>(CL140-CK140)*-1</f>
        <v>0</v>
      </c>
      <c r="CM272" s="3">
        <f>(CM140-CL140)*-1</f>
        <v>0</v>
      </c>
      <c r="CN272" s="3">
        <f>(CN140-CM140)*-1</f>
        <v>0</v>
      </c>
      <c r="CO272" s="3">
        <f>SUM(CK272:CN272)</f>
        <v>0</v>
      </c>
      <c r="CP272" s="3">
        <f>(CP140-CO140)*-1</f>
        <v>0</v>
      </c>
      <c r="CQ272" s="3">
        <f>(CQ140-CP140)*-1</f>
        <v>0</v>
      </c>
      <c r="CR272" s="3">
        <f>(CR140-CQ140)*-1</f>
        <v>0</v>
      </c>
      <c r="CS272" s="3">
        <f>(CS140-CR140)*-1</f>
        <v>0</v>
      </c>
      <c r="CT272" s="3">
        <f>SUM(CP272:CS272)</f>
        <v>0</v>
      </c>
      <c r="CU272" s="3">
        <f>(CU140-CT140)*-1</f>
        <v>0</v>
      </c>
      <c r="CV272" s="3">
        <f>(CV140-CU140)*-1</f>
        <v>0</v>
      </c>
      <c r="CW272" s="3">
        <f>(CW140-CV140)*-1</f>
        <v>0</v>
      </c>
      <c r="CX272" s="3">
        <f>(CX140-CW140)*-1</f>
        <v>0</v>
      </c>
      <c r="CY272" s="3">
        <f>SUM(CU272:CX272)</f>
        <v>0</v>
      </c>
    </row>
    <row r="273" hidden="1" outlineLevel="1">
      <c r="C273" s="29" t="inlineStr">
        <is>
          <t>Deferred income taxes</t>
        </is>
      </c>
      <c r="D273" s="3" t="n"/>
      <c r="E273" s="3">
        <f>(E144-D144)*-1</f>
        <v>37</v>
      </c>
      <c r="F273" s="3">
        <f>(F144-E144)*-1</f>
        <v>-71</v>
      </c>
      <c r="G273" s="3">
        <f>(G144-F144)*-1</f>
        <v>-277</v>
      </c>
      <c r="H273" s="3">
        <f>SUM(D273:G273)</f>
        <v>-311</v>
      </c>
      <c r="I273" s="3">
        <f>(I144-H144)*-1</f>
        <v>100</v>
      </c>
      <c r="J273" s="3">
        <f>(J144-I144)*-1</f>
        <v>-2</v>
      </c>
      <c r="K273" s="3">
        <f>(K144-J144)*-1</f>
        <v>713</v>
      </c>
      <c r="L273" s="3">
        <f>(L144-K144)*-1</f>
        <v>374</v>
      </c>
      <c r="M273" s="3">
        <f>SUM(I273:L273)</f>
        <v>1185</v>
      </c>
      <c r="N273" s="3">
        <f>(N144-M144)*-1</f>
        <v>-398</v>
      </c>
      <c r="O273" s="3">
        <f>(O144-N144)*-1</f>
        <v>8</v>
      </c>
      <c r="P273" s="3">
        <f>(P144-O144)*-1</f>
        <v>-436</v>
      </c>
      <c r="Q273" s="3">
        <f>(Q144-P144)*-1</f>
        <v>-628</v>
      </c>
      <c r="R273" s="3">
        <f>SUM(N273:Q273)</f>
        <v>-1454</v>
      </c>
      <c r="S273" s="3">
        <f>(S144-R144)*-1</f>
        <v>-431</v>
      </c>
      <c r="T273" s="3">
        <f>(T144-S144)*-1</f>
        <v>-343</v>
      </c>
      <c r="U273" s="3">
        <f>(U144-T144)*-1</f>
        <v>-355</v>
      </c>
      <c r="V273" s="3">
        <f>(V144-U144)*-1</f>
        <v>1920</v>
      </c>
      <c r="W273" s="3">
        <f>SUM(S273:V273)</f>
        <v>791</v>
      </c>
      <c r="X273" s="3">
        <f>(X144-W144)*-1</f>
        <v>-71</v>
      </c>
      <c r="Y273" s="3">
        <f>(Y144-X144)*-1</f>
        <v>-56</v>
      </c>
      <c r="Z273" s="3">
        <f>(Z144-Y144)*-1</f>
        <v>-25</v>
      </c>
      <c r="AA273" s="3">
        <f>(AA144-Z144)*-1</f>
        <v>-452</v>
      </c>
      <c r="AB273" s="3">
        <f>SUM(X273:AA273)</f>
        <v>-604</v>
      </c>
      <c r="AC273" s="3">
        <f>(AC144-AB144)*-1</f>
        <v>-11</v>
      </c>
      <c r="AD273" s="3">
        <f>(AD144-AC144)*-1</f>
        <v>-502</v>
      </c>
      <c r="AE273" s="3">
        <f>(AE144-AD144)*-1</f>
        <v>657</v>
      </c>
      <c r="AF273" s="3">
        <f>(AF144-AE144)*-1</f>
        <v>438</v>
      </c>
      <c r="AG273" s="3">
        <f>SUM(AC273:AF273)</f>
        <v>582</v>
      </c>
      <c r="AH273" s="3">
        <f>(AH144-AG144)*-1</f>
        <v>173</v>
      </c>
      <c r="AI273" s="3">
        <f>(AI144-AH144)*-1</f>
        <v>388</v>
      </c>
      <c r="AJ273" s="3">
        <f>(AJ144-AI144)*-1</f>
        <v>0</v>
      </c>
      <c r="AK273" s="3">
        <f>(AK144-AJ144)*-1</f>
        <v>0</v>
      </c>
      <c r="AL273" s="3">
        <f>SUM(AH273:AK273)</f>
        <v>561</v>
      </c>
      <c r="AM273" s="3">
        <f>(AM144-AL144)*-1</f>
        <v>0</v>
      </c>
      <c r="AN273" s="3">
        <f>(AN144-AM144)*-1</f>
        <v>0</v>
      </c>
      <c r="AO273" s="3">
        <f>(AO144-AN144)*-1</f>
        <v>0</v>
      </c>
      <c r="AP273" s="3">
        <f>(AP144-AO144)*-1</f>
        <v>0</v>
      </c>
      <c r="AQ273" s="3">
        <f>SUM(AM273:AP273)</f>
        <v>0</v>
      </c>
      <c r="AR273" s="3">
        <f>(AR144-AQ144)*-1</f>
        <v>0</v>
      </c>
      <c r="AS273" s="3">
        <f>(AS144-AR144)*-1</f>
        <v>0</v>
      </c>
      <c r="AT273" s="3">
        <f>(AT144-AS144)*-1</f>
        <v>0</v>
      </c>
      <c r="AU273" s="3">
        <f>(AU144-AT144)*-1</f>
        <v>0</v>
      </c>
      <c r="AV273" s="3">
        <f>SUM(AR273:AU273)</f>
        <v>0</v>
      </c>
      <c r="AW273" s="3">
        <f>(AW144-AV144)*-1</f>
        <v>0</v>
      </c>
      <c r="AX273" s="3">
        <f>(AX144-AW144)*-1</f>
        <v>0</v>
      </c>
      <c r="AY273" s="3">
        <f>(AY144-AX144)*-1</f>
        <v>0</v>
      </c>
      <c r="AZ273" s="3">
        <f>(AZ144-AY144)*-1</f>
        <v>0</v>
      </c>
      <c r="BA273" s="3">
        <f>SUM(AW273:AZ273)</f>
        <v>0</v>
      </c>
      <c r="BB273" s="3">
        <f>(BB144-BA144)*-1</f>
        <v>0</v>
      </c>
      <c r="BC273" s="3">
        <f>(BC144-BB144)*-1</f>
        <v>0</v>
      </c>
      <c r="BD273" s="3">
        <f>(BD144-BC144)*-1</f>
        <v>0</v>
      </c>
      <c r="BE273" s="3">
        <f>(BE144-BD144)*-1</f>
        <v>0</v>
      </c>
      <c r="BF273" s="3">
        <f>SUM(BB273:BE273)</f>
        <v>0</v>
      </c>
      <c r="BG273" s="3">
        <f>(BG144-BF144)*-1</f>
        <v>0</v>
      </c>
      <c r="BH273" s="3">
        <f>(BH144-BG144)*-1</f>
        <v>0</v>
      </c>
      <c r="BI273" s="3">
        <f>(BI144-BH144)*-1</f>
        <v>0</v>
      </c>
      <c r="BJ273" s="3">
        <f>(BJ144-BI144)*-1</f>
        <v>0</v>
      </c>
      <c r="BK273" s="3">
        <f>SUM(BG273:BJ273)</f>
        <v>0</v>
      </c>
      <c r="BL273" s="3">
        <f>(BL144-BK144)*-1</f>
        <v>0</v>
      </c>
      <c r="BM273" s="3">
        <f>(BM144-BL144)*-1</f>
        <v>0</v>
      </c>
      <c r="BN273" s="3">
        <f>(BN144-BM144)*-1</f>
        <v>0</v>
      </c>
      <c r="BO273" s="3">
        <f>(BO144-BN144)*-1</f>
        <v>0</v>
      </c>
      <c r="BP273" s="3">
        <f>SUM(BL273:BO273)</f>
        <v>0</v>
      </c>
      <c r="BQ273" s="3">
        <f>(BQ144-BP144)*-1</f>
        <v>0</v>
      </c>
      <c r="BR273" s="3">
        <f>(BR144-BQ144)*-1</f>
        <v>0</v>
      </c>
      <c r="BS273" s="3">
        <f>(BS144-BR144)*-1</f>
        <v>0</v>
      </c>
      <c r="BT273" s="3">
        <f>(BT144-BS144)*-1</f>
        <v>0</v>
      </c>
      <c r="BU273" s="3">
        <f>SUM(BQ273:BT273)</f>
        <v>0</v>
      </c>
      <c r="BV273" s="3">
        <f>(BV144-BU144)*-1</f>
        <v>0</v>
      </c>
      <c r="BW273" s="3">
        <f>(BW144-BV144)*-1</f>
        <v>0</v>
      </c>
      <c r="BX273" s="3">
        <f>(BX144-BW144)*-1</f>
        <v>0</v>
      </c>
      <c r="BY273" s="3">
        <f>(BY144-BX144)*-1</f>
        <v>0</v>
      </c>
      <c r="BZ273" s="3">
        <f>SUM(BV273:BY273)</f>
        <v>0</v>
      </c>
      <c r="CA273" s="3">
        <f>(CA144-BZ144)*-1</f>
        <v>0</v>
      </c>
      <c r="CB273" s="3">
        <f>(CB144-CA144)*-1</f>
        <v>0</v>
      </c>
      <c r="CC273" s="3">
        <f>(CC144-CB144)*-1</f>
        <v>0</v>
      </c>
      <c r="CD273" s="3">
        <f>(CD144-CC144)*-1</f>
        <v>0</v>
      </c>
      <c r="CE273" s="3">
        <f>SUM(CA273:CD273)</f>
        <v>0</v>
      </c>
      <c r="CF273" s="3">
        <f>(CF144-CE144)*-1</f>
        <v>0</v>
      </c>
      <c r="CG273" s="3">
        <f>(CG144-CF144)*-1</f>
        <v>0</v>
      </c>
      <c r="CH273" s="3">
        <f>(CH144-CG144)*-1</f>
        <v>0</v>
      </c>
      <c r="CI273" s="3">
        <f>(CI144-CH144)*-1</f>
        <v>0</v>
      </c>
      <c r="CJ273" s="3">
        <f>SUM(CF273:CI273)</f>
        <v>0</v>
      </c>
      <c r="CK273" s="3">
        <f>(CK144-CJ144)*-1</f>
        <v>0</v>
      </c>
      <c r="CL273" s="3">
        <f>(CL144-CK144)*-1</f>
        <v>0</v>
      </c>
      <c r="CM273" s="3">
        <f>(CM144-CL144)*-1</f>
        <v>0</v>
      </c>
      <c r="CN273" s="3">
        <f>(CN144-CM144)*-1</f>
        <v>0</v>
      </c>
      <c r="CO273" s="3">
        <f>SUM(CK273:CN273)</f>
        <v>0</v>
      </c>
      <c r="CP273" s="3">
        <f>(CP144-CO144)*-1</f>
        <v>0</v>
      </c>
      <c r="CQ273" s="3">
        <f>(CQ144-CP144)*-1</f>
        <v>0</v>
      </c>
      <c r="CR273" s="3">
        <f>(CR144-CQ144)*-1</f>
        <v>0</v>
      </c>
      <c r="CS273" s="3">
        <f>(CS144-CR144)*-1</f>
        <v>0</v>
      </c>
      <c r="CT273" s="3">
        <f>SUM(CP273:CS273)</f>
        <v>0</v>
      </c>
      <c r="CU273" s="3">
        <f>(CU144-CT144)*-1</f>
        <v>0</v>
      </c>
      <c r="CV273" s="3">
        <f>(CV144-CU144)*-1</f>
        <v>0</v>
      </c>
      <c r="CW273" s="3">
        <f>(CW144-CV144)*-1</f>
        <v>0</v>
      </c>
      <c r="CX273" s="3">
        <f>(CX144-CW144)*-1</f>
        <v>0</v>
      </c>
      <c r="CY273" s="3">
        <f>SUM(CU273:CX273)</f>
        <v>0</v>
      </c>
    </row>
    <row r="274" hidden="1" outlineLevel="1">
      <c r="C274" s="29" t="inlineStr">
        <is>
          <t>Prepaid expenses</t>
        </is>
      </c>
      <c r="D274" s="3" t="n"/>
      <c r="E274" s="3">
        <f>(E145-D145)*-1</f>
        <v>0</v>
      </c>
      <c r="F274" s="3">
        <f>(F145-E145)*-1</f>
        <v>0</v>
      </c>
      <c r="G274" s="3">
        <f>(G145-F145)*-1</f>
        <v>0</v>
      </c>
      <c r="H274" s="3">
        <f>SUM(D274:G274)</f>
        <v>0</v>
      </c>
      <c r="I274" s="3">
        <f>(I145-H145)*-1</f>
        <v>0</v>
      </c>
      <c r="J274" s="3">
        <f>(J145-I145)*-1</f>
        <v>0</v>
      </c>
      <c r="K274" s="3">
        <f>(K145-J145)*-1</f>
        <v>0</v>
      </c>
      <c r="L274" s="3">
        <f>(L145-K145)*-1</f>
        <v>0</v>
      </c>
      <c r="M274" s="3">
        <f>SUM(I274:L274)</f>
        <v>0</v>
      </c>
      <c r="N274" s="3">
        <f>(N145-M145)*-1</f>
        <v>0</v>
      </c>
      <c r="O274" s="3">
        <f>(O145-N145)*-1</f>
        <v>0</v>
      </c>
      <c r="P274" s="3">
        <f>(P145-O145)*-1</f>
        <v>0</v>
      </c>
      <c r="Q274" s="3">
        <f>(Q145-P145)*-1</f>
        <v>0</v>
      </c>
      <c r="R274" s="3">
        <f>SUM(N274:Q274)</f>
        <v>0</v>
      </c>
      <c r="S274" s="3">
        <f>(S145-R145)*-1</f>
        <v>0</v>
      </c>
      <c r="T274" s="3">
        <f>(T145-S145)*-1</f>
        <v>0</v>
      </c>
      <c r="U274" s="3">
        <f>(U145-T145)*-1</f>
        <v>0</v>
      </c>
      <c r="V274" s="3">
        <f>(V145-U145)*-1</f>
        <v>0</v>
      </c>
      <c r="W274" s="3">
        <f>SUM(S274:V274)</f>
        <v>0</v>
      </c>
      <c r="X274" s="3">
        <f>(X145-W145)*-1</f>
        <v>0</v>
      </c>
      <c r="Y274" s="3">
        <f>(Y145-X145)*-1</f>
        <v>0</v>
      </c>
      <c r="Z274" s="3">
        <f>(Z145-Y145)*-1</f>
        <v>0</v>
      </c>
      <c r="AA274" s="3">
        <f>(AA145-Z145)*-1</f>
        <v>0</v>
      </c>
      <c r="AB274" s="3">
        <f>SUM(X274:AA274)</f>
        <v>0</v>
      </c>
      <c r="AC274" s="3">
        <f>(AC145-AB145)*-1</f>
        <v>0</v>
      </c>
      <c r="AD274" s="3">
        <f>(AD145-AC145)*-1</f>
        <v>0</v>
      </c>
      <c r="AE274" s="3">
        <f>(AE145-AD145)*-1</f>
        <v>0</v>
      </c>
      <c r="AF274" s="3">
        <f>(AF145-AE145)*-1</f>
        <v>0</v>
      </c>
      <c r="AG274" s="3">
        <f>SUM(AC274:AF274)</f>
        <v>0</v>
      </c>
      <c r="AH274" s="3">
        <f>(AH145-AG145)*-1</f>
        <v>0</v>
      </c>
      <c r="AI274" s="3">
        <f>(AI145-AH145)*-1</f>
        <v>0</v>
      </c>
      <c r="AJ274" s="3">
        <f>(AJ145-AI145)*-1</f>
        <v>0</v>
      </c>
      <c r="AK274" s="3">
        <f>(AK145-AJ145)*-1</f>
        <v>0</v>
      </c>
      <c r="AL274" s="3">
        <f>SUM(AH274:AK274)</f>
        <v>0</v>
      </c>
      <c r="AM274" s="3">
        <f>(AM145-AL145)*-1</f>
        <v>0</v>
      </c>
      <c r="AN274" s="3">
        <f>(AN145-AM145)*-1</f>
        <v>0</v>
      </c>
      <c r="AO274" s="3">
        <f>(AO145-AN145)*-1</f>
        <v>0</v>
      </c>
      <c r="AP274" s="3">
        <f>(AP145-AO145)*-1</f>
        <v>0</v>
      </c>
      <c r="AQ274" s="3">
        <f>SUM(AM274:AP274)</f>
        <v>0</v>
      </c>
      <c r="AR274" s="3">
        <f>(AR145-AQ145)*-1</f>
        <v>0</v>
      </c>
      <c r="AS274" s="3">
        <f>(AS145-AR145)*-1</f>
        <v>0</v>
      </c>
      <c r="AT274" s="3">
        <f>(AT145-AS145)*-1</f>
        <v>0</v>
      </c>
      <c r="AU274" s="3">
        <f>(AU145-AT145)*-1</f>
        <v>0</v>
      </c>
      <c r="AV274" s="3">
        <f>SUM(AR274:AU274)</f>
        <v>0</v>
      </c>
      <c r="AW274" s="3">
        <f>(AW145-AV145)*-1</f>
        <v>0</v>
      </c>
      <c r="AX274" s="3">
        <f>(AX145-AW145)*-1</f>
        <v>0</v>
      </c>
      <c r="AY274" s="3">
        <f>(AY145-AX145)*-1</f>
        <v>0</v>
      </c>
      <c r="AZ274" s="3">
        <f>(AZ145-AY145)*-1</f>
        <v>0</v>
      </c>
      <c r="BA274" s="3">
        <f>SUM(AW274:AZ274)</f>
        <v>0</v>
      </c>
      <c r="BB274" s="3">
        <f>(BB145-BA145)*-1</f>
        <v>0</v>
      </c>
      <c r="BC274" s="3">
        <f>(BC145-BB145)*-1</f>
        <v>0</v>
      </c>
      <c r="BD274" s="3">
        <f>(BD145-BC145)*-1</f>
        <v>0</v>
      </c>
      <c r="BE274" s="3">
        <f>(BE145-BD145)*-1</f>
        <v>0</v>
      </c>
      <c r="BF274" s="3">
        <f>SUM(BB274:BE274)</f>
        <v>0</v>
      </c>
      <c r="BG274" s="3">
        <f>(BG145-BF145)*-1</f>
        <v>0</v>
      </c>
      <c r="BH274" s="3">
        <f>(BH145-BG145)*-1</f>
        <v>0</v>
      </c>
      <c r="BI274" s="3">
        <f>(BI145-BH145)*-1</f>
        <v>0</v>
      </c>
      <c r="BJ274" s="3">
        <f>(BJ145-BI145)*-1</f>
        <v>0</v>
      </c>
      <c r="BK274" s="3">
        <f>SUM(BG274:BJ274)</f>
        <v>0</v>
      </c>
      <c r="BL274" s="3">
        <f>(BL145-BK145)*-1</f>
        <v>0</v>
      </c>
      <c r="BM274" s="3">
        <f>(BM145-BL145)*-1</f>
        <v>0</v>
      </c>
      <c r="BN274" s="3">
        <f>(BN145-BM145)*-1</f>
        <v>0</v>
      </c>
      <c r="BO274" s="3">
        <f>(BO145-BN145)*-1</f>
        <v>0</v>
      </c>
      <c r="BP274" s="3">
        <f>SUM(BL274:BO274)</f>
        <v>0</v>
      </c>
      <c r="BQ274" s="3">
        <f>(BQ145-BP145)*-1</f>
        <v>0</v>
      </c>
      <c r="BR274" s="3">
        <f>(BR145-BQ145)*-1</f>
        <v>0</v>
      </c>
      <c r="BS274" s="3">
        <f>(BS145-BR145)*-1</f>
        <v>0</v>
      </c>
      <c r="BT274" s="3">
        <f>(BT145-BS145)*-1</f>
        <v>0</v>
      </c>
      <c r="BU274" s="3">
        <f>SUM(BQ274:BT274)</f>
        <v>0</v>
      </c>
      <c r="BV274" s="3">
        <f>(BV145-BU145)*-1</f>
        <v>0</v>
      </c>
      <c r="BW274" s="3">
        <f>(BW145-BV145)*-1</f>
        <v>0</v>
      </c>
      <c r="BX274" s="3">
        <f>(BX145-BW145)*-1</f>
        <v>0</v>
      </c>
      <c r="BY274" s="3">
        <f>(BY145-BX145)*-1</f>
        <v>0</v>
      </c>
      <c r="BZ274" s="3">
        <f>SUM(BV274:BY274)</f>
        <v>0</v>
      </c>
      <c r="CA274" s="3">
        <f>(CA145-BZ145)*-1</f>
        <v>0</v>
      </c>
      <c r="CB274" s="3">
        <f>(CB145-CA145)*-1</f>
        <v>0</v>
      </c>
      <c r="CC274" s="3">
        <f>(CC145-CB145)*-1</f>
        <v>0</v>
      </c>
      <c r="CD274" s="3">
        <f>(CD145-CC145)*-1</f>
        <v>0</v>
      </c>
      <c r="CE274" s="3">
        <f>SUM(CA274:CD274)</f>
        <v>0</v>
      </c>
      <c r="CF274" s="3">
        <f>(CF145-CE145)*-1</f>
        <v>0</v>
      </c>
      <c r="CG274" s="3">
        <f>(CG145-CF145)*-1</f>
        <v>0</v>
      </c>
      <c r="CH274" s="3">
        <f>(CH145-CG145)*-1</f>
        <v>0</v>
      </c>
      <c r="CI274" s="3">
        <f>(CI145-CH145)*-1</f>
        <v>0</v>
      </c>
      <c r="CJ274" s="3">
        <f>SUM(CF274:CI274)</f>
        <v>0</v>
      </c>
      <c r="CK274" s="3">
        <f>(CK145-CJ145)*-1</f>
        <v>0</v>
      </c>
      <c r="CL274" s="3">
        <f>(CL145-CK145)*-1</f>
        <v>0</v>
      </c>
      <c r="CM274" s="3">
        <f>(CM145-CL145)*-1</f>
        <v>0</v>
      </c>
      <c r="CN274" s="3">
        <f>(CN145-CM145)*-1</f>
        <v>0</v>
      </c>
      <c r="CO274" s="3">
        <f>SUM(CK274:CN274)</f>
        <v>0</v>
      </c>
      <c r="CP274" s="3">
        <f>(CP145-CO145)*-1</f>
        <v>0</v>
      </c>
      <c r="CQ274" s="3">
        <f>(CQ145-CP145)*-1</f>
        <v>0</v>
      </c>
      <c r="CR274" s="3">
        <f>(CR145-CQ145)*-1</f>
        <v>0</v>
      </c>
      <c r="CS274" s="3">
        <f>(CS145-CR145)*-1</f>
        <v>0</v>
      </c>
      <c r="CT274" s="3">
        <f>SUM(CP274:CS274)</f>
        <v>0</v>
      </c>
      <c r="CU274" s="3">
        <f>(CU145-CT145)*-1</f>
        <v>0</v>
      </c>
      <c r="CV274" s="3">
        <f>(CV145-CU145)*-1</f>
        <v>0</v>
      </c>
      <c r="CW274" s="3">
        <f>(CW145-CV145)*-1</f>
        <v>0</v>
      </c>
      <c r="CX274" s="3">
        <f>(CX145-CW145)*-1</f>
        <v>0</v>
      </c>
      <c r="CY274" s="3">
        <f>SUM(CU274:CX274)</f>
        <v>0</v>
      </c>
    </row>
    <row r="275" hidden="1" outlineLevel="1">
      <c r="C275" s="29" t="inlineStr">
        <is>
          <t>Other current assets</t>
        </is>
      </c>
      <c r="D275" s="3" t="n"/>
      <c r="E275" s="3">
        <f>(E146-D146)*-1</f>
        <v>462</v>
      </c>
      <c r="F275" s="3">
        <f>(F146-E146)*-1</f>
        <v>-345</v>
      </c>
      <c r="G275" s="3">
        <f>(G146-F146)*-1</f>
        <v>-15</v>
      </c>
      <c r="H275" s="3">
        <f>SUM(D275:G275)</f>
        <v>102</v>
      </c>
      <c r="I275" s="3">
        <f>(I146-H146)*-1</f>
        <v>-865</v>
      </c>
      <c r="J275" s="3">
        <f>(J146-I146)*-1</f>
        <v>-213</v>
      </c>
      <c r="K275" s="3">
        <f>(K146-J146)*-1</f>
        <v>-1045</v>
      </c>
      <c r="L275" s="3">
        <f>(L146-K146)*-1</f>
        <v>2115</v>
      </c>
      <c r="M275" s="3">
        <f>SUM(I275:L275)</f>
        <v>-8</v>
      </c>
      <c r="N275" s="3">
        <f>(N146-M146)*-1</f>
        <v>-1732</v>
      </c>
      <c r="O275" s="3">
        <f>(O146-N146)*-1</f>
        <v>183</v>
      </c>
      <c r="P275" s="3">
        <f>(P146-O146)*-1</f>
        <v>-249</v>
      </c>
      <c r="Q275" s="3">
        <f>(Q146-P146)*-1</f>
        <v>107</v>
      </c>
      <c r="R275" s="3">
        <f>SUM(N275:Q275)</f>
        <v>-1691</v>
      </c>
      <c r="S275" s="3">
        <f>(S146-R146)*-1</f>
        <v>-1182</v>
      </c>
      <c r="T275" s="3">
        <f>(T146-S146)*-1</f>
        <v>134</v>
      </c>
      <c r="U275" s="3">
        <f>(U146-T146)*-1</f>
        <v>-379</v>
      </c>
      <c r="V275" s="3">
        <f>(V146-U146)*-1</f>
        <v>419</v>
      </c>
      <c r="W275" s="3">
        <f>SUM(S275:V275)</f>
        <v>-1008</v>
      </c>
      <c r="X275" s="3">
        <f>(X146-W146)*-1</f>
        <v>-964</v>
      </c>
      <c r="Y275" s="3">
        <f>(Y146-X146)*-1</f>
        <v>397</v>
      </c>
      <c r="Z275" s="3">
        <f>(Z146-Y146)*-1</f>
        <v>-405</v>
      </c>
      <c r="AA275" s="3">
        <f>(AA146-Z146)*-1</f>
        <v>904</v>
      </c>
      <c r="AB275" s="3">
        <f>SUM(X275:AA275)</f>
        <v>-68</v>
      </c>
      <c r="AC275" s="3">
        <f>(AC146-AB146)*-1</f>
        <v>-1959</v>
      </c>
      <c r="AD275" s="3">
        <f>(AD146-AC146)*-1</f>
        <v>-415</v>
      </c>
      <c r="AE275" s="3">
        <f>(AE146-AD146)*-1</f>
        <v>767</v>
      </c>
      <c r="AF275" s="3">
        <f>(AF146-AE146)*-1</f>
        <v>1282</v>
      </c>
      <c r="AG275" s="3">
        <f>SUM(AC275:AF275)</f>
        <v>-325</v>
      </c>
      <c r="AH275" s="3">
        <f>(AH146-AG146)*-1</f>
        <v>727</v>
      </c>
      <c r="AI275" s="3">
        <f>(AI146-AH146)*-1</f>
        <v>-230</v>
      </c>
      <c r="AJ275" s="3">
        <f>(AJ146-AI146)*-1</f>
        <v>0</v>
      </c>
      <c r="AK275" s="3">
        <f>(AK146-AJ146)*-1</f>
        <v>0</v>
      </c>
      <c r="AL275" s="3">
        <f>SUM(AH275:AK275)</f>
        <v>497</v>
      </c>
      <c r="AM275" s="3">
        <f>(AM146-AL146)*-1</f>
        <v>0</v>
      </c>
      <c r="AN275" s="3">
        <f>(AN146-AM146)*-1</f>
        <v>0</v>
      </c>
      <c r="AO275" s="3">
        <f>(AO146-AN146)*-1</f>
        <v>0</v>
      </c>
      <c r="AP275" s="3">
        <f>(AP146-AO146)*-1</f>
        <v>0</v>
      </c>
      <c r="AQ275" s="3">
        <f>SUM(AM275:AP275)</f>
        <v>0</v>
      </c>
      <c r="AR275" s="3">
        <f>(AR146-AQ146)*-1</f>
        <v>0</v>
      </c>
      <c r="AS275" s="3">
        <f>(AS146-AR146)*-1</f>
        <v>0</v>
      </c>
      <c r="AT275" s="3">
        <f>(AT146-AS146)*-1</f>
        <v>0</v>
      </c>
      <c r="AU275" s="3">
        <f>(AU146-AT146)*-1</f>
        <v>0</v>
      </c>
      <c r="AV275" s="3">
        <f>SUM(AR275:AU275)</f>
        <v>0</v>
      </c>
      <c r="AW275" s="3">
        <f>(AW146-AV146)*-1</f>
        <v>0</v>
      </c>
      <c r="AX275" s="3">
        <f>(AX146-AW146)*-1</f>
        <v>0</v>
      </c>
      <c r="AY275" s="3">
        <f>(AY146-AX146)*-1</f>
        <v>0</v>
      </c>
      <c r="AZ275" s="3">
        <f>(AZ146-AY146)*-1</f>
        <v>0</v>
      </c>
      <c r="BA275" s="3">
        <f>SUM(AW275:AZ275)</f>
        <v>0</v>
      </c>
      <c r="BB275" s="3">
        <f>(BB146-BA146)*-1</f>
        <v>0</v>
      </c>
      <c r="BC275" s="3">
        <f>(BC146-BB146)*-1</f>
        <v>0</v>
      </c>
      <c r="BD275" s="3">
        <f>(BD146-BC146)*-1</f>
        <v>0</v>
      </c>
      <c r="BE275" s="3">
        <f>(BE146-BD146)*-1</f>
        <v>0</v>
      </c>
      <c r="BF275" s="3">
        <f>SUM(BB275:BE275)</f>
        <v>0</v>
      </c>
      <c r="BG275" s="3">
        <f>(BG146-BF146)*-1</f>
        <v>0</v>
      </c>
      <c r="BH275" s="3">
        <f>(BH146-BG146)*-1</f>
        <v>0</v>
      </c>
      <c r="BI275" s="3">
        <f>(BI146-BH146)*-1</f>
        <v>0</v>
      </c>
      <c r="BJ275" s="3">
        <f>(BJ146-BI146)*-1</f>
        <v>0</v>
      </c>
      <c r="BK275" s="3">
        <f>SUM(BG275:BJ275)</f>
        <v>0</v>
      </c>
      <c r="BL275" s="3">
        <f>(BL146-BK146)*-1</f>
        <v>0</v>
      </c>
      <c r="BM275" s="3">
        <f>(BM146-BL146)*-1</f>
        <v>0</v>
      </c>
      <c r="BN275" s="3">
        <f>(BN146-BM146)*-1</f>
        <v>0</v>
      </c>
      <c r="BO275" s="3">
        <f>(BO146-BN146)*-1</f>
        <v>0</v>
      </c>
      <c r="BP275" s="3">
        <f>SUM(BL275:BO275)</f>
        <v>0</v>
      </c>
      <c r="BQ275" s="3">
        <f>(BQ146-BP146)*-1</f>
        <v>0</v>
      </c>
      <c r="BR275" s="3">
        <f>(BR146-BQ146)*-1</f>
        <v>0</v>
      </c>
      <c r="BS275" s="3">
        <f>(BS146-BR146)*-1</f>
        <v>0</v>
      </c>
      <c r="BT275" s="3">
        <f>(BT146-BS146)*-1</f>
        <v>0</v>
      </c>
      <c r="BU275" s="3">
        <f>SUM(BQ275:BT275)</f>
        <v>0</v>
      </c>
      <c r="BV275" s="3">
        <f>(BV146-BU146)*-1</f>
        <v>0</v>
      </c>
      <c r="BW275" s="3">
        <f>(BW146-BV146)*-1</f>
        <v>0</v>
      </c>
      <c r="BX275" s="3">
        <f>(BX146-BW146)*-1</f>
        <v>0</v>
      </c>
      <c r="BY275" s="3">
        <f>(BY146-BX146)*-1</f>
        <v>0</v>
      </c>
      <c r="BZ275" s="3">
        <f>SUM(BV275:BY275)</f>
        <v>0</v>
      </c>
      <c r="CA275" s="3">
        <f>(CA146-BZ146)*-1</f>
        <v>0</v>
      </c>
      <c r="CB275" s="3">
        <f>(CB146-CA146)*-1</f>
        <v>0</v>
      </c>
      <c r="CC275" s="3">
        <f>(CC146-CB146)*-1</f>
        <v>0</v>
      </c>
      <c r="CD275" s="3">
        <f>(CD146-CC146)*-1</f>
        <v>0</v>
      </c>
      <c r="CE275" s="3">
        <f>SUM(CA275:CD275)</f>
        <v>0</v>
      </c>
      <c r="CF275" s="3">
        <f>(CF146-CE146)*-1</f>
        <v>0</v>
      </c>
      <c r="CG275" s="3">
        <f>(CG146-CF146)*-1</f>
        <v>0</v>
      </c>
      <c r="CH275" s="3">
        <f>(CH146-CG146)*-1</f>
        <v>0</v>
      </c>
      <c r="CI275" s="3">
        <f>(CI146-CH146)*-1</f>
        <v>0</v>
      </c>
      <c r="CJ275" s="3">
        <f>SUM(CF275:CI275)</f>
        <v>0</v>
      </c>
      <c r="CK275" s="3">
        <f>(CK146-CJ146)*-1</f>
        <v>0</v>
      </c>
      <c r="CL275" s="3">
        <f>(CL146-CK146)*-1</f>
        <v>0</v>
      </c>
      <c r="CM275" s="3">
        <f>(CM146-CL146)*-1</f>
        <v>0</v>
      </c>
      <c r="CN275" s="3">
        <f>(CN146-CM146)*-1</f>
        <v>0</v>
      </c>
      <c r="CO275" s="3">
        <f>SUM(CK275:CN275)</f>
        <v>0</v>
      </c>
      <c r="CP275" s="3">
        <f>(CP146-CO146)*-1</f>
        <v>0</v>
      </c>
      <c r="CQ275" s="3">
        <f>(CQ146-CP146)*-1</f>
        <v>0</v>
      </c>
      <c r="CR275" s="3">
        <f>(CR146-CQ146)*-1</f>
        <v>0</v>
      </c>
      <c r="CS275" s="3">
        <f>(CS146-CR146)*-1</f>
        <v>0</v>
      </c>
      <c r="CT275" s="3">
        <f>SUM(CP275:CS275)</f>
        <v>0</v>
      </c>
      <c r="CU275" s="3">
        <f>(CU146-CT146)*-1</f>
        <v>0</v>
      </c>
      <c r="CV275" s="3">
        <f>(CV146-CU146)*-1</f>
        <v>0</v>
      </c>
      <c r="CW275" s="3">
        <f>(CW146-CV146)*-1</f>
        <v>0</v>
      </c>
      <c r="CX275" s="3">
        <f>(CX146-CW146)*-1</f>
        <v>0</v>
      </c>
      <c r="CY275" s="3">
        <f>SUM(CU275:CX275)</f>
        <v>0</v>
      </c>
    </row>
    <row r="276" hidden="1" outlineLevel="1">
      <c r="C276" s="29" t="inlineStr">
        <is>
          <t>Accounts payable</t>
        </is>
      </c>
      <c r="D276" s="3" t="n"/>
      <c r="E276" s="3">
        <f>E189-D189</f>
        <v>-1713</v>
      </c>
      <c r="F276" s="3">
        <f>F189-E189</f>
        <v>38</v>
      </c>
      <c r="G276" s="3">
        <f>G189-F189</f>
        <v>-611</v>
      </c>
      <c r="H276" s="3">
        <f>SUM(D276:G276)</f>
        <v>-2286</v>
      </c>
      <c r="I276" s="3">
        <f>I189-H189</f>
        <v>1009</v>
      </c>
      <c r="J276" s="3">
        <f>J189-I189</f>
        <v>-281</v>
      </c>
      <c r="K276" s="3">
        <f>K189-J189</f>
        <v>-88</v>
      </c>
      <c r="L276" s="3">
        <f>L189-K189</f>
        <v>-740</v>
      </c>
      <c r="M276" s="3">
        <f>SUM(I276:L276)</f>
        <v>-100</v>
      </c>
      <c r="N276" s="3">
        <f>N189-M189</f>
        <v>1819</v>
      </c>
      <c r="O276" s="3">
        <f>O189-N189</f>
        <v>-290</v>
      </c>
      <c r="P276" s="3">
        <f>P189-O189</f>
        <v>313</v>
      </c>
      <c r="Q276" s="3">
        <f>Q189-P189</f>
        <v>-505</v>
      </c>
      <c r="R276" s="3">
        <f>SUM(N276:Q276)</f>
        <v>1337</v>
      </c>
      <c r="S276" s="3">
        <f>S189-R189</f>
        <v>1154</v>
      </c>
      <c r="T276" s="3">
        <f>T189-S189</f>
        <v>195</v>
      </c>
      <c r="U276" s="3">
        <f>U189-T189</f>
        <v>351</v>
      </c>
      <c r="V276" s="3">
        <f>V189-U189</f>
        <v>-1505</v>
      </c>
      <c r="W276" s="3">
        <f>SUM(S276:V276)</f>
        <v>195</v>
      </c>
      <c r="X276" s="3">
        <f>X189-W189</f>
        <v>1211</v>
      </c>
      <c r="Y276" s="3">
        <f>Y189-X189</f>
        <v>-241</v>
      </c>
      <c r="Z276" s="3">
        <f>Z189-Y189</f>
        <v>-61</v>
      </c>
      <c r="AA276" s="3">
        <f>AA189-Z189</f>
        <v>-999</v>
      </c>
      <c r="AB276" s="3">
        <f>SUM(X276:AA276)</f>
        <v>-90</v>
      </c>
      <c r="AC276" s="3">
        <f>AC189-AB189</f>
        <v>1599</v>
      </c>
      <c r="AD276" s="3">
        <f>AD189-AC189</f>
        <v>-168</v>
      </c>
      <c r="AE276" s="3">
        <f>AE189-AD189</f>
        <v>181</v>
      </c>
      <c r="AF276" s="3">
        <f>AF189-AE189</f>
        <v>-204</v>
      </c>
      <c r="AG276" s="3">
        <f>SUM(AC276:AF276)</f>
        <v>1408</v>
      </c>
      <c r="AH276" s="3">
        <f>AH189-AG189</f>
        <v>1077</v>
      </c>
      <c r="AI276" s="3">
        <f>AI189-AH189</f>
        <v>208</v>
      </c>
      <c r="AJ276" s="3">
        <f>AJ189-AI189</f>
        <v>-4915</v>
      </c>
      <c r="AK276" s="3">
        <f>AK189-AJ189</f>
        <v>0</v>
      </c>
      <c r="AL276" s="3">
        <f>SUM(AH276:AK276)</f>
        <v>-3630</v>
      </c>
      <c r="AM276" s="3">
        <f>AM189-AL189</f>
        <v>0</v>
      </c>
      <c r="AN276" s="3">
        <f>AN189-AM189</f>
        <v>0</v>
      </c>
      <c r="AO276" s="3">
        <f>AO189-AN189</f>
        <v>0</v>
      </c>
      <c r="AP276" s="3">
        <f>AP189-AO189</f>
        <v>0</v>
      </c>
      <c r="AQ276" s="3">
        <f>SUM(AM276:AP276)</f>
        <v>0</v>
      </c>
      <c r="AR276" s="3">
        <f>AR189-AQ189</f>
        <v>0</v>
      </c>
      <c r="AS276" s="3">
        <f>AS189-AR189</f>
        <v>0</v>
      </c>
      <c r="AT276" s="3">
        <f>AT189-AS189</f>
        <v>0</v>
      </c>
      <c r="AU276" s="3">
        <f>AU189-AT189</f>
        <v>0</v>
      </c>
      <c r="AV276" s="3">
        <f>SUM(AR276:AU276)</f>
        <v>0</v>
      </c>
      <c r="AW276" s="3">
        <f>AW189-AV189</f>
        <v>0</v>
      </c>
      <c r="AX276" s="3">
        <f>AX189-AW189</f>
        <v>0</v>
      </c>
      <c r="AY276" s="3">
        <f>AY189-AX189</f>
        <v>0</v>
      </c>
      <c r="AZ276" s="3">
        <f>AZ189-AY189</f>
        <v>0</v>
      </c>
      <c r="BA276" s="3">
        <f>SUM(AW276:AZ276)</f>
        <v>0</v>
      </c>
      <c r="BB276" s="3">
        <f>BB189-BA189</f>
        <v>0</v>
      </c>
      <c r="BC276" s="3">
        <f>BC189-BB189</f>
        <v>0</v>
      </c>
      <c r="BD276" s="3">
        <f>BD189-BC189</f>
        <v>0</v>
      </c>
      <c r="BE276" s="3">
        <f>BE189-BD189</f>
        <v>0</v>
      </c>
      <c r="BF276" s="3">
        <f>SUM(BB276:BE276)</f>
        <v>0</v>
      </c>
      <c r="BG276" s="3">
        <f>BG189-BF189</f>
        <v>0</v>
      </c>
      <c r="BH276" s="3">
        <f>BH189-BG189</f>
        <v>0</v>
      </c>
      <c r="BI276" s="3">
        <f>BI189-BH189</f>
        <v>0</v>
      </c>
      <c r="BJ276" s="3">
        <f>BJ189-BI189</f>
        <v>0</v>
      </c>
      <c r="BK276" s="3">
        <f>SUM(BG276:BJ276)</f>
        <v>0</v>
      </c>
      <c r="BL276" s="3">
        <f>BL189-BK189</f>
        <v>0</v>
      </c>
      <c r="BM276" s="3">
        <f>BM189-BL189</f>
        <v>0</v>
      </c>
      <c r="BN276" s="3">
        <f>BN189-BM189</f>
        <v>0</v>
      </c>
      <c r="BO276" s="3">
        <f>BO189-BN189</f>
        <v>0</v>
      </c>
      <c r="BP276" s="3">
        <f>SUM(BL276:BO276)</f>
        <v>0</v>
      </c>
      <c r="BQ276" s="3">
        <f>BQ189-BP189</f>
        <v>0</v>
      </c>
      <c r="BR276" s="3">
        <f>BR189-BQ189</f>
        <v>0</v>
      </c>
      <c r="BS276" s="3">
        <f>BS189-BR189</f>
        <v>0</v>
      </c>
      <c r="BT276" s="3">
        <f>BT189-BS189</f>
        <v>0</v>
      </c>
      <c r="BU276" s="3">
        <f>SUM(BQ276:BT276)</f>
        <v>0</v>
      </c>
      <c r="BV276" s="3">
        <f>BV189-BU189</f>
        <v>0</v>
      </c>
      <c r="BW276" s="3">
        <f>BW189-BV189</f>
        <v>0</v>
      </c>
      <c r="BX276" s="3">
        <f>BX189-BW189</f>
        <v>0</v>
      </c>
      <c r="BY276" s="3">
        <f>BY189-BX189</f>
        <v>0</v>
      </c>
      <c r="BZ276" s="3">
        <f>SUM(BV276:BY276)</f>
        <v>0</v>
      </c>
      <c r="CA276" s="3">
        <f>CA189-BZ189</f>
        <v>0</v>
      </c>
      <c r="CB276" s="3">
        <f>CB189-CA189</f>
        <v>0</v>
      </c>
      <c r="CC276" s="3">
        <f>CC189-CB189</f>
        <v>0</v>
      </c>
      <c r="CD276" s="3">
        <f>CD189-CC189</f>
        <v>0</v>
      </c>
      <c r="CE276" s="3">
        <f>SUM(CA276:CD276)</f>
        <v>0</v>
      </c>
      <c r="CF276" s="3">
        <f>CF189-CE189</f>
        <v>0</v>
      </c>
      <c r="CG276" s="3">
        <f>CG189-CF189</f>
        <v>0</v>
      </c>
      <c r="CH276" s="3">
        <f>CH189-CG189</f>
        <v>0</v>
      </c>
      <c r="CI276" s="3">
        <f>CI189-CH189</f>
        <v>0</v>
      </c>
      <c r="CJ276" s="3">
        <f>SUM(CF276:CI276)</f>
        <v>0</v>
      </c>
      <c r="CK276" s="3">
        <f>CK189-CJ189</f>
        <v>0</v>
      </c>
      <c r="CL276" s="3">
        <f>CL189-CK189</f>
        <v>0</v>
      </c>
      <c r="CM276" s="3">
        <f>CM189-CL189</f>
        <v>0</v>
      </c>
      <c r="CN276" s="3">
        <f>CN189-CM189</f>
        <v>0</v>
      </c>
      <c r="CO276" s="3">
        <f>SUM(CK276:CN276)</f>
        <v>0</v>
      </c>
      <c r="CP276" s="3">
        <f>CP189-CO189</f>
        <v>0</v>
      </c>
      <c r="CQ276" s="3">
        <f>CQ189-CP189</f>
        <v>0</v>
      </c>
      <c r="CR276" s="3">
        <f>CR189-CQ189</f>
        <v>0</v>
      </c>
      <c r="CS276" s="3">
        <f>CS189-CR189</f>
        <v>0</v>
      </c>
      <c r="CT276" s="3">
        <f>SUM(CP276:CS276)</f>
        <v>0</v>
      </c>
      <c r="CU276" s="3">
        <f>CU189-CT189</f>
        <v>0</v>
      </c>
      <c r="CV276" s="3">
        <f>CV189-CU189</f>
        <v>0</v>
      </c>
      <c r="CW276" s="3">
        <f>CW189-CV189</f>
        <v>0</v>
      </c>
      <c r="CX276" s="3">
        <f>CX189-CW189</f>
        <v>0</v>
      </c>
      <c r="CY276" s="3">
        <f>SUM(CU276:CX276)</f>
        <v>0</v>
      </c>
    </row>
    <row r="277" hidden="1" outlineLevel="1">
      <c r="C277" s="29" t="inlineStr">
        <is>
          <t>Accrued expenses</t>
        </is>
      </c>
      <c r="D277" s="3" t="n"/>
      <c r="E277" s="3">
        <f>E193-D193</f>
        <v>466</v>
      </c>
      <c r="F277" s="3">
        <f>F193-E193</f>
        <v>330</v>
      </c>
      <c r="G277" s="3">
        <f>G193-F193</f>
        <v>345</v>
      </c>
      <c r="H277" s="3">
        <f>SUM(D277:G277)</f>
        <v>1141</v>
      </c>
      <c r="I277" s="3">
        <f>I193-H193</f>
        <v>-369</v>
      </c>
      <c r="J277" s="3">
        <f>J193-I193</f>
        <v>235</v>
      </c>
      <c r="K277" s="3">
        <f>K193-J193</f>
        <v>93</v>
      </c>
      <c r="L277" s="3">
        <f>L193-K193</f>
        <v>-14</v>
      </c>
      <c r="M277" s="3">
        <f>SUM(I277:L277)</f>
        <v>-55</v>
      </c>
      <c r="N277" s="3">
        <f>N193-M193</f>
        <v>-437</v>
      </c>
      <c r="O277" s="3">
        <f>O193-N193</f>
        <v>264</v>
      </c>
      <c r="P277" s="3">
        <f>P193-O193</f>
        <v>216</v>
      </c>
      <c r="Q277" s="3">
        <f>Q193-P193</f>
        <v>-76</v>
      </c>
      <c r="R277" s="3">
        <f>SUM(N277:Q277)</f>
        <v>-33</v>
      </c>
      <c r="S277" s="3">
        <f>S193-R193</f>
        <v>-441</v>
      </c>
      <c r="T277" s="3">
        <f>T193-S193</f>
        <v>262</v>
      </c>
      <c r="U277" s="3">
        <f>U193-T193</f>
        <v>243</v>
      </c>
      <c r="V277" s="3">
        <f>V193-U193</f>
        <v>-6</v>
      </c>
      <c r="W277" s="3">
        <f>SUM(S277:V277)</f>
        <v>58</v>
      </c>
      <c r="X277" s="3">
        <f>X193-W193</f>
        <v>-454</v>
      </c>
      <c r="Y277" s="3">
        <f>Y193-X193</f>
        <v>192</v>
      </c>
      <c r="Z277" s="3">
        <f>Z193-Y193</f>
        <v>205</v>
      </c>
      <c r="AA277" s="3">
        <f>AA193-Z193</f>
        <v>49</v>
      </c>
      <c r="AB277" s="3">
        <f>SUM(X277:AA277)</f>
        <v>-8</v>
      </c>
      <c r="AC277" s="3">
        <f>AC193-AB193</f>
        <v>-734</v>
      </c>
      <c r="AD277" s="3">
        <f>AD193-AC193</f>
        <v>370</v>
      </c>
      <c r="AE277" s="3">
        <f>AE193-AD193</f>
        <v>304</v>
      </c>
      <c r="AF277" s="3">
        <f>AF193-AE193</f>
        <v>119</v>
      </c>
      <c r="AG277" s="3">
        <f>SUM(AC277:AF277)</f>
        <v>59</v>
      </c>
      <c r="AH277" s="3">
        <f>AH193-AG193</f>
        <v>-508</v>
      </c>
      <c r="AI277" s="3">
        <f>AI193-AH193</f>
        <v>327</v>
      </c>
      <c r="AJ277" s="3">
        <f>AJ193-AI193</f>
        <v>-3003</v>
      </c>
      <c r="AK277" s="3">
        <f>AK193-AJ193</f>
        <v>0</v>
      </c>
      <c r="AL277" s="3">
        <f>SUM(AH277:AK277)</f>
        <v>-3184</v>
      </c>
      <c r="AM277" s="3" t="e">
        <f>AM193-AL193</f>
        <v>#DIV/0!</v>
      </c>
      <c r="AN277" s="3" t="e">
        <f>AN193-AM193</f>
        <v>#DIV/0!</v>
      </c>
      <c r="AO277" s="3" t="e">
        <f>AO193-AN193</f>
        <v>#DIV/0!</v>
      </c>
      <c r="AP277" s="3" t="e">
        <f>AP193-AO193</f>
        <v>#DIV/0!</v>
      </c>
      <c r="AQ277" s="3" t="e">
        <f>SUM(AM277:AP277)</f>
        <v>#DIV/0!</v>
      </c>
      <c r="AR277" s="3" t="e">
        <f>AR193-AQ193</f>
        <v>#DIV/0!</v>
      </c>
      <c r="AS277" s="3" t="e">
        <f>AS193-AR193</f>
        <v>#DIV/0!</v>
      </c>
      <c r="AT277" s="3" t="e">
        <f>AT193-AS193</f>
        <v>#DIV/0!</v>
      </c>
      <c r="AU277" s="3" t="e">
        <f>AU193-AT193</f>
        <v>#DIV/0!</v>
      </c>
      <c r="AV277" s="3" t="e">
        <f>SUM(AR277:AU277)</f>
        <v>#DIV/0!</v>
      </c>
      <c r="AW277" s="3" t="e">
        <f>AW193-AV193</f>
        <v>#DIV/0!</v>
      </c>
      <c r="AX277" s="3" t="e">
        <f>AX193-AW193</f>
        <v>#DIV/0!</v>
      </c>
      <c r="AY277" s="3" t="e">
        <f>AY193-AX193</f>
        <v>#DIV/0!</v>
      </c>
      <c r="AZ277" s="3" t="e">
        <f>AZ193-AY193</f>
        <v>#DIV/0!</v>
      </c>
      <c r="BA277" s="3" t="e">
        <f>SUM(AW277:AZ277)</f>
        <v>#DIV/0!</v>
      </c>
      <c r="BB277" s="3" t="e">
        <f>BB193-BA193</f>
        <v>#DIV/0!</v>
      </c>
      <c r="BC277" s="3" t="e">
        <f>BC193-BB193</f>
        <v>#DIV/0!</v>
      </c>
      <c r="BD277" s="3" t="e">
        <f>BD193-BC193</f>
        <v>#DIV/0!</v>
      </c>
      <c r="BE277" s="3" t="e">
        <f>BE193-BD193</f>
        <v>#DIV/0!</v>
      </c>
      <c r="BF277" s="3" t="e">
        <f>SUM(BB277:BE277)</f>
        <v>#DIV/0!</v>
      </c>
      <c r="BG277" s="3" t="e">
        <f>BG193-BF193</f>
        <v>#DIV/0!</v>
      </c>
      <c r="BH277" s="3" t="e">
        <f>BH193-BG193</f>
        <v>#DIV/0!</v>
      </c>
      <c r="BI277" s="3" t="e">
        <f>BI193-BH193</f>
        <v>#DIV/0!</v>
      </c>
      <c r="BJ277" s="3" t="e">
        <f>BJ193-BI193</f>
        <v>#DIV/0!</v>
      </c>
      <c r="BK277" s="3" t="e">
        <f>SUM(BG277:BJ277)</f>
        <v>#DIV/0!</v>
      </c>
      <c r="BL277" s="3" t="e">
        <f>BL193-BK193</f>
        <v>#DIV/0!</v>
      </c>
      <c r="BM277" s="3" t="e">
        <f>BM193-BL193</f>
        <v>#DIV/0!</v>
      </c>
      <c r="BN277" s="3" t="e">
        <f>BN193-BM193</f>
        <v>#DIV/0!</v>
      </c>
      <c r="BO277" s="3" t="e">
        <f>BO193-BN193</f>
        <v>#DIV/0!</v>
      </c>
      <c r="BP277" s="3" t="e">
        <f>SUM(BL277:BO277)</f>
        <v>#DIV/0!</v>
      </c>
      <c r="BQ277" s="3" t="e">
        <f>BQ193-BP193</f>
        <v>#DIV/0!</v>
      </c>
      <c r="BR277" s="3" t="e">
        <f>BR193-BQ193</f>
        <v>#DIV/0!</v>
      </c>
      <c r="BS277" s="3" t="e">
        <f>BS193-BR193</f>
        <v>#DIV/0!</v>
      </c>
      <c r="BT277" s="3" t="e">
        <f>BT193-BS193</f>
        <v>#DIV/0!</v>
      </c>
      <c r="BU277" s="3" t="e">
        <f>SUM(BQ277:BT277)</f>
        <v>#DIV/0!</v>
      </c>
      <c r="BV277" s="3" t="e">
        <f>BV193-BU193</f>
        <v>#DIV/0!</v>
      </c>
      <c r="BW277" s="3" t="e">
        <f>BW193-BV193</f>
        <v>#DIV/0!</v>
      </c>
      <c r="BX277" s="3" t="e">
        <f>BX193-BW193</f>
        <v>#DIV/0!</v>
      </c>
      <c r="BY277" s="3" t="e">
        <f>BY193-BX193</f>
        <v>#DIV/0!</v>
      </c>
      <c r="BZ277" s="3" t="e">
        <f>SUM(BV277:BY277)</f>
        <v>#DIV/0!</v>
      </c>
      <c r="CA277" s="3" t="e">
        <f>CA193-BZ193</f>
        <v>#DIV/0!</v>
      </c>
      <c r="CB277" s="3" t="e">
        <f>CB193-CA193</f>
        <v>#DIV/0!</v>
      </c>
      <c r="CC277" s="3" t="e">
        <f>CC193-CB193</f>
        <v>#DIV/0!</v>
      </c>
      <c r="CD277" s="3" t="e">
        <f>CD193-CC193</f>
        <v>#DIV/0!</v>
      </c>
      <c r="CE277" s="3" t="e">
        <f>SUM(CA277:CD277)</f>
        <v>#DIV/0!</v>
      </c>
      <c r="CF277" s="3" t="e">
        <f>CF193-CE193</f>
        <v>#DIV/0!</v>
      </c>
      <c r="CG277" s="3" t="e">
        <f>CG193-CF193</f>
        <v>#DIV/0!</v>
      </c>
      <c r="CH277" s="3" t="e">
        <f>CH193-CG193</f>
        <v>#DIV/0!</v>
      </c>
      <c r="CI277" s="3" t="e">
        <f>CI193-CH193</f>
        <v>#DIV/0!</v>
      </c>
      <c r="CJ277" s="3" t="e">
        <f>SUM(CF277:CI277)</f>
        <v>#DIV/0!</v>
      </c>
      <c r="CK277" s="3" t="e">
        <f>CK193-CJ193</f>
        <v>#DIV/0!</v>
      </c>
      <c r="CL277" s="3" t="e">
        <f>CL193-CK193</f>
        <v>#DIV/0!</v>
      </c>
      <c r="CM277" s="3" t="e">
        <f>CM193-CL193</f>
        <v>#DIV/0!</v>
      </c>
      <c r="CN277" s="3" t="e">
        <f>CN193-CM193</f>
        <v>#DIV/0!</v>
      </c>
      <c r="CO277" s="3" t="e">
        <f>SUM(CK277:CN277)</f>
        <v>#DIV/0!</v>
      </c>
      <c r="CP277" s="3" t="e">
        <f>CP193-CO193</f>
        <v>#DIV/0!</v>
      </c>
      <c r="CQ277" s="3" t="e">
        <f>CQ193-CP193</f>
        <v>#DIV/0!</v>
      </c>
      <c r="CR277" s="3" t="e">
        <f>CR193-CQ193</f>
        <v>#DIV/0!</v>
      </c>
      <c r="CS277" s="3" t="e">
        <f>CS193-CR193</f>
        <v>#DIV/0!</v>
      </c>
      <c r="CT277" s="3" t="e">
        <f>SUM(CP277:CS277)</f>
        <v>#DIV/0!</v>
      </c>
      <c r="CU277" s="3" t="e">
        <f>CU193-CT193</f>
        <v>#DIV/0!</v>
      </c>
      <c r="CV277" s="3" t="e">
        <f>CV193-CU193</f>
        <v>#DIV/0!</v>
      </c>
      <c r="CW277" s="3" t="e">
        <f>CW193-CV193</f>
        <v>#DIV/0!</v>
      </c>
      <c r="CX277" s="3" t="e">
        <f>CX193-CW193</f>
        <v>#DIV/0!</v>
      </c>
      <c r="CY277" s="3" t="e">
        <f>SUM(CU277:CX277)</f>
        <v>#DIV/0!</v>
      </c>
    </row>
    <row r="278" hidden="1" outlineLevel="1">
      <c r="C278" s="29" t="inlineStr">
        <is>
          <t>Taxes payable</t>
        </is>
      </c>
      <c r="D278" s="3" t="n"/>
      <c r="E278" s="3">
        <f>E195-D195</f>
        <v>0</v>
      </c>
      <c r="F278" s="3">
        <f>F195-E195</f>
        <v>0</v>
      </c>
      <c r="G278" s="3">
        <f>G195-F195</f>
        <v>0</v>
      </c>
      <c r="H278" s="3">
        <f>SUM(D278:G278)</f>
        <v>0</v>
      </c>
      <c r="I278" s="3">
        <f>I195-H195</f>
        <v>0</v>
      </c>
      <c r="J278" s="3">
        <f>J195-I195</f>
        <v>0</v>
      </c>
      <c r="K278" s="3">
        <f>K195-J195</f>
        <v>0</v>
      </c>
      <c r="L278" s="3">
        <f>L195-K195</f>
        <v>0</v>
      </c>
      <c r="M278" s="3">
        <f>SUM(I278:L278)</f>
        <v>0</v>
      </c>
      <c r="N278" s="3">
        <f>N195-M195</f>
        <v>0</v>
      </c>
      <c r="O278" s="3">
        <f>O195-N195</f>
        <v>0</v>
      </c>
      <c r="P278" s="3">
        <f>P195-O195</f>
        <v>0</v>
      </c>
      <c r="Q278" s="3">
        <f>Q195-P195</f>
        <v>0</v>
      </c>
      <c r="R278" s="3">
        <f>SUM(N278:Q278)</f>
        <v>0</v>
      </c>
      <c r="S278" s="3">
        <f>S195-R195</f>
        <v>0</v>
      </c>
      <c r="T278" s="3">
        <f>T195-S195</f>
        <v>0</v>
      </c>
      <c r="U278" s="3">
        <f>U195-T195</f>
        <v>0</v>
      </c>
      <c r="V278" s="3">
        <f>V195-U195</f>
        <v>0</v>
      </c>
      <c r="W278" s="3">
        <f>SUM(S278:V278)</f>
        <v>0</v>
      </c>
      <c r="X278" s="3">
        <f>X195-W195</f>
        <v>0</v>
      </c>
      <c r="Y278" s="3">
        <f>Y195-X195</f>
        <v>0</v>
      </c>
      <c r="Z278" s="3">
        <f>Z195-Y195</f>
        <v>0</v>
      </c>
      <c r="AA278" s="3">
        <f>AA195-Z195</f>
        <v>0</v>
      </c>
      <c r="AB278" s="3">
        <f>SUM(X278:AA278)</f>
        <v>0</v>
      </c>
      <c r="AC278" s="3">
        <f>AC195-AB195</f>
        <v>0</v>
      </c>
      <c r="AD278" s="3">
        <f>AD195-AC195</f>
        <v>0</v>
      </c>
      <c r="AE278" s="3">
        <f>AE195-AD195</f>
        <v>0</v>
      </c>
      <c r="AF278" s="3">
        <f>AF195-AE195</f>
        <v>0</v>
      </c>
      <c r="AG278" s="3">
        <f>SUM(AC278:AF278)</f>
        <v>0</v>
      </c>
      <c r="AH278" s="3">
        <f>AH195-AG195</f>
        <v>0</v>
      </c>
      <c r="AI278" s="3">
        <f>AI195-AH195</f>
        <v>0</v>
      </c>
      <c r="AJ278" s="3">
        <f>AJ195-AI195</f>
        <v>0</v>
      </c>
      <c r="AK278" s="3">
        <f>AK195-AJ195</f>
        <v>0</v>
      </c>
      <c r="AL278" s="3">
        <f>SUM(AH278:AK278)</f>
        <v>0</v>
      </c>
      <c r="AM278" s="3" t="e">
        <f>AM195-AL195</f>
        <v>#DIV/0!</v>
      </c>
      <c r="AN278" s="3" t="e">
        <f>AN195-AM195</f>
        <v>#DIV/0!</v>
      </c>
      <c r="AO278" s="3" t="e">
        <f>AO195-AN195</f>
        <v>#DIV/0!</v>
      </c>
      <c r="AP278" s="3" t="e">
        <f>AP195-AO195</f>
        <v>#DIV/0!</v>
      </c>
      <c r="AQ278" s="3" t="e">
        <f>SUM(AM278:AP278)</f>
        <v>#DIV/0!</v>
      </c>
      <c r="AR278" s="3" t="e">
        <f>AR195-AQ195</f>
        <v>#DIV/0!</v>
      </c>
      <c r="AS278" s="3" t="e">
        <f>AS195-AR195</f>
        <v>#DIV/0!</v>
      </c>
      <c r="AT278" s="3" t="e">
        <f>AT195-AS195</f>
        <v>#DIV/0!</v>
      </c>
      <c r="AU278" s="3" t="e">
        <f>AU195-AT195</f>
        <v>#DIV/0!</v>
      </c>
      <c r="AV278" s="3" t="e">
        <f>SUM(AR278:AU278)</f>
        <v>#DIV/0!</v>
      </c>
      <c r="AW278" s="3" t="e">
        <f>AW195-AV195</f>
        <v>#DIV/0!</v>
      </c>
      <c r="AX278" s="3" t="e">
        <f>AX195-AW195</f>
        <v>#DIV/0!</v>
      </c>
      <c r="AY278" s="3" t="e">
        <f>AY195-AX195</f>
        <v>#DIV/0!</v>
      </c>
      <c r="AZ278" s="3" t="e">
        <f>AZ195-AY195</f>
        <v>#DIV/0!</v>
      </c>
      <c r="BA278" s="3" t="e">
        <f>SUM(AW278:AZ278)</f>
        <v>#DIV/0!</v>
      </c>
      <c r="BB278" s="3" t="e">
        <f>BB195-BA195</f>
        <v>#DIV/0!</v>
      </c>
      <c r="BC278" s="3" t="e">
        <f>BC195-BB195</f>
        <v>#DIV/0!</v>
      </c>
      <c r="BD278" s="3" t="e">
        <f>BD195-BC195</f>
        <v>#DIV/0!</v>
      </c>
      <c r="BE278" s="3" t="e">
        <f>BE195-BD195</f>
        <v>#DIV/0!</v>
      </c>
      <c r="BF278" s="3" t="e">
        <f>SUM(BB278:BE278)</f>
        <v>#DIV/0!</v>
      </c>
      <c r="BG278" s="3" t="e">
        <f>BG195-BF195</f>
        <v>#DIV/0!</v>
      </c>
      <c r="BH278" s="3" t="e">
        <f>BH195-BG195</f>
        <v>#DIV/0!</v>
      </c>
      <c r="BI278" s="3" t="e">
        <f>BI195-BH195</f>
        <v>#DIV/0!</v>
      </c>
      <c r="BJ278" s="3" t="e">
        <f>BJ195-BI195</f>
        <v>#DIV/0!</v>
      </c>
      <c r="BK278" s="3" t="e">
        <f>SUM(BG278:BJ278)</f>
        <v>#DIV/0!</v>
      </c>
      <c r="BL278" s="3" t="e">
        <f>BL195-BK195</f>
        <v>#DIV/0!</v>
      </c>
      <c r="BM278" s="3" t="e">
        <f>BM195-BL195</f>
        <v>#DIV/0!</v>
      </c>
      <c r="BN278" s="3" t="e">
        <f>BN195-BM195</f>
        <v>#DIV/0!</v>
      </c>
      <c r="BO278" s="3" t="e">
        <f>BO195-BN195</f>
        <v>#DIV/0!</v>
      </c>
      <c r="BP278" s="3" t="e">
        <f>SUM(BL278:BO278)</f>
        <v>#DIV/0!</v>
      </c>
      <c r="BQ278" s="3" t="e">
        <f>BQ195-BP195</f>
        <v>#DIV/0!</v>
      </c>
      <c r="BR278" s="3" t="e">
        <f>BR195-BQ195</f>
        <v>#DIV/0!</v>
      </c>
      <c r="BS278" s="3" t="e">
        <f>BS195-BR195</f>
        <v>#DIV/0!</v>
      </c>
      <c r="BT278" s="3" t="e">
        <f>BT195-BS195</f>
        <v>#DIV/0!</v>
      </c>
      <c r="BU278" s="3" t="e">
        <f>SUM(BQ278:BT278)</f>
        <v>#DIV/0!</v>
      </c>
      <c r="BV278" s="3" t="e">
        <f>BV195-BU195</f>
        <v>#DIV/0!</v>
      </c>
      <c r="BW278" s="3" t="e">
        <f>BW195-BV195</f>
        <v>#DIV/0!</v>
      </c>
      <c r="BX278" s="3" t="e">
        <f>BX195-BW195</f>
        <v>#DIV/0!</v>
      </c>
      <c r="BY278" s="3" t="e">
        <f>BY195-BX195</f>
        <v>#DIV/0!</v>
      </c>
      <c r="BZ278" s="3" t="e">
        <f>SUM(BV278:BY278)</f>
        <v>#DIV/0!</v>
      </c>
      <c r="CA278" s="3" t="e">
        <f>CA195-BZ195</f>
        <v>#DIV/0!</v>
      </c>
      <c r="CB278" s="3" t="e">
        <f>CB195-CA195</f>
        <v>#DIV/0!</v>
      </c>
      <c r="CC278" s="3" t="e">
        <f>CC195-CB195</f>
        <v>#DIV/0!</v>
      </c>
      <c r="CD278" s="3" t="e">
        <f>CD195-CC195</f>
        <v>#DIV/0!</v>
      </c>
      <c r="CE278" s="3" t="e">
        <f>SUM(CA278:CD278)</f>
        <v>#DIV/0!</v>
      </c>
      <c r="CF278" s="3" t="e">
        <f>CF195-CE195</f>
        <v>#DIV/0!</v>
      </c>
      <c r="CG278" s="3" t="e">
        <f>CG195-CF195</f>
        <v>#DIV/0!</v>
      </c>
      <c r="CH278" s="3" t="e">
        <f>CH195-CG195</f>
        <v>#DIV/0!</v>
      </c>
      <c r="CI278" s="3" t="e">
        <f>CI195-CH195</f>
        <v>#DIV/0!</v>
      </c>
      <c r="CJ278" s="3" t="e">
        <f>SUM(CF278:CI278)</f>
        <v>#DIV/0!</v>
      </c>
      <c r="CK278" s="3" t="e">
        <f>CK195-CJ195</f>
        <v>#DIV/0!</v>
      </c>
      <c r="CL278" s="3" t="e">
        <f>CL195-CK195</f>
        <v>#DIV/0!</v>
      </c>
      <c r="CM278" s="3" t="e">
        <f>CM195-CL195</f>
        <v>#DIV/0!</v>
      </c>
      <c r="CN278" s="3" t="e">
        <f>CN195-CM195</f>
        <v>#DIV/0!</v>
      </c>
      <c r="CO278" s="3" t="e">
        <f>SUM(CK278:CN278)</f>
        <v>#DIV/0!</v>
      </c>
      <c r="CP278" s="3" t="e">
        <f>CP195-CO195</f>
        <v>#DIV/0!</v>
      </c>
      <c r="CQ278" s="3" t="e">
        <f>CQ195-CP195</f>
        <v>#DIV/0!</v>
      </c>
      <c r="CR278" s="3" t="e">
        <f>CR195-CQ195</f>
        <v>#DIV/0!</v>
      </c>
      <c r="CS278" s="3" t="e">
        <f>CS195-CR195</f>
        <v>#DIV/0!</v>
      </c>
      <c r="CT278" s="3" t="e">
        <f>SUM(CP278:CS278)</f>
        <v>#DIV/0!</v>
      </c>
      <c r="CU278" s="3" t="e">
        <f>CU195-CT195</f>
        <v>#DIV/0!</v>
      </c>
      <c r="CV278" s="3" t="e">
        <f>CV195-CU195</f>
        <v>#DIV/0!</v>
      </c>
      <c r="CW278" s="3" t="e">
        <f>CW195-CV195</f>
        <v>#DIV/0!</v>
      </c>
      <c r="CX278" s="3" t="e">
        <f>CX195-CW195</f>
        <v>#DIV/0!</v>
      </c>
      <c r="CY278" s="3" t="e">
        <f>SUM(CU278:CX278)</f>
        <v>#DIV/0!</v>
      </c>
    </row>
    <row r="279" hidden="1" outlineLevel="1">
      <c r="C279" s="29" t="inlineStr">
        <is>
          <t>Other current liabilities (non-debt)</t>
        </is>
      </c>
      <c r="D279" s="3" t="n"/>
      <c r="E279" s="3">
        <f>E196-D196</f>
        <v>1233</v>
      </c>
      <c r="F279" s="3">
        <f>F196-E196</f>
        <v>-555</v>
      </c>
      <c r="G279" s="3">
        <f>G196-F196</f>
        <v>-502</v>
      </c>
      <c r="H279" s="3">
        <f>SUM(D279:G279)</f>
        <v>176</v>
      </c>
      <c r="I279" s="3">
        <f>I196-H196</f>
        <v>138</v>
      </c>
      <c r="J279" s="3">
        <f>J196-I196</f>
        <v>571</v>
      </c>
      <c r="K279" s="3">
        <f>K196-J196</f>
        <v>279</v>
      </c>
      <c r="L279" s="3">
        <f>L196-K196</f>
        <v>-275</v>
      </c>
      <c r="M279" s="3">
        <f>SUM(I279:L279)</f>
        <v>713</v>
      </c>
      <c r="N279" s="3">
        <f>N196-M196</f>
        <v>174</v>
      </c>
      <c r="O279" s="3">
        <f>O196-N196</f>
        <v>958</v>
      </c>
      <c r="P279" s="3">
        <f>P196-O196</f>
        <v>-661</v>
      </c>
      <c r="Q279" s="3">
        <f>Q196-P196</f>
        <v>121</v>
      </c>
      <c r="R279" s="3">
        <f>SUM(N279:Q279)</f>
        <v>592</v>
      </c>
      <c r="S279" s="3">
        <f>S196-R196</f>
        <v>267</v>
      </c>
      <c r="T279" s="3">
        <f>T196-S196</f>
        <v>97</v>
      </c>
      <c r="U279" s="3">
        <f>U196-T196</f>
        <v>-990</v>
      </c>
      <c r="V279" s="3">
        <f>V196-U196</f>
        <v>1255</v>
      </c>
      <c r="W279" s="3">
        <f>SUM(S279:V279)</f>
        <v>629</v>
      </c>
      <c r="X279" s="3">
        <f>X196-W196</f>
        <v>5</v>
      </c>
      <c r="Y279" s="3">
        <f>Y196-X196</f>
        <v>869</v>
      </c>
      <c r="Z279" s="3">
        <f>Z196-Y196</f>
        <v>-827</v>
      </c>
      <c r="AA279" s="3">
        <f>AA196-Z196</f>
        <v>2059</v>
      </c>
      <c r="AB279" s="3">
        <f>SUM(X279:AA279)</f>
        <v>2106</v>
      </c>
      <c r="AC279" s="3">
        <f>AC196-AB196</f>
        <v>-98</v>
      </c>
      <c r="AD279" s="3">
        <f>AD196-AC196</f>
        <v>1490</v>
      </c>
      <c r="AE279" s="3">
        <f>AE196-AD196</f>
        <v>-416</v>
      </c>
      <c r="AF279" s="3">
        <f>AF196-AE196</f>
        <v>947</v>
      </c>
      <c r="AG279" s="3">
        <f>SUM(AC279:AF279)</f>
        <v>1923</v>
      </c>
      <c r="AH279" s="3">
        <f>AH196-AG196</f>
        <v>-814</v>
      </c>
      <c r="AI279" s="3">
        <f>AI196-AH196</f>
        <v>1352</v>
      </c>
      <c r="AJ279" s="3">
        <f>AJ196-AI196</f>
        <v>0</v>
      </c>
      <c r="AK279" s="3">
        <f>AK196-AJ196</f>
        <v>0</v>
      </c>
      <c r="AL279" s="3">
        <f>SUM(AH279:AK279)</f>
        <v>538</v>
      </c>
      <c r="AM279" s="3">
        <f>AM196-AL196</f>
        <v>0</v>
      </c>
      <c r="AN279" s="3">
        <f>AN196-AM196</f>
        <v>0</v>
      </c>
      <c r="AO279" s="3">
        <f>AO196-AN196</f>
        <v>0</v>
      </c>
      <c r="AP279" s="3">
        <f>AP196-AO196</f>
        <v>0</v>
      </c>
      <c r="AQ279" s="3">
        <f>SUM(AM279:AP279)</f>
        <v>0</v>
      </c>
      <c r="AR279" s="3">
        <f>AR196-AQ196</f>
        <v>0</v>
      </c>
      <c r="AS279" s="3">
        <f>AS196-AR196</f>
        <v>0</v>
      </c>
      <c r="AT279" s="3">
        <f>AT196-AS196</f>
        <v>0</v>
      </c>
      <c r="AU279" s="3">
        <f>AU196-AT196</f>
        <v>0</v>
      </c>
      <c r="AV279" s="3">
        <f>SUM(AR279:AU279)</f>
        <v>0</v>
      </c>
      <c r="AW279" s="3">
        <f>AW196-AV196</f>
        <v>0</v>
      </c>
      <c r="AX279" s="3">
        <f>AX196-AW196</f>
        <v>0</v>
      </c>
      <c r="AY279" s="3">
        <f>AY196-AX196</f>
        <v>0</v>
      </c>
      <c r="AZ279" s="3">
        <f>AZ196-AY196</f>
        <v>0</v>
      </c>
      <c r="BA279" s="3">
        <f>SUM(AW279:AZ279)</f>
        <v>0</v>
      </c>
      <c r="BB279" s="3">
        <f>BB196-BA196</f>
        <v>0</v>
      </c>
      <c r="BC279" s="3">
        <f>BC196-BB196</f>
        <v>0</v>
      </c>
      <c r="BD279" s="3">
        <f>BD196-BC196</f>
        <v>0</v>
      </c>
      <c r="BE279" s="3">
        <f>BE196-BD196</f>
        <v>0</v>
      </c>
      <c r="BF279" s="3">
        <f>SUM(BB279:BE279)</f>
        <v>0</v>
      </c>
      <c r="BG279" s="3">
        <f>BG196-BF196</f>
        <v>0</v>
      </c>
      <c r="BH279" s="3">
        <f>BH196-BG196</f>
        <v>0</v>
      </c>
      <c r="BI279" s="3">
        <f>BI196-BH196</f>
        <v>0</v>
      </c>
      <c r="BJ279" s="3">
        <f>BJ196-BI196</f>
        <v>0</v>
      </c>
      <c r="BK279" s="3">
        <f>SUM(BG279:BJ279)</f>
        <v>0</v>
      </c>
      <c r="BL279" s="3">
        <f>BL196-BK196</f>
        <v>0</v>
      </c>
      <c r="BM279" s="3">
        <f>BM196-BL196</f>
        <v>0</v>
      </c>
      <c r="BN279" s="3">
        <f>BN196-BM196</f>
        <v>0</v>
      </c>
      <c r="BO279" s="3">
        <f>BO196-BN196</f>
        <v>0</v>
      </c>
      <c r="BP279" s="3">
        <f>SUM(BL279:BO279)</f>
        <v>0</v>
      </c>
      <c r="BQ279" s="3">
        <f>BQ196-BP196</f>
        <v>0</v>
      </c>
      <c r="BR279" s="3">
        <f>BR196-BQ196</f>
        <v>0</v>
      </c>
      <c r="BS279" s="3">
        <f>BS196-BR196</f>
        <v>0</v>
      </c>
      <c r="BT279" s="3">
        <f>BT196-BS196</f>
        <v>0</v>
      </c>
      <c r="BU279" s="3">
        <f>SUM(BQ279:BT279)</f>
        <v>0</v>
      </c>
      <c r="BV279" s="3">
        <f>BV196-BU196</f>
        <v>0</v>
      </c>
      <c r="BW279" s="3">
        <f>BW196-BV196</f>
        <v>0</v>
      </c>
      <c r="BX279" s="3">
        <f>BX196-BW196</f>
        <v>0</v>
      </c>
      <c r="BY279" s="3">
        <f>BY196-BX196</f>
        <v>0</v>
      </c>
      <c r="BZ279" s="3">
        <f>SUM(BV279:BY279)</f>
        <v>0</v>
      </c>
      <c r="CA279" s="3">
        <f>CA196-BZ196</f>
        <v>0</v>
      </c>
      <c r="CB279" s="3">
        <f>CB196-CA196</f>
        <v>0</v>
      </c>
      <c r="CC279" s="3">
        <f>CC196-CB196</f>
        <v>0</v>
      </c>
      <c r="CD279" s="3">
        <f>CD196-CC196</f>
        <v>0</v>
      </c>
      <c r="CE279" s="3">
        <f>SUM(CA279:CD279)</f>
        <v>0</v>
      </c>
      <c r="CF279" s="3">
        <f>CF196-CE196</f>
        <v>0</v>
      </c>
      <c r="CG279" s="3">
        <f>CG196-CF196</f>
        <v>0</v>
      </c>
      <c r="CH279" s="3">
        <f>CH196-CG196</f>
        <v>0</v>
      </c>
      <c r="CI279" s="3">
        <f>CI196-CH196</f>
        <v>0</v>
      </c>
      <c r="CJ279" s="3">
        <f>SUM(CF279:CI279)</f>
        <v>0</v>
      </c>
      <c r="CK279" s="3">
        <f>CK196-CJ196</f>
        <v>0</v>
      </c>
      <c r="CL279" s="3">
        <f>CL196-CK196</f>
        <v>0</v>
      </c>
      <c r="CM279" s="3">
        <f>CM196-CL196</f>
        <v>0</v>
      </c>
      <c r="CN279" s="3">
        <f>CN196-CM196</f>
        <v>0</v>
      </c>
      <c r="CO279" s="3">
        <f>SUM(CK279:CN279)</f>
        <v>0</v>
      </c>
      <c r="CP279" s="3">
        <f>CP196-CO196</f>
        <v>0</v>
      </c>
      <c r="CQ279" s="3">
        <f>CQ196-CP196</f>
        <v>0</v>
      </c>
      <c r="CR279" s="3">
        <f>CR196-CQ196</f>
        <v>0</v>
      </c>
      <c r="CS279" s="3">
        <f>CS196-CR196</f>
        <v>0</v>
      </c>
      <c r="CT279" s="3">
        <f>SUM(CP279:CS279)</f>
        <v>0</v>
      </c>
      <c r="CU279" s="3">
        <f>CU196-CT196</f>
        <v>0</v>
      </c>
      <c r="CV279" s="3">
        <f>CV196-CU196</f>
        <v>0</v>
      </c>
      <c r="CW279" s="3">
        <f>CW196-CV196</f>
        <v>0</v>
      </c>
      <c r="CX279" s="3">
        <f>CX196-CW196</f>
        <v>0</v>
      </c>
      <c r="CY279" s="3">
        <f>SUM(CU279:CX279)</f>
        <v>0</v>
      </c>
    </row>
    <row r="280" hidden="1" outlineLevel="1">
      <c r="C280" s="29" t="inlineStr">
        <is>
          <t>Deferred income taxes</t>
        </is>
      </c>
      <c r="D280" s="3" t="n"/>
      <c r="E280" s="3">
        <f>E230-D230</f>
        <v>0</v>
      </c>
      <c r="F280" s="3">
        <f>F230-E230</f>
        <v>0</v>
      </c>
      <c r="G280" s="3">
        <f>G230-F230</f>
        <v>0</v>
      </c>
      <c r="H280" s="3">
        <f>SUM(D280:G280)</f>
        <v>0</v>
      </c>
      <c r="I280" s="3">
        <f>I230-H230</f>
        <v>0</v>
      </c>
      <c r="J280" s="3">
        <f>J230-I230</f>
        <v>0</v>
      </c>
      <c r="K280" s="3">
        <f>K230-J230</f>
        <v>0</v>
      </c>
      <c r="L280" s="3">
        <f>L230-K230</f>
        <v>0</v>
      </c>
      <c r="M280" s="3">
        <f>SUM(I280:L280)</f>
        <v>0</v>
      </c>
      <c r="N280" s="3">
        <f>N230-M230</f>
        <v>0</v>
      </c>
      <c r="O280" s="3">
        <f>O230-N230</f>
        <v>0</v>
      </c>
      <c r="P280" s="3">
        <f>P230-O230</f>
        <v>0</v>
      </c>
      <c r="Q280" s="3">
        <f>Q230-P230</f>
        <v>0</v>
      </c>
      <c r="R280" s="3">
        <f>SUM(N280:Q280)</f>
        <v>0</v>
      </c>
      <c r="S280" s="3">
        <f>S230-R230</f>
        <v>0</v>
      </c>
      <c r="T280" s="3">
        <f>T230-S230</f>
        <v>0</v>
      </c>
      <c r="U280" s="3">
        <f>U230-T230</f>
        <v>0</v>
      </c>
      <c r="V280" s="3">
        <f>V230-U230</f>
        <v>0</v>
      </c>
      <c r="W280" s="3">
        <f>SUM(S280:V280)</f>
        <v>0</v>
      </c>
      <c r="X280" s="3">
        <f>X230-W230</f>
        <v>0</v>
      </c>
      <c r="Y280" s="3">
        <f>Y230-X230</f>
        <v>0</v>
      </c>
      <c r="Z280" s="3">
        <f>Z230-Y230</f>
        <v>0</v>
      </c>
      <c r="AA280" s="3">
        <f>AA230-Z230</f>
        <v>0</v>
      </c>
      <c r="AB280" s="3">
        <f>SUM(X280:AA280)</f>
        <v>0</v>
      </c>
      <c r="AC280" s="3">
        <f>AC230-AB230</f>
        <v>0</v>
      </c>
      <c r="AD280" s="3">
        <f>AD230-AC230</f>
        <v>0</v>
      </c>
      <c r="AE280" s="3">
        <f>AE230-AD230</f>
        <v>0</v>
      </c>
      <c r="AF280" s="3">
        <f>AF230-AE230</f>
        <v>0</v>
      </c>
      <c r="AG280" s="3">
        <f>SUM(AC280:AF280)</f>
        <v>0</v>
      </c>
      <c r="AH280" s="3">
        <f>AH230-AG230</f>
        <v>0</v>
      </c>
      <c r="AI280" s="3">
        <f>AI230-AH230</f>
        <v>0</v>
      </c>
      <c r="AJ280" s="3">
        <f>AJ230-AI230</f>
        <v>0</v>
      </c>
      <c r="AK280" s="3">
        <f>AK230-AJ230</f>
        <v>0</v>
      </c>
      <c r="AL280" s="3">
        <f>SUM(AH280:AK280)</f>
        <v>0</v>
      </c>
      <c r="AM280" s="3">
        <f>AM230-AL230</f>
        <v>0</v>
      </c>
      <c r="AN280" s="3">
        <f>AN230-AM230</f>
        <v>0</v>
      </c>
      <c r="AO280" s="3">
        <f>AO230-AN230</f>
        <v>0</v>
      </c>
      <c r="AP280" s="3">
        <f>AP230-AO230</f>
        <v>0</v>
      </c>
      <c r="AQ280" s="3">
        <f>SUM(AM280:AP280)</f>
        <v>0</v>
      </c>
      <c r="AR280" s="3">
        <f>AR230-AQ230</f>
        <v>0</v>
      </c>
      <c r="AS280" s="3">
        <f>AS230-AR230</f>
        <v>0</v>
      </c>
      <c r="AT280" s="3">
        <f>AT230-AS230</f>
        <v>0</v>
      </c>
      <c r="AU280" s="3">
        <f>AU230-AT230</f>
        <v>0</v>
      </c>
      <c r="AV280" s="3">
        <f>SUM(AR280:AU280)</f>
        <v>0</v>
      </c>
      <c r="AW280" s="3">
        <f>AW230-AV230</f>
        <v>0</v>
      </c>
      <c r="AX280" s="3">
        <f>AX230-AW230</f>
        <v>0</v>
      </c>
      <c r="AY280" s="3">
        <f>AY230-AX230</f>
        <v>0</v>
      </c>
      <c r="AZ280" s="3">
        <f>AZ230-AY230</f>
        <v>0</v>
      </c>
      <c r="BA280" s="3">
        <f>SUM(AW280:AZ280)</f>
        <v>0</v>
      </c>
      <c r="BB280" s="3">
        <f>BB230-BA230</f>
        <v>0</v>
      </c>
      <c r="BC280" s="3">
        <f>BC230-BB230</f>
        <v>0</v>
      </c>
      <c r="BD280" s="3">
        <f>BD230-BC230</f>
        <v>0</v>
      </c>
      <c r="BE280" s="3">
        <f>BE230-BD230</f>
        <v>0</v>
      </c>
      <c r="BF280" s="3">
        <f>SUM(BB280:BE280)</f>
        <v>0</v>
      </c>
      <c r="BG280" s="3">
        <f>BG230-BF230</f>
        <v>0</v>
      </c>
      <c r="BH280" s="3">
        <f>BH230-BG230</f>
        <v>0</v>
      </c>
      <c r="BI280" s="3">
        <f>BI230-BH230</f>
        <v>0</v>
      </c>
      <c r="BJ280" s="3">
        <f>BJ230-BI230</f>
        <v>0</v>
      </c>
      <c r="BK280" s="3">
        <f>SUM(BG280:BJ280)</f>
        <v>0</v>
      </c>
      <c r="BL280" s="3">
        <f>BL230-BK230</f>
        <v>0</v>
      </c>
      <c r="BM280" s="3">
        <f>BM230-BL230</f>
        <v>0</v>
      </c>
      <c r="BN280" s="3">
        <f>BN230-BM230</f>
        <v>0</v>
      </c>
      <c r="BO280" s="3">
        <f>BO230-BN230</f>
        <v>0</v>
      </c>
      <c r="BP280" s="3">
        <f>SUM(BL280:BO280)</f>
        <v>0</v>
      </c>
      <c r="BQ280" s="3">
        <f>BQ230-BP230</f>
        <v>0</v>
      </c>
      <c r="BR280" s="3">
        <f>BR230-BQ230</f>
        <v>0</v>
      </c>
      <c r="BS280" s="3">
        <f>BS230-BR230</f>
        <v>0</v>
      </c>
      <c r="BT280" s="3">
        <f>BT230-BS230</f>
        <v>0</v>
      </c>
      <c r="BU280" s="3">
        <f>SUM(BQ280:BT280)</f>
        <v>0</v>
      </c>
      <c r="BV280" s="3">
        <f>BV230-BU230</f>
        <v>0</v>
      </c>
      <c r="BW280" s="3">
        <f>BW230-BV230</f>
        <v>0</v>
      </c>
      <c r="BX280" s="3">
        <f>BX230-BW230</f>
        <v>0</v>
      </c>
      <c r="BY280" s="3">
        <f>BY230-BX230</f>
        <v>0</v>
      </c>
      <c r="BZ280" s="3">
        <f>SUM(BV280:BY280)</f>
        <v>0</v>
      </c>
      <c r="CA280" s="3">
        <f>CA230-BZ230</f>
        <v>0</v>
      </c>
      <c r="CB280" s="3">
        <f>CB230-CA230</f>
        <v>0</v>
      </c>
      <c r="CC280" s="3">
        <f>CC230-CB230</f>
        <v>0</v>
      </c>
      <c r="CD280" s="3">
        <f>CD230-CC230</f>
        <v>0</v>
      </c>
      <c r="CE280" s="3">
        <f>SUM(CA280:CD280)</f>
        <v>0</v>
      </c>
      <c r="CF280" s="3">
        <f>CF230-CE230</f>
        <v>0</v>
      </c>
      <c r="CG280" s="3">
        <f>CG230-CF230</f>
        <v>0</v>
      </c>
      <c r="CH280" s="3">
        <f>CH230-CG230</f>
        <v>0</v>
      </c>
      <c r="CI280" s="3">
        <f>CI230-CH230</f>
        <v>0</v>
      </c>
      <c r="CJ280" s="3">
        <f>SUM(CF280:CI280)</f>
        <v>0</v>
      </c>
      <c r="CK280" s="3">
        <f>CK230-CJ230</f>
        <v>0</v>
      </c>
      <c r="CL280" s="3">
        <f>CL230-CK230</f>
        <v>0</v>
      </c>
      <c r="CM280" s="3">
        <f>CM230-CL230</f>
        <v>0</v>
      </c>
      <c r="CN280" s="3">
        <f>CN230-CM230</f>
        <v>0</v>
      </c>
      <c r="CO280" s="3">
        <f>SUM(CK280:CN280)</f>
        <v>0</v>
      </c>
      <c r="CP280" s="3">
        <f>CP230-CO230</f>
        <v>0</v>
      </c>
      <c r="CQ280" s="3">
        <f>CQ230-CP230</f>
        <v>0</v>
      </c>
      <c r="CR280" s="3">
        <f>CR230-CQ230</f>
        <v>0</v>
      </c>
      <c r="CS280" s="3">
        <f>CS230-CR230</f>
        <v>0</v>
      </c>
      <c r="CT280" s="3">
        <f>SUM(CP280:CS280)</f>
        <v>0</v>
      </c>
      <c r="CU280" s="3">
        <f>CU230-CT230</f>
        <v>0</v>
      </c>
      <c r="CV280" s="3">
        <f>CV230-CU230</f>
        <v>0</v>
      </c>
      <c r="CW280" s="3">
        <f>CW230-CV230</f>
        <v>0</v>
      </c>
      <c r="CX280" s="3">
        <f>CX230-CW230</f>
        <v>0</v>
      </c>
      <c r="CY280" s="3">
        <f>SUM(CU280:CX280)</f>
        <v>0</v>
      </c>
    </row>
    <row r="281" collapsed="1">
      <c r="C281" s="29" t="inlineStr">
        <is>
          <t>Equity income in affiliates</t>
        </is>
      </c>
      <c r="D281" s="3" t="n"/>
      <c r="E281" s="3">
        <f>(E152-D152)*-1</f>
        <v>0</v>
      </c>
      <c r="F281" s="3">
        <f>(F152-E152)*-1</f>
        <v>0</v>
      </c>
      <c r="G281" s="3">
        <f>(G152-F152)*-1</f>
        <v>0</v>
      </c>
      <c r="H281" s="3">
        <f>SUM(D281:G281)</f>
        <v>0</v>
      </c>
      <c r="I281" s="3">
        <f>(I152-H152)*-1</f>
        <v>0</v>
      </c>
      <c r="J281" s="3">
        <f>(J152-I152)*-1</f>
        <v>0</v>
      </c>
      <c r="K281" s="3">
        <f>(K152-J152)*-1</f>
        <v>0</v>
      </c>
      <c r="L281" s="3">
        <f>(L152-K152)*-1</f>
        <v>0</v>
      </c>
      <c r="M281" s="3">
        <f>SUM(I281:L281)</f>
        <v>0</v>
      </c>
      <c r="N281" s="3">
        <f>(N152-M152)*-1</f>
        <v>0</v>
      </c>
      <c r="O281" s="3">
        <f>(O152-N152)*-1</f>
        <v>0</v>
      </c>
      <c r="P281" s="3">
        <f>(P152-O152)*-1</f>
        <v>0</v>
      </c>
      <c r="Q281" s="3">
        <f>(Q152-P152)*-1</f>
        <v>0</v>
      </c>
      <c r="R281" s="3">
        <f>SUM(N281:Q281)</f>
        <v>0</v>
      </c>
      <c r="S281" s="3">
        <f>(S152-R152)*-1</f>
        <v>0</v>
      </c>
      <c r="T281" s="3">
        <f>(T152-S152)*-1</f>
        <v>0</v>
      </c>
      <c r="U281" s="3">
        <f>(U152-T152)*-1</f>
        <v>0</v>
      </c>
      <c r="V281" s="3">
        <f>(V152-U152)*-1</f>
        <v>0</v>
      </c>
      <c r="W281" s="3">
        <f>SUM(S281:V281)</f>
        <v>0</v>
      </c>
      <c r="X281" s="3">
        <f>(X152-W152)*-1</f>
        <v>0</v>
      </c>
      <c r="Y281" s="3">
        <f>(Y152-X152)*-1</f>
        <v>0</v>
      </c>
      <c r="Z281" s="3">
        <f>(Z152-Y152)*-1</f>
        <v>0</v>
      </c>
      <c r="AA281" s="3">
        <f>(AA152-Z152)*-1</f>
        <v>0</v>
      </c>
      <c r="AB281" s="3">
        <f>SUM(X281:AA281)</f>
        <v>0</v>
      </c>
      <c r="AC281" s="3">
        <f>(AC152-AB152)*-1</f>
        <v>0</v>
      </c>
      <c r="AD281" s="3">
        <f>(AD152-AC152)*-1</f>
        <v>0</v>
      </c>
      <c r="AE281" s="3">
        <f>(AE152-AD152)*-1</f>
        <v>0</v>
      </c>
      <c r="AF281" s="3">
        <f>(AF152-AE152)*-1</f>
        <v>0</v>
      </c>
      <c r="AG281" s="3">
        <f>SUM(AC281:AF281)</f>
        <v>0</v>
      </c>
      <c r="AH281" s="3">
        <f>(AH152-AG152)*-1</f>
        <v>0</v>
      </c>
      <c r="AI281" s="3">
        <f>(AI152-AH152)*-1</f>
        <v>0</v>
      </c>
      <c r="AJ281" s="3">
        <f>(AJ152-AI152)*-1</f>
        <v>0</v>
      </c>
      <c r="AK281" s="3">
        <f>(AK152-AJ152)*-1</f>
        <v>0</v>
      </c>
      <c r="AL281" s="3">
        <f>SUM(AH281:AK281)</f>
        <v>0</v>
      </c>
      <c r="AM281" s="3">
        <f>(AM152-AL152)*-1</f>
        <v>0</v>
      </c>
      <c r="AN281" s="3">
        <f>(AN152-AM152)*-1</f>
        <v>0</v>
      </c>
      <c r="AO281" s="3">
        <f>(AO152-AN152)*-1</f>
        <v>0</v>
      </c>
      <c r="AP281" s="3">
        <f>(AP152-AO152)*-1</f>
        <v>0</v>
      </c>
      <c r="AQ281" s="3">
        <f>SUM(AM281:AP281)</f>
        <v>0</v>
      </c>
      <c r="AR281" s="3">
        <f>(AR152-AQ152)*-1</f>
        <v>0</v>
      </c>
      <c r="AS281" s="3">
        <f>(AS152-AR152)*-1</f>
        <v>0</v>
      </c>
      <c r="AT281" s="3">
        <f>(AT152-AS152)*-1</f>
        <v>0</v>
      </c>
      <c r="AU281" s="3">
        <f>(AU152-AT152)*-1</f>
        <v>0</v>
      </c>
      <c r="AV281" s="3">
        <f>SUM(AR281:AU281)</f>
        <v>0</v>
      </c>
      <c r="AW281" s="3">
        <f>(AW152-AV152)*-1</f>
        <v>0</v>
      </c>
      <c r="AX281" s="3">
        <f>(AX152-AW152)*-1</f>
        <v>0</v>
      </c>
      <c r="AY281" s="3">
        <f>(AY152-AX152)*-1</f>
        <v>0</v>
      </c>
      <c r="AZ281" s="3">
        <f>(AZ152-AY152)*-1</f>
        <v>0</v>
      </c>
      <c r="BA281" s="3">
        <f>SUM(AW281:AZ281)</f>
        <v>0</v>
      </c>
      <c r="BB281" s="3">
        <f>(BB152-BA152)*-1</f>
        <v>0</v>
      </c>
      <c r="BC281" s="3">
        <f>(BC152-BB152)*-1</f>
        <v>0</v>
      </c>
      <c r="BD281" s="3">
        <f>(BD152-BC152)*-1</f>
        <v>0</v>
      </c>
      <c r="BE281" s="3">
        <f>(BE152-BD152)*-1</f>
        <v>0</v>
      </c>
      <c r="BF281" s="3">
        <f>SUM(BB281:BE281)</f>
        <v>0</v>
      </c>
      <c r="BG281" s="3">
        <f>(BG152-BF152)*-1</f>
        <v>0</v>
      </c>
      <c r="BH281" s="3">
        <f>(BH152-BG152)*-1</f>
        <v>0</v>
      </c>
      <c r="BI281" s="3">
        <f>(BI152-BH152)*-1</f>
        <v>0</v>
      </c>
      <c r="BJ281" s="3">
        <f>(BJ152-BI152)*-1</f>
        <v>0</v>
      </c>
      <c r="BK281" s="3">
        <f>SUM(BG281:BJ281)</f>
        <v>0</v>
      </c>
      <c r="BL281" s="3">
        <f>(BL152-BK152)*-1</f>
        <v>0</v>
      </c>
      <c r="BM281" s="3">
        <f>(BM152-BL152)*-1</f>
        <v>0</v>
      </c>
      <c r="BN281" s="3">
        <f>(BN152-BM152)*-1</f>
        <v>0</v>
      </c>
      <c r="BO281" s="3">
        <f>(BO152-BN152)*-1</f>
        <v>0</v>
      </c>
      <c r="BP281" s="3">
        <f>SUM(BL281:BO281)</f>
        <v>0</v>
      </c>
      <c r="BQ281" s="3">
        <f>(BQ152-BP152)*-1</f>
        <v>0</v>
      </c>
      <c r="BR281" s="3">
        <f>(BR152-BQ152)*-1</f>
        <v>0</v>
      </c>
      <c r="BS281" s="3">
        <f>(BS152-BR152)*-1</f>
        <v>0</v>
      </c>
      <c r="BT281" s="3">
        <f>(BT152-BS152)*-1</f>
        <v>0</v>
      </c>
      <c r="BU281" s="3">
        <f>SUM(BQ281:BT281)</f>
        <v>0</v>
      </c>
      <c r="BV281" s="3">
        <f>(BV152-BU152)*-1</f>
        <v>0</v>
      </c>
      <c r="BW281" s="3">
        <f>(BW152-BV152)*-1</f>
        <v>0</v>
      </c>
      <c r="BX281" s="3">
        <f>(BX152-BW152)*-1</f>
        <v>0</v>
      </c>
      <c r="BY281" s="3">
        <f>(BY152-BX152)*-1</f>
        <v>0</v>
      </c>
      <c r="BZ281" s="3">
        <f>SUM(BV281:BY281)</f>
        <v>0</v>
      </c>
      <c r="CA281" s="3">
        <f>(CA152-BZ152)*-1</f>
        <v>0</v>
      </c>
      <c r="CB281" s="3">
        <f>(CB152-CA152)*-1</f>
        <v>0</v>
      </c>
      <c r="CC281" s="3">
        <f>(CC152-CB152)*-1</f>
        <v>0</v>
      </c>
      <c r="CD281" s="3">
        <f>(CD152-CC152)*-1</f>
        <v>0</v>
      </c>
      <c r="CE281" s="3">
        <f>SUM(CA281:CD281)</f>
        <v>0</v>
      </c>
      <c r="CF281" s="3">
        <f>(CF152-CE152)*-1</f>
        <v>0</v>
      </c>
      <c r="CG281" s="3">
        <f>(CG152-CF152)*-1</f>
        <v>0</v>
      </c>
      <c r="CH281" s="3">
        <f>(CH152-CG152)*-1</f>
        <v>0</v>
      </c>
      <c r="CI281" s="3">
        <f>(CI152-CH152)*-1</f>
        <v>0</v>
      </c>
      <c r="CJ281" s="3">
        <f>SUM(CF281:CI281)</f>
        <v>0</v>
      </c>
      <c r="CK281" s="3">
        <f>(CK152-CJ152)*-1</f>
        <v>0</v>
      </c>
      <c r="CL281" s="3">
        <f>(CL152-CK152)*-1</f>
        <v>0</v>
      </c>
      <c r="CM281" s="3">
        <f>(CM152-CL152)*-1</f>
        <v>0</v>
      </c>
      <c r="CN281" s="3">
        <f>(CN152-CM152)*-1</f>
        <v>0</v>
      </c>
      <c r="CO281" s="3">
        <f>SUM(CK281:CN281)</f>
        <v>0</v>
      </c>
      <c r="CP281" s="3">
        <f>(CP152-CO152)*-1</f>
        <v>0</v>
      </c>
      <c r="CQ281" s="3">
        <f>(CQ152-CP152)*-1</f>
        <v>0</v>
      </c>
      <c r="CR281" s="3">
        <f>(CR152-CQ152)*-1</f>
        <v>0</v>
      </c>
      <c r="CS281" s="3">
        <f>(CS152-CR152)*-1</f>
        <v>0</v>
      </c>
      <c r="CT281" s="3">
        <f>SUM(CP281:CS281)</f>
        <v>0</v>
      </c>
      <c r="CU281" s="3">
        <f>(CU152-CT152)*-1</f>
        <v>0</v>
      </c>
      <c r="CV281" s="3">
        <f>(CV152-CU152)*-1</f>
        <v>0</v>
      </c>
      <c r="CW281" s="3">
        <f>(CW152-CV152)*-1</f>
        <v>0</v>
      </c>
      <c r="CX281" s="3">
        <f>(CX152-CW152)*-1</f>
        <v>0</v>
      </c>
      <c r="CY281" s="3">
        <f>SUM(CU281:CX281)</f>
        <v>0</v>
      </c>
    </row>
    <row r="282">
      <c r="C282" s="29" t="inlineStr">
        <is>
          <t>Dividends received from affiliates</t>
        </is>
      </c>
      <c r="D282" s="3" t="n"/>
      <c r="E282" s="3">
        <f>-E155</f>
        <v>0</v>
      </c>
      <c r="F282" s="3">
        <f>-F155</f>
        <v>0</v>
      </c>
      <c r="G282" s="3">
        <f>-G155</f>
        <v>0</v>
      </c>
      <c r="H282" s="3">
        <f>SUM(D282:G282)</f>
        <v>0</v>
      </c>
      <c r="I282" s="3">
        <f>-I155</f>
        <v>0</v>
      </c>
      <c r="J282" s="3">
        <f>-J155</f>
        <v>0</v>
      </c>
      <c r="K282" s="3">
        <f>-K155</f>
        <v>0</v>
      </c>
      <c r="L282" s="3">
        <f>-L155</f>
        <v>0</v>
      </c>
      <c r="M282" s="3">
        <f>SUM(I282:L282)</f>
        <v>0</v>
      </c>
      <c r="N282" s="3">
        <f>-N155</f>
        <v>0</v>
      </c>
      <c r="O282" s="3">
        <f>-O155</f>
        <v>0</v>
      </c>
      <c r="P282" s="3">
        <f>-P155</f>
        <v>0</v>
      </c>
      <c r="Q282" s="3">
        <f>-Q155</f>
        <v>0</v>
      </c>
      <c r="R282" s="3">
        <f>SUM(N282:Q282)</f>
        <v>0</v>
      </c>
      <c r="S282" s="3">
        <f>-S155</f>
        <v>0</v>
      </c>
      <c r="T282" s="3">
        <f>-T155</f>
        <v>0</v>
      </c>
      <c r="U282" s="3">
        <f>-U155</f>
        <v>0</v>
      </c>
      <c r="V282" s="3">
        <f>-V155</f>
        <v>0</v>
      </c>
      <c r="W282" s="3">
        <f>SUM(S282:V282)</f>
        <v>0</v>
      </c>
      <c r="X282" s="3">
        <f>-X155</f>
        <v>0</v>
      </c>
      <c r="Y282" s="3">
        <f>-Y155</f>
        <v>0</v>
      </c>
      <c r="Z282" s="3">
        <f>-Z155</f>
        <v>0</v>
      </c>
      <c r="AA282" s="3">
        <f>-AA155</f>
        <v>0</v>
      </c>
      <c r="AB282" s="3">
        <f>SUM(X282:AA282)</f>
        <v>0</v>
      </c>
      <c r="AC282" s="3">
        <f>-AC155</f>
        <v>0</v>
      </c>
      <c r="AD282" s="3">
        <f>-AD155</f>
        <v>0</v>
      </c>
      <c r="AE282" s="3">
        <f>-AE155</f>
        <v>0</v>
      </c>
      <c r="AF282" s="3">
        <f>-AF155</f>
        <v>0</v>
      </c>
      <c r="AG282" s="3">
        <f>SUM(AC282:AF282)</f>
        <v>0</v>
      </c>
      <c r="AH282" s="3">
        <f>-AH155</f>
        <v>0</v>
      </c>
      <c r="AI282" s="3">
        <f>-AI155</f>
        <v>0</v>
      </c>
      <c r="AJ282" s="3">
        <f>-AJ155</f>
        <v>0</v>
      </c>
      <c r="AK282" s="3">
        <f>-AK155</f>
        <v>0</v>
      </c>
      <c r="AL282" s="3">
        <f>SUM(AH282:AK282)</f>
        <v>0</v>
      </c>
      <c r="AM282" s="3">
        <f>-AM155</f>
        <v>0</v>
      </c>
      <c r="AN282" s="3">
        <f>-AN155</f>
        <v>0</v>
      </c>
      <c r="AO282" s="3">
        <f>-AO155</f>
        <v>0</v>
      </c>
      <c r="AP282" s="3">
        <f>-AP155</f>
        <v>0</v>
      </c>
      <c r="AQ282" s="3">
        <f>SUM(AM282:AP282)</f>
        <v>0</v>
      </c>
      <c r="AR282" s="3">
        <f>-AR155</f>
        <v>0</v>
      </c>
      <c r="AS282" s="3">
        <f>-AS155</f>
        <v>0</v>
      </c>
      <c r="AT282" s="3">
        <f>-AT155</f>
        <v>0</v>
      </c>
      <c r="AU282" s="3">
        <f>-AU155</f>
        <v>0</v>
      </c>
      <c r="AV282" s="3">
        <f>SUM(AR282:AU282)</f>
        <v>0</v>
      </c>
      <c r="AW282" s="3">
        <f>-AW155</f>
        <v>0</v>
      </c>
      <c r="AX282" s="3">
        <f>-AX155</f>
        <v>0</v>
      </c>
      <c r="AY282" s="3">
        <f>-AY155</f>
        <v>0</v>
      </c>
      <c r="AZ282" s="3">
        <f>-AZ155</f>
        <v>0</v>
      </c>
      <c r="BA282" s="3">
        <f>SUM(AW282:AZ282)</f>
        <v>0</v>
      </c>
      <c r="BB282" s="3">
        <f>-BB155</f>
        <v>0</v>
      </c>
      <c r="BC282" s="3">
        <f>-BC155</f>
        <v>0</v>
      </c>
      <c r="BD282" s="3">
        <f>-BD155</f>
        <v>0</v>
      </c>
      <c r="BE282" s="3">
        <f>-BE155</f>
        <v>0</v>
      </c>
      <c r="BF282" s="3">
        <f>SUM(BB282:BE282)</f>
        <v>0</v>
      </c>
      <c r="BG282" s="3">
        <f>-BG155</f>
        <v>0</v>
      </c>
      <c r="BH282" s="3">
        <f>-BH155</f>
        <v>0</v>
      </c>
      <c r="BI282" s="3">
        <f>-BI155</f>
        <v>0</v>
      </c>
      <c r="BJ282" s="3">
        <f>-BJ155</f>
        <v>0</v>
      </c>
      <c r="BK282" s="3">
        <f>SUM(BG282:BJ282)</f>
        <v>0</v>
      </c>
      <c r="BL282" s="3">
        <f>-BL155</f>
        <v>0</v>
      </c>
      <c r="BM282" s="3">
        <f>-BM155</f>
        <v>0</v>
      </c>
      <c r="BN282" s="3">
        <f>-BN155</f>
        <v>0</v>
      </c>
      <c r="BO282" s="3">
        <f>-BO155</f>
        <v>0</v>
      </c>
      <c r="BP282" s="3">
        <f>SUM(BL282:BO282)</f>
        <v>0</v>
      </c>
      <c r="BQ282" s="3">
        <f>-BQ155</f>
        <v>0</v>
      </c>
      <c r="BR282" s="3">
        <f>-BR155</f>
        <v>0</v>
      </c>
      <c r="BS282" s="3">
        <f>-BS155</f>
        <v>0</v>
      </c>
      <c r="BT282" s="3">
        <f>-BT155</f>
        <v>0</v>
      </c>
      <c r="BU282" s="3">
        <f>SUM(BQ282:BT282)</f>
        <v>0</v>
      </c>
      <c r="BV282" s="3">
        <f>-BV155</f>
        <v>0</v>
      </c>
      <c r="BW282" s="3">
        <f>-BW155</f>
        <v>0</v>
      </c>
      <c r="BX282" s="3">
        <f>-BX155</f>
        <v>0</v>
      </c>
      <c r="BY282" s="3">
        <f>-BY155</f>
        <v>0</v>
      </c>
      <c r="BZ282" s="3">
        <f>SUM(BV282:BY282)</f>
        <v>0</v>
      </c>
      <c r="CA282" s="3">
        <f>-CA155</f>
        <v>0</v>
      </c>
      <c r="CB282" s="3">
        <f>-CB155</f>
        <v>0</v>
      </c>
      <c r="CC282" s="3">
        <f>-CC155</f>
        <v>0</v>
      </c>
      <c r="CD282" s="3">
        <f>-CD155</f>
        <v>0</v>
      </c>
      <c r="CE282" s="3">
        <f>SUM(CA282:CD282)</f>
        <v>0</v>
      </c>
      <c r="CF282" s="3">
        <f>-CF155</f>
        <v>0</v>
      </c>
      <c r="CG282" s="3">
        <f>-CG155</f>
        <v>0</v>
      </c>
      <c r="CH282" s="3">
        <f>-CH155</f>
        <v>0</v>
      </c>
      <c r="CI282" s="3">
        <f>-CI155</f>
        <v>0</v>
      </c>
      <c r="CJ282" s="3">
        <f>SUM(CF282:CI282)</f>
        <v>0</v>
      </c>
      <c r="CK282" s="3">
        <f>-CK155</f>
        <v>0</v>
      </c>
      <c r="CL282" s="3">
        <f>-CL155</f>
        <v>0</v>
      </c>
      <c r="CM282" s="3">
        <f>-CM155</f>
        <v>0</v>
      </c>
      <c r="CN282" s="3">
        <f>-CN155</f>
        <v>0</v>
      </c>
      <c r="CO282" s="3">
        <f>SUM(CK282:CN282)</f>
        <v>0</v>
      </c>
      <c r="CP282" s="3">
        <f>-CP155</f>
        <v>0</v>
      </c>
      <c r="CQ282" s="3">
        <f>-CQ155</f>
        <v>0</v>
      </c>
      <c r="CR282" s="3">
        <f>-CR155</f>
        <v>0</v>
      </c>
      <c r="CS282" s="3">
        <f>-CS155</f>
        <v>0</v>
      </c>
      <c r="CT282" s="3">
        <f>SUM(CP282:CS282)</f>
        <v>0</v>
      </c>
      <c r="CU282" s="3">
        <f>-CU155</f>
        <v>0</v>
      </c>
      <c r="CV282" s="3">
        <f>-CV155</f>
        <v>0</v>
      </c>
      <c r="CW282" s="3">
        <f>-CW155</f>
        <v>0</v>
      </c>
      <c r="CX282" s="3">
        <f>-CX155</f>
        <v>0</v>
      </c>
      <c r="CY282" s="3">
        <f>SUM(CU282:CX282)</f>
        <v>0</v>
      </c>
    </row>
    <row r="283">
      <c r="C283" s="30" t="inlineStr">
        <is>
          <t>Minority interest expense</t>
        </is>
      </c>
      <c r="D283" s="3" t="n"/>
      <c r="E283" s="3">
        <f>-E127</f>
        <v>0</v>
      </c>
      <c r="F283" s="3">
        <f>-F127</f>
        <v>0</v>
      </c>
      <c r="G283" s="3">
        <f>-G127</f>
        <v>0</v>
      </c>
      <c r="H283" s="3">
        <f>SUM(D283:G283)</f>
        <v>0</v>
      </c>
      <c r="I283" s="3">
        <f>-I127</f>
        <v>0</v>
      </c>
      <c r="J283" s="3">
        <f>-J127</f>
        <v>0</v>
      </c>
      <c r="K283" s="3">
        <f>-K127</f>
        <v>0</v>
      </c>
      <c r="L283" s="3">
        <f>-L127</f>
        <v>0</v>
      </c>
      <c r="M283" s="3">
        <f>SUM(I283:L283)</f>
        <v>0</v>
      </c>
      <c r="N283" s="3">
        <f>-N127</f>
        <v>0</v>
      </c>
      <c r="O283" s="3">
        <f>-O127</f>
        <v>0</v>
      </c>
      <c r="P283" s="3">
        <f>-P127</f>
        <v>0</v>
      </c>
      <c r="Q283" s="3">
        <f>-Q127</f>
        <v>0</v>
      </c>
      <c r="R283" s="3">
        <f>SUM(N283:Q283)</f>
        <v>0</v>
      </c>
      <c r="S283" s="3">
        <f>-S127</f>
        <v>0</v>
      </c>
      <c r="T283" s="3">
        <f>-T127</f>
        <v>0</v>
      </c>
      <c r="U283" s="3">
        <f>-U127</f>
        <v>0</v>
      </c>
      <c r="V283" s="3">
        <f>-V127</f>
        <v>0</v>
      </c>
      <c r="W283" s="3">
        <f>SUM(S283:V283)</f>
        <v>0</v>
      </c>
      <c r="X283" s="3">
        <f>-X127</f>
        <v>0</v>
      </c>
      <c r="Y283" s="3">
        <f>-Y127</f>
        <v>0</v>
      </c>
      <c r="Z283" s="3">
        <f>-Z127</f>
        <v>0</v>
      </c>
      <c r="AA283" s="3">
        <f>-AA127</f>
        <v>0</v>
      </c>
      <c r="AB283" s="3">
        <f>SUM(X283:AA283)</f>
        <v>0</v>
      </c>
      <c r="AC283" s="3">
        <f>-AC127</f>
        <v>0</v>
      </c>
      <c r="AD283" s="3">
        <f>-AD127</f>
        <v>0</v>
      </c>
      <c r="AE283" s="3">
        <f>-AE127</f>
        <v>0</v>
      </c>
      <c r="AF283" s="3">
        <f>-AF127</f>
        <v>0</v>
      </c>
      <c r="AG283" s="3">
        <f>SUM(AC283:AF283)</f>
        <v>0</v>
      </c>
      <c r="AH283" s="3">
        <f>-AH127</f>
        <v>0</v>
      </c>
      <c r="AI283" s="3">
        <f>-AI127</f>
        <v>0</v>
      </c>
      <c r="AJ283" s="3">
        <f>-AJ127</f>
        <v>0</v>
      </c>
      <c r="AK283" s="3">
        <f>-AK127</f>
        <v>0</v>
      </c>
      <c r="AL283" s="3">
        <f>SUM(AH283:AK283)</f>
        <v>0</v>
      </c>
      <c r="AM283" s="3">
        <f>-AM127</f>
        <v>0</v>
      </c>
      <c r="AN283" s="3">
        <f>-AN127</f>
        <v>0</v>
      </c>
      <c r="AO283" s="3">
        <f>-AO127</f>
        <v>0</v>
      </c>
      <c r="AP283" s="3">
        <f>-AP127</f>
        <v>0</v>
      </c>
      <c r="AQ283" s="3">
        <f>SUM(AM283:AP283)</f>
        <v>0</v>
      </c>
      <c r="AR283" s="3">
        <f>-AR127</f>
        <v>0</v>
      </c>
      <c r="AS283" s="3">
        <f>-AS127</f>
        <v>0</v>
      </c>
      <c r="AT283" s="3">
        <f>-AT127</f>
        <v>0</v>
      </c>
      <c r="AU283" s="3">
        <f>-AU127</f>
        <v>0</v>
      </c>
      <c r="AV283" s="3">
        <f>SUM(AR283:AU283)</f>
        <v>0</v>
      </c>
      <c r="AW283" s="3">
        <f>-AW127</f>
        <v>0</v>
      </c>
      <c r="AX283" s="3">
        <f>-AX127</f>
        <v>0</v>
      </c>
      <c r="AY283" s="3">
        <f>-AY127</f>
        <v>0</v>
      </c>
      <c r="AZ283" s="3">
        <f>-AZ127</f>
        <v>0</v>
      </c>
      <c r="BA283" s="3">
        <f>SUM(AW283:AZ283)</f>
        <v>0</v>
      </c>
      <c r="BB283" s="3">
        <f>-BB127</f>
        <v>0</v>
      </c>
      <c r="BC283" s="3">
        <f>-BC127</f>
        <v>0</v>
      </c>
      <c r="BD283" s="3">
        <f>-BD127</f>
        <v>0</v>
      </c>
      <c r="BE283" s="3">
        <f>-BE127</f>
        <v>0</v>
      </c>
      <c r="BF283" s="3">
        <f>SUM(BB283:BE283)</f>
        <v>0</v>
      </c>
      <c r="BG283" s="3">
        <f>-BG127</f>
        <v>0</v>
      </c>
      <c r="BH283" s="3">
        <f>-BH127</f>
        <v>0</v>
      </c>
      <c r="BI283" s="3">
        <f>-BI127</f>
        <v>0</v>
      </c>
      <c r="BJ283" s="3">
        <f>-BJ127</f>
        <v>0</v>
      </c>
      <c r="BK283" s="3">
        <f>SUM(BG283:BJ283)</f>
        <v>0</v>
      </c>
      <c r="BL283" s="3">
        <f>-BL127</f>
        <v>0</v>
      </c>
      <c r="BM283" s="3">
        <f>-BM127</f>
        <v>0</v>
      </c>
      <c r="BN283" s="3">
        <f>-BN127</f>
        <v>0</v>
      </c>
      <c r="BO283" s="3">
        <f>-BO127</f>
        <v>0</v>
      </c>
      <c r="BP283" s="3">
        <f>SUM(BL283:BO283)</f>
        <v>0</v>
      </c>
      <c r="BQ283" s="3">
        <f>-BQ127</f>
        <v>0</v>
      </c>
      <c r="BR283" s="3">
        <f>-BR127</f>
        <v>0</v>
      </c>
      <c r="BS283" s="3">
        <f>-BS127</f>
        <v>0</v>
      </c>
      <c r="BT283" s="3">
        <f>-BT127</f>
        <v>0</v>
      </c>
      <c r="BU283" s="3">
        <f>SUM(BQ283:BT283)</f>
        <v>0</v>
      </c>
      <c r="BV283" s="3">
        <f>-BV127</f>
        <v>0</v>
      </c>
      <c r="BW283" s="3">
        <f>-BW127</f>
        <v>0</v>
      </c>
      <c r="BX283" s="3">
        <f>-BX127</f>
        <v>0</v>
      </c>
      <c r="BY283" s="3">
        <f>-BY127</f>
        <v>0</v>
      </c>
      <c r="BZ283" s="3">
        <f>SUM(BV283:BY283)</f>
        <v>0</v>
      </c>
      <c r="CA283" s="3">
        <f>-CA127</f>
        <v>0</v>
      </c>
      <c r="CB283" s="3">
        <f>-CB127</f>
        <v>0</v>
      </c>
      <c r="CC283" s="3">
        <f>-CC127</f>
        <v>0</v>
      </c>
      <c r="CD283" s="3">
        <f>-CD127</f>
        <v>0</v>
      </c>
      <c r="CE283" s="3">
        <f>SUM(CA283:CD283)</f>
        <v>0</v>
      </c>
      <c r="CF283" s="3">
        <f>-CF127</f>
        <v>0</v>
      </c>
      <c r="CG283" s="3">
        <f>-CG127</f>
        <v>0</v>
      </c>
      <c r="CH283" s="3">
        <f>-CH127</f>
        <v>0</v>
      </c>
      <c r="CI283" s="3">
        <f>-CI127</f>
        <v>0</v>
      </c>
      <c r="CJ283" s="3">
        <f>SUM(CF283:CI283)</f>
        <v>0</v>
      </c>
      <c r="CK283" s="3">
        <f>-CK127</f>
        <v>0</v>
      </c>
      <c r="CL283" s="3">
        <f>-CL127</f>
        <v>0</v>
      </c>
      <c r="CM283" s="3">
        <f>-CM127</f>
        <v>0</v>
      </c>
      <c r="CN283" s="3">
        <f>-CN127</f>
        <v>0</v>
      </c>
      <c r="CO283" s="3">
        <f>SUM(CK283:CN283)</f>
        <v>0</v>
      </c>
      <c r="CP283" s="3">
        <f>-CP127</f>
        <v>0</v>
      </c>
      <c r="CQ283" s="3">
        <f>-CQ127</f>
        <v>0</v>
      </c>
      <c r="CR283" s="3">
        <f>-CR127</f>
        <v>0</v>
      </c>
      <c r="CS283" s="3">
        <f>-CS127</f>
        <v>0</v>
      </c>
      <c r="CT283" s="3">
        <f>SUM(CP283:CS283)</f>
        <v>0</v>
      </c>
      <c r="CU283" s="3">
        <f>-CU127</f>
        <v>0</v>
      </c>
      <c r="CV283" s="3">
        <f>-CV127</f>
        <v>0</v>
      </c>
      <c r="CW283" s="3">
        <f>-CW127</f>
        <v>0</v>
      </c>
      <c r="CX283" s="3">
        <f>-CX127</f>
        <v>0</v>
      </c>
      <c r="CY283" s="3">
        <f>SUM(CU283:CX283)</f>
        <v>0</v>
      </c>
    </row>
    <row r="284">
      <c r="C284" s="26" t="inlineStr">
        <is>
          <t>Cash from operations</t>
        </is>
      </c>
      <c r="D284" s="3" t="n"/>
      <c r="E284" s="3">
        <f>SUM(E268,E269,E270,E281,E282,E283)</f>
        <v>2475</v>
      </c>
      <c r="F284" s="3">
        <f>SUM(F268,F269,F270,F281,F282,F283)</f>
        <v>1769</v>
      </c>
      <c r="G284" s="3">
        <f>SUM(G268,G269,G270,G281,G282,G283)</f>
        <v>1597</v>
      </c>
      <c r="H284" s="3">
        <f>SUM(H268,H269,H270,H281,H282,H283)</f>
        <v>5841</v>
      </c>
      <c r="I284" s="3">
        <f>SUM(I268,I269,I270,I281,I282,I283)</f>
        <v>1950</v>
      </c>
      <c r="J284" s="3">
        <f>SUM(J268,J269,J270,J281,J282,J283)</f>
        <v>2062</v>
      </c>
      <c r="K284" s="3">
        <f>SUM(K268,K269,K270,K281,K282,K283)</f>
        <v>1239</v>
      </c>
      <c r="L284" s="3">
        <f>SUM(L268,L269,L270,L281,L282,L283)</f>
        <v>4178</v>
      </c>
      <c r="M284" s="3">
        <f>SUM(M268,M269,M270,M281,M282,M283)</f>
        <v>9429</v>
      </c>
      <c r="N284" s="3">
        <f>SUM(N268,N269,N270,N281,N282,N283)</f>
        <v>924</v>
      </c>
      <c r="O284" s="3">
        <f>SUM(O268,O269,O270,O281,O282,O283)</f>
        <v>901</v>
      </c>
      <c r="P284" s="3">
        <f>SUM(P268,P269,P270,P281,P282,P283)</f>
        <v>2171</v>
      </c>
      <c r="Q284" s="3">
        <f>SUM(Q268,Q269,Q270,Q281,Q282,Q283)</f>
        <v>1349</v>
      </c>
      <c r="R284" s="3">
        <f>SUM(R268,R269,R270,R281,R282,R283)</f>
        <v>5345</v>
      </c>
      <c r="S284" s="3">
        <f>SUM(S268,S269,S270,S281,S282,S283)</f>
        <v>1303</v>
      </c>
      <c r="T284" s="3">
        <f>SUM(T268,T269,T270,T281,T282,T283)</f>
        <v>1516</v>
      </c>
      <c r="U284" s="3">
        <f>SUM(U268,U269,U270,U281,U282,U283)</f>
        <v>1926</v>
      </c>
      <c r="V284" s="3">
        <f>SUM(V268,V269,V270,V281,V282,V283)</f>
        <v>4643</v>
      </c>
      <c r="W284" s="3">
        <f>SUM(W268,W269,W270,W281,W282,W283)</f>
        <v>9388</v>
      </c>
      <c r="X284" s="3">
        <f>SUM(X268,X269,X270,X281,X282,X283)</f>
        <v>1498</v>
      </c>
      <c r="Y284" s="3">
        <f>SUM(Y268,Y269,Y270,Y281,Y282,Y283)</f>
        <v>2488</v>
      </c>
      <c r="Z284" s="3">
        <f>SUM(Z268,Z269,Z270,Z281,Z282,Z283)</f>
        <v>1689</v>
      </c>
      <c r="AA284" s="3">
        <f>SUM(AA268,AA269,AA270,AA281,AA282,AA283)</f>
        <v>2337</v>
      </c>
      <c r="AB284" s="3">
        <f>SUM(AB268,AB269,AB270,AB281,AB282,AB283)</f>
        <v>8012</v>
      </c>
      <c r="AC284" s="3">
        <f>SUM(AC268,AC269,AC270,AC281,AC282,AC283)</f>
        <v>1233</v>
      </c>
      <c r="AD284" s="3">
        <f>SUM(AD268,AD269,AD270,AD281,AD282,AD283)</f>
        <v>234</v>
      </c>
      <c r="AE284" s="3">
        <f>SUM(AE268,AE269,AE270,AE281,AE282,AE283)</f>
        <v>3002</v>
      </c>
      <c r="AF284" s="3">
        <f>SUM(AF268,AF269,AF270,AF281,AF282,AF283)</f>
        <v>4332</v>
      </c>
      <c r="AG284" s="3">
        <f>SUM(AG268,AG269,AG270,AG281,AG282,AG283)</f>
        <v>8801</v>
      </c>
      <c r="AH284" s="3">
        <f>SUM(AH268,AH269,AH270,AH281,AH282,AH283)</f>
        <v>-131</v>
      </c>
      <c r="AI284" s="3">
        <f>SUM(AI268,AI269,AI270,AI281,AI282,AI283)</f>
        <v>3087</v>
      </c>
      <c r="AJ284" s="3">
        <f>SUM(AJ268,AJ269,AJ270,AJ281,AJ282,AJ283)</f>
        <v>-171</v>
      </c>
      <c r="AK284" s="3">
        <f>SUM(AK268,AK269,AK270,AK281,AK282,AK283)</f>
        <v>-35</v>
      </c>
      <c r="AL284" s="3">
        <f>SUM(AL268,AL269,AL270,AL281,AL282,AL283)</f>
        <v>2750</v>
      </c>
      <c r="AM284" s="3" t="e">
        <f>SUM(AM268,AM269,AM270,AM281,AM282,AM283)</f>
        <v>#DIV/0!</v>
      </c>
      <c r="AN284" s="3" t="e">
        <f>SUM(AN268,AN269,AN270,AN281,AN282,AN283)</f>
        <v>#DIV/0!</v>
      </c>
      <c r="AO284" s="3" t="e">
        <f>SUM(AO268,AO269,AO270,AO281,AO282,AO283)</f>
        <v>#DIV/0!</v>
      </c>
      <c r="AP284" s="3" t="e">
        <f>SUM(AP268,AP269,AP270,AP281,AP282,AP283)</f>
        <v>#DIV/0!</v>
      </c>
      <c r="AQ284" s="3" t="e">
        <f>SUM(AQ268,AQ269,AQ270,AQ281,AQ282,AQ283)</f>
        <v>#DIV/0!</v>
      </c>
      <c r="AR284" s="3" t="e">
        <f>SUM(AR268,AR269,AR270,AR281,AR282,AR283)</f>
        <v>#DIV/0!</v>
      </c>
      <c r="AS284" s="3" t="e">
        <f>SUM(AS268,AS269,AS270,AS281,AS282,AS283)</f>
        <v>#DIV/0!</v>
      </c>
      <c r="AT284" s="3" t="e">
        <f>SUM(AT268,AT269,AT270,AT281,AT282,AT283)</f>
        <v>#DIV/0!</v>
      </c>
      <c r="AU284" s="3" t="e">
        <f>SUM(AU268,AU269,AU270,AU281,AU282,AU283)</f>
        <v>#DIV/0!</v>
      </c>
      <c r="AV284" s="3" t="e">
        <f>SUM(AV268,AV269,AV270,AV281,AV282,AV283)</f>
        <v>#DIV/0!</v>
      </c>
      <c r="AW284" s="3" t="e">
        <f>SUM(AW268,AW269,AW270,AW281,AW282,AW283)</f>
        <v>#DIV/0!</v>
      </c>
      <c r="AX284" s="3" t="e">
        <f>SUM(AX268,AX269,AX270,AX281,AX282,AX283)</f>
        <v>#DIV/0!</v>
      </c>
      <c r="AY284" s="3" t="e">
        <f>SUM(AY268,AY269,AY270,AY281,AY282,AY283)</f>
        <v>#DIV/0!</v>
      </c>
      <c r="AZ284" s="3" t="e">
        <f>SUM(AZ268,AZ269,AZ270,AZ281,AZ282,AZ283)</f>
        <v>#DIV/0!</v>
      </c>
      <c r="BA284" s="3" t="e">
        <f>SUM(BA268,BA269,BA270,BA281,BA282,BA283)</f>
        <v>#DIV/0!</v>
      </c>
      <c r="BB284" s="3" t="e">
        <f>SUM(BB268,BB269,BB270,BB281,BB282,BB283)</f>
        <v>#DIV/0!</v>
      </c>
      <c r="BC284" s="3" t="e">
        <f>SUM(BC268,BC269,BC270,BC281,BC282,BC283)</f>
        <v>#DIV/0!</v>
      </c>
      <c r="BD284" s="3" t="e">
        <f>SUM(BD268,BD269,BD270,BD281,BD282,BD283)</f>
        <v>#DIV/0!</v>
      </c>
      <c r="BE284" s="3" t="e">
        <f>SUM(BE268,BE269,BE270,BE281,BE282,BE283)</f>
        <v>#DIV/0!</v>
      </c>
      <c r="BF284" s="3" t="e">
        <f>SUM(BF268,BF269,BF270,BF281,BF282,BF283)</f>
        <v>#DIV/0!</v>
      </c>
      <c r="BG284" s="3" t="e">
        <f>SUM(BG268,BG269,BG270,BG281,BG282,BG283)</f>
        <v>#DIV/0!</v>
      </c>
      <c r="BH284" s="3" t="e">
        <f>SUM(BH268,BH269,BH270,BH281,BH282,BH283)</f>
        <v>#DIV/0!</v>
      </c>
      <c r="BI284" s="3" t="e">
        <f>SUM(BI268,BI269,BI270,BI281,BI282,BI283)</f>
        <v>#DIV/0!</v>
      </c>
      <c r="BJ284" s="3" t="e">
        <f>SUM(BJ268,BJ269,BJ270,BJ281,BJ282,BJ283)</f>
        <v>#DIV/0!</v>
      </c>
      <c r="BK284" s="3" t="e">
        <f>SUM(BK268,BK269,BK270,BK281,BK282,BK283)</f>
        <v>#DIV/0!</v>
      </c>
      <c r="BL284" s="3" t="e">
        <f>SUM(BL268,BL269,BL270,BL281,BL282,BL283)</f>
        <v>#DIV/0!</v>
      </c>
      <c r="BM284" s="3" t="e">
        <f>SUM(BM268,BM269,BM270,BM281,BM282,BM283)</f>
        <v>#DIV/0!</v>
      </c>
      <c r="BN284" s="3" t="e">
        <f>SUM(BN268,BN269,BN270,BN281,BN282,BN283)</f>
        <v>#DIV/0!</v>
      </c>
      <c r="BO284" s="3" t="e">
        <f>SUM(BO268,BO269,BO270,BO281,BO282,BO283)</f>
        <v>#DIV/0!</v>
      </c>
      <c r="BP284" s="3" t="e">
        <f>SUM(BP268,BP269,BP270,BP281,BP282,BP283)</f>
        <v>#DIV/0!</v>
      </c>
      <c r="BQ284" s="3" t="e">
        <f>SUM(BQ268,BQ269,BQ270,BQ281,BQ282,BQ283)</f>
        <v>#DIV/0!</v>
      </c>
      <c r="BR284" s="3" t="e">
        <f>SUM(BR268,BR269,BR270,BR281,BR282,BR283)</f>
        <v>#DIV/0!</v>
      </c>
      <c r="BS284" s="3" t="e">
        <f>SUM(BS268,BS269,BS270,BS281,BS282,BS283)</f>
        <v>#DIV/0!</v>
      </c>
      <c r="BT284" s="3" t="e">
        <f>SUM(BT268,BT269,BT270,BT281,BT282,BT283)</f>
        <v>#DIV/0!</v>
      </c>
      <c r="BU284" s="3" t="e">
        <f>SUM(BU268,BU269,BU270,BU281,BU282,BU283)</f>
        <v>#DIV/0!</v>
      </c>
      <c r="BV284" s="3" t="e">
        <f>SUM(BV268,BV269,BV270,BV281,BV282,BV283)</f>
        <v>#DIV/0!</v>
      </c>
      <c r="BW284" s="3" t="e">
        <f>SUM(BW268,BW269,BW270,BW281,BW282,BW283)</f>
        <v>#DIV/0!</v>
      </c>
      <c r="BX284" s="3" t="e">
        <f>SUM(BX268,BX269,BX270,BX281,BX282,BX283)</f>
        <v>#DIV/0!</v>
      </c>
      <c r="BY284" s="3" t="e">
        <f>SUM(BY268,BY269,BY270,BY281,BY282,BY283)</f>
        <v>#DIV/0!</v>
      </c>
      <c r="BZ284" s="3" t="e">
        <f>SUM(BZ268,BZ269,BZ270,BZ281,BZ282,BZ283)</f>
        <v>#DIV/0!</v>
      </c>
      <c r="CA284" s="3" t="e">
        <f>SUM(CA268,CA269,CA270,CA281,CA282,CA283)</f>
        <v>#DIV/0!</v>
      </c>
      <c r="CB284" s="3" t="e">
        <f>SUM(CB268,CB269,CB270,CB281,CB282,CB283)</f>
        <v>#DIV/0!</v>
      </c>
      <c r="CC284" s="3" t="e">
        <f>SUM(CC268,CC269,CC270,CC281,CC282,CC283)</f>
        <v>#DIV/0!</v>
      </c>
      <c r="CD284" s="3" t="e">
        <f>SUM(CD268,CD269,CD270,CD281,CD282,CD283)</f>
        <v>#DIV/0!</v>
      </c>
      <c r="CE284" s="3" t="e">
        <f>SUM(CE268,CE269,CE270,CE281,CE282,CE283)</f>
        <v>#DIV/0!</v>
      </c>
      <c r="CF284" s="3" t="e">
        <f>SUM(CF268,CF269,CF270,CF281,CF282,CF283)</f>
        <v>#DIV/0!</v>
      </c>
      <c r="CG284" s="3" t="e">
        <f>SUM(CG268,CG269,CG270,CG281,CG282,CG283)</f>
        <v>#DIV/0!</v>
      </c>
      <c r="CH284" s="3" t="e">
        <f>SUM(CH268,CH269,CH270,CH281,CH282,CH283)</f>
        <v>#DIV/0!</v>
      </c>
      <c r="CI284" s="3" t="e">
        <f>SUM(CI268,CI269,CI270,CI281,CI282,CI283)</f>
        <v>#DIV/0!</v>
      </c>
      <c r="CJ284" s="3" t="e">
        <f>SUM(CJ268,CJ269,CJ270,CJ281,CJ282,CJ283)</f>
        <v>#DIV/0!</v>
      </c>
      <c r="CK284" s="3" t="e">
        <f>SUM(CK268,CK269,CK270,CK281,CK282,CK283)</f>
        <v>#DIV/0!</v>
      </c>
      <c r="CL284" s="3" t="e">
        <f>SUM(CL268,CL269,CL270,CL281,CL282,CL283)</f>
        <v>#DIV/0!</v>
      </c>
      <c r="CM284" s="3" t="e">
        <f>SUM(CM268,CM269,CM270,CM281,CM282,CM283)</f>
        <v>#DIV/0!</v>
      </c>
      <c r="CN284" s="3" t="e">
        <f>SUM(CN268,CN269,CN270,CN281,CN282,CN283)</f>
        <v>#DIV/0!</v>
      </c>
      <c r="CO284" s="3" t="e">
        <f>SUM(CO268,CO269,CO270,CO281,CO282,CO283)</f>
        <v>#DIV/0!</v>
      </c>
      <c r="CP284" s="3" t="e">
        <f>SUM(CP268,CP269,CP270,CP281,CP282,CP283)</f>
        <v>#DIV/0!</v>
      </c>
      <c r="CQ284" s="3" t="e">
        <f>SUM(CQ268,CQ269,CQ270,CQ281,CQ282,CQ283)</f>
        <v>#DIV/0!</v>
      </c>
      <c r="CR284" s="3" t="e">
        <f>SUM(CR268,CR269,CR270,CR281,CR282,CR283)</f>
        <v>#DIV/0!</v>
      </c>
      <c r="CS284" s="3" t="e">
        <f>SUM(CS268,CS269,CS270,CS281,CS282,CS283)</f>
        <v>#DIV/0!</v>
      </c>
      <c r="CT284" s="3" t="e">
        <f>SUM(CT268,CT269,CT270,CT281,CT282,CT283)</f>
        <v>#DIV/0!</v>
      </c>
      <c r="CU284" s="3" t="e">
        <f>SUM(CU268,CU269,CU270,CU281,CU282,CU283)</f>
        <v>#DIV/0!</v>
      </c>
      <c r="CV284" s="3" t="e">
        <f>SUM(CV268,CV269,CV270,CV281,CV282,CV283)</f>
        <v>#DIV/0!</v>
      </c>
      <c r="CW284" s="3" t="e">
        <f>SUM(CW268,CW269,CW270,CW281,CW282,CW283)</f>
        <v>#DIV/0!</v>
      </c>
      <c r="CX284" s="3" t="e">
        <f>SUM(CX268,CX269,CX270,CX281,CX282,CX283)</f>
        <v>#DIV/0!</v>
      </c>
      <c r="CY284" s="3" t="e">
        <f>SUM(CY268,CY269,CY270,CY281,CY282,CY283)</f>
        <v>#DIV/0!</v>
      </c>
    </row>
    <row r="285">
      <c r="C285" s="26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  <c r="CG285" s="3" t="n"/>
      <c r="CH285" s="3" t="n"/>
      <c r="CI285" s="3" t="n"/>
      <c r="CJ285" s="3" t="n"/>
      <c r="CK285" s="3" t="n"/>
      <c r="CL285" s="3" t="n"/>
      <c r="CM285" s="3" t="n"/>
      <c r="CN285" s="3" t="n"/>
      <c r="CO285" s="3" t="n"/>
      <c r="CP285" s="3" t="n"/>
      <c r="CQ285" s="3" t="n"/>
      <c r="CR285" s="3" t="n"/>
      <c r="CS285" s="3" t="n"/>
      <c r="CT285" s="3" t="n"/>
      <c r="CU285" s="3" t="n"/>
      <c r="CV285" s="3" t="n"/>
      <c r="CW285" s="3" t="n"/>
      <c r="CX285" s="3" t="n"/>
      <c r="CY285" s="3" t="n"/>
    </row>
    <row r="286">
      <c r="C286" s="29" t="inlineStr">
        <is>
          <t>Purchase of fixed assets (capital expenditures)</t>
        </is>
      </c>
      <c r="D286" s="3" t="n"/>
      <c r="E286" s="3">
        <f>-E159</f>
        <v>-365</v>
      </c>
      <c r="F286" s="3">
        <f>-F159</f>
        <v>-459</v>
      </c>
      <c r="G286" s="3">
        <f>-G159</f>
        <v>-773</v>
      </c>
      <c r="H286" s="3">
        <f>SUM(D286:G286)</f>
        <v>-1597</v>
      </c>
      <c r="I286" s="3">
        <f>-I159</f>
        <v>-336</v>
      </c>
      <c r="J286" s="3">
        <f>-J159</f>
        <v>-411</v>
      </c>
      <c r="K286" s="3">
        <f>-K159</f>
        <v>-371</v>
      </c>
      <c r="L286" s="3">
        <f>-L159</f>
        <v>-630</v>
      </c>
      <c r="M286" s="3">
        <f>SUM(I286:L286)</f>
        <v>-1748</v>
      </c>
      <c r="N286" s="3">
        <f>-N159</f>
        <v>-293</v>
      </c>
      <c r="O286" s="3">
        <f>-O159</f>
        <v>-351</v>
      </c>
      <c r="P286" s="3">
        <f>-P159</f>
        <v>-353</v>
      </c>
      <c r="Q286" s="3">
        <f>-Q159</f>
        <v>-785</v>
      </c>
      <c r="R286" s="3">
        <f>SUM(N286:Q286)</f>
        <v>-1782</v>
      </c>
      <c r="S286" s="3">
        <f>-S159</f>
        <v>-288</v>
      </c>
      <c r="T286" s="3">
        <f>-T159</f>
        <v>-362</v>
      </c>
      <c r="U286" s="3">
        <f>-U159</f>
        <v>-430</v>
      </c>
      <c r="V286" s="3">
        <f>-V159</f>
        <v>-745</v>
      </c>
      <c r="W286" s="3">
        <f>SUM(S286:V286)</f>
        <v>-1825</v>
      </c>
      <c r="X286" s="3">
        <f>-X159</f>
        <v>-335</v>
      </c>
      <c r="Y286" s="3">
        <f>-Y159</f>
        <v>-399</v>
      </c>
      <c r="Z286" s="3">
        <f>-Z159</f>
        <v>-450</v>
      </c>
      <c r="AA286" s="3">
        <f>-AA159</f>
        <v>-731</v>
      </c>
      <c r="AB286" s="3">
        <f>SUM(X286:AA286)</f>
        <v>-1915</v>
      </c>
      <c r="AC286" s="3">
        <f>-AC159</f>
        <v>-384</v>
      </c>
      <c r="AD286" s="3">
        <f>-AD159</f>
        <v>-356</v>
      </c>
      <c r="AE286" s="3">
        <f>-AE159</f>
        <v>-480</v>
      </c>
      <c r="AF286" s="3">
        <f>-AF159</f>
        <v>-616</v>
      </c>
      <c r="AG286" s="3">
        <f>SUM(AC286:AF286)</f>
        <v>-1836</v>
      </c>
      <c r="AH286" s="3">
        <f>-AH159</f>
        <v>-2806</v>
      </c>
      <c r="AI286" s="3">
        <f>-AI159</f>
        <v>-507</v>
      </c>
      <c r="AJ286" s="3">
        <f>-AJ159</f>
        <v>0</v>
      </c>
      <c r="AK286" s="3">
        <f>-AK159</f>
        <v>0</v>
      </c>
      <c r="AL286" s="3">
        <f>SUM(AH286:AK286)</f>
        <v>-3313</v>
      </c>
      <c r="AM286" s="3">
        <f>-AM159</f>
        <v>0</v>
      </c>
      <c r="AN286" s="3">
        <f>-AN159</f>
        <v>0</v>
      </c>
      <c r="AO286" s="3">
        <f>-AO159</f>
        <v>0</v>
      </c>
      <c r="AP286" s="3">
        <f>-AP159</f>
        <v>0</v>
      </c>
      <c r="AQ286" s="3">
        <f>SUM(AM286:AP286)</f>
        <v>0</v>
      </c>
      <c r="AR286" s="3">
        <f>-AR159</f>
        <v>0</v>
      </c>
      <c r="AS286" s="3">
        <f>-AS159</f>
        <v>0</v>
      </c>
      <c r="AT286" s="3">
        <f>-AT159</f>
        <v>0</v>
      </c>
      <c r="AU286" s="3">
        <f>-AU159</f>
        <v>0</v>
      </c>
      <c r="AV286" s="3">
        <f>SUM(AR286:AU286)</f>
        <v>0</v>
      </c>
      <c r="AW286" s="3">
        <f>-AW159</f>
        <v>0</v>
      </c>
      <c r="AX286" s="3">
        <f>-AX159</f>
        <v>0</v>
      </c>
      <c r="AY286" s="3">
        <f>-AY159</f>
        <v>0</v>
      </c>
      <c r="AZ286" s="3">
        <f>-AZ159</f>
        <v>0</v>
      </c>
      <c r="BA286" s="3">
        <f>SUM(AW286:AZ286)</f>
        <v>0</v>
      </c>
      <c r="BB286" s="3">
        <f>-BB159</f>
        <v>0</v>
      </c>
      <c r="BC286" s="3">
        <f>-BC159</f>
        <v>0</v>
      </c>
      <c r="BD286" s="3">
        <f>-BD159</f>
        <v>0</v>
      </c>
      <c r="BE286" s="3">
        <f>-BE159</f>
        <v>0</v>
      </c>
      <c r="BF286" s="3">
        <f>SUM(BB286:BE286)</f>
        <v>0</v>
      </c>
      <c r="BG286" s="3">
        <f>-BG159</f>
        <v>0</v>
      </c>
      <c r="BH286" s="3">
        <f>-BH159</f>
        <v>0</v>
      </c>
      <c r="BI286" s="3">
        <f>-BI159</f>
        <v>0</v>
      </c>
      <c r="BJ286" s="3">
        <f>-BJ159</f>
        <v>0</v>
      </c>
      <c r="BK286" s="3">
        <f>SUM(BG286:BJ286)</f>
        <v>0</v>
      </c>
      <c r="BL286" s="3">
        <f>-BL159</f>
        <v>0</v>
      </c>
      <c r="BM286" s="3">
        <f>-BM159</f>
        <v>0</v>
      </c>
      <c r="BN286" s="3">
        <f>-BN159</f>
        <v>0</v>
      </c>
      <c r="BO286" s="3">
        <f>-BO159</f>
        <v>0</v>
      </c>
      <c r="BP286" s="3">
        <f>SUM(BL286:BO286)</f>
        <v>0</v>
      </c>
      <c r="BQ286" s="3">
        <f>-BQ159</f>
        <v>0</v>
      </c>
      <c r="BR286" s="3">
        <f>-BR159</f>
        <v>0</v>
      </c>
      <c r="BS286" s="3">
        <f>-BS159</f>
        <v>0</v>
      </c>
      <c r="BT286" s="3">
        <f>-BT159</f>
        <v>0</v>
      </c>
      <c r="BU286" s="3">
        <f>SUM(BQ286:BT286)</f>
        <v>0</v>
      </c>
      <c r="BV286" s="3">
        <f>-BV159</f>
        <v>0</v>
      </c>
      <c r="BW286" s="3">
        <f>-BW159</f>
        <v>0</v>
      </c>
      <c r="BX286" s="3">
        <f>-BX159</f>
        <v>0</v>
      </c>
      <c r="BY286" s="3">
        <f>-BY159</f>
        <v>0</v>
      </c>
      <c r="BZ286" s="3">
        <f>SUM(BV286:BY286)</f>
        <v>0</v>
      </c>
      <c r="CA286" s="3">
        <f>-CA159</f>
        <v>0</v>
      </c>
      <c r="CB286" s="3">
        <f>-CB159</f>
        <v>0</v>
      </c>
      <c r="CC286" s="3">
        <f>-CC159</f>
        <v>0</v>
      </c>
      <c r="CD286" s="3">
        <f>-CD159</f>
        <v>0</v>
      </c>
      <c r="CE286" s="3">
        <f>SUM(CA286:CD286)</f>
        <v>0</v>
      </c>
      <c r="CF286" s="3">
        <f>-CF159</f>
        <v>0</v>
      </c>
      <c r="CG286" s="3">
        <f>-CG159</f>
        <v>0</v>
      </c>
      <c r="CH286" s="3">
        <f>-CH159</f>
        <v>0</v>
      </c>
      <c r="CI286" s="3">
        <f>-CI159</f>
        <v>0</v>
      </c>
      <c r="CJ286" s="3">
        <f>SUM(CF286:CI286)</f>
        <v>0</v>
      </c>
      <c r="CK286" s="3">
        <f>-CK159</f>
        <v>0</v>
      </c>
      <c r="CL286" s="3">
        <f>-CL159</f>
        <v>0</v>
      </c>
      <c r="CM286" s="3">
        <f>-CM159</f>
        <v>0</v>
      </c>
      <c r="CN286" s="3">
        <f>-CN159</f>
        <v>0</v>
      </c>
      <c r="CO286" s="3">
        <f>SUM(CK286:CN286)</f>
        <v>0</v>
      </c>
      <c r="CP286" s="3">
        <f>-CP159</f>
        <v>0</v>
      </c>
      <c r="CQ286" s="3">
        <f>-CQ159</f>
        <v>0</v>
      </c>
      <c r="CR286" s="3">
        <f>-CR159</f>
        <v>0</v>
      </c>
      <c r="CS286" s="3">
        <f>-CS159</f>
        <v>0</v>
      </c>
      <c r="CT286" s="3">
        <f>SUM(CP286:CS286)</f>
        <v>0</v>
      </c>
      <c r="CU286" s="3">
        <f>-CU159</f>
        <v>0</v>
      </c>
      <c r="CV286" s="3">
        <f>-CV159</f>
        <v>0</v>
      </c>
      <c r="CW286" s="3">
        <f>-CW159</f>
        <v>0</v>
      </c>
      <c r="CX286" s="3">
        <f>-CX159</f>
        <v>0</v>
      </c>
      <c r="CY286" s="3">
        <f>SUM(CU286:CX286)</f>
        <v>0</v>
      </c>
    </row>
    <row r="287">
      <c r="C287" s="29" t="inlineStr">
        <is>
          <t>Proceeds from sale of fixed assets</t>
        </is>
      </c>
      <c r="D287" s="3" t="n"/>
      <c r="E287" s="3">
        <f>-E160</f>
        <v>0</v>
      </c>
      <c r="F287" s="3">
        <f>-F160</f>
        <v>0</v>
      </c>
      <c r="G287" s="3">
        <f>-G160</f>
        <v>0</v>
      </c>
      <c r="H287" s="3">
        <f>SUM(D287:G287)</f>
        <v>0</v>
      </c>
      <c r="I287" s="3">
        <f>-I160</f>
        <v>0</v>
      </c>
      <c r="J287" s="3">
        <f>-J160</f>
        <v>0</v>
      </c>
      <c r="K287" s="3">
        <f>-K160</f>
        <v>0</v>
      </c>
      <c r="L287" s="3">
        <f>-L160</f>
        <v>0</v>
      </c>
      <c r="M287" s="3">
        <f>SUM(I287:L287)</f>
        <v>0</v>
      </c>
      <c r="N287" s="3">
        <f>-N160</f>
        <v>0</v>
      </c>
      <c r="O287" s="3">
        <f>-O160</f>
        <v>0</v>
      </c>
      <c r="P287" s="3">
        <f>-P160</f>
        <v>0</v>
      </c>
      <c r="Q287" s="3">
        <f>-Q160</f>
        <v>0</v>
      </c>
      <c r="R287" s="3">
        <f>SUM(N287:Q287)</f>
        <v>0</v>
      </c>
      <c r="S287" s="3">
        <f>-S160</f>
        <v>0</v>
      </c>
      <c r="T287" s="3">
        <f>-T160</f>
        <v>0</v>
      </c>
      <c r="U287" s="3">
        <f>-U160</f>
        <v>0</v>
      </c>
      <c r="V287" s="3">
        <f>-V160</f>
        <v>0</v>
      </c>
      <c r="W287" s="3">
        <f>SUM(S287:V287)</f>
        <v>0</v>
      </c>
      <c r="X287" s="3">
        <f>-X160</f>
        <v>0</v>
      </c>
      <c r="Y287" s="3">
        <f>-Y160</f>
        <v>0</v>
      </c>
      <c r="Z287" s="3">
        <f>-Z160</f>
        <v>0</v>
      </c>
      <c r="AA287" s="3">
        <f>-AA160</f>
        <v>0</v>
      </c>
      <c r="AB287" s="3">
        <f>SUM(X287:AA287)</f>
        <v>0</v>
      </c>
      <c r="AC287" s="3">
        <f>-AC160</f>
        <v>0</v>
      </c>
      <c r="AD287" s="3">
        <f>-AD160</f>
        <v>0</v>
      </c>
      <c r="AE287" s="3">
        <f>-AE160</f>
        <v>0</v>
      </c>
      <c r="AF287" s="3">
        <f>-AF160</f>
        <v>0</v>
      </c>
      <c r="AG287" s="3">
        <f>SUM(AC287:AF287)</f>
        <v>0</v>
      </c>
      <c r="AH287" s="3">
        <f>-AH160</f>
        <v>0</v>
      </c>
      <c r="AI287" s="3">
        <f>-AI160</f>
        <v>0</v>
      </c>
      <c r="AJ287" s="3">
        <f>-AJ160</f>
        <v>0</v>
      </c>
      <c r="AK287" s="3">
        <f>-AK160</f>
        <v>0</v>
      </c>
      <c r="AL287" s="3">
        <f>SUM(AH287:AK287)</f>
        <v>0</v>
      </c>
      <c r="AM287" s="3">
        <f>-AM160</f>
        <v>0</v>
      </c>
      <c r="AN287" s="3">
        <f>-AN160</f>
        <v>0</v>
      </c>
      <c r="AO287" s="3">
        <f>-AO160</f>
        <v>0</v>
      </c>
      <c r="AP287" s="3">
        <f>-AP160</f>
        <v>0</v>
      </c>
      <c r="AQ287" s="3">
        <f>SUM(AM287:AP287)</f>
        <v>0</v>
      </c>
      <c r="AR287" s="3">
        <f>-AR160</f>
        <v>0</v>
      </c>
      <c r="AS287" s="3">
        <f>-AS160</f>
        <v>0</v>
      </c>
      <c r="AT287" s="3">
        <f>-AT160</f>
        <v>0</v>
      </c>
      <c r="AU287" s="3">
        <f>-AU160</f>
        <v>0</v>
      </c>
      <c r="AV287" s="3">
        <f>SUM(AR287:AU287)</f>
        <v>0</v>
      </c>
      <c r="AW287" s="3">
        <f>-AW160</f>
        <v>0</v>
      </c>
      <c r="AX287" s="3">
        <f>-AX160</f>
        <v>0</v>
      </c>
      <c r="AY287" s="3">
        <f>-AY160</f>
        <v>0</v>
      </c>
      <c r="AZ287" s="3">
        <f>-AZ160</f>
        <v>0</v>
      </c>
      <c r="BA287" s="3">
        <f>SUM(AW287:AZ287)</f>
        <v>0</v>
      </c>
      <c r="BB287" s="3">
        <f>-BB160</f>
        <v>0</v>
      </c>
      <c r="BC287" s="3">
        <f>-BC160</f>
        <v>0</v>
      </c>
      <c r="BD287" s="3">
        <f>-BD160</f>
        <v>0</v>
      </c>
      <c r="BE287" s="3">
        <f>-BE160</f>
        <v>0</v>
      </c>
      <c r="BF287" s="3">
        <f>SUM(BB287:BE287)</f>
        <v>0</v>
      </c>
      <c r="BG287" s="3">
        <f>-BG160</f>
        <v>0</v>
      </c>
      <c r="BH287" s="3">
        <f>-BH160</f>
        <v>0</v>
      </c>
      <c r="BI287" s="3">
        <f>-BI160</f>
        <v>0</v>
      </c>
      <c r="BJ287" s="3">
        <f>-BJ160</f>
        <v>0</v>
      </c>
      <c r="BK287" s="3">
        <f>SUM(BG287:BJ287)</f>
        <v>0</v>
      </c>
      <c r="BL287" s="3">
        <f>-BL160</f>
        <v>0</v>
      </c>
      <c r="BM287" s="3">
        <f>-BM160</f>
        <v>0</v>
      </c>
      <c r="BN287" s="3">
        <f>-BN160</f>
        <v>0</v>
      </c>
      <c r="BO287" s="3">
        <f>-BO160</f>
        <v>0</v>
      </c>
      <c r="BP287" s="3">
        <f>SUM(BL287:BO287)</f>
        <v>0</v>
      </c>
      <c r="BQ287" s="3">
        <f>-BQ160</f>
        <v>0</v>
      </c>
      <c r="BR287" s="3">
        <f>-BR160</f>
        <v>0</v>
      </c>
      <c r="BS287" s="3">
        <f>-BS160</f>
        <v>0</v>
      </c>
      <c r="BT287" s="3">
        <f>-BT160</f>
        <v>0</v>
      </c>
      <c r="BU287" s="3">
        <f>SUM(BQ287:BT287)</f>
        <v>0</v>
      </c>
      <c r="BV287" s="3">
        <f>-BV160</f>
        <v>0</v>
      </c>
      <c r="BW287" s="3">
        <f>-BW160</f>
        <v>0</v>
      </c>
      <c r="BX287" s="3">
        <f>-BX160</f>
        <v>0</v>
      </c>
      <c r="BY287" s="3">
        <f>-BY160</f>
        <v>0</v>
      </c>
      <c r="BZ287" s="3">
        <f>SUM(BV287:BY287)</f>
        <v>0</v>
      </c>
      <c r="CA287" s="3">
        <f>-CA160</f>
        <v>0</v>
      </c>
      <c r="CB287" s="3">
        <f>-CB160</f>
        <v>0</v>
      </c>
      <c r="CC287" s="3">
        <f>-CC160</f>
        <v>0</v>
      </c>
      <c r="CD287" s="3">
        <f>-CD160</f>
        <v>0</v>
      </c>
      <c r="CE287" s="3">
        <f>SUM(CA287:CD287)</f>
        <v>0</v>
      </c>
      <c r="CF287" s="3">
        <f>-CF160</f>
        <v>0</v>
      </c>
      <c r="CG287" s="3">
        <f>-CG160</f>
        <v>0</v>
      </c>
      <c r="CH287" s="3">
        <f>-CH160</f>
        <v>0</v>
      </c>
      <c r="CI287" s="3">
        <f>-CI160</f>
        <v>0</v>
      </c>
      <c r="CJ287" s="3">
        <f>SUM(CF287:CI287)</f>
        <v>0</v>
      </c>
      <c r="CK287" s="3">
        <f>-CK160</f>
        <v>0</v>
      </c>
      <c r="CL287" s="3">
        <f>-CL160</f>
        <v>0</v>
      </c>
      <c r="CM287" s="3">
        <f>-CM160</f>
        <v>0</v>
      </c>
      <c r="CN287" s="3">
        <f>-CN160</f>
        <v>0</v>
      </c>
      <c r="CO287" s="3">
        <f>SUM(CK287:CN287)</f>
        <v>0</v>
      </c>
      <c r="CP287" s="3">
        <f>-CP160</f>
        <v>0</v>
      </c>
      <c r="CQ287" s="3">
        <f>-CQ160</f>
        <v>0</v>
      </c>
      <c r="CR287" s="3">
        <f>-CR160</f>
        <v>0</v>
      </c>
      <c r="CS287" s="3">
        <f>-CS160</f>
        <v>0</v>
      </c>
      <c r="CT287" s="3">
        <f>SUM(CP287:CS287)</f>
        <v>0</v>
      </c>
      <c r="CU287" s="3">
        <f>-CU160</f>
        <v>0</v>
      </c>
      <c r="CV287" s="3">
        <f>-CV160</f>
        <v>0</v>
      </c>
      <c r="CW287" s="3">
        <f>-CW160</f>
        <v>0</v>
      </c>
      <c r="CX287" s="3">
        <f>-CX160</f>
        <v>0</v>
      </c>
      <c r="CY287" s="3">
        <f>SUM(CU287:CX287)</f>
        <v>0</v>
      </c>
    </row>
    <row r="288">
      <c r="C288" s="29" t="inlineStr">
        <is>
          <t>Var.Right-of-use-assets</t>
        </is>
      </c>
      <c r="D288" s="3" t="n"/>
      <c r="E288" s="3">
        <f>(E167-D167)*-1</f>
        <v>0</v>
      </c>
      <c r="F288" s="3">
        <f>(F167-E167)*-1</f>
        <v>0</v>
      </c>
      <c r="G288" s="3">
        <f>(G167-F167)*-1</f>
        <v>0</v>
      </c>
      <c r="H288" s="3">
        <f>SUM(D288:G288)</f>
        <v>0</v>
      </c>
      <c r="I288" s="3">
        <f>(I167-H167)*-1</f>
        <v>0</v>
      </c>
      <c r="J288" s="3">
        <f>(J167-I167)*-1</f>
        <v>0</v>
      </c>
      <c r="K288" s="3">
        <f>(K167-J167)*-1</f>
        <v>0</v>
      </c>
      <c r="L288" s="3">
        <f>(L167-K167)*-1</f>
        <v>0</v>
      </c>
      <c r="M288" s="3">
        <f>SUM(I288:L288)</f>
        <v>0</v>
      </c>
      <c r="N288" s="3">
        <f>(N167-M167)*-1</f>
        <v>0</v>
      </c>
      <c r="O288" s="3">
        <f>(O167-N167)*-1</f>
        <v>0</v>
      </c>
      <c r="P288" s="3">
        <f>(P167-O167)*-1</f>
        <v>0</v>
      </c>
      <c r="Q288" s="3">
        <f>(Q167-P167)*-1</f>
        <v>0</v>
      </c>
      <c r="R288" s="3">
        <f>SUM(N288:Q288)</f>
        <v>0</v>
      </c>
      <c r="S288" s="3">
        <f>(S167-R167)*-1</f>
        <v>0</v>
      </c>
      <c r="T288" s="3">
        <f>(T167-S167)*-1</f>
        <v>0</v>
      </c>
      <c r="U288" s="3">
        <f>(U167-T167)*-1</f>
        <v>0</v>
      </c>
      <c r="V288" s="3">
        <f>(V167-U167)*-1</f>
        <v>0</v>
      </c>
      <c r="W288" s="3">
        <f>SUM(S288:V288)</f>
        <v>0</v>
      </c>
      <c r="X288" s="3">
        <f>(X167-W167)*-1</f>
        <v>0</v>
      </c>
      <c r="Y288" s="3">
        <f>(Y167-X167)*-1</f>
        <v>0</v>
      </c>
      <c r="Z288" s="3">
        <f>(Z167-Y167)*-1</f>
        <v>0</v>
      </c>
      <c r="AA288" s="3">
        <f>(AA167-Z167)*-1</f>
        <v>0</v>
      </c>
      <c r="AB288" s="3">
        <f>SUM(X288:AA288)</f>
        <v>0</v>
      </c>
      <c r="AC288" s="3">
        <f>(AC167-AB167)*-1</f>
        <v>0</v>
      </c>
      <c r="AD288" s="3">
        <f>(AD167-AC167)*-1</f>
        <v>0</v>
      </c>
      <c r="AE288" s="3">
        <f>(AE167-AD167)*-1</f>
        <v>0</v>
      </c>
      <c r="AF288" s="3">
        <f>(AF167-AE167)*-1</f>
        <v>0</v>
      </c>
      <c r="AG288" s="3">
        <f>SUM(AC288:AF288)</f>
        <v>0</v>
      </c>
      <c r="AH288" s="3">
        <f>(AH167-AG167)*-1</f>
        <v>0</v>
      </c>
      <c r="AI288" s="3">
        <f>(AI167-AH167)*-1</f>
        <v>0</v>
      </c>
      <c r="AJ288" s="3">
        <f>(AJ167-AI167)*-1</f>
        <v>0</v>
      </c>
      <c r="AK288" s="3">
        <f>(AK167-AJ167)*-1</f>
        <v>0</v>
      </c>
      <c r="AL288" s="3">
        <f>SUM(AH288:AK288)</f>
        <v>0</v>
      </c>
      <c r="AM288" s="3">
        <f>(AM167-AL167)*-1</f>
        <v>0</v>
      </c>
      <c r="AN288" s="3">
        <f>(AN167-AM167)*-1</f>
        <v>0</v>
      </c>
      <c r="AO288" s="3">
        <f>(AO167-AN167)*-1</f>
        <v>0</v>
      </c>
      <c r="AP288" s="3">
        <f>(AP167-AO167)*-1</f>
        <v>0</v>
      </c>
      <c r="AQ288" s="3">
        <f>SUM(AM288:AP288)</f>
        <v>0</v>
      </c>
      <c r="AR288" s="3">
        <f>(AR167-AQ167)*-1</f>
        <v>0</v>
      </c>
      <c r="AS288" s="3">
        <f>(AS167-AR167)*-1</f>
        <v>0</v>
      </c>
      <c r="AT288" s="3">
        <f>(AT167-AS167)*-1</f>
        <v>0</v>
      </c>
      <c r="AU288" s="3">
        <f>(AU167-AT167)*-1</f>
        <v>0</v>
      </c>
      <c r="AV288" s="3">
        <f>SUM(AR288:AU288)</f>
        <v>0</v>
      </c>
      <c r="AW288" s="3">
        <f>(AW167-AV167)*-1</f>
        <v>0</v>
      </c>
      <c r="AX288" s="3">
        <f>(AX167-AW167)*-1</f>
        <v>0</v>
      </c>
      <c r="AY288" s="3">
        <f>(AY167-AX167)*-1</f>
        <v>0</v>
      </c>
      <c r="AZ288" s="3">
        <f>(AZ167-AY167)*-1</f>
        <v>0</v>
      </c>
      <c r="BA288" s="3">
        <f>SUM(AW288:AZ288)</f>
        <v>0</v>
      </c>
      <c r="BB288" s="3">
        <f>(BB167-BA167)*-1</f>
        <v>0</v>
      </c>
      <c r="BC288" s="3">
        <f>(BC167-BB167)*-1</f>
        <v>0</v>
      </c>
      <c r="BD288" s="3">
        <f>(BD167-BC167)*-1</f>
        <v>0</v>
      </c>
      <c r="BE288" s="3">
        <f>(BE167-BD167)*-1</f>
        <v>0</v>
      </c>
      <c r="BF288" s="3">
        <f>SUM(BB288:BE288)</f>
        <v>0</v>
      </c>
      <c r="BG288" s="3">
        <f>(BG167-BF167)*-1</f>
        <v>0</v>
      </c>
      <c r="BH288" s="3">
        <f>(BH167-BG167)*-1</f>
        <v>0</v>
      </c>
      <c r="BI288" s="3">
        <f>(BI167-BH167)*-1</f>
        <v>0</v>
      </c>
      <c r="BJ288" s="3">
        <f>(BJ167-BI167)*-1</f>
        <v>0</v>
      </c>
      <c r="BK288" s="3">
        <f>SUM(BG288:BJ288)</f>
        <v>0</v>
      </c>
      <c r="BL288" s="3">
        <f>(BL167-BK167)*-1</f>
        <v>0</v>
      </c>
      <c r="BM288" s="3">
        <f>(BM167-BL167)*-1</f>
        <v>0</v>
      </c>
      <c r="BN288" s="3">
        <f>(BN167-BM167)*-1</f>
        <v>0</v>
      </c>
      <c r="BO288" s="3">
        <f>(BO167-BN167)*-1</f>
        <v>0</v>
      </c>
      <c r="BP288" s="3">
        <f>SUM(BL288:BO288)</f>
        <v>0</v>
      </c>
      <c r="BQ288" s="3">
        <f>(BQ167-BP167)*-1</f>
        <v>0</v>
      </c>
      <c r="BR288" s="3">
        <f>(BR167-BQ167)*-1</f>
        <v>0</v>
      </c>
      <c r="BS288" s="3">
        <f>(BS167-BR167)*-1</f>
        <v>0</v>
      </c>
      <c r="BT288" s="3">
        <f>(BT167-BS167)*-1</f>
        <v>0</v>
      </c>
      <c r="BU288" s="3">
        <f>SUM(BQ288:BT288)</f>
        <v>0</v>
      </c>
      <c r="BV288" s="3">
        <f>(BV167-BU167)*-1</f>
        <v>0</v>
      </c>
      <c r="BW288" s="3">
        <f>(BW167-BV167)*-1</f>
        <v>0</v>
      </c>
      <c r="BX288" s="3">
        <f>(BX167-BW167)*-1</f>
        <v>0</v>
      </c>
      <c r="BY288" s="3">
        <f>(BY167-BX167)*-1</f>
        <v>0</v>
      </c>
      <c r="BZ288" s="3">
        <f>SUM(BV288:BY288)</f>
        <v>0</v>
      </c>
      <c r="CA288" s="3">
        <f>(CA167-BZ167)*-1</f>
        <v>0</v>
      </c>
      <c r="CB288" s="3">
        <f>(CB167-CA167)*-1</f>
        <v>0</v>
      </c>
      <c r="CC288" s="3">
        <f>(CC167-CB167)*-1</f>
        <v>0</v>
      </c>
      <c r="CD288" s="3">
        <f>(CD167-CC167)*-1</f>
        <v>0</v>
      </c>
      <c r="CE288" s="3">
        <f>SUM(CA288:CD288)</f>
        <v>0</v>
      </c>
      <c r="CF288" s="3">
        <f>(CF167-CE167)*-1</f>
        <v>0</v>
      </c>
      <c r="CG288" s="3">
        <f>(CG167-CF167)*-1</f>
        <v>0</v>
      </c>
      <c r="CH288" s="3">
        <f>(CH167-CG167)*-1</f>
        <v>0</v>
      </c>
      <c r="CI288" s="3">
        <f>(CI167-CH167)*-1</f>
        <v>0</v>
      </c>
      <c r="CJ288" s="3">
        <f>SUM(CF288:CI288)</f>
        <v>0</v>
      </c>
      <c r="CK288" s="3">
        <f>(CK167-CJ167)*-1</f>
        <v>0</v>
      </c>
      <c r="CL288" s="3">
        <f>(CL167-CK167)*-1</f>
        <v>0</v>
      </c>
      <c r="CM288" s="3">
        <f>(CM167-CL167)*-1</f>
        <v>0</v>
      </c>
      <c r="CN288" s="3">
        <f>(CN167-CM167)*-1</f>
        <v>0</v>
      </c>
      <c r="CO288" s="3">
        <f>SUM(CK288:CN288)</f>
        <v>0</v>
      </c>
      <c r="CP288" s="3">
        <f>(CP167-CO167)*-1</f>
        <v>0</v>
      </c>
      <c r="CQ288" s="3">
        <f>(CQ167-CP167)*-1</f>
        <v>0</v>
      </c>
      <c r="CR288" s="3">
        <f>(CR167-CQ167)*-1</f>
        <v>0</v>
      </c>
      <c r="CS288" s="3">
        <f>(CS167-CR167)*-1</f>
        <v>0</v>
      </c>
      <c r="CT288" s="3">
        <f>SUM(CP288:CS288)</f>
        <v>0</v>
      </c>
      <c r="CU288" s="3">
        <f>(CU167-CT167)*-1</f>
        <v>0</v>
      </c>
      <c r="CV288" s="3">
        <f>(CV167-CU167)*-1</f>
        <v>0</v>
      </c>
      <c r="CW288" s="3">
        <f>(CW167-CV167)*-1</f>
        <v>0</v>
      </c>
      <c r="CX288" s="3">
        <f>(CX167-CW167)*-1</f>
        <v>0</v>
      </c>
      <c r="CY288" s="3">
        <f>SUM(CU288:CX288)</f>
        <v>0</v>
      </c>
      <c r="CZ288" s="3" t="n"/>
      <c r="DA288" s="3" t="n"/>
      <c r="DB288" s="3" t="n"/>
      <c r="DC288" s="3" t="n"/>
    </row>
    <row r="289">
      <c r="C289" s="29" t="inlineStr">
        <is>
          <t>Purchases of intangible assets</t>
        </is>
      </c>
      <c r="D289" s="3" t="n"/>
      <c r="E289" s="3">
        <f>((E171-D171)*-1)+((E170-D170)*-1)</f>
        <v>51</v>
      </c>
      <c r="F289" s="3">
        <f>((F171-E171)*-1)+((F170-E170)*-1)</f>
        <v>54</v>
      </c>
      <c r="G289" s="3">
        <f>((G171-F171)*-1)+((G170-F170)*-1)</f>
        <v>-216</v>
      </c>
      <c r="H289" s="3">
        <f>SUM(D289:G289)</f>
        <v>-111</v>
      </c>
      <c r="I289" s="3">
        <f>((I171-H171)*-1)+((I170-H170)*-1)</f>
        <v>89</v>
      </c>
      <c r="J289" s="3">
        <f>((J171-I171)*-1)+((J170-I170)*-1)</f>
        <v>70</v>
      </c>
      <c r="K289" s="3">
        <f>((K171-J171)*-1)+((K170-J170)*-1)</f>
        <v>76</v>
      </c>
      <c r="L289" s="3">
        <f>((L171-K171)*-1)+((L170-K170)*-1)</f>
        <v>64</v>
      </c>
      <c r="M289" s="3">
        <f>SUM(I289:L289)</f>
        <v>299</v>
      </c>
      <c r="N289" s="3">
        <f>((N171-M171)*-1)+((N170-M170)*-1)</f>
        <v>64</v>
      </c>
      <c r="O289" s="3">
        <f>((O171-N171)*-1)+((O170-N170)*-1)</f>
        <v>77</v>
      </c>
      <c r="P289" s="3">
        <f>((P171-O171)*-1)+((P170-O170)*-1)</f>
        <v>93</v>
      </c>
      <c r="Q289" s="3">
        <f>((Q171-P171)*-1)+((Q170-P170)*-1)</f>
        <v>46</v>
      </c>
      <c r="R289" s="3">
        <f>SUM(N289:Q289)</f>
        <v>280</v>
      </c>
      <c r="S289" s="3">
        <f>((S171-R171)*-1)+((S170-R170)*-1)</f>
        <v>66</v>
      </c>
      <c r="T289" s="3">
        <f>((T171-S171)*-1)+((T170-S170)*-1)</f>
        <v>42</v>
      </c>
      <c r="U289" s="3">
        <f>((U171-T171)*-1)+((U170-T170)*-1)</f>
        <v>75</v>
      </c>
      <c r="V289" s="3">
        <f>((V171-U171)*-1)+((V170-U170)*-1)</f>
        <v>45</v>
      </c>
      <c r="W289" s="3">
        <f>SUM(S289:V289)</f>
        <v>228</v>
      </c>
      <c r="X289" s="3">
        <f>((X171-W171)*-1)+((X170-W170)*-1)</f>
        <v>71</v>
      </c>
      <c r="Y289" s="3">
        <f>((Y171-X171)*-1)+((Y170-X170)*-1)</f>
        <v>113</v>
      </c>
      <c r="Z289" s="3">
        <f>((Z171-Y171)*-1)+((Z170-Y170)*-1)</f>
        <v>48</v>
      </c>
      <c r="AA289" s="3">
        <f>((AA171-Z171)*-1)+((AA170-Z170)*-1)</f>
        <v>-303</v>
      </c>
      <c r="AB289" s="3">
        <f>SUM(X289:AA289)</f>
        <v>-71</v>
      </c>
      <c r="AC289" s="3">
        <f>((AC171-AB171)*-1)+((AC170-AB170)*-1)</f>
        <v>54</v>
      </c>
      <c r="AD289" s="3">
        <f>((AD171-AC171)*-1)+((AD170-AC170)*-1)</f>
        <v>-294</v>
      </c>
      <c r="AE289" s="3">
        <f>((AE171-AD171)*-1)+((AE170-AD170)*-1)</f>
        <v>66</v>
      </c>
      <c r="AF289" s="3">
        <f>((AF171-AE171)*-1)+((AF170-AE170)*-1)</f>
        <v>55</v>
      </c>
      <c r="AG289" s="3">
        <f>SUM(AC289:AF289)</f>
        <v>-119</v>
      </c>
      <c r="AH289" s="3">
        <f>((AH171-AG171)*-1)+((AH170-AG170)*-1)</f>
        <v>58</v>
      </c>
      <c r="AI289" s="3">
        <f>((AI171-AH171)*-1)+((AI170-AH170)*-1)</f>
        <v>58</v>
      </c>
      <c r="AJ289" s="3">
        <f>((AJ171-AI171)*-1)+((AJ170-AI170)*-1)</f>
        <v>1787</v>
      </c>
      <c r="AK289" s="3">
        <f>((AK171-AJ171)*-1)+((AK170-AJ170)*-1)</f>
        <v>0</v>
      </c>
      <c r="AL289" s="3">
        <f>SUM(AH289:AK289)</f>
        <v>1903</v>
      </c>
      <c r="AM289" s="3">
        <f>((AM171-AL171)*-1)+((AM170-AL170)*-1)</f>
        <v>0</v>
      </c>
      <c r="AN289" s="3">
        <f>((AN171-AM171)*-1)+((AN170-AM170)*-1)</f>
        <v>0</v>
      </c>
      <c r="AO289" s="3">
        <f>((AO171-AN171)*-1)+((AO170-AN170)*-1)</f>
        <v>0</v>
      </c>
      <c r="AP289" s="3">
        <f>((AP171-AO171)*-1)+((AP170-AO170)*-1)</f>
        <v>0</v>
      </c>
      <c r="AQ289" s="3">
        <f>SUM(AM289:AP289)</f>
        <v>0</v>
      </c>
      <c r="AR289" s="3">
        <f>((AR171-AQ171)*-1)+((AR170-AQ170)*-1)</f>
        <v>0</v>
      </c>
      <c r="AS289" s="3">
        <f>((AS171-AR171)*-1)+((AS170-AR170)*-1)</f>
        <v>0</v>
      </c>
      <c r="AT289" s="3">
        <f>((AT171-AS171)*-1)+((AT170-AS170)*-1)</f>
        <v>0</v>
      </c>
      <c r="AU289" s="3">
        <f>((AU171-AT171)*-1)+((AU170-AT170)*-1)</f>
        <v>0</v>
      </c>
      <c r="AV289" s="3">
        <f>SUM(AR289:AU289)</f>
        <v>0</v>
      </c>
      <c r="AW289" s="3">
        <f>((AW171-AV171)*-1)+((AW170-AV170)*-1)</f>
        <v>0</v>
      </c>
      <c r="AX289" s="3">
        <f>((AX171-AW171)*-1)+((AX170-AW170)*-1)</f>
        <v>0</v>
      </c>
      <c r="AY289" s="3">
        <f>((AY171-AX171)*-1)+((AY170-AX170)*-1)</f>
        <v>0</v>
      </c>
      <c r="AZ289" s="3">
        <f>((AZ171-AY171)*-1)+((AZ170-AY170)*-1)</f>
        <v>0</v>
      </c>
      <c r="BA289" s="3">
        <f>SUM(AW289:AZ289)</f>
        <v>0</v>
      </c>
      <c r="BB289" s="3">
        <f>((BB171-BA171)*-1)+((BB170-BA170)*-1)</f>
        <v>0</v>
      </c>
      <c r="BC289" s="3">
        <f>((BC171-BB171)*-1)+((BC170-BB170)*-1)</f>
        <v>0</v>
      </c>
      <c r="BD289" s="3">
        <f>((BD171-BC171)*-1)+((BD170-BC170)*-1)</f>
        <v>0</v>
      </c>
      <c r="BE289" s="3">
        <f>((BE171-BD171)*-1)+((BE170-BD170)*-1)</f>
        <v>0</v>
      </c>
      <c r="BF289" s="3">
        <f>SUM(BB289:BE289)</f>
        <v>0</v>
      </c>
      <c r="BG289" s="3">
        <f>((BG171-BF171)*-1)+((BG170-BF170)*-1)</f>
        <v>0</v>
      </c>
      <c r="BH289" s="3">
        <f>((BH171-BG171)*-1)+((BH170-BG170)*-1)</f>
        <v>0</v>
      </c>
      <c r="BI289" s="3">
        <f>((BI171-BH171)*-1)+((BI170-BH170)*-1)</f>
        <v>0</v>
      </c>
      <c r="BJ289" s="3">
        <f>((BJ171-BI171)*-1)+((BJ170-BI170)*-1)</f>
        <v>0</v>
      </c>
      <c r="BK289" s="3">
        <f>SUM(BG289:BJ289)</f>
        <v>0</v>
      </c>
      <c r="BL289" s="3">
        <f>((BL171-BK171)*-1)+((BL170-BK170)*-1)</f>
        <v>0</v>
      </c>
      <c r="BM289" s="3">
        <f>((BM171-BL171)*-1)+((BM170-BL170)*-1)</f>
        <v>0</v>
      </c>
      <c r="BN289" s="3">
        <f>((BN171-BM171)*-1)+((BN170-BM170)*-1)</f>
        <v>0</v>
      </c>
      <c r="BO289" s="3">
        <f>((BO171-BN171)*-1)+((BO170-BN170)*-1)</f>
        <v>0</v>
      </c>
      <c r="BP289" s="3">
        <f>SUM(BL289:BO289)</f>
        <v>0</v>
      </c>
      <c r="BQ289" s="3">
        <f>((BQ171-BP171)*-1)+((BQ170-BP170)*-1)</f>
        <v>0</v>
      </c>
      <c r="BR289" s="3">
        <f>((BR171-BQ171)*-1)+((BR170-BQ170)*-1)</f>
        <v>0</v>
      </c>
      <c r="BS289" s="3">
        <f>((BS171-BR171)*-1)+((BS170-BR170)*-1)</f>
        <v>0</v>
      </c>
      <c r="BT289" s="3">
        <f>((BT171-BS171)*-1)+((BT170-BS170)*-1)</f>
        <v>0</v>
      </c>
      <c r="BU289" s="3">
        <f>SUM(BQ289:BT289)</f>
        <v>0</v>
      </c>
      <c r="BV289" s="3">
        <f>((BV171-BU171)*-1)+((BV170-BU170)*-1)</f>
        <v>0</v>
      </c>
      <c r="BW289" s="3">
        <f>((BW171-BV171)*-1)+((BW170-BV170)*-1)</f>
        <v>0</v>
      </c>
      <c r="BX289" s="3">
        <f>((BX171-BW171)*-1)+((BX170-BW170)*-1)</f>
        <v>0</v>
      </c>
      <c r="BY289" s="3">
        <f>((BY171-BX171)*-1)+((BY170-BX170)*-1)</f>
        <v>0</v>
      </c>
      <c r="BZ289" s="3">
        <f>SUM(BV289:BY289)</f>
        <v>0</v>
      </c>
      <c r="CA289" s="3">
        <f>((CA171-BZ171)*-1)+((CA170-BZ170)*-1)</f>
        <v>0</v>
      </c>
      <c r="CB289" s="3">
        <f>((CB171-CA171)*-1)+((CB170-CA170)*-1)</f>
        <v>0</v>
      </c>
      <c r="CC289" s="3">
        <f>((CC171-CB171)*-1)+((CC170-CB170)*-1)</f>
        <v>0</v>
      </c>
      <c r="CD289" s="3">
        <f>((CD171-CC171)*-1)+((CD170-CC170)*-1)</f>
        <v>0</v>
      </c>
      <c r="CE289" s="3">
        <f>SUM(CA289:CD289)</f>
        <v>0</v>
      </c>
      <c r="CF289" s="3">
        <f>((CF171-CE171)*-1)+((CF170-CE170)*-1)</f>
        <v>0</v>
      </c>
      <c r="CG289" s="3">
        <f>((CG171-CF171)*-1)+((CG170-CF170)*-1)</f>
        <v>0</v>
      </c>
      <c r="CH289" s="3">
        <f>((CH171-CG171)*-1)+((CH170-CG170)*-1)</f>
        <v>0</v>
      </c>
      <c r="CI289" s="3">
        <f>((CI171-CH171)*-1)+((CI170-CH170)*-1)</f>
        <v>0</v>
      </c>
      <c r="CJ289" s="3">
        <f>SUM(CF289:CI289)</f>
        <v>0</v>
      </c>
      <c r="CK289" s="3">
        <f>((CK171-CJ171)*-1)+((CK170-CJ170)*-1)</f>
        <v>0</v>
      </c>
      <c r="CL289" s="3">
        <f>((CL171-CK171)*-1)+((CL170-CK170)*-1)</f>
        <v>0</v>
      </c>
      <c r="CM289" s="3">
        <f>((CM171-CL171)*-1)+((CM170-CL170)*-1)</f>
        <v>0</v>
      </c>
      <c r="CN289" s="3">
        <f>((CN171-CM171)*-1)+((CN170-CM170)*-1)</f>
        <v>0</v>
      </c>
      <c r="CO289" s="3">
        <f>SUM(CK289:CN289)</f>
        <v>0</v>
      </c>
      <c r="CP289" s="3">
        <f>((CP171-CO171)*-1)+((CP170-CO170)*-1)</f>
        <v>0</v>
      </c>
      <c r="CQ289" s="3">
        <f>((CQ171-CP171)*-1)+((CQ170-CP170)*-1)</f>
        <v>0</v>
      </c>
      <c r="CR289" s="3">
        <f>((CR171-CQ171)*-1)+((CR170-CQ170)*-1)</f>
        <v>0</v>
      </c>
      <c r="CS289" s="3">
        <f>((CS171-CR171)*-1)+((CS170-CR170)*-1)</f>
        <v>0</v>
      </c>
      <c r="CT289" s="3">
        <f>SUM(CP289:CS289)</f>
        <v>0</v>
      </c>
      <c r="CU289" s="3">
        <f>((CU171-CT171)*-1)+((CU170-CT170)*-1)</f>
        <v>0</v>
      </c>
      <c r="CV289" s="3">
        <f>((CV171-CU171)*-1)+((CV170-CU170)*-1)</f>
        <v>0</v>
      </c>
      <c r="CW289" s="3">
        <f>((CW171-CV171)*-1)+((CW170-CV170)*-1)</f>
        <v>0</v>
      </c>
      <c r="CX289" s="3">
        <f>((CX171-CW171)*-1)+((CX170-CW170)*-1)</f>
        <v>0</v>
      </c>
      <c r="CY289" s="3">
        <f>SUM(CU289:CX289)</f>
        <v>0</v>
      </c>
      <c r="CZ289" s="3" t="n"/>
      <c r="DA289" s="3" t="n"/>
      <c r="DB289" s="3" t="n"/>
      <c r="DC289" s="3" t="n"/>
    </row>
    <row r="290">
      <c r="C290" s="30" t="inlineStr">
        <is>
          <t>Purchases/Proceeds from other long-term assets</t>
        </is>
      </c>
      <c r="D290" s="3" t="n"/>
      <c r="E290" s="3">
        <f>((E180-D180)*-1)+(E231-D231)</f>
        <v>48</v>
      </c>
      <c r="F290" s="3">
        <f>((F180-E180)*-1)+(F231-E231)</f>
        <v>-137</v>
      </c>
      <c r="G290" s="3">
        <f>((G180-F180)*-1)+(G231-F231)</f>
        <v>213</v>
      </c>
      <c r="H290" s="3">
        <f>SUM(D290:G290)</f>
        <v>124</v>
      </c>
      <c r="I290" s="3">
        <f>((I180-H180)*-1)+(I231-H231)</f>
        <v>-382</v>
      </c>
      <c r="J290" s="3">
        <f>((J180-I180)*-1)+(J231-I231)</f>
        <v>-299</v>
      </c>
      <c r="K290" s="3">
        <f>((K180-J180)*-1)+(K231-J231)</f>
        <v>-2952</v>
      </c>
      <c r="L290" s="3">
        <f>((L180-K180)*-1)+(L231-K231)</f>
        <v>-2016</v>
      </c>
      <c r="M290" s="3">
        <f>SUM(I290:L290)</f>
        <v>-5649</v>
      </c>
      <c r="N290" s="3">
        <f>((N180-M180)*-1)+(N231-M231)</f>
        <v>305</v>
      </c>
      <c r="O290" s="3">
        <f>((O180-N180)*-1)+(O231-N231)</f>
        <v>-1855</v>
      </c>
      <c r="P290" s="3">
        <f>((P180-O180)*-1)+(P231-O231)</f>
        <v>152</v>
      </c>
      <c r="Q290" s="3">
        <f>((Q180-P180)*-1)+(Q231-P231)</f>
        <v>170</v>
      </c>
      <c r="R290" s="3">
        <f>SUM(N290:Q290)</f>
        <v>-1228</v>
      </c>
      <c r="S290" s="3">
        <f>((S180-R180)*-1)+(S231-R231)</f>
        <v>-50</v>
      </c>
      <c r="T290" s="3">
        <f>((T180-S180)*-1)+(T231-S231)</f>
        <v>179</v>
      </c>
      <c r="U290" s="3">
        <f>((U180-T180)*-1)+(U231-T231)</f>
        <v>113</v>
      </c>
      <c r="V290" s="3">
        <f>((V180-U180)*-1)+(V231-U231)</f>
        <v>-1817</v>
      </c>
      <c r="W290" s="3">
        <f>SUM(S290:V290)</f>
        <v>-1575</v>
      </c>
      <c r="X290" s="3">
        <f>((X180-W180)*-1)+(X231-W231)</f>
        <v>-115</v>
      </c>
      <c r="Y290" s="3">
        <f>((Y180-X180)*-1)+(Y231-X231)</f>
        <v>-192</v>
      </c>
      <c r="Z290" s="3">
        <f>((Z180-Y180)*-1)+(Z231-Y231)</f>
        <v>-125</v>
      </c>
      <c r="AA290" s="3">
        <f>((AA180-Z180)*-1)+(AA231-Z231)</f>
        <v>-1526</v>
      </c>
      <c r="AB290" s="3">
        <f>SUM(X290:AA290)</f>
        <v>-1958</v>
      </c>
      <c r="AC290" s="3">
        <f>((AC180-AB180)*-1)+(AC231-AB231)</f>
        <v>-255</v>
      </c>
      <c r="AD290" s="3">
        <f>((AD180-AC180)*-1)+(AD231-AC231)</f>
        <v>263</v>
      </c>
      <c r="AE290" s="3">
        <f>((AE180-AD180)*-1)+(AE231-AD231)</f>
        <v>-190</v>
      </c>
      <c r="AF290" s="3">
        <f>((AF180-AE180)*-1)+(AF231-AE231)</f>
        <v>-1827</v>
      </c>
      <c r="AG290" s="3">
        <f>SUM(AC290:AF290)</f>
        <v>-2009</v>
      </c>
      <c r="AH290" s="3">
        <f>((AH180-AG180)*-1)+(AH231-AG231)</f>
        <v>2375</v>
      </c>
      <c r="AI290" s="3">
        <f>((AI180-AH180)*-1)+(AI231-AH231)</f>
        <v>-25</v>
      </c>
      <c r="AJ290" s="3">
        <f>((AJ180-AI180)*-1)+(AJ231-AI231)</f>
        <v>0</v>
      </c>
      <c r="AK290" s="3">
        <f>((AK180-AJ180)*-1)+(AK231-AJ231)</f>
        <v>0</v>
      </c>
      <c r="AL290" s="3">
        <f>SUM(AH290:AK290)</f>
        <v>2350</v>
      </c>
      <c r="AM290" s="3">
        <f>((AM180-AL180)*-1)+(AM231-AL231)</f>
        <v>0</v>
      </c>
      <c r="AN290" s="3">
        <f>((AN180-AM180)*-1)+(AN231-AM231)</f>
        <v>0</v>
      </c>
      <c r="AO290" s="3">
        <f>((AO180-AN180)*-1)+(AO231-AN231)</f>
        <v>0</v>
      </c>
      <c r="AP290" s="3">
        <f>((AP180-AO180)*-1)+(AP231-AO231)</f>
        <v>0</v>
      </c>
      <c r="AQ290" s="3">
        <f>SUM(AM290:AP290)</f>
        <v>0</v>
      </c>
      <c r="AR290" s="3">
        <f>((AR180-AQ180)*-1)+(AR231-AQ231)</f>
        <v>0</v>
      </c>
      <c r="AS290" s="3">
        <f>((AS180-AR180)*-1)+(AS231-AR231)</f>
        <v>0</v>
      </c>
      <c r="AT290" s="3">
        <f>((AT180-AS180)*-1)+(AT231-AS231)</f>
        <v>0</v>
      </c>
      <c r="AU290" s="3">
        <f>((AU180-AT180)*-1)+(AU231-AT231)</f>
        <v>0</v>
      </c>
      <c r="AV290" s="3">
        <f>SUM(AR290:AU290)</f>
        <v>0</v>
      </c>
      <c r="AW290" s="3">
        <f>((AW180-AV180)*-1)+(AW231-AV231)</f>
        <v>0</v>
      </c>
      <c r="AX290" s="3">
        <f>((AX180-AW180)*-1)+(AX231-AW231)</f>
        <v>0</v>
      </c>
      <c r="AY290" s="3">
        <f>((AY180-AX180)*-1)+(AY231-AX231)</f>
        <v>0</v>
      </c>
      <c r="AZ290" s="3">
        <f>((AZ180-AY180)*-1)+(AZ231-AY231)</f>
        <v>0</v>
      </c>
      <c r="BA290" s="3">
        <f>SUM(AW290:AZ290)</f>
        <v>0</v>
      </c>
      <c r="BB290" s="3">
        <f>((BB180-BA180)*-1)+(BB231-BA231)</f>
        <v>0</v>
      </c>
      <c r="BC290" s="3">
        <f>((BC180-BB180)*-1)+(BC231-BB231)</f>
        <v>0</v>
      </c>
      <c r="BD290" s="3">
        <f>((BD180-BC180)*-1)+(BD231-BC231)</f>
        <v>0</v>
      </c>
      <c r="BE290" s="3">
        <f>((BE180-BD180)*-1)+(BE231-BD231)</f>
        <v>0</v>
      </c>
      <c r="BF290" s="3">
        <f>SUM(BB290:BE290)</f>
        <v>0</v>
      </c>
      <c r="BG290" s="3">
        <f>((BG180-BF180)*-1)+(BG231-BF231)</f>
        <v>0</v>
      </c>
      <c r="BH290" s="3">
        <f>((BH180-BG180)*-1)+(BH231-BG231)</f>
        <v>0</v>
      </c>
      <c r="BI290" s="3">
        <f>((BI180-BH180)*-1)+(BI231-BH231)</f>
        <v>0</v>
      </c>
      <c r="BJ290" s="3">
        <f>((BJ180-BI180)*-1)+(BJ231-BI231)</f>
        <v>0</v>
      </c>
      <c r="BK290" s="3">
        <f>SUM(BG290:BJ290)</f>
        <v>0</v>
      </c>
      <c r="BL290" s="3">
        <f>((BL180-BK180)*-1)+(BL231-BK231)</f>
        <v>0</v>
      </c>
      <c r="BM290" s="3">
        <f>((BM180-BL180)*-1)+(BM231-BL231)</f>
        <v>0</v>
      </c>
      <c r="BN290" s="3">
        <f>((BN180-BM180)*-1)+(BN231-BM231)</f>
        <v>0</v>
      </c>
      <c r="BO290" s="3">
        <f>((BO180-BN180)*-1)+(BO231-BN231)</f>
        <v>0</v>
      </c>
      <c r="BP290" s="3">
        <f>SUM(BL290:BO290)</f>
        <v>0</v>
      </c>
      <c r="BQ290" s="3">
        <f>((BQ180-BP180)*-1)+(BQ231-BP231)</f>
        <v>0</v>
      </c>
      <c r="BR290" s="3">
        <f>((BR180-BQ180)*-1)+(BR231-BQ231)</f>
        <v>0</v>
      </c>
      <c r="BS290" s="3">
        <f>((BS180-BR180)*-1)+(BS231-BR231)</f>
        <v>0</v>
      </c>
      <c r="BT290" s="3">
        <f>((BT180-BS180)*-1)+(BT231-BS231)</f>
        <v>0</v>
      </c>
      <c r="BU290" s="3">
        <f>SUM(BQ290:BT290)</f>
        <v>0</v>
      </c>
      <c r="BV290" s="3">
        <f>((BV180-BU180)*-1)+(BV231-BU231)</f>
        <v>0</v>
      </c>
      <c r="BW290" s="3">
        <f>((BW180-BV180)*-1)+(BW231-BV231)</f>
        <v>0</v>
      </c>
      <c r="BX290" s="3">
        <f>((BX180-BW180)*-1)+(BX231-BW231)</f>
        <v>0</v>
      </c>
      <c r="BY290" s="3">
        <f>((BY180-BX180)*-1)+(BY231-BX231)</f>
        <v>0</v>
      </c>
      <c r="BZ290" s="3">
        <f>SUM(BV290:BY290)</f>
        <v>0</v>
      </c>
      <c r="CA290" s="3">
        <f>((CA180-BZ180)*-1)+(CA231-BZ231)</f>
        <v>0</v>
      </c>
      <c r="CB290" s="3">
        <f>((CB180-CA180)*-1)+(CB231-CA231)</f>
        <v>0</v>
      </c>
      <c r="CC290" s="3">
        <f>((CC180-CB180)*-1)+(CC231-CB231)</f>
        <v>0</v>
      </c>
      <c r="CD290" s="3">
        <f>((CD180-CC180)*-1)+(CD231-CC231)</f>
        <v>0</v>
      </c>
      <c r="CE290" s="3">
        <f>SUM(CA290:CD290)</f>
        <v>0</v>
      </c>
      <c r="CF290" s="3">
        <f>((CF180-CE180)*-1)+(CF231-CE231)</f>
        <v>0</v>
      </c>
      <c r="CG290" s="3">
        <f>((CG180-CF180)*-1)+(CG231-CF231)</f>
        <v>0</v>
      </c>
      <c r="CH290" s="3">
        <f>((CH180-CG180)*-1)+(CH231-CG231)</f>
        <v>0</v>
      </c>
      <c r="CI290" s="3">
        <f>((CI180-CH180)*-1)+(CI231-CH231)</f>
        <v>0</v>
      </c>
      <c r="CJ290" s="3">
        <f>SUM(CF290:CI290)</f>
        <v>0</v>
      </c>
      <c r="CK290" s="3">
        <f>((CK180-CJ180)*-1)+(CK231-CJ231)</f>
        <v>0</v>
      </c>
      <c r="CL290" s="3">
        <f>((CL180-CK180)*-1)+(CL231-CK231)</f>
        <v>0</v>
      </c>
      <c r="CM290" s="3">
        <f>((CM180-CL180)*-1)+(CM231-CL231)</f>
        <v>0</v>
      </c>
      <c r="CN290" s="3">
        <f>((CN180-CM180)*-1)+(CN231-CM231)</f>
        <v>0</v>
      </c>
      <c r="CO290" s="3">
        <f>SUM(CK290:CN290)</f>
        <v>0</v>
      </c>
      <c r="CP290" s="3">
        <f>((CP180-CO180)*-1)+(CP231-CO231)</f>
        <v>0</v>
      </c>
      <c r="CQ290" s="3">
        <f>((CQ180-CP180)*-1)+(CQ231-CP231)</f>
        <v>0</v>
      </c>
      <c r="CR290" s="3">
        <f>((CR180-CQ180)*-1)+(CR231-CQ231)</f>
        <v>0</v>
      </c>
      <c r="CS290" s="3">
        <f>((CS180-CR180)*-1)+(CS231-CR231)</f>
        <v>0</v>
      </c>
      <c r="CT290" s="3">
        <f>SUM(CP290:CS290)</f>
        <v>0</v>
      </c>
      <c r="CU290" s="3">
        <f>((CU180-CT180)*-1)+(CU231-CT231)</f>
        <v>0</v>
      </c>
      <c r="CV290" s="3">
        <f>((CV180-CU180)*-1)+(CV231-CU231)</f>
        <v>0</v>
      </c>
      <c r="CW290" s="3">
        <f>((CW180-CV180)*-1)+(CW231-CV231)</f>
        <v>0</v>
      </c>
      <c r="CX290" s="3">
        <f>((CX180-CW180)*-1)+(CX231-CW231)</f>
        <v>0</v>
      </c>
      <c r="CY290" s="3">
        <f>SUM(CU290:CX290)</f>
        <v>0</v>
      </c>
    </row>
    <row r="291">
      <c r="C291" s="26" t="inlineStr">
        <is>
          <t>Cash from investing</t>
        </is>
      </c>
      <c r="D291" s="3" t="n"/>
      <c r="E291" s="3">
        <f>SUM(E286,E287,E289,E290,E288)</f>
        <v>-266</v>
      </c>
      <c r="F291" s="3">
        <f>SUM(F286,F287,F289,F290,F288)</f>
        <v>-542</v>
      </c>
      <c r="G291" s="3">
        <f>SUM(G286,G287,G289,G290,G288)</f>
        <v>-776</v>
      </c>
      <c r="H291" s="3">
        <f>SUM(H286,H287,H289,H290)</f>
        <v>-1584</v>
      </c>
      <c r="I291" s="3">
        <f>SUM(I286,I287,I289,I290,I288)</f>
        <v>-629</v>
      </c>
      <c r="J291" s="3">
        <f>SUM(J286,J287,J289,J290,J288)</f>
        <v>-640</v>
      </c>
      <c r="K291" s="3">
        <f>SUM(K286,K287,K289,K290,K288)</f>
        <v>-3247</v>
      </c>
      <c r="L291" s="3">
        <f>SUM(L286,L287,L289,L290,L288)</f>
        <v>-2582</v>
      </c>
      <c r="M291" s="3">
        <f>SUM(M286,M287,M289,M290)</f>
        <v>-7098</v>
      </c>
      <c r="N291" s="3">
        <f>SUM(N286,N287,N289,N290,N288)</f>
        <v>76</v>
      </c>
      <c r="O291" s="3">
        <f>SUM(O286,O287,O289,O290,O288)</f>
        <v>-2129</v>
      </c>
      <c r="P291" s="3">
        <f>SUM(P286,P287,P289,P290,P288)</f>
        <v>-108</v>
      </c>
      <c r="Q291" s="3">
        <f>SUM(Q286,Q287,Q289,Q290,Q288)</f>
        <v>-569</v>
      </c>
      <c r="R291" s="3">
        <f>SUM(R286,R287,R289,R290)</f>
        <v>-2730</v>
      </c>
      <c r="S291" s="3">
        <f>SUM(S286,S287,S289,S290,S288)</f>
        <v>-272</v>
      </c>
      <c r="T291" s="3">
        <f>SUM(T286,T287,T289,T290,T288)</f>
        <v>-141</v>
      </c>
      <c r="U291" s="3">
        <f>SUM(U286,U287,U289,U290,U288)</f>
        <v>-242</v>
      </c>
      <c r="V291" s="3">
        <f>SUM(V286,V287,V289,V290,V288)</f>
        <v>-2517</v>
      </c>
      <c r="W291" s="3">
        <f>SUM(W286,W287,W289,W290)</f>
        <v>-3172</v>
      </c>
      <c r="X291" s="3">
        <f>SUM(X286,X287,X289,X290,X288)</f>
        <v>-379</v>
      </c>
      <c r="Y291" s="3">
        <f>SUM(Y286,Y287,Y289,Y290,Y288)</f>
        <v>-478</v>
      </c>
      <c r="Z291" s="3">
        <f>SUM(Z286,Z287,Z289,Z290,Z288)</f>
        <v>-527</v>
      </c>
      <c r="AA291" s="3">
        <f>SUM(AA286,AA287,AA289,AA290,AA288)</f>
        <v>-2560</v>
      </c>
      <c r="AB291" s="3">
        <f>SUM(AB286,AB287,AB289,AB290)</f>
        <v>-3944</v>
      </c>
      <c r="AC291" s="3">
        <f>SUM(AC286,AC287,AC289,AC290,AC288)</f>
        <v>-585</v>
      </c>
      <c r="AD291" s="3">
        <f>SUM(AD286,AD287,AD289,AD290,AD288)</f>
        <v>-387</v>
      </c>
      <c r="AE291" s="3">
        <f>SUM(AE286,AE287,AE289,AE290,AE288)</f>
        <v>-604</v>
      </c>
      <c r="AF291" s="3">
        <f>SUM(AF286,AF287,AF289,AF290,AF288)</f>
        <v>-2388</v>
      </c>
      <c r="AG291" s="3">
        <f>SUM(AG286,AG287,AG289,AG290)</f>
        <v>-3964</v>
      </c>
      <c r="AH291" s="3">
        <f>SUM(AH286,AH287,AH289,AH290,AH288)</f>
        <v>-373</v>
      </c>
      <c r="AI291" s="3">
        <f>SUM(AI286,AI287,AI289,AI290,AI288)</f>
        <v>-474</v>
      </c>
      <c r="AJ291" s="3">
        <f>SUM(AJ286,AJ287,AJ289,AJ290,AJ288)</f>
        <v>1787</v>
      </c>
      <c r="AK291" s="3">
        <f>SUM(AK286,AK287,AK289,AK290,AK288)</f>
        <v>0</v>
      </c>
      <c r="AL291" s="3">
        <f>SUM(AL286,AL287,AL289,AL290)</f>
        <v>940</v>
      </c>
      <c r="AM291" s="3">
        <f>SUM(AM286,AM287,AM289,AM290,AM288)</f>
        <v>0</v>
      </c>
      <c r="AN291" s="3">
        <f>SUM(AN286,AN287,AN289,AN290,AN288)</f>
        <v>0</v>
      </c>
      <c r="AO291" s="3">
        <f>SUM(AO286,AO287,AO289,AO290,AO288)</f>
        <v>0</v>
      </c>
      <c r="AP291" s="3">
        <f>SUM(AP286,AP287,AP289,AP290,AP288)</f>
        <v>0</v>
      </c>
      <c r="AQ291" s="3">
        <f>SUM(AQ286,AQ287,AQ289,AQ290)</f>
        <v>0</v>
      </c>
      <c r="AR291" s="3">
        <f>SUM(AR286,AR287,AR289,AR290,AR288)</f>
        <v>0</v>
      </c>
      <c r="AS291" s="3">
        <f>SUM(AS286,AS287,AS289,AS290,AS288)</f>
        <v>0</v>
      </c>
      <c r="AT291" s="3">
        <f>SUM(AT286,AT287,AT289,AT290,AT288)</f>
        <v>0</v>
      </c>
      <c r="AU291" s="3">
        <f>SUM(AU286,AU287,AU289,AU290,AU288)</f>
        <v>0</v>
      </c>
      <c r="AV291" s="3">
        <f>SUM(AV286,AV287,AV289,AV290)</f>
        <v>0</v>
      </c>
      <c r="AW291" s="3">
        <f>SUM(AW286,AW287,AW289,AW290,AW288)</f>
        <v>0</v>
      </c>
      <c r="AX291" s="3">
        <f>SUM(AX286,AX287,AX289,AX290,AX288)</f>
        <v>0</v>
      </c>
      <c r="AY291" s="3">
        <f>SUM(AY286,AY287,AY289,AY290,AY288)</f>
        <v>0</v>
      </c>
      <c r="AZ291" s="3">
        <f>SUM(AZ286,AZ287,AZ289,AZ290,AZ288)</f>
        <v>0</v>
      </c>
      <c r="BA291" s="3">
        <f>SUM(BA286,BA287,BA289,BA290)</f>
        <v>0</v>
      </c>
      <c r="BB291" s="3">
        <f>SUM(BB286,BB287,BB289,BB290,BB288)</f>
        <v>0</v>
      </c>
      <c r="BC291" s="3">
        <f>SUM(BC286,BC287,BC289,BC290,BC288)</f>
        <v>0</v>
      </c>
      <c r="BD291" s="3">
        <f>SUM(BD286,BD287,BD289,BD290,BD288)</f>
        <v>0</v>
      </c>
      <c r="BE291" s="3">
        <f>SUM(BE286,BE287,BE289,BE290,BE288)</f>
        <v>0</v>
      </c>
      <c r="BF291" s="3">
        <f>SUM(BF286,BF287,BF289,BF290)</f>
        <v>0</v>
      </c>
      <c r="BG291" s="3">
        <f>SUM(BG286,BG287,BG289,BG290,BG288)</f>
        <v>0</v>
      </c>
      <c r="BH291" s="3">
        <f>SUM(BH286,BH287,BH289,BH290,BH288)</f>
        <v>0</v>
      </c>
      <c r="BI291" s="3">
        <f>SUM(BI286,BI287,BI289,BI290,BI288)</f>
        <v>0</v>
      </c>
      <c r="BJ291" s="3">
        <f>SUM(BJ286,BJ287,BJ289,BJ290,BJ288)</f>
        <v>0</v>
      </c>
      <c r="BK291" s="3">
        <f>SUM(BK286,BK287,BK289,BK290)</f>
        <v>0</v>
      </c>
      <c r="BL291" s="3">
        <f>SUM(BL286,BL287,BL289,BL290,BL288)</f>
        <v>0</v>
      </c>
      <c r="BM291" s="3">
        <f>SUM(BM286,BM287,BM289,BM290,BM288)</f>
        <v>0</v>
      </c>
      <c r="BN291" s="3">
        <f>SUM(BN286,BN287,BN289,BN290,BN288)</f>
        <v>0</v>
      </c>
      <c r="BO291" s="3">
        <f>SUM(BO286,BO287,BO289,BO290,BO288)</f>
        <v>0</v>
      </c>
      <c r="BP291" s="3">
        <f>SUM(BP286,BP287,BP289,BP290)</f>
        <v>0</v>
      </c>
      <c r="BQ291" s="3">
        <f>SUM(BQ286,BQ287,BQ289,BQ290,BQ288)</f>
        <v>0</v>
      </c>
      <c r="BR291" s="3">
        <f>SUM(BR286,BR287,BR289,BR290,BR288)</f>
        <v>0</v>
      </c>
      <c r="BS291" s="3">
        <f>SUM(BS286,BS287,BS289,BS290,BS288)</f>
        <v>0</v>
      </c>
      <c r="BT291" s="3">
        <f>SUM(BT286,BT287,BT289,BT290,BT288)</f>
        <v>0</v>
      </c>
      <c r="BU291" s="3">
        <f>SUM(BU286,BU287,BU289,BU290)</f>
        <v>0</v>
      </c>
      <c r="BV291" s="3">
        <f>SUM(BV286,BV287,BV289,BV290,BV288)</f>
        <v>0</v>
      </c>
      <c r="BW291" s="3">
        <f>SUM(BW286,BW287,BW289,BW290,BW288)</f>
        <v>0</v>
      </c>
      <c r="BX291" s="3">
        <f>SUM(BX286,BX287,BX289,BX290,BX288)</f>
        <v>0</v>
      </c>
      <c r="BY291" s="3">
        <f>SUM(BY286,BY287,BY289,BY290,BY288)</f>
        <v>0</v>
      </c>
      <c r="BZ291" s="3">
        <f>SUM(BZ286,BZ287,BZ289,BZ290)</f>
        <v>0</v>
      </c>
      <c r="CA291" s="3">
        <f>SUM(CA286,CA287,CA289,CA290,CA288)</f>
        <v>0</v>
      </c>
      <c r="CB291" s="3">
        <f>SUM(CB286,CB287,CB289,CB290,CB288)</f>
        <v>0</v>
      </c>
      <c r="CC291" s="3">
        <f>SUM(CC286,CC287,CC289,CC290,CC288)</f>
        <v>0</v>
      </c>
      <c r="CD291" s="3">
        <f>SUM(CD286,CD287,CD289,CD290,CD288)</f>
        <v>0</v>
      </c>
      <c r="CE291" s="3">
        <f>SUM(CE286,CE287,CE289,CE290)</f>
        <v>0</v>
      </c>
      <c r="CF291" s="3">
        <f>SUM(CF286,CF287,CF289,CF290,CF288)</f>
        <v>0</v>
      </c>
      <c r="CG291" s="3">
        <f>SUM(CG286,CG287,CG289,CG290,CG288)</f>
        <v>0</v>
      </c>
      <c r="CH291" s="3">
        <f>SUM(CH286,CH287,CH289,CH290,CH288)</f>
        <v>0</v>
      </c>
      <c r="CI291" s="3">
        <f>SUM(CI286,CI287,CI289,CI290,CI288)</f>
        <v>0</v>
      </c>
      <c r="CJ291" s="3">
        <f>SUM(CJ286,CJ287,CJ289,CJ290)</f>
        <v>0</v>
      </c>
      <c r="CK291" s="3">
        <f>SUM(CK286,CK287,CK289,CK290,CK288)</f>
        <v>0</v>
      </c>
      <c r="CL291" s="3">
        <f>SUM(CL286,CL287,CL289,CL290,CL288)</f>
        <v>0</v>
      </c>
      <c r="CM291" s="3">
        <f>SUM(CM286,CM287,CM289,CM290,CM288)</f>
        <v>0</v>
      </c>
      <c r="CN291" s="3">
        <f>SUM(CN286,CN287,CN289,CN290,CN288)</f>
        <v>0</v>
      </c>
      <c r="CO291" s="3">
        <f>SUM(CO286,CO287,CO289,CO290)</f>
        <v>0</v>
      </c>
      <c r="CP291" s="3">
        <f>SUM(CP286,CP287,CP289,CP290,CP288)</f>
        <v>0</v>
      </c>
      <c r="CQ291" s="3">
        <f>SUM(CQ286,CQ287,CQ289,CQ290,CQ288)</f>
        <v>0</v>
      </c>
      <c r="CR291" s="3">
        <f>SUM(CR286,CR287,CR289,CR290,CR288)</f>
        <v>0</v>
      </c>
      <c r="CS291" s="3">
        <f>SUM(CS286,CS287,CS289,CS290,CS288)</f>
        <v>0</v>
      </c>
      <c r="CT291" s="3">
        <f>SUM(CT286,CT287,CT289,CT290)</f>
        <v>0</v>
      </c>
      <c r="CU291" s="3">
        <f>SUM(CU286,CU287,CU289,CU290,CU288)</f>
        <v>0</v>
      </c>
      <c r="CV291" s="3">
        <f>SUM(CV286,CV287,CV289,CV290,CV288)</f>
        <v>0</v>
      </c>
      <c r="CW291" s="3">
        <f>SUM(CW286,CW287,CW289,CW290,CW288)</f>
        <v>0</v>
      </c>
      <c r="CX291" s="3">
        <f>SUM(CX286,CX287,CX289,CX290,CX288)</f>
        <v>0</v>
      </c>
      <c r="CY291" s="3">
        <f>SUM(CY286,CY287,CY289,CY290)</f>
        <v>0</v>
      </c>
    </row>
    <row r="292">
      <c r="C292" s="26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  <c r="CG292" s="3" t="n"/>
      <c r="CH292" s="3" t="n"/>
      <c r="CI292" s="3" t="n"/>
      <c r="CJ292" s="3" t="n"/>
      <c r="CK292" s="3" t="n"/>
      <c r="CL292" s="3" t="n"/>
      <c r="CM292" s="3" t="n"/>
      <c r="CN292" s="3" t="n"/>
      <c r="CO292" s="3" t="n"/>
      <c r="CP292" s="3" t="n"/>
      <c r="CQ292" s="3" t="n"/>
      <c r="CR292" s="3" t="n"/>
      <c r="CS292" s="3" t="n"/>
      <c r="CT292" s="3" t="n"/>
      <c r="CU292" s="3" t="n"/>
      <c r="CV292" s="3" t="n"/>
      <c r="CW292" s="3" t="n"/>
      <c r="CX292" s="3" t="n"/>
      <c r="CY292" s="3" t="n"/>
    </row>
    <row r="293">
      <c r="C293" s="26" t="inlineStr">
        <is>
          <t>Convertible preferred stock</t>
        </is>
      </c>
      <c r="D293" s="3" t="n"/>
      <c r="E293" s="3">
        <f>E244-D244</f>
        <v>0</v>
      </c>
      <c r="F293" s="3">
        <f>F244-E244</f>
        <v>0</v>
      </c>
      <c r="G293" s="3">
        <f>G244-F244</f>
        <v>0</v>
      </c>
      <c r="H293" s="3">
        <f>SUM(D293:G293)</f>
        <v>0</v>
      </c>
      <c r="I293" s="3">
        <f>I244-H244</f>
        <v>0</v>
      </c>
      <c r="J293" s="3">
        <f>J244-I244</f>
        <v>0</v>
      </c>
      <c r="K293" s="3">
        <f>K244-J244</f>
        <v>0</v>
      </c>
      <c r="L293" s="3">
        <f>L244-K244</f>
        <v>0</v>
      </c>
      <c r="M293" s="3">
        <f>SUM(I293:L293)</f>
        <v>0</v>
      </c>
      <c r="N293" s="3">
        <f>N244-M244</f>
        <v>0</v>
      </c>
      <c r="O293" s="3">
        <f>O244-N244</f>
        <v>0</v>
      </c>
      <c r="P293" s="3">
        <f>P244-O244</f>
        <v>0</v>
      </c>
      <c r="Q293" s="3">
        <f>Q244-P244</f>
        <v>0</v>
      </c>
      <c r="R293" s="3">
        <f>SUM(N293:Q293)</f>
        <v>0</v>
      </c>
      <c r="S293" s="3">
        <f>S244-R244</f>
        <v>0</v>
      </c>
      <c r="T293" s="3">
        <f>T244-S244</f>
        <v>0</v>
      </c>
      <c r="U293" s="3">
        <f>U244-T244</f>
        <v>0</v>
      </c>
      <c r="V293" s="3">
        <f>V244-U244</f>
        <v>0</v>
      </c>
      <c r="W293" s="3">
        <f>SUM(S293:V293)</f>
        <v>0</v>
      </c>
      <c r="X293" s="3">
        <f>X244-W244</f>
        <v>0</v>
      </c>
      <c r="Y293" s="3">
        <f>Y244-X244</f>
        <v>0</v>
      </c>
      <c r="Z293" s="3">
        <f>Z244-Y244</f>
        <v>0</v>
      </c>
      <c r="AA293" s="3">
        <f>AA244-Z244</f>
        <v>0</v>
      </c>
      <c r="AB293" s="3">
        <f>SUM(X293:AA293)</f>
        <v>0</v>
      </c>
      <c r="AC293" s="3">
        <f>AC244-AB244</f>
        <v>0</v>
      </c>
      <c r="AD293" s="3">
        <f>AD244-AC244</f>
        <v>0</v>
      </c>
      <c r="AE293" s="3">
        <f>AE244-AD244</f>
        <v>0</v>
      </c>
      <c r="AF293" s="3">
        <f>AF244-AE244</f>
        <v>0</v>
      </c>
      <c r="AG293" s="3">
        <f>SUM(AC293:AF293)</f>
        <v>0</v>
      </c>
      <c r="AH293" s="3">
        <f>AH244-AG244</f>
        <v>0</v>
      </c>
      <c r="AI293" s="3">
        <f>AI244-AH244</f>
        <v>0</v>
      </c>
      <c r="AJ293" s="3">
        <f>AJ244-AI244</f>
        <v>0</v>
      </c>
      <c r="AK293" s="3">
        <f>AK244-AJ244</f>
        <v>0</v>
      </c>
      <c r="AL293" s="3">
        <f>SUM(AH293:AK293)</f>
        <v>0</v>
      </c>
      <c r="AM293" s="3">
        <f>AM244-AL244</f>
        <v>0</v>
      </c>
      <c r="AN293" s="3">
        <f>AN244-AM244</f>
        <v>0</v>
      </c>
      <c r="AO293" s="3">
        <f>AO244-AN244</f>
        <v>0</v>
      </c>
      <c r="AP293" s="3">
        <f>AP244-AO244</f>
        <v>0</v>
      </c>
      <c r="AQ293" s="3">
        <f>SUM(AM293:AP293)</f>
        <v>0</v>
      </c>
      <c r="AR293" s="3">
        <f>AR244-AQ244</f>
        <v>0</v>
      </c>
      <c r="AS293" s="3">
        <f>AS244-AR244</f>
        <v>0</v>
      </c>
      <c r="AT293" s="3">
        <f>AT244-AS244</f>
        <v>0</v>
      </c>
      <c r="AU293" s="3">
        <f>AU244-AT244</f>
        <v>0</v>
      </c>
      <c r="AV293" s="3">
        <f>SUM(AR293:AU293)</f>
        <v>0</v>
      </c>
      <c r="AW293" s="3">
        <f>AW244-AV244</f>
        <v>0</v>
      </c>
      <c r="AX293" s="3">
        <f>AX244-AW244</f>
        <v>0</v>
      </c>
      <c r="AY293" s="3">
        <f>AY244-AX244</f>
        <v>0</v>
      </c>
      <c r="AZ293" s="3">
        <f>AZ244-AY244</f>
        <v>0</v>
      </c>
      <c r="BA293" s="3">
        <f>SUM(AW293:AZ293)</f>
        <v>0</v>
      </c>
      <c r="BB293" s="3">
        <f>BB244-BA244</f>
        <v>0</v>
      </c>
      <c r="BC293" s="3">
        <f>BC244-BB244</f>
        <v>0</v>
      </c>
      <c r="BD293" s="3">
        <f>BD244-BC244</f>
        <v>0</v>
      </c>
      <c r="BE293" s="3">
        <f>BE244-BD244</f>
        <v>0</v>
      </c>
      <c r="BF293" s="3">
        <f>SUM(BB293:BE293)</f>
        <v>0</v>
      </c>
      <c r="BG293" s="3">
        <f>BG244-BF244</f>
        <v>0</v>
      </c>
      <c r="BH293" s="3">
        <f>BH244-BG244</f>
        <v>0</v>
      </c>
      <c r="BI293" s="3">
        <f>BI244-BH244</f>
        <v>0</v>
      </c>
      <c r="BJ293" s="3">
        <f>BJ244-BI244</f>
        <v>0</v>
      </c>
      <c r="BK293" s="3">
        <f>SUM(BG293:BJ293)</f>
        <v>0</v>
      </c>
      <c r="BL293" s="3">
        <f>BL244-BK244</f>
        <v>0</v>
      </c>
      <c r="BM293" s="3">
        <f>BM244-BL244</f>
        <v>0</v>
      </c>
      <c r="BN293" s="3">
        <f>BN244-BM244</f>
        <v>0</v>
      </c>
      <c r="BO293" s="3">
        <f>BO244-BN244</f>
        <v>0</v>
      </c>
      <c r="BP293" s="3">
        <f>SUM(BL293:BO293)</f>
        <v>0</v>
      </c>
      <c r="BQ293" s="3">
        <f>BQ244-BP244</f>
        <v>0</v>
      </c>
      <c r="BR293" s="3">
        <f>BR244-BQ244</f>
        <v>0</v>
      </c>
      <c r="BS293" s="3">
        <f>BS244-BR244</f>
        <v>0</v>
      </c>
      <c r="BT293" s="3">
        <f>BT244-BS244</f>
        <v>0</v>
      </c>
      <c r="BU293" s="3">
        <f>SUM(BQ293:BT293)</f>
        <v>0</v>
      </c>
      <c r="BV293" s="3">
        <f>BV244-BU244</f>
        <v>0</v>
      </c>
      <c r="BW293" s="3">
        <f>BW244-BV244</f>
        <v>0</v>
      </c>
      <c r="BX293" s="3">
        <f>BX244-BW244</f>
        <v>0</v>
      </c>
      <c r="BY293" s="3">
        <f>BY244-BX244</f>
        <v>0</v>
      </c>
      <c r="BZ293" s="3">
        <f>SUM(BV293:BY293)</f>
        <v>0</v>
      </c>
      <c r="CA293" s="3">
        <f>CA244-BZ244</f>
        <v>0</v>
      </c>
      <c r="CB293" s="3">
        <f>CB244-CA244</f>
        <v>0</v>
      </c>
      <c r="CC293" s="3">
        <f>CC244-CB244</f>
        <v>0</v>
      </c>
      <c r="CD293" s="3">
        <f>CD244-CC244</f>
        <v>0</v>
      </c>
      <c r="CE293" s="3">
        <f>SUM(CA293:CD293)</f>
        <v>0</v>
      </c>
      <c r="CF293" s="3">
        <f>CF244-CE244</f>
        <v>0</v>
      </c>
      <c r="CG293" s="3">
        <f>CG244-CF244</f>
        <v>0</v>
      </c>
      <c r="CH293" s="3">
        <f>CH244-CG244</f>
        <v>0</v>
      </c>
      <c r="CI293" s="3">
        <f>CI244-CH244</f>
        <v>0</v>
      </c>
      <c r="CJ293" s="3">
        <f>SUM(CF293:CI293)</f>
        <v>0</v>
      </c>
      <c r="CK293" s="3">
        <f>CK244-CJ244</f>
        <v>0</v>
      </c>
      <c r="CL293" s="3">
        <f>CL244-CK244</f>
        <v>0</v>
      </c>
      <c r="CM293" s="3">
        <f>CM244-CL244</f>
        <v>0</v>
      </c>
      <c r="CN293" s="3">
        <f>CN244-CM244</f>
        <v>0</v>
      </c>
      <c r="CO293" s="3">
        <f>SUM(CK293:CN293)</f>
        <v>0</v>
      </c>
      <c r="CP293" s="3">
        <f>CP244-CO244</f>
        <v>0</v>
      </c>
      <c r="CQ293" s="3">
        <f>CQ244-CP244</f>
        <v>0</v>
      </c>
      <c r="CR293" s="3">
        <f>CR244-CQ244</f>
        <v>0</v>
      </c>
      <c r="CS293" s="3">
        <f>CS244-CR244</f>
        <v>0</v>
      </c>
      <c r="CT293" s="3">
        <f>SUM(CP293:CS293)</f>
        <v>0</v>
      </c>
      <c r="CU293" s="3">
        <f>CU244-CT244</f>
        <v>0</v>
      </c>
      <c r="CV293" s="3">
        <f>CV244-CU244</f>
        <v>0</v>
      </c>
      <c r="CW293" s="3">
        <f>CW244-CV244</f>
        <v>0</v>
      </c>
      <c r="CX293" s="3">
        <f>CX244-CW244</f>
        <v>0</v>
      </c>
      <c r="CY293" s="3">
        <f>SUM(CU293:CX293)</f>
        <v>0</v>
      </c>
    </row>
    <row r="294">
      <c r="C294" s="26" t="inlineStr">
        <is>
          <t>Common stock and APIC</t>
        </is>
      </c>
      <c r="D294" s="3" t="n"/>
      <c r="E294" s="3">
        <f>E245-D245</f>
        <v>-1</v>
      </c>
      <c r="F294" s="3">
        <f>F245-E245</f>
        <v>90</v>
      </c>
      <c r="G294" s="3">
        <f>G245-F245</f>
        <v>132</v>
      </c>
      <c r="H294" s="3">
        <f>SUM(D294:G294)</f>
        <v>221</v>
      </c>
      <c r="I294" s="3">
        <f>I245-H245</f>
        <v>-157</v>
      </c>
      <c r="J294" s="3">
        <f>J245-I245</f>
        <v>55</v>
      </c>
      <c r="K294" s="3">
        <f>K245-J245</f>
        <v>-26</v>
      </c>
      <c r="L294" s="3">
        <f>L245-K245</f>
        <v>-7</v>
      </c>
      <c r="M294" s="3">
        <f>SUM(I294:L294)</f>
        <v>-135</v>
      </c>
      <c r="N294" s="3">
        <f>N245-M245</f>
        <v>-100</v>
      </c>
      <c r="O294" s="3">
        <f>O245-N245</f>
        <v>-1</v>
      </c>
      <c r="P294" s="3">
        <f>P245-O245</f>
        <v>-3</v>
      </c>
      <c r="Q294" s="3">
        <f>Q245-P245</f>
        <v>85</v>
      </c>
      <c r="R294" s="3">
        <f>SUM(N294:Q294)</f>
        <v>-19</v>
      </c>
      <c r="S294" s="3">
        <f>S245-R245</f>
        <v>-92</v>
      </c>
      <c r="T294" s="3">
        <f>T245-S245</f>
        <v>-3</v>
      </c>
      <c r="U294" s="3">
        <f>U245-T245</f>
        <v>103</v>
      </c>
      <c r="V294" s="3">
        <f>V245-U245</f>
        <v>-114</v>
      </c>
      <c r="W294" s="3">
        <f>SUM(S294:V294)</f>
        <v>-106</v>
      </c>
      <c r="X294" s="3">
        <f>X245-W245</f>
        <v>-1</v>
      </c>
      <c r="Y294" s="3">
        <f>Y245-X245</f>
        <v>-2</v>
      </c>
      <c r="Z294" s="3">
        <f>Z245-Y245</f>
        <v>-1</v>
      </c>
      <c r="AA294" s="3">
        <f>AA245-Z245</f>
        <v>-2</v>
      </c>
      <c r="AB294" s="3">
        <f>SUM(X294:AA294)</f>
        <v>-6</v>
      </c>
      <c r="AC294" s="3">
        <f>AC245-AB245</f>
        <v>-1</v>
      </c>
      <c r="AD294" s="3">
        <f>AD245-AC245</f>
        <v>-1</v>
      </c>
      <c r="AE294" s="3">
        <f>AE245-AD245</f>
        <v>-2</v>
      </c>
      <c r="AF294" s="3">
        <f>AF245-AE245</f>
        <v>-1</v>
      </c>
      <c r="AG294" s="3">
        <f>SUM(AC294:AF294)</f>
        <v>-5</v>
      </c>
      <c r="AH294" s="3">
        <f>AH245-AG245</f>
        <v>33</v>
      </c>
      <c r="AI294" s="3">
        <f>AI245-AH245</f>
        <v>215</v>
      </c>
      <c r="AJ294" s="3">
        <f>AJ245-AI245</f>
        <v>0</v>
      </c>
      <c r="AK294" s="3">
        <f>AK245-AJ245</f>
        <v>0</v>
      </c>
      <c r="AL294" s="3">
        <f>SUM(AH294:AK294)</f>
        <v>248</v>
      </c>
      <c r="AM294" s="3">
        <f>AM245-AL245</f>
        <v>0</v>
      </c>
      <c r="AN294" s="3">
        <f>AN245-AM245</f>
        <v>0</v>
      </c>
      <c r="AO294" s="3">
        <f>AO245-AN245</f>
        <v>0</v>
      </c>
      <c r="AP294" s="3">
        <f>AP245-AO245</f>
        <v>0</v>
      </c>
      <c r="AQ294" s="3">
        <f>SUM(AM294:AP294)</f>
        <v>0</v>
      </c>
      <c r="AR294" s="3">
        <f>AR245-AQ245</f>
        <v>0</v>
      </c>
      <c r="AS294" s="3">
        <f>AS245-AR245</f>
        <v>0</v>
      </c>
      <c r="AT294" s="3">
        <f>AT245-AS245</f>
        <v>0</v>
      </c>
      <c r="AU294" s="3">
        <f>AU245-AT245</f>
        <v>0</v>
      </c>
      <c r="AV294" s="3">
        <f>SUM(AR294:AU294)</f>
        <v>0</v>
      </c>
      <c r="AW294" s="3">
        <f>AW245-AV245</f>
        <v>0</v>
      </c>
      <c r="AX294" s="3">
        <f>AX245-AW245</f>
        <v>0</v>
      </c>
      <c r="AY294" s="3">
        <f>AY245-AX245</f>
        <v>0</v>
      </c>
      <c r="AZ294" s="3">
        <f>AZ245-AY245</f>
        <v>0</v>
      </c>
      <c r="BA294" s="3">
        <f>SUM(AW294:AZ294)</f>
        <v>0</v>
      </c>
      <c r="BB294" s="3">
        <f>BB245-BA245</f>
        <v>0</v>
      </c>
      <c r="BC294" s="3">
        <f>BC245-BB245</f>
        <v>0</v>
      </c>
      <c r="BD294" s="3">
        <f>BD245-BC245</f>
        <v>0</v>
      </c>
      <c r="BE294" s="3">
        <f>BE245-BD245</f>
        <v>0</v>
      </c>
      <c r="BF294" s="3">
        <f>SUM(BB294:BE294)</f>
        <v>0</v>
      </c>
      <c r="BG294" s="3">
        <f>BG245-BF245</f>
        <v>0</v>
      </c>
      <c r="BH294" s="3">
        <f>BH245-BG245</f>
        <v>0</v>
      </c>
      <c r="BI294" s="3">
        <f>BI245-BH245</f>
        <v>0</v>
      </c>
      <c r="BJ294" s="3">
        <f>BJ245-BI245</f>
        <v>0</v>
      </c>
      <c r="BK294" s="3">
        <f>SUM(BG294:BJ294)</f>
        <v>0</v>
      </c>
      <c r="BL294" s="3">
        <f>BL245-BK245</f>
        <v>0</v>
      </c>
      <c r="BM294" s="3">
        <f>BM245-BL245</f>
        <v>0</v>
      </c>
      <c r="BN294" s="3">
        <f>BN245-BM245</f>
        <v>0</v>
      </c>
      <c r="BO294" s="3">
        <f>BO245-BN245</f>
        <v>0</v>
      </c>
      <c r="BP294" s="3">
        <f>SUM(BL294:BO294)</f>
        <v>0</v>
      </c>
      <c r="BQ294" s="3">
        <f>BQ245-BP245</f>
        <v>0</v>
      </c>
      <c r="BR294" s="3">
        <f>BR245-BQ245</f>
        <v>0</v>
      </c>
      <c r="BS294" s="3">
        <f>BS245-BR245</f>
        <v>0</v>
      </c>
      <c r="BT294" s="3">
        <f>BT245-BS245</f>
        <v>0</v>
      </c>
      <c r="BU294" s="3">
        <f>SUM(BQ294:BT294)</f>
        <v>0</v>
      </c>
      <c r="BV294" s="3">
        <f>BV245-BU245</f>
        <v>0</v>
      </c>
      <c r="BW294" s="3">
        <f>BW245-BV245</f>
        <v>0</v>
      </c>
      <c r="BX294" s="3">
        <f>BX245-BW245</f>
        <v>0</v>
      </c>
      <c r="BY294" s="3">
        <f>BY245-BX245</f>
        <v>0</v>
      </c>
      <c r="BZ294" s="3">
        <f>SUM(BV294:BY294)</f>
        <v>0</v>
      </c>
      <c r="CA294" s="3">
        <f>CA245-BZ245</f>
        <v>0</v>
      </c>
      <c r="CB294" s="3">
        <f>CB245-CA245</f>
        <v>0</v>
      </c>
      <c r="CC294" s="3">
        <f>CC245-CB245</f>
        <v>0</v>
      </c>
      <c r="CD294" s="3">
        <f>CD245-CC245</f>
        <v>0</v>
      </c>
      <c r="CE294" s="3">
        <f>SUM(CA294:CD294)</f>
        <v>0</v>
      </c>
      <c r="CF294" s="3">
        <f>CF245-CE245</f>
        <v>0</v>
      </c>
      <c r="CG294" s="3">
        <f>CG245-CF245</f>
        <v>0</v>
      </c>
      <c r="CH294" s="3">
        <f>CH245-CG245</f>
        <v>0</v>
      </c>
      <c r="CI294" s="3">
        <f>CI245-CH245</f>
        <v>0</v>
      </c>
      <c r="CJ294" s="3">
        <f>SUM(CF294:CI294)</f>
        <v>0</v>
      </c>
      <c r="CK294" s="3">
        <f>CK245-CJ245</f>
        <v>0</v>
      </c>
      <c r="CL294" s="3">
        <f>CL245-CK245</f>
        <v>0</v>
      </c>
      <c r="CM294" s="3">
        <f>CM245-CL245</f>
        <v>0</v>
      </c>
      <c r="CN294" s="3">
        <f>CN245-CM245</f>
        <v>0</v>
      </c>
      <c r="CO294" s="3">
        <f>SUM(CK294:CN294)</f>
        <v>0</v>
      </c>
      <c r="CP294" s="3">
        <f>CP245-CO245</f>
        <v>0</v>
      </c>
      <c r="CQ294" s="3">
        <f>CQ245-CP245</f>
        <v>0</v>
      </c>
      <c r="CR294" s="3">
        <f>CR245-CQ245</f>
        <v>0</v>
      </c>
      <c r="CS294" s="3">
        <f>CS245-CR245</f>
        <v>0</v>
      </c>
      <c r="CT294" s="3">
        <f>SUM(CP294:CS294)</f>
        <v>0</v>
      </c>
      <c r="CU294" s="3">
        <f>CU245-CT245</f>
        <v>0</v>
      </c>
      <c r="CV294" s="3">
        <f>CV245-CU245</f>
        <v>0</v>
      </c>
      <c r="CW294" s="3">
        <f>CW245-CV245</f>
        <v>0</v>
      </c>
      <c r="CX294" s="3">
        <f>CX245-CW245</f>
        <v>0</v>
      </c>
      <c r="CY294" s="3">
        <f>SUM(CU294:CX294)</f>
        <v>0</v>
      </c>
    </row>
    <row r="295">
      <c r="C295" s="26" t="inlineStr">
        <is>
          <t>Treasury stock repurchases</t>
        </is>
      </c>
      <c r="D295" s="3" t="n"/>
      <c r="E295" s="3">
        <f>E258-D258</f>
        <v>0</v>
      </c>
      <c r="F295" s="3">
        <f>F258-E258</f>
        <v>0</v>
      </c>
      <c r="G295" s="3">
        <f>G258-F258</f>
        <v>0</v>
      </c>
      <c r="H295" s="3">
        <f>SUM(D295:G295)</f>
        <v>0</v>
      </c>
      <c r="I295" s="3">
        <f>I258-H258</f>
        <v>0</v>
      </c>
      <c r="J295" s="3">
        <f>J258-I258</f>
        <v>0</v>
      </c>
      <c r="K295" s="3">
        <f>K258-J258</f>
        <v>0</v>
      </c>
      <c r="L295" s="3">
        <f>L258-K258</f>
        <v>0</v>
      </c>
      <c r="M295" s="3">
        <f>SUM(I295:L295)</f>
        <v>0</v>
      </c>
      <c r="N295" s="3">
        <f>N258-M258</f>
        <v>0</v>
      </c>
      <c r="O295" s="3">
        <f>O258-N258</f>
        <v>0</v>
      </c>
      <c r="P295" s="3">
        <f>P258-O258</f>
        <v>0</v>
      </c>
      <c r="Q295" s="3">
        <f>Q258-P258</f>
        <v>0</v>
      </c>
      <c r="R295" s="3">
        <f>SUM(N295:Q295)</f>
        <v>0</v>
      </c>
      <c r="S295" s="3">
        <f>S258-R258</f>
        <v>0</v>
      </c>
      <c r="T295" s="3">
        <f>T258-S258</f>
        <v>0</v>
      </c>
      <c r="U295" s="3">
        <f>U258-T258</f>
        <v>0</v>
      </c>
      <c r="V295" s="3">
        <f>V258-U258</f>
        <v>0</v>
      </c>
      <c r="W295" s="3">
        <f>SUM(S295:V295)</f>
        <v>0</v>
      </c>
      <c r="X295" s="3">
        <f>X258-W258</f>
        <v>0</v>
      </c>
      <c r="Y295" s="3">
        <f>Y258-X258</f>
        <v>0</v>
      </c>
      <c r="Z295" s="3">
        <f>Z258-Y258</f>
        <v>0</v>
      </c>
      <c r="AA295" s="3">
        <f>AA258-Z258</f>
        <v>0</v>
      </c>
      <c r="AB295" s="3">
        <f>SUM(X295:AA295)</f>
        <v>0</v>
      </c>
      <c r="AC295" s="3">
        <f>AC258-AB258</f>
        <v>0</v>
      </c>
      <c r="AD295" s="3">
        <f>AD258-AC258</f>
        <v>0</v>
      </c>
      <c r="AE295" s="3">
        <f>AE258-AD258</f>
        <v>0</v>
      </c>
      <c r="AF295" s="3">
        <f>AF258-AE258</f>
        <v>0</v>
      </c>
      <c r="AG295" s="3">
        <f>SUM(AC295:AF295)</f>
        <v>0</v>
      </c>
      <c r="AH295" s="3">
        <f>AH258-AG258</f>
        <v>0</v>
      </c>
      <c r="AI295" s="3">
        <f>AI258-AH258</f>
        <v>0</v>
      </c>
      <c r="AJ295" s="3">
        <f>AJ258-AI258</f>
        <v>0</v>
      </c>
      <c r="AK295" s="3">
        <f>AK258-AJ258</f>
        <v>0</v>
      </c>
      <c r="AL295" s="3">
        <f>SUM(AH295:AK295)</f>
        <v>0</v>
      </c>
      <c r="AM295" s="3">
        <f>AM258-AL258</f>
        <v>0</v>
      </c>
      <c r="AN295" s="3">
        <f>AN258-AM258</f>
        <v>0</v>
      </c>
      <c r="AO295" s="3">
        <f>AO258-AN258</f>
        <v>0</v>
      </c>
      <c r="AP295" s="3">
        <f>AP258-AO258</f>
        <v>0</v>
      </c>
      <c r="AQ295" s="3">
        <f>SUM(AM295:AP295)</f>
        <v>0</v>
      </c>
      <c r="AR295" s="3">
        <f>AR258-AQ258</f>
        <v>0</v>
      </c>
      <c r="AS295" s="3">
        <f>AS258-AR258</f>
        <v>0</v>
      </c>
      <c r="AT295" s="3">
        <f>AT258-AS258</f>
        <v>0</v>
      </c>
      <c r="AU295" s="3">
        <f>AU258-AT258</f>
        <v>0</v>
      </c>
      <c r="AV295" s="3">
        <f>SUM(AR295:AU295)</f>
        <v>0</v>
      </c>
      <c r="AW295" s="3">
        <f>AW258-AV258</f>
        <v>0</v>
      </c>
      <c r="AX295" s="3">
        <f>AX258-AW258</f>
        <v>0</v>
      </c>
      <c r="AY295" s="3">
        <f>AY258-AX258</f>
        <v>0</v>
      </c>
      <c r="AZ295" s="3">
        <f>AZ258-AY258</f>
        <v>0</v>
      </c>
      <c r="BA295" s="3">
        <f>SUM(AW295:AZ295)</f>
        <v>0</v>
      </c>
      <c r="BB295" s="3">
        <f>BB258-BA258</f>
        <v>0</v>
      </c>
      <c r="BC295" s="3">
        <f>BC258-BB258</f>
        <v>0</v>
      </c>
      <c r="BD295" s="3">
        <f>BD258-BC258</f>
        <v>0</v>
      </c>
      <c r="BE295" s="3">
        <f>BE258-BD258</f>
        <v>0</v>
      </c>
      <c r="BF295" s="3">
        <f>SUM(BB295:BE295)</f>
        <v>0</v>
      </c>
      <c r="BG295" s="3">
        <f>BG258-BF258</f>
        <v>0</v>
      </c>
      <c r="BH295" s="3">
        <f>BH258-BG258</f>
        <v>0</v>
      </c>
      <c r="BI295" s="3">
        <f>BI258-BH258</f>
        <v>0</v>
      </c>
      <c r="BJ295" s="3">
        <f>BJ258-BI258</f>
        <v>0</v>
      </c>
      <c r="BK295" s="3">
        <f>SUM(BG295:BJ295)</f>
        <v>0</v>
      </c>
      <c r="BL295" s="3">
        <f>BL258-BK258</f>
        <v>0</v>
      </c>
      <c r="BM295" s="3">
        <f>BM258-BL258</f>
        <v>0</v>
      </c>
      <c r="BN295" s="3">
        <f>BN258-BM258</f>
        <v>0</v>
      </c>
      <c r="BO295" s="3">
        <f>BO258-BN258</f>
        <v>0</v>
      </c>
      <c r="BP295" s="3">
        <f>SUM(BL295:BO295)</f>
        <v>0</v>
      </c>
      <c r="BQ295" s="3">
        <f>BQ258-BP258</f>
        <v>0</v>
      </c>
      <c r="BR295" s="3">
        <f>BR258-BQ258</f>
        <v>0</v>
      </c>
      <c r="BS295" s="3">
        <f>BS258-BR258</f>
        <v>0</v>
      </c>
      <c r="BT295" s="3">
        <f>BT258-BS258</f>
        <v>0</v>
      </c>
      <c r="BU295" s="3">
        <f>SUM(BQ295:BT295)</f>
        <v>0</v>
      </c>
      <c r="BV295" s="3">
        <f>BV258-BU258</f>
        <v>0</v>
      </c>
      <c r="BW295" s="3">
        <f>BW258-BV258</f>
        <v>0</v>
      </c>
      <c r="BX295" s="3">
        <f>BX258-BW258</f>
        <v>0</v>
      </c>
      <c r="BY295" s="3">
        <f>BY258-BX258</f>
        <v>0</v>
      </c>
      <c r="BZ295" s="3">
        <f>SUM(BV295:BY295)</f>
        <v>0</v>
      </c>
      <c r="CA295" s="3">
        <f>CA258-BZ258</f>
        <v>0</v>
      </c>
      <c r="CB295" s="3">
        <f>CB258-CA258</f>
        <v>0</v>
      </c>
      <c r="CC295" s="3">
        <f>CC258-CB258</f>
        <v>0</v>
      </c>
      <c r="CD295" s="3">
        <f>CD258-CC258</f>
        <v>0</v>
      </c>
      <c r="CE295" s="3">
        <f>SUM(CA295:CD295)</f>
        <v>0</v>
      </c>
      <c r="CF295" s="3">
        <f>CF258-CE258</f>
        <v>0</v>
      </c>
      <c r="CG295" s="3">
        <f>CG258-CF258</f>
        <v>0</v>
      </c>
      <c r="CH295" s="3">
        <f>CH258-CG258</f>
        <v>0</v>
      </c>
      <c r="CI295" s="3">
        <f>CI258-CH258</f>
        <v>0</v>
      </c>
      <c r="CJ295" s="3">
        <f>SUM(CF295:CI295)</f>
        <v>0</v>
      </c>
      <c r="CK295" s="3">
        <f>CK258-CJ258</f>
        <v>0</v>
      </c>
      <c r="CL295" s="3">
        <f>CL258-CK258</f>
        <v>0</v>
      </c>
      <c r="CM295" s="3">
        <f>CM258-CL258</f>
        <v>0</v>
      </c>
      <c r="CN295" s="3">
        <f>CN258-CM258</f>
        <v>0</v>
      </c>
      <c r="CO295" s="3">
        <f>SUM(CK295:CN295)</f>
        <v>0</v>
      </c>
      <c r="CP295" s="3">
        <f>CP258-CO258</f>
        <v>0</v>
      </c>
      <c r="CQ295" s="3">
        <f>CQ258-CP258</f>
        <v>0</v>
      </c>
      <c r="CR295" s="3">
        <f>CR258-CQ258</f>
        <v>0</v>
      </c>
      <c r="CS295" s="3">
        <f>CS258-CR258</f>
        <v>0</v>
      </c>
      <c r="CT295" s="3">
        <f>SUM(CP295:CS295)</f>
        <v>0</v>
      </c>
      <c r="CU295" s="3">
        <f>CU258-CT258</f>
        <v>0</v>
      </c>
      <c r="CV295" s="3">
        <f>CV258-CU258</f>
        <v>0</v>
      </c>
      <c r="CW295" s="3">
        <f>CW258-CV258</f>
        <v>0</v>
      </c>
      <c r="CX295" s="3">
        <f>CX258-CW258</f>
        <v>0</v>
      </c>
      <c r="CY295" s="3">
        <f>SUM(CU295:CX295)</f>
        <v>0</v>
      </c>
    </row>
    <row r="296">
      <c r="C296" s="26" t="inlineStr">
        <is>
          <t>Comprehensive accumulated loss</t>
        </is>
      </c>
      <c r="D296" s="3" t="n"/>
      <c r="E296" s="3">
        <f>E259-D259</f>
        <v>138</v>
      </c>
      <c r="F296" s="3">
        <f>F259-E259</f>
        <v>144</v>
      </c>
      <c r="G296" s="3">
        <f>G259-F259</f>
        <v>-862</v>
      </c>
      <c r="H296" s="3">
        <f>SUM(D296:G296)</f>
        <v>-580</v>
      </c>
      <c r="I296" s="3">
        <f>I259-H259</f>
        <v>113</v>
      </c>
      <c r="J296" s="3">
        <f>J259-I259</f>
        <v>171</v>
      </c>
      <c r="K296" s="3">
        <f>K259-J259</f>
        <v>3620</v>
      </c>
      <c r="L296" s="3">
        <f>L259-K259</f>
        <v>1211</v>
      </c>
      <c r="M296" s="3">
        <f>SUM(I296:L296)</f>
        <v>5115</v>
      </c>
      <c r="N296" s="3">
        <f>N259-M259</f>
        <v>27</v>
      </c>
      <c r="O296" s="3">
        <f>O259-N259</f>
        <v>2811</v>
      </c>
      <c r="P296" s="3">
        <f>P259-O259</f>
        <v>34</v>
      </c>
      <c r="Q296" s="3">
        <f>Q259-P259</f>
        <v>111</v>
      </c>
      <c r="R296" s="3">
        <f>SUM(N296:Q296)</f>
        <v>2983</v>
      </c>
      <c r="S296" s="3">
        <f>S259-R259</f>
        <v>-63</v>
      </c>
      <c r="T296" s="3">
        <f>T259-S259</f>
        <v>7</v>
      </c>
      <c r="U296" s="3">
        <f>U259-T259</f>
        <v>-67</v>
      </c>
      <c r="V296" s="3">
        <f>V259-U259</f>
        <v>-657</v>
      </c>
      <c r="W296" s="3">
        <f>SUM(S296:V296)</f>
        <v>-780</v>
      </c>
      <c r="X296" s="3">
        <f>X259-W259</f>
        <v>-8</v>
      </c>
      <c r="Y296" s="3">
        <f>Y259-X259</f>
        <v>42</v>
      </c>
      <c r="Z296" s="3">
        <f>Z259-Y259</f>
        <v>76</v>
      </c>
      <c r="AA296" s="3">
        <f>AA259-Z259</f>
        <v>241</v>
      </c>
      <c r="AB296" s="3">
        <f>SUM(X296:AA296)</f>
        <v>351</v>
      </c>
      <c r="AC296" s="3">
        <f>AC259-AB259</f>
        <v>129</v>
      </c>
      <c r="AD296" s="3">
        <f>AD259-AC259</f>
        <v>166</v>
      </c>
      <c r="AE296" s="3">
        <f>AE259-AD259</f>
        <v>55</v>
      </c>
      <c r="AF296" s="3">
        <f>AF259-AE259</f>
        <v>560</v>
      </c>
      <c r="AG296" s="3">
        <f>SUM(AC296:AF296)</f>
        <v>910</v>
      </c>
      <c r="AH296" s="3">
        <f>AH259-AG259</f>
        <v>46</v>
      </c>
      <c r="AI296" s="3">
        <f>AI259-AH259</f>
        <v>28</v>
      </c>
      <c r="AJ296" s="3">
        <f>AJ259-AI259</f>
        <v>0</v>
      </c>
      <c r="AK296" s="3">
        <f>AK259-AJ259</f>
        <v>0</v>
      </c>
      <c r="AL296" s="3">
        <f>SUM(AH296:AK296)</f>
        <v>74</v>
      </c>
      <c r="AM296" s="3">
        <f>AM259-AL259</f>
        <v>0</v>
      </c>
      <c r="AN296" s="3">
        <f>AN259-AM259</f>
        <v>0</v>
      </c>
      <c r="AO296" s="3">
        <f>AO259-AN259</f>
        <v>0</v>
      </c>
      <c r="AP296" s="3">
        <f>AP259-AO259</f>
        <v>0</v>
      </c>
      <c r="AQ296" s="3">
        <f>SUM(AM296:AP296)</f>
        <v>0</v>
      </c>
      <c r="AR296" s="3">
        <f>AR259-AQ259</f>
        <v>0</v>
      </c>
      <c r="AS296" s="3">
        <f>AS259-AR259</f>
        <v>0</v>
      </c>
      <c r="AT296" s="3">
        <f>AT259-AS259</f>
        <v>0</v>
      </c>
      <c r="AU296" s="3">
        <f>AU259-AT259</f>
        <v>0</v>
      </c>
      <c r="AV296" s="3">
        <f>SUM(AR296:AU296)</f>
        <v>0</v>
      </c>
      <c r="AW296" s="3">
        <f>AW259-AV259</f>
        <v>0</v>
      </c>
      <c r="AX296" s="3">
        <f>AX259-AW259</f>
        <v>0</v>
      </c>
      <c r="AY296" s="3">
        <f>AY259-AX259</f>
        <v>0</v>
      </c>
      <c r="AZ296" s="3">
        <f>AZ259-AY259</f>
        <v>0</v>
      </c>
      <c r="BA296" s="3">
        <f>SUM(AW296:AZ296)</f>
        <v>0</v>
      </c>
      <c r="BB296" s="3">
        <f>BB259-BA259</f>
        <v>0</v>
      </c>
      <c r="BC296" s="3">
        <f>BC259-BB259</f>
        <v>0</v>
      </c>
      <c r="BD296" s="3">
        <f>BD259-BC259</f>
        <v>0</v>
      </c>
      <c r="BE296" s="3">
        <f>BE259-BD259</f>
        <v>0</v>
      </c>
      <c r="BF296" s="3">
        <f>SUM(BB296:BE296)</f>
        <v>0</v>
      </c>
      <c r="BG296" s="3">
        <f>BG259-BF259</f>
        <v>0</v>
      </c>
      <c r="BH296" s="3">
        <f>BH259-BG259</f>
        <v>0</v>
      </c>
      <c r="BI296" s="3">
        <f>BI259-BH259</f>
        <v>0</v>
      </c>
      <c r="BJ296" s="3">
        <f>BJ259-BI259</f>
        <v>0</v>
      </c>
      <c r="BK296" s="3">
        <f>SUM(BG296:BJ296)</f>
        <v>0</v>
      </c>
      <c r="BL296" s="3">
        <f>BL259-BK259</f>
        <v>0</v>
      </c>
      <c r="BM296" s="3">
        <f>BM259-BL259</f>
        <v>0</v>
      </c>
      <c r="BN296" s="3">
        <f>BN259-BM259</f>
        <v>0</v>
      </c>
      <c r="BO296" s="3">
        <f>BO259-BN259</f>
        <v>0</v>
      </c>
      <c r="BP296" s="3">
        <f>SUM(BL296:BO296)</f>
        <v>0</v>
      </c>
      <c r="BQ296" s="3">
        <f>BQ259-BP259</f>
        <v>0</v>
      </c>
      <c r="BR296" s="3">
        <f>BR259-BQ259</f>
        <v>0</v>
      </c>
      <c r="BS296" s="3">
        <f>BS259-BR259</f>
        <v>0</v>
      </c>
      <c r="BT296" s="3">
        <f>BT259-BS259</f>
        <v>0</v>
      </c>
      <c r="BU296" s="3">
        <f>SUM(BQ296:BT296)</f>
        <v>0</v>
      </c>
      <c r="BV296" s="3">
        <f>BV259-BU259</f>
        <v>0</v>
      </c>
      <c r="BW296" s="3">
        <f>BW259-BV259</f>
        <v>0</v>
      </c>
      <c r="BX296" s="3">
        <f>BX259-BW259</f>
        <v>0</v>
      </c>
      <c r="BY296" s="3">
        <f>BY259-BX259</f>
        <v>0</v>
      </c>
      <c r="BZ296" s="3">
        <f>SUM(BV296:BY296)</f>
        <v>0</v>
      </c>
      <c r="CA296" s="3">
        <f>CA259-BZ259</f>
        <v>0</v>
      </c>
      <c r="CB296" s="3">
        <f>CB259-CA259</f>
        <v>0</v>
      </c>
      <c r="CC296" s="3">
        <f>CC259-CB259</f>
        <v>0</v>
      </c>
      <c r="CD296" s="3">
        <f>CD259-CC259</f>
        <v>0</v>
      </c>
      <c r="CE296" s="3">
        <f>SUM(CA296:CD296)</f>
        <v>0</v>
      </c>
      <c r="CF296" s="3">
        <f>CF259-CE259</f>
        <v>0</v>
      </c>
      <c r="CG296" s="3">
        <f>CG259-CF259</f>
        <v>0</v>
      </c>
      <c r="CH296" s="3">
        <f>CH259-CG259</f>
        <v>0</v>
      </c>
      <c r="CI296" s="3">
        <f>CI259-CH259</f>
        <v>0</v>
      </c>
      <c r="CJ296" s="3">
        <f>SUM(CF296:CI296)</f>
        <v>0</v>
      </c>
      <c r="CK296" s="3">
        <f>CK259-CJ259</f>
        <v>0</v>
      </c>
      <c r="CL296" s="3">
        <f>CL259-CK259</f>
        <v>0</v>
      </c>
      <c r="CM296" s="3">
        <f>CM259-CL259</f>
        <v>0</v>
      </c>
      <c r="CN296" s="3">
        <f>CN259-CM259</f>
        <v>0</v>
      </c>
      <c r="CO296" s="3">
        <f>SUM(CK296:CN296)</f>
        <v>0</v>
      </c>
      <c r="CP296" s="3">
        <f>CP259-CO259</f>
        <v>0</v>
      </c>
      <c r="CQ296" s="3">
        <f>CQ259-CP259</f>
        <v>0</v>
      </c>
      <c r="CR296" s="3">
        <f>CR259-CQ259</f>
        <v>0</v>
      </c>
      <c r="CS296" s="3">
        <f>CS259-CR259</f>
        <v>0</v>
      </c>
      <c r="CT296" s="3">
        <f>SUM(CP296:CS296)</f>
        <v>0</v>
      </c>
      <c r="CU296" s="3">
        <f>CU259-CT259</f>
        <v>0</v>
      </c>
      <c r="CV296" s="3">
        <f>CV259-CU259</f>
        <v>0</v>
      </c>
      <c r="CW296" s="3">
        <f>CW259-CV259</f>
        <v>0</v>
      </c>
      <c r="CX296" s="3">
        <f>CX259-CW259</f>
        <v>0</v>
      </c>
      <c r="CY296" s="3">
        <f>SUM(CU296:CX296)</f>
        <v>0</v>
      </c>
    </row>
    <row r="297">
      <c r="C297" s="26" t="inlineStr">
        <is>
          <t>Other equity account</t>
        </is>
      </c>
      <c r="D297" s="3" t="n"/>
      <c r="E297" s="3">
        <f>E260-D260</f>
        <v>0</v>
      </c>
      <c r="F297" s="3">
        <f>F260-E260</f>
        <v>0</v>
      </c>
      <c r="G297" s="3">
        <f>G260-F260</f>
        <v>0</v>
      </c>
      <c r="H297" s="3">
        <f>SUM(D297:G297)</f>
        <v>0</v>
      </c>
      <c r="I297" s="3">
        <f>I260-H260</f>
        <v>0</v>
      </c>
      <c r="J297" s="3">
        <f>J260-I260</f>
        <v>0</v>
      </c>
      <c r="K297" s="3">
        <f>K260-J260</f>
        <v>0</v>
      </c>
      <c r="L297" s="3">
        <f>L260-K260</f>
        <v>0</v>
      </c>
      <c r="M297" s="3">
        <f>SUM(I297:L297)</f>
        <v>0</v>
      </c>
      <c r="N297" s="3">
        <f>N260-M260</f>
        <v>0</v>
      </c>
      <c r="O297" s="3">
        <f>O260-N260</f>
        <v>0</v>
      </c>
      <c r="P297" s="3">
        <f>P260-O260</f>
        <v>0</v>
      </c>
      <c r="Q297" s="3">
        <f>Q260-P260</f>
        <v>0</v>
      </c>
      <c r="R297" s="3">
        <f>SUM(N297:Q297)</f>
        <v>0</v>
      </c>
      <c r="S297" s="3">
        <f>S260-R260</f>
        <v>0</v>
      </c>
      <c r="T297" s="3">
        <f>T260-S260</f>
        <v>0</v>
      </c>
      <c r="U297" s="3">
        <f>U260-T260</f>
        <v>0</v>
      </c>
      <c r="V297" s="3">
        <f>V260-U260</f>
        <v>0</v>
      </c>
      <c r="W297" s="3">
        <f>SUM(S297:V297)</f>
        <v>0</v>
      </c>
      <c r="X297" s="3">
        <f>X260-W260</f>
        <v>0</v>
      </c>
      <c r="Y297" s="3">
        <f>Y260-X260</f>
        <v>0</v>
      </c>
      <c r="Z297" s="3">
        <f>Z260-Y260</f>
        <v>0</v>
      </c>
      <c r="AA297" s="3">
        <f>AA260-Z260</f>
        <v>0</v>
      </c>
      <c r="AB297" s="3">
        <f>SUM(X297:AA297)</f>
        <v>0</v>
      </c>
      <c r="AC297" s="3">
        <f>AC260-AB260</f>
        <v>0</v>
      </c>
      <c r="AD297" s="3">
        <f>AD260-AC260</f>
        <v>0</v>
      </c>
      <c r="AE297" s="3">
        <f>AE260-AD260</f>
        <v>0</v>
      </c>
      <c r="AF297" s="3">
        <f>AF260-AE260</f>
        <v>0</v>
      </c>
      <c r="AG297" s="3">
        <f>SUM(AC297:AF297)</f>
        <v>0</v>
      </c>
      <c r="AH297" s="3">
        <f>AH260-AG260</f>
        <v>0</v>
      </c>
      <c r="AI297" s="3">
        <f>AI260-AH260</f>
        <v>0</v>
      </c>
      <c r="AJ297" s="3">
        <f>AJ260-AI260</f>
        <v>0</v>
      </c>
      <c r="AK297" s="3">
        <f>AK260-AJ260</f>
        <v>0</v>
      </c>
      <c r="AL297" s="3">
        <f>SUM(AH297:AK297)</f>
        <v>0</v>
      </c>
      <c r="AM297" s="3">
        <f>AM260-AL260</f>
        <v>0</v>
      </c>
      <c r="AN297" s="3">
        <f>AN260-AM260</f>
        <v>0</v>
      </c>
      <c r="AO297" s="3">
        <f>AO260-AN260</f>
        <v>0</v>
      </c>
      <c r="AP297" s="3">
        <f>AP260-AO260</f>
        <v>0</v>
      </c>
      <c r="AQ297" s="3">
        <f>SUM(AM297:AP297)</f>
        <v>0</v>
      </c>
      <c r="AR297" s="3">
        <f>AR260-AQ260</f>
        <v>0</v>
      </c>
      <c r="AS297" s="3">
        <f>AS260-AR260</f>
        <v>0</v>
      </c>
      <c r="AT297" s="3">
        <f>AT260-AS260</f>
        <v>0</v>
      </c>
      <c r="AU297" s="3">
        <f>AU260-AT260</f>
        <v>0</v>
      </c>
      <c r="AV297" s="3">
        <f>SUM(AR297:AU297)</f>
        <v>0</v>
      </c>
      <c r="AW297" s="3">
        <f>AW260-AV260</f>
        <v>0</v>
      </c>
      <c r="AX297" s="3">
        <f>AX260-AW260</f>
        <v>0</v>
      </c>
      <c r="AY297" s="3">
        <f>AY260-AX260</f>
        <v>0</v>
      </c>
      <c r="AZ297" s="3">
        <f>AZ260-AY260</f>
        <v>0</v>
      </c>
      <c r="BA297" s="3">
        <f>SUM(AW297:AZ297)</f>
        <v>0</v>
      </c>
      <c r="BB297" s="3">
        <f>BB260-BA260</f>
        <v>0</v>
      </c>
      <c r="BC297" s="3">
        <f>BC260-BB260</f>
        <v>0</v>
      </c>
      <c r="BD297" s="3">
        <f>BD260-BC260</f>
        <v>0</v>
      </c>
      <c r="BE297" s="3">
        <f>BE260-BD260</f>
        <v>0</v>
      </c>
      <c r="BF297" s="3">
        <f>SUM(BB297:BE297)</f>
        <v>0</v>
      </c>
      <c r="BG297" s="3">
        <f>BG260-BF260</f>
        <v>0</v>
      </c>
      <c r="BH297" s="3">
        <f>BH260-BG260</f>
        <v>0</v>
      </c>
      <c r="BI297" s="3">
        <f>BI260-BH260</f>
        <v>0</v>
      </c>
      <c r="BJ297" s="3">
        <f>BJ260-BI260</f>
        <v>0</v>
      </c>
      <c r="BK297" s="3">
        <f>SUM(BG297:BJ297)</f>
        <v>0</v>
      </c>
      <c r="BL297" s="3">
        <f>BL260-BK260</f>
        <v>0</v>
      </c>
      <c r="BM297" s="3">
        <f>BM260-BL260</f>
        <v>0</v>
      </c>
      <c r="BN297" s="3">
        <f>BN260-BM260</f>
        <v>0</v>
      </c>
      <c r="BO297" s="3">
        <f>BO260-BN260</f>
        <v>0</v>
      </c>
      <c r="BP297" s="3">
        <f>SUM(BL297:BO297)</f>
        <v>0</v>
      </c>
      <c r="BQ297" s="3">
        <f>BQ260-BP260</f>
        <v>0</v>
      </c>
      <c r="BR297" s="3">
        <f>BR260-BQ260</f>
        <v>0</v>
      </c>
      <c r="BS297" s="3">
        <f>BS260-BR260</f>
        <v>0</v>
      </c>
      <c r="BT297" s="3">
        <f>BT260-BS260</f>
        <v>0</v>
      </c>
      <c r="BU297" s="3">
        <f>SUM(BQ297:BT297)</f>
        <v>0</v>
      </c>
      <c r="BV297" s="3">
        <f>BV260-BU260</f>
        <v>0</v>
      </c>
      <c r="BW297" s="3">
        <f>BW260-BV260</f>
        <v>0</v>
      </c>
      <c r="BX297" s="3">
        <f>BX260-BW260</f>
        <v>0</v>
      </c>
      <c r="BY297" s="3">
        <f>BY260-BX260</f>
        <v>0</v>
      </c>
      <c r="BZ297" s="3">
        <f>SUM(BV297:BY297)</f>
        <v>0</v>
      </c>
      <c r="CA297" s="3">
        <f>CA260-BZ260</f>
        <v>0</v>
      </c>
      <c r="CB297" s="3">
        <f>CB260-CA260</f>
        <v>0</v>
      </c>
      <c r="CC297" s="3">
        <f>CC260-CB260</f>
        <v>0</v>
      </c>
      <c r="CD297" s="3">
        <f>CD260-CC260</f>
        <v>0</v>
      </c>
      <c r="CE297" s="3">
        <f>SUM(CA297:CD297)</f>
        <v>0</v>
      </c>
      <c r="CF297" s="3">
        <f>CF260-CE260</f>
        <v>0</v>
      </c>
      <c r="CG297" s="3">
        <f>CG260-CF260</f>
        <v>0</v>
      </c>
      <c r="CH297" s="3">
        <f>CH260-CG260</f>
        <v>0</v>
      </c>
      <c r="CI297" s="3">
        <f>CI260-CH260</f>
        <v>0</v>
      </c>
      <c r="CJ297" s="3">
        <f>SUM(CF297:CI297)</f>
        <v>0</v>
      </c>
      <c r="CK297" s="3">
        <f>CK260-CJ260</f>
        <v>0</v>
      </c>
      <c r="CL297" s="3">
        <f>CL260-CK260</f>
        <v>0</v>
      </c>
      <c r="CM297" s="3">
        <f>CM260-CL260</f>
        <v>0</v>
      </c>
      <c r="CN297" s="3">
        <f>CN260-CM260</f>
        <v>0</v>
      </c>
      <c r="CO297" s="3">
        <f>SUM(CK297:CN297)</f>
        <v>0</v>
      </c>
      <c r="CP297" s="3">
        <f>CP260-CO260</f>
        <v>0</v>
      </c>
      <c r="CQ297" s="3">
        <f>CQ260-CP260</f>
        <v>0</v>
      </c>
      <c r="CR297" s="3">
        <f>CR260-CQ260</f>
        <v>0</v>
      </c>
      <c r="CS297" s="3">
        <f>CS260-CR260</f>
        <v>0</v>
      </c>
      <c r="CT297" s="3">
        <f>SUM(CP297:CS297)</f>
        <v>0</v>
      </c>
      <c r="CU297" s="3">
        <f>CU260-CT260</f>
        <v>0</v>
      </c>
      <c r="CV297" s="3">
        <f>CV260-CU260</f>
        <v>0</v>
      </c>
      <c r="CW297" s="3">
        <f>CW260-CV260</f>
        <v>0</v>
      </c>
      <c r="CX297" s="3">
        <f>CX260-CW260</f>
        <v>0</v>
      </c>
      <c r="CY297" s="3">
        <f>SUM(CU297:CX297)</f>
        <v>0</v>
      </c>
    </row>
    <row r="298">
      <c r="C298" s="29" t="inlineStr">
        <is>
          <t>Common and preferred dividends</t>
        </is>
      </c>
      <c r="D298" s="3" t="n"/>
      <c r="E298" s="3">
        <f>(E261-D261)-E268</f>
        <v>-1458</v>
      </c>
      <c r="F298" s="3">
        <f>(F261-E261)-F268</f>
        <v>-730</v>
      </c>
      <c r="G298" s="3">
        <f>(G261-F261)-G268</f>
        <v>0</v>
      </c>
      <c r="H298" s="3">
        <f>SUM(D298:G298)</f>
        <v>-2188</v>
      </c>
      <c r="I298" s="3">
        <f>(I261-H261)-I268</f>
        <v>-1496</v>
      </c>
      <c r="J298" s="3">
        <f>(J261-I261)-J268</f>
        <v>-1831</v>
      </c>
      <c r="K298" s="3">
        <f>(K261-J261)-K268</f>
        <v>-1099</v>
      </c>
      <c r="L298" s="3">
        <f>(L261-K261)-L268</f>
        <v>-1925</v>
      </c>
      <c r="M298" s="3">
        <f>SUM(I298:L298)</f>
        <v>-6351</v>
      </c>
      <c r="N298" s="3">
        <f>(N261-M261)-N268</f>
        <v>-2617</v>
      </c>
      <c r="O298" s="3">
        <f>(O261-N261)-O268</f>
        <v>-1689</v>
      </c>
      <c r="P298" s="3">
        <f>(P261-O261)-P268</f>
        <v>-1275</v>
      </c>
      <c r="Q298" s="3">
        <f>(Q261-P261)-Q268</f>
        <v>-4808</v>
      </c>
      <c r="R298" s="3">
        <f>SUM(N298:Q298)</f>
        <v>-10389</v>
      </c>
      <c r="S298" s="3">
        <f>(S261-R261)-S268</f>
        <v>-1154</v>
      </c>
      <c r="T298" s="3">
        <f>(T261-S261)-T268</f>
        <v>-2091</v>
      </c>
      <c r="U298" s="3">
        <f>(U261-T261)-U268</f>
        <v>-1686</v>
      </c>
      <c r="V298" s="3">
        <f>(V261-U261)-V268</f>
        <v>-3534</v>
      </c>
      <c r="W298" s="3">
        <f>SUM(S298:V298)</f>
        <v>-8465</v>
      </c>
      <c r="X298" s="3">
        <f>(X261-W261)-X268</f>
        <v>-1721</v>
      </c>
      <c r="Y298" s="3">
        <f>(Y261-X261)-Y268</f>
        <v>-2156</v>
      </c>
      <c r="Z298" s="3">
        <f>(Z261-Y261)-Z268</f>
        <v>-673</v>
      </c>
      <c r="AA298" s="3">
        <f>(AA261-Z261)-AA268</f>
        <v>-1633</v>
      </c>
      <c r="AB298" s="3">
        <f>SUM(X298:AA298)</f>
        <v>-6183</v>
      </c>
      <c r="AC298" s="3">
        <f>(AC261-AB261)-AC268</f>
        <v>-1490</v>
      </c>
      <c r="AD298" s="3">
        <f>(AD261-AC261)-AD268</f>
        <v>-1856</v>
      </c>
      <c r="AE298" s="3">
        <f>(AE261-AD261)-AE268</f>
        <v>-825</v>
      </c>
      <c r="AF298" s="3">
        <f>(AF261-AE261)-AF268</f>
        <v>-1363</v>
      </c>
      <c r="AG298" s="3">
        <f>SUM(AC298:AF298)</f>
        <v>-5534</v>
      </c>
      <c r="AH298" s="3">
        <f>(AH261-AG261)-AH268</f>
        <v>-799</v>
      </c>
      <c r="AI298" s="3">
        <f>(AI261-AH261)-AI268</f>
        <v>-800</v>
      </c>
      <c r="AJ298" s="3">
        <f>(AJ261-AI261)-AJ268</f>
        <v>0</v>
      </c>
      <c r="AK298" s="3">
        <f>(AK261-AJ261)-AK268</f>
        <v>0</v>
      </c>
      <c r="AL298" s="3">
        <f>SUM(AH298:AK298)</f>
        <v>-1599</v>
      </c>
      <c r="AM298" s="3">
        <f>(AM261-AL261)-AM268</f>
        <v>0</v>
      </c>
      <c r="AN298" s="3">
        <f>(AN261-AM261)-AN268</f>
        <v>0</v>
      </c>
      <c r="AO298" s="3">
        <f>(AO261-AN261)-AO268</f>
        <v>0</v>
      </c>
      <c r="AP298" s="3">
        <f>(AP261-AO261)-AP268</f>
        <v>0</v>
      </c>
      <c r="AQ298" s="3">
        <f>SUM(AM298:AP298)</f>
        <v>0</v>
      </c>
      <c r="AR298" s="3">
        <f>(AR261-AQ261)-AR268</f>
        <v>0</v>
      </c>
      <c r="AS298" s="3">
        <f>(AS261-AR261)-AS268</f>
        <v>0</v>
      </c>
      <c r="AT298" s="3">
        <f>(AT261-AS261)-AT268</f>
        <v>0</v>
      </c>
      <c r="AU298" s="3">
        <f>(AU261-AT261)-AU268</f>
        <v>0</v>
      </c>
      <c r="AV298" s="3">
        <f>SUM(AR298:AU298)</f>
        <v>0</v>
      </c>
      <c r="AW298" s="3">
        <f>(AW261-AV261)-AW268</f>
        <v>0</v>
      </c>
      <c r="AX298" s="3">
        <f>(AX261-AW261)-AX268</f>
        <v>0</v>
      </c>
      <c r="AY298" s="3">
        <f>(AY261-AX261)-AY268</f>
        <v>0</v>
      </c>
      <c r="AZ298" s="3">
        <f>(AZ261-AY261)-AZ268</f>
        <v>0</v>
      </c>
      <c r="BA298" s="3">
        <f>SUM(AW298:AZ298)</f>
        <v>0</v>
      </c>
      <c r="BB298" s="3">
        <f>(BB261-BA261)-BB268</f>
        <v>0</v>
      </c>
      <c r="BC298" s="3">
        <f>(BC261-BB261)-BC268</f>
        <v>0</v>
      </c>
      <c r="BD298" s="3">
        <f>(BD261-BC261)-BD268</f>
        <v>0</v>
      </c>
      <c r="BE298" s="3">
        <f>(BE261-BD261)-BE268</f>
        <v>0</v>
      </c>
      <c r="BF298" s="3">
        <f>SUM(BB298:BE298)</f>
        <v>0</v>
      </c>
      <c r="BG298" s="3">
        <f>(BG261-BF261)-BG268</f>
        <v>0</v>
      </c>
      <c r="BH298" s="3">
        <f>(BH261-BG261)-BH268</f>
        <v>0</v>
      </c>
      <c r="BI298" s="3">
        <f>(BI261-BH261)-BI268</f>
        <v>0</v>
      </c>
      <c r="BJ298" s="3">
        <f>(BJ261-BI261)-BJ268</f>
        <v>0</v>
      </c>
      <c r="BK298" s="3">
        <f>SUM(BG298:BJ298)</f>
        <v>0</v>
      </c>
      <c r="BL298" s="3">
        <f>(BL261-BK261)-BL268</f>
        <v>0</v>
      </c>
      <c r="BM298" s="3">
        <f>(BM261-BL261)-BM268</f>
        <v>0</v>
      </c>
      <c r="BN298" s="3">
        <f>(BN261-BM261)-BN268</f>
        <v>0</v>
      </c>
      <c r="BO298" s="3">
        <f>(BO261-BN261)-BO268</f>
        <v>0</v>
      </c>
      <c r="BP298" s="3">
        <f>SUM(BL298:BO298)</f>
        <v>0</v>
      </c>
      <c r="BQ298" s="3">
        <f>(BQ261-BP261)-BQ268</f>
        <v>0</v>
      </c>
      <c r="BR298" s="3">
        <f>(BR261-BQ261)-BR268</f>
        <v>0</v>
      </c>
      <c r="BS298" s="3">
        <f>(BS261-BR261)-BS268</f>
        <v>0</v>
      </c>
      <c r="BT298" s="3">
        <f>(BT261-BS261)-BT268</f>
        <v>0</v>
      </c>
      <c r="BU298" s="3">
        <f>SUM(BQ298:BT298)</f>
        <v>0</v>
      </c>
      <c r="BV298" s="3">
        <f>(BV261-BU261)-BV268</f>
        <v>0</v>
      </c>
      <c r="BW298" s="3">
        <f>(BW261-BV261)-BW268</f>
        <v>0</v>
      </c>
      <c r="BX298" s="3">
        <f>(BX261-BW261)-BX268</f>
        <v>0</v>
      </c>
      <c r="BY298" s="3">
        <f>(BY261-BX261)-BY268</f>
        <v>0</v>
      </c>
      <c r="BZ298" s="3">
        <f>SUM(BV298:BY298)</f>
        <v>0</v>
      </c>
      <c r="CA298" s="3">
        <f>(CA261-BZ261)-CA268</f>
        <v>0</v>
      </c>
      <c r="CB298" s="3">
        <f>(CB261-CA261)-CB268</f>
        <v>0</v>
      </c>
      <c r="CC298" s="3">
        <f>(CC261-CB261)-CC268</f>
        <v>0</v>
      </c>
      <c r="CD298" s="3">
        <f>(CD261-CC261)-CD268</f>
        <v>0</v>
      </c>
      <c r="CE298" s="3">
        <f>SUM(CA298:CD298)</f>
        <v>0</v>
      </c>
      <c r="CF298" s="3">
        <f>(CF261-CE261)-CF268</f>
        <v>0</v>
      </c>
      <c r="CG298" s="3">
        <f>(CG261-CF261)-CG268</f>
        <v>0</v>
      </c>
      <c r="CH298" s="3">
        <f>(CH261-CG261)-CH268</f>
        <v>0</v>
      </c>
      <c r="CI298" s="3">
        <f>(CI261-CH261)-CI268</f>
        <v>0</v>
      </c>
      <c r="CJ298" s="3">
        <f>SUM(CF298:CI298)</f>
        <v>0</v>
      </c>
      <c r="CK298" s="3">
        <f>(CK261-CJ261)-CK268</f>
        <v>0</v>
      </c>
      <c r="CL298" s="3">
        <f>(CL261-CK261)-CL268</f>
        <v>0</v>
      </c>
      <c r="CM298" s="3">
        <f>(CM261-CL261)-CM268</f>
        <v>0</v>
      </c>
      <c r="CN298" s="3">
        <f>(CN261-CM261)-CN268</f>
        <v>0</v>
      </c>
      <c r="CO298" s="3">
        <f>SUM(CK298:CN298)</f>
        <v>0</v>
      </c>
      <c r="CP298" s="3">
        <f>(CP261-CO261)-CP268</f>
        <v>0</v>
      </c>
      <c r="CQ298" s="3">
        <f>(CQ261-CP261)-CQ268</f>
        <v>0</v>
      </c>
      <c r="CR298" s="3">
        <f>(CR261-CQ261)-CR268</f>
        <v>0</v>
      </c>
      <c r="CS298" s="3">
        <f>(CS261-CR261)-CS268</f>
        <v>0</v>
      </c>
      <c r="CT298" s="3">
        <f>SUM(CP298:CS298)</f>
        <v>0</v>
      </c>
      <c r="CU298" s="3">
        <f>(CU261-CT261)-CU268</f>
        <v>0</v>
      </c>
      <c r="CV298" s="3">
        <f>(CV261-CU261)-CV268</f>
        <v>0</v>
      </c>
      <c r="CW298" s="3">
        <f>(CW261-CV261)-CW268</f>
        <v>0</v>
      </c>
      <c r="CX298" s="3">
        <f>(CX261-CW261)-CX268</f>
        <v>0</v>
      </c>
      <c r="CY298" s="3">
        <f>SUM(CU298:CX298)</f>
        <v>0</v>
      </c>
    </row>
    <row r="299">
      <c r="C299" s="26" t="inlineStr">
        <is>
          <t>Dividends to minority interests</t>
        </is>
      </c>
      <c r="D299" s="3" t="n"/>
      <c r="E299" s="3">
        <f>(E239-D239)+E127</f>
        <v>-6</v>
      </c>
      <c r="F299" s="3">
        <f>(F239-E239)+F127</f>
        <v>-2</v>
      </c>
      <c r="G299" s="3">
        <f>(G239-F239)+G127</f>
        <v>-10</v>
      </c>
      <c r="H299" s="3">
        <f>SUM(D299:G299)</f>
        <v>-18</v>
      </c>
      <c r="I299" s="3">
        <f>(I239-H239)+I127</f>
        <v>-2</v>
      </c>
      <c r="J299" s="3">
        <f>(J239-I239)+J127</f>
        <v>-13</v>
      </c>
      <c r="K299" s="3">
        <f>(K239-J239)+K127</f>
        <v>-8</v>
      </c>
      <c r="L299" s="3">
        <f>(L239-K239)+L127</f>
        <v>0</v>
      </c>
      <c r="M299" s="3">
        <f>SUM(I299:L299)</f>
        <v>-23</v>
      </c>
      <c r="N299" s="3">
        <f>(N239-M239)+N127</f>
        <v>0</v>
      </c>
      <c r="O299" s="3">
        <f>(O239-N239)+O127</f>
        <v>0</v>
      </c>
      <c r="P299" s="3">
        <f>(P239-O239)+P127</f>
        <v>0</v>
      </c>
      <c r="Q299" s="3">
        <f>(Q239-P239)+Q127</f>
        <v>0</v>
      </c>
      <c r="R299" s="3">
        <f>SUM(N299:Q299)</f>
        <v>0</v>
      </c>
      <c r="S299" s="3">
        <f>(S239-R239)+S127</f>
        <v>0</v>
      </c>
      <c r="T299" s="3">
        <f>(T239-S239)+T127</f>
        <v>0</v>
      </c>
      <c r="U299" s="3">
        <f>(U239-T239)+U127</f>
        <v>0</v>
      </c>
      <c r="V299" s="3">
        <f>(V239-U239)+V127</f>
        <v>0</v>
      </c>
      <c r="W299" s="3">
        <f>SUM(S299:V299)</f>
        <v>0</v>
      </c>
      <c r="X299" s="3">
        <f>(X239-W239)+X127</f>
        <v>0</v>
      </c>
      <c r="Y299" s="3">
        <f>(Y239-X239)+Y127</f>
        <v>0</v>
      </c>
      <c r="Z299" s="3">
        <f>(Z239-Y239)+Z127</f>
        <v>0</v>
      </c>
      <c r="AA299" s="3">
        <f>(AA239-Z239)+AA127</f>
        <v>0</v>
      </c>
      <c r="AB299" s="3">
        <f>SUM(X299:AA299)</f>
        <v>0</v>
      </c>
      <c r="AC299" s="3">
        <f>(AC239-AB239)+AC127</f>
        <v>0</v>
      </c>
      <c r="AD299" s="3">
        <f>(AD239-AC239)+AD127</f>
        <v>0</v>
      </c>
      <c r="AE299" s="3">
        <f>(AE239-AD239)+AE127</f>
        <v>0</v>
      </c>
      <c r="AF299" s="3">
        <f>(AF239-AE239)+AF127</f>
        <v>0</v>
      </c>
      <c r="AG299" s="3">
        <f>SUM(AC299:AF299)</f>
        <v>0</v>
      </c>
      <c r="AH299" s="3">
        <f>(AH239-AG239)+AH127</f>
        <v>0</v>
      </c>
      <c r="AI299" s="3">
        <f>(AI239-AH239)+AI127</f>
        <v>0</v>
      </c>
      <c r="AJ299" s="3">
        <f>(AJ239-AI239)+AJ127</f>
        <v>0</v>
      </c>
      <c r="AK299" s="3">
        <f>(AK239-AJ239)+AK127</f>
        <v>0</v>
      </c>
      <c r="AL299" s="3">
        <f>SUM(AH299:AK299)</f>
        <v>0</v>
      </c>
      <c r="AM299" s="3">
        <f>(AM239-AL239)+AM127</f>
        <v>0</v>
      </c>
      <c r="AN299" s="3">
        <f>(AN239-AM239)+AN127</f>
        <v>0</v>
      </c>
      <c r="AO299" s="3">
        <f>(AO239-AN239)+AO127</f>
        <v>0</v>
      </c>
      <c r="AP299" s="3">
        <f>(AP239-AO239)+AP127</f>
        <v>0</v>
      </c>
      <c r="AQ299" s="3">
        <f>SUM(AM299:AP299)</f>
        <v>0</v>
      </c>
      <c r="AR299" s="3">
        <f>(AR239-AQ239)+AR127</f>
        <v>0</v>
      </c>
      <c r="AS299" s="3">
        <f>(AS239-AR239)+AS127</f>
        <v>0</v>
      </c>
      <c r="AT299" s="3">
        <f>(AT239-AS239)+AT127</f>
        <v>0</v>
      </c>
      <c r="AU299" s="3">
        <f>(AU239-AT239)+AU127</f>
        <v>0</v>
      </c>
      <c r="AV299" s="3">
        <f>SUM(AR299:AU299)</f>
        <v>0</v>
      </c>
      <c r="AW299" s="3">
        <f>(AW239-AV239)+AW127</f>
        <v>0</v>
      </c>
      <c r="AX299" s="3">
        <f>(AX239-AW239)+AX127</f>
        <v>0</v>
      </c>
      <c r="AY299" s="3">
        <f>(AY239-AX239)+AY127</f>
        <v>0</v>
      </c>
      <c r="AZ299" s="3">
        <f>(AZ239-AY239)+AZ127</f>
        <v>0</v>
      </c>
      <c r="BA299" s="3">
        <f>SUM(AW299:AZ299)</f>
        <v>0</v>
      </c>
      <c r="BB299" s="3">
        <f>(BB239-BA239)+BB127</f>
        <v>0</v>
      </c>
      <c r="BC299" s="3">
        <f>(BC239-BB239)+BC127</f>
        <v>0</v>
      </c>
      <c r="BD299" s="3">
        <f>(BD239-BC239)+BD127</f>
        <v>0</v>
      </c>
      <c r="BE299" s="3">
        <f>(BE239-BD239)+BE127</f>
        <v>0</v>
      </c>
      <c r="BF299" s="3">
        <f>SUM(BB299:BE299)</f>
        <v>0</v>
      </c>
      <c r="BG299" s="3">
        <f>(BG239-BF239)+BG127</f>
        <v>0</v>
      </c>
      <c r="BH299" s="3">
        <f>(BH239-BG239)+BH127</f>
        <v>0</v>
      </c>
      <c r="BI299" s="3">
        <f>(BI239-BH239)+BI127</f>
        <v>0</v>
      </c>
      <c r="BJ299" s="3">
        <f>(BJ239-BI239)+BJ127</f>
        <v>0</v>
      </c>
      <c r="BK299" s="3">
        <f>SUM(BG299:BJ299)</f>
        <v>0</v>
      </c>
      <c r="BL299" s="3">
        <f>(BL239-BK239)+BL127</f>
        <v>0</v>
      </c>
      <c r="BM299" s="3">
        <f>(BM239-BL239)+BM127</f>
        <v>0</v>
      </c>
      <c r="BN299" s="3">
        <f>(BN239-BM239)+BN127</f>
        <v>0</v>
      </c>
      <c r="BO299" s="3">
        <f>(BO239-BN239)+BO127</f>
        <v>0</v>
      </c>
      <c r="BP299" s="3">
        <f>SUM(BL299:BO299)</f>
        <v>0</v>
      </c>
      <c r="BQ299" s="3">
        <f>(BQ239-BP239)+BQ127</f>
        <v>0</v>
      </c>
      <c r="BR299" s="3">
        <f>(BR239-BQ239)+BR127</f>
        <v>0</v>
      </c>
      <c r="BS299" s="3">
        <f>(BS239-BR239)+BS127</f>
        <v>0</v>
      </c>
      <c r="BT299" s="3">
        <f>(BT239-BS239)+BT127</f>
        <v>0</v>
      </c>
      <c r="BU299" s="3">
        <f>SUM(BQ299:BT299)</f>
        <v>0</v>
      </c>
      <c r="BV299" s="3">
        <f>(BV239-BU239)+BV127</f>
        <v>0</v>
      </c>
      <c r="BW299" s="3">
        <f>(BW239-BV239)+BW127</f>
        <v>0</v>
      </c>
      <c r="BX299" s="3">
        <f>(BX239-BW239)+BX127</f>
        <v>0</v>
      </c>
      <c r="BY299" s="3">
        <f>(BY239-BX239)+BY127</f>
        <v>0</v>
      </c>
      <c r="BZ299" s="3">
        <f>SUM(BV299:BY299)</f>
        <v>0</v>
      </c>
      <c r="CA299" s="3">
        <f>(CA239-BZ239)+CA127</f>
        <v>0</v>
      </c>
      <c r="CB299" s="3">
        <f>(CB239-CA239)+CB127</f>
        <v>0</v>
      </c>
      <c r="CC299" s="3">
        <f>(CC239-CB239)+CC127</f>
        <v>0</v>
      </c>
      <c r="CD299" s="3">
        <f>(CD239-CC239)+CD127</f>
        <v>0</v>
      </c>
      <c r="CE299" s="3">
        <f>SUM(CA299:CD299)</f>
        <v>0</v>
      </c>
      <c r="CF299" s="3">
        <f>(CF239-CE239)+CF127</f>
        <v>0</v>
      </c>
      <c r="CG299" s="3">
        <f>(CG239-CF239)+CG127</f>
        <v>0</v>
      </c>
      <c r="CH299" s="3">
        <f>(CH239-CG239)+CH127</f>
        <v>0</v>
      </c>
      <c r="CI299" s="3">
        <f>(CI239-CH239)+CI127</f>
        <v>0</v>
      </c>
      <c r="CJ299" s="3">
        <f>SUM(CF299:CI299)</f>
        <v>0</v>
      </c>
      <c r="CK299" s="3">
        <f>(CK239-CJ239)+CK127</f>
        <v>0</v>
      </c>
      <c r="CL299" s="3">
        <f>(CL239-CK239)+CL127</f>
        <v>0</v>
      </c>
      <c r="CM299" s="3">
        <f>(CM239-CL239)+CM127</f>
        <v>0</v>
      </c>
      <c r="CN299" s="3">
        <f>(CN239-CM239)+CN127</f>
        <v>0</v>
      </c>
      <c r="CO299" s="3">
        <f>SUM(CK299:CN299)</f>
        <v>0</v>
      </c>
      <c r="CP299" s="3">
        <f>(CP239-CO239)+CP127</f>
        <v>0</v>
      </c>
      <c r="CQ299" s="3">
        <f>(CQ239-CP239)+CQ127</f>
        <v>0</v>
      </c>
      <c r="CR299" s="3">
        <f>(CR239-CQ239)+CR127</f>
        <v>0</v>
      </c>
      <c r="CS299" s="3">
        <f>(CS239-CR239)+CS127</f>
        <v>0</v>
      </c>
      <c r="CT299" s="3">
        <f>SUM(CP299:CS299)</f>
        <v>0</v>
      </c>
      <c r="CU299" s="3">
        <f>(CU239-CT239)+CU127</f>
        <v>0</v>
      </c>
      <c r="CV299" s="3">
        <f>(CV239-CU239)+CV127</f>
        <v>0</v>
      </c>
      <c r="CW299" s="3">
        <f>(CW239-CV239)+CW127</f>
        <v>0</v>
      </c>
      <c r="CX299" s="3">
        <f>(CX239-CW239)+CX127</f>
        <v>0</v>
      </c>
      <c r="CY299" s="3">
        <f>SUM(CU299:CX299)</f>
        <v>0</v>
      </c>
    </row>
    <row r="300">
      <c r="C300" s="28" t="inlineStr">
        <is>
          <t>Increases / (decreases) in debt</t>
        </is>
      </c>
      <c r="D300" s="3" t="n"/>
      <c r="E300" s="3">
        <f>SUM(E203:E205,E208,E229,E226)-SUM(D203:D205,D208,D229,D226)</f>
        <v>-15</v>
      </c>
      <c r="F300" s="3">
        <f>SUM(F203:F205,F208,F229,F226)-SUM(E203:E205,E208,E229,E226)</f>
        <v>1</v>
      </c>
      <c r="G300" s="3">
        <f>SUM(G203:G205,G208,G229,G226)-SUM(F203:F205,F208,F229,F226)</f>
        <v>-506</v>
      </c>
      <c r="H300" s="3">
        <f>SUM(D300:G300)</f>
        <v>-520</v>
      </c>
      <c r="I300" s="3">
        <f>SUM(I203:I205,I208,I229,I226)-SUM(H203:H205,H208,H229,H226)</f>
        <v>-6</v>
      </c>
      <c r="J300" s="3">
        <f>SUM(J203:J205,J208,J229,J226)-SUM(I203:I205,I208,I229,I226)</f>
        <v>8</v>
      </c>
      <c r="K300" s="3">
        <f>SUM(K203:K205,K208,K229,K226)-SUM(J203:J205,J208,J229,J226)</f>
        <v>-497</v>
      </c>
      <c r="L300" s="3">
        <f>SUM(L203:L205,L208,L229,L226)-SUM(K203:K205,K208,K229,K226)</f>
        <v>2</v>
      </c>
      <c r="M300" s="3">
        <f>SUM(I300:L300)</f>
        <v>-493</v>
      </c>
      <c r="N300" s="3">
        <f>SUM(N203:N205,N208,N229,N226)-SUM(M203:M205,M208,M229,M226)</f>
        <v>-31</v>
      </c>
      <c r="O300" s="3">
        <f>SUM(O203:O205,O208,O229,O226)-SUM(N203:N205,N208,N229,N226)</f>
        <v>-1</v>
      </c>
      <c r="P300" s="3">
        <f>SUM(P203:P205,P208,P229,P226)-SUM(O203:O205,O208,O229,O226)</f>
        <v>-164</v>
      </c>
      <c r="Q300" s="3">
        <f>SUM(Q203:Q205,Q208,Q229,Q226)-SUM(P203:P205,P208,P229,P226)</f>
        <v>3949</v>
      </c>
      <c r="R300" s="3">
        <f>SUM(N300:Q300)</f>
        <v>3753</v>
      </c>
      <c r="S300" s="3">
        <f>SUM(S203:S205,S208,S229,S226)-SUM(R203:R205,R208,R229,R226)</f>
        <v>171</v>
      </c>
      <c r="T300" s="3">
        <f>SUM(T203:T205,T208,T229,T226)-SUM(S203:S205,S208,S229,S226)</f>
        <v>1945</v>
      </c>
      <c r="U300" s="3">
        <f>SUM(U203:U205,U208,U229,U226)-SUM(T203:T205,T208,T229,T226)</f>
        <v>-156</v>
      </c>
      <c r="V300" s="3">
        <f>SUM(V203:V205,V208,V229,V226)-SUM(U203:U205,U208,U229,U226)</f>
        <v>70</v>
      </c>
      <c r="W300" s="3">
        <f>SUM(S300:V300)</f>
        <v>2030</v>
      </c>
      <c r="X300" s="3">
        <f>SUM(X203:X205,X208,X229,X226)-SUM(W203:W205,W208,W229,W226)</f>
        <v>1959</v>
      </c>
      <c r="Y300" s="3">
        <f>SUM(Y203:Y205,Y208,Y229,Y226)-SUM(X203:X205,X208,X229,X226)</f>
        <v>-161</v>
      </c>
      <c r="Z300" s="3">
        <f>SUM(Z203:Z205,Z208,Z229,Z226)-SUM(Y203:Y205,Y208,Y229,Y226)</f>
        <v>64</v>
      </c>
      <c r="AA300" s="3">
        <f>SUM(AA203:AA205,AA208,AA229,AA226)-SUM(Z203:Z205,Z208,Z229,Z226)</f>
        <v>949</v>
      </c>
      <c r="AB300" s="3">
        <f>SUM(X300:AA300)</f>
        <v>2811</v>
      </c>
      <c r="AC300" s="3">
        <f>SUM(AC203:AC205,AC208,AC229,AC226)-SUM(AB203:AB205,AB208,AB229,AB226)</f>
        <v>34</v>
      </c>
      <c r="AD300" s="3">
        <f>SUM(AD203:AD205,AD208,AD229,AD226)-SUM(AC203:AC205,AC208,AC229,AC226)</f>
        <v>1334</v>
      </c>
      <c r="AE300" s="3">
        <f>SUM(AE203:AE205,AE208,AE229,AE226)-SUM(AD203:AD205,AD208,AD229,AD226)</f>
        <v>551</v>
      </c>
      <c r="AF300" s="3">
        <f>SUM(AF203:AF205,AF208,AF229,AF226)-SUM(AE203:AE205,AE208,AE229,AE226)</f>
        <v>-489</v>
      </c>
      <c r="AG300" s="3">
        <f>SUM(AC300:AF300)</f>
        <v>1430</v>
      </c>
      <c r="AH300" s="3">
        <f>SUM(AH203:AH205,AH208,AH229,AH226)-SUM(AG203:AG205,AG208,AG229,AG226)</f>
        <v>-1003</v>
      </c>
      <c r="AI300" s="3">
        <f>SUM(AI203:AI205,AI208,AI229,AI226)-SUM(AH203:AH205,AH208,AH229,AH226)</f>
        <v>-159</v>
      </c>
      <c r="AJ300" s="3">
        <f>SUM(AJ203:AJ205,AJ208,AJ229,AJ226)-SUM(AI203:AI205,AI208,AI229,AI226)</f>
        <v>0</v>
      </c>
      <c r="AK300" s="3">
        <f>SUM(AK203:AK205,AK208,AK229,AK226)-SUM(AJ203:AJ205,AJ208,AJ229,AJ226)</f>
        <v>0</v>
      </c>
      <c r="AL300" s="3">
        <f>SUM(AH300:AK300)</f>
        <v>-1162</v>
      </c>
      <c r="AM300" s="3">
        <f>SUM(AM203:AM205,AM208,AM229,AM226)-SUM(AL203:AL205,AL208,AL229,AL226)</f>
        <v>0</v>
      </c>
      <c r="AN300" s="3">
        <f>SUM(AN203:AN205,AN208,AN229,AN226)-SUM(AM203:AM205,AM208,AM229,AM226)</f>
        <v>0</v>
      </c>
      <c r="AO300" s="3">
        <f>SUM(AO203:AO205,AO208,AO229,AO226)-SUM(AN203:AN205,AN208,AN229,AN226)</f>
        <v>0</v>
      </c>
      <c r="AP300" s="3">
        <f>SUM(AP203:AP205,AP208,AP229,AP226)-SUM(AO203:AO205,AO208,AO229,AO226)</f>
        <v>0</v>
      </c>
      <c r="AQ300" s="3">
        <f>SUM(AM300:AP300)</f>
        <v>0</v>
      </c>
      <c r="AR300" s="3">
        <f>SUM(AR203:AR205,AR208,AR229,AR226)-SUM(AQ203:AQ205,AQ208,AQ229,AQ226)</f>
        <v>0</v>
      </c>
      <c r="AS300" s="3">
        <f>SUM(AS203:AS205,AS208,AS229,AS226)-SUM(AR203:AR205,AR208,AR229,AR226)</f>
        <v>0</v>
      </c>
      <c r="AT300" s="3">
        <f>SUM(AT203:AT205,AT208,AT229,AT226)-SUM(AS203:AS205,AS208,AS229,AS226)</f>
        <v>0</v>
      </c>
      <c r="AU300" s="3">
        <f>SUM(AU203:AU205,AU208,AU229,AU226)-SUM(AT203:AT205,AT208,AT229,AT226)</f>
        <v>0</v>
      </c>
      <c r="AV300" s="3">
        <f>SUM(AR300:AU300)</f>
        <v>0</v>
      </c>
      <c r="AW300" s="3">
        <f>SUM(AW203:AW205,AW208,AW229,AW226)-SUM(AV203:AV205,AV208,AV229,AV226)</f>
        <v>0</v>
      </c>
      <c r="AX300" s="3">
        <f>SUM(AX203:AX205,AX208,AX229,AX226)-SUM(AW203:AW205,AW208,AW229,AW226)</f>
        <v>0</v>
      </c>
      <c r="AY300" s="3">
        <f>SUM(AY203:AY205,AY208,AY229,AY226)-SUM(AX203:AX205,AX208,AX229,AX226)</f>
        <v>0</v>
      </c>
      <c r="AZ300" s="3">
        <f>SUM(AZ203:AZ205,AZ208,AZ229,AZ226)-SUM(AY203:AY205,AY208,AY229,AY226)</f>
        <v>0</v>
      </c>
      <c r="BA300" s="3">
        <f>SUM(AW300:AZ300)</f>
        <v>0</v>
      </c>
      <c r="BB300" s="3">
        <f>SUM(BB203:BB205,BB208,BB229,BB226)-SUM(BA203:BA205,BA208,BA229,BA226)</f>
        <v>0</v>
      </c>
      <c r="BC300" s="3">
        <f>SUM(BC203:BC205,BC208,BC229,BC226)-SUM(BB203:BB205,BB208,BB229,BB226)</f>
        <v>0</v>
      </c>
      <c r="BD300" s="3">
        <f>SUM(BD203:BD205,BD208,BD229,BD226)-SUM(BC203:BC205,BC208,BC229,BC226)</f>
        <v>0</v>
      </c>
      <c r="BE300" s="3">
        <f>SUM(BE203:BE205,BE208,BE229,BE226)-SUM(BD203:BD205,BD208,BD229,BD226)</f>
        <v>0</v>
      </c>
      <c r="BF300" s="3">
        <f>SUM(BB300:BE300)</f>
        <v>0</v>
      </c>
      <c r="BG300" s="3">
        <f>SUM(BG203:BG205,BG208,BG229,BG226)-SUM(BF203:BF205,BF208,BF229,BF226)</f>
        <v>0</v>
      </c>
      <c r="BH300" s="3">
        <f>SUM(BH203:BH205,BH208,BH229,BH226)-SUM(BG203:BG205,BG208,BG229,BG226)</f>
        <v>0</v>
      </c>
      <c r="BI300" s="3">
        <f>SUM(BI203:BI205,BI208,BI229,BI226)-SUM(BH203:BH205,BH208,BH229,BH226)</f>
        <v>0</v>
      </c>
      <c r="BJ300" s="3">
        <f>SUM(BJ203:BJ205,BJ208,BJ229,BJ226)-SUM(BI203:BI205,BI208,BI229,BI226)</f>
        <v>0</v>
      </c>
      <c r="BK300" s="3">
        <f>SUM(BG300:BJ300)</f>
        <v>0</v>
      </c>
      <c r="BL300" s="3">
        <f>SUM(BL203:BL205,BL208,BL229,BL226)-SUM(BK203:BK205,BK208,BK229,BK226)</f>
        <v>0</v>
      </c>
      <c r="BM300" s="3">
        <f>SUM(BM203:BM205,BM208,BM229,BM226)-SUM(BL203:BL205,BL208,BL229,BL226)</f>
        <v>0</v>
      </c>
      <c r="BN300" s="3">
        <f>SUM(BN203:BN205,BN208,BN229,BN226)-SUM(BM203:BM205,BM208,BM229,BM226)</f>
        <v>0</v>
      </c>
      <c r="BO300" s="3">
        <f>SUM(BO203:BO205,BO208,BO229,BO226)-SUM(BN203:BN205,BN208,BN229,BN226)</f>
        <v>0</v>
      </c>
      <c r="BP300" s="3">
        <f>SUM(BL300:BO300)</f>
        <v>0</v>
      </c>
      <c r="BQ300" s="3">
        <f>SUM(BQ203:BQ205,BQ208,BQ229,BQ226)-SUM(BP203:BP205,BP208,BP229,BP226)</f>
        <v>0</v>
      </c>
      <c r="BR300" s="3">
        <f>SUM(BR203:BR205,BR208,BR229,BR226)-SUM(BQ203:BQ205,BQ208,BQ229,BQ226)</f>
        <v>0</v>
      </c>
      <c r="BS300" s="3">
        <f>SUM(BS203:BS205,BS208,BS229,BS226)-SUM(BR203:BR205,BR208,BR229,BR226)</f>
        <v>0</v>
      </c>
      <c r="BT300" s="3">
        <f>SUM(BT203:BT205,BT208,BT229,BT226)-SUM(BS203:BS205,BS208,BS229,BS226)</f>
        <v>0</v>
      </c>
      <c r="BU300" s="3">
        <f>SUM(BQ300:BT300)</f>
        <v>0</v>
      </c>
      <c r="BV300" s="3">
        <f>SUM(BV203:BV205,BV208,BV229,BV226)-SUM(BU203:BU205,BU208,BU229,BU226)</f>
        <v>0</v>
      </c>
      <c r="BW300" s="3">
        <f>SUM(BW203:BW205,BW208,BW229,BW226)-SUM(BV203:BV205,BV208,BV229,BV226)</f>
        <v>0</v>
      </c>
      <c r="BX300" s="3">
        <f>SUM(BX203:BX205,BX208,BX229,BX226)-SUM(BW203:BW205,BW208,BW229,BW226)</f>
        <v>0</v>
      </c>
      <c r="BY300" s="3">
        <f>SUM(BY203:BY205,BY208,BY229,BY226)-SUM(BX203:BX205,BX208,BX229,BX226)</f>
        <v>0</v>
      </c>
      <c r="BZ300" s="3">
        <f>SUM(BV300:BY300)</f>
        <v>0</v>
      </c>
      <c r="CA300" s="3">
        <f>SUM(CA203:CA205,CA208,CA229,CA226)-SUM(BZ203:BZ205,BZ208,BZ229,BZ226)</f>
        <v>0</v>
      </c>
      <c r="CB300" s="3">
        <f>SUM(CB203:CB205,CB208,CB229,CB226)-SUM(CA203:CA205,CA208,CA229,CA226)</f>
        <v>0</v>
      </c>
      <c r="CC300" s="3">
        <f>SUM(CC203:CC205,CC208,CC229,CC226)-SUM(CB203:CB205,CB208,CB229,CB226)</f>
        <v>0</v>
      </c>
      <c r="CD300" s="3">
        <f>SUM(CD203:CD205,CD208,CD229,CD226)-SUM(CC203:CC205,CC208,CC229,CC226)</f>
        <v>0</v>
      </c>
      <c r="CE300" s="3">
        <f>SUM(CA300:CD300)</f>
        <v>0</v>
      </c>
      <c r="CF300" s="3">
        <f>SUM(CF203:CF205,CF208,CF229,CF226)-SUM(CE203:CE205,CE208,CE229,CE226)</f>
        <v>0</v>
      </c>
      <c r="CG300" s="3">
        <f>SUM(CG203:CG205,CG208,CG229,CG226)-SUM(CF203:CF205,CF208,CF229,CF226)</f>
        <v>0</v>
      </c>
      <c r="CH300" s="3">
        <f>SUM(CH203:CH205,CH208,CH229,CH226)-SUM(CG203:CG205,CG208,CG229,CG226)</f>
        <v>0</v>
      </c>
      <c r="CI300" s="3">
        <f>SUM(CI203:CI205,CI208,CI229,CI226)-SUM(CH203:CH205,CH208,CH229,CH226)</f>
        <v>0</v>
      </c>
      <c r="CJ300" s="3">
        <f>SUM(CF300:CI300)</f>
        <v>0</v>
      </c>
      <c r="CK300" s="3">
        <f>SUM(CK203:CK205,CK208,CK229,CK226)-SUM(CJ203:CJ205,CJ208,CJ229,CJ226)</f>
        <v>0</v>
      </c>
      <c r="CL300" s="3">
        <f>SUM(CL203:CL205,CL208,CL229,CL226)-SUM(CK203:CK205,CK208,CK229,CK226)</f>
        <v>0</v>
      </c>
      <c r="CM300" s="3">
        <f>SUM(CM203:CM205,CM208,CM229,CM226)-SUM(CL203:CL205,CL208,CL229,CL226)</f>
        <v>0</v>
      </c>
      <c r="CN300" s="3">
        <f>SUM(CN203:CN205,CN208,CN229,CN226)-SUM(CM203:CM205,CM208,CM229,CM226)</f>
        <v>0</v>
      </c>
      <c r="CO300" s="3">
        <f>SUM(CK300:CN300)</f>
        <v>0</v>
      </c>
      <c r="CP300" s="3">
        <f>SUM(CP203:CP205,CP208,CP229,CP226)-SUM(CO203:CO205,CO208,CO229,CO226)</f>
        <v>0</v>
      </c>
      <c r="CQ300" s="3">
        <f>SUM(CQ203:CQ205,CQ208,CQ229,CQ226)-SUM(CP203:CP205,CP208,CP229,CP226)</f>
        <v>0</v>
      </c>
      <c r="CR300" s="3">
        <f>SUM(CR203:CR205,CR208,CR229,CR226)-SUM(CQ203:CQ205,CQ208,CQ229,CQ226)</f>
        <v>0</v>
      </c>
      <c r="CS300" s="3">
        <f>SUM(CS203:CS205,CS208,CS229,CS226)-SUM(CR203:CR205,CR208,CR229,CR226)</f>
        <v>0</v>
      </c>
      <c r="CT300" s="3">
        <f>SUM(CP300:CS300)</f>
        <v>0</v>
      </c>
      <c r="CU300" s="3">
        <f>SUM(CU203:CU205,CU208,CU229,CU226)-SUM(CT203:CT205,CT208,CT229,CT226)</f>
        <v>0</v>
      </c>
      <c r="CV300" s="3">
        <f>SUM(CV203:CV205,CV208,CV229,CV226)-SUM(CU203:CU205,CU208,CU229,CU226)</f>
        <v>0</v>
      </c>
      <c r="CW300" s="3">
        <f>SUM(CW203:CW205,CW208,CW229,CW226)-SUM(CV203:CV205,CV208,CV229,CV226)</f>
        <v>0</v>
      </c>
      <c r="CX300" s="3">
        <f>SUM(CX203:CX205,CX208,CX229,CX226)-SUM(CW203:CW205,CW208,CW229,CW226)</f>
        <v>0</v>
      </c>
      <c r="CY300" s="3">
        <f>SUM(CU300:CX300)</f>
        <v>0</v>
      </c>
      <c r="CZ300" s="3" t="n"/>
      <c r="DA300" s="3" t="n"/>
      <c r="DB300" s="3" t="n"/>
      <c r="DC300" s="3" t="n"/>
    </row>
    <row r="301">
      <c r="C301" s="26" t="inlineStr">
        <is>
          <t>Cash from financing</t>
        </is>
      </c>
      <c r="D301" s="3" t="n"/>
      <c r="E301" s="3">
        <f>SUM(E293,E294,E295,E296,E297,E298,E299,E300)</f>
        <v>-1342</v>
      </c>
      <c r="F301" s="3">
        <f>SUM(F293,F294,F295,F296,F297,F298,F299,F300)</f>
        <v>-497</v>
      </c>
      <c r="G301" s="3">
        <f>SUM(G293,G294,G295,G296,G297,G298,G299,G300)</f>
        <v>-1246</v>
      </c>
      <c r="H301" s="3">
        <f>SUM(H293,H294,H295,H296,H297,H298,H299,H300)</f>
        <v>-3085</v>
      </c>
      <c r="I301" s="3">
        <f>SUM(I293,I294,I295,I296,I297,I298,I299,I300)</f>
        <v>-1548</v>
      </c>
      <c r="J301" s="3">
        <f>SUM(J293,J294,J295,J296,J297,J298,J299,J300)</f>
        <v>-1610</v>
      </c>
      <c r="K301" s="3">
        <f>SUM(K293,K294,K295,K296,K297,K298,K299,K300)</f>
        <v>1990</v>
      </c>
      <c r="L301" s="3">
        <f>SUM(L293,L294,L295,L296,L297,L298,L299,L300)</f>
        <v>-719</v>
      </c>
      <c r="M301" s="3">
        <f>SUM(M293,M294,M295,M296,M297,M298,M299,M300)</f>
        <v>-1887</v>
      </c>
      <c r="N301" s="3">
        <f>SUM(N293,N294,N295,N296,N297,N298,N299,N300)</f>
        <v>-2721</v>
      </c>
      <c r="O301" s="3">
        <f>SUM(O293,O294,O295,O296,O297,O298,O299,O300)</f>
        <v>1120</v>
      </c>
      <c r="P301" s="3">
        <f>SUM(P293,P294,P295,P296,P297,P298,P299,P300)</f>
        <v>-1408</v>
      </c>
      <c r="Q301" s="3">
        <f>SUM(Q293,Q294,Q295,Q296,Q297,Q298,Q299,Q300)</f>
        <v>-663</v>
      </c>
      <c r="R301" s="3">
        <f>SUM(R293,R294,R295,R296,R297,R298,R299,R300)</f>
        <v>-3672</v>
      </c>
      <c r="S301" s="3">
        <f>SUM(S293,S294,S295,S296,S297,S298,S299,S300)</f>
        <v>-1138</v>
      </c>
      <c r="T301" s="3">
        <f>SUM(T293,T294,T295,T296,T297,T298,T299,T300)</f>
        <v>-142</v>
      </c>
      <c r="U301" s="3">
        <f>SUM(U293,U294,U295,U296,U297,U298,U299,U300)</f>
        <v>-1806</v>
      </c>
      <c r="V301" s="3">
        <f>SUM(V293,V294,V295,V296,V297,V298,V299,V300)</f>
        <v>-4235</v>
      </c>
      <c r="W301" s="3">
        <f>SUM(W293,W294,W295,W296,W297,W298,W299,W300)</f>
        <v>-7321</v>
      </c>
      <c r="X301" s="3">
        <f>SUM(X293,X294,X295,X296,X297,X298,X299,X300)</f>
        <v>229</v>
      </c>
      <c r="Y301" s="3">
        <f>SUM(Y293,Y294,Y295,Y296,Y297,Y298,Y299,Y300)</f>
        <v>-2277</v>
      </c>
      <c r="Z301" s="3">
        <f>SUM(Z293,Z294,Z295,Z296,Z297,Z298,Z299,Z300)</f>
        <v>-534</v>
      </c>
      <c r="AA301" s="3">
        <f>SUM(AA293,AA294,AA295,AA296,AA297,AA298,AA299,AA300)</f>
        <v>-445</v>
      </c>
      <c r="AB301" s="3">
        <f>SUM(AB293,AB294,AB295,AB296,AB297,AB298,AB299,AB300)</f>
        <v>-3027</v>
      </c>
      <c r="AC301" s="3">
        <f>SUM(AC293,AC294,AC295,AC296,AC297,AC298,AC299,AC300)</f>
        <v>-1328</v>
      </c>
      <c r="AD301" s="3">
        <f>SUM(AD293,AD294,AD295,AD296,AD297,AD298,AD299,AD300)</f>
        <v>-357</v>
      </c>
      <c r="AE301" s="3">
        <f>SUM(AE293,AE294,AE295,AE296,AE297,AE298,AE299,AE300)</f>
        <v>-221</v>
      </c>
      <c r="AF301" s="3">
        <f>SUM(AF293,AF294,AF295,AF296,AF297,AF298,AF299,AF300)</f>
        <v>-1293</v>
      </c>
      <c r="AG301" s="3">
        <f>SUM(AG293,AG294,AG295,AG296,AG297,AG298,AG299,AG300)</f>
        <v>-3199</v>
      </c>
      <c r="AH301" s="3">
        <f>SUM(AH293,AH294,AH295,AH296,AH297,AH298,AH299,AH300)</f>
        <v>-1723</v>
      </c>
      <c r="AI301" s="3">
        <f>SUM(AI293,AI294,AI295,AI296,AI297,AI298,AI299,AI300)</f>
        <v>-716</v>
      </c>
      <c r="AJ301" s="3">
        <f>SUM(AJ293,AJ294,AJ295,AJ296,AJ297,AJ298,AJ299,AJ300)</f>
        <v>0</v>
      </c>
      <c r="AK301" s="3">
        <f>SUM(AK293,AK294,AK295,AK296,AK297,AK298,AK299,AK300)</f>
        <v>0</v>
      </c>
      <c r="AL301" s="3">
        <f>SUM(AL293,AL294,AL295,AL296,AL297,AL298,AL299,AL300)</f>
        <v>-2439</v>
      </c>
      <c r="AM301" s="3">
        <f>SUM(AM293,AM294,AM295,AM296,AM297,AM298,AM299,AM300)</f>
        <v>0</v>
      </c>
      <c r="AN301" s="3">
        <f>SUM(AN293,AN294,AN295,AN296,AN297,AN298,AN299,AN300)</f>
        <v>0</v>
      </c>
      <c r="AO301" s="3">
        <f>SUM(AO293,AO294,AO295,AO296,AO297,AO298,AO299,AO300)</f>
        <v>0</v>
      </c>
      <c r="AP301" s="3">
        <f>SUM(AP293,AP294,AP295,AP296,AP297,AP298,AP299,AP300)</f>
        <v>0</v>
      </c>
      <c r="AQ301" s="3">
        <f>SUM(AQ293,AQ294,AQ295,AQ296,AQ297,AQ298,AQ299,AQ300)</f>
        <v>0</v>
      </c>
      <c r="AR301" s="3">
        <f>SUM(AR293,AR294,AR295,AR296,AR297,AR298,AR299,AR300)</f>
        <v>0</v>
      </c>
      <c r="AS301" s="3">
        <f>SUM(AS293,AS294,AS295,AS296,AS297,AS298,AS299,AS300)</f>
        <v>0</v>
      </c>
      <c r="AT301" s="3">
        <f>SUM(AT293,AT294,AT295,AT296,AT297,AT298,AT299,AT300)</f>
        <v>0</v>
      </c>
      <c r="AU301" s="3">
        <f>SUM(AU293,AU294,AU295,AU296,AU297,AU298,AU299,AU300)</f>
        <v>0</v>
      </c>
      <c r="AV301" s="3">
        <f>SUM(AV293,AV294,AV295,AV296,AV297,AV298,AV299,AV300)</f>
        <v>0</v>
      </c>
      <c r="AW301" s="3">
        <f>SUM(AW293,AW294,AW295,AW296,AW297,AW298,AW299,AW300)</f>
        <v>0</v>
      </c>
      <c r="AX301" s="3">
        <f>SUM(AX293,AX294,AX295,AX296,AX297,AX298,AX299,AX300)</f>
        <v>0</v>
      </c>
      <c r="AY301" s="3">
        <f>SUM(AY293,AY294,AY295,AY296,AY297,AY298,AY299,AY300)</f>
        <v>0</v>
      </c>
      <c r="AZ301" s="3">
        <f>SUM(AZ293,AZ294,AZ295,AZ296,AZ297,AZ298,AZ299,AZ300)</f>
        <v>0</v>
      </c>
      <c r="BA301" s="3">
        <f>SUM(BA293,BA294,BA295,BA296,BA297,BA298,BA299,BA300)</f>
        <v>0</v>
      </c>
      <c r="BB301" s="3">
        <f>SUM(BB293,BB294,BB295,BB296,BB297,BB298,BB299,BB300)</f>
        <v>0</v>
      </c>
      <c r="BC301" s="3">
        <f>SUM(BC293,BC294,BC295,BC296,BC297,BC298,BC299,BC300)</f>
        <v>0</v>
      </c>
      <c r="BD301" s="3">
        <f>SUM(BD293,BD294,BD295,BD296,BD297,BD298,BD299,BD300)</f>
        <v>0</v>
      </c>
      <c r="BE301" s="3">
        <f>SUM(BE293,BE294,BE295,BE296,BE297,BE298,BE299,BE300)</f>
        <v>0</v>
      </c>
      <c r="BF301" s="3">
        <f>SUM(BF293,BF294,BF295,BF296,BF297,BF298,BF299,BF300)</f>
        <v>0</v>
      </c>
      <c r="BG301" s="3">
        <f>SUM(BG293,BG294,BG295,BG296,BG297,BG298,BG299,BG300)</f>
        <v>0</v>
      </c>
      <c r="BH301" s="3">
        <f>SUM(BH293,BH294,BH295,BH296,BH297,BH298,BH299,BH300)</f>
        <v>0</v>
      </c>
      <c r="BI301" s="3">
        <f>SUM(BI293,BI294,BI295,BI296,BI297,BI298,BI299,BI300)</f>
        <v>0</v>
      </c>
      <c r="BJ301" s="3">
        <f>SUM(BJ293,BJ294,BJ295,BJ296,BJ297,BJ298,BJ299,BJ300)</f>
        <v>0</v>
      </c>
      <c r="BK301" s="3">
        <f>SUM(BK293,BK294,BK295,BK296,BK297,BK298,BK299,BK300)</f>
        <v>0</v>
      </c>
      <c r="BL301" s="3">
        <f>SUM(BL293,BL294,BL295,BL296,BL297,BL298,BL299,BL300)</f>
        <v>0</v>
      </c>
      <c r="BM301" s="3">
        <f>SUM(BM293,BM294,BM295,BM296,BM297,BM298,BM299,BM300)</f>
        <v>0</v>
      </c>
      <c r="BN301" s="3">
        <f>SUM(BN293,BN294,BN295,BN296,BN297,BN298,BN299,BN300)</f>
        <v>0</v>
      </c>
      <c r="BO301" s="3">
        <f>SUM(BO293,BO294,BO295,BO296,BO297,BO298,BO299,BO300)</f>
        <v>0</v>
      </c>
      <c r="BP301" s="3">
        <f>SUM(BP293,BP294,BP295,BP296,BP297,BP298,BP299,BP300)</f>
        <v>0</v>
      </c>
      <c r="BQ301" s="3">
        <f>SUM(BQ293,BQ294,BQ295,BQ296,BQ297,BQ298,BQ299,BQ300)</f>
        <v>0</v>
      </c>
      <c r="BR301" s="3">
        <f>SUM(BR293,BR294,BR295,BR296,BR297,BR298,BR299,BR300)</f>
        <v>0</v>
      </c>
      <c r="BS301" s="3">
        <f>SUM(BS293,BS294,BS295,BS296,BS297,BS298,BS299,BS300)</f>
        <v>0</v>
      </c>
      <c r="BT301" s="3">
        <f>SUM(BT293,BT294,BT295,BT296,BT297,BT298,BT299,BT300)</f>
        <v>0</v>
      </c>
      <c r="BU301" s="3">
        <f>SUM(BU293,BU294,BU295,BU296,BU297,BU298,BU299,BU300)</f>
        <v>0</v>
      </c>
      <c r="BV301" s="3">
        <f>SUM(BV293,BV294,BV295,BV296,BV297,BV298,BV299,BV300)</f>
        <v>0</v>
      </c>
      <c r="BW301" s="3">
        <f>SUM(BW293,BW294,BW295,BW296,BW297,BW298,BW299,BW300)</f>
        <v>0</v>
      </c>
      <c r="BX301" s="3">
        <f>SUM(BX293,BX294,BX295,BX296,BX297,BX298,BX299,BX300)</f>
        <v>0</v>
      </c>
      <c r="BY301" s="3">
        <f>SUM(BY293,BY294,BY295,BY296,BY297,BY298,BY299,BY300)</f>
        <v>0</v>
      </c>
      <c r="BZ301" s="3">
        <f>SUM(BZ293,BZ294,BZ295,BZ296,BZ297,BZ298,BZ299,BZ300)</f>
        <v>0</v>
      </c>
      <c r="CA301" s="3">
        <f>SUM(CA293,CA294,CA295,CA296,CA297,CA298,CA299,CA300)</f>
        <v>0</v>
      </c>
      <c r="CB301" s="3">
        <f>SUM(CB293,CB294,CB295,CB296,CB297,CB298,CB299,CB300)</f>
        <v>0</v>
      </c>
      <c r="CC301" s="3">
        <f>SUM(CC293,CC294,CC295,CC296,CC297,CC298,CC299,CC300)</f>
        <v>0</v>
      </c>
      <c r="CD301" s="3">
        <f>SUM(CD293,CD294,CD295,CD296,CD297,CD298,CD299,CD300)</f>
        <v>0</v>
      </c>
      <c r="CE301" s="3">
        <f>SUM(CE293,CE294,CE295,CE296,CE297,CE298,CE299,CE300)</f>
        <v>0</v>
      </c>
      <c r="CF301" s="3">
        <f>SUM(CF293,CF294,CF295,CF296,CF297,CF298,CF299,CF300)</f>
        <v>0</v>
      </c>
      <c r="CG301" s="3">
        <f>SUM(CG293,CG294,CG295,CG296,CG297,CG298,CG299,CG300)</f>
        <v>0</v>
      </c>
      <c r="CH301" s="3">
        <f>SUM(CH293,CH294,CH295,CH296,CH297,CH298,CH299,CH300)</f>
        <v>0</v>
      </c>
      <c r="CI301" s="3">
        <f>SUM(CI293,CI294,CI295,CI296,CI297,CI298,CI299,CI300)</f>
        <v>0</v>
      </c>
      <c r="CJ301" s="3">
        <f>SUM(CJ293,CJ294,CJ295,CJ296,CJ297,CJ298,CJ299,CJ300)</f>
        <v>0</v>
      </c>
      <c r="CK301" s="3">
        <f>SUM(CK293,CK294,CK295,CK296,CK297,CK298,CK299,CK300)</f>
        <v>0</v>
      </c>
      <c r="CL301" s="3">
        <f>SUM(CL293,CL294,CL295,CL296,CL297,CL298,CL299,CL300)</f>
        <v>0</v>
      </c>
      <c r="CM301" s="3">
        <f>SUM(CM293,CM294,CM295,CM296,CM297,CM298,CM299,CM300)</f>
        <v>0</v>
      </c>
      <c r="CN301" s="3">
        <f>SUM(CN293,CN294,CN295,CN296,CN297,CN298,CN299,CN300)</f>
        <v>0</v>
      </c>
      <c r="CO301" s="3">
        <f>SUM(CO293,CO294,CO295,CO296,CO297,CO298,CO299,CO300)</f>
        <v>0</v>
      </c>
      <c r="CP301" s="3">
        <f>SUM(CP293,CP294,CP295,CP296,CP297,CP298,CP299,CP300)</f>
        <v>0</v>
      </c>
      <c r="CQ301" s="3">
        <f>SUM(CQ293,CQ294,CQ295,CQ296,CQ297,CQ298,CQ299,CQ300)</f>
        <v>0</v>
      </c>
      <c r="CR301" s="3">
        <f>SUM(CR293,CR294,CR295,CR296,CR297,CR298,CR299,CR300)</f>
        <v>0</v>
      </c>
      <c r="CS301" s="3">
        <f>SUM(CS293,CS294,CS295,CS296,CS297,CS298,CS299,CS300)</f>
        <v>0</v>
      </c>
      <c r="CT301" s="3">
        <f>SUM(CT293,CT294,CT295,CT296,CT297,CT298,CT299,CT300)</f>
        <v>0</v>
      </c>
      <c r="CU301" s="3">
        <f>SUM(CU293,CU294,CU295,CU296,CU297,CU298,CU299,CU300)</f>
        <v>0</v>
      </c>
      <c r="CV301" s="3">
        <f>SUM(CV293,CV294,CV295,CV296,CV297,CV298,CV299,CV300)</f>
        <v>0</v>
      </c>
      <c r="CW301" s="3">
        <f>SUM(CW293,CW294,CW295,CW296,CW297,CW298,CW299,CW300)</f>
        <v>0</v>
      </c>
      <c r="CX301" s="3">
        <f>SUM(CX293,CX294,CX295,CX296,CX297,CX298,CX299,CX300)</f>
        <v>0</v>
      </c>
      <c r="CY301" s="3">
        <f>SUM(CY293,CY294,CY295,CY296,CY297,CY298,CY299,CY300)</f>
        <v>0</v>
      </c>
    </row>
    <row r="302">
      <c r="C302" s="26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</row>
    <row r="303">
      <c r="C303" s="26" t="inlineStr">
        <is>
          <t>Others</t>
        </is>
      </c>
      <c r="D303" s="3" t="n"/>
      <c r="E303" s="3" t="n"/>
      <c r="F303" s="3" t="n"/>
      <c r="G303" s="3" t="n"/>
      <c r="H303" s="3">
        <f>SUM(D303:G303)</f>
        <v>0</v>
      </c>
      <c r="I303" s="3" t="n"/>
      <c r="J303" s="3" t="n"/>
      <c r="K303" s="3" t="n"/>
      <c r="L303" s="3" t="n"/>
      <c r="M303" s="3">
        <f>SUM(I303:L303)</f>
        <v>0</v>
      </c>
      <c r="N303" s="3" t="n"/>
      <c r="O303" s="3" t="n"/>
      <c r="P303" s="3" t="n"/>
      <c r="Q303" s="3" t="n"/>
      <c r="R303" s="3">
        <f>SUM(N303:Q303)</f>
        <v>0</v>
      </c>
      <c r="S303" s="3" t="n"/>
      <c r="T303" s="3" t="n"/>
      <c r="U303" s="3" t="n"/>
      <c r="V303" s="3" t="n"/>
      <c r="W303" s="3">
        <f>SUM(S303:V303)</f>
        <v>0</v>
      </c>
      <c r="X303" s="3" t="n"/>
      <c r="Y303" s="3" t="n"/>
      <c r="Z303" s="3" t="n"/>
      <c r="AA303" s="3" t="n"/>
      <c r="AB303" s="3">
        <f>SUM(X303:AA303)</f>
        <v>0</v>
      </c>
      <c r="AC303" s="3" t="n"/>
      <c r="AD303" s="3" t="n"/>
      <c r="AE303" s="3" t="n"/>
      <c r="AF303" s="3" t="n"/>
      <c r="AG303" s="3">
        <f>SUM(AC303:AF303)</f>
        <v>0</v>
      </c>
      <c r="AH303" s="3" t="n"/>
      <c r="AI303" s="3" t="n"/>
      <c r="AJ303" s="3" t="n"/>
      <c r="AK303" s="3" t="n"/>
      <c r="AL303" s="3">
        <f>SUM(AH303:AK303)</f>
        <v>0</v>
      </c>
      <c r="AM303" s="3" t="n"/>
      <c r="AN303" s="3" t="n"/>
      <c r="AO303" s="3" t="n"/>
      <c r="AP303" s="3" t="n"/>
      <c r="AQ303" s="3">
        <f>SUM(AM303:AP303)</f>
        <v>0</v>
      </c>
      <c r="AR303" s="3" t="n"/>
      <c r="AS303" s="3" t="n"/>
      <c r="AT303" s="3" t="n"/>
      <c r="AU303" s="3" t="n"/>
      <c r="AV303" s="3">
        <f>SUM(AR303:AU303)</f>
        <v>0</v>
      </c>
      <c r="AW303" s="3" t="n"/>
      <c r="AX303" s="3" t="n"/>
      <c r="AY303" s="3" t="n"/>
      <c r="AZ303" s="3" t="n"/>
      <c r="BA303" s="3">
        <f>SUM(AW303:AZ303)</f>
        <v>0</v>
      </c>
      <c r="BB303" s="3" t="n"/>
      <c r="BC303" s="3" t="n"/>
      <c r="BD303" s="3" t="n"/>
      <c r="BE303" s="3" t="n"/>
      <c r="BF303" s="3">
        <f>SUM(BB303:BE303)</f>
        <v>0</v>
      </c>
      <c r="BG303" s="3" t="n"/>
      <c r="BH303" s="3" t="n"/>
      <c r="BI303" s="3" t="n"/>
      <c r="BJ303" s="3" t="n"/>
      <c r="BK303" s="3">
        <f>SUM(BG303:BJ303)</f>
        <v>0</v>
      </c>
      <c r="BL303" s="3" t="n"/>
      <c r="BM303" s="3" t="n"/>
      <c r="BN303" s="3" t="n"/>
      <c r="BO303" s="3" t="n"/>
      <c r="BP303" s="3">
        <f>SUM(BL303:BO303)</f>
        <v>0</v>
      </c>
      <c r="BQ303" s="3" t="n"/>
      <c r="BR303" s="3" t="n"/>
      <c r="BS303" s="3" t="n"/>
      <c r="BT303" s="3" t="n"/>
      <c r="BU303" s="3">
        <f>SUM(BQ303:BT303)</f>
        <v>0</v>
      </c>
      <c r="BV303" s="3" t="n"/>
      <c r="BW303" s="3" t="n"/>
      <c r="BX303" s="3" t="n"/>
      <c r="BY303" s="3" t="n"/>
      <c r="BZ303" s="3">
        <f>SUM(BV303:BY303)</f>
        <v>0</v>
      </c>
      <c r="CA303" s="3" t="n"/>
      <c r="CB303" s="3" t="n"/>
      <c r="CC303" s="3" t="n"/>
      <c r="CD303" s="3" t="n"/>
      <c r="CE303" s="3">
        <f>SUM(CA303:CD303)</f>
        <v>0</v>
      </c>
      <c r="CF303" s="3" t="n"/>
      <c r="CG303" s="3" t="n"/>
      <c r="CH303" s="3" t="n"/>
      <c r="CI303" s="3" t="n"/>
      <c r="CJ303" s="3">
        <f>SUM(CF303:CI303)</f>
        <v>0</v>
      </c>
      <c r="CK303" s="3" t="n"/>
      <c r="CL303" s="3" t="n"/>
      <c r="CM303" s="3" t="n"/>
      <c r="CN303" s="3" t="n"/>
      <c r="CO303" s="3">
        <f>SUM(CK303:CN303)</f>
        <v>0</v>
      </c>
      <c r="CP303" s="3" t="n"/>
      <c r="CQ303" s="3" t="n"/>
      <c r="CR303" s="3" t="n"/>
      <c r="CS303" s="3" t="n"/>
      <c r="CT303" s="3">
        <f>SUM(CP303:CS303)</f>
        <v>0</v>
      </c>
      <c r="CU303" s="3" t="n"/>
      <c r="CV303" s="3" t="n"/>
      <c r="CW303" s="3" t="n"/>
      <c r="CX303" s="3" t="n"/>
      <c r="CY303" s="3">
        <f>SUM(CU303:CX303)</f>
        <v>0</v>
      </c>
    </row>
    <row r="304">
      <c r="C304" s="26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  <c r="CG304" s="3" t="n"/>
      <c r="CH304" s="3" t="n"/>
      <c r="CI304" s="3" t="n"/>
      <c r="CJ304" s="3" t="n"/>
      <c r="CK304" s="3" t="n"/>
      <c r="CL304" s="3" t="n"/>
      <c r="CM304" s="3" t="n"/>
      <c r="CN304" s="3" t="n"/>
      <c r="CO304" s="3" t="n"/>
      <c r="CP304" s="3" t="n"/>
      <c r="CQ304" s="3" t="n"/>
      <c r="CR304" s="3" t="n"/>
      <c r="CS304" s="3" t="n"/>
      <c r="CT304" s="3" t="n"/>
      <c r="CU304" s="3" t="n"/>
      <c r="CV304" s="3" t="n"/>
      <c r="CW304" s="3" t="n"/>
      <c r="CX304" s="3" t="n"/>
      <c r="CY304" s="3" t="n"/>
    </row>
    <row r="305">
      <c r="C305" s="26" t="inlineStr">
        <is>
          <t>Total increase/decrease of cash</t>
        </is>
      </c>
      <c r="D305" s="3" t="n"/>
      <c r="E305" s="3">
        <f>SUM(E284,E291,E301,E303)</f>
        <v>867</v>
      </c>
      <c r="F305" s="3">
        <f>SUM(F284,F291,F301,F303)</f>
        <v>730</v>
      </c>
      <c r="G305" s="3">
        <f>SUM(G284,G291,G301,G303)</f>
        <v>-425</v>
      </c>
      <c r="H305" s="3">
        <f>SUM(D305:G305)</f>
        <v>1172</v>
      </c>
      <c r="I305" s="3">
        <f>SUM(I284,I291,I301,I303)</f>
        <v>-227</v>
      </c>
      <c r="J305" s="3">
        <f>SUM(J284,J291,J301,J303)</f>
        <v>-188</v>
      </c>
      <c r="K305" s="3">
        <f>SUM(K284,K291,K301,K303)</f>
        <v>-18</v>
      </c>
      <c r="L305" s="3">
        <f>SUM(L284,L291,L301,L303)</f>
        <v>877</v>
      </c>
      <c r="M305" s="3">
        <f>SUM(I305:L305)</f>
        <v>444</v>
      </c>
      <c r="N305" s="3">
        <f>SUM(N284,N291,N301,N303)</f>
        <v>-1721</v>
      </c>
      <c r="O305" s="3">
        <f>SUM(O284,O291,O301,O303)</f>
        <v>-108</v>
      </c>
      <c r="P305" s="3">
        <f>SUM(P284,P291,P301,P303)</f>
        <v>655</v>
      </c>
      <c r="Q305" s="3">
        <f>SUM(Q284,Q291,Q301,Q303)</f>
        <v>117</v>
      </c>
      <c r="R305" s="3">
        <f>SUM(N305:Q305)</f>
        <v>-1057</v>
      </c>
      <c r="S305" s="3">
        <f>SUM(S284,S291,S301,S303)</f>
        <v>-107</v>
      </c>
      <c r="T305" s="3">
        <f>SUM(T284,T291,T301,T303)</f>
        <v>1233</v>
      </c>
      <c r="U305" s="3">
        <f>SUM(U284,U291,U301,U303)</f>
        <v>-122</v>
      </c>
      <c r="V305" s="3">
        <f>SUM(V284,V291,V301,V303)</f>
        <v>-2109</v>
      </c>
      <c r="W305" s="3">
        <f>SUM(S305:V305)</f>
        <v>-1105</v>
      </c>
      <c r="X305" s="3">
        <f>SUM(X284,X291,X301,X303)</f>
        <v>1348</v>
      </c>
      <c r="Y305" s="3">
        <f>SUM(Y284,Y291,Y301,Y303)</f>
        <v>-267</v>
      </c>
      <c r="Z305" s="3">
        <f>SUM(Z284,Z291,Z301,Z303)</f>
        <v>628</v>
      </c>
      <c r="AA305" s="3">
        <f>SUM(AA284,AA291,AA301,AA303)</f>
        <v>-668</v>
      </c>
      <c r="AB305" s="3">
        <f>SUM(X305:AA305)</f>
        <v>1041</v>
      </c>
      <c r="AC305" s="3">
        <f>SUM(AC284,AC291,AC301,AC303)</f>
        <v>-680</v>
      </c>
      <c r="AD305" s="3">
        <f>SUM(AD284,AD291,AD301,AD303)</f>
        <v>-510</v>
      </c>
      <c r="AE305" s="3">
        <f>SUM(AE284,AE291,AE301,AE303)</f>
        <v>2177</v>
      </c>
      <c r="AF305" s="3">
        <f>SUM(AF284,AF291,AF301,AF303)</f>
        <v>651</v>
      </c>
      <c r="AG305" s="3">
        <f>SUM(AC305:AF305)</f>
        <v>1638</v>
      </c>
      <c r="AH305" s="3">
        <f>SUM(AH284,AH291,AH301,AH303)</f>
        <v>-2227</v>
      </c>
      <c r="AI305" s="3">
        <f>SUM(AI284,AI291,AI301,AI303)</f>
        <v>1897</v>
      </c>
      <c r="AJ305" s="3">
        <f>SUM(AJ284,AJ291,AJ301,AJ303)</f>
        <v>1616</v>
      </c>
      <c r="AK305" s="3">
        <f>SUM(AK284,AK291,AK301,AK303)</f>
        <v>-35</v>
      </c>
      <c r="AL305" s="3">
        <f>SUM(AH305:AK305)</f>
        <v>1251</v>
      </c>
      <c r="AM305" s="3" t="e">
        <f>SUM(AM284,AM291,AM301,AM303)</f>
        <v>#DIV/0!</v>
      </c>
      <c r="AN305" s="3" t="e">
        <f>SUM(AN284,AN291,AN301,AN303)</f>
        <v>#DIV/0!</v>
      </c>
      <c r="AO305" s="3" t="e">
        <f>SUM(AO284,AO291,AO301,AO303)</f>
        <v>#DIV/0!</v>
      </c>
      <c r="AP305" s="3" t="e">
        <f>SUM(AP284,AP291,AP301,AP303)</f>
        <v>#DIV/0!</v>
      </c>
      <c r="AQ305" s="3" t="e">
        <f>SUM(AM305:AP305)</f>
        <v>#DIV/0!</v>
      </c>
      <c r="AR305" s="3" t="e">
        <f>SUM(AR284,AR291,AR301,AR303)</f>
        <v>#DIV/0!</v>
      </c>
      <c r="AS305" s="3" t="e">
        <f>SUM(AS284,AS291,AS301,AS303)</f>
        <v>#DIV/0!</v>
      </c>
      <c r="AT305" s="3" t="e">
        <f>SUM(AT284,AT291,AT301,AT303)</f>
        <v>#DIV/0!</v>
      </c>
      <c r="AU305" s="3" t="e">
        <f>SUM(AU284,AU291,AU301,AU303)</f>
        <v>#DIV/0!</v>
      </c>
      <c r="AV305" s="3" t="e">
        <f>SUM(AR305:AU305)</f>
        <v>#DIV/0!</v>
      </c>
      <c r="AW305" s="3" t="e">
        <f>SUM(AW284,AW291,AW301,AW303)</f>
        <v>#DIV/0!</v>
      </c>
      <c r="AX305" s="3" t="e">
        <f>SUM(AX284,AX291,AX301,AX303)</f>
        <v>#DIV/0!</v>
      </c>
      <c r="AY305" s="3" t="e">
        <f>SUM(AY284,AY291,AY301,AY303)</f>
        <v>#DIV/0!</v>
      </c>
      <c r="AZ305" s="3" t="e">
        <f>SUM(AZ284,AZ291,AZ301,AZ303)</f>
        <v>#DIV/0!</v>
      </c>
      <c r="BA305" s="3" t="e">
        <f>SUM(AW305:AZ305)</f>
        <v>#DIV/0!</v>
      </c>
      <c r="BB305" s="3" t="e">
        <f>SUM(BB284,BB291,BB301,BB303)</f>
        <v>#DIV/0!</v>
      </c>
      <c r="BC305" s="3" t="e">
        <f>SUM(BC284,BC291,BC301,BC303)</f>
        <v>#DIV/0!</v>
      </c>
      <c r="BD305" s="3" t="e">
        <f>SUM(BD284,BD291,BD301,BD303)</f>
        <v>#DIV/0!</v>
      </c>
      <c r="BE305" s="3" t="e">
        <f>SUM(BE284,BE291,BE301,BE303)</f>
        <v>#DIV/0!</v>
      </c>
      <c r="BF305" s="3" t="e">
        <f>SUM(BB305:BE305)</f>
        <v>#DIV/0!</v>
      </c>
      <c r="BG305" s="3" t="e">
        <f>SUM(BG284,BG291,BG301,BG303)</f>
        <v>#DIV/0!</v>
      </c>
      <c r="BH305" s="3" t="e">
        <f>SUM(BH284,BH291,BH301,BH303)</f>
        <v>#DIV/0!</v>
      </c>
      <c r="BI305" s="3" t="e">
        <f>SUM(BI284,BI291,BI301,BI303)</f>
        <v>#DIV/0!</v>
      </c>
      <c r="BJ305" s="3" t="e">
        <f>SUM(BJ284,BJ291,BJ301,BJ303)</f>
        <v>#DIV/0!</v>
      </c>
      <c r="BK305" s="3" t="e">
        <f>SUM(BG305:BJ305)</f>
        <v>#DIV/0!</v>
      </c>
      <c r="BL305" s="3" t="e">
        <f>SUM(BL284,BL291,BL301,BL303)</f>
        <v>#DIV/0!</v>
      </c>
      <c r="BM305" s="3" t="e">
        <f>SUM(BM284,BM291,BM301,BM303)</f>
        <v>#DIV/0!</v>
      </c>
      <c r="BN305" s="3" t="e">
        <f>SUM(BN284,BN291,BN301,BN303)</f>
        <v>#DIV/0!</v>
      </c>
      <c r="BO305" s="3" t="e">
        <f>SUM(BO284,BO291,BO301,BO303)</f>
        <v>#DIV/0!</v>
      </c>
      <c r="BP305" s="3" t="e">
        <f>SUM(BL305:BO305)</f>
        <v>#DIV/0!</v>
      </c>
      <c r="BQ305" s="3" t="e">
        <f>SUM(BQ284,BQ291,BQ301,BQ303)</f>
        <v>#DIV/0!</v>
      </c>
      <c r="BR305" s="3" t="e">
        <f>SUM(BR284,BR291,BR301,BR303)</f>
        <v>#DIV/0!</v>
      </c>
      <c r="BS305" s="3" t="e">
        <f>SUM(BS284,BS291,BS301,BS303)</f>
        <v>#DIV/0!</v>
      </c>
      <c r="BT305" s="3" t="e">
        <f>SUM(BT284,BT291,BT301,BT303)</f>
        <v>#DIV/0!</v>
      </c>
      <c r="BU305" s="3" t="e">
        <f>SUM(BQ305:BT305)</f>
        <v>#DIV/0!</v>
      </c>
      <c r="BV305" s="3" t="e">
        <f>SUM(BV284,BV291,BV301,BV303)</f>
        <v>#DIV/0!</v>
      </c>
      <c r="BW305" s="3" t="e">
        <f>SUM(BW284,BW291,BW301,BW303)</f>
        <v>#DIV/0!</v>
      </c>
      <c r="BX305" s="3" t="e">
        <f>SUM(BX284,BX291,BX301,BX303)</f>
        <v>#DIV/0!</v>
      </c>
      <c r="BY305" s="3" t="e">
        <f>SUM(BY284,BY291,BY301,BY303)</f>
        <v>#DIV/0!</v>
      </c>
      <c r="BZ305" s="3" t="e">
        <f>SUM(BV305:BY305)</f>
        <v>#DIV/0!</v>
      </c>
      <c r="CA305" s="3" t="e">
        <f>SUM(CA284,CA291,CA301,CA303)</f>
        <v>#DIV/0!</v>
      </c>
      <c r="CB305" s="3" t="e">
        <f>SUM(CB284,CB291,CB301,CB303)</f>
        <v>#DIV/0!</v>
      </c>
      <c r="CC305" s="3" t="e">
        <f>SUM(CC284,CC291,CC301,CC303)</f>
        <v>#DIV/0!</v>
      </c>
      <c r="CD305" s="3" t="e">
        <f>SUM(CD284,CD291,CD301,CD303)</f>
        <v>#DIV/0!</v>
      </c>
      <c r="CE305" s="3" t="e">
        <f>SUM(CA305:CD305)</f>
        <v>#DIV/0!</v>
      </c>
      <c r="CF305" s="3" t="e">
        <f>SUM(CF284,CF291,CF301,CF303)</f>
        <v>#DIV/0!</v>
      </c>
      <c r="CG305" s="3" t="e">
        <f>SUM(CG284,CG291,CG301,CG303)</f>
        <v>#DIV/0!</v>
      </c>
      <c r="CH305" s="3" t="e">
        <f>SUM(CH284,CH291,CH301,CH303)</f>
        <v>#DIV/0!</v>
      </c>
      <c r="CI305" s="3" t="e">
        <f>SUM(CI284,CI291,CI301,CI303)</f>
        <v>#DIV/0!</v>
      </c>
      <c r="CJ305" s="3" t="e">
        <f>SUM(CF305:CI305)</f>
        <v>#DIV/0!</v>
      </c>
      <c r="CK305" s="3" t="e">
        <f>SUM(CK284,CK291,CK301,CK303)</f>
        <v>#DIV/0!</v>
      </c>
      <c r="CL305" s="3" t="e">
        <f>SUM(CL284,CL291,CL301,CL303)</f>
        <v>#DIV/0!</v>
      </c>
      <c r="CM305" s="3" t="e">
        <f>SUM(CM284,CM291,CM301,CM303)</f>
        <v>#DIV/0!</v>
      </c>
      <c r="CN305" s="3" t="e">
        <f>SUM(CN284,CN291,CN301,CN303)</f>
        <v>#DIV/0!</v>
      </c>
      <c r="CO305" s="3" t="e">
        <f>SUM(CK305:CN305)</f>
        <v>#DIV/0!</v>
      </c>
      <c r="CP305" s="3" t="e">
        <f>SUM(CP284,CP291,CP301,CP303)</f>
        <v>#DIV/0!</v>
      </c>
      <c r="CQ305" s="3" t="e">
        <f>SUM(CQ284,CQ291,CQ301,CQ303)</f>
        <v>#DIV/0!</v>
      </c>
      <c r="CR305" s="3" t="e">
        <f>SUM(CR284,CR291,CR301,CR303)</f>
        <v>#DIV/0!</v>
      </c>
      <c r="CS305" s="3" t="e">
        <f>SUM(CS284,CS291,CS301,CS303)</f>
        <v>#DIV/0!</v>
      </c>
      <c r="CT305" s="3" t="e">
        <f>SUM(CP305:CS305)</f>
        <v>#DIV/0!</v>
      </c>
      <c r="CU305" s="3" t="e">
        <f>SUM(CU284,CU291,CU301,CU303)</f>
        <v>#DIV/0!</v>
      </c>
      <c r="CV305" s="3" t="e">
        <f>SUM(CV284,CV291,CV301,CV303)</f>
        <v>#DIV/0!</v>
      </c>
      <c r="CW305" s="3" t="e">
        <f>SUM(CW284,CW291,CW301,CW303)</f>
        <v>#DIV/0!</v>
      </c>
      <c r="CX305" s="3" t="e">
        <f>SUM(CX284,CX291,CX301,CX303)</f>
        <v>#DIV/0!</v>
      </c>
      <c r="CY305" s="3" t="e">
        <f>SUM(CU305:CX305)</f>
        <v>#DIV/0!</v>
      </c>
    </row>
    <row r="306">
      <c r="C306" s="4" t="inlineStr">
        <is>
          <t>Check</t>
        </is>
      </c>
      <c r="E306" s="51">
        <f>(E305)-(E135-D135)</f>
        <v>0</v>
      </c>
      <c r="F306" s="51">
        <f>(F305)-(F135-E135)</f>
        <v>0</v>
      </c>
      <c r="G306" s="51">
        <f>(G305)-(G135-F135)</f>
        <v>0</v>
      </c>
      <c r="I306" s="51">
        <f>(I305)-(I135-H135)</f>
        <v>0</v>
      </c>
      <c r="J306" s="51">
        <f>(J305)-(J135-I135)</f>
        <v>0</v>
      </c>
      <c r="K306" s="51">
        <f>(K305)-(K135-J135)</f>
        <v>0</v>
      </c>
      <c r="L306" s="51">
        <f>(L305)-(L135-K135)</f>
        <v>0</v>
      </c>
      <c r="N306" s="51">
        <f>(N305)-(N135-M135)</f>
        <v>0</v>
      </c>
      <c r="O306" s="51">
        <f>(O305)-(O135-N135)</f>
        <v>0</v>
      </c>
      <c r="P306" s="51">
        <f>(P305)-(P135-O135)</f>
        <v>0</v>
      </c>
      <c r="Q306" s="51">
        <f>(Q305)-(Q135-P135)</f>
        <v>0</v>
      </c>
      <c r="S306" s="51">
        <f>(S305)-(S135-R135)</f>
        <v>0</v>
      </c>
      <c r="T306" s="51">
        <f>(T305)-(T135-S135)</f>
        <v>0</v>
      </c>
      <c r="U306" s="51">
        <f>(U305)-(U135-T135)</f>
        <v>0</v>
      </c>
      <c r="V306" s="51">
        <f>(V305)-(V135-U135)</f>
        <v>0</v>
      </c>
      <c r="X306" s="51">
        <f>(X305)-(X135-W135)</f>
        <v>0</v>
      </c>
      <c r="Y306" s="51">
        <f>(Y305)-(Y135-X135)</f>
        <v>0</v>
      </c>
      <c r="Z306" s="51">
        <f>(Z305)-(Z135-Y135)</f>
        <v>0</v>
      </c>
      <c r="AA306" s="51">
        <f>(AA305)-(AA135-Z135)</f>
        <v>0</v>
      </c>
      <c r="AC306" s="51">
        <f>(AC305)-(AC135-AB135)</f>
        <v>0</v>
      </c>
      <c r="AD306" s="51">
        <f>(AD305)-(AD135-AC135)</f>
        <v>0</v>
      </c>
      <c r="AE306" s="51">
        <f>(AE305)-(AE135-AD135)</f>
        <v>0</v>
      </c>
      <c r="AF306" s="51">
        <f>(AF305)-(AF135-AE135)</f>
        <v>0</v>
      </c>
      <c r="AH306" s="51">
        <f>(AH305)-(AH135-AG135)</f>
        <v>0</v>
      </c>
      <c r="AI306" s="51">
        <f>(AI305)-(AI135-AH135)</f>
        <v>0</v>
      </c>
      <c r="AJ306" s="51">
        <f>(AJ305)-(AJ135-AI135)</f>
        <v>0</v>
      </c>
      <c r="AK306" s="51">
        <f>(AK305)-(AK135-AJ135)</f>
        <v>0</v>
      </c>
      <c r="AM306" s="51" t="e">
        <f>(AM305)-(AM135-AL135)</f>
        <v>#DIV/0!</v>
      </c>
      <c r="AN306" s="51" t="e">
        <f>(AN305)-(AN135-AM135)</f>
        <v>#DIV/0!</v>
      </c>
      <c r="AO306" s="51" t="e">
        <f>(AO305)-(AO135-AN135)</f>
        <v>#DIV/0!</v>
      </c>
      <c r="AP306" s="51" t="e">
        <f>(AP305)-(AP135-AO135)</f>
        <v>#DIV/0!</v>
      </c>
      <c r="AR306" s="51" t="e">
        <f>(AR305)-(AR135-AQ135)</f>
        <v>#DIV/0!</v>
      </c>
      <c r="AS306" s="51" t="e">
        <f>(AS305)-(AS135-AR135)</f>
        <v>#DIV/0!</v>
      </c>
      <c r="AT306" s="51" t="e">
        <f>(AT305)-(AT135-AS135)</f>
        <v>#DIV/0!</v>
      </c>
      <c r="AU306" s="51" t="e">
        <f>(AU305)-(AU135-AT135)</f>
        <v>#DIV/0!</v>
      </c>
      <c r="AW306" s="51" t="e">
        <f>(AW305)-(AW135-AV135)</f>
        <v>#DIV/0!</v>
      </c>
      <c r="AX306" s="51" t="e">
        <f>(AX305)-(AX135-AW135)</f>
        <v>#DIV/0!</v>
      </c>
      <c r="AY306" s="51" t="e">
        <f>(AY305)-(AY135-AX135)</f>
        <v>#DIV/0!</v>
      </c>
      <c r="AZ306" s="51" t="e">
        <f>(AZ305)-(AZ135-AY135)</f>
        <v>#DIV/0!</v>
      </c>
      <c r="BB306" s="51" t="e">
        <f>(BB305)-(BB135-BA135)</f>
        <v>#DIV/0!</v>
      </c>
      <c r="BC306" s="51" t="e">
        <f>(BC305)-(BC135-BB135)</f>
        <v>#DIV/0!</v>
      </c>
      <c r="BD306" s="51" t="e">
        <f>(BD305)-(BD135-BC135)</f>
        <v>#DIV/0!</v>
      </c>
      <c r="BE306" s="51" t="e">
        <f>(BE305)-(BE135-BD135)</f>
        <v>#DIV/0!</v>
      </c>
      <c r="BG306" s="51" t="e">
        <f>(BG305)-(BG135-BF135)</f>
        <v>#DIV/0!</v>
      </c>
      <c r="BH306" s="51" t="e">
        <f>(BH305)-(BH135-BG135)</f>
        <v>#DIV/0!</v>
      </c>
      <c r="BI306" s="51" t="e">
        <f>(BI305)-(BI135-BH135)</f>
        <v>#DIV/0!</v>
      </c>
      <c r="BJ306" s="51" t="e">
        <f>(BJ305)-(BJ135-BI135)</f>
        <v>#DIV/0!</v>
      </c>
      <c r="BL306" s="51" t="e">
        <f>(BL305)-(BL135-BK135)</f>
        <v>#DIV/0!</v>
      </c>
      <c r="BM306" s="51" t="e">
        <f>(BM305)-(BM135-BL135)</f>
        <v>#DIV/0!</v>
      </c>
      <c r="BN306" s="51" t="e">
        <f>(BN305)-(BN135-BM135)</f>
        <v>#DIV/0!</v>
      </c>
      <c r="BO306" s="51" t="e">
        <f>(BO305)-(BO135-BN135)</f>
        <v>#DIV/0!</v>
      </c>
      <c r="BQ306" s="51" t="e">
        <f>(BQ305)-(BQ135-BP135)</f>
        <v>#DIV/0!</v>
      </c>
      <c r="BR306" s="51" t="e">
        <f>(BR305)-(BR135-BQ135)</f>
        <v>#DIV/0!</v>
      </c>
      <c r="BS306" s="51" t="e">
        <f>(BS305)-(BS135-BR135)</f>
        <v>#DIV/0!</v>
      </c>
      <c r="BT306" s="51" t="e">
        <f>(BT305)-(BT135-BS135)</f>
        <v>#DIV/0!</v>
      </c>
      <c r="BV306" s="51" t="e">
        <f>(BV305)-(BV135-BU135)</f>
        <v>#DIV/0!</v>
      </c>
      <c r="BW306" s="51" t="e">
        <f>(BW305)-(BW135-BV135)</f>
        <v>#DIV/0!</v>
      </c>
      <c r="BX306" s="51" t="e">
        <f>(BX305)-(BX135-BW135)</f>
        <v>#DIV/0!</v>
      </c>
      <c r="BY306" s="51" t="e">
        <f>(BY305)-(BY135-BX135)</f>
        <v>#DIV/0!</v>
      </c>
      <c r="CA306" s="51" t="e">
        <f>(CA305)-(CA135-BZ135)</f>
        <v>#DIV/0!</v>
      </c>
      <c r="CB306" s="51" t="e">
        <f>(CB305)-(CB135-CA135)</f>
        <v>#DIV/0!</v>
      </c>
      <c r="CC306" s="51" t="e">
        <f>(CC305)-(CC135-CB135)</f>
        <v>#DIV/0!</v>
      </c>
      <c r="CD306" s="51" t="e">
        <f>(CD305)-(CD135-CC135)</f>
        <v>#DIV/0!</v>
      </c>
      <c r="CF306" s="51" t="e">
        <f>(CF305)-(CF135-CE135)</f>
        <v>#DIV/0!</v>
      </c>
      <c r="CG306" s="51" t="e">
        <f>(CG305)-(CG135-CF135)</f>
        <v>#DIV/0!</v>
      </c>
      <c r="CH306" s="51" t="e">
        <f>(CH305)-(CH135-CG135)</f>
        <v>#DIV/0!</v>
      </c>
      <c r="CI306" s="51" t="e">
        <f>(CI305)-(CI135-CH135)</f>
        <v>#DIV/0!</v>
      </c>
      <c r="CK306" s="51" t="e">
        <f>(CK305)-(CK135-CJ135)</f>
        <v>#DIV/0!</v>
      </c>
      <c r="CL306" s="51" t="e">
        <f>(CL305)-(CL135-CK135)</f>
        <v>#DIV/0!</v>
      </c>
      <c r="CM306" s="51" t="e">
        <f>(CM305)-(CM135-CL135)</f>
        <v>#DIV/0!</v>
      </c>
      <c r="CN306" s="51" t="e">
        <f>(CN305)-(CN135-CM135)</f>
        <v>#DIV/0!</v>
      </c>
      <c r="CP306" s="51" t="e">
        <f>(CP305)-(CP135-CO135)</f>
        <v>#DIV/0!</v>
      </c>
      <c r="CQ306" s="51" t="e">
        <f>(CQ305)-(CQ135-CP135)</f>
        <v>#DIV/0!</v>
      </c>
      <c r="CR306" s="51" t="e">
        <f>(CR305)-(CR135-CQ135)</f>
        <v>#DIV/0!</v>
      </c>
      <c r="CS306" s="51" t="e">
        <f>(CS305)-(CS135-CR135)</f>
        <v>#DIV/0!</v>
      </c>
      <c r="CU306" s="51" t="e">
        <f>(CU305)-(CU135-CT135)</f>
        <v>#DIV/0!</v>
      </c>
      <c r="CV306" s="51" t="e">
        <f>(CV305)-(CV135-CU135)</f>
        <v>#DIV/0!</v>
      </c>
      <c r="CW306" s="51" t="e">
        <f>(CW305)-(CW135-CV135)</f>
        <v>#DIV/0!</v>
      </c>
      <c r="CX306" s="51" t="e">
        <f>(CX305)-(CX135-CW135)</f>
        <v>#DIV/0!</v>
      </c>
    </row>
    <row r="308">
      <c r="C308" s="53" t="inlineStr">
        <is>
          <t>Ratio Analysis</t>
        </is>
      </c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  <c r="AE308" s="53" t="n"/>
      <c r="AF308" s="53" t="n"/>
      <c r="AG308" s="53" t="n"/>
      <c r="AH308" s="53" t="n"/>
      <c r="AI308" s="53" t="n"/>
      <c r="AJ308" s="53" t="n"/>
      <c r="AK308" s="53" t="n"/>
      <c r="AL308" s="53" t="n"/>
      <c r="AM308" s="53" t="n"/>
      <c r="AN308" s="53" t="n"/>
      <c r="AO308" s="53" t="n"/>
      <c r="AP308" s="53" t="n"/>
      <c r="AQ308" s="53" t="n"/>
      <c r="AR308" s="53" t="n"/>
      <c r="AS308" s="53" t="n"/>
      <c r="AT308" s="53" t="n"/>
      <c r="AU308" s="53" t="n"/>
      <c r="AV308" s="53" t="n"/>
      <c r="AW308" s="53" t="n"/>
      <c r="AX308" s="53" t="n"/>
      <c r="AY308" s="53" t="n"/>
      <c r="AZ308" s="53" t="n"/>
      <c r="BA308" s="53" t="n"/>
      <c r="BB308" s="53" t="n"/>
      <c r="BC308" s="53" t="n"/>
      <c r="BD308" s="53" t="n"/>
      <c r="BE308" s="53" t="n"/>
      <c r="BF308" s="53" t="n"/>
      <c r="BG308" s="53" t="n"/>
      <c r="BH308" s="53" t="n"/>
      <c r="BI308" s="53" t="n"/>
      <c r="BJ308" s="53" t="n"/>
      <c r="BK308" s="53" t="n"/>
      <c r="BL308" s="53" t="n"/>
      <c r="BM308" s="53" t="n"/>
      <c r="BN308" s="53" t="n"/>
      <c r="BO308" s="53" t="n"/>
      <c r="BP308" s="53" t="n"/>
      <c r="BQ308" s="53" t="n"/>
      <c r="BR308" s="53" t="n"/>
      <c r="BS308" s="53" t="n"/>
      <c r="BT308" s="53" t="n"/>
      <c r="BU308" s="53" t="n"/>
      <c r="BV308" s="53" t="n"/>
      <c r="BW308" s="53" t="n"/>
      <c r="BX308" s="53" t="n"/>
      <c r="BY308" s="53" t="n"/>
      <c r="BZ308" s="53" t="n"/>
      <c r="CA308" s="53" t="n"/>
      <c r="CB308" s="53" t="n"/>
      <c r="CC308" s="53" t="n"/>
      <c r="CD308" s="53" t="n"/>
      <c r="CE308" s="53" t="n"/>
      <c r="CF308" s="53" t="n"/>
      <c r="CG308" s="53" t="n"/>
      <c r="CH308" s="53" t="n"/>
      <c r="CI308" s="53" t="n"/>
      <c r="CJ308" s="53" t="n"/>
      <c r="CK308" s="53" t="n"/>
      <c r="CL308" s="53" t="n"/>
      <c r="CM308" s="53" t="n"/>
      <c r="CN308" s="53" t="n"/>
      <c r="CO308" s="53" t="n"/>
      <c r="CP308" s="53" t="n"/>
      <c r="CQ308" s="53" t="n"/>
      <c r="CR308" s="53" t="n"/>
      <c r="CS308" s="53" t="n"/>
      <c r="CT308" s="53" t="n"/>
      <c r="CU308" s="53" t="n"/>
      <c r="CV308" s="53" t="n"/>
      <c r="CW308" s="53" t="n"/>
      <c r="CX308" s="53" t="n"/>
      <c r="CY308" s="53" t="n"/>
    </row>
    <row r="310" customFormat="1" s="234">
      <c r="C310" s="234" t="inlineStr">
        <is>
          <t>YEAR</t>
        </is>
      </c>
      <c r="D310" s="234" t="str">
        <f>D266</f>
        <v>1Q20</v>
      </c>
      <c r="E310" s="235" t="str">
        <f>E266</f>
        <v>2Q20</v>
      </c>
      <c r="F310" s="235" t="str">
        <f>F266</f>
        <v>3Q20</v>
      </c>
      <c r="G310" s="235" t="str">
        <f>G266</f>
        <v>4Q20</v>
      </c>
      <c r="H310" s="235">
        <f>H266</f>
        <v>2020</v>
      </c>
      <c r="I310" s="235" t="str">
        <f>I266</f>
        <v>1Q21</v>
      </c>
      <c r="J310" s="235" t="str">
        <f>J266</f>
        <v>2Q21</v>
      </c>
      <c r="K310" s="235" t="str">
        <f>K266</f>
        <v>3Q21</v>
      </c>
      <c r="L310" s="235" t="str">
        <f>L266</f>
        <v>4Q21</v>
      </c>
      <c r="M310" s="235">
        <f>M266</f>
        <v>2021</v>
      </c>
      <c r="N310" s="235" t="str">
        <f>N266</f>
        <v>1Q22</v>
      </c>
      <c r="O310" s="235" t="str">
        <f>O266</f>
        <v>2Q22</v>
      </c>
      <c r="P310" s="235" t="str">
        <f>P266</f>
        <v>3Q22</v>
      </c>
      <c r="Q310" s="235" t="str">
        <f>Q266</f>
        <v>4Q22</v>
      </c>
      <c r="R310" s="235">
        <f>R266</f>
        <v>2022</v>
      </c>
      <c r="S310" s="235" t="str">
        <f>S266</f>
        <v>1Q23</v>
      </c>
      <c r="T310" s="235" t="str">
        <f>T266</f>
        <v>2Q23</v>
      </c>
      <c r="U310" s="235" t="str">
        <f>U266</f>
        <v>3Q23</v>
      </c>
      <c r="V310" s="235" t="str">
        <f>V266</f>
        <v>4Q23</v>
      </c>
      <c r="W310" s="235">
        <f>W266</f>
        <v>2023</v>
      </c>
      <c r="X310" s="235" t="str">
        <f>X266</f>
        <v>1Q24</v>
      </c>
      <c r="Y310" s="235" t="str">
        <f>Y266</f>
        <v>2Q24</v>
      </c>
      <c r="Z310" s="235" t="str">
        <f>Z266</f>
        <v>3Q24</v>
      </c>
      <c r="AA310" s="235" t="str">
        <f>AA266</f>
        <v>4Q24</v>
      </c>
      <c r="AB310" s="235">
        <f>AB266</f>
        <v>2024</v>
      </c>
      <c r="AC310" s="235" t="str">
        <f>AC266</f>
        <v>1Q25</v>
      </c>
      <c r="AD310" s="235" t="str">
        <f>AD266</f>
        <v>2Q25</v>
      </c>
      <c r="AE310" s="235" t="str">
        <f>AE266</f>
        <v>3Q25</v>
      </c>
      <c r="AF310" s="235" t="str">
        <f>AF266</f>
        <v>4Q25</v>
      </c>
      <c r="AG310" s="235">
        <f>AG266</f>
        <v>2025</v>
      </c>
      <c r="AH310" s="235" t="str">
        <f>AH266</f>
        <v>1Q26</v>
      </c>
      <c r="AI310" s="235" t="str">
        <f>AI266</f>
        <v>2Q26</v>
      </c>
      <c r="AJ310" s="235" t="str">
        <f>AJ266</f>
        <v>3Q26</v>
      </c>
      <c r="AK310" s="235" t="str">
        <f>AK266</f>
        <v>4Q26</v>
      </c>
      <c r="AL310" s="235">
        <f>AL266</f>
        <v>2026</v>
      </c>
      <c r="AM310" s="235" t="str">
        <f>AM266</f>
        <v>1Q27</v>
      </c>
      <c r="AN310" s="235" t="str">
        <f>AN266</f>
        <v>2Q27</v>
      </c>
      <c r="AO310" s="235" t="str">
        <f>AO266</f>
        <v>3Q27</v>
      </c>
      <c r="AP310" s="235" t="str">
        <f>AP266</f>
        <v>4Q27</v>
      </c>
      <c r="AQ310" s="235">
        <f>AQ266</f>
        <v>2027</v>
      </c>
      <c r="AR310" s="235" t="str">
        <f>AR266</f>
        <v>1Q28</v>
      </c>
      <c r="AS310" s="235" t="str">
        <f>AS266</f>
        <v>2Q28</v>
      </c>
      <c r="AT310" s="235" t="str">
        <f>AT266</f>
        <v>3Q28</v>
      </c>
      <c r="AU310" s="235" t="str">
        <f>AU266</f>
        <v>4Q28</v>
      </c>
      <c r="AV310" s="235">
        <f>AV266</f>
        <v>2028</v>
      </c>
      <c r="AW310" s="235" t="str">
        <f>AW266</f>
        <v>1Q29</v>
      </c>
      <c r="AX310" s="235" t="str">
        <f>AX266</f>
        <v>2Q29</v>
      </c>
      <c r="AY310" s="235" t="str">
        <f>AY266</f>
        <v>3Q29</v>
      </c>
      <c r="AZ310" s="235" t="str">
        <f>AZ266</f>
        <v>4Q29</v>
      </c>
      <c r="BA310" s="235">
        <f>BA266</f>
        <v>2029</v>
      </c>
      <c r="BB310" s="235" t="str">
        <f>BB266</f>
        <v>1Q30</v>
      </c>
      <c r="BC310" s="235" t="str">
        <f>BC266</f>
        <v>2Q30</v>
      </c>
      <c r="BD310" s="235" t="str">
        <f>BD266</f>
        <v>3Q30</v>
      </c>
      <c r="BE310" s="235" t="str">
        <f>BE266</f>
        <v>4Q30</v>
      </c>
      <c r="BF310" s="235">
        <f>BF266</f>
        <v>2030</v>
      </c>
      <c r="BG310" s="235" t="str">
        <f>BG266</f>
        <v>1Q31</v>
      </c>
      <c r="BH310" s="235" t="str">
        <f>BH266</f>
        <v>2Q31</v>
      </c>
      <c r="BI310" s="235" t="str">
        <f>BI266</f>
        <v>3Q31</v>
      </c>
      <c r="BJ310" s="235" t="str">
        <f>BJ266</f>
        <v>4Q31</v>
      </c>
      <c r="BK310" s="235">
        <f>BK266</f>
        <v>2031</v>
      </c>
      <c r="BL310" s="235" t="str">
        <f>BL266</f>
        <v>1Q32</v>
      </c>
      <c r="BM310" s="235" t="str">
        <f>BM266</f>
        <v>2Q32</v>
      </c>
      <c r="BN310" s="235" t="str">
        <f>BN266</f>
        <v>3Q32</v>
      </c>
      <c r="BO310" s="235" t="str">
        <f>BO266</f>
        <v>4Q32</v>
      </c>
      <c r="BP310" s="235">
        <f>BP266</f>
        <v>2032</v>
      </c>
      <c r="BQ310" s="235" t="str">
        <f>BQ266</f>
        <v>1Q33</v>
      </c>
      <c r="BR310" s="235" t="str">
        <f>BR266</f>
        <v>2Q33</v>
      </c>
      <c r="BS310" s="235" t="str">
        <f>BS266</f>
        <v>3Q33</v>
      </c>
      <c r="BT310" s="235" t="str">
        <f>BT266</f>
        <v>4Q33</v>
      </c>
      <c r="BU310" s="235">
        <f>BU266</f>
        <v>2033</v>
      </c>
      <c r="BV310" s="235" t="str">
        <f>BV266</f>
        <v>1Q34</v>
      </c>
      <c r="BW310" s="235" t="str">
        <f>BW266</f>
        <v>2Q34</v>
      </c>
      <c r="BX310" s="235" t="str">
        <f>BX266</f>
        <v>3Q34</v>
      </c>
      <c r="BY310" s="235" t="str">
        <f>BY266</f>
        <v>4Q34</v>
      </c>
      <c r="BZ310" s="235">
        <f>BZ266</f>
        <v>2034</v>
      </c>
      <c r="CA310" s="235" t="str">
        <f>CA266</f>
        <v>1Q35</v>
      </c>
      <c r="CB310" s="235" t="str">
        <f>CB266</f>
        <v>2Q35</v>
      </c>
      <c r="CC310" s="235" t="str">
        <f>CC266</f>
        <v>3Q35</v>
      </c>
      <c r="CD310" s="235" t="str">
        <f>CD266</f>
        <v>4Q35</v>
      </c>
      <c r="CE310" s="235">
        <f>CE266</f>
        <v>2035</v>
      </c>
      <c r="CF310" s="235" t="str">
        <f>CF266</f>
        <v>1Q36</v>
      </c>
      <c r="CG310" s="235" t="str">
        <f>CG266</f>
        <v>2Q36</v>
      </c>
      <c r="CH310" s="235" t="str">
        <f>CH266</f>
        <v>3Q36</v>
      </c>
      <c r="CI310" s="235" t="str">
        <f>CI266</f>
        <v>4Q36</v>
      </c>
      <c r="CJ310" s="235">
        <f>CJ266</f>
        <v>2036</v>
      </c>
      <c r="CK310" s="235" t="str">
        <f>CK266</f>
        <v>1Q37</v>
      </c>
      <c r="CL310" s="235" t="str">
        <f>CL266</f>
        <v>2Q37</v>
      </c>
      <c r="CM310" s="235" t="str">
        <f>CM266</f>
        <v>3Q37</v>
      </c>
      <c r="CN310" s="235" t="str">
        <f>CN266</f>
        <v>4Q37</v>
      </c>
      <c r="CO310" s="235">
        <f>CO266</f>
        <v>2037</v>
      </c>
      <c r="CP310" s="235" t="str">
        <f>CP266</f>
        <v>1Q38</v>
      </c>
      <c r="CQ310" s="235" t="str">
        <f>CQ266</f>
        <v>2Q38</v>
      </c>
      <c r="CR310" s="235" t="str">
        <f>CR266</f>
        <v>3Q38</v>
      </c>
      <c r="CS310" s="235" t="str">
        <f>CS266</f>
        <v>4Q38</v>
      </c>
      <c r="CT310" s="235">
        <f>CT266</f>
        <v>2038</v>
      </c>
      <c r="CU310" s="235" t="str">
        <f>CU266</f>
        <v>1Q39</v>
      </c>
      <c r="CV310" s="235" t="str">
        <f>CV266</f>
        <v>2Q39</v>
      </c>
      <c r="CW310" s="235" t="str">
        <f>CW266</f>
        <v>3Q39</v>
      </c>
      <c r="CX310" s="235" t="str">
        <f>CX266</f>
        <v>4Q39</v>
      </c>
      <c r="CY310" s="235">
        <f>CY266</f>
        <v>2039</v>
      </c>
    </row>
    <row r="311" customFormat="1" s="233">
      <c r="A311" s="224" t="n"/>
      <c r="B311" s="224" t="n"/>
      <c r="C311" s="234" t="inlineStr">
        <is>
          <t>GROWTH &amp; MARGINS</t>
        </is>
      </c>
    </row>
    <row r="312" customFormat="1" s="233">
      <c r="A312" s="224" t="n"/>
      <c r="B312" s="224" t="n"/>
      <c r="C312" s="233" t="inlineStr">
        <is>
          <t>NET REVENUE GROWTH</t>
        </is>
      </c>
      <c r="E312" s="236">
        <f>E15/D15-1</f>
        <v>0.0363555044406108</v>
      </c>
      <c r="F312" s="236">
        <f>F15/E15-1</f>
        <v>0.0169543773119605</v>
      </c>
      <c r="G312" s="236">
        <f>G15/F15-1</f>
        <v>0.0325553197938768</v>
      </c>
      <c r="H312" s="236" t="n"/>
      <c r="I312" s="220">
        <f>I15/H15-1</f>
        <v>-0.751399125355516</v>
      </c>
      <c r="J312" s="220">
        <f>J15/I15-1</f>
        <v>0.047422807233362</v>
      </c>
      <c r="K312" s="220">
        <f>K15/J15-1</f>
        <v>-0.0587820776322744</v>
      </c>
      <c r="L312" s="220">
        <f>L15/K15-1</f>
        <v>0.106126778138258</v>
      </c>
      <c r="M312" s="236" t="n"/>
      <c r="N312" s="220">
        <f>N15/M15-1</f>
        <v>-0.776803293359585</v>
      </c>
      <c r="O312" s="220">
        <f>O15/N15-1</f>
        <v>0.0322106388666132</v>
      </c>
      <c r="P312" s="220">
        <f>P15/O15-1</f>
        <v>0.0736112909491131</v>
      </c>
      <c r="Q312" s="220">
        <f>Q15/P15-1</f>
        <v>0.145208948923596</v>
      </c>
      <c r="R312" s="236" t="n"/>
      <c r="S312" s="220">
        <f>S15/R15-1</f>
        <v>-0.770762609117362</v>
      </c>
      <c r="T312" s="220">
        <f>T15/S15-1</f>
        <v>0.103596456432633</v>
      </c>
      <c r="U312" s="220">
        <f>U15/T15-1</f>
        <v>0.0110824896663273</v>
      </c>
      <c r="V312" s="220">
        <f>V15/U15-1</f>
        <v>0.118260457400166</v>
      </c>
      <c r="W312" s="236" t="n"/>
      <c r="X312" s="220">
        <f>X15/W15-1</f>
        <v>-0.745526927232097</v>
      </c>
      <c r="Y312" s="220">
        <f>Y15/X15-1</f>
        <v>0.0539110206455364</v>
      </c>
      <c r="Z312" s="220">
        <f>Z15/Y15-1</f>
        <v>-0.0561748151418166</v>
      </c>
      <c r="AA312" s="220">
        <f>AA15/Z15-1</f>
        <v>0.0887511693171188</v>
      </c>
      <c r="AB312" s="236" t="n"/>
      <c r="AC312" s="220">
        <f>AC15/AB15-1</f>
        <v>-0.747153132609828</v>
      </c>
      <c r="AD312" s="220">
        <f>AD15/AC15-1</f>
        <v>0.0106886377553861</v>
      </c>
      <c r="AE312" s="220">
        <f>AE15/AD15-1</f>
        <v>0.0250068851556045</v>
      </c>
      <c r="AF312" s="220">
        <f>AF15/AE15-1</f>
        <v>0.0919984953517115</v>
      </c>
      <c r="AG312" s="236" t="n"/>
      <c r="AH312" s="220">
        <f>AH15/AG15-1</f>
        <v>-0.75987368084426</v>
      </c>
      <c r="AI312" s="220">
        <f>AI15/AH15-1</f>
        <v>0.113312246823151</v>
      </c>
      <c r="AJ312" s="220">
        <f>AJ15/AI15-1</f>
        <v>-0.0724717141005832</v>
      </c>
      <c r="AK312" s="220">
        <f>AK15/AJ15-1</f>
        <v>0.0919984953517115</v>
      </c>
      <c r="AL312" s="236" t="n"/>
      <c r="AM312" s="220">
        <f>AM15/AL15-1</f>
        <v>-0.766003583763991</v>
      </c>
      <c r="AN312" s="220">
        <f>AN15/AM15-1</f>
        <v>0.113312246823151</v>
      </c>
      <c r="AO312" s="220">
        <f>AO15/AN15-1</f>
        <v>-0.0724717141005832</v>
      </c>
      <c r="AP312" s="220">
        <f>AP15/AO15-1</f>
        <v>0.0919984953517115</v>
      </c>
      <c r="AQ312" s="236" t="n"/>
      <c r="AR312" s="220">
        <f>AR15/AQ15-1</f>
        <v>-0.766003583763991</v>
      </c>
      <c r="AS312" s="220">
        <f>AS15/AR15-1</f>
        <v>0.113312246823151</v>
      </c>
      <c r="AT312" s="220">
        <f>AT15/AS15-1</f>
        <v>-0.0724717141005832</v>
      </c>
      <c r="AU312" s="220">
        <f>AU15/AT15-1</f>
        <v>0.0919984953517115</v>
      </c>
      <c r="AV312" s="236" t="n"/>
      <c r="AW312" s="220">
        <f>AW15/AV15-1</f>
        <v>-0.766003583763991</v>
      </c>
      <c r="AX312" s="220">
        <f>AX15/AW15-1</f>
        <v>0.113312246823151</v>
      </c>
      <c r="AY312" s="220">
        <f>AY15/AX15-1</f>
        <v>-0.0724717141005832</v>
      </c>
      <c r="AZ312" s="220">
        <f>AZ15/AY15-1</f>
        <v>0.0919984953517115</v>
      </c>
      <c r="BA312" s="236" t="n"/>
      <c r="BB312" s="220">
        <f>BB15/BA15-1</f>
        <v>-0.766003583763991</v>
      </c>
      <c r="BC312" s="220">
        <f>BC15/BB15-1</f>
        <v>0.113312246823151</v>
      </c>
      <c r="BD312" s="220">
        <f>BD15/BC15-1</f>
        <v>-0.0724717141005832</v>
      </c>
      <c r="BE312" s="220">
        <f>BE15/BD15-1</f>
        <v>0.0919984953517115</v>
      </c>
      <c r="BF312" s="236" t="n"/>
      <c r="BG312" s="220">
        <f>BG15/BF15-1</f>
        <v>-0.766003583763991</v>
      </c>
      <c r="BH312" s="220">
        <f>BH15/BG15-1</f>
        <v>0.113312246823151</v>
      </c>
      <c r="BI312" s="220">
        <f>BI15/BH15-1</f>
        <v>-0.0724717141005832</v>
      </c>
      <c r="BJ312" s="220">
        <f>BJ15/BI15-1</f>
        <v>0.0919984953517115</v>
      </c>
      <c r="BK312" s="236" t="n"/>
      <c r="BL312" s="220">
        <f>BL15/BK15-1</f>
        <v>-0.766003583763991</v>
      </c>
      <c r="BM312" s="220">
        <f>BM15/BL15-1</f>
        <v>0.113312246823151</v>
      </c>
      <c r="BN312" s="220">
        <f>BN15/BM15-1</f>
        <v>-0.0724717141005832</v>
      </c>
      <c r="BO312" s="220">
        <f>BO15/BN15-1</f>
        <v>0.0919984953517115</v>
      </c>
      <c r="BP312" s="236" t="n"/>
      <c r="BQ312" s="220">
        <f>BQ15/BP15-1</f>
        <v>-0.766003583763991</v>
      </c>
      <c r="BR312" s="220">
        <f>BR15/BQ15-1</f>
        <v>0.113312246823151</v>
      </c>
      <c r="BS312" s="220">
        <f>BS15/BR15-1</f>
        <v>-0.0724717141005832</v>
      </c>
      <c r="BT312" s="220">
        <f>BT15/BS15-1</f>
        <v>0.0919984953517115</v>
      </c>
      <c r="BU312" s="236" t="n"/>
      <c r="BV312" s="220">
        <f>BV15/BU15-1</f>
        <v>-0.766003583763991</v>
      </c>
      <c r="BW312" s="220">
        <f>BW15/BV15-1</f>
        <v>0.113312246823151</v>
      </c>
      <c r="BX312" s="220">
        <f>BX15/BW15-1</f>
        <v>-0.0724717141005832</v>
      </c>
      <c r="BY312" s="220">
        <f>BY15/BX15-1</f>
        <v>0.0919984953517115</v>
      </c>
      <c r="BZ312" s="236" t="n"/>
      <c r="CA312" s="220">
        <f>CA15/BZ15-1</f>
        <v>-0.766003583763991</v>
      </c>
      <c r="CB312" s="220">
        <f>CB15/CA15-1</f>
        <v>0.113312246823151</v>
      </c>
      <c r="CC312" s="220">
        <f>CC15/CB15-1</f>
        <v>-0.0724717141005832</v>
      </c>
      <c r="CD312" s="220">
        <f>CD15/CC15-1</f>
        <v>0.0919984953517115</v>
      </c>
      <c r="CE312" s="236" t="n"/>
      <c r="CF312" s="220">
        <f>CF15/CE15-1</f>
        <v>-0.766003583763991</v>
      </c>
      <c r="CG312" s="220">
        <f>CG15/CF15-1</f>
        <v>0.113312246823151</v>
      </c>
      <c r="CH312" s="220">
        <f>CH15/CG15-1</f>
        <v>-0.0724717141005832</v>
      </c>
      <c r="CI312" s="220">
        <f>CI15/CH15-1</f>
        <v>0.0919984953517115</v>
      </c>
      <c r="CJ312" s="236" t="n"/>
      <c r="CK312" s="220">
        <f>CK15/CJ15-1</f>
        <v>-0.766003583763991</v>
      </c>
      <c r="CL312" s="220">
        <f>CL15/CK15-1</f>
        <v>0.113312246823151</v>
      </c>
      <c r="CM312" s="220">
        <f>CM15/CL15-1</f>
        <v>-0.0724717141005832</v>
      </c>
      <c r="CN312" s="220">
        <f>CN15/CM15-1</f>
        <v>0.0919984953517115</v>
      </c>
      <c r="CO312" s="236" t="n"/>
      <c r="CP312" s="220">
        <f>CP15/CO15-1</f>
        <v>-0.766003583763991</v>
      </c>
      <c r="CQ312" s="220">
        <f>CQ15/CP15-1</f>
        <v>0.113312246823151</v>
      </c>
      <c r="CR312" s="220">
        <f>CR15/CQ15-1</f>
        <v>-0.0724717141005832</v>
      </c>
      <c r="CS312" s="220">
        <f>CS15/CR15-1</f>
        <v>0.0919984953517115</v>
      </c>
      <c r="CT312" s="236" t="n"/>
      <c r="CU312" s="220">
        <f>CU15/CT15-1</f>
        <v>-0.766003583763991</v>
      </c>
      <c r="CV312" s="220">
        <f>CV15/CU15-1</f>
        <v>0.113312246823151</v>
      </c>
      <c r="CW312" s="220">
        <f>CW15/CV15-1</f>
        <v>-0.0724717141005832</v>
      </c>
      <c r="CX312" s="220">
        <f>CX15/CW15-1</f>
        <v>0.0919984953517115</v>
      </c>
      <c r="CY312" s="236" t="n"/>
    </row>
    <row r="313" customFormat="1" s="233">
      <c r="A313" s="224" t="n"/>
      <c r="B313" s="224" t="n"/>
      <c r="C313" s="233" t="inlineStr">
        <is>
          <t>GROSS MARGIN</t>
        </is>
      </c>
      <c r="D313" s="220">
        <f>SUM(D15,D45)/D15</f>
        <v>0.133601686793176</v>
      </c>
      <c r="E313" s="220">
        <f>SUM(E15,E45)/E15</f>
        <v>0.136436498150432</v>
      </c>
      <c r="F313" s="220">
        <f>SUM(F15,F45)/F15</f>
        <v>0.129493785995756</v>
      </c>
      <c r="G313" s="220">
        <f>SUM(G15,G45)/G15</f>
        <v>0.129990605918272</v>
      </c>
      <c r="I313" s="221">
        <f>SUM(I15,I45)/I15</f>
        <v>0.134456882765408</v>
      </c>
      <c r="J313" s="221">
        <f>SUM(J15,J45)/J15</f>
        <v>0.12631393505197</v>
      </c>
      <c r="K313" s="221">
        <f>SUM(K15,K45)/K15</f>
        <v>0.143623658597454</v>
      </c>
      <c r="L313" s="221">
        <f>SUM(L15,L45)/L15</f>
        <v>0.136612330080659</v>
      </c>
      <c r="N313" s="221">
        <f>SUM(N15,N45)/N15</f>
        <v>0.127572841486234</v>
      </c>
      <c r="O313" s="221">
        <f>SUM(O15,O45)/O15</f>
        <v>0.126634727437524</v>
      </c>
      <c r="P313" s="221">
        <f>SUM(P15,P45)/P15</f>
        <v>0.127841765663631</v>
      </c>
      <c r="Q313" s="221">
        <f>SUM(Q15,Q45)/Q15</f>
        <v>0.121215312516455</v>
      </c>
      <c r="S313" s="221">
        <f>SUM(S15,S45)/S15</f>
        <v>0.135263784212614</v>
      </c>
      <c r="T313" s="221">
        <f>SUM(T15,T45)/T15</f>
        <v>0.125202180554724</v>
      </c>
      <c r="U313" s="221">
        <f>SUM(U15,U45)/U15</f>
        <v>0.12134139116009</v>
      </c>
      <c r="V313" s="221">
        <f>SUM(V15,V45)/V15</f>
        <v>0.121595846137544</v>
      </c>
      <c r="X313" s="221">
        <f>SUM(X15,X45)/X15</f>
        <v>0.115905786565862</v>
      </c>
      <c r="Y313" s="221">
        <f>SUM(Y15,Y45)/Y15</f>
        <v>0.117536695728948</v>
      </c>
      <c r="Z313" s="221">
        <f>SUM(Z15,Z45)/Z15</f>
        <v>0.123772217025257</v>
      </c>
      <c r="AA313" s="221">
        <f>SUM(AA15,AA45)/AA15</f>
        <v>0.0370529481258726</v>
      </c>
      <c r="AC313" s="221">
        <f>SUM(AC15,AC45)/AC15</f>
        <v>0.12932138284251</v>
      </c>
      <c r="AD313" s="221">
        <f>SUM(AD15,AD45)/AD15</f>
        <v>0.0404296337097218</v>
      </c>
      <c r="AE313" s="221">
        <f>SUM(AE15,AE45)/AE15</f>
        <v>0.120371863077006</v>
      </c>
      <c r="AF313" s="221">
        <f>SUM(AF15,AF45)/AF15</f>
        <v>0.114266030215048</v>
      </c>
      <c r="AH313" s="221">
        <f>SUM(AH15,AH45)/AH15</f>
        <v>0.115309916208867</v>
      </c>
      <c r="AI313" s="221">
        <f>SUM(AI15,AI45)/AI15</f>
        <v>0.12191596471116</v>
      </c>
      <c r="AJ313" s="221">
        <f>SUM(AJ15,AJ45)/AJ15</f>
        <v>0</v>
      </c>
      <c r="AK313" s="221">
        <f>SUM(AK15,AK45)/AK15</f>
        <v>0</v>
      </c>
      <c r="AM313" s="221">
        <f>SUM(AM15,AM45)/AM15</f>
        <v>0</v>
      </c>
      <c r="AN313" s="221">
        <f>SUM(AN15,AN45)/AN15</f>
        <v>0</v>
      </c>
      <c r="AO313" s="221">
        <f>SUM(AO15,AO45)/AO15</f>
        <v>0</v>
      </c>
      <c r="AP313" s="221">
        <f>SUM(AP15,AP45)/AP15</f>
        <v>0</v>
      </c>
      <c r="AR313" s="221">
        <f>SUM(AR15,AR45)/AR15</f>
        <v>0</v>
      </c>
      <c r="AS313" s="221">
        <f>SUM(AS15,AS45)/AS15</f>
        <v>0</v>
      </c>
      <c r="AT313" s="221">
        <f>SUM(AT15,AT45)/AT15</f>
        <v>0</v>
      </c>
      <c r="AU313" s="221">
        <f>SUM(AU15,AU45)/AU15</f>
        <v>0</v>
      </c>
      <c r="AW313" s="221">
        <f>SUM(AW15,AW45)/AW15</f>
        <v>0</v>
      </c>
      <c r="AX313" s="221">
        <f>SUM(AX15,AX45)/AX15</f>
        <v>0</v>
      </c>
      <c r="AY313" s="221">
        <f>SUM(AY15,AY45)/AY15</f>
        <v>0</v>
      </c>
      <c r="AZ313" s="221">
        <f>SUM(AZ15,AZ45)/AZ15</f>
        <v>0</v>
      </c>
      <c r="BB313" s="221">
        <f>SUM(BB15,BB45)/BB15</f>
        <v>0</v>
      </c>
      <c r="BC313" s="221">
        <f>SUM(BC15,BC45)/BC15</f>
        <v>0</v>
      </c>
      <c r="BD313" s="221">
        <f>SUM(BD15,BD45)/BD15</f>
        <v>0</v>
      </c>
      <c r="BE313" s="221">
        <f>SUM(BE15,BE45)/BE15</f>
        <v>0</v>
      </c>
      <c r="BG313" s="221">
        <f>SUM(BG15,BG45)/BG15</f>
        <v>0</v>
      </c>
      <c r="BH313" s="221">
        <f>SUM(BH15,BH45)/BH15</f>
        <v>0</v>
      </c>
      <c r="BI313" s="221">
        <f>SUM(BI15,BI45)/BI15</f>
        <v>0</v>
      </c>
      <c r="BJ313" s="221">
        <f>SUM(BJ15,BJ45)/BJ15</f>
        <v>0</v>
      </c>
      <c r="BL313" s="221">
        <f>SUM(BL15,BL45)/BL15</f>
        <v>0</v>
      </c>
      <c r="BM313" s="221">
        <f>SUM(BM15,BM45)/BM15</f>
        <v>0</v>
      </c>
      <c r="BN313" s="221">
        <f>SUM(BN15,BN45)/BN15</f>
        <v>0</v>
      </c>
      <c r="BO313" s="221">
        <f>SUM(BO15,BO45)/BO15</f>
        <v>0</v>
      </c>
      <c r="BQ313" s="221">
        <f>SUM(BQ15,BQ45)/BQ15</f>
        <v>0</v>
      </c>
      <c r="BR313" s="221">
        <f>SUM(BR15,BR45)/BR15</f>
        <v>0</v>
      </c>
      <c r="BS313" s="221">
        <f>SUM(BS15,BS45)/BS15</f>
        <v>0</v>
      </c>
      <c r="BT313" s="221">
        <f>SUM(BT15,BT45)/BT15</f>
        <v>0</v>
      </c>
      <c r="BV313" s="221">
        <f>SUM(BV15,BV45)/BV15</f>
        <v>0</v>
      </c>
      <c r="BW313" s="221">
        <f>SUM(BW15,BW45)/BW15</f>
        <v>0</v>
      </c>
      <c r="BX313" s="221">
        <f>SUM(BX15,BX45)/BX15</f>
        <v>0</v>
      </c>
      <c r="BY313" s="221">
        <f>SUM(BY15,BY45)/BY15</f>
        <v>0</v>
      </c>
      <c r="CA313" s="221">
        <f>SUM(CA15,CA45)/CA15</f>
        <v>0</v>
      </c>
      <c r="CB313" s="221">
        <f>SUM(CB15,CB45)/CB15</f>
        <v>0</v>
      </c>
      <c r="CC313" s="221">
        <f>SUM(CC15,CC45)/CC15</f>
        <v>0</v>
      </c>
      <c r="CD313" s="221">
        <f>SUM(CD15,CD45)/CD15</f>
        <v>0</v>
      </c>
      <c r="CF313" s="221">
        <f>SUM(CF15,CF45)/CF15</f>
        <v>0</v>
      </c>
      <c r="CG313" s="221">
        <f>SUM(CG15,CG45)/CG15</f>
        <v>0</v>
      </c>
      <c r="CH313" s="221">
        <f>SUM(CH15,CH45)/CH15</f>
        <v>0</v>
      </c>
      <c r="CI313" s="221">
        <f>SUM(CI15,CI45)/CI15</f>
        <v>0</v>
      </c>
      <c r="CK313" s="221">
        <f>SUM(CK15,CK45)/CK15</f>
        <v>0</v>
      </c>
      <c r="CL313" s="221">
        <f>SUM(CL15,CL45)/CL15</f>
        <v>0</v>
      </c>
      <c r="CM313" s="221">
        <f>SUM(CM15,CM45)/CM15</f>
        <v>0</v>
      </c>
      <c r="CN313" s="221">
        <f>SUM(CN15,CN45)/CN15</f>
        <v>0</v>
      </c>
      <c r="CP313" s="221">
        <f>SUM(CP15,CP45)/CP15</f>
        <v>0</v>
      </c>
      <c r="CQ313" s="221">
        <f>SUM(CQ15,CQ45)/CQ15</f>
        <v>0</v>
      </c>
      <c r="CR313" s="221">
        <f>SUM(CR15,CR45)/CR15</f>
        <v>0</v>
      </c>
      <c r="CS313" s="221">
        <f>SUM(CS15,CS45)/CS15</f>
        <v>0</v>
      </c>
      <c r="CU313" s="221">
        <f>SUM(CU15,CU45)/CU15</f>
        <v>0</v>
      </c>
      <c r="CV313" s="221">
        <f>SUM(CV15,CV45)/CV15</f>
        <v>0</v>
      </c>
      <c r="CW313" s="221">
        <f>SUM(CW15,CW45)/CW15</f>
        <v>0</v>
      </c>
      <c r="CX313" s="221">
        <f>SUM(CX15,CX45)/CX15</f>
        <v>0</v>
      </c>
    </row>
    <row r="314" customFormat="1" s="233">
      <c r="A314" s="224" t="n"/>
      <c r="B314" s="224" t="n"/>
      <c r="C314" s="233" t="inlineStr">
        <is>
          <t>EBIT MARGIN</t>
        </is>
      </c>
      <c r="D314" s="236">
        <f>(D64/D15)</f>
        <v>0.13558239090154</v>
      </c>
      <c r="E314" s="236">
        <f>(E64/E15)</f>
        <v>0.128606658446363</v>
      </c>
      <c r="F314" s="236">
        <f>(F64/F15)</f>
        <v>0.130160654743862</v>
      </c>
      <c r="G314" s="236">
        <f>(G64/G15)</f>
        <v>0.134394081728511</v>
      </c>
      <c r="I314" s="222">
        <f>(I64/I15)</f>
        <v>0.134210850043056</v>
      </c>
      <c r="J314" s="222">
        <f>(J64/J15)</f>
        <v>0.128721592577368</v>
      </c>
      <c r="K314" s="222">
        <f>(K64/K15)</f>
        <v>0.143124532068879</v>
      </c>
      <c r="L314" s="222">
        <f>(L64/L15)</f>
        <v>0.138473687179198</v>
      </c>
      <c r="N314" s="222">
        <f>(N64/N15)</f>
        <v>0.129176690724405</v>
      </c>
      <c r="O314" s="222">
        <f>(O64/O15)</f>
        <v>0.127087919202383</v>
      </c>
      <c r="P314" s="222">
        <f>(P64/P15)</f>
        <v>0.130193571730085</v>
      </c>
      <c r="Q314" s="222">
        <f>(Q64/Q15)</f>
        <v>0.120741403822863</v>
      </c>
      <c r="S314" s="222">
        <f>(S64/S15)</f>
        <v>0.134668782229274</v>
      </c>
      <c r="T314" s="222">
        <f>(T64/T15)</f>
        <v>0.127897921284371</v>
      </c>
      <c r="U314" s="222">
        <f>(U64/U15)</f>
        <v>0.120985898803176</v>
      </c>
      <c r="V314" s="222">
        <f>(V64/V15)</f>
        <v>0.121489880258557</v>
      </c>
      <c r="X314" s="222">
        <f>(X64/X15)</f>
        <v>0.117999418435592</v>
      </c>
      <c r="Y314" s="222">
        <f>(Y64/Y15)</f>
        <v>0.118529963580179</v>
      </c>
      <c r="Z314" s="222">
        <f>(Z64/Z15)</f>
        <v>0.12511693171188</v>
      </c>
      <c r="AA314" s="222">
        <f>(AA64/AA15)</f>
        <v>0.0373751476747933</v>
      </c>
      <c r="AC314" s="222">
        <f>(AC64/AC15)</f>
        <v>0.132049212269665</v>
      </c>
      <c r="AD314" s="222">
        <f>(AD64/AD15)</f>
        <v>0.0412007711374277</v>
      </c>
      <c r="AE314" s="222">
        <f>(AE64/AE15)</f>
        <v>0.122521360631952</v>
      </c>
      <c r="AF314" s="222">
        <f>(AF64/AF15)</f>
        <v>0.114708921805029</v>
      </c>
      <c r="AH314" s="222">
        <f>(AH64/AH15)</f>
        <v>0.114477553964819</v>
      </c>
      <c r="AI314" s="222">
        <f>(AI64/AI15)</f>
        <v>0.123560783531875</v>
      </c>
      <c r="AJ314" s="222">
        <f>(AJ64/AJ15)</f>
        <v>0</v>
      </c>
      <c r="AK314" s="222">
        <f>(AK64/AK15)</f>
        <v>0</v>
      </c>
      <c r="AM314" s="222">
        <f>(AM64/AM15)</f>
        <v>0</v>
      </c>
      <c r="AN314" s="222">
        <f>(AN64/AN15)</f>
        <v>0</v>
      </c>
      <c r="AO314" s="222">
        <f>(AO64/AO15)</f>
        <v>0</v>
      </c>
      <c r="AP314" s="222">
        <f>(AP64/AP15)</f>
        <v>0</v>
      </c>
      <c r="AR314" s="222">
        <f>(AR64/AR15)</f>
        <v>0</v>
      </c>
      <c r="AS314" s="222">
        <f>(AS64/AS15)</f>
        <v>0</v>
      </c>
      <c r="AT314" s="222">
        <f>(AT64/AT15)</f>
        <v>0</v>
      </c>
      <c r="AU314" s="222">
        <f>(AU64/AU15)</f>
        <v>0</v>
      </c>
      <c r="AW314" s="222">
        <f>(AW64/AW15)</f>
        <v>0</v>
      </c>
      <c r="AX314" s="222">
        <f>(AX64/AX15)</f>
        <v>0</v>
      </c>
      <c r="AY314" s="222">
        <f>(AY64/AY15)</f>
        <v>0</v>
      </c>
      <c r="AZ314" s="222">
        <f>(AZ64/AZ15)</f>
        <v>0</v>
      </c>
      <c r="BB314" s="222">
        <f>(BB64/BB15)</f>
        <v>0</v>
      </c>
      <c r="BC314" s="222">
        <f>(BC64/BC15)</f>
        <v>0</v>
      </c>
      <c r="BD314" s="222">
        <f>(BD64/BD15)</f>
        <v>0</v>
      </c>
      <c r="BE314" s="222">
        <f>(BE64/BE15)</f>
        <v>0</v>
      </c>
      <c r="BG314" s="222">
        <f>(BG64/BG15)</f>
        <v>0</v>
      </c>
      <c r="BH314" s="222">
        <f>(BH64/BH15)</f>
        <v>0</v>
      </c>
      <c r="BI314" s="222">
        <f>(BI64/BI15)</f>
        <v>0</v>
      </c>
      <c r="BJ314" s="222">
        <f>(BJ64/BJ15)</f>
        <v>0</v>
      </c>
      <c r="BL314" s="222">
        <f>(BL64/BL15)</f>
        <v>0</v>
      </c>
      <c r="BM314" s="222">
        <f>(BM64/BM15)</f>
        <v>0</v>
      </c>
      <c r="BN314" s="222">
        <f>(BN64/BN15)</f>
        <v>0</v>
      </c>
      <c r="BO314" s="222">
        <f>(BO64/BO15)</f>
        <v>0</v>
      </c>
      <c r="BQ314" s="222">
        <f>(BQ64/BQ15)</f>
        <v>0</v>
      </c>
      <c r="BR314" s="222">
        <f>(BR64/BR15)</f>
        <v>0</v>
      </c>
      <c r="BS314" s="222">
        <f>(BS64/BS15)</f>
        <v>0</v>
      </c>
      <c r="BT314" s="222">
        <f>(BT64/BT15)</f>
        <v>0</v>
      </c>
      <c r="BV314" s="222">
        <f>(BV64/BV15)</f>
        <v>0</v>
      </c>
      <c r="BW314" s="222">
        <f>(BW64/BW15)</f>
        <v>0</v>
      </c>
      <c r="BX314" s="222">
        <f>(BX64/BX15)</f>
        <v>0</v>
      </c>
      <c r="BY314" s="222">
        <f>(BY64/BY15)</f>
        <v>0</v>
      </c>
      <c r="CA314" s="222">
        <f>(CA64/CA15)</f>
        <v>0</v>
      </c>
      <c r="CB314" s="222">
        <f>(CB64/CB15)</f>
        <v>0</v>
      </c>
      <c r="CC314" s="222">
        <f>(CC64/CC15)</f>
        <v>0</v>
      </c>
      <c r="CD314" s="222">
        <f>(CD64/CD15)</f>
        <v>0</v>
      </c>
      <c r="CF314" s="222">
        <f>(CF64/CF15)</f>
        <v>0</v>
      </c>
      <c r="CG314" s="222">
        <f>(CG64/CG15)</f>
        <v>0</v>
      </c>
      <c r="CH314" s="222">
        <f>(CH64/CH15)</f>
        <v>0</v>
      </c>
      <c r="CI314" s="222">
        <f>(CI64/CI15)</f>
        <v>0</v>
      </c>
      <c r="CK314" s="222">
        <f>(CK64/CK15)</f>
        <v>0</v>
      </c>
      <c r="CL314" s="222">
        <f>(CL64/CL15)</f>
        <v>0</v>
      </c>
      <c r="CM314" s="222">
        <f>(CM64/CM15)</f>
        <v>0</v>
      </c>
      <c r="CN314" s="222">
        <f>(CN64/CN15)</f>
        <v>0</v>
      </c>
      <c r="CP314" s="222">
        <f>(CP64/CP15)</f>
        <v>0</v>
      </c>
      <c r="CQ314" s="222">
        <f>(CQ64/CQ15)</f>
        <v>0</v>
      </c>
      <c r="CR314" s="222">
        <f>(CR64/CR15)</f>
        <v>0</v>
      </c>
      <c r="CS314" s="222">
        <f>(CS64/CS15)</f>
        <v>0</v>
      </c>
      <c r="CU314" s="222">
        <f>(CU64/CU15)</f>
        <v>0</v>
      </c>
      <c r="CV314" s="222">
        <f>(CV64/CV15)</f>
        <v>0</v>
      </c>
      <c r="CW314" s="222">
        <f>(CW64/CW15)</f>
        <v>0</v>
      </c>
      <c r="CX314" s="222">
        <f>(CX64/CX15)</f>
        <v>0</v>
      </c>
    </row>
    <row r="315" customFormat="1" s="233">
      <c r="A315" s="224" t="n"/>
      <c r="B315" s="224" t="n"/>
      <c r="C315" s="233" t="inlineStr">
        <is>
          <t>EBITDA MARTGIN</t>
        </is>
      </c>
      <c r="D315" s="236">
        <f>D60/D15</f>
        <v>0.154814388856942</v>
      </c>
      <c r="E315" s="236">
        <f>E60/E15</f>
        <v>0.147533908754624</v>
      </c>
      <c r="F315" s="236">
        <f>F60/F15</f>
        <v>0.149499848438921</v>
      </c>
      <c r="G315" s="236">
        <f>G60/G15</f>
        <v>0.15570690465007</v>
      </c>
      <c r="I315" s="222">
        <f>I60/I15</f>
        <v>0.15487759872063</v>
      </c>
      <c r="J315" s="222">
        <f>J60/J15</f>
        <v>0.148335192906219</v>
      </c>
      <c r="K315" s="222">
        <f>K60/K15</f>
        <v>0.163651110556526</v>
      </c>
      <c r="L315" s="222">
        <f>L60/L15</f>
        <v>0.159061424784252</v>
      </c>
      <c r="N315" s="222">
        <f>N60/N15</f>
        <v>0.151162790697674</v>
      </c>
      <c r="O315" s="222">
        <f>O60/O15</f>
        <v>0.149294315680435</v>
      </c>
      <c r="P315" s="222">
        <f>P60/P15</f>
        <v>0.147862268588313</v>
      </c>
      <c r="Q315" s="222">
        <f>Q60/Q15</f>
        <v>0.143857616765836</v>
      </c>
      <c r="S315" s="222">
        <f>S60/S15</f>
        <v>0.156154964960994</v>
      </c>
      <c r="T315" s="222">
        <f>T60/T15</f>
        <v>0.147906308033307</v>
      </c>
      <c r="U315" s="222">
        <f>U60/U15</f>
        <v>0.141722952956511</v>
      </c>
      <c r="V315" s="222">
        <f>V60/V15</f>
        <v>0.143795697785313</v>
      </c>
      <c r="X315" s="222">
        <f>X60/X15</f>
        <v>0.138412329165455</v>
      </c>
      <c r="Y315" s="222">
        <f>Y60/Y15</f>
        <v>0.138340139057499</v>
      </c>
      <c r="Z315" s="222">
        <f>Z60/Z15</f>
        <v>0.147918615528531</v>
      </c>
      <c r="AA315" s="222">
        <f>AA60/AA15</f>
        <v>0.0620234131672216</v>
      </c>
      <c r="AC315" s="222">
        <f>AC60/AC15</f>
        <v>0.154150197628459</v>
      </c>
      <c r="AD315" s="222">
        <f>AD60/AD15</f>
        <v>0.0631781878270449</v>
      </c>
      <c r="AE315" s="222">
        <f>AE60/AE15</f>
        <v>0.14552098446988</v>
      </c>
      <c r="AF315" s="222">
        <f>AF60/AF15</f>
        <v>0.137493233600709</v>
      </c>
      <c r="AH315" s="222">
        <f>AH60/AH15</f>
        <v>0.136562898840242</v>
      </c>
      <c r="AI315" s="222">
        <f>AI60/AI15</f>
        <v>0.14349798135872</v>
      </c>
      <c r="AJ315" s="222">
        <f>AJ60/AJ15</f>
        <v>0</v>
      </c>
      <c r="AK315" s="222">
        <f>AK60/AK15</f>
        <v>0</v>
      </c>
      <c r="AM315" s="222">
        <f>AM60/AM15</f>
        <v>0</v>
      </c>
      <c r="AN315" s="222">
        <f>AN60/AN15</f>
        <v>0</v>
      </c>
      <c r="AO315" s="222">
        <f>AO60/AO15</f>
        <v>0</v>
      </c>
      <c r="AP315" s="222">
        <f>AP60/AP15</f>
        <v>0</v>
      </c>
      <c r="AR315" s="222">
        <f>AR60/AR15</f>
        <v>0</v>
      </c>
      <c r="AS315" s="222">
        <f>AS60/AS15</f>
        <v>0</v>
      </c>
      <c r="AT315" s="222">
        <f>AT60/AT15</f>
        <v>0</v>
      </c>
      <c r="AU315" s="222">
        <f>AU60/AU15</f>
        <v>0</v>
      </c>
      <c r="AW315" s="222">
        <f>AW60/AW15</f>
        <v>0</v>
      </c>
      <c r="AX315" s="222">
        <f>AX60/AX15</f>
        <v>0</v>
      </c>
      <c r="AY315" s="222">
        <f>AY60/AY15</f>
        <v>0</v>
      </c>
      <c r="AZ315" s="222">
        <f>AZ60/AZ15</f>
        <v>0</v>
      </c>
      <c r="BB315" s="222">
        <f>BB60/BB15</f>
        <v>0</v>
      </c>
      <c r="BC315" s="222">
        <f>BC60/BC15</f>
        <v>0</v>
      </c>
      <c r="BD315" s="222">
        <f>BD60/BD15</f>
        <v>0</v>
      </c>
      <c r="BE315" s="222">
        <f>BE60/BE15</f>
        <v>0</v>
      </c>
      <c r="BG315" s="222">
        <f>BG60/BG15</f>
        <v>0</v>
      </c>
      <c r="BH315" s="222">
        <f>BH60/BH15</f>
        <v>0</v>
      </c>
      <c r="BI315" s="222">
        <f>BI60/BI15</f>
        <v>0</v>
      </c>
      <c r="BJ315" s="222">
        <f>BJ60/BJ15</f>
        <v>0</v>
      </c>
      <c r="BL315" s="222">
        <f>BL60/BL15</f>
        <v>0</v>
      </c>
      <c r="BM315" s="222">
        <f>BM60/BM15</f>
        <v>0</v>
      </c>
      <c r="BN315" s="222">
        <f>BN60/BN15</f>
        <v>0</v>
      </c>
      <c r="BO315" s="222">
        <f>BO60/BO15</f>
        <v>0</v>
      </c>
      <c r="BQ315" s="222">
        <f>BQ60/BQ15</f>
        <v>0</v>
      </c>
      <c r="BR315" s="222">
        <f>BR60/BR15</f>
        <v>0</v>
      </c>
      <c r="BS315" s="222">
        <f>BS60/BS15</f>
        <v>0</v>
      </c>
      <c r="BT315" s="222">
        <f>BT60/BT15</f>
        <v>0</v>
      </c>
      <c r="BV315" s="222">
        <f>BV60/BV15</f>
        <v>0</v>
      </c>
      <c r="BW315" s="222">
        <f>BW60/BW15</f>
        <v>0</v>
      </c>
      <c r="BX315" s="222">
        <f>BX60/BX15</f>
        <v>0</v>
      </c>
      <c r="BY315" s="222">
        <f>BY60/BY15</f>
        <v>0</v>
      </c>
      <c r="CA315" s="222">
        <f>CA60/CA15</f>
        <v>0</v>
      </c>
      <c r="CB315" s="222">
        <f>CB60/CB15</f>
        <v>0</v>
      </c>
      <c r="CC315" s="222">
        <f>CC60/CC15</f>
        <v>0</v>
      </c>
      <c r="CD315" s="222">
        <f>CD60/CD15</f>
        <v>0</v>
      </c>
      <c r="CF315" s="222">
        <f>CF60/CF15</f>
        <v>0</v>
      </c>
      <c r="CG315" s="222">
        <f>CG60/CG15</f>
        <v>0</v>
      </c>
      <c r="CH315" s="222">
        <f>CH60/CH15</f>
        <v>0</v>
      </c>
      <c r="CI315" s="222">
        <f>CI60/CI15</f>
        <v>0</v>
      </c>
      <c r="CK315" s="222">
        <f>CK60/CK15</f>
        <v>0</v>
      </c>
      <c r="CL315" s="222">
        <f>CL60/CL15</f>
        <v>0</v>
      </c>
      <c r="CM315" s="222">
        <f>CM60/CM15</f>
        <v>0</v>
      </c>
      <c r="CN315" s="222">
        <f>CN60/CN15</f>
        <v>0</v>
      </c>
      <c r="CP315" s="222">
        <f>CP60/CP15</f>
        <v>0</v>
      </c>
      <c r="CQ315" s="222">
        <f>CQ60/CQ15</f>
        <v>0</v>
      </c>
      <c r="CR315" s="222">
        <f>CR60/CR15</f>
        <v>0</v>
      </c>
      <c r="CS315" s="222">
        <f>CS60/CS15</f>
        <v>0</v>
      </c>
      <c r="CU315" s="222">
        <f>CU60/CU15</f>
        <v>0</v>
      </c>
      <c r="CV315" s="222">
        <f>CV60/CV15</f>
        <v>0</v>
      </c>
      <c r="CW315" s="222">
        <f>CW60/CW15</f>
        <v>0</v>
      </c>
      <c r="CX315" s="222">
        <f>CX60/CX15</f>
        <v>0</v>
      </c>
    </row>
    <row r="316" customFormat="1" s="233">
      <c r="A316" s="224" t="n"/>
      <c r="B316" s="224" t="n"/>
      <c r="C316" s="233" t="inlineStr">
        <is>
          <t>ETR</t>
        </is>
      </c>
      <c r="D316" s="236">
        <f>-D122/D121</f>
        <v>0.154187192118227</v>
      </c>
      <c r="E316" s="236">
        <f>-E122/E121</f>
        <v>0.171253822629969</v>
      </c>
      <c r="F316" s="236">
        <f>-F122/F121</f>
        <v>0.147373540856031</v>
      </c>
      <c r="G316" s="236">
        <f>-G122/G121</f>
        <v>0.180612711476909</v>
      </c>
      <c r="I316" s="222">
        <f>-I122/I121</f>
        <v>0.169154228855721</v>
      </c>
      <c r="J316" s="222">
        <f>-J122/J121</f>
        <v>0.163594470046083</v>
      </c>
      <c r="K316" s="222">
        <f>-K122/K121</f>
        <v>0.0957290132547865</v>
      </c>
      <c r="L316" s="222">
        <f>-L122/L121</f>
        <v>0.17710843373494</v>
      </c>
      <c r="N316" s="222">
        <f>-N122/N121</f>
        <v>0.159146045608928</v>
      </c>
      <c r="O316" s="222">
        <f>-O122/O121</f>
        <v>0.0636363636363636</v>
      </c>
      <c r="P316" s="222">
        <f>-P122/P121</f>
        <v>0.152929966650786</v>
      </c>
      <c r="Q316" s="222">
        <f>-Q122/Q121</f>
        <v>0.126940639269406</v>
      </c>
      <c r="S316" s="222">
        <f>-S122/S121</f>
        <v>0.15295887662989</v>
      </c>
      <c r="T316" s="222">
        <f>-T122/T121</f>
        <v>0.162013958125623</v>
      </c>
      <c r="U316" s="222">
        <f>-U122/U121</f>
        <v>0.13773681515617</v>
      </c>
      <c r="V316" s="222">
        <f>-V122/V121</f>
        <v>0.13006993006993</v>
      </c>
      <c r="X316" s="222">
        <f>-X122/X121</f>
        <v>0.158038147138965</v>
      </c>
      <c r="Y316" s="222">
        <f>-Y122/Y121</f>
        <v>0.157597535934292</v>
      </c>
      <c r="Z316" s="222">
        <f>-Z122/Z121</f>
        <v>0.153806047966632</v>
      </c>
      <c r="AA316" s="222">
        <f>-AA122/AA121</f>
        <v>-0.0154142581888247</v>
      </c>
      <c r="AC316" s="222">
        <f>-AC122/AC121</f>
        <v>0.159135559921415</v>
      </c>
      <c r="AD316" s="222">
        <f>-AD122/AD121</f>
        <v>0.179856115107914</v>
      </c>
      <c r="AE316" s="222">
        <f>-AE122/AE121</f>
        <v>0.164602683178535</v>
      </c>
      <c r="AF316" s="222">
        <f>-AF122/AF121</f>
        <v>0.122142390594383</v>
      </c>
      <c r="AH316" s="222">
        <f>-AH122/AH121</f>
        <v>0.161217587373168</v>
      </c>
      <c r="AI316" s="222">
        <f>-AI122/AI121</f>
        <v>0.15702479338843</v>
      </c>
      <c r="AJ316" s="222">
        <f>-AJ122/AJ121</f>
        <v>0</v>
      </c>
      <c r="AK316" s="222">
        <f>-AK122/AK121</f>
        <v>0</v>
      </c>
      <c r="AM316" s="222">
        <f>-AM122/AM121</f>
        <v>0</v>
      </c>
      <c r="AN316" s="222">
        <f>-AN122/AN121</f>
        <v>0</v>
      </c>
      <c r="AO316" s="222">
        <f>-AO122/AO121</f>
        <v>0</v>
      </c>
      <c r="AP316" s="222">
        <f>-AP122/AP121</f>
        <v>0</v>
      </c>
      <c r="AR316" s="222">
        <f>-AR122/AR121</f>
        <v>0</v>
      </c>
      <c r="AS316" s="222">
        <f>-AS122/AS121</f>
        <v>0</v>
      </c>
      <c r="AT316" s="222">
        <f>-AT122/AT121</f>
        <v>0</v>
      </c>
      <c r="AU316" s="222">
        <f>-AU122/AU121</f>
        <v>0</v>
      </c>
      <c r="AW316" s="222">
        <f>-AW122/AW121</f>
        <v>0</v>
      </c>
      <c r="AX316" s="222">
        <f>-AX122/AX121</f>
        <v>0</v>
      </c>
      <c r="AY316" s="222">
        <f>-AY122/AY121</f>
        <v>0</v>
      </c>
      <c r="AZ316" s="222">
        <f>-AZ122/AZ121</f>
        <v>0</v>
      </c>
      <c r="BB316" s="222">
        <f>-BB122/BB121</f>
        <v>0</v>
      </c>
      <c r="BC316" s="222">
        <f>-BC122/BC121</f>
        <v>0</v>
      </c>
      <c r="BD316" s="222">
        <f>-BD122/BD121</f>
        <v>0</v>
      </c>
      <c r="BE316" s="222">
        <f>-BE122/BE121</f>
        <v>0</v>
      </c>
      <c r="BG316" s="222">
        <f>-BG122/BG121</f>
        <v>0</v>
      </c>
      <c r="BH316" s="222">
        <f>-BH122/BH121</f>
        <v>0</v>
      </c>
      <c r="BI316" s="222">
        <f>-BI122/BI121</f>
        <v>0</v>
      </c>
      <c r="BJ316" s="222">
        <f>-BJ122/BJ121</f>
        <v>0</v>
      </c>
      <c r="BL316" s="222">
        <f>-BL122/BL121</f>
        <v>0</v>
      </c>
      <c r="BM316" s="222">
        <f>-BM122/BM121</f>
        <v>0</v>
      </c>
      <c r="BN316" s="222">
        <f>-BN122/BN121</f>
        <v>0</v>
      </c>
      <c r="BO316" s="222">
        <f>-BO122/BO121</f>
        <v>0</v>
      </c>
      <c r="BQ316" s="222">
        <f>-BQ122/BQ121</f>
        <v>0</v>
      </c>
      <c r="BR316" s="222">
        <f>-BR122/BR121</f>
        <v>0</v>
      </c>
      <c r="BS316" s="222">
        <f>-BS122/BS121</f>
        <v>0</v>
      </c>
      <c r="BT316" s="222">
        <f>-BT122/BT121</f>
        <v>0</v>
      </c>
      <c r="BV316" s="222">
        <f>-BV122/BV121</f>
        <v>0</v>
      </c>
      <c r="BW316" s="222">
        <f>-BW122/BW121</f>
        <v>0</v>
      </c>
      <c r="BX316" s="222">
        <f>-BX122/BX121</f>
        <v>0</v>
      </c>
      <c r="BY316" s="222">
        <f>-BY122/BY121</f>
        <v>0</v>
      </c>
      <c r="CA316" s="222">
        <f>-CA122/CA121</f>
        <v>0</v>
      </c>
      <c r="CB316" s="222">
        <f>-CB122/CB121</f>
        <v>0</v>
      </c>
      <c r="CC316" s="222">
        <f>-CC122/CC121</f>
        <v>0</v>
      </c>
      <c r="CD316" s="222">
        <f>-CD122/CD121</f>
        <v>0</v>
      </c>
      <c r="CF316" s="222">
        <f>-CF122/CF121</f>
        <v>0</v>
      </c>
      <c r="CG316" s="222">
        <f>-CG122/CG121</f>
        <v>0</v>
      </c>
      <c r="CH316" s="222">
        <f>-CH122/CH121</f>
        <v>0</v>
      </c>
      <c r="CI316" s="222">
        <f>-CI122/CI121</f>
        <v>0</v>
      </c>
      <c r="CK316" s="222">
        <f>-CK122/CK121</f>
        <v>0</v>
      </c>
      <c r="CL316" s="222">
        <f>-CL122/CL121</f>
        <v>0</v>
      </c>
      <c r="CM316" s="222">
        <f>-CM122/CM121</f>
        <v>0</v>
      </c>
      <c r="CN316" s="222">
        <f>-CN122/CN121</f>
        <v>0</v>
      </c>
      <c r="CP316" s="222">
        <f>-CP122/CP121</f>
        <v>0</v>
      </c>
      <c r="CQ316" s="222">
        <f>-CQ122/CQ121</f>
        <v>0</v>
      </c>
      <c r="CR316" s="222">
        <f>-CR122/CR121</f>
        <v>0</v>
      </c>
      <c r="CS316" s="222">
        <f>-CS122/CS121</f>
        <v>0</v>
      </c>
      <c r="CU316" s="222">
        <f>-CU122/CU121</f>
        <v>0</v>
      </c>
      <c r="CV316" s="222">
        <f>-CV122/CV121</f>
        <v>0</v>
      </c>
      <c r="CW316" s="222">
        <f>-CW122/CW121</f>
        <v>0</v>
      </c>
      <c r="CX316" s="222">
        <f>-CX122/CX121</f>
        <v>0</v>
      </c>
    </row>
    <row r="317" customFormat="1" s="233">
      <c r="A317" s="224" t="n"/>
      <c r="B317" s="224" t="n"/>
    </row>
    <row r="318" customFormat="1" s="233">
      <c r="A318" s="224" t="n"/>
      <c r="B318" s="224" t="n"/>
      <c r="C318" s="234" t="inlineStr">
        <is>
          <t>CAPITAL STRUCTURE</t>
        </is>
      </c>
    </row>
    <row r="319" customFormat="1" s="233">
      <c r="A319" s="224" t="n"/>
      <c r="B319" s="224" t="n"/>
      <c r="C319" s="233" t="inlineStr">
        <is>
          <t>MARKET DEBT / EQUITY</t>
        </is>
      </c>
    </row>
    <row r="320" customFormat="1" s="233">
      <c r="A320" s="224" t="n"/>
      <c r="B320" s="224" t="n"/>
      <c r="C320" s="233" t="inlineStr">
        <is>
          <t>NET DEBT / (NET DEBT + MARKET CAP)</t>
        </is>
      </c>
    </row>
    <row r="321" customFormat="1" s="233">
      <c r="A321" s="224" t="n"/>
      <c r="B321" s="224" t="n"/>
    </row>
    <row r="322" customFormat="1" s="233">
      <c r="A322" s="224" t="n"/>
      <c r="B322" s="224" t="n"/>
      <c r="C322" s="234" t="inlineStr">
        <is>
          <t>FINANCIAL RISK RATIOS</t>
        </is>
      </c>
    </row>
    <row r="323" customFormat="1" s="233">
      <c r="A323" s="224" t="n"/>
      <c r="B323" s="224" t="n"/>
      <c r="C323" s="233" t="inlineStr">
        <is>
          <t>EBITDA / TOTAL INTEREST</t>
        </is>
      </c>
      <c r="D323" s="219">
        <f>D60/-D65</f>
        <v>16.3716216216216</v>
      </c>
      <c r="E323" s="219">
        <f>E60/-E65</f>
        <v>16.0604026845638</v>
      </c>
      <c r="F323" s="219">
        <f>F60/-F65</f>
        <v>17.0068965517241</v>
      </c>
      <c r="G323" s="219">
        <f>G60/-G65</f>
        <v>17.7986577181208</v>
      </c>
      <c r="I323" s="219">
        <f>I60/-I65</f>
        <v>17.9857142857143</v>
      </c>
      <c r="J323" s="219">
        <f>J60/-J65</f>
        <v>17.7887323943662</v>
      </c>
      <c r="K323" s="219">
        <f>K60/-K65</f>
        <v>18.6028368794326</v>
      </c>
      <c r="L323" s="219">
        <f>L60/-L65</f>
        <v>19.3150684931507</v>
      </c>
      <c r="N323" s="219">
        <f>N60/-N65</f>
        <v>16.7555555555556</v>
      </c>
      <c r="O323" s="219">
        <f>O60/-O65</f>
        <v>16.354609929078</v>
      </c>
      <c r="P323" s="219">
        <f>P60/-P65</f>
        <v>16.9103448275862</v>
      </c>
      <c r="Q323" s="219">
        <f>Q60/-Q65</f>
        <v>13.5247524752475</v>
      </c>
      <c r="S323" s="219">
        <f>S60/-S65</f>
        <v>11.6930693069307</v>
      </c>
      <c r="T323" s="219">
        <f>T60/-T65</f>
        <v>11.0717488789238</v>
      </c>
      <c r="U323" s="219">
        <f>U60/-U65</f>
        <v>10.0928270042194</v>
      </c>
      <c r="V323" s="219">
        <f>V60/-V65</f>
        <v>10.6850393700787</v>
      </c>
      <c r="X323" s="219">
        <f>X60/-X65</f>
        <v>9.33333333333333</v>
      </c>
      <c r="Y323" s="219">
        <f>Y60/-Y65</f>
        <v>9.60536398467433</v>
      </c>
      <c r="Z323" s="219">
        <f>Z60/-Z65</f>
        <v>9.8828125</v>
      </c>
      <c r="AA323" s="219">
        <f>AA60/-AA65</f>
        <v>4.375</v>
      </c>
      <c r="AC323" s="219">
        <f>AC60/-AC65</f>
        <v>10.3320895522388</v>
      </c>
      <c r="AD323" s="219">
        <f>AD60/-AD65</f>
        <v>4.18613138686131</v>
      </c>
      <c r="AE323" s="219">
        <f>AE60/-AE65</f>
        <v>9.46853146853147</v>
      </c>
      <c r="AF323" s="219">
        <f>AF60/-AF65</f>
        <v>9.63448275862069</v>
      </c>
      <c r="AH323" s="219">
        <f>AH60/-AH65</f>
        <v>9.14869888475836</v>
      </c>
      <c r="AI323" s="219">
        <f>AI60/-AI65</f>
        <v>10.8233082706767</v>
      </c>
      <c r="AJ323" s="219" t="e">
        <f>AJ60/-AJ65</f>
        <v>#DIV/0!</v>
      </c>
      <c r="AK323" s="219" t="e">
        <f>AK60/-AK65</f>
        <v>#DIV/0!</v>
      </c>
      <c r="AM323" s="219" t="e">
        <f>AM60/-AM65</f>
        <v>#DIV/0!</v>
      </c>
      <c r="AN323" s="219" t="e">
        <f>AN60/-AN65</f>
        <v>#DIV/0!</v>
      </c>
      <c r="AO323" s="219" t="e">
        <f>AO60/-AO65</f>
        <v>#DIV/0!</v>
      </c>
      <c r="AP323" s="219" t="e">
        <f>AP60/-AP65</f>
        <v>#DIV/0!</v>
      </c>
      <c r="AR323" s="219" t="e">
        <f>AR60/-AR65</f>
        <v>#DIV/0!</v>
      </c>
      <c r="AS323" s="219" t="e">
        <f>AS60/-AS65</f>
        <v>#DIV/0!</v>
      </c>
      <c r="AT323" s="219" t="e">
        <f>AT60/-AT65</f>
        <v>#DIV/0!</v>
      </c>
      <c r="AU323" s="219" t="e">
        <f>AU60/-AU65</f>
        <v>#DIV/0!</v>
      </c>
      <c r="AW323" s="219" t="e">
        <f>AW60/-AW65</f>
        <v>#DIV/0!</v>
      </c>
      <c r="AX323" s="219" t="e">
        <f>AX60/-AX65</f>
        <v>#DIV/0!</v>
      </c>
      <c r="AY323" s="219" t="e">
        <f>AY60/-AY65</f>
        <v>#DIV/0!</v>
      </c>
      <c r="AZ323" s="219" t="e">
        <f>AZ60/-AZ65</f>
        <v>#DIV/0!</v>
      </c>
      <c r="BB323" s="219" t="e">
        <f>BB60/-BB65</f>
        <v>#DIV/0!</v>
      </c>
      <c r="BC323" s="219" t="e">
        <f>BC60/-BC65</f>
        <v>#DIV/0!</v>
      </c>
      <c r="BD323" s="219" t="e">
        <f>BD60/-BD65</f>
        <v>#DIV/0!</v>
      </c>
      <c r="BE323" s="219" t="e">
        <f>BE60/-BE65</f>
        <v>#DIV/0!</v>
      </c>
      <c r="BG323" s="219" t="e">
        <f>BG60/-BG65</f>
        <v>#DIV/0!</v>
      </c>
      <c r="BH323" s="219" t="e">
        <f>BH60/-BH65</f>
        <v>#DIV/0!</v>
      </c>
      <c r="BI323" s="219" t="e">
        <f>BI60/-BI65</f>
        <v>#DIV/0!</v>
      </c>
      <c r="BJ323" s="219" t="e">
        <f>BJ60/-BJ65</f>
        <v>#DIV/0!</v>
      </c>
      <c r="BL323" s="219" t="e">
        <f>BL60/-BL65</f>
        <v>#DIV/0!</v>
      </c>
      <c r="BM323" s="219" t="e">
        <f>BM60/-BM65</f>
        <v>#DIV/0!</v>
      </c>
      <c r="BN323" s="219" t="e">
        <f>BN60/-BN65</f>
        <v>#DIV/0!</v>
      </c>
      <c r="BO323" s="219" t="e">
        <f>BO60/-BO65</f>
        <v>#DIV/0!</v>
      </c>
      <c r="BQ323" s="219" t="e">
        <f>BQ60/-BQ65</f>
        <v>#DIV/0!</v>
      </c>
      <c r="BR323" s="219" t="e">
        <f>BR60/-BR65</f>
        <v>#DIV/0!</v>
      </c>
      <c r="BS323" s="219" t="e">
        <f>BS60/-BS65</f>
        <v>#DIV/0!</v>
      </c>
      <c r="BT323" s="219" t="e">
        <f>BT60/-BT65</f>
        <v>#DIV/0!</v>
      </c>
      <c r="BV323" s="219" t="e">
        <f>BV60/-BV65</f>
        <v>#DIV/0!</v>
      </c>
      <c r="BW323" s="219" t="e">
        <f>BW60/-BW65</f>
        <v>#DIV/0!</v>
      </c>
      <c r="BX323" s="219" t="e">
        <f>BX60/-BX65</f>
        <v>#DIV/0!</v>
      </c>
      <c r="BY323" s="219" t="e">
        <f>BY60/-BY65</f>
        <v>#DIV/0!</v>
      </c>
      <c r="CA323" s="219" t="e">
        <f>CA60/-CA65</f>
        <v>#DIV/0!</v>
      </c>
      <c r="CB323" s="219" t="e">
        <f>CB60/-CB65</f>
        <v>#DIV/0!</v>
      </c>
      <c r="CC323" s="219" t="e">
        <f>CC60/-CC65</f>
        <v>#DIV/0!</v>
      </c>
      <c r="CD323" s="219" t="e">
        <f>CD60/-CD65</f>
        <v>#DIV/0!</v>
      </c>
      <c r="CF323" s="219" t="e">
        <f>CF60/-CF65</f>
        <v>#DIV/0!</v>
      </c>
      <c r="CG323" s="219" t="e">
        <f>CG60/-CG65</f>
        <v>#DIV/0!</v>
      </c>
      <c r="CH323" s="219" t="e">
        <f>CH60/-CH65</f>
        <v>#DIV/0!</v>
      </c>
      <c r="CI323" s="219" t="e">
        <f>CI60/-CI65</f>
        <v>#DIV/0!</v>
      </c>
      <c r="CK323" s="219" t="e">
        <f>CK60/-CK65</f>
        <v>#DIV/0!</v>
      </c>
      <c r="CL323" s="219" t="e">
        <f>CL60/-CL65</f>
        <v>#DIV/0!</v>
      </c>
      <c r="CM323" s="219" t="e">
        <f>CM60/-CM65</f>
        <v>#DIV/0!</v>
      </c>
      <c r="CN323" s="219" t="e">
        <f>CN60/-CN65</f>
        <v>#DIV/0!</v>
      </c>
      <c r="CP323" s="219" t="e">
        <f>CP60/-CP65</f>
        <v>#DIV/0!</v>
      </c>
      <c r="CQ323" s="219" t="e">
        <f>CQ60/-CQ65</f>
        <v>#DIV/0!</v>
      </c>
      <c r="CR323" s="219" t="e">
        <f>CR60/-CR65</f>
        <v>#DIV/0!</v>
      </c>
      <c r="CS323" s="219" t="e">
        <f>CS60/-CS65</f>
        <v>#DIV/0!</v>
      </c>
      <c r="CU323" s="219" t="e">
        <f>CU60/-CU65</f>
        <v>#DIV/0!</v>
      </c>
      <c r="CV323" s="219" t="e">
        <f>CV60/-CV65</f>
        <v>#DIV/0!</v>
      </c>
      <c r="CW323" s="219" t="e">
        <f>CW60/-CW65</f>
        <v>#DIV/0!</v>
      </c>
      <c r="CX323" s="219" t="e">
        <f>CX60/-CX65</f>
        <v>#DIV/0!</v>
      </c>
    </row>
    <row r="324" customFormat="1" s="233">
      <c r="A324" s="224" t="n"/>
      <c r="B324" s="224" t="n"/>
      <c r="C324" s="233" t="inlineStr">
        <is>
          <t>(EBITDA - CAPEX) / TOTAL INTEREST</t>
        </is>
      </c>
      <c r="D324" s="219">
        <f>(D60-D159)/-D65</f>
        <v>16.3716216216216</v>
      </c>
      <c r="E324" s="219">
        <f>(E60-E159)/-E65</f>
        <v>13.6107382550336</v>
      </c>
      <c r="F324" s="219">
        <f>(F60-F159)/-F65</f>
        <v>13.8413793103448</v>
      </c>
      <c r="G324" s="219">
        <f>(G60-G159)/-G65</f>
        <v>12.6107382550336</v>
      </c>
      <c r="I324" s="219">
        <f>(I60-I159)/-I65</f>
        <v>15.5857142857143</v>
      </c>
      <c r="J324" s="219">
        <f>(J60-J159)/-J65</f>
        <v>14.8943661971831</v>
      </c>
      <c r="K324" s="219">
        <f>(K60-K159)/-K65</f>
        <v>15.9716312056738</v>
      </c>
      <c r="L324" s="219">
        <f>(L60-L159)/-L65</f>
        <v>15</v>
      </c>
      <c r="N324" s="219">
        <f>(N60-N159)/-N65</f>
        <v>14.5851851851852</v>
      </c>
      <c r="O324" s="219">
        <f>(O60-O159)/-O65</f>
        <v>13.8652482269504</v>
      </c>
      <c r="P324" s="219">
        <f>(P60-P159)/-P65</f>
        <v>14.4758620689655</v>
      </c>
      <c r="Q324" s="219">
        <f>(Q60-Q159)/-Q65</f>
        <v>9.63861386138614</v>
      </c>
      <c r="S324" s="219">
        <f>(S60-S159)/-S65</f>
        <v>10.2673267326733</v>
      </c>
      <c r="T324" s="219">
        <f>(T60-T159)/-T65</f>
        <v>9.44843049327354</v>
      </c>
      <c r="U324" s="219">
        <f>(U60-U159)/-U65</f>
        <v>8.27848101265823</v>
      </c>
      <c r="V324" s="219">
        <f>(V60-V159)/-V65</f>
        <v>7.75196850393701</v>
      </c>
      <c r="X324" s="219">
        <f>(X60-X159)/-X65</f>
        <v>8.01960784313726</v>
      </c>
      <c r="Y324" s="219">
        <f>(Y60-Y159)/-Y65</f>
        <v>8.07662835249042</v>
      </c>
      <c r="Z324" s="219">
        <f>(Z60-Z159)/-Z65</f>
        <v>8.125</v>
      </c>
      <c r="AA324" s="219">
        <f>(AA60-AA159)/-AA65</f>
        <v>1.60606060606061</v>
      </c>
      <c r="AC324" s="219">
        <f>(AC60-AC159)/-AC65</f>
        <v>8.89925373134328</v>
      </c>
      <c r="AD324" s="219">
        <f>(AD60-AD159)/-AD65</f>
        <v>2.88686131386861</v>
      </c>
      <c r="AE324" s="219">
        <f>(AE60-AE159)/-AE65</f>
        <v>7.79020979020979</v>
      </c>
      <c r="AF324" s="219">
        <f>(AF60-AF159)/-AF65</f>
        <v>7.51034482758621</v>
      </c>
      <c r="AH324" s="219">
        <f>(AH60-AH159)/-AH65</f>
        <v>-1.28252788104089</v>
      </c>
      <c r="AI324" s="219">
        <f>(AI60-AI159)/-AI65</f>
        <v>8.91729323308271</v>
      </c>
      <c r="AJ324" s="219" t="e">
        <f>(AJ60-AJ159)/-AJ65</f>
        <v>#DIV/0!</v>
      </c>
      <c r="AK324" s="219" t="e">
        <f>(AK60-AK159)/-AK65</f>
        <v>#DIV/0!</v>
      </c>
      <c r="AM324" s="219" t="e">
        <f>(AM60-AM159)/-AM65</f>
        <v>#DIV/0!</v>
      </c>
      <c r="AN324" s="219" t="e">
        <f>(AN60-AN159)/-AN65</f>
        <v>#DIV/0!</v>
      </c>
      <c r="AO324" s="219" t="e">
        <f>(AO60-AO159)/-AO65</f>
        <v>#DIV/0!</v>
      </c>
      <c r="AP324" s="219" t="e">
        <f>(AP60-AP159)/-AP65</f>
        <v>#DIV/0!</v>
      </c>
      <c r="AR324" s="219" t="e">
        <f>(AR60-AR159)/-AR65</f>
        <v>#DIV/0!</v>
      </c>
      <c r="AS324" s="219" t="e">
        <f>(AS60-AS159)/-AS65</f>
        <v>#DIV/0!</v>
      </c>
      <c r="AT324" s="219" t="e">
        <f>(AT60-AT159)/-AT65</f>
        <v>#DIV/0!</v>
      </c>
      <c r="AU324" s="219" t="e">
        <f>(AU60-AU159)/-AU65</f>
        <v>#DIV/0!</v>
      </c>
      <c r="AW324" s="219" t="e">
        <f>(AW60-AW159)/-AW65</f>
        <v>#DIV/0!</v>
      </c>
      <c r="AX324" s="219" t="e">
        <f>(AX60-AX159)/-AX65</f>
        <v>#DIV/0!</v>
      </c>
      <c r="AY324" s="219" t="e">
        <f>(AY60-AY159)/-AY65</f>
        <v>#DIV/0!</v>
      </c>
      <c r="AZ324" s="219" t="e">
        <f>(AZ60-AZ159)/-AZ65</f>
        <v>#DIV/0!</v>
      </c>
      <c r="BB324" s="219" t="e">
        <f>(BB60-BB159)/-BB65</f>
        <v>#DIV/0!</v>
      </c>
      <c r="BC324" s="219" t="e">
        <f>(BC60-BC159)/-BC65</f>
        <v>#DIV/0!</v>
      </c>
      <c r="BD324" s="219" t="e">
        <f>(BD60-BD159)/-BD65</f>
        <v>#DIV/0!</v>
      </c>
      <c r="BE324" s="219" t="e">
        <f>(BE60-BE159)/-BE65</f>
        <v>#DIV/0!</v>
      </c>
      <c r="BG324" s="219" t="e">
        <f>(BG60-BG159)/-BG65</f>
        <v>#DIV/0!</v>
      </c>
      <c r="BH324" s="219" t="e">
        <f>(BH60-BH159)/-BH65</f>
        <v>#DIV/0!</v>
      </c>
      <c r="BI324" s="219" t="e">
        <f>(BI60-BI159)/-BI65</f>
        <v>#DIV/0!</v>
      </c>
      <c r="BJ324" s="219" t="e">
        <f>(BJ60-BJ159)/-BJ65</f>
        <v>#DIV/0!</v>
      </c>
      <c r="BL324" s="219" t="e">
        <f>(BL60-BL159)/-BL65</f>
        <v>#DIV/0!</v>
      </c>
      <c r="BM324" s="219" t="e">
        <f>(BM60-BM159)/-BM65</f>
        <v>#DIV/0!</v>
      </c>
      <c r="BN324" s="219" t="e">
        <f>(BN60-BN159)/-BN65</f>
        <v>#DIV/0!</v>
      </c>
      <c r="BO324" s="219" t="e">
        <f>(BO60-BO159)/-BO65</f>
        <v>#DIV/0!</v>
      </c>
      <c r="BQ324" s="219" t="e">
        <f>(BQ60-BQ159)/-BQ65</f>
        <v>#DIV/0!</v>
      </c>
      <c r="BR324" s="219" t="e">
        <f>(BR60-BR159)/-BR65</f>
        <v>#DIV/0!</v>
      </c>
      <c r="BS324" s="219" t="e">
        <f>(BS60-BS159)/-BS65</f>
        <v>#DIV/0!</v>
      </c>
      <c r="BT324" s="219" t="e">
        <f>(BT60-BT159)/-BT65</f>
        <v>#DIV/0!</v>
      </c>
      <c r="BV324" s="219" t="e">
        <f>(BV60-BV159)/-BV65</f>
        <v>#DIV/0!</v>
      </c>
      <c r="BW324" s="219" t="e">
        <f>(BW60-BW159)/-BW65</f>
        <v>#DIV/0!</v>
      </c>
      <c r="BX324" s="219" t="e">
        <f>(BX60-BX159)/-BX65</f>
        <v>#DIV/0!</v>
      </c>
      <c r="BY324" s="219" t="e">
        <f>(BY60-BY159)/-BY65</f>
        <v>#DIV/0!</v>
      </c>
      <c r="CA324" s="219" t="e">
        <f>(CA60-CA159)/-CA65</f>
        <v>#DIV/0!</v>
      </c>
      <c r="CB324" s="219" t="e">
        <f>(CB60-CB159)/-CB65</f>
        <v>#DIV/0!</v>
      </c>
      <c r="CC324" s="219" t="e">
        <f>(CC60-CC159)/-CC65</f>
        <v>#DIV/0!</v>
      </c>
      <c r="CD324" s="219" t="e">
        <f>(CD60-CD159)/-CD65</f>
        <v>#DIV/0!</v>
      </c>
      <c r="CF324" s="219" t="e">
        <f>(CF60-CF159)/-CF65</f>
        <v>#DIV/0!</v>
      </c>
      <c r="CG324" s="219" t="e">
        <f>(CG60-CG159)/-CG65</f>
        <v>#DIV/0!</v>
      </c>
      <c r="CH324" s="219" t="e">
        <f>(CH60-CH159)/-CH65</f>
        <v>#DIV/0!</v>
      </c>
      <c r="CI324" s="219" t="e">
        <f>(CI60-CI159)/-CI65</f>
        <v>#DIV/0!</v>
      </c>
      <c r="CK324" s="219" t="e">
        <f>(CK60-CK159)/-CK65</f>
        <v>#DIV/0!</v>
      </c>
      <c r="CL324" s="219" t="e">
        <f>(CL60-CL159)/-CL65</f>
        <v>#DIV/0!</v>
      </c>
      <c r="CM324" s="219" t="e">
        <f>(CM60-CM159)/-CM65</f>
        <v>#DIV/0!</v>
      </c>
      <c r="CN324" s="219" t="e">
        <f>(CN60-CN159)/-CN65</f>
        <v>#DIV/0!</v>
      </c>
      <c r="CP324" s="219" t="e">
        <f>(CP60-CP159)/-CP65</f>
        <v>#DIV/0!</v>
      </c>
      <c r="CQ324" s="219" t="e">
        <f>(CQ60-CQ159)/-CQ65</f>
        <v>#DIV/0!</v>
      </c>
      <c r="CR324" s="219" t="e">
        <f>(CR60-CR159)/-CR65</f>
        <v>#DIV/0!</v>
      </c>
      <c r="CS324" s="219" t="e">
        <f>(CS60-CS159)/-CS65</f>
        <v>#DIV/0!</v>
      </c>
      <c r="CU324" s="219" t="e">
        <f>(CU60-CU159)/-CU65</f>
        <v>#DIV/0!</v>
      </c>
      <c r="CV324" s="219" t="e">
        <f>(CV60-CV159)/-CV65</f>
        <v>#DIV/0!</v>
      </c>
      <c r="CW324" s="219" t="e">
        <f>(CW60-CW159)/-CW65</f>
        <v>#DIV/0!</v>
      </c>
      <c r="CX324" s="219" t="e">
        <f>(CX60-CX159)/-CX65</f>
        <v>#DIV/0!</v>
      </c>
    </row>
    <row r="325" customFormat="1" s="233">
      <c r="A325" s="224" t="n"/>
      <c r="B325" s="224" t="n"/>
      <c r="C325" s="233" t="inlineStr">
        <is>
          <t>TOTAL DEBT / EBITDA LTM</t>
        </is>
      </c>
      <c r="D325" s="219" t="str">
        <f>""</f>
        <v/>
      </c>
      <c r="E325" s="219" t="str">
        <f>""</f>
        <v/>
      </c>
      <c r="F325" s="219" t="str">
        <f>""</f>
        <v/>
      </c>
      <c r="G325" s="219">
        <f>IFERROR(SUM(G203,G204,G205,G208,G226,G229)/(G60+F60+E60+D60),"")</f>
        <v>1.22498490034226</v>
      </c>
      <c r="I325" s="219">
        <f>IFERROR(SUM(I203,I204,I205,I208,I226,I229)/(I60+G60+F60+E60),"")</f>
        <v>1.21278292950444</v>
      </c>
      <c r="J325" s="219">
        <f>IFERROR(SUM(J203,J204,J205,J208,J226,J229)/(J60+I60+G60+F60),"")</f>
        <v>1.19769730368038</v>
      </c>
      <c r="K325" s="219">
        <f>IFERROR(SUM(K203,K204,K205,K208,K226,K229)/(K60+J60+I60+G60),"")</f>
        <v>1.13131117356333</v>
      </c>
      <c r="L325" s="219">
        <f>IFERROR(SUM(L203,L204,L205,L208,L226,L229)/(L60+K60+J60+I60),"")</f>
        <v>1.11337846858015</v>
      </c>
      <c r="N325" s="219">
        <f>IFERROR(SUM(N203,N204,N205,N208,N226,N229)/(N60+L60+K60+J60),"")</f>
        <v>1.13820740885544</v>
      </c>
      <c r="O325" s="219">
        <f>IFERROR(SUM(O203,O204,O205,O208,O226,O229)/(O60+N60+L60+K60),"")</f>
        <v>1.16312056737589</v>
      </c>
      <c r="P325" s="219">
        <f>IFERROR(SUM(P203,P204,P205,P208,P226,P229)/(P60+O60+N60+L60),"")</f>
        <v>1.16666666666667</v>
      </c>
      <c r="Q325" s="219">
        <f>IFERROR(SUM(Q203,Q204,Q205,Q208,Q226,Q229)/(Q60+P60+O60+N60),"")</f>
        <v>1.58213699753897</v>
      </c>
      <c r="S325" s="219">
        <f>IFERROR(SUM(S203,S204,S205,S208,S226,S229)/(S60+Q60+P60+O60),"")</f>
        <v>1.58343483556638</v>
      </c>
      <c r="T325" s="219">
        <f>IFERROR(SUM(T203,T204,T205,T208,T226,T229)/(T60+S60+Q60+P60),"")</f>
        <v>1.75187219171243</v>
      </c>
      <c r="U325" s="219">
        <f>IFERROR(SUM(U203,U204,U205,U208,U226,U229)/(U60+T60+S60+Q60),"")</f>
        <v>1.74676042189854</v>
      </c>
      <c r="V325" s="219">
        <f>IFERROR(SUM(V203,V204,V205,V208,V226,V229)/(V60+U60+T60+S60),"")</f>
        <v>1.7569689040958</v>
      </c>
      <c r="X325" s="219">
        <f>IFERROR(SUM(X203,X204,X205,X208,X226,X229)/(X60+V60+U60+T60),"")</f>
        <v>1.95057759919638</v>
      </c>
      <c r="Y325" s="219">
        <f>IFERROR(SUM(Y203,Y204,Y205,Y208,Y226,Y229)/(Y60+X60+V60+U60),"")</f>
        <v>1.92704893425398</v>
      </c>
      <c r="Z325" s="219">
        <f>IFERROR(SUM(Z203,Z204,Z205,Z208,Z226,Z229)/(Z60+Y60+X60+V60),"")</f>
        <v>1.90711677030895</v>
      </c>
      <c r="AA325" s="219">
        <f>IFERROR(SUM(AA203,AA204,AA205,AA208,AA226,AA229)/(AA60+Z60+Y60+X60),"")</f>
        <v>2.36467568828745</v>
      </c>
      <c r="AC325" s="219">
        <f>IFERROR(SUM(AC203,AC204,AC205,AC208,AC226,AC229)/(AC60+AA60+Z60+Y60),"")</f>
        <v>2.26581854703716</v>
      </c>
      <c r="AD325" s="219">
        <f>IFERROR(SUM(AD203,AD204,AD205,AD208,AD226,AD229)/(AD60+AC60+AA60+Z60),"")</f>
        <v>2.84673069332983</v>
      </c>
      <c r="AE325" s="219">
        <f>IFERROR(SUM(AE203,AE204,AE205,AE208,AE226,AE229)/(AE60+AD60+AC60+AA60),"")</f>
        <v>2.85242319064147</v>
      </c>
      <c r="AF325" s="219">
        <f>IFERROR(SUM(AF203,AF204,AF205,AF208,AF226,AF229)/(AF60+AE60+AD60+AC60),"")</f>
        <v>2.30409853472075</v>
      </c>
      <c r="AH325" s="219">
        <f>IFERROR(SUM(AH203,AH204,AH205,AH208,AH226,AH229)/(AH60+AF60+AE60+AD60),"")</f>
        <v>2.27189901207464</v>
      </c>
      <c r="AI325" s="219">
        <f>IFERROR(SUM(AI203,AI204,AI205,AI208,AI226,AI229)/(AI60+AH60+AF60+AE60),"")</f>
        <v>1.89429994465966</v>
      </c>
      <c r="AJ325" s="219">
        <f>IFERROR(SUM(AJ203,AJ204,AJ205,AJ208,AJ226,AJ229)/(AJ60+AI60+AH60+AF60),"")</f>
        <v>2.5249569707401</v>
      </c>
      <c r="AK325" s="219">
        <f>IFERROR(SUM(AK203,AK204,AK205,AK208,AK226,AK229)/(AK60+AJ60+AI60+AH60),"")</f>
        <v>3.84606741573034</v>
      </c>
      <c r="AM325" s="219">
        <f>IFERROR(SUM(AM203,AM204,AM205,AM208,AM226,AM229)/(AM60+AK60+AJ60+AI60),"")</f>
        <v>7.13372698853769</v>
      </c>
      <c r="AN325" s="219" t="str">
        <f>IFERROR(SUM(AN203,AN204,AN205,AN208,AN226,AN229)/(AN60+AM60+AK60+AJ60),"")</f>
        <v/>
      </c>
      <c r="AO325" s="219" t="str">
        <f>IFERROR(SUM(AO203,AO204,AO205,AO208,AO226,AO229)/(AO60+AN60+AM60+AK60),"")</f>
        <v/>
      </c>
      <c r="AP325" s="219" t="str">
        <f>IFERROR(SUM(AP203,AP204,AP205,AP208,AP226,AP229)/(AP60+AO60+AN60+AM60),"")</f>
        <v/>
      </c>
      <c r="AR325" s="219" t="str">
        <f>IFERROR(SUM(AR203,AR204,AR205,AR208,AR226,AR229)/(AR60+AP60+AO60+AN60),"")</f>
        <v/>
      </c>
      <c r="AS325" s="219" t="str">
        <f>IFERROR(SUM(AS203,AS204,AS205,AS208,AS226,AS229)/(AS60+AR60+AP60+AO60),"")</f>
        <v/>
      </c>
      <c r="AT325" s="219" t="str">
        <f>IFERROR(SUM(AT203,AT204,AT205,AT208,AT226,AT229)/(AT60+AS60+AR60+AP60),"")</f>
        <v/>
      </c>
      <c r="AU325" s="219" t="str">
        <f>IFERROR(SUM(AU203,AU204,AU205,AU208,AU226,AU229)/(AU60+AT60+AS60+AR60),"")</f>
        <v/>
      </c>
      <c r="AW325" s="219" t="str">
        <f>IFERROR(SUM(AW203,AW204,AW205,AW208,AW226,AW229)/(AW60+AU60+AT60+AS60),"")</f>
        <v/>
      </c>
      <c r="AX325" s="219" t="str">
        <f>IFERROR(SUM(AX203,AX204,AX205,AX208,AX226,AX229)/(AX60+AW60+AU60+AT60),"")</f>
        <v/>
      </c>
      <c r="AY325" s="219" t="str">
        <f>IFERROR(SUM(AY203,AY204,AY205,AY208,AY226,AY229)/(AY60+AX60+AW60+AU60),"")</f>
        <v/>
      </c>
      <c r="AZ325" s="219" t="str">
        <f>IFERROR(SUM(AZ203,AZ204,AZ205,AZ208,AZ226,AZ229)/(AZ60+AY60+AX60+AW60),"")</f>
        <v/>
      </c>
      <c r="BB325" s="219" t="str">
        <f>IFERROR(SUM(BB203,BB204,BB205,BB208,BB226,BB229)/(BB60+AZ60+AY60+AX60),"")</f>
        <v/>
      </c>
      <c r="BC325" s="219" t="str">
        <f>IFERROR(SUM(BC203,BC204,BC205,BC208,BC226,BC229)/(BC60+BB60+AZ60+AY60),"")</f>
        <v/>
      </c>
      <c r="BD325" s="219" t="str">
        <f>IFERROR(SUM(BD203,BD204,BD205,BD208,BD226,BD229)/(BD60+BC60+BB60+AZ60),"")</f>
        <v/>
      </c>
      <c r="BE325" s="219" t="str">
        <f>IFERROR(SUM(BE203,BE204,BE205,BE208,BE226,BE229)/(BE60+BD60+BC60+BB60),"")</f>
        <v/>
      </c>
      <c r="BG325" s="219" t="str">
        <f>IFERROR(SUM(BG203,BG204,BG205,BG208,BG226,BG229)/(BG60+BE60+BD60+BC60),"")</f>
        <v/>
      </c>
      <c r="BH325" s="219" t="str">
        <f>IFERROR(SUM(BH203,BH204,BH205,BH208,BH226,BH229)/(BH60+BG60+BE60+BD60),"")</f>
        <v/>
      </c>
      <c r="BI325" s="219" t="str">
        <f>IFERROR(SUM(BI203,BI204,BI205,BI208,BI226,BI229)/(BI60+BH60+BG60+BE60),"")</f>
        <v/>
      </c>
      <c r="BJ325" s="219" t="str">
        <f>IFERROR(SUM(BJ203,BJ204,BJ205,BJ208,BJ226,BJ229)/(BJ60+BI60+BH60+BG60),"")</f>
        <v/>
      </c>
      <c r="BL325" s="219" t="str">
        <f>IFERROR(SUM(BL203,BL204,BL205,BL208,BL226,BL229)/(BL60+BJ60+BI60+BH60),"")</f>
        <v/>
      </c>
      <c r="BM325" s="219" t="str">
        <f>IFERROR(SUM(BM203,BM204,BM205,BM208,BM226,BM229)/(BM60+BL60+BJ60+BI60),"")</f>
        <v/>
      </c>
      <c r="BN325" s="219" t="str">
        <f>IFERROR(SUM(BN203,BN204,BN205,BN208,BN226,BN229)/(BN60+BM60+BL60+BJ60),"")</f>
        <v/>
      </c>
      <c r="BO325" s="219" t="str">
        <f>IFERROR(SUM(BO203,BO204,BO205,BO208,BO226,BO229)/(BO60+BN60+BM60+BL60),"")</f>
        <v/>
      </c>
      <c r="BQ325" s="219" t="str">
        <f>IFERROR(SUM(BQ203,BQ204,BQ205,BQ208,BQ226,BQ229)/(BQ60+BO60+BN60+BM60),"")</f>
        <v/>
      </c>
      <c r="BR325" s="219" t="str">
        <f>IFERROR(SUM(BR203,BR204,BR205,BR208,BR226,BR229)/(BR60+BQ60+BO60+BN60),"")</f>
        <v/>
      </c>
      <c r="BS325" s="219" t="str">
        <f>IFERROR(SUM(BS203,BS204,BS205,BS208,BS226,BS229)/(BS60+BR60+BQ60+BO60),"")</f>
        <v/>
      </c>
      <c r="BT325" s="219" t="str">
        <f>IFERROR(SUM(BT203,BT204,BT205,BT208,BT226,BT229)/(BT60+BS60+BR60+BQ60),"")</f>
        <v/>
      </c>
      <c r="BV325" s="219" t="str">
        <f>IFERROR(SUM(BV203,BV204,BV205,BV208,BV226,BV229)/(BV60+BT60+BS60+BR60),"")</f>
        <v/>
      </c>
      <c r="BW325" s="219" t="str">
        <f>IFERROR(SUM(BW203,BW204,BW205,BW208,BW226,BW229)/(BW60+BV60+BT60+BS60),"")</f>
        <v/>
      </c>
      <c r="BX325" s="219" t="str">
        <f>IFERROR(SUM(BX203,BX204,BX205,BX208,BX226,BX229)/(BX60+BW60+BV60+BT60),"")</f>
        <v/>
      </c>
      <c r="BY325" s="219" t="str">
        <f>IFERROR(SUM(BY203,BY204,BY205,BY208,BY226,BY229)/(BY60+BX60+BW60+BV60),"")</f>
        <v/>
      </c>
      <c r="CA325" s="219" t="str">
        <f>IFERROR(SUM(CA203,CA204,CA205,CA208,CA226,CA229)/(CA60+BY60+BX60+BW60),"")</f>
        <v/>
      </c>
      <c r="CB325" s="219" t="str">
        <f>IFERROR(SUM(CB203,CB204,CB205,CB208,CB226,CB229)/(CB60+CA60+BY60+BX60),"")</f>
        <v/>
      </c>
      <c r="CC325" s="219" t="str">
        <f>IFERROR(SUM(CC203,CC204,CC205,CC208,CC226,CC229)/(CC60+CB60+CA60+BY60),"")</f>
        <v/>
      </c>
      <c r="CD325" s="219" t="str">
        <f>IFERROR(SUM(CD203,CD204,CD205,CD208,CD226,CD229)/(CD60+CC60+CB60+CA60),"")</f>
        <v/>
      </c>
      <c r="CF325" s="219" t="str">
        <f>IFERROR(SUM(CF203,CF204,CF205,CF208,CF226,CF229)/(CF60+CD60+CC60+CB60),"")</f>
        <v/>
      </c>
      <c r="CG325" s="219" t="str">
        <f>IFERROR(SUM(CG203,CG204,CG205,CG208,CG226,CG229)/(CG60+CF60+CD60+CC60),"")</f>
        <v/>
      </c>
      <c r="CH325" s="219" t="str">
        <f>IFERROR(SUM(CH203,CH204,CH205,CH208,CH226,CH229)/(CH60+CG60+CF60+CD60),"")</f>
        <v/>
      </c>
      <c r="CI325" s="219" t="str">
        <f>IFERROR(SUM(CI203,CI204,CI205,CI208,CI226,CI229)/(CI60+CH60+CG60+CF60),"")</f>
        <v/>
      </c>
      <c r="CK325" s="219" t="str">
        <f>IFERROR(SUM(CK203,CK204,CK205,CK208,CK226,CK229)/(CK60+CI60+CH60+CG60),"")</f>
        <v/>
      </c>
      <c r="CL325" s="219" t="str">
        <f>IFERROR(SUM(CL203,CL204,CL205,CL208,CL226,CL229)/(CL60+CK60+CI60+CH60),"")</f>
        <v/>
      </c>
      <c r="CM325" s="219" t="str">
        <f>IFERROR(SUM(CM203,CM204,CM205,CM208,CM226,CM229)/(CM60+CL60+CK60+CI60),"")</f>
        <v/>
      </c>
      <c r="CN325" s="219" t="str">
        <f>IFERROR(SUM(CN203,CN204,CN205,CN208,CN226,CN229)/(CN60+CM60+CL60+CK60),"")</f>
        <v/>
      </c>
      <c r="CP325" s="219" t="str">
        <f>IFERROR(SUM(CP203,CP204,CP205,CP208,CP226,CP229)/(CP60+CN60+CM60+CL60),"")</f>
        <v/>
      </c>
      <c r="CQ325" s="219" t="str">
        <f>IFERROR(SUM(CQ203,CQ204,CQ205,CQ208,CQ226,CQ229)/(CQ60+CP60+CN60+CM60),"")</f>
        <v/>
      </c>
      <c r="CR325" s="219" t="str">
        <f>IFERROR(SUM(CR203,CR204,CR205,CR208,CR226,CR229)/(CR60+CQ60+CP60+CN60),"")</f>
        <v/>
      </c>
      <c r="CS325" s="219" t="str">
        <f>IFERROR(SUM(CS203,CS204,CS205,CS208,CS226,CS229)/(CS60+CR60+CQ60+CP60),"")</f>
        <v/>
      </c>
      <c r="CU325" s="219" t="str">
        <f>IFERROR(SUM(CU203,CU204,CU205,CU208,CU226,CU229)/(CU60+CS60+CR60+CQ60),"")</f>
        <v/>
      </c>
      <c r="CV325" s="219" t="str">
        <f>IFERROR(SUM(CV203,CV204,CV205,CV208,CV226,CV229)/(CV60+CU60+CS60+CR60),"")</f>
        <v/>
      </c>
      <c r="CW325" s="219" t="str">
        <f>IFERROR(SUM(CW203,CW204,CW205,CW208,CW226,CW229)/(CW60+CV60+CU60+CS60),"")</f>
        <v/>
      </c>
      <c r="CX325" s="219" t="str">
        <f>IFERROR(SUM(CX203,CX204,CX205,CX208,CX226,CX229)/(CX60+CW60+CV60+CU60),"")</f>
        <v/>
      </c>
    </row>
    <row r="326" customFormat="1" s="233">
      <c r="A326" s="224" t="n"/>
      <c r="B326" s="224" t="n"/>
      <c r="C326" s="233" t="inlineStr">
        <is>
          <t>TOTAL DEBT / TOTAL CAPITALIZATION</t>
        </is>
      </c>
      <c r="D326" s="221">
        <f>SUM(D203+D204+D205+D208+D226+D229)/(SUM(D203+D204+D205+D208+D226+D229)+D262)</f>
        <v>0.784433728981207</v>
      </c>
      <c r="E326" s="221">
        <f>SUM(E203+E204+E205+E208+E226+E229)/(SUM(E203+E204+E205+E208+E226+E229)+E262)</f>
        <v>0.769987849331713</v>
      </c>
      <c r="F326" s="221">
        <f>SUM(F203+F204+F205+F208+F226+F229)/(SUM(F203+F204+F205+F208+F226+F229)+F262)</f>
        <v>0.717683030405979</v>
      </c>
      <c r="G326" s="221">
        <f>SUM(G203+G204+G205+G208+G226+G229)/(SUM(G203+G204+G205+G208+G226+G229)+G262)</f>
        <v>0.668369308507717</v>
      </c>
      <c r="I326" s="221">
        <f>SUM(I203+I204+I205+I208+I226+I229)/(SUM(I203+I204+I205+I208+I226+I229)+I262)</f>
        <v>0.657601643598616</v>
      </c>
      <c r="J326" s="221">
        <f>SUM(J203+J204+J205+J208+J226+J229)/(SUM(J203+J204+J205+J208+J226+J229)+J262)</f>
        <v>0.650820811721298</v>
      </c>
      <c r="K326" s="221">
        <f>SUM(K203+K204+K205+K208+K226+K229)/(SUM(K203+K204+K205+K208+K226+K229)+K262)</f>
        <v>0.547946491433936</v>
      </c>
      <c r="L326" s="221">
        <f>SUM(L203+L204+L205+L208+L226+L229)/(SUM(L203+L204+L205+L208+L226+L229)+L262)</f>
        <v>0.51583830351226</v>
      </c>
      <c r="N326" s="221">
        <f>SUM(N203+N204+N205+N208+N226+N229)/(SUM(N203+N204+N205+N208+N226+N229)+N262)</f>
        <v>0.537949831385411</v>
      </c>
      <c r="O326" s="221">
        <f>SUM(O203+O204+O205+O208+O226+O229)/(SUM(O203+O204+O205+O208+O226+O229)+O262)</f>
        <v>0.504593517074016</v>
      </c>
      <c r="P326" s="221">
        <f>SUM(P203+P204+P205+P208+P226+P229)/(SUM(P203+P204+P205+P208+P226+P229)+P262)</f>
        <v>0.489635758764821</v>
      </c>
      <c r="Q326" s="221">
        <f>SUM(Q203+Q204+Q205+Q208+Q226+Q229)/(SUM(Q203+Q204+Q205+Q208+Q226+Q229)+Q262)</f>
        <v>0.624782344604171</v>
      </c>
      <c r="S326" s="221">
        <f>SUM(S203+S204+S205+S208+S226+S229)/(SUM(S203+S204+S205+S208+S226+S229)+S262)</f>
        <v>0.617919670442843</v>
      </c>
      <c r="T326" s="221">
        <f>SUM(T203+T204+T205+T208+T226+T229)/(SUM(T203+T204+T205+T208+T226+T229)+T262)</f>
        <v>0.655030800821355</v>
      </c>
      <c r="U326" s="221">
        <f>SUM(U203+U204+U205+U208+U226+U229)/(SUM(U203+U204+U205+U208+U226+U229)+U262)</f>
        <v>0.652177174361475</v>
      </c>
      <c r="V326" s="221">
        <f>SUM(V203+V204+V205+V208+V226+V229)/(SUM(V203+V204+V205+V208+V226+V229)+V262)</f>
        <v>0.718654811887709</v>
      </c>
      <c r="X326" s="221">
        <f>SUM(X203+X204+X205+X208+X226+X229)/(SUM(X203+X204+X205+X208+X226+X229)+X262)</f>
        <v>0.744897959183674</v>
      </c>
      <c r="Y326" s="221">
        <f>SUM(Y203+Y204+Y205+Y208+Y226+Y229)/(SUM(Y203+Y204+Y205+Y208+Y226+Y229)+Y262)</f>
        <v>0.757195659012268</v>
      </c>
      <c r="Z326" s="221">
        <f>SUM(Z203+Z204+Z205+Z208+Z226+Z229)/(SUM(Z203+Z204+Z205+Z208+Z226+Z229)+Z262)</f>
        <v>0.728517024244938</v>
      </c>
      <c r="AA326" s="221">
        <f>SUM(AA203+AA204+AA205+AA208+AA226+AA229)/(SUM(AA203+AA204+AA205+AA208+AA226+AA229)+AA262)</f>
        <v>0.761944141638161</v>
      </c>
      <c r="AC326" s="221">
        <f>SUM(AC203+AC204+AC205+AC208+AC226+AC229)/(SUM(AC203+AC204+AC205+AC208+AC226+AC229)+AC262)</f>
        <v>0.752362248490014</v>
      </c>
      <c r="AD326" s="221">
        <f>SUM(AD203+AD204+AD205+AD208+AD226+AD229)/(SUM(AD203+AD204+AD205+AD208+AD226+AD229)+AD262)</f>
        <v>0.802239359335607</v>
      </c>
      <c r="AE326" s="221">
        <f>SUM(AE203+AE204+AE205+AE208+AE226+AE229)/(SUM(AE203+AE204+AE205+AE208+AE226+AE229)+AE262)</f>
        <v>0.782129009517096</v>
      </c>
      <c r="AF326" s="221">
        <f>SUM(AF203+AF204+AF205+AF208+AF226+AF229)/(SUM(AF203+AF204+AF205+AF208+AF226+AF229)+AF262)</f>
        <v>0.763519932444319</v>
      </c>
      <c r="AH326" s="221">
        <f>SUM(AH203+AH204+AH205+AH208+AH226+AH229)/(SUM(AH203+AH204+AH205+AH208+AH226+AH229)+AH262)</f>
        <v>0.734300716667849</v>
      </c>
      <c r="AI326" s="221">
        <f>SUM(AI203+AI204+AI205+AI208+AI226+AI229)/(SUM(AI203+AI204+AI205+AI208+AI226+AI229)+AI262)</f>
        <v>0.700812120384904</v>
      </c>
      <c r="AJ326" s="221">
        <f>SUM(AJ203+AJ204+AJ205+AJ208+AJ226+AJ229)/(SUM(AJ203+AJ204+AJ205+AJ208+AJ226+AJ229)+AJ262)</f>
        <v>0.701290719114936</v>
      </c>
      <c r="AK326" s="221">
        <f>SUM(AK203+AK204+AK205+AK208+AK226+AK229)/(SUM(AK203+AK204+AK205+AK208+AK226+AK229)+AK262)</f>
        <v>0.702129841714813</v>
      </c>
      <c r="AM326" s="221">
        <f>SUM(AM203+AM204+AM205+AM208+AM226+AM229)/(SUM(AM203+AM204+AM205+AM208+AM226+AM229)+AM262)</f>
        <v>0.702970974808324</v>
      </c>
      <c r="AN326" s="221">
        <f>SUM(AN203+AN204+AN205+AN208+AN226+AN229)/(SUM(AN203+AN204+AN205+AN208+AN226+AN229)+AN262)</f>
        <v>0.705627705627706</v>
      </c>
      <c r="AO326" s="221">
        <f>SUM(AO203+AO204+AO205+AO208+AO226+AO229)/(SUM(AO203+AO204+AO205+AO208+AO226+AO229)+AO262)</f>
        <v>0.706477245364797</v>
      </c>
      <c r="AP326" s="221">
        <f>SUM(AP203+AP204+AP205+AP208+AP226+AP229)/(SUM(AP203+AP204+AP205+AP208+AP226+AP229)+AP262)</f>
        <v>0.709160595283312</v>
      </c>
      <c r="AR326" s="221">
        <f>SUM(AR203+AR204+AR205+AR208+AR226+AR229)/(SUM(AR203+AR204+AR205+AR208+AR226+AR229)+AR262)</f>
        <v>0.711864406779661</v>
      </c>
      <c r="AS326" s="221">
        <f>SUM(AS203+AS204+AS205+AS208+AS226+AS229)/(SUM(AS203+AS204+AS205+AS208+AS226+AS229)+AS262)</f>
        <v>0.719092468751094</v>
      </c>
      <c r="AT326" s="221">
        <f>SUM(AT203+AT204+AT205+AT208+AT226+AT229)/(SUM(AT203+AT204+AT205+AT208+AT226+AT229)+AT262)</f>
        <v>0.721872693402692</v>
      </c>
      <c r="AU326" s="221">
        <f>SUM(AU203+AU204+AU205+AU208+AU226+AU229)/(SUM(AU203+AU204+AU205+AU208+AU226+AU229)+AU262)</f>
        <v>0.72930648769575</v>
      </c>
      <c r="AW326" s="221">
        <f>SUM(AW203+AW204+AW205+AW208+AW226+AW229)/(SUM(AW203+AW204+AW205+AW208+AW226+AW229)+AW262)</f>
        <v>0.736894980445625</v>
      </c>
      <c r="AX326" s="221">
        <f>SUM(AX203+AX204+AX205+AX208+AX226+AX229)/(SUM(AX203+AX204+AX205+AX208+AX226+AX229)+AX262)</f>
        <v>0.758671641239703</v>
      </c>
      <c r="AY326" s="221">
        <f>SUM(AY203+AY204+AY205+AY208+AY226+AY229)/(SUM(AY203+AY204+AY205+AY208+AY226+AY229)+AY262)</f>
        <v>0.766886972107091</v>
      </c>
      <c r="AZ326" s="221">
        <f>SUM(AZ203+AZ204+AZ205+AZ208+AZ226+AZ229)/(SUM(AZ203+AZ204+AZ205+AZ208+AZ226+AZ229)+AZ262)</f>
        <v>0.790500750548478</v>
      </c>
      <c r="BB326" s="221">
        <f>SUM(BB203+BB204+BB205+BB208+BB226+BB229)/(SUM(BB203+BB204+BB205+BB208+BB226+BB229)+BB262)</f>
        <v>0.815614947778087</v>
      </c>
      <c r="BC326" s="221">
        <f>SUM(BC203+BC204+BC205+BC208+BC226+BC229)/(SUM(BC203+BC204+BC205+BC208+BC226+BC229)+BC262)</f>
        <v>0.892917699230468</v>
      </c>
      <c r="BD326" s="221">
        <f>SUM(BD203+BD204+BD205+BD208+BD226+BD229)/(SUM(BD203+BD204+BD205+BD208+BD226+BD229)+BD262)</f>
        <v>0.925093464258367</v>
      </c>
      <c r="BE326" s="221">
        <f>SUM(BE203+BE204+BE205+BE208+BE226+BE229)/(SUM(BE203+BE204+BE205+BE208+BE226+BE229)+BE262)</f>
        <v>1.02582288596973</v>
      </c>
      <c r="BG326" s="221">
        <f>SUM(BG203+BG204+BG205+BG208+BG226+BG229)/(SUM(BG203+BG204+BG205+BG208+BG226+BG229)+BG262)</f>
        <v>1.15116865646544</v>
      </c>
      <c r="BH326" s="221">
        <f>SUM(BH203+BH204+BH205+BH208+BH226+BH229)/(SUM(BH203+BH204+BH205+BH208+BH226+BH229)+BH262)</f>
        <v>1.72864237017086</v>
      </c>
      <c r="BI326" s="221">
        <f>SUM(BI203+BI204+BI205+BI208+BI226+BI229)/(SUM(BI203+BI204+BI205+BI208+BI226+BI229)+BI262)</f>
        <v>2.11710132975982</v>
      </c>
      <c r="BJ326" s="221">
        <f>SUM(BJ203+BJ204+BJ205+BJ208+BJ226+BJ229)/(SUM(BJ203+BJ204+BJ205+BJ208+BJ226+BJ229)+BJ262)</f>
        <v>5.48997594226143</v>
      </c>
      <c r="BL326" s="221">
        <f>SUM(BL203+BL204+BL205+BL208+BL226+BL229)/(SUM(BL203+BL204+BL205+BL208+BL226+BL229)+BL262)</f>
        <v>-9.25552050473186</v>
      </c>
      <c r="BM326" s="221">
        <f>SUM(BM203+BM204+BM205+BM208+BM226+BM229)/(SUM(BM203+BM204+BM205+BM208+BM226+BM229)+BM262)</f>
        <v>-1.11022217417158</v>
      </c>
      <c r="BN326" s="221">
        <f>SUM(BN203+BN204+BN205+BN208+BN226+BN229)/(SUM(BN203+BN204+BN205+BN208+BN226+BN229)+BN262)</f>
        <v>-0.839690911320986</v>
      </c>
      <c r="BO326" s="221">
        <f>SUM(BO203+BO204+BO205+BO208+BO226+BO229)/(SUM(BO203+BO204+BO205+BO208+BO226+BO229)+BO262)</f>
        <v>-0.504136085814576</v>
      </c>
      <c r="BQ326" s="221">
        <f>SUM(BQ203+BQ204+BQ205+BQ208+BQ226+BQ229)/(SUM(BQ203+BQ204+BQ205+BQ208+BQ226+BQ229)+BQ262)</f>
        <v>-0.360195724232274</v>
      </c>
      <c r="BR326" s="221">
        <f>SUM(BR203+BR204+BR205+BR208+BR226+BR229)/(SUM(BR203+BR204+BR205+BR208+BR226+BR229)+BR262)</f>
        <v>-0.202346821150947</v>
      </c>
      <c r="BS326" s="221">
        <f>SUM(BS203+BS204+BS205+BS208+BS226+BS229)/(SUM(BS203+BS204+BS205+BS208+BS226+BS229)+BS262)</f>
        <v>-0.174377435705856</v>
      </c>
      <c r="BT326" s="221">
        <f>SUM(BT203+BT204+BT205+BT208+BT226+BT229)/(SUM(BT203+BT204+BT205+BT208+BT226+BT229)+BT262)</f>
        <v>-0.126575413382309</v>
      </c>
      <c r="BV326" s="221">
        <f>SUM(BV203+BV204+BV205+BV208+BV226+BV229)/(SUM(BV203+BV204+BV205+BV208+BV226+BV229)+BV262)</f>
        <v>-0.0993426494275391</v>
      </c>
      <c r="BW326" s="221">
        <f>SUM(BW203+BW204+BW205+BW208+BW226+BW229)/(SUM(BW203+BW204+BW205+BW208+BW226+BW229)+BW262)</f>
        <v>-0.0625664490539483</v>
      </c>
      <c r="BX326" s="221">
        <f>SUM(BX203+BX204+BX205+BX208+BX226+BX229)/(SUM(BX203+BX204+BX205+BX208+BX226+BX229)+BX262)</f>
        <v>-0.0551002175785201</v>
      </c>
      <c r="BY326" s="221">
        <f>SUM(BY203+BY204+BY205+BY208+BY226+BY229)/(SUM(BY203+BY204+BY205+BY208+BY226+BY229)+BY262)</f>
        <v>-0.0415531128416478</v>
      </c>
      <c r="CA326" s="221">
        <f>SUM(CA203+CA204+CA205+CA208+CA226+CA229)/(SUM(CA203+CA204+CA205+CA208+CA226+CA229)+CA262)</f>
        <v>-0.0333528749762496</v>
      </c>
      <c r="CB326" s="221">
        <f>SUM(CB203+CB204+CB205+CB208+CB226+CB229)/(SUM(CB203+CB204+CB205+CB208+CB226+CB229)+CB262)</f>
        <v>-0.0216696086323922</v>
      </c>
      <c r="CC326" s="221">
        <f>SUM(CC203+CC204+CC205+CC208+CC226+CC229)/(SUM(CC203+CC204+CC205+CC208+CC226+CC229)+CC262)</f>
        <v>-0.0192069757850704</v>
      </c>
      <c r="CD326" s="221">
        <f>SUM(CD203+CD204+CD205+CD208+CD226+CD229)/(SUM(CD203+CD204+CD205+CD208+CD226+CD229)+CD262)</f>
        <v>-0.0146564009536865</v>
      </c>
      <c r="CF326" s="221">
        <f>SUM(CF203+CF204+CF205+CF208+CF226+CF229)/(SUM(CF203+CF204+CF205+CF208+CF226+CF229)+CF262)</f>
        <v>-0.0118490808567939</v>
      </c>
      <c r="CG326" s="221">
        <f>SUM(CG203+CG204+CG205+CG208+CG226+CG229)/(SUM(CG203+CG204+CG205+CG208+CG226+CG229)+CG262)</f>
        <v>-0.00777854661844559</v>
      </c>
      <c r="CH326" s="221">
        <f>SUM(CH203+CH204+CH205+CH208+CH226+CH229)/(SUM(CH203+CH204+CH205+CH208+CH226+CH229)+CH262)</f>
        <v>-0.00690970982784938</v>
      </c>
      <c r="CI326" s="221">
        <f>SUM(CI203+CI204+CI205+CI208+CI226+CI229)/(SUM(CI203+CI204+CI205+CI208+CI226+CI229)+CI262)</f>
        <v>-0.00529414630537517</v>
      </c>
      <c r="CK326" s="221">
        <f>SUM(CK203+CK204+CK205+CK208+CK226+CK229)/(SUM(CK203+CK204+CK205+CK208+CK226+CK229)+CK262)</f>
        <v>-0.00429089053841713</v>
      </c>
      <c r="CL326" s="221">
        <f>SUM(CL203+CL204+CL205+CL208+CL226+CL229)/(SUM(CL203+CL204+CL205+CL208+CL226+CL229)+CL262)</f>
        <v>-0.00282717362890407</v>
      </c>
      <c r="CM326" s="221">
        <f>SUM(CM203+CM204+CM205+CM208+CM226+CM229)/(SUM(CM203+CM204+CM205+CM208+CM226+CM229)+CM262)</f>
        <v>-0.00251335764291157</v>
      </c>
      <c r="CN326" s="221">
        <f>SUM(CN203+CN204+CN205+CN208+CN226+CN229)/(SUM(CN203+CN204+CN205+CN208+CN226+CN229)+CN262)</f>
        <v>-0.00192851969633843</v>
      </c>
      <c r="CP326" s="221">
        <f>SUM(CP203+CP204+CP205+CP208+CP226+CP229)/(SUM(CP203+CP204+CP205+CP208+CP226+CP229)+CP262)</f>
        <v>-0.00156447828366571</v>
      </c>
      <c r="CQ326" s="221">
        <f>SUM(CQ203+CQ204+CQ205+CQ208+CQ226+CQ229)/(SUM(CQ203+CQ204+CQ205+CQ208+CQ226+CQ229)+CQ262)</f>
        <v>-0.00103216720083422</v>
      </c>
      <c r="CR326" s="221">
        <f>SUM(CR203+CR204+CR205+CR208+CR226+CR229)/(SUM(CR203+CR204+CR205+CR208+CR226+CR229)+CR262)</f>
        <v>-0.000917857640360423</v>
      </c>
      <c r="CS326" s="221">
        <f>SUM(CS203+CS204+CS205+CS208+CS226+CS229)/(SUM(CS203+CS204+CS205+CS208+CS226+CS229)+CS262)</f>
        <v>-0.000704653039691989</v>
      </c>
      <c r="CU326" s="221">
        <f>SUM(CU203+CU204+CU205+CU208+CU226+CU229)/(SUM(CU203+CU204+CU205+CU208+CU226+CU229)+CU262)</f>
        <v>-0.000571826335300665</v>
      </c>
      <c r="CV326" s="221">
        <f>SUM(CV203+CV204+CV205+CV208+CV226+CV229)/(SUM(CV203+CV204+CV205+CV208+CV226+CV229)+CV262)</f>
        <v>-0.000377445601879355</v>
      </c>
      <c r="CW326" s="221">
        <f>SUM(CW203+CW204+CW205+CW208+CW226+CW229)/(SUM(CW203+CW204+CW205+CW208+CW226+CW229)+CW262)</f>
        <v>-0.000335679400773207</v>
      </c>
      <c r="CX326" s="221">
        <f>SUM(CX203+CX204+CX205+CX208+CX226+CX229)/(SUM(CX203+CX204+CX205+CX208+CX226+CX229)+CX262)</f>
        <v>-0.000257755962633493</v>
      </c>
    </row>
    <row r="327" customFormat="1" s="233">
      <c r="A327" s="224" t="n"/>
      <c r="B327" s="224" t="n"/>
      <c r="C327" s="233" t="inlineStr">
        <is>
          <t>NET DEBT / EBITDA LTM (com arrendamentos)</t>
        </is>
      </c>
      <c r="D327" s="219" t="str">
        <f>""</f>
        <v/>
      </c>
      <c r="E327" s="219" t="str">
        <f>""</f>
        <v/>
      </c>
      <c r="F327" s="219" t="str">
        <f>""</f>
        <v/>
      </c>
      <c r="G327" s="219">
        <f>IFERROR((SUM(G203,G204,G205,G208,G226,G229)-G135)/(G60+F60+E60+D60),"")</f>
        <v>0.906885443929938</v>
      </c>
      <c r="I327" s="219">
        <f>IFERROR((SUM(I203,I204,I205,I208,I226,I229)-I135)/(I60+G60+F60+E60),"")</f>
        <v>0.920331039984046</v>
      </c>
      <c r="J327" s="219">
        <f>IFERROR((SUM(J203,J204,J205,J208,J226,J229)-J135)/(J60+I60+G60+F60),"")</f>
        <v>0.927573312340091</v>
      </c>
      <c r="K327" s="219">
        <f>IFERROR((SUM(K203,K204,K205,K208,K226,K229)-K135)/(K60+J60+I60+G60),"")</f>
        <v>0.86704137997868</v>
      </c>
      <c r="L327" s="219">
        <f>IFERROR((SUM(L203,L204,L205,L208,L226,L229)-L135)/(L60+K60+J60+I60),"")</f>
        <v>0.769714885095833</v>
      </c>
      <c r="N327" s="219">
        <f>IFERROR((SUM(N203,N204,N205,N208,N226,N229)-N135)/(N60+L60+K60+J60),"")</f>
        <v>0.954158928745968</v>
      </c>
      <c r="O327" s="219">
        <f>IFERROR((SUM(O203,O204,O205,O208,O226,O229)-O135)/(O60+N60+L60+K60),"")</f>
        <v>0.985815602836879</v>
      </c>
      <c r="P327" s="219">
        <f>IFERROR((SUM(P203,P204,P205,P208,P226,P229)-P135)/(P60+O60+N60+L60),"")</f>
        <v>0.919715447154472</v>
      </c>
      <c r="Q327" s="219">
        <f>IFERROR((SUM(Q203,Q204,Q205,Q208,Q226,Q229)-Q135)/(Q60+P60+O60+N60),"")</f>
        <v>1.32095980311731</v>
      </c>
      <c r="S327" s="219">
        <f>IFERROR((SUM(S203,S204,S205,S208,S226,S229)-S135)/(S60+Q60+P60+O60),"")</f>
        <v>1.33576938692651</v>
      </c>
      <c r="T327" s="219">
        <f>IFERROR((SUM(T203,T204,T205,T208,T226,T229)-T135)/(T60+S60+Q60+P60),"")</f>
        <v>1.38512231652521</v>
      </c>
      <c r="U327" s="219">
        <f>IFERROR((SUM(U203,U204,U205,U208,U226,U229)-U135)/(U60+T60+S60+Q60),"")</f>
        <v>1.39005524861878</v>
      </c>
      <c r="V327" s="219">
        <f>IFERROR((SUM(V203,V204,V205,V208,V226,V229)-V135)/(V60+U60+T60+S60),"")</f>
        <v>1.61185468451243</v>
      </c>
      <c r="X327" s="219">
        <f>IFERROR((SUM(X203,X204,X205,X208,X226,X229)-X135)/(X60+V60+U60+T60),"")</f>
        <v>1.67031642390758</v>
      </c>
      <c r="Y327" s="219">
        <f>IFERROR((SUM(Y203,Y204,Y205,Y208,Y226,Y229)-Y135)/(Y60+X60+V60+U60),"")</f>
        <v>1.67457220054038</v>
      </c>
      <c r="Z327" s="219">
        <f>IFERROR((SUM(Z203,Z204,Z205,Z208,Z226,Z229)-Z135)/(Z60+Y60+X60+V60),"")</f>
        <v>1.59609120521173</v>
      </c>
      <c r="AA327" s="219">
        <f>IFERROR((SUM(AA203,AA204,AA205,AA208,AA226,AA229)-AA135)/(AA60+Z60+Y60+X60),"")</f>
        <v>2.07501166588894</v>
      </c>
      <c r="AC327" s="219">
        <f>IFERROR((SUM(AC203,AC204,AC205,AC208,AC226,AC229)-AC135)/(AC60+AA60+Z60+Y60),"")</f>
        <v>2.06461332440576</v>
      </c>
      <c r="AD327" s="219">
        <f>IFERROR((SUM(AD203,AD204,AD205,AD208,AD226,AD229)-AD135)/(AD60+AC60+AA60+Z60),"")</f>
        <v>2.67662149717143</v>
      </c>
      <c r="AE327" s="219">
        <f>IFERROR((SUM(AE203,AE204,AE205,AE208,AE226,AE229)-AE135)/(AE60+AD60+AC60+AA60),"")</f>
        <v>2.40635043064661</v>
      </c>
      <c r="AF327" s="219">
        <f>IFERROR((SUM(AF203,AF204,AF205,AF208,AF226,AF229)-AF135)/(AF60+AE60+AD60+AC60),"")</f>
        <v>1.86653217243576</v>
      </c>
      <c r="AH327" s="219">
        <f>IFERROR((SUM(AH203,AH204,AH205,AH208,AH226,AH229)-AH135)/(AH60+AF60+AE60+AD60),"")</f>
        <v>2.06399560922064</v>
      </c>
      <c r="AI327" s="219">
        <f>IFERROR((SUM(AI203,AI204,AI205,AI208,AI226,AI229)-AI135)/(AI60+AH60+AF60+AE60),"")</f>
        <v>1.54464121010884</v>
      </c>
      <c r="AJ327" s="219">
        <f>IFERROR((SUM(AJ203,AJ204,AJ205,AJ208,AJ226,AJ229)-AJ135)/(AJ60+AI60+AH60+AF60),"")</f>
        <v>1.86021637570691</v>
      </c>
      <c r="AK327" s="219">
        <f>IFERROR((SUM(AK203,AK204,AK205,AK208,AK226,AK229)-AK135)/(AK60+AJ60+AI60+AH60),"")</f>
        <v>2.84007490636704</v>
      </c>
      <c r="AM327" s="219" t="str">
        <f>IFERROR((SUM(AM203,AM204,AM205,AM208,AM226,AM229)-AM135)/(AM60+AK60+AJ60+AI60),"")</f>
        <v/>
      </c>
      <c r="AN327" s="219" t="str">
        <f>IFERROR((SUM(AN203,AN204,AN205,AN208,AN226,AN229)-AN135)/(AN60+AM60+AK60+AJ60),"")</f>
        <v/>
      </c>
      <c r="AO327" s="219" t="str">
        <f>IFERROR((SUM(AO203,AO204,AO205,AO208,AO226,AO229)-AO135)/(AO60+AN60+AM60+AK60),"")</f>
        <v/>
      </c>
      <c r="AP327" s="219" t="str">
        <f>IFERROR((SUM(AP203,AP204,AP205,AP208,AP226,AP229)-AP135)/(AP60+AO60+AN60+AM60),"")</f>
        <v/>
      </c>
      <c r="AR327" s="219" t="str">
        <f>IFERROR((SUM(AR203,AR204,AR205,AR208,AR226,AR229)-AR135)/(AR60+AP60+AO60+AN60),"")</f>
        <v/>
      </c>
      <c r="AS327" s="219" t="str">
        <f>IFERROR((SUM(AS203,AS204,AS205,AS208,AS226,AS229)-AS135)/(AS60+AR60+AP60+AO60),"")</f>
        <v/>
      </c>
      <c r="AT327" s="219" t="str">
        <f>IFERROR((SUM(AT203,AT204,AT205,AT208,AT226,AT229)-AT135)/(AT60+AS60+AR60+AP60),"")</f>
        <v/>
      </c>
      <c r="AU327" s="219" t="str">
        <f>IFERROR((SUM(AU203,AU204,AU205,AU208,AU226,AU229)-AU135)/(AU60+AT60+AS60+AR60),"")</f>
        <v/>
      </c>
      <c r="AW327" s="219" t="str">
        <f>IFERROR((SUM(AW203,AW204,AW205,AW208,AW226,AW229)-AW135)/(AW60+AU60+AT60+AS60),"")</f>
        <v/>
      </c>
      <c r="AX327" s="219" t="str">
        <f>IFERROR((SUM(AX203,AX204,AX205,AX208,AX226,AX229)-AX135)/(AX60+AW60+AU60+AT60),"")</f>
        <v/>
      </c>
      <c r="AY327" s="219" t="str">
        <f>IFERROR((SUM(AY203,AY204,AY205,AY208,AY226,AY229)-AY135)/(AY60+AX60+AW60+AU60),"")</f>
        <v/>
      </c>
      <c r="AZ327" s="219" t="str">
        <f>IFERROR((SUM(AZ203,AZ204,AZ205,AZ208,AZ226,AZ229)-AZ135)/(AZ60+AY60+AX60+AW60),"")</f>
        <v/>
      </c>
      <c r="BB327" s="219" t="str">
        <f>IFERROR((SUM(BB203,BB204,BB205,BB208,BB226,BB229)-BB135)/(BB60+AZ60+AY60+AX60),"")</f>
        <v/>
      </c>
      <c r="BC327" s="219" t="str">
        <f>IFERROR((SUM(BC203,BC204,BC205,BC208,BC226,BC229)-BC135)/(BC60+BB60+AZ60+AY60),"")</f>
        <v/>
      </c>
      <c r="BD327" s="219" t="str">
        <f>IFERROR((SUM(BD203,BD204,BD205,BD208,BD226,BD229)-BD135)/(BD60+BC60+BB60+AZ60),"")</f>
        <v/>
      </c>
      <c r="BE327" s="219" t="str">
        <f>IFERROR((SUM(BE203,BE204,BE205,BE208,BE226,BE229)-BE135)/(BE60+BD60+BC60+BB60),"")</f>
        <v/>
      </c>
      <c r="BG327" s="219" t="str">
        <f>IFERROR((SUM(BG203,BG204,BG205,BG208,BG226,BG229)-BG135)/(BG60+BE60+BD60+BC60),"")</f>
        <v/>
      </c>
      <c r="BH327" s="219" t="str">
        <f>IFERROR((SUM(BH203,BH204,BH205,BH208,BH226,BH229)-BH135)/(BH60+BG60+BE60+BD60),"")</f>
        <v/>
      </c>
      <c r="BI327" s="219" t="str">
        <f>IFERROR((SUM(BI203,BI204,BI205,BI208,BI226,BI229)-BI135)/(BI60+BH60+BG60+BE60),"")</f>
        <v/>
      </c>
      <c r="BJ327" s="219" t="str">
        <f>IFERROR((SUM(BJ203,BJ204,BJ205,BJ208,BJ226,BJ229)-BJ135)/(BJ60+BI60+BH60+BG60),"")</f>
        <v/>
      </c>
      <c r="BL327" s="219" t="str">
        <f>IFERROR((SUM(BL203,BL204,BL205,BL208,BL226,BL229)-BL135)/(BL60+BJ60+BI60+BH60),"")</f>
        <v/>
      </c>
      <c r="BM327" s="219" t="str">
        <f>IFERROR((SUM(BM203,BM204,BM205,BM208,BM226,BM229)-BM135)/(BM60+BL60+BJ60+BI60),"")</f>
        <v/>
      </c>
      <c r="BN327" s="219" t="str">
        <f>IFERROR((SUM(BN203,BN204,BN205,BN208,BN226,BN229)-BN135)/(BN60+BM60+BL60+BJ60),"")</f>
        <v/>
      </c>
      <c r="BO327" s="219" t="str">
        <f>IFERROR((SUM(BO203,BO204,BO205,BO208,BO226,BO229)-BO135)/(BO60+BN60+BM60+BL60),"")</f>
        <v/>
      </c>
      <c r="BQ327" s="219" t="str">
        <f>IFERROR((SUM(BQ203,BQ204,BQ205,BQ208,BQ226,BQ229)-BQ135)/(BQ60+BO60+BN60+BM60),"")</f>
        <v/>
      </c>
      <c r="BR327" s="219" t="str">
        <f>IFERROR((SUM(BR203,BR204,BR205,BR208,BR226,BR229)-BR135)/(BR60+BQ60+BO60+BN60),"")</f>
        <v/>
      </c>
      <c r="BS327" s="219" t="str">
        <f>IFERROR((SUM(BS203,BS204,BS205,BS208,BS226,BS229)-BS135)/(BS60+BR60+BQ60+BO60),"")</f>
        <v/>
      </c>
      <c r="BT327" s="219" t="str">
        <f>IFERROR((SUM(BT203,BT204,BT205,BT208,BT226,BT229)-BT135)/(BT60+BS60+BR60+BQ60),"")</f>
        <v/>
      </c>
      <c r="BV327" s="219" t="str">
        <f>IFERROR((SUM(BV203,BV204,BV205,BV208,BV226,BV229)-BV135)/(BV60+BT60+BS60+BR60),"")</f>
        <v/>
      </c>
      <c r="BW327" s="219" t="str">
        <f>IFERROR((SUM(BW203,BW204,BW205,BW208,BW226,BW229)-BW135)/(BW60+BV60+BT60+BS60),"")</f>
        <v/>
      </c>
      <c r="BX327" s="219" t="str">
        <f>IFERROR((SUM(BX203,BX204,BX205,BX208,BX226,BX229)-BX135)/(BX60+BW60+BV60+BT60),"")</f>
        <v/>
      </c>
      <c r="BY327" s="219" t="str">
        <f>IFERROR((SUM(BY203,BY204,BY205,BY208,BY226,BY229)-BY135)/(BY60+BX60+BW60+BV60),"")</f>
        <v/>
      </c>
      <c r="CA327" s="219" t="str">
        <f>IFERROR((SUM(CA203,CA204,CA205,CA208,CA226,CA229)-CA135)/(CA60+BY60+BX60+BW60),"")</f>
        <v/>
      </c>
      <c r="CB327" s="219" t="str">
        <f>IFERROR((SUM(CB203,CB204,CB205,CB208,CB226,CB229)-CB135)/(CB60+CA60+BY60+BX60),"")</f>
        <v/>
      </c>
      <c r="CC327" s="219" t="str">
        <f>IFERROR((SUM(CC203,CC204,CC205,CC208,CC226,CC229)-CC135)/(CC60+CB60+CA60+BY60),"")</f>
        <v/>
      </c>
      <c r="CD327" s="219" t="str">
        <f>IFERROR((SUM(CD203,CD204,CD205,CD208,CD226,CD229)-CD135)/(CD60+CC60+CB60+CA60),"")</f>
        <v/>
      </c>
      <c r="CF327" s="219" t="str">
        <f>IFERROR((SUM(CF203,CF204,CF205,CF208,CF226,CF229)-CF135)/(CF60+CD60+CC60+CB60),"")</f>
        <v/>
      </c>
      <c r="CG327" s="219" t="str">
        <f>IFERROR((SUM(CG203,CG204,CG205,CG208,CG226,CG229)-CG135)/(CG60+CF60+CD60+CC60),"")</f>
        <v/>
      </c>
      <c r="CH327" s="219" t="str">
        <f>IFERROR((SUM(CH203,CH204,CH205,CH208,CH226,CH229)-CH135)/(CH60+CG60+CF60+CD60),"")</f>
        <v/>
      </c>
      <c r="CI327" s="219" t="str">
        <f>IFERROR((SUM(CI203,CI204,CI205,CI208,CI226,CI229)-CI135)/(CI60+CH60+CG60+CF60),"")</f>
        <v/>
      </c>
      <c r="CK327" s="219" t="str">
        <f>IFERROR((SUM(CK203,CK204,CK205,CK208,CK226,CK229)-CK135)/(CK60+CI60+CH60+CG60),"")</f>
        <v/>
      </c>
      <c r="CL327" s="219" t="str">
        <f>IFERROR((SUM(CL203,CL204,CL205,CL208,CL226,CL229)-CL135)/(CL60+CK60+CI60+CH60),"")</f>
        <v/>
      </c>
      <c r="CM327" s="219" t="str">
        <f>IFERROR((SUM(CM203,CM204,CM205,CM208,CM226,CM229)-CM135)/(CM60+CL60+CK60+CI60),"")</f>
        <v/>
      </c>
      <c r="CN327" s="219" t="str">
        <f>IFERROR((SUM(CN203,CN204,CN205,CN208,CN226,CN229)-CN135)/(CN60+CM60+CL60+CK60),"")</f>
        <v/>
      </c>
      <c r="CP327" s="219" t="str">
        <f>IFERROR((SUM(CP203,CP204,CP205,CP208,CP226,CP229)-CP135)/(CP60+CN60+CM60+CL60),"")</f>
        <v/>
      </c>
      <c r="CQ327" s="219" t="str">
        <f>IFERROR((SUM(CQ203,CQ204,CQ205,CQ208,CQ226,CQ229)-CQ135)/(CQ60+CP60+CN60+CM60),"")</f>
        <v/>
      </c>
      <c r="CR327" s="219" t="str">
        <f>IFERROR((SUM(CR203,CR204,CR205,CR208,CR226,CR229)-CR135)/(CR60+CQ60+CP60+CN60),"")</f>
        <v/>
      </c>
      <c r="CS327" s="219" t="str">
        <f>IFERROR((SUM(CS203,CS204,CS205,CS208,CS226,CS229)-CS135)/(CS60+CR60+CQ60+CP60),"")</f>
        <v/>
      </c>
      <c r="CU327" s="219" t="str">
        <f>IFERROR((SUM(CU203,CU204,CU205,CU208,CU226,CU229)-CU135)/(CU60+CS60+CR60+CQ60),"")</f>
        <v/>
      </c>
      <c r="CV327" s="219" t="str">
        <f>IFERROR((SUM(CV203,CV204,CV205,CV208,CV226,CV229)-CV135)/(CV60+CU60+CS60+CR60),"")</f>
        <v/>
      </c>
      <c r="CW327" s="219" t="str">
        <f>IFERROR((SUM(CW203,CW204,CW205,CW208,CW226,CW229)-CW135)/(CW60+CV60+CU60+CS60),"")</f>
        <v/>
      </c>
      <c r="CX327" s="219" t="str">
        <f>IFERROR((SUM(CX203,CX204,CX205,CX208,CX226,CX229)-CX135)/(CX60+CW60+CV60+CU60),"")</f>
        <v/>
      </c>
    </row>
    <row r="328" customFormat="1" s="233">
      <c r="A328" s="224" t="n"/>
      <c r="B328" s="224" t="n"/>
      <c r="C328" s="237" t="inlineStr">
        <is>
          <t>NET DEBT (EX IFRS 16) / EBITDA LTM</t>
        </is>
      </c>
      <c r="D328" s="219" t="str">
        <f>""</f>
        <v/>
      </c>
      <c r="E328" s="219" t="str">
        <f>""</f>
        <v/>
      </c>
      <c r="F328" s="219" t="str">
        <f>""</f>
        <v/>
      </c>
      <c r="G328" s="219">
        <f>IFERROR((SUM(G203,G204,G208,G229)-G135)/(G60+F60+E60+D60),"")</f>
        <v>0.906885443929938</v>
      </c>
      <c r="I328" s="219">
        <f>IFERROR((SUM(I203,I204,I208,I229)-I135)/(I60+G60+F60+E60),"")</f>
        <v>0.920331039984046</v>
      </c>
      <c r="J328" s="219">
        <f>IFERROR((SUM(J203,J204,J208,J229)-J135)/(J60+I60+G60+F60),"")</f>
        <v>0.927573312340091</v>
      </c>
      <c r="K328" s="219">
        <f>IFERROR((SUM(K203,K204,K208,K229)-K135)/(K60+J60+I60+G60),"")</f>
        <v>0.86704137997868</v>
      </c>
      <c r="L328" s="219">
        <f>IFERROR((SUM(L203,L204,L208,L229)-L135)/(L60+K60+J60+I60),"")</f>
        <v>0.769714885095833</v>
      </c>
      <c r="N328" s="219">
        <f>IFERROR((SUM(N203,N204,N208,N229)-N135)/(N60+L60+K60+J60),"")</f>
        <v>0.954158928745968</v>
      </c>
      <c r="O328" s="219">
        <f>IFERROR((SUM(O203,O204,O208,O229)-O135)/(O60+N60+L60+K60),"")</f>
        <v>0.985815602836879</v>
      </c>
      <c r="P328" s="219">
        <f>IFERROR((SUM(P203,P204,P208,P229)-P135)/(P60+O60+N60+L60),"")</f>
        <v>0.919715447154472</v>
      </c>
      <c r="Q328" s="219">
        <f>IFERROR((SUM(Q203,Q204,Q208,Q229)-Q135)/(Q60+P60+O60+N60),"")</f>
        <v>1.32095980311731</v>
      </c>
      <c r="S328" s="219">
        <f>IFERROR((SUM(S203,S204,S208,S229)-S135)/(S60+Q60+P60+O60),"")</f>
        <v>1.33576938692651</v>
      </c>
      <c r="T328" s="219">
        <f>IFERROR((SUM(T203,T204,T208,T229)-T135)/(T60+S60+Q60+P60),"")</f>
        <v>1.38512231652521</v>
      </c>
      <c r="U328" s="219">
        <f>IFERROR((SUM(U203,U204,U208,U229)-U135)/(U60+T60+S60+Q60),"")</f>
        <v>1.39005524861878</v>
      </c>
      <c r="V328" s="219">
        <f>IFERROR((SUM(V203,V204,V208,V229)-V135)/(V60+U60+T60+S60),"")</f>
        <v>1.61185468451243</v>
      </c>
      <c r="X328" s="219">
        <f>IFERROR((SUM(X203,X204,X208,X229)-X135)/(X60+V60+U60+T60),"")</f>
        <v>1.67031642390758</v>
      </c>
      <c r="Y328" s="219">
        <f>IFERROR((SUM(Y203,Y204,Y208,Y229)-Y135)/(Y60+X60+V60+U60),"")</f>
        <v>1.67457220054038</v>
      </c>
      <c r="Z328" s="219">
        <f>IFERROR((SUM(Z203,Z204,Z208,Z229)-Z135)/(Z60+Y60+X60+V60),"")</f>
        <v>1.59609120521173</v>
      </c>
      <c r="AA328" s="219">
        <f>IFERROR((SUM(AA203,AA204,AA208,AA229)-AA135)/(AA60+Z60+Y60+X60),"")</f>
        <v>2.07501166588894</v>
      </c>
      <c r="AC328" s="219">
        <f>IFERROR((SUM(AC203,AC204,AC208,AC229)-AC135)/(AC60+AA60+Z60+Y60),"")</f>
        <v>2.06461332440576</v>
      </c>
      <c r="AD328" s="219">
        <f>IFERROR((SUM(AD203,AD204,AD208,AD229)-AD135)/(AD60+AC60+AA60+Z60),"")</f>
        <v>2.67662149717143</v>
      </c>
      <c r="AE328" s="219">
        <f>IFERROR((SUM(AE203,AE204,AE208,AE229)-AE135)/(AE60+AD60+AC60+AA60),"")</f>
        <v>2.40635043064661</v>
      </c>
      <c r="AF328" s="219">
        <f>IFERROR((SUM(AF203,AF204,AF208,AF229)-AF135)/(AF60+AE60+AD60+AC60),"")</f>
        <v>1.86653217243576</v>
      </c>
      <c r="AH328" s="219">
        <f>IFERROR((SUM(AH203,AH204,AH208,AH229)-AH135)/(AH60+AF60+AE60+AD60),"")</f>
        <v>2.06399560922064</v>
      </c>
      <c r="AI328" s="219">
        <f>IFERROR((SUM(AI203,AI204,AI208,AI229)-AI135)/(AI60+AH60+AF60+AE60),"")</f>
        <v>1.54464121010884</v>
      </c>
      <c r="AJ328" s="219">
        <f>IFERROR((SUM(AJ203,AJ204,AJ208,AJ229)-AJ135)/(AJ60+AI60+AH60+AF60),"")</f>
        <v>1.86021637570691</v>
      </c>
      <c r="AK328" s="219">
        <f>IFERROR((SUM(AK203,AK204,AK208,AK229)-AK135)/(AK60+AJ60+AI60+AH60),"")</f>
        <v>2.84007490636704</v>
      </c>
      <c r="AM328" s="219" t="str">
        <f>IFERROR((SUM(AM203,AM204,AM208,AM229)-AM135)/(AM60+AK60+AJ60+AI60),"")</f>
        <v/>
      </c>
      <c r="AN328" s="219" t="str">
        <f>IFERROR((SUM(AN203,AN204,AN208,AN229)-AN135)/(AN60+AM60+AK60+AJ60),"")</f>
        <v/>
      </c>
      <c r="AO328" s="219" t="str">
        <f>IFERROR((SUM(AO203,AO204,AO208,AO229)-AO135)/(AO60+AN60+AM60+AK60),"")</f>
        <v/>
      </c>
      <c r="AP328" s="219" t="str">
        <f>IFERROR((SUM(AP203,AP204,AP208,AP229)-AP135)/(AP60+AO60+AN60+AM60),"")</f>
        <v/>
      </c>
      <c r="AR328" s="219" t="str">
        <f>IFERROR((SUM(AR203,AR204,AR208,AR229)-AR135)/(AR60+AP60+AO60+AN60),"")</f>
        <v/>
      </c>
      <c r="AS328" s="219" t="str">
        <f>IFERROR((SUM(AS203,AS204,AS208,AS229)-AS135)/(AS60+AR60+AP60+AO60),"")</f>
        <v/>
      </c>
      <c r="AT328" s="219" t="str">
        <f>IFERROR((SUM(AT203,AT204,AT208,AT229)-AT135)/(AT60+AS60+AR60+AP60),"")</f>
        <v/>
      </c>
      <c r="AU328" s="219" t="str">
        <f>IFERROR((SUM(AU203,AU204,AU208,AU229)-AU135)/(AU60+AT60+AS60+AR60),"")</f>
        <v/>
      </c>
      <c r="AW328" s="219" t="str">
        <f>IFERROR((SUM(AW203,AW204,AW208,AW229)-AW135)/(AW60+AU60+AT60+AS60),"")</f>
        <v/>
      </c>
      <c r="AX328" s="219" t="str">
        <f>IFERROR((SUM(AX203,AX204,AX208,AX229)-AX135)/(AX60+AW60+AU60+AT60),"")</f>
        <v/>
      </c>
      <c r="AY328" s="219" t="str">
        <f>IFERROR((SUM(AY203,AY204,AY208,AY229)-AY135)/(AY60+AX60+AW60+AU60),"")</f>
        <v/>
      </c>
      <c r="AZ328" s="219" t="str">
        <f>IFERROR((SUM(AZ203,AZ204,AZ208,AZ229)-AZ135)/(AZ60+AY60+AX60+AW60),"")</f>
        <v/>
      </c>
      <c r="BB328" s="219" t="str">
        <f>IFERROR((SUM(BB203,BB204,BB208,BB229)-BB135)/(BB60+AZ60+AY60+AX60),"")</f>
        <v/>
      </c>
      <c r="BC328" s="219" t="str">
        <f>IFERROR((SUM(BC203,BC204,BC208,BC229)-BC135)/(BC60+BB60+AZ60+AY60),"")</f>
        <v/>
      </c>
      <c r="BD328" s="219" t="str">
        <f>IFERROR((SUM(BD203,BD204,BD208,BD229)-BD135)/(BD60+BC60+BB60+AZ60),"")</f>
        <v/>
      </c>
      <c r="BE328" s="219" t="str">
        <f>IFERROR((SUM(BE203,BE204,BE208,BE229)-BE135)/(BE60+BD60+BC60+BB60),"")</f>
        <v/>
      </c>
      <c r="BG328" s="219" t="str">
        <f>IFERROR((SUM(BG203,BG204,BG208,BG229)-BG135)/(BG60+BE60+BD60+BC60),"")</f>
        <v/>
      </c>
      <c r="BH328" s="219" t="str">
        <f>IFERROR((SUM(BH203,BH204,BH208,BH229)-BH135)/(BH60+BG60+BE60+BD60),"")</f>
        <v/>
      </c>
      <c r="BI328" s="219" t="str">
        <f>IFERROR((SUM(BI203,BI204,BI208,BI229)-BI135)/(BI60+BH60+BG60+BE60),"")</f>
        <v/>
      </c>
      <c r="BJ328" s="219" t="str">
        <f>IFERROR((SUM(BJ203,BJ204,BJ208,BJ229)-BJ135)/(BJ60+BI60+BH60+BG60),"")</f>
        <v/>
      </c>
      <c r="BL328" s="219" t="str">
        <f>IFERROR((SUM(BL203,BL204,BL208,BL229)-BL135)/(BL60+BJ60+BI60+BH60),"")</f>
        <v/>
      </c>
      <c r="BM328" s="219" t="str">
        <f>IFERROR((SUM(BM203,BM204,BM208,BM229)-BM135)/(BM60+BL60+BJ60+BI60),"")</f>
        <v/>
      </c>
      <c r="BN328" s="219" t="str">
        <f>IFERROR((SUM(BN203,BN204,BN208,BN229)-BN135)/(BN60+BM60+BL60+BJ60),"")</f>
        <v/>
      </c>
      <c r="BO328" s="219" t="str">
        <f>IFERROR((SUM(BO203,BO204,BO208,BO229)-BO135)/(BO60+BN60+BM60+BL60),"")</f>
        <v/>
      </c>
      <c r="BQ328" s="219" t="str">
        <f>IFERROR((SUM(BQ203,BQ204,BQ208,BQ229)-BQ135)/(BQ60+BO60+BN60+BM60),"")</f>
        <v/>
      </c>
      <c r="BR328" s="219" t="str">
        <f>IFERROR((SUM(BR203,BR204,BR208,BR229)-BR135)/(BR60+BQ60+BO60+BN60),"")</f>
        <v/>
      </c>
      <c r="BS328" s="219" t="str">
        <f>IFERROR((SUM(BS203,BS204,BS208,BS229)-BS135)/(BS60+BR60+BQ60+BO60),"")</f>
        <v/>
      </c>
      <c r="BT328" s="219" t="str">
        <f>IFERROR((SUM(BT203,BT204,BT208,BT229)-BT135)/(BT60+BS60+BR60+BQ60),"")</f>
        <v/>
      </c>
      <c r="BV328" s="219" t="str">
        <f>IFERROR((SUM(BV203,BV204,BV208,BV229)-BV135)/(BV60+BT60+BS60+BR60),"")</f>
        <v/>
      </c>
      <c r="BW328" s="219" t="str">
        <f>IFERROR((SUM(BW203,BW204,BW208,BW229)-BW135)/(BW60+BV60+BT60+BS60),"")</f>
        <v/>
      </c>
      <c r="BX328" s="219" t="str">
        <f>IFERROR((SUM(BX203,BX204,BX208,BX229)-BX135)/(BX60+BW60+BV60+BT60),"")</f>
        <v/>
      </c>
      <c r="BY328" s="219" t="str">
        <f>IFERROR((SUM(BY203,BY204,BY208,BY229)-BY135)/(BY60+BX60+BW60+BV60),"")</f>
        <v/>
      </c>
      <c r="CA328" s="219" t="str">
        <f>IFERROR((SUM(CA203,CA204,CA208,CA229)-CA135)/(CA60+BY60+BX60+BW60),"")</f>
        <v/>
      </c>
      <c r="CB328" s="219" t="str">
        <f>IFERROR((SUM(CB203,CB204,CB208,CB229)-CB135)/(CB60+CA60+BY60+BX60),"")</f>
        <v/>
      </c>
      <c r="CC328" s="219" t="str">
        <f>IFERROR((SUM(CC203,CC204,CC208,CC229)-CC135)/(CC60+CB60+CA60+BY60),"")</f>
        <v/>
      </c>
      <c r="CD328" s="219" t="str">
        <f>IFERROR((SUM(CD203,CD204,CD208,CD229)-CD135)/(CD60+CC60+CB60+CA60),"")</f>
        <v/>
      </c>
      <c r="CF328" s="219" t="str">
        <f>IFERROR((SUM(CF203,CF204,CF208,CF229)-CF135)/(CF60+CD60+CC60+CB60),"")</f>
        <v/>
      </c>
      <c r="CG328" s="219" t="str">
        <f>IFERROR((SUM(CG203,CG204,CG208,CG229)-CG135)/(CG60+CF60+CD60+CC60),"")</f>
        <v/>
      </c>
      <c r="CH328" s="219" t="str">
        <f>IFERROR((SUM(CH203,CH204,CH208,CH229)-CH135)/(CH60+CG60+CF60+CD60),"")</f>
        <v/>
      </c>
      <c r="CI328" s="219" t="str">
        <f>IFERROR((SUM(CI203,CI204,CI208,CI229)-CI135)/(CI60+CH60+CG60+CF60),"")</f>
        <v/>
      </c>
      <c r="CK328" s="219" t="str">
        <f>IFERROR((SUM(CK203,CK204,CK208,CK229)-CK135)/(CK60+CI60+CH60+CG60),"")</f>
        <v/>
      </c>
      <c r="CL328" s="219" t="str">
        <f>IFERROR((SUM(CL203,CL204,CL208,CL229)-CL135)/(CL60+CK60+CI60+CH60),"")</f>
        <v/>
      </c>
      <c r="CM328" s="219" t="str">
        <f>IFERROR((SUM(CM203,CM204,CM208,CM229)-CM135)/(CM60+CL60+CK60+CI60),"")</f>
        <v/>
      </c>
      <c r="CN328" s="219" t="str">
        <f>IFERROR((SUM(CN203,CN204,CN208,CN229)-CN135)/(CN60+CM60+CL60+CK60),"")</f>
        <v/>
      </c>
      <c r="CP328" s="219" t="str">
        <f>IFERROR((SUM(CP203,CP204,CP208,CP229)-CP135)/(CP60+CN60+CM60+CL60),"")</f>
        <v/>
      </c>
      <c r="CQ328" s="219" t="str">
        <f>IFERROR((SUM(CQ203,CQ204,CQ208,CQ229)-CQ135)/(CQ60+CP60+CN60+CM60),"")</f>
        <v/>
      </c>
      <c r="CR328" s="219" t="str">
        <f>IFERROR((SUM(CR203,CR204,CR208,CR229)-CR135)/(CR60+CQ60+CP60+CN60),"")</f>
        <v/>
      </c>
      <c r="CS328" s="219" t="str">
        <f>IFERROR((SUM(CS203,CS204,CS208,CS229)-CS135)/(CS60+CR60+CQ60+CP60),"")</f>
        <v/>
      </c>
      <c r="CU328" s="219" t="str">
        <f>IFERROR((SUM(CU203,CU204,CU208,CU229)-CU135)/(CU60+CS60+CR60+CQ60),"")</f>
        <v/>
      </c>
      <c r="CV328" s="219" t="str">
        <f>IFERROR((SUM(CV203,CV204,CV208,CV229)-CV135)/(CV60+CU60+CS60+CR60),"")</f>
        <v/>
      </c>
      <c r="CW328" s="219" t="str">
        <f>IFERROR((SUM(CW203,CW204,CW208,CW229)-CW135)/(CW60+CV60+CU60+CS60),"")</f>
        <v/>
      </c>
      <c r="CX328" s="219" t="str">
        <f>IFERROR((SUM(CX203,CX204,CX208,CX229)-CX135)/(CX60+CW60+CV60+CU60),"")</f>
        <v/>
      </c>
    </row>
    <row r="329" customFormat="1" s="233">
      <c r="A329" s="224" t="n"/>
      <c r="B329" s="224" t="n"/>
      <c r="C329" s="233" t="inlineStr">
        <is>
          <t>INTEREST COVERAGE</t>
        </is>
      </c>
      <c r="D329" s="219">
        <f>D64/-D65</f>
        <v>14.3378378378378</v>
      </c>
      <c r="E329" s="219">
        <f>E64/-E65</f>
        <v>14</v>
      </c>
      <c r="F329" s="219">
        <f>F64/-F65</f>
        <v>14.8068965517241</v>
      </c>
      <c r="G329" s="219">
        <f>G64/-G65</f>
        <v>15.3624161073826</v>
      </c>
      <c r="I329" s="219">
        <f>I64/-I65</f>
        <v>15.5857142857143</v>
      </c>
      <c r="J329" s="219">
        <f>J64/-J65</f>
        <v>15.4366197183099</v>
      </c>
      <c r="K329" s="219">
        <f>K64/-K65</f>
        <v>16.2695035460993</v>
      </c>
      <c r="L329" s="219">
        <f>L64/-L65</f>
        <v>16.8150684931507</v>
      </c>
      <c r="N329" s="219">
        <f>N64/-N65</f>
        <v>14.3185185185185</v>
      </c>
      <c r="O329" s="219">
        <f>O64/-O65</f>
        <v>13.9219858156028</v>
      </c>
      <c r="P329" s="219">
        <f>P64/-P65</f>
        <v>14.8896551724138</v>
      </c>
      <c r="Q329" s="219">
        <f>Q64/-Q65</f>
        <v>11.3514851485149</v>
      </c>
      <c r="S329" s="219">
        <f>S64/-S65</f>
        <v>10.0841584158416</v>
      </c>
      <c r="T329" s="219">
        <f>T64/-T65</f>
        <v>9.57399103139013</v>
      </c>
      <c r="U329" s="219">
        <f>U64/-U65</f>
        <v>8.61603375527426</v>
      </c>
      <c r="V329" s="219">
        <f>V64/-V65</f>
        <v>9.02755905511811</v>
      </c>
      <c r="X329" s="219">
        <f>X64/-X65</f>
        <v>7.95686274509804</v>
      </c>
      <c r="Y329" s="219">
        <f>Y64/-Y65</f>
        <v>8.22988505747127</v>
      </c>
      <c r="Z329" s="219">
        <f>Z64/-Z65</f>
        <v>8.359375</v>
      </c>
      <c r="AA329" s="219">
        <f>AA64/-AA65</f>
        <v>2.63636363636364</v>
      </c>
      <c r="AC329" s="219">
        <f>AC64/-AC65</f>
        <v>8.85074626865672</v>
      </c>
      <c r="AD329" s="219">
        <f>AD64/-AD65</f>
        <v>2.72992700729927</v>
      </c>
      <c r="AE329" s="219">
        <f>AE64/-AE65</f>
        <v>7.97202797202797</v>
      </c>
      <c r="AF329" s="219">
        <f>AF64/-AF65</f>
        <v>8.03793103448276</v>
      </c>
      <c r="AH329" s="219">
        <f>AH64/-AH65</f>
        <v>7.66914498141264</v>
      </c>
      <c r="AI329" s="219">
        <f>AI64/-AI65</f>
        <v>9.31954887218045</v>
      </c>
      <c r="AJ329" s="219" t="e">
        <f>AJ64/-AJ65</f>
        <v>#DIV/0!</v>
      </c>
      <c r="AK329" s="219" t="e">
        <f>AK64/-AK65</f>
        <v>#DIV/0!</v>
      </c>
      <c r="AM329" s="219" t="e">
        <f>AM64/-AM65</f>
        <v>#DIV/0!</v>
      </c>
      <c r="AN329" s="219" t="e">
        <f>AN64/-AN65</f>
        <v>#DIV/0!</v>
      </c>
      <c r="AO329" s="219" t="e">
        <f>AO64/-AO65</f>
        <v>#DIV/0!</v>
      </c>
      <c r="AP329" s="219" t="e">
        <f>AP64/-AP65</f>
        <v>#DIV/0!</v>
      </c>
      <c r="AR329" s="219" t="e">
        <f>AR64/-AR65</f>
        <v>#DIV/0!</v>
      </c>
      <c r="AS329" s="219" t="e">
        <f>AS64/-AS65</f>
        <v>#DIV/0!</v>
      </c>
      <c r="AT329" s="219" t="e">
        <f>AT64/-AT65</f>
        <v>#DIV/0!</v>
      </c>
      <c r="AU329" s="219" t="e">
        <f>AU64/-AU65</f>
        <v>#DIV/0!</v>
      </c>
      <c r="AW329" s="219" t="e">
        <f>AW64/-AW65</f>
        <v>#DIV/0!</v>
      </c>
      <c r="AX329" s="219" t="e">
        <f>AX64/-AX65</f>
        <v>#DIV/0!</v>
      </c>
      <c r="AY329" s="219" t="e">
        <f>AY64/-AY65</f>
        <v>#DIV/0!</v>
      </c>
      <c r="AZ329" s="219" t="e">
        <f>AZ64/-AZ65</f>
        <v>#DIV/0!</v>
      </c>
      <c r="BB329" s="219" t="e">
        <f>BB64/-BB65</f>
        <v>#DIV/0!</v>
      </c>
      <c r="BC329" s="219" t="e">
        <f>BC64/-BC65</f>
        <v>#DIV/0!</v>
      </c>
      <c r="BD329" s="219" t="e">
        <f>BD64/-BD65</f>
        <v>#DIV/0!</v>
      </c>
      <c r="BE329" s="219" t="e">
        <f>BE64/-BE65</f>
        <v>#DIV/0!</v>
      </c>
      <c r="BG329" s="219" t="e">
        <f>BG64/-BG65</f>
        <v>#DIV/0!</v>
      </c>
      <c r="BH329" s="219" t="e">
        <f>BH64/-BH65</f>
        <v>#DIV/0!</v>
      </c>
      <c r="BI329" s="219" t="e">
        <f>BI64/-BI65</f>
        <v>#DIV/0!</v>
      </c>
      <c r="BJ329" s="219" t="e">
        <f>BJ64/-BJ65</f>
        <v>#DIV/0!</v>
      </c>
      <c r="BL329" s="219" t="e">
        <f>BL64/-BL65</f>
        <v>#DIV/0!</v>
      </c>
      <c r="BM329" s="219" t="e">
        <f>BM64/-BM65</f>
        <v>#DIV/0!</v>
      </c>
      <c r="BN329" s="219" t="e">
        <f>BN64/-BN65</f>
        <v>#DIV/0!</v>
      </c>
      <c r="BO329" s="219" t="e">
        <f>BO64/-BO65</f>
        <v>#DIV/0!</v>
      </c>
      <c r="BQ329" s="219" t="e">
        <f>BQ64/-BQ65</f>
        <v>#DIV/0!</v>
      </c>
      <c r="BR329" s="219" t="e">
        <f>BR64/-BR65</f>
        <v>#DIV/0!</v>
      </c>
      <c r="BS329" s="219" t="e">
        <f>BS64/-BS65</f>
        <v>#DIV/0!</v>
      </c>
      <c r="BT329" s="219" t="e">
        <f>BT64/-BT65</f>
        <v>#DIV/0!</v>
      </c>
      <c r="BV329" s="219" t="e">
        <f>BV64/-BV65</f>
        <v>#DIV/0!</v>
      </c>
      <c r="BW329" s="219" t="e">
        <f>BW64/-BW65</f>
        <v>#DIV/0!</v>
      </c>
      <c r="BX329" s="219" t="e">
        <f>BX64/-BX65</f>
        <v>#DIV/0!</v>
      </c>
      <c r="BY329" s="219" t="e">
        <f>BY64/-BY65</f>
        <v>#DIV/0!</v>
      </c>
      <c r="CA329" s="219" t="e">
        <f>CA64/-CA65</f>
        <v>#DIV/0!</v>
      </c>
      <c r="CB329" s="219" t="e">
        <f>CB64/-CB65</f>
        <v>#DIV/0!</v>
      </c>
      <c r="CC329" s="219" t="e">
        <f>CC64/-CC65</f>
        <v>#DIV/0!</v>
      </c>
      <c r="CD329" s="219" t="e">
        <f>CD64/-CD65</f>
        <v>#DIV/0!</v>
      </c>
      <c r="CF329" s="219" t="e">
        <f>CF64/-CF65</f>
        <v>#DIV/0!</v>
      </c>
      <c r="CG329" s="219" t="e">
        <f>CG64/-CG65</f>
        <v>#DIV/0!</v>
      </c>
      <c r="CH329" s="219" t="e">
        <f>CH64/-CH65</f>
        <v>#DIV/0!</v>
      </c>
      <c r="CI329" s="219" t="e">
        <f>CI64/-CI65</f>
        <v>#DIV/0!</v>
      </c>
      <c r="CK329" s="219" t="e">
        <f>CK64/-CK65</f>
        <v>#DIV/0!</v>
      </c>
      <c r="CL329" s="219" t="e">
        <f>CL64/-CL65</f>
        <v>#DIV/0!</v>
      </c>
      <c r="CM329" s="219" t="e">
        <f>CM64/-CM65</f>
        <v>#DIV/0!</v>
      </c>
      <c r="CN329" s="219" t="e">
        <f>CN64/-CN65</f>
        <v>#DIV/0!</v>
      </c>
      <c r="CP329" s="219" t="e">
        <f>CP64/-CP65</f>
        <v>#DIV/0!</v>
      </c>
      <c r="CQ329" s="219" t="e">
        <f>CQ64/-CQ65</f>
        <v>#DIV/0!</v>
      </c>
      <c r="CR329" s="219" t="e">
        <f>CR64/-CR65</f>
        <v>#DIV/0!</v>
      </c>
      <c r="CS329" s="219" t="e">
        <f>CS64/-CS65</f>
        <v>#DIV/0!</v>
      </c>
      <c r="CU329" s="219" t="e">
        <f>CU64/-CU65</f>
        <v>#DIV/0!</v>
      </c>
      <c r="CV329" s="219" t="e">
        <f>CV64/-CV65</f>
        <v>#DIV/0!</v>
      </c>
      <c r="CW329" s="219" t="e">
        <f>CW64/-CW65</f>
        <v>#DIV/0!</v>
      </c>
      <c r="CX329" s="219" t="e">
        <f>CX64/-CX65</f>
        <v>#DIV/0!</v>
      </c>
    </row>
    <row r="330" customFormat="1" s="233">
      <c r="A330" s="224" t="n"/>
      <c r="B330" s="224" t="n"/>
    </row>
    <row r="331" customFormat="1" s="233">
      <c r="A331" s="224" t="n"/>
      <c r="B331" s="224" t="n"/>
      <c r="C331" s="234" t="inlineStr">
        <is>
          <t>INTERNAL LIQUIDITY</t>
        </is>
      </c>
    </row>
    <row r="332" customFormat="1" s="233">
      <c r="A332" s="224" t="n"/>
      <c r="B332" s="224" t="n"/>
      <c r="C332" s="233" t="inlineStr">
        <is>
          <t>CURRENT RATIO</t>
        </is>
      </c>
      <c r="D332" s="219">
        <f>SUM(D135,D136,D140,D144,D145,D146)/SUM(D189,D193,D195,D196)</f>
        <v>1.55436744896542</v>
      </c>
      <c r="E332" s="219">
        <f>SUM(E135,E136,E140,E144,E145,E146)/SUM(E189,E193,E195,E196)</f>
        <v>1.57749513483458</v>
      </c>
      <c r="F332" s="219">
        <f>SUM(F135,F136,F140,F144,F145,F146)/SUM(F189,F193,F195,F196)</f>
        <v>1.65396803042039</v>
      </c>
      <c r="G332" s="219">
        <f>SUM(G135,G136,G140,G144,G145,G146)/SUM(G189,G193,G195,G196)</f>
        <v>1.70125809573439</v>
      </c>
      <c r="I332" s="219">
        <f>SUM(I135,I136,I140,I144,I145,I146)/SUM(I189,I193,I195,I196)</f>
        <v>1.66258532123003</v>
      </c>
      <c r="J332" s="219">
        <f>SUM(J135,J136,J140,J144,J145,J146)/SUM(J189,J193,J195,J196)</f>
        <v>1.63212540716612</v>
      </c>
      <c r="K332" s="219">
        <f>SUM(K135,K136,K140,K144,K145,K146)/SUM(K189,K193,K195,K196)</f>
        <v>1.59926764314248</v>
      </c>
      <c r="L332" s="219">
        <f>SUM(L135,L136,L140,L144,L145,L146)/SUM(L189,L193,L195,L196)</f>
        <v>1.57994424987492</v>
      </c>
      <c r="N332" s="219">
        <f>SUM(N135,N136,N140,N144,N145,N146)/SUM(N189,N193,N195,N196)</f>
        <v>1.48440213546022</v>
      </c>
      <c r="O332" s="219">
        <f>SUM(O135,O136,O140,O144,O145,O146)/SUM(O189,O193,O195,O196)</f>
        <v>1.43534195036107</v>
      </c>
      <c r="P332" s="219">
        <f>SUM(P135,P136,P140,P144,P145,P146)/SUM(P189,P193,P195,P196)</f>
        <v>1.47280846638527</v>
      </c>
      <c r="Q332" s="219">
        <f>SUM(Q135,Q136,Q140,Q144,Q145,Q146)/SUM(Q189,Q193,Q195,Q196)</f>
        <v>1.55693334172594</v>
      </c>
      <c r="S332" s="219">
        <f>SUM(S135,S136,S140,S144,S145,S146)/SUM(S189,S193,S195,S196)</f>
        <v>1.56038418213079</v>
      </c>
      <c r="T332" s="219">
        <f>SUM(T135,T136,T140,T144,T145,T146)/SUM(T189,T193,T195,T196)</f>
        <v>1.64198381263992</v>
      </c>
      <c r="U332" s="219">
        <f>SUM(U135,U136,U140,U144,U145,U146)/SUM(U189,U193,U195,U196)</f>
        <v>1.656093979442</v>
      </c>
      <c r="V332" s="219">
        <f>SUM(V135,V136,V140,V144,V145,V146)/SUM(V189,V193,V195,V196)</f>
        <v>1.39984495199475</v>
      </c>
      <c r="X332" s="219">
        <f>SUM(X135,X136,X140,X144,X145,X146)/SUM(X189,X193,X195,X196)</f>
        <v>1.48206035023672</v>
      </c>
      <c r="Y332" s="219">
        <f>SUM(Y135,Y136,Y140,Y144,Y145,Y146)/SUM(Y189,Y193,Y195,Y196)</f>
        <v>1.41937769058907</v>
      </c>
      <c r="Z332" s="219">
        <f>SUM(Z135,Z136,Z140,Z144,Z145,Z146)/SUM(Z189,Z193,Z195,Z196)</f>
        <v>1.48947249264206</v>
      </c>
      <c r="AA332" s="219">
        <f>SUM(AA135,AA136,AA140,AA144,AA145,AA146)/SUM(AA189,AA193,AA195,AA196)</f>
        <v>1.35303829152687</v>
      </c>
      <c r="AC332" s="219">
        <f>SUM(AC135,AC136,AC140,AC144,AC145,AC146)/SUM(AC189,AC193,AC195,AC196)</f>
        <v>1.34921203438395</v>
      </c>
      <c r="AD332" s="219">
        <f>SUM(AD135,AD136,AD140,AD144,AD145,AD146)/SUM(AD189,AD193,AD195,AD196)</f>
        <v>1.32124693915992</v>
      </c>
      <c r="AE332" s="219">
        <f>SUM(AE135,AE136,AE140,AE144,AE145,AE146)/SUM(AE189,AE193,AE195,AE196)</f>
        <v>1.37756395212391</v>
      </c>
      <c r="AF332" s="219">
        <f>SUM(AF135,AF136,AF140,AF144,AF145,AF146)/SUM(AF189,AF193,AF195,AF196)</f>
        <v>1.2783416790725</v>
      </c>
      <c r="AH332" s="219">
        <f>SUM(AH135,AH136,AH140,AH144,AH145,AH146)/SUM(AH189,AH193,AH195,AH196)</f>
        <v>1.27187300428793</v>
      </c>
      <c r="AI332" s="219">
        <f>SUM(AI135,AI136,AI140,AI144,AI145,AI146)/SUM(AI189,AI193,AI195,AI196)</f>
        <v>1.29425847368642</v>
      </c>
      <c r="AJ332" s="219">
        <f>SUM(AJ135,AJ136,AJ140,AJ144,AJ145,AJ146)/SUM(AJ189,AJ193,AJ195,AJ196)</f>
        <v>1.55207350072368</v>
      </c>
      <c r="AK332" s="219">
        <f>SUM(AK135,AK136,AK140,AK144,AK145,AK146)/SUM(AK189,AK193,AK195,AK196)</f>
        <v>1.54987099616135</v>
      </c>
      <c r="AM332" s="219" t="e">
        <f>SUM(AM135,AM136,AM140,AM144,AM145,AM146)/SUM(AM189,AM193,AM195,AM196)</f>
        <v>#DIV/0!</v>
      </c>
      <c r="AN332" s="219" t="e">
        <f>SUM(AN135,AN136,AN140,AN144,AN145,AN146)/SUM(AN189,AN193,AN195,AN196)</f>
        <v>#DIV/0!</v>
      </c>
      <c r="AO332" s="219" t="e">
        <f>SUM(AO135,AO136,AO140,AO144,AO145,AO146)/SUM(AO189,AO193,AO195,AO196)</f>
        <v>#DIV/0!</v>
      </c>
      <c r="AP332" s="219" t="e">
        <f>SUM(AP135,AP136,AP140,AP144,AP145,AP146)/SUM(AP189,AP193,AP195,AP196)</f>
        <v>#DIV/0!</v>
      </c>
      <c r="AR332" s="219" t="e">
        <f>SUM(AR135,AR136,AR140,AR144,AR145,AR146)/SUM(AR189,AR193,AR195,AR196)</f>
        <v>#DIV/0!</v>
      </c>
      <c r="AS332" s="219" t="e">
        <f>SUM(AS135,AS136,AS140,AS144,AS145,AS146)/SUM(AS189,AS193,AS195,AS196)</f>
        <v>#DIV/0!</v>
      </c>
      <c r="AT332" s="219" t="e">
        <f>SUM(AT135,AT136,AT140,AT144,AT145,AT146)/SUM(AT189,AT193,AT195,AT196)</f>
        <v>#DIV/0!</v>
      </c>
      <c r="AU332" s="219" t="e">
        <f>SUM(AU135,AU136,AU140,AU144,AU145,AU146)/SUM(AU189,AU193,AU195,AU196)</f>
        <v>#DIV/0!</v>
      </c>
      <c r="AW332" s="219" t="e">
        <f>SUM(AW135,AW136,AW140,AW144,AW145,AW146)/SUM(AW189,AW193,AW195,AW196)</f>
        <v>#DIV/0!</v>
      </c>
      <c r="AX332" s="219" t="e">
        <f>SUM(AX135,AX136,AX140,AX144,AX145,AX146)/SUM(AX189,AX193,AX195,AX196)</f>
        <v>#DIV/0!</v>
      </c>
      <c r="AY332" s="219" t="e">
        <f>SUM(AY135,AY136,AY140,AY144,AY145,AY146)/SUM(AY189,AY193,AY195,AY196)</f>
        <v>#DIV/0!</v>
      </c>
      <c r="AZ332" s="219" t="e">
        <f>SUM(AZ135,AZ136,AZ140,AZ144,AZ145,AZ146)/SUM(AZ189,AZ193,AZ195,AZ196)</f>
        <v>#DIV/0!</v>
      </c>
      <c r="BB332" s="219" t="e">
        <f>SUM(BB135,BB136,BB140,BB144,BB145,BB146)/SUM(BB189,BB193,BB195,BB196)</f>
        <v>#DIV/0!</v>
      </c>
      <c r="BC332" s="219" t="e">
        <f>SUM(BC135,BC136,BC140,BC144,BC145,BC146)/SUM(BC189,BC193,BC195,BC196)</f>
        <v>#DIV/0!</v>
      </c>
      <c r="BD332" s="219" t="e">
        <f>SUM(BD135,BD136,BD140,BD144,BD145,BD146)/SUM(BD189,BD193,BD195,BD196)</f>
        <v>#DIV/0!</v>
      </c>
      <c r="BE332" s="219" t="e">
        <f>SUM(BE135,BE136,BE140,BE144,BE145,BE146)/SUM(BE189,BE193,BE195,BE196)</f>
        <v>#DIV/0!</v>
      </c>
      <c r="BG332" s="219" t="e">
        <f>SUM(BG135,BG136,BG140,BG144,BG145,BG146)/SUM(BG189,BG193,BG195,BG196)</f>
        <v>#DIV/0!</v>
      </c>
      <c r="BH332" s="219" t="e">
        <f>SUM(BH135,BH136,BH140,BH144,BH145,BH146)/SUM(BH189,BH193,BH195,BH196)</f>
        <v>#DIV/0!</v>
      </c>
      <c r="BI332" s="219" t="e">
        <f>SUM(BI135,BI136,BI140,BI144,BI145,BI146)/SUM(BI189,BI193,BI195,BI196)</f>
        <v>#DIV/0!</v>
      </c>
      <c r="BJ332" s="219" t="e">
        <f>SUM(BJ135,BJ136,BJ140,BJ144,BJ145,BJ146)/SUM(BJ189,BJ193,BJ195,BJ196)</f>
        <v>#DIV/0!</v>
      </c>
      <c r="BL332" s="219" t="e">
        <f>SUM(BL135,BL136,BL140,BL144,BL145,BL146)/SUM(BL189,BL193,BL195,BL196)</f>
        <v>#DIV/0!</v>
      </c>
      <c r="BM332" s="219" t="e">
        <f>SUM(BM135,BM136,BM140,BM144,BM145,BM146)/SUM(BM189,BM193,BM195,BM196)</f>
        <v>#DIV/0!</v>
      </c>
      <c r="BN332" s="219" t="e">
        <f>SUM(BN135,BN136,BN140,BN144,BN145,BN146)/SUM(BN189,BN193,BN195,BN196)</f>
        <v>#DIV/0!</v>
      </c>
      <c r="BO332" s="219" t="e">
        <f>SUM(BO135,BO136,BO140,BO144,BO145,BO146)/SUM(BO189,BO193,BO195,BO196)</f>
        <v>#DIV/0!</v>
      </c>
      <c r="BQ332" s="219" t="e">
        <f>SUM(BQ135,BQ136,BQ140,BQ144,BQ145,BQ146)/SUM(BQ189,BQ193,BQ195,BQ196)</f>
        <v>#DIV/0!</v>
      </c>
      <c r="BR332" s="219" t="e">
        <f>SUM(BR135,BR136,BR140,BR144,BR145,BR146)/SUM(BR189,BR193,BR195,BR196)</f>
        <v>#DIV/0!</v>
      </c>
      <c r="BS332" s="219" t="e">
        <f>SUM(BS135,BS136,BS140,BS144,BS145,BS146)/SUM(BS189,BS193,BS195,BS196)</f>
        <v>#DIV/0!</v>
      </c>
      <c r="BT332" s="219" t="e">
        <f>SUM(BT135,BT136,BT140,BT144,BT145,BT146)/SUM(BT189,BT193,BT195,BT196)</f>
        <v>#DIV/0!</v>
      </c>
      <c r="BV332" s="219" t="e">
        <f>SUM(BV135,BV136,BV140,BV144,BV145,BV146)/SUM(BV189,BV193,BV195,BV196)</f>
        <v>#DIV/0!</v>
      </c>
      <c r="BW332" s="219" t="e">
        <f>SUM(BW135,BW136,BW140,BW144,BW145,BW146)/SUM(BW189,BW193,BW195,BW196)</f>
        <v>#DIV/0!</v>
      </c>
      <c r="BX332" s="219" t="e">
        <f>SUM(BX135,BX136,BX140,BX144,BX145,BX146)/SUM(BX189,BX193,BX195,BX196)</f>
        <v>#DIV/0!</v>
      </c>
      <c r="BY332" s="219" t="e">
        <f>SUM(BY135,BY136,BY140,BY144,BY145,BY146)/SUM(BY189,BY193,BY195,BY196)</f>
        <v>#DIV/0!</v>
      </c>
      <c r="CA332" s="219" t="e">
        <f>SUM(CA135,CA136,CA140,CA144,CA145,CA146)/SUM(CA189,CA193,CA195,CA196)</f>
        <v>#DIV/0!</v>
      </c>
      <c r="CB332" s="219" t="e">
        <f>SUM(CB135,CB136,CB140,CB144,CB145,CB146)/SUM(CB189,CB193,CB195,CB196)</f>
        <v>#DIV/0!</v>
      </c>
      <c r="CC332" s="219" t="e">
        <f>SUM(CC135,CC136,CC140,CC144,CC145,CC146)/SUM(CC189,CC193,CC195,CC196)</f>
        <v>#DIV/0!</v>
      </c>
      <c r="CD332" s="219" t="e">
        <f>SUM(CD135,CD136,CD140,CD144,CD145,CD146)/SUM(CD189,CD193,CD195,CD196)</f>
        <v>#DIV/0!</v>
      </c>
      <c r="CF332" s="219" t="e">
        <f>SUM(CF135,CF136,CF140,CF144,CF145,CF146)/SUM(CF189,CF193,CF195,CF196)</f>
        <v>#DIV/0!</v>
      </c>
      <c r="CG332" s="219" t="e">
        <f>SUM(CG135,CG136,CG140,CG144,CG145,CG146)/SUM(CG189,CG193,CG195,CG196)</f>
        <v>#DIV/0!</v>
      </c>
      <c r="CH332" s="219" t="e">
        <f>SUM(CH135,CH136,CH140,CH144,CH145,CH146)/SUM(CH189,CH193,CH195,CH196)</f>
        <v>#DIV/0!</v>
      </c>
      <c r="CI332" s="219" t="e">
        <f>SUM(CI135,CI136,CI140,CI144,CI145,CI146)/SUM(CI189,CI193,CI195,CI196)</f>
        <v>#DIV/0!</v>
      </c>
      <c r="CK332" s="219" t="e">
        <f>SUM(CK135,CK136,CK140,CK144,CK145,CK146)/SUM(CK189,CK193,CK195,CK196)</f>
        <v>#DIV/0!</v>
      </c>
      <c r="CL332" s="219" t="e">
        <f>SUM(CL135,CL136,CL140,CL144,CL145,CL146)/SUM(CL189,CL193,CL195,CL196)</f>
        <v>#DIV/0!</v>
      </c>
      <c r="CM332" s="219" t="e">
        <f>SUM(CM135,CM136,CM140,CM144,CM145,CM146)/SUM(CM189,CM193,CM195,CM196)</f>
        <v>#DIV/0!</v>
      </c>
      <c r="CN332" s="219" t="e">
        <f>SUM(CN135,CN136,CN140,CN144,CN145,CN146)/SUM(CN189,CN193,CN195,CN196)</f>
        <v>#DIV/0!</v>
      </c>
      <c r="CP332" s="219" t="e">
        <f>SUM(CP135,CP136,CP140,CP144,CP145,CP146)/SUM(CP189,CP193,CP195,CP196)</f>
        <v>#DIV/0!</v>
      </c>
      <c r="CQ332" s="219" t="e">
        <f>SUM(CQ135,CQ136,CQ140,CQ144,CQ145,CQ146)/SUM(CQ189,CQ193,CQ195,CQ196)</f>
        <v>#DIV/0!</v>
      </c>
      <c r="CR332" s="219" t="e">
        <f>SUM(CR135,CR136,CR140,CR144,CR145,CR146)/SUM(CR189,CR193,CR195,CR196)</f>
        <v>#DIV/0!</v>
      </c>
      <c r="CS332" s="219" t="e">
        <f>SUM(CS135,CS136,CS140,CS144,CS145,CS146)/SUM(CS189,CS193,CS195,CS196)</f>
        <v>#DIV/0!</v>
      </c>
      <c r="CU332" s="219" t="e">
        <f>SUM(CU135,CU136,CU140,CU144,CU145,CU146)/SUM(CU189,CU193,CU195,CU196)</f>
        <v>#DIV/0!</v>
      </c>
      <c r="CV332" s="219" t="e">
        <f>SUM(CV135,CV136,CV140,CV144,CV145,CV146)/SUM(CV189,CV193,CV195,CV196)</f>
        <v>#DIV/0!</v>
      </c>
      <c r="CW332" s="219" t="e">
        <f>SUM(CW135,CW136,CW140,CW144,CW145,CW146)/SUM(CW189,CW193,CW195,CW196)</f>
        <v>#DIV/0!</v>
      </c>
      <c r="CX332" s="219" t="e">
        <f>SUM(CX135,CX136,CX140,CX144,CX145,CX146)/SUM(CX189,CX193,CX195,CX196)</f>
        <v>#DIV/0!</v>
      </c>
    </row>
    <row r="333" customFormat="1" s="233">
      <c r="A333" s="224" t="n"/>
      <c r="B333" s="224" t="n"/>
      <c r="C333" s="233" t="inlineStr">
        <is>
          <t>CASH RATIO</t>
        </is>
      </c>
      <c r="D333" s="219">
        <f>SUM(D135)/SUM(D189,D193,D195,D196)</f>
        <v>0.138036383835578</v>
      </c>
      <c r="E333" s="219">
        <f>SUM(E135)/SUM(E189,E193,E195,E196)</f>
        <v>0.198429246594384</v>
      </c>
      <c r="F333" s="219">
        <f>SUM(F135)/SUM(F189,F193,F195,F196)</f>
        <v>0.252447010773889</v>
      </c>
      <c r="G333" s="219">
        <f>SUM(G135)/SUM(G189,G193,G195,G196)</f>
        <v>0.235241569269709</v>
      </c>
      <c r="I333" s="219">
        <f>SUM(I135)/SUM(I189,I193,I195,I196)</f>
        <v>0.206389416649075</v>
      </c>
      <c r="J333" s="219">
        <f>SUM(J135)/SUM(J189,J193,J195,J196)</f>
        <v>0.186278501628665</v>
      </c>
      <c r="K333" s="219">
        <f>SUM(K135)/SUM(K189,K193,K195,K196)</f>
        <v>0.18155792276964</v>
      </c>
      <c r="L333" s="219">
        <f>SUM(L135)/SUM(L189,L193,L195,L196)</f>
        <v>0.257594167679222</v>
      </c>
      <c r="N333" s="219">
        <f>SUM(N135)/SUM(N189,N193,N195,N196)</f>
        <v>0.121116614137776</v>
      </c>
      <c r="O333" s="219">
        <f>SUM(O135)/SUM(O189,O193,O195,O196)</f>
        <v>0.107712846653316</v>
      </c>
      <c r="P333" s="219">
        <f>SUM(P135)/SUM(P189,P193,P195,P196)</f>
        <v>0.148651128647458</v>
      </c>
      <c r="Q333" s="219">
        <f>SUM(Q135)/SUM(Q189,Q193,Q195,Q196)</f>
        <v>0.160319758292944</v>
      </c>
      <c r="S333" s="219">
        <f>SUM(S135)/SUM(S189,S193,S195,S196)</f>
        <v>0.144661172704097</v>
      </c>
      <c r="T333" s="219">
        <f>SUM(T135)/SUM(T189,T193,T195,T196)</f>
        <v>0.210837494977326</v>
      </c>
      <c r="U333" s="219">
        <f>SUM(U135)/SUM(U189,U193,U195,U196)</f>
        <v>0.208575624082232</v>
      </c>
      <c r="V333" s="219">
        <f>SUM(V135)/SUM(V189,V193,V195,V196)</f>
        <v>0.0859920090643449</v>
      </c>
      <c r="X333" s="219">
        <f>SUM(X135)/SUM(X189,X193,X195,X196)</f>
        <v>0.159146654497747</v>
      </c>
      <c r="Y333" s="219">
        <f>SUM(Y135)/SUM(Y189,Y193,Y195,Y196)</f>
        <v>0.13748569560242</v>
      </c>
      <c r="Z333" s="219">
        <f>SUM(Z135)/SUM(Z189,Z193,Z195,Z196)</f>
        <v>0.178345030563731</v>
      </c>
      <c r="AA333" s="219">
        <f>SUM(AA135)/SUM(AA189,AA193,AA195,AA196)</f>
        <v>0.132236246471747</v>
      </c>
      <c r="AC333" s="219">
        <f>SUM(AC135)/SUM(AC189,AC193,AC195,AC196)</f>
        <v>0.0922533769954973</v>
      </c>
      <c r="AD333" s="219">
        <f>SUM(AD135)/SUM(AD189,AD193,AD195,AD196)</f>
        <v>0.0608871727255604</v>
      </c>
      <c r="AE333" s="219">
        <f>SUM(AE135)/SUM(AE189,AE193,AE195,AE196)</f>
        <v>0.162872565125557</v>
      </c>
      <c r="AF333" s="219">
        <f>SUM(AF135)/SUM(AF189,AF193,AF195,AF196)</f>
        <v>0.185906978842423</v>
      </c>
      <c r="AH333" s="219">
        <f>SUM(AH135)/SUM(AH189,AH193,AH195,AH196)</f>
        <v>0.0863972265304261</v>
      </c>
      <c r="AI333" s="219">
        <f>SUM(AI135)/SUM(AI189,AI193,AI195,AI196)</f>
        <v>0.159225502961065</v>
      </c>
      <c r="AJ333" s="219">
        <f>SUM(AJ135)/SUM(AJ189,AJ193,AJ195,AJ196)</f>
        <v>0.34025549052923</v>
      </c>
      <c r="AK333" s="219">
        <f>SUM(AK135)/SUM(AK189,AK193,AK195,AK196)</f>
        <v>0.3380529859669</v>
      </c>
      <c r="AM333" s="219" t="e">
        <f>SUM(AM135)/SUM(AM189,AM193,AM195,AM196)</f>
        <v>#DIV/0!</v>
      </c>
      <c r="AN333" s="219" t="e">
        <f>SUM(AN135)/SUM(AN189,AN193,AN195,AN196)</f>
        <v>#DIV/0!</v>
      </c>
      <c r="AO333" s="219" t="e">
        <f>SUM(AO135)/SUM(AO189,AO193,AO195,AO196)</f>
        <v>#DIV/0!</v>
      </c>
      <c r="AP333" s="219" t="e">
        <f>SUM(AP135)/SUM(AP189,AP193,AP195,AP196)</f>
        <v>#DIV/0!</v>
      </c>
      <c r="AR333" s="219" t="e">
        <f>SUM(AR135)/SUM(AR189,AR193,AR195,AR196)</f>
        <v>#DIV/0!</v>
      </c>
      <c r="AS333" s="219" t="e">
        <f>SUM(AS135)/SUM(AS189,AS193,AS195,AS196)</f>
        <v>#DIV/0!</v>
      </c>
      <c r="AT333" s="219" t="e">
        <f>SUM(AT135)/SUM(AT189,AT193,AT195,AT196)</f>
        <v>#DIV/0!</v>
      </c>
      <c r="AU333" s="219" t="e">
        <f>SUM(AU135)/SUM(AU189,AU193,AU195,AU196)</f>
        <v>#DIV/0!</v>
      </c>
      <c r="AW333" s="219" t="e">
        <f>SUM(AW135)/SUM(AW189,AW193,AW195,AW196)</f>
        <v>#DIV/0!</v>
      </c>
      <c r="AX333" s="219" t="e">
        <f>SUM(AX135)/SUM(AX189,AX193,AX195,AX196)</f>
        <v>#DIV/0!</v>
      </c>
      <c r="AY333" s="219" t="e">
        <f>SUM(AY135)/SUM(AY189,AY193,AY195,AY196)</f>
        <v>#DIV/0!</v>
      </c>
      <c r="AZ333" s="219" t="e">
        <f>SUM(AZ135)/SUM(AZ189,AZ193,AZ195,AZ196)</f>
        <v>#DIV/0!</v>
      </c>
      <c r="BB333" s="219" t="e">
        <f>SUM(BB135)/SUM(BB189,BB193,BB195,BB196)</f>
        <v>#DIV/0!</v>
      </c>
      <c r="BC333" s="219" t="e">
        <f>SUM(BC135)/SUM(BC189,BC193,BC195,BC196)</f>
        <v>#DIV/0!</v>
      </c>
      <c r="BD333" s="219" t="e">
        <f>SUM(BD135)/SUM(BD189,BD193,BD195,BD196)</f>
        <v>#DIV/0!</v>
      </c>
      <c r="BE333" s="219" t="e">
        <f>SUM(BE135)/SUM(BE189,BE193,BE195,BE196)</f>
        <v>#DIV/0!</v>
      </c>
      <c r="BG333" s="219" t="e">
        <f>SUM(BG135)/SUM(BG189,BG193,BG195,BG196)</f>
        <v>#DIV/0!</v>
      </c>
      <c r="BH333" s="219" t="e">
        <f>SUM(BH135)/SUM(BH189,BH193,BH195,BH196)</f>
        <v>#DIV/0!</v>
      </c>
      <c r="BI333" s="219" t="e">
        <f>SUM(BI135)/SUM(BI189,BI193,BI195,BI196)</f>
        <v>#DIV/0!</v>
      </c>
      <c r="BJ333" s="219" t="e">
        <f>SUM(BJ135)/SUM(BJ189,BJ193,BJ195,BJ196)</f>
        <v>#DIV/0!</v>
      </c>
      <c r="BL333" s="219" t="e">
        <f>SUM(BL135)/SUM(BL189,BL193,BL195,BL196)</f>
        <v>#DIV/0!</v>
      </c>
      <c r="BM333" s="219" t="e">
        <f>SUM(BM135)/SUM(BM189,BM193,BM195,BM196)</f>
        <v>#DIV/0!</v>
      </c>
      <c r="BN333" s="219" t="e">
        <f>SUM(BN135)/SUM(BN189,BN193,BN195,BN196)</f>
        <v>#DIV/0!</v>
      </c>
      <c r="BO333" s="219" t="e">
        <f>SUM(BO135)/SUM(BO189,BO193,BO195,BO196)</f>
        <v>#DIV/0!</v>
      </c>
      <c r="BQ333" s="219" t="e">
        <f>SUM(BQ135)/SUM(BQ189,BQ193,BQ195,BQ196)</f>
        <v>#DIV/0!</v>
      </c>
      <c r="BR333" s="219" t="e">
        <f>SUM(BR135)/SUM(BR189,BR193,BR195,BR196)</f>
        <v>#DIV/0!</v>
      </c>
      <c r="BS333" s="219" t="e">
        <f>SUM(BS135)/SUM(BS189,BS193,BS195,BS196)</f>
        <v>#DIV/0!</v>
      </c>
      <c r="BT333" s="219" t="e">
        <f>SUM(BT135)/SUM(BT189,BT193,BT195,BT196)</f>
        <v>#DIV/0!</v>
      </c>
      <c r="BV333" s="219" t="e">
        <f>SUM(BV135)/SUM(BV189,BV193,BV195,BV196)</f>
        <v>#DIV/0!</v>
      </c>
      <c r="BW333" s="219" t="e">
        <f>SUM(BW135)/SUM(BW189,BW193,BW195,BW196)</f>
        <v>#DIV/0!</v>
      </c>
      <c r="BX333" s="219" t="e">
        <f>SUM(BX135)/SUM(BX189,BX193,BX195,BX196)</f>
        <v>#DIV/0!</v>
      </c>
      <c r="BY333" s="219" t="e">
        <f>SUM(BY135)/SUM(BY189,BY193,BY195,BY196)</f>
        <v>#DIV/0!</v>
      </c>
      <c r="CA333" s="219" t="e">
        <f>SUM(CA135)/SUM(CA189,CA193,CA195,CA196)</f>
        <v>#DIV/0!</v>
      </c>
      <c r="CB333" s="219" t="e">
        <f>SUM(CB135)/SUM(CB189,CB193,CB195,CB196)</f>
        <v>#DIV/0!</v>
      </c>
      <c r="CC333" s="219" t="e">
        <f>SUM(CC135)/SUM(CC189,CC193,CC195,CC196)</f>
        <v>#DIV/0!</v>
      </c>
      <c r="CD333" s="219" t="e">
        <f>SUM(CD135)/SUM(CD189,CD193,CD195,CD196)</f>
        <v>#DIV/0!</v>
      </c>
      <c r="CF333" s="219" t="e">
        <f>SUM(CF135)/SUM(CF189,CF193,CF195,CF196)</f>
        <v>#DIV/0!</v>
      </c>
      <c r="CG333" s="219" t="e">
        <f>SUM(CG135)/SUM(CG189,CG193,CG195,CG196)</f>
        <v>#DIV/0!</v>
      </c>
      <c r="CH333" s="219" t="e">
        <f>SUM(CH135)/SUM(CH189,CH193,CH195,CH196)</f>
        <v>#DIV/0!</v>
      </c>
      <c r="CI333" s="219" t="e">
        <f>SUM(CI135)/SUM(CI189,CI193,CI195,CI196)</f>
        <v>#DIV/0!</v>
      </c>
      <c r="CK333" s="219" t="e">
        <f>SUM(CK135)/SUM(CK189,CK193,CK195,CK196)</f>
        <v>#DIV/0!</v>
      </c>
      <c r="CL333" s="219" t="e">
        <f>SUM(CL135)/SUM(CL189,CL193,CL195,CL196)</f>
        <v>#DIV/0!</v>
      </c>
      <c r="CM333" s="219" t="e">
        <f>SUM(CM135)/SUM(CM189,CM193,CM195,CM196)</f>
        <v>#DIV/0!</v>
      </c>
      <c r="CN333" s="219" t="e">
        <f>SUM(CN135)/SUM(CN189,CN193,CN195,CN196)</f>
        <v>#DIV/0!</v>
      </c>
      <c r="CP333" s="219" t="e">
        <f>SUM(CP135)/SUM(CP189,CP193,CP195,CP196)</f>
        <v>#DIV/0!</v>
      </c>
      <c r="CQ333" s="219" t="e">
        <f>SUM(CQ135)/SUM(CQ189,CQ193,CQ195,CQ196)</f>
        <v>#DIV/0!</v>
      </c>
      <c r="CR333" s="219" t="e">
        <f>SUM(CR135)/SUM(CR189,CR193,CR195,CR196)</f>
        <v>#DIV/0!</v>
      </c>
      <c r="CS333" s="219" t="e">
        <f>SUM(CS135)/SUM(CS189,CS193,CS195,CS196)</f>
        <v>#DIV/0!</v>
      </c>
      <c r="CU333" s="219" t="e">
        <f>SUM(CU135)/SUM(CU189,CU193,CU195,CU196)</f>
        <v>#DIV/0!</v>
      </c>
      <c r="CV333" s="219" t="e">
        <f>SUM(CV135)/SUM(CV189,CV193,CV195,CV196)</f>
        <v>#DIV/0!</v>
      </c>
      <c r="CW333" s="219" t="e">
        <f>SUM(CW135)/SUM(CW189,CW193,CW195,CW196)</f>
        <v>#DIV/0!</v>
      </c>
      <c r="CX333" s="219" t="e">
        <f>SUM(CX135)/SUM(CX189,CX193,CX195,CX196)</f>
        <v>#DIV/0!</v>
      </c>
    </row>
    <row r="334" customFormat="1" s="233">
      <c r="A334" s="224" t="n"/>
      <c r="B334" s="224" t="n"/>
    </row>
    <row r="335" customFormat="1" s="233">
      <c r="A335" s="224" t="n"/>
      <c r="B335" s="224" t="n"/>
      <c r="C335" s="234" t="inlineStr">
        <is>
          <t>OPERATING EFFICIENCY</t>
        </is>
      </c>
    </row>
    <row r="336" customFormat="1" s="238">
      <c r="A336" s="222" t="n"/>
      <c r="B336" s="222" t="n"/>
      <c r="C336" s="238" t="inlineStr">
        <is>
          <t>RETURN ON CAPITAL (ROIC)</t>
        </is>
      </c>
      <c r="D336" s="238">
        <f>D338/D341</f>
        <v>0.126502310285109</v>
      </c>
      <c r="E336" s="238">
        <f>E338/E341</f>
        <v>0.127068322381028</v>
      </c>
      <c r="F336" s="238">
        <f>F338/F341</f>
        <v>0.130050369975995</v>
      </c>
      <c r="G336" s="238">
        <f>G338/G341</f>
        <v>0.12464793669365</v>
      </c>
      <c r="H336" s="238">
        <f>H338/H341</f>
        <v>0.480501084458738</v>
      </c>
      <c r="I336" s="222">
        <f>I338/I341</f>
        <v>0.11648817532846</v>
      </c>
      <c r="J336" s="222">
        <f>J338/J341</f>
        <v>0.114903542345136</v>
      </c>
      <c r="K336" s="222">
        <f>K338/K341</f>
        <v>0.111658824609405</v>
      </c>
      <c r="L336" s="222">
        <f>L338/L341</f>
        <v>0.106153055287726</v>
      </c>
      <c r="M336" s="222">
        <f>M338/M341</f>
        <v>0.400961310597801</v>
      </c>
      <c r="N336" s="222">
        <f>N338/N341</f>
        <v>0.0822389543532657</v>
      </c>
      <c r="O336" s="222">
        <f>O338/O341</f>
        <v>0.0862908698268541</v>
      </c>
      <c r="P336" s="222">
        <f>P338/P341</f>
        <v>0.0870205653788044</v>
      </c>
      <c r="Q336" s="222">
        <f>Q338/Q341</f>
        <v>0.0903885278199048</v>
      </c>
      <c r="R336" s="222">
        <f>R338/R341</f>
        <v>0.323428022048733</v>
      </c>
      <c r="S336" s="222">
        <f>S338/S341</f>
        <v>0.0756565275938312</v>
      </c>
      <c r="T336" s="222">
        <f>T338/T341</f>
        <v>0.0774100120890358</v>
      </c>
      <c r="U336" s="222">
        <f>U338/U341</f>
        <v>0.0761829968609857</v>
      </c>
      <c r="V336" s="222">
        <f>V338/V341</f>
        <v>0.0872899374387209</v>
      </c>
      <c r="W336" s="222">
        <f>W338/W341</f>
        <v>0.318112356954802</v>
      </c>
      <c r="X336" s="222">
        <f>X338/X341</f>
        <v>0.073388633020665</v>
      </c>
      <c r="Y336" s="222">
        <f>Y338/Y341</f>
        <v>0.0789855730417365</v>
      </c>
      <c r="Z336" s="222">
        <f>Z338/Z341</f>
        <v>0.0774863096855545</v>
      </c>
      <c r="AA336" s="222">
        <f>AA338/AA341</f>
        <v>0.0293005109328119</v>
      </c>
      <c r="AB336" s="222">
        <f>AB338/AB341</f>
        <v>0.249431886654615</v>
      </c>
      <c r="AC336" s="222">
        <f>AC338/AC341</f>
        <v>0.0791983184508579</v>
      </c>
      <c r="AD336" s="222">
        <f>AD338/AD341</f>
        <v>0.0238898565325472</v>
      </c>
      <c r="AE336" s="222">
        <f>AE338/AE341</f>
        <v>0.0764942121426884</v>
      </c>
      <c r="AF336" s="222">
        <f>AF338/AF341</f>
        <v>0.0842093040133537</v>
      </c>
      <c r="AG336" s="222">
        <f>AG338/AG341</f>
        <v>0.269528750297072</v>
      </c>
      <c r="AH336" s="222">
        <f>AH338/AH341</f>
        <v>0.0658150052201869</v>
      </c>
      <c r="AI336" s="222">
        <f>AI338/AI341</f>
        <v>0.081902235437589</v>
      </c>
      <c r="AJ336" s="222">
        <f>AJ338/AJ341</f>
        <v>0</v>
      </c>
      <c r="AK336" s="222">
        <f>AK338/AK341</f>
        <v>0</v>
      </c>
      <c r="AL336" s="222">
        <f>AL338/AL341</f>
        <v>0.159556870327212</v>
      </c>
      <c r="AM336" s="222" t="e">
        <f>AM338/AM341</f>
        <v>#DIV/0!</v>
      </c>
      <c r="AN336" s="222">
        <f>AN338/AN341</f>
        <v>0</v>
      </c>
      <c r="AO336" s="222" t="e">
        <f>AO338/AO341</f>
        <v>#DIV/0!</v>
      </c>
      <c r="AP336" s="222" t="e">
        <f>AP338/AP341</f>
        <v>#DIV/0!</v>
      </c>
      <c r="AQ336" s="222" t="e">
        <f>AQ338/AQ341</f>
        <v>#DIV/0!</v>
      </c>
      <c r="AR336" s="222" t="e">
        <f>AR338/AR341</f>
        <v>#DIV/0!</v>
      </c>
      <c r="AS336" s="222" t="e">
        <f>AS338/AS341</f>
        <v>#DIV/0!</v>
      </c>
      <c r="AT336" s="222" t="e">
        <f>AT338/AT341</f>
        <v>#DIV/0!</v>
      </c>
      <c r="AU336" s="222" t="e">
        <f>AU338/AU341</f>
        <v>#DIV/0!</v>
      </c>
      <c r="AV336" s="222" t="e">
        <f>AV338/AV341</f>
        <v>#DIV/0!</v>
      </c>
      <c r="AW336" s="222" t="e">
        <f>AW338/AW341</f>
        <v>#DIV/0!</v>
      </c>
      <c r="AX336" s="222" t="e">
        <f>AX338/AX341</f>
        <v>#DIV/0!</v>
      </c>
      <c r="AY336" s="222" t="e">
        <f>AY338/AY341</f>
        <v>#DIV/0!</v>
      </c>
      <c r="AZ336" s="222" t="e">
        <f>AZ338/AZ341</f>
        <v>#DIV/0!</v>
      </c>
      <c r="BA336" s="222" t="e">
        <f>BA338/BA341</f>
        <v>#DIV/0!</v>
      </c>
      <c r="BB336" s="222" t="e">
        <f>BB338/BB341</f>
        <v>#DIV/0!</v>
      </c>
      <c r="BC336" s="222" t="e">
        <f>BC338/BC341</f>
        <v>#DIV/0!</v>
      </c>
      <c r="BD336" s="222" t="e">
        <f>BD338/BD341</f>
        <v>#DIV/0!</v>
      </c>
      <c r="BE336" s="222" t="e">
        <f>BE338/BE341</f>
        <v>#DIV/0!</v>
      </c>
      <c r="BF336" s="222" t="e">
        <f>BF338/BF341</f>
        <v>#DIV/0!</v>
      </c>
      <c r="BG336" s="222" t="e">
        <f>BG338/BG341</f>
        <v>#DIV/0!</v>
      </c>
      <c r="BH336" s="222" t="e">
        <f>BH338/BH341</f>
        <v>#DIV/0!</v>
      </c>
      <c r="BI336" s="222" t="e">
        <f>BI338/BI341</f>
        <v>#DIV/0!</v>
      </c>
      <c r="BJ336" s="222" t="e">
        <f>BJ338/BJ341</f>
        <v>#DIV/0!</v>
      </c>
      <c r="BK336" s="222" t="e">
        <f>BK338/BK341</f>
        <v>#DIV/0!</v>
      </c>
      <c r="BL336" s="222" t="e">
        <f>BL338/BL341</f>
        <v>#DIV/0!</v>
      </c>
      <c r="BM336" s="222" t="e">
        <f>BM338/BM341</f>
        <v>#DIV/0!</v>
      </c>
      <c r="BN336" s="222" t="e">
        <f>BN338/BN341</f>
        <v>#DIV/0!</v>
      </c>
      <c r="BO336" s="222" t="e">
        <f>BO338/BO341</f>
        <v>#DIV/0!</v>
      </c>
      <c r="BP336" s="222" t="e">
        <f>BP338/BP341</f>
        <v>#DIV/0!</v>
      </c>
      <c r="BQ336" s="222" t="e">
        <f>BQ338/BQ341</f>
        <v>#DIV/0!</v>
      </c>
      <c r="BR336" s="222" t="e">
        <f>BR338/BR341</f>
        <v>#DIV/0!</v>
      </c>
      <c r="BS336" s="222" t="e">
        <f>BS338/BS341</f>
        <v>#DIV/0!</v>
      </c>
      <c r="BT336" s="222" t="e">
        <f>BT338/BT341</f>
        <v>#DIV/0!</v>
      </c>
      <c r="BU336" s="222" t="e">
        <f>BU338/BU341</f>
        <v>#DIV/0!</v>
      </c>
      <c r="BV336" s="222" t="e">
        <f>BV338/BV341</f>
        <v>#DIV/0!</v>
      </c>
      <c r="BW336" s="222" t="e">
        <f>BW338/BW341</f>
        <v>#DIV/0!</v>
      </c>
      <c r="BX336" s="222" t="e">
        <f>BX338/BX341</f>
        <v>#DIV/0!</v>
      </c>
      <c r="BY336" s="222" t="e">
        <f>BY338/BY341</f>
        <v>#DIV/0!</v>
      </c>
      <c r="BZ336" s="222" t="e">
        <f>BZ338/BZ341</f>
        <v>#DIV/0!</v>
      </c>
      <c r="CA336" s="222" t="e">
        <f>CA338/CA341</f>
        <v>#DIV/0!</v>
      </c>
      <c r="CB336" s="222" t="e">
        <f>CB338/CB341</f>
        <v>#DIV/0!</v>
      </c>
      <c r="CC336" s="222" t="e">
        <f>CC338/CC341</f>
        <v>#DIV/0!</v>
      </c>
      <c r="CD336" s="222" t="e">
        <f>CD338/CD341</f>
        <v>#DIV/0!</v>
      </c>
      <c r="CE336" s="222" t="e">
        <f>CE338/CE341</f>
        <v>#DIV/0!</v>
      </c>
      <c r="CF336" s="222" t="e">
        <f>CF338/CF341</f>
        <v>#DIV/0!</v>
      </c>
      <c r="CG336" s="222" t="e">
        <f>CG338/CG341</f>
        <v>#DIV/0!</v>
      </c>
      <c r="CH336" s="222" t="e">
        <f>CH338/CH341</f>
        <v>#DIV/0!</v>
      </c>
      <c r="CI336" s="222" t="e">
        <f>CI338/CI341</f>
        <v>#DIV/0!</v>
      </c>
      <c r="CJ336" s="222" t="e">
        <f>CJ338/CJ341</f>
        <v>#DIV/0!</v>
      </c>
      <c r="CK336" s="222" t="e">
        <f>CK338/CK341</f>
        <v>#DIV/0!</v>
      </c>
      <c r="CL336" s="222" t="e">
        <f>CL338/CL341</f>
        <v>#DIV/0!</v>
      </c>
      <c r="CM336" s="222" t="e">
        <f>CM338/CM341</f>
        <v>#DIV/0!</v>
      </c>
      <c r="CN336" s="222" t="e">
        <f>CN338/CN341</f>
        <v>#DIV/0!</v>
      </c>
      <c r="CO336" s="222" t="e">
        <f>CO338/CO341</f>
        <v>#DIV/0!</v>
      </c>
      <c r="CP336" s="222" t="e">
        <f>CP338/CP341</f>
        <v>#DIV/0!</v>
      </c>
      <c r="CQ336" s="222" t="e">
        <f>CQ338/CQ341</f>
        <v>#DIV/0!</v>
      </c>
      <c r="CR336" s="222" t="e">
        <f>CR338/CR341</f>
        <v>#DIV/0!</v>
      </c>
      <c r="CS336" s="222" t="e">
        <f>CS338/CS341</f>
        <v>#DIV/0!</v>
      </c>
      <c r="CT336" s="222" t="e">
        <f>CT338/CT341</f>
        <v>#DIV/0!</v>
      </c>
      <c r="CU336" s="222" t="e">
        <f>CU338/CU341</f>
        <v>#DIV/0!</v>
      </c>
      <c r="CV336" s="222" t="e">
        <f>CV338/CV341</f>
        <v>#DIV/0!</v>
      </c>
      <c r="CW336" s="222" t="e">
        <f>CW338/CW341</f>
        <v>#DIV/0!</v>
      </c>
      <c r="CX336" s="222" t="e">
        <f>CX338/CX341</f>
        <v>#DIV/0!</v>
      </c>
      <c r="CY336" s="222" t="e">
        <f>CY338/CY341</f>
        <v>#DIV/0!</v>
      </c>
    </row>
    <row r="337" customFormat="1" s="238">
      <c r="A337" s="222" t="n"/>
      <c r="B337" s="222" t="n"/>
      <c r="C337" s="238" t="inlineStr">
        <is>
          <t>RETURN ON CAPITAL (ROIC) - EX GOODWILL</t>
        </is>
      </c>
      <c r="D337" s="238">
        <f>D338/D342</f>
        <v>0.49539463933898</v>
      </c>
      <c r="E337" s="238">
        <f>E338/E342</f>
        <v>0.57130354461133</v>
      </c>
      <c r="F337" s="238">
        <f>F338/F342</f>
        <v>0.52497533919762</v>
      </c>
      <c r="G337" s="238">
        <f>G338/G342</f>
        <v>0.442248880789756</v>
      </c>
      <c r="H337" s="238">
        <f>H338/H342</f>
        <v>1.7048101433272</v>
      </c>
      <c r="I337" s="222">
        <f>I338/I342</f>
        <v>0.380542710461128</v>
      </c>
      <c r="J337" s="222">
        <f>J338/J342</f>
        <v>0.356276898884374</v>
      </c>
      <c r="K337" s="222">
        <f>K338/K342</f>
        <v>0.267215978821785</v>
      </c>
      <c r="L337" s="222">
        <f>L338/L342</f>
        <v>0.245826088486338</v>
      </c>
      <c r="M337" s="222">
        <f>M338/M342</f>
        <v>0.928534278654996</v>
      </c>
      <c r="N337" s="222">
        <f>N338/N342</f>
        <v>0.181544811106662</v>
      </c>
      <c r="O337" s="222">
        <f>O338/O342</f>
        <v>0.174938785398479</v>
      </c>
      <c r="P337" s="222">
        <f>P338/P342</f>
        <v>0.17838706613353</v>
      </c>
      <c r="Q337" s="222">
        <f>Q338/Q342</f>
        <v>0.17610178695947</v>
      </c>
      <c r="R337" s="222">
        <f>R338/R342</f>
        <v>0.630127008474255</v>
      </c>
      <c r="S337" s="222">
        <f>S338/S342</f>
        <v>0.143426664031996</v>
      </c>
      <c r="T337" s="222">
        <f>T338/T342</f>
        <v>0.145254542453665</v>
      </c>
      <c r="U337" s="222">
        <f>U338/U342</f>
        <v>0.142801413094169</v>
      </c>
      <c r="V337" s="222">
        <f>V338/V342</f>
        <v>0.165498187202327</v>
      </c>
      <c r="W337" s="222">
        <f>W338/W342</f>
        <v>0.603128149102393</v>
      </c>
      <c r="X337" s="222">
        <f>X338/X342</f>
        <v>0.136787621062939</v>
      </c>
      <c r="Y337" s="222">
        <f>Y338/Y342</f>
        <v>0.149272437948618</v>
      </c>
      <c r="Z337" s="222">
        <f>Z338/Z342</f>
        <v>0.144061659296055</v>
      </c>
      <c r="AA337" s="222">
        <f>AA338/AA342</f>
        <v>0.0541429804412336</v>
      </c>
      <c r="AB337" s="222">
        <f>AB338/AB342</f>
        <v>0.460912978327536</v>
      </c>
      <c r="AC337" s="222">
        <f>AC338/AC342</f>
        <v>0.141375847169436</v>
      </c>
      <c r="AD337" s="222">
        <f>AD338/AD342</f>
        <v>0.0426908577522116</v>
      </c>
      <c r="AE337" s="222">
        <f>AE338/AE342</f>
        <v>0.140185904346283</v>
      </c>
      <c r="AF337" s="222">
        <f>AF338/AF342</f>
        <v>0.157576319692322</v>
      </c>
      <c r="AG337" s="222">
        <f>AG338/AG342</f>
        <v>0.504354584338429</v>
      </c>
      <c r="AH337" s="222">
        <f>AH338/AH342</f>
        <v>0.115468311574079</v>
      </c>
      <c r="AI337" s="222">
        <f>AI338/AI342</f>
        <v>0.146988502299366</v>
      </c>
      <c r="AJ337" s="222">
        <f>AJ338/AJ342</f>
        <v>0</v>
      </c>
      <c r="AK337" s="222">
        <f>AK338/AK342</f>
        <v>0</v>
      </c>
      <c r="AL337" s="222">
        <f>AL338/AL342</f>
        <v>0.302842262661434</v>
      </c>
      <c r="AM337" s="222" t="e">
        <f>AM338/AM342</f>
        <v>#DIV/0!</v>
      </c>
      <c r="AN337" s="222">
        <f>AN338/AN342</f>
        <v>0</v>
      </c>
      <c r="AO337" s="222" t="e">
        <f>AO338/AO342</f>
        <v>#DIV/0!</v>
      </c>
      <c r="AP337" s="222" t="e">
        <f>AP338/AP342</f>
        <v>#DIV/0!</v>
      </c>
      <c r="AQ337" s="222" t="e">
        <f>AQ338/AQ342</f>
        <v>#DIV/0!</v>
      </c>
      <c r="AR337" s="222" t="e">
        <f>AR338/AR342</f>
        <v>#DIV/0!</v>
      </c>
      <c r="AS337" s="222" t="e">
        <f>AS338/AS342</f>
        <v>#DIV/0!</v>
      </c>
      <c r="AT337" s="222" t="e">
        <f>AT338/AT342</f>
        <v>#DIV/0!</v>
      </c>
      <c r="AU337" s="222" t="e">
        <f>AU338/AU342</f>
        <v>#DIV/0!</v>
      </c>
      <c r="AV337" s="222" t="e">
        <f>AV338/AV342</f>
        <v>#DIV/0!</v>
      </c>
      <c r="AW337" s="222" t="e">
        <f>AW338/AW342</f>
        <v>#DIV/0!</v>
      </c>
      <c r="AX337" s="222" t="e">
        <f>AX338/AX342</f>
        <v>#DIV/0!</v>
      </c>
      <c r="AY337" s="222" t="e">
        <f>AY338/AY342</f>
        <v>#DIV/0!</v>
      </c>
      <c r="AZ337" s="222" t="e">
        <f>AZ338/AZ342</f>
        <v>#DIV/0!</v>
      </c>
      <c r="BA337" s="222" t="e">
        <f>BA338/BA342</f>
        <v>#DIV/0!</v>
      </c>
      <c r="BB337" s="222" t="e">
        <f>BB338/BB342</f>
        <v>#DIV/0!</v>
      </c>
      <c r="BC337" s="222" t="e">
        <f>BC338/BC342</f>
        <v>#DIV/0!</v>
      </c>
      <c r="BD337" s="222" t="e">
        <f>BD338/BD342</f>
        <v>#DIV/0!</v>
      </c>
      <c r="BE337" s="222" t="e">
        <f>BE338/BE342</f>
        <v>#DIV/0!</v>
      </c>
      <c r="BF337" s="222" t="e">
        <f>BF338/BF342</f>
        <v>#DIV/0!</v>
      </c>
      <c r="BG337" s="222" t="e">
        <f>BG338/BG342</f>
        <v>#DIV/0!</v>
      </c>
      <c r="BH337" s="222" t="e">
        <f>BH338/BH342</f>
        <v>#DIV/0!</v>
      </c>
      <c r="BI337" s="222" t="e">
        <f>BI338/BI342</f>
        <v>#DIV/0!</v>
      </c>
      <c r="BJ337" s="222" t="e">
        <f>BJ338/BJ342</f>
        <v>#DIV/0!</v>
      </c>
      <c r="BK337" s="222" t="e">
        <f>BK338/BK342</f>
        <v>#DIV/0!</v>
      </c>
      <c r="BL337" s="222" t="e">
        <f>BL338/BL342</f>
        <v>#DIV/0!</v>
      </c>
      <c r="BM337" s="222" t="e">
        <f>BM338/BM342</f>
        <v>#DIV/0!</v>
      </c>
      <c r="BN337" s="222" t="e">
        <f>BN338/BN342</f>
        <v>#DIV/0!</v>
      </c>
      <c r="BO337" s="222" t="e">
        <f>BO338/BO342</f>
        <v>#DIV/0!</v>
      </c>
      <c r="BP337" s="222" t="e">
        <f>BP338/BP342</f>
        <v>#DIV/0!</v>
      </c>
      <c r="BQ337" s="222" t="e">
        <f>BQ338/BQ342</f>
        <v>#DIV/0!</v>
      </c>
      <c r="BR337" s="222" t="e">
        <f>BR338/BR342</f>
        <v>#DIV/0!</v>
      </c>
      <c r="BS337" s="222" t="e">
        <f>BS338/BS342</f>
        <v>#DIV/0!</v>
      </c>
      <c r="BT337" s="222" t="e">
        <f>BT338/BT342</f>
        <v>#DIV/0!</v>
      </c>
      <c r="BU337" s="222" t="e">
        <f>BU338/BU342</f>
        <v>#DIV/0!</v>
      </c>
      <c r="BV337" s="222" t="e">
        <f>BV338/BV342</f>
        <v>#DIV/0!</v>
      </c>
      <c r="BW337" s="222" t="e">
        <f>BW338/BW342</f>
        <v>#DIV/0!</v>
      </c>
      <c r="BX337" s="222" t="e">
        <f>BX338/BX342</f>
        <v>#DIV/0!</v>
      </c>
      <c r="BY337" s="222" t="e">
        <f>BY338/BY342</f>
        <v>#DIV/0!</v>
      </c>
      <c r="BZ337" s="222" t="e">
        <f>BZ338/BZ342</f>
        <v>#DIV/0!</v>
      </c>
      <c r="CA337" s="222" t="e">
        <f>CA338/CA342</f>
        <v>#DIV/0!</v>
      </c>
      <c r="CB337" s="222" t="e">
        <f>CB338/CB342</f>
        <v>#DIV/0!</v>
      </c>
      <c r="CC337" s="222" t="e">
        <f>CC338/CC342</f>
        <v>#DIV/0!</v>
      </c>
      <c r="CD337" s="222" t="e">
        <f>CD338/CD342</f>
        <v>#DIV/0!</v>
      </c>
      <c r="CE337" s="222" t="e">
        <f>CE338/CE342</f>
        <v>#DIV/0!</v>
      </c>
      <c r="CF337" s="222" t="e">
        <f>CF338/CF342</f>
        <v>#DIV/0!</v>
      </c>
      <c r="CG337" s="222" t="e">
        <f>CG338/CG342</f>
        <v>#DIV/0!</v>
      </c>
      <c r="CH337" s="222" t="e">
        <f>CH338/CH342</f>
        <v>#DIV/0!</v>
      </c>
      <c r="CI337" s="222" t="e">
        <f>CI338/CI342</f>
        <v>#DIV/0!</v>
      </c>
      <c r="CJ337" s="222" t="e">
        <f>CJ338/CJ342</f>
        <v>#DIV/0!</v>
      </c>
      <c r="CK337" s="222" t="e">
        <f>CK338/CK342</f>
        <v>#DIV/0!</v>
      </c>
      <c r="CL337" s="222" t="e">
        <f>CL338/CL342</f>
        <v>#DIV/0!</v>
      </c>
      <c r="CM337" s="222" t="e">
        <f>CM338/CM342</f>
        <v>#DIV/0!</v>
      </c>
      <c r="CN337" s="222" t="e">
        <f>CN338/CN342</f>
        <v>#DIV/0!</v>
      </c>
      <c r="CO337" s="222" t="e">
        <f>CO338/CO342</f>
        <v>#DIV/0!</v>
      </c>
      <c r="CP337" s="222" t="e">
        <f>CP338/CP342</f>
        <v>#DIV/0!</v>
      </c>
      <c r="CQ337" s="222" t="e">
        <f>CQ338/CQ342</f>
        <v>#DIV/0!</v>
      </c>
      <c r="CR337" s="222" t="e">
        <f>CR338/CR342</f>
        <v>#DIV/0!</v>
      </c>
      <c r="CS337" s="222" t="e">
        <f>CS338/CS342</f>
        <v>#DIV/0!</v>
      </c>
      <c r="CT337" s="222" t="e">
        <f>CT338/CT342</f>
        <v>#DIV/0!</v>
      </c>
      <c r="CU337" s="222" t="e">
        <f>CU338/CU342</f>
        <v>#DIV/0!</v>
      </c>
      <c r="CV337" s="222" t="e">
        <f>CV338/CV342</f>
        <v>#DIV/0!</v>
      </c>
      <c r="CW337" s="222" t="e">
        <f>CW338/CW342</f>
        <v>#DIV/0!</v>
      </c>
      <c r="CX337" s="222" t="e">
        <f>CX338/CX342</f>
        <v>#DIV/0!</v>
      </c>
      <c r="CY337" s="222" t="e">
        <f>CY338/CY342</f>
        <v>#DIV/0!</v>
      </c>
    </row>
    <row r="338" customFormat="1" s="233">
      <c r="A338" s="224" t="n"/>
      <c r="B338" s="224" t="n"/>
      <c r="C338" s="233" t="inlineStr">
        <is>
          <t>NOPLAT</t>
        </is>
      </c>
      <c r="D338" s="233">
        <f>D339*(1-D340)</f>
        <v>1794.81477832512</v>
      </c>
      <c r="E338" s="233">
        <f>E339*(1-E340)</f>
        <v>1728.76452599388</v>
      </c>
      <c r="F338" s="233">
        <f>F339*(1-F340)</f>
        <v>1830.5890077821</v>
      </c>
      <c r="G338" s="233">
        <f>G339*(1-G340)</f>
        <v>1875.57750342936</v>
      </c>
      <c r="H338" s="233">
        <f>H339*(1-H340)</f>
        <v>7230.09981785064</v>
      </c>
      <c r="I338" s="223">
        <f>I339*(1-I340)</f>
        <v>1812.90547263682</v>
      </c>
      <c r="J338" s="224">
        <f>J339*(1-J340)</f>
        <v>1833.40092165899</v>
      </c>
      <c r="K338" s="224">
        <f>K339*(1-K340)</f>
        <v>2074.39764359352</v>
      </c>
      <c r="L338" s="224">
        <f>L339*(1-L340)</f>
        <v>2020.19879518072</v>
      </c>
      <c r="M338" s="224">
        <f>M339*(1-M340)</f>
        <v>7630.69470198676</v>
      </c>
      <c r="N338" s="223">
        <f>N339*(1-N340)</f>
        <v>1625.37069383794</v>
      </c>
      <c r="O338" s="224">
        <f>O339*(1-O340)</f>
        <v>1838.08181818182</v>
      </c>
      <c r="P338" s="224">
        <f>P339*(1-P340)</f>
        <v>1828.82420200095</v>
      </c>
      <c r="Q338" s="224">
        <f>Q339*(1-Q340)</f>
        <v>2001.92511415525</v>
      </c>
      <c r="R338" s="224">
        <f>R339*(1-R340)</f>
        <v>7163.28383233533</v>
      </c>
      <c r="S338" s="223">
        <f>S339*(1-S340)</f>
        <v>1725.42276830491</v>
      </c>
      <c r="T338" s="224">
        <f>T339*(1-T340)</f>
        <v>1789.10019940179</v>
      </c>
      <c r="U338" s="224">
        <f>U339*(1-U340)</f>
        <v>1760.7414234511</v>
      </c>
      <c r="V338" s="224">
        <f>V339*(1-V340)</f>
        <v>1994.74965034965</v>
      </c>
      <c r="W338" s="224">
        <f>W339*(1-W340)</f>
        <v>7269.50358113114</v>
      </c>
      <c r="X338" s="223">
        <f>X339*(1-X340)</f>
        <v>1708.34059945504</v>
      </c>
      <c r="Y338" s="224">
        <f>Y339*(1-Y340)</f>
        <v>1809.48049281314</v>
      </c>
      <c r="Z338" s="224">
        <f>Z339*(1-Z340)</f>
        <v>1810.85505735141</v>
      </c>
      <c r="AA338" s="224">
        <f>AA339*(1-AA340)</f>
        <v>706.728323699422</v>
      </c>
      <c r="AB338" s="224">
        <f>AB339*(1-AB340)</f>
        <v>6016.29710610933</v>
      </c>
      <c r="AC338" s="223">
        <f>AC339*(1-AC340)</f>
        <v>1994.5304518664</v>
      </c>
      <c r="AD338" s="224">
        <f>AD339*(1-AD340)</f>
        <v>613.467625899281</v>
      </c>
      <c r="AE338" s="224">
        <f>AE339*(1-AE340)</f>
        <v>1904.70588235294</v>
      </c>
      <c r="AF338" s="224">
        <f>AF339*(1-AF340)</f>
        <v>2046.28608752449</v>
      </c>
      <c r="AG338" s="224">
        <f>AG339*(1-AG340)</f>
        <v>6549.54863221884</v>
      </c>
      <c r="AH338" s="223">
        <f>AH339*(1-AH340)</f>
        <v>1730.40811724915</v>
      </c>
      <c r="AI338" s="224">
        <f>AI339*(1-AI340)</f>
        <v>2089.73553719008</v>
      </c>
      <c r="AJ338" s="224">
        <f>AJ339*(1-AJ340)</f>
        <v>0</v>
      </c>
      <c r="AK338" s="224">
        <f>AK339*(1-AK340)</f>
        <v>0</v>
      </c>
      <c r="AL338" s="224">
        <f>AL339*(1-AL340)</f>
        <v>3810.0585065435</v>
      </c>
      <c r="AM338" s="223">
        <f>AM339*(1-AM340)</f>
        <v>0</v>
      </c>
      <c r="AN338" s="224">
        <f>AN339*(1-AN340)</f>
        <v>0</v>
      </c>
      <c r="AO338" s="224">
        <f>AO339*(1-AO340)</f>
        <v>0</v>
      </c>
      <c r="AP338" s="224">
        <f>AP339*(1-AP340)</f>
        <v>0</v>
      </c>
      <c r="AQ338" s="224">
        <f>AQ339*(1-AQ340)</f>
        <v>0</v>
      </c>
      <c r="AR338" s="223">
        <f>AR339*(1-AR340)</f>
        <v>0</v>
      </c>
      <c r="AS338" s="224">
        <f>AS339*(1-AS340)</f>
        <v>0</v>
      </c>
      <c r="AT338" s="224">
        <f>AT339*(1-AT340)</f>
        <v>0</v>
      </c>
      <c r="AU338" s="224">
        <f>AU339*(1-AU340)</f>
        <v>0</v>
      </c>
      <c r="AV338" s="224">
        <f>AV339*(1-AV340)</f>
        <v>0</v>
      </c>
      <c r="AW338" s="223">
        <f>AW339*(1-AW340)</f>
        <v>0</v>
      </c>
      <c r="AX338" s="224">
        <f>AX339*(1-AX340)</f>
        <v>0</v>
      </c>
      <c r="AY338" s="224">
        <f>AY339*(1-AY340)</f>
        <v>0</v>
      </c>
      <c r="AZ338" s="224">
        <f>AZ339*(1-AZ340)</f>
        <v>0</v>
      </c>
      <c r="BA338" s="224">
        <f>BA339*(1-BA340)</f>
        <v>0</v>
      </c>
      <c r="BB338" s="223">
        <f>BB339*(1-BB340)</f>
        <v>0</v>
      </c>
      <c r="BC338" s="224">
        <f>BC339*(1-BC340)</f>
        <v>0</v>
      </c>
      <c r="BD338" s="224">
        <f>BD339*(1-BD340)</f>
        <v>0</v>
      </c>
      <c r="BE338" s="224">
        <f>BE339*(1-BE340)</f>
        <v>0</v>
      </c>
      <c r="BF338" s="224">
        <f>BF339*(1-BF340)</f>
        <v>0</v>
      </c>
      <c r="BG338" s="223">
        <f>BG339*(1-BG340)</f>
        <v>0</v>
      </c>
      <c r="BH338" s="224">
        <f>BH339*(1-BH340)</f>
        <v>0</v>
      </c>
      <c r="BI338" s="224">
        <f>BI339*(1-BI340)</f>
        <v>0</v>
      </c>
      <c r="BJ338" s="224">
        <f>BJ339*(1-BJ340)</f>
        <v>0</v>
      </c>
      <c r="BK338" s="224">
        <f>BK339*(1-BK340)</f>
        <v>0</v>
      </c>
      <c r="BL338" s="223">
        <f>BL339*(1-BL340)</f>
        <v>0</v>
      </c>
      <c r="BM338" s="224">
        <f>BM339*(1-BM340)</f>
        <v>0</v>
      </c>
      <c r="BN338" s="224">
        <f>BN339*(1-BN340)</f>
        <v>0</v>
      </c>
      <c r="BO338" s="224">
        <f>BO339*(1-BO340)</f>
        <v>0</v>
      </c>
      <c r="BP338" s="224">
        <f>BP339*(1-BP340)</f>
        <v>0</v>
      </c>
      <c r="BQ338" s="223">
        <f>BQ339*(1-BQ340)</f>
        <v>0</v>
      </c>
      <c r="BR338" s="224">
        <f>BR339*(1-BR340)</f>
        <v>0</v>
      </c>
      <c r="BS338" s="224">
        <f>BS339*(1-BS340)</f>
        <v>0</v>
      </c>
      <c r="BT338" s="224">
        <f>BT339*(1-BT340)</f>
        <v>0</v>
      </c>
      <c r="BU338" s="224">
        <f>BU339*(1-BU340)</f>
        <v>0</v>
      </c>
      <c r="BV338" s="223">
        <f>BV339*(1-BV340)</f>
        <v>0</v>
      </c>
      <c r="BW338" s="224">
        <f>BW339*(1-BW340)</f>
        <v>0</v>
      </c>
      <c r="BX338" s="224">
        <f>BX339*(1-BX340)</f>
        <v>0</v>
      </c>
      <c r="BY338" s="224">
        <f>BY339*(1-BY340)</f>
        <v>0</v>
      </c>
      <c r="BZ338" s="224">
        <f>BZ339*(1-BZ340)</f>
        <v>0</v>
      </c>
      <c r="CA338" s="223">
        <f>CA339*(1-CA340)</f>
        <v>0</v>
      </c>
      <c r="CB338" s="224">
        <f>CB339*(1-CB340)</f>
        <v>0</v>
      </c>
      <c r="CC338" s="224">
        <f>CC339*(1-CC340)</f>
        <v>0</v>
      </c>
      <c r="CD338" s="224">
        <f>CD339*(1-CD340)</f>
        <v>0</v>
      </c>
      <c r="CE338" s="224">
        <f>CE339*(1-CE340)</f>
        <v>0</v>
      </c>
      <c r="CF338" s="223">
        <f>CF339*(1-CF340)</f>
        <v>0</v>
      </c>
      <c r="CG338" s="224">
        <f>CG339*(1-CG340)</f>
        <v>0</v>
      </c>
      <c r="CH338" s="224">
        <f>CH339*(1-CH340)</f>
        <v>0</v>
      </c>
      <c r="CI338" s="224">
        <f>CI339*(1-CI340)</f>
        <v>0</v>
      </c>
      <c r="CJ338" s="224">
        <f>CJ339*(1-CJ340)</f>
        <v>0</v>
      </c>
      <c r="CK338" s="223">
        <f>CK339*(1-CK340)</f>
        <v>0</v>
      </c>
      <c r="CL338" s="224">
        <f>CL339*(1-CL340)</f>
        <v>0</v>
      </c>
      <c r="CM338" s="224">
        <f>CM339*(1-CM340)</f>
        <v>0</v>
      </c>
      <c r="CN338" s="224">
        <f>CN339*(1-CN340)</f>
        <v>0</v>
      </c>
      <c r="CO338" s="224">
        <f>CO339*(1-CO340)</f>
        <v>0</v>
      </c>
      <c r="CP338" s="223">
        <f>CP339*(1-CP340)</f>
        <v>0</v>
      </c>
      <c r="CQ338" s="224">
        <f>CQ339*(1-CQ340)</f>
        <v>0</v>
      </c>
      <c r="CR338" s="224">
        <f>CR339*(1-CR340)</f>
        <v>0</v>
      </c>
      <c r="CS338" s="224">
        <f>CS339*(1-CS340)</f>
        <v>0</v>
      </c>
      <c r="CT338" s="224">
        <f>CT339*(1-CT340)</f>
        <v>0</v>
      </c>
      <c r="CU338" s="223">
        <f>CU339*(1-CU340)</f>
        <v>0</v>
      </c>
      <c r="CV338" s="224">
        <f>CV339*(1-CV340)</f>
        <v>0</v>
      </c>
      <c r="CW338" s="224">
        <f>CW339*(1-CW340)</f>
        <v>0</v>
      </c>
      <c r="CX338" s="224">
        <f>CX339*(1-CX340)</f>
        <v>0</v>
      </c>
      <c r="CY338" s="224">
        <f>CY339*(1-CY340)</f>
        <v>0</v>
      </c>
    </row>
    <row r="339" customFormat="1" s="233">
      <c r="A339" s="224" t="n"/>
      <c r="B339" s="224" t="n"/>
      <c r="C339" s="233" t="inlineStr">
        <is>
          <t>EBIT</t>
        </is>
      </c>
      <c r="D339" s="239">
        <f>D64</f>
        <v>2122</v>
      </c>
      <c r="E339" s="239">
        <f>E64</f>
        <v>2086</v>
      </c>
      <c r="F339" s="239">
        <f>F64</f>
        <v>2147</v>
      </c>
      <c r="G339" s="239">
        <f>G64</f>
        <v>2289</v>
      </c>
      <c r="H339" s="239">
        <f>H64</f>
        <v>8644</v>
      </c>
      <c r="I339" s="36">
        <f>I64</f>
        <v>2182</v>
      </c>
      <c r="J339" s="36">
        <f>J64</f>
        <v>2192</v>
      </c>
      <c r="K339" s="36">
        <f>K64</f>
        <v>2294</v>
      </c>
      <c r="L339" s="36">
        <f>L64</f>
        <v>2455</v>
      </c>
      <c r="M339" s="36">
        <f>M64</f>
        <v>9123</v>
      </c>
      <c r="N339" s="36">
        <f>N64</f>
        <v>1933</v>
      </c>
      <c r="O339" s="36">
        <f>O64</f>
        <v>1963</v>
      </c>
      <c r="P339" s="36">
        <f>P64</f>
        <v>2159</v>
      </c>
      <c r="Q339" s="36">
        <f>Q64</f>
        <v>2293</v>
      </c>
      <c r="R339" s="36">
        <f>R64</f>
        <v>8348</v>
      </c>
      <c r="S339" s="36">
        <f>S64</f>
        <v>2037</v>
      </c>
      <c r="T339" s="36">
        <f>T64</f>
        <v>2135</v>
      </c>
      <c r="U339" s="36">
        <f>U64</f>
        <v>2042</v>
      </c>
      <c r="V339" s="36">
        <f>V64</f>
        <v>2293</v>
      </c>
      <c r="W339" s="36">
        <f>W64</f>
        <v>8507</v>
      </c>
      <c r="X339" s="36">
        <f>X64</f>
        <v>2029</v>
      </c>
      <c r="Y339" s="36">
        <f>Y64</f>
        <v>2148</v>
      </c>
      <c r="Z339" s="36">
        <f>Z64</f>
        <v>2140</v>
      </c>
      <c r="AA339" s="36">
        <f>AA64</f>
        <v>696</v>
      </c>
      <c r="AB339" s="36">
        <f>AB64</f>
        <v>7013</v>
      </c>
      <c r="AC339" s="36">
        <f>AC64</f>
        <v>2372</v>
      </c>
      <c r="AD339" s="36">
        <f>AD64</f>
        <v>748</v>
      </c>
      <c r="AE339" s="36">
        <f>AE64</f>
        <v>2280</v>
      </c>
      <c r="AF339" s="36">
        <f>AF64</f>
        <v>2331</v>
      </c>
      <c r="AG339" s="36">
        <f>AG64</f>
        <v>7731</v>
      </c>
      <c r="AH339" s="36">
        <f>AH64</f>
        <v>2063</v>
      </c>
      <c r="AI339" s="36">
        <f>AI64</f>
        <v>2479</v>
      </c>
      <c r="AJ339" s="36">
        <f>AJ64</f>
        <v>0</v>
      </c>
      <c r="AK339" s="36">
        <f>AK64</f>
        <v>0</v>
      </c>
      <c r="AL339" s="36">
        <f>AL64</f>
        <v>4542</v>
      </c>
      <c r="AM339" s="36">
        <f>AM64</f>
        <v>0</v>
      </c>
      <c r="AN339" s="36">
        <f>AN64</f>
        <v>0</v>
      </c>
      <c r="AO339" s="36">
        <f>AO64</f>
        <v>0</v>
      </c>
      <c r="AP339" s="36">
        <f>AP64</f>
        <v>0</v>
      </c>
      <c r="AQ339" s="36">
        <f>AQ64</f>
        <v>0</v>
      </c>
      <c r="AR339" s="36">
        <f>AR64</f>
        <v>0</v>
      </c>
      <c r="AS339" s="36">
        <f>AS64</f>
        <v>0</v>
      </c>
      <c r="AT339" s="36">
        <f>AT64</f>
        <v>0</v>
      </c>
      <c r="AU339" s="36">
        <f>AU64</f>
        <v>0</v>
      </c>
      <c r="AV339" s="36">
        <f>AV64</f>
        <v>0</v>
      </c>
      <c r="AW339" s="36">
        <f>AW64</f>
        <v>0</v>
      </c>
      <c r="AX339" s="36">
        <f>AX64</f>
        <v>0</v>
      </c>
      <c r="AY339" s="36">
        <f>AY64</f>
        <v>0</v>
      </c>
      <c r="AZ339" s="36">
        <f>AZ64</f>
        <v>0</v>
      </c>
      <c r="BA339" s="36">
        <f>BA64</f>
        <v>0</v>
      </c>
      <c r="BB339" s="36">
        <f>BB64</f>
        <v>0</v>
      </c>
      <c r="BC339" s="36">
        <f>BC64</f>
        <v>0</v>
      </c>
      <c r="BD339" s="36">
        <f>BD64</f>
        <v>0</v>
      </c>
      <c r="BE339" s="36">
        <f>BE64</f>
        <v>0</v>
      </c>
      <c r="BF339" s="36">
        <f>BF64</f>
        <v>0</v>
      </c>
      <c r="BG339" s="36">
        <f>BG64</f>
        <v>0</v>
      </c>
      <c r="BH339" s="36">
        <f>BH64</f>
        <v>0</v>
      </c>
      <c r="BI339" s="36">
        <f>BI64</f>
        <v>0</v>
      </c>
      <c r="BJ339" s="36">
        <f>BJ64</f>
        <v>0</v>
      </c>
      <c r="BK339" s="36">
        <f>BK64</f>
        <v>0</v>
      </c>
      <c r="BL339" s="36">
        <f>BL64</f>
        <v>0</v>
      </c>
      <c r="BM339" s="36">
        <f>BM64</f>
        <v>0</v>
      </c>
      <c r="BN339" s="36">
        <f>BN64</f>
        <v>0</v>
      </c>
      <c r="BO339" s="36">
        <f>BO64</f>
        <v>0</v>
      </c>
      <c r="BP339" s="36">
        <f>BP64</f>
        <v>0</v>
      </c>
      <c r="BQ339" s="36">
        <f>BQ64</f>
        <v>0</v>
      </c>
      <c r="BR339" s="36">
        <f>BR64</f>
        <v>0</v>
      </c>
      <c r="BS339" s="36">
        <f>BS64</f>
        <v>0</v>
      </c>
      <c r="BT339" s="36">
        <f>BT64</f>
        <v>0</v>
      </c>
      <c r="BU339" s="36">
        <f>BU64</f>
        <v>0</v>
      </c>
      <c r="BV339" s="36">
        <f>BV64</f>
        <v>0</v>
      </c>
      <c r="BW339" s="36">
        <f>BW64</f>
        <v>0</v>
      </c>
      <c r="BX339" s="36">
        <f>BX64</f>
        <v>0</v>
      </c>
      <c r="BY339" s="36">
        <f>BY64</f>
        <v>0</v>
      </c>
      <c r="BZ339" s="36">
        <f>BZ64</f>
        <v>0</v>
      </c>
      <c r="CA339" s="36">
        <f>CA64</f>
        <v>0</v>
      </c>
      <c r="CB339" s="36">
        <f>CB64</f>
        <v>0</v>
      </c>
      <c r="CC339" s="36">
        <f>CC64</f>
        <v>0</v>
      </c>
      <c r="CD339" s="36">
        <f>CD64</f>
        <v>0</v>
      </c>
      <c r="CE339" s="36">
        <f>CE64</f>
        <v>0</v>
      </c>
      <c r="CF339" s="36">
        <f>CF64</f>
        <v>0</v>
      </c>
      <c r="CG339" s="36">
        <f>CG64</f>
        <v>0</v>
      </c>
      <c r="CH339" s="36">
        <f>CH64</f>
        <v>0</v>
      </c>
      <c r="CI339" s="36">
        <f>CI64</f>
        <v>0</v>
      </c>
      <c r="CJ339" s="36">
        <f>CJ64</f>
        <v>0</v>
      </c>
      <c r="CK339" s="36">
        <f>CK64</f>
        <v>0</v>
      </c>
      <c r="CL339" s="36">
        <f>CL64</f>
        <v>0</v>
      </c>
      <c r="CM339" s="36">
        <f>CM64</f>
        <v>0</v>
      </c>
      <c r="CN339" s="36">
        <f>CN64</f>
        <v>0</v>
      </c>
      <c r="CO339" s="36">
        <f>CO64</f>
        <v>0</v>
      </c>
      <c r="CP339" s="36">
        <f>CP64</f>
        <v>0</v>
      </c>
      <c r="CQ339" s="36">
        <f>CQ64</f>
        <v>0</v>
      </c>
      <c r="CR339" s="36">
        <f>CR64</f>
        <v>0</v>
      </c>
      <c r="CS339" s="36">
        <f>CS64</f>
        <v>0</v>
      </c>
      <c r="CT339" s="36">
        <f>CT64</f>
        <v>0</v>
      </c>
      <c r="CU339" s="36">
        <f>CU64</f>
        <v>0</v>
      </c>
      <c r="CV339" s="36">
        <f>CV64</f>
        <v>0</v>
      </c>
      <c r="CW339" s="36">
        <f>CW64</f>
        <v>0</v>
      </c>
      <c r="CX339" s="36">
        <f>CX64</f>
        <v>0</v>
      </c>
      <c r="CY339" s="36">
        <f>CY64</f>
        <v>0</v>
      </c>
    </row>
    <row r="340" customFormat="1" s="233">
      <c r="A340" s="224" t="n"/>
      <c r="B340" s="224" t="n"/>
      <c r="C340" s="233" t="inlineStr">
        <is>
          <t>ETR</t>
        </is>
      </c>
      <c r="D340" s="240">
        <f>D123</f>
        <v>0.154187192118227</v>
      </c>
      <c r="E340" s="240">
        <f>E123</f>
        <v>0.171253822629969</v>
      </c>
      <c r="F340" s="240">
        <f>F123</f>
        <v>0.147373540856031</v>
      </c>
      <c r="G340" s="240">
        <f>G123</f>
        <v>0.180612711476909</v>
      </c>
      <c r="H340" s="240">
        <f>H123</f>
        <v>0.163570127504554</v>
      </c>
      <c r="I340" s="225">
        <f>I123</f>
        <v>0.169154228855721</v>
      </c>
      <c r="J340" s="225">
        <f>J123</f>
        <v>0.163594470046083</v>
      </c>
      <c r="K340" s="225">
        <f>K123</f>
        <v>0.0957290132547865</v>
      </c>
      <c r="L340" s="225">
        <f>L123</f>
        <v>0.17710843373494</v>
      </c>
      <c r="M340" s="225">
        <f>M123</f>
        <v>0.163576158940397</v>
      </c>
      <c r="N340" s="225">
        <f>N123</f>
        <v>0.159146045608928</v>
      </c>
      <c r="O340" s="225">
        <f>O123</f>
        <v>0.0636363636363636</v>
      </c>
      <c r="P340" s="225">
        <f>P123</f>
        <v>0.152929966650786</v>
      </c>
      <c r="Q340" s="225">
        <f>Q123</f>
        <v>0.126940639269406</v>
      </c>
      <c r="R340" s="225">
        <f>R123</f>
        <v>0.141916167664671</v>
      </c>
      <c r="S340" s="225">
        <f>S123</f>
        <v>0.15295887662989</v>
      </c>
      <c r="T340" s="225">
        <f>T123</f>
        <v>0.162013958125623</v>
      </c>
      <c r="U340" s="225">
        <f>U123</f>
        <v>0.13773681515617</v>
      </c>
      <c r="V340" s="225">
        <f>V123</f>
        <v>0.13006993006993</v>
      </c>
      <c r="W340" s="225">
        <f>W123</f>
        <v>0.14546801679427</v>
      </c>
      <c r="X340" s="225">
        <f>X123</f>
        <v>0.158038147138965</v>
      </c>
      <c r="Y340" s="225">
        <f>Y123</f>
        <v>0.157597535934292</v>
      </c>
      <c r="Z340" s="225">
        <f>Z123</f>
        <v>0.153806047966632</v>
      </c>
      <c r="AA340" s="225">
        <f>AA123</f>
        <v>-0.0154142581888247</v>
      </c>
      <c r="AB340" s="225">
        <f>AB123</f>
        <v>0.142122186495177</v>
      </c>
      <c r="AC340" s="225">
        <f>AC123</f>
        <v>0.159135559921415</v>
      </c>
      <c r="AD340" s="225">
        <f>AD123</f>
        <v>0.179856115107914</v>
      </c>
      <c r="AE340" s="225">
        <f>AE123</f>
        <v>0.164602683178535</v>
      </c>
      <c r="AF340" s="225">
        <f>AF123</f>
        <v>0.122142390594383</v>
      </c>
      <c r="AG340" s="225">
        <f>AG123</f>
        <v>0.152819993245525</v>
      </c>
      <c r="AH340" s="225">
        <f>AH123</f>
        <v>0.161217587373168</v>
      </c>
      <c r="AI340" s="225">
        <f>AI123</f>
        <v>0.15702479338843</v>
      </c>
      <c r="AJ340" s="225">
        <f>AJ123</f>
        <v>0</v>
      </c>
      <c r="AK340" s="225">
        <f>AK123</f>
        <v>0</v>
      </c>
      <c r="AL340" s="225">
        <f>AL123</f>
        <v>0.161149602258147</v>
      </c>
      <c r="AM340" s="225">
        <f>AM123</f>
        <v>0</v>
      </c>
      <c r="AN340" s="225">
        <f>AN123</f>
        <v>0</v>
      </c>
      <c r="AO340" s="225">
        <f>AO123</f>
        <v>0</v>
      </c>
      <c r="AP340" s="225">
        <f>AP123</f>
        <v>0</v>
      </c>
      <c r="AQ340" s="225">
        <f>AQ123</f>
        <v>0</v>
      </c>
      <c r="AR340" s="225">
        <f>AR123</f>
        <v>0</v>
      </c>
      <c r="AS340" s="225">
        <f>AS123</f>
        <v>0</v>
      </c>
      <c r="AT340" s="225">
        <f>AT123</f>
        <v>0</v>
      </c>
      <c r="AU340" s="225">
        <f>AU123</f>
        <v>0</v>
      </c>
      <c r="AV340" s="225">
        <f>AV123</f>
        <v>0</v>
      </c>
      <c r="AW340" s="225">
        <f>AW123</f>
        <v>0</v>
      </c>
      <c r="AX340" s="225">
        <f>AX123</f>
        <v>0</v>
      </c>
      <c r="AY340" s="225">
        <f>AY123</f>
        <v>0</v>
      </c>
      <c r="AZ340" s="225">
        <f>AZ123</f>
        <v>0</v>
      </c>
      <c r="BA340" s="225">
        <f>BA123</f>
        <v>0</v>
      </c>
      <c r="BB340" s="225">
        <f>BB123</f>
        <v>0</v>
      </c>
      <c r="BC340" s="225">
        <f>BC123</f>
        <v>0</v>
      </c>
      <c r="BD340" s="225">
        <f>BD123</f>
        <v>0</v>
      </c>
      <c r="BE340" s="225">
        <f>BE123</f>
        <v>0</v>
      </c>
      <c r="BF340" s="225">
        <f>BF123</f>
        <v>0</v>
      </c>
      <c r="BG340" s="225">
        <f>BG123</f>
        <v>0</v>
      </c>
      <c r="BH340" s="225">
        <f>BH123</f>
        <v>0</v>
      </c>
      <c r="BI340" s="225">
        <f>BI123</f>
        <v>0</v>
      </c>
      <c r="BJ340" s="225">
        <f>BJ123</f>
        <v>0</v>
      </c>
      <c r="BK340" s="225">
        <f>BK123</f>
        <v>0</v>
      </c>
      <c r="BL340" s="225">
        <f>BL123</f>
        <v>0</v>
      </c>
      <c r="BM340" s="225">
        <f>BM123</f>
        <v>0</v>
      </c>
      <c r="BN340" s="225">
        <f>BN123</f>
        <v>0</v>
      </c>
      <c r="BO340" s="225">
        <f>BO123</f>
        <v>0</v>
      </c>
      <c r="BP340" s="225">
        <f>BP123</f>
        <v>0</v>
      </c>
      <c r="BQ340" s="225">
        <f>BQ123</f>
        <v>0</v>
      </c>
      <c r="BR340" s="225">
        <f>BR123</f>
        <v>0</v>
      </c>
      <c r="BS340" s="225">
        <f>BS123</f>
        <v>0</v>
      </c>
      <c r="BT340" s="225">
        <f>BT123</f>
        <v>0</v>
      </c>
      <c r="BU340" s="225">
        <f>BU123</f>
        <v>0</v>
      </c>
      <c r="BV340" s="225">
        <f>BV123</f>
        <v>0</v>
      </c>
      <c r="BW340" s="225">
        <f>BW123</f>
        <v>0</v>
      </c>
      <c r="BX340" s="225">
        <f>BX123</f>
        <v>0</v>
      </c>
      <c r="BY340" s="225">
        <f>BY123</f>
        <v>0</v>
      </c>
      <c r="BZ340" s="225">
        <f>BZ123</f>
        <v>0</v>
      </c>
      <c r="CA340" s="225">
        <f>CA123</f>
        <v>0</v>
      </c>
      <c r="CB340" s="225">
        <f>CB123</f>
        <v>0</v>
      </c>
      <c r="CC340" s="225">
        <f>CC123</f>
        <v>0</v>
      </c>
      <c r="CD340" s="225">
        <f>CD123</f>
        <v>0</v>
      </c>
      <c r="CE340" s="225">
        <f>CE123</f>
        <v>0</v>
      </c>
      <c r="CF340" s="225">
        <f>CF123</f>
        <v>0</v>
      </c>
      <c r="CG340" s="225">
        <f>CG123</f>
        <v>0</v>
      </c>
      <c r="CH340" s="225">
        <f>CH123</f>
        <v>0</v>
      </c>
      <c r="CI340" s="225">
        <f>CI123</f>
        <v>0</v>
      </c>
      <c r="CJ340" s="225">
        <f>CJ123</f>
        <v>0</v>
      </c>
      <c r="CK340" s="225">
        <f>CK123</f>
        <v>0</v>
      </c>
      <c r="CL340" s="225">
        <f>CL123</f>
        <v>0</v>
      </c>
      <c r="CM340" s="225">
        <f>CM123</f>
        <v>0</v>
      </c>
      <c r="CN340" s="225">
        <f>CN123</f>
        <v>0</v>
      </c>
      <c r="CO340" s="225">
        <f>CO123</f>
        <v>0</v>
      </c>
      <c r="CP340" s="225">
        <f>CP123</f>
        <v>0</v>
      </c>
      <c r="CQ340" s="225">
        <f>CQ123</f>
        <v>0</v>
      </c>
      <c r="CR340" s="225">
        <f>CR123</f>
        <v>0</v>
      </c>
      <c r="CS340" s="225">
        <f>CS123</f>
        <v>0</v>
      </c>
      <c r="CT340" s="225">
        <f>CT123</f>
        <v>0</v>
      </c>
      <c r="CU340" s="225">
        <f>CU123</f>
        <v>0</v>
      </c>
      <c r="CV340" s="225">
        <f>CV123</f>
        <v>0</v>
      </c>
      <c r="CW340" s="225">
        <f>CW123</f>
        <v>0</v>
      </c>
      <c r="CX340" s="225">
        <f>CX123</f>
        <v>0</v>
      </c>
      <c r="CY340" s="225">
        <f>CY123</f>
        <v>0</v>
      </c>
    </row>
    <row r="341" customFormat="1" s="233">
      <c r="A341" s="224" t="n"/>
      <c r="B341" s="224" t="n"/>
      <c r="C341" s="233" t="inlineStr">
        <is>
          <t>INVESTED CAPITAL</t>
        </is>
      </c>
      <c r="D341" s="239">
        <f>D344-D345+D346</f>
        <v>14188</v>
      </c>
      <c r="E341" s="239">
        <f>E344-E345+E346</f>
        <v>13605</v>
      </c>
      <c r="F341" s="239">
        <f>F344-F345+F346</f>
        <v>14076</v>
      </c>
      <c r="G341" s="239">
        <f>G344-G345+G346</f>
        <v>15047</v>
      </c>
      <c r="H341" s="239">
        <f>H344-H345+H346</f>
        <v>15047</v>
      </c>
      <c r="I341" s="36">
        <f>I344-I345+I346</f>
        <v>15563</v>
      </c>
      <c r="J341" s="36">
        <f>J344-J345+J346</f>
        <v>15956</v>
      </c>
      <c r="K341" s="36">
        <f>K344-K345+K346</f>
        <v>18578</v>
      </c>
      <c r="L341" s="36">
        <f>L344-L345+L346</f>
        <v>19031</v>
      </c>
      <c r="M341" s="36">
        <f>M344-M345+M346</f>
        <v>19031</v>
      </c>
      <c r="N341" s="36">
        <f>N344-N345+N346</f>
        <v>19764</v>
      </c>
      <c r="O341" s="36">
        <f>O344-O345+O346</f>
        <v>21301</v>
      </c>
      <c r="P341" s="36">
        <f>P344-P345+P346</f>
        <v>21016</v>
      </c>
      <c r="Q341" s="36">
        <f>Q344-Q345+Q346</f>
        <v>22148</v>
      </c>
      <c r="R341" s="36">
        <f>R344-R345+R346</f>
        <v>22148</v>
      </c>
      <c r="S341" s="36">
        <f>S344-S345+S346</f>
        <v>22806</v>
      </c>
      <c r="T341" s="36">
        <f>T344-T345+T346</f>
        <v>23112</v>
      </c>
      <c r="U341" s="36">
        <f>U344-U345+U346</f>
        <v>23112</v>
      </c>
      <c r="V341" s="36">
        <f>V344-V345+V346</f>
        <v>22852</v>
      </c>
      <c r="W341" s="36">
        <f>W344-W345+W346</f>
        <v>22852</v>
      </c>
      <c r="X341" s="36">
        <f>X344-X345+X346</f>
        <v>23278</v>
      </c>
      <c r="Y341" s="36">
        <f>Y344-Y345+Y346</f>
        <v>22909</v>
      </c>
      <c r="Z341" s="36">
        <f>Z344-Z345+Z346</f>
        <v>23370</v>
      </c>
      <c r="AA341" s="36">
        <f>AA344-AA345+AA346</f>
        <v>24120</v>
      </c>
      <c r="AB341" s="36">
        <f>AB344-AB345+AB346</f>
        <v>24120</v>
      </c>
      <c r="AC341" s="36">
        <f>AC344-AC345+AC346</f>
        <v>25184</v>
      </c>
      <c r="AD341" s="36">
        <f>AD344-AD345+AD346</f>
        <v>25679</v>
      </c>
      <c r="AE341" s="36">
        <f>AE344-AE345+AE346</f>
        <v>24900</v>
      </c>
      <c r="AF341" s="36">
        <f>AF344-AF345+AF346</f>
        <v>24300</v>
      </c>
      <c r="AG341" s="36">
        <f>AG344-AG345+AG346</f>
        <v>24300</v>
      </c>
      <c r="AH341" s="36">
        <f>AH344-AH345+AH346</f>
        <v>26292</v>
      </c>
      <c r="AI341" s="36">
        <f>AI344-AI345+AI346</f>
        <v>25515</v>
      </c>
      <c r="AJ341" s="36">
        <f>AJ344-AJ345+AJ346</f>
        <v>23879</v>
      </c>
      <c r="AK341" s="36">
        <f>AK344-AK345+AK346</f>
        <v>23879</v>
      </c>
      <c r="AL341" s="36">
        <f>AL344-AL345+AL346</f>
        <v>23879</v>
      </c>
      <c r="AM341" s="36" t="e">
        <f>AM344-AM345+AM346</f>
        <v>#DIV/0!</v>
      </c>
      <c r="AN341" s="36">
        <f>AN344-AN345+AN346</f>
        <v>23879</v>
      </c>
      <c r="AO341" s="36" t="e">
        <f>AO344-AO345+AO346</f>
        <v>#DIV/0!</v>
      </c>
      <c r="AP341" s="36" t="e">
        <f>AP344-AP345+AP346</f>
        <v>#DIV/0!</v>
      </c>
      <c r="AQ341" s="36" t="e">
        <f>AQ344-AQ345+AQ346</f>
        <v>#DIV/0!</v>
      </c>
      <c r="AR341" s="36" t="e">
        <f>AR344-AR345+AR346</f>
        <v>#DIV/0!</v>
      </c>
      <c r="AS341" s="36" t="e">
        <f>AS344-AS345+AS346</f>
        <v>#DIV/0!</v>
      </c>
      <c r="AT341" s="36" t="e">
        <f>AT344-AT345+AT346</f>
        <v>#DIV/0!</v>
      </c>
      <c r="AU341" s="36" t="e">
        <f>AU344-AU345+AU346</f>
        <v>#DIV/0!</v>
      </c>
      <c r="AV341" s="36" t="e">
        <f>AV344-AV345+AV346</f>
        <v>#DIV/0!</v>
      </c>
      <c r="AW341" s="36" t="e">
        <f>AW344-AW345+AW346</f>
        <v>#DIV/0!</v>
      </c>
      <c r="AX341" s="36" t="e">
        <f>AX344-AX345+AX346</f>
        <v>#DIV/0!</v>
      </c>
      <c r="AY341" s="36" t="e">
        <f>AY344-AY345+AY346</f>
        <v>#DIV/0!</v>
      </c>
      <c r="AZ341" s="36" t="e">
        <f>AZ344-AZ345+AZ346</f>
        <v>#DIV/0!</v>
      </c>
      <c r="BA341" s="36" t="e">
        <f>BA344-BA345+BA346</f>
        <v>#DIV/0!</v>
      </c>
      <c r="BB341" s="36" t="e">
        <f>BB344-BB345+BB346</f>
        <v>#DIV/0!</v>
      </c>
      <c r="BC341" s="36" t="e">
        <f>BC344-BC345+BC346</f>
        <v>#DIV/0!</v>
      </c>
      <c r="BD341" s="36" t="e">
        <f>BD344-BD345+BD346</f>
        <v>#DIV/0!</v>
      </c>
      <c r="BE341" s="36" t="e">
        <f>BE344-BE345+BE346</f>
        <v>#DIV/0!</v>
      </c>
      <c r="BF341" s="36" t="e">
        <f>BF344-BF345+BF346</f>
        <v>#DIV/0!</v>
      </c>
      <c r="BG341" s="36" t="e">
        <f>BG344-BG345+BG346</f>
        <v>#DIV/0!</v>
      </c>
      <c r="BH341" s="36" t="e">
        <f>BH344-BH345+BH346</f>
        <v>#DIV/0!</v>
      </c>
      <c r="BI341" s="36" t="e">
        <f>BI344-BI345+BI346</f>
        <v>#DIV/0!</v>
      </c>
      <c r="BJ341" s="36" t="e">
        <f>BJ344-BJ345+BJ346</f>
        <v>#DIV/0!</v>
      </c>
      <c r="BK341" s="36" t="e">
        <f>BK344-BK345+BK346</f>
        <v>#DIV/0!</v>
      </c>
      <c r="BL341" s="36" t="e">
        <f>BL344-BL345+BL346</f>
        <v>#DIV/0!</v>
      </c>
      <c r="BM341" s="36" t="e">
        <f>BM344-BM345+BM346</f>
        <v>#DIV/0!</v>
      </c>
      <c r="BN341" s="36" t="e">
        <f>BN344-BN345+BN346</f>
        <v>#DIV/0!</v>
      </c>
      <c r="BO341" s="36" t="e">
        <f>BO344-BO345+BO346</f>
        <v>#DIV/0!</v>
      </c>
      <c r="BP341" s="36" t="e">
        <f>BP344-BP345+BP346</f>
        <v>#DIV/0!</v>
      </c>
      <c r="BQ341" s="36" t="e">
        <f>BQ344-BQ345+BQ346</f>
        <v>#DIV/0!</v>
      </c>
      <c r="BR341" s="36" t="e">
        <f>BR344-BR345+BR346</f>
        <v>#DIV/0!</v>
      </c>
      <c r="BS341" s="36" t="e">
        <f>BS344-BS345+BS346</f>
        <v>#DIV/0!</v>
      </c>
      <c r="BT341" s="36" t="e">
        <f>BT344-BT345+BT346</f>
        <v>#DIV/0!</v>
      </c>
      <c r="BU341" s="36" t="e">
        <f>BU344-BU345+BU346</f>
        <v>#DIV/0!</v>
      </c>
      <c r="BV341" s="36" t="e">
        <f>BV344-BV345+BV346</f>
        <v>#DIV/0!</v>
      </c>
      <c r="BW341" s="36" t="e">
        <f>BW344-BW345+BW346</f>
        <v>#DIV/0!</v>
      </c>
      <c r="BX341" s="36" t="e">
        <f>BX344-BX345+BX346</f>
        <v>#DIV/0!</v>
      </c>
      <c r="BY341" s="36" t="e">
        <f>BY344-BY345+BY346</f>
        <v>#DIV/0!</v>
      </c>
      <c r="BZ341" s="36" t="e">
        <f>BZ344-BZ345+BZ346</f>
        <v>#DIV/0!</v>
      </c>
      <c r="CA341" s="36" t="e">
        <f>CA344-CA345+CA346</f>
        <v>#DIV/0!</v>
      </c>
      <c r="CB341" s="36" t="e">
        <f>CB344-CB345+CB346</f>
        <v>#DIV/0!</v>
      </c>
      <c r="CC341" s="36" t="e">
        <f>CC344-CC345+CC346</f>
        <v>#DIV/0!</v>
      </c>
      <c r="CD341" s="36" t="e">
        <f>CD344-CD345+CD346</f>
        <v>#DIV/0!</v>
      </c>
      <c r="CE341" s="36" t="e">
        <f>CE344-CE345+CE346</f>
        <v>#DIV/0!</v>
      </c>
      <c r="CF341" s="36" t="e">
        <f>CF344-CF345+CF346</f>
        <v>#DIV/0!</v>
      </c>
      <c r="CG341" s="36" t="e">
        <f>CG344-CG345+CG346</f>
        <v>#DIV/0!</v>
      </c>
      <c r="CH341" s="36" t="e">
        <f>CH344-CH345+CH346</f>
        <v>#DIV/0!</v>
      </c>
      <c r="CI341" s="36" t="e">
        <f>CI344-CI345+CI346</f>
        <v>#DIV/0!</v>
      </c>
      <c r="CJ341" s="36" t="e">
        <f>CJ344-CJ345+CJ346</f>
        <v>#DIV/0!</v>
      </c>
      <c r="CK341" s="36" t="e">
        <f>CK344-CK345+CK346</f>
        <v>#DIV/0!</v>
      </c>
      <c r="CL341" s="36" t="e">
        <f>CL344-CL345+CL346</f>
        <v>#DIV/0!</v>
      </c>
      <c r="CM341" s="36" t="e">
        <f>CM344-CM345+CM346</f>
        <v>#DIV/0!</v>
      </c>
      <c r="CN341" s="36" t="e">
        <f>CN344-CN345+CN346</f>
        <v>#DIV/0!</v>
      </c>
      <c r="CO341" s="36" t="e">
        <f>CO344-CO345+CO346</f>
        <v>#DIV/0!</v>
      </c>
      <c r="CP341" s="36" t="e">
        <f>CP344-CP345+CP346</f>
        <v>#DIV/0!</v>
      </c>
      <c r="CQ341" s="36" t="e">
        <f>CQ344-CQ345+CQ346</f>
        <v>#DIV/0!</v>
      </c>
      <c r="CR341" s="36" t="e">
        <f>CR344-CR345+CR346</f>
        <v>#DIV/0!</v>
      </c>
      <c r="CS341" s="36" t="e">
        <f>CS344-CS345+CS346</f>
        <v>#DIV/0!</v>
      </c>
      <c r="CT341" s="36" t="e">
        <f>CT344-CT345+CT346</f>
        <v>#DIV/0!</v>
      </c>
      <c r="CU341" s="36" t="e">
        <f>CU344-CU345+CU346</f>
        <v>#DIV/0!</v>
      </c>
      <c r="CV341" s="36" t="e">
        <f>CV344-CV345+CV346</f>
        <v>#DIV/0!</v>
      </c>
      <c r="CW341" s="36" t="e">
        <f>CW344-CW345+CW346</f>
        <v>#DIV/0!</v>
      </c>
      <c r="CX341" s="36" t="e">
        <f>CX344-CX345+CX346</f>
        <v>#DIV/0!</v>
      </c>
      <c r="CY341" s="36" t="e">
        <f>CY344-CY345+CY346</f>
        <v>#DIV/0!</v>
      </c>
    </row>
    <row r="342" customFormat="1" s="233">
      <c r="A342" s="224" t="n"/>
      <c r="B342" s="224" t="n"/>
      <c r="C342" s="233" t="inlineStr">
        <is>
          <t>INVESTED CAPITAL - EX GOODWILL</t>
        </is>
      </c>
      <c r="D342" s="241">
        <f>D341-D170</f>
        <v>3623</v>
      </c>
      <c r="E342" s="241">
        <f>E341-E170</f>
        <v>3026</v>
      </c>
      <c r="F342" s="241">
        <f>F341-F170</f>
        <v>3487</v>
      </c>
      <c r="G342" s="241">
        <f>G341-G170</f>
        <v>4241</v>
      </c>
      <c r="H342" s="241">
        <f>H341-H170</f>
        <v>4241</v>
      </c>
      <c r="I342" s="226">
        <f>I341-I170</f>
        <v>4764</v>
      </c>
      <c r="J342" s="226">
        <f>J341-J170</f>
        <v>5146</v>
      </c>
      <c r="K342" s="226">
        <f>K341-K170</f>
        <v>7763</v>
      </c>
      <c r="L342" s="226">
        <f>L341-L170</f>
        <v>8218</v>
      </c>
      <c r="M342" s="226">
        <f>M341-M170</f>
        <v>8218</v>
      </c>
      <c r="N342" s="226">
        <f>N341-N170</f>
        <v>8953</v>
      </c>
      <c r="O342" s="226">
        <f>O341-O170</f>
        <v>10507</v>
      </c>
      <c r="P342" s="226">
        <f>P341-P170</f>
        <v>10252</v>
      </c>
      <c r="Q342" s="226">
        <f>Q341-Q170</f>
        <v>11368</v>
      </c>
      <c r="R342" s="226">
        <f>R341-R170</f>
        <v>11368</v>
      </c>
      <c r="S342" s="226">
        <f>S341-S170</f>
        <v>12030</v>
      </c>
      <c r="T342" s="226">
        <f>T341-T170</f>
        <v>12317</v>
      </c>
      <c r="U342" s="226">
        <f>U341-U170</f>
        <v>12330</v>
      </c>
      <c r="V342" s="226">
        <f>V341-V170</f>
        <v>12053</v>
      </c>
      <c r="W342" s="226">
        <f>W341-W170</f>
        <v>12053</v>
      </c>
      <c r="X342" s="226">
        <f>X341-X170</f>
        <v>12489</v>
      </c>
      <c r="Y342" s="226">
        <f>Y341-Y170</f>
        <v>12122</v>
      </c>
      <c r="Z342" s="226">
        <f>Z341-Z170</f>
        <v>12570</v>
      </c>
      <c r="AA342" s="226">
        <f>AA341-AA170</f>
        <v>13053</v>
      </c>
      <c r="AB342" s="226">
        <f>AB341-AB170</f>
        <v>13053</v>
      </c>
      <c r="AC342" s="226">
        <f>AC341-AC170</f>
        <v>14108</v>
      </c>
      <c r="AD342" s="226">
        <f>AD341-AD170</f>
        <v>14370</v>
      </c>
      <c r="AE342" s="226">
        <f>AE341-AE170</f>
        <v>13587</v>
      </c>
      <c r="AF342" s="226">
        <f>AF341-AF170</f>
        <v>12986</v>
      </c>
      <c r="AG342" s="226">
        <f>AG341-AG170</f>
        <v>12986</v>
      </c>
      <c r="AH342" s="226">
        <f>AH341-AH170</f>
        <v>14986</v>
      </c>
      <c r="AI342" s="226">
        <f>AI341-AI170</f>
        <v>14217</v>
      </c>
      <c r="AJ342" s="226">
        <f>AJ341-AJ170</f>
        <v>12581</v>
      </c>
      <c r="AK342" s="226">
        <f>AK341-AK170</f>
        <v>12581</v>
      </c>
      <c r="AL342" s="226">
        <f>AL341-AL170</f>
        <v>12581</v>
      </c>
      <c r="AM342" s="226" t="e">
        <f>AM341-AM170</f>
        <v>#DIV/0!</v>
      </c>
      <c r="AN342" s="226">
        <f>AN341-AN170</f>
        <v>12581</v>
      </c>
      <c r="AO342" s="226" t="e">
        <f>AO341-AO170</f>
        <v>#DIV/0!</v>
      </c>
      <c r="AP342" s="226" t="e">
        <f>AP341-AP170</f>
        <v>#DIV/0!</v>
      </c>
      <c r="AQ342" s="226" t="e">
        <f>AQ341-AQ170</f>
        <v>#DIV/0!</v>
      </c>
      <c r="AR342" s="226" t="e">
        <f>AR341-AR170</f>
        <v>#DIV/0!</v>
      </c>
      <c r="AS342" s="226" t="e">
        <f>AS341-AS170</f>
        <v>#DIV/0!</v>
      </c>
      <c r="AT342" s="226" t="e">
        <f>AT341-AT170</f>
        <v>#DIV/0!</v>
      </c>
      <c r="AU342" s="226" t="e">
        <f>AU341-AU170</f>
        <v>#DIV/0!</v>
      </c>
      <c r="AV342" s="226" t="e">
        <f>AV341-AV170</f>
        <v>#DIV/0!</v>
      </c>
      <c r="AW342" s="226" t="e">
        <f>AW341-AW170</f>
        <v>#DIV/0!</v>
      </c>
      <c r="AX342" s="226" t="e">
        <f>AX341-AX170</f>
        <v>#DIV/0!</v>
      </c>
      <c r="AY342" s="226" t="e">
        <f>AY341-AY170</f>
        <v>#DIV/0!</v>
      </c>
      <c r="AZ342" s="226" t="e">
        <f>AZ341-AZ170</f>
        <v>#DIV/0!</v>
      </c>
      <c r="BA342" s="226" t="e">
        <f>BA341-BA170</f>
        <v>#DIV/0!</v>
      </c>
      <c r="BB342" s="226" t="e">
        <f>BB341-BB170</f>
        <v>#DIV/0!</v>
      </c>
      <c r="BC342" s="226" t="e">
        <f>BC341-BC170</f>
        <v>#DIV/0!</v>
      </c>
      <c r="BD342" s="226" t="e">
        <f>BD341-BD170</f>
        <v>#DIV/0!</v>
      </c>
      <c r="BE342" s="226" t="e">
        <f>BE341-BE170</f>
        <v>#DIV/0!</v>
      </c>
      <c r="BF342" s="226" t="e">
        <f>BF341-BF170</f>
        <v>#DIV/0!</v>
      </c>
      <c r="BG342" s="226" t="e">
        <f>BG341-BG170</f>
        <v>#DIV/0!</v>
      </c>
      <c r="BH342" s="226" t="e">
        <f>BH341-BH170</f>
        <v>#DIV/0!</v>
      </c>
      <c r="BI342" s="226" t="e">
        <f>BI341-BI170</f>
        <v>#DIV/0!</v>
      </c>
      <c r="BJ342" s="226" t="e">
        <f>BJ341-BJ170</f>
        <v>#DIV/0!</v>
      </c>
      <c r="BK342" s="226" t="e">
        <f>BK341-BK170</f>
        <v>#DIV/0!</v>
      </c>
      <c r="BL342" s="226" t="e">
        <f>BL341-BL170</f>
        <v>#DIV/0!</v>
      </c>
      <c r="BM342" s="226" t="e">
        <f>BM341-BM170</f>
        <v>#DIV/0!</v>
      </c>
      <c r="BN342" s="226" t="e">
        <f>BN341-BN170</f>
        <v>#DIV/0!</v>
      </c>
      <c r="BO342" s="226" t="e">
        <f>BO341-BO170</f>
        <v>#DIV/0!</v>
      </c>
      <c r="BP342" s="226" t="e">
        <f>BP341-BP170</f>
        <v>#DIV/0!</v>
      </c>
      <c r="BQ342" s="226" t="e">
        <f>BQ341-BQ170</f>
        <v>#DIV/0!</v>
      </c>
      <c r="BR342" s="226" t="e">
        <f>BR341-BR170</f>
        <v>#DIV/0!</v>
      </c>
      <c r="BS342" s="226" t="e">
        <f>BS341-BS170</f>
        <v>#DIV/0!</v>
      </c>
      <c r="BT342" s="226" t="e">
        <f>BT341-BT170</f>
        <v>#DIV/0!</v>
      </c>
      <c r="BU342" s="226" t="e">
        <f>BU341-BU170</f>
        <v>#DIV/0!</v>
      </c>
      <c r="BV342" s="226" t="e">
        <f>BV341-BV170</f>
        <v>#DIV/0!</v>
      </c>
      <c r="BW342" s="226" t="e">
        <f>BW341-BW170</f>
        <v>#DIV/0!</v>
      </c>
      <c r="BX342" s="226" t="e">
        <f>BX341-BX170</f>
        <v>#DIV/0!</v>
      </c>
      <c r="BY342" s="226" t="e">
        <f>BY341-BY170</f>
        <v>#DIV/0!</v>
      </c>
      <c r="BZ342" s="226" t="e">
        <f>BZ341-BZ170</f>
        <v>#DIV/0!</v>
      </c>
      <c r="CA342" s="226" t="e">
        <f>CA341-CA170</f>
        <v>#DIV/0!</v>
      </c>
      <c r="CB342" s="226" t="e">
        <f>CB341-CB170</f>
        <v>#DIV/0!</v>
      </c>
      <c r="CC342" s="226" t="e">
        <f>CC341-CC170</f>
        <v>#DIV/0!</v>
      </c>
      <c r="CD342" s="226" t="e">
        <f>CD341-CD170</f>
        <v>#DIV/0!</v>
      </c>
      <c r="CE342" s="226" t="e">
        <f>CE341-CE170</f>
        <v>#DIV/0!</v>
      </c>
      <c r="CF342" s="226" t="e">
        <f>CF341-CF170</f>
        <v>#DIV/0!</v>
      </c>
      <c r="CG342" s="226" t="e">
        <f>CG341-CG170</f>
        <v>#DIV/0!</v>
      </c>
      <c r="CH342" s="226" t="e">
        <f>CH341-CH170</f>
        <v>#DIV/0!</v>
      </c>
      <c r="CI342" s="226" t="e">
        <f>CI341-CI170</f>
        <v>#DIV/0!</v>
      </c>
      <c r="CJ342" s="226" t="e">
        <f>CJ341-CJ170</f>
        <v>#DIV/0!</v>
      </c>
      <c r="CK342" s="226" t="e">
        <f>CK341-CK170</f>
        <v>#DIV/0!</v>
      </c>
      <c r="CL342" s="226" t="e">
        <f>CL341-CL170</f>
        <v>#DIV/0!</v>
      </c>
      <c r="CM342" s="226" t="e">
        <f>CM341-CM170</f>
        <v>#DIV/0!</v>
      </c>
      <c r="CN342" s="226" t="e">
        <f>CN341-CN170</f>
        <v>#DIV/0!</v>
      </c>
      <c r="CO342" s="226" t="e">
        <f>CO341-CO170</f>
        <v>#DIV/0!</v>
      </c>
      <c r="CP342" s="226" t="e">
        <f>CP341-CP170</f>
        <v>#DIV/0!</v>
      </c>
      <c r="CQ342" s="226" t="e">
        <f>CQ341-CQ170</f>
        <v>#DIV/0!</v>
      </c>
      <c r="CR342" s="226" t="e">
        <f>CR341-CR170</f>
        <v>#DIV/0!</v>
      </c>
      <c r="CS342" s="226" t="e">
        <f>CS341-CS170</f>
        <v>#DIV/0!</v>
      </c>
      <c r="CT342" s="226" t="e">
        <f>CT341-CT170</f>
        <v>#DIV/0!</v>
      </c>
      <c r="CU342" s="226" t="e">
        <f>CU341-CU170</f>
        <v>#DIV/0!</v>
      </c>
      <c r="CV342" s="226" t="e">
        <f>CV341-CV170</f>
        <v>#DIV/0!</v>
      </c>
      <c r="CW342" s="226" t="e">
        <f>CW341-CW170</f>
        <v>#DIV/0!</v>
      </c>
      <c r="CX342" s="226" t="e">
        <f>CX341-CX170</f>
        <v>#DIV/0!</v>
      </c>
      <c r="CY342" s="226" t="e">
        <f>CY341-CY170</f>
        <v>#DIV/0!</v>
      </c>
    </row>
    <row r="343" customFormat="1" s="233">
      <c r="A343" s="224" t="n"/>
      <c r="B343" s="224" t="n"/>
      <c r="C343" s="233" t="inlineStr">
        <is>
          <t>OPERATING WORKING CAPITAL</t>
        </is>
      </c>
      <c r="D343" s="242">
        <f>D344-D345</f>
        <v>5996</v>
      </c>
      <c r="E343" s="242">
        <f>E344-E345</f>
        <v>5454</v>
      </c>
      <c r="F343" s="242">
        <f>F344-F345</f>
        <v>5702</v>
      </c>
      <c r="G343" s="242">
        <f>G344-G345</f>
        <v>6260</v>
      </c>
      <c r="H343" s="242">
        <f>H344-H345</f>
        <v>6260</v>
      </c>
      <c r="I343" s="36">
        <f>I344-I345</f>
        <v>6483</v>
      </c>
      <c r="J343" s="36">
        <f>J344-J345</f>
        <v>6570</v>
      </c>
      <c r="K343" s="36">
        <f>K344-K345</f>
        <v>6274</v>
      </c>
      <c r="L343" s="36">
        <f>L344-L345</f>
        <v>4510</v>
      </c>
      <c r="M343" s="36">
        <f>M344-M345</f>
        <v>4510</v>
      </c>
      <c r="N343" s="36">
        <f>N344-N345</f>
        <v>5648</v>
      </c>
      <c r="O343" s="36">
        <f>O344-O345</f>
        <v>5399</v>
      </c>
      <c r="P343" s="36">
        <f>P344-P345</f>
        <v>5299</v>
      </c>
      <c r="Q343" s="36">
        <f>Q344-Q345</f>
        <v>6301</v>
      </c>
      <c r="R343" s="36">
        <f>R344-R345</f>
        <v>6301</v>
      </c>
      <c r="S343" s="36">
        <f>S344-S345</f>
        <v>7012</v>
      </c>
      <c r="T343" s="36">
        <f>T344-T345</f>
        <v>7511</v>
      </c>
      <c r="U343" s="36">
        <f>U344-U345</f>
        <v>7619</v>
      </c>
      <c r="V343" s="36">
        <f>V344-V345</f>
        <v>5263</v>
      </c>
      <c r="W343" s="36">
        <f>W344-W345</f>
        <v>5263</v>
      </c>
      <c r="X343" s="36">
        <f>X344-X345</f>
        <v>5661</v>
      </c>
      <c r="Y343" s="36">
        <f>Y344-Y345</f>
        <v>5173</v>
      </c>
      <c r="Z343" s="36">
        <f>Z344-Z345</f>
        <v>5497</v>
      </c>
      <c r="AA343" s="36">
        <f>AA344-AA345</f>
        <v>4146</v>
      </c>
      <c r="AB343" s="36">
        <f>AB344-AB345</f>
        <v>4146</v>
      </c>
      <c r="AC343" s="36">
        <f>AC344-AC345</f>
        <v>5022</v>
      </c>
      <c r="AD343" s="36">
        <f>AD344-AD345</f>
        <v>5529</v>
      </c>
      <c r="AE343" s="36">
        <f>AE344-AE345</f>
        <v>4574</v>
      </c>
      <c r="AF343" s="36">
        <f>AF344-AF345</f>
        <v>2049</v>
      </c>
      <c r="AG343" s="36">
        <f>AG344-AG345</f>
        <v>2049</v>
      </c>
      <c r="AH343" s="36">
        <f>AH344-AH345</f>
        <v>4066</v>
      </c>
      <c r="AI343" s="36">
        <f>AI344-AI345</f>
        <v>3215</v>
      </c>
      <c r="AJ343" s="36">
        <f>AJ344-AJ345</f>
        <v>3366</v>
      </c>
      <c r="AK343" s="36">
        <f>AK344-AK345</f>
        <v>3366</v>
      </c>
      <c r="AL343" s="36">
        <f>AL344-AL345</f>
        <v>3366</v>
      </c>
      <c r="AM343" s="36" t="e">
        <f>AM344-AM345</f>
        <v>#DIV/0!</v>
      </c>
      <c r="AN343" s="36">
        <f>AN344-AN345</f>
        <v>3366</v>
      </c>
      <c r="AO343" s="36" t="e">
        <f>AO344-AO345</f>
        <v>#DIV/0!</v>
      </c>
      <c r="AP343" s="36" t="e">
        <f>AP344-AP345</f>
        <v>#DIV/0!</v>
      </c>
      <c r="AQ343" s="36" t="e">
        <f>AQ344-AQ345</f>
        <v>#DIV/0!</v>
      </c>
      <c r="AR343" s="36" t="e">
        <f>AR344-AR345</f>
        <v>#DIV/0!</v>
      </c>
      <c r="AS343" s="36" t="e">
        <f>AS344-AS345</f>
        <v>#DIV/0!</v>
      </c>
      <c r="AT343" s="36" t="e">
        <f>AT344-AT345</f>
        <v>#DIV/0!</v>
      </c>
      <c r="AU343" s="36" t="e">
        <f>AU344-AU345</f>
        <v>#DIV/0!</v>
      </c>
      <c r="AV343" s="36" t="e">
        <f>AV344-AV345</f>
        <v>#DIV/0!</v>
      </c>
      <c r="AW343" s="36" t="e">
        <f>AW344-AW345</f>
        <v>#DIV/0!</v>
      </c>
      <c r="AX343" s="36" t="e">
        <f>AX344-AX345</f>
        <v>#DIV/0!</v>
      </c>
      <c r="AY343" s="36" t="e">
        <f>AY344-AY345</f>
        <v>#DIV/0!</v>
      </c>
      <c r="AZ343" s="36" t="e">
        <f>AZ344-AZ345</f>
        <v>#DIV/0!</v>
      </c>
      <c r="BA343" s="36" t="e">
        <f>BA344-BA345</f>
        <v>#DIV/0!</v>
      </c>
      <c r="BB343" s="36" t="e">
        <f>BB344-BB345</f>
        <v>#DIV/0!</v>
      </c>
      <c r="BC343" s="36" t="e">
        <f>BC344-BC345</f>
        <v>#DIV/0!</v>
      </c>
      <c r="BD343" s="36" t="e">
        <f>BD344-BD345</f>
        <v>#DIV/0!</v>
      </c>
      <c r="BE343" s="36" t="e">
        <f>BE344-BE345</f>
        <v>#DIV/0!</v>
      </c>
      <c r="BF343" s="36" t="e">
        <f>BF344-BF345</f>
        <v>#DIV/0!</v>
      </c>
      <c r="BG343" s="36" t="e">
        <f>BG344-BG345</f>
        <v>#DIV/0!</v>
      </c>
      <c r="BH343" s="36" t="e">
        <f>BH344-BH345</f>
        <v>#DIV/0!</v>
      </c>
      <c r="BI343" s="36" t="e">
        <f>BI344-BI345</f>
        <v>#DIV/0!</v>
      </c>
      <c r="BJ343" s="36" t="e">
        <f>BJ344-BJ345</f>
        <v>#DIV/0!</v>
      </c>
      <c r="BK343" s="36" t="e">
        <f>BK344-BK345</f>
        <v>#DIV/0!</v>
      </c>
      <c r="BL343" s="36" t="e">
        <f>BL344-BL345</f>
        <v>#DIV/0!</v>
      </c>
      <c r="BM343" s="36" t="e">
        <f>BM344-BM345</f>
        <v>#DIV/0!</v>
      </c>
      <c r="BN343" s="36" t="e">
        <f>BN344-BN345</f>
        <v>#DIV/0!</v>
      </c>
      <c r="BO343" s="36" t="e">
        <f>BO344-BO345</f>
        <v>#DIV/0!</v>
      </c>
      <c r="BP343" s="36" t="e">
        <f>BP344-BP345</f>
        <v>#DIV/0!</v>
      </c>
      <c r="BQ343" s="36" t="e">
        <f>BQ344-BQ345</f>
        <v>#DIV/0!</v>
      </c>
      <c r="BR343" s="36" t="e">
        <f>BR344-BR345</f>
        <v>#DIV/0!</v>
      </c>
      <c r="BS343" s="36" t="e">
        <f>BS344-BS345</f>
        <v>#DIV/0!</v>
      </c>
      <c r="BT343" s="36" t="e">
        <f>BT344-BT345</f>
        <v>#DIV/0!</v>
      </c>
      <c r="BU343" s="36" t="e">
        <f>BU344-BU345</f>
        <v>#DIV/0!</v>
      </c>
      <c r="BV343" s="36" t="e">
        <f>BV344-BV345</f>
        <v>#DIV/0!</v>
      </c>
      <c r="BW343" s="36" t="e">
        <f>BW344-BW345</f>
        <v>#DIV/0!</v>
      </c>
      <c r="BX343" s="36" t="e">
        <f>BX344-BX345</f>
        <v>#DIV/0!</v>
      </c>
      <c r="BY343" s="36" t="e">
        <f>BY344-BY345</f>
        <v>#DIV/0!</v>
      </c>
      <c r="BZ343" s="36" t="e">
        <f>BZ344-BZ345</f>
        <v>#DIV/0!</v>
      </c>
      <c r="CA343" s="36" t="e">
        <f>CA344-CA345</f>
        <v>#DIV/0!</v>
      </c>
      <c r="CB343" s="36" t="e">
        <f>CB344-CB345</f>
        <v>#DIV/0!</v>
      </c>
      <c r="CC343" s="36" t="e">
        <f>CC344-CC345</f>
        <v>#DIV/0!</v>
      </c>
      <c r="CD343" s="36" t="e">
        <f>CD344-CD345</f>
        <v>#DIV/0!</v>
      </c>
      <c r="CE343" s="36" t="e">
        <f>CE344-CE345</f>
        <v>#DIV/0!</v>
      </c>
      <c r="CF343" s="36" t="e">
        <f>CF344-CF345</f>
        <v>#DIV/0!</v>
      </c>
      <c r="CG343" s="36" t="e">
        <f>CG344-CG345</f>
        <v>#DIV/0!</v>
      </c>
      <c r="CH343" s="36" t="e">
        <f>CH344-CH345</f>
        <v>#DIV/0!</v>
      </c>
      <c r="CI343" s="36" t="e">
        <f>CI344-CI345</f>
        <v>#DIV/0!</v>
      </c>
      <c r="CJ343" s="36" t="e">
        <f>CJ344-CJ345</f>
        <v>#DIV/0!</v>
      </c>
      <c r="CK343" s="36" t="e">
        <f>CK344-CK345</f>
        <v>#DIV/0!</v>
      </c>
      <c r="CL343" s="36" t="e">
        <f>CL344-CL345</f>
        <v>#DIV/0!</v>
      </c>
      <c r="CM343" s="36" t="e">
        <f>CM344-CM345</f>
        <v>#DIV/0!</v>
      </c>
      <c r="CN343" s="36" t="e">
        <f>CN344-CN345</f>
        <v>#DIV/0!</v>
      </c>
      <c r="CO343" s="36" t="e">
        <f>CO344-CO345</f>
        <v>#DIV/0!</v>
      </c>
      <c r="CP343" s="36" t="e">
        <f>CP344-CP345</f>
        <v>#DIV/0!</v>
      </c>
      <c r="CQ343" s="36" t="e">
        <f>CQ344-CQ345</f>
        <v>#DIV/0!</v>
      </c>
      <c r="CR343" s="36" t="e">
        <f>CR344-CR345</f>
        <v>#DIV/0!</v>
      </c>
      <c r="CS343" s="36" t="e">
        <f>CS344-CS345</f>
        <v>#DIV/0!</v>
      </c>
      <c r="CT343" s="36" t="e">
        <f>CT344-CT345</f>
        <v>#DIV/0!</v>
      </c>
      <c r="CU343" s="36" t="e">
        <f>CU344-CU345</f>
        <v>#DIV/0!</v>
      </c>
      <c r="CV343" s="36" t="e">
        <f>CV344-CV345</f>
        <v>#DIV/0!</v>
      </c>
      <c r="CW343" s="36" t="e">
        <f>CW344-CW345</f>
        <v>#DIV/0!</v>
      </c>
      <c r="CX343" s="36" t="e">
        <f>CX344-CX345</f>
        <v>#DIV/0!</v>
      </c>
      <c r="CY343" s="36" t="e">
        <f>CY344-CY345</f>
        <v>#DIV/0!</v>
      </c>
    </row>
    <row r="344" customFormat="1" s="233">
      <c r="A344" s="224" t="n"/>
      <c r="B344" s="224" t="n"/>
      <c r="C344" s="233" t="inlineStr">
        <is>
          <t>CURRENT ASSETS</t>
        </is>
      </c>
      <c r="D344" s="241">
        <f>D136+D140+D144+D145+D146</f>
        <v>20398</v>
      </c>
      <c r="E344" s="241">
        <f>E136+E140+E144+E145+E146</f>
        <v>19842</v>
      </c>
      <c r="F344" s="241">
        <f>F136+F140+F144+F145+F146</f>
        <v>19903</v>
      </c>
      <c r="G344" s="241">
        <f>G136+G140+G144+G145+G146</f>
        <v>19693</v>
      </c>
      <c r="H344" s="241">
        <f>H136+H140+H144+H145+H146</f>
        <v>19693</v>
      </c>
      <c r="I344" s="226">
        <f>I136+I140+I144+I145+I146</f>
        <v>20694</v>
      </c>
      <c r="J344" s="226">
        <f>J136+J140+J144+J145+J146</f>
        <v>21306</v>
      </c>
      <c r="K344" s="226">
        <f>K136+K140+K144+K145+K146</f>
        <v>21294</v>
      </c>
      <c r="L344" s="226">
        <f>L136+L140+L144+L145+L146</f>
        <v>18501</v>
      </c>
      <c r="M344" s="226">
        <f>M136+M140+M144+M145+M146</f>
        <v>18501</v>
      </c>
      <c r="N344" s="226">
        <f>N136+N140+N144+N145+N146</f>
        <v>21195</v>
      </c>
      <c r="O344" s="226">
        <f>O136+O140+O144+O145+O146</f>
        <v>21878</v>
      </c>
      <c r="P344" s="226">
        <f>P136+P140+P144+P145+P146</f>
        <v>21646</v>
      </c>
      <c r="Q344" s="226">
        <f>Q136+Q140+Q144+Q145+Q146</f>
        <v>22188</v>
      </c>
      <c r="R344" s="226">
        <f>R136+R140+R144+R145+R146</f>
        <v>22188</v>
      </c>
      <c r="S344" s="226">
        <f>S136+S140+S144+S145+S146</f>
        <v>23879</v>
      </c>
      <c r="T344" s="226">
        <f>T136+T140+T144+T145+T146</f>
        <v>24932</v>
      </c>
      <c r="U344" s="226">
        <f>U136+U140+U144+U145+U146</f>
        <v>24644</v>
      </c>
      <c r="V344" s="226">
        <f>V136+V140+V144+V145+V146</f>
        <v>22032</v>
      </c>
      <c r="W344" s="226">
        <f>W136+W140+W144+W145+W146</f>
        <v>22032</v>
      </c>
      <c r="X344" s="226">
        <f>X136+X140+X144+X145+X146</f>
        <v>23192</v>
      </c>
      <c r="Y344" s="226">
        <f>Y136+Y140+Y144+Y145+Y146</f>
        <v>23524</v>
      </c>
      <c r="Z344" s="226">
        <f>Z136+Z140+Z144+Z145+Z146</f>
        <v>23165</v>
      </c>
      <c r="AA344" s="226">
        <f>AA136+AA140+AA144+AA145+AA146</f>
        <v>22923</v>
      </c>
      <c r="AB344" s="226">
        <f>AB136+AB140+AB144+AB145+AB146</f>
        <v>22923</v>
      </c>
      <c r="AC344" s="226">
        <f>AC136+AC140+AC144+AC145+AC146</f>
        <v>24566</v>
      </c>
      <c r="AD344" s="226">
        <f>AD136+AD140+AD144+AD145+AD146</f>
        <v>26765</v>
      </c>
      <c r="AE344" s="226">
        <f>AE136+AE140+AE144+AE145+AE146</f>
        <v>25879</v>
      </c>
      <c r="AF344" s="226">
        <f>AF136+AF140+AF144+AF145+AF146</f>
        <v>24216</v>
      </c>
      <c r="AG344" s="226">
        <f>AG136+AG140+AG144+AG145+AG146</f>
        <v>24216</v>
      </c>
      <c r="AH344" s="226">
        <f>AH136+AH140+AH144+AH145+AH146</f>
        <v>25988</v>
      </c>
      <c r="AI344" s="226">
        <f>AI136+AI140+AI144+AI145+AI146</f>
        <v>27024</v>
      </c>
      <c r="AJ344" s="226">
        <f>AJ136+AJ140+AJ144+AJ145+AJ146</f>
        <v>19257</v>
      </c>
      <c r="AK344" s="226">
        <f>AK136+AK140+AK144+AK145+AK146</f>
        <v>19257</v>
      </c>
      <c r="AL344" s="226">
        <f>AL136+AL140+AL144+AL145+AL146</f>
        <v>19257</v>
      </c>
      <c r="AM344" s="226">
        <f>AM136+AM140+AM144+AM145+AM146</f>
        <v>19257</v>
      </c>
      <c r="AN344" s="226">
        <f>AN136+AN140+AN144+AN145+AN146</f>
        <v>19257</v>
      </c>
      <c r="AO344" s="226">
        <f>AO136+AO140+AO144+AO145+AO146</f>
        <v>19257</v>
      </c>
      <c r="AP344" s="226">
        <f>AP136+AP140+AP144+AP145+AP146</f>
        <v>19257</v>
      </c>
      <c r="AQ344" s="226">
        <f>AQ136+AQ140+AQ144+AQ145+AQ146</f>
        <v>19257</v>
      </c>
      <c r="AR344" s="226">
        <f>AR136+AR140+AR144+AR145+AR146</f>
        <v>19257</v>
      </c>
      <c r="AS344" s="226">
        <f>AS136+AS140+AS144+AS145+AS146</f>
        <v>19257</v>
      </c>
      <c r="AT344" s="226">
        <f>AT136+AT140+AT144+AT145+AT146</f>
        <v>19257</v>
      </c>
      <c r="AU344" s="226">
        <f>AU136+AU140+AU144+AU145+AU146</f>
        <v>19257</v>
      </c>
      <c r="AV344" s="226">
        <f>AV136+AV140+AV144+AV145+AV146</f>
        <v>19257</v>
      </c>
      <c r="AW344" s="226">
        <f>AW136+AW140+AW144+AW145+AW146</f>
        <v>19257</v>
      </c>
      <c r="AX344" s="226">
        <f>AX136+AX140+AX144+AX145+AX146</f>
        <v>19257</v>
      </c>
      <c r="AY344" s="226">
        <f>AY136+AY140+AY144+AY145+AY146</f>
        <v>19257</v>
      </c>
      <c r="AZ344" s="226">
        <f>AZ136+AZ140+AZ144+AZ145+AZ146</f>
        <v>19257</v>
      </c>
      <c r="BA344" s="226">
        <f>BA136+BA140+BA144+BA145+BA146</f>
        <v>19257</v>
      </c>
      <c r="BB344" s="226">
        <f>BB136+BB140+BB144+BB145+BB146</f>
        <v>19257</v>
      </c>
      <c r="BC344" s="226">
        <f>BC136+BC140+BC144+BC145+BC146</f>
        <v>19257</v>
      </c>
      <c r="BD344" s="226">
        <f>BD136+BD140+BD144+BD145+BD146</f>
        <v>19257</v>
      </c>
      <c r="BE344" s="226">
        <f>BE136+BE140+BE144+BE145+BE146</f>
        <v>19257</v>
      </c>
      <c r="BF344" s="226">
        <f>BF136+BF140+BF144+BF145+BF146</f>
        <v>19257</v>
      </c>
      <c r="BG344" s="226">
        <f>BG136+BG140+BG144+BG145+BG146</f>
        <v>19257</v>
      </c>
      <c r="BH344" s="226">
        <f>BH136+BH140+BH144+BH145+BH146</f>
        <v>19257</v>
      </c>
      <c r="BI344" s="226">
        <f>BI136+BI140+BI144+BI145+BI146</f>
        <v>19257</v>
      </c>
      <c r="BJ344" s="226">
        <f>BJ136+BJ140+BJ144+BJ145+BJ146</f>
        <v>19257</v>
      </c>
      <c r="BK344" s="226">
        <f>BK136+BK140+BK144+BK145+BK146</f>
        <v>19257</v>
      </c>
      <c r="BL344" s="226">
        <f>BL136+BL140+BL144+BL145+BL146</f>
        <v>19257</v>
      </c>
      <c r="BM344" s="226">
        <f>BM136+BM140+BM144+BM145+BM146</f>
        <v>19257</v>
      </c>
      <c r="BN344" s="226">
        <f>BN136+BN140+BN144+BN145+BN146</f>
        <v>19257</v>
      </c>
      <c r="BO344" s="226">
        <f>BO136+BO140+BO144+BO145+BO146</f>
        <v>19257</v>
      </c>
      <c r="BP344" s="226">
        <f>BP136+BP140+BP144+BP145+BP146</f>
        <v>19257</v>
      </c>
      <c r="BQ344" s="226">
        <f>BQ136+BQ140+BQ144+BQ145+BQ146</f>
        <v>19257</v>
      </c>
      <c r="BR344" s="226">
        <f>BR136+BR140+BR144+BR145+BR146</f>
        <v>19257</v>
      </c>
      <c r="BS344" s="226">
        <f>BS136+BS140+BS144+BS145+BS146</f>
        <v>19257</v>
      </c>
      <c r="BT344" s="226">
        <f>BT136+BT140+BT144+BT145+BT146</f>
        <v>19257</v>
      </c>
      <c r="BU344" s="226">
        <f>BU136+BU140+BU144+BU145+BU146</f>
        <v>19257</v>
      </c>
      <c r="BV344" s="226">
        <f>BV136+BV140+BV144+BV145+BV146</f>
        <v>19257</v>
      </c>
      <c r="BW344" s="226">
        <f>BW136+BW140+BW144+BW145+BW146</f>
        <v>19257</v>
      </c>
      <c r="BX344" s="226">
        <f>BX136+BX140+BX144+BX145+BX146</f>
        <v>19257</v>
      </c>
      <c r="BY344" s="226">
        <f>BY136+BY140+BY144+BY145+BY146</f>
        <v>19257</v>
      </c>
      <c r="BZ344" s="226">
        <f>BZ136+BZ140+BZ144+BZ145+BZ146</f>
        <v>19257</v>
      </c>
      <c r="CA344" s="226">
        <f>CA136+CA140+CA144+CA145+CA146</f>
        <v>19257</v>
      </c>
      <c r="CB344" s="226">
        <f>CB136+CB140+CB144+CB145+CB146</f>
        <v>19257</v>
      </c>
      <c r="CC344" s="226">
        <f>CC136+CC140+CC144+CC145+CC146</f>
        <v>19257</v>
      </c>
      <c r="CD344" s="226">
        <f>CD136+CD140+CD144+CD145+CD146</f>
        <v>19257</v>
      </c>
      <c r="CE344" s="226">
        <f>CE136+CE140+CE144+CE145+CE146</f>
        <v>19257</v>
      </c>
      <c r="CF344" s="226">
        <f>CF136+CF140+CF144+CF145+CF146</f>
        <v>19257</v>
      </c>
      <c r="CG344" s="226">
        <f>CG136+CG140+CG144+CG145+CG146</f>
        <v>19257</v>
      </c>
      <c r="CH344" s="226">
        <f>CH136+CH140+CH144+CH145+CH146</f>
        <v>19257</v>
      </c>
      <c r="CI344" s="226">
        <f>CI136+CI140+CI144+CI145+CI146</f>
        <v>19257</v>
      </c>
      <c r="CJ344" s="226">
        <f>CJ136+CJ140+CJ144+CJ145+CJ146</f>
        <v>19257</v>
      </c>
      <c r="CK344" s="226">
        <f>CK136+CK140+CK144+CK145+CK146</f>
        <v>19257</v>
      </c>
      <c r="CL344" s="226">
        <f>CL136+CL140+CL144+CL145+CL146</f>
        <v>19257</v>
      </c>
      <c r="CM344" s="226">
        <f>CM136+CM140+CM144+CM145+CM146</f>
        <v>19257</v>
      </c>
      <c r="CN344" s="226">
        <f>CN136+CN140+CN144+CN145+CN146</f>
        <v>19257</v>
      </c>
      <c r="CO344" s="226">
        <f>CO136+CO140+CO144+CO145+CO146</f>
        <v>19257</v>
      </c>
      <c r="CP344" s="226">
        <f>CP136+CP140+CP144+CP145+CP146</f>
        <v>19257</v>
      </c>
      <c r="CQ344" s="226">
        <f>CQ136+CQ140+CQ144+CQ145+CQ146</f>
        <v>19257</v>
      </c>
      <c r="CR344" s="226">
        <f>CR136+CR140+CR144+CR145+CR146</f>
        <v>19257</v>
      </c>
      <c r="CS344" s="226">
        <f>CS136+CS140+CS144+CS145+CS146</f>
        <v>19257</v>
      </c>
      <c r="CT344" s="226">
        <f>CT136+CT140+CT144+CT145+CT146</f>
        <v>19257</v>
      </c>
      <c r="CU344" s="226">
        <f>CU136+CU140+CU144+CU145+CU146</f>
        <v>19257</v>
      </c>
      <c r="CV344" s="226">
        <f>CV136+CV140+CV144+CV145+CV146</f>
        <v>19257</v>
      </c>
      <c r="CW344" s="226">
        <f>CW136+CW140+CW144+CW145+CW146</f>
        <v>19257</v>
      </c>
      <c r="CX344" s="226">
        <f>CX136+CX140+CX144+CX145+CX146</f>
        <v>19257</v>
      </c>
      <c r="CY344" s="226">
        <f>CY136+CY140+CY144+CY145+CY146</f>
        <v>19257</v>
      </c>
    </row>
    <row r="345" customFormat="1" s="233">
      <c r="A345" s="224" t="n"/>
      <c r="B345" s="224" t="n"/>
      <c r="C345" s="233" t="inlineStr">
        <is>
          <t>CURRENT LIABILITIES</t>
        </is>
      </c>
      <c r="D345" s="241">
        <f>D189+D193+D195+D196</f>
        <v>14402</v>
      </c>
      <c r="E345" s="241">
        <f>E189+E193+E195+E196</f>
        <v>14388</v>
      </c>
      <c r="F345" s="241">
        <f>F189+F193+F195+F196</f>
        <v>14201</v>
      </c>
      <c r="G345" s="241">
        <f>G189+G193+G195+G196</f>
        <v>13433</v>
      </c>
      <c r="H345" s="241">
        <f>H189+H193+H195+H196</f>
        <v>13433</v>
      </c>
      <c r="I345" s="226">
        <f>I189+I193+I195+I196</f>
        <v>14211</v>
      </c>
      <c r="J345" s="226">
        <f>J189+J193+J195+J196</f>
        <v>14736</v>
      </c>
      <c r="K345" s="226">
        <f>K189+K193+K195+K196</f>
        <v>15020</v>
      </c>
      <c r="L345" s="226">
        <f>L189+L193+L195+L196</f>
        <v>13991</v>
      </c>
      <c r="M345" s="226">
        <f>M189+M193+M195+M196</f>
        <v>13991</v>
      </c>
      <c r="N345" s="226">
        <f>N189+N193+N195+N196</f>
        <v>15547</v>
      </c>
      <c r="O345" s="226">
        <f>O189+O193+O195+O196</f>
        <v>16479</v>
      </c>
      <c r="P345" s="226">
        <f>P189+P193+P195+P196</f>
        <v>16347</v>
      </c>
      <c r="Q345" s="226">
        <f>Q189+Q193+Q195+Q196</f>
        <v>15887</v>
      </c>
      <c r="R345" s="226">
        <f>R189+R193+R195+R196</f>
        <v>15887</v>
      </c>
      <c r="S345" s="226">
        <f>S189+S193+S195+S196</f>
        <v>16867</v>
      </c>
      <c r="T345" s="226">
        <f>T189+T193+T195+T196</f>
        <v>17421</v>
      </c>
      <c r="U345" s="226">
        <f>U189+U193+U195+U196</f>
        <v>17025</v>
      </c>
      <c r="V345" s="226">
        <f>V189+V193+V195+V196</f>
        <v>16769</v>
      </c>
      <c r="W345" s="226">
        <f>W189+W193+W195+W196</f>
        <v>16769</v>
      </c>
      <c r="X345" s="226">
        <f>X189+X193+X195+X196</f>
        <v>17531</v>
      </c>
      <c r="Y345" s="226">
        <f>Y189+Y193+Y195+Y196</f>
        <v>18351</v>
      </c>
      <c r="Z345" s="226">
        <f>Z189+Z193+Z195+Z196</f>
        <v>17668</v>
      </c>
      <c r="AA345" s="226">
        <f>AA189+AA193+AA195+AA196</f>
        <v>18777</v>
      </c>
      <c r="AB345" s="226">
        <f>AB189+AB193+AB195+AB196</f>
        <v>18777</v>
      </c>
      <c r="AC345" s="226">
        <f>AC189+AC193+AC195+AC196</f>
        <v>19544</v>
      </c>
      <c r="AD345" s="226">
        <f>AD189+AD193+AD195+AD196</f>
        <v>21236</v>
      </c>
      <c r="AE345" s="226">
        <f>AE189+AE193+AE195+AE196</f>
        <v>21305</v>
      </c>
      <c r="AF345" s="226">
        <f>AF189+AF193+AF195+AF196</f>
        <v>22167</v>
      </c>
      <c r="AG345" s="226">
        <f>AG189+AG193+AG195+AG196</f>
        <v>22167</v>
      </c>
      <c r="AH345" s="226">
        <f>AH189+AH193+AH195+AH196</f>
        <v>21922</v>
      </c>
      <c r="AI345" s="226">
        <f>AI189+AI193+AI195+AI196</f>
        <v>23809</v>
      </c>
      <c r="AJ345" s="226">
        <f>AJ189+AJ193+AJ195+AJ196</f>
        <v>15891</v>
      </c>
      <c r="AK345" s="226">
        <f>AK189+AK193+AK195+AK196</f>
        <v>15891</v>
      </c>
      <c r="AL345" s="226">
        <f>AL189+AL193+AL195+AL196</f>
        <v>15891</v>
      </c>
      <c r="AM345" s="226" t="e">
        <f>AM189+AM193+AM195+AM196</f>
        <v>#DIV/0!</v>
      </c>
      <c r="AN345" s="226">
        <f>AN189+AN193+AN195+AN196</f>
        <v>15891</v>
      </c>
      <c r="AO345" s="226" t="e">
        <f>AO189+AO193+AO195+AO196</f>
        <v>#DIV/0!</v>
      </c>
      <c r="AP345" s="226" t="e">
        <f>AP189+AP193+AP195+AP196</f>
        <v>#DIV/0!</v>
      </c>
      <c r="AQ345" s="226" t="e">
        <f>AQ189+AQ193+AQ195+AQ196</f>
        <v>#DIV/0!</v>
      </c>
      <c r="AR345" s="226" t="e">
        <f>AR189+AR193+AR195+AR196</f>
        <v>#DIV/0!</v>
      </c>
      <c r="AS345" s="226" t="e">
        <f>AS189+AS193+AS195+AS196</f>
        <v>#DIV/0!</v>
      </c>
      <c r="AT345" s="226" t="e">
        <f>AT189+AT193+AT195+AT196</f>
        <v>#DIV/0!</v>
      </c>
      <c r="AU345" s="226" t="e">
        <f>AU189+AU193+AU195+AU196</f>
        <v>#DIV/0!</v>
      </c>
      <c r="AV345" s="226" t="e">
        <f>AV189+AV193+AV195+AV196</f>
        <v>#DIV/0!</v>
      </c>
      <c r="AW345" s="226" t="e">
        <f>AW189+AW193+AW195+AW196</f>
        <v>#DIV/0!</v>
      </c>
      <c r="AX345" s="226" t="e">
        <f>AX189+AX193+AX195+AX196</f>
        <v>#DIV/0!</v>
      </c>
      <c r="AY345" s="226" t="e">
        <f>AY189+AY193+AY195+AY196</f>
        <v>#DIV/0!</v>
      </c>
      <c r="AZ345" s="226" t="e">
        <f>AZ189+AZ193+AZ195+AZ196</f>
        <v>#DIV/0!</v>
      </c>
      <c r="BA345" s="226" t="e">
        <f>BA189+BA193+BA195+BA196</f>
        <v>#DIV/0!</v>
      </c>
      <c r="BB345" s="226" t="e">
        <f>BB189+BB193+BB195+BB196</f>
        <v>#DIV/0!</v>
      </c>
      <c r="BC345" s="226" t="e">
        <f>BC189+BC193+BC195+BC196</f>
        <v>#DIV/0!</v>
      </c>
      <c r="BD345" s="226" t="e">
        <f>BD189+BD193+BD195+BD196</f>
        <v>#DIV/0!</v>
      </c>
      <c r="BE345" s="226" t="e">
        <f>BE189+BE193+BE195+BE196</f>
        <v>#DIV/0!</v>
      </c>
      <c r="BF345" s="226" t="e">
        <f>BF189+BF193+BF195+BF196</f>
        <v>#DIV/0!</v>
      </c>
      <c r="BG345" s="226" t="e">
        <f>BG189+BG193+BG195+BG196</f>
        <v>#DIV/0!</v>
      </c>
      <c r="BH345" s="226" t="e">
        <f>BH189+BH193+BH195+BH196</f>
        <v>#DIV/0!</v>
      </c>
      <c r="BI345" s="226" t="e">
        <f>BI189+BI193+BI195+BI196</f>
        <v>#DIV/0!</v>
      </c>
      <c r="BJ345" s="226" t="e">
        <f>BJ189+BJ193+BJ195+BJ196</f>
        <v>#DIV/0!</v>
      </c>
      <c r="BK345" s="226" t="e">
        <f>BK189+BK193+BK195+BK196</f>
        <v>#DIV/0!</v>
      </c>
      <c r="BL345" s="226" t="e">
        <f>BL189+BL193+BL195+BL196</f>
        <v>#DIV/0!</v>
      </c>
      <c r="BM345" s="226" t="e">
        <f>BM189+BM193+BM195+BM196</f>
        <v>#DIV/0!</v>
      </c>
      <c r="BN345" s="226" t="e">
        <f>BN189+BN193+BN195+BN196</f>
        <v>#DIV/0!</v>
      </c>
      <c r="BO345" s="226" t="e">
        <f>BO189+BO193+BO195+BO196</f>
        <v>#DIV/0!</v>
      </c>
      <c r="BP345" s="226" t="e">
        <f>BP189+BP193+BP195+BP196</f>
        <v>#DIV/0!</v>
      </c>
      <c r="BQ345" s="226" t="e">
        <f>BQ189+BQ193+BQ195+BQ196</f>
        <v>#DIV/0!</v>
      </c>
      <c r="BR345" s="226" t="e">
        <f>BR189+BR193+BR195+BR196</f>
        <v>#DIV/0!</v>
      </c>
      <c r="BS345" s="226" t="e">
        <f>BS189+BS193+BS195+BS196</f>
        <v>#DIV/0!</v>
      </c>
      <c r="BT345" s="226" t="e">
        <f>BT189+BT193+BT195+BT196</f>
        <v>#DIV/0!</v>
      </c>
      <c r="BU345" s="226" t="e">
        <f>BU189+BU193+BU195+BU196</f>
        <v>#DIV/0!</v>
      </c>
      <c r="BV345" s="226" t="e">
        <f>BV189+BV193+BV195+BV196</f>
        <v>#DIV/0!</v>
      </c>
      <c r="BW345" s="226" t="e">
        <f>BW189+BW193+BW195+BW196</f>
        <v>#DIV/0!</v>
      </c>
      <c r="BX345" s="226" t="e">
        <f>BX189+BX193+BX195+BX196</f>
        <v>#DIV/0!</v>
      </c>
      <c r="BY345" s="226" t="e">
        <f>BY189+BY193+BY195+BY196</f>
        <v>#DIV/0!</v>
      </c>
      <c r="BZ345" s="226" t="e">
        <f>BZ189+BZ193+BZ195+BZ196</f>
        <v>#DIV/0!</v>
      </c>
      <c r="CA345" s="226" t="e">
        <f>CA189+CA193+CA195+CA196</f>
        <v>#DIV/0!</v>
      </c>
      <c r="CB345" s="226" t="e">
        <f>CB189+CB193+CB195+CB196</f>
        <v>#DIV/0!</v>
      </c>
      <c r="CC345" s="226" t="e">
        <f>CC189+CC193+CC195+CC196</f>
        <v>#DIV/0!</v>
      </c>
      <c r="CD345" s="226" t="e">
        <f>CD189+CD193+CD195+CD196</f>
        <v>#DIV/0!</v>
      </c>
      <c r="CE345" s="226" t="e">
        <f>CE189+CE193+CE195+CE196</f>
        <v>#DIV/0!</v>
      </c>
      <c r="CF345" s="226" t="e">
        <f>CF189+CF193+CF195+CF196</f>
        <v>#DIV/0!</v>
      </c>
      <c r="CG345" s="226" t="e">
        <f>CG189+CG193+CG195+CG196</f>
        <v>#DIV/0!</v>
      </c>
      <c r="CH345" s="226" t="e">
        <f>CH189+CH193+CH195+CH196</f>
        <v>#DIV/0!</v>
      </c>
      <c r="CI345" s="226" t="e">
        <f>CI189+CI193+CI195+CI196</f>
        <v>#DIV/0!</v>
      </c>
      <c r="CJ345" s="226" t="e">
        <f>CJ189+CJ193+CJ195+CJ196</f>
        <v>#DIV/0!</v>
      </c>
      <c r="CK345" s="226" t="e">
        <f>CK189+CK193+CK195+CK196</f>
        <v>#DIV/0!</v>
      </c>
      <c r="CL345" s="226" t="e">
        <f>CL189+CL193+CL195+CL196</f>
        <v>#DIV/0!</v>
      </c>
      <c r="CM345" s="226" t="e">
        <f>CM189+CM193+CM195+CM196</f>
        <v>#DIV/0!</v>
      </c>
      <c r="CN345" s="226" t="e">
        <f>CN189+CN193+CN195+CN196</f>
        <v>#DIV/0!</v>
      </c>
      <c r="CO345" s="226" t="e">
        <f>CO189+CO193+CO195+CO196</f>
        <v>#DIV/0!</v>
      </c>
      <c r="CP345" s="226" t="e">
        <f>CP189+CP193+CP195+CP196</f>
        <v>#DIV/0!</v>
      </c>
      <c r="CQ345" s="226" t="e">
        <f>CQ189+CQ193+CQ195+CQ196</f>
        <v>#DIV/0!</v>
      </c>
      <c r="CR345" s="226" t="e">
        <f>CR189+CR193+CR195+CR196</f>
        <v>#DIV/0!</v>
      </c>
      <c r="CS345" s="226" t="e">
        <f>CS189+CS193+CS195+CS196</f>
        <v>#DIV/0!</v>
      </c>
      <c r="CT345" s="226" t="e">
        <f>CT189+CT193+CT195+CT196</f>
        <v>#DIV/0!</v>
      </c>
      <c r="CU345" s="226" t="e">
        <f>CU189+CU193+CU195+CU196</f>
        <v>#DIV/0!</v>
      </c>
      <c r="CV345" s="226" t="e">
        <f>CV189+CV193+CV195+CV196</f>
        <v>#DIV/0!</v>
      </c>
      <c r="CW345" s="226" t="e">
        <f>CW189+CW193+CW195+CW196</f>
        <v>#DIV/0!</v>
      </c>
      <c r="CX345" s="226" t="e">
        <f>CX189+CX193+CX195+CX196</f>
        <v>#DIV/0!</v>
      </c>
      <c r="CY345" s="226" t="e">
        <f>CY189+CY193+CY195+CY196</f>
        <v>#DIV/0!</v>
      </c>
    </row>
    <row r="346" customFormat="1" s="233">
      <c r="A346" s="224" t="n"/>
      <c r="B346" s="224" t="n"/>
      <c r="C346" s="233" t="inlineStr">
        <is>
          <t>FIXED ASSETS</t>
        </is>
      </c>
      <c r="D346" s="241">
        <f>D157+D167+D170+D171+D180-D231</f>
        <v>8192</v>
      </c>
      <c r="E346" s="241">
        <f>E157+E167+E170+E171+E180-E231</f>
        <v>8151</v>
      </c>
      <c r="F346" s="241">
        <f>F157+F167+F170+F171+F180-F231</f>
        <v>8374</v>
      </c>
      <c r="G346" s="241">
        <f>G157+G167+G170+G171+G180-G231</f>
        <v>8787</v>
      </c>
      <c r="H346" s="241">
        <f>H157+H167+H170+H171+H180-H231</f>
        <v>8787</v>
      </c>
      <c r="I346" s="226">
        <f>I157+I167+I170+I171+I180-I231</f>
        <v>9080</v>
      </c>
      <c r="J346" s="226">
        <f>J157+J167+J170+J171+J180-J231</f>
        <v>9386</v>
      </c>
      <c r="K346" s="226">
        <f>K157+K167+K170+K171+K180-K231</f>
        <v>12304</v>
      </c>
      <c r="L346" s="226">
        <f>L157+L167+L170+L171+L180-L231</f>
        <v>14521</v>
      </c>
      <c r="M346" s="226">
        <f>M157+M167+M170+M171+M180-M231</f>
        <v>14521</v>
      </c>
      <c r="N346" s="226">
        <f>N157+N167+N170+N171+N180-N231</f>
        <v>14116</v>
      </c>
      <c r="O346" s="226">
        <f>O157+O167+O170+O171+O180-O231</f>
        <v>15902</v>
      </c>
      <c r="P346" s="226">
        <f>P157+P167+P170+P171+P180-P231</f>
        <v>15717</v>
      </c>
      <c r="Q346" s="226">
        <f>Q157+Q167+Q170+Q171+Q180-Q231</f>
        <v>15847</v>
      </c>
      <c r="R346" s="226">
        <f>R157+R167+R170+R171+R180-R231</f>
        <v>15847</v>
      </c>
      <c r="S346" s="226">
        <f>S157+S167+S170+S171+S180-S231</f>
        <v>15794</v>
      </c>
      <c r="T346" s="226">
        <f>T157+T167+T170+T171+T180-T231</f>
        <v>15601</v>
      </c>
      <c r="U346" s="226">
        <f>U157+U167+U170+U171+U180-U231</f>
        <v>15493</v>
      </c>
      <c r="V346" s="226">
        <f>V157+V167+V170+V171+V180-V231</f>
        <v>17589</v>
      </c>
      <c r="W346" s="226">
        <f>W157+W167+W170+W171+W180-W231</f>
        <v>17589</v>
      </c>
      <c r="X346" s="226">
        <f>X157+X167+X170+X171+X180-X231</f>
        <v>17617</v>
      </c>
      <c r="Y346" s="226">
        <f>Y157+Y167+Y170+Y171+Y180-Y231</f>
        <v>17736</v>
      </c>
      <c r="Z346" s="226">
        <f>Z157+Z167+Z170+Z171+Z180-Z231</f>
        <v>17873</v>
      </c>
      <c r="AA346" s="226">
        <f>AA157+AA167+AA170+AA171+AA180-AA231</f>
        <v>19974</v>
      </c>
      <c r="AB346" s="226">
        <f>AB157+AB167+AB170+AB171+AB180-AB231</f>
        <v>19974</v>
      </c>
      <c r="AC346" s="226">
        <f>AC157+AC167+AC170+AC171+AC180-AC231</f>
        <v>20162</v>
      </c>
      <c r="AD346" s="226">
        <f>AD157+AD167+AD170+AD171+AD180-AD231</f>
        <v>20150</v>
      </c>
      <c r="AE346" s="226">
        <f>AE157+AE167+AE170+AE171+AE180-AE231</f>
        <v>20326</v>
      </c>
      <c r="AF346" s="226">
        <f>AF157+AF167+AF170+AF171+AF180-AF231</f>
        <v>22251</v>
      </c>
      <c r="AG346" s="226">
        <f>AG157+AG167+AG170+AG171+AG180-AG231</f>
        <v>22251</v>
      </c>
      <c r="AH346" s="226">
        <f>AH157+AH167+AH170+AH171+AH180-AH231</f>
        <v>22226</v>
      </c>
      <c r="AI346" s="226">
        <f>AI157+AI167+AI170+AI171+AI180-AI231</f>
        <v>22300</v>
      </c>
      <c r="AJ346" s="226">
        <f>AJ157+AJ167+AJ170+AJ171+AJ180-AJ231</f>
        <v>20513</v>
      </c>
      <c r="AK346" s="226">
        <f>AK157+AK167+AK170+AK171+AK180-AK231</f>
        <v>20513</v>
      </c>
      <c r="AL346" s="226">
        <f>AL157+AL167+AL170+AL171+AL180-AL231</f>
        <v>20513</v>
      </c>
      <c r="AM346" s="226">
        <f>AM157+AM167+AM170+AM171+AM180-AM231</f>
        <v>20513</v>
      </c>
      <c r="AN346" s="226">
        <f>AN157+AN167+AN170+AN171+AN180-AN231</f>
        <v>20513</v>
      </c>
      <c r="AO346" s="226">
        <f>AO157+AO167+AO170+AO171+AO180-AO231</f>
        <v>20513</v>
      </c>
      <c r="AP346" s="226">
        <f>AP157+AP167+AP170+AP171+AP180-AP231</f>
        <v>20513</v>
      </c>
      <c r="AQ346" s="226">
        <f>AQ157+AQ167+AQ170+AQ171+AQ180-AQ231</f>
        <v>20513</v>
      </c>
      <c r="AR346" s="226">
        <f>AR157+AR167+AR170+AR171+AR180-AR231</f>
        <v>20513</v>
      </c>
      <c r="AS346" s="226">
        <f>AS157+AS167+AS170+AS171+AS180-AS231</f>
        <v>20513</v>
      </c>
      <c r="AT346" s="226">
        <f>AT157+AT167+AT170+AT171+AT180-AT231</f>
        <v>20513</v>
      </c>
      <c r="AU346" s="226">
        <f>AU157+AU167+AU170+AU171+AU180-AU231</f>
        <v>20513</v>
      </c>
      <c r="AV346" s="226">
        <f>AV157+AV167+AV170+AV171+AV180-AV231</f>
        <v>20513</v>
      </c>
      <c r="AW346" s="226">
        <f>AW157+AW167+AW170+AW171+AW180-AW231</f>
        <v>20513</v>
      </c>
      <c r="AX346" s="226">
        <f>AX157+AX167+AX170+AX171+AX180-AX231</f>
        <v>20513</v>
      </c>
      <c r="AY346" s="226">
        <f>AY157+AY167+AY170+AY171+AY180-AY231</f>
        <v>20513</v>
      </c>
      <c r="AZ346" s="226">
        <f>AZ157+AZ167+AZ170+AZ171+AZ180-AZ231</f>
        <v>20513</v>
      </c>
      <c r="BA346" s="226">
        <f>BA157+BA167+BA170+BA171+BA180-BA231</f>
        <v>20513</v>
      </c>
      <c r="BB346" s="226">
        <f>BB157+BB167+BB170+BB171+BB180-BB231</f>
        <v>20513</v>
      </c>
      <c r="BC346" s="226">
        <f>BC157+BC167+BC170+BC171+BC180-BC231</f>
        <v>20513</v>
      </c>
      <c r="BD346" s="226">
        <f>BD157+BD167+BD170+BD171+BD180-BD231</f>
        <v>20513</v>
      </c>
      <c r="BE346" s="226">
        <f>BE157+BE167+BE170+BE171+BE180-BE231</f>
        <v>20513</v>
      </c>
      <c r="BF346" s="226">
        <f>BF157+BF167+BF170+BF171+BF180-BF231</f>
        <v>20513</v>
      </c>
      <c r="BG346" s="226">
        <f>BG157+BG167+BG170+BG171+BG180-BG231</f>
        <v>20513</v>
      </c>
      <c r="BH346" s="226">
        <f>BH157+BH167+BH170+BH171+BH180-BH231</f>
        <v>20513</v>
      </c>
      <c r="BI346" s="226">
        <f>BI157+BI167+BI170+BI171+BI180-BI231</f>
        <v>20513</v>
      </c>
      <c r="BJ346" s="226">
        <f>BJ157+BJ167+BJ170+BJ171+BJ180-BJ231</f>
        <v>20513</v>
      </c>
      <c r="BK346" s="226">
        <f>BK157+BK167+BK170+BK171+BK180-BK231</f>
        <v>20513</v>
      </c>
      <c r="BL346" s="226">
        <f>BL157+BL167+BL170+BL171+BL180-BL231</f>
        <v>20513</v>
      </c>
      <c r="BM346" s="226">
        <f>BM157+BM167+BM170+BM171+BM180-BM231</f>
        <v>20513</v>
      </c>
      <c r="BN346" s="226">
        <f>BN157+BN167+BN170+BN171+BN180-BN231</f>
        <v>20513</v>
      </c>
      <c r="BO346" s="226">
        <f>BO157+BO167+BO170+BO171+BO180-BO231</f>
        <v>20513</v>
      </c>
      <c r="BP346" s="226">
        <f>BP157+BP167+BP170+BP171+BP180-BP231</f>
        <v>20513</v>
      </c>
      <c r="BQ346" s="226">
        <f>BQ157+BQ167+BQ170+BQ171+BQ180-BQ231</f>
        <v>20513</v>
      </c>
      <c r="BR346" s="226">
        <f>BR157+BR167+BR170+BR171+BR180-BR231</f>
        <v>20513</v>
      </c>
      <c r="BS346" s="226">
        <f>BS157+BS167+BS170+BS171+BS180-BS231</f>
        <v>20513</v>
      </c>
      <c r="BT346" s="226">
        <f>BT157+BT167+BT170+BT171+BT180-BT231</f>
        <v>20513</v>
      </c>
      <c r="BU346" s="226">
        <f>BU157+BU167+BU170+BU171+BU180-BU231</f>
        <v>20513</v>
      </c>
      <c r="BV346" s="226">
        <f>BV157+BV167+BV170+BV171+BV180-BV231</f>
        <v>20513</v>
      </c>
      <c r="BW346" s="226">
        <f>BW157+BW167+BW170+BW171+BW180-BW231</f>
        <v>20513</v>
      </c>
      <c r="BX346" s="226">
        <f>BX157+BX167+BX170+BX171+BX180-BX231</f>
        <v>20513</v>
      </c>
      <c r="BY346" s="226">
        <f>BY157+BY167+BY170+BY171+BY180-BY231</f>
        <v>20513</v>
      </c>
      <c r="BZ346" s="226">
        <f>BZ157+BZ167+BZ170+BZ171+BZ180-BZ231</f>
        <v>20513</v>
      </c>
      <c r="CA346" s="226">
        <f>CA157+CA167+CA170+CA171+CA180-CA231</f>
        <v>20513</v>
      </c>
      <c r="CB346" s="226">
        <f>CB157+CB167+CB170+CB171+CB180-CB231</f>
        <v>20513</v>
      </c>
      <c r="CC346" s="226">
        <f>CC157+CC167+CC170+CC171+CC180-CC231</f>
        <v>20513</v>
      </c>
      <c r="CD346" s="226">
        <f>CD157+CD167+CD170+CD171+CD180-CD231</f>
        <v>20513</v>
      </c>
      <c r="CE346" s="226">
        <f>CE157+CE167+CE170+CE171+CE180-CE231</f>
        <v>20513</v>
      </c>
      <c r="CF346" s="226">
        <f>CF157+CF167+CF170+CF171+CF180-CF231</f>
        <v>20513</v>
      </c>
      <c r="CG346" s="226">
        <f>CG157+CG167+CG170+CG171+CG180-CG231</f>
        <v>20513</v>
      </c>
      <c r="CH346" s="226">
        <f>CH157+CH167+CH170+CH171+CH180-CH231</f>
        <v>20513</v>
      </c>
      <c r="CI346" s="226">
        <f>CI157+CI167+CI170+CI171+CI180-CI231</f>
        <v>20513</v>
      </c>
      <c r="CJ346" s="226">
        <f>CJ157+CJ167+CJ170+CJ171+CJ180-CJ231</f>
        <v>20513</v>
      </c>
      <c r="CK346" s="226">
        <f>CK157+CK167+CK170+CK171+CK180-CK231</f>
        <v>20513</v>
      </c>
      <c r="CL346" s="226">
        <f>CL157+CL167+CL170+CL171+CL180-CL231</f>
        <v>20513</v>
      </c>
      <c r="CM346" s="226">
        <f>CM157+CM167+CM170+CM171+CM180-CM231</f>
        <v>20513</v>
      </c>
      <c r="CN346" s="226">
        <f>CN157+CN167+CN170+CN171+CN180-CN231</f>
        <v>20513</v>
      </c>
      <c r="CO346" s="226">
        <f>CO157+CO167+CO170+CO171+CO180-CO231</f>
        <v>20513</v>
      </c>
      <c r="CP346" s="226">
        <f>CP157+CP167+CP170+CP171+CP180-CP231</f>
        <v>20513</v>
      </c>
      <c r="CQ346" s="226">
        <f>CQ157+CQ167+CQ170+CQ171+CQ180-CQ231</f>
        <v>20513</v>
      </c>
      <c r="CR346" s="226">
        <f>CR157+CR167+CR170+CR171+CR180-CR231</f>
        <v>20513</v>
      </c>
      <c r="CS346" s="226">
        <f>CS157+CS167+CS170+CS171+CS180-CS231</f>
        <v>20513</v>
      </c>
      <c r="CT346" s="226">
        <f>CT157+CT167+CT170+CT171+CT180-CT231</f>
        <v>20513</v>
      </c>
      <c r="CU346" s="226">
        <f>CU157+CU167+CU170+CU171+CU180-CU231</f>
        <v>20513</v>
      </c>
      <c r="CV346" s="226">
        <f>CV157+CV167+CV170+CV171+CV180-CV231</f>
        <v>20513</v>
      </c>
      <c r="CW346" s="226">
        <f>CW157+CW167+CW170+CW171+CW180-CW231</f>
        <v>20513</v>
      </c>
      <c r="CX346" s="226">
        <f>CX157+CX167+CX170+CX171+CX180-CX231</f>
        <v>20513</v>
      </c>
      <c r="CY346" s="226">
        <f>CY157+CY167+CY170+CY171+CY180-CY231</f>
        <v>20513</v>
      </c>
    </row>
    <row r="347" customFormat="1" s="233">
      <c r="A347" s="224" t="n"/>
      <c r="B347" s="224" t="n"/>
    </row>
    <row r="348" customFormat="1" s="233">
      <c r="A348" s="224" t="n"/>
      <c r="B348" s="224" t="n"/>
    </row>
    <row r="349" customFormat="1" s="233">
      <c r="A349" s="224" t="n"/>
      <c r="B349" s="224" t="n"/>
    </row>
    <row r="350" customFormat="1" s="233">
      <c r="A350" s="224" t="n"/>
      <c r="B350" s="224" t="n"/>
    </row>
    <row r="351" customFormat="1" s="233">
      <c r="A351" s="224" t="n"/>
      <c r="B351" s="224" t="n"/>
    </row>
    <row r="352" customFormat="1" s="233">
      <c r="A352" s="224" t="n"/>
      <c r="B352" s="224" t="n"/>
    </row>
    <row r="353" customFormat="1" s="233">
      <c r="A353" s="224" t="n"/>
      <c r="B353" s="224" t="n"/>
    </row>
    <row r="354" customFormat="1" s="233">
      <c r="A354" s="224" t="n"/>
      <c r="B354" s="224" t="n"/>
      <c r="C354" s="234" t="inlineStr">
        <is>
          <t>DUPONT ANALYSIS</t>
        </is>
      </c>
    </row>
    <row r="355" customFormat="1" s="233">
      <c r="A355" s="224" t="n"/>
      <c r="B355" s="224" t="n"/>
      <c r="C355" s="233" t="inlineStr">
        <is>
          <t>NET PROFIT MARGIN</t>
        </is>
      </c>
      <c r="D355" s="238">
        <f>D128/D15</f>
        <v>0.109705450130982</v>
      </c>
      <c r="E355" s="238">
        <f>E128/E15</f>
        <v>0.100246609124538</v>
      </c>
      <c r="F355" s="238">
        <f>F128/F15</f>
        <v>0.102940284934829</v>
      </c>
      <c r="G355" s="238">
        <f>G128/G15</f>
        <v>0.105213715359324</v>
      </c>
      <c r="I355" s="222">
        <f>I128/I15</f>
        <v>0.112990527740189</v>
      </c>
      <c r="J355" s="222">
        <f>J128/J15</f>
        <v>0.106582888014563</v>
      </c>
      <c r="K355" s="222">
        <f>K128/K15</f>
        <v>0.0383079610681308</v>
      </c>
      <c r="L355" s="222">
        <f>L128/L15</f>
        <v>0.115573354391111</v>
      </c>
      <c r="N355" s="222">
        <f>N128/N15</f>
        <v>0.115811280406308</v>
      </c>
      <c r="O355" s="222">
        <f>O128/O15</f>
        <v>0.0200051793344555</v>
      </c>
      <c r="P355" s="222">
        <f>P128/P15</f>
        <v>0.107218235542423</v>
      </c>
      <c r="Q355" s="222">
        <f>Q128/Q15</f>
        <v>0.100679269127481</v>
      </c>
      <c r="S355" s="222">
        <f>S128/S15</f>
        <v>0.111662038873463</v>
      </c>
      <c r="T355" s="222">
        <f>T128/T15</f>
        <v>0.100700892589708</v>
      </c>
      <c r="U355" s="222">
        <f>U128/U15</f>
        <v>0.0997748548406209</v>
      </c>
      <c r="V355" s="222">
        <f>V128/V15</f>
        <v>0.0988661650948395</v>
      </c>
      <c r="X355" s="222">
        <f>X128/X15</f>
        <v>0.0898517010758942</v>
      </c>
      <c r="Y355" s="222">
        <f>Y128/Y15</f>
        <v>0.0905529191038517</v>
      </c>
      <c r="Z355" s="222">
        <f>Z128/Z15</f>
        <v>0.0948900841908326</v>
      </c>
      <c r="AA355" s="222">
        <f>AA128/AA15</f>
        <v>0.0282998603801955</v>
      </c>
      <c r="AC355" s="222">
        <f>AC128/AC15</f>
        <v>0.0953070199855258</v>
      </c>
      <c r="AD355" s="222">
        <f>AD128/AD15</f>
        <v>0.0188377857339576</v>
      </c>
      <c r="AE355" s="222">
        <f>AE128/AE15</f>
        <v>0.0870009135364609</v>
      </c>
      <c r="AF355" s="222">
        <f>AF128/AF15</f>
        <v>0.066138477437134</v>
      </c>
      <c r="AH355" s="222">
        <f>AH128/AH15</f>
        <v>0.0825703346096221</v>
      </c>
      <c r="AI355" s="222">
        <f>AI128/AI15</f>
        <v>0.0915117380252206</v>
      </c>
      <c r="AJ355" s="222">
        <f>AJ128/AJ15</f>
        <v>-0.00107474877747327</v>
      </c>
      <c r="AK355" s="222">
        <f>AK128/AK15</f>
        <v>-0.0017223561832587</v>
      </c>
      <c r="AM355" s="222">
        <f>AM128/AM15</f>
        <v>-0.00194217856944676</v>
      </c>
      <c r="AN355" s="222">
        <f>AN128/AN15</f>
        <v>-0.0054827294023825</v>
      </c>
      <c r="AO355" s="222">
        <f>AO128/AO15</f>
        <v>-0.00188081036057821</v>
      </c>
      <c r="AP355" s="222">
        <f>AP128/AP15</f>
        <v>-0.00541311943309876</v>
      </c>
      <c r="AR355" s="222">
        <f>AR128/AR15</f>
        <v>-0.00610398978968981</v>
      </c>
      <c r="AS355" s="222">
        <f>AS128/AS15</f>
        <v>-0.0144544684244629</v>
      </c>
      <c r="AT355" s="222">
        <f>AT128/AT15</f>
        <v>-0.00591111827610296</v>
      </c>
      <c r="AU355" s="222">
        <f>AU128/AU15</f>
        <v>-0.0142709512327149</v>
      </c>
      <c r="AW355" s="222">
        <f>AW128/AW15</f>
        <v>-0.0160923367182731</v>
      </c>
      <c r="AX355" s="222">
        <f>AX128/AX15</f>
        <v>-0.0398743956536909</v>
      </c>
      <c r="AY355" s="222">
        <f>AY128/AY15</f>
        <v>-0.0155838572733624</v>
      </c>
      <c r="AZ355" s="222">
        <f>AZ128/AZ15</f>
        <v>-0.0393681413316274</v>
      </c>
      <c r="BB355" s="222">
        <f>BB128/BB15</f>
        <v>-0.0443926530159259</v>
      </c>
      <c r="BC355" s="222">
        <f>BC128/BC15</f>
        <v>-0.108657728156308</v>
      </c>
      <c r="BD355" s="222">
        <f>BD128/BD15</f>
        <v>-0.0429899510989306</v>
      </c>
      <c r="BE355" s="222">
        <f>BE128/BE15</f>
        <v>-0.107278185128685</v>
      </c>
      <c r="BG355" s="222">
        <f>BG128/BG15</f>
        <v>-0.120969979468398</v>
      </c>
      <c r="BH355" s="222">
        <f>BH128/BH15</f>
        <v>-0.297064247619997</v>
      </c>
      <c r="BI355" s="222">
        <f>BI128/BI15</f>
        <v>-0.117147616744586</v>
      </c>
      <c r="BJ355" s="222">
        <f>BJ128/BJ15</f>
        <v>-0.293292652920624</v>
      </c>
      <c r="BL355" s="222">
        <f>BL128/BL15</f>
        <v>-0.330725264968648</v>
      </c>
      <c r="BM355" s="222">
        <f>BM128/BM15</f>
        <v>-0.811443951552609</v>
      </c>
      <c r="BN355" s="222">
        <f>BN128/BN15</f>
        <v>-0.320275135687033</v>
      </c>
      <c r="BO355" s="222">
        <f>BO128/BO15</f>
        <v>-0.801141676098617</v>
      </c>
      <c r="BQ355" s="222">
        <f>BQ128/BQ15</f>
        <v>-0.903390488874091</v>
      </c>
      <c r="BR355" s="222">
        <f>BR128/BR15</f>
        <v>-2.21701639834521</v>
      </c>
      <c r="BS355" s="222">
        <f>BS128/BS15</f>
        <v>-0.874845504863238</v>
      </c>
      <c r="BT355" s="222">
        <f>BT128/BT15</f>
        <v>-2.18886865803848</v>
      </c>
      <c r="BV355" s="222">
        <f>BV128/BV15</f>
        <v>-2.46823150768548</v>
      </c>
      <c r="BW355" s="222">
        <f>BW128/BW15</f>
        <v>-6.05692069979564</v>
      </c>
      <c r="BX355" s="222">
        <f>BX128/BX15</f>
        <v>-2.39024128110054</v>
      </c>
      <c r="BY355" s="222">
        <f>BY128/BY15</f>
        <v>-5.9800206682742</v>
      </c>
      <c r="CA355" s="222">
        <f>CA128/CA15</f>
        <v>-6.74324399311914</v>
      </c>
      <c r="CB355" s="222">
        <f>CB128/CB15</f>
        <v>-16.5478741962817</v>
      </c>
      <c r="CC355" s="222">
        <f>CC128/CC15</f>
        <v>-6.53017357192756</v>
      </c>
      <c r="CD355" s="222">
        <f>CD128/CD15</f>
        <v>-16.3377786526254</v>
      </c>
      <c r="CF355" s="222">
        <f>CF128/CF15</f>
        <v>-18.4229510016092</v>
      </c>
      <c r="CG355" s="222">
        <f>CG128/CG15</f>
        <v>-45.2095897921547</v>
      </c>
      <c r="CH355" s="222">
        <f>CH128/CH15</f>
        <v>-17.8408297060562</v>
      </c>
      <c r="CI355" s="222">
        <f>CI128/CI15</f>
        <v>-44.6355986417991</v>
      </c>
      <c r="CK355" s="222">
        <f>CK128/CK15</f>
        <v>-50.3323899894567</v>
      </c>
      <c r="CL355" s="222">
        <f>CL128/CL15</f>
        <v>-123.514927976873</v>
      </c>
      <c r="CM355" s="222">
        <f>CM128/CM15</f>
        <v>-48.7420065559675</v>
      </c>
      <c r="CN355" s="222">
        <f>CN128/CN15</f>
        <v>-121.946754588849</v>
      </c>
      <c r="CP355" s="222">
        <f>CP128/CP15</f>
        <v>-137.510681982132</v>
      </c>
      <c r="CQ355" s="222">
        <f>CQ128/CQ15</f>
        <v>-337.449035538055</v>
      </c>
      <c r="CR355" s="222">
        <f>CR128/CR15</f>
        <v>-133.165672524048</v>
      </c>
      <c r="CS355" s="222">
        <f>CS128/CS15</f>
        <v>-333.164706461296</v>
      </c>
      <c r="CU355" s="222">
        <f>CU128/CU15</f>
        <v>-375.686143943177</v>
      </c>
      <c r="CV355" s="222">
        <f>CV128/CV15</f>
        <v>-921.927927029856</v>
      </c>
      <c r="CW355" s="222">
        <f>CW128/CW15</f>
        <v>-363.81535816003</v>
      </c>
      <c r="CX355" s="222">
        <f>CX128/CX15</f>
        <v>-910.22292210029</v>
      </c>
    </row>
    <row r="356" customFormat="1" s="233">
      <c r="A356" s="224" t="n"/>
      <c r="B356" s="224" t="n"/>
      <c r="C356" s="233" t="inlineStr">
        <is>
          <t>ASSET TURNOVER</t>
        </is>
      </c>
      <c r="D356" s="238">
        <f>D128/D188</f>
        <v>0.0348643599740091</v>
      </c>
      <c r="E356" s="238">
        <f>E128/E188</f>
        <v>0.0327802753865694</v>
      </c>
      <c r="F356" s="238">
        <f>F128/F188</f>
        <v>0.0334429716581648</v>
      </c>
      <c r="G356" s="238">
        <f>G128/G188</f>
        <v>0.0353381975941629</v>
      </c>
      <c r="I356" s="222">
        <f>I128/I188</f>
        <v>0.0357135913836344</v>
      </c>
      <c r="J356" s="222">
        <f>J128/J188</f>
        <v>0.0348375208737212</v>
      </c>
      <c r="K356" s="222">
        <f>K128/K188</f>
        <v>0.011843450417607</v>
      </c>
      <c r="L356" s="222">
        <f>L128/L188</f>
        <v>0.040276767637057</v>
      </c>
      <c r="N356" s="222">
        <f>N128/N188</f>
        <v>0.0336439526305572</v>
      </c>
      <c r="O356" s="222">
        <f>O128/O188</f>
        <v>0.0059700915800456</v>
      </c>
      <c r="P356" s="222">
        <f>P128/P188</f>
        <v>0.0341725927349606</v>
      </c>
      <c r="Q356" s="222">
        <f>Q128/Q188</f>
        <v>0.0361573373676248</v>
      </c>
      <c r="S356" s="222">
        <f>S128/S188</f>
        <v>0.0309216066786277</v>
      </c>
      <c r="T356" s="222">
        <f>T128/T188</f>
        <v>0.0295026150444031</v>
      </c>
      <c r="U356" s="222">
        <f>U128/U188</f>
        <v>0.0297179966823139</v>
      </c>
      <c r="V356" s="222">
        <f>V128/V188</f>
        <v>0.0355726704285496</v>
      </c>
      <c r="X356" s="222">
        <f>X128/X188</f>
        <v>0.0281098193330058</v>
      </c>
      <c r="Y356" s="222">
        <f>Y128/Y188</f>
        <v>0.0297951920981916</v>
      </c>
      <c r="Z356" s="222">
        <f>Z128/Z188</f>
        <v>0.0292327089337176</v>
      </c>
      <c r="AA356" s="222">
        <f>AA128/AA188</f>
        <v>0.00947552007479727</v>
      </c>
      <c r="AC356" s="222">
        <f>AC128/AC188</f>
        <v>0.0302105207432635</v>
      </c>
      <c r="AD356" s="222">
        <f>AD128/AD188</f>
        <v>0.00580941056565313</v>
      </c>
      <c r="AE356" s="222">
        <f>AE128/AE188</f>
        <v>0.02685977835291</v>
      </c>
      <c r="AF356" s="222">
        <f>AF128/AF188</f>
        <v>0.0224598930481283</v>
      </c>
      <c r="AH356" s="222">
        <f>AH128/AH188</f>
        <v>0.025119011445356</v>
      </c>
      <c r="AI356" s="222">
        <f>AI128/AI188</f>
        <v>0.0293995196156926</v>
      </c>
      <c r="AJ356" s="222">
        <f>AJ128/AJ188</f>
        <v>-0.000366891693572058</v>
      </c>
      <c r="AK356" s="222">
        <f>AK128/AK188</f>
        <v>-0.000642472970244323</v>
      </c>
      <c r="AM356" s="222" t="e">
        <f>AM128/AM188</f>
        <v>#DIV/0!</v>
      </c>
      <c r="AN356" s="222" t="e">
        <f>AN128/AN188</f>
        <v>#DIV/0!</v>
      </c>
      <c r="AO356" s="222" t="e">
        <f>AO128/AO188</f>
        <v>#DIV/0!</v>
      </c>
      <c r="AP356" s="222" t="e">
        <f>AP128/AP188</f>
        <v>#DIV/0!</v>
      </c>
      <c r="AR356" s="222" t="e">
        <f>AR128/AR188</f>
        <v>#DIV/0!</v>
      </c>
      <c r="AS356" s="222" t="e">
        <f>AS128/AS188</f>
        <v>#DIV/0!</v>
      </c>
      <c r="AT356" s="222" t="e">
        <f>AT128/AT188</f>
        <v>#DIV/0!</v>
      </c>
      <c r="AU356" s="222" t="e">
        <f>AU128/AU188</f>
        <v>#DIV/0!</v>
      </c>
      <c r="AW356" s="222" t="e">
        <f>AW128/AW188</f>
        <v>#DIV/0!</v>
      </c>
      <c r="AX356" s="222" t="e">
        <f>AX128/AX188</f>
        <v>#DIV/0!</v>
      </c>
      <c r="AY356" s="222" t="e">
        <f>AY128/AY188</f>
        <v>#DIV/0!</v>
      </c>
      <c r="AZ356" s="222" t="e">
        <f>AZ128/AZ188</f>
        <v>#DIV/0!</v>
      </c>
      <c r="BB356" s="222" t="e">
        <f>BB128/BB188</f>
        <v>#DIV/0!</v>
      </c>
      <c r="BC356" s="222" t="e">
        <f>BC128/BC188</f>
        <v>#DIV/0!</v>
      </c>
      <c r="BD356" s="222" t="e">
        <f>BD128/BD188</f>
        <v>#DIV/0!</v>
      </c>
      <c r="BE356" s="222" t="e">
        <f>BE128/BE188</f>
        <v>#DIV/0!</v>
      </c>
      <c r="BG356" s="222" t="e">
        <f>BG128/BG188</f>
        <v>#DIV/0!</v>
      </c>
      <c r="BH356" s="222" t="e">
        <f>BH128/BH188</f>
        <v>#DIV/0!</v>
      </c>
      <c r="BI356" s="222" t="e">
        <f>BI128/BI188</f>
        <v>#DIV/0!</v>
      </c>
      <c r="BJ356" s="222" t="e">
        <f>BJ128/BJ188</f>
        <v>#DIV/0!</v>
      </c>
      <c r="BL356" s="222" t="e">
        <f>BL128/BL188</f>
        <v>#DIV/0!</v>
      </c>
      <c r="BM356" s="222" t="e">
        <f>BM128/BM188</f>
        <v>#DIV/0!</v>
      </c>
      <c r="BN356" s="222" t="e">
        <f>BN128/BN188</f>
        <v>#DIV/0!</v>
      </c>
      <c r="BO356" s="222" t="e">
        <f>BO128/BO188</f>
        <v>#DIV/0!</v>
      </c>
      <c r="BQ356" s="222" t="e">
        <f>BQ128/BQ188</f>
        <v>#DIV/0!</v>
      </c>
      <c r="BR356" s="222" t="e">
        <f>BR128/BR188</f>
        <v>#DIV/0!</v>
      </c>
      <c r="BS356" s="222" t="e">
        <f>BS128/BS188</f>
        <v>#DIV/0!</v>
      </c>
      <c r="BT356" s="222" t="e">
        <f>BT128/BT188</f>
        <v>#DIV/0!</v>
      </c>
      <c r="BV356" s="222" t="e">
        <f>BV128/BV188</f>
        <v>#DIV/0!</v>
      </c>
      <c r="BW356" s="222" t="e">
        <f>BW128/BW188</f>
        <v>#DIV/0!</v>
      </c>
      <c r="BX356" s="222" t="e">
        <f>BX128/BX188</f>
        <v>#DIV/0!</v>
      </c>
      <c r="BY356" s="222" t="e">
        <f>BY128/BY188</f>
        <v>#DIV/0!</v>
      </c>
      <c r="CA356" s="222" t="e">
        <f>CA128/CA188</f>
        <v>#DIV/0!</v>
      </c>
      <c r="CB356" s="222" t="e">
        <f>CB128/CB188</f>
        <v>#DIV/0!</v>
      </c>
      <c r="CC356" s="222" t="e">
        <f>CC128/CC188</f>
        <v>#DIV/0!</v>
      </c>
      <c r="CD356" s="222" t="e">
        <f>CD128/CD188</f>
        <v>#DIV/0!</v>
      </c>
      <c r="CF356" s="222" t="e">
        <f>CF128/CF188</f>
        <v>#DIV/0!</v>
      </c>
      <c r="CG356" s="222" t="e">
        <f>CG128/CG188</f>
        <v>#DIV/0!</v>
      </c>
      <c r="CH356" s="222" t="e">
        <f>CH128/CH188</f>
        <v>#DIV/0!</v>
      </c>
      <c r="CI356" s="222" t="e">
        <f>CI128/CI188</f>
        <v>#DIV/0!</v>
      </c>
      <c r="CK356" s="222" t="e">
        <f>CK128/CK188</f>
        <v>#DIV/0!</v>
      </c>
      <c r="CL356" s="222" t="e">
        <f>CL128/CL188</f>
        <v>#DIV/0!</v>
      </c>
      <c r="CM356" s="222" t="e">
        <f>CM128/CM188</f>
        <v>#DIV/0!</v>
      </c>
      <c r="CN356" s="222" t="e">
        <f>CN128/CN188</f>
        <v>#DIV/0!</v>
      </c>
      <c r="CP356" s="222" t="e">
        <f>CP128/CP188</f>
        <v>#DIV/0!</v>
      </c>
      <c r="CQ356" s="222" t="e">
        <f>CQ128/CQ188</f>
        <v>#DIV/0!</v>
      </c>
      <c r="CR356" s="222" t="e">
        <f>CR128/CR188</f>
        <v>#DIV/0!</v>
      </c>
      <c r="CS356" s="222" t="e">
        <f>CS128/CS188</f>
        <v>#DIV/0!</v>
      </c>
      <c r="CU356" s="222" t="e">
        <f>CU128/CU188</f>
        <v>#DIV/0!</v>
      </c>
      <c r="CV356" s="222" t="e">
        <f>CV128/CV188</f>
        <v>#DIV/0!</v>
      </c>
      <c r="CW356" s="222" t="e">
        <f>CW128/CW188</f>
        <v>#DIV/0!</v>
      </c>
      <c r="CX356" s="222" t="e">
        <f>CX128/CX188</f>
        <v>#DIV/0!</v>
      </c>
    </row>
    <row r="357" customFormat="1" s="233">
      <c r="A357" s="224" t="n"/>
      <c r="B357" s="224" t="n"/>
      <c r="C357" s="233" t="inlineStr">
        <is>
          <t>EQUITY MULTIPLIER</t>
        </is>
      </c>
      <c r="D357" s="238">
        <f>D188/D262</f>
        <v>14.1233151706338</v>
      </c>
      <c r="E357" s="238">
        <f>E188/E262</f>
        <v>13.1016904384575</v>
      </c>
      <c r="F357" s="238">
        <f>F188/F262</f>
        <v>10.1831127156037</v>
      </c>
      <c r="G357" s="238">
        <f>G188/G262</f>
        <v>8.39847631666115</v>
      </c>
      <c r="I357" s="222">
        <f>I188/I262</f>
        <v>8.12205905573978</v>
      </c>
      <c r="J357" s="222">
        <f>J188/J262</f>
        <v>7.97840735068913</v>
      </c>
      <c r="K357" s="222">
        <f>K188/K262</f>
        <v>5.38293012148271</v>
      </c>
      <c r="L357" s="222">
        <f>L188/L262</f>
        <v>4.64212063144448</v>
      </c>
      <c r="N357" s="222">
        <f>N188/N262</f>
        <v>5.1499700059988</v>
      </c>
      <c r="O357" s="222">
        <f>O188/O262</f>
        <v>4.52746675997201</v>
      </c>
      <c r="P357" s="222">
        <f>P188/P262</f>
        <v>4.34815310045128</v>
      </c>
      <c r="Q357" s="222">
        <f>Q188/Q262</f>
        <v>5.70688538743795</v>
      </c>
      <c r="S357" s="222">
        <f>S188/S262</f>
        <v>5.66265809662036</v>
      </c>
      <c r="T357" s="222">
        <f>T188/T262</f>
        <v>6.16645021645022</v>
      </c>
      <c r="U357" s="222">
        <f>U188/U262</f>
        <v>6.11020056070735</v>
      </c>
      <c r="V357" s="222">
        <f>V188/V262</f>
        <v>7.67461594732992</v>
      </c>
      <c r="X357" s="222">
        <f>X188/X262</f>
        <v>8.26511278195489</v>
      </c>
      <c r="Y357" s="222">
        <f>Y188/Y262</f>
        <v>8.91919028340081</v>
      </c>
      <c r="Z357" s="222">
        <f>Z188/Z262</f>
        <v>7.71111111111111</v>
      </c>
      <c r="AA357" s="222">
        <f>AA188/AA262</f>
        <v>8.78209379441023</v>
      </c>
      <c r="AC357" s="222">
        <f>AC188/AC262</f>
        <v>8.47957504114918</v>
      </c>
      <c r="AD357" s="222">
        <f>AD188/AD262</f>
        <v>11.0367454068241</v>
      </c>
      <c r="AE357" s="222">
        <f>AE188/AE262</f>
        <v>9.75182009383595</v>
      </c>
      <c r="AF357" s="222">
        <f>AF188/AF262</f>
        <v>8.90343698854337</v>
      </c>
      <c r="AH357" s="222">
        <f>AH188/AH262</f>
        <v>7.91000133529176</v>
      </c>
      <c r="AI357" s="222">
        <f>AI188/AI262</f>
        <v>7.12249087591241</v>
      </c>
      <c r="AJ357" s="222">
        <f>AJ188/AJ262</f>
        <v>6.23136716963878</v>
      </c>
      <c r="AK357" s="222">
        <f>AK188/AK262</f>
        <v>6.25238149890968</v>
      </c>
      <c r="AM357" s="222" t="e">
        <f>AM188/AM262</f>
        <v>#DIV/0!</v>
      </c>
      <c r="AN357" s="222" t="e">
        <f>AN188/AN262</f>
        <v>#DIV/0!</v>
      </c>
      <c r="AO357" s="222" t="e">
        <f>AO188/AO262</f>
        <v>#DIV/0!</v>
      </c>
      <c r="AP357" s="222" t="e">
        <f>AP188/AP262</f>
        <v>#DIV/0!</v>
      </c>
      <c r="AR357" s="222" t="e">
        <f>AR188/AR262</f>
        <v>#DIV/0!</v>
      </c>
      <c r="AS357" s="222" t="e">
        <f>AS188/AS262</f>
        <v>#DIV/0!</v>
      </c>
      <c r="AT357" s="222" t="e">
        <f>AT188/AT262</f>
        <v>#DIV/0!</v>
      </c>
      <c r="AU357" s="222" t="e">
        <f>AU188/AU262</f>
        <v>#DIV/0!</v>
      </c>
      <c r="AW357" s="222" t="e">
        <f>AW188/AW262</f>
        <v>#DIV/0!</v>
      </c>
      <c r="AX357" s="222" t="e">
        <f>AX188/AX262</f>
        <v>#DIV/0!</v>
      </c>
      <c r="AY357" s="222" t="e">
        <f>AY188/AY262</f>
        <v>#DIV/0!</v>
      </c>
      <c r="AZ357" s="222" t="e">
        <f>AZ188/AZ262</f>
        <v>#DIV/0!</v>
      </c>
      <c r="BB357" s="222" t="e">
        <f>BB188/BB262</f>
        <v>#DIV/0!</v>
      </c>
      <c r="BC357" s="222" t="e">
        <f>BC188/BC262</f>
        <v>#DIV/0!</v>
      </c>
      <c r="BD357" s="222" t="e">
        <f>BD188/BD262</f>
        <v>#DIV/0!</v>
      </c>
      <c r="BE357" s="222" t="e">
        <f>BE188/BE262</f>
        <v>#DIV/0!</v>
      </c>
      <c r="BG357" s="222" t="e">
        <f>BG188/BG262</f>
        <v>#DIV/0!</v>
      </c>
      <c r="BH357" s="222" t="e">
        <f>BH188/BH262</f>
        <v>#DIV/0!</v>
      </c>
      <c r="BI357" s="222" t="e">
        <f>BI188/BI262</f>
        <v>#DIV/0!</v>
      </c>
      <c r="BJ357" s="222" t="e">
        <f>BJ188/BJ262</f>
        <v>#DIV/0!</v>
      </c>
      <c r="BL357" s="222" t="e">
        <f>BL188/BL262</f>
        <v>#DIV/0!</v>
      </c>
      <c r="BM357" s="222" t="e">
        <f>BM188/BM262</f>
        <v>#DIV/0!</v>
      </c>
      <c r="BN357" s="222" t="e">
        <f>BN188/BN262</f>
        <v>#DIV/0!</v>
      </c>
      <c r="BO357" s="222" t="e">
        <f>BO188/BO262</f>
        <v>#DIV/0!</v>
      </c>
      <c r="BQ357" s="222" t="e">
        <f>BQ188/BQ262</f>
        <v>#DIV/0!</v>
      </c>
      <c r="BR357" s="222" t="e">
        <f>BR188/BR262</f>
        <v>#DIV/0!</v>
      </c>
      <c r="BS357" s="222" t="e">
        <f>BS188/BS262</f>
        <v>#DIV/0!</v>
      </c>
      <c r="BT357" s="222" t="e">
        <f>BT188/BT262</f>
        <v>#DIV/0!</v>
      </c>
      <c r="BV357" s="222" t="e">
        <f>BV188/BV262</f>
        <v>#DIV/0!</v>
      </c>
      <c r="BW357" s="222" t="e">
        <f>BW188/BW262</f>
        <v>#DIV/0!</v>
      </c>
      <c r="BX357" s="222" t="e">
        <f>BX188/BX262</f>
        <v>#DIV/0!</v>
      </c>
      <c r="BY357" s="222" t="e">
        <f>BY188/BY262</f>
        <v>#DIV/0!</v>
      </c>
      <c r="CA357" s="222" t="e">
        <f>CA188/CA262</f>
        <v>#DIV/0!</v>
      </c>
      <c r="CB357" s="222" t="e">
        <f>CB188/CB262</f>
        <v>#DIV/0!</v>
      </c>
      <c r="CC357" s="222" t="e">
        <f>CC188/CC262</f>
        <v>#DIV/0!</v>
      </c>
      <c r="CD357" s="222" t="e">
        <f>CD188/CD262</f>
        <v>#DIV/0!</v>
      </c>
      <c r="CF357" s="222" t="e">
        <f>CF188/CF262</f>
        <v>#DIV/0!</v>
      </c>
      <c r="CG357" s="222" t="e">
        <f>CG188/CG262</f>
        <v>#DIV/0!</v>
      </c>
      <c r="CH357" s="222" t="e">
        <f>CH188/CH262</f>
        <v>#DIV/0!</v>
      </c>
      <c r="CI357" s="222" t="e">
        <f>CI188/CI262</f>
        <v>#DIV/0!</v>
      </c>
      <c r="CK357" s="222" t="e">
        <f>CK188/CK262</f>
        <v>#DIV/0!</v>
      </c>
      <c r="CL357" s="222" t="e">
        <f>CL188/CL262</f>
        <v>#DIV/0!</v>
      </c>
      <c r="CM357" s="222" t="e">
        <f>CM188/CM262</f>
        <v>#DIV/0!</v>
      </c>
      <c r="CN357" s="222" t="e">
        <f>CN188/CN262</f>
        <v>#DIV/0!</v>
      </c>
      <c r="CP357" s="222" t="e">
        <f>CP188/CP262</f>
        <v>#DIV/0!</v>
      </c>
      <c r="CQ357" s="222" t="e">
        <f>CQ188/CQ262</f>
        <v>#DIV/0!</v>
      </c>
      <c r="CR357" s="222" t="e">
        <f>CR188/CR262</f>
        <v>#DIV/0!</v>
      </c>
      <c r="CS357" s="222" t="e">
        <f>CS188/CS262</f>
        <v>#DIV/0!</v>
      </c>
      <c r="CU357" s="222" t="e">
        <f>CU188/CU262</f>
        <v>#DIV/0!</v>
      </c>
      <c r="CV357" s="222" t="e">
        <f>CV188/CV262</f>
        <v>#DIV/0!</v>
      </c>
      <c r="CW357" s="222" t="e">
        <f>CW188/CW262</f>
        <v>#DIV/0!</v>
      </c>
      <c r="CX357" s="222" t="e">
        <f>CX188/CX262</f>
        <v>#DIV/0!</v>
      </c>
    </row>
    <row r="358" customFormat="1" s="233">
      <c r="A358" s="224" t="n"/>
      <c r="B358" s="224" t="n"/>
      <c r="C358" s="233" t="inlineStr">
        <is>
          <t>ROE - DUPONT</t>
        </is>
      </c>
      <c r="D358" s="238">
        <f>PRODUCT(D355:D357)</f>
        <v>0.0540190013980201</v>
      </c>
      <c r="E358" s="238">
        <f>PRODUCT(E355:E357)</f>
        <v>0.0430536150122816</v>
      </c>
      <c r="F358" s="238">
        <f>PRODUCT(F355:F357)</f>
        <v>0.0350566794663737</v>
      </c>
      <c r="G358" s="238">
        <f>PRODUCT(G355:G357)</f>
        <v>0.031226064578322</v>
      </c>
      <c r="I358" s="222">
        <f>PRODUCT(I355:I357)</f>
        <v>0.0327749249105839</v>
      </c>
      <c r="J358" s="222">
        <f>PRODUCT(J355:J357)</f>
        <v>0.0296244933761765</v>
      </c>
      <c r="K358" s="222">
        <f>PRODUCT(K355:K357)</f>
        <v>0.00244222698534236</v>
      </c>
      <c r="L358" s="222">
        <f>PRODUCT(L355:L357)</f>
        <v>0.0216087054610262</v>
      </c>
      <c r="N358" s="222">
        <f>PRODUCT(N355:N357)</f>
        <v>0.0200660816780776</v>
      </c>
      <c r="O358" s="222">
        <f>PRODUCT(O355:O357)</f>
        <v>0.000540727817909968</v>
      </c>
      <c r="P358" s="222">
        <f>PRODUCT(P355:P357)</f>
        <v>0.0159313072701344</v>
      </c>
      <c r="Q358" s="222">
        <f>PRODUCT(Q355:Q357)</f>
        <v>0.020774742345321</v>
      </c>
      <c r="S358" s="222">
        <f>PRODUCT(S355:S357)</f>
        <v>0.0195518539972298</v>
      </c>
      <c r="T358" s="222">
        <f>PRODUCT(T355:T357)</f>
        <v>0.0183201515631277</v>
      </c>
      <c r="U358" s="222">
        <f>PRODUCT(U355:U357)</f>
        <v>0.0181174094836754</v>
      </c>
      <c r="V358" s="222">
        <f>PRODUCT(V355:V357)</f>
        <v>0.0269911139820001</v>
      </c>
      <c r="X358" s="222">
        <f>PRODUCT(X355:X357)</f>
        <v>0.0208753200243995</v>
      </c>
      <c r="Y358" s="222">
        <f>PRODUCT(Y355:Y357)</f>
        <v>0.0240643465990964</v>
      </c>
      <c r="Z358" s="222">
        <f>PRODUCT(Z355:Z357)</f>
        <v>0.0213898064780168</v>
      </c>
      <c r="AA358" s="222">
        <f>PRODUCT(AA355:AA357)</f>
        <v>0.00235497022270062</v>
      </c>
      <c r="AC358" s="222">
        <f>PRODUCT(AC355:AC357)</f>
        <v>0.024415025918782</v>
      </c>
      <c r="AD358" s="222">
        <f>PRODUCT(AD355:AD357)</f>
        <v>0.00120782203243598</v>
      </c>
      <c r="AE358" s="222">
        <f>PRODUCT(AE355:AE357)</f>
        <v>0.0227882994686184</v>
      </c>
      <c r="AF358" s="222">
        <f>PRODUCT(AF355:AF357)</f>
        <v>0.0132257273732344</v>
      </c>
      <c r="AH358" s="222">
        <f>PRODUCT(AH355:AH357)</f>
        <v>0.0164060165441471</v>
      </c>
      <c r="AI358" s="222">
        <f>PRODUCT(AI355:AI357)</f>
        <v>0.019162357551814</v>
      </c>
      <c r="AJ358" s="222">
        <f>PRODUCT(AJ355:AJ357)</f>
        <v>2.45713026399924e-06</v>
      </c>
      <c r="AK358" s="222">
        <f>PRODUCT(AK355:AK357)</f>
        <v>6.91868086928204e-06</v>
      </c>
      <c r="AM358" s="222" t="e">
        <f>PRODUCT(AM355:AM357)</f>
        <v>#DIV/0!</v>
      </c>
      <c r="AN358" s="222" t="e">
        <f>PRODUCT(AN355:AN357)</f>
        <v>#DIV/0!</v>
      </c>
      <c r="AO358" s="222" t="e">
        <f>PRODUCT(AO355:AO357)</f>
        <v>#DIV/0!</v>
      </c>
      <c r="AP358" s="222" t="e">
        <f>PRODUCT(AP355:AP357)</f>
        <v>#DIV/0!</v>
      </c>
      <c r="AR358" s="222" t="e">
        <f>PRODUCT(AR355:AR357)</f>
        <v>#DIV/0!</v>
      </c>
      <c r="AS358" s="222" t="e">
        <f>PRODUCT(AS355:AS357)</f>
        <v>#DIV/0!</v>
      </c>
      <c r="AT358" s="222" t="e">
        <f>PRODUCT(AT355:AT357)</f>
        <v>#DIV/0!</v>
      </c>
      <c r="AU358" s="222" t="e">
        <f>PRODUCT(AU355:AU357)</f>
        <v>#DIV/0!</v>
      </c>
      <c r="AW358" s="222" t="e">
        <f>PRODUCT(AW355:AW357)</f>
        <v>#DIV/0!</v>
      </c>
      <c r="AX358" s="222" t="e">
        <f>PRODUCT(AX355:AX357)</f>
        <v>#DIV/0!</v>
      </c>
      <c r="AY358" s="222" t="e">
        <f>PRODUCT(AY355:AY357)</f>
        <v>#DIV/0!</v>
      </c>
      <c r="AZ358" s="222" t="e">
        <f>PRODUCT(AZ355:AZ357)</f>
        <v>#DIV/0!</v>
      </c>
      <c r="BB358" s="222" t="e">
        <f>PRODUCT(BB355:BB357)</f>
        <v>#DIV/0!</v>
      </c>
      <c r="BC358" s="222" t="e">
        <f>PRODUCT(BC355:BC357)</f>
        <v>#DIV/0!</v>
      </c>
      <c r="BD358" s="222" t="e">
        <f>PRODUCT(BD355:BD357)</f>
        <v>#DIV/0!</v>
      </c>
      <c r="BE358" s="222" t="e">
        <f>PRODUCT(BE355:BE357)</f>
        <v>#DIV/0!</v>
      </c>
      <c r="BG358" s="222" t="e">
        <f>PRODUCT(BG355:BG357)</f>
        <v>#DIV/0!</v>
      </c>
      <c r="BH358" s="222" t="e">
        <f>PRODUCT(BH355:BH357)</f>
        <v>#DIV/0!</v>
      </c>
      <c r="BI358" s="222" t="e">
        <f>PRODUCT(BI355:BI357)</f>
        <v>#DIV/0!</v>
      </c>
      <c r="BJ358" s="222" t="e">
        <f>PRODUCT(BJ355:BJ357)</f>
        <v>#DIV/0!</v>
      </c>
      <c r="BL358" s="222" t="e">
        <f>PRODUCT(BL355:BL357)</f>
        <v>#DIV/0!</v>
      </c>
      <c r="BM358" s="222" t="e">
        <f>PRODUCT(BM355:BM357)</f>
        <v>#DIV/0!</v>
      </c>
      <c r="BN358" s="222" t="e">
        <f>PRODUCT(BN355:BN357)</f>
        <v>#DIV/0!</v>
      </c>
      <c r="BO358" s="222" t="e">
        <f>PRODUCT(BO355:BO357)</f>
        <v>#DIV/0!</v>
      </c>
      <c r="BQ358" s="222" t="e">
        <f>PRODUCT(BQ355:BQ357)</f>
        <v>#DIV/0!</v>
      </c>
      <c r="BR358" s="222" t="e">
        <f>PRODUCT(BR355:BR357)</f>
        <v>#DIV/0!</v>
      </c>
      <c r="BS358" s="222" t="e">
        <f>PRODUCT(BS355:BS357)</f>
        <v>#DIV/0!</v>
      </c>
      <c r="BT358" s="222" t="e">
        <f>PRODUCT(BT355:BT357)</f>
        <v>#DIV/0!</v>
      </c>
      <c r="BV358" s="222" t="e">
        <f>PRODUCT(BV355:BV357)</f>
        <v>#DIV/0!</v>
      </c>
      <c r="BW358" s="222" t="e">
        <f>PRODUCT(BW355:BW357)</f>
        <v>#DIV/0!</v>
      </c>
      <c r="BX358" s="222" t="e">
        <f>PRODUCT(BX355:BX357)</f>
        <v>#DIV/0!</v>
      </c>
      <c r="BY358" s="222" t="e">
        <f>PRODUCT(BY355:BY357)</f>
        <v>#DIV/0!</v>
      </c>
      <c r="CA358" s="222" t="e">
        <f>PRODUCT(CA355:CA357)</f>
        <v>#DIV/0!</v>
      </c>
      <c r="CB358" s="222" t="e">
        <f>PRODUCT(CB355:CB357)</f>
        <v>#DIV/0!</v>
      </c>
      <c r="CC358" s="222" t="e">
        <f>PRODUCT(CC355:CC357)</f>
        <v>#DIV/0!</v>
      </c>
      <c r="CD358" s="222" t="e">
        <f>PRODUCT(CD355:CD357)</f>
        <v>#DIV/0!</v>
      </c>
      <c r="CF358" s="222" t="e">
        <f>PRODUCT(CF355:CF357)</f>
        <v>#DIV/0!</v>
      </c>
      <c r="CG358" s="222" t="e">
        <f>PRODUCT(CG355:CG357)</f>
        <v>#DIV/0!</v>
      </c>
      <c r="CH358" s="222" t="e">
        <f>PRODUCT(CH355:CH357)</f>
        <v>#DIV/0!</v>
      </c>
      <c r="CI358" s="222" t="e">
        <f>PRODUCT(CI355:CI357)</f>
        <v>#DIV/0!</v>
      </c>
      <c r="CK358" s="222" t="e">
        <f>PRODUCT(CK355:CK357)</f>
        <v>#DIV/0!</v>
      </c>
      <c r="CL358" s="222" t="e">
        <f>PRODUCT(CL355:CL357)</f>
        <v>#DIV/0!</v>
      </c>
      <c r="CM358" s="222" t="e">
        <f>PRODUCT(CM355:CM357)</f>
        <v>#DIV/0!</v>
      </c>
      <c r="CN358" s="222" t="e">
        <f>PRODUCT(CN355:CN357)</f>
        <v>#DIV/0!</v>
      </c>
      <c r="CP358" s="222" t="e">
        <f>PRODUCT(CP355:CP357)</f>
        <v>#DIV/0!</v>
      </c>
      <c r="CQ358" s="222" t="e">
        <f>PRODUCT(CQ355:CQ357)</f>
        <v>#DIV/0!</v>
      </c>
      <c r="CR358" s="222" t="e">
        <f>PRODUCT(CR355:CR357)</f>
        <v>#DIV/0!</v>
      </c>
      <c r="CS358" s="222" t="e">
        <f>PRODUCT(CS355:CS357)</f>
        <v>#DIV/0!</v>
      </c>
      <c r="CU358" s="222" t="e">
        <f>PRODUCT(CU355:CU357)</f>
        <v>#DIV/0!</v>
      </c>
      <c r="CV358" s="222" t="e">
        <f>PRODUCT(CV355:CV357)</f>
        <v>#DIV/0!</v>
      </c>
      <c r="CW358" s="222" t="e">
        <f>PRODUCT(CW355:CW357)</f>
        <v>#DIV/0!</v>
      </c>
      <c r="CX358" s="222" t="e">
        <f>PRODUCT(CX355:CX357)</f>
        <v>#DIV/0!</v>
      </c>
    </row>
    <row r="359" customFormat="1" s="233">
      <c r="A359" s="224" t="n"/>
      <c r="B359" s="224" t="n"/>
      <c r="C359" s="233" t="inlineStr">
        <is>
          <t>ROE</t>
        </is>
      </c>
      <c r="D359" s="238">
        <f>D128/D262</f>
        <v>0.49240034413536</v>
      </c>
      <c r="E359" s="238">
        <f>E128/E262</f>
        <v>0.429477020602219</v>
      </c>
      <c r="F359" s="238">
        <f>F128/F262</f>
        <v>0.340553549939832</v>
      </c>
      <c r="G359" s="238">
        <f>G128/G262</f>
        <v>0.296787015568069</v>
      </c>
      <c r="I359" s="222">
        <f>I128/I262</f>
        <v>0.290067898310437</v>
      </c>
      <c r="J359" s="222">
        <f>J128/J262</f>
        <v>0.277947932618683</v>
      </c>
      <c r="K359" s="222">
        <f>K128/K262</f>
        <v>0.0637524659952238</v>
      </c>
      <c r="L359" s="222">
        <f>L128/L262</f>
        <v>0.186969614015877</v>
      </c>
      <c r="N359" s="222">
        <f>N128/N262</f>
        <v>0.173265346930614</v>
      </c>
      <c r="O359" s="222">
        <f>O128/O262</f>
        <v>0.0270293911826452</v>
      </c>
      <c r="P359" s="222">
        <f>P128/P262</f>
        <v>0.148587665050978</v>
      </c>
      <c r="Q359" s="222">
        <f>Q128/Q262</f>
        <v>0.206345780271962</v>
      </c>
      <c r="S359" s="222">
        <f>S128/S262</f>
        <v>0.175098486419241</v>
      </c>
      <c r="T359" s="222">
        <f>T128/T262</f>
        <v>0.181926406926407</v>
      </c>
      <c r="U359" s="222">
        <f>U128/U262</f>
        <v>0.181582919991374</v>
      </c>
      <c r="V359" s="222">
        <f>V128/V262</f>
        <v>0.273006583760059</v>
      </c>
      <c r="X359" s="222">
        <f>X128/X262</f>
        <v>0.232330827067669</v>
      </c>
      <c r="Y359" s="222">
        <f>Y128/Y262</f>
        <v>0.265748987854251</v>
      </c>
      <c r="Z359" s="222">
        <f>Z128/Z262</f>
        <v>0.225416666666667</v>
      </c>
      <c r="AA359" s="222">
        <f>AA128/AA262</f>
        <v>0.0832149060476867</v>
      </c>
      <c r="AC359" s="222">
        <f>AC128/AC262</f>
        <v>0.256172377674697</v>
      </c>
      <c r="AD359" s="222">
        <f>AD128/AD262</f>
        <v>0.0641169853768279</v>
      </c>
      <c r="AE359" s="222">
        <f>AE128/AE262</f>
        <v>0.261931726257887</v>
      </c>
      <c r="AF359" s="222">
        <f>AF128/AF262</f>
        <v>0.199970242523434</v>
      </c>
      <c r="AH359" s="222">
        <f>AH128/AH262</f>
        <v>0.198691414073975</v>
      </c>
      <c r="AI359" s="222">
        <f>AI128/AI262</f>
        <v>0.209397810218978</v>
      </c>
      <c r="AJ359" s="222">
        <f>AJ128/AJ262</f>
        <v>-0.00228623685413809</v>
      </c>
      <c r="AK359" s="222">
        <f>AK128/AK262</f>
        <v>-0.00401698611270515</v>
      </c>
      <c r="AM359" s="222">
        <f>AM128/AM262</f>
        <v>-0.00403318737036184</v>
      </c>
      <c r="AN359" s="222">
        <f>AN128/AN262</f>
        <v>-0.0128384687208217</v>
      </c>
      <c r="AO359" s="222">
        <f>AO128/AO262</f>
        <v>-0.00410172272354389</v>
      </c>
      <c r="AP359" s="222">
        <f>AP128/AP262</f>
        <v>-0.0130594799952511</v>
      </c>
      <c r="AR359" s="222">
        <f>AR128/AR262</f>
        <v>-0.0132322867797426</v>
      </c>
      <c r="AS359" s="222">
        <f>AS128/AS262</f>
        <v>-0.0361460800199427</v>
      </c>
      <c r="AT359" s="222">
        <f>AT128/AT262</f>
        <v>-0.0139011752811829</v>
      </c>
      <c r="AU359" s="222">
        <f>AU128/AU262</f>
        <v>-0.0380427653154926</v>
      </c>
      <c r="AW359" s="222">
        <f>AW128/AW262</f>
        <v>-0.0395472521478249</v>
      </c>
      <c r="AX359" s="222">
        <f>AX128/AX262</f>
        <v>-0.122455227307516</v>
      </c>
      <c r="AY359" s="222">
        <f>AY128/AY262</f>
        <v>-0.0464520262694218</v>
      </c>
      <c r="AZ359" s="222">
        <f>AZ128/AZ262</f>
        <v>-0.146977769612346</v>
      </c>
      <c r="BB359" s="222">
        <f>BB128/BB262</f>
        <v>-0.172302390695671</v>
      </c>
      <c r="BC359" s="222">
        <f>BC128/BC262</f>
        <v>-0.885099472188388</v>
      </c>
      <c r="BD359" s="222">
        <f>BD128/BD262</f>
        <v>-0.481058328322309</v>
      </c>
      <c r="BE359" s="222">
        <f>BE128/BE262</f>
        <v>4.21663442940039</v>
      </c>
      <c r="BG359" s="222">
        <f>BG128/BG262</f>
        <v>0.808305524657026</v>
      </c>
      <c r="BH359" s="222">
        <f>BH128/BH262</f>
        <v>0.688460205613954</v>
      </c>
      <c r="BI359" s="222">
        <f>BI128/BI262</f>
        <v>0.201162683399465</v>
      </c>
      <c r="BJ359" s="222">
        <f>BJ128/BJ262</f>
        <v>0.354825266416622</v>
      </c>
      <c r="BL359" s="222">
        <f>BL128/BL262</f>
        <v>0.261897438150899</v>
      </c>
      <c r="BM359" s="222">
        <f>BM128/BM262</f>
        <v>0.417040243871199</v>
      </c>
      <c r="BN359" s="222">
        <f>BN128/BN262</f>
        <v>0.132453274662755</v>
      </c>
      <c r="BO359" s="222">
        <f>BO128/BO262</f>
        <v>0.265678802813454</v>
      </c>
      <c r="BQ359" s="222">
        <f>BQ128/BQ262</f>
        <v>0.209910130613613</v>
      </c>
      <c r="BR359" s="222">
        <f>BR128/BR262</f>
        <v>0.364479625031753</v>
      </c>
      <c r="BS359" s="222">
        <f>BS128/BS262</f>
        <v>0.117700644172444</v>
      </c>
      <c r="BT359" s="222">
        <f>BT128/BT262</f>
        <v>0.24333003276859</v>
      </c>
      <c r="BV359" s="222">
        <f>BV128/BV262</f>
        <v>0.195708320683571</v>
      </c>
      <c r="BW359" s="222">
        <f>BW128/BW262</f>
        <v>0.348397491950906</v>
      </c>
      <c r="BX359" s="222">
        <f>BX128/BX262</f>
        <v>0.113100944118268</v>
      </c>
      <c r="BY359" s="222">
        <f>BY128/BY262</f>
        <v>0.23605421166013</v>
      </c>
      <c r="CA359" s="222">
        <f>CA128/CA262</f>
        <v>0.190973995665682</v>
      </c>
      <c r="CB359" s="222">
        <f>CB128/CB262</f>
        <v>0.342862926087221</v>
      </c>
      <c r="CC359" s="222">
        <f>CC128/CC262</f>
        <v>0.111502912820908</v>
      </c>
      <c r="CD359" s="222">
        <f>CD128/CD262</f>
        <v>0.233500745866087</v>
      </c>
      <c r="CF359" s="222">
        <f>CF128/CF262</f>
        <v>0.189299233623193</v>
      </c>
      <c r="CG359" s="222">
        <f>CG128/CG262</f>
        <v>0.34088009329255</v>
      </c>
      <c r="CH359" s="222">
        <f>CH128/CH262</f>
        <v>0.110930051585815</v>
      </c>
      <c r="CI359" s="222">
        <f>CI128/CI262</f>
        <v>0.232579308739135</v>
      </c>
      <c r="CK359" s="222">
        <f>CK128/CK262</f>
        <v>0.188693179489644</v>
      </c>
      <c r="CL359" s="222">
        <f>CL128/CL262</f>
        <v>0.340160249014521</v>
      </c>
      <c r="CM359" s="222">
        <f>CM128/CM262</f>
        <v>0.11072161553169</v>
      </c>
      <c r="CN359" s="222">
        <f>CN128/CN262</f>
        <v>0.232244005406856</v>
      </c>
      <c r="CP359" s="222">
        <f>CP128/CP262</f>
        <v>0.188472416492036</v>
      </c>
      <c r="CQ359" s="222">
        <f>CQ128/CQ262</f>
        <v>0.339897473084915</v>
      </c>
      <c r="CR359" s="222">
        <f>CR128/CR262</f>
        <v>0.110645578246692</v>
      </c>
      <c r="CS359" s="222">
        <f>CS128/CS262</f>
        <v>0.232121477034314</v>
      </c>
      <c r="CU359" s="222">
        <f>CU128/CU262</f>
        <v>0.188391714097075</v>
      </c>
      <c r="CV359" s="222">
        <f>CV128/CV262</f>
        <v>0.339801406397734</v>
      </c>
      <c r="CW359" s="222">
        <f>CW128/CW262</f>
        <v>0.110617756703382</v>
      </c>
      <c r="CX359" s="222">
        <f>CX128/CX262</f>
        <v>0.232076671684992</v>
      </c>
    </row>
    <row r="361">
      <c r="C361" s="53" t="inlineStr">
        <is>
          <t>Scenario Analysis</t>
        </is>
      </c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  <c r="AA361" s="53" t="n"/>
      <c r="AB361" s="53" t="n"/>
      <c r="AC361" s="53" t="n"/>
      <c r="AD361" s="53" t="n"/>
      <c r="AE361" s="53" t="n"/>
      <c r="AF361" s="53" t="n"/>
      <c r="AG361" s="53" t="n"/>
      <c r="AH361" s="53" t="n"/>
      <c r="AI361" s="53" t="n"/>
      <c r="AJ361" s="53" t="n"/>
      <c r="AK361" s="53" t="n"/>
      <c r="AL361" s="53" t="n"/>
      <c r="AM361" s="53" t="n"/>
      <c r="AN361" s="53" t="n"/>
      <c r="AO361" s="53" t="n"/>
      <c r="AP361" s="53" t="n"/>
      <c r="AQ361" s="53" t="n"/>
      <c r="AR361" s="53" t="n"/>
      <c r="AS361" s="53" t="n"/>
      <c r="AT361" s="53" t="n"/>
      <c r="AU361" s="53" t="n"/>
      <c r="AV361" s="53" t="n"/>
      <c r="AW361" s="53" t="n"/>
      <c r="AX361" s="53" t="n"/>
      <c r="AY361" s="53" t="n"/>
      <c r="AZ361" s="53" t="n"/>
      <c r="BA361" s="53" t="n"/>
      <c r="BB361" s="53" t="n"/>
      <c r="BC361" s="53" t="n"/>
      <c r="BD361" s="53" t="n"/>
      <c r="BE361" s="53" t="n"/>
      <c r="BF361" s="53" t="n"/>
      <c r="BG361" s="53" t="n"/>
      <c r="BH361" s="53" t="n"/>
      <c r="BI361" s="53" t="n"/>
      <c r="BJ361" s="53" t="n"/>
      <c r="BK361" s="53" t="n"/>
      <c r="BL361" s="53" t="n"/>
      <c r="BM361" s="53" t="n"/>
      <c r="BN361" s="53" t="n"/>
      <c r="BO361" s="53" t="n"/>
      <c r="BP361" s="53" t="n"/>
      <c r="BQ361" s="53" t="n"/>
      <c r="BR361" s="53" t="n"/>
      <c r="BS361" s="53" t="n"/>
      <c r="BT361" s="53" t="n"/>
      <c r="BU361" s="53" t="n"/>
      <c r="BV361" s="53" t="n"/>
      <c r="BW361" s="53" t="n"/>
      <c r="BX361" s="53" t="n"/>
      <c r="BY361" s="53" t="n"/>
      <c r="BZ361" s="53" t="n"/>
      <c r="CA361" s="53" t="n"/>
      <c r="CB361" s="53" t="n"/>
      <c r="CC361" s="53" t="n"/>
      <c r="CD361" s="53" t="n"/>
      <c r="CE361" s="53" t="n"/>
      <c r="CF361" s="53" t="n"/>
      <c r="CG361" s="53" t="n"/>
      <c r="CH361" s="53" t="n"/>
      <c r="CI361" s="53" t="n"/>
      <c r="CJ361" s="53" t="n"/>
      <c r="CK361" s="53" t="n"/>
      <c r="CL361" s="53" t="n"/>
      <c r="CM361" s="53" t="n"/>
      <c r="CN361" s="53" t="n"/>
      <c r="CO361" s="53" t="n"/>
      <c r="CP361" s="53" t="n"/>
      <c r="CQ361" s="53" t="n"/>
      <c r="CR361" s="53" t="n"/>
      <c r="CS361" s="53" t="n"/>
      <c r="CT361" s="53" t="n"/>
      <c r="CU361" s="53" t="n"/>
      <c r="CV361" s="53" t="n"/>
      <c r="CW361" s="53" t="n"/>
      <c r="CX361" s="53" t="n"/>
      <c r="CY361" s="53" t="n"/>
    </row>
    <row r="364">
      <c r="C364" s="4" t="inlineStr">
        <is>
          <t>Bull case</t>
        </is>
      </c>
    </row>
    <row r="365">
      <c r="C365" s="4" t="inlineStr">
        <is>
          <t>Base case</t>
        </is>
      </c>
    </row>
    <row r="366">
      <c r="C366" s="4" t="inlineStr">
        <is>
          <t>Bear case</t>
        </is>
      </c>
    </row>
    <row r="369">
      <c r="C369" s="4" t="inlineStr">
        <is>
          <t>Bull case</t>
        </is>
      </c>
    </row>
    <row r="370">
      <c r="C370" s="4" t="inlineStr">
        <is>
          <t>Base case</t>
        </is>
      </c>
    </row>
    <row r="371">
      <c r="C371" s="4" t="inlineStr">
        <is>
          <t>Bear case</t>
        </is>
      </c>
    </row>
    <row r="374">
      <c r="C374" s="4" t="inlineStr">
        <is>
          <t>% Gross Margin</t>
        </is>
      </c>
    </row>
    <row r="375">
      <c r="C375" s="4" t="inlineStr">
        <is>
          <t>Bull case</t>
        </is>
      </c>
    </row>
    <row r="376">
      <c r="C376" s="4" t="inlineStr">
        <is>
          <t>Base case</t>
        </is>
      </c>
    </row>
    <row r="377">
      <c r="C377" s="4" t="inlineStr">
        <is>
          <t>Bear case</t>
        </is>
      </c>
    </row>
    <row r="380">
      <c r="C380" s="4" t="inlineStr">
        <is>
          <t>Capital expenditures</t>
        </is>
      </c>
    </row>
    <row r="381">
      <c r="C381" s="4" t="inlineStr">
        <is>
          <t>Bull case</t>
        </is>
      </c>
    </row>
    <row r="382">
      <c r="C382" s="4" t="inlineStr">
        <is>
          <t>Base case</t>
        </is>
      </c>
    </row>
    <row r="383">
      <c r="C383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06:G306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06:L306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06:Q306">
    <cfRule type="cellIs" priority="44" operator="notEqual" dxfId="0">
      <formula>0</formula>
    </cfRule>
  </conditionalFormatting>
  <conditionalFormatting sqref="S306:V306">
    <cfRule type="cellIs" priority="43" operator="notEqual" dxfId="0">
      <formula>0</formula>
    </cfRule>
  </conditionalFormatting>
  <conditionalFormatting sqref="X306:AA306">
    <cfRule type="cellIs" priority="42" operator="notEqual" dxfId="0">
      <formula>0</formula>
    </cfRule>
  </conditionalFormatting>
  <conditionalFormatting sqref="AC306:AF306">
    <cfRule type="cellIs" priority="41" operator="notEqual" dxfId="0">
      <formula>0</formula>
    </cfRule>
  </conditionalFormatting>
  <conditionalFormatting sqref="AH306:AK306">
    <cfRule type="cellIs" priority="14" operator="notEqual" dxfId="0">
      <formula>0</formula>
    </cfRule>
  </conditionalFormatting>
  <conditionalFormatting sqref="AM306:AP306">
    <cfRule type="cellIs" priority="13" operator="notEqual" dxfId="0">
      <formula>0</formula>
    </cfRule>
  </conditionalFormatting>
  <conditionalFormatting sqref="AR306:AU306">
    <cfRule type="cellIs" priority="12" operator="notEqual" dxfId="0">
      <formula>0</formula>
    </cfRule>
  </conditionalFormatting>
  <conditionalFormatting sqref="AW306:AZ306">
    <cfRule type="cellIs" priority="11" operator="notEqual" dxfId="0">
      <formula>0</formula>
    </cfRule>
  </conditionalFormatting>
  <conditionalFormatting sqref="BB306:BE306">
    <cfRule type="cellIs" priority="10" operator="notEqual" dxfId="0">
      <formula>0</formula>
    </cfRule>
  </conditionalFormatting>
  <conditionalFormatting sqref="BG306:BJ306">
    <cfRule type="cellIs" priority="9" operator="notEqual" dxfId="0">
      <formula>0</formula>
    </cfRule>
  </conditionalFormatting>
  <conditionalFormatting sqref="BL306:BO306">
    <cfRule type="cellIs" priority="8" operator="notEqual" dxfId="0">
      <formula>0</formula>
    </cfRule>
  </conditionalFormatting>
  <conditionalFormatting sqref="BQ306:BT306">
    <cfRule type="cellIs" priority="7" operator="notEqual" dxfId="0">
      <formula>0</formula>
    </cfRule>
  </conditionalFormatting>
  <conditionalFormatting sqref="BV306:BY306">
    <cfRule type="cellIs" priority="6" operator="notEqual" dxfId="0">
      <formula>0</formula>
    </cfRule>
  </conditionalFormatting>
  <conditionalFormatting sqref="CA306:CD306">
    <cfRule type="cellIs" priority="5" operator="notEqual" dxfId="0">
      <formula>0</formula>
    </cfRule>
  </conditionalFormatting>
  <conditionalFormatting sqref="CF306:CI306">
    <cfRule type="cellIs" priority="4" operator="notEqual" dxfId="0">
      <formula>0</formula>
    </cfRule>
  </conditionalFormatting>
  <conditionalFormatting sqref="CK306:CN306">
    <cfRule type="cellIs" priority="3" operator="notEqual" dxfId="0">
      <formula>0</formula>
    </cfRule>
  </conditionalFormatting>
  <conditionalFormatting sqref="CP306:CS306">
    <cfRule type="cellIs" priority="2" operator="notEqual" dxfId="0">
      <formula>0</formula>
    </cfRule>
  </conditionalFormatting>
  <conditionalFormatting sqref="CU306:CX306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67571</v>
      </c>
      <c r="E18" s="83">
        <f>Model!AB15</f>
        <v>71043</v>
      </c>
      <c r="F18" s="83">
        <f>Model!AG15</f>
        <v>75048</v>
      </c>
      <c r="G18" s="83">
        <f>Model!AL15</f>
        <v>77014</v>
      </c>
      <c r="H18" s="83">
        <f>Model!AQ15</f>
        <v>77014</v>
      </c>
      <c r="I18" s="83">
        <f>Model!AV15</f>
        <v>77014</v>
      </c>
      <c r="J18" s="83">
        <f>Model!BA15</f>
        <v>77014</v>
      </c>
      <c r="K18" s="83">
        <f>Model!BF15</f>
        <v>77014</v>
      </c>
      <c r="L18" s="83">
        <f>Model!BK15</f>
        <v>77014</v>
      </c>
      <c r="M18" s="83">
        <f>Model!BP15</f>
        <v>77014</v>
      </c>
      <c r="N18" s="83">
        <f>Model!BU15</f>
        <v>77014</v>
      </c>
      <c r="O18" s="83">
        <f>Model!BZ15</f>
        <v>77014</v>
      </c>
      <c r="P18" s="83">
        <f>Model!CE15</f>
        <v>77014</v>
      </c>
      <c r="Q18" s="83">
        <f>Model!CJ15</f>
        <v>77014</v>
      </c>
      <c r="R18" s="83">
        <f>Model!CO15</f>
        <v>77014</v>
      </c>
      <c r="S18" s="83" t="n"/>
      <c r="T18" s="83" t="n"/>
      <c r="U18" s="83" t="n"/>
      <c r="V18" s="84" t="n"/>
      <c r="X18" s="85">
        <f>((L18/F18)^(1/6))-1</f>
        <v>0.0043191866957033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0.0513829897441209</v>
      </c>
      <c r="F19" s="87">
        <f>F18/E18-1</f>
        <v>0.0563743085173769</v>
      </c>
      <c r="G19" s="87">
        <f>G18/F18-1</f>
        <v>0.0261965675301141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Model!W60</f>
        <v>9937</v>
      </c>
      <c r="E20" s="83">
        <f>Model!AB60</f>
        <v>8572</v>
      </c>
      <c r="F20" s="83">
        <f>Model!AG60</f>
        <v>9418</v>
      </c>
      <c r="G20" s="83">
        <f>Model!AL60</f>
        <v>5340</v>
      </c>
      <c r="H20" s="83">
        <f>Model!AQ60</f>
        <v>0</v>
      </c>
      <c r="I20" s="83">
        <f>Model!BA60</f>
        <v>0</v>
      </c>
      <c r="J20" s="83">
        <f>Model!BA60</f>
        <v>0</v>
      </c>
      <c r="K20" s="83">
        <f>Model!BF60</f>
        <v>0</v>
      </c>
      <c r="L20" s="83">
        <f>Model!BK60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0.147060129345429</v>
      </c>
      <c r="E21" s="92">
        <f>E20/E18</f>
        <v>0.120659319003984</v>
      </c>
      <c r="F21" s="92">
        <f>F20/F18</f>
        <v>0.12549301780194</v>
      </c>
      <c r="G21" s="92">
        <f>G20/G18</f>
        <v>0.0693380424338432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Model!W64</f>
        <v>8507</v>
      </c>
      <c r="E22" s="83">
        <f>Model!AB64</f>
        <v>7013</v>
      </c>
      <c r="F22" s="83">
        <f>Model!AG64</f>
        <v>7731</v>
      </c>
      <c r="G22" s="83">
        <f>Model!AL64</f>
        <v>4542</v>
      </c>
      <c r="H22" s="83">
        <f>Model!AQ64</f>
        <v>0</v>
      </c>
      <c r="I22" s="83">
        <f>Model!AV64</f>
        <v>0</v>
      </c>
      <c r="J22" s="83">
        <f>Model!BA64</f>
        <v>0</v>
      </c>
      <c r="K22" s="83">
        <f>Model!BF64</f>
        <v>0</v>
      </c>
      <c r="L22" s="83">
        <f>Model!BK64</f>
        <v>0</v>
      </c>
      <c r="M22" s="83">
        <f>Model!BP64</f>
        <v>0</v>
      </c>
      <c r="N22" s="83">
        <f>Model!BU64</f>
        <v>0</v>
      </c>
      <c r="O22" s="83">
        <f>Model!BZ64</f>
        <v>0</v>
      </c>
      <c r="P22" s="83">
        <f>Model!CE64</f>
        <v>0</v>
      </c>
      <c r="Q22" s="83">
        <f>Model!CJ64</f>
        <v>0</v>
      </c>
      <c r="R22" s="83">
        <f>Model!CO64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0.125897204422015</v>
      </c>
      <c r="E23" s="92">
        <f>E22/E18</f>
        <v>0.0987148628295539</v>
      </c>
      <c r="F23" s="92">
        <f>F22/F18</f>
        <v>0.103014070994563</v>
      </c>
      <c r="G23" s="92">
        <f>G22/G18</f>
        <v>0.0589762900251902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Model!W123</f>
        <v>0.14546801679427</v>
      </c>
      <c r="E24" s="95">
        <f>Model!AB123</f>
        <v>0.142122186495177</v>
      </c>
      <c r="F24" s="95">
        <f>Model!AG123</f>
        <v>0.152819993245525</v>
      </c>
      <c r="G24" s="95">
        <f>Model!AL123</f>
        <v>0.161149602258147</v>
      </c>
      <c r="H24" s="95">
        <f>Model!AQ123</f>
        <v>0</v>
      </c>
      <c r="I24" s="95">
        <f>Model!AV123</f>
        <v>0</v>
      </c>
      <c r="J24" s="95">
        <f>Model!BA123</f>
        <v>0</v>
      </c>
      <c r="K24" s="95">
        <f>Model!BF123</f>
        <v>0</v>
      </c>
      <c r="L24" s="95">
        <f>Model!BK123</f>
        <v>0</v>
      </c>
      <c r="M24" s="95">
        <f>Model!BP123</f>
        <v>0</v>
      </c>
      <c r="N24" s="95">
        <f>Model!BU123</f>
        <v>0</v>
      </c>
      <c r="O24" s="95">
        <f>Model!BZ123</f>
        <v>0</v>
      </c>
      <c r="P24" s="95">
        <f>Model!CE123</f>
        <v>0</v>
      </c>
      <c r="Q24" s="95">
        <f>Model!CJ123</f>
        <v>0</v>
      </c>
      <c r="R24" s="95">
        <f>Model!CO123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7269.50358113114</v>
      </c>
      <c r="E25" s="97">
        <f>E22*(1-E24)</f>
        <v>6016.29710610933</v>
      </c>
      <c r="F25" s="97">
        <f>F22*(1-F24)</f>
        <v>6549.54863221884</v>
      </c>
      <c r="G25" s="97">
        <f>G22*(1-G24)</f>
        <v>3810.0585065435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Model!W61</f>
        <v>-1430</v>
      </c>
      <c r="E26" s="100">
        <f>Model!AB61</f>
        <v>-1559</v>
      </c>
      <c r="F26" s="100">
        <f>Model!AG61</f>
        <v>-1687</v>
      </c>
      <c r="G26" s="100">
        <f>Model!AL61</f>
        <v>-798</v>
      </c>
      <c r="H26" s="100">
        <f>Model!AQ61</f>
        <v>0</v>
      </c>
      <c r="I26" s="100">
        <f>Model!AV61</f>
        <v>0</v>
      </c>
      <c r="J26" s="100">
        <f>Model!BA61</f>
        <v>0</v>
      </c>
      <c r="K26" s="100">
        <f>Model!BF61</f>
        <v>0</v>
      </c>
      <c r="L26" s="101">
        <f>Model!BK61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-537</v>
      </c>
      <c r="E27" s="103">
        <f>SUM(E28:E39)</f>
        <v>-841</v>
      </c>
      <c r="F27" s="103">
        <f>SUM(F28:F39)</f>
        <v>88</v>
      </c>
      <c r="G27" s="103">
        <f>SUM(G28:G39)</f>
        <v>1033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Model!W271</f>
        <v>373</v>
      </c>
      <c r="E28" s="106">
        <f>Model!AB271</f>
        <v>-219</v>
      </c>
      <c r="F28" s="106">
        <f>Model!AG271</f>
        <v>-1550</v>
      </c>
      <c r="G28" s="106">
        <f>Model!AL271</f>
        <v>3901</v>
      </c>
      <c r="H28" s="106">
        <f>Model!AQ271</f>
        <v>0</v>
      </c>
      <c r="I28" s="106">
        <f>Model!AV271</f>
        <v>0</v>
      </c>
      <c r="J28" s="106">
        <f>Model!BA271</f>
        <v>0</v>
      </c>
      <c r="K28" s="106">
        <f>Model!BF271</f>
        <v>0</v>
      </c>
      <c r="L28" s="107">
        <f>Model!BK271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Model!W272</f>
        <v>0</v>
      </c>
      <c r="E29" s="106">
        <f>Model!AB272</f>
        <v>0</v>
      </c>
      <c r="F29" s="106">
        <f>Model!AG272</f>
        <v>0</v>
      </c>
      <c r="G29" s="106">
        <f>Model!AL272</f>
        <v>0</v>
      </c>
      <c r="H29" s="106">
        <f>Model!AQ272</f>
        <v>0</v>
      </c>
      <c r="I29" s="106">
        <f>Model!AV272</f>
        <v>0</v>
      </c>
      <c r="J29" s="106">
        <f>Model!BA272</f>
        <v>0</v>
      </c>
      <c r="K29" s="106">
        <f>Model!BF272</f>
        <v>0</v>
      </c>
      <c r="L29" s="107">
        <f>Model!BK272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Model!W273</f>
        <v>791</v>
      </c>
      <c r="E30" s="106">
        <f>Model!AB273</f>
        <v>-604</v>
      </c>
      <c r="F30" s="106">
        <f>Model!AG273</f>
        <v>582</v>
      </c>
      <c r="G30" s="106">
        <f>Model!AL273</f>
        <v>561</v>
      </c>
      <c r="H30" s="106">
        <f>Model!AQ273</f>
        <v>0</v>
      </c>
      <c r="I30" s="106">
        <f>Model!AV273</f>
        <v>0</v>
      </c>
      <c r="J30" s="106">
        <f>Model!BA273</f>
        <v>0</v>
      </c>
      <c r="K30" s="106">
        <f>Model!BF273</f>
        <v>0</v>
      </c>
      <c r="L30" s="107">
        <f>Model!BK273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Model!W274</f>
        <v>0</v>
      </c>
      <c r="E31" s="106">
        <f>Model!AB274</f>
        <v>0</v>
      </c>
      <c r="F31" s="106">
        <f>Model!AG274</f>
        <v>0</v>
      </c>
      <c r="G31" s="106">
        <f>Model!AL274</f>
        <v>0</v>
      </c>
      <c r="H31" s="106">
        <f>Model!AQ274</f>
        <v>0</v>
      </c>
      <c r="I31" s="106">
        <f>Model!AV274</f>
        <v>0</v>
      </c>
      <c r="J31" s="106">
        <f>Model!BA274</f>
        <v>0</v>
      </c>
      <c r="K31" s="106">
        <f>Model!BF274</f>
        <v>0</v>
      </c>
      <c r="L31" s="107">
        <f>Model!BK274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Model!W275</f>
        <v>-1008</v>
      </c>
      <c r="E32" s="106">
        <f>Model!AB275</f>
        <v>-68</v>
      </c>
      <c r="F32" s="106">
        <f>Model!AG275</f>
        <v>-325</v>
      </c>
      <c r="G32" s="106">
        <f>Model!AL275</f>
        <v>497</v>
      </c>
      <c r="H32" s="106">
        <f>Model!AQ275</f>
        <v>0</v>
      </c>
      <c r="I32" s="106">
        <f>Model!AV275</f>
        <v>0</v>
      </c>
      <c r="J32" s="106">
        <f>Model!BA275</f>
        <v>0</v>
      </c>
      <c r="K32" s="106">
        <f>Model!BF275</f>
        <v>0</v>
      </c>
      <c r="L32" s="107">
        <f>Model!BK275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Model!W276</f>
        <v>195</v>
      </c>
      <c r="E33" s="106">
        <f>Model!AB276</f>
        <v>-90</v>
      </c>
      <c r="F33" s="106">
        <f>Model!AG276</f>
        <v>1408</v>
      </c>
      <c r="G33" s="106">
        <f>Model!AL276</f>
        <v>-3630</v>
      </c>
      <c r="H33" s="106">
        <f>Model!AQ276</f>
        <v>0</v>
      </c>
      <c r="I33" s="106">
        <f>Model!AV276</f>
        <v>0</v>
      </c>
      <c r="J33" s="106">
        <f>Model!BA276</f>
        <v>0</v>
      </c>
      <c r="K33" s="106">
        <f>Model!BF276</f>
        <v>0</v>
      </c>
      <c r="L33" s="107">
        <f>Model!BK276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Model!W277</f>
        <v>58</v>
      </c>
      <c r="E34" s="106">
        <f>Model!AB277</f>
        <v>-8</v>
      </c>
      <c r="F34" s="106">
        <f>Model!AG277</f>
        <v>59</v>
      </c>
      <c r="G34" s="106">
        <f>Model!AL277</f>
        <v>-3184</v>
      </c>
      <c r="H34" s="106" t="e">
        <f>Model!AQ277</f>
        <v>#DIV/0!</v>
      </c>
      <c r="I34" s="106" t="e">
        <f>Model!AV277</f>
        <v>#DIV/0!</v>
      </c>
      <c r="J34" s="106" t="e">
        <f>Model!BA277</f>
        <v>#DIV/0!</v>
      </c>
      <c r="K34" s="106" t="e">
        <f>Model!BF277</f>
        <v>#DIV/0!</v>
      </c>
      <c r="L34" s="107" t="e">
        <f>Model!BK277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Model!W278</f>
        <v>0</v>
      </c>
      <c r="E35" s="106">
        <f>Model!AB278</f>
        <v>0</v>
      </c>
      <c r="F35" s="106">
        <f>Model!AG278</f>
        <v>0</v>
      </c>
      <c r="G35" s="106">
        <f>Model!AL278</f>
        <v>0</v>
      </c>
      <c r="H35" s="106" t="e">
        <f>Model!AQ278</f>
        <v>#DIV/0!</v>
      </c>
      <c r="I35" s="106" t="e">
        <f>Model!AV278</f>
        <v>#DIV/0!</v>
      </c>
      <c r="J35" s="106" t="e">
        <f>Model!BA278</f>
        <v>#DIV/0!</v>
      </c>
      <c r="K35" s="106" t="e">
        <f>Model!BF278</f>
        <v>#DIV/0!</v>
      </c>
      <c r="L35" s="107" t="e">
        <f>Model!BK278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Model!W279</f>
        <v>629</v>
      </c>
      <c r="E36" s="106">
        <f>Model!AB279</f>
        <v>2106</v>
      </c>
      <c r="F36" s="106">
        <f>Model!AG279</f>
        <v>1923</v>
      </c>
      <c r="G36" s="106">
        <f>Model!AL279</f>
        <v>538</v>
      </c>
      <c r="H36" s="106">
        <f>Model!AQ279</f>
        <v>0</v>
      </c>
      <c r="I36" s="106">
        <f>Model!AV279</f>
        <v>0</v>
      </c>
      <c r="J36" s="106">
        <f>Model!BA279</f>
        <v>0</v>
      </c>
      <c r="K36" s="106">
        <f>Model!BF279</f>
        <v>0</v>
      </c>
      <c r="L36" s="107">
        <f>Model!BK279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Model!W280</f>
        <v>0</v>
      </c>
      <c r="E37" s="106">
        <f>Model!AB280</f>
        <v>0</v>
      </c>
      <c r="F37" s="106">
        <f>Model!AG280</f>
        <v>0</v>
      </c>
      <c r="G37" s="106">
        <f>Model!AL280</f>
        <v>0</v>
      </c>
      <c r="H37" s="106">
        <f>Model!AQ280</f>
        <v>0</v>
      </c>
      <c r="I37" s="106">
        <f>Model!AV280</f>
        <v>0</v>
      </c>
      <c r="J37" s="106">
        <f>Model!BA280</f>
        <v>0</v>
      </c>
      <c r="K37" s="106">
        <f>Model!BF280</f>
        <v>0</v>
      </c>
      <c r="L37" s="107">
        <f>Model!BK280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(Model!W180-Model!R180)*-1</f>
        <v>-670</v>
      </c>
      <c r="E38" s="106">
        <f>(Model!AB180-Model!W180)*-1</f>
        <v>-802</v>
      </c>
      <c r="F38" s="106">
        <f>(Model!AG180-Model!AB180)*-1</f>
        <v>-1024</v>
      </c>
      <c r="G38" s="106">
        <f>(Model!AL180-Model!AG180)*-1</f>
        <v>2267</v>
      </c>
      <c r="H38" s="106">
        <f>(Model!AQ180-Model!AL180)*-1</f>
        <v>0</v>
      </c>
      <c r="I38" s="106">
        <f>(Model!AV180-Model!AQ180)*-1</f>
        <v>0</v>
      </c>
      <c r="J38" s="106">
        <f>(Model!BA180-Model!AV180)*-1</f>
        <v>0</v>
      </c>
      <c r="K38" s="106">
        <f>(Model!BF180-Model!BA180)*-1</f>
        <v>0</v>
      </c>
      <c r="L38" s="107">
        <f>(Model!BK180-Model!BF180)*-1</f>
        <v>0</v>
      </c>
      <c r="M38">
        <f>(Model!BP180-Model!BK180)*-1</f>
        <v>0</v>
      </c>
      <c r="N38">
        <f>(Model!BU180-Model!BP180)*-1</f>
        <v>0</v>
      </c>
      <c r="O38">
        <f>(Model!BZ180-Model!BU180)*-1</f>
        <v>0</v>
      </c>
      <c r="P38">
        <f>(Model!CE180-Model!BZ180)*-1</f>
        <v>0</v>
      </c>
      <c r="Q38">
        <f>(Model!CJ180-Model!CE180)*-1</f>
        <v>0</v>
      </c>
      <c r="R38">
        <f>(Model!CO180-Model!CJ180)*-1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Model!W231-Model!R231</f>
        <v>-905</v>
      </c>
      <c r="E39" s="106">
        <f>Model!AB231-Model!W231</f>
        <v>-1156</v>
      </c>
      <c r="F39" s="106">
        <f>Model!AG231-Model!AB231</f>
        <v>-985</v>
      </c>
      <c r="G39" s="106">
        <f>Model!AL231-Model!AG231</f>
        <v>83</v>
      </c>
      <c r="H39" s="106">
        <f>Model!AQ231-Model!AL231</f>
        <v>0</v>
      </c>
      <c r="I39" s="106">
        <f>Model!AV231-Model!AQ231</f>
        <v>0</v>
      </c>
      <c r="J39" s="106">
        <f>Model!BA231-Model!AV231</f>
        <v>0</v>
      </c>
      <c r="K39" s="106">
        <f>Model!BF231-Model!BA231</f>
        <v>0</v>
      </c>
      <c r="L39" s="107">
        <f>Model!BK231-Model!BF231</f>
        <v>0</v>
      </c>
      <c r="M39">
        <f>Model!BP231-Model!BK231</f>
        <v>0</v>
      </c>
      <c r="N39">
        <f>Model!BU231-Model!BP231</f>
        <v>0</v>
      </c>
      <c r="O39">
        <f>Model!BZ231-Model!BU231</f>
        <v>0</v>
      </c>
      <c r="P39">
        <f>Model!CE231-Model!BZ231</f>
        <v>0</v>
      </c>
      <c r="Q39">
        <f>Model!CJ231-Model!CE231</f>
        <v>0</v>
      </c>
      <c r="R39">
        <f>Model!CO231-Model!CJ231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-1967</v>
      </c>
      <c r="E44" s="103">
        <f>SUM(E27+E40+E41+E42+E26)</f>
        <v>-2400</v>
      </c>
      <c r="F44" s="103">
        <f>SUM(F27+F40+F41+F42+F26)</f>
        <v>-1599</v>
      </c>
      <c r="G44" s="103">
        <f>SUM(G27+G40+G41+G42+G26)</f>
        <v>235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Model!W341</f>
        <v>22852</v>
      </c>
      <c r="E46" s="106">
        <f>Model!AB341</f>
        <v>24120</v>
      </c>
      <c r="F46" s="106">
        <f>Model!AG341</f>
        <v>24300</v>
      </c>
      <c r="G46" s="106">
        <f>Model!AL341</f>
        <v>23879</v>
      </c>
      <c r="H46" s="106" t="e">
        <f>Model!AQ341</f>
        <v>#DIV/0!</v>
      </c>
      <c r="I46" s="106" t="e">
        <f>Model!AV341</f>
        <v>#DIV/0!</v>
      </c>
      <c r="J46" s="106" t="e">
        <f>Model!BA341</f>
        <v>#DIV/0!</v>
      </c>
      <c r="K46" s="106" t="e">
        <f>Model!BF341</f>
        <v>#DIV/0!</v>
      </c>
      <c r="L46" s="106" t="e">
        <f>Model!BK341</f>
        <v>#DIV/0!</v>
      </c>
      <c r="M46" s="115" t="e">
        <f>Model!BP341</f>
        <v>#DIV/0!</v>
      </c>
      <c r="N46" s="115" t="e">
        <f>Model!BU341</f>
        <v>#DIV/0!</v>
      </c>
      <c r="O46" s="115" t="e">
        <f>Model!BZ341</f>
        <v>#DIV/0!</v>
      </c>
      <c r="P46" s="115" t="e">
        <f>Model!CE341</f>
        <v>#DIV/0!</v>
      </c>
      <c r="Q46" s="115" t="e">
        <f>Model!CJ341</f>
        <v>#DIV/0!</v>
      </c>
      <c r="R46" s="115" t="e">
        <f>Model!CO341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Model!W342</f>
        <v>12053</v>
      </c>
      <c r="E47" s="106">
        <f>Model!AB342</f>
        <v>13053</v>
      </c>
      <c r="F47" s="106">
        <f>Model!AG342</f>
        <v>12986</v>
      </c>
      <c r="G47" s="106">
        <f>Model!AL342</f>
        <v>12581</v>
      </c>
      <c r="H47" s="106" t="e">
        <f>Model!AQ342</f>
        <v>#DIV/0!</v>
      </c>
      <c r="I47" s="106" t="e">
        <f>Model!AV342</f>
        <v>#DIV/0!</v>
      </c>
      <c r="J47" s="106" t="e">
        <f>Model!BA342</f>
        <v>#DIV/0!</v>
      </c>
      <c r="K47" s="106" t="e">
        <f>Model!BF342</f>
        <v>#DIV/0!</v>
      </c>
      <c r="L47" s="106" t="e">
        <f>Model!BK342</f>
        <v>#DIV/0!</v>
      </c>
      <c r="M47" t="e">
        <f>Model!BP342</f>
        <v>#DIV/0!</v>
      </c>
      <c r="N47" t="e">
        <f>Model!BU342</f>
        <v>#DIV/0!</v>
      </c>
      <c r="O47" t="e">
        <f>Model!BZ342</f>
        <v>#DIV/0!</v>
      </c>
      <c r="P47" t="e">
        <f>Model!CE342</f>
        <v>#DIV/0!</v>
      </c>
      <c r="Q47" t="e">
        <f>Model!CJ342</f>
        <v>#DIV/0!</v>
      </c>
      <c r="R47" t="e">
        <f>Model!CO342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0.338192419825073</v>
      </c>
      <c r="E48" s="92">
        <f>E46/E18</f>
        <v>0.33951268949791</v>
      </c>
      <c r="F48" s="92">
        <f>F46/F18</f>
        <v>0.32379277262552</v>
      </c>
      <c r="G48" s="92">
        <f>G46/G18</f>
        <v>0.310060508478978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0.158162622991075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2.95689655172414</v>
      </c>
      <c r="E51" s="124">
        <f>E18/E46</f>
        <v>2.94539800995025</v>
      </c>
      <c r="F51" s="124">
        <f>F18/F46</f>
        <v>3.0883950617284</v>
      </c>
      <c r="G51" s="124">
        <f>G18/G46</f>
        <v>3.22517693370744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5302.50358113114</v>
      </c>
      <c r="E53" s="125">
        <f>E25+E44</f>
        <v>3616.29710610933</v>
      </c>
      <c r="F53" s="125">
        <f>F25+F44</f>
        <v>4950.54863221884</v>
      </c>
      <c r="G53" s="126">
        <f>(G25+G44)*stub_year_fraction</f>
        <v>1052.82344690858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0.152819993245525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2026-10-14T11:54:22Z</dcterms:modified>
  <cp:lastModifiedBy>Lucas Nascimento</cp:lastModifiedBy>
</cp:coreProperties>
</file>